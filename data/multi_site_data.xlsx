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A1066E5E-A669-924D-98C4-CB5E5A446D0C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1" i="2" l="1"/>
  <c r="D321" i="2"/>
  <c r="C321" i="2"/>
  <c r="E320" i="2"/>
  <c r="D320" i="2"/>
  <c r="C320" i="2"/>
  <c r="C8313" i="1"/>
  <c r="C8314" i="1" s="1"/>
  <c r="C8315" i="1" s="1"/>
  <c r="C8316" i="1" s="1"/>
  <c r="C8317" i="1" s="1"/>
  <c r="C8318" i="1" s="1"/>
  <c r="C8319" i="1" s="1"/>
  <c r="C8320" i="1" s="1"/>
  <c r="C8321" i="1" s="1"/>
  <c r="C8322" i="1" s="1"/>
  <c r="C8323" i="1" s="1"/>
  <c r="C8324" i="1" s="1"/>
  <c r="C8325" i="1" s="1"/>
  <c r="C8326" i="1" s="1"/>
  <c r="C8327" i="1" s="1"/>
  <c r="C8328" i="1" s="1"/>
  <c r="C8329" i="1" s="1"/>
  <c r="C8330" i="1" s="1"/>
  <c r="C8331" i="1" s="1"/>
  <c r="C8332" i="1" s="1"/>
  <c r="C8333" i="1" s="1"/>
  <c r="C8334" i="1" s="1"/>
  <c r="C8335" i="1" s="1"/>
  <c r="C8336" i="1" s="1"/>
  <c r="C8337" i="1" s="1"/>
  <c r="C8338" i="1" s="1"/>
  <c r="C8339" i="1" s="1"/>
  <c r="C8340" i="1" s="1"/>
  <c r="C8341" i="1" s="1"/>
  <c r="C8342" i="1" s="1"/>
  <c r="C8343" i="1" s="1"/>
  <c r="C8344" i="1" s="1"/>
  <c r="C8345" i="1" s="1"/>
  <c r="C8346" i="1" s="1"/>
  <c r="C8347" i="1" s="1"/>
  <c r="C8348" i="1" s="1"/>
  <c r="C8349" i="1" s="1"/>
  <c r="C8350" i="1" s="1"/>
  <c r="C8351" i="1" s="1"/>
  <c r="C8352" i="1" s="1"/>
  <c r="C8353" i="1" s="1"/>
  <c r="C8354" i="1" s="1"/>
  <c r="C8355" i="1" s="1"/>
  <c r="C8356" i="1" s="1"/>
  <c r="C8357" i="1" s="1"/>
  <c r="C8358" i="1" s="1"/>
  <c r="C8359" i="1" s="1"/>
  <c r="C8360" i="1" s="1"/>
  <c r="C8361" i="1" s="1"/>
  <c r="C8362" i="1" s="1"/>
  <c r="C8363" i="1" s="1"/>
  <c r="C8364" i="1" s="1"/>
  <c r="C8365" i="1" s="1"/>
  <c r="C8366" i="1" s="1"/>
  <c r="C8367" i="1" s="1"/>
  <c r="C8368" i="1" s="1"/>
  <c r="C8369" i="1" s="1"/>
  <c r="C8370" i="1" s="1"/>
  <c r="C8371" i="1" s="1"/>
  <c r="C8372" i="1" s="1"/>
  <c r="C8373" i="1" s="1"/>
  <c r="C8374" i="1" s="1"/>
  <c r="C8375" i="1" s="1"/>
  <c r="C8376" i="1" s="1"/>
  <c r="C8377" i="1" s="1"/>
  <c r="C8378" i="1" s="1"/>
  <c r="C8379" i="1" s="1"/>
  <c r="C8380" i="1" s="1"/>
  <c r="C8381" i="1" s="1"/>
  <c r="C8382" i="1" s="1"/>
  <c r="C8383" i="1" s="1"/>
  <c r="C8384" i="1" s="1"/>
  <c r="C8385" i="1" s="1"/>
  <c r="C8386" i="1" s="1"/>
  <c r="C8387" i="1" s="1"/>
  <c r="C8388" i="1" s="1"/>
  <c r="C8389" i="1" s="1"/>
  <c r="C8390" i="1" s="1"/>
  <c r="C8391" i="1" s="1"/>
  <c r="C8392" i="1" s="1"/>
  <c r="C8393" i="1" s="1"/>
  <c r="C8394" i="1" s="1"/>
  <c r="C8395" i="1" s="1"/>
  <c r="C8396" i="1" s="1"/>
  <c r="C8397" i="1" s="1"/>
  <c r="C8398" i="1" s="1"/>
  <c r="C8399" i="1" s="1"/>
  <c r="C8400" i="1" s="1"/>
  <c r="C8401" i="1" s="1"/>
  <c r="C8402" i="1" s="1"/>
  <c r="C8403" i="1" s="1"/>
  <c r="C8404" i="1" s="1"/>
  <c r="C8405" i="1" s="1"/>
  <c r="C8406" i="1" s="1"/>
  <c r="C8407" i="1" s="1"/>
  <c r="C8408" i="1" s="1"/>
  <c r="C8409" i="1" s="1"/>
  <c r="C8410" i="1" s="1"/>
  <c r="C8411" i="1" s="1"/>
  <c r="C8412" i="1" s="1"/>
  <c r="C8413" i="1" s="1"/>
  <c r="C8414" i="1" s="1"/>
  <c r="C8415" i="1" s="1"/>
  <c r="C8416" i="1" s="1"/>
  <c r="C8417" i="1" s="1"/>
  <c r="C8418" i="1" s="1"/>
  <c r="C8419" i="1" s="1"/>
  <c r="C8420" i="1" s="1"/>
  <c r="C8421" i="1" s="1"/>
  <c r="C8422" i="1" s="1"/>
  <c r="C8423" i="1" s="1"/>
  <c r="C8424" i="1" s="1"/>
  <c r="C8425" i="1" s="1"/>
  <c r="C8426" i="1" s="1"/>
  <c r="C8427" i="1" s="1"/>
  <c r="C8428" i="1" s="1"/>
  <c r="C8429" i="1" s="1"/>
  <c r="C8430" i="1" s="1"/>
  <c r="C8431" i="1" s="1"/>
  <c r="C8432" i="1" s="1"/>
  <c r="C8433" i="1" s="1"/>
  <c r="C8434" i="1" s="1"/>
  <c r="C8435" i="1" s="1"/>
  <c r="C8436" i="1" s="1"/>
  <c r="C8437" i="1" s="1"/>
  <c r="C8438" i="1" s="1"/>
  <c r="C8439" i="1" s="1"/>
  <c r="C8440" i="1" s="1"/>
  <c r="C8441" i="1" s="1"/>
  <c r="C8442" i="1" s="1"/>
  <c r="C8443" i="1" s="1"/>
  <c r="C8444" i="1" s="1"/>
  <c r="C8445" i="1" s="1"/>
  <c r="C8446" i="1" s="1"/>
  <c r="C8447" i="1" s="1"/>
  <c r="C8448" i="1" s="1"/>
  <c r="C8449" i="1" s="1"/>
  <c r="C8450" i="1" s="1"/>
  <c r="C8451" i="1" s="1"/>
  <c r="C8452" i="1" s="1"/>
  <c r="C8453" i="1" s="1"/>
  <c r="C8454" i="1" s="1"/>
  <c r="C8455" i="1" s="1"/>
  <c r="C8456" i="1" s="1"/>
  <c r="C8457" i="1" s="1"/>
  <c r="C8458" i="1" s="1"/>
  <c r="C8459" i="1" s="1"/>
  <c r="C8460" i="1" s="1"/>
  <c r="C8461" i="1" s="1"/>
  <c r="C8462" i="1" s="1"/>
  <c r="C8463" i="1" s="1"/>
  <c r="C8464" i="1" s="1"/>
  <c r="C8465" i="1" s="1"/>
  <c r="C8466" i="1" s="1"/>
  <c r="C8467" i="1" s="1"/>
  <c r="C8468" i="1" s="1"/>
  <c r="C8469" i="1" s="1"/>
  <c r="C8470" i="1" s="1"/>
  <c r="C8471" i="1" s="1"/>
  <c r="C8472" i="1" s="1"/>
  <c r="C8473" i="1" s="1"/>
  <c r="C8474" i="1" s="1"/>
  <c r="C8475" i="1" s="1"/>
  <c r="C8476" i="1" s="1"/>
  <c r="C8477" i="1" s="1"/>
  <c r="C8478" i="1" s="1"/>
  <c r="C8479" i="1" s="1"/>
  <c r="C8480" i="1" s="1"/>
  <c r="C8481" i="1" s="1"/>
  <c r="C8482" i="1" s="1"/>
  <c r="C8483" i="1" s="1"/>
  <c r="C8484" i="1" s="1"/>
  <c r="C8485" i="1" s="1"/>
  <c r="C8486" i="1" s="1"/>
  <c r="C8487" i="1" s="1"/>
  <c r="C8488" i="1" s="1"/>
  <c r="C8489" i="1" s="1"/>
  <c r="C8490" i="1" s="1"/>
  <c r="C8491" i="1" s="1"/>
  <c r="C8492" i="1" s="1"/>
  <c r="C8493" i="1" s="1"/>
  <c r="C8494" i="1" s="1"/>
  <c r="C8495" i="1" s="1"/>
  <c r="C8496" i="1" s="1"/>
  <c r="C8497" i="1" s="1"/>
  <c r="C8498" i="1" s="1"/>
  <c r="C8499" i="1" s="1"/>
  <c r="C8500" i="1" s="1"/>
  <c r="C8501" i="1" s="1"/>
  <c r="C8502" i="1" s="1"/>
  <c r="C8503" i="1" s="1"/>
  <c r="C8504" i="1" s="1"/>
  <c r="C8505" i="1" s="1"/>
  <c r="C8506" i="1" s="1"/>
  <c r="C8507" i="1" s="1"/>
  <c r="C8508" i="1" s="1"/>
  <c r="C8509" i="1" s="1"/>
  <c r="C8510" i="1" s="1"/>
  <c r="C8511" i="1" s="1"/>
  <c r="C8512" i="1" s="1"/>
  <c r="C8513" i="1" s="1"/>
  <c r="C8514" i="1" s="1"/>
  <c r="C8515" i="1" s="1"/>
  <c r="C8516" i="1" s="1"/>
  <c r="C8517" i="1" s="1"/>
  <c r="C8518" i="1" s="1"/>
  <c r="C8519" i="1" s="1"/>
  <c r="C8520" i="1" s="1"/>
  <c r="C8521" i="1" s="1"/>
  <c r="C8522" i="1" s="1"/>
  <c r="C8523" i="1" s="1"/>
  <c r="C8524" i="1" s="1"/>
  <c r="C8525" i="1" s="1"/>
  <c r="C8526" i="1" s="1"/>
  <c r="C8527" i="1" s="1"/>
  <c r="C8528" i="1" s="1"/>
  <c r="C8529" i="1" s="1"/>
  <c r="C8530" i="1" s="1"/>
  <c r="C8531" i="1" s="1"/>
  <c r="C8532" i="1" s="1"/>
  <c r="C8533" i="1" s="1"/>
  <c r="C8534" i="1" s="1"/>
  <c r="C8535" i="1" s="1"/>
  <c r="C8536" i="1" s="1"/>
  <c r="C8537" i="1" s="1"/>
  <c r="C8538" i="1" s="1"/>
  <c r="C8539" i="1" s="1"/>
  <c r="C8540" i="1" s="1"/>
  <c r="C8541" i="1" s="1"/>
  <c r="C8542" i="1" s="1"/>
  <c r="C8543" i="1" s="1"/>
  <c r="C8544" i="1" s="1"/>
  <c r="C8545" i="1" s="1"/>
  <c r="C8546" i="1" s="1"/>
  <c r="C8547" i="1" s="1"/>
  <c r="C8548" i="1" s="1"/>
  <c r="C8549" i="1" s="1"/>
  <c r="C8550" i="1" s="1"/>
  <c r="C8551" i="1" s="1"/>
  <c r="C8552" i="1" s="1"/>
  <c r="C8553" i="1" s="1"/>
  <c r="C8554" i="1" s="1"/>
  <c r="C8555" i="1" s="1"/>
  <c r="C8556" i="1" s="1"/>
  <c r="C8557" i="1" s="1"/>
  <c r="C8558" i="1" s="1"/>
  <c r="C8559" i="1" s="1"/>
  <c r="C8560" i="1" s="1"/>
  <c r="C8561" i="1" s="1"/>
  <c r="C8562" i="1" s="1"/>
  <c r="C8563" i="1" s="1"/>
  <c r="C8564" i="1" s="1"/>
  <c r="C8565" i="1" s="1"/>
  <c r="C8566" i="1" s="1"/>
  <c r="C8567" i="1" s="1"/>
  <c r="C8568" i="1" s="1"/>
  <c r="C8569" i="1" s="1"/>
  <c r="C8570" i="1" s="1"/>
  <c r="C8571" i="1" s="1"/>
  <c r="C8572" i="1" s="1"/>
  <c r="C8573" i="1" s="1"/>
  <c r="C8574" i="1" s="1"/>
  <c r="C8575" i="1" s="1"/>
  <c r="C8576" i="1" s="1"/>
  <c r="C8577" i="1" s="1"/>
  <c r="C8578" i="1" s="1"/>
  <c r="C8579" i="1" s="1"/>
  <c r="C8580" i="1" s="1"/>
  <c r="C8581" i="1" s="1"/>
  <c r="C8582" i="1" s="1"/>
  <c r="C8583" i="1" s="1"/>
  <c r="C8584" i="1" s="1"/>
  <c r="C8585" i="1" s="1"/>
  <c r="C8586" i="1" s="1"/>
  <c r="C8587" i="1" s="1"/>
  <c r="C8588" i="1" s="1"/>
  <c r="C8589" i="1" s="1"/>
  <c r="C8590" i="1" s="1"/>
  <c r="C8591" i="1" s="1"/>
  <c r="C8592" i="1" s="1"/>
  <c r="C8593" i="1" s="1"/>
  <c r="C8594" i="1" s="1"/>
  <c r="C8595" i="1" s="1"/>
  <c r="C8596" i="1" s="1"/>
  <c r="C8597" i="1" s="1"/>
  <c r="C8598" i="1" s="1"/>
  <c r="C8599" i="1" s="1"/>
  <c r="C8600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8314" i="1" l="1"/>
  <c r="H8313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B8313" i="1" l="1"/>
  <c r="H8314" i="1"/>
  <c r="A8315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E317" i="2" l="1"/>
  <c r="A8316" i="1"/>
  <c r="H8315" i="1"/>
  <c r="J8313" i="1" a="1"/>
  <c r="J8313" i="1" s="1"/>
  <c r="N8313" i="1" a="1"/>
  <c r="N8313" i="1" s="1"/>
  <c r="R8313" i="1" a="1"/>
  <c r="R8313" i="1" s="1"/>
  <c r="K8313" i="1" a="1"/>
  <c r="K8313" i="1" s="1"/>
  <c r="O8313" i="1" a="1"/>
  <c r="O8313" i="1" s="1"/>
  <c r="S8313" i="1" a="1"/>
  <c r="S8313" i="1" s="1"/>
  <c r="L8313" i="1" a="1"/>
  <c r="L8313" i="1" s="1"/>
  <c r="P8313" i="1" a="1"/>
  <c r="P8313" i="1" s="1"/>
  <c r="Q8313" i="1" a="1"/>
  <c r="Q8313" i="1" s="1"/>
  <c r="I8313" i="1" a="1"/>
  <c r="I8313" i="1" s="1"/>
  <c r="B8314" i="1"/>
  <c r="D317" i="2" s="1"/>
  <c r="M8313" i="1" a="1"/>
  <c r="M831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D318" i="2" l="1"/>
  <c r="E318" i="2"/>
  <c r="C317" i="2"/>
  <c r="D319" i="2"/>
  <c r="I8314" i="1" a="1"/>
  <c r="I8314" i="1" s="1"/>
  <c r="M8314" i="1" a="1"/>
  <c r="M8314" i="1" s="1"/>
  <c r="Q8314" i="1" a="1"/>
  <c r="Q8314" i="1" s="1"/>
  <c r="J8314" i="1" a="1"/>
  <c r="J8314" i="1" s="1"/>
  <c r="N8314" i="1" a="1"/>
  <c r="N8314" i="1" s="1"/>
  <c r="R8314" i="1" a="1"/>
  <c r="R8314" i="1" s="1"/>
  <c r="K8314" i="1" a="1"/>
  <c r="K8314" i="1" s="1"/>
  <c r="O8314" i="1" a="1"/>
  <c r="O8314" i="1" s="1"/>
  <c r="S8314" i="1" a="1"/>
  <c r="S8314" i="1" s="1"/>
  <c r="P8314" i="1" a="1"/>
  <c r="P8314" i="1" s="1"/>
  <c r="B8315" i="1"/>
  <c r="L8314" i="1" a="1"/>
  <c r="L8314" i="1" s="1"/>
  <c r="A8317" i="1"/>
  <c r="H831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C319" i="2" l="1"/>
  <c r="C318" i="2"/>
  <c r="E319" i="2"/>
  <c r="A8318" i="1"/>
  <c r="H8317" i="1"/>
  <c r="L8315" i="1" a="1"/>
  <c r="L8315" i="1" s="1"/>
  <c r="P8315" i="1" a="1"/>
  <c r="P8315" i="1" s="1"/>
  <c r="B8316" i="1"/>
  <c r="I8315" i="1" a="1"/>
  <c r="I8315" i="1" s="1"/>
  <c r="M8315" i="1" a="1"/>
  <c r="M8315" i="1" s="1"/>
  <c r="Q8315" i="1" a="1"/>
  <c r="Q8315" i="1" s="1"/>
  <c r="J8315" i="1" a="1"/>
  <c r="J8315" i="1" s="1"/>
  <c r="N8315" i="1" a="1"/>
  <c r="N8315" i="1" s="1"/>
  <c r="R8315" i="1" a="1"/>
  <c r="R8315" i="1" s="1"/>
  <c r="O8315" i="1" a="1"/>
  <c r="O8315" i="1" s="1"/>
  <c r="S8315" i="1" a="1"/>
  <c r="S8315" i="1" s="1"/>
  <c r="K8315" i="1" a="1"/>
  <c r="K8315" i="1" s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K8316" i="1" l="1" a="1"/>
  <c r="K8316" i="1" s="1"/>
  <c r="O8316" i="1" a="1"/>
  <c r="O8316" i="1" s="1"/>
  <c r="S8316" i="1" a="1"/>
  <c r="S8316" i="1" s="1"/>
  <c r="L8316" i="1" a="1"/>
  <c r="L8316" i="1" s="1"/>
  <c r="P8316" i="1" a="1"/>
  <c r="P8316" i="1" s="1"/>
  <c r="B8317" i="1"/>
  <c r="I8316" i="1" a="1"/>
  <c r="I8316" i="1" s="1"/>
  <c r="M8316" i="1" a="1"/>
  <c r="M8316" i="1" s="1"/>
  <c r="Q8316" i="1" a="1"/>
  <c r="Q8316" i="1" s="1"/>
  <c r="J8316" i="1" a="1"/>
  <c r="J8316" i="1" s="1"/>
  <c r="N8316" i="1" a="1"/>
  <c r="N8316" i="1" s="1"/>
  <c r="R8316" i="1" a="1"/>
  <c r="R8316" i="1" s="1"/>
  <c r="H8318" i="1"/>
  <c r="A8319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A8320" i="1" l="1"/>
  <c r="H8319" i="1"/>
  <c r="J8317" i="1" a="1"/>
  <c r="J8317" i="1" s="1"/>
  <c r="N8317" i="1" a="1"/>
  <c r="N8317" i="1" s="1"/>
  <c r="R8317" i="1" a="1"/>
  <c r="R8317" i="1" s="1"/>
  <c r="K8317" i="1" a="1"/>
  <c r="K8317" i="1" s="1"/>
  <c r="O8317" i="1" a="1"/>
  <c r="O8317" i="1" s="1"/>
  <c r="S8317" i="1" a="1"/>
  <c r="S8317" i="1" s="1"/>
  <c r="L8317" i="1" a="1"/>
  <c r="L8317" i="1" s="1"/>
  <c r="P8317" i="1" a="1"/>
  <c r="P8317" i="1" s="1"/>
  <c r="I8317" i="1" a="1"/>
  <c r="I8317" i="1" s="1"/>
  <c r="B8318" i="1"/>
  <c r="M8317" i="1" a="1"/>
  <c r="M8317" i="1" s="1"/>
  <c r="Q8317" i="1" a="1"/>
  <c r="Q8317" i="1" s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I8318" i="1" l="1" a="1"/>
  <c r="I8318" i="1" s="1"/>
  <c r="M8318" i="1" a="1"/>
  <c r="M8318" i="1" s="1"/>
  <c r="Q8318" i="1" a="1"/>
  <c r="Q8318" i="1" s="1"/>
  <c r="J8318" i="1" a="1"/>
  <c r="J8318" i="1" s="1"/>
  <c r="N8318" i="1" a="1"/>
  <c r="N8318" i="1" s="1"/>
  <c r="R8318" i="1" a="1"/>
  <c r="R8318" i="1" s="1"/>
  <c r="K8318" i="1" a="1"/>
  <c r="K8318" i="1" s="1"/>
  <c r="O8318" i="1" a="1"/>
  <c r="O8318" i="1" s="1"/>
  <c r="S8318" i="1" a="1"/>
  <c r="S8318" i="1" s="1"/>
  <c r="P8318" i="1" a="1"/>
  <c r="P8318" i="1" s="1"/>
  <c r="B8319" i="1"/>
  <c r="L8318" i="1" a="1"/>
  <c r="L8318" i="1" s="1"/>
  <c r="A8321" i="1"/>
  <c r="H8320" i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A8322" i="1" l="1"/>
  <c r="H8321" i="1"/>
  <c r="L8319" i="1" a="1"/>
  <c r="L8319" i="1" s="1"/>
  <c r="P8319" i="1" a="1"/>
  <c r="P8319" i="1" s="1"/>
  <c r="B8320" i="1"/>
  <c r="I8319" i="1" a="1"/>
  <c r="I8319" i="1" s="1"/>
  <c r="M8319" i="1" a="1"/>
  <c r="M8319" i="1" s="1"/>
  <c r="Q8319" i="1" a="1"/>
  <c r="Q8319" i="1" s="1"/>
  <c r="J8319" i="1" a="1"/>
  <c r="J8319" i="1" s="1"/>
  <c r="N8319" i="1" a="1"/>
  <c r="N8319" i="1" s="1"/>
  <c r="R8319" i="1" a="1"/>
  <c r="R8319" i="1" s="1"/>
  <c r="O8319" i="1" a="1"/>
  <c r="O8319" i="1" s="1"/>
  <c r="S8319" i="1" a="1"/>
  <c r="S8319" i="1" s="1"/>
  <c r="K8319" i="1" a="1"/>
  <c r="K8319" i="1" s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8320" i="1" l="1" a="1"/>
  <c r="K8320" i="1" s="1"/>
  <c r="O8320" i="1" a="1"/>
  <c r="O8320" i="1" s="1"/>
  <c r="S8320" i="1" a="1"/>
  <c r="S8320" i="1" s="1"/>
  <c r="L8320" i="1" a="1"/>
  <c r="L8320" i="1" s="1"/>
  <c r="P8320" i="1" a="1"/>
  <c r="P8320" i="1" s="1"/>
  <c r="B8321" i="1"/>
  <c r="I8320" i="1" a="1"/>
  <c r="I8320" i="1" s="1"/>
  <c r="M8320" i="1" a="1"/>
  <c r="M8320" i="1" s="1"/>
  <c r="Q8320" i="1" a="1"/>
  <c r="Q8320" i="1" s="1"/>
  <c r="N8320" i="1" a="1"/>
  <c r="N8320" i="1" s="1"/>
  <c r="R8320" i="1" a="1"/>
  <c r="R8320" i="1" s="1"/>
  <c r="J8320" i="1" a="1"/>
  <c r="J8320" i="1" s="1"/>
  <c r="H8322" i="1"/>
  <c r="A8323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J8321" i="1" l="1" a="1"/>
  <c r="J8321" i="1" s="1"/>
  <c r="N8321" i="1" a="1"/>
  <c r="N8321" i="1" s="1"/>
  <c r="R8321" i="1" a="1"/>
  <c r="R8321" i="1" s="1"/>
  <c r="K8321" i="1" a="1"/>
  <c r="K8321" i="1" s="1"/>
  <c r="O8321" i="1" a="1"/>
  <c r="O8321" i="1" s="1"/>
  <c r="S8321" i="1" a="1"/>
  <c r="S8321" i="1" s="1"/>
  <c r="L8321" i="1" a="1"/>
  <c r="L8321" i="1" s="1"/>
  <c r="P8321" i="1" a="1"/>
  <c r="P8321" i="1" s="1"/>
  <c r="I8321" i="1" a="1"/>
  <c r="I8321" i="1" s="1"/>
  <c r="B8322" i="1"/>
  <c r="M8321" i="1" a="1"/>
  <c r="M8321" i="1" s="1"/>
  <c r="Q8321" i="1" a="1"/>
  <c r="Q8321" i="1" s="1"/>
  <c r="A8324" i="1"/>
  <c r="H8323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8325" i="1" l="1"/>
  <c r="H8324" i="1"/>
  <c r="I8322" i="1" a="1"/>
  <c r="I8322" i="1" s="1"/>
  <c r="M8322" i="1" a="1"/>
  <c r="M8322" i="1" s="1"/>
  <c r="Q8322" i="1" a="1"/>
  <c r="Q8322" i="1" s="1"/>
  <c r="J8322" i="1" a="1"/>
  <c r="J8322" i="1" s="1"/>
  <c r="N8322" i="1" a="1"/>
  <c r="N8322" i="1" s="1"/>
  <c r="R8322" i="1" a="1"/>
  <c r="R8322" i="1" s="1"/>
  <c r="K8322" i="1" a="1"/>
  <c r="K8322" i="1" s="1"/>
  <c r="O8322" i="1" a="1"/>
  <c r="O8322" i="1" s="1"/>
  <c r="S8322" i="1" a="1"/>
  <c r="S8322" i="1" s="1"/>
  <c r="B8323" i="1"/>
  <c r="L8322" i="1" a="1"/>
  <c r="L8322" i="1" s="1"/>
  <c r="P8322" i="1" a="1"/>
  <c r="P832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L8323" i="1" l="1" a="1"/>
  <c r="L8323" i="1" s="1"/>
  <c r="P8323" i="1" a="1"/>
  <c r="P8323" i="1" s="1"/>
  <c r="B8324" i="1"/>
  <c r="I8323" i="1" a="1"/>
  <c r="I8323" i="1" s="1"/>
  <c r="M8323" i="1" a="1"/>
  <c r="M8323" i="1" s="1"/>
  <c r="Q8323" i="1" a="1"/>
  <c r="Q8323" i="1" s="1"/>
  <c r="J8323" i="1" a="1"/>
  <c r="J8323" i="1" s="1"/>
  <c r="N8323" i="1" a="1"/>
  <c r="N8323" i="1" s="1"/>
  <c r="R8323" i="1" a="1"/>
  <c r="R8323" i="1" s="1"/>
  <c r="O8323" i="1" a="1"/>
  <c r="O8323" i="1" s="1"/>
  <c r="S8323" i="1" a="1"/>
  <c r="S8323" i="1" s="1"/>
  <c r="K8323" i="1" a="1"/>
  <c r="K8323" i="1" s="1"/>
  <c r="A8326" i="1"/>
  <c r="H8325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K8324" i="1" l="1" a="1"/>
  <c r="K8324" i="1" s="1"/>
  <c r="O8324" i="1" a="1"/>
  <c r="O8324" i="1" s="1"/>
  <c r="S8324" i="1" a="1"/>
  <c r="S8324" i="1" s="1"/>
  <c r="L8324" i="1" a="1"/>
  <c r="L8324" i="1" s="1"/>
  <c r="P8324" i="1" a="1"/>
  <c r="P8324" i="1" s="1"/>
  <c r="B8325" i="1"/>
  <c r="I8324" i="1" a="1"/>
  <c r="I8324" i="1" s="1"/>
  <c r="M8324" i="1" a="1"/>
  <c r="M8324" i="1" s="1"/>
  <c r="Q8324" i="1" a="1"/>
  <c r="Q8324" i="1" s="1"/>
  <c r="N8324" i="1" a="1"/>
  <c r="N8324" i="1" s="1"/>
  <c r="R8324" i="1" a="1"/>
  <c r="R8324" i="1" s="1"/>
  <c r="J8324" i="1" a="1"/>
  <c r="J8324" i="1" s="1"/>
  <c r="H8326" i="1"/>
  <c r="A8327" i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J8325" i="1" l="1" a="1"/>
  <c r="J8325" i="1" s="1"/>
  <c r="N8325" i="1" a="1"/>
  <c r="N8325" i="1" s="1"/>
  <c r="R8325" i="1" a="1"/>
  <c r="R8325" i="1" s="1"/>
  <c r="K8325" i="1" a="1"/>
  <c r="K8325" i="1" s="1"/>
  <c r="O8325" i="1" a="1"/>
  <c r="O8325" i="1" s="1"/>
  <c r="S8325" i="1" a="1"/>
  <c r="S8325" i="1" s="1"/>
  <c r="L8325" i="1" a="1"/>
  <c r="L8325" i="1" s="1"/>
  <c r="P8325" i="1" a="1"/>
  <c r="P8325" i="1" s="1"/>
  <c r="M8325" i="1" a="1"/>
  <c r="M8325" i="1" s="1"/>
  <c r="Q8325" i="1" a="1"/>
  <c r="Q8325" i="1" s="1"/>
  <c r="I8325" i="1" a="1"/>
  <c r="I8325" i="1" s="1"/>
  <c r="B8326" i="1"/>
  <c r="A8328" i="1"/>
  <c r="H8327" i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A8329" i="1" l="1"/>
  <c r="H8328" i="1"/>
  <c r="I8326" i="1" a="1"/>
  <c r="I8326" i="1" s="1"/>
  <c r="M8326" i="1" a="1"/>
  <c r="M8326" i="1" s="1"/>
  <c r="Q8326" i="1" a="1"/>
  <c r="Q8326" i="1" s="1"/>
  <c r="J8326" i="1" a="1"/>
  <c r="J8326" i="1" s="1"/>
  <c r="N8326" i="1" a="1"/>
  <c r="N8326" i="1" s="1"/>
  <c r="R8326" i="1" a="1"/>
  <c r="R8326" i="1" s="1"/>
  <c r="K8326" i="1" a="1"/>
  <c r="K8326" i="1" s="1"/>
  <c r="O8326" i="1" a="1"/>
  <c r="O8326" i="1" s="1"/>
  <c r="S8326" i="1" a="1"/>
  <c r="S8326" i="1" s="1"/>
  <c r="B8327" i="1"/>
  <c r="L8326" i="1" a="1"/>
  <c r="L8326" i="1" s="1"/>
  <c r="P8326" i="1" a="1"/>
  <c r="P8326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L8327" i="1" l="1" a="1"/>
  <c r="L8327" i="1" s="1"/>
  <c r="P8327" i="1" a="1"/>
  <c r="P8327" i="1" s="1"/>
  <c r="B8328" i="1"/>
  <c r="I8327" i="1" a="1"/>
  <c r="I8327" i="1" s="1"/>
  <c r="M8327" i="1" a="1"/>
  <c r="M8327" i="1" s="1"/>
  <c r="Q8327" i="1" a="1"/>
  <c r="Q8327" i="1" s="1"/>
  <c r="J8327" i="1" a="1"/>
  <c r="J8327" i="1" s="1"/>
  <c r="N8327" i="1" a="1"/>
  <c r="N8327" i="1" s="1"/>
  <c r="R8327" i="1" a="1"/>
  <c r="R8327" i="1" s="1"/>
  <c r="S8327" i="1" a="1"/>
  <c r="S8327" i="1" s="1"/>
  <c r="K8327" i="1" a="1"/>
  <c r="K8327" i="1" s="1"/>
  <c r="O8327" i="1" a="1"/>
  <c r="O8327" i="1" s="1"/>
  <c r="A8330" i="1"/>
  <c r="H8329" i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K8328" i="1" l="1" a="1"/>
  <c r="K8328" i="1" s="1"/>
  <c r="O8328" i="1" a="1"/>
  <c r="O8328" i="1" s="1"/>
  <c r="S8328" i="1" a="1"/>
  <c r="S8328" i="1" s="1"/>
  <c r="L8328" i="1" a="1"/>
  <c r="L8328" i="1" s="1"/>
  <c r="P8328" i="1" a="1"/>
  <c r="P8328" i="1" s="1"/>
  <c r="B8329" i="1"/>
  <c r="I8328" i="1" a="1"/>
  <c r="I8328" i="1" s="1"/>
  <c r="M8328" i="1" a="1"/>
  <c r="M8328" i="1" s="1"/>
  <c r="Q8328" i="1" a="1"/>
  <c r="Q8328" i="1" s="1"/>
  <c r="N8328" i="1" a="1"/>
  <c r="N8328" i="1" s="1"/>
  <c r="R8328" i="1" a="1"/>
  <c r="R8328" i="1" s="1"/>
  <c r="J8328" i="1" a="1"/>
  <c r="J8328" i="1" s="1"/>
  <c r="H8330" i="1"/>
  <c r="A8331" i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8332" i="1" l="1"/>
  <c r="H8331" i="1"/>
  <c r="J8329" i="1" a="1"/>
  <c r="J8329" i="1" s="1"/>
  <c r="N8329" i="1" a="1"/>
  <c r="N8329" i="1" s="1"/>
  <c r="R8329" i="1" a="1"/>
  <c r="R8329" i="1" s="1"/>
  <c r="K8329" i="1" a="1"/>
  <c r="K8329" i="1" s="1"/>
  <c r="O8329" i="1" a="1"/>
  <c r="O8329" i="1" s="1"/>
  <c r="S8329" i="1" a="1"/>
  <c r="S8329" i="1" s="1"/>
  <c r="L8329" i="1" a="1"/>
  <c r="L8329" i="1" s="1"/>
  <c r="P8329" i="1" a="1"/>
  <c r="P8329" i="1" s="1"/>
  <c r="M8329" i="1" a="1"/>
  <c r="M8329" i="1" s="1"/>
  <c r="Q8329" i="1" a="1"/>
  <c r="Q8329" i="1" s="1"/>
  <c r="I8329" i="1" a="1"/>
  <c r="I8329" i="1" s="1"/>
  <c r="B8330" i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I8330" i="1" l="1" a="1"/>
  <c r="I8330" i="1" s="1"/>
  <c r="M8330" i="1" a="1"/>
  <c r="M8330" i="1" s="1"/>
  <c r="Q8330" i="1" a="1"/>
  <c r="Q8330" i="1" s="1"/>
  <c r="J8330" i="1" a="1"/>
  <c r="J8330" i="1" s="1"/>
  <c r="N8330" i="1" a="1"/>
  <c r="N8330" i="1" s="1"/>
  <c r="R8330" i="1" a="1"/>
  <c r="R8330" i="1" s="1"/>
  <c r="K8330" i="1" a="1"/>
  <c r="K8330" i="1" s="1"/>
  <c r="O8330" i="1" a="1"/>
  <c r="O8330" i="1" s="1"/>
  <c r="S8330" i="1" a="1"/>
  <c r="S8330" i="1" s="1"/>
  <c r="B8331" i="1"/>
  <c r="L8330" i="1" a="1"/>
  <c r="L8330" i="1" s="1"/>
  <c r="P8330" i="1" a="1"/>
  <c r="P8330" i="1" s="1"/>
  <c r="A8333" i="1"/>
  <c r="H8332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8334" i="1" l="1"/>
  <c r="H8333" i="1"/>
  <c r="L8331" i="1" a="1"/>
  <c r="L8331" i="1" s="1"/>
  <c r="P8331" i="1" a="1"/>
  <c r="P8331" i="1" s="1"/>
  <c r="B8332" i="1"/>
  <c r="I8331" i="1" a="1"/>
  <c r="I8331" i="1" s="1"/>
  <c r="M8331" i="1" a="1"/>
  <c r="M8331" i="1" s="1"/>
  <c r="Q8331" i="1" a="1"/>
  <c r="Q8331" i="1" s="1"/>
  <c r="J8331" i="1" a="1"/>
  <c r="J8331" i="1" s="1"/>
  <c r="N8331" i="1" a="1"/>
  <c r="N8331" i="1" s="1"/>
  <c r="R8331" i="1" a="1"/>
  <c r="R8331" i="1" s="1"/>
  <c r="S8331" i="1" a="1"/>
  <c r="S8331" i="1" s="1"/>
  <c r="K8331" i="1" a="1"/>
  <c r="K8331" i="1" s="1"/>
  <c r="O8331" i="1" a="1"/>
  <c r="O8331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K8332" i="1" l="1" a="1"/>
  <c r="K8332" i="1" s="1"/>
  <c r="O8332" i="1" a="1"/>
  <c r="O8332" i="1" s="1"/>
  <c r="S8332" i="1" a="1"/>
  <c r="S8332" i="1" s="1"/>
  <c r="L8332" i="1" a="1"/>
  <c r="L8332" i="1" s="1"/>
  <c r="P8332" i="1" a="1"/>
  <c r="P8332" i="1" s="1"/>
  <c r="B8333" i="1"/>
  <c r="I8332" i="1" a="1"/>
  <c r="I8332" i="1" s="1"/>
  <c r="M8332" i="1" a="1"/>
  <c r="M8332" i="1" s="1"/>
  <c r="Q8332" i="1" a="1"/>
  <c r="Q8332" i="1" s="1"/>
  <c r="R8332" i="1" a="1"/>
  <c r="R8332" i="1" s="1"/>
  <c r="J8332" i="1" a="1"/>
  <c r="J8332" i="1" s="1"/>
  <c r="N8332" i="1" a="1"/>
  <c r="N8332" i="1" s="1"/>
  <c r="A8335" i="1"/>
  <c r="H8334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A8336" i="1" l="1"/>
  <c r="H8335" i="1"/>
  <c r="J8333" i="1" a="1"/>
  <c r="J8333" i="1" s="1"/>
  <c r="N8333" i="1" a="1"/>
  <c r="N8333" i="1" s="1"/>
  <c r="R8333" i="1" a="1"/>
  <c r="R8333" i="1" s="1"/>
  <c r="K8333" i="1" a="1"/>
  <c r="K8333" i="1" s="1"/>
  <c r="O8333" i="1" a="1"/>
  <c r="O8333" i="1" s="1"/>
  <c r="S8333" i="1" a="1"/>
  <c r="S8333" i="1" s="1"/>
  <c r="L8333" i="1" a="1"/>
  <c r="L8333" i="1" s="1"/>
  <c r="P8333" i="1" a="1"/>
  <c r="P8333" i="1" s="1"/>
  <c r="M8333" i="1" a="1"/>
  <c r="M8333" i="1" s="1"/>
  <c r="Q8333" i="1" a="1"/>
  <c r="Q8333" i="1" s="1"/>
  <c r="I8333" i="1" a="1"/>
  <c r="I8333" i="1" s="1"/>
  <c r="B8334" i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I8334" i="1" l="1" a="1"/>
  <c r="I8334" i="1" s="1"/>
  <c r="M8334" i="1" a="1"/>
  <c r="M8334" i="1" s="1"/>
  <c r="Q8334" i="1" a="1"/>
  <c r="Q8334" i="1" s="1"/>
  <c r="J8334" i="1" a="1"/>
  <c r="J8334" i="1" s="1"/>
  <c r="N8334" i="1" a="1"/>
  <c r="N8334" i="1" s="1"/>
  <c r="R8334" i="1" a="1"/>
  <c r="R8334" i="1" s="1"/>
  <c r="K8334" i="1" a="1"/>
  <c r="K8334" i="1" s="1"/>
  <c r="O8334" i="1" a="1"/>
  <c r="O8334" i="1" s="1"/>
  <c r="S8334" i="1" a="1"/>
  <c r="S8334" i="1" s="1"/>
  <c r="B8335" i="1"/>
  <c r="L8334" i="1" a="1"/>
  <c r="L8334" i="1" s="1"/>
  <c r="P8334" i="1" a="1"/>
  <c r="P8334" i="1" s="1"/>
  <c r="A8337" i="1"/>
  <c r="H8336" i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8338" i="1" l="1"/>
  <c r="H8337" i="1"/>
  <c r="L8335" i="1" a="1"/>
  <c r="L8335" i="1" s="1"/>
  <c r="P8335" i="1" a="1"/>
  <c r="P8335" i="1" s="1"/>
  <c r="B8336" i="1"/>
  <c r="I8335" i="1" a="1"/>
  <c r="I8335" i="1" s="1"/>
  <c r="M8335" i="1" a="1"/>
  <c r="M8335" i="1" s="1"/>
  <c r="Q8335" i="1" a="1"/>
  <c r="Q8335" i="1" s="1"/>
  <c r="J8335" i="1" a="1"/>
  <c r="J8335" i="1" s="1"/>
  <c r="N8335" i="1" a="1"/>
  <c r="N8335" i="1" s="1"/>
  <c r="R8335" i="1" a="1"/>
  <c r="R8335" i="1" s="1"/>
  <c r="S8335" i="1" a="1"/>
  <c r="S8335" i="1" s="1"/>
  <c r="K8335" i="1" a="1"/>
  <c r="K8335" i="1" s="1"/>
  <c r="O8335" i="1" a="1"/>
  <c r="O8335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K8336" i="1" l="1" a="1"/>
  <c r="K8336" i="1" s="1"/>
  <c r="O8336" i="1" a="1"/>
  <c r="O8336" i="1" s="1"/>
  <c r="S8336" i="1" a="1"/>
  <c r="S8336" i="1" s="1"/>
  <c r="L8336" i="1" a="1"/>
  <c r="L8336" i="1" s="1"/>
  <c r="P8336" i="1" a="1"/>
  <c r="P8336" i="1" s="1"/>
  <c r="B8337" i="1"/>
  <c r="I8336" i="1" a="1"/>
  <c r="I8336" i="1" s="1"/>
  <c r="M8336" i="1" a="1"/>
  <c r="M8336" i="1" s="1"/>
  <c r="Q8336" i="1" a="1"/>
  <c r="Q8336" i="1" s="1"/>
  <c r="R8336" i="1" a="1"/>
  <c r="R8336" i="1" s="1"/>
  <c r="J8336" i="1" a="1"/>
  <c r="J8336" i="1" s="1"/>
  <c r="N8336" i="1" a="1"/>
  <c r="N8336" i="1" s="1"/>
  <c r="A8339" i="1"/>
  <c r="H8338" i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J8337" i="1" l="1" a="1"/>
  <c r="J8337" i="1" s="1"/>
  <c r="N8337" i="1" a="1"/>
  <c r="N8337" i="1" s="1"/>
  <c r="R8337" i="1" a="1"/>
  <c r="R8337" i="1" s="1"/>
  <c r="K8337" i="1" a="1"/>
  <c r="K8337" i="1" s="1"/>
  <c r="O8337" i="1" a="1"/>
  <c r="O8337" i="1" s="1"/>
  <c r="S8337" i="1" a="1"/>
  <c r="S8337" i="1" s="1"/>
  <c r="L8337" i="1" a="1"/>
  <c r="L8337" i="1" s="1"/>
  <c r="P8337" i="1" a="1"/>
  <c r="P8337" i="1" s="1"/>
  <c r="Q8337" i="1" a="1"/>
  <c r="Q8337" i="1" s="1"/>
  <c r="I8337" i="1" a="1"/>
  <c r="I8337" i="1" s="1"/>
  <c r="B8338" i="1"/>
  <c r="M8337" i="1" a="1"/>
  <c r="M8337" i="1" s="1"/>
  <c r="H8339" i="1"/>
  <c r="A8340" i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H8340" i="1" l="1"/>
  <c r="A8341" i="1"/>
  <c r="K8338" i="1" a="1"/>
  <c r="K8338" i="1" s="1"/>
  <c r="O8338" i="1" a="1"/>
  <c r="O8338" i="1" s="1"/>
  <c r="S8338" i="1" a="1"/>
  <c r="S8338" i="1" s="1"/>
  <c r="J8338" i="1" a="1"/>
  <c r="J8338" i="1" s="1"/>
  <c r="Q8338" i="1" a="1"/>
  <c r="Q8338" i="1" s="1"/>
  <c r="L8338" i="1" a="1"/>
  <c r="L8338" i="1" s="1"/>
  <c r="R8338" i="1" a="1"/>
  <c r="R8338" i="1" s="1"/>
  <c r="M8338" i="1" a="1"/>
  <c r="M8338" i="1" s="1"/>
  <c r="N8338" i="1" a="1"/>
  <c r="N8338" i="1" s="1"/>
  <c r="B8339" i="1"/>
  <c r="I8338" i="1" a="1"/>
  <c r="I8338" i="1" s="1"/>
  <c r="P8338" i="1" a="1"/>
  <c r="P8338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B8340" i="1" l="1"/>
  <c r="J8339" i="1" a="1"/>
  <c r="J8339" i="1" s="1"/>
  <c r="O8339" i="1" a="1"/>
  <c r="O8339" i="1" s="1"/>
  <c r="K8339" i="1" a="1"/>
  <c r="K8339" i="1" s="1"/>
  <c r="P8339" i="1" a="1"/>
  <c r="P8339" i="1" s="1"/>
  <c r="Q8339" i="1" a="1"/>
  <c r="Q8339" i="1" s="1"/>
  <c r="L8339" i="1" a="1"/>
  <c r="L8339" i="1" s="1"/>
  <c r="R8339" i="1" a="1"/>
  <c r="R8339" i="1" s="1"/>
  <c r="M8339" i="1" a="1"/>
  <c r="M8339" i="1" s="1"/>
  <c r="N8339" i="1" a="1"/>
  <c r="N8339" i="1" s="1"/>
  <c r="S8339" i="1" a="1"/>
  <c r="S8339" i="1" s="1"/>
  <c r="I8339" i="1" a="1"/>
  <c r="I8339" i="1" s="1"/>
  <c r="H8341" i="1"/>
  <c r="A8342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H8342" i="1" l="1"/>
  <c r="A8343" i="1"/>
  <c r="B8341" i="1"/>
  <c r="M8340" i="1" a="1"/>
  <c r="M8340" i="1" s="1"/>
  <c r="R8340" i="1" a="1"/>
  <c r="R8340" i="1" s="1"/>
  <c r="I8340" i="1" a="1"/>
  <c r="I8340" i="1" s="1"/>
  <c r="N8340" i="1" a="1"/>
  <c r="N8340" i="1" s="1"/>
  <c r="S8340" i="1" a="1"/>
  <c r="S8340" i="1" s="1"/>
  <c r="J8340" i="1" a="1"/>
  <c r="J8340" i="1" s="1"/>
  <c r="O8340" i="1" a="1"/>
  <c r="O8340" i="1" s="1"/>
  <c r="P8340" i="1" a="1"/>
  <c r="P8340" i="1" s="1"/>
  <c r="K8340" i="1" a="1"/>
  <c r="K8340" i="1" s="1"/>
  <c r="Q8340" i="1" a="1"/>
  <c r="Q8340" i="1" s="1"/>
  <c r="L8340" i="1" a="1"/>
  <c r="L8340" i="1" s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J8341" i="1" l="1" a="1"/>
  <c r="J8341" i="1" s="1"/>
  <c r="P8341" i="1" a="1"/>
  <c r="P8341" i="1" s="1"/>
  <c r="K8341" i="1" a="1"/>
  <c r="K8341" i="1" s="1"/>
  <c r="L8341" i="1" a="1"/>
  <c r="L8341" i="1" s="1"/>
  <c r="Q8341" i="1" a="1"/>
  <c r="Q8341" i="1" s="1"/>
  <c r="M8341" i="1" a="1"/>
  <c r="M8341" i="1" s="1"/>
  <c r="R8341" i="1" a="1"/>
  <c r="R8341" i="1" s="1"/>
  <c r="S8341" i="1" a="1"/>
  <c r="S8341" i="1" s="1"/>
  <c r="I8341" i="1" a="1"/>
  <c r="I8341" i="1" s="1"/>
  <c r="N8341" i="1" a="1"/>
  <c r="N8341" i="1" s="1"/>
  <c r="O8341" i="1" a="1"/>
  <c r="O8341" i="1" s="1"/>
  <c r="B8342" i="1"/>
  <c r="H8343" i="1"/>
  <c r="A8344" i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8344" i="1" l="1"/>
  <c r="A8345" i="1"/>
  <c r="M8342" i="1" a="1"/>
  <c r="M8342" i="1" s="1"/>
  <c r="S8342" i="1" a="1"/>
  <c r="S8342" i="1" s="1"/>
  <c r="N8342" i="1" a="1"/>
  <c r="N8342" i="1" s="1"/>
  <c r="I8342" i="1" a="1"/>
  <c r="I8342" i="1" s="1"/>
  <c r="O8342" i="1" a="1"/>
  <c r="O8342" i="1" s="1"/>
  <c r="J8342" i="1" a="1"/>
  <c r="J8342" i="1" s="1"/>
  <c r="B8343" i="1"/>
  <c r="K8342" i="1" a="1"/>
  <c r="K8342" i="1" s="1"/>
  <c r="P8342" i="1" a="1"/>
  <c r="P8342" i="1" s="1"/>
  <c r="L8342" i="1" a="1"/>
  <c r="L8342" i="1" s="1"/>
  <c r="Q8342" i="1" a="1"/>
  <c r="Q8342" i="1" s="1"/>
  <c r="R8342" i="1" a="1"/>
  <c r="R8342" i="1" s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8345" i="1" l="1"/>
  <c r="A8346" i="1"/>
  <c r="B8344" i="1"/>
  <c r="K8343" i="1" a="1"/>
  <c r="K8343" i="1" s="1"/>
  <c r="P8343" i="1" a="1"/>
  <c r="P8343" i="1" s="1"/>
  <c r="Q8343" i="1" a="1"/>
  <c r="Q8343" i="1" s="1"/>
  <c r="L8343" i="1" a="1"/>
  <c r="L8343" i="1" s="1"/>
  <c r="R8343" i="1" a="1"/>
  <c r="R8343" i="1" s="1"/>
  <c r="M8343" i="1" a="1"/>
  <c r="M8343" i="1" s="1"/>
  <c r="N8343" i="1" a="1"/>
  <c r="N8343" i="1" s="1"/>
  <c r="S8343" i="1" a="1"/>
  <c r="S8343" i="1" s="1"/>
  <c r="I8343" i="1" a="1"/>
  <c r="I8343" i="1" s="1"/>
  <c r="J8343" i="1" a="1"/>
  <c r="J8343" i="1" s="1"/>
  <c r="O8343" i="1" a="1"/>
  <c r="O8343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B8345" i="1" l="1"/>
  <c r="I8344" i="1" a="1"/>
  <c r="I8344" i="1" s="1"/>
  <c r="N8344" i="1" a="1"/>
  <c r="N8344" i="1" s="1"/>
  <c r="S8344" i="1" a="1"/>
  <c r="S8344" i="1" s="1"/>
  <c r="J8344" i="1" a="1"/>
  <c r="J8344" i="1" s="1"/>
  <c r="O8344" i="1" a="1"/>
  <c r="O8344" i="1" s="1"/>
  <c r="P8344" i="1" a="1"/>
  <c r="P8344" i="1" s="1"/>
  <c r="K8344" i="1" a="1"/>
  <c r="K8344" i="1" s="1"/>
  <c r="Q8344" i="1" a="1"/>
  <c r="Q8344" i="1" s="1"/>
  <c r="L8344" i="1" a="1"/>
  <c r="L8344" i="1" s="1"/>
  <c r="M8344" i="1" a="1"/>
  <c r="M8344" i="1" s="1"/>
  <c r="R8344" i="1" a="1"/>
  <c r="R8344" i="1" s="1"/>
  <c r="A8347" i="1"/>
  <c r="H8346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8347" i="1" l="1"/>
  <c r="A8348" i="1"/>
  <c r="L8345" i="1" a="1"/>
  <c r="L8345" i="1" s="1"/>
  <c r="Q8345" i="1" a="1"/>
  <c r="Q8345" i="1" s="1"/>
  <c r="M8345" i="1" a="1"/>
  <c r="M8345" i="1" s="1"/>
  <c r="R8345" i="1" a="1"/>
  <c r="R8345" i="1" s="1"/>
  <c r="S8345" i="1" a="1"/>
  <c r="S8345" i="1" s="1"/>
  <c r="I8345" i="1" a="1"/>
  <c r="I8345" i="1" s="1"/>
  <c r="N8345" i="1" a="1"/>
  <c r="N8345" i="1" s="1"/>
  <c r="O8345" i="1" a="1"/>
  <c r="O8345" i="1" s="1"/>
  <c r="B8346" i="1"/>
  <c r="J8345" i="1" a="1"/>
  <c r="J8345" i="1" s="1"/>
  <c r="P8345" i="1" a="1"/>
  <c r="P8345" i="1" s="1"/>
  <c r="K8345" i="1" a="1"/>
  <c r="K8345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8346" i="1" l="1" a="1"/>
  <c r="I8346" i="1" s="1"/>
  <c r="O8346" i="1" a="1"/>
  <c r="O8346" i="1" s="1"/>
  <c r="J8346" i="1" a="1"/>
  <c r="J8346" i="1" s="1"/>
  <c r="B8347" i="1"/>
  <c r="K8346" i="1" a="1"/>
  <c r="K8346" i="1" s="1"/>
  <c r="P8346" i="1" a="1"/>
  <c r="P8346" i="1" s="1"/>
  <c r="L8346" i="1" a="1"/>
  <c r="L8346" i="1" s="1"/>
  <c r="Q8346" i="1" a="1"/>
  <c r="Q8346" i="1" s="1"/>
  <c r="R8346" i="1" a="1"/>
  <c r="R8346" i="1" s="1"/>
  <c r="M8346" i="1" a="1"/>
  <c r="M8346" i="1" s="1"/>
  <c r="S8346" i="1" a="1"/>
  <c r="S8346" i="1" s="1"/>
  <c r="N8346" i="1" a="1"/>
  <c r="N8346" i="1" s="1"/>
  <c r="H8348" i="1"/>
  <c r="A834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H8349" i="1" l="1"/>
  <c r="A8350" i="1"/>
  <c r="B8348" i="1"/>
  <c r="L8347" i="1" a="1"/>
  <c r="L8347" i="1" s="1"/>
  <c r="R8347" i="1" a="1"/>
  <c r="R8347" i="1" s="1"/>
  <c r="M8347" i="1" a="1"/>
  <c r="M8347" i="1" s="1"/>
  <c r="N8347" i="1" a="1"/>
  <c r="N8347" i="1" s="1"/>
  <c r="S8347" i="1" a="1"/>
  <c r="S8347" i="1" s="1"/>
  <c r="I8347" i="1" a="1"/>
  <c r="I8347" i="1" s="1"/>
  <c r="J8347" i="1" a="1"/>
  <c r="J8347" i="1" s="1"/>
  <c r="O8347" i="1" a="1"/>
  <c r="O8347" i="1" s="1"/>
  <c r="K8347" i="1" a="1"/>
  <c r="K8347" i="1" s="1"/>
  <c r="P8347" i="1" a="1"/>
  <c r="P8347" i="1" s="1"/>
  <c r="Q8347" i="1" a="1"/>
  <c r="Q8347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J8348" i="1" l="1" a="1"/>
  <c r="J8348" i="1" s="1"/>
  <c r="O8348" i="1" a="1"/>
  <c r="O8348" i="1" s="1"/>
  <c r="S8348" i="1" a="1"/>
  <c r="S8348" i="1" s="1"/>
  <c r="K8348" i="1" a="1"/>
  <c r="K8348" i="1" s="1"/>
  <c r="L8348" i="1" a="1"/>
  <c r="L8348" i="1" s="1"/>
  <c r="P8348" i="1" a="1"/>
  <c r="P8348" i="1" s="1"/>
  <c r="B8349" i="1"/>
  <c r="M8348" i="1" a="1"/>
  <c r="M8348" i="1" s="1"/>
  <c r="Q8348" i="1" a="1"/>
  <c r="Q8348" i="1" s="1"/>
  <c r="I8348" i="1" a="1"/>
  <c r="I8348" i="1" s="1"/>
  <c r="R8348" i="1" a="1"/>
  <c r="R8348" i="1" s="1"/>
  <c r="N8348" i="1" a="1"/>
  <c r="N8348" i="1" s="1"/>
  <c r="H8350" i="1"/>
  <c r="A8351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8349" i="1" l="1" a="1"/>
  <c r="J8349" i="1" s="1"/>
  <c r="N8349" i="1" a="1"/>
  <c r="N8349" i="1" s="1"/>
  <c r="R8349" i="1" a="1"/>
  <c r="R8349" i="1" s="1"/>
  <c r="K8349" i="1" a="1"/>
  <c r="K8349" i="1" s="1"/>
  <c r="O8349" i="1" a="1"/>
  <c r="O8349" i="1" s="1"/>
  <c r="S8349" i="1" a="1"/>
  <c r="S8349" i="1" s="1"/>
  <c r="Q8349" i="1" a="1"/>
  <c r="Q8349" i="1" s="1"/>
  <c r="I8349" i="1" a="1"/>
  <c r="I8349" i="1" s="1"/>
  <c r="B8350" i="1"/>
  <c r="L8349" i="1" a="1"/>
  <c r="L8349" i="1" s="1"/>
  <c r="M8349" i="1" a="1"/>
  <c r="M8349" i="1" s="1"/>
  <c r="P8349" i="1" a="1"/>
  <c r="P8349" i="1" s="1"/>
  <c r="A8352" i="1"/>
  <c r="H8351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B8351" i="1" l="1"/>
  <c r="I8350" i="1" a="1"/>
  <c r="I8350" i="1" s="1"/>
  <c r="M8350" i="1" a="1"/>
  <c r="M8350" i="1" s="1"/>
  <c r="Q8350" i="1" a="1"/>
  <c r="Q8350" i="1" s="1"/>
  <c r="J8350" i="1" a="1"/>
  <c r="J8350" i="1" s="1"/>
  <c r="N8350" i="1" a="1"/>
  <c r="N8350" i="1" s="1"/>
  <c r="R8350" i="1" a="1"/>
  <c r="R8350" i="1" s="1"/>
  <c r="P8350" i="1" a="1"/>
  <c r="P8350" i="1" s="1"/>
  <c r="S8350" i="1" a="1"/>
  <c r="S8350" i="1" s="1"/>
  <c r="K8350" i="1" a="1"/>
  <c r="K8350" i="1" s="1"/>
  <c r="L8350" i="1" a="1"/>
  <c r="L8350" i="1" s="1"/>
  <c r="O8350" i="1" a="1"/>
  <c r="O8350" i="1" s="1"/>
  <c r="A8353" i="1"/>
  <c r="H8352" i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8353" i="1" l="1"/>
  <c r="A8354" i="1"/>
  <c r="L8351" i="1" a="1"/>
  <c r="L8351" i="1" s="1"/>
  <c r="P8351" i="1" a="1"/>
  <c r="P8351" i="1" s="1"/>
  <c r="B8352" i="1"/>
  <c r="I8351" i="1" a="1"/>
  <c r="I8351" i="1" s="1"/>
  <c r="M8351" i="1" a="1"/>
  <c r="M8351" i="1" s="1"/>
  <c r="Q8351" i="1" a="1"/>
  <c r="Q8351" i="1" s="1"/>
  <c r="N8351" i="1" a="1"/>
  <c r="N8351" i="1" s="1"/>
  <c r="O8351" i="1" a="1"/>
  <c r="O8351" i="1" s="1"/>
  <c r="R8351" i="1" a="1"/>
  <c r="R8351" i="1" s="1"/>
  <c r="J8351" i="1" a="1"/>
  <c r="J8351" i="1" s="1"/>
  <c r="S8351" i="1" a="1"/>
  <c r="S8351" i="1" s="1"/>
  <c r="K8351" i="1" a="1"/>
  <c r="K8351" i="1" s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H8354" i="1" l="1"/>
  <c r="A8355" i="1"/>
  <c r="K8352" i="1" a="1"/>
  <c r="K8352" i="1" s="1"/>
  <c r="O8352" i="1" a="1"/>
  <c r="O8352" i="1" s="1"/>
  <c r="S8352" i="1" a="1"/>
  <c r="S8352" i="1" s="1"/>
  <c r="L8352" i="1" a="1"/>
  <c r="L8352" i="1" s="1"/>
  <c r="P8352" i="1" a="1"/>
  <c r="P8352" i="1" s="1"/>
  <c r="B8353" i="1"/>
  <c r="J8352" i="1" a="1"/>
  <c r="J8352" i="1" s="1"/>
  <c r="M8352" i="1" a="1"/>
  <c r="M8352" i="1" s="1"/>
  <c r="N8352" i="1" a="1"/>
  <c r="N8352" i="1" s="1"/>
  <c r="Q8352" i="1" a="1"/>
  <c r="Q8352" i="1" s="1"/>
  <c r="I8352" i="1" a="1"/>
  <c r="I8352" i="1" s="1"/>
  <c r="R8352" i="1" a="1"/>
  <c r="R8352" i="1" s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8353" i="1" l="1" a="1"/>
  <c r="J8353" i="1" s="1"/>
  <c r="N8353" i="1" a="1"/>
  <c r="N8353" i="1" s="1"/>
  <c r="R8353" i="1" a="1"/>
  <c r="R8353" i="1" s="1"/>
  <c r="K8353" i="1" a="1"/>
  <c r="K8353" i="1" s="1"/>
  <c r="O8353" i="1" a="1"/>
  <c r="O8353" i="1" s="1"/>
  <c r="S8353" i="1" a="1"/>
  <c r="S8353" i="1" s="1"/>
  <c r="I8353" i="1" a="1"/>
  <c r="I8353" i="1" s="1"/>
  <c r="B8354" i="1"/>
  <c r="L8353" i="1" a="1"/>
  <c r="L8353" i="1" s="1"/>
  <c r="M8353" i="1" a="1"/>
  <c r="M8353" i="1" s="1"/>
  <c r="P8353" i="1" a="1"/>
  <c r="P8353" i="1" s="1"/>
  <c r="Q8353" i="1" a="1"/>
  <c r="Q8353" i="1" s="1"/>
  <c r="A8356" i="1"/>
  <c r="H8355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B8355" i="1" l="1"/>
  <c r="I8354" i="1" a="1"/>
  <c r="I8354" i="1" s="1"/>
  <c r="M8354" i="1" a="1"/>
  <c r="M8354" i="1" s="1"/>
  <c r="Q8354" i="1" a="1"/>
  <c r="Q8354" i="1" s="1"/>
  <c r="J8354" i="1" a="1"/>
  <c r="J8354" i="1" s="1"/>
  <c r="N8354" i="1" a="1"/>
  <c r="N8354" i="1" s="1"/>
  <c r="R8354" i="1" a="1"/>
  <c r="R8354" i="1" s="1"/>
  <c r="P8354" i="1" a="1"/>
  <c r="P8354" i="1" s="1"/>
  <c r="S8354" i="1" a="1"/>
  <c r="S8354" i="1" s="1"/>
  <c r="K8354" i="1" a="1"/>
  <c r="K8354" i="1" s="1"/>
  <c r="L8354" i="1" a="1"/>
  <c r="L8354" i="1" s="1"/>
  <c r="O8354" i="1" a="1"/>
  <c r="O8354" i="1" s="1"/>
  <c r="H8356" i="1"/>
  <c r="A8357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H8357" i="1" l="1"/>
  <c r="A8358" i="1"/>
  <c r="L8355" i="1" a="1"/>
  <c r="L8355" i="1" s="1"/>
  <c r="P8355" i="1" a="1"/>
  <c r="P8355" i="1" s="1"/>
  <c r="B8356" i="1"/>
  <c r="I8355" i="1" a="1"/>
  <c r="I8355" i="1" s="1"/>
  <c r="M8355" i="1" a="1"/>
  <c r="M8355" i="1" s="1"/>
  <c r="Q8355" i="1" a="1"/>
  <c r="Q8355" i="1" s="1"/>
  <c r="O8355" i="1" a="1"/>
  <c r="O8355" i="1" s="1"/>
  <c r="R8355" i="1" a="1"/>
  <c r="R8355" i="1" s="1"/>
  <c r="J8355" i="1" a="1"/>
  <c r="J8355" i="1" s="1"/>
  <c r="S8355" i="1" a="1"/>
  <c r="S8355" i="1" s="1"/>
  <c r="K8355" i="1" a="1"/>
  <c r="K8355" i="1" s="1"/>
  <c r="N8355" i="1" a="1"/>
  <c r="N8355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H8358" i="1" l="1"/>
  <c r="A8359" i="1"/>
  <c r="K8356" i="1" a="1"/>
  <c r="K8356" i="1" s="1"/>
  <c r="O8356" i="1" a="1"/>
  <c r="O8356" i="1" s="1"/>
  <c r="S8356" i="1" a="1"/>
  <c r="S8356" i="1" s="1"/>
  <c r="B8357" i="1"/>
  <c r="J8356" i="1" a="1"/>
  <c r="J8356" i="1" s="1"/>
  <c r="R8356" i="1" a="1"/>
  <c r="R8356" i="1" s="1"/>
  <c r="L8356" i="1" a="1"/>
  <c r="L8356" i="1" s="1"/>
  <c r="M8356" i="1" a="1"/>
  <c r="M8356" i="1" s="1"/>
  <c r="N8356" i="1" a="1"/>
  <c r="N8356" i="1" s="1"/>
  <c r="P8356" i="1" a="1"/>
  <c r="P8356" i="1" s="1"/>
  <c r="I8356" i="1" a="1"/>
  <c r="I8356" i="1" s="1"/>
  <c r="Q8356" i="1" a="1"/>
  <c r="Q8356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8357" i="1" l="1" a="1"/>
  <c r="J8357" i="1" s="1"/>
  <c r="N8357" i="1" a="1"/>
  <c r="N8357" i="1" s="1"/>
  <c r="R8357" i="1" a="1"/>
  <c r="R8357" i="1" s="1"/>
  <c r="M8357" i="1" a="1"/>
  <c r="M8357" i="1" s="1"/>
  <c r="O8357" i="1" a="1"/>
  <c r="O8357" i="1" s="1"/>
  <c r="P8357" i="1" a="1"/>
  <c r="P8357" i="1" s="1"/>
  <c r="I8357" i="1" a="1"/>
  <c r="I8357" i="1" s="1"/>
  <c r="Q8357" i="1" a="1"/>
  <c r="Q8357" i="1" s="1"/>
  <c r="K8357" i="1" a="1"/>
  <c r="K8357" i="1" s="1"/>
  <c r="S8357" i="1" a="1"/>
  <c r="S8357" i="1" s="1"/>
  <c r="L8357" i="1" a="1"/>
  <c r="L8357" i="1" s="1"/>
  <c r="B8358" i="1"/>
  <c r="A8360" i="1"/>
  <c r="H8359" i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H8360" i="1" l="1"/>
  <c r="A8361" i="1"/>
  <c r="B8359" i="1"/>
  <c r="I8358" i="1" a="1"/>
  <c r="I8358" i="1" s="1"/>
  <c r="M8358" i="1" a="1"/>
  <c r="M8358" i="1" s="1"/>
  <c r="Q8358" i="1" a="1"/>
  <c r="Q8358" i="1" s="1"/>
  <c r="P8358" i="1" a="1"/>
  <c r="P8358" i="1" s="1"/>
  <c r="J8358" i="1" a="1"/>
  <c r="J8358" i="1" s="1"/>
  <c r="R8358" i="1" a="1"/>
  <c r="R8358" i="1" s="1"/>
  <c r="K8358" i="1" a="1"/>
  <c r="K8358" i="1" s="1"/>
  <c r="S8358" i="1" a="1"/>
  <c r="S8358" i="1" s="1"/>
  <c r="L8358" i="1" a="1"/>
  <c r="L8358" i="1" s="1"/>
  <c r="N8358" i="1" a="1"/>
  <c r="N8358" i="1" s="1"/>
  <c r="O8358" i="1" a="1"/>
  <c r="O8358" i="1" s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8359" i="1" l="1" a="1"/>
  <c r="L8359" i="1" s="1"/>
  <c r="P8359" i="1" a="1"/>
  <c r="P8359" i="1" s="1"/>
  <c r="B8360" i="1"/>
  <c r="K8359" i="1" a="1"/>
  <c r="K8359" i="1" s="1"/>
  <c r="S8359" i="1" a="1"/>
  <c r="S8359" i="1" s="1"/>
  <c r="M8359" i="1" a="1"/>
  <c r="M8359" i="1" s="1"/>
  <c r="N8359" i="1" a="1"/>
  <c r="N8359" i="1" s="1"/>
  <c r="O8359" i="1" a="1"/>
  <c r="O8359" i="1" s="1"/>
  <c r="I8359" i="1" a="1"/>
  <c r="I8359" i="1" s="1"/>
  <c r="Q8359" i="1" a="1"/>
  <c r="Q8359" i="1" s="1"/>
  <c r="J8359" i="1" a="1"/>
  <c r="J8359" i="1" s="1"/>
  <c r="R8359" i="1" a="1"/>
  <c r="R8359" i="1" s="1"/>
  <c r="A8362" i="1"/>
  <c r="H8361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H8362" i="1" l="1"/>
  <c r="A8363" i="1"/>
  <c r="K8360" i="1" a="1"/>
  <c r="K8360" i="1" s="1"/>
  <c r="O8360" i="1" a="1"/>
  <c r="O8360" i="1" s="1"/>
  <c r="S8360" i="1" a="1"/>
  <c r="S8360" i="1" s="1"/>
  <c r="B8361" i="1"/>
  <c r="N8360" i="1" a="1"/>
  <c r="N8360" i="1" s="1"/>
  <c r="P8360" i="1" a="1"/>
  <c r="P8360" i="1" s="1"/>
  <c r="I8360" i="1" a="1"/>
  <c r="I8360" i="1" s="1"/>
  <c r="Q8360" i="1" a="1"/>
  <c r="Q8360" i="1" s="1"/>
  <c r="J8360" i="1" a="1"/>
  <c r="J8360" i="1" s="1"/>
  <c r="R8360" i="1" a="1"/>
  <c r="R8360" i="1" s="1"/>
  <c r="L8360" i="1" a="1"/>
  <c r="L8360" i="1" s="1"/>
  <c r="M8360" i="1" a="1"/>
  <c r="M8360" i="1" s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J8361" i="1" l="1" a="1"/>
  <c r="J8361" i="1" s="1"/>
  <c r="N8361" i="1" a="1"/>
  <c r="N8361" i="1" s="1"/>
  <c r="R8361" i="1" a="1"/>
  <c r="R8361" i="1" s="1"/>
  <c r="I8361" i="1" a="1"/>
  <c r="I8361" i="1" s="1"/>
  <c r="Q8361" i="1" a="1"/>
  <c r="Q8361" i="1" s="1"/>
  <c r="K8361" i="1" a="1"/>
  <c r="K8361" i="1" s="1"/>
  <c r="S8361" i="1" a="1"/>
  <c r="S8361" i="1" s="1"/>
  <c r="L8361" i="1" a="1"/>
  <c r="L8361" i="1" s="1"/>
  <c r="B8362" i="1"/>
  <c r="M8361" i="1" a="1"/>
  <c r="M8361" i="1" s="1"/>
  <c r="O8361" i="1" a="1"/>
  <c r="O8361" i="1" s="1"/>
  <c r="P8361" i="1" a="1"/>
  <c r="P8361" i="1" s="1"/>
  <c r="A8364" i="1"/>
  <c r="H8363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H8364" i="1" l="1"/>
  <c r="A8365" i="1"/>
  <c r="B8363" i="1"/>
  <c r="I8362" i="1" a="1"/>
  <c r="I8362" i="1" s="1"/>
  <c r="M8362" i="1" a="1"/>
  <c r="M8362" i="1" s="1"/>
  <c r="Q8362" i="1" a="1"/>
  <c r="Q8362" i="1" s="1"/>
  <c r="L8362" i="1" a="1"/>
  <c r="L8362" i="1" s="1"/>
  <c r="N8362" i="1" a="1"/>
  <c r="N8362" i="1" s="1"/>
  <c r="O8362" i="1" a="1"/>
  <c r="O8362" i="1" s="1"/>
  <c r="P8362" i="1" a="1"/>
  <c r="P8362" i="1" s="1"/>
  <c r="J8362" i="1" a="1"/>
  <c r="J8362" i="1" s="1"/>
  <c r="R8362" i="1" a="1"/>
  <c r="R8362" i="1" s="1"/>
  <c r="K8362" i="1" a="1"/>
  <c r="K8362" i="1" s="1"/>
  <c r="S8362" i="1" a="1"/>
  <c r="S8362" i="1" s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8363" i="1" l="1" a="1"/>
  <c r="L8363" i="1" s="1"/>
  <c r="P8363" i="1" a="1"/>
  <c r="P8363" i="1" s="1"/>
  <c r="B8364" i="1"/>
  <c r="O8363" i="1" a="1"/>
  <c r="O8363" i="1" s="1"/>
  <c r="I8363" i="1" a="1"/>
  <c r="I8363" i="1" s="1"/>
  <c r="Q8363" i="1" a="1"/>
  <c r="Q8363" i="1" s="1"/>
  <c r="J8363" i="1" a="1"/>
  <c r="J8363" i="1" s="1"/>
  <c r="R8363" i="1" a="1"/>
  <c r="R8363" i="1" s="1"/>
  <c r="K8363" i="1" a="1"/>
  <c r="K8363" i="1" s="1"/>
  <c r="S8363" i="1" a="1"/>
  <c r="S8363" i="1" s="1"/>
  <c r="M8363" i="1" a="1"/>
  <c r="M8363" i="1" s="1"/>
  <c r="N8363" i="1" a="1"/>
  <c r="N8363" i="1" s="1"/>
  <c r="H8365" i="1"/>
  <c r="A8366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8366" i="1" l="1"/>
  <c r="A8367" i="1"/>
  <c r="K8364" i="1" a="1"/>
  <c r="K8364" i="1" s="1"/>
  <c r="O8364" i="1" a="1"/>
  <c r="O8364" i="1" s="1"/>
  <c r="S8364" i="1" a="1"/>
  <c r="S8364" i="1" s="1"/>
  <c r="B8365" i="1"/>
  <c r="J8364" i="1" a="1"/>
  <c r="J8364" i="1" s="1"/>
  <c r="R8364" i="1" a="1"/>
  <c r="R8364" i="1" s="1"/>
  <c r="L8364" i="1" a="1"/>
  <c r="L8364" i="1" s="1"/>
  <c r="M8364" i="1" a="1"/>
  <c r="M8364" i="1" s="1"/>
  <c r="N8364" i="1" a="1"/>
  <c r="N8364" i="1" s="1"/>
  <c r="P8364" i="1" a="1"/>
  <c r="P8364" i="1" s="1"/>
  <c r="I8364" i="1" a="1"/>
  <c r="I8364" i="1" s="1"/>
  <c r="Q8364" i="1" a="1"/>
  <c r="Q8364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J8365" i="1" l="1" a="1"/>
  <c r="J8365" i="1" s="1"/>
  <c r="N8365" i="1" a="1"/>
  <c r="N8365" i="1" s="1"/>
  <c r="R8365" i="1" a="1"/>
  <c r="R8365" i="1" s="1"/>
  <c r="M8365" i="1" a="1"/>
  <c r="M8365" i="1" s="1"/>
  <c r="O8365" i="1" a="1"/>
  <c r="O8365" i="1" s="1"/>
  <c r="P8365" i="1" a="1"/>
  <c r="P8365" i="1" s="1"/>
  <c r="I8365" i="1" a="1"/>
  <c r="I8365" i="1" s="1"/>
  <c r="Q8365" i="1" a="1"/>
  <c r="Q8365" i="1" s="1"/>
  <c r="K8365" i="1" a="1"/>
  <c r="K8365" i="1" s="1"/>
  <c r="S8365" i="1" a="1"/>
  <c r="S8365" i="1" s="1"/>
  <c r="L8365" i="1" a="1"/>
  <c r="L8365" i="1" s="1"/>
  <c r="B8366" i="1"/>
  <c r="A8368" i="1"/>
  <c r="H8367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8368" i="1" l="1"/>
  <c r="A8369" i="1"/>
  <c r="B8367" i="1"/>
  <c r="I8366" i="1" a="1"/>
  <c r="I8366" i="1" s="1"/>
  <c r="M8366" i="1" a="1"/>
  <c r="M8366" i="1" s="1"/>
  <c r="Q8366" i="1" a="1"/>
  <c r="Q8366" i="1" s="1"/>
  <c r="P8366" i="1" a="1"/>
  <c r="P8366" i="1" s="1"/>
  <c r="J8366" i="1" a="1"/>
  <c r="J8366" i="1" s="1"/>
  <c r="R8366" i="1" a="1"/>
  <c r="R8366" i="1" s="1"/>
  <c r="K8366" i="1" a="1"/>
  <c r="K8366" i="1" s="1"/>
  <c r="S8366" i="1" a="1"/>
  <c r="S8366" i="1" s="1"/>
  <c r="L8366" i="1" a="1"/>
  <c r="L8366" i="1" s="1"/>
  <c r="N8366" i="1" a="1"/>
  <c r="N8366" i="1" s="1"/>
  <c r="O8366" i="1" a="1"/>
  <c r="O8366" i="1" s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L8367" i="1" l="1" a="1"/>
  <c r="L8367" i="1" s="1"/>
  <c r="P8367" i="1" a="1"/>
  <c r="P8367" i="1" s="1"/>
  <c r="B8368" i="1"/>
  <c r="K8367" i="1" a="1"/>
  <c r="K8367" i="1" s="1"/>
  <c r="S8367" i="1" a="1"/>
  <c r="S8367" i="1" s="1"/>
  <c r="M8367" i="1" a="1"/>
  <c r="M8367" i="1" s="1"/>
  <c r="N8367" i="1" a="1"/>
  <c r="N8367" i="1" s="1"/>
  <c r="O8367" i="1" a="1"/>
  <c r="O8367" i="1" s="1"/>
  <c r="I8367" i="1" a="1"/>
  <c r="I8367" i="1" s="1"/>
  <c r="Q8367" i="1" a="1"/>
  <c r="Q8367" i="1" s="1"/>
  <c r="J8367" i="1" a="1"/>
  <c r="J8367" i="1" s="1"/>
  <c r="R8367" i="1" a="1"/>
  <c r="R8367" i="1" s="1"/>
  <c r="A8370" i="1"/>
  <c r="H8369" i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H8370" i="1" l="1"/>
  <c r="A8371" i="1"/>
  <c r="K8368" i="1" a="1"/>
  <c r="K8368" i="1" s="1"/>
  <c r="O8368" i="1" a="1"/>
  <c r="O8368" i="1" s="1"/>
  <c r="S8368" i="1" a="1"/>
  <c r="S8368" i="1" s="1"/>
  <c r="B8369" i="1"/>
  <c r="N8368" i="1" a="1"/>
  <c r="N8368" i="1" s="1"/>
  <c r="P8368" i="1" a="1"/>
  <c r="P8368" i="1" s="1"/>
  <c r="I8368" i="1" a="1"/>
  <c r="I8368" i="1" s="1"/>
  <c r="Q8368" i="1" a="1"/>
  <c r="Q8368" i="1" s="1"/>
  <c r="J8368" i="1" a="1"/>
  <c r="J8368" i="1" s="1"/>
  <c r="R8368" i="1" a="1"/>
  <c r="R8368" i="1" s="1"/>
  <c r="L8368" i="1" a="1"/>
  <c r="L8368" i="1" s="1"/>
  <c r="M8368" i="1" a="1"/>
  <c r="M8368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J8369" i="1" l="1" a="1"/>
  <c r="J8369" i="1" s="1"/>
  <c r="N8369" i="1" a="1"/>
  <c r="N8369" i="1" s="1"/>
  <c r="R8369" i="1" a="1"/>
  <c r="R8369" i="1" s="1"/>
  <c r="I8369" i="1" a="1"/>
  <c r="I8369" i="1" s="1"/>
  <c r="Q8369" i="1" a="1"/>
  <c r="Q8369" i="1" s="1"/>
  <c r="K8369" i="1" a="1"/>
  <c r="K8369" i="1" s="1"/>
  <c r="S8369" i="1" a="1"/>
  <c r="S8369" i="1" s="1"/>
  <c r="L8369" i="1" a="1"/>
  <c r="L8369" i="1" s="1"/>
  <c r="B8370" i="1"/>
  <c r="M8369" i="1" a="1"/>
  <c r="M8369" i="1" s="1"/>
  <c r="O8369" i="1" a="1"/>
  <c r="O8369" i="1" s="1"/>
  <c r="P8369" i="1" a="1"/>
  <c r="P8369" i="1" s="1"/>
  <c r="H8371" i="1"/>
  <c r="A837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H8372" i="1" l="1"/>
  <c r="A8373" i="1"/>
  <c r="B8371" i="1"/>
  <c r="I8370" i="1" a="1"/>
  <c r="I8370" i="1" s="1"/>
  <c r="M8370" i="1" a="1"/>
  <c r="M8370" i="1" s="1"/>
  <c r="L8370" i="1" a="1"/>
  <c r="L8370" i="1" s="1"/>
  <c r="N8370" i="1" a="1"/>
  <c r="N8370" i="1" s="1"/>
  <c r="O8370" i="1" a="1"/>
  <c r="O8370" i="1" s="1"/>
  <c r="P8370" i="1" a="1"/>
  <c r="P8370" i="1" s="1"/>
  <c r="J8370" i="1" a="1"/>
  <c r="J8370" i="1" s="1"/>
  <c r="Q8370" i="1" a="1"/>
  <c r="Q8370" i="1" s="1"/>
  <c r="K8370" i="1" a="1"/>
  <c r="K8370" i="1" s="1"/>
  <c r="R8370" i="1" a="1"/>
  <c r="R8370" i="1" s="1"/>
  <c r="S8370" i="1" a="1"/>
  <c r="S8370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B8372" i="1" l="1"/>
  <c r="M8371" i="1" a="1"/>
  <c r="M8371" i="1" s="1"/>
  <c r="S8371" i="1" a="1"/>
  <c r="S8371" i="1" s="1"/>
  <c r="N8371" i="1" a="1"/>
  <c r="N8371" i="1" s="1"/>
  <c r="I8371" i="1" a="1"/>
  <c r="I8371" i="1" s="1"/>
  <c r="O8371" i="1" a="1"/>
  <c r="O8371" i="1" s="1"/>
  <c r="J8371" i="1" a="1"/>
  <c r="J8371" i="1" s="1"/>
  <c r="P8371" i="1" a="1"/>
  <c r="P8371" i="1" s="1"/>
  <c r="Q8371" i="1" a="1"/>
  <c r="Q8371" i="1" s="1"/>
  <c r="K8371" i="1" a="1"/>
  <c r="K8371" i="1" s="1"/>
  <c r="R8371" i="1" a="1"/>
  <c r="R8371" i="1" s="1"/>
  <c r="L8371" i="1" a="1"/>
  <c r="L8371" i="1" s="1"/>
  <c r="A8374" i="1"/>
  <c r="H8373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8374" i="1" l="1"/>
  <c r="A8375" i="1"/>
  <c r="B8373" i="1"/>
  <c r="M8372" i="1" a="1"/>
  <c r="M8372" i="1" s="1"/>
  <c r="S8372" i="1" a="1"/>
  <c r="S8372" i="1" s="1"/>
  <c r="N8372" i="1" a="1"/>
  <c r="N8372" i="1" s="1"/>
  <c r="I8372" i="1" a="1"/>
  <c r="I8372" i="1" s="1"/>
  <c r="O8372" i="1" a="1"/>
  <c r="O8372" i="1" s="1"/>
  <c r="P8372" i="1" a="1"/>
  <c r="P8372" i="1" s="1"/>
  <c r="J8372" i="1" a="1"/>
  <c r="J8372" i="1" s="1"/>
  <c r="Q8372" i="1" a="1"/>
  <c r="Q8372" i="1" s="1"/>
  <c r="K8372" i="1" a="1"/>
  <c r="K8372" i="1" s="1"/>
  <c r="L8372" i="1" a="1"/>
  <c r="L8372" i="1" s="1"/>
  <c r="R8372" i="1" a="1"/>
  <c r="R8372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H8375" i="1" l="1"/>
  <c r="A8376" i="1"/>
  <c r="S8373" i="1" a="1"/>
  <c r="S8373" i="1" s="1"/>
  <c r="M8373" i="1" a="1"/>
  <c r="M8373" i="1" s="1"/>
  <c r="N8373" i="1" a="1"/>
  <c r="N8373" i="1" s="1"/>
  <c r="B8374" i="1"/>
  <c r="O8373" i="1" a="1"/>
  <c r="O8373" i="1" s="1"/>
  <c r="I8373" i="1" a="1"/>
  <c r="I8373" i="1" s="1"/>
  <c r="P8373" i="1" a="1"/>
  <c r="P8373" i="1" s="1"/>
  <c r="J8373" i="1" a="1"/>
  <c r="J8373" i="1" s="1"/>
  <c r="K8373" i="1" a="1"/>
  <c r="K8373" i="1" s="1"/>
  <c r="Q8373" i="1" a="1"/>
  <c r="Q8373" i="1" s="1"/>
  <c r="L8373" i="1" a="1"/>
  <c r="L8373" i="1" s="1"/>
  <c r="R8373" i="1" a="1"/>
  <c r="R8373" i="1" s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B8375" i="1" l="1"/>
  <c r="L8374" i="1" a="1"/>
  <c r="L8374" i="1" s="1"/>
  <c r="S8374" i="1" a="1"/>
  <c r="S8374" i="1" s="1"/>
  <c r="M8374" i="1" a="1"/>
  <c r="M8374" i="1" s="1"/>
  <c r="N8374" i="1" a="1"/>
  <c r="N8374" i="1" s="1"/>
  <c r="O8374" i="1" a="1"/>
  <c r="O8374" i="1" s="1"/>
  <c r="I8374" i="1" a="1"/>
  <c r="I8374" i="1" s="1"/>
  <c r="J8374" i="1" a="1"/>
  <c r="J8374" i="1" s="1"/>
  <c r="P8374" i="1" a="1"/>
  <c r="P8374" i="1" s="1"/>
  <c r="K8374" i="1" a="1"/>
  <c r="K8374" i="1" s="1"/>
  <c r="Q8374" i="1" a="1"/>
  <c r="Q8374" i="1" s="1"/>
  <c r="R8374" i="1" a="1"/>
  <c r="R8374" i="1" s="1"/>
  <c r="H8376" i="1"/>
  <c r="A8377" i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8378" i="1" l="1"/>
  <c r="H8377" i="1"/>
  <c r="B8376" i="1"/>
  <c r="L8375" i="1" a="1"/>
  <c r="L8375" i="1" s="1"/>
  <c r="M8375" i="1" a="1"/>
  <c r="M8375" i="1" s="1"/>
  <c r="S8375" i="1" a="1"/>
  <c r="S8375" i="1" s="1"/>
  <c r="N8375" i="1" a="1"/>
  <c r="N8375" i="1" s="1"/>
  <c r="I8375" i="1" a="1"/>
  <c r="I8375" i="1" s="1"/>
  <c r="O8375" i="1" a="1"/>
  <c r="O8375" i="1" s="1"/>
  <c r="J8375" i="1" a="1"/>
  <c r="J8375" i="1" s="1"/>
  <c r="P8375" i="1" a="1"/>
  <c r="P8375" i="1" s="1"/>
  <c r="Q8375" i="1" a="1"/>
  <c r="Q8375" i="1" s="1"/>
  <c r="R8375" i="1" a="1"/>
  <c r="R8375" i="1" s="1"/>
  <c r="K8375" i="1" a="1"/>
  <c r="K8375" i="1" s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B8377" i="1" l="1"/>
  <c r="L8376" i="1" a="1"/>
  <c r="L8376" i="1" s="1"/>
  <c r="R8376" i="1" a="1"/>
  <c r="R8376" i="1" s="1"/>
  <c r="M8376" i="1" a="1"/>
  <c r="M8376" i="1" s="1"/>
  <c r="S8376" i="1" a="1"/>
  <c r="S8376" i="1" s="1"/>
  <c r="N8376" i="1" a="1"/>
  <c r="N8376" i="1" s="1"/>
  <c r="I8376" i="1" a="1"/>
  <c r="I8376" i="1" s="1"/>
  <c r="O8376" i="1" a="1"/>
  <c r="O8376" i="1" s="1"/>
  <c r="P8376" i="1" a="1"/>
  <c r="P8376" i="1" s="1"/>
  <c r="J8376" i="1" a="1"/>
  <c r="J8376" i="1" s="1"/>
  <c r="Q8376" i="1" a="1"/>
  <c r="Q8376" i="1" s="1"/>
  <c r="K8376" i="1" a="1"/>
  <c r="K8376" i="1" s="1"/>
  <c r="H8378" i="1"/>
  <c r="A8379" i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8379" i="1" l="1"/>
  <c r="A8380" i="1"/>
  <c r="L8377" i="1" a="1"/>
  <c r="L8377" i="1" s="1"/>
  <c r="R8377" i="1" a="1"/>
  <c r="R8377" i="1" s="1"/>
  <c r="S8377" i="1" a="1"/>
  <c r="S8377" i="1" s="1"/>
  <c r="M8377" i="1" a="1"/>
  <c r="M8377" i="1" s="1"/>
  <c r="N8377" i="1" a="1"/>
  <c r="N8377" i="1" s="1"/>
  <c r="B8378" i="1"/>
  <c r="O8377" i="1" a="1"/>
  <c r="O8377" i="1" s="1"/>
  <c r="I8377" i="1" a="1"/>
  <c r="I8377" i="1" s="1"/>
  <c r="P8377" i="1" a="1"/>
  <c r="P8377" i="1" s="1"/>
  <c r="J8377" i="1" a="1"/>
  <c r="J8377" i="1" s="1"/>
  <c r="K8377" i="1" a="1"/>
  <c r="K8377" i="1" s="1"/>
  <c r="Q8377" i="1" a="1"/>
  <c r="Q8377" i="1" s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B8379" i="1" l="1"/>
  <c r="R8378" i="1" a="1"/>
  <c r="R8378" i="1" s="1"/>
  <c r="L8378" i="1" a="1"/>
  <c r="L8378" i="1" s="1"/>
  <c r="S8378" i="1" a="1"/>
  <c r="S8378" i="1" s="1"/>
  <c r="M8378" i="1" a="1"/>
  <c r="M8378" i="1" s="1"/>
  <c r="N8378" i="1" a="1"/>
  <c r="N8378" i="1" s="1"/>
  <c r="O8378" i="1" a="1"/>
  <c r="O8378" i="1" s="1"/>
  <c r="I8378" i="1" a="1"/>
  <c r="I8378" i="1" s="1"/>
  <c r="J8378" i="1" a="1"/>
  <c r="J8378" i="1" s="1"/>
  <c r="P8378" i="1" a="1"/>
  <c r="P8378" i="1" s="1"/>
  <c r="K8378" i="1" a="1"/>
  <c r="K8378" i="1" s="1"/>
  <c r="Q8378" i="1" a="1"/>
  <c r="Q8378" i="1" s="1"/>
  <c r="H8380" i="1"/>
  <c r="A838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8382" i="1" l="1"/>
  <c r="H8381" i="1"/>
  <c r="B8380" i="1"/>
  <c r="K8379" i="1" a="1"/>
  <c r="K8379" i="1" s="1"/>
  <c r="R8379" i="1" a="1"/>
  <c r="R8379" i="1" s="1"/>
  <c r="L8379" i="1" a="1"/>
  <c r="L8379" i="1" s="1"/>
  <c r="M8379" i="1" a="1"/>
  <c r="M8379" i="1" s="1"/>
  <c r="S8379" i="1" a="1"/>
  <c r="S8379" i="1" s="1"/>
  <c r="N8379" i="1" a="1"/>
  <c r="N8379" i="1" s="1"/>
  <c r="J8379" i="1" a="1"/>
  <c r="J8379" i="1" s="1"/>
  <c r="O8379" i="1" a="1"/>
  <c r="O8379" i="1" s="1"/>
  <c r="P8379" i="1" a="1"/>
  <c r="P8379" i="1" s="1"/>
  <c r="Q8379" i="1" a="1"/>
  <c r="Q8379" i="1" s="1"/>
  <c r="I8379" i="1" a="1"/>
  <c r="I8379" i="1" s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K8380" i="1" l="1" a="1"/>
  <c r="K8380" i="1" s="1"/>
  <c r="O8380" i="1" a="1"/>
  <c r="O8380" i="1" s="1"/>
  <c r="S8380" i="1" a="1"/>
  <c r="S8380" i="1" s="1"/>
  <c r="L8380" i="1" a="1"/>
  <c r="L8380" i="1" s="1"/>
  <c r="P8380" i="1" a="1"/>
  <c r="P8380" i="1" s="1"/>
  <c r="B8381" i="1"/>
  <c r="M8380" i="1" a="1"/>
  <c r="M8380" i="1" s="1"/>
  <c r="Q8380" i="1" a="1"/>
  <c r="Q8380" i="1" s="1"/>
  <c r="N8380" i="1" a="1"/>
  <c r="N8380" i="1" s="1"/>
  <c r="R8380" i="1" a="1"/>
  <c r="R8380" i="1" s="1"/>
  <c r="I8380" i="1" a="1"/>
  <c r="I8380" i="1" s="1"/>
  <c r="J8380" i="1" a="1"/>
  <c r="J8380" i="1" s="1"/>
  <c r="H8382" i="1"/>
  <c r="A8383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8384" i="1" l="1"/>
  <c r="H8383" i="1"/>
  <c r="J8381" i="1" a="1"/>
  <c r="J8381" i="1" s="1"/>
  <c r="N8381" i="1" a="1"/>
  <c r="N8381" i="1" s="1"/>
  <c r="R8381" i="1" a="1"/>
  <c r="R8381" i="1" s="1"/>
  <c r="K8381" i="1" a="1"/>
  <c r="K8381" i="1" s="1"/>
  <c r="O8381" i="1" a="1"/>
  <c r="O8381" i="1" s="1"/>
  <c r="S8381" i="1" a="1"/>
  <c r="S8381" i="1" s="1"/>
  <c r="L8381" i="1" a="1"/>
  <c r="L8381" i="1" s="1"/>
  <c r="P8381" i="1" a="1"/>
  <c r="P8381" i="1" s="1"/>
  <c r="M8381" i="1" a="1"/>
  <c r="M8381" i="1" s="1"/>
  <c r="Q8381" i="1" a="1"/>
  <c r="Q8381" i="1" s="1"/>
  <c r="I8381" i="1" a="1"/>
  <c r="I8381" i="1" s="1"/>
  <c r="B8382" i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8382" i="1" l="1" a="1"/>
  <c r="I8382" i="1" s="1"/>
  <c r="M8382" i="1" a="1"/>
  <c r="M8382" i="1" s="1"/>
  <c r="Q8382" i="1" a="1"/>
  <c r="Q8382" i="1" s="1"/>
  <c r="J8382" i="1" a="1"/>
  <c r="J8382" i="1" s="1"/>
  <c r="N8382" i="1" a="1"/>
  <c r="N8382" i="1" s="1"/>
  <c r="R8382" i="1" a="1"/>
  <c r="R8382" i="1" s="1"/>
  <c r="K8382" i="1" a="1"/>
  <c r="K8382" i="1" s="1"/>
  <c r="O8382" i="1" a="1"/>
  <c r="O8382" i="1" s="1"/>
  <c r="S8382" i="1" a="1"/>
  <c r="S8382" i="1" s="1"/>
  <c r="B8383" i="1"/>
  <c r="L8382" i="1" a="1"/>
  <c r="L8382" i="1" s="1"/>
  <c r="P8382" i="1" a="1"/>
  <c r="P8382" i="1" s="1"/>
  <c r="A8385" i="1"/>
  <c r="H8384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8386" i="1" l="1"/>
  <c r="H8385" i="1"/>
  <c r="L8383" i="1" a="1"/>
  <c r="L8383" i="1" s="1"/>
  <c r="P8383" i="1" a="1"/>
  <c r="P8383" i="1" s="1"/>
  <c r="B8384" i="1"/>
  <c r="I8383" i="1" a="1"/>
  <c r="I8383" i="1" s="1"/>
  <c r="M8383" i="1" a="1"/>
  <c r="M8383" i="1" s="1"/>
  <c r="Q8383" i="1" a="1"/>
  <c r="Q8383" i="1" s="1"/>
  <c r="J8383" i="1" a="1"/>
  <c r="J8383" i="1" s="1"/>
  <c r="N8383" i="1" a="1"/>
  <c r="N8383" i="1" s="1"/>
  <c r="R8383" i="1" a="1"/>
  <c r="R8383" i="1" s="1"/>
  <c r="S8383" i="1" a="1"/>
  <c r="S8383" i="1" s="1"/>
  <c r="K8383" i="1" a="1"/>
  <c r="K8383" i="1" s="1"/>
  <c r="O8383" i="1" a="1"/>
  <c r="O8383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K8384" i="1" l="1" a="1"/>
  <c r="K8384" i="1" s="1"/>
  <c r="O8384" i="1" a="1"/>
  <c r="O8384" i="1" s="1"/>
  <c r="S8384" i="1" a="1"/>
  <c r="S8384" i="1" s="1"/>
  <c r="L8384" i="1" a="1"/>
  <c r="L8384" i="1" s="1"/>
  <c r="P8384" i="1" a="1"/>
  <c r="P8384" i="1" s="1"/>
  <c r="B8385" i="1"/>
  <c r="I8384" i="1" a="1"/>
  <c r="I8384" i="1" s="1"/>
  <c r="M8384" i="1" a="1"/>
  <c r="M8384" i="1" s="1"/>
  <c r="Q8384" i="1" a="1"/>
  <c r="Q8384" i="1" s="1"/>
  <c r="N8384" i="1" a="1"/>
  <c r="N8384" i="1" s="1"/>
  <c r="R8384" i="1" a="1"/>
  <c r="R8384" i="1" s="1"/>
  <c r="J8384" i="1" a="1"/>
  <c r="J8384" i="1" s="1"/>
  <c r="H8386" i="1"/>
  <c r="A838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8388" i="1" l="1"/>
  <c r="H8387" i="1"/>
  <c r="J8385" i="1" a="1"/>
  <c r="J8385" i="1" s="1"/>
  <c r="N8385" i="1" a="1"/>
  <c r="N8385" i="1" s="1"/>
  <c r="R8385" i="1" a="1"/>
  <c r="R8385" i="1" s="1"/>
  <c r="K8385" i="1" a="1"/>
  <c r="K8385" i="1" s="1"/>
  <c r="O8385" i="1" a="1"/>
  <c r="O8385" i="1" s="1"/>
  <c r="S8385" i="1" a="1"/>
  <c r="S8385" i="1" s="1"/>
  <c r="L8385" i="1" a="1"/>
  <c r="L8385" i="1" s="1"/>
  <c r="P8385" i="1" a="1"/>
  <c r="P8385" i="1" s="1"/>
  <c r="M8385" i="1" a="1"/>
  <c r="M8385" i="1" s="1"/>
  <c r="Q8385" i="1" a="1"/>
  <c r="Q8385" i="1" s="1"/>
  <c r="I8385" i="1" a="1"/>
  <c r="I8385" i="1" s="1"/>
  <c r="B8386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I8386" i="1" l="1" a="1"/>
  <c r="I8386" i="1" s="1"/>
  <c r="M8386" i="1" a="1"/>
  <c r="M8386" i="1" s="1"/>
  <c r="Q8386" i="1" a="1"/>
  <c r="Q8386" i="1" s="1"/>
  <c r="J8386" i="1" a="1"/>
  <c r="J8386" i="1" s="1"/>
  <c r="N8386" i="1" a="1"/>
  <c r="N8386" i="1" s="1"/>
  <c r="R8386" i="1" a="1"/>
  <c r="R8386" i="1" s="1"/>
  <c r="K8386" i="1" a="1"/>
  <c r="K8386" i="1" s="1"/>
  <c r="O8386" i="1" a="1"/>
  <c r="O8386" i="1" s="1"/>
  <c r="S8386" i="1" a="1"/>
  <c r="S8386" i="1" s="1"/>
  <c r="B8387" i="1"/>
  <c r="L8386" i="1" a="1"/>
  <c r="L8386" i="1" s="1"/>
  <c r="P8386" i="1" a="1"/>
  <c r="P8386" i="1" s="1"/>
  <c r="A8389" i="1"/>
  <c r="H8388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8390" i="1" l="1"/>
  <c r="H8389" i="1"/>
  <c r="L8387" i="1" a="1"/>
  <c r="L8387" i="1" s="1"/>
  <c r="P8387" i="1" a="1"/>
  <c r="P8387" i="1" s="1"/>
  <c r="B8388" i="1"/>
  <c r="I8387" i="1" a="1"/>
  <c r="I8387" i="1" s="1"/>
  <c r="M8387" i="1" a="1"/>
  <c r="M8387" i="1" s="1"/>
  <c r="Q8387" i="1" a="1"/>
  <c r="Q8387" i="1" s="1"/>
  <c r="J8387" i="1" a="1"/>
  <c r="J8387" i="1" s="1"/>
  <c r="N8387" i="1" a="1"/>
  <c r="N8387" i="1" s="1"/>
  <c r="R8387" i="1" a="1"/>
  <c r="R8387" i="1" s="1"/>
  <c r="S8387" i="1" a="1"/>
  <c r="S8387" i="1" s="1"/>
  <c r="K8387" i="1" a="1"/>
  <c r="K8387" i="1" s="1"/>
  <c r="O8387" i="1" a="1"/>
  <c r="O8387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K8388" i="1" l="1" a="1"/>
  <c r="K8388" i="1" s="1"/>
  <c r="O8388" i="1" a="1"/>
  <c r="O8388" i="1" s="1"/>
  <c r="S8388" i="1" a="1"/>
  <c r="S8388" i="1" s="1"/>
  <c r="L8388" i="1" a="1"/>
  <c r="L8388" i="1" s="1"/>
  <c r="P8388" i="1" a="1"/>
  <c r="P8388" i="1" s="1"/>
  <c r="B8389" i="1"/>
  <c r="I8388" i="1" a="1"/>
  <c r="I8388" i="1" s="1"/>
  <c r="M8388" i="1" a="1"/>
  <c r="M8388" i="1" s="1"/>
  <c r="Q8388" i="1" a="1"/>
  <c r="Q8388" i="1" s="1"/>
  <c r="R8388" i="1" a="1"/>
  <c r="R8388" i="1" s="1"/>
  <c r="J8388" i="1" a="1"/>
  <c r="J8388" i="1" s="1"/>
  <c r="N8388" i="1" a="1"/>
  <c r="N8388" i="1" s="1"/>
  <c r="H8390" i="1"/>
  <c r="A8391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8392" i="1" l="1"/>
  <c r="H8391" i="1"/>
  <c r="J8389" i="1" a="1"/>
  <c r="J8389" i="1" s="1"/>
  <c r="N8389" i="1" a="1"/>
  <c r="N8389" i="1" s="1"/>
  <c r="R8389" i="1" a="1"/>
  <c r="R8389" i="1" s="1"/>
  <c r="K8389" i="1" a="1"/>
  <c r="K8389" i="1" s="1"/>
  <c r="O8389" i="1" a="1"/>
  <c r="O8389" i="1" s="1"/>
  <c r="S8389" i="1" a="1"/>
  <c r="S8389" i="1" s="1"/>
  <c r="L8389" i="1" a="1"/>
  <c r="L8389" i="1" s="1"/>
  <c r="P8389" i="1" a="1"/>
  <c r="P8389" i="1" s="1"/>
  <c r="M8389" i="1" a="1"/>
  <c r="M8389" i="1" s="1"/>
  <c r="Q8389" i="1" a="1"/>
  <c r="Q8389" i="1" s="1"/>
  <c r="I8389" i="1" a="1"/>
  <c r="I8389" i="1" s="1"/>
  <c r="B8390" i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I8390" i="1" l="1" a="1"/>
  <c r="I8390" i="1" s="1"/>
  <c r="M8390" i="1" a="1"/>
  <c r="M8390" i="1" s="1"/>
  <c r="Q8390" i="1" a="1"/>
  <c r="Q8390" i="1" s="1"/>
  <c r="J8390" i="1" a="1"/>
  <c r="J8390" i="1" s="1"/>
  <c r="N8390" i="1" a="1"/>
  <c r="N8390" i="1" s="1"/>
  <c r="R8390" i="1" a="1"/>
  <c r="R8390" i="1" s="1"/>
  <c r="K8390" i="1" a="1"/>
  <c r="K8390" i="1" s="1"/>
  <c r="O8390" i="1" a="1"/>
  <c r="O8390" i="1" s="1"/>
  <c r="S8390" i="1" a="1"/>
  <c r="S8390" i="1" s="1"/>
  <c r="B8391" i="1"/>
  <c r="L8390" i="1" a="1"/>
  <c r="L8390" i="1" s="1"/>
  <c r="P8390" i="1" a="1"/>
  <c r="P8390" i="1" s="1"/>
  <c r="A8393" i="1"/>
  <c r="H8392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8394" i="1" l="1"/>
  <c r="H8393" i="1"/>
  <c r="L8391" i="1" a="1"/>
  <c r="L8391" i="1" s="1"/>
  <c r="P8391" i="1" a="1"/>
  <c r="P8391" i="1" s="1"/>
  <c r="B8392" i="1"/>
  <c r="I8391" i="1" a="1"/>
  <c r="I8391" i="1" s="1"/>
  <c r="M8391" i="1" a="1"/>
  <c r="M8391" i="1" s="1"/>
  <c r="Q8391" i="1" a="1"/>
  <c r="Q8391" i="1" s="1"/>
  <c r="J8391" i="1" a="1"/>
  <c r="J8391" i="1" s="1"/>
  <c r="N8391" i="1" a="1"/>
  <c r="N8391" i="1" s="1"/>
  <c r="R8391" i="1" a="1"/>
  <c r="R8391" i="1" s="1"/>
  <c r="S8391" i="1" a="1"/>
  <c r="S8391" i="1" s="1"/>
  <c r="K8391" i="1" a="1"/>
  <c r="K8391" i="1" s="1"/>
  <c r="O8391" i="1" a="1"/>
  <c r="O8391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K8392" i="1" l="1" a="1"/>
  <c r="K8392" i="1" s="1"/>
  <c r="O8392" i="1" a="1"/>
  <c r="O8392" i="1" s="1"/>
  <c r="S8392" i="1" a="1"/>
  <c r="S8392" i="1" s="1"/>
  <c r="L8392" i="1" a="1"/>
  <c r="L8392" i="1" s="1"/>
  <c r="P8392" i="1" a="1"/>
  <c r="P8392" i="1" s="1"/>
  <c r="B8393" i="1"/>
  <c r="I8392" i="1" a="1"/>
  <c r="I8392" i="1" s="1"/>
  <c r="M8392" i="1" a="1"/>
  <c r="M8392" i="1" s="1"/>
  <c r="Q8392" i="1" a="1"/>
  <c r="Q8392" i="1" s="1"/>
  <c r="R8392" i="1" a="1"/>
  <c r="R8392" i="1" s="1"/>
  <c r="J8392" i="1" a="1"/>
  <c r="J8392" i="1" s="1"/>
  <c r="N8392" i="1" a="1"/>
  <c r="N8392" i="1" s="1"/>
  <c r="H8394" i="1"/>
  <c r="A839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8396" i="1" l="1"/>
  <c r="H8395" i="1"/>
  <c r="J8393" i="1" a="1"/>
  <c r="J8393" i="1" s="1"/>
  <c r="N8393" i="1" a="1"/>
  <c r="N8393" i="1" s="1"/>
  <c r="R8393" i="1" a="1"/>
  <c r="R8393" i="1" s="1"/>
  <c r="K8393" i="1" a="1"/>
  <c r="K8393" i="1" s="1"/>
  <c r="O8393" i="1" a="1"/>
  <c r="O8393" i="1" s="1"/>
  <c r="S8393" i="1" a="1"/>
  <c r="S8393" i="1" s="1"/>
  <c r="L8393" i="1" a="1"/>
  <c r="L8393" i="1" s="1"/>
  <c r="P8393" i="1" a="1"/>
  <c r="P8393" i="1" s="1"/>
  <c r="Q8393" i="1" a="1"/>
  <c r="Q8393" i="1" s="1"/>
  <c r="I8393" i="1" a="1"/>
  <c r="I8393" i="1" s="1"/>
  <c r="B8394" i="1"/>
  <c r="M8393" i="1" a="1"/>
  <c r="M8393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I8394" i="1" l="1" a="1"/>
  <c r="I8394" i="1" s="1"/>
  <c r="M8394" i="1" a="1"/>
  <c r="M8394" i="1" s="1"/>
  <c r="Q8394" i="1" a="1"/>
  <c r="Q8394" i="1" s="1"/>
  <c r="J8394" i="1" a="1"/>
  <c r="J8394" i="1" s="1"/>
  <c r="N8394" i="1" a="1"/>
  <c r="N8394" i="1" s="1"/>
  <c r="R8394" i="1" a="1"/>
  <c r="R8394" i="1" s="1"/>
  <c r="K8394" i="1" a="1"/>
  <c r="K8394" i="1" s="1"/>
  <c r="O8394" i="1" a="1"/>
  <c r="O8394" i="1" s="1"/>
  <c r="S8394" i="1" a="1"/>
  <c r="S8394" i="1" s="1"/>
  <c r="L8394" i="1" a="1"/>
  <c r="L8394" i="1" s="1"/>
  <c r="P8394" i="1" a="1"/>
  <c r="P8394" i="1" s="1"/>
  <c r="B8395" i="1"/>
  <c r="A8397" i="1"/>
  <c r="H8396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8398" i="1" l="1"/>
  <c r="H8397" i="1"/>
  <c r="L8395" i="1" a="1"/>
  <c r="L8395" i="1" s="1"/>
  <c r="P8395" i="1" a="1"/>
  <c r="P8395" i="1" s="1"/>
  <c r="B8396" i="1"/>
  <c r="I8395" i="1" a="1"/>
  <c r="I8395" i="1" s="1"/>
  <c r="M8395" i="1" a="1"/>
  <c r="M8395" i="1" s="1"/>
  <c r="Q8395" i="1" a="1"/>
  <c r="Q8395" i="1" s="1"/>
  <c r="J8395" i="1" a="1"/>
  <c r="J8395" i="1" s="1"/>
  <c r="N8395" i="1" a="1"/>
  <c r="N8395" i="1" s="1"/>
  <c r="R8395" i="1" a="1"/>
  <c r="R8395" i="1" s="1"/>
  <c r="K8395" i="1" a="1"/>
  <c r="K8395" i="1" s="1"/>
  <c r="O8395" i="1" a="1"/>
  <c r="O8395" i="1" s="1"/>
  <c r="S8395" i="1" a="1"/>
  <c r="S8395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K8396" i="1" l="1" a="1"/>
  <c r="K8396" i="1" s="1"/>
  <c r="O8396" i="1" a="1"/>
  <c r="O8396" i="1" s="1"/>
  <c r="S8396" i="1" a="1"/>
  <c r="S8396" i="1" s="1"/>
  <c r="L8396" i="1" a="1"/>
  <c r="L8396" i="1" s="1"/>
  <c r="P8396" i="1" a="1"/>
  <c r="P8396" i="1" s="1"/>
  <c r="B8397" i="1"/>
  <c r="I8396" i="1" a="1"/>
  <c r="I8396" i="1" s="1"/>
  <c r="M8396" i="1" a="1"/>
  <c r="M8396" i="1" s="1"/>
  <c r="Q8396" i="1" a="1"/>
  <c r="Q8396" i="1" s="1"/>
  <c r="R8396" i="1" a="1"/>
  <c r="R8396" i="1" s="1"/>
  <c r="J8396" i="1" a="1"/>
  <c r="J8396" i="1" s="1"/>
  <c r="N8396" i="1" a="1"/>
  <c r="N8396" i="1" s="1"/>
  <c r="H8398" i="1"/>
  <c r="A839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J8397" i="1" l="1" a="1"/>
  <c r="J8397" i="1" s="1"/>
  <c r="N8397" i="1" a="1"/>
  <c r="N8397" i="1" s="1"/>
  <c r="R8397" i="1" a="1"/>
  <c r="R8397" i="1" s="1"/>
  <c r="K8397" i="1" a="1"/>
  <c r="K8397" i="1" s="1"/>
  <c r="O8397" i="1" a="1"/>
  <c r="O8397" i="1" s="1"/>
  <c r="S8397" i="1" a="1"/>
  <c r="S8397" i="1" s="1"/>
  <c r="L8397" i="1" a="1"/>
  <c r="L8397" i="1" s="1"/>
  <c r="P8397" i="1" a="1"/>
  <c r="P8397" i="1" s="1"/>
  <c r="Q8397" i="1" a="1"/>
  <c r="Q8397" i="1" s="1"/>
  <c r="I8397" i="1" a="1"/>
  <c r="I8397" i="1" s="1"/>
  <c r="B8398" i="1"/>
  <c r="M8397" i="1" a="1"/>
  <c r="M8397" i="1" s="1"/>
  <c r="A8400" i="1"/>
  <c r="H8399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8400" i="1" l="1"/>
  <c r="A8401" i="1"/>
  <c r="I8398" i="1" a="1"/>
  <c r="I8398" i="1" s="1"/>
  <c r="M8398" i="1" a="1"/>
  <c r="M8398" i="1" s="1"/>
  <c r="Q8398" i="1" a="1"/>
  <c r="Q8398" i="1" s="1"/>
  <c r="J8398" i="1" a="1"/>
  <c r="J8398" i="1" s="1"/>
  <c r="N8398" i="1" a="1"/>
  <c r="N8398" i="1" s="1"/>
  <c r="R8398" i="1" a="1"/>
  <c r="R8398" i="1" s="1"/>
  <c r="K8398" i="1" a="1"/>
  <c r="K8398" i="1" s="1"/>
  <c r="O8398" i="1" a="1"/>
  <c r="O8398" i="1" s="1"/>
  <c r="S8398" i="1" a="1"/>
  <c r="S8398" i="1" s="1"/>
  <c r="P8398" i="1" a="1"/>
  <c r="P8398" i="1" s="1"/>
  <c r="B8399" i="1"/>
  <c r="L8398" i="1" a="1"/>
  <c r="L8398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A8402" i="1" l="1"/>
  <c r="H8401" i="1"/>
  <c r="L8399" i="1" a="1"/>
  <c r="L8399" i="1" s="1"/>
  <c r="P8399" i="1" a="1"/>
  <c r="P8399" i="1" s="1"/>
  <c r="B8400" i="1"/>
  <c r="I8399" i="1" a="1"/>
  <c r="I8399" i="1" s="1"/>
  <c r="M8399" i="1" a="1"/>
  <c r="M8399" i="1" s="1"/>
  <c r="J8399" i="1" a="1"/>
  <c r="J8399" i="1" s="1"/>
  <c r="N8399" i="1" a="1"/>
  <c r="N8399" i="1" s="1"/>
  <c r="R8399" i="1" a="1"/>
  <c r="R8399" i="1" s="1"/>
  <c r="K8399" i="1" a="1"/>
  <c r="K8399" i="1" s="1"/>
  <c r="O8399" i="1" a="1"/>
  <c r="O8399" i="1" s="1"/>
  <c r="Q8399" i="1" a="1"/>
  <c r="Q8399" i="1" s="1"/>
  <c r="S8399" i="1" a="1"/>
  <c r="S8399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K8400" i="1" l="1" a="1"/>
  <c r="K8400" i="1" s="1"/>
  <c r="O8400" i="1" a="1"/>
  <c r="O8400" i="1" s="1"/>
  <c r="S8400" i="1" a="1"/>
  <c r="S8400" i="1" s="1"/>
  <c r="B8401" i="1"/>
  <c r="I8400" i="1" a="1"/>
  <c r="I8400" i="1" s="1"/>
  <c r="M8400" i="1" a="1"/>
  <c r="M8400" i="1" s="1"/>
  <c r="Q8400" i="1" a="1"/>
  <c r="Q8400" i="1" s="1"/>
  <c r="P8400" i="1" a="1"/>
  <c r="P8400" i="1" s="1"/>
  <c r="J8400" i="1" a="1"/>
  <c r="J8400" i="1" s="1"/>
  <c r="R8400" i="1" a="1"/>
  <c r="R8400" i="1" s="1"/>
  <c r="L8400" i="1" a="1"/>
  <c r="L8400" i="1" s="1"/>
  <c r="N8400" i="1" a="1"/>
  <c r="N8400" i="1" s="1"/>
  <c r="H8402" i="1"/>
  <c r="A8403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8404" i="1" l="1"/>
  <c r="H8403" i="1"/>
  <c r="J8401" i="1" a="1"/>
  <c r="J8401" i="1" s="1"/>
  <c r="N8401" i="1" a="1"/>
  <c r="N8401" i="1" s="1"/>
  <c r="R8401" i="1" a="1"/>
  <c r="R8401" i="1" s="1"/>
  <c r="L8401" i="1" a="1"/>
  <c r="L8401" i="1" s="1"/>
  <c r="P8401" i="1" a="1"/>
  <c r="P8401" i="1" s="1"/>
  <c r="K8401" i="1" a="1"/>
  <c r="K8401" i="1" s="1"/>
  <c r="S8401" i="1" a="1"/>
  <c r="S8401" i="1" s="1"/>
  <c r="B8402" i="1"/>
  <c r="M8401" i="1" a="1"/>
  <c r="M8401" i="1" s="1"/>
  <c r="O8401" i="1" a="1"/>
  <c r="O8401" i="1" s="1"/>
  <c r="I8401" i="1" a="1"/>
  <c r="I8401" i="1" s="1"/>
  <c r="Q8401" i="1" a="1"/>
  <c r="Q8401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I8402" i="1" l="1" a="1"/>
  <c r="I8402" i="1" s="1"/>
  <c r="M8402" i="1" a="1"/>
  <c r="M8402" i="1" s="1"/>
  <c r="Q8402" i="1" a="1"/>
  <c r="Q8402" i="1" s="1"/>
  <c r="K8402" i="1" a="1"/>
  <c r="K8402" i="1" s="1"/>
  <c r="O8402" i="1" a="1"/>
  <c r="O8402" i="1" s="1"/>
  <c r="S8402" i="1" a="1"/>
  <c r="S8402" i="1" s="1"/>
  <c r="B8403" i="1"/>
  <c r="N8402" i="1" a="1"/>
  <c r="N8402" i="1" s="1"/>
  <c r="P8402" i="1" a="1"/>
  <c r="P8402" i="1" s="1"/>
  <c r="J8402" i="1" a="1"/>
  <c r="J8402" i="1" s="1"/>
  <c r="R8402" i="1" a="1"/>
  <c r="R8402" i="1" s="1"/>
  <c r="L8402" i="1" a="1"/>
  <c r="L8402" i="1" s="1"/>
  <c r="H8404" i="1"/>
  <c r="A8405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8406" i="1" l="1"/>
  <c r="H8405" i="1"/>
  <c r="L8403" i="1" a="1"/>
  <c r="L8403" i="1" s="1"/>
  <c r="P8403" i="1" a="1"/>
  <c r="P8403" i="1" s="1"/>
  <c r="B8404" i="1"/>
  <c r="J8403" i="1" a="1"/>
  <c r="J8403" i="1" s="1"/>
  <c r="N8403" i="1" a="1"/>
  <c r="N8403" i="1" s="1"/>
  <c r="R8403" i="1" a="1"/>
  <c r="R8403" i="1" s="1"/>
  <c r="I8403" i="1" a="1"/>
  <c r="I8403" i="1" s="1"/>
  <c r="Q8403" i="1" a="1"/>
  <c r="Q8403" i="1" s="1"/>
  <c r="K8403" i="1" a="1"/>
  <c r="K8403" i="1" s="1"/>
  <c r="S8403" i="1" a="1"/>
  <c r="S8403" i="1" s="1"/>
  <c r="M8403" i="1" a="1"/>
  <c r="M8403" i="1" s="1"/>
  <c r="O8403" i="1" a="1"/>
  <c r="O8403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K8404" i="1" l="1" a="1"/>
  <c r="K8404" i="1" s="1"/>
  <c r="O8404" i="1" a="1"/>
  <c r="O8404" i="1" s="1"/>
  <c r="S8404" i="1" a="1"/>
  <c r="S8404" i="1" s="1"/>
  <c r="B8405" i="1"/>
  <c r="I8404" i="1" a="1"/>
  <c r="I8404" i="1" s="1"/>
  <c r="M8404" i="1" a="1"/>
  <c r="M8404" i="1" s="1"/>
  <c r="Q8404" i="1" a="1"/>
  <c r="Q8404" i="1" s="1"/>
  <c r="L8404" i="1" a="1"/>
  <c r="L8404" i="1" s="1"/>
  <c r="N8404" i="1" a="1"/>
  <c r="N8404" i="1" s="1"/>
  <c r="P8404" i="1" a="1"/>
  <c r="P8404" i="1" s="1"/>
  <c r="J8404" i="1" a="1"/>
  <c r="J8404" i="1" s="1"/>
  <c r="R8404" i="1" a="1"/>
  <c r="R8404" i="1" s="1"/>
  <c r="H8406" i="1"/>
  <c r="A840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8405" i="1" l="1" a="1"/>
  <c r="J8405" i="1" s="1"/>
  <c r="N8405" i="1" a="1"/>
  <c r="N8405" i="1" s="1"/>
  <c r="R8405" i="1" a="1"/>
  <c r="R8405" i="1" s="1"/>
  <c r="L8405" i="1" a="1"/>
  <c r="L8405" i="1" s="1"/>
  <c r="P8405" i="1" a="1"/>
  <c r="P8405" i="1" s="1"/>
  <c r="O8405" i="1" a="1"/>
  <c r="O8405" i="1" s="1"/>
  <c r="I8405" i="1" a="1"/>
  <c r="I8405" i="1" s="1"/>
  <c r="Q8405" i="1" a="1"/>
  <c r="Q8405" i="1" s="1"/>
  <c r="K8405" i="1" a="1"/>
  <c r="K8405" i="1" s="1"/>
  <c r="S8405" i="1" a="1"/>
  <c r="S8405" i="1" s="1"/>
  <c r="B8406" i="1"/>
  <c r="M8405" i="1" a="1"/>
  <c r="M8405" i="1" s="1"/>
  <c r="A8408" i="1"/>
  <c r="H8407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I8406" i="1" l="1" a="1"/>
  <c r="I8406" i="1" s="1"/>
  <c r="M8406" i="1" a="1"/>
  <c r="M8406" i="1" s="1"/>
  <c r="Q8406" i="1" a="1"/>
  <c r="Q8406" i="1" s="1"/>
  <c r="K8406" i="1" a="1"/>
  <c r="K8406" i="1" s="1"/>
  <c r="O8406" i="1" a="1"/>
  <c r="O8406" i="1" s="1"/>
  <c r="S8406" i="1" a="1"/>
  <c r="S8406" i="1" s="1"/>
  <c r="J8406" i="1" a="1"/>
  <c r="J8406" i="1" s="1"/>
  <c r="R8406" i="1" a="1"/>
  <c r="R8406" i="1" s="1"/>
  <c r="L8406" i="1" a="1"/>
  <c r="L8406" i="1" s="1"/>
  <c r="B8407" i="1"/>
  <c r="N8406" i="1" a="1"/>
  <c r="N8406" i="1" s="1"/>
  <c r="P8406" i="1" a="1"/>
  <c r="P8406" i="1" s="1"/>
  <c r="H8408" i="1"/>
  <c r="A8409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8409" i="1" l="1"/>
  <c r="A8410" i="1"/>
  <c r="L8407" i="1" a="1"/>
  <c r="L8407" i="1" s="1"/>
  <c r="P8407" i="1" a="1"/>
  <c r="P8407" i="1" s="1"/>
  <c r="B8408" i="1"/>
  <c r="J8407" i="1" a="1"/>
  <c r="J8407" i="1" s="1"/>
  <c r="N8407" i="1" a="1"/>
  <c r="N8407" i="1" s="1"/>
  <c r="R8407" i="1" a="1"/>
  <c r="R8407" i="1" s="1"/>
  <c r="M8407" i="1" a="1"/>
  <c r="M8407" i="1" s="1"/>
  <c r="O8407" i="1" a="1"/>
  <c r="O8407" i="1" s="1"/>
  <c r="I8407" i="1" a="1"/>
  <c r="I8407" i="1" s="1"/>
  <c r="Q8407" i="1" a="1"/>
  <c r="Q8407" i="1" s="1"/>
  <c r="K8407" i="1" a="1"/>
  <c r="K8407" i="1" s="1"/>
  <c r="S8407" i="1" a="1"/>
  <c r="S8407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K8408" i="1" l="1" a="1"/>
  <c r="K8408" i="1" s="1"/>
  <c r="B8409" i="1"/>
  <c r="I8408" i="1" a="1"/>
  <c r="I8408" i="1" s="1"/>
  <c r="M8408" i="1" a="1"/>
  <c r="M8408" i="1" s="1"/>
  <c r="Q8408" i="1" a="1"/>
  <c r="Q8408" i="1" s="1"/>
  <c r="O8408" i="1" a="1"/>
  <c r="O8408" i="1" s="1"/>
  <c r="P8408" i="1" a="1"/>
  <c r="P8408" i="1" s="1"/>
  <c r="J8408" i="1" a="1"/>
  <c r="J8408" i="1" s="1"/>
  <c r="R8408" i="1" a="1"/>
  <c r="R8408" i="1" s="1"/>
  <c r="L8408" i="1" a="1"/>
  <c r="L8408" i="1" s="1"/>
  <c r="S8408" i="1" a="1"/>
  <c r="S8408" i="1" s="1"/>
  <c r="N8408" i="1" a="1"/>
  <c r="N8408" i="1" s="1"/>
  <c r="H8410" i="1"/>
  <c r="A841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8411" i="1" l="1"/>
  <c r="A8412" i="1"/>
  <c r="L8409" i="1" a="1"/>
  <c r="L8409" i="1" s="1"/>
  <c r="N8409" i="1" a="1"/>
  <c r="N8409" i="1" s="1"/>
  <c r="I8409" i="1" a="1"/>
  <c r="I8409" i="1" s="1"/>
  <c r="O8409" i="1" a="1"/>
  <c r="O8409" i="1" s="1"/>
  <c r="B8410" i="1"/>
  <c r="P8409" i="1" a="1"/>
  <c r="P8409" i="1" s="1"/>
  <c r="J8409" i="1" a="1"/>
  <c r="J8409" i="1" s="1"/>
  <c r="K8409" i="1" a="1"/>
  <c r="K8409" i="1" s="1"/>
  <c r="Q8409" i="1" a="1"/>
  <c r="Q8409" i="1" s="1"/>
  <c r="M8409" i="1" a="1"/>
  <c r="M8409" i="1" s="1"/>
  <c r="R8409" i="1" a="1"/>
  <c r="R8409" i="1" s="1"/>
  <c r="S8409" i="1" a="1"/>
  <c r="S8409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L8410" i="1" l="1" a="1"/>
  <c r="L8410" i="1" s="1"/>
  <c r="Q8410" i="1" a="1"/>
  <c r="Q8410" i="1" s="1"/>
  <c r="M8410" i="1" a="1"/>
  <c r="M8410" i="1" s="1"/>
  <c r="R8410" i="1" a="1"/>
  <c r="R8410" i="1" s="1"/>
  <c r="N8410" i="1" a="1"/>
  <c r="N8410" i="1" s="1"/>
  <c r="I8410" i="1" a="1"/>
  <c r="I8410" i="1" s="1"/>
  <c r="S8410" i="1" a="1"/>
  <c r="S8410" i="1" s="1"/>
  <c r="J8410" i="1" a="1"/>
  <c r="J8410" i="1" s="1"/>
  <c r="O8410" i="1" a="1"/>
  <c r="O8410" i="1" s="1"/>
  <c r="K8410" i="1" a="1"/>
  <c r="K8410" i="1" s="1"/>
  <c r="P8410" i="1" a="1"/>
  <c r="P8410" i="1" s="1"/>
  <c r="B8411" i="1"/>
  <c r="A8413" i="1"/>
  <c r="H8412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8414" i="1" l="1"/>
  <c r="H8413" i="1"/>
  <c r="B8412" i="1"/>
  <c r="M8411" i="1" a="1"/>
  <c r="M8411" i="1" s="1"/>
  <c r="I8411" i="1" a="1"/>
  <c r="I8411" i="1" s="1"/>
  <c r="R8411" i="1" a="1"/>
  <c r="R8411" i="1" s="1"/>
  <c r="N8411" i="1" a="1"/>
  <c r="N8411" i="1" s="1"/>
  <c r="J8411" i="1" a="1"/>
  <c r="J8411" i="1" s="1"/>
  <c r="S8411" i="1" a="1"/>
  <c r="S8411" i="1" s="1"/>
  <c r="O8411" i="1" a="1"/>
  <c r="O8411" i="1" s="1"/>
  <c r="K8411" i="1" a="1"/>
  <c r="K8411" i="1" s="1"/>
  <c r="P8411" i="1" a="1"/>
  <c r="P8411" i="1" s="1"/>
  <c r="L8411" i="1" a="1"/>
  <c r="L8411" i="1" s="1"/>
  <c r="Q8411" i="1" a="1"/>
  <c r="Q8411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8412" i="1" l="1" a="1"/>
  <c r="I8412" i="1" s="1"/>
  <c r="R8412" i="1" a="1"/>
  <c r="R8412" i="1" s="1"/>
  <c r="N8412" i="1" a="1"/>
  <c r="N8412" i="1" s="1"/>
  <c r="J8412" i="1" a="1"/>
  <c r="J8412" i="1" s="1"/>
  <c r="S8412" i="1" a="1"/>
  <c r="S8412" i="1" s="1"/>
  <c r="O8412" i="1" a="1"/>
  <c r="O8412" i="1" s="1"/>
  <c r="K8412" i="1" a="1"/>
  <c r="K8412" i="1" s="1"/>
  <c r="P8412" i="1" a="1"/>
  <c r="P8412" i="1" s="1"/>
  <c r="B8413" i="1"/>
  <c r="L8412" i="1" a="1"/>
  <c r="L8412" i="1" s="1"/>
  <c r="Q8412" i="1" a="1"/>
  <c r="Q8412" i="1" s="1"/>
  <c r="M8412" i="1" a="1"/>
  <c r="M8412" i="1" s="1"/>
  <c r="A8415" i="1"/>
  <c r="H8414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8416" i="1" l="1"/>
  <c r="H8415" i="1"/>
  <c r="N8413" i="1" a="1"/>
  <c r="N8413" i="1" s="1"/>
  <c r="S8413" i="1" a="1"/>
  <c r="S8413" i="1" s="1"/>
  <c r="J8413" i="1" a="1"/>
  <c r="J8413" i="1" s="1"/>
  <c r="O8413" i="1" a="1"/>
  <c r="O8413" i="1" s="1"/>
  <c r="K8413" i="1" a="1"/>
  <c r="K8413" i="1" s="1"/>
  <c r="P8413" i="1" a="1"/>
  <c r="P8413" i="1" s="1"/>
  <c r="B8414" i="1"/>
  <c r="L8413" i="1" a="1"/>
  <c r="L8413" i="1" s="1"/>
  <c r="Q8413" i="1" a="1"/>
  <c r="Q8413" i="1" s="1"/>
  <c r="M8413" i="1" a="1"/>
  <c r="M8413" i="1" s="1"/>
  <c r="I8413" i="1" a="1"/>
  <c r="I8413" i="1" s="1"/>
  <c r="R8413" i="1" a="1"/>
  <c r="R8413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J8414" i="1" l="1" a="1"/>
  <c r="J8414" i="1" s="1"/>
  <c r="N8414" i="1" a="1"/>
  <c r="N8414" i="1" s="1"/>
  <c r="R8414" i="1" a="1"/>
  <c r="R8414" i="1" s="1"/>
  <c r="K8414" i="1" a="1"/>
  <c r="K8414" i="1" s="1"/>
  <c r="O8414" i="1" a="1"/>
  <c r="O8414" i="1" s="1"/>
  <c r="S8414" i="1" a="1"/>
  <c r="S8414" i="1" s="1"/>
  <c r="L8414" i="1" a="1"/>
  <c r="L8414" i="1" s="1"/>
  <c r="P8414" i="1" a="1"/>
  <c r="P8414" i="1" s="1"/>
  <c r="B8415" i="1"/>
  <c r="I8414" i="1" a="1"/>
  <c r="I8414" i="1" s="1"/>
  <c r="M8414" i="1" a="1"/>
  <c r="M8414" i="1" s="1"/>
  <c r="Q8414" i="1" a="1"/>
  <c r="Q8414" i="1" s="1"/>
  <c r="A8417" i="1"/>
  <c r="H8416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8418" i="1" l="1"/>
  <c r="H8417" i="1"/>
  <c r="I8415" i="1" a="1"/>
  <c r="I8415" i="1" s="1"/>
  <c r="M8415" i="1" a="1"/>
  <c r="M8415" i="1" s="1"/>
  <c r="Q8415" i="1" a="1"/>
  <c r="Q8415" i="1" s="1"/>
  <c r="J8415" i="1" a="1"/>
  <c r="J8415" i="1" s="1"/>
  <c r="N8415" i="1" a="1"/>
  <c r="N8415" i="1" s="1"/>
  <c r="R8415" i="1" a="1"/>
  <c r="R8415" i="1" s="1"/>
  <c r="K8415" i="1" a="1"/>
  <c r="K8415" i="1" s="1"/>
  <c r="O8415" i="1" a="1"/>
  <c r="O8415" i="1" s="1"/>
  <c r="S8415" i="1" a="1"/>
  <c r="S8415" i="1" s="1"/>
  <c r="L8415" i="1" a="1"/>
  <c r="L8415" i="1" s="1"/>
  <c r="P8415" i="1" a="1"/>
  <c r="P8415" i="1" s="1"/>
  <c r="B8416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8416" i="1" l="1" a="1"/>
  <c r="L8416" i="1" s="1"/>
  <c r="P8416" i="1" a="1"/>
  <c r="P8416" i="1" s="1"/>
  <c r="B8417" i="1"/>
  <c r="I8416" i="1" a="1"/>
  <c r="I8416" i="1" s="1"/>
  <c r="M8416" i="1" a="1"/>
  <c r="M8416" i="1" s="1"/>
  <c r="Q8416" i="1" a="1"/>
  <c r="Q8416" i="1" s="1"/>
  <c r="J8416" i="1" a="1"/>
  <c r="J8416" i="1" s="1"/>
  <c r="N8416" i="1" a="1"/>
  <c r="N8416" i="1" s="1"/>
  <c r="R8416" i="1" a="1"/>
  <c r="R8416" i="1" s="1"/>
  <c r="K8416" i="1" a="1"/>
  <c r="K8416" i="1" s="1"/>
  <c r="O8416" i="1" a="1"/>
  <c r="O8416" i="1" s="1"/>
  <c r="S8416" i="1" a="1"/>
  <c r="S8416" i="1" s="1"/>
  <c r="A8419" i="1"/>
  <c r="H8418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8420" i="1" l="1"/>
  <c r="H8419" i="1"/>
  <c r="K8417" i="1" a="1"/>
  <c r="K8417" i="1" s="1"/>
  <c r="O8417" i="1" a="1"/>
  <c r="O8417" i="1" s="1"/>
  <c r="S8417" i="1" a="1"/>
  <c r="S8417" i="1" s="1"/>
  <c r="L8417" i="1" a="1"/>
  <c r="L8417" i="1" s="1"/>
  <c r="P8417" i="1" a="1"/>
  <c r="P8417" i="1" s="1"/>
  <c r="B8418" i="1"/>
  <c r="I8417" i="1" a="1"/>
  <c r="I8417" i="1" s="1"/>
  <c r="M8417" i="1" a="1"/>
  <c r="M8417" i="1" s="1"/>
  <c r="Q8417" i="1" a="1"/>
  <c r="Q8417" i="1" s="1"/>
  <c r="J8417" i="1" a="1"/>
  <c r="J8417" i="1" s="1"/>
  <c r="N8417" i="1" a="1"/>
  <c r="N8417" i="1" s="1"/>
  <c r="R8417" i="1" a="1"/>
  <c r="R8417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J8418" i="1" l="1" a="1"/>
  <c r="J8418" i="1" s="1"/>
  <c r="N8418" i="1" a="1"/>
  <c r="N8418" i="1" s="1"/>
  <c r="R8418" i="1" a="1"/>
  <c r="R8418" i="1" s="1"/>
  <c r="K8418" i="1" a="1"/>
  <c r="K8418" i="1" s="1"/>
  <c r="O8418" i="1" a="1"/>
  <c r="O8418" i="1" s="1"/>
  <c r="S8418" i="1" a="1"/>
  <c r="S8418" i="1" s="1"/>
  <c r="L8418" i="1" a="1"/>
  <c r="L8418" i="1" s="1"/>
  <c r="P8418" i="1" a="1"/>
  <c r="P8418" i="1" s="1"/>
  <c r="B8419" i="1"/>
  <c r="I8418" i="1" a="1"/>
  <c r="I8418" i="1" s="1"/>
  <c r="M8418" i="1" a="1"/>
  <c r="M8418" i="1" s="1"/>
  <c r="Q8418" i="1" a="1"/>
  <c r="Q8418" i="1" s="1"/>
  <c r="A8421" i="1"/>
  <c r="H8420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I8419" i="1" l="1" a="1"/>
  <c r="I8419" i="1" s="1"/>
  <c r="M8419" i="1" a="1"/>
  <c r="M8419" i="1" s="1"/>
  <c r="Q8419" i="1" a="1"/>
  <c r="Q8419" i="1" s="1"/>
  <c r="J8419" i="1" a="1"/>
  <c r="J8419" i="1" s="1"/>
  <c r="N8419" i="1" a="1"/>
  <c r="N8419" i="1" s="1"/>
  <c r="R8419" i="1" a="1"/>
  <c r="R8419" i="1" s="1"/>
  <c r="K8419" i="1" a="1"/>
  <c r="K8419" i="1" s="1"/>
  <c r="O8419" i="1" a="1"/>
  <c r="O8419" i="1" s="1"/>
  <c r="S8419" i="1" a="1"/>
  <c r="S8419" i="1" s="1"/>
  <c r="L8419" i="1" a="1"/>
  <c r="L8419" i="1" s="1"/>
  <c r="P8419" i="1" a="1"/>
  <c r="P8419" i="1" s="1"/>
  <c r="B8420" i="1"/>
  <c r="A8422" i="1"/>
  <c r="H8421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L8420" i="1" l="1" a="1"/>
  <c r="L8420" i="1" s="1"/>
  <c r="P8420" i="1" a="1"/>
  <c r="P8420" i="1" s="1"/>
  <c r="B8421" i="1"/>
  <c r="I8420" i="1" a="1"/>
  <c r="I8420" i="1" s="1"/>
  <c r="M8420" i="1" a="1"/>
  <c r="M8420" i="1" s="1"/>
  <c r="Q8420" i="1" a="1"/>
  <c r="Q8420" i="1" s="1"/>
  <c r="J8420" i="1" a="1"/>
  <c r="J8420" i="1" s="1"/>
  <c r="N8420" i="1" a="1"/>
  <c r="N8420" i="1" s="1"/>
  <c r="R8420" i="1" a="1"/>
  <c r="R8420" i="1" s="1"/>
  <c r="K8420" i="1" a="1"/>
  <c r="K8420" i="1" s="1"/>
  <c r="O8420" i="1" a="1"/>
  <c r="O8420" i="1" s="1"/>
  <c r="S8420" i="1" a="1"/>
  <c r="S8420" i="1" s="1"/>
  <c r="H8422" i="1"/>
  <c r="A8423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H8423" i="1" l="1"/>
  <c r="A8424" i="1"/>
  <c r="K8421" i="1" a="1"/>
  <c r="K8421" i="1" s="1"/>
  <c r="O8421" i="1" a="1"/>
  <c r="O8421" i="1" s="1"/>
  <c r="S8421" i="1" a="1"/>
  <c r="S8421" i="1" s="1"/>
  <c r="L8421" i="1" a="1"/>
  <c r="L8421" i="1" s="1"/>
  <c r="P8421" i="1" a="1"/>
  <c r="P8421" i="1" s="1"/>
  <c r="B8422" i="1"/>
  <c r="I8421" i="1" a="1"/>
  <c r="I8421" i="1" s="1"/>
  <c r="M8421" i="1" a="1"/>
  <c r="M8421" i="1" s="1"/>
  <c r="J8421" i="1" a="1"/>
  <c r="J8421" i="1" s="1"/>
  <c r="N8421" i="1" a="1"/>
  <c r="N8421" i="1" s="1"/>
  <c r="Q8421" i="1" a="1"/>
  <c r="Q8421" i="1" s="1"/>
  <c r="R8421" i="1" a="1"/>
  <c r="R8421" i="1" s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J8422" i="1" l="1" a="1"/>
  <c r="J8422" i="1" s="1"/>
  <c r="N8422" i="1" a="1"/>
  <c r="N8422" i="1" s="1"/>
  <c r="R8422" i="1" a="1"/>
  <c r="R8422" i="1" s="1"/>
  <c r="K8422" i="1" a="1"/>
  <c r="K8422" i="1" s="1"/>
  <c r="O8422" i="1" a="1"/>
  <c r="O8422" i="1" s="1"/>
  <c r="S8422" i="1" a="1"/>
  <c r="S8422" i="1" s="1"/>
  <c r="B8423" i="1"/>
  <c r="Q8422" i="1" a="1"/>
  <c r="Q8422" i="1" s="1"/>
  <c r="I8422" i="1" a="1"/>
  <c r="I8422" i="1" s="1"/>
  <c r="L8422" i="1" a="1"/>
  <c r="L8422" i="1" s="1"/>
  <c r="M8422" i="1" a="1"/>
  <c r="M8422" i="1" s="1"/>
  <c r="P8422" i="1" a="1"/>
  <c r="P8422" i="1" s="1"/>
  <c r="A8425" i="1"/>
  <c r="H8424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8423" i="1" l="1" a="1"/>
  <c r="I8423" i="1" s="1"/>
  <c r="M8423" i="1" a="1"/>
  <c r="M8423" i="1" s="1"/>
  <c r="Q8423" i="1" a="1"/>
  <c r="Q8423" i="1" s="1"/>
  <c r="J8423" i="1" a="1"/>
  <c r="J8423" i="1" s="1"/>
  <c r="N8423" i="1" a="1"/>
  <c r="N8423" i="1" s="1"/>
  <c r="R8423" i="1" a="1"/>
  <c r="R8423" i="1" s="1"/>
  <c r="O8423" i="1" a="1"/>
  <c r="O8423" i="1" s="1"/>
  <c r="P8423" i="1" a="1"/>
  <c r="P8423" i="1" s="1"/>
  <c r="S8423" i="1" a="1"/>
  <c r="S8423" i="1" s="1"/>
  <c r="K8423" i="1" a="1"/>
  <c r="K8423" i="1" s="1"/>
  <c r="B8424" i="1"/>
  <c r="L8423" i="1" a="1"/>
  <c r="L8423" i="1" s="1"/>
  <c r="A8426" i="1"/>
  <c r="H8425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8426" i="1" l="1"/>
  <c r="A8427" i="1"/>
  <c r="L8424" i="1" a="1"/>
  <c r="L8424" i="1" s="1"/>
  <c r="P8424" i="1" a="1"/>
  <c r="P8424" i="1" s="1"/>
  <c r="B8425" i="1"/>
  <c r="I8424" i="1" a="1"/>
  <c r="I8424" i="1" s="1"/>
  <c r="M8424" i="1" a="1"/>
  <c r="M8424" i="1" s="1"/>
  <c r="Q8424" i="1" a="1"/>
  <c r="Q8424" i="1" s="1"/>
  <c r="N8424" i="1" a="1"/>
  <c r="N8424" i="1" s="1"/>
  <c r="O8424" i="1" a="1"/>
  <c r="O8424" i="1" s="1"/>
  <c r="R8424" i="1" a="1"/>
  <c r="R8424" i="1" s="1"/>
  <c r="S8424" i="1" a="1"/>
  <c r="S8424" i="1" s="1"/>
  <c r="J8424" i="1" a="1"/>
  <c r="J8424" i="1" s="1"/>
  <c r="K8424" i="1" a="1"/>
  <c r="K8424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K8425" i="1" l="1" a="1"/>
  <c r="K8425" i="1" s="1"/>
  <c r="O8425" i="1" a="1"/>
  <c r="O8425" i="1" s="1"/>
  <c r="S8425" i="1" a="1"/>
  <c r="S8425" i="1" s="1"/>
  <c r="L8425" i="1" a="1"/>
  <c r="L8425" i="1" s="1"/>
  <c r="P8425" i="1" a="1"/>
  <c r="P8425" i="1" s="1"/>
  <c r="B8426" i="1"/>
  <c r="J8425" i="1" a="1"/>
  <c r="J8425" i="1" s="1"/>
  <c r="M8425" i="1" a="1"/>
  <c r="M8425" i="1" s="1"/>
  <c r="N8425" i="1" a="1"/>
  <c r="N8425" i="1" s="1"/>
  <c r="Q8425" i="1" a="1"/>
  <c r="Q8425" i="1" s="1"/>
  <c r="R8425" i="1" a="1"/>
  <c r="R8425" i="1" s="1"/>
  <c r="I8425" i="1" a="1"/>
  <c r="I8425" i="1" s="1"/>
  <c r="H8427" i="1"/>
  <c r="A8428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8429" i="1" l="1"/>
  <c r="H8428" i="1"/>
  <c r="J8426" i="1" a="1"/>
  <c r="J8426" i="1" s="1"/>
  <c r="N8426" i="1" a="1"/>
  <c r="N8426" i="1" s="1"/>
  <c r="R8426" i="1" a="1"/>
  <c r="R8426" i="1" s="1"/>
  <c r="K8426" i="1" a="1"/>
  <c r="K8426" i="1" s="1"/>
  <c r="O8426" i="1" a="1"/>
  <c r="O8426" i="1" s="1"/>
  <c r="S8426" i="1" a="1"/>
  <c r="S8426" i="1" s="1"/>
  <c r="B8427" i="1"/>
  <c r="I8426" i="1" a="1"/>
  <c r="I8426" i="1" s="1"/>
  <c r="L8426" i="1" a="1"/>
  <c r="L8426" i="1" s="1"/>
  <c r="M8426" i="1" a="1"/>
  <c r="M8426" i="1" s="1"/>
  <c r="P8426" i="1" a="1"/>
  <c r="P8426" i="1" s="1"/>
  <c r="Q8426" i="1" a="1"/>
  <c r="Q8426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I8427" i="1" l="1" a="1"/>
  <c r="I8427" i="1" s="1"/>
  <c r="M8427" i="1" a="1"/>
  <c r="M8427" i="1" s="1"/>
  <c r="Q8427" i="1" a="1"/>
  <c r="Q8427" i="1" s="1"/>
  <c r="J8427" i="1" a="1"/>
  <c r="J8427" i="1" s="1"/>
  <c r="N8427" i="1" a="1"/>
  <c r="N8427" i="1" s="1"/>
  <c r="R8427" i="1" a="1"/>
  <c r="R8427" i="1" s="1"/>
  <c r="P8427" i="1" a="1"/>
  <c r="P8427" i="1" s="1"/>
  <c r="S8427" i="1" a="1"/>
  <c r="S8427" i="1" s="1"/>
  <c r="K8427" i="1" a="1"/>
  <c r="K8427" i="1" s="1"/>
  <c r="B8428" i="1"/>
  <c r="L8427" i="1" a="1"/>
  <c r="L8427" i="1" s="1"/>
  <c r="O8427" i="1" a="1"/>
  <c r="O8427" i="1" s="1"/>
  <c r="H8429" i="1"/>
  <c r="A8430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8428" i="1" l="1" a="1"/>
  <c r="L8428" i="1" s="1"/>
  <c r="P8428" i="1" a="1"/>
  <c r="P8428" i="1" s="1"/>
  <c r="B8429" i="1"/>
  <c r="I8428" i="1" a="1"/>
  <c r="I8428" i="1" s="1"/>
  <c r="M8428" i="1" a="1"/>
  <c r="M8428" i="1" s="1"/>
  <c r="Q8428" i="1" a="1"/>
  <c r="Q8428" i="1" s="1"/>
  <c r="N8428" i="1" a="1"/>
  <c r="N8428" i="1" s="1"/>
  <c r="O8428" i="1" a="1"/>
  <c r="O8428" i="1" s="1"/>
  <c r="R8428" i="1" a="1"/>
  <c r="R8428" i="1" s="1"/>
  <c r="S8428" i="1" a="1"/>
  <c r="S8428" i="1" s="1"/>
  <c r="J8428" i="1" a="1"/>
  <c r="J8428" i="1" s="1"/>
  <c r="K8428" i="1" a="1"/>
  <c r="K8428" i="1" s="1"/>
  <c r="A8431" i="1"/>
  <c r="H8430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A8432" i="1" l="1"/>
  <c r="H8431" i="1"/>
  <c r="K8429" i="1" a="1"/>
  <c r="K8429" i="1" s="1"/>
  <c r="O8429" i="1" a="1"/>
  <c r="O8429" i="1" s="1"/>
  <c r="S8429" i="1" a="1"/>
  <c r="S8429" i="1" s="1"/>
  <c r="L8429" i="1" a="1"/>
  <c r="L8429" i="1" s="1"/>
  <c r="B8430" i="1"/>
  <c r="J8429" i="1" a="1"/>
  <c r="J8429" i="1" s="1"/>
  <c r="R8429" i="1" a="1"/>
  <c r="R8429" i="1" s="1"/>
  <c r="M8429" i="1" a="1"/>
  <c r="M8429" i="1" s="1"/>
  <c r="N8429" i="1" a="1"/>
  <c r="N8429" i="1" s="1"/>
  <c r="I8429" i="1" a="1"/>
  <c r="I8429" i="1" s="1"/>
  <c r="P8429" i="1" a="1"/>
  <c r="P8429" i="1" s="1"/>
  <c r="Q8429" i="1" a="1"/>
  <c r="Q8429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J8430" i="1" l="1" a="1"/>
  <c r="J8430" i="1" s="1"/>
  <c r="N8430" i="1" a="1"/>
  <c r="N8430" i="1" s="1"/>
  <c r="K8430" i="1" a="1"/>
  <c r="K8430" i="1" s="1"/>
  <c r="Q8430" i="1" a="1"/>
  <c r="Q8430" i="1" s="1"/>
  <c r="L8430" i="1" a="1"/>
  <c r="L8430" i="1" s="1"/>
  <c r="R8430" i="1" a="1"/>
  <c r="R8430" i="1" s="1"/>
  <c r="M8430" i="1" a="1"/>
  <c r="M8430" i="1" s="1"/>
  <c r="S8430" i="1" a="1"/>
  <c r="S8430" i="1" s="1"/>
  <c r="O8430" i="1" a="1"/>
  <c r="O8430" i="1" s="1"/>
  <c r="B8431" i="1"/>
  <c r="I8430" i="1" a="1"/>
  <c r="I8430" i="1" s="1"/>
  <c r="P8430" i="1" a="1"/>
  <c r="P8430" i="1" s="1"/>
  <c r="A8433" i="1"/>
  <c r="H8432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8433" i="1" l="1"/>
  <c r="A8434" i="1"/>
  <c r="I8431" i="1" a="1"/>
  <c r="I8431" i="1" s="1"/>
  <c r="O8431" i="1" a="1"/>
  <c r="O8431" i="1" s="1"/>
  <c r="J8431" i="1" a="1"/>
  <c r="J8431" i="1" s="1"/>
  <c r="K8431" i="1" a="1"/>
  <c r="K8431" i="1" s="1"/>
  <c r="P8431" i="1" a="1"/>
  <c r="P8431" i="1" s="1"/>
  <c r="B8432" i="1"/>
  <c r="L8431" i="1" a="1"/>
  <c r="L8431" i="1" s="1"/>
  <c r="Q8431" i="1" a="1"/>
  <c r="Q8431" i="1" s="1"/>
  <c r="R8431" i="1" a="1"/>
  <c r="R8431" i="1" s="1"/>
  <c r="M8431" i="1" a="1"/>
  <c r="M8431" i="1" s="1"/>
  <c r="N8431" i="1" a="1"/>
  <c r="N8431" i="1" s="1"/>
  <c r="S8431" i="1" a="1"/>
  <c r="S8431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K8432" i="1" l="1" a="1"/>
  <c r="K8432" i="1" s="1"/>
  <c r="O8432" i="1" a="1"/>
  <c r="O8432" i="1" s="1"/>
  <c r="S8432" i="1" a="1"/>
  <c r="S8432" i="1" s="1"/>
  <c r="L8432" i="1" a="1"/>
  <c r="L8432" i="1" s="1"/>
  <c r="P8432" i="1" a="1"/>
  <c r="P8432" i="1" s="1"/>
  <c r="B8433" i="1"/>
  <c r="I8432" i="1" a="1"/>
  <c r="I8432" i="1" s="1"/>
  <c r="M8432" i="1" a="1"/>
  <c r="M8432" i="1" s="1"/>
  <c r="R8432" i="1" a="1"/>
  <c r="R8432" i="1" s="1"/>
  <c r="J8432" i="1" a="1"/>
  <c r="J8432" i="1" s="1"/>
  <c r="N8432" i="1" a="1"/>
  <c r="N8432" i="1" s="1"/>
  <c r="Q8432" i="1" a="1"/>
  <c r="Q8432" i="1" s="1"/>
  <c r="H8434" i="1"/>
  <c r="A8435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8436" i="1" l="1"/>
  <c r="H8435" i="1"/>
  <c r="J8433" i="1" a="1"/>
  <c r="J8433" i="1" s="1"/>
  <c r="N8433" i="1" a="1"/>
  <c r="N8433" i="1" s="1"/>
  <c r="R8433" i="1" a="1"/>
  <c r="R8433" i="1" s="1"/>
  <c r="K8433" i="1" a="1"/>
  <c r="K8433" i="1" s="1"/>
  <c r="O8433" i="1" a="1"/>
  <c r="O8433" i="1" s="1"/>
  <c r="S8433" i="1" a="1"/>
  <c r="S8433" i="1" s="1"/>
  <c r="Q8433" i="1" a="1"/>
  <c r="Q8433" i="1" s="1"/>
  <c r="I8433" i="1" a="1"/>
  <c r="I8433" i="1" s="1"/>
  <c r="B8434" i="1"/>
  <c r="L8433" i="1" a="1"/>
  <c r="L8433" i="1" s="1"/>
  <c r="M8433" i="1" a="1"/>
  <c r="M8433" i="1" s="1"/>
  <c r="P8433" i="1" a="1"/>
  <c r="P8433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8435" i="1" l="1"/>
  <c r="I8434" i="1" a="1"/>
  <c r="I8434" i="1" s="1"/>
  <c r="M8434" i="1" a="1"/>
  <c r="M8434" i="1" s="1"/>
  <c r="Q8434" i="1" a="1"/>
  <c r="Q8434" i="1" s="1"/>
  <c r="J8434" i="1" a="1"/>
  <c r="J8434" i="1" s="1"/>
  <c r="N8434" i="1" a="1"/>
  <c r="N8434" i="1" s="1"/>
  <c r="R8434" i="1" a="1"/>
  <c r="R8434" i="1" s="1"/>
  <c r="O8434" i="1" a="1"/>
  <c r="O8434" i="1" s="1"/>
  <c r="P8434" i="1" a="1"/>
  <c r="P8434" i="1" s="1"/>
  <c r="S8434" i="1" a="1"/>
  <c r="S8434" i="1" s="1"/>
  <c r="K8434" i="1" a="1"/>
  <c r="K8434" i="1" s="1"/>
  <c r="L8434" i="1" a="1"/>
  <c r="L8434" i="1" s="1"/>
  <c r="A8437" i="1"/>
  <c r="H8436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8437" i="1" l="1"/>
  <c r="A8438" i="1"/>
  <c r="L8435" i="1" a="1"/>
  <c r="L8435" i="1" s="1"/>
  <c r="P8435" i="1" a="1"/>
  <c r="P8435" i="1" s="1"/>
  <c r="B8436" i="1"/>
  <c r="I8435" i="1" a="1"/>
  <c r="I8435" i="1" s="1"/>
  <c r="M8435" i="1" a="1"/>
  <c r="M8435" i="1" s="1"/>
  <c r="Q8435" i="1" a="1"/>
  <c r="Q8435" i="1" s="1"/>
  <c r="K8435" i="1" a="1"/>
  <c r="K8435" i="1" s="1"/>
  <c r="N8435" i="1" a="1"/>
  <c r="N8435" i="1" s="1"/>
  <c r="O8435" i="1" a="1"/>
  <c r="O8435" i="1" s="1"/>
  <c r="R8435" i="1" a="1"/>
  <c r="R8435" i="1" s="1"/>
  <c r="J8435" i="1" a="1"/>
  <c r="J8435" i="1" s="1"/>
  <c r="S8435" i="1" a="1"/>
  <c r="S8435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K8436" i="1" l="1" a="1"/>
  <c r="K8436" i="1" s="1"/>
  <c r="O8436" i="1" a="1"/>
  <c r="O8436" i="1" s="1"/>
  <c r="S8436" i="1" a="1"/>
  <c r="S8436" i="1" s="1"/>
  <c r="L8436" i="1" a="1"/>
  <c r="L8436" i="1" s="1"/>
  <c r="P8436" i="1" a="1"/>
  <c r="P8436" i="1" s="1"/>
  <c r="B8437" i="1"/>
  <c r="J8436" i="1" a="1"/>
  <c r="J8436" i="1" s="1"/>
  <c r="M8436" i="1" a="1"/>
  <c r="M8436" i="1" s="1"/>
  <c r="N8436" i="1" a="1"/>
  <c r="N8436" i="1" s="1"/>
  <c r="Q8436" i="1" a="1"/>
  <c r="Q8436" i="1" s="1"/>
  <c r="I8436" i="1" a="1"/>
  <c r="I8436" i="1" s="1"/>
  <c r="R8436" i="1" a="1"/>
  <c r="R8436" i="1" s="1"/>
  <c r="H8438" i="1"/>
  <c r="A843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8440" i="1" l="1"/>
  <c r="H8439" i="1"/>
  <c r="J8437" i="1" a="1"/>
  <c r="J8437" i="1" s="1"/>
  <c r="N8437" i="1" a="1"/>
  <c r="N8437" i="1" s="1"/>
  <c r="R8437" i="1" a="1"/>
  <c r="R8437" i="1" s="1"/>
  <c r="K8437" i="1" a="1"/>
  <c r="K8437" i="1" s="1"/>
  <c r="O8437" i="1" a="1"/>
  <c r="O8437" i="1" s="1"/>
  <c r="S8437" i="1" a="1"/>
  <c r="S8437" i="1" s="1"/>
  <c r="Q8437" i="1" a="1"/>
  <c r="Q8437" i="1" s="1"/>
  <c r="I8437" i="1" a="1"/>
  <c r="I8437" i="1" s="1"/>
  <c r="B8438" i="1"/>
  <c r="L8437" i="1" a="1"/>
  <c r="L8437" i="1" s="1"/>
  <c r="M8437" i="1" a="1"/>
  <c r="M8437" i="1" s="1"/>
  <c r="P8437" i="1" a="1"/>
  <c r="P8437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8439" i="1" l="1"/>
  <c r="I8438" i="1" a="1"/>
  <c r="I8438" i="1" s="1"/>
  <c r="M8438" i="1" a="1"/>
  <c r="M8438" i="1" s="1"/>
  <c r="Q8438" i="1" a="1"/>
  <c r="Q8438" i="1" s="1"/>
  <c r="J8438" i="1" a="1"/>
  <c r="J8438" i="1" s="1"/>
  <c r="N8438" i="1" a="1"/>
  <c r="N8438" i="1" s="1"/>
  <c r="R8438" i="1" a="1"/>
  <c r="R8438" i="1" s="1"/>
  <c r="P8438" i="1" a="1"/>
  <c r="P8438" i="1" s="1"/>
  <c r="S8438" i="1" a="1"/>
  <c r="S8438" i="1" s="1"/>
  <c r="K8438" i="1" a="1"/>
  <c r="K8438" i="1" s="1"/>
  <c r="L8438" i="1" a="1"/>
  <c r="L8438" i="1" s="1"/>
  <c r="O8438" i="1" a="1"/>
  <c r="O8438" i="1" s="1"/>
  <c r="A8441" i="1"/>
  <c r="H8440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8441" i="1" l="1"/>
  <c r="A8442" i="1"/>
  <c r="L8439" i="1" a="1"/>
  <c r="L8439" i="1" s="1"/>
  <c r="P8439" i="1" a="1"/>
  <c r="P8439" i="1" s="1"/>
  <c r="B8440" i="1"/>
  <c r="I8439" i="1" a="1"/>
  <c r="I8439" i="1" s="1"/>
  <c r="M8439" i="1" a="1"/>
  <c r="M8439" i="1" s="1"/>
  <c r="Q8439" i="1" a="1"/>
  <c r="Q8439" i="1" s="1"/>
  <c r="N8439" i="1" a="1"/>
  <c r="N8439" i="1" s="1"/>
  <c r="O8439" i="1" a="1"/>
  <c r="O8439" i="1" s="1"/>
  <c r="R8439" i="1" a="1"/>
  <c r="R8439" i="1" s="1"/>
  <c r="J8439" i="1" a="1"/>
  <c r="J8439" i="1" s="1"/>
  <c r="S8439" i="1" a="1"/>
  <c r="S8439" i="1" s="1"/>
  <c r="K8439" i="1" a="1"/>
  <c r="K8439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K8440" i="1" l="1" a="1"/>
  <c r="K8440" i="1" s="1"/>
  <c r="O8440" i="1" a="1"/>
  <c r="O8440" i="1" s="1"/>
  <c r="S8440" i="1" a="1"/>
  <c r="S8440" i="1" s="1"/>
  <c r="L8440" i="1" a="1"/>
  <c r="L8440" i="1" s="1"/>
  <c r="P8440" i="1" a="1"/>
  <c r="P8440" i="1" s="1"/>
  <c r="B8441" i="1"/>
  <c r="J8440" i="1" a="1"/>
  <c r="J8440" i="1" s="1"/>
  <c r="M8440" i="1" a="1"/>
  <c r="M8440" i="1" s="1"/>
  <c r="N8440" i="1" a="1"/>
  <c r="N8440" i="1" s="1"/>
  <c r="Q8440" i="1" a="1"/>
  <c r="Q8440" i="1" s="1"/>
  <c r="I8440" i="1" a="1"/>
  <c r="I8440" i="1" s="1"/>
  <c r="R8440" i="1" a="1"/>
  <c r="R8440" i="1" s="1"/>
  <c r="H8442" i="1"/>
  <c r="A8443" i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J8441" i="1" l="1" a="1"/>
  <c r="J8441" i="1" s="1"/>
  <c r="N8441" i="1" a="1"/>
  <c r="N8441" i="1" s="1"/>
  <c r="R8441" i="1" a="1"/>
  <c r="R8441" i="1" s="1"/>
  <c r="K8441" i="1" a="1"/>
  <c r="K8441" i="1" s="1"/>
  <c r="O8441" i="1" a="1"/>
  <c r="O8441" i="1" s="1"/>
  <c r="S8441" i="1" a="1"/>
  <c r="S8441" i="1" s="1"/>
  <c r="I8441" i="1" a="1"/>
  <c r="I8441" i="1" s="1"/>
  <c r="B8442" i="1"/>
  <c r="L8441" i="1" a="1"/>
  <c r="L8441" i="1" s="1"/>
  <c r="M8441" i="1" a="1"/>
  <c r="M8441" i="1" s="1"/>
  <c r="P8441" i="1" a="1"/>
  <c r="P8441" i="1" s="1"/>
  <c r="Q8441" i="1" a="1"/>
  <c r="Q8441" i="1" s="1"/>
  <c r="A8444" i="1"/>
  <c r="H8443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8445" i="1" l="1"/>
  <c r="H8444" i="1"/>
  <c r="B8443" i="1"/>
  <c r="I8442" i="1" a="1"/>
  <c r="I8442" i="1" s="1"/>
  <c r="M8442" i="1" a="1"/>
  <c r="M8442" i="1" s="1"/>
  <c r="Q8442" i="1" a="1"/>
  <c r="Q8442" i="1" s="1"/>
  <c r="J8442" i="1" a="1"/>
  <c r="J8442" i="1" s="1"/>
  <c r="N8442" i="1" a="1"/>
  <c r="N8442" i="1" s="1"/>
  <c r="R8442" i="1" a="1"/>
  <c r="R8442" i="1" s="1"/>
  <c r="P8442" i="1" a="1"/>
  <c r="P8442" i="1" s="1"/>
  <c r="S8442" i="1" a="1"/>
  <c r="S8442" i="1" s="1"/>
  <c r="K8442" i="1" a="1"/>
  <c r="K8442" i="1" s="1"/>
  <c r="L8442" i="1" a="1"/>
  <c r="L8442" i="1" s="1"/>
  <c r="O8442" i="1" a="1"/>
  <c r="O8442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L8443" i="1" l="1" a="1"/>
  <c r="L8443" i="1" s="1"/>
  <c r="P8443" i="1" a="1"/>
  <c r="P8443" i="1" s="1"/>
  <c r="B8444" i="1"/>
  <c r="I8443" i="1" a="1"/>
  <c r="I8443" i="1" s="1"/>
  <c r="M8443" i="1" a="1"/>
  <c r="M8443" i="1" s="1"/>
  <c r="Q8443" i="1" a="1"/>
  <c r="Q8443" i="1" s="1"/>
  <c r="O8443" i="1" a="1"/>
  <c r="O8443" i="1" s="1"/>
  <c r="R8443" i="1" a="1"/>
  <c r="R8443" i="1" s="1"/>
  <c r="J8443" i="1" a="1"/>
  <c r="J8443" i="1" s="1"/>
  <c r="S8443" i="1" a="1"/>
  <c r="S8443" i="1" s="1"/>
  <c r="K8443" i="1" a="1"/>
  <c r="K8443" i="1" s="1"/>
  <c r="N8443" i="1" a="1"/>
  <c r="N8443" i="1" s="1"/>
  <c r="H8445" i="1"/>
  <c r="A8446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H8446" i="1" l="1"/>
  <c r="A8447" i="1"/>
  <c r="K8444" i="1" a="1"/>
  <c r="K8444" i="1" s="1"/>
  <c r="O8444" i="1" a="1"/>
  <c r="O8444" i="1" s="1"/>
  <c r="S8444" i="1" a="1"/>
  <c r="S8444" i="1" s="1"/>
  <c r="L8444" i="1" a="1"/>
  <c r="L8444" i="1" s="1"/>
  <c r="P8444" i="1" a="1"/>
  <c r="P8444" i="1" s="1"/>
  <c r="B8445" i="1"/>
  <c r="M8444" i="1" a="1"/>
  <c r="M8444" i="1" s="1"/>
  <c r="N8444" i="1" a="1"/>
  <c r="N8444" i="1" s="1"/>
  <c r="Q8444" i="1" a="1"/>
  <c r="Q8444" i="1" s="1"/>
  <c r="I8444" i="1" a="1"/>
  <c r="I8444" i="1" s="1"/>
  <c r="R8444" i="1" a="1"/>
  <c r="R8444" i="1" s="1"/>
  <c r="J8444" i="1" a="1"/>
  <c r="J8444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J8445" i="1" l="1" a="1"/>
  <c r="J8445" i="1" s="1"/>
  <c r="N8445" i="1" a="1"/>
  <c r="N8445" i="1" s="1"/>
  <c r="R8445" i="1" a="1"/>
  <c r="R8445" i="1" s="1"/>
  <c r="K8445" i="1" a="1"/>
  <c r="K8445" i="1" s="1"/>
  <c r="O8445" i="1" a="1"/>
  <c r="O8445" i="1" s="1"/>
  <c r="S8445" i="1" a="1"/>
  <c r="S8445" i="1" s="1"/>
  <c r="I8445" i="1" a="1"/>
  <c r="I8445" i="1" s="1"/>
  <c r="B8446" i="1"/>
  <c r="L8445" i="1" a="1"/>
  <c r="L8445" i="1" s="1"/>
  <c r="M8445" i="1" a="1"/>
  <c r="M8445" i="1" s="1"/>
  <c r="P8445" i="1" a="1"/>
  <c r="P8445" i="1" s="1"/>
  <c r="Q8445" i="1" a="1"/>
  <c r="Q8445" i="1" s="1"/>
  <c r="A8448" i="1"/>
  <c r="H8447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B8447" i="1" l="1"/>
  <c r="I8446" i="1" a="1"/>
  <c r="I8446" i="1" s="1"/>
  <c r="M8446" i="1" a="1"/>
  <c r="M8446" i="1" s="1"/>
  <c r="Q8446" i="1" a="1"/>
  <c r="Q8446" i="1" s="1"/>
  <c r="J8446" i="1" a="1"/>
  <c r="J8446" i="1" s="1"/>
  <c r="N8446" i="1" a="1"/>
  <c r="N8446" i="1" s="1"/>
  <c r="R8446" i="1" a="1"/>
  <c r="R8446" i="1" s="1"/>
  <c r="S8446" i="1" a="1"/>
  <c r="S8446" i="1" s="1"/>
  <c r="K8446" i="1" a="1"/>
  <c r="K8446" i="1" s="1"/>
  <c r="L8446" i="1" a="1"/>
  <c r="L8446" i="1" s="1"/>
  <c r="O8446" i="1" a="1"/>
  <c r="O8446" i="1" s="1"/>
  <c r="P8446" i="1" a="1"/>
  <c r="P8446" i="1" s="1"/>
  <c r="A8449" i="1"/>
  <c r="H8448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H8449" i="1" l="1"/>
  <c r="A8450" i="1"/>
  <c r="L8447" i="1" a="1"/>
  <c r="L8447" i="1" s="1"/>
  <c r="P8447" i="1" a="1"/>
  <c r="P8447" i="1" s="1"/>
  <c r="B8448" i="1"/>
  <c r="I8447" i="1" a="1"/>
  <c r="I8447" i="1" s="1"/>
  <c r="M8447" i="1" a="1"/>
  <c r="M8447" i="1" s="1"/>
  <c r="Q8447" i="1" a="1"/>
  <c r="Q8447" i="1" s="1"/>
  <c r="O8447" i="1" a="1"/>
  <c r="O8447" i="1" s="1"/>
  <c r="R8447" i="1" a="1"/>
  <c r="R8447" i="1" s="1"/>
  <c r="J8447" i="1" a="1"/>
  <c r="J8447" i="1" s="1"/>
  <c r="S8447" i="1" a="1"/>
  <c r="S8447" i="1" s="1"/>
  <c r="K8447" i="1" a="1"/>
  <c r="K8447" i="1" s="1"/>
  <c r="N8447" i="1" a="1"/>
  <c r="N8447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K8448" i="1" l="1" a="1"/>
  <c r="K8448" i="1" s="1"/>
  <c r="O8448" i="1" a="1"/>
  <c r="O8448" i="1" s="1"/>
  <c r="S8448" i="1" a="1"/>
  <c r="S8448" i="1" s="1"/>
  <c r="L8448" i="1" a="1"/>
  <c r="L8448" i="1" s="1"/>
  <c r="P8448" i="1" a="1"/>
  <c r="P8448" i="1" s="1"/>
  <c r="B8449" i="1"/>
  <c r="N8448" i="1" a="1"/>
  <c r="N8448" i="1" s="1"/>
  <c r="Q8448" i="1" a="1"/>
  <c r="Q8448" i="1" s="1"/>
  <c r="I8448" i="1" a="1"/>
  <c r="I8448" i="1" s="1"/>
  <c r="R8448" i="1" a="1"/>
  <c r="R8448" i="1" s="1"/>
  <c r="J8448" i="1" a="1"/>
  <c r="J8448" i="1" s="1"/>
  <c r="M8448" i="1" a="1"/>
  <c r="M8448" i="1" s="1"/>
  <c r="H8450" i="1"/>
  <c r="A845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8452" i="1" l="1"/>
  <c r="H8451" i="1"/>
  <c r="J8449" i="1" a="1"/>
  <c r="J8449" i="1" s="1"/>
  <c r="N8449" i="1" a="1"/>
  <c r="N8449" i="1" s="1"/>
  <c r="R8449" i="1" a="1"/>
  <c r="R8449" i="1" s="1"/>
  <c r="K8449" i="1" a="1"/>
  <c r="K8449" i="1" s="1"/>
  <c r="O8449" i="1" a="1"/>
  <c r="O8449" i="1" s="1"/>
  <c r="S8449" i="1" a="1"/>
  <c r="S8449" i="1" s="1"/>
  <c r="L8449" i="1" a="1"/>
  <c r="L8449" i="1" s="1"/>
  <c r="M8449" i="1" a="1"/>
  <c r="M8449" i="1" s="1"/>
  <c r="P8449" i="1" a="1"/>
  <c r="P8449" i="1" s="1"/>
  <c r="Q8449" i="1" a="1"/>
  <c r="Q8449" i="1" s="1"/>
  <c r="I8449" i="1" a="1"/>
  <c r="I8449" i="1" s="1"/>
  <c r="B8450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B8451" i="1" l="1"/>
  <c r="I8450" i="1" a="1"/>
  <c r="I8450" i="1" s="1"/>
  <c r="M8450" i="1" a="1"/>
  <c r="M8450" i="1" s="1"/>
  <c r="Q8450" i="1" a="1"/>
  <c r="Q8450" i="1" s="1"/>
  <c r="J8450" i="1" a="1"/>
  <c r="J8450" i="1" s="1"/>
  <c r="N8450" i="1" a="1"/>
  <c r="N8450" i="1" s="1"/>
  <c r="R8450" i="1" a="1"/>
  <c r="R8450" i="1" s="1"/>
  <c r="K8450" i="1" a="1"/>
  <c r="K8450" i="1" s="1"/>
  <c r="L8450" i="1" a="1"/>
  <c r="L8450" i="1" s="1"/>
  <c r="O8450" i="1" a="1"/>
  <c r="O8450" i="1" s="1"/>
  <c r="P8450" i="1" a="1"/>
  <c r="P8450" i="1" s="1"/>
  <c r="S8450" i="1" a="1"/>
  <c r="S8450" i="1" s="1"/>
  <c r="H8452" i="1"/>
  <c r="A845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8453" i="1" l="1"/>
  <c r="A8454" i="1"/>
  <c r="L8451" i="1" a="1"/>
  <c r="L8451" i="1" s="1"/>
  <c r="P8451" i="1" a="1"/>
  <c r="P8451" i="1" s="1"/>
  <c r="B8452" i="1"/>
  <c r="I8451" i="1" a="1"/>
  <c r="I8451" i="1" s="1"/>
  <c r="M8451" i="1" a="1"/>
  <c r="M8451" i="1" s="1"/>
  <c r="Q8451" i="1" a="1"/>
  <c r="Q8451" i="1" s="1"/>
  <c r="R8451" i="1" a="1"/>
  <c r="R8451" i="1" s="1"/>
  <c r="J8451" i="1" a="1"/>
  <c r="J8451" i="1" s="1"/>
  <c r="S8451" i="1" a="1"/>
  <c r="S8451" i="1" s="1"/>
  <c r="K8451" i="1" a="1"/>
  <c r="K8451" i="1" s="1"/>
  <c r="N8451" i="1" a="1"/>
  <c r="N8451" i="1" s="1"/>
  <c r="O8451" i="1" a="1"/>
  <c r="O8451" i="1" s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K8452" i="1" l="1" a="1"/>
  <c r="K8452" i="1" s="1"/>
  <c r="O8452" i="1" a="1"/>
  <c r="O8452" i="1" s="1"/>
  <c r="S8452" i="1" a="1"/>
  <c r="S8452" i="1" s="1"/>
  <c r="B8453" i="1"/>
  <c r="M8452" i="1" a="1"/>
  <c r="M8452" i="1" s="1"/>
  <c r="N8452" i="1" a="1"/>
  <c r="N8452" i="1" s="1"/>
  <c r="P8452" i="1" a="1"/>
  <c r="P8452" i="1" s="1"/>
  <c r="I8452" i="1" a="1"/>
  <c r="I8452" i="1" s="1"/>
  <c r="Q8452" i="1" a="1"/>
  <c r="Q8452" i="1" s="1"/>
  <c r="J8452" i="1" a="1"/>
  <c r="J8452" i="1" s="1"/>
  <c r="R8452" i="1" a="1"/>
  <c r="R8452" i="1" s="1"/>
  <c r="L8452" i="1" a="1"/>
  <c r="L8452" i="1" s="1"/>
  <c r="H8454" i="1"/>
  <c r="A8455" i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8456" i="1" l="1"/>
  <c r="H8455" i="1"/>
  <c r="J8453" i="1" a="1"/>
  <c r="J8453" i="1" s="1"/>
  <c r="N8453" i="1" a="1"/>
  <c r="N8453" i="1" s="1"/>
  <c r="R8453" i="1" a="1"/>
  <c r="R8453" i="1" s="1"/>
  <c r="P8453" i="1" a="1"/>
  <c r="P8453" i="1" s="1"/>
  <c r="I8453" i="1" a="1"/>
  <c r="I8453" i="1" s="1"/>
  <c r="Q8453" i="1" a="1"/>
  <c r="Q8453" i="1" s="1"/>
  <c r="K8453" i="1" a="1"/>
  <c r="K8453" i="1" s="1"/>
  <c r="S8453" i="1" a="1"/>
  <c r="S8453" i="1" s="1"/>
  <c r="L8453" i="1" a="1"/>
  <c r="L8453" i="1" s="1"/>
  <c r="B8454" i="1"/>
  <c r="M8453" i="1" a="1"/>
  <c r="M8453" i="1" s="1"/>
  <c r="O8453" i="1" a="1"/>
  <c r="O8453" i="1" s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8455" i="1" l="1"/>
  <c r="I8454" i="1" a="1"/>
  <c r="I8454" i="1" s="1"/>
  <c r="M8454" i="1" a="1"/>
  <c r="M8454" i="1" s="1"/>
  <c r="Q8454" i="1" a="1"/>
  <c r="Q8454" i="1" s="1"/>
  <c r="K8454" i="1" a="1"/>
  <c r="K8454" i="1" s="1"/>
  <c r="S8454" i="1" a="1"/>
  <c r="S8454" i="1" s="1"/>
  <c r="L8454" i="1" a="1"/>
  <c r="L8454" i="1" s="1"/>
  <c r="N8454" i="1" a="1"/>
  <c r="N8454" i="1" s="1"/>
  <c r="O8454" i="1" a="1"/>
  <c r="O8454" i="1" s="1"/>
  <c r="P8454" i="1" a="1"/>
  <c r="P8454" i="1" s="1"/>
  <c r="J8454" i="1" a="1"/>
  <c r="J8454" i="1" s="1"/>
  <c r="R8454" i="1" a="1"/>
  <c r="R8454" i="1" s="1"/>
  <c r="H8456" i="1"/>
  <c r="A8457" i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8458" i="1" l="1"/>
  <c r="H8457" i="1"/>
  <c r="L8455" i="1" a="1"/>
  <c r="L8455" i="1" s="1"/>
  <c r="P8455" i="1" a="1"/>
  <c r="P8455" i="1" s="1"/>
  <c r="B8456" i="1"/>
  <c r="N8455" i="1" a="1"/>
  <c r="N8455" i="1" s="1"/>
  <c r="O8455" i="1" a="1"/>
  <c r="O8455" i="1" s="1"/>
  <c r="I8455" i="1" a="1"/>
  <c r="I8455" i="1" s="1"/>
  <c r="Q8455" i="1" a="1"/>
  <c r="Q8455" i="1" s="1"/>
  <c r="J8455" i="1" a="1"/>
  <c r="J8455" i="1" s="1"/>
  <c r="R8455" i="1" a="1"/>
  <c r="R8455" i="1" s="1"/>
  <c r="K8455" i="1" a="1"/>
  <c r="K8455" i="1" s="1"/>
  <c r="S8455" i="1" a="1"/>
  <c r="S8455" i="1" s="1"/>
  <c r="M8455" i="1" a="1"/>
  <c r="M8455" i="1" s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K8456" i="1" l="1" a="1"/>
  <c r="K8456" i="1" s="1"/>
  <c r="O8456" i="1" a="1"/>
  <c r="O8456" i="1" s="1"/>
  <c r="S8456" i="1" a="1"/>
  <c r="S8456" i="1" s="1"/>
  <c r="B8457" i="1"/>
  <c r="I8456" i="1" a="1"/>
  <c r="I8456" i="1" s="1"/>
  <c r="Q8456" i="1" a="1"/>
  <c r="Q8456" i="1" s="1"/>
  <c r="J8456" i="1" a="1"/>
  <c r="J8456" i="1" s="1"/>
  <c r="R8456" i="1" a="1"/>
  <c r="R8456" i="1" s="1"/>
  <c r="L8456" i="1" a="1"/>
  <c r="L8456" i="1" s="1"/>
  <c r="M8456" i="1" a="1"/>
  <c r="M8456" i="1" s="1"/>
  <c r="N8456" i="1" a="1"/>
  <c r="N8456" i="1" s="1"/>
  <c r="P8456" i="1" a="1"/>
  <c r="P8456" i="1" s="1"/>
  <c r="H8458" i="1"/>
  <c r="A8459" i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8460" i="1" l="1"/>
  <c r="H8459" i="1"/>
  <c r="J8457" i="1" a="1"/>
  <c r="J8457" i="1" s="1"/>
  <c r="N8457" i="1" a="1"/>
  <c r="N8457" i="1" s="1"/>
  <c r="R8457" i="1" a="1"/>
  <c r="R8457" i="1" s="1"/>
  <c r="L8457" i="1" a="1"/>
  <c r="L8457" i="1" s="1"/>
  <c r="B8458" i="1"/>
  <c r="M8457" i="1" a="1"/>
  <c r="M8457" i="1" s="1"/>
  <c r="O8457" i="1" a="1"/>
  <c r="O8457" i="1" s="1"/>
  <c r="P8457" i="1" a="1"/>
  <c r="P8457" i="1" s="1"/>
  <c r="I8457" i="1" a="1"/>
  <c r="I8457" i="1" s="1"/>
  <c r="Q8457" i="1" a="1"/>
  <c r="Q8457" i="1" s="1"/>
  <c r="S8457" i="1" a="1"/>
  <c r="S8457" i="1" s="1"/>
  <c r="K8457" i="1" a="1"/>
  <c r="K8457" i="1" s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B8459" i="1" l="1"/>
  <c r="I8458" i="1" a="1"/>
  <c r="I8458" i="1" s="1"/>
  <c r="M8458" i="1" a="1"/>
  <c r="M8458" i="1" s="1"/>
  <c r="Q8458" i="1" a="1"/>
  <c r="Q8458" i="1" s="1"/>
  <c r="O8458" i="1" a="1"/>
  <c r="O8458" i="1" s="1"/>
  <c r="P8458" i="1" a="1"/>
  <c r="P8458" i="1" s="1"/>
  <c r="J8458" i="1" a="1"/>
  <c r="J8458" i="1" s="1"/>
  <c r="R8458" i="1" a="1"/>
  <c r="R8458" i="1" s="1"/>
  <c r="K8458" i="1" a="1"/>
  <c r="K8458" i="1" s="1"/>
  <c r="S8458" i="1" a="1"/>
  <c r="S8458" i="1" s="1"/>
  <c r="L8458" i="1" a="1"/>
  <c r="L8458" i="1" s="1"/>
  <c r="N8458" i="1" a="1"/>
  <c r="N8458" i="1" s="1"/>
  <c r="H8460" i="1"/>
  <c r="A846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H8461" i="1" l="1"/>
  <c r="A8462" i="1"/>
  <c r="L8459" i="1" a="1"/>
  <c r="L8459" i="1" s="1"/>
  <c r="P8459" i="1" a="1"/>
  <c r="P8459" i="1" s="1"/>
  <c r="B8460" i="1"/>
  <c r="J8459" i="1" a="1"/>
  <c r="J8459" i="1" s="1"/>
  <c r="R8459" i="1" a="1"/>
  <c r="R8459" i="1" s="1"/>
  <c r="K8459" i="1" a="1"/>
  <c r="K8459" i="1" s="1"/>
  <c r="S8459" i="1" a="1"/>
  <c r="S8459" i="1" s="1"/>
  <c r="M8459" i="1" a="1"/>
  <c r="M8459" i="1" s="1"/>
  <c r="N8459" i="1" a="1"/>
  <c r="N8459" i="1" s="1"/>
  <c r="O8459" i="1" a="1"/>
  <c r="O8459" i="1" s="1"/>
  <c r="I8459" i="1" a="1"/>
  <c r="I8459" i="1" s="1"/>
  <c r="Q8459" i="1" a="1"/>
  <c r="Q8459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K8460" i="1" l="1" a="1"/>
  <c r="K8460" i="1" s="1"/>
  <c r="O8460" i="1" a="1"/>
  <c r="O8460" i="1" s="1"/>
  <c r="S8460" i="1" a="1"/>
  <c r="S8460" i="1" s="1"/>
  <c r="B8461" i="1"/>
  <c r="M8460" i="1" a="1"/>
  <c r="M8460" i="1" s="1"/>
  <c r="N8460" i="1" a="1"/>
  <c r="N8460" i="1" s="1"/>
  <c r="P8460" i="1" a="1"/>
  <c r="P8460" i="1" s="1"/>
  <c r="I8460" i="1" a="1"/>
  <c r="I8460" i="1" s="1"/>
  <c r="Q8460" i="1" a="1"/>
  <c r="Q8460" i="1" s="1"/>
  <c r="J8460" i="1" a="1"/>
  <c r="J8460" i="1" s="1"/>
  <c r="R8460" i="1" a="1"/>
  <c r="R8460" i="1" s="1"/>
  <c r="L8460" i="1" a="1"/>
  <c r="L8460" i="1" s="1"/>
  <c r="H8462" i="1"/>
  <c r="A846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8464" i="1" l="1"/>
  <c r="H8463" i="1"/>
  <c r="J8461" i="1" a="1"/>
  <c r="J8461" i="1" s="1"/>
  <c r="N8461" i="1" a="1"/>
  <c r="N8461" i="1" s="1"/>
  <c r="R8461" i="1" a="1"/>
  <c r="R8461" i="1" s="1"/>
  <c r="P8461" i="1" a="1"/>
  <c r="P8461" i="1" s="1"/>
  <c r="I8461" i="1" a="1"/>
  <c r="I8461" i="1" s="1"/>
  <c r="Q8461" i="1" a="1"/>
  <c r="Q8461" i="1" s="1"/>
  <c r="K8461" i="1" a="1"/>
  <c r="K8461" i="1" s="1"/>
  <c r="S8461" i="1" a="1"/>
  <c r="S8461" i="1" s="1"/>
  <c r="L8461" i="1" a="1"/>
  <c r="L8461" i="1" s="1"/>
  <c r="B8462" i="1"/>
  <c r="M8461" i="1" a="1"/>
  <c r="M8461" i="1" s="1"/>
  <c r="O8461" i="1" a="1"/>
  <c r="O8461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B8463" i="1" l="1"/>
  <c r="I8462" i="1" a="1"/>
  <c r="I8462" i="1" s="1"/>
  <c r="M8462" i="1" a="1"/>
  <c r="M8462" i="1" s="1"/>
  <c r="Q8462" i="1" a="1"/>
  <c r="Q8462" i="1" s="1"/>
  <c r="K8462" i="1" a="1"/>
  <c r="K8462" i="1" s="1"/>
  <c r="S8462" i="1" a="1"/>
  <c r="S8462" i="1" s="1"/>
  <c r="L8462" i="1" a="1"/>
  <c r="L8462" i="1" s="1"/>
  <c r="N8462" i="1" a="1"/>
  <c r="N8462" i="1" s="1"/>
  <c r="O8462" i="1" a="1"/>
  <c r="O8462" i="1" s="1"/>
  <c r="P8462" i="1" a="1"/>
  <c r="P8462" i="1" s="1"/>
  <c r="R8462" i="1" a="1"/>
  <c r="R8462" i="1" s="1"/>
  <c r="J8462" i="1" a="1"/>
  <c r="J8462" i="1" s="1"/>
  <c r="H8464" i="1"/>
  <c r="A846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8466" i="1" l="1"/>
  <c r="H8465" i="1"/>
  <c r="L8463" i="1" a="1"/>
  <c r="L8463" i="1" s="1"/>
  <c r="P8463" i="1" a="1"/>
  <c r="P8463" i="1" s="1"/>
  <c r="B8464" i="1"/>
  <c r="N8463" i="1" a="1"/>
  <c r="N8463" i="1" s="1"/>
  <c r="O8463" i="1" a="1"/>
  <c r="O8463" i="1" s="1"/>
  <c r="I8463" i="1" a="1"/>
  <c r="I8463" i="1" s="1"/>
  <c r="Q8463" i="1" a="1"/>
  <c r="Q8463" i="1" s="1"/>
  <c r="J8463" i="1" a="1"/>
  <c r="J8463" i="1" s="1"/>
  <c r="R8463" i="1" a="1"/>
  <c r="R8463" i="1" s="1"/>
  <c r="K8463" i="1" a="1"/>
  <c r="K8463" i="1" s="1"/>
  <c r="S8463" i="1" a="1"/>
  <c r="S8463" i="1" s="1"/>
  <c r="M8463" i="1" a="1"/>
  <c r="M8463" i="1" s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8464" i="1" l="1" a="1"/>
  <c r="K8464" i="1" s="1"/>
  <c r="O8464" i="1" a="1"/>
  <c r="O8464" i="1" s="1"/>
  <c r="S8464" i="1" a="1"/>
  <c r="S8464" i="1" s="1"/>
  <c r="B8465" i="1"/>
  <c r="I8464" i="1" a="1"/>
  <c r="I8464" i="1" s="1"/>
  <c r="Q8464" i="1" a="1"/>
  <c r="Q8464" i="1" s="1"/>
  <c r="J8464" i="1" a="1"/>
  <c r="J8464" i="1" s="1"/>
  <c r="R8464" i="1" a="1"/>
  <c r="R8464" i="1" s="1"/>
  <c r="L8464" i="1" a="1"/>
  <c r="L8464" i="1" s="1"/>
  <c r="M8464" i="1" a="1"/>
  <c r="M8464" i="1" s="1"/>
  <c r="N8464" i="1" a="1"/>
  <c r="N8464" i="1" s="1"/>
  <c r="P8464" i="1" a="1"/>
  <c r="P8464" i="1" s="1"/>
  <c r="H8466" i="1"/>
  <c r="A846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8467" i="1" l="1"/>
  <c r="A8468" i="1"/>
  <c r="J8465" i="1" a="1"/>
  <c r="J8465" i="1" s="1"/>
  <c r="N8465" i="1" a="1"/>
  <c r="N8465" i="1" s="1"/>
  <c r="R8465" i="1" a="1"/>
  <c r="R8465" i="1" s="1"/>
  <c r="L8465" i="1" a="1"/>
  <c r="L8465" i="1" s="1"/>
  <c r="B8466" i="1"/>
  <c r="M8465" i="1" a="1"/>
  <c r="M8465" i="1" s="1"/>
  <c r="O8465" i="1" a="1"/>
  <c r="O8465" i="1" s="1"/>
  <c r="P8465" i="1" a="1"/>
  <c r="P8465" i="1" s="1"/>
  <c r="I8465" i="1" a="1"/>
  <c r="I8465" i="1" s="1"/>
  <c r="Q8465" i="1" a="1"/>
  <c r="Q8465" i="1" s="1"/>
  <c r="K8465" i="1" a="1"/>
  <c r="K8465" i="1" s="1"/>
  <c r="S8465" i="1" a="1"/>
  <c r="S8465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H8468" i="1" l="1"/>
  <c r="A8469" i="1"/>
  <c r="B8467" i="1"/>
  <c r="M8466" i="1" a="1"/>
  <c r="M8466" i="1" s="1"/>
  <c r="N8466" i="1" a="1"/>
  <c r="N8466" i="1" s="1"/>
  <c r="O8466" i="1" a="1"/>
  <c r="O8466" i="1" s="1"/>
  <c r="I8466" i="1" a="1"/>
  <c r="I8466" i="1" s="1"/>
  <c r="J8466" i="1" a="1"/>
  <c r="J8466" i="1" s="1"/>
  <c r="P8466" i="1" a="1"/>
  <c r="P8466" i="1" s="1"/>
  <c r="K8466" i="1" a="1"/>
  <c r="K8466" i="1" s="1"/>
  <c r="Q8466" i="1" a="1"/>
  <c r="Q8466" i="1" s="1"/>
  <c r="R8466" i="1" a="1"/>
  <c r="R8466" i="1" s="1"/>
  <c r="L8466" i="1" a="1"/>
  <c r="L8466" i="1" s="1"/>
  <c r="S8466" i="1" a="1"/>
  <c r="S8466" i="1" s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8468" i="1" l="1"/>
  <c r="M8467" i="1" a="1"/>
  <c r="M8467" i="1" s="1"/>
  <c r="S8467" i="1" a="1"/>
  <c r="S8467" i="1" s="1"/>
  <c r="N8467" i="1" a="1"/>
  <c r="N8467" i="1" s="1"/>
  <c r="I8467" i="1" a="1"/>
  <c r="I8467" i="1" s="1"/>
  <c r="O8467" i="1" a="1"/>
  <c r="O8467" i="1" s="1"/>
  <c r="J8467" i="1" a="1"/>
  <c r="J8467" i="1" s="1"/>
  <c r="P8467" i="1" a="1"/>
  <c r="P8467" i="1" s="1"/>
  <c r="Q8467" i="1" a="1"/>
  <c r="Q8467" i="1" s="1"/>
  <c r="K8467" i="1" a="1"/>
  <c r="K8467" i="1" s="1"/>
  <c r="R8467" i="1" a="1"/>
  <c r="R8467" i="1" s="1"/>
  <c r="L8467" i="1" a="1"/>
  <c r="L8467" i="1" s="1"/>
  <c r="A8470" i="1"/>
  <c r="H8469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H8470" i="1" l="1"/>
  <c r="A8471" i="1"/>
  <c r="B8469" i="1"/>
  <c r="M8468" i="1" a="1"/>
  <c r="M8468" i="1" s="1"/>
  <c r="S8468" i="1" a="1"/>
  <c r="S8468" i="1" s="1"/>
  <c r="N8468" i="1" a="1"/>
  <c r="N8468" i="1" s="1"/>
  <c r="I8468" i="1" a="1"/>
  <c r="I8468" i="1" s="1"/>
  <c r="O8468" i="1" a="1"/>
  <c r="O8468" i="1" s="1"/>
  <c r="P8468" i="1" a="1"/>
  <c r="P8468" i="1" s="1"/>
  <c r="J8468" i="1" a="1"/>
  <c r="J8468" i="1" s="1"/>
  <c r="Q8468" i="1" a="1"/>
  <c r="Q8468" i="1" s="1"/>
  <c r="K8468" i="1" a="1"/>
  <c r="K8468" i="1" s="1"/>
  <c r="L8468" i="1" a="1"/>
  <c r="L8468" i="1" s="1"/>
  <c r="R8468" i="1" a="1"/>
  <c r="R8468" i="1" s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S8469" i="1" l="1" a="1"/>
  <c r="S8469" i="1" s="1"/>
  <c r="M8469" i="1" a="1"/>
  <c r="M8469" i="1" s="1"/>
  <c r="N8469" i="1" a="1"/>
  <c r="N8469" i="1" s="1"/>
  <c r="B8470" i="1"/>
  <c r="O8469" i="1" a="1"/>
  <c r="O8469" i="1" s="1"/>
  <c r="I8469" i="1" a="1"/>
  <c r="I8469" i="1" s="1"/>
  <c r="P8469" i="1" a="1"/>
  <c r="P8469" i="1" s="1"/>
  <c r="J8469" i="1" a="1"/>
  <c r="J8469" i="1" s="1"/>
  <c r="K8469" i="1" a="1"/>
  <c r="K8469" i="1" s="1"/>
  <c r="Q8469" i="1" a="1"/>
  <c r="Q8469" i="1" s="1"/>
  <c r="L8469" i="1" a="1"/>
  <c r="L8469" i="1" s="1"/>
  <c r="R8469" i="1" a="1"/>
  <c r="R8469" i="1" s="1"/>
  <c r="H8471" i="1"/>
  <c r="A8472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H8472" i="1" l="1"/>
  <c r="A8473" i="1"/>
  <c r="B8471" i="1"/>
  <c r="L8470" i="1" a="1"/>
  <c r="L8470" i="1" s="1"/>
  <c r="S8470" i="1" a="1"/>
  <c r="S8470" i="1" s="1"/>
  <c r="M8470" i="1" a="1"/>
  <c r="M8470" i="1" s="1"/>
  <c r="N8470" i="1" a="1"/>
  <c r="N8470" i="1" s="1"/>
  <c r="O8470" i="1" a="1"/>
  <c r="O8470" i="1" s="1"/>
  <c r="I8470" i="1" a="1"/>
  <c r="I8470" i="1" s="1"/>
  <c r="J8470" i="1" a="1"/>
  <c r="J8470" i="1" s="1"/>
  <c r="P8470" i="1" a="1"/>
  <c r="P8470" i="1" s="1"/>
  <c r="K8470" i="1" a="1"/>
  <c r="K8470" i="1" s="1"/>
  <c r="Q8470" i="1" a="1"/>
  <c r="Q8470" i="1" s="1"/>
  <c r="R8470" i="1" a="1"/>
  <c r="R8470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B8472" i="1" l="1"/>
  <c r="L8471" i="1" a="1"/>
  <c r="L8471" i="1" s="1"/>
  <c r="M8471" i="1" a="1"/>
  <c r="M8471" i="1" s="1"/>
  <c r="S8471" i="1" a="1"/>
  <c r="S8471" i="1" s="1"/>
  <c r="N8471" i="1" a="1"/>
  <c r="N8471" i="1" s="1"/>
  <c r="I8471" i="1" a="1"/>
  <c r="I8471" i="1" s="1"/>
  <c r="O8471" i="1" a="1"/>
  <c r="O8471" i="1" s="1"/>
  <c r="J8471" i="1" a="1"/>
  <c r="J8471" i="1" s="1"/>
  <c r="P8471" i="1" a="1"/>
  <c r="P8471" i="1" s="1"/>
  <c r="Q8471" i="1" a="1"/>
  <c r="Q8471" i="1" s="1"/>
  <c r="K8471" i="1" a="1"/>
  <c r="K8471" i="1" s="1"/>
  <c r="R8471" i="1" a="1"/>
  <c r="R8471" i="1" s="1"/>
  <c r="A8474" i="1"/>
  <c r="H8473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8474" i="1" l="1"/>
  <c r="A8475" i="1"/>
  <c r="B8473" i="1"/>
  <c r="L8472" i="1" a="1"/>
  <c r="L8472" i="1" s="1"/>
  <c r="R8472" i="1" a="1"/>
  <c r="R8472" i="1" s="1"/>
  <c r="M8472" i="1" a="1"/>
  <c r="M8472" i="1" s="1"/>
  <c r="S8472" i="1" a="1"/>
  <c r="S8472" i="1" s="1"/>
  <c r="N8472" i="1" a="1"/>
  <c r="N8472" i="1" s="1"/>
  <c r="I8472" i="1" a="1"/>
  <c r="I8472" i="1" s="1"/>
  <c r="O8472" i="1" a="1"/>
  <c r="O8472" i="1" s="1"/>
  <c r="P8472" i="1" a="1"/>
  <c r="P8472" i="1" s="1"/>
  <c r="J8472" i="1" a="1"/>
  <c r="J8472" i="1" s="1"/>
  <c r="Q8472" i="1" a="1"/>
  <c r="Q8472" i="1" s="1"/>
  <c r="K8472" i="1" a="1"/>
  <c r="K8472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L8473" i="1" l="1" a="1"/>
  <c r="L8473" i="1" s="1"/>
  <c r="R8473" i="1" a="1"/>
  <c r="R8473" i="1" s="1"/>
  <c r="S8473" i="1" a="1"/>
  <c r="S8473" i="1" s="1"/>
  <c r="M8473" i="1" a="1"/>
  <c r="M8473" i="1" s="1"/>
  <c r="N8473" i="1" a="1"/>
  <c r="N8473" i="1" s="1"/>
  <c r="B8474" i="1"/>
  <c r="O8473" i="1" a="1"/>
  <c r="O8473" i="1" s="1"/>
  <c r="I8473" i="1" a="1"/>
  <c r="I8473" i="1" s="1"/>
  <c r="P8473" i="1" a="1"/>
  <c r="P8473" i="1" s="1"/>
  <c r="J8473" i="1" a="1"/>
  <c r="J8473" i="1" s="1"/>
  <c r="K8473" i="1" a="1"/>
  <c r="K8473" i="1" s="1"/>
  <c r="Q8473" i="1" a="1"/>
  <c r="Q8473" i="1" s="1"/>
  <c r="H8475" i="1"/>
  <c r="A8476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B8475" i="1" l="1"/>
  <c r="R8474" i="1" a="1"/>
  <c r="R8474" i="1" s="1"/>
  <c r="L8474" i="1" a="1"/>
  <c r="L8474" i="1" s="1"/>
  <c r="S8474" i="1" a="1"/>
  <c r="S8474" i="1" s="1"/>
  <c r="M8474" i="1" a="1"/>
  <c r="M8474" i="1" s="1"/>
  <c r="N8474" i="1" a="1"/>
  <c r="N8474" i="1" s="1"/>
  <c r="O8474" i="1" a="1"/>
  <c r="O8474" i="1" s="1"/>
  <c r="I8474" i="1" a="1"/>
  <c r="I8474" i="1" s="1"/>
  <c r="J8474" i="1" a="1"/>
  <c r="J8474" i="1" s="1"/>
  <c r="P8474" i="1" a="1"/>
  <c r="P8474" i="1" s="1"/>
  <c r="K8474" i="1" a="1"/>
  <c r="K8474" i="1" s="1"/>
  <c r="Q8474" i="1" a="1"/>
  <c r="Q8474" i="1" s="1"/>
  <c r="H8476" i="1"/>
  <c r="A8477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8478" i="1" l="1"/>
  <c r="H8477" i="1"/>
  <c r="B8476" i="1"/>
  <c r="K8475" i="1" a="1"/>
  <c r="K8475" i="1" s="1"/>
  <c r="R8475" i="1" a="1"/>
  <c r="R8475" i="1" s="1"/>
  <c r="L8475" i="1" a="1"/>
  <c r="L8475" i="1" s="1"/>
  <c r="M8475" i="1" a="1"/>
  <c r="M8475" i="1" s="1"/>
  <c r="S8475" i="1" a="1"/>
  <c r="S8475" i="1" s="1"/>
  <c r="N8475" i="1" a="1"/>
  <c r="N8475" i="1" s="1"/>
  <c r="I8475" i="1" a="1"/>
  <c r="I8475" i="1" s="1"/>
  <c r="O8475" i="1" a="1"/>
  <c r="O8475" i="1" s="1"/>
  <c r="J8475" i="1" a="1"/>
  <c r="J8475" i="1" s="1"/>
  <c r="P8475" i="1" a="1"/>
  <c r="P8475" i="1" s="1"/>
  <c r="Q8475" i="1" a="1"/>
  <c r="Q8475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B8477" i="1" l="1"/>
  <c r="K8476" i="1" a="1"/>
  <c r="K8476" i="1" s="1"/>
  <c r="L8476" i="1" a="1"/>
  <c r="L8476" i="1" s="1"/>
  <c r="R8476" i="1" a="1"/>
  <c r="R8476" i="1" s="1"/>
  <c r="M8476" i="1" a="1"/>
  <c r="M8476" i="1" s="1"/>
  <c r="S8476" i="1" a="1"/>
  <c r="S8476" i="1" s="1"/>
  <c r="N8476" i="1" a="1"/>
  <c r="N8476" i="1" s="1"/>
  <c r="I8476" i="1" a="1"/>
  <c r="I8476" i="1" s="1"/>
  <c r="O8476" i="1" a="1"/>
  <c r="O8476" i="1" s="1"/>
  <c r="P8476" i="1" a="1"/>
  <c r="P8476" i="1" s="1"/>
  <c r="J8476" i="1" a="1"/>
  <c r="J8476" i="1" s="1"/>
  <c r="Q8476" i="1" a="1"/>
  <c r="Q8476" i="1" s="1"/>
  <c r="H8478" i="1"/>
  <c r="A847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A8480" i="1" l="1"/>
  <c r="H8479" i="1"/>
  <c r="J8477" i="1" a="1"/>
  <c r="J8477" i="1" s="1"/>
  <c r="N8477" i="1" a="1"/>
  <c r="N8477" i="1" s="1"/>
  <c r="R8477" i="1" a="1"/>
  <c r="R8477" i="1" s="1"/>
  <c r="K8477" i="1" a="1"/>
  <c r="K8477" i="1" s="1"/>
  <c r="O8477" i="1" a="1"/>
  <c r="O8477" i="1" s="1"/>
  <c r="S8477" i="1" a="1"/>
  <c r="S8477" i="1" s="1"/>
  <c r="L8477" i="1" a="1"/>
  <c r="L8477" i="1" s="1"/>
  <c r="P8477" i="1" a="1"/>
  <c r="P8477" i="1" s="1"/>
  <c r="I8477" i="1" a="1"/>
  <c r="I8477" i="1" s="1"/>
  <c r="M8477" i="1" a="1"/>
  <c r="M8477" i="1" s="1"/>
  <c r="B8478" i="1"/>
  <c r="Q8477" i="1" a="1"/>
  <c r="Q8477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8478" i="1" l="1" a="1"/>
  <c r="I8478" i="1" s="1"/>
  <c r="M8478" i="1" a="1"/>
  <c r="M8478" i="1" s="1"/>
  <c r="Q8478" i="1" a="1"/>
  <c r="Q8478" i="1" s="1"/>
  <c r="J8478" i="1" a="1"/>
  <c r="J8478" i="1" s="1"/>
  <c r="N8478" i="1" a="1"/>
  <c r="N8478" i="1" s="1"/>
  <c r="R8478" i="1" a="1"/>
  <c r="R8478" i="1" s="1"/>
  <c r="K8478" i="1" a="1"/>
  <c r="K8478" i="1" s="1"/>
  <c r="O8478" i="1" a="1"/>
  <c r="O8478" i="1" s="1"/>
  <c r="S8478" i="1" a="1"/>
  <c r="S8478" i="1" s="1"/>
  <c r="B8479" i="1"/>
  <c r="L8478" i="1" a="1"/>
  <c r="L8478" i="1" s="1"/>
  <c r="P8478" i="1" a="1"/>
  <c r="P8478" i="1" s="1"/>
  <c r="A8481" i="1"/>
  <c r="H8480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L8479" i="1" l="1" a="1"/>
  <c r="L8479" i="1" s="1"/>
  <c r="P8479" i="1" a="1"/>
  <c r="P8479" i="1" s="1"/>
  <c r="B8480" i="1"/>
  <c r="I8479" i="1" a="1"/>
  <c r="I8479" i="1" s="1"/>
  <c r="M8479" i="1" a="1"/>
  <c r="M8479" i="1" s="1"/>
  <c r="Q8479" i="1" a="1"/>
  <c r="Q8479" i="1" s="1"/>
  <c r="J8479" i="1" a="1"/>
  <c r="J8479" i="1" s="1"/>
  <c r="N8479" i="1" a="1"/>
  <c r="N8479" i="1" s="1"/>
  <c r="R8479" i="1" a="1"/>
  <c r="R8479" i="1" s="1"/>
  <c r="O8479" i="1" a="1"/>
  <c r="O8479" i="1" s="1"/>
  <c r="S8479" i="1" a="1"/>
  <c r="S8479" i="1" s="1"/>
  <c r="K8479" i="1" a="1"/>
  <c r="K8479" i="1" s="1"/>
  <c r="A8482" i="1"/>
  <c r="H8481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8482" i="1" l="1"/>
  <c r="A8483" i="1"/>
  <c r="K8480" i="1" a="1"/>
  <c r="K8480" i="1" s="1"/>
  <c r="O8480" i="1" a="1"/>
  <c r="O8480" i="1" s="1"/>
  <c r="S8480" i="1" a="1"/>
  <c r="S8480" i="1" s="1"/>
  <c r="L8480" i="1" a="1"/>
  <c r="L8480" i="1" s="1"/>
  <c r="P8480" i="1" a="1"/>
  <c r="P8480" i="1" s="1"/>
  <c r="B8481" i="1"/>
  <c r="I8480" i="1" a="1"/>
  <c r="I8480" i="1" s="1"/>
  <c r="M8480" i="1" a="1"/>
  <c r="M8480" i="1" s="1"/>
  <c r="Q8480" i="1" a="1"/>
  <c r="Q8480" i="1" s="1"/>
  <c r="N8480" i="1" a="1"/>
  <c r="N8480" i="1" s="1"/>
  <c r="R8480" i="1" a="1"/>
  <c r="R8480" i="1" s="1"/>
  <c r="J8480" i="1" a="1"/>
  <c r="J8480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8481" i="1" l="1" a="1"/>
  <c r="J8481" i="1" s="1"/>
  <c r="N8481" i="1" a="1"/>
  <c r="N8481" i="1" s="1"/>
  <c r="R8481" i="1" a="1"/>
  <c r="R8481" i="1" s="1"/>
  <c r="K8481" i="1" a="1"/>
  <c r="K8481" i="1" s="1"/>
  <c r="O8481" i="1" a="1"/>
  <c r="O8481" i="1" s="1"/>
  <c r="S8481" i="1" a="1"/>
  <c r="S8481" i="1" s="1"/>
  <c r="L8481" i="1" a="1"/>
  <c r="L8481" i="1" s="1"/>
  <c r="P8481" i="1" a="1"/>
  <c r="P8481" i="1" s="1"/>
  <c r="M8481" i="1" a="1"/>
  <c r="M8481" i="1" s="1"/>
  <c r="Q8481" i="1" a="1"/>
  <c r="Q8481" i="1" s="1"/>
  <c r="I8481" i="1" a="1"/>
  <c r="I8481" i="1" s="1"/>
  <c r="B8482" i="1"/>
  <c r="A8484" i="1"/>
  <c r="H8483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8485" i="1" l="1"/>
  <c r="H8484" i="1"/>
  <c r="I8482" i="1" a="1"/>
  <c r="I8482" i="1" s="1"/>
  <c r="M8482" i="1" a="1"/>
  <c r="M8482" i="1" s="1"/>
  <c r="Q8482" i="1" a="1"/>
  <c r="Q8482" i="1" s="1"/>
  <c r="J8482" i="1" a="1"/>
  <c r="J8482" i="1" s="1"/>
  <c r="N8482" i="1" a="1"/>
  <c r="N8482" i="1" s="1"/>
  <c r="R8482" i="1" a="1"/>
  <c r="R8482" i="1" s="1"/>
  <c r="K8482" i="1" a="1"/>
  <c r="K8482" i="1" s="1"/>
  <c r="O8482" i="1" a="1"/>
  <c r="O8482" i="1" s="1"/>
  <c r="S8482" i="1" a="1"/>
  <c r="S8482" i="1" s="1"/>
  <c r="B8483" i="1"/>
  <c r="L8482" i="1" a="1"/>
  <c r="L8482" i="1" s="1"/>
  <c r="P8482" i="1" a="1"/>
  <c r="P8482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L8483" i="1" l="1" a="1"/>
  <c r="L8483" i="1" s="1"/>
  <c r="P8483" i="1" a="1"/>
  <c r="P8483" i="1" s="1"/>
  <c r="B8484" i="1"/>
  <c r="I8483" i="1" a="1"/>
  <c r="I8483" i="1" s="1"/>
  <c r="M8483" i="1" a="1"/>
  <c r="M8483" i="1" s="1"/>
  <c r="Q8483" i="1" a="1"/>
  <c r="Q8483" i="1" s="1"/>
  <c r="J8483" i="1" a="1"/>
  <c r="J8483" i="1" s="1"/>
  <c r="N8483" i="1" a="1"/>
  <c r="N8483" i="1" s="1"/>
  <c r="R8483" i="1" a="1"/>
  <c r="R8483" i="1" s="1"/>
  <c r="S8483" i="1" a="1"/>
  <c r="S8483" i="1" s="1"/>
  <c r="K8483" i="1" a="1"/>
  <c r="K8483" i="1" s="1"/>
  <c r="O8483" i="1" a="1"/>
  <c r="O8483" i="1" s="1"/>
  <c r="A8486" i="1"/>
  <c r="H848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8486" i="1" l="1"/>
  <c r="A8487" i="1"/>
  <c r="K8484" i="1" a="1"/>
  <c r="K8484" i="1" s="1"/>
  <c r="O8484" i="1" a="1"/>
  <c r="O8484" i="1" s="1"/>
  <c r="S8484" i="1" a="1"/>
  <c r="S8484" i="1" s="1"/>
  <c r="L8484" i="1" a="1"/>
  <c r="L8484" i="1" s="1"/>
  <c r="P8484" i="1" a="1"/>
  <c r="P8484" i="1" s="1"/>
  <c r="B8485" i="1"/>
  <c r="I8484" i="1" a="1"/>
  <c r="I8484" i="1" s="1"/>
  <c r="M8484" i="1" a="1"/>
  <c r="M8484" i="1" s="1"/>
  <c r="Q8484" i="1" a="1"/>
  <c r="Q8484" i="1" s="1"/>
  <c r="N8484" i="1" a="1"/>
  <c r="N8484" i="1" s="1"/>
  <c r="R8484" i="1" a="1"/>
  <c r="R8484" i="1" s="1"/>
  <c r="J8484" i="1" a="1"/>
  <c r="J8484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8485" i="1" l="1" a="1"/>
  <c r="J8485" i="1" s="1"/>
  <c r="N8485" i="1" a="1"/>
  <c r="N8485" i="1" s="1"/>
  <c r="R8485" i="1" a="1"/>
  <c r="R8485" i="1" s="1"/>
  <c r="K8485" i="1" a="1"/>
  <c r="K8485" i="1" s="1"/>
  <c r="O8485" i="1" a="1"/>
  <c r="O8485" i="1" s="1"/>
  <c r="S8485" i="1" a="1"/>
  <c r="S8485" i="1" s="1"/>
  <c r="L8485" i="1" a="1"/>
  <c r="L8485" i="1" s="1"/>
  <c r="P8485" i="1" a="1"/>
  <c r="P8485" i="1" s="1"/>
  <c r="M8485" i="1" a="1"/>
  <c r="M8485" i="1" s="1"/>
  <c r="Q8485" i="1" a="1"/>
  <c r="Q8485" i="1" s="1"/>
  <c r="I8485" i="1" a="1"/>
  <c r="I8485" i="1" s="1"/>
  <c r="B8486" i="1"/>
  <c r="A8488" i="1"/>
  <c r="H8487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8489" i="1" l="1"/>
  <c r="H8488" i="1"/>
  <c r="I8486" i="1" a="1"/>
  <c r="I8486" i="1" s="1"/>
  <c r="M8486" i="1" a="1"/>
  <c r="M8486" i="1" s="1"/>
  <c r="Q8486" i="1" a="1"/>
  <c r="Q8486" i="1" s="1"/>
  <c r="J8486" i="1" a="1"/>
  <c r="J8486" i="1" s="1"/>
  <c r="N8486" i="1" a="1"/>
  <c r="N8486" i="1" s="1"/>
  <c r="R8486" i="1" a="1"/>
  <c r="R8486" i="1" s="1"/>
  <c r="K8486" i="1" a="1"/>
  <c r="K8486" i="1" s="1"/>
  <c r="O8486" i="1" a="1"/>
  <c r="O8486" i="1" s="1"/>
  <c r="S8486" i="1" a="1"/>
  <c r="S8486" i="1" s="1"/>
  <c r="B8487" i="1"/>
  <c r="L8486" i="1" a="1"/>
  <c r="L8486" i="1" s="1"/>
  <c r="P8486" i="1" a="1"/>
  <c r="P8486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8487" i="1" l="1" a="1"/>
  <c r="L8487" i="1" s="1"/>
  <c r="P8487" i="1" a="1"/>
  <c r="P8487" i="1" s="1"/>
  <c r="B8488" i="1"/>
  <c r="I8487" i="1" a="1"/>
  <c r="I8487" i="1" s="1"/>
  <c r="M8487" i="1" a="1"/>
  <c r="M8487" i="1" s="1"/>
  <c r="Q8487" i="1" a="1"/>
  <c r="Q8487" i="1" s="1"/>
  <c r="J8487" i="1" a="1"/>
  <c r="J8487" i="1" s="1"/>
  <c r="N8487" i="1" a="1"/>
  <c r="N8487" i="1" s="1"/>
  <c r="R8487" i="1" a="1"/>
  <c r="R8487" i="1" s="1"/>
  <c r="S8487" i="1" a="1"/>
  <c r="S8487" i="1" s="1"/>
  <c r="K8487" i="1" a="1"/>
  <c r="K8487" i="1" s="1"/>
  <c r="O8487" i="1" a="1"/>
  <c r="O8487" i="1" s="1"/>
  <c r="A8490" i="1"/>
  <c r="H8489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8490" i="1" l="1"/>
  <c r="A8491" i="1"/>
  <c r="K8488" i="1" a="1"/>
  <c r="K8488" i="1" s="1"/>
  <c r="O8488" i="1" a="1"/>
  <c r="O8488" i="1" s="1"/>
  <c r="S8488" i="1" a="1"/>
  <c r="S8488" i="1" s="1"/>
  <c r="L8488" i="1" a="1"/>
  <c r="L8488" i="1" s="1"/>
  <c r="P8488" i="1" a="1"/>
  <c r="P8488" i="1" s="1"/>
  <c r="B8489" i="1"/>
  <c r="I8488" i="1" a="1"/>
  <c r="I8488" i="1" s="1"/>
  <c r="M8488" i="1" a="1"/>
  <c r="M8488" i="1" s="1"/>
  <c r="Q8488" i="1" a="1"/>
  <c r="Q8488" i="1" s="1"/>
  <c r="R8488" i="1" a="1"/>
  <c r="R8488" i="1" s="1"/>
  <c r="J8488" i="1" a="1"/>
  <c r="J8488" i="1" s="1"/>
  <c r="N8488" i="1" a="1"/>
  <c r="N8488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J8489" i="1" l="1" a="1"/>
  <c r="J8489" i="1" s="1"/>
  <c r="N8489" i="1" a="1"/>
  <c r="N8489" i="1" s="1"/>
  <c r="R8489" i="1" a="1"/>
  <c r="R8489" i="1" s="1"/>
  <c r="K8489" i="1" a="1"/>
  <c r="K8489" i="1" s="1"/>
  <c r="O8489" i="1" a="1"/>
  <c r="O8489" i="1" s="1"/>
  <c r="S8489" i="1" a="1"/>
  <c r="S8489" i="1" s="1"/>
  <c r="L8489" i="1" a="1"/>
  <c r="L8489" i="1" s="1"/>
  <c r="P8489" i="1" a="1"/>
  <c r="P8489" i="1" s="1"/>
  <c r="M8489" i="1" a="1"/>
  <c r="M8489" i="1" s="1"/>
  <c r="Q8489" i="1" a="1"/>
  <c r="Q8489" i="1" s="1"/>
  <c r="I8489" i="1" a="1"/>
  <c r="I8489" i="1" s="1"/>
  <c r="B8490" i="1"/>
  <c r="A8492" i="1"/>
  <c r="H8491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8493" i="1" l="1"/>
  <c r="H8492" i="1"/>
  <c r="I8490" i="1" a="1"/>
  <c r="I8490" i="1" s="1"/>
  <c r="M8490" i="1" a="1"/>
  <c r="M8490" i="1" s="1"/>
  <c r="Q8490" i="1" a="1"/>
  <c r="Q8490" i="1" s="1"/>
  <c r="J8490" i="1" a="1"/>
  <c r="J8490" i="1" s="1"/>
  <c r="N8490" i="1" a="1"/>
  <c r="N8490" i="1" s="1"/>
  <c r="R8490" i="1" a="1"/>
  <c r="R8490" i="1" s="1"/>
  <c r="K8490" i="1" a="1"/>
  <c r="K8490" i="1" s="1"/>
  <c r="O8490" i="1" a="1"/>
  <c r="O8490" i="1" s="1"/>
  <c r="S8490" i="1" a="1"/>
  <c r="S8490" i="1" s="1"/>
  <c r="B8491" i="1"/>
  <c r="L8490" i="1" a="1"/>
  <c r="L8490" i="1" s="1"/>
  <c r="P8490" i="1" a="1"/>
  <c r="P8490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L8491" i="1" l="1" a="1"/>
  <c r="L8491" i="1" s="1"/>
  <c r="P8491" i="1" a="1"/>
  <c r="P8491" i="1" s="1"/>
  <c r="B8492" i="1"/>
  <c r="I8491" i="1" a="1"/>
  <c r="I8491" i="1" s="1"/>
  <c r="M8491" i="1" a="1"/>
  <c r="M8491" i="1" s="1"/>
  <c r="Q8491" i="1" a="1"/>
  <c r="Q8491" i="1" s="1"/>
  <c r="J8491" i="1" a="1"/>
  <c r="J8491" i="1" s="1"/>
  <c r="N8491" i="1" a="1"/>
  <c r="N8491" i="1" s="1"/>
  <c r="R8491" i="1" a="1"/>
  <c r="R8491" i="1" s="1"/>
  <c r="S8491" i="1" a="1"/>
  <c r="S8491" i="1" s="1"/>
  <c r="K8491" i="1" a="1"/>
  <c r="K8491" i="1" s="1"/>
  <c r="O8491" i="1" a="1"/>
  <c r="O8491" i="1" s="1"/>
  <c r="A8494" i="1"/>
  <c r="H8493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H8494" i="1" l="1"/>
  <c r="A8495" i="1"/>
  <c r="K8492" i="1" a="1"/>
  <c r="K8492" i="1" s="1"/>
  <c r="O8492" i="1" a="1"/>
  <c r="O8492" i="1" s="1"/>
  <c r="S8492" i="1" a="1"/>
  <c r="S8492" i="1" s="1"/>
  <c r="L8492" i="1" a="1"/>
  <c r="L8492" i="1" s="1"/>
  <c r="P8492" i="1" a="1"/>
  <c r="P8492" i="1" s="1"/>
  <c r="B8493" i="1"/>
  <c r="I8492" i="1" a="1"/>
  <c r="I8492" i="1" s="1"/>
  <c r="M8492" i="1" a="1"/>
  <c r="M8492" i="1" s="1"/>
  <c r="Q8492" i="1" a="1"/>
  <c r="Q8492" i="1" s="1"/>
  <c r="R8492" i="1" a="1"/>
  <c r="R8492" i="1" s="1"/>
  <c r="J8492" i="1" a="1"/>
  <c r="J8492" i="1" s="1"/>
  <c r="N8492" i="1" a="1"/>
  <c r="N8492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8493" i="1" l="1" a="1"/>
  <c r="J8493" i="1" s="1"/>
  <c r="N8493" i="1" a="1"/>
  <c r="N8493" i="1" s="1"/>
  <c r="R8493" i="1" a="1"/>
  <c r="R8493" i="1" s="1"/>
  <c r="K8493" i="1" a="1"/>
  <c r="K8493" i="1" s="1"/>
  <c r="O8493" i="1" a="1"/>
  <c r="O8493" i="1" s="1"/>
  <c r="S8493" i="1" a="1"/>
  <c r="S8493" i="1" s="1"/>
  <c r="L8493" i="1" a="1"/>
  <c r="L8493" i="1" s="1"/>
  <c r="P8493" i="1" a="1"/>
  <c r="P8493" i="1" s="1"/>
  <c r="Q8493" i="1" a="1"/>
  <c r="Q8493" i="1" s="1"/>
  <c r="I8493" i="1" a="1"/>
  <c r="I8493" i="1" s="1"/>
  <c r="B8494" i="1"/>
  <c r="M8493" i="1" a="1"/>
  <c r="M8493" i="1" s="1"/>
  <c r="A8496" i="1"/>
  <c r="H8495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8497" i="1" l="1"/>
  <c r="H8496" i="1"/>
  <c r="I8494" i="1" a="1"/>
  <c r="I8494" i="1" s="1"/>
  <c r="M8494" i="1" a="1"/>
  <c r="M8494" i="1" s="1"/>
  <c r="Q8494" i="1" a="1"/>
  <c r="Q8494" i="1" s="1"/>
  <c r="J8494" i="1" a="1"/>
  <c r="J8494" i="1" s="1"/>
  <c r="N8494" i="1" a="1"/>
  <c r="N8494" i="1" s="1"/>
  <c r="R8494" i="1" a="1"/>
  <c r="R8494" i="1" s="1"/>
  <c r="K8494" i="1" a="1"/>
  <c r="K8494" i="1" s="1"/>
  <c r="O8494" i="1" a="1"/>
  <c r="O8494" i="1" s="1"/>
  <c r="S8494" i="1" a="1"/>
  <c r="S8494" i="1" s="1"/>
  <c r="L8494" i="1" a="1"/>
  <c r="L8494" i="1" s="1"/>
  <c r="P8494" i="1" a="1"/>
  <c r="P8494" i="1" s="1"/>
  <c r="B8495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L8495" i="1" l="1" a="1"/>
  <c r="L8495" i="1" s="1"/>
  <c r="P8495" i="1" a="1"/>
  <c r="P8495" i="1" s="1"/>
  <c r="B8496" i="1"/>
  <c r="I8495" i="1" a="1"/>
  <c r="I8495" i="1" s="1"/>
  <c r="M8495" i="1" a="1"/>
  <c r="M8495" i="1" s="1"/>
  <c r="Q8495" i="1" a="1"/>
  <c r="Q8495" i="1" s="1"/>
  <c r="J8495" i="1" a="1"/>
  <c r="J8495" i="1" s="1"/>
  <c r="N8495" i="1" a="1"/>
  <c r="N8495" i="1" s="1"/>
  <c r="R8495" i="1" a="1"/>
  <c r="R8495" i="1" s="1"/>
  <c r="K8495" i="1" a="1"/>
  <c r="K8495" i="1" s="1"/>
  <c r="O8495" i="1" a="1"/>
  <c r="O8495" i="1" s="1"/>
  <c r="S8495" i="1" a="1"/>
  <c r="S8495" i="1" s="1"/>
  <c r="A8498" i="1"/>
  <c r="H8497" i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H8498" i="1" l="1"/>
  <c r="A8499" i="1"/>
  <c r="K8496" i="1" a="1"/>
  <c r="K8496" i="1" s="1"/>
  <c r="O8496" i="1" a="1"/>
  <c r="O8496" i="1" s="1"/>
  <c r="S8496" i="1" a="1"/>
  <c r="S8496" i="1" s="1"/>
  <c r="L8496" i="1" a="1"/>
  <c r="L8496" i="1" s="1"/>
  <c r="P8496" i="1" a="1"/>
  <c r="P8496" i="1" s="1"/>
  <c r="B8497" i="1"/>
  <c r="I8496" i="1" a="1"/>
  <c r="I8496" i="1" s="1"/>
  <c r="M8496" i="1" a="1"/>
  <c r="M8496" i="1" s="1"/>
  <c r="Q8496" i="1" a="1"/>
  <c r="Q8496" i="1" s="1"/>
  <c r="R8496" i="1" a="1"/>
  <c r="R8496" i="1" s="1"/>
  <c r="J8496" i="1" a="1"/>
  <c r="J8496" i="1" s="1"/>
  <c r="N8496" i="1" a="1"/>
  <c r="N8496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8500" i="1" l="1"/>
  <c r="H8499" i="1"/>
  <c r="J8497" i="1" a="1"/>
  <c r="J8497" i="1" s="1"/>
  <c r="N8497" i="1" a="1"/>
  <c r="N8497" i="1" s="1"/>
  <c r="R8497" i="1" a="1"/>
  <c r="R8497" i="1" s="1"/>
  <c r="K8497" i="1" a="1"/>
  <c r="K8497" i="1" s="1"/>
  <c r="O8497" i="1" a="1"/>
  <c r="O8497" i="1" s="1"/>
  <c r="S8497" i="1" a="1"/>
  <c r="S8497" i="1" s="1"/>
  <c r="L8497" i="1" a="1"/>
  <c r="L8497" i="1" s="1"/>
  <c r="P8497" i="1" a="1"/>
  <c r="P8497" i="1" s="1"/>
  <c r="Q8497" i="1" a="1"/>
  <c r="Q8497" i="1" s="1"/>
  <c r="I8497" i="1" a="1"/>
  <c r="I8497" i="1" s="1"/>
  <c r="B8498" i="1"/>
  <c r="M8497" i="1" a="1"/>
  <c r="M8497" i="1" s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8498" i="1" l="1" a="1"/>
  <c r="I8498" i="1" s="1"/>
  <c r="M8498" i="1" a="1"/>
  <c r="M8498" i="1" s="1"/>
  <c r="Q8498" i="1" a="1"/>
  <c r="Q8498" i="1" s="1"/>
  <c r="J8498" i="1" a="1"/>
  <c r="J8498" i="1" s="1"/>
  <c r="N8498" i="1" a="1"/>
  <c r="N8498" i="1" s="1"/>
  <c r="R8498" i="1" a="1"/>
  <c r="R8498" i="1" s="1"/>
  <c r="K8498" i="1" a="1"/>
  <c r="K8498" i="1" s="1"/>
  <c r="O8498" i="1" a="1"/>
  <c r="O8498" i="1" s="1"/>
  <c r="S8498" i="1" a="1"/>
  <c r="S8498" i="1" s="1"/>
  <c r="P8498" i="1" a="1"/>
  <c r="P8498" i="1" s="1"/>
  <c r="B8499" i="1"/>
  <c r="L8498" i="1" a="1"/>
  <c r="L8498" i="1" s="1"/>
  <c r="A8501" i="1"/>
  <c r="H8500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8502" i="1" l="1"/>
  <c r="H8501" i="1"/>
  <c r="L8499" i="1" a="1"/>
  <c r="L8499" i="1" s="1"/>
  <c r="P8499" i="1" a="1"/>
  <c r="P8499" i="1" s="1"/>
  <c r="B8500" i="1"/>
  <c r="I8499" i="1" a="1"/>
  <c r="I8499" i="1" s="1"/>
  <c r="M8499" i="1" a="1"/>
  <c r="M8499" i="1" s="1"/>
  <c r="Q8499" i="1" a="1"/>
  <c r="Q8499" i="1" s="1"/>
  <c r="J8499" i="1" a="1"/>
  <c r="J8499" i="1" s="1"/>
  <c r="N8499" i="1" a="1"/>
  <c r="N8499" i="1" s="1"/>
  <c r="R8499" i="1" a="1"/>
  <c r="R8499" i="1" s="1"/>
  <c r="K8499" i="1" a="1"/>
  <c r="K8499" i="1" s="1"/>
  <c r="O8499" i="1" a="1"/>
  <c r="O8499" i="1" s="1"/>
  <c r="S8499" i="1" a="1"/>
  <c r="S8499" i="1" s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8500" i="1" l="1" a="1"/>
  <c r="K8500" i="1" s="1"/>
  <c r="O8500" i="1" a="1"/>
  <c r="O8500" i="1" s="1"/>
  <c r="S8500" i="1" a="1"/>
  <c r="S8500" i="1" s="1"/>
  <c r="L8500" i="1" a="1"/>
  <c r="L8500" i="1" s="1"/>
  <c r="P8500" i="1" a="1"/>
  <c r="P8500" i="1" s="1"/>
  <c r="B8501" i="1"/>
  <c r="I8500" i="1" a="1"/>
  <c r="I8500" i="1" s="1"/>
  <c r="M8500" i="1" a="1"/>
  <c r="M8500" i="1" s="1"/>
  <c r="Q8500" i="1" a="1"/>
  <c r="Q8500" i="1" s="1"/>
  <c r="J8500" i="1" a="1"/>
  <c r="J8500" i="1" s="1"/>
  <c r="N8500" i="1" a="1"/>
  <c r="N8500" i="1" s="1"/>
  <c r="R8500" i="1" a="1"/>
  <c r="R8500" i="1" s="1"/>
  <c r="H8502" i="1"/>
  <c r="A8503" i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8504" i="1" l="1"/>
  <c r="H8503" i="1"/>
  <c r="J8501" i="1" a="1"/>
  <c r="J8501" i="1" s="1"/>
  <c r="N8501" i="1" a="1"/>
  <c r="N8501" i="1" s="1"/>
  <c r="R8501" i="1" a="1"/>
  <c r="R8501" i="1" s="1"/>
  <c r="K8501" i="1" a="1"/>
  <c r="K8501" i="1" s="1"/>
  <c r="O8501" i="1" a="1"/>
  <c r="O8501" i="1" s="1"/>
  <c r="S8501" i="1" a="1"/>
  <c r="S8501" i="1" s="1"/>
  <c r="L8501" i="1" a="1"/>
  <c r="L8501" i="1" s="1"/>
  <c r="P8501" i="1" a="1"/>
  <c r="P8501" i="1" s="1"/>
  <c r="Q8501" i="1" a="1"/>
  <c r="Q8501" i="1" s="1"/>
  <c r="I8501" i="1" a="1"/>
  <c r="I8501" i="1" s="1"/>
  <c r="B8502" i="1"/>
  <c r="M8501" i="1" a="1"/>
  <c r="M8501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I8502" i="1" l="1" a="1"/>
  <c r="I8502" i="1" s="1"/>
  <c r="M8502" i="1" a="1"/>
  <c r="M8502" i="1" s="1"/>
  <c r="Q8502" i="1" a="1"/>
  <c r="Q8502" i="1" s="1"/>
  <c r="J8502" i="1" a="1"/>
  <c r="J8502" i="1" s="1"/>
  <c r="N8502" i="1" a="1"/>
  <c r="N8502" i="1" s="1"/>
  <c r="R8502" i="1" a="1"/>
  <c r="R8502" i="1" s="1"/>
  <c r="K8502" i="1" a="1"/>
  <c r="K8502" i="1" s="1"/>
  <c r="O8502" i="1" a="1"/>
  <c r="O8502" i="1" s="1"/>
  <c r="S8502" i="1" a="1"/>
  <c r="S8502" i="1" s="1"/>
  <c r="P8502" i="1" a="1"/>
  <c r="P8502" i="1" s="1"/>
  <c r="B8503" i="1"/>
  <c r="L8502" i="1" a="1"/>
  <c r="L8502" i="1" s="1"/>
  <c r="A8505" i="1"/>
  <c r="H8504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8506" i="1" l="1"/>
  <c r="H8505" i="1"/>
  <c r="L8503" i="1" a="1"/>
  <c r="L8503" i="1" s="1"/>
  <c r="P8503" i="1" a="1"/>
  <c r="P8503" i="1" s="1"/>
  <c r="B8504" i="1"/>
  <c r="I8503" i="1" a="1"/>
  <c r="I8503" i="1" s="1"/>
  <c r="M8503" i="1" a="1"/>
  <c r="M8503" i="1" s="1"/>
  <c r="Q8503" i="1" a="1"/>
  <c r="Q8503" i="1" s="1"/>
  <c r="J8503" i="1" a="1"/>
  <c r="J8503" i="1" s="1"/>
  <c r="N8503" i="1" a="1"/>
  <c r="N8503" i="1" s="1"/>
  <c r="R8503" i="1" a="1"/>
  <c r="R8503" i="1" s="1"/>
  <c r="O8503" i="1" a="1"/>
  <c r="O8503" i="1" s="1"/>
  <c r="S8503" i="1" a="1"/>
  <c r="S8503" i="1" s="1"/>
  <c r="K8503" i="1" a="1"/>
  <c r="K8503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K8504" i="1" l="1" a="1"/>
  <c r="K8504" i="1" s="1"/>
  <c r="O8504" i="1" a="1"/>
  <c r="O8504" i="1" s="1"/>
  <c r="S8504" i="1" a="1"/>
  <c r="S8504" i="1" s="1"/>
  <c r="L8504" i="1" a="1"/>
  <c r="L8504" i="1" s="1"/>
  <c r="P8504" i="1" a="1"/>
  <c r="P8504" i="1" s="1"/>
  <c r="B8505" i="1"/>
  <c r="I8504" i="1" a="1"/>
  <c r="I8504" i="1" s="1"/>
  <c r="M8504" i="1" a="1"/>
  <c r="M8504" i="1" s="1"/>
  <c r="Q8504" i="1" a="1"/>
  <c r="Q8504" i="1" s="1"/>
  <c r="J8504" i="1" a="1"/>
  <c r="J8504" i="1" s="1"/>
  <c r="N8504" i="1" a="1"/>
  <c r="N8504" i="1" s="1"/>
  <c r="R8504" i="1" a="1"/>
  <c r="R8504" i="1" s="1"/>
  <c r="H8506" i="1"/>
  <c r="A850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8507" i="1" l="1"/>
  <c r="A8508" i="1"/>
  <c r="J8505" i="1" a="1"/>
  <c r="J8505" i="1" s="1"/>
  <c r="N8505" i="1" a="1"/>
  <c r="N8505" i="1" s="1"/>
  <c r="R8505" i="1" a="1"/>
  <c r="R8505" i="1" s="1"/>
  <c r="K8505" i="1" a="1"/>
  <c r="K8505" i="1" s="1"/>
  <c r="O8505" i="1" a="1"/>
  <c r="O8505" i="1" s="1"/>
  <c r="S8505" i="1" a="1"/>
  <c r="S8505" i="1" s="1"/>
  <c r="L8505" i="1" a="1"/>
  <c r="L8505" i="1" s="1"/>
  <c r="P8505" i="1" a="1"/>
  <c r="P8505" i="1" s="1"/>
  <c r="I8505" i="1" a="1"/>
  <c r="I8505" i="1" s="1"/>
  <c r="B8506" i="1"/>
  <c r="M8505" i="1" a="1"/>
  <c r="M8505" i="1" s="1"/>
  <c r="Q8505" i="1" a="1"/>
  <c r="Q8505" i="1" s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8506" i="1" l="1" a="1"/>
  <c r="I8506" i="1" s="1"/>
  <c r="M8506" i="1" a="1"/>
  <c r="M8506" i="1" s="1"/>
  <c r="Q8506" i="1" a="1"/>
  <c r="Q8506" i="1" s="1"/>
  <c r="J8506" i="1" a="1"/>
  <c r="J8506" i="1" s="1"/>
  <c r="N8506" i="1" a="1"/>
  <c r="N8506" i="1" s="1"/>
  <c r="R8506" i="1" a="1"/>
  <c r="R8506" i="1" s="1"/>
  <c r="K8506" i="1" a="1"/>
  <c r="K8506" i="1" s="1"/>
  <c r="O8506" i="1" a="1"/>
  <c r="O8506" i="1" s="1"/>
  <c r="S8506" i="1" a="1"/>
  <c r="S8506" i="1" s="1"/>
  <c r="P8506" i="1" a="1"/>
  <c r="P8506" i="1" s="1"/>
  <c r="B8507" i="1"/>
  <c r="L8506" i="1" a="1"/>
  <c r="L8506" i="1" s="1"/>
  <c r="H8508" i="1"/>
  <c r="A8509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8509" i="1" l="1"/>
  <c r="A8510" i="1"/>
  <c r="L8507" i="1" a="1"/>
  <c r="L8507" i="1" s="1"/>
  <c r="B8508" i="1"/>
  <c r="I8507" i="1" a="1"/>
  <c r="I8507" i="1" s="1"/>
  <c r="J8507" i="1" a="1"/>
  <c r="J8507" i="1" s="1"/>
  <c r="N8507" i="1" a="1"/>
  <c r="N8507" i="1" s="1"/>
  <c r="R8507" i="1" a="1"/>
  <c r="R8507" i="1" s="1"/>
  <c r="M8507" i="1" a="1"/>
  <c r="M8507" i="1" s="1"/>
  <c r="O8507" i="1" a="1"/>
  <c r="O8507" i="1" s="1"/>
  <c r="P8507" i="1" a="1"/>
  <c r="P8507" i="1" s="1"/>
  <c r="Q8507" i="1" a="1"/>
  <c r="Q8507" i="1" s="1"/>
  <c r="K8507" i="1" a="1"/>
  <c r="K8507" i="1" s="1"/>
  <c r="S8507" i="1" a="1"/>
  <c r="S8507" i="1" s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B8509" i="1" l="1"/>
  <c r="I8508" i="1" a="1"/>
  <c r="I8508" i="1" s="1"/>
  <c r="M8508" i="1" a="1"/>
  <c r="M8508" i="1" s="1"/>
  <c r="Q8508" i="1" a="1"/>
  <c r="Q8508" i="1" s="1"/>
  <c r="S8508" i="1" a="1"/>
  <c r="S8508" i="1" s="1"/>
  <c r="N8508" i="1" a="1"/>
  <c r="N8508" i="1" s="1"/>
  <c r="O8508" i="1" a="1"/>
  <c r="O8508" i="1" s="1"/>
  <c r="J8508" i="1" a="1"/>
  <c r="J8508" i="1" s="1"/>
  <c r="P8508" i="1" a="1"/>
  <c r="P8508" i="1" s="1"/>
  <c r="K8508" i="1" a="1"/>
  <c r="K8508" i="1" s="1"/>
  <c r="R8508" i="1" a="1"/>
  <c r="R8508" i="1" s="1"/>
  <c r="L8508" i="1" a="1"/>
  <c r="L8508" i="1" s="1"/>
  <c r="H8510" i="1"/>
  <c r="A851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H8511" i="1" l="1"/>
  <c r="A8512" i="1"/>
  <c r="M8509" i="1" a="1"/>
  <c r="M8509" i="1" s="1"/>
  <c r="R8509" i="1" a="1"/>
  <c r="R8509" i="1" s="1"/>
  <c r="S8509" i="1" a="1"/>
  <c r="S8509" i="1" s="1"/>
  <c r="I8509" i="1" a="1"/>
  <c r="I8509" i="1" s="1"/>
  <c r="N8509" i="1" a="1"/>
  <c r="N8509" i="1" s="1"/>
  <c r="O8509" i="1" a="1"/>
  <c r="O8509" i="1" s="1"/>
  <c r="B8510" i="1"/>
  <c r="J8509" i="1" a="1"/>
  <c r="J8509" i="1" s="1"/>
  <c r="P8509" i="1" a="1"/>
  <c r="P8509" i="1" s="1"/>
  <c r="K8509" i="1" a="1"/>
  <c r="K8509" i="1" s="1"/>
  <c r="L8509" i="1" a="1"/>
  <c r="L8509" i="1" s="1"/>
  <c r="Q8509" i="1" a="1"/>
  <c r="Q8509" i="1" s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8513" i="1" l="1"/>
  <c r="H8512" i="1"/>
  <c r="J8510" i="1" a="1"/>
  <c r="J8510" i="1" s="1"/>
  <c r="B8511" i="1"/>
  <c r="K8510" i="1" a="1"/>
  <c r="K8510" i="1" s="1"/>
  <c r="P8510" i="1" a="1"/>
  <c r="P8510" i="1" s="1"/>
  <c r="L8510" i="1" a="1"/>
  <c r="L8510" i="1" s="1"/>
  <c r="Q8510" i="1" a="1"/>
  <c r="Q8510" i="1" s="1"/>
  <c r="R8510" i="1" a="1"/>
  <c r="R8510" i="1" s="1"/>
  <c r="M8510" i="1" a="1"/>
  <c r="M8510" i="1" s="1"/>
  <c r="S8510" i="1" a="1"/>
  <c r="S8510" i="1" s="1"/>
  <c r="N8510" i="1" a="1"/>
  <c r="N8510" i="1" s="1"/>
  <c r="O8510" i="1" a="1"/>
  <c r="O8510" i="1" s="1"/>
  <c r="I8510" i="1" a="1"/>
  <c r="I8510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B8512" i="1" l="1"/>
  <c r="M8511" i="1" a="1"/>
  <c r="M8511" i="1" s="1"/>
  <c r="Q8511" i="1" a="1"/>
  <c r="Q8511" i="1" s="1"/>
  <c r="I8511" i="1" a="1"/>
  <c r="I8511" i="1" s="1"/>
  <c r="J8511" i="1" a="1"/>
  <c r="J8511" i="1" s="1"/>
  <c r="N8511" i="1" a="1"/>
  <c r="N8511" i="1" s="1"/>
  <c r="R8511" i="1" a="1"/>
  <c r="R8511" i="1" s="1"/>
  <c r="K8511" i="1" a="1"/>
  <c r="K8511" i="1" s="1"/>
  <c r="O8511" i="1" a="1"/>
  <c r="O8511" i="1" s="1"/>
  <c r="S8511" i="1" a="1"/>
  <c r="S8511" i="1" s="1"/>
  <c r="L8511" i="1" a="1"/>
  <c r="L8511" i="1" s="1"/>
  <c r="P8511" i="1" a="1"/>
  <c r="P8511" i="1" s="1"/>
  <c r="A8514" i="1"/>
  <c r="H8513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8515" i="1" l="1"/>
  <c r="H8514" i="1"/>
  <c r="L8512" i="1" a="1"/>
  <c r="L8512" i="1" s="1"/>
  <c r="P8512" i="1" a="1"/>
  <c r="P8512" i="1" s="1"/>
  <c r="B8513" i="1"/>
  <c r="I8512" i="1" a="1"/>
  <c r="I8512" i="1" s="1"/>
  <c r="M8512" i="1" a="1"/>
  <c r="M8512" i="1" s="1"/>
  <c r="Q8512" i="1" a="1"/>
  <c r="Q8512" i="1" s="1"/>
  <c r="J8512" i="1" a="1"/>
  <c r="J8512" i="1" s="1"/>
  <c r="N8512" i="1" a="1"/>
  <c r="N8512" i="1" s="1"/>
  <c r="R8512" i="1" a="1"/>
  <c r="R8512" i="1" s="1"/>
  <c r="K8512" i="1" a="1"/>
  <c r="K8512" i="1" s="1"/>
  <c r="O8512" i="1" a="1"/>
  <c r="O8512" i="1" s="1"/>
  <c r="S8512" i="1" a="1"/>
  <c r="S8512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K8513" i="1" l="1" a="1"/>
  <c r="K8513" i="1" s="1"/>
  <c r="O8513" i="1" a="1"/>
  <c r="O8513" i="1" s="1"/>
  <c r="S8513" i="1" a="1"/>
  <c r="S8513" i="1" s="1"/>
  <c r="L8513" i="1" a="1"/>
  <c r="L8513" i="1" s="1"/>
  <c r="P8513" i="1" a="1"/>
  <c r="P8513" i="1" s="1"/>
  <c r="B8514" i="1"/>
  <c r="I8513" i="1" a="1"/>
  <c r="I8513" i="1" s="1"/>
  <c r="M8513" i="1" a="1"/>
  <c r="M8513" i="1" s="1"/>
  <c r="Q8513" i="1" a="1"/>
  <c r="Q8513" i="1" s="1"/>
  <c r="J8513" i="1" a="1"/>
  <c r="J8513" i="1" s="1"/>
  <c r="N8513" i="1" a="1"/>
  <c r="N8513" i="1" s="1"/>
  <c r="R8513" i="1" a="1"/>
  <c r="R8513" i="1" s="1"/>
  <c r="H8515" i="1"/>
  <c r="A851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8517" i="1" l="1"/>
  <c r="H8516" i="1"/>
  <c r="J8514" i="1" a="1"/>
  <c r="J8514" i="1" s="1"/>
  <c r="N8514" i="1" a="1"/>
  <c r="N8514" i="1" s="1"/>
  <c r="R8514" i="1" a="1"/>
  <c r="R8514" i="1" s="1"/>
  <c r="K8514" i="1" a="1"/>
  <c r="K8514" i="1" s="1"/>
  <c r="O8514" i="1" a="1"/>
  <c r="O8514" i="1" s="1"/>
  <c r="S8514" i="1" a="1"/>
  <c r="S8514" i="1" s="1"/>
  <c r="L8514" i="1" a="1"/>
  <c r="L8514" i="1" s="1"/>
  <c r="P8514" i="1" a="1"/>
  <c r="P8514" i="1" s="1"/>
  <c r="B8515" i="1"/>
  <c r="I8514" i="1" a="1"/>
  <c r="I8514" i="1" s="1"/>
  <c r="M8514" i="1" a="1"/>
  <c r="M8514" i="1" s="1"/>
  <c r="Q8514" i="1" a="1"/>
  <c r="Q8514" i="1" s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B8516" i="1" l="1"/>
  <c r="I8515" i="1" a="1"/>
  <c r="I8515" i="1" s="1"/>
  <c r="M8515" i="1" a="1"/>
  <c r="M8515" i="1" s="1"/>
  <c r="Q8515" i="1" a="1"/>
  <c r="Q8515" i="1" s="1"/>
  <c r="J8515" i="1" a="1"/>
  <c r="J8515" i="1" s="1"/>
  <c r="N8515" i="1" a="1"/>
  <c r="N8515" i="1" s="1"/>
  <c r="R8515" i="1" a="1"/>
  <c r="R8515" i="1" s="1"/>
  <c r="K8515" i="1" a="1"/>
  <c r="K8515" i="1" s="1"/>
  <c r="O8515" i="1" a="1"/>
  <c r="O8515" i="1" s="1"/>
  <c r="S8515" i="1" a="1"/>
  <c r="S8515" i="1" s="1"/>
  <c r="P8515" i="1" a="1"/>
  <c r="P8515" i="1" s="1"/>
  <c r="L8515" i="1" a="1"/>
  <c r="L8515" i="1" s="1"/>
  <c r="A8518" i="1"/>
  <c r="H8517" i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8519" i="1" l="1"/>
  <c r="H8518" i="1"/>
  <c r="L8516" i="1" a="1"/>
  <c r="L8516" i="1" s="1"/>
  <c r="P8516" i="1" a="1"/>
  <c r="P8516" i="1" s="1"/>
  <c r="B8517" i="1"/>
  <c r="I8516" i="1" a="1"/>
  <c r="I8516" i="1" s="1"/>
  <c r="M8516" i="1" a="1"/>
  <c r="M8516" i="1" s="1"/>
  <c r="Q8516" i="1" a="1"/>
  <c r="Q8516" i="1" s="1"/>
  <c r="J8516" i="1" a="1"/>
  <c r="J8516" i="1" s="1"/>
  <c r="N8516" i="1" a="1"/>
  <c r="N8516" i="1" s="1"/>
  <c r="R8516" i="1" a="1"/>
  <c r="R8516" i="1" s="1"/>
  <c r="K8516" i="1" a="1"/>
  <c r="K8516" i="1" s="1"/>
  <c r="O8516" i="1" a="1"/>
  <c r="O8516" i="1" s="1"/>
  <c r="S8516" i="1" a="1"/>
  <c r="S8516" i="1" s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8517" i="1" l="1" a="1"/>
  <c r="K8517" i="1" s="1"/>
  <c r="O8517" i="1" a="1"/>
  <c r="O8517" i="1" s="1"/>
  <c r="S8517" i="1" a="1"/>
  <c r="S8517" i="1" s="1"/>
  <c r="L8517" i="1" a="1"/>
  <c r="L8517" i="1" s="1"/>
  <c r="P8517" i="1" a="1"/>
  <c r="P8517" i="1" s="1"/>
  <c r="B8518" i="1"/>
  <c r="I8517" i="1" a="1"/>
  <c r="I8517" i="1" s="1"/>
  <c r="M8517" i="1" a="1"/>
  <c r="M8517" i="1" s="1"/>
  <c r="Q8517" i="1" a="1"/>
  <c r="Q8517" i="1" s="1"/>
  <c r="J8517" i="1" a="1"/>
  <c r="J8517" i="1" s="1"/>
  <c r="N8517" i="1" a="1"/>
  <c r="N8517" i="1" s="1"/>
  <c r="R8517" i="1" a="1"/>
  <c r="R8517" i="1" s="1"/>
  <c r="H8519" i="1"/>
  <c r="A852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8518" i="1" l="1" a="1"/>
  <c r="J8518" i="1" s="1"/>
  <c r="N8518" i="1" a="1"/>
  <c r="N8518" i="1" s="1"/>
  <c r="R8518" i="1" a="1"/>
  <c r="R8518" i="1" s="1"/>
  <c r="K8518" i="1" a="1"/>
  <c r="K8518" i="1" s="1"/>
  <c r="O8518" i="1" a="1"/>
  <c r="O8518" i="1" s="1"/>
  <c r="S8518" i="1" a="1"/>
  <c r="S8518" i="1" s="1"/>
  <c r="L8518" i="1" a="1"/>
  <c r="L8518" i="1" s="1"/>
  <c r="P8518" i="1" a="1"/>
  <c r="P8518" i="1" s="1"/>
  <c r="B8519" i="1"/>
  <c r="I8518" i="1" a="1"/>
  <c r="I8518" i="1" s="1"/>
  <c r="M8518" i="1" a="1"/>
  <c r="M8518" i="1" s="1"/>
  <c r="Q8518" i="1" a="1"/>
  <c r="Q8518" i="1" s="1"/>
  <c r="A8521" i="1"/>
  <c r="H8520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8522" i="1" l="1"/>
  <c r="H8521" i="1"/>
  <c r="B8520" i="1"/>
  <c r="I8519" i="1" a="1"/>
  <c r="I8519" i="1" s="1"/>
  <c r="M8519" i="1" a="1"/>
  <c r="M8519" i="1" s="1"/>
  <c r="Q8519" i="1" a="1"/>
  <c r="Q8519" i="1" s="1"/>
  <c r="J8519" i="1" a="1"/>
  <c r="J8519" i="1" s="1"/>
  <c r="N8519" i="1" a="1"/>
  <c r="N8519" i="1" s="1"/>
  <c r="R8519" i="1" a="1"/>
  <c r="R8519" i="1" s="1"/>
  <c r="K8519" i="1" a="1"/>
  <c r="K8519" i="1" s="1"/>
  <c r="O8519" i="1" a="1"/>
  <c r="O8519" i="1" s="1"/>
  <c r="S8519" i="1" a="1"/>
  <c r="S8519" i="1" s="1"/>
  <c r="L8519" i="1" a="1"/>
  <c r="L8519" i="1" s="1"/>
  <c r="P8519" i="1" a="1"/>
  <c r="P8519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8520" i="1" l="1" a="1"/>
  <c r="L8520" i="1" s="1"/>
  <c r="P8520" i="1" a="1"/>
  <c r="P8520" i="1" s="1"/>
  <c r="B8521" i="1"/>
  <c r="I8520" i="1" a="1"/>
  <c r="I8520" i="1" s="1"/>
  <c r="M8520" i="1" a="1"/>
  <c r="M8520" i="1" s="1"/>
  <c r="Q8520" i="1" a="1"/>
  <c r="Q8520" i="1" s="1"/>
  <c r="J8520" i="1" a="1"/>
  <c r="J8520" i="1" s="1"/>
  <c r="N8520" i="1" a="1"/>
  <c r="N8520" i="1" s="1"/>
  <c r="R8520" i="1" a="1"/>
  <c r="R8520" i="1" s="1"/>
  <c r="O8520" i="1" a="1"/>
  <c r="O8520" i="1" s="1"/>
  <c r="S8520" i="1" a="1"/>
  <c r="S8520" i="1" s="1"/>
  <c r="K8520" i="1" a="1"/>
  <c r="K8520" i="1" s="1"/>
  <c r="A8523" i="1"/>
  <c r="H8522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8521" i="1" l="1" a="1"/>
  <c r="K8521" i="1" s="1"/>
  <c r="O8521" i="1" a="1"/>
  <c r="O8521" i="1" s="1"/>
  <c r="S8521" i="1" a="1"/>
  <c r="S8521" i="1" s="1"/>
  <c r="L8521" i="1" a="1"/>
  <c r="L8521" i="1" s="1"/>
  <c r="P8521" i="1" a="1"/>
  <c r="P8521" i="1" s="1"/>
  <c r="B8522" i="1"/>
  <c r="I8521" i="1" a="1"/>
  <c r="I8521" i="1" s="1"/>
  <c r="M8521" i="1" a="1"/>
  <c r="M8521" i="1" s="1"/>
  <c r="Q8521" i="1" a="1"/>
  <c r="Q8521" i="1" s="1"/>
  <c r="J8521" i="1" a="1"/>
  <c r="J8521" i="1" s="1"/>
  <c r="N8521" i="1" a="1"/>
  <c r="N8521" i="1" s="1"/>
  <c r="R8521" i="1" a="1"/>
  <c r="R8521" i="1" s="1"/>
  <c r="H8523" i="1"/>
  <c r="A8524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8525" i="1" l="1"/>
  <c r="H8524" i="1"/>
  <c r="J8522" i="1" a="1"/>
  <c r="J8522" i="1" s="1"/>
  <c r="N8522" i="1" a="1"/>
  <c r="N8522" i="1" s="1"/>
  <c r="R8522" i="1" a="1"/>
  <c r="R8522" i="1" s="1"/>
  <c r="K8522" i="1" a="1"/>
  <c r="K8522" i="1" s="1"/>
  <c r="O8522" i="1" a="1"/>
  <c r="O8522" i="1" s="1"/>
  <c r="S8522" i="1" a="1"/>
  <c r="S8522" i="1" s="1"/>
  <c r="L8522" i="1" a="1"/>
  <c r="L8522" i="1" s="1"/>
  <c r="P8522" i="1" a="1"/>
  <c r="P8522" i="1" s="1"/>
  <c r="B8523" i="1"/>
  <c r="I8522" i="1" a="1"/>
  <c r="I8522" i="1" s="1"/>
  <c r="M8522" i="1" a="1"/>
  <c r="M8522" i="1" s="1"/>
  <c r="Q8522" i="1" a="1"/>
  <c r="Q8522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B8524" i="1" l="1"/>
  <c r="I8523" i="1" a="1"/>
  <c r="I8523" i="1" s="1"/>
  <c r="M8523" i="1" a="1"/>
  <c r="M8523" i="1" s="1"/>
  <c r="Q8523" i="1" a="1"/>
  <c r="Q8523" i="1" s="1"/>
  <c r="J8523" i="1" a="1"/>
  <c r="J8523" i="1" s="1"/>
  <c r="N8523" i="1" a="1"/>
  <c r="N8523" i="1" s="1"/>
  <c r="R8523" i="1" a="1"/>
  <c r="R8523" i="1" s="1"/>
  <c r="K8523" i="1" a="1"/>
  <c r="K8523" i="1" s="1"/>
  <c r="O8523" i="1" a="1"/>
  <c r="O8523" i="1" s="1"/>
  <c r="S8523" i="1" a="1"/>
  <c r="S8523" i="1" s="1"/>
  <c r="L8523" i="1" a="1"/>
  <c r="L8523" i="1" s="1"/>
  <c r="P8523" i="1" a="1"/>
  <c r="P8523" i="1" s="1"/>
  <c r="A8526" i="1"/>
  <c r="H8525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8527" i="1" l="1"/>
  <c r="H8526" i="1"/>
  <c r="L8524" i="1" a="1"/>
  <c r="L8524" i="1" s="1"/>
  <c r="P8524" i="1" a="1"/>
  <c r="P8524" i="1" s="1"/>
  <c r="B8525" i="1"/>
  <c r="I8524" i="1" a="1"/>
  <c r="I8524" i="1" s="1"/>
  <c r="M8524" i="1" a="1"/>
  <c r="M8524" i="1" s="1"/>
  <c r="Q8524" i="1" a="1"/>
  <c r="Q8524" i="1" s="1"/>
  <c r="J8524" i="1" a="1"/>
  <c r="J8524" i="1" s="1"/>
  <c r="N8524" i="1" a="1"/>
  <c r="N8524" i="1" s="1"/>
  <c r="R8524" i="1" a="1"/>
  <c r="R8524" i="1" s="1"/>
  <c r="K8524" i="1" a="1"/>
  <c r="K8524" i="1" s="1"/>
  <c r="O8524" i="1" a="1"/>
  <c r="O8524" i="1" s="1"/>
  <c r="S8524" i="1" a="1"/>
  <c r="S8524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K8525" i="1" l="1" a="1"/>
  <c r="K8525" i="1" s="1"/>
  <c r="O8525" i="1" a="1"/>
  <c r="O8525" i="1" s="1"/>
  <c r="S8525" i="1" a="1"/>
  <c r="S8525" i="1" s="1"/>
  <c r="L8525" i="1" a="1"/>
  <c r="L8525" i="1" s="1"/>
  <c r="P8525" i="1" a="1"/>
  <c r="P8525" i="1" s="1"/>
  <c r="B8526" i="1"/>
  <c r="I8525" i="1" a="1"/>
  <c r="I8525" i="1" s="1"/>
  <c r="M8525" i="1" a="1"/>
  <c r="M8525" i="1" s="1"/>
  <c r="Q8525" i="1" a="1"/>
  <c r="Q8525" i="1" s="1"/>
  <c r="N8525" i="1" a="1"/>
  <c r="N8525" i="1" s="1"/>
  <c r="R8525" i="1" a="1"/>
  <c r="R8525" i="1" s="1"/>
  <c r="J8525" i="1" a="1"/>
  <c r="J8525" i="1" s="1"/>
  <c r="H8527" i="1"/>
  <c r="A8528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A8529" i="1" l="1"/>
  <c r="H8528" i="1"/>
  <c r="J8526" i="1" a="1"/>
  <c r="J8526" i="1" s="1"/>
  <c r="N8526" i="1" a="1"/>
  <c r="N8526" i="1" s="1"/>
  <c r="R8526" i="1" a="1"/>
  <c r="R8526" i="1" s="1"/>
  <c r="K8526" i="1" a="1"/>
  <c r="K8526" i="1" s="1"/>
  <c r="O8526" i="1" a="1"/>
  <c r="O8526" i="1" s="1"/>
  <c r="S8526" i="1" a="1"/>
  <c r="S8526" i="1" s="1"/>
  <c r="L8526" i="1" a="1"/>
  <c r="L8526" i="1" s="1"/>
  <c r="P8526" i="1" a="1"/>
  <c r="P8526" i="1" s="1"/>
  <c r="B8527" i="1"/>
  <c r="I8526" i="1" a="1"/>
  <c r="I8526" i="1" s="1"/>
  <c r="M8526" i="1" a="1"/>
  <c r="M8526" i="1" s="1"/>
  <c r="Q8526" i="1" a="1"/>
  <c r="Q8526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B8528" i="1" l="1"/>
  <c r="I8527" i="1" a="1"/>
  <c r="I8527" i="1" s="1"/>
  <c r="M8527" i="1" a="1"/>
  <c r="M8527" i="1" s="1"/>
  <c r="Q8527" i="1" a="1"/>
  <c r="Q8527" i="1" s="1"/>
  <c r="J8527" i="1" a="1"/>
  <c r="J8527" i="1" s="1"/>
  <c r="N8527" i="1" a="1"/>
  <c r="N8527" i="1" s="1"/>
  <c r="R8527" i="1" a="1"/>
  <c r="R8527" i="1" s="1"/>
  <c r="K8527" i="1" a="1"/>
  <c r="K8527" i="1" s="1"/>
  <c r="O8527" i="1" a="1"/>
  <c r="O8527" i="1" s="1"/>
  <c r="S8527" i="1" a="1"/>
  <c r="S8527" i="1" s="1"/>
  <c r="L8527" i="1" a="1"/>
  <c r="L8527" i="1" s="1"/>
  <c r="P8527" i="1" a="1"/>
  <c r="P8527" i="1" s="1"/>
  <c r="A8530" i="1"/>
  <c r="H8529" i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A8531" i="1" l="1"/>
  <c r="H8530" i="1"/>
  <c r="L8528" i="1" a="1"/>
  <c r="L8528" i="1" s="1"/>
  <c r="P8528" i="1" a="1"/>
  <c r="P8528" i="1" s="1"/>
  <c r="B8529" i="1"/>
  <c r="I8528" i="1" a="1"/>
  <c r="I8528" i="1" s="1"/>
  <c r="M8528" i="1" a="1"/>
  <c r="M8528" i="1" s="1"/>
  <c r="Q8528" i="1" a="1"/>
  <c r="Q8528" i="1" s="1"/>
  <c r="J8528" i="1" a="1"/>
  <c r="J8528" i="1" s="1"/>
  <c r="N8528" i="1" a="1"/>
  <c r="N8528" i="1" s="1"/>
  <c r="R8528" i="1" a="1"/>
  <c r="R8528" i="1" s="1"/>
  <c r="K8528" i="1" a="1"/>
  <c r="K8528" i="1" s="1"/>
  <c r="O8528" i="1" a="1"/>
  <c r="O8528" i="1" s="1"/>
  <c r="S8528" i="1" a="1"/>
  <c r="S8528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K8529" i="1" l="1" a="1"/>
  <c r="K8529" i="1" s="1"/>
  <c r="O8529" i="1" a="1"/>
  <c r="O8529" i="1" s="1"/>
  <c r="S8529" i="1" a="1"/>
  <c r="S8529" i="1" s="1"/>
  <c r="L8529" i="1" a="1"/>
  <c r="L8529" i="1" s="1"/>
  <c r="P8529" i="1" a="1"/>
  <c r="P8529" i="1" s="1"/>
  <c r="B8530" i="1"/>
  <c r="I8529" i="1" a="1"/>
  <c r="I8529" i="1" s="1"/>
  <c r="M8529" i="1" a="1"/>
  <c r="M8529" i="1" s="1"/>
  <c r="Q8529" i="1" a="1"/>
  <c r="Q8529" i="1" s="1"/>
  <c r="J8529" i="1" a="1"/>
  <c r="J8529" i="1" s="1"/>
  <c r="N8529" i="1" a="1"/>
  <c r="N8529" i="1" s="1"/>
  <c r="R8529" i="1" a="1"/>
  <c r="R8529" i="1" s="1"/>
  <c r="H8531" i="1"/>
  <c r="A8532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A8533" i="1" l="1"/>
  <c r="H8532" i="1"/>
  <c r="J8530" i="1" a="1"/>
  <c r="J8530" i="1" s="1"/>
  <c r="N8530" i="1" a="1"/>
  <c r="N8530" i="1" s="1"/>
  <c r="R8530" i="1" a="1"/>
  <c r="R8530" i="1" s="1"/>
  <c r="K8530" i="1" a="1"/>
  <c r="K8530" i="1" s="1"/>
  <c r="O8530" i="1" a="1"/>
  <c r="O8530" i="1" s="1"/>
  <c r="S8530" i="1" a="1"/>
  <c r="S8530" i="1" s="1"/>
  <c r="L8530" i="1" a="1"/>
  <c r="L8530" i="1" s="1"/>
  <c r="P8530" i="1" a="1"/>
  <c r="P8530" i="1" s="1"/>
  <c r="B8531" i="1"/>
  <c r="M8530" i="1" a="1"/>
  <c r="M8530" i="1" s="1"/>
  <c r="Q8530" i="1" a="1"/>
  <c r="Q8530" i="1" s="1"/>
  <c r="I8530" i="1" a="1"/>
  <c r="I8530" i="1" s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B8532" i="1" l="1"/>
  <c r="I8531" i="1" a="1"/>
  <c r="I8531" i="1" s="1"/>
  <c r="M8531" i="1" a="1"/>
  <c r="M8531" i="1" s="1"/>
  <c r="Q8531" i="1" a="1"/>
  <c r="Q8531" i="1" s="1"/>
  <c r="J8531" i="1" a="1"/>
  <c r="J8531" i="1" s="1"/>
  <c r="N8531" i="1" a="1"/>
  <c r="N8531" i="1" s="1"/>
  <c r="R8531" i="1" a="1"/>
  <c r="R8531" i="1" s="1"/>
  <c r="K8531" i="1" a="1"/>
  <c r="K8531" i="1" s="1"/>
  <c r="O8531" i="1" a="1"/>
  <c r="O8531" i="1" s="1"/>
  <c r="S8531" i="1" a="1"/>
  <c r="S8531" i="1" s="1"/>
  <c r="L8531" i="1" a="1"/>
  <c r="L8531" i="1" s="1"/>
  <c r="P8531" i="1" a="1"/>
  <c r="P8531" i="1" s="1"/>
  <c r="A8534" i="1"/>
  <c r="H8533" i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8534" i="1" l="1"/>
  <c r="A8535" i="1"/>
  <c r="L8532" i="1" a="1"/>
  <c r="L8532" i="1" s="1"/>
  <c r="P8532" i="1" a="1"/>
  <c r="P8532" i="1" s="1"/>
  <c r="B8533" i="1"/>
  <c r="I8532" i="1" a="1"/>
  <c r="I8532" i="1" s="1"/>
  <c r="M8532" i="1" a="1"/>
  <c r="M8532" i="1" s="1"/>
  <c r="Q8532" i="1" a="1"/>
  <c r="Q8532" i="1" s="1"/>
  <c r="J8532" i="1" a="1"/>
  <c r="J8532" i="1" s="1"/>
  <c r="N8532" i="1" a="1"/>
  <c r="N8532" i="1" s="1"/>
  <c r="R8532" i="1" a="1"/>
  <c r="R8532" i="1" s="1"/>
  <c r="S8532" i="1" a="1"/>
  <c r="S8532" i="1" s="1"/>
  <c r="K8532" i="1" a="1"/>
  <c r="K8532" i="1" s="1"/>
  <c r="O8532" i="1" a="1"/>
  <c r="O8532" i="1" s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8533" i="1" l="1" a="1"/>
  <c r="K8533" i="1" s="1"/>
  <c r="O8533" i="1" a="1"/>
  <c r="O8533" i="1" s="1"/>
  <c r="S8533" i="1" a="1"/>
  <c r="S8533" i="1" s="1"/>
  <c r="L8533" i="1" a="1"/>
  <c r="L8533" i="1" s="1"/>
  <c r="P8533" i="1" a="1"/>
  <c r="P8533" i="1" s="1"/>
  <c r="B8534" i="1"/>
  <c r="I8533" i="1" a="1"/>
  <c r="I8533" i="1" s="1"/>
  <c r="M8533" i="1" a="1"/>
  <c r="M8533" i="1" s="1"/>
  <c r="J8533" i="1" a="1"/>
  <c r="J8533" i="1" s="1"/>
  <c r="N8533" i="1" a="1"/>
  <c r="N8533" i="1" s="1"/>
  <c r="Q8533" i="1" a="1"/>
  <c r="Q8533" i="1" s="1"/>
  <c r="R8533" i="1" a="1"/>
  <c r="R8533" i="1" s="1"/>
  <c r="H8535" i="1"/>
  <c r="A8536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A8537" i="1" l="1"/>
  <c r="H8536" i="1"/>
  <c r="J8534" i="1" a="1"/>
  <c r="J8534" i="1" s="1"/>
  <c r="N8534" i="1" a="1"/>
  <c r="N8534" i="1" s="1"/>
  <c r="R8534" i="1" a="1"/>
  <c r="R8534" i="1" s="1"/>
  <c r="K8534" i="1" a="1"/>
  <c r="K8534" i="1" s="1"/>
  <c r="O8534" i="1" a="1"/>
  <c r="O8534" i="1" s="1"/>
  <c r="S8534" i="1" a="1"/>
  <c r="S8534" i="1" s="1"/>
  <c r="B8535" i="1"/>
  <c r="M8534" i="1" a="1"/>
  <c r="M8534" i="1" s="1"/>
  <c r="P8534" i="1" a="1"/>
  <c r="P8534" i="1" s="1"/>
  <c r="Q8534" i="1" a="1"/>
  <c r="Q8534" i="1" s="1"/>
  <c r="I8534" i="1" a="1"/>
  <c r="I8534" i="1" s="1"/>
  <c r="L8534" i="1" a="1"/>
  <c r="L8534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B8536" i="1" l="1"/>
  <c r="I8535" i="1" a="1"/>
  <c r="I8535" i="1" s="1"/>
  <c r="M8535" i="1" a="1"/>
  <c r="M8535" i="1" s="1"/>
  <c r="Q8535" i="1" a="1"/>
  <c r="Q8535" i="1" s="1"/>
  <c r="J8535" i="1" a="1"/>
  <c r="J8535" i="1" s="1"/>
  <c r="N8535" i="1" a="1"/>
  <c r="N8535" i="1" s="1"/>
  <c r="R8535" i="1" a="1"/>
  <c r="R8535" i="1" s="1"/>
  <c r="P8535" i="1" a="1"/>
  <c r="P8535" i="1" s="1"/>
  <c r="S8535" i="1" a="1"/>
  <c r="S8535" i="1" s="1"/>
  <c r="K8535" i="1" a="1"/>
  <c r="K8535" i="1" s="1"/>
  <c r="L8535" i="1" a="1"/>
  <c r="L8535" i="1" s="1"/>
  <c r="O8535" i="1" a="1"/>
  <c r="O8535" i="1" s="1"/>
  <c r="A8538" i="1"/>
  <c r="H8537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8538" i="1" l="1"/>
  <c r="A8539" i="1"/>
  <c r="L8536" i="1" a="1"/>
  <c r="L8536" i="1" s="1"/>
  <c r="P8536" i="1" a="1"/>
  <c r="P8536" i="1" s="1"/>
  <c r="B8537" i="1"/>
  <c r="I8536" i="1" a="1"/>
  <c r="I8536" i="1" s="1"/>
  <c r="M8536" i="1" a="1"/>
  <c r="M8536" i="1" s="1"/>
  <c r="Q8536" i="1" a="1"/>
  <c r="Q8536" i="1" s="1"/>
  <c r="S8536" i="1" a="1"/>
  <c r="S8536" i="1" s="1"/>
  <c r="J8536" i="1" a="1"/>
  <c r="J8536" i="1" s="1"/>
  <c r="K8536" i="1" a="1"/>
  <c r="K8536" i="1" s="1"/>
  <c r="N8536" i="1" a="1"/>
  <c r="N8536" i="1" s="1"/>
  <c r="O8536" i="1" a="1"/>
  <c r="O8536" i="1" s="1"/>
  <c r="R8536" i="1" a="1"/>
  <c r="R8536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K8537" i="1" l="1" a="1"/>
  <c r="K8537" i="1" s="1"/>
  <c r="O8537" i="1" a="1"/>
  <c r="O8537" i="1" s="1"/>
  <c r="S8537" i="1" a="1"/>
  <c r="S8537" i="1" s="1"/>
  <c r="L8537" i="1" a="1"/>
  <c r="L8537" i="1" s="1"/>
  <c r="P8537" i="1" a="1"/>
  <c r="P8537" i="1" s="1"/>
  <c r="B8538" i="1"/>
  <c r="I8537" i="1" a="1"/>
  <c r="I8537" i="1" s="1"/>
  <c r="J8537" i="1" a="1"/>
  <c r="J8537" i="1" s="1"/>
  <c r="M8537" i="1" a="1"/>
  <c r="M8537" i="1" s="1"/>
  <c r="N8537" i="1" a="1"/>
  <c r="N8537" i="1" s="1"/>
  <c r="Q8537" i="1" a="1"/>
  <c r="Q8537" i="1" s="1"/>
  <c r="R8537" i="1" a="1"/>
  <c r="R8537" i="1" s="1"/>
  <c r="H8539" i="1"/>
  <c r="A8540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A8541" i="1" l="1"/>
  <c r="H8540" i="1"/>
  <c r="J8538" i="1" a="1"/>
  <c r="J8538" i="1" s="1"/>
  <c r="N8538" i="1" a="1"/>
  <c r="N8538" i="1" s="1"/>
  <c r="R8538" i="1" a="1"/>
  <c r="R8538" i="1" s="1"/>
  <c r="K8538" i="1" a="1"/>
  <c r="K8538" i="1" s="1"/>
  <c r="O8538" i="1" a="1"/>
  <c r="O8538" i="1" s="1"/>
  <c r="S8538" i="1" a="1"/>
  <c r="S8538" i="1" s="1"/>
  <c r="B8539" i="1"/>
  <c r="I8538" i="1" a="1"/>
  <c r="I8538" i="1" s="1"/>
  <c r="L8538" i="1" a="1"/>
  <c r="L8538" i="1" s="1"/>
  <c r="M8538" i="1" a="1"/>
  <c r="M8538" i="1" s="1"/>
  <c r="P8538" i="1" a="1"/>
  <c r="P8538" i="1" s="1"/>
  <c r="Q8538" i="1" a="1"/>
  <c r="Q8538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B8540" i="1" l="1"/>
  <c r="I8539" i="1" a="1"/>
  <c r="I8539" i="1" s="1"/>
  <c r="M8539" i="1" a="1"/>
  <c r="M8539" i="1" s="1"/>
  <c r="Q8539" i="1" a="1"/>
  <c r="Q8539" i="1" s="1"/>
  <c r="J8539" i="1" a="1"/>
  <c r="J8539" i="1" s="1"/>
  <c r="N8539" i="1" a="1"/>
  <c r="N8539" i="1" s="1"/>
  <c r="R8539" i="1" a="1"/>
  <c r="R8539" i="1" s="1"/>
  <c r="L8539" i="1" a="1"/>
  <c r="L8539" i="1" s="1"/>
  <c r="O8539" i="1" a="1"/>
  <c r="O8539" i="1" s="1"/>
  <c r="P8539" i="1" a="1"/>
  <c r="P8539" i="1" s="1"/>
  <c r="S8539" i="1" a="1"/>
  <c r="S8539" i="1" s="1"/>
  <c r="K8539" i="1" a="1"/>
  <c r="K8539" i="1" s="1"/>
  <c r="A8542" i="1"/>
  <c r="H8541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H8542" i="1" l="1"/>
  <c r="A8543" i="1"/>
  <c r="L8540" i="1" a="1"/>
  <c r="L8540" i="1" s="1"/>
  <c r="P8540" i="1" a="1"/>
  <c r="P8540" i="1" s="1"/>
  <c r="B8541" i="1"/>
  <c r="I8540" i="1" a="1"/>
  <c r="I8540" i="1" s="1"/>
  <c r="M8540" i="1" a="1"/>
  <c r="M8540" i="1" s="1"/>
  <c r="Q8540" i="1" a="1"/>
  <c r="Q8540" i="1" s="1"/>
  <c r="O8540" i="1" a="1"/>
  <c r="O8540" i="1" s="1"/>
  <c r="R8540" i="1" a="1"/>
  <c r="R8540" i="1" s="1"/>
  <c r="S8540" i="1" a="1"/>
  <c r="S8540" i="1" s="1"/>
  <c r="J8540" i="1" a="1"/>
  <c r="J8540" i="1" s="1"/>
  <c r="K8540" i="1" a="1"/>
  <c r="K8540" i="1" s="1"/>
  <c r="N8540" i="1" a="1"/>
  <c r="N8540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8541" i="1" l="1" a="1"/>
  <c r="K8541" i="1" s="1"/>
  <c r="O8541" i="1" a="1"/>
  <c r="O8541" i="1" s="1"/>
  <c r="S8541" i="1" a="1"/>
  <c r="S8541" i="1" s="1"/>
  <c r="L8541" i="1" a="1"/>
  <c r="L8541" i="1" s="1"/>
  <c r="P8541" i="1" a="1"/>
  <c r="P8541" i="1" s="1"/>
  <c r="B8542" i="1"/>
  <c r="R8541" i="1" a="1"/>
  <c r="R8541" i="1" s="1"/>
  <c r="I8541" i="1" a="1"/>
  <c r="I8541" i="1" s="1"/>
  <c r="J8541" i="1" a="1"/>
  <c r="J8541" i="1" s="1"/>
  <c r="M8541" i="1" a="1"/>
  <c r="M8541" i="1" s="1"/>
  <c r="N8541" i="1" a="1"/>
  <c r="N8541" i="1" s="1"/>
  <c r="Q8541" i="1" a="1"/>
  <c r="Q8541" i="1" s="1"/>
  <c r="H8543" i="1"/>
  <c r="A8544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A8545" i="1" l="1"/>
  <c r="H8544" i="1"/>
  <c r="J8542" i="1" a="1"/>
  <c r="J8542" i="1" s="1"/>
  <c r="N8542" i="1" a="1"/>
  <c r="N8542" i="1" s="1"/>
  <c r="R8542" i="1" a="1"/>
  <c r="R8542" i="1" s="1"/>
  <c r="K8542" i="1" a="1"/>
  <c r="K8542" i="1" s="1"/>
  <c r="O8542" i="1" a="1"/>
  <c r="O8542" i="1" s="1"/>
  <c r="S8542" i="1" a="1"/>
  <c r="S8542" i="1" s="1"/>
  <c r="B8543" i="1"/>
  <c r="I8542" i="1" a="1"/>
  <c r="I8542" i="1" s="1"/>
  <c r="L8542" i="1" a="1"/>
  <c r="L8542" i="1" s="1"/>
  <c r="M8542" i="1" a="1"/>
  <c r="M8542" i="1" s="1"/>
  <c r="P8542" i="1" a="1"/>
  <c r="P8542" i="1" s="1"/>
  <c r="Q8542" i="1" a="1"/>
  <c r="Q8542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B8544" i="1" l="1"/>
  <c r="I8543" i="1" a="1"/>
  <c r="I8543" i="1" s="1"/>
  <c r="M8543" i="1" a="1"/>
  <c r="M8543" i="1" s="1"/>
  <c r="Q8543" i="1" a="1"/>
  <c r="Q8543" i="1" s="1"/>
  <c r="J8543" i="1" a="1"/>
  <c r="J8543" i="1" s="1"/>
  <c r="N8543" i="1" a="1"/>
  <c r="N8543" i="1" s="1"/>
  <c r="R8543" i="1" a="1"/>
  <c r="R8543" i="1" s="1"/>
  <c r="K8543" i="1" a="1"/>
  <c r="K8543" i="1" s="1"/>
  <c r="L8543" i="1" a="1"/>
  <c r="L8543" i="1" s="1"/>
  <c r="O8543" i="1" a="1"/>
  <c r="O8543" i="1" s="1"/>
  <c r="P8543" i="1" a="1"/>
  <c r="P8543" i="1" s="1"/>
  <c r="S8543" i="1" a="1"/>
  <c r="S8543" i="1" s="1"/>
  <c r="A8546" i="1"/>
  <c r="H8545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H8546" i="1" l="1"/>
  <c r="A8547" i="1"/>
  <c r="L8544" i="1" a="1"/>
  <c r="L8544" i="1" s="1"/>
  <c r="P8544" i="1" a="1"/>
  <c r="P8544" i="1" s="1"/>
  <c r="B8545" i="1"/>
  <c r="I8544" i="1" a="1"/>
  <c r="I8544" i="1" s="1"/>
  <c r="M8544" i="1" a="1"/>
  <c r="M8544" i="1" s="1"/>
  <c r="Q8544" i="1" a="1"/>
  <c r="Q8544" i="1" s="1"/>
  <c r="K8544" i="1" a="1"/>
  <c r="K8544" i="1" s="1"/>
  <c r="N8544" i="1" a="1"/>
  <c r="N8544" i="1" s="1"/>
  <c r="O8544" i="1" a="1"/>
  <c r="O8544" i="1" s="1"/>
  <c r="R8544" i="1" a="1"/>
  <c r="R8544" i="1" s="1"/>
  <c r="S8544" i="1" a="1"/>
  <c r="S8544" i="1" s="1"/>
  <c r="J8544" i="1" a="1"/>
  <c r="J8544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8545" i="1" l="1" a="1"/>
  <c r="K8545" i="1" s="1"/>
  <c r="O8545" i="1" a="1"/>
  <c r="O8545" i="1" s="1"/>
  <c r="S8545" i="1" a="1"/>
  <c r="S8545" i="1" s="1"/>
  <c r="L8545" i="1" a="1"/>
  <c r="L8545" i="1" s="1"/>
  <c r="P8545" i="1" a="1"/>
  <c r="P8545" i="1" s="1"/>
  <c r="B8546" i="1"/>
  <c r="N8545" i="1" a="1"/>
  <c r="N8545" i="1" s="1"/>
  <c r="Q8545" i="1" a="1"/>
  <c r="Q8545" i="1" s="1"/>
  <c r="R8545" i="1" a="1"/>
  <c r="R8545" i="1" s="1"/>
  <c r="I8545" i="1" a="1"/>
  <c r="I8545" i="1" s="1"/>
  <c r="J8545" i="1" a="1"/>
  <c r="J8545" i="1" s="1"/>
  <c r="M8545" i="1" a="1"/>
  <c r="M8545" i="1" s="1"/>
  <c r="H8547" i="1"/>
  <c r="A8548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J8546" i="1" l="1" a="1"/>
  <c r="J8546" i="1" s="1"/>
  <c r="N8546" i="1" a="1"/>
  <c r="N8546" i="1" s="1"/>
  <c r="R8546" i="1" a="1"/>
  <c r="R8546" i="1" s="1"/>
  <c r="K8546" i="1" a="1"/>
  <c r="K8546" i="1" s="1"/>
  <c r="O8546" i="1" a="1"/>
  <c r="O8546" i="1" s="1"/>
  <c r="S8546" i="1" a="1"/>
  <c r="S8546" i="1" s="1"/>
  <c r="Q8546" i="1" a="1"/>
  <c r="Q8546" i="1" s="1"/>
  <c r="B8547" i="1"/>
  <c r="I8546" i="1" a="1"/>
  <c r="I8546" i="1" s="1"/>
  <c r="L8546" i="1" a="1"/>
  <c r="L8546" i="1" s="1"/>
  <c r="M8546" i="1" a="1"/>
  <c r="M8546" i="1" s="1"/>
  <c r="P8546" i="1" a="1"/>
  <c r="P8546" i="1" s="1"/>
  <c r="A8549" i="1"/>
  <c r="H8548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B8548" i="1" l="1"/>
  <c r="I8547" i="1" a="1"/>
  <c r="I8547" i="1" s="1"/>
  <c r="M8547" i="1" a="1"/>
  <c r="M8547" i="1" s="1"/>
  <c r="Q8547" i="1" a="1"/>
  <c r="Q8547" i="1" s="1"/>
  <c r="N8547" i="1" a="1"/>
  <c r="N8547" i="1" s="1"/>
  <c r="O8547" i="1" a="1"/>
  <c r="O8547" i="1" s="1"/>
  <c r="P8547" i="1" a="1"/>
  <c r="P8547" i="1" s="1"/>
  <c r="J8547" i="1" a="1"/>
  <c r="J8547" i="1" s="1"/>
  <c r="R8547" i="1" a="1"/>
  <c r="R8547" i="1" s="1"/>
  <c r="K8547" i="1" a="1"/>
  <c r="K8547" i="1" s="1"/>
  <c r="S8547" i="1" a="1"/>
  <c r="S8547" i="1" s="1"/>
  <c r="L8547" i="1" a="1"/>
  <c r="L8547" i="1" s="1"/>
  <c r="H8549" i="1"/>
  <c r="A855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8550" i="1" l="1"/>
  <c r="A8551" i="1"/>
  <c r="L8548" i="1" a="1"/>
  <c r="L8548" i="1" s="1"/>
  <c r="P8548" i="1" a="1"/>
  <c r="P8548" i="1" s="1"/>
  <c r="B8549" i="1"/>
  <c r="I8548" i="1" a="1"/>
  <c r="I8548" i="1" s="1"/>
  <c r="Q8548" i="1" a="1"/>
  <c r="Q8548" i="1" s="1"/>
  <c r="J8548" i="1" a="1"/>
  <c r="J8548" i="1" s="1"/>
  <c r="R8548" i="1" a="1"/>
  <c r="R8548" i="1" s="1"/>
  <c r="K8548" i="1" a="1"/>
  <c r="K8548" i="1" s="1"/>
  <c r="S8548" i="1" a="1"/>
  <c r="S8548" i="1" s="1"/>
  <c r="M8548" i="1" a="1"/>
  <c r="M8548" i="1" s="1"/>
  <c r="N8548" i="1" a="1"/>
  <c r="N8548" i="1" s="1"/>
  <c r="O8548" i="1" a="1"/>
  <c r="O8548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K8549" i="1" l="1" a="1"/>
  <c r="K8549" i="1" s="1"/>
  <c r="O8549" i="1" a="1"/>
  <c r="O8549" i="1" s="1"/>
  <c r="S8549" i="1" a="1"/>
  <c r="S8549" i="1" s="1"/>
  <c r="B8550" i="1"/>
  <c r="L8549" i="1" a="1"/>
  <c r="L8549" i="1" s="1"/>
  <c r="M8549" i="1" a="1"/>
  <c r="M8549" i="1" s="1"/>
  <c r="N8549" i="1" a="1"/>
  <c r="N8549" i="1" s="1"/>
  <c r="P8549" i="1" a="1"/>
  <c r="P8549" i="1" s="1"/>
  <c r="I8549" i="1" a="1"/>
  <c r="I8549" i="1" s="1"/>
  <c r="Q8549" i="1" a="1"/>
  <c r="Q8549" i="1" s="1"/>
  <c r="J8549" i="1" a="1"/>
  <c r="J8549" i="1" s="1"/>
  <c r="R8549" i="1" a="1"/>
  <c r="R8549" i="1" s="1"/>
  <c r="H8551" i="1"/>
  <c r="A8552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J8550" i="1" l="1" a="1"/>
  <c r="J8550" i="1" s="1"/>
  <c r="N8550" i="1" a="1"/>
  <c r="N8550" i="1" s="1"/>
  <c r="B8551" i="1"/>
  <c r="O8550" i="1" a="1"/>
  <c r="O8550" i="1" s="1"/>
  <c r="P8550" i="1" a="1"/>
  <c r="P8550" i="1" s="1"/>
  <c r="I8550" i="1" a="1"/>
  <c r="I8550" i="1" s="1"/>
  <c r="K8550" i="1" a="1"/>
  <c r="K8550" i="1" s="1"/>
  <c r="Q8550" i="1" a="1"/>
  <c r="Q8550" i="1" s="1"/>
  <c r="L8550" i="1" a="1"/>
  <c r="L8550" i="1" s="1"/>
  <c r="R8550" i="1" a="1"/>
  <c r="R8550" i="1" s="1"/>
  <c r="S8550" i="1" a="1"/>
  <c r="S8550" i="1" s="1"/>
  <c r="M8550" i="1" a="1"/>
  <c r="M8550" i="1" s="1"/>
  <c r="H8552" i="1"/>
  <c r="A8553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8553" i="1" l="1"/>
  <c r="A8554" i="1"/>
  <c r="B8552" i="1"/>
  <c r="N8551" i="1" a="1"/>
  <c r="N8551" i="1" s="1"/>
  <c r="O8551" i="1" a="1"/>
  <c r="O8551" i="1" s="1"/>
  <c r="I8551" i="1" a="1"/>
  <c r="I8551" i="1" s="1"/>
  <c r="J8551" i="1" a="1"/>
  <c r="J8551" i="1" s="1"/>
  <c r="P8551" i="1" a="1"/>
  <c r="P8551" i="1" s="1"/>
  <c r="K8551" i="1" a="1"/>
  <c r="K8551" i="1" s="1"/>
  <c r="Q8551" i="1" a="1"/>
  <c r="Q8551" i="1" s="1"/>
  <c r="R8551" i="1" a="1"/>
  <c r="R8551" i="1" s="1"/>
  <c r="L8551" i="1" a="1"/>
  <c r="L8551" i="1" s="1"/>
  <c r="S8551" i="1" a="1"/>
  <c r="S8551" i="1" s="1"/>
  <c r="M8551" i="1" a="1"/>
  <c r="M8551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B8553" i="1" l="1"/>
  <c r="N8552" i="1" a="1"/>
  <c r="N8552" i="1" s="1"/>
  <c r="I8552" i="1" a="1"/>
  <c r="I8552" i="1" s="1"/>
  <c r="O8552" i="1" a="1"/>
  <c r="O8552" i="1" s="1"/>
  <c r="J8552" i="1" a="1"/>
  <c r="J8552" i="1" s="1"/>
  <c r="P8552" i="1" a="1"/>
  <c r="P8552" i="1" s="1"/>
  <c r="Q8552" i="1" a="1"/>
  <c r="Q8552" i="1" s="1"/>
  <c r="K8552" i="1" a="1"/>
  <c r="K8552" i="1" s="1"/>
  <c r="R8552" i="1" a="1"/>
  <c r="R8552" i="1" s="1"/>
  <c r="L8552" i="1" a="1"/>
  <c r="L8552" i="1" s="1"/>
  <c r="M8552" i="1" a="1"/>
  <c r="M8552" i="1" s="1"/>
  <c r="S8552" i="1" a="1"/>
  <c r="S8552" i="1" s="1"/>
  <c r="A8555" i="1"/>
  <c r="H8554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H8555" i="1" l="1"/>
  <c r="A8556" i="1"/>
  <c r="B8554" i="1"/>
  <c r="N8553" i="1" a="1"/>
  <c r="N8553" i="1" s="1"/>
  <c r="I8553" i="1" a="1"/>
  <c r="I8553" i="1" s="1"/>
  <c r="O8553" i="1" a="1"/>
  <c r="O8553" i="1" s="1"/>
  <c r="P8553" i="1" a="1"/>
  <c r="P8553" i="1" s="1"/>
  <c r="J8553" i="1" a="1"/>
  <c r="J8553" i="1" s="1"/>
  <c r="Q8553" i="1" a="1"/>
  <c r="Q8553" i="1" s="1"/>
  <c r="K8553" i="1" a="1"/>
  <c r="K8553" i="1" s="1"/>
  <c r="L8553" i="1" a="1"/>
  <c r="L8553" i="1" s="1"/>
  <c r="R8553" i="1" a="1"/>
  <c r="R8553" i="1" s="1"/>
  <c r="M8553" i="1" a="1"/>
  <c r="M8553" i="1" s="1"/>
  <c r="S8553" i="1" a="1"/>
  <c r="S8553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M8554" i="1" l="1" a="1"/>
  <c r="M8554" i="1" s="1"/>
  <c r="N8554" i="1" a="1"/>
  <c r="N8554" i="1" s="1"/>
  <c r="B8555" i="1"/>
  <c r="O8554" i="1" a="1"/>
  <c r="O8554" i="1" s="1"/>
  <c r="I8554" i="1" a="1"/>
  <c r="I8554" i="1" s="1"/>
  <c r="P8554" i="1" a="1"/>
  <c r="P8554" i="1" s="1"/>
  <c r="J8554" i="1" a="1"/>
  <c r="J8554" i="1" s="1"/>
  <c r="K8554" i="1" a="1"/>
  <c r="K8554" i="1" s="1"/>
  <c r="Q8554" i="1" a="1"/>
  <c r="Q8554" i="1" s="1"/>
  <c r="L8554" i="1" a="1"/>
  <c r="L8554" i="1" s="1"/>
  <c r="R8554" i="1" a="1"/>
  <c r="R8554" i="1" s="1"/>
  <c r="S8554" i="1" a="1"/>
  <c r="S8554" i="1" s="1"/>
  <c r="H8556" i="1"/>
  <c r="A8557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B8556" i="1" l="1"/>
  <c r="M8555" i="1" a="1"/>
  <c r="M8555" i="1" s="1"/>
  <c r="N8555" i="1" a="1"/>
  <c r="N8555" i="1" s="1"/>
  <c r="O8555" i="1" a="1"/>
  <c r="O8555" i="1" s="1"/>
  <c r="I8555" i="1" a="1"/>
  <c r="I8555" i="1" s="1"/>
  <c r="J8555" i="1" a="1"/>
  <c r="J8555" i="1" s="1"/>
  <c r="P8555" i="1" a="1"/>
  <c r="P8555" i="1" s="1"/>
  <c r="K8555" i="1" a="1"/>
  <c r="K8555" i="1" s="1"/>
  <c r="Q8555" i="1" a="1"/>
  <c r="Q8555" i="1" s="1"/>
  <c r="R8555" i="1" a="1"/>
  <c r="R8555" i="1" s="1"/>
  <c r="L8555" i="1" a="1"/>
  <c r="L8555" i="1" s="1"/>
  <c r="S8555" i="1" a="1"/>
  <c r="S8555" i="1" s="1"/>
  <c r="H8557" i="1"/>
  <c r="A8558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8559" i="1" l="1"/>
  <c r="H8558" i="1"/>
  <c r="B8557" i="1"/>
  <c r="M8556" i="1" a="1"/>
  <c r="M8556" i="1" s="1"/>
  <c r="S8556" i="1" a="1"/>
  <c r="S8556" i="1" s="1"/>
  <c r="N8556" i="1" a="1"/>
  <c r="N8556" i="1" s="1"/>
  <c r="I8556" i="1" a="1"/>
  <c r="I8556" i="1" s="1"/>
  <c r="O8556" i="1" a="1"/>
  <c r="O8556" i="1" s="1"/>
  <c r="J8556" i="1" a="1"/>
  <c r="J8556" i="1" s="1"/>
  <c r="P8556" i="1" a="1"/>
  <c r="P8556" i="1" s="1"/>
  <c r="Q8556" i="1" a="1"/>
  <c r="Q8556" i="1" s="1"/>
  <c r="K8556" i="1" a="1"/>
  <c r="K8556" i="1" s="1"/>
  <c r="R8556" i="1" a="1"/>
  <c r="R8556" i="1" s="1"/>
  <c r="L8556" i="1" a="1"/>
  <c r="L8556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B8558" i="1" l="1"/>
  <c r="M8557" i="1" a="1"/>
  <c r="M8557" i="1" s="1"/>
  <c r="S8557" i="1" a="1"/>
  <c r="S8557" i="1" s="1"/>
  <c r="N8557" i="1" a="1"/>
  <c r="N8557" i="1" s="1"/>
  <c r="I8557" i="1" a="1"/>
  <c r="I8557" i="1" s="1"/>
  <c r="O8557" i="1" a="1"/>
  <c r="O8557" i="1" s="1"/>
  <c r="P8557" i="1" a="1"/>
  <c r="P8557" i="1" s="1"/>
  <c r="J8557" i="1" a="1"/>
  <c r="J8557" i="1" s="1"/>
  <c r="Q8557" i="1" a="1"/>
  <c r="Q8557" i="1" s="1"/>
  <c r="K8557" i="1" a="1"/>
  <c r="K8557" i="1" s="1"/>
  <c r="L8557" i="1" a="1"/>
  <c r="L8557" i="1" s="1"/>
  <c r="R8557" i="1" a="1"/>
  <c r="R8557" i="1" s="1"/>
  <c r="H8559" i="1"/>
  <c r="A8560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8560" i="1" l="1"/>
  <c r="A8561" i="1"/>
  <c r="S8558" i="1" a="1"/>
  <c r="S8558" i="1" s="1"/>
  <c r="M8558" i="1" a="1"/>
  <c r="M8558" i="1" s="1"/>
  <c r="N8558" i="1" a="1"/>
  <c r="N8558" i="1" s="1"/>
  <c r="B8559" i="1"/>
  <c r="O8558" i="1" a="1"/>
  <c r="O8558" i="1" s="1"/>
  <c r="I8558" i="1" a="1"/>
  <c r="I8558" i="1" s="1"/>
  <c r="P8558" i="1" a="1"/>
  <c r="P8558" i="1" s="1"/>
  <c r="J8558" i="1" a="1"/>
  <c r="J8558" i="1" s="1"/>
  <c r="K8558" i="1" a="1"/>
  <c r="K8558" i="1" s="1"/>
  <c r="Q8558" i="1" a="1"/>
  <c r="Q8558" i="1" s="1"/>
  <c r="L8558" i="1" a="1"/>
  <c r="L8558" i="1" s="1"/>
  <c r="R8558" i="1" a="1"/>
  <c r="R8558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B8560" i="1" l="1"/>
  <c r="L8559" i="1" a="1"/>
  <c r="L8559" i="1" s="1"/>
  <c r="S8559" i="1" a="1"/>
  <c r="S8559" i="1" s="1"/>
  <c r="M8559" i="1" a="1"/>
  <c r="M8559" i="1" s="1"/>
  <c r="N8559" i="1" a="1"/>
  <c r="N8559" i="1" s="1"/>
  <c r="O8559" i="1" a="1"/>
  <c r="O8559" i="1" s="1"/>
  <c r="I8559" i="1" a="1"/>
  <c r="I8559" i="1" s="1"/>
  <c r="J8559" i="1" a="1"/>
  <c r="J8559" i="1" s="1"/>
  <c r="P8559" i="1" a="1"/>
  <c r="P8559" i="1" s="1"/>
  <c r="K8559" i="1" a="1"/>
  <c r="K8559" i="1" s="1"/>
  <c r="Q8559" i="1" a="1"/>
  <c r="Q8559" i="1" s="1"/>
  <c r="R8559" i="1" a="1"/>
  <c r="R8559" i="1" s="1"/>
  <c r="H8561" i="1"/>
  <c r="A8562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8563" i="1" l="1"/>
  <c r="H8562" i="1"/>
  <c r="B8561" i="1"/>
  <c r="L8560" i="1" a="1"/>
  <c r="L8560" i="1" s="1"/>
  <c r="M8560" i="1" a="1"/>
  <c r="M8560" i="1" s="1"/>
  <c r="S8560" i="1" a="1"/>
  <c r="S8560" i="1" s="1"/>
  <c r="N8560" i="1" a="1"/>
  <c r="N8560" i="1" s="1"/>
  <c r="I8560" i="1" a="1"/>
  <c r="I8560" i="1" s="1"/>
  <c r="O8560" i="1" a="1"/>
  <c r="O8560" i="1" s="1"/>
  <c r="J8560" i="1" a="1"/>
  <c r="J8560" i="1" s="1"/>
  <c r="P8560" i="1" a="1"/>
  <c r="P8560" i="1" s="1"/>
  <c r="Q8560" i="1" a="1"/>
  <c r="Q8560" i="1" s="1"/>
  <c r="K8560" i="1" a="1"/>
  <c r="K8560" i="1" s="1"/>
  <c r="R8560" i="1" a="1"/>
  <c r="R8560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B8562" i="1" l="1"/>
  <c r="L8561" i="1" a="1"/>
  <c r="L8561" i="1" s="1"/>
  <c r="R8561" i="1" a="1"/>
  <c r="R8561" i="1" s="1"/>
  <c r="M8561" i="1" a="1"/>
  <c r="M8561" i="1" s="1"/>
  <c r="S8561" i="1" a="1"/>
  <c r="S8561" i="1" s="1"/>
  <c r="N8561" i="1" a="1"/>
  <c r="N8561" i="1" s="1"/>
  <c r="I8561" i="1" a="1"/>
  <c r="I8561" i="1" s="1"/>
  <c r="O8561" i="1" a="1"/>
  <c r="O8561" i="1" s="1"/>
  <c r="P8561" i="1" a="1"/>
  <c r="P8561" i="1" s="1"/>
  <c r="J8561" i="1" a="1"/>
  <c r="J8561" i="1" s="1"/>
  <c r="Q8561" i="1" a="1"/>
  <c r="Q8561" i="1" s="1"/>
  <c r="K8561" i="1" a="1"/>
  <c r="K8561" i="1" s="1"/>
  <c r="H8563" i="1"/>
  <c r="A8564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8564" i="1" l="1"/>
  <c r="A8565" i="1"/>
  <c r="L8562" i="1" a="1"/>
  <c r="L8562" i="1" s="1"/>
  <c r="R8562" i="1" a="1"/>
  <c r="R8562" i="1" s="1"/>
  <c r="S8562" i="1" a="1"/>
  <c r="S8562" i="1" s="1"/>
  <c r="M8562" i="1" a="1"/>
  <c r="M8562" i="1" s="1"/>
  <c r="N8562" i="1" a="1"/>
  <c r="N8562" i="1" s="1"/>
  <c r="B8563" i="1"/>
  <c r="O8562" i="1" a="1"/>
  <c r="O8562" i="1" s="1"/>
  <c r="I8562" i="1" a="1"/>
  <c r="I8562" i="1" s="1"/>
  <c r="P8562" i="1" a="1"/>
  <c r="P8562" i="1" s="1"/>
  <c r="J8562" i="1" a="1"/>
  <c r="J8562" i="1" s="1"/>
  <c r="K8562" i="1" a="1"/>
  <c r="K8562" i="1" s="1"/>
  <c r="Q8562" i="1" a="1"/>
  <c r="Q8562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B8564" i="1" l="1"/>
  <c r="R8563" i="1" a="1"/>
  <c r="R8563" i="1" s="1"/>
  <c r="L8563" i="1" a="1"/>
  <c r="L8563" i="1" s="1"/>
  <c r="S8563" i="1" a="1"/>
  <c r="S8563" i="1" s="1"/>
  <c r="M8563" i="1" a="1"/>
  <c r="M8563" i="1" s="1"/>
  <c r="N8563" i="1" a="1"/>
  <c r="N8563" i="1" s="1"/>
  <c r="O8563" i="1" a="1"/>
  <c r="O8563" i="1" s="1"/>
  <c r="I8563" i="1" a="1"/>
  <c r="I8563" i="1" s="1"/>
  <c r="J8563" i="1" a="1"/>
  <c r="J8563" i="1" s="1"/>
  <c r="P8563" i="1" a="1"/>
  <c r="P8563" i="1" s="1"/>
  <c r="K8563" i="1" a="1"/>
  <c r="K8563" i="1" s="1"/>
  <c r="Q8563" i="1" a="1"/>
  <c r="Q8563" i="1" s="1"/>
  <c r="H8565" i="1"/>
  <c r="A8566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H8566" i="1" l="1"/>
  <c r="A8567" i="1"/>
  <c r="B8565" i="1"/>
  <c r="K8564" i="1" a="1"/>
  <c r="K8564" i="1" s="1"/>
  <c r="R8564" i="1" a="1"/>
  <c r="R8564" i="1" s="1"/>
  <c r="L8564" i="1" a="1"/>
  <c r="L8564" i="1" s="1"/>
  <c r="M8564" i="1" a="1"/>
  <c r="M8564" i="1" s="1"/>
  <c r="S8564" i="1" a="1"/>
  <c r="S8564" i="1" s="1"/>
  <c r="N8564" i="1" a="1"/>
  <c r="N8564" i="1" s="1"/>
  <c r="I8564" i="1" a="1"/>
  <c r="I8564" i="1" s="1"/>
  <c r="O8564" i="1" a="1"/>
  <c r="O8564" i="1" s="1"/>
  <c r="J8564" i="1" a="1"/>
  <c r="J8564" i="1" s="1"/>
  <c r="P8564" i="1" a="1"/>
  <c r="P8564" i="1" s="1"/>
  <c r="Q8564" i="1" a="1"/>
  <c r="Q8564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B8566" i="1" l="1"/>
  <c r="K8565" i="1" a="1"/>
  <c r="K8565" i="1" s="1"/>
  <c r="L8565" i="1" a="1"/>
  <c r="L8565" i="1" s="1"/>
  <c r="R8565" i="1" a="1"/>
  <c r="R8565" i="1" s="1"/>
  <c r="M8565" i="1" a="1"/>
  <c r="M8565" i="1" s="1"/>
  <c r="S8565" i="1" a="1"/>
  <c r="S8565" i="1" s="1"/>
  <c r="N8565" i="1" a="1"/>
  <c r="N8565" i="1" s="1"/>
  <c r="I8565" i="1" a="1"/>
  <c r="I8565" i="1" s="1"/>
  <c r="O8565" i="1" a="1"/>
  <c r="O8565" i="1" s="1"/>
  <c r="P8565" i="1" a="1"/>
  <c r="P8565" i="1" s="1"/>
  <c r="J8565" i="1" a="1"/>
  <c r="J8565" i="1" s="1"/>
  <c r="Q8565" i="1" a="1"/>
  <c r="Q8565" i="1" s="1"/>
  <c r="H8567" i="1"/>
  <c r="A8568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H8568" i="1" l="1"/>
  <c r="A8569" i="1"/>
  <c r="K8566" i="1" a="1"/>
  <c r="K8566" i="1" s="1"/>
  <c r="L8566" i="1" a="1"/>
  <c r="L8566" i="1" s="1"/>
  <c r="Q8566" i="1" a="1"/>
  <c r="Q8566" i="1" s="1"/>
  <c r="R8566" i="1" a="1"/>
  <c r="R8566" i="1" s="1"/>
  <c r="M8566" i="1" a="1"/>
  <c r="M8566" i="1" s="1"/>
  <c r="N8566" i="1" a="1"/>
  <c r="N8566" i="1" s="1"/>
  <c r="S8566" i="1" a="1"/>
  <c r="S8566" i="1" s="1"/>
  <c r="I8566" i="1" a="1"/>
  <c r="I8566" i="1" s="1"/>
  <c r="O8566" i="1" a="1"/>
  <c r="O8566" i="1" s="1"/>
  <c r="B8567" i="1"/>
  <c r="J8566" i="1" a="1"/>
  <c r="J8566" i="1" s="1"/>
  <c r="P8566" i="1" a="1"/>
  <c r="P8566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B8568" i="1" l="1"/>
  <c r="I8567" i="1" a="1"/>
  <c r="I8567" i="1" s="1"/>
  <c r="N8567" i="1" a="1"/>
  <c r="N8567" i="1" s="1"/>
  <c r="O8567" i="1" a="1"/>
  <c r="O8567" i="1" s="1"/>
  <c r="J8567" i="1" a="1"/>
  <c r="J8567" i="1" s="1"/>
  <c r="K8567" i="1" a="1"/>
  <c r="K8567" i="1" s="1"/>
  <c r="P8567" i="1" a="1"/>
  <c r="P8567" i="1" s="1"/>
  <c r="Q8567" i="1" a="1"/>
  <c r="Q8567" i="1" s="1"/>
  <c r="L8567" i="1" a="1"/>
  <c r="L8567" i="1" s="1"/>
  <c r="M8567" i="1" a="1"/>
  <c r="M8567" i="1" s="1"/>
  <c r="R8567" i="1" a="1"/>
  <c r="R8567" i="1" s="1"/>
  <c r="S8567" i="1" a="1"/>
  <c r="S8567" i="1" s="1"/>
  <c r="H8569" i="1"/>
  <c r="A8570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H8570" i="1" l="1"/>
  <c r="A8571" i="1"/>
  <c r="L8568" i="1" a="1"/>
  <c r="L8568" i="1" s="1"/>
  <c r="Q8568" i="1" a="1"/>
  <c r="Q8568" i="1" s="1"/>
  <c r="R8568" i="1" a="1"/>
  <c r="R8568" i="1" s="1"/>
  <c r="M8568" i="1" a="1"/>
  <c r="M8568" i="1" s="1"/>
  <c r="N8568" i="1" a="1"/>
  <c r="N8568" i="1" s="1"/>
  <c r="S8568" i="1" a="1"/>
  <c r="S8568" i="1" s="1"/>
  <c r="I8568" i="1" a="1"/>
  <c r="I8568" i="1" s="1"/>
  <c r="J8568" i="1" a="1"/>
  <c r="J8568" i="1" s="1"/>
  <c r="O8568" i="1" a="1"/>
  <c r="O8568" i="1" s="1"/>
  <c r="B8569" i="1"/>
  <c r="P8568" i="1" a="1"/>
  <c r="P8568" i="1" s="1"/>
  <c r="K8568" i="1" a="1"/>
  <c r="K8568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H8571" i="1" l="1"/>
  <c r="A8572" i="1"/>
  <c r="B8570" i="1"/>
  <c r="O8569" i="1" a="1"/>
  <c r="O8569" i="1" s="1"/>
  <c r="J8569" i="1" a="1"/>
  <c r="J8569" i="1" s="1"/>
  <c r="K8569" i="1" a="1"/>
  <c r="K8569" i="1" s="1"/>
  <c r="P8569" i="1" a="1"/>
  <c r="P8569" i="1" s="1"/>
  <c r="Q8569" i="1" a="1"/>
  <c r="Q8569" i="1" s="1"/>
  <c r="L8569" i="1" a="1"/>
  <c r="L8569" i="1" s="1"/>
  <c r="M8569" i="1" a="1"/>
  <c r="M8569" i="1" s="1"/>
  <c r="R8569" i="1" a="1"/>
  <c r="R8569" i="1" s="1"/>
  <c r="S8569" i="1" a="1"/>
  <c r="S8569" i="1" s="1"/>
  <c r="I8569" i="1" a="1"/>
  <c r="I8569" i="1" s="1"/>
  <c r="N8569" i="1" a="1"/>
  <c r="N8569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H8572" i="1" l="1"/>
  <c r="A8573" i="1"/>
  <c r="R8570" i="1" a="1"/>
  <c r="R8570" i="1" s="1"/>
  <c r="M8570" i="1" a="1"/>
  <c r="M8570" i="1" s="1"/>
  <c r="N8570" i="1" a="1"/>
  <c r="N8570" i="1" s="1"/>
  <c r="S8570" i="1" a="1"/>
  <c r="S8570" i="1" s="1"/>
  <c r="I8570" i="1" a="1"/>
  <c r="I8570" i="1" s="1"/>
  <c r="J8570" i="1" a="1"/>
  <c r="J8570" i="1" s="1"/>
  <c r="O8570" i="1" a="1"/>
  <c r="O8570" i="1" s="1"/>
  <c r="B8571" i="1"/>
  <c r="P8570" i="1" a="1"/>
  <c r="P8570" i="1" s="1"/>
  <c r="K8570" i="1" a="1"/>
  <c r="K8570" i="1" s="1"/>
  <c r="L8570" i="1" a="1"/>
  <c r="L8570" i="1" s="1"/>
  <c r="Q8570" i="1" a="1"/>
  <c r="Q8570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B8572" i="1" l="1"/>
  <c r="J8571" i="1" a="1"/>
  <c r="J8571" i="1" s="1"/>
  <c r="K8571" i="1" a="1"/>
  <c r="K8571" i="1" s="1"/>
  <c r="P8571" i="1" a="1"/>
  <c r="P8571" i="1" s="1"/>
  <c r="Q8571" i="1" a="1"/>
  <c r="Q8571" i="1" s="1"/>
  <c r="L8571" i="1" a="1"/>
  <c r="L8571" i="1" s="1"/>
  <c r="M8571" i="1" a="1"/>
  <c r="M8571" i="1" s="1"/>
  <c r="R8571" i="1" a="1"/>
  <c r="R8571" i="1" s="1"/>
  <c r="S8571" i="1" a="1"/>
  <c r="S8571" i="1" s="1"/>
  <c r="I8571" i="1" a="1"/>
  <c r="I8571" i="1" s="1"/>
  <c r="N8571" i="1" a="1"/>
  <c r="N8571" i="1" s="1"/>
  <c r="O8571" i="1" a="1"/>
  <c r="O8571" i="1" s="1"/>
  <c r="H8573" i="1"/>
  <c r="A8574" i="1"/>
  <c r="I4470" i="1" a="1"/>
  <c r="I4470" i="1" s="1"/>
  <c r="K4470" i="1" a="1"/>
  <c r="K4470" i="1" s="1"/>
  <c r="H4470" i="1"/>
  <c r="O4470" i="1" a="1"/>
  <c r="O4470" i="1" s="1"/>
  <c r="H8574" i="1" l="1"/>
  <c r="A8575" i="1"/>
  <c r="M8572" i="1" a="1"/>
  <c r="M8572" i="1" s="1"/>
  <c r="N8572" i="1" a="1"/>
  <c r="N8572" i="1" s="1"/>
  <c r="S8572" i="1" a="1"/>
  <c r="S8572" i="1" s="1"/>
  <c r="I8572" i="1" a="1"/>
  <c r="I8572" i="1" s="1"/>
  <c r="P8572" i="1" a="1"/>
  <c r="P8572" i="1" s="1"/>
  <c r="K8572" i="1" a="1"/>
  <c r="K8572" i="1" s="1"/>
  <c r="L8572" i="1" a="1"/>
  <c r="L8572" i="1" s="1"/>
  <c r="Q8572" i="1" a="1"/>
  <c r="Q8572" i="1" s="1"/>
  <c r="R8572" i="1" a="1"/>
  <c r="R8572" i="1" s="1"/>
  <c r="J8572" i="1" a="1"/>
  <c r="J8572" i="1" s="1"/>
  <c r="B8573" i="1"/>
  <c r="O8572" i="1" a="1"/>
  <c r="O8572" i="1" s="1"/>
  <c r="I4471" i="1" a="1"/>
  <c r="I4471" i="1" s="1"/>
  <c r="K4471" i="1" a="1"/>
  <c r="K4471" i="1" s="1"/>
  <c r="C4472" i="1"/>
  <c r="H4471" i="1"/>
  <c r="O4471" i="1" a="1"/>
  <c r="O4471" i="1" s="1"/>
  <c r="B8574" i="1" l="1"/>
  <c r="K8573" i="1" a="1"/>
  <c r="K8573" i="1" s="1"/>
  <c r="P8573" i="1" a="1"/>
  <c r="P8573" i="1" s="1"/>
  <c r="Q8573" i="1" a="1"/>
  <c r="Q8573" i="1" s="1"/>
  <c r="L8573" i="1" a="1"/>
  <c r="L8573" i="1" s="1"/>
  <c r="S8573" i="1" a="1"/>
  <c r="S8573" i="1" s="1"/>
  <c r="I8573" i="1" a="1"/>
  <c r="I8573" i="1" s="1"/>
  <c r="N8573" i="1" a="1"/>
  <c r="N8573" i="1" s="1"/>
  <c r="O8573" i="1" a="1"/>
  <c r="O8573" i="1" s="1"/>
  <c r="J8573" i="1" a="1"/>
  <c r="J8573" i="1" s="1"/>
  <c r="M8573" i="1" a="1"/>
  <c r="M8573" i="1" s="1"/>
  <c r="R8573" i="1" a="1"/>
  <c r="R8573" i="1" s="1"/>
  <c r="H8575" i="1"/>
  <c r="A8576" i="1"/>
  <c r="L4474" i="1" a="1"/>
  <c r="L4474" i="1" s="1"/>
  <c r="I4472" i="1" a="1"/>
  <c r="I4472" i="1" s="1"/>
  <c r="K4472" i="1" a="1"/>
  <c r="K4472" i="1" s="1"/>
  <c r="H4472" i="1"/>
  <c r="O4472" i="1" a="1"/>
  <c r="O4472" i="1" s="1"/>
  <c r="H8576" i="1" l="1"/>
  <c r="A8577" i="1"/>
  <c r="N8574" i="1" a="1"/>
  <c r="N8574" i="1" s="1"/>
  <c r="S8574" i="1" a="1"/>
  <c r="S8574" i="1" s="1"/>
  <c r="I8574" i="1" a="1"/>
  <c r="I8574" i="1" s="1"/>
  <c r="J8574" i="1" a="1"/>
  <c r="J8574" i="1" s="1"/>
  <c r="O8574" i="1" a="1"/>
  <c r="O8574" i="1" s="1"/>
  <c r="B8575" i="1"/>
  <c r="K8574" i="1" a="1"/>
  <c r="K8574" i="1" s="1"/>
  <c r="L8574" i="1" a="1"/>
  <c r="L8574" i="1" s="1"/>
  <c r="Q8574" i="1" a="1"/>
  <c r="Q8574" i="1" s="1"/>
  <c r="R8574" i="1" a="1"/>
  <c r="R8574" i="1" s="1"/>
  <c r="M8574" i="1" a="1"/>
  <c r="M8574" i="1" s="1"/>
  <c r="P8574" i="1" a="1"/>
  <c r="P8574" i="1" s="1"/>
  <c r="I4473" i="1" a="1"/>
  <c r="I4473" i="1" s="1"/>
  <c r="K4473" i="1" a="1"/>
  <c r="K4473" i="1" s="1"/>
  <c r="H4473" i="1"/>
  <c r="O4473" i="1" a="1"/>
  <c r="O4473" i="1" s="1"/>
  <c r="B8576" i="1" l="1"/>
  <c r="Q8575" i="1" a="1"/>
  <c r="Q8575" i="1" s="1"/>
  <c r="L8575" i="1" a="1"/>
  <c r="L8575" i="1" s="1"/>
  <c r="M8575" i="1" a="1"/>
  <c r="M8575" i="1" s="1"/>
  <c r="R8575" i="1" a="1"/>
  <c r="R8575" i="1" s="1"/>
  <c r="I8575" i="1" a="1"/>
  <c r="I8575" i="1" s="1"/>
  <c r="N8575" i="1" a="1"/>
  <c r="N8575" i="1" s="1"/>
  <c r="O8575" i="1" a="1"/>
  <c r="O8575" i="1" s="1"/>
  <c r="J8575" i="1" a="1"/>
  <c r="J8575" i="1" s="1"/>
  <c r="P8575" i="1" a="1"/>
  <c r="P8575" i="1" s="1"/>
  <c r="S8575" i="1" a="1"/>
  <c r="S8575" i="1" s="1"/>
  <c r="K8575" i="1" a="1"/>
  <c r="K8575" i="1" s="1"/>
  <c r="H8577" i="1"/>
  <c r="A8578" i="1"/>
  <c r="I4474" i="1" a="1"/>
  <c r="I4474" i="1" s="1"/>
  <c r="K4474" i="1" a="1"/>
  <c r="K4474" i="1" s="1"/>
  <c r="C4475" i="1"/>
  <c r="H4474" i="1"/>
  <c r="O4474" i="1" a="1"/>
  <c r="O4474" i="1" s="1"/>
  <c r="H8578" i="1" l="1"/>
  <c r="A8579" i="1"/>
  <c r="I8576" i="1" a="1"/>
  <c r="I8576" i="1" s="1"/>
  <c r="N8576" i="1" a="1"/>
  <c r="N8576" i="1" s="1"/>
  <c r="J8576" i="1" a="1"/>
  <c r="J8576" i="1" s="1"/>
  <c r="S8576" i="1" a="1"/>
  <c r="S8576" i="1" s="1"/>
  <c r="O8576" i="1" a="1"/>
  <c r="O8576" i="1" s="1"/>
  <c r="L8576" i="1" a="1"/>
  <c r="L8576" i="1" s="1"/>
  <c r="M8576" i="1" a="1"/>
  <c r="M8576" i="1" s="1"/>
  <c r="P8576" i="1" a="1"/>
  <c r="P8576" i="1" s="1"/>
  <c r="Q8576" i="1" a="1"/>
  <c r="Q8576" i="1" s="1"/>
  <c r="R8576" i="1" a="1"/>
  <c r="R8576" i="1" s="1"/>
  <c r="K8576" i="1" a="1"/>
  <c r="K8576" i="1" s="1"/>
  <c r="B857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J8577" i="1" l="1" a="1"/>
  <c r="J8577" i="1" s="1"/>
  <c r="S8577" i="1" a="1"/>
  <c r="S8577" i="1" s="1"/>
  <c r="O8577" i="1" a="1"/>
  <c r="O8577" i="1" s="1"/>
  <c r="K8577" i="1" a="1"/>
  <c r="K8577" i="1" s="1"/>
  <c r="M8577" i="1" a="1"/>
  <c r="M8577" i="1" s="1"/>
  <c r="I8577" i="1" a="1"/>
  <c r="I8577" i="1" s="1"/>
  <c r="R8577" i="1" a="1"/>
  <c r="R8577" i="1" s="1"/>
  <c r="B8578" i="1"/>
  <c r="L8577" i="1" a="1"/>
  <c r="L8577" i="1" s="1"/>
  <c r="N8577" i="1" a="1"/>
  <c r="N8577" i="1" s="1"/>
  <c r="P8577" i="1" a="1"/>
  <c r="P8577" i="1" s="1"/>
  <c r="Q8577" i="1" a="1"/>
  <c r="Q8577" i="1" s="1"/>
  <c r="H8579" i="1"/>
  <c r="A8580" i="1"/>
  <c r="I4476" i="1" a="1"/>
  <c r="I4476" i="1" s="1"/>
  <c r="K4476" i="1" a="1"/>
  <c r="K4476" i="1" s="1"/>
  <c r="L4477" i="1" a="1"/>
  <c r="L4477" i="1" s="1"/>
  <c r="H4476" i="1"/>
  <c r="O4476" i="1" a="1"/>
  <c r="O4476" i="1" s="1"/>
  <c r="J8578" i="1" l="1" a="1"/>
  <c r="J8578" i="1" s="1"/>
  <c r="N8578" i="1" a="1"/>
  <c r="N8578" i="1" s="1"/>
  <c r="R8578" i="1" a="1"/>
  <c r="R8578" i="1" s="1"/>
  <c r="K8578" i="1" a="1"/>
  <c r="K8578" i="1" s="1"/>
  <c r="O8578" i="1" a="1"/>
  <c r="O8578" i="1" s="1"/>
  <c r="S8578" i="1" a="1"/>
  <c r="S8578" i="1" s="1"/>
  <c r="B8579" i="1"/>
  <c r="M8578" i="1" a="1"/>
  <c r="M8578" i="1" s="1"/>
  <c r="P8578" i="1" a="1"/>
  <c r="P8578" i="1" s="1"/>
  <c r="I8578" i="1" a="1"/>
  <c r="I8578" i="1" s="1"/>
  <c r="Q8578" i="1" a="1"/>
  <c r="Q8578" i="1" s="1"/>
  <c r="L8578" i="1" a="1"/>
  <c r="L8578" i="1" s="1"/>
  <c r="A8581" i="1"/>
  <c r="H8580" i="1"/>
  <c r="I4477" i="1" a="1"/>
  <c r="I4477" i="1" s="1"/>
  <c r="K4477" i="1" a="1"/>
  <c r="K4477" i="1" s="1"/>
  <c r="C4478" i="1"/>
  <c r="H4477" i="1"/>
  <c r="O4477" i="1" a="1"/>
  <c r="O4477" i="1" s="1"/>
  <c r="A8582" i="1" l="1"/>
  <c r="H8581" i="1"/>
  <c r="I8579" i="1" a="1"/>
  <c r="I8579" i="1" s="1"/>
  <c r="M8579" i="1" a="1"/>
  <c r="M8579" i="1" s="1"/>
  <c r="Q8579" i="1" a="1"/>
  <c r="Q8579" i="1" s="1"/>
  <c r="J8579" i="1" a="1"/>
  <c r="J8579" i="1" s="1"/>
  <c r="N8579" i="1" a="1"/>
  <c r="N8579" i="1" s="1"/>
  <c r="R8579" i="1" a="1"/>
  <c r="R8579" i="1" s="1"/>
  <c r="P8579" i="1" a="1"/>
  <c r="P8579" i="1" s="1"/>
  <c r="K8579" i="1" a="1"/>
  <c r="K8579" i="1" s="1"/>
  <c r="O8579" i="1" a="1"/>
  <c r="O8579" i="1" s="1"/>
  <c r="S8579" i="1" a="1"/>
  <c r="S8579" i="1" s="1"/>
  <c r="L8579" i="1" a="1"/>
  <c r="L8579" i="1" s="1"/>
  <c r="B8580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L8580" i="1" l="1" a="1"/>
  <c r="L8580" i="1" s="1"/>
  <c r="P8580" i="1" a="1"/>
  <c r="P8580" i="1" s="1"/>
  <c r="B8581" i="1"/>
  <c r="I8580" i="1" a="1"/>
  <c r="I8580" i="1" s="1"/>
  <c r="M8580" i="1" a="1"/>
  <c r="M8580" i="1" s="1"/>
  <c r="Q8580" i="1" a="1"/>
  <c r="Q8580" i="1" s="1"/>
  <c r="K8580" i="1" a="1"/>
  <c r="K8580" i="1" s="1"/>
  <c r="S8580" i="1" a="1"/>
  <c r="S8580" i="1" s="1"/>
  <c r="R8580" i="1" a="1"/>
  <c r="R8580" i="1" s="1"/>
  <c r="N8580" i="1" a="1"/>
  <c r="N8580" i="1" s="1"/>
  <c r="O8580" i="1" a="1"/>
  <c r="O8580" i="1" s="1"/>
  <c r="J8580" i="1" a="1"/>
  <c r="J8580" i="1" s="1"/>
  <c r="H8582" i="1"/>
  <c r="A8583" i="1"/>
  <c r="I4479" i="1" a="1"/>
  <c r="I4479" i="1" s="1"/>
  <c r="K4479" i="1" a="1"/>
  <c r="K4479" i="1" s="1"/>
  <c r="L4480" i="1" a="1"/>
  <c r="L4480" i="1" s="1"/>
  <c r="H4479" i="1"/>
  <c r="O4479" i="1" a="1"/>
  <c r="O4479" i="1" s="1"/>
  <c r="K8581" i="1" l="1" a="1"/>
  <c r="K8581" i="1" s="1"/>
  <c r="O8581" i="1" a="1"/>
  <c r="O8581" i="1" s="1"/>
  <c r="S8581" i="1" a="1"/>
  <c r="S8581" i="1" s="1"/>
  <c r="L8581" i="1" a="1"/>
  <c r="L8581" i="1" s="1"/>
  <c r="P8581" i="1" a="1"/>
  <c r="P8581" i="1" s="1"/>
  <c r="N8581" i="1" a="1"/>
  <c r="N8581" i="1" s="1"/>
  <c r="I8581" i="1" a="1"/>
  <c r="I8581" i="1" s="1"/>
  <c r="Q8581" i="1" a="1"/>
  <c r="Q8581" i="1" s="1"/>
  <c r="M8581" i="1" a="1"/>
  <c r="M8581" i="1" s="1"/>
  <c r="J8581" i="1" a="1"/>
  <c r="J8581" i="1" s="1"/>
  <c r="R8581" i="1" a="1"/>
  <c r="R8581" i="1" s="1"/>
  <c r="B8582" i="1"/>
  <c r="A8584" i="1"/>
  <c r="H8583" i="1"/>
  <c r="I4480" i="1" a="1"/>
  <c r="I4480" i="1" s="1"/>
  <c r="K4480" i="1" a="1"/>
  <c r="K4480" i="1" s="1"/>
  <c r="L4481" i="1" a="1"/>
  <c r="L4481" i="1" s="1"/>
  <c r="H4480" i="1"/>
  <c r="O4480" i="1" a="1"/>
  <c r="O4480" i="1" s="1"/>
  <c r="H8584" i="1" l="1"/>
  <c r="A8585" i="1"/>
  <c r="I8582" i="1" a="1"/>
  <c r="I8582" i="1" s="1"/>
  <c r="N8582" i="1" a="1"/>
  <c r="N8582" i="1" s="1"/>
  <c r="S8582" i="1" a="1"/>
  <c r="S8582" i="1" s="1"/>
  <c r="P8582" i="1" a="1"/>
  <c r="P8582" i="1" s="1"/>
  <c r="O8582" i="1" a="1"/>
  <c r="O8582" i="1" s="1"/>
  <c r="J8582" i="1" a="1"/>
  <c r="J8582" i="1" s="1"/>
  <c r="K8582" i="1" a="1"/>
  <c r="K8582" i="1" s="1"/>
  <c r="B8583" i="1"/>
  <c r="Q8582" i="1" a="1"/>
  <c r="Q8582" i="1" s="1"/>
  <c r="L8582" i="1" a="1"/>
  <c r="L8582" i="1" s="1"/>
  <c r="M8582" i="1" a="1"/>
  <c r="M8582" i="1" s="1"/>
  <c r="R8582" i="1" a="1"/>
  <c r="R8582" i="1" s="1"/>
  <c r="I4481" i="1" a="1"/>
  <c r="I4481" i="1" s="1"/>
  <c r="K4481" i="1" a="1"/>
  <c r="K4481" i="1" s="1"/>
  <c r="C4482" i="1"/>
  <c r="H4481" i="1"/>
  <c r="O4481" i="1" a="1"/>
  <c r="O4481" i="1" s="1"/>
  <c r="A8586" i="1" l="1"/>
  <c r="H8585" i="1"/>
  <c r="J8583" i="1" a="1"/>
  <c r="J8583" i="1" s="1"/>
  <c r="N8583" i="1" a="1"/>
  <c r="N8583" i="1" s="1"/>
  <c r="R8583" i="1" a="1"/>
  <c r="R8583" i="1" s="1"/>
  <c r="M8583" i="1" a="1"/>
  <c r="M8583" i="1" s="1"/>
  <c r="I8583" i="1" a="1"/>
  <c r="I8583" i="1" s="1"/>
  <c r="K8583" i="1" a="1"/>
  <c r="K8583" i="1" s="1"/>
  <c r="O8583" i="1" a="1"/>
  <c r="O8583" i="1" s="1"/>
  <c r="S8583" i="1" a="1"/>
  <c r="S8583" i="1" s="1"/>
  <c r="L8583" i="1" a="1"/>
  <c r="L8583" i="1" s="1"/>
  <c r="P8583" i="1" a="1"/>
  <c r="P8583" i="1" s="1"/>
  <c r="B8584" i="1"/>
  <c r="Q8583" i="1" a="1"/>
  <c r="Q8583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8584" i="1" l="1" a="1"/>
  <c r="I8584" i="1" s="1"/>
  <c r="M8584" i="1" a="1"/>
  <c r="M8584" i="1" s="1"/>
  <c r="Q8584" i="1" a="1"/>
  <c r="Q8584" i="1" s="1"/>
  <c r="J8584" i="1" a="1"/>
  <c r="J8584" i="1" s="1"/>
  <c r="N8584" i="1" a="1"/>
  <c r="N8584" i="1" s="1"/>
  <c r="R8584" i="1" a="1"/>
  <c r="R8584" i="1" s="1"/>
  <c r="L8584" i="1" a="1"/>
  <c r="L8584" i="1" s="1"/>
  <c r="K8584" i="1" a="1"/>
  <c r="K8584" i="1" s="1"/>
  <c r="O8584" i="1" a="1"/>
  <c r="O8584" i="1" s="1"/>
  <c r="S8584" i="1" a="1"/>
  <c r="S8584" i="1" s="1"/>
  <c r="B8585" i="1"/>
  <c r="P8584" i="1" a="1"/>
  <c r="P8584" i="1" s="1"/>
  <c r="H8586" i="1"/>
  <c r="A8587" i="1"/>
  <c r="I4483" i="1" a="1"/>
  <c r="I4483" i="1" s="1"/>
  <c r="K4483" i="1" a="1"/>
  <c r="K4483" i="1" s="1"/>
  <c r="L4484" i="1" a="1"/>
  <c r="L4484" i="1" s="1"/>
  <c r="H4483" i="1"/>
  <c r="O4483" i="1" a="1"/>
  <c r="O4483" i="1" s="1"/>
  <c r="A8588" i="1" l="1"/>
  <c r="H8587" i="1"/>
  <c r="L8585" i="1" a="1"/>
  <c r="L8585" i="1" s="1"/>
  <c r="P8585" i="1" a="1"/>
  <c r="P8585" i="1" s="1"/>
  <c r="B8586" i="1"/>
  <c r="I8585" i="1" a="1"/>
  <c r="I8585" i="1" s="1"/>
  <c r="M8585" i="1" a="1"/>
  <c r="M8585" i="1" s="1"/>
  <c r="Q8585" i="1" a="1"/>
  <c r="Q8585" i="1" s="1"/>
  <c r="S8585" i="1" a="1"/>
  <c r="S8585" i="1" s="1"/>
  <c r="J8585" i="1" a="1"/>
  <c r="J8585" i="1" s="1"/>
  <c r="N8585" i="1" a="1"/>
  <c r="N8585" i="1" s="1"/>
  <c r="R8585" i="1" a="1"/>
  <c r="R8585" i="1" s="1"/>
  <c r="O8585" i="1" a="1"/>
  <c r="O8585" i="1" s="1"/>
  <c r="K8585" i="1" a="1"/>
  <c r="K8585" i="1" s="1"/>
  <c r="I4484" i="1" a="1"/>
  <c r="I4484" i="1" s="1"/>
  <c r="K4484" i="1" a="1"/>
  <c r="K4484" i="1" s="1"/>
  <c r="C4485" i="1"/>
  <c r="H4484" i="1"/>
  <c r="O4484" i="1" a="1"/>
  <c r="O4484" i="1" s="1"/>
  <c r="K8586" i="1" l="1" a="1"/>
  <c r="K8586" i="1" s="1"/>
  <c r="O8586" i="1" a="1"/>
  <c r="O8586" i="1" s="1"/>
  <c r="S8586" i="1" a="1"/>
  <c r="S8586" i="1" s="1"/>
  <c r="B8587" i="1"/>
  <c r="R8586" i="1" a="1"/>
  <c r="R8586" i="1" s="1"/>
  <c r="L8586" i="1" a="1"/>
  <c r="L8586" i="1" s="1"/>
  <c r="P8586" i="1" a="1"/>
  <c r="P8586" i="1" s="1"/>
  <c r="N8586" i="1" a="1"/>
  <c r="N8586" i="1" s="1"/>
  <c r="I8586" i="1" a="1"/>
  <c r="I8586" i="1" s="1"/>
  <c r="M8586" i="1" a="1"/>
  <c r="M8586" i="1" s="1"/>
  <c r="Q8586" i="1" a="1"/>
  <c r="Q8586" i="1" s="1"/>
  <c r="J8586" i="1" a="1"/>
  <c r="J8586" i="1" s="1"/>
  <c r="A8589" i="1"/>
  <c r="H8588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A8590" i="1" l="1"/>
  <c r="H8589" i="1"/>
  <c r="J8587" i="1" a="1"/>
  <c r="J8587" i="1" s="1"/>
  <c r="N8587" i="1" a="1"/>
  <c r="N8587" i="1" s="1"/>
  <c r="R8587" i="1" a="1"/>
  <c r="R8587" i="1" s="1"/>
  <c r="I8587" i="1" a="1"/>
  <c r="I8587" i="1" s="1"/>
  <c r="K8587" i="1" a="1"/>
  <c r="K8587" i="1" s="1"/>
  <c r="O8587" i="1" a="1"/>
  <c r="O8587" i="1" s="1"/>
  <c r="S8587" i="1" a="1"/>
  <c r="S8587" i="1" s="1"/>
  <c r="M8587" i="1" a="1"/>
  <c r="M8587" i="1" s="1"/>
  <c r="L8587" i="1" a="1"/>
  <c r="L8587" i="1" s="1"/>
  <c r="P8587" i="1" a="1"/>
  <c r="P8587" i="1" s="1"/>
  <c r="B8588" i="1"/>
  <c r="Q8587" i="1" a="1"/>
  <c r="Q8587" i="1" s="1"/>
  <c r="I4486" i="1" a="1"/>
  <c r="I4486" i="1" s="1"/>
  <c r="K4486" i="1" a="1"/>
  <c r="K4486" i="1" s="1"/>
  <c r="L4487" i="1" a="1"/>
  <c r="L4487" i="1" s="1"/>
  <c r="H4486" i="1"/>
  <c r="O4486" i="1" a="1"/>
  <c r="O4486" i="1" s="1"/>
  <c r="I8588" i="1" l="1" a="1"/>
  <c r="I8588" i="1" s="1"/>
  <c r="M8588" i="1" a="1"/>
  <c r="M8588" i="1" s="1"/>
  <c r="Q8588" i="1" a="1"/>
  <c r="Q8588" i="1" s="1"/>
  <c r="P8588" i="1" a="1"/>
  <c r="P8588" i="1" s="1"/>
  <c r="J8588" i="1" a="1"/>
  <c r="J8588" i="1" s="1"/>
  <c r="N8588" i="1" a="1"/>
  <c r="N8588" i="1" s="1"/>
  <c r="R8588" i="1" a="1"/>
  <c r="R8588" i="1" s="1"/>
  <c r="B8589" i="1"/>
  <c r="L8588" i="1" a="1"/>
  <c r="L8588" i="1" s="1"/>
  <c r="K8588" i="1" a="1"/>
  <c r="K8588" i="1" s="1"/>
  <c r="O8588" i="1" a="1"/>
  <c r="O8588" i="1" s="1"/>
  <c r="S8588" i="1" a="1"/>
  <c r="S8588" i="1" s="1"/>
  <c r="H8590" i="1"/>
  <c r="A8591" i="1"/>
  <c r="I4487" i="1" a="1"/>
  <c r="I4487" i="1" s="1"/>
  <c r="K4487" i="1" a="1"/>
  <c r="K4487" i="1" s="1"/>
  <c r="L4488" i="1" a="1"/>
  <c r="L4488" i="1" s="1"/>
  <c r="H4487" i="1"/>
  <c r="O4487" i="1" a="1"/>
  <c r="O4487" i="1" s="1"/>
  <c r="L8589" i="1" l="1" a="1"/>
  <c r="L8589" i="1" s="1"/>
  <c r="P8589" i="1" a="1"/>
  <c r="P8589" i="1" s="1"/>
  <c r="O8589" i="1" a="1"/>
  <c r="O8589" i="1" s="1"/>
  <c r="B8590" i="1"/>
  <c r="I8589" i="1" a="1"/>
  <c r="I8589" i="1" s="1"/>
  <c r="M8589" i="1" a="1"/>
  <c r="M8589" i="1" s="1"/>
  <c r="Q8589" i="1" a="1"/>
  <c r="Q8589" i="1" s="1"/>
  <c r="K8589" i="1" a="1"/>
  <c r="K8589" i="1" s="1"/>
  <c r="J8589" i="1" a="1"/>
  <c r="J8589" i="1" s="1"/>
  <c r="N8589" i="1" a="1"/>
  <c r="N8589" i="1" s="1"/>
  <c r="R8589" i="1" a="1"/>
  <c r="R8589" i="1" s="1"/>
  <c r="S8589" i="1" a="1"/>
  <c r="S8589" i="1" s="1"/>
  <c r="H8591" i="1"/>
  <c r="A8592" i="1"/>
  <c r="I4488" i="1" a="1"/>
  <c r="I4488" i="1" s="1"/>
  <c r="K4488" i="1" a="1"/>
  <c r="K4488" i="1" s="1"/>
  <c r="H4488" i="1"/>
  <c r="O4488" i="1" a="1"/>
  <c r="O4488" i="1" s="1"/>
  <c r="H8592" i="1" l="1"/>
  <c r="A8593" i="1"/>
  <c r="K8590" i="1" a="1"/>
  <c r="K8590" i="1" s="1"/>
  <c r="O8590" i="1" a="1"/>
  <c r="O8590" i="1" s="1"/>
  <c r="S8590" i="1" a="1"/>
  <c r="S8590" i="1" s="1"/>
  <c r="B8591" i="1"/>
  <c r="L8590" i="1" a="1"/>
  <c r="L8590" i="1" s="1"/>
  <c r="P8590" i="1" a="1"/>
  <c r="P8590" i="1" s="1"/>
  <c r="J8590" i="1" a="1"/>
  <c r="J8590" i="1" s="1"/>
  <c r="I8590" i="1" a="1"/>
  <c r="I8590" i="1" s="1"/>
  <c r="M8590" i="1" a="1"/>
  <c r="M8590" i="1" s="1"/>
  <c r="Q8590" i="1" a="1"/>
  <c r="Q8590" i="1" s="1"/>
  <c r="N8590" i="1" a="1"/>
  <c r="N8590" i="1" s="1"/>
  <c r="R8590" i="1" a="1"/>
  <c r="R859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8591" i="1" l="1" a="1"/>
  <c r="J8591" i="1" s="1"/>
  <c r="N8591" i="1" a="1"/>
  <c r="N8591" i="1" s="1"/>
  <c r="R8591" i="1" a="1"/>
  <c r="R8591" i="1" s="1"/>
  <c r="Q8591" i="1" a="1"/>
  <c r="Q8591" i="1" s="1"/>
  <c r="I8591" i="1" a="1"/>
  <c r="I8591" i="1" s="1"/>
  <c r="K8591" i="1" a="1"/>
  <c r="K8591" i="1" s="1"/>
  <c r="O8591" i="1" a="1"/>
  <c r="O8591" i="1" s="1"/>
  <c r="S8591" i="1" a="1"/>
  <c r="S8591" i="1" s="1"/>
  <c r="M8591" i="1" a="1"/>
  <c r="M8591" i="1" s="1"/>
  <c r="L8591" i="1" a="1"/>
  <c r="L8591" i="1" s="1"/>
  <c r="P8591" i="1" a="1"/>
  <c r="P8591" i="1" s="1"/>
  <c r="B8592" i="1"/>
  <c r="A8594" i="1"/>
  <c r="H859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8594" i="1" l="1"/>
  <c r="A8595" i="1"/>
  <c r="I8592" i="1" a="1"/>
  <c r="I8592" i="1" s="1"/>
  <c r="M8592" i="1" a="1"/>
  <c r="M8592" i="1" s="1"/>
  <c r="Q8592" i="1" a="1"/>
  <c r="Q8592" i="1" s="1"/>
  <c r="B8593" i="1"/>
  <c r="J8592" i="1" a="1"/>
  <c r="J8592" i="1" s="1"/>
  <c r="N8592" i="1" a="1"/>
  <c r="N8592" i="1" s="1"/>
  <c r="R8592" i="1" a="1"/>
  <c r="R8592" i="1" s="1"/>
  <c r="L8592" i="1" a="1"/>
  <c r="L8592" i="1" s="1"/>
  <c r="K8592" i="1" a="1"/>
  <c r="K8592" i="1" s="1"/>
  <c r="O8592" i="1" a="1"/>
  <c r="O8592" i="1" s="1"/>
  <c r="S8592" i="1" a="1"/>
  <c r="S8592" i="1" s="1"/>
  <c r="P8592" i="1" a="1"/>
  <c r="P859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A8596" i="1" l="1"/>
  <c r="H8595" i="1"/>
  <c r="L8593" i="1" a="1"/>
  <c r="L8593" i="1" s="1"/>
  <c r="P8593" i="1" a="1"/>
  <c r="P8593" i="1" s="1"/>
  <c r="B8594" i="1"/>
  <c r="K8593" i="1" a="1"/>
  <c r="K8593" i="1" s="1"/>
  <c r="I8593" i="1" a="1"/>
  <c r="I8593" i="1" s="1"/>
  <c r="M8593" i="1" a="1"/>
  <c r="M8593" i="1" s="1"/>
  <c r="Q8593" i="1" a="1"/>
  <c r="Q8593" i="1" s="1"/>
  <c r="O8593" i="1" a="1"/>
  <c r="O8593" i="1" s="1"/>
  <c r="J8593" i="1" a="1"/>
  <c r="J8593" i="1" s="1"/>
  <c r="N8593" i="1" a="1"/>
  <c r="N8593" i="1" s="1"/>
  <c r="R8593" i="1" a="1"/>
  <c r="R8593" i="1" s="1"/>
  <c r="S8593" i="1" a="1"/>
  <c r="S8593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8594" i="1" l="1" a="1"/>
  <c r="K8594" i="1" s="1"/>
  <c r="O8594" i="1" a="1"/>
  <c r="O8594" i="1" s="1"/>
  <c r="S8594" i="1" a="1"/>
  <c r="S8594" i="1" s="1"/>
  <c r="J8594" i="1" a="1"/>
  <c r="J8594" i="1" s="1"/>
  <c r="P8594" i="1" a="1"/>
  <c r="P8594" i="1" s="1"/>
  <c r="L8594" i="1" a="1"/>
  <c r="L8594" i="1" s="1"/>
  <c r="B8595" i="1"/>
  <c r="R8594" i="1" a="1"/>
  <c r="R8594" i="1" s="1"/>
  <c r="I8594" i="1" a="1"/>
  <c r="I8594" i="1" s="1"/>
  <c r="M8594" i="1" a="1"/>
  <c r="M8594" i="1" s="1"/>
  <c r="Q8594" i="1" a="1"/>
  <c r="Q8594" i="1" s="1"/>
  <c r="N8594" i="1" a="1"/>
  <c r="N8594" i="1" s="1"/>
  <c r="H8596" i="1"/>
  <c r="A859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8595" i="1" l="1" a="1"/>
  <c r="J8595" i="1" s="1"/>
  <c r="N8595" i="1" a="1"/>
  <c r="N8595" i="1" s="1"/>
  <c r="R8595" i="1" a="1"/>
  <c r="R8595" i="1" s="1"/>
  <c r="I8595" i="1" a="1"/>
  <c r="I8595" i="1" s="1"/>
  <c r="K8595" i="1" a="1"/>
  <c r="K8595" i="1" s="1"/>
  <c r="O8595" i="1" a="1"/>
  <c r="O8595" i="1" s="1"/>
  <c r="S8595" i="1" a="1"/>
  <c r="S8595" i="1" s="1"/>
  <c r="M8595" i="1" a="1"/>
  <c r="M8595" i="1" s="1"/>
  <c r="B8596" i="1"/>
  <c r="L8595" i="1" a="1"/>
  <c r="L8595" i="1" s="1"/>
  <c r="P8595" i="1" a="1"/>
  <c r="P8595" i="1" s="1"/>
  <c r="Q8595" i="1" a="1"/>
  <c r="Q8595" i="1" s="1"/>
  <c r="A8598" i="1"/>
  <c r="H859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8596" i="1" l="1" a="1"/>
  <c r="I8596" i="1" s="1"/>
  <c r="M8596" i="1" a="1"/>
  <c r="M8596" i="1" s="1"/>
  <c r="Q8596" i="1" a="1"/>
  <c r="Q8596" i="1" s="1"/>
  <c r="J8596" i="1" a="1"/>
  <c r="J8596" i="1" s="1"/>
  <c r="N8596" i="1" a="1"/>
  <c r="N8596" i="1" s="1"/>
  <c r="R8596" i="1" a="1"/>
  <c r="R8596" i="1" s="1"/>
  <c r="K8596" i="1" a="1"/>
  <c r="K8596" i="1" s="1"/>
  <c r="O8596" i="1" a="1"/>
  <c r="O8596" i="1" s="1"/>
  <c r="S8596" i="1" a="1"/>
  <c r="S8596" i="1" s="1"/>
  <c r="P8596" i="1" a="1"/>
  <c r="P8596" i="1" s="1"/>
  <c r="L8596" i="1" a="1"/>
  <c r="L8596" i="1" s="1"/>
  <c r="B8597" i="1"/>
  <c r="H8598" i="1"/>
  <c r="A8599" i="1"/>
  <c r="J4534" i="1" a="1"/>
  <c r="J4534" i="1" s="1"/>
  <c r="H8599" i="1" l="1"/>
  <c r="A8600" i="1"/>
  <c r="L8597" i="1" a="1"/>
  <c r="L8597" i="1" s="1"/>
  <c r="P8597" i="1" a="1"/>
  <c r="P8597" i="1" s="1"/>
  <c r="B8598" i="1"/>
  <c r="I8597" i="1" a="1"/>
  <c r="I8597" i="1" s="1"/>
  <c r="Q8597" i="1" a="1"/>
  <c r="Q8597" i="1" s="1"/>
  <c r="K8597" i="1" a="1"/>
  <c r="K8597" i="1" s="1"/>
  <c r="M8597" i="1" a="1"/>
  <c r="M8597" i="1" s="1"/>
  <c r="O8597" i="1" a="1"/>
  <c r="O8597" i="1" s="1"/>
  <c r="J8597" i="1" a="1"/>
  <c r="J8597" i="1" s="1"/>
  <c r="N8597" i="1" a="1"/>
  <c r="N8597" i="1" s="1"/>
  <c r="R8597" i="1" a="1"/>
  <c r="R8597" i="1" s="1"/>
  <c r="S8597" i="1" a="1"/>
  <c r="S8597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H8600" i="1" l="1"/>
  <c r="D316" i="2"/>
  <c r="C316" i="2"/>
  <c r="E316" i="2"/>
  <c r="K8598" i="1" a="1"/>
  <c r="K8598" i="1" s="1"/>
  <c r="O8598" i="1" a="1"/>
  <c r="O8598" i="1" s="1"/>
  <c r="S8598" i="1" a="1"/>
  <c r="S8598" i="1" s="1"/>
  <c r="N8598" i="1" a="1"/>
  <c r="N8598" i="1" s="1"/>
  <c r="L8598" i="1" a="1"/>
  <c r="L8598" i="1" s="1"/>
  <c r="P8598" i="1" a="1"/>
  <c r="P8598" i="1" s="1"/>
  <c r="B8599" i="1"/>
  <c r="J8598" i="1" a="1"/>
  <c r="J8598" i="1" s="1"/>
  <c r="I8598" i="1" a="1"/>
  <c r="I8598" i="1" s="1"/>
  <c r="M8598" i="1" a="1"/>
  <c r="M8598" i="1" s="1"/>
  <c r="Q8598" i="1" a="1"/>
  <c r="Q8598" i="1" s="1"/>
  <c r="R8598" i="1" a="1"/>
  <c r="R8598" i="1" s="1"/>
  <c r="J4597" i="1" a="1"/>
  <c r="J4597" i="1" s="1"/>
  <c r="J8599" i="1" l="1" a="1"/>
  <c r="J8599" i="1" s="1"/>
  <c r="N8599" i="1" a="1"/>
  <c r="N8599" i="1" s="1"/>
  <c r="R8599" i="1" a="1"/>
  <c r="R8599" i="1" s="1"/>
  <c r="O8599" i="1" a="1"/>
  <c r="O8599" i="1" s="1"/>
  <c r="Q8599" i="1" a="1"/>
  <c r="Q8599" i="1" s="1"/>
  <c r="K8599" i="1" a="1"/>
  <c r="K8599" i="1" s="1"/>
  <c r="S8599" i="1" a="1"/>
  <c r="S8599" i="1" s="1"/>
  <c r="B8600" i="1"/>
  <c r="L8599" i="1" a="1"/>
  <c r="L8599" i="1" s="1"/>
  <c r="P8599" i="1" a="1"/>
  <c r="P8599" i="1" s="1"/>
  <c r="M8599" i="1" a="1"/>
  <c r="M8599" i="1" s="1"/>
  <c r="I8599" i="1" a="1"/>
  <c r="I8599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I8600" i="1" l="1" a="1"/>
  <c r="I8600" i="1" s="1"/>
  <c r="M8600" i="1" a="1"/>
  <c r="M8600" i="1" s="1"/>
  <c r="Q8600" i="1" a="1"/>
  <c r="Q8600" i="1" s="1"/>
  <c r="R8600" i="1" a="1"/>
  <c r="R8600" i="1" s="1"/>
  <c r="J8600" i="1" a="1"/>
  <c r="J8600" i="1" s="1"/>
  <c r="N8600" i="1" a="1"/>
  <c r="N8600" i="1" s="1"/>
  <c r="P8600" i="1" a="1"/>
  <c r="P8600" i="1" s="1"/>
  <c r="L8600" i="1" a="1"/>
  <c r="L8600" i="1" s="1"/>
  <c r="K8600" i="1" a="1"/>
  <c r="K8600" i="1" s="1"/>
  <c r="O8600" i="1" a="1"/>
  <c r="O8600" i="1" s="1"/>
  <c r="S8600" i="1" a="1"/>
  <c r="S860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D314" i="2" l="1"/>
  <c r="C314" i="2"/>
  <c r="E315" i="2"/>
  <c r="E314" i="2"/>
  <c r="C315" i="2"/>
  <c r="D315" i="2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<sst xmlns="http://schemas.openxmlformats.org/spreadsheetml/2006/main" count="84588" uniqueCount="26">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</sst>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600"/>
  <sheetViews>
    <sheetView tabSelected="1" zoomScale="90" zoomScaleNormal="90" workbookViewId="0">
      <pane ySplit="1" topLeftCell="A8312" activePane="bottomLeft" state="frozen"/>
      <selection pane="bottomLeft" activeCell="D8313" sqref="D831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tr">
        <f t="shared" ref="A8313:C8313" si="1411">B8312</f>
        <v>Northern Cardinal</v>
      </c>
      <c r="C8313" s="6">
        <f t="shared" si="1411"/>
        <v>0.75</v>
      </c>
      <c r="D8313" s="5"/>
      <c r="E8313" s="5"/>
      <c r="F8313" s="5" t="s">
        <v>9</v>
      </c>
      <c r="G8313" s="15" t="s">
        <v>8</v>
      </c>
      <c r="H8313" s="24">
        <f t="shared" ref="H8267:H8420" si="1412">IFERROR((($A8313+$C8313) - ($A8312+$C8312))*24*60, "")</f>
        <v>1440</v>
      </c>
      <c r="I8313" s="24" cm="1">
        <f t="array" ref="I8313">IFERROR(IF($B8313=I$1, ($A8313+$C8313) - MAX(IF($B$2:$B8312=$B8313, $A$2:$A8312+$C$2:$C8312)), "")*24*60, "")</f>
        <v>1440</v>
      </c>
      <c r="J8313" s="24" t="str" cm="1">
        <f t="array" ref="J8313">IFERROR(IF($B8313=J$1, ($A8313+$C8313) - MAX(IF($B$2:$B8312=$B8313, $A$2:$A8312+$C$2:$C8312)), "")*24*60, "")</f>
        <v/>
      </c>
      <c r="K8313" s="24" t="str" cm="1">
        <f t="array" ref="K8313">IFERROR(IF($B8313=K$1, ($A8313+$C8313) - MAX(IF($B$2:$B8312=$B8313, $A$2:$A8312+$C$2:$C8312)), "")*24*60, "")</f>
        <v/>
      </c>
      <c r="L8313" s="24" t="str" cm="1">
        <f t="array" ref="L8313">IFERROR(IF($B8313=L$1, ($A8313+$C8313) - MAX(IF($B$2:$B8312=$B8313, $A$2:$A8312+$C$2:$C8312)), "")*24*60, "")</f>
        <v/>
      </c>
      <c r="M8313" s="24" t="str" cm="1">
        <f t="array" ref="M8313">IFERROR(IF($B8313=M$1, ($A8313+$C8313) - MAX(IF($B$2:$B8312=$B8313, $A$2:$A8312+$C$2:$C8312)), "")*24*60, "")</f>
        <v/>
      </c>
      <c r="N8313" s="24" t="str" cm="1">
        <f t="array" ref="N8313">IFERROR(IF($B8313=N$1, ($A8313+$C8313) - MAX(IF($B$2:$B8312=$B8313, $A$2:$A8312+$C$2:$C8312)), "")*24*60, "")</f>
        <v/>
      </c>
      <c r="O8313" s="24" t="str" cm="1">
        <f t="array" ref="O8313">IFERROR(IF($B8313=O$1, ($A8313+$C8313) - MAX(IF($B$2:$B8312=$B8313, $A$2:$A8312+$C$2:$C8312)), "")*24*60, "")</f>
        <v/>
      </c>
      <c r="P8313" s="24" t="str" cm="1">
        <f t="array" ref="P8313">IFERROR(IF($B8313=P$1, ($A8313+$C8313) - MAX(IF($B$2:$B8312=$B8313, $A$2:$A8312+$C$2:$C8312)), "")*24*60, "")</f>
        <v/>
      </c>
      <c r="Q8313" s="24" t="str" cm="1">
        <f t="array" ref="Q8313">IFERROR(IF($B8313=Q$1, ($A8313+$C8313) - MAX(IF($B$2:$B8312=$B8313, $A$2:$A8312+$C$2:$C8312)), "")*24*60, "")</f>
        <v/>
      </c>
      <c r="R8313" s="24" t="str" cm="1">
        <f t="array" ref="R8313">IFERROR(IF($B8313=R$1, ($A8313+$C8313) - MAX(IF($B$2:$B8312=$B8313, $A$2:$A8312+$C$2:$C8312)), "")*24*60, "")</f>
        <v/>
      </c>
      <c r="S8313" s="24" t="str" cm="1">
        <f t="array" ref="S8313">IFERROR(IF($B8313=S$1, ($A8313+$C8313) - MAX(IF($B$2:$B8312=$B8313, $A$2:$A8312+$C$2:$C8312)), "")*24*60, "")</f>
        <v/>
      </c>
    </row>
    <row r="8314" spans="1:19" x14ac:dyDescent="0.2">
      <c r="A8314" s="12">
        <f t="shared" ref="A8314:C8314" si="1413">A8313</f>
        <v>46029</v>
      </c>
      <c r="B8314" s="5" t="str">
        <f t="shared" si="1413"/>
        <v>Northern Cardinal</v>
      </c>
      <c r="C8314" s="6">
        <f t="shared" si="1413"/>
        <v>0.75</v>
      </c>
      <c r="D8314" s="5"/>
      <c r="E8314" s="5"/>
      <c r="F8314" s="5" t="s">
        <v>9</v>
      </c>
      <c r="G8314" s="15" t="s">
        <v>8</v>
      </c>
      <c r="H8314" s="24">
        <f t="shared" si="1412"/>
        <v>0</v>
      </c>
      <c r="I8314" s="24" cm="1">
        <f t="array" ref="I8314">IFERROR(IF($B8314=I$1, ($A8314+$C8314) - MAX(IF($B$2:$B8313=$B8314, $A$2:$A8313+$C$2:$C8313)), "")*24*60, "")</f>
        <v>0</v>
      </c>
      <c r="J8314" s="24" t="str" cm="1">
        <f t="array" ref="J8314">IFERROR(IF($B8314=J$1, ($A8314+$C8314) - MAX(IF($B$2:$B8313=$B8314, $A$2:$A8313+$C$2:$C8313)), "")*24*60, "")</f>
        <v/>
      </c>
      <c r="K8314" s="24" t="str" cm="1">
        <f t="array" ref="K8314">IFERROR(IF($B8314=K$1, ($A8314+$C8314) - MAX(IF($B$2:$B8313=$B8314, $A$2:$A8313+$C$2:$C8313)), "")*24*60, "")</f>
        <v/>
      </c>
      <c r="L8314" s="24" t="str" cm="1">
        <f t="array" ref="L8314">IFERROR(IF($B8314=L$1, ($A8314+$C8314) - MAX(IF($B$2:$B8313=$B8314, $A$2:$A8313+$C$2:$C8313)), "")*24*60, "")</f>
        <v/>
      </c>
      <c r="M8314" s="24" t="str" cm="1">
        <f t="array" ref="M8314">IFERROR(IF($B8314=M$1, ($A8314+$C8314) - MAX(IF($B$2:$B8313=$B8314, $A$2:$A8313+$C$2:$C8313)), "")*24*60, "")</f>
        <v/>
      </c>
      <c r="N8314" s="24" t="str" cm="1">
        <f t="array" ref="N8314">IFERROR(IF($B8314=N$1, ($A8314+$C8314) - MAX(IF($B$2:$B8313=$B8314, $A$2:$A8313+$C$2:$C8313)), "")*24*60, "")</f>
        <v/>
      </c>
      <c r="O8314" s="24" t="str" cm="1">
        <f t="array" ref="O8314">IFERROR(IF($B8314=O$1, ($A8314+$C8314) - MAX(IF($B$2:$B8313=$B8314, $A$2:$A8313+$C$2:$C8313)), "")*24*60, "")</f>
        <v/>
      </c>
      <c r="P8314" s="24" t="str" cm="1">
        <f t="array" ref="P8314">IFERROR(IF($B8314=P$1, ($A8314+$C8314) - MAX(IF($B$2:$B8313=$B8314, $A$2:$A8313+$C$2:$C8313)), "")*24*60, "")</f>
        <v/>
      </c>
      <c r="Q8314" s="24" t="str" cm="1">
        <f t="array" ref="Q8314">IFERROR(IF($B8314=Q$1, ($A8314+$C8314) - MAX(IF($B$2:$B8313=$B8314, $A$2:$A8313+$C$2:$C8313)), "")*24*60, "")</f>
        <v/>
      </c>
      <c r="R8314" s="24" t="str" cm="1">
        <f t="array" ref="R8314">IFERROR(IF($B8314=R$1, ($A8314+$C8314) - MAX(IF($B$2:$B8313=$B8314, $A$2:$A8313+$C$2:$C8313)), "")*24*60, "")</f>
        <v/>
      </c>
      <c r="S8314" s="24" t="str" cm="1">
        <f t="array" ref="S8314">IFERROR(IF($B8314=S$1, ($A8314+$C8314) - MAX(IF($B$2:$B8313=$B8314, $A$2:$A8313+$C$2:$C8313)), "")*24*60, "")</f>
        <v/>
      </c>
    </row>
    <row r="8315" spans="1:19" x14ac:dyDescent="0.2">
      <c r="A8315" s="12">
        <f t="shared" ref="A8315:C8315" si="1414">A8314</f>
        <v>46029</v>
      </c>
      <c r="B8315" s="5" t="str">
        <f t="shared" si="1414"/>
        <v>Northern Cardinal</v>
      </c>
      <c r="C8315" s="6">
        <f t="shared" si="1414"/>
        <v>0.75</v>
      </c>
      <c r="D8315" s="5"/>
      <c r="E8315" s="5"/>
      <c r="F8315" s="5" t="s">
        <v>9</v>
      </c>
      <c r="G8315" s="15" t="s">
        <v>8</v>
      </c>
      <c r="H8315" s="24">
        <f t="shared" si="1412"/>
        <v>0</v>
      </c>
      <c r="I8315" s="24" cm="1">
        <f t="array" ref="I8315">IFERROR(IF($B8315=I$1, ($A8315+$C8315) - MAX(IF($B$2:$B8314=$B8315, $A$2:$A8314+$C$2:$C8314)), "")*24*60, "")</f>
        <v>0</v>
      </c>
      <c r="J8315" s="24" t="str" cm="1">
        <f t="array" ref="J8315">IFERROR(IF($B8315=J$1, ($A8315+$C8315) - MAX(IF($B$2:$B8314=$B8315, $A$2:$A8314+$C$2:$C8314)), "")*24*60, "")</f>
        <v/>
      </c>
      <c r="K8315" s="24" t="str" cm="1">
        <f t="array" ref="K8315">IFERROR(IF($B8315=K$1, ($A8315+$C8315) - MAX(IF($B$2:$B8314=$B8315, $A$2:$A8314+$C$2:$C8314)), "")*24*60, "")</f>
        <v/>
      </c>
      <c r="L8315" s="24" t="str" cm="1">
        <f t="array" ref="L8315">IFERROR(IF($B8315=L$1, ($A8315+$C8315) - MAX(IF($B$2:$B8314=$B8315, $A$2:$A8314+$C$2:$C8314)), "")*24*60, "")</f>
        <v/>
      </c>
      <c r="M8315" s="24" t="str" cm="1">
        <f t="array" ref="M8315">IFERROR(IF($B8315=M$1, ($A8315+$C8315) - MAX(IF($B$2:$B8314=$B8315, $A$2:$A8314+$C$2:$C8314)), "")*24*60, "")</f>
        <v/>
      </c>
      <c r="N8315" s="24" t="str" cm="1">
        <f t="array" ref="N8315">IFERROR(IF($B8315=N$1, ($A8315+$C8315) - MAX(IF($B$2:$B8314=$B8315, $A$2:$A8314+$C$2:$C8314)), "")*24*60, "")</f>
        <v/>
      </c>
      <c r="O8315" s="24" t="str" cm="1">
        <f t="array" ref="O8315">IFERROR(IF($B8315=O$1, ($A8315+$C8315) - MAX(IF($B$2:$B8314=$B8315, $A$2:$A8314+$C$2:$C8314)), "")*24*60, "")</f>
        <v/>
      </c>
      <c r="P8315" s="24" t="str" cm="1">
        <f t="array" ref="P8315">IFERROR(IF($B8315=P$1, ($A8315+$C8315) - MAX(IF($B$2:$B8314=$B8315, $A$2:$A8314+$C$2:$C8314)), "")*24*60, "")</f>
        <v/>
      </c>
      <c r="Q8315" s="24" t="str" cm="1">
        <f t="array" ref="Q8315">IFERROR(IF($B8315=Q$1, ($A8315+$C8315) - MAX(IF($B$2:$B8314=$B8315, $A$2:$A8314+$C$2:$C8314)), "")*24*60, "")</f>
        <v/>
      </c>
      <c r="R8315" s="24" t="str" cm="1">
        <f t="array" ref="R8315">IFERROR(IF($B8315=R$1, ($A8315+$C8315) - MAX(IF($B$2:$B8314=$B8315, $A$2:$A8314+$C$2:$C8314)), "")*24*60, "")</f>
        <v/>
      </c>
      <c r="S8315" s="24" t="str" cm="1">
        <f t="array" ref="S8315">IFERROR(IF($B8315=S$1, ($A8315+$C8315) - MAX(IF($B$2:$B8314=$B8315, $A$2:$A8314+$C$2:$C8314)), "")*24*60, "")</f>
        <v/>
      </c>
    </row>
    <row r="8316" spans="1:19" x14ac:dyDescent="0.2">
      <c r="A8316" s="12">
        <f t="shared" ref="A8316:C8316" si="1415">A8315</f>
        <v>46029</v>
      </c>
      <c r="B8316" s="5" t="str">
        <f t="shared" si="1415"/>
        <v>Northern Cardinal</v>
      </c>
      <c r="C8316" s="6">
        <f t="shared" si="1415"/>
        <v>0.75</v>
      </c>
      <c r="D8316" s="5"/>
      <c r="E8316" s="5"/>
      <c r="F8316" s="5" t="s">
        <v>9</v>
      </c>
      <c r="G8316" s="15" t="s">
        <v>8</v>
      </c>
      <c r="H8316" s="24">
        <f t="shared" si="1412"/>
        <v>0</v>
      </c>
      <c r="I8316" s="24" cm="1">
        <f t="array" ref="I8316">IFERROR(IF($B8316=I$1, ($A8316+$C8316) - MAX(IF($B$2:$B8315=$B8316, $A$2:$A8315+$C$2:$C8315)), "")*24*60, "")</f>
        <v>0</v>
      </c>
      <c r="J8316" s="24" t="str" cm="1">
        <f t="array" ref="J8316">IFERROR(IF($B8316=J$1, ($A8316+$C8316) - MAX(IF($B$2:$B8315=$B8316, $A$2:$A8315+$C$2:$C8315)), "")*24*60, "")</f>
        <v/>
      </c>
      <c r="K8316" s="24" t="str" cm="1">
        <f t="array" ref="K8316">IFERROR(IF($B8316=K$1, ($A8316+$C8316) - MAX(IF($B$2:$B8315=$B8316, $A$2:$A8315+$C$2:$C8315)), "")*24*60, "")</f>
        <v/>
      </c>
      <c r="L8316" s="24" t="str" cm="1">
        <f t="array" ref="L8316">IFERROR(IF($B8316=L$1, ($A8316+$C8316) - MAX(IF($B$2:$B8315=$B8316, $A$2:$A8315+$C$2:$C8315)), "")*24*60, "")</f>
        <v/>
      </c>
      <c r="M8316" s="24" t="str" cm="1">
        <f t="array" ref="M8316">IFERROR(IF($B8316=M$1, ($A8316+$C8316) - MAX(IF($B$2:$B8315=$B8316, $A$2:$A8315+$C$2:$C8315)), "")*24*60, "")</f>
        <v/>
      </c>
      <c r="N8316" s="24" t="str" cm="1">
        <f t="array" ref="N8316">IFERROR(IF($B8316=N$1, ($A8316+$C8316) - MAX(IF($B$2:$B8315=$B8316, $A$2:$A8315+$C$2:$C8315)), "")*24*60, "")</f>
        <v/>
      </c>
      <c r="O8316" s="24" t="str" cm="1">
        <f t="array" ref="O8316">IFERROR(IF($B8316=O$1, ($A8316+$C8316) - MAX(IF($B$2:$B8315=$B8316, $A$2:$A8315+$C$2:$C8315)), "")*24*60, "")</f>
        <v/>
      </c>
      <c r="P8316" s="24" t="str" cm="1">
        <f t="array" ref="P8316">IFERROR(IF($B8316=P$1, ($A8316+$C8316) - MAX(IF($B$2:$B8315=$B8316, $A$2:$A8315+$C$2:$C8315)), "")*24*60, "")</f>
        <v/>
      </c>
      <c r="Q8316" s="24" t="str" cm="1">
        <f t="array" ref="Q8316">IFERROR(IF($B8316=Q$1, ($A8316+$C8316) - MAX(IF($B$2:$B8315=$B8316, $A$2:$A8315+$C$2:$C8315)), "")*24*60, "")</f>
        <v/>
      </c>
      <c r="R8316" s="24" t="str" cm="1">
        <f t="array" ref="R8316">IFERROR(IF($B8316=R$1, ($A8316+$C8316) - MAX(IF($B$2:$B8315=$B8316, $A$2:$A8315+$C$2:$C8315)), "")*24*60, "")</f>
        <v/>
      </c>
      <c r="S8316" s="24" t="str" cm="1">
        <f t="array" ref="S8316">IFERROR(IF($B8316=S$1, ($A8316+$C8316) - MAX(IF($B$2:$B8315=$B8316, $A$2:$A8315+$C$2:$C8315)), "")*24*60, "")</f>
        <v/>
      </c>
    </row>
    <row r="8317" spans="1:19" x14ac:dyDescent="0.2">
      <c r="A8317" s="12">
        <f t="shared" ref="A8317:C8317" si="1416">A8316</f>
        <v>46029</v>
      </c>
      <c r="B8317" s="5" t="str">
        <f t="shared" si="1416"/>
        <v>Northern Cardinal</v>
      </c>
      <c r="C8317" s="6">
        <f t="shared" si="1416"/>
        <v>0.75</v>
      </c>
      <c r="D8317" s="5"/>
      <c r="E8317" s="5"/>
      <c r="F8317" s="5" t="s">
        <v>9</v>
      </c>
      <c r="G8317" s="15" t="s">
        <v>8</v>
      </c>
      <c r="H8317" s="24">
        <f t="shared" si="1412"/>
        <v>0</v>
      </c>
      <c r="I8317" s="24" cm="1">
        <f t="array" ref="I8317">IFERROR(IF($B8317=I$1, ($A8317+$C8317) - MAX(IF($B$2:$B8316=$B8317, $A$2:$A8316+$C$2:$C8316)), "")*24*60, "")</f>
        <v>0</v>
      </c>
      <c r="J8317" s="24" t="str" cm="1">
        <f t="array" ref="J8317">IFERROR(IF($B8317=J$1, ($A8317+$C8317) - MAX(IF($B$2:$B8316=$B8317, $A$2:$A8316+$C$2:$C8316)), "")*24*60, "")</f>
        <v/>
      </c>
      <c r="K8317" s="24" t="str" cm="1">
        <f t="array" ref="K8317">IFERROR(IF($B8317=K$1, ($A8317+$C8317) - MAX(IF($B$2:$B8316=$B8317, $A$2:$A8316+$C$2:$C8316)), "")*24*60, "")</f>
        <v/>
      </c>
      <c r="L8317" s="24" t="str" cm="1">
        <f t="array" ref="L8317">IFERROR(IF($B8317=L$1, ($A8317+$C8317) - MAX(IF($B$2:$B8316=$B8317, $A$2:$A8316+$C$2:$C8316)), "")*24*60, "")</f>
        <v/>
      </c>
      <c r="M8317" s="24" t="str" cm="1">
        <f t="array" ref="M8317">IFERROR(IF($B8317=M$1, ($A8317+$C8317) - MAX(IF($B$2:$B8316=$B8317, $A$2:$A8316+$C$2:$C8316)), "")*24*60, "")</f>
        <v/>
      </c>
      <c r="N8317" s="24" t="str" cm="1">
        <f t="array" ref="N8317">IFERROR(IF($B8317=N$1, ($A8317+$C8317) - MAX(IF($B$2:$B8316=$B8317, $A$2:$A8316+$C$2:$C8316)), "")*24*60, "")</f>
        <v/>
      </c>
      <c r="O8317" s="24" t="str" cm="1">
        <f t="array" ref="O8317">IFERROR(IF($B8317=O$1, ($A8317+$C8317) - MAX(IF($B$2:$B8316=$B8317, $A$2:$A8316+$C$2:$C8316)), "")*24*60, "")</f>
        <v/>
      </c>
      <c r="P8317" s="24" t="str" cm="1">
        <f t="array" ref="P8317">IFERROR(IF($B8317=P$1, ($A8317+$C8317) - MAX(IF($B$2:$B8316=$B8317, $A$2:$A8316+$C$2:$C8316)), "")*24*60, "")</f>
        <v/>
      </c>
      <c r="Q8317" s="24" t="str" cm="1">
        <f t="array" ref="Q8317">IFERROR(IF($B8317=Q$1, ($A8317+$C8317) - MAX(IF($B$2:$B8316=$B8317, $A$2:$A8316+$C$2:$C8316)), "")*24*60, "")</f>
        <v/>
      </c>
      <c r="R8317" s="24" t="str" cm="1">
        <f t="array" ref="R8317">IFERROR(IF($B8317=R$1, ($A8317+$C8317) - MAX(IF($B$2:$B8316=$B8317, $A$2:$A8316+$C$2:$C8316)), "")*24*60, "")</f>
        <v/>
      </c>
      <c r="S8317" s="24" t="str" cm="1">
        <f t="array" ref="S8317">IFERROR(IF($B8317=S$1, ($A8317+$C8317) - MAX(IF($B$2:$B8316=$B8317, $A$2:$A8316+$C$2:$C8316)), "")*24*60, "")</f>
        <v/>
      </c>
    </row>
    <row r="8318" spans="1:19" x14ac:dyDescent="0.2">
      <c r="A8318" s="12">
        <f t="shared" ref="A8318:C8318" si="1417">A8317</f>
        <v>46029</v>
      </c>
      <c r="B8318" s="5" t="str">
        <f t="shared" si="1417"/>
        <v>Northern Cardinal</v>
      </c>
      <c r="C8318" s="6">
        <f t="shared" si="1417"/>
        <v>0.75</v>
      </c>
      <c r="D8318" s="5"/>
      <c r="E8318" s="5"/>
      <c r="F8318" s="5" t="s">
        <v>9</v>
      </c>
      <c r="G8318" s="15" t="s">
        <v>8</v>
      </c>
      <c r="H8318" s="24">
        <f t="shared" si="1412"/>
        <v>0</v>
      </c>
      <c r="I8318" s="24" cm="1">
        <f t="array" ref="I8318">IFERROR(IF($B8318=I$1, ($A8318+$C8318) - MAX(IF($B$2:$B8317=$B8318, $A$2:$A8317+$C$2:$C8317)), "")*24*60, "")</f>
        <v>0</v>
      </c>
      <c r="J8318" s="24" t="str" cm="1">
        <f t="array" ref="J8318">IFERROR(IF($B8318=J$1, ($A8318+$C8318) - MAX(IF($B$2:$B8317=$B8318, $A$2:$A8317+$C$2:$C8317)), "")*24*60, "")</f>
        <v/>
      </c>
      <c r="K8318" s="24" t="str" cm="1">
        <f t="array" ref="K8318">IFERROR(IF($B8318=K$1, ($A8318+$C8318) - MAX(IF($B$2:$B8317=$B8318, $A$2:$A8317+$C$2:$C8317)), "")*24*60, "")</f>
        <v/>
      </c>
      <c r="L8318" s="24" t="str" cm="1">
        <f t="array" ref="L8318">IFERROR(IF($B8318=L$1, ($A8318+$C8318) - MAX(IF($B$2:$B8317=$B8318, $A$2:$A8317+$C$2:$C8317)), "")*24*60, "")</f>
        <v/>
      </c>
      <c r="M8318" s="24" t="str" cm="1">
        <f t="array" ref="M8318">IFERROR(IF($B8318=M$1, ($A8318+$C8318) - MAX(IF($B$2:$B8317=$B8318, $A$2:$A8317+$C$2:$C8317)), "")*24*60, "")</f>
        <v/>
      </c>
      <c r="N8318" s="24" t="str" cm="1">
        <f t="array" ref="N8318">IFERROR(IF($B8318=N$1, ($A8318+$C8318) - MAX(IF($B$2:$B8317=$B8318, $A$2:$A8317+$C$2:$C8317)), "")*24*60, "")</f>
        <v/>
      </c>
      <c r="O8318" s="24" t="str" cm="1">
        <f t="array" ref="O8318">IFERROR(IF($B8318=O$1, ($A8318+$C8318) - MAX(IF($B$2:$B8317=$B8318, $A$2:$A8317+$C$2:$C8317)), "")*24*60, "")</f>
        <v/>
      </c>
      <c r="P8318" s="24" t="str" cm="1">
        <f t="array" ref="P8318">IFERROR(IF($B8318=P$1, ($A8318+$C8318) - MAX(IF($B$2:$B8317=$B8318, $A$2:$A8317+$C$2:$C8317)), "")*24*60, "")</f>
        <v/>
      </c>
      <c r="Q8318" s="24" t="str" cm="1">
        <f t="array" ref="Q8318">IFERROR(IF($B8318=Q$1, ($A8318+$C8318) - MAX(IF($B$2:$B8317=$B8318, $A$2:$A8317+$C$2:$C8317)), "")*24*60, "")</f>
        <v/>
      </c>
      <c r="R8318" s="24" t="str" cm="1">
        <f t="array" ref="R8318">IFERROR(IF($B8318=R$1, ($A8318+$C8318) - MAX(IF($B$2:$B8317=$B8318, $A$2:$A8317+$C$2:$C8317)), "")*24*60, "")</f>
        <v/>
      </c>
      <c r="S8318" s="24" t="str" cm="1">
        <f t="array" ref="S8318">IFERROR(IF($B8318=S$1, ($A8318+$C8318) - MAX(IF($B$2:$B8317=$B8318, $A$2:$A8317+$C$2:$C8317)), "")*24*60, "")</f>
        <v/>
      </c>
    </row>
    <row r="8319" spans="1:19" x14ac:dyDescent="0.2">
      <c r="A8319" s="12">
        <f t="shared" ref="A8319:C8319" si="1418">A8318</f>
        <v>46029</v>
      </c>
      <c r="B8319" s="5" t="str">
        <f t="shared" si="1418"/>
        <v>Northern Cardinal</v>
      </c>
      <c r="C8319" s="6">
        <f t="shared" si="1418"/>
        <v>0.75</v>
      </c>
      <c r="D8319" s="5"/>
      <c r="E8319" s="5"/>
      <c r="F8319" s="5" t="s">
        <v>9</v>
      </c>
      <c r="G8319" s="15" t="s">
        <v>8</v>
      </c>
      <c r="H8319" s="24">
        <f t="shared" si="1412"/>
        <v>0</v>
      </c>
      <c r="I8319" s="24" cm="1">
        <f t="array" ref="I8319">IFERROR(IF($B8319=I$1, ($A8319+$C8319) - MAX(IF($B$2:$B8318=$B8319, $A$2:$A8318+$C$2:$C8318)), "")*24*60, "")</f>
        <v>0</v>
      </c>
      <c r="J8319" s="24" t="str" cm="1">
        <f t="array" ref="J8319">IFERROR(IF($B8319=J$1, ($A8319+$C8319) - MAX(IF($B$2:$B8318=$B8319, $A$2:$A8318+$C$2:$C8318)), "")*24*60, "")</f>
        <v/>
      </c>
      <c r="K8319" s="24" t="str" cm="1">
        <f t="array" ref="K8319">IFERROR(IF($B8319=K$1, ($A8319+$C8319) - MAX(IF($B$2:$B8318=$B8319, $A$2:$A8318+$C$2:$C8318)), "")*24*60, "")</f>
        <v/>
      </c>
      <c r="L8319" s="24" t="str" cm="1">
        <f t="array" ref="L8319">IFERROR(IF($B8319=L$1, ($A8319+$C8319) - MAX(IF($B$2:$B8318=$B8319, $A$2:$A8318+$C$2:$C8318)), "")*24*60, "")</f>
        <v/>
      </c>
      <c r="M8319" s="24" t="str" cm="1">
        <f t="array" ref="M8319">IFERROR(IF($B8319=M$1, ($A8319+$C8319) - MAX(IF($B$2:$B8318=$B8319, $A$2:$A8318+$C$2:$C8318)), "")*24*60, "")</f>
        <v/>
      </c>
      <c r="N8319" s="24" t="str" cm="1">
        <f t="array" ref="N8319">IFERROR(IF($B8319=N$1, ($A8319+$C8319) - MAX(IF($B$2:$B8318=$B8319, $A$2:$A8318+$C$2:$C8318)), "")*24*60, "")</f>
        <v/>
      </c>
      <c r="O8319" s="24" t="str" cm="1">
        <f t="array" ref="O8319">IFERROR(IF($B8319=O$1, ($A8319+$C8319) - MAX(IF($B$2:$B8318=$B8319, $A$2:$A8318+$C$2:$C8318)), "")*24*60, "")</f>
        <v/>
      </c>
      <c r="P8319" s="24" t="str" cm="1">
        <f t="array" ref="P8319">IFERROR(IF($B8319=P$1, ($A8319+$C8319) - MAX(IF($B$2:$B8318=$B8319, $A$2:$A8318+$C$2:$C8318)), "")*24*60, "")</f>
        <v/>
      </c>
      <c r="Q8319" s="24" t="str" cm="1">
        <f t="array" ref="Q8319">IFERROR(IF($B8319=Q$1, ($A8319+$C8319) - MAX(IF($B$2:$B8318=$B8319, $A$2:$A8318+$C$2:$C8318)), "")*24*60, "")</f>
        <v/>
      </c>
      <c r="R8319" s="24" t="str" cm="1">
        <f t="array" ref="R8319">IFERROR(IF($B8319=R$1, ($A8319+$C8319) - MAX(IF($B$2:$B8318=$B8319, $A$2:$A8318+$C$2:$C8318)), "")*24*60, "")</f>
        <v/>
      </c>
      <c r="S8319" s="24" t="str" cm="1">
        <f t="array" ref="S8319">IFERROR(IF($B8319=S$1, ($A8319+$C8319) - MAX(IF($B$2:$B8318=$B8319, $A$2:$A8318+$C$2:$C8318)), "")*24*60, "")</f>
        <v/>
      </c>
    </row>
    <row r="8320" spans="1:19" x14ac:dyDescent="0.2">
      <c r="A8320" s="12">
        <f t="shared" ref="A8320:C8320" si="1419">A8319</f>
        <v>46029</v>
      </c>
      <c r="B8320" s="5" t="str">
        <f t="shared" si="1419"/>
        <v>Northern Cardinal</v>
      </c>
      <c r="C8320" s="6">
        <f t="shared" si="1419"/>
        <v>0.75</v>
      </c>
      <c r="D8320" s="5"/>
      <c r="E8320" s="5"/>
      <c r="F8320" s="5" t="s">
        <v>9</v>
      </c>
      <c r="G8320" s="15" t="s">
        <v>8</v>
      </c>
      <c r="H8320" s="24">
        <f t="shared" si="1412"/>
        <v>0</v>
      </c>
      <c r="I8320" s="24" cm="1">
        <f t="array" ref="I8320">IFERROR(IF($B8320=I$1, ($A8320+$C8320) - MAX(IF($B$2:$B8319=$B8320, $A$2:$A8319+$C$2:$C8319)), "")*24*60, "")</f>
        <v>0</v>
      </c>
      <c r="J8320" s="24" t="str" cm="1">
        <f t="array" ref="J8320">IFERROR(IF($B8320=J$1, ($A8320+$C8320) - MAX(IF($B$2:$B8319=$B8320, $A$2:$A8319+$C$2:$C8319)), "")*24*60, "")</f>
        <v/>
      </c>
      <c r="K8320" s="24" t="str" cm="1">
        <f t="array" ref="K8320">IFERROR(IF($B8320=K$1, ($A8320+$C8320) - MAX(IF($B$2:$B8319=$B8320, $A$2:$A8319+$C$2:$C8319)), "")*24*60, "")</f>
        <v/>
      </c>
      <c r="L8320" s="24" t="str" cm="1">
        <f t="array" ref="L8320">IFERROR(IF($B8320=L$1, ($A8320+$C8320) - MAX(IF($B$2:$B8319=$B8320, $A$2:$A8319+$C$2:$C8319)), "")*24*60, "")</f>
        <v/>
      </c>
      <c r="M8320" s="24" t="str" cm="1">
        <f t="array" ref="M8320">IFERROR(IF($B8320=M$1, ($A8320+$C8320) - MAX(IF($B$2:$B8319=$B8320, $A$2:$A8319+$C$2:$C8319)), "")*24*60, "")</f>
        <v/>
      </c>
      <c r="N8320" s="24" t="str" cm="1">
        <f t="array" ref="N8320">IFERROR(IF($B8320=N$1, ($A8320+$C8320) - MAX(IF($B$2:$B8319=$B8320, $A$2:$A8319+$C$2:$C8319)), "")*24*60, "")</f>
        <v/>
      </c>
      <c r="O8320" s="24" t="str" cm="1">
        <f t="array" ref="O8320">IFERROR(IF($B8320=O$1, ($A8320+$C8320) - MAX(IF($B$2:$B8319=$B8320, $A$2:$A8319+$C$2:$C8319)), "")*24*60, "")</f>
        <v/>
      </c>
      <c r="P8320" s="24" t="str" cm="1">
        <f t="array" ref="P8320">IFERROR(IF($B8320=P$1, ($A8320+$C8320) - MAX(IF($B$2:$B8319=$B8320, $A$2:$A8319+$C$2:$C8319)), "")*24*60, "")</f>
        <v/>
      </c>
      <c r="Q8320" s="24" t="str" cm="1">
        <f t="array" ref="Q8320">IFERROR(IF($B8320=Q$1, ($A8320+$C8320) - MAX(IF($B$2:$B8319=$B8320, $A$2:$A8319+$C$2:$C8319)), "")*24*60, "")</f>
        <v/>
      </c>
      <c r="R8320" s="24" t="str" cm="1">
        <f t="array" ref="R8320">IFERROR(IF($B8320=R$1, ($A8320+$C8320) - MAX(IF($B$2:$B8319=$B8320, $A$2:$A8319+$C$2:$C8319)), "")*24*60, "")</f>
        <v/>
      </c>
      <c r="S8320" s="24" t="str" cm="1">
        <f t="array" ref="S8320">IFERROR(IF($B8320=S$1, ($A8320+$C8320) - MAX(IF($B$2:$B8319=$B8320, $A$2:$A8319+$C$2:$C8319)), "")*24*60, "")</f>
        <v/>
      </c>
    </row>
    <row r="8321" spans="1:19" x14ac:dyDescent="0.2">
      <c r="A8321" s="12">
        <f t="shared" ref="A8321:C8321" si="1420">A8320</f>
        <v>46029</v>
      </c>
      <c r="B8321" s="5" t="str">
        <f t="shared" si="1420"/>
        <v>Northern Cardinal</v>
      </c>
      <c r="C8321" s="6">
        <f t="shared" si="1420"/>
        <v>0.75</v>
      </c>
      <c r="D8321" s="5"/>
      <c r="E8321" s="5"/>
      <c r="F8321" s="5" t="s">
        <v>9</v>
      </c>
      <c r="G8321" s="15" t="s">
        <v>8</v>
      </c>
      <c r="H8321" s="24">
        <f t="shared" si="1412"/>
        <v>0</v>
      </c>
      <c r="I8321" s="24" cm="1">
        <f t="array" ref="I8321">IFERROR(IF($B8321=I$1, ($A8321+$C8321) - MAX(IF($B$2:$B8320=$B8321, $A$2:$A8320+$C$2:$C8320)), "")*24*60, "")</f>
        <v>0</v>
      </c>
      <c r="J8321" s="24" t="str" cm="1">
        <f t="array" ref="J8321">IFERROR(IF($B8321=J$1, ($A8321+$C8321) - MAX(IF($B$2:$B8320=$B8321, $A$2:$A8320+$C$2:$C8320)), "")*24*60, "")</f>
        <v/>
      </c>
      <c r="K8321" s="24" t="str" cm="1">
        <f t="array" ref="K8321">IFERROR(IF($B8321=K$1, ($A8321+$C8321) - MAX(IF($B$2:$B8320=$B8321, $A$2:$A8320+$C$2:$C8320)), "")*24*60, "")</f>
        <v/>
      </c>
      <c r="L8321" s="24" t="str" cm="1">
        <f t="array" ref="L8321">IFERROR(IF($B8321=L$1, ($A8321+$C8321) - MAX(IF($B$2:$B8320=$B8321, $A$2:$A8320+$C$2:$C8320)), "")*24*60, "")</f>
        <v/>
      </c>
      <c r="M8321" s="24" t="str" cm="1">
        <f t="array" ref="M8321">IFERROR(IF($B8321=M$1, ($A8321+$C8321) - MAX(IF($B$2:$B8320=$B8321, $A$2:$A8320+$C$2:$C8320)), "")*24*60, "")</f>
        <v/>
      </c>
      <c r="N8321" s="24" t="str" cm="1">
        <f t="array" ref="N8321">IFERROR(IF($B8321=N$1, ($A8321+$C8321) - MAX(IF($B$2:$B8320=$B8321, $A$2:$A8320+$C$2:$C8320)), "")*24*60, "")</f>
        <v/>
      </c>
      <c r="O8321" s="24" t="str" cm="1">
        <f t="array" ref="O8321">IFERROR(IF($B8321=O$1, ($A8321+$C8321) - MAX(IF($B$2:$B8320=$B8321, $A$2:$A8320+$C$2:$C8320)), "")*24*60, "")</f>
        <v/>
      </c>
      <c r="P8321" s="24" t="str" cm="1">
        <f t="array" ref="P8321">IFERROR(IF($B8321=P$1, ($A8321+$C8321) - MAX(IF($B$2:$B8320=$B8321, $A$2:$A8320+$C$2:$C8320)), "")*24*60, "")</f>
        <v/>
      </c>
      <c r="Q8321" s="24" t="str" cm="1">
        <f t="array" ref="Q8321">IFERROR(IF($B8321=Q$1, ($A8321+$C8321) - MAX(IF($B$2:$B8320=$B8321, $A$2:$A8320+$C$2:$C8320)), "")*24*60, "")</f>
        <v/>
      </c>
      <c r="R8321" s="24" t="str" cm="1">
        <f t="array" ref="R8321">IFERROR(IF($B8321=R$1, ($A8321+$C8321) - MAX(IF($B$2:$B8320=$B8321, $A$2:$A8320+$C$2:$C8320)), "")*24*60, "")</f>
        <v/>
      </c>
      <c r="S8321" s="24" t="str" cm="1">
        <f t="array" ref="S8321">IFERROR(IF($B8321=S$1, ($A8321+$C8321) - MAX(IF($B$2:$B8320=$B8321, $A$2:$A8320+$C$2:$C8320)), "")*24*60, "")</f>
        <v/>
      </c>
    </row>
    <row r="8322" spans="1:19" x14ac:dyDescent="0.2">
      <c r="A8322" s="12">
        <f t="shared" ref="A8322:C8322" si="1421">A8321</f>
        <v>46029</v>
      </c>
      <c r="B8322" s="5" t="str">
        <f t="shared" si="1421"/>
        <v>Northern Cardinal</v>
      </c>
      <c r="C8322" s="6">
        <f t="shared" si="1421"/>
        <v>0.75</v>
      </c>
      <c r="D8322" s="5"/>
      <c r="E8322" s="5"/>
      <c r="F8322" s="5" t="s">
        <v>9</v>
      </c>
      <c r="G8322" s="15" t="s">
        <v>8</v>
      </c>
      <c r="H8322" s="24">
        <f t="shared" si="1412"/>
        <v>0</v>
      </c>
      <c r="I8322" s="24" cm="1">
        <f t="array" ref="I8322">IFERROR(IF($B8322=I$1, ($A8322+$C8322) - MAX(IF($B$2:$B8321=$B8322, $A$2:$A8321+$C$2:$C8321)), "")*24*60, "")</f>
        <v>0</v>
      </c>
      <c r="J8322" s="24" t="str" cm="1">
        <f t="array" ref="J8322">IFERROR(IF($B8322=J$1, ($A8322+$C8322) - MAX(IF($B$2:$B8321=$B8322, $A$2:$A8321+$C$2:$C8321)), "")*24*60, "")</f>
        <v/>
      </c>
      <c r="K8322" s="24" t="str" cm="1">
        <f t="array" ref="K8322">IFERROR(IF($B8322=K$1, ($A8322+$C8322) - MAX(IF($B$2:$B8321=$B8322, $A$2:$A8321+$C$2:$C8321)), "")*24*60, "")</f>
        <v/>
      </c>
      <c r="L8322" s="24" t="str" cm="1">
        <f t="array" ref="L8322">IFERROR(IF($B8322=L$1, ($A8322+$C8322) - MAX(IF($B$2:$B8321=$B8322, $A$2:$A8321+$C$2:$C8321)), "")*24*60, "")</f>
        <v/>
      </c>
      <c r="M8322" s="24" t="str" cm="1">
        <f t="array" ref="M8322">IFERROR(IF($B8322=M$1, ($A8322+$C8322) - MAX(IF($B$2:$B8321=$B8322, $A$2:$A8321+$C$2:$C8321)), "")*24*60, "")</f>
        <v/>
      </c>
      <c r="N8322" s="24" t="str" cm="1">
        <f t="array" ref="N8322">IFERROR(IF($B8322=N$1, ($A8322+$C8322) - MAX(IF($B$2:$B8321=$B8322, $A$2:$A8321+$C$2:$C8321)), "")*24*60, "")</f>
        <v/>
      </c>
      <c r="O8322" s="24" t="str" cm="1">
        <f t="array" ref="O8322">IFERROR(IF($B8322=O$1, ($A8322+$C8322) - MAX(IF($B$2:$B8321=$B8322, $A$2:$A8321+$C$2:$C8321)), "")*24*60, "")</f>
        <v/>
      </c>
      <c r="P8322" s="24" t="str" cm="1">
        <f t="array" ref="P8322">IFERROR(IF($B8322=P$1, ($A8322+$C8322) - MAX(IF($B$2:$B8321=$B8322, $A$2:$A8321+$C$2:$C8321)), "")*24*60, "")</f>
        <v/>
      </c>
      <c r="Q8322" s="24" t="str" cm="1">
        <f t="array" ref="Q8322">IFERROR(IF($B8322=Q$1, ($A8322+$C8322) - MAX(IF($B$2:$B8321=$B8322, $A$2:$A8321+$C$2:$C8321)), "")*24*60, "")</f>
        <v/>
      </c>
      <c r="R8322" s="24" t="str" cm="1">
        <f t="array" ref="R8322">IFERROR(IF($B8322=R$1, ($A8322+$C8322) - MAX(IF($B$2:$B8321=$B8322, $A$2:$A8321+$C$2:$C8321)), "")*24*60, "")</f>
        <v/>
      </c>
      <c r="S8322" s="24" t="str" cm="1">
        <f t="array" ref="S8322">IFERROR(IF($B8322=S$1, ($A8322+$C8322) - MAX(IF($B$2:$B8321=$B8322, $A$2:$A8321+$C$2:$C8321)), "")*24*60, "")</f>
        <v/>
      </c>
    </row>
    <row r="8323" spans="1:19" x14ac:dyDescent="0.2">
      <c r="A8323" s="12">
        <f t="shared" ref="A8323:C8323" si="1422">A8322</f>
        <v>46029</v>
      </c>
      <c r="B8323" s="5" t="str">
        <f t="shared" si="1422"/>
        <v>Northern Cardinal</v>
      </c>
      <c r="C8323" s="6">
        <f t="shared" si="1422"/>
        <v>0.75</v>
      </c>
      <c r="D8323" s="5"/>
      <c r="E8323" s="5"/>
      <c r="F8323" s="5" t="s">
        <v>9</v>
      </c>
      <c r="G8323" s="15" t="s">
        <v>8</v>
      </c>
      <c r="H8323" s="24">
        <f t="shared" si="1412"/>
        <v>0</v>
      </c>
      <c r="I8323" s="24" cm="1">
        <f t="array" ref="I8323">IFERROR(IF($B8323=I$1, ($A8323+$C8323) - MAX(IF($B$2:$B8322=$B8323, $A$2:$A8322+$C$2:$C8322)), "")*24*60, "")</f>
        <v>0</v>
      </c>
      <c r="J8323" s="24" t="str" cm="1">
        <f t="array" ref="J8323">IFERROR(IF($B8323=J$1, ($A8323+$C8323) - MAX(IF($B$2:$B8322=$B8323, $A$2:$A8322+$C$2:$C8322)), "")*24*60, "")</f>
        <v/>
      </c>
      <c r="K8323" s="24" t="str" cm="1">
        <f t="array" ref="K8323">IFERROR(IF($B8323=K$1, ($A8323+$C8323) - MAX(IF($B$2:$B8322=$B8323, $A$2:$A8322+$C$2:$C8322)), "")*24*60, "")</f>
        <v/>
      </c>
      <c r="L8323" s="24" t="str" cm="1">
        <f t="array" ref="L8323">IFERROR(IF($B8323=L$1, ($A8323+$C8323) - MAX(IF($B$2:$B8322=$B8323, $A$2:$A8322+$C$2:$C8322)), "")*24*60, "")</f>
        <v/>
      </c>
      <c r="M8323" s="24" t="str" cm="1">
        <f t="array" ref="M8323">IFERROR(IF($B8323=M$1, ($A8323+$C8323) - MAX(IF($B$2:$B8322=$B8323, $A$2:$A8322+$C$2:$C8322)), "")*24*60, "")</f>
        <v/>
      </c>
      <c r="N8323" s="24" t="str" cm="1">
        <f t="array" ref="N8323">IFERROR(IF($B8323=N$1, ($A8323+$C8323) - MAX(IF($B$2:$B8322=$B8323, $A$2:$A8322+$C$2:$C8322)), "")*24*60, "")</f>
        <v/>
      </c>
      <c r="O8323" s="24" t="str" cm="1">
        <f t="array" ref="O8323">IFERROR(IF($B8323=O$1, ($A8323+$C8323) - MAX(IF($B$2:$B8322=$B8323, $A$2:$A8322+$C$2:$C8322)), "")*24*60, "")</f>
        <v/>
      </c>
      <c r="P8323" s="24" t="str" cm="1">
        <f t="array" ref="P8323">IFERROR(IF($B8323=P$1, ($A8323+$C8323) - MAX(IF($B$2:$B8322=$B8323, $A$2:$A8322+$C$2:$C8322)), "")*24*60, "")</f>
        <v/>
      </c>
      <c r="Q8323" s="24" t="str" cm="1">
        <f t="array" ref="Q8323">IFERROR(IF($B8323=Q$1, ($A8323+$C8323) - MAX(IF($B$2:$B8322=$B8323, $A$2:$A8322+$C$2:$C8322)), "")*24*60, "")</f>
        <v/>
      </c>
      <c r="R8323" s="24" t="str" cm="1">
        <f t="array" ref="R8323">IFERROR(IF($B8323=R$1, ($A8323+$C8323) - MAX(IF($B$2:$B8322=$B8323, $A$2:$A8322+$C$2:$C8322)), "")*24*60, "")</f>
        <v/>
      </c>
      <c r="S8323" s="24" t="str" cm="1">
        <f t="array" ref="S8323">IFERROR(IF($B8323=S$1, ($A8323+$C8323) - MAX(IF($B$2:$B8322=$B8323, $A$2:$A8322+$C$2:$C8322)), "")*24*60, "")</f>
        <v/>
      </c>
    </row>
    <row r="8324" spans="1:19" x14ac:dyDescent="0.2">
      <c r="A8324" s="12">
        <f t="shared" ref="A8324:C8324" si="1423">A8323</f>
        <v>46029</v>
      </c>
      <c r="B8324" s="5" t="str">
        <f t="shared" si="1423"/>
        <v>Northern Cardinal</v>
      </c>
      <c r="C8324" s="6">
        <f t="shared" si="1423"/>
        <v>0.75</v>
      </c>
      <c r="D8324" s="5"/>
      <c r="E8324" s="5"/>
      <c r="F8324" s="5" t="s">
        <v>9</v>
      </c>
      <c r="G8324" s="15" t="s">
        <v>8</v>
      </c>
      <c r="H8324" s="24">
        <f t="shared" si="1412"/>
        <v>0</v>
      </c>
      <c r="I8324" s="24" cm="1">
        <f t="array" ref="I8324">IFERROR(IF($B8324=I$1, ($A8324+$C8324) - MAX(IF($B$2:$B8323=$B8324, $A$2:$A8323+$C$2:$C8323)), "")*24*60, "")</f>
        <v>0</v>
      </c>
      <c r="J8324" s="24" t="str" cm="1">
        <f t="array" ref="J8324">IFERROR(IF($B8324=J$1, ($A8324+$C8324) - MAX(IF($B$2:$B8323=$B8324, $A$2:$A8323+$C$2:$C8323)), "")*24*60, "")</f>
        <v/>
      </c>
      <c r="K8324" s="24" t="str" cm="1">
        <f t="array" ref="K8324">IFERROR(IF($B8324=K$1, ($A8324+$C8324) - MAX(IF($B$2:$B8323=$B8324, $A$2:$A8323+$C$2:$C8323)), "")*24*60, "")</f>
        <v/>
      </c>
      <c r="L8324" s="24" t="str" cm="1">
        <f t="array" ref="L8324">IFERROR(IF($B8324=L$1, ($A8324+$C8324) - MAX(IF($B$2:$B8323=$B8324, $A$2:$A8323+$C$2:$C8323)), "")*24*60, "")</f>
        <v/>
      </c>
      <c r="M8324" s="24" t="str" cm="1">
        <f t="array" ref="M8324">IFERROR(IF($B8324=M$1, ($A8324+$C8324) - MAX(IF($B$2:$B8323=$B8324, $A$2:$A8323+$C$2:$C8323)), "")*24*60, "")</f>
        <v/>
      </c>
      <c r="N8324" s="24" t="str" cm="1">
        <f t="array" ref="N8324">IFERROR(IF($B8324=N$1, ($A8324+$C8324) - MAX(IF($B$2:$B8323=$B8324, $A$2:$A8323+$C$2:$C8323)), "")*24*60, "")</f>
        <v/>
      </c>
      <c r="O8324" s="24" t="str" cm="1">
        <f t="array" ref="O8324">IFERROR(IF($B8324=O$1, ($A8324+$C8324) - MAX(IF($B$2:$B8323=$B8324, $A$2:$A8323+$C$2:$C8323)), "")*24*60, "")</f>
        <v/>
      </c>
      <c r="P8324" s="24" t="str" cm="1">
        <f t="array" ref="P8324">IFERROR(IF($B8324=P$1, ($A8324+$C8324) - MAX(IF($B$2:$B8323=$B8324, $A$2:$A8323+$C$2:$C8323)), "")*24*60, "")</f>
        <v/>
      </c>
      <c r="Q8324" s="24" t="str" cm="1">
        <f t="array" ref="Q8324">IFERROR(IF($B8324=Q$1, ($A8324+$C8324) - MAX(IF($B$2:$B8323=$B8324, $A$2:$A8323+$C$2:$C8323)), "")*24*60, "")</f>
        <v/>
      </c>
      <c r="R8324" s="24" t="str" cm="1">
        <f t="array" ref="R8324">IFERROR(IF($B8324=R$1, ($A8324+$C8324) - MAX(IF($B$2:$B8323=$B8324, $A$2:$A8323+$C$2:$C8323)), "")*24*60, "")</f>
        <v/>
      </c>
      <c r="S8324" s="24" t="str" cm="1">
        <f t="array" ref="S8324">IFERROR(IF($B8324=S$1, ($A8324+$C8324) - MAX(IF($B$2:$B8323=$B8324, $A$2:$A8323+$C$2:$C8323)), "")*24*60, "")</f>
        <v/>
      </c>
    </row>
    <row r="8325" spans="1:19" x14ac:dyDescent="0.2">
      <c r="A8325" s="12">
        <f t="shared" ref="A8325:C8325" si="1424">A8324</f>
        <v>46029</v>
      </c>
      <c r="B8325" s="5" t="str">
        <f t="shared" si="1424"/>
        <v>Northern Cardinal</v>
      </c>
      <c r="C8325" s="6">
        <f t="shared" si="1424"/>
        <v>0.75</v>
      </c>
      <c r="D8325" s="5"/>
      <c r="E8325" s="5"/>
      <c r="F8325" s="5" t="s">
        <v>9</v>
      </c>
      <c r="G8325" s="15" t="s">
        <v>8</v>
      </c>
      <c r="H8325" s="24">
        <f t="shared" si="1412"/>
        <v>0</v>
      </c>
      <c r="I8325" s="24" cm="1">
        <f t="array" ref="I8325">IFERROR(IF($B8325=I$1, ($A8325+$C8325) - MAX(IF($B$2:$B8324=$B8325, $A$2:$A8324+$C$2:$C8324)), "")*24*60, "")</f>
        <v>0</v>
      </c>
      <c r="J8325" s="24" t="str" cm="1">
        <f t="array" ref="J8325">IFERROR(IF($B8325=J$1, ($A8325+$C8325) - MAX(IF($B$2:$B8324=$B8325, $A$2:$A8324+$C$2:$C8324)), "")*24*60, "")</f>
        <v/>
      </c>
      <c r="K8325" s="24" t="str" cm="1">
        <f t="array" ref="K8325">IFERROR(IF($B8325=K$1, ($A8325+$C8325) - MAX(IF($B$2:$B8324=$B8325, $A$2:$A8324+$C$2:$C8324)), "")*24*60, "")</f>
        <v/>
      </c>
      <c r="L8325" s="24" t="str" cm="1">
        <f t="array" ref="L8325">IFERROR(IF($B8325=L$1, ($A8325+$C8325) - MAX(IF($B$2:$B8324=$B8325, $A$2:$A8324+$C$2:$C8324)), "")*24*60, "")</f>
        <v/>
      </c>
      <c r="M8325" s="24" t="str" cm="1">
        <f t="array" ref="M8325">IFERROR(IF($B8325=M$1, ($A8325+$C8325) - MAX(IF($B$2:$B8324=$B8325, $A$2:$A8324+$C$2:$C8324)), "")*24*60, "")</f>
        <v/>
      </c>
      <c r="N8325" s="24" t="str" cm="1">
        <f t="array" ref="N8325">IFERROR(IF($B8325=N$1, ($A8325+$C8325) - MAX(IF($B$2:$B8324=$B8325, $A$2:$A8324+$C$2:$C8324)), "")*24*60, "")</f>
        <v/>
      </c>
      <c r="O8325" s="24" t="str" cm="1">
        <f t="array" ref="O8325">IFERROR(IF($B8325=O$1, ($A8325+$C8325) - MAX(IF($B$2:$B8324=$B8325, $A$2:$A8324+$C$2:$C8324)), "")*24*60, "")</f>
        <v/>
      </c>
      <c r="P8325" s="24" t="str" cm="1">
        <f t="array" ref="P8325">IFERROR(IF($B8325=P$1, ($A8325+$C8325) - MAX(IF($B$2:$B8324=$B8325, $A$2:$A8324+$C$2:$C8324)), "")*24*60, "")</f>
        <v/>
      </c>
      <c r="Q8325" s="24" t="str" cm="1">
        <f t="array" ref="Q8325">IFERROR(IF($B8325=Q$1, ($A8325+$C8325) - MAX(IF($B$2:$B8324=$B8325, $A$2:$A8324+$C$2:$C8324)), "")*24*60, "")</f>
        <v/>
      </c>
      <c r="R8325" s="24" t="str" cm="1">
        <f t="array" ref="R8325">IFERROR(IF($B8325=R$1, ($A8325+$C8325) - MAX(IF($B$2:$B8324=$B8325, $A$2:$A8324+$C$2:$C8324)), "")*24*60, "")</f>
        <v/>
      </c>
      <c r="S8325" s="24" t="str" cm="1">
        <f t="array" ref="S8325">IFERROR(IF($B8325=S$1, ($A8325+$C8325) - MAX(IF($B$2:$B8324=$B8325, $A$2:$A8324+$C$2:$C8324)), "")*24*60, "")</f>
        <v/>
      </c>
    </row>
    <row r="8326" spans="1:19" x14ac:dyDescent="0.2">
      <c r="A8326" s="12">
        <f t="shared" ref="A8326:C8326" si="1425">A8325</f>
        <v>46029</v>
      </c>
      <c r="B8326" s="5" t="str">
        <f t="shared" si="1425"/>
        <v>Northern Cardinal</v>
      </c>
      <c r="C8326" s="6">
        <f t="shared" si="1425"/>
        <v>0.75</v>
      </c>
      <c r="D8326" s="5"/>
      <c r="E8326" s="5"/>
      <c r="F8326" s="5" t="s">
        <v>9</v>
      </c>
      <c r="G8326" s="15" t="s">
        <v>8</v>
      </c>
      <c r="H8326" s="24">
        <f t="shared" si="1412"/>
        <v>0</v>
      </c>
      <c r="I8326" s="24" cm="1">
        <f t="array" ref="I8326">IFERROR(IF($B8326=I$1, ($A8326+$C8326) - MAX(IF($B$2:$B8325=$B8326, $A$2:$A8325+$C$2:$C8325)), "")*24*60, "")</f>
        <v>0</v>
      </c>
      <c r="J8326" s="24" t="str" cm="1">
        <f t="array" ref="J8326">IFERROR(IF($B8326=J$1, ($A8326+$C8326) - MAX(IF($B$2:$B8325=$B8326, $A$2:$A8325+$C$2:$C8325)), "")*24*60, "")</f>
        <v/>
      </c>
      <c r="K8326" s="24" t="str" cm="1">
        <f t="array" ref="K8326">IFERROR(IF($B8326=K$1, ($A8326+$C8326) - MAX(IF($B$2:$B8325=$B8326, $A$2:$A8325+$C$2:$C8325)), "")*24*60, "")</f>
        <v/>
      </c>
      <c r="L8326" s="24" t="str" cm="1">
        <f t="array" ref="L8326">IFERROR(IF($B8326=L$1, ($A8326+$C8326) - MAX(IF($B$2:$B8325=$B8326, $A$2:$A8325+$C$2:$C8325)), "")*24*60, "")</f>
        <v/>
      </c>
      <c r="M8326" s="24" t="str" cm="1">
        <f t="array" ref="M8326">IFERROR(IF($B8326=M$1, ($A8326+$C8326) - MAX(IF($B$2:$B8325=$B8326, $A$2:$A8325+$C$2:$C8325)), "")*24*60, "")</f>
        <v/>
      </c>
      <c r="N8326" s="24" t="str" cm="1">
        <f t="array" ref="N8326">IFERROR(IF($B8326=N$1, ($A8326+$C8326) - MAX(IF($B$2:$B8325=$B8326, $A$2:$A8325+$C$2:$C8325)), "")*24*60, "")</f>
        <v/>
      </c>
      <c r="O8326" s="24" t="str" cm="1">
        <f t="array" ref="O8326">IFERROR(IF($B8326=O$1, ($A8326+$C8326) - MAX(IF($B$2:$B8325=$B8326, $A$2:$A8325+$C$2:$C8325)), "")*24*60, "")</f>
        <v/>
      </c>
      <c r="P8326" s="24" t="str" cm="1">
        <f t="array" ref="P8326">IFERROR(IF($B8326=P$1, ($A8326+$C8326) - MAX(IF($B$2:$B8325=$B8326, $A$2:$A8325+$C$2:$C8325)), "")*24*60, "")</f>
        <v/>
      </c>
      <c r="Q8326" s="24" t="str" cm="1">
        <f t="array" ref="Q8326">IFERROR(IF($B8326=Q$1, ($A8326+$C8326) - MAX(IF($B$2:$B8325=$B8326, $A$2:$A8325+$C$2:$C8325)), "")*24*60, "")</f>
        <v/>
      </c>
      <c r="R8326" s="24" t="str" cm="1">
        <f t="array" ref="R8326">IFERROR(IF($B8326=R$1, ($A8326+$C8326) - MAX(IF($B$2:$B8325=$B8326, $A$2:$A8325+$C$2:$C8325)), "")*24*60, "")</f>
        <v/>
      </c>
      <c r="S8326" s="24" t="str" cm="1">
        <f t="array" ref="S8326">IFERROR(IF($B8326=S$1, ($A8326+$C8326) - MAX(IF($B$2:$B8325=$B8326, $A$2:$A8325+$C$2:$C8325)), "")*24*60, "")</f>
        <v/>
      </c>
    </row>
    <row r="8327" spans="1:19" x14ac:dyDescent="0.2">
      <c r="A8327" s="12">
        <f t="shared" ref="A8327:C8327" si="1426">A8326</f>
        <v>46029</v>
      </c>
      <c r="B8327" s="5" t="str">
        <f t="shared" si="1426"/>
        <v>Northern Cardinal</v>
      </c>
      <c r="C8327" s="6">
        <f t="shared" si="1426"/>
        <v>0.75</v>
      </c>
      <c r="D8327" s="5"/>
      <c r="E8327" s="5"/>
      <c r="F8327" s="5" t="s">
        <v>9</v>
      </c>
      <c r="G8327" s="15" t="s">
        <v>8</v>
      </c>
      <c r="H8327" s="24">
        <f t="shared" si="1412"/>
        <v>0</v>
      </c>
      <c r="I8327" s="24" cm="1">
        <f t="array" ref="I8327">IFERROR(IF($B8327=I$1, ($A8327+$C8327) - MAX(IF($B$2:$B8326=$B8327, $A$2:$A8326+$C$2:$C8326)), "")*24*60, "")</f>
        <v>0</v>
      </c>
      <c r="J8327" s="24" t="str" cm="1">
        <f t="array" ref="J8327">IFERROR(IF($B8327=J$1, ($A8327+$C8327) - MAX(IF($B$2:$B8326=$B8327, $A$2:$A8326+$C$2:$C8326)), "")*24*60, "")</f>
        <v/>
      </c>
      <c r="K8327" s="24" t="str" cm="1">
        <f t="array" ref="K8327">IFERROR(IF($B8327=K$1, ($A8327+$C8327) - MAX(IF($B$2:$B8326=$B8327, $A$2:$A8326+$C$2:$C8326)), "")*24*60, "")</f>
        <v/>
      </c>
      <c r="L8327" s="24" t="str" cm="1">
        <f t="array" ref="L8327">IFERROR(IF($B8327=L$1, ($A8327+$C8327) - MAX(IF($B$2:$B8326=$B8327, $A$2:$A8326+$C$2:$C8326)), "")*24*60, "")</f>
        <v/>
      </c>
      <c r="M8327" s="24" t="str" cm="1">
        <f t="array" ref="M8327">IFERROR(IF($B8327=M$1, ($A8327+$C8327) - MAX(IF($B$2:$B8326=$B8327, $A$2:$A8326+$C$2:$C8326)), "")*24*60, "")</f>
        <v/>
      </c>
      <c r="N8327" s="24" t="str" cm="1">
        <f t="array" ref="N8327">IFERROR(IF($B8327=N$1, ($A8327+$C8327) - MAX(IF($B$2:$B8326=$B8327, $A$2:$A8326+$C$2:$C8326)), "")*24*60, "")</f>
        <v/>
      </c>
      <c r="O8327" s="24" t="str" cm="1">
        <f t="array" ref="O8327">IFERROR(IF($B8327=O$1, ($A8327+$C8327) - MAX(IF($B$2:$B8326=$B8327, $A$2:$A8326+$C$2:$C8326)), "")*24*60, "")</f>
        <v/>
      </c>
      <c r="P8327" s="24" t="str" cm="1">
        <f t="array" ref="P8327">IFERROR(IF($B8327=P$1, ($A8327+$C8327) - MAX(IF($B$2:$B8326=$B8327, $A$2:$A8326+$C$2:$C8326)), "")*24*60, "")</f>
        <v/>
      </c>
      <c r="Q8327" s="24" t="str" cm="1">
        <f t="array" ref="Q8327">IFERROR(IF($B8327=Q$1, ($A8327+$C8327) - MAX(IF($B$2:$B8326=$B8327, $A$2:$A8326+$C$2:$C8326)), "")*24*60, "")</f>
        <v/>
      </c>
      <c r="R8327" s="24" t="str" cm="1">
        <f t="array" ref="R8327">IFERROR(IF($B8327=R$1, ($A8327+$C8327) - MAX(IF($B$2:$B8326=$B8327, $A$2:$A8326+$C$2:$C8326)), "")*24*60, "")</f>
        <v/>
      </c>
      <c r="S8327" s="24" t="str" cm="1">
        <f t="array" ref="S8327">IFERROR(IF($B8327=S$1, ($A8327+$C8327) - MAX(IF($B$2:$B8326=$B8327, $A$2:$A8326+$C$2:$C8326)), "")*24*60, "")</f>
        <v/>
      </c>
    </row>
    <row r="8328" spans="1:19" x14ac:dyDescent="0.2">
      <c r="A8328" s="12">
        <f t="shared" ref="A8328:C8328" si="1427">A8327</f>
        <v>46029</v>
      </c>
      <c r="B8328" s="5" t="str">
        <f t="shared" si="1427"/>
        <v>Northern Cardinal</v>
      </c>
      <c r="C8328" s="6">
        <f t="shared" si="1427"/>
        <v>0.75</v>
      </c>
      <c r="D8328" s="5"/>
      <c r="E8328" s="5"/>
      <c r="F8328" s="5" t="s">
        <v>9</v>
      </c>
      <c r="G8328" s="15" t="s">
        <v>8</v>
      </c>
      <c r="H8328" s="24">
        <f t="shared" si="1412"/>
        <v>0</v>
      </c>
      <c r="I8328" s="24" cm="1">
        <f t="array" ref="I8328">IFERROR(IF($B8328=I$1, ($A8328+$C8328) - MAX(IF($B$2:$B8327=$B8328, $A$2:$A8327+$C$2:$C8327)), "")*24*60, "")</f>
        <v>0</v>
      </c>
      <c r="J8328" s="24" t="str" cm="1">
        <f t="array" ref="J8328">IFERROR(IF($B8328=J$1, ($A8328+$C8328) - MAX(IF($B$2:$B8327=$B8328, $A$2:$A8327+$C$2:$C8327)), "")*24*60, "")</f>
        <v/>
      </c>
      <c r="K8328" s="24" t="str" cm="1">
        <f t="array" ref="K8328">IFERROR(IF($B8328=K$1, ($A8328+$C8328) - MAX(IF($B$2:$B8327=$B8328, $A$2:$A8327+$C$2:$C8327)), "")*24*60, "")</f>
        <v/>
      </c>
      <c r="L8328" s="24" t="str" cm="1">
        <f t="array" ref="L8328">IFERROR(IF($B8328=L$1, ($A8328+$C8328) - MAX(IF($B$2:$B8327=$B8328, $A$2:$A8327+$C$2:$C8327)), "")*24*60, "")</f>
        <v/>
      </c>
      <c r="M8328" s="24" t="str" cm="1">
        <f t="array" ref="M8328">IFERROR(IF($B8328=M$1, ($A8328+$C8328) - MAX(IF($B$2:$B8327=$B8328, $A$2:$A8327+$C$2:$C8327)), "")*24*60, "")</f>
        <v/>
      </c>
      <c r="N8328" s="24" t="str" cm="1">
        <f t="array" ref="N8328">IFERROR(IF($B8328=N$1, ($A8328+$C8328) - MAX(IF($B$2:$B8327=$B8328, $A$2:$A8327+$C$2:$C8327)), "")*24*60, "")</f>
        <v/>
      </c>
      <c r="O8328" s="24" t="str" cm="1">
        <f t="array" ref="O8328">IFERROR(IF($B8328=O$1, ($A8328+$C8328) - MAX(IF($B$2:$B8327=$B8328, $A$2:$A8327+$C$2:$C8327)), "")*24*60, "")</f>
        <v/>
      </c>
      <c r="P8328" s="24" t="str" cm="1">
        <f t="array" ref="P8328">IFERROR(IF($B8328=P$1, ($A8328+$C8328) - MAX(IF($B$2:$B8327=$B8328, $A$2:$A8327+$C$2:$C8327)), "")*24*60, "")</f>
        <v/>
      </c>
      <c r="Q8328" s="24" t="str" cm="1">
        <f t="array" ref="Q8328">IFERROR(IF($B8328=Q$1, ($A8328+$C8328) - MAX(IF($B$2:$B8327=$B8328, $A$2:$A8327+$C$2:$C8327)), "")*24*60, "")</f>
        <v/>
      </c>
      <c r="R8328" s="24" t="str" cm="1">
        <f t="array" ref="R8328">IFERROR(IF($B8328=R$1, ($A8328+$C8328) - MAX(IF($B$2:$B8327=$B8328, $A$2:$A8327+$C$2:$C8327)), "")*24*60, "")</f>
        <v/>
      </c>
      <c r="S8328" s="24" t="str" cm="1">
        <f t="array" ref="S8328">IFERROR(IF($B8328=S$1, ($A8328+$C8328) - MAX(IF($B$2:$B8327=$B8328, $A$2:$A8327+$C$2:$C8327)), "")*24*60, "")</f>
        <v/>
      </c>
    </row>
    <row r="8329" spans="1:19" x14ac:dyDescent="0.2">
      <c r="A8329" s="12">
        <f t="shared" ref="A8329:C8329" si="1428">A8328</f>
        <v>46029</v>
      </c>
      <c r="B8329" s="5" t="str">
        <f t="shared" si="1428"/>
        <v>Northern Cardinal</v>
      </c>
      <c r="C8329" s="6">
        <f t="shared" si="1428"/>
        <v>0.75</v>
      </c>
      <c r="D8329" s="5"/>
      <c r="E8329" s="5"/>
      <c r="F8329" s="5" t="s">
        <v>9</v>
      </c>
      <c r="G8329" s="15" t="s">
        <v>8</v>
      </c>
      <c r="H8329" s="24">
        <f t="shared" si="1412"/>
        <v>0</v>
      </c>
      <c r="I8329" s="24" cm="1">
        <f t="array" ref="I8329">IFERROR(IF($B8329=I$1, ($A8329+$C8329) - MAX(IF($B$2:$B8328=$B8329, $A$2:$A8328+$C$2:$C8328)), "")*24*60, "")</f>
        <v>0</v>
      </c>
      <c r="J8329" s="24" t="str" cm="1">
        <f t="array" ref="J8329">IFERROR(IF($B8329=J$1, ($A8329+$C8329) - MAX(IF($B$2:$B8328=$B8329, $A$2:$A8328+$C$2:$C8328)), "")*24*60, "")</f>
        <v/>
      </c>
      <c r="K8329" s="24" t="str" cm="1">
        <f t="array" ref="K8329">IFERROR(IF($B8329=K$1, ($A8329+$C8329) - MAX(IF($B$2:$B8328=$B8329, $A$2:$A8328+$C$2:$C8328)), "")*24*60, "")</f>
        <v/>
      </c>
      <c r="L8329" s="24" t="str" cm="1">
        <f t="array" ref="L8329">IFERROR(IF($B8329=L$1, ($A8329+$C8329) - MAX(IF($B$2:$B8328=$B8329, $A$2:$A8328+$C$2:$C8328)), "")*24*60, "")</f>
        <v/>
      </c>
      <c r="M8329" s="24" t="str" cm="1">
        <f t="array" ref="M8329">IFERROR(IF($B8329=M$1, ($A8329+$C8329) - MAX(IF($B$2:$B8328=$B8329, $A$2:$A8328+$C$2:$C8328)), "")*24*60, "")</f>
        <v/>
      </c>
      <c r="N8329" s="24" t="str" cm="1">
        <f t="array" ref="N8329">IFERROR(IF($B8329=N$1, ($A8329+$C8329) - MAX(IF($B$2:$B8328=$B8329, $A$2:$A8328+$C$2:$C8328)), "")*24*60, "")</f>
        <v/>
      </c>
      <c r="O8329" s="24" t="str" cm="1">
        <f t="array" ref="O8329">IFERROR(IF($B8329=O$1, ($A8329+$C8329) - MAX(IF($B$2:$B8328=$B8329, $A$2:$A8328+$C$2:$C8328)), "")*24*60, "")</f>
        <v/>
      </c>
      <c r="P8329" s="24" t="str" cm="1">
        <f t="array" ref="P8329">IFERROR(IF($B8329=P$1, ($A8329+$C8329) - MAX(IF($B$2:$B8328=$B8329, $A$2:$A8328+$C$2:$C8328)), "")*24*60, "")</f>
        <v/>
      </c>
      <c r="Q8329" s="24" t="str" cm="1">
        <f t="array" ref="Q8329">IFERROR(IF($B8329=Q$1, ($A8329+$C8329) - MAX(IF($B$2:$B8328=$B8329, $A$2:$A8328+$C$2:$C8328)), "")*24*60, "")</f>
        <v/>
      </c>
      <c r="R8329" s="24" t="str" cm="1">
        <f t="array" ref="R8329">IFERROR(IF($B8329=R$1, ($A8329+$C8329) - MAX(IF($B$2:$B8328=$B8329, $A$2:$A8328+$C$2:$C8328)), "")*24*60, "")</f>
        <v/>
      </c>
      <c r="S8329" s="24" t="str" cm="1">
        <f t="array" ref="S8329">IFERROR(IF($B8329=S$1, ($A8329+$C8329) - MAX(IF($B$2:$B8328=$B8329, $A$2:$A8328+$C$2:$C8328)), "")*24*60, "")</f>
        <v/>
      </c>
    </row>
    <row r="8330" spans="1:19" x14ac:dyDescent="0.2">
      <c r="A8330" s="12">
        <f t="shared" ref="A8330:C8330" si="1429">A8329</f>
        <v>46029</v>
      </c>
      <c r="B8330" s="5" t="str">
        <f t="shared" si="1429"/>
        <v>Northern Cardinal</v>
      </c>
      <c r="C8330" s="6">
        <f t="shared" si="1429"/>
        <v>0.75</v>
      </c>
      <c r="D8330" s="5"/>
      <c r="E8330" s="5"/>
      <c r="F8330" s="5" t="s">
        <v>9</v>
      </c>
      <c r="G8330" s="15" t="s">
        <v>8</v>
      </c>
      <c r="H8330" s="24">
        <f t="shared" si="1412"/>
        <v>0</v>
      </c>
      <c r="I8330" s="24" cm="1">
        <f t="array" ref="I8330">IFERROR(IF($B8330=I$1, ($A8330+$C8330) - MAX(IF($B$2:$B8329=$B8330, $A$2:$A8329+$C$2:$C8329)), "")*24*60, "")</f>
        <v>0</v>
      </c>
      <c r="J8330" s="24" t="str" cm="1">
        <f t="array" ref="J8330">IFERROR(IF($B8330=J$1, ($A8330+$C8330) - MAX(IF($B$2:$B8329=$B8330, $A$2:$A8329+$C$2:$C8329)), "")*24*60, "")</f>
        <v/>
      </c>
      <c r="K8330" s="24" t="str" cm="1">
        <f t="array" ref="K8330">IFERROR(IF($B8330=K$1, ($A8330+$C8330) - MAX(IF($B$2:$B8329=$B8330, $A$2:$A8329+$C$2:$C8329)), "")*24*60, "")</f>
        <v/>
      </c>
      <c r="L8330" s="24" t="str" cm="1">
        <f t="array" ref="L8330">IFERROR(IF($B8330=L$1, ($A8330+$C8330) - MAX(IF($B$2:$B8329=$B8330, $A$2:$A8329+$C$2:$C8329)), "")*24*60, "")</f>
        <v/>
      </c>
      <c r="M8330" s="24" t="str" cm="1">
        <f t="array" ref="M8330">IFERROR(IF($B8330=M$1, ($A8330+$C8330) - MAX(IF($B$2:$B8329=$B8330, $A$2:$A8329+$C$2:$C8329)), "")*24*60, "")</f>
        <v/>
      </c>
      <c r="N8330" s="24" t="str" cm="1">
        <f t="array" ref="N8330">IFERROR(IF($B8330=N$1, ($A8330+$C8330) - MAX(IF($B$2:$B8329=$B8330, $A$2:$A8329+$C$2:$C8329)), "")*24*60, "")</f>
        <v/>
      </c>
      <c r="O8330" s="24" t="str" cm="1">
        <f t="array" ref="O8330">IFERROR(IF($B8330=O$1, ($A8330+$C8330) - MAX(IF($B$2:$B8329=$B8330, $A$2:$A8329+$C$2:$C8329)), "")*24*60, "")</f>
        <v/>
      </c>
      <c r="P8330" s="24" t="str" cm="1">
        <f t="array" ref="P8330">IFERROR(IF($B8330=P$1, ($A8330+$C8330) - MAX(IF($B$2:$B8329=$B8330, $A$2:$A8329+$C$2:$C8329)), "")*24*60, "")</f>
        <v/>
      </c>
      <c r="Q8330" s="24" t="str" cm="1">
        <f t="array" ref="Q8330">IFERROR(IF($B8330=Q$1, ($A8330+$C8330) - MAX(IF($B$2:$B8329=$B8330, $A$2:$A8329+$C$2:$C8329)), "")*24*60, "")</f>
        <v/>
      </c>
      <c r="R8330" s="24" t="str" cm="1">
        <f t="array" ref="R8330">IFERROR(IF($B8330=R$1, ($A8330+$C8330) - MAX(IF($B$2:$B8329=$B8330, $A$2:$A8329+$C$2:$C8329)), "")*24*60, "")</f>
        <v/>
      </c>
      <c r="S8330" s="24" t="str" cm="1">
        <f t="array" ref="S8330">IFERROR(IF($B8330=S$1, ($A8330+$C8330) - MAX(IF($B$2:$B8329=$B8330, $A$2:$A8329+$C$2:$C8329)), "")*24*60, "")</f>
        <v/>
      </c>
    </row>
    <row r="8331" spans="1:19" x14ac:dyDescent="0.2">
      <c r="A8331" s="12">
        <f t="shared" ref="A8331:C8331" si="1430">A8330</f>
        <v>46029</v>
      </c>
      <c r="B8331" s="5" t="str">
        <f t="shared" si="1430"/>
        <v>Northern Cardinal</v>
      </c>
      <c r="C8331" s="6">
        <f t="shared" si="1430"/>
        <v>0.75</v>
      </c>
      <c r="D8331" s="5"/>
      <c r="E8331" s="5"/>
      <c r="F8331" s="5" t="s">
        <v>9</v>
      </c>
      <c r="G8331" s="15" t="s">
        <v>8</v>
      </c>
      <c r="H8331" s="24">
        <f t="shared" si="1412"/>
        <v>0</v>
      </c>
      <c r="I8331" s="24" cm="1">
        <f t="array" ref="I8331">IFERROR(IF($B8331=I$1, ($A8331+$C8331) - MAX(IF($B$2:$B8330=$B8331, $A$2:$A8330+$C$2:$C8330)), "")*24*60, "")</f>
        <v>0</v>
      </c>
      <c r="J8331" s="24" t="str" cm="1">
        <f t="array" ref="J8331">IFERROR(IF($B8331=J$1, ($A8331+$C8331) - MAX(IF($B$2:$B8330=$B8331, $A$2:$A8330+$C$2:$C8330)), "")*24*60, "")</f>
        <v/>
      </c>
      <c r="K8331" s="24" t="str" cm="1">
        <f t="array" ref="K8331">IFERROR(IF($B8331=K$1, ($A8331+$C8331) - MAX(IF($B$2:$B8330=$B8331, $A$2:$A8330+$C$2:$C8330)), "")*24*60, "")</f>
        <v/>
      </c>
      <c r="L8331" s="24" t="str" cm="1">
        <f t="array" ref="L8331">IFERROR(IF($B8331=L$1, ($A8331+$C8331) - MAX(IF($B$2:$B8330=$B8331, $A$2:$A8330+$C$2:$C8330)), "")*24*60, "")</f>
        <v/>
      </c>
      <c r="M8331" s="24" t="str" cm="1">
        <f t="array" ref="M8331">IFERROR(IF($B8331=M$1, ($A8331+$C8331) - MAX(IF($B$2:$B8330=$B8331, $A$2:$A8330+$C$2:$C8330)), "")*24*60, "")</f>
        <v/>
      </c>
      <c r="N8331" s="24" t="str" cm="1">
        <f t="array" ref="N8331">IFERROR(IF($B8331=N$1, ($A8331+$C8331) - MAX(IF($B$2:$B8330=$B8331, $A$2:$A8330+$C$2:$C8330)), "")*24*60, "")</f>
        <v/>
      </c>
      <c r="O8331" s="24" t="str" cm="1">
        <f t="array" ref="O8331">IFERROR(IF($B8331=O$1, ($A8331+$C8331) - MAX(IF($B$2:$B8330=$B8331, $A$2:$A8330+$C$2:$C8330)), "")*24*60, "")</f>
        <v/>
      </c>
      <c r="P8331" s="24" t="str" cm="1">
        <f t="array" ref="P8331">IFERROR(IF($B8331=P$1, ($A8331+$C8331) - MAX(IF($B$2:$B8330=$B8331, $A$2:$A8330+$C$2:$C8330)), "")*24*60, "")</f>
        <v/>
      </c>
      <c r="Q8331" s="24" t="str" cm="1">
        <f t="array" ref="Q8331">IFERROR(IF($B8331=Q$1, ($A8331+$C8331) - MAX(IF($B$2:$B8330=$B8331, $A$2:$A8330+$C$2:$C8330)), "")*24*60, "")</f>
        <v/>
      </c>
      <c r="R8331" s="24" t="str" cm="1">
        <f t="array" ref="R8331">IFERROR(IF($B8331=R$1, ($A8331+$C8331) - MAX(IF($B$2:$B8330=$B8331, $A$2:$A8330+$C$2:$C8330)), "")*24*60, "")</f>
        <v/>
      </c>
      <c r="S8331" s="24" t="str" cm="1">
        <f t="array" ref="S8331">IFERROR(IF($B8331=S$1, ($A8331+$C8331) - MAX(IF($B$2:$B8330=$B8331, $A$2:$A8330+$C$2:$C8330)), "")*24*60, "")</f>
        <v/>
      </c>
    </row>
    <row r="8332" spans="1:19" x14ac:dyDescent="0.2">
      <c r="A8332" s="12">
        <f t="shared" ref="A8332:C8332" si="1431">A8331</f>
        <v>46029</v>
      </c>
      <c r="B8332" s="5" t="str">
        <f t="shared" si="1431"/>
        <v>Northern Cardinal</v>
      </c>
      <c r="C8332" s="6">
        <f t="shared" si="1431"/>
        <v>0.75</v>
      </c>
      <c r="D8332" s="5"/>
      <c r="E8332" s="5"/>
      <c r="F8332" s="5" t="s">
        <v>9</v>
      </c>
      <c r="G8332" s="15" t="s">
        <v>8</v>
      </c>
      <c r="H8332" s="24">
        <f t="shared" si="1412"/>
        <v>0</v>
      </c>
      <c r="I8332" s="24" cm="1">
        <f t="array" ref="I8332">IFERROR(IF($B8332=I$1, ($A8332+$C8332) - MAX(IF($B$2:$B8331=$B8332, $A$2:$A8331+$C$2:$C8331)), "")*24*60, "")</f>
        <v>0</v>
      </c>
      <c r="J8332" s="24" t="str" cm="1">
        <f t="array" ref="J8332">IFERROR(IF($B8332=J$1, ($A8332+$C8332) - MAX(IF($B$2:$B8331=$B8332, $A$2:$A8331+$C$2:$C8331)), "")*24*60, "")</f>
        <v/>
      </c>
      <c r="K8332" s="24" t="str" cm="1">
        <f t="array" ref="K8332">IFERROR(IF($B8332=K$1, ($A8332+$C8332) - MAX(IF($B$2:$B8331=$B8332, $A$2:$A8331+$C$2:$C8331)), "")*24*60, "")</f>
        <v/>
      </c>
      <c r="L8332" s="24" t="str" cm="1">
        <f t="array" ref="L8332">IFERROR(IF($B8332=L$1, ($A8332+$C8332) - MAX(IF($B$2:$B8331=$B8332, $A$2:$A8331+$C$2:$C8331)), "")*24*60, "")</f>
        <v/>
      </c>
      <c r="M8332" s="24" t="str" cm="1">
        <f t="array" ref="M8332">IFERROR(IF($B8332=M$1, ($A8332+$C8332) - MAX(IF($B$2:$B8331=$B8332, $A$2:$A8331+$C$2:$C8331)), "")*24*60, "")</f>
        <v/>
      </c>
      <c r="N8332" s="24" t="str" cm="1">
        <f t="array" ref="N8332">IFERROR(IF($B8332=N$1, ($A8332+$C8332) - MAX(IF($B$2:$B8331=$B8332, $A$2:$A8331+$C$2:$C8331)), "")*24*60, "")</f>
        <v/>
      </c>
      <c r="O8332" s="24" t="str" cm="1">
        <f t="array" ref="O8332">IFERROR(IF($B8332=O$1, ($A8332+$C8332) - MAX(IF($B$2:$B8331=$B8332, $A$2:$A8331+$C$2:$C8331)), "")*24*60, "")</f>
        <v/>
      </c>
      <c r="P8332" s="24" t="str" cm="1">
        <f t="array" ref="P8332">IFERROR(IF($B8332=P$1, ($A8332+$C8332) - MAX(IF($B$2:$B8331=$B8332, $A$2:$A8331+$C$2:$C8331)), "")*24*60, "")</f>
        <v/>
      </c>
      <c r="Q8332" s="24" t="str" cm="1">
        <f t="array" ref="Q8332">IFERROR(IF($B8332=Q$1, ($A8332+$C8332) - MAX(IF($B$2:$B8331=$B8332, $A$2:$A8331+$C$2:$C8331)), "")*24*60, "")</f>
        <v/>
      </c>
      <c r="R8332" s="24" t="str" cm="1">
        <f t="array" ref="R8332">IFERROR(IF($B8332=R$1, ($A8332+$C8332) - MAX(IF($B$2:$B8331=$B8332, $A$2:$A8331+$C$2:$C8331)), "")*24*60, "")</f>
        <v/>
      </c>
      <c r="S8332" s="24" t="str" cm="1">
        <f t="array" ref="S8332">IFERROR(IF($B8332=S$1, ($A8332+$C8332) - MAX(IF($B$2:$B8331=$B8332, $A$2:$A8331+$C$2:$C8331)), "")*24*60, "")</f>
        <v/>
      </c>
    </row>
    <row r="8333" spans="1:19" x14ac:dyDescent="0.2">
      <c r="A8333" s="12">
        <f t="shared" ref="A8333:C8333" si="1432">A8332</f>
        <v>46029</v>
      </c>
      <c r="B8333" s="5" t="str">
        <f t="shared" si="1432"/>
        <v>Northern Cardinal</v>
      </c>
      <c r="C8333" s="6">
        <f t="shared" si="1432"/>
        <v>0.75</v>
      </c>
      <c r="D8333" s="5"/>
      <c r="E8333" s="5"/>
      <c r="F8333" s="5" t="s">
        <v>9</v>
      </c>
      <c r="G8333" s="15" t="s">
        <v>8</v>
      </c>
      <c r="H8333" s="24">
        <f t="shared" si="1412"/>
        <v>0</v>
      </c>
      <c r="I8333" s="24" cm="1">
        <f t="array" ref="I8333">IFERROR(IF($B8333=I$1, ($A8333+$C8333) - MAX(IF($B$2:$B8332=$B8333, $A$2:$A8332+$C$2:$C8332)), "")*24*60, "")</f>
        <v>0</v>
      </c>
      <c r="J8333" s="24" t="str" cm="1">
        <f t="array" ref="J8333">IFERROR(IF($B8333=J$1, ($A8333+$C8333) - MAX(IF($B$2:$B8332=$B8333, $A$2:$A8332+$C$2:$C8332)), "")*24*60, "")</f>
        <v/>
      </c>
      <c r="K8333" s="24" t="str" cm="1">
        <f t="array" ref="K8333">IFERROR(IF($B8333=K$1, ($A8333+$C8333) - MAX(IF($B$2:$B8332=$B8333, $A$2:$A8332+$C$2:$C8332)), "")*24*60, "")</f>
        <v/>
      </c>
      <c r="L8333" s="24" t="str" cm="1">
        <f t="array" ref="L8333">IFERROR(IF($B8333=L$1, ($A8333+$C8333) - MAX(IF($B$2:$B8332=$B8333, $A$2:$A8332+$C$2:$C8332)), "")*24*60, "")</f>
        <v/>
      </c>
      <c r="M8333" s="24" t="str" cm="1">
        <f t="array" ref="M8333">IFERROR(IF($B8333=M$1, ($A8333+$C8333) - MAX(IF($B$2:$B8332=$B8333, $A$2:$A8332+$C$2:$C8332)), "")*24*60, "")</f>
        <v/>
      </c>
      <c r="N8333" s="24" t="str" cm="1">
        <f t="array" ref="N8333">IFERROR(IF($B8333=N$1, ($A8333+$C8333) - MAX(IF($B$2:$B8332=$B8333, $A$2:$A8332+$C$2:$C8332)), "")*24*60, "")</f>
        <v/>
      </c>
      <c r="O8333" s="24" t="str" cm="1">
        <f t="array" ref="O8333">IFERROR(IF($B8333=O$1, ($A8333+$C8333) - MAX(IF($B$2:$B8332=$B8333, $A$2:$A8332+$C$2:$C8332)), "")*24*60, "")</f>
        <v/>
      </c>
      <c r="P8333" s="24" t="str" cm="1">
        <f t="array" ref="P8333">IFERROR(IF($B8333=P$1, ($A8333+$C8333) - MAX(IF($B$2:$B8332=$B8333, $A$2:$A8332+$C$2:$C8332)), "")*24*60, "")</f>
        <v/>
      </c>
      <c r="Q8333" s="24" t="str" cm="1">
        <f t="array" ref="Q8333">IFERROR(IF($B8333=Q$1, ($A8333+$C8333) - MAX(IF($B$2:$B8332=$B8333, $A$2:$A8332+$C$2:$C8332)), "")*24*60, "")</f>
        <v/>
      </c>
      <c r="R8333" s="24" t="str" cm="1">
        <f t="array" ref="R8333">IFERROR(IF($B8333=R$1, ($A8333+$C8333) - MAX(IF($B$2:$B8332=$B8333, $A$2:$A8332+$C$2:$C8332)), "")*24*60, "")</f>
        <v/>
      </c>
      <c r="S8333" s="24" t="str" cm="1">
        <f t="array" ref="S8333">IFERROR(IF($B8333=S$1, ($A8333+$C8333) - MAX(IF($B$2:$B8332=$B8333, $A$2:$A8332+$C$2:$C8332)), "")*24*60, "")</f>
        <v/>
      </c>
    </row>
    <row r="8334" spans="1:19" x14ac:dyDescent="0.2">
      <c r="A8334" s="12">
        <f t="shared" ref="A8334:C8334" si="1433">A8333</f>
        <v>46029</v>
      </c>
      <c r="B8334" s="5" t="str">
        <f t="shared" si="1433"/>
        <v>Northern Cardinal</v>
      </c>
      <c r="C8334" s="6">
        <f t="shared" si="1433"/>
        <v>0.75</v>
      </c>
      <c r="D8334" s="5"/>
      <c r="E8334" s="5"/>
      <c r="F8334" s="5" t="s">
        <v>9</v>
      </c>
      <c r="G8334" s="15" t="s">
        <v>8</v>
      </c>
      <c r="H8334" s="24">
        <f t="shared" si="1412"/>
        <v>0</v>
      </c>
      <c r="I8334" s="24" cm="1">
        <f t="array" ref="I8334">IFERROR(IF($B8334=I$1, ($A8334+$C8334) - MAX(IF($B$2:$B8333=$B8334, $A$2:$A8333+$C$2:$C8333)), "")*24*60, "")</f>
        <v>0</v>
      </c>
      <c r="J8334" s="24" t="str" cm="1">
        <f t="array" ref="J8334">IFERROR(IF($B8334=J$1, ($A8334+$C8334) - MAX(IF($B$2:$B8333=$B8334, $A$2:$A8333+$C$2:$C8333)), "")*24*60, "")</f>
        <v/>
      </c>
      <c r="K8334" s="24" t="str" cm="1">
        <f t="array" ref="K8334">IFERROR(IF($B8334=K$1, ($A8334+$C8334) - MAX(IF($B$2:$B8333=$B8334, $A$2:$A8333+$C$2:$C8333)), "")*24*60, "")</f>
        <v/>
      </c>
      <c r="L8334" s="24" t="str" cm="1">
        <f t="array" ref="L8334">IFERROR(IF($B8334=L$1, ($A8334+$C8334) - MAX(IF($B$2:$B8333=$B8334, $A$2:$A8333+$C$2:$C8333)), "")*24*60, "")</f>
        <v/>
      </c>
      <c r="M8334" s="24" t="str" cm="1">
        <f t="array" ref="M8334">IFERROR(IF($B8334=M$1, ($A8334+$C8334) - MAX(IF($B$2:$B8333=$B8334, $A$2:$A8333+$C$2:$C8333)), "")*24*60, "")</f>
        <v/>
      </c>
      <c r="N8334" s="24" t="str" cm="1">
        <f t="array" ref="N8334">IFERROR(IF($B8334=N$1, ($A8334+$C8334) - MAX(IF($B$2:$B8333=$B8334, $A$2:$A8333+$C$2:$C8333)), "")*24*60, "")</f>
        <v/>
      </c>
      <c r="O8334" s="24" t="str" cm="1">
        <f t="array" ref="O8334">IFERROR(IF($B8334=O$1, ($A8334+$C8334) - MAX(IF($B$2:$B8333=$B8334, $A$2:$A8333+$C$2:$C8333)), "")*24*60, "")</f>
        <v/>
      </c>
      <c r="P8334" s="24" t="str" cm="1">
        <f t="array" ref="P8334">IFERROR(IF($B8334=P$1, ($A8334+$C8334) - MAX(IF($B$2:$B8333=$B8334, $A$2:$A8333+$C$2:$C8333)), "")*24*60, "")</f>
        <v/>
      </c>
      <c r="Q8334" s="24" t="str" cm="1">
        <f t="array" ref="Q8334">IFERROR(IF($B8334=Q$1, ($A8334+$C8334) - MAX(IF($B$2:$B8333=$B8334, $A$2:$A8333+$C$2:$C8333)), "")*24*60, "")</f>
        <v/>
      </c>
      <c r="R8334" s="24" t="str" cm="1">
        <f t="array" ref="R8334">IFERROR(IF($B8334=R$1, ($A8334+$C8334) - MAX(IF($B$2:$B8333=$B8334, $A$2:$A8333+$C$2:$C8333)), "")*24*60, "")</f>
        <v/>
      </c>
      <c r="S8334" s="24" t="str" cm="1">
        <f t="array" ref="S8334">IFERROR(IF($B8334=S$1, ($A8334+$C8334) - MAX(IF($B$2:$B8333=$B8334, $A$2:$A8333+$C$2:$C8333)), "")*24*60, "")</f>
        <v/>
      </c>
    </row>
    <row r="8335" spans="1:19" x14ac:dyDescent="0.2">
      <c r="A8335" s="12">
        <f t="shared" ref="A8335:C8335" si="1434">A8334</f>
        <v>46029</v>
      </c>
      <c r="B8335" s="5" t="str">
        <f t="shared" si="1434"/>
        <v>Northern Cardinal</v>
      </c>
      <c r="C8335" s="6">
        <f t="shared" si="1434"/>
        <v>0.75</v>
      </c>
      <c r="D8335" s="5"/>
      <c r="E8335" s="5"/>
      <c r="F8335" s="5" t="s">
        <v>9</v>
      </c>
      <c r="G8335" s="15" t="s">
        <v>8</v>
      </c>
      <c r="H8335" s="24">
        <f t="shared" si="1412"/>
        <v>0</v>
      </c>
      <c r="I8335" s="24" cm="1">
        <f t="array" ref="I8335">IFERROR(IF($B8335=I$1, ($A8335+$C8335) - MAX(IF($B$2:$B8334=$B8335, $A$2:$A8334+$C$2:$C8334)), "")*24*60, "")</f>
        <v>0</v>
      </c>
      <c r="J8335" s="24" t="str" cm="1">
        <f t="array" ref="J8335">IFERROR(IF($B8335=J$1, ($A8335+$C8335) - MAX(IF($B$2:$B8334=$B8335, $A$2:$A8334+$C$2:$C8334)), "")*24*60, "")</f>
        <v/>
      </c>
      <c r="K8335" s="24" t="str" cm="1">
        <f t="array" ref="K8335">IFERROR(IF($B8335=K$1, ($A8335+$C8335) - MAX(IF($B$2:$B8334=$B8335, $A$2:$A8334+$C$2:$C8334)), "")*24*60, "")</f>
        <v/>
      </c>
      <c r="L8335" s="24" t="str" cm="1">
        <f t="array" ref="L8335">IFERROR(IF($B8335=L$1, ($A8335+$C8335) - MAX(IF($B$2:$B8334=$B8335, $A$2:$A8334+$C$2:$C8334)), "")*24*60, "")</f>
        <v/>
      </c>
      <c r="M8335" s="24" t="str" cm="1">
        <f t="array" ref="M8335">IFERROR(IF($B8335=M$1, ($A8335+$C8335) - MAX(IF($B$2:$B8334=$B8335, $A$2:$A8334+$C$2:$C8334)), "")*24*60, "")</f>
        <v/>
      </c>
      <c r="N8335" s="24" t="str" cm="1">
        <f t="array" ref="N8335">IFERROR(IF($B8335=N$1, ($A8335+$C8335) - MAX(IF($B$2:$B8334=$B8335, $A$2:$A8334+$C$2:$C8334)), "")*24*60, "")</f>
        <v/>
      </c>
      <c r="O8335" s="24" t="str" cm="1">
        <f t="array" ref="O8335">IFERROR(IF($B8335=O$1, ($A8335+$C8335) - MAX(IF($B$2:$B8334=$B8335, $A$2:$A8334+$C$2:$C8334)), "")*24*60, "")</f>
        <v/>
      </c>
      <c r="P8335" s="24" t="str" cm="1">
        <f t="array" ref="P8335">IFERROR(IF($B8335=P$1, ($A8335+$C8335) - MAX(IF($B$2:$B8334=$B8335, $A$2:$A8334+$C$2:$C8334)), "")*24*60, "")</f>
        <v/>
      </c>
      <c r="Q8335" s="24" t="str" cm="1">
        <f t="array" ref="Q8335">IFERROR(IF($B8335=Q$1, ($A8335+$C8335) - MAX(IF($B$2:$B8334=$B8335, $A$2:$A8334+$C$2:$C8334)), "")*24*60, "")</f>
        <v/>
      </c>
      <c r="R8335" s="24" t="str" cm="1">
        <f t="array" ref="R8335">IFERROR(IF($B8335=R$1, ($A8335+$C8335) - MAX(IF($B$2:$B8334=$B8335, $A$2:$A8334+$C$2:$C8334)), "")*24*60, "")</f>
        <v/>
      </c>
      <c r="S8335" s="24" t="str" cm="1">
        <f t="array" ref="S8335">IFERROR(IF($B8335=S$1, ($A8335+$C8335) - MAX(IF($B$2:$B8334=$B8335, $A$2:$A8334+$C$2:$C8334)), "")*24*60, "")</f>
        <v/>
      </c>
    </row>
    <row r="8336" spans="1:19" x14ac:dyDescent="0.2">
      <c r="A8336" s="12">
        <f t="shared" ref="A8336:C8336" si="1435">A8335</f>
        <v>46029</v>
      </c>
      <c r="B8336" s="5" t="str">
        <f t="shared" si="1435"/>
        <v>Northern Cardinal</v>
      </c>
      <c r="C8336" s="6">
        <f t="shared" si="1435"/>
        <v>0.75</v>
      </c>
      <c r="D8336" s="5"/>
      <c r="E8336" s="5"/>
      <c r="F8336" s="5" t="s">
        <v>9</v>
      </c>
      <c r="G8336" s="15" t="s">
        <v>8</v>
      </c>
      <c r="H8336" s="24">
        <f t="shared" si="1412"/>
        <v>0</v>
      </c>
      <c r="I8336" s="24" cm="1">
        <f t="array" ref="I8336">IFERROR(IF($B8336=I$1, ($A8336+$C8336) - MAX(IF($B$2:$B8335=$B8336, $A$2:$A8335+$C$2:$C8335)), "")*24*60, "")</f>
        <v>0</v>
      </c>
      <c r="J8336" s="24" t="str" cm="1">
        <f t="array" ref="J8336">IFERROR(IF($B8336=J$1, ($A8336+$C8336) - MAX(IF($B$2:$B8335=$B8336, $A$2:$A8335+$C$2:$C8335)), "")*24*60, "")</f>
        <v/>
      </c>
      <c r="K8336" s="24" t="str" cm="1">
        <f t="array" ref="K8336">IFERROR(IF($B8336=K$1, ($A8336+$C8336) - MAX(IF($B$2:$B8335=$B8336, $A$2:$A8335+$C$2:$C8335)), "")*24*60, "")</f>
        <v/>
      </c>
      <c r="L8336" s="24" t="str" cm="1">
        <f t="array" ref="L8336">IFERROR(IF($B8336=L$1, ($A8336+$C8336) - MAX(IF($B$2:$B8335=$B8336, $A$2:$A8335+$C$2:$C8335)), "")*24*60, "")</f>
        <v/>
      </c>
      <c r="M8336" s="24" t="str" cm="1">
        <f t="array" ref="M8336">IFERROR(IF($B8336=M$1, ($A8336+$C8336) - MAX(IF($B$2:$B8335=$B8336, $A$2:$A8335+$C$2:$C8335)), "")*24*60, "")</f>
        <v/>
      </c>
      <c r="N8336" s="24" t="str" cm="1">
        <f t="array" ref="N8336">IFERROR(IF($B8336=N$1, ($A8336+$C8336) - MAX(IF($B$2:$B8335=$B8336, $A$2:$A8335+$C$2:$C8335)), "")*24*60, "")</f>
        <v/>
      </c>
      <c r="O8336" s="24" t="str" cm="1">
        <f t="array" ref="O8336">IFERROR(IF($B8336=O$1, ($A8336+$C8336) - MAX(IF($B$2:$B8335=$B8336, $A$2:$A8335+$C$2:$C8335)), "")*24*60, "")</f>
        <v/>
      </c>
      <c r="P8336" s="24" t="str" cm="1">
        <f t="array" ref="P8336">IFERROR(IF($B8336=P$1, ($A8336+$C8336) - MAX(IF($B$2:$B8335=$B8336, $A$2:$A8335+$C$2:$C8335)), "")*24*60, "")</f>
        <v/>
      </c>
      <c r="Q8336" s="24" t="str" cm="1">
        <f t="array" ref="Q8336">IFERROR(IF($B8336=Q$1, ($A8336+$C8336) - MAX(IF($B$2:$B8335=$B8336, $A$2:$A8335+$C$2:$C8335)), "")*24*60, "")</f>
        <v/>
      </c>
      <c r="R8336" s="24" t="str" cm="1">
        <f t="array" ref="R8336">IFERROR(IF($B8336=R$1, ($A8336+$C8336) - MAX(IF($B$2:$B8335=$B8336, $A$2:$A8335+$C$2:$C8335)), "")*24*60, "")</f>
        <v/>
      </c>
      <c r="S8336" s="24" t="str" cm="1">
        <f t="array" ref="S8336">IFERROR(IF($B8336=S$1, ($A8336+$C8336) - MAX(IF($B$2:$B8335=$B8336, $A$2:$A8335+$C$2:$C8335)), "")*24*60, "")</f>
        <v/>
      </c>
    </row>
    <row r="8337" spans="1:19" x14ac:dyDescent="0.2">
      <c r="A8337" s="12">
        <f t="shared" ref="A8337:C8337" si="1436">A8336</f>
        <v>46029</v>
      </c>
      <c r="B8337" s="5" t="str">
        <f t="shared" si="1436"/>
        <v>Northern Cardinal</v>
      </c>
      <c r="C8337" s="6">
        <f t="shared" si="1436"/>
        <v>0.75</v>
      </c>
      <c r="D8337" s="5"/>
      <c r="E8337" s="5"/>
      <c r="F8337" s="5" t="s">
        <v>9</v>
      </c>
      <c r="G8337" s="15" t="s">
        <v>8</v>
      </c>
      <c r="H8337" s="24">
        <f t="shared" si="1412"/>
        <v>0</v>
      </c>
      <c r="I8337" s="24" cm="1">
        <f t="array" ref="I8337">IFERROR(IF($B8337=I$1, ($A8337+$C8337) - MAX(IF($B$2:$B8336=$B8337, $A$2:$A8336+$C$2:$C8336)), "")*24*60, "")</f>
        <v>0</v>
      </c>
      <c r="J8337" s="24" t="str" cm="1">
        <f t="array" ref="J8337">IFERROR(IF($B8337=J$1, ($A8337+$C8337) - MAX(IF($B$2:$B8336=$B8337, $A$2:$A8336+$C$2:$C8336)), "")*24*60, "")</f>
        <v/>
      </c>
      <c r="K8337" s="24" t="str" cm="1">
        <f t="array" ref="K8337">IFERROR(IF($B8337=K$1, ($A8337+$C8337) - MAX(IF($B$2:$B8336=$B8337, $A$2:$A8336+$C$2:$C8336)), "")*24*60, "")</f>
        <v/>
      </c>
      <c r="L8337" s="24" t="str" cm="1">
        <f t="array" ref="L8337">IFERROR(IF($B8337=L$1, ($A8337+$C8337) - MAX(IF($B$2:$B8336=$B8337, $A$2:$A8336+$C$2:$C8336)), "")*24*60, "")</f>
        <v/>
      </c>
      <c r="M8337" s="24" t="str" cm="1">
        <f t="array" ref="M8337">IFERROR(IF($B8337=M$1, ($A8337+$C8337) - MAX(IF($B$2:$B8336=$B8337, $A$2:$A8336+$C$2:$C8336)), "")*24*60, "")</f>
        <v/>
      </c>
      <c r="N8337" s="24" t="str" cm="1">
        <f t="array" ref="N8337">IFERROR(IF($B8337=N$1, ($A8337+$C8337) - MAX(IF($B$2:$B8336=$B8337, $A$2:$A8336+$C$2:$C8336)), "")*24*60, "")</f>
        <v/>
      </c>
      <c r="O8337" s="24" t="str" cm="1">
        <f t="array" ref="O8337">IFERROR(IF($B8337=O$1, ($A8337+$C8337) - MAX(IF($B$2:$B8336=$B8337, $A$2:$A8336+$C$2:$C8336)), "")*24*60, "")</f>
        <v/>
      </c>
      <c r="P8337" s="24" t="str" cm="1">
        <f t="array" ref="P8337">IFERROR(IF($B8337=P$1, ($A8337+$C8337) - MAX(IF($B$2:$B8336=$B8337, $A$2:$A8336+$C$2:$C8336)), "")*24*60, "")</f>
        <v/>
      </c>
      <c r="Q8337" s="24" t="str" cm="1">
        <f t="array" ref="Q8337">IFERROR(IF($B8337=Q$1, ($A8337+$C8337) - MAX(IF($B$2:$B8336=$B8337, $A$2:$A8336+$C$2:$C8336)), "")*24*60, "")</f>
        <v/>
      </c>
      <c r="R8337" s="24" t="str" cm="1">
        <f t="array" ref="R8337">IFERROR(IF($B8337=R$1, ($A8337+$C8337) - MAX(IF($B$2:$B8336=$B8337, $A$2:$A8336+$C$2:$C8336)), "")*24*60, "")</f>
        <v/>
      </c>
      <c r="S8337" s="24" t="str" cm="1">
        <f t="array" ref="S8337">IFERROR(IF($B8337=S$1, ($A8337+$C8337) - MAX(IF($B$2:$B8336=$B8337, $A$2:$A8336+$C$2:$C8336)), "")*24*60, "")</f>
        <v/>
      </c>
    </row>
    <row r="8338" spans="1:19" x14ac:dyDescent="0.2">
      <c r="A8338" s="12">
        <f t="shared" ref="A8338:C8338" si="1437">A8337</f>
        <v>46029</v>
      </c>
      <c r="B8338" s="5" t="str">
        <f t="shared" si="1437"/>
        <v>Northern Cardinal</v>
      </c>
      <c r="C8338" s="6">
        <f t="shared" si="1437"/>
        <v>0.75</v>
      </c>
      <c r="D8338" s="5"/>
      <c r="E8338" s="5"/>
      <c r="F8338" s="5" t="s">
        <v>9</v>
      </c>
      <c r="G8338" s="15" t="s">
        <v>8</v>
      </c>
      <c r="H8338" s="24">
        <f t="shared" si="1412"/>
        <v>0</v>
      </c>
      <c r="I8338" s="24" cm="1">
        <f t="array" ref="I8338">IFERROR(IF($B8338=I$1, ($A8338+$C8338) - MAX(IF($B$2:$B8337=$B8338, $A$2:$A8337+$C$2:$C8337)), "")*24*60, "")</f>
        <v>0</v>
      </c>
      <c r="J8338" s="24" t="str" cm="1">
        <f t="array" ref="J8338">IFERROR(IF($B8338=J$1, ($A8338+$C8338) - MAX(IF($B$2:$B8337=$B8338, $A$2:$A8337+$C$2:$C8337)), "")*24*60, "")</f>
        <v/>
      </c>
      <c r="K8338" s="24" t="str" cm="1">
        <f t="array" ref="K8338">IFERROR(IF($B8338=K$1, ($A8338+$C8338) - MAX(IF($B$2:$B8337=$B8338, $A$2:$A8337+$C$2:$C8337)), "")*24*60, "")</f>
        <v/>
      </c>
      <c r="L8338" s="24" t="str" cm="1">
        <f t="array" ref="L8338">IFERROR(IF($B8338=L$1, ($A8338+$C8338) - MAX(IF($B$2:$B8337=$B8338, $A$2:$A8337+$C$2:$C8337)), "")*24*60, "")</f>
        <v/>
      </c>
      <c r="M8338" s="24" t="str" cm="1">
        <f t="array" ref="M8338">IFERROR(IF($B8338=M$1, ($A8338+$C8338) - MAX(IF($B$2:$B8337=$B8338, $A$2:$A8337+$C$2:$C8337)), "")*24*60, "")</f>
        <v/>
      </c>
      <c r="N8338" s="24" t="str" cm="1">
        <f t="array" ref="N8338">IFERROR(IF($B8338=N$1, ($A8338+$C8338) - MAX(IF($B$2:$B8337=$B8338, $A$2:$A8337+$C$2:$C8337)), "")*24*60, "")</f>
        <v/>
      </c>
      <c r="O8338" s="24" t="str" cm="1">
        <f t="array" ref="O8338">IFERROR(IF($B8338=O$1, ($A8338+$C8338) - MAX(IF($B$2:$B8337=$B8338, $A$2:$A8337+$C$2:$C8337)), "")*24*60, "")</f>
        <v/>
      </c>
      <c r="P8338" s="24" t="str" cm="1">
        <f t="array" ref="P8338">IFERROR(IF($B8338=P$1, ($A8338+$C8338) - MAX(IF($B$2:$B8337=$B8338, $A$2:$A8337+$C$2:$C8337)), "")*24*60, "")</f>
        <v/>
      </c>
      <c r="Q8338" s="24" t="str" cm="1">
        <f t="array" ref="Q8338">IFERROR(IF($B8338=Q$1, ($A8338+$C8338) - MAX(IF($B$2:$B8337=$B8338, $A$2:$A8337+$C$2:$C8337)), "")*24*60, "")</f>
        <v/>
      </c>
      <c r="R8338" s="24" t="str" cm="1">
        <f t="array" ref="R8338">IFERROR(IF($B8338=R$1, ($A8338+$C8338) - MAX(IF($B$2:$B8337=$B8338, $A$2:$A8337+$C$2:$C8337)), "")*24*60, "")</f>
        <v/>
      </c>
      <c r="S8338" s="24" t="str" cm="1">
        <f t="array" ref="S8338">IFERROR(IF($B8338=S$1, ($A8338+$C8338) - MAX(IF($B$2:$B8337=$B8338, $A$2:$A8337+$C$2:$C8337)), "")*24*60, "")</f>
        <v/>
      </c>
    </row>
    <row r="8339" spans="1:19" x14ac:dyDescent="0.2">
      <c r="A8339" s="12">
        <f t="shared" ref="A8339:C8339" si="1438">A8338</f>
        <v>46029</v>
      </c>
      <c r="B8339" s="5" t="str">
        <f t="shared" si="1438"/>
        <v>Northern Cardinal</v>
      </c>
      <c r="C8339" s="6">
        <f t="shared" si="1438"/>
        <v>0.75</v>
      </c>
      <c r="D8339" s="5"/>
      <c r="E8339" s="5"/>
      <c r="F8339" s="5" t="s">
        <v>9</v>
      </c>
      <c r="G8339" s="15" t="s">
        <v>8</v>
      </c>
      <c r="H8339" s="24">
        <f t="shared" si="1412"/>
        <v>0</v>
      </c>
      <c r="I8339" s="24" cm="1">
        <f t="array" ref="I8339">IFERROR(IF($B8339=I$1, ($A8339+$C8339) - MAX(IF($B$2:$B8338=$B8339, $A$2:$A8338+$C$2:$C8338)), "")*24*60, "")</f>
        <v>0</v>
      </c>
      <c r="J8339" s="24" t="str" cm="1">
        <f t="array" ref="J8339">IFERROR(IF($B8339=J$1, ($A8339+$C8339) - MAX(IF($B$2:$B8338=$B8339, $A$2:$A8338+$C$2:$C8338)), "")*24*60, "")</f>
        <v/>
      </c>
      <c r="K8339" s="24" t="str" cm="1">
        <f t="array" ref="K8339">IFERROR(IF($B8339=K$1, ($A8339+$C8339) - MAX(IF($B$2:$B8338=$B8339, $A$2:$A8338+$C$2:$C8338)), "")*24*60, "")</f>
        <v/>
      </c>
      <c r="L8339" s="24" t="str" cm="1">
        <f t="array" ref="L8339">IFERROR(IF($B8339=L$1, ($A8339+$C8339) - MAX(IF($B$2:$B8338=$B8339, $A$2:$A8338+$C$2:$C8338)), "")*24*60, "")</f>
        <v/>
      </c>
      <c r="M8339" s="24" t="str" cm="1">
        <f t="array" ref="M8339">IFERROR(IF($B8339=M$1, ($A8339+$C8339) - MAX(IF($B$2:$B8338=$B8339, $A$2:$A8338+$C$2:$C8338)), "")*24*60, "")</f>
        <v/>
      </c>
      <c r="N8339" s="24" t="str" cm="1">
        <f t="array" ref="N8339">IFERROR(IF($B8339=N$1, ($A8339+$C8339) - MAX(IF($B$2:$B8338=$B8339, $A$2:$A8338+$C$2:$C8338)), "")*24*60, "")</f>
        <v/>
      </c>
      <c r="O8339" s="24" t="str" cm="1">
        <f t="array" ref="O8339">IFERROR(IF($B8339=O$1, ($A8339+$C8339) - MAX(IF($B$2:$B8338=$B8339, $A$2:$A8338+$C$2:$C8338)), "")*24*60, "")</f>
        <v/>
      </c>
      <c r="P8339" s="24" t="str" cm="1">
        <f t="array" ref="P8339">IFERROR(IF($B8339=P$1, ($A8339+$C8339) - MAX(IF($B$2:$B8338=$B8339, $A$2:$A8338+$C$2:$C8338)), "")*24*60, "")</f>
        <v/>
      </c>
      <c r="Q8339" s="24" t="str" cm="1">
        <f t="array" ref="Q8339">IFERROR(IF($B8339=Q$1, ($A8339+$C8339) - MAX(IF($B$2:$B8338=$B8339, $A$2:$A8338+$C$2:$C8338)), "")*24*60, "")</f>
        <v/>
      </c>
      <c r="R8339" s="24" t="str" cm="1">
        <f t="array" ref="R8339">IFERROR(IF($B8339=R$1, ($A8339+$C8339) - MAX(IF($B$2:$B8338=$B8339, $A$2:$A8338+$C$2:$C8338)), "")*24*60, "")</f>
        <v/>
      </c>
      <c r="S8339" s="24" t="str" cm="1">
        <f t="array" ref="S8339">IFERROR(IF($B8339=S$1, ($A8339+$C8339) - MAX(IF($B$2:$B8338=$B8339, $A$2:$A8338+$C$2:$C8338)), "")*24*60, "")</f>
        <v/>
      </c>
    </row>
    <row r="8340" spans="1:19" x14ac:dyDescent="0.2">
      <c r="A8340" s="12">
        <f t="shared" ref="A8340:C8340" si="1439">A8339</f>
        <v>46029</v>
      </c>
      <c r="B8340" s="5" t="str">
        <f t="shared" si="1439"/>
        <v>Northern Cardinal</v>
      </c>
      <c r="C8340" s="6">
        <f t="shared" si="1439"/>
        <v>0.75</v>
      </c>
      <c r="D8340" s="5"/>
      <c r="E8340" s="5"/>
      <c r="F8340" s="5" t="s">
        <v>9</v>
      </c>
      <c r="G8340" s="15" t="s">
        <v>8</v>
      </c>
      <c r="H8340" s="24">
        <f t="shared" si="1412"/>
        <v>0</v>
      </c>
      <c r="I8340" s="24" cm="1">
        <f t="array" ref="I8340">IFERROR(IF($B8340=I$1, ($A8340+$C8340) - MAX(IF($B$2:$B8339=$B8340, $A$2:$A8339+$C$2:$C8339)), "")*24*60, "")</f>
        <v>0</v>
      </c>
      <c r="J8340" s="24" t="str" cm="1">
        <f t="array" ref="J8340">IFERROR(IF($B8340=J$1, ($A8340+$C8340) - MAX(IF($B$2:$B8339=$B8340, $A$2:$A8339+$C$2:$C8339)), "")*24*60, "")</f>
        <v/>
      </c>
      <c r="K8340" s="24" t="str" cm="1">
        <f t="array" ref="K8340">IFERROR(IF($B8340=K$1, ($A8340+$C8340) - MAX(IF($B$2:$B8339=$B8340, $A$2:$A8339+$C$2:$C8339)), "")*24*60, "")</f>
        <v/>
      </c>
      <c r="L8340" s="24" t="str" cm="1">
        <f t="array" ref="L8340">IFERROR(IF($B8340=L$1, ($A8340+$C8340) - MAX(IF($B$2:$B8339=$B8340, $A$2:$A8339+$C$2:$C8339)), "")*24*60, "")</f>
        <v/>
      </c>
      <c r="M8340" s="24" t="str" cm="1">
        <f t="array" ref="M8340">IFERROR(IF($B8340=M$1, ($A8340+$C8340) - MAX(IF($B$2:$B8339=$B8340, $A$2:$A8339+$C$2:$C8339)), "")*24*60, "")</f>
        <v/>
      </c>
      <c r="N8340" s="24" t="str" cm="1">
        <f t="array" ref="N8340">IFERROR(IF($B8340=N$1, ($A8340+$C8340) - MAX(IF($B$2:$B8339=$B8340, $A$2:$A8339+$C$2:$C8339)), "")*24*60, "")</f>
        <v/>
      </c>
      <c r="O8340" s="24" t="str" cm="1">
        <f t="array" ref="O8340">IFERROR(IF($B8340=O$1, ($A8340+$C8340) - MAX(IF($B$2:$B8339=$B8340, $A$2:$A8339+$C$2:$C8339)), "")*24*60, "")</f>
        <v/>
      </c>
      <c r="P8340" s="24" t="str" cm="1">
        <f t="array" ref="P8340">IFERROR(IF($B8340=P$1, ($A8340+$C8340) - MAX(IF($B$2:$B8339=$B8340, $A$2:$A8339+$C$2:$C8339)), "")*24*60, "")</f>
        <v/>
      </c>
      <c r="Q8340" s="24" t="str" cm="1">
        <f t="array" ref="Q8340">IFERROR(IF($B8340=Q$1, ($A8340+$C8340) - MAX(IF($B$2:$B8339=$B8340, $A$2:$A8339+$C$2:$C8339)), "")*24*60, "")</f>
        <v/>
      </c>
      <c r="R8340" s="24" t="str" cm="1">
        <f t="array" ref="R8340">IFERROR(IF($B8340=R$1, ($A8340+$C8340) - MAX(IF($B$2:$B8339=$B8340, $A$2:$A8339+$C$2:$C8339)), "")*24*60, "")</f>
        <v/>
      </c>
      <c r="S8340" s="24" t="str" cm="1">
        <f t="array" ref="S8340">IFERROR(IF($B8340=S$1, ($A8340+$C8340) - MAX(IF($B$2:$B8339=$B8340, $A$2:$A8339+$C$2:$C8339)), "")*24*60, "")</f>
        <v/>
      </c>
    </row>
    <row r="8341" spans="1:19" x14ac:dyDescent="0.2">
      <c r="A8341" s="12">
        <f t="shared" ref="A8341:C8341" si="1440">A8340</f>
        <v>46029</v>
      </c>
      <c r="B8341" s="5" t="str">
        <f t="shared" si="1440"/>
        <v>Northern Cardinal</v>
      </c>
      <c r="C8341" s="6">
        <f t="shared" si="1440"/>
        <v>0.75</v>
      </c>
      <c r="D8341" s="5"/>
      <c r="E8341" s="5"/>
      <c r="F8341" s="5" t="s">
        <v>9</v>
      </c>
      <c r="G8341" s="15" t="s">
        <v>8</v>
      </c>
      <c r="H8341" s="24">
        <f t="shared" si="1412"/>
        <v>0</v>
      </c>
      <c r="I8341" s="24" cm="1">
        <f t="array" ref="I8341">IFERROR(IF($B8341=I$1, ($A8341+$C8341) - MAX(IF($B$2:$B8340=$B8341, $A$2:$A8340+$C$2:$C8340)), "")*24*60, "")</f>
        <v>0</v>
      </c>
      <c r="J8341" s="24" t="str" cm="1">
        <f t="array" ref="J8341">IFERROR(IF($B8341=J$1, ($A8341+$C8341) - MAX(IF($B$2:$B8340=$B8341, $A$2:$A8340+$C$2:$C8340)), "")*24*60, "")</f>
        <v/>
      </c>
      <c r="K8341" s="24" t="str" cm="1">
        <f t="array" ref="K8341">IFERROR(IF($B8341=K$1, ($A8341+$C8341) - MAX(IF($B$2:$B8340=$B8341, $A$2:$A8340+$C$2:$C8340)), "")*24*60, "")</f>
        <v/>
      </c>
      <c r="L8341" s="24" t="str" cm="1">
        <f t="array" ref="L8341">IFERROR(IF($B8341=L$1, ($A8341+$C8341) - MAX(IF($B$2:$B8340=$B8341, $A$2:$A8340+$C$2:$C8340)), "")*24*60, "")</f>
        <v/>
      </c>
      <c r="M8341" s="24" t="str" cm="1">
        <f t="array" ref="M8341">IFERROR(IF($B8341=M$1, ($A8341+$C8341) - MAX(IF($B$2:$B8340=$B8341, $A$2:$A8340+$C$2:$C8340)), "")*24*60, "")</f>
        <v/>
      </c>
      <c r="N8341" s="24" t="str" cm="1">
        <f t="array" ref="N8341">IFERROR(IF($B8341=N$1, ($A8341+$C8341) - MAX(IF($B$2:$B8340=$B8341, $A$2:$A8340+$C$2:$C8340)), "")*24*60, "")</f>
        <v/>
      </c>
      <c r="O8341" s="24" t="str" cm="1">
        <f t="array" ref="O8341">IFERROR(IF($B8341=O$1, ($A8341+$C8341) - MAX(IF($B$2:$B8340=$B8341, $A$2:$A8340+$C$2:$C8340)), "")*24*60, "")</f>
        <v/>
      </c>
      <c r="P8341" s="24" t="str" cm="1">
        <f t="array" ref="P8341">IFERROR(IF($B8341=P$1, ($A8341+$C8341) - MAX(IF($B$2:$B8340=$B8341, $A$2:$A8340+$C$2:$C8340)), "")*24*60, "")</f>
        <v/>
      </c>
      <c r="Q8341" s="24" t="str" cm="1">
        <f t="array" ref="Q8341">IFERROR(IF($B8341=Q$1, ($A8341+$C8341) - MAX(IF($B$2:$B8340=$B8341, $A$2:$A8340+$C$2:$C8340)), "")*24*60, "")</f>
        <v/>
      </c>
      <c r="R8341" s="24" t="str" cm="1">
        <f t="array" ref="R8341">IFERROR(IF($B8341=R$1, ($A8341+$C8341) - MAX(IF($B$2:$B8340=$B8341, $A$2:$A8340+$C$2:$C8340)), "")*24*60, "")</f>
        <v/>
      </c>
      <c r="S8341" s="24" t="str" cm="1">
        <f t="array" ref="S8341">IFERROR(IF($B8341=S$1, ($A8341+$C8341) - MAX(IF($B$2:$B8340=$B8341, $A$2:$A8340+$C$2:$C8340)), "")*24*60, "")</f>
        <v/>
      </c>
    </row>
    <row r="8342" spans="1:19" x14ac:dyDescent="0.2">
      <c r="A8342" s="12">
        <f t="shared" ref="A8342:C8342" si="1441">A8341</f>
        <v>46029</v>
      </c>
      <c r="B8342" s="5" t="str">
        <f t="shared" si="1441"/>
        <v>Northern Cardinal</v>
      </c>
      <c r="C8342" s="6">
        <f t="shared" si="1441"/>
        <v>0.75</v>
      </c>
      <c r="D8342" s="5"/>
      <c r="E8342" s="5"/>
      <c r="F8342" s="5" t="s">
        <v>9</v>
      </c>
      <c r="G8342" s="15" t="s">
        <v>8</v>
      </c>
      <c r="H8342" s="24">
        <f t="shared" si="1412"/>
        <v>0</v>
      </c>
      <c r="I8342" s="24" cm="1">
        <f t="array" ref="I8342">IFERROR(IF($B8342=I$1, ($A8342+$C8342) - MAX(IF($B$2:$B8341=$B8342, $A$2:$A8341+$C$2:$C8341)), "")*24*60, "")</f>
        <v>0</v>
      </c>
      <c r="J8342" s="24" t="str" cm="1">
        <f t="array" ref="J8342">IFERROR(IF($B8342=J$1, ($A8342+$C8342) - MAX(IF($B$2:$B8341=$B8342, $A$2:$A8341+$C$2:$C8341)), "")*24*60, "")</f>
        <v/>
      </c>
      <c r="K8342" s="24" t="str" cm="1">
        <f t="array" ref="K8342">IFERROR(IF($B8342=K$1, ($A8342+$C8342) - MAX(IF($B$2:$B8341=$B8342, $A$2:$A8341+$C$2:$C8341)), "")*24*60, "")</f>
        <v/>
      </c>
      <c r="L8342" s="24" t="str" cm="1">
        <f t="array" ref="L8342">IFERROR(IF($B8342=L$1, ($A8342+$C8342) - MAX(IF($B$2:$B8341=$B8342, $A$2:$A8341+$C$2:$C8341)), "")*24*60, "")</f>
        <v/>
      </c>
      <c r="M8342" s="24" t="str" cm="1">
        <f t="array" ref="M8342">IFERROR(IF($B8342=M$1, ($A8342+$C8342) - MAX(IF($B$2:$B8341=$B8342, $A$2:$A8341+$C$2:$C8341)), "")*24*60, "")</f>
        <v/>
      </c>
      <c r="N8342" s="24" t="str" cm="1">
        <f t="array" ref="N8342">IFERROR(IF($B8342=N$1, ($A8342+$C8342) - MAX(IF($B$2:$B8341=$B8342, $A$2:$A8341+$C$2:$C8341)), "")*24*60, "")</f>
        <v/>
      </c>
      <c r="O8342" s="24" t="str" cm="1">
        <f t="array" ref="O8342">IFERROR(IF($B8342=O$1, ($A8342+$C8342) - MAX(IF($B$2:$B8341=$B8342, $A$2:$A8341+$C$2:$C8341)), "")*24*60, "")</f>
        <v/>
      </c>
      <c r="P8342" s="24" t="str" cm="1">
        <f t="array" ref="P8342">IFERROR(IF($B8342=P$1, ($A8342+$C8342) - MAX(IF($B$2:$B8341=$B8342, $A$2:$A8341+$C$2:$C8341)), "")*24*60, "")</f>
        <v/>
      </c>
      <c r="Q8342" s="24" t="str" cm="1">
        <f t="array" ref="Q8342">IFERROR(IF($B8342=Q$1, ($A8342+$C8342) - MAX(IF($B$2:$B8341=$B8342, $A$2:$A8341+$C$2:$C8341)), "")*24*60, "")</f>
        <v/>
      </c>
      <c r="R8342" s="24" t="str" cm="1">
        <f t="array" ref="R8342">IFERROR(IF($B8342=R$1, ($A8342+$C8342) - MAX(IF($B$2:$B8341=$B8342, $A$2:$A8341+$C$2:$C8341)), "")*24*60, "")</f>
        <v/>
      </c>
      <c r="S8342" s="24" t="str" cm="1">
        <f t="array" ref="S8342">IFERROR(IF($B8342=S$1, ($A8342+$C8342) - MAX(IF($B$2:$B8341=$B8342, $A$2:$A8341+$C$2:$C8341)), "")*24*60, "")</f>
        <v/>
      </c>
    </row>
    <row r="8343" spans="1:19" x14ac:dyDescent="0.2">
      <c r="A8343" s="12">
        <f t="shared" ref="A8343:C8343" si="1442">A8342</f>
        <v>46029</v>
      </c>
      <c r="B8343" s="5" t="str">
        <f t="shared" si="1442"/>
        <v>Northern Cardinal</v>
      </c>
      <c r="C8343" s="6">
        <f t="shared" si="1442"/>
        <v>0.75</v>
      </c>
      <c r="D8343" s="5"/>
      <c r="E8343" s="5"/>
      <c r="F8343" s="5" t="s">
        <v>9</v>
      </c>
      <c r="G8343" s="15" t="s">
        <v>8</v>
      </c>
      <c r="H8343" s="24">
        <f t="shared" si="1412"/>
        <v>0</v>
      </c>
      <c r="I8343" s="24" cm="1">
        <f t="array" ref="I8343">IFERROR(IF($B8343=I$1, ($A8343+$C8343) - MAX(IF($B$2:$B8342=$B8343, $A$2:$A8342+$C$2:$C8342)), "")*24*60, "")</f>
        <v>0</v>
      </c>
      <c r="J8343" s="24" t="str" cm="1">
        <f t="array" ref="J8343">IFERROR(IF($B8343=J$1, ($A8343+$C8343) - MAX(IF($B$2:$B8342=$B8343, $A$2:$A8342+$C$2:$C8342)), "")*24*60, "")</f>
        <v/>
      </c>
      <c r="K8343" s="24" t="str" cm="1">
        <f t="array" ref="K8343">IFERROR(IF($B8343=K$1, ($A8343+$C8343) - MAX(IF($B$2:$B8342=$B8343, $A$2:$A8342+$C$2:$C8342)), "")*24*60, "")</f>
        <v/>
      </c>
      <c r="L8343" s="24" t="str" cm="1">
        <f t="array" ref="L8343">IFERROR(IF($B8343=L$1, ($A8343+$C8343) - MAX(IF($B$2:$B8342=$B8343, $A$2:$A8342+$C$2:$C8342)), "")*24*60, "")</f>
        <v/>
      </c>
      <c r="M8343" s="24" t="str" cm="1">
        <f t="array" ref="M8343">IFERROR(IF($B8343=M$1, ($A8343+$C8343) - MAX(IF($B$2:$B8342=$B8343, $A$2:$A8342+$C$2:$C8342)), "")*24*60, "")</f>
        <v/>
      </c>
      <c r="N8343" s="24" t="str" cm="1">
        <f t="array" ref="N8343">IFERROR(IF($B8343=N$1, ($A8343+$C8343) - MAX(IF($B$2:$B8342=$B8343, $A$2:$A8342+$C$2:$C8342)), "")*24*60, "")</f>
        <v/>
      </c>
      <c r="O8343" s="24" t="str" cm="1">
        <f t="array" ref="O8343">IFERROR(IF($B8343=O$1, ($A8343+$C8343) - MAX(IF($B$2:$B8342=$B8343, $A$2:$A8342+$C$2:$C8342)), "")*24*60, "")</f>
        <v/>
      </c>
      <c r="P8343" s="24" t="str" cm="1">
        <f t="array" ref="P8343">IFERROR(IF($B8343=P$1, ($A8343+$C8343) - MAX(IF($B$2:$B8342=$B8343, $A$2:$A8342+$C$2:$C8342)), "")*24*60, "")</f>
        <v/>
      </c>
      <c r="Q8343" s="24" t="str" cm="1">
        <f t="array" ref="Q8343">IFERROR(IF($B8343=Q$1, ($A8343+$C8343) - MAX(IF($B$2:$B8342=$B8343, $A$2:$A8342+$C$2:$C8342)), "")*24*60, "")</f>
        <v/>
      </c>
      <c r="R8343" s="24" t="str" cm="1">
        <f t="array" ref="R8343">IFERROR(IF($B8343=R$1, ($A8343+$C8343) - MAX(IF($B$2:$B8342=$B8343, $A$2:$A8342+$C$2:$C8342)), "")*24*60, "")</f>
        <v/>
      </c>
      <c r="S8343" s="24" t="str" cm="1">
        <f t="array" ref="S8343">IFERROR(IF($B8343=S$1, ($A8343+$C8343) - MAX(IF($B$2:$B8342=$B8343, $A$2:$A8342+$C$2:$C8342)), "")*24*60, "")</f>
        <v/>
      </c>
    </row>
    <row r="8344" spans="1:19" x14ac:dyDescent="0.2">
      <c r="A8344" s="12">
        <f t="shared" ref="A8344:C8344" si="1443">A8343</f>
        <v>46029</v>
      </c>
      <c r="B8344" s="5" t="str">
        <f t="shared" si="1443"/>
        <v>Northern Cardinal</v>
      </c>
      <c r="C8344" s="6">
        <f t="shared" si="1443"/>
        <v>0.75</v>
      </c>
      <c r="D8344" s="5"/>
      <c r="E8344" s="5"/>
      <c r="F8344" s="5" t="s">
        <v>9</v>
      </c>
      <c r="G8344" s="15" t="s">
        <v>8</v>
      </c>
      <c r="H8344" s="24">
        <f t="shared" si="1412"/>
        <v>0</v>
      </c>
      <c r="I8344" s="24" cm="1">
        <f t="array" ref="I8344">IFERROR(IF($B8344=I$1, ($A8344+$C8344) - MAX(IF($B$2:$B8343=$B8344, $A$2:$A8343+$C$2:$C8343)), "")*24*60, "")</f>
        <v>0</v>
      </c>
      <c r="J8344" s="24" t="str" cm="1">
        <f t="array" ref="J8344">IFERROR(IF($B8344=J$1, ($A8344+$C8344) - MAX(IF($B$2:$B8343=$B8344, $A$2:$A8343+$C$2:$C8343)), "")*24*60, "")</f>
        <v/>
      </c>
      <c r="K8344" s="24" t="str" cm="1">
        <f t="array" ref="K8344">IFERROR(IF($B8344=K$1, ($A8344+$C8344) - MAX(IF($B$2:$B8343=$B8344, $A$2:$A8343+$C$2:$C8343)), "")*24*60, "")</f>
        <v/>
      </c>
      <c r="L8344" s="24" t="str" cm="1">
        <f t="array" ref="L8344">IFERROR(IF($B8344=L$1, ($A8344+$C8344) - MAX(IF($B$2:$B8343=$B8344, $A$2:$A8343+$C$2:$C8343)), "")*24*60, "")</f>
        <v/>
      </c>
      <c r="M8344" s="24" t="str" cm="1">
        <f t="array" ref="M8344">IFERROR(IF($B8344=M$1, ($A8344+$C8344) - MAX(IF($B$2:$B8343=$B8344, $A$2:$A8343+$C$2:$C8343)), "")*24*60, "")</f>
        <v/>
      </c>
      <c r="N8344" s="24" t="str" cm="1">
        <f t="array" ref="N8344">IFERROR(IF($B8344=N$1, ($A8344+$C8344) - MAX(IF($B$2:$B8343=$B8344, $A$2:$A8343+$C$2:$C8343)), "")*24*60, "")</f>
        <v/>
      </c>
      <c r="O8344" s="24" t="str" cm="1">
        <f t="array" ref="O8344">IFERROR(IF($B8344=O$1, ($A8344+$C8344) - MAX(IF($B$2:$B8343=$B8344, $A$2:$A8343+$C$2:$C8343)), "")*24*60, "")</f>
        <v/>
      </c>
      <c r="P8344" s="24" t="str" cm="1">
        <f t="array" ref="P8344">IFERROR(IF($B8344=P$1, ($A8344+$C8344) - MAX(IF($B$2:$B8343=$B8344, $A$2:$A8343+$C$2:$C8343)), "")*24*60, "")</f>
        <v/>
      </c>
      <c r="Q8344" s="24" t="str" cm="1">
        <f t="array" ref="Q8344">IFERROR(IF($B8344=Q$1, ($A8344+$C8344) - MAX(IF($B$2:$B8343=$B8344, $A$2:$A8343+$C$2:$C8343)), "")*24*60, "")</f>
        <v/>
      </c>
      <c r="R8344" s="24" t="str" cm="1">
        <f t="array" ref="R8344">IFERROR(IF($B8344=R$1, ($A8344+$C8344) - MAX(IF($B$2:$B8343=$B8344, $A$2:$A8343+$C$2:$C8343)), "")*24*60, "")</f>
        <v/>
      </c>
      <c r="S8344" s="24" t="str" cm="1">
        <f t="array" ref="S8344">IFERROR(IF($B8344=S$1, ($A8344+$C8344) - MAX(IF($B$2:$B8343=$B8344, $A$2:$A8343+$C$2:$C8343)), "")*24*60, "")</f>
        <v/>
      </c>
    </row>
    <row r="8345" spans="1:19" x14ac:dyDescent="0.2">
      <c r="A8345" s="12">
        <f t="shared" ref="A8345:C8345" si="1444">A8344</f>
        <v>46029</v>
      </c>
      <c r="B8345" s="5" t="str">
        <f t="shared" si="1444"/>
        <v>Northern Cardinal</v>
      </c>
      <c r="C8345" s="6">
        <f t="shared" si="1444"/>
        <v>0.75</v>
      </c>
      <c r="D8345" s="5"/>
      <c r="E8345" s="5"/>
      <c r="F8345" s="5" t="s">
        <v>9</v>
      </c>
      <c r="G8345" s="15" t="s">
        <v>8</v>
      </c>
      <c r="H8345" s="24">
        <f t="shared" si="1412"/>
        <v>0</v>
      </c>
      <c r="I8345" s="24" cm="1">
        <f t="array" ref="I8345">IFERROR(IF($B8345=I$1, ($A8345+$C8345) - MAX(IF($B$2:$B8344=$B8345, $A$2:$A8344+$C$2:$C8344)), "")*24*60, "")</f>
        <v>0</v>
      </c>
      <c r="J8345" s="24" t="str" cm="1">
        <f t="array" ref="J8345">IFERROR(IF($B8345=J$1, ($A8345+$C8345) - MAX(IF($B$2:$B8344=$B8345, $A$2:$A8344+$C$2:$C8344)), "")*24*60, "")</f>
        <v/>
      </c>
      <c r="K8345" s="24" t="str" cm="1">
        <f t="array" ref="K8345">IFERROR(IF($B8345=K$1, ($A8345+$C8345) - MAX(IF($B$2:$B8344=$B8345, $A$2:$A8344+$C$2:$C8344)), "")*24*60, "")</f>
        <v/>
      </c>
      <c r="L8345" s="24" t="str" cm="1">
        <f t="array" ref="L8345">IFERROR(IF($B8345=L$1, ($A8345+$C8345) - MAX(IF($B$2:$B8344=$B8345, $A$2:$A8344+$C$2:$C8344)), "")*24*60, "")</f>
        <v/>
      </c>
      <c r="M8345" s="24" t="str" cm="1">
        <f t="array" ref="M8345">IFERROR(IF($B8345=M$1, ($A8345+$C8345) - MAX(IF($B$2:$B8344=$B8345, $A$2:$A8344+$C$2:$C8344)), "")*24*60, "")</f>
        <v/>
      </c>
      <c r="N8345" s="24" t="str" cm="1">
        <f t="array" ref="N8345">IFERROR(IF($B8345=N$1, ($A8345+$C8345) - MAX(IF($B$2:$B8344=$B8345, $A$2:$A8344+$C$2:$C8344)), "")*24*60, "")</f>
        <v/>
      </c>
      <c r="O8345" s="24" t="str" cm="1">
        <f t="array" ref="O8345">IFERROR(IF($B8345=O$1, ($A8345+$C8345) - MAX(IF($B$2:$B8344=$B8345, $A$2:$A8344+$C$2:$C8344)), "")*24*60, "")</f>
        <v/>
      </c>
      <c r="P8345" s="24" t="str" cm="1">
        <f t="array" ref="P8345">IFERROR(IF($B8345=P$1, ($A8345+$C8345) - MAX(IF($B$2:$B8344=$B8345, $A$2:$A8344+$C$2:$C8344)), "")*24*60, "")</f>
        <v/>
      </c>
      <c r="Q8345" s="24" t="str" cm="1">
        <f t="array" ref="Q8345">IFERROR(IF($B8345=Q$1, ($A8345+$C8345) - MAX(IF($B$2:$B8344=$B8345, $A$2:$A8344+$C$2:$C8344)), "")*24*60, "")</f>
        <v/>
      </c>
      <c r="R8345" s="24" t="str" cm="1">
        <f t="array" ref="R8345">IFERROR(IF($B8345=R$1, ($A8345+$C8345) - MAX(IF($B$2:$B8344=$B8345, $A$2:$A8344+$C$2:$C8344)), "")*24*60, "")</f>
        <v/>
      </c>
      <c r="S8345" s="24" t="str" cm="1">
        <f t="array" ref="S8345">IFERROR(IF($B8345=S$1, ($A8345+$C8345) - MAX(IF($B$2:$B8344=$B8345, $A$2:$A8344+$C$2:$C8344)), "")*24*60, "")</f>
        <v/>
      </c>
    </row>
    <row r="8346" spans="1:19" x14ac:dyDescent="0.2">
      <c r="A8346" s="12">
        <f t="shared" ref="A8346:C8346" si="1445">A8345</f>
        <v>46029</v>
      </c>
      <c r="B8346" s="5" t="str">
        <f t="shared" si="1445"/>
        <v>Northern Cardinal</v>
      </c>
      <c r="C8346" s="6">
        <f t="shared" si="1445"/>
        <v>0.75</v>
      </c>
      <c r="D8346" s="5"/>
      <c r="E8346" s="5"/>
      <c r="F8346" s="5" t="s">
        <v>9</v>
      </c>
      <c r="G8346" s="15" t="s">
        <v>8</v>
      </c>
      <c r="H8346" s="24">
        <f t="shared" si="1412"/>
        <v>0</v>
      </c>
      <c r="I8346" s="24" cm="1">
        <f t="array" ref="I8346">IFERROR(IF($B8346=I$1, ($A8346+$C8346) - MAX(IF($B$2:$B8345=$B8346, $A$2:$A8345+$C$2:$C8345)), "")*24*60, "")</f>
        <v>0</v>
      </c>
      <c r="J8346" s="24" t="str" cm="1">
        <f t="array" ref="J8346">IFERROR(IF($B8346=J$1, ($A8346+$C8346) - MAX(IF($B$2:$B8345=$B8346, $A$2:$A8345+$C$2:$C8345)), "")*24*60, "")</f>
        <v/>
      </c>
      <c r="K8346" s="24" t="str" cm="1">
        <f t="array" ref="K8346">IFERROR(IF($B8346=K$1, ($A8346+$C8346) - MAX(IF($B$2:$B8345=$B8346, $A$2:$A8345+$C$2:$C8345)), "")*24*60, "")</f>
        <v/>
      </c>
      <c r="L8346" s="24" t="str" cm="1">
        <f t="array" ref="L8346">IFERROR(IF($B8346=L$1, ($A8346+$C8346) - MAX(IF($B$2:$B8345=$B8346, $A$2:$A8345+$C$2:$C8345)), "")*24*60, "")</f>
        <v/>
      </c>
      <c r="M8346" s="24" t="str" cm="1">
        <f t="array" ref="M8346">IFERROR(IF($B8346=M$1, ($A8346+$C8346) - MAX(IF($B$2:$B8345=$B8346, $A$2:$A8345+$C$2:$C8345)), "")*24*60, "")</f>
        <v/>
      </c>
      <c r="N8346" s="24" t="str" cm="1">
        <f t="array" ref="N8346">IFERROR(IF($B8346=N$1, ($A8346+$C8346) - MAX(IF($B$2:$B8345=$B8346, $A$2:$A8345+$C$2:$C8345)), "")*24*60, "")</f>
        <v/>
      </c>
      <c r="O8346" s="24" t="str" cm="1">
        <f t="array" ref="O8346">IFERROR(IF($B8346=O$1, ($A8346+$C8346) - MAX(IF($B$2:$B8345=$B8346, $A$2:$A8345+$C$2:$C8345)), "")*24*60, "")</f>
        <v/>
      </c>
      <c r="P8346" s="24" t="str" cm="1">
        <f t="array" ref="P8346">IFERROR(IF($B8346=P$1, ($A8346+$C8346) - MAX(IF($B$2:$B8345=$B8346, $A$2:$A8345+$C$2:$C8345)), "")*24*60, "")</f>
        <v/>
      </c>
      <c r="Q8346" s="24" t="str" cm="1">
        <f t="array" ref="Q8346">IFERROR(IF($B8346=Q$1, ($A8346+$C8346) - MAX(IF($B$2:$B8345=$B8346, $A$2:$A8345+$C$2:$C8345)), "")*24*60, "")</f>
        <v/>
      </c>
      <c r="R8346" s="24" t="str" cm="1">
        <f t="array" ref="R8346">IFERROR(IF($B8346=R$1, ($A8346+$C8346) - MAX(IF($B$2:$B8345=$B8346, $A$2:$A8345+$C$2:$C8345)), "")*24*60, "")</f>
        <v/>
      </c>
      <c r="S8346" s="24" t="str" cm="1">
        <f t="array" ref="S8346">IFERROR(IF($B8346=S$1, ($A8346+$C8346) - MAX(IF($B$2:$B8345=$B8346, $A$2:$A8345+$C$2:$C8345)), "")*24*60, "")</f>
        <v/>
      </c>
    </row>
    <row r="8347" spans="1:19" x14ac:dyDescent="0.2">
      <c r="A8347" s="12">
        <f t="shared" ref="A8347:C8347" si="1446">A8346</f>
        <v>46029</v>
      </c>
      <c r="B8347" s="5" t="str">
        <f t="shared" si="1446"/>
        <v>Northern Cardinal</v>
      </c>
      <c r="C8347" s="6">
        <f t="shared" si="1446"/>
        <v>0.75</v>
      </c>
      <c r="D8347" s="5"/>
      <c r="E8347" s="5"/>
      <c r="F8347" s="5" t="s">
        <v>9</v>
      </c>
      <c r="G8347" s="15" t="s">
        <v>8</v>
      </c>
      <c r="H8347" s="24">
        <f t="shared" si="1412"/>
        <v>0</v>
      </c>
      <c r="I8347" s="24" cm="1">
        <f t="array" ref="I8347">IFERROR(IF($B8347=I$1, ($A8347+$C8347) - MAX(IF($B$2:$B8346=$B8347, $A$2:$A8346+$C$2:$C8346)), "")*24*60, "")</f>
        <v>0</v>
      </c>
      <c r="J8347" s="24" t="str" cm="1">
        <f t="array" ref="J8347">IFERROR(IF($B8347=J$1, ($A8347+$C8347) - MAX(IF($B$2:$B8346=$B8347, $A$2:$A8346+$C$2:$C8346)), "")*24*60, "")</f>
        <v/>
      </c>
      <c r="K8347" s="24" t="str" cm="1">
        <f t="array" ref="K8347">IFERROR(IF($B8347=K$1, ($A8347+$C8347) - MAX(IF($B$2:$B8346=$B8347, $A$2:$A8346+$C$2:$C8346)), "")*24*60, "")</f>
        <v/>
      </c>
      <c r="L8347" s="24" t="str" cm="1">
        <f t="array" ref="L8347">IFERROR(IF($B8347=L$1, ($A8347+$C8347) - MAX(IF($B$2:$B8346=$B8347, $A$2:$A8346+$C$2:$C8346)), "")*24*60, "")</f>
        <v/>
      </c>
      <c r="M8347" s="24" t="str" cm="1">
        <f t="array" ref="M8347">IFERROR(IF($B8347=M$1, ($A8347+$C8347) - MAX(IF($B$2:$B8346=$B8347, $A$2:$A8346+$C$2:$C8346)), "")*24*60, "")</f>
        <v/>
      </c>
      <c r="N8347" s="24" t="str" cm="1">
        <f t="array" ref="N8347">IFERROR(IF($B8347=N$1, ($A8347+$C8347) - MAX(IF($B$2:$B8346=$B8347, $A$2:$A8346+$C$2:$C8346)), "")*24*60, "")</f>
        <v/>
      </c>
      <c r="O8347" s="24" t="str" cm="1">
        <f t="array" ref="O8347">IFERROR(IF($B8347=O$1, ($A8347+$C8347) - MAX(IF($B$2:$B8346=$B8347, $A$2:$A8346+$C$2:$C8346)), "")*24*60, "")</f>
        <v/>
      </c>
      <c r="P8347" s="24" t="str" cm="1">
        <f t="array" ref="P8347">IFERROR(IF($B8347=P$1, ($A8347+$C8347) - MAX(IF($B$2:$B8346=$B8347, $A$2:$A8346+$C$2:$C8346)), "")*24*60, "")</f>
        <v/>
      </c>
      <c r="Q8347" s="24" t="str" cm="1">
        <f t="array" ref="Q8347">IFERROR(IF($B8347=Q$1, ($A8347+$C8347) - MAX(IF($B$2:$B8346=$B8347, $A$2:$A8346+$C$2:$C8346)), "")*24*60, "")</f>
        <v/>
      </c>
      <c r="R8347" s="24" t="str" cm="1">
        <f t="array" ref="R8347">IFERROR(IF($B8347=R$1, ($A8347+$C8347) - MAX(IF($B$2:$B8346=$B8347, $A$2:$A8346+$C$2:$C8346)), "")*24*60, "")</f>
        <v/>
      </c>
      <c r="S8347" s="24" t="str" cm="1">
        <f t="array" ref="S8347">IFERROR(IF($B8347=S$1, ($A8347+$C8347) - MAX(IF($B$2:$B8346=$B8347, $A$2:$A8346+$C$2:$C8346)), "")*24*60, "")</f>
        <v/>
      </c>
    </row>
    <row r="8348" spans="1:19" x14ac:dyDescent="0.2">
      <c r="A8348" s="12">
        <f t="shared" ref="A8348:C8348" si="1447">A8347</f>
        <v>46029</v>
      </c>
      <c r="B8348" s="5" t="str">
        <f t="shared" si="1447"/>
        <v>Northern Cardinal</v>
      </c>
      <c r="C8348" s="6">
        <f t="shared" si="1447"/>
        <v>0.75</v>
      </c>
      <c r="D8348" s="5"/>
      <c r="E8348" s="5"/>
      <c r="F8348" s="5" t="s">
        <v>9</v>
      </c>
      <c r="G8348" s="15" t="s">
        <v>8</v>
      </c>
      <c r="H8348" s="24">
        <f t="shared" si="1412"/>
        <v>0</v>
      </c>
      <c r="I8348" s="24" cm="1">
        <f t="array" ref="I8348">IFERROR(IF($B8348=I$1, ($A8348+$C8348) - MAX(IF($B$2:$B8347=$B8348, $A$2:$A8347+$C$2:$C8347)), "")*24*60, "")</f>
        <v>0</v>
      </c>
      <c r="J8348" s="24" t="str" cm="1">
        <f t="array" ref="J8348">IFERROR(IF($B8348=J$1, ($A8348+$C8348) - MAX(IF($B$2:$B8347=$B8348, $A$2:$A8347+$C$2:$C8347)), "")*24*60, "")</f>
        <v/>
      </c>
      <c r="K8348" s="24" t="str" cm="1">
        <f t="array" ref="K8348">IFERROR(IF($B8348=K$1, ($A8348+$C8348) - MAX(IF($B$2:$B8347=$B8348, $A$2:$A8347+$C$2:$C8347)), "")*24*60, "")</f>
        <v/>
      </c>
      <c r="L8348" s="24" t="str" cm="1">
        <f t="array" ref="L8348">IFERROR(IF($B8348=L$1, ($A8348+$C8348) - MAX(IF($B$2:$B8347=$B8348, $A$2:$A8347+$C$2:$C8347)), "")*24*60, "")</f>
        <v/>
      </c>
      <c r="M8348" s="24" t="str" cm="1">
        <f t="array" ref="M8348">IFERROR(IF($B8348=M$1, ($A8348+$C8348) - MAX(IF($B$2:$B8347=$B8348, $A$2:$A8347+$C$2:$C8347)), "")*24*60, "")</f>
        <v/>
      </c>
      <c r="N8348" s="24" t="str" cm="1">
        <f t="array" ref="N8348">IFERROR(IF($B8348=N$1, ($A8348+$C8348) - MAX(IF($B$2:$B8347=$B8348, $A$2:$A8347+$C$2:$C8347)), "")*24*60, "")</f>
        <v/>
      </c>
      <c r="O8348" s="24" t="str" cm="1">
        <f t="array" ref="O8348">IFERROR(IF($B8348=O$1, ($A8348+$C8348) - MAX(IF($B$2:$B8347=$B8348, $A$2:$A8347+$C$2:$C8347)), "")*24*60, "")</f>
        <v/>
      </c>
      <c r="P8348" s="24" t="str" cm="1">
        <f t="array" ref="P8348">IFERROR(IF($B8348=P$1, ($A8348+$C8348) - MAX(IF($B$2:$B8347=$B8348, $A$2:$A8347+$C$2:$C8347)), "")*24*60, "")</f>
        <v/>
      </c>
      <c r="Q8348" s="24" t="str" cm="1">
        <f t="array" ref="Q8348">IFERROR(IF($B8348=Q$1, ($A8348+$C8348) - MAX(IF($B$2:$B8347=$B8348, $A$2:$A8347+$C$2:$C8347)), "")*24*60, "")</f>
        <v/>
      </c>
      <c r="R8348" s="24" t="str" cm="1">
        <f t="array" ref="R8348">IFERROR(IF($B8348=R$1, ($A8348+$C8348) - MAX(IF($B$2:$B8347=$B8348, $A$2:$A8347+$C$2:$C8347)), "")*24*60, "")</f>
        <v/>
      </c>
      <c r="S8348" s="24" t="str" cm="1">
        <f t="array" ref="S8348">IFERROR(IF($B8348=S$1, ($A8348+$C8348) - MAX(IF($B$2:$B8347=$B8348, $A$2:$A8347+$C$2:$C8347)), "")*24*60, "")</f>
        <v/>
      </c>
    </row>
    <row r="8349" spans="1:19" x14ac:dyDescent="0.2">
      <c r="A8349" s="12">
        <f t="shared" ref="A8349:C8349" si="1448">A8348</f>
        <v>46029</v>
      </c>
      <c r="B8349" s="5" t="str">
        <f t="shared" si="1448"/>
        <v>Northern Cardinal</v>
      </c>
      <c r="C8349" s="6">
        <f t="shared" si="1448"/>
        <v>0.75</v>
      </c>
      <c r="D8349" s="5"/>
      <c r="E8349" s="5"/>
      <c r="F8349" s="5" t="s">
        <v>9</v>
      </c>
      <c r="G8349" s="15" t="s">
        <v>8</v>
      </c>
      <c r="H8349" s="24">
        <f t="shared" si="1412"/>
        <v>0</v>
      </c>
      <c r="I8349" s="24" cm="1">
        <f t="array" ref="I8349">IFERROR(IF($B8349=I$1, ($A8349+$C8349) - MAX(IF($B$2:$B8348=$B8349, $A$2:$A8348+$C$2:$C8348)), "")*24*60, "")</f>
        <v>0</v>
      </c>
      <c r="J8349" s="24" t="str" cm="1">
        <f t="array" ref="J8349">IFERROR(IF($B8349=J$1, ($A8349+$C8349) - MAX(IF($B$2:$B8348=$B8349, $A$2:$A8348+$C$2:$C8348)), "")*24*60, "")</f>
        <v/>
      </c>
      <c r="K8349" s="24" t="str" cm="1">
        <f t="array" ref="K8349">IFERROR(IF($B8349=K$1, ($A8349+$C8349) - MAX(IF($B$2:$B8348=$B8349, $A$2:$A8348+$C$2:$C8348)), "")*24*60, "")</f>
        <v/>
      </c>
      <c r="L8349" s="24" t="str" cm="1">
        <f t="array" ref="L8349">IFERROR(IF($B8349=L$1, ($A8349+$C8349) - MAX(IF($B$2:$B8348=$B8349, $A$2:$A8348+$C$2:$C8348)), "")*24*60, "")</f>
        <v/>
      </c>
      <c r="M8349" s="24" t="str" cm="1">
        <f t="array" ref="M8349">IFERROR(IF($B8349=M$1, ($A8349+$C8349) - MAX(IF($B$2:$B8348=$B8349, $A$2:$A8348+$C$2:$C8348)), "")*24*60, "")</f>
        <v/>
      </c>
      <c r="N8349" s="24" t="str" cm="1">
        <f t="array" ref="N8349">IFERROR(IF($B8349=N$1, ($A8349+$C8349) - MAX(IF($B$2:$B8348=$B8349, $A$2:$A8348+$C$2:$C8348)), "")*24*60, "")</f>
        <v/>
      </c>
      <c r="O8349" s="24" t="str" cm="1">
        <f t="array" ref="O8349">IFERROR(IF($B8349=O$1, ($A8349+$C8349) - MAX(IF($B$2:$B8348=$B8349, $A$2:$A8348+$C$2:$C8348)), "")*24*60, "")</f>
        <v/>
      </c>
      <c r="P8349" s="24" t="str" cm="1">
        <f t="array" ref="P8349">IFERROR(IF($B8349=P$1, ($A8349+$C8349) - MAX(IF($B$2:$B8348=$B8349, $A$2:$A8348+$C$2:$C8348)), "")*24*60, "")</f>
        <v/>
      </c>
      <c r="Q8349" s="24" t="str" cm="1">
        <f t="array" ref="Q8349">IFERROR(IF($B8349=Q$1, ($A8349+$C8349) - MAX(IF($B$2:$B8348=$B8349, $A$2:$A8348+$C$2:$C8348)), "")*24*60, "")</f>
        <v/>
      </c>
      <c r="R8349" s="24" t="str" cm="1">
        <f t="array" ref="R8349">IFERROR(IF($B8349=R$1, ($A8349+$C8349) - MAX(IF($B$2:$B8348=$B8349, $A$2:$A8348+$C$2:$C8348)), "")*24*60, "")</f>
        <v/>
      </c>
      <c r="S8349" s="24" t="str" cm="1">
        <f t="array" ref="S8349">IFERROR(IF($B8349=S$1, ($A8349+$C8349) - MAX(IF($B$2:$B8348=$B8349, $A$2:$A8348+$C$2:$C8348)), "")*24*60, "")</f>
        <v/>
      </c>
    </row>
    <row r="8350" spans="1:19" x14ac:dyDescent="0.2">
      <c r="A8350" s="12">
        <f t="shared" ref="A8350:C8350" si="1449">A8349</f>
        <v>46029</v>
      </c>
      <c r="B8350" s="5" t="str">
        <f t="shared" si="1449"/>
        <v>Northern Cardinal</v>
      </c>
      <c r="C8350" s="6">
        <f t="shared" si="1449"/>
        <v>0.75</v>
      </c>
      <c r="D8350" s="5"/>
      <c r="E8350" s="5"/>
      <c r="F8350" s="5" t="s">
        <v>9</v>
      </c>
      <c r="G8350" s="15" t="s">
        <v>8</v>
      </c>
      <c r="H8350" s="24">
        <f t="shared" si="1412"/>
        <v>0</v>
      </c>
      <c r="I8350" s="24" cm="1">
        <f t="array" ref="I8350">IFERROR(IF($B8350=I$1, ($A8350+$C8350) - MAX(IF($B$2:$B8349=$B8350, $A$2:$A8349+$C$2:$C8349)), "")*24*60, "")</f>
        <v>0</v>
      </c>
      <c r="J8350" s="24" t="str" cm="1">
        <f t="array" ref="J8350">IFERROR(IF($B8350=J$1, ($A8350+$C8350) - MAX(IF($B$2:$B8349=$B8350, $A$2:$A8349+$C$2:$C8349)), "")*24*60, "")</f>
        <v/>
      </c>
      <c r="K8350" s="24" t="str" cm="1">
        <f t="array" ref="K8350">IFERROR(IF($B8350=K$1, ($A8350+$C8350) - MAX(IF($B$2:$B8349=$B8350, $A$2:$A8349+$C$2:$C8349)), "")*24*60, "")</f>
        <v/>
      </c>
      <c r="L8350" s="24" t="str" cm="1">
        <f t="array" ref="L8350">IFERROR(IF($B8350=L$1, ($A8350+$C8350) - MAX(IF($B$2:$B8349=$B8350, $A$2:$A8349+$C$2:$C8349)), "")*24*60, "")</f>
        <v/>
      </c>
      <c r="M8350" s="24" t="str" cm="1">
        <f t="array" ref="M8350">IFERROR(IF($B8350=M$1, ($A8350+$C8350) - MAX(IF($B$2:$B8349=$B8350, $A$2:$A8349+$C$2:$C8349)), "")*24*60, "")</f>
        <v/>
      </c>
      <c r="N8350" s="24" t="str" cm="1">
        <f t="array" ref="N8350">IFERROR(IF($B8350=N$1, ($A8350+$C8350) - MAX(IF($B$2:$B8349=$B8350, $A$2:$A8349+$C$2:$C8349)), "")*24*60, "")</f>
        <v/>
      </c>
      <c r="O8350" s="24" t="str" cm="1">
        <f t="array" ref="O8350">IFERROR(IF($B8350=O$1, ($A8350+$C8350) - MAX(IF($B$2:$B8349=$B8350, $A$2:$A8349+$C$2:$C8349)), "")*24*60, "")</f>
        <v/>
      </c>
      <c r="P8350" s="24" t="str" cm="1">
        <f t="array" ref="P8350">IFERROR(IF($B8350=P$1, ($A8350+$C8350) - MAX(IF($B$2:$B8349=$B8350, $A$2:$A8349+$C$2:$C8349)), "")*24*60, "")</f>
        <v/>
      </c>
      <c r="Q8350" s="24" t="str" cm="1">
        <f t="array" ref="Q8350">IFERROR(IF($B8350=Q$1, ($A8350+$C8350) - MAX(IF($B$2:$B8349=$B8350, $A$2:$A8349+$C$2:$C8349)), "")*24*60, "")</f>
        <v/>
      </c>
      <c r="R8350" s="24" t="str" cm="1">
        <f t="array" ref="R8350">IFERROR(IF($B8350=R$1, ($A8350+$C8350) - MAX(IF($B$2:$B8349=$B8350, $A$2:$A8349+$C$2:$C8349)), "")*24*60, "")</f>
        <v/>
      </c>
      <c r="S8350" s="24" t="str" cm="1">
        <f t="array" ref="S8350">IFERROR(IF($B8350=S$1, ($A8350+$C8350) - MAX(IF($B$2:$B8349=$B8350, $A$2:$A8349+$C$2:$C8349)), "")*24*60, "")</f>
        <v/>
      </c>
    </row>
    <row r="8351" spans="1:19" x14ac:dyDescent="0.2">
      <c r="A8351" s="12">
        <f t="shared" ref="A8351:C8351" si="1450">A8350</f>
        <v>46029</v>
      </c>
      <c r="B8351" s="5" t="str">
        <f t="shared" si="1450"/>
        <v>Northern Cardinal</v>
      </c>
      <c r="C8351" s="6">
        <f t="shared" si="1450"/>
        <v>0.75</v>
      </c>
      <c r="D8351" s="5"/>
      <c r="E8351" s="5"/>
      <c r="F8351" s="5" t="s">
        <v>9</v>
      </c>
      <c r="G8351" s="15" t="s">
        <v>8</v>
      </c>
      <c r="H8351" s="24">
        <f t="shared" si="1412"/>
        <v>0</v>
      </c>
      <c r="I8351" s="24" cm="1">
        <f t="array" ref="I8351">IFERROR(IF($B8351=I$1, ($A8351+$C8351) - MAX(IF($B$2:$B8350=$B8351, $A$2:$A8350+$C$2:$C8350)), "")*24*60, "")</f>
        <v>0</v>
      </c>
      <c r="J8351" s="24" t="str" cm="1">
        <f t="array" ref="J8351">IFERROR(IF($B8351=J$1, ($A8351+$C8351) - MAX(IF($B$2:$B8350=$B8351, $A$2:$A8350+$C$2:$C8350)), "")*24*60, "")</f>
        <v/>
      </c>
      <c r="K8351" s="24" t="str" cm="1">
        <f t="array" ref="K8351">IFERROR(IF($B8351=K$1, ($A8351+$C8351) - MAX(IF($B$2:$B8350=$B8351, $A$2:$A8350+$C$2:$C8350)), "")*24*60, "")</f>
        <v/>
      </c>
      <c r="L8351" s="24" t="str" cm="1">
        <f t="array" ref="L8351">IFERROR(IF($B8351=L$1, ($A8351+$C8351) - MAX(IF($B$2:$B8350=$B8351, $A$2:$A8350+$C$2:$C8350)), "")*24*60, "")</f>
        <v/>
      </c>
      <c r="M8351" s="24" t="str" cm="1">
        <f t="array" ref="M8351">IFERROR(IF($B8351=M$1, ($A8351+$C8351) - MAX(IF($B$2:$B8350=$B8351, $A$2:$A8350+$C$2:$C8350)), "")*24*60, "")</f>
        <v/>
      </c>
      <c r="N8351" s="24" t="str" cm="1">
        <f t="array" ref="N8351">IFERROR(IF($B8351=N$1, ($A8351+$C8351) - MAX(IF($B$2:$B8350=$B8351, $A$2:$A8350+$C$2:$C8350)), "")*24*60, "")</f>
        <v/>
      </c>
      <c r="O8351" s="24" t="str" cm="1">
        <f t="array" ref="O8351">IFERROR(IF($B8351=O$1, ($A8351+$C8351) - MAX(IF($B$2:$B8350=$B8351, $A$2:$A8350+$C$2:$C8350)), "")*24*60, "")</f>
        <v/>
      </c>
      <c r="P8351" s="24" t="str" cm="1">
        <f t="array" ref="P8351">IFERROR(IF($B8351=P$1, ($A8351+$C8351) - MAX(IF($B$2:$B8350=$B8351, $A$2:$A8350+$C$2:$C8350)), "")*24*60, "")</f>
        <v/>
      </c>
      <c r="Q8351" s="24" t="str" cm="1">
        <f t="array" ref="Q8351">IFERROR(IF($B8351=Q$1, ($A8351+$C8351) - MAX(IF($B$2:$B8350=$B8351, $A$2:$A8350+$C$2:$C8350)), "")*24*60, "")</f>
        <v/>
      </c>
      <c r="R8351" s="24" t="str" cm="1">
        <f t="array" ref="R8351">IFERROR(IF($B8351=R$1, ($A8351+$C8351) - MAX(IF($B$2:$B8350=$B8351, $A$2:$A8350+$C$2:$C8350)), "")*24*60, "")</f>
        <v/>
      </c>
      <c r="S8351" s="24" t="str" cm="1">
        <f t="array" ref="S8351">IFERROR(IF($B8351=S$1, ($A8351+$C8351) - MAX(IF($B$2:$B8350=$B8351, $A$2:$A8350+$C$2:$C8350)), "")*24*60, "")</f>
        <v/>
      </c>
    </row>
    <row r="8352" spans="1:19" x14ac:dyDescent="0.2">
      <c r="A8352" s="12">
        <f t="shared" ref="A8352:C8352" si="1451">A8351</f>
        <v>46029</v>
      </c>
      <c r="B8352" s="5" t="str">
        <f t="shared" si="1451"/>
        <v>Northern Cardinal</v>
      </c>
      <c r="C8352" s="6">
        <f t="shared" si="1451"/>
        <v>0.75</v>
      </c>
      <c r="D8352" s="5"/>
      <c r="E8352" s="5"/>
      <c r="F8352" s="5" t="s">
        <v>9</v>
      </c>
      <c r="G8352" s="15" t="s">
        <v>8</v>
      </c>
      <c r="H8352" s="24">
        <f t="shared" si="1412"/>
        <v>0</v>
      </c>
      <c r="I8352" s="24" cm="1">
        <f t="array" ref="I8352">IFERROR(IF($B8352=I$1, ($A8352+$C8352) - MAX(IF($B$2:$B8351=$B8352, $A$2:$A8351+$C$2:$C8351)), "")*24*60, "")</f>
        <v>0</v>
      </c>
      <c r="J8352" s="24" t="str" cm="1">
        <f t="array" ref="J8352">IFERROR(IF($B8352=J$1, ($A8352+$C8352) - MAX(IF($B$2:$B8351=$B8352, $A$2:$A8351+$C$2:$C8351)), "")*24*60, "")</f>
        <v/>
      </c>
      <c r="K8352" s="24" t="str" cm="1">
        <f t="array" ref="K8352">IFERROR(IF($B8352=K$1, ($A8352+$C8352) - MAX(IF($B$2:$B8351=$B8352, $A$2:$A8351+$C$2:$C8351)), "")*24*60, "")</f>
        <v/>
      </c>
      <c r="L8352" s="24" t="str" cm="1">
        <f t="array" ref="L8352">IFERROR(IF($B8352=L$1, ($A8352+$C8352) - MAX(IF($B$2:$B8351=$B8352, $A$2:$A8351+$C$2:$C8351)), "")*24*60, "")</f>
        <v/>
      </c>
      <c r="M8352" s="24" t="str" cm="1">
        <f t="array" ref="M8352">IFERROR(IF($B8352=M$1, ($A8352+$C8352) - MAX(IF($B$2:$B8351=$B8352, $A$2:$A8351+$C$2:$C8351)), "")*24*60, "")</f>
        <v/>
      </c>
      <c r="N8352" s="24" t="str" cm="1">
        <f t="array" ref="N8352">IFERROR(IF($B8352=N$1, ($A8352+$C8352) - MAX(IF($B$2:$B8351=$B8352, $A$2:$A8351+$C$2:$C8351)), "")*24*60, "")</f>
        <v/>
      </c>
      <c r="O8352" s="24" t="str" cm="1">
        <f t="array" ref="O8352">IFERROR(IF($B8352=O$1, ($A8352+$C8352) - MAX(IF($B$2:$B8351=$B8352, $A$2:$A8351+$C$2:$C8351)), "")*24*60, "")</f>
        <v/>
      </c>
      <c r="P8352" s="24" t="str" cm="1">
        <f t="array" ref="P8352">IFERROR(IF($B8352=P$1, ($A8352+$C8352) - MAX(IF($B$2:$B8351=$B8352, $A$2:$A8351+$C$2:$C8351)), "")*24*60, "")</f>
        <v/>
      </c>
      <c r="Q8352" s="24" t="str" cm="1">
        <f t="array" ref="Q8352">IFERROR(IF($B8352=Q$1, ($A8352+$C8352) - MAX(IF($B$2:$B8351=$B8352, $A$2:$A8351+$C$2:$C8351)), "")*24*60, "")</f>
        <v/>
      </c>
      <c r="R8352" s="24" t="str" cm="1">
        <f t="array" ref="R8352">IFERROR(IF($B8352=R$1, ($A8352+$C8352) - MAX(IF($B$2:$B8351=$B8352, $A$2:$A8351+$C$2:$C8351)), "")*24*60, "")</f>
        <v/>
      </c>
      <c r="S8352" s="24" t="str" cm="1">
        <f t="array" ref="S8352">IFERROR(IF($B8352=S$1, ($A8352+$C8352) - MAX(IF($B$2:$B8351=$B8352, $A$2:$A8351+$C$2:$C8351)), "")*24*60, "")</f>
        <v/>
      </c>
    </row>
    <row r="8353" spans="1:19" x14ac:dyDescent="0.2">
      <c r="A8353" s="12">
        <f t="shared" ref="A8353:C8353" si="1452">A8352</f>
        <v>46029</v>
      </c>
      <c r="B8353" s="5" t="str">
        <f t="shared" si="1452"/>
        <v>Northern Cardinal</v>
      </c>
      <c r="C8353" s="6">
        <f t="shared" si="1452"/>
        <v>0.75</v>
      </c>
      <c r="D8353" s="5"/>
      <c r="E8353" s="5"/>
      <c r="F8353" s="5" t="s">
        <v>9</v>
      </c>
      <c r="G8353" s="15" t="s">
        <v>8</v>
      </c>
      <c r="H8353" s="24">
        <f t="shared" si="1412"/>
        <v>0</v>
      </c>
      <c r="I8353" s="24" cm="1">
        <f t="array" ref="I8353">IFERROR(IF($B8353=I$1, ($A8353+$C8353) - MAX(IF($B$2:$B8352=$B8353, $A$2:$A8352+$C$2:$C8352)), "")*24*60, "")</f>
        <v>0</v>
      </c>
      <c r="J8353" s="24" t="str" cm="1">
        <f t="array" ref="J8353">IFERROR(IF($B8353=J$1, ($A8353+$C8353) - MAX(IF($B$2:$B8352=$B8353, $A$2:$A8352+$C$2:$C8352)), "")*24*60, "")</f>
        <v/>
      </c>
      <c r="K8353" s="24" t="str" cm="1">
        <f t="array" ref="K8353">IFERROR(IF($B8353=K$1, ($A8353+$C8353) - MAX(IF($B$2:$B8352=$B8353, $A$2:$A8352+$C$2:$C8352)), "")*24*60, "")</f>
        <v/>
      </c>
      <c r="L8353" s="24" t="str" cm="1">
        <f t="array" ref="L8353">IFERROR(IF($B8353=L$1, ($A8353+$C8353) - MAX(IF($B$2:$B8352=$B8353, $A$2:$A8352+$C$2:$C8352)), "")*24*60, "")</f>
        <v/>
      </c>
      <c r="M8353" s="24" t="str" cm="1">
        <f t="array" ref="M8353">IFERROR(IF($B8353=M$1, ($A8353+$C8353) - MAX(IF($B$2:$B8352=$B8353, $A$2:$A8352+$C$2:$C8352)), "")*24*60, "")</f>
        <v/>
      </c>
      <c r="N8353" s="24" t="str" cm="1">
        <f t="array" ref="N8353">IFERROR(IF($B8353=N$1, ($A8353+$C8353) - MAX(IF($B$2:$B8352=$B8353, $A$2:$A8352+$C$2:$C8352)), "")*24*60, "")</f>
        <v/>
      </c>
      <c r="O8353" s="24" t="str" cm="1">
        <f t="array" ref="O8353">IFERROR(IF($B8353=O$1, ($A8353+$C8353) - MAX(IF($B$2:$B8352=$B8353, $A$2:$A8352+$C$2:$C8352)), "")*24*60, "")</f>
        <v/>
      </c>
      <c r="P8353" s="24" t="str" cm="1">
        <f t="array" ref="P8353">IFERROR(IF($B8353=P$1, ($A8353+$C8353) - MAX(IF($B$2:$B8352=$B8353, $A$2:$A8352+$C$2:$C8352)), "")*24*60, "")</f>
        <v/>
      </c>
      <c r="Q8353" s="24" t="str" cm="1">
        <f t="array" ref="Q8353">IFERROR(IF($B8353=Q$1, ($A8353+$C8353) - MAX(IF($B$2:$B8352=$B8353, $A$2:$A8352+$C$2:$C8352)), "")*24*60, "")</f>
        <v/>
      </c>
      <c r="R8353" s="24" t="str" cm="1">
        <f t="array" ref="R8353">IFERROR(IF($B8353=R$1, ($A8353+$C8353) - MAX(IF($B$2:$B8352=$B8353, $A$2:$A8352+$C$2:$C8352)), "")*24*60, "")</f>
        <v/>
      </c>
      <c r="S8353" s="24" t="str" cm="1">
        <f t="array" ref="S8353">IFERROR(IF($B8353=S$1, ($A8353+$C8353) - MAX(IF($B$2:$B8352=$B8353, $A$2:$A8352+$C$2:$C8352)), "")*24*60, "")</f>
        <v/>
      </c>
    </row>
    <row r="8354" spans="1:19" x14ac:dyDescent="0.2">
      <c r="A8354" s="12">
        <f t="shared" ref="A8354:C8354" si="1453">A8353</f>
        <v>46029</v>
      </c>
      <c r="B8354" s="5" t="str">
        <f t="shared" si="1453"/>
        <v>Northern Cardinal</v>
      </c>
      <c r="C8354" s="6">
        <f t="shared" si="1453"/>
        <v>0.75</v>
      </c>
      <c r="D8354" s="5"/>
      <c r="E8354" s="5"/>
      <c r="F8354" s="5" t="s">
        <v>9</v>
      </c>
      <c r="G8354" s="15" t="s">
        <v>8</v>
      </c>
      <c r="H8354" s="24">
        <f t="shared" si="1412"/>
        <v>0</v>
      </c>
      <c r="I8354" s="24" cm="1">
        <f t="array" ref="I8354">IFERROR(IF($B8354=I$1, ($A8354+$C8354) - MAX(IF($B$2:$B8353=$B8354, $A$2:$A8353+$C$2:$C8353)), "")*24*60, "")</f>
        <v>0</v>
      </c>
      <c r="J8354" s="24" t="str" cm="1">
        <f t="array" ref="J8354">IFERROR(IF($B8354=J$1, ($A8354+$C8354) - MAX(IF($B$2:$B8353=$B8354, $A$2:$A8353+$C$2:$C8353)), "")*24*60, "")</f>
        <v/>
      </c>
      <c r="K8354" s="24" t="str" cm="1">
        <f t="array" ref="K8354">IFERROR(IF($B8354=K$1, ($A8354+$C8354) - MAX(IF($B$2:$B8353=$B8354, $A$2:$A8353+$C$2:$C8353)), "")*24*60, "")</f>
        <v/>
      </c>
      <c r="L8354" s="24" t="str" cm="1">
        <f t="array" ref="L8354">IFERROR(IF($B8354=L$1, ($A8354+$C8354) - MAX(IF($B$2:$B8353=$B8354, $A$2:$A8353+$C$2:$C8353)), "")*24*60, "")</f>
        <v/>
      </c>
      <c r="M8354" s="24" t="str" cm="1">
        <f t="array" ref="M8354">IFERROR(IF($B8354=M$1, ($A8354+$C8354) - MAX(IF($B$2:$B8353=$B8354, $A$2:$A8353+$C$2:$C8353)), "")*24*60, "")</f>
        <v/>
      </c>
      <c r="N8354" s="24" t="str" cm="1">
        <f t="array" ref="N8354">IFERROR(IF($B8354=N$1, ($A8354+$C8354) - MAX(IF($B$2:$B8353=$B8354, $A$2:$A8353+$C$2:$C8353)), "")*24*60, "")</f>
        <v/>
      </c>
      <c r="O8354" s="24" t="str" cm="1">
        <f t="array" ref="O8354">IFERROR(IF($B8354=O$1, ($A8354+$C8354) - MAX(IF($B$2:$B8353=$B8354, $A$2:$A8353+$C$2:$C8353)), "")*24*60, "")</f>
        <v/>
      </c>
      <c r="P8354" s="24" t="str" cm="1">
        <f t="array" ref="P8354">IFERROR(IF($B8354=P$1, ($A8354+$C8354) - MAX(IF($B$2:$B8353=$B8354, $A$2:$A8353+$C$2:$C8353)), "")*24*60, "")</f>
        <v/>
      </c>
      <c r="Q8354" s="24" t="str" cm="1">
        <f t="array" ref="Q8354">IFERROR(IF($B8354=Q$1, ($A8354+$C8354) - MAX(IF($B$2:$B8353=$B8354, $A$2:$A8353+$C$2:$C8353)), "")*24*60, "")</f>
        <v/>
      </c>
      <c r="R8354" s="24" t="str" cm="1">
        <f t="array" ref="R8354">IFERROR(IF($B8354=R$1, ($A8354+$C8354) - MAX(IF($B$2:$B8353=$B8354, $A$2:$A8353+$C$2:$C8353)), "")*24*60, "")</f>
        <v/>
      </c>
      <c r="S8354" s="24" t="str" cm="1">
        <f t="array" ref="S8354">IFERROR(IF($B8354=S$1, ($A8354+$C8354) - MAX(IF($B$2:$B8353=$B8354, $A$2:$A8353+$C$2:$C8353)), "")*24*60, "")</f>
        <v/>
      </c>
    </row>
    <row r="8355" spans="1:19" x14ac:dyDescent="0.2">
      <c r="A8355" s="12">
        <f t="shared" ref="A8355:C8355" si="1454">A8354</f>
        <v>46029</v>
      </c>
      <c r="B8355" s="5" t="str">
        <f t="shared" si="1454"/>
        <v>Northern Cardinal</v>
      </c>
      <c r="C8355" s="6">
        <f t="shared" si="1454"/>
        <v>0.75</v>
      </c>
      <c r="D8355" s="5"/>
      <c r="E8355" s="5"/>
      <c r="F8355" s="5" t="s">
        <v>9</v>
      </c>
      <c r="G8355" s="15" t="s">
        <v>8</v>
      </c>
      <c r="H8355" s="24">
        <f t="shared" si="1412"/>
        <v>0</v>
      </c>
      <c r="I8355" s="24" cm="1">
        <f t="array" ref="I8355">IFERROR(IF($B8355=I$1, ($A8355+$C8355) - MAX(IF($B$2:$B8354=$B8355, $A$2:$A8354+$C$2:$C8354)), "")*24*60, "")</f>
        <v>0</v>
      </c>
      <c r="J8355" s="24" t="str" cm="1">
        <f t="array" ref="J8355">IFERROR(IF($B8355=J$1, ($A8355+$C8355) - MAX(IF($B$2:$B8354=$B8355, $A$2:$A8354+$C$2:$C8354)), "")*24*60, "")</f>
        <v/>
      </c>
      <c r="K8355" s="24" t="str" cm="1">
        <f t="array" ref="K8355">IFERROR(IF($B8355=K$1, ($A8355+$C8355) - MAX(IF($B$2:$B8354=$B8355, $A$2:$A8354+$C$2:$C8354)), "")*24*60, "")</f>
        <v/>
      </c>
      <c r="L8355" s="24" t="str" cm="1">
        <f t="array" ref="L8355">IFERROR(IF($B8355=L$1, ($A8355+$C8355) - MAX(IF($B$2:$B8354=$B8355, $A$2:$A8354+$C$2:$C8354)), "")*24*60, "")</f>
        <v/>
      </c>
      <c r="M8355" s="24" t="str" cm="1">
        <f t="array" ref="M8355">IFERROR(IF($B8355=M$1, ($A8355+$C8355) - MAX(IF($B$2:$B8354=$B8355, $A$2:$A8354+$C$2:$C8354)), "")*24*60, "")</f>
        <v/>
      </c>
      <c r="N8355" s="24" t="str" cm="1">
        <f t="array" ref="N8355">IFERROR(IF($B8355=N$1, ($A8355+$C8355) - MAX(IF($B$2:$B8354=$B8355, $A$2:$A8354+$C$2:$C8354)), "")*24*60, "")</f>
        <v/>
      </c>
      <c r="O8355" s="24" t="str" cm="1">
        <f t="array" ref="O8355">IFERROR(IF($B8355=O$1, ($A8355+$C8355) - MAX(IF($B$2:$B8354=$B8355, $A$2:$A8354+$C$2:$C8354)), "")*24*60, "")</f>
        <v/>
      </c>
      <c r="P8355" s="24" t="str" cm="1">
        <f t="array" ref="P8355">IFERROR(IF($B8355=P$1, ($A8355+$C8355) - MAX(IF($B$2:$B8354=$B8355, $A$2:$A8354+$C$2:$C8354)), "")*24*60, "")</f>
        <v/>
      </c>
      <c r="Q8355" s="24" t="str" cm="1">
        <f t="array" ref="Q8355">IFERROR(IF($B8355=Q$1, ($A8355+$C8355) - MAX(IF($B$2:$B8354=$B8355, $A$2:$A8354+$C$2:$C8354)), "")*24*60, "")</f>
        <v/>
      </c>
      <c r="R8355" s="24" t="str" cm="1">
        <f t="array" ref="R8355">IFERROR(IF($B8355=R$1, ($A8355+$C8355) - MAX(IF($B$2:$B8354=$B8355, $A$2:$A8354+$C$2:$C8354)), "")*24*60, "")</f>
        <v/>
      </c>
      <c r="S8355" s="24" t="str" cm="1">
        <f t="array" ref="S8355">IFERROR(IF($B8355=S$1, ($A8355+$C8355) - MAX(IF($B$2:$B8354=$B8355, $A$2:$A8354+$C$2:$C8354)), "")*24*60, "")</f>
        <v/>
      </c>
    </row>
    <row r="8356" spans="1:19" x14ac:dyDescent="0.2">
      <c r="A8356" s="12">
        <f t="shared" ref="A8356:C8356" si="1455">A8355</f>
        <v>46029</v>
      </c>
      <c r="B8356" s="5" t="str">
        <f t="shared" si="1455"/>
        <v>Northern Cardinal</v>
      </c>
      <c r="C8356" s="6">
        <f t="shared" si="1455"/>
        <v>0.75</v>
      </c>
      <c r="D8356" s="5"/>
      <c r="E8356" s="5"/>
      <c r="F8356" s="5" t="s">
        <v>9</v>
      </c>
      <c r="G8356" s="15" t="s">
        <v>8</v>
      </c>
      <c r="H8356" s="24">
        <f t="shared" si="1412"/>
        <v>0</v>
      </c>
      <c r="I8356" s="24" cm="1">
        <f t="array" ref="I8356">IFERROR(IF($B8356=I$1, ($A8356+$C8356) - MAX(IF($B$2:$B8355=$B8356, $A$2:$A8355+$C$2:$C8355)), "")*24*60, "")</f>
        <v>0</v>
      </c>
      <c r="J8356" s="24" t="str" cm="1">
        <f t="array" ref="J8356">IFERROR(IF($B8356=J$1, ($A8356+$C8356) - MAX(IF($B$2:$B8355=$B8356, $A$2:$A8355+$C$2:$C8355)), "")*24*60, "")</f>
        <v/>
      </c>
      <c r="K8356" s="24" t="str" cm="1">
        <f t="array" ref="K8356">IFERROR(IF($B8356=K$1, ($A8356+$C8356) - MAX(IF($B$2:$B8355=$B8356, $A$2:$A8355+$C$2:$C8355)), "")*24*60, "")</f>
        <v/>
      </c>
      <c r="L8356" s="24" t="str" cm="1">
        <f t="array" ref="L8356">IFERROR(IF($B8356=L$1, ($A8356+$C8356) - MAX(IF($B$2:$B8355=$B8356, $A$2:$A8355+$C$2:$C8355)), "")*24*60, "")</f>
        <v/>
      </c>
      <c r="M8356" s="24" t="str" cm="1">
        <f t="array" ref="M8356">IFERROR(IF($B8356=M$1, ($A8356+$C8356) - MAX(IF($B$2:$B8355=$B8356, $A$2:$A8355+$C$2:$C8355)), "")*24*60, "")</f>
        <v/>
      </c>
      <c r="N8356" s="24" t="str" cm="1">
        <f t="array" ref="N8356">IFERROR(IF($B8356=N$1, ($A8356+$C8356) - MAX(IF($B$2:$B8355=$B8356, $A$2:$A8355+$C$2:$C8355)), "")*24*60, "")</f>
        <v/>
      </c>
      <c r="O8356" s="24" t="str" cm="1">
        <f t="array" ref="O8356">IFERROR(IF($B8356=O$1, ($A8356+$C8356) - MAX(IF($B$2:$B8355=$B8356, $A$2:$A8355+$C$2:$C8355)), "")*24*60, "")</f>
        <v/>
      </c>
      <c r="P8356" s="24" t="str" cm="1">
        <f t="array" ref="P8356">IFERROR(IF($B8356=P$1, ($A8356+$C8356) - MAX(IF($B$2:$B8355=$B8356, $A$2:$A8355+$C$2:$C8355)), "")*24*60, "")</f>
        <v/>
      </c>
      <c r="Q8356" s="24" t="str" cm="1">
        <f t="array" ref="Q8356">IFERROR(IF($B8356=Q$1, ($A8356+$C8356) - MAX(IF($B$2:$B8355=$B8356, $A$2:$A8355+$C$2:$C8355)), "")*24*60, "")</f>
        <v/>
      </c>
      <c r="R8356" s="24" t="str" cm="1">
        <f t="array" ref="R8356">IFERROR(IF($B8356=R$1, ($A8356+$C8356) - MAX(IF($B$2:$B8355=$B8356, $A$2:$A8355+$C$2:$C8355)), "")*24*60, "")</f>
        <v/>
      </c>
      <c r="S8356" s="24" t="str" cm="1">
        <f t="array" ref="S8356">IFERROR(IF($B8356=S$1, ($A8356+$C8356) - MAX(IF($B$2:$B8355=$B8356, $A$2:$A8355+$C$2:$C8355)), "")*24*60, "")</f>
        <v/>
      </c>
    </row>
    <row r="8357" spans="1:19" x14ac:dyDescent="0.2">
      <c r="A8357" s="12">
        <f t="shared" ref="A8357:C8357" si="1456">A8356</f>
        <v>46029</v>
      </c>
      <c r="B8357" s="5" t="str">
        <f t="shared" si="1456"/>
        <v>Northern Cardinal</v>
      </c>
      <c r="C8357" s="6">
        <f t="shared" si="1456"/>
        <v>0.75</v>
      </c>
      <c r="D8357" s="5"/>
      <c r="E8357" s="5"/>
      <c r="F8357" s="5" t="s">
        <v>9</v>
      </c>
      <c r="G8357" s="15" t="s">
        <v>8</v>
      </c>
      <c r="H8357" s="24">
        <f t="shared" si="1412"/>
        <v>0</v>
      </c>
      <c r="I8357" s="24" cm="1">
        <f t="array" ref="I8357">IFERROR(IF($B8357=I$1, ($A8357+$C8357) - MAX(IF($B$2:$B8356=$B8357, $A$2:$A8356+$C$2:$C8356)), "")*24*60, "")</f>
        <v>0</v>
      </c>
      <c r="J8357" s="24" t="str" cm="1">
        <f t="array" ref="J8357">IFERROR(IF($B8357=J$1, ($A8357+$C8357) - MAX(IF($B$2:$B8356=$B8357, $A$2:$A8356+$C$2:$C8356)), "")*24*60, "")</f>
        <v/>
      </c>
      <c r="K8357" s="24" t="str" cm="1">
        <f t="array" ref="K8357">IFERROR(IF($B8357=K$1, ($A8357+$C8357) - MAX(IF($B$2:$B8356=$B8357, $A$2:$A8356+$C$2:$C8356)), "")*24*60, "")</f>
        <v/>
      </c>
      <c r="L8357" s="24" t="str" cm="1">
        <f t="array" ref="L8357">IFERROR(IF($B8357=L$1, ($A8357+$C8357) - MAX(IF($B$2:$B8356=$B8357, $A$2:$A8356+$C$2:$C8356)), "")*24*60, "")</f>
        <v/>
      </c>
      <c r="M8357" s="24" t="str" cm="1">
        <f t="array" ref="M8357">IFERROR(IF($B8357=M$1, ($A8357+$C8357) - MAX(IF($B$2:$B8356=$B8357, $A$2:$A8356+$C$2:$C8356)), "")*24*60, "")</f>
        <v/>
      </c>
      <c r="N8357" s="24" t="str" cm="1">
        <f t="array" ref="N8357">IFERROR(IF($B8357=N$1, ($A8357+$C8357) - MAX(IF($B$2:$B8356=$B8357, $A$2:$A8356+$C$2:$C8356)), "")*24*60, "")</f>
        <v/>
      </c>
      <c r="O8357" s="24" t="str" cm="1">
        <f t="array" ref="O8357">IFERROR(IF($B8357=O$1, ($A8357+$C8357) - MAX(IF($B$2:$B8356=$B8357, $A$2:$A8356+$C$2:$C8356)), "")*24*60, "")</f>
        <v/>
      </c>
      <c r="P8357" s="24" t="str" cm="1">
        <f t="array" ref="P8357">IFERROR(IF($B8357=P$1, ($A8357+$C8357) - MAX(IF($B$2:$B8356=$B8357, $A$2:$A8356+$C$2:$C8356)), "")*24*60, "")</f>
        <v/>
      </c>
      <c r="Q8357" s="24" t="str" cm="1">
        <f t="array" ref="Q8357">IFERROR(IF($B8357=Q$1, ($A8357+$C8357) - MAX(IF($B$2:$B8356=$B8357, $A$2:$A8356+$C$2:$C8356)), "")*24*60, "")</f>
        <v/>
      </c>
      <c r="R8357" s="24" t="str" cm="1">
        <f t="array" ref="R8357">IFERROR(IF($B8357=R$1, ($A8357+$C8357) - MAX(IF($B$2:$B8356=$B8357, $A$2:$A8356+$C$2:$C8356)), "")*24*60, "")</f>
        <v/>
      </c>
      <c r="S8357" s="24" t="str" cm="1">
        <f t="array" ref="S8357">IFERROR(IF($B8357=S$1, ($A8357+$C8357) - MAX(IF($B$2:$B8356=$B8357, $A$2:$A8356+$C$2:$C8356)), "")*24*60, "")</f>
        <v/>
      </c>
    </row>
    <row r="8358" spans="1:19" x14ac:dyDescent="0.2">
      <c r="A8358" s="12">
        <f t="shared" ref="A8358:C8358" si="1457">A8357</f>
        <v>46029</v>
      </c>
      <c r="B8358" s="5" t="str">
        <f t="shared" si="1457"/>
        <v>Northern Cardinal</v>
      </c>
      <c r="C8358" s="6">
        <f t="shared" si="1457"/>
        <v>0.75</v>
      </c>
      <c r="D8358" s="5"/>
      <c r="E8358" s="5"/>
      <c r="F8358" s="5" t="s">
        <v>9</v>
      </c>
      <c r="G8358" s="15" t="s">
        <v>8</v>
      </c>
      <c r="H8358" s="24">
        <f t="shared" si="1412"/>
        <v>0</v>
      </c>
      <c r="I8358" s="24" cm="1">
        <f t="array" ref="I8358">IFERROR(IF($B8358=I$1, ($A8358+$C8358) - MAX(IF($B$2:$B8357=$B8358, $A$2:$A8357+$C$2:$C8357)), "")*24*60, "")</f>
        <v>0</v>
      </c>
      <c r="J8358" s="24" t="str" cm="1">
        <f t="array" ref="J8358">IFERROR(IF($B8358=J$1, ($A8358+$C8358) - MAX(IF($B$2:$B8357=$B8358, $A$2:$A8357+$C$2:$C8357)), "")*24*60, "")</f>
        <v/>
      </c>
      <c r="K8358" s="24" t="str" cm="1">
        <f t="array" ref="K8358">IFERROR(IF($B8358=K$1, ($A8358+$C8358) - MAX(IF($B$2:$B8357=$B8358, $A$2:$A8357+$C$2:$C8357)), "")*24*60, "")</f>
        <v/>
      </c>
      <c r="L8358" s="24" t="str" cm="1">
        <f t="array" ref="L8358">IFERROR(IF($B8358=L$1, ($A8358+$C8358) - MAX(IF($B$2:$B8357=$B8358, $A$2:$A8357+$C$2:$C8357)), "")*24*60, "")</f>
        <v/>
      </c>
      <c r="M8358" s="24" t="str" cm="1">
        <f t="array" ref="M8358">IFERROR(IF($B8358=M$1, ($A8358+$C8358) - MAX(IF($B$2:$B8357=$B8358, $A$2:$A8357+$C$2:$C8357)), "")*24*60, "")</f>
        <v/>
      </c>
      <c r="N8358" s="24" t="str" cm="1">
        <f t="array" ref="N8358">IFERROR(IF($B8358=N$1, ($A8358+$C8358) - MAX(IF($B$2:$B8357=$B8358, $A$2:$A8357+$C$2:$C8357)), "")*24*60, "")</f>
        <v/>
      </c>
      <c r="O8358" s="24" t="str" cm="1">
        <f t="array" ref="O8358">IFERROR(IF($B8358=O$1, ($A8358+$C8358) - MAX(IF($B$2:$B8357=$B8358, $A$2:$A8357+$C$2:$C8357)), "")*24*60, "")</f>
        <v/>
      </c>
      <c r="P8358" s="24" t="str" cm="1">
        <f t="array" ref="P8358">IFERROR(IF($B8358=P$1, ($A8358+$C8358) - MAX(IF($B$2:$B8357=$B8358, $A$2:$A8357+$C$2:$C8357)), "")*24*60, "")</f>
        <v/>
      </c>
      <c r="Q8358" s="24" t="str" cm="1">
        <f t="array" ref="Q8358">IFERROR(IF($B8358=Q$1, ($A8358+$C8358) - MAX(IF($B$2:$B8357=$B8358, $A$2:$A8357+$C$2:$C8357)), "")*24*60, "")</f>
        <v/>
      </c>
      <c r="R8358" s="24" t="str" cm="1">
        <f t="array" ref="R8358">IFERROR(IF($B8358=R$1, ($A8358+$C8358) - MAX(IF($B$2:$B8357=$B8358, $A$2:$A8357+$C$2:$C8357)), "")*24*60, "")</f>
        <v/>
      </c>
      <c r="S8358" s="24" t="str" cm="1">
        <f t="array" ref="S8358">IFERROR(IF($B8358=S$1, ($A8358+$C8358) - MAX(IF($B$2:$B8357=$B8358, $A$2:$A8357+$C$2:$C8357)), "")*24*60, "")</f>
        <v/>
      </c>
    </row>
    <row r="8359" spans="1:19" x14ac:dyDescent="0.2">
      <c r="A8359" s="12">
        <f t="shared" ref="A8359:C8359" si="1458">A8358</f>
        <v>46029</v>
      </c>
      <c r="B8359" s="5" t="str">
        <f t="shared" si="1458"/>
        <v>Northern Cardinal</v>
      </c>
      <c r="C8359" s="6">
        <f t="shared" si="1458"/>
        <v>0.75</v>
      </c>
      <c r="D8359" s="5"/>
      <c r="E8359" s="5"/>
      <c r="F8359" s="5" t="s">
        <v>9</v>
      </c>
      <c r="G8359" s="15" t="s">
        <v>8</v>
      </c>
      <c r="H8359" s="24">
        <f t="shared" si="1412"/>
        <v>0</v>
      </c>
      <c r="I8359" s="24" cm="1">
        <f t="array" ref="I8359">IFERROR(IF($B8359=I$1, ($A8359+$C8359) - MAX(IF($B$2:$B8358=$B8359, $A$2:$A8358+$C$2:$C8358)), "")*24*60, "")</f>
        <v>0</v>
      </c>
      <c r="J8359" s="24" t="str" cm="1">
        <f t="array" ref="J8359">IFERROR(IF($B8359=J$1, ($A8359+$C8359) - MAX(IF($B$2:$B8358=$B8359, $A$2:$A8358+$C$2:$C8358)), "")*24*60, "")</f>
        <v/>
      </c>
      <c r="K8359" s="24" t="str" cm="1">
        <f t="array" ref="K8359">IFERROR(IF($B8359=K$1, ($A8359+$C8359) - MAX(IF($B$2:$B8358=$B8359, $A$2:$A8358+$C$2:$C8358)), "")*24*60, "")</f>
        <v/>
      </c>
      <c r="L8359" s="24" t="str" cm="1">
        <f t="array" ref="L8359">IFERROR(IF($B8359=L$1, ($A8359+$C8359) - MAX(IF($B$2:$B8358=$B8359, $A$2:$A8358+$C$2:$C8358)), "")*24*60, "")</f>
        <v/>
      </c>
      <c r="M8359" s="24" t="str" cm="1">
        <f t="array" ref="M8359">IFERROR(IF($B8359=M$1, ($A8359+$C8359) - MAX(IF($B$2:$B8358=$B8359, $A$2:$A8358+$C$2:$C8358)), "")*24*60, "")</f>
        <v/>
      </c>
      <c r="N8359" s="24" t="str" cm="1">
        <f t="array" ref="N8359">IFERROR(IF($B8359=N$1, ($A8359+$C8359) - MAX(IF($B$2:$B8358=$B8359, $A$2:$A8358+$C$2:$C8358)), "")*24*60, "")</f>
        <v/>
      </c>
      <c r="O8359" s="24" t="str" cm="1">
        <f t="array" ref="O8359">IFERROR(IF($B8359=O$1, ($A8359+$C8359) - MAX(IF($B$2:$B8358=$B8359, $A$2:$A8358+$C$2:$C8358)), "")*24*60, "")</f>
        <v/>
      </c>
      <c r="P8359" s="24" t="str" cm="1">
        <f t="array" ref="P8359">IFERROR(IF($B8359=P$1, ($A8359+$C8359) - MAX(IF($B$2:$B8358=$B8359, $A$2:$A8358+$C$2:$C8358)), "")*24*60, "")</f>
        <v/>
      </c>
      <c r="Q8359" s="24" t="str" cm="1">
        <f t="array" ref="Q8359">IFERROR(IF($B8359=Q$1, ($A8359+$C8359) - MAX(IF($B$2:$B8358=$B8359, $A$2:$A8358+$C$2:$C8358)), "")*24*60, "")</f>
        <v/>
      </c>
      <c r="R8359" s="24" t="str" cm="1">
        <f t="array" ref="R8359">IFERROR(IF($B8359=R$1, ($A8359+$C8359) - MAX(IF($B$2:$B8358=$B8359, $A$2:$A8358+$C$2:$C8358)), "")*24*60, "")</f>
        <v/>
      </c>
      <c r="S8359" s="24" t="str" cm="1">
        <f t="array" ref="S8359">IFERROR(IF($B8359=S$1, ($A8359+$C8359) - MAX(IF($B$2:$B8358=$B8359, $A$2:$A8358+$C$2:$C8358)), "")*24*60, "")</f>
        <v/>
      </c>
    </row>
    <row r="8360" spans="1:19" x14ac:dyDescent="0.2">
      <c r="A8360" s="12">
        <f t="shared" ref="A8360:C8360" si="1459">A8359</f>
        <v>46029</v>
      </c>
      <c r="B8360" s="5" t="str">
        <f t="shared" si="1459"/>
        <v>Northern Cardinal</v>
      </c>
      <c r="C8360" s="6">
        <f t="shared" si="1459"/>
        <v>0.75</v>
      </c>
      <c r="D8360" s="5"/>
      <c r="E8360" s="5"/>
      <c r="F8360" s="5" t="s">
        <v>9</v>
      </c>
      <c r="G8360" s="15" t="s">
        <v>8</v>
      </c>
      <c r="H8360" s="24">
        <f t="shared" si="1412"/>
        <v>0</v>
      </c>
      <c r="I8360" s="24" cm="1">
        <f t="array" ref="I8360">IFERROR(IF($B8360=I$1, ($A8360+$C8360) - MAX(IF($B$2:$B8359=$B8360, $A$2:$A8359+$C$2:$C8359)), "")*24*60, "")</f>
        <v>0</v>
      </c>
      <c r="J8360" s="24" t="str" cm="1">
        <f t="array" ref="J8360">IFERROR(IF($B8360=J$1, ($A8360+$C8360) - MAX(IF($B$2:$B8359=$B8360, $A$2:$A8359+$C$2:$C8359)), "")*24*60, "")</f>
        <v/>
      </c>
      <c r="K8360" s="24" t="str" cm="1">
        <f t="array" ref="K8360">IFERROR(IF($B8360=K$1, ($A8360+$C8360) - MAX(IF($B$2:$B8359=$B8360, $A$2:$A8359+$C$2:$C8359)), "")*24*60, "")</f>
        <v/>
      </c>
      <c r="L8360" s="24" t="str" cm="1">
        <f t="array" ref="L8360">IFERROR(IF($B8360=L$1, ($A8360+$C8360) - MAX(IF($B$2:$B8359=$B8360, $A$2:$A8359+$C$2:$C8359)), "")*24*60, "")</f>
        <v/>
      </c>
      <c r="M8360" s="24" t="str" cm="1">
        <f t="array" ref="M8360">IFERROR(IF($B8360=M$1, ($A8360+$C8360) - MAX(IF($B$2:$B8359=$B8360, $A$2:$A8359+$C$2:$C8359)), "")*24*60, "")</f>
        <v/>
      </c>
      <c r="N8360" s="24" t="str" cm="1">
        <f t="array" ref="N8360">IFERROR(IF($B8360=N$1, ($A8360+$C8360) - MAX(IF($B$2:$B8359=$B8360, $A$2:$A8359+$C$2:$C8359)), "")*24*60, "")</f>
        <v/>
      </c>
      <c r="O8360" s="24" t="str" cm="1">
        <f t="array" ref="O8360">IFERROR(IF($B8360=O$1, ($A8360+$C8360) - MAX(IF($B$2:$B8359=$B8360, $A$2:$A8359+$C$2:$C8359)), "")*24*60, "")</f>
        <v/>
      </c>
      <c r="P8360" s="24" t="str" cm="1">
        <f t="array" ref="P8360">IFERROR(IF($B8360=P$1, ($A8360+$C8360) - MAX(IF($B$2:$B8359=$B8360, $A$2:$A8359+$C$2:$C8359)), "")*24*60, "")</f>
        <v/>
      </c>
      <c r="Q8360" s="24" t="str" cm="1">
        <f t="array" ref="Q8360">IFERROR(IF($B8360=Q$1, ($A8360+$C8360) - MAX(IF($B$2:$B8359=$B8360, $A$2:$A8359+$C$2:$C8359)), "")*24*60, "")</f>
        <v/>
      </c>
      <c r="R8360" s="24" t="str" cm="1">
        <f t="array" ref="R8360">IFERROR(IF($B8360=R$1, ($A8360+$C8360) - MAX(IF($B$2:$B8359=$B8360, $A$2:$A8359+$C$2:$C8359)), "")*24*60, "")</f>
        <v/>
      </c>
      <c r="S8360" s="24" t="str" cm="1">
        <f t="array" ref="S8360">IFERROR(IF($B8360=S$1, ($A8360+$C8360) - MAX(IF($B$2:$B8359=$B8360, $A$2:$A8359+$C$2:$C8359)), "")*24*60, "")</f>
        <v/>
      </c>
    </row>
    <row r="8361" spans="1:19" x14ac:dyDescent="0.2">
      <c r="A8361" s="12">
        <f t="shared" ref="A8361:C8361" si="1460">A8360</f>
        <v>46029</v>
      </c>
      <c r="B8361" s="5" t="str">
        <f t="shared" si="1460"/>
        <v>Northern Cardinal</v>
      </c>
      <c r="C8361" s="6">
        <f t="shared" si="1460"/>
        <v>0.75</v>
      </c>
      <c r="D8361" s="5"/>
      <c r="E8361" s="5"/>
      <c r="F8361" s="5" t="s">
        <v>9</v>
      </c>
      <c r="G8361" s="15" t="s">
        <v>8</v>
      </c>
      <c r="H8361" s="24">
        <f t="shared" si="1412"/>
        <v>0</v>
      </c>
      <c r="I8361" s="24" cm="1">
        <f t="array" ref="I8361">IFERROR(IF($B8361=I$1, ($A8361+$C8361) - MAX(IF($B$2:$B8360=$B8361, $A$2:$A8360+$C$2:$C8360)), "")*24*60, "")</f>
        <v>0</v>
      </c>
      <c r="J8361" s="24" t="str" cm="1">
        <f t="array" ref="J8361">IFERROR(IF($B8361=J$1, ($A8361+$C8361) - MAX(IF($B$2:$B8360=$B8361, $A$2:$A8360+$C$2:$C8360)), "")*24*60, "")</f>
        <v/>
      </c>
      <c r="K8361" s="24" t="str" cm="1">
        <f t="array" ref="K8361">IFERROR(IF($B8361=K$1, ($A8361+$C8361) - MAX(IF($B$2:$B8360=$B8361, $A$2:$A8360+$C$2:$C8360)), "")*24*60, "")</f>
        <v/>
      </c>
      <c r="L8361" s="24" t="str" cm="1">
        <f t="array" ref="L8361">IFERROR(IF($B8361=L$1, ($A8361+$C8361) - MAX(IF($B$2:$B8360=$B8361, $A$2:$A8360+$C$2:$C8360)), "")*24*60, "")</f>
        <v/>
      </c>
      <c r="M8361" s="24" t="str" cm="1">
        <f t="array" ref="M8361">IFERROR(IF($B8361=M$1, ($A8361+$C8361) - MAX(IF($B$2:$B8360=$B8361, $A$2:$A8360+$C$2:$C8360)), "")*24*60, "")</f>
        <v/>
      </c>
      <c r="N8361" s="24" t="str" cm="1">
        <f t="array" ref="N8361">IFERROR(IF($B8361=N$1, ($A8361+$C8361) - MAX(IF($B$2:$B8360=$B8361, $A$2:$A8360+$C$2:$C8360)), "")*24*60, "")</f>
        <v/>
      </c>
      <c r="O8361" s="24" t="str" cm="1">
        <f t="array" ref="O8361">IFERROR(IF($B8361=O$1, ($A8361+$C8361) - MAX(IF($B$2:$B8360=$B8361, $A$2:$A8360+$C$2:$C8360)), "")*24*60, "")</f>
        <v/>
      </c>
      <c r="P8361" s="24" t="str" cm="1">
        <f t="array" ref="P8361">IFERROR(IF($B8361=P$1, ($A8361+$C8361) - MAX(IF($B$2:$B8360=$B8361, $A$2:$A8360+$C$2:$C8360)), "")*24*60, "")</f>
        <v/>
      </c>
      <c r="Q8361" s="24" t="str" cm="1">
        <f t="array" ref="Q8361">IFERROR(IF($B8361=Q$1, ($A8361+$C8361) - MAX(IF($B$2:$B8360=$B8361, $A$2:$A8360+$C$2:$C8360)), "")*24*60, "")</f>
        <v/>
      </c>
      <c r="R8361" s="24" t="str" cm="1">
        <f t="array" ref="R8361">IFERROR(IF($B8361=R$1, ($A8361+$C8361) - MAX(IF($B$2:$B8360=$B8361, $A$2:$A8360+$C$2:$C8360)), "")*24*60, "")</f>
        <v/>
      </c>
      <c r="S8361" s="24" t="str" cm="1">
        <f t="array" ref="S8361">IFERROR(IF($B8361=S$1, ($A8361+$C8361) - MAX(IF($B$2:$B8360=$B8361, $A$2:$A8360+$C$2:$C8360)), "")*24*60, "")</f>
        <v/>
      </c>
    </row>
    <row r="8362" spans="1:19" x14ac:dyDescent="0.2">
      <c r="A8362" s="12">
        <f t="shared" ref="A8362:C8362" si="1461">A8361</f>
        <v>46029</v>
      </c>
      <c r="B8362" s="5" t="str">
        <f t="shared" si="1461"/>
        <v>Northern Cardinal</v>
      </c>
      <c r="C8362" s="6">
        <f t="shared" si="1461"/>
        <v>0.75</v>
      </c>
      <c r="D8362" s="5"/>
      <c r="E8362" s="5"/>
      <c r="F8362" s="5" t="s">
        <v>9</v>
      </c>
      <c r="G8362" s="15" t="s">
        <v>8</v>
      </c>
      <c r="H8362" s="24">
        <f t="shared" si="1412"/>
        <v>0</v>
      </c>
      <c r="I8362" s="24" cm="1">
        <f t="array" ref="I8362">IFERROR(IF($B8362=I$1, ($A8362+$C8362) - MAX(IF($B$2:$B8361=$B8362, $A$2:$A8361+$C$2:$C8361)), "")*24*60, "")</f>
        <v>0</v>
      </c>
      <c r="J8362" s="24" t="str" cm="1">
        <f t="array" ref="J8362">IFERROR(IF($B8362=J$1, ($A8362+$C8362) - MAX(IF($B$2:$B8361=$B8362, $A$2:$A8361+$C$2:$C8361)), "")*24*60, "")</f>
        <v/>
      </c>
      <c r="K8362" s="24" t="str" cm="1">
        <f t="array" ref="K8362">IFERROR(IF($B8362=K$1, ($A8362+$C8362) - MAX(IF($B$2:$B8361=$B8362, $A$2:$A8361+$C$2:$C8361)), "")*24*60, "")</f>
        <v/>
      </c>
      <c r="L8362" s="24" t="str" cm="1">
        <f t="array" ref="L8362">IFERROR(IF($B8362=L$1, ($A8362+$C8362) - MAX(IF($B$2:$B8361=$B8362, $A$2:$A8361+$C$2:$C8361)), "")*24*60, "")</f>
        <v/>
      </c>
      <c r="M8362" s="24" t="str" cm="1">
        <f t="array" ref="M8362">IFERROR(IF($B8362=M$1, ($A8362+$C8362) - MAX(IF($B$2:$B8361=$B8362, $A$2:$A8361+$C$2:$C8361)), "")*24*60, "")</f>
        <v/>
      </c>
      <c r="N8362" s="24" t="str" cm="1">
        <f t="array" ref="N8362">IFERROR(IF($B8362=N$1, ($A8362+$C8362) - MAX(IF($B$2:$B8361=$B8362, $A$2:$A8361+$C$2:$C8361)), "")*24*60, "")</f>
        <v/>
      </c>
      <c r="O8362" s="24" t="str" cm="1">
        <f t="array" ref="O8362">IFERROR(IF($B8362=O$1, ($A8362+$C8362) - MAX(IF($B$2:$B8361=$B8362, $A$2:$A8361+$C$2:$C8361)), "")*24*60, "")</f>
        <v/>
      </c>
      <c r="P8362" s="24" t="str" cm="1">
        <f t="array" ref="P8362">IFERROR(IF($B8362=P$1, ($A8362+$C8362) - MAX(IF($B$2:$B8361=$B8362, $A$2:$A8361+$C$2:$C8361)), "")*24*60, "")</f>
        <v/>
      </c>
      <c r="Q8362" s="24" t="str" cm="1">
        <f t="array" ref="Q8362">IFERROR(IF($B8362=Q$1, ($A8362+$C8362) - MAX(IF($B$2:$B8361=$B8362, $A$2:$A8361+$C$2:$C8361)), "")*24*60, "")</f>
        <v/>
      </c>
      <c r="R8362" s="24" t="str" cm="1">
        <f t="array" ref="R8362">IFERROR(IF($B8362=R$1, ($A8362+$C8362) - MAX(IF($B$2:$B8361=$B8362, $A$2:$A8361+$C$2:$C8361)), "")*24*60, "")</f>
        <v/>
      </c>
      <c r="S8362" s="24" t="str" cm="1">
        <f t="array" ref="S8362">IFERROR(IF($B8362=S$1, ($A8362+$C8362) - MAX(IF($B$2:$B8361=$B8362, $A$2:$A8361+$C$2:$C8361)), "")*24*60, "")</f>
        <v/>
      </c>
    </row>
    <row r="8363" spans="1:19" x14ac:dyDescent="0.2">
      <c r="A8363" s="12">
        <f t="shared" ref="A8363:C8363" si="1462">A8362</f>
        <v>46029</v>
      </c>
      <c r="B8363" s="5" t="str">
        <f t="shared" si="1462"/>
        <v>Northern Cardinal</v>
      </c>
      <c r="C8363" s="6">
        <f t="shared" si="1462"/>
        <v>0.75</v>
      </c>
      <c r="D8363" s="5"/>
      <c r="E8363" s="5"/>
      <c r="F8363" s="5" t="s">
        <v>9</v>
      </c>
      <c r="G8363" s="15" t="s">
        <v>8</v>
      </c>
      <c r="H8363" s="24">
        <f t="shared" si="1412"/>
        <v>0</v>
      </c>
      <c r="I8363" s="24" cm="1">
        <f t="array" ref="I8363">IFERROR(IF($B8363=I$1, ($A8363+$C8363) - MAX(IF($B$2:$B8362=$B8363, $A$2:$A8362+$C$2:$C8362)), "")*24*60, "")</f>
        <v>0</v>
      </c>
      <c r="J8363" s="24" t="str" cm="1">
        <f t="array" ref="J8363">IFERROR(IF($B8363=J$1, ($A8363+$C8363) - MAX(IF($B$2:$B8362=$B8363, $A$2:$A8362+$C$2:$C8362)), "")*24*60, "")</f>
        <v/>
      </c>
      <c r="K8363" s="24" t="str" cm="1">
        <f t="array" ref="K8363">IFERROR(IF($B8363=K$1, ($A8363+$C8363) - MAX(IF($B$2:$B8362=$B8363, $A$2:$A8362+$C$2:$C8362)), "")*24*60, "")</f>
        <v/>
      </c>
      <c r="L8363" s="24" t="str" cm="1">
        <f t="array" ref="L8363">IFERROR(IF($B8363=L$1, ($A8363+$C8363) - MAX(IF($B$2:$B8362=$B8363, $A$2:$A8362+$C$2:$C8362)), "")*24*60, "")</f>
        <v/>
      </c>
      <c r="M8363" s="24" t="str" cm="1">
        <f t="array" ref="M8363">IFERROR(IF($B8363=M$1, ($A8363+$C8363) - MAX(IF($B$2:$B8362=$B8363, $A$2:$A8362+$C$2:$C8362)), "")*24*60, "")</f>
        <v/>
      </c>
      <c r="N8363" s="24" t="str" cm="1">
        <f t="array" ref="N8363">IFERROR(IF($B8363=N$1, ($A8363+$C8363) - MAX(IF($B$2:$B8362=$B8363, $A$2:$A8362+$C$2:$C8362)), "")*24*60, "")</f>
        <v/>
      </c>
      <c r="O8363" s="24" t="str" cm="1">
        <f t="array" ref="O8363">IFERROR(IF($B8363=O$1, ($A8363+$C8363) - MAX(IF($B$2:$B8362=$B8363, $A$2:$A8362+$C$2:$C8362)), "")*24*60, "")</f>
        <v/>
      </c>
      <c r="P8363" s="24" t="str" cm="1">
        <f t="array" ref="P8363">IFERROR(IF($B8363=P$1, ($A8363+$C8363) - MAX(IF($B$2:$B8362=$B8363, $A$2:$A8362+$C$2:$C8362)), "")*24*60, "")</f>
        <v/>
      </c>
      <c r="Q8363" s="24" t="str" cm="1">
        <f t="array" ref="Q8363">IFERROR(IF($B8363=Q$1, ($A8363+$C8363) - MAX(IF($B$2:$B8362=$B8363, $A$2:$A8362+$C$2:$C8362)), "")*24*60, "")</f>
        <v/>
      </c>
      <c r="R8363" s="24" t="str" cm="1">
        <f t="array" ref="R8363">IFERROR(IF($B8363=R$1, ($A8363+$C8363) - MAX(IF($B$2:$B8362=$B8363, $A$2:$A8362+$C$2:$C8362)), "")*24*60, "")</f>
        <v/>
      </c>
      <c r="S8363" s="24" t="str" cm="1">
        <f t="array" ref="S8363">IFERROR(IF($B8363=S$1, ($A8363+$C8363) - MAX(IF($B$2:$B8362=$B8363, $A$2:$A8362+$C$2:$C8362)), "")*24*60, "")</f>
        <v/>
      </c>
    </row>
    <row r="8364" spans="1:19" x14ac:dyDescent="0.2">
      <c r="A8364" s="12">
        <f t="shared" ref="A8364:C8364" si="1463">A8363</f>
        <v>46029</v>
      </c>
      <c r="B8364" s="5" t="str">
        <f t="shared" si="1463"/>
        <v>Northern Cardinal</v>
      </c>
      <c r="C8364" s="6">
        <f t="shared" si="1463"/>
        <v>0.75</v>
      </c>
      <c r="D8364" s="5"/>
      <c r="E8364" s="5"/>
      <c r="F8364" s="5" t="s">
        <v>9</v>
      </c>
      <c r="G8364" s="15" t="s">
        <v>8</v>
      </c>
      <c r="H8364" s="24">
        <f t="shared" si="1412"/>
        <v>0</v>
      </c>
      <c r="I8364" s="24" cm="1">
        <f t="array" ref="I8364">IFERROR(IF($B8364=I$1, ($A8364+$C8364) - MAX(IF($B$2:$B8363=$B8364, $A$2:$A8363+$C$2:$C8363)), "")*24*60, "")</f>
        <v>0</v>
      </c>
      <c r="J8364" s="24" t="str" cm="1">
        <f t="array" ref="J8364">IFERROR(IF($B8364=J$1, ($A8364+$C8364) - MAX(IF($B$2:$B8363=$B8364, $A$2:$A8363+$C$2:$C8363)), "")*24*60, "")</f>
        <v/>
      </c>
      <c r="K8364" s="24" t="str" cm="1">
        <f t="array" ref="K8364">IFERROR(IF($B8364=K$1, ($A8364+$C8364) - MAX(IF($B$2:$B8363=$B8364, $A$2:$A8363+$C$2:$C8363)), "")*24*60, "")</f>
        <v/>
      </c>
      <c r="L8364" s="24" t="str" cm="1">
        <f t="array" ref="L8364">IFERROR(IF($B8364=L$1, ($A8364+$C8364) - MAX(IF($B$2:$B8363=$B8364, $A$2:$A8363+$C$2:$C8363)), "")*24*60, "")</f>
        <v/>
      </c>
      <c r="M8364" s="24" t="str" cm="1">
        <f t="array" ref="M8364">IFERROR(IF($B8364=M$1, ($A8364+$C8364) - MAX(IF($B$2:$B8363=$B8364, $A$2:$A8363+$C$2:$C8363)), "")*24*60, "")</f>
        <v/>
      </c>
      <c r="N8364" s="24" t="str" cm="1">
        <f t="array" ref="N8364">IFERROR(IF($B8364=N$1, ($A8364+$C8364) - MAX(IF($B$2:$B8363=$B8364, $A$2:$A8363+$C$2:$C8363)), "")*24*60, "")</f>
        <v/>
      </c>
      <c r="O8364" s="24" t="str" cm="1">
        <f t="array" ref="O8364">IFERROR(IF($B8364=O$1, ($A8364+$C8364) - MAX(IF($B$2:$B8363=$B8364, $A$2:$A8363+$C$2:$C8363)), "")*24*60, "")</f>
        <v/>
      </c>
      <c r="P8364" s="24" t="str" cm="1">
        <f t="array" ref="P8364">IFERROR(IF($B8364=P$1, ($A8364+$C8364) - MAX(IF($B$2:$B8363=$B8364, $A$2:$A8363+$C$2:$C8363)), "")*24*60, "")</f>
        <v/>
      </c>
      <c r="Q8364" s="24" t="str" cm="1">
        <f t="array" ref="Q8364">IFERROR(IF($B8364=Q$1, ($A8364+$C8364) - MAX(IF($B$2:$B8363=$B8364, $A$2:$A8363+$C$2:$C8363)), "")*24*60, "")</f>
        <v/>
      </c>
      <c r="R8364" s="24" t="str" cm="1">
        <f t="array" ref="R8364">IFERROR(IF($B8364=R$1, ($A8364+$C8364) - MAX(IF($B$2:$B8363=$B8364, $A$2:$A8363+$C$2:$C8363)), "")*24*60, "")</f>
        <v/>
      </c>
      <c r="S8364" s="24" t="str" cm="1">
        <f t="array" ref="S8364">IFERROR(IF($B8364=S$1, ($A8364+$C8364) - MAX(IF($B$2:$B8363=$B8364, $A$2:$A8363+$C$2:$C8363)), "")*24*60, "")</f>
        <v/>
      </c>
    </row>
    <row r="8365" spans="1:19" x14ac:dyDescent="0.2">
      <c r="A8365" s="12">
        <f t="shared" ref="A8365:C8365" si="1464">A8364</f>
        <v>46029</v>
      </c>
      <c r="B8365" s="5" t="str">
        <f t="shared" si="1464"/>
        <v>Northern Cardinal</v>
      </c>
      <c r="C8365" s="6">
        <f t="shared" si="1464"/>
        <v>0.75</v>
      </c>
      <c r="D8365" s="5"/>
      <c r="E8365" s="5"/>
      <c r="F8365" s="5" t="s">
        <v>9</v>
      </c>
      <c r="G8365" s="15" t="s">
        <v>8</v>
      </c>
      <c r="H8365" s="24">
        <f t="shared" si="1412"/>
        <v>0</v>
      </c>
      <c r="I8365" s="24" cm="1">
        <f t="array" ref="I8365">IFERROR(IF($B8365=I$1, ($A8365+$C8365) - MAX(IF($B$2:$B8364=$B8365, $A$2:$A8364+$C$2:$C8364)), "")*24*60, "")</f>
        <v>0</v>
      </c>
      <c r="J8365" s="24" t="str" cm="1">
        <f t="array" ref="J8365">IFERROR(IF($B8365=J$1, ($A8365+$C8365) - MAX(IF($B$2:$B8364=$B8365, $A$2:$A8364+$C$2:$C8364)), "")*24*60, "")</f>
        <v/>
      </c>
      <c r="K8365" s="24" t="str" cm="1">
        <f t="array" ref="K8365">IFERROR(IF($B8365=K$1, ($A8365+$C8365) - MAX(IF($B$2:$B8364=$B8365, $A$2:$A8364+$C$2:$C8364)), "")*24*60, "")</f>
        <v/>
      </c>
      <c r="L8365" s="24" t="str" cm="1">
        <f t="array" ref="L8365">IFERROR(IF($B8365=L$1, ($A8365+$C8365) - MAX(IF($B$2:$B8364=$B8365, $A$2:$A8364+$C$2:$C8364)), "")*24*60, "")</f>
        <v/>
      </c>
      <c r="M8365" s="24" t="str" cm="1">
        <f t="array" ref="M8365">IFERROR(IF($B8365=M$1, ($A8365+$C8365) - MAX(IF($B$2:$B8364=$B8365, $A$2:$A8364+$C$2:$C8364)), "")*24*60, "")</f>
        <v/>
      </c>
      <c r="N8365" s="24" t="str" cm="1">
        <f t="array" ref="N8365">IFERROR(IF($B8365=N$1, ($A8365+$C8365) - MAX(IF($B$2:$B8364=$B8365, $A$2:$A8364+$C$2:$C8364)), "")*24*60, "")</f>
        <v/>
      </c>
      <c r="O8365" s="24" t="str" cm="1">
        <f t="array" ref="O8365">IFERROR(IF($B8365=O$1, ($A8365+$C8365) - MAX(IF($B$2:$B8364=$B8365, $A$2:$A8364+$C$2:$C8364)), "")*24*60, "")</f>
        <v/>
      </c>
      <c r="P8365" s="24" t="str" cm="1">
        <f t="array" ref="P8365">IFERROR(IF($B8365=P$1, ($A8365+$C8365) - MAX(IF($B$2:$B8364=$B8365, $A$2:$A8364+$C$2:$C8364)), "")*24*60, "")</f>
        <v/>
      </c>
      <c r="Q8365" s="24" t="str" cm="1">
        <f t="array" ref="Q8365">IFERROR(IF($B8365=Q$1, ($A8365+$C8365) - MAX(IF($B$2:$B8364=$B8365, $A$2:$A8364+$C$2:$C8364)), "")*24*60, "")</f>
        <v/>
      </c>
      <c r="R8365" s="24" t="str" cm="1">
        <f t="array" ref="R8365">IFERROR(IF($B8365=R$1, ($A8365+$C8365) - MAX(IF($B$2:$B8364=$B8365, $A$2:$A8364+$C$2:$C8364)), "")*24*60, "")</f>
        <v/>
      </c>
      <c r="S8365" s="24" t="str" cm="1">
        <f t="array" ref="S8365">IFERROR(IF($B8365=S$1, ($A8365+$C8365) - MAX(IF($B$2:$B8364=$B8365, $A$2:$A8364+$C$2:$C8364)), "")*24*60, "")</f>
        <v/>
      </c>
    </row>
    <row r="8366" spans="1:19" x14ac:dyDescent="0.2">
      <c r="A8366" s="12">
        <f t="shared" ref="A8366:C8366" si="1465">A8365</f>
        <v>46029</v>
      </c>
      <c r="B8366" s="5" t="str">
        <f t="shared" si="1465"/>
        <v>Northern Cardinal</v>
      </c>
      <c r="C8366" s="6">
        <f t="shared" si="1465"/>
        <v>0.75</v>
      </c>
      <c r="D8366" s="5"/>
      <c r="E8366" s="5"/>
      <c r="F8366" s="5" t="s">
        <v>9</v>
      </c>
      <c r="G8366" s="15" t="s">
        <v>8</v>
      </c>
      <c r="H8366" s="24">
        <f t="shared" si="1412"/>
        <v>0</v>
      </c>
      <c r="I8366" s="24" cm="1">
        <f t="array" ref="I8366">IFERROR(IF($B8366=I$1, ($A8366+$C8366) - MAX(IF($B$2:$B8365=$B8366, $A$2:$A8365+$C$2:$C8365)), "")*24*60, "")</f>
        <v>0</v>
      </c>
      <c r="J8366" s="24" t="str" cm="1">
        <f t="array" ref="J8366">IFERROR(IF($B8366=J$1, ($A8366+$C8366) - MAX(IF($B$2:$B8365=$B8366, $A$2:$A8365+$C$2:$C8365)), "")*24*60, "")</f>
        <v/>
      </c>
      <c r="K8366" s="24" t="str" cm="1">
        <f t="array" ref="K8366">IFERROR(IF($B8366=K$1, ($A8366+$C8366) - MAX(IF($B$2:$B8365=$B8366, $A$2:$A8365+$C$2:$C8365)), "")*24*60, "")</f>
        <v/>
      </c>
      <c r="L8366" s="24" t="str" cm="1">
        <f t="array" ref="L8366">IFERROR(IF($B8366=L$1, ($A8366+$C8366) - MAX(IF($B$2:$B8365=$B8366, $A$2:$A8365+$C$2:$C8365)), "")*24*60, "")</f>
        <v/>
      </c>
      <c r="M8366" s="24" t="str" cm="1">
        <f t="array" ref="M8366">IFERROR(IF($B8366=M$1, ($A8366+$C8366) - MAX(IF($B$2:$B8365=$B8366, $A$2:$A8365+$C$2:$C8365)), "")*24*60, "")</f>
        <v/>
      </c>
      <c r="N8366" s="24" t="str" cm="1">
        <f t="array" ref="N8366">IFERROR(IF($B8366=N$1, ($A8366+$C8366) - MAX(IF($B$2:$B8365=$B8366, $A$2:$A8365+$C$2:$C8365)), "")*24*60, "")</f>
        <v/>
      </c>
      <c r="O8366" s="24" t="str" cm="1">
        <f t="array" ref="O8366">IFERROR(IF($B8366=O$1, ($A8366+$C8366) - MAX(IF($B$2:$B8365=$B8366, $A$2:$A8365+$C$2:$C8365)), "")*24*60, "")</f>
        <v/>
      </c>
      <c r="P8366" s="24" t="str" cm="1">
        <f t="array" ref="P8366">IFERROR(IF($B8366=P$1, ($A8366+$C8366) - MAX(IF($B$2:$B8365=$B8366, $A$2:$A8365+$C$2:$C8365)), "")*24*60, "")</f>
        <v/>
      </c>
      <c r="Q8366" s="24" t="str" cm="1">
        <f t="array" ref="Q8366">IFERROR(IF($B8366=Q$1, ($A8366+$C8366) - MAX(IF($B$2:$B8365=$B8366, $A$2:$A8365+$C$2:$C8365)), "")*24*60, "")</f>
        <v/>
      </c>
      <c r="R8366" s="24" t="str" cm="1">
        <f t="array" ref="R8366">IFERROR(IF($B8366=R$1, ($A8366+$C8366) - MAX(IF($B$2:$B8365=$B8366, $A$2:$A8365+$C$2:$C8365)), "")*24*60, "")</f>
        <v/>
      </c>
      <c r="S8366" s="24" t="str" cm="1">
        <f t="array" ref="S8366">IFERROR(IF($B8366=S$1, ($A8366+$C8366) - MAX(IF($B$2:$B8365=$B8366, $A$2:$A8365+$C$2:$C8365)), "")*24*60, "")</f>
        <v/>
      </c>
    </row>
    <row r="8367" spans="1:19" x14ac:dyDescent="0.2">
      <c r="A8367" s="12">
        <f t="shared" ref="A8367:C8367" si="1466">A8366</f>
        <v>46029</v>
      </c>
      <c r="B8367" s="5" t="str">
        <f t="shared" si="1466"/>
        <v>Northern Cardinal</v>
      </c>
      <c r="C8367" s="6">
        <f t="shared" si="1466"/>
        <v>0.75</v>
      </c>
      <c r="D8367" s="5"/>
      <c r="E8367" s="5"/>
      <c r="F8367" s="5" t="s">
        <v>9</v>
      </c>
      <c r="G8367" s="15" t="s">
        <v>8</v>
      </c>
      <c r="H8367" s="24">
        <f t="shared" si="1412"/>
        <v>0</v>
      </c>
      <c r="I8367" s="24" cm="1">
        <f t="array" ref="I8367">IFERROR(IF($B8367=I$1, ($A8367+$C8367) - MAX(IF($B$2:$B8366=$B8367, $A$2:$A8366+$C$2:$C8366)), "")*24*60, "")</f>
        <v>0</v>
      </c>
      <c r="J8367" s="24" t="str" cm="1">
        <f t="array" ref="J8367">IFERROR(IF($B8367=J$1, ($A8367+$C8367) - MAX(IF($B$2:$B8366=$B8367, $A$2:$A8366+$C$2:$C8366)), "")*24*60, "")</f>
        <v/>
      </c>
      <c r="K8367" s="24" t="str" cm="1">
        <f t="array" ref="K8367">IFERROR(IF($B8367=K$1, ($A8367+$C8367) - MAX(IF($B$2:$B8366=$B8367, $A$2:$A8366+$C$2:$C8366)), "")*24*60, "")</f>
        <v/>
      </c>
      <c r="L8367" s="24" t="str" cm="1">
        <f t="array" ref="L8367">IFERROR(IF($B8367=L$1, ($A8367+$C8367) - MAX(IF($B$2:$B8366=$B8367, $A$2:$A8366+$C$2:$C8366)), "")*24*60, "")</f>
        <v/>
      </c>
      <c r="M8367" s="24" t="str" cm="1">
        <f t="array" ref="M8367">IFERROR(IF($B8367=M$1, ($A8367+$C8367) - MAX(IF($B$2:$B8366=$B8367, $A$2:$A8366+$C$2:$C8366)), "")*24*60, "")</f>
        <v/>
      </c>
      <c r="N8367" s="24" t="str" cm="1">
        <f t="array" ref="N8367">IFERROR(IF($B8367=N$1, ($A8367+$C8367) - MAX(IF($B$2:$B8366=$B8367, $A$2:$A8366+$C$2:$C8366)), "")*24*60, "")</f>
        <v/>
      </c>
      <c r="O8367" s="24" t="str" cm="1">
        <f t="array" ref="O8367">IFERROR(IF($B8367=O$1, ($A8367+$C8367) - MAX(IF($B$2:$B8366=$B8367, $A$2:$A8366+$C$2:$C8366)), "")*24*60, "")</f>
        <v/>
      </c>
      <c r="P8367" s="24" t="str" cm="1">
        <f t="array" ref="P8367">IFERROR(IF($B8367=P$1, ($A8367+$C8367) - MAX(IF($B$2:$B8366=$B8367, $A$2:$A8366+$C$2:$C8366)), "")*24*60, "")</f>
        <v/>
      </c>
      <c r="Q8367" s="24" t="str" cm="1">
        <f t="array" ref="Q8367">IFERROR(IF($B8367=Q$1, ($A8367+$C8367) - MAX(IF($B$2:$B8366=$B8367, $A$2:$A8366+$C$2:$C8366)), "")*24*60, "")</f>
        <v/>
      </c>
      <c r="R8367" s="24" t="str" cm="1">
        <f t="array" ref="R8367">IFERROR(IF($B8367=R$1, ($A8367+$C8367) - MAX(IF($B$2:$B8366=$B8367, $A$2:$A8366+$C$2:$C8366)), "")*24*60, "")</f>
        <v/>
      </c>
      <c r="S8367" s="24" t="str" cm="1">
        <f t="array" ref="S8367">IFERROR(IF($B8367=S$1, ($A8367+$C8367) - MAX(IF($B$2:$B8366=$B8367, $A$2:$A8366+$C$2:$C8366)), "")*24*60, "")</f>
        <v/>
      </c>
    </row>
    <row r="8368" spans="1:19" x14ac:dyDescent="0.2">
      <c r="A8368" s="12">
        <f t="shared" ref="A8368:C8368" si="1467">A8367</f>
        <v>46029</v>
      </c>
      <c r="B8368" s="5" t="str">
        <f t="shared" si="1467"/>
        <v>Northern Cardinal</v>
      </c>
      <c r="C8368" s="6">
        <f t="shared" si="1467"/>
        <v>0.75</v>
      </c>
      <c r="D8368" s="5"/>
      <c r="E8368" s="5"/>
      <c r="F8368" s="5" t="s">
        <v>9</v>
      </c>
      <c r="G8368" s="15" t="s">
        <v>8</v>
      </c>
      <c r="H8368" s="24">
        <f t="shared" si="1412"/>
        <v>0</v>
      </c>
      <c r="I8368" s="24" cm="1">
        <f t="array" ref="I8368">IFERROR(IF($B8368=I$1, ($A8368+$C8368) - MAX(IF($B$2:$B8367=$B8368, $A$2:$A8367+$C$2:$C8367)), "")*24*60, "")</f>
        <v>0</v>
      </c>
      <c r="J8368" s="24" t="str" cm="1">
        <f t="array" ref="J8368">IFERROR(IF($B8368=J$1, ($A8368+$C8368) - MAX(IF($B$2:$B8367=$B8368, $A$2:$A8367+$C$2:$C8367)), "")*24*60, "")</f>
        <v/>
      </c>
      <c r="K8368" s="24" t="str" cm="1">
        <f t="array" ref="K8368">IFERROR(IF($B8368=K$1, ($A8368+$C8368) - MAX(IF($B$2:$B8367=$B8368, $A$2:$A8367+$C$2:$C8367)), "")*24*60, "")</f>
        <v/>
      </c>
      <c r="L8368" s="24" t="str" cm="1">
        <f t="array" ref="L8368">IFERROR(IF($B8368=L$1, ($A8368+$C8368) - MAX(IF($B$2:$B8367=$B8368, $A$2:$A8367+$C$2:$C8367)), "")*24*60, "")</f>
        <v/>
      </c>
      <c r="M8368" s="24" t="str" cm="1">
        <f t="array" ref="M8368">IFERROR(IF($B8368=M$1, ($A8368+$C8368) - MAX(IF($B$2:$B8367=$B8368, $A$2:$A8367+$C$2:$C8367)), "")*24*60, "")</f>
        <v/>
      </c>
      <c r="N8368" s="24" t="str" cm="1">
        <f t="array" ref="N8368">IFERROR(IF($B8368=N$1, ($A8368+$C8368) - MAX(IF($B$2:$B8367=$B8368, $A$2:$A8367+$C$2:$C8367)), "")*24*60, "")</f>
        <v/>
      </c>
      <c r="O8368" s="24" t="str" cm="1">
        <f t="array" ref="O8368">IFERROR(IF($B8368=O$1, ($A8368+$C8368) - MAX(IF($B$2:$B8367=$B8368, $A$2:$A8367+$C$2:$C8367)), "")*24*60, "")</f>
        <v/>
      </c>
      <c r="P8368" s="24" t="str" cm="1">
        <f t="array" ref="P8368">IFERROR(IF($B8368=P$1, ($A8368+$C8368) - MAX(IF($B$2:$B8367=$B8368, $A$2:$A8367+$C$2:$C8367)), "")*24*60, "")</f>
        <v/>
      </c>
      <c r="Q8368" s="24" t="str" cm="1">
        <f t="array" ref="Q8368">IFERROR(IF($B8368=Q$1, ($A8368+$C8368) - MAX(IF($B$2:$B8367=$B8368, $A$2:$A8367+$C$2:$C8367)), "")*24*60, "")</f>
        <v/>
      </c>
      <c r="R8368" s="24" t="str" cm="1">
        <f t="array" ref="R8368">IFERROR(IF($B8368=R$1, ($A8368+$C8368) - MAX(IF($B$2:$B8367=$B8368, $A$2:$A8367+$C$2:$C8367)), "")*24*60, "")</f>
        <v/>
      </c>
      <c r="S8368" s="24" t="str" cm="1">
        <f t="array" ref="S8368">IFERROR(IF($B8368=S$1, ($A8368+$C8368) - MAX(IF($B$2:$B8367=$B8368, $A$2:$A8367+$C$2:$C8367)), "")*24*60, "")</f>
        <v/>
      </c>
    </row>
    <row r="8369" spans="1:19" x14ac:dyDescent="0.2">
      <c r="A8369" s="12">
        <f t="shared" ref="A8369:C8369" si="1468">A8368</f>
        <v>46029</v>
      </c>
      <c r="B8369" s="5" t="str">
        <f t="shared" si="1468"/>
        <v>Northern Cardinal</v>
      </c>
      <c r="C8369" s="6">
        <f t="shared" si="1468"/>
        <v>0.75</v>
      </c>
      <c r="D8369" s="5"/>
      <c r="E8369" s="5"/>
      <c r="F8369" s="5" t="s">
        <v>9</v>
      </c>
      <c r="G8369" s="15" t="s">
        <v>8</v>
      </c>
      <c r="H8369" s="24">
        <f t="shared" si="1412"/>
        <v>0</v>
      </c>
      <c r="I8369" s="24" cm="1">
        <f t="array" ref="I8369">IFERROR(IF($B8369=I$1, ($A8369+$C8369) - MAX(IF($B$2:$B8368=$B8369, $A$2:$A8368+$C$2:$C8368)), "")*24*60, "")</f>
        <v>0</v>
      </c>
      <c r="J8369" s="24" t="str" cm="1">
        <f t="array" ref="J8369">IFERROR(IF($B8369=J$1, ($A8369+$C8369) - MAX(IF($B$2:$B8368=$B8369, $A$2:$A8368+$C$2:$C8368)), "")*24*60, "")</f>
        <v/>
      </c>
      <c r="K8369" s="24" t="str" cm="1">
        <f t="array" ref="K8369">IFERROR(IF($B8369=K$1, ($A8369+$C8369) - MAX(IF($B$2:$B8368=$B8369, $A$2:$A8368+$C$2:$C8368)), "")*24*60, "")</f>
        <v/>
      </c>
      <c r="L8369" s="24" t="str" cm="1">
        <f t="array" ref="L8369">IFERROR(IF($B8369=L$1, ($A8369+$C8369) - MAX(IF($B$2:$B8368=$B8369, $A$2:$A8368+$C$2:$C8368)), "")*24*60, "")</f>
        <v/>
      </c>
      <c r="M8369" s="24" t="str" cm="1">
        <f t="array" ref="M8369">IFERROR(IF($B8369=M$1, ($A8369+$C8369) - MAX(IF($B$2:$B8368=$B8369, $A$2:$A8368+$C$2:$C8368)), "")*24*60, "")</f>
        <v/>
      </c>
      <c r="N8369" s="24" t="str" cm="1">
        <f t="array" ref="N8369">IFERROR(IF($B8369=N$1, ($A8369+$C8369) - MAX(IF($B$2:$B8368=$B8369, $A$2:$A8368+$C$2:$C8368)), "")*24*60, "")</f>
        <v/>
      </c>
      <c r="O8369" s="24" t="str" cm="1">
        <f t="array" ref="O8369">IFERROR(IF($B8369=O$1, ($A8369+$C8369) - MAX(IF($B$2:$B8368=$B8369, $A$2:$A8368+$C$2:$C8368)), "")*24*60, "")</f>
        <v/>
      </c>
      <c r="P8369" s="24" t="str" cm="1">
        <f t="array" ref="P8369">IFERROR(IF($B8369=P$1, ($A8369+$C8369) - MAX(IF($B$2:$B8368=$B8369, $A$2:$A8368+$C$2:$C8368)), "")*24*60, "")</f>
        <v/>
      </c>
      <c r="Q8369" s="24" t="str" cm="1">
        <f t="array" ref="Q8369">IFERROR(IF($B8369=Q$1, ($A8369+$C8369) - MAX(IF($B$2:$B8368=$B8369, $A$2:$A8368+$C$2:$C8368)), "")*24*60, "")</f>
        <v/>
      </c>
      <c r="R8369" s="24" t="str" cm="1">
        <f t="array" ref="R8369">IFERROR(IF($B8369=R$1, ($A8369+$C8369) - MAX(IF($B$2:$B8368=$B8369, $A$2:$A8368+$C$2:$C8368)), "")*24*60, "")</f>
        <v/>
      </c>
      <c r="S8369" s="24" t="str" cm="1">
        <f t="array" ref="S8369">IFERROR(IF($B8369=S$1, ($A8369+$C8369) - MAX(IF($B$2:$B8368=$B8369, $A$2:$A8368+$C$2:$C8368)), "")*24*60, "")</f>
        <v/>
      </c>
    </row>
    <row r="8370" spans="1:19" x14ac:dyDescent="0.2">
      <c r="A8370" s="12">
        <f t="shared" ref="A8370:C8370" si="1469">A8369</f>
        <v>46029</v>
      </c>
      <c r="B8370" s="5" t="str">
        <f t="shared" si="1469"/>
        <v>Northern Cardinal</v>
      </c>
      <c r="C8370" s="6">
        <f t="shared" si="1469"/>
        <v>0.75</v>
      </c>
      <c r="D8370" s="5"/>
      <c r="E8370" s="5"/>
      <c r="F8370" s="5" t="s">
        <v>9</v>
      </c>
      <c r="G8370" s="15" t="s">
        <v>8</v>
      </c>
      <c r="H8370" s="24">
        <f t="shared" si="1412"/>
        <v>0</v>
      </c>
      <c r="I8370" s="24" cm="1">
        <f t="array" ref="I8370">IFERROR(IF($B8370=I$1, ($A8370+$C8370) - MAX(IF($B$2:$B8369=$B8370, $A$2:$A8369+$C$2:$C8369)), "")*24*60, "")</f>
        <v>0</v>
      </c>
      <c r="J8370" s="24" t="str" cm="1">
        <f t="array" ref="J8370">IFERROR(IF($B8370=J$1, ($A8370+$C8370) - MAX(IF($B$2:$B8369=$B8370, $A$2:$A8369+$C$2:$C8369)), "")*24*60, "")</f>
        <v/>
      </c>
      <c r="K8370" s="24" t="str" cm="1">
        <f t="array" ref="K8370">IFERROR(IF($B8370=K$1, ($A8370+$C8370) - MAX(IF($B$2:$B8369=$B8370, $A$2:$A8369+$C$2:$C8369)), "")*24*60, "")</f>
        <v/>
      </c>
      <c r="L8370" s="24" t="str" cm="1">
        <f t="array" ref="L8370">IFERROR(IF($B8370=L$1, ($A8370+$C8370) - MAX(IF($B$2:$B8369=$B8370, $A$2:$A8369+$C$2:$C8369)), "")*24*60, "")</f>
        <v/>
      </c>
      <c r="M8370" s="24" t="str" cm="1">
        <f t="array" ref="M8370">IFERROR(IF($B8370=M$1, ($A8370+$C8370) - MAX(IF($B$2:$B8369=$B8370, $A$2:$A8369+$C$2:$C8369)), "")*24*60, "")</f>
        <v/>
      </c>
      <c r="N8370" s="24" t="str" cm="1">
        <f t="array" ref="N8370">IFERROR(IF($B8370=N$1, ($A8370+$C8370) - MAX(IF($B$2:$B8369=$B8370, $A$2:$A8369+$C$2:$C8369)), "")*24*60, "")</f>
        <v/>
      </c>
      <c r="O8370" s="24" t="str" cm="1">
        <f t="array" ref="O8370">IFERROR(IF($B8370=O$1, ($A8370+$C8370) - MAX(IF($B$2:$B8369=$B8370, $A$2:$A8369+$C$2:$C8369)), "")*24*60, "")</f>
        <v/>
      </c>
      <c r="P8370" s="24" t="str" cm="1">
        <f t="array" ref="P8370">IFERROR(IF($B8370=P$1, ($A8370+$C8370) - MAX(IF($B$2:$B8369=$B8370, $A$2:$A8369+$C$2:$C8369)), "")*24*60, "")</f>
        <v/>
      </c>
      <c r="Q8370" s="24" t="str" cm="1">
        <f t="array" ref="Q8370">IFERROR(IF($B8370=Q$1, ($A8370+$C8370) - MAX(IF($B$2:$B8369=$B8370, $A$2:$A8369+$C$2:$C8369)), "")*24*60, "")</f>
        <v/>
      </c>
      <c r="R8370" s="24" t="str" cm="1">
        <f t="array" ref="R8370">IFERROR(IF($B8370=R$1, ($A8370+$C8370) - MAX(IF($B$2:$B8369=$B8370, $A$2:$A8369+$C$2:$C8369)), "")*24*60, "")</f>
        <v/>
      </c>
      <c r="S8370" s="24" t="str" cm="1">
        <f t="array" ref="S8370">IFERROR(IF($B8370=S$1, ($A8370+$C8370) - MAX(IF($B$2:$B8369=$B8370, $A$2:$A8369+$C$2:$C8369)), "")*24*60, "")</f>
        <v/>
      </c>
    </row>
    <row r="8371" spans="1:19" x14ac:dyDescent="0.2">
      <c r="A8371" s="12">
        <f t="shared" ref="A8371:C8371" si="1470">A8370</f>
        <v>46029</v>
      </c>
      <c r="B8371" s="5" t="str">
        <f t="shared" si="1470"/>
        <v>Northern Cardinal</v>
      </c>
      <c r="C8371" s="6">
        <f t="shared" si="1470"/>
        <v>0.75</v>
      </c>
      <c r="D8371" s="5"/>
      <c r="E8371" s="5"/>
      <c r="F8371" s="5" t="s">
        <v>9</v>
      </c>
      <c r="G8371" s="15" t="s">
        <v>8</v>
      </c>
      <c r="H8371" s="24">
        <f t="shared" si="1412"/>
        <v>0</v>
      </c>
      <c r="I8371" s="24" cm="1">
        <f t="array" ref="I8371">IFERROR(IF($B8371=I$1, ($A8371+$C8371) - MAX(IF($B$2:$B8370=$B8371, $A$2:$A8370+$C$2:$C8370)), "")*24*60, "")</f>
        <v>0</v>
      </c>
      <c r="J8371" s="24" t="str" cm="1">
        <f t="array" ref="J8371">IFERROR(IF($B8371=J$1, ($A8371+$C8371) - MAX(IF($B$2:$B8370=$B8371, $A$2:$A8370+$C$2:$C8370)), "")*24*60, "")</f>
        <v/>
      </c>
      <c r="K8371" s="24" t="str" cm="1">
        <f t="array" ref="K8371">IFERROR(IF($B8371=K$1, ($A8371+$C8371) - MAX(IF($B$2:$B8370=$B8371, $A$2:$A8370+$C$2:$C8370)), "")*24*60, "")</f>
        <v/>
      </c>
      <c r="L8371" s="24" t="str" cm="1">
        <f t="array" ref="L8371">IFERROR(IF($B8371=L$1, ($A8371+$C8371) - MAX(IF($B$2:$B8370=$B8371, $A$2:$A8370+$C$2:$C8370)), "")*24*60, "")</f>
        <v/>
      </c>
      <c r="M8371" s="24" t="str" cm="1">
        <f t="array" ref="M8371">IFERROR(IF($B8371=M$1, ($A8371+$C8371) - MAX(IF($B$2:$B8370=$B8371, $A$2:$A8370+$C$2:$C8370)), "")*24*60, "")</f>
        <v/>
      </c>
      <c r="N8371" s="24" t="str" cm="1">
        <f t="array" ref="N8371">IFERROR(IF($B8371=N$1, ($A8371+$C8371) - MAX(IF($B$2:$B8370=$B8371, $A$2:$A8370+$C$2:$C8370)), "")*24*60, "")</f>
        <v/>
      </c>
      <c r="O8371" s="24" t="str" cm="1">
        <f t="array" ref="O8371">IFERROR(IF($B8371=O$1, ($A8371+$C8371) - MAX(IF($B$2:$B8370=$B8371, $A$2:$A8370+$C$2:$C8370)), "")*24*60, "")</f>
        <v/>
      </c>
      <c r="P8371" s="24" t="str" cm="1">
        <f t="array" ref="P8371">IFERROR(IF($B8371=P$1, ($A8371+$C8371) - MAX(IF($B$2:$B8370=$B8371, $A$2:$A8370+$C$2:$C8370)), "")*24*60, "")</f>
        <v/>
      </c>
      <c r="Q8371" s="24" t="str" cm="1">
        <f t="array" ref="Q8371">IFERROR(IF($B8371=Q$1, ($A8371+$C8371) - MAX(IF($B$2:$B8370=$B8371, $A$2:$A8370+$C$2:$C8370)), "")*24*60, "")</f>
        <v/>
      </c>
      <c r="R8371" s="24" t="str" cm="1">
        <f t="array" ref="R8371">IFERROR(IF($B8371=R$1, ($A8371+$C8371) - MAX(IF($B$2:$B8370=$B8371, $A$2:$A8370+$C$2:$C8370)), "")*24*60, "")</f>
        <v/>
      </c>
      <c r="S8371" s="24" t="str" cm="1">
        <f t="array" ref="S8371">IFERROR(IF($B8371=S$1, ($A8371+$C8371) - MAX(IF($B$2:$B8370=$B8371, $A$2:$A8370+$C$2:$C8370)), "")*24*60, "")</f>
        <v/>
      </c>
    </row>
    <row r="8372" spans="1:19" x14ac:dyDescent="0.2">
      <c r="A8372" s="12">
        <f t="shared" ref="A8372:C8372" si="1471">A8371</f>
        <v>46029</v>
      </c>
      <c r="B8372" s="5" t="str">
        <f t="shared" si="1471"/>
        <v>Northern Cardinal</v>
      </c>
      <c r="C8372" s="6">
        <f t="shared" si="1471"/>
        <v>0.75</v>
      </c>
      <c r="D8372" s="5"/>
      <c r="E8372" s="5"/>
      <c r="F8372" s="5" t="s">
        <v>9</v>
      </c>
      <c r="G8372" s="15" t="s">
        <v>8</v>
      </c>
      <c r="H8372" s="24">
        <f t="shared" si="1412"/>
        <v>0</v>
      </c>
      <c r="I8372" s="24" cm="1">
        <f t="array" ref="I8372">IFERROR(IF($B8372=I$1, ($A8372+$C8372) - MAX(IF($B$2:$B8371=$B8372, $A$2:$A8371+$C$2:$C8371)), "")*24*60, "")</f>
        <v>0</v>
      </c>
      <c r="J8372" s="24" t="str" cm="1">
        <f t="array" ref="J8372">IFERROR(IF($B8372=J$1, ($A8372+$C8372) - MAX(IF($B$2:$B8371=$B8372, $A$2:$A8371+$C$2:$C8371)), "")*24*60, "")</f>
        <v/>
      </c>
      <c r="K8372" s="24" t="str" cm="1">
        <f t="array" ref="K8372">IFERROR(IF($B8372=K$1, ($A8372+$C8372) - MAX(IF($B$2:$B8371=$B8372, $A$2:$A8371+$C$2:$C8371)), "")*24*60, "")</f>
        <v/>
      </c>
      <c r="L8372" s="24" t="str" cm="1">
        <f t="array" ref="L8372">IFERROR(IF($B8372=L$1, ($A8372+$C8372) - MAX(IF($B$2:$B8371=$B8372, $A$2:$A8371+$C$2:$C8371)), "")*24*60, "")</f>
        <v/>
      </c>
      <c r="M8372" s="24" t="str" cm="1">
        <f t="array" ref="M8372">IFERROR(IF($B8372=M$1, ($A8372+$C8372) - MAX(IF($B$2:$B8371=$B8372, $A$2:$A8371+$C$2:$C8371)), "")*24*60, "")</f>
        <v/>
      </c>
      <c r="N8372" s="24" t="str" cm="1">
        <f t="array" ref="N8372">IFERROR(IF($B8372=N$1, ($A8372+$C8372) - MAX(IF($B$2:$B8371=$B8372, $A$2:$A8371+$C$2:$C8371)), "")*24*60, "")</f>
        <v/>
      </c>
      <c r="O8372" s="24" t="str" cm="1">
        <f t="array" ref="O8372">IFERROR(IF($B8372=O$1, ($A8372+$C8372) - MAX(IF($B$2:$B8371=$B8372, $A$2:$A8371+$C$2:$C8371)), "")*24*60, "")</f>
        <v/>
      </c>
      <c r="P8372" s="24" t="str" cm="1">
        <f t="array" ref="P8372">IFERROR(IF($B8372=P$1, ($A8372+$C8372) - MAX(IF($B$2:$B8371=$B8372, $A$2:$A8371+$C$2:$C8371)), "")*24*60, "")</f>
        <v/>
      </c>
      <c r="Q8372" s="24" t="str" cm="1">
        <f t="array" ref="Q8372">IFERROR(IF($B8372=Q$1, ($A8372+$C8372) - MAX(IF($B$2:$B8371=$B8372, $A$2:$A8371+$C$2:$C8371)), "")*24*60, "")</f>
        <v/>
      </c>
      <c r="R8372" s="24" t="str" cm="1">
        <f t="array" ref="R8372">IFERROR(IF($B8372=R$1, ($A8372+$C8372) - MAX(IF($B$2:$B8371=$B8372, $A$2:$A8371+$C$2:$C8371)), "")*24*60, "")</f>
        <v/>
      </c>
      <c r="S8372" s="24" t="str" cm="1">
        <f t="array" ref="S8372">IFERROR(IF($B8372=S$1, ($A8372+$C8372) - MAX(IF($B$2:$B8371=$B8372, $A$2:$A8371+$C$2:$C8371)), "")*24*60, "")</f>
        <v/>
      </c>
    </row>
    <row r="8373" spans="1:19" x14ac:dyDescent="0.2">
      <c r="A8373" s="12">
        <f t="shared" ref="A8373:C8373" si="1472">A8372</f>
        <v>46029</v>
      </c>
      <c r="B8373" s="5" t="str">
        <f t="shared" si="1472"/>
        <v>Northern Cardinal</v>
      </c>
      <c r="C8373" s="6">
        <f t="shared" si="1472"/>
        <v>0.75</v>
      </c>
      <c r="D8373" s="5"/>
      <c r="E8373" s="5"/>
      <c r="F8373" s="5" t="s">
        <v>9</v>
      </c>
      <c r="G8373" s="15" t="s">
        <v>8</v>
      </c>
      <c r="H8373" s="24">
        <f t="shared" si="1412"/>
        <v>0</v>
      </c>
      <c r="I8373" s="24" cm="1">
        <f t="array" ref="I8373">IFERROR(IF($B8373=I$1, ($A8373+$C8373) - MAX(IF($B$2:$B8372=$B8373, $A$2:$A8372+$C$2:$C8372)), "")*24*60, "")</f>
        <v>0</v>
      </c>
      <c r="J8373" s="24" t="str" cm="1">
        <f t="array" ref="J8373">IFERROR(IF($B8373=J$1, ($A8373+$C8373) - MAX(IF($B$2:$B8372=$B8373, $A$2:$A8372+$C$2:$C8372)), "")*24*60, "")</f>
        <v/>
      </c>
      <c r="K8373" s="24" t="str" cm="1">
        <f t="array" ref="K8373">IFERROR(IF($B8373=K$1, ($A8373+$C8373) - MAX(IF($B$2:$B8372=$B8373, $A$2:$A8372+$C$2:$C8372)), "")*24*60, "")</f>
        <v/>
      </c>
      <c r="L8373" s="24" t="str" cm="1">
        <f t="array" ref="L8373">IFERROR(IF($B8373=L$1, ($A8373+$C8373) - MAX(IF($B$2:$B8372=$B8373, $A$2:$A8372+$C$2:$C8372)), "")*24*60, "")</f>
        <v/>
      </c>
      <c r="M8373" s="24" t="str" cm="1">
        <f t="array" ref="M8373">IFERROR(IF($B8373=M$1, ($A8373+$C8373) - MAX(IF($B$2:$B8372=$B8373, $A$2:$A8372+$C$2:$C8372)), "")*24*60, "")</f>
        <v/>
      </c>
      <c r="N8373" s="24" t="str" cm="1">
        <f t="array" ref="N8373">IFERROR(IF($B8373=N$1, ($A8373+$C8373) - MAX(IF($B$2:$B8372=$B8373, $A$2:$A8372+$C$2:$C8372)), "")*24*60, "")</f>
        <v/>
      </c>
      <c r="O8373" s="24" t="str" cm="1">
        <f t="array" ref="O8373">IFERROR(IF($B8373=O$1, ($A8373+$C8373) - MAX(IF($B$2:$B8372=$B8373, $A$2:$A8372+$C$2:$C8372)), "")*24*60, "")</f>
        <v/>
      </c>
      <c r="P8373" s="24" t="str" cm="1">
        <f t="array" ref="P8373">IFERROR(IF($B8373=P$1, ($A8373+$C8373) - MAX(IF($B$2:$B8372=$B8373, $A$2:$A8372+$C$2:$C8372)), "")*24*60, "")</f>
        <v/>
      </c>
      <c r="Q8373" s="24" t="str" cm="1">
        <f t="array" ref="Q8373">IFERROR(IF($B8373=Q$1, ($A8373+$C8373) - MAX(IF($B$2:$B8372=$B8373, $A$2:$A8372+$C$2:$C8372)), "")*24*60, "")</f>
        <v/>
      </c>
      <c r="R8373" s="24" t="str" cm="1">
        <f t="array" ref="R8373">IFERROR(IF($B8373=R$1, ($A8373+$C8373) - MAX(IF($B$2:$B8372=$B8373, $A$2:$A8372+$C$2:$C8372)), "")*24*60, "")</f>
        <v/>
      </c>
      <c r="S8373" s="24" t="str" cm="1">
        <f t="array" ref="S8373">IFERROR(IF($B8373=S$1, ($A8373+$C8373) - MAX(IF($B$2:$B8372=$B8373, $A$2:$A8372+$C$2:$C8372)), "")*24*60, "")</f>
        <v/>
      </c>
    </row>
    <row r="8374" spans="1:19" x14ac:dyDescent="0.2">
      <c r="A8374" s="12">
        <f t="shared" ref="A8374:C8374" si="1473">A8373</f>
        <v>46029</v>
      </c>
      <c r="B8374" s="5" t="str">
        <f t="shared" si="1473"/>
        <v>Northern Cardinal</v>
      </c>
      <c r="C8374" s="6">
        <f t="shared" si="1473"/>
        <v>0.75</v>
      </c>
      <c r="D8374" s="5"/>
      <c r="E8374" s="5"/>
      <c r="F8374" s="5" t="s">
        <v>9</v>
      </c>
      <c r="G8374" s="15" t="s">
        <v>8</v>
      </c>
      <c r="H8374" s="24">
        <f t="shared" si="1412"/>
        <v>0</v>
      </c>
      <c r="I8374" s="24" cm="1">
        <f t="array" ref="I8374">IFERROR(IF($B8374=I$1, ($A8374+$C8374) - MAX(IF($B$2:$B8373=$B8374, $A$2:$A8373+$C$2:$C8373)), "")*24*60, "")</f>
        <v>0</v>
      </c>
      <c r="J8374" s="24" t="str" cm="1">
        <f t="array" ref="J8374">IFERROR(IF($B8374=J$1, ($A8374+$C8374) - MAX(IF($B$2:$B8373=$B8374, $A$2:$A8373+$C$2:$C8373)), "")*24*60, "")</f>
        <v/>
      </c>
      <c r="K8374" s="24" t="str" cm="1">
        <f t="array" ref="K8374">IFERROR(IF($B8374=K$1, ($A8374+$C8374) - MAX(IF($B$2:$B8373=$B8374, $A$2:$A8373+$C$2:$C8373)), "")*24*60, "")</f>
        <v/>
      </c>
      <c r="L8374" s="24" t="str" cm="1">
        <f t="array" ref="L8374">IFERROR(IF($B8374=L$1, ($A8374+$C8374) - MAX(IF($B$2:$B8373=$B8374, $A$2:$A8373+$C$2:$C8373)), "")*24*60, "")</f>
        <v/>
      </c>
      <c r="M8374" s="24" t="str" cm="1">
        <f t="array" ref="M8374">IFERROR(IF($B8374=M$1, ($A8374+$C8374) - MAX(IF($B$2:$B8373=$B8374, $A$2:$A8373+$C$2:$C8373)), "")*24*60, "")</f>
        <v/>
      </c>
      <c r="N8374" s="24" t="str" cm="1">
        <f t="array" ref="N8374">IFERROR(IF($B8374=N$1, ($A8374+$C8374) - MAX(IF($B$2:$B8373=$B8374, $A$2:$A8373+$C$2:$C8373)), "")*24*60, "")</f>
        <v/>
      </c>
      <c r="O8374" s="24" t="str" cm="1">
        <f t="array" ref="O8374">IFERROR(IF($B8374=O$1, ($A8374+$C8374) - MAX(IF($B$2:$B8373=$B8374, $A$2:$A8373+$C$2:$C8373)), "")*24*60, "")</f>
        <v/>
      </c>
      <c r="P8374" s="24" t="str" cm="1">
        <f t="array" ref="P8374">IFERROR(IF($B8374=P$1, ($A8374+$C8374) - MAX(IF($B$2:$B8373=$B8374, $A$2:$A8373+$C$2:$C8373)), "")*24*60, "")</f>
        <v/>
      </c>
      <c r="Q8374" s="24" t="str" cm="1">
        <f t="array" ref="Q8374">IFERROR(IF($B8374=Q$1, ($A8374+$C8374) - MAX(IF($B$2:$B8373=$B8374, $A$2:$A8373+$C$2:$C8373)), "")*24*60, "")</f>
        <v/>
      </c>
      <c r="R8374" s="24" t="str" cm="1">
        <f t="array" ref="R8374">IFERROR(IF($B8374=R$1, ($A8374+$C8374) - MAX(IF($B$2:$B8373=$B8374, $A$2:$A8373+$C$2:$C8373)), "")*24*60, "")</f>
        <v/>
      </c>
      <c r="S8374" s="24" t="str" cm="1">
        <f t="array" ref="S8374">IFERROR(IF($B8374=S$1, ($A8374+$C8374) - MAX(IF($B$2:$B8373=$B8374, $A$2:$A8373+$C$2:$C8373)), "")*24*60, "")</f>
        <v/>
      </c>
    </row>
    <row r="8375" spans="1:19" x14ac:dyDescent="0.2">
      <c r="A8375" s="12">
        <f t="shared" ref="A8375:C8375" si="1474">A8374</f>
        <v>46029</v>
      </c>
      <c r="B8375" s="5" t="str">
        <f t="shared" si="1474"/>
        <v>Northern Cardinal</v>
      </c>
      <c r="C8375" s="6">
        <f t="shared" si="1474"/>
        <v>0.75</v>
      </c>
      <c r="D8375" s="5"/>
      <c r="E8375" s="5"/>
      <c r="F8375" s="5" t="s">
        <v>9</v>
      </c>
      <c r="G8375" s="15" t="s">
        <v>8</v>
      </c>
      <c r="H8375" s="24">
        <f t="shared" si="1412"/>
        <v>0</v>
      </c>
      <c r="I8375" s="24" cm="1">
        <f t="array" ref="I8375">IFERROR(IF($B8375=I$1, ($A8375+$C8375) - MAX(IF($B$2:$B8374=$B8375, $A$2:$A8374+$C$2:$C8374)), "")*24*60, "")</f>
        <v>0</v>
      </c>
      <c r="J8375" s="24" t="str" cm="1">
        <f t="array" ref="J8375">IFERROR(IF($B8375=J$1, ($A8375+$C8375) - MAX(IF($B$2:$B8374=$B8375, $A$2:$A8374+$C$2:$C8374)), "")*24*60, "")</f>
        <v/>
      </c>
      <c r="K8375" s="24" t="str" cm="1">
        <f t="array" ref="K8375">IFERROR(IF($B8375=K$1, ($A8375+$C8375) - MAX(IF($B$2:$B8374=$B8375, $A$2:$A8374+$C$2:$C8374)), "")*24*60, "")</f>
        <v/>
      </c>
      <c r="L8375" s="24" t="str" cm="1">
        <f t="array" ref="L8375">IFERROR(IF($B8375=L$1, ($A8375+$C8375) - MAX(IF($B$2:$B8374=$B8375, $A$2:$A8374+$C$2:$C8374)), "")*24*60, "")</f>
        <v/>
      </c>
      <c r="M8375" s="24" t="str" cm="1">
        <f t="array" ref="M8375">IFERROR(IF($B8375=M$1, ($A8375+$C8375) - MAX(IF($B$2:$B8374=$B8375, $A$2:$A8374+$C$2:$C8374)), "")*24*60, "")</f>
        <v/>
      </c>
      <c r="N8375" s="24" t="str" cm="1">
        <f t="array" ref="N8375">IFERROR(IF($B8375=N$1, ($A8375+$C8375) - MAX(IF($B$2:$B8374=$B8375, $A$2:$A8374+$C$2:$C8374)), "")*24*60, "")</f>
        <v/>
      </c>
      <c r="O8375" s="24" t="str" cm="1">
        <f t="array" ref="O8375">IFERROR(IF($B8375=O$1, ($A8375+$C8375) - MAX(IF($B$2:$B8374=$B8375, $A$2:$A8374+$C$2:$C8374)), "")*24*60, "")</f>
        <v/>
      </c>
      <c r="P8375" s="24" t="str" cm="1">
        <f t="array" ref="P8375">IFERROR(IF($B8375=P$1, ($A8375+$C8375) - MAX(IF($B$2:$B8374=$B8375, $A$2:$A8374+$C$2:$C8374)), "")*24*60, "")</f>
        <v/>
      </c>
      <c r="Q8375" s="24" t="str" cm="1">
        <f t="array" ref="Q8375">IFERROR(IF($B8375=Q$1, ($A8375+$C8375) - MAX(IF($B$2:$B8374=$B8375, $A$2:$A8374+$C$2:$C8374)), "")*24*60, "")</f>
        <v/>
      </c>
      <c r="R8375" s="24" t="str" cm="1">
        <f t="array" ref="R8375">IFERROR(IF($B8375=R$1, ($A8375+$C8375) - MAX(IF($B$2:$B8374=$B8375, $A$2:$A8374+$C$2:$C8374)), "")*24*60, "")</f>
        <v/>
      </c>
      <c r="S8375" s="24" t="str" cm="1">
        <f t="array" ref="S8375">IFERROR(IF($B8375=S$1, ($A8375+$C8375) - MAX(IF($B$2:$B8374=$B8375, $A$2:$A8374+$C$2:$C8374)), "")*24*60, "")</f>
        <v/>
      </c>
    </row>
    <row r="8376" spans="1:19" x14ac:dyDescent="0.2">
      <c r="A8376" s="12">
        <f t="shared" ref="A8376:C8376" si="1475">A8375</f>
        <v>46029</v>
      </c>
      <c r="B8376" s="5" t="str">
        <f t="shared" si="1475"/>
        <v>Northern Cardinal</v>
      </c>
      <c r="C8376" s="6">
        <f t="shared" si="1475"/>
        <v>0.75</v>
      </c>
      <c r="D8376" s="5"/>
      <c r="E8376" s="5"/>
      <c r="F8376" s="5" t="s">
        <v>9</v>
      </c>
      <c r="G8376" s="15" t="s">
        <v>8</v>
      </c>
      <c r="H8376" s="24">
        <f t="shared" si="1412"/>
        <v>0</v>
      </c>
      <c r="I8376" s="24" cm="1">
        <f t="array" ref="I8376">IFERROR(IF($B8376=I$1, ($A8376+$C8376) - MAX(IF($B$2:$B8375=$B8376, $A$2:$A8375+$C$2:$C8375)), "")*24*60, "")</f>
        <v>0</v>
      </c>
      <c r="J8376" s="24" t="str" cm="1">
        <f t="array" ref="J8376">IFERROR(IF($B8376=J$1, ($A8376+$C8376) - MAX(IF($B$2:$B8375=$B8376, $A$2:$A8375+$C$2:$C8375)), "")*24*60, "")</f>
        <v/>
      </c>
      <c r="K8376" s="24" t="str" cm="1">
        <f t="array" ref="K8376">IFERROR(IF($B8376=K$1, ($A8376+$C8376) - MAX(IF($B$2:$B8375=$B8376, $A$2:$A8375+$C$2:$C8375)), "")*24*60, "")</f>
        <v/>
      </c>
      <c r="L8376" s="24" t="str" cm="1">
        <f t="array" ref="L8376">IFERROR(IF($B8376=L$1, ($A8376+$C8376) - MAX(IF($B$2:$B8375=$B8376, $A$2:$A8375+$C$2:$C8375)), "")*24*60, "")</f>
        <v/>
      </c>
      <c r="M8376" s="24" t="str" cm="1">
        <f t="array" ref="M8376">IFERROR(IF($B8376=M$1, ($A8376+$C8376) - MAX(IF($B$2:$B8375=$B8376, $A$2:$A8375+$C$2:$C8375)), "")*24*60, "")</f>
        <v/>
      </c>
      <c r="N8376" s="24" t="str" cm="1">
        <f t="array" ref="N8376">IFERROR(IF($B8376=N$1, ($A8376+$C8376) - MAX(IF($B$2:$B8375=$B8376, $A$2:$A8375+$C$2:$C8375)), "")*24*60, "")</f>
        <v/>
      </c>
      <c r="O8376" s="24" t="str" cm="1">
        <f t="array" ref="O8376">IFERROR(IF($B8376=O$1, ($A8376+$C8376) - MAX(IF($B$2:$B8375=$B8376, $A$2:$A8375+$C$2:$C8375)), "")*24*60, "")</f>
        <v/>
      </c>
      <c r="P8376" s="24" t="str" cm="1">
        <f t="array" ref="P8376">IFERROR(IF($B8376=P$1, ($A8376+$C8376) - MAX(IF($B$2:$B8375=$B8376, $A$2:$A8375+$C$2:$C8375)), "")*24*60, "")</f>
        <v/>
      </c>
      <c r="Q8376" s="24" t="str" cm="1">
        <f t="array" ref="Q8376">IFERROR(IF($B8376=Q$1, ($A8376+$C8376) - MAX(IF($B$2:$B8375=$B8376, $A$2:$A8375+$C$2:$C8375)), "")*24*60, "")</f>
        <v/>
      </c>
      <c r="R8376" s="24" t="str" cm="1">
        <f t="array" ref="R8376">IFERROR(IF($B8376=R$1, ($A8376+$C8376) - MAX(IF($B$2:$B8375=$B8376, $A$2:$A8375+$C$2:$C8375)), "")*24*60, "")</f>
        <v/>
      </c>
      <c r="S8376" s="24" t="str" cm="1">
        <f t="array" ref="S8376">IFERROR(IF($B8376=S$1, ($A8376+$C8376) - MAX(IF($B$2:$B8375=$B8376, $A$2:$A8375+$C$2:$C8375)), "")*24*60, "")</f>
        <v/>
      </c>
    </row>
    <row r="8377" spans="1:19" x14ac:dyDescent="0.2">
      <c r="A8377" s="12">
        <f t="shared" ref="A8377:C8377" si="1476">A8376</f>
        <v>46029</v>
      </c>
      <c r="B8377" s="5" t="str">
        <f t="shared" si="1476"/>
        <v>Northern Cardinal</v>
      </c>
      <c r="C8377" s="6">
        <f t="shared" si="1476"/>
        <v>0.75</v>
      </c>
      <c r="D8377" s="5"/>
      <c r="E8377" s="5"/>
      <c r="F8377" s="5" t="s">
        <v>9</v>
      </c>
      <c r="G8377" s="15" t="s">
        <v>8</v>
      </c>
      <c r="H8377" s="24">
        <f t="shared" si="1412"/>
        <v>0</v>
      </c>
      <c r="I8377" s="24" cm="1">
        <f t="array" ref="I8377">IFERROR(IF($B8377=I$1, ($A8377+$C8377) - MAX(IF($B$2:$B8376=$B8377, $A$2:$A8376+$C$2:$C8376)), "")*24*60, "")</f>
        <v>0</v>
      </c>
      <c r="J8377" s="24" t="str" cm="1">
        <f t="array" ref="J8377">IFERROR(IF($B8377=J$1, ($A8377+$C8377) - MAX(IF($B$2:$B8376=$B8377, $A$2:$A8376+$C$2:$C8376)), "")*24*60, "")</f>
        <v/>
      </c>
      <c r="K8377" s="24" t="str" cm="1">
        <f t="array" ref="K8377">IFERROR(IF($B8377=K$1, ($A8377+$C8377) - MAX(IF($B$2:$B8376=$B8377, $A$2:$A8376+$C$2:$C8376)), "")*24*60, "")</f>
        <v/>
      </c>
      <c r="L8377" s="24" t="str" cm="1">
        <f t="array" ref="L8377">IFERROR(IF($B8377=L$1, ($A8377+$C8377) - MAX(IF($B$2:$B8376=$B8377, $A$2:$A8376+$C$2:$C8376)), "")*24*60, "")</f>
        <v/>
      </c>
      <c r="M8377" s="24" t="str" cm="1">
        <f t="array" ref="M8377">IFERROR(IF($B8377=M$1, ($A8377+$C8377) - MAX(IF($B$2:$B8376=$B8377, $A$2:$A8376+$C$2:$C8376)), "")*24*60, "")</f>
        <v/>
      </c>
      <c r="N8377" s="24" t="str" cm="1">
        <f t="array" ref="N8377">IFERROR(IF($B8377=N$1, ($A8377+$C8377) - MAX(IF($B$2:$B8376=$B8377, $A$2:$A8376+$C$2:$C8376)), "")*24*60, "")</f>
        <v/>
      </c>
      <c r="O8377" s="24" t="str" cm="1">
        <f t="array" ref="O8377">IFERROR(IF($B8377=O$1, ($A8377+$C8377) - MAX(IF($B$2:$B8376=$B8377, $A$2:$A8376+$C$2:$C8376)), "")*24*60, "")</f>
        <v/>
      </c>
      <c r="P8377" s="24" t="str" cm="1">
        <f t="array" ref="P8377">IFERROR(IF($B8377=P$1, ($A8377+$C8377) - MAX(IF($B$2:$B8376=$B8377, $A$2:$A8376+$C$2:$C8376)), "")*24*60, "")</f>
        <v/>
      </c>
      <c r="Q8377" s="24" t="str" cm="1">
        <f t="array" ref="Q8377">IFERROR(IF($B8377=Q$1, ($A8377+$C8377) - MAX(IF($B$2:$B8376=$B8377, $A$2:$A8376+$C$2:$C8376)), "")*24*60, "")</f>
        <v/>
      </c>
      <c r="R8377" s="24" t="str" cm="1">
        <f t="array" ref="R8377">IFERROR(IF($B8377=R$1, ($A8377+$C8377) - MAX(IF($B$2:$B8376=$B8377, $A$2:$A8376+$C$2:$C8376)), "")*24*60, "")</f>
        <v/>
      </c>
      <c r="S8377" s="24" t="str" cm="1">
        <f t="array" ref="S8377">IFERROR(IF($B8377=S$1, ($A8377+$C8377) - MAX(IF($B$2:$B8376=$B8377, $A$2:$A8376+$C$2:$C8376)), "")*24*60, "")</f>
        <v/>
      </c>
    </row>
    <row r="8378" spans="1:19" x14ac:dyDescent="0.2">
      <c r="A8378" s="12">
        <f t="shared" ref="A8378:C8378" si="1477">A8377</f>
        <v>46029</v>
      </c>
      <c r="B8378" s="5" t="str">
        <f t="shared" si="1477"/>
        <v>Northern Cardinal</v>
      </c>
      <c r="C8378" s="6">
        <f t="shared" si="1477"/>
        <v>0.75</v>
      </c>
      <c r="D8378" s="5"/>
      <c r="E8378" s="5"/>
      <c r="F8378" s="5" t="s">
        <v>9</v>
      </c>
      <c r="G8378" s="15" t="s">
        <v>8</v>
      </c>
      <c r="H8378" s="24">
        <f t="shared" si="1412"/>
        <v>0</v>
      </c>
      <c r="I8378" s="24" cm="1">
        <f t="array" ref="I8378">IFERROR(IF($B8378=I$1, ($A8378+$C8378) - MAX(IF($B$2:$B8377=$B8378, $A$2:$A8377+$C$2:$C8377)), "")*24*60, "")</f>
        <v>0</v>
      </c>
      <c r="J8378" s="24" t="str" cm="1">
        <f t="array" ref="J8378">IFERROR(IF($B8378=J$1, ($A8378+$C8378) - MAX(IF($B$2:$B8377=$B8378, $A$2:$A8377+$C$2:$C8377)), "")*24*60, "")</f>
        <v/>
      </c>
      <c r="K8378" s="24" t="str" cm="1">
        <f t="array" ref="K8378">IFERROR(IF($B8378=K$1, ($A8378+$C8378) - MAX(IF($B$2:$B8377=$B8378, $A$2:$A8377+$C$2:$C8377)), "")*24*60, "")</f>
        <v/>
      </c>
      <c r="L8378" s="24" t="str" cm="1">
        <f t="array" ref="L8378">IFERROR(IF($B8378=L$1, ($A8378+$C8378) - MAX(IF($B$2:$B8377=$B8378, $A$2:$A8377+$C$2:$C8377)), "")*24*60, "")</f>
        <v/>
      </c>
      <c r="M8378" s="24" t="str" cm="1">
        <f t="array" ref="M8378">IFERROR(IF($B8378=M$1, ($A8378+$C8378) - MAX(IF($B$2:$B8377=$B8378, $A$2:$A8377+$C$2:$C8377)), "")*24*60, "")</f>
        <v/>
      </c>
      <c r="N8378" s="24" t="str" cm="1">
        <f t="array" ref="N8378">IFERROR(IF($B8378=N$1, ($A8378+$C8378) - MAX(IF($B$2:$B8377=$B8378, $A$2:$A8377+$C$2:$C8377)), "")*24*60, "")</f>
        <v/>
      </c>
      <c r="O8378" s="24" t="str" cm="1">
        <f t="array" ref="O8378">IFERROR(IF($B8378=O$1, ($A8378+$C8378) - MAX(IF($B$2:$B8377=$B8378, $A$2:$A8377+$C$2:$C8377)), "")*24*60, "")</f>
        <v/>
      </c>
      <c r="P8378" s="24" t="str" cm="1">
        <f t="array" ref="P8378">IFERROR(IF($B8378=P$1, ($A8378+$C8378) - MAX(IF($B$2:$B8377=$B8378, $A$2:$A8377+$C$2:$C8377)), "")*24*60, "")</f>
        <v/>
      </c>
      <c r="Q8378" s="24" t="str" cm="1">
        <f t="array" ref="Q8378">IFERROR(IF($B8378=Q$1, ($A8378+$C8378) - MAX(IF($B$2:$B8377=$B8378, $A$2:$A8377+$C$2:$C8377)), "")*24*60, "")</f>
        <v/>
      </c>
      <c r="R8378" s="24" t="str" cm="1">
        <f t="array" ref="R8378">IFERROR(IF($B8378=R$1, ($A8378+$C8378) - MAX(IF($B$2:$B8377=$B8378, $A$2:$A8377+$C$2:$C8377)), "")*24*60, "")</f>
        <v/>
      </c>
      <c r="S8378" s="24" t="str" cm="1">
        <f t="array" ref="S8378">IFERROR(IF($B8378=S$1, ($A8378+$C8378) - MAX(IF($B$2:$B8377=$B8378, $A$2:$A8377+$C$2:$C8377)), "")*24*60, "")</f>
        <v/>
      </c>
    </row>
    <row r="8379" spans="1:19" x14ac:dyDescent="0.2">
      <c r="A8379" s="12">
        <f t="shared" ref="A8379:C8379" si="1478">A8378</f>
        <v>46029</v>
      </c>
      <c r="B8379" s="5" t="str">
        <f t="shared" si="1478"/>
        <v>Northern Cardinal</v>
      </c>
      <c r="C8379" s="6">
        <f t="shared" si="1478"/>
        <v>0.75</v>
      </c>
      <c r="D8379" s="5"/>
      <c r="E8379" s="5"/>
      <c r="F8379" s="5" t="s">
        <v>9</v>
      </c>
      <c r="G8379" s="15" t="s">
        <v>8</v>
      </c>
      <c r="H8379" s="24">
        <f t="shared" si="1412"/>
        <v>0</v>
      </c>
      <c r="I8379" s="24" cm="1">
        <f t="array" ref="I8379">IFERROR(IF($B8379=I$1, ($A8379+$C8379) - MAX(IF($B$2:$B8378=$B8379, $A$2:$A8378+$C$2:$C8378)), "")*24*60, "")</f>
        <v>0</v>
      </c>
      <c r="J8379" s="24" t="str" cm="1">
        <f t="array" ref="J8379">IFERROR(IF($B8379=J$1, ($A8379+$C8379) - MAX(IF($B$2:$B8378=$B8379, $A$2:$A8378+$C$2:$C8378)), "")*24*60, "")</f>
        <v/>
      </c>
      <c r="K8379" s="24" t="str" cm="1">
        <f t="array" ref="K8379">IFERROR(IF($B8379=K$1, ($A8379+$C8379) - MAX(IF($B$2:$B8378=$B8379, $A$2:$A8378+$C$2:$C8378)), "")*24*60, "")</f>
        <v/>
      </c>
      <c r="L8379" s="24" t="str" cm="1">
        <f t="array" ref="L8379">IFERROR(IF($B8379=L$1, ($A8379+$C8379) - MAX(IF($B$2:$B8378=$B8379, $A$2:$A8378+$C$2:$C8378)), "")*24*60, "")</f>
        <v/>
      </c>
      <c r="M8379" s="24" t="str" cm="1">
        <f t="array" ref="M8379">IFERROR(IF($B8379=M$1, ($A8379+$C8379) - MAX(IF($B$2:$B8378=$B8379, $A$2:$A8378+$C$2:$C8378)), "")*24*60, "")</f>
        <v/>
      </c>
      <c r="N8379" s="24" t="str" cm="1">
        <f t="array" ref="N8379">IFERROR(IF($B8379=N$1, ($A8379+$C8379) - MAX(IF($B$2:$B8378=$B8379, $A$2:$A8378+$C$2:$C8378)), "")*24*60, "")</f>
        <v/>
      </c>
      <c r="O8379" s="24" t="str" cm="1">
        <f t="array" ref="O8379">IFERROR(IF($B8379=O$1, ($A8379+$C8379) - MAX(IF($B$2:$B8378=$B8379, $A$2:$A8378+$C$2:$C8378)), "")*24*60, "")</f>
        <v/>
      </c>
      <c r="P8379" s="24" t="str" cm="1">
        <f t="array" ref="P8379">IFERROR(IF($B8379=P$1, ($A8379+$C8379) - MAX(IF($B$2:$B8378=$B8379, $A$2:$A8378+$C$2:$C8378)), "")*24*60, "")</f>
        <v/>
      </c>
      <c r="Q8379" s="24" t="str" cm="1">
        <f t="array" ref="Q8379">IFERROR(IF($B8379=Q$1, ($A8379+$C8379) - MAX(IF($B$2:$B8378=$B8379, $A$2:$A8378+$C$2:$C8378)), "")*24*60, "")</f>
        <v/>
      </c>
      <c r="R8379" s="24" t="str" cm="1">
        <f t="array" ref="R8379">IFERROR(IF($B8379=R$1, ($A8379+$C8379) - MAX(IF($B$2:$B8378=$B8379, $A$2:$A8378+$C$2:$C8378)), "")*24*60, "")</f>
        <v/>
      </c>
      <c r="S8379" s="24" t="str" cm="1">
        <f t="array" ref="S8379">IFERROR(IF($B8379=S$1, ($A8379+$C8379) - MAX(IF($B$2:$B8378=$B8379, $A$2:$A8378+$C$2:$C8378)), "")*24*60, "")</f>
        <v/>
      </c>
    </row>
    <row r="8380" spans="1:19" x14ac:dyDescent="0.2">
      <c r="A8380" s="12">
        <f t="shared" ref="A8380:C8380" si="1479">A8379</f>
        <v>46029</v>
      </c>
      <c r="B8380" s="5" t="str">
        <f t="shared" si="1479"/>
        <v>Northern Cardinal</v>
      </c>
      <c r="C8380" s="6">
        <f t="shared" si="1479"/>
        <v>0.75</v>
      </c>
      <c r="D8380" s="5"/>
      <c r="E8380" s="5"/>
      <c r="F8380" s="5" t="s">
        <v>9</v>
      </c>
      <c r="G8380" s="15" t="s">
        <v>8</v>
      </c>
      <c r="H8380" s="24">
        <f t="shared" si="1412"/>
        <v>0</v>
      </c>
      <c r="I8380" s="24" cm="1">
        <f t="array" ref="I8380">IFERROR(IF($B8380=I$1, ($A8380+$C8380) - MAX(IF($B$2:$B8379=$B8380, $A$2:$A8379+$C$2:$C8379)), "")*24*60, "")</f>
        <v>0</v>
      </c>
      <c r="J8380" s="24" t="str" cm="1">
        <f t="array" ref="J8380">IFERROR(IF($B8380=J$1, ($A8380+$C8380) - MAX(IF($B$2:$B8379=$B8380, $A$2:$A8379+$C$2:$C8379)), "")*24*60, "")</f>
        <v/>
      </c>
      <c r="K8380" s="24" t="str" cm="1">
        <f t="array" ref="K8380">IFERROR(IF($B8380=K$1, ($A8380+$C8380) - MAX(IF($B$2:$B8379=$B8380, $A$2:$A8379+$C$2:$C8379)), "")*24*60, "")</f>
        <v/>
      </c>
      <c r="L8380" s="24" t="str" cm="1">
        <f t="array" ref="L8380">IFERROR(IF($B8380=L$1, ($A8380+$C8380) - MAX(IF($B$2:$B8379=$B8380, $A$2:$A8379+$C$2:$C8379)), "")*24*60, "")</f>
        <v/>
      </c>
      <c r="M8380" s="24" t="str" cm="1">
        <f t="array" ref="M8380">IFERROR(IF($B8380=M$1, ($A8380+$C8380) - MAX(IF($B$2:$B8379=$B8380, $A$2:$A8379+$C$2:$C8379)), "")*24*60, "")</f>
        <v/>
      </c>
      <c r="N8380" s="24" t="str" cm="1">
        <f t="array" ref="N8380">IFERROR(IF($B8380=N$1, ($A8380+$C8380) - MAX(IF($B$2:$B8379=$B8380, $A$2:$A8379+$C$2:$C8379)), "")*24*60, "")</f>
        <v/>
      </c>
      <c r="O8380" s="24" t="str" cm="1">
        <f t="array" ref="O8380">IFERROR(IF($B8380=O$1, ($A8380+$C8380) - MAX(IF($B$2:$B8379=$B8380, $A$2:$A8379+$C$2:$C8379)), "")*24*60, "")</f>
        <v/>
      </c>
      <c r="P8380" s="24" t="str" cm="1">
        <f t="array" ref="P8380">IFERROR(IF($B8380=P$1, ($A8380+$C8380) - MAX(IF($B$2:$B8379=$B8380, $A$2:$A8379+$C$2:$C8379)), "")*24*60, "")</f>
        <v/>
      </c>
      <c r="Q8380" s="24" t="str" cm="1">
        <f t="array" ref="Q8380">IFERROR(IF($B8380=Q$1, ($A8380+$C8380) - MAX(IF($B$2:$B8379=$B8380, $A$2:$A8379+$C$2:$C8379)), "")*24*60, "")</f>
        <v/>
      </c>
      <c r="R8380" s="24" t="str" cm="1">
        <f t="array" ref="R8380">IFERROR(IF($B8380=R$1, ($A8380+$C8380) - MAX(IF($B$2:$B8379=$B8380, $A$2:$A8379+$C$2:$C8379)), "")*24*60, "")</f>
        <v/>
      </c>
      <c r="S8380" s="24" t="str" cm="1">
        <f t="array" ref="S8380">IFERROR(IF($B8380=S$1, ($A8380+$C8380) - MAX(IF($B$2:$B8379=$B8380, $A$2:$A8379+$C$2:$C8379)), "")*24*60, "")</f>
        <v/>
      </c>
    </row>
    <row r="8381" spans="1:19" x14ac:dyDescent="0.2">
      <c r="A8381" s="12">
        <f t="shared" ref="A8381:C8381" si="1480">A8380</f>
        <v>46029</v>
      </c>
      <c r="B8381" s="5" t="str">
        <f t="shared" si="1480"/>
        <v>Northern Cardinal</v>
      </c>
      <c r="C8381" s="6">
        <f t="shared" si="1480"/>
        <v>0.75</v>
      </c>
      <c r="D8381" s="5"/>
      <c r="E8381" s="5"/>
      <c r="F8381" s="5" t="s">
        <v>9</v>
      </c>
      <c r="G8381" s="15" t="s">
        <v>8</v>
      </c>
      <c r="H8381" s="24">
        <f t="shared" si="1412"/>
        <v>0</v>
      </c>
      <c r="I8381" s="24" cm="1">
        <f t="array" ref="I8381">IFERROR(IF($B8381=I$1, ($A8381+$C8381) - MAX(IF($B$2:$B8380=$B8381, $A$2:$A8380+$C$2:$C8380)), "")*24*60, "")</f>
        <v>0</v>
      </c>
      <c r="J8381" s="24" t="str" cm="1">
        <f t="array" ref="J8381">IFERROR(IF($B8381=J$1, ($A8381+$C8381) - MAX(IF($B$2:$B8380=$B8381, $A$2:$A8380+$C$2:$C8380)), "")*24*60, "")</f>
        <v/>
      </c>
      <c r="K8381" s="24" t="str" cm="1">
        <f t="array" ref="K8381">IFERROR(IF($B8381=K$1, ($A8381+$C8381) - MAX(IF($B$2:$B8380=$B8381, $A$2:$A8380+$C$2:$C8380)), "")*24*60, "")</f>
        <v/>
      </c>
      <c r="L8381" s="24" t="str" cm="1">
        <f t="array" ref="L8381">IFERROR(IF($B8381=L$1, ($A8381+$C8381) - MAX(IF($B$2:$B8380=$B8381, $A$2:$A8380+$C$2:$C8380)), "")*24*60, "")</f>
        <v/>
      </c>
      <c r="M8381" s="24" t="str" cm="1">
        <f t="array" ref="M8381">IFERROR(IF($B8381=M$1, ($A8381+$C8381) - MAX(IF($B$2:$B8380=$B8381, $A$2:$A8380+$C$2:$C8380)), "")*24*60, "")</f>
        <v/>
      </c>
      <c r="N8381" s="24" t="str" cm="1">
        <f t="array" ref="N8381">IFERROR(IF($B8381=N$1, ($A8381+$C8381) - MAX(IF($B$2:$B8380=$B8381, $A$2:$A8380+$C$2:$C8380)), "")*24*60, "")</f>
        <v/>
      </c>
      <c r="O8381" s="24" t="str" cm="1">
        <f t="array" ref="O8381">IFERROR(IF($B8381=O$1, ($A8381+$C8381) - MAX(IF($B$2:$B8380=$B8381, $A$2:$A8380+$C$2:$C8380)), "")*24*60, "")</f>
        <v/>
      </c>
      <c r="P8381" s="24" t="str" cm="1">
        <f t="array" ref="P8381">IFERROR(IF($B8381=P$1, ($A8381+$C8381) - MAX(IF($B$2:$B8380=$B8381, $A$2:$A8380+$C$2:$C8380)), "")*24*60, "")</f>
        <v/>
      </c>
      <c r="Q8381" s="24" t="str" cm="1">
        <f t="array" ref="Q8381">IFERROR(IF($B8381=Q$1, ($A8381+$C8381) - MAX(IF($B$2:$B8380=$B8381, $A$2:$A8380+$C$2:$C8380)), "")*24*60, "")</f>
        <v/>
      </c>
      <c r="R8381" s="24" t="str" cm="1">
        <f t="array" ref="R8381">IFERROR(IF($B8381=R$1, ($A8381+$C8381) - MAX(IF($B$2:$B8380=$B8381, $A$2:$A8380+$C$2:$C8380)), "")*24*60, "")</f>
        <v/>
      </c>
      <c r="S8381" s="24" t="str" cm="1">
        <f t="array" ref="S8381">IFERROR(IF($B8381=S$1, ($A8381+$C8381) - MAX(IF($B$2:$B8380=$B8381, $A$2:$A8380+$C$2:$C8380)), "")*24*60, "")</f>
        <v/>
      </c>
    </row>
    <row r="8382" spans="1:19" x14ac:dyDescent="0.2">
      <c r="A8382" s="12">
        <f t="shared" ref="A8382:C8382" si="1481">A8381</f>
        <v>46029</v>
      </c>
      <c r="B8382" s="5" t="str">
        <f t="shared" si="1481"/>
        <v>Northern Cardinal</v>
      </c>
      <c r="C8382" s="6">
        <f t="shared" si="1481"/>
        <v>0.75</v>
      </c>
      <c r="D8382" s="5"/>
      <c r="E8382" s="5"/>
      <c r="F8382" s="5" t="s">
        <v>9</v>
      </c>
      <c r="G8382" s="15" t="s">
        <v>8</v>
      </c>
      <c r="H8382" s="24">
        <f t="shared" si="1412"/>
        <v>0</v>
      </c>
      <c r="I8382" s="24" cm="1">
        <f t="array" ref="I8382">IFERROR(IF($B8382=I$1, ($A8382+$C8382) - MAX(IF($B$2:$B8381=$B8382, $A$2:$A8381+$C$2:$C8381)), "")*24*60, "")</f>
        <v>0</v>
      </c>
      <c r="J8382" s="24" t="str" cm="1">
        <f t="array" ref="J8382">IFERROR(IF($B8382=J$1, ($A8382+$C8382) - MAX(IF($B$2:$B8381=$B8382, $A$2:$A8381+$C$2:$C8381)), "")*24*60, "")</f>
        <v/>
      </c>
      <c r="K8382" s="24" t="str" cm="1">
        <f t="array" ref="K8382">IFERROR(IF($B8382=K$1, ($A8382+$C8382) - MAX(IF($B$2:$B8381=$B8382, $A$2:$A8381+$C$2:$C8381)), "")*24*60, "")</f>
        <v/>
      </c>
      <c r="L8382" s="24" t="str" cm="1">
        <f t="array" ref="L8382">IFERROR(IF($B8382=L$1, ($A8382+$C8382) - MAX(IF($B$2:$B8381=$B8382, $A$2:$A8381+$C$2:$C8381)), "")*24*60, "")</f>
        <v/>
      </c>
      <c r="M8382" s="24" t="str" cm="1">
        <f t="array" ref="M8382">IFERROR(IF($B8382=M$1, ($A8382+$C8382) - MAX(IF($B$2:$B8381=$B8382, $A$2:$A8381+$C$2:$C8381)), "")*24*60, "")</f>
        <v/>
      </c>
      <c r="N8382" s="24" t="str" cm="1">
        <f t="array" ref="N8382">IFERROR(IF($B8382=N$1, ($A8382+$C8382) - MAX(IF($B$2:$B8381=$B8382, $A$2:$A8381+$C$2:$C8381)), "")*24*60, "")</f>
        <v/>
      </c>
      <c r="O8382" s="24" t="str" cm="1">
        <f t="array" ref="O8382">IFERROR(IF($B8382=O$1, ($A8382+$C8382) - MAX(IF($B$2:$B8381=$B8382, $A$2:$A8381+$C$2:$C8381)), "")*24*60, "")</f>
        <v/>
      </c>
      <c r="P8382" s="24" t="str" cm="1">
        <f t="array" ref="P8382">IFERROR(IF($B8382=P$1, ($A8382+$C8382) - MAX(IF($B$2:$B8381=$B8382, $A$2:$A8381+$C$2:$C8381)), "")*24*60, "")</f>
        <v/>
      </c>
      <c r="Q8382" s="24" t="str" cm="1">
        <f t="array" ref="Q8382">IFERROR(IF($B8382=Q$1, ($A8382+$C8382) - MAX(IF($B$2:$B8381=$B8382, $A$2:$A8381+$C$2:$C8381)), "")*24*60, "")</f>
        <v/>
      </c>
      <c r="R8382" s="24" t="str" cm="1">
        <f t="array" ref="R8382">IFERROR(IF($B8382=R$1, ($A8382+$C8382) - MAX(IF($B$2:$B8381=$B8382, $A$2:$A8381+$C$2:$C8381)), "")*24*60, "")</f>
        <v/>
      </c>
      <c r="S8382" s="24" t="str" cm="1">
        <f t="array" ref="S8382">IFERROR(IF($B8382=S$1, ($A8382+$C8382) - MAX(IF($B$2:$B8381=$B8382, $A$2:$A8381+$C$2:$C8381)), "")*24*60, "")</f>
        <v/>
      </c>
    </row>
    <row r="8383" spans="1:19" x14ac:dyDescent="0.2">
      <c r="A8383" s="12">
        <f t="shared" ref="A8383:C8383" si="1482">A8382</f>
        <v>46029</v>
      </c>
      <c r="B8383" s="5" t="str">
        <f t="shared" si="1482"/>
        <v>Northern Cardinal</v>
      </c>
      <c r="C8383" s="6">
        <f t="shared" si="1482"/>
        <v>0.75</v>
      </c>
      <c r="D8383" s="5"/>
      <c r="E8383" s="5"/>
      <c r="F8383" s="5" t="s">
        <v>9</v>
      </c>
      <c r="G8383" s="15" t="s">
        <v>8</v>
      </c>
      <c r="H8383" s="24">
        <f t="shared" si="1412"/>
        <v>0</v>
      </c>
      <c r="I8383" s="24" cm="1">
        <f t="array" ref="I8383">IFERROR(IF($B8383=I$1, ($A8383+$C8383) - MAX(IF($B$2:$B8382=$B8383, $A$2:$A8382+$C$2:$C8382)), "")*24*60, "")</f>
        <v>0</v>
      </c>
      <c r="J8383" s="24" t="str" cm="1">
        <f t="array" ref="J8383">IFERROR(IF($B8383=J$1, ($A8383+$C8383) - MAX(IF($B$2:$B8382=$B8383, $A$2:$A8382+$C$2:$C8382)), "")*24*60, "")</f>
        <v/>
      </c>
      <c r="K8383" s="24" t="str" cm="1">
        <f t="array" ref="K8383">IFERROR(IF($B8383=K$1, ($A8383+$C8383) - MAX(IF($B$2:$B8382=$B8383, $A$2:$A8382+$C$2:$C8382)), "")*24*60, "")</f>
        <v/>
      </c>
      <c r="L8383" s="24" t="str" cm="1">
        <f t="array" ref="L8383">IFERROR(IF($B8383=L$1, ($A8383+$C8383) - MAX(IF($B$2:$B8382=$B8383, $A$2:$A8382+$C$2:$C8382)), "")*24*60, "")</f>
        <v/>
      </c>
      <c r="M8383" s="24" t="str" cm="1">
        <f t="array" ref="M8383">IFERROR(IF($B8383=M$1, ($A8383+$C8383) - MAX(IF($B$2:$B8382=$B8383, $A$2:$A8382+$C$2:$C8382)), "")*24*60, "")</f>
        <v/>
      </c>
      <c r="N8383" s="24" t="str" cm="1">
        <f t="array" ref="N8383">IFERROR(IF($B8383=N$1, ($A8383+$C8383) - MAX(IF($B$2:$B8382=$B8383, $A$2:$A8382+$C$2:$C8382)), "")*24*60, "")</f>
        <v/>
      </c>
      <c r="O8383" s="24" t="str" cm="1">
        <f t="array" ref="O8383">IFERROR(IF($B8383=O$1, ($A8383+$C8383) - MAX(IF($B$2:$B8382=$B8383, $A$2:$A8382+$C$2:$C8382)), "")*24*60, "")</f>
        <v/>
      </c>
      <c r="P8383" s="24" t="str" cm="1">
        <f t="array" ref="P8383">IFERROR(IF($B8383=P$1, ($A8383+$C8383) - MAX(IF($B$2:$B8382=$B8383, $A$2:$A8382+$C$2:$C8382)), "")*24*60, "")</f>
        <v/>
      </c>
      <c r="Q8383" s="24" t="str" cm="1">
        <f t="array" ref="Q8383">IFERROR(IF($B8383=Q$1, ($A8383+$C8383) - MAX(IF($B$2:$B8382=$B8383, $A$2:$A8382+$C$2:$C8382)), "")*24*60, "")</f>
        <v/>
      </c>
      <c r="R8383" s="24" t="str" cm="1">
        <f t="array" ref="R8383">IFERROR(IF($B8383=R$1, ($A8383+$C8383) - MAX(IF($B$2:$B8382=$B8383, $A$2:$A8382+$C$2:$C8382)), "")*24*60, "")</f>
        <v/>
      </c>
      <c r="S8383" s="24" t="str" cm="1">
        <f t="array" ref="S8383">IFERROR(IF($B8383=S$1, ($A8383+$C8383) - MAX(IF($B$2:$B8382=$B8383, $A$2:$A8382+$C$2:$C8382)), "")*24*60, "")</f>
        <v/>
      </c>
    </row>
    <row r="8384" spans="1:19" x14ac:dyDescent="0.2">
      <c r="A8384" s="12">
        <f t="shared" ref="A8384:C8384" si="1483">A8383</f>
        <v>46029</v>
      </c>
      <c r="B8384" s="5" t="str">
        <f t="shared" si="1483"/>
        <v>Northern Cardinal</v>
      </c>
      <c r="C8384" s="6">
        <f t="shared" si="1483"/>
        <v>0.75</v>
      </c>
      <c r="D8384" s="5"/>
      <c r="E8384" s="5"/>
      <c r="F8384" s="5" t="s">
        <v>9</v>
      </c>
      <c r="G8384" s="15" t="s">
        <v>8</v>
      </c>
      <c r="H8384" s="24">
        <f t="shared" si="1412"/>
        <v>0</v>
      </c>
      <c r="I8384" s="24" cm="1">
        <f t="array" ref="I8384">IFERROR(IF($B8384=I$1, ($A8384+$C8384) - MAX(IF($B$2:$B8383=$B8384, $A$2:$A8383+$C$2:$C8383)), "")*24*60, "")</f>
        <v>0</v>
      </c>
      <c r="J8384" s="24" t="str" cm="1">
        <f t="array" ref="J8384">IFERROR(IF($B8384=J$1, ($A8384+$C8384) - MAX(IF($B$2:$B8383=$B8384, $A$2:$A8383+$C$2:$C8383)), "")*24*60, "")</f>
        <v/>
      </c>
      <c r="K8384" s="24" t="str" cm="1">
        <f t="array" ref="K8384">IFERROR(IF($B8384=K$1, ($A8384+$C8384) - MAX(IF($B$2:$B8383=$B8384, $A$2:$A8383+$C$2:$C8383)), "")*24*60, "")</f>
        <v/>
      </c>
      <c r="L8384" s="24" t="str" cm="1">
        <f t="array" ref="L8384">IFERROR(IF($B8384=L$1, ($A8384+$C8384) - MAX(IF($B$2:$B8383=$B8384, $A$2:$A8383+$C$2:$C8383)), "")*24*60, "")</f>
        <v/>
      </c>
      <c r="M8384" s="24" t="str" cm="1">
        <f t="array" ref="M8384">IFERROR(IF($B8384=M$1, ($A8384+$C8384) - MAX(IF($B$2:$B8383=$B8384, $A$2:$A8383+$C$2:$C8383)), "")*24*60, "")</f>
        <v/>
      </c>
      <c r="N8384" s="24" t="str" cm="1">
        <f t="array" ref="N8384">IFERROR(IF($B8384=N$1, ($A8384+$C8384) - MAX(IF($B$2:$B8383=$B8384, $A$2:$A8383+$C$2:$C8383)), "")*24*60, "")</f>
        <v/>
      </c>
      <c r="O8384" s="24" t="str" cm="1">
        <f t="array" ref="O8384">IFERROR(IF($B8384=O$1, ($A8384+$C8384) - MAX(IF($B$2:$B8383=$B8384, $A$2:$A8383+$C$2:$C8383)), "")*24*60, "")</f>
        <v/>
      </c>
      <c r="P8384" s="24" t="str" cm="1">
        <f t="array" ref="P8384">IFERROR(IF($B8384=P$1, ($A8384+$C8384) - MAX(IF($B$2:$B8383=$B8384, $A$2:$A8383+$C$2:$C8383)), "")*24*60, "")</f>
        <v/>
      </c>
      <c r="Q8384" s="24" t="str" cm="1">
        <f t="array" ref="Q8384">IFERROR(IF($B8384=Q$1, ($A8384+$C8384) - MAX(IF($B$2:$B8383=$B8384, $A$2:$A8383+$C$2:$C8383)), "")*24*60, "")</f>
        <v/>
      </c>
      <c r="R8384" s="24" t="str" cm="1">
        <f t="array" ref="R8384">IFERROR(IF($B8384=R$1, ($A8384+$C8384) - MAX(IF($B$2:$B8383=$B8384, $A$2:$A8383+$C$2:$C8383)), "")*24*60, "")</f>
        <v/>
      </c>
      <c r="S8384" s="24" t="str" cm="1">
        <f t="array" ref="S8384">IFERROR(IF($B8384=S$1, ($A8384+$C8384) - MAX(IF($B$2:$B8383=$B8384, $A$2:$A8383+$C$2:$C8383)), "")*24*60, "")</f>
        <v/>
      </c>
    </row>
    <row r="8385" spans="1:19" x14ac:dyDescent="0.2">
      <c r="A8385" s="12">
        <f t="shared" ref="A8385:C8385" si="1484">A8384</f>
        <v>46029</v>
      </c>
      <c r="B8385" s="5" t="str">
        <f t="shared" si="1484"/>
        <v>Northern Cardinal</v>
      </c>
      <c r="C8385" s="6">
        <f t="shared" si="1484"/>
        <v>0.75</v>
      </c>
      <c r="D8385" s="5"/>
      <c r="E8385" s="5"/>
      <c r="F8385" s="5" t="s">
        <v>9</v>
      </c>
      <c r="G8385" s="15" t="s">
        <v>8</v>
      </c>
      <c r="H8385" s="24">
        <f t="shared" si="1412"/>
        <v>0</v>
      </c>
      <c r="I8385" s="24" cm="1">
        <f t="array" ref="I8385">IFERROR(IF($B8385=I$1, ($A8385+$C8385) - MAX(IF($B$2:$B8384=$B8385, $A$2:$A8384+$C$2:$C8384)), "")*24*60, "")</f>
        <v>0</v>
      </c>
      <c r="J8385" s="24" t="str" cm="1">
        <f t="array" ref="J8385">IFERROR(IF($B8385=J$1, ($A8385+$C8385) - MAX(IF($B$2:$B8384=$B8385, $A$2:$A8384+$C$2:$C8384)), "")*24*60, "")</f>
        <v/>
      </c>
      <c r="K8385" s="24" t="str" cm="1">
        <f t="array" ref="K8385">IFERROR(IF($B8385=K$1, ($A8385+$C8385) - MAX(IF($B$2:$B8384=$B8385, $A$2:$A8384+$C$2:$C8384)), "")*24*60, "")</f>
        <v/>
      </c>
      <c r="L8385" s="24" t="str" cm="1">
        <f t="array" ref="L8385">IFERROR(IF($B8385=L$1, ($A8385+$C8385) - MAX(IF($B$2:$B8384=$B8385, $A$2:$A8384+$C$2:$C8384)), "")*24*60, "")</f>
        <v/>
      </c>
      <c r="M8385" s="24" t="str" cm="1">
        <f t="array" ref="M8385">IFERROR(IF($B8385=M$1, ($A8385+$C8385) - MAX(IF($B$2:$B8384=$B8385, $A$2:$A8384+$C$2:$C8384)), "")*24*60, "")</f>
        <v/>
      </c>
      <c r="N8385" s="24" t="str" cm="1">
        <f t="array" ref="N8385">IFERROR(IF($B8385=N$1, ($A8385+$C8385) - MAX(IF($B$2:$B8384=$B8385, $A$2:$A8384+$C$2:$C8384)), "")*24*60, "")</f>
        <v/>
      </c>
      <c r="O8385" s="24" t="str" cm="1">
        <f t="array" ref="O8385">IFERROR(IF($B8385=O$1, ($A8385+$C8385) - MAX(IF($B$2:$B8384=$B8385, $A$2:$A8384+$C$2:$C8384)), "")*24*60, "")</f>
        <v/>
      </c>
      <c r="P8385" s="24" t="str" cm="1">
        <f t="array" ref="P8385">IFERROR(IF($B8385=P$1, ($A8385+$C8385) - MAX(IF($B$2:$B8384=$B8385, $A$2:$A8384+$C$2:$C8384)), "")*24*60, "")</f>
        <v/>
      </c>
      <c r="Q8385" s="24" t="str" cm="1">
        <f t="array" ref="Q8385">IFERROR(IF($B8385=Q$1, ($A8385+$C8385) - MAX(IF($B$2:$B8384=$B8385, $A$2:$A8384+$C$2:$C8384)), "")*24*60, "")</f>
        <v/>
      </c>
      <c r="R8385" s="24" t="str" cm="1">
        <f t="array" ref="R8385">IFERROR(IF($B8385=R$1, ($A8385+$C8385) - MAX(IF($B$2:$B8384=$B8385, $A$2:$A8384+$C$2:$C8384)), "")*24*60, "")</f>
        <v/>
      </c>
      <c r="S8385" s="24" t="str" cm="1">
        <f t="array" ref="S8385">IFERROR(IF($B8385=S$1, ($A8385+$C8385) - MAX(IF($B$2:$B8384=$B8385, $A$2:$A8384+$C$2:$C8384)), "")*24*60, "")</f>
        <v/>
      </c>
    </row>
    <row r="8386" spans="1:19" x14ac:dyDescent="0.2">
      <c r="A8386" s="12">
        <f t="shared" ref="A8386:C8386" si="1485">A8385</f>
        <v>46029</v>
      </c>
      <c r="B8386" s="5" t="str">
        <f t="shared" si="1485"/>
        <v>Northern Cardinal</v>
      </c>
      <c r="C8386" s="6">
        <f t="shared" si="1485"/>
        <v>0.75</v>
      </c>
      <c r="D8386" s="5"/>
      <c r="E8386" s="5"/>
      <c r="F8386" s="5" t="s">
        <v>9</v>
      </c>
      <c r="G8386" s="15" t="s">
        <v>8</v>
      </c>
      <c r="H8386" s="24">
        <f t="shared" si="1412"/>
        <v>0</v>
      </c>
      <c r="I8386" s="24" cm="1">
        <f t="array" ref="I8386">IFERROR(IF($B8386=I$1, ($A8386+$C8386) - MAX(IF($B$2:$B8385=$B8386, $A$2:$A8385+$C$2:$C8385)), "")*24*60, "")</f>
        <v>0</v>
      </c>
      <c r="J8386" s="24" t="str" cm="1">
        <f t="array" ref="J8386">IFERROR(IF($B8386=J$1, ($A8386+$C8386) - MAX(IF($B$2:$B8385=$B8386, $A$2:$A8385+$C$2:$C8385)), "")*24*60, "")</f>
        <v/>
      </c>
      <c r="K8386" s="24" t="str" cm="1">
        <f t="array" ref="K8386">IFERROR(IF($B8386=K$1, ($A8386+$C8386) - MAX(IF($B$2:$B8385=$B8386, $A$2:$A8385+$C$2:$C8385)), "")*24*60, "")</f>
        <v/>
      </c>
      <c r="L8386" s="24" t="str" cm="1">
        <f t="array" ref="L8386">IFERROR(IF($B8386=L$1, ($A8386+$C8386) - MAX(IF($B$2:$B8385=$B8386, $A$2:$A8385+$C$2:$C8385)), "")*24*60, "")</f>
        <v/>
      </c>
      <c r="M8386" s="24" t="str" cm="1">
        <f t="array" ref="M8386">IFERROR(IF($B8386=M$1, ($A8386+$C8386) - MAX(IF($B$2:$B8385=$B8386, $A$2:$A8385+$C$2:$C8385)), "")*24*60, "")</f>
        <v/>
      </c>
      <c r="N8386" s="24" t="str" cm="1">
        <f t="array" ref="N8386">IFERROR(IF($B8386=N$1, ($A8386+$C8386) - MAX(IF($B$2:$B8385=$B8386, $A$2:$A8385+$C$2:$C8385)), "")*24*60, "")</f>
        <v/>
      </c>
      <c r="O8386" s="24" t="str" cm="1">
        <f t="array" ref="O8386">IFERROR(IF($B8386=O$1, ($A8386+$C8386) - MAX(IF($B$2:$B8385=$B8386, $A$2:$A8385+$C$2:$C8385)), "")*24*60, "")</f>
        <v/>
      </c>
      <c r="P8386" s="24" t="str" cm="1">
        <f t="array" ref="P8386">IFERROR(IF($B8386=P$1, ($A8386+$C8386) - MAX(IF($B$2:$B8385=$B8386, $A$2:$A8385+$C$2:$C8385)), "")*24*60, "")</f>
        <v/>
      </c>
      <c r="Q8386" s="24" t="str" cm="1">
        <f t="array" ref="Q8386">IFERROR(IF($B8386=Q$1, ($A8386+$C8386) - MAX(IF($B$2:$B8385=$B8386, $A$2:$A8385+$C$2:$C8385)), "")*24*60, "")</f>
        <v/>
      </c>
      <c r="R8386" s="24" t="str" cm="1">
        <f t="array" ref="R8386">IFERROR(IF($B8386=R$1, ($A8386+$C8386) - MAX(IF($B$2:$B8385=$B8386, $A$2:$A8385+$C$2:$C8385)), "")*24*60, "")</f>
        <v/>
      </c>
      <c r="S8386" s="24" t="str" cm="1">
        <f t="array" ref="S8386">IFERROR(IF($B8386=S$1, ($A8386+$C8386) - MAX(IF($B$2:$B8385=$B8386, $A$2:$A8385+$C$2:$C8385)), "")*24*60, "")</f>
        <v/>
      </c>
    </row>
    <row r="8387" spans="1:19" x14ac:dyDescent="0.2">
      <c r="A8387" s="12">
        <f t="shared" ref="A8387:C8387" si="1486">A8386</f>
        <v>46029</v>
      </c>
      <c r="B8387" s="5" t="str">
        <f t="shared" si="1486"/>
        <v>Northern Cardinal</v>
      </c>
      <c r="C8387" s="6">
        <f t="shared" si="1486"/>
        <v>0.75</v>
      </c>
      <c r="D8387" s="5"/>
      <c r="E8387" s="5"/>
      <c r="F8387" s="5" t="s">
        <v>9</v>
      </c>
      <c r="G8387" s="15" t="s">
        <v>8</v>
      </c>
      <c r="H8387" s="24">
        <f t="shared" si="1412"/>
        <v>0</v>
      </c>
      <c r="I8387" s="24" cm="1">
        <f t="array" ref="I8387">IFERROR(IF($B8387=I$1, ($A8387+$C8387) - MAX(IF($B$2:$B8386=$B8387, $A$2:$A8386+$C$2:$C8386)), "")*24*60, "")</f>
        <v>0</v>
      </c>
      <c r="J8387" s="24" t="str" cm="1">
        <f t="array" ref="J8387">IFERROR(IF($B8387=J$1, ($A8387+$C8387) - MAX(IF($B$2:$B8386=$B8387, $A$2:$A8386+$C$2:$C8386)), "")*24*60, "")</f>
        <v/>
      </c>
      <c r="K8387" s="24" t="str" cm="1">
        <f t="array" ref="K8387">IFERROR(IF($B8387=K$1, ($A8387+$C8387) - MAX(IF($B$2:$B8386=$B8387, $A$2:$A8386+$C$2:$C8386)), "")*24*60, "")</f>
        <v/>
      </c>
      <c r="L8387" s="24" t="str" cm="1">
        <f t="array" ref="L8387">IFERROR(IF($B8387=L$1, ($A8387+$C8387) - MAX(IF($B$2:$B8386=$B8387, $A$2:$A8386+$C$2:$C8386)), "")*24*60, "")</f>
        <v/>
      </c>
      <c r="M8387" s="24" t="str" cm="1">
        <f t="array" ref="M8387">IFERROR(IF($B8387=M$1, ($A8387+$C8387) - MAX(IF($B$2:$B8386=$B8387, $A$2:$A8386+$C$2:$C8386)), "")*24*60, "")</f>
        <v/>
      </c>
      <c r="N8387" s="24" t="str" cm="1">
        <f t="array" ref="N8387">IFERROR(IF($B8387=N$1, ($A8387+$C8387) - MAX(IF($B$2:$B8386=$B8387, $A$2:$A8386+$C$2:$C8386)), "")*24*60, "")</f>
        <v/>
      </c>
      <c r="O8387" s="24" t="str" cm="1">
        <f t="array" ref="O8387">IFERROR(IF($B8387=O$1, ($A8387+$C8387) - MAX(IF($B$2:$B8386=$B8387, $A$2:$A8386+$C$2:$C8386)), "")*24*60, "")</f>
        <v/>
      </c>
      <c r="P8387" s="24" t="str" cm="1">
        <f t="array" ref="P8387">IFERROR(IF($B8387=P$1, ($A8387+$C8387) - MAX(IF($B$2:$B8386=$B8387, $A$2:$A8386+$C$2:$C8386)), "")*24*60, "")</f>
        <v/>
      </c>
      <c r="Q8387" s="24" t="str" cm="1">
        <f t="array" ref="Q8387">IFERROR(IF($B8387=Q$1, ($A8387+$C8387) - MAX(IF($B$2:$B8386=$B8387, $A$2:$A8386+$C$2:$C8386)), "")*24*60, "")</f>
        <v/>
      </c>
      <c r="R8387" s="24" t="str" cm="1">
        <f t="array" ref="R8387">IFERROR(IF($B8387=R$1, ($A8387+$C8387) - MAX(IF($B$2:$B8386=$B8387, $A$2:$A8386+$C$2:$C8386)), "")*24*60, "")</f>
        <v/>
      </c>
      <c r="S8387" s="24" t="str" cm="1">
        <f t="array" ref="S8387">IFERROR(IF($B8387=S$1, ($A8387+$C8387) - MAX(IF($B$2:$B8386=$B8387, $A$2:$A8386+$C$2:$C8386)), "")*24*60, "")</f>
        <v/>
      </c>
    </row>
    <row r="8388" spans="1:19" x14ac:dyDescent="0.2">
      <c r="A8388" s="12">
        <f t="shared" ref="A8388:C8388" si="1487">A8387</f>
        <v>46029</v>
      </c>
      <c r="B8388" s="5" t="str">
        <f t="shared" si="1487"/>
        <v>Northern Cardinal</v>
      </c>
      <c r="C8388" s="6">
        <f t="shared" si="1487"/>
        <v>0.75</v>
      </c>
      <c r="D8388" s="5"/>
      <c r="E8388" s="5"/>
      <c r="F8388" s="5" t="s">
        <v>9</v>
      </c>
      <c r="G8388" s="15" t="s">
        <v>8</v>
      </c>
      <c r="H8388" s="24">
        <f t="shared" si="1412"/>
        <v>0</v>
      </c>
      <c r="I8388" s="24" cm="1">
        <f t="array" ref="I8388">IFERROR(IF($B8388=I$1, ($A8388+$C8388) - MAX(IF($B$2:$B8387=$B8388, $A$2:$A8387+$C$2:$C8387)), "")*24*60, "")</f>
        <v>0</v>
      </c>
      <c r="J8388" s="24" t="str" cm="1">
        <f t="array" ref="J8388">IFERROR(IF($B8388=J$1, ($A8388+$C8388) - MAX(IF($B$2:$B8387=$B8388, $A$2:$A8387+$C$2:$C8387)), "")*24*60, "")</f>
        <v/>
      </c>
      <c r="K8388" s="24" t="str" cm="1">
        <f t="array" ref="K8388">IFERROR(IF($B8388=K$1, ($A8388+$C8388) - MAX(IF($B$2:$B8387=$B8388, $A$2:$A8387+$C$2:$C8387)), "")*24*60, "")</f>
        <v/>
      </c>
      <c r="L8388" s="24" t="str" cm="1">
        <f t="array" ref="L8388">IFERROR(IF($B8388=L$1, ($A8388+$C8388) - MAX(IF($B$2:$B8387=$B8388, $A$2:$A8387+$C$2:$C8387)), "")*24*60, "")</f>
        <v/>
      </c>
      <c r="M8388" s="24" t="str" cm="1">
        <f t="array" ref="M8388">IFERROR(IF($B8388=M$1, ($A8388+$C8388) - MAX(IF($B$2:$B8387=$B8388, $A$2:$A8387+$C$2:$C8387)), "")*24*60, "")</f>
        <v/>
      </c>
      <c r="N8388" s="24" t="str" cm="1">
        <f t="array" ref="N8388">IFERROR(IF($B8388=N$1, ($A8388+$C8388) - MAX(IF($B$2:$B8387=$B8388, $A$2:$A8387+$C$2:$C8387)), "")*24*60, "")</f>
        <v/>
      </c>
      <c r="O8388" s="24" t="str" cm="1">
        <f t="array" ref="O8388">IFERROR(IF($B8388=O$1, ($A8388+$C8388) - MAX(IF($B$2:$B8387=$B8388, $A$2:$A8387+$C$2:$C8387)), "")*24*60, "")</f>
        <v/>
      </c>
      <c r="P8388" s="24" t="str" cm="1">
        <f t="array" ref="P8388">IFERROR(IF($B8388=P$1, ($A8388+$C8388) - MAX(IF($B$2:$B8387=$B8388, $A$2:$A8387+$C$2:$C8387)), "")*24*60, "")</f>
        <v/>
      </c>
      <c r="Q8388" s="24" t="str" cm="1">
        <f t="array" ref="Q8388">IFERROR(IF($B8388=Q$1, ($A8388+$C8388) - MAX(IF($B$2:$B8387=$B8388, $A$2:$A8387+$C$2:$C8387)), "")*24*60, "")</f>
        <v/>
      </c>
      <c r="R8388" s="24" t="str" cm="1">
        <f t="array" ref="R8388">IFERROR(IF($B8388=R$1, ($A8388+$C8388) - MAX(IF($B$2:$B8387=$B8388, $A$2:$A8387+$C$2:$C8387)), "")*24*60, "")</f>
        <v/>
      </c>
      <c r="S8388" s="24" t="str" cm="1">
        <f t="array" ref="S8388">IFERROR(IF($B8388=S$1, ($A8388+$C8388) - MAX(IF($B$2:$B8387=$B8388, $A$2:$A8387+$C$2:$C8387)), "")*24*60, "")</f>
        <v/>
      </c>
    </row>
    <row r="8389" spans="1:19" x14ac:dyDescent="0.2">
      <c r="A8389" s="12">
        <f t="shared" ref="A8389:C8389" si="1488">A8388</f>
        <v>46029</v>
      </c>
      <c r="B8389" s="5" t="str">
        <f t="shared" si="1488"/>
        <v>Northern Cardinal</v>
      </c>
      <c r="C8389" s="6">
        <f t="shared" si="1488"/>
        <v>0.75</v>
      </c>
      <c r="D8389" s="5"/>
      <c r="E8389" s="5"/>
      <c r="F8389" s="5" t="s">
        <v>9</v>
      </c>
      <c r="G8389" s="15" t="s">
        <v>8</v>
      </c>
      <c r="H8389" s="24">
        <f t="shared" si="1412"/>
        <v>0</v>
      </c>
      <c r="I8389" s="24" cm="1">
        <f t="array" ref="I8389">IFERROR(IF($B8389=I$1, ($A8389+$C8389) - MAX(IF($B$2:$B8388=$B8389, $A$2:$A8388+$C$2:$C8388)), "")*24*60, "")</f>
        <v>0</v>
      </c>
      <c r="J8389" s="24" t="str" cm="1">
        <f t="array" ref="J8389">IFERROR(IF($B8389=J$1, ($A8389+$C8389) - MAX(IF($B$2:$B8388=$B8389, $A$2:$A8388+$C$2:$C8388)), "")*24*60, "")</f>
        <v/>
      </c>
      <c r="K8389" s="24" t="str" cm="1">
        <f t="array" ref="K8389">IFERROR(IF($B8389=K$1, ($A8389+$C8389) - MAX(IF($B$2:$B8388=$B8389, $A$2:$A8388+$C$2:$C8388)), "")*24*60, "")</f>
        <v/>
      </c>
      <c r="L8389" s="24" t="str" cm="1">
        <f t="array" ref="L8389">IFERROR(IF($B8389=L$1, ($A8389+$C8389) - MAX(IF($B$2:$B8388=$B8389, $A$2:$A8388+$C$2:$C8388)), "")*24*60, "")</f>
        <v/>
      </c>
      <c r="M8389" s="24" t="str" cm="1">
        <f t="array" ref="M8389">IFERROR(IF($B8389=M$1, ($A8389+$C8389) - MAX(IF($B$2:$B8388=$B8389, $A$2:$A8388+$C$2:$C8388)), "")*24*60, "")</f>
        <v/>
      </c>
      <c r="N8389" s="24" t="str" cm="1">
        <f t="array" ref="N8389">IFERROR(IF($B8389=N$1, ($A8389+$C8389) - MAX(IF($B$2:$B8388=$B8389, $A$2:$A8388+$C$2:$C8388)), "")*24*60, "")</f>
        <v/>
      </c>
      <c r="O8389" s="24" t="str" cm="1">
        <f t="array" ref="O8389">IFERROR(IF($B8389=O$1, ($A8389+$C8389) - MAX(IF($B$2:$B8388=$B8389, $A$2:$A8388+$C$2:$C8388)), "")*24*60, "")</f>
        <v/>
      </c>
      <c r="P8389" s="24" t="str" cm="1">
        <f t="array" ref="P8389">IFERROR(IF($B8389=P$1, ($A8389+$C8389) - MAX(IF($B$2:$B8388=$B8389, $A$2:$A8388+$C$2:$C8388)), "")*24*60, "")</f>
        <v/>
      </c>
      <c r="Q8389" s="24" t="str" cm="1">
        <f t="array" ref="Q8389">IFERROR(IF($B8389=Q$1, ($A8389+$C8389) - MAX(IF($B$2:$B8388=$B8389, $A$2:$A8388+$C$2:$C8388)), "")*24*60, "")</f>
        <v/>
      </c>
      <c r="R8389" s="24" t="str" cm="1">
        <f t="array" ref="R8389">IFERROR(IF($B8389=R$1, ($A8389+$C8389) - MAX(IF($B$2:$B8388=$B8389, $A$2:$A8388+$C$2:$C8388)), "")*24*60, "")</f>
        <v/>
      </c>
      <c r="S8389" s="24" t="str" cm="1">
        <f t="array" ref="S8389">IFERROR(IF($B8389=S$1, ($A8389+$C8389) - MAX(IF($B$2:$B8388=$B8389, $A$2:$A8388+$C$2:$C8388)), "")*24*60, "")</f>
        <v/>
      </c>
    </row>
    <row r="8390" spans="1:19" x14ac:dyDescent="0.2">
      <c r="A8390" s="12">
        <f t="shared" ref="A8390:C8390" si="1489">A8389</f>
        <v>46029</v>
      </c>
      <c r="B8390" s="5" t="str">
        <f t="shared" si="1489"/>
        <v>Northern Cardinal</v>
      </c>
      <c r="C8390" s="6">
        <f t="shared" si="1489"/>
        <v>0.75</v>
      </c>
      <c r="D8390" s="5"/>
      <c r="E8390" s="5"/>
      <c r="F8390" s="5" t="s">
        <v>9</v>
      </c>
      <c r="G8390" s="15" t="s">
        <v>8</v>
      </c>
      <c r="H8390" s="24">
        <f t="shared" si="1412"/>
        <v>0</v>
      </c>
      <c r="I8390" s="24" cm="1">
        <f t="array" ref="I8390">IFERROR(IF($B8390=I$1, ($A8390+$C8390) - MAX(IF($B$2:$B8389=$B8390, $A$2:$A8389+$C$2:$C8389)), "")*24*60, "")</f>
        <v>0</v>
      </c>
      <c r="J8390" s="24" t="str" cm="1">
        <f t="array" ref="J8390">IFERROR(IF($B8390=J$1, ($A8390+$C8390) - MAX(IF($B$2:$B8389=$B8390, $A$2:$A8389+$C$2:$C8389)), "")*24*60, "")</f>
        <v/>
      </c>
      <c r="K8390" s="24" t="str" cm="1">
        <f t="array" ref="K8390">IFERROR(IF($B8390=K$1, ($A8390+$C8390) - MAX(IF($B$2:$B8389=$B8390, $A$2:$A8389+$C$2:$C8389)), "")*24*60, "")</f>
        <v/>
      </c>
      <c r="L8390" s="24" t="str" cm="1">
        <f t="array" ref="L8390">IFERROR(IF($B8390=L$1, ($A8390+$C8390) - MAX(IF($B$2:$B8389=$B8390, $A$2:$A8389+$C$2:$C8389)), "")*24*60, "")</f>
        <v/>
      </c>
      <c r="M8390" s="24" t="str" cm="1">
        <f t="array" ref="M8390">IFERROR(IF($B8390=M$1, ($A8390+$C8390) - MAX(IF($B$2:$B8389=$B8390, $A$2:$A8389+$C$2:$C8389)), "")*24*60, "")</f>
        <v/>
      </c>
      <c r="N8390" s="24" t="str" cm="1">
        <f t="array" ref="N8390">IFERROR(IF($B8390=N$1, ($A8390+$C8390) - MAX(IF($B$2:$B8389=$B8390, $A$2:$A8389+$C$2:$C8389)), "")*24*60, "")</f>
        <v/>
      </c>
      <c r="O8390" s="24" t="str" cm="1">
        <f t="array" ref="O8390">IFERROR(IF($B8390=O$1, ($A8390+$C8390) - MAX(IF($B$2:$B8389=$B8390, $A$2:$A8389+$C$2:$C8389)), "")*24*60, "")</f>
        <v/>
      </c>
      <c r="P8390" s="24" t="str" cm="1">
        <f t="array" ref="P8390">IFERROR(IF($B8390=P$1, ($A8390+$C8390) - MAX(IF($B$2:$B8389=$B8390, $A$2:$A8389+$C$2:$C8389)), "")*24*60, "")</f>
        <v/>
      </c>
      <c r="Q8390" s="24" t="str" cm="1">
        <f t="array" ref="Q8390">IFERROR(IF($B8390=Q$1, ($A8390+$C8390) - MAX(IF($B$2:$B8389=$B8390, $A$2:$A8389+$C$2:$C8389)), "")*24*60, "")</f>
        <v/>
      </c>
      <c r="R8390" s="24" t="str" cm="1">
        <f t="array" ref="R8390">IFERROR(IF($B8390=R$1, ($A8390+$C8390) - MAX(IF($B$2:$B8389=$B8390, $A$2:$A8389+$C$2:$C8389)), "")*24*60, "")</f>
        <v/>
      </c>
      <c r="S8390" s="24" t="str" cm="1">
        <f t="array" ref="S8390">IFERROR(IF($B8390=S$1, ($A8390+$C8390) - MAX(IF($B$2:$B8389=$B8390, $A$2:$A8389+$C$2:$C8389)), "")*24*60, "")</f>
        <v/>
      </c>
    </row>
    <row r="8391" spans="1:19" x14ac:dyDescent="0.2">
      <c r="A8391" s="12">
        <f t="shared" ref="A8391:C8391" si="1490">A8390</f>
        <v>46029</v>
      </c>
      <c r="B8391" s="5" t="str">
        <f t="shared" si="1490"/>
        <v>Northern Cardinal</v>
      </c>
      <c r="C8391" s="6">
        <f t="shared" si="1490"/>
        <v>0.75</v>
      </c>
      <c r="D8391" s="5"/>
      <c r="E8391" s="5"/>
      <c r="F8391" s="5" t="s">
        <v>9</v>
      </c>
      <c r="G8391" s="15" t="s">
        <v>8</v>
      </c>
      <c r="H8391" s="24">
        <f t="shared" si="1412"/>
        <v>0</v>
      </c>
      <c r="I8391" s="24" cm="1">
        <f t="array" ref="I8391">IFERROR(IF($B8391=I$1, ($A8391+$C8391) - MAX(IF($B$2:$B8390=$B8391, $A$2:$A8390+$C$2:$C8390)), "")*24*60, "")</f>
        <v>0</v>
      </c>
      <c r="J8391" s="24" t="str" cm="1">
        <f t="array" ref="J8391">IFERROR(IF($B8391=J$1, ($A8391+$C8391) - MAX(IF($B$2:$B8390=$B8391, $A$2:$A8390+$C$2:$C8390)), "")*24*60, "")</f>
        <v/>
      </c>
      <c r="K8391" s="24" t="str" cm="1">
        <f t="array" ref="K8391">IFERROR(IF($B8391=K$1, ($A8391+$C8391) - MAX(IF($B$2:$B8390=$B8391, $A$2:$A8390+$C$2:$C8390)), "")*24*60, "")</f>
        <v/>
      </c>
      <c r="L8391" s="24" t="str" cm="1">
        <f t="array" ref="L8391">IFERROR(IF($B8391=L$1, ($A8391+$C8391) - MAX(IF($B$2:$B8390=$B8391, $A$2:$A8390+$C$2:$C8390)), "")*24*60, "")</f>
        <v/>
      </c>
      <c r="M8391" s="24" t="str" cm="1">
        <f t="array" ref="M8391">IFERROR(IF($B8391=M$1, ($A8391+$C8391) - MAX(IF($B$2:$B8390=$B8391, $A$2:$A8390+$C$2:$C8390)), "")*24*60, "")</f>
        <v/>
      </c>
      <c r="N8391" s="24" t="str" cm="1">
        <f t="array" ref="N8391">IFERROR(IF($B8391=N$1, ($A8391+$C8391) - MAX(IF($B$2:$B8390=$B8391, $A$2:$A8390+$C$2:$C8390)), "")*24*60, "")</f>
        <v/>
      </c>
      <c r="O8391" s="24" t="str" cm="1">
        <f t="array" ref="O8391">IFERROR(IF($B8391=O$1, ($A8391+$C8391) - MAX(IF($B$2:$B8390=$B8391, $A$2:$A8390+$C$2:$C8390)), "")*24*60, "")</f>
        <v/>
      </c>
      <c r="P8391" s="24" t="str" cm="1">
        <f t="array" ref="P8391">IFERROR(IF($B8391=P$1, ($A8391+$C8391) - MAX(IF($B$2:$B8390=$B8391, $A$2:$A8390+$C$2:$C8390)), "")*24*60, "")</f>
        <v/>
      </c>
      <c r="Q8391" s="24" t="str" cm="1">
        <f t="array" ref="Q8391">IFERROR(IF($B8391=Q$1, ($A8391+$C8391) - MAX(IF($B$2:$B8390=$B8391, $A$2:$A8390+$C$2:$C8390)), "")*24*60, "")</f>
        <v/>
      </c>
      <c r="R8391" s="24" t="str" cm="1">
        <f t="array" ref="R8391">IFERROR(IF($B8391=R$1, ($A8391+$C8391) - MAX(IF($B$2:$B8390=$B8391, $A$2:$A8390+$C$2:$C8390)), "")*24*60, "")</f>
        <v/>
      </c>
      <c r="S8391" s="24" t="str" cm="1">
        <f t="array" ref="S8391">IFERROR(IF($B8391=S$1, ($A8391+$C8391) - MAX(IF($B$2:$B8390=$B8391, $A$2:$A8390+$C$2:$C8390)), "")*24*60, "")</f>
        <v/>
      </c>
    </row>
    <row r="8392" spans="1:19" x14ac:dyDescent="0.2">
      <c r="A8392" s="12">
        <f t="shared" ref="A8392:C8392" si="1491">A8391</f>
        <v>46029</v>
      </c>
      <c r="B8392" s="5" t="str">
        <f t="shared" si="1491"/>
        <v>Northern Cardinal</v>
      </c>
      <c r="C8392" s="6">
        <f t="shared" si="1491"/>
        <v>0.75</v>
      </c>
      <c r="D8392" s="5"/>
      <c r="E8392" s="5"/>
      <c r="F8392" s="5" t="s">
        <v>9</v>
      </c>
      <c r="G8392" s="15" t="s">
        <v>8</v>
      </c>
      <c r="H8392" s="24">
        <f t="shared" si="1412"/>
        <v>0</v>
      </c>
      <c r="I8392" s="24" cm="1">
        <f t="array" ref="I8392">IFERROR(IF($B8392=I$1, ($A8392+$C8392) - MAX(IF($B$2:$B8391=$B8392, $A$2:$A8391+$C$2:$C8391)), "")*24*60, "")</f>
        <v>0</v>
      </c>
      <c r="J8392" s="24" t="str" cm="1">
        <f t="array" ref="J8392">IFERROR(IF($B8392=J$1, ($A8392+$C8392) - MAX(IF($B$2:$B8391=$B8392, $A$2:$A8391+$C$2:$C8391)), "")*24*60, "")</f>
        <v/>
      </c>
      <c r="K8392" s="24" t="str" cm="1">
        <f t="array" ref="K8392">IFERROR(IF($B8392=K$1, ($A8392+$C8392) - MAX(IF($B$2:$B8391=$B8392, $A$2:$A8391+$C$2:$C8391)), "")*24*60, "")</f>
        <v/>
      </c>
      <c r="L8392" s="24" t="str" cm="1">
        <f t="array" ref="L8392">IFERROR(IF($B8392=L$1, ($A8392+$C8392) - MAX(IF($B$2:$B8391=$B8392, $A$2:$A8391+$C$2:$C8391)), "")*24*60, "")</f>
        <v/>
      </c>
      <c r="M8392" s="24" t="str" cm="1">
        <f t="array" ref="M8392">IFERROR(IF($B8392=M$1, ($A8392+$C8392) - MAX(IF($B$2:$B8391=$B8392, $A$2:$A8391+$C$2:$C8391)), "")*24*60, "")</f>
        <v/>
      </c>
      <c r="N8392" s="24" t="str" cm="1">
        <f t="array" ref="N8392">IFERROR(IF($B8392=N$1, ($A8392+$C8392) - MAX(IF($B$2:$B8391=$B8392, $A$2:$A8391+$C$2:$C8391)), "")*24*60, "")</f>
        <v/>
      </c>
      <c r="O8392" s="24" t="str" cm="1">
        <f t="array" ref="O8392">IFERROR(IF($B8392=O$1, ($A8392+$C8392) - MAX(IF($B$2:$B8391=$B8392, $A$2:$A8391+$C$2:$C8391)), "")*24*60, "")</f>
        <v/>
      </c>
      <c r="P8392" s="24" t="str" cm="1">
        <f t="array" ref="P8392">IFERROR(IF($B8392=P$1, ($A8392+$C8392) - MAX(IF($B$2:$B8391=$B8392, $A$2:$A8391+$C$2:$C8391)), "")*24*60, "")</f>
        <v/>
      </c>
      <c r="Q8392" s="24" t="str" cm="1">
        <f t="array" ref="Q8392">IFERROR(IF($B8392=Q$1, ($A8392+$C8392) - MAX(IF($B$2:$B8391=$B8392, $A$2:$A8391+$C$2:$C8391)), "")*24*60, "")</f>
        <v/>
      </c>
      <c r="R8392" s="24" t="str" cm="1">
        <f t="array" ref="R8392">IFERROR(IF($B8392=R$1, ($A8392+$C8392) - MAX(IF($B$2:$B8391=$B8392, $A$2:$A8391+$C$2:$C8391)), "")*24*60, "")</f>
        <v/>
      </c>
      <c r="S8392" s="24" t="str" cm="1">
        <f t="array" ref="S8392">IFERROR(IF($B8392=S$1, ($A8392+$C8392) - MAX(IF($B$2:$B8391=$B8392, $A$2:$A8391+$C$2:$C8391)), "")*24*60, "")</f>
        <v/>
      </c>
    </row>
    <row r="8393" spans="1:19" x14ac:dyDescent="0.2">
      <c r="A8393" s="12">
        <f t="shared" ref="A8393:C8393" si="1492">A8392</f>
        <v>46029</v>
      </c>
      <c r="B8393" s="5" t="str">
        <f t="shared" si="1492"/>
        <v>Northern Cardinal</v>
      </c>
      <c r="C8393" s="6">
        <f t="shared" si="1492"/>
        <v>0.75</v>
      </c>
      <c r="D8393" s="5"/>
      <c r="E8393" s="5"/>
      <c r="F8393" s="5" t="s">
        <v>9</v>
      </c>
      <c r="G8393" s="15" t="s">
        <v>8</v>
      </c>
      <c r="H8393" s="24">
        <f t="shared" si="1412"/>
        <v>0</v>
      </c>
      <c r="I8393" s="24" cm="1">
        <f t="array" ref="I8393">IFERROR(IF($B8393=I$1, ($A8393+$C8393) - MAX(IF($B$2:$B8392=$B8393, $A$2:$A8392+$C$2:$C8392)), "")*24*60, "")</f>
        <v>0</v>
      </c>
      <c r="J8393" s="24" t="str" cm="1">
        <f t="array" ref="J8393">IFERROR(IF($B8393=J$1, ($A8393+$C8393) - MAX(IF($B$2:$B8392=$B8393, $A$2:$A8392+$C$2:$C8392)), "")*24*60, "")</f>
        <v/>
      </c>
      <c r="K8393" s="24" t="str" cm="1">
        <f t="array" ref="K8393">IFERROR(IF($B8393=K$1, ($A8393+$C8393) - MAX(IF($B$2:$B8392=$B8393, $A$2:$A8392+$C$2:$C8392)), "")*24*60, "")</f>
        <v/>
      </c>
      <c r="L8393" s="24" t="str" cm="1">
        <f t="array" ref="L8393">IFERROR(IF($B8393=L$1, ($A8393+$C8393) - MAX(IF($B$2:$B8392=$B8393, $A$2:$A8392+$C$2:$C8392)), "")*24*60, "")</f>
        <v/>
      </c>
      <c r="M8393" s="24" t="str" cm="1">
        <f t="array" ref="M8393">IFERROR(IF($B8393=M$1, ($A8393+$C8393) - MAX(IF($B$2:$B8392=$B8393, $A$2:$A8392+$C$2:$C8392)), "")*24*60, "")</f>
        <v/>
      </c>
      <c r="N8393" s="24" t="str" cm="1">
        <f t="array" ref="N8393">IFERROR(IF($B8393=N$1, ($A8393+$C8393) - MAX(IF($B$2:$B8392=$B8393, $A$2:$A8392+$C$2:$C8392)), "")*24*60, "")</f>
        <v/>
      </c>
      <c r="O8393" s="24" t="str" cm="1">
        <f t="array" ref="O8393">IFERROR(IF($B8393=O$1, ($A8393+$C8393) - MAX(IF($B$2:$B8392=$B8393, $A$2:$A8392+$C$2:$C8392)), "")*24*60, "")</f>
        <v/>
      </c>
      <c r="P8393" s="24" t="str" cm="1">
        <f t="array" ref="P8393">IFERROR(IF($B8393=P$1, ($A8393+$C8393) - MAX(IF($B$2:$B8392=$B8393, $A$2:$A8392+$C$2:$C8392)), "")*24*60, "")</f>
        <v/>
      </c>
      <c r="Q8393" s="24" t="str" cm="1">
        <f t="array" ref="Q8393">IFERROR(IF($B8393=Q$1, ($A8393+$C8393) - MAX(IF($B$2:$B8392=$B8393, $A$2:$A8392+$C$2:$C8392)), "")*24*60, "")</f>
        <v/>
      </c>
      <c r="R8393" s="24" t="str" cm="1">
        <f t="array" ref="R8393">IFERROR(IF($B8393=R$1, ($A8393+$C8393) - MAX(IF($B$2:$B8392=$B8393, $A$2:$A8392+$C$2:$C8392)), "")*24*60, "")</f>
        <v/>
      </c>
      <c r="S8393" s="24" t="str" cm="1">
        <f t="array" ref="S8393">IFERROR(IF($B8393=S$1, ($A8393+$C8393) - MAX(IF($B$2:$B8392=$B8393, $A$2:$A8392+$C$2:$C8392)), "")*24*60, "")</f>
        <v/>
      </c>
    </row>
    <row r="8394" spans="1:19" x14ac:dyDescent="0.2">
      <c r="A8394" s="12">
        <f t="shared" ref="A8394:C8394" si="1493">A8393</f>
        <v>46029</v>
      </c>
      <c r="B8394" s="5" t="str">
        <f t="shared" si="1493"/>
        <v>Northern Cardinal</v>
      </c>
      <c r="C8394" s="6">
        <f t="shared" si="1493"/>
        <v>0.75</v>
      </c>
      <c r="D8394" s="5"/>
      <c r="E8394" s="5"/>
      <c r="F8394" s="5" t="s">
        <v>9</v>
      </c>
      <c r="G8394" s="15" t="s">
        <v>8</v>
      </c>
      <c r="H8394" s="24">
        <f t="shared" si="1412"/>
        <v>0</v>
      </c>
      <c r="I8394" s="24" cm="1">
        <f t="array" ref="I8394">IFERROR(IF($B8394=I$1, ($A8394+$C8394) - MAX(IF($B$2:$B8393=$B8394, $A$2:$A8393+$C$2:$C8393)), "")*24*60, "")</f>
        <v>0</v>
      </c>
      <c r="J8394" s="24" t="str" cm="1">
        <f t="array" ref="J8394">IFERROR(IF($B8394=J$1, ($A8394+$C8394) - MAX(IF($B$2:$B8393=$B8394, $A$2:$A8393+$C$2:$C8393)), "")*24*60, "")</f>
        <v/>
      </c>
      <c r="K8394" s="24" t="str" cm="1">
        <f t="array" ref="K8394">IFERROR(IF($B8394=K$1, ($A8394+$C8394) - MAX(IF($B$2:$B8393=$B8394, $A$2:$A8393+$C$2:$C8393)), "")*24*60, "")</f>
        <v/>
      </c>
      <c r="L8394" s="24" t="str" cm="1">
        <f t="array" ref="L8394">IFERROR(IF($B8394=L$1, ($A8394+$C8394) - MAX(IF($B$2:$B8393=$B8394, $A$2:$A8393+$C$2:$C8393)), "")*24*60, "")</f>
        <v/>
      </c>
      <c r="M8394" s="24" t="str" cm="1">
        <f t="array" ref="M8394">IFERROR(IF($B8394=M$1, ($A8394+$C8394) - MAX(IF($B$2:$B8393=$B8394, $A$2:$A8393+$C$2:$C8393)), "")*24*60, "")</f>
        <v/>
      </c>
      <c r="N8394" s="24" t="str" cm="1">
        <f t="array" ref="N8394">IFERROR(IF($B8394=N$1, ($A8394+$C8394) - MAX(IF($B$2:$B8393=$B8394, $A$2:$A8393+$C$2:$C8393)), "")*24*60, "")</f>
        <v/>
      </c>
      <c r="O8394" s="24" t="str" cm="1">
        <f t="array" ref="O8394">IFERROR(IF($B8394=O$1, ($A8394+$C8394) - MAX(IF($B$2:$B8393=$B8394, $A$2:$A8393+$C$2:$C8393)), "")*24*60, "")</f>
        <v/>
      </c>
      <c r="P8394" s="24" t="str" cm="1">
        <f t="array" ref="P8394">IFERROR(IF($B8394=P$1, ($A8394+$C8394) - MAX(IF($B$2:$B8393=$B8394, $A$2:$A8393+$C$2:$C8393)), "")*24*60, "")</f>
        <v/>
      </c>
      <c r="Q8394" s="24" t="str" cm="1">
        <f t="array" ref="Q8394">IFERROR(IF($B8394=Q$1, ($A8394+$C8394) - MAX(IF($B$2:$B8393=$B8394, $A$2:$A8393+$C$2:$C8393)), "")*24*60, "")</f>
        <v/>
      </c>
      <c r="R8394" s="24" t="str" cm="1">
        <f t="array" ref="R8394">IFERROR(IF($B8394=R$1, ($A8394+$C8394) - MAX(IF($B$2:$B8393=$B8394, $A$2:$A8393+$C$2:$C8393)), "")*24*60, "")</f>
        <v/>
      </c>
      <c r="S8394" s="24" t="str" cm="1">
        <f t="array" ref="S8394">IFERROR(IF($B8394=S$1, ($A8394+$C8394) - MAX(IF($B$2:$B8393=$B8394, $A$2:$A8393+$C$2:$C8393)), "")*24*60, "")</f>
        <v/>
      </c>
    </row>
    <row r="8395" spans="1:19" x14ac:dyDescent="0.2">
      <c r="A8395" s="12">
        <f t="shared" ref="A8395:C8395" si="1494">A8394</f>
        <v>46029</v>
      </c>
      <c r="B8395" s="5" t="str">
        <f t="shared" si="1494"/>
        <v>Northern Cardinal</v>
      </c>
      <c r="C8395" s="6">
        <f t="shared" si="1494"/>
        <v>0.75</v>
      </c>
      <c r="D8395" s="5"/>
      <c r="E8395" s="5"/>
      <c r="F8395" s="5" t="s">
        <v>9</v>
      </c>
      <c r="G8395" s="15" t="s">
        <v>8</v>
      </c>
      <c r="H8395" s="24">
        <f t="shared" si="1412"/>
        <v>0</v>
      </c>
      <c r="I8395" s="24" cm="1">
        <f t="array" ref="I8395">IFERROR(IF($B8395=I$1, ($A8395+$C8395) - MAX(IF($B$2:$B8394=$B8395, $A$2:$A8394+$C$2:$C8394)), "")*24*60, "")</f>
        <v>0</v>
      </c>
      <c r="J8395" s="24" t="str" cm="1">
        <f t="array" ref="J8395">IFERROR(IF($B8395=J$1, ($A8395+$C8395) - MAX(IF($B$2:$B8394=$B8395, $A$2:$A8394+$C$2:$C8394)), "")*24*60, "")</f>
        <v/>
      </c>
      <c r="K8395" s="24" t="str" cm="1">
        <f t="array" ref="K8395">IFERROR(IF($B8395=K$1, ($A8395+$C8395) - MAX(IF($B$2:$B8394=$B8395, $A$2:$A8394+$C$2:$C8394)), "")*24*60, "")</f>
        <v/>
      </c>
      <c r="L8395" s="24" t="str" cm="1">
        <f t="array" ref="L8395">IFERROR(IF($B8395=L$1, ($A8395+$C8395) - MAX(IF($B$2:$B8394=$B8395, $A$2:$A8394+$C$2:$C8394)), "")*24*60, "")</f>
        <v/>
      </c>
      <c r="M8395" s="24" t="str" cm="1">
        <f t="array" ref="M8395">IFERROR(IF($B8395=M$1, ($A8395+$C8395) - MAX(IF($B$2:$B8394=$B8395, $A$2:$A8394+$C$2:$C8394)), "")*24*60, "")</f>
        <v/>
      </c>
      <c r="N8395" s="24" t="str" cm="1">
        <f t="array" ref="N8395">IFERROR(IF($B8395=N$1, ($A8395+$C8395) - MAX(IF($B$2:$B8394=$B8395, $A$2:$A8394+$C$2:$C8394)), "")*24*60, "")</f>
        <v/>
      </c>
      <c r="O8395" s="24" t="str" cm="1">
        <f t="array" ref="O8395">IFERROR(IF($B8395=O$1, ($A8395+$C8395) - MAX(IF($B$2:$B8394=$B8395, $A$2:$A8394+$C$2:$C8394)), "")*24*60, "")</f>
        <v/>
      </c>
      <c r="P8395" s="24" t="str" cm="1">
        <f t="array" ref="P8395">IFERROR(IF($B8395=P$1, ($A8395+$C8395) - MAX(IF($B$2:$B8394=$B8395, $A$2:$A8394+$C$2:$C8394)), "")*24*60, "")</f>
        <v/>
      </c>
      <c r="Q8395" s="24" t="str" cm="1">
        <f t="array" ref="Q8395">IFERROR(IF($B8395=Q$1, ($A8395+$C8395) - MAX(IF($B$2:$B8394=$B8395, $A$2:$A8394+$C$2:$C8394)), "")*24*60, "")</f>
        <v/>
      </c>
      <c r="R8395" s="24" t="str" cm="1">
        <f t="array" ref="R8395">IFERROR(IF($B8395=R$1, ($A8395+$C8395) - MAX(IF($B$2:$B8394=$B8395, $A$2:$A8394+$C$2:$C8394)), "")*24*60, "")</f>
        <v/>
      </c>
      <c r="S8395" s="24" t="str" cm="1">
        <f t="array" ref="S8395">IFERROR(IF($B8395=S$1, ($A8395+$C8395) - MAX(IF($B$2:$B8394=$B8395, $A$2:$A8394+$C$2:$C8394)), "")*24*60, "")</f>
        <v/>
      </c>
    </row>
    <row r="8396" spans="1:19" x14ac:dyDescent="0.2">
      <c r="A8396" s="12">
        <f t="shared" ref="A8396:C8396" si="1495">A8395</f>
        <v>46029</v>
      </c>
      <c r="B8396" s="5" t="str">
        <f t="shared" si="1495"/>
        <v>Northern Cardinal</v>
      </c>
      <c r="C8396" s="6">
        <f t="shared" si="1495"/>
        <v>0.75</v>
      </c>
      <c r="D8396" s="5"/>
      <c r="E8396" s="5"/>
      <c r="F8396" s="5" t="s">
        <v>9</v>
      </c>
      <c r="G8396" s="15" t="s">
        <v>8</v>
      </c>
      <c r="H8396" s="24">
        <f t="shared" si="1412"/>
        <v>0</v>
      </c>
      <c r="I8396" s="24" cm="1">
        <f t="array" ref="I8396">IFERROR(IF($B8396=I$1, ($A8396+$C8396) - MAX(IF($B$2:$B8395=$B8396, $A$2:$A8395+$C$2:$C8395)), "")*24*60, "")</f>
        <v>0</v>
      </c>
      <c r="J8396" s="24" t="str" cm="1">
        <f t="array" ref="J8396">IFERROR(IF($B8396=J$1, ($A8396+$C8396) - MAX(IF($B$2:$B8395=$B8396, $A$2:$A8395+$C$2:$C8395)), "")*24*60, "")</f>
        <v/>
      </c>
      <c r="K8396" s="24" t="str" cm="1">
        <f t="array" ref="K8396">IFERROR(IF($B8396=K$1, ($A8396+$C8396) - MAX(IF($B$2:$B8395=$B8396, $A$2:$A8395+$C$2:$C8395)), "")*24*60, "")</f>
        <v/>
      </c>
      <c r="L8396" s="24" t="str" cm="1">
        <f t="array" ref="L8396">IFERROR(IF($B8396=L$1, ($A8396+$C8396) - MAX(IF($B$2:$B8395=$B8396, $A$2:$A8395+$C$2:$C8395)), "")*24*60, "")</f>
        <v/>
      </c>
      <c r="M8396" s="24" t="str" cm="1">
        <f t="array" ref="M8396">IFERROR(IF($B8396=M$1, ($A8396+$C8396) - MAX(IF($B$2:$B8395=$B8396, $A$2:$A8395+$C$2:$C8395)), "")*24*60, "")</f>
        <v/>
      </c>
      <c r="N8396" s="24" t="str" cm="1">
        <f t="array" ref="N8396">IFERROR(IF($B8396=N$1, ($A8396+$C8396) - MAX(IF($B$2:$B8395=$B8396, $A$2:$A8395+$C$2:$C8395)), "")*24*60, "")</f>
        <v/>
      </c>
      <c r="O8396" s="24" t="str" cm="1">
        <f t="array" ref="O8396">IFERROR(IF($B8396=O$1, ($A8396+$C8396) - MAX(IF($B$2:$B8395=$B8396, $A$2:$A8395+$C$2:$C8395)), "")*24*60, "")</f>
        <v/>
      </c>
      <c r="P8396" s="24" t="str" cm="1">
        <f t="array" ref="P8396">IFERROR(IF($B8396=P$1, ($A8396+$C8396) - MAX(IF($B$2:$B8395=$B8396, $A$2:$A8395+$C$2:$C8395)), "")*24*60, "")</f>
        <v/>
      </c>
      <c r="Q8396" s="24" t="str" cm="1">
        <f t="array" ref="Q8396">IFERROR(IF($B8396=Q$1, ($A8396+$C8396) - MAX(IF($B$2:$B8395=$B8396, $A$2:$A8395+$C$2:$C8395)), "")*24*60, "")</f>
        <v/>
      </c>
      <c r="R8396" s="24" t="str" cm="1">
        <f t="array" ref="R8396">IFERROR(IF($B8396=R$1, ($A8396+$C8396) - MAX(IF($B$2:$B8395=$B8396, $A$2:$A8395+$C$2:$C8395)), "")*24*60, "")</f>
        <v/>
      </c>
      <c r="S8396" s="24" t="str" cm="1">
        <f t="array" ref="S8396">IFERROR(IF($B8396=S$1, ($A8396+$C8396) - MAX(IF($B$2:$B8395=$B8396, $A$2:$A8395+$C$2:$C8395)), "")*24*60, "")</f>
        <v/>
      </c>
    </row>
    <row r="8397" spans="1:19" x14ac:dyDescent="0.2">
      <c r="A8397" s="12">
        <f t="shared" ref="A8397:C8397" si="1496">A8396</f>
        <v>46029</v>
      </c>
      <c r="B8397" s="5" t="str">
        <f t="shared" si="1496"/>
        <v>Northern Cardinal</v>
      </c>
      <c r="C8397" s="6">
        <f t="shared" si="1496"/>
        <v>0.75</v>
      </c>
      <c r="D8397" s="5"/>
      <c r="E8397" s="5"/>
      <c r="F8397" s="5" t="s">
        <v>9</v>
      </c>
      <c r="G8397" s="15" t="s">
        <v>8</v>
      </c>
      <c r="H8397" s="24">
        <f t="shared" si="1412"/>
        <v>0</v>
      </c>
      <c r="I8397" s="24" cm="1">
        <f t="array" ref="I8397">IFERROR(IF($B8397=I$1, ($A8397+$C8397) - MAX(IF($B$2:$B8396=$B8397, $A$2:$A8396+$C$2:$C8396)), "")*24*60, "")</f>
        <v>0</v>
      </c>
      <c r="J8397" s="24" t="str" cm="1">
        <f t="array" ref="J8397">IFERROR(IF($B8397=J$1, ($A8397+$C8397) - MAX(IF($B$2:$B8396=$B8397, $A$2:$A8396+$C$2:$C8396)), "")*24*60, "")</f>
        <v/>
      </c>
      <c r="K8397" s="24" t="str" cm="1">
        <f t="array" ref="K8397">IFERROR(IF($B8397=K$1, ($A8397+$C8397) - MAX(IF($B$2:$B8396=$B8397, $A$2:$A8396+$C$2:$C8396)), "")*24*60, "")</f>
        <v/>
      </c>
      <c r="L8397" s="24" t="str" cm="1">
        <f t="array" ref="L8397">IFERROR(IF($B8397=L$1, ($A8397+$C8397) - MAX(IF($B$2:$B8396=$B8397, $A$2:$A8396+$C$2:$C8396)), "")*24*60, "")</f>
        <v/>
      </c>
      <c r="M8397" s="24" t="str" cm="1">
        <f t="array" ref="M8397">IFERROR(IF($B8397=M$1, ($A8397+$C8397) - MAX(IF($B$2:$B8396=$B8397, $A$2:$A8396+$C$2:$C8396)), "")*24*60, "")</f>
        <v/>
      </c>
      <c r="N8397" s="24" t="str" cm="1">
        <f t="array" ref="N8397">IFERROR(IF($B8397=N$1, ($A8397+$C8397) - MAX(IF($B$2:$B8396=$B8397, $A$2:$A8396+$C$2:$C8396)), "")*24*60, "")</f>
        <v/>
      </c>
      <c r="O8397" s="24" t="str" cm="1">
        <f t="array" ref="O8397">IFERROR(IF($B8397=O$1, ($A8397+$C8397) - MAX(IF($B$2:$B8396=$B8397, $A$2:$A8396+$C$2:$C8396)), "")*24*60, "")</f>
        <v/>
      </c>
      <c r="P8397" s="24" t="str" cm="1">
        <f t="array" ref="P8397">IFERROR(IF($B8397=P$1, ($A8397+$C8397) - MAX(IF($B$2:$B8396=$B8397, $A$2:$A8396+$C$2:$C8396)), "")*24*60, "")</f>
        <v/>
      </c>
      <c r="Q8397" s="24" t="str" cm="1">
        <f t="array" ref="Q8397">IFERROR(IF($B8397=Q$1, ($A8397+$C8397) - MAX(IF($B$2:$B8396=$B8397, $A$2:$A8396+$C$2:$C8396)), "")*24*60, "")</f>
        <v/>
      </c>
      <c r="R8397" s="24" t="str" cm="1">
        <f t="array" ref="R8397">IFERROR(IF($B8397=R$1, ($A8397+$C8397) - MAX(IF($B$2:$B8396=$B8397, $A$2:$A8396+$C$2:$C8396)), "")*24*60, "")</f>
        <v/>
      </c>
      <c r="S8397" s="24" t="str" cm="1">
        <f t="array" ref="S8397">IFERROR(IF($B8397=S$1, ($A8397+$C8397) - MAX(IF($B$2:$B8396=$B8397, $A$2:$A8396+$C$2:$C8396)), "")*24*60, "")</f>
        <v/>
      </c>
    </row>
    <row r="8398" spans="1:19" x14ac:dyDescent="0.2">
      <c r="A8398" s="12">
        <f t="shared" ref="A8398:C8398" si="1497">A8397</f>
        <v>46029</v>
      </c>
      <c r="B8398" s="5" t="str">
        <f t="shared" si="1497"/>
        <v>Northern Cardinal</v>
      </c>
      <c r="C8398" s="6">
        <f t="shared" si="1497"/>
        <v>0.75</v>
      </c>
      <c r="D8398" s="5"/>
      <c r="E8398" s="5"/>
      <c r="F8398" s="5" t="s">
        <v>9</v>
      </c>
      <c r="G8398" s="15" t="s">
        <v>8</v>
      </c>
      <c r="H8398" s="24">
        <f t="shared" si="1412"/>
        <v>0</v>
      </c>
      <c r="I8398" s="24" cm="1">
        <f t="array" ref="I8398">IFERROR(IF($B8398=I$1, ($A8398+$C8398) - MAX(IF($B$2:$B8397=$B8398, $A$2:$A8397+$C$2:$C8397)), "")*24*60, "")</f>
        <v>0</v>
      </c>
      <c r="J8398" s="24" t="str" cm="1">
        <f t="array" ref="J8398">IFERROR(IF($B8398=J$1, ($A8398+$C8398) - MAX(IF($B$2:$B8397=$B8398, $A$2:$A8397+$C$2:$C8397)), "")*24*60, "")</f>
        <v/>
      </c>
      <c r="K8398" s="24" t="str" cm="1">
        <f t="array" ref="K8398">IFERROR(IF($B8398=K$1, ($A8398+$C8398) - MAX(IF($B$2:$B8397=$B8398, $A$2:$A8397+$C$2:$C8397)), "")*24*60, "")</f>
        <v/>
      </c>
      <c r="L8398" s="24" t="str" cm="1">
        <f t="array" ref="L8398">IFERROR(IF($B8398=L$1, ($A8398+$C8398) - MAX(IF($B$2:$B8397=$B8398, $A$2:$A8397+$C$2:$C8397)), "")*24*60, "")</f>
        <v/>
      </c>
      <c r="M8398" s="24" t="str" cm="1">
        <f t="array" ref="M8398">IFERROR(IF($B8398=M$1, ($A8398+$C8398) - MAX(IF($B$2:$B8397=$B8398, $A$2:$A8397+$C$2:$C8397)), "")*24*60, "")</f>
        <v/>
      </c>
      <c r="N8398" s="24" t="str" cm="1">
        <f t="array" ref="N8398">IFERROR(IF($B8398=N$1, ($A8398+$C8398) - MAX(IF($B$2:$B8397=$B8398, $A$2:$A8397+$C$2:$C8397)), "")*24*60, "")</f>
        <v/>
      </c>
      <c r="O8398" s="24" t="str" cm="1">
        <f t="array" ref="O8398">IFERROR(IF($B8398=O$1, ($A8398+$C8398) - MAX(IF($B$2:$B8397=$B8398, $A$2:$A8397+$C$2:$C8397)), "")*24*60, "")</f>
        <v/>
      </c>
      <c r="P8398" s="24" t="str" cm="1">
        <f t="array" ref="P8398">IFERROR(IF($B8398=P$1, ($A8398+$C8398) - MAX(IF($B$2:$B8397=$B8398, $A$2:$A8397+$C$2:$C8397)), "")*24*60, "")</f>
        <v/>
      </c>
      <c r="Q8398" s="24" t="str" cm="1">
        <f t="array" ref="Q8398">IFERROR(IF($B8398=Q$1, ($A8398+$C8398) - MAX(IF($B$2:$B8397=$B8398, $A$2:$A8397+$C$2:$C8397)), "")*24*60, "")</f>
        <v/>
      </c>
      <c r="R8398" s="24" t="str" cm="1">
        <f t="array" ref="R8398">IFERROR(IF($B8398=R$1, ($A8398+$C8398) - MAX(IF($B$2:$B8397=$B8398, $A$2:$A8397+$C$2:$C8397)), "")*24*60, "")</f>
        <v/>
      </c>
      <c r="S8398" s="24" t="str" cm="1">
        <f t="array" ref="S8398">IFERROR(IF($B8398=S$1, ($A8398+$C8398) - MAX(IF($B$2:$B8397=$B8398, $A$2:$A8397+$C$2:$C8397)), "")*24*60, "")</f>
        <v/>
      </c>
    </row>
    <row r="8399" spans="1:19" x14ac:dyDescent="0.2">
      <c r="A8399" s="12">
        <f t="shared" ref="A8399:C8399" si="1498">A8398</f>
        <v>46029</v>
      </c>
      <c r="B8399" s="5" t="str">
        <f t="shared" si="1498"/>
        <v>Northern Cardinal</v>
      </c>
      <c r="C8399" s="6">
        <f t="shared" si="1498"/>
        <v>0.75</v>
      </c>
      <c r="D8399" s="5"/>
      <c r="E8399" s="5"/>
      <c r="F8399" s="5" t="s">
        <v>9</v>
      </c>
      <c r="G8399" s="15" t="s">
        <v>8</v>
      </c>
      <c r="H8399" s="24">
        <f t="shared" si="1412"/>
        <v>0</v>
      </c>
      <c r="I8399" s="24" cm="1">
        <f t="array" ref="I8399">IFERROR(IF($B8399=I$1, ($A8399+$C8399) - MAX(IF($B$2:$B8398=$B8399, $A$2:$A8398+$C$2:$C8398)), "")*24*60, "")</f>
        <v>0</v>
      </c>
      <c r="J8399" s="24" t="str" cm="1">
        <f t="array" ref="J8399">IFERROR(IF($B8399=J$1, ($A8399+$C8399) - MAX(IF($B$2:$B8398=$B8399, $A$2:$A8398+$C$2:$C8398)), "")*24*60, "")</f>
        <v/>
      </c>
      <c r="K8399" s="24" t="str" cm="1">
        <f t="array" ref="K8399">IFERROR(IF($B8399=K$1, ($A8399+$C8399) - MAX(IF($B$2:$B8398=$B8399, $A$2:$A8398+$C$2:$C8398)), "")*24*60, "")</f>
        <v/>
      </c>
      <c r="L8399" s="24" t="str" cm="1">
        <f t="array" ref="L8399">IFERROR(IF($B8399=L$1, ($A8399+$C8399) - MAX(IF($B$2:$B8398=$B8399, $A$2:$A8398+$C$2:$C8398)), "")*24*60, "")</f>
        <v/>
      </c>
      <c r="M8399" s="24" t="str" cm="1">
        <f t="array" ref="M8399">IFERROR(IF($B8399=M$1, ($A8399+$C8399) - MAX(IF($B$2:$B8398=$B8399, $A$2:$A8398+$C$2:$C8398)), "")*24*60, "")</f>
        <v/>
      </c>
      <c r="N8399" s="24" t="str" cm="1">
        <f t="array" ref="N8399">IFERROR(IF($B8399=N$1, ($A8399+$C8399) - MAX(IF($B$2:$B8398=$B8399, $A$2:$A8398+$C$2:$C8398)), "")*24*60, "")</f>
        <v/>
      </c>
      <c r="O8399" s="24" t="str" cm="1">
        <f t="array" ref="O8399">IFERROR(IF($B8399=O$1, ($A8399+$C8399) - MAX(IF($B$2:$B8398=$B8399, $A$2:$A8398+$C$2:$C8398)), "")*24*60, "")</f>
        <v/>
      </c>
      <c r="P8399" s="24" t="str" cm="1">
        <f t="array" ref="P8399">IFERROR(IF($B8399=P$1, ($A8399+$C8399) - MAX(IF($B$2:$B8398=$B8399, $A$2:$A8398+$C$2:$C8398)), "")*24*60, "")</f>
        <v/>
      </c>
      <c r="Q8399" s="24" t="str" cm="1">
        <f t="array" ref="Q8399">IFERROR(IF($B8399=Q$1, ($A8399+$C8399) - MAX(IF($B$2:$B8398=$B8399, $A$2:$A8398+$C$2:$C8398)), "")*24*60, "")</f>
        <v/>
      </c>
      <c r="R8399" s="24" t="str" cm="1">
        <f t="array" ref="R8399">IFERROR(IF($B8399=R$1, ($A8399+$C8399) - MAX(IF($B$2:$B8398=$B8399, $A$2:$A8398+$C$2:$C8398)), "")*24*60, "")</f>
        <v/>
      </c>
      <c r="S8399" s="24" t="str" cm="1">
        <f t="array" ref="S8399">IFERROR(IF($B8399=S$1, ($A8399+$C8399) - MAX(IF($B$2:$B8398=$B8399, $A$2:$A8398+$C$2:$C8398)), "")*24*60, "")</f>
        <v/>
      </c>
    </row>
    <row r="8400" spans="1:19" x14ac:dyDescent="0.2">
      <c r="A8400" s="12">
        <f t="shared" ref="A8400:C8400" si="1499">A8399</f>
        <v>46029</v>
      </c>
      <c r="B8400" s="5" t="str">
        <f t="shared" si="1499"/>
        <v>Northern Cardinal</v>
      </c>
      <c r="C8400" s="6">
        <f t="shared" si="1499"/>
        <v>0.75</v>
      </c>
      <c r="D8400" s="5"/>
      <c r="E8400" s="5"/>
      <c r="F8400" s="5" t="s">
        <v>9</v>
      </c>
      <c r="G8400" s="15" t="s">
        <v>8</v>
      </c>
      <c r="H8400" s="24">
        <f t="shared" si="1412"/>
        <v>0</v>
      </c>
      <c r="I8400" s="24" cm="1">
        <f t="array" ref="I8400">IFERROR(IF($B8400=I$1, ($A8400+$C8400) - MAX(IF($B$2:$B8399=$B8400, $A$2:$A8399+$C$2:$C8399)), "")*24*60, "")</f>
        <v>0</v>
      </c>
      <c r="J8400" s="24" t="str" cm="1">
        <f t="array" ref="J8400">IFERROR(IF($B8400=J$1, ($A8400+$C8400) - MAX(IF($B$2:$B8399=$B8400, $A$2:$A8399+$C$2:$C8399)), "")*24*60, "")</f>
        <v/>
      </c>
      <c r="K8400" s="24" t="str" cm="1">
        <f t="array" ref="K8400">IFERROR(IF($B8400=K$1, ($A8400+$C8400) - MAX(IF($B$2:$B8399=$B8400, $A$2:$A8399+$C$2:$C8399)), "")*24*60, "")</f>
        <v/>
      </c>
      <c r="L8400" s="24" t="str" cm="1">
        <f t="array" ref="L8400">IFERROR(IF($B8400=L$1, ($A8400+$C8400) - MAX(IF($B$2:$B8399=$B8400, $A$2:$A8399+$C$2:$C8399)), "")*24*60, "")</f>
        <v/>
      </c>
      <c r="M8400" s="24" t="str" cm="1">
        <f t="array" ref="M8400">IFERROR(IF($B8400=M$1, ($A8400+$C8400) - MAX(IF($B$2:$B8399=$B8400, $A$2:$A8399+$C$2:$C8399)), "")*24*60, "")</f>
        <v/>
      </c>
      <c r="N8400" s="24" t="str" cm="1">
        <f t="array" ref="N8400">IFERROR(IF($B8400=N$1, ($A8400+$C8400) - MAX(IF($B$2:$B8399=$B8400, $A$2:$A8399+$C$2:$C8399)), "")*24*60, "")</f>
        <v/>
      </c>
      <c r="O8400" s="24" t="str" cm="1">
        <f t="array" ref="O8400">IFERROR(IF($B8400=O$1, ($A8400+$C8400) - MAX(IF($B$2:$B8399=$B8400, $A$2:$A8399+$C$2:$C8399)), "")*24*60, "")</f>
        <v/>
      </c>
      <c r="P8400" s="24" t="str" cm="1">
        <f t="array" ref="P8400">IFERROR(IF($B8400=P$1, ($A8400+$C8400) - MAX(IF($B$2:$B8399=$B8400, $A$2:$A8399+$C$2:$C8399)), "")*24*60, "")</f>
        <v/>
      </c>
      <c r="Q8400" s="24" t="str" cm="1">
        <f t="array" ref="Q8400">IFERROR(IF($B8400=Q$1, ($A8400+$C8400) - MAX(IF($B$2:$B8399=$B8400, $A$2:$A8399+$C$2:$C8399)), "")*24*60, "")</f>
        <v/>
      </c>
      <c r="R8400" s="24" t="str" cm="1">
        <f t="array" ref="R8400">IFERROR(IF($B8400=R$1, ($A8400+$C8400) - MAX(IF($B$2:$B8399=$B8400, $A$2:$A8399+$C$2:$C8399)), "")*24*60, "")</f>
        <v/>
      </c>
      <c r="S8400" s="24" t="str" cm="1">
        <f t="array" ref="S8400">IFERROR(IF($B8400=S$1, ($A8400+$C8400) - MAX(IF($B$2:$B8399=$B8400, $A$2:$A8399+$C$2:$C8399)), "")*24*60, "")</f>
        <v/>
      </c>
    </row>
    <row r="8401" spans="1:19" x14ac:dyDescent="0.2">
      <c r="A8401" s="12">
        <f t="shared" ref="A8401:C8401" si="1500">A8400</f>
        <v>46029</v>
      </c>
      <c r="B8401" s="5" t="str">
        <f t="shared" si="1500"/>
        <v>Northern Cardinal</v>
      </c>
      <c r="C8401" s="6">
        <f t="shared" si="1500"/>
        <v>0.75</v>
      </c>
      <c r="D8401" s="5"/>
      <c r="E8401" s="5"/>
      <c r="F8401" s="5" t="s">
        <v>9</v>
      </c>
      <c r="G8401" s="15" t="s">
        <v>8</v>
      </c>
      <c r="H8401" s="24">
        <f t="shared" si="1412"/>
        <v>0</v>
      </c>
      <c r="I8401" s="24" cm="1">
        <f t="array" ref="I8401">IFERROR(IF($B8401=I$1, ($A8401+$C8401) - MAX(IF($B$2:$B8400=$B8401, $A$2:$A8400+$C$2:$C8400)), "")*24*60, "")</f>
        <v>0</v>
      </c>
      <c r="J8401" s="24" t="str" cm="1">
        <f t="array" ref="J8401">IFERROR(IF($B8401=J$1, ($A8401+$C8401) - MAX(IF($B$2:$B8400=$B8401, $A$2:$A8400+$C$2:$C8400)), "")*24*60, "")</f>
        <v/>
      </c>
      <c r="K8401" s="24" t="str" cm="1">
        <f t="array" ref="K8401">IFERROR(IF($B8401=K$1, ($A8401+$C8401) - MAX(IF($B$2:$B8400=$B8401, $A$2:$A8400+$C$2:$C8400)), "")*24*60, "")</f>
        <v/>
      </c>
      <c r="L8401" s="24" t="str" cm="1">
        <f t="array" ref="L8401">IFERROR(IF($B8401=L$1, ($A8401+$C8401) - MAX(IF($B$2:$B8400=$B8401, $A$2:$A8400+$C$2:$C8400)), "")*24*60, "")</f>
        <v/>
      </c>
      <c r="M8401" s="24" t="str" cm="1">
        <f t="array" ref="M8401">IFERROR(IF($B8401=M$1, ($A8401+$C8401) - MAX(IF($B$2:$B8400=$B8401, $A$2:$A8400+$C$2:$C8400)), "")*24*60, "")</f>
        <v/>
      </c>
      <c r="N8401" s="24" t="str" cm="1">
        <f t="array" ref="N8401">IFERROR(IF($B8401=N$1, ($A8401+$C8401) - MAX(IF($B$2:$B8400=$B8401, $A$2:$A8400+$C$2:$C8400)), "")*24*60, "")</f>
        <v/>
      </c>
      <c r="O8401" s="24" t="str" cm="1">
        <f t="array" ref="O8401">IFERROR(IF($B8401=O$1, ($A8401+$C8401) - MAX(IF($B$2:$B8400=$B8401, $A$2:$A8400+$C$2:$C8400)), "")*24*60, "")</f>
        <v/>
      </c>
      <c r="P8401" s="24" t="str" cm="1">
        <f t="array" ref="P8401">IFERROR(IF($B8401=P$1, ($A8401+$C8401) - MAX(IF($B$2:$B8400=$B8401, $A$2:$A8400+$C$2:$C8400)), "")*24*60, "")</f>
        <v/>
      </c>
      <c r="Q8401" s="24" t="str" cm="1">
        <f t="array" ref="Q8401">IFERROR(IF($B8401=Q$1, ($A8401+$C8401) - MAX(IF($B$2:$B8400=$B8401, $A$2:$A8400+$C$2:$C8400)), "")*24*60, "")</f>
        <v/>
      </c>
      <c r="R8401" s="24" t="str" cm="1">
        <f t="array" ref="R8401">IFERROR(IF($B8401=R$1, ($A8401+$C8401) - MAX(IF($B$2:$B8400=$B8401, $A$2:$A8400+$C$2:$C8400)), "")*24*60, "")</f>
        <v/>
      </c>
      <c r="S8401" s="24" t="str" cm="1">
        <f t="array" ref="S8401">IFERROR(IF($B8401=S$1, ($A8401+$C8401) - MAX(IF($B$2:$B8400=$B8401, $A$2:$A8400+$C$2:$C8400)), "")*24*60, "")</f>
        <v/>
      </c>
    </row>
    <row r="8402" spans="1:19" x14ac:dyDescent="0.2">
      <c r="A8402" s="12">
        <f t="shared" ref="A8402:C8402" si="1501">A8401</f>
        <v>46029</v>
      </c>
      <c r="B8402" s="5" t="str">
        <f t="shared" si="1501"/>
        <v>Northern Cardinal</v>
      </c>
      <c r="C8402" s="6">
        <f t="shared" si="1501"/>
        <v>0.75</v>
      </c>
      <c r="D8402" s="5"/>
      <c r="E8402" s="5"/>
      <c r="F8402" s="5" t="s">
        <v>9</v>
      </c>
      <c r="G8402" s="15" t="s">
        <v>8</v>
      </c>
      <c r="H8402" s="24">
        <f t="shared" si="1412"/>
        <v>0</v>
      </c>
      <c r="I8402" s="24" cm="1">
        <f t="array" ref="I8402">IFERROR(IF($B8402=I$1, ($A8402+$C8402) - MAX(IF($B$2:$B8401=$B8402, $A$2:$A8401+$C$2:$C8401)), "")*24*60, "")</f>
        <v>0</v>
      </c>
      <c r="J8402" s="24" t="str" cm="1">
        <f t="array" ref="J8402">IFERROR(IF($B8402=J$1, ($A8402+$C8402) - MAX(IF($B$2:$B8401=$B8402, $A$2:$A8401+$C$2:$C8401)), "")*24*60, "")</f>
        <v/>
      </c>
      <c r="K8402" s="24" t="str" cm="1">
        <f t="array" ref="K8402">IFERROR(IF($B8402=K$1, ($A8402+$C8402) - MAX(IF($B$2:$B8401=$B8402, $A$2:$A8401+$C$2:$C8401)), "")*24*60, "")</f>
        <v/>
      </c>
      <c r="L8402" s="24" t="str" cm="1">
        <f t="array" ref="L8402">IFERROR(IF($B8402=L$1, ($A8402+$C8402) - MAX(IF($B$2:$B8401=$B8402, $A$2:$A8401+$C$2:$C8401)), "")*24*60, "")</f>
        <v/>
      </c>
      <c r="M8402" s="24" t="str" cm="1">
        <f t="array" ref="M8402">IFERROR(IF($B8402=M$1, ($A8402+$C8402) - MAX(IF($B$2:$B8401=$B8402, $A$2:$A8401+$C$2:$C8401)), "")*24*60, "")</f>
        <v/>
      </c>
      <c r="N8402" s="24" t="str" cm="1">
        <f t="array" ref="N8402">IFERROR(IF($B8402=N$1, ($A8402+$C8402) - MAX(IF($B$2:$B8401=$B8402, $A$2:$A8401+$C$2:$C8401)), "")*24*60, "")</f>
        <v/>
      </c>
      <c r="O8402" s="24" t="str" cm="1">
        <f t="array" ref="O8402">IFERROR(IF($B8402=O$1, ($A8402+$C8402) - MAX(IF($B$2:$B8401=$B8402, $A$2:$A8401+$C$2:$C8401)), "")*24*60, "")</f>
        <v/>
      </c>
      <c r="P8402" s="24" t="str" cm="1">
        <f t="array" ref="P8402">IFERROR(IF($B8402=P$1, ($A8402+$C8402) - MAX(IF($B$2:$B8401=$B8402, $A$2:$A8401+$C$2:$C8401)), "")*24*60, "")</f>
        <v/>
      </c>
      <c r="Q8402" s="24" t="str" cm="1">
        <f t="array" ref="Q8402">IFERROR(IF($B8402=Q$1, ($A8402+$C8402) - MAX(IF($B$2:$B8401=$B8402, $A$2:$A8401+$C$2:$C8401)), "")*24*60, "")</f>
        <v/>
      </c>
      <c r="R8402" s="24" t="str" cm="1">
        <f t="array" ref="R8402">IFERROR(IF($B8402=R$1, ($A8402+$C8402) - MAX(IF($B$2:$B8401=$B8402, $A$2:$A8401+$C$2:$C8401)), "")*24*60, "")</f>
        <v/>
      </c>
      <c r="S8402" s="24" t="str" cm="1">
        <f t="array" ref="S8402">IFERROR(IF($B8402=S$1, ($A8402+$C8402) - MAX(IF($B$2:$B8401=$B8402, $A$2:$A8401+$C$2:$C8401)), "")*24*60, "")</f>
        <v/>
      </c>
    </row>
    <row r="8403" spans="1:19" x14ac:dyDescent="0.2">
      <c r="A8403" s="12">
        <f t="shared" ref="A8403:C8403" si="1502">A8402</f>
        <v>46029</v>
      </c>
      <c r="B8403" s="5" t="str">
        <f t="shared" si="1502"/>
        <v>Northern Cardinal</v>
      </c>
      <c r="C8403" s="6">
        <f t="shared" si="1502"/>
        <v>0.75</v>
      </c>
      <c r="D8403" s="5"/>
      <c r="E8403" s="5"/>
      <c r="F8403" s="5" t="s">
        <v>9</v>
      </c>
      <c r="G8403" s="15" t="s">
        <v>8</v>
      </c>
      <c r="H8403" s="24">
        <f t="shared" si="1412"/>
        <v>0</v>
      </c>
      <c r="I8403" s="24" cm="1">
        <f t="array" ref="I8403">IFERROR(IF($B8403=I$1, ($A8403+$C8403) - MAX(IF($B$2:$B8402=$B8403, $A$2:$A8402+$C$2:$C8402)), "")*24*60, "")</f>
        <v>0</v>
      </c>
      <c r="J8403" s="24" t="str" cm="1">
        <f t="array" ref="J8403">IFERROR(IF($B8403=J$1, ($A8403+$C8403) - MAX(IF($B$2:$B8402=$B8403, $A$2:$A8402+$C$2:$C8402)), "")*24*60, "")</f>
        <v/>
      </c>
      <c r="K8403" s="24" t="str" cm="1">
        <f t="array" ref="K8403">IFERROR(IF($B8403=K$1, ($A8403+$C8403) - MAX(IF($B$2:$B8402=$B8403, $A$2:$A8402+$C$2:$C8402)), "")*24*60, "")</f>
        <v/>
      </c>
      <c r="L8403" s="24" t="str" cm="1">
        <f t="array" ref="L8403">IFERROR(IF($B8403=L$1, ($A8403+$C8403) - MAX(IF($B$2:$B8402=$B8403, $A$2:$A8402+$C$2:$C8402)), "")*24*60, "")</f>
        <v/>
      </c>
      <c r="M8403" s="24" t="str" cm="1">
        <f t="array" ref="M8403">IFERROR(IF($B8403=M$1, ($A8403+$C8403) - MAX(IF($B$2:$B8402=$B8403, $A$2:$A8402+$C$2:$C8402)), "")*24*60, "")</f>
        <v/>
      </c>
      <c r="N8403" s="24" t="str" cm="1">
        <f t="array" ref="N8403">IFERROR(IF($B8403=N$1, ($A8403+$C8403) - MAX(IF($B$2:$B8402=$B8403, $A$2:$A8402+$C$2:$C8402)), "")*24*60, "")</f>
        <v/>
      </c>
      <c r="O8403" s="24" t="str" cm="1">
        <f t="array" ref="O8403">IFERROR(IF($B8403=O$1, ($A8403+$C8403) - MAX(IF($B$2:$B8402=$B8403, $A$2:$A8402+$C$2:$C8402)), "")*24*60, "")</f>
        <v/>
      </c>
      <c r="P8403" s="24" t="str" cm="1">
        <f t="array" ref="P8403">IFERROR(IF($B8403=P$1, ($A8403+$C8403) - MAX(IF($B$2:$B8402=$B8403, $A$2:$A8402+$C$2:$C8402)), "")*24*60, "")</f>
        <v/>
      </c>
      <c r="Q8403" s="24" t="str" cm="1">
        <f t="array" ref="Q8403">IFERROR(IF($B8403=Q$1, ($A8403+$C8403) - MAX(IF($B$2:$B8402=$B8403, $A$2:$A8402+$C$2:$C8402)), "")*24*60, "")</f>
        <v/>
      </c>
      <c r="R8403" s="24" t="str" cm="1">
        <f t="array" ref="R8403">IFERROR(IF($B8403=R$1, ($A8403+$C8403) - MAX(IF($B$2:$B8402=$B8403, $A$2:$A8402+$C$2:$C8402)), "")*24*60, "")</f>
        <v/>
      </c>
      <c r="S8403" s="24" t="str" cm="1">
        <f t="array" ref="S8403">IFERROR(IF($B8403=S$1, ($A8403+$C8403) - MAX(IF($B$2:$B8402=$B8403, $A$2:$A8402+$C$2:$C8402)), "")*24*60, "")</f>
        <v/>
      </c>
    </row>
    <row r="8404" spans="1:19" x14ac:dyDescent="0.2">
      <c r="A8404" s="12">
        <f t="shared" ref="A8404:C8404" si="1503">A8403</f>
        <v>46029</v>
      </c>
      <c r="B8404" s="5" t="str">
        <f t="shared" si="1503"/>
        <v>Northern Cardinal</v>
      </c>
      <c r="C8404" s="6">
        <f t="shared" si="1503"/>
        <v>0.75</v>
      </c>
      <c r="D8404" s="5"/>
      <c r="E8404" s="5"/>
      <c r="F8404" s="5" t="s">
        <v>9</v>
      </c>
      <c r="G8404" s="15" t="s">
        <v>8</v>
      </c>
      <c r="H8404" s="24">
        <f t="shared" si="1412"/>
        <v>0</v>
      </c>
      <c r="I8404" s="24" cm="1">
        <f t="array" ref="I8404">IFERROR(IF($B8404=I$1, ($A8404+$C8404) - MAX(IF($B$2:$B8403=$B8404, $A$2:$A8403+$C$2:$C8403)), "")*24*60, "")</f>
        <v>0</v>
      </c>
      <c r="J8404" s="24" t="str" cm="1">
        <f t="array" ref="J8404">IFERROR(IF($B8404=J$1, ($A8404+$C8404) - MAX(IF($B$2:$B8403=$B8404, $A$2:$A8403+$C$2:$C8403)), "")*24*60, "")</f>
        <v/>
      </c>
      <c r="K8404" s="24" t="str" cm="1">
        <f t="array" ref="K8404">IFERROR(IF($B8404=K$1, ($A8404+$C8404) - MAX(IF($B$2:$B8403=$B8404, $A$2:$A8403+$C$2:$C8403)), "")*24*60, "")</f>
        <v/>
      </c>
      <c r="L8404" s="24" t="str" cm="1">
        <f t="array" ref="L8404">IFERROR(IF($B8404=L$1, ($A8404+$C8404) - MAX(IF($B$2:$B8403=$B8404, $A$2:$A8403+$C$2:$C8403)), "")*24*60, "")</f>
        <v/>
      </c>
      <c r="M8404" s="24" t="str" cm="1">
        <f t="array" ref="M8404">IFERROR(IF($B8404=M$1, ($A8404+$C8404) - MAX(IF($B$2:$B8403=$B8404, $A$2:$A8403+$C$2:$C8403)), "")*24*60, "")</f>
        <v/>
      </c>
      <c r="N8404" s="24" t="str" cm="1">
        <f t="array" ref="N8404">IFERROR(IF($B8404=N$1, ($A8404+$C8404) - MAX(IF($B$2:$B8403=$B8404, $A$2:$A8403+$C$2:$C8403)), "")*24*60, "")</f>
        <v/>
      </c>
      <c r="O8404" s="24" t="str" cm="1">
        <f t="array" ref="O8404">IFERROR(IF($B8404=O$1, ($A8404+$C8404) - MAX(IF($B$2:$B8403=$B8404, $A$2:$A8403+$C$2:$C8403)), "")*24*60, "")</f>
        <v/>
      </c>
      <c r="P8404" s="24" t="str" cm="1">
        <f t="array" ref="P8404">IFERROR(IF($B8404=P$1, ($A8404+$C8404) - MAX(IF($B$2:$B8403=$B8404, $A$2:$A8403+$C$2:$C8403)), "")*24*60, "")</f>
        <v/>
      </c>
      <c r="Q8404" s="24" t="str" cm="1">
        <f t="array" ref="Q8404">IFERROR(IF($B8404=Q$1, ($A8404+$C8404) - MAX(IF($B$2:$B8403=$B8404, $A$2:$A8403+$C$2:$C8403)), "")*24*60, "")</f>
        <v/>
      </c>
      <c r="R8404" s="24" t="str" cm="1">
        <f t="array" ref="R8404">IFERROR(IF($B8404=R$1, ($A8404+$C8404) - MAX(IF($B$2:$B8403=$B8404, $A$2:$A8403+$C$2:$C8403)), "")*24*60, "")</f>
        <v/>
      </c>
      <c r="S8404" s="24" t="str" cm="1">
        <f t="array" ref="S8404">IFERROR(IF($B8404=S$1, ($A8404+$C8404) - MAX(IF($B$2:$B8403=$B8404, $A$2:$A8403+$C$2:$C8403)), "")*24*60, "")</f>
        <v/>
      </c>
    </row>
    <row r="8405" spans="1:19" x14ac:dyDescent="0.2">
      <c r="A8405" s="12">
        <f t="shared" ref="A8405:C8405" si="1504">A8404</f>
        <v>46029</v>
      </c>
      <c r="B8405" s="5" t="str">
        <f t="shared" si="1504"/>
        <v>Northern Cardinal</v>
      </c>
      <c r="C8405" s="6">
        <f t="shared" si="1504"/>
        <v>0.75</v>
      </c>
      <c r="D8405" s="5"/>
      <c r="E8405" s="5"/>
      <c r="F8405" s="5" t="s">
        <v>9</v>
      </c>
      <c r="G8405" s="15" t="s">
        <v>8</v>
      </c>
      <c r="H8405" s="24">
        <f t="shared" si="1412"/>
        <v>0</v>
      </c>
      <c r="I8405" s="24" cm="1">
        <f t="array" ref="I8405">IFERROR(IF($B8405=I$1, ($A8405+$C8405) - MAX(IF($B$2:$B8404=$B8405, $A$2:$A8404+$C$2:$C8404)), "")*24*60, "")</f>
        <v>0</v>
      </c>
      <c r="J8405" s="24" t="str" cm="1">
        <f t="array" ref="J8405">IFERROR(IF($B8405=J$1, ($A8405+$C8405) - MAX(IF($B$2:$B8404=$B8405, $A$2:$A8404+$C$2:$C8404)), "")*24*60, "")</f>
        <v/>
      </c>
      <c r="K8405" s="24" t="str" cm="1">
        <f t="array" ref="K8405">IFERROR(IF($B8405=K$1, ($A8405+$C8405) - MAX(IF($B$2:$B8404=$B8405, $A$2:$A8404+$C$2:$C8404)), "")*24*60, "")</f>
        <v/>
      </c>
      <c r="L8405" s="24" t="str" cm="1">
        <f t="array" ref="L8405">IFERROR(IF($B8405=L$1, ($A8405+$C8405) - MAX(IF($B$2:$B8404=$B8405, $A$2:$A8404+$C$2:$C8404)), "")*24*60, "")</f>
        <v/>
      </c>
      <c r="M8405" s="24" t="str" cm="1">
        <f t="array" ref="M8405">IFERROR(IF($B8405=M$1, ($A8405+$C8405) - MAX(IF($B$2:$B8404=$B8405, $A$2:$A8404+$C$2:$C8404)), "")*24*60, "")</f>
        <v/>
      </c>
      <c r="N8405" s="24" t="str" cm="1">
        <f t="array" ref="N8405">IFERROR(IF($B8405=N$1, ($A8405+$C8405) - MAX(IF($B$2:$B8404=$B8405, $A$2:$A8404+$C$2:$C8404)), "")*24*60, "")</f>
        <v/>
      </c>
      <c r="O8405" s="24" t="str" cm="1">
        <f t="array" ref="O8405">IFERROR(IF($B8405=O$1, ($A8405+$C8405) - MAX(IF($B$2:$B8404=$B8405, $A$2:$A8404+$C$2:$C8404)), "")*24*60, "")</f>
        <v/>
      </c>
      <c r="P8405" s="24" t="str" cm="1">
        <f t="array" ref="P8405">IFERROR(IF($B8405=P$1, ($A8405+$C8405) - MAX(IF($B$2:$B8404=$B8405, $A$2:$A8404+$C$2:$C8404)), "")*24*60, "")</f>
        <v/>
      </c>
      <c r="Q8405" s="24" t="str" cm="1">
        <f t="array" ref="Q8405">IFERROR(IF($B8405=Q$1, ($A8405+$C8405) - MAX(IF($B$2:$B8404=$B8405, $A$2:$A8404+$C$2:$C8404)), "")*24*60, "")</f>
        <v/>
      </c>
      <c r="R8405" s="24" t="str" cm="1">
        <f t="array" ref="R8405">IFERROR(IF($B8405=R$1, ($A8405+$C8405) - MAX(IF($B$2:$B8404=$B8405, $A$2:$A8404+$C$2:$C8404)), "")*24*60, "")</f>
        <v/>
      </c>
      <c r="S8405" s="24" t="str" cm="1">
        <f t="array" ref="S8405">IFERROR(IF($B8405=S$1, ($A8405+$C8405) - MAX(IF($B$2:$B8404=$B8405, $A$2:$A8404+$C$2:$C8404)), "")*24*60, "")</f>
        <v/>
      </c>
    </row>
    <row r="8406" spans="1:19" x14ac:dyDescent="0.2">
      <c r="A8406" s="12">
        <f t="shared" ref="A8406:C8406" si="1505">A8405</f>
        <v>46029</v>
      </c>
      <c r="B8406" s="5" t="str">
        <f t="shared" si="1505"/>
        <v>Northern Cardinal</v>
      </c>
      <c r="C8406" s="6">
        <f t="shared" si="1505"/>
        <v>0.75</v>
      </c>
      <c r="D8406" s="5"/>
      <c r="E8406" s="5"/>
      <c r="F8406" s="5" t="s">
        <v>9</v>
      </c>
      <c r="G8406" s="15" t="s">
        <v>8</v>
      </c>
      <c r="H8406" s="24">
        <f t="shared" si="1412"/>
        <v>0</v>
      </c>
      <c r="I8406" s="24" cm="1">
        <f t="array" ref="I8406">IFERROR(IF($B8406=I$1, ($A8406+$C8406) - MAX(IF($B$2:$B8405=$B8406, $A$2:$A8405+$C$2:$C8405)), "")*24*60, "")</f>
        <v>0</v>
      </c>
      <c r="J8406" s="24" t="str" cm="1">
        <f t="array" ref="J8406">IFERROR(IF($B8406=J$1, ($A8406+$C8406) - MAX(IF($B$2:$B8405=$B8406, $A$2:$A8405+$C$2:$C8405)), "")*24*60, "")</f>
        <v/>
      </c>
      <c r="K8406" s="24" t="str" cm="1">
        <f t="array" ref="K8406">IFERROR(IF($B8406=K$1, ($A8406+$C8406) - MAX(IF($B$2:$B8405=$B8406, $A$2:$A8405+$C$2:$C8405)), "")*24*60, "")</f>
        <v/>
      </c>
      <c r="L8406" s="24" t="str" cm="1">
        <f t="array" ref="L8406">IFERROR(IF($B8406=L$1, ($A8406+$C8406) - MAX(IF($B$2:$B8405=$B8406, $A$2:$A8405+$C$2:$C8405)), "")*24*60, "")</f>
        <v/>
      </c>
      <c r="M8406" s="24" t="str" cm="1">
        <f t="array" ref="M8406">IFERROR(IF($B8406=M$1, ($A8406+$C8406) - MAX(IF($B$2:$B8405=$B8406, $A$2:$A8405+$C$2:$C8405)), "")*24*60, "")</f>
        <v/>
      </c>
      <c r="N8406" s="24" t="str" cm="1">
        <f t="array" ref="N8406">IFERROR(IF($B8406=N$1, ($A8406+$C8406) - MAX(IF($B$2:$B8405=$B8406, $A$2:$A8405+$C$2:$C8405)), "")*24*60, "")</f>
        <v/>
      </c>
      <c r="O8406" s="24" t="str" cm="1">
        <f t="array" ref="O8406">IFERROR(IF($B8406=O$1, ($A8406+$C8406) - MAX(IF($B$2:$B8405=$B8406, $A$2:$A8405+$C$2:$C8405)), "")*24*60, "")</f>
        <v/>
      </c>
      <c r="P8406" s="24" t="str" cm="1">
        <f t="array" ref="P8406">IFERROR(IF($B8406=P$1, ($A8406+$C8406) - MAX(IF($B$2:$B8405=$B8406, $A$2:$A8405+$C$2:$C8405)), "")*24*60, "")</f>
        <v/>
      </c>
      <c r="Q8406" s="24" t="str" cm="1">
        <f t="array" ref="Q8406">IFERROR(IF($B8406=Q$1, ($A8406+$C8406) - MAX(IF($B$2:$B8405=$B8406, $A$2:$A8405+$C$2:$C8405)), "")*24*60, "")</f>
        <v/>
      </c>
      <c r="R8406" s="24" t="str" cm="1">
        <f t="array" ref="R8406">IFERROR(IF($B8406=R$1, ($A8406+$C8406) - MAX(IF($B$2:$B8405=$B8406, $A$2:$A8405+$C$2:$C8405)), "")*24*60, "")</f>
        <v/>
      </c>
      <c r="S8406" s="24" t="str" cm="1">
        <f t="array" ref="S8406">IFERROR(IF($B8406=S$1, ($A8406+$C8406) - MAX(IF($B$2:$B8405=$B8406, $A$2:$A8405+$C$2:$C8405)), "")*24*60, "")</f>
        <v/>
      </c>
    </row>
    <row r="8407" spans="1:19" x14ac:dyDescent="0.2">
      <c r="A8407" s="12">
        <f t="shared" ref="A8407:C8407" si="1506">A8406</f>
        <v>46029</v>
      </c>
      <c r="B8407" s="5" t="str">
        <f t="shared" si="1506"/>
        <v>Northern Cardinal</v>
      </c>
      <c r="C8407" s="6">
        <f t="shared" si="1506"/>
        <v>0.75</v>
      </c>
      <c r="D8407" s="5"/>
      <c r="E8407" s="5"/>
      <c r="F8407" s="5" t="s">
        <v>9</v>
      </c>
      <c r="G8407" s="15" t="s">
        <v>8</v>
      </c>
      <c r="H8407" s="24">
        <f t="shared" si="1412"/>
        <v>0</v>
      </c>
      <c r="I8407" s="24" cm="1">
        <f t="array" ref="I8407">IFERROR(IF($B8407=I$1, ($A8407+$C8407) - MAX(IF($B$2:$B8406=$B8407, $A$2:$A8406+$C$2:$C8406)), "")*24*60, "")</f>
        <v>0</v>
      </c>
      <c r="J8407" s="24" t="str" cm="1">
        <f t="array" ref="J8407">IFERROR(IF($B8407=J$1, ($A8407+$C8407) - MAX(IF($B$2:$B8406=$B8407, $A$2:$A8406+$C$2:$C8406)), "")*24*60, "")</f>
        <v/>
      </c>
      <c r="K8407" s="24" t="str" cm="1">
        <f t="array" ref="K8407">IFERROR(IF($B8407=K$1, ($A8407+$C8407) - MAX(IF($B$2:$B8406=$B8407, $A$2:$A8406+$C$2:$C8406)), "")*24*60, "")</f>
        <v/>
      </c>
      <c r="L8407" s="24" t="str" cm="1">
        <f t="array" ref="L8407">IFERROR(IF($B8407=L$1, ($A8407+$C8407) - MAX(IF($B$2:$B8406=$B8407, $A$2:$A8406+$C$2:$C8406)), "")*24*60, "")</f>
        <v/>
      </c>
      <c r="M8407" s="24" t="str" cm="1">
        <f t="array" ref="M8407">IFERROR(IF($B8407=M$1, ($A8407+$C8407) - MAX(IF($B$2:$B8406=$B8407, $A$2:$A8406+$C$2:$C8406)), "")*24*60, "")</f>
        <v/>
      </c>
      <c r="N8407" s="24" t="str" cm="1">
        <f t="array" ref="N8407">IFERROR(IF($B8407=N$1, ($A8407+$C8407) - MAX(IF($B$2:$B8406=$B8407, $A$2:$A8406+$C$2:$C8406)), "")*24*60, "")</f>
        <v/>
      </c>
      <c r="O8407" s="24" t="str" cm="1">
        <f t="array" ref="O8407">IFERROR(IF($B8407=O$1, ($A8407+$C8407) - MAX(IF($B$2:$B8406=$B8407, $A$2:$A8406+$C$2:$C8406)), "")*24*60, "")</f>
        <v/>
      </c>
      <c r="P8407" s="24" t="str" cm="1">
        <f t="array" ref="P8407">IFERROR(IF($B8407=P$1, ($A8407+$C8407) - MAX(IF($B$2:$B8406=$B8407, $A$2:$A8406+$C$2:$C8406)), "")*24*60, "")</f>
        <v/>
      </c>
      <c r="Q8407" s="24" t="str" cm="1">
        <f t="array" ref="Q8407">IFERROR(IF($B8407=Q$1, ($A8407+$C8407) - MAX(IF($B$2:$B8406=$B8407, $A$2:$A8406+$C$2:$C8406)), "")*24*60, "")</f>
        <v/>
      </c>
      <c r="R8407" s="24" t="str" cm="1">
        <f t="array" ref="R8407">IFERROR(IF($B8407=R$1, ($A8407+$C8407) - MAX(IF($B$2:$B8406=$B8407, $A$2:$A8406+$C$2:$C8406)), "")*24*60, "")</f>
        <v/>
      </c>
      <c r="S8407" s="24" t="str" cm="1">
        <f t="array" ref="S8407">IFERROR(IF($B8407=S$1, ($A8407+$C8407) - MAX(IF($B$2:$B8406=$B8407, $A$2:$A8406+$C$2:$C8406)), "")*24*60, "")</f>
        <v/>
      </c>
    </row>
    <row r="8408" spans="1:19" x14ac:dyDescent="0.2">
      <c r="A8408" s="12">
        <f t="shared" ref="A8408:C8408" si="1507">A8407</f>
        <v>46029</v>
      </c>
      <c r="B8408" s="5" t="str">
        <f t="shared" si="1507"/>
        <v>Northern Cardinal</v>
      </c>
      <c r="C8408" s="6">
        <f t="shared" si="1507"/>
        <v>0.75</v>
      </c>
      <c r="D8408" s="5"/>
      <c r="E8408" s="5"/>
      <c r="F8408" s="5" t="s">
        <v>9</v>
      </c>
      <c r="G8408" s="15" t="s">
        <v>8</v>
      </c>
      <c r="H8408" s="24">
        <f t="shared" si="1412"/>
        <v>0</v>
      </c>
      <c r="I8408" s="24" cm="1">
        <f t="array" ref="I8408">IFERROR(IF($B8408=I$1, ($A8408+$C8408) - MAX(IF($B$2:$B8407=$B8408, $A$2:$A8407+$C$2:$C8407)), "")*24*60, "")</f>
        <v>0</v>
      </c>
      <c r="J8408" s="24" t="str" cm="1">
        <f t="array" ref="J8408">IFERROR(IF($B8408=J$1, ($A8408+$C8408) - MAX(IF($B$2:$B8407=$B8408, $A$2:$A8407+$C$2:$C8407)), "")*24*60, "")</f>
        <v/>
      </c>
      <c r="K8408" s="24" t="str" cm="1">
        <f t="array" ref="K8408">IFERROR(IF($B8408=K$1, ($A8408+$C8408) - MAX(IF($B$2:$B8407=$B8408, $A$2:$A8407+$C$2:$C8407)), "")*24*60, "")</f>
        <v/>
      </c>
      <c r="L8408" s="24" t="str" cm="1">
        <f t="array" ref="L8408">IFERROR(IF($B8408=L$1, ($A8408+$C8408) - MAX(IF($B$2:$B8407=$B8408, $A$2:$A8407+$C$2:$C8407)), "")*24*60, "")</f>
        <v/>
      </c>
      <c r="M8408" s="24" t="str" cm="1">
        <f t="array" ref="M8408">IFERROR(IF($B8408=M$1, ($A8408+$C8408) - MAX(IF($B$2:$B8407=$B8408, $A$2:$A8407+$C$2:$C8407)), "")*24*60, "")</f>
        <v/>
      </c>
      <c r="N8408" s="24" t="str" cm="1">
        <f t="array" ref="N8408">IFERROR(IF($B8408=N$1, ($A8408+$C8408) - MAX(IF($B$2:$B8407=$B8408, $A$2:$A8407+$C$2:$C8407)), "")*24*60, "")</f>
        <v/>
      </c>
      <c r="O8408" s="24" t="str" cm="1">
        <f t="array" ref="O8408">IFERROR(IF($B8408=O$1, ($A8408+$C8408) - MAX(IF($B$2:$B8407=$B8408, $A$2:$A8407+$C$2:$C8407)), "")*24*60, "")</f>
        <v/>
      </c>
      <c r="P8408" s="24" t="str" cm="1">
        <f t="array" ref="P8408">IFERROR(IF($B8408=P$1, ($A8408+$C8408) - MAX(IF($B$2:$B8407=$B8408, $A$2:$A8407+$C$2:$C8407)), "")*24*60, "")</f>
        <v/>
      </c>
      <c r="Q8408" s="24" t="str" cm="1">
        <f t="array" ref="Q8408">IFERROR(IF($B8408=Q$1, ($A8408+$C8408) - MAX(IF($B$2:$B8407=$B8408, $A$2:$A8407+$C$2:$C8407)), "")*24*60, "")</f>
        <v/>
      </c>
      <c r="R8408" s="24" t="str" cm="1">
        <f t="array" ref="R8408">IFERROR(IF($B8408=R$1, ($A8408+$C8408) - MAX(IF($B$2:$B8407=$B8408, $A$2:$A8407+$C$2:$C8407)), "")*24*60, "")</f>
        <v/>
      </c>
      <c r="S8408" s="24" t="str" cm="1">
        <f t="array" ref="S8408">IFERROR(IF($B8408=S$1, ($A8408+$C8408) - MAX(IF($B$2:$B8407=$B8408, $A$2:$A8407+$C$2:$C8407)), "")*24*60, "")</f>
        <v/>
      </c>
    </row>
    <row r="8409" spans="1:19" x14ac:dyDescent="0.2">
      <c r="A8409" s="12">
        <f t="shared" ref="A8409:C8409" si="1508">A8408</f>
        <v>46029</v>
      </c>
      <c r="B8409" s="5" t="str">
        <f t="shared" si="1508"/>
        <v>Northern Cardinal</v>
      </c>
      <c r="C8409" s="6">
        <f t="shared" si="1508"/>
        <v>0.75</v>
      </c>
      <c r="D8409" s="5"/>
      <c r="E8409" s="5"/>
      <c r="F8409" s="5" t="s">
        <v>9</v>
      </c>
      <c r="G8409" s="15" t="s">
        <v>8</v>
      </c>
      <c r="H8409" s="24">
        <f t="shared" si="1412"/>
        <v>0</v>
      </c>
      <c r="I8409" s="24" cm="1">
        <f t="array" ref="I8409">IFERROR(IF($B8409=I$1, ($A8409+$C8409) - MAX(IF($B$2:$B8408=$B8409, $A$2:$A8408+$C$2:$C8408)), "")*24*60, "")</f>
        <v>0</v>
      </c>
      <c r="J8409" s="24" t="str" cm="1">
        <f t="array" ref="J8409">IFERROR(IF($B8409=J$1, ($A8409+$C8409) - MAX(IF($B$2:$B8408=$B8409, $A$2:$A8408+$C$2:$C8408)), "")*24*60, "")</f>
        <v/>
      </c>
      <c r="K8409" s="24" t="str" cm="1">
        <f t="array" ref="K8409">IFERROR(IF($B8409=K$1, ($A8409+$C8409) - MAX(IF($B$2:$B8408=$B8409, $A$2:$A8408+$C$2:$C8408)), "")*24*60, "")</f>
        <v/>
      </c>
      <c r="L8409" s="24" t="str" cm="1">
        <f t="array" ref="L8409">IFERROR(IF($B8409=L$1, ($A8409+$C8409) - MAX(IF($B$2:$B8408=$B8409, $A$2:$A8408+$C$2:$C8408)), "")*24*60, "")</f>
        <v/>
      </c>
      <c r="M8409" s="24" t="str" cm="1">
        <f t="array" ref="M8409">IFERROR(IF($B8409=M$1, ($A8409+$C8409) - MAX(IF($B$2:$B8408=$B8409, $A$2:$A8408+$C$2:$C8408)), "")*24*60, "")</f>
        <v/>
      </c>
      <c r="N8409" s="24" t="str" cm="1">
        <f t="array" ref="N8409">IFERROR(IF($B8409=N$1, ($A8409+$C8409) - MAX(IF($B$2:$B8408=$B8409, $A$2:$A8408+$C$2:$C8408)), "")*24*60, "")</f>
        <v/>
      </c>
      <c r="O8409" s="24" t="str" cm="1">
        <f t="array" ref="O8409">IFERROR(IF($B8409=O$1, ($A8409+$C8409) - MAX(IF($B$2:$B8408=$B8409, $A$2:$A8408+$C$2:$C8408)), "")*24*60, "")</f>
        <v/>
      </c>
      <c r="P8409" s="24" t="str" cm="1">
        <f t="array" ref="P8409">IFERROR(IF($B8409=P$1, ($A8409+$C8409) - MAX(IF($B$2:$B8408=$B8409, $A$2:$A8408+$C$2:$C8408)), "")*24*60, "")</f>
        <v/>
      </c>
      <c r="Q8409" s="24" t="str" cm="1">
        <f t="array" ref="Q8409">IFERROR(IF($B8409=Q$1, ($A8409+$C8409) - MAX(IF($B$2:$B8408=$B8409, $A$2:$A8408+$C$2:$C8408)), "")*24*60, "")</f>
        <v/>
      </c>
      <c r="R8409" s="24" t="str" cm="1">
        <f t="array" ref="R8409">IFERROR(IF($B8409=R$1, ($A8409+$C8409) - MAX(IF($B$2:$B8408=$B8409, $A$2:$A8408+$C$2:$C8408)), "")*24*60, "")</f>
        <v/>
      </c>
      <c r="S8409" s="24" t="str" cm="1">
        <f t="array" ref="S8409">IFERROR(IF($B8409=S$1, ($A8409+$C8409) - MAX(IF($B$2:$B8408=$B8409, $A$2:$A8408+$C$2:$C8408)), "")*24*60, "")</f>
        <v/>
      </c>
    </row>
    <row r="8410" spans="1:19" x14ac:dyDescent="0.2">
      <c r="A8410" s="12">
        <f t="shared" ref="A8410:C8410" si="1509">A8409</f>
        <v>46029</v>
      </c>
      <c r="B8410" s="5" t="str">
        <f t="shared" si="1509"/>
        <v>Northern Cardinal</v>
      </c>
      <c r="C8410" s="6">
        <f t="shared" si="1509"/>
        <v>0.75</v>
      </c>
      <c r="D8410" s="5"/>
      <c r="E8410" s="5"/>
      <c r="F8410" s="5" t="s">
        <v>9</v>
      </c>
      <c r="G8410" s="15" t="s">
        <v>8</v>
      </c>
      <c r="H8410" s="24">
        <f t="shared" si="1412"/>
        <v>0</v>
      </c>
      <c r="I8410" s="24" cm="1">
        <f t="array" ref="I8410">IFERROR(IF($B8410=I$1, ($A8410+$C8410) - MAX(IF($B$2:$B8409=$B8410, $A$2:$A8409+$C$2:$C8409)), "")*24*60, "")</f>
        <v>0</v>
      </c>
      <c r="J8410" s="24" t="str" cm="1">
        <f t="array" ref="J8410">IFERROR(IF($B8410=J$1, ($A8410+$C8410) - MAX(IF($B$2:$B8409=$B8410, $A$2:$A8409+$C$2:$C8409)), "")*24*60, "")</f>
        <v/>
      </c>
      <c r="K8410" s="24" t="str" cm="1">
        <f t="array" ref="K8410">IFERROR(IF($B8410=K$1, ($A8410+$C8410) - MAX(IF($B$2:$B8409=$B8410, $A$2:$A8409+$C$2:$C8409)), "")*24*60, "")</f>
        <v/>
      </c>
      <c r="L8410" s="24" t="str" cm="1">
        <f t="array" ref="L8410">IFERROR(IF($B8410=L$1, ($A8410+$C8410) - MAX(IF($B$2:$B8409=$B8410, $A$2:$A8409+$C$2:$C8409)), "")*24*60, "")</f>
        <v/>
      </c>
      <c r="M8410" s="24" t="str" cm="1">
        <f t="array" ref="M8410">IFERROR(IF($B8410=M$1, ($A8410+$C8410) - MAX(IF($B$2:$B8409=$B8410, $A$2:$A8409+$C$2:$C8409)), "")*24*60, "")</f>
        <v/>
      </c>
      <c r="N8410" s="24" t="str" cm="1">
        <f t="array" ref="N8410">IFERROR(IF($B8410=N$1, ($A8410+$C8410) - MAX(IF($B$2:$B8409=$B8410, $A$2:$A8409+$C$2:$C8409)), "")*24*60, "")</f>
        <v/>
      </c>
      <c r="O8410" s="24" t="str" cm="1">
        <f t="array" ref="O8410">IFERROR(IF($B8410=O$1, ($A8410+$C8410) - MAX(IF($B$2:$B8409=$B8410, $A$2:$A8409+$C$2:$C8409)), "")*24*60, "")</f>
        <v/>
      </c>
      <c r="P8410" s="24" t="str" cm="1">
        <f t="array" ref="P8410">IFERROR(IF($B8410=P$1, ($A8410+$C8410) - MAX(IF($B$2:$B8409=$B8410, $A$2:$A8409+$C$2:$C8409)), "")*24*60, "")</f>
        <v/>
      </c>
      <c r="Q8410" s="24" t="str" cm="1">
        <f t="array" ref="Q8410">IFERROR(IF($B8410=Q$1, ($A8410+$C8410) - MAX(IF($B$2:$B8409=$B8410, $A$2:$A8409+$C$2:$C8409)), "")*24*60, "")</f>
        <v/>
      </c>
      <c r="R8410" s="24" t="str" cm="1">
        <f t="array" ref="R8410">IFERROR(IF($B8410=R$1, ($A8410+$C8410) - MAX(IF($B$2:$B8409=$B8410, $A$2:$A8409+$C$2:$C8409)), "")*24*60, "")</f>
        <v/>
      </c>
      <c r="S8410" s="24" t="str" cm="1">
        <f t="array" ref="S8410">IFERROR(IF($B8410=S$1, ($A8410+$C8410) - MAX(IF($B$2:$B8409=$B8410, $A$2:$A8409+$C$2:$C8409)), "")*24*60, "")</f>
        <v/>
      </c>
    </row>
    <row r="8411" spans="1:19" x14ac:dyDescent="0.2">
      <c r="A8411" s="12">
        <f t="shared" ref="A8411:C8411" si="1510">A8410</f>
        <v>46029</v>
      </c>
      <c r="B8411" s="5" t="str">
        <f t="shared" si="1510"/>
        <v>Northern Cardinal</v>
      </c>
      <c r="C8411" s="6">
        <f t="shared" si="1510"/>
        <v>0.75</v>
      </c>
      <c r="D8411" s="5"/>
      <c r="E8411" s="5"/>
      <c r="F8411" s="5" t="s">
        <v>9</v>
      </c>
      <c r="G8411" s="15" t="s">
        <v>8</v>
      </c>
      <c r="H8411" s="24">
        <f t="shared" si="1412"/>
        <v>0</v>
      </c>
      <c r="I8411" s="24" cm="1">
        <f t="array" ref="I8411">IFERROR(IF($B8411=I$1, ($A8411+$C8411) - MAX(IF($B$2:$B8410=$B8411, $A$2:$A8410+$C$2:$C8410)), "")*24*60, "")</f>
        <v>0</v>
      </c>
      <c r="J8411" s="24" t="str" cm="1">
        <f t="array" ref="J8411">IFERROR(IF($B8411=J$1, ($A8411+$C8411) - MAX(IF($B$2:$B8410=$B8411, $A$2:$A8410+$C$2:$C8410)), "")*24*60, "")</f>
        <v/>
      </c>
      <c r="K8411" s="24" t="str" cm="1">
        <f t="array" ref="K8411">IFERROR(IF($B8411=K$1, ($A8411+$C8411) - MAX(IF($B$2:$B8410=$B8411, $A$2:$A8410+$C$2:$C8410)), "")*24*60, "")</f>
        <v/>
      </c>
      <c r="L8411" s="24" t="str" cm="1">
        <f t="array" ref="L8411">IFERROR(IF($B8411=L$1, ($A8411+$C8411) - MAX(IF($B$2:$B8410=$B8411, $A$2:$A8410+$C$2:$C8410)), "")*24*60, "")</f>
        <v/>
      </c>
      <c r="M8411" s="24" t="str" cm="1">
        <f t="array" ref="M8411">IFERROR(IF($B8411=M$1, ($A8411+$C8411) - MAX(IF($B$2:$B8410=$B8411, $A$2:$A8410+$C$2:$C8410)), "")*24*60, "")</f>
        <v/>
      </c>
      <c r="N8411" s="24" t="str" cm="1">
        <f t="array" ref="N8411">IFERROR(IF($B8411=N$1, ($A8411+$C8411) - MAX(IF($B$2:$B8410=$B8411, $A$2:$A8410+$C$2:$C8410)), "")*24*60, "")</f>
        <v/>
      </c>
      <c r="O8411" s="24" t="str" cm="1">
        <f t="array" ref="O8411">IFERROR(IF($B8411=O$1, ($A8411+$C8411) - MAX(IF($B$2:$B8410=$B8411, $A$2:$A8410+$C$2:$C8410)), "")*24*60, "")</f>
        <v/>
      </c>
      <c r="P8411" s="24" t="str" cm="1">
        <f t="array" ref="P8411">IFERROR(IF($B8411=P$1, ($A8411+$C8411) - MAX(IF($B$2:$B8410=$B8411, $A$2:$A8410+$C$2:$C8410)), "")*24*60, "")</f>
        <v/>
      </c>
      <c r="Q8411" s="24" t="str" cm="1">
        <f t="array" ref="Q8411">IFERROR(IF($B8411=Q$1, ($A8411+$C8411) - MAX(IF($B$2:$B8410=$B8411, $A$2:$A8410+$C$2:$C8410)), "")*24*60, "")</f>
        <v/>
      </c>
      <c r="R8411" s="24" t="str" cm="1">
        <f t="array" ref="R8411">IFERROR(IF($B8411=R$1, ($A8411+$C8411) - MAX(IF($B$2:$B8410=$B8411, $A$2:$A8410+$C$2:$C8410)), "")*24*60, "")</f>
        <v/>
      </c>
      <c r="S8411" s="24" t="str" cm="1">
        <f t="array" ref="S8411">IFERROR(IF($B8411=S$1, ($A8411+$C8411) - MAX(IF($B$2:$B8410=$B8411, $A$2:$A8410+$C$2:$C8410)), "")*24*60, "")</f>
        <v/>
      </c>
    </row>
    <row r="8412" spans="1:19" x14ac:dyDescent="0.2">
      <c r="A8412" s="12">
        <f t="shared" ref="A8412:C8412" si="1511">A8411</f>
        <v>46029</v>
      </c>
      <c r="B8412" s="5" t="str">
        <f t="shared" si="1511"/>
        <v>Northern Cardinal</v>
      </c>
      <c r="C8412" s="6">
        <f t="shared" si="1511"/>
        <v>0.75</v>
      </c>
      <c r="D8412" s="5"/>
      <c r="E8412" s="5"/>
      <c r="F8412" s="5" t="s">
        <v>9</v>
      </c>
      <c r="G8412" s="15" t="s">
        <v>8</v>
      </c>
      <c r="H8412" s="24">
        <f t="shared" si="1412"/>
        <v>0</v>
      </c>
      <c r="I8412" s="24" cm="1">
        <f t="array" ref="I8412">IFERROR(IF($B8412=I$1, ($A8412+$C8412) - MAX(IF($B$2:$B8411=$B8412, $A$2:$A8411+$C$2:$C8411)), "")*24*60, "")</f>
        <v>0</v>
      </c>
      <c r="J8412" s="24" t="str" cm="1">
        <f t="array" ref="J8412">IFERROR(IF($B8412=J$1, ($A8412+$C8412) - MAX(IF($B$2:$B8411=$B8412, $A$2:$A8411+$C$2:$C8411)), "")*24*60, "")</f>
        <v/>
      </c>
      <c r="K8412" s="24" t="str" cm="1">
        <f t="array" ref="K8412">IFERROR(IF($B8412=K$1, ($A8412+$C8412) - MAX(IF($B$2:$B8411=$B8412, $A$2:$A8411+$C$2:$C8411)), "")*24*60, "")</f>
        <v/>
      </c>
      <c r="L8412" s="24" t="str" cm="1">
        <f t="array" ref="L8412">IFERROR(IF($B8412=L$1, ($A8412+$C8412) - MAX(IF($B$2:$B8411=$B8412, $A$2:$A8411+$C$2:$C8411)), "")*24*60, "")</f>
        <v/>
      </c>
      <c r="M8412" s="24" t="str" cm="1">
        <f t="array" ref="M8412">IFERROR(IF($B8412=M$1, ($A8412+$C8412) - MAX(IF($B$2:$B8411=$B8412, $A$2:$A8411+$C$2:$C8411)), "")*24*60, "")</f>
        <v/>
      </c>
      <c r="N8412" s="24" t="str" cm="1">
        <f t="array" ref="N8412">IFERROR(IF($B8412=N$1, ($A8412+$C8412) - MAX(IF($B$2:$B8411=$B8412, $A$2:$A8411+$C$2:$C8411)), "")*24*60, "")</f>
        <v/>
      </c>
      <c r="O8412" s="24" t="str" cm="1">
        <f t="array" ref="O8412">IFERROR(IF($B8412=O$1, ($A8412+$C8412) - MAX(IF($B$2:$B8411=$B8412, $A$2:$A8411+$C$2:$C8411)), "")*24*60, "")</f>
        <v/>
      </c>
      <c r="P8412" s="24" t="str" cm="1">
        <f t="array" ref="P8412">IFERROR(IF($B8412=P$1, ($A8412+$C8412) - MAX(IF($B$2:$B8411=$B8412, $A$2:$A8411+$C$2:$C8411)), "")*24*60, "")</f>
        <v/>
      </c>
      <c r="Q8412" s="24" t="str" cm="1">
        <f t="array" ref="Q8412">IFERROR(IF($B8412=Q$1, ($A8412+$C8412) - MAX(IF($B$2:$B8411=$B8412, $A$2:$A8411+$C$2:$C8411)), "")*24*60, "")</f>
        <v/>
      </c>
      <c r="R8412" s="24" t="str" cm="1">
        <f t="array" ref="R8412">IFERROR(IF($B8412=R$1, ($A8412+$C8412) - MAX(IF($B$2:$B8411=$B8412, $A$2:$A8411+$C$2:$C8411)), "")*24*60, "")</f>
        <v/>
      </c>
      <c r="S8412" s="24" t="str" cm="1">
        <f t="array" ref="S8412">IFERROR(IF($B8412=S$1, ($A8412+$C8412) - MAX(IF($B$2:$B8411=$B8412, $A$2:$A8411+$C$2:$C8411)), "")*24*60, "")</f>
        <v/>
      </c>
    </row>
    <row r="8413" spans="1:19" x14ac:dyDescent="0.2">
      <c r="A8413" s="12">
        <f t="shared" ref="A8413:C8413" si="1512">A8412</f>
        <v>46029</v>
      </c>
      <c r="B8413" s="5" t="str">
        <f t="shared" si="1512"/>
        <v>Northern Cardinal</v>
      </c>
      <c r="C8413" s="6">
        <f t="shared" si="1512"/>
        <v>0.75</v>
      </c>
      <c r="D8413" s="5"/>
      <c r="E8413" s="5"/>
      <c r="F8413" s="5" t="s">
        <v>9</v>
      </c>
      <c r="G8413" s="15" t="s">
        <v>8</v>
      </c>
      <c r="H8413" s="24">
        <f t="shared" si="1412"/>
        <v>0</v>
      </c>
      <c r="I8413" s="24" cm="1">
        <f t="array" ref="I8413">IFERROR(IF($B8413=I$1, ($A8413+$C8413) - MAX(IF($B$2:$B8412=$B8413, $A$2:$A8412+$C$2:$C8412)), "")*24*60, "")</f>
        <v>0</v>
      </c>
      <c r="J8413" s="24" t="str" cm="1">
        <f t="array" ref="J8413">IFERROR(IF($B8413=J$1, ($A8413+$C8413) - MAX(IF($B$2:$B8412=$B8413, $A$2:$A8412+$C$2:$C8412)), "")*24*60, "")</f>
        <v/>
      </c>
      <c r="K8413" s="24" t="str" cm="1">
        <f t="array" ref="K8413">IFERROR(IF($B8413=K$1, ($A8413+$C8413) - MAX(IF($B$2:$B8412=$B8413, $A$2:$A8412+$C$2:$C8412)), "")*24*60, "")</f>
        <v/>
      </c>
      <c r="L8413" s="24" t="str" cm="1">
        <f t="array" ref="L8413">IFERROR(IF($B8413=L$1, ($A8413+$C8413) - MAX(IF($B$2:$B8412=$B8413, $A$2:$A8412+$C$2:$C8412)), "")*24*60, "")</f>
        <v/>
      </c>
      <c r="M8413" s="24" t="str" cm="1">
        <f t="array" ref="M8413">IFERROR(IF($B8413=M$1, ($A8413+$C8413) - MAX(IF($B$2:$B8412=$B8413, $A$2:$A8412+$C$2:$C8412)), "")*24*60, "")</f>
        <v/>
      </c>
      <c r="N8413" s="24" t="str" cm="1">
        <f t="array" ref="N8413">IFERROR(IF($B8413=N$1, ($A8413+$C8413) - MAX(IF($B$2:$B8412=$B8413, $A$2:$A8412+$C$2:$C8412)), "")*24*60, "")</f>
        <v/>
      </c>
      <c r="O8413" s="24" t="str" cm="1">
        <f t="array" ref="O8413">IFERROR(IF($B8413=O$1, ($A8413+$C8413) - MAX(IF($B$2:$B8412=$B8413, $A$2:$A8412+$C$2:$C8412)), "")*24*60, "")</f>
        <v/>
      </c>
      <c r="P8413" s="24" t="str" cm="1">
        <f t="array" ref="P8413">IFERROR(IF($B8413=P$1, ($A8413+$C8413) - MAX(IF($B$2:$B8412=$B8413, $A$2:$A8412+$C$2:$C8412)), "")*24*60, "")</f>
        <v/>
      </c>
      <c r="Q8413" s="24" t="str" cm="1">
        <f t="array" ref="Q8413">IFERROR(IF($B8413=Q$1, ($A8413+$C8413) - MAX(IF($B$2:$B8412=$B8413, $A$2:$A8412+$C$2:$C8412)), "")*24*60, "")</f>
        <v/>
      </c>
      <c r="R8413" s="24" t="str" cm="1">
        <f t="array" ref="R8413">IFERROR(IF($B8413=R$1, ($A8413+$C8413) - MAX(IF($B$2:$B8412=$B8413, $A$2:$A8412+$C$2:$C8412)), "")*24*60, "")</f>
        <v/>
      </c>
      <c r="S8413" s="24" t="str" cm="1">
        <f t="array" ref="S8413">IFERROR(IF($B8413=S$1, ($A8413+$C8413) - MAX(IF($B$2:$B8412=$B8413, $A$2:$A8412+$C$2:$C8412)), "")*24*60, "")</f>
        <v/>
      </c>
    </row>
    <row r="8414" spans="1:19" x14ac:dyDescent="0.2">
      <c r="A8414" s="12">
        <f t="shared" ref="A8414:C8414" si="1513">A8413</f>
        <v>46029</v>
      </c>
      <c r="B8414" s="5" t="str">
        <f t="shared" si="1513"/>
        <v>Northern Cardinal</v>
      </c>
      <c r="C8414" s="6">
        <f t="shared" si="1513"/>
        <v>0.75</v>
      </c>
      <c r="D8414" s="5"/>
      <c r="E8414" s="5"/>
      <c r="F8414" s="5" t="s">
        <v>9</v>
      </c>
      <c r="G8414" s="15" t="s">
        <v>8</v>
      </c>
      <c r="H8414" s="24">
        <f t="shared" si="1412"/>
        <v>0</v>
      </c>
      <c r="I8414" s="24" cm="1">
        <f t="array" ref="I8414">IFERROR(IF($B8414=I$1, ($A8414+$C8414) - MAX(IF($B$2:$B8413=$B8414, $A$2:$A8413+$C$2:$C8413)), "")*24*60, "")</f>
        <v>0</v>
      </c>
      <c r="J8414" s="24" t="str" cm="1">
        <f t="array" ref="J8414">IFERROR(IF($B8414=J$1, ($A8414+$C8414) - MAX(IF($B$2:$B8413=$B8414, $A$2:$A8413+$C$2:$C8413)), "")*24*60, "")</f>
        <v/>
      </c>
      <c r="K8414" s="24" t="str" cm="1">
        <f t="array" ref="K8414">IFERROR(IF($B8414=K$1, ($A8414+$C8414) - MAX(IF($B$2:$B8413=$B8414, $A$2:$A8413+$C$2:$C8413)), "")*24*60, "")</f>
        <v/>
      </c>
      <c r="L8414" s="24" t="str" cm="1">
        <f t="array" ref="L8414">IFERROR(IF($B8414=L$1, ($A8414+$C8414) - MAX(IF($B$2:$B8413=$B8414, $A$2:$A8413+$C$2:$C8413)), "")*24*60, "")</f>
        <v/>
      </c>
      <c r="M8414" s="24" t="str" cm="1">
        <f t="array" ref="M8414">IFERROR(IF($B8414=M$1, ($A8414+$C8414) - MAX(IF($B$2:$B8413=$B8414, $A$2:$A8413+$C$2:$C8413)), "")*24*60, "")</f>
        <v/>
      </c>
      <c r="N8414" s="24" t="str" cm="1">
        <f t="array" ref="N8414">IFERROR(IF($B8414=N$1, ($A8414+$C8414) - MAX(IF($B$2:$B8413=$B8414, $A$2:$A8413+$C$2:$C8413)), "")*24*60, "")</f>
        <v/>
      </c>
      <c r="O8414" s="24" t="str" cm="1">
        <f t="array" ref="O8414">IFERROR(IF($B8414=O$1, ($A8414+$C8414) - MAX(IF($B$2:$B8413=$B8414, $A$2:$A8413+$C$2:$C8413)), "")*24*60, "")</f>
        <v/>
      </c>
      <c r="P8414" s="24" t="str" cm="1">
        <f t="array" ref="P8414">IFERROR(IF($B8414=P$1, ($A8414+$C8414) - MAX(IF($B$2:$B8413=$B8414, $A$2:$A8413+$C$2:$C8413)), "")*24*60, "")</f>
        <v/>
      </c>
      <c r="Q8414" s="24" t="str" cm="1">
        <f t="array" ref="Q8414">IFERROR(IF($B8414=Q$1, ($A8414+$C8414) - MAX(IF($B$2:$B8413=$B8414, $A$2:$A8413+$C$2:$C8413)), "")*24*60, "")</f>
        <v/>
      </c>
      <c r="R8414" s="24" t="str" cm="1">
        <f t="array" ref="R8414">IFERROR(IF($B8414=R$1, ($A8414+$C8414) - MAX(IF($B$2:$B8413=$B8414, $A$2:$A8413+$C$2:$C8413)), "")*24*60, "")</f>
        <v/>
      </c>
      <c r="S8414" s="24" t="str" cm="1">
        <f t="array" ref="S8414">IFERROR(IF($B8414=S$1, ($A8414+$C8414) - MAX(IF($B$2:$B8413=$B8414, $A$2:$A8413+$C$2:$C8413)), "")*24*60, "")</f>
        <v/>
      </c>
    </row>
    <row r="8415" spans="1:19" x14ac:dyDescent="0.2">
      <c r="A8415" s="12">
        <f t="shared" ref="A8415:C8415" si="1514">A8414</f>
        <v>46029</v>
      </c>
      <c r="B8415" s="5" t="str">
        <f t="shared" si="1514"/>
        <v>Northern Cardinal</v>
      </c>
      <c r="C8415" s="6">
        <f t="shared" si="1514"/>
        <v>0.75</v>
      </c>
      <c r="D8415" s="5"/>
      <c r="E8415" s="5"/>
      <c r="F8415" s="5" t="s">
        <v>9</v>
      </c>
      <c r="G8415" s="15" t="s">
        <v>8</v>
      </c>
      <c r="H8415" s="24">
        <f t="shared" si="1412"/>
        <v>0</v>
      </c>
      <c r="I8415" s="24" cm="1">
        <f t="array" ref="I8415">IFERROR(IF($B8415=I$1, ($A8415+$C8415) - MAX(IF($B$2:$B8414=$B8415, $A$2:$A8414+$C$2:$C8414)), "")*24*60, "")</f>
        <v>0</v>
      </c>
      <c r="J8415" s="24" t="str" cm="1">
        <f t="array" ref="J8415">IFERROR(IF($B8415=J$1, ($A8415+$C8415) - MAX(IF($B$2:$B8414=$B8415, $A$2:$A8414+$C$2:$C8414)), "")*24*60, "")</f>
        <v/>
      </c>
      <c r="K8415" s="24" t="str" cm="1">
        <f t="array" ref="K8415">IFERROR(IF($B8415=K$1, ($A8415+$C8415) - MAX(IF($B$2:$B8414=$B8415, $A$2:$A8414+$C$2:$C8414)), "")*24*60, "")</f>
        <v/>
      </c>
      <c r="L8415" s="24" t="str" cm="1">
        <f t="array" ref="L8415">IFERROR(IF($B8415=L$1, ($A8415+$C8415) - MAX(IF($B$2:$B8414=$B8415, $A$2:$A8414+$C$2:$C8414)), "")*24*60, "")</f>
        <v/>
      </c>
      <c r="M8415" s="24" t="str" cm="1">
        <f t="array" ref="M8415">IFERROR(IF($B8415=M$1, ($A8415+$C8415) - MAX(IF($B$2:$B8414=$B8415, $A$2:$A8414+$C$2:$C8414)), "")*24*60, "")</f>
        <v/>
      </c>
      <c r="N8415" s="24" t="str" cm="1">
        <f t="array" ref="N8415">IFERROR(IF($B8415=N$1, ($A8415+$C8415) - MAX(IF($B$2:$B8414=$B8415, $A$2:$A8414+$C$2:$C8414)), "")*24*60, "")</f>
        <v/>
      </c>
      <c r="O8415" s="24" t="str" cm="1">
        <f t="array" ref="O8415">IFERROR(IF($B8415=O$1, ($A8415+$C8415) - MAX(IF($B$2:$B8414=$B8415, $A$2:$A8414+$C$2:$C8414)), "")*24*60, "")</f>
        <v/>
      </c>
      <c r="P8415" s="24" t="str" cm="1">
        <f t="array" ref="P8415">IFERROR(IF($B8415=P$1, ($A8415+$C8415) - MAX(IF($B$2:$B8414=$B8415, $A$2:$A8414+$C$2:$C8414)), "")*24*60, "")</f>
        <v/>
      </c>
      <c r="Q8415" s="24" t="str" cm="1">
        <f t="array" ref="Q8415">IFERROR(IF($B8415=Q$1, ($A8415+$C8415) - MAX(IF($B$2:$B8414=$B8415, $A$2:$A8414+$C$2:$C8414)), "")*24*60, "")</f>
        <v/>
      </c>
      <c r="R8415" s="24" t="str" cm="1">
        <f t="array" ref="R8415">IFERROR(IF($B8415=R$1, ($A8415+$C8415) - MAX(IF($B$2:$B8414=$B8415, $A$2:$A8414+$C$2:$C8414)), "")*24*60, "")</f>
        <v/>
      </c>
      <c r="S8415" s="24" t="str" cm="1">
        <f t="array" ref="S8415">IFERROR(IF($B8415=S$1, ($A8415+$C8415) - MAX(IF($B$2:$B8414=$B8415, $A$2:$A8414+$C$2:$C8414)), "")*24*60, "")</f>
        <v/>
      </c>
    </row>
    <row r="8416" spans="1:19" x14ac:dyDescent="0.2">
      <c r="A8416" s="12">
        <f t="shared" ref="A8416:C8416" si="1515">A8415</f>
        <v>46029</v>
      </c>
      <c r="B8416" s="5" t="str">
        <f t="shared" si="1515"/>
        <v>Northern Cardinal</v>
      </c>
      <c r="C8416" s="6">
        <f t="shared" si="1515"/>
        <v>0.75</v>
      </c>
      <c r="D8416" s="5"/>
      <c r="E8416" s="5"/>
      <c r="F8416" s="5" t="s">
        <v>9</v>
      </c>
      <c r="G8416" s="15" t="s">
        <v>8</v>
      </c>
      <c r="H8416" s="24">
        <f t="shared" si="1412"/>
        <v>0</v>
      </c>
      <c r="I8416" s="24" cm="1">
        <f t="array" ref="I8416">IFERROR(IF($B8416=I$1, ($A8416+$C8416) - MAX(IF($B$2:$B8415=$B8416, $A$2:$A8415+$C$2:$C8415)), "")*24*60, "")</f>
        <v>0</v>
      </c>
      <c r="J8416" s="24" t="str" cm="1">
        <f t="array" ref="J8416">IFERROR(IF($B8416=J$1, ($A8416+$C8416) - MAX(IF($B$2:$B8415=$B8416, $A$2:$A8415+$C$2:$C8415)), "")*24*60, "")</f>
        <v/>
      </c>
      <c r="K8416" s="24" t="str" cm="1">
        <f t="array" ref="K8416">IFERROR(IF($B8416=K$1, ($A8416+$C8416) - MAX(IF($B$2:$B8415=$B8416, $A$2:$A8415+$C$2:$C8415)), "")*24*60, "")</f>
        <v/>
      </c>
      <c r="L8416" s="24" t="str" cm="1">
        <f t="array" ref="L8416">IFERROR(IF($B8416=L$1, ($A8416+$C8416) - MAX(IF($B$2:$B8415=$B8416, $A$2:$A8415+$C$2:$C8415)), "")*24*60, "")</f>
        <v/>
      </c>
      <c r="M8416" s="24" t="str" cm="1">
        <f t="array" ref="M8416">IFERROR(IF($B8416=M$1, ($A8416+$C8416) - MAX(IF($B$2:$B8415=$B8416, $A$2:$A8415+$C$2:$C8415)), "")*24*60, "")</f>
        <v/>
      </c>
      <c r="N8416" s="24" t="str" cm="1">
        <f t="array" ref="N8416">IFERROR(IF($B8416=N$1, ($A8416+$C8416) - MAX(IF($B$2:$B8415=$B8416, $A$2:$A8415+$C$2:$C8415)), "")*24*60, "")</f>
        <v/>
      </c>
      <c r="O8416" s="24" t="str" cm="1">
        <f t="array" ref="O8416">IFERROR(IF($B8416=O$1, ($A8416+$C8416) - MAX(IF($B$2:$B8415=$B8416, $A$2:$A8415+$C$2:$C8415)), "")*24*60, "")</f>
        <v/>
      </c>
      <c r="P8416" s="24" t="str" cm="1">
        <f t="array" ref="P8416">IFERROR(IF($B8416=P$1, ($A8416+$C8416) - MAX(IF($B$2:$B8415=$B8416, $A$2:$A8415+$C$2:$C8415)), "")*24*60, "")</f>
        <v/>
      </c>
      <c r="Q8416" s="24" t="str" cm="1">
        <f t="array" ref="Q8416">IFERROR(IF($B8416=Q$1, ($A8416+$C8416) - MAX(IF($B$2:$B8415=$B8416, $A$2:$A8415+$C$2:$C8415)), "")*24*60, "")</f>
        <v/>
      </c>
      <c r="R8416" s="24" t="str" cm="1">
        <f t="array" ref="R8416">IFERROR(IF($B8416=R$1, ($A8416+$C8416) - MAX(IF($B$2:$B8415=$B8416, $A$2:$A8415+$C$2:$C8415)), "")*24*60, "")</f>
        <v/>
      </c>
      <c r="S8416" s="24" t="str" cm="1">
        <f t="array" ref="S8416">IFERROR(IF($B8416=S$1, ($A8416+$C8416) - MAX(IF($B$2:$B8415=$B8416, $A$2:$A8415+$C$2:$C8415)), "")*24*60, "")</f>
        <v/>
      </c>
    </row>
    <row r="8417" spans="1:19" x14ac:dyDescent="0.2">
      <c r="A8417" s="12">
        <f t="shared" ref="A8417:C8417" si="1516">A8416</f>
        <v>46029</v>
      </c>
      <c r="B8417" s="5" t="str">
        <f t="shared" si="1516"/>
        <v>Northern Cardinal</v>
      </c>
      <c r="C8417" s="6">
        <f t="shared" si="1516"/>
        <v>0.75</v>
      </c>
      <c r="D8417" s="5"/>
      <c r="E8417" s="5"/>
      <c r="F8417" s="5" t="s">
        <v>9</v>
      </c>
      <c r="G8417" s="15" t="s">
        <v>8</v>
      </c>
      <c r="H8417" s="24">
        <f t="shared" si="1412"/>
        <v>0</v>
      </c>
      <c r="I8417" s="24" cm="1">
        <f t="array" ref="I8417">IFERROR(IF($B8417=I$1, ($A8417+$C8417) - MAX(IF($B$2:$B8416=$B8417, $A$2:$A8416+$C$2:$C8416)), "")*24*60, "")</f>
        <v>0</v>
      </c>
      <c r="J8417" s="24" t="str" cm="1">
        <f t="array" ref="J8417">IFERROR(IF($B8417=J$1, ($A8417+$C8417) - MAX(IF($B$2:$B8416=$B8417, $A$2:$A8416+$C$2:$C8416)), "")*24*60, "")</f>
        <v/>
      </c>
      <c r="K8417" s="24" t="str" cm="1">
        <f t="array" ref="K8417">IFERROR(IF($B8417=K$1, ($A8417+$C8417) - MAX(IF($B$2:$B8416=$B8417, $A$2:$A8416+$C$2:$C8416)), "")*24*60, "")</f>
        <v/>
      </c>
      <c r="L8417" s="24" t="str" cm="1">
        <f t="array" ref="L8417">IFERROR(IF($B8417=L$1, ($A8417+$C8417) - MAX(IF($B$2:$B8416=$B8417, $A$2:$A8416+$C$2:$C8416)), "")*24*60, "")</f>
        <v/>
      </c>
      <c r="M8417" s="24" t="str" cm="1">
        <f t="array" ref="M8417">IFERROR(IF($B8417=M$1, ($A8417+$C8417) - MAX(IF($B$2:$B8416=$B8417, $A$2:$A8416+$C$2:$C8416)), "")*24*60, "")</f>
        <v/>
      </c>
      <c r="N8417" s="24" t="str" cm="1">
        <f t="array" ref="N8417">IFERROR(IF($B8417=N$1, ($A8417+$C8417) - MAX(IF($B$2:$B8416=$B8417, $A$2:$A8416+$C$2:$C8416)), "")*24*60, "")</f>
        <v/>
      </c>
      <c r="O8417" s="24" t="str" cm="1">
        <f t="array" ref="O8417">IFERROR(IF($B8417=O$1, ($A8417+$C8417) - MAX(IF($B$2:$B8416=$B8417, $A$2:$A8416+$C$2:$C8416)), "")*24*60, "")</f>
        <v/>
      </c>
      <c r="P8417" s="24" t="str" cm="1">
        <f t="array" ref="P8417">IFERROR(IF($B8417=P$1, ($A8417+$C8417) - MAX(IF($B$2:$B8416=$B8417, $A$2:$A8416+$C$2:$C8416)), "")*24*60, "")</f>
        <v/>
      </c>
      <c r="Q8417" s="24" t="str" cm="1">
        <f t="array" ref="Q8417">IFERROR(IF($B8417=Q$1, ($A8417+$C8417) - MAX(IF($B$2:$B8416=$B8417, $A$2:$A8416+$C$2:$C8416)), "")*24*60, "")</f>
        <v/>
      </c>
      <c r="R8417" s="24" t="str" cm="1">
        <f t="array" ref="R8417">IFERROR(IF($B8417=R$1, ($A8417+$C8417) - MAX(IF($B$2:$B8416=$B8417, $A$2:$A8416+$C$2:$C8416)), "")*24*60, "")</f>
        <v/>
      </c>
      <c r="S8417" s="24" t="str" cm="1">
        <f t="array" ref="S8417">IFERROR(IF($B8417=S$1, ($A8417+$C8417) - MAX(IF($B$2:$B8416=$B8417, $A$2:$A8416+$C$2:$C8416)), "")*24*60, "")</f>
        <v/>
      </c>
    </row>
    <row r="8418" spans="1:19" x14ac:dyDescent="0.2">
      <c r="A8418" s="12">
        <f t="shared" ref="A8418:C8418" si="1517">A8417</f>
        <v>46029</v>
      </c>
      <c r="B8418" s="5" t="str">
        <f t="shared" si="1517"/>
        <v>Northern Cardinal</v>
      </c>
      <c r="C8418" s="6">
        <f t="shared" si="1517"/>
        <v>0.75</v>
      </c>
      <c r="D8418" s="5"/>
      <c r="E8418" s="5"/>
      <c r="F8418" s="5" t="s">
        <v>9</v>
      </c>
      <c r="G8418" s="15" t="s">
        <v>8</v>
      </c>
      <c r="H8418" s="24">
        <f t="shared" si="1412"/>
        <v>0</v>
      </c>
      <c r="I8418" s="24" cm="1">
        <f t="array" ref="I8418">IFERROR(IF($B8418=I$1, ($A8418+$C8418) - MAX(IF($B$2:$B8417=$B8418, $A$2:$A8417+$C$2:$C8417)), "")*24*60, "")</f>
        <v>0</v>
      </c>
      <c r="J8418" s="24" t="str" cm="1">
        <f t="array" ref="J8418">IFERROR(IF($B8418=J$1, ($A8418+$C8418) - MAX(IF($B$2:$B8417=$B8418, $A$2:$A8417+$C$2:$C8417)), "")*24*60, "")</f>
        <v/>
      </c>
      <c r="K8418" s="24" t="str" cm="1">
        <f t="array" ref="K8418">IFERROR(IF($B8418=K$1, ($A8418+$C8418) - MAX(IF($B$2:$B8417=$B8418, $A$2:$A8417+$C$2:$C8417)), "")*24*60, "")</f>
        <v/>
      </c>
      <c r="L8418" s="24" t="str" cm="1">
        <f t="array" ref="L8418">IFERROR(IF($B8418=L$1, ($A8418+$C8418) - MAX(IF($B$2:$B8417=$B8418, $A$2:$A8417+$C$2:$C8417)), "")*24*60, "")</f>
        <v/>
      </c>
      <c r="M8418" s="24" t="str" cm="1">
        <f t="array" ref="M8418">IFERROR(IF($B8418=M$1, ($A8418+$C8418) - MAX(IF($B$2:$B8417=$B8418, $A$2:$A8417+$C$2:$C8417)), "")*24*60, "")</f>
        <v/>
      </c>
      <c r="N8418" s="24" t="str" cm="1">
        <f t="array" ref="N8418">IFERROR(IF($B8418=N$1, ($A8418+$C8418) - MAX(IF($B$2:$B8417=$B8418, $A$2:$A8417+$C$2:$C8417)), "")*24*60, "")</f>
        <v/>
      </c>
      <c r="O8418" s="24" t="str" cm="1">
        <f t="array" ref="O8418">IFERROR(IF($B8418=O$1, ($A8418+$C8418) - MAX(IF($B$2:$B8417=$B8418, $A$2:$A8417+$C$2:$C8417)), "")*24*60, "")</f>
        <v/>
      </c>
      <c r="P8418" s="24" t="str" cm="1">
        <f t="array" ref="P8418">IFERROR(IF($B8418=P$1, ($A8418+$C8418) - MAX(IF($B$2:$B8417=$B8418, $A$2:$A8417+$C$2:$C8417)), "")*24*60, "")</f>
        <v/>
      </c>
      <c r="Q8418" s="24" t="str" cm="1">
        <f t="array" ref="Q8418">IFERROR(IF($B8418=Q$1, ($A8418+$C8418) - MAX(IF($B$2:$B8417=$B8418, $A$2:$A8417+$C$2:$C8417)), "")*24*60, "")</f>
        <v/>
      </c>
      <c r="R8418" s="24" t="str" cm="1">
        <f t="array" ref="R8418">IFERROR(IF($B8418=R$1, ($A8418+$C8418) - MAX(IF($B$2:$B8417=$B8418, $A$2:$A8417+$C$2:$C8417)), "")*24*60, "")</f>
        <v/>
      </c>
      <c r="S8418" s="24" t="str" cm="1">
        <f t="array" ref="S8418">IFERROR(IF($B8418=S$1, ($A8418+$C8418) - MAX(IF($B$2:$B8417=$B8418, $A$2:$A8417+$C$2:$C8417)), "")*24*60, "")</f>
        <v/>
      </c>
    </row>
    <row r="8419" spans="1:19" x14ac:dyDescent="0.2">
      <c r="A8419" s="12">
        <f t="shared" ref="A8419:C8419" si="1518">A8418</f>
        <v>46029</v>
      </c>
      <c r="B8419" s="5" t="str">
        <f t="shared" si="1518"/>
        <v>Northern Cardinal</v>
      </c>
      <c r="C8419" s="6">
        <f t="shared" si="1518"/>
        <v>0.75</v>
      </c>
      <c r="D8419" s="5"/>
      <c r="E8419" s="5"/>
      <c r="F8419" s="5" t="s">
        <v>9</v>
      </c>
      <c r="G8419" s="15" t="s">
        <v>8</v>
      </c>
      <c r="H8419" s="24">
        <f t="shared" si="1412"/>
        <v>0</v>
      </c>
      <c r="I8419" s="24" cm="1">
        <f t="array" ref="I8419">IFERROR(IF($B8419=I$1, ($A8419+$C8419) - MAX(IF($B$2:$B8418=$B8419, $A$2:$A8418+$C$2:$C8418)), "")*24*60, "")</f>
        <v>0</v>
      </c>
      <c r="J8419" s="24" t="str" cm="1">
        <f t="array" ref="J8419">IFERROR(IF($B8419=J$1, ($A8419+$C8419) - MAX(IF($B$2:$B8418=$B8419, $A$2:$A8418+$C$2:$C8418)), "")*24*60, "")</f>
        <v/>
      </c>
      <c r="K8419" s="24" t="str" cm="1">
        <f t="array" ref="K8419">IFERROR(IF($B8419=K$1, ($A8419+$C8419) - MAX(IF($B$2:$B8418=$B8419, $A$2:$A8418+$C$2:$C8418)), "")*24*60, "")</f>
        <v/>
      </c>
      <c r="L8419" s="24" t="str" cm="1">
        <f t="array" ref="L8419">IFERROR(IF($B8419=L$1, ($A8419+$C8419) - MAX(IF($B$2:$B8418=$B8419, $A$2:$A8418+$C$2:$C8418)), "")*24*60, "")</f>
        <v/>
      </c>
      <c r="M8419" s="24" t="str" cm="1">
        <f t="array" ref="M8419">IFERROR(IF($B8419=M$1, ($A8419+$C8419) - MAX(IF($B$2:$B8418=$B8419, $A$2:$A8418+$C$2:$C8418)), "")*24*60, "")</f>
        <v/>
      </c>
      <c r="N8419" s="24" t="str" cm="1">
        <f t="array" ref="N8419">IFERROR(IF($B8419=N$1, ($A8419+$C8419) - MAX(IF($B$2:$B8418=$B8419, $A$2:$A8418+$C$2:$C8418)), "")*24*60, "")</f>
        <v/>
      </c>
      <c r="O8419" s="24" t="str" cm="1">
        <f t="array" ref="O8419">IFERROR(IF($B8419=O$1, ($A8419+$C8419) - MAX(IF($B$2:$B8418=$B8419, $A$2:$A8418+$C$2:$C8418)), "")*24*60, "")</f>
        <v/>
      </c>
      <c r="P8419" s="24" t="str" cm="1">
        <f t="array" ref="P8419">IFERROR(IF($B8419=P$1, ($A8419+$C8419) - MAX(IF($B$2:$B8418=$B8419, $A$2:$A8418+$C$2:$C8418)), "")*24*60, "")</f>
        <v/>
      </c>
      <c r="Q8419" s="24" t="str" cm="1">
        <f t="array" ref="Q8419">IFERROR(IF($B8419=Q$1, ($A8419+$C8419) - MAX(IF($B$2:$B8418=$B8419, $A$2:$A8418+$C$2:$C8418)), "")*24*60, "")</f>
        <v/>
      </c>
      <c r="R8419" s="24" t="str" cm="1">
        <f t="array" ref="R8419">IFERROR(IF($B8419=R$1, ($A8419+$C8419) - MAX(IF($B$2:$B8418=$B8419, $A$2:$A8418+$C$2:$C8418)), "")*24*60, "")</f>
        <v/>
      </c>
      <c r="S8419" s="24" t="str" cm="1">
        <f t="array" ref="S8419">IFERROR(IF($B8419=S$1, ($A8419+$C8419) - MAX(IF($B$2:$B8418=$B8419, $A$2:$A8418+$C$2:$C8418)), "")*24*60, "")</f>
        <v/>
      </c>
    </row>
    <row r="8420" spans="1:19" x14ac:dyDescent="0.2">
      <c r="A8420" s="12">
        <f t="shared" ref="A8420:C8420" si="1519">A8419</f>
        <v>46029</v>
      </c>
      <c r="B8420" s="5" t="str">
        <f t="shared" si="1519"/>
        <v>Northern Cardinal</v>
      </c>
      <c r="C8420" s="6">
        <f t="shared" si="1519"/>
        <v>0.75</v>
      </c>
      <c r="D8420" s="5"/>
      <c r="E8420" s="5"/>
      <c r="F8420" s="5" t="s">
        <v>9</v>
      </c>
      <c r="G8420" s="15" t="s">
        <v>8</v>
      </c>
      <c r="H8420" s="24">
        <f t="shared" si="1412"/>
        <v>0</v>
      </c>
      <c r="I8420" s="24" cm="1">
        <f t="array" ref="I8420">IFERROR(IF($B8420=I$1, ($A8420+$C8420) - MAX(IF($B$2:$B8419=$B8420, $A$2:$A8419+$C$2:$C8419)), "")*24*60, "")</f>
        <v>0</v>
      </c>
      <c r="J8420" s="24" t="str" cm="1">
        <f t="array" ref="J8420">IFERROR(IF($B8420=J$1, ($A8420+$C8420) - MAX(IF($B$2:$B8419=$B8420, $A$2:$A8419+$C$2:$C8419)), "")*24*60, "")</f>
        <v/>
      </c>
      <c r="K8420" s="24" t="str" cm="1">
        <f t="array" ref="K8420">IFERROR(IF($B8420=K$1, ($A8420+$C8420) - MAX(IF($B$2:$B8419=$B8420, $A$2:$A8419+$C$2:$C8419)), "")*24*60, "")</f>
        <v/>
      </c>
      <c r="L8420" s="24" t="str" cm="1">
        <f t="array" ref="L8420">IFERROR(IF($B8420=L$1, ($A8420+$C8420) - MAX(IF($B$2:$B8419=$B8420, $A$2:$A8419+$C$2:$C8419)), "")*24*60, "")</f>
        <v/>
      </c>
      <c r="M8420" s="24" t="str" cm="1">
        <f t="array" ref="M8420">IFERROR(IF($B8420=M$1, ($A8420+$C8420) - MAX(IF($B$2:$B8419=$B8420, $A$2:$A8419+$C$2:$C8419)), "")*24*60, "")</f>
        <v/>
      </c>
      <c r="N8420" s="24" t="str" cm="1">
        <f t="array" ref="N8420">IFERROR(IF($B8420=N$1, ($A8420+$C8420) - MAX(IF($B$2:$B8419=$B8420, $A$2:$A8419+$C$2:$C8419)), "")*24*60, "")</f>
        <v/>
      </c>
      <c r="O8420" s="24" t="str" cm="1">
        <f t="array" ref="O8420">IFERROR(IF($B8420=O$1, ($A8420+$C8420) - MAX(IF($B$2:$B8419=$B8420, $A$2:$A8419+$C$2:$C8419)), "")*24*60, "")</f>
        <v/>
      </c>
      <c r="P8420" s="24" t="str" cm="1">
        <f t="array" ref="P8420">IFERROR(IF($B8420=P$1, ($A8420+$C8420) - MAX(IF($B$2:$B8419=$B8420, $A$2:$A8419+$C$2:$C8419)), "")*24*60, "")</f>
        <v/>
      </c>
      <c r="Q8420" s="24" t="str" cm="1">
        <f t="array" ref="Q8420">IFERROR(IF($B8420=Q$1, ($A8420+$C8420) - MAX(IF($B$2:$B8419=$B8420, $A$2:$A8419+$C$2:$C8419)), "")*24*60, "")</f>
        <v/>
      </c>
      <c r="R8420" s="24" t="str" cm="1">
        <f t="array" ref="R8420">IFERROR(IF($B8420=R$1, ($A8420+$C8420) - MAX(IF($B$2:$B8419=$B8420, $A$2:$A8419+$C$2:$C8419)), "")*24*60, "")</f>
        <v/>
      </c>
      <c r="S8420" s="24" t="str" cm="1">
        <f t="array" ref="S8420">IFERROR(IF($B8420=S$1, ($A8420+$C8420) - MAX(IF($B$2:$B8419=$B8420, $A$2:$A8419+$C$2:$C8419)), "")*24*60, "")</f>
        <v/>
      </c>
    </row>
    <row r="8421" spans="1:19" x14ac:dyDescent="0.2">
      <c r="A8421" s="12">
        <f t="shared" ref="A8421:C8421" si="1520">A8420</f>
        <v>46029</v>
      </c>
      <c r="B8421" s="5" t="str">
        <f t="shared" si="1520"/>
        <v>Northern Cardinal</v>
      </c>
      <c r="C8421" s="6">
        <f t="shared" si="1520"/>
        <v>0.75</v>
      </c>
      <c r="D8421" s="5"/>
      <c r="E8421" s="5"/>
      <c r="F8421" s="5" t="s">
        <v>9</v>
      </c>
      <c r="G8421" s="15" t="s">
        <v>8</v>
      </c>
      <c r="H8421" s="24">
        <f t="shared" ref="H8421:H8484" si="1521">IFERROR((($A8421+$C8421) - ($A8420+$C8420))*24*60, "")</f>
        <v>0</v>
      </c>
      <c r="I8421" s="24" cm="1">
        <f t="array" ref="I8421">IFERROR(IF($B8421=I$1, ($A8421+$C8421) - MAX(IF($B$2:$B8420=$B8421, $A$2:$A8420+$C$2:$C8420)), "")*24*60, "")</f>
        <v>0</v>
      </c>
      <c r="J8421" s="24" t="str" cm="1">
        <f t="array" ref="J8421">IFERROR(IF($B8421=J$1, ($A8421+$C8421) - MAX(IF($B$2:$B8420=$B8421, $A$2:$A8420+$C$2:$C8420)), "")*24*60, "")</f>
        <v/>
      </c>
      <c r="K8421" s="24" t="str" cm="1">
        <f t="array" ref="K8421">IFERROR(IF($B8421=K$1, ($A8421+$C8421) - MAX(IF($B$2:$B8420=$B8421, $A$2:$A8420+$C$2:$C8420)), "")*24*60, "")</f>
        <v/>
      </c>
      <c r="L8421" s="24" t="str" cm="1">
        <f t="array" ref="L8421">IFERROR(IF($B8421=L$1, ($A8421+$C8421) - MAX(IF($B$2:$B8420=$B8421, $A$2:$A8420+$C$2:$C8420)), "")*24*60, "")</f>
        <v/>
      </c>
      <c r="M8421" s="24" t="str" cm="1">
        <f t="array" ref="M8421">IFERROR(IF($B8421=M$1, ($A8421+$C8421) - MAX(IF($B$2:$B8420=$B8421, $A$2:$A8420+$C$2:$C8420)), "")*24*60, "")</f>
        <v/>
      </c>
      <c r="N8421" s="24" t="str" cm="1">
        <f t="array" ref="N8421">IFERROR(IF($B8421=N$1, ($A8421+$C8421) - MAX(IF($B$2:$B8420=$B8421, $A$2:$A8420+$C$2:$C8420)), "")*24*60, "")</f>
        <v/>
      </c>
      <c r="O8421" s="24" t="str" cm="1">
        <f t="array" ref="O8421">IFERROR(IF($B8421=O$1, ($A8421+$C8421) - MAX(IF($B$2:$B8420=$B8421, $A$2:$A8420+$C$2:$C8420)), "")*24*60, "")</f>
        <v/>
      </c>
      <c r="P8421" s="24" t="str" cm="1">
        <f t="array" ref="P8421">IFERROR(IF($B8421=P$1, ($A8421+$C8421) - MAX(IF($B$2:$B8420=$B8421, $A$2:$A8420+$C$2:$C8420)), "")*24*60, "")</f>
        <v/>
      </c>
      <c r="Q8421" s="24" t="str" cm="1">
        <f t="array" ref="Q8421">IFERROR(IF($B8421=Q$1, ($A8421+$C8421) - MAX(IF($B$2:$B8420=$B8421, $A$2:$A8420+$C$2:$C8420)), "")*24*60, "")</f>
        <v/>
      </c>
      <c r="R8421" s="24" t="str" cm="1">
        <f t="array" ref="R8421">IFERROR(IF($B8421=R$1, ($A8421+$C8421) - MAX(IF($B$2:$B8420=$B8421, $A$2:$A8420+$C$2:$C8420)), "")*24*60, "")</f>
        <v/>
      </c>
      <c r="S8421" s="24" t="str" cm="1">
        <f t="array" ref="S8421">IFERROR(IF($B8421=S$1, ($A8421+$C8421) - MAX(IF($B$2:$B8420=$B8421, $A$2:$A8420+$C$2:$C8420)), "")*24*60, "")</f>
        <v/>
      </c>
    </row>
    <row r="8422" spans="1:19" x14ac:dyDescent="0.2">
      <c r="A8422" s="12">
        <f t="shared" ref="A8422:C8422" si="1522">A8421</f>
        <v>46029</v>
      </c>
      <c r="B8422" s="5" t="str">
        <f t="shared" si="1522"/>
        <v>Northern Cardinal</v>
      </c>
      <c r="C8422" s="6">
        <f t="shared" si="1522"/>
        <v>0.75</v>
      </c>
      <c r="D8422" s="5"/>
      <c r="E8422" s="5"/>
      <c r="F8422" s="5" t="s">
        <v>9</v>
      </c>
      <c r="G8422" s="15" t="s">
        <v>8</v>
      </c>
      <c r="H8422" s="24">
        <f t="shared" si="1521"/>
        <v>0</v>
      </c>
      <c r="I8422" s="24" cm="1">
        <f t="array" ref="I8422">IFERROR(IF($B8422=I$1, ($A8422+$C8422) - MAX(IF($B$2:$B8421=$B8422, $A$2:$A8421+$C$2:$C8421)), "")*24*60, "")</f>
        <v>0</v>
      </c>
      <c r="J8422" s="24" t="str" cm="1">
        <f t="array" ref="J8422">IFERROR(IF($B8422=J$1, ($A8422+$C8422) - MAX(IF($B$2:$B8421=$B8422, $A$2:$A8421+$C$2:$C8421)), "")*24*60, "")</f>
        <v/>
      </c>
      <c r="K8422" s="24" t="str" cm="1">
        <f t="array" ref="K8422">IFERROR(IF($B8422=K$1, ($A8422+$C8422) - MAX(IF($B$2:$B8421=$B8422, $A$2:$A8421+$C$2:$C8421)), "")*24*60, "")</f>
        <v/>
      </c>
      <c r="L8422" s="24" t="str" cm="1">
        <f t="array" ref="L8422">IFERROR(IF($B8422=L$1, ($A8422+$C8422) - MAX(IF($B$2:$B8421=$B8422, $A$2:$A8421+$C$2:$C8421)), "")*24*60, "")</f>
        <v/>
      </c>
      <c r="M8422" s="24" t="str" cm="1">
        <f t="array" ref="M8422">IFERROR(IF($B8422=M$1, ($A8422+$C8422) - MAX(IF($B$2:$B8421=$B8422, $A$2:$A8421+$C$2:$C8421)), "")*24*60, "")</f>
        <v/>
      </c>
      <c r="N8422" s="24" t="str" cm="1">
        <f t="array" ref="N8422">IFERROR(IF($B8422=N$1, ($A8422+$C8422) - MAX(IF($B$2:$B8421=$B8422, $A$2:$A8421+$C$2:$C8421)), "")*24*60, "")</f>
        <v/>
      </c>
      <c r="O8422" s="24" t="str" cm="1">
        <f t="array" ref="O8422">IFERROR(IF($B8422=O$1, ($A8422+$C8422) - MAX(IF($B$2:$B8421=$B8422, $A$2:$A8421+$C$2:$C8421)), "")*24*60, "")</f>
        <v/>
      </c>
      <c r="P8422" s="24" t="str" cm="1">
        <f t="array" ref="P8422">IFERROR(IF($B8422=P$1, ($A8422+$C8422) - MAX(IF($B$2:$B8421=$B8422, $A$2:$A8421+$C$2:$C8421)), "")*24*60, "")</f>
        <v/>
      </c>
      <c r="Q8422" s="24" t="str" cm="1">
        <f t="array" ref="Q8422">IFERROR(IF($B8422=Q$1, ($A8422+$C8422) - MAX(IF($B$2:$B8421=$B8422, $A$2:$A8421+$C$2:$C8421)), "")*24*60, "")</f>
        <v/>
      </c>
      <c r="R8422" s="24" t="str" cm="1">
        <f t="array" ref="R8422">IFERROR(IF($B8422=R$1, ($A8422+$C8422) - MAX(IF($B$2:$B8421=$B8422, $A$2:$A8421+$C$2:$C8421)), "")*24*60, "")</f>
        <v/>
      </c>
      <c r="S8422" s="24" t="str" cm="1">
        <f t="array" ref="S8422">IFERROR(IF($B8422=S$1, ($A8422+$C8422) - MAX(IF($B$2:$B8421=$B8422, $A$2:$A8421+$C$2:$C8421)), "")*24*60, "")</f>
        <v/>
      </c>
    </row>
    <row r="8423" spans="1:19" x14ac:dyDescent="0.2">
      <c r="A8423" s="12">
        <f t="shared" ref="A8423:C8423" si="1523">A8422</f>
        <v>46029</v>
      </c>
      <c r="B8423" s="5" t="str">
        <f t="shared" si="1523"/>
        <v>Northern Cardinal</v>
      </c>
      <c r="C8423" s="6">
        <f t="shared" si="1523"/>
        <v>0.75</v>
      </c>
      <c r="D8423" s="5"/>
      <c r="E8423" s="5"/>
      <c r="F8423" s="5" t="s">
        <v>9</v>
      </c>
      <c r="G8423" s="15" t="s">
        <v>8</v>
      </c>
      <c r="H8423" s="24">
        <f t="shared" si="1521"/>
        <v>0</v>
      </c>
      <c r="I8423" s="24" cm="1">
        <f t="array" ref="I8423">IFERROR(IF($B8423=I$1, ($A8423+$C8423) - MAX(IF($B$2:$B8422=$B8423, $A$2:$A8422+$C$2:$C8422)), "")*24*60, "")</f>
        <v>0</v>
      </c>
      <c r="J8423" s="24" t="str" cm="1">
        <f t="array" ref="J8423">IFERROR(IF($B8423=J$1, ($A8423+$C8423) - MAX(IF($B$2:$B8422=$B8423, $A$2:$A8422+$C$2:$C8422)), "")*24*60, "")</f>
        <v/>
      </c>
      <c r="K8423" s="24" t="str" cm="1">
        <f t="array" ref="K8423">IFERROR(IF($B8423=K$1, ($A8423+$C8423) - MAX(IF($B$2:$B8422=$B8423, $A$2:$A8422+$C$2:$C8422)), "")*24*60, "")</f>
        <v/>
      </c>
      <c r="L8423" s="24" t="str" cm="1">
        <f t="array" ref="L8423">IFERROR(IF($B8423=L$1, ($A8423+$C8423) - MAX(IF($B$2:$B8422=$B8423, $A$2:$A8422+$C$2:$C8422)), "")*24*60, "")</f>
        <v/>
      </c>
      <c r="M8423" s="24" t="str" cm="1">
        <f t="array" ref="M8423">IFERROR(IF($B8423=M$1, ($A8423+$C8423) - MAX(IF($B$2:$B8422=$B8423, $A$2:$A8422+$C$2:$C8422)), "")*24*60, "")</f>
        <v/>
      </c>
      <c r="N8423" s="24" t="str" cm="1">
        <f t="array" ref="N8423">IFERROR(IF($B8423=N$1, ($A8423+$C8423) - MAX(IF($B$2:$B8422=$B8423, $A$2:$A8422+$C$2:$C8422)), "")*24*60, "")</f>
        <v/>
      </c>
      <c r="O8423" s="24" t="str" cm="1">
        <f t="array" ref="O8423">IFERROR(IF($B8423=O$1, ($A8423+$C8423) - MAX(IF($B$2:$B8422=$B8423, $A$2:$A8422+$C$2:$C8422)), "")*24*60, "")</f>
        <v/>
      </c>
      <c r="P8423" s="24" t="str" cm="1">
        <f t="array" ref="P8423">IFERROR(IF($B8423=P$1, ($A8423+$C8423) - MAX(IF($B$2:$B8422=$B8423, $A$2:$A8422+$C$2:$C8422)), "")*24*60, "")</f>
        <v/>
      </c>
      <c r="Q8423" s="24" t="str" cm="1">
        <f t="array" ref="Q8423">IFERROR(IF($B8423=Q$1, ($A8423+$C8423) - MAX(IF($B$2:$B8422=$B8423, $A$2:$A8422+$C$2:$C8422)), "")*24*60, "")</f>
        <v/>
      </c>
      <c r="R8423" s="24" t="str" cm="1">
        <f t="array" ref="R8423">IFERROR(IF($B8423=R$1, ($A8423+$C8423) - MAX(IF($B$2:$B8422=$B8423, $A$2:$A8422+$C$2:$C8422)), "")*24*60, "")</f>
        <v/>
      </c>
      <c r="S8423" s="24" t="str" cm="1">
        <f t="array" ref="S8423">IFERROR(IF($B8423=S$1, ($A8423+$C8423) - MAX(IF($B$2:$B8422=$B8423, $A$2:$A8422+$C$2:$C8422)), "")*24*60, "")</f>
        <v/>
      </c>
    </row>
    <row r="8424" spans="1:19" x14ac:dyDescent="0.2">
      <c r="A8424" s="12">
        <f t="shared" ref="A8424:C8424" si="1524">A8423</f>
        <v>46029</v>
      </c>
      <c r="B8424" s="5" t="str">
        <f t="shared" si="1524"/>
        <v>Northern Cardinal</v>
      </c>
      <c r="C8424" s="6">
        <f t="shared" si="1524"/>
        <v>0.75</v>
      </c>
      <c r="D8424" s="5"/>
      <c r="E8424" s="5"/>
      <c r="F8424" s="5" t="s">
        <v>9</v>
      </c>
      <c r="G8424" s="15" t="s">
        <v>8</v>
      </c>
      <c r="H8424" s="24">
        <f t="shared" si="1521"/>
        <v>0</v>
      </c>
      <c r="I8424" s="24" cm="1">
        <f t="array" ref="I8424">IFERROR(IF($B8424=I$1, ($A8424+$C8424) - MAX(IF($B$2:$B8423=$B8424, $A$2:$A8423+$C$2:$C8423)), "")*24*60, "")</f>
        <v>0</v>
      </c>
      <c r="J8424" s="24" t="str" cm="1">
        <f t="array" ref="J8424">IFERROR(IF($B8424=J$1, ($A8424+$C8424) - MAX(IF($B$2:$B8423=$B8424, $A$2:$A8423+$C$2:$C8423)), "")*24*60, "")</f>
        <v/>
      </c>
      <c r="K8424" s="24" t="str" cm="1">
        <f t="array" ref="K8424">IFERROR(IF($B8424=K$1, ($A8424+$C8424) - MAX(IF($B$2:$B8423=$B8424, $A$2:$A8423+$C$2:$C8423)), "")*24*60, "")</f>
        <v/>
      </c>
      <c r="L8424" s="24" t="str" cm="1">
        <f t="array" ref="L8424">IFERROR(IF($B8424=L$1, ($A8424+$C8424) - MAX(IF($B$2:$B8423=$B8424, $A$2:$A8423+$C$2:$C8423)), "")*24*60, "")</f>
        <v/>
      </c>
      <c r="M8424" s="24" t="str" cm="1">
        <f t="array" ref="M8424">IFERROR(IF($B8424=M$1, ($A8424+$C8424) - MAX(IF($B$2:$B8423=$B8424, $A$2:$A8423+$C$2:$C8423)), "")*24*60, "")</f>
        <v/>
      </c>
      <c r="N8424" s="24" t="str" cm="1">
        <f t="array" ref="N8424">IFERROR(IF($B8424=N$1, ($A8424+$C8424) - MAX(IF($B$2:$B8423=$B8424, $A$2:$A8423+$C$2:$C8423)), "")*24*60, "")</f>
        <v/>
      </c>
      <c r="O8424" s="24" t="str" cm="1">
        <f t="array" ref="O8424">IFERROR(IF($B8424=O$1, ($A8424+$C8424) - MAX(IF($B$2:$B8423=$B8424, $A$2:$A8423+$C$2:$C8423)), "")*24*60, "")</f>
        <v/>
      </c>
      <c r="P8424" s="24" t="str" cm="1">
        <f t="array" ref="P8424">IFERROR(IF($B8424=P$1, ($A8424+$C8424) - MAX(IF($B$2:$B8423=$B8424, $A$2:$A8423+$C$2:$C8423)), "")*24*60, "")</f>
        <v/>
      </c>
      <c r="Q8424" s="24" t="str" cm="1">
        <f t="array" ref="Q8424">IFERROR(IF($B8424=Q$1, ($A8424+$C8424) - MAX(IF($B$2:$B8423=$B8424, $A$2:$A8423+$C$2:$C8423)), "")*24*60, "")</f>
        <v/>
      </c>
      <c r="R8424" s="24" t="str" cm="1">
        <f t="array" ref="R8424">IFERROR(IF($B8424=R$1, ($A8424+$C8424) - MAX(IF($B$2:$B8423=$B8424, $A$2:$A8423+$C$2:$C8423)), "")*24*60, "")</f>
        <v/>
      </c>
      <c r="S8424" s="24" t="str" cm="1">
        <f t="array" ref="S8424">IFERROR(IF($B8424=S$1, ($A8424+$C8424) - MAX(IF($B$2:$B8423=$B8424, $A$2:$A8423+$C$2:$C8423)), "")*24*60, "")</f>
        <v/>
      </c>
    </row>
    <row r="8425" spans="1:19" x14ac:dyDescent="0.2">
      <c r="A8425" s="12">
        <f t="shared" ref="A8425:C8425" si="1525">A8424</f>
        <v>46029</v>
      </c>
      <c r="B8425" s="5" t="str">
        <f t="shared" si="1525"/>
        <v>Northern Cardinal</v>
      </c>
      <c r="C8425" s="6">
        <f t="shared" si="1525"/>
        <v>0.75</v>
      </c>
      <c r="D8425" s="5"/>
      <c r="E8425" s="5"/>
      <c r="F8425" s="5" t="s">
        <v>9</v>
      </c>
      <c r="G8425" s="15" t="s">
        <v>8</v>
      </c>
      <c r="H8425" s="24">
        <f t="shared" si="1521"/>
        <v>0</v>
      </c>
      <c r="I8425" s="24" cm="1">
        <f t="array" ref="I8425">IFERROR(IF($B8425=I$1, ($A8425+$C8425) - MAX(IF($B$2:$B8424=$B8425, $A$2:$A8424+$C$2:$C8424)), "")*24*60, "")</f>
        <v>0</v>
      </c>
      <c r="J8425" s="24" t="str" cm="1">
        <f t="array" ref="J8425">IFERROR(IF($B8425=J$1, ($A8425+$C8425) - MAX(IF($B$2:$B8424=$B8425, $A$2:$A8424+$C$2:$C8424)), "")*24*60, "")</f>
        <v/>
      </c>
      <c r="K8425" s="24" t="str" cm="1">
        <f t="array" ref="K8425">IFERROR(IF($B8425=K$1, ($A8425+$C8425) - MAX(IF($B$2:$B8424=$B8425, $A$2:$A8424+$C$2:$C8424)), "")*24*60, "")</f>
        <v/>
      </c>
      <c r="L8425" s="24" t="str" cm="1">
        <f t="array" ref="L8425">IFERROR(IF($B8425=L$1, ($A8425+$C8425) - MAX(IF($B$2:$B8424=$B8425, $A$2:$A8424+$C$2:$C8424)), "")*24*60, "")</f>
        <v/>
      </c>
      <c r="M8425" s="24" t="str" cm="1">
        <f t="array" ref="M8425">IFERROR(IF($B8425=M$1, ($A8425+$C8425) - MAX(IF($B$2:$B8424=$B8425, $A$2:$A8424+$C$2:$C8424)), "")*24*60, "")</f>
        <v/>
      </c>
      <c r="N8425" s="24" t="str" cm="1">
        <f t="array" ref="N8425">IFERROR(IF($B8425=N$1, ($A8425+$C8425) - MAX(IF($B$2:$B8424=$B8425, $A$2:$A8424+$C$2:$C8424)), "")*24*60, "")</f>
        <v/>
      </c>
      <c r="O8425" s="24" t="str" cm="1">
        <f t="array" ref="O8425">IFERROR(IF($B8425=O$1, ($A8425+$C8425) - MAX(IF($B$2:$B8424=$B8425, $A$2:$A8424+$C$2:$C8424)), "")*24*60, "")</f>
        <v/>
      </c>
      <c r="P8425" s="24" t="str" cm="1">
        <f t="array" ref="P8425">IFERROR(IF($B8425=P$1, ($A8425+$C8425) - MAX(IF($B$2:$B8424=$B8425, $A$2:$A8424+$C$2:$C8424)), "")*24*60, "")</f>
        <v/>
      </c>
      <c r="Q8425" s="24" t="str" cm="1">
        <f t="array" ref="Q8425">IFERROR(IF($B8425=Q$1, ($A8425+$C8425) - MAX(IF($B$2:$B8424=$B8425, $A$2:$A8424+$C$2:$C8424)), "")*24*60, "")</f>
        <v/>
      </c>
      <c r="R8425" s="24" t="str" cm="1">
        <f t="array" ref="R8425">IFERROR(IF($B8425=R$1, ($A8425+$C8425) - MAX(IF($B$2:$B8424=$B8425, $A$2:$A8424+$C$2:$C8424)), "")*24*60, "")</f>
        <v/>
      </c>
      <c r="S8425" s="24" t="str" cm="1">
        <f t="array" ref="S8425">IFERROR(IF($B8425=S$1, ($A8425+$C8425) - MAX(IF($B$2:$B8424=$B8425, $A$2:$A8424+$C$2:$C8424)), "")*24*60, "")</f>
        <v/>
      </c>
    </row>
    <row r="8426" spans="1:19" x14ac:dyDescent="0.2">
      <c r="A8426" s="12">
        <f t="shared" ref="A8426:C8426" si="1526">A8425</f>
        <v>46029</v>
      </c>
      <c r="B8426" s="5" t="str">
        <f t="shared" si="1526"/>
        <v>Northern Cardinal</v>
      </c>
      <c r="C8426" s="6">
        <f t="shared" si="1526"/>
        <v>0.75</v>
      </c>
      <c r="D8426" s="5"/>
      <c r="E8426" s="5"/>
      <c r="F8426" s="5" t="s">
        <v>9</v>
      </c>
      <c r="G8426" s="15" t="s">
        <v>8</v>
      </c>
      <c r="H8426" s="24">
        <f t="shared" si="1521"/>
        <v>0</v>
      </c>
      <c r="I8426" s="24" cm="1">
        <f t="array" ref="I8426">IFERROR(IF($B8426=I$1, ($A8426+$C8426) - MAX(IF($B$2:$B8425=$B8426, $A$2:$A8425+$C$2:$C8425)), "")*24*60, "")</f>
        <v>0</v>
      </c>
      <c r="J8426" s="24" t="str" cm="1">
        <f t="array" ref="J8426">IFERROR(IF($B8426=J$1, ($A8426+$C8426) - MAX(IF($B$2:$B8425=$B8426, $A$2:$A8425+$C$2:$C8425)), "")*24*60, "")</f>
        <v/>
      </c>
      <c r="K8426" s="24" t="str" cm="1">
        <f t="array" ref="K8426">IFERROR(IF($B8426=K$1, ($A8426+$C8426) - MAX(IF($B$2:$B8425=$B8426, $A$2:$A8425+$C$2:$C8425)), "")*24*60, "")</f>
        <v/>
      </c>
      <c r="L8426" s="24" t="str" cm="1">
        <f t="array" ref="L8426">IFERROR(IF($B8426=L$1, ($A8426+$C8426) - MAX(IF($B$2:$B8425=$B8426, $A$2:$A8425+$C$2:$C8425)), "")*24*60, "")</f>
        <v/>
      </c>
      <c r="M8426" s="24" t="str" cm="1">
        <f t="array" ref="M8426">IFERROR(IF($B8426=M$1, ($A8426+$C8426) - MAX(IF($B$2:$B8425=$B8426, $A$2:$A8425+$C$2:$C8425)), "")*24*60, "")</f>
        <v/>
      </c>
      <c r="N8426" s="24" t="str" cm="1">
        <f t="array" ref="N8426">IFERROR(IF($B8426=N$1, ($A8426+$C8426) - MAX(IF($B$2:$B8425=$B8426, $A$2:$A8425+$C$2:$C8425)), "")*24*60, "")</f>
        <v/>
      </c>
      <c r="O8426" s="24" t="str" cm="1">
        <f t="array" ref="O8426">IFERROR(IF($B8426=O$1, ($A8426+$C8426) - MAX(IF($B$2:$B8425=$B8426, $A$2:$A8425+$C$2:$C8425)), "")*24*60, "")</f>
        <v/>
      </c>
      <c r="P8426" s="24" t="str" cm="1">
        <f t="array" ref="P8426">IFERROR(IF($B8426=P$1, ($A8426+$C8426) - MAX(IF($B$2:$B8425=$B8426, $A$2:$A8425+$C$2:$C8425)), "")*24*60, "")</f>
        <v/>
      </c>
      <c r="Q8426" s="24" t="str" cm="1">
        <f t="array" ref="Q8426">IFERROR(IF($B8426=Q$1, ($A8426+$C8426) - MAX(IF($B$2:$B8425=$B8426, $A$2:$A8425+$C$2:$C8425)), "")*24*60, "")</f>
        <v/>
      </c>
      <c r="R8426" s="24" t="str" cm="1">
        <f t="array" ref="R8426">IFERROR(IF($B8426=R$1, ($A8426+$C8426) - MAX(IF($B$2:$B8425=$B8426, $A$2:$A8425+$C$2:$C8425)), "")*24*60, "")</f>
        <v/>
      </c>
      <c r="S8426" s="24" t="str" cm="1">
        <f t="array" ref="S8426">IFERROR(IF($B8426=S$1, ($A8426+$C8426) - MAX(IF($B$2:$B8425=$B8426, $A$2:$A8425+$C$2:$C8425)), "")*24*60, "")</f>
        <v/>
      </c>
    </row>
    <row r="8427" spans="1:19" x14ac:dyDescent="0.2">
      <c r="A8427" s="12">
        <f t="shared" ref="A8427:C8427" si="1527">A8426</f>
        <v>46029</v>
      </c>
      <c r="B8427" s="5" t="str">
        <f t="shared" si="1527"/>
        <v>Northern Cardinal</v>
      </c>
      <c r="C8427" s="6">
        <f t="shared" si="1527"/>
        <v>0.75</v>
      </c>
      <c r="D8427" s="5"/>
      <c r="E8427" s="5"/>
      <c r="F8427" s="5" t="s">
        <v>9</v>
      </c>
      <c r="G8427" s="15" t="s">
        <v>8</v>
      </c>
      <c r="H8427" s="24">
        <f t="shared" si="1521"/>
        <v>0</v>
      </c>
      <c r="I8427" s="24" cm="1">
        <f t="array" ref="I8427">IFERROR(IF($B8427=I$1, ($A8427+$C8427) - MAX(IF($B$2:$B8426=$B8427, $A$2:$A8426+$C$2:$C8426)), "")*24*60, "")</f>
        <v>0</v>
      </c>
      <c r="J8427" s="24" t="str" cm="1">
        <f t="array" ref="J8427">IFERROR(IF($B8427=J$1, ($A8427+$C8427) - MAX(IF($B$2:$B8426=$B8427, $A$2:$A8426+$C$2:$C8426)), "")*24*60, "")</f>
        <v/>
      </c>
      <c r="K8427" s="24" t="str" cm="1">
        <f t="array" ref="K8427">IFERROR(IF($B8427=K$1, ($A8427+$C8427) - MAX(IF($B$2:$B8426=$B8427, $A$2:$A8426+$C$2:$C8426)), "")*24*60, "")</f>
        <v/>
      </c>
      <c r="L8427" s="24" t="str" cm="1">
        <f t="array" ref="L8427">IFERROR(IF($B8427=L$1, ($A8427+$C8427) - MAX(IF($B$2:$B8426=$B8427, $A$2:$A8426+$C$2:$C8426)), "")*24*60, "")</f>
        <v/>
      </c>
      <c r="M8427" s="24" t="str" cm="1">
        <f t="array" ref="M8427">IFERROR(IF($B8427=M$1, ($A8427+$C8427) - MAX(IF($B$2:$B8426=$B8427, $A$2:$A8426+$C$2:$C8426)), "")*24*60, "")</f>
        <v/>
      </c>
      <c r="N8427" s="24" t="str" cm="1">
        <f t="array" ref="N8427">IFERROR(IF($B8427=N$1, ($A8427+$C8427) - MAX(IF($B$2:$B8426=$B8427, $A$2:$A8426+$C$2:$C8426)), "")*24*60, "")</f>
        <v/>
      </c>
      <c r="O8427" s="24" t="str" cm="1">
        <f t="array" ref="O8427">IFERROR(IF($B8427=O$1, ($A8427+$C8427) - MAX(IF($B$2:$B8426=$B8427, $A$2:$A8426+$C$2:$C8426)), "")*24*60, "")</f>
        <v/>
      </c>
      <c r="P8427" s="24" t="str" cm="1">
        <f t="array" ref="P8427">IFERROR(IF($B8427=P$1, ($A8427+$C8427) - MAX(IF($B$2:$B8426=$B8427, $A$2:$A8426+$C$2:$C8426)), "")*24*60, "")</f>
        <v/>
      </c>
      <c r="Q8427" s="24" t="str" cm="1">
        <f t="array" ref="Q8427">IFERROR(IF($B8427=Q$1, ($A8427+$C8427) - MAX(IF($B$2:$B8426=$B8427, $A$2:$A8426+$C$2:$C8426)), "")*24*60, "")</f>
        <v/>
      </c>
      <c r="R8427" s="24" t="str" cm="1">
        <f t="array" ref="R8427">IFERROR(IF($B8427=R$1, ($A8427+$C8427) - MAX(IF($B$2:$B8426=$B8427, $A$2:$A8426+$C$2:$C8426)), "")*24*60, "")</f>
        <v/>
      </c>
      <c r="S8427" s="24" t="str" cm="1">
        <f t="array" ref="S8427">IFERROR(IF($B8427=S$1, ($A8427+$C8427) - MAX(IF($B$2:$B8426=$B8427, $A$2:$A8426+$C$2:$C8426)), "")*24*60, "")</f>
        <v/>
      </c>
    </row>
    <row r="8428" spans="1:19" x14ac:dyDescent="0.2">
      <c r="A8428" s="12">
        <f t="shared" ref="A8428:C8428" si="1528">A8427</f>
        <v>46029</v>
      </c>
      <c r="B8428" s="5" t="str">
        <f t="shared" si="1528"/>
        <v>Northern Cardinal</v>
      </c>
      <c r="C8428" s="6">
        <f t="shared" si="1528"/>
        <v>0.75</v>
      </c>
      <c r="D8428" s="5"/>
      <c r="E8428" s="5"/>
      <c r="F8428" s="5" t="s">
        <v>9</v>
      </c>
      <c r="G8428" s="15" t="s">
        <v>8</v>
      </c>
      <c r="H8428" s="24">
        <f t="shared" si="1521"/>
        <v>0</v>
      </c>
      <c r="I8428" s="24" cm="1">
        <f t="array" ref="I8428">IFERROR(IF($B8428=I$1, ($A8428+$C8428) - MAX(IF($B$2:$B8427=$B8428, $A$2:$A8427+$C$2:$C8427)), "")*24*60, "")</f>
        <v>0</v>
      </c>
      <c r="J8428" s="24" t="str" cm="1">
        <f t="array" ref="J8428">IFERROR(IF($B8428=J$1, ($A8428+$C8428) - MAX(IF($B$2:$B8427=$B8428, $A$2:$A8427+$C$2:$C8427)), "")*24*60, "")</f>
        <v/>
      </c>
      <c r="K8428" s="24" t="str" cm="1">
        <f t="array" ref="K8428">IFERROR(IF($B8428=K$1, ($A8428+$C8428) - MAX(IF($B$2:$B8427=$B8428, $A$2:$A8427+$C$2:$C8427)), "")*24*60, "")</f>
        <v/>
      </c>
      <c r="L8428" s="24" t="str" cm="1">
        <f t="array" ref="L8428">IFERROR(IF($B8428=L$1, ($A8428+$C8428) - MAX(IF($B$2:$B8427=$B8428, $A$2:$A8427+$C$2:$C8427)), "")*24*60, "")</f>
        <v/>
      </c>
      <c r="M8428" s="24" t="str" cm="1">
        <f t="array" ref="M8428">IFERROR(IF($B8428=M$1, ($A8428+$C8428) - MAX(IF($B$2:$B8427=$B8428, $A$2:$A8427+$C$2:$C8427)), "")*24*60, "")</f>
        <v/>
      </c>
      <c r="N8428" s="24" t="str" cm="1">
        <f t="array" ref="N8428">IFERROR(IF($B8428=N$1, ($A8428+$C8428) - MAX(IF($B$2:$B8427=$B8428, $A$2:$A8427+$C$2:$C8427)), "")*24*60, "")</f>
        <v/>
      </c>
      <c r="O8428" s="24" t="str" cm="1">
        <f t="array" ref="O8428">IFERROR(IF($B8428=O$1, ($A8428+$C8428) - MAX(IF($B$2:$B8427=$B8428, $A$2:$A8427+$C$2:$C8427)), "")*24*60, "")</f>
        <v/>
      </c>
      <c r="P8428" s="24" t="str" cm="1">
        <f t="array" ref="P8428">IFERROR(IF($B8428=P$1, ($A8428+$C8428) - MAX(IF($B$2:$B8427=$B8428, $A$2:$A8427+$C$2:$C8427)), "")*24*60, "")</f>
        <v/>
      </c>
      <c r="Q8428" s="24" t="str" cm="1">
        <f t="array" ref="Q8428">IFERROR(IF($B8428=Q$1, ($A8428+$C8428) - MAX(IF($B$2:$B8427=$B8428, $A$2:$A8427+$C$2:$C8427)), "")*24*60, "")</f>
        <v/>
      </c>
      <c r="R8428" s="24" t="str" cm="1">
        <f t="array" ref="R8428">IFERROR(IF($B8428=R$1, ($A8428+$C8428) - MAX(IF($B$2:$B8427=$B8428, $A$2:$A8427+$C$2:$C8427)), "")*24*60, "")</f>
        <v/>
      </c>
      <c r="S8428" s="24" t="str" cm="1">
        <f t="array" ref="S8428">IFERROR(IF($B8428=S$1, ($A8428+$C8428) - MAX(IF($B$2:$B8427=$B8428, $A$2:$A8427+$C$2:$C8427)), "")*24*60, "")</f>
        <v/>
      </c>
    </row>
    <row r="8429" spans="1:19" x14ac:dyDescent="0.2">
      <c r="A8429" s="12">
        <f t="shared" ref="A8429:C8429" si="1529">A8428</f>
        <v>46029</v>
      </c>
      <c r="B8429" s="5" t="str">
        <f t="shared" si="1529"/>
        <v>Northern Cardinal</v>
      </c>
      <c r="C8429" s="6">
        <f t="shared" si="1529"/>
        <v>0.75</v>
      </c>
      <c r="D8429" s="5"/>
      <c r="E8429" s="5"/>
      <c r="F8429" s="5" t="s">
        <v>9</v>
      </c>
      <c r="G8429" s="15" t="s">
        <v>8</v>
      </c>
      <c r="H8429" s="24">
        <f t="shared" si="1521"/>
        <v>0</v>
      </c>
      <c r="I8429" s="24" cm="1">
        <f t="array" ref="I8429">IFERROR(IF($B8429=I$1, ($A8429+$C8429) - MAX(IF($B$2:$B8428=$B8429, $A$2:$A8428+$C$2:$C8428)), "")*24*60, "")</f>
        <v>0</v>
      </c>
      <c r="J8429" s="24" t="str" cm="1">
        <f t="array" ref="J8429">IFERROR(IF($B8429=J$1, ($A8429+$C8429) - MAX(IF($B$2:$B8428=$B8429, $A$2:$A8428+$C$2:$C8428)), "")*24*60, "")</f>
        <v/>
      </c>
      <c r="K8429" s="24" t="str" cm="1">
        <f t="array" ref="K8429">IFERROR(IF($B8429=K$1, ($A8429+$C8429) - MAX(IF($B$2:$B8428=$B8429, $A$2:$A8428+$C$2:$C8428)), "")*24*60, "")</f>
        <v/>
      </c>
      <c r="L8429" s="24" t="str" cm="1">
        <f t="array" ref="L8429">IFERROR(IF($B8429=L$1, ($A8429+$C8429) - MAX(IF($B$2:$B8428=$B8429, $A$2:$A8428+$C$2:$C8428)), "")*24*60, "")</f>
        <v/>
      </c>
      <c r="M8429" s="24" t="str" cm="1">
        <f t="array" ref="M8429">IFERROR(IF($B8429=M$1, ($A8429+$C8429) - MAX(IF($B$2:$B8428=$B8429, $A$2:$A8428+$C$2:$C8428)), "")*24*60, "")</f>
        <v/>
      </c>
      <c r="N8429" s="24" t="str" cm="1">
        <f t="array" ref="N8429">IFERROR(IF($B8429=N$1, ($A8429+$C8429) - MAX(IF($B$2:$B8428=$B8429, $A$2:$A8428+$C$2:$C8428)), "")*24*60, "")</f>
        <v/>
      </c>
      <c r="O8429" s="24" t="str" cm="1">
        <f t="array" ref="O8429">IFERROR(IF($B8429=O$1, ($A8429+$C8429) - MAX(IF($B$2:$B8428=$B8429, $A$2:$A8428+$C$2:$C8428)), "")*24*60, "")</f>
        <v/>
      </c>
      <c r="P8429" s="24" t="str" cm="1">
        <f t="array" ref="P8429">IFERROR(IF($B8429=P$1, ($A8429+$C8429) - MAX(IF($B$2:$B8428=$B8429, $A$2:$A8428+$C$2:$C8428)), "")*24*60, "")</f>
        <v/>
      </c>
      <c r="Q8429" s="24" t="str" cm="1">
        <f t="array" ref="Q8429">IFERROR(IF($B8429=Q$1, ($A8429+$C8429) - MAX(IF($B$2:$B8428=$B8429, $A$2:$A8428+$C$2:$C8428)), "")*24*60, "")</f>
        <v/>
      </c>
      <c r="R8429" s="24" t="str" cm="1">
        <f t="array" ref="R8429">IFERROR(IF($B8429=R$1, ($A8429+$C8429) - MAX(IF($B$2:$B8428=$B8429, $A$2:$A8428+$C$2:$C8428)), "")*24*60, "")</f>
        <v/>
      </c>
      <c r="S8429" s="24" t="str" cm="1">
        <f t="array" ref="S8429">IFERROR(IF($B8429=S$1, ($A8429+$C8429) - MAX(IF($B$2:$B8428=$B8429, $A$2:$A8428+$C$2:$C8428)), "")*24*60, "")</f>
        <v/>
      </c>
    </row>
    <row r="8430" spans="1:19" x14ac:dyDescent="0.2">
      <c r="A8430" s="12">
        <f t="shared" ref="A8430:C8430" si="1530">A8429</f>
        <v>46029</v>
      </c>
      <c r="B8430" s="5" t="str">
        <f t="shared" si="1530"/>
        <v>Northern Cardinal</v>
      </c>
      <c r="C8430" s="6">
        <f t="shared" si="1530"/>
        <v>0.75</v>
      </c>
      <c r="D8430" s="5"/>
      <c r="E8430" s="5"/>
      <c r="F8430" s="5" t="s">
        <v>9</v>
      </c>
      <c r="G8430" s="15" t="s">
        <v>8</v>
      </c>
      <c r="H8430" s="24">
        <f t="shared" si="1521"/>
        <v>0</v>
      </c>
      <c r="I8430" s="24" cm="1">
        <f t="array" ref="I8430">IFERROR(IF($B8430=I$1, ($A8430+$C8430) - MAX(IF($B$2:$B8429=$B8430, $A$2:$A8429+$C$2:$C8429)), "")*24*60, "")</f>
        <v>0</v>
      </c>
      <c r="J8430" s="24" t="str" cm="1">
        <f t="array" ref="J8430">IFERROR(IF($B8430=J$1, ($A8430+$C8430) - MAX(IF($B$2:$B8429=$B8430, $A$2:$A8429+$C$2:$C8429)), "")*24*60, "")</f>
        <v/>
      </c>
      <c r="K8430" s="24" t="str" cm="1">
        <f t="array" ref="K8430">IFERROR(IF($B8430=K$1, ($A8430+$C8430) - MAX(IF($B$2:$B8429=$B8430, $A$2:$A8429+$C$2:$C8429)), "")*24*60, "")</f>
        <v/>
      </c>
      <c r="L8430" s="24" t="str" cm="1">
        <f t="array" ref="L8430">IFERROR(IF($B8430=L$1, ($A8430+$C8430) - MAX(IF($B$2:$B8429=$B8430, $A$2:$A8429+$C$2:$C8429)), "")*24*60, "")</f>
        <v/>
      </c>
      <c r="M8430" s="24" t="str" cm="1">
        <f t="array" ref="M8430">IFERROR(IF($B8430=M$1, ($A8430+$C8430) - MAX(IF($B$2:$B8429=$B8430, $A$2:$A8429+$C$2:$C8429)), "")*24*60, "")</f>
        <v/>
      </c>
      <c r="N8430" s="24" t="str" cm="1">
        <f t="array" ref="N8430">IFERROR(IF($B8430=N$1, ($A8430+$C8430) - MAX(IF($B$2:$B8429=$B8430, $A$2:$A8429+$C$2:$C8429)), "")*24*60, "")</f>
        <v/>
      </c>
      <c r="O8430" s="24" t="str" cm="1">
        <f t="array" ref="O8430">IFERROR(IF($B8430=O$1, ($A8430+$C8430) - MAX(IF($B$2:$B8429=$B8430, $A$2:$A8429+$C$2:$C8429)), "")*24*60, "")</f>
        <v/>
      </c>
      <c r="P8430" s="24" t="str" cm="1">
        <f t="array" ref="P8430">IFERROR(IF($B8430=P$1, ($A8430+$C8430) - MAX(IF($B$2:$B8429=$B8430, $A$2:$A8429+$C$2:$C8429)), "")*24*60, "")</f>
        <v/>
      </c>
      <c r="Q8430" s="24" t="str" cm="1">
        <f t="array" ref="Q8430">IFERROR(IF($B8430=Q$1, ($A8430+$C8430) - MAX(IF($B$2:$B8429=$B8430, $A$2:$A8429+$C$2:$C8429)), "")*24*60, "")</f>
        <v/>
      </c>
      <c r="R8430" s="24" t="str" cm="1">
        <f t="array" ref="R8430">IFERROR(IF($B8430=R$1, ($A8430+$C8430) - MAX(IF($B$2:$B8429=$B8430, $A$2:$A8429+$C$2:$C8429)), "")*24*60, "")</f>
        <v/>
      </c>
      <c r="S8430" s="24" t="str" cm="1">
        <f t="array" ref="S8430">IFERROR(IF($B8430=S$1, ($A8430+$C8430) - MAX(IF($B$2:$B8429=$B8430, $A$2:$A8429+$C$2:$C8429)), "")*24*60, "")</f>
        <v/>
      </c>
    </row>
    <row r="8431" spans="1:19" x14ac:dyDescent="0.2">
      <c r="A8431" s="12">
        <f t="shared" ref="A8431:C8431" si="1531">A8430</f>
        <v>46029</v>
      </c>
      <c r="B8431" s="5" t="str">
        <f t="shared" si="1531"/>
        <v>Northern Cardinal</v>
      </c>
      <c r="C8431" s="6">
        <f t="shared" si="1531"/>
        <v>0.75</v>
      </c>
      <c r="D8431" s="5"/>
      <c r="E8431" s="5"/>
      <c r="F8431" s="5" t="s">
        <v>9</v>
      </c>
      <c r="G8431" s="15" t="s">
        <v>8</v>
      </c>
      <c r="H8431" s="24">
        <f t="shared" si="1521"/>
        <v>0</v>
      </c>
      <c r="I8431" s="24" cm="1">
        <f t="array" ref="I8431">IFERROR(IF($B8431=I$1, ($A8431+$C8431) - MAX(IF($B$2:$B8430=$B8431, $A$2:$A8430+$C$2:$C8430)), "")*24*60, "")</f>
        <v>0</v>
      </c>
      <c r="J8431" s="24" t="str" cm="1">
        <f t="array" ref="J8431">IFERROR(IF($B8431=J$1, ($A8431+$C8431) - MAX(IF($B$2:$B8430=$B8431, $A$2:$A8430+$C$2:$C8430)), "")*24*60, "")</f>
        <v/>
      </c>
      <c r="K8431" s="24" t="str" cm="1">
        <f t="array" ref="K8431">IFERROR(IF($B8431=K$1, ($A8431+$C8431) - MAX(IF($B$2:$B8430=$B8431, $A$2:$A8430+$C$2:$C8430)), "")*24*60, "")</f>
        <v/>
      </c>
      <c r="L8431" s="24" t="str" cm="1">
        <f t="array" ref="L8431">IFERROR(IF($B8431=L$1, ($A8431+$C8431) - MAX(IF($B$2:$B8430=$B8431, $A$2:$A8430+$C$2:$C8430)), "")*24*60, "")</f>
        <v/>
      </c>
      <c r="M8431" s="24" t="str" cm="1">
        <f t="array" ref="M8431">IFERROR(IF($B8431=M$1, ($A8431+$C8431) - MAX(IF($B$2:$B8430=$B8431, $A$2:$A8430+$C$2:$C8430)), "")*24*60, "")</f>
        <v/>
      </c>
      <c r="N8431" s="24" t="str" cm="1">
        <f t="array" ref="N8431">IFERROR(IF($B8431=N$1, ($A8431+$C8431) - MAX(IF($B$2:$B8430=$B8431, $A$2:$A8430+$C$2:$C8430)), "")*24*60, "")</f>
        <v/>
      </c>
      <c r="O8431" s="24" t="str" cm="1">
        <f t="array" ref="O8431">IFERROR(IF($B8431=O$1, ($A8431+$C8431) - MAX(IF($B$2:$B8430=$B8431, $A$2:$A8430+$C$2:$C8430)), "")*24*60, "")</f>
        <v/>
      </c>
      <c r="P8431" s="24" t="str" cm="1">
        <f t="array" ref="P8431">IFERROR(IF($B8431=P$1, ($A8431+$C8431) - MAX(IF($B$2:$B8430=$B8431, $A$2:$A8430+$C$2:$C8430)), "")*24*60, "")</f>
        <v/>
      </c>
      <c r="Q8431" s="24" t="str" cm="1">
        <f t="array" ref="Q8431">IFERROR(IF($B8431=Q$1, ($A8431+$C8431) - MAX(IF($B$2:$B8430=$B8431, $A$2:$A8430+$C$2:$C8430)), "")*24*60, "")</f>
        <v/>
      </c>
      <c r="R8431" s="24" t="str" cm="1">
        <f t="array" ref="R8431">IFERROR(IF($B8431=R$1, ($A8431+$C8431) - MAX(IF($B$2:$B8430=$B8431, $A$2:$A8430+$C$2:$C8430)), "")*24*60, "")</f>
        <v/>
      </c>
      <c r="S8431" s="24" t="str" cm="1">
        <f t="array" ref="S8431">IFERROR(IF($B8431=S$1, ($A8431+$C8431) - MAX(IF($B$2:$B8430=$B8431, $A$2:$A8430+$C$2:$C8430)), "")*24*60, "")</f>
        <v/>
      </c>
    </row>
    <row r="8432" spans="1:19" x14ac:dyDescent="0.2">
      <c r="A8432" s="12">
        <f t="shared" ref="A8432:C8432" si="1532">A8431</f>
        <v>46029</v>
      </c>
      <c r="B8432" s="5" t="str">
        <f t="shared" si="1532"/>
        <v>Northern Cardinal</v>
      </c>
      <c r="C8432" s="6">
        <f t="shared" si="1532"/>
        <v>0.75</v>
      </c>
      <c r="D8432" s="5"/>
      <c r="E8432" s="5"/>
      <c r="F8432" s="5" t="s">
        <v>9</v>
      </c>
      <c r="G8432" s="15" t="s">
        <v>8</v>
      </c>
      <c r="H8432" s="24">
        <f t="shared" si="1521"/>
        <v>0</v>
      </c>
      <c r="I8432" s="24" cm="1">
        <f t="array" ref="I8432">IFERROR(IF($B8432=I$1, ($A8432+$C8432) - MAX(IF($B$2:$B8431=$B8432, $A$2:$A8431+$C$2:$C8431)), "")*24*60, "")</f>
        <v>0</v>
      </c>
      <c r="J8432" s="24" t="str" cm="1">
        <f t="array" ref="J8432">IFERROR(IF($B8432=J$1, ($A8432+$C8432) - MAX(IF($B$2:$B8431=$B8432, $A$2:$A8431+$C$2:$C8431)), "")*24*60, "")</f>
        <v/>
      </c>
      <c r="K8432" s="24" t="str" cm="1">
        <f t="array" ref="K8432">IFERROR(IF($B8432=K$1, ($A8432+$C8432) - MAX(IF($B$2:$B8431=$B8432, $A$2:$A8431+$C$2:$C8431)), "")*24*60, "")</f>
        <v/>
      </c>
      <c r="L8432" s="24" t="str" cm="1">
        <f t="array" ref="L8432">IFERROR(IF($B8432=L$1, ($A8432+$C8432) - MAX(IF($B$2:$B8431=$B8432, $A$2:$A8431+$C$2:$C8431)), "")*24*60, "")</f>
        <v/>
      </c>
      <c r="M8432" s="24" t="str" cm="1">
        <f t="array" ref="M8432">IFERROR(IF($B8432=M$1, ($A8432+$C8432) - MAX(IF($B$2:$B8431=$B8432, $A$2:$A8431+$C$2:$C8431)), "")*24*60, "")</f>
        <v/>
      </c>
      <c r="N8432" s="24" t="str" cm="1">
        <f t="array" ref="N8432">IFERROR(IF($B8432=N$1, ($A8432+$C8432) - MAX(IF($B$2:$B8431=$B8432, $A$2:$A8431+$C$2:$C8431)), "")*24*60, "")</f>
        <v/>
      </c>
      <c r="O8432" s="24" t="str" cm="1">
        <f t="array" ref="O8432">IFERROR(IF($B8432=O$1, ($A8432+$C8432) - MAX(IF($B$2:$B8431=$B8432, $A$2:$A8431+$C$2:$C8431)), "")*24*60, "")</f>
        <v/>
      </c>
      <c r="P8432" s="24" t="str" cm="1">
        <f t="array" ref="P8432">IFERROR(IF($B8432=P$1, ($A8432+$C8432) - MAX(IF($B$2:$B8431=$B8432, $A$2:$A8431+$C$2:$C8431)), "")*24*60, "")</f>
        <v/>
      </c>
      <c r="Q8432" s="24" t="str" cm="1">
        <f t="array" ref="Q8432">IFERROR(IF($B8432=Q$1, ($A8432+$C8432) - MAX(IF($B$2:$B8431=$B8432, $A$2:$A8431+$C$2:$C8431)), "")*24*60, "")</f>
        <v/>
      </c>
      <c r="R8432" s="24" t="str" cm="1">
        <f t="array" ref="R8432">IFERROR(IF($B8432=R$1, ($A8432+$C8432) - MAX(IF($B$2:$B8431=$B8432, $A$2:$A8431+$C$2:$C8431)), "")*24*60, "")</f>
        <v/>
      </c>
      <c r="S8432" s="24" t="str" cm="1">
        <f t="array" ref="S8432">IFERROR(IF($B8432=S$1, ($A8432+$C8432) - MAX(IF($B$2:$B8431=$B8432, $A$2:$A8431+$C$2:$C8431)), "")*24*60, "")</f>
        <v/>
      </c>
    </row>
    <row r="8433" spans="1:19" x14ac:dyDescent="0.2">
      <c r="A8433" s="12">
        <f t="shared" ref="A8433:C8433" si="1533">A8432</f>
        <v>46029</v>
      </c>
      <c r="B8433" s="5" t="str">
        <f t="shared" si="1533"/>
        <v>Northern Cardinal</v>
      </c>
      <c r="C8433" s="6">
        <f t="shared" si="1533"/>
        <v>0.75</v>
      </c>
      <c r="D8433" s="5"/>
      <c r="E8433" s="5"/>
      <c r="F8433" s="5" t="s">
        <v>9</v>
      </c>
      <c r="G8433" s="15" t="s">
        <v>8</v>
      </c>
      <c r="H8433" s="24">
        <f t="shared" si="1521"/>
        <v>0</v>
      </c>
      <c r="I8433" s="24" cm="1">
        <f t="array" ref="I8433">IFERROR(IF($B8433=I$1, ($A8433+$C8433) - MAX(IF($B$2:$B8432=$B8433, $A$2:$A8432+$C$2:$C8432)), "")*24*60, "")</f>
        <v>0</v>
      </c>
      <c r="J8433" s="24" t="str" cm="1">
        <f t="array" ref="J8433">IFERROR(IF($B8433=J$1, ($A8433+$C8433) - MAX(IF($B$2:$B8432=$B8433, $A$2:$A8432+$C$2:$C8432)), "")*24*60, "")</f>
        <v/>
      </c>
      <c r="K8433" s="24" t="str" cm="1">
        <f t="array" ref="K8433">IFERROR(IF($B8433=K$1, ($A8433+$C8433) - MAX(IF($B$2:$B8432=$B8433, $A$2:$A8432+$C$2:$C8432)), "")*24*60, "")</f>
        <v/>
      </c>
      <c r="L8433" s="24" t="str" cm="1">
        <f t="array" ref="L8433">IFERROR(IF($B8433=L$1, ($A8433+$C8433) - MAX(IF($B$2:$B8432=$B8433, $A$2:$A8432+$C$2:$C8432)), "")*24*60, "")</f>
        <v/>
      </c>
      <c r="M8433" s="24" t="str" cm="1">
        <f t="array" ref="M8433">IFERROR(IF($B8433=M$1, ($A8433+$C8433) - MAX(IF($B$2:$B8432=$B8433, $A$2:$A8432+$C$2:$C8432)), "")*24*60, "")</f>
        <v/>
      </c>
      <c r="N8433" s="24" t="str" cm="1">
        <f t="array" ref="N8433">IFERROR(IF($B8433=N$1, ($A8433+$C8433) - MAX(IF($B$2:$B8432=$B8433, $A$2:$A8432+$C$2:$C8432)), "")*24*60, "")</f>
        <v/>
      </c>
      <c r="O8433" s="24" t="str" cm="1">
        <f t="array" ref="O8433">IFERROR(IF($B8433=O$1, ($A8433+$C8433) - MAX(IF($B$2:$B8432=$B8433, $A$2:$A8432+$C$2:$C8432)), "")*24*60, "")</f>
        <v/>
      </c>
      <c r="P8433" s="24" t="str" cm="1">
        <f t="array" ref="P8433">IFERROR(IF($B8433=P$1, ($A8433+$C8433) - MAX(IF($B$2:$B8432=$B8433, $A$2:$A8432+$C$2:$C8432)), "")*24*60, "")</f>
        <v/>
      </c>
      <c r="Q8433" s="24" t="str" cm="1">
        <f t="array" ref="Q8433">IFERROR(IF($B8433=Q$1, ($A8433+$C8433) - MAX(IF($B$2:$B8432=$B8433, $A$2:$A8432+$C$2:$C8432)), "")*24*60, "")</f>
        <v/>
      </c>
      <c r="R8433" s="24" t="str" cm="1">
        <f t="array" ref="R8433">IFERROR(IF($B8433=R$1, ($A8433+$C8433) - MAX(IF($B$2:$B8432=$B8433, $A$2:$A8432+$C$2:$C8432)), "")*24*60, "")</f>
        <v/>
      </c>
      <c r="S8433" s="24" t="str" cm="1">
        <f t="array" ref="S8433">IFERROR(IF($B8433=S$1, ($A8433+$C8433) - MAX(IF($B$2:$B8432=$B8433, $A$2:$A8432+$C$2:$C8432)), "")*24*60, "")</f>
        <v/>
      </c>
    </row>
    <row r="8434" spans="1:19" x14ac:dyDescent="0.2">
      <c r="A8434" s="12">
        <f t="shared" ref="A8434:C8434" si="1534">A8433</f>
        <v>46029</v>
      </c>
      <c r="B8434" s="5" t="str">
        <f t="shared" si="1534"/>
        <v>Northern Cardinal</v>
      </c>
      <c r="C8434" s="6">
        <f t="shared" si="1534"/>
        <v>0.75</v>
      </c>
      <c r="D8434" s="5"/>
      <c r="E8434" s="5"/>
      <c r="F8434" s="5" t="s">
        <v>9</v>
      </c>
      <c r="G8434" s="15" t="s">
        <v>8</v>
      </c>
      <c r="H8434" s="24">
        <f t="shared" si="1521"/>
        <v>0</v>
      </c>
      <c r="I8434" s="24" cm="1">
        <f t="array" ref="I8434">IFERROR(IF($B8434=I$1, ($A8434+$C8434) - MAX(IF($B$2:$B8433=$B8434, $A$2:$A8433+$C$2:$C8433)), "")*24*60, "")</f>
        <v>0</v>
      </c>
      <c r="J8434" s="24" t="str" cm="1">
        <f t="array" ref="J8434">IFERROR(IF($B8434=J$1, ($A8434+$C8434) - MAX(IF($B$2:$B8433=$B8434, $A$2:$A8433+$C$2:$C8433)), "")*24*60, "")</f>
        <v/>
      </c>
      <c r="K8434" s="24" t="str" cm="1">
        <f t="array" ref="K8434">IFERROR(IF($B8434=K$1, ($A8434+$C8434) - MAX(IF($B$2:$B8433=$B8434, $A$2:$A8433+$C$2:$C8433)), "")*24*60, "")</f>
        <v/>
      </c>
      <c r="L8434" s="24" t="str" cm="1">
        <f t="array" ref="L8434">IFERROR(IF($B8434=L$1, ($A8434+$C8434) - MAX(IF($B$2:$B8433=$B8434, $A$2:$A8433+$C$2:$C8433)), "")*24*60, "")</f>
        <v/>
      </c>
      <c r="M8434" s="24" t="str" cm="1">
        <f t="array" ref="M8434">IFERROR(IF($B8434=M$1, ($A8434+$C8434) - MAX(IF($B$2:$B8433=$B8434, $A$2:$A8433+$C$2:$C8433)), "")*24*60, "")</f>
        <v/>
      </c>
      <c r="N8434" s="24" t="str" cm="1">
        <f t="array" ref="N8434">IFERROR(IF($B8434=N$1, ($A8434+$C8434) - MAX(IF($B$2:$B8433=$B8434, $A$2:$A8433+$C$2:$C8433)), "")*24*60, "")</f>
        <v/>
      </c>
      <c r="O8434" s="24" t="str" cm="1">
        <f t="array" ref="O8434">IFERROR(IF($B8434=O$1, ($A8434+$C8434) - MAX(IF($B$2:$B8433=$B8434, $A$2:$A8433+$C$2:$C8433)), "")*24*60, "")</f>
        <v/>
      </c>
      <c r="P8434" s="24" t="str" cm="1">
        <f t="array" ref="P8434">IFERROR(IF($B8434=P$1, ($A8434+$C8434) - MAX(IF($B$2:$B8433=$B8434, $A$2:$A8433+$C$2:$C8433)), "")*24*60, "")</f>
        <v/>
      </c>
      <c r="Q8434" s="24" t="str" cm="1">
        <f t="array" ref="Q8434">IFERROR(IF($B8434=Q$1, ($A8434+$C8434) - MAX(IF($B$2:$B8433=$B8434, $A$2:$A8433+$C$2:$C8433)), "")*24*60, "")</f>
        <v/>
      </c>
      <c r="R8434" s="24" t="str" cm="1">
        <f t="array" ref="R8434">IFERROR(IF($B8434=R$1, ($A8434+$C8434) - MAX(IF($B$2:$B8433=$B8434, $A$2:$A8433+$C$2:$C8433)), "")*24*60, "")</f>
        <v/>
      </c>
      <c r="S8434" s="24" t="str" cm="1">
        <f t="array" ref="S8434">IFERROR(IF($B8434=S$1, ($A8434+$C8434) - MAX(IF($B$2:$B8433=$B8434, $A$2:$A8433+$C$2:$C8433)), "")*24*60, "")</f>
        <v/>
      </c>
    </row>
    <row r="8435" spans="1:19" x14ac:dyDescent="0.2">
      <c r="A8435" s="12">
        <f t="shared" ref="A8435:C8435" si="1535">A8434</f>
        <v>46029</v>
      </c>
      <c r="B8435" s="5" t="str">
        <f t="shared" si="1535"/>
        <v>Northern Cardinal</v>
      </c>
      <c r="C8435" s="6">
        <f t="shared" si="1535"/>
        <v>0.75</v>
      </c>
      <c r="D8435" s="5"/>
      <c r="E8435" s="5"/>
      <c r="F8435" s="5" t="s">
        <v>9</v>
      </c>
      <c r="G8435" s="15" t="s">
        <v>8</v>
      </c>
      <c r="H8435" s="24">
        <f t="shared" si="1521"/>
        <v>0</v>
      </c>
      <c r="I8435" s="24" cm="1">
        <f t="array" ref="I8435">IFERROR(IF($B8435=I$1, ($A8435+$C8435) - MAX(IF($B$2:$B8434=$B8435, $A$2:$A8434+$C$2:$C8434)), "")*24*60, "")</f>
        <v>0</v>
      </c>
      <c r="J8435" s="24" t="str" cm="1">
        <f t="array" ref="J8435">IFERROR(IF($B8435=J$1, ($A8435+$C8435) - MAX(IF($B$2:$B8434=$B8435, $A$2:$A8434+$C$2:$C8434)), "")*24*60, "")</f>
        <v/>
      </c>
      <c r="K8435" s="24" t="str" cm="1">
        <f t="array" ref="K8435">IFERROR(IF($B8435=K$1, ($A8435+$C8435) - MAX(IF($B$2:$B8434=$B8435, $A$2:$A8434+$C$2:$C8434)), "")*24*60, "")</f>
        <v/>
      </c>
      <c r="L8435" s="24" t="str" cm="1">
        <f t="array" ref="L8435">IFERROR(IF($B8435=L$1, ($A8435+$C8435) - MAX(IF($B$2:$B8434=$B8435, $A$2:$A8434+$C$2:$C8434)), "")*24*60, "")</f>
        <v/>
      </c>
      <c r="M8435" s="24" t="str" cm="1">
        <f t="array" ref="M8435">IFERROR(IF($B8435=M$1, ($A8435+$C8435) - MAX(IF($B$2:$B8434=$B8435, $A$2:$A8434+$C$2:$C8434)), "")*24*60, "")</f>
        <v/>
      </c>
      <c r="N8435" s="24" t="str" cm="1">
        <f t="array" ref="N8435">IFERROR(IF($B8435=N$1, ($A8435+$C8435) - MAX(IF($B$2:$B8434=$B8435, $A$2:$A8434+$C$2:$C8434)), "")*24*60, "")</f>
        <v/>
      </c>
      <c r="O8435" s="24" t="str" cm="1">
        <f t="array" ref="O8435">IFERROR(IF($B8435=O$1, ($A8435+$C8435) - MAX(IF($B$2:$B8434=$B8435, $A$2:$A8434+$C$2:$C8434)), "")*24*60, "")</f>
        <v/>
      </c>
      <c r="P8435" s="24" t="str" cm="1">
        <f t="array" ref="P8435">IFERROR(IF($B8435=P$1, ($A8435+$C8435) - MAX(IF($B$2:$B8434=$B8435, $A$2:$A8434+$C$2:$C8434)), "")*24*60, "")</f>
        <v/>
      </c>
      <c r="Q8435" s="24" t="str" cm="1">
        <f t="array" ref="Q8435">IFERROR(IF($B8435=Q$1, ($A8435+$C8435) - MAX(IF($B$2:$B8434=$B8435, $A$2:$A8434+$C$2:$C8434)), "")*24*60, "")</f>
        <v/>
      </c>
      <c r="R8435" s="24" t="str" cm="1">
        <f t="array" ref="R8435">IFERROR(IF($B8435=R$1, ($A8435+$C8435) - MAX(IF($B$2:$B8434=$B8435, $A$2:$A8434+$C$2:$C8434)), "")*24*60, "")</f>
        <v/>
      </c>
      <c r="S8435" s="24" t="str" cm="1">
        <f t="array" ref="S8435">IFERROR(IF($B8435=S$1, ($A8435+$C8435) - MAX(IF($B$2:$B8434=$B8435, $A$2:$A8434+$C$2:$C8434)), "")*24*60, "")</f>
        <v/>
      </c>
    </row>
    <row r="8436" spans="1:19" x14ac:dyDescent="0.2">
      <c r="A8436" s="12">
        <f t="shared" ref="A8436:C8436" si="1536">A8435</f>
        <v>46029</v>
      </c>
      <c r="B8436" s="5" t="str">
        <f t="shared" si="1536"/>
        <v>Northern Cardinal</v>
      </c>
      <c r="C8436" s="6">
        <f t="shared" si="1536"/>
        <v>0.75</v>
      </c>
      <c r="D8436" s="5"/>
      <c r="E8436" s="5"/>
      <c r="F8436" s="5" t="s">
        <v>9</v>
      </c>
      <c r="G8436" s="15" t="s">
        <v>8</v>
      </c>
      <c r="H8436" s="24">
        <f t="shared" si="1521"/>
        <v>0</v>
      </c>
      <c r="I8436" s="24" cm="1">
        <f t="array" ref="I8436">IFERROR(IF($B8436=I$1, ($A8436+$C8436) - MAX(IF($B$2:$B8435=$B8436, $A$2:$A8435+$C$2:$C8435)), "")*24*60, "")</f>
        <v>0</v>
      </c>
      <c r="J8436" s="24" t="str" cm="1">
        <f t="array" ref="J8436">IFERROR(IF($B8436=J$1, ($A8436+$C8436) - MAX(IF($B$2:$B8435=$B8436, $A$2:$A8435+$C$2:$C8435)), "")*24*60, "")</f>
        <v/>
      </c>
      <c r="K8436" s="24" t="str" cm="1">
        <f t="array" ref="K8436">IFERROR(IF($B8436=K$1, ($A8436+$C8436) - MAX(IF($B$2:$B8435=$B8436, $A$2:$A8435+$C$2:$C8435)), "")*24*60, "")</f>
        <v/>
      </c>
      <c r="L8436" s="24" t="str" cm="1">
        <f t="array" ref="L8436">IFERROR(IF($B8436=L$1, ($A8436+$C8436) - MAX(IF($B$2:$B8435=$B8436, $A$2:$A8435+$C$2:$C8435)), "")*24*60, "")</f>
        <v/>
      </c>
      <c r="M8436" s="24" t="str" cm="1">
        <f t="array" ref="M8436">IFERROR(IF($B8436=M$1, ($A8436+$C8436) - MAX(IF($B$2:$B8435=$B8436, $A$2:$A8435+$C$2:$C8435)), "")*24*60, "")</f>
        <v/>
      </c>
      <c r="N8436" s="24" t="str" cm="1">
        <f t="array" ref="N8436">IFERROR(IF($B8436=N$1, ($A8436+$C8436) - MAX(IF($B$2:$B8435=$B8436, $A$2:$A8435+$C$2:$C8435)), "")*24*60, "")</f>
        <v/>
      </c>
      <c r="O8436" s="24" t="str" cm="1">
        <f t="array" ref="O8436">IFERROR(IF($B8436=O$1, ($A8436+$C8436) - MAX(IF($B$2:$B8435=$B8436, $A$2:$A8435+$C$2:$C8435)), "")*24*60, "")</f>
        <v/>
      </c>
      <c r="P8436" s="24" t="str" cm="1">
        <f t="array" ref="P8436">IFERROR(IF($B8436=P$1, ($A8436+$C8436) - MAX(IF($B$2:$B8435=$B8436, $A$2:$A8435+$C$2:$C8435)), "")*24*60, "")</f>
        <v/>
      </c>
      <c r="Q8436" s="24" t="str" cm="1">
        <f t="array" ref="Q8436">IFERROR(IF($B8436=Q$1, ($A8436+$C8436) - MAX(IF($B$2:$B8435=$B8436, $A$2:$A8435+$C$2:$C8435)), "")*24*60, "")</f>
        <v/>
      </c>
      <c r="R8436" s="24" t="str" cm="1">
        <f t="array" ref="R8436">IFERROR(IF($B8436=R$1, ($A8436+$C8436) - MAX(IF($B$2:$B8435=$B8436, $A$2:$A8435+$C$2:$C8435)), "")*24*60, "")</f>
        <v/>
      </c>
      <c r="S8436" s="24" t="str" cm="1">
        <f t="array" ref="S8436">IFERROR(IF($B8436=S$1, ($A8436+$C8436) - MAX(IF($B$2:$B8435=$B8436, $A$2:$A8435+$C$2:$C8435)), "")*24*60, "")</f>
        <v/>
      </c>
    </row>
    <row r="8437" spans="1:19" x14ac:dyDescent="0.2">
      <c r="A8437" s="12">
        <f t="shared" ref="A8437:C8437" si="1537">A8436</f>
        <v>46029</v>
      </c>
      <c r="B8437" s="5" t="str">
        <f t="shared" si="1537"/>
        <v>Northern Cardinal</v>
      </c>
      <c r="C8437" s="6">
        <f t="shared" si="1537"/>
        <v>0.75</v>
      </c>
      <c r="D8437" s="5"/>
      <c r="E8437" s="5"/>
      <c r="F8437" s="5" t="s">
        <v>9</v>
      </c>
      <c r="G8437" s="15" t="s">
        <v>8</v>
      </c>
      <c r="H8437" s="24">
        <f t="shared" si="1521"/>
        <v>0</v>
      </c>
      <c r="I8437" s="24" cm="1">
        <f t="array" ref="I8437">IFERROR(IF($B8437=I$1, ($A8437+$C8437) - MAX(IF($B$2:$B8436=$B8437, $A$2:$A8436+$C$2:$C8436)), "")*24*60, "")</f>
        <v>0</v>
      </c>
      <c r="J8437" s="24" t="str" cm="1">
        <f t="array" ref="J8437">IFERROR(IF($B8437=J$1, ($A8437+$C8437) - MAX(IF($B$2:$B8436=$B8437, $A$2:$A8436+$C$2:$C8436)), "")*24*60, "")</f>
        <v/>
      </c>
      <c r="K8437" s="24" t="str" cm="1">
        <f t="array" ref="K8437">IFERROR(IF($B8437=K$1, ($A8437+$C8437) - MAX(IF($B$2:$B8436=$B8437, $A$2:$A8436+$C$2:$C8436)), "")*24*60, "")</f>
        <v/>
      </c>
      <c r="L8437" s="24" t="str" cm="1">
        <f t="array" ref="L8437">IFERROR(IF($B8437=L$1, ($A8437+$C8437) - MAX(IF($B$2:$B8436=$B8437, $A$2:$A8436+$C$2:$C8436)), "")*24*60, "")</f>
        <v/>
      </c>
      <c r="M8437" s="24" t="str" cm="1">
        <f t="array" ref="M8437">IFERROR(IF($B8437=M$1, ($A8437+$C8437) - MAX(IF($B$2:$B8436=$B8437, $A$2:$A8436+$C$2:$C8436)), "")*24*60, "")</f>
        <v/>
      </c>
      <c r="N8437" s="24" t="str" cm="1">
        <f t="array" ref="N8437">IFERROR(IF($B8437=N$1, ($A8437+$C8437) - MAX(IF($B$2:$B8436=$B8437, $A$2:$A8436+$C$2:$C8436)), "")*24*60, "")</f>
        <v/>
      </c>
      <c r="O8437" s="24" t="str" cm="1">
        <f t="array" ref="O8437">IFERROR(IF($B8437=O$1, ($A8437+$C8437) - MAX(IF($B$2:$B8436=$B8437, $A$2:$A8436+$C$2:$C8436)), "")*24*60, "")</f>
        <v/>
      </c>
      <c r="P8437" s="24" t="str" cm="1">
        <f t="array" ref="P8437">IFERROR(IF($B8437=P$1, ($A8437+$C8437) - MAX(IF($B$2:$B8436=$B8437, $A$2:$A8436+$C$2:$C8436)), "")*24*60, "")</f>
        <v/>
      </c>
      <c r="Q8437" s="24" t="str" cm="1">
        <f t="array" ref="Q8437">IFERROR(IF($B8437=Q$1, ($A8437+$C8437) - MAX(IF($B$2:$B8436=$B8437, $A$2:$A8436+$C$2:$C8436)), "")*24*60, "")</f>
        <v/>
      </c>
      <c r="R8437" s="24" t="str" cm="1">
        <f t="array" ref="R8437">IFERROR(IF($B8437=R$1, ($A8437+$C8437) - MAX(IF($B$2:$B8436=$B8437, $A$2:$A8436+$C$2:$C8436)), "")*24*60, "")</f>
        <v/>
      </c>
      <c r="S8437" s="24" t="str" cm="1">
        <f t="array" ref="S8437">IFERROR(IF($B8437=S$1, ($A8437+$C8437) - MAX(IF($B$2:$B8436=$B8437, $A$2:$A8436+$C$2:$C8436)), "")*24*60, "")</f>
        <v/>
      </c>
    </row>
    <row r="8438" spans="1:19" x14ac:dyDescent="0.2">
      <c r="A8438" s="12">
        <f t="shared" ref="A8438:C8438" si="1538">A8437</f>
        <v>46029</v>
      </c>
      <c r="B8438" s="5" t="str">
        <f t="shared" si="1538"/>
        <v>Northern Cardinal</v>
      </c>
      <c r="C8438" s="6">
        <f t="shared" si="1538"/>
        <v>0.75</v>
      </c>
      <c r="D8438" s="5"/>
      <c r="E8438" s="5"/>
      <c r="F8438" s="5" t="s">
        <v>9</v>
      </c>
      <c r="G8438" s="15" t="s">
        <v>8</v>
      </c>
      <c r="H8438" s="24">
        <f t="shared" si="1521"/>
        <v>0</v>
      </c>
      <c r="I8438" s="24" cm="1">
        <f t="array" ref="I8438">IFERROR(IF($B8438=I$1, ($A8438+$C8438) - MAX(IF($B$2:$B8437=$B8438, $A$2:$A8437+$C$2:$C8437)), "")*24*60, "")</f>
        <v>0</v>
      </c>
      <c r="J8438" s="24" t="str" cm="1">
        <f t="array" ref="J8438">IFERROR(IF($B8438=J$1, ($A8438+$C8438) - MAX(IF($B$2:$B8437=$B8438, $A$2:$A8437+$C$2:$C8437)), "")*24*60, "")</f>
        <v/>
      </c>
      <c r="K8438" s="24" t="str" cm="1">
        <f t="array" ref="K8438">IFERROR(IF($B8438=K$1, ($A8438+$C8438) - MAX(IF($B$2:$B8437=$B8438, $A$2:$A8437+$C$2:$C8437)), "")*24*60, "")</f>
        <v/>
      </c>
      <c r="L8438" s="24" t="str" cm="1">
        <f t="array" ref="L8438">IFERROR(IF($B8438=L$1, ($A8438+$C8438) - MAX(IF($B$2:$B8437=$B8438, $A$2:$A8437+$C$2:$C8437)), "")*24*60, "")</f>
        <v/>
      </c>
      <c r="M8438" s="24" t="str" cm="1">
        <f t="array" ref="M8438">IFERROR(IF($B8438=M$1, ($A8438+$C8438) - MAX(IF($B$2:$B8437=$B8438, $A$2:$A8437+$C$2:$C8437)), "")*24*60, "")</f>
        <v/>
      </c>
      <c r="N8438" s="24" t="str" cm="1">
        <f t="array" ref="N8438">IFERROR(IF($B8438=N$1, ($A8438+$C8438) - MAX(IF($B$2:$B8437=$B8438, $A$2:$A8437+$C$2:$C8437)), "")*24*60, "")</f>
        <v/>
      </c>
      <c r="O8438" s="24" t="str" cm="1">
        <f t="array" ref="O8438">IFERROR(IF($B8438=O$1, ($A8438+$C8438) - MAX(IF($B$2:$B8437=$B8438, $A$2:$A8437+$C$2:$C8437)), "")*24*60, "")</f>
        <v/>
      </c>
      <c r="P8438" s="24" t="str" cm="1">
        <f t="array" ref="P8438">IFERROR(IF($B8438=P$1, ($A8438+$C8438) - MAX(IF($B$2:$B8437=$B8438, $A$2:$A8437+$C$2:$C8437)), "")*24*60, "")</f>
        <v/>
      </c>
      <c r="Q8438" s="24" t="str" cm="1">
        <f t="array" ref="Q8438">IFERROR(IF($B8438=Q$1, ($A8438+$C8438) - MAX(IF($B$2:$B8437=$B8438, $A$2:$A8437+$C$2:$C8437)), "")*24*60, "")</f>
        <v/>
      </c>
      <c r="R8438" s="24" t="str" cm="1">
        <f t="array" ref="R8438">IFERROR(IF($B8438=R$1, ($A8438+$C8438) - MAX(IF($B$2:$B8437=$B8438, $A$2:$A8437+$C$2:$C8437)), "")*24*60, "")</f>
        <v/>
      </c>
      <c r="S8438" s="24" t="str" cm="1">
        <f t="array" ref="S8438">IFERROR(IF($B8438=S$1, ($A8438+$C8438) - MAX(IF($B$2:$B8437=$B8438, $A$2:$A8437+$C$2:$C8437)), "")*24*60, "")</f>
        <v/>
      </c>
    </row>
    <row r="8439" spans="1:19" x14ac:dyDescent="0.2">
      <c r="A8439" s="12">
        <f t="shared" ref="A8439:C8439" si="1539">A8438</f>
        <v>46029</v>
      </c>
      <c r="B8439" s="5" t="str">
        <f t="shared" si="1539"/>
        <v>Northern Cardinal</v>
      </c>
      <c r="C8439" s="6">
        <f t="shared" si="1539"/>
        <v>0.75</v>
      </c>
      <c r="D8439" s="5"/>
      <c r="E8439" s="5"/>
      <c r="F8439" s="5" t="s">
        <v>9</v>
      </c>
      <c r="G8439" s="15" t="s">
        <v>8</v>
      </c>
      <c r="H8439" s="24">
        <f t="shared" si="1521"/>
        <v>0</v>
      </c>
      <c r="I8439" s="24" cm="1">
        <f t="array" ref="I8439">IFERROR(IF($B8439=I$1, ($A8439+$C8439) - MAX(IF($B$2:$B8438=$B8439, $A$2:$A8438+$C$2:$C8438)), "")*24*60, "")</f>
        <v>0</v>
      </c>
      <c r="J8439" s="24" t="str" cm="1">
        <f t="array" ref="J8439">IFERROR(IF($B8439=J$1, ($A8439+$C8439) - MAX(IF($B$2:$B8438=$B8439, $A$2:$A8438+$C$2:$C8438)), "")*24*60, "")</f>
        <v/>
      </c>
      <c r="K8439" s="24" t="str" cm="1">
        <f t="array" ref="K8439">IFERROR(IF($B8439=K$1, ($A8439+$C8439) - MAX(IF($B$2:$B8438=$B8439, $A$2:$A8438+$C$2:$C8438)), "")*24*60, "")</f>
        <v/>
      </c>
      <c r="L8439" s="24" t="str" cm="1">
        <f t="array" ref="L8439">IFERROR(IF($B8439=L$1, ($A8439+$C8439) - MAX(IF($B$2:$B8438=$B8439, $A$2:$A8438+$C$2:$C8438)), "")*24*60, "")</f>
        <v/>
      </c>
      <c r="M8439" s="24" t="str" cm="1">
        <f t="array" ref="M8439">IFERROR(IF($B8439=M$1, ($A8439+$C8439) - MAX(IF($B$2:$B8438=$B8439, $A$2:$A8438+$C$2:$C8438)), "")*24*60, "")</f>
        <v/>
      </c>
      <c r="N8439" s="24" t="str" cm="1">
        <f t="array" ref="N8439">IFERROR(IF($B8439=N$1, ($A8439+$C8439) - MAX(IF($B$2:$B8438=$B8439, $A$2:$A8438+$C$2:$C8438)), "")*24*60, "")</f>
        <v/>
      </c>
      <c r="O8439" s="24" t="str" cm="1">
        <f t="array" ref="O8439">IFERROR(IF($B8439=O$1, ($A8439+$C8439) - MAX(IF($B$2:$B8438=$B8439, $A$2:$A8438+$C$2:$C8438)), "")*24*60, "")</f>
        <v/>
      </c>
      <c r="P8439" s="24" t="str" cm="1">
        <f t="array" ref="P8439">IFERROR(IF($B8439=P$1, ($A8439+$C8439) - MAX(IF($B$2:$B8438=$B8439, $A$2:$A8438+$C$2:$C8438)), "")*24*60, "")</f>
        <v/>
      </c>
      <c r="Q8439" s="24" t="str" cm="1">
        <f t="array" ref="Q8439">IFERROR(IF($B8439=Q$1, ($A8439+$C8439) - MAX(IF($B$2:$B8438=$B8439, $A$2:$A8438+$C$2:$C8438)), "")*24*60, "")</f>
        <v/>
      </c>
      <c r="R8439" s="24" t="str" cm="1">
        <f t="array" ref="R8439">IFERROR(IF($B8439=R$1, ($A8439+$C8439) - MAX(IF($B$2:$B8438=$B8439, $A$2:$A8438+$C$2:$C8438)), "")*24*60, "")</f>
        <v/>
      </c>
      <c r="S8439" s="24" t="str" cm="1">
        <f t="array" ref="S8439">IFERROR(IF($B8439=S$1, ($A8439+$C8439) - MAX(IF($B$2:$B8438=$B8439, $A$2:$A8438+$C$2:$C8438)), "")*24*60, "")</f>
        <v/>
      </c>
    </row>
    <row r="8440" spans="1:19" x14ac:dyDescent="0.2">
      <c r="A8440" s="12">
        <f t="shared" ref="A8440:C8440" si="1540">A8439</f>
        <v>46029</v>
      </c>
      <c r="B8440" s="5" t="str">
        <f t="shared" si="1540"/>
        <v>Northern Cardinal</v>
      </c>
      <c r="C8440" s="6">
        <f t="shared" si="1540"/>
        <v>0.75</v>
      </c>
      <c r="D8440" s="5"/>
      <c r="E8440" s="5"/>
      <c r="F8440" s="5" t="s">
        <v>9</v>
      </c>
      <c r="G8440" s="15" t="s">
        <v>8</v>
      </c>
      <c r="H8440" s="24">
        <f t="shared" si="1521"/>
        <v>0</v>
      </c>
      <c r="I8440" s="24" cm="1">
        <f t="array" ref="I8440">IFERROR(IF($B8440=I$1, ($A8440+$C8440) - MAX(IF($B$2:$B8439=$B8440, $A$2:$A8439+$C$2:$C8439)), "")*24*60, "")</f>
        <v>0</v>
      </c>
      <c r="J8440" s="24" t="str" cm="1">
        <f t="array" ref="J8440">IFERROR(IF($B8440=J$1, ($A8440+$C8440) - MAX(IF($B$2:$B8439=$B8440, $A$2:$A8439+$C$2:$C8439)), "")*24*60, "")</f>
        <v/>
      </c>
      <c r="K8440" s="24" t="str" cm="1">
        <f t="array" ref="K8440">IFERROR(IF($B8440=K$1, ($A8440+$C8440) - MAX(IF($B$2:$B8439=$B8440, $A$2:$A8439+$C$2:$C8439)), "")*24*60, "")</f>
        <v/>
      </c>
      <c r="L8440" s="24" t="str" cm="1">
        <f t="array" ref="L8440">IFERROR(IF($B8440=L$1, ($A8440+$C8440) - MAX(IF($B$2:$B8439=$B8440, $A$2:$A8439+$C$2:$C8439)), "")*24*60, "")</f>
        <v/>
      </c>
      <c r="M8440" s="24" t="str" cm="1">
        <f t="array" ref="M8440">IFERROR(IF($B8440=M$1, ($A8440+$C8440) - MAX(IF($B$2:$B8439=$B8440, $A$2:$A8439+$C$2:$C8439)), "")*24*60, "")</f>
        <v/>
      </c>
      <c r="N8440" s="24" t="str" cm="1">
        <f t="array" ref="N8440">IFERROR(IF($B8440=N$1, ($A8440+$C8440) - MAX(IF($B$2:$B8439=$B8440, $A$2:$A8439+$C$2:$C8439)), "")*24*60, "")</f>
        <v/>
      </c>
      <c r="O8440" s="24" t="str" cm="1">
        <f t="array" ref="O8440">IFERROR(IF($B8440=O$1, ($A8440+$C8440) - MAX(IF($B$2:$B8439=$B8440, $A$2:$A8439+$C$2:$C8439)), "")*24*60, "")</f>
        <v/>
      </c>
      <c r="P8440" s="24" t="str" cm="1">
        <f t="array" ref="P8440">IFERROR(IF($B8440=P$1, ($A8440+$C8440) - MAX(IF($B$2:$B8439=$B8440, $A$2:$A8439+$C$2:$C8439)), "")*24*60, "")</f>
        <v/>
      </c>
      <c r="Q8440" s="24" t="str" cm="1">
        <f t="array" ref="Q8440">IFERROR(IF($B8440=Q$1, ($A8440+$C8440) - MAX(IF($B$2:$B8439=$B8440, $A$2:$A8439+$C$2:$C8439)), "")*24*60, "")</f>
        <v/>
      </c>
      <c r="R8440" s="24" t="str" cm="1">
        <f t="array" ref="R8440">IFERROR(IF($B8440=R$1, ($A8440+$C8440) - MAX(IF($B$2:$B8439=$B8440, $A$2:$A8439+$C$2:$C8439)), "")*24*60, "")</f>
        <v/>
      </c>
      <c r="S8440" s="24" t="str" cm="1">
        <f t="array" ref="S8440">IFERROR(IF($B8440=S$1, ($A8440+$C8440) - MAX(IF($B$2:$B8439=$B8440, $A$2:$A8439+$C$2:$C8439)), "")*24*60, "")</f>
        <v/>
      </c>
    </row>
    <row r="8441" spans="1:19" x14ac:dyDescent="0.2">
      <c r="A8441" s="12">
        <f t="shared" ref="A8441:C8441" si="1541">A8440</f>
        <v>46029</v>
      </c>
      <c r="B8441" s="5" t="str">
        <f t="shared" si="1541"/>
        <v>Northern Cardinal</v>
      </c>
      <c r="C8441" s="6">
        <f t="shared" si="1541"/>
        <v>0.75</v>
      </c>
      <c r="D8441" s="5"/>
      <c r="E8441" s="5"/>
      <c r="F8441" s="5" t="s">
        <v>9</v>
      </c>
      <c r="G8441" s="15" t="s">
        <v>8</v>
      </c>
      <c r="H8441" s="24">
        <f t="shared" si="1521"/>
        <v>0</v>
      </c>
      <c r="I8441" s="24" cm="1">
        <f t="array" ref="I8441">IFERROR(IF($B8441=I$1, ($A8441+$C8441) - MAX(IF($B$2:$B8440=$B8441, $A$2:$A8440+$C$2:$C8440)), "")*24*60, "")</f>
        <v>0</v>
      </c>
      <c r="J8441" s="24" t="str" cm="1">
        <f t="array" ref="J8441">IFERROR(IF($B8441=J$1, ($A8441+$C8441) - MAX(IF($B$2:$B8440=$B8441, $A$2:$A8440+$C$2:$C8440)), "")*24*60, "")</f>
        <v/>
      </c>
      <c r="K8441" s="24" t="str" cm="1">
        <f t="array" ref="K8441">IFERROR(IF($B8441=K$1, ($A8441+$C8441) - MAX(IF($B$2:$B8440=$B8441, $A$2:$A8440+$C$2:$C8440)), "")*24*60, "")</f>
        <v/>
      </c>
      <c r="L8441" s="24" t="str" cm="1">
        <f t="array" ref="L8441">IFERROR(IF($B8441=L$1, ($A8441+$C8441) - MAX(IF($B$2:$B8440=$B8441, $A$2:$A8440+$C$2:$C8440)), "")*24*60, "")</f>
        <v/>
      </c>
      <c r="M8441" s="24" t="str" cm="1">
        <f t="array" ref="M8441">IFERROR(IF($B8441=M$1, ($A8441+$C8441) - MAX(IF($B$2:$B8440=$B8441, $A$2:$A8440+$C$2:$C8440)), "")*24*60, "")</f>
        <v/>
      </c>
      <c r="N8441" s="24" t="str" cm="1">
        <f t="array" ref="N8441">IFERROR(IF($B8441=N$1, ($A8441+$C8441) - MAX(IF($B$2:$B8440=$B8441, $A$2:$A8440+$C$2:$C8440)), "")*24*60, "")</f>
        <v/>
      </c>
      <c r="O8441" s="24" t="str" cm="1">
        <f t="array" ref="O8441">IFERROR(IF($B8441=O$1, ($A8441+$C8441) - MAX(IF($B$2:$B8440=$B8441, $A$2:$A8440+$C$2:$C8440)), "")*24*60, "")</f>
        <v/>
      </c>
      <c r="P8441" s="24" t="str" cm="1">
        <f t="array" ref="P8441">IFERROR(IF($B8441=P$1, ($A8441+$C8441) - MAX(IF($B$2:$B8440=$B8441, $A$2:$A8440+$C$2:$C8440)), "")*24*60, "")</f>
        <v/>
      </c>
      <c r="Q8441" s="24" t="str" cm="1">
        <f t="array" ref="Q8441">IFERROR(IF($B8441=Q$1, ($A8441+$C8441) - MAX(IF($B$2:$B8440=$B8441, $A$2:$A8440+$C$2:$C8440)), "")*24*60, "")</f>
        <v/>
      </c>
      <c r="R8441" s="24" t="str" cm="1">
        <f t="array" ref="R8441">IFERROR(IF($B8441=R$1, ($A8441+$C8441) - MAX(IF($B$2:$B8440=$B8441, $A$2:$A8440+$C$2:$C8440)), "")*24*60, "")</f>
        <v/>
      </c>
      <c r="S8441" s="24" t="str" cm="1">
        <f t="array" ref="S8441">IFERROR(IF($B8441=S$1, ($A8441+$C8441) - MAX(IF($B$2:$B8440=$B8441, $A$2:$A8440+$C$2:$C8440)), "")*24*60, "")</f>
        <v/>
      </c>
    </row>
    <row r="8442" spans="1:19" x14ac:dyDescent="0.2">
      <c r="A8442" s="12">
        <f t="shared" ref="A8442:C8442" si="1542">A8441</f>
        <v>46029</v>
      </c>
      <c r="B8442" s="5" t="str">
        <f t="shared" si="1542"/>
        <v>Northern Cardinal</v>
      </c>
      <c r="C8442" s="6">
        <f t="shared" si="1542"/>
        <v>0.75</v>
      </c>
      <c r="D8442" s="5"/>
      <c r="E8442" s="5"/>
      <c r="F8442" s="5" t="s">
        <v>9</v>
      </c>
      <c r="G8442" s="15" t="s">
        <v>8</v>
      </c>
      <c r="H8442" s="24">
        <f t="shared" si="1521"/>
        <v>0</v>
      </c>
      <c r="I8442" s="24" cm="1">
        <f t="array" ref="I8442">IFERROR(IF($B8442=I$1, ($A8442+$C8442) - MAX(IF($B$2:$B8441=$B8442, $A$2:$A8441+$C$2:$C8441)), "")*24*60, "")</f>
        <v>0</v>
      </c>
      <c r="J8442" s="24" t="str" cm="1">
        <f t="array" ref="J8442">IFERROR(IF($B8442=J$1, ($A8442+$C8442) - MAX(IF($B$2:$B8441=$B8442, $A$2:$A8441+$C$2:$C8441)), "")*24*60, "")</f>
        <v/>
      </c>
      <c r="K8442" s="24" t="str" cm="1">
        <f t="array" ref="K8442">IFERROR(IF($B8442=K$1, ($A8442+$C8442) - MAX(IF($B$2:$B8441=$B8442, $A$2:$A8441+$C$2:$C8441)), "")*24*60, "")</f>
        <v/>
      </c>
      <c r="L8442" s="24" t="str" cm="1">
        <f t="array" ref="L8442">IFERROR(IF($B8442=L$1, ($A8442+$C8442) - MAX(IF($B$2:$B8441=$B8442, $A$2:$A8441+$C$2:$C8441)), "")*24*60, "")</f>
        <v/>
      </c>
      <c r="M8442" s="24" t="str" cm="1">
        <f t="array" ref="M8442">IFERROR(IF($B8442=M$1, ($A8442+$C8442) - MAX(IF($B$2:$B8441=$B8442, $A$2:$A8441+$C$2:$C8441)), "")*24*60, "")</f>
        <v/>
      </c>
      <c r="N8442" s="24" t="str" cm="1">
        <f t="array" ref="N8442">IFERROR(IF($B8442=N$1, ($A8442+$C8442) - MAX(IF($B$2:$B8441=$B8442, $A$2:$A8441+$C$2:$C8441)), "")*24*60, "")</f>
        <v/>
      </c>
      <c r="O8442" s="24" t="str" cm="1">
        <f t="array" ref="O8442">IFERROR(IF($B8442=O$1, ($A8442+$C8442) - MAX(IF($B$2:$B8441=$B8442, $A$2:$A8441+$C$2:$C8441)), "")*24*60, "")</f>
        <v/>
      </c>
      <c r="P8442" s="24" t="str" cm="1">
        <f t="array" ref="P8442">IFERROR(IF($B8442=P$1, ($A8442+$C8442) - MAX(IF($B$2:$B8441=$B8442, $A$2:$A8441+$C$2:$C8441)), "")*24*60, "")</f>
        <v/>
      </c>
      <c r="Q8442" s="24" t="str" cm="1">
        <f t="array" ref="Q8442">IFERROR(IF($B8442=Q$1, ($A8442+$C8442) - MAX(IF($B$2:$B8441=$B8442, $A$2:$A8441+$C$2:$C8441)), "")*24*60, "")</f>
        <v/>
      </c>
      <c r="R8442" s="24" t="str" cm="1">
        <f t="array" ref="R8442">IFERROR(IF($B8442=R$1, ($A8442+$C8442) - MAX(IF($B$2:$B8441=$B8442, $A$2:$A8441+$C$2:$C8441)), "")*24*60, "")</f>
        <v/>
      </c>
      <c r="S8442" s="24" t="str" cm="1">
        <f t="array" ref="S8442">IFERROR(IF($B8442=S$1, ($A8442+$C8442) - MAX(IF($B$2:$B8441=$B8442, $A$2:$A8441+$C$2:$C8441)), "")*24*60, "")</f>
        <v/>
      </c>
    </row>
    <row r="8443" spans="1:19" x14ac:dyDescent="0.2">
      <c r="A8443" s="12">
        <f t="shared" ref="A8443:C8443" si="1543">A8442</f>
        <v>46029</v>
      </c>
      <c r="B8443" s="5" t="str">
        <f t="shared" si="1543"/>
        <v>Northern Cardinal</v>
      </c>
      <c r="C8443" s="6">
        <f t="shared" si="1543"/>
        <v>0.75</v>
      </c>
      <c r="D8443" s="5"/>
      <c r="E8443" s="5"/>
      <c r="F8443" s="5" t="s">
        <v>9</v>
      </c>
      <c r="G8443" s="15" t="s">
        <v>8</v>
      </c>
      <c r="H8443" s="24">
        <f t="shared" si="1521"/>
        <v>0</v>
      </c>
      <c r="I8443" s="24" cm="1">
        <f t="array" ref="I8443">IFERROR(IF($B8443=I$1, ($A8443+$C8443) - MAX(IF($B$2:$B8442=$B8443, $A$2:$A8442+$C$2:$C8442)), "")*24*60, "")</f>
        <v>0</v>
      </c>
      <c r="J8443" s="24" t="str" cm="1">
        <f t="array" ref="J8443">IFERROR(IF($B8443=J$1, ($A8443+$C8443) - MAX(IF($B$2:$B8442=$B8443, $A$2:$A8442+$C$2:$C8442)), "")*24*60, "")</f>
        <v/>
      </c>
      <c r="K8443" s="24" t="str" cm="1">
        <f t="array" ref="K8443">IFERROR(IF($B8443=K$1, ($A8443+$C8443) - MAX(IF($B$2:$B8442=$B8443, $A$2:$A8442+$C$2:$C8442)), "")*24*60, "")</f>
        <v/>
      </c>
      <c r="L8443" s="24" t="str" cm="1">
        <f t="array" ref="L8443">IFERROR(IF($B8443=L$1, ($A8443+$C8443) - MAX(IF($B$2:$B8442=$B8443, $A$2:$A8442+$C$2:$C8442)), "")*24*60, "")</f>
        <v/>
      </c>
      <c r="M8443" s="24" t="str" cm="1">
        <f t="array" ref="M8443">IFERROR(IF($B8443=M$1, ($A8443+$C8443) - MAX(IF($B$2:$B8442=$B8443, $A$2:$A8442+$C$2:$C8442)), "")*24*60, "")</f>
        <v/>
      </c>
      <c r="N8443" s="24" t="str" cm="1">
        <f t="array" ref="N8443">IFERROR(IF($B8443=N$1, ($A8443+$C8443) - MAX(IF($B$2:$B8442=$B8443, $A$2:$A8442+$C$2:$C8442)), "")*24*60, "")</f>
        <v/>
      </c>
      <c r="O8443" s="24" t="str" cm="1">
        <f t="array" ref="O8443">IFERROR(IF($B8443=O$1, ($A8443+$C8443) - MAX(IF($B$2:$B8442=$B8443, $A$2:$A8442+$C$2:$C8442)), "")*24*60, "")</f>
        <v/>
      </c>
      <c r="P8443" s="24" t="str" cm="1">
        <f t="array" ref="P8443">IFERROR(IF($B8443=P$1, ($A8443+$C8443) - MAX(IF($B$2:$B8442=$B8443, $A$2:$A8442+$C$2:$C8442)), "")*24*60, "")</f>
        <v/>
      </c>
      <c r="Q8443" s="24" t="str" cm="1">
        <f t="array" ref="Q8443">IFERROR(IF($B8443=Q$1, ($A8443+$C8443) - MAX(IF($B$2:$B8442=$B8443, $A$2:$A8442+$C$2:$C8442)), "")*24*60, "")</f>
        <v/>
      </c>
      <c r="R8443" s="24" t="str" cm="1">
        <f t="array" ref="R8443">IFERROR(IF($B8443=R$1, ($A8443+$C8443) - MAX(IF($B$2:$B8442=$B8443, $A$2:$A8442+$C$2:$C8442)), "")*24*60, "")</f>
        <v/>
      </c>
      <c r="S8443" s="24" t="str" cm="1">
        <f t="array" ref="S8443">IFERROR(IF($B8443=S$1, ($A8443+$C8443) - MAX(IF($B$2:$B8442=$B8443, $A$2:$A8442+$C$2:$C8442)), "")*24*60, "")</f>
        <v/>
      </c>
    </row>
    <row r="8444" spans="1:19" x14ac:dyDescent="0.2">
      <c r="A8444" s="12">
        <f t="shared" ref="A8444:C8444" si="1544">A8443</f>
        <v>46029</v>
      </c>
      <c r="B8444" s="5" t="str">
        <f t="shared" si="1544"/>
        <v>Northern Cardinal</v>
      </c>
      <c r="C8444" s="6">
        <f t="shared" si="1544"/>
        <v>0.75</v>
      </c>
      <c r="D8444" s="5"/>
      <c r="E8444" s="5"/>
      <c r="F8444" s="5" t="s">
        <v>9</v>
      </c>
      <c r="G8444" s="15" t="s">
        <v>8</v>
      </c>
      <c r="H8444" s="24">
        <f t="shared" si="1521"/>
        <v>0</v>
      </c>
      <c r="I8444" s="24" cm="1">
        <f t="array" ref="I8444">IFERROR(IF($B8444=I$1, ($A8444+$C8444) - MAX(IF($B$2:$B8443=$B8444, $A$2:$A8443+$C$2:$C8443)), "")*24*60, "")</f>
        <v>0</v>
      </c>
      <c r="J8444" s="24" t="str" cm="1">
        <f t="array" ref="J8444">IFERROR(IF($B8444=J$1, ($A8444+$C8444) - MAX(IF($B$2:$B8443=$B8444, $A$2:$A8443+$C$2:$C8443)), "")*24*60, "")</f>
        <v/>
      </c>
      <c r="K8444" s="24" t="str" cm="1">
        <f t="array" ref="K8444">IFERROR(IF($B8444=K$1, ($A8444+$C8444) - MAX(IF($B$2:$B8443=$B8444, $A$2:$A8443+$C$2:$C8443)), "")*24*60, "")</f>
        <v/>
      </c>
      <c r="L8444" s="24" t="str" cm="1">
        <f t="array" ref="L8444">IFERROR(IF($B8444=L$1, ($A8444+$C8444) - MAX(IF($B$2:$B8443=$B8444, $A$2:$A8443+$C$2:$C8443)), "")*24*60, "")</f>
        <v/>
      </c>
      <c r="M8444" s="24" t="str" cm="1">
        <f t="array" ref="M8444">IFERROR(IF($B8444=M$1, ($A8444+$C8444) - MAX(IF($B$2:$B8443=$B8444, $A$2:$A8443+$C$2:$C8443)), "")*24*60, "")</f>
        <v/>
      </c>
      <c r="N8444" s="24" t="str" cm="1">
        <f t="array" ref="N8444">IFERROR(IF($B8444=N$1, ($A8444+$C8444) - MAX(IF($B$2:$B8443=$B8444, $A$2:$A8443+$C$2:$C8443)), "")*24*60, "")</f>
        <v/>
      </c>
      <c r="O8444" s="24" t="str" cm="1">
        <f t="array" ref="O8444">IFERROR(IF($B8444=O$1, ($A8444+$C8444) - MAX(IF($B$2:$B8443=$B8444, $A$2:$A8443+$C$2:$C8443)), "")*24*60, "")</f>
        <v/>
      </c>
      <c r="P8444" s="24" t="str" cm="1">
        <f t="array" ref="P8444">IFERROR(IF($B8444=P$1, ($A8444+$C8444) - MAX(IF($B$2:$B8443=$B8444, $A$2:$A8443+$C$2:$C8443)), "")*24*60, "")</f>
        <v/>
      </c>
      <c r="Q8444" s="24" t="str" cm="1">
        <f t="array" ref="Q8444">IFERROR(IF($B8444=Q$1, ($A8444+$C8444) - MAX(IF($B$2:$B8443=$B8444, $A$2:$A8443+$C$2:$C8443)), "")*24*60, "")</f>
        <v/>
      </c>
      <c r="R8444" s="24" t="str" cm="1">
        <f t="array" ref="R8444">IFERROR(IF($B8444=R$1, ($A8444+$C8444) - MAX(IF($B$2:$B8443=$B8444, $A$2:$A8443+$C$2:$C8443)), "")*24*60, "")</f>
        <v/>
      </c>
      <c r="S8444" s="24" t="str" cm="1">
        <f t="array" ref="S8444">IFERROR(IF($B8444=S$1, ($A8444+$C8444) - MAX(IF($B$2:$B8443=$B8444, $A$2:$A8443+$C$2:$C8443)), "")*24*60, "")</f>
        <v/>
      </c>
    </row>
    <row r="8445" spans="1:19" x14ac:dyDescent="0.2">
      <c r="A8445" s="12">
        <f t="shared" ref="A8445:C8445" si="1545">A8444</f>
        <v>46029</v>
      </c>
      <c r="B8445" s="5" t="str">
        <f t="shared" si="1545"/>
        <v>Northern Cardinal</v>
      </c>
      <c r="C8445" s="6">
        <f t="shared" si="1545"/>
        <v>0.75</v>
      </c>
      <c r="D8445" s="5"/>
      <c r="E8445" s="5"/>
      <c r="F8445" s="5" t="s">
        <v>9</v>
      </c>
      <c r="G8445" s="15" t="s">
        <v>8</v>
      </c>
      <c r="H8445" s="24">
        <f t="shared" si="1521"/>
        <v>0</v>
      </c>
      <c r="I8445" s="24" cm="1">
        <f t="array" ref="I8445">IFERROR(IF($B8445=I$1, ($A8445+$C8445) - MAX(IF($B$2:$B8444=$B8445, $A$2:$A8444+$C$2:$C8444)), "")*24*60, "")</f>
        <v>0</v>
      </c>
      <c r="J8445" s="24" t="str" cm="1">
        <f t="array" ref="J8445">IFERROR(IF($B8445=J$1, ($A8445+$C8445) - MAX(IF($B$2:$B8444=$B8445, $A$2:$A8444+$C$2:$C8444)), "")*24*60, "")</f>
        <v/>
      </c>
      <c r="K8445" s="24" t="str" cm="1">
        <f t="array" ref="K8445">IFERROR(IF($B8445=K$1, ($A8445+$C8445) - MAX(IF($B$2:$B8444=$B8445, $A$2:$A8444+$C$2:$C8444)), "")*24*60, "")</f>
        <v/>
      </c>
      <c r="L8445" s="24" t="str" cm="1">
        <f t="array" ref="L8445">IFERROR(IF($B8445=L$1, ($A8445+$C8445) - MAX(IF($B$2:$B8444=$B8445, $A$2:$A8444+$C$2:$C8444)), "")*24*60, "")</f>
        <v/>
      </c>
      <c r="M8445" s="24" t="str" cm="1">
        <f t="array" ref="M8445">IFERROR(IF($B8445=M$1, ($A8445+$C8445) - MAX(IF($B$2:$B8444=$B8445, $A$2:$A8444+$C$2:$C8444)), "")*24*60, "")</f>
        <v/>
      </c>
      <c r="N8445" s="24" t="str" cm="1">
        <f t="array" ref="N8445">IFERROR(IF($B8445=N$1, ($A8445+$C8445) - MAX(IF($B$2:$B8444=$B8445, $A$2:$A8444+$C$2:$C8444)), "")*24*60, "")</f>
        <v/>
      </c>
      <c r="O8445" s="24" t="str" cm="1">
        <f t="array" ref="O8445">IFERROR(IF($B8445=O$1, ($A8445+$C8445) - MAX(IF($B$2:$B8444=$B8445, $A$2:$A8444+$C$2:$C8444)), "")*24*60, "")</f>
        <v/>
      </c>
      <c r="P8445" s="24" t="str" cm="1">
        <f t="array" ref="P8445">IFERROR(IF($B8445=P$1, ($A8445+$C8445) - MAX(IF($B$2:$B8444=$B8445, $A$2:$A8444+$C$2:$C8444)), "")*24*60, "")</f>
        <v/>
      </c>
      <c r="Q8445" s="24" t="str" cm="1">
        <f t="array" ref="Q8445">IFERROR(IF($B8445=Q$1, ($A8445+$C8445) - MAX(IF($B$2:$B8444=$B8445, $A$2:$A8444+$C$2:$C8444)), "")*24*60, "")</f>
        <v/>
      </c>
      <c r="R8445" s="24" t="str" cm="1">
        <f t="array" ref="R8445">IFERROR(IF($B8445=R$1, ($A8445+$C8445) - MAX(IF($B$2:$B8444=$B8445, $A$2:$A8444+$C$2:$C8444)), "")*24*60, "")</f>
        <v/>
      </c>
      <c r="S8445" s="24" t="str" cm="1">
        <f t="array" ref="S8445">IFERROR(IF($B8445=S$1, ($A8445+$C8445) - MAX(IF($B$2:$B8444=$B8445, $A$2:$A8444+$C$2:$C8444)), "")*24*60, "")</f>
        <v/>
      </c>
    </row>
    <row r="8446" spans="1:19" x14ac:dyDescent="0.2">
      <c r="A8446" s="12">
        <f t="shared" ref="A8446:C8446" si="1546">A8445</f>
        <v>46029</v>
      </c>
      <c r="B8446" s="5" t="str">
        <f t="shared" si="1546"/>
        <v>Northern Cardinal</v>
      </c>
      <c r="C8446" s="6">
        <f t="shared" si="1546"/>
        <v>0.75</v>
      </c>
      <c r="D8446" s="5"/>
      <c r="E8446" s="5"/>
      <c r="F8446" s="5" t="s">
        <v>9</v>
      </c>
      <c r="G8446" s="15" t="s">
        <v>8</v>
      </c>
      <c r="H8446" s="24">
        <f t="shared" si="1521"/>
        <v>0</v>
      </c>
      <c r="I8446" s="24" cm="1">
        <f t="array" ref="I8446">IFERROR(IF($B8446=I$1, ($A8446+$C8446) - MAX(IF($B$2:$B8445=$B8446, $A$2:$A8445+$C$2:$C8445)), "")*24*60, "")</f>
        <v>0</v>
      </c>
      <c r="J8446" s="24" t="str" cm="1">
        <f t="array" ref="J8446">IFERROR(IF($B8446=J$1, ($A8446+$C8446) - MAX(IF($B$2:$B8445=$B8446, $A$2:$A8445+$C$2:$C8445)), "")*24*60, "")</f>
        <v/>
      </c>
      <c r="K8446" s="24" t="str" cm="1">
        <f t="array" ref="K8446">IFERROR(IF($B8446=K$1, ($A8446+$C8446) - MAX(IF($B$2:$B8445=$B8446, $A$2:$A8445+$C$2:$C8445)), "")*24*60, "")</f>
        <v/>
      </c>
      <c r="L8446" s="24" t="str" cm="1">
        <f t="array" ref="L8446">IFERROR(IF($B8446=L$1, ($A8446+$C8446) - MAX(IF($B$2:$B8445=$B8446, $A$2:$A8445+$C$2:$C8445)), "")*24*60, "")</f>
        <v/>
      </c>
      <c r="M8446" s="24" t="str" cm="1">
        <f t="array" ref="M8446">IFERROR(IF($B8446=M$1, ($A8446+$C8446) - MAX(IF($B$2:$B8445=$B8446, $A$2:$A8445+$C$2:$C8445)), "")*24*60, "")</f>
        <v/>
      </c>
      <c r="N8446" s="24" t="str" cm="1">
        <f t="array" ref="N8446">IFERROR(IF($B8446=N$1, ($A8446+$C8446) - MAX(IF($B$2:$B8445=$B8446, $A$2:$A8445+$C$2:$C8445)), "")*24*60, "")</f>
        <v/>
      </c>
      <c r="O8446" s="24" t="str" cm="1">
        <f t="array" ref="O8446">IFERROR(IF($B8446=O$1, ($A8446+$C8446) - MAX(IF($B$2:$B8445=$B8446, $A$2:$A8445+$C$2:$C8445)), "")*24*60, "")</f>
        <v/>
      </c>
      <c r="P8446" s="24" t="str" cm="1">
        <f t="array" ref="P8446">IFERROR(IF($B8446=P$1, ($A8446+$C8446) - MAX(IF($B$2:$B8445=$B8446, $A$2:$A8445+$C$2:$C8445)), "")*24*60, "")</f>
        <v/>
      </c>
      <c r="Q8446" s="24" t="str" cm="1">
        <f t="array" ref="Q8446">IFERROR(IF($B8446=Q$1, ($A8446+$C8446) - MAX(IF($B$2:$B8445=$B8446, $A$2:$A8445+$C$2:$C8445)), "")*24*60, "")</f>
        <v/>
      </c>
      <c r="R8446" s="24" t="str" cm="1">
        <f t="array" ref="R8446">IFERROR(IF($B8446=R$1, ($A8446+$C8446) - MAX(IF($B$2:$B8445=$B8446, $A$2:$A8445+$C$2:$C8445)), "")*24*60, "")</f>
        <v/>
      </c>
      <c r="S8446" s="24" t="str" cm="1">
        <f t="array" ref="S8446">IFERROR(IF($B8446=S$1, ($A8446+$C8446) - MAX(IF($B$2:$B8445=$B8446, $A$2:$A8445+$C$2:$C8445)), "")*24*60, "")</f>
        <v/>
      </c>
    </row>
    <row r="8447" spans="1:19" x14ac:dyDescent="0.2">
      <c r="A8447" s="12">
        <f t="shared" ref="A8447:C8447" si="1547">A8446</f>
        <v>46029</v>
      </c>
      <c r="B8447" s="5" t="str">
        <f t="shared" si="1547"/>
        <v>Northern Cardinal</v>
      </c>
      <c r="C8447" s="6">
        <f t="shared" si="1547"/>
        <v>0.75</v>
      </c>
      <c r="D8447" s="5"/>
      <c r="E8447" s="5"/>
      <c r="F8447" s="5" t="s">
        <v>9</v>
      </c>
      <c r="G8447" s="15" t="s">
        <v>8</v>
      </c>
      <c r="H8447" s="24">
        <f t="shared" si="1521"/>
        <v>0</v>
      </c>
      <c r="I8447" s="24" cm="1">
        <f t="array" ref="I8447">IFERROR(IF($B8447=I$1, ($A8447+$C8447) - MAX(IF($B$2:$B8446=$B8447, $A$2:$A8446+$C$2:$C8446)), "")*24*60, "")</f>
        <v>0</v>
      </c>
      <c r="J8447" s="24" t="str" cm="1">
        <f t="array" ref="J8447">IFERROR(IF($B8447=J$1, ($A8447+$C8447) - MAX(IF($B$2:$B8446=$B8447, $A$2:$A8446+$C$2:$C8446)), "")*24*60, "")</f>
        <v/>
      </c>
      <c r="K8447" s="24" t="str" cm="1">
        <f t="array" ref="K8447">IFERROR(IF($B8447=K$1, ($A8447+$C8447) - MAX(IF($B$2:$B8446=$B8447, $A$2:$A8446+$C$2:$C8446)), "")*24*60, "")</f>
        <v/>
      </c>
      <c r="L8447" s="24" t="str" cm="1">
        <f t="array" ref="L8447">IFERROR(IF($B8447=L$1, ($A8447+$C8447) - MAX(IF($B$2:$B8446=$B8447, $A$2:$A8446+$C$2:$C8446)), "")*24*60, "")</f>
        <v/>
      </c>
      <c r="M8447" s="24" t="str" cm="1">
        <f t="array" ref="M8447">IFERROR(IF($B8447=M$1, ($A8447+$C8447) - MAX(IF($B$2:$B8446=$B8447, $A$2:$A8446+$C$2:$C8446)), "")*24*60, "")</f>
        <v/>
      </c>
      <c r="N8447" s="24" t="str" cm="1">
        <f t="array" ref="N8447">IFERROR(IF($B8447=N$1, ($A8447+$C8447) - MAX(IF($B$2:$B8446=$B8447, $A$2:$A8446+$C$2:$C8446)), "")*24*60, "")</f>
        <v/>
      </c>
      <c r="O8447" s="24" t="str" cm="1">
        <f t="array" ref="O8447">IFERROR(IF($B8447=O$1, ($A8447+$C8447) - MAX(IF($B$2:$B8446=$B8447, $A$2:$A8446+$C$2:$C8446)), "")*24*60, "")</f>
        <v/>
      </c>
      <c r="P8447" s="24" t="str" cm="1">
        <f t="array" ref="P8447">IFERROR(IF($B8447=P$1, ($A8447+$C8447) - MAX(IF($B$2:$B8446=$B8447, $A$2:$A8446+$C$2:$C8446)), "")*24*60, "")</f>
        <v/>
      </c>
      <c r="Q8447" s="24" t="str" cm="1">
        <f t="array" ref="Q8447">IFERROR(IF($B8447=Q$1, ($A8447+$C8447) - MAX(IF($B$2:$B8446=$B8447, $A$2:$A8446+$C$2:$C8446)), "")*24*60, "")</f>
        <v/>
      </c>
      <c r="R8447" s="24" t="str" cm="1">
        <f t="array" ref="R8447">IFERROR(IF($B8447=R$1, ($A8447+$C8447) - MAX(IF($B$2:$B8446=$B8447, $A$2:$A8446+$C$2:$C8446)), "")*24*60, "")</f>
        <v/>
      </c>
      <c r="S8447" s="24" t="str" cm="1">
        <f t="array" ref="S8447">IFERROR(IF($B8447=S$1, ($A8447+$C8447) - MAX(IF($B$2:$B8446=$B8447, $A$2:$A8446+$C$2:$C8446)), "")*24*60, "")</f>
        <v/>
      </c>
    </row>
    <row r="8448" spans="1:19" x14ac:dyDescent="0.2">
      <c r="A8448" s="12">
        <f t="shared" ref="A8448:C8448" si="1548">A8447</f>
        <v>46029</v>
      </c>
      <c r="B8448" s="5" t="str">
        <f t="shared" si="1548"/>
        <v>Northern Cardinal</v>
      </c>
      <c r="C8448" s="6">
        <f t="shared" si="1548"/>
        <v>0.75</v>
      </c>
      <c r="D8448" s="5"/>
      <c r="E8448" s="5"/>
      <c r="F8448" s="5" t="s">
        <v>9</v>
      </c>
      <c r="G8448" s="15" t="s">
        <v>8</v>
      </c>
      <c r="H8448" s="24">
        <f t="shared" si="1521"/>
        <v>0</v>
      </c>
      <c r="I8448" s="24" cm="1">
        <f t="array" ref="I8448">IFERROR(IF($B8448=I$1, ($A8448+$C8448) - MAX(IF($B$2:$B8447=$B8448, $A$2:$A8447+$C$2:$C8447)), "")*24*60, "")</f>
        <v>0</v>
      </c>
      <c r="J8448" s="24" t="str" cm="1">
        <f t="array" ref="J8448">IFERROR(IF($B8448=J$1, ($A8448+$C8448) - MAX(IF($B$2:$B8447=$B8448, $A$2:$A8447+$C$2:$C8447)), "")*24*60, "")</f>
        <v/>
      </c>
      <c r="K8448" s="24" t="str" cm="1">
        <f t="array" ref="K8448">IFERROR(IF($B8448=K$1, ($A8448+$C8448) - MAX(IF($B$2:$B8447=$B8448, $A$2:$A8447+$C$2:$C8447)), "")*24*60, "")</f>
        <v/>
      </c>
      <c r="L8448" s="24" t="str" cm="1">
        <f t="array" ref="L8448">IFERROR(IF($B8448=L$1, ($A8448+$C8448) - MAX(IF($B$2:$B8447=$B8448, $A$2:$A8447+$C$2:$C8447)), "")*24*60, "")</f>
        <v/>
      </c>
      <c r="M8448" s="24" t="str" cm="1">
        <f t="array" ref="M8448">IFERROR(IF($B8448=M$1, ($A8448+$C8448) - MAX(IF($B$2:$B8447=$B8448, $A$2:$A8447+$C$2:$C8447)), "")*24*60, "")</f>
        <v/>
      </c>
      <c r="N8448" s="24" t="str" cm="1">
        <f t="array" ref="N8448">IFERROR(IF($B8448=N$1, ($A8448+$C8448) - MAX(IF($B$2:$B8447=$B8448, $A$2:$A8447+$C$2:$C8447)), "")*24*60, "")</f>
        <v/>
      </c>
      <c r="O8448" s="24" t="str" cm="1">
        <f t="array" ref="O8448">IFERROR(IF($B8448=O$1, ($A8448+$C8448) - MAX(IF($B$2:$B8447=$B8448, $A$2:$A8447+$C$2:$C8447)), "")*24*60, "")</f>
        <v/>
      </c>
      <c r="P8448" s="24" t="str" cm="1">
        <f t="array" ref="P8448">IFERROR(IF($B8448=P$1, ($A8448+$C8448) - MAX(IF($B$2:$B8447=$B8448, $A$2:$A8447+$C$2:$C8447)), "")*24*60, "")</f>
        <v/>
      </c>
      <c r="Q8448" s="24" t="str" cm="1">
        <f t="array" ref="Q8448">IFERROR(IF($B8448=Q$1, ($A8448+$C8448) - MAX(IF($B$2:$B8447=$B8448, $A$2:$A8447+$C$2:$C8447)), "")*24*60, "")</f>
        <v/>
      </c>
      <c r="R8448" s="24" t="str" cm="1">
        <f t="array" ref="R8448">IFERROR(IF($B8448=R$1, ($A8448+$C8448) - MAX(IF($B$2:$B8447=$B8448, $A$2:$A8447+$C$2:$C8447)), "")*24*60, "")</f>
        <v/>
      </c>
      <c r="S8448" s="24" t="str" cm="1">
        <f t="array" ref="S8448">IFERROR(IF($B8448=S$1, ($A8448+$C8448) - MAX(IF($B$2:$B8447=$B8448, $A$2:$A8447+$C$2:$C8447)), "")*24*60, "")</f>
        <v/>
      </c>
    </row>
    <row r="8449" spans="1:19" x14ac:dyDescent="0.2">
      <c r="A8449" s="12">
        <f t="shared" ref="A8449:C8449" si="1549">A8448</f>
        <v>46029</v>
      </c>
      <c r="B8449" s="5" t="str">
        <f t="shared" si="1549"/>
        <v>Northern Cardinal</v>
      </c>
      <c r="C8449" s="6">
        <f t="shared" si="1549"/>
        <v>0.75</v>
      </c>
      <c r="D8449" s="5"/>
      <c r="E8449" s="5"/>
      <c r="F8449" s="5" t="s">
        <v>9</v>
      </c>
      <c r="G8449" s="15" t="s">
        <v>8</v>
      </c>
      <c r="H8449" s="24">
        <f t="shared" si="1521"/>
        <v>0</v>
      </c>
      <c r="I8449" s="24" cm="1">
        <f t="array" ref="I8449">IFERROR(IF($B8449=I$1, ($A8449+$C8449) - MAX(IF($B$2:$B8448=$B8449, $A$2:$A8448+$C$2:$C8448)), "")*24*60, "")</f>
        <v>0</v>
      </c>
      <c r="J8449" s="24" t="str" cm="1">
        <f t="array" ref="J8449">IFERROR(IF($B8449=J$1, ($A8449+$C8449) - MAX(IF($B$2:$B8448=$B8449, $A$2:$A8448+$C$2:$C8448)), "")*24*60, "")</f>
        <v/>
      </c>
      <c r="K8449" s="24" t="str" cm="1">
        <f t="array" ref="K8449">IFERROR(IF($B8449=K$1, ($A8449+$C8449) - MAX(IF($B$2:$B8448=$B8449, $A$2:$A8448+$C$2:$C8448)), "")*24*60, "")</f>
        <v/>
      </c>
      <c r="L8449" s="24" t="str" cm="1">
        <f t="array" ref="L8449">IFERROR(IF($B8449=L$1, ($A8449+$C8449) - MAX(IF($B$2:$B8448=$B8449, $A$2:$A8448+$C$2:$C8448)), "")*24*60, "")</f>
        <v/>
      </c>
      <c r="M8449" s="24" t="str" cm="1">
        <f t="array" ref="M8449">IFERROR(IF($B8449=M$1, ($A8449+$C8449) - MAX(IF($B$2:$B8448=$B8449, $A$2:$A8448+$C$2:$C8448)), "")*24*60, "")</f>
        <v/>
      </c>
      <c r="N8449" s="24" t="str" cm="1">
        <f t="array" ref="N8449">IFERROR(IF($B8449=N$1, ($A8449+$C8449) - MAX(IF($B$2:$B8448=$B8449, $A$2:$A8448+$C$2:$C8448)), "")*24*60, "")</f>
        <v/>
      </c>
      <c r="O8449" s="24" t="str" cm="1">
        <f t="array" ref="O8449">IFERROR(IF($B8449=O$1, ($A8449+$C8449) - MAX(IF($B$2:$B8448=$B8449, $A$2:$A8448+$C$2:$C8448)), "")*24*60, "")</f>
        <v/>
      </c>
      <c r="P8449" s="24" t="str" cm="1">
        <f t="array" ref="P8449">IFERROR(IF($B8449=P$1, ($A8449+$C8449) - MAX(IF($B$2:$B8448=$B8449, $A$2:$A8448+$C$2:$C8448)), "")*24*60, "")</f>
        <v/>
      </c>
      <c r="Q8449" s="24" t="str" cm="1">
        <f t="array" ref="Q8449">IFERROR(IF($B8449=Q$1, ($A8449+$C8449) - MAX(IF($B$2:$B8448=$B8449, $A$2:$A8448+$C$2:$C8448)), "")*24*60, "")</f>
        <v/>
      </c>
      <c r="R8449" s="24" t="str" cm="1">
        <f t="array" ref="R8449">IFERROR(IF($B8449=R$1, ($A8449+$C8449) - MAX(IF($B$2:$B8448=$B8449, $A$2:$A8448+$C$2:$C8448)), "")*24*60, "")</f>
        <v/>
      </c>
      <c r="S8449" s="24" t="str" cm="1">
        <f t="array" ref="S8449">IFERROR(IF($B8449=S$1, ($A8449+$C8449) - MAX(IF($B$2:$B8448=$B8449, $A$2:$A8448+$C$2:$C8448)), "")*24*60, "")</f>
        <v/>
      </c>
    </row>
    <row r="8450" spans="1:19" x14ac:dyDescent="0.2">
      <c r="A8450" s="12">
        <f t="shared" ref="A8450:C8450" si="1550">A8449</f>
        <v>46029</v>
      </c>
      <c r="B8450" s="5" t="str">
        <f t="shared" si="1550"/>
        <v>Northern Cardinal</v>
      </c>
      <c r="C8450" s="6">
        <f t="shared" si="1550"/>
        <v>0.75</v>
      </c>
      <c r="D8450" s="5"/>
      <c r="E8450" s="5"/>
      <c r="F8450" s="5" t="s">
        <v>9</v>
      </c>
      <c r="G8450" s="15" t="s">
        <v>8</v>
      </c>
      <c r="H8450" s="24">
        <f t="shared" si="1521"/>
        <v>0</v>
      </c>
      <c r="I8450" s="24" cm="1">
        <f t="array" ref="I8450">IFERROR(IF($B8450=I$1, ($A8450+$C8450) - MAX(IF($B$2:$B8449=$B8450, $A$2:$A8449+$C$2:$C8449)), "")*24*60, "")</f>
        <v>0</v>
      </c>
      <c r="J8450" s="24" t="str" cm="1">
        <f t="array" ref="J8450">IFERROR(IF($B8450=J$1, ($A8450+$C8450) - MAX(IF($B$2:$B8449=$B8450, $A$2:$A8449+$C$2:$C8449)), "")*24*60, "")</f>
        <v/>
      </c>
      <c r="K8450" s="24" t="str" cm="1">
        <f t="array" ref="K8450">IFERROR(IF($B8450=K$1, ($A8450+$C8450) - MAX(IF($B$2:$B8449=$B8450, $A$2:$A8449+$C$2:$C8449)), "")*24*60, "")</f>
        <v/>
      </c>
      <c r="L8450" s="24" t="str" cm="1">
        <f t="array" ref="L8450">IFERROR(IF($B8450=L$1, ($A8450+$C8450) - MAX(IF($B$2:$B8449=$B8450, $A$2:$A8449+$C$2:$C8449)), "")*24*60, "")</f>
        <v/>
      </c>
      <c r="M8450" s="24" t="str" cm="1">
        <f t="array" ref="M8450">IFERROR(IF($B8450=M$1, ($A8450+$C8450) - MAX(IF($B$2:$B8449=$B8450, $A$2:$A8449+$C$2:$C8449)), "")*24*60, "")</f>
        <v/>
      </c>
      <c r="N8450" s="24" t="str" cm="1">
        <f t="array" ref="N8450">IFERROR(IF($B8450=N$1, ($A8450+$C8450) - MAX(IF($B$2:$B8449=$B8450, $A$2:$A8449+$C$2:$C8449)), "")*24*60, "")</f>
        <v/>
      </c>
      <c r="O8450" s="24" t="str" cm="1">
        <f t="array" ref="O8450">IFERROR(IF($B8450=O$1, ($A8450+$C8450) - MAX(IF($B$2:$B8449=$B8450, $A$2:$A8449+$C$2:$C8449)), "")*24*60, "")</f>
        <v/>
      </c>
      <c r="P8450" s="24" t="str" cm="1">
        <f t="array" ref="P8450">IFERROR(IF($B8450=P$1, ($A8450+$C8450) - MAX(IF($B$2:$B8449=$B8450, $A$2:$A8449+$C$2:$C8449)), "")*24*60, "")</f>
        <v/>
      </c>
      <c r="Q8450" s="24" t="str" cm="1">
        <f t="array" ref="Q8450">IFERROR(IF($B8450=Q$1, ($A8450+$C8450) - MAX(IF($B$2:$B8449=$B8450, $A$2:$A8449+$C$2:$C8449)), "")*24*60, "")</f>
        <v/>
      </c>
      <c r="R8450" s="24" t="str" cm="1">
        <f t="array" ref="R8450">IFERROR(IF($B8450=R$1, ($A8450+$C8450) - MAX(IF($B$2:$B8449=$B8450, $A$2:$A8449+$C$2:$C8449)), "")*24*60, "")</f>
        <v/>
      </c>
      <c r="S8450" s="24" t="str" cm="1">
        <f t="array" ref="S8450">IFERROR(IF($B8450=S$1, ($A8450+$C8450) - MAX(IF($B$2:$B8449=$B8450, $A$2:$A8449+$C$2:$C8449)), "")*24*60, "")</f>
        <v/>
      </c>
    </row>
    <row r="8451" spans="1:19" x14ac:dyDescent="0.2">
      <c r="A8451" s="12">
        <f t="shared" ref="A8451:C8451" si="1551">A8450</f>
        <v>46029</v>
      </c>
      <c r="B8451" s="5" t="str">
        <f t="shared" si="1551"/>
        <v>Northern Cardinal</v>
      </c>
      <c r="C8451" s="6">
        <f t="shared" si="1551"/>
        <v>0.75</v>
      </c>
      <c r="D8451" s="5"/>
      <c r="E8451" s="5"/>
      <c r="F8451" s="5" t="s">
        <v>9</v>
      </c>
      <c r="G8451" s="15" t="s">
        <v>8</v>
      </c>
      <c r="H8451" s="24">
        <f t="shared" si="1521"/>
        <v>0</v>
      </c>
      <c r="I8451" s="24" cm="1">
        <f t="array" ref="I8451">IFERROR(IF($B8451=I$1, ($A8451+$C8451) - MAX(IF($B$2:$B8450=$B8451, $A$2:$A8450+$C$2:$C8450)), "")*24*60, "")</f>
        <v>0</v>
      </c>
      <c r="J8451" s="24" t="str" cm="1">
        <f t="array" ref="J8451">IFERROR(IF($B8451=J$1, ($A8451+$C8451) - MAX(IF($B$2:$B8450=$B8451, $A$2:$A8450+$C$2:$C8450)), "")*24*60, "")</f>
        <v/>
      </c>
      <c r="K8451" s="24" t="str" cm="1">
        <f t="array" ref="K8451">IFERROR(IF($B8451=K$1, ($A8451+$C8451) - MAX(IF($B$2:$B8450=$B8451, $A$2:$A8450+$C$2:$C8450)), "")*24*60, "")</f>
        <v/>
      </c>
      <c r="L8451" s="24" t="str" cm="1">
        <f t="array" ref="L8451">IFERROR(IF($B8451=L$1, ($A8451+$C8451) - MAX(IF($B$2:$B8450=$B8451, $A$2:$A8450+$C$2:$C8450)), "")*24*60, "")</f>
        <v/>
      </c>
      <c r="M8451" s="24" t="str" cm="1">
        <f t="array" ref="M8451">IFERROR(IF($B8451=M$1, ($A8451+$C8451) - MAX(IF($B$2:$B8450=$B8451, $A$2:$A8450+$C$2:$C8450)), "")*24*60, "")</f>
        <v/>
      </c>
      <c r="N8451" s="24" t="str" cm="1">
        <f t="array" ref="N8451">IFERROR(IF($B8451=N$1, ($A8451+$C8451) - MAX(IF($B$2:$B8450=$B8451, $A$2:$A8450+$C$2:$C8450)), "")*24*60, "")</f>
        <v/>
      </c>
      <c r="O8451" s="24" t="str" cm="1">
        <f t="array" ref="O8451">IFERROR(IF($B8451=O$1, ($A8451+$C8451) - MAX(IF($B$2:$B8450=$B8451, $A$2:$A8450+$C$2:$C8450)), "")*24*60, "")</f>
        <v/>
      </c>
      <c r="P8451" s="24" t="str" cm="1">
        <f t="array" ref="P8451">IFERROR(IF($B8451=P$1, ($A8451+$C8451) - MAX(IF($B$2:$B8450=$B8451, $A$2:$A8450+$C$2:$C8450)), "")*24*60, "")</f>
        <v/>
      </c>
      <c r="Q8451" s="24" t="str" cm="1">
        <f t="array" ref="Q8451">IFERROR(IF($B8451=Q$1, ($A8451+$C8451) - MAX(IF($B$2:$B8450=$B8451, $A$2:$A8450+$C$2:$C8450)), "")*24*60, "")</f>
        <v/>
      </c>
      <c r="R8451" s="24" t="str" cm="1">
        <f t="array" ref="R8451">IFERROR(IF($B8451=R$1, ($A8451+$C8451) - MAX(IF($B$2:$B8450=$B8451, $A$2:$A8450+$C$2:$C8450)), "")*24*60, "")</f>
        <v/>
      </c>
      <c r="S8451" s="24" t="str" cm="1">
        <f t="array" ref="S8451">IFERROR(IF($B8451=S$1, ($A8451+$C8451) - MAX(IF($B$2:$B8450=$B8451, $A$2:$A8450+$C$2:$C8450)), "")*24*60, "")</f>
        <v/>
      </c>
    </row>
    <row r="8452" spans="1:19" x14ac:dyDescent="0.2">
      <c r="A8452" s="12">
        <f t="shared" ref="A8452:C8452" si="1552">A8451</f>
        <v>46029</v>
      </c>
      <c r="B8452" s="5" t="str">
        <f t="shared" si="1552"/>
        <v>Northern Cardinal</v>
      </c>
      <c r="C8452" s="6">
        <f t="shared" si="1552"/>
        <v>0.75</v>
      </c>
      <c r="D8452" s="5"/>
      <c r="E8452" s="5"/>
      <c r="F8452" s="5" t="s">
        <v>9</v>
      </c>
      <c r="G8452" s="15" t="s">
        <v>8</v>
      </c>
      <c r="H8452" s="24">
        <f t="shared" si="1521"/>
        <v>0</v>
      </c>
      <c r="I8452" s="24" cm="1">
        <f t="array" ref="I8452">IFERROR(IF($B8452=I$1, ($A8452+$C8452) - MAX(IF($B$2:$B8451=$B8452, $A$2:$A8451+$C$2:$C8451)), "")*24*60, "")</f>
        <v>0</v>
      </c>
      <c r="J8452" s="24" t="str" cm="1">
        <f t="array" ref="J8452">IFERROR(IF($B8452=J$1, ($A8452+$C8452) - MAX(IF($B$2:$B8451=$B8452, $A$2:$A8451+$C$2:$C8451)), "")*24*60, "")</f>
        <v/>
      </c>
      <c r="K8452" s="24" t="str" cm="1">
        <f t="array" ref="K8452">IFERROR(IF($B8452=K$1, ($A8452+$C8452) - MAX(IF($B$2:$B8451=$B8452, $A$2:$A8451+$C$2:$C8451)), "")*24*60, "")</f>
        <v/>
      </c>
      <c r="L8452" s="24" t="str" cm="1">
        <f t="array" ref="L8452">IFERROR(IF($B8452=L$1, ($A8452+$C8452) - MAX(IF($B$2:$B8451=$B8452, $A$2:$A8451+$C$2:$C8451)), "")*24*60, "")</f>
        <v/>
      </c>
      <c r="M8452" s="24" t="str" cm="1">
        <f t="array" ref="M8452">IFERROR(IF($B8452=M$1, ($A8452+$C8452) - MAX(IF($B$2:$B8451=$B8452, $A$2:$A8451+$C$2:$C8451)), "")*24*60, "")</f>
        <v/>
      </c>
      <c r="N8452" s="24" t="str" cm="1">
        <f t="array" ref="N8452">IFERROR(IF($B8452=N$1, ($A8452+$C8452) - MAX(IF($B$2:$B8451=$B8452, $A$2:$A8451+$C$2:$C8451)), "")*24*60, "")</f>
        <v/>
      </c>
      <c r="O8452" s="24" t="str" cm="1">
        <f t="array" ref="O8452">IFERROR(IF($B8452=O$1, ($A8452+$C8452) - MAX(IF($B$2:$B8451=$B8452, $A$2:$A8451+$C$2:$C8451)), "")*24*60, "")</f>
        <v/>
      </c>
      <c r="P8452" s="24" t="str" cm="1">
        <f t="array" ref="P8452">IFERROR(IF($B8452=P$1, ($A8452+$C8452) - MAX(IF($B$2:$B8451=$B8452, $A$2:$A8451+$C$2:$C8451)), "")*24*60, "")</f>
        <v/>
      </c>
      <c r="Q8452" s="24" t="str" cm="1">
        <f t="array" ref="Q8452">IFERROR(IF($B8452=Q$1, ($A8452+$C8452) - MAX(IF($B$2:$B8451=$B8452, $A$2:$A8451+$C$2:$C8451)), "")*24*60, "")</f>
        <v/>
      </c>
      <c r="R8452" s="24" t="str" cm="1">
        <f t="array" ref="R8452">IFERROR(IF($B8452=R$1, ($A8452+$C8452) - MAX(IF($B$2:$B8451=$B8452, $A$2:$A8451+$C$2:$C8451)), "")*24*60, "")</f>
        <v/>
      </c>
      <c r="S8452" s="24" t="str" cm="1">
        <f t="array" ref="S8452">IFERROR(IF($B8452=S$1, ($A8452+$C8452) - MAX(IF($B$2:$B8451=$B8452, $A$2:$A8451+$C$2:$C8451)), "")*24*60, "")</f>
        <v/>
      </c>
    </row>
    <row r="8453" spans="1:19" x14ac:dyDescent="0.2">
      <c r="A8453" s="12">
        <f t="shared" ref="A8453:C8453" si="1553">A8452</f>
        <v>46029</v>
      </c>
      <c r="B8453" s="5" t="str">
        <f t="shared" si="1553"/>
        <v>Northern Cardinal</v>
      </c>
      <c r="C8453" s="6">
        <f t="shared" si="1553"/>
        <v>0.75</v>
      </c>
      <c r="D8453" s="5"/>
      <c r="E8453" s="5"/>
      <c r="F8453" s="5" t="s">
        <v>9</v>
      </c>
      <c r="G8453" s="15" t="s">
        <v>8</v>
      </c>
      <c r="H8453" s="24">
        <f t="shared" si="1521"/>
        <v>0</v>
      </c>
      <c r="I8453" s="24" cm="1">
        <f t="array" ref="I8453">IFERROR(IF($B8453=I$1, ($A8453+$C8453) - MAX(IF($B$2:$B8452=$B8453, $A$2:$A8452+$C$2:$C8452)), "")*24*60, "")</f>
        <v>0</v>
      </c>
      <c r="J8453" s="24" t="str" cm="1">
        <f t="array" ref="J8453">IFERROR(IF($B8453=J$1, ($A8453+$C8453) - MAX(IF($B$2:$B8452=$B8453, $A$2:$A8452+$C$2:$C8452)), "")*24*60, "")</f>
        <v/>
      </c>
      <c r="K8453" s="24" t="str" cm="1">
        <f t="array" ref="K8453">IFERROR(IF($B8453=K$1, ($A8453+$C8453) - MAX(IF($B$2:$B8452=$B8453, $A$2:$A8452+$C$2:$C8452)), "")*24*60, "")</f>
        <v/>
      </c>
      <c r="L8453" s="24" t="str" cm="1">
        <f t="array" ref="L8453">IFERROR(IF($B8453=L$1, ($A8453+$C8453) - MAX(IF($B$2:$B8452=$B8453, $A$2:$A8452+$C$2:$C8452)), "")*24*60, "")</f>
        <v/>
      </c>
      <c r="M8453" s="24" t="str" cm="1">
        <f t="array" ref="M8453">IFERROR(IF($B8453=M$1, ($A8453+$C8453) - MAX(IF($B$2:$B8452=$B8453, $A$2:$A8452+$C$2:$C8452)), "")*24*60, "")</f>
        <v/>
      </c>
      <c r="N8453" s="24" t="str" cm="1">
        <f t="array" ref="N8453">IFERROR(IF($B8453=N$1, ($A8453+$C8453) - MAX(IF($B$2:$B8452=$B8453, $A$2:$A8452+$C$2:$C8452)), "")*24*60, "")</f>
        <v/>
      </c>
      <c r="O8453" s="24" t="str" cm="1">
        <f t="array" ref="O8453">IFERROR(IF($B8453=O$1, ($A8453+$C8453) - MAX(IF($B$2:$B8452=$B8453, $A$2:$A8452+$C$2:$C8452)), "")*24*60, "")</f>
        <v/>
      </c>
      <c r="P8453" s="24" t="str" cm="1">
        <f t="array" ref="P8453">IFERROR(IF($B8453=P$1, ($A8453+$C8453) - MAX(IF($B$2:$B8452=$B8453, $A$2:$A8452+$C$2:$C8452)), "")*24*60, "")</f>
        <v/>
      </c>
      <c r="Q8453" s="24" t="str" cm="1">
        <f t="array" ref="Q8453">IFERROR(IF($B8453=Q$1, ($A8453+$C8453) - MAX(IF($B$2:$B8452=$B8453, $A$2:$A8452+$C$2:$C8452)), "")*24*60, "")</f>
        <v/>
      </c>
      <c r="R8453" s="24" t="str" cm="1">
        <f t="array" ref="R8453">IFERROR(IF($B8453=R$1, ($A8453+$C8453) - MAX(IF($B$2:$B8452=$B8453, $A$2:$A8452+$C$2:$C8452)), "")*24*60, "")</f>
        <v/>
      </c>
      <c r="S8453" s="24" t="str" cm="1">
        <f t="array" ref="S8453">IFERROR(IF($B8453=S$1, ($A8453+$C8453) - MAX(IF($B$2:$B8452=$B8453, $A$2:$A8452+$C$2:$C8452)), "")*24*60, "")</f>
        <v/>
      </c>
    </row>
    <row r="8454" spans="1:19" x14ac:dyDescent="0.2">
      <c r="A8454" s="12">
        <f t="shared" ref="A8454:C8454" si="1554">A8453</f>
        <v>46029</v>
      </c>
      <c r="B8454" s="5" t="str">
        <f t="shared" si="1554"/>
        <v>Northern Cardinal</v>
      </c>
      <c r="C8454" s="6">
        <f t="shared" si="1554"/>
        <v>0.75</v>
      </c>
      <c r="D8454" s="5"/>
      <c r="E8454" s="5"/>
      <c r="F8454" s="5" t="s">
        <v>9</v>
      </c>
      <c r="G8454" s="15" t="s">
        <v>8</v>
      </c>
      <c r="H8454" s="24">
        <f t="shared" si="1521"/>
        <v>0</v>
      </c>
      <c r="I8454" s="24" cm="1">
        <f t="array" ref="I8454">IFERROR(IF($B8454=I$1, ($A8454+$C8454) - MAX(IF($B$2:$B8453=$B8454, $A$2:$A8453+$C$2:$C8453)), "")*24*60, "")</f>
        <v>0</v>
      </c>
      <c r="J8454" s="24" t="str" cm="1">
        <f t="array" ref="J8454">IFERROR(IF($B8454=J$1, ($A8454+$C8454) - MAX(IF($B$2:$B8453=$B8454, $A$2:$A8453+$C$2:$C8453)), "")*24*60, "")</f>
        <v/>
      </c>
      <c r="K8454" s="24" t="str" cm="1">
        <f t="array" ref="K8454">IFERROR(IF($B8454=K$1, ($A8454+$C8454) - MAX(IF($B$2:$B8453=$B8454, $A$2:$A8453+$C$2:$C8453)), "")*24*60, "")</f>
        <v/>
      </c>
      <c r="L8454" s="24" t="str" cm="1">
        <f t="array" ref="L8454">IFERROR(IF($B8454=L$1, ($A8454+$C8454) - MAX(IF($B$2:$B8453=$B8454, $A$2:$A8453+$C$2:$C8453)), "")*24*60, "")</f>
        <v/>
      </c>
      <c r="M8454" s="24" t="str" cm="1">
        <f t="array" ref="M8454">IFERROR(IF($B8454=M$1, ($A8454+$C8454) - MAX(IF($B$2:$B8453=$B8454, $A$2:$A8453+$C$2:$C8453)), "")*24*60, "")</f>
        <v/>
      </c>
      <c r="N8454" s="24" t="str" cm="1">
        <f t="array" ref="N8454">IFERROR(IF($B8454=N$1, ($A8454+$C8454) - MAX(IF($B$2:$B8453=$B8454, $A$2:$A8453+$C$2:$C8453)), "")*24*60, "")</f>
        <v/>
      </c>
      <c r="O8454" s="24" t="str" cm="1">
        <f t="array" ref="O8454">IFERROR(IF($B8454=O$1, ($A8454+$C8454) - MAX(IF($B$2:$B8453=$B8454, $A$2:$A8453+$C$2:$C8453)), "")*24*60, "")</f>
        <v/>
      </c>
      <c r="P8454" s="24" t="str" cm="1">
        <f t="array" ref="P8454">IFERROR(IF($B8454=P$1, ($A8454+$C8454) - MAX(IF($B$2:$B8453=$B8454, $A$2:$A8453+$C$2:$C8453)), "")*24*60, "")</f>
        <v/>
      </c>
      <c r="Q8454" s="24" t="str" cm="1">
        <f t="array" ref="Q8454">IFERROR(IF($B8454=Q$1, ($A8454+$C8454) - MAX(IF($B$2:$B8453=$B8454, $A$2:$A8453+$C$2:$C8453)), "")*24*60, "")</f>
        <v/>
      </c>
      <c r="R8454" s="24" t="str" cm="1">
        <f t="array" ref="R8454">IFERROR(IF($B8454=R$1, ($A8454+$C8454) - MAX(IF($B$2:$B8453=$B8454, $A$2:$A8453+$C$2:$C8453)), "")*24*60, "")</f>
        <v/>
      </c>
      <c r="S8454" s="24" t="str" cm="1">
        <f t="array" ref="S8454">IFERROR(IF($B8454=S$1, ($A8454+$C8454) - MAX(IF($B$2:$B8453=$B8454, $A$2:$A8453+$C$2:$C8453)), "")*24*60, "")</f>
        <v/>
      </c>
    </row>
    <row r="8455" spans="1:19" x14ac:dyDescent="0.2">
      <c r="A8455" s="12">
        <f t="shared" ref="A8455:C8455" si="1555">A8454</f>
        <v>46029</v>
      </c>
      <c r="B8455" s="5" t="str">
        <f t="shared" si="1555"/>
        <v>Northern Cardinal</v>
      </c>
      <c r="C8455" s="6">
        <f t="shared" si="1555"/>
        <v>0.75</v>
      </c>
      <c r="D8455" s="5"/>
      <c r="E8455" s="5"/>
      <c r="F8455" s="5" t="s">
        <v>9</v>
      </c>
      <c r="G8455" s="15" t="s">
        <v>8</v>
      </c>
      <c r="H8455" s="24">
        <f t="shared" si="1521"/>
        <v>0</v>
      </c>
      <c r="I8455" s="24" cm="1">
        <f t="array" ref="I8455">IFERROR(IF($B8455=I$1, ($A8455+$C8455) - MAX(IF($B$2:$B8454=$B8455, $A$2:$A8454+$C$2:$C8454)), "")*24*60, "")</f>
        <v>0</v>
      </c>
      <c r="J8455" s="24" t="str" cm="1">
        <f t="array" ref="J8455">IFERROR(IF($B8455=J$1, ($A8455+$C8455) - MAX(IF($B$2:$B8454=$B8455, $A$2:$A8454+$C$2:$C8454)), "")*24*60, "")</f>
        <v/>
      </c>
      <c r="K8455" s="24" t="str" cm="1">
        <f t="array" ref="K8455">IFERROR(IF($B8455=K$1, ($A8455+$C8455) - MAX(IF($B$2:$B8454=$B8455, $A$2:$A8454+$C$2:$C8454)), "")*24*60, "")</f>
        <v/>
      </c>
      <c r="L8455" s="24" t="str" cm="1">
        <f t="array" ref="L8455">IFERROR(IF($B8455=L$1, ($A8455+$C8455) - MAX(IF($B$2:$B8454=$B8455, $A$2:$A8454+$C$2:$C8454)), "")*24*60, "")</f>
        <v/>
      </c>
      <c r="M8455" s="24" t="str" cm="1">
        <f t="array" ref="M8455">IFERROR(IF($B8455=M$1, ($A8455+$C8455) - MAX(IF($B$2:$B8454=$B8455, $A$2:$A8454+$C$2:$C8454)), "")*24*60, "")</f>
        <v/>
      </c>
      <c r="N8455" s="24" t="str" cm="1">
        <f t="array" ref="N8455">IFERROR(IF($B8455=N$1, ($A8455+$C8455) - MAX(IF($B$2:$B8454=$B8455, $A$2:$A8454+$C$2:$C8454)), "")*24*60, "")</f>
        <v/>
      </c>
      <c r="O8455" s="24" t="str" cm="1">
        <f t="array" ref="O8455">IFERROR(IF($B8455=O$1, ($A8455+$C8455) - MAX(IF($B$2:$B8454=$B8455, $A$2:$A8454+$C$2:$C8454)), "")*24*60, "")</f>
        <v/>
      </c>
      <c r="P8455" s="24" t="str" cm="1">
        <f t="array" ref="P8455">IFERROR(IF($B8455=P$1, ($A8455+$C8455) - MAX(IF($B$2:$B8454=$B8455, $A$2:$A8454+$C$2:$C8454)), "")*24*60, "")</f>
        <v/>
      </c>
      <c r="Q8455" s="24" t="str" cm="1">
        <f t="array" ref="Q8455">IFERROR(IF($B8455=Q$1, ($A8455+$C8455) - MAX(IF($B$2:$B8454=$B8455, $A$2:$A8454+$C$2:$C8454)), "")*24*60, "")</f>
        <v/>
      </c>
      <c r="R8455" s="24" t="str" cm="1">
        <f t="array" ref="R8455">IFERROR(IF($B8455=R$1, ($A8455+$C8455) - MAX(IF($B$2:$B8454=$B8455, $A$2:$A8454+$C$2:$C8454)), "")*24*60, "")</f>
        <v/>
      </c>
      <c r="S8455" s="24" t="str" cm="1">
        <f t="array" ref="S8455">IFERROR(IF($B8455=S$1, ($A8455+$C8455) - MAX(IF($B$2:$B8454=$B8455, $A$2:$A8454+$C$2:$C8454)), "")*24*60, "")</f>
        <v/>
      </c>
    </row>
    <row r="8456" spans="1:19" x14ac:dyDescent="0.2">
      <c r="A8456" s="12">
        <f t="shared" ref="A8456:C8456" si="1556">A8455</f>
        <v>46029</v>
      </c>
      <c r="B8456" s="5" t="str">
        <f t="shared" si="1556"/>
        <v>Northern Cardinal</v>
      </c>
      <c r="C8456" s="6">
        <f t="shared" si="1556"/>
        <v>0.75</v>
      </c>
      <c r="D8456" s="5"/>
      <c r="E8456" s="5"/>
      <c r="F8456" s="5" t="s">
        <v>9</v>
      </c>
      <c r="G8456" s="15" t="s">
        <v>8</v>
      </c>
      <c r="H8456" s="24">
        <f t="shared" si="1521"/>
        <v>0</v>
      </c>
      <c r="I8456" s="24" cm="1">
        <f t="array" ref="I8456">IFERROR(IF($B8456=I$1, ($A8456+$C8456) - MAX(IF($B$2:$B8455=$B8456, $A$2:$A8455+$C$2:$C8455)), "")*24*60, "")</f>
        <v>0</v>
      </c>
      <c r="J8456" s="24" t="str" cm="1">
        <f t="array" ref="J8456">IFERROR(IF($B8456=J$1, ($A8456+$C8456) - MAX(IF($B$2:$B8455=$B8456, $A$2:$A8455+$C$2:$C8455)), "")*24*60, "")</f>
        <v/>
      </c>
      <c r="K8456" s="24" t="str" cm="1">
        <f t="array" ref="K8456">IFERROR(IF($B8456=K$1, ($A8456+$C8456) - MAX(IF($B$2:$B8455=$B8456, $A$2:$A8455+$C$2:$C8455)), "")*24*60, "")</f>
        <v/>
      </c>
      <c r="L8456" s="24" t="str" cm="1">
        <f t="array" ref="L8456">IFERROR(IF($B8456=L$1, ($A8456+$C8456) - MAX(IF($B$2:$B8455=$B8456, $A$2:$A8455+$C$2:$C8455)), "")*24*60, "")</f>
        <v/>
      </c>
      <c r="M8456" s="24" t="str" cm="1">
        <f t="array" ref="M8456">IFERROR(IF($B8456=M$1, ($A8456+$C8456) - MAX(IF($B$2:$B8455=$B8456, $A$2:$A8455+$C$2:$C8455)), "")*24*60, "")</f>
        <v/>
      </c>
      <c r="N8456" s="24" t="str" cm="1">
        <f t="array" ref="N8456">IFERROR(IF($B8456=N$1, ($A8456+$C8456) - MAX(IF($B$2:$B8455=$B8456, $A$2:$A8455+$C$2:$C8455)), "")*24*60, "")</f>
        <v/>
      </c>
      <c r="O8456" s="24" t="str" cm="1">
        <f t="array" ref="O8456">IFERROR(IF($B8456=O$1, ($A8456+$C8456) - MAX(IF($B$2:$B8455=$B8456, $A$2:$A8455+$C$2:$C8455)), "")*24*60, "")</f>
        <v/>
      </c>
      <c r="P8456" s="24" t="str" cm="1">
        <f t="array" ref="P8456">IFERROR(IF($B8456=P$1, ($A8456+$C8456) - MAX(IF($B$2:$B8455=$B8456, $A$2:$A8455+$C$2:$C8455)), "")*24*60, "")</f>
        <v/>
      </c>
      <c r="Q8456" s="24" t="str" cm="1">
        <f t="array" ref="Q8456">IFERROR(IF($B8456=Q$1, ($A8456+$C8456) - MAX(IF($B$2:$B8455=$B8456, $A$2:$A8455+$C$2:$C8455)), "")*24*60, "")</f>
        <v/>
      </c>
      <c r="R8456" s="24" t="str" cm="1">
        <f t="array" ref="R8456">IFERROR(IF($B8456=R$1, ($A8456+$C8456) - MAX(IF($B$2:$B8455=$B8456, $A$2:$A8455+$C$2:$C8455)), "")*24*60, "")</f>
        <v/>
      </c>
      <c r="S8456" s="24" t="str" cm="1">
        <f t="array" ref="S8456">IFERROR(IF($B8456=S$1, ($A8456+$C8456) - MAX(IF($B$2:$B8455=$B8456, $A$2:$A8455+$C$2:$C8455)), "")*24*60, "")</f>
        <v/>
      </c>
    </row>
    <row r="8457" spans="1:19" x14ac:dyDescent="0.2">
      <c r="A8457" s="12">
        <f t="shared" ref="A8457:C8457" si="1557">A8456</f>
        <v>46029</v>
      </c>
      <c r="B8457" s="5" t="str">
        <f t="shared" si="1557"/>
        <v>Northern Cardinal</v>
      </c>
      <c r="C8457" s="6">
        <f t="shared" si="1557"/>
        <v>0.75</v>
      </c>
      <c r="D8457" s="5"/>
      <c r="E8457" s="5"/>
      <c r="F8457" s="5" t="s">
        <v>9</v>
      </c>
      <c r="G8457" s="15" t="s">
        <v>8</v>
      </c>
      <c r="H8457" s="24">
        <f t="shared" si="1521"/>
        <v>0</v>
      </c>
      <c r="I8457" s="24" cm="1">
        <f t="array" ref="I8457">IFERROR(IF($B8457=I$1, ($A8457+$C8457) - MAX(IF($B$2:$B8456=$B8457, $A$2:$A8456+$C$2:$C8456)), "")*24*60, "")</f>
        <v>0</v>
      </c>
      <c r="J8457" s="24" t="str" cm="1">
        <f t="array" ref="J8457">IFERROR(IF($B8457=J$1, ($A8457+$C8457) - MAX(IF($B$2:$B8456=$B8457, $A$2:$A8456+$C$2:$C8456)), "")*24*60, "")</f>
        <v/>
      </c>
      <c r="K8457" s="24" t="str" cm="1">
        <f t="array" ref="K8457">IFERROR(IF($B8457=K$1, ($A8457+$C8457) - MAX(IF($B$2:$B8456=$B8457, $A$2:$A8456+$C$2:$C8456)), "")*24*60, "")</f>
        <v/>
      </c>
      <c r="L8457" s="24" t="str" cm="1">
        <f t="array" ref="L8457">IFERROR(IF($B8457=L$1, ($A8457+$C8457) - MAX(IF($B$2:$B8456=$B8457, $A$2:$A8456+$C$2:$C8456)), "")*24*60, "")</f>
        <v/>
      </c>
      <c r="M8457" s="24" t="str" cm="1">
        <f t="array" ref="M8457">IFERROR(IF($B8457=M$1, ($A8457+$C8457) - MAX(IF($B$2:$B8456=$B8457, $A$2:$A8456+$C$2:$C8456)), "")*24*60, "")</f>
        <v/>
      </c>
      <c r="N8457" s="24" t="str" cm="1">
        <f t="array" ref="N8457">IFERROR(IF($B8457=N$1, ($A8457+$C8457) - MAX(IF($B$2:$B8456=$B8457, $A$2:$A8456+$C$2:$C8456)), "")*24*60, "")</f>
        <v/>
      </c>
      <c r="O8457" s="24" t="str" cm="1">
        <f t="array" ref="O8457">IFERROR(IF($B8457=O$1, ($A8457+$C8457) - MAX(IF($B$2:$B8456=$B8457, $A$2:$A8456+$C$2:$C8456)), "")*24*60, "")</f>
        <v/>
      </c>
      <c r="P8457" s="24" t="str" cm="1">
        <f t="array" ref="P8457">IFERROR(IF($B8457=P$1, ($A8457+$C8457) - MAX(IF($B$2:$B8456=$B8457, $A$2:$A8456+$C$2:$C8456)), "")*24*60, "")</f>
        <v/>
      </c>
      <c r="Q8457" s="24" t="str" cm="1">
        <f t="array" ref="Q8457">IFERROR(IF($B8457=Q$1, ($A8457+$C8457) - MAX(IF($B$2:$B8456=$B8457, $A$2:$A8456+$C$2:$C8456)), "")*24*60, "")</f>
        <v/>
      </c>
      <c r="R8457" s="24" t="str" cm="1">
        <f t="array" ref="R8457">IFERROR(IF($B8457=R$1, ($A8457+$C8457) - MAX(IF($B$2:$B8456=$B8457, $A$2:$A8456+$C$2:$C8456)), "")*24*60, "")</f>
        <v/>
      </c>
      <c r="S8457" s="24" t="str" cm="1">
        <f t="array" ref="S8457">IFERROR(IF($B8457=S$1, ($A8457+$C8457) - MAX(IF($B$2:$B8456=$B8457, $A$2:$A8456+$C$2:$C8456)), "")*24*60, "")</f>
        <v/>
      </c>
    </row>
    <row r="8458" spans="1:19" x14ac:dyDescent="0.2">
      <c r="A8458" s="12">
        <f t="shared" ref="A8458:C8458" si="1558">A8457</f>
        <v>46029</v>
      </c>
      <c r="B8458" s="5" t="str">
        <f t="shared" si="1558"/>
        <v>Northern Cardinal</v>
      </c>
      <c r="C8458" s="6">
        <f t="shared" si="1558"/>
        <v>0.75</v>
      </c>
      <c r="D8458" s="5"/>
      <c r="E8458" s="5"/>
      <c r="F8458" s="5" t="s">
        <v>9</v>
      </c>
      <c r="G8458" s="15" t="s">
        <v>8</v>
      </c>
      <c r="H8458" s="24">
        <f t="shared" si="1521"/>
        <v>0</v>
      </c>
      <c r="I8458" s="24" cm="1">
        <f t="array" ref="I8458">IFERROR(IF($B8458=I$1, ($A8458+$C8458) - MAX(IF($B$2:$B8457=$B8458, $A$2:$A8457+$C$2:$C8457)), "")*24*60, "")</f>
        <v>0</v>
      </c>
      <c r="J8458" s="24" t="str" cm="1">
        <f t="array" ref="J8458">IFERROR(IF($B8458=J$1, ($A8458+$C8458) - MAX(IF($B$2:$B8457=$B8458, $A$2:$A8457+$C$2:$C8457)), "")*24*60, "")</f>
        <v/>
      </c>
      <c r="K8458" s="24" t="str" cm="1">
        <f t="array" ref="K8458">IFERROR(IF($B8458=K$1, ($A8458+$C8458) - MAX(IF($B$2:$B8457=$B8458, $A$2:$A8457+$C$2:$C8457)), "")*24*60, "")</f>
        <v/>
      </c>
      <c r="L8458" s="24" t="str" cm="1">
        <f t="array" ref="L8458">IFERROR(IF($B8458=L$1, ($A8458+$C8458) - MAX(IF($B$2:$B8457=$B8458, $A$2:$A8457+$C$2:$C8457)), "")*24*60, "")</f>
        <v/>
      </c>
      <c r="M8458" s="24" t="str" cm="1">
        <f t="array" ref="M8458">IFERROR(IF($B8458=M$1, ($A8458+$C8458) - MAX(IF($B$2:$B8457=$B8458, $A$2:$A8457+$C$2:$C8457)), "")*24*60, "")</f>
        <v/>
      </c>
      <c r="N8458" s="24" t="str" cm="1">
        <f t="array" ref="N8458">IFERROR(IF($B8458=N$1, ($A8458+$C8458) - MAX(IF($B$2:$B8457=$B8458, $A$2:$A8457+$C$2:$C8457)), "")*24*60, "")</f>
        <v/>
      </c>
      <c r="O8458" s="24" t="str" cm="1">
        <f t="array" ref="O8458">IFERROR(IF($B8458=O$1, ($A8458+$C8458) - MAX(IF($B$2:$B8457=$B8458, $A$2:$A8457+$C$2:$C8457)), "")*24*60, "")</f>
        <v/>
      </c>
      <c r="P8458" s="24" t="str" cm="1">
        <f t="array" ref="P8458">IFERROR(IF($B8458=P$1, ($A8458+$C8458) - MAX(IF($B$2:$B8457=$B8458, $A$2:$A8457+$C$2:$C8457)), "")*24*60, "")</f>
        <v/>
      </c>
      <c r="Q8458" s="24" t="str" cm="1">
        <f t="array" ref="Q8458">IFERROR(IF($B8458=Q$1, ($A8458+$C8458) - MAX(IF($B$2:$B8457=$B8458, $A$2:$A8457+$C$2:$C8457)), "")*24*60, "")</f>
        <v/>
      </c>
      <c r="R8458" s="24" t="str" cm="1">
        <f t="array" ref="R8458">IFERROR(IF($B8458=R$1, ($A8458+$C8458) - MAX(IF($B$2:$B8457=$B8458, $A$2:$A8457+$C$2:$C8457)), "")*24*60, "")</f>
        <v/>
      </c>
      <c r="S8458" s="24" t="str" cm="1">
        <f t="array" ref="S8458">IFERROR(IF($B8458=S$1, ($A8458+$C8458) - MAX(IF($B$2:$B8457=$B8458, $A$2:$A8457+$C$2:$C8457)), "")*24*60, "")</f>
        <v/>
      </c>
    </row>
    <row r="8459" spans="1:19" x14ac:dyDescent="0.2">
      <c r="A8459" s="12">
        <f t="shared" ref="A8459:C8459" si="1559">A8458</f>
        <v>46029</v>
      </c>
      <c r="B8459" s="5" t="str">
        <f t="shared" si="1559"/>
        <v>Northern Cardinal</v>
      </c>
      <c r="C8459" s="6">
        <f t="shared" si="1559"/>
        <v>0.75</v>
      </c>
      <c r="D8459" s="5"/>
      <c r="E8459" s="5"/>
      <c r="F8459" s="5" t="s">
        <v>9</v>
      </c>
      <c r="G8459" s="15" t="s">
        <v>8</v>
      </c>
      <c r="H8459" s="24">
        <f t="shared" si="1521"/>
        <v>0</v>
      </c>
      <c r="I8459" s="24" cm="1">
        <f t="array" ref="I8459">IFERROR(IF($B8459=I$1, ($A8459+$C8459) - MAX(IF($B$2:$B8458=$B8459, $A$2:$A8458+$C$2:$C8458)), "")*24*60, "")</f>
        <v>0</v>
      </c>
      <c r="J8459" s="24" t="str" cm="1">
        <f t="array" ref="J8459">IFERROR(IF($B8459=J$1, ($A8459+$C8459) - MAX(IF($B$2:$B8458=$B8459, $A$2:$A8458+$C$2:$C8458)), "")*24*60, "")</f>
        <v/>
      </c>
      <c r="K8459" s="24" t="str" cm="1">
        <f t="array" ref="K8459">IFERROR(IF($B8459=K$1, ($A8459+$C8459) - MAX(IF($B$2:$B8458=$B8459, $A$2:$A8458+$C$2:$C8458)), "")*24*60, "")</f>
        <v/>
      </c>
      <c r="L8459" s="24" t="str" cm="1">
        <f t="array" ref="L8459">IFERROR(IF($B8459=L$1, ($A8459+$C8459) - MAX(IF($B$2:$B8458=$B8459, $A$2:$A8458+$C$2:$C8458)), "")*24*60, "")</f>
        <v/>
      </c>
      <c r="M8459" s="24" t="str" cm="1">
        <f t="array" ref="M8459">IFERROR(IF($B8459=M$1, ($A8459+$C8459) - MAX(IF($B$2:$B8458=$B8459, $A$2:$A8458+$C$2:$C8458)), "")*24*60, "")</f>
        <v/>
      </c>
      <c r="N8459" s="24" t="str" cm="1">
        <f t="array" ref="N8459">IFERROR(IF($B8459=N$1, ($A8459+$C8459) - MAX(IF($B$2:$B8458=$B8459, $A$2:$A8458+$C$2:$C8458)), "")*24*60, "")</f>
        <v/>
      </c>
      <c r="O8459" s="24" t="str" cm="1">
        <f t="array" ref="O8459">IFERROR(IF($B8459=O$1, ($A8459+$C8459) - MAX(IF($B$2:$B8458=$B8459, $A$2:$A8458+$C$2:$C8458)), "")*24*60, "")</f>
        <v/>
      </c>
      <c r="P8459" s="24" t="str" cm="1">
        <f t="array" ref="P8459">IFERROR(IF($B8459=P$1, ($A8459+$C8459) - MAX(IF($B$2:$B8458=$B8459, $A$2:$A8458+$C$2:$C8458)), "")*24*60, "")</f>
        <v/>
      </c>
      <c r="Q8459" s="24" t="str" cm="1">
        <f t="array" ref="Q8459">IFERROR(IF($B8459=Q$1, ($A8459+$C8459) - MAX(IF($B$2:$B8458=$B8459, $A$2:$A8458+$C$2:$C8458)), "")*24*60, "")</f>
        <v/>
      </c>
      <c r="R8459" s="24" t="str" cm="1">
        <f t="array" ref="R8459">IFERROR(IF($B8459=R$1, ($A8459+$C8459) - MAX(IF($B$2:$B8458=$B8459, $A$2:$A8458+$C$2:$C8458)), "")*24*60, "")</f>
        <v/>
      </c>
      <c r="S8459" s="24" t="str" cm="1">
        <f t="array" ref="S8459">IFERROR(IF($B8459=S$1, ($A8459+$C8459) - MAX(IF($B$2:$B8458=$B8459, $A$2:$A8458+$C$2:$C8458)), "")*24*60, "")</f>
        <v/>
      </c>
    </row>
    <row r="8460" spans="1:19" x14ac:dyDescent="0.2">
      <c r="A8460" s="12">
        <f t="shared" ref="A8460:C8460" si="1560">A8459</f>
        <v>46029</v>
      </c>
      <c r="B8460" s="5" t="str">
        <f t="shared" si="1560"/>
        <v>Northern Cardinal</v>
      </c>
      <c r="C8460" s="6">
        <f t="shared" si="1560"/>
        <v>0.75</v>
      </c>
      <c r="D8460" s="5"/>
      <c r="E8460" s="5"/>
      <c r="F8460" s="5" t="s">
        <v>9</v>
      </c>
      <c r="G8460" s="15" t="s">
        <v>8</v>
      </c>
      <c r="H8460" s="24">
        <f t="shared" si="1521"/>
        <v>0</v>
      </c>
      <c r="I8460" s="24" cm="1">
        <f t="array" ref="I8460">IFERROR(IF($B8460=I$1, ($A8460+$C8460) - MAX(IF($B$2:$B8459=$B8460, $A$2:$A8459+$C$2:$C8459)), "")*24*60, "")</f>
        <v>0</v>
      </c>
      <c r="J8460" s="24" t="str" cm="1">
        <f t="array" ref="J8460">IFERROR(IF($B8460=J$1, ($A8460+$C8460) - MAX(IF($B$2:$B8459=$B8460, $A$2:$A8459+$C$2:$C8459)), "")*24*60, "")</f>
        <v/>
      </c>
      <c r="K8460" s="24" t="str" cm="1">
        <f t="array" ref="K8460">IFERROR(IF($B8460=K$1, ($A8460+$C8460) - MAX(IF($B$2:$B8459=$B8460, $A$2:$A8459+$C$2:$C8459)), "")*24*60, "")</f>
        <v/>
      </c>
      <c r="L8460" s="24" t="str" cm="1">
        <f t="array" ref="L8460">IFERROR(IF($B8460=L$1, ($A8460+$C8460) - MAX(IF($B$2:$B8459=$B8460, $A$2:$A8459+$C$2:$C8459)), "")*24*60, "")</f>
        <v/>
      </c>
      <c r="M8460" s="24" t="str" cm="1">
        <f t="array" ref="M8460">IFERROR(IF($B8460=M$1, ($A8460+$C8460) - MAX(IF($B$2:$B8459=$B8460, $A$2:$A8459+$C$2:$C8459)), "")*24*60, "")</f>
        <v/>
      </c>
      <c r="N8460" s="24" t="str" cm="1">
        <f t="array" ref="N8460">IFERROR(IF($B8460=N$1, ($A8460+$C8460) - MAX(IF($B$2:$B8459=$B8460, $A$2:$A8459+$C$2:$C8459)), "")*24*60, "")</f>
        <v/>
      </c>
      <c r="O8460" s="24" t="str" cm="1">
        <f t="array" ref="O8460">IFERROR(IF($B8460=O$1, ($A8460+$C8460) - MAX(IF($B$2:$B8459=$B8460, $A$2:$A8459+$C$2:$C8459)), "")*24*60, "")</f>
        <v/>
      </c>
      <c r="P8460" s="24" t="str" cm="1">
        <f t="array" ref="P8460">IFERROR(IF($B8460=P$1, ($A8460+$C8460) - MAX(IF($B$2:$B8459=$B8460, $A$2:$A8459+$C$2:$C8459)), "")*24*60, "")</f>
        <v/>
      </c>
      <c r="Q8460" s="24" t="str" cm="1">
        <f t="array" ref="Q8460">IFERROR(IF($B8460=Q$1, ($A8460+$C8460) - MAX(IF($B$2:$B8459=$B8460, $A$2:$A8459+$C$2:$C8459)), "")*24*60, "")</f>
        <v/>
      </c>
      <c r="R8460" s="24" t="str" cm="1">
        <f t="array" ref="R8460">IFERROR(IF($B8460=R$1, ($A8460+$C8460) - MAX(IF($B$2:$B8459=$B8460, $A$2:$A8459+$C$2:$C8459)), "")*24*60, "")</f>
        <v/>
      </c>
      <c r="S8460" s="24" t="str" cm="1">
        <f t="array" ref="S8460">IFERROR(IF($B8460=S$1, ($A8460+$C8460) - MAX(IF($B$2:$B8459=$B8460, $A$2:$A8459+$C$2:$C8459)), "")*24*60, "")</f>
        <v/>
      </c>
    </row>
    <row r="8461" spans="1:19" x14ac:dyDescent="0.2">
      <c r="A8461" s="12">
        <f t="shared" ref="A8461:C8461" si="1561">A8460</f>
        <v>46029</v>
      </c>
      <c r="B8461" s="5" t="str">
        <f t="shared" si="1561"/>
        <v>Northern Cardinal</v>
      </c>
      <c r="C8461" s="6">
        <f t="shared" si="1561"/>
        <v>0.75</v>
      </c>
      <c r="D8461" s="5"/>
      <c r="E8461" s="5"/>
      <c r="F8461" s="5" t="s">
        <v>9</v>
      </c>
      <c r="G8461" s="15" t="s">
        <v>8</v>
      </c>
      <c r="H8461" s="24">
        <f t="shared" si="1521"/>
        <v>0</v>
      </c>
      <c r="I8461" s="24" cm="1">
        <f t="array" ref="I8461">IFERROR(IF($B8461=I$1, ($A8461+$C8461) - MAX(IF($B$2:$B8460=$B8461, $A$2:$A8460+$C$2:$C8460)), "")*24*60, "")</f>
        <v>0</v>
      </c>
      <c r="J8461" s="24" t="str" cm="1">
        <f t="array" ref="J8461">IFERROR(IF($B8461=J$1, ($A8461+$C8461) - MAX(IF($B$2:$B8460=$B8461, $A$2:$A8460+$C$2:$C8460)), "")*24*60, "")</f>
        <v/>
      </c>
      <c r="K8461" s="24" t="str" cm="1">
        <f t="array" ref="K8461">IFERROR(IF($B8461=K$1, ($A8461+$C8461) - MAX(IF($B$2:$B8460=$B8461, $A$2:$A8460+$C$2:$C8460)), "")*24*60, "")</f>
        <v/>
      </c>
      <c r="L8461" s="24" t="str" cm="1">
        <f t="array" ref="L8461">IFERROR(IF($B8461=L$1, ($A8461+$C8461) - MAX(IF($B$2:$B8460=$B8461, $A$2:$A8460+$C$2:$C8460)), "")*24*60, "")</f>
        <v/>
      </c>
      <c r="M8461" s="24" t="str" cm="1">
        <f t="array" ref="M8461">IFERROR(IF($B8461=M$1, ($A8461+$C8461) - MAX(IF($B$2:$B8460=$B8461, $A$2:$A8460+$C$2:$C8460)), "")*24*60, "")</f>
        <v/>
      </c>
      <c r="N8461" s="24" t="str" cm="1">
        <f t="array" ref="N8461">IFERROR(IF($B8461=N$1, ($A8461+$C8461) - MAX(IF($B$2:$B8460=$B8461, $A$2:$A8460+$C$2:$C8460)), "")*24*60, "")</f>
        <v/>
      </c>
      <c r="O8461" s="24" t="str" cm="1">
        <f t="array" ref="O8461">IFERROR(IF($B8461=O$1, ($A8461+$C8461) - MAX(IF($B$2:$B8460=$B8461, $A$2:$A8460+$C$2:$C8460)), "")*24*60, "")</f>
        <v/>
      </c>
      <c r="P8461" s="24" t="str" cm="1">
        <f t="array" ref="P8461">IFERROR(IF($B8461=P$1, ($A8461+$C8461) - MAX(IF($B$2:$B8460=$B8461, $A$2:$A8460+$C$2:$C8460)), "")*24*60, "")</f>
        <v/>
      </c>
      <c r="Q8461" s="24" t="str" cm="1">
        <f t="array" ref="Q8461">IFERROR(IF($B8461=Q$1, ($A8461+$C8461) - MAX(IF($B$2:$B8460=$B8461, $A$2:$A8460+$C$2:$C8460)), "")*24*60, "")</f>
        <v/>
      </c>
      <c r="R8461" s="24" t="str" cm="1">
        <f t="array" ref="R8461">IFERROR(IF($B8461=R$1, ($A8461+$C8461) - MAX(IF($B$2:$B8460=$B8461, $A$2:$A8460+$C$2:$C8460)), "")*24*60, "")</f>
        <v/>
      </c>
      <c r="S8461" s="24" t="str" cm="1">
        <f t="array" ref="S8461">IFERROR(IF($B8461=S$1, ($A8461+$C8461) - MAX(IF($B$2:$B8460=$B8461, $A$2:$A8460+$C$2:$C8460)), "")*24*60, "")</f>
        <v/>
      </c>
    </row>
    <row r="8462" spans="1:19" x14ac:dyDescent="0.2">
      <c r="A8462" s="12">
        <f t="shared" ref="A8462:C8462" si="1562">A8461</f>
        <v>46029</v>
      </c>
      <c r="B8462" s="5" t="str">
        <f t="shared" si="1562"/>
        <v>Northern Cardinal</v>
      </c>
      <c r="C8462" s="6">
        <f t="shared" si="1562"/>
        <v>0.75</v>
      </c>
      <c r="D8462" s="5"/>
      <c r="E8462" s="5"/>
      <c r="F8462" s="5" t="s">
        <v>9</v>
      </c>
      <c r="G8462" s="15" t="s">
        <v>8</v>
      </c>
      <c r="H8462" s="24">
        <f t="shared" si="1521"/>
        <v>0</v>
      </c>
      <c r="I8462" s="24" cm="1">
        <f t="array" ref="I8462">IFERROR(IF($B8462=I$1, ($A8462+$C8462) - MAX(IF($B$2:$B8461=$B8462, $A$2:$A8461+$C$2:$C8461)), "")*24*60, "")</f>
        <v>0</v>
      </c>
      <c r="J8462" s="24" t="str" cm="1">
        <f t="array" ref="J8462">IFERROR(IF($B8462=J$1, ($A8462+$C8462) - MAX(IF($B$2:$B8461=$B8462, $A$2:$A8461+$C$2:$C8461)), "")*24*60, "")</f>
        <v/>
      </c>
      <c r="K8462" s="24" t="str" cm="1">
        <f t="array" ref="K8462">IFERROR(IF($B8462=K$1, ($A8462+$C8462) - MAX(IF($B$2:$B8461=$B8462, $A$2:$A8461+$C$2:$C8461)), "")*24*60, "")</f>
        <v/>
      </c>
      <c r="L8462" s="24" t="str" cm="1">
        <f t="array" ref="L8462">IFERROR(IF($B8462=L$1, ($A8462+$C8462) - MAX(IF($B$2:$B8461=$B8462, $A$2:$A8461+$C$2:$C8461)), "")*24*60, "")</f>
        <v/>
      </c>
      <c r="M8462" s="24" t="str" cm="1">
        <f t="array" ref="M8462">IFERROR(IF($B8462=M$1, ($A8462+$C8462) - MAX(IF($B$2:$B8461=$B8462, $A$2:$A8461+$C$2:$C8461)), "")*24*60, "")</f>
        <v/>
      </c>
      <c r="N8462" s="24" t="str" cm="1">
        <f t="array" ref="N8462">IFERROR(IF($B8462=N$1, ($A8462+$C8462) - MAX(IF($B$2:$B8461=$B8462, $A$2:$A8461+$C$2:$C8461)), "")*24*60, "")</f>
        <v/>
      </c>
      <c r="O8462" s="24" t="str" cm="1">
        <f t="array" ref="O8462">IFERROR(IF($B8462=O$1, ($A8462+$C8462) - MAX(IF($B$2:$B8461=$B8462, $A$2:$A8461+$C$2:$C8461)), "")*24*60, "")</f>
        <v/>
      </c>
      <c r="P8462" s="24" t="str" cm="1">
        <f t="array" ref="P8462">IFERROR(IF($B8462=P$1, ($A8462+$C8462) - MAX(IF($B$2:$B8461=$B8462, $A$2:$A8461+$C$2:$C8461)), "")*24*60, "")</f>
        <v/>
      </c>
      <c r="Q8462" s="24" t="str" cm="1">
        <f t="array" ref="Q8462">IFERROR(IF($B8462=Q$1, ($A8462+$C8462) - MAX(IF($B$2:$B8461=$B8462, $A$2:$A8461+$C$2:$C8461)), "")*24*60, "")</f>
        <v/>
      </c>
      <c r="R8462" s="24" t="str" cm="1">
        <f t="array" ref="R8462">IFERROR(IF($B8462=R$1, ($A8462+$C8462) - MAX(IF($B$2:$B8461=$B8462, $A$2:$A8461+$C$2:$C8461)), "")*24*60, "")</f>
        <v/>
      </c>
      <c r="S8462" s="24" t="str" cm="1">
        <f t="array" ref="S8462">IFERROR(IF($B8462=S$1, ($A8462+$C8462) - MAX(IF($B$2:$B8461=$B8462, $A$2:$A8461+$C$2:$C8461)), "")*24*60, "")</f>
        <v/>
      </c>
    </row>
    <row r="8463" spans="1:19" x14ac:dyDescent="0.2">
      <c r="A8463" s="12">
        <f t="shared" ref="A8463:C8463" si="1563">A8462</f>
        <v>46029</v>
      </c>
      <c r="B8463" s="5" t="str">
        <f t="shared" si="1563"/>
        <v>Northern Cardinal</v>
      </c>
      <c r="C8463" s="6">
        <f t="shared" si="1563"/>
        <v>0.75</v>
      </c>
      <c r="D8463" s="5"/>
      <c r="E8463" s="5"/>
      <c r="F8463" s="5" t="s">
        <v>9</v>
      </c>
      <c r="G8463" s="15" t="s">
        <v>8</v>
      </c>
      <c r="H8463" s="24">
        <f t="shared" si="1521"/>
        <v>0</v>
      </c>
      <c r="I8463" s="24" cm="1">
        <f t="array" ref="I8463">IFERROR(IF($B8463=I$1, ($A8463+$C8463) - MAX(IF($B$2:$B8462=$B8463, $A$2:$A8462+$C$2:$C8462)), "")*24*60, "")</f>
        <v>0</v>
      </c>
      <c r="J8463" s="24" t="str" cm="1">
        <f t="array" ref="J8463">IFERROR(IF($B8463=J$1, ($A8463+$C8463) - MAX(IF($B$2:$B8462=$B8463, $A$2:$A8462+$C$2:$C8462)), "")*24*60, "")</f>
        <v/>
      </c>
      <c r="K8463" s="24" t="str" cm="1">
        <f t="array" ref="K8463">IFERROR(IF($B8463=K$1, ($A8463+$C8463) - MAX(IF($B$2:$B8462=$B8463, $A$2:$A8462+$C$2:$C8462)), "")*24*60, "")</f>
        <v/>
      </c>
      <c r="L8463" s="24" t="str" cm="1">
        <f t="array" ref="L8463">IFERROR(IF($B8463=L$1, ($A8463+$C8463) - MAX(IF($B$2:$B8462=$B8463, $A$2:$A8462+$C$2:$C8462)), "")*24*60, "")</f>
        <v/>
      </c>
      <c r="M8463" s="24" t="str" cm="1">
        <f t="array" ref="M8463">IFERROR(IF($B8463=M$1, ($A8463+$C8463) - MAX(IF($B$2:$B8462=$B8463, $A$2:$A8462+$C$2:$C8462)), "")*24*60, "")</f>
        <v/>
      </c>
      <c r="N8463" s="24" t="str" cm="1">
        <f t="array" ref="N8463">IFERROR(IF($B8463=N$1, ($A8463+$C8463) - MAX(IF($B$2:$B8462=$B8463, $A$2:$A8462+$C$2:$C8462)), "")*24*60, "")</f>
        <v/>
      </c>
      <c r="O8463" s="24" t="str" cm="1">
        <f t="array" ref="O8463">IFERROR(IF($B8463=O$1, ($A8463+$C8463) - MAX(IF($B$2:$B8462=$B8463, $A$2:$A8462+$C$2:$C8462)), "")*24*60, "")</f>
        <v/>
      </c>
      <c r="P8463" s="24" t="str" cm="1">
        <f t="array" ref="P8463">IFERROR(IF($B8463=P$1, ($A8463+$C8463) - MAX(IF($B$2:$B8462=$B8463, $A$2:$A8462+$C$2:$C8462)), "")*24*60, "")</f>
        <v/>
      </c>
      <c r="Q8463" s="24" t="str" cm="1">
        <f t="array" ref="Q8463">IFERROR(IF($B8463=Q$1, ($A8463+$C8463) - MAX(IF($B$2:$B8462=$B8463, $A$2:$A8462+$C$2:$C8462)), "")*24*60, "")</f>
        <v/>
      </c>
      <c r="R8463" s="24" t="str" cm="1">
        <f t="array" ref="R8463">IFERROR(IF($B8463=R$1, ($A8463+$C8463) - MAX(IF($B$2:$B8462=$B8463, $A$2:$A8462+$C$2:$C8462)), "")*24*60, "")</f>
        <v/>
      </c>
      <c r="S8463" s="24" t="str" cm="1">
        <f t="array" ref="S8463">IFERROR(IF($B8463=S$1, ($A8463+$C8463) - MAX(IF($B$2:$B8462=$B8463, $A$2:$A8462+$C$2:$C8462)), "")*24*60, "")</f>
        <v/>
      </c>
    </row>
    <row r="8464" spans="1:19" x14ac:dyDescent="0.2">
      <c r="A8464" s="12">
        <f t="shared" ref="A8464:C8464" si="1564">A8463</f>
        <v>46029</v>
      </c>
      <c r="B8464" s="5" t="str">
        <f t="shared" si="1564"/>
        <v>Northern Cardinal</v>
      </c>
      <c r="C8464" s="6">
        <f t="shared" si="1564"/>
        <v>0.75</v>
      </c>
      <c r="D8464" s="5"/>
      <c r="E8464" s="5"/>
      <c r="F8464" s="5" t="s">
        <v>9</v>
      </c>
      <c r="G8464" s="15" t="s">
        <v>8</v>
      </c>
      <c r="H8464" s="24">
        <f t="shared" si="1521"/>
        <v>0</v>
      </c>
      <c r="I8464" s="24" cm="1">
        <f t="array" ref="I8464">IFERROR(IF($B8464=I$1, ($A8464+$C8464) - MAX(IF($B$2:$B8463=$B8464, $A$2:$A8463+$C$2:$C8463)), "")*24*60, "")</f>
        <v>0</v>
      </c>
      <c r="J8464" s="24" t="str" cm="1">
        <f t="array" ref="J8464">IFERROR(IF($B8464=J$1, ($A8464+$C8464) - MAX(IF($B$2:$B8463=$B8464, $A$2:$A8463+$C$2:$C8463)), "")*24*60, "")</f>
        <v/>
      </c>
      <c r="K8464" s="24" t="str" cm="1">
        <f t="array" ref="K8464">IFERROR(IF($B8464=K$1, ($A8464+$C8464) - MAX(IF($B$2:$B8463=$B8464, $A$2:$A8463+$C$2:$C8463)), "")*24*60, "")</f>
        <v/>
      </c>
      <c r="L8464" s="24" t="str" cm="1">
        <f t="array" ref="L8464">IFERROR(IF($B8464=L$1, ($A8464+$C8464) - MAX(IF($B$2:$B8463=$B8464, $A$2:$A8463+$C$2:$C8463)), "")*24*60, "")</f>
        <v/>
      </c>
      <c r="M8464" s="24" t="str" cm="1">
        <f t="array" ref="M8464">IFERROR(IF($B8464=M$1, ($A8464+$C8464) - MAX(IF($B$2:$B8463=$B8464, $A$2:$A8463+$C$2:$C8463)), "")*24*60, "")</f>
        <v/>
      </c>
      <c r="N8464" s="24" t="str" cm="1">
        <f t="array" ref="N8464">IFERROR(IF($B8464=N$1, ($A8464+$C8464) - MAX(IF($B$2:$B8463=$B8464, $A$2:$A8463+$C$2:$C8463)), "")*24*60, "")</f>
        <v/>
      </c>
      <c r="O8464" s="24" t="str" cm="1">
        <f t="array" ref="O8464">IFERROR(IF($B8464=O$1, ($A8464+$C8464) - MAX(IF($B$2:$B8463=$B8464, $A$2:$A8463+$C$2:$C8463)), "")*24*60, "")</f>
        <v/>
      </c>
      <c r="P8464" s="24" t="str" cm="1">
        <f t="array" ref="P8464">IFERROR(IF($B8464=P$1, ($A8464+$C8464) - MAX(IF($B$2:$B8463=$B8464, $A$2:$A8463+$C$2:$C8463)), "")*24*60, "")</f>
        <v/>
      </c>
      <c r="Q8464" s="24" t="str" cm="1">
        <f t="array" ref="Q8464">IFERROR(IF($B8464=Q$1, ($A8464+$C8464) - MAX(IF($B$2:$B8463=$B8464, $A$2:$A8463+$C$2:$C8463)), "")*24*60, "")</f>
        <v/>
      </c>
      <c r="R8464" s="24" t="str" cm="1">
        <f t="array" ref="R8464">IFERROR(IF($B8464=R$1, ($A8464+$C8464) - MAX(IF($B$2:$B8463=$B8464, $A$2:$A8463+$C$2:$C8463)), "")*24*60, "")</f>
        <v/>
      </c>
      <c r="S8464" s="24" t="str" cm="1">
        <f t="array" ref="S8464">IFERROR(IF($B8464=S$1, ($A8464+$C8464) - MAX(IF($B$2:$B8463=$B8464, $A$2:$A8463+$C$2:$C8463)), "")*24*60, "")</f>
        <v/>
      </c>
    </row>
    <row r="8465" spans="1:19" x14ac:dyDescent="0.2">
      <c r="A8465" s="12">
        <f t="shared" ref="A8465:C8465" si="1565">A8464</f>
        <v>46029</v>
      </c>
      <c r="B8465" s="5" t="str">
        <f t="shared" si="1565"/>
        <v>Northern Cardinal</v>
      </c>
      <c r="C8465" s="6">
        <f t="shared" si="1565"/>
        <v>0.75</v>
      </c>
      <c r="D8465" s="5"/>
      <c r="E8465" s="5"/>
      <c r="F8465" s="5" t="s">
        <v>9</v>
      </c>
      <c r="G8465" s="15" t="s">
        <v>8</v>
      </c>
      <c r="H8465" s="24">
        <f t="shared" si="1521"/>
        <v>0</v>
      </c>
      <c r="I8465" s="24" cm="1">
        <f t="array" ref="I8465">IFERROR(IF($B8465=I$1, ($A8465+$C8465) - MAX(IF($B$2:$B8464=$B8465, $A$2:$A8464+$C$2:$C8464)), "")*24*60, "")</f>
        <v>0</v>
      </c>
      <c r="J8465" s="24" t="str" cm="1">
        <f t="array" ref="J8465">IFERROR(IF($B8465=J$1, ($A8465+$C8465) - MAX(IF($B$2:$B8464=$B8465, $A$2:$A8464+$C$2:$C8464)), "")*24*60, "")</f>
        <v/>
      </c>
      <c r="K8465" s="24" t="str" cm="1">
        <f t="array" ref="K8465">IFERROR(IF($B8465=K$1, ($A8465+$C8465) - MAX(IF($B$2:$B8464=$B8465, $A$2:$A8464+$C$2:$C8464)), "")*24*60, "")</f>
        <v/>
      </c>
      <c r="L8465" s="24" t="str" cm="1">
        <f t="array" ref="L8465">IFERROR(IF($B8465=L$1, ($A8465+$C8465) - MAX(IF($B$2:$B8464=$B8465, $A$2:$A8464+$C$2:$C8464)), "")*24*60, "")</f>
        <v/>
      </c>
      <c r="M8465" s="24" t="str" cm="1">
        <f t="array" ref="M8465">IFERROR(IF($B8465=M$1, ($A8465+$C8465) - MAX(IF($B$2:$B8464=$B8465, $A$2:$A8464+$C$2:$C8464)), "")*24*60, "")</f>
        <v/>
      </c>
      <c r="N8465" s="24" t="str" cm="1">
        <f t="array" ref="N8465">IFERROR(IF($B8465=N$1, ($A8465+$C8465) - MAX(IF($B$2:$B8464=$B8465, $A$2:$A8464+$C$2:$C8464)), "")*24*60, "")</f>
        <v/>
      </c>
      <c r="O8465" s="24" t="str" cm="1">
        <f t="array" ref="O8465">IFERROR(IF($B8465=O$1, ($A8465+$C8465) - MAX(IF($B$2:$B8464=$B8465, $A$2:$A8464+$C$2:$C8464)), "")*24*60, "")</f>
        <v/>
      </c>
      <c r="P8465" s="24" t="str" cm="1">
        <f t="array" ref="P8465">IFERROR(IF($B8465=P$1, ($A8465+$C8465) - MAX(IF($B$2:$B8464=$B8465, $A$2:$A8464+$C$2:$C8464)), "")*24*60, "")</f>
        <v/>
      </c>
      <c r="Q8465" s="24" t="str" cm="1">
        <f t="array" ref="Q8465">IFERROR(IF($B8465=Q$1, ($A8465+$C8465) - MAX(IF($B$2:$B8464=$B8465, $A$2:$A8464+$C$2:$C8464)), "")*24*60, "")</f>
        <v/>
      </c>
      <c r="R8465" s="24" t="str" cm="1">
        <f t="array" ref="R8465">IFERROR(IF($B8465=R$1, ($A8465+$C8465) - MAX(IF($B$2:$B8464=$B8465, $A$2:$A8464+$C$2:$C8464)), "")*24*60, "")</f>
        <v/>
      </c>
      <c r="S8465" s="24" t="str" cm="1">
        <f t="array" ref="S8465">IFERROR(IF($B8465=S$1, ($A8465+$C8465) - MAX(IF($B$2:$B8464=$B8465, $A$2:$A8464+$C$2:$C8464)), "")*24*60, "")</f>
        <v/>
      </c>
    </row>
    <row r="8466" spans="1:19" x14ac:dyDescent="0.2">
      <c r="A8466" s="12">
        <f t="shared" ref="A8466:C8466" si="1566">A8465</f>
        <v>46029</v>
      </c>
      <c r="B8466" s="5" t="str">
        <f t="shared" si="1566"/>
        <v>Northern Cardinal</v>
      </c>
      <c r="C8466" s="6">
        <f t="shared" si="1566"/>
        <v>0.75</v>
      </c>
      <c r="D8466" s="5"/>
      <c r="E8466" s="5"/>
      <c r="F8466" s="5" t="s">
        <v>9</v>
      </c>
      <c r="G8466" s="15" t="s">
        <v>8</v>
      </c>
      <c r="H8466" s="24">
        <f t="shared" si="1521"/>
        <v>0</v>
      </c>
      <c r="I8466" s="24" cm="1">
        <f t="array" ref="I8466">IFERROR(IF($B8466=I$1, ($A8466+$C8466) - MAX(IF($B$2:$B8465=$B8466, $A$2:$A8465+$C$2:$C8465)), "")*24*60, "")</f>
        <v>0</v>
      </c>
      <c r="J8466" s="24" t="str" cm="1">
        <f t="array" ref="J8466">IFERROR(IF($B8466=J$1, ($A8466+$C8466) - MAX(IF($B$2:$B8465=$B8466, $A$2:$A8465+$C$2:$C8465)), "")*24*60, "")</f>
        <v/>
      </c>
      <c r="K8466" s="24" t="str" cm="1">
        <f t="array" ref="K8466">IFERROR(IF($B8466=K$1, ($A8466+$C8466) - MAX(IF($B$2:$B8465=$B8466, $A$2:$A8465+$C$2:$C8465)), "")*24*60, "")</f>
        <v/>
      </c>
      <c r="L8466" s="24" t="str" cm="1">
        <f t="array" ref="L8466">IFERROR(IF($B8466=L$1, ($A8466+$C8466) - MAX(IF($B$2:$B8465=$B8466, $A$2:$A8465+$C$2:$C8465)), "")*24*60, "")</f>
        <v/>
      </c>
      <c r="M8466" s="24" t="str" cm="1">
        <f t="array" ref="M8466">IFERROR(IF($B8466=M$1, ($A8466+$C8466) - MAX(IF($B$2:$B8465=$B8466, $A$2:$A8465+$C$2:$C8465)), "")*24*60, "")</f>
        <v/>
      </c>
      <c r="N8466" s="24" t="str" cm="1">
        <f t="array" ref="N8466">IFERROR(IF($B8466=N$1, ($A8466+$C8466) - MAX(IF($B$2:$B8465=$B8466, $A$2:$A8465+$C$2:$C8465)), "")*24*60, "")</f>
        <v/>
      </c>
      <c r="O8466" s="24" t="str" cm="1">
        <f t="array" ref="O8466">IFERROR(IF($B8466=O$1, ($A8466+$C8466) - MAX(IF($B$2:$B8465=$B8466, $A$2:$A8465+$C$2:$C8465)), "")*24*60, "")</f>
        <v/>
      </c>
      <c r="P8466" s="24" t="str" cm="1">
        <f t="array" ref="P8466">IFERROR(IF($B8466=P$1, ($A8466+$C8466) - MAX(IF($B$2:$B8465=$B8466, $A$2:$A8465+$C$2:$C8465)), "")*24*60, "")</f>
        <v/>
      </c>
      <c r="Q8466" s="24" t="str" cm="1">
        <f t="array" ref="Q8466">IFERROR(IF($B8466=Q$1, ($A8466+$C8466) - MAX(IF($B$2:$B8465=$B8466, $A$2:$A8465+$C$2:$C8465)), "")*24*60, "")</f>
        <v/>
      </c>
      <c r="R8466" s="24" t="str" cm="1">
        <f t="array" ref="R8466">IFERROR(IF($B8466=R$1, ($A8466+$C8466) - MAX(IF($B$2:$B8465=$B8466, $A$2:$A8465+$C$2:$C8465)), "")*24*60, "")</f>
        <v/>
      </c>
      <c r="S8466" s="24" t="str" cm="1">
        <f t="array" ref="S8466">IFERROR(IF($B8466=S$1, ($A8466+$C8466) - MAX(IF($B$2:$B8465=$B8466, $A$2:$A8465+$C$2:$C8465)), "")*24*60, "")</f>
        <v/>
      </c>
    </row>
    <row r="8467" spans="1:19" x14ac:dyDescent="0.2">
      <c r="A8467" s="12">
        <f t="shared" ref="A8467:C8467" si="1567">A8466</f>
        <v>46029</v>
      </c>
      <c r="B8467" s="5" t="str">
        <f t="shared" si="1567"/>
        <v>Northern Cardinal</v>
      </c>
      <c r="C8467" s="6">
        <f t="shared" si="1567"/>
        <v>0.75</v>
      </c>
      <c r="D8467" s="5"/>
      <c r="E8467" s="5"/>
      <c r="F8467" s="5" t="s">
        <v>9</v>
      </c>
      <c r="G8467" s="15" t="s">
        <v>8</v>
      </c>
      <c r="H8467" s="24">
        <f t="shared" si="1521"/>
        <v>0</v>
      </c>
      <c r="I8467" s="24" cm="1">
        <f t="array" ref="I8467">IFERROR(IF($B8467=I$1, ($A8467+$C8467) - MAX(IF($B$2:$B8466=$B8467, $A$2:$A8466+$C$2:$C8466)), "")*24*60, "")</f>
        <v>0</v>
      </c>
      <c r="J8467" s="24" t="str" cm="1">
        <f t="array" ref="J8467">IFERROR(IF($B8467=J$1, ($A8467+$C8467) - MAX(IF($B$2:$B8466=$B8467, $A$2:$A8466+$C$2:$C8466)), "")*24*60, "")</f>
        <v/>
      </c>
      <c r="K8467" s="24" t="str" cm="1">
        <f t="array" ref="K8467">IFERROR(IF($B8467=K$1, ($A8467+$C8467) - MAX(IF($B$2:$B8466=$B8467, $A$2:$A8466+$C$2:$C8466)), "")*24*60, "")</f>
        <v/>
      </c>
      <c r="L8467" s="24" t="str" cm="1">
        <f t="array" ref="L8467">IFERROR(IF($B8467=L$1, ($A8467+$C8467) - MAX(IF($B$2:$B8466=$B8467, $A$2:$A8466+$C$2:$C8466)), "")*24*60, "")</f>
        <v/>
      </c>
      <c r="M8467" s="24" t="str" cm="1">
        <f t="array" ref="M8467">IFERROR(IF($B8467=M$1, ($A8467+$C8467) - MAX(IF($B$2:$B8466=$B8467, $A$2:$A8466+$C$2:$C8466)), "")*24*60, "")</f>
        <v/>
      </c>
      <c r="N8467" s="24" t="str" cm="1">
        <f t="array" ref="N8467">IFERROR(IF($B8467=N$1, ($A8467+$C8467) - MAX(IF($B$2:$B8466=$B8467, $A$2:$A8466+$C$2:$C8466)), "")*24*60, "")</f>
        <v/>
      </c>
      <c r="O8467" s="24" t="str" cm="1">
        <f t="array" ref="O8467">IFERROR(IF($B8467=O$1, ($A8467+$C8467) - MAX(IF($B$2:$B8466=$B8467, $A$2:$A8466+$C$2:$C8466)), "")*24*60, "")</f>
        <v/>
      </c>
      <c r="P8467" s="24" t="str" cm="1">
        <f t="array" ref="P8467">IFERROR(IF($B8467=P$1, ($A8467+$C8467) - MAX(IF($B$2:$B8466=$B8467, $A$2:$A8466+$C$2:$C8466)), "")*24*60, "")</f>
        <v/>
      </c>
      <c r="Q8467" s="24" t="str" cm="1">
        <f t="array" ref="Q8467">IFERROR(IF($B8467=Q$1, ($A8467+$C8467) - MAX(IF($B$2:$B8466=$B8467, $A$2:$A8466+$C$2:$C8466)), "")*24*60, "")</f>
        <v/>
      </c>
      <c r="R8467" s="24" t="str" cm="1">
        <f t="array" ref="R8467">IFERROR(IF($B8467=R$1, ($A8467+$C8467) - MAX(IF($B$2:$B8466=$B8467, $A$2:$A8466+$C$2:$C8466)), "")*24*60, "")</f>
        <v/>
      </c>
      <c r="S8467" s="24" t="str" cm="1">
        <f t="array" ref="S8467">IFERROR(IF($B8467=S$1, ($A8467+$C8467) - MAX(IF($B$2:$B8466=$B8467, $A$2:$A8466+$C$2:$C8466)), "")*24*60, "")</f>
        <v/>
      </c>
    </row>
    <row r="8468" spans="1:19" x14ac:dyDescent="0.2">
      <c r="A8468" s="12">
        <f t="shared" ref="A8468:C8468" si="1568">A8467</f>
        <v>46029</v>
      </c>
      <c r="B8468" s="5" t="str">
        <f t="shared" si="1568"/>
        <v>Northern Cardinal</v>
      </c>
      <c r="C8468" s="6">
        <f t="shared" si="1568"/>
        <v>0.75</v>
      </c>
      <c r="D8468" s="5"/>
      <c r="E8468" s="5"/>
      <c r="F8468" s="5" t="s">
        <v>9</v>
      </c>
      <c r="G8468" s="15" t="s">
        <v>8</v>
      </c>
      <c r="H8468" s="24">
        <f t="shared" si="1521"/>
        <v>0</v>
      </c>
      <c r="I8468" s="24" cm="1">
        <f t="array" ref="I8468">IFERROR(IF($B8468=I$1, ($A8468+$C8468) - MAX(IF($B$2:$B8467=$B8468, $A$2:$A8467+$C$2:$C8467)), "")*24*60, "")</f>
        <v>0</v>
      </c>
      <c r="J8468" s="24" t="str" cm="1">
        <f t="array" ref="J8468">IFERROR(IF($B8468=J$1, ($A8468+$C8468) - MAX(IF($B$2:$B8467=$B8468, $A$2:$A8467+$C$2:$C8467)), "")*24*60, "")</f>
        <v/>
      </c>
      <c r="K8468" s="24" t="str" cm="1">
        <f t="array" ref="K8468">IFERROR(IF($B8468=K$1, ($A8468+$C8468) - MAX(IF($B$2:$B8467=$B8468, $A$2:$A8467+$C$2:$C8467)), "")*24*60, "")</f>
        <v/>
      </c>
      <c r="L8468" s="24" t="str" cm="1">
        <f t="array" ref="L8468">IFERROR(IF($B8468=L$1, ($A8468+$C8468) - MAX(IF($B$2:$B8467=$B8468, $A$2:$A8467+$C$2:$C8467)), "")*24*60, "")</f>
        <v/>
      </c>
      <c r="M8468" s="24" t="str" cm="1">
        <f t="array" ref="M8468">IFERROR(IF($B8468=M$1, ($A8468+$C8468) - MAX(IF($B$2:$B8467=$B8468, $A$2:$A8467+$C$2:$C8467)), "")*24*60, "")</f>
        <v/>
      </c>
      <c r="N8468" s="24" t="str" cm="1">
        <f t="array" ref="N8468">IFERROR(IF($B8468=N$1, ($A8468+$C8468) - MAX(IF($B$2:$B8467=$B8468, $A$2:$A8467+$C$2:$C8467)), "")*24*60, "")</f>
        <v/>
      </c>
      <c r="O8468" s="24" t="str" cm="1">
        <f t="array" ref="O8468">IFERROR(IF($B8468=O$1, ($A8468+$C8468) - MAX(IF($B$2:$B8467=$B8468, $A$2:$A8467+$C$2:$C8467)), "")*24*60, "")</f>
        <v/>
      </c>
      <c r="P8468" s="24" t="str" cm="1">
        <f t="array" ref="P8468">IFERROR(IF($B8468=P$1, ($A8468+$C8468) - MAX(IF($B$2:$B8467=$B8468, $A$2:$A8467+$C$2:$C8467)), "")*24*60, "")</f>
        <v/>
      </c>
      <c r="Q8468" s="24" t="str" cm="1">
        <f t="array" ref="Q8468">IFERROR(IF($B8468=Q$1, ($A8468+$C8468) - MAX(IF($B$2:$B8467=$B8468, $A$2:$A8467+$C$2:$C8467)), "")*24*60, "")</f>
        <v/>
      </c>
      <c r="R8468" s="24" t="str" cm="1">
        <f t="array" ref="R8468">IFERROR(IF($B8468=R$1, ($A8468+$C8468) - MAX(IF($B$2:$B8467=$B8468, $A$2:$A8467+$C$2:$C8467)), "")*24*60, "")</f>
        <v/>
      </c>
      <c r="S8468" s="24" t="str" cm="1">
        <f t="array" ref="S8468">IFERROR(IF($B8468=S$1, ($A8468+$C8468) - MAX(IF($B$2:$B8467=$B8468, $A$2:$A8467+$C$2:$C8467)), "")*24*60, "")</f>
        <v/>
      </c>
    </row>
    <row r="8469" spans="1:19" x14ac:dyDescent="0.2">
      <c r="A8469" s="12">
        <f t="shared" ref="A8469:C8469" si="1569">A8468</f>
        <v>46029</v>
      </c>
      <c r="B8469" s="5" t="str">
        <f t="shared" si="1569"/>
        <v>Northern Cardinal</v>
      </c>
      <c r="C8469" s="6">
        <f t="shared" si="1569"/>
        <v>0.75</v>
      </c>
      <c r="D8469" s="5"/>
      <c r="E8469" s="5"/>
      <c r="F8469" s="5" t="s">
        <v>9</v>
      </c>
      <c r="G8469" s="15" t="s">
        <v>8</v>
      </c>
      <c r="H8469" s="24">
        <f t="shared" si="1521"/>
        <v>0</v>
      </c>
      <c r="I8469" s="24" cm="1">
        <f t="array" ref="I8469">IFERROR(IF($B8469=I$1, ($A8469+$C8469) - MAX(IF($B$2:$B8468=$B8469, $A$2:$A8468+$C$2:$C8468)), "")*24*60, "")</f>
        <v>0</v>
      </c>
      <c r="J8469" s="24" t="str" cm="1">
        <f t="array" ref="J8469">IFERROR(IF($B8469=J$1, ($A8469+$C8469) - MAX(IF($B$2:$B8468=$B8469, $A$2:$A8468+$C$2:$C8468)), "")*24*60, "")</f>
        <v/>
      </c>
      <c r="K8469" s="24" t="str" cm="1">
        <f t="array" ref="K8469">IFERROR(IF($B8469=K$1, ($A8469+$C8469) - MAX(IF($B$2:$B8468=$B8469, $A$2:$A8468+$C$2:$C8468)), "")*24*60, "")</f>
        <v/>
      </c>
      <c r="L8469" s="24" t="str" cm="1">
        <f t="array" ref="L8469">IFERROR(IF($B8469=L$1, ($A8469+$C8469) - MAX(IF($B$2:$B8468=$B8469, $A$2:$A8468+$C$2:$C8468)), "")*24*60, "")</f>
        <v/>
      </c>
      <c r="M8469" s="24" t="str" cm="1">
        <f t="array" ref="M8469">IFERROR(IF($B8469=M$1, ($A8469+$C8469) - MAX(IF($B$2:$B8468=$B8469, $A$2:$A8468+$C$2:$C8468)), "")*24*60, "")</f>
        <v/>
      </c>
      <c r="N8469" s="24" t="str" cm="1">
        <f t="array" ref="N8469">IFERROR(IF($B8469=N$1, ($A8469+$C8469) - MAX(IF($B$2:$B8468=$B8469, $A$2:$A8468+$C$2:$C8468)), "")*24*60, "")</f>
        <v/>
      </c>
      <c r="O8469" s="24" t="str" cm="1">
        <f t="array" ref="O8469">IFERROR(IF($B8469=O$1, ($A8469+$C8469) - MAX(IF($B$2:$B8468=$B8469, $A$2:$A8468+$C$2:$C8468)), "")*24*60, "")</f>
        <v/>
      </c>
      <c r="P8469" s="24" t="str" cm="1">
        <f t="array" ref="P8469">IFERROR(IF($B8469=P$1, ($A8469+$C8469) - MAX(IF($B$2:$B8468=$B8469, $A$2:$A8468+$C$2:$C8468)), "")*24*60, "")</f>
        <v/>
      </c>
      <c r="Q8469" s="24" t="str" cm="1">
        <f t="array" ref="Q8469">IFERROR(IF($B8469=Q$1, ($A8469+$C8469) - MAX(IF($B$2:$B8468=$B8469, $A$2:$A8468+$C$2:$C8468)), "")*24*60, "")</f>
        <v/>
      </c>
      <c r="R8469" s="24" t="str" cm="1">
        <f t="array" ref="R8469">IFERROR(IF($B8469=R$1, ($A8469+$C8469) - MAX(IF($B$2:$B8468=$B8469, $A$2:$A8468+$C$2:$C8468)), "")*24*60, "")</f>
        <v/>
      </c>
      <c r="S8469" s="24" t="str" cm="1">
        <f t="array" ref="S8469">IFERROR(IF($B8469=S$1, ($A8469+$C8469) - MAX(IF($B$2:$B8468=$B8469, $A$2:$A8468+$C$2:$C8468)), "")*24*60, "")</f>
        <v/>
      </c>
    </row>
    <row r="8470" spans="1:19" x14ac:dyDescent="0.2">
      <c r="A8470" s="12">
        <f t="shared" ref="A8470:C8470" si="1570">A8469</f>
        <v>46029</v>
      </c>
      <c r="B8470" s="5" t="str">
        <f t="shared" si="1570"/>
        <v>Northern Cardinal</v>
      </c>
      <c r="C8470" s="6">
        <f t="shared" si="1570"/>
        <v>0.75</v>
      </c>
      <c r="D8470" s="5"/>
      <c r="E8470" s="5"/>
      <c r="F8470" s="5" t="s">
        <v>9</v>
      </c>
      <c r="G8470" s="15" t="s">
        <v>8</v>
      </c>
      <c r="H8470" s="24">
        <f t="shared" si="1521"/>
        <v>0</v>
      </c>
      <c r="I8470" s="24" cm="1">
        <f t="array" ref="I8470">IFERROR(IF($B8470=I$1, ($A8470+$C8470) - MAX(IF($B$2:$B8469=$B8470, $A$2:$A8469+$C$2:$C8469)), "")*24*60, "")</f>
        <v>0</v>
      </c>
      <c r="J8470" s="24" t="str" cm="1">
        <f t="array" ref="J8470">IFERROR(IF($B8470=J$1, ($A8470+$C8470) - MAX(IF($B$2:$B8469=$B8470, $A$2:$A8469+$C$2:$C8469)), "")*24*60, "")</f>
        <v/>
      </c>
      <c r="K8470" s="24" t="str" cm="1">
        <f t="array" ref="K8470">IFERROR(IF($B8470=K$1, ($A8470+$C8470) - MAX(IF($B$2:$B8469=$B8470, $A$2:$A8469+$C$2:$C8469)), "")*24*60, "")</f>
        <v/>
      </c>
      <c r="L8470" s="24" t="str" cm="1">
        <f t="array" ref="L8470">IFERROR(IF($B8470=L$1, ($A8470+$C8470) - MAX(IF($B$2:$B8469=$B8470, $A$2:$A8469+$C$2:$C8469)), "")*24*60, "")</f>
        <v/>
      </c>
      <c r="M8470" s="24" t="str" cm="1">
        <f t="array" ref="M8470">IFERROR(IF($B8470=M$1, ($A8470+$C8470) - MAX(IF($B$2:$B8469=$B8470, $A$2:$A8469+$C$2:$C8469)), "")*24*60, "")</f>
        <v/>
      </c>
      <c r="N8470" s="24" t="str" cm="1">
        <f t="array" ref="N8470">IFERROR(IF($B8470=N$1, ($A8470+$C8470) - MAX(IF($B$2:$B8469=$B8470, $A$2:$A8469+$C$2:$C8469)), "")*24*60, "")</f>
        <v/>
      </c>
      <c r="O8470" s="24" t="str" cm="1">
        <f t="array" ref="O8470">IFERROR(IF($B8470=O$1, ($A8470+$C8470) - MAX(IF($B$2:$B8469=$B8470, $A$2:$A8469+$C$2:$C8469)), "")*24*60, "")</f>
        <v/>
      </c>
      <c r="P8470" s="24" t="str" cm="1">
        <f t="array" ref="P8470">IFERROR(IF($B8470=P$1, ($A8470+$C8470) - MAX(IF($B$2:$B8469=$B8470, $A$2:$A8469+$C$2:$C8469)), "")*24*60, "")</f>
        <v/>
      </c>
      <c r="Q8470" s="24" t="str" cm="1">
        <f t="array" ref="Q8470">IFERROR(IF($B8470=Q$1, ($A8470+$C8470) - MAX(IF($B$2:$B8469=$B8470, $A$2:$A8469+$C$2:$C8469)), "")*24*60, "")</f>
        <v/>
      </c>
      <c r="R8470" s="24" t="str" cm="1">
        <f t="array" ref="R8470">IFERROR(IF($B8470=R$1, ($A8470+$C8470) - MAX(IF($B$2:$B8469=$B8470, $A$2:$A8469+$C$2:$C8469)), "")*24*60, "")</f>
        <v/>
      </c>
      <c r="S8470" s="24" t="str" cm="1">
        <f t="array" ref="S8470">IFERROR(IF($B8470=S$1, ($A8470+$C8470) - MAX(IF($B$2:$B8469=$B8470, $A$2:$A8469+$C$2:$C8469)), "")*24*60, "")</f>
        <v/>
      </c>
    </row>
    <row r="8471" spans="1:19" x14ac:dyDescent="0.2">
      <c r="A8471" s="12">
        <f t="shared" ref="A8471:C8471" si="1571">A8470</f>
        <v>46029</v>
      </c>
      <c r="B8471" s="5" t="str">
        <f t="shared" si="1571"/>
        <v>Northern Cardinal</v>
      </c>
      <c r="C8471" s="6">
        <f t="shared" si="1571"/>
        <v>0.75</v>
      </c>
      <c r="D8471" s="5"/>
      <c r="E8471" s="5"/>
      <c r="F8471" s="5" t="s">
        <v>9</v>
      </c>
      <c r="G8471" s="15" t="s">
        <v>8</v>
      </c>
      <c r="H8471" s="24">
        <f t="shared" si="1521"/>
        <v>0</v>
      </c>
      <c r="I8471" s="24" cm="1">
        <f t="array" ref="I8471">IFERROR(IF($B8471=I$1, ($A8471+$C8471) - MAX(IF($B$2:$B8470=$B8471, $A$2:$A8470+$C$2:$C8470)), "")*24*60, "")</f>
        <v>0</v>
      </c>
      <c r="J8471" s="24" t="str" cm="1">
        <f t="array" ref="J8471">IFERROR(IF($B8471=J$1, ($A8471+$C8471) - MAX(IF($B$2:$B8470=$B8471, $A$2:$A8470+$C$2:$C8470)), "")*24*60, "")</f>
        <v/>
      </c>
      <c r="K8471" s="24" t="str" cm="1">
        <f t="array" ref="K8471">IFERROR(IF($B8471=K$1, ($A8471+$C8471) - MAX(IF($B$2:$B8470=$B8471, $A$2:$A8470+$C$2:$C8470)), "")*24*60, "")</f>
        <v/>
      </c>
      <c r="L8471" s="24" t="str" cm="1">
        <f t="array" ref="L8471">IFERROR(IF($B8471=L$1, ($A8471+$C8471) - MAX(IF($B$2:$B8470=$B8471, $A$2:$A8470+$C$2:$C8470)), "")*24*60, "")</f>
        <v/>
      </c>
      <c r="M8471" s="24" t="str" cm="1">
        <f t="array" ref="M8471">IFERROR(IF($B8471=M$1, ($A8471+$C8471) - MAX(IF($B$2:$B8470=$B8471, $A$2:$A8470+$C$2:$C8470)), "")*24*60, "")</f>
        <v/>
      </c>
      <c r="N8471" s="24" t="str" cm="1">
        <f t="array" ref="N8471">IFERROR(IF($B8471=N$1, ($A8471+$C8471) - MAX(IF($B$2:$B8470=$B8471, $A$2:$A8470+$C$2:$C8470)), "")*24*60, "")</f>
        <v/>
      </c>
      <c r="O8471" s="24" t="str" cm="1">
        <f t="array" ref="O8471">IFERROR(IF($B8471=O$1, ($A8471+$C8471) - MAX(IF($B$2:$B8470=$B8471, $A$2:$A8470+$C$2:$C8470)), "")*24*60, "")</f>
        <v/>
      </c>
      <c r="P8471" s="24" t="str" cm="1">
        <f t="array" ref="P8471">IFERROR(IF($B8471=P$1, ($A8471+$C8471) - MAX(IF($B$2:$B8470=$B8471, $A$2:$A8470+$C$2:$C8470)), "")*24*60, "")</f>
        <v/>
      </c>
      <c r="Q8471" s="24" t="str" cm="1">
        <f t="array" ref="Q8471">IFERROR(IF($B8471=Q$1, ($A8471+$C8471) - MAX(IF($B$2:$B8470=$B8471, $A$2:$A8470+$C$2:$C8470)), "")*24*60, "")</f>
        <v/>
      </c>
      <c r="R8471" s="24" t="str" cm="1">
        <f t="array" ref="R8471">IFERROR(IF($B8471=R$1, ($A8471+$C8471) - MAX(IF($B$2:$B8470=$B8471, $A$2:$A8470+$C$2:$C8470)), "")*24*60, "")</f>
        <v/>
      </c>
      <c r="S8471" s="24" t="str" cm="1">
        <f t="array" ref="S8471">IFERROR(IF($B8471=S$1, ($A8471+$C8471) - MAX(IF($B$2:$B8470=$B8471, $A$2:$A8470+$C$2:$C8470)), "")*24*60, "")</f>
        <v/>
      </c>
    </row>
    <row r="8472" spans="1:19" x14ac:dyDescent="0.2">
      <c r="A8472" s="12">
        <f t="shared" ref="A8472:C8472" si="1572">A8471</f>
        <v>46029</v>
      </c>
      <c r="B8472" s="5" t="str">
        <f t="shared" si="1572"/>
        <v>Northern Cardinal</v>
      </c>
      <c r="C8472" s="6">
        <f t="shared" si="1572"/>
        <v>0.75</v>
      </c>
      <c r="D8472" s="5"/>
      <c r="E8472" s="5"/>
      <c r="F8472" s="5" t="s">
        <v>9</v>
      </c>
      <c r="G8472" s="15" t="s">
        <v>8</v>
      </c>
      <c r="H8472" s="24">
        <f t="shared" si="1521"/>
        <v>0</v>
      </c>
      <c r="I8472" s="24" cm="1">
        <f t="array" ref="I8472">IFERROR(IF($B8472=I$1, ($A8472+$C8472) - MAX(IF($B$2:$B8471=$B8472, $A$2:$A8471+$C$2:$C8471)), "")*24*60, "")</f>
        <v>0</v>
      </c>
      <c r="J8472" s="24" t="str" cm="1">
        <f t="array" ref="J8472">IFERROR(IF($B8472=J$1, ($A8472+$C8472) - MAX(IF($B$2:$B8471=$B8472, $A$2:$A8471+$C$2:$C8471)), "")*24*60, "")</f>
        <v/>
      </c>
      <c r="K8472" s="24" t="str" cm="1">
        <f t="array" ref="K8472">IFERROR(IF($B8472=K$1, ($A8472+$C8472) - MAX(IF($B$2:$B8471=$B8472, $A$2:$A8471+$C$2:$C8471)), "")*24*60, "")</f>
        <v/>
      </c>
      <c r="L8472" s="24" t="str" cm="1">
        <f t="array" ref="L8472">IFERROR(IF($B8472=L$1, ($A8472+$C8472) - MAX(IF($B$2:$B8471=$B8472, $A$2:$A8471+$C$2:$C8471)), "")*24*60, "")</f>
        <v/>
      </c>
      <c r="M8472" s="24" t="str" cm="1">
        <f t="array" ref="M8472">IFERROR(IF($B8472=M$1, ($A8472+$C8472) - MAX(IF($B$2:$B8471=$B8472, $A$2:$A8471+$C$2:$C8471)), "")*24*60, "")</f>
        <v/>
      </c>
      <c r="N8472" s="24" t="str" cm="1">
        <f t="array" ref="N8472">IFERROR(IF($B8472=N$1, ($A8472+$C8472) - MAX(IF($B$2:$B8471=$B8472, $A$2:$A8471+$C$2:$C8471)), "")*24*60, "")</f>
        <v/>
      </c>
      <c r="O8472" s="24" t="str" cm="1">
        <f t="array" ref="O8472">IFERROR(IF($B8472=O$1, ($A8472+$C8472) - MAX(IF($B$2:$B8471=$B8472, $A$2:$A8471+$C$2:$C8471)), "")*24*60, "")</f>
        <v/>
      </c>
      <c r="P8472" s="24" t="str" cm="1">
        <f t="array" ref="P8472">IFERROR(IF($B8472=P$1, ($A8472+$C8472) - MAX(IF($B$2:$B8471=$B8472, $A$2:$A8471+$C$2:$C8471)), "")*24*60, "")</f>
        <v/>
      </c>
      <c r="Q8472" s="24" t="str" cm="1">
        <f t="array" ref="Q8472">IFERROR(IF($B8472=Q$1, ($A8472+$C8472) - MAX(IF($B$2:$B8471=$B8472, $A$2:$A8471+$C$2:$C8471)), "")*24*60, "")</f>
        <v/>
      </c>
      <c r="R8472" s="24" t="str" cm="1">
        <f t="array" ref="R8472">IFERROR(IF($B8472=R$1, ($A8472+$C8472) - MAX(IF($B$2:$B8471=$B8472, $A$2:$A8471+$C$2:$C8471)), "")*24*60, "")</f>
        <v/>
      </c>
      <c r="S8472" s="24" t="str" cm="1">
        <f t="array" ref="S8472">IFERROR(IF($B8472=S$1, ($A8472+$C8472) - MAX(IF($B$2:$B8471=$B8472, $A$2:$A8471+$C$2:$C8471)), "")*24*60, "")</f>
        <v/>
      </c>
    </row>
    <row r="8473" spans="1:19" x14ac:dyDescent="0.2">
      <c r="A8473" s="12">
        <f t="shared" ref="A8473:C8473" si="1573">A8472</f>
        <v>46029</v>
      </c>
      <c r="B8473" s="5" t="str">
        <f t="shared" si="1573"/>
        <v>Northern Cardinal</v>
      </c>
      <c r="C8473" s="6">
        <f t="shared" si="1573"/>
        <v>0.75</v>
      </c>
      <c r="D8473" s="5"/>
      <c r="E8473" s="5"/>
      <c r="F8473" s="5" t="s">
        <v>9</v>
      </c>
      <c r="G8473" s="15" t="s">
        <v>8</v>
      </c>
      <c r="H8473" s="24">
        <f t="shared" si="1521"/>
        <v>0</v>
      </c>
      <c r="I8473" s="24" cm="1">
        <f t="array" ref="I8473">IFERROR(IF($B8473=I$1, ($A8473+$C8473) - MAX(IF($B$2:$B8472=$B8473, $A$2:$A8472+$C$2:$C8472)), "")*24*60, "")</f>
        <v>0</v>
      </c>
      <c r="J8473" s="24" t="str" cm="1">
        <f t="array" ref="J8473">IFERROR(IF($B8473=J$1, ($A8473+$C8473) - MAX(IF($B$2:$B8472=$B8473, $A$2:$A8472+$C$2:$C8472)), "")*24*60, "")</f>
        <v/>
      </c>
      <c r="K8473" s="24" t="str" cm="1">
        <f t="array" ref="K8473">IFERROR(IF($B8473=K$1, ($A8473+$C8473) - MAX(IF($B$2:$B8472=$B8473, $A$2:$A8472+$C$2:$C8472)), "")*24*60, "")</f>
        <v/>
      </c>
      <c r="L8473" s="24" t="str" cm="1">
        <f t="array" ref="L8473">IFERROR(IF($B8473=L$1, ($A8473+$C8473) - MAX(IF($B$2:$B8472=$B8473, $A$2:$A8472+$C$2:$C8472)), "")*24*60, "")</f>
        <v/>
      </c>
      <c r="M8473" s="24" t="str" cm="1">
        <f t="array" ref="M8473">IFERROR(IF($B8473=M$1, ($A8473+$C8473) - MAX(IF($B$2:$B8472=$B8473, $A$2:$A8472+$C$2:$C8472)), "")*24*60, "")</f>
        <v/>
      </c>
      <c r="N8473" s="24" t="str" cm="1">
        <f t="array" ref="N8473">IFERROR(IF($B8473=N$1, ($A8473+$C8473) - MAX(IF($B$2:$B8472=$B8473, $A$2:$A8472+$C$2:$C8472)), "")*24*60, "")</f>
        <v/>
      </c>
      <c r="O8473" s="24" t="str" cm="1">
        <f t="array" ref="O8473">IFERROR(IF($B8473=O$1, ($A8473+$C8473) - MAX(IF($B$2:$B8472=$B8473, $A$2:$A8472+$C$2:$C8472)), "")*24*60, "")</f>
        <v/>
      </c>
      <c r="P8473" s="24" t="str" cm="1">
        <f t="array" ref="P8473">IFERROR(IF($B8473=P$1, ($A8473+$C8473) - MAX(IF($B$2:$B8472=$B8473, $A$2:$A8472+$C$2:$C8472)), "")*24*60, "")</f>
        <v/>
      </c>
      <c r="Q8473" s="24" t="str" cm="1">
        <f t="array" ref="Q8473">IFERROR(IF($B8473=Q$1, ($A8473+$C8473) - MAX(IF($B$2:$B8472=$B8473, $A$2:$A8472+$C$2:$C8472)), "")*24*60, "")</f>
        <v/>
      </c>
      <c r="R8473" s="24" t="str" cm="1">
        <f t="array" ref="R8473">IFERROR(IF($B8473=R$1, ($A8473+$C8473) - MAX(IF($B$2:$B8472=$B8473, $A$2:$A8472+$C$2:$C8472)), "")*24*60, "")</f>
        <v/>
      </c>
      <c r="S8473" s="24" t="str" cm="1">
        <f t="array" ref="S8473">IFERROR(IF($B8473=S$1, ($A8473+$C8473) - MAX(IF($B$2:$B8472=$B8473, $A$2:$A8472+$C$2:$C8472)), "")*24*60, "")</f>
        <v/>
      </c>
    </row>
    <row r="8474" spans="1:19" x14ac:dyDescent="0.2">
      <c r="A8474" s="12">
        <f t="shared" ref="A8474:C8474" si="1574">A8473</f>
        <v>46029</v>
      </c>
      <c r="B8474" s="5" t="str">
        <f t="shared" si="1574"/>
        <v>Northern Cardinal</v>
      </c>
      <c r="C8474" s="6">
        <f t="shared" si="1574"/>
        <v>0.75</v>
      </c>
      <c r="D8474" s="5"/>
      <c r="E8474" s="5"/>
      <c r="F8474" s="5" t="s">
        <v>9</v>
      </c>
      <c r="G8474" s="15" t="s">
        <v>8</v>
      </c>
      <c r="H8474" s="24">
        <f t="shared" si="1521"/>
        <v>0</v>
      </c>
      <c r="I8474" s="24" cm="1">
        <f t="array" ref="I8474">IFERROR(IF($B8474=I$1, ($A8474+$C8474) - MAX(IF($B$2:$B8473=$B8474, $A$2:$A8473+$C$2:$C8473)), "")*24*60, "")</f>
        <v>0</v>
      </c>
      <c r="J8474" s="24" t="str" cm="1">
        <f t="array" ref="J8474">IFERROR(IF($B8474=J$1, ($A8474+$C8474) - MAX(IF($B$2:$B8473=$B8474, $A$2:$A8473+$C$2:$C8473)), "")*24*60, "")</f>
        <v/>
      </c>
      <c r="K8474" s="24" t="str" cm="1">
        <f t="array" ref="K8474">IFERROR(IF($B8474=K$1, ($A8474+$C8474) - MAX(IF($B$2:$B8473=$B8474, $A$2:$A8473+$C$2:$C8473)), "")*24*60, "")</f>
        <v/>
      </c>
      <c r="L8474" s="24" t="str" cm="1">
        <f t="array" ref="L8474">IFERROR(IF($B8474=L$1, ($A8474+$C8474) - MAX(IF($B$2:$B8473=$B8474, $A$2:$A8473+$C$2:$C8473)), "")*24*60, "")</f>
        <v/>
      </c>
      <c r="M8474" s="24" t="str" cm="1">
        <f t="array" ref="M8474">IFERROR(IF($B8474=M$1, ($A8474+$C8474) - MAX(IF($B$2:$B8473=$B8474, $A$2:$A8473+$C$2:$C8473)), "")*24*60, "")</f>
        <v/>
      </c>
      <c r="N8474" s="24" t="str" cm="1">
        <f t="array" ref="N8474">IFERROR(IF($B8474=N$1, ($A8474+$C8474) - MAX(IF($B$2:$B8473=$B8474, $A$2:$A8473+$C$2:$C8473)), "")*24*60, "")</f>
        <v/>
      </c>
      <c r="O8474" s="24" t="str" cm="1">
        <f t="array" ref="O8474">IFERROR(IF($B8474=O$1, ($A8474+$C8474) - MAX(IF($B$2:$B8473=$B8474, $A$2:$A8473+$C$2:$C8473)), "")*24*60, "")</f>
        <v/>
      </c>
      <c r="P8474" s="24" t="str" cm="1">
        <f t="array" ref="P8474">IFERROR(IF($B8474=P$1, ($A8474+$C8474) - MAX(IF($B$2:$B8473=$B8474, $A$2:$A8473+$C$2:$C8473)), "")*24*60, "")</f>
        <v/>
      </c>
      <c r="Q8474" s="24" t="str" cm="1">
        <f t="array" ref="Q8474">IFERROR(IF($B8474=Q$1, ($A8474+$C8474) - MAX(IF($B$2:$B8473=$B8474, $A$2:$A8473+$C$2:$C8473)), "")*24*60, "")</f>
        <v/>
      </c>
      <c r="R8474" s="24" t="str" cm="1">
        <f t="array" ref="R8474">IFERROR(IF($B8474=R$1, ($A8474+$C8474) - MAX(IF($B$2:$B8473=$B8474, $A$2:$A8473+$C$2:$C8473)), "")*24*60, "")</f>
        <v/>
      </c>
      <c r="S8474" s="24" t="str" cm="1">
        <f t="array" ref="S8474">IFERROR(IF($B8474=S$1, ($A8474+$C8474) - MAX(IF($B$2:$B8473=$B8474, $A$2:$A8473+$C$2:$C8473)), "")*24*60, "")</f>
        <v/>
      </c>
    </row>
    <row r="8475" spans="1:19" x14ac:dyDescent="0.2">
      <c r="A8475" s="12">
        <f t="shared" ref="A8475:C8475" si="1575">A8474</f>
        <v>46029</v>
      </c>
      <c r="B8475" s="5" t="str">
        <f t="shared" si="1575"/>
        <v>Northern Cardinal</v>
      </c>
      <c r="C8475" s="6">
        <f t="shared" si="1575"/>
        <v>0.75</v>
      </c>
      <c r="D8475" s="5"/>
      <c r="E8475" s="5"/>
      <c r="F8475" s="5" t="s">
        <v>9</v>
      </c>
      <c r="G8475" s="15" t="s">
        <v>8</v>
      </c>
      <c r="H8475" s="24">
        <f t="shared" si="1521"/>
        <v>0</v>
      </c>
      <c r="I8475" s="24" cm="1">
        <f t="array" ref="I8475">IFERROR(IF($B8475=I$1, ($A8475+$C8475) - MAX(IF($B$2:$B8474=$B8475, $A$2:$A8474+$C$2:$C8474)), "")*24*60, "")</f>
        <v>0</v>
      </c>
      <c r="J8475" s="24" t="str" cm="1">
        <f t="array" ref="J8475">IFERROR(IF($B8475=J$1, ($A8475+$C8475) - MAX(IF($B$2:$B8474=$B8475, $A$2:$A8474+$C$2:$C8474)), "")*24*60, "")</f>
        <v/>
      </c>
      <c r="K8475" s="24" t="str" cm="1">
        <f t="array" ref="K8475">IFERROR(IF($B8475=K$1, ($A8475+$C8475) - MAX(IF($B$2:$B8474=$B8475, $A$2:$A8474+$C$2:$C8474)), "")*24*60, "")</f>
        <v/>
      </c>
      <c r="L8475" s="24" t="str" cm="1">
        <f t="array" ref="L8475">IFERROR(IF($B8475=L$1, ($A8475+$C8475) - MAX(IF($B$2:$B8474=$B8475, $A$2:$A8474+$C$2:$C8474)), "")*24*60, "")</f>
        <v/>
      </c>
      <c r="M8475" s="24" t="str" cm="1">
        <f t="array" ref="M8475">IFERROR(IF($B8475=M$1, ($A8475+$C8475) - MAX(IF($B$2:$B8474=$B8475, $A$2:$A8474+$C$2:$C8474)), "")*24*60, "")</f>
        <v/>
      </c>
      <c r="N8475" s="24" t="str" cm="1">
        <f t="array" ref="N8475">IFERROR(IF($B8475=N$1, ($A8475+$C8475) - MAX(IF($B$2:$B8474=$B8475, $A$2:$A8474+$C$2:$C8474)), "")*24*60, "")</f>
        <v/>
      </c>
      <c r="O8475" s="24" t="str" cm="1">
        <f t="array" ref="O8475">IFERROR(IF($B8475=O$1, ($A8475+$C8475) - MAX(IF($B$2:$B8474=$B8475, $A$2:$A8474+$C$2:$C8474)), "")*24*60, "")</f>
        <v/>
      </c>
      <c r="P8475" s="24" t="str" cm="1">
        <f t="array" ref="P8475">IFERROR(IF($B8475=P$1, ($A8475+$C8475) - MAX(IF($B$2:$B8474=$B8475, $A$2:$A8474+$C$2:$C8474)), "")*24*60, "")</f>
        <v/>
      </c>
      <c r="Q8475" s="24" t="str" cm="1">
        <f t="array" ref="Q8475">IFERROR(IF($B8475=Q$1, ($A8475+$C8475) - MAX(IF($B$2:$B8474=$B8475, $A$2:$A8474+$C$2:$C8474)), "")*24*60, "")</f>
        <v/>
      </c>
      <c r="R8475" s="24" t="str" cm="1">
        <f t="array" ref="R8475">IFERROR(IF($B8475=R$1, ($A8475+$C8475) - MAX(IF($B$2:$B8474=$B8475, $A$2:$A8474+$C$2:$C8474)), "")*24*60, "")</f>
        <v/>
      </c>
      <c r="S8475" s="24" t="str" cm="1">
        <f t="array" ref="S8475">IFERROR(IF($B8475=S$1, ($A8475+$C8475) - MAX(IF($B$2:$B8474=$B8475, $A$2:$A8474+$C$2:$C8474)), "")*24*60, "")</f>
        <v/>
      </c>
    </row>
    <row r="8476" spans="1:19" x14ac:dyDescent="0.2">
      <c r="A8476" s="12">
        <f t="shared" ref="A8476:C8476" si="1576">A8475</f>
        <v>46029</v>
      </c>
      <c r="B8476" s="5" t="str">
        <f t="shared" si="1576"/>
        <v>Northern Cardinal</v>
      </c>
      <c r="C8476" s="6">
        <f t="shared" si="1576"/>
        <v>0.75</v>
      </c>
      <c r="D8476" s="5"/>
      <c r="E8476" s="5"/>
      <c r="F8476" s="5" t="s">
        <v>9</v>
      </c>
      <c r="G8476" s="15" t="s">
        <v>8</v>
      </c>
      <c r="H8476" s="24">
        <f t="shared" si="1521"/>
        <v>0</v>
      </c>
      <c r="I8476" s="24" cm="1">
        <f t="array" ref="I8476">IFERROR(IF($B8476=I$1, ($A8476+$C8476) - MAX(IF($B$2:$B8475=$B8476, $A$2:$A8475+$C$2:$C8475)), "")*24*60, "")</f>
        <v>0</v>
      </c>
      <c r="J8476" s="24" t="str" cm="1">
        <f t="array" ref="J8476">IFERROR(IF($B8476=J$1, ($A8476+$C8476) - MAX(IF($B$2:$B8475=$B8476, $A$2:$A8475+$C$2:$C8475)), "")*24*60, "")</f>
        <v/>
      </c>
      <c r="K8476" s="24" t="str" cm="1">
        <f t="array" ref="K8476">IFERROR(IF($B8476=K$1, ($A8476+$C8476) - MAX(IF($B$2:$B8475=$B8476, $A$2:$A8475+$C$2:$C8475)), "")*24*60, "")</f>
        <v/>
      </c>
      <c r="L8476" s="24" t="str" cm="1">
        <f t="array" ref="L8476">IFERROR(IF($B8476=L$1, ($A8476+$C8476) - MAX(IF($B$2:$B8475=$B8476, $A$2:$A8475+$C$2:$C8475)), "")*24*60, "")</f>
        <v/>
      </c>
      <c r="M8476" s="24" t="str" cm="1">
        <f t="array" ref="M8476">IFERROR(IF($B8476=M$1, ($A8476+$C8476) - MAX(IF($B$2:$B8475=$B8476, $A$2:$A8475+$C$2:$C8475)), "")*24*60, "")</f>
        <v/>
      </c>
      <c r="N8476" s="24" t="str" cm="1">
        <f t="array" ref="N8476">IFERROR(IF($B8476=N$1, ($A8476+$C8476) - MAX(IF($B$2:$B8475=$B8476, $A$2:$A8475+$C$2:$C8475)), "")*24*60, "")</f>
        <v/>
      </c>
      <c r="O8476" s="24" t="str" cm="1">
        <f t="array" ref="O8476">IFERROR(IF($B8476=O$1, ($A8476+$C8476) - MAX(IF($B$2:$B8475=$B8476, $A$2:$A8475+$C$2:$C8475)), "")*24*60, "")</f>
        <v/>
      </c>
      <c r="P8476" s="24" t="str" cm="1">
        <f t="array" ref="P8476">IFERROR(IF($B8476=P$1, ($A8476+$C8476) - MAX(IF($B$2:$B8475=$B8476, $A$2:$A8475+$C$2:$C8475)), "")*24*60, "")</f>
        <v/>
      </c>
      <c r="Q8476" s="24" t="str" cm="1">
        <f t="array" ref="Q8476">IFERROR(IF($B8476=Q$1, ($A8476+$C8476) - MAX(IF($B$2:$B8475=$B8476, $A$2:$A8475+$C$2:$C8475)), "")*24*60, "")</f>
        <v/>
      </c>
      <c r="R8476" s="24" t="str" cm="1">
        <f t="array" ref="R8476">IFERROR(IF($B8476=R$1, ($A8476+$C8476) - MAX(IF($B$2:$B8475=$B8476, $A$2:$A8475+$C$2:$C8475)), "")*24*60, "")</f>
        <v/>
      </c>
      <c r="S8476" s="24" t="str" cm="1">
        <f t="array" ref="S8476">IFERROR(IF($B8476=S$1, ($A8476+$C8476) - MAX(IF($B$2:$B8475=$B8476, $A$2:$A8475+$C$2:$C8475)), "")*24*60, "")</f>
        <v/>
      </c>
    </row>
    <row r="8477" spans="1:19" x14ac:dyDescent="0.2">
      <c r="A8477" s="12">
        <f t="shared" ref="A8477:C8477" si="1577">A8476</f>
        <v>46029</v>
      </c>
      <c r="B8477" s="5" t="str">
        <f t="shared" si="1577"/>
        <v>Northern Cardinal</v>
      </c>
      <c r="C8477" s="6">
        <f t="shared" si="1577"/>
        <v>0.75</v>
      </c>
      <c r="D8477" s="5"/>
      <c r="E8477" s="5"/>
      <c r="F8477" s="5" t="s">
        <v>9</v>
      </c>
      <c r="G8477" s="15" t="s">
        <v>8</v>
      </c>
      <c r="H8477" s="24">
        <f t="shared" si="1521"/>
        <v>0</v>
      </c>
      <c r="I8477" s="24" cm="1">
        <f t="array" ref="I8477">IFERROR(IF($B8477=I$1, ($A8477+$C8477) - MAX(IF($B$2:$B8476=$B8477, $A$2:$A8476+$C$2:$C8476)), "")*24*60, "")</f>
        <v>0</v>
      </c>
      <c r="J8477" s="24" t="str" cm="1">
        <f t="array" ref="J8477">IFERROR(IF($B8477=J$1, ($A8477+$C8477) - MAX(IF($B$2:$B8476=$B8477, $A$2:$A8476+$C$2:$C8476)), "")*24*60, "")</f>
        <v/>
      </c>
      <c r="K8477" s="24" t="str" cm="1">
        <f t="array" ref="K8477">IFERROR(IF($B8477=K$1, ($A8477+$C8477) - MAX(IF($B$2:$B8476=$B8477, $A$2:$A8476+$C$2:$C8476)), "")*24*60, "")</f>
        <v/>
      </c>
      <c r="L8477" s="24" t="str" cm="1">
        <f t="array" ref="L8477">IFERROR(IF($B8477=L$1, ($A8477+$C8477) - MAX(IF($B$2:$B8476=$B8477, $A$2:$A8476+$C$2:$C8476)), "")*24*60, "")</f>
        <v/>
      </c>
      <c r="M8477" s="24" t="str" cm="1">
        <f t="array" ref="M8477">IFERROR(IF($B8477=M$1, ($A8477+$C8477) - MAX(IF($B$2:$B8476=$B8477, $A$2:$A8476+$C$2:$C8476)), "")*24*60, "")</f>
        <v/>
      </c>
      <c r="N8477" s="24" t="str" cm="1">
        <f t="array" ref="N8477">IFERROR(IF($B8477=N$1, ($A8477+$C8477) - MAX(IF($B$2:$B8476=$B8477, $A$2:$A8476+$C$2:$C8476)), "")*24*60, "")</f>
        <v/>
      </c>
      <c r="O8477" s="24" t="str" cm="1">
        <f t="array" ref="O8477">IFERROR(IF($B8477=O$1, ($A8477+$C8477) - MAX(IF($B$2:$B8476=$B8477, $A$2:$A8476+$C$2:$C8476)), "")*24*60, "")</f>
        <v/>
      </c>
      <c r="P8477" s="24" t="str" cm="1">
        <f t="array" ref="P8477">IFERROR(IF($B8477=P$1, ($A8477+$C8477) - MAX(IF($B$2:$B8476=$B8477, $A$2:$A8476+$C$2:$C8476)), "")*24*60, "")</f>
        <v/>
      </c>
      <c r="Q8477" s="24" t="str" cm="1">
        <f t="array" ref="Q8477">IFERROR(IF($B8477=Q$1, ($A8477+$C8477) - MAX(IF($B$2:$B8476=$B8477, $A$2:$A8476+$C$2:$C8476)), "")*24*60, "")</f>
        <v/>
      </c>
      <c r="R8477" s="24" t="str" cm="1">
        <f t="array" ref="R8477">IFERROR(IF($B8477=R$1, ($A8477+$C8477) - MAX(IF($B$2:$B8476=$B8477, $A$2:$A8476+$C$2:$C8476)), "")*24*60, "")</f>
        <v/>
      </c>
      <c r="S8477" s="24" t="str" cm="1">
        <f t="array" ref="S8477">IFERROR(IF($B8477=S$1, ($A8477+$C8477) - MAX(IF($B$2:$B8476=$B8477, $A$2:$A8476+$C$2:$C8476)), "")*24*60, "")</f>
        <v/>
      </c>
    </row>
    <row r="8478" spans="1:19" x14ac:dyDescent="0.2">
      <c r="A8478" s="12">
        <f t="shared" ref="A8478:C8478" si="1578">A8477</f>
        <v>46029</v>
      </c>
      <c r="B8478" s="5" t="str">
        <f t="shared" si="1578"/>
        <v>Northern Cardinal</v>
      </c>
      <c r="C8478" s="6">
        <f t="shared" si="1578"/>
        <v>0.75</v>
      </c>
      <c r="D8478" s="5"/>
      <c r="E8478" s="5"/>
      <c r="F8478" s="5" t="s">
        <v>9</v>
      </c>
      <c r="G8478" s="15" t="s">
        <v>8</v>
      </c>
      <c r="H8478" s="24">
        <f t="shared" si="1521"/>
        <v>0</v>
      </c>
      <c r="I8478" s="24" cm="1">
        <f t="array" ref="I8478">IFERROR(IF($B8478=I$1, ($A8478+$C8478) - MAX(IF($B$2:$B8477=$B8478, $A$2:$A8477+$C$2:$C8477)), "")*24*60, "")</f>
        <v>0</v>
      </c>
      <c r="J8478" s="24" t="str" cm="1">
        <f t="array" ref="J8478">IFERROR(IF($B8478=J$1, ($A8478+$C8478) - MAX(IF($B$2:$B8477=$B8478, $A$2:$A8477+$C$2:$C8477)), "")*24*60, "")</f>
        <v/>
      </c>
      <c r="K8478" s="24" t="str" cm="1">
        <f t="array" ref="K8478">IFERROR(IF($B8478=K$1, ($A8478+$C8478) - MAX(IF($B$2:$B8477=$B8478, $A$2:$A8477+$C$2:$C8477)), "")*24*60, "")</f>
        <v/>
      </c>
      <c r="L8478" s="24" t="str" cm="1">
        <f t="array" ref="L8478">IFERROR(IF($B8478=L$1, ($A8478+$C8478) - MAX(IF($B$2:$B8477=$B8478, $A$2:$A8477+$C$2:$C8477)), "")*24*60, "")</f>
        <v/>
      </c>
      <c r="M8478" s="24" t="str" cm="1">
        <f t="array" ref="M8478">IFERROR(IF($B8478=M$1, ($A8478+$C8478) - MAX(IF($B$2:$B8477=$B8478, $A$2:$A8477+$C$2:$C8477)), "")*24*60, "")</f>
        <v/>
      </c>
      <c r="N8478" s="24" t="str" cm="1">
        <f t="array" ref="N8478">IFERROR(IF($B8478=N$1, ($A8478+$C8478) - MAX(IF($B$2:$B8477=$B8478, $A$2:$A8477+$C$2:$C8477)), "")*24*60, "")</f>
        <v/>
      </c>
      <c r="O8478" s="24" t="str" cm="1">
        <f t="array" ref="O8478">IFERROR(IF($B8478=O$1, ($A8478+$C8478) - MAX(IF($B$2:$B8477=$B8478, $A$2:$A8477+$C$2:$C8477)), "")*24*60, "")</f>
        <v/>
      </c>
      <c r="P8478" s="24" t="str" cm="1">
        <f t="array" ref="P8478">IFERROR(IF($B8478=P$1, ($A8478+$C8478) - MAX(IF($B$2:$B8477=$B8478, $A$2:$A8477+$C$2:$C8477)), "")*24*60, "")</f>
        <v/>
      </c>
      <c r="Q8478" s="24" t="str" cm="1">
        <f t="array" ref="Q8478">IFERROR(IF($B8478=Q$1, ($A8478+$C8478) - MAX(IF($B$2:$B8477=$B8478, $A$2:$A8477+$C$2:$C8477)), "")*24*60, "")</f>
        <v/>
      </c>
      <c r="R8478" s="24" t="str" cm="1">
        <f t="array" ref="R8478">IFERROR(IF($B8478=R$1, ($A8478+$C8478) - MAX(IF($B$2:$B8477=$B8478, $A$2:$A8477+$C$2:$C8477)), "")*24*60, "")</f>
        <v/>
      </c>
      <c r="S8478" s="24" t="str" cm="1">
        <f t="array" ref="S8478">IFERROR(IF($B8478=S$1, ($A8478+$C8478) - MAX(IF($B$2:$B8477=$B8478, $A$2:$A8477+$C$2:$C8477)), "")*24*60, "")</f>
        <v/>
      </c>
    </row>
    <row r="8479" spans="1:19" x14ac:dyDescent="0.2">
      <c r="A8479" s="12">
        <f t="shared" ref="A8479:C8479" si="1579">A8478</f>
        <v>46029</v>
      </c>
      <c r="B8479" s="5" t="str">
        <f t="shared" si="1579"/>
        <v>Northern Cardinal</v>
      </c>
      <c r="C8479" s="6">
        <f t="shared" si="1579"/>
        <v>0.75</v>
      </c>
      <c r="D8479" s="5"/>
      <c r="E8479" s="5"/>
      <c r="F8479" s="5" t="s">
        <v>9</v>
      </c>
      <c r="G8479" s="15" t="s">
        <v>8</v>
      </c>
      <c r="H8479" s="24">
        <f t="shared" si="1521"/>
        <v>0</v>
      </c>
      <c r="I8479" s="24" cm="1">
        <f t="array" ref="I8479">IFERROR(IF($B8479=I$1, ($A8479+$C8479) - MAX(IF($B$2:$B8478=$B8479, $A$2:$A8478+$C$2:$C8478)), "")*24*60, "")</f>
        <v>0</v>
      </c>
      <c r="J8479" s="24" t="str" cm="1">
        <f t="array" ref="J8479">IFERROR(IF($B8479=J$1, ($A8479+$C8479) - MAX(IF($B$2:$B8478=$B8479, $A$2:$A8478+$C$2:$C8478)), "")*24*60, "")</f>
        <v/>
      </c>
      <c r="K8479" s="24" t="str" cm="1">
        <f t="array" ref="K8479">IFERROR(IF($B8479=K$1, ($A8479+$C8479) - MAX(IF($B$2:$B8478=$B8479, $A$2:$A8478+$C$2:$C8478)), "")*24*60, "")</f>
        <v/>
      </c>
      <c r="L8479" s="24" t="str" cm="1">
        <f t="array" ref="L8479">IFERROR(IF($B8479=L$1, ($A8479+$C8479) - MAX(IF($B$2:$B8478=$B8479, $A$2:$A8478+$C$2:$C8478)), "")*24*60, "")</f>
        <v/>
      </c>
      <c r="M8479" s="24" t="str" cm="1">
        <f t="array" ref="M8479">IFERROR(IF($B8479=M$1, ($A8479+$C8479) - MAX(IF($B$2:$B8478=$B8479, $A$2:$A8478+$C$2:$C8478)), "")*24*60, "")</f>
        <v/>
      </c>
      <c r="N8479" s="24" t="str" cm="1">
        <f t="array" ref="N8479">IFERROR(IF($B8479=N$1, ($A8479+$C8479) - MAX(IF($B$2:$B8478=$B8479, $A$2:$A8478+$C$2:$C8478)), "")*24*60, "")</f>
        <v/>
      </c>
      <c r="O8479" s="24" t="str" cm="1">
        <f t="array" ref="O8479">IFERROR(IF($B8479=O$1, ($A8479+$C8479) - MAX(IF($B$2:$B8478=$B8479, $A$2:$A8478+$C$2:$C8478)), "")*24*60, "")</f>
        <v/>
      </c>
      <c r="P8479" s="24" t="str" cm="1">
        <f t="array" ref="P8479">IFERROR(IF($B8479=P$1, ($A8479+$C8479) - MAX(IF($B$2:$B8478=$B8479, $A$2:$A8478+$C$2:$C8478)), "")*24*60, "")</f>
        <v/>
      </c>
      <c r="Q8479" s="24" t="str" cm="1">
        <f t="array" ref="Q8479">IFERROR(IF($B8479=Q$1, ($A8479+$C8479) - MAX(IF($B$2:$B8478=$B8479, $A$2:$A8478+$C$2:$C8478)), "")*24*60, "")</f>
        <v/>
      </c>
      <c r="R8479" s="24" t="str" cm="1">
        <f t="array" ref="R8479">IFERROR(IF($B8479=R$1, ($A8479+$C8479) - MAX(IF($B$2:$B8478=$B8479, $A$2:$A8478+$C$2:$C8478)), "")*24*60, "")</f>
        <v/>
      </c>
      <c r="S8479" s="24" t="str" cm="1">
        <f t="array" ref="S8479">IFERROR(IF($B8479=S$1, ($A8479+$C8479) - MAX(IF($B$2:$B8478=$B8479, $A$2:$A8478+$C$2:$C8478)), "")*24*60, "")</f>
        <v/>
      </c>
    </row>
    <row r="8480" spans="1:19" x14ac:dyDescent="0.2">
      <c r="A8480" s="12">
        <f t="shared" ref="A8480:C8480" si="1580">A8479</f>
        <v>46029</v>
      </c>
      <c r="B8480" s="5" t="str">
        <f t="shared" si="1580"/>
        <v>Northern Cardinal</v>
      </c>
      <c r="C8480" s="6">
        <f t="shared" si="1580"/>
        <v>0.75</v>
      </c>
      <c r="D8480" s="5"/>
      <c r="E8480" s="5"/>
      <c r="F8480" s="5" t="s">
        <v>9</v>
      </c>
      <c r="G8480" s="15" t="s">
        <v>8</v>
      </c>
      <c r="H8480" s="24">
        <f t="shared" si="1521"/>
        <v>0</v>
      </c>
      <c r="I8480" s="24" cm="1">
        <f t="array" ref="I8480">IFERROR(IF($B8480=I$1, ($A8480+$C8480) - MAX(IF($B$2:$B8479=$B8480, $A$2:$A8479+$C$2:$C8479)), "")*24*60, "")</f>
        <v>0</v>
      </c>
      <c r="J8480" s="24" t="str" cm="1">
        <f t="array" ref="J8480">IFERROR(IF($B8480=J$1, ($A8480+$C8480) - MAX(IF($B$2:$B8479=$B8480, $A$2:$A8479+$C$2:$C8479)), "")*24*60, "")</f>
        <v/>
      </c>
      <c r="K8480" s="24" t="str" cm="1">
        <f t="array" ref="K8480">IFERROR(IF($B8480=K$1, ($A8480+$C8480) - MAX(IF($B$2:$B8479=$B8480, $A$2:$A8479+$C$2:$C8479)), "")*24*60, "")</f>
        <v/>
      </c>
      <c r="L8480" s="24" t="str" cm="1">
        <f t="array" ref="L8480">IFERROR(IF($B8480=L$1, ($A8480+$C8480) - MAX(IF($B$2:$B8479=$B8480, $A$2:$A8479+$C$2:$C8479)), "")*24*60, "")</f>
        <v/>
      </c>
      <c r="M8480" s="24" t="str" cm="1">
        <f t="array" ref="M8480">IFERROR(IF($B8480=M$1, ($A8480+$C8480) - MAX(IF($B$2:$B8479=$B8480, $A$2:$A8479+$C$2:$C8479)), "")*24*60, "")</f>
        <v/>
      </c>
      <c r="N8480" s="24" t="str" cm="1">
        <f t="array" ref="N8480">IFERROR(IF($B8480=N$1, ($A8480+$C8480) - MAX(IF($B$2:$B8479=$B8480, $A$2:$A8479+$C$2:$C8479)), "")*24*60, "")</f>
        <v/>
      </c>
      <c r="O8480" s="24" t="str" cm="1">
        <f t="array" ref="O8480">IFERROR(IF($B8480=O$1, ($A8480+$C8480) - MAX(IF($B$2:$B8479=$B8480, $A$2:$A8479+$C$2:$C8479)), "")*24*60, "")</f>
        <v/>
      </c>
      <c r="P8480" s="24" t="str" cm="1">
        <f t="array" ref="P8480">IFERROR(IF($B8480=P$1, ($A8480+$C8480) - MAX(IF($B$2:$B8479=$B8480, $A$2:$A8479+$C$2:$C8479)), "")*24*60, "")</f>
        <v/>
      </c>
      <c r="Q8480" s="24" t="str" cm="1">
        <f t="array" ref="Q8480">IFERROR(IF($B8480=Q$1, ($A8480+$C8480) - MAX(IF($B$2:$B8479=$B8480, $A$2:$A8479+$C$2:$C8479)), "")*24*60, "")</f>
        <v/>
      </c>
      <c r="R8480" s="24" t="str" cm="1">
        <f t="array" ref="R8480">IFERROR(IF($B8480=R$1, ($A8480+$C8480) - MAX(IF($B$2:$B8479=$B8480, $A$2:$A8479+$C$2:$C8479)), "")*24*60, "")</f>
        <v/>
      </c>
      <c r="S8480" s="24" t="str" cm="1">
        <f t="array" ref="S8480">IFERROR(IF($B8480=S$1, ($A8480+$C8480) - MAX(IF($B$2:$B8479=$B8480, $A$2:$A8479+$C$2:$C8479)), "")*24*60, "")</f>
        <v/>
      </c>
    </row>
    <row r="8481" spans="1:19" x14ac:dyDescent="0.2">
      <c r="A8481" s="12">
        <f t="shared" ref="A8481:C8481" si="1581">A8480</f>
        <v>46029</v>
      </c>
      <c r="B8481" s="5" t="str">
        <f t="shared" si="1581"/>
        <v>Northern Cardinal</v>
      </c>
      <c r="C8481" s="6">
        <f t="shared" si="1581"/>
        <v>0.75</v>
      </c>
      <c r="D8481" s="5"/>
      <c r="E8481" s="5"/>
      <c r="F8481" s="5" t="s">
        <v>9</v>
      </c>
      <c r="G8481" s="15" t="s">
        <v>8</v>
      </c>
      <c r="H8481" s="24">
        <f t="shared" si="1521"/>
        <v>0</v>
      </c>
      <c r="I8481" s="24" cm="1">
        <f t="array" ref="I8481">IFERROR(IF($B8481=I$1, ($A8481+$C8481) - MAX(IF($B$2:$B8480=$B8481, $A$2:$A8480+$C$2:$C8480)), "")*24*60, "")</f>
        <v>0</v>
      </c>
      <c r="J8481" s="24" t="str" cm="1">
        <f t="array" ref="J8481">IFERROR(IF($B8481=J$1, ($A8481+$C8481) - MAX(IF($B$2:$B8480=$B8481, $A$2:$A8480+$C$2:$C8480)), "")*24*60, "")</f>
        <v/>
      </c>
      <c r="K8481" s="24" t="str" cm="1">
        <f t="array" ref="K8481">IFERROR(IF($B8481=K$1, ($A8481+$C8481) - MAX(IF($B$2:$B8480=$B8481, $A$2:$A8480+$C$2:$C8480)), "")*24*60, "")</f>
        <v/>
      </c>
      <c r="L8481" s="24" t="str" cm="1">
        <f t="array" ref="L8481">IFERROR(IF($B8481=L$1, ($A8481+$C8481) - MAX(IF($B$2:$B8480=$B8481, $A$2:$A8480+$C$2:$C8480)), "")*24*60, "")</f>
        <v/>
      </c>
      <c r="M8481" s="24" t="str" cm="1">
        <f t="array" ref="M8481">IFERROR(IF($B8481=M$1, ($A8481+$C8481) - MAX(IF($B$2:$B8480=$B8481, $A$2:$A8480+$C$2:$C8480)), "")*24*60, "")</f>
        <v/>
      </c>
      <c r="N8481" s="24" t="str" cm="1">
        <f t="array" ref="N8481">IFERROR(IF($B8481=N$1, ($A8481+$C8481) - MAX(IF($B$2:$B8480=$B8481, $A$2:$A8480+$C$2:$C8480)), "")*24*60, "")</f>
        <v/>
      </c>
      <c r="O8481" s="24" t="str" cm="1">
        <f t="array" ref="O8481">IFERROR(IF($B8481=O$1, ($A8481+$C8481) - MAX(IF($B$2:$B8480=$B8481, $A$2:$A8480+$C$2:$C8480)), "")*24*60, "")</f>
        <v/>
      </c>
      <c r="P8481" s="24" t="str" cm="1">
        <f t="array" ref="P8481">IFERROR(IF($B8481=P$1, ($A8481+$C8481) - MAX(IF($B$2:$B8480=$B8481, $A$2:$A8480+$C$2:$C8480)), "")*24*60, "")</f>
        <v/>
      </c>
      <c r="Q8481" s="24" t="str" cm="1">
        <f t="array" ref="Q8481">IFERROR(IF($B8481=Q$1, ($A8481+$C8481) - MAX(IF($B$2:$B8480=$B8481, $A$2:$A8480+$C$2:$C8480)), "")*24*60, "")</f>
        <v/>
      </c>
      <c r="R8481" s="24" t="str" cm="1">
        <f t="array" ref="R8481">IFERROR(IF($B8481=R$1, ($A8481+$C8481) - MAX(IF($B$2:$B8480=$B8481, $A$2:$A8480+$C$2:$C8480)), "")*24*60, "")</f>
        <v/>
      </c>
      <c r="S8481" s="24" t="str" cm="1">
        <f t="array" ref="S8481">IFERROR(IF($B8481=S$1, ($A8481+$C8481) - MAX(IF($B$2:$B8480=$B8481, $A$2:$A8480+$C$2:$C8480)), "")*24*60, "")</f>
        <v/>
      </c>
    </row>
    <row r="8482" spans="1:19" x14ac:dyDescent="0.2">
      <c r="A8482" s="12">
        <f t="shared" ref="A8482:C8482" si="1582">A8481</f>
        <v>46029</v>
      </c>
      <c r="B8482" s="5" t="str">
        <f t="shared" si="1582"/>
        <v>Northern Cardinal</v>
      </c>
      <c r="C8482" s="6">
        <f t="shared" si="1582"/>
        <v>0.75</v>
      </c>
      <c r="D8482" s="5"/>
      <c r="E8482" s="5"/>
      <c r="F8482" s="5" t="s">
        <v>9</v>
      </c>
      <c r="G8482" s="15" t="s">
        <v>8</v>
      </c>
      <c r="H8482" s="24">
        <f t="shared" si="1521"/>
        <v>0</v>
      </c>
      <c r="I8482" s="24" cm="1">
        <f t="array" ref="I8482">IFERROR(IF($B8482=I$1, ($A8482+$C8482) - MAX(IF($B$2:$B8481=$B8482, $A$2:$A8481+$C$2:$C8481)), "")*24*60, "")</f>
        <v>0</v>
      </c>
      <c r="J8482" s="24" t="str" cm="1">
        <f t="array" ref="J8482">IFERROR(IF($B8482=J$1, ($A8482+$C8482) - MAX(IF($B$2:$B8481=$B8482, $A$2:$A8481+$C$2:$C8481)), "")*24*60, "")</f>
        <v/>
      </c>
      <c r="K8482" s="24" t="str" cm="1">
        <f t="array" ref="K8482">IFERROR(IF($B8482=K$1, ($A8482+$C8482) - MAX(IF($B$2:$B8481=$B8482, $A$2:$A8481+$C$2:$C8481)), "")*24*60, "")</f>
        <v/>
      </c>
      <c r="L8482" s="24" t="str" cm="1">
        <f t="array" ref="L8482">IFERROR(IF($B8482=L$1, ($A8482+$C8482) - MAX(IF($B$2:$B8481=$B8482, $A$2:$A8481+$C$2:$C8481)), "")*24*60, "")</f>
        <v/>
      </c>
      <c r="M8482" s="24" t="str" cm="1">
        <f t="array" ref="M8482">IFERROR(IF($B8482=M$1, ($A8482+$C8482) - MAX(IF($B$2:$B8481=$B8482, $A$2:$A8481+$C$2:$C8481)), "")*24*60, "")</f>
        <v/>
      </c>
      <c r="N8482" s="24" t="str" cm="1">
        <f t="array" ref="N8482">IFERROR(IF($B8482=N$1, ($A8482+$C8482) - MAX(IF($B$2:$B8481=$B8482, $A$2:$A8481+$C$2:$C8481)), "")*24*60, "")</f>
        <v/>
      </c>
      <c r="O8482" s="24" t="str" cm="1">
        <f t="array" ref="O8482">IFERROR(IF($B8482=O$1, ($A8482+$C8482) - MAX(IF($B$2:$B8481=$B8482, $A$2:$A8481+$C$2:$C8481)), "")*24*60, "")</f>
        <v/>
      </c>
      <c r="P8482" s="24" t="str" cm="1">
        <f t="array" ref="P8482">IFERROR(IF($B8482=P$1, ($A8482+$C8482) - MAX(IF($B$2:$B8481=$B8482, $A$2:$A8481+$C$2:$C8481)), "")*24*60, "")</f>
        <v/>
      </c>
      <c r="Q8482" s="24" t="str" cm="1">
        <f t="array" ref="Q8482">IFERROR(IF($B8482=Q$1, ($A8482+$C8482) - MAX(IF($B$2:$B8481=$B8482, $A$2:$A8481+$C$2:$C8481)), "")*24*60, "")</f>
        <v/>
      </c>
      <c r="R8482" s="24" t="str" cm="1">
        <f t="array" ref="R8482">IFERROR(IF($B8482=R$1, ($A8482+$C8482) - MAX(IF($B$2:$B8481=$B8482, $A$2:$A8481+$C$2:$C8481)), "")*24*60, "")</f>
        <v/>
      </c>
      <c r="S8482" s="24" t="str" cm="1">
        <f t="array" ref="S8482">IFERROR(IF($B8482=S$1, ($A8482+$C8482) - MAX(IF($B$2:$B8481=$B8482, $A$2:$A8481+$C$2:$C8481)), "")*24*60, "")</f>
        <v/>
      </c>
    </row>
    <row r="8483" spans="1:19" x14ac:dyDescent="0.2">
      <c r="A8483" s="12">
        <f t="shared" ref="A8483:C8483" si="1583">A8482</f>
        <v>46029</v>
      </c>
      <c r="B8483" s="5" t="str">
        <f t="shared" si="1583"/>
        <v>Northern Cardinal</v>
      </c>
      <c r="C8483" s="6">
        <f t="shared" si="1583"/>
        <v>0.75</v>
      </c>
      <c r="D8483" s="5"/>
      <c r="E8483" s="5"/>
      <c r="F8483" s="5" t="s">
        <v>9</v>
      </c>
      <c r="G8483" s="15" t="s">
        <v>8</v>
      </c>
      <c r="H8483" s="24">
        <f t="shared" si="1521"/>
        <v>0</v>
      </c>
      <c r="I8483" s="24" cm="1">
        <f t="array" ref="I8483">IFERROR(IF($B8483=I$1, ($A8483+$C8483) - MAX(IF($B$2:$B8482=$B8483, $A$2:$A8482+$C$2:$C8482)), "")*24*60, "")</f>
        <v>0</v>
      </c>
      <c r="J8483" s="24" t="str" cm="1">
        <f t="array" ref="J8483">IFERROR(IF($B8483=J$1, ($A8483+$C8483) - MAX(IF($B$2:$B8482=$B8483, $A$2:$A8482+$C$2:$C8482)), "")*24*60, "")</f>
        <v/>
      </c>
      <c r="K8483" s="24" t="str" cm="1">
        <f t="array" ref="K8483">IFERROR(IF($B8483=K$1, ($A8483+$C8483) - MAX(IF($B$2:$B8482=$B8483, $A$2:$A8482+$C$2:$C8482)), "")*24*60, "")</f>
        <v/>
      </c>
      <c r="L8483" s="24" t="str" cm="1">
        <f t="array" ref="L8483">IFERROR(IF($B8483=L$1, ($A8483+$C8483) - MAX(IF($B$2:$B8482=$B8483, $A$2:$A8482+$C$2:$C8482)), "")*24*60, "")</f>
        <v/>
      </c>
      <c r="M8483" s="24" t="str" cm="1">
        <f t="array" ref="M8483">IFERROR(IF($B8483=M$1, ($A8483+$C8483) - MAX(IF($B$2:$B8482=$B8483, $A$2:$A8482+$C$2:$C8482)), "")*24*60, "")</f>
        <v/>
      </c>
      <c r="N8483" s="24" t="str" cm="1">
        <f t="array" ref="N8483">IFERROR(IF($B8483=N$1, ($A8483+$C8483) - MAX(IF($B$2:$B8482=$B8483, $A$2:$A8482+$C$2:$C8482)), "")*24*60, "")</f>
        <v/>
      </c>
      <c r="O8483" s="24" t="str" cm="1">
        <f t="array" ref="O8483">IFERROR(IF($B8483=O$1, ($A8483+$C8483) - MAX(IF($B$2:$B8482=$B8483, $A$2:$A8482+$C$2:$C8482)), "")*24*60, "")</f>
        <v/>
      </c>
      <c r="P8483" s="24" t="str" cm="1">
        <f t="array" ref="P8483">IFERROR(IF($B8483=P$1, ($A8483+$C8483) - MAX(IF($B$2:$B8482=$B8483, $A$2:$A8482+$C$2:$C8482)), "")*24*60, "")</f>
        <v/>
      </c>
      <c r="Q8483" s="24" t="str" cm="1">
        <f t="array" ref="Q8483">IFERROR(IF($B8483=Q$1, ($A8483+$C8483) - MAX(IF($B$2:$B8482=$B8483, $A$2:$A8482+$C$2:$C8482)), "")*24*60, "")</f>
        <v/>
      </c>
      <c r="R8483" s="24" t="str" cm="1">
        <f t="array" ref="R8483">IFERROR(IF($B8483=R$1, ($A8483+$C8483) - MAX(IF($B$2:$B8482=$B8483, $A$2:$A8482+$C$2:$C8482)), "")*24*60, "")</f>
        <v/>
      </c>
      <c r="S8483" s="24" t="str" cm="1">
        <f t="array" ref="S8483">IFERROR(IF($B8483=S$1, ($A8483+$C8483) - MAX(IF($B$2:$B8482=$B8483, $A$2:$A8482+$C$2:$C8482)), "")*24*60, "")</f>
        <v/>
      </c>
    </row>
    <row r="8484" spans="1:19" x14ac:dyDescent="0.2">
      <c r="A8484" s="12">
        <f t="shared" ref="A8484:C8484" si="1584">A8483</f>
        <v>46029</v>
      </c>
      <c r="B8484" s="5" t="str">
        <f t="shared" si="1584"/>
        <v>Northern Cardinal</v>
      </c>
      <c r="C8484" s="6">
        <f t="shared" si="1584"/>
        <v>0.75</v>
      </c>
      <c r="D8484" s="5"/>
      <c r="E8484" s="5"/>
      <c r="F8484" s="5" t="s">
        <v>9</v>
      </c>
      <c r="G8484" s="15" t="s">
        <v>8</v>
      </c>
      <c r="H8484" s="24">
        <f t="shared" si="1521"/>
        <v>0</v>
      </c>
      <c r="I8484" s="24" cm="1">
        <f t="array" ref="I8484">IFERROR(IF($B8484=I$1, ($A8484+$C8484) - MAX(IF($B$2:$B8483=$B8484, $A$2:$A8483+$C$2:$C8483)), "")*24*60, "")</f>
        <v>0</v>
      </c>
      <c r="J8484" s="24" t="str" cm="1">
        <f t="array" ref="J8484">IFERROR(IF($B8484=J$1, ($A8484+$C8484) - MAX(IF($B$2:$B8483=$B8484, $A$2:$A8483+$C$2:$C8483)), "")*24*60, "")</f>
        <v/>
      </c>
      <c r="K8484" s="24" t="str" cm="1">
        <f t="array" ref="K8484">IFERROR(IF($B8484=K$1, ($A8484+$C8484) - MAX(IF($B$2:$B8483=$B8484, $A$2:$A8483+$C$2:$C8483)), "")*24*60, "")</f>
        <v/>
      </c>
      <c r="L8484" s="24" t="str" cm="1">
        <f t="array" ref="L8484">IFERROR(IF($B8484=L$1, ($A8484+$C8484) - MAX(IF($B$2:$B8483=$B8484, $A$2:$A8483+$C$2:$C8483)), "")*24*60, "")</f>
        <v/>
      </c>
      <c r="M8484" s="24" t="str" cm="1">
        <f t="array" ref="M8484">IFERROR(IF($B8484=M$1, ($A8484+$C8484) - MAX(IF($B$2:$B8483=$B8484, $A$2:$A8483+$C$2:$C8483)), "")*24*60, "")</f>
        <v/>
      </c>
      <c r="N8484" s="24" t="str" cm="1">
        <f t="array" ref="N8484">IFERROR(IF($B8484=N$1, ($A8484+$C8484) - MAX(IF($B$2:$B8483=$B8484, $A$2:$A8483+$C$2:$C8483)), "")*24*60, "")</f>
        <v/>
      </c>
      <c r="O8484" s="24" t="str" cm="1">
        <f t="array" ref="O8484">IFERROR(IF($B8484=O$1, ($A8484+$C8484) - MAX(IF($B$2:$B8483=$B8484, $A$2:$A8483+$C$2:$C8483)), "")*24*60, "")</f>
        <v/>
      </c>
      <c r="P8484" s="24" t="str" cm="1">
        <f t="array" ref="P8484">IFERROR(IF($B8484=P$1, ($A8484+$C8484) - MAX(IF($B$2:$B8483=$B8484, $A$2:$A8483+$C$2:$C8483)), "")*24*60, "")</f>
        <v/>
      </c>
      <c r="Q8484" s="24" t="str" cm="1">
        <f t="array" ref="Q8484">IFERROR(IF($B8484=Q$1, ($A8484+$C8484) - MAX(IF($B$2:$B8483=$B8484, $A$2:$A8483+$C$2:$C8483)), "")*24*60, "")</f>
        <v/>
      </c>
      <c r="R8484" s="24" t="str" cm="1">
        <f t="array" ref="R8484">IFERROR(IF($B8484=R$1, ($A8484+$C8484) - MAX(IF($B$2:$B8483=$B8484, $A$2:$A8483+$C$2:$C8483)), "")*24*60, "")</f>
        <v/>
      </c>
      <c r="S8484" s="24" t="str" cm="1">
        <f t="array" ref="S8484">IFERROR(IF($B8484=S$1, ($A8484+$C8484) - MAX(IF($B$2:$B8483=$B8484, $A$2:$A8483+$C$2:$C8483)), "")*24*60, "")</f>
        <v/>
      </c>
    </row>
    <row r="8485" spans="1:19" x14ac:dyDescent="0.2">
      <c r="A8485" s="12">
        <f t="shared" ref="A8485:C8485" si="1585">A8484</f>
        <v>46029</v>
      </c>
      <c r="B8485" s="5" t="str">
        <f t="shared" si="1585"/>
        <v>Northern Cardinal</v>
      </c>
      <c r="C8485" s="6">
        <f t="shared" si="1585"/>
        <v>0.75</v>
      </c>
      <c r="D8485" s="5"/>
      <c r="E8485" s="5"/>
      <c r="F8485" s="5" t="s">
        <v>9</v>
      </c>
      <c r="G8485" s="15" t="s">
        <v>8</v>
      </c>
      <c r="H8485" s="24">
        <f t="shared" ref="H8485:H8548" si="1586">IFERROR((($A8485+$C8485) - ($A8484+$C8484))*24*60, "")</f>
        <v>0</v>
      </c>
      <c r="I8485" s="24" cm="1">
        <f t="array" ref="I8485">IFERROR(IF($B8485=I$1, ($A8485+$C8485) - MAX(IF($B$2:$B8484=$B8485, $A$2:$A8484+$C$2:$C8484)), "")*24*60, "")</f>
        <v>0</v>
      </c>
      <c r="J8485" s="24" t="str" cm="1">
        <f t="array" ref="J8485">IFERROR(IF($B8485=J$1, ($A8485+$C8485) - MAX(IF($B$2:$B8484=$B8485, $A$2:$A8484+$C$2:$C8484)), "")*24*60, "")</f>
        <v/>
      </c>
      <c r="K8485" s="24" t="str" cm="1">
        <f t="array" ref="K8485">IFERROR(IF($B8485=K$1, ($A8485+$C8485) - MAX(IF($B$2:$B8484=$B8485, $A$2:$A8484+$C$2:$C8484)), "")*24*60, "")</f>
        <v/>
      </c>
      <c r="L8485" s="24" t="str" cm="1">
        <f t="array" ref="L8485">IFERROR(IF($B8485=L$1, ($A8485+$C8485) - MAX(IF($B$2:$B8484=$B8485, $A$2:$A8484+$C$2:$C8484)), "")*24*60, "")</f>
        <v/>
      </c>
      <c r="M8485" s="24" t="str" cm="1">
        <f t="array" ref="M8485">IFERROR(IF($B8485=M$1, ($A8485+$C8485) - MAX(IF($B$2:$B8484=$B8485, $A$2:$A8484+$C$2:$C8484)), "")*24*60, "")</f>
        <v/>
      </c>
      <c r="N8485" s="24" t="str" cm="1">
        <f t="array" ref="N8485">IFERROR(IF($B8485=N$1, ($A8485+$C8485) - MAX(IF($B$2:$B8484=$B8485, $A$2:$A8484+$C$2:$C8484)), "")*24*60, "")</f>
        <v/>
      </c>
      <c r="O8485" s="24" t="str" cm="1">
        <f t="array" ref="O8485">IFERROR(IF($B8485=O$1, ($A8485+$C8485) - MAX(IF($B$2:$B8484=$B8485, $A$2:$A8484+$C$2:$C8484)), "")*24*60, "")</f>
        <v/>
      </c>
      <c r="P8485" s="24" t="str" cm="1">
        <f t="array" ref="P8485">IFERROR(IF($B8485=P$1, ($A8485+$C8485) - MAX(IF($B$2:$B8484=$B8485, $A$2:$A8484+$C$2:$C8484)), "")*24*60, "")</f>
        <v/>
      </c>
      <c r="Q8485" s="24" t="str" cm="1">
        <f t="array" ref="Q8485">IFERROR(IF($B8485=Q$1, ($A8485+$C8485) - MAX(IF($B$2:$B8484=$B8485, $A$2:$A8484+$C$2:$C8484)), "")*24*60, "")</f>
        <v/>
      </c>
      <c r="R8485" s="24" t="str" cm="1">
        <f t="array" ref="R8485">IFERROR(IF($B8485=R$1, ($A8485+$C8485) - MAX(IF($B$2:$B8484=$B8485, $A$2:$A8484+$C$2:$C8484)), "")*24*60, "")</f>
        <v/>
      </c>
      <c r="S8485" s="24" t="str" cm="1">
        <f t="array" ref="S8485">IFERROR(IF($B8485=S$1, ($A8485+$C8485) - MAX(IF($B$2:$B8484=$B8485, $A$2:$A8484+$C$2:$C8484)), "")*24*60, "")</f>
        <v/>
      </c>
    </row>
    <row r="8486" spans="1:19" x14ac:dyDescent="0.2">
      <c r="A8486" s="12">
        <f t="shared" ref="A8486:C8486" si="1587">A8485</f>
        <v>46029</v>
      </c>
      <c r="B8486" s="5" t="str">
        <f t="shared" si="1587"/>
        <v>Northern Cardinal</v>
      </c>
      <c r="C8486" s="6">
        <f t="shared" si="1587"/>
        <v>0.75</v>
      </c>
      <c r="D8486" s="5"/>
      <c r="E8486" s="5"/>
      <c r="F8486" s="5" t="s">
        <v>9</v>
      </c>
      <c r="G8486" s="15" t="s">
        <v>8</v>
      </c>
      <c r="H8486" s="24">
        <f t="shared" si="1586"/>
        <v>0</v>
      </c>
      <c r="I8486" s="24" cm="1">
        <f t="array" ref="I8486">IFERROR(IF($B8486=I$1, ($A8486+$C8486) - MAX(IF($B$2:$B8485=$B8486, $A$2:$A8485+$C$2:$C8485)), "")*24*60, "")</f>
        <v>0</v>
      </c>
      <c r="J8486" s="24" t="str" cm="1">
        <f t="array" ref="J8486">IFERROR(IF($B8486=J$1, ($A8486+$C8486) - MAX(IF($B$2:$B8485=$B8486, $A$2:$A8485+$C$2:$C8485)), "")*24*60, "")</f>
        <v/>
      </c>
      <c r="K8486" s="24" t="str" cm="1">
        <f t="array" ref="K8486">IFERROR(IF($B8486=K$1, ($A8486+$C8486) - MAX(IF($B$2:$B8485=$B8486, $A$2:$A8485+$C$2:$C8485)), "")*24*60, "")</f>
        <v/>
      </c>
      <c r="L8486" s="24" t="str" cm="1">
        <f t="array" ref="L8486">IFERROR(IF($B8486=L$1, ($A8486+$C8486) - MAX(IF($B$2:$B8485=$B8486, $A$2:$A8485+$C$2:$C8485)), "")*24*60, "")</f>
        <v/>
      </c>
      <c r="M8486" s="24" t="str" cm="1">
        <f t="array" ref="M8486">IFERROR(IF($B8486=M$1, ($A8486+$C8486) - MAX(IF($B$2:$B8485=$B8486, $A$2:$A8485+$C$2:$C8485)), "")*24*60, "")</f>
        <v/>
      </c>
      <c r="N8486" s="24" t="str" cm="1">
        <f t="array" ref="N8486">IFERROR(IF($B8486=N$1, ($A8486+$C8486) - MAX(IF($B$2:$B8485=$B8486, $A$2:$A8485+$C$2:$C8485)), "")*24*60, "")</f>
        <v/>
      </c>
      <c r="O8486" s="24" t="str" cm="1">
        <f t="array" ref="O8486">IFERROR(IF($B8486=O$1, ($A8486+$C8486) - MAX(IF($B$2:$B8485=$B8486, $A$2:$A8485+$C$2:$C8485)), "")*24*60, "")</f>
        <v/>
      </c>
      <c r="P8486" s="24" t="str" cm="1">
        <f t="array" ref="P8486">IFERROR(IF($B8486=P$1, ($A8486+$C8486) - MAX(IF($B$2:$B8485=$B8486, $A$2:$A8485+$C$2:$C8485)), "")*24*60, "")</f>
        <v/>
      </c>
      <c r="Q8486" s="24" t="str" cm="1">
        <f t="array" ref="Q8486">IFERROR(IF($B8486=Q$1, ($A8486+$C8486) - MAX(IF($B$2:$B8485=$B8486, $A$2:$A8485+$C$2:$C8485)), "")*24*60, "")</f>
        <v/>
      </c>
      <c r="R8486" s="24" t="str" cm="1">
        <f t="array" ref="R8486">IFERROR(IF($B8486=R$1, ($A8486+$C8486) - MAX(IF($B$2:$B8485=$B8486, $A$2:$A8485+$C$2:$C8485)), "")*24*60, "")</f>
        <v/>
      </c>
      <c r="S8486" s="24" t="str" cm="1">
        <f t="array" ref="S8486">IFERROR(IF($B8486=S$1, ($A8486+$C8486) - MAX(IF($B$2:$B8485=$B8486, $A$2:$A8485+$C$2:$C8485)), "")*24*60, "")</f>
        <v/>
      </c>
    </row>
    <row r="8487" spans="1:19" x14ac:dyDescent="0.2">
      <c r="A8487" s="12">
        <f t="shared" ref="A8487:C8487" si="1588">A8486</f>
        <v>46029</v>
      </c>
      <c r="B8487" s="5" t="str">
        <f t="shared" si="1588"/>
        <v>Northern Cardinal</v>
      </c>
      <c r="C8487" s="6">
        <f t="shared" si="1588"/>
        <v>0.75</v>
      </c>
      <c r="D8487" s="5"/>
      <c r="E8487" s="5"/>
      <c r="F8487" s="5" t="s">
        <v>9</v>
      </c>
      <c r="G8487" s="15" t="s">
        <v>8</v>
      </c>
      <c r="H8487" s="24">
        <f t="shared" si="1586"/>
        <v>0</v>
      </c>
      <c r="I8487" s="24" cm="1">
        <f t="array" ref="I8487">IFERROR(IF($B8487=I$1, ($A8487+$C8487) - MAX(IF($B$2:$B8486=$B8487, $A$2:$A8486+$C$2:$C8486)), "")*24*60, "")</f>
        <v>0</v>
      </c>
      <c r="J8487" s="24" t="str" cm="1">
        <f t="array" ref="J8487">IFERROR(IF($B8487=J$1, ($A8487+$C8487) - MAX(IF($B$2:$B8486=$B8487, $A$2:$A8486+$C$2:$C8486)), "")*24*60, "")</f>
        <v/>
      </c>
      <c r="K8487" s="24" t="str" cm="1">
        <f t="array" ref="K8487">IFERROR(IF($B8487=K$1, ($A8487+$C8487) - MAX(IF($B$2:$B8486=$B8487, $A$2:$A8486+$C$2:$C8486)), "")*24*60, "")</f>
        <v/>
      </c>
      <c r="L8487" s="24" t="str" cm="1">
        <f t="array" ref="L8487">IFERROR(IF($B8487=L$1, ($A8487+$C8487) - MAX(IF($B$2:$B8486=$B8487, $A$2:$A8486+$C$2:$C8486)), "")*24*60, "")</f>
        <v/>
      </c>
      <c r="M8487" s="24" t="str" cm="1">
        <f t="array" ref="M8487">IFERROR(IF($B8487=M$1, ($A8487+$C8487) - MAX(IF($B$2:$B8486=$B8487, $A$2:$A8486+$C$2:$C8486)), "")*24*60, "")</f>
        <v/>
      </c>
      <c r="N8487" s="24" t="str" cm="1">
        <f t="array" ref="N8487">IFERROR(IF($B8487=N$1, ($A8487+$C8487) - MAX(IF($B$2:$B8486=$B8487, $A$2:$A8486+$C$2:$C8486)), "")*24*60, "")</f>
        <v/>
      </c>
      <c r="O8487" s="24" t="str" cm="1">
        <f t="array" ref="O8487">IFERROR(IF($B8487=O$1, ($A8487+$C8487) - MAX(IF($B$2:$B8486=$B8487, $A$2:$A8486+$C$2:$C8486)), "")*24*60, "")</f>
        <v/>
      </c>
      <c r="P8487" s="24" t="str" cm="1">
        <f t="array" ref="P8487">IFERROR(IF($B8487=P$1, ($A8487+$C8487) - MAX(IF($B$2:$B8486=$B8487, $A$2:$A8486+$C$2:$C8486)), "")*24*60, "")</f>
        <v/>
      </c>
      <c r="Q8487" s="24" t="str" cm="1">
        <f t="array" ref="Q8487">IFERROR(IF($B8487=Q$1, ($A8487+$C8487) - MAX(IF($B$2:$B8486=$B8487, $A$2:$A8486+$C$2:$C8486)), "")*24*60, "")</f>
        <v/>
      </c>
      <c r="R8487" s="24" t="str" cm="1">
        <f t="array" ref="R8487">IFERROR(IF($B8487=R$1, ($A8487+$C8487) - MAX(IF($B$2:$B8486=$B8487, $A$2:$A8486+$C$2:$C8486)), "")*24*60, "")</f>
        <v/>
      </c>
      <c r="S8487" s="24" t="str" cm="1">
        <f t="array" ref="S8487">IFERROR(IF($B8487=S$1, ($A8487+$C8487) - MAX(IF($B$2:$B8486=$B8487, $A$2:$A8486+$C$2:$C8486)), "")*24*60, "")</f>
        <v/>
      </c>
    </row>
    <row r="8488" spans="1:19" x14ac:dyDescent="0.2">
      <c r="A8488" s="12">
        <f t="shared" ref="A8488:C8488" si="1589">A8487</f>
        <v>46029</v>
      </c>
      <c r="B8488" s="5" t="str">
        <f t="shared" si="1589"/>
        <v>Northern Cardinal</v>
      </c>
      <c r="C8488" s="6">
        <f t="shared" si="1589"/>
        <v>0.75</v>
      </c>
      <c r="D8488" s="5"/>
      <c r="E8488" s="5"/>
      <c r="F8488" s="5" t="s">
        <v>9</v>
      </c>
      <c r="G8488" s="15" t="s">
        <v>8</v>
      </c>
      <c r="H8488" s="24">
        <f t="shared" si="1586"/>
        <v>0</v>
      </c>
      <c r="I8488" s="24" cm="1">
        <f t="array" ref="I8488">IFERROR(IF($B8488=I$1, ($A8488+$C8488) - MAX(IF($B$2:$B8487=$B8488, $A$2:$A8487+$C$2:$C8487)), "")*24*60, "")</f>
        <v>0</v>
      </c>
      <c r="J8488" s="24" t="str" cm="1">
        <f t="array" ref="J8488">IFERROR(IF($B8488=J$1, ($A8488+$C8488) - MAX(IF($B$2:$B8487=$B8488, $A$2:$A8487+$C$2:$C8487)), "")*24*60, "")</f>
        <v/>
      </c>
      <c r="K8488" s="24" t="str" cm="1">
        <f t="array" ref="K8488">IFERROR(IF($B8488=K$1, ($A8488+$C8488) - MAX(IF($B$2:$B8487=$B8488, $A$2:$A8487+$C$2:$C8487)), "")*24*60, "")</f>
        <v/>
      </c>
      <c r="L8488" s="24" t="str" cm="1">
        <f t="array" ref="L8488">IFERROR(IF($B8488=L$1, ($A8488+$C8488) - MAX(IF($B$2:$B8487=$B8488, $A$2:$A8487+$C$2:$C8487)), "")*24*60, "")</f>
        <v/>
      </c>
      <c r="M8488" s="24" t="str" cm="1">
        <f t="array" ref="M8488">IFERROR(IF($B8488=M$1, ($A8488+$C8488) - MAX(IF($B$2:$B8487=$B8488, $A$2:$A8487+$C$2:$C8487)), "")*24*60, "")</f>
        <v/>
      </c>
      <c r="N8488" s="24" t="str" cm="1">
        <f t="array" ref="N8488">IFERROR(IF($B8488=N$1, ($A8488+$C8488) - MAX(IF($B$2:$B8487=$B8488, $A$2:$A8487+$C$2:$C8487)), "")*24*60, "")</f>
        <v/>
      </c>
      <c r="O8488" s="24" t="str" cm="1">
        <f t="array" ref="O8488">IFERROR(IF($B8488=O$1, ($A8488+$C8488) - MAX(IF($B$2:$B8487=$B8488, $A$2:$A8487+$C$2:$C8487)), "")*24*60, "")</f>
        <v/>
      </c>
      <c r="P8488" s="24" t="str" cm="1">
        <f t="array" ref="P8488">IFERROR(IF($B8488=P$1, ($A8488+$C8488) - MAX(IF($B$2:$B8487=$B8488, $A$2:$A8487+$C$2:$C8487)), "")*24*60, "")</f>
        <v/>
      </c>
      <c r="Q8488" s="24" t="str" cm="1">
        <f t="array" ref="Q8488">IFERROR(IF($B8488=Q$1, ($A8488+$C8488) - MAX(IF($B$2:$B8487=$B8488, $A$2:$A8487+$C$2:$C8487)), "")*24*60, "")</f>
        <v/>
      </c>
      <c r="R8488" s="24" t="str" cm="1">
        <f t="array" ref="R8488">IFERROR(IF($B8488=R$1, ($A8488+$C8488) - MAX(IF($B$2:$B8487=$B8488, $A$2:$A8487+$C$2:$C8487)), "")*24*60, "")</f>
        <v/>
      </c>
      <c r="S8488" s="24" t="str" cm="1">
        <f t="array" ref="S8488">IFERROR(IF($B8488=S$1, ($A8488+$C8488) - MAX(IF($B$2:$B8487=$B8488, $A$2:$A8487+$C$2:$C8487)), "")*24*60, "")</f>
        <v/>
      </c>
    </row>
    <row r="8489" spans="1:19" x14ac:dyDescent="0.2">
      <c r="A8489" s="12">
        <f t="shared" ref="A8489:C8489" si="1590">A8488</f>
        <v>46029</v>
      </c>
      <c r="B8489" s="5" t="str">
        <f t="shared" si="1590"/>
        <v>Northern Cardinal</v>
      </c>
      <c r="C8489" s="6">
        <f t="shared" si="1590"/>
        <v>0.75</v>
      </c>
      <c r="D8489" s="5"/>
      <c r="E8489" s="5"/>
      <c r="F8489" s="5" t="s">
        <v>9</v>
      </c>
      <c r="G8489" s="15" t="s">
        <v>8</v>
      </c>
      <c r="H8489" s="24">
        <f t="shared" si="1586"/>
        <v>0</v>
      </c>
      <c r="I8489" s="24" cm="1">
        <f t="array" ref="I8489">IFERROR(IF($B8489=I$1, ($A8489+$C8489) - MAX(IF($B$2:$B8488=$B8489, $A$2:$A8488+$C$2:$C8488)), "")*24*60, "")</f>
        <v>0</v>
      </c>
      <c r="J8489" s="24" t="str" cm="1">
        <f t="array" ref="J8489">IFERROR(IF($B8489=J$1, ($A8489+$C8489) - MAX(IF($B$2:$B8488=$B8489, $A$2:$A8488+$C$2:$C8488)), "")*24*60, "")</f>
        <v/>
      </c>
      <c r="K8489" s="24" t="str" cm="1">
        <f t="array" ref="K8489">IFERROR(IF($B8489=K$1, ($A8489+$C8489) - MAX(IF($B$2:$B8488=$B8489, $A$2:$A8488+$C$2:$C8488)), "")*24*60, "")</f>
        <v/>
      </c>
      <c r="L8489" s="24" t="str" cm="1">
        <f t="array" ref="L8489">IFERROR(IF($B8489=L$1, ($A8489+$C8489) - MAX(IF($B$2:$B8488=$B8489, $A$2:$A8488+$C$2:$C8488)), "")*24*60, "")</f>
        <v/>
      </c>
      <c r="M8489" s="24" t="str" cm="1">
        <f t="array" ref="M8489">IFERROR(IF($B8489=M$1, ($A8489+$C8489) - MAX(IF($B$2:$B8488=$B8489, $A$2:$A8488+$C$2:$C8488)), "")*24*60, "")</f>
        <v/>
      </c>
      <c r="N8489" s="24" t="str" cm="1">
        <f t="array" ref="N8489">IFERROR(IF($B8489=N$1, ($A8489+$C8489) - MAX(IF($B$2:$B8488=$B8489, $A$2:$A8488+$C$2:$C8488)), "")*24*60, "")</f>
        <v/>
      </c>
      <c r="O8489" s="24" t="str" cm="1">
        <f t="array" ref="O8489">IFERROR(IF($B8489=O$1, ($A8489+$C8489) - MAX(IF($B$2:$B8488=$B8489, $A$2:$A8488+$C$2:$C8488)), "")*24*60, "")</f>
        <v/>
      </c>
      <c r="P8489" s="24" t="str" cm="1">
        <f t="array" ref="P8489">IFERROR(IF($B8489=P$1, ($A8489+$C8489) - MAX(IF($B$2:$B8488=$B8489, $A$2:$A8488+$C$2:$C8488)), "")*24*60, "")</f>
        <v/>
      </c>
      <c r="Q8489" s="24" t="str" cm="1">
        <f t="array" ref="Q8489">IFERROR(IF($B8489=Q$1, ($A8489+$C8489) - MAX(IF($B$2:$B8488=$B8489, $A$2:$A8488+$C$2:$C8488)), "")*24*60, "")</f>
        <v/>
      </c>
      <c r="R8489" s="24" t="str" cm="1">
        <f t="array" ref="R8489">IFERROR(IF($B8489=R$1, ($A8489+$C8489) - MAX(IF($B$2:$B8488=$B8489, $A$2:$A8488+$C$2:$C8488)), "")*24*60, "")</f>
        <v/>
      </c>
      <c r="S8489" s="24" t="str" cm="1">
        <f t="array" ref="S8489">IFERROR(IF($B8489=S$1, ($A8489+$C8489) - MAX(IF($B$2:$B8488=$B8489, $A$2:$A8488+$C$2:$C8488)), "")*24*60, "")</f>
        <v/>
      </c>
    </row>
    <row r="8490" spans="1:19" x14ac:dyDescent="0.2">
      <c r="A8490" s="12">
        <f t="shared" ref="A8490:C8490" si="1591">A8489</f>
        <v>46029</v>
      </c>
      <c r="B8490" s="5" t="str">
        <f t="shared" si="1591"/>
        <v>Northern Cardinal</v>
      </c>
      <c r="C8490" s="6">
        <f t="shared" si="1591"/>
        <v>0.75</v>
      </c>
      <c r="D8490" s="5"/>
      <c r="E8490" s="5"/>
      <c r="F8490" s="5" t="s">
        <v>9</v>
      </c>
      <c r="G8490" s="15" t="s">
        <v>8</v>
      </c>
      <c r="H8490" s="24">
        <f t="shared" si="1586"/>
        <v>0</v>
      </c>
      <c r="I8490" s="24" cm="1">
        <f t="array" ref="I8490">IFERROR(IF($B8490=I$1, ($A8490+$C8490) - MAX(IF($B$2:$B8489=$B8490, $A$2:$A8489+$C$2:$C8489)), "")*24*60, "")</f>
        <v>0</v>
      </c>
      <c r="J8490" s="24" t="str" cm="1">
        <f t="array" ref="J8490">IFERROR(IF($B8490=J$1, ($A8490+$C8490) - MAX(IF($B$2:$B8489=$B8490, $A$2:$A8489+$C$2:$C8489)), "")*24*60, "")</f>
        <v/>
      </c>
      <c r="K8490" s="24" t="str" cm="1">
        <f t="array" ref="K8490">IFERROR(IF($B8490=K$1, ($A8490+$C8490) - MAX(IF($B$2:$B8489=$B8490, $A$2:$A8489+$C$2:$C8489)), "")*24*60, "")</f>
        <v/>
      </c>
      <c r="L8490" s="24" t="str" cm="1">
        <f t="array" ref="L8490">IFERROR(IF($B8490=L$1, ($A8490+$C8490) - MAX(IF($B$2:$B8489=$B8490, $A$2:$A8489+$C$2:$C8489)), "")*24*60, "")</f>
        <v/>
      </c>
      <c r="M8490" s="24" t="str" cm="1">
        <f t="array" ref="M8490">IFERROR(IF($B8490=M$1, ($A8490+$C8490) - MAX(IF($B$2:$B8489=$B8490, $A$2:$A8489+$C$2:$C8489)), "")*24*60, "")</f>
        <v/>
      </c>
      <c r="N8490" s="24" t="str" cm="1">
        <f t="array" ref="N8490">IFERROR(IF($B8490=N$1, ($A8490+$C8490) - MAX(IF($B$2:$B8489=$B8490, $A$2:$A8489+$C$2:$C8489)), "")*24*60, "")</f>
        <v/>
      </c>
      <c r="O8490" s="24" t="str" cm="1">
        <f t="array" ref="O8490">IFERROR(IF($B8490=O$1, ($A8490+$C8490) - MAX(IF($B$2:$B8489=$B8490, $A$2:$A8489+$C$2:$C8489)), "")*24*60, "")</f>
        <v/>
      </c>
      <c r="P8490" s="24" t="str" cm="1">
        <f t="array" ref="P8490">IFERROR(IF($B8490=P$1, ($A8490+$C8490) - MAX(IF($B$2:$B8489=$B8490, $A$2:$A8489+$C$2:$C8489)), "")*24*60, "")</f>
        <v/>
      </c>
      <c r="Q8490" s="24" t="str" cm="1">
        <f t="array" ref="Q8490">IFERROR(IF($B8490=Q$1, ($A8490+$C8490) - MAX(IF($B$2:$B8489=$B8490, $A$2:$A8489+$C$2:$C8489)), "")*24*60, "")</f>
        <v/>
      </c>
      <c r="R8490" s="24" t="str" cm="1">
        <f t="array" ref="R8490">IFERROR(IF($B8490=R$1, ($A8490+$C8490) - MAX(IF($B$2:$B8489=$B8490, $A$2:$A8489+$C$2:$C8489)), "")*24*60, "")</f>
        <v/>
      </c>
      <c r="S8490" s="24" t="str" cm="1">
        <f t="array" ref="S8490">IFERROR(IF($B8490=S$1, ($A8490+$C8490) - MAX(IF($B$2:$B8489=$B8490, $A$2:$A8489+$C$2:$C8489)), "")*24*60, "")</f>
        <v/>
      </c>
    </row>
    <row r="8491" spans="1:19" x14ac:dyDescent="0.2">
      <c r="A8491" s="12">
        <f t="shared" ref="A8491:C8491" si="1592">A8490</f>
        <v>46029</v>
      </c>
      <c r="B8491" s="5" t="str">
        <f t="shared" si="1592"/>
        <v>Northern Cardinal</v>
      </c>
      <c r="C8491" s="6">
        <f t="shared" si="1592"/>
        <v>0.75</v>
      </c>
      <c r="D8491" s="5"/>
      <c r="E8491" s="5"/>
      <c r="F8491" s="5" t="s">
        <v>9</v>
      </c>
      <c r="G8491" s="15" t="s">
        <v>8</v>
      </c>
      <c r="H8491" s="24">
        <f t="shared" si="1586"/>
        <v>0</v>
      </c>
      <c r="I8491" s="24" cm="1">
        <f t="array" ref="I8491">IFERROR(IF($B8491=I$1, ($A8491+$C8491) - MAX(IF($B$2:$B8490=$B8491, $A$2:$A8490+$C$2:$C8490)), "")*24*60, "")</f>
        <v>0</v>
      </c>
      <c r="J8491" s="24" t="str" cm="1">
        <f t="array" ref="J8491">IFERROR(IF($B8491=J$1, ($A8491+$C8491) - MAX(IF($B$2:$B8490=$B8491, $A$2:$A8490+$C$2:$C8490)), "")*24*60, "")</f>
        <v/>
      </c>
      <c r="K8491" s="24" t="str" cm="1">
        <f t="array" ref="K8491">IFERROR(IF($B8491=K$1, ($A8491+$C8491) - MAX(IF($B$2:$B8490=$B8491, $A$2:$A8490+$C$2:$C8490)), "")*24*60, "")</f>
        <v/>
      </c>
      <c r="L8491" s="24" t="str" cm="1">
        <f t="array" ref="L8491">IFERROR(IF($B8491=L$1, ($A8491+$C8491) - MAX(IF($B$2:$B8490=$B8491, $A$2:$A8490+$C$2:$C8490)), "")*24*60, "")</f>
        <v/>
      </c>
      <c r="M8491" s="24" t="str" cm="1">
        <f t="array" ref="M8491">IFERROR(IF($B8491=M$1, ($A8491+$C8491) - MAX(IF($B$2:$B8490=$B8491, $A$2:$A8490+$C$2:$C8490)), "")*24*60, "")</f>
        <v/>
      </c>
      <c r="N8491" s="24" t="str" cm="1">
        <f t="array" ref="N8491">IFERROR(IF($B8491=N$1, ($A8491+$C8491) - MAX(IF($B$2:$B8490=$B8491, $A$2:$A8490+$C$2:$C8490)), "")*24*60, "")</f>
        <v/>
      </c>
      <c r="O8491" s="24" t="str" cm="1">
        <f t="array" ref="O8491">IFERROR(IF($B8491=O$1, ($A8491+$C8491) - MAX(IF($B$2:$B8490=$B8491, $A$2:$A8490+$C$2:$C8490)), "")*24*60, "")</f>
        <v/>
      </c>
      <c r="P8491" s="24" t="str" cm="1">
        <f t="array" ref="P8491">IFERROR(IF($B8491=P$1, ($A8491+$C8491) - MAX(IF($B$2:$B8490=$B8491, $A$2:$A8490+$C$2:$C8490)), "")*24*60, "")</f>
        <v/>
      </c>
      <c r="Q8491" s="24" t="str" cm="1">
        <f t="array" ref="Q8491">IFERROR(IF($B8491=Q$1, ($A8491+$C8491) - MAX(IF($B$2:$B8490=$B8491, $A$2:$A8490+$C$2:$C8490)), "")*24*60, "")</f>
        <v/>
      </c>
      <c r="R8491" s="24" t="str" cm="1">
        <f t="array" ref="R8491">IFERROR(IF($B8491=R$1, ($A8491+$C8491) - MAX(IF($B$2:$B8490=$B8491, $A$2:$A8490+$C$2:$C8490)), "")*24*60, "")</f>
        <v/>
      </c>
      <c r="S8491" s="24" t="str" cm="1">
        <f t="array" ref="S8491">IFERROR(IF($B8491=S$1, ($A8491+$C8491) - MAX(IF($B$2:$B8490=$B8491, $A$2:$A8490+$C$2:$C8490)), "")*24*60, "")</f>
        <v/>
      </c>
    </row>
    <row r="8492" spans="1:19" x14ac:dyDescent="0.2">
      <c r="A8492" s="12">
        <f t="shared" ref="A8492:C8492" si="1593">A8491</f>
        <v>46029</v>
      </c>
      <c r="B8492" s="5" t="str">
        <f t="shared" si="1593"/>
        <v>Northern Cardinal</v>
      </c>
      <c r="C8492" s="6">
        <f t="shared" si="1593"/>
        <v>0.75</v>
      </c>
      <c r="D8492" s="5"/>
      <c r="E8492" s="5"/>
      <c r="F8492" s="5" t="s">
        <v>9</v>
      </c>
      <c r="G8492" s="15" t="s">
        <v>8</v>
      </c>
      <c r="H8492" s="24">
        <f t="shared" si="1586"/>
        <v>0</v>
      </c>
      <c r="I8492" s="24" cm="1">
        <f t="array" ref="I8492">IFERROR(IF($B8492=I$1, ($A8492+$C8492) - MAX(IF($B$2:$B8491=$B8492, $A$2:$A8491+$C$2:$C8491)), "")*24*60, "")</f>
        <v>0</v>
      </c>
      <c r="J8492" s="24" t="str" cm="1">
        <f t="array" ref="J8492">IFERROR(IF($B8492=J$1, ($A8492+$C8492) - MAX(IF($B$2:$B8491=$B8492, $A$2:$A8491+$C$2:$C8491)), "")*24*60, "")</f>
        <v/>
      </c>
      <c r="K8492" s="24" t="str" cm="1">
        <f t="array" ref="K8492">IFERROR(IF($B8492=K$1, ($A8492+$C8492) - MAX(IF($B$2:$B8491=$B8492, $A$2:$A8491+$C$2:$C8491)), "")*24*60, "")</f>
        <v/>
      </c>
      <c r="L8492" s="24" t="str" cm="1">
        <f t="array" ref="L8492">IFERROR(IF($B8492=L$1, ($A8492+$C8492) - MAX(IF($B$2:$B8491=$B8492, $A$2:$A8491+$C$2:$C8491)), "")*24*60, "")</f>
        <v/>
      </c>
      <c r="M8492" s="24" t="str" cm="1">
        <f t="array" ref="M8492">IFERROR(IF($B8492=M$1, ($A8492+$C8492) - MAX(IF($B$2:$B8491=$B8492, $A$2:$A8491+$C$2:$C8491)), "")*24*60, "")</f>
        <v/>
      </c>
      <c r="N8492" s="24" t="str" cm="1">
        <f t="array" ref="N8492">IFERROR(IF($B8492=N$1, ($A8492+$C8492) - MAX(IF($B$2:$B8491=$B8492, $A$2:$A8491+$C$2:$C8491)), "")*24*60, "")</f>
        <v/>
      </c>
      <c r="O8492" s="24" t="str" cm="1">
        <f t="array" ref="O8492">IFERROR(IF($B8492=O$1, ($A8492+$C8492) - MAX(IF($B$2:$B8491=$B8492, $A$2:$A8491+$C$2:$C8491)), "")*24*60, "")</f>
        <v/>
      </c>
      <c r="P8492" s="24" t="str" cm="1">
        <f t="array" ref="P8492">IFERROR(IF($B8492=P$1, ($A8492+$C8492) - MAX(IF($B$2:$B8491=$B8492, $A$2:$A8491+$C$2:$C8491)), "")*24*60, "")</f>
        <v/>
      </c>
      <c r="Q8492" s="24" t="str" cm="1">
        <f t="array" ref="Q8492">IFERROR(IF($B8492=Q$1, ($A8492+$C8492) - MAX(IF($B$2:$B8491=$B8492, $A$2:$A8491+$C$2:$C8491)), "")*24*60, "")</f>
        <v/>
      </c>
      <c r="R8492" s="24" t="str" cm="1">
        <f t="array" ref="R8492">IFERROR(IF($B8492=R$1, ($A8492+$C8492) - MAX(IF($B$2:$B8491=$B8492, $A$2:$A8491+$C$2:$C8491)), "")*24*60, "")</f>
        <v/>
      </c>
      <c r="S8492" s="24" t="str" cm="1">
        <f t="array" ref="S8492">IFERROR(IF($B8492=S$1, ($A8492+$C8492) - MAX(IF($B$2:$B8491=$B8492, $A$2:$A8491+$C$2:$C8491)), "")*24*60, "")</f>
        <v/>
      </c>
    </row>
    <row r="8493" spans="1:19" x14ac:dyDescent="0.2">
      <c r="A8493" s="12">
        <f t="shared" ref="A8493:C8493" si="1594">A8492</f>
        <v>46029</v>
      </c>
      <c r="B8493" s="5" t="str">
        <f t="shared" si="1594"/>
        <v>Northern Cardinal</v>
      </c>
      <c r="C8493" s="6">
        <f t="shared" si="1594"/>
        <v>0.75</v>
      </c>
      <c r="D8493" s="5"/>
      <c r="E8493" s="5"/>
      <c r="F8493" s="5" t="s">
        <v>9</v>
      </c>
      <c r="G8493" s="15" t="s">
        <v>8</v>
      </c>
      <c r="H8493" s="24">
        <f t="shared" si="1586"/>
        <v>0</v>
      </c>
      <c r="I8493" s="24" cm="1">
        <f t="array" ref="I8493">IFERROR(IF($B8493=I$1, ($A8493+$C8493) - MAX(IF($B$2:$B8492=$B8493, $A$2:$A8492+$C$2:$C8492)), "")*24*60, "")</f>
        <v>0</v>
      </c>
      <c r="J8493" s="24" t="str" cm="1">
        <f t="array" ref="J8493">IFERROR(IF($B8493=J$1, ($A8493+$C8493) - MAX(IF($B$2:$B8492=$B8493, $A$2:$A8492+$C$2:$C8492)), "")*24*60, "")</f>
        <v/>
      </c>
      <c r="K8493" s="24" t="str" cm="1">
        <f t="array" ref="K8493">IFERROR(IF($B8493=K$1, ($A8493+$C8493) - MAX(IF($B$2:$B8492=$B8493, $A$2:$A8492+$C$2:$C8492)), "")*24*60, "")</f>
        <v/>
      </c>
      <c r="L8493" s="24" t="str" cm="1">
        <f t="array" ref="L8493">IFERROR(IF($B8493=L$1, ($A8493+$C8493) - MAX(IF($B$2:$B8492=$B8493, $A$2:$A8492+$C$2:$C8492)), "")*24*60, "")</f>
        <v/>
      </c>
      <c r="M8493" s="24" t="str" cm="1">
        <f t="array" ref="M8493">IFERROR(IF($B8493=M$1, ($A8493+$C8493) - MAX(IF($B$2:$B8492=$B8493, $A$2:$A8492+$C$2:$C8492)), "")*24*60, "")</f>
        <v/>
      </c>
      <c r="N8493" s="24" t="str" cm="1">
        <f t="array" ref="N8493">IFERROR(IF($B8493=N$1, ($A8493+$C8493) - MAX(IF($B$2:$B8492=$B8493, $A$2:$A8492+$C$2:$C8492)), "")*24*60, "")</f>
        <v/>
      </c>
      <c r="O8493" s="24" t="str" cm="1">
        <f t="array" ref="O8493">IFERROR(IF($B8493=O$1, ($A8493+$C8493) - MAX(IF($B$2:$B8492=$B8493, $A$2:$A8492+$C$2:$C8492)), "")*24*60, "")</f>
        <v/>
      </c>
      <c r="P8493" s="24" t="str" cm="1">
        <f t="array" ref="P8493">IFERROR(IF($B8493=P$1, ($A8493+$C8493) - MAX(IF($B$2:$B8492=$B8493, $A$2:$A8492+$C$2:$C8492)), "")*24*60, "")</f>
        <v/>
      </c>
      <c r="Q8493" s="24" t="str" cm="1">
        <f t="array" ref="Q8493">IFERROR(IF($B8493=Q$1, ($A8493+$C8493) - MAX(IF($B$2:$B8492=$B8493, $A$2:$A8492+$C$2:$C8492)), "")*24*60, "")</f>
        <v/>
      </c>
      <c r="R8493" s="24" t="str" cm="1">
        <f t="array" ref="R8493">IFERROR(IF($B8493=R$1, ($A8493+$C8493) - MAX(IF($B$2:$B8492=$B8493, $A$2:$A8492+$C$2:$C8492)), "")*24*60, "")</f>
        <v/>
      </c>
      <c r="S8493" s="24" t="str" cm="1">
        <f t="array" ref="S8493">IFERROR(IF($B8493=S$1, ($A8493+$C8493) - MAX(IF($B$2:$B8492=$B8493, $A$2:$A8492+$C$2:$C8492)), "")*24*60, "")</f>
        <v/>
      </c>
    </row>
    <row r="8494" spans="1:19" x14ac:dyDescent="0.2">
      <c r="A8494" s="12">
        <f t="shared" ref="A8494:C8494" si="1595">A8493</f>
        <v>46029</v>
      </c>
      <c r="B8494" s="5" t="str">
        <f t="shared" si="1595"/>
        <v>Northern Cardinal</v>
      </c>
      <c r="C8494" s="6">
        <f t="shared" si="1595"/>
        <v>0.75</v>
      </c>
      <c r="D8494" s="5"/>
      <c r="E8494" s="5"/>
      <c r="F8494" s="5" t="s">
        <v>9</v>
      </c>
      <c r="G8494" s="15" t="s">
        <v>8</v>
      </c>
      <c r="H8494" s="24">
        <f t="shared" si="1586"/>
        <v>0</v>
      </c>
      <c r="I8494" s="24" cm="1">
        <f t="array" ref="I8494">IFERROR(IF($B8494=I$1, ($A8494+$C8494) - MAX(IF($B$2:$B8493=$B8494, $A$2:$A8493+$C$2:$C8493)), "")*24*60, "")</f>
        <v>0</v>
      </c>
      <c r="J8494" s="24" t="str" cm="1">
        <f t="array" ref="J8494">IFERROR(IF($B8494=J$1, ($A8494+$C8494) - MAX(IF($B$2:$B8493=$B8494, $A$2:$A8493+$C$2:$C8493)), "")*24*60, "")</f>
        <v/>
      </c>
      <c r="K8494" s="24" t="str" cm="1">
        <f t="array" ref="K8494">IFERROR(IF($B8494=K$1, ($A8494+$C8494) - MAX(IF($B$2:$B8493=$B8494, $A$2:$A8493+$C$2:$C8493)), "")*24*60, "")</f>
        <v/>
      </c>
      <c r="L8494" s="24" t="str" cm="1">
        <f t="array" ref="L8494">IFERROR(IF($B8494=L$1, ($A8494+$C8494) - MAX(IF($B$2:$B8493=$B8494, $A$2:$A8493+$C$2:$C8493)), "")*24*60, "")</f>
        <v/>
      </c>
      <c r="M8494" s="24" t="str" cm="1">
        <f t="array" ref="M8494">IFERROR(IF($B8494=M$1, ($A8494+$C8494) - MAX(IF($B$2:$B8493=$B8494, $A$2:$A8493+$C$2:$C8493)), "")*24*60, "")</f>
        <v/>
      </c>
      <c r="N8494" s="24" t="str" cm="1">
        <f t="array" ref="N8494">IFERROR(IF($B8494=N$1, ($A8494+$C8494) - MAX(IF($B$2:$B8493=$B8494, $A$2:$A8493+$C$2:$C8493)), "")*24*60, "")</f>
        <v/>
      </c>
      <c r="O8494" s="24" t="str" cm="1">
        <f t="array" ref="O8494">IFERROR(IF($B8494=O$1, ($A8494+$C8494) - MAX(IF($B$2:$B8493=$B8494, $A$2:$A8493+$C$2:$C8493)), "")*24*60, "")</f>
        <v/>
      </c>
      <c r="P8494" s="24" t="str" cm="1">
        <f t="array" ref="P8494">IFERROR(IF($B8494=P$1, ($A8494+$C8494) - MAX(IF($B$2:$B8493=$B8494, $A$2:$A8493+$C$2:$C8493)), "")*24*60, "")</f>
        <v/>
      </c>
      <c r="Q8494" s="24" t="str" cm="1">
        <f t="array" ref="Q8494">IFERROR(IF($B8494=Q$1, ($A8494+$C8494) - MAX(IF($B$2:$B8493=$B8494, $A$2:$A8493+$C$2:$C8493)), "")*24*60, "")</f>
        <v/>
      </c>
      <c r="R8494" s="24" t="str" cm="1">
        <f t="array" ref="R8494">IFERROR(IF($B8494=R$1, ($A8494+$C8494) - MAX(IF($B$2:$B8493=$B8494, $A$2:$A8493+$C$2:$C8493)), "")*24*60, "")</f>
        <v/>
      </c>
      <c r="S8494" s="24" t="str" cm="1">
        <f t="array" ref="S8494">IFERROR(IF($B8494=S$1, ($A8494+$C8494) - MAX(IF($B$2:$B8493=$B8494, $A$2:$A8493+$C$2:$C8493)), "")*24*60, "")</f>
        <v/>
      </c>
    </row>
    <row r="8495" spans="1:19" x14ac:dyDescent="0.2">
      <c r="A8495" s="12">
        <f t="shared" ref="A8495:C8495" si="1596">A8494</f>
        <v>46029</v>
      </c>
      <c r="B8495" s="5" t="str">
        <f t="shared" si="1596"/>
        <v>Northern Cardinal</v>
      </c>
      <c r="C8495" s="6">
        <f t="shared" si="1596"/>
        <v>0.75</v>
      </c>
      <c r="D8495" s="5"/>
      <c r="E8495" s="5"/>
      <c r="F8495" s="5" t="s">
        <v>9</v>
      </c>
      <c r="G8495" s="15" t="s">
        <v>8</v>
      </c>
      <c r="H8495" s="24">
        <f t="shared" si="1586"/>
        <v>0</v>
      </c>
      <c r="I8495" s="24" cm="1">
        <f t="array" ref="I8495">IFERROR(IF($B8495=I$1, ($A8495+$C8495) - MAX(IF($B$2:$B8494=$B8495, $A$2:$A8494+$C$2:$C8494)), "")*24*60, "")</f>
        <v>0</v>
      </c>
      <c r="J8495" s="24" t="str" cm="1">
        <f t="array" ref="J8495">IFERROR(IF($B8495=J$1, ($A8495+$C8495) - MAX(IF($B$2:$B8494=$B8495, $A$2:$A8494+$C$2:$C8494)), "")*24*60, "")</f>
        <v/>
      </c>
      <c r="K8495" s="24" t="str" cm="1">
        <f t="array" ref="K8495">IFERROR(IF($B8495=K$1, ($A8495+$C8495) - MAX(IF($B$2:$B8494=$B8495, $A$2:$A8494+$C$2:$C8494)), "")*24*60, "")</f>
        <v/>
      </c>
      <c r="L8495" s="24" t="str" cm="1">
        <f t="array" ref="L8495">IFERROR(IF($B8495=L$1, ($A8495+$C8495) - MAX(IF($B$2:$B8494=$B8495, $A$2:$A8494+$C$2:$C8494)), "")*24*60, "")</f>
        <v/>
      </c>
      <c r="M8495" s="24" t="str" cm="1">
        <f t="array" ref="M8495">IFERROR(IF($B8495=M$1, ($A8495+$C8495) - MAX(IF($B$2:$B8494=$B8495, $A$2:$A8494+$C$2:$C8494)), "")*24*60, "")</f>
        <v/>
      </c>
      <c r="N8495" s="24" t="str" cm="1">
        <f t="array" ref="N8495">IFERROR(IF($B8495=N$1, ($A8495+$C8495) - MAX(IF($B$2:$B8494=$B8495, $A$2:$A8494+$C$2:$C8494)), "")*24*60, "")</f>
        <v/>
      </c>
      <c r="O8495" s="24" t="str" cm="1">
        <f t="array" ref="O8495">IFERROR(IF($B8495=O$1, ($A8495+$C8495) - MAX(IF($B$2:$B8494=$B8495, $A$2:$A8494+$C$2:$C8494)), "")*24*60, "")</f>
        <v/>
      </c>
      <c r="P8495" s="24" t="str" cm="1">
        <f t="array" ref="P8495">IFERROR(IF($B8495=P$1, ($A8495+$C8495) - MAX(IF($B$2:$B8494=$B8495, $A$2:$A8494+$C$2:$C8494)), "")*24*60, "")</f>
        <v/>
      </c>
      <c r="Q8495" s="24" t="str" cm="1">
        <f t="array" ref="Q8495">IFERROR(IF($B8495=Q$1, ($A8495+$C8495) - MAX(IF($B$2:$B8494=$B8495, $A$2:$A8494+$C$2:$C8494)), "")*24*60, "")</f>
        <v/>
      </c>
      <c r="R8495" s="24" t="str" cm="1">
        <f t="array" ref="R8495">IFERROR(IF($B8495=R$1, ($A8495+$C8495) - MAX(IF($B$2:$B8494=$B8495, $A$2:$A8494+$C$2:$C8494)), "")*24*60, "")</f>
        <v/>
      </c>
      <c r="S8495" s="24" t="str" cm="1">
        <f t="array" ref="S8495">IFERROR(IF($B8495=S$1, ($A8495+$C8495) - MAX(IF($B$2:$B8494=$B8495, $A$2:$A8494+$C$2:$C8494)), "")*24*60, "")</f>
        <v/>
      </c>
    </row>
    <row r="8496" spans="1:19" x14ac:dyDescent="0.2">
      <c r="A8496" s="12">
        <f t="shared" ref="A8496:C8496" si="1597">A8495</f>
        <v>46029</v>
      </c>
      <c r="B8496" s="5" t="str">
        <f t="shared" si="1597"/>
        <v>Northern Cardinal</v>
      </c>
      <c r="C8496" s="6">
        <f t="shared" si="1597"/>
        <v>0.75</v>
      </c>
      <c r="D8496" s="5"/>
      <c r="E8496" s="5"/>
      <c r="F8496" s="5" t="s">
        <v>9</v>
      </c>
      <c r="G8496" s="15" t="s">
        <v>8</v>
      </c>
      <c r="H8496" s="24">
        <f t="shared" si="1586"/>
        <v>0</v>
      </c>
      <c r="I8496" s="24" cm="1">
        <f t="array" ref="I8496">IFERROR(IF($B8496=I$1, ($A8496+$C8496) - MAX(IF($B$2:$B8495=$B8496, $A$2:$A8495+$C$2:$C8495)), "")*24*60, "")</f>
        <v>0</v>
      </c>
      <c r="J8496" s="24" t="str" cm="1">
        <f t="array" ref="J8496">IFERROR(IF($B8496=J$1, ($A8496+$C8496) - MAX(IF($B$2:$B8495=$B8496, $A$2:$A8495+$C$2:$C8495)), "")*24*60, "")</f>
        <v/>
      </c>
      <c r="K8496" s="24" t="str" cm="1">
        <f t="array" ref="K8496">IFERROR(IF($B8496=K$1, ($A8496+$C8496) - MAX(IF($B$2:$B8495=$B8496, $A$2:$A8495+$C$2:$C8495)), "")*24*60, "")</f>
        <v/>
      </c>
      <c r="L8496" s="24" t="str" cm="1">
        <f t="array" ref="L8496">IFERROR(IF($B8496=L$1, ($A8496+$C8496) - MAX(IF($B$2:$B8495=$B8496, $A$2:$A8495+$C$2:$C8495)), "")*24*60, "")</f>
        <v/>
      </c>
      <c r="M8496" s="24" t="str" cm="1">
        <f t="array" ref="M8496">IFERROR(IF($B8496=M$1, ($A8496+$C8496) - MAX(IF($B$2:$B8495=$B8496, $A$2:$A8495+$C$2:$C8495)), "")*24*60, "")</f>
        <v/>
      </c>
      <c r="N8496" s="24" t="str" cm="1">
        <f t="array" ref="N8496">IFERROR(IF($B8496=N$1, ($A8496+$C8496) - MAX(IF($B$2:$B8495=$B8496, $A$2:$A8495+$C$2:$C8495)), "")*24*60, "")</f>
        <v/>
      </c>
      <c r="O8496" s="24" t="str" cm="1">
        <f t="array" ref="O8496">IFERROR(IF($B8496=O$1, ($A8496+$C8496) - MAX(IF($B$2:$B8495=$B8496, $A$2:$A8495+$C$2:$C8495)), "")*24*60, "")</f>
        <v/>
      </c>
      <c r="P8496" s="24" t="str" cm="1">
        <f t="array" ref="P8496">IFERROR(IF($B8496=P$1, ($A8496+$C8496) - MAX(IF($B$2:$B8495=$B8496, $A$2:$A8495+$C$2:$C8495)), "")*24*60, "")</f>
        <v/>
      </c>
      <c r="Q8496" s="24" t="str" cm="1">
        <f t="array" ref="Q8496">IFERROR(IF($B8496=Q$1, ($A8496+$C8496) - MAX(IF($B$2:$B8495=$B8496, $A$2:$A8495+$C$2:$C8495)), "")*24*60, "")</f>
        <v/>
      </c>
      <c r="R8496" s="24" t="str" cm="1">
        <f t="array" ref="R8496">IFERROR(IF($B8496=R$1, ($A8496+$C8496) - MAX(IF($B$2:$B8495=$B8496, $A$2:$A8495+$C$2:$C8495)), "")*24*60, "")</f>
        <v/>
      </c>
      <c r="S8496" s="24" t="str" cm="1">
        <f t="array" ref="S8496">IFERROR(IF($B8496=S$1, ($A8496+$C8496) - MAX(IF($B$2:$B8495=$B8496, $A$2:$A8495+$C$2:$C8495)), "")*24*60, "")</f>
        <v/>
      </c>
    </row>
    <row r="8497" spans="1:19" x14ac:dyDescent="0.2">
      <c r="A8497" s="12">
        <f t="shared" ref="A8497:C8497" si="1598">A8496</f>
        <v>46029</v>
      </c>
      <c r="B8497" s="5" t="str">
        <f t="shared" si="1598"/>
        <v>Northern Cardinal</v>
      </c>
      <c r="C8497" s="6">
        <f t="shared" si="1598"/>
        <v>0.75</v>
      </c>
      <c r="D8497" s="5"/>
      <c r="E8497" s="5"/>
      <c r="F8497" s="5" t="s">
        <v>9</v>
      </c>
      <c r="G8497" s="15" t="s">
        <v>8</v>
      </c>
      <c r="H8497" s="24">
        <f t="shared" si="1586"/>
        <v>0</v>
      </c>
      <c r="I8497" s="24" cm="1">
        <f t="array" ref="I8497">IFERROR(IF($B8497=I$1, ($A8497+$C8497) - MAX(IF($B$2:$B8496=$B8497, $A$2:$A8496+$C$2:$C8496)), "")*24*60, "")</f>
        <v>0</v>
      </c>
      <c r="J8497" s="24" t="str" cm="1">
        <f t="array" ref="J8497">IFERROR(IF($B8497=J$1, ($A8497+$C8497) - MAX(IF($B$2:$B8496=$B8497, $A$2:$A8496+$C$2:$C8496)), "")*24*60, "")</f>
        <v/>
      </c>
      <c r="K8497" s="24" t="str" cm="1">
        <f t="array" ref="K8497">IFERROR(IF($B8497=K$1, ($A8497+$C8497) - MAX(IF($B$2:$B8496=$B8497, $A$2:$A8496+$C$2:$C8496)), "")*24*60, "")</f>
        <v/>
      </c>
      <c r="L8497" s="24" t="str" cm="1">
        <f t="array" ref="L8497">IFERROR(IF($B8497=L$1, ($A8497+$C8497) - MAX(IF($B$2:$B8496=$B8497, $A$2:$A8496+$C$2:$C8496)), "")*24*60, "")</f>
        <v/>
      </c>
      <c r="M8497" s="24" t="str" cm="1">
        <f t="array" ref="M8497">IFERROR(IF($B8497=M$1, ($A8497+$C8497) - MAX(IF($B$2:$B8496=$B8497, $A$2:$A8496+$C$2:$C8496)), "")*24*60, "")</f>
        <v/>
      </c>
      <c r="N8497" s="24" t="str" cm="1">
        <f t="array" ref="N8497">IFERROR(IF($B8497=N$1, ($A8497+$C8497) - MAX(IF($B$2:$B8496=$B8497, $A$2:$A8496+$C$2:$C8496)), "")*24*60, "")</f>
        <v/>
      </c>
      <c r="O8497" s="24" t="str" cm="1">
        <f t="array" ref="O8497">IFERROR(IF($B8497=O$1, ($A8497+$C8497) - MAX(IF($B$2:$B8496=$B8497, $A$2:$A8496+$C$2:$C8496)), "")*24*60, "")</f>
        <v/>
      </c>
      <c r="P8497" s="24" t="str" cm="1">
        <f t="array" ref="P8497">IFERROR(IF($B8497=P$1, ($A8497+$C8497) - MAX(IF($B$2:$B8496=$B8497, $A$2:$A8496+$C$2:$C8496)), "")*24*60, "")</f>
        <v/>
      </c>
      <c r="Q8497" s="24" t="str" cm="1">
        <f t="array" ref="Q8497">IFERROR(IF($B8497=Q$1, ($A8497+$C8497) - MAX(IF($B$2:$B8496=$B8497, $A$2:$A8496+$C$2:$C8496)), "")*24*60, "")</f>
        <v/>
      </c>
      <c r="R8497" s="24" t="str" cm="1">
        <f t="array" ref="R8497">IFERROR(IF($B8497=R$1, ($A8497+$C8497) - MAX(IF($B$2:$B8496=$B8497, $A$2:$A8496+$C$2:$C8496)), "")*24*60, "")</f>
        <v/>
      </c>
      <c r="S8497" s="24" t="str" cm="1">
        <f t="array" ref="S8497">IFERROR(IF($B8497=S$1, ($A8497+$C8497) - MAX(IF($B$2:$B8496=$B8497, $A$2:$A8496+$C$2:$C8496)), "")*24*60, "")</f>
        <v/>
      </c>
    </row>
    <row r="8498" spans="1:19" x14ac:dyDescent="0.2">
      <c r="A8498" s="12">
        <f t="shared" ref="A8498:C8498" si="1599">A8497</f>
        <v>46029</v>
      </c>
      <c r="B8498" s="5" t="str">
        <f t="shared" si="1599"/>
        <v>Northern Cardinal</v>
      </c>
      <c r="C8498" s="6">
        <f t="shared" si="1599"/>
        <v>0.75</v>
      </c>
      <c r="D8498" s="5"/>
      <c r="E8498" s="5"/>
      <c r="F8498" s="5" t="s">
        <v>9</v>
      </c>
      <c r="G8498" s="15" t="s">
        <v>8</v>
      </c>
      <c r="H8498" s="24">
        <f t="shared" si="1586"/>
        <v>0</v>
      </c>
      <c r="I8498" s="24" cm="1">
        <f t="array" ref="I8498">IFERROR(IF($B8498=I$1, ($A8498+$C8498) - MAX(IF($B$2:$B8497=$B8498, $A$2:$A8497+$C$2:$C8497)), "")*24*60, "")</f>
        <v>0</v>
      </c>
      <c r="J8498" s="24" t="str" cm="1">
        <f t="array" ref="J8498">IFERROR(IF($B8498=J$1, ($A8498+$C8498) - MAX(IF($B$2:$B8497=$B8498, $A$2:$A8497+$C$2:$C8497)), "")*24*60, "")</f>
        <v/>
      </c>
      <c r="K8498" s="24" t="str" cm="1">
        <f t="array" ref="K8498">IFERROR(IF($B8498=K$1, ($A8498+$C8498) - MAX(IF($B$2:$B8497=$B8498, $A$2:$A8497+$C$2:$C8497)), "")*24*60, "")</f>
        <v/>
      </c>
      <c r="L8498" s="24" t="str" cm="1">
        <f t="array" ref="L8498">IFERROR(IF($B8498=L$1, ($A8498+$C8498) - MAX(IF($B$2:$B8497=$B8498, $A$2:$A8497+$C$2:$C8497)), "")*24*60, "")</f>
        <v/>
      </c>
      <c r="M8498" s="24" t="str" cm="1">
        <f t="array" ref="M8498">IFERROR(IF($B8498=M$1, ($A8498+$C8498) - MAX(IF($B$2:$B8497=$B8498, $A$2:$A8497+$C$2:$C8497)), "")*24*60, "")</f>
        <v/>
      </c>
      <c r="N8498" s="24" t="str" cm="1">
        <f t="array" ref="N8498">IFERROR(IF($B8498=N$1, ($A8498+$C8498) - MAX(IF($B$2:$B8497=$B8498, $A$2:$A8497+$C$2:$C8497)), "")*24*60, "")</f>
        <v/>
      </c>
      <c r="O8498" s="24" t="str" cm="1">
        <f t="array" ref="O8498">IFERROR(IF($B8498=O$1, ($A8498+$C8498) - MAX(IF($B$2:$B8497=$B8498, $A$2:$A8497+$C$2:$C8497)), "")*24*60, "")</f>
        <v/>
      </c>
      <c r="P8498" s="24" t="str" cm="1">
        <f t="array" ref="P8498">IFERROR(IF($B8498=P$1, ($A8498+$C8498) - MAX(IF($B$2:$B8497=$B8498, $A$2:$A8497+$C$2:$C8497)), "")*24*60, "")</f>
        <v/>
      </c>
      <c r="Q8498" s="24" t="str" cm="1">
        <f t="array" ref="Q8498">IFERROR(IF($B8498=Q$1, ($A8498+$C8498) - MAX(IF($B$2:$B8497=$B8498, $A$2:$A8497+$C$2:$C8497)), "")*24*60, "")</f>
        <v/>
      </c>
      <c r="R8498" s="24" t="str" cm="1">
        <f t="array" ref="R8498">IFERROR(IF($B8498=R$1, ($A8498+$C8498) - MAX(IF($B$2:$B8497=$B8498, $A$2:$A8497+$C$2:$C8497)), "")*24*60, "")</f>
        <v/>
      </c>
      <c r="S8498" s="24" t="str" cm="1">
        <f t="array" ref="S8498">IFERROR(IF($B8498=S$1, ($A8498+$C8498) - MAX(IF($B$2:$B8497=$B8498, $A$2:$A8497+$C$2:$C8497)), "")*24*60, "")</f>
        <v/>
      </c>
    </row>
    <row r="8499" spans="1:19" x14ac:dyDescent="0.2">
      <c r="A8499" s="12">
        <f t="shared" ref="A8499:C8499" si="1600">A8498</f>
        <v>46029</v>
      </c>
      <c r="B8499" s="5" t="str">
        <f t="shared" si="1600"/>
        <v>Northern Cardinal</v>
      </c>
      <c r="C8499" s="6">
        <f t="shared" si="1600"/>
        <v>0.75</v>
      </c>
      <c r="D8499" s="5"/>
      <c r="E8499" s="5"/>
      <c r="F8499" s="5" t="s">
        <v>9</v>
      </c>
      <c r="G8499" s="15" t="s">
        <v>8</v>
      </c>
      <c r="H8499" s="24">
        <f t="shared" si="1586"/>
        <v>0</v>
      </c>
      <c r="I8499" s="24" cm="1">
        <f t="array" ref="I8499">IFERROR(IF($B8499=I$1, ($A8499+$C8499) - MAX(IF($B$2:$B8498=$B8499, $A$2:$A8498+$C$2:$C8498)), "")*24*60, "")</f>
        <v>0</v>
      </c>
      <c r="J8499" s="24" t="str" cm="1">
        <f t="array" ref="J8499">IFERROR(IF($B8499=J$1, ($A8499+$C8499) - MAX(IF($B$2:$B8498=$B8499, $A$2:$A8498+$C$2:$C8498)), "")*24*60, "")</f>
        <v/>
      </c>
      <c r="K8499" s="24" t="str" cm="1">
        <f t="array" ref="K8499">IFERROR(IF($B8499=K$1, ($A8499+$C8499) - MAX(IF($B$2:$B8498=$B8499, $A$2:$A8498+$C$2:$C8498)), "")*24*60, "")</f>
        <v/>
      </c>
      <c r="L8499" s="24" t="str" cm="1">
        <f t="array" ref="L8499">IFERROR(IF($B8499=L$1, ($A8499+$C8499) - MAX(IF($B$2:$B8498=$B8499, $A$2:$A8498+$C$2:$C8498)), "")*24*60, "")</f>
        <v/>
      </c>
      <c r="M8499" s="24" t="str" cm="1">
        <f t="array" ref="M8499">IFERROR(IF($B8499=M$1, ($A8499+$C8499) - MAX(IF($B$2:$B8498=$B8499, $A$2:$A8498+$C$2:$C8498)), "")*24*60, "")</f>
        <v/>
      </c>
      <c r="N8499" s="24" t="str" cm="1">
        <f t="array" ref="N8499">IFERROR(IF($B8499=N$1, ($A8499+$C8499) - MAX(IF($B$2:$B8498=$B8499, $A$2:$A8498+$C$2:$C8498)), "")*24*60, "")</f>
        <v/>
      </c>
      <c r="O8499" s="24" t="str" cm="1">
        <f t="array" ref="O8499">IFERROR(IF($B8499=O$1, ($A8499+$C8499) - MAX(IF($B$2:$B8498=$B8499, $A$2:$A8498+$C$2:$C8498)), "")*24*60, "")</f>
        <v/>
      </c>
      <c r="P8499" s="24" t="str" cm="1">
        <f t="array" ref="P8499">IFERROR(IF($B8499=P$1, ($A8499+$C8499) - MAX(IF($B$2:$B8498=$B8499, $A$2:$A8498+$C$2:$C8498)), "")*24*60, "")</f>
        <v/>
      </c>
      <c r="Q8499" s="24" t="str" cm="1">
        <f t="array" ref="Q8499">IFERROR(IF($B8499=Q$1, ($A8499+$C8499) - MAX(IF($B$2:$B8498=$B8499, $A$2:$A8498+$C$2:$C8498)), "")*24*60, "")</f>
        <v/>
      </c>
      <c r="R8499" s="24" t="str" cm="1">
        <f t="array" ref="R8499">IFERROR(IF($B8499=R$1, ($A8499+$C8499) - MAX(IF($B$2:$B8498=$B8499, $A$2:$A8498+$C$2:$C8498)), "")*24*60, "")</f>
        <v/>
      </c>
      <c r="S8499" s="24" t="str" cm="1">
        <f t="array" ref="S8499">IFERROR(IF($B8499=S$1, ($A8499+$C8499) - MAX(IF($B$2:$B8498=$B8499, $A$2:$A8498+$C$2:$C8498)), "")*24*60, "")</f>
        <v/>
      </c>
    </row>
    <row r="8500" spans="1:19" x14ac:dyDescent="0.2">
      <c r="A8500" s="12">
        <f t="shared" ref="A8500:C8500" si="1601">A8499</f>
        <v>46029</v>
      </c>
      <c r="B8500" s="5" t="str">
        <f t="shared" si="1601"/>
        <v>Northern Cardinal</v>
      </c>
      <c r="C8500" s="6">
        <f t="shared" si="1601"/>
        <v>0.75</v>
      </c>
      <c r="D8500" s="5"/>
      <c r="E8500" s="5"/>
      <c r="F8500" s="5" t="s">
        <v>9</v>
      </c>
      <c r="G8500" s="15" t="s">
        <v>8</v>
      </c>
      <c r="H8500" s="24">
        <f t="shared" si="1586"/>
        <v>0</v>
      </c>
      <c r="I8500" s="24" cm="1">
        <f t="array" ref="I8500">IFERROR(IF($B8500=I$1, ($A8500+$C8500) - MAX(IF($B$2:$B8499=$B8500, $A$2:$A8499+$C$2:$C8499)), "")*24*60, "")</f>
        <v>0</v>
      </c>
      <c r="J8500" s="24" t="str" cm="1">
        <f t="array" ref="J8500">IFERROR(IF($B8500=J$1, ($A8500+$C8500) - MAX(IF($B$2:$B8499=$B8500, $A$2:$A8499+$C$2:$C8499)), "")*24*60, "")</f>
        <v/>
      </c>
      <c r="K8500" s="24" t="str" cm="1">
        <f t="array" ref="K8500">IFERROR(IF($B8500=K$1, ($A8500+$C8500) - MAX(IF($B$2:$B8499=$B8500, $A$2:$A8499+$C$2:$C8499)), "")*24*60, "")</f>
        <v/>
      </c>
      <c r="L8500" s="24" t="str" cm="1">
        <f t="array" ref="L8500">IFERROR(IF($B8500=L$1, ($A8500+$C8500) - MAX(IF($B$2:$B8499=$B8500, $A$2:$A8499+$C$2:$C8499)), "")*24*60, "")</f>
        <v/>
      </c>
      <c r="M8500" s="24" t="str" cm="1">
        <f t="array" ref="M8500">IFERROR(IF($B8500=M$1, ($A8500+$C8500) - MAX(IF($B$2:$B8499=$B8500, $A$2:$A8499+$C$2:$C8499)), "")*24*60, "")</f>
        <v/>
      </c>
      <c r="N8500" s="24" t="str" cm="1">
        <f t="array" ref="N8500">IFERROR(IF($B8500=N$1, ($A8500+$C8500) - MAX(IF($B$2:$B8499=$B8500, $A$2:$A8499+$C$2:$C8499)), "")*24*60, "")</f>
        <v/>
      </c>
      <c r="O8500" s="24" t="str" cm="1">
        <f t="array" ref="O8500">IFERROR(IF($B8500=O$1, ($A8500+$C8500) - MAX(IF($B$2:$B8499=$B8500, $A$2:$A8499+$C$2:$C8499)), "")*24*60, "")</f>
        <v/>
      </c>
      <c r="P8500" s="24" t="str" cm="1">
        <f t="array" ref="P8500">IFERROR(IF($B8500=P$1, ($A8500+$C8500) - MAX(IF($B$2:$B8499=$B8500, $A$2:$A8499+$C$2:$C8499)), "")*24*60, "")</f>
        <v/>
      </c>
      <c r="Q8500" s="24" t="str" cm="1">
        <f t="array" ref="Q8500">IFERROR(IF($B8500=Q$1, ($A8500+$C8500) - MAX(IF($B$2:$B8499=$B8500, $A$2:$A8499+$C$2:$C8499)), "")*24*60, "")</f>
        <v/>
      </c>
      <c r="R8500" s="24" t="str" cm="1">
        <f t="array" ref="R8500">IFERROR(IF($B8500=R$1, ($A8500+$C8500) - MAX(IF($B$2:$B8499=$B8500, $A$2:$A8499+$C$2:$C8499)), "")*24*60, "")</f>
        <v/>
      </c>
      <c r="S8500" s="24" t="str" cm="1">
        <f t="array" ref="S8500">IFERROR(IF($B8500=S$1, ($A8500+$C8500) - MAX(IF($B$2:$B8499=$B8500, $A$2:$A8499+$C$2:$C8499)), "")*24*60, "")</f>
        <v/>
      </c>
    </row>
    <row r="8501" spans="1:19" x14ac:dyDescent="0.2">
      <c r="A8501" s="12">
        <f t="shared" ref="A8501:C8501" si="1602">A8500</f>
        <v>46029</v>
      </c>
      <c r="B8501" s="5" t="str">
        <f t="shared" si="1602"/>
        <v>Northern Cardinal</v>
      </c>
      <c r="C8501" s="6">
        <f t="shared" si="1602"/>
        <v>0.75</v>
      </c>
      <c r="D8501" s="5"/>
      <c r="E8501" s="5"/>
      <c r="F8501" s="5" t="s">
        <v>9</v>
      </c>
      <c r="G8501" s="15" t="s">
        <v>8</v>
      </c>
      <c r="H8501" s="24">
        <f t="shared" si="1586"/>
        <v>0</v>
      </c>
      <c r="I8501" s="24" cm="1">
        <f t="array" ref="I8501">IFERROR(IF($B8501=I$1, ($A8501+$C8501) - MAX(IF($B$2:$B8500=$B8501, $A$2:$A8500+$C$2:$C8500)), "")*24*60, "")</f>
        <v>0</v>
      </c>
      <c r="J8501" s="24" t="str" cm="1">
        <f t="array" ref="J8501">IFERROR(IF($B8501=J$1, ($A8501+$C8501) - MAX(IF($B$2:$B8500=$B8501, $A$2:$A8500+$C$2:$C8500)), "")*24*60, "")</f>
        <v/>
      </c>
      <c r="K8501" s="24" t="str" cm="1">
        <f t="array" ref="K8501">IFERROR(IF($B8501=K$1, ($A8501+$C8501) - MAX(IF($B$2:$B8500=$B8501, $A$2:$A8500+$C$2:$C8500)), "")*24*60, "")</f>
        <v/>
      </c>
      <c r="L8501" s="24" t="str" cm="1">
        <f t="array" ref="L8501">IFERROR(IF($B8501=L$1, ($A8501+$C8501) - MAX(IF($B$2:$B8500=$B8501, $A$2:$A8500+$C$2:$C8500)), "")*24*60, "")</f>
        <v/>
      </c>
      <c r="M8501" s="24" t="str" cm="1">
        <f t="array" ref="M8501">IFERROR(IF($B8501=M$1, ($A8501+$C8501) - MAX(IF($B$2:$B8500=$B8501, $A$2:$A8500+$C$2:$C8500)), "")*24*60, "")</f>
        <v/>
      </c>
      <c r="N8501" s="24" t="str" cm="1">
        <f t="array" ref="N8501">IFERROR(IF($B8501=N$1, ($A8501+$C8501) - MAX(IF($B$2:$B8500=$B8501, $A$2:$A8500+$C$2:$C8500)), "")*24*60, "")</f>
        <v/>
      </c>
      <c r="O8501" s="24" t="str" cm="1">
        <f t="array" ref="O8501">IFERROR(IF($B8501=O$1, ($A8501+$C8501) - MAX(IF($B$2:$B8500=$B8501, $A$2:$A8500+$C$2:$C8500)), "")*24*60, "")</f>
        <v/>
      </c>
      <c r="P8501" s="24" t="str" cm="1">
        <f t="array" ref="P8501">IFERROR(IF($B8501=P$1, ($A8501+$C8501) - MAX(IF($B$2:$B8500=$B8501, $A$2:$A8500+$C$2:$C8500)), "")*24*60, "")</f>
        <v/>
      </c>
      <c r="Q8501" s="24" t="str" cm="1">
        <f t="array" ref="Q8501">IFERROR(IF($B8501=Q$1, ($A8501+$C8501) - MAX(IF($B$2:$B8500=$B8501, $A$2:$A8500+$C$2:$C8500)), "")*24*60, "")</f>
        <v/>
      </c>
      <c r="R8501" s="24" t="str" cm="1">
        <f t="array" ref="R8501">IFERROR(IF($B8501=R$1, ($A8501+$C8501) - MAX(IF($B$2:$B8500=$B8501, $A$2:$A8500+$C$2:$C8500)), "")*24*60, "")</f>
        <v/>
      </c>
      <c r="S8501" s="24" t="str" cm="1">
        <f t="array" ref="S8501">IFERROR(IF($B8501=S$1, ($A8501+$C8501) - MAX(IF($B$2:$B8500=$B8501, $A$2:$A8500+$C$2:$C8500)), "")*24*60, "")</f>
        <v/>
      </c>
    </row>
    <row r="8502" spans="1:19" x14ac:dyDescent="0.2">
      <c r="A8502" s="12">
        <f t="shared" ref="A8502:C8502" si="1603">A8501</f>
        <v>46029</v>
      </c>
      <c r="B8502" s="5" t="str">
        <f t="shared" si="1603"/>
        <v>Northern Cardinal</v>
      </c>
      <c r="C8502" s="6">
        <f t="shared" si="1603"/>
        <v>0.75</v>
      </c>
      <c r="D8502" s="5"/>
      <c r="E8502" s="5"/>
      <c r="F8502" s="5" t="s">
        <v>9</v>
      </c>
      <c r="G8502" s="15" t="s">
        <v>8</v>
      </c>
      <c r="H8502" s="24">
        <f t="shared" si="1586"/>
        <v>0</v>
      </c>
      <c r="I8502" s="24" cm="1">
        <f t="array" ref="I8502">IFERROR(IF($B8502=I$1, ($A8502+$C8502) - MAX(IF($B$2:$B8501=$B8502, $A$2:$A8501+$C$2:$C8501)), "")*24*60, "")</f>
        <v>0</v>
      </c>
      <c r="J8502" s="24" t="str" cm="1">
        <f t="array" ref="J8502">IFERROR(IF($B8502=J$1, ($A8502+$C8502) - MAX(IF($B$2:$B8501=$B8502, $A$2:$A8501+$C$2:$C8501)), "")*24*60, "")</f>
        <v/>
      </c>
      <c r="K8502" s="24" t="str" cm="1">
        <f t="array" ref="K8502">IFERROR(IF($B8502=K$1, ($A8502+$C8502) - MAX(IF($B$2:$B8501=$B8502, $A$2:$A8501+$C$2:$C8501)), "")*24*60, "")</f>
        <v/>
      </c>
      <c r="L8502" s="24" t="str" cm="1">
        <f t="array" ref="L8502">IFERROR(IF($B8502=L$1, ($A8502+$C8502) - MAX(IF($B$2:$B8501=$B8502, $A$2:$A8501+$C$2:$C8501)), "")*24*60, "")</f>
        <v/>
      </c>
      <c r="M8502" s="24" t="str" cm="1">
        <f t="array" ref="M8502">IFERROR(IF($B8502=M$1, ($A8502+$C8502) - MAX(IF($B$2:$B8501=$B8502, $A$2:$A8501+$C$2:$C8501)), "")*24*60, "")</f>
        <v/>
      </c>
      <c r="N8502" s="24" t="str" cm="1">
        <f t="array" ref="N8502">IFERROR(IF($B8502=N$1, ($A8502+$C8502) - MAX(IF($B$2:$B8501=$B8502, $A$2:$A8501+$C$2:$C8501)), "")*24*60, "")</f>
        <v/>
      </c>
      <c r="O8502" s="24" t="str" cm="1">
        <f t="array" ref="O8502">IFERROR(IF($B8502=O$1, ($A8502+$C8502) - MAX(IF($B$2:$B8501=$B8502, $A$2:$A8501+$C$2:$C8501)), "")*24*60, "")</f>
        <v/>
      </c>
      <c r="P8502" s="24" t="str" cm="1">
        <f t="array" ref="P8502">IFERROR(IF($B8502=P$1, ($A8502+$C8502) - MAX(IF($B$2:$B8501=$B8502, $A$2:$A8501+$C$2:$C8501)), "")*24*60, "")</f>
        <v/>
      </c>
      <c r="Q8502" s="24" t="str" cm="1">
        <f t="array" ref="Q8502">IFERROR(IF($B8502=Q$1, ($A8502+$C8502) - MAX(IF($B$2:$B8501=$B8502, $A$2:$A8501+$C$2:$C8501)), "")*24*60, "")</f>
        <v/>
      </c>
      <c r="R8502" s="24" t="str" cm="1">
        <f t="array" ref="R8502">IFERROR(IF($B8502=R$1, ($A8502+$C8502) - MAX(IF($B$2:$B8501=$B8502, $A$2:$A8501+$C$2:$C8501)), "")*24*60, "")</f>
        <v/>
      </c>
      <c r="S8502" s="24" t="str" cm="1">
        <f t="array" ref="S8502">IFERROR(IF($B8502=S$1, ($A8502+$C8502) - MAX(IF($B$2:$B8501=$B8502, $A$2:$A8501+$C$2:$C8501)), "")*24*60, "")</f>
        <v/>
      </c>
    </row>
    <row r="8503" spans="1:19" x14ac:dyDescent="0.2">
      <c r="A8503" s="12">
        <f t="shared" ref="A8503:C8503" si="1604">A8502</f>
        <v>46029</v>
      </c>
      <c r="B8503" s="5" t="str">
        <f t="shared" si="1604"/>
        <v>Northern Cardinal</v>
      </c>
      <c r="C8503" s="6">
        <f t="shared" si="1604"/>
        <v>0.75</v>
      </c>
      <c r="D8503" s="5"/>
      <c r="E8503" s="5"/>
      <c r="F8503" s="5" t="s">
        <v>9</v>
      </c>
      <c r="G8503" s="15" t="s">
        <v>8</v>
      </c>
      <c r="H8503" s="24">
        <f t="shared" si="1586"/>
        <v>0</v>
      </c>
      <c r="I8503" s="24" cm="1">
        <f t="array" ref="I8503">IFERROR(IF($B8503=I$1, ($A8503+$C8503) - MAX(IF($B$2:$B8502=$B8503, $A$2:$A8502+$C$2:$C8502)), "")*24*60, "")</f>
        <v>0</v>
      </c>
      <c r="J8503" s="24" t="str" cm="1">
        <f t="array" ref="J8503">IFERROR(IF($B8503=J$1, ($A8503+$C8503) - MAX(IF($B$2:$B8502=$B8503, $A$2:$A8502+$C$2:$C8502)), "")*24*60, "")</f>
        <v/>
      </c>
      <c r="K8503" s="24" t="str" cm="1">
        <f t="array" ref="K8503">IFERROR(IF($B8503=K$1, ($A8503+$C8503) - MAX(IF($B$2:$B8502=$B8503, $A$2:$A8502+$C$2:$C8502)), "")*24*60, "")</f>
        <v/>
      </c>
      <c r="L8503" s="24" t="str" cm="1">
        <f t="array" ref="L8503">IFERROR(IF($B8503=L$1, ($A8503+$C8503) - MAX(IF($B$2:$B8502=$B8503, $A$2:$A8502+$C$2:$C8502)), "")*24*60, "")</f>
        <v/>
      </c>
      <c r="M8503" s="24" t="str" cm="1">
        <f t="array" ref="M8503">IFERROR(IF($B8503=M$1, ($A8503+$C8503) - MAX(IF($B$2:$B8502=$B8503, $A$2:$A8502+$C$2:$C8502)), "")*24*60, "")</f>
        <v/>
      </c>
      <c r="N8503" s="24" t="str" cm="1">
        <f t="array" ref="N8503">IFERROR(IF($B8503=N$1, ($A8503+$C8503) - MAX(IF($B$2:$B8502=$B8503, $A$2:$A8502+$C$2:$C8502)), "")*24*60, "")</f>
        <v/>
      </c>
      <c r="O8503" s="24" t="str" cm="1">
        <f t="array" ref="O8503">IFERROR(IF($B8503=O$1, ($A8503+$C8503) - MAX(IF($B$2:$B8502=$B8503, $A$2:$A8502+$C$2:$C8502)), "")*24*60, "")</f>
        <v/>
      </c>
      <c r="P8503" s="24" t="str" cm="1">
        <f t="array" ref="P8503">IFERROR(IF($B8503=P$1, ($A8503+$C8503) - MAX(IF($B$2:$B8502=$B8503, $A$2:$A8502+$C$2:$C8502)), "")*24*60, "")</f>
        <v/>
      </c>
      <c r="Q8503" s="24" t="str" cm="1">
        <f t="array" ref="Q8503">IFERROR(IF($B8503=Q$1, ($A8503+$C8503) - MAX(IF($B$2:$B8502=$B8503, $A$2:$A8502+$C$2:$C8502)), "")*24*60, "")</f>
        <v/>
      </c>
      <c r="R8503" s="24" t="str" cm="1">
        <f t="array" ref="R8503">IFERROR(IF($B8503=R$1, ($A8503+$C8503) - MAX(IF($B$2:$B8502=$B8503, $A$2:$A8502+$C$2:$C8502)), "")*24*60, "")</f>
        <v/>
      </c>
      <c r="S8503" s="24" t="str" cm="1">
        <f t="array" ref="S8503">IFERROR(IF($B8503=S$1, ($A8503+$C8503) - MAX(IF($B$2:$B8502=$B8503, $A$2:$A8502+$C$2:$C8502)), "")*24*60, "")</f>
        <v/>
      </c>
    </row>
    <row r="8504" spans="1:19" x14ac:dyDescent="0.2">
      <c r="A8504" s="12">
        <f t="shared" ref="A8504:C8504" si="1605">A8503</f>
        <v>46029</v>
      </c>
      <c r="B8504" s="5" t="str">
        <f t="shared" si="1605"/>
        <v>Northern Cardinal</v>
      </c>
      <c r="C8504" s="6">
        <f t="shared" si="1605"/>
        <v>0.75</v>
      </c>
      <c r="D8504" s="5"/>
      <c r="E8504" s="5"/>
      <c r="F8504" s="5" t="s">
        <v>9</v>
      </c>
      <c r="G8504" s="15" t="s">
        <v>8</v>
      </c>
      <c r="H8504" s="24">
        <f t="shared" si="1586"/>
        <v>0</v>
      </c>
      <c r="I8504" s="24" cm="1">
        <f t="array" ref="I8504">IFERROR(IF($B8504=I$1, ($A8504+$C8504) - MAX(IF($B$2:$B8503=$B8504, $A$2:$A8503+$C$2:$C8503)), "")*24*60, "")</f>
        <v>0</v>
      </c>
      <c r="J8504" s="24" t="str" cm="1">
        <f t="array" ref="J8504">IFERROR(IF($B8504=J$1, ($A8504+$C8504) - MAX(IF($B$2:$B8503=$B8504, $A$2:$A8503+$C$2:$C8503)), "")*24*60, "")</f>
        <v/>
      </c>
      <c r="K8504" s="24" t="str" cm="1">
        <f t="array" ref="K8504">IFERROR(IF($B8504=K$1, ($A8504+$C8504) - MAX(IF($B$2:$B8503=$B8504, $A$2:$A8503+$C$2:$C8503)), "")*24*60, "")</f>
        <v/>
      </c>
      <c r="L8504" s="24" t="str" cm="1">
        <f t="array" ref="L8504">IFERROR(IF($B8504=L$1, ($A8504+$C8504) - MAX(IF($B$2:$B8503=$B8504, $A$2:$A8503+$C$2:$C8503)), "")*24*60, "")</f>
        <v/>
      </c>
      <c r="M8504" s="24" t="str" cm="1">
        <f t="array" ref="M8504">IFERROR(IF($B8504=M$1, ($A8504+$C8504) - MAX(IF($B$2:$B8503=$B8504, $A$2:$A8503+$C$2:$C8503)), "")*24*60, "")</f>
        <v/>
      </c>
      <c r="N8504" s="24" t="str" cm="1">
        <f t="array" ref="N8504">IFERROR(IF($B8504=N$1, ($A8504+$C8504) - MAX(IF($B$2:$B8503=$B8504, $A$2:$A8503+$C$2:$C8503)), "")*24*60, "")</f>
        <v/>
      </c>
      <c r="O8504" s="24" t="str" cm="1">
        <f t="array" ref="O8504">IFERROR(IF($B8504=O$1, ($A8504+$C8504) - MAX(IF($B$2:$B8503=$B8504, $A$2:$A8503+$C$2:$C8503)), "")*24*60, "")</f>
        <v/>
      </c>
      <c r="P8504" s="24" t="str" cm="1">
        <f t="array" ref="P8504">IFERROR(IF($B8504=P$1, ($A8504+$C8504) - MAX(IF($B$2:$B8503=$B8504, $A$2:$A8503+$C$2:$C8503)), "")*24*60, "")</f>
        <v/>
      </c>
      <c r="Q8504" s="24" t="str" cm="1">
        <f t="array" ref="Q8504">IFERROR(IF($B8504=Q$1, ($A8504+$C8504) - MAX(IF($B$2:$B8503=$B8504, $A$2:$A8503+$C$2:$C8503)), "")*24*60, "")</f>
        <v/>
      </c>
      <c r="R8504" s="24" t="str" cm="1">
        <f t="array" ref="R8504">IFERROR(IF($B8504=R$1, ($A8504+$C8504) - MAX(IF($B$2:$B8503=$B8504, $A$2:$A8503+$C$2:$C8503)), "")*24*60, "")</f>
        <v/>
      </c>
      <c r="S8504" s="24" t="str" cm="1">
        <f t="array" ref="S8504">IFERROR(IF($B8504=S$1, ($A8504+$C8504) - MAX(IF($B$2:$B8503=$B8504, $A$2:$A8503+$C$2:$C8503)), "")*24*60, "")</f>
        <v/>
      </c>
    </row>
    <row r="8505" spans="1:19" x14ac:dyDescent="0.2">
      <c r="A8505" s="12">
        <f t="shared" ref="A8505:C8505" si="1606">A8504</f>
        <v>46029</v>
      </c>
      <c r="B8505" s="5" t="str">
        <f t="shared" si="1606"/>
        <v>Northern Cardinal</v>
      </c>
      <c r="C8505" s="6">
        <f t="shared" si="1606"/>
        <v>0.75</v>
      </c>
      <c r="D8505" s="5"/>
      <c r="E8505" s="5"/>
      <c r="F8505" s="5" t="s">
        <v>9</v>
      </c>
      <c r="G8505" s="15" t="s">
        <v>8</v>
      </c>
      <c r="H8505" s="24">
        <f t="shared" si="1586"/>
        <v>0</v>
      </c>
      <c r="I8505" s="24" cm="1">
        <f t="array" ref="I8505">IFERROR(IF($B8505=I$1, ($A8505+$C8505) - MAX(IF($B$2:$B8504=$B8505, $A$2:$A8504+$C$2:$C8504)), "")*24*60, "")</f>
        <v>0</v>
      </c>
      <c r="J8505" s="24" t="str" cm="1">
        <f t="array" ref="J8505">IFERROR(IF($B8505=J$1, ($A8505+$C8505) - MAX(IF($B$2:$B8504=$B8505, $A$2:$A8504+$C$2:$C8504)), "")*24*60, "")</f>
        <v/>
      </c>
      <c r="K8505" s="24" t="str" cm="1">
        <f t="array" ref="K8505">IFERROR(IF($B8505=K$1, ($A8505+$C8505) - MAX(IF($B$2:$B8504=$B8505, $A$2:$A8504+$C$2:$C8504)), "")*24*60, "")</f>
        <v/>
      </c>
      <c r="L8505" s="24" t="str" cm="1">
        <f t="array" ref="L8505">IFERROR(IF($B8505=L$1, ($A8505+$C8505) - MAX(IF($B$2:$B8504=$B8505, $A$2:$A8504+$C$2:$C8504)), "")*24*60, "")</f>
        <v/>
      </c>
      <c r="M8505" s="24" t="str" cm="1">
        <f t="array" ref="M8505">IFERROR(IF($B8505=M$1, ($A8505+$C8505) - MAX(IF($B$2:$B8504=$B8505, $A$2:$A8504+$C$2:$C8504)), "")*24*60, "")</f>
        <v/>
      </c>
      <c r="N8505" s="24" t="str" cm="1">
        <f t="array" ref="N8505">IFERROR(IF($B8505=N$1, ($A8505+$C8505) - MAX(IF($B$2:$B8504=$B8505, $A$2:$A8504+$C$2:$C8504)), "")*24*60, "")</f>
        <v/>
      </c>
      <c r="O8505" s="24" t="str" cm="1">
        <f t="array" ref="O8505">IFERROR(IF($B8505=O$1, ($A8505+$C8505) - MAX(IF($B$2:$B8504=$B8505, $A$2:$A8504+$C$2:$C8504)), "")*24*60, "")</f>
        <v/>
      </c>
      <c r="P8505" s="24" t="str" cm="1">
        <f t="array" ref="P8505">IFERROR(IF($B8505=P$1, ($A8505+$C8505) - MAX(IF($B$2:$B8504=$B8505, $A$2:$A8504+$C$2:$C8504)), "")*24*60, "")</f>
        <v/>
      </c>
      <c r="Q8505" s="24" t="str" cm="1">
        <f t="array" ref="Q8505">IFERROR(IF($B8505=Q$1, ($A8505+$C8505) - MAX(IF($B$2:$B8504=$B8505, $A$2:$A8504+$C$2:$C8504)), "")*24*60, "")</f>
        <v/>
      </c>
      <c r="R8505" s="24" t="str" cm="1">
        <f t="array" ref="R8505">IFERROR(IF($B8505=R$1, ($A8505+$C8505) - MAX(IF($B$2:$B8504=$B8505, $A$2:$A8504+$C$2:$C8504)), "")*24*60, "")</f>
        <v/>
      </c>
      <c r="S8505" s="24" t="str" cm="1">
        <f t="array" ref="S8505">IFERROR(IF($B8505=S$1, ($A8505+$C8505) - MAX(IF($B$2:$B8504=$B8505, $A$2:$A8504+$C$2:$C8504)), "")*24*60, "")</f>
        <v/>
      </c>
    </row>
    <row r="8506" spans="1:19" x14ac:dyDescent="0.2">
      <c r="A8506" s="12">
        <f t="shared" ref="A8506:C8506" si="1607">A8505</f>
        <v>46029</v>
      </c>
      <c r="B8506" s="5" t="str">
        <f t="shared" si="1607"/>
        <v>Northern Cardinal</v>
      </c>
      <c r="C8506" s="6">
        <f t="shared" si="1607"/>
        <v>0.75</v>
      </c>
      <c r="D8506" s="5"/>
      <c r="E8506" s="5"/>
      <c r="F8506" s="5" t="s">
        <v>9</v>
      </c>
      <c r="G8506" s="15" t="s">
        <v>8</v>
      </c>
      <c r="H8506" s="24">
        <f t="shared" si="1586"/>
        <v>0</v>
      </c>
      <c r="I8506" s="24" cm="1">
        <f t="array" ref="I8506">IFERROR(IF($B8506=I$1, ($A8506+$C8506) - MAX(IF($B$2:$B8505=$B8506, $A$2:$A8505+$C$2:$C8505)), "")*24*60, "")</f>
        <v>0</v>
      </c>
      <c r="J8506" s="24" t="str" cm="1">
        <f t="array" ref="J8506">IFERROR(IF($B8506=J$1, ($A8506+$C8506) - MAX(IF($B$2:$B8505=$B8506, $A$2:$A8505+$C$2:$C8505)), "")*24*60, "")</f>
        <v/>
      </c>
      <c r="K8506" s="24" t="str" cm="1">
        <f t="array" ref="K8506">IFERROR(IF($B8506=K$1, ($A8506+$C8506) - MAX(IF($B$2:$B8505=$B8506, $A$2:$A8505+$C$2:$C8505)), "")*24*60, "")</f>
        <v/>
      </c>
      <c r="L8506" s="24" t="str" cm="1">
        <f t="array" ref="L8506">IFERROR(IF($B8506=L$1, ($A8506+$C8506) - MAX(IF($B$2:$B8505=$B8506, $A$2:$A8505+$C$2:$C8505)), "")*24*60, "")</f>
        <v/>
      </c>
      <c r="M8506" s="24" t="str" cm="1">
        <f t="array" ref="M8506">IFERROR(IF($B8506=M$1, ($A8506+$C8506) - MAX(IF($B$2:$B8505=$B8506, $A$2:$A8505+$C$2:$C8505)), "")*24*60, "")</f>
        <v/>
      </c>
      <c r="N8506" s="24" t="str" cm="1">
        <f t="array" ref="N8506">IFERROR(IF($B8506=N$1, ($A8506+$C8506) - MAX(IF($B$2:$B8505=$B8506, $A$2:$A8505+$C$2:$C8505)), "")*24*60, "")</f>
        <v/>
      </c>
      <c r="O8506" s="24" t="str" cm="1">
        <f t="array" ref="O8506">IFERROR(IF($B8506=O$1, ($A8506+$C8506) - MAX(IF($B$2:$B8505=$B8506, $A$2:$A8505+$C$2:$C8505)), "")*24*60, "")</f>
        <v/>
      </c>
      <c r="P8506" s="24" t="str" cm="1">
        <f t="array" ref="P8506">IFERROR(IF($B8506=P$1, ($A8506+$C8506) - MAX(IF($B$2:$B8505=$B8506, $A$2:$A8505+$C$2:$C8505)), "")*24*60, "")</f>
        <v/>
      </c>
      <c r="Q8506" s="24" t="str" cm="1">
        <f t="array" ref="Q8506">IFERROR(IF($B8506=Q$1, ($A8506+$C8506) - MAX(IF($B$2:$B8505=$B8506, $A$2:$A8505+$C$2:$C8505)), "")*24*60, "")</f>
        <v/>
      </c>
      <c r="R8506" s="24" t="str" cm="1">
        <f t="array" ref="R8506">IFERROR(IF($B8506=R$1, ($A8506+$C8506) - MAX(IF($B$2:$B8505=$B8506, $A$2:$A8505+$C$2:$C8505)), "")*24*60, "")</f>
        <v/>
      </c>
      <c r="S8506" s="24" t="str" cm="1">
        <f t="array" ref="S8506">IFERROR(IF($B8506=S$1, ($A8506+$C8506) - MAX(IF($B$2:$B8505=$B8506, $A$2:$A8505+$C$2:$C8505)), "")*24*60, "")</f>
        <v/>
      </c>
    </row>
    <row r="8507" spans="1:19" x14ac:dyDescent="0.2">
      <c r="A8507" s="12">
        <f t="shared" ref="A8507:C8507" si="1608">A8506</f>
        <v>46029</v>
      </c>
      <c r="B8507" s="5" t="str">
        <f t="shared" si="1608"/>
        <v>Northern Cardinal</v>
      </c>
      <c r="C8507" s="6">
        <f t="shared" si="1608"/>
        <v>0.75</v>
      </c>
      <c r="D8507" s="5"/>
      <c r="E8507" s="5"/>
      <c r="F8507" s="5" t="s">
        <v>9</v>
      </c>
      <c r="G8507" s="15" t="s">
        <v>8</v>
      </c>
      <c r="H8507" s="24">
        <f t="shared" si="1586"/>
        <v>0</v>
      </c>
      <c r="I8507" s="24" cm="1">
        <f t="array" ref="I8507">IFERROR(IF($B8507=I$1, ($A8507+$C8507) - MAX(IF($B$2:$B8506=$B8507, $A$2:$A8506+$C$2:$C8506)), "")*24*60, "")</f>
        <v>0</v>
      </c>
      <c r="J8507" s="24" t="str" cm="1">
        <f t="array" ref="J8507">IFERROR(IF($B8507=J$1, ($A8507+$C8507) - MAX(IF($B$2:$B8506=$B8507, $A$2:$A8506+$C$2:$C8506)), "")*24*60, "")</f>
        <v/>
      </c>
      <c r="K8507" s="24" t="str" cm="1">
        <f t="array" ref="K8507">IFERROR(IF($B8507=K$1, ($A8507+$C8507) - MAX(IF($B$2:$B8506=$B8507, $A$2:$A8506+$C$2:$C8506)), "")*24*60, "")</f>
        <v/>
      </c>
      <c r="L8507" s="24" t="str" cm="1">
        <f t="array" ref="L8507">IFERROR(IF($B8507=L$1, ($A8507+$C8507) - MAX(IF($B$2:$B8506=$B8507, $A$2:$A8506+$C$2:$C8506)), "")*24*60, "")</f>
        <v/>
      </c>
      <c r="M8507" s="24" t="str" cm="1">
        <f t="array" ref="M8507">IFERROR(IF($B8507=M$1, ($A8507+$C8507) - MAX(IF($B$2:$B8506=$B8507, $A$2:$A8506+$C$2:$C8506)), "")*24*60, "")</f>
        <v/>
      </c>
      <c r="N8507" s="24" t="str" cm="1">
        <f t="array" ref="N8507">IFERROR(IF($B8507=N$1, ($A8507+$C8507) - MAX(IF($B$2:$B8506=$B8507, $A$2:$A8506+$C$2:$C8506)), "")*24*60, "")</f>
        <v/>
      </c>
      <c r="O8507" s="24" t="str" cm="1">
        <f t="array" ref="O8507">IFERROR(IF($B8507=O$1, ($A8507+$C8507) - MAX(IF($B$2:$B8506=$B8507, $A$2:$A8506+$C$2:$C8506)), "")*24*60, "")</f>
        <v/>
      </c>
      <c r="P8507" s="24" t="str" cm="1">
        <f t="array" ref="P8507">IFERROR(IF($B8507=P$1, ($A8507+$C8507) - MAX(IF($B$2:$B8506=$B8507, $A$2:$A8506+$C$2:$C8506)), "")*24*60, "")</f>
        <v/>
      </c>
      <c r="Q8507" s="24" t="str" cm="1">
        <f t="array" ref="Q8507">IFERROR(IF($B8507=Q$1, ($A8507+$C8507) - MAX(IF($B$2:$B8506=$B8507, $A$2:$A8506+$C$2:$C8506)), "")*24*60, "")</f>
        <v/>
      </c>
      <c r="R8507" s="24" t="str" cm="1">
        <f t="array" ref="R8507">IFERROR(IF($B8507=R$1, ($A8507+$C8507) - MAX(IF($B$2:$B8506=$B8507, $A$2:$A8506+$C$2:$C8506)), "")*24*60, "")</f>
        <v/>
      </c>
      <c r="S8507" s="24" t="str" cm="1">
        <f t="array" ref="S8507">IFERROR(IF($B8507=S$1, ($A8507+$C8507) - MAX(IF($B$2:$B8506=$B8507, $A$2:$A8506+$C$2:$C8506)), "")*24*60, "")</f>
        <v/>
      </c>
    </row>
    <row r="8508" spans="1:19" x14ac:dyDescent="0.2">
      <c r="A8508" s="12">
        <f t="shared" ref="A8508:C8508" si="1609">A8507</f>
        <v>46029</v>
      </c>
      <c r="B8508" s="5" t="str">
        <f t="shared" si="1609"/>
        <v>Northern Cardinal</v>
      </c>
      <c r="C8508" s="6">
        <f t="shared" si="1609"/>
        <v>0.75</v>
      </c>
      <c r="D8508" s="5"/>
      <c r="E8508" s="5"/>
      <c r="F8508" s="5" t="s">
        <v>9</v>
      </c>
      <c r="G8508" s="15" t="s">
        <v>8</v>
      </c>
      <c r="H8508" s="24">
        <f t="shared" si="1586"/>
        <v>0</v>
      </c>
      <c r="I8508" s="24" cm="1">
        <f t="array" ref="I8508">IFERROR(IF($B8508=I$1, ($A8508+$C8508) - MAX(IF($B$2:$B8507=$B8508, $A$2:$A8507+$C$2:$C8507)), "")*24*60, "")</f>
        <v>0</v>
      </c>
      <c r="J8508" s="24" t="str" cm="1">
        <f t="array" ref="J8508">IFERROR(IF($B8508=J$1, ($A8508+$C8508) - MAX(IF($B$2:$B8507=$B8508, $A$2:$A8507+$C$2:$C8507)), "")*24*60, "")</f>
        <v/>
      </c>
      <c r="K8508" s="24" t="str" cm="1">
        <f t="array" ref="K8508">IFERROR(IF($B8508=K$1, ($A8508+$C8508) - MAX(IF($B$2:$B8507=$B8508, $A$2:$A8507+$C$2:$C8507)), "")*24*60, "")</f>
        <v/>
      </c>
      <c r="L8508" s="24" t="str" cm="1">
        <f t="array" ref="L8508">IFERROR(IF($B8508=L$1, ($A8508+$C8508) - MAX(IF($B$2:$B8507=$B8508, $A$2:$A8507+$C$2:$C8507)), "")*24*60, "")</f>
        <v/>
      </c>
      <c r="M8508" s="24" t="str" cm="1">
        <f t="array" ref="M8508">IFERROR(IF($B8508=M$1, ($A8508+$C8508) - MAX(IF($B$2:$B8507=$B8508, $A$2:$A8507+$C$2:$C8507)), "")*24*60, "")</f>
        <v/>
      </c>
      <c r="N8508" s="24" t="str" cm="1">
        <f t="array" ref="N8508">IFERROR(IF($B8508=N$1, ($A8508+$C8508) - MAX(IF($B$2:$B8507=$B8508, $A$2:$A8507+$C$2:$C8507)), "")*24*60, "")</f>
        <v/>
      </c>
      <c r="O8508" s="24" t="str" cm="1">
        <f t="array" ref="O8508">IFERROR(IF($B8508=O$1, ($A8508+$C8508) - MAX(IF($B$2:$B8507=$B8508, $A$2:$A8507+$C$2:$C8507)), "")*24*60, "")</f>
        <v/>
      </c>
      <c r="P8508" s="24" t="str" cm="1">
        <f t="array" ref="P8508">IFERROR(IF($B8508=P$1, ($A8508+$C8508) - MAX(IF($B$2:$B8507=$B8508, $A$2:$A8507+$C$2:$C8507)), "")*24*60, "")</f>
        <v/>
      </c>
      <c r="Q8508" s="24" t="str" cm="1">
        <f t="array" ref="Q8508">IFERROR(IF($B8508=Q$1, ($A8508+$C8508) - MAX(IF($B$2:$B8507=$B8508, $A$2:$A8507+$C$2:$C8507)), "")*24*60, "")</f>
        <v/>
      </c>
      <c r="R8508" s="24" t="str" cm="1">
        <f t="array" ref="R8508">IFERROR(IF($B8508=R$1, ($A8508+$C8508) - MAX(IF($B$2:$B8507=$B8508, $A$2:$A8507+$C$2:$C8507)), "")*24*60, "")</f>
        <v/>
      </c>
      <c r="S8508" s="24" t="str" cm="1">
        <f t="array" ref="S8508">IFERROR(IF($B8508=S$1, ($A8508+$C8508) - MAX(IF($B$2:$B8507=$B8508, $A$2:$A8507+$C$2:$C8507)), "")*24*60, "")</f>
        <v/>
      </c>
    </row>
    <row r="8509" spans="1:19" x14ac:dyDescent="0.2">
      <c r="A8509" s="12">
        <f t="shared" ref="A8509:C8509" si="1610">A8508</f>
        <v>46029</v>
      </c>
      <c r="B8509" s="5" t="str">
        <f t="shared" si="1610"/>
        <v>Northern Cardinal</v>
      </c>
      <c r="C8509" s="6">
        <f t="shared" si="1610"/>
        <v>0.75</v>
      </c>
      <c r="D8509" s="5"/>
      <c r="E8509" s="5"/>
      <c r="F8509" s="5" t="s">
        <v>9</v>
      </c>
      <c r="G8509" s="15" t="s">
        <v>8</v>
      </c>
      <c r="H8509" s="24">
        <f t="shared" si="1586"/>
        <v>0</v>
      </c>
      <c r="I8509" s="24" cm="1">
        <f t="array" ref="I8509">IFERROR(IF($B8509=I$1, ($A8509+$C8509) - MAX(IF($B$2:$B8508=$B8509, $A$2:$A8508+$C$2:$C8508)), "")*24*60, "")</f>
        <v>0</v>
      </c>
      <c r="J8509" s="24" t="str" cm="1">
        <f t="array" ref="J8509">IFERROR(IF($B8509=J$1, ($A8509+$C8509) - MAX(IF($B$2:$B8508=$B8509, $A$2:$A8508+$C$2:$C8508)), "")*24*60, "")</f>
        <v/>
      </c>
      <c r="K8509" s="24" t="str" cm="1">
        <f t="array" ref="K8509">IFERROR(IF($B8509=K$1, ($A8509+$C8509) - MAX(IF($B$2:$B8508=$B8509, $A$2:$A8508+$C$2:$C8508)), "")*24*60, "")</f>
        <v/>
      </c>
      <c r="L8509" s="24" t="str" cm="1">
        <f t="array" ref="L8509">IFERROR(IF($B8509=L$1, ($A8509+$C8509) - MAX(IF($B$2:$B8508=$B8509, $A$2:$A8508+$C$2:$C8508)), "")*24*60, "")</f>
        <v/>
      </c>
      <c r="M8509" s="24" t="str" cm="1">
        <f t="array" ref="M8509">IFERROR(IF($B8509=M$1, ($A8509+$C8509) - MAX(IF($B$2:$B8508=$B8509, $A$2:$A8508+$C$2:$C8508)), "")*24*60, "")</f>
        <v/>
      </c>
      <c r="N8509" s="24" t="str" cm="1">
        <f t="array" ref="N8509">IFERROR(IF($B8509=N$1, ($A8509+$C8509) - MAX(IF($B$2:$B8508=$B8509, $A$2:$A8508+$C$2:$C8508)), "")*24*60, "")</f>
        <v/>
      </c>
      <c r="O8509" s="24" t="str" cm="1">
        <f t="array" ref="O8509">IFERROR(IF($B8509=O$1, ($A8509+$C8509) - MAX(IF($B$2:$B8508=$B8509, $A$2:$A8508+$C$2:$C8508)), "")*24*60, "")</f>
        <v/>
      </c>
      <c r="P8509" s="24" t="str" cm="1">
        <f t="array" ref="P8509">IFERROR(IF($B8509=P$1, ($A8509+$C8509) - MAX(IF($B$2:$B8508=$B8509, $A$2:$A8508+$C$2:$C8508)), "")*24*60, "")</f>
        <v/>
      </c>
      <c r="Q8509" s="24" t="str" cm="1">
        <f t="array" ref="Q8509">IFERROR(IF($B8509=Q$1, ($A8509+$C8509) - MAX(IF($B$2:$B8508=$B8509, $A$2:$A8508+$C$2:$C8508)), "")*24*60, "")</f>
        <v/>
      </c>
      <c r="R8509" s="24" t="str" cm="1">
        <f t="array" ref="R8509">IFERROR(IF($B8509=R$1, ($A8509+$C8509) - MAX(IF($B$2:$B8508=$B8509, $A$2:$A8508+$C$2:$C8508)), "")*24*60, "")</f>
        <v/>
      </c>
      <c r="S8509" s="24" t="str" cm="1">
        <f t="array" ref="S8509">IFERROR(IF($B8509=S$1, ($A8509+$C8509) - MAX(IF($B$2:$B8508=$B8509, $A$2:$A8508+$C$2:$C8508)), "")*24*60, "")</f>
        <v/>
      </c>
    </row>
    <row r="8510" spans="1:19" x14ac:dyDescent="0.2">
      <c r="A8510" s="12">
        <f t="shared" ref="A8510:C8510" si="1611">A8509</f>
        <v>46029</v>
      </c>
      <c r="B8510" s="5" t="str">
        <f t="shared" si="1611"/>
        <v>Northern Cardinal</v>
      </c>
      <c r="C8510" s="6">
        <f t="shared" si="1611"/>
        <v>0.75</v>
      </c>
      <c r="D8510" s="5"/>
      <c r="E8510" s="5"/>
      <c r="F8510" s="5" t="s">
        <v>9</v>
      </c>
      <c r="G8510" s="15" t="s">
        <v>8</v>
      </c>
      <c r="H8510" s="24">
        <f t="shared" si="1586"/>
        <v>0</v>
      </c>
      <c r="I8510" s="24" cm="1">
        <f t="array" ref="I8510">IFERROR(IF($B8510=I$1, ($A8510+$C8510) - MAX(IF($B$2:$B8509=$B8510, $A$2:$A8509+$C$2:$C8509)), "")*24*60, "")</f>
        <v>0</v>
      </c>
      <c r="J8510" s="24" t="str" cm="1">
        <f t="array" ref="J8510">IFERROR(IF($B8510=J$1, ($A8510+$C8510) - MAX(IF($B$2:$B8509=$B8510, $A$2:$A8509+$C$2:$C8509)), "")*24*60, "")</f>
        <v/>
      </c>
      <c r="K8510" s="24" t="str" cm="1">
        <f t="array" ref="K8510">IFERROR(IF($B8510=K$1, ($A8510+$C8510) - MAX(IF($B$2:$B8509=$B8510, $A$2:$A8509+$C$2:$C8509)), "")*24*60, "")</f>
        <v/>
      </c>
      <c r="L8510" s="24" t="str" cm="1">
        <f t="array" ref="L8510">IFERROR(IF($B8510=L$1, ($A8510+$C8510) - MAX(IF($B$2:$B8509=$B8510, $A$2:$A8509+$C$2:$C8509)), "")*24*60, "")</f>
        <v/>
      </c>
      <c r="M8510" s="24" t="str" cm="1">
        <f t="array" ref="M8510">IFERROR(IF($B8510=M$1, ($A8510+$C8510) - MAX(IF($B$2:$B8509=$B8510, $A$2:$A8509+$C$2:$C8509)), "")*24*60, "")</f>
        <v/>
      </c>
      <c r="N8510" s="24" t="str" cm="1">
        <f t="array" ref="N8510">IFERROR(IF($B8510=N$1, ($A8510+$C8510) - MAX(IF($B$2:$B8509=$B8510, $A$2:$A8509+$C$2:$C8509)), "")*24*60, "")</f>
        <v/>
      </c>
      <c r="O8510" s="24" t="str" cm="1">
        <f t="array" ref="O8510">IFERROR(IF($B8510=O$1, ($A8510+$C8510) - MAX(IF($B$2:$B8509=$B8510, $A$2:$A8509+$C$2:$C8509)), "")*24*60, "")</f>
        <v/>
      </c>
      <c r="P8510" s="24" t="str" cm="1">
        <f t="array" ref="P8510">IFERROR(IF($B8510=P$1, ($A8510+$C8510) - MAX(IF($B$2:$B8509=$B8510, $A$2:$A8509+$C$2:$C8509)), "")*24*60, "")</f>
        <v/>
      </c>
      <c r="Q8510" s="24" t="str" cm="1">
        <f t="array" ref="Q8510">IFERROR(IF($B8510=Q$1, ($A8510+$C8510) - MAX(IF($B$2:$B8509=$B8510, $A$2:$A8509+$C$2:$C8509)), "")*24*60, "")</f>
        <v/>
      </c>
      <c r="R8510" s="24" t="str" cm="1">
        <f t="array" ref="R8510">IFERROR(IF($B8510=R$1, ($A8510+$C8510) - MAX(IF($B$2:$B8509=$B8510, $A$2:$A8509+$C$2:$C8509)), "")*24*60, "")</f>
        <v/>
      </c>
      <c r="S8510" s="24" t="str" cm="1">
        <f t="array" ref="S8510">IFERROR(IF($B8510=S$1, ($A8510+$C8510) - MAX(IF($B$2:$B8509=$B8510, $A$2:$A8509+$C$2:$C8509)), "")*24*60, "")</f>
        <v/>
      </c>
    </row>
    <row r="8511" spans="1:19" x14ac:dyDescent="0.2">
      <c r="A8511" s="12">
        <f t="shared" ref="A8511:C8511" si="1612">A8510</f>
        <v>46029</v>
      </c>
      <c r="B8511" s="5" t="str">
        <f t="shared" si="1612"/>
        <v>Northern Cardinal</v>
      </c>
      <c r="C8511" s="6">
        <f t="shared" si="1612"/>
        <v>0.75</v>
      </c>
      <c r="D8511" s="5"/>
      <c r="E8511" s="5"/>
      <c r="F8511" s="5" t="s">
        <v>9</v>
      </c>
      <c r="G8511" s="15" t="s">
        <v>8</v>
      </c>
      <c r="H8511" s="24">
        <f t="shared" si="1586"/>
        <v>0</v>
      </c>
      <c r="I8511" s="24" cm="1">
        <f t="array" ref="I8511">IFERROR(IF($B8511=I$1, ($A8511+$C8511) - MAX(IF($B$2:$B8510=$B8511, $A$2:$A8510+$C$2:$C8510)), "")*24*60, "")</f>
        <v>0</v>
      </c>
      <c r="J8511" s="24" t="str" cm="1">
        <f t="array" ref="J8511">IFERROR(IF($B8511=J$1, ($A8511+$C8511) - MAX(IF($B$2:$B8510=$B8511, $A$2:$A8510+$C$2:$C8510)), "")*24*60, "")</f>
        <v/>
      </c>
      <c r="K8511" s="24" t="str" cm="1">
        <f t="array" ref="K8511">IFERROR(IF($B8511=K$1, ($A8511+$C8511) - MAX(IF($B$2:$B8510=$B8511, $A$2:$A8510+$C$2:$C8510)), "")*24*60, "")</f>
        <v/>
      </c>
      <c r="L8511" s="24" t="str" cm="1">
        <f t="array" ref="L8511">IFERROR(IF($B8511=L$1, ($A8511+$C8511) - MAX(IF($B$2:$B8510=$B8511, $A$2:$A8510+$C$2:$C8510)), "")*24*60, "")</f>
        <v/>
      </c>
      <c r="M8511" s="24" t="str" cm="1">
        <f t="array" ref="M8511">IFERROR(IF($B8511=M$1, ($A8511+$C8511) - MAX(IF($B$2:$B8510=$B8511, $A$2:$A8510+$C$2:$C8510)), "")*24*60, "")</f>
        <v/>
      </c>
      <c r="N8511" s="24" t="str" cm="1">
        <f t="array" ref="N8511">IFERROR(IF($B8511=N$1, ($A8511+$C8511) - MAX(IF($B$2:$B8510=$B8511, $A$2:$A8510+$C$2:$C8510)), "")*24*60, "")</f>
        <v/>
      </c>
      <c r="O8511" s="24" t="str" cm="1">
        <f t="array" ref="O8511">IFERROR(IF($B8511=O$1, ($A8511+$C8511) - MAX(IF($B$2:$B8510=$B8511, $A$2:$A8510+$C$2:$C8510)), "")*24*60, "")</f>
        <v/>
      </c>
      <c r="P8511" s="24" t="str" cm="1">
        <f t="array" ref="P8511">IFERROR(IF($B8511=P$1, ($A8511+$C8511) - MAX(IF($B$2:$B8510=$B8511, $A$2:$A8510+$C$2:$C8510)), "")*24*60, "")</f>
        <v/>
      </c>
      <c r="Q8511" s="24" t="str" cm="1">
        <f t="array" ref="Q8511">IFERROR(IF($B8511=Q$1, ($A8511+$C8511) - MAX(IF($B$2:$B8510=$B8511, $A$2:$A8510+$C$2:$C8510)), "")*24*60, "")</f>
        <v/>
      </c>
      <c r="R8511" s="24" t="str" cm="1">
        <f t="array" ref="R8511">IFERROR(IF($B8511=R$1, ($A8511+$C8511) - MAX(IF($B$2:$B8510=$B8511, $A$2:$A8510+$C$2:$C8510)), "")*24*60, "")</f>
        <v/>
      </c>
      <c r="S8511" s="24" t="str" cm="1">
        <f t="array" ref="S8511">IFERROR(IF($B8511=S$1, ($A8511+$C8511) - MAX(IF($B$2:$B8510=$B8511, $A$2:$A8510+$C$2:$C8510)), "")*24*60, "")</f>
        <v/>
      </c>
    </row>
    <row r="8512" spans="1:19" x14ac:dyDescent="0.2">
      <c r="A8512" s="12">
        <f t="shared" ref="A8512:C8512" si="1613">A8511</f>
        <v>46029</v>
      </c>
      <c r="B8512" s="5" t="str">
        <f t="shared" si="1613"/>
        <v>Northern Cardinal</v>
      </c>
      <c r="C8512" s="6">
        <f t="shared" si="1613"/>
        <v>0.75</v>
      </c>
      <c r="D8512" s="5"/>
      <c r="E8512" s="5"/>
      <c r="F8512" s="5" t="s">
        <v>9</v>
      </c>
      <c r="G8512" s="15" t="s">
        <v>8</v>
      </c>
      <c r="H8512" s="24">
        <f t="shared" si="1586"/>
        <v>0</v>
      </c>
      <c r="I8512" s="24" cm="1">
        <f t="array" ref="I8512">IFERROR(IF($B8512=I$1, ($A8512+$C8512) - MAX(IF($B$2:$B8511=$B8512, $A$2:$A8511+$C$2:$C8511)), "")*24*60, "")</f>
        <v>0</v>
      </c>
      <c r="J8512" s="24" t="str" cm="1">
        <f t="array" ref="J8512">IFERROR(IF($B8512=J$1, ($A8512+$C8512) - MAX(IF($B$2:$B8511=$B8512, $A$2:$A8511+$C$2:$C8511)), "")*24*60, "")</f>
        <v/>
      </c>
      <c r="K8512" s="24" t="str" cm="1">
        <f t="array" ref="K8512">IFERROR(IF($B8512=K$1, ($A8512+$C8512) - MAX(IF($B$2:$B8511=$B8512, $A$2:$A8511+$C$2:$C8511)), "")*24*60, "")</f>
        <v/>
      </c>
      <c r="L8512" s="24" t="str" cm="1">
        <f t="array" ref="L8512">IFERROR(IF($B8512=L$1, ($A8512+$C8512) - MAX(IF($B$2:$B8511=$B8512, $A$2:$A8511+$C$2:$C8511)), "")*24*60, "")</f>
        <v/>
      </c>
      <c r="M8512" s="24" t="str" cm="1">
        <f t="array" ref="M8512">IFERROR(IF($B8512=M$1, ($A8512+$C8512) - MAX(IF($B$2:$B8511=$B8512, $A$2:$A8511+$C$2:$C8511)), "")*24*60, "")</f>
        <v/>
      </c>
      <c r="N8512" s="24" t="str" cm="1">
        <f t="array" ref="N8512">IFERROR(IF($B8512=N$1, ($A8512+$C8512) - MAX(IF($B$2:$B8511=$B8512, $A$2:$A8511+$C$2:$C8511)), "")*24*60, "")</f>
        <v/>
      </c>
      <c r="O8512" s="24" t="str" cm="1">
        <f t="array" ref="O8512">IFERROR(IF($B8512=O$1, ($A8512+$C8512) - MAX(IF($B$2:$B8511=$B8512, $A$2:$A8511+$C$2:$C8511)), "")*24*60, "")</f>
        <v/>
      </c>
      <c r="P8512" s="24" t="str" cm="1">
        <f t="array" ref="P8512">IFERROR(IF($B8512=P$1, ($A8512+$C8512) - MAX(IF($B$2:$B8511=$B8512, $A$2:$A8511+$C$2:$C8511)), "")*24*60, "")</f>
        <v/>
      </c>
      <c r="Q8512" s="24" t="str" cm="1">
        <f t="array" ref="Q8512">IFERROR(IF($B8512=Q$1, ($A8512+$C8512) - MAX(IF($B$2:$B8511=$B8512, $A$2:$A8511+$C$2:$C8511)), "")*24*60, "")</f>
        <v/>
      </c>
      <c r="R8512" s="24" t="str" cm="1">
        <f t="array" ref="R8512">IFERROR(IF($B8512=R$1, ($A8512+$C8512) - MAX(IF($B$2:$B8511=$B8512, $A$2:$A8511+$C$2:$C8511)), "")*24*60, "")</f>
        <v/>
      </c>
      <c r="S8512" s="24" t="str" cm="1">
        <f t="array" ref="S8512">IFERROR(IF($B8512=S$1, ($A8512+$C8512) - MAX(IF($B$2:$B8511=$B8512, $A$2:$A8511+$C$2:$C8511)), "")*24*60, "")</f>
        <v/>
      </c>
    </row>
    <row r="8513" spans="1:19" x14ac:dyDescent="0.2">
      <c r="A8513" s="12">
        <f t="shared" ref="A8513:C8513" si="1614">A8512</f>
        <v>46029</v>
      </c>
      <c r="B8513" s="5" t="str">
        <f t="shared" si="1614"/>
        <v>Northern Cardinal</v>
      </c>
      <c r="C8513" s="6">
        <f t="shared" si="1614"/>
        <v>0.75</v>
      </c>
      <c r="D8513" s="5"/>
      <c r="E8513" s="5"/>
      <c r="F8513" s="5" t="s">
        <v>9</v>
      </c>
      <c r="G8513" s="15" t="s">
        <v>8</v>
      </c>
      <c r="H8513" s="24">
        <f t="shared" si="1586"/>
        <v>0</v>
      </c>
      <c r="I8513" s="24" cm="1">
        <f t="array" ref="I8513">IFERROR(IF($B8513=I$1, ($A8513+$C8513) - MAX(IF($B$2:$B8512=$B8513, $A$2:$A8512+$C$2:$C8512)), "")*24*60, "")</f>
        <v>0</v>
      </c>
      <c r="J8513" s="24" t="str" cm="1">
        <f t="array" ref="J8513">IFERROR(IF($B8513=J$1, ($A8513+$C8513) - MAX(IF($B$2:$B8512=$B8513, $A$2:$A8512+$C$2:$C8512)), "")*24*60, "")</f>
        <v/>
      </c>
      <c r="K8513" s="24" t="str" cm="1">
        <f t="array" ref="K8513">IFERROR(IF($B8513=K$1, ($A8513+$C8513) - MAX(IF($B$2:$B8512=$B8513, $A$2:$A8512+$C$2:$C8512)), "")*24*60, "")</f>
        <v/>
      </c>
      <c r="L8513" s="24" t="str" cm="1">
        <f t="array" ref="L8513">IFERROR(IF($B8513=L$1, ($A8513+$C8513) - MAX(IF($B$2:$B8512=$B8513, $A$2:$A8512+$C$2:$C8512)), "")*24*60, "")</f>
        <v/>
      </c>
      <c r="M8513" s="24" t="str" cm="1">
        <f t="array" ref="M8513">IFERROR(IF($B8513=M$1, ($A8513+$C8513) - MAX(IF($B$2:$B8512=$B8513, $A$2:$A8512+$C$2:$C8512)), "")*24*60, "")</f>
        <v/>
      </c>
      <c r="N8513" s="24" t="str" cm="1">
        <f t="array" ref="N8513">IFERROR(IF($B8513=N$1, ($A8513+$C8513) - MAX(IF($B$2:$B8512=$B8513, $A$2:$A8512+$C$2:$C8512)), "")*24*60, "")</f>
        <v/>
      </c>
      <c r="O8513" s="24" t="str" cm="1">
        <f t="array" ref="O8513">IFERROR(IF($B8513=O$1, ($A8513+$C8513) - MAX(IF($B$2:$B8512=$B8513, $A$2:$A8512+$C$2:$C8512)), "")*24*60, "")</f>
        <v/>
      </c>
      <c r="P8513" s="24" t="str" cm="1">
        <f t="array" ref="P8513">IFERROR(IF($B8513=P$1, ($A8513+$C8513) - MAX(IF($B$2:$B8512=$B8513, $A$2:$A8512+$C$2:$C8512)), "")*24*60, "")</f>
        <v/>
      </c>
      <c r="Q8513" s="24" t="str" cm="1">
        <f t="array" ref="Q8513">IFERROR(IF($B8513=Q$1, ($A8513+$C8513) - MAX(IF($B$2:$B8512=$B8513, $A$2:$A8512+$C$2:$C8512)), "")*24*60, "")</f>
        <v/>
      </c>
      <c r="R8513" s="24" t="str" cm="1">
        <f t="array" ref="R8513">IFERROR(IF($B8513=R$1, ($A8513+$C8513) - MAX(IF($B$2:$B8512=$B8513, $A$2:$A8512+$C$2:$C8512)), "")*24*60, "")</f>
        <v/>
      </c>
      <c r="S8513" s="24" t="str" cm="1">
        <f t="array" ref="S8513">IFERROR(IF($B8513=S$1, ($A8513+$C8513) - MAX(IF($B$2:$B8512=$B8513, $A$2:$A8512+$C$2:$C8512)), "")*24*60, "")</f>
        <v/>
      </c>
    </row>
    <row r="8514" spans="1:19" x14ac:dyDescent="0.2">
      <c r="A8514" s="12">
        <f t="shared" ref="A8514:C8514" si="1615">A8513</f>
        <v>46029</v>
      </c>
      <c r="B8514" s="5" t="str">
        <f t="shared" si="1615"/>
        <v>Northern Cardinal</v>
      </c>
      <c r="C8514" s="6">
        <f t="shared" si="1615"/>
        <v>0.75</v>
      </c>
      <c r="D8514" s="5"/>
      <c r="E8514" s="5"/>
      <c r="F8514" s="5" t="s">
        <v>9</v>
      </c>
      <c r="G8514" s="15" t="s">
        <v>8</v>
      </c>
      <c r="H8514" s="24">
        <f t="shared" si="1586"/>
        <v>0</v>
      </c>
      <c r="I8514" s="24" cm="1">
        <f t="array" ref="I8514">IFERROR(IF($B8514=I$1, ($A8514+$C8514) - MAX(IF($B$2:$B8513=$B8514, $A$2:$A8513+$C$2:$C8513)), "")*24*60, "")</f>
        <v>0</v>
      </c>
      <c r="J8514" s="24" t="str" cm="1">
        <f t="array" ref="J8514">IFERROR(IF($B8514=J$1, ($A8514+$C8514) - MAX(IF($B$2:$B8513=$B8514, $A$2:$A8513+$C$2:$C8513)), "")*24*60, "")</f>
        <v/>
      </c>
      <c r="K8514" s="24" t="str" cm="1">
        <f t="array" ref="K8514">IFERROR(IF($B8514=K$1, ($A8514+$C8514) - MAX(IF($B$2:$B8513=$B8514, $A$2:$A8513+$C$2:$C8513)), "")*24*60, "")</f>
        <v/>
      </c>
      <c r="L8514" s="24" t="str" cm="1">
        <f t="array" ref="L8514">IFERROR(IF($B8514=L$1, ($A8514+$C8514) - MAX(IF($B$2:$B8513=$B8514, $A$2:$A8513+$C$2:$C8513)), "")*24*60, "")</f>
        <v/>
      </c>
      <c r="M8514" s="24" t="str" cm="1">
        <f t="array" ref="M8514">IFERROR(IF($B8514=M$1, ($A8514+$C8514) - MAX(IF($B$2:$B8513=$B8514, $A$2:$A8513+$C$2:$C8513)), "")*24*60, "")</f>
        <v/>
      </c>
      <c r="N8514" s="24" t="str" cm="1">
        <f t="array" ref="N8514">IFERROR(IF($B8514=N$1, ($A8514+$C8514) - MAX(IF($B$2:$B8513=$B8514, $A$2:$A8513+$C$2:$C8513)), "")*24*60, "")</f>
        <v/>
      </c>
      <c r="O8514" s="24" t="str" cm="1">
        <f t="array" ref="O8514">IFERROR(IF($B8514=O$1, ($A8514+$C8514) - MAX(IF($B$2:$B8513=$B8514, $A$2:$A8513+$C$2:$C8513)), "")*24*60, "")</f>
        <v/>
      </c>
      <c r="P8514" s="24" t="str" cm="1">
        <f t="array" ref="P8514">IFERROR(IF($B8514=P$1, ($A8514+$C8514) - MAX(IF($B$2:$B8513=$B8514, $A$2:$A8513+$C$2:$C8513)), "")*24*60, "")</f>
        <v/>
      </c>
      <c r="Q8514" s="24" t="str" cm="1">
        <f t="array" ref="Q8514">IFERROR(IF($B8514=Q$1, ($A8514+$C8514) - MAX(IF($B$2:$B8513=$B8514, $A$2:$A8513+$C$2:$C8513)), "")*24*60, "")</f>
        <v/>
      </c>
      <c r="R8514" s="24" t="str" cm="1">
        <f t="array" ref="R8514">IFERROR(IF($B8514=R$1, ($A8514+$C8514) - MAX(IF($B$2:$B8513=$B8514, $A$2:$A8513+$C$2:$C8513)), "")*24*60, "")</f>
        <v/>
      </c>
      <c r="S8514" s="24" t="str" cm="1">
        <f t="array" ref="S8514">IFERROR(IF($B8514=S$1, ($A8514+$C8514) - MAX(IF($B$2:$B8513=$B8514, $A$2:$A8513+$C$2:$C8513)), "")*24*60, "")</f>
        <v/>
      </c>
    </row>
    <row r="8515" spans="1:19" x14ac:dyDescent="0.2">
      <c r="A8515" s="12">
        <f t="shared" ref="A8515:C8515" si="1616">A8514</f>
        <v>46029</v>
      </c>
      <c r="B8515" s="5" t="str">
        <f t="shared" si="1616"/>
        <v>Northern Cardinal</v>
      </c>
      <c r="C8515" s="6">
        <f t="shared" si="1616"/>
        <v>0.75</v>
      </c>
      <c r="D8515" s="5"/>
      <c r="E8515" s="5"/>
      <c r="F8515" s="5" t="s">
        <v>9</v>
      </c>
      <c r="G8515" s="15" t="s">
        <v>8</v>
      </c>
      <c r="H8515" s="24">
        <f t="shared" si="1586"/>
        <v>0</v>
      </c>
      <c r="I8515" s="24" cm="1">
        <f t="array" ref="I8515">IFERROR(IF($B8515=I$1, ($A8515+$C8515) - MAX(IF($B$2:$B8514=$B8515, $A$2:$A8514+$C$2:$C8514)), "")*24*60, "")</f>
        <v>0</v>
      </c>
      <c r="J8515" s="24" t="str" cm="1">
        <f t="array" ref="J8515">IFERROR(IF($B8515=J$1, ($A8515+$C8515) - MAX(IF($B$2:$B8514=$B8515, $A$2:$A8514+$C$2:$C8514)), "")*24*60, "")</f>
        <v/>
      </c>
      <c r="K8515" s="24" t="str" cm="1">
        <f t="array" ref="K8515">IFERROR(IF($B8515=K$1, ($A8515+$C8515) - MAX(IF($B$2:$B8514=$B8515, $A$2:$A8514+$C$2:$C8514)), "")*24*60, "")</f>
        <v/>
      </c>
      <c r="L8515" s="24" t="str" cm="1">
        <f t="array" ref="L8515">IFERROR(IF($B8515=L$1, ($A8515+$C8515) - MAX(IF($B$2:$B8514=$B8515, $A$2:$A8514+$C$2:$C8514)), "")*24*60, "")</f>
        <v/>
      </c>
      <c r="M8515" s="24" t="str" cm="1">
        <f t="array" ref="M8515">IFERROR(IF($B8515=M$1, ($A8515+$C8515) - MAX(IF($B$2:$B8514=$B8515, $A$2:$A8514+$C$2:$C8514)), "")*24*60, "")</f>
        <v/>
      </c>
      <c r="N8515" s="24" t="str" cm="1">
        <f t="array" ref="N8515">IFERROR(IF($B8515=N$1, ($A8515+$C8515) - MAX(IF($B$2:$B8514=$B8515, $A$2:$A8514+$C$2:$C8514)), "")*24*60, "")</f>
        <v/>
      </c>
      <c r="O8515" s="24" t="str" cm="1">
        <f t="array" ref="O8515">IFERROR(IF($B8515=O$1, ($A8515+$C8515) - MAX(IF($B$2:$B8514=$B8515, $A$2:$A8514+$C$2:$C8514)), "")*24*60, "")</f>
        <v/>
      </c>
      <c r="P8515" s="24" t="str" cm="1">
        <f t="array" ref="P8515">IFERROR(IF($B8515=P$1, ($A8515+$C8515) - MAX(IF($B$2:$B8514=$B8515, $A$2:$A8514+$C$2:$C8514)), "")*24*60, "")</f>
        <v/>
      </c>
      <c r="Q8515" s="24" t="str" cm="1">
        <f t="array" ref="Q8515">IFERROR(IF($B8515=Q$1, ($A8515+$C8515) - MAX(IF($B$2:$B8514=$B8515, $A$2:$A8514+$C$2:$C8514)), "")*24*60, "")</f>
        <v/>
      </c>
      <c r="R8515" s="24" t="str" cm="1">
        <f t="array" ref="R8515">IFERROR(IF($B8515=R$1, ($A8515+$C8515) - MAX(IF($B$2:$B8514=$B8515, $A$2:$A8514+$C$2:$C8514)), "")*24*60, "")</f>
        <v/>
      </c>
      <c r="S8515" s="24" t="str" cm="1">
        <f t="array" ref="S8515">IFERROR(IF($B8515=S$1, ($A8515+$C8515) - MAX(IF($B$2:$B8514=$B8515, $A$2:$A8514+$C$2:$C8514)), "")*24*60, "")</f>
        <v/>
      </c>
    </row>
    <row r="8516" spans="1:19" x14ac:dyDescent="0.2">
      <c r="A8516" s="12">
        <f t="shared" ref="A8516:C8516" si="1617">A8515</f>
        <v>46029</v>
      </c>
      <c r="B8516" s="5" t="str">
        <f t="shared" si="1617"/>
        <v>Northern Cardinal</v>
      </c>
      <c r="C8516" s="6">
        <f t="shared" si="1617"/>
        <v>0.75</v>
      </c>
      <c r="D8516" s="5"/>
      <c r="E8516" s="5"/>
      <c r="F8516" s="5" t="s">
        <v>9</v>
      </c>
      <c r="G8516" s="15" t="s">
        <v>8</v>
      </c>
      <c r="H8516" s="24">
        <f t="shared" si="1586"/>
        <v>0</v>
      </c>
      <c r="I8516" s="24" cm="1">
        <f t="array" ref="I8516">IFERROR(IF($B8516=I$1, ($A8516+$C8516) - MAX(IF($B$2:$B8515=$B8516, $A$2:$A8515+$C$2:$C8515)), "")*24*60, "")</f>
        <v>0</v>
      </c>
      <c r="J8516" s="24" t="str" cm="1">
        <f t="array" ref="J8516">IFERROR(IF($B8516=J$1, ($A8516+$C8516) - MAX(IF($B$2:$B8515=$B8516, $A$2:$A8515+$C$2:$C8515)), "")*24*60, "")</f>
        <v/>
      </c>
      <c r="K8516" s="24" t="str" cm="1">
        <f t="array" ref="K8516">IFERROR(IF($B8516=K$1, ($A8516+$C8516) - MAX(IF($B$2:$B8515=$B8516, $A$2:$A8515+$C$2:$C8515)), "")*24*60, "")</f>
        <v/>
      </c>
      <c r="L8516" s="24" t="str" cm="1">
        <f t="array" ref="L8516">IFERROR(IF($B8516=L$1, ($A8516+$C8516) - MAX(IF($B$2:$B8515=$B8516, $A$2:$A8515+$C$2:$C8515)), "")*24*60, "")</f>
        <v/>
      </c>
      <c r="M8516" s="24" t="str" cm="1">
        <f t="array" ref="M8516">IFERROR(IF($B8516=M$1, ($A8516+$C8516) - MAX(IF($B$2:$B8515=$B8516, $A$2:$A8515+$C$2:$C8515)), "")*24*60, "")</f>
        <v/>
      </c>
      <c r="N8516" s="24" t="str" cm="1">
        <f t="array" ref="N8516">IFERROR(IF($B8516=N$1, ($A8516+$C8516) - MAX(IF($B$2:$B8515=$B8516, $A$2:$A8515+$C$2:$C8515)), "")*24*60, "")</f>
        <v/>
      </c>
      <c r="O8516" s="24" t="str" cm="1">
        <f t="array" ref="O8516">IFERROR(IF($B8516=O$1, ($A8516+$C8516) - MAX(IF($B$2:$B8515=$B8516, $A$2:$A8515+$C$2:$C8515)), "")*24*60, "")</f>
        <v/>
      </c>
      <c r="P8516" s="24" t="str" cm="1">
        <f t="array" ref="P8516">IFERROR(IF($B8516=P$1, ($A8516+$C8516) - MAX(IF($B$2:$B8515=$B8516, $A$2:$A8515+$C$2:$C8515)), "")*24*60, "")</f>
        <v/>
      </c>
      <c r="Q8516" s="24" t="str" cm="1">
        <f t="array" ref="Q8516">IFERROR(IF($B8516=Q$1, ($A8516+$C8516) - MAX(IF($B$2:$B8515=$B8516, $A$2:$A8515+$C$2:$C8515)), "")*24*60, "")</f>
        <v/>
      </c>
      <c r="R8516" s="24" t="str" cm="1">
        <f t="array" ref="R8516">IFERROR(IF($B8516=R$1, ($A8516+$C8516) - MAX(IF($B$2:$B8515=$B8516, $A$2:$A8515+$C$2:$C8515)), "")*24*60, "")</f>
        <v/>
      </c>
      <c r="S8516" s="24" t="str" cm="1">
        <f t="array" ref="S8516">IFERROR(IF($B8516=S$1, ($A8516+$C8516) - MAX(IF($B$2:$B8515=$B8516, $A$2:$A8515+$C$2:$C8515)), "")*24*60, "")</f>
        <v/>
      </c>
    </row>
    <row r="8517" spans="1:19" x14ac:dyDescent="0.2">
      <c r="A8517" s="12">
        <f t="shared" ref="A8517:C8517" si="1618">A8516</f>
        <v>46029</v>
      </c>
      <c r="B8517" s="5" t="str">
        <f t="shared" si="1618"/>
        <v>Northern Cardinal</v>
      </c>
      <c r="C8517" s="6">
        <f t="shared" si="1618"/>
        <v>0.75</v>
      </c>
      <c r="D8517" s="5"/>
      <c r="E8517" s="5"/>
      <c r="F8517" s="5" t="s">
        <v>9</v>
      </c>
      <c r="G8517" s="15" t="s">
        <v>8</v>
      </c>
      <c r="H8517" s="24">
        <f t="shared" si="1586"/>
        <v>0</v>
      </c>
      <c r="I8517" s="24" cm="1">
        <f t="array" ref="I8517">IFERROR(IF($B8517=I$1, ($A8517+$C8517) - MAX(IF($B$2:$B8516=$B8517, $A$2:$A8516+$C$2:$C8516)), "")*24*60, "")</f>
        <v>0</v>
      </c>
      <c r="J8517" s="24" t="str" cm="1">
        <f t="array" ref="J8517">IFERROR(IF($B8517=J$1, ($A8517+$C8517) - MAX(IF($B$2:$B8516=$B8517, $A$2:$A8516+$C$2:$C8516)), "")*24*60, "")</f>
        <v/>
      </c>
      <c r="K8517" s="24" t="str" cm="1">
        <f t="array" ref="K8517">IFERROR(IF($B8517=K$1, ($A8517+$C8517) - MAX(IF($B$2:$B8516=$B8517, $A$2:$A8516+$C$2:$C8516)), "")*24*60, "")</f>
        <v/>
      </c>
      <c r="L8517" s="24" t="str" cm="1">
        <f t="array" ref="L8517">IFERROR(IF($B8517=L$1, ($A8517+$C8517) - MAX(IF($B$2:$B8516=$B8517, $A$2:$A8516+$C$2:$C8516)), "")*24*60, "")</f>
        <v/>
      </c>
      <c r="M8517" s="24" t="str" cm="1">
        <f t="array" ref="M8517">IFERROR(IF($B8517=M$1, ($A8517+$C8517) - MAX(IF($B$2:$B8516=$B8517, $A$2:$A8516+$C$2:$C8516)), "")*24*60, "")</f>
        <v/>
      </c>
      <c r="N8517" s="24" t="str" cm="1">
        <f t="array" ref="N8517">IFERROR(IF($B8517=N$1, ($A8517+$C8517) - MAX(IF($B$2:$B8516=$B8517, $A$2:$A8516+$C$2:$C8516)), "")*24*60, "")</f>
        <v/>
      </c>
      <c r="O8517" s="24" t="str" cm="1">
        <f t="array" ref="O8517">IFERROR(IF($B8517=O$1, ($A8517+$C8517) - MAX(IF($B$2:$B8516=$B8517, $A$2:$A8516+$C$2:$C8516)), "")*24*60, "")</f>
        <v/>
      </c>
      <c r="P8517" s="24" t="str" cm="1">
        <f t="array" ref="P8517">IFERROR(IF($B8517=P$1, ($A8517+$C8517) - MAX(IF($B$2:$B8516=$B8517, $A$2:$A8516+$C$2:$C8516)), "")*24*60, "")</f>
        <v/>
      </c>
      <c r="Q8517" s="24" t="str" cm="1">
        <f t="array" ref="Q8517">IFERROR(IF($B8517=Q$1, ($A8517+$C8517) - MAX(IF($B$2:$B8516=$B8517, $A$2:$A8516+$C$2:$C8516)), "")*24*60, "")</f>
        <v/>
      </c>
      <c r="R8517" s="24" t="str" cm="1">
        <f t="array" ref="R8517">IFERROR(IF($B8517=R$1, ($A8517+$C8517) - MAX(IF($B$2:$B8516=$B8517, $A$2:$A8516+$C$2:$C8516)), "")*24*60, "")</f>
        <v/>
      </c>
      <c r="S8517" s="24" t="str" cm="1">
        <f t="array" ref="S8517">IFERROR(IF($B8517=S$1, ($A8517+$C8517) - MAX(IF($B$2:$B8516=$B8517, $A$2:$A8516+$C$2:$C8516)), "")*24*60, "")</f>
        <v/>
      </c>
    </row>
    <row r="8518" spans="1:19" x14ac:dyDescent="0.2">
      <c r="A8518" s="12">
        <f t="shared" ref="A8518:C8518" si="1619">A8517</f>
        <v>46029</v>
      </c>
      <c r="B8518" s="5" t="str">
        <f t="shared" si="1619"/>
        <v>Northern Cardinal</v>
      </c>
      <c r="C8518" s="6">
        <f t="shared" si="1619"/>
        <v>0.75</v>
      </c>
      <c r="D8518" s="5"/>
      <c r="E8518" s="5"/>
      <c r="F8518" s="5" t="s">
        <v>9</v>
      </c>
      <c r="G8518" s="15" t="s">
        <v>8</v>
      </c>
      <c r="H8518" s="24">
        <f t="shared" si="1586"/>
        <v>0</v>
      </c>
      <c r="I8518" s="24" cm="1">
        <f t="array" ref="I8518">IFERROR(IF($B8518=I$1, ($A8518+$C8518) - MAX(IF($B$2:$B8517=$B8518, $A$2:$A8517+$C$2:$C8517)), "")*24*60, "")</f>
        <v>0</v>
      </c>
      <c r="J8518" s="24" t="str" cm="1">
        <f t="array" ref="J8518">IFERROR(IF($B8518=J$1, ($A8518+$C8518) - MAX(IF($B$2:$B8517=$B8518, $A$2:$A8517+$C$2:$C8517)), "")*24*60, "")</f>
        <v/>
      </c>
      <c r="K8518" s="24" t="str" cm="1">
        <f t="array" ref="K8518">IFERROR(IF($B8518=K$1, ($A8518+$C8518) - MAX(IF($B$2:$B8517=$B8518, $A$2:$A8517+$C$2:$C8517)), "")*24*60, "")</f>
        <v/>
      </c>
      <c r="L8518" s="24" t="str" cm="1">
        <f t="array" ref="L8518">IFERROR(IF($B8518=L$1, ($A8518+$C8518) - MAX(IF($B$2:$B8517=$B8518, $A$2:$A8517+$C$2:$C8517)), "")*24*60, "")</f>
        <v/>
      </c>
      <c r="M8518" s="24" t="str" cm="1">
        <f t="array" ref="M8518">IFERROR(IF($B8518=M$1, ($A8518+$C8518) - MAX(IF($B$2:$B8517=$B8518, $A$2:$A8517+$C$2:$C8517)), "")*24*60, "")</f>
        <v/>
      </c>
      <c r="N8518" s="24" t="str" cm="1">
        <f t="array" ref="N8518">IFERROR(IF($B8518=N$1, ($A8518+$C8518) - MAX(IF($B$2:$B8517=$B8518, $A$2:$A8517+$C$2:$C8517)), "")*24*60, "")</f>
        <v/>
      </c>
      <c r="O8518" s="24" t="str" cm="1">
        <f t="array" ref="O8518">IFERROR(IF($B8518=O$1, ($A8518+$C8518) - MAX(IF($B$2:$B8517=$B8518, $A$2:$A8517+$C$2:$C8517)), "")*24*60, "")</f>
        <v/>
      </c>
      <c r="P8518" s="24" t="str" cm="1">
        <f t="array" ref="P8518">IFERROR(IF($B8518=P$1, ($A8518+$C8518) - MAX(IF($B$2:$B8517=$B8518, $A$2:$A8517+$C$2:$C8517)), "")*24*60, "")</f>
        <v/>
      </c>
      <c r="Q8518" s="24" t="str" cm="1">
        <f t="array" ref="Q8518">IFERROR(IF($B8518=Q$1, ($A8518+$C8518) - MAX(IF($B$2:$B8517=$B8518, $A$2:$A8517+$C$2:$C8517)), "")*24*60, "")</f>
        <v/>
      </c>
      <c r="R8518" s="24" t="str" cm="1">
        <f t="array" ref="R8518">IFERROR(IF($B8518=R$1, ($A8518+$C8518) - MAX(IF($B$2:$B8517=$B8518, $A$2:$A8517+$C$2:$C8517)), "")*24*60, "")</f>
        <v/>
      </c>
      <c r="S8518" s="24" t="str" cm="1">
        <f t="array" ref="S8518">IFERROR(IF($B8518=S$1, ($A8518+$C8518) - MAX(IF($B$2:$B8517=$B8518, $A$2:$A8517+$C$2:$C8517)), "")*24*60, "")</f>
        <v/>
      </c>
    </row>
    <row r="8519" spans="1:19" x14ac:dyDescent="0.2">
      <c r="A8519" s="12">
        <f t="shared" ref="A8519:C8519" si="1620">A8518</f>
        <v>46029</v>
      </c>
      <c r="B8519" s="5" t="str">
        <f t="shared" si="1620"/>
        <v>Northern Cardinal</v>
      </c>
      <c r="C8519" s="6">
        <f t="shared" si="1620"/>
        <v>0.75</v>
      </c>
      <c r="D8519" s="5"/>
      <c r="E8519" s="5"/>
      <c r="F8519" s="5" t="s">
        <v>9</v>
      </c>
      <c r="G8519" s="15" t="s">
        <v>8</v>
      </c>
      <c r="H8519" s="24">
        <f t="shared" si="1586"/>
        <v>0</v>
      </c>
      <c r="I8519" s="24" cm="1">
        <f t="array" ref="I8519">IFERROR(IF($B8519=I$1, ($A8519+$C8519) - MAX(IF($B$2:$B8518=$B8519, $A$2:$A8518+$C$2:$C8518)), "")*24*60, "")</f>
        <v>0</v>
      </c>
      <c r="J8519" s="24" t="str" cm="1">
        <f t="array" ref="J8519">IFERROR(IF($B8519=J$1, ($A8519+$C8519) - MAX(IF($B$2:$B8518=$B8519, $A$2:$A8518+$C$2:$C8518)), "")*24*60, "")</f>
        <v/>
      </c>
      <c r="K8519" s="24" t="str" cm="1">
        <f t="array" ref="K8519">IFERROR(IF($B8519=K$1, ($A8519+$C8519) - MAX(IF($B$2:$B8518=$B8519, $A$2:$A8518+$C$2:$C8518)), "")*24*60, "")</f>
        <v/>
      </c>
      <c r="L8519" s="24" t="str" cm="1">
        <f t="array" ref="L8519">IFERROR(IF($B8519=L$1, ($A8519+$C8519) - MAX(IF($B$2:$B8518=$B8519, $A$2:$A8518+$C$2:$C8518)), "")*24*60, "")</f>
        <v/>
      </c>
      <c r="M8519" s="24" t="str" cm="1">
        <f t="array" ref="M8519">IFERROR(IF($B8519=M$1, ($A8519+$C8519) - MAX(IF($B$2:$B8518=$B8519, $A$2:$A8518+$C$2:$C8518)), "")*24*60, "")</f>
        <v/>
      </c>
      <c r="N8519" s="24" t="str" cm="1">
        <f t="array" ref="N8519">IFERROR(IF($B8519=N$1, ($A8519+$C8519) - MAX(IF($B$2:$B8518=$B8519, $A$2:$A8518+$C$2:$C8518)), "")*24*60, "")</f>
        <v/>
      </c>
      <c r="O8519" s="24" t="str" cm="1">
        <f t="array" ref="O8519">IFERROR(IF($B8519=O$1, ($A8519+$C8519) - MAX(IF($B$2:$B8518=$B8519, $A$2:$A8518+$C$2:$C8518)), "")*24*60, "")</f>
        <v/>
      </c>
      <c r="P8519" s="24" t="str" cm="1">
        <f t="array" ref="P8519">IFERROR(IF($B8519=P$1, ($A8519+$C8519) - MAX(IF($B$2:$B8518=$B8519, $A$2:$A8518+$C$2:$C8518)), "")*24*60, "")</f>
        <v/>
      </c>
      <c r="Q8519" s="24" t="str" cm="1">
        <f t="array" ref="Q8519">IFERROR(IF($B8519=Q$1, ($A8519+$C8519) - MAX(IF($B$2:$B8518=$B8519, $A$2:$A8518+$C$2:$C8518)), "")*24*60, "")</f>
        <v/>
      </c>
      <c r="R8519" s="24" t="str" cm="1">
        <f t="array" ref="R8519">IFERROR(IF($B8519=R$1, ($A8519+$C8519) - MAX(IF($B$2:$B8518=$B8519, $A$2:$A8518+$C$2:$C8518)), "")*24*60, "")</f>
        <v/>
      </c>
      <c r="S8519" s="24" t="str" cm="1">
        <f t="array" ref="S8519">IFERROR(IF($B8519=S$1, ($A8519+$C8519) - MAX(IF($B$2:$B8518=$B8519, $A$2:$A8518+$C$2:$C8518)), "")*24*60, "")</f>
        <v/>
      </c>
    </row>
    <row r="8520" spans="1:19" x14ac:dyDescent="0.2">
      <c r="A8520" s="12">
        <f t="shared" ref="A8520:C8520" si="1621">A8519</f>
        <v>46029</v>
      </c>
      <c r="B8520" s="5" t="str">
        <f t="shared" si="1621"/>
        <v>Northern Cardinal</v>
      </c>
      <c r="C8520" s="6">
        <f t="shared" si="1621"/>
        <v>0.75</v>
      </c>
      <c r="D8520" s="5"/>
      <c r="E8520" s="5"/>
      <c r="F8520" s="5" t="s">
        <v>9</v>
      </c>
      <c r="G8520" s="15" t="s">
        <v>8</v>
      </c>
      <c r="H8520" s="24">
        <f t="shared" si="1586"/>
        <v>0</v>
      </c>
      <c r="I8520" s="24" cm="1">
        <f t="array" ref="I8520">IFERROR(IF($B8520=I$1, ($A8520+$C8520) - MAX(IF($B$2:$B8519=$B8520, $A$2:$A8519+$C$2:$C8519)), "")*24*60, "")</f>
        <v>0</v>
      </c>
      <c r="J8520" s="24" t="str" cm="1">
        <f t="array" ref="J8520">IFERROR(IF($B8520=J$1, ($A8520+$C8520) - MAX(IF($B$2:$B8519=$B8520, $A$2:$A8519+$C$2:$C8519)), "")*24*60, "")</f>
        <v/>
      </c>
      <c r="K8520" s="24" t="str" cm="1">
        <f t="array" ref="K8520">IFERROR(IF($B8520=K$1, ($A8520+$C8520) - MAX(IF($B$2:$B8519=$B8520, $A$2:$A8519+$C$2:$C8519)), "")*24*60, "")</f>
        <v/>
      </c>
      <c r="L8520" s="24" t="str" cm="1">
        <f t="array" ref="L8520">IFERROR(IF($B8520=L$1, ($A8520+$C8520) - MAX(IF($B$2:$B8519=$B8520, $A$2:$A8519+$C$2:$C8519)), "")*24*60, "")</f>
        <v/>
      </c>
      <c r="M8520" s="24" t="str" cm="1">
        <f t="array" ref="M8520">IFERROR(IF($B8520=M$1, ($A8520+$C8520) - MAX(IF($B$2:$B8519=$B8520, $A$2:$A8519+$C$2:$C8519)), "")*24*60, "")</f>
        <v/>
      </c>
      <c r="N8520" s="24" t="str" cm="1">
        <f t="array" ref="N8520">IFERROR(IF($B8520=N$1, ($A8520+$C8520) - MAX(IF($B$2:$B8519=$B8520, $A$2:$A8519+$C$2:$C8519)), "")*24*60, "")</f>
        <v/>
      </c>
      <c r="O8520" s="24" t="str" cm="1">
        <f t="array" ref="O8520">IFERROR(IF($B8520=O$1, ($A8520+$C8520) - MAX(IF($B$2:$B8519=$B8520, $A$2:$A8519+$C$2:$C8519)), "")*24*60, "")</f>
        <v/>
      </c>
      <c r="P8520" s="24" t="str" cm="1">
        <f t="array" ref="P8520">IFERROR(IF($B8520=P$1, ($A8520+$C8520) - MAX(IF($B$2:$B8519=$B8520, $A$2:$A8519+$C$2:$C8519)), "")*24*60, "")</f>
        <v/>
      </c>
      <c r="Q8520" s="24" t="str" cm="1">
        <f t="array" ref="Q8520">IFERROR(IF($B8520=Q$1, ($A8520+$C8520) - MAX(IF($B$2:$B8519=$B8520, $A$2:$A8519+$C$2:$C8519)), "")*24*60, "")</f>
        <v/>
      </c>
      <c r="R8520" s="24" t="str" cm="1">
        <f t="array" ref="R8520">IFERROR(IF($B8520=R$1, ($A8520+$C8520) - MAX(IF($B$2:$B8519=$B8520, $A$2:$A8519+$C$2:$C8519)), "")*24*60, "")</f>
        <v/>
      </c>
      <c r="S8520" s="24" t="str" cm="1">
        <f t="array" ref="S8520">IFERROR(IF($B8520=S$1, ($A8520+$C8520) - MAX(IF($B$2:$B8519=$B8520, $A$2:$A8519+$C$2:$C8519)), "")*24*60, "")</f>
        <v/>
      </c>
    </row>
    <row r="8521" spans="1:19" x14ac:dyDescent="0.2">
      <c r="A8521" s="12">
        <f t="shared" ref="A8521:C8521" si="1622">A8520</f>
        <v>46029</v>
      </c>
      <c r="B8521" s="5" t="str">
        <f t="shared" si="1622"/>
        <v>Northern Cardinal</v>
      </c>
      <c r="C8521" s="6">
        <f t="shared" si="1622"/>
        <v>0.75</v>
      </c>
      <c r="D8521" s="5"/>
      <c r="E8521" s="5"/>
      <c r="F8521" s="5" t="s">
        <v>9</v>
      </c>
      <c r="G8521" s="15" t="s">
        <v>8</v>
      </c>
      <c r="H8521" s="24">
        <f t="shared" si="1586"/>
        <v>0</v>
      </c>
      <c r="I8521" s="24" cm="1">
        <f t="array" ref="I8521">IFERROR(IF($B8521=I$1, ($A8521+$C8521) - MAX(IF($B$2:$B8520=$B8521, $A$2:$A8520+$C$2:$C8520)), "")*24*60, "")</f>
        <v>0</v>
      </c>
      <c r="J8521" s="24" t="str" cm="1">
        <f t="array" ref="J8521">IFERROR(IF($B8521=J$1, ($A8521+$C8521) - MAX(IF($B$2:$B8520=$B8521, $A$2:$A8520+$C$2:$C8520)), "")*24*60, "")</f>
        <v/>
      </c>
      <c r="K8521" s="24" t="str" cm="1">
        <f t="array" ref="K8521">IFERROR(IF($B8521=K$1, ($A8521+$C8521) - MAX(IF($B$2:$B8520=$B8521, $A$2:$A8520+$C$2:$C8520)), "")*24*60, "")</f>
        <v/>
      </c>
      <c r="L8521" s="24" t="str" cm="1">
        <f t="array" ref="L8521">IFERROR(IF($B8521=L$1, ($A8521+$C8521) - MAX(IF($B$2:$B8520=$B8521, $A$2:$A8520+$C$2:$C8520)), "")*24*60, "")</f>
        <v/>
      </c>
      <c r="M8521" s="24" t="str" cm="1">
        <f t="array" ref="M8521">IFERROR(IF($B8521=M$1, ($A8521+$C8521) - MAX(IF($B$2:$B8520=$B8521, $A$2:$A8520+$C$2:$C8520)), "")*24*60, "")</f>
        <v/>
      </c>
      <c r="N8521" s="24" t="str" cm="1">
        <f t="array" ref="N8521">IFERROR(IF($B8521=N$1, ($A8521+$C8521) - MAX(IF($B$2:$B8520=$B8521, $A$2:$A8520+$C$2:$C8520)), "")*24*60, "")</f>
        <v/>
      </c>
      <c r="O8521" s="24" t="str" cm="1">
        <f t="array" ref="O8521">IFERROR(IF($B8521=O$1, ($A8521+$C8521) - MAX(IF($B$2:$B8520=$B8521, $A$2:$A8520+$C$2:$C8520)), "")*24*60, "")</f>
        <v/>
      </c>
      <c r="P8521" s="24" t="str" cm="1">
        <f t="array" ref="P8521">IFERROR(IF($B8521=P$1, ($A8521+$C8521) - MAX(IF($B$2:$B8520=$B8521, $A$2:$A8520+$C$2:$C8520)), "")*24*60, "")</f>
        <v/>
      </c>
      <c r="Q8521" s="24" t="str" cm="1">
        <f t="array" ref="Q8521">IFERROR(IF($B8521=Q$1, ($A8521+$C8521) - MAX(IF($B$2:$B8520=$B8521, $A$2:$A8520+$C$2:$C8520)), "")*24*60, "")</f>
        <v/>
      </c>
      <c r="R8521" s="24" t="str" cm="1">
        <f t="array" ref="R8521">IFERROR(IF($B8521=R$1, ($A8521+$C8521) - MAX(IF($B$2:$B8520=$B8521, $A$2:$A8520+$C$2:$C8520)), "")*24*60, "")</f>
        <v/>
      </c>
      <c r="S8521" s="24" t="str" cm="1">
        <f t="array" ref="S8521">IFERROR(IF($B8521=S$1, ($A8521+$C8521) - MAX(IF($B$2:$B8520=$B8521, $A$2:$A8520+$C$2:$C8520)), "")*24*60, "")</f>
        <v/>
      </c>
    </row>
    <row r="8522" spans="1:19" x14ac:dyDescent="0.2">
      <c r="A8522" s="12">
        <f t="shared" ref="A8522:C8522" si="1623">A8521</f>
        <v>46029</v>
      </c>
      <c r="B8522" s="5" t="str">
        <f t="shared" si="1623"/>
        <v>Northern Cardinal</v>
      </c>
      <c r="C8522" s="6">
        <f t="shared" si="1623"/>
        <v>0.75</v>
      </c>
      <c r="D8522" s="5"/>
      <c r="E8522" s="5"/>
      <c r="F8522" s="5" t="s">
        <v>9</v>
      </c>
      <c r="G8522" s="15" t="s">
        <v>8</v>
      </c>
      <c r="H8522" s="24">
        <f t="shared" si="1586"/>
        <v>0</v>
      </c>
      <c r="I8522" s="24" cm="1">
        <f t="array" ref="I8522">IFERROR(IF($B8522=I$1, ($A8522+$C8522) - MAX(IF($B$2:$B8521=$B8522, $A$2:$A8521+$C$2:$C8521)), "")*24*60, "")</f>
        <v>0</v>
      </c>
      <c r="J8522" s="24" t="str" cm="1">
        <f t="array" ref="J8522">IFERROR(IF($B8522=J$1, ($A8522+$C8522) - MAX(IF($B$2:$B8521=$B8522, $A$2:$A8521+$C$2:$C8521)), "")*24*60, "")</f>
        <v/>
      </c>
      <c r="K8522" s="24" t="str" cm="1">
        <f t="array" ref="K8522">IFERROR(IF($B8522=K$1, ($A8522+$C8522) - MAX(IF($B$2:$B8521=$B8522, $A$2:$A8521+$C$2:$C8521)), "")*24*60, "")</f>
        <v/>
      </c>
      <c r="L8522" s="24" t="str" cm="1">
        <f t="array" ref="L8522">IFERROR(IF($B8522=L$1, ($A8522+$C8522) - MAX(IF($B$2:$B8521=$B8522, $A$2:$A8521+$C$2:$C8521)), "")*24*60, "")</f>
        <v/>
      </c>
      <c r="M8522" s="24" t="str" cm="1">
        <f t="array" ref="M8522">IFERROR(IF($B8522=M$1, ($A8522+$C8522) - MAX(IF($B$2:$B8521=$B8522, $A$2:$A8521+$C$2:$C8521)), "")*24*60, "")</f>
        <v/>
      </c>
      <c r="N8522" s="24" t="str" cm="1">
        <f t="array" ref="N8522">IFERROR(IF($B8522=N$1, ($A8522+$C8522) - MAX(IF($B$2:$B8521=$B8522, $A$2:$A8521+$C$2:$C8521)), "")*24*60, "")</f>
        <v/>
      </c>
      <c r="O8522" s="24" t="str" cm="1">
        <f t="array" ref="O8522">IFERROR(IF($B8522=O$1, ($A8522+$C8522) - MAX(IF($B$2:$B8521=$B8522, $A$2:$A8521+$C$2:$C8521)), "")*24*60, "")</f>
        <v/>
      </c>
      <c r="P8522" s="24" t="str" cm="1">
        <f t="array" ref="P8522">IFERROR(IF($B8522=P$1, ($A8522+$C8522) - MAX(IF($B$2:$B8521=$B8522, $A$2:$A8521+$C$2:$C8521)), "")*24*60, "")</f>
        <v/>
      </c>
      <c r="Q8522" s="24" t="str" cm="1">
        <f t="array" ref="Q8522">IFERROR(IF($B8522=Q$1, ($A8522+$C8522) - MAX(IF($B$2:$B8521=$B8522, $A$2:$A8521+$C$2:$C8521)), "")*24*60, "")</f>
        <v/>
      </c>
      <c r="R8522" s="24" t="str" cm="1">
        <f t="array" ref="R8522">IFERROR(IF($B8522=R$1, ($A8522+$C8522) - MAX(IF($B$2:$B8521=$B8522, $A$2:$A8521+$C$2:$C8521)), "")*24*60, "")</f>
        <v/>
      </c>
      <c r="S8522" s="24" t="str" cm="1">
        <f t="array" ref="S8522">IFERROR(IF($B8522=S$1, ($A8522+$C8522) - MAX(IF($B$2:$B8521=$B8522, $A$2:$A8521+$C$2:$C8521)), "")*24*60, "")</f>
        <v/>
      </c>
    </row>
    <row r="8523" spans="1:19" x14ac:dyDescent="0.2">
      <c r="A8523" s="12">
        <f t="shared" ref="A8523:C8523" si="1624">A8522</f>
        <v>46029</v>
      </c>
      <c r="B8523" s="5" t="str">
        <f t="shared" si="1624"/>
        <v>Northern Cardinal</v>
      </c>
      <c r="C8523" s="6">
        <f t="shared" si="1624"/>
        <v>0.75</v>
      </c>
      <c r="D8523" s="5"/>
      <c r="E8523" s="5"/>
      <c r="F8523" s="5" t="s">
        <v>9</v>
      </c>
      <c r="G8523" s="15" t="s">
        <v>8</v>
      </c>
      <c r="H8523" s="24">
        <f t="shared" si="1586"/>
        <v>0</v>
      </c>
      <c r="I8523" s="24" cm="1">
        <f t="array" ref="I8523">IFERROR(IF($B8523=I$1, ($A8523+$C8523) - MAX(IF($B$2:$B8522=$B8523, $A$2:$A8522+$C$2:$C8522)), "")*24*60, "")</f>
        <v>0</v>
      </c>
      <c r="J8523" s="24" t="str" cm="1">
        <f t="array" ref="J8523">IFERROR(IF($B8523=J$1, ($A8523+$C8523) - MAX(IF($B$2:$B8522=$B8523, $A$2:$A8522+$C$2:$C8522)), "")*24*60, "")</f>
        <v/>
      </c>
      <c r="K8523" s="24" t="str" cm="1">
        <f t="array" ref="K8523">IFERROR(IF($B8523=K$1, ($A8523+$C8523) - MAX(IF($B$2:$B8522=$B8523, $A$2:$A8522+$C$2:$C8522)), "")*24*60, "")</f>
        <v/>
      </c>
      <c r="L8523" s="24" t="str" cm="1">
        <f t="array" ref="L8523">IFERROR(IF($B8523=L$1, ($A8523+$C8523) - MAX(IF($B$2:$B8522=$B8523, $A$2:$A8522+$C$2:$C8522)), "")*24*60, "")</f>
        <v/>
      </c>
      <c r="M8523" s="24" t="str" cm="1">
        <f t="array" ref="M8523">IFERROR(IF($B8523=M$1, ($A8523+$C8523) - MAX(IF($B$2:$B8522=$B8523, $A$2:$A8522+$C$2:$C8522)), "")*24*60, "")</f>
        <v/>
      </c>
      <c r="N8523" s="24" t="str" cm="1">
        <f t="array" ref="N8523">IFERROR(IF($B8523=N$1, ($A8523+$C8523) - MAX(IF($B$2:$B8522=$B8523, $A$2:$A8522+$C$2:$C8522)), "")*24*60, "")</f>
        <v/>
      </c>
      <c r="O8523" s="24" t="str" cm="1">
        <f t="array" ref="O8523">IFERROR(IF($B8523=O$1, ($A8523+$C8523) - MAX(IF($B$2:$B8522=$B8523, $A$2:$A8522+$C$2:$C8522)), "")*24*60, "")</f>
        <v/>
      </c>
      <c r="P8523" s="24" t="str" cm="1">
        <f t="array" ref="P8523">IFERROR(IF($B8523=P$1, ($A8523+$C8523) - MAX(IF($B$2:$B8522=$B8523, $A$2:$A8522+$C$2:$C8522)), "")*24*60, "")</f>
        <v/>
      </c>
      <c r="Q8523" s="24" t="str" cm="1">
        <f t="array" ref="Q8523">IFERROR(IF($B8523=Q$1, ($A8523+$C8523) - MAX(IF($B$2:$B8522=$B8523, $A$2:$A8522+$C$2:$C8522)), "")*24*60, "")</f>
        <v/>
      </c>
      <c r="R8523" s="24" t="str" cm="1">
        <f t="array" ref="R8523">IFERROR(IF($B8523=R$1, ($A8523+$C8523) - MAX(IF($B$2:$B8522=$B8523, $A$2:$A8522+$C$2:$C8522)), "")*24*60, "")</f>
        <v/>
      </c>
      <c r="S8523" s="24" t="str" cm="1">
        <f t="array" ref="S8523">IFERROR(IF($B8523=S$1, ($A8523+$C8523) - MAX(IF($B$2:$B8522=$B8523, $A$2:$A8522+$C$2:$C8522)), "")*24*60, "")</f>
        <v/>
      </c>
    </row>
    <row r="8524" spans="1:19" x14ac:dyDescent="0.2">
      <c r="A8524" s="12">
        <f t="shared" ref="A8524:C8524" si="1625">A8523</f>
        <v>46029</v>
      </c>
      <c r="B8524" s="5" t="str">
        <f t="shared" si="1625"/>
        <v>Northern Cardinal</v>
      </c>
      <c r="C8524" s="6">
        <f t="shared" si="1625"/>
        <v>0.75</v>
      </c>
      <c r="D8524" s="5"/>
      <c r="E8524" s="5"/>
      <c r="F8524" s="5" t="s">
        <v>9</v>
      </c>
      <c r="G8524" s="15" t="s">
        <v>8</v>
      </c>
      <c r="H8524" s="24">
        <f t="shared" si="1586"/>
        <v>0</v>
      </c>
      <c r="I8524" s="24" cm="1">
        <f t="array" ref="I8524">IFERROR(IF($B8524=I$1, ($A8524+$C8524) - MAX(IF($B$2:$B8523=$B8524, $A$2:$A8523+$C$2:$C8523)), "")*24*60, "")</f>
        <v>0</v>
      </c>
      <c r="J8524" s="24" t="str" cm="1">
        <f t="array" ref="J8524">IFERROR(IF($B8524=J$1, ($A8524+$C8524) - MAX(IF($B$2:$B8523=$B8524, $A$2:$A8523+$C$2:$C8523)), "")*24*60, "")</f>
        <v/>
      </c>
      <c r="K8524" s="24" t="str" cm="1">
        <f t="array" ref="K8524">IFERROR(IF($B8524=K$1, ($A8524+$C8524) - MAX(IF($B$2:$B8523=$B8524, $A$2:$A8523+$C$2:$C8523)), "")*24*60, "")</f>
        <v/>
      </c>
      <c r="L8524" s="24" t="str" cm="1">
        <f t="array" ref="L8524">IFERROR(IF($B8524=L$1, ($A8524+$C8524) - MAX(IF($B$2:$B8523=$B8524, $A$2:$A8523+$C$2:$C8523)), "")*24*60, "")</f>
        <v/>
      </c>
      <c r="M8524" s="24" t="str" cm="1">
        <f t="array" ref="M8524">IFERROR(IF($B8524=M$1, ($A8524+$C8524) - MAX(IF($B$2:$B8523=$B8524, $A$2:$A8523+$C$2:$C8523)), "")*24*60, "")</f>
        <v/>
      </c>
      <c r="N8524" s="24" t="str" cm="1">
        <f t="array" ref="N8524">IFERROR(IF($B8524=N$1, ($A8524+$C8524) - MAX(IF($B$2:$B8523=$B8524, $A$2:$A8523+$C$2:$C8523)), "")*24*60, "")</f>
        <v/>
      </c>
      <c r="O8524" s="24" t="str" cm="1">
        <f t="array" ref="O8524">IFERROR(IF($B8524=O$1, ($A8524+$C8524) - MAX(IF($B$2:$B8523=$B8524, $A$2:$A8523+$C$2:$C8523)), "")*24*60, "")</f>
        <v/>
      </c>
      <c r="P8524" s="24" t="str" cm="1">
        <f t="array" ref="P8524">IFERROR(IF($B8524=P$1, ($A8524+$C8524) - MAX(IF($B$2:$B8523=$B8524, $A$2:$A8523+$C$2:$C8523)), "")*24*60, "")</f>
        <v/>
      </c>
      <c r="Q8524" s="24" t="str" cm="1">
        <f t="array" ref="Q8524">IFERROR(IF($B8524=Q$1, ($A8524+$C8524) - MAX(IF($B$2:$B8523=$B8524, $A$2:$A8523+$C$2:$C8523)), "")*24*60, "")</f>
        <v/>
      </c>
      <c r="R8524" s="24" t="str" cm="1">
        <f t="array" ref="R8524">IFERROR(IF($B8524=R$1, ($A8524+$C8524) - MAX(IF($B$2:$B8523=$B8524, $A$2:$A8523+$C$2:$C8523)), "")*24*60, "")</f>
        <v/>
      </c>
      <c r="S8524" s="24" t="str" cm="1">
        <f t="array" ref="S8524">IFERROR(IF($B8524=S$1, ($A8524+$C8524) - MAX(IF($B$2:$B8523=$B8524, $A$2:$A8523+$C$2:$C8523)), "")*24*60, "")</f>
        <v/>
      </c>
    </row>
    <row r="8525" spans="1:19" x14ac:dyDescent="0.2">
      <c r="A8525" s="12">
        <f t="shared" ref="A8525:C8525" si="1626">A8524</f>
        <v>46029</v>
      </c>
      <c r="B8525" s="5" t="str">
        <f t="shared" si="1626"/>
        <v>Northern Cardinal</v>
      </c>
      <c r="C8525" s="6">
        <f t="shared" si="1626"/>
        <v>0.75</v>
      </c>
      <c r="D8525" s="5"/>
      <c r="E8525" s="5"/>
      <c r="F8525" s="5" t="s">
        <v>9</v>
      </c>
      <c r="G8525" s="15" t="s">
        <v>8</v>
      </c>
      <c r="H8525" s="24">
        <f t="shared" si="1586"/>
        <v>0</v>
      </c>
      <c r="I8525" s="24" cm="1">
        <f t="array" ref="I8525">IFERROR(IF($B8525=I$1, ($A8525+$C8525) - MAX(IF($B$2:$B8524=$B8525, $A$2:$A8524+$C$2:$C8524)), "")*24*60, "")</f>
        <v>0</v>
      </c>
      <c r="J8525" s="24" t="str" cm="1">
        <f t="array" ref="J8525">IFERROR(IF($B8525=J$1, ($A8525+$C8525) - MAX(IF($B$2:$B8524=$B8525, $A$2:$A8524+$C$2:$C8524)), "")*24*60, "")</f>
        <v/>
      </c>
      <c r="K8525" s="24" t="str" cm="1">
        <f t="array" ref="K8525">IFERROR(IF($B8525=K$1, ($A8525+$C8525) - MAX(IF($B$2:$B8524=$B8525, $A$2:$A8524+$C$2:$C8524)), "")*24*60, "")</f>
        <v/>
      </c>
      <c r="L8525" s="24" t="str" cm="1">
        <f t="array" ref="L8525">IFERROR(IF($B8525=L$1, ($A8525+$C8525) - MAX(IF($B$2:$B8524=$B8525, $A$2:$A8524+$C$2:$C8524)), "")*24*60, "")</f>
        <v/>
      </c>
      <c r="M8525" s="24" t="str" cm="1">
        <f t="array" ref="M8525">IFERROR(IF($B8525=M$1, ($A8525+$C8525) - MAX(IF($B$2:$B8524=$B8525, $A$2:$A8524+$C$2:$C8524)), "")*24*60, "")</f>
        <v/>
      </c>
      <c r="N8525" s="24" t="str" cm="1">
        <f t="array" ref="N8525">IFERROR(IF($B8525=N$1, ($A8525+$C8525) - MAX(IF($B$2:$B8524=$B8525, $A$2:$A8524+$C$2:$C8524)), "")*24*60, "")</f>
        <v/>
      </c>
      <c r="O8525" s="24" t="str" cm="1">
        <f t="array" ref="O8525">IFERROR(IF($B8525=O$1, ($A8525+$C8525) - MAX(IF($B$2:$B8524=$B8525, $A$2:$A8524+$C$2:$C8524)), "")*24*60, "")</f>
        <v/>
      </c>
      <c r="P8525" s="24" t="str" cm="1">
        <f t="array" ref="P8525">IFERROR(IF($B8525=P$1, ($A8525+$C8525) - MAX(IF($B$2:$B8524=$B8525, $A$2:$A8524+$C$2:$C8524)), "")*24*60, "")</f>
        <v/>
      </c>
      <c r="Q8525" s="24" t="str" cm="1">
        <f t="array" ref="Q8525">IFERROR(IF($B8525=Q$1, ($A8525+$C8525) - MAX(IF($B$2:$B8524=$B8525, $A$2:$A8524+$C$2:$C8524)), "")*24*60, "")</f>
        <v/>
      </c>
      <c r="R8525" s="24" t="str" cm="1">
        <f t="array" ref="R8525">IFERROR(IF($B8525=R$1, ($A8525+$C8525) - MAX(IF($B$2:$B8524=$B8525, $A$2:$A8524+$C$2:$C8524)), "")*24*60, "")</f>
        <v/>
      </c>
      <c r="S8525" s="24" t="str" cm="1">
        <f t="array" ref="S8525">IFERROR(IF($B8525=S$1, ($A8525+$C8525) - MAX(IF($B$2:$B8524=$B8525, $A$2:$A8524+$C$2:$C8524)), "")*24*60, "")</f>
        <v/>
      </c>
    </row>
    <row r="8526" spans="1:19" x14ac:dyDescent="0.2">
      <c r="A8526" s="12">
        <f t="shared" ref="A8526:C8526" si="1627">A8525</f>
        <v>46029</v>
      </c>
      <c r="B8526" s="5" t="str">
        <f t="shared" si="1627"/>
        <v>Northern Cardinal</v>
      </c>
      <c r="C8526" s="6">
        <f t="shared" si="1627"/>
        <v>0.75</v>
      </c>
      <c r="D8526" s="5"/>
      <c r="E8526" s="5"/>
      <c r="F8526" s="5" t="s">
        <v>9</v>
      </c>
      <c r="G8526" s="15" t="s">
        <v>8</v>
      </c>
      <c r="H8526" s="24">
        <f t="shared" si="1586"/>
        <v>0</v>
      </c>
      <c r="I8526" s="24" cm="1">
        <f t="array" ref="I8526">IFERROR(IF($B8526=I$1, ($A8526+$C8526) - MAX(IF($B$2:$B8525=$B8526, $A$2:$A8525+$C$2:$C8525)), "")*24*60, "")</f>
        <v>0</v>
      </c>
      <c r="J8526" s="24" t="str" cm="1">
        <f t="array" ref="J8526">IFERROR(IF($B8526=J$1, ($A8526+$C8526) - MAX(IF($B$2:$B8525=$B8526, $A$2:$A8525+$C$2:$C8525)), "")*24*60, "")</f>
        <v/>
      </c>
      <c r="K8526" s="24" t="str" cm="1">
        <f t="array" ref="K8526">IFERROR(IF($B8526=K$1, ($A8526+$C8526) - MAX(IF($B$2:$B8525=$B8526, $A$2:$A8525+$C$2:$C8525)), "")*24*60, "")</f>
        <v/>
      </c>
      <c r="L8526" s="24" t="str" cm="1">
        <f t="array" ref="L8526">IFERROR(IF($B8526=L$1, ($A8526+$C8526) - MAX(IF($B$2:$B8525=$B8526, $A$2:$A8525+$C$2:$C8525)), "")*24*60, "")</f>
        <v/>
      </c>
      <c r="M8526" s="24" t="str" cm="1">
        <f t="array" ref="M8526">IFERROR(IF($B8526=M$1, ($A8526+$C8526) - MAX(IF($B$2:$B8525=$B8526, $A$2:$A8525+$C$2:$C8525)), "")*24*60, "")</f>
        <v/>
      </c>
      <c r="N8526" s="24" t="str" cm="1">
        <f t="array" ref="N8526">IFERROR(IF($B8526=N$1, ($A8526+$C8526) - MAX(IF($B$2:$B8525=$B8526, $A$2:$A8525+$C$2:$C8525)), "")*24*60, "")</f>
        <v/>
      </c>
      <c r="O8526" s="24" t="str" cm="1">
        <f t="array" ref="O8526">IFERROR(IF($B8526=O$1, ($A8526+$C8526) - MAX(IF($B$2:$B8525=$B8526, $A$2:$A8525+$C$2:$C8525)), "")*24*60, "")</f>
        <v/>
      </c>
      <c r="P8526" s="24" t="str" cm="1">
        <f t="array" ref="P8526">IFERROR(IF($B8526=P$1, ($A8526+$C8526) - MAX(IF($B$2:$B8525=$B8526, $A$2:$A8525+$C$2:$C8525)), "")*24*60, "")</f>
        <v/>
      </c>
      <c r="Q8526" s="24" t="str" cm="1">
        <f t="array" ref="Q8526">IFERROR(IF($B8526=Q$1, ($A8526+$C8526) - MAX(IF($B$2:$B8525=$B8526, $A$2:$A8525+$C$2:$C8525)), "")*24*60, "")</f>
        <v/>
      </c>
      <c r="R8526" s="24" t="str" cm="1">
        <f t="array" ref="R8526">IFERROR(IF($B8526=R$1, ($A8526+$C8526) - MAX(IF($B$2:$B8525=$B8526, $A$2:$A8525+$C$2:$C8525)), "")*24*60, "")</f>
        <v/>
      </c>
      <c r="S8526" s="24" t="str" cm="1">
        <f t="array" ref="S8526">IFERROR(IF($B8526=S$1, ($A8526+$C8526) - MAX(IF($B$2:$B8525=$B8526, $A$2:$A8525+$C$2:$C8525)), "")*24*60, "")</f>
        <v/>
      </c>
    </row>
    <row r="8527" spans="1:19" x14ac:dyDescent="0.2">
      <c r="A8527" s="12">
        <f t="shared" ref="A8527:C8527" si="1628">A8526</f>
        <v>46029</v>
      </c>
      <c r="B8527" s="5" t="str">
        <f t="shared" si="1628"/>
        <v>Northern Cardinal</v>
      </c>
      <c r="C8527" s="6">
        <f t="shared" si="1628"/>
        <v>0.75</v>
      </c>
      <c r="D8527" s="5"/>
      <c r="E8527" s="5"/>
      <c r="F8527" s="5" t="s">
        <v>9</v>
      </c>
      <c r="G8527" s="15" t="s">
        <v>8</v>
      </c>
      <c r="H8527" s="24">
        <f t="shared" si="1586"/>
        <v>0</v>
      </c>
      <c r="I8527" s="24" cm="1">
        <f t="array" ref="I8527">IFERROR(IF($B8527=I$1, ($A8527+$C8527) - MAX(IF($B$2:$B8526=$B8527, $A$2:$A8526+$C$2:$C8526)), "")*24*60, "")</f>
        <v>0</v>
      </c>
      <c r="J8527" s="24" t="str" cm="1">
        <f t="array" ref="J8527">IFERROR(IF($B8527=J$1, ($A8527+$C8527) - MAX(IF($B$2:$B8526=$B8527, $A$2:$A8526+$C$2:$C8526)), "")*24*60, "")</f>
        <v/>
      </c>
      <c r="K8527" s="24" t="str" cm="1">
        <f t="array" ref="K8527">IFERROR(IF($B8527=K$1, ($A8527+$C8527) - MAX(IF($B$2:$B8526=$B8527, $A$2:$A8526+$C$2:$C8526)), "")*24*60, "")</f>
        <v/>
      </c>
      <c r="L8527" s="24" t="str" cm="1">
        <f t="array" ref="L8527">IFERROR(IF($B8527=L$1, ($A8527+$C8527) - MAX(IF($B$2:$B8526=$B8527, $A$2:$A8526+$C$2:$C8526)), "")*24*60, "")</f>
        <v/>
      </c>
      <c r="M8527" s="24" t="str" cm="1">
        <f t="array" ref="M8527">IFERROR(IF($B8527=M$1, ($A8527+$C8527) - MAX(IF($B$2:$B8526=$B8527, $A$2:$A8526+$C$2:$C8526)), "")*24*60, "")</f>
        <v/>
      </c>
      <c r="N8527" s="24" t="str" cm="1">
        <f t="array" ref="N8527">IFERROR(IF($B8527=N$1, ($A8527+$C8527) - MAX(IF($B$2:$B8526=$B8527, $A$2:$A8526+$C$2:$C8526)), "")*24*60, "")</f>
        <v/>
      </c>
      <c r="O8527" s="24" t="str" cm="1">
        <f t="array" ref="O8527">IFERROR(IF($B8527=O$1, ($A8527+$C8527) - MAX(IF($B$2:$B8526=$B8527, $A$2:$A8526+$C$2:$C8526)), "")*24*60, "")</f>
        <v/>
      </c>
      <c r="P8527" s="24" t="str" cm="1">
        <f t="array" ref="P8527">IFERROR(IF($B8527=P$1, ($A8527+$C8527) - MAX(IF($B$2:$B8526=$B8527, $A$2:$A8526+$C$2:$C8526)), "")*24*60, "")</f>
        <v/>
      </c>
      <c r="Q8527" s="24" t="str" cm="1">
        <f t="array" ref="Q8527">IFERROR(IF($B8527=Q$1, ($A8527+$C8527) - MAX(IF($B$2:$B8526=$B8527, $A$2:$A8526+$C$2:$C8526)), "")*24*60, "")</f>
        <v/>
      </c>
      <c r="R8527" s="24" t="str" cm="1">
        <f t="array" ref="R8527">IFERROR(IF($B8527=R$1, ($A8527+$C8527) - MAX(IF($B$2:$B8526=$B8527, $A$2:$A8526+$C$2:$C8526)), "")*24*60, "")</f>
        <v/>
      </c>
      <c r="S8527" s="24" t="str" cm="1">
        <f t="array" ref="S8527">IFERROR(IF($B8527=S$1, ($A8527+$C8527) - MAX(IF($B$2:$B8526=$B8527, $A$2:$A8526+$C$2:$C8526)), "")*24*60, "")</f>
        <v/>
      </c>
    </row>
    <row r="8528" spans="1:19" x14ac:dyDescent="0.2">
      <c r="A8528" s="12">
        <f t="shared" ref="A8528:C8528" si="1629">A8527</f>
        <v>46029</v>
      </c>
      <c r="B8528" s="5" t="str">
        <f t="shared" si="1629"/>
        <v>Northern Cardinal</v>
      </c>
      <c r="C8528" s="6">
        <f t="shared" si="1629"/>
        <v>0.75</v>
      </c>
      <c r="D8528" s="5"/>
      <c r="E8528" s="5"/>
      <c r="F8528" s="5" t="s">
        <v>9</v>
      </c>
      <c r="G8528" s="15" t="s">
        <v>8</v>
      </c>
      <c r="H8528" s="24">
        <f t="shared" si="1586"/>
        <v>0</v>
      </c>
      <c r="I8528" s="24" cm="1">
        <f t="array" ref="I8528">IFERROR(IF($B8528=I$1, ($A8528+$C8528) - MAX(IF($B$2:$B8527=$B8528, $A$2:$A8527+$C$2:$C8527)), "")*24*60, "")</f>
        <v>0</v>
      </c>
      <c r="J8528" s="24" t="str" cm="1">
        <f t="array" ref="J8528">IFERROR(IF($B8528=J$1, ($A8528+$C8528) - MAX(IF($B$2:$B8527=$B8528, $A$2:$A8527+$C$2:$C8527)), "")*24*60, "")</f>
        <v/>
      </c>
      <c r="K8528" s="24" t="str" cm="1">
        <f t="array" ref="K8528">IFERROR(IF($B8528=K$1, ($A8528+$C8528) - MAX(IF($B$2:$B8527=$B8528, $A$2:$A8527+$C$2:$C8527)), "")*24*60, "")</f>
        <v/>
      </c>
      <c r="L8528" s="24" t="str" cm="1">
        <f t="array" ref="L8528">IFERROR(IF($B8528=L$1, ($A8528+$C8528) - MAX(IF($B$2:$B8527=$B8528, $A$2:$A8527+$C$2:$C8527)), "")*24*60, "")</f>
        <v/>
      </c>
      <c r="M8528" s="24" t="str" cm="1">
        <f t="array" ref="M8528">IFERROR(IF($B8528=M$1, ($A8528+$C8528) - MAX(IF($B$2:$B8527=$B8528, $A$2:$A8527+$C$2:$C8527)), "")*24*60, "")</f>
        <v/>
      </c>
      <c r="N8528" s="24" t="str" cm="1">
        <f t="array" ref="N8528">IFERROR(IF($B8528=N$1, ($A8528+$C8528) - MAX(IF($B$2:$B8527=$B8528, $A$2:$A8527+$C$2:$C8527)), "")*24*60, "")</f>
        <v/>
      </c>
      <c r="O8528" s="24" t="str" cm="1">
        <f t="array" ref="O8528">IFERROR(IF($B8528=O$1, ($A8528+$C8528) - MAX(IF($B$2:$B8527=$B8528, $A$2:$A8527+$C$2:$C8527)), "")*24*60, "")</f>
        <v/>
      </c>
      <c r="P8528" s="24" t="str" cm="1">
        <f t="array" ref="P8528">IFERROR(IF($B8528=P$1, ($A8528+$C8528) - MAX(IF($B$2:$B8527=$B8528, $A$2:$A8527+$C$2:$C8527)), "")*24*60, "")</f>
        <v/>
      </c>
      <c r="Q8528" s="24" t="str" cm="1">
        <f t="array" ref="Q8528">IFERROR(IF($B8528=Q$1, ($A8528+$C8528) - MAX(IF($B$2:$B8527=$B8528, $A$2:$A8527+$C$2:$C8527)), "")*24*60, "")</f>
        <v/>
      </c>
      <c r="R8528" s="24" t="str" cm="1">
        <f t="array" ref="R8528">IFERROR(IF($B8528=R$1, ($A8528+$C8528) - MAX(IF($B$2:$B8527=$B8528, $A$2:$A8527+$C$2:$C8527)), "")*24*60, "")</f>
        <v/>
      </c>
      <c r="S8528" s="24" t="str" cm="1">
        <f t="array" ref="S8528">IFERROR(IF($B8528=S$1, ($A8528+$C8528) - MAX(IF($B$2:$B8527=$B8528, $A$2:$A8527+$C$2:$C8527)), "")*24*60, "")</f>
        <v/>
      </c>
    </row>
    <row r="8529" spans="1:19" x14ac:dyDescent="0.2">
      <c r="A8529" s="12">
        <f t="shared" ref="A8529:C8529" si="1630">A8528</f>
        <v>46029</v>
      </c>
      <c r="B8529" s="5" t="str">
        <f t="shared" si="1630"/>
        <v>Northern Cardinal</v>
      </c>
      <c r="C8529" s="6">
        <f t="shared" si="1630"/>
        <v>0.75</v>
      </c>
      <c r="D8529" s="5"/>
      <c r="E8529" s="5"/>
      <c r="F8529" s="5" t="s">
        <v>9</v>
      </c>
      <c r="G8529" s="15" t="s">
        <v>8</v>
      </c>
      <c r="H8529" s="24">
        <f t="shared" si="1586"/>
        <v>0</v>
      </c>
      <c r="I8529" s="24" cm="1">
        <f t="array" ref="I8529">IFERROR(IF($B8529=I$1, ($A8529+$C8529) - MAX(IF($B$2:$B8528=$B8529, $A$2:$A8528+$C$2:$C8528)), "")*24*60, "")</f>
        <v>0</v>
      </c>
      <c r="J8529" s="24" t="str" cm="1">
        <f t="array" ref="J8529">IFERROR(IF($B8529=J$1, ($A8529+$C8529) - MAX(IF($B$2:$B8528=$B8529, $A$2:$A8528+$C$2:$C8528)), "")*24*60, "")</f>
        <v/>
      </c>
      <c r="K8529" s="24" t="str" cm="1">
        <f t="array" ref="K8529">IFERROR(IF($B8529=K$1, ($A8529+$C8529) - MAX(IF($B$2:$B8528=$B8529, $A$2:$A8528+$C$2:$C8528)), "")*24*60, "")</f>
        <v/>
      </c>
      <c r="L8529" s="24" t="str" cm="1">
        <f t="array" ref="L8529">IFERROR(IF($B8529=L$1, ($A8529+$C8529) - MAX(IF($B$2:$B8528=$B8529, $A$2:$A8528+$C$2:$C8528)), "")*24*60, "")</f>
        <v/>
      </c>
      <c r="M8529" s="24" t="str" cm="1">
        <f t="array" ref="M8529">IFERROR(IF($B8529=M$1, ($A8529+$C8529) - MAX(IF($B$2:$B8528=$B8529, $A$2:$A8528+$C$2:$C8528)), "")*24*60, "")</f>
        <v/>
      </c>
      <c r="N8529" s="24" t="str" cm="1">
        <f t="array" ref="N8529">IFERROR(IF($B8529=N$1, ($A8529+$C8529) - MAX(IF($B$2:$B8528=$B8529, $A$2:$A8528+$C$2:$C8528)), "")*24*60, "")</f>
        <v/>
      </c>
      <c r="O8529" s="24" t="str" cm="1">
        <f t="array" ref="O8529">IFERROR(IF($B8529=O$1, ($A8529+$C8529) - MAX(IF($B$2:$B8528=$B8529, $A$2:$A8528+$C$2:$C8528)), "")*24*60, "")</f>
        <v/>
      </c>
      <c r="P8529" s="24" t="str" cm="1">
        <f t="array" ref="P8529">IFERROR(IF($B8529=P$1, ($A8529+$C8529) - MAX(IF($B$2:$B8528=$B8529, $A$2:$A8528+$C$2:$C8528)), "")*24*60, "")</f>
        <v/>
      </c>
      <c r="Q8529" s="24" t="str" cm="1">
        <f t="array" ref="Q8529">IFERROR(IF($B8529=Q$1, ($A8529+$C8529) - MAX(IF($B$2:$B8528=$B8529, $A$2:$A8528+$C$2:$C8528)), "")*24*60, "")</f>
        <v/>
      </c>
      <c r="R8529" s="24" t="str" cm="1">
        <f t="array" ref="R8529">IFERROR(IF($B8529=R$1, ($A8529+$C8529) - MAX(IF($B$2:$B8528=$B8529, $A$2:$A8528+$C$2:$C8528)), "")*24*60, "")</f>
        <v/>
      </c>
      <c r="S8529" s="24" t="str" cm="1">
        <f t="array" ref="S8529">IFERROR(IF($B8529=S$1, ($A8529+$C8529) - MAX(IF($B$2:$B8528=$B8529, $A$2:$A8528+$C$2:$C8528)), "")*24*60, "")</f>
        <v/>
      </c>
    </row>
    <row r="8530" spans="1:19" x14ac:dyDescent="0.2">
      <c r="A8530" s="12">
        <f t="shared" ref="A8530:C8530" si="1631">A8529</f>
        <v>46029</v>
      </c>
      <c r="B8530" s="5" t="str">
        <f t="shared" si="1631"/>
        <v>Northern Cardinal</v>
      </c>
      <c r="C8530" s="6">
        <f t="shared" si="1631"/>
        <v>0.75</v>
      </c>
      <c r="D8530" s="5"/>
      <c r="E8530" s="5"/>
      <c r="F8530" s="5" t="s">
        <v>9</v>
      </c>
      <c r="G8530" s="15" t="s">
        <v>8</v>
      </c>
      <c r="H8530" s="24">
        <f t="shared" si="1586"/>
        <v>0</v>
      </c>
      <c r="I8530" s="24" cm="1">
        <f t="array" ref="I8530">IFERROR(IF($B8530=I$1, ($A8530+$C8530) - MAX(IF($B$2:$B8529=$B8530, $A$2:$A8529+$C$2:$C8529)), "")*24*60, "")</f>
        <v>0</v>
      </c>
      <c r="J8530" s="24" t="str" cm="1">
        <f t="array" ref="J8530">IFERROR(IF($B8530=J$1, ($A8530+$C8530) - MAX(IF($B$2:$B8529=$B8530, $A$2:$A8529+$C$2:$C8529)), "")*24*60, "")</f>
        <v/>
      </c>
      <c r="K8530" s="24" t="str" cm="1">
        <f t="array" ref="K8530">IFERROR(IF($B8530=K$1, ($A8530+$C8530) - MAX(IF($B$2:$B8529=$B8530, $A$2:$A8529+$C$2:$C8529)), "")*24*60, "")</f>
        <v/>
      </c>
      <c r="L8530" s="24" t="str" cm="1">
        <f t="array" ref="L8530">IFERROR(IF($B8530=L$1, ($A8530+$C8530) - MAX(IF($B$2:$B8529=$B8530, $A$2:$A8529+$C$2:$C8529)), "")*24*60, "")</f>
        <v/>
      </c>
      <c r="M8530" s="24" t="str" cm="1">
        <f t="array" ref="M8530">IFERROR(IF($B8530=M$1, ($A8530+$C8530) - MAX(IF($B$2:$B8529=$B8530, $A$2:$A8529+$C$2:$C8529)), "")*24*60, "")</f>
        <v/>
      </c>
      <c r="N8530" s="24" t="str" cm="1">
        <f t="array" ref="N8530">IFERROR(IF($B8530=N$1, ($A8530+$C8530) - MAX(IF($B$2:$B8529=$B8530, $A$2:$A8529+$C$2:$C8529)), "")*24*60, "")</f>
        <v/>
      </c>
      <c r="O8530" s="24" t="str" cm="1">
        <f t="array" ref="O8530">IFERROR(IF($B8530=O$1, ($A8530+$C8530) - MAX(IF($B$2:$B8529=$B8530, $A$2:$A8529+$C$2:$C8529)), "")*24*60, "")</f>
        <v/>
      </c>
      <c r="P8530" s="24" t="str" cm="1">
        <f t="array" ref="P8530">IFERROR(IF($B8530=P$1, ($A8530+$C8530) - MAX(IF($B$2:$B8529=$B8530, $A$2:$A8529+$C$2:$C8529)), "")*24*60, "")</f>
        <v/>
      </c>
      <c r="Q8530" s="24" t="str" cm="1">
        <f t="array" ref="Q8530">IFERROR(IF($B8530=Q$1, ($A8530+$C8530) - MAX(IF($B$2:$B8529=$B8530, $A$2:$A8529+$C$2:$C8529)), "")*24*60, "")</f>
        <v/>
      </c>
      <c r="R8530" s="24" t="str" cm="1">
        <f t="array" ref="R8530">IFERROR(IF($B8530=R$1, ($A8530+$C8530) - MAX(IF($B$2:$B8529=$B8530, $A$2:$A8529+$C$2:$C8529)), "")*24*60, "")</f>
        <v/>
      </c>
      <c r="S8530" s="24" t="str" cm="1">
        <f t="array" ref="S8530">IFERROR(IF($B8530=S$1, ($A8530+$C8530) - MAX(IF($B$2:$B8529=$B8530, $A$2:$A8529+$C$2:$C8529)), "")*24*60, "")</f>
        <v/>
      </c>
    </row>
    <row r="8531" spans="1:19" x14ac:dyDescent="0.2">
      <c r="A8531" s="12">
        <f t="shared" ref="A8531:C8531" si="1632">A8530</f>
        <v>46029</v>
      </c>
      <c r="B8531" s="5" t="str">
        <f t="shared" si="1632"/>
        <v>Northern Cardinal</v>
      </c>
      <c r="C8531" s="6">
        <f t="shared" si="1632"/>
        <v>0.75</v>
      </c>
      <c r="D8531" s="5"/>
      <c r="E8531" s="5"/>
      <c r="F8531" s="5" t="s">
        <v>9</v>
      </c>
      <c r="G8531" s="15" t="s">
        <v>8</v>
      </c>
      <c r="H8531" s="24">
        <f t="shared" si="1586"/>
        <v>0</v>
      </c>
      <c r="I8531" s="24" cm="1">
        <f t="array" ref="I8531">IFERROR(IF($B8531=I$1, ($A8531+$C8531) - MAX(IF($B$2:$B8530=$B8531, $A$2:$A8530+$C$2:$C8530)), "")*24*60, "")</f>
        <v>0</v>
      </c>
      <c r="J8531" s="24" t="str" cm="1">
        <f t="array" ref="J8531">IFERROR(IF($B8531=J$1, ($A8531+$C8531) - MAX(IF($B$2:$B8530=$B8531, $A$2:$A8530+$C$2:$C8530)), "")*24*60, "")</f>
        <v/>
      </c>
      <c r="K8531" s="24" t="str" cm="1">
        <f t="array" ref="K8531">IFERROR(IF($B8531=K$1, ($A8531+$C8531) - MAX(IF($B$2:$B8530=$B8531, $A$2:$A8530+$C$2:$C8530)), "")*24*60, "")</f>
        <v/>
      </c>
      <c r="L8531" s="24" t="str" cm="1">
        <f t="array" ref="L8531">IFERROR(IF($B8531=L$1, ($A8531+$C8531) - MAX(IF($B$2:$B8530=$B8531, $A$2:$A8530+$C$2:$C8530)), "")*24*60, "")</f>
        <v/>
      </c>
      <c r="M8531" s="24" t="str" cm="1">
        <f t="array" ref="M8531">IFERROR(IF($B8531=M$1, ($A8531+$C8531) - MAX(IF($B$2:$B8530=$B8531, $A$2:$A8530+$C$2:$C8530)), "")*24*60, "")</f>
        <v/>
      </c>
      <c r="N8531" s="24" t="str" cm="1">
        <f t="array" ref="N8531">IFERROR(IF($B8531=N$1, ($A8531+$C8531) - MAX(IF($B$2:$B8530=$B8531, $A$2:$A8530+$C$2:$C8530)), "")*24*60, "")</f>
        <v/>
      </c>
      <c r="O8531" s="24" t="str" cm="1">
        <f t="array" ref="O8531">IFERROR(IF($B8531=O$1, ($A8531+$C8531) - MAX(IF($B$2:$B8530=$B8531, $A$2:$A8530+$C$2:$C8530)), "")*24*60, "")</f>
        <v/>
      </c>
      <c r="P8531" s="24" t="str" cm="1">
        <f t="array" ref="P8531">IFERROR(IF($B8531=P$1, ($A8531+$C8531) - MAX(IF($B$2:$B8530=$B8531, $A$2:$A8530+$C$2:$C8530)), "")*24*60, "")</f>
        <v/>
      </c>
      <c r="Q8531" s="24" t="str" cm="1">
        <f t="array" ref="Q8531">IFERROR(IF($B8531=Q$1, ($A8531+$C8531) - MAX(IF($B$2:$B8530=$B8531, $A$2:$A8530+$C$2:$C8530)), "")*24*60, "")</f>
        <v/>
      </c>
      <c r="R8531" s="24" t="str" cm="1">
        <f t="array" ref="R8531">IFERROR(IF($B8531=R$1, ($A8531+$C8531) - MAX(IF($B$2:$B8530=$B8531, $A$2:$A8530+$C$2:$C8530)), "")*24*60, "")</f>
        <v/>
      </c>
      <c r="S8531" s="24" t="str" cm="1">
        <f t="array" ref="S8531">IFERROR(IF($B8531=S$1, ($A8531+$C8531) - MAX(IF($B$2:$B8530=$B8531, $A$2:$A8530+$C$2:$C8530)), "")*24*60, "")</f>
        <v/>
      </c>
    </row>
    <row r="8532" spans="1:19" x14ac:dyDescent="0.2">
      <c r="A8532" s="12">
        <f t="shared" ref="A8532:C8532" si="1633">A8531</f>
        <v>46029</v>
      </c>
      <c r="B8532" s="5" t="str">
        <f t="shared" si="1633"/>
        <v>Northern Cardinal</v>
      </c>
      <c r="C8532" s="6">
        <f t="shared" si="1633"/>
        <v>0.75</v>
      </c>
      <c r="D8532" s="5"/>
      <c r="E8532" s="5"/>
      <c r="F8532" s="5" t="s">
        <v>9</v>
      </c>
      <c r="G8532" s="15" t="s">
        <v>8</v>
      </c>
      <c r="H8532" s="24">
        <f t="shared" si="1586"/>
        <v>0</v>
      </c>
      <c r="I8532" s="24" cm="1">
        <f t="array" ref="I8532">IFERROR(IF($B8532=I$1, ($A8532+$C8532) - MAX(IF($B$2:$B8531=$B8532, $A$2:$A8531+$C$2:$C8531)), "")*24*60, "")</f>
        <v>0</v>
      </c>
      <c r="J8532" s="24" t="str" cm="1">
        <f t="array" ref="J8532">IFERROR(IF($B8532=J$1, ($A8532+$C8532) - MAX(IF($B$2:$B8531=$B8532, $A$2:$A8531+$C$2:$C8531)), "")*24*60, "")</f>
        <v/>
      </c>
      <c r="K8532" s="24" t="str" cm="1">
        <f t="array" ref="K8532">IFERROR(IF($B8532=K$1, ($A8532+$C8532) - MAX(IF($B$2:$B8531=$B8532, $A$2:$A8531+$C$2:$C8531)), "")*24*60, "")</f>
        <v/>
      </c>
      <c r="L8532" s="24" t="str" cm="1">
        <f t="array" ref="L8532">IFERROR(IF($B8532=L$1, ($A8532+$C8532) - MAX(IF($B$2:$B8531=$B8532, $A$2:$A8531+$C$2:$C8531)), "")*24*60, "")</f>
        <v/>
      </c>
      <c r="M8532" s="24" t="str" cm="1">
        <f t="array" ref="M8532">IFERROR(IF($B8532=M$1, ($A8532+$C8532) - MAX(IF($B$2:$B8531=$B8532, $A$2:$A8531+$C$2:$C8531)), "")*24*60, "")</f>
        <v/>
      </c>
      <c r="N8532" s="24" t="str" cm="1">
        <f t="array" ref="N8532">IFERROR(IF($B8532=N$1, ($A8532+$C8532) - MAX(IF($B$2:$B8531=$B8532, $A$2:$A8531+$C$2:$C8531)), "")*24*60, "")</f>
        <v/>
      </c>
      <c r="O8532" s="24" t="str" cm="1">
        <f t="array" ref="O8532">IFERROR(IF($B8532=O$1, ($A8532+$C8532) - MAX(IF($B$2:$B8531=$B8532, $A$2:$A8531+$C$2:$C8531)), "")*24*60, "")</f>
        <v/>
      </c>
      <c r="P8532" s="24" t="str" cm="1">
        <f t="array" ref="P8532">IFERROR(IF($B8532=P$1, ($A8532+$C8532) - MAX(IF($B$2:$B8531=$B8532, $A$2:$A8531+$C$2:$C8531)), "")*24*60, "")</f>
        <v/>
      </c>
      <c r="Q8532" s="24" t="str" cm="1">
        <f t="array" ref="Q8532">IFERROR(IF($B8532=Q$1, ($A8532+$C8532) - MAX(IF($B$2:$B8531=$B8532, $A$2:$A8531+$C$2:$C8531)), "")*24*60, "")</f>
        <v/>
      </c>
      <c r="R8532" s="24" t="str" cm="1">
        <f t="array" ref="R8532">IFERROR(IF($B8532=R$1, ($A8532+$C8532) - MAX(IF($B$2:$B8531=$B8532, $A$2:$A8531+$C$2:$C8531)), "")*24*60, "")</f>
        <v/>
      </c>
      <c r="S8532" s="24" t="str" cm="1">
        <f t="array" ref="S8532">IFERROR(IF($B8532=S$1, ($A8532+$C8532) - MAX(IF($B$2:$B8531=$B8532, $A$2:$A8531+$C$2:$C8531)), "")*24*60, "")</f>
        <v/>
      </c>
    </row>
    <row r="8533" spans="1:19" x14ac:dyDescent="0.2">
      <c r="A8533" s="12">
        <f t="shared" ref="A8533:C8533" si="1634">A8532</f>
        <v>46029</v>
      </c>
      <c r="B8533" s="5" t="str">
        <f t="shared" si="1634"/>
        <v>Northern Cardinal</v>
      </c>
      <c r="C8533" s="6">
        <f t="shared" si="1634"/>
        <v>0.75</v>
      </c>
      <c r="D8533" s="5"/>
      <c r="E8533" s="5"/>
      <c r="F8533" s="5" t="s">
        <v>9</v>
      </c>
      <c r="G8533" s="15" t="s">
        <v>8</v>
      </c>
      <c r="H8533" s="24">
        <f t="shared" si="1586"/>
        <v>0</v>
      </c>
      <c r="I8533" s="24" cm="1">
        <f t="array" ref="I8533">IFERROR(IF($B8533=I$1, ($A8533+$C8533) - MAX(IF($B$2:$B8532=$B8533, $A$2:$A8532+$C$2:$C8532)), "")*24*60, "")</f>
        <v>0</v>
      </c>
      <c r="J8533" s="24" t="str" cm="1">
        <f t="array" ref="J8533">IFERROR(IF($B8533=J$1, ($A8533+$C8533) - MAX(IF($B$2:$B8532=$B8533, $A$2:$A8532+$C$2:$C8532)), "")*24*60, "")</f>
        <v/>
      </c>
      <c r="K8533" s="24" t="str" cm="1">
        <f t="array" ref="K8533">IFERROR(IF($B8533=K$1, ($A8533+$C8533) - MAX(IF($B$2:$B8532=$B8533, $A$2:$A8532+$C$2:$C8532)), "")*24*60, "")</f>
        <v/>
      </c>
      <c r="L8533" s="24" t="str" cm="1">
        <f t="array" ref="L8533">IFERROR(IF($B8533=L$1, ($A8533+$C8533) - MAX(IF($B$2:$B8532=$B8533, $A$2:$A8532+$C$2:$C8532)), "")*24*60, "")</f>
        <v/>
      </c>
      <c r="M8533" s="24" t="str" cm="1">
        <f t="array" ref="M8533">IFERROR(IF($B8533=M$1, ($A8533+$C8533) - MAX(IF($B$2:$B8532=$B8533, $A$2:$A8532+$C$2:$C8532)), "")*24*60, "")</f>
        <v/>
      </c>
      <c r="N8533" s="24" t="str" cm="1">
        <f t="array" ref="N8533">IFERROR(IF($B8533=N$1, ($A8533+$C8533) - MAX(IF($B$2:$B8532=$B8533, $A$2:$A8532+$C$2:$C8532)), "")*24*60, "")</f>
        <v/>
      </c>
      <c r="O8533" s="24" t="str" cm="1">
        <f t="array" ref="O8533">IFERROR(IF($B8533=O$1, ($A8533+$C8533) - MAX(IF($B$2:$B8532=$B8533, $A$2:$A8532+$C$2:$C8532)), "")*24*60, "")</f>
        <v/>
      </c>
      <c r="P8533" s="24" t="str" cm="1">
        <f t="array" ref="P8533">IFERROR(IF($B8533=P$1, ($A8533+$C8533) - MAX(IF($B$2:$B8532=$B8533, $A$2:$A8532+$C$2:$C8532)), "")*24*60, "")</f>
        <v/>
      </c>
      <c r="Q8533" s="24" t="str" cm="1">
        <f t="array" ref="Q8533">IFERROR(IF($B8533=Q$1, ($A8533+$C8533) - MAX(IF($B$2:$B8532=$B8533, $A$2:$A8532+$C$2:$C8532)), "")*24*60, "")</f>
        <v/>
      </c>
      <c r="R8533" s="24" t="str" cm="1">
        <f t="array" ref="R8533">IFERROR(IF($B8533=R$1, ($A8533+$C8533) - MAX(IF($B$2:$B8532=$B8533, $A$2:$A8532+$C$2:$C8532)), "")*24*60, "")</f>
        <v/>
      </c>
      <c r="S8533" s="24" t="str" cm="1">
        <f t="array" ref="S8533">IFERROR(IF($B8533=S$1, ($A8533+$C8533) - MAX(IF($B$2:$B8532=$B8533, $A$2:$A8532+$C$2:$C8532)), "")*24*60, "")</f>
        <v/>
      </c>
    </row>
    <row r="8534" spans="1:19" x14ac:dyDescent="0.2">
      <c r="A8534" s="12">
        <f t="shared" ref="A8534:C8534" si="1635">A8533</f>
        <v>46029</v>
      </c>
      <c r="B8534" s="5" t="str">
        <f t="shared" si="1635"/>
        <v>Northern Cardinal</v>
      </c>
      <c r="C8534" s="6">
        <f t="shared" si="1635"/>
        <v>0.75</v>
      </c>
      <c r="D8534" s="5"/>
      <c r="E8534" s="5"/>
      <c r="F8534" s="5" t="s">
        <v>9</v>
      </c>
      <c r="G8534" s="15" t="s">
        <v>8</v>
      </c>
      <c r="H8534" s="24">
        <f t="shared" si="1586"/>
        <v>0</v>
      </c>
      <c r="I8534" s="24" cm="1">
        <f t="array" ref="I8534">IFERROR(IF($B8534=I$1, ($A8534+$C8534) - MAX(IF($B$2:$B8533=$B8534, $A$2:$A8533+$C$2:$C8533)), "")*24*60, "")</f>
        <v>0</v>
      </c>
      <c r="J8534" s="24" t="str" cm="1">
        <f t="array" ref="J8534">IFERROR(IF($B8534=J$1, ($A8534+$C8534) - MAX(IF($B$2:$B8533=$B8534, $A$2:$A8533+$C$2:$C8533)), "")*24*60, "")</f>
        <v/>
      </c>
      <c r="K8534" s="24" t="str" cm="1">
        <f t="array" ref="K8534">IFERROR(IF($B8534=K$1, ($A8534+$C8534) - MAX(IF($B$2:$B8533=$B8534, $A$2:$A8533+$C$2:$C8533)), "")*24*60, "")</f>
        <v/>
      </c>
      <c r="L8534" s="24" t="str" cm="1">
        <f t="array" ref="L8534">IFERROR(IF($B8534=L$1, ($A8534+$C8534) - MAX(IF($B$2:$B8533=$B8534, $A$2:$A8533+$C$2:$C8533)), "")*24*60, "")</f>
        <v/>
      </c>
      <c r="M8534" s="24" t="str" cm="1">
        <f t="array" ref="M8534">IFERROR(IF($B8534=M$1, ($A8534+$C8534) - MAX(IF($B$2:$B8533=$B8534, $A$2:$A8533+$C$2:$C8533)), "")*24*60, "")</f>
        <v/>
      </c>
      <c r="N8534" s="24" t="str" cm="1">
        <f t="array" ref="N8534">IFERROR(IF($B8534=N$1, ($A8534+$C8534) - MAX(IF($B$2:$B8533=$B8534, $A$2:$A8533+$C$2:$C8533)), "")*24*60, "")</f>
        <v/>
      </c>
      <c r="O8534" s="24" t="str" cm="1">
        <f t="array" ref="O8534">IFERROR(IF($B8534=O$1, ($A8534+$C8534) - MAX(IF($B$2:$B8533=$B8534, $A$2:$A8533+$C$2:$C8533)), "")*24*60, "")</f>
        <v/>
      </c>
      <c r="P8534" s="24" t="str" cm="1">
        <f t="array" ref="P8534">IFERROR(IF($B8534=P$1, ($A8534+$C8534) - MAX(IF($B$2:$B8533=$B8534, $A$2:$A8533+$C$2:$C8533)), "")*24*60, "")</f>
        <v/>
      </c>
      <c r="Q8534" s="24" t="str" cm="1">
        <f t="array" ref="Q8534">IFERROR(IF($B8534=Q$1, ($A8534+$C8534) - MAX(IF($B$2:$B8533=$B8534, $A$2:$A8533+$C$2:$C8533)), "")*24*60, "")</f>
        <v/>
      </c>
      <c r="R8534" s="24" t="str" cm="1">
        <f t="array" ref="R8534">IFERROR(IF($B8534=R$1, ($A8534+$C8534) - MAX(IF($B$2:$B8533=$B8534, $A$2:$A8533+$C$2:$C8533)), "")*24*60, "")</f>
        <v/>
      </c>
      <c r="S8534" s="24" t="str" cm="1">
        <f t="array" ref="S8534">IFERROR(IF($B8534=S$1, ($A8534+$C8534) - MAX(IF($B$2:$B8533=$B8534, $A$2:$A8533+$C$2:$C8533)), "")*24*60, "")</f>
        <v/>
      </c>
    </row>
    <row r="8535" spans="1:19" x14ac:dyDescent="0.2">
      <c r="A8535" s="12">
        <f t="shared" ref="A8535:C8535" si="1636">A8534</f>
        <v>46029</v>
      </c>
      <c r="B8535" s="5" t="str">
        <f t="shared" si="1636"/>
        <v>Northern Cardinal</v>
      </c>
      <c r="C8535" s="6">
        <f t="shared" si="1636"/>
        <v>0.75</v>
      </c>
      <c r="D8535" s="5"/>
      <c r="E8535" s="5"/>
      <c r="F8535" s="5" t="s">
        <v>9</v>
      </c>
      <c r="G8535" s="15" t="s">
        <v>8</v>
      </c>
      <c r="H8535" s="24">
        <f t="shared" si="1586"/>
        <v>0</v>
      </c>
      <c r="I8535" s="24" cm="1">
        <f t="array" ref="I8535">IFERROR(IF($B8535=I$1, ($A8535+$C8535) - MAX(IF($B$2:$B8534=$B8535, $A$2:$A8534+$C$2:$C8534)), "")*24*60, "")</f>
        <v>0</v>
      </c>
      <c r="J8535" s="24" t="str" cm="1">
        <f t="array" ref="J8535">IFERROR(IF($B8535=J$1, ($A8535+$C8535) - MAX(IF($B$2:$B8534=$B8535, $A$2:$A8534+$C$2:$C8534)), "")*24*60, "")</f>
        <v/>
      </c>
      <c r="K8535" s="24" t="str" cm="1">
        <f t="array" ref="K8535">IFERROR(IF($B8535=K$1, ($A8535+$C8535) - MAX(IF($B$2:$B8534=$B8535, $A$2:$A8534+$C$2:$C8534)), "")*24*60, "")</f>
        <v/>
      </c>
      <c r="L8535" s="24" t="str" cm="1">
        <f t="array" ref="L8535">IFERROR(IF($B8535=L$1, ($A8535+$C8535) - MAX(IF($B$2:$B8534=$B8535, $A$2:$A8534+$C$2:$C8534)), "")*24*60, "")</f>
        <v/>
      </c>
      <c r="M8535" s="24" t="str" cm="1">
        <f t="array" ref="M8535">IFERROR(IF($B8535=M$1, ($A8535+$C8535) - MAX(IF($B$2:$B8534=$B8535, $A$2:$A8534+$C$2:$C8534)), "")*24*60, "")</f>
        <v/>
      </c>
      <c r="N8535" s="24" t="str" cm="1">
        <f t="array" ref="N8535">IFERROR(IF($B8535=N$1, ($A8535+$C8535) - MAX(IF($B$2:$B8534=$B8535, $A$2:$A8534+$C$2:$C8534)), "")*24*60, "")</f>
        <v/>
      </c>
      <c r="O8535" s="24" t="str" cm="1">
        <f t="array" ref="O8535">IFERROR(IF($B8535=O$1, ($A8535+$C8535) - MAX(IF($B$2:$B8534=$B8535, $A$2:$A8534+$C$2:$C8534)), "")*24*60, "")</f>
        <v/>
      </c>
      <c r="P8535" s="24" t="str" cm="1">
        <f t="array" ref="P8535">IFERROR(IF($B8535=P$1, ($A8535+$C8535) - MAX(IF($B$2:$B8534=$B8535, $A$2:$A8534+$C$2:$C8534)), "")*24*60, "")</f>
        <v/>
      </c>
      <c r="Q8535" s="24" t="str" cm="1">
        <f t="array" ref="Q8535">IFERROR(IF($B8535=Q$1, ($A8535+$C8535) - MAX(IF($B$2:$B8534=$B8535, $A$2:$A8534+$C$2:$C8534)), "")*24*60, "")</f>
        <v/>
      </c>
      <c r="R8535" s="24" t="str" cm="1">
        <f t="array" ref="R8535">IFERROR(IF($B8535=R$1, ($A8535+$C8535) - MAX(IF($B$2:$B8534=$B8535, $A$2:$A8534+$C$2:$C8534)), "")*24*60, "")</f>
        <v/>
      </c>
      <c r="S8535" s="24" t="str" cm="1">
        <f t="array" ref="S8535">IFERROR(IF($B8535=S$1, ($A8535+$C8535) - MAX(IF($B$2:$B8534=$B8535, $A$2:$A8534+$C$2:$C8534)), "")*24*60, "")</f>
        <v/>
      </c>
    </row>
    <row r="8536" spans="1:19" x14ac:dyDescent="0.2">
      <c r="A8536" s="12">
        <f t="shared" ref="A8536:C8536" si="1637">A8535</f>
        <v>46029</v>
      </c>
      <c r="B8536" s="5" t="str">
        <f t="shared" si="1637"/>
        <v>Northern Cardinal</v>
      </c>
      <c r="C8536" s="6">
        <f t="shared" si="1637"/>
        <v>0.75</v>
      </c>
      <c r="D8536" s="5"/>
      <c r="E8536" s="5"/>
      <c r="F8536" s="5" t="s">
        <v>9</v>
      </c>
      <c r="G8536" s="15" t="s">
        <v>8</v>
      </c>
      <c r="H8536" s="24">
        <f t="shared" si="1586"/>
        <v>0</v>
      </c>
      <c r="I8536" s="24" cm="1">
        <f t="array" ref="I8536">IFERROR(IF($B8536=I$1, ($A8536+$C8536) - MAX(IF($B$2:$B8535=$B8536, $A$2:$A8535+$C$2:$C8535)), "")*24*60, "")</f>
        <v>0</v>
      </c>
      <c r="J8536" s="24" t="str" cm="1">
        <f t="array" ref="J8536">IFERROR(IF($B8536=J$1, ($A8536+$C8536) - MAX(IF($B$2:$B8535=$B8536, $A$2:$A8535+$C$2:$C8535)), "")*24*60, "")</f>
        <v/>
      </c>
      <c r="K8536" s="24" t="str" cm="1">
        <f t="array" ref="K8536">IFERROR(IF($B8536=K$1, ($A8536+$C8536) - MAX(IF($B$2:$B8535=$B8536, $A$2:$A8535+$C$2:$C8535)), "")*24*60, "")</f>
        <v/>
      </c>
      <c r="L8536" s="24" t="str" cm="1">
        <f t="array" ref="L8536">IFERROR(IF($B8536=L$1, ($A8536+$C8536) - MAX(IF($B$2:$B8535=$B8536, $A$2:$A8535+$C$2:$C8535)), "")*24*60, "")</f>
        <v/>
      </c>
      <c r="M8536" s="24" t="str" cm="1">
        <f t="array" ref="M8536">IFERROR(IF($B8536=M$1, ($A8536+$C8536) - MAX(IF($B$2:$B8535=$B8536, $A$2:$A8535+$C$2:$C8535)), "")*24*60, "")</f>
        <v/>
      </c>
      <c r="N8536" s="24" t="str" cm="1">
        <f t="array" ref="N8536">IFERROR(IF($B8536=N$1, ($A8536+$C8536) - MAX(IF($B$2:$B8535=$B8536, $A$2:$A8535+$C$2:$C8535)), "")*24*60, "")</f>
        <v/>
      </c>
      <c r="O8536" s="24" t="str" cm="1">
        <f t="array" ref="O8536">IFERROR(IF($B8536=O$1, ($A8536+$C8536) - MAX(IF($B$2:$B8535=$B8536, $A$2:$A8535+$C$2:$C8535)), "")*24*60, "")</f>
        <v/>
      </c>
      <c r="P8536" s="24" t="str" cm="1">
        <f t="array" ref="P8536">IFERROR(IF($B8536=P$1, ($A8536+$C8536) - MAX(IF($B$2:$B8535=$B8536, $A$2:$A8535+$C$2:$C8535)), "")*24*60, "")</f>
        <v/>
      </c>
      <c r="Q8536" s="24" t="str" cm="1">
        <f t="array" ref="Q8536">IFERROR(IF($B8536=Q$1, ($A8536+$C8536) - MAX(IF($B$2:$B8535=$B8536, $A$2:$A8535+$C$2:$C8535)), "")*24*60, "")</f>
        <v/>
      </c>
      <c r="R8536" s="24" t="str" cm="1">
        <f t="array" ref="R8536">IFERROR(IF($B8536=R$1, ($A8536+$C8536) - MAX(IF($B$2:$B8535=$B8536, $A$2:$A8535+$C$2:$C8535)), "")*24*60, "")</f>
        <v/>
      </c>
      <c r="S8536" s="24" t="str" cm="1">
        <f t="array" ref="S8536">IFERROR(IF($B8536=S$1, ($A8536+$C8536) - MAX(IF($B$2:$B8535=$B8536, $A$2:$A8535+$C$2:$C8535)), "")*24*60, "")</f>
        <v/>
      </c>
    </row>
    <row r="8537" spans="1:19" x14ac:dyDescent="0.2">
      <c r="A8537" s="12">
        <f t="shared" ref="A8537:C8537" si="1638">A8536</f>
        <v>46029</v>
      </c>
      <c r="B8537" s="5" t="str">
        <f t="shared" si="1638"/>
        <v>Northern Cardinal</v>
      </c>
      <c r="C8537" s="6">
        <f t="shared" si="1638"/>
        <v>0.75</v>
      </c>
      <c r="D8537" s="5"/>
      <c r="E8537" s="5"/>
      <c r="F8537" s="5" t="s">
        <v>9</v>
      </c>
      <c r="G8537" s="15" t="s">
        <v>8</v>
      </c>
      <c r="H8537" s="24">
        <f t="shared" si="1586"/>
        <v>0</v>
      </c>
      <c r="I8537" s="24" cm="1">
        <f t="array" ref="I8537">IFERROR(IF($B8537=I$1, ($A8537+$C8537) - MAX(IF($B$2:$B8536=$B8537, $A$2:$A8536+$C$2:$C8536)), "")*24*60, "")</f>
        <v>0</v>
      </c>
      <c r="J8537" s="24" t="str" cm="1">
        <f t="array" ref="J8537">IFERROR(IF($B8537=J$1, ($A8537+$C8537) - MAX(IF($B$2:$B8536=$B8537, $A$2:$A8536+$C$2:$C8536)), "")*24*60, "")</f>
        <v/>
      </c>
      <c r="K8537" s="24" t="str" cm="1">
        <f t="array" ref="K8537">IFERROR(IF($B8537=K$1, ($A8537+$C8537) - MAX(IF($B$2:$B8536=$B8537, $A$2:$A8536+$C$2:$C8536)), "")*24*60, "")</f>
        <v/>
      </c>
      <c r="L8537" s="24" t="str" cm="1">
        <f t="array" ref="L8537">IFERROR(IF($B8537=L$1, ($A8537+$C8537) - MAX(IF($B$2:$B8536=$B8537, $A$2:$A8536+$C$2:$C8536)), "")*24*60, "")</f>
        <v/>
      </c>
      <c r="M8537" s="24" t="str" cm="1">
        <f t="array" ref="M8537">IFERROR(IF($B8537=M$1, ($A8537+$C8537) - MAX(IF($B$2:$B8536=$B8537, $A$2:$A8536+$C$2:$C8536)), "")*24*60, "")</f>
        <v/>
      </c>
      <c r="N8537" s="24" t="str" cm="1">
        <f t="array" ref="N8537">IFERROR(IF($B8537=N$1, ($A8537+$C8537) - MAX(IF($B$2:$B8536=$B8537, $A$2:$A8536+$C$2:$C8536)), "")*24*60, "")</f>
        <v/>
      </c>
      <c r="O8537" s="24" t="str" cm="1">
        <f t="array" ref="O8537">IFERROR(IF($B8537=O$1, ($A8537+$C8537) - MAX(IF($B$2:$B8536=$B8537, $A$2:$A8536+$C$2:$C8536)), "")*24*60, "")</f>
        <v/>
      </c>
      <c r="P8537" s="24" t="str" cm="1">
        <f t="array" ref="P8537">IFERROR(IF($B8537=P$1, ($A8537+$C8537) - MAX(IF($B$2:$B8536=$B8537, $A$2:$A8536+$C$2:$C8536)), "")*24*60, "")</f>
        <v/>
      </c>
      <c r="Q8537" s="24" t="str" cm="1">
        <f t="array" ref="Q8537">IFERROR(IF($B8537=Q$1, ($A8537+$C8537) - MAX(IF($B$2:$B8536=$B8537, $A$2:$A8536+$C$2:$C8536)), "")*24*60, "")</f>
        <v/>
      </c>
      <c r="R8537" s="24" t="str" cm="1">
        <f t="array" ref="R8537">IFERROR(IF($B8537=R$1, ($A8537+$C8537) - MAX(IF($B$2:$B8536=$B8537, $A$2:$A8536+$C$2:$C8536)), "")*24*60, "")</f>
        <v/>
      </c>
      <c r="S8537" s="24" t="str" cm="1">
        <f t="array" ref="S8537">IFERROR(IF($B8537=S$1, ($A8537+$C8537) - MAX(IF($B$2:$B8536=$B8537, $A$2:$A8536+$C$2:$C8536)), "")*24*60, "")</f>
        <v/>
      </c>
    </row>
    <row r="8538" spans="1:19" x14ac:dyDescent="0.2">
      <c r="A8538" s="12">
        <f t="shared" ref="A8538:C8538" si="1639">A8537</f>
        <v>46029</v>
      </c>
      <c r="B8538" s="5" t="str">
        <f t="shared" si="1639"/>
        <v>Northern Cardinal</v>
      </c>
      <c r="C8538" s="6">
        <f t="shared" si="1639"/>
        <v>0.75</v>
      </c>
      <c r="D8538" s="5"/>
      <c r="E8538" s="5"/>
      <c r="F8538" s="5" t="s">
        <v>9</v>
      </c>
      <c r="G8538" s="15" t="s">
        <v>8</v>
      </c>
      <c r="H8538" s="24">
        <f t="shared" si="1586"/>
        <v>0</v>
      </c>
      <c r="I8538" s="24" cm="1">
        <f t="array" ref="I8538">IFERROR(IF($B8538=I$1, ($A8538+$C8538) - MAX(IF($B$2:$B8537=$B8538, $A$2:$A8537+$C$2:$C8537)), "")*24*60, "")</f>
        <v>0</v>
      </c>
      <c r="J8538" s="24" t="str" cm="1">
        <f t="array" ref="J8538">IFERROR(IF($B8538=J$1, ($A8538+$C8538) - MAX(IF($B$2:$B8537=$B8538, $A$2:$A8537+$C$2:$C8537)), "")*24*60, "")</f>
        <v/>
      </c>
      <c r="K8538" s="24" t="str" cm="1">
        <f t="array" ref="K8538">IFERROR(IF($B8538=K$1, ($A8538+$C8538) - MAX(IF($B$2:$B8537=$B8538, $A$2:$A8537+$C$2:$C8537)), "")*24*60, "")</f>
        <v/>
      </c>
      <c r="L8538" s="24" t="str" cm="1">
        <f t="array" ref="L8538">IFERROR(IF($B8538=L$1, ($A8538+$C8538) - MAX(IF($B$2:$B8537=$B8538, $A$2:$A8537+$C$2:$C8537)), "")*24*60, "")</f>
        <v/>
      </c>
      <c r="M8538" s="24" t="str" cm="1">
        <f t="array" ref="M8538">IFERROR(IF($B8538=M$1, ($A8538+$C8538) - MAX(IF($B$2:$B8537=$B8538, $A$2:$A8537+$C$2:$C8537)), "")*24*60, "")</f>
        <v/>
      </c>
      <c r="N8538" s="24" t="str" cm="1">
        <f t="array" ref="N8538">IFERROR(IF($B8538=N$1, ($A8538+$C8538) - MAX(IF($B$2:$B8537=$B8538, $A$2:$A8537+$C$2:$C8537)), "")*24*60, "")</f>
        <v/>
      </c>
      <c r="O8538" s="24" t="str" cm="1">
        <f t="array" ref="O8538">IFERROR(IF($B8538=O$1, ($A8538+$C8538) - MAX(IF($B$2:$B8537=$B8538, $A$2:$A8537+$C$2:$C8537)), "")*24*60, "")</f>
        <v/>
      </c>
      <c r="P8538" s="24" t="str" cm="1">
        <f t="array" ref="P8538">IFERROR(IF($B8538=P$1, ($A8538+$C8538) - MAX(IF($B$2:$B8537=$B8538, $A$2:$A8537+$C$2:$C8537)), "")*24*60, "")</f>
        <v/>
      </c>
      <c r="Q8538" s="24" t="str" cm="1">
        <f t="array" ref="Q8538">IFERROR(IF($B8538=Q$1, ($A8538+$C8538) - MAX(IF($B$2:$B8537=$B8538, $A$2:$A8537+$C$2:$C8537)), "")*24*60, "")</f>
        <v/>
      </c>
      <c r="R8538" s="24" t="str" cm="1">
        <f t="array" ref="R8538">IFERROR(IF($B8538=R$1, ($A8538+$C8538) - MAX(IF($B$2:$B8537=$B8538, $A$2:$A8537+$C$2:$C8537)), "")*24*60, "")</f>
        <v/>
      </c>
      <c r="S8538" s="24" t="str" cm="1">
        <f t="array" ref="S8538">IFERROR(IF($B8538=S$1, ($A8538+$C8538) - MAX(IF($B$2:$B8537=$B8538, $A$2:$A8537+$C$2:$C8537)), "")*24*60, "")</f>
        <v/>
      </c>
    </row>
    <row r="8539" spans="1:19" x14ac:dyDescent="0.2">
      <c r="A8539" s="12">
        <f t="shared" ref="A8539:C8539" si="1640">A8538</f>
        <v>46029</v>
      </c>
      <c r="B8539" s="5" t="str">
        <f t="shared" si="1640"/>
        <v>Northern Cardinal</v>
      </c>
      <c r="C8539" s="6">
        <f t="shared" si="1640"/>
        <v>0.75</v>
      </c>
      <c r="D8539" s="5"/>
      <c r="E8539" s="5"/>
      <c r="F8539" s="5" t="s">
        <v>9</v>
      </c>
      <c r="G8539" s="15" t="s">
        <v>8</v>
      </c>
      <c r="H8539" s="24">
        <f t="shared" si="1586"/>
        <v>0</v>
      </c>
      <c r="I8539" s="24" cm="1">
        <f t="array" ref="I8539">IFERROR(IF($B8539=I$1, ($A8539+$C8539) - MAX(IF($B$2:$B8538=$B8539, $A$2:$A8538+$C$2:$C8538)), "")*24*60, "")</f>
        <v>0</v>
      </c>
      <c r="J8539" s="24" t="str" cm="1">
        <f t="array" ref="J8539">IFERROR(IF($B8539=J$1, ($A8539+$C8539) - MAX(IF($B$2:$B8538=$B8539, $A$2:$A8538+$C$2:$C8538)), "")*24*60, "")</f>
        <v/>
      </c>
      <c r="K8539" s="24" t="str" cm="1">
        <f t="array" ref="K8539">IFERROR(IF($B8539=K$1, ($A8539+$C8539) - MAX(IF($B$2:$B8538=$B8539, $A$2:$A8538+$C$2:$C8538)), "")*24*60, "")</f>
        <v/>
      </c>
      <c r="L8539" s="24" t="str" cm="1">
        <f t="array" ref="L8539">IFERROR(IF($B8539=L$1, ($A8539+$C8539) - MAX(IF($B$2:$B8538=$B8539, $A$2:$A8538+$C$2:$C8538)), "")*24*60, "")</f>
        <v/>
      </c>
      <c r="M8539" s="24" t="str" cm="1">
        <f t="array" ref="M8539">IFERROR(IF($B8539=M$1, ($A8539+$C8539) - MAX(IF($B$2:$B8538=$B8539, $A$2:$A8538+$C$2:$C8538)), "")*24*60, "")</f>
        <v/>
      </c>
      <c r="N8539" s="24" t="str" cm="1">
        <f t="array" ref="N8539">IFERROR(IF($B8539=N$1, ($A8539+$C8539) - MAX(IF($B$2:$B8538=$B8539, $A$2:$A8538+$C$2:$C8538)), "")*24*60, "")</f>
        <v/>
      </c>
      <c r="O8539" s="24" t="str" cm="1">
        <f t="array" ref="O8539">IFERROR(IF($B8539=O$1, ($A8539+$C8539) - MAX(IF($B$2:$B8538=$B8539, $A$2:$A8538+$C$2:$C8538)), "")*24*60, "")</f>
        <v/>
      </c>
      <c r="P8539" s="24" t="str" cm="1">
        <f t="array" ref="P8539">IFERROR(IF($B8539=P$1, ($A8539+$C8539) - MAX(IF($B$2:$B8538=$B8539, $A$2:$A8538+$C$2:$C8538)), "")*24*60, "")</f>
        <v/>
      </c>
      <c r="Q8539" s="24" t="str" cm="1">
        <f t="array" ref="Q8539">IFERROR(IF($B8539=Q$1, ($A8539+$C8539) - MAX(IF($B$2:$B8538=$B8539, $A$2:$A8538+$C$2:$C8538)), "")*24*60, "")</f>
        <v/>
      </c>
      <c r="R8539" s="24" t="str" cm="1">
        <f t="array" ref="R8539">IFERROR(IF($B8539=R$1, ($A8539+$C8539) - MAX(IF($B$2:$B8538=$B8539, $A$2:$A8538+$C$2:$C8538)), "")*24*60, "")</f>
        <v/>
      </c>
      <c r="S8539" s="24" t="str" cm="1">
        <f t="array" ref="S8539">IFERROR(IF($B8539=S$1, ($A8539+$C8539) - MAX(IF($B$2:$B8538=$B8539, $A$2:$A8538+$C$2:$C8538)), "")*24*60, "")</f>
        <v/>
      </c>
    </row>
    <row r="8540" spans="1:19" x14ac:dyDescent="0.2">
      <c r="A8540" s="12">
        <f t="shared" ref="A8540:C8540" si="1641">A8539</f>
        <v>46029</v>
      </c>
      <c r="B8540" s="5" t="str">
        <f t="shared" si="1641"/>
        <v>Northern Cardinal</v>
      </c>
      <c r="C8540" s="6">
        <f t="shared" si="1641"/>
        <v>0.75</v>
      </c>
      <c r="D8540" s="5"/>
      <c r="E8540" s="5"/>
      <c r="F8540" s="5" t="s">
        <v>9</v>
      </c>
      <c r="G8540" s="15" t="s">
        <v>8</v>
      </c>
      <c r="H8540" s="24">
        <f t="shared" si="1586"/>
        <v>0</v>
      </c>
      <c r="I8540" s="24" cm="1">
        <f t="array" ref="I8540">IFERROR(IF($B8540=I$1, ($A8540+$C8540) - MAX(IF($B$2:$B8539=$B8540, $A$2:$A8539+$C$2:$C8539)), "")*24*60, "")</f>
        <v>0</v>
      </c>
      <c r="J8540" s="24" t="str" cm="1">
        <f t="array" ref="J8540">IFERROR(IF($B8540=J$1, ($A8540+$C8540) - MAX(IF($B$2:$B8539=$B8540, $A$2:$A8539+$C$2:$C8539)), "")*24*60, "")</f>
        <v/>
      </c>
      <c r="K8540" s="24" t="str" cm="1">
        <f t="array" ref="K8540">IFERROR(IF($B8540=K$1, ($A8540+$C8540) - MAX(IF($B$2:$B8539=$B8540, $A$2:$A8539+$C$2:$C8539)), "")*24*60, "")</f>
        <v/>
      </c>
      <c r="L8540" s="24" t="str" cm="1">
        <f t="array" ref="L8540">IFERROR(IF($B8540=L$1, ($A8540+$C8540) - MAX(IF($B$2:$B8539=$B8540, $A$2:$A8539+$C$2:$C8539)), "")*24*60, "")</f>
        <v/>
      </c>
      <c r="M8540" s="24" t="str" cm="1">
        <f t="array" ref="M8540">IFERROR(IF($B8540=M$1, ($A8540+$C8540) - MAX(IF($B$2:$B8539=$B8540, $A$2:$A8539+$C$2:$C8539)), "")*24*60, "")</f>
        <v/>
      </c>
      <c r="N8540" s="24" t="str" cm="1">
        <f t="array" ref="N8540">IFERROR(IF($B8540=N$1, ($A8540+$C8540) - MAX(IF($B$2:$B8539=$B8540, $A$2:$A8539+$C$2:$C8539)), "")*24*60, "")</f>
        <v/>
      </c>
      <c r="O8540" s="24" t="str" cm="1">
        <f t="array" ref="O8540">IFERROR(IF($B8540=O$1, ($A8540+$C8540) - MAX(IF($B$2:$B8539=$B8540, $A$2:$A8539+$C$2:$C8539)), "")*24*60, "")</f>
        <v/>
      </c>
      <c r="P8540" s="24" t="str" cm="1">
        <f t="array" ref="P8540">IFERROR(IF($B8540=P$1, ($A8540+$C8540) - MAX(IF($B$2:$B8539=$B8540, $A$2:$A8539+$C$2:$C8539)), "")*24*60, "")</f>
        <v/>
      </c>
      <c r="Q8540" s="24" t="str" cm="1">
        <f t="array" ref="Q8540">IFERROR(IF($B8540=Q$1, ($A8540+$C8540) - MAX(IF($B$2:$B8539=$B8540, $A$2:$A8539+$C$2:$C8539)), "")*24*60, "")</f>
        <v/>
      </c>
      <c r="R8540" s="24" t="str" cm="1">
        <f t="array" ref="R8540">IFERROR(IF($B8540=R$1, ($A8540+$C8540) - MAX(IF($B$2:$B8539=$B8540, $A$2:$A8539+$C$2:$C8539)), "")*24*60, "")</f>
        <v/>
      </c>
      <c r="S8540" s="24" t="str" cm="1">
        <f t="array" ref="S8540">IFERROR(IF($B8540=S$1, ($A8540+$C8540) - MAX(IF($B$2:$B8539=$B8540, $A$2:$A8539+$C$2:$C8539)), "")*24*60, "")</f>
        <v/>
      </c>
    </row>
    <row r="8541" spans="1:19" x14ac:dyDescent="0.2">
      <c r="A8541" s="12">
        <f t="shared" ref="A8541:C8541" si="1642">A8540</f>
        <v>46029</v>
      </c>
      <c r="B8541" s="5" t="str">
        <f t="shared" si="1642"/>
        <v>Northern Cardinal</v>
      </c>
      <c r="C8541" s="6">
        <f t="shared" si="1642"/>
        <v>0.75</v>
      </c>
      <c r="D8541" s="5"/>
      <c r="E8541" s="5"/>
      <c r="F8541" s="5" t="s">
        <v>9</v>
      </c>
      <c r="G8541" s="15" t="s">
        <v>8</v>
      </c>
      <c r="H8541" s="24">
        <f t="shared" si="1586"/>
        <v>0</v>
      </c>
      <c r="I8541" s="24" cm="1">
        <f t="array" ref="I8541">IFERROR(IF($B8541=I$1, ($A8541+$C8541) - MAX(IF($B$2:$B8540=$B8541, $A$2:$A8540+$C$2:$C8540)), "")*24*60, "")</f>
        <v>0</v>
      </c>
      <c r="J8541" s="24" t="str" cm="1">
        <f t="array" ref="J8541">IFERROR(IF($B8541=J$1, ($A8541+$C8541) - MAX(IF($B$2:$B8540=$B8541, $A$2:$A8540+$C$2:$C8540)), "")*24*60, "")</f>
        <v/>
      </c>
      <c r="K8541" s="24" t="str" cm="1">
        <f t="array" ref="K8541">IFERROR(IF($B8541=K$1, ($A8541+$C8541) - MAX(IF($B$2:$B8540=$B8541, $A$2:$A8540+$C$2:$C8540)), "")*24*60, "")</f>
        <v/>
      </c>
      <c r="L8541" s="24" t="str" cm="1">
        <f t="array" ref="L8541">IFERROR(IF($B8541=L$1, ($A8541+$C8541) - MAX(IF($B$2:$B8540=$B8541, $A$2:$A8540+$C$2:$C8540)), "")*24*60, "")</f>
        <v/>
      </c>
      <c r="M8541" s="24" t="str" cm="1">
        <f t="array" ref="M8541">IFERROR(IF($B8541=M$1, ($A8541+$C8541) - MAX(IF($B$2:$B8540=$B8541, $A$2:$A8540+$C$2:$C8540)), "")*24*60, "")</f>
        <v/>
      </c>
      <c r="N8541" s="24" t="str" cm="1">
        <f t="array" ref="N8541">IFERROR(IF($B8541=N$1, ($A8541+$C8541) - MAX(IF($B$2:$B8540=$B8541, $A$2:$A8540+$C$2:$C8540)), "")*24*60, "")</f>
        <v/>
      </c>
      <c r="O8541" s="24" t="str" cm="1">
        <f t="array" ref="O8541">IFERROR(IF($B8541=O$1, ($A8541+$C8541) - MAX(IF($B$2:$B8540=$B8541, $A$2:$A8540+$C$2:$C8540)), "")*24*60, "")</f>
        <v/>
      </c>
      <c r="P8541" s="24" t="str" cm="1">
        <f t="array" ref="P8541">IFERROR(IF($B8541=P$1, ($A8541+$C8541) - MAX(IF($B$2:$B8540=$B8541, $A$2:$A8540+$C$2:$C8540)), "")*24*60, "")</f>
        <v/>
      </c>
      <c r="Q8541" s="24" t="str" cm="1">
        <f t="array" ref="Q8541">IFERROR(IF($B8541=Q$1, ($A8541+$C8541) - MAX(IF($B$2:$B8540=$B8541, $A$2:$A8540+$C$2:$C8540)), "")*24*60, "")</f>
        <v/>
      </c>
      <c r="R8541" s="24" t="str" cm="1">
        <f t="array" ref="R8541">IFERROR(IF($B8541=R$1, ($A8541+$C8541) - MAX(IF($B$2:$B8540=$B8541, $A$2:$A8540+$C$2:$C8540)), "")*24*60, "")</f>
        <v/>
      </c>
      <c r="S8541" s="24" t="str" cm="1">
        <f t="array" ref="S8541">IFERROR(IF($B8541=S$1, ($A8541+$C8541) - MAX(IF($B$2:$B8540=$B8541, $A$2:$A8540+$C$2:$C8540)), "")*24*60, "")</f>
        <v/>
      </c>
    </row>
    <row r="8542" spans="1:19" x14ac:dyDescent="0.2">
      <c r="A8542" s="12">
        <f t="shared" ref="A8542:C8542" si="1643">A8541</f>
        <v>46029</v>
      </c>
      <c r="B8542" s="5" t="str">
        <f t="shared" si="1643"/>
        <v>Northern Cardinal</v>
      </c>
      <c r="C8542" s="6">
        <f t="shared" si="1643"/>
        <v>0.75</v>
      </c>
      <c r="D8542" s="5"/>
      <c r="E8542" s="5"/>
      <c r="F8542" s="5" t="s">
        <v>9</v>
      </c>
      <c r="G8542" s="15" t="s">
        <v>8</v>
      </c>
      <c r="H8542" s="24">
        <f t="shared" si="1586"/>
        <v>0</v>
      </c>
      <c r="I8542" s="24" cm="1">
        <f t="array" ref="I8542">IFERROR(IF($B8542=I$1, ($A8542+$C8542) - MAX(IF($B$2:$B8541=$B8542, $A$2:$A8541+$C$2:$C8541)), "")*24*60, "")</f>
        <v>0</v>
      </c>
      <c r="J8542" s="24" t="str" cm="1">
        <f t="array" ref="J8542">IFERROR(IF($B8542=J$1, ($A8542+$C8542) - MAX(IF($B$2:$B8541=$B8542, $A$2:$A8541+$C$2:$C8541)), "")*24*60, "")</f>
        <v/>
      </c>
      <c r="K8542" s="24" t="str" cm="1">
        <f t="array" ref="K8542">IFERROR(IF($B8542=K$1, ($A8542+$C8542) - MAX(IF($B$2:$B8541=$B8542, $A$2:$A8541+$C$2:$C8541)), "")*24*60, "")</f>
        <v/>
      </c>
      <c r="L8542" s="24" t="str" cm="1">
        <f t="array" ref="L8542">IFERROR(IF($B8542=L$1, ($A8542+$C8542) - MAX(IF($B$2:$B8541=$B8542, $A$2:$A8541+$C$2:$C8541)), "")*24*60, "")</f>
        <v/>
      </c>
      <c r="M8542" s="24" t="str" cm="1">
        <f t="array" ref="M8542">IFERROR(IF($B8542=M$1, ($A8542+$C8542) - MAX(IF($B$2:$B8541=$B8542, $A$2:$A8541+$C$2:$C8541)), "")*24*60, "")</f>
        <v/>
      </c>
      <c r="N8542" s="24" t="str" cm="1">
        <f t="array" ref="N8542">IFERROR(IF($B8542=N$1, ($A8542+$C8542) - MAX(IF($B$2:$B8541=$B8542, $A$2:$A8541+$C$2:$C8541)), "")*24*60, "")</f>
        <v/>
      </c>
      <c r="O8542" s="24" t="str" cm="1">
        <f t="array" ref="O8542">IFERROR(IF($B8542=O$1, ($A8542+$C8542) - MAX(IF($B$2:$B8541=$B8542, $A$2:$A8541+$C$2:$C8541)), "")*24*60, "")</f>
        <v/>
      </c>
      <c r="P8542" s="24" t="str" cm="1">
        <f t="array" ref="P8542">IFERROR(IF($B8542=P$1, ($A8542+$C8542) - MAX(IF($B$2:$B8541=$B8542, $A$2:$A8541+$C$2:$C8541)), "")*24*60, "")</f>
        <v/>
      </c>
      <c r="Q8542" s="24" t="str" cm="1">
        <f t="array" ref="Q8542">IFERROR(IF($B8542=Q$1, ($A8542+$C8542) - MAX(IF($B$2:$B8541=$B8542, $A$2:$A8541+$C$2:$C8541)), "")*24*60, "")</f>
        <v/>
      </c>
      <c r="R8542" s="24" t="str" cm="1">
        <f t="array" ref="R8542">IFERROR(IF($B8542=R$1, ($A8542+$C8542) - MAX(IF($B$2:$B8541=$B8542, $A$2:$A8541+$C$2:$C8541)), "")*24*60, "")</f>
        <v/>
      </c>
      <c r="S8542" s="24" t="str" cm="1">
        <f t="array" ref="S8542">IFERROR(IF($B8542=S$1, ($A8542+$C8542) - MAX(IF($B$2:$B8541=$B8542, $A$2:$A8541+$C$2:$C8541)), "")*24*60, "")</f>
        <v/>
      </c>
    </row>
    <row r="8543" spans="1:19" x14ac:dyDescent="0.2">
      <c r="A8543" s="12">
        <f t="shared" ref="A8543:C8543" si="1644">A8542</f>
        <v>46029</v>
      </c>
      <c r="B8543" s="5" t="str">
        <f t="shared" si="1644"/>
        <v>Northern Cardinal</v>
      </c>
      <c r="C8543" s="6">
        <f t="shared" si="1644"/>
        <v>0.75</v>
      </c>
      <c r="D8543" s="5"/>
      <c r="E8543" s="5"/>
      <c r="F8543" s="5" t="s">
        <v>9</v>
      </c>
      <c r="G8543" s="15" t="s">
        <v>8</v>
      </c>
      <c r="H8543" s="24">
        <f t="shared" si="1586"/>
        <v>0</v>
      </c>
      <c r="I8543" s="24" cm="1">
        <f t="array" ref="I8543">IFERROR(IF($B8543=I$1, ($A8543+$C8543) - MAX(IF($B$2:$B8542=$B8543, $A$2:$A8542+$C$2:$C8542)), "")*24*60, "")</f>
        <v>0</v>
      </c>
      <c r="J8543" s="24" t="str" cm="1">
        <f t="array" ref="J8543">IFERROR(IF($B8543=J$1, ($A8543+$C8543) - MAX(IF($B$2:$B8542=$B8543, $A$2:$A8542+$C$2:$C8542)), "")*24*60, "")</f>
        <v/>
      </c>
      <c r="K8543" s="24" t="str" cm="1">
        <f t="array" ref="K8543">IFERROR(IF($B8543=K$1, ($A8543+$C8543) - MAX(IF($B$2:$B8542=$B8543, $A$2:$A8542+$C$2:$C8542)), "")*24*60, "")</f>
        <v/>
      </c>
      <c r="L8543" s="24" t="str" cm="1">
        <f t="array" ref="L8543">IFERROR(IF($B8543=L$1, ($A8543+$C8543) - MAX(IF($B$2:$B8542=$B8543, $A$2:$A8542+$C$2:$C8542)), "")*24*60, "")</f>
        <v/>
      </c>
      <c r="M8543" s="24" t="str" cm="1">
        <f t="array" ref="M8543">IFERROR(IF($B8543=M$1, ($A8543+$C8543) - MAX(IF($B$2:$B8542=$B8543, $A$2:$A8542+$C$2:$C8542)), "")*24*60, "")</f>
        <v/>
      </c>
      <c r="N8543" s="24" t="str" cm="1">
        <f t="array" ref="N8543">IFERROR(IF($B8543=N$1, ($A8543+$C8543) - MAX(IF($B$2:$B8542=$B8543, $A$2:$A8542+$C$2:$C8542)), "")*24*60, "")</f>
        <v/>
      </c>
      <c r="O8543" s="24" t="str" cm="1">
        <f t="array" ref="O8543">IFERROR(IF($B8543=O$1, ($A8543+$C8543) - MAX(IF($B$2:$B8542=$B8543, $A$2:$A8542+$C$2:$C8542)), "")*24*60, "")</f>
        <v/>
      </c>
      <c r="P8543" s="24" t="str" cm="1">
        <f t="array" ref="P8543">IFERROR(IF($B8543=P$1, ($A8543+$C8543) - MAX(IF($B$2:$B8542=$B8543, $A$2:$A8542+$C$2:$C8542)), "")*24*60, "")</f>
        <v/>
      </c>
      <c r="Q8543" s="24" t="str" cm="1">
        <f t="array" ref="Q8543">IFERROR(IF($B8543=Q$1, ($A8543+$C8543) - MAX(IF($B$2:$B8542=$B8543, $A$2:$A8542+$C$2:$C8542)), "")*24*60, "")</f>
        <v/>
      </c>
      <c r="R8543" s="24" t="str" cm="1">
        <f t="array" ref="R8543">IFERROR(IF($B8543=R$1, ($A8543+$C8543) - MAX(IF($B$2:$B8542=$B8543, $A$2:$A8542+$C$2:$C8542)), "")*24*60, "")</f>
        <v/>
      </c>
      <c r="S8543" s="24" t="str" cm="1">
        <f t="array" ref="S8543">IFERROR(IF($B8543=S$1, ($A8543+$C8543) - MAX(IF($B$2:$B8542=$B8543, $A$2:$A8542+$C$2:$C8542)), "")*24*60, "")</f>
        <v/>
      </c>
    </row>
    <row r="8544" spans="1:19" x14ac:dyDescent="0.2">
      <c r="A8544" s="12">
        <f t="shared" ref="A8544:C8544" si="1645">A8543</f>
        <v>46029</v>
      </c>
      <c r="B8544" s="5" t="str">
        <f t="shared" si="1645"/>
        <v>Northern Cardinal</v>
      </c>
      <c r="C8544" s="6">
        <f t="shared" si="1645"/>
        <v>0.75</v>
      </c>
      <c r="D8544" s="5"/>
      <c r="E8544" s="5"/>
      <c r="F8544" s="5" t="s">
        <v>9</v>
      </c>
      <c r="G8544" s="15" t="s">
        <v>8</v>
      </c>
      <c r="H8544" s="24">
        <f t="shared" si="1586"/>
        <v>0</v>
      </c>
      <c r="I8544" s="24" cm="1">
        <f t="array" ref="I8544">IFERROR(IF($B8544=I$1, ($A8544+$C8544) - MAX(IF($B$2:$B8543=$B8544, $A$2:$A8543+$C$2:$C8543)), "")*24*60, "")</f>
        <v>0</v>
      </c>
      <c r="J8544" s="24" t="str" cm="1">
        <f t="array" ref="J8544">IFERROR(IF($B8544=J$1, ($A8544+$C8544) - MAX(IF($B$2:$B8543=$B8544, $A$2:$A8543+$C$2:$C8543)), "")*24*60, "")</f>
        <v/>
      </c>
      <c r="K8544" s="24" t="str" cm="1">
        <f t="array" ref="K8544">IFERROR(IF($B8544=K$1, ($A8544+$C8544) - MAX(IF($B$2:$B8543=$B8544, $A$2:$A8543+$C$2:$C8543)), "")*24*60, "")</f>
        <v/>
      </c>
      <c r="L8544" s="24" t="str" cm="1">
        <f t="array" ref="L8544">IFERROR(IF($B8544=L$1, ($A8544+$C8544) - MAX(IF($B$2:$B8543=$B8544, $A$2:$A8543+$C$2:$C8543)), "")*24*60, "")</f>
        <v/>
      </c>
      <c r="M8544" s="24" t="str" cm="1">
        <f t="array" ref="M8544">IFERROR(IF($B8544=M$1, ($A8544+$C8544) - MAX(IF($B$2:$B8543=$B8544, $A$2:$A8543+$C$2:$C8543)), "")*24*60, "")</f>
        <v/>
      </c>
      <c r="N8544" s="24" t="str" cm="1">
        <f t="array" ref="N8544">IFERROR(IF($B8544=N$1, ($A8544+$C8544) - MAX(IF($B$2:$B8543=$B8544, $A$2:$A8543+$C$2:$C8543)), "")*24*60, "")</f>
        <v/>
      </c>
      <c r="O8544" s="24" t="str" cm="1">
        <f t="array" ref="O8544">IFERROR(IF($B8544=O$1, ($A8544+$C8544) - MAX(IF($B$2:$B8543=$B8544, $A$2:$A8543+$C$2:$C8543)), "")*24*60, "")</f>
        <v/>
      </c>
      <c r="P8544" s="24" t="str" cm="1">
        <f t="array" ref="P8544">IFERROR(IF($B8544=P$1, ($A8544+$C8544) - MAX(IF($B$2:$B8543=$B8544, $A$2:$A8543+$C$2:$C8543)), "")*24*60, "")</f>
        <v/>
      </c>
      <c r="Q8544" s="24" t="str" cm="1">
        <f t="array" ref="Q8544">IFERROR(IF($B8544=Q$1, ($A8544+$C8544) - MAX(IF($B$2:$B8543=$B8544, $A$2:$A8543+$C$2:$C8543)), "")*24*60, "")</f>
        <v/>
      </c>
      <c r="R8544" s="24" t="str" cm="1">
        <f t="array" ref="R8544">IFERROR(IF($B8544=R$1, ($A8544+$C8544) - MAX(IF($B$2:$B8543=$B8544, $A$2:$A8543+$C$2:$C8543)), "")*24*60, "")</f>
        <v/>
      </c>
      <c r="S8544" s="24" t="str" cm="1">
        <f t="array" ref="S8544">IFERROR(IF($B8544=S$1, ($A8544+$C8544) - MAX(IF($B$2:$B8543=$B8544, $A$2:$A8543+$C$2:$C8543)), "")*24*60, "")</f>
        <v/>
      </c>
    </row>
    <row r="8545" spans="1:19" x14ac:dyDescent="0.2">
      <c r="A8545" s="12">
        <f t="shared" ref="A8545:C8545" si="1646">A8544</f>
        <v>46029</v>
      </c>
      <c r="B8545" s="5" t="str">
        <f t="shared" si="1646"/>
        <v>Northern Cardinal</v>
      </c>
      <c r="C8545" s="6">
        <f t="shared" si="1646"/>
        <v>0.75</v>
      </c>
      <c r="D8545" s="5"/>
      <c r="E8545" s="5"/>
      <c r="F8545" s="5" t="s">
        <v>9</v>
      </c>
      <c r="G8545" s="15" t="s">
        <v>8</v>
      </c>
      <c r="H8545" s="24">
        <f t="shared" si="1586"/>
        <v>0</v>
      </c>
      <c r="I8545" s="24" cm="1">
        <f t="array" ref="I8545">IFERROR(IF($B8545=I$1, ($A8545+$C8545) - MAX(IF($B$2:$B8544=$B8545, $A$2:$A8544+$C$2:$C8544)), "")*24*60, "")</f>
        <v>0</v>
      </c>
      <c r="J8545" s="24" t="str" cm="1">
        <f t="array" ref="J8545">IFERROR(IF($B8545=J$1, ($A8545+$C8545) - MAX(IF($B$2:$B8544=$B8545, $A$2:$A8544+$C$2:$C8544)), "")*24*60, "")</f>
        <v/>
      </c>
      <c r="K8545" s="24" t="str" cm="1">
        <f t="array" ref="K8545">IFERROR(IF($B8545=K$1, ($A8545+$C8545) - MAX(IF($B$2:$B8544=$B8545, $A$2:$A8544+$C$2:$C8544)), "")*24*60, "")</f>
        <v/>
      </c>
      <c r="L8545" s="24" t="str" cm="1">
        <f t="array" ref="L8545">IFERROR(IF($B8545=L$1, ($A8545+$C8545) - MAX(IF($B$2:$B8544=$B8545, $A$2:$A8544+$C$2:$C8544)), "")*24*60, "")</f>
        <v/>
      </c>
      <c r="M8545" s="24" t="str" cm="1">
        <f t="array" ref="M8545">IFERROR(IF($B8545=M$1, ($A8545+$C8545) - MAX(IF($B$2:$B8544=$B8545, $A$2:$A8544+$C$2:$C8544)), "")*24*60, "")</f>
        <v/>
      </c>
      <c r="N8545" s="24" t="str" cm="1">
        <f t="array" ref="N8545">IFERROR(IF($B8545=N$1, ($A8545+$C8545) - MAX(IF($B$2:$B8544=$B8545, $A$2:$A8544+$C$2:$C8544)), "")*24*60, "")</f>
        <v/>
      </c>
      <c r="O8545" s="24" t="str" cm="1">
        <f t="array" ref="O8545">IFERROR(IF($B8545=O$1, ($A8545+$C8545) - MAX(IF($B$2:$B8544=$B8545, $A$2:$A8544+$C$2:$C8544)), "")*24*60, "")</f>
        <v/>
      </c>
      <c r="P8545" s="24" t="str" cm="1">
        <f t="array" ref="P8545">IFERROR(IF($B8545=P$1, ($A8545+$C8545) - MAX(IF($B$2:$B8544=$B8545, $A$2:$A8544+$C$2:$C8544)), "")*24*60, "")</f>
        <v/>
      </c>
      <c r="Q8545" s="24" t="str" cm="1">
        <f t="array" ref="Q8545">IFERROR(IF($B8545=Q$1, ($A8545+$C8545) - MAX(IF($B$2:$B8544=$B8545, $A$2:$A8544+$C$2:$C8544)), "")*24*60, "")</f>
        <v/>
      </c>
      <c r="R8545" s="24" t="str" cm="1">
        <f t="array" ref="R8545">IFERROR(IF($B8545=R$1, ($A8545+$C8545) - MAX(IF($B$2:$B8544=$B8545, $A$2:$A8544+$C$2:$C8544)), "")*24*60, "")</f>
        <v/>
      </c>
      <c r="S8545" s="24" t="str" cm="1">
        <f t="array" ref="S8545">IFERROR(IF($B8545=S$1, ($A8545+$C8545) - MAX(IF($B$2:$B8544=$B8545, $A$2:$A8544+$C$2:$C8544)), "")*24*60, "")</f>
        <v/>
      </c>
    </row>
    <row r="8546" spans="1:19" x14ac:dyDescent="0.2">
      <c r="A8546" s="12">
        <f t="shared" ref="A8546:C8546" si="1647">A8545</f>
        <v>46029</v>
      </c>
      <c r="B8546" s="5" t="str">
        <f t="shared" si="1647"/>
        <v>Northern Cardinal</v>
      </c>
      <c r="C8546" s="6">
        <f t="shared" si="1647"/>
        <v>0.75</v>
      </c>
      <c r="D8546" s="5"/>
      <c r="E8546" s="5"/>
      <c r="F8546" s="5" t="s">
        <v>9</v>
      </c>
      <c r="G8546" s="15" t="s">
        <v>8</v>
      </c>
      <c r="H8546" s="24">
        <f t="shared" si="1586"/>
        <v>0</v>
      </c>
      <c r="I8546" s="24" cm="1">
        <f t="array" ref="I8546">IFERROR(IF($B8546=I$1, ($A8546+$C8546) - MAX(IF($B$2:$B8545=$B8546, $A$2:$A8545+$C$2:$C8545)), "")*24*60, "")</f>
        <v>0</v>
      </c>
      <c r="J8546" s="24" t="str" cm="1">
        <f t="array" ref="J8546">IFERROR(IF($B8546=J$1, ($A8546+$C8546) - MAX(IF($B$2:$B8545=$B8546, $A$2:$A8545+$C$2:$C8545)), "")*24*60, "")</f>
        <v/>
      </c>
      <c r="K8546" s="24" t="str" cm="1">
        <f t="array" ref="K8546">IFERROR(IF($B8546=K$1, ($A8546+$C8546) - MAX(IF($B$2:$B8545=$B8546, $A$2:$A8545+$C$2:$C8545)), "")*24*60, "")</f>
        <v/>
      </c>
      <c r="L8546" s="24" t="str" cm="1">
        <f t="array" ref="L8546">IFERROR(IF($B8546=L$1, ($A8546+$C8546) - MAX(IF($B$2:$B8545=$B8546, $A$2:$A8545+$C$2:$C8545)), "")*24*60, "")</f>
        <v/>
      </c>
      <c r="M8546" s="24" t="str" cm="1">
        <f t="array" ref="M8546">IFERROR(IF($B8546=M$1, ($A8546+$C8546) - MAX(IF($B$2:$B8545=$B8546, $A$2:$A8545+$C$2:$C8545)), "")*24*60, "")</f>
        <v/>
      </c>
      <c r="N8546" s="24" t="str" cm="1">
        <f t="array" ref="N8546">IFERROR(IF($B8546=N$1, ($A8546+$C8546) - MAX(IF($B$2:$B8545=$B8546, $A$2:$A8545+$C$2:$C8545)), "")*24*60, "")</f>
        <v/>
      </c>
      <c r="O8546" s="24" t="str" cm="1">
        <f t="array" ref="O8546">IFERROR(IF($B8546=O$1, ($A8546+$C8546) - MAX(IF($B$2:$B8545=$B8546, $A$2:$A8545+$C$2:$C8545)), "")*24*60, "")</f>
        <v/>
      </c>
      <c r="P8546" s="24" t="str" cm="1">
        <f t="array" ref="P8546">IFERROR(IF($B8546=P$1, ($A8546+$C8546) - MAX(IF($B$2:$B8545=$B8546, $A$2:$A8545+$C$2:$C8545)), "")*24*60, "")</f>
        <v/>
      </c>
      <c r="Q8546" s="24" t="str" cm="1">
        <f t="array" ref="Q8546">IFERROR(IF($B8546=Q$1, ($A8546+$C8546) - MAX(IF($B$2:$B8545=$B8546, $A$2:$A8545+$C$2:$C8545)), "")*24*60, "")</f>
        <v/>
      </c>
      <c r="R8546" s="24" t="str" cm="1">
        <f t="array" ref="R8546">IFERROR(IF($B8546=R$1, ($A8546+$C8546) - MAX(IF($B$2:$B8545=$B8546, $A$2:$A8545+$C$2:$C8545)), "")*24*60, "")</f>
        <v/>
      </c>
      <c r="S8546" s="24" t="str" cm="1">
        <f t="array" ref="S8546">IFERROR(IF($B8546=S$1, ($A8546+$C8546) - MAX(IF($B$2:$B8545=$B8546, $A$2:$A8545+$C$2:$C8545)), "")*24*60, "")</f>
        <v/>
      </c>
    </row>
    <row r="8547" spans="1:19" x14ac:dyDescent="0.2">
      <c r="A8547" s="12">
        <f t="shared" ref="A8547:C8547" si="1648">A8546</f>
        <v>46029</v>
      </c>
      <c r="B8547" s="5" t="str">
        <f t="shared" si="1648"/>
        <v>Northern Cardinal</v>
      </c>
      <c r="C8547" s="6">
        <f t="shared" si="1648"/>
        <v>0.75</v>
      </c>
      <c r="D8547" s="5"/>
      <c r="E8547" s="5"/>
      <c r="F8547" s="5" t="s">
        <v>9</v>
      </c>
      <c r="G8547" s="15" t="s">
        <v>8</v>
      </c>
      <c r="H8547" s="24">
        <f t="shared" si="1586"/>
        <v>0</v>
      </c>
      <c r="I8547" s="24" cm="1">
        <f t="array" ref="I8547">IFERROR(IF($B8547=I$1, ($A8547+$C8547) - MAX(IF($B$2:$B8546=$B8547, $A$2:$A8546+$C$2:$C8546)), "")*24*60, "")</f>
        <v>0</v>
      </c>
      <c r="J8547" s="24" t="str" cm="1">
        <f t="array" ref="J8547">IFERROR(IF($B8547=J$1, ($A8547+$C8547) - MAX(IF($B$2:$B8546=$B8547, $A$2:$A8546+$C$2:$C8546)), "")*24*60, "")</f>
        <v/>
      </c>
      <c r="K8547" s="24" t="str" cm="1">
        <f t="array" ref="K8547">IFERROR(IF($B8547=K$1, ($A8547+$C8547) - MAX(IF($B$2:$B8546=$B8547, $A$2:$A8546+$C$2:$C8546)), "")*24*60, "")</f>
        <v/>
      </c>
      <c r="L8547" s="24" t="str" cm="1">
        <f t="array" ref="L8547">IFERROR(IF($B8547=L$1, ($A8547+$C8547) - MAX(IF($B$2:$B8546=$B8547, $A$2:$A8546+$C$2:$C8546)), "")*24*60, "")</f>
        <v/>
      </c>
      <c r="M8547" s="24" t="str" cm="1">
        <f t="array" ref="M8547">IFERROR(IF($B8547=M$1, ($A8547+$C8547) - MAX(IF($B$2:$B8546=$B8547, $A$2:$A8546+$C$2:$C8546)), "")*24*60, "")</f>
        <v/>
      </c>
      <c r="N8547" s="24" t="str" cm="1">
        <f t="array" ref="N8547">IFERROR(IF($B8547=N$1, ($A8547+$C8547) - MAX(IF($B$2:$B8546=$B8547, $A$2:$A8546+$C$2:$C8546)), "")*24*60, "")</f>
        <v/>
      </c>
      <c r="O8547" s="24" t="str" cm="1">
        <f t="array" ref="O8547">IFERROR(IF($B8547=O$1, ($A8547+$C8547) - MAX(IF($B$2:$B8546=$B8547, $A$2:$A8546+$C$2:$C8546)), "")*24*60, "")</f>
        <v/>
      </c>
      <c r="P8547" s="24" t="str" cm="1">
        <f t="array" ref="P8547">IFERROR(IF($B8547=P$1, ($A8547+$C8547) - MAX(IF($B$2:$B8546=$B8547, $A$2:$A8546+$C$2:$C8546)), "")*24*60, "")</f>
        <v/>
      </c>
      <c r="Q8547" s="24" t="str" cm="1">
        <f t="array" ref="Q8547">IFERROR(IF($B8547=Q$1, ($A8547+$C8547) - MAX(IF($B$2:$B8546=$B8547, $A$2:$A8546+$C$2:$C8546)), "")*24*60, "")</f>
        <v/>
      </c>
      <c r="R8547" s="24" t="str" cm="1">
        <f t="array" ref="R8547">IFERROR(IF($B8547=R$1, ($A8547+$C8547) - MAX(IF($B$2:$B8546=$B8547, $A$2:$A8546+$C$2:$C8546)), "")*24*60, "")</f>
        <v/>
      </c>
      <c r="S8547" s="24" t="str" cm="1">
        <f t="array" ref="S8547">IFERROR(IF($B8547=S$1, ($A8547+$C8547) - MAX(IF($B$2:$B8546=$B8547, $A$2:$A8546+$C$2:$C8546)), "")*24*60, "")</f>
        <v/>
      </c>
    </row>
    <row r="8548" spans="1:19" x14ac:dyDescent="0.2">
      <c r="A8548" s="12">
        <f t="shared" ref="A8548:C8548" si="1649">A8547</f>
        <v>46029</v>
      </c>
      <c r="B8548" s="5" t="str">
        <f t="shared" si="1649"/>
        <v>Northern Cardinal</v>
      </c>
      <c r="C8548" s="6">
        <f t="shared" si="1649"/>
        <v>0.75</v>
      </c>
      <c r="D8548" s="5"/>
      <c r="E8548" s="5"/>
      <c r="F8548" s="5" t="s">
        <v>9</v>
      </c>
      <c r="G8548" s="15" t="s">
        <v>8</v>
      </c>
      <c r="H8548" s="24">
        <f t="shared" si="1586"/>
        <v>0</v>
      </c>
      <c r="I8548" s="24" cm="1">
        <f t="array" ref="I8548">IFERROR(IF($B8548=I$1, ($A8548+$C8548) - MAX(IF($B$2:$B8547=$B8548, $A$2:$A8547+$C$2:$C8547)), "")*24*60, "")</f>
        <v>0</v>
      </c>
      <c r="J8548" s="24" t="str" cm="1">
        <f t="array" ref="J8548">IFERROR(IF($B8548=J$1, ($A8548+$C8548) - MAX(IF($B$2:$B8547=$B8548, $A$2:$A8547+$C$2:$C8547)), "")*24*60, "")</f>
        <v/>
      </c>
      <c r="K8548" s="24" t="str" cm="1">
        <f t="array" ref="K8548">IFERROR(IF($B8548=K$1, ($A8548+$C8548) - MAX(IF($B$2:$B8547=$B8548, $A$2:$A8547+$C$2:$C8547)), "")*24*60, "")</f>
        <v/>
      </c>
      <c r="L8548" s="24" t="str" cm="1">
        <f t="array" ref="L8548">IFERROR(IF($B8548=L$1, ($A8548+$C8548) - MAX(IF($B$2:$B8547=$B8548, $A$2:$A8547+$C$2:$C8547)), "")*24*60, "")</f>
        <v/>
      </c>
      <c r="M8548" s="24" t="str" cm="1">
        <f t="array" ref="M8548">IFERROR(IF($B8548=M$1, ($A8548+$C8548) - MAX(IF($B$2:$B8547=$B8548, $A$2:$A8547+$C$2:$C8547)), "")*24*60, "")</f>
        <v/>
      </c>
      <c r="N8548" s="24" t="str" cm="1">
        <f t="array" ref="N8548">IFERROR(IF($B8548=N$1, ($A8548+$C8548) - MAX(IF($B$2:$B8547=$B8548, $A$2:$A8547+$C$2:$C8547)), "")*24*60, "")</f>
        <v/>
      </c>
      <c r="O8548" s="24" t="str" cm="1">
        <f t="array" ref="O8548">IFERROR(IF($B8548=O$1, ($A8548+$C8548) - MAX(IF($B$2:$B8547=$B8548, $A$2:$A8547+$C$2:$C8547)), "")*24*60, "")</f>
        <v/>
      </c>
      <c r="P8548" s="24" t="str" cm="1">
        <f t="array" ref="P8548">IFERROR(IF($B8548=P$1, ($A8548+$C8548) - MAX(IF($B$2:$B8547=$B8548, $A$2:$A8547+$C$2:$C8547)), "")*24*60, "")</f>
        <v/>
      </c>
      <c r="Q8548" s="24" t="str" cm="1">
        <f t="array" ref="Q8548">IFERROR(IF($B8548=Q$1, ($A8548+$C8548) - MAX(IF($B$2:$B8547=$B8548, $A$2:$A8547+$C$2:$C8547)), "")*24*60, "")</f>
        <v/>
      </c>
      <c r="R8548" s="24" t="str" cm="1">
        <f t="array" ref="R8548">IFERROR(IF($B8548=R$1, ($A8548+$C8548) - MAX(IF($B$2:$B8547=$B8548, $A$2:$A8547+$C$2:$C8547)), "")*24*60, "")</f>
        <v/>
      </c>
      <c r="S8548" s="24" t="str" cm="1">
        <f t="array" ref="S8548">IFERROR(IF($B8548=S$1, ($A8548+$C8548) - MAX(IF($B$2:$B8547=$B8548, $A$2:$A8547+$C$2:$C8547)), "")*24*60, "")</f>
        <v/>
      </c>
    </row>
    <row r="8549" spans="1:19" x14ac:dyDescent="0.2">
      <c r="A8549" s="12">
        <f t="shared" ref="A8549:C8549" si="1650">A8548</f>
        <v>46029</v>
      </c>
      <c r="B8549" s="5" t="str">
        <f t="shared" si="1650"/>
        <v>Northern Cardinal</v>
      </c>
      <c r="C8549" s="6">
        <f t="shared" si="1650"/>
        <v>0.75</v>
      </c>
      <c r="D8549" s="5"/>
      <c r="E8549" s="5"/>
      <c r="F8549" s="5" t="s">
        <v>9</v>
      </c>
      <c r="G8549" s="15" t="s">
        <v>8</v>
      </c>
      <c r="H8549" s="24">
        <f t="shared" ref="H8549:H8600" si="1651">IFERROR((($A8549+$C8549) - ($A8548+$C8548))*24*60, "")</f>
        <v>0</v>
      </c>
      <c r="I8549" s="24" cm="1">
        <f t="array" ref="I8549">IFERROR(IF($B8549=I$1, ($A8549+$C8549) - MAX(IF($B$2:$B8548=$B8549, $A$2:$A8548+$C$2:$C8548)), "")*24*60, "")</f>
        <v>0</v>
      </c>
      <c r="J8549" s="24" t="str" cm="1">
        <f t="array" ref="J8549">IFERROR(IF($B8549=J$1, ($A8549+$C8549) - MAX(IF($B$2:$B8548=$B8549, $A$2:$A8548+$C$2:$C8548)), "")*24*60, "")</f>
        <v/>
      </c>
      <c r="K8549" s="24" t="str" cm="1">
        <f t="array" ref="K8549">IFERROR(IF($B8549=K$1, ($A8549+$C8549) - MAX(IF($B$2:$B8548=$B8549, $A$2:$A8548+$C$2:$C8548)), "")*24*60, "")</f>
        <v/>
      </c>
      <c r="L8549" s="24" t="str" cm="1">
        <f t="array" ref="L8549">IFERROR(IF($B8549=L$1, ($A8549+$C8549) - MAX(IF($B$2:$B8548=$B8549, $A$2:$A8548+$C$2:$C8548)), "")*24*60, "")</f>
        <v/>
      </c>
      <c r="M8549" s="24" t="str" cm="1">
        <f t="array" ref="M8549">IFERROR(IF($B8549=M$1, ($A8549+$C8549) - MAX(IF($B$2:$B8548=$B8549, $A$2:$A8548+$C$2:$C8548)), "")*24*60, "")</f>
        <v/>
      </c>
      <c r="N8549" s="24" t="str" cm="1">
        <f t="array" ref="N8549">IFERROR(IF($B8549=N$1, ($A8549+$C8549) - MAX(IF($B$2:$B8548=$B8549, $A$2:$A8548+$C$2:$C8548)), "")*24*60, "")</f>
        <v/>
      </c>
      <c r="O8549" s="24" t="str" cm="1">
        <f t="array" ref="O8549">IFERROR(IF($B8549=O$1, ($A8549+$C8549) - MAX(IF($B$2:$B8548=$B8549, $A$2:$A8548+$C$2:$C8548)), "")*24*60, "")</f>
        <v/>
      </c>
      <c r="P8549" s="24" t="str" cm="1">
        <f t="array" ref="P8549">IFERROR(IF($B8549=P$1, ($A8549+$C8549) - MAX(IF($B$2:$B8548=$B8549, $A$2:$A8548+$C$2:$C8548)), "")*24*60, "")</f>
        <v/>
      </c>
      <c r="Q8549" s="24" t="str" cm="1">
        <f t="array" ref="Q8549">IFERROR(IF($B8549=Q$1, ($A8549+$C8549) - MAX(IF($B$2:$B8548=$B8549, $A$2:$A8548+$C$2:$C8548)), "")*24*60, "")</f>
        <v/>
      </c>
      <c r="R8549" s="24" t="str" cm="1">
        <f t="array" ref="R8549">IFERROR(IF($B8549=R$1, ($A8549+$C8549) - MAX(IF($B$2:$B8548=$B8549, $A$2:$A8548+$C$2:$C8548)), "")*24*60, "")</f>
        <v/>
      </c>
      <c r="S8549" s="24" t="str" cm="1">
        <f t="array" ref="S8549">IFERROR(IF($B8549=S$1, ($A8549+$C8549) - MAX(IF($B$2:$B8548=$B8549, $A$2:$A8548+$C$2:$C8548)), "")*24*60, "")</f>
        <v/>
      </c>
    </row>
    <row r="8550" spans="1:19" x14ac:dyDescent="0.2">
      <c r="A8550" s="12">
        <f t="shared" ref="A8550:C8550" si="1652">A8549</f>
        <v>46029</v>
      </c>
      <c r="B8550" s="5" t="str">
        <f t="shared" si="1652"/>
        <v>Northern Cardinal</v>
      </c>
      <c r="C8550" s="6">
        <f t="shared" si="1652"/>
        <v>0.75</v>
      </c>
      <c r="D8550" s="5"/>
      <c r="E8550" s="5"/>
      <c r="F8550" s="5" t="s">
        <v>9</v>
      </c>
      <c r="G8550" s="15" t="s">
        <v>8</v>
      </c>
      <c r="H8550" s="24">
        <f t="shared" si="1651"/>
        <v>0</v>
      </c>
      <c r="I8550" s="24" cm="1">
        <f t="array" ref="I8550">IFERROR(IF($B8550=I$1, ($A8550+$C8550) - MAX(IF($B$2:$B8549=$B8550, $A$2:$A8549+$C$2:$C8549)), "")*24*60, "")</f>
        <v>0</v>
      </c>
      <c r="J8550" s="24" t="str" cm="1">
        <f t="array" ref="J8550">IFERROR(IF($B8550=J$1, ($A8550+$C8550) - MAX(IF($B$2:$B8549=$B8550, $A$2:$A8549+$C$2:$C8549)), "")*24*60, "")</f>
        <v/>
      </c>
      <c r="K8550" s="24" t="str" cm="1">
        <f t="array" ref="K8550">IFERROR(IF($B8550=K$1, ($A8550+$C8550) - MAX(IF($B$2:$B8549=$B8550, $A$2:$A8549+$C$2:$C8549)), "")*24*60, "")</f>
        <v/>
      </c>
      <c r="L8550" s="24" t="str" cm="1">
        <f t="array" ref="L8550">IFERROR(IF($B8550=L$1, ($A8550+$C8550) - MAX(IF($B$2:$B8549=$B8550, $A$2:$A8549+$C$2:$C8549)), "")*24*60, "")</f>
        <v/>
      </c>
      <c r="M8550" s="24" t="str" cm="1">
        <f t="array" ref="M8550">IFERROR(IF($B8550=M$1, ($A8550+$C8550) - MAX(IF($B$2:$B8549=$B8550, $A$2:$A8549+$C$2:$C8549)), "")*24*60, "")</f>
        <v/>
      </c>
      <c r="N8550" s="24" t="str" cm="1">
        <f t="array" ref="N8550">IFERROR(IF($B8550=N$1, ($A8550+$C8550) - MAX(IF($B$2:$B8549=$B8550, $A$2:$A8549+$C$2:$C8549)), "")*24*60, "")</f>
        <v/>
      </c>
      <c r="O8550" s="24" t="str" cm="1">
        <f t="array" ref="O8550">IFERROR(IF($B8550=O$1, ($A8550+$C8550) - MAX(IF($B$2:$B8549=$B8550, $A$2:$A8549+$C$2:$C8549)), "")*24*60, "")</f>
        <v/>
      </c>
      <c r="P8550" s="24" t="str" cm="1">
        <f t="array" ref="P8550">IFERROR(IF($B8550=P$1, ($A8550+$C8550) - MAX(IF($B$2:$B8549=$B8550, $A$2:$A8549+$C$2:$C8549)), "")*24*60, "")</f>
        <v/>
      </c>
      <c r="Q8550" s="24" t="str" cm="1">
        <f t="array" ref="Q8550">IFERROR(IF($B8550=Q$1, ($A8550+$C8550) - MAX(IF($B$2:$B8549=$B8550, $A$2:$A8549+$C$2:$C8549)), "")*24*60, "")</f>
        <v/>
      </c>
      <c r="R8550" s="24" t="str" cm="1">
        <f t="array" ref="R8550">IFERROR(IF($B8550=R$1, ($A8550+$C8550) - MAX(IF($B$2:$B8549=$B8550, $A$2:$A8549+$C$2:$C8549)), "")*24*60, "")</f>
        <v/>
      </c>
      <c r="S8550" s="24" t="str" cm="1">
        <f t="array" ref="S8550">IFERROR(IF($B8550=S$1, ($A8550+$C8550) - MAX(IF($B$2:$B8549=$B8550, $A$2:$A8549+$C$2:$C8549)), "")*24*60, "")</f>
        <v/>
      </c>
    </row>
    <row r="8551" spans="1:19" x14ac:dyDescent="0.2">
      <c r="A8551" s="12">
        <f t="shared" ref="A8551:C8551" si="1653">A8550</f>
        <v>46029</v>
      </c>
      <c r="B8551" s="5" t="str">
        <f t="shared" si="1653"/>
        <v>Northern Cardinal</v>
      </c>
      <c r="C8551" s="6">
        <f t="shared" si="1653"/>
        <v>0.75</v>
      </c>
      <c r="D8551" s="5"/>
      <c r="E8551" s="5"/>
      <c r="F8551" s="5" t="s">
        <v>9</v>
      </c>
      <c r="G8551" s="15" t="s">
        <v>8</v>
      </c>
      <c r="H8551" s="24">
        <f t="shared" si="1651"/>
        <v>0</v>
      </c>
      <c r="I8551" s="24" cm="1">
        <f t="array" ref="I8551">IFERROR(IF($B8551=I$1, ($A8551+$C8551) - MAX(IF($B$2:$B8550=$B8551, $A$2:$A8550+$C$2:$C8550)), "")*24*60, "")</f>
        <v>0</v>
      </c>
      <c r="J8551" s="24" t="str" cm="1">
        <f t="array" ref="J8551">IFERROR(IF($B8551=J$1, ($A8551+$C8551) - MAX(IF($B$2:$B8550=$B8551, $A$2:$A8550+$C$2:$C8550)), "")*24*60, "")</f>
        <v/>
      </c>
      <c r="K8551" s="24" t="str" cm="1">
        <f t="array" ref="K8551">IFERROR(IF($B8551=K$1, ($A8551+$C8551) - MAX(IF($B$2:$B8550=$B8551, $A$2:$A8550+$C$2:$C8550)), "")*24*60, "")</f>
        <v/>
      </c>
      <c r="L8551" s="24" t="str" cm="1">
        <f t="array" ref="L8551">IFERROR(IF($B8551=L$1, ($A8551+$C8551) - MAX(IF($B$2:$B8550=$B8551, $A$2:$A8550+$C$2:$C8550)), "")*24*60, "")</f>
        <v/>
      </c>
      <c r="M8551" s="24" t="str" cm="1">
        <f t="array" ref="M8551">IFERROR(IF($B8551=M$1, ($A8551+$C8551) - MAX(IF($B$2:$B8550=$B8551, $A$2:$A8550+$C$2:$C8550)), "")*24*60, "")</f>
        <v/>
      </c>
      <c r="N8551" s="24" t="str" cm="1">
        <f t="array" ref="N8551">IFERROR(IF($B8551=N$1, ($A8551+$C8551) - MAX(IF($B$2:$B8550=$B8551, $A$2:$A8550+$C$2:$C8550)), "")*24*60, "")</f>
        <v/>
      </c>
      <c r="O8551" s="24" t="str" cm="1">
        <f t="array" ref="O8551">IFERROR(IF($B8551=O$1, ($A8551+$C8551) - MAX(IF($B$2:$B8550=$B8551, $A$2:$A8550+$C$2:$C8550)), "")*24*60, "")</f>
        <v/>
      </c>
      <c r="P8551" s="24" t="str" cm="1">
        <f t="array" ref="P8551">IFERROR(IF($B8551=P$1, ($A8551+$C8551) - MAX(IF($B$2:$B8550=$B8551, $A$2:$A8550+$C$2:$C8550)), "")*24*60, "")</f>
        <v/>
      </c>
      <c r="Q8551" s="24" t="str" cm="1">
        <f t="array" ref="Q8551">IFERROR(IF($B8551=Q$1, ($A8551+$C8551) - MAX(IF($B$2:$B8550=$B8551, $A$2:$A8550+$C$2:$C8550)), "")*24*60, "")</f>
        <v/>
      </c>
      <c r="R8551" s="24" t="str" cm="1">
        <f t="array" ref="R8551">IFERROR(IF($B8551=R$1, ($A8551+$C8551) - MAX(IF($B$2:$B8550=$B8551, $A$2:$A8550+$C$2:$C8550)), "")*24*60, "")</f>
        <v/>
      </c>
      <c r="S8551" s="24" t="str" cm="1">
        <f t="array" ref="S8551">IFERROR(IF($B8551=S$1, ($A8551+$C8551) - MAX(IF($B$2:$B8550=$B8551, $A$2:$A8550+$C$2:$C8550)), "")*24*60, "")</f>
        <v/>
      </c>
    </row>
    <row r="8552" spans="1:19" x14ac:dyDescent="0.2">
      <c r="A8552" s="12">
        <f t="shared" ref="A8552:C8552" si="1654">A8551</f>
        <v>46029</v>
      </c>
      <c r="B8552" s="5" t="str">
        <f t="shared" si="1654"/>
        <v>Northern Cardinal</v>
      </c>
      <c r="C8552" s="6">
        <f t="shared" si="1654"/>
        <v>0.75</v>
      </c>
      <c r="D8552" s="5"/>
      <c r="E8552" s="5"/>
      <c r="F8552" s="5" t="s">
        <v>9</v>
      </c>
      <c r="G8552" s="15" t="s">
        <v>8</v>
      </c>
      <c r="H8552" s="24">
        <f t="shared" si="1651"/>
        <v>0</v>
      </c>
      <c r="I8552" s="24" cm="1">
        <f t="array" ref="I8552">IFERROR(IF($B8552=I$1, ($A8552+$C8552) - MAX(IF($B$2:$B8551=$B8552, $A$2:$A8551+$C$2:$C8551)), "")*24*60, "")</f>
        <v>0</v>
      </c>
      <c r="J8552" s="24" t="str" cm="1">
        <f t="array" ref="J8552">IFERROR(IF($B8552=J$1, ($A8552+$C8552) - MAX(IF($B$2:$B8551=$B8552, $A$2:$A8551+$C$2:$C8551)), "")*24*60, "")</f>
        <v/>
      </c>
      <c r="K8552" s="24" t="str" cm="1">
        <f t="array" ref="K8552">IFERROR(IF($B8552=K$1, ($A8552+$C8552) - MAX(IF($B$2:$B8551=$B8552, $A$2:$A8551+$C$2:$C8551)), "")*24*60, "")</f>
        <v/>
      </c>
      <c r="L8552" s="24" t="str" cm="1">
        <f t="array" ref="L8552">IFERROR(IF($B8552=L$1, ($A8552+$C8552) - MAX(IF($B$2:$B8551=$B8552, $A$2:$A8551+$C$2:$C8551)), "")*24*60, "")</f>
        <v/>
      </c>
      <c r="M8552" s="24" t="str" cm="1">
        <f t="array" ref="M8552">IFERROR(IF($B8552=M$1, ($A8552+$C8552) - MAX(IF($B$2:$B8551=$B8552, $A$2:$A8551+$C$2:$C8551)), "")*24*60, "")</f>
        <v/>
      </c>
      <c r="N8552" s="24" t="str" cm="1">
        <f t="array" ref="N8552">IFERROR(IF($B8552=N$1, ($A8552+$C8552) - MAX(IF($B$2:$B8551=$B8552, $A$2:$A8551+$C$2:$C8551)), "")*24*60, "")</f>
        <v/>
      </c>
      <c r="O8552" s="24" t="str" cm="1">
        <f t="array" ref="O8552">IFERROR(IF($B8552=O$1, ($A8552+$C8552) - MAX(IF($B$2:$B8551=$B8552, $A$2:$A8551+$C$2:$C8551)), "")*24*60, "")</f>
        <v/>
      </c>
      <c r="P8552" s="24" t="str" cm="1">
        <f t="array" ref="P8552">IFERROR(IF($B8552=P$1, ($A8552+$C8552) - MAX(IF($B$2:$B8551=$B8552, $A$2:$A8551+$C$2:$C8551)), "")*24*60, "")</f>
        <v/>
      </c>
      <c r="Q8552" s="24" t="str" cm="1">
        <f t="array" ref="Q8552">IFERROR(IF($B8552=Q$1, ($A8552+$C8552) - MAX(IF($B$2:$B8551=$B8552, $A$2:$A8551+$C$2:$C8551)), "")*24*60, "")</f>
        <v/>
      </c>
      <c r="R8552" s="24" t="str" cm="1">
        <f t="array" ref="R8552">IFERROR(IF($B8552=R$1, ($A8552+$C8552) - MAX(IF($B$2:$B8551=$B8552, $A$2:$A8551+$C$2:$C8551)), "")*24*60, "")</f>
        <v/>
      </c>
      <c r="S8552" s="24" t="str" cm="1">
        <f t="array" ref="S8552">IFERROR(IF($B8552=S$1, ($A8552+$C8552) - MAX(IF($B$2:$B8551=$B8552, $A$2:$A8551+$C$2:$C8551)), "")*24*60, "")</f>
        <v/>
      </c>
    </row>
    <row r="8553" spans="1:19" x14ac:dyDescent="0.2">
      <c r="A8553" s="12">
        <f t="shared" ref="A8553:C8553" si="1655">A8552</f>
        <v>46029</v>
      </c>
      <c r="B8553" s="5" t="str">
        <f t="shared" si="1655"/>
        <v>Northern Cardinal</v>
      </c>
      <c r="C8553" s="6">
        <f t="shared" si="1655"/>
        <v>0.75</v>
      </c>
      <c r="D8553" s="5"/>
      <c r="E8553" s="5"/>
      <c r="F8553" s="5" t="s">
        <v>9</v>
      </c>
      <c r="G8553" s="15" t="s">
        <v>8</v>
      </c>
      <c r="H8553" s="24">
        <f t="shared" si="1651"/>
        <v>0</v>
      </c>
      <c r="I8553" s="24" cm="1">
        <f t="array" ref="I8553">IFERROR(IF($B8553=I$1, ($A8553+$C8553) - MAX(IF($B$2:$B8552=$B8553, $A$2:$A8552+$C$2:$C8552)), "")*24*60, "")</f>
        <v>0</v>
      </c>
      <c r="J8553" s="24" t="str" cm="1">
        <f t="array" ref="J8553">IFERROR(IF($B8553=J$1, ($A8553+$C8553) - MAX(IF($B$2:$B8552=$B8553, $A$2:$A8552+$C$2:$C8552)), "")*24*60, "")</f>
        <v/>
      </c>
      <c r="K8553" s="24" t="str" cm="1">
        <f t="array" ref="K8553">IFERROR(IF($B8553=K$1, ($A8553+$C8553) - MAX(IF($B$2:$B8552=$B8553, $A$2:$A8552+$C$2:$C8552)), "")*24*60, "")</f>
        <v/>
      </c>
      <c r="L8553" s="24" t="str" cm="1">
        <f t="array" ref="L8553">IFERROR(IF($B8553=L$1, ($A8553+$C8553) - MAX(IF($B$2:$B8552=$B8553, $A$2:$A8552+$C$2:$C8552)), "")*24*60, "")</f>
        <v/>
      </c>
      <c r="M8553" s="24" t="str" cm="1">
        <f t="array" ref="M8553">IFERROR(IF($B8553=M$1, ($A8553+$C8553) - MAX(IF($B$2:$B8552=$B8553, $A$2:$A8552+$C$2:$C8552)), "")*24*60, "")</f>
        <v/>
      </c>
      <c r="N8553" s="24" t="str" cm="1">
        <f t="array" ref="N8553">IFERROR(IF($B8553=N$1, ($A8553+$C8553) - MAX(IF($B$2:$B8552=$B8553, $A$2:$A8552+$C$2:$C8552)), "")*24*60, "")</f>
        <v/>
      </c>
      <c r="O8553" s="24" t="str" cm="1">
        <f t="array" ref="O8553">IFERROR(IF($B8553=O$1, ($A8553+$C8553) - MAX(IF($B$2:$B8552=$B8553, $A$2:$A8552+$C$2:$C8552)), "")*24*60, "")</f>
        <v/>
      </c>
      <c r="P8553" s="24" t="str" cm="1">
        <f t="array" ref="P8553">IFERROR(IF($B8553=P$1, ($A8553+$C8553) - MAX(IF($B$2:$B8552=$B8553, $A$2:$A8552+$C$2:$C8552)), "")*24*60, "")</f>
        <v/>
      </c>
      <c r="Q8553" s="24" t="str" cm="1">
        <f t="array" ref="Q8553">IFERROR(IF($B8553=Q$1, ($A8553+$C8553) - MAX(IF($B$2:$B8552=$B8553, $A$2:$A8552+$C$2:$C8552)), "")*24*60, "")</f>
        <v/>
      </c>
      <c r="R8553" s="24" t="str" cm="1">
        <f t="array" ref="R8553">IFERROR(IF($B8553=R$1, ($A8553+$C8553) - MAX(IF($B$2:$B8552=$B8553, $A$2:$A8552+$C$2:$C8552)), "")*24*60, "")</f>
        <v/>
      </c>
      <c r="S8553" s="24" t="str" cm="1">
        <f t="array" ref="S8553">IFERROR(IF($B8553=S$1, ($A8553+$C8553) - MAX(IF($B$2:$B8552=$B8553, $A$2:$A8552+$C$2:$C8552)), "")*24*60, "")</f>
        <v/>
      </c>
    </row>
    <row r="8554" spans="1:19" x14ac:dyDescent="0.2">
      <c r="A8554" s="12">
        <f t="shared" ref="A8554:C8554" si="1656">A8553</f>
        <v>46029</v>
      </c>
      <c r="B8554" s="5" t="str">
        <f t="shared" si="1656"/>
        <v>Northern Cardinal</v>
      </c>
      <c r="C8554" s="6">
        <f t="shared" si="1656"/>
        <v>0.75</v>
      </c>
      <c r="D8554" s="5"/>
      <c r="E8554" s="5"/>
      <c r="F8554" s="5" t="s">
        <v>9</v>
      </c>
      <c r="G8554" s="15" t="s">
        <v>8</v>
      </c>
      <c r="H8554" s="24">
        <f t="shared" si="1651"/>
        <v>0</v>
      </c>
      <c r="I8554" s="24" cm="1">
        <f t="array" ref="I8554">IFERROR(IF($B8554=I$1, ($A8554+$C8554) - MAX(IF($B$2:$B8553=$B8554, $A$2:$A8553+$C$2:$C8553)), "")*24*60, "")</f>
        <v>0</v>
      </c>
      <c r="J8554" s="24" t="str" cm="1">
        <f t="array" ref="J8554">IFERROR(IF($B8554=J$1, ($A8554+$C8554) - MAX(IF($B$2:$B8553=$B8554, $A$2:$A8553+$C$2:$C8553)), "")*24*60, "")</f>
        <v/>
      </c>
      <c r="K8554" s="24" t="str" cm="1">
        <f t="array" ref="K8554">IFERROR(IF($B8554=K$1, ($A8554+$C8554) - MAX(IF($B$2:$B8553=$B8554, $A$2:$A8553+$C$2:$C8553)), "")*24*60, "")</f>
        <v/>
      </c>
      <c r="L8554" s="24" t="str" cm="1">
        <f t="array" ref="L8554">IFERROR(IF($B8554=L$1, ($A8554+$C8554) - MAX(IF($B$2:$B8553=$B8554, $A$2:$A8553+$C$2:$C8553)), "")*24*60, "")</f>
        <v/>
      </c>
      <c r="M8554" s="24" t="str" cm="1">
        <f t="array" ref="M8554">IFERROR(IF($B8554=M$1, ($A8554+$C8554) - MAX(IF($B$2:$B8553=$B8554, $A$2:$A8553+$C$2:$C8553)), "")*24*60, "")</f>
        <v/>
      </c>
      <c r="N8554" s="24" t="str" cm="1">
        <f t="array" ref="N8554">IFERROR(IF($B8554=N$1, ($A8554+$C8554) - MAX(IF($B$2:$B8553=$B8554, $A$2:$A8553+$C$2:$C8553)), "")*24*60, "")</f>
        <v/>
      </c>
      <c r="O8554" s="24" t="str" cm="1">
        <f t="array" ref="O8554">IFERROR(IF($B8554=O$1, ($A8554+$C8554) - MAX(IF($B$2:$B8553=$B8554, $A$2:$A8553+$C$2:$C8553)), "")*24*60, "")</f>
        <v/>
      </c>
      <c r="P8554" s="24" t="str" cm="1">
        <f t="array" ref="P8554">IFERROR(IF($B8554=P$1, ($A8554+$C8554) - MAX(IF($B$2:$B8553=$B8554, $A$2:$A8553+$C$2:$C8553)), "")*24*60, "")</f>
        <v/>
      </c>
      <c r="Q8554" s="24" t="str" cm="1">
        <f t="array" ref="Q8554">IFERROR(IF($B8554=Q$1, ($A8554+$C8554) - MAX(IF($B$2:$B8553=$B8554, $A$2:$A8553+$C$2:$C8553)), "")*24*60, "")</f>
        <v/>
      </c>
      <c r="R8554" s="24" t="str" cm="1">
        <f t="array" ref="R8554">IFERROR(IF($B8554=R$1, ($A8554+$C8554) - MAX(IF($B$2:$B8553=$B8554, $A$2:$A8553+$C$2:$C8553)), "")*24*60, "")</f>
        <v/>
      </c>
      <c r="S8554" s="24" t="str" cm="1">
        <f t="array" ref="S8554">IFERROR(IF($B8554=S$1, ($A8554+$C8554) - MAX(IF($B$2:$B8553=$B8554, $A$2:$A8553+$C$2:$C8553)), "")*24*60, "")</f>
        <v/>
      </c>
    </row>
    <row r="8555" spans="1:19" x14ac:dyDescent="0.2">
      <c r="A8555" s="12">
        <f t="shared" ref="A8555:C8555" si="1657">A8554</f>
        <v>46029</v>
      </c>
      <c r="B8555" s="5" t="str">
        <f t="shared" si="1657"/>
        <v>Northern Cardinal</v>
      </c>
      <c r="C8555" s="6">
        <f t="shared" si="1657"/>
        <v>0.75</v>
      </c>
      <c r="D8555" s="5"/>
      <c r="E8555" s="5"/>
      <c r="F8555" s="5" t="s">
        <v>9</v>
      </c>
      <c r="G8555" s="15" t="s">
        <v>8</v>
      </c>
      <c r="H8555" s="24">
        <f t="shared" si="1651"/>
        <v>0</v>
      </c>
      <c r="I8555" s="24" cm="1">
        <f t="array" ref="I8555">IFERROR(IF($B8555=I$1, ($A8555+$C8555) - MAX(IF($B$2:$B8554=$B8555, $A$2:$A8554+$C$2:$C8554)), "")*24*60, "")</f>
        <v>0</v>
      </c>
      <c r="J8555" s="24" t="str" cm="1">
        <f t="array" ref="J8555">IFERROR(IF($B8555=J$1, ($A8555+$C8555) - MAX(IF($B$2:$B8554=$B8555, $A$2:$A8554+$C$2:$C8554)), "")*24*60, "")</f>
        <v/>
      </c>
      <c r="K8555" s="24" t="str" cm="1">
        <f t="array" ref="K8555">IFERROR(IF($B8555=K$1, ($A8555+$C8555) - MAX(IF($B$2:$B8554=$B8555, $A$2:$A8554+$C$2:$C8554)), "")*24*60, "")</f>
        <v/>
      </c>
      <c r="L8555" s="24" t="str" cm="1">
        <f t="array" ref="L8555">IFERROR(IF($B8555=L$1, ($A8555+$C8555) - MAX(IF($B$2:$B8554=$B8555, $A$2:$A8554+$C$2:$C8554)), "")*24*60, "")</f>
        <v/>
      </c>
      <c r="M8555" s="24" t="str" cm="1">
        <f t="array" ref="M8555">IFERROR(IF($B8555=M$1, ($A8555+$C8555) - MAX(IF($B$2:$B8554=$B8555, $A$2:$A8554+$C$2:$C8554)), "")*24*60, "")</f>
        <v/>
      </c>
      <c r="N8555" s="24" t="str" cm="1">
        <f t="array" ref="N8555">IFERROR(IF($B8555=N$1, ($A8555+$C8555) - MAX(IF($B$2:$B8554=$B8555, $A$2:$A8554+$C$2:$C8554)), "")*24*60, "")</f>
        <v/>
      </c>
      <c r="O8555" s="24" t="str" cm="1">
        <f t="array" ref="O8555">IFERROR(IF($B8555=O$1, ($A8555+$C8555) - MAX(IF($B$2:$B8554=$B8555, $A$2:$A8554+$C$2:$C8554)), "")*24*60, "")</f>
        <v/>
      </c>
      <c r="P8555" s="24" t="str" cm="1">
        <f t="array" ref="P8555">IFERROR(IF($B8555=P$1, ($A8555+$C8555) - MAX(IF($B$2:$B8554=$B8555, $A$2:$A8554+$C$2:$C8554)), "")*24*60, "")</f>
        <v/>
      </c>
      <c r="Q8555" s="24" t="str" cm="1">
        <f t="array" ref="Q8555">IFERROR(IF($B8555=Q$1, ($A8555+$C8555) - MAX(IF($B$2:$B8554=$B8555, $A$2:$A8554+$C$2:$C8554)), "")*24*60, "")</f>
        <v/>
      </c>
      <c r="R8555" s="24" t="str" cm="1">
        <f t="array" ref="R8555">IFERROR(IF($B8555=R$1, ($A8555+$C8555) - MAX(IF($B$2:$B8554=$B8555, $A$2:$A8554+$C$2:$C8554)), "")*24*60, "")</f>
        <v/>
      </c>
      <c r="S8555" s="24" t="str" cm="1">
        <f t="array" ref="S8555">IFERROR(IF($B8555=S$1, ($A8555+$C8555) - MAX(IF($B$2:$B8554=$B8555, $A$2:$A8554+$C$2:$C8554)), "")*24*60, "")</f>
        <v/>
      </c>
    </row>
    <row r="8556" spans="1:19" x14ac:dyDescent="0.2">
      <c r="A8556" s="12">
        <f t="shared" ref="A8556:C8556" si="1658">A8555</f>
        <v>46029</v>
      </c>
      <c r="B8556" s="5" t="str">
        <f t="shared" si="1658"/>
        <v>Northern Cardinal</v>
      </c>
      <c r="C8556" s="6">
        <f t="shared" si="1658"/>
        <v>0.75</v>
      </c>
      <c r="D8556" s="5"/>
      <c r="E8556" s="5"/>
      <c r="F8556" s="5" t="s">
        <v>9</v>
      </c>
      <c r="G8556" s="15" t="s">
        <v>8</v>
      </c>
      <c r="H8556" s="24">
        <f t="shared" si="1651"/>
        <v>0</v>
      </c>
      <c r="I8556" s="24" cm="1">
        <f t="array" ref="I8556">IFERROR(IF($B8556=I$1, ($A8556+$C8556) - MAX(IF($B$2:$B8555=$B8556, $A$2:$A8555+$C$2:$C8555)), "")*24*60, "")</f>
        <v>0</v>
      </c>
      <c r="J8556" s="24" t="str" cm="1">
        <f t="array" ref="J8556">IFERROR(IF($B8556=J$1, ($A8556+$C8556) - MAX(IF($B$2:$B8555=$B8556, $A$2:$A8555+$C$2:$C8555)), "")*24*60, "")</f>
        <v/>
      </c>
      <c r="K8556" s="24" t="str" cm="1">
        <f t="array" ref="K8556">IFERROR(IF($B8556=K$1, ($A8556+$C8556) - MAX(IF($B$2:$B8555=$B8556, $A$2:$A8555+$C$2:$C8555)), "")*24*60, "")</f>
        <v/>
      </c>
      <c r="L8556" s="24" t="str" cm="1">
        <f t="array" ref="L8556">IFERROR(IF($B8556=L$1, ($A8556+$C8556) - MAX(IF($B$2:$B8555=$B8556, $A$2:$A8555+$C$2:$C8555)), "")*24*60, "")</f>
        <v/>
      </c>
      <c r="M8556" s="24" t="str" cm="1">
        <f t="array" ref="M8556">IFERROR(IF($B8556=M$1, ($A8556+$C8556) - MAX(IF($B$2:$B8555=$B8556, $A$2:$A8555+$C$2:$C8555)), "")*24*60, "")</f>
        <v/>
      </c>
      <c r="N8556" s="24" t="str" cm="1">
        <f t="array" ref="N8556">IFERROR(IF($B8556=N$1, ($A8556+$C8556) - MAX(IF($B$2:$B8555=$B8556, $A$2:$A8555+$C$2:$C8555)), "")*24*60, "")</f>
        <v/>
      </c>
      <c r="O8556" s="24" t="str" cm="1">
        <f t="array" ref="O8556">IFERROR(IF($B8556=O$1, ($A8556+$C8556) - MAX(IF($B$2:$B8555=$B8556, $A$2:$A8555+$C$2:$C8555)), "")*24*60, "")</f>
        <v/>
      </c>
      <c r="P8556" s="24" t="str" cm="1">
        <f t="array" ref="P8556">IFERROR(IF($B8556=P$1, ($A8556+$C8556) - MAX(IF($B$2:$B8555=$B8556, $A$2:$A8555+$C$2:$C8555)), "")*24*60, "")</f>
        <v/>
      </c>
      <c r="Q8556" s="24" t="str" cm="1">
        <f t="array" ref="Q8556">IFERROR(IF($B8556=Q$1, ($A8556+$C8556) - MAX(IF($B$2:$B8555=$B8556, $A$2:$A8555+$C$2:$C8555)), "")*24*60, "")</f>
        <v/>
      </c>
      <c r="R8556" s="24" t="str" cm="1">
        <f t="array" ref="R8556">IFERROR(IF($B8556=R$1, ($A8556+$C8556) - MAX(IF($B$2:$B8555=$B8556, $A$2:$A8555+$C$2:$C8555)), "")*24*60, "")</f>
        <v/>
      </c>
      <c r="S8556" s="24" t="str" cm="1">
        <f t="array" ref="S8556">IFERROR(IF($B8556=S$1, ($A8556+$C8556) - MAX(IF($B$2:$B8555=$B8556, $A$2:$A8555+$C$2:$C8555)), "")*24*60, "")</f>
        <v/>
      </c>
    </row>
    <row r="8557" spans="1:19" x14ac:dyDescent="0.2">
      <c r="A8557" s="12">
        <f t="shared" ref="A8557:C8557" si="1659">A8556</f>
        <v>46029</v>
      </c>
      <c r="B8557" s="5" t="str">
        <f t="shared" si="1659"/>
        <v>Northern Cardinal</v>
      </c>
      <c r="C8557" s="6">
        <f t="shared" si="1659"/>
        <v>0.75</v>
      </c>
      <c r="D8557" s="5"/>
      <c r="E8557" s="5"/>
      <c r="F8557" s="5" t="s">
        <v>9</v>
      </c>
      <c r="G8557" s="15" t="s">
        <v>8</v>
      </c>
      <c r="H8557" s="24">
        <f t="shared" si="1651"/>
        <v>0</v>
      </c>
      <c r="I8557" s="24" cm="1">
        <f t="array" ref="I8557">IFERROR(IF($B8557=I$1, ($A8557+$C8557) - MAX(IF($B$2:$B8556=$B8557, $A$2:$A8556+$C$2:$C8556)), "")*24*60, "")</f>
        <v>0</v>
      </c>
      <c r="J8557" s="24" t="str" cm="1">
        <f t="array" ref="J8557">IFERROR(IF($B8557=J$1, ($A8557+$C8557) - MAX(IF($B$2:$B8556=$B8557, $A$2:$A8556+$C$2:$C8556)), "")*24*60, "")</f>
        <v/>
      </c>
      <c r="K8557" s="24" t="str" cm="1">
        <f t="array" ref="K8557">IFERROR(IF($B8557=K$1, ($A8557+$C8557) - MAX(IF($B$2:$B8556=$B8557, $A$2:$A8556+$C$2:$C8556)), "")*24*60, "")</f>
        <v/>
      </c>
      <c r="L8557" s="24" t="str" cm="1">
        <f t="array" ref="L8557">IFERROR(IF($B8557=L$1, ($A8557+$C8557) - MAX(IF($B$2:$B8556=$B8557, $A$2:$A8556+$C$2:$C8556)), "")*24*60, "")</f>
        <v/>
      </c>
      <c r="M8557" s="24" t="str" cm="1">
        <f t="array" ref="M8557">IFERROR(IF($B8557=M$1, ($A8557+$C8557) - MAX(IF($B$2:$B8556=$B8557, $A$2:$A8556+$C$2:$C8556)), "")*24*60, "")</f>
        <v/>
      </c>
      <c r="N8557" s="24" t="str" cm="1">
        <f t="array" ref="N8557">IFERROR(IF($B8557=N$1, ($A8557+$C8557) - MAX(IF($B$2:$B8556=$B8557, $A$2:$A8556+$C$2:$C8556)), "")*24*60, "")</f>
        <v/>
      </c>
      <c r="O8557" s="24" t="str" cm="1">
        <f t="array" ref="O8557">IFERROR(IF($B8557=O$1, ($A8557+$C8557) - MAX(IF($B$2:$B8556=$B8557, $A$2:$A8556+$C$2:$C8556)), "")*24*60, "")</f>
        <v/>
      </c>
      <c r="P8557" s="24" t="str" cm="1">
        <f t="array" ref="P8557">IFERROR(IF($B8557=P$1, ($A8557+$C8557) - MAX(IF($B$2:$B8556=$B8557, $A$2:$A8556+$C$2:$C8556)), "")*24*60, "")</f>
        <v/>
      </c>
      <c r="Q8557" s="24" t="str" cm="1">
        <f t="array" ref="Q8557">IFERROR(IF($B8557=Q$1, ($A8557+$C8557) - MAX(IF($B$2:$B8556=$B8557, $A$2:$A8556+$C$2:$C8556)), "")*24*60, "")</f>
        <v/>
      </c>
      <c r="R8557" s="24" t="str" cm="1">
        <f t="array" ref="R8557">IFERROR(IF($B8557=R$1, ($A8557+$C8557) - MAX(IF($B$2:$B8556=$B8557, $A$2:$A8556+$C$2:$C8556)), "")*24*60, "")</f>
        <v/>
      </c>
      <c r="S8557" s="24" t="str" cm="1">
        <f t="array" ref="S8557">IFERROR(IF($B8557=S$1, ($A8557+$C8557) - MAX(IF($B$2:$B8556=$B8557, $A$2:$A8556+$C$2:$C8556)), "")*24*60, "")</f>
        <v/>
      </c>
    </row>
    <row r="8558" spans="1:19" x14ac:dyDescent="0.2">
      <c r="A8558" s="12">
        <f t="shared" ref="A8558:C8558" si="1660">A8557</f>
        <v>46029</v>
      </c>
      <c r="B8558" s="5" t="str">
        <f t="shared" si="1660"/>
        <v>Northern Cardinal</v>
      </c>
      <c r="C8558" s="6">
        <f t="shared" si="1660"/>
        <v>0.75</v>
      </c>
      <c r="D8558" s="5"/>
      <c r="E8558" s="5"/>
      <c r="F8558" s="5" t="s">
        <v>9</v>
      </c>
      <c r="G8558" s="15" t="s">
        <v>8</v>
      </c>
      <c r="H8558" s="24">
        <f t="shared" si="1651"/>
        <v>0</v>
      </c>
      <c r="I8558" s="24" cm="1">
        <f t="array" ref="I8558">IFERROR(IF($B8558=I$1, ($A8558+$C8558) - MAX(IF($B$2:$B8557=$B8558, $A$2:$A8557+$C$2:$C8557)), "")*24*60, "")</f>
        <v>0</v>
      </c>
      <c r="J8558" s="24" t="str" cm="1">
        <f t="array" ref="J8558">IFERROR(IF($B8558=J$1, ($A8558+$C8558) - MAX(IF($B$2:$B8557=$B8558, $A$2:$A8557+$C$2:$C8557)), "")*24*60, "")</f>
        <v/>
      </c>
      <c r="K8558" s="24" t="str" cm="1">
        <f t="array" ref="K8558">IFERROR(IF($B8558=K$1, ($A8558+$C8558) - MAX(IF($B$2:$B8557=$B8558, $A$2:$A8557+$C$2:$C8557)), "")*24*60, "")</f>
        <v/>
      </c>
      <c r="L8558" s="24" t="str" cm="1">
        <f t="array" ref="L8558">IFERROR(IF($B8558=L$1, ($A8558+$C8558) - MAX(IF($B$2:$B8557=$B8558, $A$2:$A8557+$C$2:$C8557)), "")*24*60, "")</f>
        <v/>
      </c>
      <c r="M8558" s="24" t="str" cm="1">
        <f t="array" ref="M8558">IFERROR(IF($B8558=M$1, ($A8558+$C8558) - MAX(IF($B$2:$B8557=$B8558, $A$2:$A8557+$C$2:$C8557)), "")*24*60, "")</f>
        <v/>
      </c>
      <c r="N8558" s="24" t="str" cm="1">
        <f t="array" ref="N8558">IFERROR(IF($B8558=N$1, ($A8558+$C8558) - MAX(IF($B$2:$B8557=$B8558, $A$2:$A8557+$C$2:$C8557)), "")*24*60, "")</f>
        <v/>
      </c>
      <c r="O8558" s="24" t="str" cm="1">
        <f t="array" ref="O8558">IFERROR(IF($B8558=O$1, ($A8558+$C8558) - MAX(IF($B$2:$B8557=$B8558, $A$2:$A8557+$C$2:$C8557)), "")*24*60, "")</f>
        <v/>
      </c>
      <c r="P8558" s="24" t="str" cm="1">
        <f t="array" ref="P8558">IFERROR(IF($B8558=P$1, ($A8558+$C8558) - MAX(IF($B$2:$B8557=$B8558, $A$2:$A8557+$C$2:$C8557)), "")*24*60, "")</f>
        <v/>
      </c>
      <c r="Q8558" s="24" t="str" cm="1">
        <f t="array" ref="Q8558">IFERROR(IF($B8558=Q$1, ($A8558+$C8558) - MAX(IF($B$2:$B8557=$B8558, $A$2:$A8557+$C$2:$C8557)), "")*24*60, "")</f>
        <v/>
      </c>
      <c r="R8558" s="24" t="str" cm="1">
        <f t="array" ref="R8558">IFERROR(IF($B8558=R$1, ($A8558+$C8558) - MAX(IF($B$2:$B8557=$B8558, $A$2:$A8557+$C$2:$C8557)), "")*24*60, "")</f>
        <v/>
      </c>
      <c r="S8558" s="24" t="str" cm="1">
        <f t="array" ref="S8558">IFERROR(IF($B8558=S$1, ($A8558+$C8558) - MAX(IF($B$2:$B8557=$B8558, $A$2:$A8557+$C$2:$C8557)), "")*24*60, "")</f>
        <v/>
      </c>
    </row>
    <row r="8559" spans="1:19" x14ac:dyDescent="0.2">
      <c r="A8559" s="12">
        <f t="shared" ref="A8559:C8559" si="1661">A8558</f>
        <v>46029</v>
      </c>
      <c r="B8559" s="5" t="str">
        <f t="shared" si="1661"/>
        <v>Northern Cardinal</v>
      </c>
      <c r="C8559" s="6">
        <f t="shared" si="1661"/>
        <v>0.75</v>
      </c>
      <c r="D8559" s="5"/>
      <c r="E8559" s="5"/>
      <c r="F8559" s="5" t="s">
        <v>9</v>
      </c>
      <c r="G8559" s="15" t="s">
        <v>8</v>
      </c>
      <c r="H8559" s="24">
        <f t="shared" si="1651"/>
        <v>0</v>
      </c>
      <c r="I8559" s="24" cm="1">
        <f t="array" ref="I8559">IFERROR(IF($B8559=I$1, ($A8559+$C8559) - MAX(IF($B$2:$B8558=$B8559, $A$2:$A8558+$C$2:$C8558)), "")*24*60, "")</f>
        <v>0</v>
      </c>
      <c r="J8559" s="24" t="str" cm="1">
        <f t="array" ref="J8559">IFERROR(IF($B8559=J$1, ($A8559+$C8559) - MAX(IF($B$2:$B8558=$B8559, $A$2:$A8558+$C$2:$C8558)), "")*24*60, "")</f>
        <v/>
      </c>
      <c r="K8559" s="24" t="str" cm="1">
        <f t="array" ref="K8559">IFERROR(IF($B8559=K$1, ($A8559+$C8559) - MAX(IF($B$2:$B8558=$B8559, $A$2:$A8558+$C$2:$C8558)), "")*24*60, "")</f>
        <v/>
      </c>
      <c r="L8559" s="24" t="str" cm="1">
        <f t="array" ref="L8559">IFERROR(IF($B8559=L$1, ($A8559+$C8559) - MAX(IF($B$2:$B8558=$B8559, $A$2:$A8558+$C$2:$C8558)), "")*24*60, "")</f>
        <v/>
      </c>
      <c r="M8559" s="24" t="str" cm="1">
        <f t="array" ref="M8559">IFERROR(IF($B8559=M$1, ($A8559+$C8559) - MAX(IF($B$2:$B8558=$B8559, $A$2:$A8558+$C$2:$C8558)), "")*24*60, "")</f>
        <v/>
      </c>
      <c r="N8559" s="24" t="str" cm="1">
        <f t="array" ref="N8559">IFERROR(IF($B8559=N$1, ($A8559+$C8559) - MAX(IF($B$2:$B8558=$B8559, $A$2:$A8558+$C$2:$C8558)), "")*24*60, "")</f>
        <v/>
      </c>
      <c r="O8559" s="24" t="str" cm="1">
        <f t="array" ref="O8559">IFERROR(IF($B8559=O$1, ($A8559+$C8559) - MAX(IF($B$2:$B8558=$B8559, $A$2:$A8558+$C$2:$C8558)), "")*24*60, "")</f>
        <v/>
      </c>
      <c r="P8559" s="24" t="str" cm="1">
        <f t="array" ref="P8559">IFERROR(IF($B8559=P$1, ($A8559+$C8559) - MAX(IF($B$2:$B8558=$B8559, $A$2:$A8558+$C$2:$C8558)), "")*24*60, "")</f>
        <v/>
      </c>
      <c r="Q8559" s="24" t="str" cm="1">
        <f t="array" ref="Q8559">IFERROR(IF($B8559=Q$1, ($A8559+$C8559) - MAX(IF($B$2:$B8558=$B8559, $A$2:$A8558+$C$2:$C8558)), "")*24*60, "")</f>
        <v/>
      </c>
      <c r="R8559" s="24" t="str" cm="1">
        <f t="array" ref="R8559">IFERROR(IF($B8559=R$1, ($A8559+$C8559) - MAX(IF($B$2:$B8558=$B8559, $A$2:$A8558+$C$2:$C8558)), "")*24*60, "")</f>
        <v/>
      </c>
      <c r="S8559" s="24" t="str" cm="1">
        <f t="array" ref="S8559">IFERROR(IF($B8559=S$1, ($A8559+$C8559) - MAX(IF($B$2:$B8558=$B8559, $A$2:$A8558+$C$2:$C8558)), "")*24*60, "")</f>
        <v/>
      </c>
    </row>
    <row r="8560" spans="1:19" x14ac:dyDescent="0.2">
      <c r="A8560" s="12">
        <f t="shared" ref="A8560:C8560" si="1662">A8559</f>
        <v>46029</v>
      </c>
      <c r="B8560" s="5" t="str">
        <f t="shared" si="1662"/>
        <v>Northern Cardinal</v>
      </c>
      <c r="C8560" s="6">
        <f t="shared" si="1662"/>
        <v>0.75</v>
      </c>
      <c r="D8560" s="5"/>
      <c r="E8560" s="5"/>
      <c r="F8560" s="5" t="s">
        <v>9</v>
      </c>
      <c r="G8560" s="15" t="s">
        <v>8</v>
      </c>
      <c r="H8560" s="24">
        <f t="shared" si="1651"/>
        <v>0</v>
      </c>
      <c r="I8560" s="24" cm="1">
        <f t="array" ref="I8560">IFERROR(IF($B8560=I$1, ($A8560+$C8560) - MAX(IF($B$2:$B8559=$B8560, $A$2:$A8559+$C$2:$C8559)), "")*24*60, "")</f>
        <v>0</v>
      </c>
      <c r="J8560" s="24" t="str" cm="1">
        <f t="array" ref="J8560">IFERROR(IF($B8560=J$1, ($A8560+$C8560) - MAX(IF($B$2:$B8559=$B8560, $A$2:$A8559+$C$2:$C8559)), "")*24*60, "")</f>
        <v/>
      </c>
      <c r="K8560" s="24" t="str" cm="1">
        <f t="array" ref="K8560">IFERROR(IF($B8560=K$1, ($A8560+$C8560) - MAX(IF($B$2:$B8559=$B8560, $A$2:$A8559+$C$2:$C8559)), "")*24*60, "")</f>
        <v/>
      </c>
      <c r="L8560" s="24" t="str" cm="1">
        <f t="array" ref="L8560">IFERROR(IF($B8560=L$1, ($A8560+$C8560) - MAX(IF($B$2:$B8559=$B8560, $A$2:$A8559+$C$2:$C8559)), "")*24*60, "")</f>
        <v/>
      </c>
      <c r="M8560" s="24" t="str" cm="1">
        <f t="array" ref="M8560">IFERROR(IF($B8560=M$1, ($A8560+$C8560) - MAX(IF($B$2:$B8559=$B8560, $A$2:$A8559+$C$2:$C8559)), "")*24*60, "")</f>
        <v/>
      </c>
      <c r="N8560" s="24" t="str" cm="1">
        <f t="array" ref="N8560">IFERROR(IF($B8560=N$1, ($A8560+$C8560) - MAX(IF($B$2:$B8559=$B8560, $A$2:$A8559+$C$2:$C8559)), "")*24*60, "")</f>
        <v/>
      </c>
      <c r="O8560" s="24" t="str" cm="1">
        <f t="array" ref="O8560">IFERROR(IF($B8560=O$1, ($A8560+$C8560) - MAX(IF($B$2:$B8559=$B8560, $A$2:$A8559+$C$2:$C8559)), "")*24*60, "")</f>
        <v/>
      </c>
      <c r="P8560" s="24" t="str" cm="1">
        <f t="array" ref="P8560">IFERROR(IF($B8560=P$1, ($A8560+$C8560) - MAX(IF($B$2:$B8559=$B8560, $A$2:$A8559+$C$2:$C8559)), "")*24*60, "")</f>
        <v/>
      </c>
      <c r="Q8560" s="24" t="str" cm="1">
        <f t="array" ref="Q8560">IFERROR(IF($B8560=Q$1, ($A8560+$C8560) - MAX(IF($B$2:$B8559=$B8560, $A$2:$A8559+$C$2:$C8559)), "")*24*60, "")</f>
        <v/>
      </c>
      <c r="R8560" s="24" t="str" cm="1">
        <f t="array" ref="R8560">IFERROR(IF($B8560=R$1, ($A8560+$C8560) - MAX(IF($B$2:$B8559=$B8560, $A$2:$A8559+$C$2:$C8559)), "")*24*60, "")</f>
        <v/>
      </c>
      <c r="S8560" s="24" t="str" cm="1">
        <f t="array" ref="S8560">IFERROR(IF($B8560=S$1, ($A8560+$C8560) - MAX(IF($B$2:$B8559=$B8560, $A$2:$A8559+$C$2:$C8559)), "")*24*60, "")</f>
        <v/>
      </c>
    </row>
    <row r="8561" spans="1:19" x14ac:dyDescent="0.2">
      <c r="A8561" s="12">
        <f t="shared" ref="A8561:C8561" si="1663">A8560</f>
        <v>46029</v>
      </c>
      <c r="B8561" s="5" t="str">
        <f t="shared" si="1663"/>
        <v>Northern Cardinal</v>
      </c>
      <c r="C8561" s="6">
        <f t="shared" si="1663"/>
        <v>0.75</v>
      </c>
      <c r="D8561" s="5"/>
      <c r="E8561" s="5"/>
      <c r="F8561" s="5" t="s">
        <v>9</v>
      </c>
      <c r="G8561" s="15" t="s">
        <v>8</v>
      </c>
      <c r="H8561" s="24">
        <f t="shared" si="1651"/>
        <v>0</v>
      </c>
      <c r="I8561" s="24" cm="1">
        <f t="array" ref="I8561">IFERROR(IF($B8561=I$1, ($A8561+$C8561) - MAX(IF($B$2:$B8560=$B8561, $A$2:$A8560+$C$2:$C8560)), "")*24*60, "")</f>
        <v>0</v>
      </c>
      <c r="J8561" s="24" t="str" cm="1">
        <f t="array" ref="J8561">IFERROR(IF($B8561=J$1, ($A8561+$C8561) - MAX(IF($B$2:$B8560=$B8561, $A$2:$A8560+$C$2:$C8560)), "")*24*60, "")</f>
        <v/>
      </c>
      <c r="K8561" s="24" t="str" cm="1">
        <f t="array" ref="K8561">IFERROR(IF($B8561=K$1, ($A8561+$C8561) - MAX(IF($B$2:$B8560=$B8561, $A$2:$A8560+$C$2:$C8560)), "")*24*60, "")</f>
        <v/>
      </c>
      <c r="L8561" s="24" t="str" cm="1">
        <f t="array" ref="L8561">IFERROR(IF($B8561=L$1, ($A8561+$C8561) - MAX(IF($B$2:$B8560=$B8561, $A$2:$A8560+$C$2:$C8560)), "")*24*60, "")</f>
        <v/>
      </c>
      <c r="M8561" s="24" t="str" cm="1">
        <f t="array" ref="M8561">IFERROR(IF($B8561=M$1, ($A8561+$C8561) - MAX(IF($B$2:$B8560=$B8561, $A$2:$A8560+$C$2:$C8560)), "")*24*60, "")</f>
        <v/>
      </c>
      <c r="N8561" s="24" t="str" cm="1">
        <f t="array" ref="N8561">IFERROR(IF($B8561=N$1, ($A8561+$C8561) - MAX(IF($B$2:$B8560=$B8561, $A$2:$A8560+$C$2:$C8560)), "")*24*60, "")</f>
        <v/>
      </c>
      <c r="O8561" s="24" t="str" cm="1">
        <f t="array" ref="O8561">IFERROR(IF($B8561=O$1, ($A8561+$C8561) - MAX(IF($B$2:$B8560=$B8561, $A$2:$A8560+$C$2:$C8560)), "")*24*60, "")</f>
        <v/>
      </c>
      <c r="P8561" s="24" t="str" cm="1">
        <f t="array" ref="P8561">IFERROR(IF($B8561=P$1, ($A8561+$C8561) - MAX(IF($B$2:$B8560=$B8561, $A$2:$A8560+$C$2:$C8560)), "")*24*60, "")</f>
        <v/>
      </c>
      <c r="Q8561" s="24" t="str" cm="1">
        <f t="array" ref="Q8561">IFERROR(IF($B8561=Q$1, ($A8561+$C8561) - MAX(IF($B$2:$B8560=$B8561, $A$2:$A8560+$C$2:$C8560)), "")*24*60, "")</f>
        <v/>
      </c>
      <c r="R8561" s="24" t="str" cm="1">
        <f t="array" ref="R8561">IFERROR(IF($B8561=R$1, ($A8561+$C8561) - MAX(IF($B$2:$B8560=$B8561, $A$2:$A8560+$C$2:$C8560)), "")*24*60, "")</f>
        <v/>
      </c>
      <c r="S8561" s="24" t="str" cm="1">
        <f t="array" ref="S8561">IFERROR(IF($B8561=S$1, ($A8561+$C8561) - MAX(IF($B$2:$B8560=$B8561, $A$2:$A8560+$C$2:$C8560)), "")*24*60, "")</f>
        <v/>
      </c>
    </row>
    <row r="8562" spans="1:19" x14ac:dyDescent="0.2">
      <c r="A8562" s="12">
        <f t="shared" ref="A8562:C8562" si="1664">A8561</f>
        <v>46029</v>
      </c>
      <c r="B8562" s="5" t="str">
        <f t="shared" si="1664"/>
        <v>Northern Cardinal</v>
      </c>
      <c r="C8562" s="6">
        <f t="shared" si="1664"/>
        <v>0.75</v>
      </c>
      <c r="D8562" s="5"/>
      <c r="E8562" s="5"/>
      <c r="F8562" s="5" t="s">
        <v>9</v>
      </c>
      <c r="G8562" s="15" t="s">
        <v>8</v>
      </c>
      <c r="H8562" s="24">
        <f t="shared" si="1651"/>
        <v>0</v>
      </c>
      <c r="I8562" s="24" cm="1">
        <f t="array" ref="I8562">IFERROR(IF($B8562=I$1, ($A8562+$C8562) - MAX(IF($B$2:$B8561=$B8562, $A$2:$A8561+$C$2:$C8561)), "")*24*60, "")</f>
        <v>0</v>
      </c>
      <c r="J8562" s="24" t="str" cm="1">
        <f t="array" ref="J8562">IFERROR(IF($B8562=J$1, ($A8562+$C8562) - MAX(IF($B$2:$B8561=$B8562, $A$2:$A8561+$C$2:$C8561)), "")*24*60, "")</f>
        <v/>
      </c>
      <c r="K8562" s="24" t="str" cm="1">
        <f t="array" ref="K8562">IFERROR(IF($B8562=K$1, ($A8562+$C8562) - MAX(IF($B$2:$B8561=$B8562, $A$2:$A8561+$C$2:$C8561)), "")*24*60, "")</f>
        <v/>
      </c>
      <c r="L8562" s="24" t="str" cm="1">
        <f t="array" ref="L8562">IFERROR(IF($B8562=L$1, ($A8562+$C8562) - MAX(IF($B$2:$B8561=$B8562, $A$2:$A8561+$C$2:$C8561)), "")*24*60, "")</f>
        <v/>
      </c>
      <c r="M8562" s="24" t="str" cm="1">
        <f t="array" ref="M8562">IFERROR(IF($B8562=M$1, ($A8562+$C8562) - MAX(IF($B$2:$B8561=$B8562, $A$2:$A8561+$C$2:$C8561)), "")*24*60, "")</f>
        <v/>
      </c>
      <c r="N8562" s="24" t="str" cm="1">
        <f t="array" ref="N8562">IFERROR(IF($B8562=N$1, ($A8562+$C8562) - MAX(IF($B$2:$B8561=$B8562, $A$2:$A8561+$C$2:$C8561)), "")*24*60, "")</f>
        <v/>
      </c>
      <c r="O8562" s="24" t="str" cm="1">
        <f t="array" ref="O8562">IFERROR(IF($B8562=O$1, ($A8562+$C8562) - MAX(IF($B$2:$B8561=$B8562, $A$2:$A8561+$C$2:$C8561)), "")*24*60, "")</f>
        <v/>
      </c>
      <c r="P8562" s="24" t="str" cm="1">
        <f t="array" ref="P8562">IFERROR(IF($B8562=P$1, ($A8562+$C8562) - MAX(IF($B$2:$B8561=$B8562, $A$2:$A8561+$C$2:$C8561)), "")*24*60, "")</f>
        <v/>
      </c>
      <c r="Q8562" s="24" t="str" cm="1">
        <f t="array" ref="Q8562">IFERROR(IF($B8562=Q$1, ($A8562+$C8562) - MAX(IF($B$2:$B8561=$B8562, $A$2:$A8561+$C$2:$C8561)), "")*24*60, "")</f>
        <v/>
      </c>
      <c r="R8562" s="24" t="str" cm="1">
        <f t="array" ref="R8562">IFERROR(IF($B8562=R$1, ($A8562+$C8562) - MAX(IF($B$2:$B8561=$B8562, $A$2:$A8561+$C$2:$C8561)), "")*24*60, "")</f>
        <v/>
      </c>
      <c r="S8562" s="24" t="str" cm="1">
        <f t="array" ref="S8562">IFERROR(IF($B8562=S$1, ($A8562+$C8562) - MAX(IF($B$2:$B8561=$B8562, $A$2:$A8561+$C$2:$C8561)), "")*24*60, "")</f>
        <v/>
      </c>
    </row>
    <row r="8563" spans="1:19" x14ac:dyDescent="0.2">
      <c r="A8563" s="12">
        <f t="shared" ref="A8563:C8563" si="1665">A8562</f>
        <v>46029</v>
      </c>
      <c r="B8563" s="5" t="str">
        <f t="shared" si="1665"/>
        <v>Northern Cardinal</v>
      </c>
      <c r="C8563" s="6">
        <f t="shared" si="1665"/>
        <v>0.75</v>
      </c>
      <c r="D8563" s="5"/>
      <c r="E8563" s="5"/>
      <c r="F8563" s="5" t="s">
        <v>9</v>
      </c>
      <c r="G8563" s="15" t="s">
        <v>8</v>
      </c>
      <c r="H8563" s="24">
        <f t="shared" si="1651"/>
        <v>0</v>
      </c>
      <c r="I8563" s="24" cm="1">
        <f t="array" ref="I8563">IFERROR(IF($B8563=I$1, ($A8563+$C8563) - MAX(IF($B$2:$B8562=$B8563, $A$2:$A8562+$C$2:$C8562)), "")*24*60, "")</f>
        <v>0</v>
      </c>
      <c r="J8563" s="24" t="str" cm="1">
        <f t="array" ref="J8563">IFERROR(IF($B8563=J$1, ($A8563+$C8563) - MAX(IF($B$2:$B8562=$B8563, $A$2:$A8562+$C$2:$C8562)), "")*24*60, "")</f>
        <v/>
      </c>
      <c r="K8563" s="24" t="str" cm="1">
        <f t="array" ref="K8563">IFERROR(IF($B8563=K$1, ($A8563+$C8563) - MAX(IF($B$2:$B8562=$B8563, $A$2:$A8562+$C$2:$C8562)), "")*24*60, "")</f>
        <v/>
      </c>
      <c r="L8563" s="24" t="str" cm="1">
        <f t="array" ref="L8563">IFERROR(IF($B8563=L$1, ($A8563+$C8563) - MAX(IF($B$2:$B8562=$B8563, $A$2:$A8562+$C$2:$C8562)), "")*24*60, "")</f>
        <v/>
      </c>
      <c r="M8563" s="24" t="str" cm="1">
        <f t="array" ref="M8563">IFERROR(IF($B8563=M$1, ($A8563+$C8563) - MAX(IF($B$2:$B8562=$B8563, $A$2:$A8562+$C$2:$C8562)), "")*24*60, "")</f>
        <v/>
      </c>
      <c r="N8563" s="24" t="str" cm="1">
        <f t="array" ref="N8563">IFERROR(IF($B8563=N$1, ($A8563+$C8563) - MAX(IF($B$2:$B8562=$B8563, $A$2:$A8562+$C$2:$C8562)), "")*24*60, "")</f>
        <v/>
      </c>
      <c r="O8563" s="24" t="str" cm="1">
        <f t="array" ref="O8563">IFERROR(IF($B8563=O$1, ($A8563+$C8563) - MAX(IF($B$2:$B8562=$B8563, $A$2:$A8562+$C$2:$C8562)), "")*24*60, "")</f>
        <v/>
      </c>
      <c r="P8563" s="24" t="str" cm="1">
        <f t="array" ref="P8563">IFERROR(IF($B8563=P$1, ($A8563+$C8563) - MAX(IF($B$2:$B8562=$B8563, $A$2:$A8562+$C$2:$C8562)), "")*24*60, "")</f>
        <v/>
      </c>
      <c r="Q8563" s="24" t="str" cm="1">
        <f t="array" ref="Q8563">IFERROR(IF($B8563=Q$1, ($A8563+$C8563) - MAX(IF($B$2:$B8562=$B8563, $A$2:$A8562+$C$2:$C8562)), "")*24*60, "")</f>
        <v/>
      </c>
      <c r="R8563" s="24" t="str" cm="1">
        <f t="array" ref="R8563">IFERROR(IF($B8563=R$1, ($A8563+$C8563) - MAX(IF($B$2:$B8562=$B8563, $A$2:$A8562+$C$2:$C8562)), "")*24*60, "")</f>
        <v/>
      </c>
      <c r="S8563" s="24" t="str" cm="1">
        <f t="array" ref="S8563">IFERROR(IF($B8563=S$1, ($A8563+$C8563) - MAX(IF($B$2:$B8562=$B8563, $A$2:$A8562+$C$2:$C8562)), "")*24*60, "")</f>
        <v/>
      </c>
    </row>
    <row r="8564" spans="1:19" x14ac:dyDescent="0.2">
      <c r="A8564" s="12">
        <f t="shared" ref="A8564:C8564" si="1666">A8563</f>
        <v>46029</v>
      </c>
      <c r="B8564" s="5" t="str">
        <f t="shared" si="1666"/>
        <v>Northern Cardinal</v>
      </c>
      <c r="C8564" s="6">
        <f t="shared" si="1666"/>
        <v>0.75</v>
      </c>
      <c r="D8564" s="5"/>
      <c r="E8564" s="5"/>
      <c r="F8564" s="5" t="s">
        <v>9</v>
      </c>
      <c r="G8564" s="15" t="s">
        <v>8</v>
      </c>
      <c r="H8564" s="24">
        <f t="shared" si="1651"/>
        <v>0</v>
      </c>
      <c r="I8564" s="24" cm="1">
        <f t="array" ref="I8564">IFERROR(IF($B8564=I$1, ($A8564+$C8564) - MAX(IF($B$2:$B8563=$B8564, $A$2:$A8563+$C$2:$C8563)), "")*24*60, "")</f>
        <v>0</v>
      </c>
      <c r="J8564" s="24" t="str" cm="1">
        <f t="array" ref="J8564">IFERROR(IF($B8564=J$1, ($A8564+$C8564) - MAX(IF($B$2:$B8563=$B8564, $A$2:$A8563+$C$2:$C8563)), "")*24*60, "")</f>
        <v/>
      </c>
      <c r="K8564" s="24" t="str" cm="1">
        <f t="array" ref="K8564">IFERROR(IF($B8564=K$1, ($A8564+$C8564) - MAX(IF($B$2:$B8563=$B8564, $A$2:$A8563+$C$2:$C8563)), "")*24*60, "")</f>
        <v/>
      </c>
      <c r="L8564" s="24" t="str" cm="1">
        <f t="array" ref="L8564">IFERROR(IF($B8564=L$1, ($A8564+$C8564) - MAX(IF($B$2:$B8563=$B8564, $A$2:$A8563+$C$2:$C8563)), "")*24*60, "")</f>
        <v/>
      </c>
      <c r="M8564" s="24" t="str" cm="1">
        <f t="array" ref="M8564">IFERROR(IF($B8564=M$1, ($A8564+$C8564) - MAX(IF($B$2:$B8563=$B8564, $A$2:$A8563+$C$2:$C8563)), "")*24*60, "")</f>
        <v/>
      </c>
      <c r="N8564" s="24" t="str" cm="1">
        <f t="array" ref="N8564">IFERROR(IF($B8564=N$1, ($A8564+$C8564) - MAX(IF($B$2:$B8563=$B8564, $A$2:$A8563+$C$2:$C8563)), "")*24*60, "")</f>
        <v/>
      </c>
      <c r="O8564" s="24" t="str" cm="1">
        <f t="array" ref="O8564">IFERROR(IF($B8564=O$1, ($A8564+$C8564) - MAX(IF($B$2:$B8563=$B8564, $A$2:$A8563+$C$2:$C8563)), "")*24*60, "")</f>
        <v/>
      </c>
      <c r="P8564" s="24" t="str" cm="1">
        <f t="array" ref="P8564">IFERROR(IF($B8564=P$1, ($A8564+$C8564) - MAX(IF($B$2:$B8563=$B8564, $A$2:$A8563+$C$2:$C8563)), "")*24*60, "")</f>
        <v/>
      </c>
      <c r="Q8564" s="24" t="str" cm="1">
        <f t="array" ref="Q8564">IFERROR(IF($B8564=Q$1, ($A8564+$C8564) - MAX(IF($B$2:$B8563=$B8564, $A$2:$A8563+$C$2:$C8563)), "")*24*60, "")</f>
        <v/>
      </c>
      <c r="R8564" s="24" t="str" cm="1">
        <f t="array" ref="R8564">IFERROR(IF($B8564=R$1, ($A8564+$C8564) - MAX(IF($B$2:$B8563=$B8564, $A$2:$A8563+$C$2:$C8563)), "")*24*60, "")</f>
        <v/>
      </c>
      <c r="S8564" s="24" t="str" cm="1">
        <f t="array" ref="S8564">IFERROR(IF($B8564=S$1, ($A8564+$C8564) - MAX(IF($B$2:$B8563=$B8564, $A$2:$A8563+$C$2:$C8563)), "")*24*60, "")</f>
        <v/>
      </c>
    </row>
    <row r="8565" spans="1:19" x14ac:dyDescent="0.2">
      <c r="A8565" s="12">
        <f t="shared" ref="A8565:C8565" si="1667">A8564</f>
        <v>46029</v>
      </c>
      <c r="B8565" s="5" t="str">
        <f t="shared" si="1667"/>
        <v>Northern Cardinal</v>
      </c>
      <c r="C8565" s="6">
        <f t="shared" si="1667"/>
        <v>0.75</v>
      </c>
      <c r="D8565" s="5"/>
      <c r="E8565" s="5"/>
      <c r="F8565" s="5" t="s">
        <v>9</v>
      </c>
      <c r="G8565" s="15" t="s">
        <v>8</v>
      </c>
      <c r="H8565" s="24">
        <f t="shared" si="1651"/>
        <v>0</v>
      </c>
      <c r="I8565" s="24" cm="1">
        <f t="array" ref="I8565">IFERROR(IF($B8565=I$1, ($A8565+$C8565) - MAX(IF($B$2:$B8564=$B8565, $A$2:$A8564+$C$2:$C8564)), "")*24*60, "")</f>
        <v>0</v>
      </c>
      <c r="J8565" s="24" t="str" cm="1">
        <f t="array" ref="J8565">IFERROR(IF($B8565=J$1, ($A8565+$C8565) - MAX(IF($B$2:$B8564=$B8565, $A$2:$A8564+$C$2:$C8564)), "")*24*60, "")</f>
        <v/>
      </c>
      <c r="K8565" s="24" t="str" cm="1">
        <f t="array" ref="K8565">IFERROR(IF($B8565=K$1, ($A8565+$C8565) - MAX(IF($B$2:$B8564=$B8565, $A$2:$A8564+$C$2:$C8564)), "")*24*60, "")</f>
        <v/>
      </c>
      <c r="L8565" s="24" t="str" cm="1">
        <f t="array" ref="L8565">IFERROR(IF($B8565=L$1, ($A8565+$C8565) - MAX(IF($B$2:$B8564=$B8565, $A$2:$A8564+$C$2:$C8564)), "")*24*60, "")</f>
        <v/>
      </c>
      <c r="M8565" s="24" t="str" cm="1">
        <f t="array" ref="M8565">IFERROR(IF($B8565=M$1, ($A8565+$C8565) - MAX(IF($B$2:$B8564=$B8565, $A$2:$A8564+$C$2:$C8564)), "")*24*60, "")</f>
        <v/>
      </c>
      <c r="N8565" s="24" t="str" cm="1">
        <f t="array" ref="N8565">IFERROR(IF($B8565=N$1, ($A8565+$C8565) - MAX(IF($B$2:$B8564=$B8565, $A$2:$A8564+$C$2:$C8564)), "")*24*60, "")</f>
        <v/>
      </c>
      <c r="O8565" s="24" t="str" cm="1">
        <f t="array" ref="O8565">IFERROR(IF($B8565=O$1, ($A8565+$C8565) - MAX(IF($B$2:$B8564=$B8565, $A$2:$A8564+$C$2:$C8564)), "")*24*60, "")</f>
        <v/>
      </c>
      <c r="P8565" s="24" t="str" cm="1">
        <f t="array" ref="P8565">IFERROR(IF($B8565=P$1, ($A8565+$C8565) - MAX(IF($B$2:$B8564=$B8565, $A$2:$A8564+$C$2:$C8564)), "")*24*60, "")</f>
        <v/>
      </c>
      <c r="Q8565" s="24" t="str" cm="1">
        <f t="array" ref="Q8565">IFERROR(IF($B8565=Q$1, ($A8565+$C8565) - MAX(IF($B$2:$B8564=$B8565, $A$2:$A8564+$C$2:$C8564)), "")*24*60, "")</f>
        <v/>
      </c>
      <c r="R8565" s="24" t="str" cm="1">
        <f t="array" ref="R8565">IFERROR(IF($B8565=R$1, ($A8565+$C8565) - MAX(IF($B$2:$B8564=$B8565, $A$2:$A8564+$C$2:$C8564)), "")*24*60, "")</f>
        <v/>
      </c>
      <c r="S8565" s="24" t="str" cm="1">
        <f t="array" ref="S8565">IFERROR(IF($B8565=S$1, ($A8565+$C8565) - MAX(IF($B$2:$B8564=$B8565, $A$2:$A8564+$C$2:$C8564)), "")*24*60, "")</f>
        <v/>
      </c>
    </row>
    <row r="8566" spans="1:19" x14ac:dyDescent="0.2">
      <c r="A8566" s="12">
        <f t="shared" ref="A8566:C8566" si="1668">A8565</f>
        <v>46029</v>
      </c>
      <c r="B8566" s="5" t="str">
        <f t="shared" si="1668"/>
        <v>Northern Cardinal</v>
      </c>
      <c r="C8566" s="6">
        <f t="shared" si="1668"/>
        <v>0.75</v>
      </c>
      <c r="D8566" s="5"/>
      <c r="E8566" s="5"/>
      <c r="F8566" s="5" t="s">
        <v>9</v>
      </c>
      <c r="G8566" s="15" t="s">
        <v>8</v>
      </c>
      <c r="H8566" s="24">
        <f t="shared" si="1651"/>
        <v>0</v>
      </c>
      <c r="I8566" s="24" cm="1">
        <f t="array" ref="I8566">IFERROR(IF($B8566=I$1, ($A8566+$C8566) - MAX(IF($B$2:$B8565=$B8566, $A$2:$A8565+$C$2:$C8565)), "")*24*60, "")</f>
        <v>0</v>
      </c>
      <c r="J8566" s="24" t="str" cm="1">
        <f t="array" ref="J8566">IFERROR(IF($B8566=J$1, ($A8566+$C8566) - MAX(IF($B$2:$B8565=$B8566, $A$2:$A8565+$C$2:$C8565)), "")*24*60, "")</f>
        <v/>
      </c>
      <c r="K8566" s="24" t="str" cm="1">
        <f t="array" ref="K8566">IFERROR(IF($B8566=K$1, ($A8566+$C8566) - MAX(IF($B$2:$B8565=$B8566, $A$2:$A8565+$C$2:$C8565)), "")*24*60, "")</f>
        <v/>
      </c>
      <c r="L8566" s="24" t="str" cm="1">
        <f t="array" ref="L8566">IFERROR(IF($B8566=L$1, ($A8566+$C8566) - MAX(IF($B$2:$B8565=$B8566, $A$2:$A8565+$C$2:$C8565)), "")*24*60, "")</f>
        <v/>
      </c>
      <c r="M8566" s="24" t="str" cm="1">
        <f t="array" ref="M8566">IFERROR(IF($B8566=M$1, ($A8566+$C8566) - MAX(IF($B$2:$B8565=$B8566, $A$2:$A8565+$C$2:$C8565)), "")*24*60, "")</f>
        <v/>
      </c>
      <c r="N8566" s="24" t="str" cm="1">
        <f t="array" ref="N8566">IFERROR(IF($B8566=N$1, ($A8566+$C8566) - MAX(IF($B$2:$B8565=$B8566, $A$2:$A8565+$C$2:$C8565)), "")*24*60, "")</f>
        <v/>
      </c>
      <c r="O8566" s="24" t="str" cm="1">
        <f t="array" ref="O8566">IFERROR(IF($B8566=O$1, ($A8566+$C8566) - MAX(IF($B$2:$B8565=$B8566, $A$2:$A8565+$C$2:$C8565)), "")*24*60, "")</f>
        <v/>
      </c>
      <c r="P8566" s="24" t="str" cm="1">
        <f t="array" ref="P8566">IFERROR(IF($B8566=P$1, ($A8566+$C8566) - MAX(IF($B$2:$B8565=$B8566, $A$2:$A8565+$C$2:$C8565)), "")*24*60, "")</f>
        <v/>
      </c>
      <c r="Q8566" s="24" t="str" cm="1">
        <f t="array" ref="Q8566">IFERROR(IF($B8566=Q$1, ($A8566+$C8566) - MAX(IF($B$2:$B8565=$B8566, $A$2:$A8565+$C$2:$C8565)), "")*24*60, "")</f>
        <v/>
      </c>
      <c r="R8566" s="24" t="str" cm="1">
        <f t="array" ref="R8566">IFERROR(IF($B8566=R$1, ($A8566+$C8566) - MAX(IF($B$2:$B8565=$B8566, $A$2:$A8565+$C$2:$C8565)), "")*24*60, "")</f>
        <v/>
      </c>
      <c r="S8566" s="24" t="str" cm="1">
        <f t="array" ref="S8566">IFERROR(IF($B8566=S$1, ($A8566+$C8566) - MAX(IF($B$2:$B8565=$B8566, $A$2:$A8565+$C$2:$C8565)), "")*24*60, "")</f>
        <v/>
      </c>
    </row>
    <row r="8567" spans="1:19" x14ac:dyDescent="0.2">
      <c r="A8567" s="12">
        <f t="shared" ref="A8567:C8567" si="1669">A8566</f>
        <v>46029</v>
      </c>
      <c r="B8567" s="5" t="str">
        <f t="shared" si="1669"/>
        <v>Northern Cardinal</v>
      </c>
      <c r="C8567" s="6">
        <f t="shared" si="1669"/>
        <v>0.75</v>
      </c>
      <c r="D8567" s="5"/>
      <c r="E8567" s="5"/>
      <c r="F8567" s="5" t="s">
        <v>9</v>
      </c>
      <c r="G8567" s="15" t="s">
        <v>8</v>
      </c>
      <c r="H8567" s="24">
        <f t="shared" si="1651"/>
        <v>0</v>
      </c>
      <c r="I8567" s="24" cm="1">
        <f t="array" ref="I8567">IFERROR(IF($B8567=I$1, ($A8567+$C8567) - MAX(IF($B$2:$B8566=$B8567, $A$2:$A8566+$C$2:$C8566)), "")*24*60, "")</f>
        <v>0</v>
      </c>
      <c r="J8567" s="24" t="str" cm="1">
        <f t="array" ref="J8567">IFERROR(IF($B8567=J$1, ($A8567+$C8567) - MAX(IF($B$2:$B8566=$B8567, $A$2:$A8566+$C$2:$C8566)), "")*24*60, "")</f>
        <v/>
      </c>
      <c r="K8567" s="24" t="str" cm="1">
        <f t="array" ref="K8567">IFERROR(IF($B8567=K$1, ($A8567+$C8567) - MAX(IF($B$2:$B8566=$B8567, $A$2:$A8566+$C$2:$C8566)), "")*24*60, "")</f>
        <v/>
      </c>
      <c r="L8567" s="24" t="str" cm="1">
        <f t="array" ref="L8567">IFERROR(IF($B8567=L$1, ($A8567+$C8567) - MAX(IF($B$2:$B8566=$B8567, $A$2:$A8566+$C$2:$C8566)), "")*24*60, "")</f>
        <v/>
      </c>
      <c r="M8567" s="24" t="str" cm="1">
        <f t="array" ref="M8567">IFERROR(IF($B8567=M$1, ($A8567+$C8567) - MAX(IF($B$2:$B8566=$B8567, $A$2:$A8566+$C$2:$C8566)), "")*24*60, "")</f>
        <v/>
      </c>
      <c r="N8567" s="24" t="str" cm="1">
        <f t="array" ref="N8567">IFERROR(IF($B8567=N$1, ($A8567+$C8567) - MAX(IF($B$2:$B8566=$B8567, $A$2:$A8566+$C$2:$C8566)), "")*24*60, "")</f>
        <v/>
      </c>
      <c r="O8567" s="24" t="str" cm="1">
        <f t="array" ref="O8567">IFERROR(IF($B8567=O$1, ($A8567+$C8567) - MAX(IF($B$2:$B8566=$B8567, $A$2:$A8566+$C$2:$C8566)), "")*24*60, "")</f>
        <v/>
      </c>
      <c r="P8567" s="24" t="str" cm="1">
        <f t="array" ref="P8567">IFERROR(IF($B8567=P$1, ($A8567+$C8567) - MAX(IF($B$2:$B8566=$B8567, $A$2:$A8566+$C$2:$C8566)), "")*24*60, "")</f>
        <v/>
      </c>
      <c r="Q8567" s="24" t="str" cm="1">
        <f t="array" ref="Q8567">IFERROR(IF($B8567=Q$1, ($A8567+$C8567) - MAX(IF($B$2:$B8566=$B8567, $A$2:$A8566+$C$2:$C8566)), "")*24*60, "")</f>
        <v/>
      </c>
      <c r="R8567" s="24" t="str" cm="1">
        <f t="array" ref="R8567">IFERROR(IF($B8567=R$1, ($A8567+$C8567) - MAX(IF($B$2:$B8566=$B8567, $A$2:$A8566+$C$2:$C8566)), "")*24*60, "")</f>
        <v/>
      </c>
      <c r="S8567" s="24" t="str" cm="1">
        <f t="array" ref="S8567">IFERROR(IF($B8567=S$1, ($A8567+$C8567) - MAX(IF($B$2:$B8566=$B8567, $A$2:$A8566+$C$2:$C8566)), "")*24*60, "")</f>
        <v/>
      </c>
    </row>
    <row r="8568" spans="1:19" x14ac:dyDescent="0.2">
      <c r="A8568" s="12">
        <f t="shared" ref="A8568:C8568" si="1670">A8567</f>
        <v>46029</v>
      </c>
      <c r="B8568" s="5" t="str">
        <f t="shared" si="1670"/>
        <v>Northern Cardinal</v>
      </c>
      <c r="C8568" s="6">
        <f t="shared" si="1670"/>
        <v>0.75</v>
      </c>
      <c r="D8568" s="5"/>
      <c r="E8568" s="5"/>
      <c r="F8568" s="5" t="s">
        <v>9</v>
      </c>
      <c r="G8568" s="15" t="s">
        <v>8</v>
      </c>
      <c r="H8568" s="24">
        <f t="shared" si="1651"/>
        <v>0</v>
      </c>
      <c r="I8568" s="24" cm="1">
        <f t="array" ref="I8568">IFERROR(IF($B8568=I$1, ($A8568+$C8568) - MAX(IF($B$2:$B8567=$B8568, $A$2:$A8567+$C$2:$C8567)), "")*24*60, "")</f>
        <v>0</v>
      </c>
      <c r="J8568" s="24" t="str" cm="1">
        <f t="array" ref="J8568">IFERROR(IF($B8568=J$1, ($A8568+$C8568) - MAX(IF($B$2:$B8567=$B8568, $A$2:$A8567+$C$2:$C8567)), "")*24*60, "")</f>
        <v/>
      </c>
      <c r="K8568" s="24" t="str" cm="1">
        <f t="array" ref="K8568">IFERROR(IF($B8568=K$1, ($A8568+$C8568) - MAX(IF($B$2:$B8567=$B8568, $A$2:$A8567+$C$2:$C8567)), "")*24*60, "")</f>
        <v/>
      </c>
      <c r="L8568" s="24" t="str" cm="1">
        <f t="array" ref="L8568">IFERROR(IF($B8568=L$1, ($A8568+$C8568) - MAX(IF($B$2:$B8567=$B8568, $A$2:$A8567+$C$2:$C8567)), "")*24*60, "")</f>
        <v/>
      </c>
      <c r="M8568" s="24" t="str" cm="1">
        <f t="array" ref="M8568">IFERROR(IF($B8568=M$1, ($A8568+$C8568) - MAX(IF($B$2:$B8567=$B8568, $A$2:$A8567+$C$2:$C8567)), "")*24*60, "")</f>
        <v/>
      </c>
      <c r="N8568" s="24" t="str" cm="1">
        <f t="array" ref="N8568">IFERROR(IF($B8568=N$1, ($A8568+$C8568) - MAX(IF($B$2:$B8567=$B8568, $A$2:$A8567+$C$2:$C8567)), "")*24*60, "")</f>
        <v/>
      </c>
      <c r="O8568" s="24" t="str" cm="1">
        <f t="array" ref="O8568">IFERROR(IF($B8568=O$1, ($A8568+$C8568) - MAX(IF($B$2:$B8567=$B8568, $A$2:$A8567+$C$2:$C8567)), "")*24*60, "")</f>
        <v/>
      </c>
      <c r="P8568" s="24" t="str" cm="1">
        <f t="array" ref="P8568">IFERROR(IF($B8568=P$1, ($A8568+$C8568) - MAX(IF($B$2:$B8567=$B8568, $A$2:$A8567+$C$2:$C8567)), "")*24*60, "")</f>
        <v/>
      </c>
      <c r="Q8568" s="24" t="str" cm="1">
        <f t="array" ref="Q8568">IFERROR(IF($B8568=Q$1, ($A8568+$C8568) - MAX(IF($B$2:$B8567=$B8568, $A$2:$A8567+$C$2:$C8567)), "")*24*60, "")</f>
        <v/>
      </c>
      <c r="R8568" s="24" t="str" cm="1">
        <f t="array" ref="R8568">IFERROR(IF($B8568=R$1, ($A8568+$C8568) - MAX(IF($B$2:$B8567=$B8568, $A$2:$A8567+$C$2:$C8567)), "")*24*60, "")</f>
        <v/>
      </c>
      <c r="S8568" s="24" t="str" cm="1">
        <f t="array" ref="S8568">IFERROR(IF($B8568=S$1, ($A8568+$C8568) - MAX(IF($B$2:$B8567=$B8568, $A$2:$A8567+$C$2:$C8567)), "")*24*60, "")</f>
        <v/>
      </c>
    </row>
    <row r="8569" spans="1:19" x14ac:dyDescent="0.2">
      <c r="A8569" s="12">
        <f t="shared" ref="A8569:C8569" si="1671">A8568</f>
        <v>46029</v>
      </c>
      <c r="B8569" s="5" t="str">
        <f t="shared" si="1671"/>
        <v>Northern Cardinal</v>
      </c>
      <c r="C8569" s="6">
        <f t="shared" si="1671"/>
        <v>0.75</v>
      </c>
      <c r="D8569" s="5"/>
      <c r="E8569" s="5"/>
      <c r="F8569" s="5" t="s">
        <v>9</v>
      </c>
      <c r="G8569" s="15" t="s">
        <v>8</v>
      </c>
      <c r="H8569" s="24">
        <f t="shared" si="1651"/>
        <v>0</v>
      </c>
      <c r="I8569" s="24" cm="1">
        <f t="array" ref="I8569">IFERROR(IF($B8569=I$1, ($A8569+$C8569) - MAX(IF($B$2:$B8568=$B8569, $A$2:$A8568+$C$2:$C8568)), "")*24*60, "")</f>
        <v>0</v>
      </c>
      <c r="J8569" s="24" t="str" cm="1">
        <f t="array" ref="J8569">IFERROR(IF($B8569=J$1, ($A8569+$C8569) - MAX(IF($B$2:$B8568=$B8569, $A$2:$A8568+$C$2:$C8568)), "")*24*60, "")</f>
        <v/>
      </c>
      <c r="K8569" s="24" t="str" cm="1">
        <f t="array" ref="K8569">IFERROR(IF($B8569=K$1, ($A8569+$C8569) - MAX(IF($B$2:$B8568=$B8569, $A$2:$A8568+$C$2:$C8568)), "")*24*60, "")</f>
        <v/>
      </c>
      <c r="L8569" s="24" t="str" cm="1">
        <f t="array" ref="L8569">IFERROR(IF($B8569=L$1, ($A8569+$C8569) - MAX(IF($B$2:$B8568=$B8569, $A$2:$A8568+$C$2:$C8568)), "")*24*60, "")</f>
        <v/>
      </c>
      <c r="M8569" s="24" t="str" cm="1">
        <f t="array" ref="M8569">IFERROR(IF($B8569=M$1, ($A8569+$C8569) - MAX(IF($B$2:$B8568=$B8569, $A$2:$A8568+$C$2:$C8568)), "")*24*60, "")</f>
        <v/>
      </c>
      <c r="N8569" s="24" t="str" cm="1">
        <f t="array" ref="N8569">IFERROR(IF($B8569=N$1, ($A8569+$C8569) - MAX(IF($B$2:$B8568=$B8569, $A$2:$A8568+$C$2:$C8568)), "")*24*60, "")</f>
        <v/>
      </c>
      <c r="O8569" s="24" t="str" cm="1">
        <f t="array" ref="O8569">IFERROR(IF($B8569=O$1, ($A8569+$C8569) - MAX(IF($B$2:$B8568=$B8569, $A$2:$A8568+$C$2:$C8568)), "")*24*60, "")</f>
        <v/>
      </c>
      <c r="P8569" s="24" t="str" cm="1">
        <f t="array" ref="P8569">IFERROR(IF($B8569=P$1, ($A8569+$C8569) - MAX(IF($B$2:$B8568=$B8569, $A$2:$A8568+$C$2:$C8568)), "")*24*60, "")</f>
        <v/>
      </c>
      <c r="Q8569" s="24" t="str" cm="1">
        <f t="array" ref="Q8569">IFERROR(IF($B8569=Q$1, ($A8569+$C8569) - MAX(IF($B$2:$B8568=$B8569, $A$2:$A8568+$C$2:$C8568)), "")*24*60, "")</f>
        <v/>
      </c>
      <c r="R8569" s="24" t="str" cm="1">
        <f t="array" ref="R8569">IFERROR(IF($B8569=R$1, ($A8569+$C8569) - MAX(IF($B$2:$B8568=$B8569, $A$2:$A8568+$C$2:$C8568)), "")*24*60, "")</f>
        <v/>
      </c>
      <c r="S8569" s="24" t="str" cm="1">
        <f t="array" ref="S8569">IFERROR(IF($B8569=S$1, ($A8569+$C8569) - MAX(IF($B$2:$B8568=$B8569, $A$2:$A8568+$C$2:$C8568)), "")*24*60, "")</f>
        <v/>
      </c>
    </row>
    <row r="8570" spans="1:19" x14ac:dyDescent="0.2">
      <c r="A8570" s="12">
        <f t="shared" ref="A8570:C8570" si="1672">A8569</f>
        <v>46029</v>
      </c>
      <c r="B8570" s="5" t="str">
        <f t="shared" si="1672"/>
        <v>Northern Cardinal</v>
      </c>
      <c r="C8570" s="6">
        <f t="shared" si="1672"/>
        <v>0.75</v>
      </c>
      <c r="D8570" s="5"/>
      <c r="E8570" s="5"/>
      <c r="F8570" s="5" t="s">
        <v>9</v>
      </c>
      <c r="G8570" s="15" t="s">
        <v>8</v>
      </c>
      <c r="H8570" s="24">
        <f t="shared" si="1651"/>
        <v>0</v>
      </c>
      <c r="I8570" s="24" cm="1">
        <f t="array" ref="I8570">IFERROR(IF($B8570=I$1, ($A8570+$C8570) - MAX(IF($B$2:$B8569=$B8570, $A$2:$A8569+$C$2:$C8569)), "")*24*60, "")</f>
        <v>0</v>
      </c>
      <c r="J8570" s="24" t="str" cm="1">
        <f t="array" ref="J8570">IFERROR(IF($B8570=J$1, ($A8570+$C8570) - MAX(IF($B$2:$B8569=$B8570, $A$2:$A8569+$C$2:$C8569)), "")*24*60, "")</f>
        <v/>
      </c>
      <c r="K8570" s="24" t="str" cm="1">
        <f t="array" ref="K8570">IFERROR(IF($B8570=K$1, ($A8570+$C8570) - MAX(IF($B$2:$B8569=$B8570, $A$2:$A8569+$C$2:$C8569)), "")*24*60, "")</f>
        <v/>
      </c>
      <c r="L8570" s="24" t="str" cm="1">
        <f t="array" ref="L8570">IFERROR(IF($B8570=L$1, ($A8570+$C8570) - MAX(IF($B$2:$B8569=$B8570, $A$2:$A8569+$C$2:$C8569)), "")*24*60, "")</f>
        <v/>
      </c>
      <c r="M8570" s="24" t="str" cm="1">
        <f t="array" ref="M8570">IFERROR(IF($B8570=M$1, ($A8570+$C8570) - MAX(IF($B$2:$B8569=$B8570, $A$2:$A8569+$C$2:$C8569)), "")*24*60, "")</f>
        <v/>
      </c>
      <c r="N8570" s="24" t="str" cm="1">
        <f t="array" ref="N8570">IFERROR(IF($B8570=N$1, ($A8570+$C8570) - MAX(IF($B$2:$B8569=$B8570, $A$2:$A8569+$C$2:$C8569)), "")*24*60, "")</f>
        <v/>
      </c>
      <c r="O8570" s="24" t="str" cm="1">
        <f t="array" ref="O8570">IFERROR(IF($B8570=O$1, ($A8570+$C8570) - MAX(IF($B$2:$B8569=$B8570, $A$2:$A8569+$C$2:$C8569)), "")*24*60, "")</f>
        <v/>
      </c>
      <c r="P8570" s="24" t="str" cm="1">
        <f t="array" ref="P8570">IFERROR(IF($B8570=P$1, ($A8570+$C8570) - MAX(IF($B$2:$B8569=$B8570, $A$2:$A8569+$C$2:$C8569)), "")*24*60, "")</f>
        <v/>
      </c>
      <c r="Q8570" s="24" t="str" cm="1">
        <f t="array" ref="Q8570">IFERROR(IF($B8570=Q$1, ($A8570+$C8570) - MAX(IF($B$2:$B8569=$B8570, $A$2:$A8569+$C$2:$C8569)), "")*24*60, "")</f>
        <v/>
      </c>
      <c r="R8570" s="24" t="str" cm="1">
        <f t="array" ref="R8570">IFERROR(IF($B8570=R$1, ($A8570+$C8570) - MAX(IF($B$2:$B8569=$B8570, $A$2:$A8569+$C$2:$C8569)), "")*24*60, "")</f>
        <v/>
      </c>
      <c r="S8570" s="24" t="str" cm="1">
        <f t="array" ref="S8570">IFERROR(IF($B8570=S$1, ($A8570+$C8570) - MAX(IF($B$2:$B8569=$B8570, $A$2:$A8569+$C$2:$C8569)), "")*24*60, "")</f>
        <v/>
      </c>
    </row>
    <row r="8571" spans="1:19" x14ac:dyDescent="0.2">
      <c r="A8571" s="12">
        <f t="shared" ref="A8571:C8571" si="1673">A8570</f>
        <v>46029</v>
      </c>
      <c r="B8571" s="5" t="str">
        <f t="shared" si="1673"/>
        <v>Northern Cardinal</v>
      </c>
      <c r="C8571" s="6">
        <f t="shared" si="1673"/>
        <v>0.75</v>
      </c>
      <c r="D8571" s="5"/>
      <c r="E8571" s="5"/>
      <c r="F8571" s="5" t="s">
        <v>9</v>
      </c>
      <c r="G8571" s="15" t="s">
        <v>8</v>
      </c>
      <c r="H8571" s="24">
        <f t="shared" si="1651"/>
        <v>0</v>
      </c>
      <c r="I8571" s="24" cm="1">
        <f t="array" ref="I8571">IFERROR(IF($B8571=I$1, ($A8571+$C8571) - MAX(IF($B$2:$B8570=$B8571, $A$2:$A8570+$C$2:$C8570)), "")*24*60, "")</f>
        <v>0</v>
      </c>
      <c r="J8571" s="24" t="str" cm="1">
        <f t="array" ref="J8571">IFERROR(IF($B8571=J$1, ($A8571+$C8571) - MAX(IF($B$2:$B8570=$B8571, $A$2:$A8570+$C$2:$C8570)), "")*24*60, "")</f>
        <v/>
      </c>
      <c r="K8571" s="24" t="str" cm="1">
        <f t="array" ref="K8571">IFERROR(IF($B8571=K$1, ($A8571+$C8571) - MAX(IF($B$2:$B8570=$B8571, $A$2:$A8570+$C$2:$C8570)), "")*24*60, "")</f>
        <v/>
      </c>
      <c r="L8571" s="24" t="str" cm="1">
        <f t="array" ref="L8571">IFERROR(IF($B8571=L$1, ($A8571+$C8571) - MAX(IF($B$2:$B8570=$B8571, $A$2:$A8570+$C$2:$C8570)), "")*24*60, "")</f>
        <v/>
      </c>
      <c r="M8571" s="24" t="str" cm="1">
        <f t="array" ref="M8571">IFERROR(IF($B8571=M$1, ($A8571+$C8571) - MAX(IF($B$2:$B8570=$B8571, $A$2:$A8570+$C$2:$C8570)), "")*24*60, "")</f>
        <v/>
      </c>
      <c r="N8571" s="24" t="str" cm="1">
        <f t="array" ref="N8571">IFERROR(IF($B8571=N$1, ($A8571+$C8571) - MAX(IF($B$2:$B8570=$B8571, $A$2:$A8570+$C$2:$C8570)), "")*24*60, "")</f>
        <v/>
      </c>
      <c r="O8571" s="24" t="str" cm="1">
        <f t="array" ref="O8571">IFERROR(IF($B8571=O$1, ($A8571+$C8571) - MAX(IF($B$2:$B8570=$B8571, $A$2:$A8570+$C$2:$C8570)), "")*24*60, "")</f>
        <v/>
      </c>
      <c r="P8571" s="24" t="str" cm="1">
        <f t="array" ref="P8571">IFERROR(IF($B8571=P$1, ($A8571+$C8571) - MAX(IF($B$2:$B8570=$B8571, $A$2:$A8570+$C$2:$C8570)), "")*24*60, "")</f>
        <v/>
      </c>
      <c r="Q8571" s="24" t="str" cm="1">
        <f t="array" ref="Q8571">IFERROR(IF($B8571=Q$1, ($A8571+$C8571) - MAX(IF($B$2:$B8570=$B8571, $A$2:$A8570+$C$2:$C8570)), "")*24*60, "")</f>
        <v/>
      </c>
      <c r="R8571" s="24" t="str" cm="1">
        <f t="array" ref="R8571">IFERROR(IF($B8571=R$1, ($A8571+$C8571) - MAX(IF($B$2:$B8570=$B8571, $A$2:$A8570+$C$2:$C8570)), "")*24*60, "")</f>
        <v/>
      </c>
      <c r="S8571" s="24" t="str" cm="1">
        <f t="array" ref="S8571">IFERROR(IF($B8571=S$1, ($A8571+$C8571) - MAX(IF($B$2:$B8570=$B8571, $A$2:$A8570+$C$2:$C8570)), "")*24*60, "")</f>
        <v/>
      </c>
    </row>
    <row r="8572" spans="1:19" x14ac:dyDescent="0.2">
      <c r="A8572" s="12">
        <f t="shared" ref="A8572:C8572" si="1674">A8571</f>
        <v>46029</v>
      </c>
      <c r="B8572" s="5" t="str">
        <f t="shared" si="1674"/>
        <v>Northern Cardinal</v>
      </c>
      <c r="C8572" s="6">
        <f t="shared" si="1674"/>
        <v>0.75</v>
      </c>
      <c r="D8572" s="5"/>
      <c r="E8572" s="5"/>
      <c r="F8572" s="5" t="s">
        <v>9</v>
      </c>
      <c r="G8572" s="15" t="s">
        <v>8</v>
      </c>
      <c r="H8572" s="24">
        <f t="shared" si="1651"/>
        <v>0</v>
      </c>
      <c r="I8572" s="24" cm="1">
        <f t="array" ref="I8572">IFERROR(IF($B8572=I$1, ($A8572+$C8572) - MAX(IF($B$2:$B8571=$B8572, $A$2:$A8571+$C$2:$C8571)), "")*24*60, "")</f>
        <v>0</v>
      </c>
      <c r="J8572" s="24" t="str" cm="1">
        <f t="array" ref="J8572">IFERROR(IF($B8572=J$1, ($A8572+$C8572) - MAX(IF($B$2:$B8571=$B8572, $A$2:$A8571+$C$2:$C8571)), "")*24*60, "")</f>
        <v/>
      </c>
      <c r="K8572" s="24" t="str" cm="1">
        <f t="array" ref="K8572">IFERROR(IF($B8572=K$1, ($A8572+$C8572) - MAX(IF($B$2:$B8571=$B8572, $A$2:$A8571+$C$2:$C8571)), "")*24*60, "")</f>
        <v/>
      </c>
      <c r="L8572" s="24" t="str" cm="1">
        <f t="array" ref="L8572">IFERROR(IF($B8572=L$1, ($A8572+$C8572) - MAX(IF($B$2:$B8571=$B8572, $A$2:$A8571+$C$2:$C8571)), "")*24*60, "")</f>
        <v/>
      </c>
      <c r="M8572" s="24" t="str" cm="1">
        <f t="array" ref="M8572">IFERROR(IF($B8572=M$1, ($A8572+$C8572) - MAX(IF($B$2:$B8571=$B8572, $A$2:$A8571+$C$2:$C8571)), "")*24*60, "")</f>
        <v/>
      </c>
      <c r="N8572" s="24" t="str" cm="1">
        <f t="array" ref="N8572">IFERROR(IF($B8572=N$1, ($A8572+$C8572) - MAX(IF($B$2:$B8571=$B8572, $A$2:$A8571+$C$2:$C8571)), "")*24*60, "")</f>
        <v/>
      </c>
      <c r="O8572" s="24" t="str" cm="1">
        <f t="array" ref="O8572">IFERROR(IF($B8572=O$1, ($A8572+$C8572) - MAX(IF($B$2:$B8571=$B8572, $A$2:$A8571+$C$2:$C8571)), "")*24*60, "")</f>
        <v/>
      </c>
      <c r="P8572" s="24" t="str" cm="1">
        <f t="array" ref="P8572">IFERROR(IF($B8572=P$1, ($A8572+$C8572) - MAX(IF($B$2:$B8571=$B8572, $A$2:$A8571+$C$2:$C8571)), "")*24*60, "")</f>
        <v/>
      </c>
      <c r="Q8572" s="24" t="str" cm="1">
        <f t="array" ref="Q8572">IFERROR(IF($B8572=Q$1, ($A8572+$C8572) - MAX(IF($B$2:$B8571=$B8572, $A$2:$A8571+$C$2:$C8571)), "")*24*60, "")</f>
        <v/>
      </c>
      <c r="R8572" s="24" t="str" cm="1">
        <f t="array" ref="R8572">IFERROR(IF($B8572=R$1, ($A8572+$C8572) - MAX(IF($B$2:$B8571=$B8572, $A$2:$A8571+$C$2:$C8571)), "")*24*60, "")</f>
        <v/>
      </c>
      <c r="S8572" s="24" t="str" cm="1">
        <f t="array" ref="S8572">IFERROR(IF($B8572=S$1, ($A8572+$C8572) - MAX(IF($B$2:$B8571=$B8572, $A$2:$A8571+$C$2:$C8571)), "")*24*60, "")</f>
        <v/>
      </c>
    </row>
    <row r="8573" spans="1:19" x14ac:dyDescent="0.2">
      <c r="A8573" s="12">
        <f t="shared" ref="A8573:C8573" si="1675">A8572</f>
        <v>46029</v>
      </c>
      <c r="B8573" s="5" t="str">
        <f t="shared" si="1675"/>
        <v>Northern Cardinal</v>
      </c>
      <c r="C8573" s="6">
        <f t="shared" si="1675"/>
        <v>0.75</v>
      </c>
      <c r="D8573" s="5"/>
      <c r="E8573" s="5"/>
      <c r="F8573" s="5" t="s">
        <v>9</v>
      </c>
      <c r="G8573" s="15" t="s">
        <v>8</v>
      </c>
      <c r="H8573" s="24">
        <f t="shared" si="1651"/>
        <v>0</v>
      </c>
      <c r="I8573" s="24" cm="1">
        <f t="array" ref="I8573">IFERROR(IF($B8573=I$1, ($A8573+$C8573) - MAX(IF($B$2:$B8572=$B8573, $A$2:$A8572+$C$2:$C8572)), "")*24*60, "")</f>
        <v>0</v>
      </c>
      <c r="J8573" s="24" t="str" cm="1">
        <f t="array" ref="J8573">IFERROR(IF($B8573=J$1, ($A8573+$C8573) - MAX(IF($B$2:$B8572=$B8573, $A$2:$A8572+$C$2:$C8572)), "")*24*60, "")</f>
        <v/>
      </c>
      <c r="K8573" s="24" t="str" cm="1">
        <f t="array" ref="K8573">IFERROR(IF($B8573=K$1, ($A8573+$C8573) - MAX(IF($B$2:$B8572=$B8573, $A$2:$A8572+$C$2:$C8572)), "")*24*60, "")</f>
        <v/>
      </c>
      <c r="L8573" s="24" t="str" cm="1">
        <f t="array" ref="L8573">IFERROR(IF($B8573=L$1, ($A8573+$C8573) - MAX(IF($B$2:$B8572=$B8573, $A$2:$A8572+$C$2:$C8572)), "")*24*60, "")</f>
        <v/>
      </c>
      <c r="M8573" s="24" t="str" cm="1">
        <f t="array" ref="M8573">IFERROR(IF($B8573=M$1, ($A8573+$C8573) - MAX(IF($B$2:$B8572=$B8573, $A$2:$A8572+$C$2:$C8572)), "")*24*60, "")</f>
        <v/>
      </c>
      <c r="N8573" s="24" t="str" cm="1">
        <f t="array" ref="N8573">IFERROR(IF($B8573=N$1, ($A8573+$C8573) - MAX(IF($B$2:$B8572=$B8573, $A$2:$A8572+$C$2:$C8572)), "")*24*60, "")</f>
        <v/>
      </c>
      <c r="O8573" s="24" t="str" cm="1">
        <f t="array" ref="O8573">IFERROR(IF($B8573=O$1, ($A8573+$C8573) - MAX(IF($B$2:$B8572=$B8573, $A$2:$A8572+$C$2:$C8572)), "")*24*60, "")</f>
        <v/>
      </c>
      <c r="P8573" s="24" t="str" cm="1">
        <f t="array" ref="P8573">IFERROR(IF($B8573=P$1, ($A8573+$C8573) - MAX(IF($B$2:$B8572=$B8573, $A$2:$A8572+$C$2:$C8572)), "")*24*60, "")</f>
        <v/>
      </c>
      <c r="Q8573" s="24" t="str" cm="1">
        <f t="array" ref="Q8573">IFERROR(IF($B8573=Q$1, ($A8573+$C8573) - MAX(IF($B$2:$B8572=$B8573, $A$2:$A8572+$C$2:$C8572)), "")*24*60, "")</f>
        <v/>
      </c>
      <c r="R8573" s="24" t="str" cm="1">
        <f t="array" ref="R8573">IFERROR(IF($B8573=R$1, ($A8573+$C8573) - MAX(IF($B$2:$B8572=$B8573, $A$2:$A8572+$C$2:$C8572)), "")*24*60, "")</f>
        <v/>
      </c>
      <c r="S8573" s="24" t="str" cm="1">
        <f t="array" ref="S8573">IFERROR(IF($B8573=S$1, ($A8573+$C8573) - MAX(IF($B$2:$B8572=$B8573, $A$2:$A8572+$C$2:$C8572)), "")*24*60, "")</f>
        <v/>
      </c>
    </row>
    <row r="8574" spans="1:19" x14ac:dyDescent="0.2">
      <c r="A8574" s="12">
        <f t="shared" ref="A8574:C8574" si="1676">A8573</f>
        <v>46029</v>
      </c>
      <c r="B8574" s="5" t="str">
        <f t="shared" si="1676"/>
        <v>Northern Cardinal</v>
      </c>
      <c r="C8574" s="6">
        <f t="shared" si="1676"/>
        <v>0.75</v>
      </c>
      <c r="D8574" s="5"/>
      <c r="E8574" s="5"/>
      <c r="F8574" s="5" t="s">
        <v>9</v>
      </c>
      <c r="G8574" s="15" t="s">
        <v>8</v>
      </c>
      <c r="H8574" s="24">
        <f t="shared" si="1651"/>
        <v>0</v>
      </c>
      <c r="I8574" s="24" cm="1">
        <f t="array" ref="I8574">IFERROR(IF($B8574=I$1, ($A8574+$C8574) - MAX(IF($B$2:$B8573=$B8574, $A$2:$A8573+$C$2:$C8573)), "")*24*60, "")</f>
        <v>0</v>
      </c>
      <c r="J8574" s="24" t="str" cm="1">
        <f t="array" ref="J8574">IFERROR(IF($B8574=J$1, ($A8574+$C8574) - MAX(IF($B$2:$B8573=$B8574, $A$2:$A8573+$C$2:$C8573)), "")*24*60, "")</f>
        <v/>
      </c>
      <c r="K8574" s="24" t="str" cm="1">
        <f t="array" ref="K8574">IFERROR(IF($B8574=K$1, ($A8574+$C8574) - MAX(IF($B$2:$B8573=$B8574, $A$2:$A8573+$C$2:$C8573)), "")*24*60, "")</f>
        <v/>
      </c>
      <c r="L8574" s="24" t="str" cm="1">
        <f t="array" ref="L8574">IFERROR(IF($B8574=L$1, ($A8574+$C8574) - MAX(IF($B$2:$B8573=$B8574, $A$2:$A8573+$C$2:$C8573)), "")*24*60, "")</f>
        <v/>
      </c>
      <c r="M8574" s="24" t="str" cm="1">
        <f t="array" ref="M8574">IFERROR(IF($B8574=M$1, ($A8574+$C8574) - MAX(IF($B$2:$B8573=$B8574, $A$2:$A8573+$C$2:$C8573)), "")*24*60, "")</f>
        <v/>
      </c>
      <c r="N8574" s="24" t="str" cm="1">
        <f t="array" ref="N8574">IFERROR(IF($B8574=N$1, ($A8574+$C8574) - MAX(IF($B$2:$B8573=$B8574, $A$2:$A8573+$C$2:$C8573)), "")*24*60, "")</f>
        <v/>
      </c>
      <c r="O8574" s="24" t="str" cm="1">
        <f t="array" ref="O8574">IFERROR(IF($B8574=O$1, ($A8574+$C8574) - MAX(IF($B$2:$B8573=$B8574, $A$2:$A8573+$C$2:$C8573)), "")*24*60, "")</f>
        <v/>
      </c>
      <c r="P8574" s="24" t="str" cm="1">
        <f t="array" ref="P8574">IFERROR(IF($B8574=P$1, ($A8574+$C8574) - MAX(IF($B$2:$B8573=$B8574, $A$2:$A8573+$C$2:$C8573)), "")*24*60, "")</f>
        <v/>
      </c>
      <c r="Q8574" s="24" t="str" cm="1">
        <f t="array" ref="Q8574">IFERROR(IF($B8574=Q$1, ($A8574+$C8574) - MAX(IF($B$2:$B8573=$B8574, $A$2:$A8573+$C$2:$C8573)), "")*24*60, "")</f>
        <v/>
      </c>
      <c r="R8574" s="24" t="str" cm="1">
        <f t="array" ref="R8574">IFERROR(IF($B8574=R$1, ($A8574+$C8574) - MAX(IF($B$2:$B8573=$B8574, $A$2:$A8573+$C$2:$C8573)), "")*24*60, "")</f>
        <v/>
      </c>
      <c r="S8574" s="24" t="str" cm="1">
        <f t="array" ref="S8574">IFERROR(IF($B8574=S$1, ($A8574+$C8574) - MAX(IF($B$2:$B8573=$B8574, $A$2:$A8573+$C$2:$C8573)), "")*24*60, "")</f>
        <v/>
      </c>
    </row>
    <row r="8575" spans="1:19" x14ac:dyDescent="0.2">
      <c r="A8575" s="12">
        <f t="shared" ref="A8575:C8575" si="1677">A8574</f>
        <v>46029</v>
      </c>
      <c r="B8575" s="5" t="str">
        <f t="shared" si="1677"/>
        <v>Northern Cardinal</v>
      </c>
      <c r="C8575" s="6">
        <f t="shared" si="1677"/>
        <v>0.75</v>
      </c>
      <c r="D8575" s="5"/>
      <c r="E8575" s="5"/>
      <c r="F8575" s="5" t="s">
        <v>9</v>
      </c>
      <c r="G8575" s="15" t="s">
        <v>8</v>
      </c>
      <c r="H8575" s="24">
        <f t="shared" si="1651"/>
        <v>0</v>
      </c>
      <c r="I8575" s="24" cm="1">
        <f t="array" ref="I8575">IFERROR(IF($B8575=I$1, ($A8575+$C8575) - MAX(IF($B$2:$B8574=$B8575, $A$2:$A8574+$C$2:$C8574)), "")*24*60, "")</f>
        <v>0</v>
      </c>
      <c r="J8575" s="24" t="str" cm="1">
        <f t="array" ref="J8575">IFERROR(IF($B8575=J$1, ($A8575+$C8575) - MAX(IF($B$2:$B8574=$B8575, $A$2:$A8574+$C$2:$C8574)), "")*24*60, "")</f>
        <v/>
      </c>
      <c r="K8575" s="24" t="str" cm="1">
        <f t="array" ref="K8575">IFERROR(IF($B8575=K$1, ($A8575+$C8575) - MAX(IF($B$2:$B8574=$B8575, $A$2:$A8574+$C$2:$C8574)), "")*24*60, "")</f>
        <v/>
      </c>
      <c r="L8575" s="24" t="str" cm="1">
        <f t="array" ref="L8575">IFERROR(IF($B8575=L$1, ($A8575+$C8575) - MAX(IF($B$2:$B8574=$B8575, $A$2:$A8574+$C$2:$C8574)), "")*24*60, "")</f>
        <v/>
      </c>
      <c r="M8575" s="24" t="str" cm="1">
        <f t="array" ref="M8575">IFERROR(IF($B8575=M$1, ($A8575+$C8575) - MAX(IF($B$2:$B8574=$B8575, $A$2:$A8574+$C$2:$C8574)), "")*24*60, "")</f>
        <v/>
      </c>
      <c r="N8575" s="24" t="str" cm="1">
        <f t="array" ref="N8575">IFERROR(IF($B8575=N$1, ($A8575+$C8575) - MAX(IF($B$2:$B8574=$B8575, $A$2:$A8574+$C$2:$C8574)), "")*24*60, "")</f>
        <v/>
      </c>
      <c r="O8575" s="24" t="str" cm="1">
        <f t="array" ref="O8575">IFERROR(IF($B8575=O$1, ($A8575+$C8575) - MAX(IF($B$2:$B8574=$B8575, $A$2:$A8574+$C$2:$C8574)), "")*24*60, "")</f>
        <v/>
      </c>
      <c r="P8575" s="24" t="str" cm="1">
        <f t="array" ref="P8575">IFERROR(IF($B8575=P$1, ($A8575+$C8575) - MAX(IF($B$2:$B8574=$B8575, $A$2:$A8574+$C$2:$C8574)), "")*24*60, "")</f>
        <v/>
      </c>
      <c r="Q8575" s="24" t="str" cm="1">
        <f t="array" ref="Q8575">IFERROR(IF($B8575=Q$1, ($A8575+$C8575) - MAX(IF($B$2:$B8574=$B8575, $A$2:$A8574+$C$2:$C8574)), "")*24*60, "")</f>
        <v/>
      </c>
      <c r="R8575" s="24" t="str" cm="1">
        <f t="array" ref="R8575">IFERROR(IF($B8575=R$1, ($A8575+$C8575) - MAX(IF($B$2:$B8574=$B8575, $A$2:$A8574+$C$2:$C8574)), "")*24*60, "")</f>
        <v/>
      </c>
      <c r="S8575" s="24" t="str" cm="1">
        <f t="array" ref="S8575">IFERROR(IF($B8575=S$1, ($A8575+$C8575) - MAX(IF($B$2:$B8574=$B8575, $A$2:$A8574+$C$2:$C8574)), "")*24*60, "")</f>
        <v/>
      </c>
    </row>
    <row r="8576" spans="1:19" x14ac:dyDescent="0.2">
      <c r="A8576" s="12">
        <f t="shared" ref="A8576:C8576" si="1678">A8575</f>
        <v>46029</v>
      </c>
      <c r="B8576" s="5" t="str">
        <f t="shared" si="1678"/>
        <v>Northern Cardinal</v>
      </c>
      <c r="C8576" s="6">
        <f t="shared" si="1678"/>
        <v>0.75</v>
      </c>
      <c r="D8576" s="5"/>
      <c r="E8576" s="5"/>
      <c r="F8576" s="5" t="s">
        <v>9</v>
      </c>
      <c r="G8576" s="15" t="s">
        <v>8</v>
      </c>
      <c r="H8576" s="24">
        <f t="shared" si="1651"/>
        <v>0</v>
      </c>
      <c r="I8576" s="24" cm="1">
        <f t="array" ref="I8576">IFERROR(IF($B8576=I$1, ($A8576+$C8576) - MAX(IF($B$2:$B8575=$B8576, $A$2:$A8575+$C$2:$C8575)), "")*24*60, "")</f>
        <v>0</v>
      </c>
      <c r="J8576" s="24" t="str" cm="1">
        <f t="array" ref="J8576">IFERROR(IF($B8576=J$1, ($A8576+$C8576) - MAX(IF($B$2:$B8575=$B8576, $A$2:$A8575+$C$2:$C8575)), "")*24*60, "")</f>
        <v/>
      </c>
      <c r="K8576" s="24" t="str" cm="1">
        <f t="array" ref="K8576">IFERROR(IF($B8576=K$1, ($A8576+$C8576) - MAX(IF($B$2:$B8575=$B8576, $A$2:$A8575+$C$2:$C8575)), "")*24*60, "")</f>
        <v/>
      </c>
      <c r="L8576" s="24" t="str" cm="1">
        <f t="array" ref="L8576">IFERROR(IF($B8576=L$1, ($A8576+$C8576) - MAX(IF($B$2:$B8575=$B8576, $A$2:$A8575+$C$2:$C8575)), "")*24*60, "")</f>
        <v/>
      </c>
      <c r="M8576" s="24" t="str" cm="1">
        <f t="array" ref="M8576">IFERROR(IF($B8576=M$1, ($A8576+$C8576) - MAX(IF($B$2:$B8575=$B8576, $A$2:$A8575+$C$2:$C8575)), "")*24*60, "")</f>
        <v/>
      </c>
      <c r="N8576" s="24" t="str" cm="1">
        <f t="array" ref="N8576">IFERROR(IF($B8576=N$1, ($A8576+$C8576) - MAX(IF($B$2:$B8575=$B8576, $A$2:$A8575+$C$2:$C8575)), "")*24*60, "")</f>
        <v/>
      </c>
      <c r="O8576" s="24" t="str" cm="1">
        <f t="array" ref="O8576">IFERROR(IF($B8576=O$1, ($A8576+$C8576) - MAX(IF($B$2:$B8575=$B8576, $A$2:$A8575+$C$2:$C8575)), "")*24*60, "")</f>
        <v/>
      </c>
      <c r="P8576" s="24" t="str" cm="1">
        <f t="array" ref="P8576">IFERROR(IF($B8576=P$1, ($A8576+$C8576) - MAX(IF($B$2:$B8575=$B8576, $A$2:$A8575+$C$2:$C8575)), "")*24*60, "")</f>
        <v/>
      </c>
      <c r="Q8576" s="24" t="str" cm="1">
        <f t="array" ref="Q8576">IFERROR(IF($B8576=Q$1, ($A8576+$C8576) - MAX(IF($B$2:$B8575=$B8576, $A$2:$A8575+$C$2:$C8575)), "")*24*60, "")</f>
        <v/>
      </c>
      <c r="R8576" s="24" t="str" cm="1">
        <f t="array" ref="R8576">IFERROR(IF($B8576=R$1, ($A8576+$C8576) - MAX(IF($B$2:$B8575=$B8576, $A$2:$A8575+$C$2:$C8575)), "")*24*60, "")</f>
        <v/>
      </c>
      <c r="S8576" s="24" t="str" cm="1">
        <f t="array" ref="S8576">IFERROR(IF($B8576=S$1, ($A8576+$C8576) - MAX(IF($B$2:$B8575=$B8576, $A$2:$A8575+$C$2:$C8575)), "")*24*60, "")</f>
        <v/>
      </c>
    </row>
    <row r="8577" spans="1:19" x14ac:dyDescent="0.2">
      <c r="A8577" s="12">
        <f t="shared" ref="A8577:C8577" si="1679">A8576</f>
        <v>46029</v>
      </c>
      <c r="B8577" s="5" t="str">
        <f t="shared" si="1679"/>
        <v>Northern Cardinal</v>
      </c>
      <c r="C8577" s="6">
        <f t="shared" si="1679"/>
        <v>0.75</v>
      </c>
      <c r="D8577" s="5"/>
      <c r="E8577" s="5"/>
      <c r="F8577" s="5" t="s">
        <v>9</v>
      </c>
      <c r="G8577" s="15" t="s">
        <v>8</v>
      </c>
      <c r="H8577" s="24">
        <f t="shared" si="1651"/>
        <v>0</v>
      </c>
      <c r="I8577" s="24" cm="1">
        <f t="array" ref="I8577">IFERROR(IF($B8577=I$1, ($A8577+$C8577) - MAX(IF($B$2:$B8576=$B8577, $A$2:$A8576+$C$2:$C8576)), "")*24*60, "")</f>
        <v>0</v>
      </c>
      <c r="J8577" s="24" t="str" cm="1">
        <f t="array" ref="J8577">IFERROR(IF($B8577=J$1, ($A8577+$C8577) - MAX(IF($B$2:$B8576=$B8577, $A$2:$A8576+$C$2:$C8576)), "")*24*60, "")</f>
        <v/>
      </c>
      <c r="K8577" s="24" t="str" cm="1">
        <f t="array" ref="K8577">IFERROR(IF($B8577=K$1, ($A8577+$C8577) - MAX(IF($B$2:$B8576=$B8577, $A$2:$A8576+$C$2:$C8576)), "")*24*60, "")</f>
        <v/>
      </c>
      <c r="L8577" s="24" t="str" cm="1">
        <f t="array" ref="L8577">IFERROR(IF($B8577=L$1, ($A8577+$C8577) - MAX(IF($B$2:$B8576=$B8577, $A$2:$A8576+$C$2:$C8576)), "")*24*60, "")</f>
        <v/>
      </c>
      <c r="M8577" s="24" t="str" cm="1">
        <f t="array" ref="M8577">IFERROR(IF($B8577=M$1, ($A8577+$C8577) - MAX(IF($B$2:$B8576=$B8577, $A$2:$A8576+$C$2:$C8576)), "")*24*60, "")</f>
        <v/>
      </c>
      <c r="N8577" s="24" t="str" cm="1">
        <f t="array" ref="N8577">IFERROR(IF($B8577=N$1, ($A8577+$C8577) - MAX(IF($B$2:$B8576=$B8577, $A$2:$A8576+$C$2:$C8576)), "")*24*60, "")</f>
        <v/>
      </c>
      <c r="O8577" s="24" t="str" cm="1">
        <f t="array" ref="O8577">IFERROR(IF($B8577=O$1, ($A8577+$C8577) - MAX(IF($B$2:$B8576=$B8577, $A$2:$A8576+$C$2:$C8576)), "")*24*60, "")</f>
        <v/>
      </c>
      <c r="P8577" s="24" t="str" cm="1">
        <f t="array" ref="P8577">IFERROR(IF($B8577=P$1, ($A8577+$C8577) - MAX(IF($B$2:$B8576=$B8577, $A$2:$A8576+$C$2:$C8576)), "")*24*60, "")</f>
        <v/>
      </c>
      <c r="Q8577" s="24" t="str" cm="1">
        <f t="array" ref="Q8577">IFERROR(IF($B8577=Q$1, ($A8577+$C8577) - MAX(IF($B$2:$B8576=$B8577, $A$2:$A8576+$C$2:$C8576)), "")*24*60, "")</f>
        <v/>
      </c>
      <c r="R8577" s="24" t="str" cm="1">
        <f t="array" ref="R8577">IFERROR(IF($B8577=R$1, ($A8577+$C8577) - MAX(IF($B$2:$B8576=$B8577, $A$2:$A8576+$C$2:$C8576)), "")*24*60, "")</f>
        <v/>
      </c>
      <c r="S8577" s="24" t="str" cm="1">
        <f t="array" ref="S8577">IFERROR(IF($B8577=S$1, ($A8577+$C8577) - MAX(IF($B$2:$B8576=$B8577, $A$2:$A8576+$C$2:$C8576)), "")*24*60, "")</f>
        <v/>
      </c>
    </row>
    <row r="8578" spans="1:19" x14ac:dyDescent="0.2">
      <c r="A8578" s="12">
        <f t="shared" ref="A8578:C8578" si="1680">A8577</f>
        <v>46029</v>
      </c>
      <c r="B8578" s="5" t="str">
        <f t="shared" si="1680"/>
        <v>Northern Cardinal</v>
      </c>
      <c r="C8578" s="6">
        <f t="shared" si="1680"/>
        <v>0.75</v>
      </c>
      <c r="D8578" s="5"/>
      <c r="E8578" s="5"/>
      <c r="F8578" s="5" t="s">
        <v>9</v>
      </c>
      <c r="G8578" s="15" t="s">
        <v>8</v>
      </c>
      <c r="H8578" s="24">
        <f t="shared" si="1651"/>
        <v>0</v>
      </c>
      <c r="I8578" s="24" cm="1">
        <f t="array" ref="I8578">IFERROR(IF($B8578=I$1, ($A8578+$C8578) - MAX(IF($B$2:$B8577=$B8578, $A$2:$A8577+$C$2:$C8577)), "")*24*60, "")</f>
        <v>0</v>
      </c>
      <c r="J8578" s="24" t="str" cm="1">
        <f t="array" ref="J8578">IFERROR(IF($B8578=J$1, ($A8578+$C8578) - MAX(IF($B$2:$B8577=$B8578, $A$2:$A8577+$C$2:$C8577)), "")*24*60, "")</f>
        <v/>
      </c>
      <c r="K8578" s="24" t="str" cm="1">
        <f t="array" ref="K8578">IFERROR(IF($B8578=K$1, ($A8578+$C8578) - MAX(IF($B$2:$B8577=$B8578, $A$2:$A8577+$C$2:$C8577)), "")*24*60, "")</f>
        <v/>
      </c>
      <c r="L8578" s="24" t="str" cm="1">
        <f t="array" ref="L8578">IFERROR(IF($B8578=L$1, ($A8578+$C8578) - MAX(IF($B$2:$B8577=$B8578, $A$2:$A8577+$C$2:$C8577)), "")*24*60, "")</f>
        <v/>
      </c>
      <c r="M8578" s="24" t="str" cm="1">
        <f t="array" ref="M8578">IFERROR(IF($B8578=M$1, ($A8578+$C8578) - MAX(IF($B$2:$B8577=$B8578, $A$2:$A8577+$C$2:$C8577)), "")*24*60, "")</f>
        <v/>
      </c>
      <c r="N8578" s="24" t="str" cm="1">
        <f t="array" ref="N8578">IFERROR(IF($B8578=N$1, ($A8578+$C8578) - MAX(IF($B$2:$B8577=$B8578, $A$2:$A8577+$C$2:$C8577)), "")*24*60, "")</f>
        <v/>
      </c>
      <c r="O8578" s="24" t="str" cm="1">
        <f t="array" ref="O8578">IFERROR(IF($B8578=O$1, ($A8578+$C8578) - MAX(IF($B$2:$B8577=$B8578, $A$2:$A8577+$C$2:$C8577)), "")*24*60, "")</f>
        <v/>
      </c>
      <c r="P8578" s="24" t="str" cm="1">
        <f t="array" ref="P8578">IFERROR(IF($B8578=P$1, ($A8578+$C8578) - MAX(IF($B$2:$B8577=$B8578, $A$2:$A8577+$C$2:$C8577)), "")*24*60, "")</f>
        <v/>
      </c>
      <c r="Q8578" s="24" t="str" cm="1">
        <f t="array" ref="Q8578">IFERROR(IF($B8578=Q$1, ($A8578+$C8578) - MAX(IF($B$2:$B8577=$B8578, $A$2:$A8577+$C$2:$C8577)), "")*24*60, "")</f>
        <v/>
      </c>
      <c r="R8578" s="24" t="str" cm="1">
        <f t="array" ref="R8578">IFERROR(IF($B8578=R$1, ($A8578+$C8578) - MAX(IF($B$2:$B8577=$B8578, $A$2:$A8577+$C$2:$C8577)), "")*24*60, "")</f>
        <v/>
      </c>
      <c r="S8578" s="24" t="str" cm="1">
        <f t="array" ref="S8578">IFERROR(IF($B8578=S$1, ($A8578+$C8578) - MAX(IF($B$2:$B8577=$B8578, $A$2:$A8577+$C$2:$C8577)), "")*24*60, "")</f>
        <v/>
      </c>
    </row>
    <row r="8579" spans="1:19" x14ac:dyDescent="0.2">
      <c r="A8579" s="12">
        <f t="shared" ref="A8579:C8579" si="1681">A8578</f>
        <v>46029</v>
      </c>
      <c r="B8579" s="5" t="str">
        <f t="shared" si="1681"/>
        <v>Northern Cardinal</v>
      </c>
      <c r="C8579" s="6">
        <f t="shared" si="1681"/>
        <v>0.75</v>
      </c>
      <c r="D8579" s="5"/>
      <c r="E8579" s="5"/>
      <c r="F8579" s="5" t="s">
        <v>9</v>
      </c>
      <c r="G8579" s="15" t="s">
        <v>8</v>
      </c>
      <c r="H8579" s="24">
        <f t="shared" si="1651"/>
        <v>0</v>
      </c>
      <c r="I8579" s="24" cm="1">
        <f t="array" ref="I8579">IFERROR(IF($B8579=I$1, ($A8579+$C8579) - MAX(IF($B$2:$B8578=$B8579, $A$2:$A8578+$C$2:$C8578)), "")*24*60, "")</f>
        <v>0</v>
      </c>
      <c r="J8579" s="24" t="str" cm="1">
        <f t="array" ref="J8579">IFERROR(IF($B8579=J$1, ($A8579+$C8579) - MAX(IF($B$2:$B8578=$B8579, $A$2:$A8578+$C$2:$C8578)), "")*24*60, "")</f>
        <v/>
      </c>
      <c r="K8579" s="24" t="str" cm="1">
        <f t="array" ref="K8579">IFERROR(IF($B8579=K$1, ($A8579+$C8579) - MAX(IF($B$2:$B8578=$B8579, $A$2:$A8578+$C$2:$C8578)), "")*24*60, "")</f>
        <v/>
      </c>
      <c r="L8579" s="24" t="str" cm="1">
        <f t="array" ref="L8579">IFERROR(IF($B8579=L$1, ($A8579+$C8579) - MAX(IF($B$2:$B8578=$B8579, $A$2:$A8578+$C$2:$C8578)), "")*24*60, "")</f>
        <v/>
      </c>
      <c r="M8579" s="24" t="str" cm="1">
        <f t="array" ref="M8579">IFERROR(IF($B8579=M$1, ($A8579+$C8579) - MAX(IF($B$2:$B8578=$B8579, $A$2:$A8578+$C$2:$C8578)), "")*24*60, "")</f>
        <v/>
      </c>
      <c r="N8579" s="24" t="str" cm="1">
        <f t="array" ref="N8579">IFERROR(IF($B8579=N$1, ($A8579+$C8579) - MAX(IF($B$2:$B8578=$B8579, $A$2:$A8578+$C$2:$C8578)), "")*24*60, "")</f>
        <v/>
      </c>
      <c r="O8579" s="24" t="str" cm="1">
        <f t="array" ref="O8579">IFERROR(IF($B8579=O$1, ($A8579+$C8579) - MAX(IF($B$2:$B8578=$B8579, $A$2:$A8578+$C$2:$C8578)), "")*24*60, "")</f>
        <v/>
      </c>
      <c r="P8579" s="24" t="str" cm="1">
        <f t="array" ref="P8579">IFERROR(IF($B8579=P$1, ($A8579+$C8579) - MAX(IF($B$2:$B8578=$B8579, $A$2:$A8578+$C$2:$C8578)), "")*24*60, "")</f>
        <v/>
      </c>
      <c r="Q8579" s="24" t="str" cm="1">
        <f t="array" ref="Q8579">IFERROR(IF($B8579=Q$1, ($A8579+$C8579) - MAX(IF($B$2:$B8578=$B8579, $A$2:$A8578+$C$2:$C8578)), "")*24*60, "")</f>
        <v/>
      </c>
      <c r="R8579" s="24" t="str" cm="1">
        <f t="array" ref="R8579">IFERROR(IF($B8579=R$1, ($A8579+$C8579) - MAX(IF($B$2:$B8578=$B8579, $A$2:$A8578+$C$2:$C8578)), "")*24*60, "")</f>
        <v/>
      </c>
      <c r="S8579" s="24" t="str" cm="1">
        <f t="array" ref="S8579">IFERROR(IF($B8579=S$1, ($A8579+$C8579) - MAX(IF($B$2:$B8578=$B8579, $A$2:$A8578+$C$2:$C8578)), "")*24*60, "")</f>
        <v/>
      </c>
    </row>
    <row r="8580" spans="1:19" x14ac:dyDescent="0.2">
      <c r="A8580" s="12">
        <f t="shared" ref="A8580:C8580" si="1682">A8579</f>
        <v>46029</v>
      </c>
      <c r="B8580" s="5" t="str">
        <f t="shared" si="1682"/>
        <v>Northern Cardinal</v>
      </c>
      <c r="C8580" s="6">
        <f t="shared" si="1682"/>
        <v>0.75</v>
      </c>
      <c r="D8580" s="5"/>
      <c r="E8580" s="5"/>
      <c r="F8580" s="5" t="s">
        <v>9</v>
      </c>
      <c r="G8580" s="15" t="s">
        <v>8</v>
      </c>
      <c r="H8580" s="24">
        <f t="shared" si="1651"/>
        <v>0</v>
      </c>
      <c r="I8580" s="24" cm="1">
        <f t="array" ref="I8580">IFERROR(IF($B8580=I$1, ($A8580+$C8580) - MAX(IF($B$2:$B8579=$B8580, $A$2:$A8579+$C$2:$C8579)), "")*24*60, "")</f>
        <v>0</v>
      </c>
      <c r="J8580" s="24" t="str" cm="1">
        <f t="array" ref="J8580">IFERROR(IF($B8580=J$1, ($A8580+$C8580) - MAX(IF($B$2:$B8579=$B8580, $A$2:$A8579+$C$2:$C8579)), "")*24*60, "")</f>
        <v/>
      </c>
      <c r="K8580" s="24" t="str" cm="1">
        <f t="array" ref="K8580">IFERROR(IF($B8580=K$1, ($A8580+$C8580) - MAX(IF($B$2:$B8579=$B8580, $A$2:$A8579+$C$2:$C8579)), "")*24*60, "")</f>
        <v/>
      </c>
      <c r="L8580" s="24" t="str" cm="1">
        <f t="array" ref="L8580">IFERROR(IF($B8580=L$1, ($A8580+$C8580) - MAX(IF($B$2:$B8579=$B8580, $A$2:$A8579+$C$2:$C8579)), "")*24*60, "")</f>
        <v/>
      </c>
      <c r="M8580" s="24" t="str" cm="1">
        <f t="array" ref="M8580">IFERROR(IF($B8580=M$1, ($A8580+$C8580) - MAX(IF($B$2:$B8579=$B8580, $A$2:$A8579+$C$2:$C8579)), "")*24*60, "")</f>
        <v/>
      </c>
      <c r="N8580" s="24" t="str" cm="1">
        <f t="array" ref="N8580">IFERROR(IF($B8580=N$1, ($A8580+$C8580) - MAX(IF($B$2:$B8579=$B8580, $A$2:$A8579+$C$2:$C8579)), "")*24*60, "")</f>
        <v/>
      </c>
      <c r="O8580" s="24" t="str" cm="1">
        <f t="array" ref="O8580">IFERROR(IF($B8580=O$1, ($A8580+$C8580) - MAX(IF($B$2:$B8579=$B8580, $A$2:$A8579+$C$2:$C8579)), "")*24*60, "")</f>
        <v/>
      </c>
      <c r="P8580" s="24" t="str" cm="1">
        <f t="array" ref="P8580">IFERROR(IF($B8580=P$1, ($A8580+$C8580) - MAX(IF($B$2:$B8579=$B8580, $A$2:$A8579+$C$2:$C8579)), "")*24*60, "")</f>
        <v/>
      </c>
      <c r="Q8580" s="24" t="str" cm="1">
        <f t="array" ref="Q8580">IFERROR(IF($B8580=Q$1, ($A8580+$C8580) - MAX(IF($B$2:$B8579=$B8580, $A$2:$A8579+$C$2:$C8579)), "")*24*60, "")</f>
        <v/>
      </c>
      <c r="R8580" s="24" t="str" cm="1">
        <f t="array" ref="R8580">IFERROR(IF($B8580=R$1, ($A8580+$C8580) - MAX(IF($B$2:$B8579=$B8580, $A$2:$A8579+$C$2:$C8579)), "")*24*60, "")</f>
        <v/>
      </c>
      <c r="S8580" s="24" t="str" cm="1">
        <f t="array" ref="S8580">IFERROR(IF($B8580=S$1, ($A8580+$C8580) - MAX(IF($B$2:$B8579=$B8580, $A$2:$A8579+$C$2:$C8579)), "")*24*60, "")</f>
        <v/>
      </c>
    </row>
    <row r="8581" spans="1:19" x14ac:dyDescent="0.2">
      <c r="A8581" s="12">
        <f t="shared" ref="A8581:C8581" si="1683">A8580</f>
        <v>46029</v>
      </c>
      <c r="B8581" s="5" t="str">
        <f t="shared" si="1683"/>
        <v>Northern Cardinal</v>
      </c>
      <c r="C8581" s="6">
        <f t="shared" si="1683"/>
        <v>0.75</v>
      </c>
      <c r="D8581" s="5"/>
      <c r="E8581" s="5"/>
      <c r="F8581" s="5" t="s">
        <v>9</v>
      </c>
      <c r="G8581" s="15" t="s">
        <v>8</v>
      </c>
      <c r="H8581" s="24">
        <f t="shared" si="1651"/>
        <v>0</v>
      </c>
      <c r="I8581" s="24" cm="1">
        <f t="array" ref="I8581">IFERROR(IF($B8581=I$1, ($A8581+$C8581) - MAX(IF($B$2:$B8580=$B8581, $A$2:$A8580+$C$2:$C8580)), "")*24*60, "")</f>
        <v>0</v>
      </c>
      <c r="J8581" s="24" t="str" cm="1">
        <f t="array" ref="J8581">IFERROR(IF($B8581=J$1, ($A8581+$C8581) - MAX(IF($B$2:$B8580=$B8581, $A$2:$A8580+$C$2:$C8580)), "")*24*60, "")</f>
        <v/>
      </c>
      <c r="K8581" s="24" t="str" cm="1">
        <f t="array" ref="K8581">IFERROR(IF($B8581=K$1, ($A8581+$C8581) - MAX(IF($B$2:$B8580=$B8581, $A$2:$A8580+$C$2:$C8580)), "")*24*60, "")</f>
        <v/>
      </c>
      <c r="L8581" s="24" t="str" cm="1">
        <f t="array" ref="L8581">IFERROR(IF($B8581=L$1, ($A8581+$C8581) - MAX(IF($B$2:$B8580=$B8581, $A$2:$A8580+$C$2:$C8580)), "")*24*60, "")</f>
        <v/>
      </c>
      <c r="M8581" s="24" t="str" cm="1">
        <f t="array" ref="M8581">IFERROR(IF($B8581=M$1, ($A8581+$C8581) - MAX(IF($B$2:$B8580=$B8581, $A$2:$A8580+$C$2:$C8580)), "")*24*60, "")</f>
        <v/>
      </c>
      <c r="N8581" s="24" t="str" cm="1">
        <f t="array" ref="N8581">IFERROR(IF($B8581=N$1, ($A8581+$C8581) - MAX(IF($B$2:$B8580=$B8581, $A$2:$A8580+$C$2:$C8580)), "")*24*60, "")</f>
        <v/>
      </c>
      <c r="O8581" s="24" t="str" cm="1">
        <f t="array" ref="O8581">IFERROR(IF($B8581=O$1, ($A8581+$C8581) - MAX(IF($B$2:$B8580=$B8581, $A$2:$A8580+$C$2:$C8580)), "")*24*60, "")</f>
        <v/>
      </c>
      <c r="P8581" s="24" t="str" cm="1">
        <f t="array" ref="P8581">IFERROR(IF($B8581=P$1, ($A8581+$C8581) - MAX(IF($B$2:$B8580=$B8581, $A$2:$A8580+$C$2:$C8580)), "")*24*60, "")</f>
        <v/>
      </c>
      <c r="Q8581" s="24" t="str" cm="1">
        <f t="array" ref="Q8581">IFERROR(IF($B8581=Q$1, ($A8581+$C8581) - MAX(IF($B$2:$B8580=$B8581, $A$2:$A8580+$C$2:$C8580)), "")*24*60, "")</f>
        <v/>
      </c>
      <c r="R8581" s="24" t="str" cm="1">
        <f t="array" ref="R8581">IFERROR(IF($B8581=R$1, ($A8581+$C8581) - MAX(IF($B$2:$B8580=$B8581, $A$2:$A8580+$C$2:$C8580)), "")*24*60, "")</f>
        <v/>
      </c>
      <c r="S8581" s="24" t="str" cm="1">
        <f t="array" ref="S8581">IFERROR(IF($B8581=S$1, ($A8581+$C8581) - MAX(IF($B$2:$B8580=$B8581, $A$2:$A8580+$C$2:$C8580)), "")*24*60, "")</f>
        <v/>
      </c>
    </row>
    <row r="8582" spans="1:19" x14ac:dyDescent="0.2">
      <c r="A8582" s="12">
        <f t="shared" ref="A8582:C8582" si="1684">A8581</f>
        <v>46029</v>
      </c>
      <c r="B8582" s="5" t="str">
        <f t="shared" si="1684"/>
        <v>Northern Cardinal</v>
      </c>
      <c r="C8582" s="6">
        <f t="shared" si="1684"/>
        <v>0.75</v>
      </c>
      <c r="D8582" s="5"/>
      <c r="E8582" s="5"/>
      <c r="F8582" s="5" t="s">
        <v>9</v>
      </c>
      <c r="G8582" s="15" t="s">
        <v>8</v>
      </c>
      <c r="H8582" s="24">
        <f t="shared" si="1651"/>
        <v>0</v>
      </c>
      <c r="I8582" s="24" cm="1">
        <f t="array" ref="I8582">IFERROR(IF($B8582=I$1, ($A8582+$C8582) - MAX(IF($B$2:$B8581=$B8582, $A$2:$A8581+$C$2:$C8581)), "")*24*60, "")</f>
        <v>0</v>
      </c>
      <c r="J8582" s="24" t="str" cm="1">
        <f t="array" ref="J8582">IFERROR(IF($B8582=J$1, ($A8582+$C8582) - MAX(IF($B$2:$B8581=$B8582, $A$2:$A8581+$C$2:$C8581)), "")*24*60, "")</f>
        <v/>
      </c>
      <c r="K8582" s="24" t="str" cm="1">
        <f t="array" ref="K8582">IFERROR(IF($B8582=K$1, ($A8582+$C8582) - MAX(IF($B$2:$B8581=$B8582, $A$2:$A8581+$C$2:$C8581)), "")*24*60, "")</f>
        <v/>
      </c>
      <c r="L8582" s="24" t="str" cm="1">
        <f t="array" ref="L8582">IFERROR(IF($B8582=L$1, ($A8582+$C8582) - MAX(IF($B$2:$B8581=$B8582, $A$2:$A8581+$C$2:$C8581)), "")*24*60, "")</f>
        <v/>
      </c>
      <c r="M8582" s="24" t="str" cm="1">
        <f t="array" ref="M8582">IFERROR(IF($B8582=M$1, ($A8582+$C8582) - MAX(IF($B$2:$B8581=$B8582, $A$2:$A8581+$C$2:$C8581)), "")*24*60, "")</f>
        <v/>
      </c>
      <c r="N8582" s="24" t="str" cm="1">
        <f t="array" ref="N8582">IFERROR(IF($B8582=N$1, ($A8582+$C8582) - MAX(IF($B$2:$B8581=$B8582, $A$2:$A8581+$C$2:$C8581)), "")*24*60, "")</f>
        <v/>
      </c>
      <c r="O8582" s="24" t="str" cm="1">
        <f t="array" ref="O8582">IFERROR(IF($B8582=O$1, ($A8582+$C8582) - MAX(IF($B$2:$B8581=$B8582, $A$2:$A8581+$C$2:$C8581)), "")*24*60, "")</f>
        <v/>
      </c>
      <c r="P8582" s="24" t="str" cm="1">
        <f t="array" ref="P8582">IFERROR(IF($B8582=P$1, ($A8582+$C8582) - MAX(IF($B$2:$B8581=$B8582, $A$2:$A8581+$C$2:$C8581)), "")*24*60, "")</f>
        <v/>
      </c>
      <c r="Q8582" s="24" t="str" cm="1">
        <f t="array" ref="Q8582">IFERROR(IF($B8582=Q$1, ($A8582+$C8582) - MAX(IF($B$2:$B8581=$B8582, $A$2:$A8581+$C$2:$C8581)), "")*24*60, "")</f>
        <v/>
      </c>
      <c r="R8582" s="24" t="str" cm="1">
        <f t="array" ref="R8582">IFERROR(IF($B8582=R$1, ($A8582+$C8582) - MAX(IF($B$2:$B8581=$B8582, $A$2:$A8581+$C$2:$C8581)), "")*24*60, "")</f>
        <v/>
      </c>
      <c r="S8582" s="24" t="str" cm="1">
        <f t="array" ref="S8582">IFERROR(IF($B8582=S$1, ($A8582+$C8582) - MAX(IF($B$2:$B8581=$B8582, $A$2:$A8581+$C$2:$C8581)), "")*24*60, "")</f>
        <v/>
      </c>
    </row>
    <row r="8583" spans="1:19" x14ac:dyDescent="0.2">
      <c r="A8583" s="12">
        <f t="shared" ref="A8583:C8583" si="1685">A8582</f>
        <v>46029</v>
      </c>
      <c r="B8583" s="5" t="str">
        <f t="shared" si="1685"/>
        <v>Northern Cardinal</v>
      </c>
      <c r="C8583" s="6">
        <f t="shared" si="1685"/>
        <v>0.75</v>
      </c>
      <c r="D8583" s="5"/>
      <c r="E8583" s="5"/>
      <c r="F8583" s="5" t="s">
        <v>9</v>
      </c>
      <c r="G8583" s="15" t="s">
        <v>8</v>
      </c>
      <c r="H8583" s="24">
        <f t="shared" si="1651"/>
        <v>0</v>
      </c>
      <c r="I8583" s="24" cm="1">
        <f t="array" ref="I8583">IFERROR(IF($B8583=I$1, ($A8583+$C8583) - MAX(IF($B$2:$B8582=$B8583, $A$2:$A8582+$C$2:$C8582)), "")*24*60, "")</f>
        <v>0</v>
      </c>
      <c r="J8583" s="24" t="str" cm="1">
        <f t="array" ref="J8583">IFERROR(IF($B8583=J$1, ($A8583+$C8583) - MAX(IF($B$2:$B8582=$B8583, $A$2:$A8582+$C$2:$C8582)), "")*24*60, "")</f>
        <v/>
      </c>
      <c r="K8583" s="24" t="str" cm="1">
        <f t="array" ref="K8583">IFERROR(IF($B8583=K$1, ($A8583+$C8583) - MAX(IF($B$2:$B8582=$B8583, $A$2:$A8582+$C$2:$C8582)), "")*24*60, "")</f>
        <v/>
      </c>
      <c r="L8583" s="24" t="str" cm="1">
        <f t="array" ref="L8583">IFERROR(IF($B8583=L$1, ($A8583+$C8583) - MAX(IF($B$2:$B8582=$B8583, $A$2:$A8582+$C$2:$C8582)), "")*24*60, "")</f>
        <v/>
      </c>
      <c r="M8583" s="24" t="str" cm="1">
        <f t="array" ref="M8583">IFERROR(IF($B8583=M$1, ($A8583+$C8583) - MAX(IF($B$2:$B8582=$B8583, $A$2:$A8582+$C$2:$C8582)), "")*24*60, "")</f>
        <v/>
      </c>
      <c r="N8583" s="24" t="str" cm="1">
        <f t="array" ref="N8583">IFERROR(IF($B8583=N$1, ($A8583+$C8583) - MAX(IF($B$2:$B8582=$B8583, $A$2:$A8582+$C$2:$C8582)), "")*24*60, "")</f>
        <v/>
      </c>
      <c r="O8583" s="24" t="str" cm="1">
        <f t="array" ref="O8583">IFERROR(IF($B8583=O$1, ($A8583+$C8583) - MAX(IF($B$2:$B8582=$B8583, $A$2:$A8582+$C$2:$C8582)), "")*24*60, "")</f>
        <v/>
      </c>
      <c r="P8583" s="24" t="str" cm="1">
        <f t="array" ref="P8583">IFERROR(IF($B8583=P$1, ($A8583+$C8583) - MAX(IF($B$2:$B8582=$B8583, $A$2:$A8582+$C$2:$C8582)), "")*24*60, "")</f>
        <v/>
      </c>
      <c r="Q8583" s="24" t="str" cm="1">
        <f t="array" ref="Q8583">IFERROR(IF($B8583=Q$1, ($A8583+$C8583) - MAX(IF($B$2:$B8582=$B8583, $A$2:$A8582+$C$2:$C8582)), "")*24*60, "")</f>
        <v/>
      </c>
      <c r="R8583" s="24" t="str" cm="1">
        <f t="array" ref="R8583">IFERROR(IF($B8583=R$1, ($A8583+$C8583) - MAX(IF($B$2:$B8582=$B8583, $A$2:$A8582+$C$2:$C8582)), "")*24*60, "")</f>
        <v/>
      </c>
      <c r="S8583" s="24" t="str" cm="1">
        <f t="array" ref="S8583">IFERROR(IF($B8583=S$1, ($A8583+$C8583) - MAX(IF($B$2:$B8582=$B8583, $A$2:$A8582+$C$2:$C8582)), "")*24*60, "")</f>
        <v/>
      </c>
    </row>
    <row r="8584" spans="1:19" x14ac:dyDescent="0.2">
      <c r="A8584" s="12">
        <f t="shared" ref="A8584:C8584" si="1686">A8583</f>
        <v>46029</v>
      </c>
      <c r="B8584" s="5" t="str">
        <f t="shared" si="1686"/>
        <v>Northern Cardinal</v>
      </c>
      <c r="C8584" s="6">
        <f t="shared" si="1686"/>
        <v>0.75</v>
      </c>
      <c r="D8584" s="5"/>
      <c r="E8584" s="5"/>
      <c r="F8584" s="5" t="s">
        <v>9</v>
      </c>
      <c r="G8584" s="15" t="s">
        <v>8</v>
      </c>
      <c r="H8584" s="24">
        <f t="shared" si="1651"/>
        <v>0</v>
      </c>
      <c r="I8584" s="24" cm="1">
        <f t="array" ref="I8584">IFERROR(IF($B8584=I$1, ($A8584+$C8584) - MAX(IF($B$2:$B8583=$B8584, $A$2:$A8583+$C$2:$C8583)), "")*24*60, "")</f>
        <v>0</v>
      </c>
      <c r="J8584" s="24" t="str" cm="1">
        <f t="array" ref="J8584">IFERROR(IF($B8584=J$1, ($A8584+$C8584) - MAX(IF($B$2:$B8583=$B8584, $A$2:$A8583+$C$2:$C8583)), "")*24*60, "")</f>
        <v/>
      </c>
      <c r="K8584" s="24" t="str" cm="1">
        <f t="array" ref="K8584">IFERROR(IF($B8584=K$1, ($A8584+$C8584) - MAX(IF($B$2:$B8583=$B8584, $A$2:$A8583+$C$2:$C8583)), "")*24*60, "")</f>
        <v/>
      </c>
      <c r="L8584" s="24" t="str" cm="1">
        <f t="array" ref="L8584">IFERROR(IF($B8584=L$1, ($A8584+$C8584) - MAX(IF($B$2:$B8583=$B8584, $A$2:$A8583+$C$2:$C8583)), "")*24*60, "")</f>
        <v/>
      </c>
      <c r="M8584" s="24" t="str" cm="1">
        <f t="array" ref="M8584">IFERROR(IF($B8584=M$1, ($A8584+$C8584) - MAX(IF($B$2:$B8583=$B8584, $A$2:$A8583+$C$2:$C8583)), "")*24*60, "")</f>
        <v/>
      </c>
      <c r="N8584" s="24" t="str" cm="1">
        <f t="array" ref="N8584">IFERROR(IF($B8584=N$1, ($A8584+$C8584) - MAX(IF($B$2:$B8583=$B8584, $A$2:$A8583+$C$2:$C8583)), "")*24*60, "")</f>
        <v/>
      </c>
      <c r="O8584" s="24" t="str" cm="1">
        <f t="array" ref="O8584">IFERROR(IF($B8584=O$1, ($A8584+$C8584) - MAX(IF($B$2:$B8583=$B8584, $A$2:$A8583+$C$2:$C8583)), "")*24*60, "")</f>
        <v/>
      </c>
      <c r="P8584" s="24" t="str" cm="1">
        <f t="array" ref="P8584">IFERROR(IF($B8584=P$1, ($A8584+$C8584) - MAX(IF($B$2:$B8583=$B8584, $A$2:$A8583+$C$2:$C8583)), "")*24*60, "")</f>
        <v/>
      </c>
      <c r="Q8584" s="24" t="str" cm="1">
        <f t="array" ref="Q8584">IFERROR(IF($B8584=Q$1, ($A8584+$C8584) - MAX(IF($B$2:$B8583=$B8584, $A$2:$A8583+$C$2:$C8583)), "")*24*60, "")</f>
        <v/>
      </c>
      <c r="R8584" s="24" t="str" cm="1">
        <f t="array" ref="R8584">IFERROR(IF($B8584=R$1, ($A8584+$C8584) - MAX(IF($B$2:$B8583=$B8584, $A$2:$A8583+$C$2:$C8583)), "")*24*60, "")</f>
        <v/>
      </c>
      <c r="S8584" s="24" t="str" cm="1">
        <f t="array" ref="S8584">IFERROR(IF($B8584=S$1, ($A8584+$C8584) - MAX(IF($B$2:$B8583=$B8584, $A$2:$A8583+$C$2:$C8583)), "")*24*60, "")</f>
        <v/>
      </c>
    </row>
    <row r="8585" spans="1:19" x14ac:dyDescent="0.2">
      <c r="A8585" s="12">
        <f t="shared" ref="A8585:C8585" si="1687">A8584</f>
        <v>46029</v>
      </c>
      <c r="B8585" s="5" t="str">
        <f t="shared" si="1687"/>
        <v>Northern Cardinal</v>
      </c>
      <c r="C8585" s="6">
        <f t="shared" si="1687"/>
        <v>0.75</v>
      </c>
      <c r="D8585" s="5"/>
      <c r="E8585" s="5"/>
      <c r="F8585" s="5" t="s">
        <v>9</v>
      </c>
      <c r="G8585" s="15" t="s">
        <v>8</v>
      </c>
      <c r="H8585" s="24">
        <f t="shared" si="1651"/>
        <v>0</v>
      </c>
      <c r="I8585" s="24" cm="1">
        <f t="array" ref="I8585">IFERROR(IF($B8585=I$1, ($A8585+$C8585) - MAX(IF($B$2:$B8584=$B8585, $A$2:$A8584+$C$2:$C8584)), "")*24*60, "")</f>
        <v>0</v>
      </c>
      <c r="J8585" s="24" t="str" cm="1">
        <f t="array" ref="J8585">IFERROR(IF($B8585=J$1, ($A8585+$C8585) - MAX(IF($B$2:$B8584=$B8585, $A$2:$A8584+$C$2:$C8584)), "")*24*60, "")</f>
        <v/>
      </c>
      <c r="K8585" s="24" t="str" cm="1">
        <f t="array" ref="K8585">IFERROR(IF($B8585=K$1, ($A8585+$C8585) - MAX(IF($B$2:$B8584=$B8585, $A$2:$A8584+$C$2:$C8584)), "")*24*60, "")</f>
        <v/>
      </c>
      <c r="L8585" s="24" t="str" cm="1">
        <f t="array" ref="L8585">IFERROR(IF($B8585=L$1, ($A8585+$C8585) - MAX(IF($B$2:$B8584=$B8585, $A$2:$A8584+$C$2:$C8584)), "")*24*60, "")</f>
        <v/>
      </c>
      <c r="M8585" s="24" t="str" cm="1">
        <f t="array" ref="M8585">IFERROR(IF($B8585=M$1, ($A8585+$C8585) - MAX(IF($B$2:$B8584=$B8585, $A$2:$A8584+$C$2:$C8584)), "")*24*60, "")</f>
        <v/>
      </c>
      <c r="N8585" s="24" t="str" cm="1">
        <f t="array" ref="N8585">IFERROR(IF($B8585=N$1, ($A8585+$C8585) - MAX(IF($B$2:$B8584=$B8585, $A$2:$A8584+$C$2:$C8584)), "")*24*60, "")</f>
        <v/>
      </c>
      <c r="O8585" s="24" t="str" cm="1">
        <f t="array" ref="O8585">IFERROR(IF($B8585=O$1, ($A8585+$C8585) - MAX(IF($B$2:$B8584=$B8585, $A$2:$A8584+$C$2:$C8584)), "")*24*60, "")</f>
        <v/>
      </c>
      <c r="P8585" s="24" t="str" cm="1">
        <f t="array" ref="P8585">IFERROR(IF($B8585=P$1, ($A8585+$C8585) - MAX(IF($B$2:$B8584=$B8585, $A$2:$A8584+$C$2:$C8584)), "")*24*60, "")</f>
        <v/>
      </c>
      <c r="Q8585" s="24" t="str" cm="1">
        <f t="array" ref="Q8585">IFERROR(IF($B8585=Q$1, ($A8585+$C8585) - MAX(IF($B$2:$B8584=$B8585, $A$2:$A8584+$C$2:$C8584)), "")*24*60, "")</f>
        <v/>
      </c>
      <c r="R8585" s="24" t="str" cm="1">
        <f t="array" ref="R8585">IFERROR(IF($B8585=R$1, ($A8585+$C8585) - MAX(IF($B$2:$B8584=$B8585, $A$2:$A8584+$C$2:$C8584)), "")*24*60, "")</f>
        <v/>
      </c>
      <c r="S8585" s="24" t="str" cm="1">
        <f t="array" ref="S8585">IFERROR(IF($B8585=S$1, ($A8585+$C8585) - MAX(IF($B$2:$B8584=$B8585, $A$2:$A8584+$C$2:$C8584)), "")*24*60, "")</f>
        <v/>
      </c>
    </row>
    <row r="8586" spans="1:19" x14ac:dyDescent="0.2">
      <c r="A8586" s="12">
        <f t="shared" ref="A8586:C8586" si="1688">A8585</f>
        <v>46029</v>
      </c>
      <c r="B8586" s="5" t="str">
        <f t="shared" si="1688"/>
        <v>Northern Cardinal</v>
      </c>
      <c r="C8586" s="6">
        <f t="shared" si="1688"/>
        <v>0.75</v>
      </c>
      <c r="D8586" s="5"/>
      <c r="E8586" s="5"/>
      <c r="F8586" s="5" t="s">
        <v>9</v>
      </c>
      <c r="G8586" s="15" t="s">
        <v>8</v>
      </c>
      <c r="H8586" s="24">
        <f t="shared" si="1651"/>
        <v>0</v>
      </c>
      <c r="I8586" s="24" cm="1">
        <f t="array" ref="I8586">IFERROR(IF($B8586=I$1, ($A8586+$C8586) - MAX(IF($B$2:$B8585=$B8586, $A$2:$A8585+$C$2:$C8585)), "")*24*60, "")</f>
        <v>0</v>
      </c>
      <c r="J8586" s="24" t="str" cm="1">
        <f t="array" ref="J8586">IFERROR(IF($B8586=J$1, ($A8586+$C8586) - MAX(IF($B$2:$B8585=$B8586, $A$2:$A8585+$C$2:$C8585)), "")*24*60, "")</f>
        <v/>
      </c>
      <c r="K8586" s="24" t="str" cm="1">
        <f t="array" ref="K8586">IFERROR(IF($B8586=K$1, ($A8586+$C8586) - MAX(IF($B$2:$B8585=$B8586, $A$2:$A8585+$C$2:$C8585)), "")*24*60, "")</f>
        <v/>
      </c>
      <c r="L8586" s="24" t="str" cm="1">
        <f t="array" ref="L8586">IFERROR(IF($B8586=L$1, ($A8586+$C8586) - MAX(IF($B$2:$B8585=$B8586, $A$2:$A8585+$C$2:$C8585)), "")*24*60, "")</f>
        <v/>
      </c>
      <c r="M8586" s="24" t="str" cm="1">
        <f t="array" ref="M8586">IFERROR(IF($B8586=M$1, ($A8586+$C8586) - MAX(IF($B$2:$B8585=$B8586, $A$2:$A8585+$C$2:$C8585)), "")*24*60, "")</f>
        <v/>
      </c>
      <c r="N8586" s="24" t="str" cm="1">
        <f t="array" ref="N8586">IFERROR(IF($B8586=N$1, ($A8586+$C8586) - MAX(IF($B$2:$B8585=$B8586, $A$2:$A8585+$C$2:$C8585)), "")*24*60, "")</f>
        <v/>
      </c>
      <c r="O8586" s="24" t="str" cm="1">
        <f t="array" ref="O8586">IFERROR(IF($B8586=O$1, ($A8586+$C8586) - MAX(IF($B$2:$B8585=$B8586, $A$2:$A8585+$C$2:$C8585)), "")*24*60, "")</f>
        <v/>
      </c>
      <c r="P8586" s="24" t="str" cm="1">
        <f t="array" ref="P8586">IFERROR(IF($B8586=P$1, ($A8586+$C8586) - MAX(IF($B$2:$B8585=$B8586, $A$2:$A8585+$C$2:$C8585)), "")*24*60, "")</f>
        <v/>
      </c>
      <c r="Q8586" s="24" t="str" cm="1">
        <f t="array" ref="Q8586">IFERROR(IF($B8586=Q$1, ($A8586+$C8586) - MAX(IF($B$2:$B8585=$B8586, $A$2:$A8585+$C$2:$C8585)), "")*24*60, "")</f>
        <v/>
      </c>
      <c r="R8586" s="24" t="str" cm="1">
        <f t="array" ref="R8586">IFERROR(IF($B8586=R$1, ($A8586+$C8586) - MAX(IF($B$2:$B8585=$B8586, $A$2:$A8585+$C$2:$C8585)), "")*24*60, "")</f>
        <v/>
      </c>
      <c r="S8586" s="24" t="str" cm="1">
        <f t="array" ref="S8586">IFERROR(IF($B8586=S$1, ($A8586+$C8586) - MAX(IF($B$2:$B8585=$B8586, $A$2:$A8585+$C$2:$C8585)), "")*24*60, "")</f>
        <v/>
      </c>
    </row>
    <row r="8587" spans="1:19" x14ac:dyDescent="0.2">
      <c r="A8587" s="12">
        <f t="shared" ref="A8587:C8587" si="1689">A8586</f>
        <v>46029</v>
      </c>
      <c r="B8587" s="5" t="str">
        <f t="shared" si="1689"/>
        <v>Northern Cardinal</v>
      </c>
      <c r="C8587" s="6">
        <f t="shared" si="1689"/>
        <v>0.75</v>
      </c>
      <c r="D8587" s="5"/>
      <c r="E8587" s="5"/>
      <c r="F8587" s="5" t="s">
        <v>9</v>
      </c>
      <c r="G8587" s="15" t="s">
        <v>8</v>
      </c>
      <c r="H8587" s="24">
        <f t="shared" si="1651"/>
        <v>0</v>
      </c>
      <c r="I8587" s="24" cm="1">
        <f t="array" ref="I8587">IFERROR(IF($B8587=I$1, ($A8587+$C8587) - MAX(IF($B$2:$B8586=$B8587, $A$2:$A8586+$C$2:$C8586)), "")*24*60, "")</f>
        <v>0</v>
      </c>
      <c r="J8587" s="24" t="str" cm="1">
        <f t="array" ref="J8587">IFERROR(IF($B8587=J$1, ($A8587+$C8587) - MAX(IF($B$2:$B8586=$B8587, $A$2:$A8586+$C$2:$C8586)), "")*24*60, "")</f>
        <v/>
      </c>
      <c r="K8587" s="24" t="str" cm="1">
        <f t="array" ref="K8587">IFERROR(IF($B8587=K$1, ($A8587+$C8587) - MAX(IF($B$2:$B8586=$B8587, $A$2:$A8586+$C$2:$C8586)), "")*24*60, "")</f>
        <v/>
      </c>
      <c r="L8587" s="24" t="str" cm="1">
        <f t="array" ref="L8587">IFERROR(IF($B8587=L$1, ($A8587+$C8587) - MAX(IF($B$2:$B8586=$B8587, $A$2:$A8586+$C$2:$C8586)), "")*24*60, "")</f>
        <v/>
      </c>
      <c r="M8587" s="24" t="str" cm="1">
        <f t="array" ref="M8587">IFERROR(IF($B8587=M$1, ($A8587+$C8587) - MAX(IF($B$2:$B8586=$B8587, $A$2:$A8586+$C$2:$C8586)), "")*24*60, "")</f>
        <v/>
      </c>
      <c r="N8587" s="24" t="str" cm="1">
        <f t="array" ref="N8587">IFERROR(IF($B8587=N$1, ($A8587+$C8587) - MAX(IF($B$2:$B8586=$B8587, $A$2:$A8586+$C$2:$C8586)), "")*24*60, "")</f>
        <v/>
      </c>
      <c r="O8587" s="24" t="str" cm="1">
        <f t="array" ref="O8587">IFERROR(IF($B8587=O$1, ($A8587+$C8587) - MAX(IF($B$2:$B8586=$B8587, $A$2:$A8586+$C$2:$C8586)), "")*24*60, "")</f>
        <v/>
      </c>
      <c r="P8587" s="24" t="str" cm="1">
        <f t="array" ref="P8587">IFERROR(IF($B8587=P$1, ($A8587+$C8587) - MAX(IF($B$2:$B8586=$B8587, $A$2:$A8586+$C$2:$C8586)), "")*24*60, "")</f>
        <v/>
      </c>
      <c r="Q8587" s="24" t="str" cm="1">
        <f t="array" ref="Q8587">IFERROR(IF($B8587=Q$1, ($A8587+$C8587) - MAX(IF($B$2:$B8586=$B8587, $A$2:$A8586+$C$2:$C8586)), "")*24*60, "")</f>
        <v/>
      </c>
      <c r="R8587" s="24" t="str" cm="1">
        <f t="array" ref="R8587">IFERROR(IF($B8587=R$1, ($A8587+$C8587) - MAX(IF($B$2:$B8586=$B8587, $A$2:$A8586+$C$2:$C8586)), "")*24*60, "")</f>
        <v/>
      </c>
      <c r="S8587" s="24" t="str" cm="1">
        <f t="array" ref="S8587">IFERROR(IF($B8587=S$1, ($A8587+$C8587) - MAX(IF($B$2:$B8586=$B8587, $A$2:$A8586+$C$2:$C8586)), "")*24*60, "")</f>
        <v/>
      </c>
    </row>
    <row r="8588" spans="1:19" x14ac:dyDescent="0.2">
      <c r="A8588" s="12">
        <f t="shared" ref="A8588:C8588" si="1690">A8587</f>
        <v>46029</v>
      </c>
      <c r="B8588" s="5" t="str">
        <f t="shared" si="1690"/>
        <v>Northern Cardinal</v>
      </c>
      <c r="C8588" s="6">
        <f t="shared" si="1690"/>
        <v>0.75</v>
      </c>
      <c r="D8588" s="5"/>
      <c r="E8588" s="5"/>
      <c r="F8588" s="5" t="s">
        <v>9</v>
      </c>
      <c r="G8588" s="15" t="s">
        <v>8</v>
      </c>
      <c r="H8588" s="24">
        <f t="shared" si="1651"/>
        <v>0</v>
      </c>
      <c r="I8588" s="24" cm="1">
        <f t="array" ref="I8588">IFERROR(IF($B8588=I$1, ($A8588+$C8588) - MAX(IF($B$2:$B8587=$B8588, $A$2:$A8587+$C$2:$C8587)), "")*24*60, "")</f>
        <v>0</v>
      </c>
      <c r="J8588" s="24" t="str" cm="1">
        <f t="array" ref="J8588">IFERROR(IF($B8588=J$1, ($A8588+$C8588) - MAX(IF($B$2:$B8587=$B8588, $A$2:$A8587+$C$2:$C8587)), "")*24*60, "")</f>
        <v/>
      </c>
      <c r="K8588" s="24" t="str" cm="1">
        <f t="array" ref="K8588">IFERROR(IF($B8588=K$1, ($A8588+$C8588) - MAX(IF($B$2:$B8587=$B8588, $A$2:$A8587+$C$2:$C8587)), "")*24*60, "")</f>
        <v/>
      </c>
      <c r="L8588" s="24" t="str" cm="1">
        <f t="array" ref="L8588">IFERROR(IF($B8588=L$1, ($A8588+$C8588) - MAX(IF($B$2:$B8587=$B8588, $A$2:$A8587+$C$2:$C8587)), "")*24*60, "")</f>
        <v/>
      </c>
      <c r="M8588" s="24" t="str" cm="1">
        <f t="array" ref="M8588">IFERROR(IF($B8588=M$1, ($A8588+$C8588) - MAX(IF($B$2:$B8587=$B8588, $A$2:$A8587+$C$2:$C8587)), "")*24*60, "")</f>
        <v/>
      </c>
      <c r="N8588" s="24" t="str" cm="1">
        <f t="array" ref="N8588">IFERROR(IF($B8588=N$1, ($A8588+$C8588) - MAX(IF($B$2:$B8587=$B8588, $A$2:$A8587+$C$2:$C8587)), "")*24*60, "")</f>
        <v/>
      </c>
      <c r="O8588" s="24" t="str" cm="1">
        <f t="array" ref="O8588">IFERROR(IF($B8588=O$1, ($A8588+$C8588) - MAX(IF($B$2:$B8587=$B8588, $A$2:$A8587+$C$2:$C8587)), "")*24*60, "")</f>
        <v/>
      </c>
      <c r="P8588" s="24" t="str" cm="1">
        <f t="array" ref="P8588">IFERROR(IF($B8588=P$1, ($A8588+$C8588) - MAX(IF($B$2:$B8587=$B8588, $A$2:$A8587+$C$2:$C8587)), "")*24*60, "")</f>
        <v/>
      </c>
      <c r="Q8588" s="24" t="str" cm="1">
        <f t="array" ref="Q8588">IFERROR(IF($B8588=Q$1, ($A8588+$C8588) - MAX(IF($B$2:$B8587=$B8588, $A$2:$A8587+$C$2:$C8587)), "")*24*60, "")</f>
        <v/>
      </c>
      <c r="R8588" s="24" t="str" cm="1">
        <f t="array" ref="R8588">IFERROR(IF($B8588=R$1, ($A8588+$C8588) - MAX(IF($B$2:$B8587=$B8588, $A$2:$A8587+$C$2:$C8587)), "")*24*60, "")</f>
        <v/>
      </c>
      <c r="S8588" s="24" t="str" cm="1">
        <f t="array" ref="S8588">IFERROR(IF($B8588=S$1, ($A8588+$C8588) - MAX(IF($B$2:$B8587=$B8588, $A$2:$A8587+$C$2:$C8587)), "")*24*60, "")</f>
        <v/>
      </c>
    </row>
    <row r="8589" spans="1:19" x14ac:dyDescent="0.2">
      <c r="A8589" s="12">
        <f t="shared" ref="A8589:C8589" si="1691">A8588</f>
        <v>46029</v>
      </c>
      <c r="B8589" s="5" t="str">
        <f t="shared" si="1691"/>
        <v>Northern Cardinal</v>
      </c>
      <c r="C8589" s="6">
        <f t="shared" si="1691"/>
        <v>0.75</v>
      </c>
      <c r="D8589" s="5"/>
      <c r="E8589" s="5"/>
      <c r="F8589" s="5" t="s">
        <v>9</v>
      </c>
      <c r="G8589" s="15" t="s">
        <v>8</v>
      </c>
      <c r="H8589" s="24">
        <f t="shared" si="1651"/>
        <v>0</v>
      </c>
      <c r="I8589" s="24" cm="1">
        <f t="array" ref="I8589">IFERROR(IF($B8589=I$1, ($A8589+$C8589) - MAX(IF($B$2:$B8588=$B8589, $A$2:$A8588+$C$2:$C8588)), "")*24*60, "")</f>
        <v>0</v>
      </c>
      <c r="J8589" s="24" t="str" cm="1">
        <f t="array" ref="J8589">IFERROR(IF($B8589=J$1, ($A8589+$C8589) - MAX(IF($B$2:$B8588=$B8589, $A$2:$A8588+$C$2:$C8588)), "")*24*60, "")</f>
        <v/>
      </c>
      <c r="K8589" s="24" t="str" cm="1">
        <f t="array" ref="K8589">IFERROR(IF($B8589=K$1, ($A8589+$C8589) - MAX(IF($B$2:$B8588=$B8589, $A$2:$A8588+$C$2:$C8588)), "")*24*60, "")</f>
        <v/>
      </c>
      <c r="L8589" s="24" t="str" cm="1">
        <f t="array" ref="L8589">IFERROR(IF($B8589=L$1, ($A8589+$C8589) - MAX(IF($B$2:$B8588=$B8589, $A$2:$A8588+$C$2:$C8588)), "")*24*60, "")</f>
        <v/>
      </c>
      <c r="M8589" s="24" t="str" cm="1">
        <f t="array" ref="M8589">IFERROR(IF($B8589=M$1, ($A8589+$C8589) - MAX(IF($B$2:$B8588=$B8589, $A$2:$A8588+$C$2:$C8588)), "")*24*60, "")</f>
        <v/>
      </c>
      <c r="N8589" s="24" t="str" cm="1">
        <f t="array" ref="N8589">IFERROR(IF($B8589=N$1, ($A8589+$C8589) - MAX(IF($B$2:$B8588=$B8589, $A$2:$A8588+$C$2:$C8588)), "")*24*60, "")</f>
        <v/>
      </c>
      <c r="O8589" s="24" t="str" cm="1">
        <f t="array" ref="O8589">IFERROR(IF($B8589=O$1, ($A8589+$C8589) - MAX(IF($B$2:$B8588=$B8589, $A$2:$A8588+$C$2:$C8588)), "")*24*60, "")</f>
        <v/>
      </c>
      <c r="P8589" s="24" t="str" cm="1">
        <f t="array" ref="P8589">IFERROR(IF($B8589=P$1, ($A8589+$C8589) - MAX(IF($B$2:$B8588=$B8589, $A$2:$A8588+$C$2:$C8588)), "")*24*60, "")</f>
        <v/>
      </c>
      <c r="Q8589" s="24" t="str" cm="1">
        <f t="array" ref="Q8589">IFERROR(IF($B8589=Q$1, ($A8589+$C8589) - MAX(IF($B$2:$B8588=$B8589, $A$2:$A8588+$C$2:$C8588)), "")*24*60, "")</f>
        <v/>
      </c>
      <c r="R8589" s="24" t="str" cm="1">
        <f t="array" ref="R8589">IFERROR(IF($B8589=R$1, ($A8589+$C8589) - MAX(IF($B$2:$B8588=$B8589, $A$2:$A8588+$C$2:$C8588)), "")*24*60, "")</f>
        <v/>
      </c>
      <c r="S8589" s="24" t="str" cm="1">
        <f t="array" ref="S8589">IFERROR(IF($B8589=S$1, ($A8589+$C8589) - MAX(IF($B$2:$B8588=$B8589, $A$2:$A8588+$C$2:$C8588)), "")*24*60, "")</f>
        <v/>
      </c>
    </row>
    <row r="8590" spans="1:19" x14ac:dyDescent="0.2">
      <c r="A8590" s="12">
        <f t="shared" ref="A8590:C8590" si="1692">A8589</f>
        <v>46029</v>
      </c>
      <c r="B8590" s="5" t="str">
        <f t="shared" si="1692"/>
        <v>Northern Cardinal</v>
      </c>
      <c r="C8590" s="6">
        <f t="shared" si="1692"/>
        <v>0.75</v>
      </c>
      <c r="D8590" s="5"/>
      <c r="E8590" s="5"/>
      <c r="F8590" s="5" t="s">
        <v>9</v>
      </c>
      <c r="G8590" s="15" t="s">
        <v>8</v>
      </c>
      <c r="H8590" s="24">
        <f t="shared" si="1651"/>
        <v>0</v>
      </c>
      <c r="I8590" s="24" cm="1">
        <f t="array" ref="I8590">IFERROR(IF($B8590=I$1, ($A8590+$C8590) - MAX(IF($B$2:$B8589=$B8590, $A$2:$A8589+$C$2:$C8589)), "")*24*60, "")</f>
        <v>0</v>
      </c>
      <c r="J8590" s="24" t="str" cm="1">
        <f t="array" ref="J8590">IFERROR(IF($B8590=J$1, ($A8590+$C8590) - MAX(IF($B$2:$B8589=$B8590, $A$2:$A8589+$C$2:$C8589)), "")*24*60, "")</f>
        <v/>
      </c>
      <c r="K8590" s="24" t="str" cm="1">
        <f t="array" ref="K8590">IFERROR(IF($B8590=K$1, ($A8590+$C8590) - MAX(IF($B$2:$B8589=$B8590, $A$2:$A8589+$C$2:$C8589)), "")*24*60, "")</f>
        <v/>
      </c>
      <c r="L8590" s="24" t="str" cm="1">
        <f t="array" ref="L8590">IFERROR(IF($B8590=L$1, ($A8590+$C8590) - MAX(IF($B$2:$B8589=$B8590, $A$2:$A8589+$C$2:$C8589)), "")*24*60, "")</f>
        <v/>
      </c>
      <c r="M8590" s="24" t="str" cm="1">
        <f t="array" ref="M8590">IFERROR(IF($B8590=M$1, ($A8590+$C8590) - MAX(IF($B$2:$B8589=$B8590, $A$2:$A8589+$C$2:$C8589)), "")*24*60, "")</f>
        <v/>
      </c>
      <c r="N8590" s="24" t="str" cm="1">
        <f t="array" ref="N8590">IFERROR(IF($B8590=N$1, ($A8590+$C8590) - MAX(IF($B$2:$B8589=$B8590, $A$2:$A8589+$C$2:$C8589)), "")*24*60, "")</f>
        <v/>
      </c>
      <c r="O8590" s="24" t="str" cm="1">
        <f t="array" ref="O8590">IFERROR(IF($B8590=O$1, ($A8590+$C8590) - MAX(IF($B$2:$B8589=$B8590, $A$2:$A8589+$C$2:$C8589)), "")*24*60, "")</f>
        <v/>
      </c>
      <c r="P8590" s="24" t="str" cm="1">
        <f t="array" ref="P8590">IFERROR(IF($B8590=P$1, ($A8590+$C8590) - MAX(IF($B$2:$B8589=$B8590, $A$2:$A8589+$C$2:$C8589)), "")*24*60, "")</f>
        <v/>
      </c>
      <c r="Q8590" s="24" t="str" cm="1">
        <f t="array" ref="Q8590">IFERROR(IF($B8590=Q$1, ($A8590+$C8590) - MAX(IF($B$2:$B8589=$B8590, $A$2:$A8589+$C$2:$C8589)), "")*24*60, "")</f>
        <v/>
      </c>
      <c r="R8590" s="24" t="str" cm="1">
        <f t="array" ref="R8590">IFERROR(IF($B8590=R$1, ($A8590+$C8590) - MAX(IF($B$2:$B8589=$B8590, $A$2:$A8589+$C$2:$C8589)), "")*24*60, "")</f>
        <v/>
      </c>
      <c r="S8590" s="24" t="str" cm="1">
        <f t="array" ref="S8590">IFERROR(IF($B8590=S$1, ($A8590+$C8590) - MAX(IF($B$2:$B8589=$B8590, $A$2:$A8589+$C$2:$C8589)), "")*24*60, "")</f>
        <v/>
      </c>
    </row>
    <row r="8591" spans="1:19" x14ac:dyDescent="0.2">
      <c r="A8591" s="12">
        <f t="shared" ref="A8591:C8591" si="1693">A8590</f>
        <v>46029</v>
      </c>
      <c r="B8591" s="5" t="str">
        <f t="shared" si="1693"/>
        <v>Northern Cardinal</v>
      </c>
      <c r="C8591" s="6">
        <f t="shared" si="1693"/>
        <v>0.75</v>
      </c>
      <c r="D8591" s="5"/>
      <c r="E8591" s="5"/>
      <c r="F8591" s="5" t="s">
        <v>9</v>
      </c>
      <c r="G8591" s="15" t="s">
        <v>8</v>
      </c>
      <c r="H8591" s="24">
        <f t="shared" si="1651"/>
        <v>0</v>
      </c>
      <c r="I8591" s="24" cm="1">
        <f t="array" ref="I8591">IFERROR(IF($B8591=I$1, ($A8591+$C8591) - MAX(IF($B$2:$B8590=$B8591, $A$2:$A8590+$C$2:$C8590)), "")*24*60, "")</f>
        <v>0</v>
      </c>
      <c r="J8591" s="24" t="str" cm="1">
        <f t="array" ref="J8591">IFERROR(IF($B8591=J$1, ($A8591+$C8591) - MAX(IF($B$2:$B8590=$B8591, $A$2:$A8590+$C$2:$C8590)), "")*24*60, "")</f>
        <v/>
      </c>
      <c r="K8591" s="24" t="str" cm="1">
        <f t="array" ref="K8591">IFERROR(IF($B8591=K$1, ($A8591+$C8591) - MAX(IF($B$2:$B8590=$B8591, $A$2:$A8590+$C$2:$C8590)), "")*24*60, "")</f>
        <v/>
      </c>
      <c r="L8591" s="24" t="str" cm="1">
        <f t="array" ref="L8591">IFERROR(IF($B8591=L$1, ($A8591+$C8591) - MAX(IF($B$2:$B8590=$B8591, $A$2:$A8590+$C$2:$C8590)), "")*24*60, "")</f>
        <v/>
      </c>
      <c r="M8591" s="24" t="str" cm="1">
        <f t="array" ref="M8591">IFERROR(IF($B8591=M$1, ($A8591+$C8591) - MAX(IF($B$2:$B8590=$B8591, $A$2:$A8590+$C$2:$C8590)), "")*24*60, "")</f>
        <v/>
      </c>
      <c r="N8591" s="24" t="str" cm="1">
        <f t="array" ref="N8591">IFERROR(IF($B8591=N$1, ($A8591+$C8591) - MAX(IF($B$2:$B8590=$B8591, $A$2:$A8590+$C$2:$C8590)), "")*24*60, "")</f>
        <v/>
      </c>
      <c r="O8591" s="24" t="str" cm="1">
        <f t="array" ref="O8591">IFERROR(IF($B8591=O$1, ($A8591+$C8591) - MAX(IF($B$2:$B8590=$B8591, $A$2:$A8590+$C$2:$C8590)), "")*24*60, "")</f>
        <v/>
      </c>
      <c r="P8591" s="24" t="str" cm="1">
        <f t="array" ref="P8591">IFERROR(IF($B8591=P$1, ($A8591+$C8591) - MAX(IF($B$2:$B8590=$B8591, $A$2:$A8590+$C$2:$C8590)), "")*24*60, "")</f>
        <v/>
      </c>
      <c r="Q8591" s="24" t="str" cm="1">
        <f t="array" ref="Q8591">IFERROR(IF($B8591=Q$1, ($A8591+$C8591) - MAX(IF($B$2:$B8590=$B8591, $A$2:$A8590+$C$2:$C8590)), "")*24*60, "")</f>
        <v/>
      </c>
      <c r="R8591" s="24" t="str" cm="1">
        <f t="array" ref="R8591">IFERROR(IF($B8591=R$1, ($A8591+$C8591) - MAX(IF($B$2:$B8590=$B8591, $A$2:$A8590+$C$2:$C8590)), "")*24*60, "")</f>
        <v/>
      </c>
      <c r="S8591" s="24" t="str" cm="1">
        <f t="array" ref="S8591">IFERROR(IF($B8591=S$1, ($A8591+$C8591) - MAX(IF($B$2:$B8590=$B8591, $A$2:$A8590+$C$2:$C8590)), "")*24*60, "")</f>
        <v/>
      </c>
    </row>
    <row r="8592" spans="1:19" x14ac:dyDescent="0.2">
      <c r="A8592" s="12">
        <f t="shared" ref="A8592:C8592" si="1694">A8591</f>
        <v>46029</v>
      </c>
      <c r="B8592" s="5" t="str">
        <f t="shared" si="1694"/>
        <v>Northern Cardinal</v>
      </c>
      <c r="C8592" s="6">
        <f t="shared" si="1694"/>
        <v>0.75</v>
      </c>
      <c r="D8592" s="5"/>
      <c r="E8592" s="5"/>
      <c r="F8592" s="5" t="s">
        <v>9</v>
      </c>
      <c r="G8592" s="15" t="s">
        <v>8</v>
      </c>
      <c r="H8592" s="24">
        <f t="shared" si="1651"/>
        <v>0</v>
      </c>
      <c r="I8592" s="24" cm="1">
        <f t="array" ref="I8592">IFERROR(IF($B8592=I$1, ($A8592+$C8592) - MAX(IF($B$2:$B8591=$B8592, $A$2:$A8591+$C$2:$C8591)), "")*24*60, "")</f>
        <v>0</v>
      </c>
      <c r="J8592" s="24" t="str" cm="1">
        <f t="array" ref="J8592">IFERROR(IF($B8592=J$1, ($A8592+$C8592) - MAX(IF($B$2:$B8591=$B8592, $A$2:$A8591+$C$2:$C8591)), "")*24*60, "")</f>
        <v/>
      </c>
      <c r="K8592" s="24" t="str" cm="1">
        <f t="array" ref="K8592">IFERROR(IF($B8592=K$1, ($A8592+$C8592) - MAX(IF($B$2:$B8591=$B8592, $A$2:$A8591+$C$2:$C8591)), "")*24*60, "")</f>
        <v/>
      </c>
      <c r="L8592" s="24" t="str" cm="1">
        <f t="array" ref="L8592">IFERROR(IF($B8592=L$1, ($A8592+$C8592) - MAX(IF($B$2:$B8591=$B8592, $A$2:$A8591+$C$2:$C8591)), "")*24*60, "")</f>
        <v/>
      </c>
      <c r="M8592" s="24" t="str" cm="1">
        <f t="array" ref="M8592">IFERROR(IF($B8592=M$1, ($A8592+$C8592) - MAX(IF($B$2:$B8591=$B8592, $A$2:$A8591+$C$2:$C8591)), "")*24*60, "")</f>
        <v/>
      </c>
      <c r="N8592" s="24" t="str" cm="1">
        <f t="array" ref="N8592">IFERROR(IF($B8592=N$1, ($A8592+$C8592) - MAX(IF($B$2:$B8591=$B8592, $A$2:$A8591+$C$2:$C8591)), "")*24*60, "")</f>
        <v/>
      </c>
      <c r="O8592" s="24" t="str" cm="1">
        <f t="array" ref="O8592">IFERROR(IF($B8592=O$1, ($A8592+$C8592) - MAX(IF($B$2:$B8591=$B8592, $A$2:$A8591+$C$2:$C8591)), "")*24*60, "")</f>
        <v/>
      </c>
      <c r="P8592" s="24" t="str" cm="1">
        <f t="array" ref="P8592">IFERROR(IF($B8592=P$1, ($A8592+$C8592) - MAX(IF($B$2:$B8591=$B8592, $A$2:$A8591+$C$2:$C8591)), "")*24*60, "")</f>
        <v/>
      </c>
      <c r="Q8592" s="24" t="str" cm="1">
        <f t="array" ref="Q8592">IFERROR(IF($B8592=Q$1, ($A8592+$C8592) - MAX(IF($B$2:$B8591=$B8592, $A$2:$A8591+$C$2:$C8591)), "")*24*60, "")</f>
        <v/>
      </c>
      <c r="R8592" s="24" t="str" cm="1">
        <f t="array" ref="R8592">IFERROR(IF($B8592=R$1, ($A8592+$C8592) - MAX(IF($B$2:$B8591=$B8592, $A$2:$A8591+$C$2:$C8591)), "")*24*60, "")</f>
        <v/>
      </c>
      <c r="S8592" s="24" t="str" cm="1">
        <f t="array" ref="S8592">IFERROR(IF($B8592=S$1, ($A8592+$C8592) - MAX(IF($B$2:$B8591=$B8592, $A$2:$A8591+$C$2:$C8591)), "")*24*60, "")</f>
        <v/>
      </c>
    </row>
    <row r="8593" spans="1:19" x14ac:dyDescent="0.2">
      <c r="A8593" s="12">
        <f t="shared" ref="A8593:C8593" si="1695">A8592</f>
        <v>46029</v>
      </c>
      <c r="B8593" s="5" t="str">
        <f t="shared" si="1695"/>
        <v>Northern Cardinal</v>
      </c>
      <c r="C8593" s="6">
        <f t="shared" si="1695"/>
        <v>0.75</v>
      </c>
      <c r="D8593" s="5"/>
      <c r="E8593" s="5"/>
      <c r="F8593" s="5" t="s">
        <v>9</v>
      </c>
      <c r="G8593" s="15" t="s">
        <v>8</v>
      </c>
      <c r="H8593" s="24">
        <f t="shared" si="1651"/>
        <v>0</v>
      </c>
      <c r="I8593" s="24" cm="1">
        <f t="array" ref="I8593">IFERROR(IF($B8593=I$1, ($A8593+$C8593) - MAX(IF($B$2:$B8592=$B8593, $A$2:$A8592+$C$2:$C8592)), "")*24*60, "")</f>
        <v>0</v>
      </c>
      <c r="J8593" s="24" t="str" cm="1">
        <f t="array" ref="J8593">IFERROR(IF($B8593=J$1, ($A8593+$C8593) - MAX(IF($B$2:$B8592=$B8593, $A$2:$A8592+$C$2:$C8592)), "")*24*60, "")</f>
        <v/>
      </c>
      <c r="K8593" s="24" t="str" cm="1">
        <f t="array" ref="K8593">IFERROR(IF($B8593=K$1, ($A8593+$C8593) - MAX(IF($B$2:$B8592=$B8593, $A$2:$A8592+$C$2:$C8592)), "")*24*60, "")</f>
        <v/>
      </c>
      <c r="L8593" s="24" t="str" cm="1">
        <f t="array" ref="L8593">IFERROR(IF($B8593=L$1, ($A8593+$C8593) - MAX(IF($B$2:$B8592=$B8593, $A$2:$A8592+$C$2:$C8592)), "")*24*60, "")</f>
        <v/>
      </c>
      <c r="M8593" s="24" t="str" cm="1">
        <f t="array" ref="M8593">IFERROR(IF($B8593=M$1, ($A8593+$C8593) - MAX(IF($B$2:$B8592=$B8593, $A$2:$A8592+$C$2:$C8592)), "")*24*60, "")</f>
        <v/>
      </c>
      <c r="N8593" s="24" t="str" cm="1">
        <f t="array" ref="N8593">IFERROR(IF($B8593=N$1, ($A8593+$C8593) - MAX(IF($B$2:$B8592=$B8593, $A$2:$A8592+$C$2:$C8592)), "")*24*60, "")</f>
        <v/>
      </c>
      <c r="O8593" s="24" t="str" cm="1">
        <f t="array" ref="O8593">IFERROR(IF($B8593=O$1, ($A8593+$C8593) - MAX(IF($B$2:$B8592=$B8593, $A$2:$A8592+$C$2:$C8592)), "")*24*60, "")</f>
        <v/>
      </c>
      <c r="P8593" s="24" t="str" cm="1">
        <f t="array" ref="P8593">IFERROR(IF($B8593=P$1, ($A8593+$C8593) - MAX(IF($B$2:$B8592=$B8593, $A$2:$A8592+$C$2:$C8592)), "")*24*60, "")</f>
        <v/>
      </c>
      <c r="Q8593" s="24" t="str" cm="1">
        <f t="array" ref="Q8593">IFERROR(IF($B8593=Q$1, ($A8593+$C8593) - MAX(IF($B$2:$B8592=$B8593, $A$2:$A8592+$C$2:$C8592)), "")*24*60, "")</f>
        <v/>
      </c>
      <c r="R8593" s="24" t="str" cm="1">
        <f t="array" ref="R8593">IFERROR(IF($B8593=R$1, ($A8593+$C8593) - MAX(IF($B$2:$B8592=$B8593, $A$2:$A8592+$C$2:$C8592)), "")*24*60, "")</f>
        <v/>
      </c>
      <c r="S8593" s="24" t="str" cm="1">
        <f t="array" ref="S8593">IFERROR(IF($B8593=S$1, ($A8593+$C8593) - MAX(IF($B$2:$B8592=$B8593, $A$2:$A8592+$C$2:$C8592)), "")*24*60, "")</f>
        <v/>
      </c>
    </row>
    <row r="8594" spans="1:19" x14ac:dyDescent="0.2">
      <c r="A8594" s="12">
        <f t="shared" ref="A8594:C8594" si="1696">A8593</f>
        <v>46029</v>
      </c>
      <c r="B8594" s="5" t="str">
        <f t="shared" si="1696"/>
        <v>Northern Cardinal</v>
      </c>
      <c r="C8594" s="6">
        <f t="shared" si="1696"/>
        <v>0.75</v>
      </c>
      <c r="D8594" s="5"/>
      <c r="E8594" s="5"/>
      <c r="F8594" s="5" t="s">
        <v>9</v>
      </c>
      <c r="G8594" s="15" t="s">
        <v>8</v>
      </c>
      <c r="H8594" s="24">
        <f t="shared" si="1651"/>
        <v>0</v>
      </c>
      <c r="I8594" s="24" cm="1">
        <f t="array" ref="I8594">IFERROR(IF($B8594=I$1, ($A8594+$C8594) - MAX(IF($B$2:$B8593=$B8594, $A$2:$A8593+$C$2:$C8593)), "")*24*60, "")</f>
        <v>0</v>
      </c>
      <c r="J8594" s="24" t="str" cm="1">
        <f t="array" ref="J8594">IFERROR(IF($B8594=J$1, ($A8594+$C8594) - MAX(IF($B$2:$B8593=$B8594, $A$2:$A8593+$C$2:$C8593)), "")*24*60, "")</f>
        <v/>
      </c>
      <c r="K8594" s="24" t="str" cm="1">
        <f t="array" ref="K8594">IFERROR(IF($B8594=K$1, ($A8594+$C8594) - MAX(IF($B$2:$B8593=$B8594, $A$2:$A8593+$C$2:$C8593)), "")*24*60, "")</f>
        <v/>
      </c>
      <c r="L8594" s="24" t="str" cm="1">
        <f t="array" ref="L8594">IFERROR(IF($B8594=L$1, ($A8594+$C8594) - MAX(IF($B$2:$B8593=$B8594, $A$2:$A8593+$C$2:$C8593)), "")*24*60, "")</f>
        <v/>
      </c>
      <c r="M8594" s="24" t="str" cm="1">
        <f t="array" ref="M8594">IFERROR(IF($B8594=M$1, ($A8594+$C8594) - MAX(IF($B$2:$B8593=$B8594, $A$2:$A8593+$C$2:$C8593)), "")*24*60, "")</f>
        <v/>
      </c>
      <c r="N8594" s="24" t="str" cm="1">
        <f t="array" ref="N8594">IFERROR(IF($B8594=N$1, ($A8594+$C8594) - MAX(IF($B$2:$B8593=$B8594, $A$2:$A8593+$C$2:$C8593)), "")*24*60, "")</f>
        <v/>
      </c>
      <c r="O8594" s="24" t="str" cm="1">
        <f t="array" ref="O8594">IFERROR(IF($B8594=O$1, ($A8594+$C8594) - MAX(IF($B$2:$B8593=$B8594, $A$2:$A8593+$C$2:$C8593)), "")*24*60, "")</f>
        <v/>
      </c>
      <c r="P8594" s="24" t="str" cm="1">
        <f t="array" ref="P8594">IFERROR(IF($B8594=P$1, ($A8594+$C8594) - MAX(IF($B$2:$B8593=$B8594, $A$2:$A8593+$C$2:$C8593)), "")*24*60, "")</f>
        <v/>
      </c>
      <c r="Q8594" s="24" t="str" cm="1">
        <f t="array" ref="Q8594">IFERROR(IF($B8594=Q$1, ($A8594+$C8594) - MAX(IF($B$2:$B8593=$B8594, $A$2:$A8593+$C$2:$C8593)), "")*24*60, "")</f>
        <v/>
      </c>
      <c r="R8594" s="24" t="str" cm="1">
        <f t="array" ref="R8594">IFERROR(IF($B8594=R$1, ($A8594+$C8594) - MAX(IF($B$2:$B8593=$B8594, $A$2:$A8593+$C$2:$C8593)), "")*24*60, "")</f>
        <v/>
      </c>
      <c r="S8594" s="24" t="str" cm="1">
        <f t="array" ref="S8594">IFERROR(IF($B8594=S$1, ($A8594+$C8594) - MAX(IF($B$2:$B8593=$B8594, $A$2:$A8593+$C$2:$C8593)), "")*24*60, "")</f>
        <v/>
      </c>
    </row>
    <row r="8595" spans="1:19" x14ac:dyDescent="0.2">
      <c r="A8595" s="12">
        <f t="shared" ref="A8595:C8595" si="1697">A8594</f>
        <v>46029</v>
      </c>
      <c r="B8595" s="5" t="str">
        <f t="shared" si="1697"/>
        <v>Northern Cardinal</v>
      </c>
      <c r="C8595" s="6">
        <f t="shared" si="1697"/>
        <v>0.75</v>
      </c>
      <c r="D8595" s="5"/>
      <c r="E8595" s="5"/>
      <c r="F8595" s="5" t="s">
        <v>9</v>
      </c>
      <c r="G8595" s="15" t="s">
        <v>8</v>
      </c>
      <c r="H8595" s="24">
        <f t="shared" si="1651"/>
        <v>0</v>
      </c>
      <c r="I8595" s="24" cm="1">
        <f t="array" ref="I8595">IFERROR(IF($B8595=I$1, ($A8595+$C8595) - MAX(IF($B$2:$B8594=$B8595, $A$2:$A8594+$C$2:$C8594)), "")*24*60, "")</f>
        <v>0</v>
      </c>
      <c r="J8595" s="24" t="str" cm="1">
        <f t="array" ref="J8595">IFERROR(IF($B8595=J$1, ($A8595+$C8595) - MAX(IF($B$2:$B8594=$B8595, $A$2:$A8594+$C$2:$C8594)), "")*24*60, "")</f>
        <v/>
      </c>
      <c r="K8595" s="24" t="str" cm="1">
        <f t="array" ref="K8595">IFERROR(IF($B8595=K$1, ($A8595+$C8595) - MAX(IF($B$2:$B8594=$B8595, $A$2:$A8594+$C$2:$C8594)), "")*24*60, "")</f>
        <v/>
      </c>
      <c r="L8595" s="24" t="str" cm="1">
        <f t="array" ref="L8595">IFERROR(IF($B8595=L$1, ($A8595+$C8595) - MAX(IF($B$2:$B8594=$B8595, $A$2:$A8594+$C$2:$C8594)), "")*24*60, "")</f>
        <v/>
      </c>
      <c r="M8595" s="24" t="str" cm="1">
        <f t="array" ref="M8595">IFERROR(IF($B8595=M$1, ($A8595+$C8595) - MAX(IF($B$2:$B8594=$B8595, $A$2:$A8594+$C$2:$C8594)), "")*24*60, "")</f>
        <v/>
      </c>
      <c r="N8595" s="24" t="str" cm="1">
        <f t="array" ref="N8595">IFERROR(IF($B8595=N$1, ($A8595+$C8595) - MAX(IF($B$2:$B8594=$B8595, $A$2:$A8594+$C$2:$C8594)), "")*24*60, "")</f>
        <v/>
      </c>
      <c r="O8595" s="24" t="str" cm="1">
        <f t="array" ref="O8595">IFERROR(IF($B8595=O$1, ($A8595+$C8595) - MAX(IF($B$2:$B8594=$B8595, $A$2:$A8594+$C$2:$C8594)), "")*24*60, "")</f>
        <v/>
      </c>
      <c r="P8595" s="24" t="str" cm="1">
        <f t="array" ref="P8595">IFERROR(IF($B8595=P$1, ($A8595+$C8595) - MAX(IF($B$2:$B8594=$B8595, $A$2:$A8594+$C$2:$C8594)), "")*24*60, "")</f>
        <v/>
      </c>
      <c r="Q8595" s="24" t="str" cm="1">
        <f t="array" ref="Q8595">IFERROR(IF($B8595=Q$1, ($A8595+$C8595) - MAX(IF($B$2:$B8594=$B8595, $A$2:$A8594+$C$2:$C8594)), "")*24*60, "")</f>
        <v/>
      </c>
      <c r="R8595" s="24" t="str" cm="1">
        <f t="array" ref="R8595">IFERROR(IF($B8595=R$1, ($A8595+$C8595) - MAX(IF($B$2:$B8594=$B8595, $A$2:$A8594+$C$2:$C8594)), "")*24*60, "")</f>
        <v/>
      </c>
      <c r="S8595" s="24" t="str" cm="1">
        <f t="array" ref="S8595">IFERROR(IF($B8595=S$1, ($A8595+$C8595) - MAX(IF($B$2:$B8594=$B8595, $A$2:$A8594+$C$2:$C8594)), "")*24*60, "")</f>
        <v/>
      </c>
    </row>
    <row r="8596" spans="1:19" x14ac:dyDescent="0.2">
      <c r="A8596" s="12">
        <f t="shared" ref="A8596:C8596" si="1698">A8595</f>
        <v>46029</v>
      </c>
      <c r="B8596" s="5" t="str">
        <f t="shared" si="1698"/>
        <v>Northern Cardinal</v>
      </c>
      <c r="C8596" s="6">
        <f t="shared" si="1698"/>
        <v>0.75</v>
      </c>
      <c r="D8596" s="5"/>
      <c r="E8596" s="5"/>
      <c r="F8596" s="5" t="s">
        <v>9</v>
      </c>
      <c r="G8596" s="15" t="s">
        <v>8</v>
      </c>
      <c r="H8596" s="24">
        <f t="shared" si="1651"/>
        <v>0</v>
      </c>
      <c r="I8596" s="24" cm="1">
        <f t="array" ref="I8596">IFERROR(IF($B8596=I$1, ($A8596+$C8596) - MAX(IF($B$2:$B8595=$B8596, $A$2:$A8595+$C$2:$C8595)), "")*24*60, "")</f>
        <v>0</v>
      </c>
      <c r="J8596" s="24" t="str" cm="1">
        <f t="array" ref="J8596">IFERROR(IF($B8596=J$1, ($A8596+$C8596) - MAX(IF($B$2:$B8595=$B8596, $A$2:$A8595+$C$2:$C8595)), "")*24*60, "")</f>
        <v/>
      </c>
      <c r="K8596" s="24" t="str" cm="1">
        <f t="array" ref="K8596">IFERROR(IF($B8596=K$1, ($A8596+$C8596) - MAX(IF($B$2:$B8595=$B8596, $A$2:$A8595+$C$2:$C8595)), "")*24*60, "")</f>
        <v/>
      </c>
      <c r="L8596" s="24" t="str" cm="1">
        <f t="array" ref="L8596">IFERROR(IF($B8596=L$1, ($A8596+$C8596) - MAX(IF($B$2:$B8595=$B8596, $A$2:$A8595+$C$2:$C8595)), "")*24*60, "")</f>
        <v/>
      </c>
      <c r="M8596" s="24" t="str" cm="1">
        <f t="array" ref="M8596">IFERROR(IF($B8596=M$1, ($A8596+$C8596) - MAX(IF($B$2:$B8595=$B8596, $A$2:$A8595+$C$2:$C8595)), "")*24*60, "")</f>
        <v/>
      </c>
      <c r="N8596" s="24" t="str" cm="1">
        <f t="array" ref="N8596">IFERROR(IF($B8596=N$1, ($A8596+$C8596) - MAX(IF($B$2:$B8595=$B8596, $A$2:$A8595+$C$2:$C8595)), "")*24*60, "")</f>
        <v/>
      </c>
      <c r="O8596" s="24" t="str" cm="1">
        <f t="array" ref="O8596">IFERROR(IF($B8596=O$1, ($A8596+$C8596) - MAX(IF($B$2:$B8595=$B8596, $A$2:$A8595+$C$2:$C8595)), "")*24*60, "")</f>
        <v/>
      </c>
      <c r="P8596" s="24" t="str" cm="1">
        <f t="array" ref="P8596">IFERROR(IF($B8596=P$1, ($A8596+$C8596) - MAX(IF($B$2:$B8595=$B8596, $A$2:$A8595+$C$2:$C8595)), "")*24*60, "")</f>
        <v/>
      </c>
      <c r="Q8596" s="24" t="str" cm="1">
        <f t="array" ref="Q8596">IFERROR(IF($B8596=Q$1, ($A8596+$C8596) - MAX(IF($B$2:$B8595=$B8596, $A$2:$A8595+$C$2:$C8595)), "")*24*60, "")</f>
        <v/>
      </c>
      <c r="R8596" s="24" t="str" cm="1">
        <f t="array" ref="R8596">IFERROR(IF($B8596=R$1, ($A8596+$C8596) - MAX(IF($B$2:$B8595=$B8596, $A$2:$A8595+$C$2:$C8595)), "")*24*60, "")</f>
        <v/>
      </c>
      <c r="S8596" s="24" t="str" cm="1">
        <f t="array" ref="S8596">IFERROR(IF($B8596=S$1, ($A8596+$C8596) - MAX(IF($B$2:$B8595=$B8596, $A$2:$A8595+$C$2:$C8595)), "")*24*60, "")</f>
        <v/>
      </c>
    </row>
    <row r="8597" spans="1:19" x14ac:dyDescent="0.2">
      <c r="A8597" s="12">
        <f t="shared" ref="A8597:C8597" si="1699">A8596</f>
        <v>46029</v>
      </c>
      <c r="B8597" s="5" t="str">
        <f t="shared" si="1699"/>
        <v>Northern Cardinal</v>
      </c>
      <c r="C8597" s="6">
        <f t="shared" si="1699"/>
        <v>0.75</v>
      </c>
      <c r="D8597" s="5"/>
      <c r="E8597" s="5"/>
      <c r="F8597" s="5" t="s">
        <v>9</v>
      </c>
      <c r="G8597" s="15" t="s">
        <v>8</v>
      </c>
      <c r="H8597" s="24">
        <f t="shared" si="1651"/>
        <v>0</v>
      </c>
      <c r="I8597" s="24" cm="1">
        <f t="array" ref="I8597">IFERROR(IF($B8597=I$1, ($A8597+$C8597) - MAX(IF($B$2:$B8596=$B8597, $A$2:$A8596+$C$2:$C8596)), "")*24*60, "")</f>
        <v>0</v>
      </c>
      <c r="J8597" s="24" t="str" cm="1">
        <f t="array" ref="J8597">IFERROR(IF($B8597=J$1, ($A8597+$C8597) - MAX(IF($B$2:$B8596=$B8597, $A$2:$A8596+$C$2:$C8596)), "")*24*60, "")</f>
        <v/>
      </c>
      <c r="K8597" s="24" t="str" cm="1">
        <f t="array" ref="K8597">IFERROR(IF($B8597=K$1, ($A8597+$C8597) - MAX(IF($B$2:$B8596=$B8597, $A$2:$A8596+$C$2:$C8596)), "")*24*60, "")</f>
        <v/>
      </c>
      <c r="L8597" s="24" t="str" cm="1">
        <f t="array" ref="L8597">IFERROR(IF($B8597=L$1, ($A8597+$C8597) - MAX(IF($B$2:$B8596=$B8597, $A$2:$A8596+$C$2:$C8596)), "")*24*60, "")</f>
        <v/>
      </c>
      <c r="M8597" s="24" t="str" cm="1">
        <f t="array" ref="M8597">IFERROR(IF($B8597=M$1, ($A8597+$C8597) - MAX(IF($B$2:$B8596=$B8597, $A$2:$A8596+$C$2:$C8596)), "")*24*60, "")</f>
        <v/>
      </c>
      <c r="N8597" s="24" t="str" cm="1">
        <f t="array" ref="N8597">IFERROR(IF($B8597=N$1, ($A8597+$C8597) - MAX(IF($B$2:$B8596=$B8597, $A$2:$A8596+$C$2:$C8596)), "")*24*60, "")</f>
        <v/>
      </c>
      <c r="O8597" s="24" t="str" cm="1">
        <f t="array" ref="O8597">IFERROR(IF($B8597=O$1, ($A8597+$C8597) - MAX(IF($B$2:$B8596=$B8597, $A$2:$A8596+$C$2:$C8596)), "")*24*60, "")</f>
        <v/>
      </c>
      <c r="P8597" s="24" t="str" cm="1">
        <f t="array" ref="P8597">IFERROR(IF($B8597=P$1, ($A8597+$C8597) - MAX(IF($B$2:$B8596=$B8597, $A$2:$A8596+$C$2:$C8596)), "")*24*60, "")</f>
        <v/>
      </c>
      <c r="Q8597" s="24" t="str" cm="1">
        <f t="array" ref="Q8597">IFERROR(IF($B8597=Q$1, ($A8597+$C8597) - MAX(IF($B$2:$B8596=$B8597, $A$2:$A8596+$C$2:$C8596)), "")*24*60, "")</f>
        <v/>
      </c>
      <c r="R8597" s="24" t="str" cm="1">
        <f t="array" ref="R8597">IFERROR(IF($B8597=R$1, ($A8597+$C8597) - MAX(IF($B$2:$B8596=$B8597, $A$2:$A8596+$C$2:$C8596)), "")*24*60, "")</f>
        <v/>
      </c>
      <c r="S8597" s="24" t="str" cm="1">
        <f t="array" ref="S8597">IFERROR(IF($B8597=S$1, ($A8597+$C8597) - MAX(IF($B$2:$B8596=$B8597, $A$2:$A8596+$C$2:$C8596)), "")*24*60, "")</f>
        <v/>
      </c>
    </row>
    <row r="8598" spans="1:19" x14ac:dyDescent="0.2">
      <c r="A8598" s="12">
        <f t="shared" ref="A8598:C8598" si="1700">A8597</f>
        <v>46029</v>
      </c>
      <c r="B8598" s="5" t="str">
        <f t="shared" si="1700"/>
        <v>Northern Cardinal</v>
      </c>
      <c r="C8598" s="6">
        <f t="shared" si="1700"/>
        <v>0.75</v>
      </c>
      <c r="D8598" s="5"/>
      <c r="E8598" s="5"/>
      <c r="F8598" s="5" t="s">
        <v>9</v>
      </c>
      <c r="G8598" s="15" t="s">
        <v>8</v>
      </c>
      <c r="H8598" s="24">
        <f t="shared" si="1651"/>
        <v>0</v>
      </c>
      <c r="I8598" s="24" cm="1">
        <f t="array" ref="I8598">IFERROR(IF($B8598=I$1, ($A8598+$C8598) - MAX(IF($B$2:$B8597=$B8598, $A$2:$A8597+$C$2:$C8597)), "")*24*60, "")</f>
        <v>0</v>
      </c>
      <c r="J8598" s="24" t="str" cm="1">
        <f t="array" ref="J8598">IFERROR(IF($B8598=J$1, ($A8598+$C8598) - MAX(IF($B$2:$B8597=$B8598, $A$2:$A8597+$C$2:$C8597)), "")*24*60, "")</f>
        <v/>
      </c>
      <c r="K8598" s="24" t="str" cm="1">
        <f t="array" ref="K8598">IFERROR(IF($B8598=K$1, ($A8598+$C8598) - MAX(IF($B$2:$B8597=$B8598, $A$2:$A8597+$C$2:$C8597)), "")*24*60, "")</f>
        <v/>
      </c>
      <c r="L8598" s="24" t="str" cm="1">
        <f t="array" ref="L8598">IFERROR(IF($B8598=L$1, ($A8598+$C8598) - MAX(IF($B$2:$B8597=$B8598, $A$2:$A8597+$C$2:$C8597)), "")*24*60, "")</f>
        <v/>
      </c>
      <c r="M8598" s="24" t="str" cm="1">
        <f t="array" ref="M8598">IFERROR(IF($B8598=M$1, ($A8598+$C8598) - MAX(IF($B$2:$B8597=$B8598, $A$2:$A8597+$C$2:$C8597)), "")*24*60, "")</f>
        <v/>
      </c>
      <c r="N8598" s="24" t="str" cm="1">
        <f t="array" ref="N8598">IFERROR(IF($B8598=N$1, ($A8598+$C8598) - MAX(IF($B$2:$B8597=$B8598, $A$2:$A8597+$C$2:$C8597)), "")*24*60, "")</f>
        <v/>
      </c>
      <c r="O8598" s="24" t="str" cm="1">
        <f t="array" ref="O8598">IFERROR(IF($B8598=O$1, ($A8598+$C8598) - MAX(IF($B$2:$B8597=$B8598, $A$2:$A8597+$C$2:$C8597)), "")*24*60, "")</f>
        <v/>
      </c>
      <c r="P8598" s="24" t="str" cm="1">
        <f t="array" ref="P8598">IFERROR(IF($B8598=P$1, ($A8598+$C8598) - MAX(IF($B$2:$B8597=$B8598, $A$2:$A8597+$C$2:$C8597)), "")*24*60, "")</f>
        <v/>
      </c>
      <c r="Q8598" s="24" t="str" cm="1">
        <f t="array" ref="Q8598">IFERROR(IF($B8598=Q$1, ($A8598+$C8598) - MAX(IF($B$2:$B8597=$B8598, $A$2:$A8597+$C$2:$C8597)), "")*24*60, "")</f>
        <v/>
      </c>
      <c r="R8598" s="24" t="str" cm="1">
        <f t="array" ref="R8598">IFERROR(IF($B8598=R$1, ($A8598+$C8598) - MAX(IF($B$2:$B8597=$B8598, $A$2:$A8597+$C$2:$C8597)), "")*24*60, "")</f>
        <v/>
      </c>
      <c r="S8598" s="24" t="str" cm="1">
        <f t="array" ref="S8598">IFERROR(IF($B8598=S$1, ($A8598+$C8598) - MAX(IF($B$2:$B8597=$B8598, $A$2:$A8597+$C$2:$C8597)), "")*24*60, "")</f>
        <v/>
      </c>
    </row>
    <row r="8599" spans="1:19" x14ac:dyDescent="0.2">
      <c r="A8599" s="12">
        <f t="shared" ref="A8599:C8599" si="1701">A8598</f>
        <v>46029</v>
      </c>
      <c r="B8599" s="5" t="str">
        <f t="shared" si="1701"/>
        <v>Northern Cardinal</v>
      </c>
      <c r="C8599" s="6">
        <f t="shared" si="1701"/>
        <v>0.75</v>
      </c>
      <c r="D8599" s="5"/>
      <c r="E8599" s="5"/>
      <c r="F8599" s="5" t="s">
        <v>9</v>
      </c>
      <c r="G8599" s="15" t="s">
        <v>8</v>
      </c>
      <c r="H8599" s="24">
        <f t="shared" si="1651"/>
        <v>0</v>
      </c>
      <c r="I8599" s="24" cm="1">
        <f t="array" ref="I8599">IFERROR(IF($B8599=I$1, ($A8599+$C8599) - MAX(IF($B$2:$B8598=$B8599, $A$2:$A8598+$C$2:$C8598)), "")*24*60, "")</f>
        <v>0</v>
      </c>
      <c r="J8599" s="24" t="str" cm="1">
        <f t="array" ref="J8599">IFERROR(IF($B8599=J$1, ($A8599+$C8599) - MAX(IF($B$2:$B8598=$B8599, $A$2:$A8598+$C$2:$C8598)), "")*24*60, "")</f>
        <v/>
      </c>
      <c r="K8599" s="24" t="str" cm="1">
        <f t="array" ref="K8599">IFERROR(IF($B8599=K$1, ($A8599+$C8599) - MAX(IF($B$2:$B8598=$B8599, $A$2:$A8598+$C$2:$C8598)), "")*24*60, "")</f>
        <v/>
      </c>
      <c r="L8599" s="24" t="str" cm="1">
        <f t="array" ref="L8599">IFERROR(IF($B8599=L$1, ($A8599+$C8599) - MAX(IF($B$2:$B8598=$B8599, $A$2:$A8598+$C$2:$C8598)), "")*24*60, "")</f>
        <v/>
      </c>
      <c r="M8599" s="24" t="str" cm="1">
        <f t="array" ref="M8599">IFERROR(IF($B8599=M$1, ($A8599+$C8599) - MAX(IF($B$2:$B8598=$B8599, $A$2:$A8598+$C$2:$C8598)), "")*24*60, "")</f>
        <v/>
      </c>
      <c r="N8599" s="24" t="str" cm="1">
        <f t="array" ref="N8599">IFERROR(IF($B8599=N$1, ($A8599+$C8599) - MAX(IF($B$2:$B8598=$B8599, $A$2:$A8598+$C$2:$C8598)), "")*24*60, "")</f>
        <v/>
      </c>
      <c r="O8599" s="24" t="str" cm="1">
        <f t="array" ref="O8599">IFERROR(IF($B8599=O$1, ($A8599+$C8599) - MAX(IF($B$2:$B8598=$B8599, $A$2:$A8598+$C$2:$C8598)), "")*24*60, "")</f>
        <v/>
      </c>
      <c r="P8599" s="24" t="str" cm="1">
        <f t="array" ref="P8599">IFERROR(IF($B8599=P$1, ($A8599+$C8599) - MAX(IF($B$2:$B8598=$B8599, $A$2:$A8598+$C$2:$C8598)), "")*24*60, "")</f>
        <v/>
      </c>
      <c r="Q8599" s="24" t="str" cm="1">
        <f t="array" ref="Q8599">IFERROR(IF($B8599=Q$1, ($A8599+$C8599) - MAX(IF($B$2:$B8598=$B8599, $A$2:$A8598+$C$2:$C8598)), "")*24*60, "")</f>
        <v/>
      </c>
      <c r="R8599" s="24" t="str" cm="1">
        <f t="array" ref="R8599">IFERROR(IF($B8599=R$1, ($A8599+$C8599) - MAX(IF($B$2:$B8598=$B8599, $A$2:$A8598+$C$2:$C8598)), "")*24*60, "")</f>
        <v/>
      </c>
      <c r="S8599" s="24" t="str" cm="1">
        <f t="array" ref="S8599">IFERROR(IF($B8599=S$1, ($A8599+$C8599) - MAX(IF($B$2:$B8598=$B8599, $A$2:$A8598+$C$2:$C8598)), "")*24*60, "")</f>
        <v/>
      </c>
    </row>
    <row r="8600" spans="1:19" x14ac:dyDescent="0.2">
      <c r="A8600" s="12">
        <f t="shared" ref="A8600:C8600" si="1702">A8599</f>
        <v>46029</v>
      </c>
      <c r="B8600" s="5" t="str">
        <f t="shared" si="1702"/>
        <v>Northern Cardinal</v>
      </c>
      <c r="C8600" s="6">
        <f t="shared" si="1702"/>
        <v>0.75</v>
      </c>
      <c r="D8600" s="5"/>
      <c r="E8600" s="5"/>
      <c r="F8600" s="5" t="s">
        <v>9</v>
      </c>
      <c r="G8600" s="15" t="s">
        <v>8</v>
      </c>
      <c r="H8600" s="24">
        <f t="shared" si="1651"/>
        <v>0</v>
      </c>
      <c r="I8600" s="24" cm="1">
        <f t="array" ref="I8600">IFERROR(IF($B8600=I$1, ($A8600+$C8600) - MAX(IF($B$2:$B8599=$B8600, $A$2:$A8599+$C$2:$C8599)), "")*24*60, "")</f>
        <v>0</v>
      </c>
      <c r="J8600" s="24" t="str" cm="1">
        <f t="array" ref="J8600">IFERROR(IF($B8600=J$1, ($A8600+$C8600) - MAX(IF($B$2:$B8599=$B8600, $A$2:$A8599+$C$2:$C8599)), "")*24*60, "")</f>
        <v/>
      </c>
      <c r="K8600" s="24" t="str" cm="1">
        <f t="array" ref="K8600">IFERROR(IF($B8600=K$1, ($A8600+$C8600) - MAX(IF($B$2:$B8599=$B8600, $A$2:$A8599+$C$2:$C8599)), "")*24*60, "")</f>
        <v/>
      </c>
      <c r="L8600" s="24" t="str" cm="1">
        <f t="array" ref="L8600">IFERROR(IF($B8600=L$1, ($A8600+$C8600) - MAX(IF($B$2:$B8599=$B8600, $A$2:$A8599+$C$2:$C8599)), "")*24*60, "")</f>
        <v/>
      </c>
      <c r="M8600" s="24" t="str" cm="1">
        <f t="array" ref="M8600">IFERROR(IF($B8600=M$1, ($A8600+$C8600) - MAX(IF($B$2:$B8599=$B8600, $A$2:$A8599+$C$2:$C8599)), "")*24*60, "")</f>
        <v/>
      </c>
      <c r="N8600" s="24" t="str" cm="1">
        <f t="array" ref="N8600">IFERROR(IF($B8600=N$1, ($A8600+$C8600) - MAX(IF($B$2:$B8599=$B8600, $A$2:$A8599+$C$2:$C8599)), "")*24*60, "")</f>
        <v/>
      </c>
      <c r="O8600" s="24" t="str" cm="1">
        <f t="array" ref="O8600">IFERROR(IF($B8600=O$1, ($A8600+$C8600) - MAX(IF($B$2:$B8599=$B8600, $A$2:$A8599+$C$2:$C8599)), "")*24*60, "")</f>
        <v/>
      </c>
      <c r="P8600" s="24" t="str" cm="1">
        <f t="array" ref="P8600">IFERROR(IF($B8600=P$1, ($A8600+$C8600) - MAX(IF($B$2:$B8599=$B8600, $A$2:$A8599+$C$2:$C8599)), "")*24*60, "")</f>
        <v/>
      </c>
      <c r="Q8600" s="24" t="str" cm="1">
        <f t="array" ref="Q8600">IFERROR(IF($B8600=Q$1, ($A8600+$C8600) - MAX(IF($B$2:$B8599=$B8600, $A$2:$A8599+$C$2:$C8599)), "")*24*60, "")</f>
        <v/>
      </c>
      <c r="R8600" s="24" t="str" cm="1">
        <f t="array" ref="R8600">IFERROR(IF($B8600=R$1, ($A8600+$C8600) - MAX(IF($B$2:$B8599=$B8600, $A$2:$A8599+$C$2:$C8599)), "")*24*60, "")</f>
        <v/>
      </c>
      <c r="S8600" s="24" t="str" cm="1">
        <f t="array" ref="S8600">IFERROR(IF($B8600=S$1, ($A8600+$C8600) - MAX(IF($B$2:$B8599=$B8600, $A$2:$A8599+$C$2:$C8599)),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21"/>
  <sheetViews>
    <sheetView zoomScale="120" zoomScaleNormal="120" workbookViewId="0">
      <pane ySplit="1" topLeftCell="A308" activePane="bottomLeft" state="frozen"/>
      <selection pane="bottomLeft" activeCell="A320" sqref="A32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10">
        <v>46028</v>
      </c>
      <c r="B321" s="11" t="s">
        <v>3</v>
      </c>
      <c r="C321" s="11">
        <f>COUNTIFS(RawData!$B:$B, $B321, RawData!$A:$A, DailySummaries!$A321)</f>
        <v>22</v>
      </c>
      <c r="D321" s="11">
        <f>SUMIFS(RawData!$D:$D,RawData!$B:$B,$B321,RawData!$A:$A,DailySummaries!$A321)+1</f>
        <v>1</v>
      </c>
      <c r="E321" s="11">
        <f>SUMIFS(RawData!$E:$E,RawData!$B:$B,$B321,RawData!$A:$A,DailySummaries!$A321)+1</f>
        <v>73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2026-01-07T10:18:23Z</dcterms:modified>
</cp:coreProperties>
</file>
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2E077691-8F87-BD4F-820F-3E5A46DDCAF5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14" i="1" l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21" i="1" l="1"/>
  <c r="C6922" i="1" s="1"/>
  <c r="C6923" i="1" s="1"/>
  <c r="C6924" i="1" s="1"/>
  <c r="C6925" i="1" s="1"/>
  <c r="C6926" i="1" s="1"/>
  <c r="C6927" i="1" s="1"/>
  <c r="C6928" i="1" s="1"/>
  <c r="C6929" i="1" s="1"/>
  <c r="C6930" i="1" s="1"/>
  <c r="C6931" i="1" s="1"/>
  <c r="C6932" i="1" s="1"/>
  <c r="C6933" i="1" s="1"/>
  <c r="C6934" i="1" s="1"/>
  <c r="C6935" i="1" s="1"/>
  <c r="C6936" i="1" s="1"/>
  <c r="C6937" i="1" s="1"/>
  <c r="C6938" i="1" s="1"/>
  <c r="C6939" i="1" s="1"/>
  <c r="C6940" i="1" s="1"/>
  <c r="C6941" i="1" s="1"/>
  <c r="C6942" i="1" s="1"/>
  <c r="C6943" i="1" s="1"/>
  <c r="C6944" i="1" s="1"/>
  <c r="C6945" i="1" s="1"/>
  <c r="C6946" i="1" s="1"/>
  <c r="C6947" i="1" s="1"/>
  <c r="C6948" i="1" s="1"/>
  <c r="C6949" i="1" s="1"/>
  <c r="C6950" i="1" s="1"/>
  <c r="C6951" i="1" s="1"/>
  <c r="C6952" i="1" s="1"/>
  <c r="C6953" i="1" s="1"/>
  <c r="C6954" i="1" s="1"/>
  <c r="C6955" i="1" s="1"/>
  <c r="C6956" i="1" s="1"/>
  <c r="C6957" i="1" s="1"/>
  <c r="C6958" i="1" s="1"/>
  <c r="C6959" i="1" s="1"/>
  <c r="C6960" i="1" s="1"/>
  <c r="C6961" i="1" s="1"/>
  <c r="C6962" i="1" s="1"/>
  <c r="C6963" i="1" s="1"/>
  <c r="C6964" i="1" s="1"/>
  <c r="C6965" i="1" s="1"/>
  <c r="C6966" i="1" s="1"/>
  <c r="C6967" i="1" s="1"/>
  <c r="C6968" i="1" s="1"/>
  <c r="C6969" i="1" s="1"/>
  <c r="C6970" i="1" s="1"/>
  <c r="C6971" i="1" s="1"/>
  <c r="C6972" i="1" s="1"/>
  <c r="C6973" i="1" s="1"/>
  <c r="C6974" i="1" s="1"/>
  <c r="C6975" i="1" s="1"/>
  <c r="C6976" i="1" s="1"/>
  <c r="C6977" i="1" s="1"/>
  <c r="C6978" i="1" s="1"/>
  <c r="C6979" i="1" s="1"/>
  <c r="C6980" i="1" s="1"/>
  <c r="C6981" i="1" s="1"/>
  <c r="C6982" i="1" s="1"/>
  <c r="C6983" i="1" s="1"/>
  <c r="C6984" i="1" s="1"/>
  <c r="C6985" i="1" s="1"/>
  <c r="C6986" i="1" s="1"/>
  <c r="C6987" i="1" s="1"/>
  <c r="C6988" i="1" s="1"/>
  <c r="C6989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D230" i="2" l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B6920" i="1" l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C235" i="2" l="1"/>
  <c r="C238" i="2"/>
  <c r="D235" i="2"/>
  <c r="E235" i="2"/>
  <c r="C236" i="2"/>
  <c r="D236" i="2"/>
  <c r="E236" i="2"/>
  <c r="E237" i="2"/>
  <c r="D238" i="2"/>
  <c r="C237" i="2"/>
  <c r="D237" i="2"/>
  <c r="E238" i="2"/>
  <c r="D232" i="2"/>
  <c r="C232" i="2"/>
  <c r="E233" i="2"/>
  <c r="D229" i="2"/>
  <c r="C229" i="2"/>
  <c r="D234" i="2"/>
  <c r="E232" i="2"/>
  <c r="E234" i="2"/>
  <c r="E229" i="2"/>
  <c r="D231" i="2"/>
  <c r="E230" i="2"/>
  <c r="C233" i="2"/>
  <c r="E231" i="2"/>
  <c r="C234" i="2"/>
  <c r="D233" i="2"/>
  <c r="D227" i="2"/>
  <c r="C231" i="2"/>
  <c r="C227" i="2"/>
  <c r="C230" i="2"/>
  <c r="E227" i="2"/>
  <c r="K6920" i="1" a="1"/>
  <c r="K6920" i="1" s="1"/>
  <c r="P6920" i="1" a="1"/>
  <c r="P6920" i="1" s="1"/>
  <c r="B6921" i="1"/>
  <c r="L6920" i="1" a="1"/>
  <c r="L6920" i="1" s="1"/>
  <c r="Q6920" i="1" a="1"/>
  <c r="Q6920" i="1" s="1"/>
  <c r="N6920" i="1" a="1"/>
  <c r="N6920" i="1" s="1"/>
  <c r="O6920" i="1" a="1"/>
  <c r="O6920" i="1" s="1"/>
  <c r="R6920" i="1" a="1"/>
  <c r="R6920" i="1" s="1"/>
  <c r="I6920" i="1" a="1"/>
  <c r="I6920" i="1" s="1"/>
  <c r="J6920" i="1" a="1"/>
  <c r="J6920" i="1" s="1"/>
  <c r="S6920" i="1" a="1"/>
  <c r="S6920" i="1" s="1"/>
  <c r="M6920" i="1" a="1"/>
  <c r="M6920" i="1" s="1"/>
  <c r="A6921" i="1"/>
  <c r="H6920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6921" i="1" l="1"/>
  <c r="A6922" i="1"/>
  <c r="B6922" i="1"/>
  <c r="P6921" i="1" a="1"/>
  <c r="P6921" i="1" s="1"/>
  <c r="L6921" i="1" a="1"/>
  <c r="L6921" i="1" s="1"/>
  <c r="Q6921" i="1" a="1"/>
  <c r="Q6921" i="1" s="1"/>
  <c r="M6921" i="1" a="1"/>
  <c r="M6921" i="1" s="1"/>
  <c r="I6921" i="1" a="1"/>
  <c r="I6921" i="1" s="1"/>
  <c r="R6921" i="1" a="1"/>
  <c r="R6921" i="1" s="1"/>
  <c r="J6921" i="1" a="1"/>
  <c r="J6921" i="1" s="1"/>
  <c r="S6921" i="1" a="1"/>
  <c r="S6921" i="1" s="1"/>
  <c r="K6921" i="1" a="1"/>
  <c r="K6921" i="1" s="1"/>
  <c r="N6921" i="1" a="1"/>
  <c r="N6921" i="1" s="1"/>
  <c r="O6921" i="1" a="1"/>
  <c r="O6921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Q6922" i="1" l="1" a="1"/>
  <c r="Q6922" i="1" s="1"/>
  <c r="M6922" i="1" a="1"/>
  <c r="M6922" i="1" s="1"/>
  <c r="I6922" i="1" a="1"/>
  <c r="I6922" i="1" s="1"/>
  <c r="B6923" i="1"/>
  <c r="O6922" i="1" a="1"/>
  <c r="O6922" i="1" s="1"/>
  <c r="P6922" i="1" a="1"/>
  <c r="P6922" i="1" s="1"/>
  <c r="J6922" i="1" a="1"/>
  <c r="J6922" i="1" s="1"/>
  <c r="R6922" i="1" a="1"/>
  <c r="R6922" i="1" s="1"/>
  <c r="K6922" i="1" a="1"/>
  <c r="K6922" i="1" s="1"/>
  <c r="L6922" i="1" a="1"/>
  <c r="L6922" i="1" s="1"/>
  <c r="S6922" i="1" a="1"/>
  <c r="S6922" i="1" s="1"/>
  <c r="N6922" i="1" a="1"/>
  <c r="N6922" i="1" s="1"/>
  <c r="H6922" i="1"/>
  <c r="A6923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H6923" i="1" l="1"/>
  <c r="A6924" i="1"/>
  <c r="M6923" i="1" a="1"/>
  <c r="M6923" i="1" s="1"/>
  <c r="I6923" i="1" a="1"/>
  <c r="I6923" i="1" s="1"/>
  <c r="R6923" i="1" a="1"/>
  <c r="R6923" i="1" s="1"/>
  <c r="N6923" i="1" a="1"/>
  <c r="N6923" i="1" s="1"/>
  <c r="O6923" i="1" a="1"/>
  <c r="O6923" i="1" s="1"/>
  <c r="B6924" i="1"/>
  <c r="J6923" i="1" a="1"/>
  <c r="J6923" i="1" s="1"/>
  <c r="P6923" i="1" a="1"/>
  <c r="P6923" i="1" s="1"/>
  <c r="K6923" i="1" a="1"/>
  <c r="K6923" i="1" s="1"/>
  <c r="Q6923" i="1" a="1"/>
  <c r="Q6923" i="1" s="1"/>
  <c r="L6923" i="1" a="1"/>
  <c r="L6923" i="1" s="1"/>
  <c r="S6923" i="1" a="1"/>
  <c r="S6923" i="1" s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6925" i="1" l="1"/>
  <c r="H6924" i="1"/>
  <c r="I6924" i="1" a="1"/>
  <c r="I6924" i="1" s="1"/>
  <c r="N6924" i="1" a="1"/>
  <c r="N6924" i="1" s="1"/>
  <c r="J6924" i="1" a="1"/>
  <c r="J6924" i="1" s="1"/>
  <c r="S6924" i="1" a="1"/>
  <c r="S6924" i="1" s="1"/>
  <c r="M6924" i="1" a="1"/>
  <c r="M6924" i="1" s="1"/>
  <c r="O6924" i="1" a="1"/>
  <c r="O6924" i="1" s="1"/>
  <c r="B6925" i="1"/>
  <c r="P6924" i="1" a="1"/>
  <c r="P6924" i="1" s="1"/>
  <c r="K6924" i="1" a="1"/>
  <c r="K6924" i="1" s="1"/>
  <c r="Q6924" i="1" a="1"/>
  <c r="Q6924" i="1" s="1"/>
  <c r="L6924" i="1" a="1"/>
  <c r="L6924" i="1" s="1"/>
  <c r="R6924" i="1" a="1"/>
  <c r="R6924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B6926" i="1" l="1"/>
  <c r="J6925" i="1" a="1"/>
  <c r="J6925" i="1" s="1"/>
  <c r="S6925" i="1" a="1"/>
  <c r="S6925" i="1" s="1"/>
  <c r="O6925" i="1" a="1"/>
  <c r="O6925" i="1" s="1"/>
  <c r="L6925" i="1" a="1"/>
  <c r="L6925" i="1" s="1"/>
  <c r="R6925" i="1" a="1"/>
  <c r="R6925" i="1" s="1"/>
  <c r="M6925" i="1" a="1"/>
  <c r="M6925" i="1" s="1"/>
  <c r="N6925" i="1" a="1"/>
  <c r="N6925" i="1" s="1"/>
  <c r="I6925" i="1" a="1"/>
  <c r="I6925" i="1" s="1"/>
  <c r="P6925" i="1" a="1"/>
  <c r="P6925" i="1" s="1"/>
  <c r="K6925" i="1" a="1"/>
  <c r="K6925" i="1" s="1"/>
  <c r="Q6925" i="1" a="1"/>
  <c r="Q6925" i="1" s="1"/>
  <c r="H6925" i="1"/>
  <c r="A692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6927" i="1" l="1"/>
  <c r="H6926" i="1"/>
  <c r="O6926" i="1" a="1"/>
  <c r="O6926" i="1" s="1"/>
  <c r="K6926" i="1" a="1"/>
  <c r="K6926" i="1" s="1"/>
  <c r="P6926" i="1" a="1"/>
  <c r="P6926" i="1" s="1"/>
  <c r="B6927" i="1"/>
  <c r="L6926" i="1" a="1"/>
  <c r="L6926" i="1" s="1"/>
  <c r="R6926" i="1" a="1"/>
  <c r="R6926" i="1" s="1"/>
  <c r="M6926" i="1" a="1"/>
  <c r="M6926" i="1" s="1"/>
  <c r="S6926" i="1" a="1"/>
  <c r="S6926" i="1" s="1"/>
  <c r="N6926" i="1" a="1"/>
  <c r="N6926" i="1" s="1"/>
  <c r="I6926" i="1" a="1"/>
  <c r="I6926" i="1" s="1"/>
  <c r="Q6926" i="1" a="1"/>
  <c r="Q6926" i="1" s="1"/>
  <c r="J6926" i="1" a="1"/>
  <c r="J692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P6927" i="1" l="1" a="1"/>
  <c r="P6927" i="1" s="1"/>
  <c r="B6928" i="1"/>
  <c r="L6927" i="1" a="1"/>
  <c r="L6927" i="1" s="1"/>
  <c r="J6927" i="1" a="1"/>
  <c r="J6927" i="1" s="1"/>
  <c r="Q6927" i="1" a="1"/>
  <c r="Q6927" i="1" s="1"/>
  <c r="K6927" i="1" a="1"/>
  <c r="K6927" i="1" s="1"/>
  <c r="R6927" i="1" a="1"/>
  <c r="R6927" i="1" s="1"/>
  <c r="M6927" i="1" a="1"/>
  <c r="M6927" i="1" s="1"/>
  <c r="S6927" i="1" a="1"/>
  <c r="S6927" i="1" s="1"/>
  <c r="N6927" i="1" a="1"/>
  <c r="N6927" i="1" s="1"/>
  <c r="I6927" i="1" a="1"/>
  <c r="I6927" i="1" s="1"/>
  <c r="O6927" i="1" a="1"/>
  <c r="O6927" i="1" s="1"/>
  <c r="H6927" i="1"/>
  <c r="A6928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6928" i="1" l="1"/>
  <c r="A6929" i="1"/>
  <c r="L6928" i="1" a="1"/>
  <c r="L6928" i="1" s="1"/>
  <c r="Q6928" i="1" a="1"/>
  <c r="Q6928" i="1" s="1"/>
  <c r="J6928" i="1" a="1"/>
  <c r="J6928" i="1" s="1"/>
  <c r="P6928" i="1" a="1"/>
  <c r="P6928" i="1" s="1"/>
  <c r="K6928" i="1" a="1"/>
  <c r="K6928" i="1" s="1"/>
  <c r="R6928" i="1" a="1"/>
  <c r="R6928" i="1" s="1"/>
  <c r="M6928" i="1" a="1"/>
  <c r="M6928" i="1" s="1"/>
  <c r="S6928" i="1" a="1"/>
  <c r="S6928" i="1" s="1"/>
  <c r="N6928" i="1" a="1"/>
  <c r="N6928" i="1" s="1"/>
  <c r="I6928" i="1" a="1"/>
  <c r="I6928" i="1" s="1"/>
  <c r="O6928" i="1" a="1"/>
  <c r="O6928" i="1" s="1"/>
  <c r="B6929" i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6930" i="1" l="1"/>
  <c r="M6929" i="1" a="1"/>
  <c r="M6929" i="1" s="1"/>
  <c r="I6929" i="1" a="1"/>
  <c r="I6929" i="1" s="1"/>
  <c r="R6929" i="1" a="1"/>
  <c r="R6929" i="1" s="1"/>
  <c r="O6929" i="1" a="1"/>
  <c r="O6929" i="1" s="1"/>
  <c r="J6929" i="1" a="1"/>
  <c r="J6929" i="1" s="1"/>
  <c r="P6929" i="1" a="1"/>
  <c r="P6929" i="1" s="1"/>
  <c r="K6929" i="1" a="1"/>
  <c r="K6929" i="1" s="1"/>
  <c r="Q6929" i="1" a="1"/>
  <c r="Q6929" i="1" s="1"/>
  <c r="L6929" i="1" a="1"/>
  <c r="L6929" i="1" s="1"/>
  <c r="S6929" i="1" a="1"/>
  <c r="S6929" i="1" s="1"/>
  <c r="N6929" i="1" a="1"/>
  <c r="N6929" i="1" s="1"/>
  <c r="H6929" i="1"/>
  <c r="A693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H6930" i="1" l="1"/>
  <c r="A6931" i="1"/>
  <c r="I6930" i="1" a="1"/>
  <c r="I6930" i="1" s="1"/>
  <c r="R6930" i="1" a="1"/>
  <c r="R6930" i="1" s="1"/>
  <c r="N6930" i="1" a="1"/>
  <c r="N6930" i="1" s="1"/>
  <c r="B6931" i="1"/>
  <c r="O6930" i="1" a="1"/>
  <c r="O6930" i="1" s="1"/>
  <c r="J6930" i="1" a="1"/>
  <c r="J6930" i="1" s="1"/>
  <c r="P6930" i="1" a="1"/>
  <c r="P6930" i="1" s="1"/>
  <c r="K6930" i="1" a="1"/>
  <c r="K6930" i="1" s="1"/>
  <c r="Q6930" i="1" a="1"/>
  <c r="Q6930" i="1" s="1"/>
  <c r="L6930" i="1" a="1"/>
  <c r="L6930" i="1" s="1"/>
  <c r="S6930" i="1" a="1"/>
  <c r="S6930" i="1" s="1"/>
  <c r="M6930" i="1" a="1"/>
  <c r="M693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N6931" i="1" l="1" a="1"/>
  <c r="N6931" i="1" s="1"/>
  <c r="S6931" i="1" a="1"/>
  <c r="S6931" i="1" s="1"/>
  <c r="J6931" i="1" a="1"/>
  <c r="J6931" i="1" s="1"/>
  <c r="O6931" i="1" a="1"/>
  <c r="O6931" i="1" s="1"/>
  <c r="M6931" i="1" a="1"/>
  <c r="M6931" i="1" s="1"/>
  <c r="B6932" i="1"/>
  <c r="I6931" i="1" a="1"/>
  <c r="I6931" i="1" s="1"/>
  <c r="P6931" i="1" a="1"/>
  <c r="P6931" i="1" s="1"/>
  <c r="K6931" i="1" a="1"/>
  <c r="K6931" i="1" s="1"/>
  <c r="Q6931" i="1" a="1"/>
  <c r="Q6931" i="1" s="1"/>
  <c r="L6931" i="1" a="1"/>
  <c r="L6931" i="1" s="1"/>
  <c r="R6931" i="1" a="1"/>
  <c r="R6931" i="1" s="1"/>
  <c r="A6932" i="1"/>
  <c r="H6931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O6932" i="1" l="1" a="1"/>
  <c r="O6932" i="1" s="1"/>
  <c r="K6932" i="1" a="1"/>
  <c r="K6932" i="1" s="1"/>
  <c r="M6932" i="1" a="1"/>
  <c r="M6932" i="1" s="1"/>
  <c r="S6932" i="1" a="1"/>
  <c r="S6932" i="1" s="1"/>
  <c r="N6932" i="1" a="1"/>
  <c r="N6932" i="1" s="1"/>
  <c r="B6933" i="1"/>
  <c r="I6932" i="1" a="1"/>
  <c r="I6932" i="1" s="1"/>
  <c r="P6932" i="1" a="1"/>
  <c r="P6932" i="1" s="1"/>
  <c r="J6932" i="1" a="1"/>
  <c r="J6932" i="1" s="1"/>
  <c r="Q6932" i="1" a="1"/>
  <c r="Q6932" i="1" s="1"/>
  <c r="R6932" i="1" a="1"/>
  <c r="R6932" i="1" s="1"/>
  <c r="L6932" i="1" a="1"/>
  <c r="L6932" i="1" s="1"/>
  <c r="A6933" i="1"/>
  <c r="H6932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B6934" i="1" l="1"/>
  <c r="K6933" i="1" a="1"/>
  <c r="K6933" i="1" s="1"/>
  <c r="P6933" i="1" a="1"/>
  <c r="P6933" i="1" s="1"/>
  <c r="L6933" i="1" a="1"/>
  <c r="L6933" i="1" s="1"/>
  <c r="R6933" i="1" a="1"/>
  <c r="R6933" i="1" s="1"/>
  <c r="M6933" i="1" a="1"/>
  <c r="M6933" i="1" s="1"/>
  <c r="S6933" i="1" a="1"/>
  <c r="S6933" i="1" s="1"/>
  <c r="N6933" i="1" a="1"/>
  <c r="N6933" i="1" s="1"/>
  <c r="I6933" i="1" a="1"/>
  <c r="I6933" i="1" s="1"/>
  <c r="O6933" i="1" a="1"/>
  <c r="O6933" i="1" s="1"/>
  <c r="J6933" i="1" a="1"/>
  <c r="J6933" i="1" s="1"/>
  <c r="Q6933" i="1" a="1"/>
  <c r="Q6933" i="1" s="1"/>
  <c r="H6933" i="1"/>
  <c r="A6934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H6934" i="1" l="1"/>
  <c r="A6935" i="1"/>
  <c r="L6934" i="1" a="1"/>
  <c r="L6934" i="1" s="1"/>
  <c r="Q6934" i="1" a="1"/>
  <c r="Q6934" i="1" s="1"/>
  <c r="K6934" i="1" a="1"/>
  <c r="K6934" i="1" s="1"/>
  <c r="R6934" i="1" a="1"/>
  <c r="R6934" i="1" s="1"/>
  <c r="M6934" i="1" a="1"/>
  <c r="M6934" i="1" s="1"/>
  <c r="S6934" i="1" a="1"/>
  <c r="S6934" i="1" s="1"/>
  <c r="N6934" i="1" a="1"/>
  <c r="N6934" i="1" s="1"/>
  <c r="I6934" i="1" a="1"/>
  <c r="I6934" i="1" s="1"/>
  <c r="B6935" i="1"/>
  <c r="O6934" i="1" a="1"/>
  <c r="O6934" i="1" s="1"/>
  <c r="P6934" i="1" a="1"/>
  <c r="P6934" i="1" s="1"/>
  <c r="J6934" i="1" a="1"/>
  <c r="J693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6935" i="1" l="1"/>
  <c r="A6936" i="1"/>
  <c r="Q6935" i="1" a="1"/>
  <c r="Q6935" i="1" s="1"/>
  <c r="M6935" i="1" a="1"/>
  <c r="M6935" i="1" s="1"/>
  <c r="J6935" i="1" a="1"/>
  <c r="J6935" i="1" s="1"/>
  <c r="P6935" i="1" a="1"/>
  <c r="P6935" i="1" s="1"/>
  <c r="K6935" i="1" a="1"/>
  <c r="K6935" i="1" s="1"/>
  <c r="R6935" i="1" a="1"/>
  <c r="R6935" i="1" s="1"/>
  <c r="L6935" i="1" a="1"/>
  <c r="L6935" i="1" s="1"/>
  <c r="S6935" i="1" a="1"/>
  <c r="S6935" i="1" s="1"/>
  <c r="N6935" i="1" a="1"/>
  <c r="N6935" i="1" s="1"/>
  <c r="I6935" i="1" a="1"/>
  <c r="I6935" i="1" s="1"/>
  <c r="O6935" i="1" a="1"/>
  <c r="O6935" i="1" s="1"/>
  <c r="B693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M6936" i="1" l="1" a="1"/>
  <c r="M6936" i="1" s="1"/>
  <c r="R6936" i="1" a="1"/>
  <c r="R6936" i="1" s="1"/>
  <c r="I6936" i="1" a="1"/>
  <c r="I6936" i="1" s="1"/>
  <c r="N6936" i="1" a="1"/>
  <c r="N6936" i="1" s="1"/>
  <c r="J6936" i="1" a="1"/>
  <c r="J6936" i="1" s="1"/>
  <c r="P6936" i="1" a="1"/>
  <c r="P6936" i="1" s="1"/>
  <c r="K6936" i="1" a="1"/>
  <c r="K6936" i="1" s="1"/>
  <c r="Q6936" i="1" a="1"/>
  <c r="Q6936" i="1" s="1"/>
  <c r="L6936" i="1" a="1"/>
  <c r="L6936" i="1" s="1"/>
  <c r="S6936" i="1" a="1"/>
  <c r="S6936" i="1" s="1"/>
  <c r="O6936" i="1" a="1"/>
  <c r="O6936" i="1" s="1"/>
  <c r="B6937" i="1"/>
  <c r="H6936" i="1"/>
  <c r="A6937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6937" i="1" l="1"/>
  <c r="A6938" i="1"/>
  <c r="B6938" i="1"/>
  <c r="N6937" i="1" a="1"/>
  <c r="N6937" i="1" s="1"/>
  <c r="J6937" i="1" a="1"/>
  <c r="J6937" i="1" s="1"/>
  <c r="S6937" i="1" a="1"/>
  <c r="S6937" i="1" s="1"/>
  <c r="O6937" i="1" a="1"/>
  <c r="O6937" i="1" s="1"/>
  <c r="I6937" i="1" a="1"/>
  <c r="I6937" i="1" s="1"/>
  <c r="P6937" i="1" a="1"/>
  <c r="P6937" i="1" s="1"/>
  <c r="K6937" i="1" a="1"/>
  <c r="K6937" i="1" s="1"/>
  <c r="Q6937" i="1" a="1"/>
  <c r="Q6937" i="1" s="1"/>
  <c r="L6937" i="1" a="1"/>
  <c r="L6937" i="1" s="1"/>
  <c r="R6937" i="1" a="1"/>
  <c r="R6937" i="1" s="1"/>
  <c r="M6937" i="1" a="1"/>
  <c r="M6937" i="1" s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J6938" i="1" l="1" a="1"/>
  <c r="J6938" i="1" s="1"/>
  <c r="S6938" i="1" a="1"/>
  <c r="S6938" i="1" s="1"/>
  <c r="O6938" i="1" a="1"/>
  <c r="O6938" i="1" s="1"/>
  <c r="B6939" i="1"/>
  <c r="N6938" i="1" a="1"/>
  <c r="N6938" i="1" s="1"/>
  <c r="I6938" i="1" a="1"/>
  <c r="I6938" i="1" s="1"/>
  <c r="P6938" i="1" a="1"/>
  <c r="P6938" i="1" s="1"/>
  <c r="L6938" i="1" a="1"/>
  <c r="L6938" i="1" s="1"/>
  <c r="K6938" i="1" a="1"/>
  <c r="K6938" i="1" s="1"/>
  <c r="M6938" i="1" a="1"/>
  <c r="M6938" i="1" s="1"/>
  <c r="Q6938" i="1" a="1"/>
  <c r="Q6938" i="1" s="1"/>
  <c r="R6938" i="1" a="1"/>
  <c r="R6938" i="1" s="1"/>
  <c r="A6939" i="1"/>
  <c r="H6938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A6940" i="1" l="1"/>
  <c r="H6939" i="1"/>
  <c r="K6939" i="1" a="1"/>
  <c r="K6939" i="1" s="1"/>
  <c r="P6939" i="1" a="1"/>
  <c r="P6939" i="1" s="1"/>
  <c r="B6940" i="1"/>
  <c r="M6939" i="1" a="1"/>
  <c r="M6939" i="1" s="1"/>
  <c r="S6939" i="1" a="1"/>
  <c r="S6939" i="1" s="1"/>
  <c r="N6939" i="1" a="1"/>
  <c r="N6939" i="1" s="1"/>
  <c r="I6939" i="1" a="1"/>
  <c r="I6939" i="1" s="1"/>
  <c r="O6939" i="1" a="1"/>
  <c r="O6939" i="1" s="1"/>
  <c r="J6939" i="1" a="1"/>
  <c r="J6939" i="1" s="1"/>
  <c r="Q6939" i="1" a="1"/>
  <c r="Q6939" i="1" s="1"/>
  <c r="L6939" i="1" a="1"/>
  <c r="L6939" i="1" s="1"/>
  <c r="R6939" i="1" a="1"/>
  <c r="R693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P6940" i="1" l="1" a="1"/>
  <c r="P6940" i="1" s="1"/>
  <c r="B6941" i="1"/>
  <c r="L6940" i="1" a="1"/>
  <c r="L6940" i="1" s="1"/>
  <c r="M6940" i="1" a="1"/>
  <c r="M6940" i="1" s="1"/>
  <c r="S6940" i="1" a="1"/>
  <c r="S6940" i="1" s="1"/>
  <c r="N6940" i="1" a="1"/>
  <c r="N6940" i="1" s="1"/>
  <c r="J6940" i="1" a="1"/>
  <c r="J6940" i="1" s="1"/>
  <c r="K6940" i="1" a="1"/>
  <c r="K6940" i="1" s="1"/>
  <c r="O6940" i="1" a="1"/>
  <c r="O6940" i="1" s="1"/>
  <c r="Q6940" i="1" a="1"/>
  <c r="Q6940" i="1" s="1"/>
  <c r="R6940" i="1" a="1"/>
  <c r="R6940" i="1" s="1"/>
  <c r="I6940" i="1" a="1"/>
  <c r="I6940" i="1" s="1"/>
  <c r="H6940" i="1"/>
  <c r="A694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6941" i="1" l="1"/>
  <c r="A6942" i="1"/>
  <c r="B6942" i="1"/>
  <c r="L6941" i="1" a="1"/>
  <c r="L6941" i="1" s="1"/>
  <c r="Q6941" i="1" a="1"/>
  <c r="Q6941" i="1" s="1"/>
  <c r="M6941" i="1" a="1"/>
  <c r="M6941" i="1" s="1"/>
  <c r="K6941" i="1" a="1"/>
  <c r="K6941" i="1" s="1"/>
  <c r="R6941" i="1" a="1"/>
  <c r="R6941" i="1" s="1"/>
  <c r="S6941" i="1" a="1"/>
  <c r="S6941" i="1" s="1"/>
  <c r="N6941" i="1" a="1"/>
  <c r="N6941" i="1" s="1"/>
  <c r="O6941" i="1" a="1"/>
  <c r="O6941" i="1" s="1"/>
  <c r="P6941" i="1" a="1"/>
  <c r="P6941" i="1" s="1"/>
  <c r="I6941" i="1" a="1"/>
  <c r="I6941" i="1" s="1"/>
  <c r="J6941" i="1" a="1"/>
  <c r="J6941" i="1" s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M6942" i="1" l="1" a="1"/>
  <c r="M6942" i="1" s="1"/>
  <c r="I6942" i="1" a="1"/>
  <c r="I6942" i="1" s="1"/>
  <c r="R6942" i="1" a="1"/>
  <c r="R6942" i="1" s="1"/>
  <c r="K6942" i="1" a="1"/>
  <c r="K6942" i="1" s="1"/>
  <c r="Q6942" i="1" a="1"/>
  <c r="Q6942" i="1" s="1"/>
  <c r="L6942" i="1" a="1"/>
  <c r="L6942" i="1" s="1"/>
  <c r="S6942" i="1" a="1"/>
  <c r="S6942" i="1" s="1"/>
  <c r="O6942" i="1" a="1"/>
  <c r="O6942" i="1" s="1"/>
  <c r="P6942" i="1" a="1"/>
  <c r="P6942" i="1" s="1"/>
  <c r="B6943" i="1"/>
  <c r="N6942" i="1" a="1"/>
  <c r="N6942" i="1" s="1"/>
  <c r="J6942" i="1" a="1"/>
  <c r="J6942" i="1" s="1"/>
  <c r="H6942" i="1"/>
  <c r="A694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6943" i="1" l="1"/>
  <c r="A6944" i="1"/>
  <c r="I6943" i="1" a="1"/>
  <c r="I6943" i="1" s="1"/>
  <c r="N6943" i="1" a="1"/>
  <c r="N6943" i="1" s="1"/>
  <c r="R6943" i="1" a="1"/>
  <c r="R6943" i="1" s="1"/>
  <c r="J6943" i="1" a="1"/>
  <c r="J6943" i="1" s="1"/>
  <c r="B6944" i="1"/>
  <c r="K6943" i="1" a="1"/>
  <c r="K6943" i="1" s="1"/>
  <c r="P6943" i="1" a="1"/>
  <c r="P6943" i="1" s="1"/>
  <c r="M6943" i="1" a="1"/>
  <c r="M6943" i="1" s="1"/>
  <c r="O6943" i="1" a="1"/>
  <c r="O6943" i="1" s="1"/>
  <c r="Q6943" i="1" a="1"/>
  <c r="Q6943" i="1" s="1"/>
  <c r="L6943" i="1" a="1"/>
  <c r="L6943" i="1" s="1"/>
  <c r="S6943" i="1" a="1"/>
  <c r="S694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6945" i="1" l="1"/>
  <c r="I6944" i="1" a="1"/>
  <c r="I6944" i="1" s="1"/>
  <c r="M6944" i="1" a="1"/>
  <c r="M6944" i="1" s="1"/>
  <c r="Q6944" i="1" a="1"/>
  <c r="Q6944" i="1" s="1"/>
  <c r="N6944" i="1" a="1"/>
  <c r="N6944" i="1" s="1"/>
  <c r="S6944" i="1" a="1"/>
  <c r="S6944" i="1" s="1"/>
  <c r="J6944" i="1" a="1"/>
  <c r="J6944" i="1" s="1"/>
  <c r="R6944" i="1" a="1"/>
  <c r="R6944" i="1" s="1"/>
  <c r="K6944" i="1" a="1"/>
  <c r="K6944" i="1" s="1"/>
  <c r="L6944" i="1" a="1"/>
  <c r="L6944" i="1" s="1"/>
  <c r="O6944" i="1" a="1"/>
  <c r="O6944" i="1" s="1"/>
  <c r="P6944" i="1" a="1"/>
  <c r="P6944" i="1" s="1"/>
  <c r="H6944" i="1"/>
  <c r="A6945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6946" i="1" l="1"/>
  <c r="H6945" i="1"/>
  <c r="L6945" i="1" a="1"/>
  <c r="L6945" i="1" s="1"/>
  <c r="P6945" i="1" a="1"/>
  <c r="P6945" i="1" s="1"/>
  <c r="K6945" i="1" a="1"/>
  <c r="K6945" i="1" s="1"/>
  <c r="Q6945" i="1" a="1"/>
  <c r="Q6945" i="1" s="1"/>
  <c r="N6945" i="1" a="1"/>
  <c r="N6945" i="1" s="1"/>
  <c r="O6945" i="1" a="1"/>
  <c r="O6945" i="1" s="1"/>
  <c r="I6945" i="1" a="1"/>
  <c r="I6945" i="1" s="1"/>
  <c r="R6945" i="1" a="1"/>
  <c r="R6945" i="1" s="1"/>
  <c r="B6946" i="1"/>
  <c r="J6945" i="1" a="1"/>
  <c r="J6945" i="1" s="1"/>
  <c r="M6945" i="1" a="1"/>
  <c r="M6945" i="1" s="1"/>
  <c r="S6945" i="1" a="1"/>
  <c r="S6945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K6946" i="1" l="1" a="1"/>
  <c r="K6946" i="1" s="1"/>
  <c r="O6946" i="1" a="1"/>
  <c r="O6946" i="1" s="1"/>
  <c r="S6946" i="1" a="1"/>
  <c r="S6946" i="1" s="1"/>
  <c r="I6946" i="1" a="1"/>
  <c r="I6946" i="1" s="1"/>
  <c r="N6946" i="1" a="1"/>
  <c r="N6946" i="1" s="1"/>
  <c r="B6947" i="1"/>
  <c r="Q6946" i="1" a="1"/>
  <c r="Q6946" i="1" s="1"/>
  <c r="J6946" i="1" a="1"/>
  <c r="J6946" i="1" s="1"/>
  <c r="R6946" i="1" a="1"/>
  <c r="R6946" i="1" s="1"/>
  <c r="L6946" i="1" a="1"/>
  <c r="L6946" i="1" s="1"/>
  <c r="M6946" i="1" a="1"/>
  <c r="M6946" i="1" s="1"/>
  <c r="P6946" i="1" a="1"/>
  <c r="P6946" i="1" s="1"/>
  <c r="H6946" i="1"/>
  <c r="A6947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H6947" i="1" l="1"/>
  <c r="A6948" i="1"/>
  <c r="J6947" i="1" a="1"/>
  <c r="J6947" i="1" s="1"/>
  <c r="N6947" i="1" a="1"/>
  <c r="N6947" i="1" s="1"/>
  <c r="R6947" i="1" a="1"/>
  <c r="R6947" i="1" s="1"/>
  <c r="L6947" i="1" a="1"/>
  <c r="L6947" i="1" s="1"/>
  <c r="Q6947" i="1" a="1"/>
  <c r="Q6947" i="1" s="1"/>
  <c r="M6947" i="1" a="1"/>
  <c r="M6947" i="1" s="1"/>
  <c r="B6948" i="1"/>
  <c r="O6947" i="1" a="1"/>
  <c r="O6947" i="1" s="1"/>
  <c r="P6947" i="1" a="1"/>
  <c r="P6947" i="1" s="1"/>
  <c r="I6947" i="1" a="1"/>
  <c r="I6947" i="1" s="1"/>
  <c r="K6947" i="1" a="1"/>
  <c r="K6947" i="1" s="1"/>
  <c r="S6947" i="1" a="1"/>
  <c r="S6947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6948" i="1" l="1"/>
  <c r="A6949" i="1"/>
  <c r="B6949" i="1"/>
  <c r="I6948" i="1" a="1"/>
  <c r="I6948" i="1" s="1"/>
  <c r="M6948" i="1" a="1"/>
  <c r="M6948" i="1" s="1"/>
  <c r="Q6948" i="1" a="1"/>
  <c r="Q6948" i="1" s="1"/>
  <c r="J6948" i="1" a="1"/>
  <c r="J6948" i="1" s="1"/>
  <c r="O6948" i="1" a="1"/>
  <c r="O6948" i="1" s="1"/>
  <c r="R6948" i="1" a="1"/>
  <c r="R6948" i="1" s="1"/>
  <c r="K6948" i="1" a="1"/>
  <c r="K6948" i="1" s="1"/>
  <c r="S6948" i="1" a="1"/>
  <c r="S6948" i="1" s="1"/>
  <c r="L6948" i="1" a="1"/>
  <c r="L6948" i="1" s="1"/>
  <c r="N6948" i="1" a="1"/>
  <c r="N6948" i="1" s="1"/>
  <c r="P6948" i="1" a="1"/>
  <c r="P6948" i="1" s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L6949" i="1" l="1" a="1"/>
  <c r="L6949" i="1" s="1"/>
  <c r="P6949" i="1" a="1"/>
  <c r="P6949" i="1" s="1"/>
  <c r="M6949" i="1" a="1"/>
  <c r="M6949" i="1" s="1"/>
  <c r="R6949" i="1" a="1"/>
  <c r="R6949" i="1" s="1"/>
  <c r="K6949" i="1" a="1"/>
  <c r="K6949" i="1" s="1"/>
  <c r="N6949" i="1" a="1"/>
  <c r="N6949" i="1" s="1"/>
  <c r="O6949" i="1" a="1"/>
  <c r="O6949" i="1" s="1"/>
  <c r="I6949" i="1" a="1"/>
  <c r="I6949" i="1" s="1"/>
  <c r="Q6949" i="1" a="1"/>
  <c r="Q6949" i="1" s="1"/>
  <c r="S6949" i="1" a="1"/>
  <c r="S6949" i="1" s="1"/>
  <c r="B6950" i="1"/>
  <c r="J6949" i="1" a="1"/>
  <c r="J6949" i="1" s="1"/>
  <c r="A6950" i="1"/>
  <c r="H6949" i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K6950" i="1" l="1" a="1"/>
  <c r="K6950" i="1" s="1"/>
  <c r="O6950" i="1" a="1"/>
  <c r="O6950" i="1" s="1"/>
  <c r="S6950" i="1" a="1"/>
  <c r="S6950" i="1" s="1"/>
  <c r="B6951" i="1"/>
  <c r="J6950" i="1" a="1"/>
  <c r="J6950" i="1" s="1"/>
  <c r="P6950" i="1" a="1"/>
  <c r="P6950" i="1" s="1"/>
  <c r="Q6950" i="1" a="1"/>
  <c r="Q6950" i="1" s="1"/>
  <c r="I6950" i="1" a="1"/>
  <c r="I6950" i="1" s="1"/>
  <c r="R6950" i="1" a="1"/>
  <c r="R6950" i="1" s="1"/>
  <c r="L6950" i="1" a="1"/>
  <c r="L6950" i="1" s="1"/>
  <c r="M6950" i="1" a="1"/>
  <c r="M6950" i="1" s="1"/>
  <c r="N6950" i="1" a="1"/>
  <c r="N6950" i="1" s="1"/>
  <c r="H6950" i="1"/>
  <c r="A695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J6951" i="1" l="1" a="1"/>
  <c r="J6951" i="1" s="1"/>
  <c r="N6951" i="1" a="1"/>
  <c r="N6951" i="1" s="1"/>
  <c r="R6951" i="1" a="1"/>
  <c r="R6951" i="1" s="1"/>
  <c r="M6951" i="1" a="1"/>
  <c r="M6951" i="1" s="1"/>
  <c r="S6951" i="1" a="1"/>
  <c r="S6951" i="1" s="1"/>
  <c r="B6952" i="1"/>
  <c r="L6951" i="1" a="1"/>
  <c r="L6951" i="1" s="1"/>
  <c r="O6951" i="1" a="1"/>
  <c r="O6951" i="1" s="1"/>
  <c r="P6951" i="1" a="1"/>
  <c r="P6951" i="1" s="1"/>
  <c r="K6951" i="1" a="1"/>
  <c r="K6951" i="1" s="1"/>
  <c r="Q6951" i="1" a="1"/>
  <c r="Q6951" i="1" s="1"/>
  <c r="I6951" i="1" a="1"/>
  <c r="I6951" i="1" s="1"/>
  <c r="H6951" i="1"/>
  <c r="A6952" i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H6952" i="1" l="1"/>
  <c r="A6953" i="1"/>
  <c r="B6953" i="1"/>
  <c r="I6952" i="1" a="1"/>
  <c r="I6952" i="1" s="1"/>
  <c r="M6952" i="1" a="1"/>
  <c r="M6952" i="1" s="1"/>
  <c r="Q6952" i="1" a="1"/>
  <c r="Q6952" i="1" s="1"/>
  <c r="K6952" i="1" a="1"/>
  <c r="K6952" i="1" s="1"/>
  <c r="P6952" i="1" a="1"/>
  <c r="P6952" i="1" s="1"/>
  <c r="O6952" i="1" a="1"/>
  <c r="O6952" i="1" s="1"/>
  <c r="R6952" i="1" a="1"/>
  <c r="R6952" i="1" s="1"/>
  <c r="J6952" i="1" a="1"/>
  <c r="J6952" i="1" s="1"/>
  <c r="S6952" i="1" a="1"/>
  <c r="S6952" i="1" s="1"/>
  <c r="L6952" i="1" a="1"/>
  <c r="L6952" i="1" s="1"/>
  <c r="N6952" i="1" a="1"/>
  <c r="N6952" i="1" s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L6953" i="1" l="1" a="1"/>
  <c r="L6953" i="1" s="1"/>
  <c r="P6953" i="1" a="1"/>
  <c r="P6953" i="1" s="1"/>
  <c r="I6953" i="1" a="1"/>
  <c r="I6953" i="1" s="1"/>
  <c r="N6953" i="1" a="1"/>
  <c r="N6953" i="1" s="1"/>
  <c r="S6953" i="1" a="1"/>
  <c r="S6953" i="1" s="1"/>
  <c r="B6954" i="1"/>
  <c r="K6953" i="1" a="1"/>
  <c r="K6953" i="1" s="1"/>
  <c r="M6953" i="1" a="1"/>
  <c r="M6953" i="1" s="1"/>
  <c r="O6953" i="1" a="1"/>
  <c r="O6953" i="1" s="1"/>
  <c r="J6953" i="1" a="1"/>
  <c r="J6953" i="1" s="1"/>
  <c r="Q6953" i="1" a="1"/>
  <c r="Q6953" i="1" s="1"/>
  <c r="R6953" i="1" a="1"/>
  <c r="R6953" i="1" s="1"/>
  <c r="A6954" i="1"/>
  <c r="H6953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H6954" i="1" l="1"/>
  <c r="A6955" i="1"/>
  <c r="K6954" i="1" a="1"/>
  <c r="K6954" i="1" s="1"/>
  <c r="O6954" i="1" a="1"/>
  <c r="O6954" i="1" s="1"/>
  <c r="S6954" i="1" a="1"/>
  <c r="S6954" i="1" s="1"/>
  <c r="L6954" i="1" a="1"/>
  <c r="L6954" i="1" s="1"/>
  <c r="Q6954" i="1" a="1"/>
  <c r="Q6954" i="1" s="1"/>
  <c r="P6954" i="1" a="1"/>
  <c r="P6954" i="1" s="1"/>
  <c r="I6954" i="1" a="1"/>
  <c r="I6954" i="1" s="1"/>
  <c r="R6954" i="1" a="1"/>
  <c r="R6954" i="1" s="1"/>
  <c r="J6954" i="1" a="1"/>
  <c r="J6954" i="1" s="1"/>
  <c r="B6955" i="1"/>
  <c r="M6954" i="1" a="1"/>
  <c r="M6954" i="1" s="1"/>
  <c r="N6954" i="1" a="1"/>
  <c r="N6954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J6955" i="1" l="1" a="1"/>
  <c r="J6955" i="1" s="1"/>
  <c r="N6955" i="1" a="1"/>
  <c r="N6955" i="1" s="1"/>
  <c r="R6955" i="1" a="1"/>
  <c r="R6955" i="1" s="1"/>
  <c r="I6955" i="1" a="1"/>
  <c r="I6955" i="1" s="1"/>
  <c r="O6955" i="1" a="1"/>
  <c r="O6955" i="1" s="1"/>
  <c r="B6956" i="1"/>
  <c r="S6955" i="1" a="1"/>
  <c r="S6955" i="1" s="1"/>
  <c r="L6955" i="1" a="1"/>
  <c r="L6955" i="1" s="1"/>
  <c r="M6955" i="1" a="1"/>
  <c r="M6955" i="1" s="1"/>
  <c r="P6955" i="1" a="1"/>
  <c r="P6955" i="1" s="1"/>
  <c r="K6955" i="1" a="1"/>
  <c r="K6955" i="1" s="1"/>
  <c r="Q6955" i="1" a="1"/>
  <c r="Q6955" i="1" s="1"/>
  <c r="H6955" i="1"/>
  <c r="A6956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H6956" i="1" l="1"/>
  <c r="A6957" i="1"/>
  <c r="B6957" i="1"/>
  <c r="I6956" i="1" a="1"/>
  <c r="I6956" i="1" s="1"/>
  <c r="M6956" i="1" a="1"/>
  <c r="M6956" i="1" s="1"/>
  <c r="Q6956" i="1" a="1"/>
  <c r="Q6956" i="1" s="1"/>
  <c r="L6956" i="1" a="1"/>
  <c r="L6956" i="1" s="1"/>
  <c r="R6956" i="1" a="1"/>
  <c r="R6956" i="1" s="1"/>
  <c r="O6956" i="1" a="1"/>
  <c r="O6956" i="1" s="1"/>
  <c r="P6956" i="1" a="1"/>
  <c r="P6956" i="1" s="1"/>
  <c r="J6956" i="1" a="1"/>
  <c r="J6956" i="1" s="1"/>
  <c r="S6956" i="1" a="1"/>
  <c r="S6956" i="1" s="1"/>
  <c r="K6956" i="1" a="1"/>
  <c r="K6956" i="1" s="1"/>
  <c r="N6956" i="1" a="1"/>
  <c r="N6956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L6957" i="1" l="1" a="1"/>
  <c r="L6957" i="1" s="1"/>
  <c r="P6957" i="1" a="1"/>
  <c r="P6957" i="1" s="1"/>
  <c r="B6958" i="1"/>
  <c r="J6957" i="1" a="1"/>
  <c r="J6957" i="1" s="1"/>
  <c r="O6957" i="1" a="1"/>
  <c r="O6957" i="1" s="1"/>
  <c r="K6957" i="1" a="1"/>
  <c r="K6957" i="1" s="1"/>
  <c r="S6957" i="1" a="1"/>
  <c r="S6957" i="1" s="1"/>
  <c r="M6957" i="1" a="1"/>
  <c r="M6957" i="1" s="1"/>
  <c r="N6957" i="1" a="1"/>
  <c r="N6957" i="1" s="1"/>
  <c r="I6957" i="1" a="1"/>
  <c r="I6957" i="1" s="1"/>
  <c r="Q6957" i="1" a="1"/>
  <c r="Q6957" i="1" s="1"/>
  <c r="R6957" i="1" a="1"/>
  <c r="R6957" i="1" s="1"/>
  <c r="A6958" i="1"/>
  <c r="H6957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H6958" i="1" l="1"/>
  <c r="A6959" i="1"/>
  <c r="K6958" i="1" a="1"/>
  <c r="K6958" i="1" s="1"/>
  <c r="O6958" i="1" a="1"/>
  <c r="O6958" i="1" s="1"/>
  <c r="S6958" i="1" a="1"/>
  <c r="S6958" i="1" s="1"/>
  <c r="M6958" i="1" a="1"/>
  <c r="M6958" i="1" s="1"/>
  <c r="R6958" i="1" a="1"/>
  <c r="R6958" i="1" s="1"/>
  <c r="P6958" i="1" a="1"/>
  <c r="P6958" i="1" s="1"/>
  <c r="I6958" i="1" a="1"/>
  <c r="I6958" i="1" s="1"/>
  <c r="Q6958" i="1" a="1"/>
  <c r="Q6958" i="1" s="1"/>
  <c r="J6958" i="1" a="1"/>
  <c r="J6958" i="1" s="1"/>
  <c r="L6958" i="1" a="1"/>
  <c r="L6958" i="1" s="1"/>
  <c r="N6958" i="1" a="1"/>
  <c r="N6958" i="1" s="1"/>
  <c r="B695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J6959" i="1" l="1" a="1"/>
  <c r="J6959" i="1" s="1"/>
  <c r="N6959" i="1" a="1"/>
  <c r="N6959" i="1" s="1"/>
  <c r="R6959" i="1" a="1"/>
  <c r="R6959" i="1" s="1"/>
  <c r="B6960" i="1"/>
  <c r="K6959" i="1" a="1"/>
  <c r="K6959" i="1" s="1"/>
  <c r="P6959" i="1" a="1"/>
  <c r="P6959" i="1" s="1"/>
  <c r="I6959" i="1" a="1"/>
  <c r="I6959" i="1" s="1"/>
  <c r="S6959" i="1" a="1"/>
  <c r="S6959" i="1" s="1"/>
  <c r="L6959" i="1" a="1"/>
  <c r="L6959" i="1" s="1"/>
  <c r="M6959" i="1" a="1"/>
  <c r="M6959" i="1" s="1"/>
  <c r="O6959" i="1" a="1"/>
  <c r="O6959" i="1" s="1"/>
  <c r="Q6959" i="1" a="1"/>
  <c r="Q6959" i="1" s="1"/>
  <c r="A6960" i="1"/>
  <c r="H6959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6960" i="1" l="1"/>
  <c r="A6961" i="1"/>
  <c r="B6961" i="1"/>
  <c r="I6960" i="1" a="1"/>
  <c r="I6960" i="1" s="1"/>
  <c r="M6960" i="1" a="1"/>
  <c r="M6960" i="1" s="1"/>
  <c r="Q6960" i="1" a="1"/>
  <c r="Q6960" i="1" s="1"/>
  <c r="N6960" i="1" a="1"/>
  <c r="N6960" i="1" s="1"/>
  <c r="S6960" i="1" a="1"/>
  <c r="S6960" i="1" s="1"/>
  <c r="O6960" i="1" a="1"/>
  <c r="O6960" i="1" s="1"/>
  <c r="P6960" i="1" a="1"/>
  <c r="P6960" i="1" s="1"/>
  <c r="J6960" i="1" a="1"/>
  <c r="J6960" i="1" s="1"/>
  <c r="R6960" i="1" a="1"/>
  <c r="R6960" i="1" s="1"/>
  <c r="K6960" i="1" a="1"/>
  <c r="K6960" i="1" s="1"/>
  <c r="L6960" i="1" a="1"/>
  <c r="L696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6962" i="1" l="1"/>
  <c r="H6961" i="1"/>
  <c r="L6961" i="1" a="1"/>
  <c r="L6961" i="1" s="1"/>
  <c r="P6961" i="1" a="1"/>
  <c r="P6961" i="1" s="1"/>
  <c r="K6961" i="1" a="1"/>
  <c r="K6961" i="1" s="1"/>
  <c r="Q6961" i="1" a="1"/>
  <c r="Q6961" i="1" s="1"/>
  <c r="J6961" i="1" a="1"/>
  <c r="J6961" i="1" s="1"/>
  <c r="S6961" i="1" a="1"/>
  <c r="S6961" i="1" s="1"/>
  <c r="M6961" i="1" a="1"/>
  <c r="M6961" i="1" s="1"/>
  <c r="B6962" i="1"/>
  <c r="N6961" i="1" a="1"/>
  <c r="N6961" i="1" s="1"/>
  <c r="R6961" i="1" a="1"/>
  <c r="R6961" i="1" s="1"/>
  <c r="I6961" i="1" a="1"/>
  <c r="I6961" i="1" s="1"/>
  <c r="O6961" i="1" a="1"/>
  <c r="O6961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K6962" i="1" l="1" a="1"/>
  <c r="K6962" i="1" s="1"/>
  <c r="O6962" i="1" a="1"/>
  <c r="O6962" i="1" s="1"/>
  <c r="S6962" i="1" a="1"/>
  <c r="S6962" i="1" s="1"/>
  <c r="I6962" i="1" a="1"/>
  <c r="I6962" i="1" s="1"/>
  <c r="N6962" i="1" a="1"/>
  <c r="N6962" i="1" s="1"/>
  <c r="B6963" i="1"/>
  <c r="M6962" i="1" a="1"/>
  <c r="M6962" i="1" s="1"/>
  <c r="P6962" i="1" a="1"/>
  <c r="P6962" i="1" s="1"/>
  <c r="Q6962" i="1" a="1"/>
  <c r="Q6962" i="1" s="1"/>
  <c r="J6962" i="1" a="1"/>
  <c r="J6962" i="1" s="1"/>
  <c r="L6962" i="1" a="1"/>
  <c r="L6962" i="1" s="1"/>
  <c r="R6962" i="1" a="1"/>
  <c r="R6962" i="1" s="1"/>
  <c r="H6962" i="1"/>
  <c r="A696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6964" i="1" l="1"/>
  <c r="H6963" i="1"/>
  <c r="K6963" i="1" a="1"/>
  <c r="K6963" i="1" s="1"/>
  <c r="L6963" i="1" a="1"/>
  <c r="L6963" i="1" s="1"/>
  <c r="B6964" i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B6965" i="1" l="1"/>
  <c r="P6964" i="1" a="1"/>
  <c r="P6964" i="1" s="1"/>
  <c r="M6964" i="1" a="1"/>
  <c r="M6964" i="1" s="1"/>
  <c r="N6964" i="1" a="1"/>
  <c r="N6964" i="1" s="1"/>
  <c r="I6964" i="1" a="1"/>
  <c r="I6964" i="1" s="1"/>
  <c r="O6964" i="1" a="1"/>
  <c r="O6964" i="1" s="1"/>
  <c r="J6964" i="1" a="1"/>
  <c r="J6964" i="1" s="1"/>
  <c r="Q6964" i="1" a="1"/>
  <c r="Q6964" i="1" s="1"/>
  <c r="R6964" i="1" a="1"/>
  <c r="R6964" i="1" s="1"/>
  <c r="S6964" i="1" a="1"/>
  <c r="S6964" i="1" s="1"/>
  <c r="K6964" i="1" a="1"/>
  <c r="K6964" i="1" s="1"/>
  <c r="L6964" i="1" a="1"/>
  <c r="L6964" i="1" s="1"/>
  <c r="H6964" i="1"/>
  <c r="A6965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6966" i="1" l="1"/>
  <c r="H6965" i="1"/>
  <c r="Q6965" i="1" a="1"/>
  <c r="Q6965" i="1" s="1"/>
  <c r="I6965" i="1" a="1"/>
  <c r="I6965" i="1" s="1"/>
  <c r="R6965" i="1" a="1"/>
  <c r="R6965" i="1" s="1"/>
  <c r="M6965" i="1" a="1"/>
  <c r="M6965" i="1" s="1"/>
  <c r="S6965" i="1" a="1"/>
  <c r="S6965" i="1" s="1"/>
  <c r="N6965" i="1" a="1"/>
  <c r="N6965" i="1" s="1"/>
  <c r="B6966" i="1"/>
  <c r="O6965" i="1" a="1"/>
  <c r="O6965" i="1" s="1"/>
  <c r="J6965" i="1" a="1"/>
  <c r="J6965" i="1" s="1"/>
  <c r="P6965" i="1" a="1"/>
  <c r="P6965" i="1" s="1"/>
  <c r="K6965" i="1" a="1"/>
  <c r="K6965" i="1" s="1"/>
  <c r="L6965" i="1" a="1"/>
  <c r="L696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B6967" i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B6968" i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B6972" i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6975" i="1" l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B6975" i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B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B6978" i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A6982" i="1"/>
  <c r="K6981" i="1" a="1"/>
  <c r="K6981" i="1" s="1"/>
  <c r="P6981" i="1" a="1"/>
  <c r="P6981" i="1" s="1"/>
  <c r="B6982" i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6982" i="1" l="1" a="1"/>
  <c r="L6982" i="1" s="1"/>
  <c r="Q6982" i="1" a="1"/>
  <c r="Q6982" i="1" s="1"/>
  <c r="M6982" i="1" a="1"/>
  <c r="M6982" i="1" s="1"/>
  <c r="I6982" i="1" a="1"/>
  <c r="I6982" i="1" s="1"/>
  <c r="R6982" i="1" a="1"/>
  <c r="R6982" i="1" s="1"/>
  <c r="N6982" i="1" a="1"/>
  <c r="N6982" i="1" s="1"/>
  <c r="S6982" i="1" a="1"/>
  <c r="S6982" i="1" s="1"/>
  <c r="O6982" i="1" a="1"/>
  <c r="O6982" i="1" s="1"/>
  <c r="P6982" i="1" a="1"/>
  <c r="P6982" i="1" s="1"/>
  <c r="B6983" i="1"/>
  <c r="J6982" i="1" a="1"/>
  <c r="J6982" i="1" s="1"/>
  <c r="K6982" i="1" a="1"/>
  <c r="K6982" i="1" s="1"/>
  <c r="H6982" i="1"/>
  <c r="A6983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H6983" i="1" l="1"/>
  <c r="A6984" i="1"/>
  <c r="Q6983" i="1" a="1"/>
  <c r="Q6983" i="1" s="1"/>
  <c r="M6983" i="1" a="1"/>
  <c r="M6983" i="1" s="1"/>
  <c r="R6983" i="1" a="1"/>
  <c r="R6983" i="1" s="1"/>
  <c r="I6983" i="1" a="1"/>
  <c r="I6983" i="1" s="1"/>
  <c r="N6983" i="1" a="1"/>
  <c r="N6983" i="1" s="1"/>
  <c r="J6983" i="1" a="1"/>
  <c r="J6983" i="1" s="1"/>
  <c r="S6983" i="1" a="1"/>
  <c r="S6983" i="1" s="1"/>
  <c r="O6983" i="1" a="1"/>
  <c r="O6983" i="1" s="1"/>
  <c r="L6983" i="1" a="1"/>
  <c r="L6983" i="1" s="1"/>
  <c r="P6983" i="1" a="1"/>
  <c r="P6983" i="1" s="1"/>
  <c r="K6983" i="1" a="1"/>
  <c r="K6983" i="1" s="1"/>
  <c r="B6984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B6985" i="1" l="1"/>
  <c r="I6984" i="1" a="1"/>
  <c r="I6984" i="1" s="1"/>
  <c r="R6984" i="1" a="1"/>
  <c r="R6984" i="1" s="1"/>
  <c r="N6984" i="1" a="1"/>
  <c r="N6984" i="1" s="1"/>
  <c r="J6984" i="1" a="1"/>
  <c r="J6984" i="1" s="1"/>
  <c r="S6984" i="1" a="1"/>
  <c r="S6984" i="1" s="1"/>
  <c r="O6984" i="1" a="1"/>
  <c r="O6984" i="1" s="1"/>
  <c r="K6984" i="1" a="1"/>
  <c r="K6984" i="1" s="1"/>
  <c r="L6984" i="1" a="1"/>
  <c r="L6984" i="1" s="1"/>
  <c r="M6984" i="1" a="1"/>
  <c r="M6984" i="1" s="1"/>
  <c r="P6984" i="1" a="1"/>
  <c r="P6984" i="1" s="1"/>
  <c r="Q6984" i="1" a="1"/>
  <c r="Q6984" i="1" s="1"/>
  <c r="H6984" i="1"/>
  <c r="A6985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6986" i="1" l="1"/>
  <c r="H6985" i="1"/>
  <c r="N6985" i="1" a="1"/>
  <c r="N6985" i="1" s="1"/>
  <c r="J6985" i="1" a="1"/>
  <c r="J6985" i="1" s="1"/>
  <c r="S6985" i="1" a="1"/>
  <c r="S6985" i="1" s="1"/>
  <c r="O6985" i="1" a="1"/>
  <c r="O6985" i="1" s="1"/>
  <c r="K6985" i="1" a="1"/>
  <c r="K6985" i="1" s="1"/>
  <c r="P6985" i="1" a="1"/>
  <c r="P6985" i="1" s="1"/>
  <c r="B6986" i="1"/>
  <c r="L6985" i="1" a="1"/>
  <c r="L6985" i="1" s="1"/>
  <c r="I6985" i="1" a="1"/>
  <c r="I6985" i="1" s="1"/>
  <c r="M6985" i="1" a="1"/>
  <c r="M6985" i="1" s="1"/>
  <c r="Q6985" i="1" a="1"/>
  <c r="Q6985" i="1" s="1"/>
  <c r="R6985" i="1" a="1"/>
  <c r="R6985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986" i="1" l="1" a="1"/>
  <c r="J6986" i="1" s="1"/>
  <c r="O6986" i="1" a="1"/>
  <c r="O6986" i="1" s="1"/>
  <c r="K6986" i="1" a="1"/>
  <c r="K6986" i="1" s="1"/>
  <c r="P6986" i="1" a="1"/>
  <c r="P6986" i="1" s="1"/>
  <c r="B6987" i="1"/>
  <c r="L6986" i="1" a="1"/>
  <c r="L6986" i="1" s="1"/>
  <c r="Q6986" i="1" a="1"/>
  <c r="Q6986" i="1" s="1"/>
  <c r="I6986" i="1" a="1"/>
  <c r="I6986" i="1" s="1"/>
  <c r="M6986" i="1" a="1"/>
  <c r="M6986" i="1" s="1"/>
  <c r="N6986" i="1" a="1"/>
  <c r="N6986" i="1" s="1"/>
  <c r="R6986" i="1" a="1"/>
  <c r="R6986" i="1" s="1"/>
  <c r="S6986" i="1" a="1"/>
  <c r="S6986" i="1" s="1"/>
  <c r="A6987" i="1"/>
  <c r="H6986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6987" i="1" l="1" a="1"/>
  <c r="K6987" i="1" s="1"/>
  <c r="P6987" i="1" a="1"/>
  <c r="P6987" i="1" s="1"/>
  <c r="B6988" i="1"/>
  <c r="L6987" i="1" a="1"/>
  <c r="L6987" i="1" s="1"/>
  <c r="Q6987" i="1" a="1"/>
  <c r="Q6987" i="1" s="1"/>
  <c r="M6987" i="1" a="1"/>
  <c r="M6987" i="1" s="1"/>
  <c r="R6987" i="1" a="1"/>
  <c r="R6987" i="1" s="1"/>
  <c r="I6987" i="1" a="1"/>
  <c r="I6987" i="1" s="1"/>
  <c r="J6987" i="1" a="1"/>
  <c r="J6987" i="1" s="1"/>
  <c r="N6987" i="1" a="1"/>
  <c r="N6987" i="1" s="1"/>
  <c r="O6987" i="1" a="1"/>
  <c r="O6987" i="1" s="1"/>
  <c r="S6987" i="1" a="1"/>
  <c r="S6987" i="1" s="1"/>
  <c r="A6988" i="1"/>
  <c r="H698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6988" i="1" l="1"/>
  <c r="A6989" i="1"/>
  <c r="B6989" i="1"/>
  <c r="P6988" i="1" a="1"/>
  <c r="P6988" i="1" s="1"/>
  <c r="L6988" i="1" a="1"/>
  <c r="L6988" i="1" s="1"/>
  <c r="Q6988" i="1" a="1"/>
  <c r="Q6988" i="1" s="1"/>
  <c r="M6988" i="1" a="1"/>
  <c r="M6988" i="1" s="1"/>
  <c r="I6988" i="1" a="1"/>
  <c r="I6988" i="1" s="1"/>
  <c r="R6988" i="1" a="1"/>
  <c r="R6988" i="1" s="1"/>
  <c r="N6988" i="1" a="1"/>
  <c r="N6988" i="1" s="1"/>
  <c r="J6988" i="1" a="1"/>
  <c r="J6988" i="1" s="1"/>
  <c r="K6988" i="1" a="1"/>
  <c r="K6988" i="1" s="1"/>
  <c r="O6988" i="1" a="1"/>
  <c r="O6988" i="1" s="1"/>
  <c r="S6988" i="1" a="1"/>
  <c r="S698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Q6989" i="1" l="1" a="1"/>
  <c r="Q6989" i="1" s="1"/>
  <c r="M6989" i="1" a="1"/>
  <c r="M6989" i="1" s="1"/>
  <c r="I6989" i="1" a="1"/>
  <c r="I6989" i="1" s="1"/>
  <c r="R6989" i="1" a="1"/>
  <c r="R6989" i="1" s="1"/>
  <c r="N6989" i="1" a="1"/>
  <c r="N6989" i="1" s="1"/>
  <c r="J6989" i="1" a="1"/>
  <c r="J6989" i="1" s="1"/>
  <c r="S6989" i="1" a="1"/>
  <c r="S6989" i="1" s="1"/>
  <c r="B6990" i="1"/>
  <c r="K6989" i="1" a="1"/>
  <c r="K6989" i="1" s="1"/>
  <c r="O6989" i="1" a="1"/>
  <c r="O6989" i="1" s="1"/>
  <c r="L6989" i="1" a="1"/>
  <c r="L6989" i="1" s="1"/>
  <c r="P6989" i="1" a="1"/>
  <c r="P6989" i="1" s="1"/>
  <c r="H6989" i="1"/>
  <c r="A6990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E228" i="2" l="1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<sst xmlns="http://schemas.openxmlformats.org/spreadsheetml/2006/main" count="67986" uniqueCount="26">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</sst>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6909" activePane="bottomLeft" state="frozen"/>
      <selection pane="bottomLeft" activeCell="D6920" sqref="D692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tr">
        <f t="shared" ref="B6920" si="1308">B6919</f>
        <v>Northern Cardinal</v>
      </c>
      <c r="C6920" s="6">
        <v>0.28125</v>
      </c>
      <c r="D6920" s="5"/>
      <c r="E6920" s="5"/>
      <c r="F6920" s="5" t="s">
        <v>22</v>
      </c>
      <c r="G6920" s="15" t="s">
        <v>22</v>
      </c>
      <c r="H6920" s="24">
        <f t="shared" ref="H6866:H6999" si="1309">IFERROR((($A6920+$C6920) - ($A6919+$C6919))*24*60, "")</f>
        <v>796.99999999953434</v>
      </c>
      <c r="I6920" s="24" cm="1">
        <f t="array" ref="I6920">IFERROR(IF($B6920=I$1, ($A6920+$C6920) - MAX(IF($B$2:$B6919=$B6920, $A$2:$A6919+$C$2:$C6919)), "")*24*60, "")</f>
        <v>796.99999999953434</v>
      </c>
      <c r="J6920" s="24" t="str" cm="1">
        <f t="array" ref="J6920">IFERROR(IF($B6920=J$1, ($A6920+$C6920) - MAX(IF($B$2:$B6919=$B6920, $A$2:$A6919+$C$2:$C6919)), "")*24*60, "")</f>
        <v/>
      </c>
      <c r="K6920" s="24" t="str" cm="1">
        <f t="array" ref="K6920">IFERROR(IF($B6920=K$1, ($A6920+$C6920) - MAX(IF($B$2:$B6919=$B6920, $A$2:$A6919+$C$2:$C6919)), "")*24*60, "")</f>
        <v/>
      </c>
      <c r="L6920" s="24" t="str" cm="1">
        <f t="array" ref="L6920">IFERROR(IF($B6920=L$1, ($A6920+$C6920) - MAX(IF($B$2:$B6919=$B6920, $A$2:$A6919+$C$2:$C6919)), "")*24*60, "")</f>
        <v/>
      </c>
      <c r="M6920" s="24" t="str" cm="1">
        <f t="array" ref="M6920">IFERROR(IF($B6920=M$1, ($A6920+$C6920) - MAX(IF($B$2:$B6919=$B6920, $A$2:$A6919+$C$2:$C6919)), "")*24*60, "")</f>
        <v/>
      </c>
      <c r="N6920" s="24" t="str" cm="1">
        <f t="array" ref="N6920">IFERROR(IF($B6920=N$1, ($A6920+$C6920) - MAX(IF($B$2:$B6919=$B6920, $A$2:$A6919+$C$2:$C6919)), "")*24*60, "")</f>
        <v/>
      </c>
      <c r="O6920" s="24" t="str" cm="1">
        <f t="array" ref="O6920">IFERROR(IF($B6920=O$1, ($A6920+$C6920) - MAX(IF($B$2:$B6919=$B6920, $A$2:$A6919+$C$2:$C6919)), "")*24*60, "")</f>
        <v/>
      </c>
      <c r="P6920" s="24" t="str" cm="1">
        <f t="array" ref="P6920">IFERROR(IF($B6920=P$1, ($A6920+$C6920) - MAX(IF($B$2:$B6919=$B6920, $A$2:$A6919+$C$2:$C6919)), "")*24*60, "")</f>
        <v/>
      </c>
      <c r="Q6920" s="24" t="str" cm="1">
        <f t="array" ref="Q6920">IFERROR(IF($B6920=Q$1, ($A6920+$C6920) - MAX(IF($B$2:$B6919=$B6920, $A$2:$A6919+$C$2:$C6919)), "")*24*60, "")</f>
        <v/>
      </c>
      <c r="R6920" s="24" t="str" cm="1">
        <f t="array" ref="R6920">IFERROR(IF($B6920=R$1, ($A6920+$C6920) - MAX(IF($B$2:$B6919=$B6920, $A$2:$A6919+$C$2:$C6919)), "")*24*60, "")</f>
        <v/>
      </c>
      <c r="S6920" s="24" t="str" cm="1">
        <f t="array" ref="S6920">IFERROR(IF($B6920=S$1, ($A6920+$C6920) - MAX(IF($B$2:$B6919=$B6920, $A$2:$A6919+$C$2:$C6919)), "")*24*60, "")</f>
        <v/>
      </c>
    </row>
    <row r="6921" spans="1:19" x14ac:dyDescent="0.2">
      <c r="A6921" s="12">
        <f t="shared" ref="A6921:C6921" si="1310">A6920</f>
        <v>45993</v>
      </c>
      <c r="B6921" s="5" t="str">
        <f t="shared" si="1310"/>
        <v>Northern Cardinal</v>
      </c>
      <c r="C6921" s="6">
        <f t="shared" si="1310"/>
        <v>0.28125</v>
      </c>
      <c r="D6921" s="5"/>
      <c r="E6921" s="5"/>
      <c r="F6921" s="5" t="s">
        <v>22</v>
      </c>
      <c r="G6921" s="15" t="s">
        <v>22</v>
      </c>
      <c r="H6921" s="24">
        <f t="shared" si="1309"/>
        <v>0</v>
      </c>
      <c r="I6921" s="24" cm="1">
        <f t="array" ref="I6921">IFERROR(IF($B6921=I$1, ($A6921+$C6921) - MAX(IF($B$2:$B6920=$B6921, $A$2:$A6920+$C$2:$C6920)), "")*24*60, "")</f>
        <v>0</v>
      </c>
      <c r="J6921" s="24" t="str" cm="1">
        <f t="array" ref="J6921">IFERROR(IF($B6921=J$1, ($A6921+$C6921) - MAX(IF($B$2:$B6920=$B6921, $A$2:$A6920+$C$2:$C6920)), "")*24*60, "")</f>
        <v/>
      </c>
      <c r="K6921" s="24" t="str" cm="1">
        <f t="array" ref="K6921">IFERROR(IF($B6921=K$1, ($A6921+$C6921) - MAX(IF($B$2:$B6920=$B6921, $A$2:$A6920+$C$2:$C6920)), "")*24*60, "")</f>
        <v/>
      </c>
      <c r="L6921" s="24" t="str" cm="1">
        <f t="array" ref="L6921">IFERROR(IF($B6921=L$1, ($A6921+$C6921) - MAX(IF($B$2:$B6920=$B6921, $A$2:$A6920+$C$2:$C6920)), "")*24*60, "")</f>
        <v/>
      </c>
      <c r="M6921" s="24" t="str" cm="1">
        <f t="array" ref="M6921">IFERROR(IF($B6921=M$1, ($A6921+$C6921) - MAX(IF($B$2:$B6920=$B6921, $A$2:$A6920+$C$2:$C6920)), "")*24*60, "")</f>
        <v/>
      </c>
      <c r="N6921" s="24" t="str" cm="1">
        <f t="array" ref="N6921">IFERROR(IF($B6921=N$1, ($A6921+$C6921) - MAX(IF($B$2:$B6920=$B6921, $A$2:$A6920+$C$2:$C6920)), "")*24*60, "")</f>
        <v/>
      </c>
      <c r="O6921" s="24" t="str" cm="1">
        <f t="array" ref="O6921">IFERROR(IF($B6921=O$1, ($A6921+$C6921) - MAX(IF($B$2:$B6920=$B6921, $A$2:$A6920+$C$2:$C6920)), "")*24*60, "")</f>
        <v/>
      </c>
      <c r="P6921" s="24" t="str" cm="1">
        <f t="array" ref="P6921">IFERROR(IF($B6921=P$1, ($A6921+$C6921) - MAX(IF($B$2:$B6920=$B6921, $A$2:$A6920+$C$2:$C6920)), "")*24*60, "")</f>
        <v/>
      </c>
      <c r="Q6921" s="24" t="str" cm="1">
        <f t="array" ref="Q6921">IFERROR(IF($B6921=Q$1, ($A6921+$C6921) - MAX(IF($B$2:$B6920=$B6921, $A$2:$A6920+$C$2:$C6920)), "")*24*60, "")</f>
        <v/>
      </c>
      <c r="R6921" s="24" t="str" cm="1">
        <f t="array" ref="R6921">IFERROR(IF($B6921=R$1, ($A6921+$C6921) - MAX(IF($B$2:$B6920=$B6921, $A$2:$A6920+$C$2:$C6920)), "")*24*60, "")</f>
        <v/>
      </c>
      <c r="S6921" s="24" t="str" cm="1">
        <f t="array" ref="S6921">IFERROR(IF($B6921=S$1, ($A6921+$C6921) - MAX(IF($B$2:$B6920=$B6921, $A$2:$A6920+$C$2:$C6920)), "")*24*60, "")</f>
        <v/>
      </c>
    </row>
    <row r="6922" spans="1:19" x14ac:dyDescent="0.2">
      <c r="A6922" s="12">
        <f t="shared" ref="A6922:C6922" si="1311">A6921</f>
        <v>45993</v>
      </c>
      <c r="B6922" s="5" t="str">
        <f t="shared" si="1311"/>
        <v>Northern Cardinal</v>
      </c>
      <c r="C6922" s="6">
        <f t="shared" si="1311"/>
        <v>0.28125</v>
      </c>
      <c r="D6922" s="5"/>
      <c r="E6922" s="5"/>
      <c r="F6922" s="5" t="s">
        <v>22</v>
      </c>
      <c r="G6922" s="15" t="s">
        <v>22</v>
      </c>
      <c r="H6922" s="24">
        <f t="shared" si="1309"/>
        <v>0</v>
      </c>
      <c r="I6922" s="24" cm="1">
        <f t="array" ref="I6922">IFERROR(IF($B6922=I$1, ($A6922+$C6922) - MAX(IF($B$2:$B6921=$B6922, $A$2:$A6921+$C$2:$C6921)), "")*24*60, "")</f>
        <v>0</v>
      </c>
      <c r="J6922" s="24" t="str" cm="1">
        <f t="array" ref="J6922">IFERROR(IF($B6922=J$1, ($A6922+$C6922) - MAX(IF($B$2:$B6921=$B6922, $A$2:$A6921+$C$2:$C6921)), "")*24*60, "")</f>
        <v/>
      </c>
      <c r="K6922" s="24" t="str" cm="1">
        <f t="array" ref="K6922">IFERROR(IF($B6922=K$1, ($A6922+$C6922) - MAX(IF($B$2:$B6921=$B6922, $A$2:$A6921+$C$2:$C6921)), "")*24*60, "")</f>
        <v/>
      </c>
      <c r="L6922" s="24" t="str" cm="1">
        <f t="array" ref="L6922">IFERROR(IF($B6922=L$1, ($A6922+$C6922) - MAX(IF($B$2:$B6921=$B6922, $A$2:$A6921+$C$2:$C6921)), "")*24*60, "")</f>
        <v/>
      </c>
      <c r="M6922" s="24" t="str" cm="1">
        <f t="array" ref="M6922">IFERROR(IF($B6922=M$1, ($A6922+$C6922) - MAX(IF($B$2:$B6921=$B6922, $A$2:$A6921+$C$2:$C6921)), "")*24*60, "")</f>
        <v/>
      </c>
      <c r="N6922" s="24" t="str" cm="1">
        <f t="array" ref="N6922">IFERROR(IF($B6922=N$1, ($A6922+$C6922) - MAX(IF($B$2:$B6921=$B6922, $A$2:$A6921+$C$2:$C6921)), "")*24*60, "")</f>
        <v/>
      </c>
      <c r="O6922" s="24" t="str" cm="1">
        <f t="array" ref="O6922">IFERROR(IF($B6922=O$1, ($A6922+$C6922) - MAX(IF($B$2:$B6921=$B6922, $A$2:$A6921+$C$2:$C6921)), "")*24*60, "")</f>
        <v/>
      </c>
      <c r="P6922" s="24" t="str" cm="1">
        <f t="array" ref="P6922">IFERROR(IF($B6922=P$1, ($A6922+$C6922) - MAX(IF($B$2:$B6921=$B6922, $A$2:$A6921+$C$2:$C6921)), "")*24*60, "")</f>
        <v/>
      </c>
      <c r="Q6922" s="24" t="str" cm="1">
        <f t="array" ref="Q6922">IFERROR(IF($B6922=Q$1, ($A6922+$C6922) - MAX(IF($B$2:$B6921=$B6922, $A$2:$A6921+$C$2:$C6921)), "")*24*60, "")</f>
        <v/>
      </c>
      <c r="R6922" s="24" t="str" cm="1">
        <f t="array" ref="R6922">IFERROR(IF($B6922=R$1, ($A6922+$C6922) - MAX(IF($B$2:$B6921=$B6922, $A$2:$A6921+$C$2:$C6921)), "")*24*60, "")</f>
        <v/>
      </c>
      <c r="S6922" s="24" t="str" cm="1">
        <f t="array" ref="S6922">IFERROR(IF($B6922=S$1, ($A6922+$C6922) - MAX(IF($B$2:$B6921=$B6922, $A$2:$A6921+$C$2:$C6921)), "")*24*60, "")</f>
        <v/>
      </c>
    </row>
    <row r="6923" spans="1:19" x14ac:dyDescent="0.2">
      <c r="A6923" s="12">
        <f t="shared" ref="A6923:C6923" si="1312">A6922</f>
        <v>45993</v>
      </c>
      <c r="B6923" s="5" t="str">
        <f t="shared" si="1312"/>
        <v>Northern Cardinal</v>
      </c>
      <c r="C6923" s="6">
        <f t="shared" si="1312"/>
        <v>0.28125</v>
      </c>
      <c r="D6923" s="5"/>
      <c r="E6923" s="5"/>
      <c r="F6923" s="5" t="s">
        <v>22</v>
      </c>
      <c r="G6923" s="15" t="s">
        <v>22</v>
      </c>
      <c r="H6923" s="24">
        <f t="shared" si="1309"/>
        <v>0</v>
      </c>
      <c r="I6923" s="24" cm="1">
        <f t="array" ref="I6923">IFERROR(IF($B6923=I$1, ($A6923+$C6923) - MAX(IF($B$2:$B6922=$B6923, $A$2:$A6922+$C$2:$C6922)), "")*24*60, "")</f>
        <v>0</v>
      </c>
      <c r="J6923" s="24" t="str" cm="1">
        <f t="array" ref="J6923">IFERROR(IF($B6923=J$1, ($A6923+$C6923) - MAX(IF($B$2:$B6922=$B6923, $A$2:$A6922+$C$2:$C6922)), "")*24*60, "")</f>
        <v/>
      </c>
      <c r="K6923" s="24" t="str" cm="1">
        <f t="array" ref="K6923">IFERROR(IF($B6923=K$1, ($A6923+$C6923) - MAX(IF($B$2:$B6922=$B6923, $A$2:$A6922+$C$2:$C6922)), "")*24*60, "")</f>
        <v/>
      </c>
      <c r="L6923" s="24" t="str" cm="1">
        <f t="array" ref="L6923">IFERROR(IF($B6923=L$1, ($A6923+$C6923) - MAX(IF($B$2:$B6922=$B6923, $A$2:$A6922+$C$2:$C6922)), "")*24*60, "")</f>
        <v/>
      </c>
      <c r="M6923" s="24" t="str" cm="1">
        <f t="array" ref="M6923">IFERROR(IF($B6923=M$1, ($A6923+$C6923) - MAX(IF($B$2:$B6922=$B6923, $A$2:$A6922+$C$2:$C6922)), "")*24*60, "")</f>
        <v/>
      </c>
      <c r="N6923" s="24" t="str" cm="1">
        <f t="array" ref="N6923">IFERROR(IF($B6923=N$1, ($A6923+$C6923) - MAX(IF($B$2:$B6922=$B6923, $A$2:$A6922+$C$2:$C6922)), "")*24*60, "")</f>
        <v/>
      </c>
      <c r="O6923" s="24" t="str" cm="1">
        <f t="array" ref="O6923">IFERROR(IF($B6923=O$1, ($A6923+$C6923) - MAX(IF($B$2:$B6922=$B6923, $A$2:$A6922+$C$2:$C6922)), "")*24*60, "")</f>
        <v/>
      </c>
      <c r="P6923" s="24" t="str" cm="1">
        <f t="array" ref="P6923">IFERROR(IF($B6923=P$1, ($A6923+$C6923) - MAX(IF($B$2:$B6922=$B6923, $A$2:$A6922+$C$2:$C6922)), "")*24*60, "")</f>
        <v/>
      </c>
      <c r="Q6923" s="24" t="str" cm="1">
        <f t="array" ref="Q6923">IFERROR(IF($B6923=Q$1, ($A6923+$C6923) - MAX(IF($B$2:$B6922=$B6923, $A$2:$A6922+$C$2:$C6922)), "")*24*60, "")</f>
        <v/>
      </c>
      <c r="R6923" s="24" t="str" cm="1">
        <f t="array" ref="R6923">IFERROR(IF($B6923=R$1, ($A6923+$C6923) - MAX(IF($B$2:$B6922=$B6923, $A$2:$A6922+$C$2:$C6922)), "")*24*60, "")</f>
        <v/>
      </c>
      <c r="S6923" s="24" t="str" cm="1">
        <f t="array" ref="S6923">IFERROR(IF($B6923=S$1, ($A6923+$C6923) - MAX(IF($B$2:$B6922=$B6923, $A$2:$A6922+$C$2:$C6922)), "")*24*60, "")</f>
        <v/>
      </c>
    </row>
    <row r="6924" spans="1:19" x14ac:dyDescent="0.2">
      <c r="A6924" s="12">
        <f t="shared" ref="A6924:C6924" si="1313">A6923</f>
        <v>45993</v>
      </c>
      <c r="B6924" s="5" t="str">
        <f t="shared" si="1313"/>
        <v>Northern Cardinal</v>
      </c>
      <c r="C6924" s="6">
        <f t="shared" si="1313"/>
        <v>0.28125</v>
      </c>
      <c r="D6924" s="5"/>
      <c r="E6924" s="5"/>
      <c r="F6924" s="5" t="s">
        <v>22</v>
      </c>
      <c r="G6924" s="15" t="s">
        <v>22</v>
      </c>
      <c r="H6924" s="24">
        <f t="shared" si="1309"/>
        <v>0</v>
      </c>
      <c r="I6924" s="24" cm="1">
        <f t="array" ref="I6924">IFERROR(IF($B6924=I$1, ($A6924+$C6924) - MAX(IF($B$2:$B6923=$B6924, $A$2:$A6923+$C$2:$C6923)), "")*24*60, "")</f>
        <v>0</v>
      </c>
      <c r="J6924" s="24" t="str" cm="1">
        <f t="array" ref="J6924">IFERROR(IF($B6924=J$1, ($A6924+$C6924) - MAX(IF($B$2:$B6923=$B6924, $A$2:$A6923+$C$2:$C6923)), "")*24*60, "")</f>
        <v/>
      </c>
      <c r="K6924" s="24" t="str" cm="1">
        <f t="array" ref="K6924">IFERROR(IF($B6924=K$1, ($A6924+$C6924) - MAX(IF($B$2:$B6923=$B6924, $A$2:$A6923+$C$2:$C6923)), "")*24*60, "")</f>
        <v/>
      </c>
      <c r="L6924" s="24" t="str" cm="1">
        <f t="array" ref="L6924">IFERROR(IF($B6924=L$1, ($A6924+$C6924) - MAX(IF($B$2:$B6923=$B6924, $A$2:$A6923+$C$2:$C6923)), "")*24*60, "")</f>
        <v/>
      </c>
      <c r="M6924" s="24" t="str" cm="1">
        <f t="array" ref="M6924">IFERROR(IF($B6924=M$1, ($A6924+$C6924) - MAX(IF($B$2:$B6923=$B6924, $A$2:$A6923+$C$2:$C6923)), "")*24*60, "")</f>
        <v/>
      </c>
      <c r="N6924" s="24" t="str" cm="1">
        <f t="array" ref="N6924">IFERROR(IF($B6924=N$1, ($A6924+$C6924) - MAX(IF($B$2:$B6923=$B6924, $A$2:$A6923+$C$2:$C6923)), "")*24*60, "")</f>
        <v/>
      </c>
      <c r="O6924" s="24" t="str" cm="1">
        <f t="array" ref="O6924">IFERROR(IF($B6924=O$1, ($A6924+$C6924) - MAX(IF($B$2:$B6923=$B6924, $A$2:$A6923+$C$2:$C6923)), "")*24*60, "")</f>
        <v/>
      </c>
      <c r="P6924" s="24" t="str" cm="1">
        <f t="array" ref="P6924">IFERROR(IF($B6924=P$1, ($A6924+$C6924) - MAX(IF($B$2:$B6923=$B6924, $A$2:$A6923+$C$2:$C6923)), "")*24*60, "")</f>
        <v/>
      </c>
      <c r="Q6924" s="24" t="str" cm="1">
        <f t="array" ref="Q6924">IFERROR(IF($B6924=Q$1, ($A6924+$C6924) - MAX(IF($B$2:$B6923=$B6924, $A$2:$A6923+$C$2:$C6923)), "")*24*60, "")</f>
        <v/>
      </c>
      <c r="R6924" s="24" t="str" cm="1">
        <f t="array" ref="R6924">IFERROR(IF($B6924=R$1, ($A6924+$C6924) - MAX(IF($B$2:$B6923=$B6924, $A$2:$A6923+$C$2:$C6923)), "")*24*60, "")</f>
        <v/>
      </c>
      <c r="S6924" s="24" t="str" cm="1">
        <f t="array" ref="S6924">IFERROR(IF($B6924=S$1, ($A6924+$C6924) - MAX(IF($B$2:$B6923=$B6924, $A$2:$A6923+$C$2:$C6923)), "")*24*60, "")</f>
        <v/>
      </c>
    </row>
    <row r="6925" spans="1:19" x14ac:dyDescent="0.2">
      <c r="A6925" s="12">
        <f t="shared" ref="A6925:C6925" si="1314">A6924</f>
        <v>45993</v>
      </c>
      <c r="B6925" s="5" t="str">
        <f t="shared" si="1314"/>
        <v>Northern Cardinal</v>
      </c>
      <c r="C6925" s="6">
        <f t="shared" si="1314"/>
        <v>0.28125</v>
      </c>
      <c r="D6925" s="5"/>
      <c r="E6925" s="5"/>
      <c r="F6925" s="5" t="s">
        <v>22</v>
      </c>
      <c r="G6925" s="15" t="s">
        <v>22</v>
      </c>
      <c r="H6925" s="24">
        <f t="shared" si="1309"/>
        <v>0</v>
      </c>
      <c r="I6925" s="24" cm="1">
        <f t="array" ref="I6925">IFERROR(IF($B6925=I$1, ($A6925+$C6925) - MAX(IF($B$2:$B6924=$B6925, $A$2:$A6924+$C$2:$C6924)), "")*24*60, "")</f>
        <v>0</v>
      </c>
      <c r="J6925" s="24" t="str" cm="1">
        <f t="array" ref="J6925">IFERROR(IF($B6925=J$1, ($A6925+$C6925) - MAX(IF($B$2:$B6924=$B6925, $A$2:$A6924+$C$2:$C6924)), "")*24*60, "")</f>
        <v/>
      </c>
      <c r="K6925" s="24" t="str" cm="1">
        <f t="array" ref="K6925">IFERROR(IF($B6925=K$1, ($A6925+$C6925) - MAX(IF($B$2:$B6924=$B6925, $A$2:$A6924+$C$2:$C6924)), "")*24*60, "")</f>
        <v/>
      </c>
      <c r="L6925" s="24" t="str" cm="1">
        <f t="array" ref="L6925">IFERROR(IF($B6925=L$1, ($A6925+$C6925) - MAX(IF($B$2:$B6924=$B6925, $A$2:$A6924+$C$2:$C6924)), "")*24*60, "")</f>
        <v/>
      </c>
      <c r="M6925" s="24" t="str" cm="1">
        <f t="array" ref="M6925">IFERROR(IF($B6925=M$1, ($A6925+$C6925) - MAX(IF($B$2:$B6924=$B6925, $A$2:$A6924+$C$2:$C6924)), "")*24*60, "")</f>
        <v/>
      </c>
      <c r="N6925" s="24" t="str" cm="1">
        <f t="array" ref="N6925">IFERROR(IF($B6925=N$1, ($A6925+$C6925) - MAX(IF($B$2:$B6924=$B6925, $A$2:$A6924+$C$2:$C6924)), "")*24*60, "")</f>
        <v/>
      </c>
      <c r="O6925" s="24" t="str" cm="1">
        <f t="array" ref="O6925">IFERROR(IF($B6925=O$1, ($A6925+$C6925) - MAX(IF($B$2:$B6924=$B6925, $A$2:$A6924+$C$2:$C6924)), "")*24*60, "")</f>
        <v/>
      </c>
      <c r="P6925" s="24" t="str" cm="1">
        <f t="array" ref="P6925">IFERROR(IF($B6925=P$1, ($A6925+$C6925) - MAX(IF($B$2:$B6924=$B6925, $A$2:$A6924+$C$2:$C6924)), "")*24*60, "")</f>
        <v/>
      </c>
      <c r="Q6925" s="24" t="str" cm="1">
        <f t="array" ref="Q6925">IFERROR(IF($B6925=Q$1, ($A6925+$C6925) - MAX(IF($B$2:$B6924=$B6925, $A$2:$A6924+$C$2:$C6924)), "")*24*60, "")</f>
        <v/>
      </c>
      <c r="R6925" s="24" t="str" cm="1">
        <f t="array" ref="R6925">IFERROR(IF($B6925=R$1, ($A6925+$C6925) - MAX(IF($B$2:$B6924=$B6925, $A$2:$A6924+$C$2:$C6924)), "")*24*60, "")</f>
        <v/>
      </c>
      <c r="S6925" s="24" t="str" cm="1">
        <f t="array" ref="S6925">IFERROR(IF($B6925=S$1, ($A6925+$C6925) - MAX(IF($B$2:$B6924=$B6925, $A$2:$A6924+$C$2:$C6924)), "")*24*60, "")</f>
        <v/>
      </c>
    </row>
    <row r="6926" spans="1:19" x14ac:dyDescent="0.2">
      <c r="A6926" s="12">
        <f t="shared" ref="A6926:C6926" si="1315">A6925</f>
        <v>45993</v>
      </c>
      <c r="B6926" s="5" t="str">
        <f t="shared" si="1315"/>
        <v>Northern Cardinal</v>
      </c>
      <c r="C6926" s="6">
        <f t="shared" si="1315"/>
        <v>0.28125</v>
      </c>
      <c r="D6926" s="5"/>
      <c r="E6926" s="5"/>
      <c r="F6926" s="5" t="s">
        <v>22</v>
      </c>
      <c r="G6926" s="15" t="s">
        <v>22</v>
      </c>
      <c r="H6926" s="24">
        <f t="shared" si="1309"/>
        <v>0</v>
      </c>
      <c r="I6926" s="24" cm="1">
        <f t="array" ref="I6926">IFERROR(IF($B6926=I$1, ($A6926+$C6926) - MAX(IF($B$2:$B6925=$B6926, $A$2:$A6925+$C$2:$C6925)), "")*24*60, "")</f>
        <v>0</v>
      </c>
      <c r="J6926" s="24" t="str" cm="1">
        <f t="array" ref="J6926">IFERROR(IF($B6926=J$1, ($A6926+$C6926) - MAX(IF($B$2:$B6925=$B6926, $A$2:$A6925+$C$2:$C6925)), "")*24*60, "")</f>
        <v/>
      </c>
      <c r="K6926" s="24" t="str" cm="1">
        <f t="array" ref="K6926">IFERROR(IF($B6926=K$1, ($A6926+$C6926) - MAX(IF($B$2:$B6925=$B6926, $A$2:$A6925+$C$2:$C6925)), "")*24*60, "")</f>
        <v/>
      </c>
      <c r="L6926" s="24" t="str" cm="1">
        <f t="array" ref="L6926">IFERROR(IF($B6926=L$1, ($A6926+$C6926) - MAX(IF($B$2:$B6925=$B6926, $A$2:$A6925+$C$2:$C6925)), "")*24*60, "")</f>
        <v/>
      </c>
      <c r="M6926" s="24" t="str" cm="1">
        <f t="array" ref="M6926">IFERROR(IF($B6926=M$1, ($A6926+$C6926) - MAX(IF($B$2:$B6925=$B6926, $A$2:$A6925+$C$2:$C6925)), "")*24*60, "")</f>
        <v/>
      </c>
      <c r="N6926" s="24" t="str" cm="1">
        <f t="array" ref="N6926">IFERROR(IF($B6926=N$1, ($A6926+$C6926) - MAX(IF($B$2:$B6925=$B6926, $A$2:$A6925+$C$2:$C6925)), "")*24*60, "")</f>
        <v/>
      </c>
      <c r="O6926" s="24" t="str" cm="1">
        <f t="array" ref="O6926">IFERROR(IF($B6926=O$1, ($A6926+$C6926) - MAX(IF($B$2:$B6925=$B6926, $A$2:$A6925+$C$2:$C6925)), "")*24*60, "")</f>
        <v/>
      </c>
      <c r="P6926" s="24" t="str" cm="1">
        <f t="array" ref="P6926">IFERROR(IF($B6926=P$1, ($A6926+$C6926) - MAX(IF($B$2:$B6925=$B6926, $A$2:$A6925+$C$2:$C6925)), "")*24*60, "")</f>
        <v/>
      </c>
      <c r="Q6926" s="24" t="str" cm="1">
        <f t="array" ref="Q6926">IFERROR(IF($B6926=Q$1, ($A6926+$C6926) - MAX(IF($B$2:$B6925=$B6926, $A$2:$A6925+$C$2:$C6925)), "")*24*60, "")</f>
        <v/>
      </c>
      <c r="R6926" s="24" t="str" cm="1">
        <f t="array" ref="R6926">IFERROR(IF($B6926=R$1, ($A6926+$C6926) - MAX(IF($B$2:$B6925=$B6926, $A$2:$A6925+$C$2:$C6925)), "")*24*60, "")</f>
        <v/>
      </c>
      <c r="S6926" s="24" t="str" cm="1">
        <f t="array" ref="S6926">IFERROR(IF($B6926=S$1, ($A6926+$C6926) - MAX(IF($B$2:$B6925=$B6926, $A$2:$A6925+$C$2:$C6925)), "")*24*60, "")</f>
        <v/>
      </c>
    </row>
    <row r="6927" spans="1:19" x14ac:dyDescent="0.2">
      <c r="A6927" s="12">
        <f t="shared" ref="A6927:C6927" si="1316">A6926</f>
        <v>45993</v>
      </c>
      <c r="B6927" s="5" t="str">
        <f t="shared" si="1316"/>
        <v>Northern Cardinal</v>
      </c>
      <c r="C6927" s="6">
        <f t="shared" si="1316"/>
        <v>0.28125</v>
      </c>
      <c r="D6927" s="5"/>
      <c r="E6927" s="5"/>
      <c r="F6927" s="5" t="s">
        <v>22</v>
      </c>
      <c r="G6927" s="15" t="s">
        <v>22</v>
      </c>
      <c r="H6927" s="24">
        <f t="shared" si="1309"/>
        <v>0</v>
      </c>
      <c r="I6927" s="24" cm="1">
        <f t="array" ref="I6927">IFERROR(IF($B6927=I$1, ($A6927+$C6927) - MAX(IF($B$2:$B6926=$B6927, $A$2:$A6926+$C$2:$C6926)), "")*24*60, "")</f>
        <v>0</v>
      </c>
      <c r="J6927" s="24" t="str" cm="1">
        <f t="array" ref="J6927">IFERROR(IF($B6927=J$1, ($A6927+$C6927) - MAX(IF($B$2:$B6926=$B6927, $A$2:$A6926+$C$2:$C6926)), "")*24*60, "")</f>
        <v/>
      </c>
      <c r="K6927" s="24" t="str" cm="1">
        <f t="array" ref="K6927">IFERROR(IF($B6927=K$1, ($A6927+$C6927) - MAX(IF($B$2:$B6926=$B6927, $A$2:$A6926+$C$2:$C6926)), "")*24*60, "")</f>
        <v/>
      </c>
      <c r="L6927" s="24" t="str" cm="1">
        <f t="array" ref="L6927">IFERROR(IF($B6927=L$1, ($A6927+$C6927) - MAX(IF($B$2:$B6926=$B6927, $A$2:$A6926+$C$2:$C6926)), "")*24*60, "")</f>
        <v/>
      </c>
      <c r="M6927" s="24" t="str" cm="1">
        <f t="array" ref="M6927">IFERROR(IF($B6927=M$1, ($A6927+$C6927) - MAX(IF($B$2:$B6926=$B6927, $A$2:$A6926+$C$2:$C6926)), "")*24*60, "")</f>
        <v/>
      </c>
      <c r="N6927" s="24" t="str" cm="1">
        <f t="array" ref="N6927">IFERROR(IF($B6927=N$1, ($A6927+$C6927) - MAX(IF($B$2:$B6926=$B6927, $A$2:$A6926+$C$2:$C6926)), "")*24*60, "")</f>
        <v/>
      </c>
      <c r="O6927" s="24" t="str" cm="1">
        <f t="array" ref="O6927">IFERROR(IF($B6927=O$1, ($A6927+$C6927) - MAX(IF($B$2:$B6926=$B6927, $A$2:$A6926+$C$2:$C6926)), "")*24*60, "")</f>
        <v/>
      </c>
      <c r="P6927" s="24" t="str" cm="1">
        <f t="array" ref="P6927">IFERROR(IF($B6927=P$1, ($A6927+$C6927) - MAX(IF($B$2:$B6926=$B6927, $A$2:$A6926+$C$2:$C6926)), "")*24*60, "")</f>
        <v/>
      </c>
      <c r="Q6927" s="24" t="str" cm="1">
        <f t="array" ref="Q6927">IFERROR(IF($B6927=Q$1, ($A6927+$C6927) - MAX(IF($B$2:$B6926=$B6927, $A$2:$A6926+$C$2:$C6926)), "")*24*60, "")</f>
        <v/>
      </c>
      <c r="R6927" s="24" t="str" cm="1">
        <f t="array" ref="R6927">IFERROR(IF($B6927=R$1, ($A6927+$C6927) - MAX(IF($B$2:$B6926=$B6927, $A$2:$A6926+$C$2:$C6926)), "")*24*60, "")</f>
        <v/>
      </c>
      <c r="S6927" s="24" t="str" cm="1">
        <f t="array" ref="S6927">IFERROR(IF($B6927=S$1, ($A6927+$C6927) - MAX(IF($B$2:$B6926=$B6927, $A$2:$A6926+$C$2:$C6926)), "")*24*60, "")</f>
        <v/>
      </c>
    </row>
    <row r="6928" spans="1:19" x14ac:dyDescent="0.2">
      <c r="A6928" s="12">
        <f t="shared" ref="A6928:C6928" si="1317">A6927</f>
        <v>45993</v>
      </c>
      <c r="B6928" s="5" t="str">
        <f t="shared" si="1317"/>
        <v>Northern Cardinal</v>
      </c>
      <c r="C6928" s="6">
        <f t="shared" si="1317"/>
        <v>0.28125</v>
      </c>
      <c r="D6928" s="5"/>
      <c r="E6928" s="5"/>
      <c r="F6928" s="5" t="s">
        <v>22</v>
      </c>
      <c r="G6928" s="15" t="s">
        <v>22</v>
      </c>
      <c r="H6928" s="24">
        <f t="shared" si="1309"/>
        <v>0</v>
      </c>
      <c r="I6928" s="24" cm="1">
        <f t="array" ref="I6928">IFERROR(IF($B6928=I$1, ($A6928+$C6928) - MAX(IF($B$2:$B6927=$B6928, $A$2:$A6927+$C$2:$C6927)), "")*24*60, "")</f>
        <v>0</v>
      </c>
      <c r="J6928" s="24" t="str" cm="1">
        <f t="array" ref="J6928">IFERROR(IF($B6928=J$1, ($A6928+$C6928) - MAX(IF($B$2:$B6927=$B6928, $A$2:$A6927+$C$2:$C6927)), "")*24*60, "")</f>
        <v/>
      </c>
      <c r="K6928" s="24" t="str" cm="1">
        <f t="array" ref="K6928">IFERROR(IF($B6928=K$1, ($A6928+$C6928) - MAX(IF($B$2:$B6927=$B6928, $A$2:$A6927+$C$2:$C6927)), "")*24*60, "")</f>
        <v/>
      </c>
      <c r="L6928" s="24" t="str" cm="1">
        <f t="array" ref="L6928">IFERROR(IF($B6928=L$1, ($A6928+$C6928) - MAX(IF($B$2:$B6927=$B6928, $A$2:$A6927+$C$2:$C6927)), "")*24*60, "")</f>
        <v/>
      </c>
      <c r="M6928" s="24" t="str" cm="1">
        <f t="array" ref="M6928">IFERROR(IF($B6928=M$1, ($A6928+$C6928) - MAX(IF($B$2:$B6927=$B6928, $A$2:$A6927+$C$2:$C6927)), "")*24*60, "")</f>
        <v/>
      </c>
      <c r="N6928" s="24" t="str" cm="1">
        <f t="array" ref="N6928">IFERROR(IF($B6928=N$1, ($A6928+$C6928) - MAX(IF($B$2:$B6927=$B6928, $A$2:$A6927+$C$2:$C6927)), "")*24*60, "")</f>
        <v/>
      </c>
      <c r="O6928" s="24" t="str" cm="1">
        <f t="array" ref="O6928">IFERROR(IF($B6928=O$1, ($A6928+$C6928) - MAX(IF($B$2:$B6927=$B6928, $A$2:$A6927+$C$2:$C6927)), "")*24*60, "")</f>
        <v/>
      </c>
      <c r="P6928" s="24" t="str" cm="1">
        <f t="array" ref="P6928">IFERROR(IF($B6928=P$1, ($A6928+$C6928) - MAX(IF($B$2:$B6927=$B6928, $A$2:$A6927+$C$2:$C6927)), "")*24*60, "")</f>
        <v/>
      </c>
      <c r="Q6928" s="24" t="str" cm="1">
        <f t="array" ref="Q6928">IFERROR(IF($B6928=Q$1, ($A6928+$C6928) - MAX(IF($B$2:$B6927=$B6928, $A$2:$A6927+$C$2:$C6927)), "")*24*60, "")</f>
        <v/>
      </c>
      <c r="R6928" s="24" t="str" cm="1">
        <f t="array" ref="R6928">IFERROR(IF($B6928=R$1, ($A6928+$C6928) - MAX(IF($B$2:$B6927=$B6928, $A$2:$A6927+$C$2:$C6927)), "")*24*60, "")</f>
        <v/>
      </c>
      <c r="S6928" s="24" t="str" cm="1">
        <f t="array" ref="S6928">IFERROR(IF($B6928=S$1, ($A6928+$C6928) - MAX(IF($B$2:$B6927=$B6928, $A$2:$A6927+$C$2:$C6927)), "")*24*60, "")</f>
        <v/>
      </c>
    </row>
    <row r="6929" spans="1:19" x14ac:dyDescent="0.2">
      <c r="A6929" s="12">
        <f t="shared" ref="A6929:C6929" si="1318">A6928</f>
        <v>45993</v>
      </c>
      <c r="B6929" s="5" t="str">
        <f t="shared" si="1318"/>
        <v>Northern Cardinal</v>
      </c>
      <c r="C6929" s="6">
        <f t="shared" si="1318"/>
        <v>0.28125</v>
      </c>
      <c r="D6929" s="5"/>
      <c r="E6929" s="5"/>
      <c r="F6929" s="5" t="s">
        <v>22</v>
      </c>
      <c r="G6929" s="15" t="s">
        <v>22</v>
      </c>
      <c r="H6929" s="24">
        <f t="shared" si="1309"/>
        <v>0</v>
      </c>
      <c r="I6929" s="24" cm="1">
        <f t="array" ref="I6929">IFERROR(IF($B6929=I$1, ($A6929+$C6929) - MAX(IF($B$2:$B6928=$B6929, $A$2:$A6928+$C$2:$C6928)), "")*24*60, "")</f>
        <v>0</v>
      </c>
      <c r="J6929" s="24" t="str" cm="1">
        <f t="array" ref="J6929">IFERROR(IF($B6929=J$1, ($A6929+$C6929) - MAX(IF($B$2:$B6928=$B6929, $A$2:$A6928+$C$2:$C6928)), "")*24*60, "")</f>
        <v/>
      </c>
      <c r="K6929" s="24" t="str" cm="1">
        <f t="array" ref="K6929">IFERROR(IF($B6929=K$1, ($A6929+$C6929) - MAX(IF($B$2:$B6928=$B6929, $A$2:$A6928+$C$2:$C6928)), "")*24*60, "")</f>
        <v/>
      </c>
      <c r="L6929" s="24" t="str" cm="1">
        <f t="array" ref="L6929">IFERROR(IF($B6929=L$1, ($A6929+$C6929) - MAX(IF($B$2:$B6928=$B6929, $A$2:$A6928+$C$2:$C6928)), "")*24*60, "")</f>
        <v/>
      </c>
      <c r="M6929" s="24" t="str" cm="1">
        <f t="array" ref="M6929">IFERROR(IF($B6929=M$1, ($A6929+$C6929) - MAX(IF($B$2:$B6928=$B6929, $A$2:$A6928+$C$2:$C6928)), "")*24*60, "")</f>
        <v/>
      </c>
      <c r="N6929" s="24" t="str" cm="1">
        <f t="array" ref="N6929">IFERROR(IF($B6929=N$1, ($A6929+$C6929) - MAX(IF($B$2:$B6928=$B6929, $A$2:$A6928+$C$2:$C6928)), "")*24*60, "")</f>
        <v/>
      </c>
      <c r="O6929" s="24" t="str" cm="1">
        <f t="array" ref="O6929">IFERROR(IF($B6929=O$1, ($A6929+$C6929) - MAX(IF($B$2:$B6928=$B6929, $A$2:$A6928+$C$2:$C6928)), "")*24*60, "")</f>
        <v/>
      </c>
      <c r="P6929" s="24" t="str" cm="1">
        <f t="array" ref="P6929">IFERROR(IF($B6929=P$1, ($A6929+$C6929) - MAX(IF($B$2:$B6928=$B6929, $A$2:$A6928+$C$2:$C6928)), "")*24*60, "")</f>
        <v/>
      </c>
      <c r="Q6929" s="24" t="str" cm="1">
        <f t="array" ref="Q6929">IFERROR(IF($B6929=Q$1, ($A6929+$C6929) - MAX(IF($B$2:$B6928=$B6929, $A$2:$A6928+$C$2:$C6928)), "")*24*60, "")</f>
        <v/>
      </c>
      <c r="R6929" s="24" t="str" cm="1">
        <f t="array" ref="R6929">IFERROR(IF($B6929=R$1, ($A6929+$C6929) - MAX(IF($B$2:$B6928=$B6929, $A$2:$A6928+$C$2:$C6928)), "")*24*60, "")</f>
        <v/>
      </c>
      <c r="S6929" s="24" t="str" cm="1">
        <f t="array" ref="S6929">IFERROR(IF($B6929=S$1, ($A6929+$C6929) - MAX(IF($B$2:$B6928=$B6929, $A$2:$A6928+$C$2:$C6928)), "")*24*60, "")</f>
        <v/>
      </c>
    </row>
    <row r="6930" spans="1:19" x14ac:dyDescent="0.2">
      <c r="A6930" s="12">
        <f t="shared" ref="A6930:C6930" si="1319">A6929</f>
        <v>45993</v>
      </c>
      <c r="B6930" s="5" t="str">
        <f t="shared" si="1319"/>
        <v>Northern Cardinal</v>
      </c>
      <c r="C6930" s="6">
        <f t="shared" si="1319"/>
        <v>0.28125</v>
      </c>
      <c r="D6930" s="5"/>
      <c r="E6930" s="5"/>
      <c r="F6930" s="5" t="s">
        <v>22</v>
      </c>
      <c r="G6930" s="15" t="s">
        <v>22</v>
      </c>
      <c r="H6930" s="24">
        <f t="shared" si="1309"/>
        <v>0</v>
      </c>
      <c r="I6930" s="24" cm="1">
        <f t="array" ref="I6930">IFERROR(IF($B6930=I$1, ($A6930+$C6930) - MAX(IF($B$2:$B6929=$B6930, $A$2:$A6929+$C$2:$C6929)), "")*24*60, "")</f>
        <v>0</v>
      </c>
      <c r="J6930" s="24" t="str" cm="1">
        <f t="array" ref="J6930">IFERROR(IF($B6930=J$1, ($A6930+$C6930) - MAX(IF($B$2:$B6929=$B6930, $A$2:$A6929+$C$2:$C6929)), "")*24*60, "")</f>
        <v/>
      </c>
      <c r="K6930" s="24" t="str" cm="1">
        <f t="array" ref="K6930">IFERROR(IF($B6930=K$1, ($A6930+$C6930) - MAX(IF($B$2:$B6929=$B6930, $A$2:$A6929+$C$2:$C6929)), "")*24*60, "")</f>
        <v/>
      </c>
      <c r="L6930" s="24" t="str" cm="1">
        <f t="array" ref="L6930">IFERROR(IF($B6930=L$1, ($A6930+$C6930) - MAX(IF($B$2:$B6929=$B6930, $A$2:$A6929+$C$2:$C6929)), "")*24*60, "")</f>
        <v/>
      </c>
      <c r="M6930" s="24" t="str" cm="1">
        <f t="array" ref="M6930">IFERROR(IF($B6930=M$1, ($A6930+$C6930) - MAX(IF($B$2:$B6929=$B6930, $A$2:$A6929+$C$2:$C6929)), "")*24*60, "")</f>
        <v/>
      </c>
      <c r="N6930" s="24" t="str" cm="1">
        <f t="array" ref="N6930">IFERROR(IF($B6930=N$1, ($A6930+$C6930) - MAX(IF($B$2:$B6929=$B6930, $A$2:$A6929+$C$2:$C6929)), "")*24*60, "")</f>
        <v/>
      </c>
      <c r="O6930" s="24" t="str" cm="1">
        <f t="array" ref="O6930">IFERROR(IF($B6930=O$1, ($A6930+$C6930) - MAX(IF($B$2:$B6929=$B6930, $A$2:$A6929+$C$2:$C6929)), "")*24*60, "")</f>
        <v/>
      </c>
      <c r="P6930" s="24" t="str" cm="1">
        <f t="array" ref="P6930">IFERROR(IF($B6930=P$1, ($A6930+$C6930) - MAX(IF($B$2:$B6929=$B6930, $A$2:$A6929+$C$2:$C6929)), "")*24*60, "")</f>
        <v/>
      </c>
      <c r="Q6930" s="24" t="str" cm="1">
        <f t="array" ref="Q6930">IFERROR(IF($B6930=Q$1, ($A6930+$C6930) - MAX(IF($B$2:$B6929=$B6930, $A$2:$A6929+$C$2:$C6929)), "")*24*60, "")</f>
        <v/>
      </c>
      <c r="R6930" s="24" t="str" cm="1">
        <f t="array" ref="R6930">IFERROR(IF($B6930=R$1, ($A6930+$C6930) - MAX(IF($B$2:$B6929=$B6930, $A$2:$A6929+$C$2:$C6929)), "")*24*60, "")</f>
        <v/>
      </c>
      <c r="S6930" s="24" t="str" cm="1">
        <f t="array" ref="S6930">IFERROR(IF($B6930=S$1, ($A6930+$C6930) - MAX(IF($B$2:$B6929=$B6930, $A$2:$A6929+$C$2:$C6929)), "")*24*60, "")</f>
        <v/>
      </c>
    </row>
    <row r="6931" spans="1:19" x14ac:dyDescent="0.2">
      <c r="A6931" s="12">
        <f t="shared" ref="A6931:C6931" si="1320">A6930</f>
        <v>45993</v>
      </c>
      <c r="B6931" s="5" t="str">
        <f t="shared" si="1320"/>
        <v>Northern Cardinal</v>
      </c>
      <c r="C6931" s="6">
        <f t="shared" si="1320"/>
        <v>0.28125</v>
      </c>
      <c r="D6931" s="5"/>
      <c r="E6931" s="5"/>
      <c r="F6931" s="5" t="s">
        <v>22</v>
      </c>
      <c r="G6931" s="15" t="s">
        <v>22</v>
      </c>
      <c r="H6931" s="24">
        <f t="shared" si="1309"/>
        <v>0</v>
      </c>
      <c r="I6931" s="24" cm="1">
        <f t="array" ref="I6931">IFERROR(IF($B6931=I$1, ($A6931+$C6931) - MAX(IF($B$2:$B6930=$B6931, $A$2:$A6930+$C$2:$C6930)), "")*24*60, "")</f>
        <v>0</v>
      </c>
      <c r="J6931" s="24" t="str" cm="1">
        <f t="array" ref="J6931">IFERROR(IF($B6931=J$1, ($A6931+$C6931) - MAX(IF($B$2:$B6930=$B6931, $A$2:$A6930+$C$2:$C6930)), "")*24*60, "")</f>
        <v/>
      </c>
      <c r="K6931" s="24" t="str" cm="1">
        <f t="array" ref="K6931">IFERROR(IF($B6931=K$1, ($A6931+$C6931) - MAX(IF($B$2:$B6930=$B6931, $A$2:$A6930+$C$2:$C6930)), "")*24*60, "")</f>
        <v/>
      </c>
      <c r="L6931" s="24" t="str" cm="1">
        <f t="array" ref="L6931">IFERROR(IF($B6931=L$1, ($A6931+$C6931) - MAX(IF($B$2:$B6930=$B6931, $A$2:$A6930+$C$2:$C6930)), "")*24*60, "")</f>
        <v/>
      </c>
      <c r="M6931" s="24" t="str" cm="1">
        <f t="array" ref="M6931">IFERROR(IF($B6931=M$1, ($A6931+$C6931) - MAX(IF($B$2:$B6930=$B6931, $A$2:$A6930+$C$2:$C6930)), "")*24*60, "")</f>
        <v/>
      </c>
      <c r="N6931" s="24" t="str" cm="1">
        <f t="array" ref="N6931">IFERROR(IF($B6931=N$1, ($A6931+$C6931) - MAX(IF($B$2:$B6930=$B6931, $A$2:$A6930+$C$2:$C6930)), "")*24*60, "")</f>
        <v/>
      </c>
      <c r="O6931" s="24" t="str" cm="1">
        <f t="array" ref="O6931">IFERROR(IF($B6931=O$1, ($A6931+$C6931) - MAX(IF($B$2:$B6930=$B6931, $A$2:$A6930+$C$2:$C6930)), "")*24*60, "")</f>
        <v/>
      </c>
      <c r="P6931" s="24" t="str" cm="1">
        <f t="array" ref="P6931">IFERROR(IF($B6931=P$1, ($A6931+$C6931) - MAX(IF($B$2:$B6930=$B6931, $A$2:$A6930+$C$2:$C6930)), "")*24*60, "")</f>
        <v/>
      </c>
      <c r="Q6931" s="24" t="str" cm="1">
        <f t="array" ref="Q6931">IFERROR(IF($B6931=Q$1, ($A6931+$C6931) - MAX(IF($B$2:$B6930=$B6931, $A$2:$A6930+$C$2:$C6930)), "")*24*60, "")</f>
        <v/>
      </c>
      <c r="R6931" s="24" t="str" cm="1">
        <f t="array" ref="R6931">IFERROR(IF($B6931=R$1, ($A6931+$C6931) - MAX(IF($B$2:$B6930=$B6931, $A$2:$A6930+$C$2:$C6930)), "")*24*60, "")</f>
        <v/>
      </c>
      <c r="S6931" s="24" t="str" cm="1">
        <f t="array" ref="S6931">IFERROR(IF($B6931=S$1, ($A6931+$C6931) - MAX(IF($B$2:$B6930=$B6931, $A$2:$A6930+$C$2:$C6930)), "")*24*60, "")</f>
        <v/>
      </c>
    </row>
    <row r="6932" spans="1:19" x14ac:dyDescent="0.2">
      <c r="A6932" s="12">
        <f t="shared" ref="A6932:C6932" si="1321">A6931</f>
        <v>45993</v>
      </c>
      <c r="B6932" s="5" t="str">
        <f t="shared" si="1321"/>
        <v>Northern Cardinal</v>
      </c>
      <c r="C6932" s="6">
        <f t="shared" si="1321"/>
        <v>0.28125</v>
      </c>
      <c r="D6932" s="5"/>
      <c r="E6932" s="5"/>
      <c r="F6932" s="5" t="s">
        <v>22</v>
      </c>
      <c r="G6932" s="15" t="s">
        <v>22</v>
      </c>
      <c r="H6932" s="24">
        <f t="shared" si="1309"/>
        <v>0</v>
      </c>
      <c r="I6932" s="24" cm="1">
        <f t="array" ref="I6932">IFERROR(IF($B6932=I$1, ($A6932+$C6932) - MAX(IF($B$2:$B6931=$B6932, $A$2:$A6931+$C$2:$C6931)), "")*24*60, "")</f>
        <v>0</v>
      </c>
      <c r="J6932" s="24" t="str" cm="1">
        <f t="array" ref="J6932">IFERROR(IF($B6932=J$1, ($A6932+$C6932) - MAX(IF($B$2:$B6931=$B6932, $A$2:$A6931+$C$2:$C6931)), "")*24*60, "")</f>
        <v/>
      </c>
      <c r="K6932" s="24" t="str" cm="1">
        <f t="array" ref="K6932">IFERROR(IF($B6932=K$1, ($A6932+$C6932) - MAX(IF($B$2:$B6931=$B6932, $A$2:$A6931+$C$2:$C6931)), "")*24*60, "")</f>
        <v/>
      </c>
      <c r="L6932" s="24" t="str" cm="1">
        <f t="array" ref="L6932">IFERROR(IF($B6932=L$1, ($A6932+$C6932) - MAX(IF($B$2:$B6931=$B6932, $A$2:$A6931+$C$2:$C6931)), "")*24*60, "")</f>
        <v/>
      </c>
      <c r="M6932" s="24" t="str" cm="1">
        <f t="array" ref="M6932">IFERROR(IF($B6932=M$1, ($A6932+$C6932) - MAX(IF($B$2:$B6931=$B6932, $A$2:$A6931+$C$2:$C6931)), "")*24*60, "")</f>
        <v/>
      </c>
      <c r="N6932" s="24" t="str" cm="1">
        <f t="array" ref="N6932">IFERROR(IF($B6932=N$1, ($A6932+$C6932) - MAX(IF($B$2:$B6931=$B6932, $A$2:$A6931+$C$2:$C6931)), "")*24*60, "")</f>
        <v/>
      </c>
      <c r="O6932" s="24" t="str" cm="1">
        <f t="array" ref="O6932">IFERROR(IF($B6932=O$1, ($A6932+$C6932) - MAX(IF($B$2:$B6931=$B6932, $A$2:$A6931+$C$2:$C6931)), "")*24*60, "")</f>
        <v/>
      </c>
      <c r="P6932" s="24" t="str" cm="1">
        <f t="array" ref="P6932">IFERROR(IF($B6932=P$1, ($A6932+$C6932) - MAX(IF($B$2:$B6931=$B6932, $A$2:$A6931+$C$2:$C6931)), "")*24*60, "")</f>
        <v/>
      </c>
      <c r="Q6932" s="24" t="str" cm="1">
        <f t="array" ref="Q6932">IFERROR(IF($B6932=Q$1, ($A6932+$C6932) - MAX(IF($B$2:$B6931=$B6932, $A$2:$A6931+$C$2:$C6931)), "")*24*60, "")</f>
        <v/>
      </c>
      <c r="R6932" s="24" t="str" cm="1">
        <f t="array" ref="R6932">IFERROR(IF($B6932=R$1, ($A6932+$C6932) - MAX(IF($B$2:$B6931=$B6932, $A$2:$A6931+$C$2:$C6931)), "")*24*60, "")</f>
        <v/>
      </c>
      <c r="S6932" s="24" t="str" cm="1">
        <f t="array" ref="S6932">IFERROR(IF($B6932=S$1, ($A6932+$C6932) - MAX(IF($B$2:$B6931=$B6932, $A$2:$A6931+$C$2:$C6931)), "")*24*60, "")</f>
        <v/>
      </c>
    </row>
    <row r="6933" spans="1:19" x14ac:dyDescent="0.2">
      <c r="A6933" s="12">
        <f t="shared" ref="A6933:C6933" si="1322">A6932</f>
        <v>45993</v>
      </c>
      <c r="B6933" s="5" t="str">
        <f t="shared" si="1322"/>
        <v>Northern Cardinal</v>
      </c>
      <c r="C6933" s="6">
        <f t="shared" si="1322"/>
        <v>0.28125</v>
      </c>
      <c r="D6933" s="5"/>
      <c r="E6933" s="5"/>
      <c r="F6933" s="5" t="s">
        <v>22</v>
      </c>
      <c r="G6933" s="15" t="s">
        <v>22</v>
      </c>
      <c r="H6933" s="24">
        <f t="shared" si="1309"/>
        <v>0</v>
      </c>
      <c r="I6933" s="24" cm="1">
        <f t="array" ref="I6933">IFERROR(IF($B6933=I$1, ($A6933+$C6933) - MAX(IF($B$2:$B6932=$B6933, $A$2:$A6932+$C$2:$C6932)), "")*24*60, "")</f>
        <v>0</v>
      </c>
      <c r="J6933" s="24" t="str" cm="1">
        <f t="array" ref="J6933">IFERROR(IF($B6933=J$1, ($A6933+$C6933) - MAX(IF($B$2:$B6932=$B6933, $A$2:$A6932+$C$2:$C6932)), "")*24*60, "")</f>
        <v/>
      </c>
      <c r="K6933" s="24" t="str" cm="1">
        <f t="array" ref="K6933">IFERROR(IF($B6933=K$1, ($A6933+$C6933) - MAX(IF($B$2:$B6932=$B6933, $A$2:$A6932+$C$2:$C6932)), "")*24*60, "")</f>
        <v/>
      </c>
      <c r="L6933" s="24" t="str" cm="1">
        <f t="array" ref="L6933">IFERROR(IF($B6933=L$1, ($A6933+$C6933) - MAX(IF($B$2:$B6932=$B6933, $A$2:$A6932+$C$2:$C6932)), "")*24*60, "")</f>
        <v/>
      </c>
      <c r="M6933" s="24" t="str" cm="1">
        <f t="array" ref="M6933">IFERROR(IF($B6933=M$1, ($A6933+$C6933) - MAX(IF($B$2:$B6932=$B6933, $A$2:$A6932+$C$2:$C6932)), "")*24*60, "")</f>
        <v/>
      </c>
      <c r="N6933" s="24" t="str" cm="1">
        <f t="array" ref="N6933">IFERROR(IF($B6933=N$1, ($A6933+$C6933) - MAX(IF($B$2:$B6932=$B6933, $A$2:$A6932+$C$2:$C6932)), "")*24*60, "")</f>
        <v/>
      </c>
      <c r="O6933" s="24" t="str" cm="1">
        <f t="array" ref="O6933">IFERROR(IF($B6933=O$1, ($A6933+$C6933) - MAX(IF($B$2:$B6932=$B6933, $A$2:$A6932+$C$2:$C6932)), "")*24*60, "")</f>
        <v/>
      </c>
      <c r="P6933" s="24" t="str" cm="1">
        <f t="array" ref="P6933">IFERROR(IF($B6933=P$1, ($A6933+$C6933) - MAX(IF($B$2:$B6932=$B6933, $A$2:$A6932+$C$2:$C6932)), "")*24*60, "")</f>
        <v/>
      </c>
      <c r="Q6933" s="24" t="str" cm="1">
        <f t="array" ref="Q6933">IFERROR(IF($B6933=Q$1, ($A6933+$C6933) - MAX(IF($B$2:$B6932=$B6933, $A$2:$A6932+$C$2:$C6932)), "")*24*60, "")</f>
        <v/>
      </c>
      <c r="R6933" s="24" t="str" cm="1">
        <f t="array" ref="R6933">IFERROR(IF($B6933=R$1, ($A6933+$C6933) - MAX(IF($B$2:$B6932=$B6933, $A$2:$A6932+$C$2:$C6932)), "")*24*60, "")</f>
        <v/>
      </c>
      <c r="S6933" s="24" t="str" cm="1">
        <f t="array" ref="S6933">IFERROR(IF($B6933=S$1, ($A6933+$C6933) - MAX(IF($B$2:$B6932=$B6933, $A$2:$A6932+$C$2:$C6932)), "")*24*60, "")</f>
        <v/>
      </c>
    </row>
    <row r="6934" spans="1:19" x14ac:dyDescent="0.2">
      <c r="A6934" s="12">
        <f t="shared" ref="A6934:C6934" si="1323">A6933</f>
        <v>45993</v>
      </c>
      <c r="B6934" s="5" t="str">
        <f t="shared" si="1323"/>
        <v>Northern Cardinal</v>
      </c>
      <c r="C6934" s="6">
        <f t="shared" si="1323"/>
        <v>0.28125</v>
      </c>
      <c r="D6934" s="5"/>
      <c r="E6934" s="5"/>
      <c r="F6934" s="5" t="s">
        <v>22</v>
      </c>
      <c r="G6934" s="15" t="s">
        <v>22</v>
      </c>
      <c r="H6934" s="24">
        <f t="shared" si="1309"/>
        <v>0</v>
      </c>
      <c r="I6934" s="24" cm="1">
        <f t="array" ref="I6934">IFERROR(IF($B6934=I$1, ($A6934+$C6934) - MAX(IF($B$2:$B6933=$B6934, $A$2:$A6933+$C$2:$C6933)), "")*24*60, "")</f>
        <v>0</v>
      </c>
      <c r="J6934" s="24" t="str" cm="1">
        <f t="array" ref="J6934">IFERROR(IF($B6934=J$1, ($A6934+$C6934) - MAX(IF($B$2:$B6933=$B6934, $A$2:$A6933+$C$2:$C6933)), "")*24*60, "")</f>
        <v/>
      </c>
      <c r="K6934" s="24" t="str" cm="1">
        <f t="array" ref="K6934">IFERROR(IF($B6934=K$1, ($A6934+$C6934) - MAX(IF($B$2:$B6933=$B6934, $A$2:$A6933+$C$2:$C6933)), "")*24*60, "")</f>
        <v/>
      </c>
      <c r="L6934" s="24" t="str" cm="1">
        <f t="array" ref="L6934">IFERROR(IF($B6934=L$1, ($A6934+$C6934) - MAX(IF($B$2:$B6933=$B6934, $A$2:$A6933+$C$2:$C6933)), "")*24*60, "")</f>
        <v/>
      </c>
      <c r="M6934" s="24" t="str" cm="1">
        <f t="array" ref="M6934">IFERROR(IF($B6934=M$1, ($A6934+$C6934) - MAX(IF($B$2:$B6933=$B6934, $A$2:$A6933+$C$2:$C6933)), "")*24*60, "")</f>
        <v/>
      </c>
      <c r="N6934" s="24" t="str" cm="1">
        <f t="array" ref="N6934">IFERROR(IF($B6934=N$1, ($A6934+$C6934) - MAX(IF($B$2:$B6933=$B6934, $A$2:$A6933+$C$2:$C6933)), "")*24*60, "")</f>
        <v/>
      </c>
      <c r="O6934" s="24" t="str" cm="1">
        <f t="array" ref="O6934">IFERROR(IF($B6934=O$1, ($A6934+$C6934) - MAX(IF($B$2:$B6933=$B6934, $A$2:$A6933+$C$2:$C6933)), "")*24*60, "")</f>
        <v/>
      </c>
      <c r="P6934" s="24" t="str" cm="1">
        <f t="array" ref="P6934">IFERROR(IF($B6934=P$1, ($A6934+$C6934) - MAX(IF($B$2:$B6933=$B6934, $A$2:$A6933+$C$2:$C6933)), "")*24*60, "")</f>
        <v/>
      </c>
      <c r="Q6934" s="24" t="str" cm="1">
        <f t="array" ref="Q6934">IFERROR(IF($B6934=Q$1, ($A6934+$C6934) - MAX(IF($B$2:$B6933=$B6934, $A$2:$A6933+$C$2:$C6933)), "")*24*60, "")</f>
        <v/>
      </c>
      <c r="R6934" s="24" t="str" cm="1">
        <f t="array" ref="R6934">IFERROR(IF($B6934=R$1, ($A6934+$C6934) - MAX(IF($B$2:$B6933=$B6934, $A$2:$A6933+$C$2:$C6933)), "")*24*60, "")</f>
        <v/>
      </c>
      <c r="S6934" s="24" t="str" cm="1">
        <f t="array" ref="S6934">IFERROR(IF($B6934=S$1, ($A6934+$C6934) - MAX(IF($B$2:$B6933=$B6934, $A$2:$A6933+$C$2:$C6933)), "")*24*60, "")</f>
        <v/>
      </c>
    </row>
    <row r="6935" spans="1:19" x14ac:dyDescent="0.2">
      <c r="A6935" s="12">
        <f t="shared" ref="A6935:C6935" si="1324">A6934</f>
        <v>45993</v>
      </c>
      <c r="B6935" s="5" t="str">
        <f t="shared" si="1324"/>
        <v>Northern Cardinal</v>
      </c>
      <c r="C6935" s="6">
        <f t="shared" si="1324"/>
        <v>0.28125</v>
      </c>
      <c r="D6935" s="5"/>
      <c r="E6935" s="5"/>
      <c r="F6935" s="5" t="s">
        <v>22</v>
      </c>
      <c r="G6935" s="15" t="s">
        <v>22</v>
      </c>
      <c r="H6935" s="24">
        <f t="shared" si="1309"/>
        <v>0</v>
      </c>
      <c r="I6935" s="24" cm="1">
        <f t="array" ref="I6935">IFERROR(IF($B6935=I$1, ($A6935+$C6935) - MAX(IF($B$2:$B6934=$B6935, $A$2:$A6934+$C$2:$C6934)), "")*24*60, "")</f>
        <v>0</v>
      </c>
      <c r="J6935" s="24" t="str" cm="1">
        <f t="array" ref="J6935">IFERROR(IF($B6935=J$1, ($A6935+$C6935) - MAX(IF($B$2:$B6934=$B6935, $A$2:$A6934+$C$2:$C6934)), "")*24*60, "")</f>
        <v/>
      </c>
      <c r="K6935" s="24" t="str" cm="1">
        <f t="array" ref="K6935">IFERROR(IF($B6935=K$1, ($A6935+$C6935) - MAX(IF($B$2:$B6934=$B6935, $A$2:$A6934+$C$2:$C6934)), "")*24*60, "")</f>
        <v/>
      </c>
      <c r="L6935" s="24" t="str" cm="1">
        <f t="array" ref="L6935">IFERROR(IF($B6935=L$1, ($A6935+$C6935) - MAX(IF($B$2:$B6934=$B6935, $A$2:$A6934+$C$2:$C6934)), "")*24*60, "")</f>
        <v/>
      </c>
      <c r="M6935" s="24" t="str" cm="1">
        <f t="array" ref="M6935">IFERROR(IF($B6935=M$1, ($A6935+$C6935) - MAX(IF($B$2:$B6934=$B6935, $A$2:$A6934+$C$2:$C6934)), "")*24*60, "")</f>
        <v/>
      </c>
      <c r="N6935" s="24" t="str" cm="1">
        <f t="array" ref="N6935">IFERROR(IF($B6935=N$1, ($A6935+$C6935) - MAX(IF($B$2:$B6934=$B6935, $A$2:$A6934+$C$2:$C6934)), "")*24*60, "")</f>
        <v/>
      </c>
      <c r="O6935" s="24" t="str" cm="1">
        <f t="array" ref="O6935">IFERROR(IF($B6935=O$1, ($A6935+$C6935) - MAX(IF($B$2:$B6934=$B6935, $A$2:$A6934+$C$2:$C6934)), "")*24*60, "")</f>
        <v/>
      </c>
      <c r="P6935" s="24" t="str" cm="1">
        <f t="array" ref="P6935">IFERROR(IF($B6935=P$1, ($A6935+$C6935) - MAX(IF($B$2:$B6934=$B6935, $A$2:$A6934+$C$2:$C6934)), "")*24*60, "")</f>
        <v/>
      </c>
      <c r="Q6935" s="24" t="str" cm="1">
        <f t="array" ref="Q6935">IFERROR(IF($B6935=Q$1, ($A6935+$C6935) - MAX(IF($B$2:$B6934=$B6935, $A$2:$A6934+$C$2:$C6934)), "")*24*60, "")</f>
        <v/>
      </c>
      <c r="R6935" s="24" t="str" cm="1">
        <f t="array" ref="R6935">IFERROR(IF($B6935=R$1, ($A6935+$C6935) - MAX(IF($B$2:$B6934=$B6935, $A$2:$A6934+$C$2:$C6934)), "")*24*60, "")</f>
        <v/>
      </c>
      <c r="S6935" s="24" t="str" cm="1">
        <f t="array" ref="S6935">IFERROR(IF($B6935=S$1, ($A6935+$C6935) - MAX(IF($B$2:$B6934=$B6935, $A$2:$A6934+$C$2:$C6934)), "")*24*60, "")</f>
        <v/>
      </c>
    </row>
    <row r="6936" spans="1:19" x14ac:dyDescent="0.2">
      <c r="A6936" s="12">
        <f t="shared" ref="A6936:C6936" si="1325">A6935</f>
        <v>45993</v>
      </c>
      <c r="B6936" s="5" t="str">
        <f t="shared" si="1325"/>
        <v>Northern Cardinal</v>
      </c>
      <c r="C6936" s="6">
        <f t="shared" si="1325"/>
        <v>0.28125</v>
      </c>
      <c r="D6936" s="5"/>
      <c r="E6936" s="5"/>
      <c r="F6936" s="5" t="s">
        <v>22</v>
      </c>
      <c r="G6936" s="15" t="s">
        <v>22</v>
      </c>
      <c r="H6936" s="24">
        <f t="shared" si="1309"/>
        <v>0</v>
      </c>
      <c r="I6936" s="24" cm="1">
        <f t="array" ref="I6936">IFERROR(IF($B6936=I$1, ($A6936+$C6936) - MAX(IF($B$2:$B6935=$B6936, $A$2:$A6935+$C$2:$C6935)), "")*24*60, "")</f>
        <v>0</v>
      </c>
      <c r="J6936" s="24" t="str" cm="1">
        <f t="array" ref="J6936">IFERROR(IF($B6936=J$1, ($A6936+$C6936) - MAX(IF($B$2:$B6935=$B6936, $A$2:$A6935+$C$2:$C6935)), "")*24*60, "")</f>
        <v/>
      </c>
      <c r="K6936" s="24" t="str" cm="1">
        <f t="array" ref="K6936">IFERROR(IF($B6936=K$1, ($A6936+$C6936) - MAX(IF($B$2:$B6935=$B6936, $A$2:$A6935+$C$2:$C6935)), "")*24*60, "")</f>
        <v/>
      </c>
      <c r="L6936" s="24" t="str" cm="1">
        <f t="array" ref="L6936">IFERROR(IF($B6936=L$1, ($A6936+$C6936) - MAX(IF($B$2:$B6935=$B6936, $A$2:$A6935+$C$2:$C6935)), "")*24*60, "")</f>
        <v/>
      </c>
      <c r="M6936" s="24" t="str" cm="1">
        <f t="array" ref="M6936">IFERROR(IF($B6936=M$1, ($A6936+$C6936) - MAX(IF($B$2:$B6935=$B6936, $A$2:$A6935+$C$2:$C6935)), "")*24*60, "")</f>
        <v/>
      </c>
      <c r="N6936" s="24" t="str" cm="1">
        <f t="array" ref="N6936">IFERROR(IF($B6936=N$1, ($A6936+$C6936) - MAX(IF($B$2:$B6935=$B6936, $A$2:$A6935+$C$2:$C6935)), "")*24*60, "")</f>
        <v/>
      </c>
      <c r="O6936" s="24" t="str" cm="1">
        <f t="array" ref="O6936">IFERROR(IF($B6936=O$1, ($A6936+$C6936) - MAX(IF($B$2:$B6935=$B6936, $A$2:$A6935+$C$2:$C6935)), "")*24*60, "")</f>
        <v/>
      </c>
      <c r="P6936" s="24" t="str" cm="1">
        <f t="array" ref="P6936">IFERROR(IF($B6936=P$1, ($A6936+$C6936) - MAX(IF($B$2:$B6935=$B6936, $A$2:$A6935+$C$2:$C6935)), "")*24*60, "")</f>
        <v/>
      </c>
      <c r="Q6936" s="24" t="str" cm="1">
        <f t="array" ref="Q6936">IFERROR(IF($B6936=Q$1, ($A6936+$C6936) - MAX(IF($B$2:$B6935=$B6936, $A$2:$A6935+$C$2:$C6935)), "")*24*60, "")</f>
        <v/>
      </c>
      <c r="R6936" s="24" t="str" cm="1">
        <f t="array" ref="R6936">IFERROR(IF($B6936=R$1, ($A6936+$C6936) - MAX(IF($B$2:$B6935=$B6936, $A$2:$A6935+$C$2:$C6935)), "")*24*60, "")</f>
        <v/>
      </c>
      <c r="S6936" s="24" t="str" cm="1">
        <f t="array" ref="S6936">IFERROR(IF($B6936=S$1, ($A6936+$C6936) - MAX(IF($B$2:$B6935=$B6936, $A$2:$A6935+$C$2:$C6935)), "")*24*60, "")</f>
        <v/>
      </c>
    </row>
    <row r="6937" spans="1:19" x14ac:dyDescent="0.2">
      <c r="A6937" s="12">
        <f t="shared" ref="A6937:C6937" si="1326">A6936</f>
        <v>45993</v>
      </c>
      <c r="B6937" s="5" t="str">
        <f t="shared" si="1326"/>
        <v>Northern Cardinal</v>
      </c>
      <c r="C6937" s="6">
        <f t="shared" si="1326"/>
        <v>0.28125</v>
      </c>
      <c r="D6937" s="5"/>
      <c r="E6937" s="5"/>
      <c r="F6937" s="5" t="s">
        <v>22</v>
      </c>
      <c r="G6937" s="15" t="s">
        <v>22</v>
      </c>
      <c r="H6937" s="24">
        <f t="shared" si="1309"/>
        <v>0</v>
      </c>
      <c r="I6937" s="24" cm="1">
        <f t="array" ref="I6937">IFERROR(IF($B6937=I$1, ($A6937+$C6937) - MAX(IF($B$2:$B6936=$B6937, $A$2:$A6936+$C$2:$C6936)), "")*24*60, "")</f>
        <v>0</v>
      </c>
      <c r="J6937" s="24" t="str" cm="1">
        <f t="array" ref="J6937">IFERROR(IF($B6937=J$1, ($A6937+$C6937) - MAX(IF($B$2:$B6936=$B6937, $A$2:$A6936+$C$2:$C6936)), "")*24*60, "")</f>
        <v/>
      </c>
      <c r="K6937" s="24" t="str" cm="1">
        <f t="array" ref="K6937">IFERROR(IF($B6937=K$1, ($A6937+$C6937) - MAX(IF($B$2:$B6936=$B6937, $A$2:$A6936+$C$2:$C6936)), "")*24*60, "")</f>
        <v/>
      </c>
      <c r="L6937" s="24" t="str" cm="1">
        <f t="array" ref="L6937">IFERROR(IF($B6937=L$1, ($A6937+$C6937) - MAX(IF($B$2:$B6936=$B6937, $A$2:$A6936+$C$2:$C6936)), "")*24*60, "")</f>
        <v/>
      </c>
      <c r="M6937" s="24" t="str" cm="1">
        <f t="array" ref="M6937">IFERROR(IF($B6937=M$1, ($A6937+$C6937) - MAX(IF($B$2:$B6936=$B6937, $A$2:$A6936+$C$2:$C6936)), "")*24*60, "")</f>
        <v/>
      </c>
      <c r="N6937" s="24" t="str" cm="1">
        <f t="array" ref="N6937">IFERROR(IF($B6937=N$1, ($A6937+$C6937) - MAX(IF($B$2:$B6936=$B6937, $A$2:$A6936+$C$2:$C6936)), "")*24*60, "")</f>
        <v/>
      </c>
      <c r="O6937" s="24" t="str" cm="1">
        <f t="array" ref="O6937">IFERROR(IF($B6937=O$1, ($A6937+$C6937) - MAX(IF($B$2:$B6936=$B6937, $A$2:$A6936+$C$2:$C6936)), "")*24*60, "")</f>
        <v/>
      </c>
      <c r="P6937" s="24" t="str" cm="1">
        <f t="array" ref="P6937">IFERROR(IF($B6937=P$1, ($A6937+$C6937) - MAX(IF($B$2:$B6936=$B6937, $A$2:$A6936+$C$2:$C6936)), "")*24*60, "")</f>
        <v/>
      </c>
      <c r="Q6937" s="24" t="str" cm="1">
        <f t="array" ref="Q6937">IFERROR(IF($B6937=Q$1, ($A6937+$C6937) - MAX(IF($B$2:$B6936=$B6937, $A$2:$A6936+$C$2:$C6936)), "")*24*60, "")</f>
        <v/>
      </c>
      <c r="R6937" s="24" t="str" cm="1">
        <f t="array" ref="R6937">IFERROR(IF($B6937=R$1, ($A6937+$C6937) - MAX(IF($B$2:$B6936=$B6937, $A$2:$A6936+$C$2:$C6936)), "")*24*60, "")</f>
        <v/>
      </c>
      <c r="S6937" s="24" t="str" cm="1">
        <f t="array" ref="S6937">IFERROR(IF($B6937=S$1, ($A6937+$C6937) - MAX(IF($B$2:$B6936=$B6937, $A$2:$A6936+$C$2:$C6936)), "")*24*60, "")</f>
        <v/>
      </c>
    </row>
    <row r="6938" spans="1:19" x14ac:dyDescent="0.2">
      <c r="A6938" s="12">
        <f t="shared" ref="A6938:C6938" si="1327">A6937</f>
        <v>45993</v>
      </c>
      <c r="B6938" s="5" t="str">
        <f t="shared" si="1327"/>
        <v>Northern Cardinal</v>
      </c>
      <c r="C6938" s="6">
        <f t="shared" si="1327"/>
        <v>0.28125</v>
      </c>
      <c r="D6938" s="5"/>
      <c r="E6938" s="5"/>
      <c r="F6938" s="5" t="s">
        <v>22</v>
      </c>
      <c r="G6938" s="15" t="s">
        <v>22</v>
      </c>
      <c r="H6938" s="24">
        <f t="shared" si="1309"/>
        <v>0</v>
      </c>
      <c r="I6938" s="24" cm="1">
        <f t="array" ref="I6938">IFERROR(IF($B6938=I$1, ($A6938+$C6938) - MAX(IF($B$2:$B6937=$B6938, $A$2:$A6937+$C$2:$C6937)), "")*24*60, "")</f>
        <v>0</v>
      </c>
      <c r="J6938" s="24" t="str" cm="1">
        <f t="array" ref="J6938">IFERROR(IF($B6938=J$1, ($A6938+$C6938) - MAX(IF($B$2:$B6937=$B6938, $A$2:$A6937+$C$2:$C6937)), "")*24*60, "")</f>
        <v/>
      </c>
      <c r="K6938" s="24" t="str" cm="1">
        <f t="array" ref="K6938">IFERROR(IF($B6938=K$1, ($A6938+$C6938) - MAX(IF($B$2:$B6937=$B6938, $A$2:$A6937+$C$2:$C6937)), "")*24*60, "")</f>
        <v/>
      </c>
      <c r="L6938" s="24" t="str" cm="1">
        <f t="array" ref="L6938">IFERROR(IF($B6938=L$1, ($A6938+$C6938) - MAX(IF($B$2:$B6937=$B6938, $A$2:$A6937+$C$2:$C6937)), "")*24*60, "")</f>
        <v/>
      </c>
      <c r="M6938" s="24" t="str" cm="1">
        <f t="array" ref="M6938">IFERROR(IF($B6938=M$1, ($A6938+$C6938) - MAX(IF($B$2:$B6937=$B6938, $A$2:$A6937+$C$2:$C6937)), "")*24*60, "")</f>
        <v/>
      </c>
      <c r="N6938" s="24" t="str" cm="1">
        <f t="array" ref="N6938">IFERROR(IF($B6938=N$1, ($A6938+$C6938) - MAX(IF($B$2:$B6937=$B6938, $A$2:$A6937+$C$2:$C6937)), "")*24*60, "")</f>
        <v/>
      </c>
      <c r="O6938" s="24" t="str" cm="1">
        <f t="array" ref="O6938">IFERROR(IF($B6938=O$1, ($A6938+$C6938) - MAX(IF($B$2:$B6937=$B6938, $A$2:$A6937+$C$2:$C6937)), "")*24*60, "")</f>
        <v/>
      </c>
      <c r="P6938" s="24" t="str" cm="1">
        <f t="array" ref="P6938">IFERROR(IF($B6938=P$1, ($A6938+$C6938) - MAX(IF($B$2:$B6937=$B6938, $A$2:$A6937+$C$2:$C6937)), "")*24*60, "")</f>
        <v/>
      </c>
      <c r="Q6938" s="24" t="str" cm="1">
        <f t="array" ref="Q6938">IFERROR(IF($B6938=Q$1, ($A6938+$C6938) - MAX(IF($B$2:$B6937=$B6938, $A$2:$A6937+$C$2:$C6937)), "")*24*60, "")</f>
        <v/>
      </c>
      <c r="R6938" s="24" t="str" cm="1">
        <f t="array" ref="R6938">IFERROR(IF($B6938=R$1, ($A6938+$C6938) - MAX(IF($B$2:$B6937=$B6938, $A$2:$A6937+$C$2:$C6937)), "")*24*60, "")</f>
        <v/>
      </c>
      <c r="S6938" s="24" t="str" cm="1">
        <f t="array" ref="S6938">IFERROR(IF($B6938=S$1, ($A6938+$C6938) - MAX(IF($B$2:$B6937=$B6938, $A$2:$A6937+$C$2:$C6937)), "")*24*60, "")</f>
        <v/>
      </c>
    </row>
    <row r="6939" spans="1:19" x14ac:dyDescent="0.2">
      <c r="A6939" s="12">
        <f t="shared" ref="A6939:C6939" si="1328">A6938</f>
        <v>45993</v>
      </c>
      <c r="B6939" s="5" t="str">
        <f t="shared" si="1328"/>
        <v>Northern Cardinal</v>
      </c>
      <c r="C6939" s="6">
        <f t="shared" si="1328"/>
        <v>0.28125</v>
      </c>
      <c r="D6939" s="5"/>
      <c r="E6939" s="5"/>
      <c r="F6939" s="5" t="s">
        <v>22</v>
      </c>
      <c r="G6939" s="15" t="s">
        <v>22</v>
      </c>
      <c r="H6939" s="24">
        <f t="shared" si="1309"/>
        <v>0</v>
      </c>
      <c r="I6939" s="24" cm="1">
        <f t="array" ref="I6939">IFERROR(IF($B6939=I$1, ($A6939+$C6939) - MAX(IF($B$2:$B6938=$B6939, $A$2:$A6938+$C$2:$C6938)), "")*24*60, "")</f>
        <v>0</v>
      </c>
      <c r="J6939" s="24" t="str" cm="1">
        <f t="array" ref="J6939">IFERROR(IF($B6939=J$1, ($A6939+$C6939) - MAX(IF($B$2:$B6938=$B6939, $A$2:$A6938+$C$2:$C6938)), "")*24*60, "")</f>
        <v/>
      </c>
      <c r="K6939" s="24" t="str" cm="1">
        <f t="array" ref="K6939">IFERROR(IF($B6939=K$1, ($A6939+$C6939) - MAX(IF($B$2:$B6938=$B6939, $A$2:$A6938+$C$2:$C6938)), "")*24*60, "")</f>
        <v/>
      </c>
      <c r="L6939" s="24" t="str" cm="1">
        <f t="array" ref="L6939">IFERROR(IF($B6939=L$1, ($A6939+$C6939) - MAX(IF($B$2:$B6938=$B6939, $A$2:$A6938+$C$2:$C6938)), "")*24*60, "")</f>
        <v/>
      </c>
      <c r="M6939" s="24" t="str" cm="1">
        <f t="array" ref="M6939">IFERROR(IF($B6939=M$1, ($A6939+$C6939) - MAX(IF($B$2:$B6938=$B6939, $A$2:$A6938+$C$2:$C6938)), "")*24*60, "")</f>
        <v/>
      </c>
      <c r="N6939" s="24" t="str" cm="1">
        <f t="array" ref="N6939">IFERROR(IF($B6939=N$1, ($A6939+$C6939) - MAX(IF($B$2:$B6938=$B6939, $A$2:$A6938+$C$2:$C6938)), "")*24*60, "")</f>
        <v/>
      </c>
      <c r="O6939" s="24" t="str" cm="1">
        <f t="array" ref="O6939">IFERROR(IF($B6939=O$1, ($A6939+$C6939) - MAX(IF($B$2:$B6938=$B6939, $A$2:$A6938+$C$2:$C6938)), "")*24*60, "")</f>
        <v/>
      </c>
      <c r="P6939" s="24" t="str" cm="1">
        <f t="array" ref="P6939">IFERROR(IF($B6939=P$1, ($A6939+$C6939) - MAX(IF($B$2:$B6938=$B6939, $A$2:$A6938+$C$2:$C6938)), "")*24*60, "")</f>
        <v/>
      </c>
      <c r="Q6939" s="24" t="str" cm="1">
        <f t="array" ref="Q6939">IFERROR(IF($B6939=Q$1, ($A6939+$C6939) - MAX(IF($B$2:$B6938=$B6939, $A$2:$A6938+$C$2:$C6938)), "")*24*60, "")</f>
        <v/>
      </c>
      <c r="R6939" s="24" t="str" cm="1">
        <f t="array" ref="R6939">IFERROR(IF($B6939=R$1, ($A6939+$C6939) - MAX(IF($B$2:$B6938=$B6939, $A$2:$A6938+$C$2:$C6938)), "")*24*60, "")</f>
        <v/>
      </c>
      <c r="S6939" s="24" t="str" cm="1">
        <f t="array" ref="S6939">IFERROR(IF($B6939=S$1, ($A6939+$C6939) - MAX(IF($B$2:$B6938=$B6939, $A$2:$A6938+$C$2:$C6938)), "")*24*60, "")</f>
        <v/>
      </c>
    </row>
    <row r="6940" spans="1:19" x14ac:dyDescent="0.2">
      <c r="A6940" s="12">
        <f t="shared" ref="A6940:C6940" si="1329">A6939</f>
        <v>45993</v>
      </c>
      <c r="B6940" s="5" t="str">
        <f t="shared" si="1329"/>
        <v>Northern Cardinal</v>
      </c>
      <c r="C6940" s="6">
        <f t="shared" si="1329"/>
        <v>0.28125</v>
      </c>
      <c r="D6940" s="5"/>
      <c r="E6940" s="5"/>
      <c r="F6940" s="5" t="s">
        <v>22</v>
      </c>
      <c r="G6940" s="15" t="s">
        <v>22</v>
      </c>
      <c r="H6940" s="24">
        <f t="shared" si="1309"/>
        <v>0</v>
      </c>
      <c r="I6940" s="24" cm="1">
        <f t="array" ref="I6940">IFERROR(IF($B6940=I$1, ($A6940+$C6940) - MAX(IF($B$2:$B6939=$B6940, $A$2:$A6939+$C$2:$C6939)), "")*24*60, "")</f>
        <v>0</v>
      </c>
      <c r="J6940" s="24" t="str" cm="1">
        <f t="array" ref="J6940">IFERROR(IF($B6940=J$1, ($A6940+$C6940) - MAX(IF($B$2:$B6939=$B6940, $A$2:$A6939+$C$2:$C6939)), "")*24*60, "")</f>
        <v/>
      </c>
      <c r="K6940" s="24" t="str" cm="1">
        <f t="array" ref="K6940">IFERROR(IF($B6940=K$1, ($A6940+$C6940) - MAX(IF($B$2:$B6939=$B6940, $A$2:$A6939+$C$2:$C6939)), "")*24*60, "")</f>
        <v/>
      </c>
      <c r="L6940" s="24" t="str" cm="1">
        <f t="array" ref="L6940">IFERROR(IF($B6940=L$1, ($A6940+$C6940) - MAX(IF($B$2:$B6939=$B6940, $A$2:$A6939+$C$2:$C6939)), "")*24*60, "")</f>
        <v/>
      </c>
      <c r="M6940" s="24" t="str" cm="1">
        <f t="array" ref="M6940">IFERROR(IF($B6940=M$1, ($A6940+$C6940) - MAX(IF($B$2:$B6939=$B6940, $A$2:$A6939+$C$2:$C6939)), "")*24*60, "")</f>
        <v/>
      </c>
      <c r="N6940" s="24" t="str" cm="1">
        <f t="array" ref="N6940">IFERROR(IF($B6940=N$1, ($A6940+$C6940) - MAX(IF($B$2:$B6939=$B6940, $A$2:$A6939+$C$2:$C6939)), "")*24*60, "")</f>
        <v/>
      </c>
      <c r="O6940" s="24" t="str" cm="1">
        <f t="array" ref="O6940">IFERROR(IF($B6940=O$1, ($A6940+$C6940) - MAX(IF($B$2:$B6939=$B6940, $A$2:$A6939+$C$2:$C6939)), "")*24*60, "")</f>
        <v/>
      </c>
      <c r="P6940" s="24" t="str" cm="1">
        <f t="array" ref="P6940">IFERROR(IF($B6940=P$1, ($A6940+$C6940) - MAX(IF($B$2:$B6939=$B6940, $A$2:$A6939+$C$2:$C6939)), "")*24*60, "")</f>
        <v/>
      </c>
      <c r="Q6940" s="24" t="str" cm="1">
        <f t="array" ref="Q6940">IFERROR(IF($B6940=Q$1, ($A6940+$C6940) - MAX(IF($B$2:$B6939=$B6940, $A$2:$A6939+$C$2:$C6939)), "")*24*60, "")</f>
        <v/>
      </c>
      <c r="R6940" s="24" t="str" cm="1">
        <f t="array" ref="R6940">IFERROR(IF($B6940=R$1, ($A6940+$C6940) - MAX(IF($B$2:$B6939=$B6940, $A$2:$A6939+$C$2:$C6939)), "")*24*60, "")</f>
        <v/>
      </c>
      <c r="S6940" s="24" t="str" cm="1">
        <f t="array" ref="S6940">IFERROR(IF($B6940=S$1, ($A6940+$C6940) - MAX(IF($B$2:$B6939=$B6940, $A$2:$A6939+$C$2:$C6939)), "")*24*60, "")</f>
        <v/>
      </c>
    </row>
    <row r="6941" spans="1:19" x14ac:dyDescent="0.2">
      <c r="A6941" s="12">
        <f t="shared" ref="A6941:C6941" si="1330">A6940</f>
        <v>45993</v>
      </c>
      <c r="B6941" s="5" t="str">
        <f t="shared" si="1330"/>
        <v>Northern Cardinal</v>
      </c>
      <c r="C6941" s="6">
        <f t="shared" si="1330"/>
        <v>0.28125</v>
      </c>
      <c r="D6941" s="5"/>
      <c r="E6941" s="5"/>
      <c r="F6941" s="5" t="s">
        <v>22</v>
      </c>
      <c r="G6941" s="15" t="s">
        <v>22</v>
      </c>
      <c r="H6941" s="24">
        <f t="shared" si="1309"/>
        <v>0</v>
      </c>
      <c r="I6941" s="24" cm="1">
        <f t="array" ref="I6941">IFERROR(IF($B6941=I$1, ($A6941+$C6941) - MAX(IF($B$2:$B6940=$B6941, $A$2:$A6940+$C$2:$C6940)), "")*24*60, "")</f>
        <v>0</v>
      </c>
      <c r="J6941" s="24" t="str" cm="1">
        <f t="array" ref="J6941">IFERROR(IF($B6941=J$1, ($A6941+$C6941) - MAX(IF($B$2:$B6940=$B6941, $A$2:$A6940+$C$2:$C6940)), "")*24*60, "")</f>
        <v/>
      </c>
      <c r="K6941" s="24" t="str" cm="1">
        <f t="array" ref="K6941">IFERROR(IF($B6941=K$1, ($A6941+$C6941) - MAX(IF($B$2:$B6940=$B6941, $A$2:$A6940+$C$2:$C6940)), "")*24*60, "")</f>
        <v/>
      </c>
      <c r="L6941" s="24" t="str" cm="1">
        <f t="array" ref="L6941">IFERROR(IF($B6941=L$1, ($A6941+$C6941) - MAX(IF($B$2:$B6940=$B6941, $A$2:$A6940+$C$2:$C6940)), "")*24*60, "")</f>
        <v/>
      </c>
      <c r="M6941" s="24" t="str" cm="1">
        <f t="array" ref="M6941">IFERROR(IF($B6941=M$1, ($A6941+$C6941) - MAX(IF($B$2:$B6940=$B6941, $A$2:$A6940+$C$2:$C6940)), "")*24*60, "")</f>
        <v/>
      </c>
      <c r="N6941" s="24" t="str" cm="1">
        <f t="array" ref="N6941">IFERROR(IF($B6941=N$1, ($A6941+$C6941) - MAX(IF($B$2:$B6940=$B6941, $A$2:$A6940+$C$2:$C6940)), "")*24*60, "")</f>
        <v/>
      </c>
      <c r="O6941" s="24" t="str" cm="1">
        <f t="array" ref="O6941">IFERROR(IF($B6941=O$1, ($A6941+$C6941) - MAX(IF($B$2:$B6940=$B6941, $A$2:$A6940+$C$2:$C6940)), "")*24*60, "")</f>
        <v/>
      </c>
      <c r="P6941" s="24" t="str" cm="1">
        <f t="array" ref="P6941">IFERROR(IF($B6941=P$1, ($A6941+$C6941) - MAX(IF($B$2:$B6940=$B6941, $A$2:$A6940+$C$2:$C6940)), "")*24*60, "")</f>
        <v/>
      </c>
      <c r="Q6941" s="24" t="str" cm="1">
        <f t="array" ref="Q6941">IFERROR(IF($B6941=Q$1, ($A6941+$C6941) - MAX(IF($B$2:$B6940=$B6941, $A$2:$A6940+$C$2:$C6940)), "")*24*60, "")</f>
        <v/>
      </c>
      <c r="R6941" s="24" t="str" cm="1">
        <f t="array" ref="R6941">IFERROR(IF($B6941=R$1, ($A6941+$C6941) - MAX(IF($B$2:$B6940=$B6941, $A$2:$A6940+$C$2:$C6940)), "")*24*60, "")</f>
        <v/>
      </c>
      <c r="S6941" s="24" t="str" cm="1">
        <f t="array" ref="S6941">IFERROR(IF($B6941=S$1, ($A6941+$C6941) - MAX(IF($B$2:$B6940=$B6941, $A$2:$A6940+$C$2:$C6940)), "")*24*60, "")</f>
        <v/>
      </c>
    </row>
    <row r="6942" spans="1:19" x14ac:dyDescent="0.2">
      <c r="A6942" s="12">
        <f t="shared" ref="A6942:C6942" si="1331">A6941</f>
        <v>45993</v>
      </c>
      <c r="B6942" s="5" t="str">
        <f t="shared" si="1331"/>
        <v>Northern Cardinal</v>
      </c>
      <c r="C6942" s="6">
        <f t="shared" si="1331"/>
        <v>0.28125</v>
      </c>
      <c r="D6942" s="5"/>
      <c r="E6942" s="5"/>
      <c r="F6942" s="5" t="s">
        <v>22</v>
      </c>
      <c r="G6942" s="15" t="s">
        <v>22</v>
      </c>
      <c r="H6942" s="24">
        <f t="shared" si="1309"/>
        <v>0</v>
      </c>
      <c r="I6942" s="24" cm="1">
        <f t="array" ref="I6942">IFERROR(IF($B6942=I$1, ($A6942+$C6942) - MAX(IF($B$2:$B6941=$B6942, $A$2:$A6941+$C$2:$C6941)), "")*24*60, "")</f>
        <v>0</v>
      </c>
      <c r="J6942" s="24" t="str" cm="1">
        <f t="array" ref="J6942">IFERROR(IF($B6942=J$1, ($A6942+$C6942) - MAX(IF($B$2:$B6941=$B6942, $A$2:$A6941+$C$2:$C6941)), "")*24*60, "")</f>
        <v/>
      </c>
      <c r="K6942" s="24" t="str" cm="1">
        <f t="array" ref="K6942">IFERROR(IF($B6942=K$1, ($A6942+$C6942) - MAX(IF($B$2:$B6941=$B6942, $A$2:$A6941+$C$2:$C6941)), "")*24*60, "")</f>
        <v/>
      </c>
      <c r="L6942" s="24" t="str" cm="1">
        <f t="array" ref="L6942">IFERROR(IF($B6942=L$1, ($A6942+$C6942) - MAX(IF($B$2:$B6941=$B6942, $A$2:$A6941+$C$2:$C6941)), "")*24*60, "")</f>
        <v/>
      </c>
      <c r="M6942" s="24" t="str" cm="1">
        <f t="array" ref="M6942">IFERROR(IF($B6942=M$1, ($A6942+$C6942) - MAX(IF($B$2:$B6941=$B6942, $A$2:$A6941+$C$2:$C6941)), "")*24*60, "")</f>
        <v/>
      </c>
      <c r="N6942" s="24" t="str" cm="1">
        <f t="array" ref="N6942">IFERROR(IF($B6942=N$1, ($A6942+$C6942) - MAX(IF($B$2:$B6941=$B6942, $A$2:$A6941+$C$2:$C6941)), "")*24*60, "")</f>
        <v/>
      </c>
      <c r="O6942" s="24" t="str" cm="1">
        <f t="array" ref="O6942">IFERROR(IF($B6942=O$1, ($A6942+$C6942) - MAX(IF($B$2:$B6941=$B6942, $A$2:$A6941+$C$2:$C6941)), "")*24*60, "")</f>
        <v/>
      </c>
      <c r="P6942" s="24" t="str" cm="1">
        <f t="array" ref="P6942">IFERROR(IF($B6942=P$1, ($A6942+$C6942) - MAX(IF($B$2:$B6941=$B6942, $A$2:$A6941+$C$2:$C6941)), "")*24*60, "")</f>
        <v/>
      </c>
      <c r="Q6942" s="24" t="str" cm="1">
        <f t="array" ref="Q6942">IFERROR(IF($B6942=Q$1, ($A6942+$C6942) - MAX(IF($B$2:$B6941=$B6942, $A$2:$A6941+$C$2:$C6941)), "")*24*60, "")</f>
        <v/>
      </c>
      <c r="R6942" s="24" t="str" cm="1">
        <f t="array" ref="R6942">IFERROR(IF($B6942=R$1, ($A6942+$C6942) - MAX(IF($B$2:$B6941=$B6942, $A$2:$A6941+$C$2:$C6941)), "")*24*60, "")</f>
        <v/>
      </c>
      <c r="S6942" s="24" t="str" cm="1">
        <f t="array" ref="S6942">IFERROR(IF($B6942=S$1, ($A6942+$C6942) - MAX(IF($B$2:$B6941=$B6942, $A$2:$A6941+$C$2:$C6941)), "")*24*60, "")</f>
        <v/>
      </c>
    </row>
    <row r="6943" spans="1:19" x14ac:dyDescent="0.2">
      <c r="A6943" s="12">
        <f t="shared" ref="A6943:C6943" si="1332">A6942</f>
        <v>45993</v>
      </c>
      <c r="B6943" s="5" t="str">
        <f t="shared" si="1332"/>
        <v>Northern Cardinal</v>
      </c>
      <c r="C6943" s="6">
        <f t="shared" si="1332"/>
        <v>0.28125</v>
      </c>
      <c r="D6943" s="5"/>
      <c r="E6943" s="5"/>
      <c r="F6943" s="5" t="s">
        <v>22</v>
      </c>
      <c r="G6943" s="15" t="s">
        <v>22</v>
      </c>
      <c r="H6943" s="24">
        <f t="shared" si="1309"/>
        <v>0</v>
      </c>
      <c r="I6943" s="24" cm="1">
        <f t="array" ref="I6943">IFERROR(IF($B6943=I$1, ($A6943+$C6943) - MAX(IF($B$2:$B6942=$B6943, $A$2:$A6942+$C$2:$C6942)), "")*24*60, "")</f>
        <v>0</v>
      </c>
      <c r="J6943" s="24" t="str" cm="1">
        <f t="array" ref="J6943">IFERROR(IF($B6943=J$1, ($A6943+$C6943) - MAX(IF($B$2:$B6942=$B6943, $A$2:$A6942+$C$2:$C6942)), "")*24*60, "")</f>
        <v/>
      </c>
      <c r="K6943" s="24" t="str" cm="1">
        <f t="array" ref="K6943">IFERROR(IF($B6943=K$1, ($A6943+$C6943) - MAX(IF($B$2:$B6942=$B6943, $A$2:$A6942+$C$2:$C6942)), "")*24*60, "")</f>
        <v/>
      </c>
      <c r="L6943" s="24" t="str" cm="1">
        <f t="array" ref="L6943">IFERROR(IF($B6943=L$1, ($A6943+$C6943) - MAX(IF($B$2:$B6942=$B6943, $A$2:$A6942+$C$2:$C6942)), "")*24*60, "")</f>
        <v/>
      </c>
      <c r="M6943" s="24" t="str" cm="1">
        <f t="array" ref="M6943">IFERROR(IF($B6943=M$1, ($A6943+$C6943) - MAX(IF($B$2:$B6942=$B6943, $A$2:$A6942+$C$2:$C6942)), "")*24*60, "")</f>
        <v/>
      </c>
      <c r="N6943" s="24" t="str" cm="1">
        <f t="array" ref="N6943">IFERROR(IF($B6943=N$1, ($A6943+$C6943) - MAX(IF($B$2:$B6942=$B6943, $A$2:$A6942+$C$2:$C6942)), "")*24*60, "")</f>
        <v/>
      </c>
      <c r="O6943" s="24" t="str" cm="1">
        <f t="array" ref="O6943">IFERROR(IF($B6943=O$1, ($A6943+$C6943) - MAX(IF($B$2:$B6942=$B6943, $A$2:$A6942+$C$2:$C6942)), "")*24*60, "")</f>
        <v/>
      </c>
      <c r="P6943" s="24" t="str" cm="1">
        <f t="array" ref="P6943">IFERROR(IF($B6943=P$1, ($A6943+$C6943) - MAX(IF($B$2:$B6942=$B6943, $A$2:$A6942+$C$2:$C6942)), "")*24*60, "")</f>
        <v/>
      </c>
      <c r="Q6943" s="24" t="str" cm="1">
        <f t="array" ref="Q6943">IFERROR(IF($B6943=Q$1, ($A6943+$C6943) - MAX(IF($B$2:$B6942=$B6943, $A$2:$A6942+$C$2:$C6942)), "")*24*60, "")</f>
        <v/>
      </c>
      <c r="R6943" s="24" t="str" cm="1">
        <f t="array" ref="R6943">IFERROR(IF($B6943=R$1, ($A6943+$C6943) - MAX(IF($B$2:$B6942=$B6943, $A$2:$A6942+$C$2:$C6942)), "")*24*60, "")</f>
        <v/>
      </c>
      <c r="S6943" s="24" t="str" cm="1">
        <f t="array" ref="S6943">IFERROR(IF($B6943=S$1, ($A6943+$C6943) - MAX(IF($B$2:$B6942=$B6943, $A$2:$A6942+$C$2:$C6942)), "")*24*60, "")</f>
        <v/>
      </c>
    </row>
    <row r="6944" spans="1:19" x14ac:dyDescent="0.2">
      <c r="A6944" s="12">
        <f t="shared" ref="A6944:C6944" si="1333">A6943</f>
        <v>45993</v>
      </c>
      <c r="B6944" s="5" t="str">
        <f t="shared" si="1333"/>
        <v>Northern Cardinal</v>
      </c>
      <c r="C6944" s="6">
        <f t="shared" si="1333"/>
        <v>0.28125</v>
      </c>
      <c r="D6944" s="5"/>
      <c r="E6944" s="5"/>
      <c r="F6944" s="5" t="s">
        <v>22</v>
      </c>
      <c r="G6944" s="15" t="s">
        <v>22</v>
      </c>
      <c r="H6944" s="24">
        <f t="shared" si="1309"/>
        <v>0</v>
      </c>
      <c r="I6944" s="24" cm="1">
        <f t="array" ref="I6944">IFERROR(IF($B6944=I$1, ($A6944+$C6944) - MAX(IF($B$2:$B6943=$B6944, $A$2:$A6943+$C$2:$C6943)), "")*24*60, "")</f>
        <v>0</v>
      </c>
      <c r="J6944" s="24" t="str" cm="1">
        <f t="array" ref="J6944">IFERROR(IF($B6944=J$1, ($A6944+$C6944) - MAX(IF($B$2:$B6943=$B6944, $A$2:$A6943+$C$2:$C6943)), "")*24*60, "")</f>
        <v/>
      </c>
      <c r="K6944" s="24" t="str" cm="1">
        <f t="array" ref="K6944">IFERROR(IF($B6944=K$1, ($A6944+$C6944) - MAX(IF($B$2:$B6943=$B6944, $A$2:$A6943+$C$2:$C6943)), "")*24*60, "")</f>
        <v/>
      </c>
      <c r="L6944" s="24" t="str" cm="1">
        <f t="array" ref="L6944">IFERROR(IF($B6944=L$1, ($A6944+$C6944) - MAX(IF($B$2:$B6943=$B6944, $A$2:$A6943+$C$2:$C6943)), "")*24*60, "")</f>
        <v/>
      </c>
      <c r="M6944" s="24" t="str" cm="1">
        <f t="array" ref="M6944">IFERROR(IF($B6944=M$1, ($A6944+$C6944) - MAX(IF($B$2:$B6943=$B6944, $A$2:$A6943+$C$2:$C6943)), "")*24*60, "")</f>
        <v/>
      </c>
      <c r="N6944" s="24" t="str" cm="1">
        <f t="array" ref="N6944">IFERROR(IF($B6944=N$1, ($A6944+$C6944) - MAX(IF($B$2:$B6943=$B6944, $A$2:$A6943+$C$2:$C6943)), "")*24*60, "")</f>
        <v/>
      </c>
      <c r="O6944" s="24" t="str" cm="1">
        <f t="array" ref="O6944">IFERROR(IF($B6944=O$1, ($A6944+$C6944) - MAX(IF($B$2:$B6943=$B6944, $A$2:$A6943+$C$2:$C6943)), "")*24*60, "")</f>
        <v/>
      </c>
      <c r="P6944" s="24" t="str" cm="1">
        <f t="array" ref="P6944">IFERROR(IF($B6944=P$1, ($A6944+$C6944) - MAX(IF($B$2:$B6943=$B6944, $A$2:$A6943+$C$2:$C6943)), "")*24*60, "")</f>
        <v/>
      </c>
      <c r="Q6944" s="24" t="str" cm="1">
        <f t="array" ref="Q6944">IFERROR(IF($B6944=Q$1, ($A6944+$C6944) - MAX(IF($B$2:$B6943=$B6944, $A$2:$A6943+$C$2:$C6943)), "")*24*60, "")</f>
        <v/>
      </c>
      <c r="R6944" s="24" t="str" cm="1">
        <f t="array" ref="R6944">IFERROR(IF($B6944=R$1, ($A6944+$C6944) - MAX(IF($B$2:$B6943=$B6944, $A$2:$A6943+$C$2:$C6943)), "")*24*60, "")</f>
        <v/>
      </c>
      <c r="S6944" s="24" t="str" cm="1">
        <f t="array" ref="S6944">IFERROR(IF($B6944=S$1, ($A6944+$C6944) - MAX(IF($B$2:$B6943=$B6944, $A$2:$A6943+$C$2:$C6943)), "")*24*60, "")</f>
        <v/>
      </c>
    </row>
    <row r="6945" spans="1:19" x14ac:dyDescent="0.2">
      <c r="A6945" s="12">
        <f t="shared" ref="A6945:C6945" si="1334">A6944</f>
        <v>45993</v>
      </c>
      <c r="B6945" s="5" t="str">
        <f t="shared" si="1334"/>
        <v>Northern Cardinal</v>
      </c>
      <c r="C6945" s="6">
        <f t="shared" si="1334"/>
        <v>0.28125</v>
      </c>
      <c r="D6945" s="5"/>
      <c r="E6945" s="5"/>
      <c r="F6945" s="5" t="s">
        <v>22</v>
      </c>
      <c r="G6945" s="15" t="s">
        <v>22</v>
      </c>
      <c r="H6945" s="24">
        <f t="shared" si="1309"/>
        <v>0</v>
      </c>
      <c r="I6945" s="24" cm="1">
        <f t="array" ref="I6945">IFERROR(IF($B6945=I$1, ($A6945+$C6945) - MAX(IF($B$2:$B6944=$B6945, $A$2:$A6944+$C$2:$C6944)), "")*24*60, "")</f>
        <v>0</v>
      </c>
      <c r="J6945" s="24" t="str" cm="1">
        <f t="array" ref="J6945">IFERROR(IF($B6945=J$1, ($A6945+$C6945) - MAX(IF($B$2:$B6944=$B6945, $A$2:$A6944+$C$2:$C6944)), "")*24*60, "")</f>
        <v/>
      </c>
      <c r="K6945" s="24" t="str" cm="1">
        <f t="array" ref="K6945">IFERROR(IF($B6945=K$1, ($A6945+$C6945) - MAX(IF($B$2:$B6944=$B6945, $A$2:$A6944+$C$2:$C6944)), "")*24*60, "")</f>
        <v/>
      </c>
      <c r="L6945" s="24" t="str" cm="1">
        <f t="array" ref="L6945">IFERROR(IF($B6945=L$1, ($A6945+$C6945) - MAX(IF($B$2:$B6944=$B6945, $A$2:$A6944+$C$2:$C6944)), "")*24*60, "")</f>
        <v/>
      </c>
      <c r="M6945" s="24" t="str" cm="1">
        <f t="array" ref="M6945">IFERROR(IF($B6945=M$1, ($A6945+$C6945) - MAX(IF($B$2:$B6944=$B6945, $A$2:$A6944+$C$2:$C6944)), "")*24*60, "")</f>
        <v/>
      </c>
      <c r="N6945" s="24" t="str" cm="1">
        <f t="array" ref="N6945">IFERROR(IF($B6945=N$1, ($A6945+$C6945) - MAX(IF($B$2:$B6944=$B6945, $A$2:$A6944+$C$2:$C6944)), "")*24*60, "")</f>
        <v/>
      </c>
      <c r="O6945" s="24" t="str" cm="1">
        <f t="array" ref="O6945">IFERROR(IF($B6945=O$1, ($A6945+$C6945) - MAX(IF($B$2:$B6944=$B6945, $A$2:$A6944+$C$2:$C6944)), "")*24*60, "")</f>
        <v/>
      </c>
      <c r="P6945" s="24" t="str" cm="1">
        <f t="array" ref="P6945">IFERROR(IF($B6945=P$1, ($A6945+$C6945) - MAX(IF($B$2:$B6944=$B6945, $A$2:$A6944+$C$2:$C6944)), "")*24*60, "")</f>
        <v/>
      </c>
      <c r="Q6945" s="24" t="str" cm="1">
        <f t="array" ref="Q6945">IFERROR(IF($B6945=Q$1, ($A6945+$C6945) - MAX(IF($B$2:$B6944=$B6945, $A$2:$A6944+$C$2:$C6944)), "")*24*60, "")</f>
        <v/>
      </c>
      <c r="R6945" s="24" t="str" cm="1">
        <f t="array" ref="R6945">IFERROR(IF($B6945=R$1, ($A6945+$C6945) - MAX(IF($B$2:$B6944=$B6945, $A$2:$A6944+$C$2:$C6944)), "")*24*60, "")</f>
        <v/>
      </c>
      <c r="S6945" s="24" t="str" cm="1">
        <f t="array" ref="S6945">IFERROR(IF($B6945=S$1, ($A6945+$C6945) - MAX(IF($B$2:$B6944=$B6945, $A$2:$A6944+$C$2:$C6944)), "")*24*60, "")</f>
        <v/>
      </c>
    </row>
    <row r="6946" spans="1:19" x14ac:dyDescent="0.2">
      <c r="A6946" s="12">
        <f t="shared" ref="A6946:C6946" si="1335">A6945</f>
        <v>45993</v>
      </c>
      <c r="B6946" s="5" t="str">
        <f t="shared" si="1335"/>
        <v>Northern Cardinal</v>
      </c>
      <c r="C6946" s="6">
        <f t="shared" si="1335"/>
        <v>0.28125</v>
      </c>
      <c r="D6946" s="5"/>
      <c r="E6946" s="5"/>
      <c r="F6946" s="5" t="s">
        <v>22</v>
      </c>
      <c r="G6946" s="15" t="s">
        <v>22</v>
      </c>
      <c r="H6946" s="24">
        <f t="shared" si="1309"/>
        <v>0</v>
      </c>
      <c r="I6946" s="24" cm="1">
        <f t="array" ref="I6946">IFERROR(IF($B6946=I$1, ($A6946+$C6946) - MAX(IF($B$2:$B6945=$B6946, $A$2:$A6945+$C$2:$C6945)), "")*24*60, "")</f>
        <v>0</v>
      </c>
      <c r="J6946" s="24" t="str" cm="1">
        <f t="array" ref="J6946">IFERROR(IF($B6946=J$1, ($A6946+$C6946) - MAX(IF($B$2:$B6945=$B6946, $A$2:$A6945+$C$2:$C6945)), "")*24*60, "")</f>
        <v/>
      </c>
      <c r="K6946" s="24" t="str" cm="1">
        <f t="array" ref="K6946">IFERROR(IF($B6946=K$1, ($A6946+$C6946) - MAX(IF($B$2:$B6945=$B6946, $A$2:$A6945+$C$2:$C6945)), "")*24*60, "")</f>
        <v/>
      </c>
      <c r="L6946" s="24" t="str" cm="1">
        <f t="array" ref="L6946">IFERROR(IF($B6946=L$1, ($A6946+$C6946) - MAX(IF($B$2:$B6945=$B6946, $A$2:$A6945+$C$2:$C6945)), "")*24*60, "")</f>
        <v/>
      </c>
      <c r="M6946" s="24" t="str" cm="1">
        <f t="array" ref="M6946">IFERROR(IF($B6946=M$1, ($A6946+$C6946) - MAX(IF($B$2:$B6945=$B6946, $A$2:$A6945+$C$2:$C6945)), "")*24*60, "")</f>
        <v/>
      </c>
      <c r="N6946" s="24" t="str" cm="1">
        <f t="array" ref="N6946">IFERROR(IF($B6946=N$1, ($A6946+$C6946) - MAX(IF($B$2:$B6945=$B6946, $A$2:$A6945+$C$2:$C6945)), "")*24*60, "")</f>
        <v/>
      </c>
      <c r="O6946" s="24" t="str" cm="1">
        <f t="array" ref="O6946">IFERROR(IF($B6946=O$1, ($A6946+$C6946) - MAX(IF($B$2:$B6945=$B6946, $A$2:$A6945+$C$2:$C6945)), "")*24*60, "")</f>
        <v/>
      </c>
      <c r="P6946" s="24" t="str" cm="1">
        <f t="array" ref="P6946">IFERROR(IF($B6946=P$1, ($A6946+$C6946) - MAX(IF($B$2:$B6945=$B6946, $A$2:$A6945+$C$2:$C6945)), "")*24*60, "")</f>
        <v/>
      </c>
      <c r="Q6946" s="24" t="str" cm="1">
        <f t="array" ref="Q6946">IFERROR(IF($B6946=Q$1, ($A6946+$C6946) - MAX(IF($B$2:$B6945=$B6946, $A$2:$A6945+$C$2:$C6945)), "")*24*60, "")</f>
        <v/>
      </c>
      <c r="R6946" s="24" t="str" cm="1">
        <f t="array" ref="R6946">IFERROR(IF($B6946=R$1, ($A6946+$C6946) - MAX(IF($B$2:$B6945=$B6946, $A$2:$A6945+$C$2:$C6945)), "")*24*60, "")</f>
        <v/>
      </c>
      <c r="S6946" s="24" t="str" cm="1">
        <f t="array" ref="S6946">IFERROR(IF($B6946=S$1, ($A6946+$C6946) - MAX(IF($B$2:$B6945=$B6946, $A$2:$A6945+$C$2:$C6945)), "")*24*60, "")</f>
        <v/>
      </c>
    </row>
    <row r="6947" spans="1:19" x14ac:dyDescent="0.2">
      <c r="A6947" s="12">
        <f t="shared" ref="A6947:C6947" si="1336">A6946</f>
        <v>45993</v>
      </c>
      <c r="B6947" s="5" t="str">
        <f t="shared" si="1336"/>
        <v>Northern Cardinal</v>
      </c>
      <c r="C6947" s="6">
        <f t="shared" si="1336"/>
        <v>0.28125</v>
      </c>
      <c r="D6947" s="5"/>
      <c r="E6947" s="5"/>
      <c r="F6947" s="5" t="s">
        <v>22</v>
      </c>
      <c r="G6947" s="15" t="s">
        <v>22</v>
      </c>
      <c r="H6947" s="24">
        <f t="shared" si="1309"/>
        <v>0</v>
      </c>
      <c r="I6947" s="24" cm="1">
        <f t="array" ref="I6947">IFERROR(IF($B6947=I$1, ($A6947+$C6947) - MAX(IF($B$2:$B6946=$B6947, $A$2:$A6946+$C$2:$C6946)), "")*24*60, "")</f>
        <v>0</v>
      </c>
      <c r="J6947" s="24" t="str" cm="1">
        <f t="array" ref="J6947">IFERROR(IF($B6947=J$1, ($A6947+$C6947) - MAX(IF($B$2:$B6946=$B6947, $A$2:$A6946+$C$2:$C6946)), "")*24*60, "")</f>
        <v/>
      </c>
      <c r="K6947" s="24" t="str" cm="1">
        <f t="array" ref="K6947">IFERROR(IF($B6947=K$1, ($A6947+$C6947) - MAX(IF($B$2:$B6946=$B6947, $A$2:$A6946+$C$2:$C6946)), "")*24*60, "")</f>
        <v/>
      </c>
      <c r="L6947" s="24" t="str" cm="1">
        <f t="array" ref="L6947">IFERROR(IF($B6947=L$1, ($A6947+$C6947) - MAX(IF($B$2:$B6946=$B6947, $A$2:$A6946+$C$2:$C6946)), "")*24*60, "")</f>
        <v/>
      </c>
      <c r="M6947" s="24" t="str" cm="1">
        <f t="array" ref="M6947">IFERROR(IF($B6947=M$1, ($A6947+$C6947) - MAX(IF($B$2:$B6946=$B6947, $A$2:$A6946+$C$2:$C6946)), "")*24*60, "")</f>
        <v/>
      </c>
      <c r="N6947" s="24" t="str" cm="1">
        <f t="array" ref="N6947">IFERROR(IF($B6947=N$1, ($A6947+$C6947) - MAX(IF($B$2:$B6946=$B6947, $A$2:$A6946+$C$2:$C6946)), "")*24*60, "")</f>
        <v/>
      </c>
      <c r="O6947" s="24" t="str" cm="1">
        <f t="array" ref="O6947">IFERROR(IF($B6947=O$1, ($A6947+$C6947) - MAX(IF($B$2:$B6946=$B6947, $A$2:$A6946+$C$2:$C6946)), "")*24*60, "")</f>
        <v/>
      </c>
      <c r="P6947" s="24" t="str" cm="1">
        <f t="array" ref="P6947">IFERROR(IF($B6947=P$1, ($A6947+$C6947) - MAX(IF($B$2:$B6946=$B6947, $A$2:$A6946+$C$2:$C6946)), "")*24*60, "")</f>
        <v/>
      </c>
      <c r="Q6947" s="24" t="str" cm="1">
        <f t="array" ref="Q6947">IFERROR(IF($B6947=Q$1, ($A6947+$C6947) - MAX(IF($B$2:$B6946=$B6947, $A$2:$A6946+$C$2:$C6946)), "")*24*60, "")</f>
        <v/>
      </c>
      <c r="R6947" s="24" t="str" cm="1">
        <f t="array" ref="R6947">IFERROR(IF($B6947=R$1, ($A6947+$C6947) - MAX(IF($B$2:$B6946=$B6947, $A$2:$A6946+$C$2:$C6946)), "")*24*60, "")</f>
        <v/>
      </c>
      <c r="S6947" s="24" t="str" cm="1">
        <f t="array" ref="S6947">IFERROR(IF($B6947=S$1, ($A6947+$C6947) - MAX(IF($B$2:$B6946=$B6947, $A$2:$A6946+$C$2:$C6946)), "")*24*60, "")</f>
        <v/>
      </c>
    </row>
    <row r="6948" spans="1:19" x14ac:dyDescent="0.2">
      <c r="A6948" s="12">
        <f t="shared" ref="A6948:C6948" si="1337">A6947</f>
        <v>45993</v>
      </c>
      <c r="B6948" s="5" t="str">
        <f t="shared" si="1337"/>
        <v>Northern Cardinal</v>
      </c>
      <c r="C6948" s="6">
        <f t="shared" si="1337"/>
        <v>0.28125</v>
      </c>
      <c r="D6948" s="5"/>
      <c r="E6948" s="5"/>
      <c r="F6948" s="5" t="s">
        <v>22</v>
      </c>
      <c r="G6948" s="15" t="s">
        <v>22</v>
      </c>
      <c r="H6948" s="24">
        <f t="shared" si="1309"/>
        <v>0</v>
      </c>
      <c r="I6948" s="24" cm="1">
        <f t="array" ref="I6948">IFERROR(IF($B6948=I$1, ($A6948+$C6948) - MAX(IF($B$2:$B6947=$B6948, $A$2:$A6947+$C$2:$C6947)), "")*24*60, "")</f>
        <v>0</v>
      </c>
      <c r="J6948" s="24" t="str" cm="1">
        <f t="array" ref="J6948">IFERROR(IF($B6948=J$1, ($A6948+$C6948) - MAX(IF($B$2:$B6947=$B6948, $A$2:$A6947+$C$2:$C6947)), "")*24*60, "")</f>
        <v/>
      </c>
      <c r="K6948" s="24" t="str" cm="1">
        <f t="array" ref="K6948">IFERROR(IF($B6948=K$1, ($A6948+$C6948) - MAX(IF($B$2:$B6947=$B6948, $A$2:$A6947+$C$2:$C6947)), "")*24*60, "")</f>
        <v/>
      </c>
      <c r="L6948" s="24" t="str" cm="1">
        <f t="array" ref="L6948">IFERROR(IF($B6948=L$1, ($A6948+$C6948) - MAX(IF($B$2:$B6947=$B6948, $A$2:$A6947+$C$2:$C6947)), "")*24*60, "")</f>
        <v/>
      </c>
      <c r="M6948" s="24" t="str" cm="1">
        <f t="array" ref="M6948">IFERROR(IF($B6948=M$1, ($A6948+$C6948) - MAX(IF($B$2:$B6947=$B6948, $A$2:$A6947+$C$2:$C6947)), "")*24*60, "")</f>
        <v/>
      </c>
      <c r="N6948" s="24" t="str" cm="1">
        <f t="array" ref="N6948">IFERROR(IF($B6948=N$1, ($A6948+$C6948) - MAX(IF($B$2:$B6947=$B6948, $A$2:$A6947+$C$2:$C6947)), "")*24*60, "")</f>
        <v/>
      </c>
      <c r="O6948" s="24" t="str" cm="1">
        <f t="array" ref="O6948">IFERROR(IF($B6948=O$1, ($A6948+$C6948) - MAX(IF($B$2:$B6947=$B6948, $A$2:$A6947+$C$2:$C6947)), "")*24*60, "")</f>
        <v/>
      </c>
      <c r="P6948" s="24" t="str" cm="1">
        <f t="array" ref="P6948">IFERROR(IF($B6948=P$1, ($A6948+$C6948) - MAX(IF($B$2:$B6947=$B6948, $A$2:$A6947+$C$2:$C6947)), "")*24*60, "")</f>
        <v/>
      </c>
      <c r="Q6948" s="24" t="str" cm="1">
        <f t="array" ref="Q6948">IFERROR(IF($B6948=Q$1, ($A6948+$C6948) - MAX(IF($B$2:$B6947=$B6948, $A$2:$A6947+$C$2:$C6947)), "")*24*60, "")</f>
        <v/>
      </c>
      <c r="R6948" s="24" t="str" cm="1">
        <f t="array" ref="R6948">IFERROR(IF($B6948=R$1, ($A6948+$C6948) - MAX(IF($B$2:$B6947=$B6948, $A$2:$A6947+$C$2:$C6947)), "")*24*60, "")</f>
        <v/>
      </c>
      <c r="S6948" s="24" t="str" cm="1">
        <f t="array" ref="S6948">IFERROR(IF($B6948=S$1, ($A6948+$C6948) - MAX(IF($B$2:$B6947=$B6948, $A$2:$A6947+$C$2:$C6947)), "")*24*60, "")</f>
        <v/>
      </c>
    </row>
    <row r="6949" spans="1:19" x14ac:dyDescent="0.2">
      <c r="A6949" s="12">
        <f t="shared" ref="A6949:C6949" si="1338">A6948</f>
        <v>45993</v>
      </c>
      <c r="B6949" s="5" t="str">
        <f t="shared" si="1338"/>
        <v>Northern Cardinal</v>
      </c>
      <c r="C6949" s="6">
        <f t="shared" si="1338"/>
        <v>0.28125</v>
      </c>
      <c r="D6949" s="5"/>
      <c r="E6949" s="5"/>
      <c r="F6949" s="5" t="s">
        <v>22</v>
      </c>
      <c r="G6949" s="15" t="s">
        <v>22</v>
      </c>
      <c r="H6949" s="24">
        <f t="shared" si="1309"/>
        <v>0</v>
      </c>
      <c r="I6949" s="24" cm="1">
        <f t="array" ref="I6949">IFERROR(IF($B6949=I$1, ($A6949+$C6949) - MAX(IF($B$2:$B6948=$B6949, $A$2:$A6948+$C$2:$C6948)), "")*24*60, "")</f>
        <v>0</v>
      </c>
      <c r="J6949" s="24" t="str" cm="1">
        <f t="array" ref="J6949">IFERROR(IF($B6949=J$1, ($A6949+$C6949) - MAX(IF($B$2:$B6948=$B6949, $A$2:$A6948+$C$2:$C6948)), "")*24*60, "")</f>
        <v/>
      </c>
      <c r="K6949" s="24" t="str" cm="1">
        <f t="array" ref="K6949">IFERROR(IF($B6949=K$1, ($A6949+$C6949) - MAX(IF($B$2:$B6948=$B6949, $A$2:$A6948+$C$2:$C6948)), "")*24*60, "")</f>
        <v/>
      </c>
      <c r="L6949" s="24" t="str" cm="1">
        <f t="array" ref="L6949">IFERROR(IF($B6949=L$1, ($A6949+$C6949) - MAX(IF($B$2:$B6948=$B6949, $A$2:$A6948+$C$2:$C6948)), "")*24*60, "")</f>
        <v/>
      </c>
      <c r="M6949" s="24" t="str" cm="1">
        <f t="array" ref="M6949">IFERROR(IF($B6949=M$1, ($A6949+$C6949) - MAX(IF($B$2:$B6948=$B6949, $A$2:$A6948+$C$2:$C6948)), "")*24*60, "")</f>
        <v/>
      </c>
      <c r="N6949" s="24" t="str" cm="1">
        <f t="array" ref="N6949">IFERROR(IF($B6949=N$1, ($A6949+$C6949) - MAX(IF($B$2:$B6948=$B6949, $A$2:$A6948+$C$2:$C6948)), "")*24*60, "")</f>
        <v/>
      </c>
      <c r="O6949" s="24" t="str" cm="1">
        <f t="array" ref="O6949">IFERROR(IF($B6949=O$1, ($A6949+$C6949) - MAX(IF($B$2:$B6948=$B6949, $A$2:$A6948+$C$2:$C6948)), "")*24*60, "")</f>
        <v/>
      </c>
      <c r="P6949" s="24" t="str" cm="1">
        <f t="array" ref="P6949">IFERROR(IF($B6949=P$1, ($A6949+$C6949) - MAX(IF($B$2:$B6948=$B6949, $A$2:$A6948+$C$2:$C6948)), "")*24*60, "")</f>
        <v/>
      </c>
      <c r="Q6949" s="24" t="str" cm="1">
        <f t="array" ref="Q6949">IFERROR(IF($B6949=Q$1, ($A6949+$C6949) - MAX(IF($B$2:$B6948=$B6949, $A$2:$A6948+$C$2:$C6948)), "")*24*60, "")</f>
        <v/>
      </c>
      <c r="R6949" s="24" t="str" cm="1">
        <f t="array" ref="R6949">IFERROR(IF($B6949=R$1, ($A6949+$C6949) - MAX(IF($B$2:$B6948=$B6949, $A$2:$A6948+$C$2:$C6948)), "")*24*60, "")</f>
        <v/>
      </c>
      <c r="S6949" s="24" t="str" cm="1">
        <f t="array" ref="S6949">IFERROR(IF($B6949=S$1, ($A6949+$C6949) - MAX(IF($B$2:$B6948=$B6949, $A$2:$A6948+$C$2:$C6948)), "")*24*60, "")</f>
        <v/>
      </c>
    </row>
    <row r="6950" spans="1:19" x14ac:dyDescent="0.2">
      <c r="A6950" s="12">
        <f t="shared" ref="A6950:C6950" si="1339">A6949</f>
        <v>45993</v>
      </c>
      <c r="B6950" s="5" t="str">
        <f t="shared" si="1339"/>
        <v>Northern Cardinal</v>
      </c>
      <c r="C6950" s="6">
        <f t="shared" si="1339"/>
        <v>0.28125</v>
      </c>
      <c r="D6950" s="5"/>
      <c r="E6950" s="5"/>
      <c r="F6950" s="5" t="s">
        <v>22</v>
      </c>
      <c r="G6950" s="15" t="s">
        <v>22</v>
      </c>
      <c r="H6950" s="24">
        <f t="shared" si="1309"/>
        <v>0</v>
      </c>
      <c r="I6950" s="24" cm="1">
        <f t="array" ref="I6950">IFERROR(IF($B6950=I$1, ($A6950+$C6950) - MAX(IF($B$2:$B6949=$B6950, $A$2:$A6949+$C$2:$C6949)), "")*24*60, "")</f>
        <v>0</v>
      </c>
      <c r="J6950" s="24" t="str" cm="1">
        <f t="array" ref="J6950">IFERROR(IF($B6950=J$1, ($A6950+$C6950) - MAX(IF($B$2:$B6949=$B6950, $A$2:$A6949+$C$2:$C6949)), "")*24*60, "")</f>
        <v/>
      </c>
      <c r="K6950" s="24" t="str" cm="1">
        <f t="array" ref="K6950">IFERROR(IF($B6950=K$1, ($A6950+$C6950) - MAX(IF($B$2:$B6949=$B6950, $A$2:$A6949+$C$2:$C6949)), "")*24*60, "")</f>
        <v/>
      </c>
      <c r="L6950" s="24" t="str" cm="1">
        <f t="array" ref="L6950">IFERROR(IF($B6950=L$1, ($A6950+$C6950) - MAX(IF($B$2:$B6949=$B6950, $A$2:$A6949+$C$2:$C6949)), "")*24*60, "")</f>
        <v/>
      </c>
      <c r="M6950" s="24" t="str" cm="1">
        <f t="array" ref="M6950">IFERROR(IF($B6950=M$1, ($A6950+$C6950) - MAX(IF($B$2:$B6949=$B6950, $A$2:$A6949+$C$2:$C6949)), "")*24*60, "")</f>
        <v/>
      </c>
      <c r="N6950" s="24" t="str" cm="1">
        <f t="array" ref="N6950">IFERROR(IF($B6950=N$1, ($A6950+$C6950) - MAX(IF($B$2:$B6949=$B6950, $A$2:$A6949+$C$2:$C6949)), "")*24*60, "")</f>
        <v/>
      </c>
      <c r="O6950" s="24" t="str" cm="1">
        <f t="array" ref="O6950">IFERROR(IF($B6950=O$1, ($A6950+$C6950) - MAX(IF($B$2:$B6949=$B6950, $A$2:$A6949+$C$2:$C6949)), "")*24*60, "")</f>
        <v/>
      </c>
      <c r="P6950" s="24" t="str" cm="1">
        <f t="array" ref="P6950">IFERROR(IF($B6950=P$1, ($A6950+$C6950) - MAX(IF($B$2:$B6949=$B6950, $A$2:$A6949+$C$2:$C6949)), "")*24*60, "")</f>
        <v/>
      </c>
      <c r="Q6950" s="24" t="str" cm="1">
        <f t="array" ref="Q6950">IFERROR(IF($B6950=Q$1, ($A6950+$C6950) - MAX(IF($B$2:$B6949=$B6950, $A$2:$A6949+$C$2:$C6949)), "")*24*60, "")</f>
        <v/>
      </c>
      <c r="R6950" s="24" t="str" cm="1">
        <f t="array" ref="R6950">IFERROR(IF($B6950=R$1, ($A6950+$C6950) - MAX(IF($B$2:$B6949=$B6950, $A$2:$A6949+$C$2:$C6949)), "")*24*60, "")</f>
        <v/>
      </c>
      <c r="S6950" s="24" t="str" cm="1">
        <f t="array" ref="S6950">IFERROR(IF($B6950=S$1, ($A6950+$C6950) - MAX(IF($B$2:$B6949=$B6950, $A$2:$A6949+$C$2:$C6949)), "")*24*60, "")</f>
        <v/>
      </c>
    </row>
    <row r="6951" spans="1:19" x14ac:dyDescent="0.2">
      <c r="A6951" s="12">
        <f t="shared" ref="A6951:C6951" si="1340">A6950</f>
        <v>45993</v>
      </c>
      <c r="B6951" s="5" t="str">
        <f t="shared" si="1340"/>
        <v>Northern Cardinal</v>
      </c>
      <c r="C6951" s="6">
        <f t="shared" si="1340"/>
        <v>0.28125</v>
      </c>
      <c r="D6951" s="5"/>
      <c r="E6951" s="5"/>
      <c r="F6951" s="5" t="s">
        <v>22</v>
      </c>
      <c r="G6951" s="15" t="s">
        <v>22</v>
      </c>
      <c r="H6951" s="24">
        <f t="shared" si="1309"/>
        <v>0</v>
      </c>
      <c r="I6951" s="24" cm="1">
        <f t="array" ref="I6951">IFERROR(IF($B6951=I$1, ($A6951+$C6951) - MAX(IF($B$2:$B6950=$B6951, $A$2:$A6950+$C$2:$C6950)), "")*24*60, "")</f>
        <v>0</v>
      </c>
      <c r="J6951" s="24" t="str" cm="1">
        <f t="array" ref="J6951">IFERROR(IF($B6951=J$1, ($A6951+$C6951) - MAX(IF($B$2:$B6950=$B6951, $A$2:$A6950+$C$2:$C6950)), "")*24*60, "")</f>
        <v/>
      </c>
      <c r="K6951" s="24" t="str" cm="1">
        <f t="array" ref="K6951">IFERROR(IF($B6951=K$1, ($A6951+$C6951) - MAX(IF($B$2:$B6950=$B6951, $A$2:$A6950+$C$2:$C6950)), "")*24*60, "")</f>
        <v/>
      </c>
      <c r="L6951" s="24" t="str" cm="1">
        <f t="array" ref="L6951">IFERROR(IF($B6951=L$1, ($A6951+$C6951) - MAX(IF($B$2:$B6950=$B6951, $A$2:$A6950+$C$2:$C6950)), "")*24*60, "")</f>
        <v/>
      </c>
      <c r="M6951" s="24" t="str" cm="1">
        <f t="array" ref="M6951">IFERROR(IF($B6951=M$1, ($A6951+$C6951) - MAX(IF($B$2:$B6950=$B6951, $A$2:$A6950+$C$2:$C6950)), "")*24*60, "")</f>
        <v/>
      </c>
      <c r="N6951" s="24" t="str" cm="1">
        <f t="array" ref="N6951">IFERROR(IF($B6951=N$1, ($A6951+$C6951) - MAX(IF($B$2:$B6950=$B6951, $A$2:$A6950+$C$2:$C6950)), "")*24*60, "")</f>
        <v/>
      </c>
      <c r="O6951" s="24" t="str" cm="1">
        <f t="array" ref="O6951">IFERROR(IF($B6951=O$1, ($A6951+$C6951) - MAX(IF($B$2:$B6950=$B6951, $A$2:$A6950+$C$2:$C6950)), "")*24*60, "")</f>
        <v/>
      </c>
      <c r="P6951" s="24" t="str" cm="1">
        <f t="array" ref="P6951">IFERROR(IF($B6951=P$1, ($A6951+$C6951) - MAX(IF($B$2:$B6950=$B6951, $A$2:$A6950+$C$2:$C6950)), "")*24*60, "")</f>
        <v/>
      </c>
      <c r="Q6951" s="24" t="str" cm="1">
        <f t="array" ref="Q6951">IFERROR(IF($B6951=Q$1, ($A6951+$C6951) - MAX(IF($B$2:$B6950=$B6951, $A$2:$A6950+$C$2:$C6950)), "")*24*60, "")</f>
        <v/>
      </c>
      <c r="R6951" s="24" t="str" cm="1">
        <f t="array" ref="R6951">IFERROR(IF($B6951=R$1, ($A6951+$C6951) - MAX(IF($B$2:$B6950=$B6951, $A$2:$A6950+$C$2:$C6950)), "")*24*60, "")</f>
        <v/>
      </c>
      <c r="S6951" s="24" t="str" cm="1">
        <f t="array" ref="S6951">IFERROR(IF($B6951=S$1, ($A6951+$C6951) - MAX(IF($B$2:$B6950=$B6951, $A$2:$A6950+$C$2:$C6950)), "")*24*60, "")</f>
        <v/>
      </c>
    </row>
    <row r="6952" spans="1:19" x14ac:dyDescent="0.2">
      <c r="A6952" s="12">
        <f t="shared" ref="A6952:C6952" si="1341">A6951</f>
        <v>45993</v>
      </c>
      <c r="B6952" s="5" t="str">
        <f t="shared" si="1341"/>
        <v>Northern Cardinal</v>
      </c>
      <c r="C6952" s="6">
        <f t="shared" si="1341"/>
        <v>0.28125</v>
      </c>
      <c r="D6952" s="5"/>
      <c r="E6952" s="5"/>
      <c r="F6952" s="5" t="s">
        <v>22</v>
      </c>
      <c r="G6952" s="15" t="s">
        <v>22</v>
      </c>
      <c r="H6952" s="24">
        <f t="shared" si="1309"/>
        <v>0</v>
      </c>
      <c r="I6952" s="24" cm="1">
        <f t="array" ref="I6952">IFERROR(IF($B6952=I$1, ($A6952+$C6952) - MAX(IF($B$2:$B6951=$B6952, $A$2:$A6951+$C$2:$C6951)), "")*24*60, "")</f>
        <v>0</v>
      </c>
      <c r="J6952" s="24" t="str" cm="1">
        <f t="array" ref="J6952">IFERROR(IF($B6952=J$1, ($A6952+$C6952) - MAX(IF($B$2:$B6951=$B6952, $A$2:$A6951+$C$2:$C6951)), "")*24*60, "")</f>
        <v/>
      </c>
      <c r="K6952" s="24" t="str" cm="1">
        <f t="array" ref="K6952">IFERROR(IF($B6952=K$1, ($A6952+$C6952) - MAX(IF($B$2:$B6951=$B6952, $A$2:$A6951+$C$2:$C6951)), "")*24*60, "")</f>
        <v/>
      </c>
      <c r="L6952" s="24" t="str" cm="1">
        <f t="array" ref="L6952">IFERROR(IF($B6952=L$1, ($A6952+$C6952) - MAX(IF($B$2:$B6951=$B6952, $A$2:$A6951+$C$2:$C6951)), "")*24*60, "")</f>
        <v/>
      </c>
      <c r="M6952" s="24" t="str" cm="1">
        <f t="array" ref="M6952">IFERROR(IF($B6952=M$1, ($A6952+$C6952) - MAX(IF($B$2:$B6951=$B6952, $A$2:$A6951+$C$2:$C6951)), "")*24*60, "")</f>
        <v/>
      </c>
      <c r="N6952" s="24" t="str" cm="1">
        <f t="array" ref="N6952">IFERROR(IF($B6952=N$1, ($A6952+$C6952) - MAX(IF($B$2:$B6951=$B6952, $A$2:$A6951+$C$2:$C6951)), "")*24*60, "")</f>
        <v/>
      </c>
      <c r="O6952" s="24" t="str" cm="1">
        <f t="array" ref="O6952">IFERROR(IF($B6952=O$1, ($A6952+$C6952) - MAX(IF($B$2:$B6951=$B6952, $A$2:$A6951+$C$2:$C6951)), "")*24*60, "")</f>
        <v/>
      </c>
      <c r="P6952" s="24" t="str" cm="1">
        <f t="array" ref="P6952">IFERROR(IF($B6952=P$1, ($A6952+$C6952) - MAX(IF($B$2:$B6951=$B6952, $A$2:$A6951+$C$2:$C6951)), "")*24*60, "")</f>
        <v/>
      </c>
      <c r="Q6952" s="24" t="str" cm="1">
        <f t="array" ref="Q6952">IFERROR(IF($B6952=Q$1, ($A6952+$C6952) - MAX(IF($B$2:$B6951=$B6952, $A$2:$A6951+$C$2:$C6951)), "")*24*60, "")</f>
        <v/>
      </c>
      <c r="R6952" s="24" t="str" cm="1">
        <f t="array" ref="R6952">IFERROR(IF($B6952=R$1, ($A6952+$C6952) - MAX(IF($B$2:$B6951=$B6952, $A$2:$A6951+$C$2:$C6951)), "")*24*60, "")</f>
        <v/>
      </c>
      <c r="S6952" s="24" t="str" cm="1">
        <f t="array" ref="S6952">IFERROR(IF($B6952=S$1, ($A6952+$C6952) - MAX(IF($B$2:$B6951=$B6952, $A$2:$A6951+$C$2:$C6951)), "")*24*60, "")</f>
        <v/>
      </c>
    </row>
    <row r="6953" spans="1:19" x14ac:dyDescent="0.2">
      <c r="A6953" s="12">
        <f t="shared" ref="A6953:C6953" si="1342">A6952</f>
        <v>45993</v>
      </c>
      <c r="B6953" s="5" t="str">
        <f t="shared" si="1342"/>
        <v>Northern Cardinal</v>
      </c>
      <c r="C6953" s="6">
        <f t="shared" si="1342"/>
        <v>0.28125</v>
      </c>
      <c r="D6953" s="5"/>
      <c r="E6953" s="5"/>
      <c r="F6953" s="5" t="s">
        <v>22</v>
      </c>
      <c r="G6953" s="15" t="s">
        <v>22</v>
      </c>
      <c r="H6953" s="24">
        <f t="shared" si="1309"/>
        <v>0</v>
      </c>
      <c r="I6953" s="24" cm="1">
        <f t="array" ref="I6953">IFERROR(IF($B6953=I$1, ($A6953+$C6953) - MAX(IF($B$2:$B6952=$B6953, $A$2:$A6952+$C$2:$C6952)), "")*24*60, "")</f>
        <v>0</v>
      </c>
      <c r="J6953" s="24" t="str" cm="1">
        <f t="array" ref="J6953">IFERROR(IF($B6953=J$1, ($A6953+$C6953) - MAX(IF($B$2:$B6952=$B6953, $A$2:$A6952+$C$2:$C6952)), "")*24*60, "")</f>
        <v/>
      </c>
      <c r="K6953" s="24" t="str" cm="1">
        <f t="array" ref="K6953">IFERROR(IF($B6953=K$1, ($A6953+$C6953) - MAX(IF($B$2:$B6952=$B6953, $A$2:$A6952+$C$2:$C6952)), "")*24*60, "")</f>
        <v/>
      </c>
      <c r="L6953" s="24" t="str" cm="1">
        <f t="array" ref="L6953">IFERROR(IF($B6953=L$1, ($A6953+$C6953) - MAX(IF($B$2:$B6952=$B6953, $A$2:$A6952+$C$2:$C6952)), "")*24*60, "")</f>
        <v/>
      </c>
      <c r="M6953" s="24" t="str" cm="1">
        <f t="array" ref="M6953">IFERROR(IF($B6953=M$1, ($A6953+$C6953) - MAX(IF($B$2:$B6952=$B6953, $A$2:$A6952+$C$2:$C6952)), "")*24*60, "")</f>
        <v/>
      </c>
      <c r="N6953" s="24" t="str" cm="1">
        <f t="array" ref="N6953">IFERROR(IF($B6953=N$1, ($A6953+$C6953) - MAX(IF($B$2:$B6952=$B6953, $A$2:$A6952+$C$2:$C6952)), "")*24*60, "")</f>
        <v/>
      </c>
      <c r="O6953" s="24" t="str" cm="1">
        <f t="array" ref="O6953">IFERROR(IF($B6953=O$1, ($A6953+$C6953) - MAX(IF($B$2:$B6952=$B6953, $A$2:$A6952+$C$2:$C6952)), "")*24*60, "")</f>
        <v/>
      </c>
      <c r="P6953" s="24" t="str" cm="1">
        <f t="array" ref="P6953">IFERROR(IF($B6953=P$1, ($A6953+$C6953) - MAX(IF($B$2:$B6952=$B6953, $A$2:$A6952+$C$2:$C6952)), "")*24*60, "")</f>
        <v/>
      </c>
      <c r="Q6953" s="24" t="str" cm="1">
        <f t="array" ref="Q6953">IFERROR(IF($B6953=Q$1, ($A6953+$C6953) - MAX(IF($B$2:$B6952=$B6953, $A$2:$A6952+$C$2:$C6952)), "")*24*60, "")</f>
        <v/>
      </c>
      <c r="R6953" s="24" t="str" cm="1">
        <f t="array" ref="R6953">IFERROR(IF($B6953=R$1, ($A6953+$C6953) - MAX(IF($B$2:$B6952=$B6953, $A$2:$A6952+$C$2:$C6952)), "")*24*60, "")</f>
        <v/>
      </c>
      <c r="S6953" s="24" t="str" cm="1">
        <f t="array" ref="S6953">IFERROR(IF($B6953=S$1, ($A6953+$C6953) - MAX(IF($B$2:$B6952=$B6953, $A$2:$A6952+$C$2:$C6952)), "")*24*60, "")</f>
        <v/>
      </c>
    </row>
    <row r="6954" spans="1:19" x14ac:dyDescent="0.2">
      <c r="A6954" s="12">
        <f t="shared" ref="A6954:C6954" si="1343">A6953</f>
        <v>45993</v>
      </c>
      <c r="B6954" s="5" t="str">
        <f t="shared" si="1343"/>
        <v>Northern Cardinal</v>
      </c>
      <c r="C6954" s="6">
        <f t="shared" si="1343"/>
        <v>0.28125</v>
      </c>
      <c r="D6954" s="5"/>
      <c r="E6954" s="5"/>
      <c r="F6954" s="5" t="s">
        <v>22</v>
      </c>
      <c r="G6954" s="15" t="s">
        <v>22</v>
      </c>
      <c r="H6954" s="24">
        <f t="shared" si="1309"/>
        <v>0</v>
      </c>
      <c r="I6954" s="24" cm="1">
        <f t="array" ref="I6954">IFERROR(IF($B6954=I$1, ($A6954+$C6954) - MAX(IF($B$2:$B6953=$B6954, $A$2:$A6953+$C$2:$C6953)), "")*24*60, "")</f>
        <v>0</v>
      </c>
      <c r="J6954" s="24" t="str" cm="1">
        <f t="array" ref="J6954">IFERROR(IF($B6954=J$1, ($A6954+$C6954) - MAX(IF($B$2:$B6953=$B6954, $A$2:$A6953+$C$2:$C6953)), "")*24*60, "")</f>
        <v/>
      </c>
      <c r="K6954" s="24" t="str" cm="1">
        <f t="array" ref="K6954">IFERROR(IF($B6954=K$1, ($A6954+$C6954) - MAX(IF($B$2:$B6953=$B6954, $A$2:$A6953+$C$2:$C6953)), "")*24*60, "")</f>
        <v/>
      </c>
      <c r="L6954" s="24" t="str" cm="1">
        <f t="array" ref="L6954">IFERROR(IF($B6954=L$1, ($A6954+$C6954) - MAX(IF($B$2:$B6953=$B6954, $A$2:$A6953+$C$2:$C6953)), "")*24*60, "")</f>
        <v/>
      </c>
      <c r="M6954" s="24" t="str" cm="1">
        <f t="array" ref="M6954">IFERROR(IF($B6954=M$1, ($A6954+$C6954) - MAX(IF($B$2:$B6953=$B6954, $A$2:$A6953+$C$2:$C6953)), "")*24*60, "")</f>
        <v/>
      </c>
      <c r="N6954" s="24" t="str" cm="1">
        <f t="array" ref="N6954">IFERROR(IF($B6954=N$1, ($A6954+$C6954) - MAX(IF($B$2:$B6953=$B6954, $A$2:$A6953+$C$2:$C6953)), "")*24*60, "")</f>
        <v/>
      </c>
      <c r="O6954" s="24" t="str" cm="1">
        <f t="array" ref="O6954">IFERROR(IF($B6954=O$1, ($A6954+$C6954) - MAX(IF($B$2:$B6953=$B6954, $A$2:$A6953+$C$2:$C6953)), "")*24*60, "")</f>
        <v/>
      </c>
      <c r="P6954" s="24" t="str" cm="1">
        <f t="array" ref="P6954">IFERROR(IF($B6954=P$1, ($A6954+$C6954) - MAX(IF($B$2:$B6953=$B6954, $A$2:$A6953+$C$2:$C6953)), "")*24*60, "")</f>
        <v/>
      </c>
      <c r="Q6954" s="24" t="str" cm="1">
        <f t="array" ref="Q6954">IFERROR(IF($B6954=Q$1, ($A6954+$C6954) - MAX(IF($B$2:$B6953=$B6954, $A$2:$A6953+$C$2:$C6953)), "")*24*60, "")</f>
        <v/>
      </c>
      <c r="R6954" s="24" t="str" cm="1">
        <f t="array" ref="R6954">IFERROR(IF($B6954=R$1, ($A6954+$C6954) - MAX(IF($B$2:$B6953=$B6954, $A$2:$A6953+$C$2:$C6953)), "")*24*60, "")</f>
        <v/>
      </c>
      <c r="S6954" s="24" t="str" cm="1">
        <f t="array" ref="S6954">IFERROR(IF($B6954=S$1, ($A6954+$C6954) - MAX(IF($B$2:$B6953=$B6954, $A$2:$A6953+$C$2:$C6953)), "")*24*60, "")</f>
        <v/>
      </c>
    </row>
    <row r="6955" spans="1:19" x14ac:dyDescent="0.2">
      <c r="A6955" s="12">
        <f t="shared" ref="A6955:C6955" si="1344">A6954</f>
        <v>45993</v>
      </c>
      <c r="B6955" s="5" t="str">
        <f t="shared" si="1344"/>
        <v>Northern Cardinal</v>
      </c>
      <c r="C6955" s="6">
        <f t="shared" si="1344"/>
        <v>0.28125</v>
      </c>
      <c r="D6955" s="5"/>
      <c r="E6955" s="5"/>
      <c r="F6955" s="5" t="s">
        <v>22</v>
      </c>
      <c r="G6955" s="15" t="s">
        <v>22</v>
      </c>
      <c r="H6955" s="24">
        <f t="shared" si="1309"/>
        <v>0</v>
      </c>
      <c r="I6955" s="24" cm="1">
        <f t="array" ref="I6955">IFERROR(IF($B6955=I$1, ($A6955+$C6955) - MAX(IF($B$2:$B6954=$B6955, $A$2:$A6954+$C$2:$C6954)), "")*24*60, "")</f>
        <v>0</v>
      </c>
      <c r="J6955" s="24" t="str" cm="1">
        <f t="array" ref="J6955">IFERROR(IF($B6955=J$1, ($A6955+$C6955) - MAX(IF($B$2:$B6954=$B6955, $A$2:$A6954+$C$2:$C6954)), "")*24*60, "")</f>
        <v/>
      </c>
      <c r="K6955" s="24" t="str" cm="1">
        <f t="array" ref="K6955">IFERROR(IF($B6955=K$1, ($A6955+$C6955) - MAX(IF($B$2:$B6954=$B6955, $A$2:$A6954+$C$2:$C6954)), "")*24*60, "")</f>
        <v/>
      </c>
      <c r="L6955" s="24" t="str" cm="1">
        <f t="array" ref="L6955">IFERROR(IF($B6955=L$1, ($A6955+$C6955) - MAX(IF($B$2:$B6954=$B6955, $A$2:$A6954+$C$2:$C6954)), "")*24*60, "")</f>
        <v/>
      </c>
      <c r="M6955" s="24" t="str" cm="1">
        <f t="array" ref="M6955">IFERROR(IF($B6955=M$1, ($A6955+$C6955) - MAX(IF($B$2:$B6954=$B6955, $A$2:$A6954+$C$2:$C6954)), "")*24*60, "")</f>
        <v/>
      </c>
      <c r="N6955" s="24" t="str" cm="1">
        <f t="array" ref="N6955">IFERROR(IF($B6955=N$1, ($A6955+$C6955) - MAX(IF($B$2:$B6954=$B6955, $A$2:$A6954+$C$2:$C6954)), "")*24*60, "")</f>
        <v/>
      </c>
      <c r="O6955" s="24" t="str" cm="1">
        <f t="array" ref="O6955">IFERROR(IF($B6955=O$1, ($A6955+$C6955) - MAX(IF($B$2:$B6954=$B6955, $A$2:$A6954+$C$2:$C6954)), "")*24*60, "")</f>
        <v/>
      </c>
      <c r="P6955" s="24" t="str" cm="1">
        <f t="array" ref="P6955">IFERROR(IF($B6955=P$1, ($A6955+$C6955) - MAX(IF($B$2:$B6954=$B6955, $A$2:$A6954+$C$2:$C6954)), "")*24*60, "")</f>
        <v/>
      </c>
      <c r="Q6955" s="24" t="str" cm="1">
        <f t="array" ref="Q6955">IFERROR(IF($B6955=Q$1, ($A6955+$C6955) - MAX(IF($B$2:$B6954=$B6955, $A$2:$A6954+$C$2:$C6954)), "")*24*60, "")</f>
        <v/>
      </c>
      <c r="R6955" s="24" t="str" cm="1">
        <f t="array" ref="R6955">IFERROR(IF($B6955=R$1, ($A6955+$C6955) - MAX(IF($B$2:$B6954=$B6955, $A$2:$A6954+$C$2:$C6954)), "")*24*60, "")</f>
        <v/>
      </c>
      <c r="S6955" s="24" t="str" cm="1">
        <f t="array" ref="S6955">IFERROR(IF($B6955=S$1, ($A6955+$C6955) - MAX(IF($B$2:$B6954=$B6955, $A$2:$A6954+$C$2:$C6954)), "")*24*60, "")</f>
        <v/>
      </c>
    </row>
    <row r="6956" spans="1:19" x14ac:dyDescent="0.2">
      <c r="A6956" s="12">
        <f t="shared" ref="A6956:C6956" si="1345">A6955</f>
        <v>45993</v>
      </c>
      <c r="B6956" s="5" t="str">
        <f t="shared" si="1345"/>
        <v>Northern Cardinal</v>
      </c>
      <c r="C6956" s="6">
        <f t="shared" si="1345"/>
        <v>0.28125</v>
      </c>
      <c r="D6956" s="5"/>
      <c r="E6956" s="5"/>
      <c r="F6956" s="5" t="s">
        <v>22</v>
      </c>
      <c r="G6956" s="15" t="s">
        <v>22</v>
      </c>
      <c r="H6956" s="24">
        <f t="shared" si="1309"/>
        <v>0</v>
      </c>
      <c r="I6956" s="24" cm="1">
        <f t="array" ref="I6956">IFERROR(IF($B6956=I$1, ($A6956+$C6956) - MAX(IF($B$2:$B6955=$B6956, $A$2:$A6955+$C$2:$C6955)), "")*24*60, "")</f>
        <v>0</v>
      </c>
      <c r="J6956" s="24" t="str" cm="1">
        <f t="array" ref="J6956">IFERROR(IF($B6956=J$1, ($A6956+$C6956) - MAX(IF($B$2:$B6955=$B6956, $A$2:$A6955+$C$2:$C6955)), "")*24*60, "")</f>
        <v/>
      </c>
      <c r="K6956" s="24" t="str" cm="1">
        <f t="array" ref="K6956">IFERROR(IF($B6956=K$1, ($A6956+$C6956) - MAX(IF($B$2:$B6955=$B6956, $A$2:$A6955+$C$2:$C6955)), "")*24*60, "")</f>
        <v/>
      </c>
      <c r="L6956" s="24" t="str" cm="1">
        <f t="array" ref="L6956">IFERROR(IF($B6956=L$1, ($A6956+$C6956) - MAX(IF($B$2:$B6955=$B6956, $A$2:$A6955+$C$2:$C6955)), "")*24*60, "")</f>
        <v/>
      </c>
      <c r="M6956" s="24" t="str" cm="1">
        <f t="array" ref="M6956">IFERROR(IF($B6956=M$1, ($A6956+$C6956) - MAX(IF($B$2:$B6955=$B6956, $A$2:$A6955+$C$2:$C6955)), "")*24*60, "")</f>
        <v/>
      </c>
      <c r="N6956" s="24" t="str" cm="1">
        <f t="array" ref="N6956">IFERROR(IF($B6956=N$1, ($A6956+$C6956) - MAX(IF($B$2:$B6955=$B6956, $A$2:$A6955+$C$2:$C6955)), "")*24*60, "")</f>
        <v/>
      </c>
      <c r="O6956" s="24" t="str" cm="1">
        <f t="array" ref="O6956">IFERROR(IF($B6956=O$1, ($A6956+$C6956) - MAX(IF($B$2:$B6955=$B6956, $A$2:$A6955+$C$2:$C6955)), "")*24*60, "")</f>
        <v/>
      </c>
      <c r="P6956" s="24" t="str" cm="1">
        <f t="array" ref="P6956">IFERROR(IF($B6956=P$1, ($A6956+$C6956) - MAX(IF($B$2:$B6955=$B6956, $A$2:$A6955+$C$2:$C6955)), "")*24*60, "")</f>
        <v/>
      </c>
      <c r="Q6956" s="24" t="str" cm="1">
        <f t="array" ref="Q6956">IFERROR(IF($B6956=Q$1, ($A6956+$C6956) - MAX(IF($B$2:$B6955=$B6956, $A$2:$A6955+$C$2:$C6955)), "")*24*60, "")</f>
        <v/>
      </c>
      <c r="R6956" s="24" t="str" cm="1">
        <f t="array" ref="R6956">IFERROR(IF($B6956=R$1, ($A6956+$C6956) - MAX(IF($B$2:$B6955=$B6956, $A$2:$A6955+$C$2:$C6955)), "")*24*60, "")</f>
        <v/>
      </c>
      <c r="S6956" s="24" t="str" cm="1">
        <f t="array" ref="S6956">IFERROR(IF($B6956=S$1, ($A6956+$C6956) - MAX(IF($B$2:$B6955=$B6956, $A$2:$A6955+$C$2:$C6955)), "")*24*60, "")</f>
        <v/>
      </c>
    </row>
    <row r="6957" spans="1:19" x14ac:dyDescent="0.2">
      <c r="A6957" s="12">
        <f t="shared" ref="A6957:C6957" si="1346">A6956</f>
        <v>45993</v>
      </c>
      <c r="B6957" s="5" t="str">
        <f t="shared" si="1346"/>
        <v>Northern Cardinal</v>
      </c>
      <c r="C6957" s="6">
        <f t="shared" si="1346"/>
        <v>0.28125</v>
      </c>
      <c r="D6957" s="5"/>
      <c r="E6957" s="5"/>
      <c r="F6957" s="5" t="s">
        <v>22</v>
      </c>
      <c r="G6957" s="15" t="s">
        <v>22</v>
      </c>
      <c r="H6957" s="24">
        <f t="shared" si="1309"/>
        <v>0</v>
      </c>
      <c r="I6957" s="24" cm="1">
        <f t="array" ref="I6957">IFERROR(IF($B6957=I$1, ($A6957+$C6957) - MAX(IF($B$2:$B6956=$B6957, $A$2:$A6956+$C$2:$C6956)), "")*24*60, "")</f>
        <v>0</v>
      </c>
      <c r="J6957" s="24" t="str" cm="1">
        <f t="array" ref="J6957">IFERROR(IF($B6957=J$1, ($A6957+$C6957) - MAX(IF($B$2:$B6956=$B6957, $A$2:$A6956+$C$2:$C6956)), "")*24*60, "")</f>
        <v/>
      </c>
      <c r="K6957" s="24" t="str" cm="1">
        <f t="array" ref="K6957">IFERROR(IF($B6957=K$1, ($A6957+$C6957) - MAX(IF($B$2:$B6956=$B6957, $A$2:$A6956+$C$2:$C6956)), "")*24*60, "")</f>
        <v/>
      </c>
      <c r="L6957" s="24" t="str" cm="1">
        <f t="array" ref="L6957">IFERROR(IF($B6957=L$1, ($A6957+$C6957) - MAX(IF($B$2:$B6956=$B6957, $A$2:$A6956+$C$2:$C6956)), "")*24*60, "")</f>
        <v/>
      </c>
      <c r="M6957" s="24" t="str" cm="1">
        <f t="array" ref="M6957">IFERROR(IF($B6957=M$1, ($A6957+$C6957) - MAX(IF($B$2:$B6956=$B6957, $A$2:$A6956+$C$2:$C6956)), "")*24*60, "")</f>
        <v/>
      </c>
      <c r="N6957" s="24" t="str" cm="1">
        <f t="array" ref="N6957">IFERROR(IF($B6957=N$1, ($A6957+$C6957) - MAX(IF($B$2:$B6956=$B6957, $A$2:$A6956+$C$2:$C6956)), "")*24*60, "")</f>
        <v/>
      </c>
      <c r="O6957" s="24" t="str" cm="1">
        <f t="array" ref="O6957">IFERROR(IF($B6957=O$1, ($A6957+$C6957) - MAX(IF($B$2:$B6956=$B6957, $A$2:$A6956+$C$2:$C6956)), "")*24*60, "")</f>
        <v/>
      </c>
      <c r="P6957" s="24" t="str" cm="1">
        <f t="array" ref="P6957">IFERROR(IF($B6957=P$1, ($A6957+$C6957) - MAX(IF($B$2:$B6956=$B6957, $A$2:$A6956+$C$2:$C6956)), "")*24*60, "")</f>
        <v/>
      </c>
      <c r="Q6957" s="24" t="str" cm="1">
        <f t="array" ref="Q6957">IFERROR(IF($B6957=Q$1, ($A6957+$C6957) - MAX(IF($B$2:$B6956=$B6957, $A$2:$A6956+$C$2:$C6956)), "")*24*60, "")</f>
        <v/>
      </c>
      <c r="R6957" s="24" t="str" cm="1">
        <f t="array" ref="R6957">IFERROR(IF($B6957=R$1, ($A6957+$C6957) - MAX(IF($B$2:$B6956=$B6957, $A$2:$A6956+$C$2:$C6956)), "")*24*60, "")</f>
        <v/>
      </c>
      <c r="S6957" s="24" t="str" cm="1">
        <f t="array" ref="S6957">IFERROR(IF($B6957=S$1, ($A6957+$C6957) - MAX(IF($B$2:$B6956=$B6957, $A$2:$A6956+$C$2:$C6956)), "")*24*60, "")</f>
        <v/>
      </c>
    </row>
    <row r="6958" spans="1:19" x14ac:dyDescent="0.2">
      <c r="A6958" s="12">
        <f t="shared" ref="A6958:C6958" si="1347">A6957</f>
        <v>45993</v>
      </c>
      <c r="B6958" s="5" t="str">
        <f t="shared" si="1347"/>
        <v>Northern Cardinal</v>
      </c>
      <c r="C6958" s="6">
        <f t="shared" si="1347"/>
        <v>0.28125</v>
      </c>
      <c r="D6958" s="5"/>
      <c r="E6958" s="5"/>
      <c r="F6958" s="5" t="s">
        <v>22</v>
      </c>
      <c r="G6958" s="15" t="s">
        <v>22</v>
      </c>
      <c r="H6958" s="24">
        <f t="shared" si="1309"/>
        <v>0</v>
      </c>
      <c r="I6958" s="24" cm="1">
        <f t="array" ref="I6958">IFERROR(IF($B6958=I$1, ($A6958+$C6958) - MAX(IF($B$2:$B6957=$B6958, $A$2:$A6957+$C$2:$C6957)), "")*24*60, "")</f>
        <v>0</v>
      </c>
      <c r="J6958" s="24" t="str" cm="1">
        <f t="array" ref="J6958">IFERROR(IF($B6958=J$1, ($A6958+$C6958) - MAX(IF($B$2:$B6957=$B6958, $A$2:$A6957+$C$2:$C6957)), "")*24*60, "")</f>
        <v/>
      </c>
      <c r="K6958" s="24" t="str" cm="1">
        <f t="array" ref="K6958">IFERROR(IF($B6958=K$1, ($A6958+$C6958) - MAX(IF($B$2:$B6957=$B6958, $A$2:$A6957+$C$2:$C6957)), "")*24*60, "")</f>
        <v/>
      </c>
      <c r="L6958" s="24" t="str" cm="1">
        <f t="array" ref="L6958">IFERROR(IF($B6958=L$1, ($A6958+$C6958) - MAX(IF($B$2:$B6957=$B6958, $A$2:$A6957+$C$2:$C6957)), "")*24*60, "")</f>
        <v/>
      </c>
      <c r="M6958" s="24" t="str" cm="1">
        <f t="array" ref="M6958">IFERROR(IF($B6958=M$1, ($A6958+$C6958) - MAX(IF($B$2:$B6957=$B6958, $A$2:$A6957+$C$2:$C6957)), "")*24*60, "")</f>
        <v/>
      </c>
      <c r="N6958" s="24" t="str" cm="1">
        <f t="array" ref="N6958">IFERROR(IF($B6958=N$1, ($A6958+$C6958) - MAX(IF($B$2:$B6957=$B6958, $A$2:$A6957+$C$2:$C6957)), "")*24*60, "")</f>
        <v/>
      </c>
      <c r="O6958" s="24" t="str" cm="1">
        <f t="array" ref="O6958">IFERROR(IF($B6958=O$1, ($A6958+$C6958) - MAX(IF($B$2:$B6957=$B6958, $A$2:$A6957+$C$2:$C6957)), "")*24*60, "")</f>
        <v/>
      </c>
      <c r="P6958" s="24" t="str" cm="1">
        <f t="array" ref="P6958">IFERROR(IF($B6958=P$1, ($A6958+$C6958) - MAX(IF($B$2:$B6957=$B6958, $A$2:$A6957+$C$2:$C6957)), "")*24*60, "")</f>
        <v/>
      </c>
      <c r="Q6958" s="24" t="str" cm="1">
        <f t="array" ref="Q6958">IFERROR(IF($B6958=Q$1, ($A6958+$C6958) - MAX(IF($B$2:$B6957=$B6958, $A$2:$A6957+$C$2:$C6957)), "")*24*60, "")</f>
        <v/>
      </c>
      <c r="R6958" s="24" t="str" cm="1">
        <f t="array" ref="R6958">IFERROR(IF($B6958=R$1, ($A6958+$C6958) - MAX(IF($B$2:$B6957=$B6958, $A$2:$A6957+$C$2:$C6957)), "")*24*60, "")</f>
        <v/>
      </c>
      <c r="S6958" s="24" t="str" cm="1">
        <f t="array" ref="S6958">IFERROR(IF($B6958=S$1, ($A6958+$C6958) - MAX(IF($B$2:$B6957=$B6958, $A$2:$A6957+$C$2:$C6957)), "")*24*60, "")</f>
        <v/>
      </c>
    </row>
    <row r="6959" spans="1:19" x14ac:dyDescent="0.2">
      <c r="A6959" s="12">
        <f t="shared" ref="A6959:C6959" si="1348">A6958</f>
        <v>45993</v>
      </c>
      <c r="B6959" s="5" t="str">
        <f t="shared" si="1348"/>
        <v>Northern Cardinal</v>
      </c>
      <c r="C6959" s="6">
        <f t="shared" si="1348"/>
        <v>0.28125</v>
      </c>
      <c r="D6959" s="5"/>
      <c r="E6959" s="5"/>
      <c r="F6959" s="5" t="s">
        <v>22</v>
      </c>
      <c r="G6959" s="15" t="s">
        <v>22</v>
      </c>
      <c r="H6959" s="24">
        <f t="shared" si="1309"/>
        <v>0</v>
      </c>
      <c r="I6959" s="24" cm="1">
        <f t="array" ref="I6959">IFERROR(IF($B6959=I$1, ($A6959+$C6959) - MAX(IF($B$2:$B6958=$B6959, $A$2:$A6958+$C$2:$C6958)), "")*24*60, "")</f>
        <v>0</v>
      </c>
      <c r="J6959" s="24" t="str" cm="1">
        <f t="array" ref="J6959">IFERROR(IF($B6959=J$1, ($A6959+$C6959) - MAX(IF($B$2:$B6958=$B6959, $A$2:$A6958+$C$2:$C6958)), "")*24*60, "")</f>
        <v/>
      </c>
      <c r="K6959" s="24" t="str" cm="1">
        <f t="array" ref="K6959">IFERROR(IF($B6959=K$1, ($A6959+$C6959) - MAX(IF($B$2:$B6958=$B6959, $A$2:$A6958+$C$2:$C6958)), "")*24*60, "")</f>
        <v/>
      </c>
      <c r="L6959" s="24" t="str" cm="1">
        <f t="array" ref="L6959">IFERROR(IF($B6959=L$1, ($A6959+$C6959) - MAX(IF($B$2:$B6958=$B6959, $A$2:$A6958+$C$2:$C6958)), "")*24*60, "")</f>
        <v/>
      </c>
      <c r="M6959" s="24" t="str" cm="1">
        <f t="array" ref="M6959">IFERROR(IF($B6959=M$1, ($A6959+$C6959) - MAX(IF($B$2:$B6958=$B6959, $A$2:$A6958+$C$2:$C6958)), "")*24*60, "")</f>
        <v/>
      </c>
      <c r="N6959" s="24" t="str" cm="1">
        <f t="array" ref="N6959">IFERROR(IF($B6959=N$1, ($A6959+$C6959) - MAX(IF($B$2:$B6958=$B6959, $A$2:$A6958+$C$2:$C6958)), "")*24*60, "")</f>
        <v/>
      </c>
      <c r="O6959" s="24" t="str" cm="1">
        <f t="array" ref="O6959">IFERROR(IF($B6959=O$1, ($A6959+$C6959) - MAX(IF($B$2:$B6958=$B6959, $A$2:$A6958+$C$2:$C6958)), "")*24*60, "")</f>
        <v/>
      </c>
      <c r="P6959" s="24" t="str" cm="1">
        <f t="array" ref="P6959">IFERROR(IF($B6959=P$1, ($A6959+$C6959) - MAX(IF($B$2:$B6958=$B6959, $A$2:$A6958+$C$2:$C6958)), "")*24*60, "")</f>
        <v/>
      </c>
      <c r="Q6959" s="24" t="str" cm="1">
        <f t="array" ref="Q6959">IFERROR(IF($B6959=Q$1, ($A6959+$C6959) - MAX(IF($B$2:$B6958=$B6959, $A$2:$A6958+$C$2:$C6958)), "")*24*60, "")</f>
        <v/>
      </c>
      <c r="R6959" s="24" t="str" cm="1">
        <f t="array" ref="R6959">IFERROR(IF($B6959=R$1, ($A6959+$C6959) - MAX(IF($B$2:$B6958=$B6959, $A$2:$A6958+$C$2:$C6958)), "")*24*60, "")</f>
        <v/>
      </c>
      <c r="S6959" s="24" t="str" cm="1">
        <f t="array" ref="S6959">IFERROR(IF($B6959=S$1, ($A6959+$C6959) - MAX(IF($B$2:$B6958=$B6959, $A$2:$A6958+$C$2:$C6958)), "")*24*60, "")</f>
        <v/>
      </c>
    </row>
    <row r="6960" spans="1:19" x14ac:dyDescent="0.2">
      <c r="A6960" s="12">
        <f t="shared" ref="A6960:C6960" si="1349">A6959</f>
        <v>45993</v>
      </c>
      <c r="B6960" s="5" t="str">
        <f t="shared" si="1349"/>
        <v>Northern Cardinal</v>
      </c>
      <c r="C6960" s="6">
        <f t="shared" si="1349"/>
        <v>0.28125</v>
      </c>
      <c r="D6960" s="5"/>
      <c r="E6960" s="5"/>
      <c r="F6960" s="5" t="s">
        <v>22</v>
      </c>
      <c r="G6960" s="15" t="s">
        <v>22</v>
      </c>
      <c r="H6960" s="24">
        <f t="shared" si="1309"/>
        <v>0</v>
      </c>
      <c r="I6960" s="24" cm="1">
        <f t="array" ref="I6960">IFERROR(IF($B6960=I$1, ($A6960+$C6960) - MAX(IF($B$2:$B6959=$B6960, $A$2:$A6959+$C$2:$C6959)), "")*24*60, "")</f>
        <v>0</v>
      </c>
      <c r="J6960" s="24" t="str" cm="1">
        <f t="array" ref="J6960">IFERROR(IF($B6960=J$1, ($A6960+$C6960) - MAX(IF($B$2:$B6959=$B6960, $A$2:$A6959+$C$2:$C6959)), "")*24*60, "")</f>
        <v/>
      </c>
      <c r="K6960" s="24" t="str" cm="1">
        <f t="array" ref="K6960">IFERROR(IF($B6960=K$1, ($A6960+$C6960) - MAX(IF($B$2:$B6959=$B6960, $A$2:$A6959+$C$2:$C6959)), "")*24*60, "")</f>
        <v/>
      </c>
      <c r="L6960" s="24" t="str" cm="1">
        <f t="array" ref="L6960">IFERROR(IF($B6960=L$1, ($A6960+$C6960) - MAX(IF($B$2:$B6959=$B6960, $A$2:$A6959+$C$2:$C6959)), "")*24*60, "")</f>
        <v/>
      </c>
      <c r="M6960" s="24" t="str" cm="1">
        <f t="array" ref="M6960">IFERROR(IF($B6960=M$1, ($A6960+$C6960) - MAX(IF($B$2:$B6959=$B6960, $A$2:$A6959+$C$2:$C6959)), "")*24*60, "")</f>
        <v/>
      </c>
      <c r="N6960" s="24" t="str" cm="1">
        <f t="array" ref="N6960">IFERROR(IF($B6960=N$1, ($A6960+$C6960) - MAX(IF($B$2:$B6959=$B6960, $A$2:$A6959+$C$2:$C6959)), "")*24*60, "")</f>
        <v/>
      </c>
      <c r="O6960" s="24" t="str" cm="1">
        <f t="array" ref="O6960">IFERROR(IF($B6960=O$1, ($A6960+$C6960) - MAX(IF($B$2:$B6959=$B6960, $A$2:$A6959+$C$2:$C6959)), "")*24*60, "")</f>
        <v/>
      </c>
      <c r="P6960" s="24" t="str" cm="1">
        <f t="array" ref="P6960">IFERROR(IF($B6960=P$1, ($A6960+$C6960) - MAX(IF($B$2:$B6959=$B6960, $A$2:$A6959+$C$2:$C6959)), "")*24*60, "")</f>
        <v/>
      </c>
      <c r="Q6960" s="24" t="str" cm="1">
        <f t="array" ref="Q6960">IFERROR(IF($B6960=Q$1, ($A6960+$C6960) - MAX(IF($B$2:$B6959=$B6960, $A$2:$A6959+$C$2:$C6959)), "")*24*60, "")</f>
        <v/>
      </c>
      <c r="R6960" s="24" t="str" cm="1">
        <f t="array" ref="R6960">IFERROR(IF($B6960=R$1, ($A6960+$C6960) - MAX(IF($B$2:$B6959=$B6960, $A$2:$A6959+$C$2:$C6959)), "")*24*60, "")</f>
        <v/>
      </c>
      <c r="S6960" s="24" t="str" cm="1">
        <f t="array" ref="S6960">IFERROR(IF($B6960=S$1, ($A6960+$C6960) - MAX(IF($B$2:$B6959=$B6960, $A$2:$A6959+$C$2:$C6959)), "")*24*60, "")</f>
        <v/>
      </c>
    </row>
    <row r="6961" spans="1:19" x14ac:dyDescent="0.2">
      <c r="A6961" s="12">
        <f t="shared" ref="A6961:C6961" si="1350">A6960</f>
        <v>45993</v>
      </c>
      <c r="B6961" s="5" t="str">
        <f t="shared" si="1350"/>
        <v>Northern Cardinal</v>
      </c>
      <c r="C6961" s="6">
        <f t="shared" si="1350"/>
        <v>0.28125</v>
      </c>
      <c r="D6961" s="5"/>
      <c r="E6961" s="5"/>
      <c r="F6961" s="5" t="s">
        <v>22</v>
      </c>
      <c r="G6961" s="15" t="s">
        <v>22</v>
      </c>
      <c r="H6961" s="24">
        <f t="shared" si="1309"/>
        <v>0</v>
      </c>
      <c r="I6961" s="24" cm="1">
        <f t="array" ref="I6961">IFERROR(IF($B6961=I$1, ($A6961+$C6961) - MAX(IF($B$2:$B6960=$B6961, $A$2:$A6960+$C$2:$C6960)), "")*24*60, "")</f>
        <v>0</v>
      </c>
      <c r="J6961" s="24" t="str" cm="1">
        <f t="array" ref="J6961">IFERROR(IF($B6961=J$1, ($A6961+$C6961) - MAX(IF($B$2:$B6960=$B6961, $A$2:$A6960+$C$2:$C6960)), "")*24*60, "")</f>
        <v/>
      </c>
      <c r="K6961" s="24" t="str" cm="1">
        <f t="array" ref="K6961">IFERROR(IF($B6961=K$1, ($A6961+$C6961) - MAX(IF($B$2:$B6960=$B6961, $A$2:$A6960+$C$2:$C6960)), "")*24*60, "")</f>
        <v/>
      </c>
      <c r="L6961" s="24" t="str" cm="1">
        <f t="array" ref="L6961">IFERROR(IF($B6961=L$1, ($A6961+$C6961) - MAX(IF($B$2:$B6960=$B6961, $A$2:$A6960+$C$2:$C6960)), "")*24*60, "")</f>
        <v/>
      </c>
      <c r="M6961" s="24" t="str" cm="1">
        <f t="array" ref="M6961">IFERROR(IF($B6961=M$1, ($A6961+$C6961) - MAX(IF($B$2:$B6960=$B6961, $A$2:$A6960+$C$2:$C6960)), "")*24*60, "")</f>
        <v/>
      </c>
      <c r="N6961" s="24" t="str" cm="1">
        <f t="array" ref="N6961">IFERROR(IF($B6961=N$1, ($A6961+$C6961) - MAX(IF($B$2:$B6960=$B6961, $A$2:$A6960+$C$2:$C6960)), "")*24*60, "")</f>
        <v/>
      </c>
      <c r="O6961" s="24" t="str" cm="1">
        <f t="array" ref="O6961">IFERROR(IF($B6961=O$1, ($A6961+$C6961) - MAX(IF($B$2:$B6960=$B6961, $A$2:$A6960+$C$2:$C6960)), "")*24*60, "")</f>
        <v/>
      </c>
      <c r="P6961" s="24" t="str" cm="1">
        <f t="array" ref="P6961">IFERROR(IF($B6961=P$1, ($A6961+$C6961) - MAX(IF($B$2:$B6960=$B6961, $A$2:$A6960+$C$2:$C6960)), "")*24*60, "")</f>
        <v/>
      </c>
      <c r="Q6961" s="24" t="str" cm="1">
        <f t="array" ref="Q6961">IFERROR(IF($B6961=Q$1, ($A6961+$C6961) - MAX(IF($B$2:$B6960=$B6961, $A$2:$A6960+$C$2:$C6960)), "")*24*60, "")</f>
        <v/>
      </c>
      <c r="R6961" s="24" t="str" cm="1">
        <f t="array" ref="R6961">IFERROR(IF($B6961=R$1, ($A6961+$C6961) - MAX(IF($B$2:$B6960=$B6961, $A$2:$A6960+$C$2:$C6960)), "")*24*60, "")</f>
        <v/>
      </c>
      <c r="S6961" s="24" t="str" cm="1">
        <f t="array" ref="S6961">IFERROR(IF($B6961=S$1, ($A6961+$C6961) - MAX(IF($B$2:$B6960=$B6961, $A$2:$A6960+$C$2:$C6960)), "")*24*60, "")</f>
        <v/>
      </c>
    </row>
    <row r="6962" spans="1:19" x14ac:dyDescent="0.2">
      <c r="A6962" s="12">
        <f t="shared" ref="A6962:C6962" si="1351">A6961</f>
        <v>45993</v>
      </c>
      <c r="B6962" s="5" t="str">
        <f t="shared" si="1351"/>
        <v>Northern Cardinal</v>
      </c>
      <c r="C6962" s="6">
        <f t="shared" si="1351"/>
        <v>0.28125</v>
      </c>
      <c r="D6962" s="5"/>
      <c r="E6962" s="5"/>
      <c r="F6962" s="5" t="s">
        <v>22</v>
      </c>
      <c r="G6962" s="15" t="s">
        <v>22</v>
      </c>
      <c r="H6962" s="24">
        <f t="shared" si="1309"/>
        <v>0</v>
      </c>
      <c r="I6962" s="24" cm="1">
        <f t="array" ref="I6962">IFERROR(IF($B6962=I$1, ($A6962+$C6962) - MAX(IF($B$2:$B6961=$B6962, $A$2:$A6961+$C$2:$C6961)), "")*24*60, "")</f>
        <v>0</v>
      </c>
      <c r="J6962" s="24" t="str" cm="1">
        <f t="array" ref="J6962">IFERROR(IF($B6962=J$1, ($A6962+$C6962) - MAX(IF($B$2:$B6961=$B6962, $A$2:$A6961+$C$2:$C6961)), "")*24*60, "")</f>
        <v/>
      </c>
      <c r="K6962" s="24" t="str" cm="1">
        <f t="array" ref="K6962">IFERROR(IF($B6962=K$1, ($A6962+$C6962) - MAX(IF($B$2:$B6961=$B6962, $A$2:$A6961+$C$2:$C6961)), "")*24*60, "")</f>
        <v/>
      </c>
      <c r="L6962" s="24" t="str" cm="1">
        <f t="array" ref="L6962">IFERROR(IF($B6962=L$1, ($A6962+$C6962) - MAX(IF($B$2:$B6961=$B6962, $A$2:$A6961+$C$2:$C6961)), "")*24*60, "")</f>
        <v/>
      </c>
      <c r="M6962" s="24" t="str" cm="1">
        <f t="array" ref="M6962">IFERROR(IF($B6962=M$1, ($A6962+$C6962) - MAX(IF($B$2:$B6961=$B6962, $A$2:$A6961+$C$2:$C6961)), "")*24*60, "")</f>
        <v/>
      </c>
      <c r="N6962" s="24" t="str" cm="1">
        <f t="array" ref="N6962">IFERROR(IF($B6962=N$1, ($A6962+$C6962) - MAX(IF($B$2:$B6961=$B6962, $A$2:$A6961+$C$2:$C6961)), "")*24*60, "")</f>
        <v/>
      </c>
      <c r="O6962" s="24" t="str" cm="1">
        <f t="array" ref="O6962">IFERROR(IF($B6962=O$1, ($A6962+$C6962) - MAX(IF($B$2:$B6961=$B6962, $A$2:$A6961+$C$2:$C6961)), "")*24*60, "")</f>
        <v/>
      </c>
      <c r="P6962" s="24" t="str" cm="1">
        <f t="array" ref="P6962">IFERROR(IF($B6962=P$1, ($A6962+$C6962) - MAX(IF($B$2:$B6961=$B6962, $A$2:$A6961+$C$2:$C6961)), "")*24*60, "")</f>
        <v/>
      </c>
      <c r="Q6962" s="24" t="str" cm="1">
        <f t="array" ref="Q6962">IFERROR(IF($B6962=Q$1, ($A6962+$C6962) - MAX(IF($B$2:$B6961=$B6962, $A$2:$A6961+$C$2:$C6961)), "")*24*60, "")</f>
        <v/>
      </c>
      <c r="R6962" s="24" t="str" cm="1">
        <f t="array" ref="R6962">IFERROR(IF($B6962=R$1, ($A6962+$C6962) - MAX(IF($B$2:$B6961=$B6962, $A$2:$A6961+$C$2:$C6961)), "")*24*60, "")</f>
        <v/>
      </c>
      <c r="S6962" s="24" t="str" cm="1">
        <f t="array" ref="S6962">IFERROR(IF($B6962=S$1, ($A6962+$C6962) - MAX(IF($B$2:$B6961=$B6962, $A$2:$A6961+$C$2:$C6961)), "")*24*60, "")</f>
        <v/>
      </c>
    </row>
    <row r="6963" spans="1:19" x14ac:dyDescent="0.2">
      <c r="A6963" s="12">
        <f t="shared" ref="A6963:C6963" si="1352">A6962</f>
        <v>45993</v>
      </c>
      <c r="B6963" s="5" t="str">
        <f t="shared" si="1352"/>
        <v>Northern Cardinal</v>
      </c>
      <c r="C6963" s="6">
        <f t="shared" si="1352"/>
        <v>0.28125</v>
      </c>
      <c r="D6963" s="5"/>
      <c r="E6963" s="5"/>
      <c r="F6963" s="5" t="s">
        <v>22</v>
      </c>
      <c r="G6963" s="15" t="s">
        <v>22</v>
      </c>
      <c r="H6963" s="24">
        <f t="shared" si="1309"/>
        <v>0</v>
      </c>
      <c r="I6963" s="24" cm="1">
        <f t="array" ref="I6963">IFERROR(IF($B6963=I$1, ($A6963+$C6963) - MAX(IF($B$2:$B6962=$B6963, $A$2:$A6962+$C$2:$C6962)), "")*24*60, "")</f>
        <v>0</v>
      </c>
      <c r="J6963" s="24" t="str" cm="1">
        <f t="array" ref="J6963">IFERROR(IF($B6963=J$1, ($A6963+$C6963) - MAX(IF($B$2:$B6962=$B6963, $A$2:$A6962+$C$2:$C6962)), "")*24*60, "")</f>
        <v/>
      </c>
      <c r="K6963" s="24" t="str" cm="1">
        <f t="array" ref="K6963">IFERROR(IF($B6963=K$1, ($A6963+$C6963) - MAX(IF($B$2:$B6962=$B6963, $A$2:$A6962+$C$2:$C6962)), "")*24*60, "")</f>
        <v/>
      </c>
      <c r="L6963" s="24" t="str" cm="1">
        <f t="array" ref="L6963">IFERROR(IF($B6963=L$1, ($A6963+$C6963) - MAX(IF($B$2:$B6962=$B6963, $A$2:$A6962+$C$2:$C6962)), "")*24*60, "")</f>
        <v/>
      </c>
      <c r="M6963" s="24" t="str" cm="1">
        <f t="array" ref="M6963">IFERROR(IF($B6963=M$1, ($A6963+$C6963) - MAX(IF($B$2:$B6962=$B6963, $A$2:$A6962+$C$2:$C6962)), "")*24*60, "")</f>
        <v/>
      </c>
      <c r="N6963" s="24" t="str" cm="1">
        <f t="array" ref="N6963">IFERROR(IF($B6963=N$1, ($A6963+$C6963) - MAX(IF($B$2:$B6962=$B6963, $A$2:$A6962+$C$2:$C6962)), "")*24*60, "")</f>
        <v/>
      </c>
      <c r="O6963" s="24" t="str" cm="1">
        <f t="array" ref="O6963">IFERROR(IF($B6963=O$1, ($A6963+$C6963) - MAX(IF($B$2:$B6962=$B6963, $A$2:$A6962+$C$2:$C6962)), "")*24*60, "")</f>
        <v/>
      </c>
      <c r="P6963" s="24" t="str" cm="1">
        <f t="array" ref="P6963">IFERROR(IF($B6963=P$1, ($A6963+$C6963) - MAX(IF($B$2:$B6962=$B6963, $A$2:$A6962+$C$2:$C6962)), "")*24*60, "")</f>
        <v/>
      </c>
      <c r="Q6963" s="24" t="str" cm="1">
        <f t="array" ref="Q6963">IFERROR(IF($B6963=Q$1, ($A6963+$C6963) - MAX(IF($B$2:$B6962=$B6963, $A$2:$A6962+$C$2:$C6962)), "")*24*60, "")</f>
        <v/>
      </c>
      <c r="R6963" s="24" t="str" cm="1">
        <f t="array" ref="R6963">IFERROR(IF($B6963=R$1, ($A6963+$C6963) - MAX(IF($B$2:$B6962=$B6963, $A$2:$A6962+$C$2:$C6962)), "")*24*60, "")</f>
        <v/>
      </c>
      <c r="S6963" s="24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f t="shared" ref="A6964:C6964" si="1353">A6963</f>
        <v>45993</v>
      </c>
      <c r="B6964" s="5" t="str">
        <f t="shared" si="1353"/>
        <v>Northern Cardinal</v>
      </c>
      <c r="C6964" s="6">
        <f t="shared" si="1353"/>
        <v>0.28125</v>
      </c>
      <c r="D6964" s="5"/>
      <c r="E6964" s="5"/>
      <c r="F6964" s="5" t="s">
        <v>22</v>
      </c>
      <c r="G6964" s="15" t="s">
        <v>22</v>
      </c>
      <c r="H6964" s="24">
        <f t="shared" si="1309"/>
        <v>0</v>
      </c>
      <c r="I6964" s="24" cm="1">
        <f t="array" ref="I6964">IFERROR(IF($B6964=I$1, ($A6964+$C6964) - MAX(IF($B$2:$B6963=$B6964, $A$2:$A6963+$C$2:$C6963)), "")*24*60, "")</f>
        <v>0</v>
      </c>
      <c r="J6964" s="24" t="str" cm="1">
        <f t="array" ref="J6964">IFERROR(IF($B6964=J$1, ($A6964+$C6964) - MAX(IF($B$2:$B6963=$B6964, $A$2:$A6963+$C$2:$C6963)), "")*24*60, "")</f>
        <v/>
      </c>
      <c r="K6964" s="24" t="str" cm="1">
        <f t="array" ref="K6964">IFERROR(IF($B6964=K$1, ($A6964+$C6964) - MAX(IF($B$2:$B6963=$B6964, $A$2:$A6963+$C$2:$C6963)), "")*24*60, "")</f>
        <v/>
      </c>
      <c r="L6964" s="24" t="str" cm="1">
        <f t="array" ref="L6964">IFERROR(IF($B6964=L$1, ($A6964+$C6964) - MAX(IF($B$2:$B6963=$B6964, $A$2:$A6963+$C$2:$C6963)), "")*24*60, "")</f>
        <v/>
      </c>
      <c r="M6964" s="24" t="str" cm="1">
        <f t="array" ref="M6964">IFERROR(IF($B6964=M$1, ($A6964+$C6964) - MAX(IF($B$2:$B6963=$B6964, $A$2:$A6963+$C$2:$C6963)), "")*24*60, "")</f>
        <v/>
      </c>
      <c r="N6964" s="24" t="str" cm="1">
        <f t="array" ref="N6964">IFERROR(IF($B6964=N$1, ($A6964+$C6964) - MAX(IF($B$2:$B6963=$B6964, $A$2:$A6963+$C$2:$C6963)), "")*24*60, "")</f>
        <v/>
      </c>
      <c r="O6964" s="24" t="str" cm="1">
        <f t="array" ref="O6964">IFERROR(IF($B6964=O$1, ($A6964+$C6964) - MAX(IF($B$2:$B6963=$B6964, $A$2:$A6963+$C$2:$C6963)), "")*24*60, "")</f>
        <v/>
      </c>
      <c r="P6964" s="24" t="str" cm="1">
        <f t="array" ref="P6964">IFERROR(IF($B6964=P$1, ($A6964+$C6964) - MAX(IF($B$2:$B6963=$B6964, $A$2:$A6963+$C$2:$C6963)), "")*24*60, "")</f>
        <v/>
      </c>
      <c r="Q6964" s="24" t="str" cm="1">
        <f t="array" ref="Q6964">IFERROR(IF($B6964=Q$1, ($A6964+$C6964) - MAX(IF($B$2:$B6963=$B6964, $A$2:$A6963+$C$2:$C6963)), "")*24*60, "")</f>
        <v/>
      </c>
      <c r="R6964" s="24" t="str" cm="1">
        <f t="array" ref="R6964">IFERROR(IF($B6964=R$1, ($A6964+$C6964) - MAX(IF($B$2:$B6963=$B6964, $A$2:$A6963+$C$2:$C6963)), "")*24*60, "")</f>
        <v/>
      </c>
      <c r="S6964" s="24" t="str" cm="1">
        <f t="array" ref="S6964">IFERROR(IF($B6964=S$1, ($A6964+$C6964) - MAX(IF($B$2:$B6963=$B6964, $A$2:$A6963+$C$2:$C6963)), "")*24*60, "")</f>
        <v/>
      </c>
    </row>
    <row r="6965" spans="1:19" x14ac:dyDescent="0.2">
      <c r="A6965" s="12">
        <f t="shared" ref="A6965:C6965" si="1354">A6964</f>
        <v>45993</v>
      </c>
      <c r="B6965" s="5" t="str">
        <f t="shared" si="1354"/>
        <v>Northern Cardinal</v>
      </c>
      <c r="C6965" s="6">
        <f t="shared" si="1354"/>
        <v>0.28125</v>
      </c>
      <c r="D6965" s="5"/>
      <c r="E6965" s="5"/>
      <c r="F6965" s="5" t="s">
        <v>22</v>
      </c>
      <c r="G6965" s="15" t="s">
        <v>22</v>
      </c>
      <c r="H6965" s="24">
        <f t="shared" si="1309"/>
        <v>0</v>
      </c>
      <c r="I6965" s="24" cm="1">
        <f t="array" ref="I6965">IFERROR(IF($B6965=I$1, ($A6965+$C6965) - MAX(IF($B$2:$B6964=$B6965, $A$2:$A6964+$C$2:$C6964)), "")*24*60, "")</f>
        <v>0</v>
      </c>
      <c r="J6965" s="24" t="str" cm="1">
        <f t="array" ref="J6965">IFERROR(IF($B6965=J$1, ($A6965+$C6965) - MAX(IF($B$2:$B6964=$B6965, $A$2:$A6964+$C$2:$C6964)), "")*24*60, "")</f>
        <v/>
      </c>
      <c r="K6965" s="24" t="str" cm="1">
        <f t="array" ref="K6965">IFERROR(IF($B6965=K$1, ($A6965+$C6965) - MAX(IF($B$2:$B6964=$B6965, $A$2:$A6964+$C$2:$C6964)), "")*24*60, "")</f>
        <v/>
      </c>
      <c r="L6965" s="24" t="str" cm="1">
        <f t="array" ref="L6965">IFERROR(IF($B6965=L$1, ($A6965+$C6965) - MAX(IF($B$2:$B6964=$B6965, $A$2:$A6964+$C$2:$C6964)), "")*24*60, "")</f>
        <v/>
      </c>
      <c r="M6965" s="24" t="str" cm="1">
        <f t="array" ref="M6965">IFERROR(IF($B6965=M$1, ($A6965+$C6965) - MAX(IF($B$2:$B6964=$B6965, $A$2:$A6964+$C$2:$C6964)), "")*24*60, "")</f>
        <v/>
      </c>
      <c r="N6965" s="24" t="str" cm="1">
        <f t="array" ref="N6965">IFERROR(IF($B6965=N$1, ($A6965+$C6965) - MAX(IF($B$2:$B6964=$B6965, $A$2:$A6964+$C$2:$C6964)), "")*24*60, "")</f>
        <v/>
      </c>
      <c r="O6965" s="24" t="str" cm="1">
        <f t="array" ref="O6965">IFERROR(IF($B6965=O$1, ($A6965+$C6965) - MAX(IF($B$2:$B6964=$B6965, $A$2:$A6964+$C$2:$C6964)), "")*24*60, "")</f>
        <v/>
      </c>
      <c r="P6965" s="24" t="str" cm="1">
        <f t="array" ref="P6965">IFERROR(IF($B6965=P$1, ($A6965+$C6965) - MAX(IF($B$2:$B6964=$B6965, $A$2:$A6964+$C$2:$C6964)), "")*24*60, "")</f>
        <v/>
      </c>
      <c r="Q6965" s="24" t="str" cm="1">
        <f t="array" ref="Q6965">IFERROR(IF($B6965=Q$1, ($A6965+$C6965) - MAX(IF($B$2:$B6964=$B6965, $A$2:$A6964+$C$2:$C6964)), "")*24*60, "")</f>
        <v/>
      </c>
      <c r="R6965" s="24" t="str" cm="1">
        <f t="array" ref="R6965">IFERROR(IF($B6965=R$1, ($A6965+$C6965) - MAX(IF($B$2:$B6964=$B6965, $A$2:$A6964+$C$2:$C6964)), "")*24*60, "")</f>
        <v/>
      </c>
      <c r="S6965" s="24" t="str" cm="1">
        <f t="array" ref="S6965">IFERROR(IF($B6965=S$1, ($A6965+$C6965) - MAX(IF($B$2:$B6964=$B6965, $A$2:$A6964+$C$2:$C6964)), "")*24*60, "")</f>
        <v/>
      </c>
    </row>
    <row r="6966" spans="1:19" x14ac:dyDescent="0.2">
      <c r="A6966" s="12">
        <f t="shared" ref="A6966:C6966" si="1355">A6965</f>
        <v>45993</v>
      </c>
      <c r="B6966" s="5" t="str">
        <f t="shared" si="1355"/>
        <v>Northern Cardinal</v>
      </c>
      <c r="C6966" s="6">
        <f t="shared" si="1355"/>
        <v>0.28125</v>
      </c>
      <c r="D6966" s="5"/>
      <c r="E6966" s="5"/>
      <c r="F6966" s="5" t="s">
        <v>22</v>
      </c>
      <c r="G6966" s="15" t="s">
        <v>22</v>
      </c>
      <c r="H6966" s="24">
        <f t="shared" si="1309"/>
        <v>0</v>
      </c>
      <c r="I6966" s="24" cm="1">
        <f t="array" ref="I6966">IFERROR(IF($B6966=I$1, ($A6966+$C6966) - MAX(IF($B$2:$B6965=$B6966, $A$2:$A6965+$C$2:$C6965)), "")*24*60, "")</f>
        <v>0</v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t="str" cm="1">
        <f t="array" ref="N6966">IFERROR(IF($B6966=N$1, ($A6966+$C6966) - MAX(IF($B$2:$B6965=$B6966, $A$2:$A6965+$C$2:$C6965)), "")*24*60, "")</f>
        <v/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:C6967" si="1356">A6966</f>
        <v>45993</v>
      </c>
      <c r="B6967" s="5" t="str">
        <f t="shared" si="1356"/>
        <v>Northern Cardinal</v>
      </c>
      <c r="C6967" s="6">
        <f t="shared" si="1356"/>
        <v>0.28125</v>
      </c>
      <c r="D6967" s="5"/>
      <c r="E6967" s="5"/>
      <c r="F6967" s="5" t="s">
        <v>22</v>
      </c>
      <c r="G6967" s="15" t="s">
        <v>22</v>
      </c>
      <c r="H6967" s="24">
        <f t="shared" si="1309"/>
        <v>0</v>
      </c>
      <c r="I6967" s="24" cm="1">
        <f t="array" ref="I6967">IFERROR(IF($B6967=I$1, ($A6967+$C6967) - MAX(IF($B$2:$B6966=$B6967, $A$2:$A6966+$C$2:$C6966)), "")*24*60, "")</f>
        <v>0</v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t="str" cm="1">
        <f t="array" ref="S6967">IFERROR(IF($B6967=S$1, ($A6967+$C6967) - MAX(IF($B$2:$B6966=$B6967, $A$2:$A6966+$C$2:$C6966)), "")*24*60, "")</f>
        <v/>
      </c>
    </row>
    <row r="6968" spans="1:19" x14ac:dyDescent="0.2">
      <c r="A6968" s="12">
        <f t="shared" ref="A6968:C6968" si="1357">A6967</f>
        <v>45993</v>
      </c>
      <c r="B6968" s="5" t="str">
        <f t="shared" si="1357"/>
        <v>Northern Cardinal</v>
      </c>
      <c r="C6968" s="6">
        <f t="shared" si="1357"/>
        <v>0.28125</v>
      </c>
      <c r="D6968" s="5"/>
      <c r="E6968" s="5"/>
      <c r="F6968" s="5" t="s">
        <v>22</v>
      </c>
      <c r="G6968" s="15" t="s">
        <v>22</v>
      </c>
      <c r="H6968" s="24">
        <f t="shared" si="1309"/>
        <v>0</v>
      </c>
      <c r="I6968" s="24" cm="1">
        <f t="array" ref="I6968">IFERROR(IF($B6968=I$1, ($A6968+$C6968) - MAX(IF($B$2:$B6967=$B6968, $A$2:$A6967+$C$2:$C6967)), "")*24*60, "")</f>
        <v>0</v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t="str" cm="1">
        <f t="array" ref="L6968">IFERROR(IF($B6968=L$1, ($A6968+$C6968) - MAX(IF($B$2:$B6967=$B6968, $A$2:$A6967+$C$2:$C6967)), "")*24*60, "")</f>
        <v/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C6969" si="1358">A6968</f>
        <v>45993</v>
      </c>
      <c r="B6969" s="5" t="str">
        <f t="shared" si="1358"/>
        <v>Northern Cardinal</v>
      </c>
      <c r="C6969" s="6">
        <f t="shared" si="1358"/>
        <v>0.28125</v>
      </c>
      <c r="D6969" s="5"/>
      <c r="E6969" s="5"/>
      <c r="F6969" s="5" t="s">
        <v>22</v>
      </c>
      <c r="G6969" s="15" t="s">
        <v>22</v>
      </c>
      <c r="H6969" s="24">
        <f t="shared" si="1309"/>
        <v>0</v>
      </c>
      <c r="I6969" s="24" cm="1">
        <f t="array" ref="I6969">IFERROR(IF($B6969=I$1, ($A6969+$C6969) - MAX(IF($B$2:$B6968=$B6969, $A$2:$A6968+$C$2:$C6968)), "")*24*60, "")</f>
        <v>0</v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t="str" cm="1">
        <f t="array" ref="L6969">IFERROR(IF($B6969=L$1, ($A6969+$C6969) - MAX(IF($B$2:$B6968=$B6969, $A$2:$A6968+$C$2:$C6968)), "")*24*60, "")</f>
        <v/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59">A6969</f>
        <v>45993</v>
      </c>
      <c r="B6970" s="5" t="str">
        <f t="shared" si="1359"/>
        <v>Northern Cardinal</v>
      </c>
      <c r="C6970" s="6">
        <f t="shared" si="1359"/>
        <v>0.28125</v>
      </c>
      <c r="D6970" s="5"/>
      <c r="E6970" s="5"/>
      <c r="F6970" s="5" t="s">
        <v>22</v>
      </c>
      <c r="G6970" s="15" t="s">
        <v>22</v>
      </c>
      <c r="H6970" s="24">
        <f t="shared" si="1309"/>
        <v>0</v>
      </c>
      <c r="I6970" s="24" cm="1">
        <f t="array" ref="I6970">IFERROR(IF($B6970=I$1, ($A6970+$C6970) - MAX(IF($B$2:$B6969=$B6970, $A$2:$A6969+$C$2:$C6969)), "")*24*60, "")</f>
        <v>0</v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t="str" cm="1">
        <f t="array" ref="L6970">IFERROR(IF($B6970=L$1, ($A6970+$C6970) - MAX(IF($B$2:$B6969=$B6970, $A$2:$A6969+$C$2:$C6969)), "")*24*60, "")</f>
        <v/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C6971" si="1360">A6970</f>
        <v>45993</v>
      </c>
      <c r="B6971" s="5" t="str">
        <f t="shared" si="1360"/>
        <v>Northern Cardinal</v>
      </c>
      <c r="C6971" s="6">
        <f t="shared" si="1360"/>
        <v>0.28125</v>
      </c>
      <c r="D6971" s="5"/>
      <c r="E6971" s="5"/>
      <c r="F6971" s="5" t="s">
        <v>22</v>
      </c>
      <c r="G6971" s="15" t="s">
        <v>22</v>
      </c>
      <c r="H6971" s="24">
        <f t="shared" si="1309"/>
        <v>0</v>
      </c>
      <c r="I6971" s="24" cm="1">
        <f t="array" ref="I6971">IFERROR(IF($B6971=I$1, ($A6971+$C6971) - MAX(IF($B$2:$B6970=$B6971, $A$2:$A6970+$C$2:$C6970)), "")*24*60, "")</f>
        <v>0</v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t="str" cm="1">
        <f t="array" ref="L6971">IFERROR(IF($B6971=L$1, ($A6971+$C6971) - MAX(IF($B$2:$B6970=$B6971, $A$2:$A6970+$C$2:$C6970)), "")*24*60, "")</f>
        <v/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:C6972" si="1361">A6971</f>
        <v>45993</v>
      </c>
      <c r="B6972" s="5" t="str">
        <f t="shared" si="1361"/>
        <v>Northern Cardinal</v>
      </c>
      <c r="C6972" s="6">
        <f t="shared" si="1361"/>
        <v>0.28125</v>
      </c>
      <c r="D6972" s="5"/>
      <c r="E6972" s="5"/>
      <c r="F6972" s="5" t="s">
        <v>22</v>
      </c>
      <c r="G6972" s="15" t="s">
        <v>22</v>
      </c>
      <c r="H6972" s="24">
        <f t="shared" si="1309"/>
        <v>0</v>
      </c>
      <c r="I6972" s="24" cm="1">
        <f t="array" ref="I6972">IFERROR(IF($B6972=I$1, ($A6972+$C6972) - MAX(IF($B$2:$B6971=$B6972, $A$2:$A6971+$C$2:$C6971)), "")*24*60, "")</f>
        <v>0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62">A6972</f>
        <v>45993</v>
      </c>
      <c r="B6973" s="5" t="str">
        <f t="shared" si="1362"/>
        <v>Northern Cardinal</v>
      </c>
      <c r="C6973" s="6">
        <f t="shared" si="1362"/>
        <v>0.28125</v>
      </c>
      <c r="D6973" s="5"/>
      <c r="E6973" s="5"/>
      <c r="F6973" s="5" t="s">
        <v>22</v>
      </c>
      <c r="G6973" s="15" t="s">
        <v>22</v>
      </c>
      <c r="H6973" s="24">
        <f t="shared" si="1309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2">
        <f t="shared" ref="A6974:C6974" si="1363">A6973</f>
        <v>45993</v>
      </c>
      <c r="B6974" s="5" t="str">
        <f t="shared" si="1363"/>
        <v>Northern Cardinal</v>
      </c>
      <c r="C6974" s="6">
        <f t="shared" si="1363"/>
        <v>0.28125</v>
      </c>
      <c r="D6974" s="5"/>
      <c r="E6974" s="5"/>
      <c r="F6974" s="5" t="s">
        <v>22</v>
      </c>
      <c r="G6974" s="15" t="s">
        <v>22</v>
      </c>
      <c r="H6974" s="24">
        <f t="shared" si="1309"/>
        <v>0</v>
      </c>
      <c r="I6974" s="24" cm="1">
        <f t="array" ref="I6974">IFERROR(IF($B6974=I$1, ($A6974+$C6974) - MAX(IF($B$2:$B6973=$B6974, $A$2:$A6973+$C$2:$C6973)), "")*24*60, "")</f>
        <v>0</v>
      </c>
      <c r="J6974" s="24" t="str" cm="1">
        <f t="array" ref="J6974">IFERROR(IF($B6974=J$1, ($A6974+$C6974) - MAX(IF($B$2:$B6973=$B6974, $A$2:$A6973+$C$2:$C6973)), "")*24*60, "")</f>
        <v/>
      </c>
      <c r="K6974" s="24" t="str" cm="1">
        <f t="array" ref="K6974">IFERROR(IF($B6974=K$1, ($A6974+$C6974) - MAX(IF($B$2:$B6973=$B6974, $A$2:$A6973+$C$2:$C6973)), "")*24*60, "")</f>
        <v/>
      </c>
      <c r="L6974" s="24" t="str" cm="1">
        <f t="array" ref="L6974">IFERROR(IF($B6974=L$1, ($A6974+$C6974) - MAX(IF($B$2:$B6973=$B6974, $A$2:$A6973+$C$2:$C6973)), "")*24*60, "")</f>
        <v/>
      </c>
      <c r="M6974" s="24" t="str" cm="1">
        <f t="array" ref="M6974">IFERROR(IF($B6974=M$1, ($A6974+$C6974) - MAX(IF($B$2:$B6973=$B6974, $A$2:$A6973+$C$2:$C6973)), "")*24*60, "")</f>
        <v/>
      </c>
      <c r="N6974" s="24" t="str" cm="1">
        <f t="array" ref="N6974">IFERROR(IF($B6974=N$1, ($A6974+$C6974) - MAX(IF($B$2:$B6973=$B6974, $A$2:$A6973+$C$2:$C6973)), "")*24*60, "")</f>
        <v/>
      </c>
      <c r="O6974" s="24" t="str" cm="1">
        <f t="array" ref="O6974">IFERROR(IF($B6974=O$1, ($A6974+$C6974) - MAX(IF($B$2:$B6973=$B6974, $A$2:$A6973+$C$2:$C6973)), "")*24*60, "")</f>
        <v/>
      </c>
      <c r="P6974" s="24" t="str" cm="1">
        <f t="array" ref="P6974">IFERROR(IF($B6974=P$1, ($A6974+$C6974) - MAX(IF($B$2:$B6973=$B6974, $A$2:$A6973+$C$2:$C6973)), "")*24*60, "")</f>
        <v/>
      </c>
      <c r="Q6974" s="24" t="str" cm="1">
        <f t="array" ref="Q6974">IFERROR(IF($B6974=Q$1, ($A6974+$C6974) - MAX(IF($B$2:$B6973=$B6974, $A$2:$A6973+$C$2:$C6973)), "")*24*60, "")</f>
        <v/>
      </c>
      <c r="R6974" s="24" t="str" cm="1">
        <f t="array" ref="R6974">IFERROR(IF($B6974=R$1, ($A6974+$C6974) - MAX(IF($B$2:$B6973=$B6974, $A$2:$A6973+$C$2:$C6973)), "")*24*60, "")</f>
        <v/>
      </c>
      <c r="S6974" s="24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f t="shared" ref="A6975:C6975" si="1364">A6974</f>
        <v>45993</v>
      </c>
      <c r="B6975" s="5" t="str">
        <f t="shared" si="1364"/>
        <v>Northern Cardinal</v>
      </c>
      <c r="C6975" s="6">
        <f t="shared" si="1364"/>
        <v>0.28125</v>
      </c>
      <c r="D6975" s="5"/>
      <c r="E6975" s="5"/>
      <c r="F6975" s="5" t="s">
        <v>22</v>
      </c>
      <c r="G6975" s="15" t="s">
        <v>22</v>
      </c>
      <c r="H6975" s="24">
        <f t="shared" si="1309"/>
        <v>0</v>
      </c>
      <c r="I6975" s="24" cm="1">
        <f t="array" ref="I6975">IFERROR(IF($B6975=I$1, ($A6975+$C6975) - MAX(IF($B$2:$B6974=$B6975, $A$2:$A6974+$C$2:$C6974)), "")*24*60, "")</f>
        <v>0</v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t="str" cm="1">
        <f t="array" ref="O6975">IFERROR(IF($B6975=O$1, ($A6975+$C6975) - MAX(IF($B$2:$B6974=$B6975, $A$2:$A6974+$C$2:$C6974)), "")*24*60, "")</f>
        <v/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65">A6975</f>
        <v>45993</v>
      </c>
      <c r="B6976" s="5" t="str">
        <f t="shared" si="1365"/>
        <v>Northern Cardinal</v>
      </c>
      <c r="C6976" s="6">
        <f t="shared" si="1365"/>
        <v>0.28125</v>
      </c>
      <c r="D6976" s="5"/>
      <c r="E6976" s="5"/>
      <c r="F6976" s="5" t="s">
        <v>22</v>
      </c>
      <c r="G6976" s="15" t="s">
        <v>22</v>
      </c>
      <c r="H6976" s="24">
        <f t="shared" si="1309"/>
        <v>0</v>
      </c>
      <c r="I6976" s="24" cm="1">
        <f t="array" ref="I6976">IFERROR(IF($B6976=I$1, ($A6976+$C6976) - MAX(IF($B$2:$B6975=$B6976, $A$2:$A6975+$C$2:$C6975)), "")*24*60, "")</f>
        <v>0</v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t="str" cm="1">
        <f t="array" ref="O6976">IFERROR(IF($B6976=O$1, ($A6976+$C6976) - MAX(IF($B$2:$B6975=$B6976, $A$2:$A6975+$C$2:$C6975)), "")*24*60, "")</f>
        <v/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:C6977" si="1366">A6976</f>
        <v>45993</v>
      </c>
      <c r="B6977" s="5" t="str">
        <f t="shared" si="1366"/>
        <v>Northern Cardinal</v>
      </c>
      <c r="C6977" s="6">
        <f t="shared" si="1366"/>
        <v>0.28125</v>
      </c>
      <c r="D6977" s="5"/>
      <c r="E6977" s="5"/>
      <c r="F6977" s="5" t="s">
        <v>22</v>
      </c>
      <c r="G6977" s="15" t="s">
        <v>22</v>
      </c>
      <c r="H6977" s="24">
        <f t="shared" si="1309"/>
        <v>0</v>
      </c>
      <c r="I6977" s="24" cm="1">
        <f t="array" ref="I6977">IFERROR(IF($B6977=I$1, ($A6977+$C6977) - MAX(IF($B$2:$B6976=$B6977, $A$2:$A6976+$C$2:$C6976)), "")*24*60, "")</f>
        <v>0</v>
      </c>
      <c r="J6977" s="24" t="str" cm="1">
        <f t="array" ref="J6977">IFERROR(IF($B6977=J$1, ($A6977+$C6977) - MAX(IF($B$2:$B6976=$B6977, $A$2:$A6976+$C$2:$C6976)), "")*24*60, "")</f>
        <v/>
      </c>
      <c r="K6977" s="24" t="str" cm="1">
        <f t="array" ref="K6977">IFERROR(IF($B6977=K$1, ($A6977+$C6977) - MAX(IF($B$2:$B6976=$B6977, $A$2:$A6976+$C$2:$C6976)), "")*24*60, "")</f>
        <v/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:C6978" si="1367">A6977</f>
        <v>45993</v>
      </c>
      <c r="B6978" s="5" t="str">
        <f t="shared" si="1367"/>
        <v>Northern Cardinal</v>
      </c>
      <c r="C6978" s="6">
        <f t="shared" si="1367"/>
        <v>0.28125</v>
      </c>
      <c r="D6978" s="5"/>
      <c r="E6978" s="5"/>
      <c r="F6978" s="5" t="s">
        <v>22</v>
      </c>
      <c r="G6978" s="15" t="s">
        <v>22</v>
      </c>
      <c r="H6978" s="24">
        <f t="shared" si="1309"/>
        <v>0</v>
      </c>
      <c r="I6978" s="24" cm="1">
        <f t="array" ref="I6978">IFERROR(IF($B6978=I$1, ($A6978+$C6978) - MAX(IF($B$2:$B6977=$B6978, $A$2:$A6977+$C$2:$C6977)), "")*24*60, "")</f>
        <v>0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68">A6978</f>
        <v>45993</v>
      </c>
      <c r="B6979" s="5" t="str">
        <f t="shared" si="1368"/>
        <v>Northern Cardinal</v>
      </c>
      <c r="C6979" s="6">
        <f t="shared" si="1368"/>
        <v>0.28125</v>
      </c>
      <c r="D6979" s="5"/>
      <c r="E6979" s="5"/>
      <c r="F6979" s="5" t="s">
        <v>22</v>
      </c>
      <c r="G6979" s="15" t="s">
        <v>22</v>
      </c>
      <c r="H6979" s="24">
        <f t="shared" si="1309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C6980" si="1369">A6979</f>
        <v>45993</v>
      </c>
      <c r="B6980" s="5" t="str">
        <f t="shared" si="1369"/>
        <v>Northern Cardinal</v>
      </c>
      <c r="C6980" s="6">
        <f t="shared" si="1369"/>
        <v>0.28125</v>
      </c>
      <c r="D6980" s="5"/>
      <c r="E6980" s="5"/>
      <c r="F6980" s="5" t="s">
        <v>22</v>
      </c>
      <c r="G6980" s="15" t="s">
        <v>22</v>
      </c>
      <c r="H6980" s="24">
        <f t="shared" si="1309"/>
        <v>0</v>
      </c>
      <c r="I6980" s="24" cm="1">
        <f t="array" ref="I6980">IFERROR(IF($B6980=I$1, ($A6980+$C6980) - MAX(IF($B$2:$B6979=$B6980, $A$2:$A6979+$C$2:$C6979)), "")*24*60, "")</f>
        <v>0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2">
        <f t="shared" ref="A6981:C6981" si="1370">A6980</f>
        <v>45993</v>
      </c>
      <c r="B6981" s="5" t="str">
        <f t="shared" si="1370"/>
        <v>Northern Cardinal</v>
      </c>
      <c r="C6981" s="6">
        <f t="shared" si="1370"/>
        <v>0.28125</v>
      </c>
      <c r="D6981" s="5"/>
      <c r="E6981" s="5"/>
      <c r="F6981" s="5" t="s">
        <v>22</v>
      </c>
      <c r="G6981" s="15" t="s">
        <v>22</v>
      </c>
      <c r="H6981" s="24">
        <f t="shared" si="1309"/>
        <v>0</v>
      </c>
      <c r="I6981" s="24" cm="1">
        <f t="array" ref="I6981">IFERROR(IF($B6981=I$1, ($A6981+$C6981) - MAX(IF($B$2:$B6980=$B6981, $A$2:$A6980+$C$2:$C6980)), "")*24*60, "")</f>
        <v>0</v>
      </c>
      <c r="J6981" s="24" t="str" cm="1">
        <f t="array" ref="J6981">IFERROR(IF($B6981=J$1, ($A6981+$C6981) - MAX(IF($B$2:$B6980=$B6981, $A$2:$A6980+$C$2:$C6980)), "")*24*60, "")</f>
        <v/>
      </c>
      <c r="K6981" s="24" t="str" cm="1">
        <f t="array" ref="K6981">IFERROR(IF($B6981=K$1, ($A6981+$C6981) - MAX(IF($B$2:$B6980=$B6981, $A$2:$A6980+$C$2:$C6980)), "")*24*60, "")</f>
        <v/>
      </c>
      <c r="L6981" s="24" t="str" cm="1">
        <f t="array" ref="L6981">IFERROR(IF($B6981=L$1, ($A6981+$C6981) - MAX(IF($B$2:$B6980=$B6981, $A$2:$A6980+$C$2:$C6980)), "")*24*60, "")</f>
        <v/>
      </c>
      <c r="M6981" s="24" t="str" cm="1">
        <f t="array" ref="M6981">IFERROR(IF($B6981=M$1, ($A6981+$C6981) - MAX(IF($B$2:$B6980=$B6981, $A$2:$A6980+$C$2:$C6980)), "")*24*60, "")</f>
        <v/>
      </c>
      <c r="N6981" s="24" t="str" cm="1">
        <f t="array" ref="N6981">IFERROR(IF($B6981=N$1, ($A6981+$C6981) - MAX(IF($B$2:$B6980=$B6981, $A$2:$A6980+$C$2:$C6980)), "")*24*60, "")</f>
        <v/>
      </c>
      <c r="O6981" s="24" t="str" cm="1">
        <f t="array" ref="O6981">IFERROR(IF($B6981=O$1, ($A6981+$C6981) - MAX(IF($B$2:$B6980=$B6981, $A$2:$A6980+$C$2:$C6980)), "")*24*60, "")</f>
        <v/>
      </c>
      <c r="P6981" s="24" t="str" cm="1">
        <f t="array" ref="P6981">IFERROR(IF($B6981=P$1, ($A6981+$C6981) - MAX(IF($B$2:$B6980=$B6981, $A$2:$A6980+$C$2:$C6980)), "")*24*60, "")</f>
        <v/>
      </c>
      <c r="Q6981" s="24" t="str" cm="1">
        <f t="array" ref="Q6981">IFERROR(IF($B6981=Q$1, ($A6981+$C6981) - MAX(IF($B$2:$B6980=$B6981, $A$2:$A6980+$C$2:$C6980)), "")*24*60, "")</f>
        <v/>
      </c>
      <c r="R6981" s="24" t="str" cm="1">
        <f t="array" ref="R6981">IFERROR(IF($B6981=R$1, ($A6981+$C6981) - MAX(IF($B$2:$B6980=$B6981, $A$2:$A6980+$C$2:$C6980)), "")*24*60, "")</f>
        <v/>
      </c>
      <c r="S6981" s="24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f t="shared" ref="A6982:C6982" si="1371">A6981</f>
        <v>45993</v>
      </c>
      <c r="B6982" s="5" t="str">
        <f t="shared" si="1371"/>
        <v>Northern Cardinal</v>
      </c>
      <c r="C6982" s="6">
        <f t="shared" si="1371"/>
        <v>0.28125</v>
      </c>
      <c r="D6982" s="5"/>
      <c r="E6982" s="5"/>
      <c r="F6982" s="5" t="s">
        <v>22</v>
      </c>
      <c r="G6982" s="15" t="s">
        <v>22</v>
      </c>
      <c r="H6982" s="24">
        <f t="shared" si="1309"/>
        <v>0</v>
      </c>
      <c r="I6982" s="24" cm="1">
        <f t="array" ref="I6982">IFERROR(IF($B6982=I$1, ($A6982+$C6982) - MAX(IF($B$2:$B6981=$B6982, $A$2:$A6981+$C$2:$C6981)), "")*24*60, "")</f>
        <v>0</v>
      </c>
      <c r="J6982" s="24" t="str" cm="1">
        <f t="array" ref="J6982">IFERROR(IF($B6982=J$1, ($A6982+$C6982) - MAX(IF($B$2:$B6981=$B6982, $A$2:$A6981+$C$2:$C6981)), "")*24*60, "")</f>
        <v/>
      </c>
      <c r="K6982" s="24" t="str" cm="1">
        <f t="array" ref="K6982">IFERROR(IF($B6982=K$1, ($A6982+$C6982) - MAX(IF($B$2:$B6981=$B6982, $A$2:$A6981+$C$2:$C6981)), "")*24*60, "")</f>
        <v/>
      </c>
      <c r="L6982" s="24" t="str" cm="1">
        <f t="array" ref="L6982">IFERROR(IF($B6982=L$1, ($A6982+$C6982) - MAX(IF($B$2:$B6981=$B6982, $A$2:$A6981+$C$2:$C6981)), "")*24*60, "")</f>
        <v/>
      </c>
      <c r="M6982" s="24" t="str" cm="1">
        <f t="array" ref="M6982">IFERROR(IF($B6982=M$1, ($A6982+$C6982) - MAX(IF($B$2:$B6981=$B6982, $A$2:$A6981+$C$2:$C6981)), "")*24*60, "")</f>
        <v/>
      </c>
      <c r="N6982" s="24" t="str" cm="1">
        <f t="array" ref="N6982">IFERROR(IF($B6982=N$1, ($A6982+$C6982) - MAX(IF($B$2:$B6981=$B6982, $A$2:$A6981+$C$2:$C6981)), "")*24*60, "")</f>
        <v/>
      </c>
      <c r="O6982" s="24" t="str" cm="1">
        <f t="array" ref="O6982">IFERROR(IF($B6982=O$1, ($A6982+$C6982) - MAX(IF($B$2:$B6981=$B6982, $A$2:$A6981+$C$2:$C6981)), "")*24*60, "")</f>
        <v/>
      </c>
      <c r="P6982" s="24" t="str" cm="1">
        <f t="array" ref="P6982">IFERROR(IF($B6982=P$1, ($A6982+$C6982) - MAX(IF($B$2:$B6981=$B6982, $A$2:$A6981+$C$2:$C6981)), "")*24*60, "")</f>
        <v/>
      </c>
      <c r="Q6982" s="24" t="str" cm="1">
        <f t="array" ref="Q6982">IFERROR(IF($B6982=Q$1, ($A6982+$C6982) - MAX(IF($B$2:$B6981=$B6982, $A$2:$A6981+$C$2:$C6981)), "")*24*60, "")</f>
        <v/>
      </c>
      <c r="R6982" s="24" t="str" cm="1">
        <f t="array" ref="R6982">IFERROR(IF($B6982=R$1, ($A6982+$C6982) - MAX(IF($B$2:$B6981=$B6982, $A$2:$A6981+$C$2:$C6981)), "")*24*60, "")</f>
        <v/>
      </c>
      <c r="S6982" s="24" t="str" cm="1">
        <f t="array" ref="S6982">IFERROR(IF($B6982=S$1, ($A6982+$C6982) - MAX(IF($B$2:$B6981=$B6982, $A$2:$A6981+$C$2:$C6981)), "")*24*60, "")</f>
        <v/>
      </c>
    </row>
    <row r="6983" spans="1:19" x14ac:dyDescent="0.2">
      <c r="A6983" s="12">
        <f t="shared" ref="A6983:C6983" si="1372">A6982</f>
        <v>45993</v>
      </c>
      <c r="B6983" s="5" t="str">
        <f t="shared" si="1372"/>
        <v>Northern Cardinal</v>
      </c>
      <c r="C6983" s="6">
        <f t="shared" si="1372"/>
        <v>0.28125</v>
      </c>
      <c r="D6983" s="5"/>
      <c r="E6983" s="5"/>
      <c r="F6983" s="5" t="s">
        <v>22</v>
      </c>
      <c r="G6983" s="15" t="s">
        <v>22</v>
      </c>
      <c r="H6983" s="24">
        <f t="shared" si="1309"/>
        <v>0</v>
      </c>
      <c r="I6983" s="24" cm="1">
        <f t="array" ref="I6983">IFERROR(IF($B6983=I$1, ($A6983+$C6983) - MAX(IF($B$2:$B6982=$B6983, $A$2:$A6982+$C$2:$C6982)), "")*24*60, "")</f>
        <v>0</v>
      </c>
      <c r="J6983" s="24" t="str" cm="1">
        <f t="array" ref="J6983">IFERROR(IF($B6983=J$1, ($A6983+$C6983) - MAX(IF($B$2:$B6982=$B6983, $A$2:$A6982+$C$2:$C6982)), "")*24*60, "")</f>
        <v/>
      </c>
      <c r="K6983" s="24" t="str" cm="1">
        <f t="array" ref="K6983">IFERROR(IF($B6983=K$1, ($A6983+$C6983) - MAX(IF($B$2:$B6982=$B6983, $A$2:$A6982+$C$2:$C6982)), "")*24*60, "")</f>
        <v/>
      </c>
      <c r="L6983" s="24" t="str" cm="1">
        <f t="array" ref="L6983">IFERROR(IF($B6983=L$1, ($A6983+$C6983) - MAX(IF($B$2:$B6982=$B6983, $A$2:$A6982+$C$2:$C6982)), "")*24*60, "")</f>
        <v/>
      </c>
      <c r="M6983" s="24" t="str" cm="1">
        <f t="array" ref="M6983">IFERROR(IF($B6983=M$1, ($A6983+$C6983) - MAX(IF($B$2:$B6982=$B6983, $A$2:$A6982+$C$2:$C6982)), "")*24*60, "")</f>
        <v/>
      </c>
      <c r="N6983" s="24" t="str" cm="1">
        <f t="array" ref="N6983">IFERROR(IF($B6983=N$1, ($A6983+$C6983) - MAX(IF($B$2:$B6982=$B6983, $A$2:$A6982+$C$2:$C6982)), "")*24*60, "")</f>
        <v/>
      </c>
      <c r="O6983" s="24" t="str" cm="1">
        <f t="array" ref="O6983">IFERROR(IF($B6983=O$1, ($A6983+$C6983) - MAX(IF($B$2:$B6982=$B6983, $A$2:$A6982+$C$2:$C6982)), "")*24*60, "")</f>
        <v/>
      </c>
      <c r="P6983" s="24" t="str" cm="1">
        <f t="array" ref="P6983">IFERROR(IF($B6983=P$1, ($A6983+$C6983) - MAX(IF($B$2:$B6982=$B6983, $A$2:$A6982+$C$2:$C6982)), "")*24*60, "")</f>
        <v/>
      </c>
      <c r="Q6983" s="24" t="str" cm="1">
        <f t="array" ref="Q6983">IFERROR(IF($B6983=Q$1, ($A6983+$C6983) - MAX(IF($B$2:$B6982=$B6983, $A$2:$A6982+$C$2:$C6982)), "")*24*60, "")</f>
        <v/>
      </c>
      <c r="R6983" s="24" t="str" cm="1">
        <f t="array" ref="R6983">IFERROR(IF($B6983=R$1, ($A6983+$C6983) - MAX(IF($B$2:$B6982=$B6983, $A$2:$A6982+$C$2:$C6982)), "")*24*60, "")</f>
        <v/>
      </c>
      <c r="S6983" s="24" t="str" cm="1">
        <f t="array" ref="S6983">IFERROR(IF($B6983=S$1, ($A6983+$C6983) - MAX(IF($B$2:$B6982=$B6983, $A$2:$A6982+$C$2:$C6982)), "")*24*60, "")</f>
        <v/>
      </c>
    </row>
    <row r="6984" spans="1:19" x14ac:dyDescent="0.2">
      <c r="A6984" s="12">
        <f t="shared" ref="A6984:C6984" si="1373">A6983</f>
        <v>45993</v>
      </c>
      <c r="B6984" s="5" t="str">
        <f t="shared" si="1373"/>
        <v>Northern Cardinal</v>
      </c>
      <c r="C6984" s="6">
        <f t="shared" si="1373"/>
        <v>0.28125</v>
      </c>
      <c r="D6984" s="5"/>
      <c r="E6984" s="5"/>
      <c r="F6984" s="5" t="s">
        <v>22</v>
      </c>
      <c r="G6984" s="15" t="s">
        <v>22</v>
      </c>
      <c r="H6984" s="24">
        <f t="shared" si="1309"/>
        <v>0</v>
      </c>
      <c r="I6984" s="24" cm="1">
        <f t="array" ref="I6984">IFERROR(IF($B6984=I$1, ($A6984+$C6984) - MAX(IF($B$2:$B6983=$B6984, $A$2:$A6983+$C$2:$C6983)), "")*24*60, "")</f>
        <v>0</v>
      </c>
      <c r="J6984" s="24" t="str" cm="1">
        <f t="array" ref="J6984">IFERROR(IF($B6984=J$1, ($A6984+$C6984) - MAX(IF($B$2:$B6983=$B6984, $A$2:$A6983+$C$2:$C6983)), "")*24*60, "")</f>
        <v/>
      </c>
      <c r="K6984" s="24" t="str" cm="1">
        <f t="array" ref="K6984">IFERROR(IF($B6984=K$1, ($A6984+$C6984) - MAX(IF($B$2:$B6983=$B6984, $A$2:$A6983+$C$2:$C6983)), "")*24*60, "")</f>
        <v/>
      </c>
      <c r="L6984" s="24" t="str" cm="1">
        <f t="array" ref="L6984">IFERROR(IF($B6984=L$1, ($A6984+$C6984) - MAX(IF($B$2:$B6983=$B6984, $A$2:$A6983+$C$2:$C6983)), "")*24*60, "")</f>
        <v/>
      </c>
      <c r="M6984" s="24" t="str" cm="1">
        <f t="array" ref="M6984">IFERROR(IF($B6984=M$1, ($A6984+$C6984) - MAX(IF($B$2:$B6983=$B6984, $A$2:$A6983+$C$2:$C6983)), "")*24*60, "")</f>
        <v/>
      </c>
      <c r="N6984" s="24" t="str" cm="1">
        <f t="array" ref="N6984">IFERROR(IF($B6984=N$1, ($A6984+$C6984) - MAX(IF($B$2:$B6983=$B6984, $A$2:$A6983+$C$2:$C6983)), "")*24*60, "")</f>
        <v/>
      </c>
      <c r="O6984" s="24" t="str" cm="1">
        <f t="array" ref="O6984">IFERROR(IF($B6984=O$1, ($A6984+$C6984) - MAX(IF($B$2:$B6983=$B6984, $A$2:$A6983+$C$2:$C6983)), "")*24*60, "")</f>
        <v/>
      </c>
      <c r="P6984" s="24" t="str" cm="1">
        <f t="array" ref="P6984">IFERROR(IF($B6984=P$1, ($A6984+$C6984) - MAX(IF($B$2:$B6983=$B6984, $A$2:$A6983+$C$2:$C6983)), "")*24*60, "")</f>
        <v/>
      </c>
      <c r="Q6984" s="24" t="str" cm="1">
        <f t="array" ref="Q6984">IFERROR(IF($B6984=Q$1, ($A6984+$C6984) - MAX(IF($B$2:$B6983=$B6984, $A$2:$A6983+$C$2:$C6983)), "")*24*60, "")</f>
        <v/>
      </c>
      <c r="R6984" s="24" t="str" cm="1">
        <f t="array" ref="R6984">IFERROR(IF($B6984=R$1, ($A6984+$C6984) - MAX(IF($B$2:$B6983=$B6984, $A$2:$A6983+$C$2:$C6983)), "")*24*60, "")</f>
        <v/>
      </c>
      <c r="S6984" s="24" t="str" cm="1">
        <f t="array" ref="S6984">IFERROR(IF($B6984=S$1, ($A6984+$C6984) - MAX(IF($B$2:$B6983=$B6984, $A$2:$A6983+$C$2:$C6983)), "")*24*60, "")</f>
        <v/>
      </c>
    </row>
    <row r="6985" spans="1:19" x14ac:dyDescent="0.2">
      <c r="A6985" s="12">
        <f t="shared" ref="A6985:C6985" si="1374">A6984</f>
        <v>45993</v>
      </c>
      <c r="B6985" s="5" t="str">
        <f t="shared" si="1374"/>
        <v>Northern Cardinal</v>
      </c>
      <c r="C6985" s="6">
        <f t="shared" si="1374"/>
        <v>0.28125</v>
      </c>
      <c r="D6985" s="5"/>
      <c r="E6985" s="5"/>
      <c r="F6985" s="5" t="s">
        <v>22</v>
      </c>
      <c r="G6985" s="15" t="s">
        <v>22</v>
      </c>
      <c r="H6985" s="24">
        <f t="shared" si="1309"/>
        <v>0</v>
      </c>
      <c r="I6985" s="24" cm="1">
        <f t="array" ref="I6985">IFERROR(IF($B6985=I$1, ($A6985+$C6985) - MAX(IF($B$2:$B6984=$B6985, $A$2:$A6984+$C$2:$C6984)), "")*24*60, "")</f>
        <v>0</v>
      </c>
      <c r="J6985" s="24" t="str" cm="1">
        <f t="array" ref="J6985">IFERROR(IF($B6985=J$1, ($A6985+$C6985) - MAX(IF($B$2:$B6984=$B6985, $A$2:$A6984+$C$2:$C6984)), "")*24*60, "")</f>
        <v/>
      </c>
      <c r="K6985" s="24" t="str" cm="1">
        <f t="array" ref="K6985">IFERROR(IF($B6985=K$1, ($A6985+$C6985) - MAX(IF($B$2:$B6984=$B6985, $A$2:$A6984+$C$2:$C6984)), "")*24*60, "")</f>
        <v/>
      </c>
      <c r="L6985" s="24" t="str" cm="1">
        <f t="array" ref="L6985">IFERROR(IF($B6985=L$1, ($A6985+$C6985) - MAX(IF($B$2:$B6984=$B6985, $A$2:$A6984+$C$2:$C6984)), "")*24*60, "")</f>
        <v/>
      </c>
      <c r="M6985" s="24" t="str" cm="1">
        <f t="array" ref="M6985">IFERROR(IF($B6985=M$1, ($A6985+$C6985) - MAX(IF($B$2:$B6984=$B6985, $A$2:$A6984+$C$2:$C6984)), "")*24*60, "")</f>
        <v/>
      </c>
      <c r="N6985" s="24" t="str" cm="1">
        <f t="array" ref="N6985">IFERROR(IF($B6985=N$1, ($A6985+$C6985) - MAX(IF($B$2:$B6984=$B6985, $A$2:$A6984+$C$2:$C6984)), "")*24*60, "")</f>
        <v/>
      </c>
      <c r="O6985" s="24" t="str" cm="1">
        <f t="array" ref="O6985">IFERROR(IF($B6985=O$1, ($A6985+$C6985) - MAX(IF($B$2:$B6984=$B6985, $A$2:$A6984+$C$2:$C6984)), "")*24*60, "")</f>
        <v/>
      </c>
      <c r="P6985" s="24" t="str" cm="1">
        <f t="array" ref="P6985">IFERROR(IF($B6985=P$1, ($A6985+$C6985) - MAX(IF($B$2:$B6984=$B6985, $A$2:$A6984+$C$2:$C6984)), "")*24*60, "")</f>
        <v/>
      </c>
      <c r="Q6985" s="24" t="str" cm="1">
        <f t="array" ref="Q6985">IFERROR(IF($B6985=Q$1, ($A6985+$C6985) - MAX(IF($B$2:$B6984=$B6985, $A$2:$A6984+$C$2:$C6984)), "")*24*60, "")</f>
        <v/>
      </c>
      <c r="R6985" s="24" t="str" cm="1">
        <f t="array" ref="R6985">IFERROR(IF($B6985=R$1, ($A6985+$C6985) - MAX(IF($B$2:$B6984=$B6985, $A$2:$A6984+$C$2:$C6984)), "")*24*60, "")</f>
        <v/>
      </c>
      <c r="S6985" s="24" t="str" cm="1">
        <f t="array" ref="S6985">IFERROR(IF($B6985=S$1, ($A6985+$C6985) - MAX(IF($B$2:$B6984=$B6985, $A$2:$A6984+$C$2:$C6984)), "")*24*60, "")</f>
        <v/>
      </c>
    </row>
    <row r="6986" spans="1:19" x14ac:dyDescent="0.2">
      <c r="A6986" s="12">
        <f t="shared" ref="A6986:C6986" si="1375">A6985</f>
        <v>45993</v>
      </c>
      <c r="B6986" s="5" t="str">
        <f t="shared" si="1375"/>
        <v>Northern Cardinal</v>
      </c>
      <c r="C6986" s="6">
        <f t="shared" si="1375"/>
        <v>0.28125</v>
      </c>
      <c r="D6986" s="5"/>
      <c r="E6986" s="5"/>
      <c r="F6986" s="5" t="s">
        <v>22</v>
      </c>
      <c r="G6986" s="15" t="s">
        <v>22</v>
      </c>
      <c r="H6986" s="24">
        <f t="shared" si="1309"/>
        <v>0</v>
      </c>
      <c r="I6986" s="24" cm="1">
        <f t="array" ref="I6986">IFERROR(IF($B6986=I$1, ($A6986+$C6986) - MAX(IF($B$2:$B6985=$B6986, $A$2:$A6985+$C$2:$C6985)), "")*24*60, "")</f>
        <v>0</v>
      </c>
      <c r="J6986" s="24" t="str" cm="1">
        <f t="array" ref="J6986">IFERROR(IF($B6986=J$1, ($A6986+$C6986) - MAX(IF($B$2:$B6985=$B6986, $A$2:$A6985+$C$2:$C6985)), "")*24*60, "")</f>
        <v/>
      </c>
      <c r="K6986" s="24" t="str" cm="1">
        <f t="array" ref="K6986">IFERROR(IF($B6986=K$1, ($A6986+$C6986) - MAX(IF($B$2:$B6985=$B6986, $A$2:$A6985+$C$2:$C6985)), "")*24*60, "")</f>
        <v/>
      </c>
      <c r="L6986" s="24" t="str" cm="1">
        <f t="array" ref="L6986">IFERROR(IF($B6986=L$1, ($A6986+$C6986) - MAX(IF($B$2:$B6985=$B6986, $A$2:$A6985+$C$2:$C6985)), "")*24*60, "")</f>
        <v/>
      </c>
      <c r="M6986" s="24" t="str" cm="1">
        <f t="array" ref="M6986">IFERROR(IF($B6986=M$1, ($A6986+$C6986) - MAX(IF($B$2:$B6985=$B6986, $A$2:$A6985+$C$2:$C6985)), "")*24*60, "")</f>
        <v/>
      </c>
      <c r="N6986" s="24" t="str" cm="1">
        <f t="array" ref="N6986">IFERROR(IF($B6986=N$1, ($A6986+$C6986) - MAX(IF($B$2:$B6985=$B6986, $A$2:$A6985+$C$2:$C6985)), "")*24*60, "")</f>
        <v/>
      </c>
      <c r="O6986" s="24" t="str" cm="1">
        <f t="array" ref="O6986">IFERROR(IF($B6986=O$1, ($A6986+$C6986) - MAX(IF($B$2:$B6985=$B6986, $A$2:$A6985+$C$2:$C6985)), "")*24*60, "")</f>
        <v/>
      </c>
      <c r="P6986" s="24" t="str" cm="1">
        <f t="array" ref="P6986">IFERROR(IF($B6986=P$1, ($A6986+$C6986) - MAX(IF($B$2:$B6985=$B6986, $A$2:$A6985+$C$2:$C6985)), "")*24*60, "")</f>
        <v/>
      </c>
      <c r="Q6986" s="24" t="str" cm="1">
        <f t="array" ref="Q6986">IFERROR(IF($B6986=Q$1, ($A6986+$C6986) - MAX(IF($B$2:$B6985=$B6986, $A$2:$A6985+$C$2:$C6985)), "")*24*60, "")</f>
        <v/>
      </c>
      <c r="R6986" s="24" t="str" cm="1">
        <f t="array" ref="R6986">IFERROR(IF($B6986=R$1, ($A6986+$C6986) - MAX(IF($B$2:$B6985=$B6986, $A$2:$A6985+$C$2:$C6985)), "")*24*60, "")</f>
        <v/>
      </c>
      <c r="S6986" s="24" t="str" cm="1">
        <f t="array" ref="S6986">IFERROR(IF($B6986=S$1, ($A6986+$C6986) - MAX(IF($B$2:$B6985=$B6986, $A$2:$A6985+$C$2:$C6985)), "")*24*60, "")</f>
        <v/>
      </c>
    </row>
    <row r="6987" spans="1:19" x14ac:dyDescent="0.2">
      <c r="A6987" s="12">
        <f t="shared" ref="A6987:C6987" si="1376">A6986</f>
        <v>45993</v>
      </c>
      <c r="B6987" s="5" t="str">
        <f t="shared" si="1376"/>
        <v>Northern Cardinal</v>
      </c>
      <c r="C6987" s="6">
        <f t="shared" si="1376"/>
        <v>0.28125</v>
      </c>
      <c r="D6987" s="5"/>
      <c r="E6987" s="5"/>
      <c r="F6987" s="5" t="s">
        <v>22</v>
      </c>
      <c r="G6987" s="15" t="s">
        <v>22</v>
      </c>
      <c r="H6987" s="24">
        <f t="shared" si="1309"/>
        <v>0</v>
      </c>
      <c r="I6987" s="24" cm="1">
        <f t="array" ref="I6987">IFERROR(IF($B6987=I$1, ($A6987+$C6987) - MAX(IF($B$2:$B6986=$B6987, $A$2:$A6986+$C$2:$C6986)), "")*24*60, "")</f>
        <v>0</v>
      </c>
      <c r="J6987" s="24" t="str" cm="1">
        <f t="array" ref="J6987">IFERROR(IF($B6987=J$1, ($A6987+$C6987) - MAX(IF($B$2:$B6986=$B6987, $A$2:$A6986+$C$2:$C6986)), "")*24*60, "")</f>
        <v/>
      </c>
      <c r="K6987" s="24" t="str" cm="1">
        <f t="array" ref="K6987">IFERROR(IF($B6987=K$1, ($A6987+$C6987) - MAX(IF($B$2:$B6986=$B6987, $A$2:$A6986+$C$2:$C6986)), "")*24*60, "")</f>
        <v/>
      </c>
      <c r="L6987" s="24" t="str" cm="1">
        <f t="array" ref="L6987">IFERROR(IF($B6987=L$1, ($A6987+$C6987) - MAX(IF($B$2:$B6986=$B6987, $A$2:$A6986+$C$2:$C6986)), "")*24*60, "")</f>
        <v/>
      </c>
      <c r="M6987" s="24" t="str" cm="1">
        <f t="array" ref="M6987">IFERROR(IF($B6987=M$1, ($A6987+$C6987) - MAX(IF($B$2:$B6986=$B6987, $A$2:$A6986+$C$2:$C6986)), "")*24*60, "")</f>
        <v/>
      </c>
      <c r="N6987" s="24" t="str" cm="1">
        <f t="array" ref="N6987">IFERROR(IF($B6987=N$1, ($A6987+$C6987) - MAX(IF($B$2:$B6986=$B6987, $A$2:$A6986+$C$2:$C6986)), "")*24*60, "")</f>
        <v/>
      </c>
      <c r="O6987" s="24" t="str" cm="1">
        <f t="array" ref="O6987">IFERROR(IF($B6987=O$1, ($A6987+$C6987) - MAX(IF($B$2:$B6986=$B6987, $A$2:$A6986+$C$2:$C6986)), "")*24*60, "")</f>
        <v/>
      </c>
      <c r="P6987" s="24" t="str" cm="1">
        <f t="array" ref="P6987">IFERROR(IF($B6987=P$1, ($A6987+$C6987) - MAX(IF($B$2:$B6986=$B6987, $A$2:$A6986+$C$2:$C6986)), "")*24*60, "")</f>
        <v/>
      </c>
      <c r="Q6987" s="24" t="str" cm="1">
        <f t="array" ref="Q6987">IFERROR(IF($B6987=Q$1, ($A6987+$C6987) - MAX(IF($B$2:$B6986=$B6987, $A$2:$A6986+$C$2:$C6986)), "")*24*60, "")</f>
        <v/>
      </c>
      <c r="R6987" s="24" t="str" cm="1">
        <f t="array" ref="R6987">IFERROR(IF($B6987=R$1, ($A6987+$C6987) - MAX(IF($B$2:$B6986=$B6987, $A$2:$A6986+$C$2:$C6986)), "")*24*60, "")</f>
        <v/>
      </c>
      <c r="S6987" s="24" t="str" cm="1">
        <f t="array" ref="S6987">IFERROR(IF($B6987=S$1, ($A6987+$C6987) - MAX(IF($B$2:$B6986=$B6987, $A$2:$A6986+$C$2:$C6986)), "")*24*60, "")</f>
        <v/>
      </c>
    </row>
    <row r="6988" spans="1:19" x14ac:dyDescent="0.2">
      <c r="A6988" s="12">
        <f t="shared" ref="A6988:C6988" si="1377">A6987</f>
        <v>45993</v>
      </c>
      <c r="B6988" s="5" t="str">
        <f t="shared" si="1377"/>
        <v>Northern Cardinal</v>
      </c>
      <c r="C6988" s="6">
        <f t="shared" si="1377"/>
        <v>0.28125</v>
      </c>
      <c r="D6988" s="5"/>
      <c r="E6988" s="5"/>
      <c r="F6988" s="5" t="s">
        <v>22</v>
      </c>
      <c r="G6988" s="15" t="s">
        <v>22</v>
      </c>
      <c r="H6988" s="24">
        <f t="shared" si="1309"/>
        <v>0</v>
      </c>
      <c r="I6988" s="24" cm="1">
        <f t="array" ref="I6988">IFERROR(IF($B6988=I$1, ($A6988+$C6988) - MAX(IF($B$2:$B6987=$B6988, $A$2:$A6987+$C$2:$C6987)), "")*24*60, "")</f>
        <v>0</v>
      </c>
      <c r="J6988" s="24" t="str" cm="1">
        <f t="array" ref="J6988">IFERROR(IF($B6988=J$1, ($A6988+$C6988) - MAX(IF($B$2:$B6987=$B6988, $A$2:$A6987+$C$2:$C6987)), "")*24*60, "")</f>
        <v/>
      </c>
      <c r="K6988" s="24" t="str" cm="1">
        <f t="array" ref="K6988">IFERROR(IF($B6988=K$1, ($A6988+$C6988) - MAX(IF($B$2:$B6987=$B6988, $A$2:$A6987+$C$2:$C6987)), "")*24*60, "")</f>
        <v/>
      </c>
      <c r="L6988" s="24" t="str" cm="1">
        <f t="array" ref="L6988">IFERROR(IF($B6988=L$1, ($A6988+$C6988) - MAX(IF($B$2:$B6987=$B6988, $A$2:$A6987+$C$2:$C6987)), "")*24*60, "")</f>
        <v/>
      </c>
      <c r="M6988" s="24" t="str" cm="1">
        <f t="array" ref="M6988">IFERROR(IF($B6988=M$1, ($A6988+$C6988) - MAX(IF($B$2:$B6987=$B6988, $A$2:$A6987+$C$2:$C6987)), "")*24*60, "")</f>
        <v/>
      </c>
      <c r="N6988" s="24" t="str" cm="1">
        <f t="array" ref="N6988">IFERROR(IF($B6988=N$1, ($A6988+$C6988) - MAX(IF($B$2:$B6987=$B6988, $A$2:$A6987+$C$2:$C6987)), "")*24*60, "")</f>
        <v/>
      </c>
      <c r="O6988" s="24" t="str" cm="1">
        <f t="array" ref="O6988">IFERROR(IF($B6988=O$1, ($A6988+$C6988) - MAX(IF($B$2:$B6987=$B6988, $A$2:$A6987+$C$2:$C6987)), "")*24*60, "")</f>
        <v/>
      </c>
      <c r="P6988" s="24" t="str" cm="1">
        <f t="array" ref="P6988">IFERROR(IF($B6988=P$1, ($A6988+$C6988) - MAX(IF($B$2:$B6987=$B6988, $A$2:$A6987+$C$2:$C6987)), "")*24*60, "")</f>
        <v/>
      </c>
      <c r="Q6988" s="24" t="str" cm="1">
        <f t="array" ref="Q6988">IFERROR(IF($B6988=Q$1, ($A6988+$C6988) - MAX(IF($B$2:$B6987=$B6988, $A$2:$A6987+$C$2:$C6987)), "")*24*60, "")</f>
        <v/>
      </c>
      <c r="R6988" s="24" t="str" cm="1">
        <f t="array" ref="R6988">IFERROR(IF($B6988=R$1, ($A6988+$C6988) - MAX(IF($B$2:$B6987=$B6988, $A$2:$A6987+$C$2:$C6987)), "")*24*60, "")</f>
        <v/>
      </c>
      <c r="S6988" s="24" t="str" cm="1">
        <f t="array" ref="S6988">IFERROR(IF($B6988=S$1, ($A6988+$C6988) - MAX(IF($B$2:$B6987=$B6988, $A$2:$A6987+$C$2:$C6987)), "")*24*60, "")</f>
        <v/>
      </c>
    </row>
    <row r="6989" spans="1:19" x14ac:dyDescent="0.2">
      <c r="A6989" s="12">
        <f t="shared" ref="A6989:C6989" si="1378">A6988</f>
        <v>45993</v>
      </c>
      <c r="B6989" s="5" t="str">
        <f t="shared" si="1378"/>
        <v>Northern Cardinal</v>
      </c>
      <c r="C6989" s="6">
        <f t="shared" si="1378"/>
        <v>0.28125</v>
      </c>
      <c r="D6989" s="5"/>
      <c r="E6989" s="5"/>
      <c r="F6989" s="5" t="s">
        <v>22</v>
      </c>
      <c r="G6989" s="15" t="s">
        <v>22</v>
      </c>
      <c r="H6989" s="24">
        <f t="shared" si="1309"/>
        <v>0</v>
      </c>
      <c r="I6989" s="24" cm="1">
        <f t="array" ref="I6989">IFERROR(IF($B6989=I$1, ($A6989+$C6989) - MAX(IF($B$2:$B6988=$B6989, $A$2:$A6988+$C$2:$C6988)), "")*24*60, "")</f>
        <v>0</v>
      </c>
      <c r="J6989" s="24" t="str" cm="1">
        <f t="array" ref="J6989">IFERROR(IF($B6989=J$1, ($A6989+$C6989) - MAX(IF($B$2:$B6988=$B6989, $A$2:$A6988+$C$2:$C6988)), "")*24*60, "")</f>
        <v/>
      </c>
      <c r="K6989" s="24" t="str" cm="1">
        <f t="array" ref="K6989">IFERROR(IF($B6989=K$1, ($A6989+$C6989) - MAX(IF($B$2:$B6988=$B6989, $A$2:$A6988+$C$2:$C6988)), "")*24*60, "")</f>
        <v/>
      </c>
      <c r="L6989" s="24" t="str" cm="1">
        <f t="array" ref="L6989">IFERROR(IF($B6989=L$1, ($A6989+$C6989) - MAX(IF($B$2:$B6988=$B6989, $A$2:$A6988+$C$2:$C6988)), "")*24*60, "")</f>
        <v/>
      </c>
      <c r="M6989" s="24" t="str" cm="1">
        <f t="array" ref="M6989">IFERROR(IF($B6989=M$1, ($A6989+$C6989) - MAX(IF($B$2:$B6988=$B6989, $A$2:$A6988+$C$2:$C6988)), "")*24*60, "")</f>
        <v/>
      </c>
      <c r="N6989" s="24" t="str" cm="1">
        <f t="array" ref="N6989">IFERROR(IF($B6989=N$1, ($A6989+$C6989) - MAX(IF($B$2:$B6988=$B6989, $A$2:$A6988+$C$2:$C6988)), "")*24*60, "")</f>
        <v/>
      </c>
      <c r="O6989" s="24" t="str" cm="1">
        <f t="array" ref="O6989">IFERROR(IF($B6989=O$1, ($A6989+$C6989) - MAX(IF($B$2:$B6988=$B6989, $A$2:$A6988+$C$2:$C6988)), "")*24*60, "")</f>
        <v/>
      </c>
      <c r="P6989" s="24" t="str" cm="1">
        <f t="array" ref="P6989">IFERROR(IF($B6989=P$1, ($A6989+$C6989) - MAX(IF($B$2:$B6988=$B6989, $A$2:$A6988+$C$2:$C6988)), "")*24*60, "")</f>
        <v/>
      </c>
      <c r="Q6989" s="24" t="str" cm="1">
        <f t="array" ref="Q6989">IFERROR(IF($B6989=Q$1, ($A6989+$C6989) - MAX(IF($B$2:$B6988=$B6989, $A$2:$A6988+$C$2:$C6988)), "")*24*60, "")</f>
        <v/>
      </c>
      <c r="R6989" s="24" t="str" cm="1">
        <f t="array" ref="R6989">IFERROR(IF($B6989=R$1, ($A6989+$C6989) - MAX(IF($B$2:$B6988=$B6989, $A$2:$A6988+$C$2:$C6988)), "")*24*60, "")</f>
        <v/>
      </c>
      <c r="S6989" s="24" t="str" cm="1">
        <f t="array" ref="S6989">IFERROR(IF($B6989=S$1, ($A6989+$C6989) - MAX(IF($B$2:$B6988=$B6989, $A$2:$A6988+$C$2:$C6988)), "")*24*60, "")</f>
        <v/>
      </c>
    </row>
    <row r="6990" spans="1:19" x14ac:dyDescent="0.2">
      <c r="A6990" s="12">
        <f t="shared" ref="A6990:C6990" si="1379">A6989</f>
        <v>45993</v>
      </c>
      <c r="B6990" s="5" t="str">
        <f t="shared" si="1379"/>
        <v>Northern Cardinal</v>
      </c>
      <c r="C6990" s="6">
        <f t="shared" si="1379"/>
        <v>0.28125</v>
      </c>
      <c r="D6990" s="5"/>
      <c r="E6990" s="5"/>
      <c r="F6990" s="5" t="s">
        <v>22</v>
      </c>
      <c r="G6990" s="15" t="s">
        <v>22</v>
      </c>
      <c r="H6990" s="24">
        <f t="shared" si="1309"/>
        <v>0</v>
      </c>
      <c r="I6990" s="24" cm="1">
        <f t="array" ref="I6990">IFERROR(IF($B6990=I$1, ($A6990+$C6990) - MAX(IF($B$2:$B6989=$B6990, $A$2:$A6989+$C$2:$C6989)), "")*24*60, "")</f>
        <v>0</v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80">A6990</f>
        <v>45993</v>
      </c>
      <c r="B6991" s="5" t="str">
        <f t="shared" si="1380"/>
        <v>Northern Cardinal</v>
      </c>
      <c r="C6991" s="6">
        <f t="shared" si="1380"/>
        <v>0.28125</v>
      </c>
      <c r="D6991" s="5"/>
      <c r="E6991" s="5"/>
      <c r="F6991" s="5" t="s">
        <v>22</v>
      </c>
      <c r="G6991" s="15" t="s">
        <v>22</v>
      </c>
      <c r="H6991" s="24">
        <f t="shared" si="1309"/>
        <v>0</v>
      </c>
      <c r="I6991" s="24" cm="1">
        <f t="array" ref="I6991">IFERROR(IF($B6991=I$1, ($A6991+$C6991) - MAX(IF($B$2:$B6990=$B6991, $A$2:$A6990+$C$2:$C6990)), "")*24*60, "")</f>
        <v>0</v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t="str" cm="1">
        <f t="array" ref="O6991">IFERROR(IF($B6991=O$1, ($A6991+$C6991) - MAX(IF($B$2:$B6990=$B6991, $A$2:$A6990+$C$2:$C6990)), "")*24*60, "")</f>
        <v/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81">A6991</f>
        <v>45993</v>
      </c>
      <c r="B6992" s="5" t="str">
        <f t="shared" si="1381"/>
        <v>Northern Cardinal</v>
      </c>
      <c r="C6992" s="6">
        <f t="shared" si="1381"/>
        <v>0.28125</v>
      </c>
      <c r="D6992" s="5"/>
      <c r="E6992" s="5"/>
      <c r="F6992" s="5" t="s">
        <v>22</v>
      </c>
      <c r="G6992" s="15" t="s">
        <v>22</v>
      </c>
      <c r="H6992" s="24">
        <f t="shared" si="1309"/>
        <v>0</v>
      </c>
      <c r="I6992" s="24" cm="1">
        <f t="array" ref="I6992">IFERROR(IF($B6992=I$1, ($A6992+$C6992) - MAX(IF($B$2:$B6991=$B6992, $A$2:$A6991+$C$2:$C6991)), "")*24*60, "")</f>
        <v>0</v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t="str" cm="1">
        <f t="array" ref="O6992">IFERROR(IF($B6992=O$1, ($A6992+$C6992) - MAX(IF($B$2:$B6991=$B6992, $A$2:$A6991+$C$2:$C6991)), "")*24*60, "")</f>
        <v/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82">A6992</f>
        <v>45993</v>
      </c>
      <c r="B6993" s="5" t="str">
        <f t="shared" si="1382"/>
        <v>Northern Cardinal</v>
      </c>
      <c r="C6993" s="6">
        <f t="shared" si="1382"/>
        <v>0.28125</v>
      </c>
      <c r="D6993" s="5"/>
      <c r="E6993" s="5"/>
      <c r="F6993" s="5" t="s">
        <v>22</v>
      </c>
      <c r="G6993" s="15" t="s">
        <v>22</v>
      </c>
      <c r="H6993" s="24">
        <f t="shared" si="1309"/>
        <v>0</v>
      </c>
      <c r="I6993" s="24" cm="1">
        <f t="array" ref="I6993">IFERROR(IF($B6993=I$1, ($A6993+$C6993) - MAX(IF($B$2:$B6992=$B6993, $A$2:$A6992+$C$2:$C6992)), "")*24*60, "")</f>
        <v>0</v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t="str" cm="1">
        <f t="array" ref="O6993">IFERROR(IF($B6993=O$1, ($A6993+$C6993) - MAX(IF($B$2:$B6992=$B6993, $A$2:$A6992+$C$2:$C6992)), "")*24*60, "")</f>
        <v/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83">A6993</f>
        <v>45993</v>
      </c>
      <c r="B6994" s="5" t="str">
        <f t="shared" si="1383"/>
        <v>Northern Cardinal</v>
      </c>
      <c r="C6994" s="6">
        <f t="shared" si="1383"/>
        <v>0.28125</v>
      </c>
      <c r="D6994" s="5"/>
      <c r="E6994" s="5"/>
      <c r="F6994" s="5" t="s">
        <v>22</v>
      </c>
      <c r="G6994" s="15" t="s">
        <v>22</v>
      </c>
      <c r="H6994" s="24">
        <f t="shared" si="1309"/>
        <v>0</v>
      </c>
      <c r="I6994" s="24" cm="1">
        <f t="array" ref="I6994">IFERROR(IF($B6994=I$1, ($A6994+$C6994) - MAX(IF($B$2:$B6993=$B6994, $A$2:$A6993+$C$2:$C6993)), "")*24*60, "")</f>
        <v>0</v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t="str" cm="1">
        <f t="array" ref="O6994">IFERROR(IF($B6994=O$1, ($A6994+$C6994) - MAX(IF($B$2:$B6993=$B6994, $A$2:$A6993+$C$2:$C6993)), "")*24*60, "")</f>
        <v/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84">A6994</f>
        <v>45993</v>
      </c>
      <c r="B6995" s="5" t="str">
        <f t="shared" si="1384"/>
        <v>Northern Cardinal</v>
      </c>
      <c r="C6995" s="6">
        <f t="shared" si="1384"/>
        <v>0.28125</v>
      </c>
      <c r="D6995" s="5"/>
      <c r="E6995" s="5"/>
      <c r="F6995" s="5" t="s">
        <v>22</v>
      </c>
      <c r="G6995" s="15" t="s">
        <v>22</v>
      </c>
      <c r="H6995" s="24">
        <f t="shared" si="1309"/>
        <v>0</v>
      </c>
      <c r="I6995" s="24" cm="1">
        <f t="array" ref="I6995">IFERROR(IF($B6995=I$1, ($A6995+$C6995) - MAX(IF($B$2:$B6994=$B6995, $A$2:$A6994+$C$2:$C6994)), "")*24*60, "")</f>
        <v>0</v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t="str" cm="1">
        <f t="array" ref="O6995">IFERROR(IF($B6995=O$1, ($A6995+$C6995) - MAX(IF($B$2:$B6994=$B6995, $A$2:$A6994+$C$2:$C6994)), "")*24*60, "")</f>
        <v/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85">A6995</f>
        <v>45993</v>
      </c>
      <c r="B6996" s="5" t="str">
        <f t="shared" si="1385"/>
        <v>Northern Cardinal</v>
      </c>
      <c r="C6996" s="6">
        <f t="shared" si="1385"/>
        <v>0.28125</v>
      </c>
      <c r="D6996" s="5"/>
      <c r="E6996" s="5"/>
      <c r="F6996" s="5" t="s">
        <v>22</v>
      </c>
      <c r="G6996" s="15" t="s">
        <v>22</v>
      </c>
      <c r="H6996" s="24">
        <f t="shared" si="1309"/>
        <v>0</v>
      </c>
      <c r="I6996" s="24" cm="1">
        <f t="array" ref="I6996">IFERROR(IF($B6996=I$1, ($A6996+$C6996) - MAX(IF($B$2:$B6995=$B6996, $A$2:$A6995+$C$2:$C6995)), "")*24*60, "")</f>
        <v>0</v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t="str" cm="1">
        <f t="array" ref="O6996">IFERROR(IF($B6996=O$1, ($A6996+$C6996) - MAX(IF($B$2:$B6995=$B6996, $A$2:$A6995+$C$2:$C6995)), "")*24*60, "")</f>
        <v/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386">A6996</f>
        <v>45993</v>
      </c>
      <c r="B6997" s="5" t="str">
        <f t="shared" si="1386"/>
        <v>Northern Cardinal</v>
      </c>
      <c r="C6997" s="6">
        <f t="shared" si="1386"/>
        <v>0.28125</v>
      </c>
      <c r="D6997" s="5"/>
      <c r="E6997" s="5"/>
      <c r="F6997" s="5" t="s">
        <v>22</v>
      </c>
      <c r="G6997" s="15" t="s">
        <v>22</v>
      </c>
      <c r="H6997" s="24">
        <f t="shared" si="1309"/>
        <v>0</v>
      </c>
      <c r="I6997" s="24" cm="1">
        <f t="array" ref="I6997">IFERROR(IF($B6997=I$1, ($A6997+$C6997) - MAX(IF($B$2:$B6996=$B6997, $A$2:$A6996+$C$2:$C6996)), "")*24*60, "")</f>
        <v>0</v>
      </c>
      <c r="J6997" s="24" t="str" cm="1">
        <f t="array" ref="J6997">IFERROR(IF($B6997=J$1, ($A6997+$C6997) - MAX(IF($B$2:$B6996=$B6997, $A$2:$A6996+$C$2:$C6996)), "")*24*60, "")</f>
        <v/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t="str" cm="1">
        <f t="array" ref="O6997">IFERROR(IF($B6997=O$1, ($A6997+$C6997) - MAX(IF($B$2:$B6996=$B6997, $A$2:$A6996+$C$2:$C6996)), "")*24*60, "")</f>
        <v/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387">A6997</f>
        <v>45993</v>
      </c>
      <c r="B6998" s="5" t="str">
        <f t="shared" si="1387"/>
        <v>Northern Cardinal</v>
      </c>
      <c r="C6998" s="6">
        <f t="shared" si="1387"/>
        <v>0.28125</v>
      </c>
      <c r="D6998" s="5"/>
      <c r="E6998" s="5"/>
      <c r="F6998" s="5" t="s">
        <v>22</v>
      </c>
      <c r="G6998" s="15" t="s">
        <v>22</v>
      </c>
      <c r="H6998" s="24">
        <f t="shared" si="1309"/>
        <v>0</v>
      </c>
      <c r="I6998" s="24" cm="1">
        <f t="array" ref="I6998">IFERROR(IF($B6998=I$1, ($A6998+$C6998) - MAX(IF($B$2:$B6997=$B6998, $A$2:$A6997+$C$2:$C6997)), "")*24*60, "")</f>
        <v>0</v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t="str" cm="1">
        <f t="array" ref="O6998">IFERROR(IF($B6998=O$1, ($A6998+$C6998) - MAX(IF($B$2:$B6997=$B6998, $A$2:$A6997+$C$2:$C6997)), "")*24*60, "")</f>
        <v/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88">A6998</f>
        <v>45993</v>
      </c>
      <c r="B6999" s="5" t="str">
        <f t="shared" si="1388"/>
        <v>Northern Cardinal</v>
      </c>
      <c r="C6999" s="6">
        <f t="shared" si="1388"/>
        <v>0.28125</v>
      </c>
      <c r="D6999" s="5"/>
      <c r="E6999" s="5"/>
      <c r="F6999" s="5" t="s">
        <v>22</v>
      </c>
      <c r="G6999" s="15" t="s">
        <v>22</v>
      </c>
      <c r="H6999" s="24">
        <f t="shared" si="1309"/>
        <v>0</v>
      </c>
      <c r="I6999" s="24" cm="1">
        <f t="array" ref="I6999">IFERROR(IF($B6999=I$1, ($A6999+$C6999) - MAX(IF($B$2:$B6998=$B6999, $A$2:$A6998+$C$2:$C6998)), "")*24*60, "")</f>
        <v>0</v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t="str" cm="1">
        <f t="array" ref="O6999">IFERROR(IF($B6999=O$1, ($A6999+$C6999) - MAX(IF($B$2:$B6998=$B6999, $A$2:$A6998+$C$2:$C6998)), "")*24*60, "")</f>
        <v/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89">A6999</f>
        <v>45993</v>
      </c>
      <c r="B7000" s="5" t="str">
        <f t="shared" si="1389"/>
        <v>Northern Cardinal</v>
      </c>
      <c r="C7000" s="6">
        <f t="shared" si="1389"/>
        <v>0.28125</v>
      </c>
      <c r="D7000" s="5"/>
      <c r="E7000" s="5"/>
      <c r="F7000" s="5" t="s">
        <v>22</v>
      </c>
      <c r="G7000" s="15" t="s">
        <v>22</v>
      </c>
      <c r="H7000" s="24">
        <f t="shared" ref="H7000:H7063" si="1390">IFERROR((($A7000+$C7000) - ($A6999+$C6999))*24*60, "")</f>
        <v>0</v>
      </c>
      <c r="I7000" s="24" cm="1">
        <f t="array" ref="I7000">IFERROR(IF($B7000=I$1, ($A7000+$C7000) - MAX(IF($B$2:$B6999=$B7000, $A$2:$A6999+$C$2:$C6999)), "")*24*60, "")</f>
        <v>0</v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t="str" cm="1">
        <f t="array" ref="O7000">IFERROR(IF($B7000=O$1, ($A7000+$C7000) - MAX(IF($B$2:$B6999=$B7000, $A$2:$A6999+$C$2:$C6999)), "")*24*60, "")</f>
        <v/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91">A7000</f>
        <v>45993</v>
      </c>
      <c r="B7001" s="5" t="str">
        <f t="shared" si="1391"/>
        <v>Northern Cardinal</v>
      </c>
      <c r="C7001" s="6">
        <f t="shared" si="1391"/>
        <v>0.28125</v>
      </c>
      <c r="D7001" s="5"/>
      <c r="E7001" s="5"/>
      <c r="F7001" s="5" t="s">
        <v>22</v>
      </c>
      <c r="G7001" s="15" t="s">
        <v>22</v>
      </c>
      <c r="H7001" s="24">
        <f t="shared" si="1390"/>
        <v>0</v>
      </c>
      <c r="I7001" s="24" cm="1">
        <f t="array" ref="I7001">IFERROR(IF($B7001=I$1, ($A7001+$C7001) - MAX(IF($B$2:$B7000=$B7001, $A$2:$A7000+$C$2:$C7000)), "")*24*60, "")</f>
        <v>0</v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92">A7001</f>
        <v>45993</v>
      </c>
      <c r="B7002" s="5" t="str">
        <f t="shared" si="1392"/>
        <v>Northern Cardinal</v>
      </c>
      <c r="C7002" s="6">
        <f t="shared" si="1392"/>
        <v>0.28125</v>
      </c>
      <c r="D7002" s="5"/>
      <c r="E7002" s="5"/>
      <c r="F7002" s="5" t="s">
        <v>22</v>
      </c>
      <c r="G7002" s="15" t="s">
        <v>22</v>
      </c>
      <c r="H7002" s="24">
        <f t="shared" si="1390"/>
        <v>0</v>
      </c>
      <c r="I7002" s="24" cm="1">
        <f t="array" ref="I7002">IFERROR(IF($B7002=I$1, ($A7002+$C7002) - MAX(IF($B$2:$B7001=$B7002, $A$2:$A7001+$C$2:$C7001)), "")*24*60, "")</f>
        <v>0</v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93">A7002</f>
        <v>45993</v>
      </c>
      <c r="B7003" s="5" t="str">
        <f t="shared" si="1393"/>
        <v>Northern Cardinal</v>
      </c>
      <c r="C7003" s="6">
        <f t="shared" si="1393"/>
        <v>0.28125</v>
      </c>
      <c r="D7003" s="5"/>
      <c r="E7003" s="5"/>
      <c r="F7003" s="5" t="s">
        <v>22</v>
      </c>
      <c r="G7003" s="15" t="s">
        <v>22</v>
      </c>
      <c r="H7003" s="24">
        <f t="shared" si="1390"/>
        <v>0</v>
      </c>
      <c r="I7003" s="24" cm="1">
        <f t="array" ref="I7003">IFERROR(IF($B7003=I$1, ($A7003+$C7003) - MAX(IF($B$2:$B7002=$B7003, $A$2:$A7002+$C$2:$C7002)), "")*24*60, "")</f>
        <v>0</v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94">A7003</f>
        <v>45993</v>
      </c>
      <c r="B7004" s="5" t="str">
        <f t="shared" si="1394"/>
        <v>Northern Cardinal</v>
      </c>
      <c r="C7004" s="6">
        <f t="shared" si="1394"/>
        <v>0.28125</v>
      </c>
      <c r="D7004" s="5"/>
      <c r="E7004" s="5"/>
      <c r="F7004" s="5" t="s">
        <v>22</v>
      </c>
      <c r="G7004" s="15" t="s">
        <v>22</v>
      </c>
      <c r="H7004" s="24">
        <f t="shared" si="1390"/>
        <v>0</v>
      </c>
      <c r="I7004" s="24" cm="1">
        <f t="array" ref="I7004">IFERROR(IF($B7004=I$1, ($A7004+$C7004) - MAX(IF($B$2:$B7003=$B7004, $A$2:$A7003+$C$2:$C7003)), "")*24*60, "")</f>
        <v>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95">A7004</f>
        <v>45993</v>
      </c>
      <c r="B7005" s="5" t="str">
        <f t="shared" si="1395"/>
        <v>Northern Cardinal</v>
      </c>
      <c r="C7005" s="6">
        <f t="shared" si="1395"/>
        <v>0.28125</v>
      </c>
      <c r="D7005" s="5"/>
      <c r="E7005" s="5"/>
      <c r="F7005" s="5" t="s">
        <v>22</v>
      </c>
      <c r="G7005" s="15" t="s">
        <v>22</v>
      </c>
      <c r="H7005" s="24">
        <f t="shared" si="1390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96">A7005</f>
        <v>45993</v>
      </c>
      <c r="B7006" s="5" t="str">
        <f t="shared" si="1396"/>
        <v>Northern Cardinal</v>
      </c>
      <c r="C7006" s="6">
        <f t="shared" si="1396"/>
        <v>0.28125</v>
      </c>
      <c r="D7006" s="5"/>
      <c r="E7006" s="5"/>
      <c r="F7006" s="5" t="s">
        <v>22</v>
      </c>
      <c r="G7006" s="15" t="s">
        <v>22</v>
      </c>
      <c r="H7006" s="24">
        <f t="shared" si="1390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97">A7006</f>
        <v>45993</v>
      </c>
      <c r="B7007" s="5" t="str">
        <f t="shared" si="1397"/>
        <v>Northern Cardinal</v>
      </c>
      <c r="C7007" s="6">
        <f t="shared" si="1397"/>
        <v>0.28125</v>
      </c>
      <c r="D7007" s="5"/>
      <c r="E7007" s="5"/>
      <c r="F7007" s="5" t="s">
        <v>22</v>
      </c>
      <c r="G7007" s="15" t="s">
        <v>22</v>
      </c>
      <c r="H7007" s="24">
        <f t="shared" si="1390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98">A7007</f>
        <v>45993</v>
      </c>
      <c r="B7008" s="5" t="str">
        <f t="shared" si="1398"/>
        <v>Northern Cardinal</v>
      </c>
      <c r="C7008" s="6">
        <f t="shared" si="1398"/>
        <v>0.28125</v>
      </c>
      <c r="D7008" s="5"/>
      <c r="E7008" s="5"/>
      <c r="F7008" s="5" t="s">
        <v>22</v>
      </c>
      <c r="G7008" s="15" t="s">
        <v>22</v>
      </c>
      <c r="H7008" s="24">
        <f t="shared" si="1390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99">A7008</f>
        <v>45993</v>
      </c>
      <c r="B7009" s="5" t="str">
        <f t="shared" si="1399"/>
        <v>Northern Cardinal</v>
      </c>
      <c r="C7009" s="6">
        <f t="shared" si="1399"/>
        <v>0.28125</v>
      </c>
      <c r="D7009" s="5"/>
      <c r="E7009" s="5"/>
      <c r="F7009" s="5" t="s">
        <v>22</v>
      </c>
      <c r="G7009" s="15" t="s">
        <v>22</v>
      </c>
      <c r="H7009" s="24">
        <f t="shared" si="1390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400">A7009</f>
        <v>45993</v>
      </c>
      <c r="B7010" s="5" t="str">
        <f t="shared" si="1400"/>
        <v>Northern Cardinal</v>
      </c>
      <c r="C7010" s="6">
        <f t="shared" si="1400"/>
        <v>0.28125</v>
      </c>
      <c r="D7010" s="5"/>
      <c r="E7010" s="5"/>
      <c r="F7010" s="5" t="s">
        <v>22</v>
      </c>
      <c r="G7010" s="15" t="s">
        <v>22</v>
      </c>
      <c r="H7010" s="24">
        <f t="shared" si="1390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401">A7010</f>
        <v>45993</v>
      </c>
      <c r="B7011" s="5" t="str">
        <f t="shared" si="1401"/>
        <v>Northern Cardinal</v>
      </c>
      <c r="C7011" s="6">
        <f t="shared" si="1401"/>
        <v>0.28125</v>
      </c>
      <c r="D7011" s="5"/>
      <c r="E7011" s="5"/>
      <c r="F7011" s="5" t="s">
        <v>22</v>
      </c>
      <c r="G7011" s="15" t="s">
        <v>22</v>
      </c>
      <c r="H7011" s="24">
        <f t="shared" si="1390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402">A7011</f>
        <v>45993</v>
      </c>
      <c r="B7012" s="5" t="str">
        <f t="shared" si="1402"/>
        <v>Northern Cardinal</v>
      </c>
      <c r="C7012" s="6">
        <f t="shared" si="1402"/>
        <v>0.28125</v>
      </c>
      <c r="D7012" s="5"/>
      <c r="E7012" s="5"/>
      <c r="F7012" s="5" t="s">
        <v>22</v>
      </c>
      <c r="G7012" s="15" t="s">
        <v>22</v>
      </c>
      <c r="H7012" s="24">
        <f t="shared" si="1390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403">A7012</f>
        <v>45993</v>
      </c>
      <c r="B7013" s="5" t="str">
        <f t="shared" si="1403"/>
        <v>Northern Cardinal</v>
      </c>
      <c r="C7013" s="6">
        <f t="shared" si="1403"/>
        <v>0.28125</v>
      </c>
      <c r="D7013" s="5"/>
      <c r="E7013" s="5"/>
      <c r="F7013" s="5" t="s">
        <v>22</v>
      </c>
      <c r="G7013" s="15" t="s">
        <v>22</v>
      </c>
      <c r="H7013" s="24">
        <f t="shared" si="1390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404">A7013</f>
        <v>45993</v>
      </c>
      <c r="B7014" s="5" t="str">
        <f t="shared" si="1404"/>
        <v>Northern Cardinal</v>
      </c>
      <c r="C7014" s="6">
        <f t="shared" si="1404"/>
        <v>0.28125</v>
      </c>
      <c r="D7014" s="5"/>
      <c r="E7014" s="5"/>
      <c r="F7014" s="5" t="s">
        <v>22</v>
      </c>
      <c r="G7014" s="15" t="s">
        <v>22</v>
      </c>
      <c r="H7014" s="24">
        <f t="shared" si="1390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405">A7014</f>
        <v>45993</v>
      </c>
      <c r="B7015" s="5" t="str">
        <f t="shared" si="1405"/>
        <v>Northern Cardinal</v>
      </c>
      <c r="C7015" s="6">
        <f t="shared" si="1405"/>
        <v>0.28125</v>
      </c>
      <c r="D7015" s="5"/>
      <c r="E7015" s="5"/>
      <c r="F7015" s="5" t="s">
        <v>22</v>
      </c>
      <c r="G7015" s="15" t="s">
        <v>22</v>
      </c>
      <c r="H7015" s="24">
        <f t="shared" si="1390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406">A7015</f>
        <v>45993</v>
      </c>
      <c r="B7016" s="5" t="str">
        <f t="shared" si="1406"/>
        <v>Northern Cardinal</v>
      </c>
      <c r="C7016" s="6">
        <f t="shared" si="1406"/>
        <v>0.28125</v>
      </c>
      <c r="D7016" s="5"/>
      <c r="E7016" s="5"/>
      <c r="F7016" s="5" t="s">
        <v>22</v>
      </c>
      <c r="G7016" s="15" t="s">
        <v>22</v>
      </c>
      <c r="H7016" s="24">
        <f t="shared" si="1390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407">A7016</f>
        <v>45993</v>
      </c>
      <c r="B7017" s="5" t="str">
        <f t="shared" si="1407"/>
        <v>Northern Cardinal</v>
      </c>
      <c r="C7017" s="6">
        <f t="shared" si="1407"/>
        <v>0.28125</v>
      </c>
      <c r="D7017" s="5"/>
      <c r="E7017" s="5"/>
      <c r="F7017" s="5" t="s">
        <v>22</v>
      </c>
      <c r="G7017" s="15" t="s">
        <v>22</v>
      </c>
      <c r="H7017" s="24">
        <f t="shared" si="1390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408">A7017</f>
        <v>45993</v>
      </c>
      <c r="B7018" s="5" t="str">
        <f t="shared" si="1408"/>
        <v>Northern Cardinal</v>
      </c>
      <c r="C7018" s="6">
        <f t="shared" si="1408"/>
        <v>0.28125</v>
      </c>
      <c r="D7018" s="5"/>
      <c r="E7018" s="5"/>
      <c r="F7018" s="5" t="s">
        <v>22</v>
      </c>
      <c r="G7018" s="15" t="s">
        <v>22</v>
      </c>
      <c r="H7018" s="24">
        <f t="shared" si="1390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409">A7018</f>
        <v>45993</v>
      </c>
      <c r="B7019" s="5" t="str">
        <f t="shared" si="1409"/>
        <v>Northern Cardinal</v>
      </c>
      <c r="C7019" s="6">
        <f t="shared" si="1409"/>
        <v>0.28125</v>
      </c>
      <c r="D7019" s="5"/>
      <c r="E7019" s="5"/>
      <c r="F7019" s="5" t="s">
        <v>22</v>
      </c>
      <c r="G7019" s="15" t="s">
        <v>22</v>
      </c>
      <c r="H7019" s="24">
        <f t="shared" si="1390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410">A7019</f>
        <v>45993</v>
      </c>
      <c r="B7020" s="5" t="str">
        <f t="shared" si="1410"/>
        <v>Northern Cardinal</v>
      </c>
      <c r="C7020" s="6">
        <f t="shared" si="1410"/>
        <v>0.28125</v>
      </c>
      <c r="D7020" s="5"/>
      <c r="E7020" s="5"/>
      <c r="F7020" s="5" t="s">
        <v>22</v>
      </c>
      <c r="G7020" s="15" t="s">
        <v>22</v>
      </c>
      <c r="H7020" s="24">
        <f t="shared" si="1390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411">A7020</f>
        <v>45993</v>
      </c>
      <c r="B7021" s="5" t="str">
        <f t="shared" si="1411"/>
        <v>Northern Cardinal</v>
      </c>
      <c r="C7021" s="6">
        <f t="shared" si="1411"/>
        <v>0.28125</v>
      </c>
      <c r="D7021" s="5"/>
      <c r="E7021" s="5"/>
      <c r="F7021" s="5" t="s">
        <v>22</v>
      </c>
      <c r="G7021" s="15" t="s">
        <v>22</v>
      </c>
      <c r="H7021" s="24">
        <f t="shared" si="1390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412">A7021</f>
        <v>45993</v>
      </c>
      <c r="B7022" s="5" t="str">
        <f t="shared" si="1412"/>
        <v>Northern Cardinal</v>
      </c>
      <c r="C7022" s="6">
        <f t="shared" si="1412"/>
        <v>0.28125</v>
      </c>
      <c r="D7022" s="5"/>
      <c r="E7022" s="5"/>
      <c r="F7022" s="5" t="s">
        <v>22</v>
      </c>
      <c r="G7022" s="15" t="s">
        <v>22</v>
      </c>
      <c r="H7022" s="24">
        <f t="shared" si="1390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413">A7022</f>
        <v>45993</v>
      </c>
      <c r="B7023" s="5" t="str">
        <f t="shared" si="1413"/>
        <v>Northern Cardinal</v>
      </c>
      <c r="C7023" s="6">
        <f t="shared" si="1413"/>
        <v>0.28125</v>
      </c>
      <c r="D7023" s="5"/>
      <c r="E7023" s="5"/>
      <c r="F7023" s="5" t="s">
        <v>22</v>
      </c>
      <c r="G7023" s="15" t="s">
        <v>22</v>
      </c>
      <c r="H7023" s="24">
        <f t="shared" si="1390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414">A7023</f>
        <v>45993</v>
      </c>
      <c r="B7024" s="5" t="str">
        <f t="shared" si="1414"/>
        <v>Northern Cardinal</v>
      </c>
      <c r="C7024" s="6">
        <f t="shared" si="1414"/>
        <v>0.28125</v>
      </c>
      <c r="D7024" s="5"/>
      <c r="E7024" s="5"/>
      <c r="F7024" s="5" t="s">
        <v>22</v>
      </c>
      <c r="G7024" s="15" t="s">
        <v>22</v>
      </c>
      <c r="H7024" s="24">
        <f t="shared" si="1390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415">A7024</f>
        <v>45993</v>
      </c>
      <c r="B7025" s="5" t="str">
        <f t="shared" si="1415"/>
        <v>Northern Cardinal</v>
      </c>
      <c r="C7025" s="6">
        <f t="shared" si="1415"/>
        <v>0.28125</v>
      </c>
      <c r="D7025" s="5"/>
      <c r="E7025" s="5"/>
      <c r="F7025" s="5" t="s">
        <v>22</v>
      </c>
      <c r="G7025" s="15" t="s">
        <v>22</v>
      </c>
      <c r="H7025" s="24">
        <f t="shared" si="1390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416">A7025</f>
        <v>45993</v>
      </c>
      <c r="B7026" s="5" t="str">
        <f t="shared" si="1416"/>
        <v>Northern Cardinal</v>
      </c>
      <c r="C7026" s="6">
        <f t="shared" si="1416"/>
        <v>0.28125</v>
      </c>
      <c r="D7026" s="5"/>
      <c r="E7026" s="5"/>
      <c r="F7026" s="5" t="s">
        <v>22</v>
      </c>
      <c r="G7026" s="15" t="s">
        <v>22</v>
      </c>
      <c r="H7026" s="24">
        <f t="shared" si="1390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417">A7026</f>
        <v>45993</v>
      </c>
      <c r="B7027" s="5" t="str">
        <f t="shared" si="1417"/>
        <v>Northern Cardinal</v>
      </c>
      <c r="C7027" s="6">
        <f t="shared" si="1417"/>
        <v>0.28125</v>
      </c>
      <c r="D7027" s="5"/>
      <c r="E7027" s="5"/>
      <c r="F7027" s="5" t="s">
        <v>22</v>
      </c>
      <c r="G7027" s="15" t="s">
        <v>22</v>
      </c>
      <c r="H7027" s="24">
        <f t="shared" si="1390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418">A7027</f>
        <v>45993</v>
      </c>
      <c r="B7028" s="5" t="str">
        <f t="shared" si="1418"/>
        <v>Northern Cardinal</v>
      </c>
      <c r="C7028" s="6">
        <f t="shared" si="1418"/>
        <v>0.28125</v>
      </c>
      <c r="D7028" s="5"/>
      <c r="E7028" s="5"/>
      <c r="F7028" s="5" t="s">
        <v>22</v>
      </c>
      <c r="G7028" s="15" t="s">
        <v>22</v>
      </c>
      <c r="H7028" s="24">
        <f t="shared" si="1390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419">A7028</f>
        <v>45993</v>
      </c>
      <c r="B7029" s="5" t="str">
        <f t="shared" si="1419"/>
        <v>Northern Cardinal</v>
      </c>
      <c r="C7029" s="6">
        <f t="shared" si="1419"/>
        <v>0.28125</v>
      </c>
      <c r="D7029" s="5"/>
      <c r="E7029" s="5"/>
      <c r="F7029" s="5" t="s">
        <v>22</v>
      </c>
      <c r="G7029" s="15" t="s">
        <v>22</v>
      </c>
      <c r="H7029" s="24">
        <f t="shared" si="1390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420">A7029</f>
        <v>45993</v>
      </c>
      <c r="B7030" s="5" t="str">
        <f t="shared" si="1420"/>
        <v>Northern Cardinal</v>
      </c>
      <c r="C7030" s="6">
        <f t="shared" si="1420"/>
        <v>0.28125</v>
      </c>
      <c r="D7030" s="5"/>
      <c r="E7030" s="5"/>
      <c r="F7030" s="5" t="s">
        <v>22</v>
      </c>
      <c r="G7030" s="15" t="s">
        <v>22</v>
      </c>
      <c r="H7030" s="24">
        <f t="shared" si="1390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421">A7030</f>
        <v>45993</v>
      </c>
      <c r="B7031" s="5" t="str">
        <f t="shared" si="1421"/>
        <v>Northern Cardinal</v>
      </c>
      <c r="C7031" s="6">
        <f t="shared" si="1421"/>
        <v>0.28125</v>
      </c>
      <c r="D7031" s="5"/>
      <c r="E7031" s="5"/>
      <c r="F7031" s="5" t="s">
        <v>22</v>
      </c>
      <c r="G7031" s="15" t="s">
        <v>22</v>
      </c>
      <c r="H7031" s="24">
        <f t="shared" si="1390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422">A7031</f>
        <v>45993</v>
      </c>
      <c r="B7032" s="5" t="str">
        <f t="shared" si="1422"/>
        <v>Northern Cardinal</v>
      </c>
      <c r="C7032" s="6">
        <f t="shared" si="1422"/>
        <v>0.28125</v>
      </c>
      <c r="D7032" s="5"/>
      <c r="E7032" s="5"/>
      <c r="F7032" s="5" t="s">
        <v>22</v>
      </c>
      <c r="G7032" s="15" t="s">
        <v>22</v>
      </c>
      <c r="H7032" s="24">
        <f t="shared" si="1390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423">A7032</f>
        <v>45993</v>
      </c>
      <c r="B7033" s="5" t="str">
        <f t="shared" si="1423"/>
        <v>Northern Cardinal</v>
      </c>
      <c r="C7033" s="6">
        <f t="shared" si="1423"/>
        <v>0.28125</v>
      </c>
      <c r="D7033" s="5"/>
      <c r="E7033" s="5"/>
      <c r="F7033" s="5" t="s">
        <v>22</v>
      </c>
      <c r="G7033" s="15" t="s">
        <v>22</v>
      </c>
      <c r="H7033" s="24">
        <f t="shared" si="1390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424">A7033</f>
        <v>45993</v>
      </c>
      <c r="B7034" s="5" t="str">
        <f t="shared" si="1424"/>
        <v>Northern Cardinal</v>
      </c>
      <c r="C7034" s="6">
        <f t="shared" si="1424"/>
        <v>0.28125</v>
      </c>
      <c r="D7034" s="5"/>
      <c r="E7034" s="5"/>
      <c r="F7034" s="5" t="s">
        <v>22</v>
      </c>
      <c r="G7034" s="15" t="s">
        <v>22</v>
      </c>
      <c r="H7034" s="24">
        <f t="shared" si="1390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425">A7034</f>
        <v>45993</v>
      </c>
      <c r="B7035" s="5" t="str">
        <f t="shared" si="1425"/>
        <v>Northern Cardinal</v>
      </c>
      <c r="C7035" s="6">
        <f t="shared" si="1425"/>
        <v>0.28125</v>
      </c>
      <c r="D7035" s="5"/>
      <c r="E7035" s="5"/>
      <c r="F7035" s="5" t="s">
        <v>22</v>
      </c>
      <c r="G7035" s="15" t="s">
        <v>22</v>
      </c>
      <c r="H7035" s="24">
        <f t="shared" si="1390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426">A7035</f>
        <v>45993</v>
      </c>
      <c r="B7036" s="5" t="str">
        <f t="shared" si="1426"/>
        <v>Northern Cardinal</v>
      </c>
      <c r="C7036" s="6">
        <f t="shared" si="1426"/>
        <v>0.28125</v>
      </c>
      <c r="D7036" s="5"/>
      <c r="E7036" s="5"/>
      <c r="F7036" s="5" t="s">
        <v>22</v>
      </c>
      <c r="G7036" s="15" t="s">
        <v>22</v>
      </c>
      <c r="H7036" s="24">
        <f t="shared" si="1390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427">A7036</f>
        <v>45993</v>
      </c>
      <c r="B7037" s="5" t="str">
        <f t="shared" si="1427"/>
        <v>Northern Cardinal</v>
      </c>
      <c r="C7037" s="6">
        <f t="shared" si="1427"/>
        <v>0.28125</v>
      </c>
      <c r="D7037" s="5"/>
      <c r="E7037" s="5"/>
      <c r="F7037" s="5" t="s">
        <v>22</v>
      </c>
      <c r="G7037" s="15" t="s">
        <v>22</v>
      </c>
      <c r="H7037" s="24">
        <f t="shared" si="1390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428">A7037</f>
        <v>45993</v>
      </c>
      <c r="B7038" s="5" t="str">
        <f t="shared" si="1428"/>
        <v>Northern Cardinal</v>
      </c>
      <c r="C7038" s="6">
        <f t="shared" si="1428"/>
        <v>0.28125</v>
      </c>
      <c r="D7038" s="5"/>
      <c r="E7038" s="5"/>
      <c r="F7038" s="5" t="s">
        <v>22</v>
      </c>
      <c r="G7038" s="15" t="s">
        <v>22</v>
      </c>
      <c r="H7038" s="24">
        <f t="shared" si="1390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429">A7038</f>
        <v>45993</v>
      </c>
      <c r="B7039" s="5" t="str">
        <f t="shared" si="1429"/>
        <v>Northern Cardinal</v>
      </c>
      <c r="C7039" s="6">
        <f t="shared" si="1429"/>
        <v>0.28125</v>
      </c>
      <c r="D7039" s="5"/>
      <c r="E7039" s="5"/>
      <c r="F7039" s="5" t="s">
        <v>22</v>
      </c>
      <c r="G7039" s="15" t="s">
        <v>22</v>
      </c>
      <c r="H7039" s="24">
        <f t="shared" si="1390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430">A7039</f>
        <v>45993</v>
      </c>
      <c r="B7040" s="5" t="str">
        <f t="shared" si="1430"/>
        <v>Northern Cardinal</v>
      </c>
      <c r="C7040" s="6">
        <f t="shared" si="1430"/>
        <v>0.28125</v>
      </c>
      <c r="D7040" s="5"/>
      <c r="E7040" s="5"/>
      <c r="F7040" s="5" t="s">
        <v>22</v>
      </c>
      <c r="G7040" s="15" t="s">
        <v>22</v>
      </c>
      <c r="H7040" s="24">
        <f t="shared" si="1390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431">A7040</f>
        <v>45993</v>
      </c>
      <c r="B7041" s="5" t="str">
        <f t="shared" si="1431"/>
        <v>Northern Cardinal</v>
      </c>
      <c r="C7041" s="6">
        <f t="shared" si="1431"/>
        <v>0.28125</v>
      </c>
      <c r="D7041" s="5"/>
      <c r="E7041" s="5"/>
      <c r="F7041" s="5" t="s">
        <v>22</v>
      </c>
      <c r="G7041" s="15" t="s">
        <v>22</v>
      </c>
      <c r="H7041" s="24">
        <f t="shared" si="1390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432">A7041</f>
        <v>45993</v>
      </c>
      <c r="B7042" s="5" t="str">
        <f t="shared" si="1432"/>
        <v>Northern Cardinal</v>
      </c>
      <c r="C7042" s="6">
        <f t="shared" si="1432"/>
        <v>0.28125</v>
      </c>
      <c r="D7042" s="5"/>
      <c r="E7042" s="5"/>
      <c r="F7042" s="5" t="s">
        <v>22</v>
      </c>
      <c r="G7042" s="15" t="s">
        <v>22</v>
      </c>
      <c r="H7042" s="24">
        <f t="shared" si="1390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433">A7042</f>
        <v>45993</v>
      </c>
      <c r="B7043" s="5" t="str">
        <f t="shared" si="1433"/>
        <v>Northern Cardinal</v>
      </c>
      <c r="C7043" s="6">
        <f t="shared" si="1433"/>
        <v>0.28125</v>
      </c>
      <c r="D7043" s="5"/>
      <c r="E7043" s="5"/>
      <c r="F7043" s="5" t="s">
        <v>22</v>
      </c>
      <c r="G7043" s="15" t="s">
        <v>22</v>
      </c>
      <c r="H7043" s="24">
        <f t="shared" si="1390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434">A7043</f>
        <v>45993</v>
      </c>
      <c r="B7044" s="5" t="str">
        <f t="shared" si="1434"/>
        <v>Northern Cardinal</v>
      </c>
      <c r="C7044" s="6">
        <f t="shared" si="1434"/>
        <v>0.28125</v>
      </c>
      <c r="D7044" s="5"/>
      <c r="E7044" s="5"/>
      <c r="F7044" s="5" t="s">
        <v>22</v>
      </c>
      <c r="G7044" s="15" t="s">
        <v>22</v>
      </c>
      <c r="H7044" s="24">
        <f t="shared" si="1390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435">A7044</f>
        <v>45993</v>
      </c>
      <c r="B7045" s="5" t="str">
        <f t="shared" si="1435"/>
        <v>Northern Cardinal</v>
      </c>
      <c r="C7045" s="6">
        <f t="shared" si="1435"/>
        <v>0.28125</v>
      </c>
      <c r="D7045" s="5"/>
      <c r="E7045" s="5"/>
      <c r="F7045" s="5" t="s">
        <v>22</v>
      </c>
      <c r="G7045" s="15" t="s">
        <v>22</v>
      </c>
      <c r="H7045" s="24">
        <f t="shared" si="1390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436">A7045</f>
        <v>45993</v>
      </c>
      <c r="B7046" s="5" t="str">
        <f t="shared" si="1436"/>
        <v>Northern Cardinal</v>
      </c>
      <c r="C7046" s="6">
        <f t="shared" si="1436"/>
        <v>0.28125</v>
      </c>
      <c r="D7046" s="5"/>
      <c r="E7046" s="5"/>
      <c r="F7046" s="5" t="s">
        <v>22</v>
      </c>
      <c r="G7046" s="15" t="s">
        <v>22</v>
      </c>
      <c r="H7046" s="24">
        <f t="shared" si="1390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437">A7046</f>
        <v>45993</v>
      </c>
      <c r="B7047" s="5" t="str">
        <f t="shared" si="1437"/>
        <v>Northern Cardinal</v>
      </c>
      <c r="C7047" s="6">
        <f t="shared" si="1437"/>
        <v>0.28125</v>
      </c>
      <c r="D7047" s="5"/>
      <c r="E7047" s="5"/>
      <c r="F7047" s="5" t="s">
        <v>22</v>
      </c>
      <c r="G7047" s="15" t="s">
        <v>22</v>
      </c>
      <c r="H7047" s="24">
        <f t="shared" si="1390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438">A7047</f>
        <v>45993</v>
      </c>
      <c r="B7048" s="5" t="str">
        <f t="shared" si="1438"/>
        <v>Northern Cardinal</v>
      </c>
      <c r="C7048" s="6">
        <f t="shared" si="1438"/>
        <v>0.28125</v>
      </c>
      <c r="D7048" s="5"/>
      <c r="E7048" s="5"/>
      <c r="F7048" s="5" t="s">
        <v>22</v>
      </c>
      <c r="G7048" s="15" t="s">
        <v>22</v>
      </c>
      <c r="H7048" s="24">
        <f t="shared" si="1390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439">A7048</f>
        <v>45993</v>
      </c>
      <c r="B7049" s="5" t="str">
        <f t="shared" si="1439"/>
        <v>Northern Cardinal</v>
      </c>
      <c r="C7049" s="6">
        <f t="shared" si="1439"/>
        <v>0.28125</v>
      </c>
      <c r="D7049" s="5"/>
      <c r="E7049" s="5"/>
      <c r="F7049" s="5" t="s">
        <v>22</v>
      </c>
      <c r="G7049" s="15" t="s">
        <v>22</v>
      </c>
      <c r="H7049" s="24">
        <f t="shared" si="1390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440">A7049</f>
        <v>45993</v>
      </c>
      <c r="B7050" s="5" t="str">
        <f t="shared" si="1440"/>
        <v>Northern Cardinal</v>
      </c>
      <c r="C7050" s="6">
        <f t="shared" si="1440"/>
        <v>0.28125</v>
      </c>
      <c r="D7050" s="5"/>
      <c r="E7050" s="5"/>
      <c r="F7050" s="5" t="s">
        <v>22</v>
      </c>
      <c r="G7050" s="15" t="s">
        <v>22</v>
      </c>
      <c r="H7050" s="24">
        <f t="shared" si="1390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441">A7050</f>
        <v>45993</v>
      </c>
      <c r="B7051" s="5" t="str">
        <f t="shared" si="1441"/>
        <v>Northern Cardinal</v>
      </c>
      <c r="C7051" s="6">
        <f t="shared" si="1441"/>
        <v>0.28125</v>
      </c>
      <c r="D7051" s="5"/>
      <c r="E7051" s="5"/>
      <c r="F7051" s="5" t="s">
        <v>22</v>
      </c>
      <c r="G7051" s="15" t="s">
        <v>22</v>
      </c>
      <c r="H7051" s="24">
        <f t="shared" si="1390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442">A7051</f>
        <v>45993</v>
      </c>
      <c r="B7052" s="5" t="str">
        <f t="shared" si="1442"/>
        <v>Northern Cardinal</v>
      </c>
      <c r="C7052" s="6">
        <f t="shared" si="1442"/>
        <v>0.28125</v>
      </c>
      <c r="D7052" s="5"/>
      <c r="E7052" s="5"/>
      <c r="F7052" s="5" t="s">
        <v>22</v>
      </c>
      <c r="G7052" s="15" t="s">
        <v>22</v>
      </c>
      <c r="H7052" s="24">
        <f t="shared" si="1390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443">A7052</f>
        <v>45993</v>
      </c>
      <c r="B7053" s="5" t="str">
        <f t="shared" si="1443"/>
        <v>Northern Cardinal</v>
      </c>
      <c r="C7053" s="6">
        <f t="shared" si="1443"/>
        <v>0.28125</v>
      </c>
      <c r="D7053" s="5"/>
      <c r="E7053" s="5"/>
      <c r="F7053" s="5" t="s">
        <v>22</v>
      </c>
      <c r="G7053" s="15" t="s">
        <v>22</v>
      </c>
      <c r="H7053" s="24">
        <f t="shared" si="1390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444">A7053</f>
        <v>45993</v>
      </c>
      <c r="B7054" s="5" t="str">
        <f t="shared" si="1444"/>
        <v>Northern Cardinal</v>
      </c>
      <c r="C7054" s="6">
        <f t="shared" si="1444"/>
        <v>0.28125</v>
      </c>
      <c r="D7054" s="5"/>
      <c r="E7054" s="5"/>
      <c r="F7054" s="5" t="s">
        <v>22</v>
      </c>
      <c r="G7054" s="15" t="s">
        <v>22</v>
      </c>
      <c r="H7054" s="24">
        <f t="shared" si="1390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445">A7054</f>
        <v>45993</v>
      </c>
      <c r="B7055" s="5" t="str">
        <f t="shared" si="1445"/>
        <v>Northern Cardinal</v>
      </c>
      <c r="C7055" s="6">
        <f t="shared" si="1445"/>
        <v>0.28125</v>
      </c>
      <c r="D7055" s="5"/>
      <c r="E7055" s="5"/>
      <c r="F7055" s="5" t="s">
        <v>22</v>
      </c>
      <c r="G7055" s="15" t="s">
        <v>22</v>
      </c>
      <c r="H7055" s="24">
        <f t="shared" si="1390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446">A7055</f>
        <v>45993</v>
      </c>
      <c r="B7056" s="5" t="str">
        <f t="shared" si="1446"/>
        <v>Northern Cardinal</v>
      </c>
      <c r="C7056" s="6">
        <f t="shared" si="1446"/>
        <v>0.28125</v>
      </c>
      <c r="D7056" s="5"/>
      <c r="E7056" s="5"/>
      <c r="F7056" s="5" t="s">
        <v>22</v>
      </c>
      <c r="G7056" s="15" t="s">
        <v>22</v>
      </c>
      <c r="H7056" s="24">
        <f t="shared" si="1390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447">A7056</f>
        <v>45993</v>
      </c>
      <c r="B7057" s="5" t="str">
        <f t="shared" si="1447"/>
        <v>Northern Cardinal</v>
      </c>
      <c r="C7057" s="6">
        <f t="shared" si="1447"/>
        <v>0.28125</v>
      </c>
      <c r="D7057" s="5"/>
      <c r="E7057" s="5"/>
      <c r="F7057" s="5" t="s">
        <v>22</v>
      </c>
      <c r="G7057" s="15" t="s">
        <v>22</v>
      </c>
      <c r="H7057" s="24">
        <f t="shared" si="1390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448">A7057</f>
        <v>45993</v>
      </c>
      <c r="B7058" s="5" t="str">
        <f t="shared" si="1448"/>
        <v>Northern Cardinal</v>
      </c>
      <c r="C7058" s="6">
        <f t="shared" si="1448"/>
        <v>0.28125</v>
      </c>
      <c r="D7058" s="5"/>
      <c r="E7058" s="5"/>
      <c r="F7058" s="5" t="s">
        <v>22</v>
      </c>
      <c r="G7058" s="15" t="s">
        <v>22</v>
      </c>
      <c r="H7058" s="24">
        <f t="shared" si="1390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449">A7058</f>
        <v>45993</v>
      </c>
      <c r="B7059" s="5" t="str">
        <f t="shared" si="1449"/>
        <v>Northern Cardinal</v>
      </c>
      <c r="C7059" s="6">
        <f t="shared" si="1449"/>
        <v>0.28125</v>
      </c>
      <c r="D7059" s="5"/>
      <c r="E7059" s="5"/>
      <c r="F7059" s="5" t="s">
        <v>22</v>
      </c>
      <c r="G7059" s="15" t="s">
        <v>22</v>
      </c>
      <c r="H7059" s="24">
        <f t="shared" si="1390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450">A7059</f>
        <v>45993</v>
      </c>
      <c r="B7060" s="5" t="str">
        <f t="shared" si="1450"/>
        <v>Northern Cardinal</v>
      </c>
      <c r="C7060" s="6">
        <f t="shared" si="1450"/>
        <v>0.28125</v>
      </c>
      <c r="D7060" s="5"/>
      <c r="E7060" s="5"/>
      <c r="F7060" s="5" t="s">
        <v>22</v>
      </c>
      <c r="G7060" s="15" t="s">
        <v>22</v>
      </c>
      <c r="H7060" s="24">
        <f t="shared" si="1390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451">A7060</f>
        <v>45993</v>
      </c>
      <c r="B7061" s="5" t="str">
        <f t="shared" si="1451"/>
        <v>Northern Cardinal</v>
      </c>
      <c r="C7061" s="6">
        <f t="shared" si="1451"/>
        <v>0.28125</v>
      </c>
      <c r="D7061" s="5"/>
      <c r="E7061" s="5"/>
      <c r="F7061" s="5" t="s">
        <v>22</v>
      </c>
      <c r="G7061" s="15" t="s">
        <v>22</v>
      </c>
      <c r="H7061" s="24">
        <f t="shared" si="1390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452">A7061</f>
        <v>45993</v>
      </c>
      <c r="B7062" s="5" t="str">
        <f t="shared" si="1452"/>
        <v>Northern Cardinal</v>
      </c>
      <c r="C7062" s="6">
        <f t="shared" si="1452"/>
        <v>0.28125</v>
      </c>
      <c r="D7062" s="5"/>
      <c r="E7062" s="5"/>
      <c r="F7062" s="5" t="s">
        <v>22</v>
      </c>
      <c r="G7062" s="15" t="s">
        <v>22</v>
      </c>
      <c r="H7062" s="24">
        <f t="shared" si="1390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453">A7062</f>
        <v>45993</v>
      </c>
      <c r="B7063" s="5" t="str">
        <f t="shared" si="1453"/>
        <v>Northern Cardinal</v>
      </c>
      <c r="C7063" s="6">
        <f t="shared" si="1453"/>
        <v>0.28125</v>
      </c>
      <c r="D7063" s="5"/>
      <c r="E7063" s="5"/>
      <c r="F7063" s="5" t="s">
        <v>22</v>
      </c>
      <c r="G7063" s="15" t="s">
        <v>22</v>
      </c>
      <c r="H7063" s="24">
        <f t="shared" si="1390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454">A7063</f>
        <v>45993</v>
      </c>
      <c r="B7064" s="5" t="str">
        <f t="shared" si="1454"/>
        <v>Northern Cardinal</v>
      </c>
      <c r="C7064" s="6">
        <f t="shared" si="1454"/>
        <v>0.28125</v>
      </c>
      <c r="D7064" s="5"/>
      <c r="E7064" s="5"/>
      <c r="F7064" s="5" t="s">
        <v>22</v>
      </c>
      <c r="G7064" s="15" t="s">
        <v>22</v>
      </c>
      <c r="H7064" s="24">
        <f t="shared" ref="H7064:H7127" si="1455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456">A7064</f>
        <v>45993</v>
      </c>
      <c r="B7065" s="5" t="str">
        <f t="shared" si="1456"/>
        <v>Northern Cardinal</v>
      </c>
      <c r="C7065" s="6">
        <f t="shared" si="1456"/>
        <v>0.28125</v>
      </c>
      <c r="D7065" s="5"/>
      <c r="E7065" s="5"/>
      <c r="F7065" s="5" t="s">
        <v>22</v>
      </c>
      <c r="G7065" s="15" t="s">
        <v>22</v>
      </c>
      <c r="H7065" s="24">
        <f t="shared" si="1455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57">A7065</f>
        <v>45993</v>
      </c>
      <c r="B7066" s="5" t="str">
        <f t="shared" si="1457"/>
        <v>Northern Cardinal</v>
      </c>
      <c r="C7066" s="6">
        <f t="shared" si="1457"/>
        <v>0.28125</v>
      </c>
      <c r="D7066" s="5"/>
      <c r="E7066" s="5"/>
      <c r="F7066" s="5" t="s">
        <v>22</v>
      </c>
      <c r="G7066" s="15" t="s">
        <v>22</v>
      </c>
      <c r="H7066" s="24">
        <f t="shared" si="1455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58">A7066</f>
        <v>45993</v>
      </c>
      <c r="B7067" s="5" t="str">
        <f t="shared" si="1458"/>
        <v>Northern Cardinal</v>
      </c>
      <c r="C7067" s="6">
        <f t="shared" si="1458"/>
        <v>0.28125</v>
      </c>
      <c r="D7067" s="5"/>
      <c r="E7067" s="5"/>
      <c r="F7067" s="5" t="s">
        <v>22</v>
      </c>
      <c r="G7067" s="15" t="s">
        <v>22</v>
      </c>
      <c r="H7067" s="24">
        <f t="shared" si="1455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59">A7067</f>
        <v>45993</v>
      </c>
      <c r="B7068" s="5" t="str">
        <f t="shared" si="1459"/>
        <v>Northern Cardinal</v>
      </c>
      <c r="C7068" s="6">
        <f t="shared" si="1459"/>
        <v>0.28125</v>
      </c>
      <c r="D7068" s="5"/>
      <c r="E7068" s="5"/>
      <c r="F7068" s="5" t="s">
        <v>22</v>
      </c>
      <c r="G7068" s="15" t="s">
        <v>22</v>
      </c>
      <c r="H7068" s="24">
        <f t="shared" si="1455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60">A7068</f>
        <v>45993</v>
      </c>
      <c r="B7069" s="5" t="str">
        <f t="shared" si="1460"/>
        <v>Northern Cardinal</v>
      </c>
      <c r="C7069" s="6">
        <f t="shared" si="1460"/>
        <v>0.28125</v>
      </c>
      <c r="D7069" s="5"/>
      <c r="E7069" s="5"/>
      <c r="F7069" s="5" t="s">
        <v>22</v>
      </c>
      <c r="G7069" s="15" t="s">
        <v>22</v>
      </c>
      <c r="H7069" s="24">
        <f t="shared" si="1455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61">A7069</f>
        <v>45993</v>
      </c>
      <c r="B7070" s="5" t="str">
        <f t="shared" si="1461"/>
        <v>Northern Cardinal</v>
      </c>
      <c r="C7070" s="6">
        <f t="shared" si="1461"/>
        <v>0.28125</v>
      </c>
      <c r="D7070" s="5"/>
      <c r="E7070" s="5"/>
      <c r="F7070" s="5" t="s">
        <v>22</v>
      </c>
      <c r="G7070" s="15" t="s">
        <v>22</v>
      </c>
      <c r="H7070" s="24">
        <f t="shared" si="1455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62">A7070</f>
        <v>45993</v>
      </c>
      <c r="B7071" s="5" t="str">
        <f t="shared" si="1462"/>
        <v>Northern Cardinal</v>
      </c>
      <c r="C7071" s="6">
        <f t="shared" si="1462"/>
        <v>0.28125</v>
      </c>
      <c r="D7071" s="5"/>
      <c r="E7071" s="5"/>
      <c r="F7071" s="5" t="s">
        <v>22</v>
      </c>
      <c r="G7071" s="15" t="s">
        <v>22</v>
      </c>
      <c r="H7071" s="24">
        <f t="shared" si="1455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63">A7071</f>
        <v>45993</v>
      </c>
      <c r="B7072" s="5" t="str">
        <f t="shared" si="1463"/>
        <v>Northern Cardinal</v>
      </c>
      <c r="C7072" s="6">
        <f t="shared" si="1463"/>
        <v>0.28125</v>
      </c>
      <c r="D7072" s="5"/>
      <c r="E7072" s="5"/>
      <c r="F7072" s="5" t="s">
        <v>22</v>
      </c>
      <c r="G7072" s="15" t="s">
        <v>22</v>
      </c>
      <c r="H7072" s="24">
        <f t="shared" si="1455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64">A7072</f>
        <v>45993</v>
      </c>
      <c r="B7073" s="5" t="str">
        <f t="shared" si="1464"/>
        <v>Northern Cardinal</v>
      </c>
      <c r="C7073" s="6">
        <f t="shared" si="1464"/>
        <v>0.28125</v>
      </c>
      <c r="D7073" s="5"/>
      <c r="E7073" s="5"/>
      <c r="F7073" s="5" t="s">
        <v>22</v>
      </c>
      <c r="G7073" s="15" t="s">
        <v>22</v>
      </c>
      <c r="H7073" s="24">
        <f t="shared" si="1455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65">A7073</f>
        <v>45993</v>
      </c>
      <c r="B7074" s="5" t="str">
        <f t="shared" si="1465"/>
        <v>Northern Cardinal</v>
      </c>
      <c r="C7074" s="6">
        <f t="shared" si="1465"/>
        <v>0.28125</v>
      </c>
      <c r="D7074" s="5"/>
      <c r="E7074" s="5"/>
      <c r="F7074" s="5" t="s">
        <v>22</v>
      </c>
      <c r="G7074" s="15" t="s">
        <v>22</v>
      </c>
      <c r="H7074" s="24">
        <f t="shared" si="1455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66">A7074</f>
        <v>45993</v>
      </c>
      <c r="B7075" s="5" t="str">
        <f t="shared" si="1466"/>
        <v>Northern Cardinal</v>
      </c>
      <c r="C7075" s="6">
        <f t="shared" si="1466"/>
        <v>0.28125</v>
      </c>
      <c r="D7075" s="5"/>
      <c r="E7075" s="5"/>
      <c r="F7075" s="5" t="s">
        <v>22</v>
      </c>
      <c r="G7075" s="15" t="s">
        <v>22</v>
      </c>
      <c r="H7075" s="24">
        <f t="shared" si="1455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67">A7075</f>
        <v>45993</v>
      </c>
      <c r="B7076" s="5" t="str">
        <f t="shared" si="1467"/>
        <v>Northern Cardinal</v>
      </c>
      <c r="C7076" s="6">
        <f t="shared" si="1467"/>
        <v>0.28125</v>
      </c>
      <c r="D7076" s="5"/>
      <c r="E7076" s="5"/>
      <c r="F7076" s="5" t="s">
        <v>22</v>
      </c>
      <c r="G7076" s="15" t="s">
        <v>22</v>
      </c>
      <c r="H7076" s="24">
        <f t="shared" si="1455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68">A7076</f>
        <v>45993</v>
      </c>
      <c r="B7077" s="5" t="str">
        <f t="shared" si="1468"/>
        <v>Northern Cardinal</v>
      </c>
      <c r="C7077" s="6">
        <f t="shared" si="1468"/>
        <v>0.28125</v>
      </c>
      <c r="D7077" s="5"/>
      <c r="E7077" s="5"/>
      <c r="F7077" s="5" t="s">
        <v>22</v>
      </c>
      <c r="G7077" s="15" t="s">
        <v>22</v>
      </c>
      <c r="H7077" s="24">
        <f t="shared" si="1455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69">A7077</f>
        <v>45993</v>
      </c>
      <c r="B7078" s="5" t="str">
        <f t="shared" si="1469"/>
        <v>Northern Cardinal</v>
      </c>
      <c r="C7078" s="6">
        <f t="shared" si="1469"/>
        <v>0.28125</v>
      </c>
      <c r="D7078" s="5"/>
      <c r="E7078" s="5"/>
      <c r="F7078" s="5" t="s">
        <v>22</v>
      </c>
      <c r="G7078" s="15" t="s">
        <v>22</v>
      </c>
      <c r="H7078" s="24">
        <f t="shared" si="1455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70">A7078</f>
        <v>45993</v>
      </c>
      <c r="B7079" s="5" t="str">
        <f t="shared" si="1470"/>
        <v>Northern Cardinal</v>
      </c>
      <c r="C7079" s="6">
        <f t="shared" si="1470"/>
        <v>0.28125</v>
      </c>
      <c r="D7079" s="5"/>
      <c r="E7079" s="5"/>
      <c r="F7079" s="5" t="s">
        <v>22</v>
      </c>
      <c r="G7079" s="15" t="s">
        <v>22</v>
      </c>
      <c r="H7079" s="24">
        <f t="shared" si="1455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71">A7079</f>
        <v>45993</v>
      </c>
      <c r="B7080" s="5" t="str">
        <f t="shared" si="1471"/>
        <v>Northern Cardinal</v>
      </c>
      <c r="C7080" s="6">
        <f t="shared" si="1471"/>
        <v>0.28125</v>
      </c>
      <c r="D7080" s="5"/>
      <c r="E7080" s="5"/>
      <c r="F7080" s="5" t="s">
        <v>22</v>
      </c>
      <c r="G7080" s="15" t="s">
        <v>22</v>
      </c>
      <c r="H7080" s="24">
        <f t="shared" si="1455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72">A7080</f>
        <v>45993</v>
      </c>
      <c r="B7081" s="5" t="str">
        <f t="shared" si="1472"/>
        <v>Northern Cardinal</v>
      </c>
      <c r="C7081" s="6">
        <f t="shared" si="1472"/>
        <v>0.28125</v>
      </c>
      <c r="D7081" s="5"/>
      <c r="E7081" s="5"/>
      <c r="F7081" s="5" t="s">
        <v>22</v>
      </c>
      <c r="G7081" s="15" t="s">
        <v>22</v>
      </c>
      <c r="H7081" s="24">
        <f t="shared" si="1455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73">A7081</f>
        <v>45993</v>
      </c>
      <c r="B7082" s="5" t="str">
        <f t="shared" si="1473"/>
        <v>Northern Cardinal</v>
      </c>
      <c r="C7082" s="6">
        <f t="shared" si="1473"/>
        <v>0.28125</v>
      </c>
      <c r="D7082" s="5"/>
      <c r="E7082" s="5"/>
      <c r="F7082" s="5" t="s">
        <v>22</v>
      </c>
      <c r="G7082" s="15" t="s">
        <v>22</v>
      </c>
      <c r="H7082" s="24">
        <f t="shared" si="1455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74">A7082</f>
        <v>45993</v>
      </c>
      <c r="B7083" s="5" t="str">
        <f t="shared" si="1474"/>
        <v>Northern Cardinal</v>
      </c>
      <c r="C7083" s="6">
        <f t="shared" si="1474"/>
        <v>0.28125</v>
      </c>
      <c r="D7083" s="5"/>
      <c r="E7083" s="5"/>
      <c r="F7083" s="5" t="s">
        <v>22</v>
      </c>
      <c r="G7083" s="15" t="s">
        <v>22</v>
      </c>
      <c r="H7083" s="24">
        <f t="shared" si="1455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75">A7083</f>
        <v>45993</v>
      </c>
      <c r="B7084" s="5" t="str">
        <f t="shared" si="1475"/>
        <v>Northern Cardinal</v>
      </c>
      <c r="C7084" s="6">
        <f t="shared" si="1475"/>
        <v>0.28125</v>
      </c>
      <c r="D7084" s="5"/>
      <c r="E7084" s="5"/>
      <c r="F7084" s="5" t="s">
        <v>22</v>
      </c>
      <c r="G7084" s="15" t="s">
        <v>22</v>
      </c>
      <c r="H7084" s="24">
        <f t="shared" si="1455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76">A7084</f>
        <v>45993</v>
      </c>
      <c r="B7085" s="5" t="str">
        <f t="shared" si="1476"/>
        <v>Northern Cardinal</v>
      </c>
      <c r="C7085" s="6">
        <f t="shared" si="1476"/>
        <v>0.28125</v>
      </c>
      <c r="D7085" s="5"/>
      <c r="E7085" s="5"/>
      <c r="F7085" s="5" t="s">
        <v>22</v>
      </c>
      <c r="G7085" s="15" t="s">
        <v>22</v>
      </c>
      <c r="H7085" s="24">
        <f t="shared" si="1455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77">A7085</f>
        <v>45993</v>
      </c>
      <c r="B7086" s="5" t="str">
        <f t="shared" si="1477"/>
        <v>Northern Cardinal</v>
      </c>
      <c r="C7086" s="6">
        <f t="shared" si="1477"/>
        <v>0.28125</v>
      </c>
      <c r="D7086" s="5"/>
      <c r="E7086" s="5"/>
      <c r="F7086" s="5" t="s">
        <v>22</v>
      </c>
      <c r="G7086" s="15" t="s">
        <v>22</v>
      </c>
      <c r="H7086" s="24">
        <f t="shared" si="1455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78">A7086</f>
        <v>45993</v>
      </c>
      <c r="B7087" s="5" t="str">
        <f t="shared" si="1478"/>
        <v>Northern Cardinal</v>
      </c>
      <c r="C7087" s="6">
        <f t="shared" si="1478"/>
        <v>0.28125</v>
      </c>
      <c r="D7087" s="5"/>
      <c r="E7087" s="5"/>
      <c r="F7087" s="5" t="s">
        <v>22</v>
      </c>
      <c r="G7087" s="15" t="s">
        <v>22</v>
      </c>
      <c r="H7087" s="24">
        <f t="shared" si="1455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79">A7087</f>
        <v>45993</v>
      </c>
      <c r="B7088" s="5" t="str">
        <f t="shared" si="1479"/>
        <v>Northern Cardinal</v>
      </c>
      <c r="C7088" s="6">
        <f t="shared" si="1479"/>
        <v>0.28125</v>
      </c>
      <c r="D7088" s="5"/>
      <c r="E7088" s="5"/>
      <c r="F7088" s="5" t="s">
        <v>22</v>
      </c>
      <c r="G7088" s="15" t="s">
        <v>22</v>
      </c>
      <c r="H7088" s="24">
        <f t="shared" si="1455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80">A7088</f>
        <v>45993</v>
      </c>
      <c r="B7089" s="5" t="str">
        <f t="shared" si="1480"/>
        <v>Northern Cardinal</v>
      </c>
      <c r="C7089" s="6">
        <f t="shared" si="1480"/>
        <v>0.28125</v>
      </c>
      <c r="D7089" s="5"/>
      <c r="E7089" s="5"/>
      <c r="F7089" s="5" t="s">
        <v>22</v>
      </c>
      <c r="G7089" s="15" t="s">
        <v>22</v>
      </c>
      <c r="H7089" s="24">
        <f t="shared" si="1455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81">A7089</f>
        <v>45993</v>
      </c>
      <c r="B7090" s="5" t="str">
        <f t="shared" si="1481"/>
        <v>Northern Cardinal</v>
      </c>
      <c r="C7090" s="6">
        <f t="shared" si="1481"/>
        <v>0.28125</v>
      </c>
      <c r="D7090" s="5"/>
      <c r="E7090" s="5"/>
      <c r="F7090" s="5" t="s">
        <v>22</v>
      </c>
      <c r="G7090" s="15" t="s">
        <v>22</v>
      </c>
      <c r="H7090" s="24">
        <f t="shared" si="1455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82">A7090</f>
        <v>45993</v>
      </c>
      <c r="B7091" s="5" t="str">
        <f t="shared" si="1482"/>
        <v>Northern Cardinal</v>
      </c>
      <c r="C7091" s="6">
        <f t="shared" si="1482"/>
        <v>0.28125</v>
      </c>
      <c r="D7091" s="5"/>
      <c r="E7091" s="5"/>
      <c r="F7091" s="5" t="s">
        <v>22</v>
      </c>
      <c r="G7091" s="15" t="s">
        <v>22</v>
      </c>
      <c r="H7091" s="24">
        <f t="shared" si="1455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83">A7091</f>
        <v>45993</v>
      </c>
      <c r="B7092" s="5" t="str">
        <f t="shared" si="1483"/>
        <v>Northern Cardinal</v>
      </c>
      <c r="C7092" s="6">
        <f t="shared" si="1483"/>
        <v>0.28125</v>
      </c>
      <c r="D7092" s="5"/>
      <c r="E7092" s="5"/>
      <c r="F7092" s="5" t="s">
        <v>22</v>
      </c>
      <c r="G7092" s="15" t="s">
        <v>22</v>
      </c>
      <c r="H7092" s="24">
        <f t="shared" si="1455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84">A7092</f>
        <v>45993</v>
      </c>
      <c r="B7093" s="5" t="str">
        <f t="shared" si="1484"/>
        <v>Northern Cardinal</v>
      </c>
      <c r="C7093" s="6">
        <f t="shared" si="1484"/>
        <v>0.28125</v>
      </c>
      <c r="D7093" s="5"/>
      <c r="E7093" s="5"/>
      <c r="F7093" s="5" t="s">
        <v>22</v>
      </c>
      <c r="G7093" s="15" t="s">
        <v>22</v>
      </c>
      <c r="H7093" s="24">
        <f t="shared" si="1455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85">A7093</f>
        <v>45993</v>
      </c>
      <c r="B7094" s="5" t="str">
        <f t="shared" si="1485"/>
        <v>Northern Cardinal</v>
      </c>
      <c r="C7094" s="6">
        <f t="shared" si="1485"/>
        <v>0.28125</v>
      </c>
      <c r="D7094" s="5"/>
      <c r="E7094" s="5"/>
      <c r="F7094" s="5" t="s">
        <v>22</v>
      </c>
      <c r="G7094" s="15" t="s">
        <v>22</v>
      </c>
      <c r="H7094" s="24">
        <f t="shared" si="1455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86">A7094</f>
        <v>45993</v>
      </c>
      <c r="B7095" s="5" t="str">
        <f t="shared" si="1486"/>
        <v>Northern Cardinal</v>
      </c>
      <c r="C7095" s="6">
        <f t="shared" si="1486"/>
        <v>0.28125</v>
      </c>
      <c r="D7095" s="5"/>
      <c r="E7095" s="5"/>
      <c r="F7095" s="5" t="s">
        <v>22</v>
      </c>
      <c r="G7095" s="15" t="s">
        <v>22</v>
      </c>
      <c r="H7095" s="24">
        <f t="shared" si="1455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87">A7095</f>
        <v>45993</v>
      </c>
      <c r="B7096" s="5" t="str">
        <f t="shared" si="1487"/>
        <v>Northern Cardinal</v>
      </c>
      <c r="C7096" s="6">
        <f t="shared" si="1487"/>
        <v>0.28125</v>
      </c>
      <c r="D7096" s="5"/>
      <c r="E7096" s="5"/>
      <c r="F7096" s="5" t="s">
        <v>22</v>
      </c>
      <c r="G7096" s="15" t="s">
        <v>22</v>
      </c>
      <c r="H7096" s="24">
        <f t="shared" si="1455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88">A7096</f>
        <v>45993</v>
      </c>
      <c r="B7097" s="5" t="str">
        <f t="shared" si="1488"/>
        <v>Northern Cardinal</v>
      </c>
      <c r="C7097" s="6">
        <f t="shared" si="1488"/>
        <v>0.28125</v>
      </c>
      <c r="D7097" s="5"/>
      <c r="E7097" s="5"/>
      <c r="F7097" s="5" t="s">
        <v>22</v>
      </c>
      <c r="G7097" s="15" t="s">
        <v>22</v>
      </c>
      <c r="H7097" s="24">
        <f t="shared" si="1455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89">A7097</f>
        <v>45993</v>
      </c>
      <c r="B7098" s="5" t="str">
        <f t="shared" si="1489"/>
        <v>Northern Cardinal</v>
      </c>
      <c r="C7098" s="6">
        <f t="shared" si="1489"/>
        <v>0.28125</v>
      </c>
      <c r="D7098" s="5"/>
      <c r="E7098" s="5"/>
      <c r="F7098" s="5" t="s">
        <v>22</v>
      </c>
      <c r="G7098" s="15" t="s">
        <v>22</v>
      </c>
      <c r="H7098" s="24">
        <f t="shared" si="1455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90">A7098</f>
        <v>45993</v>
      </c>
      <c r="B7099" s="5" t="str">
        <f t="shared" si="1490"/>
        <v>Northern Cardinal</v>
      </c>
      <c r="C7099" s="6">
        <f t="shared" si="1490"/>
        <v>0.28125</v>
      </c>
      <c r="D7099" s="5"/>
      <c r="E7099" s="5"/>
      <c r="F7099" s="5" t="s">
        <v>22</v>
      </c>
      <c r="G7099" s="15" t="s">
        <v>22</v>
      </c>
      <c r="H7099" s="24">
        <f t="shared" si="1455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91">A7099</f>
        <v>45993</v>
      </c>
      <c r="B7100" s="5" t="str">
        <f t="shared" si="1491"/>
        <v>Northern Cardinal</v>
      </c>
      <c r="C7100" s="6">
        <f t="shared" si="1491"/>
        <v>0.28125</v>
      </c>
      <c r="D7100" s="5"/>
      <c r="E7100" s="5"/>
      <c r="F7100" s="5" t="s">
        <v>22</v>
      </c>
      <c r="G7100" s="15" t="s">
        <v>22</v>
      </c>
      <c r="H7100" s="24">
        <f t="shared" si="1455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92">A7100</f>
        <v>45993</v>
      </c>
      <c r="B7101" s="5" t="str">
        <f t="shared" si="1492"/>
        <v>Northern Cardinal</v>
      </c>
      <c r="C7101" s="6">
        <f t="shared" si="1492"/>
        <v>0.28125</v>
      </c>
      <c r="D7101" s="5"/>
      <c r="E7101" s="5"/>
      <c r="F7101" s="5" t="s">
        <v>22</v>
      </c>
      <c r="G7101" s="15" t="s">
        <v>22</v>
      </c>
      <c r="H7101" s="24">
        <f t="shared" si="1455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93">A7101</f>
        <v>45993</v>
      </c>
      <c r="B7102" s="5" t="str">
        <f t="shared" si="1493"/>
        <v>Northern Cardinal</v>
      </c>
      <c r="C7102" s="6">
        <f t="shared" si="1493"/>
        <v>0.28125</v>
      </c>
      <c r="D7102" s="5"/>
      <c r="E7102" s="5"/>
      <c r="F7102" s="5" t="s">
        <v>22</v>
      </c>
      <c r="G7102" s="15" t="s">
        <v>22</v>
      </c>
      <c r="H7102" s="24">
        <f t="shared" si="1455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94">A7102</f>
        <v>45993</v>
      </c>
      <c r="B7103" s="5" t="str">
        <f t="shared" si="1494"/>
        <v>Northern Cardinal</v>
      </c>
      <c r="C7103" s="6">
        <f t="shared" si="1494"/>
        <v>0.28125</v>
      </c>
      <c r="D7103" s="5"/>
      <c r="E7103" s="5"/>
      <c r="F7103" s="5" t="s">
        <v>22</v>
      </c>
      <c r="G7103" s="15" t="s">
        <v>22</v>
      </c>
      <c r="H7103" s="24">
        <f t="shared" si="1455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95">A7103</f>
        <v>45993</v>
      </c>
      <c r="B7104" s="5" t="str">
        <f t="shared" si="1495"/>
        <v>Northern Cardinal</v>
      </c>
      <c r="C7104" s="6">
        <f t="shared" si="1495"/>
        <v>0.28125</v>
      </c>
      <c r="D7104" s="5"/>
      <c r="E7104" s="5"/>
      <c r="F7104" s="5" t="s">
        <v>22</v>
      </c>
      <c r="G7104" s="15" t="s">
        <v>22</v>
      </c>
      <c r="H7104" s="24">
        <f t="shared" si="1455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96">A7104</f>
        <v>45993</v>
      </c>
      <c r="B7105" s="5" t="str">
        <f t="shared" si="1496"/>
        <v>Northern Cardinal</v>
      </c>
      <c r="C7105" s="6">
        <f t="shared" si="1496"/>
        <v>0.28125</v>
      </c>
      <c r="D7105" s="5"/>
      <c r="E7105" s="5"/>
      <c r="F7105" s="5" t="s">
        <v>22</v>
      </c>
      <c r="G7105" s="15" t="s">
        <v>22</v>
      </c>
      <c r="H7105" s="24">
        <f t="shared" si="1455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97">A7105</f>
        <v>45993</v>
      </c>
      <c r="B7106" s="5" t="str">
        <f t="shared" si="1497"/>
        <v>Northern Cardinal</v>
      </c>
      <c r="C7106" s="6">
        <f t="shared" si="1497"/>
        <v>0.28125</v>
      </c>
      <c r="D7106" s="5"/>
      <c r="E7106" s="5"/>
      <c r="F7106" s="5" t="s">
        <v>22</v>
      </c>
      <c r="G7106" s="15" t="s">
        <v>22</v>
      </c>
      <c r="H7106" s="24">
        <f t="shared" si="1455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98">A7106</f>
        <v>45993</v>
      </c>
      <c r="B7107" s="5" t="str">
        <f t="shared" si="1498"/>
        <v>Northern Cardinal</v>
      </c>
      <c r="C7107" s="6">
        <f t="shared" si="1498"/>
        <v>0.28125</v>
      </c>
      <c r="D7107" s="5"/>
      <c r="E7107" s="5"/>
      <c r="F7107" s="5" t="s">
        <v>22</v>
      </c>
      <c r="G7107" s="15" t="s">
        <v>22</v>
      </c>
      <c r="H7107" s="24">
        <f t="shared" si="1455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99">A7107</f>
        <v>45993</v>
      </c>
      <c r="B7108" s="5" t="str">
        <f t="shared" si="1499"/>
        <v>Northern Cardinal</v>
      </c>
      <c r="C7108" s="6">
        <f t="shared" si="1499"/>
        <v>0.28125</v>
      </c>
      <c r="D7108" s="5"/>
      <c r="E7108" s="5"/>
      <c r="F7108" s="5" t="s">
        <v>22</v>
      </c>
      <c r="G7108" s="15" t="s">
        <v>22</v>
      </c>
      <c r="H7108" s="24">
        <f t="shared" si="1455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500">A7108</f>
        <v>45993</v>
      </c>
      <c r="B7109" s="5" t="str">
        <f t="shared" si="1500"/>
        <v>Northern Cardinal</v>
      </c>
      <c r="C7109" s="6">
        <f t="shared" si="1500"/>
        <v>0.28125</v>
      </c>
      <c r="D7109" s="5"/>
      <c r="E7109" s="5"/>
      <c r="F7109" s="5" t="s">
        <v>22</v>
      </c>
      <c r="G7109" s="15" t="s">
        <v>22</v>
      </c>
      <c r="H7109" s="24">
        <f t="shared" si="1455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501">A7109</f>
        <v>45993</v>
      </c>
      <c r="B7110" s="5" t="str">
        <f t="shared" si="1501"/>
        <v>Northern Cardinal</v>
      </c>
      <c r="C7110" s="6">
        <f t="shared" si="1501"/>
        <v>0.28125</v>
      </c>
      <c r="D7110" s="5"/>
      <c r="E7110" s="5"/>
      <c r="F7110" s="5" t="s">
        <v>22</v>
      </c>
      <c r="G7110" s="15" t="s">
        <v>22</v>
      </c>
      <c r="H7110" s="24">
        <f t="shared" si="1455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502">A7110</f>
        <v>45993</v>
      </c>
      <c r="B7111" s="5" t="str">
        <f t="shared" si="1502"/>
        <v>Northern Cardinal</v>
      </c>
      <c r="C7111" s="6">
        <f t="shared" si="1502"/>
        <v>0.28125</v>
      </c>
      <c r="D7111" s="5"/>
      <c r="E7111" s="5"/>
      <c r="F7111" s="5" t="s">
        <v>22</v>
      </c>
      <c r="G7111" s="15" t="s">
        <v>22</v>
      </c>
      <c r="H7111" s="24">
        <f t="shared" si="1455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503">A7111</f>
        <v>45993</v>
      </c>
      <c r="B7112" s="5" t="str">
        <f t="shared" si="1503"/>
        <v>Northern Cardinal</v>
      </c>
      <c r="C7112" s="6">
        <f t="shared" si="1503"/>
        <v>0.28125</v>
      </c>
      <c r="D7112" s="5"/>
      <c r="E7112" s="5"/>
      <c r="F7112" s="5" t="s">
        <v>22</v>
      </c>
      <c r="G7112" s="15" t="s">
        <v>22</v>
      </c>
      <c r="H7112" s="24">
        <f t="shared" si="1455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504">A7112</f>
        <v>45993</v>
      </c>
      <c r="B7113" s="5" t="str">
        <f t="shared" si="1504"/>
        <v>Northern Cardinal</v>
      </c>
      <c r="C7113" s="6">
        <f t="shared" si="1504"/>
        <v>0.28125</v>
      </c>
      <c r="D7113" s="5"/>
      <c r="E7113" s="5"/>
      <c r="F7113" s="5" t="s">
        <v>22</v>
      </c>
      <c r="G7113" s="15" t="s">
        <v>22</v>
      </c>
      <c r="H7113" s="24">
        <f t="shared" si="1455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505">A7113</f>
        <v>45993</v>
      </c>
      <c r="B7114" s="5" t="str">
        <f t="shared" si="1505"/>
        <v>Northern Cardinal</v>
      </c>
      <c r="C7114" s="6">
        <f t="shared" si="1505"/>
        <v>0.28125</v>
      </c>
      <c r="D7114" s="5"/>
      <c r="E7114" s="5"/>
      <c r="F7114" s="5" t="s">
        <v>22</v>
      </c>
      <c r="G7114" s="15" t="s">
        <v>22</v>
      </c>
      <c r="H7114" s="24">
        <f t="shared" si="1455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506">A7114</f>
        <v>45993</v>
      </c>
      <c r="B7115" s="5" t="str">
        <f t="shared" si="1506"/>
        <v>Northern Cardinal</v>
      </c>
      <c r="C7115" s="6">
        <f t="shared" si="1506"/>
        <v>0.28125</v>
      </c>
      <c r="D7115" s="5"/>
      <c r="E7115" s="5"/>
      <c r="F7115" s="5" t="s">
        <v>22</v>
      </c>
      <c r="G7115" s="15" t="s">
        <v>22</v>
      </c>
      <c r="H7115" s="24">
        <f t="shared" si="1455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507">A7115</f>
        <v>45993</v>
      </c>
      <c r="B7116" s="5" t="str">
        <f t="shared" si="1507"/>
        <v>Northern Cardinal</v>
      </c>
      <c r="C7116" s="6">
        <f t="shared" si="1507"/>
        <v>0.28125</v>
      </c>
      <c r="D7116" s="5"/>
      <c r="E7116" s="5"/>
      <c r="F7116" s="5" t="s">
        <v>22</v>
      </c>
      <c r="G7116" s="15" t="s">
        <v>22</v>
      </c>
      <c r="H7116" s="24">
        <f t="shared" si="1455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508">A7116</f>
        <v>45993</v>
      </c>
      <c r="B7117" s="5" t="str">
        <f t="shared" si="1508"/>
        <v>Northern Cardinal</v>
      </c>
      <c r="C7117" s="6">
        <f t="shared" si="1508"/>
        <v>0.28125</v>
      </c>
      <c r="D7117" s="5"/>
      <c r="E7117" s="5"/>
      <c r="F7117" s="5" t="s">
        <v>22</v>
      </c>
      <c r="G7117" s="15" t="s">
        <v>22</v>
      </c>
      <c r="H7117" s="24">
        <f t="shared" si="1455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509">A7117</f>
        <v>45993</v>
      </c>
      <c r="B7118" s="5" t="str">
        <f t="shared" si="1509"/>
        <v>Northern Cardinal</v>
      </c>
      <c r="C7118" s="6">
        <f t="shared" si="1509"/>
        <v>0.28125</v>
      </c>
      <c r="D7118" s="5"/>
      <c r="E7118" s="5"/>
      <c r="F7118" s="5" t="s">
        <v>22</v>
      </c>
      <c r="G7118" s="15" t="s">
        <v>22</v>
      </c>
      <c r="H7118" s="24">
        <f t="shared" si="1455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510">A7118</f>
        <v>45993</v>
      </c>
      <c r="B7119" s="5" t="str">
        <f t="shared" si="1510"/>
        <v>Northern Cardinal</v>
      </c>
      <c r="C7119" s="6">
        <f t="shared" si="1510"/>
        <v>0.28125</v>
      </c>
      <c r="D7119" s="5"/>
      <c r="E7119" s="5"/>
      <c r="F7119" s="5" t="s">
        <v>22</v>
      </c>
      <c r="G7119" s="15" t="s">
        <v>22</v>
      </c>
      <c r="H7119" s="24">
        <f t="shared" si="1455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511">A7119</f>
        <v>45993</v>
      </c>
      <c r="B7120" s="5" t="str">
        <f t="shared" si="1511"/>
        <v>Northern Cardinal</v>
      </c>
      <c r="C7120" s="6">
        <f t="shared" si="1511"/>
        <v>0.28125</v>
      </c>
      <c r="D7120" s="5"/>
      <c r="E7120" s="5"/>
      <c r="F7120" s="5" t="s">
        <v>22</v>
      </c>
      <c r="G7120" s="15" t="s">
        <v>22</v>
      </c>
      <c r="H7120" s="24">
        <f t="shared" si="1455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512">A7120</f>
        <v>45993</v>
      </c>
      <c r="B7121" s="5" t="str">
        <f t="shared" si="1512"/>
        <v>Northern Cardinal</v>
      </c>
      <c r="C7121" s="6">
        <f t="shared" si="1512"/>
        <v>0.28125</v>
      </c>
      <c r="D7121" s="5"/>
      <c r="E7121" s="5"/>
      <c r="F7121" s="5" t="s">
        <v>22</v>
      </c>
      <c r="G7121" s="15" t="s">
        <v>22</v>
      </c>
      <c r="H7121" s="24">
        <f t="shared" si="1455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513">A7121</f>
        <v>45993</v>
      </c>
      <c r="B7122" s="5" t="str">
        <f t="shared" si="1513"/>
        <v>Northern Cardinal</v>
      </c>
      <c r="C7122" s="6">
        <f t="shared" si="1513"/>
        <v>0.28125</v>
      </c>
      <c r="D7122" s="5"/>
      <c r="E7122" s="5"/>
      <c r="F7122" s="5" t="s">
        <v>22</v>
      </c>
      <c r="G7122" s="15" t="s">
        <v>22</v>
      </c>
      <c r="H7122" s="24">
        <f t="shared" si="1455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514">A7122</f>
        <v>45993</v>
      </c>
      <c r="B7123" s="5" t="str">
        <f t="shared" si="1514"/>
        <v>Northern Cardinal</v>
      </c>
      <c r="C7123" s="6">
        <f t="shared" si="1514"/>
        <v>0.28125</v>
      </c>
      <c r="D7123" s="5"/>
      <c r="E7123" s="5"/>
      <c r="F7123" s="5" t="s">
        <v>22</v>
      </c>
      <c r="G7123" s="15" t="s">
        <v>22</v>
      </c>
      <c r="H7123" s="24">
        <f t="shared" si="1455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515">A7123</f>
        <v>45993</v>
      </c>
      <c r="B7124" s="5" t="str">
        <f t="shared" si="1515"/>
        <v>Northern Cardinal</v>
      </c>
      <c r="C7124" s="6">
        <f t="shared" si="1515"/>
        <v>0.28125</v>
      </c>
      <c r="D7124" s="5"/>
      <c r="E7124" s="5"/>
      <c r="F7124" s="5" t="s">
        <v>22</v>
      </c>
      <c r="G7124" s="15" t="s">
        <v>22</v>
      </c>
      <c r="H7124" s="24">
        <f t="shared" si="1455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516">A7124</f>
        <v>45993</v>
      </c>
      <c r="B7125" s="5" t="str">
        <f t="shared" si="1516"/>
        <v>Northern Cardinal</v>
      </c>
      <c r="C7125" s="6">
        <f t="shared" si="1516"/>
        <v>0.28125</v>
      </c>
      <c r="D7125" s="5"/>
      <c r="E7125" s="5"/>
      <c r="F7125" s="5" t="s">
        <v>22</v>
      </c>
      <c r="G7125" s="15" t="s">
        <v>22</v>
      </c>
      <c r="H7125" s="24">
        <f t="shared" si="1455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517">A7125</f>
        <v>45993</v>
      </c>
      <c r="B7126" s="5" t="str">
        <f t="shared" si="1517"/>
        <v>Northern Cardinal</v>
      </c>
      <c r="C7126" s="6">
        <f t="shared" si="1517"/>
        <v>0.28125</v>
      </c>
      <c r="D7126" s="5"/>
      <c r="E7126" s="5"/>
      <c r="F7126" s="5" t="s">
        <v>22</v>
      </c>
      <c r="G7126" s="15" t="s">
        <v>22</v>
      </c>
      <c r="H7126" s="24">
        <f t="shared" si="1455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518">A7126</f>
        <v>45993</v>
      </c>
      <c r="B7127" s="5" t="str">
        <f t="shared" si="1518"/>
        <v>Northern Cardinal</v>
      </c>
      <c r="C7127" s="6">
        <f t="shared" si="1518"/>
        <v>0.28125</v>
      </c>
      <c r="D7127" s="5"/>
      <c r="E7127" s="5"/>
      <c r="F7127" s="5" t="s">
        <v>22</v>
      </c>
      <c r="G7127" s="15" t="s">
        <v>22</v>
      </c>
      <c r="H7127" s="24">
        <f t="shared" si="1455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519">A7127</f>
        <v>45993</v>
      </c>
      <c r="B7128" s="5" t="str">
        <f t="shared" si="1519"/>
        <v>Northern Cardinal</v>
      </c>
      <c r="C7128" s="6">
        <f t="shared" si="1519"/>
        <v>0.28125</v>
      </c>
      <c r="D7128" s="5"/>
      <c r="E7128" s="5"/>
      <c r="F7128" s="5" t="s">
        <v>22</v>
      </c>
      <c r="G7128" s="15" t="s">
        <v>22</v>
      </c>
      <c r="H7128" s="24">
        <f t="shared" ref="H7128:H7190" si="1520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521">A7128</f>
        <v>45993</v>
      </c>
      <c r="B7129" s="5" t="str">
        <f t="shared" si="1521"/>
        <v>Northern Cardinal</v>
      </c>
      <c r="C7129" s="6">
        <f t="shared" si="1521"/>
        <v>0.28125</v>
      </c>
      <c r="D7129" s="5"/>
      <c r="E7129" s="5"/>
      <c r="F7129" s="5" t="s">
        <v>22</v>
      </c>
      <c r="G7129" s="15" t="s">
        <v>22</v>
      </c>
      <c r="H7129" s="24">
        <f t="shared" si="1520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522">A7129</f>
        <v>45993</v>
      </c>
      <c r="B7130" s="5" t="str">
        <f t="shared" si="1522"/>
        <v>Northern Cardinal</v>
      </c>
      <c r="C7130" s="6">
        <f t="shared" si="1522"/>
        <v>0.28125</v>
      </c>
      <c r="D7130" s="5"/>
      <c r="E7130" s="5"/>
      <c r="F7130" s="5" t="s">
        <v>22</v>
      </c>
      <c r="G7130" s="15" t="s">
        <v>22</v>
      </c>
      <c r="H7130" s="24">
        <f t="shared" si="1520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523">A7130</f>
        <v>45993</v>
      </c>
      <c r="B7131" s="5" t="str">
        <f t="shared" si="1523"/>
        <v>Northern Cardinal</v>
      </c>
      <c r="C7131" s="6">
        <f t="shared" si="1523"/>
        <v>0.28125</v>
      </c>
      <c r="D7131" s="5"/>
      <c r="E7131" s="5"/>
      <c r="F7131" s="5" t="s">
        <v>22</v>
      </c>
      <c r="G7131" s="15" t="s">
        <v>22</v>
      </c>
      <c r="H7131" s="24">
        <f t="shared" si="1520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524">A7131</f>
        <v>45993</v>
      </c>
      <c r="B7132" s="5" t="str">
        <f t="shared" si="1524"/>
        <v>Northern Cardinal</v>
      </c>
      <c r="C7132" s="6">
        <f t="shared" si="1524"/>
        <v>0.28125</v>
      </c>
      <c r="D7132" s="5"/>
      <c r="E7132" s="5"/>
      <c r="F7132" s="5" t="s">
        <v>22</v>
      </c>
      <c r="G7132" s="15" t="s">
        <v>22</v>
      </c>
      <c r="H7132" s="24">
        <f t="shared" si="1520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525">A7132</f>
        <v>45993</v>
      </c>
      <c r="B7133" s="5" t="str">
        <f t="shared" si="1525"/>
        <v>Northern Cardinal</v>
      </c>
      <c r="C7133" s="6">
        <f t="shared" si="1525"/>
        <v>0.28125</v>
      </c>
      <c r="D7133" s="5"/>
      <c r="E7133" s="5"/>
      <c r="F7133" s="5" t="s">
        <v>22</v>
      </c>
      <c r="G7133" s="15" t="s">
        <v>22</v>
      </c>
      <c r="H7133" s="24">
        <f t="shared" si="1520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526">A7133</f>
        <v>45993</v>
      </c>
      <c r="B7134" s="5" t="str">
        <f t="shared" si="1526"/>
        <v>Northern Cardinal</v>
      </c>
      <c r="C7134" s="6">
        <f t="shared" si="1526"/>
        <v>0.28125</v>
      </c>
      <c r="D7134" s="5"/>
      <c r="E7134" s="5"/>
      <c r="F7134" s="5" t="s">
        <v>22</v>
      </c>
      <c r="G7134" s="15" t="s">
        <v>22</v>
      </c>
      <c r="H7134" s="24">
        <f t="shared" si="1520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527">A7134</f>
        <v>45993</v>
      </c>
      <c r="B7135" s="5" t="str">
        <f t="shared" si="1527"/>
        <v>Northern Cardinal</v>
      </c>
      <c r="C7135" s="6">
        <f t="shared" si="1527"/>
        <v>0.28125</v>
      </c>
      <c r="D7135" s="5"/>
      <c r="E7135" s="5"/>
      <c r="F7135" s="5" t="s">
        <v>22</v>
      </c>
      <c r="G7135" s="15" t="s">
        <v>22</v>
      </c>
      <c r="H7135" s="24">
        <f t="shared" si="1520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528">A7135</f>
        <v>45993</v>
      </c>
      <c r="B7136" s="5" t="str">
        <f t="shared" si="1528"/>
        <v>Northern Cardinal</v>
      </c>
      <c r="C7136" s="6">
        <f t="shared" si="1528"/>
        <v>0.28125</v>
      </c>
      <c r="D7136" s="5"/>
      <c r="E7136" s="5"/>
      <c r="F7136" s="5" t="s">
        <v>22</v>
      </c>
      <c r="G7136" s="15" t="s">
        <v>22</v>
      </c>
      <c r="H7136" s="24">
        <f t="shared" si="1520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529">A7136</f>
        <v>45993</v>
      </c>
      <c r="B7137" s="5" t="str">
        <f t="shared" si="1529"/>
        <v>Northern Cardinal</v>
      </c>
      <c r="C7137" s="6">
        <f t="shared" si="1529"/>
        <v>0.28125</v>
      </c>
      <c r="D7137" s="5"/>
      <c r="E7137" s="5"/>
      <c r="F7137" s="5" t="s">
        <v>22</v>
      </c>
      <c r="G7137" s="15" t="s">
        <v>22</v>
      </c>
      <c r="H7137" s="24">
        <f t="shared" si="1520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530">A7137</f>
        <v>45993</v>
      </c>
      <c r="B7138" s="5" t="str">
        <f t="shared" si="1530"/>
        <v>Northern Cardinal</v>
      </c>
      <c r="C7138" s="6">
        <f t="shared" si="1530"/>
        <v>0.28125</v>
      </c>
      <c r="D7138" s="5"/>
      <c r="E7138" s="5"/>
      <c r="F7138" s="5" t="s">
        <v>22</v>
      </c>
      <c r="G7138" s="15" t="s">
        <v>22</v>
      </c>
      <c r="H7138" s="24">
        <f t="shared" si="1520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531">A7138</f>
        <v>45993</v>
      </c>
      <c r="B7139" s="5" t="str">
        <f t="shared" si="1531"/>
        <v>Northern Cardinal</v>
      </c>
      <c r="C7139" s="6">
        <f t="shared" si="1531"/>
        <v>0.28125</v>
      </c>
      <c r="D7139" s="5"/>
      <c r="E7139" s="5"/>
      <c r="F7139" s="5" t="s">
        <v>22</v>
      </c>
      <c r="G7139" s="15" t="s">
        <v>22</v>
      </c>
      <c r="H7139" s="24">
        <f t="shared" si="1520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532">A7139</f>
        <v>45993</v>
      </c>
      <c r="B7140" s="5" t="str">
        <f t="shared" si="1532"/>
        <v>Northern Cardinal</v>
      </c>
      <c r="C7140" s="6">
        <f t="shared" si="1532"/>
        <v>0.28125</v>
      </c>
      <c r="D7140" s="5"/>
      <c r="E7140" s="5"/>
      <c r="F7140" s="5" t="s">
        <v>22</v>
      </c>
      <c r="G7140" s="15" t="s">
        <v>22</v>
      </c>
      <c r="H7140" s="24">
        <f t="shared" si="1520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533">A7140</f>
        <v>45993</v>
      </c>
      <c r="B7141" s="5" t="str">
        <f t="shared" si="1533"/>
        <v>Northern Cardinal</v>
      </c>
      <c r="C7141" s="6">
        <f t="shared" si="1533"/>
        <v>0.28125</v>
      </c>
      <c r="D7141" s="5"/>
      <c r="E7141" s="5"/>
      <c r="F7141" s="5" t="s">
        <v>22</v>
      </c>
      <c r="G7141" s="15" t="s">
        <v>22</v>
      </c>
      <c r="H7141" s="24">
        <f t="shared" si="1520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534">A7141</f>
        <v>45993</v>
      </c>
      <c r="B7142" s="5" t="str">
        <f t="shared" si="1534"/>
        <v>Northern Cardinal</v>
      </c>
      <c r="C7142" s="6">
        <f t="shared" si="1534"/>
        <v>0.28125</v>
      </c>
      <c r="D7142" s="5"/>
      <c r="E7142" s="5"/>
      <c r="F7142" s="5" t="s">
        <v>22</v>
      </c>
      <c r="G7142" s="15" t="s">
        <v>22</v>
      </c>
      <c r="H7142" s="24">
        <f t="shared" si="1520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535">A7142</f>
        <v>45993</v>
      </c>
      <c r="B7143" s="5" t="str">
        <f t="shared" si="1535"/>
        <v>Northern Cardinal</v>
      </c>
      <c r="C7143" s="6">
        <f t="shared" si="1535"/>
        <v>0.28125</v>
      </c>
      <c r="D7143" s="5"/>
      <c r="E7143" s="5"/>
      <c r="F7143" s="5" t="s">
        <v>22</v>
      </c>
      <c r="G7143" s="15" t="s">
        <v>22</v>
      </c>
      <c r="H7143" s="24">
        <f t="shared" si="1520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536">A7143</f>
        <v>45993</v>
      </c>
      <c r="B7144" s="5" t="str">
        <f t="shared" si="1536"/>
        <v>Northern Cardinal</v>
      </c>
      <c r="C7144" s="6">
        <f t="shared" si="1536"/>
        <v>0.28125</v>
      </c>
      <c r="D7144" s="5"/>
      <c r="E7144" s="5"/>
      <c r="F7144" s="5" t="s">
        <v>22</v>
      </c>
      <c r="G7144" s="15" t="s">
        <v>22</v>
      </c>
      <c r="H7144" s="24">
        <f t="shared" si="1520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537">A7144</f>
        <v>45993</v>
      </c>
      <c r="B7145" s="5" t="str">
        <f t="shared" si="1537"/>
        <v>Northern Cardinal</v>
      </c>
      <c r="C7145" s="6">
        <f t="shared" si="1537"/>
        <v>0.28125</v>
      </c>
      <c r="D7145" s="5"/>
      <c r="E7145" s="5"/>
      <c r="F7145" s="5" t="s">
        <v>22</v>
      </c>
      <c r="G7145" s="15" t="s">
        <v>22</v>
      </c>
      <c r="H7145" s="24">
        <f t="shared" si="1520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538">A7145</f>
        <v>45993</v>
      </c>
      <c r="B7146" s="5" t="str">
        <f t="shared" si="1538"/>
        <v>Northern Cardinal</v>
      </c>
      <c r="C7146" s="6">
        <f t="shared" si="1538"/>
        <v>0.28125</v>
      </c>
      <c r="D7146" s="5"/>
      <c r="E7146" s="5"/>
      <c r="F7146" s="5" t="s">
        <v>22</v>
      </c>
      <c r="G7146" s="15" t="s">
        <v>22</v>
      </c>
      <c r="H7146" s="24">
        <f t="shared" si="1520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539">A7146</f>
        <v>45993</v>
      </c>
      <c r="B7147" s="5" t="str">
        <f t="shared" si="1539"/>
        <v>Northern Cardinal</v>
      </c>
      <c r="C7147" s="6">
        <f t="shared" si="1539"/>
        <v>0.28125</v>
      </c>
      <c r="D7147" s="5"/>
      <c r="E7147" s="5"/>
      <c r="F7147" s="5" t="s">
        <v>22</v>
      </c>
      <c r="G7147" s="15" t="s">
        <v>22</v>
      </c>
      <c r="H7147" s="24">
        <f t="shared" si="1520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540">A7147</f>
        <v>45993</v>
      </c>
      <c r="B7148" s="5" t="str">
        <f t="shared" si="1540"/>
        <v>Northern Cardinal</v>
      </c>
      <c r="C7148" s="6">
        <f t="shared" si="1540"/>
        <v>0.28125</v>
      </c>
      <c r="D7148" s="5"/>
      <c r="E7148" s="5"/>
      <c r="F7148" s="5" t="s">
        <v>22</v>
      </c>
      <c r="G7148" s="15" t="s">
        <v>22</v>
      </c>
      <c r="H7148" s="24">
        <f t="shared" si="1520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541">A7148</f>
        <v>45993</v>
      </c>
      <c r="B7149" s="5" t="str">
        <f t="shared" si="1541"/>
        <v>Northern Cardinal</v>
      </c>
      <c r="C7149" s="6">
        <f t="shared" si="1541"/>
        <v>0.28125</v>
      </c>
      <c r="D7149" s="5"/>
      <c r="E7149" s="5"/>
      <c r="F7149" s="5" t="s">
        <v>22</v>
      </c>
      <c r="G7149" s="15" t="s">
        <v>22</v>
      </c>
      <c r="H7149" s="24">
        <f t="shared" si="1520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542">A7149</f>
        <v>45993</v>
      </c>
      <c r="B7150" s="5" t="str">
        <f t="shared" si="1542"/>
        <v>Northern Cardinal</v>
      </c>
      <c r="C7150" s="6">
        <f t="shared" si="1542"/>
        <v>0.28125</v>
      </c>
      <c r="D7150" s="5"/>
      <c r="E7150" s="5"/>
      <c r="F7150" s="5" t="s">
        <v>22</v>
      </c>
      <c r="G7150" s="15" t="s">
        <v>22</v>
      </c>
      <c r="H7150" s="24">
        <f t="shared" si="1520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543">A7150</f>
        <v>45993</v>
      </c>
      <c r="B7151" s="5" t="str">
        <f t="shared" si="1543"/>
        <v>Northern Cardinal</v>
      </c>
      <c r="C7151" s="6">
        <f t="shared" si="1543"/>
        <v>0.28125</v>
      </c>
      <c r="D7151" s="5"/>
      <c r="E7151" s="5"/>
      <c r="F7151" s="5" t="s">
        <v>22</v>
      </c>
      <c r="G7151" s="15" t="s">
        <v>22</v>
      </c>
      <c r="H7151" s="24">
        <f t="shared" si="1520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544">A7151</f>
        <v>45993</v>
      </c>
      <c r="B7152" s="5" t="str">
        <f t="shared" si="1544"/>
        <v>Northern Cardinal</v>
      </c>
      <c r="C7152" s="6">
        <f t="shared" si="1544"/>
        <v>0.28125</v>
      </c>
      <c r="D7152" s="5"/>
      <c r="E7152" s="5"/>
      <c r="F7152" s="5" t="s">
        <v>22</v>
      </c>
      <c r="G7152" s="15" t="s">
        <v>22</v>
      </c>
      <c r="H7152" s="24">
        <f t="shared" si="1520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545">A7152</f>
        <v>45993</v>
      </c>
      <c r="B7153" s="5" t="str">
        <f t="shared" si="1545"/>
        <v>Northern Cardinal</v>
      </c>
      <c r="C7153" s="6">
        <f t="shared" si="1545"/>
        <v>0.28125</v>
      </c>
      <c r="D7153" s="5"/>
      <c r="E7153" s="5"/>
      <c r="F7153" s="5" t="s">
        <v>22</v>
      </c>
      <c r="G7153" s="15" t="s">
        <v>22</v>
      </c>
      <c r="H7153" s="24">
        <f t="shared" si="1520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546">A7153</f>
        <v>45993</v>
      </c>
      <c r="B7154" s="5" t="str">
        <f t="shared" si="1546"/>
        <v>Northern Cardinal</v>
      </c>
      <c r="C7154" s="6">
        <f t="shared" si="1546"/>
        <v>0.28125</v>
      </c>
      <c r="D7154" s="5"/>
      <c r="E7154" s="5"/>
      <c r="F7154" s="5" t="s">
        <v>22</v>
      </c>
      <c r="G7154" s="15" t="s">
        <v>22</v>
      </c>
      <c r="H7154" s="24">
        <f t="shared" si="1520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547">A7154</f>
        <v>45993</v>
      </c>
      <c r="B7155" s="5" t="str">
        <f t="shared" si="1547"/>
        <v>Northern Cardinal</v>
      </c>
      <c r="C7155" s="6">
        <f t="shared" si="1547"/>
        <v>0.28125</v>
      </c>
      <c r="D7155" s="5"/>
      <c r="E7155" s="5"/>
      <c r="F7155" s="5" t="s">
        <v>22</v>
      </c>
      <c r="G7155" s="15" t="s">
        <v>22</v>
      </c>
      <c r="H7155" s="24">
        <f t="shared" si="1520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548">A7155</f>
        <v>45993</v>
      </c>
      <c r="B7156" s="5" t="str">
        <f t="shared" si="1548"/>
        <v>Northern Cardinal</v>
      </c>
      <c r="C7156" s="6">
        <f t="shared" si="1548"/>
        <v>0.28125</v>
      </c>
      <c r="D7156" s="5"/>
      <c r="E7156" s="5"/>
      <c r="F7156" s="5" t="s">
        <v>22</v>
      </c>
      <c r="G7156" s="15" t="s">
        <v>22</v>
      </c>
      <c r="H7156" s="24">
        <f t="shared" si="1520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549">A7156</f>
        <v>45993</v>
      </c>
      <c r="B7157" s="5" t="str">
        <f t="shared" si="1549"/>
        <v>Northern Cardinal</v>
      </c>
      <c r="C7157" s="6">
        <f t="shared" si="1549"/>
        <v>0.28125</v>
      </c>
      <c r="D7157" s="5"/>
      <c r="E7157" s="5"/>
      <c r="F7157" s="5" t="s">
        <v>22</v>
      </c>
      <c r="G7157" s="15" t="s">
        <v>22</v>
      </c>
      <c r="H7157" s="24">
        <f t="shared" si="1520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550">A7157</f>
        <v>45993</v>
      </c>
      <c r="B7158" s="5" t="str">
        <f t="shared" si="1550"/>
        <v>Northern Cardinal</v>
      </c>
      <c r="C7158" s="6">
        <f t="shared" si="1550"/>
        <v>0.28125</v>
      </c>
      <c r="D7158" s="5"/>
      <c r="E7158" s="5"/>
      <c r="F7158" s="5" t="s">
        <v>22</v>
      </c>
      <c r="G7158" s="15" t="s">
        <v>22</v>
      </c>
      <c r="H7158" s="24">
        <f t="shared" si="1520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551">A7158</f>
        <v>45993</v>
      </c>
      <c r="B7159" s="5" t="str">
        <f t="shared" si="1551"/>
        <v>Northern Cardinal</v>
      </c>
      <c r="C7159" s="6">
        <f t="shared" si="1551"/>
        <v>0.28125</v>
      </c>
      <c r="D7159" s="5"/>
      <c r="E7159" s="5"/>
      <c r="F7159" s="5" t="s">
        <v>22</v>
      </c>
      <c r="G7159" s="15" t="s">
        <v>22</v>
      </c>
      <c r="H7159" s="24">
        <f t="shared" si="1520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552">A7159</f>
        <v>45993</v>
      </c>
      <c r="B7160" s="5" t="str">
        <f t="shared" si="1552"/>
        <v>Northern Cardinal</v>
      </c>
      <c r="C7160" s="6">
        <f t="shared" si="1552"/>
        <v>0.28125</v>
      </c>
      <c r="D7160" s="5"/>
      <c r="E7160" s="5"/>
      <c r="F7160" s="5" t="s">
        <v>22</v>
      </c>
      <c r="G7160" s="15" t="s">
        <v>22</v>
      </c>
      <c r="H7160" s="24">
        <f t="shared" si="1520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553">A7160</f>
        <v>45993</v>
      </c>
      <c r="B7161" s="5" t="str">
        <f t="shared" si="1553"/>
        <v>Northern Cardinal</v>
      </c>
      <c r="C7161" s="6">
        <f t="shared" si="1553"/>
        <v>0.28125</v>
      </c>
      <c r="D7161" s="5"/>
      <c r="E7161" s="5"/>
      <c r="F7161" s="5" t="s">
        <v>22</v>
      </c>
      <c r="G7161" s="15" t="s">
        <v>22</v>
      </c>
      <c r="H7161" s="24">
        <f t="shared" si="1520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554">A7161</f>
        <v>45993</v>
      </c>
      <c r="B7162" s="5" t="str">
        <f t="shared" si="1554"/>
        <v>Northern Cardinal</v>
      </c>
      <c r="C7162" s="6">
        <f t="shared" si="1554"/>
        <v>0.28125</v>
      </c>
      <c r="D7162" s="5"/>
      <c r="E7162" s="5"/>
      <c r="F7162" s="5" t="s">
        <v>22</v>
      </c>
      <c r="G7162" s="15" t="s">
        <v>22</v>
      </c>
      <c r="H7162" s="24">
        <f t="shared" si="1520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555">A7162</f>
        <v>45993</v>
      </c>
      <c r="B7163" s="5" t="str">
        <f t="shared" si="1555"/>
        <v>Northern Cardinal</v>
      </c>
      <c r="C7163" s="6">
        <f t="shared" si="1555"/>
        <v>0.28125</v>
      </c>
      <c r="D7163" s="5"/>
      <c r="E7163" s="5"/>
      <c r="F7163" s="5" t="s">
        <v>22</v>
      </c>
      <c r="G7163" s="15" t="s">
        <v>22</v>
      </c>
      <c r="H7163" s="24">
        <f t="shared" si="1520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556">A7163</f>
        <v>45993</v>
      </c>
      <c r="B7164" s="5" t="str">
        <f t="shared" si="1556"/>
        <v>Northern Cardinal</v>
      </c>
      <c r="C7164" s="6">
        <f t="shared" si="1556"/>
        <v>0.28125</v>
      </c>
      <c r="D7164" s="5"/>
      <c r="E7164" s="5"/>
      <c r="F7164" s="5" t="s">
        <v>22</v>
      </c>
      <c r="G7164" s="15" t="s">
        <v>22</v>
      </c>
      <c r="H7164" s="24">
        <f t="shared" si="1520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57">A7164</f>
        <v>45993</v>
      </c>
      <c r="B7165" s="5" t="str">
        <f t="shared" si="1557"/>
        <v>Northern Cardinal</v>
      </c>
      <c r="C7165" s="6">
        <f t="shared" si="1557"/>
        <v>0.28125</v>
      </c>
      <c r="D7165" s="5"/>
      <c r="E7165" s="5"/>
      <c r="F7165" s="5" t="s">
        <v>22</v>
      </c>
      <c r="G7165" s="15" t="s">
        <v>22</v>
      </c>
      <c r="H7165" s="24">
        <f t="shared" si="1520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58">A7165</f>
        <v>45993</v>
      </c>
      <c r="B7166" s="5" t="str">
        <f t="shared" si="1558"/>
        <v>Northern Cardinal</v>
      </c>
      <c r="C7166" s="6">
        <f t="shared" si="1558"/>
        <v>0.28125</v>
      </c>
      <c r="D7166" s="5"/>
      <c r="E7166" s="5"/>
      <c r="F7166" s="5" t="s">
        <v>22</v>
      </c>
      <c r="G7166" s="15" t="s">
        <v>22</v>
      </c>
      <c r="H7166" s="24">
        <f t="shared" si="1520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59">A7166</f>
        <v>45993</v>
      </c>
      <c r="B7167" s="5" t="str">
        <f t="shared" si="1559"/>
        <v>Northern Cardinal</v>
      </c>
      <c r="C7167" s="6">
        <f t="shared" si="1559"/>
        <v>0.28125</v>
      </c>
      <c r="D7167" s="5"/>
      <c r="E7167" s="5"/>
      <c r="F7167" s="5" t="s">
        <v>22</v>
      </c>
      <c r="G7167" s="15" t="s">
        <v>22</v>
      </c>
      <c r="H7167" s="24">
        <f t="shared" si="1520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60">A7167</f>
        <v>45993</v>
      </c>
      <c r="B7168" s="5" t="str">
        <f t="shared" si="1560"/>
        <v>Northern Cardinal</v>
      </c>
      <c r="C7168" s="6">
        <f t="shared" si="1560"/>
        <v>0.28125</v>
      </c>
      <c r="D7168" s="5"/>
      <c r="E7168" s="5"/>
      <c r="F7168" s="5" t="s">
        <v>22</v>
      </c>
      <c r="G7168" s="15" t="s">
        <v>22</v>
      </c>
      <c r="H7168" s="24">
        <f t="shared" si="1520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61">A7168</f>
        <v>45993</v>
      </c>
      <c r="B7169" s="5" t="str">
        <f t="shared" si="1561"/>
        <v>Northern Cardinal</v>
      </c>
      <c r="C7169" s="6">
        <f t="shared" si="1561"/>
        <v>0.28125</v>
      </c>
      <c r="D7169" s="5"/>
      <c r="E7169" s="5"/>
      <c r="F7169" s="5" t="s">
        <v>22</v>
      </c>
      <c r="G7169" s="15" t="s">
        <v>22</v>
      </c>
      <c r="H7169" s="24">
        <f t="shared" si="1520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62">A7169</f>
        <v>45993</v>
      </c>
      <c r="B7170" s="5" t="str">
        <f t="shared" si="1562"/>
        <v>Northern Cardinal</v>
      </c>
      <c r="C7170" s="6">
        <f t="shared" si="1562"/>
        <v>0.28125</v>
      </c>
      <c r="D7170" s="5"/>
      <c r="E7170" s="5"/>
      <c r="F7170" s="5" t="s">
        <v>22</v>
      </c>
      <c r="G7170" s="15" t="s">
        <v>22</v>
      </c>
      <c r="H7170" s="24">
        <f t="shared" si="1520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63">A7170</f>
        <v>45993</v>
      </c>
      <c r="B7171" s="5" t="str">
        <f t="shared" si="1563"/>
        <v>Northern Cardinal</v>
      </c>
      <c r="C7171" s="6">
        <f t="shared" si="1563"/>
        <v>0.28125</v>
      </c>
      <c r="D7171" s="5"/>
      <c r="E7171" s="5"/>
      <c r="F7171" s="5" t="s">
        <v>22</v>
      </c>
      <c r="G7171" s="15" t="s">
        <v>22</v>
      </c>
      <c r="H7171" s="24">
        <f t="shared" si="1520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64">A7171</f>
        <v>45993</v>
      </c>
      <c r="B7172" s="5" t="str">
        <f t="shared" si="1564"/>
        <v>Northern Cardinal</v>
      </c>
      <c r="C7172" s="6">
        <f t="shared" si="1564"/>
        <v>0.28125</v>
      </c>
      <c r="D7172" s="5"/>
      <c r="E7172" s="5"/>
      <c r="F7172" s="5" t="s">
        <v>22</v>
      </c>
      <c r="G7172" s="15" t="s">
        <v>22</v>
      </c>
      <c r="H7172" s="24">
        <f t="shared" si="1520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65">A7172</f>
        <v>45993</v>
      </c>
      <c r="B7173" s="5" t="str">
        <f t="shared" si="1565"/>
        <v>Northern Cardinal</v>
      </c>
      <c r="C7173" s="6">
        <f t="shared" si="1565"/>
        <v>0.28125</v>
      </c>
      <c r="D7173" s="5"/>
      <c r="E7173" s="5"/>
      <c r="F7173" s="5" t="s">
        <v>22</v>
      </c>
      <c r="G7173" s="15" t="s">
        <v>22</v>
      </c>
      <c r="H7173" s="24">
        <f t="shared" si="1520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66">A7173</f>
        <v>45993</v>
      </c>
      <c r="B7174" s="5" t="str">
        <f t="shared" si="1566"/>
        <v>Northern Cardinal</v>
      </c>
      <c r="C7174" s="6">
        <f t="shared" si="1566"/>
        <v>0.28125</v>
      </c>
      <c r="D7174" s="5"/>
      <c r="E7174" s="5"/>
      <c r="F7174" s="5" t="s">
        <v>22</v>
      </c>
      <c r="G7174" s="15" t="s">
        <v>22</v>
      </c>
      <c r="H7174" s="24">
        <f t="shared" si="1520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67">A7174</f>
        <v>45993</v>
      </c>
      <c r="B7175" s="5" t="str">
        <f t="shared" si="1567"/>
        <v>Northern Cardinal</v>
      </c>
      <c r="C7175" s="6">
        <f t="shared" si="1567"/>
        <v>0.28125</v>
      </c>
      <c r="D7175" s="5"/>
      <c r="E7175" s="5"/>
      <c r="F7175" s="5" t="s">
        <v>22</v>
      </c>
      <c r="G7175" s="15" t="s">
        <v>22</v>
      </c>
      <c r="H7175" s="24">
        <f t="shared" si="1520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68">A7175</f>
        <v>45993</v>
      </c>
      <c r="B7176" s="5" t="str">
        <f t="shared" si="1568"/>
        <v>Northern Cardinal</v>
      </c>
      <c r="C7176" s="6">
        <f t="shared" si="1568"/>
        <v>0.28125</v>
      </c>
      <c r="D7176" s="5"/>
      <c r="E7176" s="5"/>
      <c r="F7176" s="5" t="s">
        <v>22</v>
      </c>
      <c r="G7176" s="15" t="s">
        <v>22</v>
      </c>
      <c r="H7176" s="24">
        <f t="shared" si="1520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69">A7176</f>
        <v>45993</v>
      </c>
      <c r="B7177" s="5" t="str">
        <f t="shared" si="1569"/>
        <v>Northern Cardinal</v>
      </c>
      <c r="C7177" s="6">
        <f t="shared" si="1569"/>
        <v>0.28125</v>
      </c>
      <c r="D7177" s="5"/>
      <c r="E7177" s="5"/>
      <c r="F7177" s="5" t="s">
        <v>22</v>
      </c>
      <c r="G7177" s="15" t="s">
        <v>22</v>
      </c>
      <c r="H7177" s="24">
        <f t="shared" si="1520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70">A7177</f>
        <v>45993</v>
      </c>
      <c r="B7178" s="5" t="str">
        <f t="shared" si="1570"/>
        <v>Northern Cardinal</v>
      </c>
      <c r="C7178" s="6">
        <f t="shared" si="1570"/>
        <v>0.28125</v>
      </c>
      <c r="D7178" s="5"/>
      <c r="E7178" s="5"/>
      <c r="F7178" s="5" t="s">
        <v>22</v>
      </c>
      <c r="G7178" s="15" t="s">
        <v>22</v>
      </c>
      <c r="H7178" s="24">
        <f t="shared" si="1520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71">A7178</f>
        <v>45993</v>
      </c>
      <c r="B7179" s="5" t="str">
        <f t="shared" si="1571"/>
        <v>Northern Cardinal</v>
      </c>
      <c r="C7179" s="6">
        <f t="shared" si="1571"/>
        <v>0.28125</v>
      </c>
      <c r="D7179" s="5"/>
      <c r="E7179" s="5"/>
      <c r="F7179" s="5" t="s">
        <v>22</v>
      </c>
      <c r="G7179" s="15" t="s">
        <v>22</v>
      </c>
      <c r="H7179" s="24">
        <f t="shared" si="1520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72">A7179</f>
        <v>45993</v>
      </c>
      <c r="B7180" s="5" t="str">
        <f t="shared" si="1572"/>
        <v>Northern Cardinal</v>
      </c>
      <c r="C7180" s="6">
        <f t="shared" si="1572"/>
        <v>0.28125</v>
      </c>
      <c r="D7180" s="5"/>
      <c r="E7180" s="5"/>
      <c r="F7180" s="5" t="s">
        <v>22</v>
      </c>
      <c r="G7180" s="15" t="s">
        <v>22</v>
      </c>
      <c r="H7180" s="24">
        <f t="shared" si="1520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73">A7180</f>
        <v>45993</v>
      </c>
      <c r="B7181" s="5" t="str">
        <f t="shared" si="1573"/>
        <v>Northern Cardinal</v>
      </c>
      <c r="C7181" s="6">
        <f t="shared" si="1573"/>
        <v>0.28125</v>
      </c>
      <c r="D7181" s="5"/>
      <c r="E7181" s="5"/>
      <c r="F7181" s="5" t="s">
        <v>22</v>
      </c>
      <c r="G7181" s="15" t="s">
        <v>22</v>
      </c>
      <c r="H7181" s="24">
        <f t="shared" si="1520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74">A7181</f>
        <v>45993</v>
      </c>
      <c r="B7182" s="5" t="str">
        <f t="shared" si="1574"/>
        <v>Northern Cardinal</v>
      </c>
      <c r="C7182" s="6">
        <f t="shared" si="1574"/>
        <v>0.28125</v>
      </c>
      <c r="D7182" s="5"/>
      <c r="E7182" s="5"/>
      <c r="F7182" s="5" t="s">
        <v>22</v>
      </c>
      <c r="G7182" s="15" t="s">
        <v>22</v>
      </c>
      <c r="H7182" s="24">
        <f t="shared" si="1520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75">A7182</f>
        <v>45993</v>
      </c>
      <c r="B7183" s="5" t="str">
        <f t="shared" si="1575"/>
        <v>Northern Cardinal</v>
      </c>
      <c r="C7183" s="6">
        <f t="shared" si="1575"/>
        <v>0.28125</v>
      </c>
      <c r="D7183" s="5"/>
      <c r="E7183" s="5"/>
      <c r="F7183" s="5" t="s">
        <v>22</v>
      </c>
      <c r="G7183" s="15" t="s">
        <v>22</v>
      </c>
      <c r="H7183" s="24">
        <f t="shared" si="1520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76">A7183</f>
        <v>45993</v>
      </c>
      <c r="B7184" s="5" t="str">
        <f t="shared" si="1576"/>
        <v>Northern Cardinal</v>
      </c>
      <c r="C7184" s="6">
        <f t="shared" si="1576"/>
        <v>0.28125</v>
      </c>
      <c r="D7184" s="5"/>
      <c r="E7184" s="5"/>
      <c r="F7184" s="5" t="s">
        <v>22</v>
      </c>
      <c r="G7184" s="15" t="s">
        <v>22</v>
      </c>
      <c r="H7184" s="24">
        <f t="shared" si="1520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77">A7184</f>
        <v>45993</v>
      </c>
      <c r="B7185" s="5" t="str">
        <f t="shared" si="1577"/>
        <v>Northern Cardinal</v>
      </c>
      <c r="C7185" s="6">
        <f t="shared" si="1577"/>
        <v>0.28125</v>
      </c>
      <c r="D7185" s="5"/>
      <c r="E7185" s="5"/>
      <c r="F7185" s="5" t="s">
        <v>22</v>
      </c>
      <c r="G7185" s="15" t="s">
        <v>22</v>
      </c>
      <c r="H7185" s="24">
        <f t="shared" si="1520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78">A7185</f>
        <v>45993</v>
      </c>
      <c r="B7186" s="5" t="str">
        <f t="shared" si="1578"/>
        <v>Northern Cardinal</v>
      </c>
      <c r="C7186" s="6">
        <f t="shared" si="1578"/>
        <v>0.28125</v>
      </c>
      <c r="D7186" s="5"/>
      <c r="E7186" s="5"/>
      <c r="F7186" s="5" t="s">
        <v>22</v>
      </c>
      <c r="G7186" s="15" t="s">
        <v>22</v>
      </c>
      <c r="H7186" s="24">
        <f t="shared" si="1520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79">A7186</f>
        <v>45993</v>
      </c>
      <c r="B7187" s="5" t="str">
        <f t="shared" si="1579"/>
        <v>Northern Cardinal</v>
      </c>
      <c r="C7187" s="6">
        <f t="shared" si="1579"/>
        <v>0.28125</v>
      </c>
      <c r="D7187" s="5"/>
      <c r="E7187" s="5"/>
      <c r="F7187" s="5" t="s">
        <v>22</v>
      </c>
      <c r="G7187" s="15" t="s">
        <v>22</v>
      </c>
      <c r="H7187" s="24">
        <f t="shared" si="1520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80">A7187</f>
        <v>45993</v>
      </c>
      <c r="B7188" s="5" t="str">
        <f t="shared" si="1580"/>
        <v>Northern Cardinal</v>
      </c>
      <c r="C7188" s="6">
        <f t="shared" si="1580"/>
        <v>0.28125</v>
      </c>
      <c r="D7188" s="5"/>
      <c r="E7188" s="5"/>
      <c r="F7188" s="5" t="s">
        <v>22</v>
      </c>
      <c r="G7188" s="15" t="s">
        <v>22</v>
      </c>
      <c r="H7188" s="24">
        <f t="shared" si="1520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81">A7188</f>
        <v>45993</v>
      </c>
      <c r="B7189" s="5" t="str">
        <f t="shared" si="1581"/>
        <v>Northern Cardinal</v>
      </c>
      <c r="C7189" s="6">
        <f t="shared" si="1581"/>
        <v>0.28125</v>
      </c>
      <c r="D7189" s="5"/>
      <c r="E7189" s="5"/>
      <c r="F7189" s="5" t="s">
        <v>22</v>
      </c>
      <c r="G7189" s="15" t="s">
        <v>22</v>
      </c>
      <c r="H7189" s="24">
        <f t="shared" si="1520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82">A7189</f>
        <v>45993</v>
      </c>
      <c r="B7190" s="5" t="str">
        <f t="shared" si="1582"/>
        <v>Northern Cardinal</v>
      </c>
      <c r="C7190" s="6">
        <f t="shared" si="1582"/>
        <v>0.28125</v>
      </c>
      <c r="D7190" s="5"/>
      <c r="E7190" s="5"/>
      <c r="F7190" s="5" t="s">
        <v>22</v>
      </c>
      <c r="G7190" s="15" t="s">
        <v>22</v>
      </c>
      <c r="H7190" s="24">
        <f t="shared" si="1520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38"/>
  <sheetViews>
    <sheetView tabSelected="1" zoomScale="120" zoomScaleNormal="120" workbookViewId="0">
      <pane ySplit="1" topLeftCell="A209" activePane="bottomLeft" state="frozen"/>
      <selection pane="bottomLeft" activeCell="A235" sqref="A235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10">
        <v>45992</v>
      </c>
      <c r="B238" s="11" t="s">
        <v>20</v>
      </c>
      <c r="C238" s="11">
        <f>COUNTIFS(RawData!$B:$B, $B238, RawData!$A:$A, DailySummaries!$A238)</f>
        <v>26</v>
      </c>
      <c r="D238" s="11">
        <f>SUMIFS(RawData!$D:$D,RawData!$B:$B,$B238,RawData!$A:$A,DailySummaries!$A238)+1</f>
        <v>20</v>
      </c>
      <c r="E238" s="11">
        <f>SUMIFS(RawData!$E:$E,RawData!$B:$B,$B238,RawData!$A:$A,DailySummaries!$A238)+1</f>
        <v>21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2025-12-02T10:12:43Z</dcterms:modified>
</cp:coreProperties>
</file>
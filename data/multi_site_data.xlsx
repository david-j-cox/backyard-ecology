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Library/CloudStorage/Dropbox/Miscellaneous/backyard-ecology/data/"/>
    </mc:Choice>
  </mc:AlternateContent>
  <xr:revisionPtr revIDLastSave="0" documentId="13_ncr:1_{D70F1247-60DD-614C-86F3-2800D87A77F3}" xr6:coauthVersionLast="47" xr6:coauthVersionMax="47" xr10:uidLastSave="{00000000-0000-0000-0000-000000000000}"/>
  <bookViews>
    <workbookView xWindow="0" yWindow="620" windowWidth="33600" windowHeight="1922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68" i="2" l="1"/>
  <c r="D268" i="2"/>
  <c r="E268" i="2"/>
  <c r="C269" i="2"/>
  <c r="D269" i="2"/>
  <c r="E269" i="2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C6970" i="1" l="1"/>
  <c r="C6973" i="1" s="1"/>
  <c r="C6976" i="1" s="1"/>
  <c r="C6979" i="1" s="1"/>
  <c r="C6981" i="1" s="1"/>
  <c r="C6990" i="1" s="1"/>
  <c r="C6991" i="1" s="1"/>
  <c r="C6992" i="1" s="1"/>
  <c r="C6993" i="1" s="1"/>
  <c r="C6994" i="1" s="1"/>
  <c r="C6995" i="1" s="1"/>
  <c r="C6996" i="1" s="1"/>
  <c r="C6997" i="1" s="1"/>
  <c r="C6998" i="1" s="1"/>
  <c r="C6999" i="1" s="1"/>
  <c r="C7000" i="1" s="1"/>
  <c r="C7001" i="1" s="1"/>
  <c r="C7002" i="1" s="1"/>
  <c r="C7003" i="1" s="1"/>
  <c r="C7004" i="1" s="1"/>
  <c r="C7005" i="1" s="1"/>
  <c r="C7006" i="1" s="1"/>
  <c r="C7007" i="1" s="1"/>
  <c r="C7008" i="1" s="1"/>
  <c r="C7009" i="1" s="1"/>
  <c r="C7010" i="1" s="1"/>
  <c r="C7011" i="1" s="1"/>
  <c r="C7012" i="1" s="1"/>
  <c r="C7013" i="1" s="1"/>
  <c r="C7014" i="1" s="1"/>
  <c r="C7015" i="1" s="1"/>
  <c r="C7016" i="1" s="1"/>
  <c r="C7017" i="1" s="1"/>
  <c r="C7018" i="1" s="1"/>
  <c r="C7019" i="1" s="1"/>
  <c r="C7020" i="1" s="1"/>
  <c r="C7021" i="1" s="1"/>
  <c r="C7022" i="1" s="1"/>
  <c r="C7023" i="1" s="1"/>
  <c r="C7024" i="1" s="1"/>
  <c r="C7025" i="1" s="1"/>
  <c r="C7026" i="1" s="1"/>
  <c r="C7027" i="1" s="1"/>
  <c r="C7028" i="1" s="1"/>
  <c r="C7029" i="1" s="1"/>
  <c r="C7030" i="1" s="1"/>
  <c r="C7031" i="1" s="1"/>
  <c r="C7032" i="1" s="1"/>
  <c r="C7033" i="1" s="1"/>
  <c r="C7034" i="1" s="1"/>
  <c r="C7035" i="1" s="1"/>
  <c r="C7036" i="1" s="1"/>
  <c r="C7037" i="1" s="1"/>
  <c r="C7038" i="1" s="1"/>
  <c r="C7039" i="1" s="1"/>
  <c r="C7040" i="1" s="1"/>
  <c r="C7041" i="1" s="1"/>
  <c r="C7042" i="1" s="1"/>
  <c r="C7043" i="1" s="1"/>
  <c r="C7044" i="1" s="1"/>
  <c r="C7045" i="1" s="1"/>
  <c r="C7046" i="1" s="1"/>
  <c r="C7047" i="1" s="1"/>
  <c r="C7048" i="1" s="1"/>
  <c r="C7049" i="1" s="1"/>
  <c r="C7050" i="1" s="1"/>
  <c r="C7051" i="1" s="1"/>
  <c r="C7052" i="1" s="1"/>
  <c r="C7053" i="1" s="1"/>
  <c r="C7054" i="1" s="1"/>
  <c r="C7055" i="1" s="1"/>
  <c r="C7056" i="1" s="1"/>
  <c r="C7057" i="1" s="1"/>
  <c r="C7058" i="1" s="1"/>
  <c r="C7059" i="1" s="1"/>
  <c r="C7060" i="1" s="1"/>
  <c r="C7061" i="1" s="1"/>
  <c r="C7062" i="1" s="1"/>
  <c r="C7063" i="1" s="1"/>
  <c r="C7064" i="1" s="1"/>
  <c r="C7065" i="1" s="1"/>
  <c r="C7066" i="1" s="1"/>
  <c r="C7067" i="1" s="1"/>
  <c r="C7068" i="1" s="1"/>
  <c r="C7069" i="1" s="1"/>
  <c r="C7070" i="1" s="1"/>
  <c r="C7071" i="1" s="1"/>
  <c r="C7072" i="1" s="1"/>
  <c r="C7073" i="1" s="1"/>
  <c r="C7074" i="1" s="1"/>
  <c r="C7075" i="1" s="1"/>
  <c r="C7076" i="1" s="1"/>
  <c r="C7077" i="1" s="1"/>
  <c r="C7078" i="1" s="1"/>
  <c r="C7079" i="1" s="1"/>
  <c r="C7080" i="1" s="1"/>
  <c r="C7081" i="1" s="1"/>
  <c r="C7082" i="1" s="1"/>
  <c r="C7083" i="1" s="1"/>
  <c r="C7084" i="1" s="1"/>
  <c r="C7085" i="1" s="1"/>
  <c r="C7086" i="1" s="1"/>
  <c r="C7087" i="1" s="1"/>
  <c r="C7088" i="1" s="1"/>
  <c r="C7089" i="1" s="1"/>
  <c r="C7090" i="1" s="1"/>
  <c r="C7091" i="1" s="1"/>
  <c r="C7092" i="1" s="1"/>
  <c r="C7093" i="1" s="1"/>
  <c r="C7094" i="1" s="1"/>
  <c r="C7095" i="1" s="1"/>
  <c r="C7096" i="1" s="1"/>
  <c r="C7097" i="1" s="1"/>
  <c r="C7098" i="1" s="1"/>
  <c r="C7099" i="1" s="1"/>
  <c r="C7100" i="1" s="1"/>
  <c r="C7101" i="1" s="1"/>
  <c r="C7102" i="1" s="1"/>
  <c r="C7103" i="1" s="1"/>
  <c r="C7104" i="1" s="1"/>
  <c r="C7105" i="1" s="1"/>
  <c r="C7106" i="1" s="1"/>
  <c r="C7107" i="1" s="1"/>
  <c r="C7108" i="1" s="1"/>
  <c r="C7109" i="1" s="1"/>
  <c r="C7110" i="1" s="1"/>
  <c r="C7111" i="1" s="1"/>
  <c r="C7112" i="1" s="1"/>
  <c r="C7113" i="1" s="1"/>
  <c r="C7114" i="1" s="1"/>
  <c r="C7115" i="1" s="1"/>
  <c r="C7116" i="1" s="1"/>
  <c r="C7117" i="1" s="1"/>
  <c r="C7118" i="1" s="1"/>
  <c r="C7119" i="1" s="1"/>
  <c r="C7120" i="1" s="1"/>
  <c r="C7121" i="1" s="1"/>
  <c r="C7122" i="1" s="1"/>
  <c r="C7123" i="1" s="1"/>
  <c r="C7124" i="1" s="1"/>
  <c r="C7125" i="1" s="1"/>
  <c r="C7126" i="1" s="1"/>
  <c r="C7127" i="1" s="1"/>
  <c r="C7128" i="1" s="1"/>
  <c r="C7129" i="1" s="1"/>
  <c r="C7130" i="1" s="1"/>
  <c r="C7131" i="1" s="1"/>
  <c r="C7132" i="1" s="1"/>
  <c r="C7133" i="1" s="1"/>
  <c r="C7134" i="1" s="1"/>
  <c r="C7135" i="1" s="1"/>
  <c r="C7136" i="1" s="1"/>
  <c r="C7137" i="1" s="1"/>
  <c r="C7138" i="1" s="1"/>
  <c r="C7139" i="1" s="1"/>
  <c r="C7140" i="1" s="1"/>
  <c r="C7141" i="1" s="1"/>
  <c r="C7142" i="1" s="1"/>
  <c r="C7143" i="1" s="1"/>
  <c r="C7144" i="1" s="1"/>
  <c r="C7145" i="1" s="1"/>
  <c r="C7146" i="1" s="1"/>
  <c r="C7147" i="1" s="1"/>
  <c r="C7148" i="1" s="1"/>
  <c r="C7149" i="1" s="1"/>
  <c r="C7150" i="1" s="1"/>
  <c r="C7151" i="1" s="1"/>
  <c r="C7152" i="1" s="1"/>
  <c r="C7153" i="1" s="1"/>
  <c r="C7154" i="1" s="1"/>
  <c r="C7155" i="1" s="1"/>
  <c r="C7156" i="1" s="1"/>
  <c r="C7157" i="1" s="1"/>
  <c r="C7158" i="1" s="1"/>
  <c r="C7159" i="1" s="1"/>
  <c r="C7160" i="1" s="1"/>
  <c r="C7161" i="1" s="1"/>
  <c r="C7162" i="1" s="1"/>
  <c r="C7163" i="1" s="1"/>
  <c r="C7164" i="1" s="1"/>
  <c r="C7165" i="1" s="1"/>
  <c r="C7166" i="1" s="1"/>
  <c r="C7167" i="1" s="1"/>
  <c r="C7168" i="1" s="1"/>
  <c r="C7169" i="1" s="1"/>
  <c r="C7170" i="1" s="1"/>
  <c r="C7171" i="1" s="1"/>
  <c r="C7172" i="1" s="1"/>
  <c r="C7173" i="1" s="1"/>
  <c r="C7174" i="1" s="1"/>
  <c r="C7175" i="1" s="1"/>
  <c r="C7176" i="1" s="1"/>
  <c r="C7177" i="1" s="1"/>
  <c r="C7178" i="1" s="1"/>
  <c r="C7179" i="1" s="1"/>
  <c r="C7180" i="1" s="1"/>
  <c r="C7181" i="1" s="1"/>
  <c r="C7182" i="1" s="1"/>
  <c r="C7183" i="1" s="1"/>
  <c r="C7184" i="1" s="1"/>
  <c r="C7185" i="1" s="1"/>
  <c r="C7186" i="1" s="1"/>
  <c r="C7187" i="1" s="1"/>
  <c r="C7188" i="1" s="1"/>
  <c r="C7189" i="1" s="1"/>
  <c r="C71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6418" i="1" l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I6418" i="1" l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3295" i="1" l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3391" i="1" l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L3392" i="1" l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3393" i="1" l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H3394" i="1" l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K3395" i="1" l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B4534" i="1" l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4" i="1" l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3399" i="1" l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3399" i="1" l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L3400" i="1" l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I3401" i="1" l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H3402" i="1" l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K3403" i="1" l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H3404" i="1" l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I3405" i="1" l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H3406" i="1" l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K3407" i="1" l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L3408" i="1" l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I3409" i="1" l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H3410" i="1" l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K3411" i="1" l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L3412" i="1" l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H3413" i="1" l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J3414" i="1" l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H3415" i="1" l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L3416" i="1" l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I3417" i="1" l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H3418" i="1" l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K3419" i="1" l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L3420" i="1" l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H3421" i="1" l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3423" i="1" l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H3423" i="1" l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I3424" i="1" l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M3425" i="1" l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H3426" i="1" l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B3428" i="1" l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H3428" i="1" l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L3429" i="1" l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I3430" i="1" l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3432" i="1" l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K3432" i="1" l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L3433" i="1" l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I3434" i="1" l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A3436" i="1" l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K3436" i="1" l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I3437" i="1" l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H3438" i="1" l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B3440" i="1" l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H3440" i="1" l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H6963" i="1" l="1"/>
  <c r="K6963" i="1" a="1"/>
  <c r="K6963" i="1" s="1"/>
  <c r="L6963" i="1" a="1"/>
  <c r="L6963" i="1" s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H3442" i="1" l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B3444" i="1" l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M6966" i="1" l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I6967" i="1" l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H6968" i="1" l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O6969" i="1" l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A6971" i="1" l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L6971" i="1" l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H6972" i="1" l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J6973" i="1" l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H6974" i="1" l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P6975" i="1" l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H6976" i="1" l="1"/>
  <c r="A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M6977" i="1" l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H6978" i="1" l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J6979" i="1" l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B6981" i="1" l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H6981" i="1" l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4599" i="1" l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P4598" i="1" l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M4599" i="1" l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M4600" i="1" l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4603" i="1" l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B4603" i="1" l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P4603" i="1" l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B6990" i="1" l="1"/>
  <c r="P4604" i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M6990" i="1" l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B6991" i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6992" i="1" l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C263" i="2" l="1"/>
  <c r="I6992" i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C259" i="2" s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C262" i="2" l="1"/>
  <c r="C265" i="2"/>
  <c r="E264" i="2"/>
  <c r="C258" i="2"/>
  <c r="C264" i="2"/>
  <c r="E259" i="2"/>
  <c r="E260" i="2"/>
  <c r="E262" i="2"/>
  <c r="C260" i="2"/>
  <c r="E263" i="2"/>
  <c r="E266" i="2"/>
  <c r="A6994" i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C267" i="2" l="1"/>
  <c r="E257" i="2"/>
  <c r="E265" i="2"/>
  <c r="E258" i="2"/>
  <c r="C257" i="2"/>
  <c r="E267" i="2"/>
  <c r="C266" i="2"/>
  <c r="K6994" i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J6995" i="1" l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H6996" i="1" l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B6997" i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L6997" i="1" l="1" a="1"/>
  <c r="L6997" i="1" s="1"/>
  <c r="P6997" i="1" a="1"/>
  <c r="P6997" i="1" s="1"/>
  <c r="B6998" i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A6998" i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A6999" i="1" l="1"/>
  <c r="H6998" i="1"/>
  <c r="K6998" i="1" a="1"/>
  <c r="K6998" i="1" s="1"/>
  <c r="O6998" i="1" a="1"/>
  <c r="O6998" i="1" s="1"/>
  <c r="S6998" i="1" a="1"/>
  <c r="S6998" i="1" s="1"/>
  <c r="L6998" i="1" a="1"/>
  <c r="L6998" i="1" s="1"/>
  <c r="P6998" i="1" a="1"/>
  <c r="P6998" i="1" s="1"/>
  <c r="B6999" i="1"/>
  <c r="I6998" i="1" a="1"/>
  <c r="I6998" i="1" s="1"/>
  <c r="M6998" i="1" a="1"/>
  <c r="M6998" i="1" s="1"/>
  <c r="Q6998" i="1" a="1"/>
  <c r="Q6998" i="1" s="1"/>
  <c r="N6998" i="1" a="1"/>
  <c r="N6998" i="1" s="1"/>
  <c r="R6998" i="1" a="1"/>
  <c r="R6998" i="1" s="1"/>
  <c r="J6998" i="1" a="1"/>
  <c r="J6998" i="1" s="1"/>
  <c r="B4614" i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J6999" i="1" l="1" a="1"/>
  <c r="J6999" i="1" s="1"/>
  <c r="N6999" i="1" a="1"/>
  <c r="N6999" i="1" s="1"/>
  <c r="R6999" i="1" a="1"/>
  <c r="R6999" i="1" s="1"/>
  <c r="K6999" i="1" a="1"/>
  <c r="K6999" i="1" s="1"/>
  <c r="O6999" i="1" a="1"/>
  <c r="O6999" i="1" s="1"/>
  <c r="S6999" i="1" a="1"/>
  <c r="S6999" i="1" s="1"/>
  <c r="L6999" i="1" a="1"/>
  <c r="L6999" i="1" s="1"/>
  <c r="P6999" i="1" a="1"/>
  <c r="P6999" i="1" s="1"/>
  <c r="I6999" i="1" a="1"/>
  <c r="I6999" i="1" s="1"/>
  <c r="B7000" i="1"/>
  <c r="M6999" i="1" a="1"/>
  <c r="M6999" i="1" s="1"/>
  <c r="Q6999" i="1" a="1"/>
  <c r="Q6999" i="1" s="1"/>
  <c r="A7000" i="1"/>
  <c r="H6999" i="1"/>
  <c r="A4616" i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H7000" i="1" l="1"/>
  <c r="A7001" i="1"/>
  <c r="I7000" i="1" a="1"/>
  <c r="I7000" i="1" s="1"/>
  <c r="M7000" i="1" a="1"/>
  <c r="M7000" i="1" s="1"/>
  <c r="Q7000" i="1" a="1"/>
  <c r="Q7000" i="1" s="1"/>
  <c r="J7000" i="1" a="1"/>
  <c r="J7000" i="1" s="1"/>
  <c r="N7000" i="1" a="1"/>
  <c r="N7000" i="1" s="1"/>
  <c r="R7000" i="1" a="1"/>
  <c r="R7000" i="1" s="1"/>
  <c r="K7000" i="1" a="1"/>
  <c r="K7000" i="1" s="1"/>
  <c r="O7000" i="1" a="1"/>
  <c r="O7000" i="1" s="1"/>
  <c r="S7000" i="1" a="1"/>
  <c r="S7000" i="1" s="1"/>
  <c r="B7001" i="1"/>
  <c r="L7000" i="1" a="1"/>
  <c r="L7000" i="1" s="1"/>
  <c r="P7000" i="1" a="1"/>
  <c r="P7000" i="1" s="1"/>
  <c r="P4615" i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L7001" i="1" l="1" a="1"/>
  <c r="L7001" i="1" s="1"/>
  <c r="P7001" i="1" a="1"/>
  <c r="P7001" i="1" s="1"/>
  <c r="B7002" i="1"/>
  <c r="I7001" i="1" a="1"/>
  <c r="I7001" i="1" s="1"/>
  <c r="M7001" i="1" a="1"/>
  <c r="M7001" i="1" s="1"/>
  <c r="Q7001" i="1" a="1"/>
  <c r="Q7001" i="1" s="1"/>
  <c r="J7001" i="1" a="1"/>
  <c r="J7001" i="1" s="1"/>
  <c r="O7001" i="1" a="1"/>
  <c r="O7001" i="1" s="1"/>
  <c r="R7001" i="1" a="1"/>
  <c r="R7001" i="1" s="1"/>
  <c r="K7001" i="1" a="1"/>
  <c r="K7001" i="1" s="1"/>
  <c r="S7001" i="1" a="1"/>
  <c r="S7001" i="1" s="1"/>
  <c r="N7001" i="1" a="1"/>
  <c r="N7001" i="1" s="1"/>
  <c r="A7002" i="1"/>
  <c r="H7001" i="1"/>
  <c r="A4618" i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H7002" i="1" l="1"/>
  <c r="A7003" i="1"/>
  <c r="K7002" i="1" a="1"/>
  <c r="K7002" i="1" s="1"/>
  <c r="O7002" i="1" a="1"/>
  <c r="O7002" i="1" s="1"/>
  <c r="S7002" i="1" a="1"/>
  <c r="S7002" i="1" s="1"/>
  <c r="B7003" i="1"/>
  <c r="I7002" i="1" a="1"/>
  <c r="I7002" i="1" s="1"/>
  <c r="P7002" i="1" a="1"/>
  <c r="P7002" i="1" s="1"/>
  <c r="J7002" i="1" a="1"/>
  <c r="J7002" i="1" s="1"/>
  <c r="Q7002" i="1" a="1"/>
  <c r="Q7002" i="1" s="1"/>
  <c r="M7002" i="1" a="1"/>
  <c r="M7002" i="1" s="1"/>
  <c r="L7002" i="1" a="1"/>
  <c r="L7002" i="1" s="1"/>
  <c r="N7002" i="1" a="1"/>
  <c r="N7002" i="1" s="1"/>
  <c r="R7002" i="1" a="1"/>
  <c r="R7002" i="1" s="1"/>
  <c r="M4617" i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J7003" i="1" l="1" a="1"/>
  <c r="J7003" i="1" s="1"/>
  <c r="N7003" i="1" a="1"/>
  <c r="N7003" i="1" s="1"/>
  <c r="R7003" i="1" a="1"/>
  <c r="R7003" i="1" s="1"/>
  <c r="O7003" i="1" a="1"/>
  <c r="O7003" i="1" s="1"/>
  <c r="I7003" i="1" a="1"/>
  <c r="I7003" i="1" s="1"/>
  <c r="P7003" i="1" a="1"/>
  <c r="P7003" i="1" s="1"/>
  <c r="K7003" i="1" a="1"/>
  <c r="K7003" i="1" s="1"/>
  <c r="Q7003" i="1" a="1"/>
  <c r="Q7003" i="1" s="1"/>
  <c r="S7003" i="1" a="1"/>
  <c r="S7003" i="1" s="1"/>
  <c r="L7003" i="1" a="1"/>
  <c r="L7003" i="1" s="1"/>
  <c r="M7003" i="1" a="1"/>
  <c r="M7003" i="1" s="1"/>
  <c r="B7004" i="1"/>
  <c r="H7003" i="1"/>
  <c r="A7004" i="1"/>
  <c r="A4620" i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H7004" i="1" l="1"/>
  <c r="A7005" i="1"/>
  <c r="I7004" i="1" a="1"/>
  <c r="I7004" i="1" s="1"/>
  <c r="M7004" i="1" a="1"/>
  <c r="M7004" i="1" s="1"/>
  <c r="Q7004" i="1" a="1"/>
  <c r="Q7004" i="1" s="1"/>
  <c r="O7004" i="1" a="1"/>
  <c r="O7004" i="1" s="1"/>
  <c r="B7005" i="1"/>
  <c r="J7004" i="1" a="1"/>
  <c r="J7004" i="1" s="1"/>
  <c r="P7004" i="1" a="1"/>
  <c r="P7004" i="1" s="1"/>
  <c r="K7004" i="1" a="1"/>
  <c r="K7004" i="1" s="1"/>
  <c r="L7004" i="1" a="1"/>
  <c r="L7004" i="1" s="1"/>
  <c r="S7004" i="1" a="1"/>
  <c r="S7004" i="1" s="1"/>
  <c r="N7004" i="1" a="1"/>
  <c r="N7004" i="1" s="1"/>
  <c r="R7004" i="1" a="1"/>
  <c r="R7004" i="1" s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L7005" i="1" l="1" a="1"/>
  <c r="L7005" i="1" s="1"/>
  <c r="P7005" i="1" a="1"/>
  <c r="P7005" i="1" s="1"/>
  <c r="B7006" i="1"/>
  <c r="I7005" i="1" a="1"/>
  <c r="I7005" i="1" s="1"/>
  <c r="O7005" i="1" a="1"/>
  <c r="O7005" i="1" s="1"/>
  <c r="J7005" i="1" a="1"/>
  <c r="J7005" i="1" s="1"/>
  <c r="Q7005" i="1" a="1"/>
  <c r="Q7005" i="1" s="1"/>
  <c r="S7005" i="1" a="1"/>
  <c r="S7005" i="1" s="1"/>
  <c r="K7005" i="1" a="1"/>
  <c r="K7005" i="1" s="1"/>
  <c r="M7005" i="1" a="1"/>
  <c r="M7005" i="1" s="1"/>
  <c r="N7005" i="1" a="1"/>
  <c r="N7005" i="1" s="1"/>
  <c r="R7005" i="1" a="1"/>
  <c r="R7005" i="1" s="1"/>
  <c r="A7006" i="1"/>
  <c r="H7005" i="1"/>
  <c r="A4622" i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H7006" i="1" l="1"/>
  <c r="A7007" i="1"/>
  <c r="K7006" i="1" a="1"/>
  <c r="K7006" i="1" s="1"/>
  <c r="O7006" i="1" a="1"/>
  <c r="O7006" i="1" s="1"/>
  <c r="S7006" i="1" a="1"/>
  <c r="S7006" i="1" s="1"/>
  <c r="B7007" i="1"/>
  <c r="N7006" i="1" a="1"/>
  <c r="N7006" i="1" s="1"/>
  <c r="I7006" i="1" a="1"/>
  <c r="I7006" i="1" s="1"/>
  <c r="P7006" i="1" a="1"/>
  <c r="P7006" i="1" s="1"/>
  <c r="J7006" i="1" a="1"/>
  <c r="J7006" i="1" s="1"/>
  <c r="Q7006" i="1" a="1"/>
  <c r="Q7006" i="1" s="1"/>
  <c r="L7006" i="1" a="1"/>
  <c r="L7006" i="1" s="1"/>
  <c r="R7006" i="1" a="1"/>
  <c r="R7006" i="1" s="1"/>
  <c r="M7006" i="1" a="1"/>
  <c r="M7006" i="1" s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J7007" i="1" l="1" a="1"/>
  <c r="J7007" i="1" s="1"/>
  <c r="N7007" i="1" a="1"/>
  <c r="N7007" i="1" s="1"/>
  <c r="R7007" i="1" a="1"/>
  <c r="R7007" i="1" s="1"/>
  <c r="S7007" i="1" a="1"/>
  <c r="S7007" i="1" s="1"/>
  <c r="O7007" i="1" a="1"/>
  <c r="O7007" i="1" s="1"/>
  <c r="I7007" i="1" a="1"/>
  <c r="I7007" i="1" s="1"/>
  <c r="P7007" i="1" a="1"/>
  <c r="P7007" i="1" s="1"/>
  <c r="B7008" i="1"/>
  <c r="L7007" i="1" a="1"/>
  <c r="L7007" i="1" s="1"/>
  <c r="Q7007" i="1" a="1"/>
  <c r="Q7007" i="1" s="1"/>
  <c r="K7007" i="1" a="1"/>
  <c r="K7007" i="1" s="1"/>
  <c r="M7007" i="1" a="1"/>
  <c r="M7007" i="1" s="1"/>
  <c r="H7007" i="1"/>
  <c r="A7008" i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I7008" i="1" l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L7009" i="1" l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K7010" i="1" l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H7011" i="1" l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I7012" i="1" l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7014" i="1" l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K7014" i="1" l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J7015" i="1" l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I7016" i="1" l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L7017" i="1" l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B7018" i="1"/>
  <c r="A7018" i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H7018" i="1" l="1"/>
  <c r="A7019" i="1"/>
  <c r="K7018" i="1" a="1"/>
  <c r="K7018" i="1" s="1"/>
  <c r="O7018" i="1" a="1"/>
  <c r="O7018" i="1" s="1"/>
  <c r="S7018" i="1" a="1"/>
  <c r="S7018" i="1" s="1"/>
  <c r="M7018" i="1" a="1"/>
  <c r="M7018" i="1" s="1"/>
  <c r="I7018" i="1" a="1"/>
  <c r="I7018" i="1" s="1"/>
  <c r="R7018" i="1" a="1"/>
  <c r="R7018" i="1" s="1"/>
  <c r="N7018" i="1" a="1"/>
  <c r="N7018" i="1" s="1"/>
  <c r="J7018" i="1" a="1"/>
  <c r="J7018" i="1" s="1"/>
  <c r="B7019" i="1"/>
  <c r="L7018" i="1" a="1"/>
  <c r="L7018" i="1" s="1"/>
  <c r="P7018" i="1" a="1"/>
  <c r="P7018" i="1" s="1"/>
  <c r="Q7018" i="1" a="1"/>
  <c r="Q7018" i="1" s="1"/>
  <c r="P4633" i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A7020" i="1" l="1"/>
  <c r="H7019" i="1"/>
  <c r="J7019" i="1" a="1"/>
  <c r="J7019" i="1" s="1"/>
  <c r="N7019" i="1" a="1"/>
  <c r="N7019" i="1" s="1"/>
  <c r="R7019" i="1" a="1"/>
  <c r="R7019" i="1" s="1"/>
  <c r="I7019" i="1" a="1"/>
  <c r="I7019" i="1" s="1"/>
  <c r="S7019" i="1" a="1"/>
  <c r="S7019" i="1" s="1"/>
  <c r="O7019" i="1" a="1"/>
  <c r="O7019" i="1" s="1"/>
  <c r="K7019" i="1" a="1"/>
  <c r="K7019" i="1" s="1"/>
  <c r="P7019" i="1" a="1"/>
  <c r="P7019" i="1" s="1"/>
  <c r="Q7019" i="1" a="1"/>
  <c r="Q7019" i="1" s="1"/>
  <c r="B7020" i="1"/>
  <c r="L7019" i="1" a="1"/>
  <c r="L7019" i="1" s="1"/>
  <c r="M7019" i="1" a="1"/>
  <c r="M7019" i="1" s="1"/>
  <c r="B4635" i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I7020" i="1" l="1" a="1"/>
  <c r="I7020" i="1" s="1"/>
  <c r="M7020" i="1" a="1"/>
  <c r="M7020" i="1" s="1"/>
  <c r="Q7020" i="1" a="1"/>
  <c r="Q7020" i="1" s="1"/>
  <c r="J7020" i="1" a="1"/>
  <c r="J7020" i="1" s="1"/>
  <c r="S7020" i="1" a="1"/>
  <c r="S7020" i="1" s="1"/>
  <c r="O7020" i="1" a="1"/>
  <c r="O7020" i="1" s="1"/>
  <c r="K7020" i="1" a="1"/>
  <c r="K7020" i="1" s="1"/>
  <c r="P7020" i="1" a="1"/>
  <c r="P7020" i="1" s="1"/>
  <c r="B7021" i="1"/>
  <c r="L7020" i="1" a="1"/>
  <c r="L7020" i="1" s="1"/>
  <c r="N7020" i="1" a="1"/>
  <c r="N7020" i="1" s="1"/>
  <c r="R7020" i="1" a="1"/>
  <c r="R7020" i="1" s="1"/>
  <c r="A7021" i="1"/>
  <c r="H7020" i="1"/>
  <c r="M4635" i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7022" i="1" l="1"/>
  <c r="H7021" i="1"/>
  <c r="L7021" i="1" a="1"/>
  <c r="L7021" i="1" s="1"/>
  <c r="P7021" i="1" a="1"/>
  <c r="P7021" i="1" s="1"/>
  <c r="O7021" i="1" a="1"/>
  <c r="O7021" i="1" s="1"/>
  <c r="K7021" i="1" a="1"/>
  <c r="K7021" i="1" s="1"/>
  <c r="B7022" i="1"/>
  <c r="Q7021" i="1" a="1"/>
  <c r="Q7021" i="1" s="1"/>
  <c r="I7021" i="1" a="1"/>
  <c r="I7021" i="1" s="1"/>
  <c r="R7021" i="1" a="1"/>
  <c r="R7021" i="1" s="1"/>
  <c r="J7021" i="1" a="1"/>
  <c r="J7021" i="1" s="1"/>
  <c r="S7021" i="1" a="1"/>
  <c r="S7021" i="1" s="1"/>
  <c r="M7021" i="1" a="1"/>
  <c r="M7021" i="1" s="1"/>
  <c r="N7021" i="1" a="1"/>
  <c r="N7021" i="1" s="1"/>
  <c r="A4638" i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K7022" i="1" l="1" a="1"/>
  <c r="K7022" i="1" s="1"/>
  <c r="O7022" i="1" a="1"/>
  <c r="O7022" i="1" s="1"/>
  <c r="S7022" i="1" a="1"/>
  <c r="S7022" i="1" s="1"/>
  <c r="P7022" i="1" a="1"/>
  <c r="P7022" i="1" s="1"/>
  <c r="B7023" i="1"/>
  <c r="L7022" i="1" a="1"/>
  <c r="L7022" i="1" s="1"/>
  <c r="Q7022" i="1" a="1"/>
  <c r="Q7022" i="1" s="1"/>
  <c r="M7022" i="1" a="1"/>
  <c r="M7022" i="1" s="1"/>
  <c r="N7022" i="1" a="1"/>
  <c r="N7022" i="1" s="1"/>
  <c r="I7022" i="1" a="1"/>
  <c r="I7022" i="1" s="1"/>
  <c r="R7022" i="1" a="1"/>
  <c r="R7022" i="1" s="1"/>
  <c r="J7022" i="1" a="1"/>
  <c r="J7022" i="1" s="1"/>
  <c r="H7022" i="1"/>
  <c r="A7023" i="1"/>
  <c r="M4637" i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H7023" i="1" l="1"/>
  <c r="A7024" i="1"/>
  <c r="J7023" i="1" a="1"/>
  <c r="J7023" i="1" s="1"/>
  <c r="N7023" i="1" a="1"/>
  <c r="N7023" i="1" s="1"/>
  <c r="R7023" i="1" a="1"/>
  <c r="R7023" i="1" s="1"/>
  <c r="L7023" i="1" a="1"/>
  <c r="L7023" i="1" s="1"/>
  <c r="Q7023" i="1" a="1"/>
  <c r="Q7023" i="1" s="1"/>
  <c r="M7023" i="1" a="1"/>
  <c r="M7023" i="1" s="1"/>
  <c r="I7023" i="1" a="1"/>
  <c r="I7023" i="1" s="1"/>
  <c r="S7023" i="1" a="1"/>
  <c r="S7023" i="1" s="1"/>
  <c r="K7023" i="1" a="1"/>
  <c r="K7023" i="1" s="1"/>
  <c r="B7024" i="1"/>
  <c r="O7023" i="1" a="1"/>
  <c r="O7023" i="1" s="1"/>
  <c r="P7023" i="1" a="1"/>
  <c r="P7023" i="1" s="1"/>
  <c r="A4640" i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H7024" i="1" l="1"/>
  <c r="A7025" i="1"/>
  <c r="I7024" i="1" a="1"/>
  <c r="I7024" i="1" s="1"/>
  <c r="M7024" i="1" a="1"/>
  <c r="M7024" i="1" s="1"/>
  <c r="Q7024" i="1" a="1"/>
  <c r="Q7024" i="1" s="1"/>
  <c r="R7024" i="1" a="1"/>
  <c r="R7024" i="1" s="1"/>
  <c r="N7024" i="1" a="1"/>
  <c r="N7024" i="1" s="1"/>
  <c r="J7024" i="1" a="1"/>
  <c r="J7024" i="1" s="1"/>
  <c r="S7024" i="1" a="1"/>
  <c r="S7024" i="1" s="1"/>
  <c r="O7024" i="1" a="1"/>
  <c r="O7024" i="1" s="1"/>
  <c r="P7024" i="1" a="1"/>
  <c r="P7024" i="1" s="1"/>
  <c r="K7024" i="1" a="1"/>
  <c r="K7024" i="1" s="1"/>
  <c r="B7025" i="1"/>
  <c r="L7024" i="1" a="1"/>
  <c r="L7024" i="1" s="1"/>
  <c r="A4641" i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L7025" i="1" l="1" a="1"/>
  <c r="L7025" i="1" s="1"/>
  <c r="P7025" i="1" a="1"/>
  <c r="P7025" i="1" s="1"/>
  <c r="I7025" i="1" a="1"/>
  <c r="I7025" i="1" s="1"/>
  <c r="R7025" i="1" a="1"/>
  <c r="R7025" i="1" s="1"/>
  <c r="N7025" i="1" a="1"/>
  <c r="N7025" i="1" s="1"/>
  <c r="J7025" i="1" a="1"/>
  <c r="J7025" i="1" s="1"/>
  <c r="S7025" i="1" a="1"/>
  <c r="S7025" i="1" s="1"/>
  <c r="O7025" i="1" a="1"/>
  <c r="O7025" i="1" s="1"/>
  <c r="K7025" i="1" a="1"/>
  <c r="K7025" i="1" s="1"/>
  <c r="B7026" i="1"/>
  <c r="M7025" i="1" a="1"/>
  <c r="M7025" i="1" s="1"/>
  <c r="Q7025" i="1" a="1"/>
  <c r="Q7025" i="1" s="1"/>
  <c r="A7026" i="1"/>
  <c r="H7025" i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A7027" i="1" l="1"/>
  <c r="H7026" i="1"/>
  <c r="K7026" i="1" a="1"/>
  <c r="K7026" i="1" s="1"/>
  <c r="O7026" i="1" a="1"/>
  <c r="O7026" i="1" s="1"/>
  <c r="S7026" i="1" a="1"/>
  <c r="S7026" i="1" s="1"/>
  <c r="N7026" i="1" a="1"/>
  <c r="N7026" i="1" s="1"/>
  <c r="J7026" i="1" a="1"/>
  <c r="J7026" i="1" s="1"/>
  <c r="P7026" i="1" a="1"/>
  <c r="P7026" i="1" s="1"/>
  <c r="B7027" i="1"/>
  <c r="Q7026" i="1" a="1"/>
  <c r="Q7026" i="1" s="1"/>
  <c r="I7026" i="1" a="1"/>
  <c r="I7026" i="1" s="1"/>
  <c r="R7026" i="1" a="1"/>
  <c r="R7026" i="1" s="1"/>
  <c r="L7026" i="1" a="1"/>
  <c r="L7026" i="1" s="1"/>
  <c r="M7026" i="1" a="1"/>
  <c r="M7026" i="1" s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J7027" i="1" l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A7028" i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A7029" i="1" l="1"/>
  <c r="H7028" i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L7029" i="1" l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A7030" i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H7030" i="1" l="1"/>
  <c r="A7031" i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J7031" i="1" l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B7032" i="1"/>
  <c r="O7031" i="1" a="1"/>
  <c r="O7031" i="1" s="1"/>
  <c r="P7031" i="1" a="1"/>
  <c r="P7031" i="1" s="1"/>
  <c r="K7031" i="1" a="1"/>
  <c r="K7031" i="1" s="1"/>
  <c r="Q7031" i="1" a="1"/>
  <c r="Q7031" i="1" s="1"/>
  <c r="H7031" i="1"/>
  <c r="A7032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I7032" i="1" l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A7033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A7034" i="1" l="1"/>
  <c r="H7033" i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K7034" i="1" l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A7035" i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J7035" i="1" l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A7036" i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H7036" i="1" l="1"/>
  <c r="A7037" i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A7038" i="1" l="1"/>
  <c r="H7037" i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K7038" i="1" l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A7039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A7040" i="1" l="1"/>
  <c r="H7039" i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I7040" i="1" l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A7041" i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L7041" i="1" l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A7042" i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K7042" i="1" l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A7043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H7043" i="1" l="1"/>
  <c r="A7044" i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7044" i="1" l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A7045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A7046" i="1" l="1"/>
  <c r="H7045" i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K7046" i="1" l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7047" i="1"/>
  <c r="A3526" i="1"/>
  <c r="I3525" i="1" a="1"/>
  <c r="I3525" i="1" s="1"/>
  <c r="H3525" i="1"/>
  <c r="J7047" i="1" l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A7048" i="1"/>
  <c r="H7047" i="1"/>
  <c r="A3527" i="1"/>
  <c r="L3526" i="1" a="1"/>
  <c r="L3526" i="1" s="1"/>
  <c r="H3526" i="1"/>
  <c r="H7048" i="1" l="1"/>
  <c r="A7049" i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L7049" i="1" l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A7050" i="1"/>
  <c r="H7049" i="1"/>
  <c r="A3529" i="1"/>
  <c r="O3528" i="1" a="1"/>
  <c r="O3528" i="1" s="1"/>
  <c r="H3528" i="1"/>
  <c r="H7050" i="1" l="1"/>
  <c r="A7051" i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J7051" i="1" l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7052" i="1"/>
  <c r="A3531" i="1"/>
  <c r="H3530" i="1"/>
  <c r="O3530" i="1" a="1"/>
  <c r="O3530" i="1" s="1"/>
  <c r="H7052" i="1" l="1"/>
  <c r="A7053" i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L7053" i="1" l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A7054" i="1"/>
  <c r="H7053" i="1"/>
  <c r="A3533" i="1"/>
  <c r="O3532" i="1" a="1"/>
  <c r="O3532" i="1" s="1"/>
  <c r="H3532" i="1"/>
  <c r="H7054" i="1" l="1"/>
  <c r="A7055" i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A7056" i="1" l="1"/>
  <c r="H7055" i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O7056" i="1" l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A7057" i="1"/>
  <c r="H7056" i="1"/>
  <c r="A3536" i="1"/>
  <c r="H3535" i="1"/>
  <c r="O3535" i="1" a="1"/>
  <c r="O3535" i="1" s="1"/>
  <c r="H7057" i="1" l="1"/>
  <c r="A7058" i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L7058" i="1" l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7059" i="1"/>
  <c r="A3538" i="1"/>
  <c r="H3537" i="1"/>
  <c r="O3537" i="1" a="1"/>
  <c r="O3537" i="1" s="1"/>
  <c r="H7059" i="1" l="1"/>
  <c r="A7060" i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M7060" i="1" l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7061" i="1"/>
  <c r="A3540" i="1"/>
  <c r="H3539" i="1"/>
  <c r="O3539" i="1" a="1"/>
  <c r="O3539" i="1" s="1"/>
  <c r="B7062" i="1" l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7062" i="1"/>
  <c r="A3541" i="1"/>
  <c r="O3540" i="1" a="1"/>
  <c r="O3540" i="1" s="1"/>
  <c r="H3540" i="1"/>
  <c r="I4438" i="1" a="1"/>
  <c r="I4438" i="1" s="1"/>
  <c r="A7063" i="1" l="1"/>
  <c r="H7062" i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K7063" i="1" l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A7064" i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A7065" i="1" l="1"/>
  <c r="H7064" i="1"/>
  <c r="P7064" i="1" a="1"/>
  <c r="P7064" i="1" s="1"/>
  <c r="B7065" i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B7066" i="1" l="1"/>
  <c r="L7065" i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7066" i="1"/>
  <c r="A3545" i="1"/>
  <c r="O3544" i="1" a="1"/>
  <c r="O3544" i="1" s="1"/>
  <c r="H3544" i="1"/>
  <c r="I4441" i="1" a="1"/>
  <c r="I4441" i="1" s="1"/>
  <c r="I4442" i="1" a="1"/>
  <c r="I4442" i="1" s="1"/>
  <c r="H4441" i="1"/>
  <c r="H7066" i="1" l="1"/>
  <c r="A7067" i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I7067" i="1" l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7068" i="1"/>
  <c r="A3547" i="1"/>
  <c r="H3546" i="1"/>
  <c r="O3546" i="1" a="1"/>
  <c r="O3546" i="1" s="1"/>
  <c r="I4443" i="1" a="1"/>
  <c r="I4443" i="1" s="1"/>
  <c r="I4444" i="1" a="1"/>
  <c r="I4444" i="1" s="1"/>
  <c r="H4443" i="1"/>
  <c r="A7069" i="1" l="1"/>
  <c r="H7068" i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B7070" i="1" l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7070" i="1"/>
  <c r="A3549" i="1"/>
  <c r="O3548" i="1" a="1"/>
  <c r="O3548" i="1" s="1"/>
  <c r="H3548" i="1"/>
  <c r="I4446" i="1" a="1"/>
  <c r="I4446" i="1" s="1"/>
  <c r="H4445" i="1"/>
  <c r="H7070" i="1" l="1"/>
  <c r="A7071" i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H7071" i="1" l="1"/>
  <c r="A7072" i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H7072" i="1" l="1"/>
  <c r="A7073" i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H7073" i="1" l="1"/>
  <c r="A7074" i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N7074" i="1" l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A7075" i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A7076" i="1" l="1"/>
  <c r="H7075" i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K7076" i="1" l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A7077" i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H7077" i="1" l="1"/>
  <c r="A7078" i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Q7078" i="1" l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7079" i="1"/>
  <c r="A3558" i="1"/>
  <c r="I3557" i="1" a="1"/>
  <c r="I3557" i="1" s="1"/>
  <c r="H3557" i="1"/>
  <c r="I4454" i="1" a="1"/>
  <c r="I4454" i="1" s="1"/>
  <c r="K4454" i="1" a="1"/>
  <c r="K4454" i="1" s="1"/>
  <c r="H4454" i="1"/>
  <c r="M7079" i="1" l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7080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H7080" i="1" l="1"/>
  <c r="A7081" i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B7081" i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B7082" i="1" l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7082" i="1"/>
  <c r="A3561" i="1"/>
  <c r="I3560" i="1" a="1"/>
  <c r="I3560" i="1" s="1"/>
  <c r="H3560" i="1"/>
  <c r="I4457" i="1" a="1"/>
  <c r="I4457" i="1" s="1"/>
  <c r="K4457" i="1" a="1"/>
  <c r="K4457" i="1" s="1"/>
  <c r="H4457" i="1"/>
  <c r="A7083" i="1" l="1"/>
  <c r="H7082" i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P7083" i="1" l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A7084" i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H7084" i="1" l="1"/>
  <c r="A7085" i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B7086" i="1" l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7086" i="1"/>
  <c r="A3565" i="1"/>
  <c r="I3564" i="1" a="1"/>
  <c r="I3564" i="1" s="1"/>
  <c r="H3564" i="1"/>
  <c r="I4461" i="1" a="1"/>
  <c r="I4461" i="1" s="1"/>
  <c r="K4461" i="1" a="1"/>
  <c r="K4461" i="1" s="1"/>
  <c r="H4461" i="1"/>
  <c r="A7087" i="1" l="1"/>
  <c r="H7086" i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N7087" i="1" l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A7088" i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A7089" i="1" l="1"/>
  <c r="H7088" i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B7090" i="1" l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7090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H7090" i="1" l="1"/>
  <c r="A7091" i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Q7091" i="1" l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B7092" i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7092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M7092" i="1" l="1" a="1"/>
  <c r="M7092" i="1" s="1"/>
  <c r="R7092" i="1" a="1"/>
  <c r="R7092" i="1" s="1"/>
  <c r="I7092" i="1" a="1"/>
  <c r="I7092" i="1" s="1"/>
  <c r="N7092" i="1" a="1"/>
  <c r="N7092" i="1" s="1"/>
  <c r="J7092" i="1" a="1"/>
  <c r="J7092" i="1" s="1"/>
  <c r="S7092" i="1" a="1"/>
  <c r="S7092" i="1" s="1"/>
  <c r="B7093" i="1"/>
  <c r="O7092" i="1" a="1"/>
  <c r="O7092" i="1" s="1"/>
  <c r="P7092" i="1" a="1"/>
  <c r="P7092" i="1" s="1"/>
  <c r="K7092" i="1" a="1"/>
  <c r="K7092" i="1" s="1"/>
  <c r="L7092" i="1" a="1"/>
  <c r="L7092" i="1" s="1"/>
  <c r="Q7092" i="1" a="1"/>
  <c r="Q7092" i="1" s="1"/>
  <c r="H7092" i="1"/>
  <c r="A7093" i="1"/>
  <c r="A3572" i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B7094" i="1" l="1"/>
  <c r="N7093" i="1" a="1"/>
  <c r="N7093" i="1" s="1"/>
  <c r="J7093" i="1" a="1"/>
  <c r="J7093" i="1" s="1"/>
  <c r="S7093" i="1" a="1"/>
  <c r="S7093" i="1" s="1"/>
  <c r="O7093" i="1" a="1"/>
  <c r="O7093" i="1" s="1"/>
  <c r="P7093" i="1" a="1"/>
  <c r="P7093" i="1" s="1"/>
  <c r="I7093" i="1" a="1"/>
  <c r="I7093" i="1" s="1"/>
  <c r="Q7093" i="1" a="1"/>
  <c r="Q7093" i="1" s="1"/>
  <c r="K7093" i="1" a="1"/>
  <c r="K7093" i="1" s="1"/>
  <c r="L7093" i="1" a="1"/>
  <c r="L7093" i="1" s="1"/>
  <c r="M7093" i="1" a="1"/>
  <c r="M7093" i="1" s="1"/>
  <c r="R7093" i="1" a="1"/>
  <c r="R7093" i="1" s="1"/>
  <c r="H7093" i="1"/>
  <c r="A7094" i="1"/>
  <c r="I3572" i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A7095" i="1" l="1"/>
  <c r="H7094" i="1"/>
  <c r="J7094" i="1" a="1"/>
  <c r="J7094" i="1" s="1"/>
  <c r="S7094" i="1" a="1"/>
  <c r="S7094" i="1" s="1"/>
  <c r="O7094" i="1" a="1"/>
  <c r="O7094" i="1" s="1"/>
  <c r="K7094" i="1" a="1"/>
  <c r="K7094" i="1" s="1"/>
  <c r="P7094" i="1" a="1"/>
  <c r="P7094" i="1" s="1"/>
  <c r="B7095" i="1"/>
  <c r="I7094" i="1" a="1"/>
  <c r="I7094" i="1" s="1"/>
  <c r="Q7094" i="1" a="1"/>
  <c r="Q7094" i="1" s="1"/>
  <c r="L7094" i="1" a="1"/>
  <c r="L7094" i="1" s="1"/>
  <c r="R7094" i="1" a="1"/>
  <c r="R7094" i="1" s="1"/>
  <c r="M7094" i="1" a="1"/>
  <c r="M7094" i="1" s="1"/>
  <c r="N7094" i="1" a="1"/>
  <c r="N7094" i="1" s="1"/>
  <c r="I4470" i="1" a="1"/>
  <c r="I4470" i="1" s="1"/>
  <c r="K4470" i="1" a="1"/>
  <c r="K4470" i="1" s="1"/>
  <c r="H4470" i="1"/>
  <c r="O4470" i="1" a="1"/>
  <c r="O4470" i="1" s="1"/>
  <c r="K7095" i="1" l="1" a="1"/>
  <c r="K7095" i="1" s="1"/>
  <c r="P7095" i="1" a="1"/>
  <c r="P7095" i="1" s="1"/>
  <c r="B7096" i="1"/>
  <c r="L7095" i="1" a="1"/>
  <c r="L7095" i="1" s="1"/>
  <c r="J7095" i="1" a="1"/>
  <c r="J7095" i="1" s="1"/>
  <c r="R7095" i="1" a="1"/>
  <c r="R7095" i="1" s="1"/>
  <c r="S7095" i="1" a="1"/>
  <c r="S7095" i="1" s="1"/>
  <c r="M7095" i="1" a="1"/>
  <c r="M7095" i="1" s="1"/>
  <c r="N7095" i="1" a="1"/>
  <c r="N7095" i="1" s="1"/>
  <c r="O7095" i="1" a="1"/>
  <c r="O7095" i="1" s="1"/>
  <c r="Q7095" i="1" a="1"/>
  <c r="Q7095" i="1" s="1"/>
  <c r="I7095" i="1" a="1"/>
  <c r="I7095" i="1" s="1"/>
  <c r="A7096" i="1"/>
  <c r="H7095" i="1"/>
  <c r="I4471" i="1" a="1"/>
  <c r="I4471" i="1" s="1"/>
  <c r="K4471" i="1" a="1"/>
  <c r="K4471" i="1" s="1"/>
  <c r="C4472" i="1"/>
  <c r="H4471" i="1"/>
  <c r="O4471" i="1" a="1"/>
  <c r="O4471" i="1" s="1"/>
  <c r="A7097" i="1" l="1"/>
  <c r="H7096" i="1"/>
  <c r="P7096" i="1" a="1"/>
  <c r="P7096" i="1" s="1"/>
  <c r="B7097" i="1"/>
  <c r="L7096" i="1" a="1"/>
  <c r="L7096" i="1" s="1"/>
  <c r="Q7096" i="1" a="1"/>
  <c r="Q7096" i="1" s="1"/>
  <c r="M7096" i="1" a="1"/>
  <c r="M7096" i="1" s="1"/>
  <c r="N7096" i="1" a="1"/>
  <c r="N7096" i="1" s="1"/>
  <c r="O7096" i="1" a="1"/>
  <c r="O7096" i="1" s="1"/>
  <c r="R7096" i="1" a="1"/>
  <c r="R7096" i="1" s="1"/>
  <c r="S7096" i="1" a="1"/>
  <c r="S7096" i="1" s="1"/>
  <c r="I7096" i="1" a="1"/>
  <c r="I7096" i="1" s="1"/>
  <c r="K7096" i="1" a="1"/>
  <c r="K7096" i="1" s="1"/>
  <c r="J7096" i="1" a="1"/>
  <c r="J7096" i="1" s="1"/>
  <c r="L4474" i="1" a="1"/>
  <c r="L4474" i="1" s="1"/>
  <c r="I4472" i="1" a="1"/>
  <c r="I4472" i="1" s="1"/>
  <c r="K4472" i="1" a="1"/>
  <c r="K4472" i="1" s="1"/>
  <c r="H4472" i="1"/>
  <c r="O4472" i="1" a="1"/>
  <c r="O4472" i="1" s="1"/>
  <c r="L7097" i="1" l="1" a="1"/>
  <c r="L7097" i="1" s="1"/>
  <c r="M7097" i="1" a="1"/>
  <c r="M7097" i="1" s="1"/>
  <c r="I7097" i="1" a="1"/>
  <c r="I7097" i="1" s="1"/>
  <c r="S7097" i="1" a="1"/>
  <c r="S7097" i="1" s="1"/>
  <c r="O7097" i="1" a="1"/>
  <c r="O7097" i="1" s="1"/>
  <c r="J7097" i="1" a="1"/>
  <c r="J7097" i="1" s="1"/>
  <c r="P7097" i="1" a="1"/>
  <c r="P7097" i="1" s="1"/>
  <c r="B7098" i="1"/>
  <c r="Q7097" i="1" a="1"/>
  <c r="Q7097" i="1" s="1"/>
  <c r="R7097" i="1" a="1"/>
  <c r="R7097" i="1" s="1"/>
  <c r="K7097" i="1" a="1"/>
  <c r="K7097" i="1" s="1"/>
  <c r="N7097" i="1" a="1"/>
  <c r="N7097" i="1" s="1"/>
  <c r="H7097" i="1"/>
  <c r="A7098" i="1"/>
  <c r="I4473" i="1" a="1"/>
  <c r="I4473" i="1" s="1"/>
  <c r="K4473" i="1" a="1"/>
  <c r="K4473" i="1" s="1"/>
  <c r="H4473" i="1"/>
  <c r="O4473" i="1" a="1"/>
  <c r="O4473" i="1" s="1"/>
  <c r="B7099" i="1" l="1"/>
  <c r="O7098" i="1" a="1"/>
  <c r="O7098" i="1" s="1"/>
  <c r="K7098" i="1" a="1"/>
  <c r="K7098" i="1" s="1"/>
  <c r="P7098" i="1" a="1"/>
  <c r="P7098" i="1" s="1"/>
  <c r="L7098" i="1" a="1"/>
  <c r="L7098" i="1" s="1"/>
  <c r="Q7098" i="1" a="1"/>
  <c r="Q7098" i="1" s="1"/>
  <c r="M7098" i="1" a="1"/>
  <c r="M7098" i="1" s="1"/>
  <c r="N7098" i="1" a="1"/>
  <c r="N7098" i="1" s="1"/>
  <c r="S7098" i="1" a="1"/>
  <c r="S7098" i="1" s="1"/>
  <c r="J7098" i="1" a="1"/>
  <c r="J7098" i="1" s="1"/>
  <c r="R7098" i="1" a="1"/>
  <c r="R7098" i="1" s="1"/>
  <c r="I7098" i="1" a="1"/>
  <c r="I7098" i="1" s="1"/>
  <c r="H7098" i="1"/>
  <c r="A7099" i="1"/>
  <c r="I4474" i="1" a="1"/>
  <c r="I4474" i="1" s="1"/>
  <c r="K4474" i="1" a="1"/>
  <c r="K4474" i="1" s="1"/>
  <c r="C4475" i="1"/>
  <c r="H4474" i="1"/>
  <c r="O4474" i="1" a="1"/>
  <c r="O4474" i="1" s="1"/>
  <c r="H7099" i="1" l="1"/>
  <c r="A7100" i="1"/>
  <c r="K7099" i="1" a="1"/>
  <c r="K7099" i="1" s="1"/>
  <c r="P7099" i="1" a="1"/>
  <c r="P7099" i="1" s="1"/>
  <c r="B7100" i="1"/>
  <c r="L7099" i="1" a="1"/>
  <c r="L7099" i="1" s="1"/>
  <c r="Q7099" i="1" a="1"/>
  <c r="Q7099" i="1" s="1"/>
  <c r="M7099" i="1" a="1"/>
  <c r="M7099" i="1" s="1"/>
  <c r="I7099" i="1" a="1"/>
  <c r="I7099" i="1" s="1"/>
  <c r="R7099" i="1" a="1"/>
  <c r="R7099" i="1" s="1"/>
  <c r="J7099" i="1" a="1"/>
  <c r="J7099" i="1" s="1"/>
  <c r="S7099" i="1" a="1"/>
  <c r="S7099" i="1" s="1"/>
  <c r="N7099" i="1" a="1"/>
  <c r="N7099" i="1" s="1"/>
  <c r="O7099" i="1" a="1"/>
  <c r="O7099" i="1" s="1"/>
  <c r="L4475" i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H7100" i="1" l="1"/>
  <c r="A7101" i="1"/>
  <c r="L7100" i="1" a="1"/>
  <c r="L7100" i="1" s="1"/>
  <c r="Q7100" i="1" a="1"/>
  <c r="Q7100" i="1" s="1"/>
  <c r="M7100" i="1" a="1"/>
  <c r="M7100" i="1" s="1"/>
  <c r="I7100" i="1" a="1"/>
  <c r="I7100" i="1" s="1"/>
  <c r="R7100" i="1" a="1"/>
  <c r="R7100" i="1" s="1"/>
  <c r="N7100" i="1" a="1"/>
  <c r="N7100" i="1" s="1"/>
  <c r="O7100" i="1" a="1"/>
  <c r="O7100" i="1" s="1"/>
  <c r="P7100" i="1" a="1"/>
  <c r="P7100" i="1" s="1"/>
  <c r="S7100" i="1" a="1"/>
  <c r="S7100" i="1" s="1"/>
  <c r="J7100" i="1" a="1"/>
  <c r="J7100" i="1" s="1"/>
  <c r="B7101" i="1"/>
  <c r="K7100" i="1" a="1"/>
  <c r="K7100" i="1" s="1"/>
  <c r="I4476" i="1" a="1"/>
  <c r="I4476" i="1" s="1"/>
  <c r="K4476" i="1" a="1"/>
  <c r="K4476" i="1" s="1"/>
  <c r="L4477" i="1" a="1"/>
  <c r="L4477" i="1" s="1"/>
  <c r="H4476" i="1"/>
  <c r="O4476" i="1" a="1"/>
  <c r="O4476" i="1" s="1"/>
  <c r="Q7101" i="1" l="1" a="1"/>
  <c r="Q7101" i="1" s="1"/>
  <c r="M7101" i="1" a="1"/>
  <c r="M7101" i="1" s="1"/>
  <c r="R7101" i="1" a="1"/>
  <c r="R7101" i="1" s="1"/>
  <c r="I7101" i="1" a="1"/>
  <c r="I7101" i="1" s="1"/>
  <c r="N7101" i="1" a="1"/>
  <c r="N7101" i="1" s="1"/>
  <c r="J7101" i="1" a="1"/>
  <c r="J7101" i="1" s="1"/>
  <c r="S7101" i="1" a="1"/>
  <c r="S7101" i="1" s="1"/>
  <c r="K7101" i="1" a="1"/>
  <c r="K7101" i="1" s="1"/>
  <c r="B7102" i="1"/>
  <c r="L7101" i="1" a="1"/>
  <c r="L7101" i="1" s="1"/>
  <c r="O7101" i="1" a="1"/>
  <c r="O7101" i="1" s="1"/>
  <c r="P7101" i="1" a="1"/>
  <c r="P7101" i="1" s="1"/>
  <c r="H7101" i="1"/>
  <c r="A7102" i="1"/>
  <c r="I4477" i="1" a="1"/>
  <c r="I4477" i="1" s="1"/>
  <c r="K4477" i="1" a="1"/>
  <c r="K4477" i="1" s="1"/>
  <c r="C4478" i="1"/>
  <c r="H4477" i="1"/>
  <c r="O4477" i="1" a="1"/>
  <c r="O4477" i="1" s="1"/>
  <c r="H7102" i="1" l="1"/>
  <c r="A7103" i="1"/>
  <c r="B7103" i="1"/>
  <c r="I7102" i="1" a="1"/>
  <c r="I7102" i="1" s="1"/>
  <c r="R7102" i="1" a="1"/>
  <c r="R7102" i="1" s="1"/>
  <c r="N7102" i="1" a="1"/>
  <c r="N7102" i="1" s="1"/>
  <c r="J7102" i="1" a="1"/>
  <c r="J7102" i="1" s="1"/>
  <c r="S7102" i="1" a="1"/>
  <c r="S7102" i="1" s="1"/>
  <c r="O7102" i="1" a="1"/>
  <c r="O7102" i="1" s="1"/>
  <c r="P7102" i="1" a="1"/>
  <c r="P7102" i="1" s="1"/>
  <c r="Q7102" i="1" a="1"/>
  <c r="Q7102" i="1" s="1"/>
  <c r="K7102" i="1" a="1"/>
  <c r="K7102" i="1" s="1"/>
  <c r="M7102" i="1" a="1"/>
  <c r="M7102" i="1" s="1"/>
  <c r="L7102" i="1" a="1"/>
  <c r="L7102" i="1" s="1"/>
  <c r="L4478" i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N7103" i="1" l="1" a="1"/>
  <c r="N7103" i="1" s="1"/>
  <c r="J7103" i="1" a="1"/>
  <c r="J7103" i="1" s="1"/>
  <c r="S7103" i="1" a="1"/>
  <c r="S7103" i="1" s="1"/>
  <c r="O7103" i="1" a="1"/>
  <c r="O7103" i="1" s="1"/>
  <c r="K7103" i="1" a="1"/>
  <c r="K7103" i="1" s="1"/>
  <c r="P7103" i="1" a="1"/>
  <c r="P7103" i="1" s="1"/>
  <c r="B7104" i="1"/>
  <c r="L7103" i="1" a="1"/>
  <c r="L7103" i="1" s="1"/>
  <c r="M7103" i="1" a="1"/>
  <c r="M7103" i="1" s="1"/>
  <c r="R7103" i="1" a="1"/>
  <c r="R7103" i="1" s="1"/>
  <c r="I7103" i="1" a="1"/>
  <c r="I7103" i="1" s="1"/>
  <c r="Q7103" i="1" a="1"/>
  <c r="Q7103" i="1" s="1"/>
  <c r="A7104" i="1"/>
  <c r="H7103" i="1"/>
  <c r="I4479" i="1" a="1"/>
  <c r="I4479" i="1" s="1"/>
  <c r="K4479" i="1" a="1"/>
  <c r="K4479" i="1" s="1"/>
  <c r="L4480" i="1" a="1"/>
  <c r="L4480" i="1" s="1"/>
  <c r="H4479" i="1"/>
  <c r="O4479" i="1" a="1"/>
  <c r="O4479" i="1" s="1"/>
  <c r="J7104" i="1" l="1" a="1"/>
  <c r="J7104" i="1" s="1"/>
  <c r="O7104" i="1" a="1"/>
  <c r="O7104" i="1" s="1"/>
  <c r="K7104" i="1" a="1"/>
  <c r="K7104" i="1" s="1"/>
  <c r="P7104" i="1" a="1"/>
  <c r="P7104" i="1" s="1"/>
  <c r="B7105" i="1"/>
  <c r="L7104" i="1" a="1"/>
  <c r="L7104" i="1" s="1"/>
  <c r="Q7104" i="1" a="1"/>
  <c r="Q7104" i="1" s="1"/>
  <c r="I7104" i="1" a="1"/>
  <c r="I7104" i="1" s="1"/>
  <c r="R7104" i="1" a="1"/>
  <c r="R7104" i="1" s="1"/>
  <c r="S7104" i="1" a="1"/>
  <c r="S7104" i="1" s="1"/>
  <c r="N7104" i="1" a="1"/>
  <c r="N7104" i="1" s="1"/>
  <c r="M7104" i="1" a="1"/>
  <c r="M7104" i="1" s="1"/>
  <c r="A7105" i="1"/>
  <c r="H7104" i="1"/>
  <c r="I4480" i="1" a="1"/>
  <c r="I4480" i="1" s="1"/>
  <c r="K4480" i="1" a="1"/>
  <c r="K4480" i="1" s="1"/>
  <c r="L4481" i="1" a="1"/>
  <c r="L4481" i="1" s="1"/>
  <c r="H4480" i="1"/>
  <c r="O4480" i="1" a="1"/>
  <c r="O4480" i="1" s="1"/>
  <c r="A7106" i="1" l="1"/>
  <c r="H7105" i="1"/>
  <c r="K7105" i="1" a="1"/>
  <c r="K7105" i="1" s="1"/>
  <c r="P7105" i="1" a="1"/>
  <c r="P7105" i="1" s="1"/>
  <c r="B7106" i="1"/>
  <c r="L7105" i="1" a="1"/>
  <c r="L7105" i="1" s="1"/>
  <c r="Q7105" i="1" a="1"/>
  <c r="Q7105" i="1" s="1"/>
  <c r="M7105" i="1" a="1"/>
  <c r="M7105" i="1" s="1"/>
  <c r="N7105" i="1" a="1"/>
  <c r="N7105" i="1" s="1"/>
  <c r="O7105" i="1" a="1"/>
  <c r="O7105" i="1" s="1"/>
  <c r="R7105" i="1" a="1"/>
  <c r="R7105" i="1" s="1"/>
  <c r="I7105" i="1" a="1"/>
  <c r="I7105" i="1" s="1"/>
  <c r="J7105" i="1" a="1"/>
  <c r="J7105" i="1" s="1"/>
  <c r="S7105" i="1" a="1"/>
  <c r="S7105" i="1" s="1"/>
  <c r="I4481" i="1" a="1"/>
  <c r="I4481" i="1" s="1"/>
  <c r="K4481" i="1" a="1"/>
  <c r="K4481" i="1" s="1"/>
  <c r="C4482" i="1"/>
  <c r="H4481" i="1"/>
  <c r="O4481" i="1" a="1"/>
  <c r="O4481" i="1" s="1"/>
  <c r="B7107" i="1" l="1"/>
  <c r="P7106" i="1" a="1"/>
  <c r="P7106" i="1" s="1"/>
  <c r="L7106" i="1" a="1"/>
  <c r="L7106" i="1" s="1"/>
  <c r="Q7106" i="1" a="1"/>
  <c r="Q7106" i="1" s="1"/>
  <c r="M7106" i="1" a="1"/>
  <c r="M7106" i="1" s="1"/>
  <c r="I7106" i="1" a="1"/>
  <c r="I7106" i="1" s="1"/>
  <c r="R7106" i="1" a="1"/>
  <c r="R7106" i="1" s="1"/>
  <c r="J7106" i="1" a="1"/>
  <c r="J7106" i="1" s="1"/>
  <c r="S7106" i="1" a="1"/>
  <c r="S7106" i="1" s="1"/>
  <c r="K7106" i="1" a="1"/>
  <c r="K7106" i="1" s="1"/>
  <c r="N7106" i="1" a="1"/>
  <c r="N7106" i="1" s="1"/>
  <c r="O7106" i="1" a="1"/>
  <c r="O7106" i="1" s="1"/>
  <c r="H7106" i="1"/>
  <c r="A7107" i="1"/>
  <c r="L4482" i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H7107" i="1" l="1"/>
  <c r="A7108" i="1"/>
  <c r="Q7107" i="1" a="1"/>
  <c r="Q7107" i="1" s="1"/>
  <c r="M7107" i="1" a="1"/>
  <c r="M7107" i="1" s="1"/>
  <c r="I7107" i="1" a="1"/>
  <c r="I7107" i="1" s="1"/>
  <c r="R7107" i="1" a="1"/>
  <c r="R7107" i="1" s="1"/>
  <c r="N7107" i="1" a="1"/>
  <c r="N7107" i="1" s="1"/>
  <c r="O7107" i="1" a="1"/>
  <c r="O7107" i="1" s="1"/>
  <c r="P7107" i="1" a="1"/>
  <c r="P7107" i="1" s="1"/>
  <c r="J7107" i="1" a="1"/>
  <c r="J7107" i="1" s="1"/>
  <c r="S7107" i="1" a="1"/>
  <c r="S7107" i="1" s="1"/>
  <c r="L7107" i="1" a="1"/>
  <c r="L7107" i="1" s="1"/>
  <c r="K7107" i="1" a="1"/>
  <c r="K7107" i="1" s="1"/>
  <c r="B7108" i="1"/>
  <c r="I4483" i="1" a="1"/>
  <c r="I4483" i="1" s="1"/>
  <c r="K4483" i="1" a="1"/>
  <c r="K4483" i="1" s="1"/>
  <c r="L4484" i="1" a="1"/>
  <c r="L4484" i="1" s="1"/>
  <c r="H4483" i="1"/>
  <c r="O4483" i="1" a="1"/>
  <c r="O4483" i="1" s="1"/>
  <c r="M7108" i="1" l="1" a="1"/>
  <c r="M7108" i="1" s="1"/>
  <c r="I7108" i="1" a="1"/>
  <c r="I7108" i="1" s="1"/>
  <c r="R7108" i="1" a="1"/>
  <c r="R7108" i="1" s="1"/>
  <c r="N7108" i="1" a="1"/>
  <c r="N7108" i="1" s="1"/>
  <c r="S7108" i="1" a="1"/>
  <c r="S7108" i="1" s="1"/>
  <c r="J7108" i="1" a="1"/>
  <c r="J7108" i="1" s="1"/>
  <c r="O7108" i="1" a="1"/>
  <c r="O7108" i="1" s="1"/>
  <c r="K7108" i="1" a="1"/>
  <c r="K7108" i="1" s="1"/>
  <c r="B7109" i="1"/>
  <c r="L7108" i="1" a="1"/>
  <c r="L7108" i="1" s="1"/>
  <c r="P7108" i="1" a="1"/>
  <c r="P7108" i="1" s="1"/>
  <c r="Q7108" i="1" a="1"/>
  <c r="Q7108" i="1" s="1"/>
  <c r="H7108" i="1"/>
  <c r="A7109" i="1"/>
  <c r="I4484" i="1" a="1"/>
  <c r="I4484" i="1" s="1"/>
  <c r="K4484" i="1" a="1"/>
  <c r="K4484" i="1" s="1"/>
  <c r="C4485" i="1"/>
  <c r="H4484" i="1"/>
  <c r="O4484" i="1" a="1"/>
  <c r="O4484" i="1" s="1"/>
  <c r="A7110" i="1" l="1"/>
  <c r="H7109" i="1"/>
  <c r="I7109" i="1" a="1"/>
  <c r="I7109" i="1" s="1"/>
  <c r="N7109" i="1" a="1"/>
  <c r="N7109" i="1" s="1"/>
  <c r="J7109" i="1" a="1"/>
  <c r="J7109" i="1" s="1"/>
  <c r="S7109" i="1" a="1"/>
  <c r="S7109" i="1" s="1"/>
  <c r="O7109" i="1" a="1"/>
  <c r="O7109" i="1" s="1"/>
  <c r="K7109" i="1" a="1"/>
  <c r="K7109" i="1" s="1"/>
  <c r="P7109" i="1" a="1"/>
  <c r="P7109" i="1" s="1"/>
  <c r="Q7109" i="1" a="1"/>
  <c r="Q7109" i="1" s="1"/>
  <c r="R7109" i="1" a="1"/>
  <c r="R7109" i="1" s="1"/>
  <c r="B7110" i="1"/>
  <c r="M7109" i="1" a="1"/>
  <c r="M7109" i="1" s="1"/>
  <c r="L7109" i="1" a="1"/>
  <c r="L7109" i="1" s="1"/>
  <c r="L4485" i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D260" i="2" l="1"/>
  <c r="B7111" i="1"/>
  <c r="D264" i="2" s="1"/>
  <c r="J7110" i="1" a="1"/>
  <c r="J7110" i="1" s="1"/>
  <c r="S7110" i="1" a="1"/>
  <c r="S7110" i="1" s="1"/>
  <c r="O7110" i="1" a="1"/>
  <c r="O7110" i="1" s="1"/>
  <c r="K7110" i="1" a="1"/>
  <c r="K7110" i="1" s="1"/>
  <c r="P7110" i="1" a="1"/>
  <c r="P7110" i="1" s="1"/>
  <c r="L7110" i="1" a="1"/>
  <c r="L7110" i="1" s="1"/>
  <c r="M7110" i="1" a="1"/>
  <c r="M7110" i="1" s="1"/>
  <c r="N7110" i="1" a="1"/>
  <c r="N7110" i="1" s="1"/>
  <c r="Q7110" i="1" a="1"/>
  <c r="Q7110" i="1" s="1"/>
  <c r="I7110" i="1" a="1"/>
  <c r="I7110" i="1" s="1"/>
  <c r="R7110" i="1" a="1"/>
  <c r="R7110" i="1" s="1"/>
  <c r="H7110" i="1"/>
  <c r="A7111" i="1"/>
  <c r="I4486" i="1" a="1"/>
  <c r="I4486" i="1" s="1"/>
  <c r="K4486" i="1" a="1"/>
  <c r="K4486" i="1" s="1"/>
  <c r="L4487" i="1" a="1"/>
  <c r="L4487" i="1" s="1"/>
  <c r="H4486" i="1"/>
  <c r="O4486" i="1" a="1"/>
  <c r="O4486" i="1" s="1"/>
  <c r="D258" i="2" l="1"/>
  <c r="D265" i="2"/>
  <c r="D263" i="2"/>
  <c r="A7112" i="1"/>
  <c r="H7111" i="1"/>
  <c r="O7111" i="1" a="1"/>
  <c r="O7111" i="1" s="1"/>
  <c r="K7111" i="1" a="1"/>
  <c r="K7111" i="1" s="1"/>
  <c r="P7111" i="1" a="1"/>
  <c r="P7111" i="1" s="1"/>
  <c r="B7112" i="1"/>
  <c r="L7111" i="1" a="1"/>
  <c r="L7111" i="1" s="1"/>
  <c r="Q7111" i="1" a="1"/>
  <c r="Q7111" i="1" s="1"/>
  <c r="I7111" i="1" a="1"/>
  <c r="I7111" i="1" s="1"/>
  <c r="R7111" i="1" a="1"/>
  <c r="R7111" i="1" s="1"/>
  <c r="J7111" i="1" a="1"/>
  <c r="J7111" i="1" s="1"/>
  <c r="S7111" i="1" a="1"/>
  <c r="S7111" i="1" s="1"/>
  <c r="M7111" i="1" a="1"/>
  <c r="M7111" i="1" s="1"/>
  <c r="N7111" i="1" a="1"/>
  <c r="N7111" i="1" s="1"/>
  <c r="I4487" i="1" a="1"/>
  <c r="I4487" i="1" s="1"/>
  <c r="K4487" i="1" a="1"/>
  <c r="K4487" i="1" s="1"/>
  <c r="L4488" i="1" a="1"/>
  <c r="L4488" i="1" s="1"/>
  <c r="H4487" i="1"/>
  <c r="O4487" i="1" a="1"/>
  <c r="O4487" i="1" s="1"/>
  <c r="D267" i="2" l="1"/>
  <c r="D262" i="2"/>
  <c r="D266" i="2"/>
  <c r="D257" i="2"/>
  <c r="D259" i="2"/>
  <c r="P7112" i="1" a="1"/>
  <c r="P7112" i="1" s="1"/>
  <c r="B7113" i="1"/>
  <c r="L7112" i="1" a="1"/>
  <c r="L7112" i="1" s="1"/>
  <c r="Q7112" i="1" a="1"/>
  <c r="Q7112" i="1" s="1"/>
  <c r="M7112" i="1" a="1"/>
  <c r="M7112" i="1" s="1"/>
  <c r="N7112" i="1" a="1"/>
  <c r="N7112" i="1" s="1"/>
  <c r="O7112" i="1" a="1"/>
  <c r="O7112" i="1" s="1"/>
  <c r="I7112" i="1" a="1"/>
  <c r="I7112" i="1" s="1"/>
  <c r="R7112" i="1" a="1"/>
  <c r="R7112" i="1" s="1"/>
  <c r="J7112" i="1" a="1"/>
  <c r="J7112" i="1" s="1"/>
  <c r="K7112" i="1" a="1"/>
  <c r="K7112" i="1" s="1"/>
  <c r="S7112" i="1" a="1"/>
  <c r="S7112" i="1" s="1"/>
  <c r="H7112" i="1"/>
  <c r="A7113" i="1"/>
  <c r="I4488" i="1" a="1"/>
  <c r="I4488" i="1" s="1"/>
  <c r="K4488" i="1" a="1"/>
  <c r="K4488" i="1" s="1"/>
  <c r="H4488" i="1"/>
  <c r="O4488" i="1" a="1"/>
  <c r="O4488" i="1" s="1"/>
  <c r="H7113" i="1" l="1"/>
  <c r="A7114" i="1"/>
  <c r="L7113" i="1" a="1"/>
  <c r="L7113" i="1" s="1"/>
  <c r="Q7113" i="1" a="1"/>
  <c r="Q7113" i="1" s="1"/>
  <c r="M7113" i="1" a="1"/>
  <c r="M7113" i="1" s="1"/>
  <c r="R7113" i="1" a="1"/>
  <c r="R7113" i="1" s="1"/>
  <c r="I7113" i="1" a="1"/>
  <c r="I7113" i="1" s="1"/>
  <c r="N7113" i="1" a="1"/>
  <c r="N7113" i="1" s="1"/>
  <c r="J7113" i="1" a="1"/>
  <c r="J7113" i="1" s="1"/>
  <c r="S7113" i="1" a="1"/>
  <c r="S7113" i="1" s="1"/>
  <c r="K7113" i="1" a="1"/>
  <c r="K7113" i="1" s="1"/>
  <c r="B7114" i="1"/>
  <c r="P7113" i="1" a="1"/>
  <c r="P7113" i="1" s="1"/>
  <c r="O7113" i="1" a="1"/>
  <c r="O7113" i="1" s="1"/>
  <c r="L4509" i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B7115" i="1" l="1"/>
  <c r="M7114" i="1" a="1"/>
  <c r="M7114" i="1" s="1"/>
  <c r="I7114" i="1" a="1"/>
  <c r="I7114" i="1" s="1"/>
  <c r="R7114" i="1" a="1"/>
  <c r="R7114" i="1" s="1"/>
  <c r="N7114" i="1" a="1"/>
  <c r="N7114" i="1" s="1"/>
  <c r="J7114" i="1" a="1"/>
  <c r="J7114" i="1" s="1"/>
  <c r="S7114" i="1" a="1"/>
  <c r="S7114" i="1" s="1"/>
  <c r="O7114" i="1" a="1"/>
  <c r="O7114" i="1" s="1"/>
  <c r="P7114" i="1" a="1"/>
  <c r="P7114" i="1" s="1"/>
  <c r="Q7114" i="1" a="1"/>
  <c r="Q7114" i="1" s="1"/>
  <c r="K7114" i="1" a="1"/>
  <c r="K7114" i="1" s="1"/>
  <c r="L7114" i="1" a="1"/>
  <c r="L7114" i="1" s="1"/>
  <c r="H7114" i="1"/>
  <c r="A7115" i="1"/>
  <c r="L4510" i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A7116" i="1" l="1"/>
  <c r="H7115" i="1"/>
  <c r="I7115" i="1" a="1"/>
  <c r="I7115" i="1" s="1"/>
  <c r="R7115" i="1" a="1"/>
  <c r="R7115" i="1" s="1"/>
  <c r="N7115" i="1" a="1"/>
  <c r="N7115" i="1" s="1"/>
  <c r="J7115" i="1" a="1"/>
  <c r="J7115" i="1" s="1"/>
  <c r="S7115" i="1" a="1"/>
  <c r="S7115" i="1" s="1"/>
  <c r="O7115" i="1" a="1"/>
  <c r="O7115" i="1" s="1"/>
  <c r="K7115" i="1" a="1"/>
  <c r="K7115" i="1" s="1"/>
  <c r="B7116" i="1"/>
  <c r="L7115" i="1" a="1"/>
  <c r="L7115" i="1" s="1"/>
  <c r="M7115" i="1" a="1"/>
  <c r="M7115" i="1" s="1"/>
  <c r="P7115" i="1" a="1"/>
  <c r="P7115" i="1" s="1"/>
  <c r="Q7115" i="1" a="1"/>
  <c r="Q7115" i="1" s="1"/>
  <c r="L4511" i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N7116" i="1" l="1" a="1"/>
  <c r="N7116" i="1" s="1"/>
  <c r="S7116" i="1" a="1"/>
  <c r="S7116" i="1" s="1"/>
  <c r="J7116" i="1" a="1"/>
  <c r="J7116" i="1" s="1"/>
  <c r="O7116" i="1" a="1"/>
  <c r="O7116" i="1" s="1"/>
  <c r="K7116" i="1" a="1"/>
  <c r="K7116" i="1" s="1"/>
  <c r="P7116" i="1" a="1"/>
  <c r="P7116" i="1" s="1"/>
  <c r="B7117" i="1"/>
  <c r="Q7116" i="1" a="1"/>
  <c r="Q7116" i="1" s="1"/>
  <c r="I7116" i="1" a="1"/>
  <c r="I7116" i="1" s="1"/>
  <c r="R7116" i="1" a="1"/>
  <c r="R7116" i="1" s="1"/>
  <c r="L7116" i="1" a="1"/>
  <c r="L7116" i="1" s="1"/>
  <c r="M7116" i="1" a="1"/>
  <c r="M7116" i="1" s="1"/>
  <c r="A7117" i="1"/>
  <c r="H7116" i="1"/>
  <c r="L4512" i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O7117" i="1" l="1" a="1"/>
  <c r="O7117" i="1" s="1"/>
  <c r="K7117" i="1" a="1"/>
  <c r="K7117" i="1" s="1"/>
  <c r="P7117" i="1" a="1"/>
  <c r="P7117" i="1" s="1"/>
  <c r="B7118" i="1"/>
  <c r="L7117" i="1" a="1"/>
  <c r="L7117" i="1" s="1"/>
  <c r="M7117" i="1" a="1"/>
  <c r="M7117" i="1" s="1"/>
  <c r="N7117" i="1" a="1"/>
  <c r="N7117" i="1" s="1"/>
  <c r="Q7117" i="1" a="1"/>
  <c r="Q7117" i="1" s="1"/>
  <c r="R7117" i="1" a="1"/>
  <c r="R7117" i="1" s="1"/>
  <c r="J7117" i="1" a="1"/>
  <c r="J7117" i="1" s="1"/>
  <c r="I7117" i="1" a="1"/>
  <c r="I7117" i="1" s="1"/>
  <c r="S7117" i="1" a="1"/>
  <c r="S7117" i="1" s="1"/>
  <c r="A7118" i="1"/>
  <c r="H7117" i="1"/>
  <c r="L4513" i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B7119" i="1" l="1"/>
  <c r="K7118" i="1" a="1"/>
  <c r="K7118" i="1" s="1"/>
  <c r="P7118" i="1" a="1"/>
  <c r="P7118" i="1" s="1"/>
  <c r="L7118" i="1" a="1"/>
  <c r="L7118" i="1" s="1"/>
  <c r="Q7118" i="1" a="1"/>
  <c r="Q7118" i="1" s="1"/>
  <c r="M7118" i="1" a="1"/>
  <c r="M7118" i="1" s="1"/>
  <c r="I7118" i="1" a="1"/>
  <c r="I7118" i="1" s="1"/>
  <c r="R7118" i="1" a="1"/>
  <c r="R7118" i="1" s="1"/>
  <c r="J7118" i="1" a="1"/>
  <c r="J7118" i="1" s="1"/>
  <c r="S7118" i="1" a="1"/>
  <c r="S7118" i="1" s="1"/>
  <c r="N7118" i="1" a="1"/>
  <c r="N7118" i="1" s="1"/>
  <c r="O7118" i="1" a="1"/>
  <c r="O7118" i="1" s="1"/>
  <c r="H7118" i="1"/>
  <c r="A7119" i="1"/>
  <c r="L4514" i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H7119" i="1" l="1"/>
  <c r="A7120" i="1"/>
  <c r="L7119" i="1" a="1"/>
  <c r="L7119" i="1" s="1"/>
  <c r="Q7119" i="1" a="1"/>
  <c r="Q7119" i="1" s="1"/>
  <c r="M7119" i="1" a="1"/>
  <c r="M7119" i="1" s="1"/>
  <c r="I7119" i="1" a="1"/>
  <c r="I7119" i="1" s="1"/>
  <c r="R7119" i="1" a="1"/>
  <c r="R7119" i="1" s="1"/>
  <c r="N7119" i="1" a="1"/>
  <c r="N7119" i="1" s="1"/>
  <c r="O7119" i="1" a="1"/>
  <c r="O7119" i="1" s="1"/>
  <c r="P7119" i="1" a="1"/>
  <c r="P7119" i="1" s="1"/>
  <c r="K7119" i="1" a="1"/>
  <c r="K7119" i="1" s="1"/>
  <c r="S7119" i="1" a="1"/>
  <c r="S7119" i="1" s="1"/>
  <c r="B7120" i="1"/>
  <c r="J7119" i="1" a="1"/>
  <c r="J7119" i="1" s="1"/>
  <c r="J4534" i="1" a="1"/>
  <c r="J4534" i="1" s="1"/>
  <c r="Q7120" i="1" l="1" a="1"/>
  <c r="Q7120" i="1" s="1"/>
  <c r="M7120" i="1" a="1"/>
  <c r="M7120" i="1" s="1"/>
  <c r="I7120" i="1" a="1"/>
  <c r="I7120" i="1" s="1"/>
  <c r="R7120" i="1" a="1"/>
  <c r="R7120" i="1" s="1"/>
  <c r="N7120" i="1" a="1"/>
  <c r="N7120" i="1" s="1"/>
  <c r="J7120" i="1" a="1"/>
  <c r="J7120" i="1" s="1"/>
  <c r="S7120" i="1" a="1"/>
  <c r="S7120" i="1" s="1"/>
  <c r="K7120" i="1" a="1"/>
  <c r="K7120" i="1" s="1"/>
  <c r="L7120" i="1" a="1"/>
  <c r="L7120" i="1" s="1"/>
  <c r="B7121" i="1"/>
  <c r="O7120" i="1" a="1"/>
  <c r="O7120" i="1" s="1"/>
  <c r="P7120" i="1" a="1"/>
  <c r="P7120" i="1" s="1"/>
  <c r="H7120" i="1"/>
  <c r="A7121" i="1"/>
  <c r="L4534" i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A7122" i="1" l="1"/>
  <c r="H7121" i="1"/>
  <c r="L7121" i="1" a="1"/>
  <c r="L7121" i="1" s="1"/>
  <c r="P7121" i="1" a="1"/>
  <c r="P7121" i="1" s="1"/>
  <c r="B7122" i="1"/>
  <c r="I7121" i="1" a="1"/>
  <c r="I7121" i="1" s="1"/>
  <c r="M7121" i="1" a="1"/>
  <c r="M7121" i="1" s="1"/>
  <c r="Q7121" i="1" a="1"/>
  <c r="Q7121" i="1" s="1"/>
  <c r="N7121" i="1" a="1"/>
  <c r="N7121" i="1" s="1"/>
  <c r="O7121" i="1" a="1"/>
  <c r="O7121" i="1" s="1"/>
  <c r="J7121" i="1" a="1"/>
  <c r="J7121" i="1" s="1"/>
  <c r="R7121" i="1" a="1"/>
  <c r="R7121" i="1" s="1"/>
  <c r="K7121" i="1" a="1"/>
  <c r="K7121" i="1" s="1"/>
  <c r="S7121" i="1" a="1"/>
  <c r="S7121" i="1" s="1"/>
  <c r="J4597" i="1" a="1"/>
  <c r="J4597" i="1" s="1"/>
  <c r="K7122" i="1" l="1" a="1"/>
  <c r="K7122" i="1" s="1"/>
  <c r="O7122" i="1" a="1"/>
  <c r="O7122" i="1" s="1"/>
  <c r="S7122" i="1" a="1"/>
  <c r="S7122" i="1" s="1"/>
  <c r="L7122" i="1" a="1"/>
  <c r="L7122" i="1" s="1"/>
  <c r="P7122" i="1" a="1"/>
  <c r="P7122" i="1" s="1"/>
  <c r="B7123" i="1"/>
  <c r="I7122" i="1" a="1"/>
  <c r="I7122" i="1" s="1"/>
  <c r="Q7122" i="1" a="1"/>
  <c r="Q7122" i="1" s="1"/>
  <c r="J7122" i="1" a="1"/>
  <c r="J7122" i="1" s="1"/>
  <c r="R7122" i="1" a="1"/>
  <c r="R7122" i="1" s="1"/>
  <c r="M7122" i="1" a="1"/>
  <c r="M7122" i="1" s="1"/>
  <c r="N7122" i="1" a="1"/>
  <c r="N7122" i="1" s="1"/>
  <c r="A7123" i="1"/>
  <c r="H7122" i="1"/>
  <c r="L4597" i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J7123" i="1" l="1" a="1"/>
  <c r="J7123" i="1" s="1"/>
  <c r="N7123" i="1" a="1"/>
  <c r="N7123" i="1" s="1"/>
  <c r="R7123" i="1" a="1"/>
  <c r="R7123" i="1" s="1"/>
  <c r="K7123" i="1" a="1"/>
  <c r="K7123" i="1" s="1"/>
  <c r="O7123" i="1" a="1"/>
  <c r="O7123" i="1" s="1"/>
  <c r="S7123" i="1" a="1"/>
  <c r="S7123" i="1" s="1"/>
  <c r="L7123" i="1" a="1"/>
  <c r="L7123" i="1" s="1"/>
  <c r="B7124" i="1"/>
  <c r="M7123" i="1" a="1"/>
  <c r="M7123" i="1" s="1"/>
  <c r="P7123" i="1" a="1"/>
  <c r="P7123" i="1" s="1"/>
  <c r="I7123" i="1" a="1"/>
  <c r="I7123" i="1" s="1"/>
  <c r="Q7123" i="1" a="1"/>
  <c r="Q7123" i="1" s="1"/>
  <c r="A7124" i="1"/>
  <c r="H7123" i="1"/>
  <c r="L4598" i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I7124" i="1" l="1" a="1"/>
  <c r="I7124" i="1" s="1"/>
  <c r="M7124" i="1" a="1"/>
  <c r="M7124" i="1" s="1"/>
  <c r="Q7124" i="1" a="1"/>
  <c r="Q7124" i="1" s="1"/>
  <c r="J7124" i="1" a="1"/>
  <c r="J7124" i="1" s="1"/>
  <c r="N7124" i="1" a="1"/>
  <c r="N7124" i="1" s="1"/>
  <c r="R7124" i="1" a="1"/>
  <c r="R7124" i="1" s="1"/>
  <c r="O7124" i="1" a="1"/>
  <c r="O7124" i="1" s="1"/>
  <c r="P7124" i="1" a="1"/>
  <c r="P7124" i="1" s="1"/>
  <c r="K7124" i="1" a="1"/>
  <c r="K7124" i="1" s="1"/>
  <c r="S7124" i="1" a="1"/>
  <c r="S7124" i="1" s="1"/>
  <c r="B7125" i="1"/>
  <c r="L7124" i="1" a="1"/>
  <c r="L7124" i="1" s="1"/>
  <c r="H7124" i="1"/>
  <c r="A7125" i="1"/>
  <c r="L4599" i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A7126" i="1" l="1"/>
  <c r="H7125" i="1"/>
  <c r="L7125" i="1" a="1"/>
  <c r="L7125" i="1" s="1"/>
  <c r="P7125" i="1" a="1"/>
  <c r="P7125" i="1" s="1"/>
  <c r="B7126" i="1"/>
  <c r="I7125" i="1" a="1"/>
  <c r="I7125" i="1" s="1"/>
  <c r="M7125" i="1" a="1"/>
  <c r="M7125" i="1" s="1"/>
  <c r="Q7125" i="1" a="1"/>
  <c r="Q7125" i="1" s="1"/>
  <c r="J7125" i="1" a="1"/>
  <c r="J7125" i="1" s="1"/>
  <c r="R7125" i="1" a="1"/>
  <c r="R7125" i="1" s="1"/>
  <c r="K7125" i="1" a="1"/>
  <c r="K7125" i="1" s="1"/>
  <c r="S7125" i="1" a="1"/>
  <c r="S7125" i="1" s="1"/>
  <c r="N7125" i="1" a="1"/>
  <c r="N7125" i="1" s="1"/>
  <c r="O7125" i="1" a="1"/>
  <c r="O7125" i="1" s="1"/>
  <c r="L4600" i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K7126" i="1" l="1" a="1"/>
  <c r="K7126" i="1" s="1"/>
  <c r="O7126" i="1" a="1"/>
  <c r="O7126" i="1" s="1"/>
  <c r="S7126" i="1" a="1"/>
  <c r="S7126" i="1" s="1"/>
  <c r="L7126" i="1" a="1"/>
  <c r="L7126" i="1" s="1"/>
  <c r="P7126" i="1" a="1"/>
  <c r="P7126" i="1" s="1"/>
  <c r="B7127" i="1"/>
  <c r="M7126" i="1" a="1"/>
  <c r="M7126" i="1" s="1"/>
  <c r="N7126" i="1" a="1"/>
  <c r="N7126" i="1" s="1"/>
  <c r="I7126" i="1" a="1"/>
  <c r="I7126" i="1" s="1"/>
  <c r="Q7126" i="1" a="1"/>
  <c r="Q7126" i="1" s="1"/>
  <c r="J7126" i="1" a="1"/>
  <c r="J7126" i="1" s="1"/>
  <c r="R7126" i="1" a="1"/>
  <c r="R7126" i="1" s="1"/>
  <c r="A7127" i="1"/>
  <c r="H7126" i="1"/>
  <c r="L4601" i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H7127" i="1" l="1"/>
  <c r="A7128" i="1"/>
  <c r="J7127" i="1" a="1"/>
  <c r="J7127" i="1" s="1"/>
  <c r="N7127" i="1" a="1"/>
  <c r="N7127" i="1" s="1"/>
  <c r="R7127" i="1" a="1"/>
  <c r="R7127" i="1" s="1"/>
  <c r="K7127" i="1" a="1"/>
  <c r="K7127" i="1" s="1"/>
  <c r="O7127" i="1" a="1"/>
  <c r="O7127" i="1" s="1"/>
  <c r="S7127" i="1" a="1"/>
  <c r="S7127" i="1" s="1"/>
  <c r="P7127" i="1" a="1"/>
  <c r="P7127" i="1" s="1"/>
  <c r="I7127" i="1" a="1"/>
  <c r="I7127" i="1" s="1"/>
  <c r="Q7127" i="1" a="1"/>
  <c r="Q7127" i="1" s="1"/>
  <c r="L7127" i="1" a="1"/>
  <c r="L7127" i="1" s="1"/>
  <c r="B7128" i="1"/>
  <c r="M7127" i="1" a="1"/>
  <c r="M7127" i="1" s="1"/>
  <c r="L4602" i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A7129" i="1" l="1"/>
  <c r="H7128" i="1"/>
  <c r="I7128" i="1" a="1"/>
  <c r="I7128" i="1" s="1"/>
  <c r="M7128" i="1" a="1"/>
  <c r="M7128" i="1" s="1"/>
  <c r="Q7128" i="1" a="1"/>
  <c r="Q7128" i="1" s="1"/>
  <c r="J7128" i="1" a="1"/>
  <c r="J7128" i="1" s="1"/>
  <c r="N7128" i="1" a="1"/>
  <c r="N7128" i="1" s="1"/>
  <c r="R7128" i="1" a="1"/>
  <c r="R7128" i="1" s="1"/>
  <c r="K7128" i="1" a="1"/>
  <c r="K7128" i="1" s="1"/>
  <c r="S7128" i="1" a="1"/>
  <c r="S7128" i="1" s="1"/>
  <c r="L7128" i="1" a="1"/>
  <c r="L7128" i="1" s="1"/>
  <c r="B7129" i="1"/>
  <c r="O7128" i="1" a="1"/>
  <c r="O7128" i="1" s="1"/>
  <c r="P7128" i="1" a="1"/>
  <c r="P7128" i="1" s="1"/>
  <c r="L4603" i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7129" i="1" l="1" a="1"/>
  <c r="L7129" i="1" s="1"/>
  <c r="P7129" i="1" a="1"/>
  <c r="P7129" i="1" s="1"/>
  <c r="B7130" i="1"/>
  <c r="I7129" i="1" a="1"/>
  <c r="I7129" i="1" s="1"/>
  <c r="M7129" i="1" a="1"/>
  <c r="M7129" i="1" s="1"/>
  <c r="Q7129" i="1" a="1"/>
  <c r="Q7129" i="1" s="1"/>
  <c r="N7129" i="1" a="1"/>
  <c r="N7129" i="1" s="1"/>
  <c r="O7129" i="1" a="1"/>
  <c r="O7129" i="1" s="1"/>
  <c r="J7129" i="1" a="1"/>
  <c r="J7129" i="1" s="1"/>
  <c r="R7129" i="1" a="1"/>
  <c r="R7129" i="1" s="1"/>
  <c r="S7129" i="1" a="1"/>
  <c r="S7129" i="1" s="1"/>
  <c r="K7129" i="1" a="1"/>
  <c r="K7129" i="1" s="1"/>
  <c r="A7130" i="1"/>
  <c r="H7129" i="1"/>
  <c r="L4604" i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H7130" i="1" l="1"/>
  <c r="A7131" i="1"/>
  <c r="K7130" i="1" a="1"/>
  <c r="K7130" i="1" s="1"/>
  <c r="O7130" i="1" a="1"/>
  <c r="O7130" i="1" s="1"/>
  <c r="S7130" i="1" a="1"/>
  <c r="S7130" i="1" s="1"/>
  <c r="B7131" i="1"/>
  <c r="N7130" i="1" a="1"/>
  <c r="N7130" i="1" s="1"/>
  <c r="I7130" i="1" a="1"/>
  <c r="I7130" i="1" s="1"/>
  <c r="P7130" i="1" a="1"/>
  <c r="P7130" i="1" s="1"/>
  <c r="J7130" i="1" a="1"/>
  <c r="J7130" i="1" s="1"/>
  <c r="Q7130" i="1" a="1"/>
  <c r="Q7130" i="1" s="1"/>
  <c r="M7130" i="1" a="1"/>
  <c r="M7130" i="1" s="1"/>
  <c r="L7130" i="1" a="1"/>
  <c r="L7130" i="1" s="1"/>
  <c r="R7130" i="1" a="1"/>
  <c r="R7130" i="1" s="1"/>
  <c r="L4605" i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J7131" i="1" l="1" a="1"/>
  <c r="J7131" i="1" s="1"/>
  <c r="N7131" i="1" a="1"/>
  <c r="N7131" i="1" s="1"/>
  <c r="R7131" i="1" a="1"/>
  <c r="R7131" i="1" s="1"/>
  <c r="B7132" i="1"/>
  <c r="O7131" i="1" a="1"/>
  <c r="O7131" i="1" s="1"/>
  <c r="I7131" i="1" a="1"/>
  <c r="I7131" i="1" s="1"/>
  <c r="P7131" i="1" a="1"/>
  <c r="P7131" i="1" s="1"/>
  <c r="K7131" i="1" a="1"/>
  <c r="K7131" i="1" s="1"/>
  <c r="Q7131" i="1" a="1"/>
  <c r="Q7131" i="1" s="1"/>
  <c r="S7131" i="1" a="1"/>
  <c r="S7131" i="1" s="1"/>
  <c r="L7131" i="1" a="1"/>
  <c r="L7131" i="1" s="1"/>
  <c r="M7131" i="1" a="1"/>
  <c r="M7131" i="1" s="1"/>
  <c r="H7131" i="1"/>
  <c r="A7132" i="1"/>
  <c r="L4606" i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A7133" i="1" l="1"/>
  <c r="H7132" i="1"/>
  <c r="I7132" i="1" a="1"/>
  <c r="I7132" i="1" s="1"/>
  <c r="M7132" i="1" a="1"/>
  <c r="M7132" i="1" s="1"/>
  <c r="Q7132" i="1" a="1"/>
  <c r="Q7132" i="1" s="1"/>
  <c r="N7132" i="1" a="1"/>
  <c r="N7132" i="1" s="1"/>
  <c r="B7133" i="1"/>
  <c r="O7132" i="1" a="1"/>
  <c r="O7132" i="1" s="1"/>
  <c r="J7132" i="1" a="1"/>
  <c r="J7132" i="1" s="1"/>
  <c r="P7132" i="1" a="1"/>
  <c r="P7132" i="1" s="1"/>
  <c r="K7132" i="1" a="1"/>
  <c r="K7132" i="1" s="1"/>
  <c r="L7132" i="1" a="1"/>
  <c r="L7132" i="1" s="1"/>
  <c r="R7132" i="1" a="1"/>
  <c r="R7132" i="1" s="1"/>
  <c r="S7132" i="1" a="1"/>
  <c r="S7132" i="1" s="1"/>
  <c r="L4607" i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7133" i="1" l="1" a="1"/>
  <c r="L7133" i="1" s="1"/>
  <c r="P7133" i="1" a="1"/>
  <c r="P7133" i="1" s="1"/>
  <c r="B7134" i="1"/>
  <c r="N7133" i="1" a="1"/>
  <c r="N7133" i="1" s="1"/>
  <c r="I7133" i="1" a="1"/>
  <c r="I7133" i="1" s="1"/>
  <c r="O7133" i="1" a="1"/>
  <c r="O7133" i="1" s="1"/>
  <c r="J7133" i="1" a="1"/>
  <c r="J7133" i="1" s="1"/>
  <c r="Q7133" i="1" a="1"/>
  <c r="Q7133" i="1" s="1"/>
  <c r="M7133" i="1" a="1"/>
  <c r="M7133" i="1" s="1"/>
  <c r="R7133" i="1" a="1"/>
  <c r="R7133" i="1" s="1"/>
  <c r="S7133" i="1" a="1"/>
  <c r="S7133" i="1" s="1"/>
  <c r="K7133" i="1" a="1"/>
  <c r="K7133" i="1" s="1"/>
  <c r="A7134" i="1"/>
  <c r="H7133" i="1"/>
  <c r="L4608" i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H7134" i="1" l="1"/>
  <c r="A7135" i="1"/>
  <c r="K7134" i="1" a="1"/>
  <c r="K7134" i="1" s="1"/>
  <c r="O7134" i="1" a="1"/>
  <c r="O7134" i="1" s="1"/>
  <c r="S7134" i="1" a="1"/>
  <c r="S7134" i="1" s="1"/>
  <c r="B7135" i="1"/>
  <c r="N7134" i="1" a="1"/>
  <c r="N7134" i="1" s="1"/>
  <c r="I7134" i="1" a="1"/>
  <c r="I7134" i="1" s="1"/>
  <c r="P7134" i="1" a="1"/>
  <c r="P7134" i="1" s="1"/>
  <c r="J7134" i="1" a="1"/>
  <c r="J7134" i="1" s="1"/>
  <c r="Q7134" i="1" a="1"/>
  <c r="Q7134" i="1" s="1"/>
  <c r="R7134" i="1" a="1"/>
  <c r="R7134" i="1" s="1"/>
  <c r="L7134" i="1" a="1"/>
  <c r="L7134" i="1" s="1"/>
  <c r="M7134" i="1" a="1"/>
  <c r="M7134" i="1" s="1"/>
  <c r="L4609" i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J7135" i="1" l="1" a="1"/>
  <c r="J7135" i="1" s="1"/>
  <c r="N7135" i="1" a="1"/>
  <c r="N7135" i="1" s="1"/>
  <c r="R7135" i="1" a="1"/>
  <c r="R7135" i="1" s="1"/>
  <c r="M7135" i="1" a="1"/>
  <c r="M7135" i="1" s="1"/>
  <c r="O7135" i="1" a="1"/>
  <c r="O7135" i="1" s="1"/>
  <c r="B7136" i="1"/>
  <c r="I7135" i="1" a="1"/>
  <c r="I7135" i="1" s="1"/>
  <c r="P7135" i="1" a="1"/>
  <c r="P7135" i="1" s="1"/>
  <c r="S7135" i="1" a="1"/>
  <c r="S7135" i="1" s="1"/>
  <c r="K7135" i="1" a="1"/>
  <c r="K7135" i="1" s="1"/>
  <c r="L7135" i="1" a="1"/>
  <c r="L7135" i="1" s="1"/>
  <c r="Q7135" i="1" a="1"/>
  <c r="Q7135" i="1" s="1"/>
  <c r="A7136" i="1"/>
  <c r="H7135" i="1"/>
  <c r="L4610" i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I7136" i="1" l="1" a="1"/>
  <c r="I7136" i="1" s="1"/>
  <c r="M7136" i="1" a="1"/>
  <c r="M7136" i="1" s="1"/>
  <c r="Q7136" i="1" a="1"/>
  <c r="Q7136" i="1" s="1"/>
  <c r="L7136" i="1" a="1"/>
  <c r="L7136" i="1" s="1"/>
  <c r="R7136" i="1" a="1"/>
  <c r="R7136" i="1" s="1"/>
  <c r="N7136" i="1" a="1"/>
  <c r="N7136" i="1" s="1"/>
  <c r="S7136" i="1" a="1"/>
  <c r="S7136" i="1" s="1"/>
  <c r="J7136" i="1" a="1"/>
  <c r="J7136" i="1" s="1"/>
  <c r="B7137" i="1"/>
  <c r="P7136" i="1" a="1"/>
  <c r="P7136" i="1" s="1"/>
  <c r="K7136" i="1" a="1"/>
  <c r="K7136" i="1" s="1"/>
  <c r="O7136" i="1" a="1"/>
  <c r="O7136" i="1" s="1"/>
  <c r="H7136" i="1"/>
  <c r="A7137" i="1"/>
  <c r="L4611" i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A7138" i="1" l="1"/>
  <c r="H7137" i="1"/>
  <c r="L7137" i="1" a="1"/>
  <c r="L7137" i="1" s="1"/>
  <c r="P7137" i="1" a="1"/>
  <c r="P7137" i="1" s="1"/>
  <c r="B7138" i="1"/>
  <c r="J7137" i="1" a="1"/>
  <c r="J7137" i="1" s="1"/>
  <c r="O7137" i="1" a="1"/>
  <c r="O7137" i="1" s="1"/>
  <c r="K7137" i="1" a="1"/>
  <c r="K7137" i="1" s="1"/>
  <c r="Q7137" i="1" a="1"/>
  <c r="Q7137" i="1" s="1"/>
  <c r="I7137" i="1" a="1"/>
  <c r="I7137" i="1" s="1"/>
  <c r="M7137" i="1" a="1"/>
  <c r="M7137" i="1" s="1"/>
  <c r="S7137" i="1" a="1"/>
  <c r="S7137" i="1" s="1"/>
  <c r="N7137" i="1" a="1"/>
  <c r="N7137" i="1" s="1"/>
  <c r="R7137" i="1" a="1"/>
  <c r="R7137" i="1" s="1"/>
  <c r="L4612" i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K7138" i="1" l="1" a="1"/>
  <c r="K7138" i="1" s="1"/>
  <c r="O7138" i="1" a="1"/>
  <c r="O7138" i="1" s="1"/>
  <c r="S7138" i="1" a="1"/>
  <c r="S7138" i="1" s="1"/>
  <c r="M7138" i="1" a="1"/>
  <c r="M7138" i="1" s="1"/>
  <c r="R7138" i="1" a="1"/>
  <c r="R7138" i="1" s="1"/>
  <c r="I7138" i="1" a="1"/>
  <c r="I7138" i="1" s="1"/>
  <c r="N7138" i="1" a="1"/>
  <c r="N7138" i="1" s="1"/>
  <c r="B7139" i="1"/>
  <c r="L7138" i="1" a="1"/>
  <c r="L7138" i="1" s="1"/>
  <c r="P7138" i="1" a="1"/>
  <c r="P7138" i="1" s="1"/>
  <c r="Q7138" i="1" a="1"/>
  <c r="Q7138" i="1" s="1"/>
  <c r="J7138" i="1" a="1"/>
  <c r="J7138" i="1" s="1"/>
  <c r="H7138" i="1"/>
  <c r="A7139" i="1"/>
  <c r="L4613" i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A7140" i="1" l="1"/>
  <c r="H7139" i="1"/>
  <c r="J7139" i="1" a="1"/>
  <c r="J7139" i="1" s="1"/>
  <c r="N7139" i="1" a="1"/>
  <c r="N7139" i="1" s="1"/>
  <c r="R7139" i="1" a="1"/>
  <c r="R7139" i="1" s="1"/>
  <c r="B7140" i="1"/>
  <c r="K7139" i="1" a="1"/>
  <c r="K7139" i="1" s="1"/>
  <c r="P7139" i="1" a="1"/>
  <c r="P7139" i="1" s="1"/>
  <c r="L7139" i="1" a="1"/>
  <c r="L7139" i="1" s="1"/>
  <c r="Q7139" i="1" a="1"/>
  <c r="Q7139" i="1" s="1"/>
  <c r="M7139" i="1" a="1"/>
  <c r="M7139" i="1" s="1"/>
  <c r="O7139" i="1" a="1"/>
  <c r="O7139" i="1" s="1"/>
  <c r="S7139" i="1" a="1"/>
  <c r="S7139" i="1" s="1"/>
  <c r="I7139" i="1" a="1"/>
  <c r="I7139" i="1" s="1"/>
  <c r="L4614" i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I7140" i="1" l="1" a="1"/>
  <c r="I7140" i="1" s="1"/>
  <c r="M7140" i="1" a="1"/>
  <c r="M7140" i="1" s="1"/>
  <c r="Q7140" i="1" a="1"/>
  <c r="Q7140" i="1" s="1"/>
  <c r="S7140" i="1" a="1"/>
  <c r="S7140" i="1" s="1"/>
  <c r="N7140" i="1" a="1"/>
  <c r="N7140" i="1" s="1"/>
  <c r="J7140" i="1" a="1"/>
  <c r="J7140" i="1" s="1"/>
  <c r="O7140" i="1" a="1"/>
  <c r="O7140" i="1" s="1"/>
  <c r="B7141" i="1"/>
  <c r="L7140" i="1" a="1"/>
  <c r="L7140" i="1" s="1"/>
  <c r="P7140" i="1" a="1"/>
  <c r="P7140" i="1" s="1"/>
  <c r="R7140" i="1" a="1"/>
  <c r="R7140" i="1" s="1"/>
  <c r="K7140" i="1" a="1"/>
  <c r="K7140" i="1" s="1"/>
  <c r="H7140" i="1"/>
  <c r="A7141" i="1"/>
  <c r="L4615" i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7141" i="1" l="1" a="1"/>
  <c r="L7141" i="1" s="1"/>
  <c r="P7141" i="1" a="1"/>
  <c r="P7141" i="1" s="1"/>
  <c r="B7142" i="1"/>
  <c r="Q7141" i="1" a="1"/>
  <c r="Q7141" i="1" s="1"/>
  <c r="K7141" i="1" a="1"/>
  <c r="K7141" i="1" s="1"/>
  <c r="M7141" i="1" a="1"/>
  <c r="M7141" i="1" s="1"/>
  <c r="R7141" i="1" a="1"/>
  <c r="R7141" i="1" s="1"/>
  <c r="O7141" i="1" a="1"/>
  <c r="O7141" i="1" s="1"/>
  <c r="N7141" i="1" a="1"/>
  <c r="N7141" i="1" s="1"/>
  <c r="J7141" i="1" a="1"/>
  <c r="J7141" i="1" s="1"/>
  <c r="S7141" i="1" a="1"/>
  <c r="S7141" i="1" s="1"/>
  <c r="I7141" i="1" a="1"/>
  <c r="I7141" i="1" s="1"/>
  <c r="A7142" i="1"/>
  <c r="H7141" i="1"/>
  <c r="L4616" i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H7142" i="1" l="1"/>
  <c r="A7143" i="1"/>
  <c r="K7142" i="1" a="1"/>
  <c r="K7142" i="1" s="1"/>
  <c r="O7142" i="1" a="1"/>
  <c r="O7142" i="1" s="1"/>
  <c r="S7142" i="1" a="1"/>
  <c r="S7142" i="1" s="1"/>
  <c r="I7142" i="1" a="1"/>
  <c r="I7142" i="1" s="1"/>
  <c r="N7142" i="1" a="1"/>
  <c r="N7142" i="1" s="1"/>
  <c r="B7143" i="1"/>
  <c r="J7142" i="1" a="1"/>
  <c r="J7142" i="1" s="1"/>
  <c r="P7142" i="1" a="1"/>
  <c r="P7142" i="1" s="1"/>
  <c r="Q7142" i="1" a="1"/>
  <c r="Q7142" i="1" s="1"/>
  <c r="L7142" i="1" a="1"/>
  <c r="L7142" i="1" s="1"/>
  <c r="M7142" i="1" a="1"/>
  <c r="M7142" i="1" s="1"/>
  <c r="R7142" i="1" a="1"/>
  <c r="R7142" i="1" s="1"/>
  <c r="L4617" i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J7143" i="1" l="1" a="1"/>
  <c r="J7143" i="1" s="1"/>
  <c r="N7143" i="1" a="1"/>
  <c r="N7143" i="1" s="1"/>
  <c r="R7143" i="1" a="1"/>
  <c r="R7143" i="1" s="1"/>
  <c r="Q7143" i="1" a="1"/>
  <c r="Q7143" i="1" s="1"/>
  <c r="L7143" i="1" a="1"/>
  <c r="L7143" i="1" s="1"/>
  <c r="M7143" i="1" a="1"/>
  <c r="M7143" i="1" s="1"/>
  <c r="S7143" i="1" a="1"/>
  <c r="S7143" i="1" s="1"/>
  <c r="P7143" i="1" a="1"/>
  <c r="P7143" i="1" s="1"/>
  <c r="O7143" i="1" a="1"/>
  <c r="O7143" i="1" s="1"/>
  <c r="B7144" i="1"/>
  <c r="I7143" i="1" a="1"/>
  <c r="I7143" i="1" s="1"/>
  <c r="K7143" i="1" a="1"/>
  <c r="K7143" i="1" s="1"/>
  <c r="H7143" i="1"/>
  <c r="A7144" i="1"/>
  <c r="L4618" i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H7144" i="1" l="1"/>
  <c r="A7145" i="1"/>
  <c r="I7144" i="1" a="1"/>
  <c r="I7144" i="1" s="1"/>
  <c r="M7144" i="1" a="1"/>
  <c r="M7144" i="1" s="1"/>
  <c r="Q7144" i="1" a="1"/>
  <c r="Q7144" i="1" s="1"/>
  <c r="O7144" i="1" a="1"/>
  <c r="O7144" i="1" s="1"/>
  <c r="J7144" i="1" a="1"/>
  <c r="J7144" i="1" s="1"/>
  <c r="B7145" i="1"/>
  <c r="K7144" i="1" a="1"/>
  <c r="K7144" i="1" s="1"/>
  <c r="P7144" i="1" a="1"/>
  <c r="P7144" i="1" s="1"/>
  <c r="S7144" i="1" a="1"/>
  <c r="S7144" i="1" s="1"/>
  <c r="L7144" i="1" a="1"/>
  <c r="L7144" i="1" s="1"/>
  <c r="N7144" i="1" a="1"/>
  <c r="N7144" i="1" s="1"/>
  <c r="R7144" i="1" a="1"/>
  <c r="R7144" i="1" s="1"/>
  <c r="L4619" i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7145" i="1" l="1" a="1"/>
  <c r="L7145" i="1" s="1"/>
  <c r="P7145" i="1" a="1"/>
  <c r="P7145" i="1" s="1"/>
  <c r="B7146" i="1"/>
  <c r="M7145" i="1" a="1"/>
  <c r="M7145" i="1" s="1"/>
  <c r="R7145" i="1" a="1"/>
  <c r="R7145" i="1" s="1"/>
  <c r="I7145" i="1" a="1"/>
  <c r="I7145" i="1" s="1"/>
  <c r="N7145" i="1" a="1"/>
  <c r="N7145" i="1" s="1"/>
  <c r="S7145" i="1" a="1"/>
  <c r="S7145" i="1" s="1"/>
  <c r="Q7145" i="1" a="1"/>
  <c r="Q7145" i="1" s="1"/>
  <c r="J7145" i="1" a="1"/>
  <c r="J7145" i="1" s="1"/>
  <c r="O7145" i="1" a="1"/>
  <c r="O7145" i="1" s="1"/>
  <c r="K7145" i="1" a="1"/>
  <c r="K7145" i="1" s="1"/>
  <c r="A7146" i="1"/>
  <c r="H7145" i="1"/>
  <c r="L4620" i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K7146" i="1" l="1" a="1"/>
  <c r="K7146" i="1" s="1"/>
  <c r="O7146" i="1" a="1"/>
  <c r="O7146" i="1" s="1"/>
  <c r="S7146" i="1" a="1"/>
  <c r="S7146" i="1" s="1"/>
  <c r="B7147" i="1"/>
  <c r="J7146" i="1" a="1"/>
  <c r="J7146" i="1" s="1"/>
  <c r="P7146" i="1" a="1"/>
  <c r="P7146" i="1" s="1"/>
  <c r="L7146" i="1" a="1"/>
  <c r="L7146" i="1" s="1"/>
  <c r="Q7146" i="1" a="1"/>
  <c r="Q7146" i="1" s="1"/>
  <c r="N7146" i="1" a="1"/>
  <c r="N7146" i="1" s="1"/>
  <c r="I7146" i="1" a="1"/>
  <c r="I7146" i="1" s="1"/>
  <c r="M7146" i="1" a="1"/>
  <c r="M7146" i="1" s="1"/>
  <c r="R7146" i="1" a="1"/>
  <c r="R7146" i="1" s="1"/>
  <c r="A7147" i="1"/>
  <c r="H7146" i="1"/>
  <c r="L4621" i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J7147" i="1" l="1" a="1"/>
  <c r="J7147" i="1" s="1"/>
  <c r="N7147" i="1" a="1"/>
  <c r="N7147" i="1" s="1"/>
  <c r="R7147" i="1" a="1"/>
  <c r="R7147" i="1" s="1"/>
  <c r="S7147" i="1" a="1"/>
  <c r="S7147" i="1" s="1"/>
  <c r="M7147" i="1" a="1"/>
  <c r="M7147" i="1" s="1"/>
  <c r="I7147" i="1" a="1"/>
  <c r="I7147" i="1" s="1"/>
  <c r="O7147" i="1" a="1"/>
  <c r="O7147" i="1" s="1"/>
  <c r="B7148" i="1"/>
  <c r="K7147" i="1" a="1"/>
  <c r="K7147" i="1" s="1"/>
  <c r="L7147" i="1" a="1"/>
  <c r="L7147" i="1" s="1"/>
  <c r="P7147" i="1" a="1"/>
  <c r="P7147" i="1" s="1"/>
  <c r="Q7147" i="1" a="1"/>
  <c r="Q7147" i="1" s="1"/>
  <c r="H7147" i="1"/>
  <c r="A7148" i="1"/>
  <c r="L4622" i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I7148" i="1" l="1" a="1"/>
  <c r="I7148" i="1" s="1"/>
  <c r="M7148" i="1" a="1"/>
  <c r="M7148" i="1" s="1"/>
  <c r="Q7148" i="1" a="1"/>
  <c r="Q7148" i="1" s="1"/>
  <c r="B7149" i="1"/>
  <c r="P7148" i="1" a="1"/>
  <c r="P7148" i="1" s="1"/>
  <c r="K7148" i="1" a="1"/>
  <c r="K7148" i="1" s="1"/>
  <c r="L7148" i="1" a="1"/>
  <c r="L7148" i="1" s="1"/>
  <c r="R7148" i="1" a="1"/>
  <c r="R7148" i="1" s="1"/>
  <c r="J7148" i="1" a="1"/>
  <c r="J7148" i="1" s="1"/>
  <c r="N7148" i="1" a="1"/>
  <c r="N7148" i="1" s="1"/>
  <c r="O7148" i="1" a="1"/>
  <c r="O7148" i="1" s="1"/>
  <c r="S7148" i="1" a="1"/>
  <c r="S7148" i="1" s="1"/>
  <c r="H7148" i="1"/>
  <c r="A7149" i="1"/>
  <c r="L4623" i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A7150" i="1" l="1"/>
  <c r="H7149" i="1"/>
  <c r="L7149" i="1" a="1"/>
  <c r="L7149" i="1" s="1"/>
  <c r="P7149" i="1" a="1"/>
  <c r="P7149" i="1" s="1"/>
  <c r="B7150" i="1"/>
  <c r="N7149" i="1" a="1"/>
  <c r="N7149" i="1" s="1"/>
  <c r="I7149" i="1" a="1"/>
  <c r="I7149" i="1" s="1"/>
  <c r="S7149" i="1" a="1"/>
  <c r="S7149" i="1" s="1"/>
  <c r="J7149" i="1" a="1"/>
  <c r="J7149" i="1" s="1"/>
  <c r="O7149" i="1" a="1"/>
  <c r="O7149" i="1" s="1"/>
  <c r="K7149" i="1" a="1"/>
  <c r="K7149" i="1" s="1"/>
  <c r="M7149" i="1" a="1"/>
  <c r="M7149" i="1" s="1"/>
  <c r="Q7149" i="1" a="1"/>
  <c r="Q7149" i="1" s="1"/>
  <c r="R7149" i="1" a="1"/>
  <c r="R7149" i="1" s="1"/>
  <c r="L4624" i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K7150" i="1" l="1" a="1"/>
  <c r="K7150" i="1" s="1"/>
  <c r="O7150" i="1" a="1"/>
  <c r="O7150" i="1" s="1"/>
  <c r="S7150" i="1" a="1"/>
  <c r="S7150" i="1" s="1"/>
  <c r="L7150" i="1" a="1"/>
  <c r="L7150" i="1" s="1"/>
  <c r="Q7150" i="1" a="1"/>
  <c r="Q7150" i="1" s="1"/>
  <c r="M7150" i="1" a="1"/>
  <c r="M7150" i="1" s="1"/>
  <c r="R7150" i="1" a="1"/>
  <c r="R7150" i="1" s="1"/>
  <c r="J7150" i="1" a="1"/>
  <c r="J7150" i="1" s="1"/>
  <c r="N7150" i="1" a="1"/>
  <c r="N7150" i="1" s="1"/>
  <c r="I7150" i="1" a="1"/>
  <c r="I7150" i="1" s="1"/>
  <c r="B7151" i="1"/>
  <c r="P7150" i="1" a="1"/>
  <c r="P7150" i="1" s="1"/>
  <c r="H7150" i="1"/>
  <c r="A7151" i="1"/>
  <c r="L4625" i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H7151" i="1" l="1"/>
  <c r="A7152" i="1"/>
  <c r="J7151" i="1" a="1"/>
  <c r="J7151" i="1" s="1"/>
  <c r="N7151" i="1" a="1"/>
  <c r="N7151" i="1" s="1"/>
  <c r="R7151" i="1" a="1"/>
  <c r="R7151" i="1" s="1"/>
  <c r="I7151" i="1" a="1"/>
  <c r="I7151" i="1" s="1"/>
  <c r="O7151" i="1" a="1"/>
  <c r="O7151" i="1" s="1"/>
  <c r="B7152" i="1"/>
  <c r="K7151" i="1" a="1"/>
  <c r="K7151" i="1" s="1"/>
  <c r="P7151" i="1" a="1"/>
  <c r="P7151" i="1" s="1"/>
  <c r="M7151" i="1" a="1"/>
  <c r="M7151" i="1" s="1"/>
  <c r="L7151" i="1" a="1"/>
  <c r="L7151" i="1" s="1"/>
  <c r="Q7151" i="1" a="1"/>
  <c r="Q7151" i="1" s="1"/>
  <c r="S7151" i="1" a="1"/>
  <c r="S7151" i="1" s="1"/>
  <c r="L4626" i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I7152" i="1" l="1" a="1"/>
  <c r="I7152" i="1" s="1"/>
  <c r="M7152" i="1" a="1"/>
  <c r="M7152" i="1" s="1"/>
  <c r="Q7152" i="1" a="1"/>
  <c r="Q7152" i="1" s="1"/>
  <c r="R7152" i="1" a="1"/>
  <c r="R7152" i="1" s="1"/>
  <c r="L7152" i="1" a="1"/>
  <c r="L7152" i="1" s="1"/>
  <c r="N7152" i="1" a="1"/>
  <c r="N7152" i="1" s="1"/>
  <c r="S7152" i="1" a="1"/>
  <c r="S7152" i="1" s="1"/>
  <c r="O7152" i="1" a="1"/>
  <c r="O7152" i="1" s="1"/>
  <c r="J7152" i="1" a="1"/>
  <c r="J7152" i="1" s="1"/>
  <c r="P7152" i="1" a="1"/>
  <c r="P7152" i="1" s="1"/>
  <c r="K7152" i="1" a="1"/>
  <c r="K7152" i="1" s="1"/>
  <c r="B7153" i="1"/>
  <c r="H7152" i="1"/>
  <c r="A7153" i="1"/>
  <c r="L4627" i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A7154" i="1" l="1"/>
  <c r="H7153" i="1"/>
  <c r="L7153" i="1" a="1"/>
  <c r="L7153" i="1" s="1"/>
  <c r="P7153" i="1" a="1"/>
  <c r="P7153" i="1" s="1"/>
  <c r="B7154" i="1"/>
  <c r="O7153" i="1" a="1"/>
  <c r="O7153" i="1" s="1"/>
  <c r="J7153" i="1" a="1"/>
  <c r="J7153" i="1" s="1"/>
  <c r="K7153" i="1" a="1"/>
  <c r="K7153" i="1" s="1"/>
  <c r="Q7153" i="1" a="1"/>
  <c r="Q7153" i="1" s="1"/>
  <c r="N7153" i="1" a="1"/>
  <c r="N7153" i="1" s="1"/>
  <c r="R7153" i="1" a="1"/>
  <c r="R7153" i="1" s="1"/>
  <c r="S7153" i="1" a="1"/>
  <c r="S7153" i="1" s="1"/>
  <c r="M7153" i="1" a="1"/>
  <c r="M7153" i="1" s="1"/>
  <c r="I7153" i="1" a="1"/>
  <c r="I7153" i="1" s="1"/>
  <c r="A6243" i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K7154" i="1" l="1" a="1"/>
  <c r="K7154" i="1" s="1"/>
  <c r="O7154" i="1" a="1"/>
  <c r="O7154" i="1" s="1"/>
  <c r="S7154" i="1" a="1"/>
  <c r="S7154" i="1" s="1"/>
  <c r="M7154" i="1" a="1"/>
  <c r="M7154" i="1" s="1"/>
  <c r="R7154" i="1" a="1"/>
  <c r="R7154" i="1" s="1"/>
  <c r="I7154" i="1" a="1"/>
  <c r="I7154" i="1" s="1"/>
  <c r="N7154" i="1" a="1"/>
  <c r="N7154" i="1" s="1"/>
  <c r="B7155" i="1"/>
  <c r="Q7154" i="1" a="1"/>
  <c r="Q7154" i="1" s="1"/>
  <c r="J7154" i="1" a="1"/>
  <c r="J7154" i="1" s="1"/>
  <c r="L7154" i="1" a="1"/>
  <c r="L7154" i="1" s="1"/>
  <c r="P7154" i="1" a="1"/>
  <c r="P7154" i="1" s="1"/>
  <c r="H7154" i="1"/>
  <c r="A7155" i="1"/>
  <c r="O6242" i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A7156" i="1" l="1"/>
  <c r="H7155" i="1"/>
  <c r="J7155" i="1" a="1"/>
  <c r="J7155" i="1" s="1"/>
  <c r="N7155" i="1" a="1"/>
  <c r="N7155" i="1" s="1"/>
  <c r="R7155" i="1" a="1"/>
  <c r="R7155" i="1" s="1"/>
  <c r="B7156" i="1"/>
  <c r="K7155" i="1" a="1"/>
  <c r="K7155" i="1" s="1"/>
  <c r="P7155" i="1" a="1"/>
  <c r="P7155" i="1" s="1"/>
  <c r="L7155" i="1" a="1"/>
  <c r="L7155" i="1" s="1"/>
  <c r="Q7155" i="1" a="1"/>
  <c r="Q7155" i="1" s="1"/>
  <c r="S7155" i="1" a="1"/>
  <c r="S7155" i="1" s="1"/>
  <c r="O7155" i="1" a="1"/>
  <c r="O7155" i="1" s="1"/>
  <c r="M7155" i="1" a="1"/>
  <c r="M7155" i="1" s="1"/>
  <c r="I7155" i="1" a="1"/>
  <c r="I7155" i="1" s="1"/>
  <c r="I6242" i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I7156" i="1" l="1" a="1"/>
  <c r="I7156" i="1" s="1"/>
  <c r="M7156" i="1" a="1"/>
  <c r="M7156" i="1" s="1"/>
  <c r="Q7156" i="1" a="1"/>
  <c r="Q7156" i="1" s="1"/>
  <c r="N7156" i="1" a="1"/>
  <c r="N7156" i="1" s="1"/>
  <c r="S7156" i="1" a="1"/>
  <c r="S7156" i="1" s="1"/>
  <c r="J7156" i="1" a="1"/>
  <c r="J7156" i="1" s="1"/>
  <c r="O7156" i="1" a="1"/>
  <c r="O7156" i="1" s="1"/>
  <c r="B7157" i="1"/>
  <c r="R7156" i="1" a="1"/>
  <c r="R7156" i="1" s="1"/>
  <c r="P7156" i="1" a="1"/>
  <c r="P7156" i="1" s="1"/>
  <c r="K7156" i="1" a="1"/>
  <c r="K7156" i="1" s="1"/>
  <c r="L7156" i="1" a="1"/>
  <c r="L7156" i="1" s="1"/>
  <c r="H7156" i="1"/>
  <c r="A7157" i="1"/>
  <c r="I6243" i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L7157" i="1" l="1" a="1"/>
  <c r="L7157" i="1" s="1"/>
  <c r="P7157" i="1" a="1"/>
  <c r="P7157" i="1" s="1"/>
  <c r="B7158" i="1"/>
  <c r="K7157" i="1" a="1"/>
  <c r="K7157" i="1" s="1"/>
  <c r="Q7157" i="1" a="1"/>
  <c r="Q7157" i="1" s="1"/>
  <c r="M7157" i="1" a="1"/>
  <c r="M7157" i="1" s="1"/>
  <c r="R7157" i="1" a="1"/>
  <c r="R7157" i="1" s="1"/>
  <c r="I7157" i="1" a="1"/>
  <c r="I7157" i="1" s="1"/>
  <c r="S7157" i="1" a="1"/>
  <c r="S7157" i="1" s="1"/>
  <c r="J7157" i="1" a="1"/>
  <c r="J7157" i="1" s="1"/>
  <c r="N7157" i="1" a="1"/>
  <c r="N7157" i="1" s="1"/>
  <c r="O7157" i="1" a="1"/>
  <c r="O7157" i="1" s="1"/>
  <c r="A7158" i="1"/>
  <c r="H7157" i="1"/>
  <c r="J6244" i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K7158" i="1" l="1" a="1"/>
  <c r="K7158" i="1" s="1"/>
  <c r="O7158" i="1" a="1"/>
  <c r="O7158" i="1" s="1"/>
  <c r="S7158" i="1" a="1"/>
  <c r="S7158" i="1" s="1"/>
  <c r="I7158" i="1" a="1"/>
  <c r="I7158" i="1" s="1"/>
  <c r="N7158" i="1" a="1"/>
  <c r="N7158" i="1" s="1"/>
  <c r="B7159" i="1"/>
  <c r="J7158" i="1" a="1"/>
  <c r="J7158" i="1" s="1"/>
  <c r="P7158" i="1" a="1"/>
  <c r="P7158" i="1" s="1"/>
  <c r="Q7158" i="1" a="1"/>
  <c r="Q7158" i="1" s="1"/>
  <c r="L7158" i="1" a="1"/>
  <c r="L7158" i="1" s="1"/>
  <c r="R7158" i="1" a="1"/>
  <c r="R7158" i="1" s="1"/>
  <c r="M7158" i="1" a="1"/>
  <c r="M7158" i="1" s="1"/>
  <c r="H7158" i="1"/>
  <c r="A7159" i="1"/>
  <c r="I6245" i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H7159" i="1" l="1"/>
  <c r="A7160" i="1"/>
  <c r="J7159" i="1" a="1"/>
  <c r="J7159" i="1" s="1"/>
  <c r="N7159" i="1" a="1"/>
  <c r="N7159" i="1" s="1"/>
  <c r="R7159" i="1" a="1"/>
  <c r="R7159" i="1" s="1"/>
  <c r="L7159" i="1" a="1"/>
  <c r="L7159" i="1" s="1"/>
  <c r="Q7159" i="1" a="1"/>
  <c r="Q7159" i="1" s="1"/>
  <c r="M7159" i="1" a="1"/>
  <c r="M7159" i="1" s="1"/>
  <c r="S7159" i="1" a="1"/>
  <c r="S7159" i="1" s="1"/>
  <c r="I7159" i="1" a="1"/>
  <c r="I7159" i="1" s="1"/>
  <c r="K7159" i="1" a="1"/>
  <c r="K7159" i="1" s="1"/>
  <c r="P7159" i="1" a="1"/>
  <c r="P7159" i="1" s="1"/>
  <c r="O7159" i="1" a="1"/>
  <c r="O7159" i="1" s="1"/>
  <c r="B7160" i="1"/>
  <c r="J6246" i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I7160" i="1" l="1" a="1"/>
  <c r="I7160" i="1" s="1"/>
  <c r="M7160" i="1" a="1"/>
  <c r="M7160" i="1" s="1"/>
  <c r="Q7160" i="1" a="1"/>
  <c r="Q7160" i="1" s="1"/>
  <c r="O7160" i="1" a="1"/>
  <c r="O7160" i="1" s="1"/>
  <c r="J7160" i="1" a="1"/>
  <c r="J7160" i="1" s="1"/>
  <c r="B7161" i="1"/>
  <c r="K7160" i="1" a="1"/>
  <c r="K7160" i="1" s="1"/>
  <c r="P7160" i="1" a="1"/>
  <c r="P7160" i="1" s="1"/>
  <c r="L7160" i="1" a="1"/>
  <c r="L7160" i="1" s="1"/>
  <c r="S7160" i="1" a="1"/>
  <c r="S7160" i="1" s="1"/>
  <c r="N7160" i="1" a="1"/>
  <c r="N7160" i="1" s="1"/>
  <c r="R7160" i="1" a="1"/>
  <c r="R7160" i="1" s="1"/>
  <c r="H7160" i="1"/>
  <c r="A7161" i="1"/>
  <c r="I6247" i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A7162" i="1" l="1"/>
  <c r="H7161" i="1"/>
  <c r="L7161" i="1" a="1"/>
  <c r="L7161" i="1" s="1"/>
  <c r="P7161" i="1" a="1"/>
  <c r="P7161" i="1" s="1"/>
  <c r="B7162" i="1"/>
  <c r="M7161" i="1" a="1"/>
  <c r="M7161" i="1" s="1"/>
  <c r="R7161" i="1" a="1"/>
  <c r="R7161" i="1" s="1"/>
  <c r="I7161" i="1" a="1"/>
  <c r="I7161" i="1" s="1"/>
  <c r="N7161" i="1" a="1"/>
  <c r="N7161" i="1" s="1"/>
  <c r="S7161" i="1" a="1"/>
  <c r="S7161" i="1" s="1"/>
  <c r="K7161" i="1" a="1"/>
  <c r="K7161" i="1" s="1"/>
  <c r="O7161" i="1" a="1"/>
  <c r="O7161" i="1" s="1"/>
  <c r="J7161" i="1" a="1"/>
  <c r="J7161" i="1" s="1"/>
  <c r="Q7161" i="1" a="1"/>
  <c r="Q7161" i="1" s="1"/>
  <c r="I6248" i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K7162" i="1" l="1" a="1"/>
  <c r="K7162" i="1" s="1"/>
  <c r="O7162" i="1" a="1"/>
  <c r="O7162" i="1" s="1"/>
  <c r="S7162" i="1" a="1"/>
  <c r="S7162" i="1" s="1"/>
  <c r="B7163" i="1"/>
  <c r="J7162" i="1" a="1"/>
  <c r="J7162" i="1" s="1"/>
  <c r="P7162" i="1" a="1"/>
  <c r="P7162" i="1" s="1"/>
  <c r="L7162" i="1" a="1"/>
  <c r="L7162" i="1" s="1"/>
  <c r="Q7162" i="1" a="1"/>
  <c r="Q7162" i="1" s="1"/>
  <c r="M7162" i="1" a="1"/>
  <c r="M7162" i="1" s="1"/>
  <c r="I7162" i="1" a="1"/>
  <c r="I7162" i="1" s="1"/>
  <c r="N7162" i="1" a="1"/>
  <c r="N7162" i="1" s="1"/>
  <c r="R7162" i="1" a="1"/>
  <c r="R7162" i="1" s="1"/>
  <c r="A7163" i="1"/>
  <c r="H7162" i="1"/>
  <c r="I6249" i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H7163" i="1" l="1"/>
  <c r="A7164" i="1"/>
  <c r="J7163" i="1" a="1"/>
  <c r="J7163" i="1" s="1"/>
  <c r="N7163" i="1" a="1"/>
  <c r="N7163" i="1" s="1"/>
  <c r="R7163" i="1" a="1"/>
  <c r="R7163" i="1" s="1"/>
  <c r="M7163" i="1" a="1"/>
  <c r="M7163" i="1" s="1"/>
  <c r="S7163" i="1" a="1"/>
  <c r="S7163" i="1" s="1"/>
  <c r="I7163" i="1" a="1"/>
  <c r="I7163" i="1" s="1"/>
  <c r="O7163" i="1" a="1"/>
  <c r="O7163" i="1" s="1"/>
  <c r="L7163" i="1" a="1"/>
  <c r="L7163" i="1" s="1"/>
  <c r="K7163" i="1" a="1"/>
  <c r="K7163" i="1" s="1"/>
  <c r="P7163" i="1" a="1"/>
  <c r="P7163" i="1" s="1"/>
  <c r="Q7163" i="1" a="1"/>
  <c r="Q7163" i="1" s="1"/>
  <c r="B7164" i="1"/>
  <c r="O6250" i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I7164" i="1" l="1" a="1"/>
  <c r="I7164" i="1" s="1"/>
  <c r="M7164" i="1" a="1"/>
  <c r="M7164" i="1" s="1"/>
  <c r="Q7164" i="1" a="1"/>
  <c r="Q7164" i="1" s="1"/>
  <c r="B7165" i="1"/>
  <c r="K7164" i="1" a="1"/>
  <c r="K7164" i="1" s="1"/>
  <c r="P7164" i="1" a="1"/>
  <c r="P7164" i="1" s="1"/>
  <c r="L7164" i="1" a="1"/>
  <c r="L7164" i="1" s="1"/>
  <c r="S7164" i="1" a="1"/>
  <c r="S7164" i="1" s="1"/>
  <c r="J7164" i="1" a="1"/>
  <c r="J7164" i="1" s="1"/>
  <c r="R7164" i="1" a="1"/>
  <c r="R7164" i="1" s="1"/>
  <c r="O7164" i="1" a="1"/>
  <c r="O7164" i="1" s="1"/>
  <c r="N7164" i="1" a="1"/>
  <c r="N7164" i="1" s="1"/>
  <c r="H7164" i="1"/>
  <c r="A7165" i="1"/>
  <c r="O6251" i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A7166" i="1" l="1"/>
  <c r="H7165" i="1"/>
  <c r="L7165" i="1" a="1"/>
  <c r="L7165" i="1" s="1"/>
  <c r="P7165" i="1" a="1"/>
  <c r="P7165" i="1" s="1"/>
  <c r="B7166" i="1"/>
  <c r="I7165" i="1" a="1"/>
  <c r="I7165" i="1" s="1"/>
  <c r="S7165" i="1" a="1"/>
  <c r="S7165" i="1" s="1"/>
  <c r="N7165" i="1" a="1"/>
  <c r="N7165" i="1" s="1"/>
  <c r="O7165" i="1" a="1"/>
  <c r="O7165" i="1" s="1"/>
  <c r="Q7165" i="1" a="1"/>
  <c r="Q7165" i="1" s="1"/>
  <c r="M7165" i="1" a="1"/>
  <c r="M7165" i="1" s="1"/>
  <c r="J7165" i="1" a="1"/>
  <c r="J7165" i="1" s="1"/>
  <c r="R7165" i="1" a="1"/>
  <c r="R7165" i="1" s="1"/>
  <c r="K7165" i="1" a="1"/>
  <c r="K7165" i="1" s="1"/>
  <c r="I6252" i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K7166" i="1" l="1" a="1"/>
  <c r="K7166" i="1" s="1"/>
  <c r="O7166" i="1" a="1"/>
  <c r="O7166" i="1" s="1"/>
  <c r="S7166" i="1" a="1"/>
  <c r="S7166" i="1" s="1"/>
  <c r="Q7166" i="1" a="1"/>
  <c r="Q7166" i="1" s="1"/>
  <c r="L7166" i="1" a="1"/>
  <c r="L7166" i="1" s="1"/>
  <c r="J7166" i="1" a="1"/>
  <c r="J7166" i="1" s="1"/>
  <c r="I7166" i="1" a="1"/>
  <c r="I7166" i="1" s="1"/>
  <c r="M7166" i="1" a="1"/>
  <c r="M7166" i="1" s="1"/>
  <c r="B7167" i="1"/>
  <c r="R7166" i="1" a="1"/>
  <c r="R7166" i="1" s="1"/>
  <c r="N7166" i="1" a="1"/>
  <c r="N7166" i="1" s="1"/>
  <c r="P7166" i="1" a="1"/>
  <c r="P7166" i="1" s="1"/>
  <c r="A7167" i="1"/>
  <c r="H7166" i="1"/>
  <c r="I6253" i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J7167" i="1" l="1" a="1"/>
  <c r="J7167" i="1" s="1"/>
  <c r="N7167" i="1" a="1"/>
  <c r="N7167" i="1" s="1"/>
  <c r="R7167" i="1" a="1"/>
  <c r="R7167" i="1" s="1"/>
  <c r="O7167" i="1" a="1"/>
  <c r="O7167" i="1" s="1"/>
  <c r="I7167" i="1" a="1"/>
  <c r="I7167" i="1" s="1"/>
  <c r="B7168" i="1"/>
  <c r="M7167" i="1" a="1"/>
  <c r="M7167" i="1" s="1"/>
  <c r="P7167" i="1" a="1"/>
  <c r="P7167" i="1" s="1"/>
  <c r="L7167" i="1" a="1"/>
  <c r="L7167" i="1" s="1"/>
  <c r="S7167" i="1" a="1"/>
  <c r="S7167" i="1" s="1"/>
  <c r="Q7167" i="1" a="1"/>
  <c r="Q7167" i="1" s="1"/>
  <c r="K7167" i="1" a="1"/>
  <c r="K7167" i="1" s="1"/>
  <c r="H7167" i="1"/>
  <c r="A7168" i="1"/>
  <c r="I6254" i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A7169" i="1" l="1"/>
  <c r="H7168" i="1"/>
  <c r="I7168" i="1" a="1"/>
  <c r="I7168" i="1" s="1"/>
  <c r="M7168" i="1" a="1"/>
  <c r="M7168" i="1" s="1"/>
  <c r="Q7168" i="1" a="1"/>
  <c r="Q7168" i="1" s="1"/>
  <c r="R7168" i="1" a="1"/>
  <c r="R7168" i="1" s="1"/>
  <c r="L7168" i="1" a="1"/>
  <c r="L7168" i="1" s="1"/>
  <c r="J7168" i="1" a="1"/>
  <c r="J7168" i="1" s="1"/>
  <c r="S7168" i="1" a="1"/>
  <c r="S7168" i="1" s="1"/>
  <c r="P7168" i="1" a="1"/>
  <c r="P7168" i="1" s="1"/>
  <c r="K7168" i="1" a="1"/>
  <c r="K7168" i="1" s="1"/>
  <c r="O7168" i="1" a="1"/>
  <c r="O7168" i="1" s="1"/>
  <c r="N7168" i="1" a="1"/>
  <c r="N7168" i="1" s="1"/>
  <c r="B7169" i="1"/>
  <c r="I6255" i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L7169" i="1" l="1" a="1"/>
  <c r="L7169" i="1" s="1"/>
  <c r="P7169" i="1" a="1"/>
  <c r="P7169" i="1" s="1"/>
  <c r="B7170" i="1"/>
  <c r="O7169" i="1" a="1"/>
  <c r="O7169" i="1" s="1"/>
  <c r="J7169" i="1" a="1"/>
  <c r="J7169" i="1" s="1"/>
  <c r="N7169" i="1" a="1"/>
  <c r="N7169" i="1" s="1"/>
  <c r="Q7169" i="1" a="1"/>
  <c r="Q7169" i="1" s="1"/>
  <c r="M7169" i="1" a="1"/>
  <c r="M7169" i="1" s="1"/>
  <c r="K7169" i="1" a="1"/>
  <c r="K7169" i="1" s="1"/>
  <c r="I7169" i="1" a="1"/>
  <c r="I7169" i="1" s="1"/>
  <c r="R7169" i="1" a="1"/>
  <c r="R7169" i="1" s="1"/>
  <c r="S7169" i="1" a="1"/>
  <c r="S7169" i="1" s="1"/>
  <c r="A7170" i="1"/>
  <c r="H7169" i="1"/>
  <c r="J6256" i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H7170" i="1" l="1"/>
  <c r="A7171" i="1"/>
  <c r="K7170" i="1" a="1"/>
  <c r="K7170" i="1" s="1"/>
  <c r="O7170" i="1" a="1"/>
  <c r="O7170" i="1" s="1"/>
  <c r="S7170" i="1" a="1"/>
  <c r="S7170" i="1" s="1"/>
  <c r="R7170" i="1" a="1"/>
  <c r="R7170" i="1" s="1"/>
  <c r="M7170" i="1" a="1"/>
  <c r="M7170" i="1" s="1"/>
  <c r="Q7170" i="1" a="1"/>
  <c r="Q7170" i="1" s="1"/>
  <c r="J7170" i="1" a="1"/>
  <c r="J7170" i="1" s="1"/>
  <c r="B7171" i="1"/>
  <c r="P7170" i="1" a="1"/>
  <c r="P7170" i="1" s="1"/>
  <c r="L7170" i="1" a="1"/>
  <c r="L7170" i="1" s="1"/>
  <c r="N7170" i="1" a="1"/>
  <c r="N7170" i="1" s="1"/>
  <c r="I7170" i="1" a="1"/>
  <c r="I7170" i="1" s="1"/>
  <c r="I6257" i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J7171" i="1" l="1" a="1"/>
  <c r="J7171" i="1" s="1"/>
  <c r="N7171" i="1" a="1"/>
  <c r="N7171" i="1" s="1"/>
  <c r="R7171" i="1" a="1"/>
  <c r="R7171" i="1" s="1"/>
  <c r="B7172" i="1"/>
  <c r="K7171" i="1" a="1"/>
  <c r="K7171" i="1" s="1"/>
  <c r="P7171" i="1" a="1"/>
  <c r="P7171" i="1" s="1"/>
  <c r="M7171" i="1" a="1"/>
  <c r="M7171" i="1" s="1"/>
  <c r="L7171" i="1" a="1"/>
  <c r="L7171" i="1" s="1"/>
  <c r="O7171" i="1" a="1"/>
  <c r="O7171" i="1" s="1"/>
  <c r="S7171" i="1" a="1"/>
  <c r="S7171" i="1" s="1"/>
  <c r="Q7171" i="1" a="1"/>
  <c r="Q7171" i="1" s="1"/>
  <c r="I7171" i="1" a="1"/>
  <c r="I7171" i="1" s="1"/>
  <c r="A7172" i="1"/>
  <c r="H7171" i="1"/>
  <c r="I6258" i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H7172" i="1" l="1"/>
  <c r="A7173" i="1"/>
  <c r="I7172" i="1" a="1"/>
  <c r="I7172" i="1" s="1"/>
  <c r="M7172" i="1" a="1"/>
  <c r="M7172" i="1" s="1"/>
  <c r="Q7172" i="1" a="1"/>
  <c r="Q7172" i="1" s="1"/>
  <c r="N7172" i="1" a="1"/>
  <c r="N7172" i="1" s="1"/>
  <c r="S7172" i="1" a="1"/>
  <c r="S7172" i="1" s="1"/>
  <c r="J7172" i="1" a="1"/>
  <c r="J7172" i="1" s="1"/>
  <c r="R7172" i="1" a="1"/>
  <c r="R7172" i="1" s="1"/>
  <c r="K7172" i="1" a="1"/>
  <c r="K7172" i="1" s="1"/>
  <c r="O7172" i="1" a="1"/>
  <c r="O7172" i="1" s="1"/>
  <c r="B7173" i="1"/>
  <c r="L7172" i="1" a="1"/>
  <c r="L7172" i="1" s="1"/>
  <c r="P7172" i="1" a="1"/>
  <c r="P7172" i="1" s="1"/>
  <c r="J6259" i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L7173" i="1" l="1" a="1"/>
  <c r="L7173" i="1" s="1"/>
  <c r="P7173" i="1" a="1"/>
  <c r="P7173" i="1" s="1"/>
  <c r="B7174" i="1"/>
  <c r="K7173" i="1" a="1"/>
  <c r="K7173" i="1" s="1"/>
  <c r="Q7173" i="1" a="1"/>
  <c r="Q7173" i="1" s="1"/>
  <c r="N7173" i="1" a="1"/>
  <c r="N7173" i="1" s="1"/>
  <c r="J7173" i="1" a="1"/>
  <c r="J7173" i="1" s="1"/>
  <c r="M7173" i="1" a="1"/>
  <c r="M7173" i="1" s="1"/>
  <c r="S7173" i="1" a="1"/>
  <c r="S7173" i="1" s="1"/>
  <c r="O7173" i="1" a="1"/>
  <c r="O7173" i="1" s="1"/>
  <c r="I7173" i="1" a="1"/>
  <c r="I7173" i="1" s="1"/>
  <c r="R7173" i="1" a="1"/>
  <c r="R7173" i="1" s="1"/>
  <c r="A7174" i="1"/>
  <c r="H7173" i="1"/>
  <c r="I6260" i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H7174" i="1" l="1"/>
  <c r="A7175" i="1"/>
  <c r="K7174" i="1" a="1"/>
  <c r="K7174" i="1" s="1"/>
  <c r="O7174" i="1" a="1"/>
  <c r="O7174" i="1" s="1"/>
  <c r="S7174" i="1" a="1"/>
  <c r="S7174" i="1" s="1"/>
  <c r="N7174" i="1" a="1"/>
  <c r="N7174" i="1" s="1"/>
  <c r="I7174" i="1" a="1"/>
  <c r="I7174" i="1" s="1"/>
  <c r="B7175" i="1"/>
  <c r="Q7174" i="1" a="1"/>
  <c r="Q7174" i="1" s="1"/>
  <c r="J7174" i="1" a="1"/>
  <c r="J7174" i="1" s="1"/>
  <c r="R7174" i="1" a="1"/>
  <c r="R7174" i="1" s="1"/>
  <c r="L7174" i="1" a="1"/>
  <c r="L7174" i="1" s="1"/>
  <c r="M7174" i="1" a="1"/>
  <c r="M7174" i="1" s="1"/>
  <c r="P7174" i="1" a="1"/>
  <c r="P7174" i="1" s="1"/>
  <c r="J6261" i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A7176" i="1" l="1"/>
  <c r="H7175" i="1"/>
  <c r="J7175" i="1" a="1"/>
  <c r="J7175" i="1" s="1"/>
  <c r="N7175" i="1" a="1"/>
  <c r="N7175" i="1" s="1"/>
  <c r="R7175" i="1" a="1"/>
  <c r="R7175" i="1" s="1"/>
  <c r="L7175" i="1" a="1"/>
  <c r="L7175" i="1" s="1"/>
  <c r="Q7175" i="1" a="1"/>
  <c r="Q7175" i="1" s="1"/>
  <c r="M7175" i="1" a="1"/>
  <c r="M7175" i="1" s="1"/>
  <c r="B7176" i="1"/>
  <c r="K7175" i="1" a="1"/>
  <c r="K7175" i="1" s="1"/>
  <c r="O7175" i="1" a="1"/>
  <c r="O7175" i="1" s="1"/>
  <c r="S7175" i="1" a="1"/>
  <c r="S7175" i="1" s="1"/>
  <c r="P7175" i="1" a="1"/>
  <c r="P7175" i="1" s="1"/>
  <c r="I7175" i="1" a="1"/>
  <c r="I7175" i="1" s="1"/>
  <c r="L6262" i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I7176" i="1" l="1" a="1"/>
  <c r="I7176" i="1" s="1"/>
  <c r="M7176" i="1" a="1"/>
  <c r="M7176" i="1" s="1"/>
  <c r="Q7176" i="1" a="1"/>
  <c r="Q7176" i="1" s="1"/>
  <c r="J7176" i="1" a="1"/>
  <c r="J7176" i="1" s="1"/>
  <c r="O7176" i="1" a="1"/>
  <c r="O7176" i="1" s="1"/>
  <c r="B7177" i="1"/>
  <c r="R7176" i="1" a="1"/>
  <c r="R7176" i="1" s="1"/>
  <c r="K7176" i="1" a="1"/>
  <c r="K7176" i="1" s="1"/>
  <c r="N7176" i="1" a="1"/>
  <c r="N7176" i="1" s="1"/>
  <c r="S7176" i="1" a="1"/>
  <c r="S7176" i="1" s="1"/>
  <c r="L7176" i="1" a="1"/>
  <c r="L7176" i="1" s="1"/>
  <c r="P7176" i="1" a="1"/>
  <c r="P7176" i="1" s="1"/>
  <c r="H7176" i="1"/>
  <c r="A7177" i="1"/>
  <c r="J6263" i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A7178" i="1" l="1"/>
  <c r="H7177" i="1"/>
  <c r="L7177" i="1" a="1"/>
  <c r="L7177" i="1" s="1"/>
  <c r="P7177" i="1" a="1"/>
  <c r="P7177" i="1" s="1"/>
  <c r="B7178" i="1"/>
  <c r="M7177" i="1" a="1"/>
  <c r="M7177" i="1" s="1"/>
  <c r="R7177" i="1" a="1"/>
  <c r="R7177" i="1" s="1"/>
  <c r="K7177" i="1" a="1"/>
  <c r="K7177" i="1" s="1"/>
  <c r="N7177" i="1" a="1"/>
  <c r="N7177" i="1" s="1"/>
  <c r="O7177" i="1" a="1"/>
  <c r="O7177" i="1" s="1"/>
  <c r="J7177" i="1" a="1"/>
  <c r="J7177" i="1" s="1"/>
  <c r="Q7177" i="1" a="1"/>
  <c r="Q7177" i="1" s="1"/>
  <c r="I7177" i="1" a="1"/>
  <c r="I7177" i="1" s="1"/>
  <c r="S7177" i="1" a="1"/>
  <c r="S7177" i="1" s="1"/>
  <c r="J6264" i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K7178" i="1" l="1" a="1"/>
  <c r="K7178" i="1" s="1"/>
  <c r="O7178" i="1" a="1"/>
  <c r="O7178" i="1" s="1"/>
  <c r="S7178" i="1" a="1"/>
  <c r="S7178" i="1" s="1"/>
  <c r="N7178" i="1" a="1"/>
  <c r="N7178" i="1" s="1"/>
  <c r="J7178" i="1" a="1"/>
  <c r="J7178" i="1" s="1"/>
  <c r="P7178" i="1" a="1"/>
  <c r="P7178" i="1" s="1"/>
  <c r="Q7178" i="1" a="1"/>
  <c r="Q7178" i="1" s="1"/>
  <c r="I7178" i="1" a="1"/>
  <c r="I7178" i="1" s="1"/>
  <c r="B7179" i="1"/>
  <c r="M7178" i="1" a="1"/>
  <c r="M7178" i="1" s="1"/>
  <c r="L7178" i="1" a="1"/>
  <c r="L7178" i="1" s="1"/>
  <c r="R7178" i="1" a="1"/>
  <c r="R7178" i="1" s="1"/>
  <c r="A7179" i="1"/>
  <c r="H7178" i="1"/>
  <c r="I6265" i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J7179" i="1" l="1" a="1"/>
  <c r="J7179" i="1" s="1"/>
  <c r="N7179" i="1" a="1"/>
  <c r="N7179" i="1" s="1"/>
  <c r="R7179" i="1" a="1"/>
  <c r="R7179" i="1" s="1"/>
  <c r="O7179" i="1" a="1"/>
  <c r="O7179" i="1" s="1"/>
  <c r="K7179" i="1" a="1"/>
  <c r="K7179" i="1" s="1"/>
  <c r="P7179" i="1" a="1"/>
  <c r="P7179" i="1" s="1"/>
  <c r="B7180" i="1"/>
  <c r="I7179" i="1" a="1"/>
  <c r="I7179" i="1" s="1"/>
  <c r="Q7179" i="1" a="1"/>
  <c r="Q7179" i="1" s="1"/>
  <c r="L7179" i="1" a="1"/>
  <c r="L7179" i="1" s="1"/>
  <c r="S7179" i="1" a="1"/>
  <c r="S7179" i="1" s="1"/>
  <c r="M7179" i="1" a="1"/>
  <c r="M7179" i="1" s="1"/>
  <c r="A7180" i="1"/>
  <c r="H7179" i="1"/>
  <c r="I6266" i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A7181" i="1" l="1"/>
  <c r="H7180" i="1"/>
  <c r="I7180" i="1" a="1"/>
  <c r="I7180" i="1" s="1"/>
  <c r="M7180" i="1" a="1"/>
  <c r="M7180" i="1" s="1"/>
  <c r="Q7180" i="1" a="1"/>
  <c r="Q7180" i="1" s="1"/>
  <c r="K7180" i="1" a="1"/>
  <c r="K7180" i="1" s="1"/>
  <c r="P7180" i="1" a="1"/>
  <c r="P7180" i="1" s="1"/>
  <c r="B7181" i="1"/>
  <c r="L7180" i="1" a="1"/>
  <c r="L7180" i="1" s="1"/>
  <c r="S7180" i="1" a="1"/>
  <c r="S7180" i="1" s="1"/>
  <c r="N7180" i="1" a="1"/>
  <c r="N7180" i="1" s="1"/>
  <c r="J7180" i="1" a="1"/>
  <c r="J7180" i="1" s="1"/>
  <c r="O7180" i="1" a="1"/>
  <c r="O7180" i="1" s="1"/>
  <c r="R7180" i="1" a="1"/>
  <c r="R7180" i="1" s="1"/>
  <c r="J6267" i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L7181" i="1" l="1" a="1"/>
  <c r="L7181" i="1" s="1"/>
  <c r="P7181" i="1" a="1"/>
  <c r="P7181" i="1" s="1"/>
  <c r="Q7181" i="1" a="1"/>
  <c r="Q7181" i="1" s="1"/>
  <c r="M7181" i="1" a="1"/>
  <c r="M7181" i="1" s="1"/>
  <c r="N7181" i="1" a="1"/>
  <c r="N7181" i="1" s="1"/>
  <c r="B7182" i="1"/>
  <c r="K7181" i="1" a="1"/>
  <c r="K7181" i="1" s="1"/>
  <c r="S7181" i="1" a="1"/>
  <c r="S7181" i="1" s="1"/>
  <c r="J7181" i="1" a="1"/>
  <c r="J7181" i="1" s="1"/>
  <c r="I7181" i="1" a="1"/>
  <c r="I7181" i="1" s="1"/>
  <c r="O7181" i="1" a="1"/>
  <c r="O7181" i="1" s="1"/>
  <c r="R7181" i="1" a="1"/>
  <c r="R7181" i="1" s="1"/>
  <c r="A7182" i="1"/>
  <c r="H7181" i="1"/>
  <c r="I6268" i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K7182" i="1" l="1" a="1"/>
  <c r="K7182" i="1" s="1"/>
  <c r="O7182" i="1" a="1"/>
  <c r="O7182" i="1" s="1"/>
  <c r="S7182" i="1" a="1"/>
  <c r="S7182" i="1" s="1"/>
  <c r="Q7182" i="1" a="1"/>
  <c r="Q7182" i="1" s="1"/>
  <c r="M7182" i="1" a="1"/>
  <c r="M7182" i="1" s="1"/>
  <c r="I7182" i="1" a="1"/>
  <c r="I7182" i="1" s="1"/>
  <c r="R7182" i="1" a="1"/>
  <c r="R7182" i="1" s="1"/>
  <c r="P7182" i="1" a="1"/>
  <c r="P7182" i="1" s="1"/>
  <c r="J7182" i="1" a="1"/>
  <c r="J7182" i="1" s="1"/>
  <c r="N7182" i="1" a="1"/>
  <c r="N7182" i="1" s="1"/>
  <c r="L7182" i="1" a="1"/>
  <c r="L7182" i="1" s="1"/>
  <c r="B7183" i="1"/>
  <c r="H7182" i="1"/>
  <c r="A7183" i="1"/>
  <c r="I6269" i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H7183" i="1" l="1"/>
  <c r="A7184" i="1"/>
  <c r="J7183" i="1" a="1"/>
  <c r="J7183" i="1" s="1"/>
  <c r="N7183" i="1" a="1"/>
  <c r="N7183" i="1" s="1"/>
  <c r="M7183" i="1" a="1"/>
  <c r="M7183" i="1" s="1"/>
  <c r="I7183" i="1" a="1"/>
  <c r="I7183" i="1" s="1"/>
  <c r="R7183" i="1" a="1"/>
  <c r="R7183" i="1" s="1"/>
  <c r="P7183" i="1" a="1"/>
  <c r="P7183" i="1" s="1"/>
  <c r="K7183" i="1" a="1"/>
  <c r="K7183" i="1" s="1"/>
  <c r="O7183" i="1" a="1"/>
  <c r="O7183" i="1" s="1"/>
  <c r="Q7183" i="1" a="1"/>
  <c r="Q7183" i="1" s="1"/>
  <c r="S7183" i="1" a="1"/>
  <c r="S7183" i="1" s="1"/>
  <c r="B7184" i="1"/>
  <c r="L7183" i="1" a="1"/>
  <c r="L7183" i="1" s="1"/>
  <c r="J6270" i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B7185" i="1" l="1"/>
  <c r="M7184" i="1" a="1"/>
  <c r="M7184" i="1" s="1"/>
  <c r="I7184" i="1" a="1"/>
  <c r="I7184" i="1" s="1"/>
  <c r="Q7184" i="1" a="1"/>
  <c r="Q7184" i="1" s="1"/>
  <c r="J7184" i="1" a="1"/>
  <c r="J7184" i="1" s="1"/>
  <c r="P7184" i="1" a="1"/>
  <c r="P7184" i="1" s="1"/>
  <c r="K7184" i="1" a="1"/>
  <c r="K7184" i="1" s="1"/>
  <c r="N7184" i="1" a="1"/>
  <c r="N7184" i="1" s="1"/>
  <c r="R7184" i="1" a="1"/>
  <c r="R7184" i="1" s="1"/>
  <c r="O7184" i="1" a="1"/>
  <c r="O7184" i="1" s="1"/>
  <c r="L7184" i="1" a="1"/>
  <c r="L7184" i="1" s="1"/>
  <c r="S7184" i="1" a="1"/>
  <c r="S7184" i="1" s="1"/>
  <c r="H7184" i="1"/>
  <c r="A7185" i="1"/>
  <c r="I6271" i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A7186" i="1" l="1"/>
  <c r="H7185" i="1"/>
  <c r="P7185" i="1" a="1"/>
  <c r="P7185" i="1" s="1"/>
  <c r="L7185" i="1" a="1"/>
  <c r="L7185" i="1" s="1"/>
  <c r="B7186" i="1"/>
  <c r="O7185" i="1" a="1"/>
  <c r="O7185" i="1" s="1"/>
  <c r="J7185" i="1" a="1"/>
  <c r="J7185" i="1" s="1"/>
  <c r="Q7185" i="1" a="1"/>
  <c r="Q7185" i="1" s="1"/>
  <c r="N7185" i="1" a="1"/>
  <c r="N7185" i="1" s="1"/>
  <c r="K7185" i="1" a="1"/>
  <c r="K7185" i="1" s="1"/>
  <c r="I7185" i="1" a="1"/>
  <c r="I7185" i="1" s="1"/>
  <c r="M7185" i="1" a="1"/>
  <c r="M7185" i="1" s="1"/>
  <c r="R7185" i="1" a="1"/>
  <c r="R7185" i="1" s="1"/>
  <c r="S7185" i="1" a="1"/>
  <c r="S7185" i="1" s="1"/>
  <c r="I6272" i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K7186" i="1" l="1" a="1"/>
  <c r="K7186" i="1" s="1"/>
  <c r="S7186" i="1" a="1"/>
  <c r="S7186" i="1" s="1"/>
  <c r="O7186" i="1" a="1"/>
  <c r="O7186" i="1" s="1"/>
  <c r="I7186" i="1" a="1"/>
  <c r="I7186" i="1" s="1"/>
  <c r="N7186" i="1" a="1"/>
  <c r="N7186" i="1" s="1"/>
  <c r="B7187" i="1"/>
  <c r="R7186" i="1" a="1"/>
  <c r="R7186" i="1" s="1"/>
  <c r="J7186" i="1" a="1"/>
  <c r="J7186" i="1" s="1"/>
  <c r="L7186" i="1" a="1"/>
  <c r="L7186" i="1" s="1"/>
  <c r="M7186" i="1" a="1"/>
  <c r="M7186" i="1" s="1"/>
  <c r="P7186" i="1" a="1"/>
  <c r="P7186" i="1" s="1"/>
  <c r="Q7186" i="1" a="1"/>
  <c r="Q7186" i="1" s="1"/>
  <c r="H7186" i="1"/>
  <c r="A7187" i="1"/>
  <c r="I6273" i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A7188" i="1" l="1"/>
  <c r="H7187" i="1"/>
  <c r="N7187" i="1" a="1"/>
  <c r="N7187" i="1" s="1"/>
  <c r="R7187" i="1" a="1"/>
  <c r="R7187" i="1" s="1"/>
  <c r="J7187" i="1" a="1"/>
  <c r="J7187" i="1" s="1"/>
  <c r="L7187" i="1" a="1"/>
  <c r="L7187" i="1" s="1"/>
  <c r="Q7187" i="1" a="1"/>
  <c r="Q7187" i="1" s="1"/>
  <c r="B7188" i="1"/>
  <c r="M7187" i="1" a="1"/>
  <c r="M7187" i="1" s="1"/>
  <c r="S7187" i="1" a="1"/>
  <c r="S7187" i="1" s="1"/>
  <c r="I7187" i="1" a="1"/>
  <c r="I7187" i="1" s="1"/>
  <c r="P7187" i="1" a="1"/>
  <c r="P7187" i="1" s="1"/>
  <c r="O7187" i="1" a="1"/>
  <c r="O7187" i="1" s="1"/>
  <c r="K7187" i="1" a="1"/>
  <c r="K7187" i="1" s="1"/>
  <c r="I6274" i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B7189" i="1" l="1"/>
  <c r="M7188" i="1" a="1"/>
  <c r="M7188" i="1" s="1"/>
  <c r="I7188" i="1" a="1"/>
  <c r="I7188" i="1" s="1"/>
  <c r="Q7188" i="1" a="1"/>
  <c r="Q7188" i="1" s="1"/>
  <c r="J7188" i="1" a="1"/>
  <c r="J7188" i="1" s="1"/>
  <c r="O7188" i="1" a="1"/>
  <c r="O7188" i="1" s="1"/>
  <c r="P7188" i="1" a="1"/>
  <c r="P7188" i="1" s="1"/>
  <c r="S7188" i="1" a="1"/>
  <c r="S7188" i="1" s="1"/>
  <c r="N7188" i="1" a="1"/>
  <c r="N7188" i="1" s="1"/>
  <c r="K7188" i="1" a="1"/>
  <c r="K7188" i="1" s="1"/>
  <c r="R7188" i="1" a="1"/>
  <c r="R7188" i="1" s="1"/>
  <c r="L7188" i="1" a="1"/>
  <c r="L7188" i="1" s="1"/>
  <c r="H7188" i="1"/>
  <c r="A7189" i="1"/>
  <c r="J6275" i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A7190" i="1" l="1"/>
  <c r="H7189" i="1"/>
  <c r="P7189" i="1" a="1"/>
  <c r="P7189" i="1" s="1"/>
  <c r="L7189" i="1" a="1"/>
  <c r="L7189" i="1" s="1"/>
  <c r="M7189" i="1" a="1"/>
  <c r="M7189" i="1" s="1"/>
  <c r="N7189" i="1" a="1"/>
  <c r="N7189" i="1" s="1"/>
  <c r="R7189" i="1" a="1"/>
  <c r="R7189" i="1" s="1"/>
  <c r="I7189" i="1" a="1"/>
  <c r="I7189" i="1" s="1"/>
  <c r="O7189" i="1" a="1"/>
  <c r="O7189" i="1" s="1"/>
  <c r="S7189" i="1" a="1"/>
  <c r="S7189" i="1" s="1"/>
  <c r="J7189" i="1" a="1"/>
  <c r="J7189" i="1" s="1"/>
  <c r="Q7189" i="1" a="1"/>
  <c r="Q7189" i="1" s="1"/>
  <c r="B7190" i="1"/>
  <c r="K7189" i="1" a="1"/>
  <c r="K7189" i="1" s="1"/>
  <c r="I6276" i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C261" i="2" l="1"/>
  <c r="D261" i="2"/>
  <c r="E261" i="2"/>
  <c r="C256" i="2"/>
  <c r="D256" i="2"/>
  <c r="E256" i="2"/>
  <c r="E255" i="2"/>
  <c r="C255" i="2"/>
  <c r="D255" i="2"/>
  <c r="E252" i="2"/>
  <c r="E245" i="2"/>
  <c r="C246" i="2"/>
  <c r="D253" i="2"/>
  <c r="C230" i="2"/>
  <c r="D250" i="2"/>
  <c r="E236" i="2"/>
  <c r="D254" i="2"/>
  <c r="E246" i="2"/>
  <c r="E230" i="2"/>
  <c r="C250" i="2"/>
  <c r="E233" i="2"/>
  <c r="E243" i="2"/>
  <c r="C241" i="2"/>
  <c r="C240" i="2"/>
  <c r="C243" i="2"/>
  <c r="E232" i="2"/>
  <c r="C232" i="2"/>
  <c r="E231" i="2"/>
  <c r="C254" i="2"/>
  <c r="E247" i="2"/>
  <c r="C247" i="2"/>
  <c r="E250" i="2"/>
  <c r="C251" i="2"/>
  <c r="D251" i="2"/>
  <c r="C233" i="2"/>
  <c r="E240" i="2"/>
  <c r="C253" i="2"/>
  <c r="D252" i="2"/>
  <c r="C227" i="2"/>
  <c r="C231" i="2"/>
  <c r="E237" i="2"/>
  <c r="E244" i="2"/>
  <c r="E254" i="2"/>
  <c r="C237" i="2"/>
  <c r="C236" i="2"/>
  <c r="E241" i="2"/>
  <c r="E251" i="2"/>
  <c r="C252" i="2"/>
  <c r="C229" i="2"/>
  <c r="E253" i="2"/>
  <c r="E229" i="2"/>
  <c r="C245" i="2"/>
  <c r="E227" i="2"/>
  <c r="C244" i="2"/>
  <c r="D244" i="2"/>
  <c r="D232" i="2"/>
  <c r="D247" i="2"/>
  <c r="D245" i="2"/>
  <c r="D230" i="2"/>
  <c r="D233" i="2"/>
  <c r="D229" i="2"/>
  <c r="D237" i="2"/>
  <c r="D241" i="2"/>
  <c r="D246" i="2"/>
  <c r="D243" i="2"/>
  <c r="D240" i="2"/>
  <c r="D227" i="2"/>
  <c r="D231" i="2"/>
  <c r="D236" i="2"/>
  <c r="E249" i="2"/>
  <c r="C249" i="2"/>
  <c r="D249" i="2"/>
  <c r="E234" i="2"/>
  <c r="C234" i="2"/>
  <c r="C242" i="2"/>
  <c r="E238" i="2"/>
  <c r="C238" i="2"/>
  <c r="E248" i="2"/>
  <c r="C248" i="2"/>
  <c r="E242" i="2"/>
  <c r="D242" i="2"/>
  <c r="D248" i="2"/>
  <c r="D238" i="2"/>
  <c r="D234" i="2"/>
  <c r="E239" i="2"/>
  <c r="D239" i="2"/>
  <c r="C239" i="2"/>
  <c r="E235" i="2"/>
  <c r="C235" i="2"/>
  <c r="D235" i="2"/>
  <c r="E228" i="2"/>
  <c r="C228" i="2"/>
  <c r="D228" i="2"/>
  <c r="K7190" i="1" a="1"/>
  <c r="K7190" i="1" s="1"/>
  <c r="S7190" i="1" a="1"/>
  <c r="S7190" i="1" s="1"/>
  <c r="O7190" i="1" a="1"/>
  <c r="O7190" i="1" s="1"/>
  <c r="J7190" i="1" a="1"/>
  <c r="J7190" i="1" s="1"/>
  <c r="P7190" i="1" a="1"/>
  <c r="P7190" i="1" s="1"/>
  <c r="Q7190" i="1" a="1"/>
  <c r="Q7190" i="1" s="1"/>
  <c r="I7190" i="1" a="1"/>
  <c r="I7190" i="1" s="1"/>
  <c r="R7190" i="1" a="1"/>
  <c r="R7190" i="1" s="1"/>
  <c r="N7190" i="1" a="1"/>
  <c r="N7190" i="1" s="1"/>
  <c r="L7190" i="1" a="1"/>
  <c r="L7190" i="1" s="1"/>
  <c r="M7190" i="1" a="1"/>
  <c r="M7190" i="1" s="1"/>
  <c r="E219" i="2"/>
  <c r="C224" i="2"/>
  <c r="D225" i="2"/>
  <c r="D221" i="2"/>
  <c r="E225" i="2"/>
  <c r="D219" i="2"/>
  <c r="E218" i="2"/>
  <c r="E221" i="2"/>
  <c r="D218" i="2"/>
  <c r="C225" i="2"/>
  <c r="E217" i="2"/>
  <c r="C226" i="2"/>
  <c r="D216" i="2"/>
  <c r="C220" i="2"/>
  <c r="D222" i="2"/>
  <c r="E216" i="2"/>
  <c r="C219" i="2"/>
  <c r="D223" i="2"/>
  <c r="D220" i="2"/>
  <c r="E220" i="2"/>
  <c r="C221" i="2"/>
  <c r="C216" i="2"/>
  <c r="C222" i="2"/>
  <c r="E224" i="2"/>
  <c r="C218" i="2"/>
  <c r="D224" i="2"/>
  <c r="D226" i="2"/>
  <c r="E222" i="2"/>
  <c r="E226" i="2"/>
  <c r="D215" i="2"/>
  <c r="C215" i="2"/>
  <c r="E215" i="2"/>
  <c r="H7190" i="1"/>
  <c r="D217" i="2"/>
  <c r="C217" i="2"/>
  <c r="C223" i="2"/>
  <c r="E223" i="2"/>
  <c r="I6277" i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K6279" i="1" l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I6281" i="1" l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J6284" i="1" l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I6286" i="1" l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I6288" i="1" l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I6290" i="1" l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J6291" i="1" l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L6292" i="1" l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I6293" i="1" l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L6294" i="1" l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I6295" i="1" l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I6296" i="1" l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6297" i="1" l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L6298" i="1" l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I6299" i="1" l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I6300" i="1" l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J6301" i="1" l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J6302" i="1" l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J6303" i="1" l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L6304" i="1" l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K6305" i="1" l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J6306" i="1" l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I6307" i="1" l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L6308" i="1" l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K6309" i="1" l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K6310" i="1" l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I6311" i="1" l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J6312" i="1" l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I6313" i="1" l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I6314" i="1" l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K6315" i="1" l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K6316" i="1" l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6317" i="1" l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K6318" i="1" l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I6319" i="1" l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6320" i="1" l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I6321" i="1" l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L6322" i="1" l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O6323" i="1" l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I6324" i="1" l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6325" i="1" l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J6326" i="1" l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J6327" i="1" l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I6328" i="1" l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J6329" i="1" l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J6330" i="1" l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I6331" i="1" l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I6332" i="1" l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6333" i="1" l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I6334" i="1" l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6335" i="1" l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I6336" i="1" l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L6337" i="1" l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J6338" i="1" l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I6339" i="1" l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I6340" i="1" l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6341" i="1" l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6342" i="1" l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J6344" i="1" l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J6346" i="1" l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l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I6348" i="1" l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L6349" i="1" l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6350" i="1" l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J6351" i="1" l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6353" i="1" l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I6354" i="1" l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L6355" i="1" l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Q6356" i="1" l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6357" i="1" l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6358" i="1" l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Q6359" i="1" l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Q6360" i="1" l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Q6361" i="1" l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K6362" i="1" l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E206" i="2" l="1"/>
  <c r="K6363" i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6364" i="1" l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K6365" i="1" l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6366" i="1" l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K6367" i="1" l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6368" i="1" l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Q6369" i="1" l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I6370" i="1" l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K6371" i="1" l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K6372" i="1" l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Q6373" i="1" l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K6374" i="1" l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K6375" i="1" l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Q6376" i="1" l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K6377" i="1" l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K6378" i="1" l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I6379" i="1" l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K6380" i="1" l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Q6381" i="1" l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K6382" i="1" l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K6383" i="1" l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Q6384" i="1" l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L6385" i="1" l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K6386" i="1" l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I6387" i="1" l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K6388" i="1" l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K6389" i="1" l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Q6390" i="1" l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K6391" i="1" l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Q6392" i="1" l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K6393" i="1" l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6394" i="1" l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Q6395" i="1" l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K6396" i="1" l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I6397" i="1" l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L6398" i="1" l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Q6399" i="1" l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E210" i="2" l="1"/>
  <c r="E211" i="2"/>
  <c r="C214" i="2"/>
  <c r="E213" i="2"/>
  <c r="C204" i="2"/>
  <c r="C208" i="2"/>
  <c r="C206" i="2"/>
  <c r="C213" i="2"/>
  <c r="D209" i="2"/>
  <c r="C210" i="2"/>
  <c r="C205" i="2"/>
  <c r="E203" i="2"/>
  <c r="D214" i="2"/>
  <c r="E208" i="2"/>
  <c r="D206" i="2"/>
  <c r="D211" i="2"/>
  <c r="D203" i="2"/>
  <c r="C209" i="2"/>
  <c r="C211" i="2"/>
  <c r="D205" i="2"/>
  <c r="D208" i="2"/>
  <c r="E209" i="2"/>
  <c r="D212" i="2"/>
  <c r="E205" i="2"/>
  <c r="E214" i="2"/>
  <c r="E212" i="2"/>
  <c r="D213" i="2"/>
  <c r="C212" i="2"/>
  <c r="D204" i="2"/>
  <c r="E204" i="2"/>
  <c r="C203" i="2"/>
  <c r="D210" i="2"/>
  <c r="K6400" i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J6401" i="1" l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Q6402" i="1" l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J6403" i="1" l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Q6404" i="1" l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K6405" i="1" l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6406" i="1" l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K6407" i="1" l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L6408" i="1" l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K6409" i="1" l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L6410" i="1" l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K6411" i="1" l="1" a="1"/>
  <c r="K6411" i="1" s="1"/>
  <c r="D207" i="2"/>
  <c r="E207" i="2"/>
  <c r="C207" i="2"/>
  <c r="L6411" i="1" a="1"/>
  <c r="L6411" i="1" s="1"/>
  <c r="C202" i="2"/>
  <c r="D202" i="2"/>
  <c r="E202" i="2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Q6412" i="1" l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E114" i="2"/>
  <c r="E76" i="2"/>
  <c r="E84" i="2"/>
  <c r="C185" i="2"/>
  <c r="E186" i="2"/>
  <c r="C26" i="2"/>
  <c r="E183" i="2"/>
  <c r="E184" i="2"/>
  <c r="C93" i="2"/>
  <c r="C190" i="2"/>
  <c r="C189" i="2"/>
  <c r="E190" i="2"/>
  <c r="E187" i="2"/>
  <c r="C187" i="2"/>
  <c r="C184" i="2"/>
  <c r="E121" i="2"/>
  <c r="E3" i="2"/>
  <c r="E188" i="2"/>
  <c r="C19" i="2"/>
  <c r="E137" i="2"/>
  <c r="C123" i="2"/>
  <c r="C145" i="2"/>
  <c r="C22" i="2"/>
  <c r="E146" i="2"/>
  <c r="C36" i="2"/>
  <c r="E166" i="2"/>
  <c r="C188" i="2"/>
  <c r="C183" i="2"/>
  <c r="C186" i="2"/>
  <c r="E40" i="2"/>
  <c r="E185" i="2"/>
  <c r="E140" i="2"/>
  <c r="D151" i="2"/>
  <c r="C45" i="2"/>
  <c r="E189" i="2"/>
  <c r="D152" i="2"/>
  <c r="E79" i="2"/>
  <c r="E141" i="2"/>
  <c r="D30" i="2"/>
  <c r="E161" i="2"/>
  <c r="E135" i="2"/>
  <c r="C50" i="2"/>
  <c r="E145" i="2"/>
  <c r="C32" i="2"/>
  <c r="C133" i="2"/>
  <c r="C151" i="2"/>
  <c r="E150" i="2"/>
  <c r="C152" i="2"/>
  <c r="E163" i="2"/>
  <c r="E165" i="2"/>
  <c r="D118" i="2"/>
  <c r="E124" i="2"/>
  <c r="E56" i="2"/>
  <c r="C87" i="2"/>
  <c r="E29" i="2"/>
  <c r="C114" i="2"/>
  <c r="C30" i="2"/>
  <c r="C90" i="2"/>
  <c r="C105" i="2"/>
  <c r="C125" i="2"/>
  <c r="D120" i="2"/>
  <c r="E24" i="2"/>
  <c r="C127" i="2"/>
  <c r="C64" i="2"/>
  <c r="D155" i="2"/>
  <c r="E57" i="2"/>
  <c r="D71" i="2"/>
  <c r="D154" i="2"/>
  <c r="C137" i="2"/>
  <c r="D146" i="2"/>
  <c r="E156" i="2"/>
  <c r="C144" i="2"/>
  <c r="C154" i="2"/>
  <c r="C83" i="2"/>
  <c r="C21" i="2"/>
  <c r="C156" i="2"/>
  <c r="E13" i="2"/>
  <c r="D52" i="2"/>
  <c r="E143" i="2"/>
  <c r="E139" i="2"/>
  <c r="C94" i="2"/>
  <c r="C143" i="2"/>
  <c r="C38" i="2"/>
  <c r="C136" i="2"/>
  <c r="C15" i="2"/>
  <c r="C5" i="2"/>
  <c r="C58" i="2"/>
  <c r="E33" i="2"/>
  <c r="E159" i="2"/>
  <c r="C122" i="2"/>
  <c r="C40" i="2"/>
  <c r="E16" i="2"/>
  <c r="C106" i="2"/>
  <c r="E142" i="2"/>
  <c r="C111" i="2"/>
  <c r="C49" i="2"/>
  <c r="C149" i="2"/>
  <c r="E153" i="2"/>
  <c r="C80" i="2"/>
  <c r="C173" i="2"/>
  <c r="E119" i="2"/>
  <c r="C35" i="2"/>
  <c r="C76" i="2"/>
  <c r="C25" i="2"/>
  <c r="E125" i="2"/>
  <c r="E71" i="2"/>
  <c r="C63" i="2"/>
  <c r="C11" i="2"/>
  <c r="E42" i="2"/>
  <c r="E45" i="2"/>
  <c r="C155" i="2"/>
  <c r="E64" i="2"/>
  <c r="E5" i="2"/>
  <c r="C115" i="2"/>
  <c r="E136" i="2"/>
  <c r="D101" i="2"/>
  <c r="E174" i="2"/>
  <c r="E48" i="2"/>
  <c r="C75" i="2"/>
  <c r="E105" i="2"/>
  <c r="C72" i="2"/>
  <c r="C86" i="2"/>
  <c r="C85" i="2"/>
  <c r="E177" i="2"/>
  <c r="C74" i="2"/>
  <c r="C82" i="2"/>
  <c r="C175" i="2"/>
  <c r="C84" i="2"/>
  <c r="C95" i="2"/>
  <c r="C153" i="2"/>
  <c r="C99" i="2"/>
  <c r="E118" i="2"/>
  <c r="C171" i="2"/>
  <c r="E162" i="2"/>
  <c r="E86" i="2"/>
  <c r="C110" i="2"/>
  <c r="E176" i="2"/>
  <c r="C60" i="2"/>
  <c r="C67" i="2"/>
  <c r="E49" i="2"/>
  <c r="C98" i="2"/>
  <c r="C88" i="2"/>
  <c r="C33" i="2"/>
  <c r="C176" i="2"/>
  <c r="C57" i="2"/>
  <c r="E122" i="2"/>
  <c r="C42" i="2"/>
  <c r="E82" i="2"/>
  <c r="E91" i="2"/>
  <c r="C14" i="2"/>
  <c r="E175" i="2"/>
  <c r="C24" i="2"/>
  <c r="E32" i="2"/>
  <c r="C117" i="2"/>
  <c r="C59" i="2"/>
  <c r="E173" i="2"/>
  <c r="C138" i="2"/>
  <c r="C148" i="2"/>
  <c r="C44" i="2"/>
  <c r="E131" i="2"/>
  <c r="E53" i="2"/>
  <c r="C118" i="2"/>
  <c r="C31" i="2"/>
  <c r="E152" i="2"/>
  <c r="E170" i="2"/>
  <c r="D106" i="2"/>
  <c r="C169" i="2"/>
  <c r="C181" i="2"/>
  <c r="E158" i="2"/>
  <c r="D185" i="2"/>
  <c r="D184" i="2"/>
  <c r="E130" i="2"/>
  <c r="D189" i="2"/>
  <c r="E157" i="2"/>
  <c r="C177" i="2"/>
  <c r="D43" i="2"/>
  <c r="E155" i="2"/>
  <c r="E83" i="2"/>
  <c r="C159" i="2"/>
  <c r="E160" i="2"/>
  <c r="C170" i="2"/>
  <c r="E23" i="2"/>
  <c r="E58" i="2"/>
  <c r="C158" i="2"/>
  <c r="C172" i="2"/>
  <c r="D64" i="2"/>
  <c r="E94" i="2"/>
  <c r="E180" i="2"/>
  <c r="D75" i="2"/>
  <c r="D90" i="2"/>
  <c r="E2" i="2"/>
  <c r="E129" i="2"/>
  <c r="C162" i="2"/>
  <c r="E154" i="2"/>
  <c r="C180" i="2"/>
  <c r="C120" i="2"/>
  <c r="E169" i="2"/>
  <c r="D107" i="2"/>
  <c r="C91" i="2"/>
  <c r="E62" i="2"/>
  <c r="D103" i="2"/>
  <c r="E11" i="2"/>
  <c r="D186" i="2"/>
  <c r="E65" i="2"/>
  <c r="D48" i="2"/>
  <c r="C109" i="2"/>
  <c r="C46" i="2"/>
  <c r="C150" i="2"/>
  <c r="C178" i="2"/>
  <c r="C179" i="2"/>
  <c r="E4" i="2"/>
  <c r="C157" i="2"/>
  <c r="D162" i="2"/>
  <c r="D62" i="2"/>
  <c r="D183" i="2"/>
  <c r="C166" i="2"/>
  <c r="E100" i="2"/>
  <c r="C16" i="2"/>
  <c r="D190" i="2"/>
  <c r="E179" i="2"/>
  <c r="D136" i="2"/>
  <c r="E34" i="2"/>
  <c r="D77" i="2"/>
  <c r="D41" i="2"/>
  <c r="E181" i="2"/>
  <c r="E37" i="2"/>
  <c r="E138" i="2"/>
  <c r="C139" i="2"/>
  <c r="D119" i="2"/>
  <c r="C119" i="2"/>
  <c r="D67" i="2"/>
  <c r="D131" i="2"/>
  <c r="D114" i="2"/>
  <c r="D31" i="2"/>
  <c r="D63" i="2"/>
  <c r="E116" i="2"/>
  <c r="C129" i="2"/>
  <c r="D10" i="2"/>
  <c r="C142" i="2"/>
  <c r="D187" i="2"/>
  <c r="C147" i="2"/>
  <c r="D98" i="2"/>
  <c r="D188" i="2"/>
  <c r="D92" i="2"/>
  <c r="D51" i="2"/>
  <c r="E90" i="2"/>
  <c r="D5" i="2"/>
  <c r="D6" i="2"/>
  <c r="C103" i="2"/>
  <c r="E10" i="2"/>
  <c r="D47" i="2"/>
  <c r="E171" i="2"/>
  <c r="D91" i="2"/>
  <c r="D21" i="2"/>
  <c r="D9" i="2"/>
  <c r="D86" i="2"/>
  <c r="D177" i="2"/>
  <c r="E104" i="2"/>
  <c r="D169" i="2"/>
  <c r="D49" i="2"/>
  <c r="D150" i="2"/>
  <c r="C131" i="2"/>
  <c r="D35" i="2"/>
  <c r="E50" i="2"/>
  <c r="C182" i="2"/>
  <c r="E172" i="2"/>
  <c r="C4" i="2"/>
  <c r="E66" i="2"/>
  <c r="E182" i="2"/>
  <c r="C7" i="2"/>
  <c r="D19" i="2"/>
  <c r="D141" i="2"/>
  <c r="E178" i="2"/>
  <c r="C77" i="2"/>
  <c r="D13" i="2"/>
  <c r="D153" i="2"/>
  <c r="D85" i="2"/>
  <c r="C146" i="2"/>
  <c r="C48" i="2"/>
  <c r="E101" i="2"/>
  <c r="D56" i="2"/>
  <c r="D134" i="2"/>
  <c r="E19" i="2"/>
  <c r="C6" i="2"/>
  <c r="E133" i="2"/>
  <c r="D125" i="2"/>
  <c r="D70" i="2"/>
  <c r="D109" i="2"/>
  <c r="D105" i="2"/>
  <c r="E21" i="2"/>
  <c r="D149" i="2"/>
  <c r="D135" i="2"/>
  <c r="D60" i="2"/>
  <c r="D99" i="2"/>
  <c r="D126" i="2"/>
  <c r="E110" i="2"/>
  <c r="D17" i="2"/>
  <c r="D57" i="2"/>
  <c r="D88" i="2"/>
  <c r="E67" i="2"/>
  <c r="D45" i="2"/>
  <c r="D128" i="2"/>
  <c r="D156" i="2"/>
  <c r="D37" i="2"/>
  <c r="C126" i="2"/>
  <c r="D38" i="2"/>
  <c r="E68" i="2"/>
  <c r="D182" i="2"/>
  <c r="E6" i="2"/>
  <c r="D36" i="2"/>
  <c r="D181" i="2"/>
  <c r="E112" i="2"/>
  <c r="C18" i="2"/>
  <c r="E27" i="2"/>
  <c r="E70" i="2"/>
  <c r="D144" i="2"/>
  <c r="D139" i="2"/>
  <c r="E128" i="2"/>
  <c r="D7" i="2"/>
  <c r="C160" i="2"/>
  <c r="D14" i="2"/>
  <c r="D23" i="2"/>
  <c r="D32" i="2"/>
  <c r="D40" i="2"/>
  <c r="D76" i="2"/>
  <c r="E31" i="2"/>
  <c r="D96" i="2"/>
  <c r="C51" i="2"/>
  <c r="C78" i="2"/>
  <c r="E22" i="2"/>
  <c r="E106" i="2"/>
  <c r="D117" i="2"/>
  <c r="C130" i="2"/>
  <c r="D34" i="2"/>
  <c r="D11" i="2"/>
  <c r="C174" i="2"/>
  <c r="E111" i="2"/>
  <c r="E54" i="2"/>
  <c r="E17" i="2"/>
  <c r="E9" i="2"/>
  <c r="C34" i="2"/>
  <c r="C96" i="2"/>
  <c r="C141" i="2"/>
  <c r="C13" i="2"/>
  <c r="E30" i="2"/>
  <c r="C101" i="2"/>
  <c r="C55" i="2"/>
  <c r="C66" i="2"/>
  <c r="C104" i="2"/>
  <c r="E12" i="2"/>
  <c r="C3" i="2"/>
  <c r="E147" i="2"/>
  <c r="C165" i="2"/>
  <c r="E55" i="2"/>
  <c r="E107" i="2"/>
  <c r="E44" i="2"/>
  <c r="C41" i="2"/>
  <c r="E81" i="2"/>
  <c r="C62" i="2"/>
  <c r="C108" i="2"/>
  <c r="C39" i="2"/>
  <c r="E113" i="2"/>
  <c r="C53" i="2"/>
  <c r="E134" i="2"/>
  <c r="C112" i="2"/>
  <c r="E96" i="2"/>
  <c r="C28" i="2"/>
  <c r="C37" i="2"/>
  <c r="D18" i="2"/>
  <c r="E75" i="2"/>
  <c r="C56" i="2"/>
  <c r="C47" i="2"/>
  <c r="C29" i="2"/>
  <c r="C134" i="2"/>
  <c r="E80" i="2"/>
  <c r="E93" i="2"/>
  <c r="E115" i="2"/>
  <c r="E78" i="2"/>
  <c r="C54" i="2"/>
  <c r="E98" i="2"/>
  <c r="C12" i="2"/>
  <c r="C92" i="2"/>
  <c r="C52" i="2"/>
  <c r="C17" i="2"/>
  <c r="C79" i="2"/>
  <c r="C89" i="2"/>
  <c r="E127" i="2"/>
  <c r="C140" i="2"/>
  <c r="E59" i="2"/>
  <c r="D196" i="2"/>
  <c r="E199" i="2"/>
  <c r="D199" i="2"/>
  <c r="D201" i="2"/>
  <c r="D197" i="2"/>
  <c r="C201" i="2"/>
  <c r="E198" i="2"/>
  <c r="C196" i="2"/>
  <c r="C197" i="2"/>
  <c r="E200" i="2"/>
  <c r="C198" i="2"/>
  <c r="D198" i="2"/>
  <c r="C200" i="2"/>
  <c r="E197" i="2"/>
  <c r="E201" i="2"/>
  <c r="E196" i="2"/>
  <c r="C199" i="2"/>
  <c r="C113" i="2"/>
  <c r="D200" i="2"/>
  <c r="C164" i="2"/>
  <c r="D116" i="2"/>
  <c r="D163" i="2"/>
  <c r="C8" i="2"/>
  <c r="D53" i="2"/>
  <c r="E28" i="2"/>
  <c r="C70" i="2"/>
  <c r="C168" i="2"/>
  <c r="D59" i="2"/>
  <c r="E60" i="2"/>
  <c r="C2" i="2"/>
  <c r="D42" i="2"/>
  <c r="D122" i="2"/>
  <c r="C116" i="2"/>
  <c r="E167" i="2"/>
  <c r="C68" i="2"/>
  <c r="D3" i="2"/>
  <c r="D124" i="2"/>
  <c r="D168" i="2"/>
  <c r="D24" i="2"/>
  <c r="C73" i="2"/>
  <c r="C10" i="2"/>
  <c r="E43" i="2"/>
  <c r="D69" i="2"/>
  <c r="E15" i="2"/>
  <c r="C121" i="2"/>
  <c r="D65" i="2"/>
  <c r="D95" i="2"/>
  <c r="D26" i="2"/>
  <c r="D28" i="2"/>
  <c r="D46" i="2"/>
  <c r="D166" i="2"/>
  <c r="E117" i="2"/>
  <c r="C107" i="2"/>
  <c r="C20" i="2"/>
  <c r="C102" i="2"/>
  <c r="D83" i="2"/>
  <c r="D4" i="2"/>
  <c r="C65" i="2"/>
  <c r="D93" i="2"/>
  <c r="C100" i="2"/>
  <c r="D157" i="2"/>
  <c r="D25" i="2"/>
  <c r="D142" i="2"/>
  <c r="D161" i="2"/>
  <c r="D115" i="2"/>
  <c r="D20" i="2"/>
  <c r="D16" i="2"/>
  <c r="D68" i="2"/>
  <c r="D89" i="2"/>
  <c r="D145" i="2"/>
  <c r="D72" i="2"/>
  <c r="D143" i="2"/>
  <c r="D22" i="2"/>
  <c r="D12" i="2"/>
  <c r="D97" i="2"/>
  <c r="D176" i="2"/>
  <c r="D158" i="2"/>
  <c r="E7" i="2"/>
  <c r="E41" i="2"/>
  <c r="E88" i="2"/>
  <c r="E192" i="2"/>
  <c r="E132" i="2"/>
  <c r="E38" i="2"/>
  <c r="E51" i="2"/>
  <c r="E103" i="2"/>
  <c r="E87" i="2"/>
  <c r="C192" i="2"/>
  <c r="E195" i="2"/>
  <c r="E72" i="2"/>
  <c r="E69" i="2"/>
  <c r="E74" i="2"/>
  <c r="E25" i="2"/>
  <c r="E47" i="2"/>
  <c r="E26" i="2"/>
  <c r="E120" i="2"/>
  <c r="E20" i="2"/>
  <c r="D192" i="2"/>
  <c r="E191" i="2"/>
  <c r="E95" i="2"/>
  <c r="C193" i="2"/>
  <c r="E168" i="2"/>
  <c r="E85" i="2"/>
  <c r="E39" i="2"/>
  <c r="E194" i="2"/>
  <c r="E193" i="2"/>
  <c r="D195" i="2"/>
  <c r="C194" i="2"/>
  <c r="E92" i="2"/>
  <c r="E61" i="2"/>
  <c r="E36" i="2"/>
  <c r="E8" i="2"/>
  <c r="D123" i="2"/>
  <c r="C191" i="2"/>
  <c r="E77" i="2"/>
  <c r="C195" i="2"/>
  <c r="E46" i="2"/>
  <c r="D193" i="2"/>
  <c r="D191" i="2"/>
  <c r="E102" i="2"/>
  <c r="D50" i="2"/>
  <c r="D167" i="2"/>
  <c r="D15" i="2"/>
  <c r="D164" i="2"/>
  <c r="D73" i="2"/>
  <c r="D61" i="2"/>
  <c r="D138" i="2"/>
  <c r="D84" i="2"/>
  <c r="D2" i="2"/>
  <c r="D133" i="2"/>
  <c r="D110" i="2"/>
  <c r="E164" i="2"/>
  <c r="D140" i="2"/>
  <c r="E14" i="2"/>
  <c r="E89" i="2"/>
  <c r="C161" i="2"/>
  <c r="D137" i="2"/>
  <c r="E148" i="2"/>
  <c r="E99" i="2"/>
  <c r="E151" i="2"/>
  <c r="D165" i="2"/>
  <c r="E144" i="2"/>
  <c r="D80" i="2"/>
  <c r="D194" i="2"/>
  <c r="C61" i="2"/>
  <c r="D55" i="2"/>
  <c r="D27" i="2"/>
  <c r="C163" i="2"/>
  <c r="D81" i="2"/>
  <c r="C135" i="2"/>
  <c r="C23" i="2"/>
  <c r="E73" i="2"/>
  <c r="C9" i="2"/>
  <c r="E123" i="2"/>
  <c r="E108" i="2"/>
  <c r="D104" i="2"/>
  <c r="C71" i="2"/>
  <c r="E149" i="2"/>
  <c r="C69" i="2"/>
  <c r="C128" i="2"/>
  <c r="E126" i="2"/>
  <c r="C43" i="2"/>
  <c r="C124" i="2"/>
  <c r="C97" i="2"/>
  <c r="D54" i="2"/>
  <c r="C81" i="2"/>
  <c r="E52" i="2"/>
  <c r="D100" i="2"/>
  <c r="D147" i="2"/>
  <c r="C132" i="2"/>
  <c r="E109" i="2"/>
  <c r="E97" i="2"/>
  <c r="D132" i="2"/>
  <c r="C167" i="2"/>
  <c r="E63" i="2"/>
  <c r="E18" i="2"/>
  <c r="C27" i="2"/>
  <c r="E35" i="2"/>
  <c r="D74" i="2"/>
  <c r="D127" i="2"/>
  <c r="D121" i="2"/>
  <c r="D78" i="2"/>
  <c r="D113" i="2"/>
  <c r="D112" i="2"/>
  <c r="D178" i="2"/>
  <c r="D102" i="2"/>
  <c r="D148" i="2"/>
  <c r="D8" i="2"/>
  <c r="D82" i="2"/>
  <c r="D159" i="2"/>
  <c r="D79" i="2"/>
  <c r="D108" i="2"/>
  <c r="D111" i="2"/>
  <c r="D174" i="2"/>
  <c r="D33" i="2"/>
  <c r="D29" i="2"/>
  <c r="D173" i="2"/>
  <c r="D175" i="2"/>
  <c r="D66" i="2"/>
  <c r="D39" i="2"/>
  <c r="D171" i="2"/>
  <c r="D87" i="2"/>
  <c r="D179" i="2"/>
  <c r="D94" i="2"/>
  <c r="D172" i="2"/>
  <c r="D129" i="2"/>
  <c r="D170" i="2"/>
  <c r="D130" i="2"/>
  <c r="D180" i="2"/>
  <c r="D44" i="2"/>
  <c r="D58" i="2"/>
  <c r="D160" i="2"/>
  <c r="Q6413" i="1" l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<sst xmlns="http://schemas.openxmlformats.org/spreadsheetml/2006/main" count="68608" uniqueCount="26">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</sst>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4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7190"/>
  <sheetViews>
    <sheetView zoomScale="90" zoomScaleNormal="90" workbookViewId="0">
      <pane ySplit="1" topLeftCell="A6981" activePane="bottomLeft" state="frozen"/>
      <selection pane="bottomLeft" activeCell="A6988" sqref="A6988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  <c r="R1" s="28" t="s">
        <v>24</v>
      </c>
      <c r="S1" s="28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5">
        <v>0</v>
      </c>
      <c r="E6152" s="5">
        <v>0</v>
      </c>
      <c r="F6152" s="5" t="s">
        <v>8</v>
      </c>
      <c r="G6152" s="15" t="s">
        <v>9</v>
      </c>
      <c r="H6152" s="24">
        <v>794.00000000023283</v>
      </c>
      <c r="I6152" s="24">
        <v>794.00000000023283</v>
      </c>
      <c r="J6152" s="24" t="s">
        <v>21</v>
      </c>
      <c r="K6152" s="24" t="s">
        <v>21</v>
      </c>
      <c r="L6152" s="24" t="s">
        <v>21</v>
      </c>
      <c r="M6152" s="24" t="s">
        <v>21</v>
      </c>
      <c r="N6152" s="24" t="s">
        <v>21</v>
      </c>
      <c r="O6152" s="24" t="s">
        <v>21</v>
      </c>
      <c r="P6152" s="24" t="s">
        <v>21</v>
      </c>
      <c r="Q6152" s="24" t="s">
        <v>21</v>
      </c>
      <c r="R6152" s="24" t="s">
        <v>21</v>
      </c>
      <c r="S6152" s="24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5">
        <v>2</v>
      </c>
      <c r="E6153" s="5">
        <v>0</v>
      </c>
      <c r="F6153" s="5" t="s">
        <v>8</v>
      </c>
      <c r="G6153" s="15" t="s">
        <v>9</v>
      </c>
      <c r="H6153" s="24">
        <v>1.000000003259629</v>
      </c>
      <c r="I6153" s="24">
        <v>1.000000003259629</v>
      </c>
      <c r="J6153" s="24" t="s">
        <v>21</v>
      </c>
      <c r="K6153" s="24" t="s">
        <v>21</v>
      </c>
      <c r="L6153" s="24" t="s">
        <v>21</v>
      </c>
      <c r="M6153" s="24" t="s">
        <v>21</v>
      </c>
      <c r="N6153" s="24" t="s">
        <v>21</v>
      </c>
      <c r="O6153" s="24" t="s">
        <v>21</v>
      </c>
      <c r="P6153" s="24" t="s">
        <v>21</v>
      </c>
      <c r="Q6153" s="24" t="s">
        <v>21</v>
      </c>
      <c r="R6153" s="24" t="s">
        <v>21</v>
      </c>
      <c r="S6153" s="24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5">
        <v>2</v>
      </c>
      <c r="E6154" s="5">
        <v>0</v>
      </c>
      <c r="F6154" s="5" t="s">
        <v>8</v>
      </c>
      <c r="G6154" s="15" t="s">
        <v>9</v>
      </c>
      <c r="H6154" s="24">
        <v>1.000000003259629</v>
      </c>
      <c r="I6154" s="24">
        <v>1.000000003259629</v>
      </c>
      <c r="J6154" s="24" t="s">
        <v>21</v>
      </c>
      <c r="K6154" s="24" t="s">
        <v>21</v>
      </c>
      <c r="L6154" s="24" t="s">
        <v>21</v>
      </c>
      <c r="M6154" s="24" t="s">
        <v>21</v>
      </c>
      <c r="N6154" s="24" t="s">
        <v>21</v>
      </c>
      <c r="O6154" s="24" t="s">
        <v>21</v>
      </c>
      <c r="P6154" s="24" t="s">
        <v>21</v>
      </c>
      <c r="Q6154" s="24" t="s">
        <v>21</v>
      </c>
      <c r="R6154" s="24" t="s">
        <v>21</v>
      </c>
      <c r="S6154" s="24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5">
        <v>1</v>
      </c>
      <c r="E6155" s="5">
        <v>0</v>
      </c>
      <c r="F6155" s="5" t="s">
        <v>8</v>
      </c>
      <c r="G6155" s="15" t="s">
        <v>9</v>
      </c>
      <c r="H6155" s="24">
        <v>0</v>
      </c>
      <c r="I6155" s="24">
        <v>0</v>
      </c>
      <c r="J6155" s="24" t="s">
        <v>21</v>
      </c>
      <c r="K6155" s="24" t="s">
        <v>21</v>
      </c>
      <c r="L6155" s="24" t="s">
        <v>21</v>
      </c>
      <c r="M6155" s="24" t="s">
        <v>21</v>
      </c>
      <c r="N6155" s="24" t="s">
        <v>21</v>
      </c>
      <c r="O6155" s="24" t="s">
        <v>21</v>
      </c>
      <c r="P6155" s="24" t="s">
        <v>21</v>
      </c>
      <c r="Q6155" s="24" t="s">
        <v>21</v>
      </c>
      <c r="R6155" s="24" t="s">
        <v>21</v>
      </c>
      <c r="S6155" s="24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5">
        <v>3</v>
      </c>
      <c r="E6156" s="5">
        <v>0</v>
      </c>
      <c r="F6156" s="5" t="s">
        <v>8</v>
      </c>
      <c r="G6156" s="15" t="s">
        <v>9</v>
      </c>
      <c r="H6156" s="24">
        <v>0.99999999278225005</v>
      </c>
      <c r="I6156" s="24">
        <v>0.99999999278225005</v>
      </c>
      <c r="J6156" s="24" t="s">
        <v>21</v>
      </c>
      <c r="K6156" s="24" t="s">
        <v>21</v>
      </c>
      <c r="L6156" s="24" t="s">
        <v>21</v>
      </c>
      <c r="M6156" s="24" t="s">
        <v>21</v>
      </c>
      <c r="N6156" s="24" t="s">
        <v>21</v>
      </c>
      <c r="O6156" s="24" t="s">
        <v>21</v>
      </c>
      <c r="P6156" s="24" t="s">
        <v>21</v>
      </c>
      <c r="Q6156" s="24" t="s">
        <v>21</v>
      </c>
      <c r="R6156" s="24" t="s">
        <v>21</v>
      </c>
      <c r="S6156" s="24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5">
        <v>1</v>
      </c>
      <c r="E6157" s="5">
        <v>0</v>
      </c>
      <c r="F6157" s="5" t="s">
        <v>8</v>
      </c>
      <c r="G6157" s="15" t="s">
        <v>9</v>
      </c>
      <c r="H6157" s="24">
        <v>1.000000003259629</v>
      </c>
      <c r="I6157" s="24">
        <v>1.000000003259629</v>
      </c>
      <c r="J6157" s="24" t="s">
        <v>21</v>
      </c>
      <c r="K6157" s="24" t="s">
        <v>21</v>
      </c>
      <c r="L6157" s="24" t="s">
        <v>21</v>
      </c>
      <c r="M6157" s="24" t="s">
        <v>21</v>
      </c>
      <c r="N6157" s="24" t="s">
        <v>21</v>
      </c>
      <c r="O6157" s="24" t="s">
        <v>21</v>
      </c>
      <c r="P6157" s="24" t="s">
        <v>21</v>
      </c>
      <c r="Q6157" s="24" t="s">
        <v>21</v>
      </c>
      <c r="R6157" s="24" t="s">
        <v>21</v>
      </c>
      <c r="S6157" s="24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5">
        <v>2</v>
      </c>
      <c r="E6158" s="5">
        <v>0</v>
      </c>
      <c r="F6158" s="5" t="s">
        <v>8</v>
      </c>
      <c r="G6158" s="15" t="s">
        <v>9</v>
      </c>
      <c r="H6158" s="24">
        <v>79.999999998835847</v>
      </c>
      <c r="I6158" s="24" t="s">
        <v>21</v>
      </c>
      <c r="J6158" s="24" t="s">
        <v>21</v>
      </c>
      <c r="K6158" s="24" t="s">
        <v>21</v>
      </c>
      <c r="L6158" s="24" t="s">
        <v>21</v>
      </c>
      <c r="M6158" s="24" t="s">
        <v>21</v>
      </c>
      <c r="N6158" s="24" t="s">
        <v>21</v>
      </c>
      <c r="O6158" s="24">
        <v>900.99999999278225</v>
      </c>
      <c r="P6158" s="24" t="s">
        <v>21</v>
      </c>
      <c r="Q6158" s="24" t="s">
        <v>21</v>
      </c>
      <c r="R6158" s="24" t="s">
        <v>21</v>
      </c>
      <c r="S6158" s="24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5">
        <v>3</v>
      </c>
      <c r="E6159" s="5">
        <v>9</v>
      </c>
      <c r="F6159" s="5" t="s">
        <v>8</v>
      </c>
      <c r="G6159" s="15" t="s">
        <v>9</v>
      </c>
      <c r="H6159" s="24">
        <v>1.000000003259629</v>
      </c>
      <c r="I6159" s="24" t="s">
        <v>21</v>
      </c>
      <c r="J6159" s="24" t="s">
        <v>21</v>
      </c>
      <c r="K6159" s="24" t="s">
        <v>21</v>
      </c>
      <c r="L6159" s="24" t="s">
        <v>21</v>
      </c>
      <c r="M6159" s="24" t="s">
        <v>21</v>
      </c>
      <c r="N6159" s="24" t="s">
        <v>21</v>
      </c>
      <c r="O6159" s="24">
        <v>1.000000003259629</v>
      </c>
      <c r="P6159" s="24" t="s">
        <v>21</v>
      </c>
      <c r="Q6159" s="24" t="s">
        <v>21</v>
      </c>
      <c r="R6159" s="24" t="s">
        <v>21</v>
      </c>
      <c r="S6159" s="24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5">
        <v>0</v>
      </c>
      <c r="E6160" s="5">
        <v>2</v>
      </c>
      <c r="F6160" s="5" t="s">
        <v>8</v>
      </c>
      <c r="G6160" s="15" t="s">
        <v>9</v>
      </c>
      <c r="H6160" s="24">
        <v>0</v>
      </c>
      <c r="I6160" s="24" t="s">
        <v>21</v>
      </c>
      <c r="J6160" s="24" t="s">
        <v>21</v>
      </c>
      <c r="K6160" s="24" t="s">
        <v>21</v>
      </c>
      <c r="L6160" s="24" t="s">
        <v>21</v>
      </c>
      <c r="M6160" s="24" t="s">
        <v>21</v>
      </c>
      <c r="N6160" s="24" t="s">
        <v>21</v>
      </c>
      <c r="O6160" s="24">
        <v>0</v>
      </c>
      <c r="P6160" s="24" t="s">
        <v>21</v>
      </c>
      <c r="Q6160" s="24" t="s">
        <v>21</v>
      </c>
      <c r="R6160" s="24" t="s">
        <v>21</v>
      </c>
      <c r="S6160" s="24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5">
        <v>0</v>
      </c>
      <c r="E6161" s="5">
        <v>11</v>
      </c>
      <c r="F6161" s="5" t="s">
        <v>8</v>
      </c>
      <c r="G6161" s="15" t="s">
        <v>9</v>
      </c>
      <c r="H6161" s="24">
        <v>0</v>
      </c>
      <c r="I6161" s="24" t="s">
        <v>21</v>
      </c>
      <c r="J6161" s="24" t="s">
        <v>21</v>
      </c>
      <c r="K6161" s="24" t="s">
        <v>21</v>
      </c>
      <c r="L6161" s="24" t="s">
        <v>21</v>
      </c>
      <c r="M6161" s="24" t="s">
        <v>21</v>
      </c>
      <c r="N6161" s="24" t="s">
        <v>21</v>
      </c>
      <c r="O6161" s="24">
        <v>0</v>
      </c>
      <c r="P6161" s="24" t="s">
        <v>21</v>
      </c>
      <c r="Q6161" s="24" t="s">
        <v>21</v>
      </c>
      <c r="R6161" s="24" t="s">
        <v>21</v>
      </c>
      <c r="S6161" s="24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5">
        <v>8</v>
      </c>
      <c r="E6162" s="5">
        <v>0</v>
      </c>
      <c r="F6162" s="5" t="s">
        <v>8</v>
      </c>
      <c r="G6162" s="15" t="s">
        <v>9</v>
      </c>
      <c r="H6162" s="24">
        <v>0</v>
      </c>
      <c r="I6162" s="24" t="s">
        <v>21</v>
      </c>
      <c r="J6162" s="24" t="s">
        <v>21</v>
      </c>
      <c r="K6162" s="24" t="s">
        <v>21</v>
      </c>
      <c r="L6162" s="24" t="s">
        <v>21</v>
      </c>
      <c r="M6162" s="24" t="s">
        <v>21</v>
      </c>
      <c r="N6162" s="24" t="s">
        <v>21</v>
      </c>
      <c r="O6162" s="24">
        <v>0</v>
      </c>
      <c r="P6162" s="24" t="s">
        <v>21</v>
      </c>
      <c r="Q6162" s="24" t="s">
        <v>21</v>
      </c>
      <c r="R6162" s="24" t="s">
        <v>21</v>
      </c>
      <c r="S6162" s="24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5">
        <v>3</v>
      </c>
      <c r="E6163" s="5">
        <v>7</v>
      </c>
      <c r="F6163" s="5" t="s">
        <v>8</v>
      </c>
      <c r="G6163" s="15" t="s">
        <v>9</v>
      </c>
      <c r="H6163" s="24">
        <v>1.000000003259629</v>
      </c>
      <c r="I6163" s="24" t="s">
        <v>21</v>
      </c>
      <c r="J6163" s="24" t="s">
        <v>21</v>
      </c>
      <c r="K6163" s="24" t="s">
        <v>21</v>
      </c>
      <c r="L6163" s="24" t="s">
        <v>21</v>
      </c>
      <c r="M6163" s="24" t="s">
        <v>21</v>
      </c>
      <c r="N6163" s="24" t="s">
        <v>21</v>
      </c>
      <c r="O6163" s="24">
        <v>1.000000003259629</v>
      </c>
      <c r="P6163" s="24" t="s">
        <v>21</v>
      </c>
      <c r="Q6163" s="24" t="s">
        <v>21</v>
      </c>
      <c r="R6163" s="24" t="s">
        <v>21</v>
      </c>
      <c r="S6163" s="24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5">
        <v>0</v>
      </c>
      <c r="E6164" s="5">
        <v>0</v>
      </c>
      <c r="F6164" s="5" t="s">
        <v>8</v>
      </c>
      <c r="G6164" s="15" t="s">
        <v>9</v>
      </c>
      <c r="H6164" s="24">
        <v>0</v>
      </c>
      <c r="I6164" s="24" t="s">
        <v>21</v>
      </c>
      <c r="J6164" s="24" t="s">
        <v>21</v>
      </c>
      <c r="K6164" s="24" t="s">
        <v>21</v>
      </c>
      <c r="L6164" s="24" t="s">
        <v>21</v>
      </c>
      <c r="M6164" s="24" t="s">
        <v>21</v>
      </c>
      <c r="N6164" s="24" t="s">
        <v>21</v>
      </c>
      <c r="O6164" s="24">
        <v>0</v>
      </c>
      <c r="P6164" s="24" t="s">
        <v>21</v>
      </c>
      <c r="Q6164" s="24" t="s">
        <v>21</v>
      </c>
      <c r="R6164" s="24" t="s">
        <v>21</v>
      </c>
      <c r="S6164" s="24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5">
        <v>9</v>
      </c>
      <c r="E6165" s="5">
        <v>0</v>
      </c>
      <c r="F6165" s="5" t="s">
        <v>8</v>
      </c>
      <c r="G6165" s="15" t="s">
        <v>9</v>
      </c>
      <c r="H6165" s="24">
        <v>0.99999999278225005</v>
      </c>
      <c r="I6165" s="24" t="s">
        <v>21</v>
      </c>
      <c r="J6165" s="24" t="s">
        <v>21</v>
      </c>
      <c r="K6165" s="24" t="s">
        <v>21</v>
      </c>
      <c r="L6165" s="24" t="s">
        <v>21</v>
      </c>
      <c r="M6165" s="24" t="s">
        <v>21</v>
      </c>
      <c r="N6165" s="24" t="s">
        <v>21</v>
      </c>
      <c r="O6165" s="24">
        <v>0.99999999278225005</v>
      </c>
      <c r="P6165" s="24" t="s">
        <v>21</v>
      </c>
      <c r="Q6165" s="24" t="s">
        <v>21</v>
      </c>
      <c r="R6165" s="24" t="s">
        <v>21</v>
      </c>
      <c r="S6165" s="24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5">
        <v>0</v>
      </c>
      <c r="E6166" s="5">
        <v>9</v>
      </c>
      <c r="F6166" s="5" t="s">
        <v>8</v>
      </c>
      <c r="G6166" s="15" t="s">
        <v>9</v>
      </c>
      <c r="H6166" s="24">
        <v>0</v>
      </c>
      <c r="I6166" s="24" t="s">
        <v>21</v>
      </c>
      <c r="J6166" s="24" t="s">
        <v>21</v>
      </c>
      <c r="K6166" s="24" t="s">
        <v>21</v>
      </c>
      <c r="L6166" s="24" t="s">
        <v>21</v>
      </c>
      <c r="M6166" s="24" t="s">
        <v>21</v>
      </c>
      <c r="N6166" s="24" t="s">
        <v>21</v>
      </c>
      <c r="O6166" s="24">
        <v>0</v>
      </c>
      <c r="P6166" s="24" t="s">
        <v>21</v>
      </c>
      <c r="Q6166" s="24" t="s">
        <v>21</v>
      </c>
      <c r="R6166" s="24" t="s">
        <v>21</v>
      </c>
      <c r="S6166" s="24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5">
        <v>0</v>
      </c>
      <c r="E6167" s="5">
        <v>0</v>
      </c>
      <c r="F6167" s="5" t="s">
        <v>8</v>
      </c>
      <c r="G6167" s="15" t="s">
        <v>9</v>
      </c>
      <c r="H6167" s="24">
        <v>0</v>
      </c>
      <c r="I6167" s="24" t="s">
        <v>21</v>
      </c>
      <c r="J6167" s="24" t="s">
        <v>21</v>
      </c>
      <c r="K6167" s="24" t="s">
        <v>21</v>
      </c>
      <c r="L6167" s="24" t="s">
        <v>21</v>
      </c>
      <c r="M6167" s="24" t="s">
        <v>21</v>
      </c>
      <c r="N6167" s="24" t="s">
        <v>21</v>
      </c>
      <c r="O6167" s="24">
        <v>0</v>
      </c>
      <c r="P6167" s="24" t="s">
        <v>21</v>
      </c>
      <c r="Q6167" s="24" t="s">
        <v>21</v>
      </c>
      <c r="R6167" s="24" t="s">
        <v>21</v>
      </c>
      <c r="S6167" s="24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5">
        <v>0</v>
      </c>
      <c r="E6168" s="5">
        <v>0</v>
      </c>
      <c r="F6168" s="5" t="s">
        <v>8</v>
      </c>
      <c r="G6168" s="15" t="s">
        <v>9</v>
      </c>
      <c r="H6168" s="24">
        <v>0</v>
      </c>
      <c r="I6168" s="24" t="s">
        <v>21</v>
      </c>
      <c r="J6168" s="24" t="s">
        <v>21</v>
      </c>
      <c r="K6168" s="24" t="s">
        <v>21</v>
      </c>
      <c r="L6168" s="24" t="s">
        <v>21</v>
      </c>
      <c r="M6168" s="24" t="s">
        <v>21</v>
      </c>
      <c r="N6168" s="24" t="s">
        <v>21</v>
      </c>
      <c r="O6168" s="24">
        <v>0</v>
      </c>
      <c r="P6168" s="24" t="s">
        <v>21</v>
      </c>
      <c r="Q6168" s="24" t="s">
        <v>21</v>
      </c>
      <c r="R6168" s="24" t="s">
        <v>21</v>
      </c>
      <c r="S6168" s="24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5">
        <v>0</v>
      </c>
      <c r="E6169" s="5">
        <v>0</v>
      </c>
      <c r="F6169" s="5" t="s">
        <v>8</v>
      </c>
      <c r="G6169" s="15" t="s">
        <v>9</v>
      </c>
      <c r="H6169" s="24">
        <v>1.000000003259629</v>
      </c>
      <c r="I6169" s="24" t="s">
        <v>21</v>
      </c>
      <c r="J6169" s="24" t="s">
        <v>21</v>
      </c>
      <c r="K6169" s="24" t="s">
        <v>21</v>
      </c>
      <c r="L6169" s="24" t="s">
        <v>21</v>
      </c>
      <c r="M6169" s="24" t="s">
        <v>21</v>
      </c>
      <c r="N6169" s="24" t="s">
        <v>21</v>
      </c>
      <c r="O6169" s="24">
        <v>1.000000003259629</v>
      </c>
      <c r="P6169" s="24" t="s">
        <v>21</v>
      </c>
      <c r="Q6169" s="24" t="s">
        <v>21</v>
      </c>
      <c r="R6169" s="24" t="s">
        <v>21</v>
      </c>
      <c r="S6169" s="24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5">
        <v>0</v>
      </c>
      <c r="E6170" s="5">
        <v>21</v>
      </c>
      <c r="F6170" s="5" t="s">
        <v>8</v>
      </c>
      <c r="G6170" s="15" t="s">
        <v>9</v>
      </c>
      <c r="H6170" s="24">
        <v>0</v>
      </c>
      <c r="I6170" s="24" t="s">
        <v>21</v>
      </c>
      <c r="J6170" s="24" t="s">
        <v>21</v>
      </c>
      <c r="K6170" s="24" t="s">
        <v>21</v>
      </c>
      <c r="L6170" s="24" t="s">
        <v>21</v>
      </c>
      <c r="M6170" s="24" t="s">
        <v>21</v>
      </c>
      <c r="N6170" s="24" t="s">
        <v>21</v>
      </c>
      <c r="O6170" s="24">
        <v>0</v>
      </c>
      <c r="P6170" s="24" t="s">
        <v>21</v>
      </c>
      <c r="Q6170" s="24" t="s">
        <v>21</v>
      </c>
      <c r="R6170" s="24" t="s">
        <v>21</v>
      </c>
      <c r="S6170" s="24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5">
        <v>5</v>
      </c>
      <c r="E6171" s="5">
        <v>0</v>
      </c>
      <c r="F6171" s="5" t="s">
        <v>8</v>
      </c>
      <c r="G6171" s="15" t="s">
        <v>9</v>
      </c>
      <c r="H6171" s="24">
        <v>0</v>
      </c>
      <c r="I6171" s="24" t="s">
        <v>21</v>
      </c>
      <c r="J6171" s="24" t="s">
        <v>21</v>
      </c>
      <c r="K6171" s="24" t="s">
        <v>21</v>
      </c>
      <c r="L6171" s="24" t="s">
        <v>21</v>
      </c>
      <c r="M6171" s="24" t="s">
        <v>21</v>
      </c>
      <c r="N6171" s="24" t="s">
        <v>21</v>
      </c>
      <c r="O6171" s="24">
        <v>0</v>
      </c>
      <c r="P6171" s="24" t="s">
        <v>21</v>
      </c>
      <c r="Q6171" s="24" t="s">
        <v>21</v>
      </c>
      <c r="R6171" s="24" t="s">
        <v>21</v>
      </c>
      <c r="S6171" s="24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5">
        <v>0</v>
      </c>
      <c r="E6172" s="5">
        <v>10</v>
      </c>
      <c r="F6172" s="5" t="s">
        <v>8</v>
      </c>
      <c r="G6172" s="15" t="s">
        <v>9</v>
      </c>
      <c r="H6172" s="24">
        <v>1.000000003259629</v>
      </c>
      <c r="I6172" s="24" t="s">
        <v>21</v>
      </c>
      <c r="J6172" s="24" t="s">
        <v>21</v>
      </c>
      <c r="K6172" s="24" t="s">
        <v>21</v>
      </c>
      <c r="L6172" s="24" t="s">
        <v>21</v>
      </c>
      <c r="M6172" s="24" t="s">
        <v>21</v>
      </c>
      <c r="N6172" s="24" t="s">
        <v>21</v>
      </c>
      <c r="O6172" s="24">
        <v>1.000000003259629</v>
      </c>
      <c r="P6172" s="24" t="s">
        <v>21</v>
      </c>
      <c r="Q6172" s="24" t="s">
        <v>21</v>
      </c>
      <c r="R6172" s="24" t="s">
        <v>21</v>
      </c>
      <c r="S6172" s="24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5">
        <v>0</v>
      </c>
      <c r="E6173" s="5">
        <v>0</v>
      </c>
      <c r="F6173" s="5" t="s">
        <v>8</v>
      </c>
      <c r="G6173" s="15" t="s">
        <v>9</v>
      </c>
      <c r="H6173" s="24">
        <v>0</v>
      </c>
      <c r="I6173" s="24" t="s">
        <v>21</v>
      </c>
      <c r="J6173" s="24" t="s">
        <v>21</v>
      </c>
      <c r="K6173" s="24" t="s">
        <v>21</v>
      </c>
      <c r="L6173" s="24" t="s">
        <v>21</v>
      </c>
      <c r="M6173" s="24" t="s">
        <v>21</v>
      </c>
      <c r="N6173" s="24" t="s">
        <v>21</v>
      </c>
      <c r="O6173" s="24">
        <v>0</v>
      </c>
      <c r="P6173" s="24" t="s">
        <v>21</v>
      </c>
      <c r="Q6173" s="24" t="s">
        <v>21</v>
      </c>
      <c r="R6173" s="24" t="s">
        <v>21</v>
      </c>
      <c r="S6173" s="24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5">
        <v>0</v>
      </c>
      <c r="E6174" s="5">
        <v>8</v>
      </c>
      <c r="F6174" s="5" t="s">
        <v>8</v>
      </c>
      <c r="G6174" s="15" t="s">
        <v>9</v>
      </c>
      <c r="H6174" s="24">
        <v>0.99999999278225005</v>
      </c>
      <c r="I6174" s="24" t="s">
        <v>21</v>
      </c>
      <c r="J6174" s="24" t="s">
        <v>21</v>
      </c>
      <c r="K6174" s="24" t="s">
        <v>21</v>
      </c>
      <c r="L6174" s="24" t="s">
        <v>21</v>
      </c>
      <c r="M6174" s="24" t="s">
        <v>21</v>
      </c>
      <c r="N6174" s="24" t="s">
        <v>21</v>
      </c>
      <c r="O6174" s="24">
        <v>0.99999999278225005</v>
      </c>
      <c r="P6174" s="24" t="s">
        <v>21</v>
      </c>
      <c r="Q6174" s="24" t="s">
        <v>21</v>
      </c>
      <c r="R6174" s="24" t="s">
        <v>21</v>
      </c>
      <c r="S6174" s="24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5">
        <v>0</v>
      </c>
      <c r="E6175" s="5">
        <v>0</v>
      </c>
      <c r="F6175" s="5" t="s">
        <v>8</v>
      </c>
      <c r="G6175" s="15" t="s">
        <v>9</v>
      </c>
      <c r="H6175" s="24">
        <v>0</v>
      </c>
      <c r="I6175" s="24" t="s">
        <v>21</v>
      </c>
      <c r="J6175" s="24" t="s">
        <v>21</v>
      </c>
      <c r="K6175" s="24" t="s">
        <v>21</v>
      </c>
      <c r="L6175" s="24" t="s">
        <v>21</v>
      </c>
      <c r="M6175" s="24" t="s">
        <v>21</v>
      </c>
      <c r="N6175" s="24" t="s">
        <v>21</v>
      </c>
      <c r="O6175" s="24">
        <v>0</v>
      </c>
      <c r="P6175" s="24" t="s">
        <v>21</v>
      </c>
      <c r="Q6175" s="24" t="s">
        <v>21</v>
      </c>
      <c r="R6175" s="24" t="s">
        <v>21</v>
      </c>
      <c r="S6175" s="24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5">
        <v>0</v>
      </c>
      <c r="E6176" s="5">
        <v>0</v>
      </c>
      <c r="F6176" s="5" t="s">
        <v>8</v>
      </c>
      <c r="G6176" s="15" t="s">
        <v>9</v>
      </c>
      <c r="H6176" s="24">
        <v>1.000000003259629</v>
      </c>
      <c r="I6176" s="24" t="s">
        <v>21</v>
      </c>
      <c r="J6176" s="24" t="s">
        <v>21</v>
      </c>
      <c r="K6176" s="24" t="s">
        <v>21</v>
      </c>
      <c r="L6176" s="24" t="s">
        <v>21</v>
      </c>
      <c r="M6176" s="24" t="s">
        <v>21</v>
      </c>
      <c r="N6176" s="24" t="s">
        <v>21</v>
      </c>
      <c r="O6176" s="24">
        <v>1.000000003259629</v>
      </c>
      <c r="P6176" s="24" t="s">
        <v>21</v>
      </c>
      <c r="Q6176" s="24" t="s">
        <v>21</v>
      </c>
      <c r="R6176" s="24" t="s">
        <v>21</v>
      </c>
      <c r="S6176" s="24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5">
        <v>0</v>
      </c>
      <c r="E6177" s="5">
        <v>0</v>
      </c>
      <c r="F6177" s="5" t="s">
        <v>8</v>
      </c>
      <c r="G6177" s="15" t="s">
        <v>9</v>
      </c>
      <c r="H6177" s="24">
        <v>1.9999999960418791</v>
      </c>
      <c r="I6177" s="24" t="s">
        <v>21</v>
      </c>
      <c r="J6177" s="24" t="s">
        <v>21</v>
      </c>
      <c r="K6177" s="24" t="s">
        <v>21</v>
      </c>
      <c r="L6177" s="24" t="s">
        <v>21</v>
      </c>
      <c r="M6177" s="24" t="s">
        <v>21</v>
      </c>
      <c r="N6177" s="24" t="s">
        <v>21</v>
      </c>
      <c r="O6177" s="24">
        <v>1.9999999960418791</v>
      </c>
      <c r="P6177" s="24" t="s">
        <v>21</v>
      </c>
      <c r="Q6177" s="24" t="s">
        <v>21</v>
      </c>
      <c r="R6177" s="24" t="s">
        <v>21</v>
      </c>
      <c r="S6177" s="24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5">
        <v>0</v>
      </c>
      <c r="E6178" s="5">
        <v>0</v>
      </c>
      <c r="F6178" s="5" t="s">
        <v>8</v>
      </c>
      <c r="G6178" s="15" t="s">
        <v>9</v>
      </c>
      <c r="H6178" s="24">
        <v>1.000000003259629</v>
      </c>
      <c r="I6178" s="24" t="s">
        <v>21</v>
      </c>
      <c r="J6178" s="24" t="s">
        <v>21</v>
      </c>
      <c r="K6178" s="24" t="s">
        <v>21</v>
      </c>
      <c r="L6178" s="24" t="s">
        <v>21</v>
      </c>
      <c r="M6178" s="24" t="s">
        <v>21</v>
      </c>
      <c r="N6178" s="24" t="s">
        <v>21</v>
      </c>
      <c r="O6178" s="24">
        <v>1.000000003259629</v>
      </c>
      <c r="P6178" s="24" t="s">
        <v>21</v>
      </c>
      <c r="Q6178" s="24" t="s">
        <v>21</v>
      </c>
      <c r="R6178" s="24" t="s">
        <v>21</v>
      </c>
      <c r="S6178" s="24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5">
        <v>0</v>
      </c>
      <c r="E6179" s="5">
        <v>0</v>
      </c>
      <c r="F6179" s="5" t="s">
        <v>8</v>
      </c>
      <c r="G6179" s="15" t="s">
        <v>9</v>
      </c>
      <c r="H6179" s="24">
        <v>0</v>
      </c>
      <c r="I6179" s="24" t="s">
        <v>21</v>
      </c>
      <c r="J6179" s="24" t="s">
        <v>21</v>
      </c>
      <c r="K6179" s="24" t="s">
        <v>21</v>
      </c>
      <c r="L6179" s="24" t="s">
        <v>21</v>
      </c>
      <c r="M6179" s="24" t="s">
        <v>21</v>
      </c>
      <c r="N6179" s="24" t="s">
        <v>21</v>
      </c>
      <c r="O6179" s="24">
        <v>0</v>
      </c>
      <c r="P6179" s="24" t="s">
        <v>21</v>
      </c>
      <c r="Q6179" s="24" t="s">
        <v>21</v>
      </c>
      <c r="R6179" s="24" t="s">
        <v>21</v>
      </c>
      <c r="S6179" s="24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5">
        <v>0</v>
      </c>
      <c r="E6180" s="5">
        <v>7</v>
      </c>
      <c r="F6180" s="5" t="s">
        <v>8</v>
      </c>
      <c r="G6180" s="15" t="s">
        <v>9</v>
      </c>
      <c r="H6180" s="24">
        <v>255.99999999627471</v>
      </c>
      <c r="I6180" s="24" t="s">
        <v>21</v>
      </c>
      <c r="J6180" s="24" t="s">
        <v>21</v>
      </c>
      <c r="K6180" s="24" t="s">
        <v>21</v>
      </c>
      <c r="L6180" s="24">
        <v>1518.9999999955762</v>
      </c>
      <c r="M6180" s="24" t="s">
        <v>21</v>
      </c>
      <c r="N6180" s="24" t="s">
        <v>21</v>
      </c>
      <c r="O6180" s="24" t="s">
        <v>21</v>
      </c>
      <c r="P6180" s="24" t="s">
        <v>21</v>
      </c>
      <c r="Q6180" s="24" t="s">
        <v>21</v>
      </c>
      <c r="R6180" s="24" t="s">
        <v>21</v>
      </c>
      <c r="S6180" s="24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5">
        <v>0</v>
      </c>
      <c r="E6181" s="5">
        <v>7</v>
      </c>
      <c r="F6181" s="5" t="s">
        <v>8</v>
      </c>
      <c r="G6181" s="15" t="s">
        <v>9</v>
      </c>
      <c r="H6181" s="24">
        <v>0</v>
      </c>
      <c r="I6181" s="24" t="s">
        <v>21</v>
      </c>
      <c r="J6181" s="24" t="s">
        <v>21</v>
      </c>
      <c r="K6181" s="24" t="s">
        <v>21</v>
      </c>
      <c r="L6181" s="24">
        <v>0</v>
      </c>
      <c r="M6181" s="24" t="s">
        <v>21</v>
      </c>
      <c r="N6181" s="24" t="s">
        <v>21</v>
      </c>
      <c r="O6181" s="24" t="s">
        <v>21</v>
      </c>
      <c r="P6181" s="24" t="s">
        <v>21</v>
      </c>
      <c r="Q6181" s="24" t="s">
        <v>21</v>
      </c>
      <c r="R6181" s="24" t="s">
        <v>21</v>
      </c>
      <c r="S6181" s="24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5">
        <v>0</v>
      </c>
      <c r="E6182" s="5">
        <v>13</v>
      </c>
      <c r="F6182" s="5" t="s">
        <v>8</v>
      </c>
      <c r="G6182" s="15" t="s">
        <v>9</v>
      </c>
      <c r="H6182" s="24">
        <v>1.000000003259629</v>
      </c>
      <c r="I6182" s="24" t="s">
        <v>21</v>
      </c>
      <c r="J6182" s="24" t="s">
        <v>21</v>
      </c>
      <c r="K6182" s="24" t="s">
        <v>21</v>
      </c>
      <c r="L6182" s="24">
        <v>1.000000003259629</v>
      </c>
      <c r="M6182" s="24" t="s">
        <v>21</v>
      </c>
      <c r="N6182" s="24" t="s">
        <v>21</v>
      </c>
      <c r="O6182" s="24" t="s">
        <v>21</v>
      </c>
      <c r="P6182" s="24" t="s">
        <v>21</v>
      </c>
      <c r="Q6182" s="24" t="s">
        <v>21</v>
      </c>
      <c r="R6182" s="24" t="s">
        <v>21</v>
      </c>
      <c r="S6182" s="24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5">
        <v>0</v>
      </c>
      <c r="E6183" s="5">
        <v>8</v>
      </c>
      <c r="F6183" s="5" t="s">
        <v>8</v>
      </c>
      <c r="G6183" s="15" t="s">
        <v>9</v>
      </c>
      <c r="H6183" s="24">
        <v>1.000000003259629</v>
      </c>
      <c r="I6183" s="24" t="s">
        <v>21</v>
      </c>
      <c r="J6183" s="24" t="s">
        <v>21</v>
      </c>
      <c r="K6183" s="24" t="s">
        <v>21</v>
      </c>
      <c r="L6183" s="24">
        <v>1.000000003259629</v>
      </c>
      <c r="M6183" s="24" t="s">
        <v>21</v>
      </c>
      <c r="N6183" s="24" t="s">
        <v>21</v>
      </c>
      <c r="O6183" s="24" t="s">
        <v>21</v>
      </c>
      <c r="P6183" s="24" t="s">
        <v>21</v>
      </c>
      <c r="Q6183" s="24" t="s">
        <v>21</v>
      </c>
      <c r="R6183" s="24" t="s">
        <v>21</v>
      </c>
      <c r="S6183" s="24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5">
        <v>0</v>
      </c>
      <c r="E6184" s="5">
        <v>0</v>
      </c>
      <c r="F6184" s="5" t="s">
        <v>8</v>
      </c>
      <c r="G6184" s="15" t="s">
        <v>9</v>
      </c>
      <c r="H6184" s="24">
        <v>239.99999999650754</v>
      </c>
      <c r="I6184" s="24" t="s">
        <v>21</v>
      </c>
      <c r="J6184" s="24" t="s">
        <v>21</v>
      </c>
      <c r="K6184" s="24" t="s">
        <v>21</v>
      </c>
      <c r="L6184" s="24" t="s">
        <v>21</v>
      </c>
      <c r="M6184" s="24" t="s">
        <v>21</v>
      </c>
      <c r="N6184" s="24" t="s">
        <v>21</v>
      </c>
      <c r="O6184" s="24">
        <v>497.99999999930151</v>
      </c>
      <c r="P6184" s="24" t="s">
        <v>21</v>
      </c>
      <c r="Q6184" s="24" t="s">
        <v>21</v>
      </c>
      <c r="R6184" s="24" t="s">
        <v>21</v>
      </c>
      <c r="S6184" s="24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5">
        <v>0</v>
      </c>
      <c r="E6185" s="5">
        <v>11</v>
      </c>
      <c r="F6185" s="5" t="s">
        <v>8</v>
      </c>
      <c r="G6185" s="15" t="s">
        <v>9</v>
      </c>
      <c r="H6185" s="24">
        <v>1.000000003259629</v>
      </c>
      <c r="I6185" s="24" t="s">
        <v>21</v>
      </c>
      <c r="J6185" s="24" t="s">
        <v>21</v>
      </c>
      <c r="K6185" s="24" t="s">
        <v>21</v>
      </c>
      <c r="L6185" s="24" t="s">
        <v>21</v>
      </c>
      <c r="M6185" s="24" t="s">
        <v>21</v>
      </c>
      <c r="N6185" s="24" t="s">
        <v>21</v>
      </c>
      <c r="O6185" s="24">
        <v>1.000000003259629</v>
      </c>
      <c r="P6185" s="24" t="s">
        <v>21</v>
      </c>
      <c r="Q6185" s="24" t="s">
        <v>21</v>
      </c>
      <c r="R6185" s="24" t="s">
        <v>21</v>
      </c>
      <c r="S6185" s="24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5">
        <v>0</v>
      </c>
      <c r="E6186" s="5">
        <v>17</v>
      </c>
      <c r="F6186" s="5" t="s">
        <v>8</v>
      </c>
      <c r="G6186" s="15" t="s">
        <v>9</v>
      </c>
      <c r="H6186" s="24">
        <v>0</v>
      </c>
      <c r="I6186" s="24" t="s">
        <v>21</v>
      </c>
      <c r="J6186" s="24" t="s">
        <v>21</v>
      </c>
      <c r="K6186" s="24" t="s">
        <v>21</v>
      </c>
      <c r="L6186" s="24" t="s">
        <v>21</v>
      </c>
      <c r="M6186" s="24" t="s">
        <v>21</v>
      </c>
      <c r="N6186" s="24" t="s">
        <v>21</v>
      </c>
      <c r="O6186" s="24">
        <v>0</v>
      </c>
      <c r="P6186" s="24" t="s">
        <v>21</v>
      </c>
      <c r="Q6186" s="24" t="s">
        <v>21</v>
      </c>
      <c r="R6186" s="24" t="s">
        <v>21</v>
      </c>
      <c r="S6186" s="24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5">
        <v>0</v>
      </c>
      <c r="E6187" s="5">
        <v>16</v>
      </c>
      <c r="F6187" s="5" t="s">
        <v>8</v>
      </c>
      <c r="G6187" s="15" t="s">
        <v>9</v>
      </c>
      <c r="H6187" s="24">
        <v>1.000000003259629</v>
      </c>
      <c r="I6187" s="24" t="s">
        <v>21</v>
      </c>
      <c r="J6187" s="24" t="s">
        <v>21</v>
      </c>
      <c r="K6187" s="24" t="s">
        <v>21</v>
      </c>
      <c r="L6187" s="24" t="s">
        <v>21</v>
      </c>
      <c r="M6187" s="24" t="s">
        <v>21</v>
      </c>
      <c r="N6187" s="24" t="s">
        <v>21</v>
      </c>
      <c r="O6187" s="24">
        <v>1.000000003259629</v>
      </c>
      <c r="P6187" s="24" t="s">
        <v>21</v>
      </c>
      <c r="Q6187" s="24" t="s">
        <v>21</v>
      </c>
      <c r="R6187" s="24" t="s">
        <v>21</v>
      </c>
      <c r="S6187" s="24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5">
        <v>0</v>
      </c>
      <c r="E6188" s="5">
        <v>7</v>
      </c>
      <c r="F6188" s="5" t="s">
        <v>8</v>
      </c>
      <c r="G6188" s="15" t="s">
        <v>9</v>
      </c>
      <c r="H6188" s="24">
        <v>0</v>
      </c>
      <c r="I6188" s="24" t="s">
        <v>21</v>
      </c>
      <c r="J6188" s="24" t="s">
        <v>21</v>
      </c>
      <c r="K6188" s="24" t="s">
        <v>21</v>
      </c>
      <c r="L6188" s="24" t="s">
        <v>21</v>
      </c>
      <c r="M6188" s="24" t="s">
        <v>21</v>
      </c>
      <c r="N6188" s="24" t="s">
        <v>21</v>
      </c>
      <c r="O6188" s="24">
        <v>0</v>
      </c>
      <c r="P6188" s="24" t="s">
        <v>21</v>
      </c>
      <c r="Q6188" s="24" t="s">
        <v>21</v>
      </c>
      <c r="R6188" s="24" t="s">
        <v>21</v>
      </c>
      <c r="S6188" s="24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5">
        <v>0</v>
      </c>
      <c r="E6189" s="5">
        <v>3</v>
      </c>
      <c r="F6189" s="5" t="s">
        <v>8</v>
      </c>
      <c r="G6189" s="15" t="s">
        <v>9</v>
      </c>
      <c r="H6189" s="24">
        <v>0.99999999278225005</v>
      </c>
      <c r="I6189" s="24" t="s">
        <v>21</v>
      </c>
      <c r="J6189" s="24" t="s">
        <v>21</v>
      </c>
      <c r="K6189" s="24" t="s">
        <v>21</v>
      </c>
      <c r="L6189" s="24" t="s">
        <v>21</v>
      </c>
      <c r="M6189" s="24" t="s">
        <v>21</v>
      </c>
      <c r="N6189" s="24" t="s">
        <v>21</v>
      </c>
      <c r="O6189" s="24">
        <v>0.99999999278225005</v>
      </c>
      <c r="P6189" s="24" t="s">
        <v>21</v>
      </c>
      <c r="Q6189" s="24" t="s">
        <v>21</v>
      </c>
      <c r="R6189" s="24" t="s">
        <v>21</v>
      </c>
      <c r="S6189" s="24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5">
        <v>0</v>
      </c>
      <c r="E6190" s="5">
        <v>4</v>
      </c>
      <c r="F6190" s="5" t="s">
        <v>8</v>
      </c>
      <c r="G6190" s="15" t="s">
        <v>9</v>
      </c>
      <c r="H6190" s="24">
        <v>0</v>
      </c>
      <c r="I6190" s="24" t="s">
        <v>21</v>
      </c>
      <c r="J6190" s="24" t="s">
        <v>21</v>
      </c>
      <c r="K6190" s="24" t="s">
        <v>21</v>
      </c>
      <c r="L6190" s="24" t="s">
        <v>21</v>
      </c>
      <c r="M6190" s="24" t="s">
        <v>21</v>
      </c>
      <c r="N6190" s="24" t="s">
        <v>21</v>
      </c>
      <c r="O6190" s="24">
        <v>0</v>
      </c>
      <c r="P6190" s="24" t="s">
        <v>21</v>
      </c>
      <c r="Q6190" s="24" t="s">
        <v>21</v>
      </c>
      <c r="R6190" s="24" t="s">
        <v>21</v>
      </c>
      <c r="S6190" s="24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5">
        <v>0</v>
      </c>
      <c r="E6191" s="5">
        <v>4</v>
      </c>
      <c r="F6191" s="5" t="s">
        <v>8</v>
      </c>
      <c r="G6191" s="15" t="s">
        <v>9</v>
      </c>
      <c r="H6191" s="24">
        <v>1.000000003259629</v>
      </c>
      <c r="I6191" s="24" t="s">
        <v>21</v>
      </c>
      <c r="J6191" s="24" t="s">
        <v>21</v>
      </c>
      <c r="K6191" s="24" t="s">
        <v>21</v>
      </c>
      <c r="L6191" s="24" t="s">
        <v>21</v>
      </c>
      <c r="M6191" s="24" t="s">
        <v>21</v>
      </c>
      <c r="N6191" s="24" t="s">
        <v>21</v>
      </c>
      <c r="O6191" s="24">
        <v>1.000000003259629</v>
      </c>
      <c r="P6191" s="24" t="s">
        <v>21</v>
      </c>
      <c r="Q6191" s="24" t="s">
        <v>21</v>
      </c>
      <c r="R6191" s="24" t="s">
        <v>21</v>
      </c>
      <c r="S6191" s="24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5">
        <v>0</v>
      </c>
      <c r="E6192" s="5">
        <v>0</v>
      </c>
      <c r="F6192" s="5" t="s">
        <v>8</v>
      </c>
      <c r="G6192" s="15" t="s">
        <v>9</v>
      </c>
      <c r="H6192" s="24">
        <v>0</v>
      </c>
      <c r="I6192" s="24" t="s">
        <v>21</v>
      </c>
      <c r="J6192" s="24" t="s">
        <v>21</v>
      </c>
      <c r="K6192" s="24" t="s">
        <v>21</v>
      </c>
      <c r="L6192" s="24" t="s">
        <v>21</v>
      </c>
      <c r="M6192" s="24" t="s">
        <v>21</v>
      </c>
      <c r="N6192" s="24" t="s">
        <v>21</v>
      </c>
      <c r="O6192" s="24">
        <v>0</v>
      </c>
      <c r="P6192" s="24" t="s">
        <v>21</v>
      </c>
      <c r="Q6192" s="24" t="s">
        <v>21</v>
      </c>
      <c r="R6192" s="24" t="s">
        <v>21</v>
      </c>
      <c r="S6192" s="24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5">
        <v>0</v>
      </c>
      <c r="E6193" s="5">
        <v>0</v>
      </c>
      <c r="F6193" s="5" t="s">
        <v>8</v>
      </c>
      <c r="G6193" s="15" t="s">
        <v>9</v>
      </c>
      <c r="H6193" s="24">
        <v>1.000000003259629</v>
      </c>
      <c r="I6193" s="24" t="s">
        <v>21</v>
      </c>
      <c r="J6193" s="24" t="s">
        <v>21</v>
      </c>
      <c r="K6193" s="24" t="s">
        <v>21</v>
      </c>
      <c r="L6193" s="24" t="s">
        <v>21</v>
      </c>
      <c r="M6193" s="24" t="s">
        <v>21</v>
      </c>
      <c r="N6193" s="24" t="s">
        <v>21</v>
      </c>
      <c r="O6193" s="24">
        <v>1.000000003259629</v>
      </c>
      <c r="P6193" s="24" t="s">
        <v>21</v>
      </c>
      <c r="Q6193" s="24" t="s">
        <v>21</v>
      </c>
      <c r="R6193" s="24" t="s">
        <v>21</v>
      </c>
      <c r="S6193" s="24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5">
        <v>0</v>
      </c>
      <c r="E6194" s="5">
        <v>0</v>
      </c>
      <c r="F6194" s="5" t="s">
        <v>8</v>
      </c>
      <c r="G6194" s="15" t="s">
        <v>9</v>
      </c>
      <c r="H6194" s="24">
        <v>0.99999999278225005</v>
      </c>
      <c r="I6194" s="24" t="s">
        <v>21</v>
      </c>
      <c r="J6194" s="24" t="s">
        <v>21</v>
      </c>
      <c r="K6194" s="24" t="s">
        <v>21</v>
      </c>
      <c r="L6194" s="24" t="s">
        <v>21</v>
      </c>
      <c r="M6194" s="24" t="s">
        <v>21</v>
      </c>
      <c r="N6194" s="24" t="s">
        <v>21</v>
      </c>
      <c r="O6194" s="24">
        <v>0.99999999278225005</v>
      </c>
      <c r="P6194" s="24" t="s">
        <v>21</v>
      </c>
      <c r="Q6194" s="24" t="s">
        <v>21</v>
      </c>
      <c r="R6194" s="24" t="s">
        <v>21</v>
      </c>
      <c r="S6194" s="24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5">
        <v>0</v>
      </c>
      <c r="E6195" s="5">
        <v>0</v>
      </c>
      <c r="F6195" s="5" t="s">
        <v>8</v>
      </c>
      <c r="G6195" s="15" t="s">
        <v>9</v>
      </c>
      <c r="H6195" s="24">
        <v>0</v>
      </c>
      <c r="I6195" s="24" t="s">
        <v>21</v>
      </c>
      <c r="J6195" s="24" t="s">
        <v>21</v>
      </c>
      <c r="K6195" s="24" t="s">
        <v>21</v>
      </c>
      <c r="L6195" s="24" t="s">
        <v>21</v>
      </c>
      <c r="M6195" s="24" t="s">
        <v>21</v>
      </c>
      <c r="N6195" s="24" t="s">
        <v>21</v>
      </c>
      <c r="O6195" s="24">
        <v>0</v>
      </c>
      <c r="P6195" s="24" t="s">
        <v>21</v>
      </c>
      <c r="Q6195" s="24" t="s">
        <v>21</v>
      </c>
      <c r="R6195" s="24" t="s">
        <v>21</v>
      </c>
      <c r="S6195" s="24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5">
        <v>0</v>
      </c>
      <c r="E6196" s="5">
        <v>11</v>
      </c>
      <c r="F6196" s="5" t="s">
        <v>8</v>
      </c>
      <c r="G6196" s="15" t="s">
        <v>9</v>
      </c>
      <c r="H6196" s="24">
        <v>1.000000003259629</v>
      </c>
      <c r="I6196" s="24" t="s">
        <v>21</v>
      </c>
      <c r="J6196" s="24" t="s">
        <v>21</v>
      </c>
      <c r="K6196" s="24" t="s">
        <v>21</v>
      </c>
      <c r="L6196" s="24" t="s">
        <v>21</v>
      </c>
      <c r="M6196" s="24" t="s">
        <v>21</v>
      </c>
      <c r="N6196" s="24" t="s">
        <v>21</v>
      </c>
      <c r="O6196" s="24">
        <v>1.000000003259629</v>
      </c>
      <c r="P6196" s="24" t="s">
        <v>21</v>
      </c>
      <c r="Q6196" s="24" t="s">
        <v>21</v>
      </c>
      <c r="R6196" s="24" t="s">
        <v>21</v>
      </c>
      <c r="S6196" s="24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5">
        <v>0</v>
      </c>
      <c r="E6197" s="5">
        <v>9</v>
      </c>
      <c r="F6197" s="5" t="s">
        <v>8</v>
      </c>
      <c r="G6197" s="15" t="s">
        <v>9</v>
      </c>
      <c r="H6197" s="24">
        <v>1.000000003259629</v>
      </c>
      <c r="I6197" s="24" t="s">
        <v>21</v>
      </c>
      <c r="J6197" s="24" t="s">
        <v>21</v>
      </c>
      <c r="K6197" s="24" t="s">
        <v>21</v>
      </c>
      <c r="L6197" s="24" t="s">
        <v>21</v>
      </c>
      <c r="M6197" s="24" t="s">
        <v>21</v>
      </c>
      <c r="N6197" s="24" t="s">
        <v>21</v>
      </c>
      <c r="O6197" s="24">
        <v>1.000000003259629</v>
      </c>
      <c r="P6197" s="24" t="s">
        <v>21</v>
      </c>
      <c r="Q6197" s="24" t="s">
        <v>21</v>
      </c>
      <c r="R6197" s="24" t="s">
        <v>21</v>
      </c>
      <c r="S6197" s="24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5">
        <v>0</v>
      </c>
      <c r="E6198" s="5">
        <v>17</v>
      </c>
      <c r="F6198" s="5" t="s">
        <v>8</v>
      </c>
      <c r="G6198" s="15" t="s">
        <v>9</v>
      </c>
      <c r="H6198" s="24">
        <v>0</v>
      </c>
      <c r="I6198" s="24" t="s">
        <v>21</v>
      </c>
      <c r="J6198" s="24" t="s">
        <v>21</v>
      </c>
      <c r="K6198" s="24" t="s">
        <v>21</v>
      </c>
      <c r="L6198" s="24" t="s">
        <v>21</v>
      </c>
      <c r="M6198" s="24" t="s">
        <v>21</v>
      </c>
      <c r="N6198" s="24" t="s">
        <v>21</v>
      </c>
      <c r="O6198" s="24">
        <v>0</v>
      </c>
      <c r="P6198" s="24" t="s">
        <v>21</v>
      </c>
      <c r="Q6198" s="24" t="s">
        <v>21</v>
      </c>
      <c r="R6198" s="24" t="s">
        <v>21</v>
      </c>
      <c r="S6198" s="24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5">
        <v>0</v>
      </c>
      <c r="E6199" s="5">
        <v>0</v>
      </c>
      <c r="F6199" s="5" t="s">
        <v>8</v>
      </c>
      <c r="G6199" s="15" t="s">
        <v>9</v>
      </c>
      <c r="H6199" s="24">
        <v>0.99999999278225005</v>
      </c>
      <c r="I6199" s="24" t="s">
        <v>21</v>
      </c>
      <c r="J6199" s="24" t="s">
        <v>21</v>
      </c>
      <c r="K6199" s="24" t="s">
        <v>21</v>
      </c>
      <c r="L6199" s="24" t="s">
        <v>21</v>
      </c>
      <c r="M6199" s="24" t="s">
        <v>21</v>
      </c>
      <c r="N6199" s="24" t="s">
        <v>21</v>
      </c>
      <c r="O6199" s="24">
        <v>0.99999999278225005</v>
      </c>
      <c r="P6199" s="24" t="s">
        <v>21</v>
      </c>
      <c r="Q6199" s="24" t="s">
        <v>21</v>
      </c>
      <c r="R6199" s="24" t="s">
        <v>21</v>
      </c>
      <c r="S6199" s="24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5">
        <v>0</v>
      </c>
      <c r="E6200" s="5">
        <v>18</v>
      </c>
      <c r="F6200" s="5" t="s">
        <v>8</v>
      </c>
      <c r="G6200" s="15" t="s">
        <v>9</v>
      </c>
      <c r="H6200" s="24">
        <v>0</v>
      </c>
      <c r="I6200" s="24" t="s">
        <v>21</v>
      </c>
      <c r="J6200" s="24" t="s">
        <v>21</v>
      </c>
      <c r="K6200" s="24" t="s">
        <v>21</v>
      </c>
      <c r="L6200" s="24" t="s">
        <v>21</v>
      </c>
      <c r="M6200" s="24" t="s">
        <v>21</v>
      </c>
      <c r="N6200" s="24" t="s">
        <v>21</v>
      </c>
      <c r="O6200" s="24">
        <v>0</v>
      </c>
      <c r="P6200" s="24" t="s">
        <v>21</v>
      </c>
      <c r="Q6200" s="24" t="s">
        <v>21</v>
      </c>
      <c r="R6200" s="24" t="s">
        <v>21</v>
      </c>
      <c r="S6200" s="24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5">
        <v>0</v>
      </c>
      <c r="E6201" s="5">
        <v>9</v>
      </c>
      <c r="F6201" s="5" t="s">
        <v>8</v>
      </c>
      <c r="G6201" s="15" t="s">
        <v>9</v>
      </c>
      <c r="H6201" s="24">
        <v>1.000000003259629</v>
      </c>
      <c r="I6201" s="24" t="s">
        <v>21</v>
      </c>
      <c r="J6201" s="24" t="s">
        <v>21</v>
      </c>
      <c r="K6201" s="24" t="s">
        <v>21</v>
      </c>
      <c r="L6201" s="24" t="s">
        <v>21</v>
      </c>
      <c r="M6201" s="24" t="s">
        <v>21</v>
      </c>
      <c r="N6201" s="24" t="s">
        <v>21</v>
      </c>
      <c r="O6201" s="24">
        <v>1.000000003259629</v>
      </c>
      <c r="P6201" s="24" t="s">
        <v>21</v>
      </c>
      <c r="Q6201" s="24" t="s">
        <v>21</v>
      </c>
      <c r="R6201" s="24" t="s">
        <v>21</v>
      </c>
      <c r="S6201" s="24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5">
        <v>0</v>
      </c>
      <c r="E6202" s="5">
        <v>21</v>
      </c>
      <c r="F6202" s="5" t="s">
        <v>8</v>
      </c>
      <c r="G6202" s="15" t="s">
        <v>9</v>
      </c>
      <c r="H6202" s="24">
        <v>0</v>
      </c>
      <c r="I6202" s="24" t="s">
        <v>21</v>
      </c>
      <c r="J6202" s="24" t="s">
        <v>21</v>
      </c>
      <c r="K6202" s="24" t="s">
        <v>21</v>
      </c>
      <c r="L6202" s="24" t="s">
        <v>21</v>
      </c>
      <c r="M6202" s="24" t="s">
        <v>21</v>
      </c>
      <c r="N6202" s="24" t="s">
        <v>21</v>
      </c>
      <c r="O6202" s="24">
        <v>0</v>
      </c>
      <c r="P6202" s="24" t="s">
        <v>21</v>
      </c>
      <c r="Q6202" s="24" t="s">
        <v>21</v>
      </c>
      <c r="R6202" s="24" t="s">
        <v>21</v>
      </c>
      <c r="S6202" s="24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5">
        <v>0</v>
      </c>
      <c r="E6203" s="5">
        <v>16</v>
      </c>
      <c r="F6203" s="5" t="s">
        <v>8</v>
      </c>
      <c r="G6203" s="15" t="s">
        <v>9</v>
      </c>
      <c r="H6203" s="24">
        <v>1.000000003259629</v>
      </c>
      <c r="I6203" s="24" t="s">
        <v>21</v>
      </c>
      <c r="J6203" s="24" t="s">
        <v>21</v>
      </c>
      <c r="K6203" s="24" t="s">
        <v>21</v>
      </c>
      <c r="L6203" s="24" t="s">
        <v>21</v>
      </c>
      <c r="M6203" s="24" t="s">
        <v>21</v>
      </c>
      <c r="N6203" s="24" t="s">
        <v>21</v>
      </c>
      <c r="O6203" s="24">
        <v>1.000000003259629</v>
      </c>
      <c r="P6203" s="24" t="s">
        <v>21</v>
      </c>
      <c r="Q6203" s="24" t="s">
        <v>21</v>
      </c>
      <c r="R6203" s="24" t="s">
        <v>21</v>
      </c>
      <c r="S6203" s="24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5">
        <v>0</v>
      </c>
      <c r="E6204" s="5">
        <v>0</v>
      </c>
      <c r="F6204" s="5" t="s">
        <v>8</v>
      </c>
      <c r="G6204" s="15" t="s">
        <v>9</v>
      </c>
      <c r="H6204" s="24">
        <v>0</v>
      </c>
      <c r="I6204" s="24" t="s">
        <v>21</v>
      </c>
      <c r="J6204" s="24" t="s">
        <v>21</v>
      </c>
      <c r="K6204" s="24" t="s">
        <v>21</v>
      </c>
      <c r="L6204" s="24" t="s">
        <v>21</v>
      </c>
      <c r="M6204" s="24" t="s">
        <v>21</v>
      </c>
      <c r="N6204" s="24" t="s">
        <v>21</v>
      </c>
      <c r="O6204" s="24">
        <v>0</v>
      </c>
      <c r="P6204" s="24" t="s">
        <v>21</v>
      </c>
      <c r="Q6204" s="24" t="s">
        <v>21</v>
      </c>
      <c r="R6204" s="24" t="s">
        <v>21</v>
      </c>
      <c r="S6204" s="24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5">
        <v>0</v>
      </c>
      <c r="E6205" s="5">
        <v>0</v>
      </c>
      <c r="F6205" s="5" t="s">
        <v>8</v>
      </c>
      <c r="G6205" s="15" t="s">
        <v>9</v>
      </c>
      <c r="H6205" s="24">
        <v>4.0000000025611371</v>
      </c>
      <c r="I6205" s="24" t="s">
        <v>21</v>
      </c>
      <c r="J6205" s="24" t="s">
        <v>21</v>
      </c>
      <c r="K6205" s="24" t="s">
        <v>21</v>
      </c>
      <c r="L6205" s="24" t="s">
        <v>21</v>
      </c>
      <c r="M6205" s="24" t="s">
        <v>21</v>
      </c>
      <c r="N6205" s="24" t="s">
        <v>21</v>
      </c>
      <c r="O6205" s="24">
        <v>4.0000000025611371</v>
      </c>
      <c r="P6205" s="24" t="s">
        <v>21</v>
      </c>
      <c r="Q6205" s="24" t="s">
        <v>21</v>
      </c>
      <c r="R6205" s="24" t="s">
        <v>21</v>
      </c>
      <c r="S6205" s="24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5">
        <v>0</v>
      </c>
      <c r="E6206" s="5">
        <v>35</v>
      </c>
      <c r="F6206" s="5" t="s">
        <v>8</v>
      </c>
      <c r="G6206" s="15" t="s">
        <v>9</v>
      </c>
      <c r="H6206" s="24">
        <v>0.99999999278225005</v>
      </c>
      <c r="I6206" s="24" t="s">
        <v>21</v>
      </c>
      <c r="J6206" s="24" t="s">
        <v>21</v>
      </c>
      <c r="K6206" s="24" t="s">
        <v>21</v>
      </c>
      <c r="L6206" s="24" t="s">
        <v>21</v>
      </c>
      <c r="M6206" s="24" t="s">
        <v>21</v>
      </c>
      <c r="N6206" s="24" t="s">
        <v>21</v>
      </c>
      <c r="O6206" s="24">
        <v>0.99999999278225005</v>
      </c>
      <c r="P6206" s="24" t="s">
        <v>21</v>
      </c>
      <c r="Q6206" s="24" t="s">
        <v>21</v>
      </c>
      <c r="R6206" s="24" t="s">
        <v>21</v>
      </c>
      <c r="S6206" s="24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5">
        <v>0</v>
      </c>
      <c r="E6207" s="5">
        <v>12</v>
      </c>
      <c r="F6207" s="5" t="s">
        <v>8</v>
      </c>
      <c r="G6207" s="15" t="s">
        <v>9</v>
      </c>
      <c r="H6207" s="24">
        <v>0</v>
      </c>
      <c r="I6207" s="24" t="s">
        <v>21</v>
      </c>
      <c r="J6207" s="24" t="s">
        <v>21</v>
      </c>
      <c r="K6207" s="24" t="s">
        <v>21</v>
      </c>
      <c r="L6207" s="24" t="s">
        <v>21</v>
      </c>
      <c r="M6207" s="24" t="s">
        <v>21</v>
      </c>
      <c r="N6207" s="24" t="s">
        <v>21</v>
      </c>
      <c r="O6207" s="24">
        <v>0</v>
      </c>
      <c r="P6207" s="24" t="s">
        <v>21</v>
      </c>
      <c r="Q6207" s="24" t="s">
        <v>21</v>
      </c>
      <c r="R6207" s="24" t="s">
        <v>21</v>
      </c>
      <c r="S6207" s="24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5">
        <v>0</v>
      </c>
      <c r="E6208" s="5">
        <v>18</v>
      </c>
      <c r="F6208" s="5" t="s">
        <v>8</v>
      </c>
      <c r="G6208" s="15" t="s">
        <v>9</v>
      </c>
      <c r="H6208" s="24">
        <v>1.000000003259629</v>
      </c>
      <c r="I6208" s="24" t="s">
        <v>21</v>
      </c>
      <c r="J6208" s="24" t="s">
        <v>21</v>
      </c>
      <c r="K6208" s="24" t="s">
        <v>21</v>
      </c>
      <c r="L6208" s="24" t="s">
        <v>21</v>
      </c>
      <c r="M6208" s="24" t="s">
        <v>21</v>
      </c>
      <c r="N6208" s="24" t="s">
        <v>21</v>
      </c>
      <c r="O6208" s="24">
        <v>1.000000003259629</v>
      </c>
      <c r="P6208" s="24" t="s">
        <v>21</v>
      </c>
      <c r="Q6208" s="24" t="s">
        <v>21</v>
      </c>
      <c r="R6208" s="24" t="s">
        <v>21</v>
      </c>
      <c r="S6208" s="24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5">
        <v>0</v>
      </c>
      <c r="E6209" s="5">
        <v>20</v>
      </c>
      <c r="F6209" s="5" t="s">
        <v>8</v>
      </c>
      <c r="G6209" s="15" t="s">
        <v>9</v>
      </c>
      <c r="H6209" s="24">
        <v>0</v>
      </c>
      <c r="I6209" s="24" t="s">
        <v>21</v>
      </c>
      <c r="J6209" s="24" t="s">
        <v>21</v>
      </c>
      <c r="K6209" s="24" t="s">
        <v>21</v>
      </c>
      <c r="L6209" s="24" t="s">
        <v>21</v>
      </c>
      <c r="M6209" s="24" t="s">
        <v>21</v>
      </c>
      <c r="N6209" s="24" t="s">
        <v>21</v>
      </c>
      <c r="O6209" s="24">
        <v>0</v>
      </c>
      <c r="P6209" s="24" t="s">
        <v>21</v>
      </c>
      <c r="Q6209" s="24" t="s">
        <v>21</v>
      </c>
      <c r="R6209" s="24" t="s">
        <v>21</v>
      </c>
      <c r="S6209" s="24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5">
        <v>0</v>
      </c>
      <c r="E6210" s="5">
        <v>31</v>
      </c>
      <c r="F6210" s="5" t="s">
        <v>8</v>
      </c>
      <c r="G6210" s="15" t="s">
        <v>9</v>
      </c>
      <c r="H6210" s="24">
        <v>1.000000003259629</v>
      </c>
      <c r="I6210" s="24" t="s">
        <v>21</v>
      </c>
      <c r="J6210" s="24" t="s">
        <v>21</v>
      </c>
      <c r="K6210" s="24" t="s">
        <v>21</v>
      </c>
      <c r="L6210" s="24" t="s">
        <v>21</v>
      </c>
      <c r="M6210" s="24" t="s">
        <v>21</v>
      </c>
      <c r="N6210" s="24" t="s">
        <v>21</v>
      </c>
      <c r="O6210" s="24">
        <v>1.000000003259629</v>
      </c>
      <c r="P6210" s="24" t="s">
        <v>21</v>
      </c>
      <c r="Q6210" s="24" t="s">
        <v>21</v>
      </c>
      <c r="R6210" s="24" t="s">
        <v>21</v>
      </c>
      <c r="S6210" s="24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5">
        <v>0</v>
      </c>
      <c r="E6211" s="5">
        <v>0</v>
      </c>
      <c r="F6211" s="5" t="s">
        <v>8</v>
      </c>
      <c r="G6211" s="15" t="s">
        <v>9</v>
      </c>
      <c r="H6211" s="24">
        <v>0</v>
      </c>
      <c r="I6211" s="24" t="s">
        <v>21</v>
      </c>
      <c r="J6211" s="24" t="s">
        <v>21</v>
      </c>
      <c r="K6211" s="24" t="s">
        <v>21</v>
      </c>
      <c r="L6211" s="24" t="s">
        <v>21</v>
      </c>
      <c r="M6211" s="24" t="s">
        <v>21</v>
      </c>
      <c r="N6211" s="24" t="s">
        <v>21</v>
      </c>
      <c r="O6211" s="24">
        <v>0</v>
      </c>
      <c r="P6211" s="24" t="s">
        <v>21</v>
      </c>
      <c r="Q6211" s="24" t="s">
        <v>21</v>
      </c>
      <c r="R6211" s="24" t="s">
        <v>21</v>
      </c>
      <c r="S6211" s="24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5">
        <v>0</v>
      </c>
      <c r="E6212" s="5">
        <v>0</v>
      </c>
      <c r="F6212" s="5" t="s">
        <v>8</v>
      </c>
      <c r="G6212" s="15" t="s">
        <v>9</v>
      </c>
      <c r="H6212" s="24">
        <v>0.99999999278225005</v>
      </c>
      <c r="I6212" s="24" t="s">
        <v>21</v>
      </c>
      <c r="J6212" s="24" t="s">
        <v>21</v>
      </c>
      <c r="K6212" s="24" t="s">
        <v>21</v>
      </c>
      <c r="L6212" s="24" t="s">
        <v>21</v>
      </c>
      <c r="M6212" s="24" t="s">
        <v>21</v>
      </c>
      <c r="N6212" s="24" t="s">
        <v>21</v>
      </c>
      <c r="O6212" s="24">
        <v>0.99999999278225005</v>
      </c>
      <c r="P6212" s="24" t="s">
        <v>21</v>
      </c>
      <c r="Q6212" s="24" t="s">
        <v>21</v>
      </c>
      <c r="R6212" s="24" t="s">
        <v>21</v>
      </c>
      <c r="S6212" s="24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5">
        <v>0</v>
      </c>
      <c r="E6213" s="5">
        <v>0</v>
      </c>
      <c r="F6213" s="5" t="s">
        <v>8</v>
      </c>
      <c r="G6213" s="15" t="s">
        <v>9</v>
      </c>
      <c r="H6213" s="24">
        <v>1.000000003259629</v>
      </c>
      <c r="I6213" s="24" t="s">
        <v>21</v>
      </c>
      <c r="J6213" s="24" t="s">
        <v>21</v>
      </c>
      <c r="K6213" s="24" t="s">
        <v>21</v>
      </c>
      <c r="L6213" s="24" t="s">
        <v>21</v>
      </c>
      <c r="M6213" s="24" t="s">
        <v>21</v>
      </c>
      <c r="N6213" s="24" t="s">
        <v>21</v>
      </c>
      <c r="O6213" s="24">
        <v>1.000000003259629</v>
      </c>
      <c r="P6213" s="24" t="s">
        <v>21</v>
      </c>
      <c r="Q6213" s="24" t="s">
        <v>21</v>
      </c>
      <c r="R6213" s="24" t="s">
        <v>21</v>
      </c>
      <c r="S6213" s="24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5">
        <v>0</v>
      </c>
      <c r="E6214" s="5">
        <v>0</v>
      </c>
      <c r="F6214" s="5" t="s">
        <v>8</v>
      </c>
      <c r="G6214" s="15" t="s">
        <v>9</v>
      </c>
      <c r="H6214" s="24">
        <v>4.0000000025611371</v>
      </c>
      <c r="I6214" s="24" t="s">
        <v>21</v>
      </c>
      <c r="J6214" s="24" t="s">
        <v>21</v>
      </c>
      <c r="K6214" s="24" t="s">
        <v>21</v>
      </c>
      <c r="L6214" s="24" t="s">
        <v>21</v>
      </c>
      <c r="M6214" s="24" t="s">
        <v>21</v>
      </c>
      <c r="N6214" s="24" t="s">
        <v>21</v>
      </c>
      <c r="O6214" s="24">
        <v>4.0000000025611371</v>
      </c>
      <c r="P6214" s="24" t="s">
        <v>21</v>
      </c>
      <c r="Q6214" s="24" t="s">
        <v>21</v>
      </c>
      <c r="R6214" s="24" t="s">
        <v>21</v>
      </c>
      <c r="S6214" s="24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5">
        <v>0</v>
      </c>
      <c r="E6215" s="5">
        <v>0</v>
      </c>
      <c r="F6215" s="5" t="s">
        <v>8</v>
      </c>
      <c r="G6215" s="15" t="s">
        <v>9</v>
      </c>
      <c r="H6215" s="24">
        <v>0.99999999278225005</v>
      </c>
      <c r="I6215" s="24" t="s">
        <v>21</v>
      </c>
      <c r="J6215" s="24" t="s">
        <v>21</v>
      </c>
      <c r="K6215" s="24" t="s">
        <v>21</v>
      </c>
      <c r="L6215" s="24" t="s">
        <v>21</v>
      </c>
      <c r="M6215" s="24" t="s">
        <v>21</v>
      </c>
      <c r="N6215" s="24" t="s">
        <v>21</v>
      </c>
      <c r="O6215" s="24">
        <v>0.99999999278225005</v>
      </c>
      <c r="P6215" s="24" t="s">
        <v>21</v>
      </c>
      <c r="Q6215" s="24" t="s">
        <v>21</v>
      </c>
      <c r="R6215" s="24" t="s">
        <v>21</v>
      </c>
      <c r="S6215" s="24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5">
        <v>0</v>
      </c>
      <c r="E6216" s="5">
        <v>0</v>
      </c>
      <c r="F6216" s="5" t="s">
        <v>8</v>
      </c>
      <c r="G6216" s="15" t="s">
        <v>9</v>
      </c>
      <c r="H6216" s="24">
        <v>1.000000003259629</v>
      </c>
      <c r="I6216" s="24" t="s">
        <v>21</v>
      </c>
      <c r="J6216" s="24" t="s">
        <v>21</v>
      </c>
      <c r="K6216" s="24" t="s">
        <v>21</v>
      </c>
      <c r="L6216" s="24" t="s">
        <v>21</v>
      </c>
      <c r="M6216" s="24" t="s">
        <v>21</v>
      </c>
      <c r="N6216" s="24" t="s">
        <v>21</v>
      </c>
      <c r="O6216" s="24">
        <v>1.000000003259629</v>
      </c>
      <c r="P6216" s="24" t="s">
        <v>21</v>
      </c>
      <c r="Q6216" s="24" t="s">
        <v>21</v>
      </c>
      <c r="R6216" s="24" t="s">
        <v>21</v>
      </c>
      <c r="S6216" s="24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5">
        <v>5</v>
      </c>
      <c r="E6217" s="5">
        <v>3</v>
      </c>
      <c r="F6217" s="5" t="s">
        <v>8</v>
      </c>
      <c r="G6217" s="15" t="s">
        <v>9</v>
      </c>
      <c r="H6217" s="24">
        <v>0</v>
      </c>
      <c r="I6217" s="24" t="s">
        <v>21</v>
      </c>
      <c r="J6217" s="24" t="s">
        <v>21</v>
      </c>
      <c r="K6217" s="24" t="s">
        <v>21</v>
      </c>
      <c r="L6217" s="24" t="s">
        <v>21</v>
      </c>
      <c r="M6217" s="24" t="s">
        <v>21</v>
      </c>
      <c r="N6217" s="24" t="s">
        <v>21</v>
      </c>
      <c r="O6217" s="24">
        <v>0</v>
      </c>
      <c r="P6217" s="24" t="s">
        <v>21</v>
      </c>
      <c r="Q6217" s="24" t="s">
        <v>21</v>
      </c>
      <c r="R6217" s="24" t="s">
        <v>21</v>
      </c>
      <c r="S6217" s="24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5">
        <v>0</v>
      </c>
      <c r="E6218" s="5">
        <v>0</v>
      </c>
      <c r="F6218" s="5" t="s">
        <v>8</v>
      </c>
      <c r="G6218" s="15" t="s">
        <v>9</v>
      </c>
      <c r="H6218" s="24">
        <v>1.000000003259629</v>
      </c>
      <c r="I6218" s="24" t="s">
        <v>21</v>
      </c>
      <c r="J6218" s="24" t="s">
        <v>21</v>
      </c>
      <c r="K6218" s="24" t="s">
        <v>21</v>
      </c>
      <c r="L6218" s="24" t="s">
        <v>21</v>
      </c>
      <c r="M6218" s="24" t="s">
        <v>21</v>
      </c>
      <c r="N6218" s="24" t="s">
        <v>21</v>
      </c>
      <c r="O6218" s="24">
        <v>1.000000003259629</v>
      </c>
      <c r="P6218" s="24" t="s">
        <v>21</v>
      </c>
      <c r="Q6218" s="24" t="s">
        <v>21</v>
      </c>
      <c r="R6218" s="24" t="s">
        <v>21</v>
      </c>
      <c r="S6218" s="24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5">
        <v>3</v>
      </c>
      <c r="E6219" s="5">
        <v>5</v>
      </c>
      <c r="F6219" s="5" t="s">
        <v>8</v>
      </c>
      <c r="G6219" s="15" t="s">
        <v>9</v>
      </c>
      <c r="H6219" s="24">
        <v>13.999999993247911</v>
      </c>
      <c r="I6219" s="24">
        <v>628.99999999674037</v>
      </c>
      <c r="J6219" s="24" t="s">
        <v>21</v>
      </c>
      <c r="K6219" s="24" t="s">
        <v>21</v>
      </c>
      <c r="L6219" s="24" t="s">
        <v>21</v>
      </c>
      <c r="M6219" s="24" t="s">
        <v>21</v>
      </c>
      <c r="N6219" s="24" t="s">
        <v>21</v>
      </c>
      <c r="O6219" s="24" t="s">
        <v>21</v>
      </c>
      <c r="P6219" s="24" t="s">
        <v>21</v>
      </c>
      <c r="Q6219" s="24" t="s">
        <v>21</v>
      </c>
      <c r="R6219" s="24" t="s">
        <v>21</v>
      </c>
      <c r="S6219" s="24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5">
        <v>0</v>
      </c>
      <c r="E6220" s="5">
        <v>4</v>
      </c>
      <c r="F6220" s="5" t="s">
        <v>8</v>
      </c>
      <c r="G6220" s="15" t="s">
        <v>9</v>
      </c>
      <c r="H6220" s="24">
        <v>0</v>
      </c>
      <c r="I6220" s="24">
        <v>0</v>
      </c>
      <c r="J6220" s="24" t="s">
        <v>21</v>
      </c>
      <c r="K6220" s="24" t="s">
        <v>21</v>
      </c>
      <c r="L6220" s="24" t="s">
        <v>21</v>
      </c>
      <c r="M6220" s="24" t="s">
        <v>21</v>
      </c>
      <c r="N6220" s="24" t="s">
        <v>21</v>
      </c>
      <c r="O6220" s="24" t="s">
        <v>21</v>
      </c>
      <c r="P6220" s="24" t="s">
        <v>21</v>
      </c>
      <c r="Q6220" s="24" t="s">
        <v>21</v>
      </c>
      <c r="R6220" s="24" t="s">
        <v>21</v>
      </c>
      <c r="S6220" s="24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5">
        <v>2</v>
      </c>
      <c r="E6221" s="5">
        <v>1</v>
      </c>
      <c r="F6221" s="5" t="s">
        <v>8</v>
      </c>
      <c r="G6221" s="15" t="s">
        <v>9</v>
      </c>
      <c r="H6221" s="24">
        <v>1.000000003259629</v>
      </c>
      <c r="I6221" s="24">
        <v>1.000000003259629</v>
      </c>
      <c r="J6221" s="24" t="s">
        <v>21</v>
      </c>
      <c r="K6221" s="24" t="s">
        <v>21</v>
      </c>
      <c r="L6221" s="24" t="s">
        <v>21</v>
      </c>
      <c r="M6221" s="24" t="s">
        <v>21</v>
      </c>
      <c r="N6221" s="24" t="s">
        <v>21</v>
      </c>
      <c r="O6221" s="24" t="s">
        <v>21</v>
      </c>
      <c r="P6221" s="24" t="s">
        <v>21</v>
      </c>
      <c r="Q6221" s="24" t="s">
        <v>21</v>
      </c>
      <c r="R6221" s="24" t="s">
        <v>21</v>
      </c>
      <c r="S6221" s="24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5">
        <v>1</v>
      </c>
      <c r="E6222" s="5">
        <v>1</v>
      </c>
      <c r="F6222" s="5" t="s">
        <v>8</v>
      </c>
      <c r="G6222" s="15" t="s">
        <v>9</v>
      </c>
      <c r="H6222" s="24">
        <v>0</v>
      </c>
      <c r="I6222" s="24">
        <v>0</v>
      </c>
      <c r="J6222" s="24" t="s">
        <v>21</v>
      </c>
      <c r="K6222" s="24" t="s">
        <v>21</v>
      </c>
      <c r="L6222" s="24" t="s">
        <v>21</v>
      </c>
      <c r="M6222" s="24" t="s">
        <v>21</v>
      </c>
      <c r="N6222" s="24" t="s">
        <v>21</v>
      </c>
      <c r="O6222" s="24" t="s">
        <v>21</v>
      </c>
      <c r="P6222" s="24" t="s">
        <v>21</v>
      </c>
      <c r="Q6222" s="24" t="s">
        <v>21</v>
      </c>
      <c r="R6222" s="24" t="s">
        <v>21</v>
      </c>
      <c r="S6222" s="24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5">
        <v>0</v>
      </c>
      <c r="E6223" s="5">
        <v>0</v>
      </c>
      <c r="F6223" s="5" t="s">
        <v>8</v>
      </c>
      <c r="G6223" s="15" t="s">
        <v>9</v>
      </c>
      <c r="H6223" s="24">
        <v>1.000000003259629</v>
      </c>
      <c r="I6223" s="24">
        <v>1.000000003259629</v>
      </c>
      <c r="J6223" s="24" t="s">
        <v>21</v>
      </c>
      <c r="K6223" s="24" t="s">
        <v>21</v>
      </c>
      <c r="L6223" s="24" t="s">
        <v>21</v>
      </c>
      <c r="M6223" s="24" t="s">
        <v>21</v>
      </c>
      <c r="N6223" s="24" t="s">
        <v>21</v>
      </c>
      <c r="O6223" s="24" t="s">
        <v>21</v>
      </c>
      <c r="P6223" s="24" t="s">
        <v>21</v>
      </c>
      <c r="Q6223" s="24" t="s">
        <v>21</v>
      </c>
      <c r="R6223" s="24" t="s">
        <v>21</v>
      </c>
      <c r="S6223" s="24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5">
        <v>2</v>
      </c>
      <c r="E6224" s="5">
        <v>1</v>
      </c>
      <c r="F6224" s="5" t="s">
        <v>8</v>
      </c>
      <c r="G6224" s="15" t="s">
        <v>9</v>
      </c>
      <c r="H6224" s="24">
        <v>1.000000003259629</v>
      </c>
      <c r="I6224" s="24">
        <v>1.000000003259629</v>
      </c>
      <c r="J6224" s="24" t="s">
        <v>21</v>
      </c>
      <c r="K6224" s="24" t="s">
        <v>21</v>
      </c>
      <c r="L6224" s="24" t="s">
        <v>21</v>
      </c>
      <c r="M6224" s="24" t="s">
        <v>21</v>
      </c>
      <c r="N6224" s="24" t="s">
        <v>21</v>
      </c>
      <c r="O6224" s="24" t="s">
        <v>21</v>
      </c>
      <c r="P6224" s="24" t="s">
        <v>21</v>
      </c>
      <c r="Q6224" s="24" t="s">
        <v>21</v>
      </c>
      <c r="R6224" s="24" t="s">
        <v>21</v>
      </c>
      <c r="S6224" s="24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5">
        <v>1</v>
      </c>
      <c r="E6225" s="5">
        <v>1</v>
      </c>
      <c r="F6225" s="5" t="s">
        <v>8</v>
      </c>
      <c r="G6225" s="15" t="s">
        <v>9</v>
      </c>
      <c r="H6225" s="24">
        <v>0</v>
      </c>
      <c r="I6225" s="24">
        <v>0</v>
      </c>
      <c r="J6225" s="24" t="s">
        <v>21</v>
      </c>
      <c r="K6225" s="24" t="s">
        <v>21</v>
      </c>
      <c r="L6225" s="24" t="s">
        <v>21</v>
      </c>
      <c r="M6225" s="24" t="s">
        <v>21</v>
      </c>
      <c r="N6225" s="24" t="s">
        <v>21</v>
      </c>
      <c r="O6225" s="24" t="s">
        <v>21</v>
      </c>
      <c r="P6225" s="24" t="s">
        <v>21</v>
      </c>
      <c r="Q6225" s="24" t="s">
        <v>21</v>
      </c>
      <c r="R6225" s="24" t="s">
        <v>21</v>
      </c>
      <c r="S6225" s="24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5">
        <v>0</v>
      </c>
      <c r="E6226" s="5">
        <v>2</v>
      </c>
      <c r="F6226" s="5" t="s">
        <v>8</v>
      </c>
      <c r="G6226" s="15" t="s">
        <v>9</v>
      </c>
      <c r="H6226" s="24">
        <v>9.9999999906867743</v>
      </c>
      <c r="I6226" s="24">
        <v>9.9999999906867743</v>
      </c>
      <c r="J6226" s="24" t="s">
        <v>21</v>
      </c>
      <c r="K6226" s="24" t="s">
        <v>21</v>
      </c>
      <c r="L6226" s="24" t="s">
        <v>21</v>
      </c>
      <c r="M6226" s="24" t="s">
        <v>21</v>
      </c>
      <c r="N6226" s="24" t="s">
        <v>21</v>
      </c>
      <c r="O6226" s="24" t="s">
        <v>21</v>
      </c>
      <c r="P6226" s="24" t="s">
        <v>21</v>
      </c>
      <c r="Q6226" s="24" t="s">
        <v>21</v>
      </c>
      <c r="R6226" s="24" t="s">
        <v>21</v>
      </c>
      <c r="S6226" s="24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5">
        <v>1</v>
      </c>
      <c r="E6227" s="5">
        <v>3</v>
      </c>
      <c r="F6227" s="5" t="s">
        <v>8</v>
      </c>
      <c r="G6227" s="15" t="s">
        <v>9</v>
      </c>
      <c r="H6227" s="24">
        <v>0</v>
      </c>
      <c r="I6227" s="24">
        <v>0</v>
      </c>
      <c r="J6227" s="24" t="s">
        <v>21</v>
      </c>
      <c r="K6227" s="24" t="s">
        <v>21</v>
      </c>
      <c r="L6227" s="24" t="s">
        <v>21</v>
      </c>
      <c r="M6227" s="24" t="s">
        <v>21</v>
      </c>
      <c r="N6227" s="24" t="s">
        <v>21</v>
      </c>
      <c r="O6227" s="24" t="s">
        <v>21</v>
      </c>
      <c r="P6227" s="24" t="s">
        <v>21</v>
      </c>
      <c r="Q6227" s="24" t="s">
        <v>21</v>
      </c>
      <c r="R6227" s="24" t="s">
        <v>21</v>
      </c>
      <c r="S6227" s="24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5">
        <v>2</v>
      </c>
      <c r="E6228" s="5">
        <v>2</v>
      </c>
      <c r="F6228" s="5" t="s">
        <v>8</v>
      </c>
      <c r="G6228" s="15" t="s">
        <v>9</v>
      </c>
      <c r="H6228" s="24">
        <v>1.000000003259629</v>
      </c>
      <c r="I6228" s="24">
        <v>1.000000003259629</v>
      </c>
      <c r="J6228" s="24" t="s">
        <v>21</v>
      </c>
      <c r="K6228" s="24" t="s">
        <v>21</v>
      </c>
      <c r="L6228" s="24" t="s">
        <v>21</v>
      </c>
      <c r="M6228" s="24" t="s">
        <v>21</v>
      </c>
      <c r="N6228" s="24" t="s">
        <v>21</v>
      </c>
      <c r="O6228" s="24" t="s">
        <v>21</v>
      </c>
      <c r="P6228" s="24" t="s">
        <v>21</v>
      </c>
      <c r="Q6228" s="24" t="s">
        <v>21</v>
      </c>
      <c r="R6228" s="24" t="s">
        <v>21</v>
      </c>
      <c r="S6228" s="24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5">
        <v>2</v>
      </c>
      <c r="E6229" s="5">
        <v>1</v>
      </c>
      <c r="F6229" s="5" t="s">
        <v>8</v>
      </c>
      <c r="G6229" s="15" t="s">
        <v>9</v>
      </c>
      <c r="H6229" s="24">
        <v>0</v>
      </c>
      <c r="I6229" s="24">
        <v>0</v>
      </c>
      <c r="J6229" s="24" t="s">
        <v>21</v>
      </c>
      <c r="K6229" s="24" t="s">
        <v>21</v>
      </c>
      <c r="L6229" s="24" t="s">
        <v>21</v>
      </c>
      <c r="M6229" s="24" t="s">
        <v>21</v>
      </c>
      <c r="N6229" s="24" t="s">
        <v>21</v>
      </c>
      <c r="O6229" s="24" t="s">
        <v>21</v>
      </c>
      <c r="P6229" s="24" t="s">
        <v>21</v>
      </c>
      <c r="Q6229" s="24" t="s">
        <v>21</v>
      </c>
      <c r="R6229" s="24" t="s">
        <v>21</v>
      </c>
      <c r="S6229" s="24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5">
        <v>3</v>
      </c>
      <c r="E6230" s="5">
        <v>0</v>
      </c>
      <c r="F6230" s="5" t="s">
        <v>8</v>
      </c>
      <c r="G6230" s="15" t="s">
        <v>9</v>
      </c>
      <c r="H6230" s="24">
        <v>1.000000003259629</v>
      </c>
      <c r="I6230" s="24">
        <v>1.000000003259629</v>
      </c>
      <c r="J6230" s="24" t="s">
        <v>21</v>
      </c>
      <c r="K6230" s="24" t="s">
        <v>21</v>
      </c>
      <c r="L6230" s="24" t="s">
        <v>21</v>
      </c>
      <c r="M6230" s="24" t="s">
        <v>21</v>
      </c>
      <c r="N6230" s="24" t="s">
        <v>21</v>
      </c>
      <c r="O6230" s="24" t="s">
        <v>21</v>
      </c>
      <c r="P6230" s="24" t="s">
        <v>21</v>
      </c>
      <c r="Q6230" s="24" t="s">
        <v>21</v>
      </c>
      <c r="R6230" s="24" t="s">
        <v>21</v>
      </c>
      <c r="S6230" s="24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5">
        <v>3</v>
      </c>
      <c r="E6231" s="5">
        <v>0</v>
      </c>
      <c r="F6231" s="5" t="s">
        <v>8</v>
      </c>
      <c r="G6231" s="15" t="s">
        <v>9</v>
      </c>
      <c r="H6231" s="24">
        <v>0</v>
      </c>
      <c r="I6231" s="24">
        <v>0</v>
      </c>
      <c r="J6231" s="24" t="s">
        <v>21</v>
      </c>
      <c r="K6231" s="24" t="s">
        <v>21</v>
      </c>
      <c r="L6231" s="24" t="s">
        <v>21</v>
      </c>
      <c r="M6231" s="24" t="s">
        <v>21</v>
      </c>
      <c r="N6231" s="24" t="s">
        <v>21</v>
      </c>
      <c r="O6231" s="24" t="s">
        <v>21</v>
      </c>
      <c r="P6231" s="24" t="s">
        <v>21</v>
      </c>
      <c r="Q6231" s="24" t="s">
        <v>21</v>
      </c>
      <c r="R6231" s="24" t="s">
        <v>21</v>
      </c>
      <c r="S6231" s="24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5">
        <v>1</v>
      </c>
      <c r="E6232" s="5">
        <v>0</v>
      </c>
      <c r="F6232" s="5" t="s">
        <v>8</v>
      </c>
      <c r="G6232" s="15" t="s">
        <v>9</v>
      </c>
      <c r="H6232" s="24">
        <v>0.99999999278225005</v>
      </c>
      <c r="I6232" s="24">
        <v>0.99999999278225005</v>
      </c>
      <c r="J6232" s="24" t="s">
        <v>21</v>
      </c>
      <c r="K6232" s="24" t="s">
        <v>21</v>
      </c>
      <c r="L6232" s="24" t="s">
        <v>21</v>
      </c>
      <c r="M6232" s="24" t="s">
        <v>21</v>
      </c>
      <c r="N6232" s="24" t="s">
        <v>21</v>
      </c>
      <c r="O6232" s="24" t="s">
        <v>21</v>
      </c>
      <c r="P6232" s="24" t="s">
        <v>21</v>
      </c>
      <c r="Q6232" s="24" t="s">
        <v>21</v>
      </c>
      <c r="R6232" s="24" t="s">
        <v>21</v>
      </c>
      <c r="S6232" s="24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5">
        <v>2</v>
      </c>
      <c r="E6233" s="5">
        <v>0</v>
      </c>
      <c r="F6233" s="5" t="s">
        <v>8</v>
      </c>
      <c r="G6233" s="15" t="s">
        <v>9</v>
      </c>
      <c r="H6233" s="24">
        <v>0</v>
      </c>
      <c r="I6233" s="24">
        <v>0</v>
      </c>
      <c r="J6233" s="24" t="s">
        <v>21</v>
      </c>
      <c r="K6233" s="24" t="s">
        <v>21</v>
      </c>
      <c r="L6233" s="24" t="s">
        <v>21</v>
      </c>
      <c r="M6233" s="24" t="s">
        <v>21</v>
      </c>
      <c r="N6233" s="24" t="s">
        <v>21</v>
      </c>
      <c r="O6233" s="24" t="s">
        <v>21</v>
      </c>
      <c r="P6233" s="24" t="s">
        <v>21</v>
      </c>
      <c r="Q6233" s="24" t="s">
        <v>21</v>
      </c>
      <c r="R6233" s="24" t="s">
        <v>21</v>
      </c>
      <c r="S6233" s="24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5">
        <v>0</v>
      </c>
      <c r="E6234" s="5">
        <v>1</v>
      </c>
      <c r="F6234" s="5" t="s">
        <v>8</v>
      </c>
      <c r="G6234" s="15" t="s">
        <v>9</v>
      </c>
      <c r="H6234" s="24">
        <v>0</v>
      </c>
      <c r="I6234" s="24">
        <v>0</v>
      </c>
      <c r="J6234" s="24" t="s">
        <v>21</v>
      </c>
      <c r="K6234" s="24" t="s">
        <v>21</v>
      </c>
      <c r="L6234" s="24" t="s">
        <v>21</v>
      </c>
      <c r="M6234" s="24" t="s">
        <v>21</v>
      </c>
      <c r="N6234" s="24" t="s">
        <v>21</v>
      </c>
      <c r="O6234" s="24" t="s">
        <v>21</v>
      </c>
      <c r="P6234" s="24" t="s">
        <v>21</v>
      </c>
      <c r="Q6234" s="24" t="s">
        <v>21</v>
      </c>
      <c r="R6234" s="24" t="s">
        <v>21</v>
      </c>
      <c r="S6234" s="24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5">
        <v>0</v>
      </c>
      <c r="E6235" s="5">
        <v>13</v>
      </c>
      <c r="F6235" s="5" t="s">
        <v>8</v>
      </c>
      <c r="G6235" s="15" t="s">
        <v>9</v>
      </c>
      <c r="H6235" s="24">
        <v>1.000000003259629</v>
      </c>
      <c r="I6235" s="24">
        <v>1.000000003259629</v>
      </c>
      <c r="J6235" s="24" t="s">
        <v>21</v>
      </c>
      <c r="K6235" s="24" t="s">
        <v>21</v>
      </c>
      <c r="L6235" s="24" t="s">
        <v>21</v>
      </c>
      <c r="M6235" s="24" t="s">
        <v>21</v>
      </c>
      <c r="N6235" s="24" t="s">
        <v>21</v>
      </c>
      <c r="O6235" s="24" t="s">
        <v>21</v>
      </c>
      <c r="P6235" s="24" t="s">
        <v>21</v>
      </c>
      <c r="Q6235" s="24" t="s">
        <v>21</v>
      </c>
      <c r="R6235" s="24" t="s">
        <v>21</v>
      </c>
      <c r="S6235" s="24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5">
        <v>0</v>
      </c>
      <c r="E6236" s="5">
        <v>5</v>
      </c>
      <c r="F6236" s="5" t="s">
        <v>8</v>
      </c>
      <c r="G6236" s="15" t="s">
        <v>9</v>
      </c>
      <c r="H6236" s="24">
        <v>0</v>
      </c>
      <c r="I6236" s="24">
        <v>0</v>
      </c>
      <c r="J6236" s="24" t="s">
        <v>21</v>
      </c>
      <c r="K6236" s="24" t="s">
        <v>21</v>
      </c>
      <c r="L6236" s="24" t="s">
        <v>21</v>
      </c>
      <c r="M6236" s="24" t="s">
        <v>21</v>
      </c>
      <c r="N6236" s="24" t="s">
        <v>21</v>
      </c>
      <c r="O6236" s="24" t="s">
        <v>21</v>
      </c>
      <c r="P6236" s="24" t="s">
        <v>21</v>
      </c>
      <c r="Q6236" s="24" t="s">
        <v>21</v>
      </c>
      <c r="R6236" s="24" t="s">
        <v>21</v>
      </c>
      <c r="S6236" s="24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5">
        <v>0</v>
      </c>
      <c r="E6237" s="5">
        <v>3</v>
      </c>
      <c r="F6237" s="5" t="s">
        <v>8</v>
      </c>
      <c r="G6237" s="15" t="s">
        <v>9</v>
      </c>
      <c r="H6237" s="24">
        <v>1.000000003259629</v>
      </c>
      <c r="I6237" s="24">
        <v>1.000000003259629</v>
      </c>
      <c r="J6237" s="24" t="s">
        <v>21</v>
      </c>
      <c r="K6237" s="24" t="s">
        <v>21</v>
      </c>
      <c r="L6237" s="24" t="s">
        <v>21</v>
      </c>
      <c r="M6237" s="24" t="s">
        <v>21</v>
      </c>
      <c r="N6237" s="24" t="s">
        <v>21</v>
      </c>
      <c r="O6237" s="24" t="s">
        <v>21</v>
      </c>
      <c r="P6237" s="24" t="s">
        <v>21</v>
      </c>
      <c r="Q6237" s="24" t="s">
        <v>21</v>
      </c>
      <c r="R6237" s="24" t="s">
        <v>21</v>
      </c>
      <c r="S6237" s="24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5">
        <v>0</v>
      </c>
      <c r="E6238" s="5">
        <v>1</v>
      </c>
      <c r="F6238" s="5" t="s">
        <v>8</v>
      </c>
      <c r="G6238" s="15" t="s">
        <v>9</v>
      </c>
      <c r="H6238" s="24">
        <v>0</v>
      </c>
      <c r="I6238" s="24">
        <v>0</v>
      </c>
      <c r="J6238" s="24" t="s">
        <v>21</v>
      </c>
      <c r="K6238" s="24" t="s">
        <v>21</v>
      </c>
      <c r="L6238" s="24" t="s">
        <v>21</v>
      </c>
      <c r="M6238" s="24" t="s">
        <v>21</v>
      </c>
      <c r="N6238" s="24" t="s">
        <v>21</v>
      </c>
      <c r="O6238" s="24" t="s">
        <v>21</v>
      </c>
      <c r="P6238" s="24" t="s">
        <v>21</v>
      </c>
      <c r="Q6238" s="24" t="s">
        <v>21</v>
      </c>
      <c r="R6238" s="24" t="s">
        <v>21</v>
      </c>
      <c r="S6238" s="24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5">
        <v>0</v>
      </c>
      <c r="E6239" s="5">
        <v>1</v>
      </c>
      <c r="F6239" s="5" t="s">
        <v>8</v>
      </c>
      <c r="G6239" s="15" t="s">
        <v>9</v>
      </c>
      <c r="H6239" s="24">
        <v>1.000000003259629</v>
      </c>
      <c r="I6239" s="24">
        <v>1.000000003259629</v>
      </c>
      <c r="J6239" s="24" t="s">
        <v>21</v>
      </c>
      <c r="K6239" s="24" t="s">
        <v>21</v>
      </c>
      <c r="L6239" s="24" t="s">
        <v>21</v>
      </c>
      <c r="M6239" s="24" t="s">
        <v>21</v>
      </c>
      <c r="N6239" s="24" t="s">
        <v>21</v>
      </c>
      <c r="O6239" s="24" t="s">
        <v>21</v>
      </c>
      <c r="P6239" s="24" t="s">
        <v>21</v>
      </c>
      <c r="Q6239" s="24" t="s">
        <v>21</v>
      </c>
      <c r="R6239" s="24" t="s">
        <v>21</v>
      </c>
      <c r="S6239" s="24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5">
        <v>0</v>
      </c>
      <c r="E6240" s="5">
        <v>3</v>
      </c>
      <c r="F6240" s="5" t="s">
        <v>8</v>
      </c>
      <c r="G6240" s="15" t="s">
        <v>9</v>
      </c>
      <c r="H6240" s="24">
        <v>0.99999999278225005</v>
      </c>
      <c r="I6240" s="24">
        <v>0.99999999278225005</v>
      </c>
      <c r="J6240" s="24" t="s">
        <v>21</v>
      </c>
      <c r="K6240" s="24" t="s">
        <v>21</v>
      </c>
      <c r="L6240" s="24" t="s">
        <v>21</v>
      </c>
      <c r="M6240" s="24" t="s">
        <v>21</v>
      </c>
      <c r="N6240" s="24" t="s">
        <v>21</v>
      </c>
      <c r="O6240" s="24" t="s">
        <v>21</v>
      </c>
      <c r="P6240" s="24" t="s">
        <v>21</v>
      </c>
      <c r="Q6240" s="24" t="s">
        <v>21</v>
      </c>
      <c r="R6240" s="24" t="s">
        <v>21</v>
      </c>
      <c r="S6240" s="24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7">
        <v>0</v>
      </c>
      <c r="E6241" s="7">
        <v>2</v>
      </c>
      <c r="F6241" s="7" t="s">
        <v>8</v>
      </c>
      <c r="G6241" s="16" t="s">
        <v>9</v>
      </c>
      <c r="H6241" s="25">
        <v>1.000000003259629</v>
      </c>
      <c r="I6241" s="25">
        <v>1.000000003259629</v>
      </c>
      <c r="J6241" s="25" t="s">
        <v>21</v>
      </c>
      <c r="K6241" s="25" t="s">
        <v>21</v>
      </c>
      <c r="L6241" s="25" t="s">
        <v>21</v>
      </c>
      <c r="M6241" s="25" t="s">
        <v>21</v>
      </c>
      <c r="N6241" s="25" t="s">
        <v>21</v>
      </c>
      <c r="O6241" s="25" t="s">
        <v>21</v>
      </c>
      <c r="P6241" s="25" t="s">
        <v>21</v>
      </c>
      <c r="Q6241" s="25" t="s">
        <v>21</v>
      </c>
      <c r="R6241" s="25" t="s">
        <v>21</v>
      </c>
      <c r="S6241" s="25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5">
        <v>0</v>
      </c>
      <c r="E6242" s="5">
        <v>1</v>
      </c>
      <c r="F6242" s="5" t="s">
        <v>8</v>
      </c>
      <c r="G6242" s="15" t="s">
        <v>9</v>
      </c>
      <c r="H6242" s="24">
        <f t="shared" ref="H6242:H6297" si="1129">IFERROR((($A6242+$C6242) - ($A6241+$C6241))*24*60, "")</f>
        <v>783.99999999906868</v>
      </c>
      <c r="I6242" s="24" cm="1">
        <f t="array" ref="I6242">IFERROR(IF($B6242=I$1, ($A6242+$C6242) - MAX(IF($B$2:$B6241=$B6242, $A$2:$A6241+$C$2:$C6241)), "")*24*60, "")</f>
        <v>783.99999999906868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5">
        <v>0</v>
      </c>
      <c r="E6243" s="5">
        <v>3</v>
      </c>
      <c r="F6243" s="5" t="s">
        <v>8</v>
      </c>
      <c r="G6243" s="15" t="s">
        <v>9</v>
      </c>
      <c r="H6243" s="24">
        <f t="shared" si="112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5">
        <v>2</v>
      </c>
      <c r="E6244" s="5">
        <v>0</v>
      </c>
      <c r="F6244" s="5" t="s">
        <v>8</v>
      </c>
      <c r="G6244" s="15" t="s">
        <v>9</v>
      </c>
      <c r="H6244" s="24">
        <f t="shared" si="1129"/>
        <v>1.000000003259629</v>
      </c>
      <c r="I6244" s="24" cm="1">
        <f t="array" ref="I6244">IFERROR(IF($B6244=I$1, ($A6244+$C6244) - MAX(IF($B$2:$B6243=$B6244, $A$2:$A6243+$C$2:$C6243)), "")*24*60, "")</f>
        <v>1.000000003259629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5">
        <v>0</v>
      </c>
      <c r="E6245" s="5">
        <v>0</v>
      </c>
      <c r="F6245" s="5" t="s">
        <v>8</v>
      </c>
      <c r="G6245" s="15" t="s">
        <v>9</v>
      </c>
      <c r="H6245" s="24">
        <f t="shared" si="1129"/>
        <v>143.99999999790452</v>
      </c>
      <c r="I6245" s="24" t="str" cm="1">
        <f t="array" ref="I6245">IFERROR(IF($B6245=I$1, ($A6245+$C6245) - MAX(IF($B$2:$B6244=$B6245, $A$2:$A6244+$C$2:$C6244)), "")*24*60, "")</f>
        <v/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cm="1">
        <f t="array" ref="O6245">IFERROR(IF($B6245=O$1, ($A6245+$C6245) - MAX(IF($B$2:$B6244=$B6245, $A$2:$A6244+$C$2:$C6244)), "")*24*60, "")</f>
        <v>963.99999999906868</v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5">
        <v>4</v>
      </c>
      <c r="E6246" s="5">
        <v>0</v>
      </c>
      <c r="F6246" s="5" t="s">
        <v>8</v>
      </c>
      <c r="G6246" s="15" t="s">
        <v>9</v>
      </c>
      <c r="H6246" s="24">
        <f t="shared" si="1129"/>
        <v>0</v>
      </c>
      <c r="I6246" s="24" t="str" cm="1">
        <f t="array" ref="I6246">IFERROR(IF($B6246=I$1, ($A6246+$C6246) - MAX(IF($B$2:$B6245=$B6246, $A$2:$A6245+$C$2:$C6245)), "")*24*60, "")</f>
        <v/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cm="1">
        <f t="array" ref="O6246">IFERROR(IF($B6246=O$1, ($A6246+$C6246) - MAX(IF($B$2:$B6245=$B6246, $A$2:$A6245+$C$2:$C6245)), "")*24*60, "")</f>
        <v>0</v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5">
        <v>15</v>
      </c>
      <c r="E6247" s="5">
        <v>0</v>
      </c>
      <c r="F6247" s="5" t="s">
        <v>8</v>
      </c>
      <c r="G6247" s="15" t="s">
        <v>9</v>
      </c>
      <c r="H6247" s="24">
        <f t="shared" si="1129"/>
        <v>1.000000003259629</v>
      </c>
      <c r="I6247" s="24" t="str" cm="1">
        <f t="array" ref="I6247">IFERROR(IF($B6247=I$1, ($A6247+$C6247) - MAX(IF($B$2:$B6246=$B6247, $A$2:$A6246+$C$2:$C6246)), "")*24*60, "")</f>
        <v/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cm="1">
        <f t="array" ref="O6247">IFERROR(IF($B6247=O$1, ($A6247+$C6247) - MAX(IF($B$2:$B6246=$B6247, $A$2:$A6246+$C$2:$C6246)), "")*24*60, "")</f>
        <v>1.000000003259629</v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5">
        <v>5</v>
      </c>
      <c r="E6248" s="5">
        <v>0</v>
      </c>
      <c r="F6248" s="5" t="s">
        <v>8</v>
      </c>
      <c r="G6248" s="15" t="s">
        <v>9</v>
      </c>
      <c r="H6248" s="24">
        <f t="shared" si="1129"/>
        <v>0</v>
      </c>
      <c r="I6248" s="24" t="str" cm="1">
        <f t="array" ref="I6248">IFERROR(IF($B6248=I$1, ($A6248+$C6248) - MAX(IF($B$2:$B6247=$B6248, $A$2:$A6247+$C$2:$C6247)), "")*24*60, "")</f>
        <v/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cm="1">
        <f t="array" ref="O6248">IFERROR(IF($B6248=O$1, ($A6248+$C6248) - MAX(IF($B$2:$B6247=$B6248, $A$2:$A6247+$C$2:$C6247)), "")*24*60, "")</f>
        <v>0</v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5">
        <v>5</v>
      </c>
      <c r="E6249" s="5">
        <v>1</v>
      </c>
      <c r="F6249" s="5" t="s">
        <v>8</v>
      </c>
      <c r="G6249" s="15" t="s">
        <v>9</v>
      </c>
      <c r="H6249" s="24">
        <f t="shared" si="1129"/>
        <v>0.99999999278225005</v>
      </c>
      <c r="I6249" s="24" t="str" cm="1">
        <f t="array" ref="I6249">IFERROR(IF($B6249=I$1, ($A6249+$C6249) - MAX(IF($B$2:$B6248=$B6249, $A$2:$A6248+$C$2:$C6248)), "")*24*60, "")</f>
        <v/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cm="1">
        <f t="array" ref="O6249">IFERROR(IF($B6249=O$1, ($A6249+$C6249) - MAX(IF($B$2:$B6248=$B6249, $A$2:$A6248+$C$2:$C6248)), "")*24*60, "")</f>
        <v>0.99999999278225005</v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5">
        <v>11</v>
      </c>
      <c r="E6250" s="5">
        <v>3</v>
      </c>
      <c r="F6250" s="5" t="s">
        <v>8</v>
      </c>
      <c r="G6250" s="15" t="s">
        <v>9</v>
      </c>
      <c r="H6250" s="24">
        <f t="shared" si="1129"/>
        <v>0</v>
      </c>
      <c r="I6250" s="24" t="str" cm="1">
        <f t="array" ref="I6250">IFERROR(IF($B6250=I$1, ($A6250+$C6250) - MAX(IF($B$2:$B6249=$B6250, $A$2:$A6249+$C$2:$C6249)), "")*24*60, "")</f>
        <v/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cm="1">
        <f t="array" ref="O6250">IFERROR(IF($B6250=O$1, ($A6250+$C6250) - MAX(IF($B$2:$B6249=$B6250, $A$2:$A6249+$C$2:$C6249)), "")*24*60, "")</f>
        <v>0</v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5">
        <v>2</v>
      </c>
      <c r="E6251" s="5">
        <v>8</v>
      </c>
      <c r="F6251" s="5" t="s">
        <v>8</v>
      </c>
      <c r="G6251" s="15" t="s">
        <v>9</v>
      </c>
      <c r="H6251" s="24">
        <f t="shared" si="1129"/>
        <v>1.000000003259629</v>
      </c>
      <c r="I6251" s="24" t="str" cm="1">
        <f t="array" ref="I6251">IFERROR(IF($B6251=I$1, ($A6251+$C6251) - MAX(IF($B$2:$B6250=$B6251, $A$2:$A6250+$C$2:$C6250)), "")*24*60, "")</f>
        <v/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cm="1">
        <f t="array" ref="O6251">IFERROR(IF($B6251=O$1, ($A6251+$C6251) - MAX(IF($B$2:$B6250=$B6251, $A$2:$A6250+$C$2:$C6250)), "")*24*60, "")</f>
        <v>1.000000003259629</v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5">
        <v>1</v>
      </c>
      <c r="E6252" s="5">
        <v>0</v>
      </c>
      <c r="F6252" s="5" t="s">
        <v>8</v>
      </c>
      <c r="G6252" s="15" t="s">
        <v>9</v>
      </c>
      <c r="H6252" s="24">
        <f t="shared" si="1129"/>
        <v>0</v>
      </c>
      <c r="I6252" s="24" t="str" cm="1">
        <f t="array" ref="I6252">IFERROR(IF($B6252=I$1, ($A6252+$C6252) - MAX(IF($B$2:$B6251=$B6252, $A$2:$A6251+$C$2:$C6251)), "")*24*60, "")</f>
        <v/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cm="1">
        <f t="array" ref="O6252">IFERROR(IF($B6252=O$1, ($A6252+$C6252) - MAX(IF($B$2:$B6251=$B6252, $A$2:$A6251+$C$2:$C6251)), "")*24*60, "")</f>
        <v>0</v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5">
        <v>0</v>
      </c>
      <c r="E6253" s="5">
        <v>1</v>
      </c>
      <c r="F6253" s="5" t="s">
        <v>8</v>
      </c>
      <c r="G6253" s="15" t="s">
        <v>9</v>
      </c>
      <c r="H6253" s="24">
        <f t="shared" si="1129"/>
        <v>1.000000003259629</v>
      </c>
      <c r="I6253" s="24" t="str" cm="1">
        <f t="array" ref="I6253">IFERROR(IF($B6253=I$1, ($A6253+$C6253) - MAX(IF($B$2:$B6252=$B6253, $A$2:$A6252+$C$2:$C6252)), "")*24*60, "")</f>
        <v/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cm="1">
        <f t="array" ref="O6253">IFERROR(IF($B6253=O$1, ($A6253+$C6253) - MAX(IF($B$2:$B6252=$B6253, $A$2:$A6252+$C$2:$C6252)), "")*24*60, "")</f>
        <v>1.000000003259629</v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5">
        <v>0</v>
      </c>
      <c r="E6254" s="5">
        <v>21</v>
      </c>
      <c r="F6254" s="5" t="s">
        <v>8</v>
      </c>
      <c r="G6254" s="15" t="s">
        <v>9</v>
      </c>
      <c r="H6254" s="24">
        <f t="shared" si="1129"/>
        <v>0.99999999278225005</v>
      </c>
      <c r="I6254" s="24" t="str" cm="1">
        <f t="array" ref="I6254">IFERROR(IF($B6254=I$1, ($A6254+$C6254) - MAX(IF($B$2:$B6253=$B6254, $A$2:$A6253+$C$2:$C6253)), "")*24*60, "")</f>
        <v/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cm="1">
        <f t="array" ref="O6254">IFERROR(IF($B6254=O$1, ($A6254+$C6254) - MAX(IF($B$2:$B6253=$B6254, $A$2:$A6253+$C$2:$C6253)), "")*24*60, "")</f>
        <v>0.99999999278225005</v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5">
        <v>0</v>
      </c>
      <c r="E6255" s="5">
        <v>16</v>
      </c>
      <c r="F6255" s="5" t="s">
        <v>8</v>
      </c>
      <c r="G6255" s="15" t="s">
        <v>9</v>
      </c>
      <c r="H6255" s="24">
        <f t="shared" si="1129"/>
        <v>0</v>
      </c>
      <c r="I6255" s="24" t="str" cm="1">
        <f t="array" ref="I6255">IFERROR(IF($B6255=I$1, ($A6255+$C6255) - MAX(IF($B$2:$B6254=$B6255, $A$2:$A6254+$C$2:$C6254)), "")*24*60, "")</f>
        <v/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cm="1">
        <f t="array" ref="O6255">IFERROR(IF($B6255=O$1, ($A6255+$C6255) - MAX(IF($B$2:$B6254=$B6255, $A$2:$A6254+$C$2:$C6254)), "")*24*60, "")</f>
        <v>0</v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5">
        <v>0</v>
      </c>
      <c r="E6256" s="5">
        <v>15</v>
      </c>
      <c r="F6256" s="5" t="s">
        <v>8</v>
      </c>
      <c r="G6256" s="15" t="s">
        <v>9</v>
      </c>
      <c r="H6256" s="24">
        <f t="shared" si="1129"/>
        <v>1.000000003259629</v>
      </c>
      <c r="I6256" s="24" t="str" cm="1">
        <f t="array" ref="I6256">IFERROR(IF($B6256=I$1, ($A6256+$C6256) - MAX(IF($B$2:$B6255=$B6256, $A$2:$A6255+$C$2:$C6255)), "")*24*60, "")</f>
        <v/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cm="1">
        <f t="array" ref="O6256">IFERROR(IF($B6256=O$1, ($A6256+$C6256) - MAX(IF($B$2:$B6255=$B6256, $A$2:$A6255+$C$2:$C6255)), "")*24*60, "")</f>
        <v>1.000000003259629</v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5">
        <v>0</v>
      </c>
      <c r="E6257" s="5">
        <v>17</v>
      </c>
      <c r="F6257" s="5" t="s">
        <v>8</v>
      </c>
      <c r="G6257" s="15" t="s">
        <v>9</v>
      </c>
      <c r="H6257" s="24">
        <f t="shared" si="1129"/>
        <v>0</v>
      </c>
      <c r="I6257" s="24" t="str" cm="1">
        <f t="array" ref="I6257">IFERROR(IF($B6257=I$1, ($A6257+$C6257) - MAX(IF($B$2:$B6256=$B6257, $A$2:$A6256+$C$2:$C6256)), "")*24*60, "")</f>
        <v/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cm="1">
        <f t="array" ref="O6257">IFERROR(IF($B6257=O$1, ($A6257+$C6257) - MAX(IF($B$2:$B6256=$B6257, $A$2:$A6256+$C$2:$C6256)), "")*24*60, "")</f>
        <v>0</v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5">
        <v>0</v>
      </c>
      <c r="E6258" s="5">
        <v>26</v>
      </c>
      <c r="F6258" s="5" t="s">
        <v>8</v>
      </c>
      <c r="G6258" s="15" t="s">
        <v>9</v>
      </c>
      <c r="H6258" s="24">
        <f t="shared" si="1129"/>
        <v>1.000000003259629</v>
      </c>
      <c r="I6258" s="24" t="str" cm="1">
        <f t="array" ref="I6258">IFERROR(IF($B6258=I$1, ($A6258+$C6258) - MAX(IF($B$2:$B6257=$B6258, $A$2:$A6257+$C$2:$C6257)), "")*24*60, "")</f>
        <v/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cm="1">
        <f t="array" ref="O6258">IFERROR(IF($B6258=O$1, ($A6258+$C6258) - MAX(IF($B$2:$B6257=$B6258, $A$2:$A6257+$C$2:$C6257)), "")*24*60, "")</f>
        <v>1.000000003259629</v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5">
        <v>0</v>
      </c>
      <c r="E6259" s="5">
        <v>19</v>
      </c>
      <c r="F6259" s="5" t="s">
        <v>8</v>
      </c>
      <c r="G6259" s="15" t="s">
        <v>9</v>
      </c>
      <c r="H6259" s="24">
        <f t="shared" si="1129"/>
        <v>0</v>
      </c>
      <c r="I6259" s="24" t="str" cm="1">
        <f t="array" ref="I6259">IFERROR(IF($B6259=I$1, ($A6259+$C6259) - MAX(IF($B$2:$B6258=$B6259, $A$2:$A6258+$C$2:$C6258)), "")*24*60, "")</f>
        <v/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cm="1">
        <f t="array" ref="O6259">IFERROR(IF($B6259=O$1, ($A6259+$C6259) - MAX(IF($B$2:$B6258=$B6259, $A$2:$A6258+$C$2:$C6258)), "")*24*60, "")</f>
        <v>0</v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5">
        <v>0</v>
      </c>
      <c r="E6260" s="5">
        <v>0</v>
      </c>
      <c r="F6260" s="5" t="s">
        <v>8</v>
      </c>
      <c r="G6260" s="15" t="s">
        <v>9</v>
      </c>
      <c r="H6260" s="24">
        <f t="shared" si="1129"/>
        <v>0.99999999278225005</v>
      </c>
      <c r="I6260" s="24" t="str" cm="1">
        <f t="array" ref="I6260">IFERROR(IF($B6260=I$1, ($A6260+$C6260) - MAX(IF($B$2:$B6259=$B6260, $A$2:$A6259+$C$2:$C6259)), "")*24*60, "")</f>
        <v/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cm="1">
        <f t="array" ref="O6260">IFERROR(IF($B6260=O$1, ($A6260+$C6260) - MAX(IF($B$2:$B6259=$B6260, $A$2:$A6259+$C$2:$C6259)), "")*24*60, "")</f>
        <v>0.99999999278225005</v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5">
        <v>0</v>
      </c>
      <c r="E6261" s="5">
        <v>0</v>
      </c>
      <c r="F6261" s="5" t="s">
        <v>8</v>
      </c>
      <c r="G6261" s="15" t="s">
        <v>9</v>
      </c>
      <c r="H6261" s="24">
        <f t="shared" si="1129"/>
        <v>1.000000003259629</v>
      </c>
      <c r="I6261" s="24" t="str" cm="1">
        <f t="array" ref="I6261">IFERROR(IF($B6261=I$1, ($A6261+$C6261) - MAX(IF($B$2:$B6260=$B6261, $A$2:$A6260+$C$2:$C6260)), "")*24*60, "")</f>
        <v/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cm="1">
        <f t="array" ref="O6261">IFERROR(IF($B6261=O$1, ($A6261+$C6261) - MAX(IF($B$2:$B6260=$B6261, $A$2:$A6260+$C$2:$C6260)), "")*24*60, "")</f>
        <v>1.000000003259629</v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5">
        <v>0</v>
      </c>
      <c r="E6262" s="5">
        <v>0</v>
      </c>
      <c r="F6262" s="5" t="s">
        <v>8</v>
      </c>
      <c r="G6262" s="15" t="s">
        <v>9</v>
      </c>
      <c r="H6262" s="24">
        <f t="shared" si="1129"/>
        <v>1.000000003259629</v>
      </c>
      <c r="I6262" s="24" t="str" cm="1">
        <f t="array" ref="I6262">IFERROR(IF($B6262=I$1, ($A6262+$C6262) - MAX(IF($B$2:$B6261=$B6262, $A$2:$A6261+$C$2:$C6261)), "")*24*60, "")</f>
        <v/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cm="1">
        <f t="array" ref="O6262">IFERROR(IF($B6262=O$1, ($A6262+$C6262) - MAX(IF($B$2:$B6261=$B6262, $A$2:$A6261+$C$2:$C6261)), "")*24*60, "")</f>
        <v>1.000000003259629</v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5">
        <v>0</v>
      </c>
      <c r="E6263" s="5">
        <v>0</v>
      </c>
      <c r="F6263" s="5" t="s">
        <v>8</v>
      </c>
      <c r="G6263" s="15" t="s">
        <v>9</v>
      </c>
      <c r="H6263" s="24">
        <f t="shared" si="1129"/>
        <v>0.99999999278225005</v>
      </c>
      <c r="I6263" s="24" t="str" cm="1">
        <f t="array" ref="I6263">IFERROR(IF($B6263=I$1, ($A6263+$C6263) - MAX(IF($B$2:$B6262=$B6263, $A$2:$A6262+$C$2:$C6262)), "")*24*60, "")</f>
        <v/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cm="1">
        <f t="array" ref="O6263">IFERROR(IF($B6263=O$1, ($A6263+$C6263) - MAX(IF($B$2:$B6262=$B6263, $A$2:$A6262+$C$2:$C6262)), "")*24*60, "")</f>
        <v>0.99999999278225005</v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5">
        <v>0</v>
      </c>
      <c r="E6264" s="5">
        <v>0</v>
      </c>
      <c r="F6264" s="5" t="s">
        <v>8</v>
      </c>
      <c r="G6264" s="15" t="s">
        <v>9</v>
      </c>
      <c r="H6264" s="24">
        <f t="shared" si="1129"/>
        <v>0</v>
      </c>
      <c r="I6264" s="24" t="str" cm="1">
        <f t="array" ref="I6264">IFERROR(IF($B6264=I$1, ($A6264+$C6264) - MAX(IF($B$2:$B6263=$B6264, $A$2:$A6263+$C$2:$C6263)), "")*24*60, "")</f>
        <v/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cm="1">
        <f t="array" ref="O6264">IFERROR(IF($B6264=O$1, ($A6264+$C6264) - MAX(IF($B$2:$B6263=$B6264, $A$2:$A6263+$C$2:$C6263)), "")*24*60, "")</f>
        <v>0</v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5">
        <v>0</v>
      </c>
      <c r="E6265" s="5">
        <v>0</v>
      </c>
      <c r="F6265" s="5" t="s">
        <v>8</v>
      </c>
      <c r="G6265" s="15" t="s">
        <v>9</v>
      </c>
      <c r="H6265" s="24">
        <f t="shared" si="1129"/>
        <v>1.000000003259629</v>
      </c>
      <c r="I6265" s="24" t="str" cm="1">
        <f t="array" ref="I6265">IFERROR(IF($B6265=I$1, ($A6265+$C6265) - MAX(IF($B$2:$B6264=$B6265, $A$2:$A6264+$C$2:$C6264)), "")*24*60, "")</f>
        <v/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cm="1">
        <f t="array" ref="O6265">IFERROR(IF($B6265=O$1, ($A6265+$C6265) - MAX(IF($B$2:$B6264=$B6265, $A$2:$A6264+$C$2:$C6264)), "")*24*60, "")</f>
        <v>1.000000003259629</v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5">
        <v>0</v>
      </c>
      <c r="E6266" s="5">
        <v>0</v>
      </c>
      <c r="F6266" s="5" t="s">
        <v>8</v>
      </c>
      <c r="G6266" s="15" t="s">
        <v>9</v>
      </c>
      <c r="H6266" s="24">
        <f t="shared" si="1129"/>
        <v>1.000000003259629</v>
      </c>
      <c r="I6266" s="24" t="str" cm="1">
        <f t="array" ref="I6266">IFERROR(IF($B6266=I$1, ($A6266+$C6266) - MAX(IF($B$2:$B6265=$B6266, $A$2:$A6265+$C$2:$C6265)), "")*24*60, "")</f>
        <v/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cm="1">
        <f t="array" ref="O6266">IFERROR(IF($B6266=O$1, ($A6266+$C6266) - MAX(IF($B$2:$B6265=$B6266, $A$2:$A6265+$C$2:$C6265)), "")*24*60, "")</f>
        <v>1.000000003259629</v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5">
        <v>0</v>
      </c>
      <c r="E6267" s="5">
        <v>9</v>
      </c>
      <c r="F6267" s="5" t="s">
        <v>8</v>
      </c>
      <c r="G6267" s="15" t="s">
        <v>9</v>
      </c>
      <c r="H6267" s="24">
        <f t="shared" si="1129"/>
        <v>45</v>
      </c>
      <c r="I6267" s="24" t="str" cm="1">
        <f t="array" ref="I6267">IFERROR(IF($B6267=I$1, ($A6267+$C6267) - MAX(IF($B$2:$B6266=$B6267, $A$2:$A6266+$C$2:$C6266)), "")*24*60, "")</f>
        <v/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cm="1">
        <f t="array" ref="L6267">IFERROR(IF($B6267=L$1, ($A6267+$C6267) - MAX(IF($B$2:$B6266=$B6267, $A$2:$A6266+$C$2:$C6266)), "")*24*60, "")</f>
        <v>1289.0000000002328</v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5">
        <v>0</v>
      </c>
      <c r="E6268" s="5">
        <v>12</v>
      </c>
      <c r="F6268" s="5" t="s">
        <v>8</v>
      </c>
      <c r="G6268" s="15" t="s">
        <v>9</v>
      </c>
      <c r="H6268" s="24">
        <f t="shared" si="1129"/>
        <v>1.000000003259629</v>
      </c>
      <c r="I6268" s="24" t="str" cm="1">
        <f t="array" ref="I6268">IFERROR(IF($B6268=I$1, ($A6268+$C6268) - MAX(IF($B$2:$B6267=$B6268, $A$2:$A6267+$C$2:$C6267)), "")*24*60, "")</f>
        <v/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cm="1">
        <f t="array" ref="L6268">IFERROR(IF($B6268=L$1, ($A6268+$C6268) - MAX(IF($B$2:$B6267=$B6268, $A$2:$A6267+$C$2:$C6267)), "")*24*60, "")</f>
        <v>1.000000003259629</v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5">
        <v>0</v>
      </c>
      <c r="E6269" s="5">
        <v>11</v>
      </c>
      <c r="F6269" s="5" t="s">
        <v>8</v>
      </c>
      <c r="G6269" s="15" t="s">
        <v>9</v>
      </c>
      <c r="H6269" s="24">
        <f t="shared" si="1129"/>
        <v>0</v>
      </c>
      <c r="I6269" s="24" t="str" cm="1">
        <f t="array" ref="I6269">IFERROR(IF($B6269=I$1, ($A6269+$C6269) - MAX(IF($B$2:$B6268=$B6269, $A$2:$A6268+$C$2:$C6268)), "")*24*60, "")</f>
        <v/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cm="1">
        <f t="array" ref="L6269">IFERROR(IF($B6269=L$1, ($A6269+$C6269) - MAX(IF($B$2:$B6268=$B6269, $A$2:$A6268+$C$2:$C6268)), "")*24*60, "")</f>
        <v>0</v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5">
        <v>0</v>
      </c>
      <c r="E6270" s="5">
        <v>5</v>
      </c>
      <c r="F6270" s="5" t="s">
        <v>8</v>
      </c>
      <c r="G6270" s="15" t="s">
        <v>9</v>
      </c>
      <c r="H6270" s="24">
        <f t="shared" si="1129"/>
        <v>82.999999998137355</v>
      </c>
      <c r="I6270" s="24" t="str" cm="1">
        <f t="array" ref="I6270">IFERROR(IF($B6270=I$1, ($A6270+$C6270) - MAX(IF($B$2:$B6269=$B6270, $A$2:$A6269+$C$2:$C6269)), "")*24*60, "")</f>
        <v/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cm="1">
        <f t="array" ref="O6270">IFERROR(IF($B6270=O$1, ($A6270+$C6270) - MAX(IF($B$2:$B6269=$B6270, $A$2:$A6269+$C$2:$C6269)), "")*24*60, "")</f>
        <v>129.00000000139698</v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5">
        <v>0</v>
      </c>
      <c r="E6271" s="5">
        <v>8</v>
      </c>
      <c r="F6271" s="5" t="s">
        <v>8</v>
      </c>
      <c r="G6271" s="15" t="s">
        <v>9</v>
      </c>
      <c r="H6271" s="24">
        <f t="shared" si="1129"/>
        <v>0</v>
      </c>
      <c r="I6271" s="24" t="str" cm="1">
        <f t="array" ref="I6271">IFERROR(IF($B6271=I$1, ($A6271+$C6271) - MAX(IF($B$2:$B6270=$B6271, $A$2:$A6270+$C$2:$C6270)), "")*24*60, "")</f>
        <v/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cm="1">
        <f t="array" ref="O6271">IFERROR(IF($B6271=O$1, ($A6271+$C6271) - MAX(IF($B$2:$B6270=$B6271, $A$2:$A6270+$C$2:$C6270)), "")*24*60, "")</f>
        <v>0</v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5">
        <v>0</v>
      </c>
      <c r="E6272" s="5">
        <v>0</v>
      </c>
      <c r="F6272" s="5" t="s">
        <v>8</v>
      </c>
      <c r="G6272" s="15" t="s">
        <v>9</v>
      </c>
      <c r="H6272" s="24">
        <f t="shared" si="1129"/>
        <v>0.99999999278225005</v>
      </c>
      <c r="I6272" s="24" t="str" cm="1">
        <f t="array" ref="I6272">IFERROR(IF($B6272=I$1, ($A6272+$C6272) - MAX(IF($B$2:$B6271=$B6272, $A$2:$A6271+$C$2:$C6271)), "")*24*60, "")</f>
        <v/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cm="1">
        <f t="array" ref="O6272">IFERROR(IF($B6272=O$1, ($A6272+$C6272) - MAX(IF($B$2:$B6271=$B6272, $A$2:$A6271+$C$2:$C6271)), "")*24*60, "")</f>
        <v>0.99999999278225005</v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5">
        <v>0</v>
      </c>
      <c r="E6273" s="5">
        <v>20</v>
      </c>
      <c r="F6273" s="5" t="s">
        <v>8</v>
      </c>
      <c r="G6273" s="15" t="s">
        <v>9</v>
      </c>
      <c r="H6273" s="24">
        <f t="shared" si="1129"/>
        <v>0</v>
      </c>
      <c r="I6273" s="24" t="str" cm="1">
        <f t="array" ref="I6273">IFERROR(IF($B6273=I$1, ($A6273+$C6273) - MAX(IF($B$2:$B6272=$B6273, $A$2:$A6272+$C$2:$C6272)), "")*24*60, "")</f>
        <v/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cm="1">
        <f t="array" ref="O6273">IFERROR(IF($B6273=O$1, ($A6273+$C6273) - MAX(IF($B$2:$B6272=$B6273, $A$2:$A6272+$C$2:$C6272)), "")*24*60, "")</f>
        <v>0</v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5">
        <v>0</v>
      </c>
      <c r="E6274" s="5">
        <v>22</v>
      </c>
      <c r="F6274" s="5" t="s">
        <v>8</v>
      </c>
      <c r="G6274" s="15" t="s">
        <v>9</v>
      </c>
      <c r="H6274" s="24">
        <f t="shared" si="1129"/>
        <v>1.000000003259629</v>
      </c>
      <c r="I6274" s="24" t="str" cm="1">
        <f t="array" ref="I6274">IFERROR(IF($B6274=I$1, ($A6274+$C6274) - MAX(IF($B$2:$B6273=$B6274, $A$2:$A6273+$C$2:$C6273)), "")*24*60, "")</f>
        <v/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cm="1">
        <f t="array" ref="O6274">IFERROR(IF($B6274=O$1, ($A6274+$C6274) - MAX(IF($B$2:$B6273=$B6274, $A$2:$A6273+$C$2:$C6273)), "")*24*60, "")</f>
        <v>1.000000003259629</v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5">
        <v>0</v>
      </c>
      <c r="E6275" s="5">
        <v>21</v>
      </c>
      <c r="F6275" s="5" t="s">
        <v>8</v>
      </c>
      <c r="G6275" s="15" t="s">
        <v>9</v>
      </c>
      <c r="H6275" s="24">
        <f t="shared" si="1129"/>
        <v>0</v>
      </c>
      <c r="I6275" s="24" t="str" cm="1">
        <f t="array" ref="I6275">IFERROR(IF($B6275=I$1, ($A6275+$C6275) - MAX(IF($B$2:$B6274=$B6275, $A$2:$A6274+$C$2:$C6274)), "")*24*60, "")</f>
        <v/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cm="1">
        <f t="array" ref="O6275">IFERROR(IF($B6275=O$1, ($A6275+$C6275) - MAX(IF($B$2:$B6274=$B6275, $A$2:$A6274+$C$2:$C6274)), "")*24*60, "")</f>
        <v>0</v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5">
        <v>0</v>
      </c>
      <c r="E6276" s="5">
        <v>24</v>
      </c>
      <c r="F6276" s="5" t="s">
        <v>8</v>
      </c>
      <c r="G6276" s="15" t="s">
        <v>9</v>
      </c>
      <c r="H6276" s="24">
        <f t="shared" si="1129"/>
        <v>1.000000003259629</v>
      </c>
      <c r="I6276" s="24" t="str" cm="1">
        <f t="array" ref="I6276">IFERROR(IF($B6276=I$1, ($A6276+$C6276) - MAX(IF($B$2:$B6275=$B6276, $A$2:$A6275+$C$2:$C6275)), "")*24*60, "")</f>
        <v/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cm="1">
        <f t="array" ref="O6276">IFERROR(IF($B6276=O$1, ($A6276+$C6276) - MAX(IF($B$2:$B6275=$B6276, $A$2:$A6275+$C$2:$C6275)), "")*24*60, "")</f>
        <v>1.000000003259629</v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5">
        <v>0</v>
      </c>
      <c r="E6277" s="5">
        <v>18</v>
      </c>
      <c r="F6277" s="5" t="s">
        <v>8</v>
      </c>
      <c r="G6277" s="15" t="s">
        <v>9</v>
      </c>
      <c r="H6277" s="24">
        <f t="shared" si="1129"/>
        <v>0</v>
      </c>
      <c r="I6277" s="24" t="str" cm="1">
        <f t="array" ref="I6277">IFERROR(IF($B6277=I$1, ($A6277+$C6277) - MAX(IF($B$2:$B6276=$B6277, $A$2:$A6276+$C$2:$C6276)), "")*24*60, "")</f>
        <v/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cm="1">
        <f t="array" ref="O6277">IFERROR(IF($B6277=O$1, ($A6277+$C6277) - MAX(IF($B$2:$B6276=$B6277, $A$2:$A6276+$C$2:$C6276)), "")*24*60, "")</f>
        <v>0</v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5">
        <v>0</v>
      </c>
      <c r="E6278" s="5">
        <v>18</v>
      </c>
      <c r="F6278" s="5" t="s">
        <v>8</v>
      </c>
      <c r="G6278" s="15" t="s">
        <v>9</v>
      </c>
      <c r="H6278" s="24">
        <f t="shared" si="1129"/>
        <v>0.99999999278225005</v>
      </c>
      <c r="I6278" s="24" t="str" cm="1">
        <f t="array" ref="I6278">IFERROR(IF($B6278=I$1, ($A6278+$C6278) - MAX(IF($B$2:$B6277=$B6278, $A$2:$A6277+$C$2:$C6277)), "")*24*60, "")</f>
        <v/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cm="1">
        <f t="array" ref="O6278">IFERROR(IF($B6278=O$1, ($A6278+$C6278) - MAX(IF($B$2:$B6277=$B6278, $A$2:$A6277+$C$2:$C6277)), "")*24*60, "")</f>
        <v>0.99999999278225005</v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5">
        <v>3</v>
      </c>
      <c r="E6279" s="5">
        <v>15</v>
      </c>
      <c r="F6279" s="5" t="s">
        <v>8</v>
      </c>
      <c r="G6279" s="15" t="s">
        <v>9</v>
      </c>
      <c r="H6279" s="24">
        <f t="shared" si="1129"/>
        <v>0</v>
      </c>
      <c r="I6279" s="24" t="str" cm="1">
        <f t="array" ref="I6279">IFERROR(IF($B6279=I$1, ($A6279+$C6279) - MAX(IF($B$2:$B6278=$B6279, $A$2:$A6278+$C$2:$C6278)), "")*24*60, "")</f>
        <v/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cm="1">
        <f t="array" ref="O6279">IFERROR(IF($B6279=O$1, ($A6279+$C6279) - MAX(IF($B$2:$B6278=$B6279, $A$2:$A6278+$C$2:$C6278)), "")*24*60, "")</f>
        <v>0</v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5">
        <v>6</v>
      </c>
      <c r="E6280" s="5">
        <v>5</v>
      </c>
      <c r="F6280" s="5" t="s">
        <v>8</v>
      </c>
      <c r="G6280" s="15" t="s">
        <v>9</v>
      </c>
      <c r="H6280" s="24">
        <f t="shared" si="1129"/>
        <v>1.000000003259629</v>
      </c>
      <c r="I6280" s="24" t="str" cm="1">
        <f t="array" ref="I6280">IFERROR(IF($B6280=I$1, ($A6280+$C6280) - MAX(IF($B$2:$B6279=$B6280, $A$2:$A6279+$C$2:$C6279)), "")*24*60, "")</f>
        <v/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cm="1">
        <f t="array" ref="O6280">IFERROR(IF($B6280=O$1, ($A6280+$C6280) - MAX(IF($B$2:$B6279=$B6280, $A$2:$A6279+$C$2:$C6279)), "")*24*60, "")</f>
        <v>1.000000003259629</v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5">
        <v>0</v>
      </c>
      <c r="E6281" s="5">
        <v>21</v>
      </c>
      <c r="F6281" s="5" t="s">
        <v>8</v>
      </c>
      <c r="G6281" s="15" t="s">
        <v>9</v>
      </c>
      <c r="H6281" s="24">
        <f t="shared" si="1129"/>
        <v>0</v>
      </c>
      <c r="I6281" s="24" t="str" cm="1">
        <f t="array" ref="I6281">IFERROR(IF($B6281=I$1, ($A6281+$C6281) - MAX(IF($B$2:$B6280=$B6281, $A$2:$A6280+$C$2:$C6280)), "")*24*60, "")</f>
        <v/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cm="1">
        <f t="array" ref="O6281">IFERROR(IF($B6281=O$1, ($A6281+$C6281) - MAX(IF($B$2:$B6280=$B6281, $A$2:$A6280+$C$2:$C6280)), "")*24*60, "")</f>
        <v>0</v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5">
        <v>0</v>
      </c>
      <c r="E6282" s="5">
        <v>16</v>
      </c>
      <c r="F6282" s="5" t="s">
        <v>8</v>
      </c>
      <c r="G6282" s="15" t="s">
        <v>9</v>
      </c>
      <c r="H6282" s="24">
        <f t="shared" si="1129"/>
        <v>1.000000003259629</v>
      </c>
      <c r="I6282" s="24" t="str" cm="1">
        <f t="array" ref="I6282">IFERROR(IF($B6282=I$1, ($A6282+$C6282) - MAX(IF($B$2:$B6281=$B6282, $A$2:$A6281+$C$2:$C6281)), "")*24*60, "")</f>
        <v/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cm="1">
        <f t="array" ref="O6282">IFERROR(IF($B6282=O$1, ($A6282+$C6282) - MAX(IF($B$2:$B6281=$B6282, $A$2:$A6281+$C$2:$C6281)), "")*24*60, "")</f>
        <v>1.000000003259629</v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5">
        <v>0</v>
      </c>
      <c r="E6283" s="5">
        <v>30</v>
      </c>
      <c r="F6283" s="5" t="s">
        <v>8</v>
      </c>
      <c r="G6283" s="15" t="s">
        <v>9</v>
      </c>
      <c r="H6283" s="24">
        <f t="shared" si="1129"/>
        <v>1.000000003259629</v>
      </c>
      <c r="I6283" s="24" t="str" cm="1">
        <f t="array" ref="I6283">IFERROR(IF($B6283=I$1, ($A6283+$C6283) - MAX(IF($B$2:$B6282=$B6283, $A$2:$A6282+$C$2:$C6282)), "")*24*60, "")</f>
        <v/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cm="1">
        <f t="array" ref="O6283">IFERROR(IF($B6283=O$1, ($A6283+$C6283) - MAX(IF($B$2:$B6282=$B6283, $A$2:$A6282+$C$2:$C6282)), "")*24*60, "")</f>
        <v>1.000000003259629</v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5">
        <v>0</v>
      </c>
      <c r="E6284" s="5">
        <v>21</v>
      </c>
      <c r="F6284" s="5" t="s">
        <v>8</v>
      </c>
      <c r="G6284" s="15" t="s">
        <v>9</v>
      </c>
      <c r="H6284" s="24">
        <f t="shared" si="1129"/>
        <v>0</v>
      </c>
      <c r="I6284" s="24" t="str" cm="1">
        <f t="array" ref="I6284">IFERROR(IF($B6284=I$1, ($A6284+$C6284) - MAX(IF($B$2:$B6283=$B6284, $A$2:$A6283+$C$2:$C6283)), "")*24*60, "")</f>
        <v/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cm="1">
        <f t="array" ref="O6284">IFERROR(IF($B6284=O$1, ($A6284+$C6284) - MAX(IF($B$2:$B6283=$B6284, $A$2:$A6283+$C$2:$C6283)), "")*24*60, "")</f>
        <v>0</v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5">
        <v>0</v>
      </c>
      <c r="E6285" s="5">
        <v>22</v>
      </c>
      <c r="F6285" s="5" t="s">
        <v>8</v>
      </c>
      <c r="G6285" s="15" t="s">
        <v>9</v>
      </c>
      <c r="H6285" s="24">
        <f t="shared" si="1129"/>
        <v>0.99999999278225005</v>
      </c>
      <c r="I6285" s="24" t="str" cm="1">
        <f t="array" ref="I6285">IFERROR(IF($B6285=I$1, ($A6285+$C6285) - MAX(IF($B$2:$B6284=$B6285, $A$2:$A6284+$C$2:$C6284)), "")*24*60, "")</f>
        <v/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cm="1">
        <f t="array" ref="O6285">IFERROR(IF($B6285=O$1, ($A6285+$C6285) - MAX(IF($B$2:$B6284=$B6285, $A$2:$A6284+$C$2:$C6284)), "")*24*60, "")</f>
        <v>0.99999999278225005</v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5">
        <v>0</v>
      </c>
      <c r="E6286" s="5">
        <v>24</v>
      </c>
      <c r="F6286" s="5" t="s">
        <v>8</v>
      </c>
      <c r="G6286" s="15" t="s">
        <v>9</v>
      </c>
      <c r="H6286" s="24">
        <f t="shared" si="1129"/>
        <v>0</v>
      </c>
      <c r="I6286" s="24" t="str" cm="1">
        <f t="array" ref="I6286">IFERROR(IF($B6286=I$1, ($A6286+$C6286) - MAX(IF($B$2:$B6285=$B6286, $A$2:$A6285+$C$2:$C6285)), "")*24*60, "")</f>
        <v/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cm="1">
        <f t="array" ref="O6286">IFERROR(IF($B6286=O$1, ($A6286+$C6286) - MAX(IF($B$2:$B6285=$B6286, $A$2:$A6285+$C$2:$C6285)), "")*24*60, "")</f>
        <v>0</v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5">
        <v>0</v>
      </c>
      <c r="E6287" s="5">
        <v>24</v>
      </c>
      <c r="F6287" s="5" t="s">
        <v>8</v>
      </c>
      <c r="G6287" s="15" t="s">
        <v>9</v>
      </c>
      <c r="H6287" s="24">
        <f t="shared" si="1129"/>
        <v>1.000000003259629</v>
      </c>
      <c r="I6287" s="24" t="str" cm="1">
        <f t="array" ref="I6287">IFERROR(IF($B6287=I$1, ($A6287+$C6287) - MAX(IF($B$2:$B6286=$B6287, $A$2:$A6286+$C$2:$C6286)), "")*24*60, "")</f>
        <v/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cm="1">
        <f t="array" ref="O6287">IFERROR(IF($B6287=O$1, ($A6287+$C6287) - MAX(IF($B$2:$B6286=$B6287, $A$2:$A6286+$C$2:$C6286)), "")*24*60, "")</f>
        <v>1.000000003259629</v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5">
        <v>0</v>
      </c>
      <c r="E6288" s="5">
        <v>23</v>
      </c>
      <c r="F6288" s="5" t="s">
        <v>8</v>
      </c>
      <c r="G6288" s="15" t="s">
        <v>9</v>
      </c>
      <c r="H6288" s="24">
        <f t="shared" si="1129"/>
        <v>0</v>
      </c>
      <c r="I6288" s="24" t="str" cm="1">
        <f t="array" ref="I6288">IFERROR(IF($B6288=I$1, ($A6288+$C6288) - MAX(IF($B$2:$B6287=$B6288, $A$2:$A6287+$C$2:$C6287)), "")*24*60, "")</f>
        <v/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cm="1">
        <f t="array" ref="O6288">IFERROR(IF($B6288=O$1, ($A6288+$C6288) - MAX(IF($B$2:$B6287=$B6288, $A$2:$A6287+$C$2:$C6287)), "")*24*60, "")</f>
        <v>0</v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5">
        <v>0</v>
      </c>
      <c r="E6289" s="5">
        <v>25</v>
      </c>
      <c r="F6289" s="5" t="s">
        <v>8</v>
      </c>
      <c r="G6289" s="15" t="s">
        <v>9</v>
      </c>
      <c r="H6289" s="24">
        <f t="shared" si="1129"/>
        <v>1.000000003259629</v>
      </c>
      <c r="I6289" s="24" t="str" cm="1">
        <f t="array" ref="I6289">IFERROR(IF($B6289=I$1, ($A6289+$C6289) - MAX(IF($B$2:$B6288=$B6289, $A$2:$A6288+$C$2:$C6288)), "")*24*60, "")</f>
        <v/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cm="1">
        <f t="array" ref="O6289">IFERROR(IF($B6289=O$1, ($A6289+$C6289) - MAX(IF($B$2:$B6288=$B6289, $A$2:$A6288+$C$2:$C6288)), "")*24*60, "")</f>
        <v>1.000000003259629</v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5">
        <v>0</v>
      </c>
      <c r="E6290" s="5">
        <v>21</v>
      </c>
      <c r="F6290" s="5" t="s">
        <v>8</v>
      </c>
      <c r="G6290" s="15" t="s">
        <v>9</v>
      </c>
      <c r="H6290" s="24">
        <f t="shared" si="1129"/>
        <v>0</v>
      </c>
      <c r="I6290" s="24" t="str" cm="1">
        <f t="array" ref="I6290">IFERROR(IF($B6290=I$1, ($A6290+$C6290) - MAX(IF($B$2:$B6289=$B6290, $A$2:$A6289+$C$2:$C6289)), "")*24*60, "")</f>
        <v/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cm="1">
        <f t="array" ref="O6290">IFERROR(IF($B6290=O$1, ($A6290+$C6290) - MAX(IF($B$2:$B6289=$B6290, $A$2:$A6289+$C$2:$C6289)), "")*24*60, "")</f>
        <v>0</v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5">
        <v>0</v>
      </c>
      <c r="E6291" s="5">
        <v>18</v>
      </c>
      <c r="F6291" s="5" t="s">
        <v>8</v>
      </c>
      <c r="G6291" s="15" t="s">
        <v>9</v>
      </c>
      <c r="H6291" s="24">
        <f t="shared" si="1129"/>
        <v>0.99999999278225005</v>
      </c>
      <c r="I6291" s="24" t="str" cm="1">
        <f t="array" ref="I6291">IFERROR(IF($B6291=I$1, ($A6291+$C6291) - MAX(IF($B$2:$B6290=$B6291, $A$2:$A6290+$C$2:$C6290)), "")*24*60, "")</f>
        <v/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cm="1">
        <f t="array" ref="O6291">IFERROR(IF($B6291=O$1, ($A6291+$C6291) - MAX(IF($B$2:$B6290=$B6291, $A$2:$A6290+$C$2:$C6290)), "")*24*60, "")</f>
        <v>0.99999999278225005</v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5">
        <v>0</v>
      </c>
      <c r="E6292" s="5">
        <v>19</v>
      </c>
      <c r="F6292" s="5" t="s">
        <v>8</v>
      </c>
      <c r="G6292" s="15" t="s">
        <v>9</v>
      </c>
      <c r="H6292" s="24">
        <f t="shared" si="1129"/>
        <v>0</v>
      </c>
      <c r="I6292" s="24" t="str" cm="1">
        <f t="array" ref="I6292">IFERROR(IF($B6292=I$1, ($A6292+$C6292) - MAX(IF($B$2:$B6291=$B6292, $A$2:$A6291+$C$2:$C6291)), "")*24*60, "")</f>
        <v/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cm="1">
        <f t="array" ref="O6292">IFERROR(IF($B6292=O$1, ($A6292+$C6292) - MAX(IF($B$2:$B6291=$B6292, $A$2:$A6291+$C$2:$C6291)), "")*24*60, "")</f>
        <v>0</v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5">
        <v>0</v>
      </c>
      <c r="E6293" s="5">
        <v>0</v>
      </c>
      <c r="F6293" s="5" t="s">
        <v>8</v>
      </c>
      <c r="G6293" s="15" t="s">
        <v>9</v>
      </c>
      <c r="H6293" s="24">
        <f t="shared" si="1129"/>
        <v>1.000000003259629</v>
      </c>
      <c r="I6293" s="24" t="str" cm="1">
        <f t="array" ref="I6293">IFERROR(IF($B6293=I$1, ($A6293+$C6293) - MAX(IF($B$2:$B6292=$B6293, $A$2:$A6292+$C$2:$C6292)), "")*24*60, "")</f>
        <v/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cm="1">
        <f t="array" ref="O6293">IFERROR(IF($B6293=O$1, ($A6293+$C6293) - MAX(IF($B$2:$B6292=$B6293, $A$2:$A6292+$C$2:$C6292)), "")*24*60, "")</f>
        <v>1.000000003259629</v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5">
        <v>0</v>
      </c>
      <c r="E6294" s="5">
        <v>0</v>
      </c>
      <c r="F6294" s="5" t="s">
        <v>8</v>
      </c>
      <c r="G6294" s="15" t="s">
        <v>9</v>
      </c>
      <c r="H6294" s="24">
        <f t="shared" si="1129"/>
        <v>1.000000003259629</v>
      </c>
      <c r="I6294" s="24" t="str" cm="1">
        <f t="array" ref="I6294">IFERROR(IF($B6294=I$1, ($A6294+$C6294) - MAX(IF($B$2:$B6293=$B6294, $A$2:$A6293+$C$2:$C6293)), "")*24*60, "")</f>
        <v/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cm="1">
        <f t="array" ref="O6294">IFERROR(IF($B6294=O$1, ($A6294+$C6294) - MAX(IF($B$2:$B6293=$B6294, $A$2:$A6293+$C$2:$C6293)), "")*24*60, "")</f>
        <v>1.000000003259629</v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5">
        <v>0</v>
      </c>
      <c r="E6295" s="5">
        <v>0</v>
      </c>
      <c r="F6295" s="5" t="s">
        <v>8</v>
      </c>
      <c r="G6295" s="15" t="s">
        <v>9</v>
      </c>
      <c r="H6295" s="24">
        <f t="shared" si="1129"/>
        <v>0</v>
      </c>
      <c r="I6295" s="24" t="str" cm="1">
        <f t="array" ref="I6295">IFERROR(IF($B6295=I$1, ($A6295+$C6295) - MAX(IF($B$2:$B6294=$B6295, $A$2:$A6294+$C$2:$C6294)), "")*24*60, "")</f>
        <v/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cm="1">
        <f t="array" ref="O6295">IFERROR(IF($B6295=O$1, ($A6295+$C6295) - MAX(IF($B$2:$B6294=$B6295, $A$2:$A6294+$C$2:$C6294)), "")*24*60, "")</f>
        <v>0</v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5">
        <v>0</v>
      </c>
      <c r="E6296" s="5">
        <v>0</v>
      </c>
      <c r="F6296" s="5" t="s">
        <v>8</v>
      </c>
      <c r="G6296" s="15" t="s">
        <v>9</v>
      </c>
      <c r="H6296" s="24">
        <f t="shared" si="1129"/>
        <v>0.99999999278225005</v>
      </c>
      <c r="I6296" s="24" t="str" cm="1">
        <f t="array" ref="I6296">IFERROR(IF($B6296=I$1, ($A6296+$C6296) - MAX(IF($B$2:$B6295=$B6296, $A$2:$A6295+$C$2:$C6295)), "")*24*60, "")</f>
        <v/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cm="1">
        <f t="array" ref="O6296">IFERROR(IF($B6296=O$1, ($A6296+$C6296) - MAX(IF($B$2:$B6295=$B6296, $A$2:$A6295+$C$2:$C6295)), "")*24*60, "")</f>
        <v>0.99999999278225005</v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5">
        <v>2</v>
      </c>
      <c r="E6297" s="5">
        <v>4</v>
      </c>
      <c r="F6297" s="5" t="s">
        <v>8</v>
      </c>
      <c r="G6297" s="15" t="s">
        <v>9</v>
      </c>
      <c r="H6297" s="24">
        <f t="shared" si="1129"/>
        <v>53.000000005122274</v>
      </c>
      <c r="I6297" s="24" t="str" cm="1">
        <f t="array" ref="I6297">IFERROR(IF($B6297=I$1, ($A6297+$C6297) - MAX(IF($B$2:$B6296=$B6297, $A$2:$A6296+$C$2:$C6296)), "")*24*60, "")</f>
        <v/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cm="1">
        <f t="array" ref="L6297">IFERROR(IF($B6297=L$1, ($A6297+$C6297) - MAX(IF($B$2:$B6296=$B6297, $A$2:$A6296+$C$2:$C6296)), "")*24*60, "")</f>
        <v>149.99999999650754</v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5">
        <v>0</v>
      </c>
      <c r="E6298" s="5">
        <v>11</v>
      </c>
      <c r="F6298" s="5" t="s">
        <v>8</v>
      </c>
      <c r="G6298" s="15" t="s">
        <v>9</v>
      </c>
      <c r="H6298" s="24">
        <f t="shared" ref="H6298:H6361" si="1186">IFERROR((($A6298+$C6298) - ($A6297+$C6297))*24*60, "")</f>
        <v>1.000000003259629</v>
      </c>
      <c r="I6298" s="24" t="str" cm="1">
        <f t="array" ref="I6298">IFERROR(IF($B6298=I$1, ($A6298+$C6298) - MAX(IF($B$2:$B6297=$B6298, $A$2:$A6297+$C$2:$C6297)), "")*24*60, "")</f>
        <v/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cm="1">
        <f t="array" ref="L6298">IFERROR(IF($B6298=L$1, ($A6298+$C6298) - MAX(IF($B$2:$B6297=$B6298, $A$2:$A6297+$C$2:$C6297)), "")*24*60, "")</f>
        <v>1.000000003259629</v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5">
        <v>0</v>
      </c>
      <c r="E6299" s="5">
        <v>0</v>
      </c>
      <c r="F6299" s="5" t="s">
        <v>8</v>
      </c>
      <c r="G6299" s="15" t="s">
        <v>9</v>
      </c>
      <c r="H6299" s="24">
        <f t="shared" si="1186"/>
        <v>0</v>
      </c>
      <c r="I6299" s="24" t="str" cm="1">
        <f t="array" ref="I6299">IFERROR(IF($B6299=I$1, ($A6299+$C6299) - MAX(IF($B$2:$B6298=$B6299, $A$2:$A6298+$C$2:$C6298)), "")*24*60, "")</f>
        <v/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cm="1">
        <f t="array" ref="L6299">IFERROR(IF($B6299=L$1, ($A6299+$C6299) - MAX(IF($B$2:$B6298=$B6299, $A$2:$A6298+$C$2:$C6298)), "")*24*60, "")</f>
        <v>0</v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5">
        <v>2</v>
      </c>
      <c r="E6300" s="5">
        <v>0</v>
      </c>
      <c r="F6300" s="5" t="s">
        <v>8</v>
      </c>
      <c r="G6300" s="15" t="s">
        <v>9</v>
      </c>
      <c r="H6300" s="24">
        <f t="shared" si="1186"/>
        <v>40.999999997438863</v>
      </c>
      <c r="I6300" s="24" t="str" cm="1">
        <f t="array" ref="I6300">IFERROR(IF($B6300=I$1, ($A6300+$C6300) - MAX(IF($B$2:$B6299=$B6300, $A$2:$A6299+$C$2:$C6299)), "")*24*60, "")</f>
        <v/>
      </c>
      <c r="J6300" s="24" t="str" cm="1">
        <f t="array" ref="J6300">IFERROR(IF($B6300=J$1, ($A6300+$C6300) - MAX(IF($B$2:$B6299=$B6300, $A$2:$A6299+$C$2:$C6299)), "")*24*60, "")</f>
        <v/>
      </c>
      <c r="K6300" s="24" cm="1">
        <f t="array" ref="K6300">IFERROR(IF($B6300=K$1, ($A6300+$C6300) - MAX(IF($B$2:$B6299=$B6300, $A$2:$A6299+$C$2:$C6299)), "")*24*60, "")</f>
        <v>3097.9999999981374</v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5">
        <v>1</v>
      </c>
      <c r="E6301" s="5">
        <v>0</v>
      </c>
      <c r="F6301" s="5" t="s">
        <v>8</v>
      </c>
      <c r="G6301" s="15" t="s">
        <v>9</v>
      </c>
      <c r="H6301" s="24">
        <f t="shared" si="1186"/>
        <v>0</v>
      </c>
      <c r="I6301" s="24" t="str" cm="1">
        <f t="array" ref="I6301">IFERROR(IF($B6301=I$1, ($A6301+$C6301) - MAX(IF($B$2:$B6300=$B6301, $A$2:$A6300+$C$2:$C6300)), "")*24*60, "")</f>
        <v/>
      </c>
      <c r="J6301" s="24" cm="1">
        <f t="array" ref="J6301">IFERROR(IF($B6301=J$1, ($A6301+$C6301) - MAX(IF($B$2:$B6300=$B6301, $A$2:$A6300+$C$2:$C6300)), "")*24*60, "")</f>
        <v>2771.0000000009313</v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5">
        <v>1</v>
      </c>
      <c r="E6302" s="5">
        <v>0</v>
      </c>
      <c r="F6302" s="5" t="s">
        <v>8</v>
      </c>
      <c r="G6302" s="15" t="s">
        <v>9</v>
      </c>
      <c r="H6302" s="24">
        <f t="shared" si="1186"/>
        <v>0</v>
      </c>
      <c r="I6302" s="24" t="str" cm="1">
        <f t="array" ref="I6302">IFERROR(IF($B6302=I$1, ($A6302+$C6302) - MAX(IF($B$2:$B6301=$B6302, $A$2:$A6301+$C$2:$C6301)), "")*24*60, "")</f>
        <v/>
      </c>
      <c r="J6302" s="24" t="str" cm="1">
        <f t="array" ref="J6302">IFERROR(IF($B6302=J$1, ($A6302+$C6302) - MAX(IF($B$2:$B6301=$B6302, $A$2:$A6301+$C$2:$C6301)), "")*24*60, "")</f>
        <v/>
      </c>
      <c r="K6302" s="24" cm="1">
        <f t="array" ref="K6302">IFERROR(IF($B6302=K$1, ($A6302+$C6302) - MAX(IF($B$2:$B6301=$B6302, $A$2:$A6301+$C$2:$C6301)), "")*24*60, "")</f>
        <v>0</v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5">
        <v>1</v>
      </c>
      <c r="E6303" s="5">
        <v>0</v>
      </c>
      <c r="F6303" s="5" t="s">
        <v>8</v>
      </c>
      <c r="G6303" s="15" t="s">
        <v>9</v>
      </c>
      <c r="H6303" s="24">
        <f t="shared" si="1186"/>
        <v>0.99999999278225005</v>
      </c>
      <c r="I6303" s="24" t="str" cm="1">
        <f t="array" ref="I6303">IFERROR(IF($B6303=I$1, ($A6303+$C6303) - MAX(IF($B$2:$B6302=$B6303, $A$2:$A6302+$C$2:$C6302)), "")*24*60, "")</f>
        <v/>
      </c>
      <c r="J6303" s="24" cm="1">
        <f t="array" ref="J6303">IFERROR(IF($B6303=J$1, ($A6303+$C6303) - MAX(IF($B$2:$B6302=$B6303, $A$2:$A6302+$C$2:$C6302)), "")*24*60, "")</f>
        <v>0.99999999278225005</v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5">
        <v>9</v>
      </c>
      <c r="E6304" s="5">
        <v>0</v>
      </c>
      <c r="F6304" s="5" t="s">
        <v>8</v>
      </c>
      <c r="G6304" s="15" t="s">
        <v>9</v>
      </c>
      <c r="H6304" s="24">
        <f t="shared" si="1186"/>
        <v>0</v>
      </c>
      <c r="I6304" s="24" t="str" cm="1">
        <f t="array" ref="I6304">IFERROR(IF($B6304=I$1, ($A6304+$C6304) - MAX(IF($B$2:$B6303=$B6304, $A$2:$A6303+$C$2:$C6303)), "")*24*60, "")</f>
        <v/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cm="1">
        <f t="array" ref="L6304">IFERROR(IF($B6304=L$1, ($A6304+$C6304) - MAX(IF($B$2:$B6303=$B6304, $A$2:$A6303+$C$2:$C6303)), "")*24*60, "")</f>
        <v>41.999999990221113</v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5">
        <v>0</v>
      </c>
      <c r="E6305" s="5">
        <v>0</v>
      </c>
      <c r="F6305" s="5" t="s">
        <v>8</v>
      </c>
      <c r="G6305" s="15" t="s">
        <v>9</v>
      </c>
      <c r="H6305" s="24">
        <f t="shared" si="1186"/>
        <v>0</v>
      </c>
      <c r="I6305" s="24" t="str" cm="1">
        <f t="array" ref="I6305">IFERROR(IF($B6305=I$1, ($A6305+$C6305) - MAX(IF($B$2:$B6304=$B6305, $A$2:$A6304+$C$2:$C6304)), "")*24*60, "")</f>
        <v/>
      </c>
      <c r="J6305" s="24" cm="1">
        <f t="array" ref="J6305">IFERROR(IF($B6305=J$1, ($A6305+$C6305) - MAX(IF($B$2:$B6304=$B6305, $A$2:$A6304+$C$2:$C6304)), "")*24*60, "")</f>
        <v>0</v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5">
        <v>0</v>
      </c>
      <c r="E6306" s="5">
        <v>11</v>
      </c>
      <c r="F6306" s="5" t="s">
        <v>8</v>
      </c>
      <c r="G6306" s="15" t="s">
        <v>9</v>
      </c>
      <c r="H6306" s="24">
        <f t="shared" si="1186"/>
        <v>0</v>
      </c>
      <c r="I6306" s="24" t="str" cm="1">
        <f t="array" ref="I6306">IFERROR(IF($B6306=I$1, ($A6306+$C6306) - MAX(IF($B$2:$B6305=$B6306, $A$2:$A6305+$C$2:$C6305)), "")*24*60, "")</f>
        <v/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cm="1">
        <f t="array" ref="L6306">IFERROR(IF($B6306=L$1, ($A6306+$C6306) - MAX(IF($B$2:$B6305=$B6306, $A$2:$A6305+$C$2:$C6305)), "")*24*60, "")</f>
        <v>0</v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5">
        <v>3</v>
      </c>
      <c r="E6307" s="5">
        <v>0</v>
      </c>
      <c r="F6307" s="5" t="s">
        <v>8</v>
      </c>
      <c r="G6307" s="15" t="s">
        <v>9</v>
      </c>
      <c r="H6307" s="24">
        <f t="shared" si="1186"/>
        <v>1.000000003259629</v>
      </c>
      <c r="I6307" s="24" t="str" cm="1">
        <f t="array" ref="I6307">IFERROR(IF($B6307=I$1, ($A6307+$C6307) - MAX(IF($B$2:$B6306=$B6307, $A$2:$A6306+$C$2:$C6306)), "")*24*60, "")</f>
        <v/>
      </c>
      <c r="J6307" s="24" cm="1">
        <f t="array" ref="J6307">IFERROR(IF($B6307=J$1, ($A6307+$C6307) - MAX(IF($B$2:$B6306=$B6307, $A$2:$A6306+$C$2:$C6306)), "")*24*60, "")</f>
        <v>1.000000003259629</v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5">
        <v>0</v>
      </c>
      <c r="E6308" s="5">
        <v>1</v>
      </c>
      <c r="F6308" s="5" t="s">
        <v>8</v>
      </c>
      <c r="G6308" s="15" t="s">
        <v>9</v>
      </c>
      <c r="H6308" s="24">
        <f t="shared" si="1186"/>
        <v>0</v>
      </c>
      <c r="I6308" s="24" t="str" cm="1">
        <f t="array" ref="I6308">IFERROR(IF($B6308=I$1, ($A6308+$C6308) - MAX(IF($B$2:$B6307=$B6308, $A$2:$A6307+$C$2:$C6307)), "")*24*60, "")</f>
        <v/>
      </c>
      <c r="J6308" s="24" cm="1">
        <f t="array" ref="J6308">IFERROR(IF($B6308=J$1, ($A6308+$C6308) - MAX(IF($B$2:$B6307=$B6308, $A$2:$A6307+$C$2:$C6307)), "")*24*60, "")</f>
        <v>0</v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5">
        <v>2</v>
      </c>
      <c r="E6309" s="5">
        <v>0</v>
      </c>
      <c r="F6309" s="5" t="s">
        <v>8</v>
      </c>
      <c r="G6309" s="15" t="s">
        <v>9</v>
      </c>
      <c r="H6309" s="24">
        <f t="shared" si="1186"/>
        <v>0</v>
      </c>
      <c r="I6309" s="24" t="str" cm="1">
        <f t="array" ref="I6309">IFERROR(IF($B6309=I$1, ($A6309+$C6309) - MAX(IF($B$2:$B6308=$B6309, $A$2:$A6308+$C$2:$C6308)), "")*24*60, "")</f>
        <v/>
      </c>
      <c r="J6309" s="24" cm="1">
        <f t="array" ref="J6309">IFERROR(IF($B6309=J$1, ($A6309+$C6309) - MAX(IF($B$2:$B6308=$B6309, $A$2:$A6308+$C$2:$C6308)), "")*24*60, "")</f>
        <v>0</v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5">
        <v>2</v>
      </c>
      <c r="E6310" s="5">
        <v>0</v>
      </c>
      <c r="F6310" s="5" t="s">
        <v>8</v>
      </c>
      <c r="G6310" s="15" t="s">
        <v>9</v>
      </c>
      <c r="H6310" s="24">
        <f t="shared" si="1186"/>
        <v>1.000000003259629</v>
      </c>
      <c r="I6310" s="24" t="str" cm="1">
        <f t="array" ref="I6310">IFERROR(IF($B6310=I$1, ($A6310+$C6310) - MAX(IF($B$2:$B6309=$B6310, $A$2:$A6309+$C$2:$C6309)), "")*24*60, "")</f>
        <v/>
      </c>
      <c r="J6310" s="24" cm="1">
        <f t="array" ref="J6310">IFERROR(IF($B6310=J$1, ($A6310+$C6310) - MAX(IF($B$2:$B6309=$B6310, $A$2:$A6309+$C$2:$C6309)), "")*24*60, "")</f>
        <v>1.000000003259629</v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5">
        <v>0</v>
      </c>
      <c r="E6311" s="5">
        <v>0</v>
      </c>
      <c r="F6311" s="5" t="s">
        <v>8</v>
      </c>
      <c r="G6311" s="15" t="s">
        <v>9</v>
      </c>
      <c r="H6311" s="24">
        <f t="shared" si="1186"/>
        <v>1.000000003259629</v>
      </c>
      <c r="I6311" s="24" t="str" cm="1">
        <f t="array" ref="I6311">IFERROR(IF($B6311=I$1, ($A6311+$C6311) - MAX(IF($B$2:$B6310=$B6311, $A$2:$A6310+$C$2:$C6310)), "")*24*60, "")</f>
        <v/>
      </c>
      <c r="J6311" s="24" cm="1">
        <f t="array" ref="J6311">IFERROR(IF($B6311=J$1, ($A6311+$C6311) - MAX(IF($B$2:$B6310=$B6311, $A$2:$A6310+$C$2:$C6310)), "")*24*60, "")</f>
        <v>1.000000003259629</v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5">
        <v>0</v>
      </c>
      <c r="E6312" s="5">
        <v>0</v>
      </c>
      <c r="F6312" s="5" t="s">
        <v>8</v>
      </c>
      <c r="G6312" s="15" t="s">
        <v>9</v>
      </c>
      <c r="H6312" s="24">
        <f t="shared" si="1186"/>
        <v>0</v>
      </c>
      <c r="I6312" s="24" t="str" cm="1">
        <f t="array" ref="I6312">IFERROR(IF($B6312=I$1, ($A6312+$C6312) - MAX(IF($B$2:$B6311=$B6312, $A$2:$A6311+$C$2:$C6311)), "")*24*60, "")</f>
        <v/>
      </c>
      <c r="J6312" s="24" cm="1">
        <f t="array" ref="J6312">IFERROR(IF($B6312=J$1, ($A6312+$C6312) - MAX(IF($B$2:$B6311=$B6312, $A$2:$A6311+$C$2:$C6311)), "")*24*60, "")</f>
        <v>0</v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5">
        <v>2</v>
      </c>
      <c r="E6313" s="5">
        <v>0</v>
      </c>
      <c r="F6313" s="5" t="s">
        <v>8</v>
      </c>
      <c r="G6313" s="15" t="s">
        <v>9</v>
      </c>
      <c r="H6313" s="24">
        <f t="shared" si="1186"/>
        <v>0.99999999278225005</v>
      </c>
      <c r="I6313" s="24" t="str" cm="1">
        <f t="array" ref="I6313">IFERROR(IF($B6313=I$1, ($A6313+$C6313) - MAX(IF($B$2:$B6312=$B6313, $A$2:$A6312+$C$2:$C6312)), "")*24*60, "")</f>
        <v/>
      </c>
      <c r="J6313" s="24" cm="1">
        <f t="array" ref="J6313">IFERROR(IF($B6313=J$1, ($A6313+$C6313) - MAX(IF($B$2:$B6312=$B6313, $A$2:$A6312+$C$2:$C6312)), "")*24*60, "")</f>
        <v>0.99999999278225005</v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5">
        <v>0</v>
      </c>
      <c r="E6314" s="5">
        <v>0</v>
      </c>
      <c r="F6314" s="5" t="s">
        <v>8</v>
      </c>
      <c r="G6314" s="15" t="s">
        <v>9</v>
      </c>
      <c r="H6314" s="24">
        <f t="shared" si="1186"/>
        <v>0</v>
      </c>
      <c r="I6314" s="24" t="str" cm="1">
        <f t="array" ref="I6314">IFERROR(IF($B6314=I$1, ($A6314+$C6314) - MAX(IF($B$2:$B6313=$B6314, $A$2:$A6313+$C$2:$C6313)), "")*24*60, "")</f>
        <v/>
      </c>
      <c r="J6314" s="24" cm="1">
        <f t="array" ref="J6314">IFERROR(IF($B6314=J$1, ($A6314+$C6314) - MAX(IF($B$2:$B6313=$B6314, $A$2:$A6313+$C$2:$C6313)), "")*24*60, "")</f>
        <v>0</v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5">
        <v>2</v>
      </c>
      <c r="E6315" s="5">
        <v>0</v>
      </c>
      <c r="F6315" s="5" t="s">
        <v>8</v>
      </c>
      <c r="G6315" s="15" t="s">
        <v>9</v>
      </c>
      <c r="H6315" s="24">
        <f t="shared" si="1186"/>
        <v>0</v>
      </c>
      <c r="I6315" s="24" t="str" cm="1">
        <f t="array" ref="I6315">IFERROR(IF($B6315=I$1, ($A6315+$C6315) - MAX(IF($B$2:$B6314=$B6315, $A$2:$A6314+$C$2:$C6314)), "")*24*60, "")</f>
        <v/>
      </c>
      <c r="J6315" s="24" cm="1">
        <f t="array" ref="J6315">IFERROR(IF($B6315=J$1, ($A6315+$C6315) - MAX(IF($B$2:$B6314=$B6315, $A$2:$A6314+$C$2:$C6314)), "")*24*60, "")</f>
        <v>0</v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5">
        <v>3</v>
      </c>
      <c r="E6316" s="5">
        <v>0</v>
      </c>
      <c r="F6316" s="5" t="s">
        <v>8</v>
      </c>
      <c r="G6316" s="15" t="s">
        <v>9</v>
      </c>
      <c r="H6316" s="24">
        <f t="shared" si="1186"/>
        <v>1.000000003259629</v>
      </c>
      <c r="I6316" s="24" t="str" cm="1">
        <f t="array" ref="I6316">IFERROR(IF($B6316=I$1, ($A6316+$C6316) - MAX(IF($B$2:$B6315=$B6316, $A$2:$A6315+$C$2:$C6315)), "")*24*60, "")</f>
        <v/>
      </c>
      <c r="J6316" s="24" cm="1">
        <f t="array" ref="J6316">IFERROR(IF($B6316=J$1, ($A6316+$C6316) - MAX(IF($B$2:$B6315=$B6316, $A$2:$A6315+$C$2:$C6315)), "")*24*60, "")</f>
        <v>1.000000003259629</v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5">
        <v>1</v>
      </c>
      <c r="E6317" s="5">
        <v>0</v>
      </c>
      <c r="F6317" s="5" t="s">
        <v>8</v>
      </c>
      <c r="G6317" s="15" t="s">
        <v>9</v>
      </c>
      <c r="H6317" s="24">
        <f t="shared" si="1186"/>
        <v>2.9999999993015081</v>
      </c>
      <c r="I6317" s="24" t="str" cm="1">
        <f t="array" ref="I6317">IFERROR(IF($B6317=I$1, ($A6317+$C6317) - MAX(IF($B$2:$B6316=$B6317, $A$2:$A6316+$C$2:$C6316)), "")*24*60, "")</f>
        <v/>
      </c>
      <c r="J6317" s="24" cm="1">
        <f t="array" ref="J6317">IFERROR(IF($B6317=J$1, ($A6317+$C6317) - MAX(IF($B$2:$B6316=$B6317, $A$2:$A6316+$C$2:$C6316)), "")*24*60, "")</f>
        <v>2.9999999993015081</v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5">
        <v>0</v>
      </c>
      <c r="E6318" s="5">
        <v>0</v>
      </c>
      <c r="F6318" s="5" t="s">
        <v>8</v>
      </c>
      <c r="G6318" s="15" t="s">
        <v>9</v>
      </c>
      <c r="H6318" s="24">
        <f t="shared" si="1186"/>
        <v>1.000000003259629</v>
      </c>
      <c r="I6318" s="24" t="str" cm="1">
        <f t="array" ref="I6318">IFERROR(IF($B6318=I$1, ($A6318+$C6318) - MAX(IF($B$2:$B6317=$B6318, $A$2:$A6317+$C$2:$C6317)), "")*24*60, "")</f>
        <v/>
      </c>
      <c r="J6318" s="24" cm="1">
        <f t="array" ref="J6318">IFERROR(IF($B6318=J$1, ($A6318+$C6318) - MAX(IF($B$2:$B6317=$B6318, $A$2:$A6317+$C$2:$C6317)), "")*24*60, "")</f>
        <v>1.000000003259629</v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5">
        <v>0</v>
      </c>
      <c r="E6319" s="5">
        <v>0</v>
      </c>
      <c r="F6319" s="5" t="s">
        <v>8</v>
      </c>
      <c r="G6319" s="15" t="s">
        <v>9</v>
      </c>
      <c r="H6319" s="24">
        <f t="shared" si="1186"/>
        <v>0.99999999278225005</v>
      </c>
      <c r="I6319" s="24" t="str" cm="1">
        <f t="array" ref="I6319">IFERROR(IF($B6319=I$1, ($A6319+$C6319) - MAX(IF($B$2:$B6318=$B6319, $A$2:$A6318+$C$2:$C6318)), "")*24*60, "")</f>
        <v/>
      </c>
      <c r="J6319" s="24" cm="1">
        <f t="array" ref="J6319">IFERROR(IF($B6319=J$1, ($A6319+$C6319) - MAX(IF($B$2:$B6318=$B6319, $A$2:$A6318+$C$2:$C6318)), "")*24*60, "")</f>
        <v>0.99999999278225005</v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5">
        <v>0</v>
      </c>
      <c r="E6320" s="5">
        <v>0</v>
      </c>
      <c r="F6320" s="5" t="s">
        <v>8</v>
      </c>
      <c r="G6320" s="15" t="s">
        <v>9</v>
      </c>
      <c r="H6320" s="24">
        <f t="shared" si="1186"/>
        <v>0</v>
      </c>
      <c r="I6320" s="24" t="str" cm="1">
        <f t="array" ref="I6320">IFERROR(IF($B6320=I$1, ($A6320+$C6320) - MAX(IF($B$2:$B6319=$B6320, $A$2:$A6319+$C$2:$C6319)), "")*24*60, "")</f>
        <v/>
      </c>
      <c r="J6320" s="24" cm="1">
        <f t="array" ref="J6320">IFERROR(IF($B6320=J$1, ($A6320+$C6320) - MAX(IF($B$2:$B6319=$B6320, $A$2:$A6319+$C$2:$C6319)), "")*24*60, "")</f>
        <v>0</v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5">
        <v>0</v>
      </c>
      <c r="E6321" s="5">
        <v>0</v>
      </c>
      <c r="F6321" s="5" t="s">
        <v>8</v>
      </c>
      <c r="G6321" s="15" t="s">
        <v>9</v>
      </c>
      <c r="H6321" s="24">
        <f t="shared" si="1186"/>
        <v>1.000000003259629</v>
      </c>
      <c r="I6321" s="24" t="str" cm="1">
        <f t="array" ref="I6321">IFERROR(IF($B6321=I$1, ($A6321+$C6321) - MAX(IF($B$2:$B6320=$B6321, $A$2:$A6320+$C$2:$C6320)), "")*24*60, "")</f>
        <v/>
      </c>
      <c r="J6321" s="24" cm="1">
        <f t="array" ref="J6321">IFERROR(IF($B6321=J$1, ($A6321+$C6321) - MAX(IF($B$2:$B6320=$B6321, $A$2:$A6320+$C$2:$C6320)), "")*24*60, "")</f>
        <v>1.000000003259629</v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5">
        <v>0</v>
      </c>
      <c r="E6322" s="5">
        <v>0</v>
      </c>
      <c r="F6322" s="5" t="s">
        <v>8</v>
      </c>
      <c r="G6322" s="15" t="s">
        <v>9</v>
      </c>
      <c r="H6322" s="24">
        <f t="shared" si="1186"/>
        <v>0</v>
      </c>
      <c r="I6322" s="24" t="str" cm="1">
        <f t="array" ref="I6322">IFERROR(IF($B6322=I$1, ($A6322+$C6322) - MAX(IF($B$2:$B6321=$B6322, $A$2:$A6321+$C$2:$C6321)), "")*24*60, "")</f>
        <v/>
      </c>
      <c r="J6322" s="24" cm="1">
        <f t="array" ref="J6322">IFERROR(IF($B6322=J$1, ($A6322+$C6322) - MAX(IF($B$2:$B6321=$B6322, $A$2:$A6321+$C$2:$C6321)), "")*24*60, "")</f>
        <v>0</v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5">
        <v>0</v>
      </c>
      <c r="E6323" s="5">
        <v>0</v>
      </c>
      <c r="F6323" s="5" t="s">
        <v>8</v>
      </c>
      <c r="G6323" s="15" t="s">
        <v>9</v>
      </c>
      <c r="H6323" s="24">
        <f t="shared" si="1186"/>
        <v>1.9999999960418791</v>
      </c>
      <c r="I6323" s="24" t="str" cm="1">
        <f t="array" ref="I6323">IFERROR(IF($B6323=I$1, ($A6323+$C6323) - MAX(IF($B$2:$B6322=$B6323, $A$2:$A6322+$C$2:$C6322)), "")*24*60, "")</f>
        <v/>
      </c>
      <c r="J6323" s="24" cm="1">
        <f t="array" ref="J6323">IFERROR(IF($B6323=J$1, ($A6323+$C6323) - MAX(IF($B$2:$B6322=$B6323, $A$2:$A6322+$C$2:$C6322)), "")*24*60, "")</f>
        <v>1.9999999960418791</v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5">
        <v>0</v>
      </c>
      <c r="E6324" s="5">
        <v>0</v>
      </c>
      <c r="F6324" s="5" t="s">
        <v>8</v>
      </c>
      <c r="G6324" s="15" t="s">
        <v>9</v>
      </c>
      <c r="H6324" s="24">
        <f t="shared" si="1186"/>
        <v>0</v>
      </c>
      <c r="I6324" s="24" t="str" cm="1">
        <f t="array" ref="I6324">IFERROR(IF($B6324=I$1, ($A6324+$C6324) - MAX(IF($B$2:$B6323=$B6324, $A$2:$A6323+$C$2:$C6323)), "")*24*60, "")</f>
        <v/>
      </c>
      <c r="J6324" s="24" cm="1">
        <f t="array" ref="J6324">IFERROR(IF($B6324=J$1, ($A6324+$C6324) - MAX(IF($B$2:$B6323=$B6324, $A$2:$A6323+$C$2:$C6323)), "")*24*60, "")</f>
        <v>0</v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5">
        <v>0</v>
      </c>
      <c r="E6325" s="5">
        <v>0</v>
      </c>
      <c r="F6325" s="5" t="s">
        <v>8</v>
      </c>
      <c r="G6325" s="15" t="s">
        <v>9</v>
      </c>
      <c r="H6325" s="24">
        <f t="shared" si="1186"/>
        <v>1.000000003259629</v>
      </c>
      <c r="I6325" s="24" t="str" cm="1">
        <f t="array" ref="I6325">IFERROR(IF($B6325=I$1, ($A6325+$C6325) - MAX(IF($B$2:$B6324=$B6325, $A$2:$A6324+$C$2:$C6324)), "")*24*60, "")</f>
        <v/>
      </c>
      <c r="J6325" s="24" cm="1">
        <f t="array" ref="J6325">IFERROR(IF($B6325=J$1, ($A6325+$C6325) - MAX(IF($B$2:$B6324=$B6325, $A$2:$A6324+$C$2:$C6324)), "")*24*60, "")</f>
        <v>1.000000003259629</v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5">
        <v>0</v>
      </c>
      <c r="E6326" s="5">
        <v>0</v>
      </c>
      <c r="F6326" s="5" t="s">
        <v>8</v>
      </c>
      <c r="G6326" s="15" t="s">
        <v>9</v>
      </c>
      <c r="H6326" s="24">
        <f t="shared" si="1186"/>
        <v>1.000000003259629</v>
      </c>
      <c r="I6326" s="24" t="str" cm="1">
        <f t="array" ref="I6326">IFERROR(IF($B6326=I$1, ($A6326+$C6326) - MAX(IF($B$2:$B6325=$B6326, $A$2:$A6325+$C$2:$C6325)), "")*24*60, "")</f>
        <v/>
      </c>
      <c r="J6326" s="24" cm="1">
        <f t="array" ref="J6326">IFERROR(IF($B6326=J$1, ($A6326+$C6326) - MAX(IF($B$2:$B6325=$B6326, $A$2:$A6325+$C$2:$C6325)), "")*24*60, "")</f>
        <v>1.000000003259629</v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5">
        <v>0</v>
      </c>
      <c r="E6327" s="5">
        <v>0</v>
      </c>
      <c r="F6327" s="5" t="s">
        <v>8</v>
      </c>
      <c r="G6327" s="15" t="s">
        <v>9</v>
      </c>
      <c r="H6327" s="24">
        <f t="shared" si="1186"/>
        <v>1.000000003259629</v>
      </c>
      <c r="I6327" s="24" t="str" cm="1">
        <f t="array" ref="I6327">IFERROR(IF($B6327=I$1, ($A6327+$C6327) - MAX(IF($B$2:$B6326=$B6327, $A$2:$A6326+$C$2:$C6326)), "")*24*60, "")</f>
        <v/>
      </c>
      <c r="J6327" s="24" cm="1">
        <f t="array" ref="J6327">IFERROR(IF($B6327=J$1, ($A6327+$C6327) - MAX(IF($B$2:$B6326=$B6327, $A$2:$A6326+$C$2:$C6326)), "")*24*60, "")</f>
        <v>1.000000003259629</v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5">
        <v>0</v>
      </c>
      <c r="E6328" s="5">
        <v>2</v>
      </c>
      <c r="F6328" s="5" t="s">
        <v>8</v>
      </c>
      <c r="G6328" s="15" t="s">
        <v>9</v>
      </c>
      <c r="H6328" s="24">
        <f t="shared" si="1186"/>
        <v>0.99999999278225005</v>
      </c>
      <c r="I6328" s="24" t="str" cm="1">
        <f t="array" ref="I6328">IFERROR(IF($B6328=I$1, ($A6328+$C6328) - MAX(IF($B$2:$B6327=$B6328, $A$2:$A6327+$C$2:$C6327)), "")*24*60, "")</f>
        <v/>
      </c>
      <c r="J6328" s="24" cm="1">
        <f t="array" ref="J6328">IFERROR(IF($B6328=J$1, ($A6328+$C6328) - MAX(IF($B$2:$B6327=$B6328, $A$2:$A6327+$C$2:$C6327)), "")*24*60, "")</f>
        <v>0.99999999278225005</v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5">
        <v>2</v>
      </c>
      <c r="E6329" s="5">
        <v>0</v>
      </c>
      <c r="F6329" s="5" t="s">
        <v>8</v>
      </c>
      <c r="G6329" s="15" t="s">
        <v>9</v>
      </c>
      <c r="H6329" s="24">
        <f t="shared" si="1186"/>
        <v>8.0000000051222742</v>
      </c>
      <c r="I6329" s="24" t="str" cm="1">
        <f t="array" ref="I6329">IFERROR(IF($B6329=I$1, ($A6329+$C6329) - MAX(IF($B$2:$B6328=$B6329, $A$2:$A6328+$C$2:$C6328)), "")*24*60, "")</f>
        <v/>
      </c>
      <c r="J6329" s="24" cm="1">
        <f t="array" ref="J6329">IFERROR(IF($B6329=J$1, ($A6329+$C6329) - MAX(IF($B$2:$B6328=$B6329, $A$2:$A6328+$C$2:$C6328)), "")*24*60, "")</f>
        <v>8.0000000051222742</v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5">
        <v>1</v>
      </c>
      <c r="E6330" s="5">
        <v>0</v>
      </c>
      <c r="F6330" s="5" t="s">
        <v>8</v>
      </c>
      <c r="G6330" s="15" t="s">
        <v>9</v>
      </c>
      <c r="H6330" s="24">
        <f t="shared" si="1186"/>
        <v>2.9999999993015081</v>
      </c>
      <c r="I6330" s="24" t="str" cm="1">
        <f t="array" ref="I6330">IFERROR(IF($B6330=I$1, ($A6330+$C6330) - MAX(IF($B$2:$B6329=$B6330, $A$2:$A6329+$C$2:$C6329)), "")*24*60, "")</f>
        <v/>
      </c>
      <c r="J6330" s="24" t="str" cm="1">
        <f t="array" ref="J6330">IFERROR(IF($B6330=J$1, ($A6330+$C6330) - MAX(IF($B$2:$B6329=$B6330, $A$2:$A6329+$C$2:$C6329)), "")*24*60, "")</f>
        <v/>
      </c>
      <c r="K6330" s="24" cm="1">
        <f t="array" ref="K6330">IFERROR(IF($B6330=K$1, ($A6330+$C6330) - MAX(IF($B$2:$B6329=$B6330, $A$2:$A6329+$C$2:$C6329)), "")*24*60, "")</f>
        <v>29.000000000232831</v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5">
        <v>0</v>
      </c>
      <c r="E6331" s="5">
        <v>1</v>
      </c>
      <c r="F6331" s="5" t="s">
        <v>8</v>
      </c>
      <c r="G6331" s="15" t="s">
        <v>9</v>
      </c>
      <c r="H6331" s="24">
        <f t="shared" si="1186"/>
        <v>0</v>
      </c>
      <c r="I6331" s="24" t="str" cm="1">
        <f t="array" ref="I6331">IFERROR(IF($B6331=I$1, ($A6331+$C6331) - MAX(IF($B$2:$B6330=$B6331, $A$2:$A6330+$C$2:$C6330)), "")*24*60, "")</f>
        <v/>
      </c>
      <c r="J6331" s="24" cm="1">
        <f t="array" ref="J6331">IFERROR(IF($B6331=J$1, ($A6331+$C6331) - MAX(IF($B$2:$B6330=$B6331, $A$2:$A6330+$C$2:$C6330)), "")*24*60, "")</f>
        <v>2.9999999993015081</v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5">
        <v>2</v>
      </c>
      <c r="E6332" s="5">
        <v>0</v>
      </c>
      <c r="F6332" s="5" t="s">
        <v>8</v>
      </c>
      <c r="G6332" s="15" t="s">
        <v>9</v>
      </c>
      <c r="H6332" s="24">
        <f t="shared" si="1186"/>
        <v>0.99999999278225005</v>
      </c>
      <c r="I6332" s="24" t="str" cm="1">
        <f t="array" ref="I6332">IFERROR(IF($B6332=I$1, ($A6332+$C6332) - MAX(IF($B$2:$B6331=$B6332, $A$2:$A6331+$C$2:$C6331)), "")*24*60, "")</f>
        <v/>
      </c>
      <c r="J6332" s="24" cm="1">
        <f t="array" ref="J6332">IFERROR(IF($B6332=J$1, ($A6332+$C6332) - MAX(IF($B$2:$B6331=$B6332, $A$2:$A6331+$C$2:$C6331)), "")*24*60, "")</f>
        <v>0.99999999278225005</v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5">
        <v>0</v>
      </c>
      <c r="E6333" s="5">
        <v>0</v>
      </c>
      <c r="F6333" s="5" t="s">
        <v>8</v>
      </c>
      <c r="G6333" s="15" t="s">
        <v>9</v>
      </c>
      <c r="H6333" s="24">
        <f t="shared" si="1186"/>
        <v>0</v>
      </c>
      <c r="I6333" s="24" t="str" cm="1">
        <f t="array" ref="I6333">IFERROR(IF($B6333=I$1, ($A6333+$C6333) - MAX(IF($B$2:$B6332=$B6333, $A$2:$A6332+$C$2:$C6332)), "")*24*60, "")</f>
        <v/>
      </c>
      <c r="J6333" s="24" cm="1">
        <f t="array" ref="J6333">IFERROR(IF($B6333=J$1, ($A6333+$C6333) - MAX(IF($B$2:$B6332=$B6333, $A$2:$A6332+$C$2:$C6332)), "")*24*60, "")</f>
        <v>0</v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5">
        <v>0</v>
      </c>
      <c r="E6334" s="5">
        <v>0</v>
      </c>
      <c r="F6334" s="5" t="s">
        <v>8</v>
      </c>
      <c r="G6334" s="15" t="s">
        <v>9</v>
      </c>
      <c r="H6334" s="24">
        <f t="shared" si="1186"/>
        <v>2.000000006519258</v>
      </c>
      <c r="I6334" s="24" t="str" cm="1">
        <f t="array" ref="I6334">IFERROR(IF($B6334=I$1, ($A6334+$C6334) - MAX(IF($B$2:$B6333=$B6334, $A$2:$A6333+$C$2:$C6333)), "")*24*60, "")</f>
        <v/>
      </c>
      <c r="J6334" s="24" cm="1">
        <f t="array" ref="J6334">IFERROR(IF($B6334=J$1, ($A6334+$C6334) - MAX(IF($B$2:$B6333=$B6334, $A$2:$A6333+$C$2:$C6333)), "")*24*60, "")</f>
        <v>2.000000006519258</v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5">
        <v>0</v>
      </c>
      <c r="E6335" s="5">
        <v>0</v>
      </c>
      <c r="F6335" s="5" t="s">
        <v>8</v>
      </c>
      <c r="G6335" s="15" t="s">
        <v>9</v>
      </c>
      <c r="H6335" s="24">
        <f t="shared" si="1186"/>
        <v>1.9999999960418791</v>
      </c>
      <c r="I6335" s="24" t="str" cm="1">
        <f t="array" ref="I6335">IFERROR(IF($B6335=I$1, ($A6335+$C6335) - MAX(IF($B$2:$B6334=$B6335, $A$2:$A6334+$C$2:$C6334)), "")*24*60, "")</f>
        <v/>
      </c>
      <c r="J6335" s="24" cm="1">
        <f t="array" ref="J6335">IFERROR(IF($B6335=J$1, ($A6335+$C6335) - MAX(IF($B$2:$B6334=$B6335, $A$2:$A6334+$C$2:$C6334)), "")*24*60, "")</f>
        <v>1.9999999960418791</v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5">
        <v>0</v>
      </c>
      <c r="E6336" s="5">
        <v>0</v>
      </c>
      <c r="F6336" s="5" t="s">
        <v>8</v>
      </c>
      <c r="G6336" s="15" t="s">
        <v>9</v>
      </c>
      <c r="H6336" s="24">
        <f t="shared" si="1186"/>
        <v>1.000000003259629</v>
      </c>
      <c r="I6336" s="24" t="str" cm="1">
        <f t="array" ref="I6336">IFERROR(IF($B6336=I$1, ($A6336+$C6336) - MAX(IF($B$2:$B6335=$B6336, $A$2:$A6335+$C$2:$C6335)), "")*24*60, "")</f>
        <v/>
      </c>
      <c r="J6336" s="24" cm="1">
        <f t="array" ref="J6336">IFERROR(IF($B6336=J$1, ($A6336+$C6336) - MAX(IF($B$2:$B6335=$B6336, $A$2:$A6335+$C$2:$C6335)), "")*24*60, "")</f>
        <v>1.000000003259629</v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5">
        <v>0</v>
      </c>
      <c r="E6337" s="5">
        <v>0</v>
      </c>
      <c r="F6337" s="5" t="s">
        <v>8</v>
      </c>
      <c r="G6337" s="15" t="s">
        <v>9</v>
      </c>
      <c r="H6337" s="24">
        <f t="shared" si="1186"/>
        <v>0</v>
      </c>
      <c r="I6337" s="24" t="str" cm="1">
        <f t="array" ref="I6337">IFERROR(IF($B6337=I$1, ($A6337+$C6337) - MAX(IF($B$2:$B6336=$B6337, $A$2:$A6336+$C$2:$C6336)), "")*24*60, "")</f>
        <v/>
      </c>
      <c r="J6337" s="24" cm="1">
        <f t="array" ref="J6337">IFERROR(IF($B6337=J$1, ($A6337+$C6337) - MAX(IF($B$2:$B6336=$B6337, $A$2:$A6336+$C$2:$C6336)), "")*24*60, "")</f>
        <v>0</v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5">
        <v>0</v>
      </c>
      <c r="E6338" s="5">
        <v>0</v>
      </c>
      <c r="F6338" s="5" t="s">
        <v>8</v>
      </c>
      <c r="G6338" s="15" t="s">
        <v>9</v>
      </c>
      <c r="H6338" s="24">
        <f t="shared" si="1186"/>
        <v>1.000000003259629</v>
      </c>
      <c r="I6338" s="24" t="str" cm="1">
        <f t="array" ref="I6338">IFERROR(IF($B6338=I$1, ($A6338+$C6338) - MAX(IF($B$2:$B6337=$B6338, $A$2:$A6337+$C$2:$C6337)), "")*24*60, "")</f>
        <v/>
      </c>
      <c r="J6338" s="24" cm="1">
        <f t="array" ref="J6338">IFERROR(IF($B6338=J$1, ($A6338+$C6338) - MAX(IF($B$2:$B6337=$B6338, $A$2:$A6337+$C$2:$C6337)), "")*24*60, "")</f>
        <v>1.000000003259629</v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5">
        <v>0</v>
      </c>
      <c r="E6339" s="5">
        <v>1</v>
      </c>
      <c r="F6339" s="5" t="s">
        <v>8</v>
      </c>
      <c r="G6339" s="15" t="s">
        <v>9</v>
      </c>
      <c r="H6339" s="24">
        <f t="shared" si="1186"/>
        <v>0</v>
      </c>
      <c r="I6339" s="24" t="str" cm="1">
        <f t="array" ref="I6339">IFERROR(IF($B6339=I$1, ($A6339+$C6339) - MAX(IF($B$2:$B6338=$B6339, $A$2:$A6338+$C$2:$C6338)), "")*24*60, "")</f>
        <v/>
      </c>
      <c r="J6339" s="24" cm="1">
        <f t="array" ref="J6339">IFERROR(IF($B6339=J$1, ($A6339+$C6339) - MAX(IF($B$2:$B6338=$B6339, $A$2:$A6338+$C$2:$C6338)), "")*24*60, "")</f>
        <v>0</v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5">
        <v>0</v>
      </c>
      <c r="E6340" s="5">
        <v>11</v>
      </c>
      <c r="F6340" s="5" t="s">
        <v>8</v>
      </c>
      <c r="G6340" s="15" t="s">
        <v>9</v>
      </c>
      <c r="H6340" s="24">
        <f t="shared" si="1186"/>
        <v>0</v>
      </c>
      <c r="I6340" s="24" t="str" cm="1">
        <f t="array" ref="I6340">IFERROR(IF($B6340=I$1, ($A6340+$C6340) - MAX(IF($B$2:$B6339=$B6340, $A$2:$A6339+$C$2:$C6339)), "")*24*60, "")</f>
        <v/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cm="1">
        <f t="array" ref="L6340">IFERROR(IF($B6340=L$1, ($A6340+$C6340) - MAX(IF($B$2:$B6339=$B6340, $A$2:$A6339+$C$2:$C6339)), "")*24*60, "")</f>
        <v>35.000000009313226</v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5">
        <v>0</v>
      </c>
      <c r="E6341" s="5">
        <v>14</v>
      </c>
      <c r="F6341" s="5" t="s">
        <v>8</v>
      </c>
      <c r="G6341" s="15" t="s">
        <v>9</v>
      </c>
      <c r="H6341" s="24">
        <f t="shared" si="1186"/>
        <v>0.99999999278225005</v>
      </c>
      <c r="I6341" s="24" t="str" cm="1">
        <f t="array" ref="I6341">IFERROR(IF($B6341=I$1, ($A6341+$C6341) - MAX(IF($B$2:$B6340=$B6341, $A$2:$A6340+$C$2:$C6340)), "")*24*60, "")</f>
        <v/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cm="1">
        <f t="array" ref="L6341">IFERROR(IF($B6341=L$1, ($A6341+$C6341) - MAX(IF($B$2:$B6340=$B6341, $A$2:$A6340+$C$2:$C6340)), "")*24*60, "")</f>
        <v>0.99999999278225005</v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5">
        <v>6</v>
      </c>
      <c r="E6342" s="5">
        <v>0</v>
      </c>
      <c r="F6342" s="5" t="s">
        <v>8</v>
      </c>
      <c r="G6342" s="15" t="s">
        <v>9</v>
      </c>
      <c r="H6342" s="24">
        <f t="shared" si="1186"/>
        <v>1.000000003259629</v>
      </c>
      <c r="I6342" s="24" t="str" cm="1">
        <f t="array" ref="I6342">IFERROR(IF($B6342=I$1, ($A6342+$C6342) - MAX(IF($B$2:$B6341=$B6342, $A$2:$A6341+$C$2:$C6341)), "")*24*60, "")</f>
        <v/>
      </c>
      <c r="J6342" s="24" cm="1">
        <f t="array" ref="J6342">IFERROR(IF($B6342=J$1, ($A6342+$C6342) - MAX(IF($B$2:$B6341=$B6342, $A$2:$A6341+$C$2:$C6341)), "")*24*60, "")</f>
        <v>1.9999999960418791</v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5">
        <v>1</v>
      </c>
      <c r="E6343" s="5">
        <v>0</v>
      </c>
      <c r="F6343" s="5" t="s">
        <v>8</v>
      </c>
      <c r="G6343" s="15" t="s">
        <v>9</v>
      </c>
      <c r="H6343" s="24">
        <f t="shared" si="1186"/>
        <v>1.000000003259629</v>
      </c>
      <c r="I6343" s="24" t="str" cm="1">
        <f t="array" ref="I6343">IFERROR(IF($B6343=I$1, ($A6343+$C6343) - MAX(IF($B$2:$B6342=$B6343, $A$2:$A6342+$C$2:$C6342)), "")*24*60, "")</f>
        <v/>
      </c>
      <c r="J6343" s="24" t="str" cm="1">
        <f t="array" ref="J6343">IFERROR(IF($B6343=J$1, ($A6343+$C6343) - MAX(IF($B$2:$B6342=$B6343, $A$2:$A6342+$C$2:$C6342)), "")*24*60, "")</f>
        <v/>
      </c>
      <c r="K6343" s="24" cm="1">
        <f t="array" ref="K6343">IFERROR(IF($B6343=K$1, ($A6343+$C6343) - MAX(IF($B$2:$B6342=$B6343, $A$2:$A6342+$C$2:$C6342)), "")*24*60, "")</f>
        <v>10.000000001164153</v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5">
        <v>2</v>
      </c>
      <c r="E6344" s="5">
        <v>0</v>
      </c>
      <c r="F6344" s="5" t="s">
        <v>8</v>
      </c>
      <c r="G6344" s="15" t="s">
        <v>9</v>
      </c>
      <c r="H6344" s="24">
        <f t="shared" si="1186"/>
        <v>0.99999999278225005</v>
      </c>
      <c r="I6344" s="24" t="str" cm="1">
        <f t="array" ref="I6344">IFERROR(IF($B6344=I$1, ($A6344+$C6344) - MAX(IF($B$2:$B6343=$B6344, $A$2:$A6343+$C$2:$C6343)), "")*24*60, "")</f>
        <v/>
      </c>
      <c r="J6344" s="24" cm="1">
        <f t="array" ref="J6344">IFERROR(IF($B6344=J$1, ($A6344+$C6344) - MAX(IF($B$2:$B6343=$B6344, $A$2:$A6343+$C$2:$C6343)), "")*24*60, "")</f>
        <v>1.9999999960418791</v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5">
        <v>0</v>
      </c>
      <c r="E6345" s="5">
        <v>2</v>
      </c>
      <c r="F6345" s="5" t="s">
        <v>8</v>
      </c>
      <c r="G6345" s="15" t="s">
        <v>9</v>
      </c>
      <c r="H6345" s="24">
        <f t="shared" si="1186"/>
        <v>0</v>
      </c>
      <c r="I6345" s="24" t="str" cm="1">
        <f t="array" ref="I6345">IFERROR(IF($B6345=I$1, ($A6345+$C6345) - MAX(IF($B$2:$B6344=$B6345, $A$2:$A6344+$C$2:$C6344)), "")*24*60, "")</f>
        <v/>
      </c>
      <c r="J6345" s="24" t="str" cm="1">
        <f t="array" ref="J6345">IFERROR(IF($B6345=J$1, ($A6345+$C6345) - MAX(IF($B$2:$B6344=$B6345, $A$2:$A6344+$C$2:$C6344)), "")*24*60, "")</f>
        <v/>
      </c>
      <c r="K6345" s="24" cm="1">
        <f t="array" ref="K6345">IFERROR(IF($B6345=K$1, ($A6345+$C6345) - MAX(IF($B$2:$B6344=$B6345, $A$2:$A6344+$C$2:$C6344)), "")*24*60, "")</f>
        <v>0.99999999278225005</v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5">
        <v>1</v>
      </c>
      <c r="E6346" s="5">
        <v>4</v>
      </c>
      <c r="F6346" s="5" t="s">
        <v>8</v>
      </c>
      <c r="G6346" s="15" t="s">
        <v>9</v>
      </c>
      <c r="H6346" s="24">
        <f t="shared" si="1186"/>
        <v>4.0000000025611371</v>
      </c>
      <c r="I6346" s="24" t="str" cm="1">
        <f t="array" ref="I6346">IFERROR(IF($B6346=I$1, ($A6346+$C6346) - MAX(IF($B$2:$B6345=$B6346, $A$2:$A6345+$C$2:$C6345)), "")*24*60, "")</f>
        <v/>
      </c>
      <c r="J6346" s="24" cm="1">
        <f t="array" ref="J6346">IFERROR(IF($B6346=J$1, ($A6346+$C6346) - MAX(IF($B$2:$B6345=$B6346, $A$2:$A6345+$C$2:$C6345)), "")*24*60, "")</f>
        <v>4.0000000025611371</v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5">
        <v>4</v>
      </c>
      <c r="E6347" s="5">
        <v>3</v>
      </c>
      <c r="F6347" s="5" t="s">
        <v>8</v>
      </c>
      <c r="G6347" s="15" t="s">
        <v>9</v>
      </c>
      <c r="H6347" s="24">
        <f t="shared" si="1186"/>
        <v>0</v>
      </c>
      <c r="I6347" s="24" t="str" cm="1">
        <f t="array" ref="I6347">IFERROR(IF($B6347=I$1, ($A6347+$C6347) - MAX(IF($B$2:$B6346=$B6347, $A$2:$A6346+$C$2:$C6346)), "")*24*60, "")</f>
        <v/>
      </c>
      <c r="J6347" s="24" cm="1">
        <f t="array" ref="J6347">IFERROR(IF($B6347=J$1, ($A6347+$C6347) - MAX(IF($B$2:$B6346=$B6347, $A$2:$A6346+$C$2:$C6346)), "")*24*60, "")</f>
        <v>0</v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5">
        <v>1</v>
      </c>
      <c r="E6348" s="5">
        <v>0</v>
      </c>
      <c r="F6348" s="5" t="s">
        <v>8</v>
      </c>
      <c r="G6348" s="15" t="s">
        <v>9</v>
      </c>
      <c r="H6348" s="24">
        <f t="shared" si="1186"/>
        <v>8.9999999979045242</v>
      </c>
      <c r="I6348" s="24" t="str" cm="1">
        <f t="array" ref="I6348">IFERROR(IF($B6348=I$1, ($A6348+$C6348) - MAX(IF($B$2:$B6347=$B6348, $A$2:$A6347+$C$2:$C6347)), "")*24*60, "")</f>
        <v/>
      </c>
      <c r="J6348" s="24" cm="1">
        <f t="array" ref="J6348">IFERROR(IF($B6348=J$1, ($A6348+$C6348) - MAX(IF($B$2:$B6347=$B6348, $A$2:$A6347+$C$2:$C6347)), "")*24*60, "")</f>
        <v>8.9999999979045242</v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5">
        <v>0</v>
      </c>
      <c r="E6349" s="5">
        <v>9</v>
      </c>
      <c r="F6349" s="5" t="s">
        <v>8</v>
      </c>
      <c r="G6349" s="15" t="s">
        <v>9</v>
      </c>
      <c r="H6349" s="24">
        <f t="shared" si="1186"/>
        <v>1.000000003259629</v>
      </c>
      <c r="I6349" s="24" t="str" cm="1">
        <f t="array" ref="I6349">IFERROR(IF($B6349=I$1, ($A6349+$C6349) - MAX(IF($B$2:$B6348=$B6349, $A$2:$A6348+$C$2:$C6348)), "")*24*60, "")</f>
        <v/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cm="1">
        <f t="array" ref="Q6349">IFERROR(IF($B6349=Q$1, ($A6349+$C6349) - MAX(IF($B$2:$B6348=$B6349, $A$2:$A6348+$C$2:$C6348)), "")*24*60, "")</f>
        <v>8671.9999999995343</v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5">
        <v>0</v>
      </c>
      <c r="E6350" s="5">
        <v>0</v>
      </c>
      <c r="F6350" s="5" t="s">
        <v>8</v>
      </c>
      <c r="G6350" s="15" t="s">
        <v>9</v>
      </c>
      <c r="H6350" s="24">
        <f t="shared" si="1186"/>
        <v>0</v>
      </c>
      <c r="I6350" s="24" t="str" cm="1">
        <f t="array" ref="I6350">IFERROR(IF($B6350=I$1, ($A6350+$C6350) - MAX(IF($B$2:$B6349=$B6350, $A$2:$A6349+$C$2:$C6349)), "")*24*60, "")</f>
        <v/>
      </c>
      <c r="J6350" s="24" t="str" cm="1">
        <f t="array" ref="J6350">IFERROR(IF($B6350=J$1, ($A6350+$C6350) - MAX(IF($B$2:$B6349=$B6350, $A$2:$A6349+$C$2:$C6349)), "")*24*60, "")</f>
        <v/>
      </c>
      <c r="K6350" s="24" cm="1">
        <f t="array" ref="K6350">IFERROR(IF($B6350=K$1, ($A6350+$C6350) - MAX(IF($B$2:$B6349=$B6350, $A$2:$A6349+$C$2:$C6349)), "")*24*60, "")</f>
        <v>14.00000000372529</v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5">
        <v>0</v>
      </c>
      <c r="E6351" s="5">
        <v>3</v>
      </c>
      <c r="F6351" s="5" t="s">
        <v>8</v>
      </c>
      <c r="G6351" s="15" t="s">
        <v>9</v>
      </c>
      <c r="H6351" s="24">
        <f t="shared" si="1186"/>
        <v>0</v>
      </c>
      <c r="I6351" s="24" t="str" cm="1">
        <f t="array" ref="I6351">IFERROR(IF($B6351=I$1, ($A6351+$C6351) - MAX(IF($B$2:$B6350=$B6351, $A$2:$A6350+$C$2:$C6350)), "")*24*60, "")</f>
        <v/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cm="1">
        <f t="array" ref="Q6351">IFERROR(IF($B6351=Q$1, ($A6351+$C6351) - MAX(IF($B$2:$B6350=$B6351, $A$2:$A6350+$C$2:$C6350)), "")*24*60, "")</f>
        <v>0</v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5">
        <v>0</v>
      </c>
      <c r="E6352" s="5">
        <v>0</v>
      </c>
      <c r="F6352" s="5" t="s">
        <v>8</v>
      </c>
      <c r="G6352" s="15" t="s">
        <v>9</v>
      </c>
      <c r="H6352" s="24">
        <f t="shared" si="1186"/>
        <v>0</v>
      </c>
      <c r="I6352" s="24" t="str" cm="1">
        <f t="array" ref="I6352">IFERROR(IF($B6352=I$1, ($A6352+$C6352) - MAX(IF($B$2:$B6351=$B6352, $A$2:$A6351+$C$2:$C6351)), "")*24*60, "")</f>
        <v/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5">
        <v>0</v>
      </c>
      <c r="E6353" s="5">
        <v>5</v>
      </c>
      <c r="F6353" s="5" t="s">
        <v>8</v>
      </c>
      <c r="G6353" s="15" t="s">
        <v>9</v>
      </c>
      <c r="H6353" s="24">
        <f t="shared" si="1186"/>
        <v>0</v>
      </c>
      <c r="I6353" s="24" t="str" cm="1">
        <f t="array" ref="I6353">IFERROR(IF($B6353=I$1, ($A6353+$C6353) - MAX(IF($B$2:$B6352=$B6353, $A$2:$A6352+$C$2:$C6352)), "")*24*60, "")</f>
        <v/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cm="1">
        <f t="array" ref="Q6353">IFERROR(IF($B6353=Q$1, ($A6353+$C6353) - MAX(IF($B$2:$B6352=$B6353, $A$2:$A6352+$C$2:$C6352)), "")*24*60, "")</f>
        <v>0</v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5">
        <v>0</v>
      </c>
      <c r="E6354" s="5">
        <v>14</v>
      </c>
      <c r="F6354" s="5" t="s">
        <v>8</v>
      </c>
      <c r="G6354" s="15" t="s">
        <v>9</v>
      </c>
      <c r="H6354" s="24">
        <f t="shared" si="1186"/>
        <v>1.000000003259629</v>
      </c>
      <c r="I6354" s="24" t="str" cm="1">
        <f t="array" ref="I6354">IFERROR(IF($B6354=I$1, ($A6354+$C6354) - MAX(IF($B$2:$B6353=$B6354, $A$2:$A6353+$C$2:$C6353)), "")*24*60, "")</f>
        <v/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cm="1">
        <f t="array" ref="Q6354">IFERROR(IF($B6354=Q$1, ($A6354+$C6354) - MAX(IF($B$2:$B6353=$B6354, $A$2:$A6353+$C$2:$C6353)), "")*24*60, "")</f>
        <v>1.000000003259629</v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5">
        <v>1</v>
      </c>
      <c r="E6355" s="5">
        <v>0</v>
      </c>
      <c r="F6355" s="5" t="s">
        <v>8</v>
      </c>
      <c r="G6355" s="15" t="s">
        <v>9</v>
      </c>
      <c r="H6355" s="24">
        <f t="shared" si="1186"/>
        <v>0</v>
      </c>
      <c r="I6355" s="24" t="str" cm="1">
        <f t="array" ref="I6355">IFERROR(IF($B6355=I$1, ($A6355+$C6355) - MAX(IF($B$2:$B6354=$B6355, $A$2:$A6354+$C$2:$C6354)), "")*24*60, "")</f>
        <v/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5">
        <v>1</v>
      </c>
      <c r="E6356" s="5">
        <v>0</v>
      </c>
      <c r="F6356" s="5" t="s">
        <v>8</v>
      </c>
      <c r="G6356" s="15" t="s">
        <v>9</v>
      </c>
      <c r="H6356" s="24">
        <f t="shared" si="1186"/>
        <v>0</v>
      </c>
      <c r="I6356" s="24" t="str" cm="1">
        <f t="array" ref="I6356">IFERROR(IF($B6356=I$1, ($A6356+$C6356) - MAX(IF($B$2:$B6355=$B6356, $A$2:$A6355+$C$2:$C6355)), "")*24*60, "")</f>
        <v/>
      </c>
      <c r="J6356" s="24" t="str" cm="1">
        <f t="array" ref="J6356">IFERROR(IF($B6356=J$1, ($A6356+$C6356) - MAX(IF($B$2:$B6355=$B6356, $A$2:$A6355+$C$2:$C6355)), "")*24*60, "")</f>
        <v/>
      </c>
      <c r="K6356" s="24" cm="1">
        <f t="array" ref="K6356">IFERROR(IF($B6356=K$1, ($A6356+$C6356) - MAX(IF($B$2:$B6355=$B6356, $A$2:$A6355+$C$2:$C6355)), "")*24*60, "")</f>
        <v>1.000000003259629</v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5">
        <v>0</v>
      </c>
      <c r="E6357" s="5">
        <v>8</v>
      </c>
      <c r="F6357" s="5" t="s">
        <v>8</v>
      </c>
      <c r="G6357" s="15" t="s">
        <v>9</v>
      </c>
      <c r="H6357" s="24">
        <f t="shared" si="1186"/>
        <v>0.99999999278225005</v>
      </c>
      <c r="I6357" s="24" t="str" cm="1">
        <f t="array" ref="I6357">IFERROR(IF($B6357=I$1, ($A6357+$C6357) - MAX(IF($B$2:$B6356=$B6357, $A$2:$A6356+$C$2:$C6356)), "")*24*60, "")</f>
        <v/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cm="1">
        <f t="array" ref="Q6357">IFERROR(IF($B6357=Q$1, ($A6357+$C6357) - MAX(IF($B$2:$B6356=$B6357, $A$2:$A6356+$C$2:$C6356)), "")*24*60, "")</f>
        <v>0.99999999278225005</v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5">
        <v>1</v>
      </c>
      <c r="E6358" s="5">
        <v>0</v>
      </c>
      <c r="F6358" s="5" t="s">
        <v>8</v>
      </c>
      <c r="G6358" s="15" t="s">
        <v>9</v>
      </c>
      <c r="H6358" s="24">
        <f t="shared" si="1186"/>
        <v>0</v>
      </c>
      <c r="I6358" s="24" t="str" cm="1">
        <f t="array" ref="I6358">IFERROR(IF($B6358=I$1, ($A6358+$C6358) - MAX(IF($B$2:$B6357=$B6358, $A$2:$A6357+$C$2:$C6357)), "")*24*60, "")</f>
        <v/>
      </c>
      <c r="J6358" s="24" t="str" cm="1">
        <f t="array" ref="J6358">IFERROR(IF($B6358=J$1, ($A6358+$C6358) - MAX(IF($B$2:$B6357=$B6358, $A$2:$A6357+$C$2:$C6357)), "")*24*60, "")</f>
        <v/>
      </c>
      <c r="K6358" s="24" cm="1">
        <f t="array" ref="K6358">IFERROR(IF($B6358=K$1, ($A6358+$C6358) - MAX(IF($B$2:$B6357=$B6358, $A$2:$A6357+$C$2:$C6357)), "")*24*60, "")</f>
        <v>0.99999999278225005</v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5">
        <v>2</v>
      </c>
      <c r="E6359" s="5">
        <v>0</v>
      </c>
      <c r="F6359" s="5" t="s">
        <v>8</v>
      </c>
      <c r="G6359" s="15" t="s">
        <v>9</v>
      </c>
      <c r="H6359" s="24">
        <f t="shared" si="1186"/>
        <v>0</v>
      </c>
      <c r="I6359" s="24" t="str" cm="1">
        <f t="array" ref="I6359">IFERROR(IF($B6359=I$1, ($A6359+$C6359) - MAX(IF($B$2:$B6358=$B6359, $A$2:$A6358+$C$2:$C6358)), "")*24*60, "")</f>
        <v/>
      </c>
      <c r="J6359" s="24" t="str" cm="1">
        <f t="array" ref="J6359">IFERROR(IF($B6359=J$1, ($A6359+$C6359) - MAX(IF($B$2:$B6358=$B6359, $A$2:$A6358+$C$2:$C6358)), "")*24*60, "")</f>
        <v/>
      </c>
      <c r="K6359" s="24" cm="1">
        <f t="array" ref="K6359">IFERROR(IF($B6359=K$1, ($A6359+$C6359) - MAX(IF($B$2:$B6358=$B6359, $A$2:$A6358+$C$2:$C6358)), "")*24*60, "")</f>
        <v>0</v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5">
        <v>0</v>
      </c>
      <c r="E6360" s="5">
        <v>8</v>
      </c>
      <c r="F6360" s="5" t="s">
        <v>8</v>
      </c>
      <c r="G6360" s="15" t="s">
        <v>9</v>
      </c>
      <c r="H6360" s="24">
        <f t="shared" si="1186"/>
        <v>55.000000001164153</v>
      </c>
      <c r="I6360" s="24" t="str" cm="1">
        <f t="array" ref="I6360">IFERROR(IF($B6360=I$1, ($A6360+$C6360) - MAX(IF($B$2:$B6359=$B6360, $A$2:$A6359+$C$2:$C6359)), "")*24*60, "")</f>
        <v/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cm="1">
        <f t="array" ref="L6360">IFERROR(IF($B6360=L$1, ($A6360+$C6360) - MAX(IF($B$2:$B6359=$B6360, $A$2:$A6359+$C$2:$C6359)), "")*24*60, "")</f>
        <v>74.000000000232831</v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5">
        <v>0</v>
      </c>
      <c r="E6361" s="5">
        <v>12</v>
      </c>
      <c r="F6361" s="5" t="s">
        <v>8</v>
      </c>
      <c r="G6361" s="15" t="s">
        <v>9</v>
      </c>
      <c r="H6361" s="24">
        <f t="shared" si="1186"/>
        <v>0</v>
      </c>
      <c r="I6361" s="24" t="str" cm="1">
        <f t="array" ref="I6361">IFERROR(IF($B6361=I$1, ($A6361+$C6361) - MAX(IF($B$2:$B6360=$B6361, $A$2:$A6360+$C$2:$C6360)), "")*24*60, "")</f>
        <v/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cm="1">
        <f t="array" ref="L6361">IFERROR(IF($B6361=L$1, ($A6361+$C6361) - MAX(IF($B$2:$B6360=$B6361, $A$2:$A6360+$C$2:$C6360)), "")*24*60, "")</f>
        <v>0</v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5">
        <v>2</v>
      </c>
      <c r="E6362" s="5">
        <v>6</v>
      </c>
      <c r="F6362" s="5" t="s">
        <v>8</v>
      </c>
      <c r="G6362" s="15" t="s">
        <v>9</v>
      </c>
      <c r="H6362" s="24">
        <f t="shared" ref="H6362:H6418" si="1251">IFERROR((($A6362+$C6362) - ($A6361+$C6361))*24*60, "")</f>
        <v>1.000000003259629</v>
      </c>
      <c r="I6362" s="24" t="str" cm="1">
        <f t="array" ref="I6362">IFERROR(IF($B6362=I$1, ($A6362+$C6362) - MAX(IF($B$2:$B6361=$B6362, $A$2:$A6361+$C$2:$C6361)), "")*24*60, "")</f>
        <v/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cm="1">
        <f t="array" ref="L6362">IFERROR(IF($B6362=L$1, ($A6362+$C6362) - MAX(IF($B$2:$B6361=$B6362, $A$2:$A6361+$C$2:$C6361)), "")*24*60, "")</f>
        <v>1.000000003259629</v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5">
        <v>7</v>
      </c>
      <c r="E6363" s="5">
        <v>0</v>
      </c>
      <c r="F6363" s="5" t="s">
        <v>8</v>
      </c>
      <c r="G6363" s="15" t="s">
        <v>9</v>
      </c>
      <c r="H6363" s="24">
        <f t="shared" si="1251"/>
        <v>23.000000001629815</v>
      </c>
      <c r="I6363" s="24" t="str" cm="1">
        <f t="array" ref="I6363">IFERROR(IF($B6363=I$1, ($A6363+$C6363) - MAX(IF($B$2:$B6362=$B6363, $A$2:$A6362+$C$2:$C6362)), "")*24*60, "")</f>
        <v/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cm="1">
        <f t="array" ref="O6363">IFERROR(IF($B6363=O$1, ($A6363+$C6363) - MAX(IF($B$2:$B6362=$B6363, $A$2:$A6362+$C$2:$C6362)), "")*24*60, "")</f>
        <v>230.00000000582077</v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5">
        <v>9</v>
      </c>
      <c r="E6364" s="5">
        <v>0</v>
      </c>
      <c r="F6364" s="5" t="s">
        <v>8</v>
      </c>
      <c r="G6364" s="15" t="s">
        <v>9</v>
      </c>
      <c r="H6364" s="24">
        <f t="shared" si="1251"/>
        <v>0.99999999278225005</v>
      </c>
      <c r="I6364" s="24" t="str" cm="1">
        <f t="array" ref="I6364">IFERROR(IF($B6364=I$1, ($A6364+$C6364) - MAX(IF($B$2:$B6363=$B6364, $A$2:$A6363+$C$2:$C6363)), "")*24*60, "")</f>
        <v/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cm="1">
        <f t="array" ref="O6364">IFERROR(IF($B6364=O$1, ($A6364+$C6364) - MAX(IF($B$2:$B6363=$B6364, $A$2:$A6363+$C$2:$C6363)), "")*24*60, "")</f>
        <v>0.99999999278225005</v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5">
        <v>9</v>
      </c>
      <c r="E6365" s="5">
        <v>0</v>
      </c>
      <c r="F6365" s="5" t="s">
        <v>8</v>
      </c>
      <c r="G6365" s="15" t="s">
        <v>9</v>
      </c>
      <c r="H6365" s="24">
        <f t="shared" si="1251"/>
        <v>1.000000003259629</v>
      </c>
      <c r="I6365" s="24" t="str" cm="1">
        <f t="array" ref="I6365">IFERROR(IF($B6365=I$1, ($A6365+$C6365) - MAX(IF($B$2:$B6364=$B6365, $A$2:$A6364+$C$2:$C6364)), "")*24*60, "")</f>
        <v/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cm="1">
        <f t="array" ref="O6365">IFERROR(IF($B6365=O$1, ($A6365+$C6365) - MAX(IF($B$2:$B6364=$B6365, $A$2:$A6364+$C$2:$C6364)), "")*24*60, "")</f>
        <v>1.000000003259629</v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5">
        <v>0</v>
      </c>
      <c r="E6366" s="5">
        <v>9</v>
      </c>
      <c r="F6366" s="5" t="s">
        <v>8</v>
      </c>
      <c r="G6366" s="15" t="s">
        <v>9</v>
      </c>
      <c r="H6366" s="24">
        <f t="shared" si="1251"/>
        <v>0</v>
      </c>
      <c r="I6366" s="24" t="str" cm="1">
        <f t="array" ref="I6366">IFERROR(IF($B6366=I$1, ($A6366+$C6366) - MAX(IF($B$2:$B6365=$B6366, $A$2:$A6365+$C$2:$C6365)), "")*24*60, "")</f>
        <v/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cm="1">
        <f t="array" ref="O6366">IFERROR(IF($B6366=O$1, ($A6366+$C6366) - MAX(IF($B$2:$B6365=$B6366, $A$2:$A6365+$C$2:$C6365)), "")*24*60, "")</f>
        <v>0</v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5">
        <v>0</v>
      </c>
      <c r="E6367" s="5">
        <v>25</v>
      </c>
      <c r="F6367" s="5" t="s">
        <v>8</v>
      </c>
      <c r="G6367" s="15" t="s">
        <v>9</v>
      </c>
      <c r="H6367" s="24">
        <f t="shared" si="1251"/>
        <v>1.000000003259629</v>
      </c>
      <c r="I6367" s="24" t="str" cm="1">
        <f t="array" ref="I6367">IFERROR(IF($B6367=I$1, ($A6367+$C6367) - MAX(IF($B$2:$B6366=$B6367, $A$2:$A6366+$C$2:$C6366)), "")*24*60, "")</f>
        <v/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cm="1">
        <f t="array" ref="O6367">IFERROR(IF($B6367=O$1, ($A6367+$C6367) - MAX(IF($B$2:$B6366=$B6367, $A$2:$A6366+$C$2:$C6366)), "")*24*60, "")</f>
        <v>1.000000003259629</v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5">
        <v>0</v>
      </c>
      <c r="E6368" s="5">
        <v>17</v>
      </c>
      <c r="F6368" s="5" t="s">
        <v>8</v>
      </c>
      <c r="G6368" s="15" t="s">
        <v>9</v>
      </c>
      <c r="H6368" s="24">
        <f t="shared" si="1251"/>
        <v>0</v>
      </c>
      <c r="I6368" s="24" t="str" cm="1">
        <f t="array" ref="I6368">IFERROR(IF($B6368=I$1, ($A6368+$C6368) - MAX(IF($B$2:$B6367=$B6368, $A$2:$A6367+$C$2:$C6367)), "")*24*60, "")</f>
        <v/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cm="1">
        <f t="array" ref="O6368">IFERROR(IF($B6368=O$1, ($A6368+$C6368) - MAX(IF($B$2:$B6367=$B6368, $A$2:$A6367+$C$2:$C6367)), "")*24*60, "")</f>
        <v>0</v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5">
        <v>0</v>
      </c>
      <c r="E6369" s="5">
        <v>0</v>
      </c>
      <c r="F6369" s="5" t="s">
        <v>8</v>
      </c>
      <c r="G6369" s="15" t="s">
        <v>9</v>
      </c>
      <c r="H6369" s="24">
        <f t="shared" si="1251"/>
        <v>1.000000003259629</v>
      </c>
      <c r="I6369" s="24" t="str" cm="1">
        <f t="array" ref="I6369">IFERROR(IF($B6369=I$1, ($A6369+$C6369) - MAX(IF($B$2:$B6368=$B6369, $A$2:$A6368+$C$2:$C6368)), "")*24*60, "")</f>
        <v/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cm="1">
        <f t="array" ref="O6369">IFERROR(IF($B6369=O$1, ($A6369+$C6369) - MAX(IF($B$2:$B6368=$B6369, $A$2:$A6368+$C$2:$C6368)), "")*24*60, "")</f>
        <v>1.000000003259629</v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5">
        <v>0</v>
      </c>
      <c r="E6370" s="5">
        <v>0</v>
      </c>
      <c r="F6370" s="5" t="s">
        <v>8</v>
      </c>
      <c r="G6370" s="15" t="s">
        <v>9</v>
      </c>
      <c r="H6370" s="24">
        <f t="shared" si="1251"/>
        <v>0</v>
      </c>
      <c r="I6370" s="24" t="str" cm="1">
        <f t="array" ref="I6370">IFERROR(IF($B6370=I$1, ($A6370+$C6370) - MAX(IF($B$2:$B6369=$B6370, $A$2:$A6369+$C$2:$C6369)), "")*24*60, "")</f>
        <v/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cm="1">
        <f t="array" ref="O6370">IFERROR(IF($B6370=O$1, ($A6370+$C6370) - MAX(IF($B$2:$B6369=$B6370, $A$2:$A6369+$C$2:$C6369)), "")*24*60, "")</f>
        <v>0</v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5">
        <v>0</v>
      </c>
      <c r="E6371" s="5">
        <v>0</v>
      </c>
      <c r="F6371" s="5" t="s">
        <v>8</v>
      </c>
      <c r="G6371" s="15" t="s">
        <v>9</v>
      </c>
      <c r="H6371" s="24">
        <f t="shared" si="1251"/>
        <v>0.99999999278225005</v>
      </c>
      <c r="I6371" s="24" t="str" cm="1">
        <f t="array" ref="I6371">IFERROR(IF($B6371=I$1, ($A6371+$C6371) - MAX(IF($B$2:$B6370=$B6371, $A$2:$A6370+$C$2:$C6370)), "")*24*60, "")</f>
        <v/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cm="1">
        <f t="array" ref="O6371">IFERROR(IF($B6371=O$1, ($A6371+$C6371) - MAX(IF($B$2:$B6370=$B6371, $A$2:$A6370+$C$2:$C6370)), "")*24*60, "")</f>
        <v>0.99999999278225005</v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5">
        <v>0</v>
      </c>
      <c r="E6372" s="5">
        <v>0</v>
      </c>
      <c r="F6372" s="5" t="s">
        <v>8</v>
      </c>
      <c r="G6372" s="15" t="s">
        <v>9</v>
      </c>
      <c r="H6372" s="24">
        <f t="shared" si="1251"/>
        <v>1.000000003259629</v>
      </c>
      <c r="I6372" s="24" t="str" cm="1">
        <f t="array" ref="I6372">IFERROR(IF($B6372=I$1, ($A6372+$C6372) - MAX(IF($B$2:$B6371=$B6372, $A$2:$A6371+$C$2:$C6371)), "")*24*60, "")</f>
        <v/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cm="1">
        <f t="array" ref="O6372">IFERROR(IF($B6372=O$1, ($A6372+$C6372) - MAX(IF($B$2:$B6371=$B6372, $A$2:$A6371+$C$2:$C6371)), "")*24*60, "")</f>
        <v>1.000000003259629</v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5">
        <v>0</v>
      </c>
      <c r="E6373" s="5">
        <v>0</v>
      </c>
      <c r="F6373" s="5" t="s">
        <v>8</v>
      </c>
      <c r="G6373" s="15" t="s">
        <v>9</v>
      </c>
      <c r="H6373" s="24">
        <f t="shared" si="1251"/>
        <v>1.000000003259629</v>
      </c>
      <c r="I6373" s="24" t="str" cm="1">
        <f t="array" ref="I6373">IFERROR(IF($B6373=I$1, ($A6373+$C6373) - MAX(IF($B$2:$B6372=$B6373, $A$2:$A6372+$C$2:$C6372)), "")*24*60, "")</f>
        <v/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cm="1">
        <f t="array" ref="O6373">IFERROR(IF($B6373=O$1, ($A6373+$C6373) - MAX(IF($B$2:$B6372=$B6373, $A$2:$A6372+$C$2:$C6372)), "")*24*60, "")</f>
        <v>1.000000003259629</v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5">
        <v>0</v>
      </c>
      <c r="E6374" s="5">
        <v>0</v>
      </c>
      <c r="F6374" s="5" t="s">
        <v>8</v>
      </c>
      <c r="G6374" s="15" t="s">
        <v>9</v>
      </c>
      <c r="H6374" s="24">
        <f t="shared" si="1251"/>
        <v>0</v>
      </c>
      <c r="I6374" s="24" t="str" cm="1">
        <f t="array" ref="I6374">IFERROR(IF($B6374=I$1, ($A6374+$C6374) - MAX(IF($B$2:$B6373=$B6374, $A$2:$A6373+$C$2:$C6373)), "")*24*60, "")</f>
        <v/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cm="1">
        <f t="array" ref="O6374">IFERROR(IF($B6374=O$1, ($A6374+$C6374) - MAX(IF($B$2:$B6373=$B6374, $A$2:$A6373+$C$2:$C6373)), "")*24*60, "")</f>
        <v>0</v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5">
        <v>0</v>
      </c>
      <c r="E6375" s="5">
        <v>0</v>
      </c>
      <c r="F6375" s="5" t="s">
        <v>8</v>
      </c>
      <c r="G6375" s="15" t="s">
        <v>9</v>
      </c>
      <c r="H6375" s="24">
        <f t="shared" si="1251"/>
        <v>0.99999999278225005</v>
      </c>
      <c r="I6375" s="24" t="str" cm="1">
        <f t="array" ref="I6375">IFERROR(IF($B6375=I$1, ($A6375+$C6375) - MAX(IF($B$2:$B6374=$B6375, $A$2:$A6374+$C$2:$C6374)), "")*24*60, "")</f>
        <v/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cm="1">
        <f t="array" ref="O6375">IFERROR(IF($B6375=O$1, ($A6375+$C6375) - MAX(IF($B$2:$B6374=$B6375, $A$2:$A6374+$C$2:$C6374)), "")*24*60, "")</f>
        <v>0.99999999278225005</v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5">
        <v>0</v>
      </c>
      <c r="E6376" s="5">
        <v>0</v>
      </c>
      <c r="F6376" s="5" t="s">
        <v>8</v>
      </c>
      <c r="G6376" s="15" t="s">
        <v>9</v>
      </c>
      <c r="H6376" s="24">
        <f t="shared" si="1251"/>
        <v>0</v>
      </c>
      <c r="I6376" s="24" t="str" cm="1">
        <f t="array" ref="I6376">IFERROR(IF($B6376=I$1, ($A6376+$C6376) - MAX(IF($B$2:$B6375=$B6376, $A$2:$A6375+$C$2:$C6375)), "")*24*60, "")</f>
        <v/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cm="1">
        <f t="array" ref="O6376">IFERROR(IF($B6376=O$1, ($A6376+$C6376) - MAX(IF($B$2:$B6375=$B6376, $A$2:$A6375+$C$2:$C6375)), "")*24*60, "")</f>
        <v>0</v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5">
        <v>0</v>
      </c>
      <c r="E6377" s="5">
        <v>0</v>
      </c>
      <c r="F6377" s="5" t="s">
        <v>8</v>
      </c>
      <c r="G6377" s="15" t="s">
        <v>9</v>
      </c>
      <c r="H6377" s="24">
        <f t="shared" si="1251"/>
        <v>2.9999999993015081</v>
      </c>
      <c r="I6377" s="24" t="str" cm="1">
        <f t="array" ref="I6377">IFERROR(IF($B6377=I$1, ($A6377+$C6377) - MAX(IF($B$2:$B6376=$B6377, $A$2:$A6376+$C$2:$C6376)), "")*24*60, "")</f>
        <v/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cm="1">
        <f t="array" ref="O6377">IFERROR(IF($B6377=O$1, ($A6377+$C6377) - MAX(IF($B$2:$B6376=$B6377, $A$2:$A6376+$C$2:$C6376)), "")*24*60, "")</f>
        <v>2.9999999993015081</v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5">
        <v>0</v>
      </c>
      <c r="E6378" s="5">
        <v>0</v>
      </c>
      <c r="F6378" s="5" t="s">
        <v>8</v>
      </c>
      <c r="G6378" s="15" t="s">
        <v>9</v>
      </c>
      <c r="H6378" s="24">
        <f t="shared" si="1251"/>
        <v>0</v>
      </c>
      <c r="I6378" s="24" t="str" cm="1">
        <f t="array" ref="I6378">IFERROR(IF($B6378=I$1, ($A6378+$C6378) - MAX(IF($B$2:$B6377=$B6378, $A$2:$A6377+$C$2:$C6377)), "")*24*60, "")</f>
        <v/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cm="1">
        <f t="array" ref="O6378">IFERROR(IF($B6378=O$1, ($A6378+$C6378) - MAX(IF($B$2:$B6377=$B6378, $A$2:$A6377+$C$2:$C6377)), "")*24*60, "")</f>
        <v>0</v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5">
        <v>0</v>
      </c>
      <c r="E6379" s="5">
        <v>0</v>
      </c>
      <c r="F6379" s="5" t="s">
        <v>8</v>
      </c>
      <c r="G6379" s="15" t="s">
        <v>9</v>
      </c>
      <c r="H6379" s="24">
        <f t="shared" si="1251"/>
        <v>1.000000003259629</v>
      </c>
      <c r="I6379" s="24" t="str" cm="1">
        <f t="array" ref="I6379">IFERROR(IF($B6379=I$1, ($A6379+$C6379) - MAX(IF($B$2:$B6378=$B6379, $A$2:$A6378+$C$2:$C6378)), "")*24*60, "")</f>
        <v/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cm="1">
        <f t="array" ref="O6379">IFERROR(IF($B6379=O$1, ($A6379+$C6379) - MAX(IF($B$2:$B6378=$B6379, $A$2:$A6378+$C$2:$C6378)), "")*24*60, "")</f>
        <v>1.000000003259629</v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5">
        <v>0</v>
      </c>
      <c r="E6380" s="5">
        <v>0</v>
      </c>
      <c r="F6380" s="5" t="s">
        <v>8</v>
      </c>
      <c r="G6380" s="15" t="s">
        <v>9</v>
      </c>
      <c r="H6380" s="24">
        <f t="shared" si="1251"/>
        <v>1.000000003259629</v>
      </c>
      <c r="I6380" s="24" t="str" cm="1">
        <f t="array" ref="I6380">IFERROR(IF($B6380=I$1, ($A6380+$C6380) - MAX(IF($B$2:$B6379=$B6380, $A$2:$A6379+$C$2:$C6379)), "")*24*60, "")</f>
        <v/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cm="1">
        <f t="array" ref="O6380">IFERROR(IF($B6380=O$1, ($A6380+$C6380) - MAX(IF($B$2:$B6379=$B6380, $A$2:$A6379+$C$2:$C6379)), "")*24*60, "")</f>
        <v>1.000000003259629</v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5">
        <v>0</v>
      </c>
      <c r="E6381" s="5">
        <v>10</v>
      </c>
      <c r="F6381" s="5" t="s">
        <v>8</v>
      </c>
      <c r="G6381" s="15" t="s">
        <v>9</v>
      </c>
      <c r="H6381" s="24">
        <f t="shared" si="1251"/>
        <v>0.99999999278225005</v>
      </c>
      <c r="I6381" s="24" t="str" cm="1">
        <f t="array" ref="I6381">IFERROR(IF($B6381=I$1, ($A6381+$C6381) - MAX(IF($B$2:$B6380=$B6381, $A$2:$A6380+$C$2:$C6380)), "")*24*60, "")</f>
        <v/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cm="1">
        <f t="array" ref="O6381">IFERROR(IF($B6381=O$1, ($A6381+$C6381) - MAX(IF($B$2:$B6380=$B6381, $A$2:$A6380+$C$2:$C6380)), "")*24*60, "")</f>
        <v>0.99999999278225005</v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5">
        <v>0</v>
      </c>
      <c r="E6382" s="5">
        <v>3</v>
      </c>
      <c r="F6382" s="5" t="s">
        <v>8</v>
      </c>
      <c r="G6382" s="15" t="s">
        <v>9</v>
      </c>
      <c r="H6382" s="24">
        <f t="shared" si="1251"/>
        <v>0</v>
      </c>
      <c r="I6382" s="24" t="str" cm="1">
        <f t="array" ref="I6382">IFERROR(IF($B6382=I$1, ($A6382+$C6382) - MAX(IF($B$2:$B6381=$B6382, $A$2:$A6381+$C$2:$C6381)), "")*24*60, "")</f>
        <v/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cm="1">
        <f t="array" ref="O6382">IFERROR(IF($B6382=O$1, ($A6382+$C6382) - MAX(IF($B$2:$B6381=$B6382, $A$2:$A6381+$C$2:$C6381)), "")*24*60, "")</f>
        <v>0</v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5">
        <v>0</v>
      </c>
      <c r="E6383" s="5">
        <v>0</v>
      </c>
      <c r="F6383" s="5" t="s">
        <v>8</v>
      </c>
      <c r="G6383" s="15" t="s">
        <v>9</v>
      </c>
      <c r="H6383" s="24">
        <f t="shared" si="1251"/>
        <v>2.000000006519258</v>
      </c>
      <c r="I6383" s="24" t="str" cm="1">
        <f t="array" ref="I6383">IFERROR(IF($B6383=I$1, ($A6383+$C6383) - MAX(IF($B$2:$B6382=$B6383, $A$2:$A6382+$C$2:$C6382)), "")*24*60, "")</f>
        <v/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cm="1">
        <f t="array" ref="O6383">IFERROR(IF($B6383=O$1, ($A6383+$C6383) - MAX(IF($B$2:$B6382=$B6383, $A$2:$A6382+$C$2:$C6382)), "")*24*60, "")</f>
        <v>2.000000006519258</v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5">
        <v>0</v>
      </c>
      <c r="E6384" s="5">
        <v>20</v>
      </c>
      <c r="F6384" s="5" t="s">
        <v>8</v>
      </c>
      <c r="G6384" s="15" t="s">
        <v>9</v>
      </c>
      <c r="H6384" s="24">
        <f t="shared" si="1251"/>
        <v>1.000000003259629</v>
      </c>
      <c r="I6384" s="24" t="str" cm="1">
        <f t="array" ref="I6384">IFERROR(IF($B6384=I$1, ($A6384+$C6384) - MAX(IF($B$2:$B6383=$B6384, $A$2:$A6383+$C$2:$C6383)), "")*24*60, "")</f>
        <v/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cm="1">
        <f t="array" ref="O6384">IFERROR(IF($B6384=O$1, ($A6384+$C6384) - MAX(IF($B$2:$B6383=$B6384, $A$2:$A6383+$C$2:$C6383)), "")*24*60, "")</f>
        <v>1.000000003259629</v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5">
        <v>0</v>
      </c>
      <c r="E6385" s="5">
        <v>16</v>
      </c>
      <c r="F6385" s="5" t="s">
        <v>8</v>
      </c>
      <c r="G6385" s="15" t="s">
        <v>9</v>
      </c>
      <c r="H6385" s="24">
        <f t="shared" si="1251"/>
        <v>0</v>
      </c>
      <c r="I6385" s="24" t="str" cm="1">
        <f t="array" ref="I6385">IFERROR(IF($B6385=I$1, ($A6385+$C6385) - MAX(IF($B$2:$B6384=$B6385, $A$2:$A6384+$C$2:$C6384)), "")*24*60, "")</f>
        <v/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cm="1">
        <f t="array" ref="O6385">IFERROR(IF($B6385=O$1, ($A6385+$C6385) - MAX(IF($B$2:$B6384=$B6385, $A$2:$A6384+$C$2:$C6384)), "")*24*60, "")</f>
        <v>0</v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5">
        <v>0</v>
      </c>
      <c r="E6386" s="5">
        <v>21</v>
      </c>
      <c r="F6386" s="5" t="s">
        <v>8</v>
      </c>
      <c r="G6386" s="15" t="s">
        <v>9</v>
      </c>
      <c r="H6386" s="24">
        <f t="shared" si="1251"/>
        <v>0.99999999278225005</v>
      </c>
      <c r="I6386" s="24" t="str" cm="1">
        <f t="array" ref="I6386">IFERROR(IF($B6386=I$1, ($A6386+$C6386) - MAX(IF($B$2:$B6385=$B6386, $A$2:$A6385+$C$2:$C6385)), "")*24*60, "")</f>
        <v/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cm="1">
        <f t="array" ref="O6386">IFERROR(IF($B6386=O$1, ($A6386+$C6386) - MAX(IF($B$2:$B6385=$B6386, $A$2:$A6385+$C$2:$C6385)), "")*24*60, "")</f>
        <v>0.99999999278225005</v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5">
        <v>0</v>
      </c>
      <c r="E6387" s="5">
        <v>23</v>
      </c>
      <c r="F6387" s="5" t="s">
        <v>8</v>
      </c>
      <c r="G6387" s="15" t="s">
        <v>9</v>
      </c>
      <c r="H6387" s="24">
        <f t="shared" si="1251"/>
        <v>0</v>
      </c>
      <c r="I6387" s="24" t="str" cm="1">
        <f t="array" ref="I6387">IFERROR(IF($B6387=I$1, ($A6387+$C6387) - MAX(IF($B$2:$B6386=$B6387, $A$2:$A6386+$C$2:$C6386)), "")*24*60, "")</f>
        <v/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cm="1">
        <f t="array" ref="O6387">IFERROR(IF($B6387=O$1, ($A6387+$C6387) - MAX(IF($B$2:$B6386=$B6387, $A$2:$A6386+$C$2:$C6386)), "")*24*60, "")</f>
        <v>0</v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5">
        <v>0</v>
      </c>
      <c r="E6388" s="5">
        <v>30</v>
      </c>
      <c r="F6388" s="5" t="s">
        <v>8</v>
      </c>
      <c r="G6388" s="15" t="s">
        <v>9</v>
      </c>
      <c r="H6388" s="24">
        <f t="shared" si="1251"/>
        <v>1.000000003259629</v>
      </c>
      <c r="I6388" s="24" t="str" cm="1">
        <f t="array" ref="I6388">IFERROR(IF($B6388=I$1, ($A6388+$C6388) - MAX(IF($B$2:$B6387=$B6388, $A$2:$A6387+$C$2:$C6387)), "")*24*60, "")</f>
        <v/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cm="1">
        <f t="array" ref="O6388">IFERROR(IF($B6388=O$1, ($A6388+$C6388) - MAX(IF($B$2:$B6387=$B6388, $A$2:$A6387+$C$2:$C6387)), "")*24*60, "")</f>
        <v>1.000000003259629</v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5">
        <v>0</v>
      </c>
      <c r="E6389" s="5">
        <v>12</v>
      </c>
      <c r="F6389" s="5" t="s">
        <v>8</v>
      </c>
      <c r="G6389" s="15" t="s">
        <v>9</v>
      </c>
      <c r="H6389" s="24">
        <f t="shared" si="1251"/>
        <v>0</v>
      </c>
      <c r="I6389" s="24" t="str" cm="1">
        <f t="array" ref="I6389">IFERROR(IF($B6389=I$1, ($A6389+$C6389) - MAX(IF($B$2:$B6388=$B6389, $A$2:$A6388+$C$2:$C6388)), "")*24*60, "")</f>
        <v/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cm="1">
        <f t="array" ref="O6389">IFERROR(IF($B6389=O$1, ($A6389+$C6389) - MAX(IF($B$2:$B6388=$B6389, $A$2:$A6388+$C$2:$C6388)), "")*24*60, "")</f>
        <v>0</v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5">
        <v>0</v>
      </c>
      <c r="E6390" s="5">
        <v>0</v>
      </c>
      <c r="F6390" s="5" t="s">
        <v>8</v>
      </c>
      <c r="G6390" s="15" t="s">
        <v>9</v>
      </c>
      <c r="H6390" s="24">
        <f t="shared" si="1251"/>
        <v>1.9999999960418791</v>
      </c>
      <c r="I6390" s="24" t="str" cm="1">
        <f t="array" ref="I6390">IFERROR(IF($B6390=I$1, ($A6390+$C6390) - MAX(IF($B$2:$B6389=$B6390, $A$2:$A6389+$C$2:$C6389)), "")*24*60, "")</f>
        <v/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cm="1">
        <f t="array" ref="O6390">IFERROR(IF($B6390=O$1, ($A6390+$C6390) - MAX(IF($B$2:$B6389=$B6390, $A$2:$A6389+$C$2:$C6389)), "")*24*60, "")</f>
        <v>1.9999999960418791</v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5">
        <v>0</v>
      </c>
      <c r="E6391" s="5">
        <v>0</v>
      </c>
      <c r="F6391" s="5" t="s">
        <v>8</v>
      </c>
      <c r="G6391" s="15" t="s">
        <v>9</v>
      </c>
      <c r="H6391" s="24">
        <f t="shared" si="1251"/>
        <v>1.000000003259629</v>
      </c>
      <c r="I6391" s="24" t="str" cm="1">
        <f t="array" ref="I6391">IFERROR(IF($B6391=I$1, ($A6391+$C6391) - MAX(IF($B$2:$B6390=$B6391, $A$2:$A6390+$C$2:$C6390)), "")*24*60, "")</f>
        <v/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cm="1">
        <f t="array" ref="O6391">IFERROR(IF($B6391=O$1, ($A6391+$C6391) - MAX(IF($B$2:$B6390=$B6391, $A$2:$A6390+$C$2:$C6390)), "")*24*60, "")</f>
        <v>1.000000003259629</v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5">
        <v>0</v>
      </c>
      <c r="E6392" s="5">
        <v>0</v>
      </c>
      <c r="F6392" s="5" t="s">
        <v>8</v>
      </c>
      <c r="G6392" s="15" t="s">
        <v>9</v>
      </c>
      <c r="H6392" s="24">
        <f t="shared" si="1251"/>
        <v>0</v>
      </c>
      <c r="I6392" s="24" t="str" cm="1">
        <f t="array" ref="I6392">IFERROR(IF($B6392=I$1, ($A6392+$C6392) - MAX(IF($B$2:$B6391=$B6392, $A$2:$A6391+$C$2:$C6391)), "")*24*60, "")</f>
        <v/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cm="1">
        <f t="array" ref="O6392">IFERROR(IF($B6392=O$1, ($A6392+$C6392) - MAX(IF($B$2:$B6391=$B6392, $A$2:$A6391+$C$2:$C6391)), "")*24*60, "")</f>
        <v>0</v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5">
        <v>0</v>
      </c>
      <c r="E6393" s="5">
        <v>16</v>
      </c>
      <c r="F6393" s="5" t="s">
        <v>8</v>
      </c>
      <c r="G6393" s="15" t="s">
        <v>9</v>
      </c>
      <c r="H6393" s="24">
        <f t="shared" si="1251"/>
        <v>1.000000003259629</v>
      </c>
      <c r="I6393" s="24" t="str" cm="1">
        <f t="array" ref="I6393">IFERROR(IF($B6393=I$1, ($A6393+$C6393) - MAX(IF($B$2:$B6392=$B6393, $A$2:$A6392+$C$2:$C6392)), "")*24*60, "")</f>
        <v/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cm="1">
        <f t="array" ref="O6393">IFERROR(IF($B6393=O$1, ($A6393+$C6393) - MAX(IF($B$2:$B6392=$B6393, $A$2:$A6392+$C$2:$C6392)), "")*24*60, "")</f>
        <v>1.000000003259629</v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5">
        <v>0</v>
      </c>
      <c r="E6394" s="5">
        <v>20</v>
      </c>
      <c r="F6394" s="5" t="s">
        <v>8</v>
      </c>
      <c r="G6394" s="15" t="s">
        <v>9</v>
      </c>
      <c r="H6394" s="24">
        <f t="shared" si="1251"/>
        <v>0.99999999278225005</v>
      </c>
      <c r="I6394" s="24" t="str" cm="1">
        <f t="array" ref="I6394">IFERROR(IF($B6394=I$1, ($A6394+$C6394) - MAX(IF($B$2:$B6393=$B6394, $A$2:$A6393+$C$2:$C6393)), "")*24*60, "")</f>
        <v/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cm="1">
        <f t="array" ref="O6394">IFERROR(IF($B6394=O$1, ($A6394+$C6394) - MAX(IF($B$2:$B6393=$B6394, $A$2:$A6393+$C$2:$C6393)), "")*24*60, "")</f>
        <v>0.99999999278225005</v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5">
        <v>0</v>
      </c>
      <c r="E6395" s="5">
        <v>23</v>
      </c>
      <c r="F6395" s="5" t="s">
        <v>8</v>
      </c>
      <c r="G6395" s="15" t="s">
        <v>9</v>
      </c>
      <c r="H6395" s="24">
        <f t="shared" si="1251"/>
        <v>0</v>
      </c>
      <c r="I6395" s="24" t="str" cm="1">
        <f t="array" ref="I6395">IFERROR(IF($B6395=I$1, ($A6395+$C6395) - MAX(IF($B$2:$B6394=$B6395, $A$2:$A6394+$C$2:$C6394)), "")*24*60, "")</f>
        <v/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cm="1">
        <f t="array" ref="O6395">IFERROR(IF($B6395=O$1, ($A6395+$C6395) - MAX(IF($B$2:$B6394=$B6395, $A$2:$A6394+$C$2:$C6394)), "")*24*60, "")</f>
        <v>0</v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5">
        <v>0</v>
      </c>
      <c r="E6396" s="5">
        <v>24</v>
      </c>
      <c r="F6396" s="5" t="s">
        <v>8</v>
      </c>
      <c r="G6396" s="15" t="s">
        <v>9</v>
      </c>
      <c r="H6396" s="24">
        <f t="shared" si="1251"/>
        <v>1.000000003259629</v>
      </c>
      <c r="I6396" s="24" t="str" cm="1">
        <f t="array" ref="I6396">IFERROR(IF($B6396=I$1, ($A6396+$C6396) - MAX(IF($B$2:$B6395=$B6396, $A$2:$A6395+$C$2:$C6395)), "")*24*60, "")</f>
        <v/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cm="1">
        <f t="array" ref="O6396">IFERROR(IF($B6396=O$1, ($A6396+$C6396) - MAX(IF($B$2:$B6395=$B6396, $A$2:$A6395+$C$2:$C6395)), "")*24*60, "")</f>
        <v>1.000000003259629</v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5">
        <v>0</v>
      </c>
      <c r="E6397" s="5">
        <v>18</v>
      </c>
      <c r="F6397" s="5" t="s">
        <v>8</v>
      </c>
      <c r="G6397" s="15" t="s">
        <v>9</v>
      </c>
      <c r="H6397" s="24">
        <f t="shared" si="1251"/>
        <v>0</v>
      </c>
      <c r="I6397" s="24" t="str" cm="1">
        <f t="array" ref="I6397">IFERROR(IF($B6397=I$1, ($A6397+$C6397) - MAX(IF($B$2:$B6396=$B6397, $A$2:$A6396+$C$2:$C6396)), "")*24*60, "")</f>
        <v/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cm="1">
        <f t="array" ref="O6397">IFERROR(IF($B6397=O$1, ($A6397+$C6397) - MAX(IF($B$2:$B6396=$B6397, $A$2:$A6396+$C$2:$C6396)), "")*24*60, "")</f>
        <v>0</v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5">
        <v>0</v>
      </c>
      <c r="E6398" s="5">
        <v>0</v>
      </c>
      <c r="F6398" s="5" t="s">
        <v>8</v>
      </c>
      <c r="G6398" s="15" t="s">
        <v>9</v>
      </c>
      <c r="H6398" s="24">
        <f t="shared" si="1251"/>
        <v>1.000000003259629</v>
      </c>
      <c r="I6398" s="24" t="str" cm="1">
        <f t="array" ref="I6398">IFERROR(IF($B6398=I$1, ($A6398+$C6398) - MAX(IF($B$2:$B6397=$B6398, $A$2:$A6397+$C$2:$C6397)), "")*24*60, "")</f>
        <v/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cm="1">
        <f t="array" ref="O6398">IFERROR(IF($B6398=O$1, ($A6398+$C6398) - MAX(IF($B$2:$B6397=$B6398, $A$2:$A6397+$C$2:$C6397)), "")*24*60, "")</f>
        <v>1.000000003259629</v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5">
        <v>0</v>
      </c>
      <c r="E6399" s="5">
        <v>0</v>
      </c>
      <c r="F6399" s="5" t="s">
        <v>8</v>
      </c>
      <c r="G6399" s="15" t="s">
        <v>9</v>
      </c>
      <c r="H6399" s="24">
        <f t="shared" si="1251"/>
        <v>0</v>
      </c>
      <c r="I6399" s="24" t="str" cm="1">
        <f t="array" ref="I6399">IFERROR(IF($B6399=I$1, ($A6399+$C6399) - MAX(IF($B$2:$B6398=$B6399, $A$2:$A6398+$C$2:$C6398)), "")*24*60, "")</f>
        <v/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cm="1">
        <f t="array" ref="O6399">IFERROR(IF($B6399=O$1, ($A6399+$C6399) - MAX(IF($B$2:$B6398=$B6399, $A$2:$A6398+$C$2:$C6398)), "")*24*60, "")</f>
        <v>0</v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5">
        <v>0</v>
      </c>
      <c r="E6400" s="5">
        <v>2</v>
      </c>
      <c r="F6400" s="5" t="s">
        <v>8</v>
      </c>
      <c r="G6400" s="15" t="s">
        <v>9</v>
      </c>
      <c r="H6400" s="24">
        <f t="shared" si="1251"/>
        <v>87.999999993480742</v>
      </c>
      <c r="I6400" s="24" cm="1">
        <f t="array" ref="I6400">IFERROR(IF($B6400=I$1, ($A6400+$C6400) - MAX(IF($B$2:$B6399=$B6400, $A$2:$A6399+$C$2:$C6399)), "")*24*60, "")</f>
        <v>643.99999999324791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5">
        <v>0</v>
      </c>
      <c r="E6401" s="5">
        <v>4</v>
      </c>
      <c r="F6401" s="5" t="s">
        <v>8</v>
      </c>
      <c r="G6401" s="15" t="s">
        <v>9</v>
      </c>
      <c r="H6401" s="24">
        <f t="shared" si="1251"/>
        <v>1.000000003259629</v>
      </c>
      <c r="I6401" s="24" cm="1">
        <f t="array" ref="I6401">IFERROR(IF($B6401=I$1, ($A6401+$C6401) - MAX(IF($B$2:$B6400=$B6401, $A$2:$A6400+$C$2:$C6400)), "")*24*60, "")</f>
        <v>1.000000003259629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5">
        <v>2</v>
      </c>
      <c r="E6402" s="5">
        <v>2</v>
      </c>
      <c r="F6402" s="5" t="s">
        <v>8</v>
      </c>
      <c r="G6402" s="15" t="s">
        <v>9</v>
      </c>
      <c r="H6402" s="24">
        <f t="shared" si="1251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5">
        <v>2</v>
      </c>
      <c r="E6403" s="5">
        <v>0</v>
      </c>
      <c r="F6403" s="5" t="s">
        <v>8</v>
      </c>
      <c r="G6403" s="15" t="s">
        <v>9</v>
      </c>
      <c r="H6403" s="24">
        <f t="shared" si="1251"/>
        <v>1.000000003259629</v>
      </c>
      <c r="I6403" s="24" cm="1">
        <f t="array" ref="I6403">IFERROR(IF($B6403=I$1, ($A6403+$C6403) - MAX(IF($B$2:$B6402=$B6403, $A$2:$A6402+$C$2:$C6402)), "")*24*60, "")</f>
        <v>1.000000003259629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5">
        <v>2</v>
      </c>
      <c r="E6404" s="5">
        <v>0</v>
      </c>
      <c r="F6404" s="5" t="s">
        <v>8</v>
      </c>
      <c r="G6404" s="15" t="s">
        <v>9</v>
      </c>
      <c r="H6404" s="24">
        <f t="shared" si="1251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5">
        <v>2</v>
      </c>
      <c r="E6405" s="5">
        <v>2</v>
      </c>
      <c r="F6405" s="5" t="s">
        <v>8</v>
      </c>
      <c r="G6405" s="15" t="s">
        <v>9</v>
      </c>
      <c r="H6405" s="24">
        <f t="shared" si="1251"/>
        <v>0.99999999278225005</v>
      </c>
      <c r="I6405" s="24" cm="1">
        <f t="array" ref="I6405">IFERROR(IF($B6405=I$1, ($A6405+$C6405) - MAX(IF($B$2:$B6404=$B6405, $A$2:$A6404+$C$2:$C6404)), "")*24*60, "")</f>
        <v>0.99999999278225005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5">
        <v>2</v>
      </c>
      <c r="E6406" s="5">
        <v>0</v>
      </c>
      <c r="F6406" s="5" t="s">
        <v>8</v>
      </c>
      <c r="G6406" s="15" t="s">
        <v>9</v>
      </c>
      <c r="H6406" s="24">
        <f t="shared" si="1251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5">
        <v>1</v>
      </c>
      <c r="E6407" s="5">
        <v>1</v>
      </c>
      <c r="F6407" s="5" t="s">
        <v>8</v>
      </c>
      <c r="G6407" s="15" t="s">
        <v>9</v>
      </c>
      <c r="H6407" s="24">
        <f t="shared" si="1251"/>
        <v>1.000000003259629</v>
      </c>
      <c r="I6407" s="24" cm="1">
        <f t="array" ref="I6407">IFERROR(IF($B6407=I$1, ($A6407+$C6407) - MAX(IF($B$2:$B6406=$B6407, $A$2:$A6406+$C$2:$C6406)), "")*24*60, "")</f>
        <v>1.000000003259629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5">
        <v>0</v>
      </c>
      <c r="E6408" s="5">
        <v>0</v>
      </c>
      <c r="F6408" s="5" t="s">
        <v>8</v>
      </c>
      <c r="G6408" s="15" t="s">
        <v>9</v>
      </c>
      <c r="H6408" s="24">
        <f t="shared" si="1251"/>
        <v>1.000000003259629</v>
      </c>
      <c r="I6408" s="24" cm="1">
        <f t="array" ref="I6408">IFERROR(IF($B6408=I$1, ($A6408+$C6408) - MAX(IF($B$2:$B6407=$B6408, $A$2:$A6407+$C$2:$C6407)), "")*24*60, "")</f>
        <v>1.000000003259629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5">
        <v>0</v>
      </c>
      <c r="E6409" s="5">
        <v>2</v>
      </c>
      <c r="F6409" s="5" t="s">
        <v>8</v>
      </c>
      <c r="G6409" s="15" t="s">
        <v>9</v>
      </c>
      <c r="H6409" s="24">
        <f t="shared" si="1251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5">
        <v>1</v>
      </c>
      <c r="E6410" s="5">
        <v>2</v>
      </c>
      <c r="F6410" s="5" t="s">
        <v>8</v>
      </c>
      <c r="G6410" s="15" t="s">
        <v>9</v>
      </c>
      <c r="H6410" s="24">
        <f t="shared" si="1251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5">
        <v>4</v>
      </c>
      <c r="E6411" s="5">
        <v>0</v>
      </c>
      <c r="F6411" s="5" t="s">
        <v>8</v>
      </c>
      <c r="G6411" s="15" t="s">
        <v>9</v>
      </c>
      <c r="H6411" s="24">
        <f t="shared" si="1251"/>
        <v>0.99999999278225005</v>
      </c>
      <c r="I6411" s="24" cm="1">
        <f t="array" ref="I6411">IFERROR(IF($B6411=I$1, ($A6411+$C6411) - MAX(IF($B$2:$B6410=$B6411, $A$2:$A6410+$C$2:$C6410)), "")*24*60, "")</f>
        <v>0.99999999278225005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5">
        <v>3</v>
      </c>
      <c r="E6412" s="5">
        <v>1</v>
      </c>
      <c r="F6412" s="5" t="s">
        <v>8</v>
      </c>
      <c r="G6412" s="15" t="s">
        <v>9</v>
      </c>
      <c r="H6412" s="24">
        <f t="shared" si="1251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5">
        <v>0</v>
      </c>
      <c r="E6413" s="5">
        <v>2</v>
      </c>
      <c r="F6413" s="5" t="s">
        <v>8</v>
      </c>
      <c r="G6413" s="15" t="s">
        <v>9</v>
      </c>
      <c r="H6413" s="24">
        <f t="shared" si="1251"/>
        <v>1.000000003259629</v>
      </c>
      <c r="I6413" s="24" cm="1">
        <f t="array" ref="I6413">IFERROR(IF($B6413=I$1, ($A6413+$C6413) - MAX(IF($B$2:$B6412=$B6413, $A$2:$A6412+$C$2:$C6412)), "")*24*60, "")</f>
        <v>1.000000003259629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5">
        <v>0</v>
      </c>
      <c r="E6414" s="5">
        <v>4</v>
      </c>
      <c r="F6414" s="5" t="s">
        <v>8</v>
      </c>
      <c r="G6414" s="15" t="s">
        <v>9</v>
      </c>
      <c r="H6414" s="24">
        <f t="shared" si="1251"/>
        <v>1.000000003259629</v>
      </c>
      <c r="I6414" s="24" cm="1">
        <f t="array" ref="I6414">IFERROR(IF($B6414=I$1, ($A6414+$C6414) - MAX(IF($B$2:$B6413=$B6414, $A$2:$A6413+$C$2:$C6413)), "")*24*60, "")</f>
        <v>1.000000003259629</v>
      </c>
      <c r="J6414" s="24" t="str" cm="1">
        <f t="array" ref="J6414">IFERROR(IF($B6414=J$1, ($A6414+$C6414) - MAX(IF($B$2:$B6413=$B6414, $A$2:$A6413+$C$2:$C6413)), "")*24*60, "")</f>
        <v/>
      </c>
      <c r="K6414" s="24" t="str" cm="1">
        <f t="array" ref="K6414">IFERROR(IF($B6414=K$1, ($A6414+$C6414) - MAX(IF($B$2:$B6413=$B6414, $A$2:$A6413+$C$2:$C6413)), "")*24*60, "")</f>
        <v/>
      </c>
      <c r="L6414" s="24" t="str" cm="1">
        <f t="array" ref="L6414">IFERROR(IF($B6414=L$1, ($A6414+$C6414) - MAX(IF($B$2:$B6413=$B6414, $A$2:$A6413+$C$2:$C6413)), "")*24*60, "")</f>
        <v/>
      </c>
      <c r="M6414" s="24" t="str" cm="1">
        <f t="array" ref="M6414">IFERROR(IF($B6414=M$1, ($A6414+$C6414) - MAX(IF($B$2:$B6413=$B6414, $A$2:$A6413+$C$2:$C6413)), "")*24*60, "")</f>
        <v/>
      </c>
      <c r="N6414" s="24" t="str" cm="1">
        <f t="array" ref="N6414">IFERROR(IF($B6414=N$1, ($A6414+$C6414) - MAX(IF($B$2:$B6413=$B6414, $A$2:$A6413+$C$2:$C6413)), "")*24*60, "")</f>
        <v/>
      </c>
      <c r="O6414" s="24" t="str" cm="1">
        <f t="array" ref="O6414">IFERROR(IF($B6414=O$1, ($A6414+$C6414) - MAX(IF($B$2:$B6413=$B6414, $A$2:$A6413+$C$2:$C6413)), "")*24*60, "")</f>
        <v/>
      </c>
      <c r="P6414" s="24" t="str" cm="1">
        <f t="array" ref="P6414">IFERROR(IF($B6414=P$1, ($A6414+$C6414) - MAX(IF($B$2:$B6413=$B6414, $A$2:$A6413+$C$2:$C6413)), "")*24*60, "")</f>
        <v/>
      </c>
      <c r="Q6414" s="24" t="str" cm="1">
        <f t="array" ref="Q6414">IFERROR(IF($B6414=Q$1, ($A6414+$C6414) - MAX(IF($B$2:$B6413=$B6414, $A$2:$A6413+$C$2:$C6413)), "")*24*60, "")</f>
        <v/>
      </c>
      <c r="R6414" s="24" t="str" cm="1">
        <f t="array" ref="R6414">IFERROR(IF($B6414=R$1, ($A6414+$C6414) - MAX(IF($B$2:$B6413=$B6414, $A$2:$A6413+$C$2:$C6413)), "")*24*60, "")</f>
        <v/>
      </c>
      <c r="S6414" s="24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5">
        <v>0</v>
      </c>
      <c r="E6415" s="5">
        <v>2</v>
      </c>
      <c r="F6415" s="5" t="s">
        <v>8</v>
      </c>
      <c r="G6415" s="15" t="s">
        <v>9</v>
      </c>
      <c r="H6415" s="24">
        <f t="shared" si="1251"/>
        <v>0</v>
      </c>
      <c r="I6415" s="24" cm="1">
        <f t="array" ref="I6415">IFERROR(IF($B6415=I$1, ($A6415+$C6415) - MAX(IF($B$2:$B6414=$B6415, $A$2:$A6414+$C$2:$C6414)), "")*24*60, "")</f>
        <v>0</v>
      </c>
      <c r="J6415" s="24" t="str" cm="1">
        <f t="array" ref="J6415">IFERROR(IF($B6415=J$1, ($A6415+$C6415) - MAX(IF($B$2:$B6414=$B6415, $A$2:$A6414+$C$2:$C6414)), "")*24*60, "")</f>
        <v/>
      </c>
      <c r="K6415" s="24" t="str" cm="1">
        <f t="array" ref="K6415">IFERROR(IF($B6415=K$1, ($A6415+$C6415) - MAX(IF($B$2:$B6414=$B6415, $A$2:$A6414+$C$2:$C6414)), "")*24*60, "")</f>
        <v/>
      </c>
      <c r="L6415" s="24" t="str" cm="1">
        <f t="array" ref="L6415">IFERROR(IF($B6415=L$1, ($A6415+$C6415) - MAX(IF($B$2:$B6414=$B6415, $A$2:$A6414+$C$2:$C6414)), "")*24*60, "")</f>
        <v/>
      </c>
      <c r="M6415" s="24" t="str" cm="1">
        <f t="array" ref="M6415">IFERROR(IF($B6415=M$1, ($A6415+$C6415) - MAX(IF($B$2:$B6414=$B6415, $A$2:$A6414+$C$2:$C6414)), "")*24*60, "")</f>
        <v/>
      </c>
      <c r="N6415" s="24" t="str" cm="1">
        <f t="array" ref="N6415">IFERROR(IF($B6415=N$1, ($A6415+$C6415) - MAX(IF($B$2:$B6414=$B6415, $A$2:$A6414+$C$2:$C6414)), "")*24*60, "")</f>
        <v/>
      </c>
      <c r="O6415" s="24" t="str" cm="1">
        <f t="array" ref="O6415">IFERROR(IF($B6415=O$1, ($A6415+$C6415) - MAX(IF($B$2:$B6414=$B6415, $A$2:$A6414+$C$2:$C6414)), "")*24*60, "")</f>
        <v/>
      </c>
      <c r="P6415" s="24" t="str" cm="1">
        <f t="array" ref="P6415">IFERROR(IF($B6415=P$1, ($A6415+$C6415) - MAX(IF($B$2:$B6414=$B6415, $A$2:$A6414+$C$2:$C6414)), "")*24*60, "")</f>
        <v/>
      </c>
      <c r="Q6415" s="24" t="str" cm="1">
        <f t="array" ref="Q6415">IFERROR(IF($B6415=Q$1, ($A6415+$C6415) - MAX(IF($B$2:$B6414=$B6415, $A$2:$A6414+$C$2:$C6414)), "")*24*60, "")</f>
        <v/>
      </c>
      <c r="R6415" s="24" t="str" cm="1">
        <f t="array" ref="R6415">IFERROR(IF($B6415=R$1, ($A6415+$C6415) - MAX(IF($B$2:$B6414=$B6415, $A$2:$A6414+$C$2:$C6414)), "")*24*60, "")</f>
        <v/>
      </c>
      <c r="S6415" s="24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5">
        <v>1</v>
      </c>
      <c r="E6416" s="5">
        <v>0</v>
      </c>
      <c r="F6416" s="5" t="s">
        <v>8</v>
      </c>
      <c r="G6416" s="15" t="s">
        <v>9</v>
      </c>
      <c r="H6416" s="24">
        <f t="shared" si="1251"/>
        <v>1.000000003259629</v>
      </c>
      <c r="I6416" s="24" cm="1">
        <f t="array" ref="I6416">IFERROR(IF($B6416=I$1, ($A6416+$C6416) - MAX(IF($B$2:$B6415=$B6416, $A$2:$A6415+$C$2:$C6415)), "")*24*60, "")</f>
        <v>1.000000003259629</v>
      </c>
      <c r="J6416" s="24" t="str" cm="1">
        <f t="array" ref="J6416">IFERROR(IF($B6416=J$1, ($A6416+$C6416) - MAX(IF($B$2:$B6415=$B6416, $A$2:$A6415+$C$2:$C6415)), "")*24*60, "")</f>
        <v/>
      </c>
      <c r="K6416" s="24" t="str" cm="1">
        <f t="array" ref="K6416">IFERROR(IF($B6416=K$1, ($A6416+$C6416) - MAX(IF($B$2:$B6415=$B6416, $A$2:$A6415+$C$2:$C6415)), "")*24*60, "")</f>
        <v/>
      </c>
      <c r="L6416" s="24" t="str" cm="1">
        <f t="array" ref="L6416">IFERROR(IF($B6416=L$1, ($A6416+$C6416) - MAX(IF($B$2:$B6415=$B6416, $A$2:$A6415+$C$2:$C6415)), "")*24*60, "")</f>
        <v/>
      </c>
      <c r="M6416" s="24" t="str" cm="1">
        <f t="array" ref="M6416">IFERROR(IF($B6416=M$1, ($A6416+$C6416) - MAX(IF($B$2:$B6415=$B6416, $A$2:$A6415+$C$2:$C6415)), "")*24*60, "")</f>
        <v/>
      </c>
      <c r="N6416" s="24" t="str" cm="1">
        <f t="array" ref="N6416">IFERROR(IF($B6416=N$1, ($A6416+$C6416) - MAX(IF($B$2:$B6415=$B6416, $A$2:$A6415+$C$2:$C6415)), "")*24*60, "")</f>
        <v/>
      </c>
      <c r="O6416" s="24" t="str" cm="1">
        <f t="array" ref="O6416">IFERROR(IF($B6416=O$1, ($A6416+$C6416) - MAX(IF($B$2:$B6415=$B6416, $A$2:$A6415+$C$2:$C6415)), "")*24*60, "")</f>
        <v/>
      </c>
      <c r="P6416" s="24" t="str" cm="1">
        <f t="array" ref="P6416">IFERROR(IF($B6416=P$1, ($A6416+$C6416) - MAX(IF($B$2:$B6415=$B6416, $A$2:$A6415+$C$2:$C6415)), "")*24*60, "")</f>
        <v/>
      </c>
      <c r="Q6416" s="24" t="str" cm="1">
        <f t="array" ref="Q6416">IFERROR(IF($B6416=Q$1, ($A6416+$C6416) - MAX(IF($B$2:$B6415=$B6416, $A$2:$A6415+$C$2:$C6415)), "")*24*60, "")</f>
        <v/>
      </c>
      <c r="R6416" s="24" t="str" cm="1">
        <f t="array" ref="R6416">IFERROR(IF($B6416=R$1, ($A6416+$C6416) - MAX(IF($B$2:$B6415=$B6416, $A$2:$A6415+$C$2:$C6415)), "")*24*60, "")</f>
        <v/>
      </c>
      <c r="S6416" s="24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5">
        <v>3</v>
      </c>
      <c r="E6417" s="5">
        <v>0</v>
      </c>
      <c r="F6417" s="5" t="s">
        <v>8</v>
      </c>
      <c r="G6417" s="15" t="s">
        <v>9</v>
      </c>
      <c r="H6417" s="24">
        <f t="shared" si="1251"/>
        <v>0</v>
      </c>
      <c r="I6417" s="24" cm="1">
        <f t="array" ref="I6417">IFERROR(IF($B6417=I$1, ($A6417+$C6417) - MAX(IF($B$2:$B6416=$B6417, $A$2:$A6416+$C$2:$C6416)), "")*24*60, "")</f>
        <v>0</v>
      </c>
      <c r="J6417" s="24" t="str" cm="1">
        <f t="array" ref="J6417">IFERROR(IF($B6417=J$1, ($A6417+$C6417) - MAX(IF($B$2:$B6416=$B6417, $A$2:$A6416+$C$2:$C6416)), "")*24*60, "")</f>
        <v/>
      </c>
      <c r="K6417" s="24" t="str" cm="1">
        <f t="array" ref="K6417">IFERROR(IF($B6417=K$1, ($A6417+$C6417) - MAX(IF($B$2:$B6416=$B6417, $A$2:$A6416+$C$2:$C6416)), "")*24*60, "")</f>
        <v/>
      </c>
      <c r="L6417" s="24" t="str" cm="1">
        <f t="array" ref="L6417">IFERROR(IF($B6417=L$1, ($A6417+$C6417) - MAX(IF($B$2:$B6416=$B6417, $A$2:$A6416+$C$2:$C6416)), "")*24*60, "")</f>
        <v/>
      </c>
      <c r="M6417" s="24" t="str" cm="1">
        <f t="array" ref="M6417">IFERROR(IF($B6417=M$1, ($A6417+$C6417) - MAX(IF($B$2:$B6416=$B6417, $A$2:$A6416+$C$2:$C6416)), "")*24*60, "")</f>
        <v/>
      </c>
      <c r="N6417" s="24" t="str" cm="1">
        <f t="array" ref="N6417">IFERROR(IF($B6417=N$1, ($A6417+$C6417) - MAX(IF($B$2:$B6416=$B6417, $A$2:$A6416+$C$2:$C6416)), "")*24*60, "")</f>
        <v/>
      </c>
      <c r="O6417" s="24" t="str" cm="1">
        <f t="array" ref="O6417">IFERROR(IF($B6417=O$1, ($A6417+$C6417) - MAX(IF($B$2:$B6416=$B6417, $A$2:$A6416+$C$2:$C6416)), "")*24*60, "")</f>
        <v/>
      </c>
      <c r="P6417" s="24" t="str" cm="1">
        <f t="array" ref="P6417">IFERROR(IF($B6417=P$1, ($A6417+$C6417) - MAX(IF($B$2:$B6416=$B6417, $A$2:$A6416+$C$2:$C6416)), "")*24*60, "")</f>
        <v/>
      </c>
      <c r="Q6417" s="24" t="str" cm="1">
        <f t="array" ref="Q6417">IFERROR(IF($B6417=Q$1, ($A6417+$C6417) - MAX(IF($B$2:$B6416=$B6417, $A$2:$A6416+$C$2:$C6416)), "")*24*60, "")</f>
        <v/>
      </c>
      <c r="R6417" s="24" t="str" cm="1">
        <f t="array" ref="R6417">IFERROR(IF($B6417=R$1, ($A6417+$C6417) - MAX(IF($B$2:$B6416=$B6417, $A$2:$A6416+$C$2:$C6416)), "")*24*60, "")</f>
        <v/>
      </c>
      <c r="S6417" s="24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7">
        <v>3</v>
      </c>
      <c r="E6418" s="7">
        <v>0</v>
      </c>
      <c r="F6418" s="7" t="s">
        <v>8</v>
      </c>
      <c r="G6418" s="16" t="s">
        <v>9</v>
      </c>
      <c r="H6418" s="25">
        <f t="shared" si="1251"/>
        <v>0.99999999278225005</v>
      </c>
      <c r="I6418" s="25" cm="1">
        <f t="array" ref="I6418">IFERROR(IF($B6418=I$1, ($A6418+$C6418) - MAX(IF($B$2:$B6417=$B6418, $A$2:$A6417+$C$2:$C6417)), "")*24*60, "")</f>
        <v>0.99999999278225005</v>
      </c>
      <c r="J6418" s="25" t="str" cm="1">
        <f t="array" ref="J6418">IFERROR(IF($B6418=J$1, ($A6418+$C6418) - MAX(IF($B$2:$B6417=$B6418, $A$2:$A6417+$C$2:$C6417)), "")*24*60, "")</f>
        <v/>
      </c>
      <c r="K6418" s="25" t="str" cm="1">
        <f t="array" ref="K6418">IFERROR(IF($B6418=K$1, ($A6418+$C6418) - MAX(IF($B$2:$B6417=$B6418, $A$2:$A6417+$C$2:$C6417)), "")*24*60, "")</f>
        <v/>
      </c>
      <c r="L6418" s="25" t="str" cm="1">
        <f t="array" ref="L6418">IFERROR(IF($B6418=L$1, ($A6418+$C6418) - MAX(IF($B$2:$B6417=$B6418, $A$2:$A6417+$C$2:$C6417)), "")*24*60, "")</f>
        <v/>
      </c>
      <c r="M6418" s="25" t="str" cm="1">
        <f t="array" ref="M6418">IFERROR(IF($B6418=M$1, ($A6418+$C6418) - MAX(IF($B$2:$B6417=$B6418, $A$2:$A6417+$C$2:$C6417)), "")*24*60, "")</f>
        <v/>
      </c>
      <c r="N6418" s="25" t="str" cm="1">
        <f t="array" ref="N6418">IFERROR(IF($B6418=N$1, ($A6418+$C6418) - MAX(IF($B$2:$B6417=$B6418, $A$2:$A6417+$C$2:$C6417)), "")*24*60, "")</f>
        <v/>
      </c>
      <c r="O6418" s="25" t="str" cm="1">
        <f t="array" ref="O6418">IFERROR(IF($B6418=O$1, ($A6418+$C6418) - MAX(IF($B$2:$B6417=$B6418, $A$2:$A6417+$C$2:$C6417)), "")*24*60, "")</f>
        <v/>
      </c>
      <c r="P6418" s="25" t="str" cm="1">
        <f t="array" ref="P6418">IFERROR(IF($B6418=P$1, ($A6418+$C6418) - MAX(IF($B$2:$B6417=$B6418, $A$2:$A6417+$C$2:$C6417)), "")*24*60, "")</f>
        <v/>
      </c>
      <c r="Q6418" s="25" t="str" cm="1">
        <f t="array" ref="Q6418">IFERROR(IF($B6418=Q$1, ($A6418+$C6418) - MAX(IF($B$2:$B6417=$B6418, $A$2:$A6417+$C$2:$C6417)), "")*24*60, "")</f>
        <v/>
      </c>
      <c r="R6418" s="25" t="str" cm="1">
        <f t="array" ref="R6418">IFERROR(IF($B6418=R$1, ($A6418+$C6418) - MAX(IF($B$2:$B6417=$B6418, $A$2:$A6417+$C$2:$C6417)), "")*24*60, "")</f>
        <v/>
      </c>
      <c r="S6418" s="25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5">
        <v>0</v>
      </c>
      <c r="E6419" s="5">
        <v>0</v>
      </c>
      <c r="F6419" s="5" t="s">
        <v>8</v>
      </c>
      <c r="G6419" s="15" t="s">
        <v>9</v>
      </c>
      <c r="H6419" s="24">
        <v>841.99999999953434</v>
      </c>
      <c r="I6419" s="24" t="s">
        <v>21</v>
      </c>
      <c r="J6419" s="24" t="s">
        <v>21</v>
      </c>
      <c r="K6419" s="24" t="s">
        <v>21</v>
      </c>
      <c r="L6419" s="24" t="s">
        <v>21</v>
      </c>
      <c r="M6419" s="24" t="s">
        <v>21</v>
      </c>
      <c r="N6419" s="24" t="s">
        <v>21</v>
      </c>
      <c r="O6419" s="24">
        <v>939.99999999417923</v>
      </c>
      <c r="P6419" s="24" t="s">
        <v>21</v>
      </c>
      <c r="Q6419" s="24" t="s">
        <v>21</v>
      </c>
      <c r="R6419" s="24" t="s">
        <v>21</v>
      </c>
      <c r="S6419" s="24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5">
        <v>0</v>
      </c>
      <c r="E6420" s="5">
        <v>0</v>
      </c>
      <c r="F6420" s="5" t="s">
        <v>8</v>
      </c>
      <c r="G6420" s="15" t="s">
        <v>9</v>
      </c>
      <c r="H6420" s="24">
        <v>1.000000003259629</v>
      </c>
      <c r="I6420" s="24" t="s">
        <v>21</v>
      </c>
      <c r="J6420" s="24" t="s">
        <v>21</v>
      </c>
      <c r="K6420" s="24" t="s">
        <v>21</v>
      </c>
      <c r="L6420" s="24" t="s">
        <v>21</v>
      </c>
      <c r="M6420" s="24" t="s">
        <v>21</v>
      </c>
      <c r="N6420" s="24" t="s">
        <v>21</v>
      </c>
      <c r="O6420" s="24">
        <v>1.000000003259629</v>
      </c>
      <c r="P6420" s="24" t="s">
        <v>21</v>
      </c>
      <c r="Q6420" s="24" t="s">
        <v>21</v>
      </c>
      <c r="R6420" s="24" t="s">
        <v>21</v>
      </c>
      <c r="S6420" s="24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5">
        <v>4</v>
      </c>
      <c r="E6421" s="5">
        <v>1</v>
      </c>
      <c r="F6421" s="5" t="s">
        <v>8</v>
      </c>
      <c r="G6421" s="15" t="s">
        <v>9</v>
      </c>
      <c r="H6421" s="24">
        <v>0</v>
      </c>
      <c r="I6421" s="24" t="s">
        <v>21</v>
      </c>
      <c r="J6421" s="24" t="s">
        <v>21</v>
      </c>
      <c r="K6421" s="24" t="s">
        <v>21</v>
      </c>
      <c r="L6421" s="24" t="s">
        <v>21</v>
      </c>
      <c r="M6421" s="24" t="s">
        <v>21</v>
      </c>
      <c r="N6421" s="24" t="s">
        <v>21</v>
      </c>
      <c r="O6421" s="24">
        <v>0</v>
      </c>
      <c r="P6421" s="24" t="s">
        <v>21</v>
      </c>
      <c r="Q6421" s="24" t="s">
        <v>21</v>
      </c>
      <c r="R6421" s="24" t="s">
        <v>21</v>
      </c>
      <c r="S6421" s="24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5">
        <v>7</v>
      </c>
      <c r="E6422" s="5">
        <v>7</v>
      </c>
      <c r="F6422" s="5" t="s">
        <v>8</v>
      </c>
      <c r="G6422" s="15" t="s">
        <v>9</v>
      </c>
      <c r="H6422" s="24">
        <v>1.000000003259629</v>
      </c>
      <c r="I6422" s="24" t="s">
        <v>21</v>
      </c>
      <c r="J6422" s="24" t="s">
        <v>21</v>
      </c>
      <c r="K6422" s="24" t="s">
        <v>21</v>
      </c>
      <c r="L6422" s="24" t="s">
        <v>21</v>
      </c>
      <c r="M6422" s="24" t="s">
        <v>21</v>
      </c>
      <c r="N6422" s="24" t="s">
        <v>21</v>
      </c>
      <c r="O6422" s="24">
        <v>1.000000003259629</v>
      </c>
      <c r="P6422" s="24" t="s">
        <v>21</v>
      </c>
      <c r="Q6422" s="24" t="s">
        <v>21</v>
      </c>
      <c r="R6422" s="24" t="s">
        <v>21</v>
      </c>
      <c r="S6422" s="24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5">
        <v>3</v>
      </c>
      <c r="E6423" s="5">
        <v>1</v>
      </c>
      <c r="F6423" s="5" t="s">
        <v>8</v>
      </c>
      <c r="G6423" s="15" t="s">
        <v>9</v>
      </c>
      <c r="H6423" s="24">
        <v>0</v>
      </c>
      <c r="I6423" s="24" t="s">
        <v>21</v>
      </c>
      <c r="J6423" s="24" t="s">
        <v>21</v>
      </c>
      <c r="K6423" s="24" t="s">
        <v>21</v>
      </c>
      <c r="L6423" s="24" t="s">
        <v>21</v>
      </c>
      <c r="M6423" s="24" t="s">
        <v>21</v>
      </c>
      <c r="N6423" s="24" t="s">
        <v>21</v>
      </c>
      <c r="O6423" s="24">
        <v>0</v>
      </c>
      <c r="P6423" s="24" t="s">
        <v>21</v>
      </c>
      <c r="Q6423" s="24" t="s">
        <v>21</v>
      </c>
      <c r="R6423" s="24" t="s">
        <v>21</v>
      </c>
      <c r="S6423" s="24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5">
        <v>7</v>
      </c>
      <c r="E6424" s="5">
        <v>0</v>
      </c>
      <c r="F6424" s="5" t="s">
        <v>8</v>
      </c>
      <c r="G6424" s="15" t="s">
        <v>9</v>
      </c>
      <c r="H6424" s="24">
        <v>0.99999999278225005</v>
      </c>
      <c r="I6424" s="24" t="s">
        <v>21</v>
      </c>
      <c r="J6424" s="24" t="s">
        <v>21</v>
      </c>
      <c r="K6424" s="24" t="s">
        <v>21</v>
      </c>
      <c r="L6424" s="24" t="s">
        <v>21</v>
      </c>
      <c r="M6424" s="24" t="s">
        <v>21</v>
      </c>
      <c r="N6424" s="24" t="s">
        <v>21</v>
      </c>
      <c r="O6424" s="24">
        <v>0.99999999278225005</v>
      </c>
      <c r="P6424" s="24" t="s">
        <v>21</v>
      </c>
      <c r="Q6424" s="24" t="s">
        <v>21</v>
      </c>
      <c r="R6424" s="24" t="s">
        <v>21</v>
      </c>
      <c r="S6424" s="24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5">
        <v>0</v>
      </c>
      <c r="E6425" s="5">
        <v>0</v>
      </c>
      <c r="F6425" s="5" t="s">
        <v>8</v>
      </c>
      <c r="G6425" s="15" t="s">
        <v>9</v>
      </c>
      <c r="H6425" s="24">
        <v>0</v>
      </c>
      <c r="I6425" s="24" t="s">
        <v>21</v>
      </c>
      <c r="J6425" s="24" t="s">
        <v>21</v>
      </c>
      <c r="K6425" s="24" t="s">
        <v>21</v>
      </c>
      <c r="L6425" s="24" t="s">
        <v>21</v>
      </c>
      <c r="M6425" s="24" t="s">
        <v>21</v>
      </c>
      <c r="N6425" s="24" t="s">
        <v>21</v>
      </c>
      <c r="O6425" s="24">
        <v>0</v>
      </c>
      <c r="P6425" s="24" t="s">
        <v>21</v>
      </c>
      <c r="Q6425" s="24" t="s">
        <v>21</v>
      </c>
      <c r="R6425" s="24" t="s">
        <v>21</v>
      </c>
      <c r="S6425" s="24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5">
        <v>0</v>
      </c>
      <c r="E6426" s="5">
        <v>0</v>
      </c>
      <c r="F6426" s="5" t="s">
        <v>8</v>
      </c>
      <c r="G6426" s="15" t="s">
        <v>9</v>
      </c>
      <c r="H6426" s="24">
        <v>1.000000003259629</v>
      </c>
      <c r="I6426" s="24" t="s">
        <v>21</v>
      </c>
      <c r="J6426" s="24" t="s">
        <v>21</v>
      </c>
      <c r="K6426" s="24" t="s">
        <v>21</v>
      </c>
      <c r="L6426" s="24" t="s">
        <v>21</v>
      </c>
      <c r="M6426" s="24" t="s">
        <v>21</v>
      </c>
      <c r="N6426" s="24" t="s">
        <v>21</v>
      </c>
      <c r="O6426" s="24">
        <v>1.000000003259629</v>
      </c>
      <c r="P6426" s="24" t="s">
        <v>21</v>
      </c>
      <c r="Q6426" s="24" t="s">
        <v>21</v>
      </c>
      <c r="R6426" s="24" t="s">
        <v>21</v>
      </c>
      <c r="S6426" s="24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5">
        <v>1</v>
      </c>
      <c r="E6427" s="5">
        <v>0</v>
      </c>
      <c r="F6427" s="5" t="s">
        <v>8</v>
      </c>
      <c r="G6427" s="15" t="s">
        <v>9</v>
      </c>
      <c r="H6427" s="24">
        <v>146.00000000442378</v>
      </c>
      <c r="I6427" s="24" t="s">
        <v>21</v>
      </c>
      <c r="J6427" s="24" t="s">
        <v>21</v>
      </c>
      <c r="K6427" s="24">
        <v>1195.0000000081491</v>
      </c>
      <c r="L6427" s="24" t="s">
        <v>21</v>
      </c>
      <c r="M6427" s="24" t="s">
        <v>21</v>
      </c>
      <c r="N6427" s="24" t="s">
        <v>21</v>
      </c>
      <c r="O6427" s="24" t="s">
        <v>21</v>
      </c>
      <c r="P6427" s="24" t="s">
        <v>21</v>
      </c>
      <c r="Q6427" s="24" t="s">
        <v>21</v>
      </c>
      <c r="R6427" s="24" t="s">
        <v>21</v>
      </c>
      <c r="S6427" s="24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5">
        <v>1</v>
      </c>
      <c r="E6428" s="5">
        <v>0</v>
      </c>
      <c r="F6428" s="5" t="s">
        <v>8</v>
      </c>
      <c r="G6428" s="15" t="s">
        <v>9</v>
      </c>
      <c r="H6428" s="24">
        <v>95.999999998603016</v>
      </c>
      <c r="I6428" s="24" t="s">
        <v>21</v>
      </c>
      <c r="J6428" s="24">
        <v>1294.0000000060536</v>
      </c>
      <c r="K6428" s="24" t="s">
        <v>21</v>
      </c>
      <c r="L6428" s="24" t="s">
        <v>21</v>
      </c>
      <c r="M6428" s="24" t="s">
        <v>21</v>
      </c>
      <c r="N6428" s="24" t="s">
        <v>21</v>
      </c>
      <c r="O6428" s="24" t="s">
        <v>21</v>
      </c>
      <c r="P6428" s="24" t="s">
        <v>21</v>
      </c>
      <c r="Q6428" s="24" t="s">
        <v>21</v>
      </c>
      <c r="R6428" s="24" t="s">
        <v>21</v>
      </c>
      <c r="S6428" s="24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5">
        <v>1</v>
      </c>
      <c r="E6429" s="5">
        <v>0</v>
      </c>
      <c r="F6429" s="5" t="s">
        <v>8</v>
      </c>
      <c r="G6429" s="15" t="s">
        <v>9</v>
      </c>
      <c r="H6429" s="24">
        <v>0</v>
      </c>
      <c r="I6429" s="24" t="s">
        <v>21</v>
      </c>
      <c r="J6429" s="24">
        <v>0</v>
      </c>
      <c r="K6429" s="24" t="s">
        <v>21</v>
      </c>
      <c r="L6429" s="24" t="s">
        <v>21</v>
      </c>
      <c r="M6429" s="24" t="s">
        <v>21</v>
      </c>
      <c r="N6429" s="24" t="s">
        <v>21</v>
      </c>
      <c r="O6429" s="24" t="s">
        <v>21</v>
      </c>
      <c r="P6429" s="24" t="s">
        <v>21</v>
      </c>
      <c r="Q6429" s="24" t="s">
        <v>21</v>
      </c>
      <c r="R6429" s="24" t="s">
        <v>21</v>
      </c>
      <c r="S6429" s="24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5">
        <v>1</v>
      </c>
      <c r="E6430" s="5">
        <v>0</v>
      </c>
      <c r="F6430" s="5" t="s">
        <v>8</v>
      </c>
      <c r="G6430" s="15" t="s">
        <v>9</v>
      </c>
      <c r="H6430" s="24">
        <v>0.99999999278225005</v>
      </c>
      <c r="I6430" s="24" t="s">
        <v>21</v>
      </c>
      <c r="J6430" s="24">
        <v>0.99999999278225005</v>
      </c>
      <c r="K6430" s="24" t="s">
        <v>21</v>
      </c>
      <c r="L6430" s="24" t="s">
        <v>21</v>
      </c>
      <c r="M6430" s="24" t="s">
        <v>21</v>
      </c>
      <c r="N6430" s="24" t="s">
        <v>21</v>
      </c>
      <c r="O6430" s="24" t="s">
        <v>21</v>
      </c>
      <c r="P6430" s="24" t="s">
        <v>21</v>
      </c>
      <c r="Q6430" s="24" t="s">
        <v>21</v>
      </c>
      <c r="R6430" s="24" t="s">
        <v>21</v>
      </c>
      <c r="S6430" s="24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5">
        <v>1</v>
      </c>
      <c r="E6431" s="5">
        <v>0</v>
      </c>
      <c r="F6431" s="5" t="s">
        <v>8</v>
      </c>
      <c r="G6431" s="15" t="s">
        <v>9</v>
      </c>
      <c r="H6431" s="24">
        <v>1.000000003259629</v>
      </c>
      <c r="I6431" s="24" t="s">
        <v>21</v>
      </c>
      <c r="J6431" s="24">
        <v>1.000000003259629</v>
      </c>
      <c r="K6431" s="24" t="s">
        <v>21</v>
      </c>
      <c r="L6431" s="24" t="s">
        <v>21</v>
      </c>
      <c r="M6431" s="24" t="s">
        <v>21</v>
      </c>
      <c r="N6431" s="24" t="s">
        <v>21</v>
      </c>
      <c r="O6431" s="24" t="s">
        <v>21</v>
      </c>
      <c r="P6431" s="24" t="s">
        <v>21</v>
      </c>
      <c r="Q6431" s="24" t="s">
        <v>21</v>
      </c>
      <c r="R6431" s="24" t="s">
        <v>21</v>
      </c>
      <c r="S6431" s="24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5">
        <v>1</v>
      </c>
      <c r="E6432" s="5">
        <v>0</v>
      </c>
      <c r="F6432" s="5" t="s">
        <v>8</v>
      </c>
      <c r="G6432" s="15" t="s">
        <v>9</v>
      </c>
      <c r="H6432" s="24">
        <v>0</v>
      </c>
      <c r="I6432" s="24" t="s">
        <v>21</v>
      </c>
      <c r="J6432" s="24">
        <v>0</v>
      </c>
      <c r="K6432" s="24" t="s">
        <v>21</v>
      </c>
      <c r="L6432" s="24" t="s">
        <v>21</v>
      </c>
      <c r="M6432" s="24" t="s">
        <v>21</v>
      </c>
      <c r="N6432" s="24" t="s">
        <v>21</v>
      </c>
      <c r="O6432" s="24" t="s">
        <v>21</v>
      </c>
      <c r="P6432" s="24" t="s">
        <v>21</v>
      </c>
      <c r="Q6432" s="24" t="s">
        <v>21</v>
      </c>
      <c r="R6432" s="24" t="s">
        <v>21</v>
      </c>
      <c r="S6432" s="24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5">
        <v>1</v>
      </c>
      <c r="E6433" s="5">
        <v>0</v>
      </c>
      <c r="F6433" s="5" t="s">
        <v>8</v>
      </c>
      <c r="G6433" s="15" t="s">
        <v>9</v>
      </c>
      <c r="H6433" s="24">
        <v>1.000000003259629</v>
      </c>
      <c r="I6433" s="24" t="s">
        <v>21</v>
      </c>
      <c r="J6433" s="24">
        <v>1.000000003259629</v>
      </c>
      <c r="K6433" s="24" t="s">
        <v>21</v>
      </c>
      <c r="L6433" s="24" t="s">
        <v>21</v>
      </c>
      <c r="M6433" s="24" t="s">
        <v>21</v>
      </c>
      <c r="N6433" s="24" t="s">
        <v>21</v>
      </c>
      <c r="O6433" s="24" t="s">
        <v>21</v>
      </c>
      <c r="P6433" s="24" t="s">
        <v>21</v>
      </c>
      <c r="Q6433" s="24" t="s">
        <v>21</v>
      </c>
      <c r="R6433" s="24" t="s">
        <v>21</v>
      </c>
      <c r="S6433" s="24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5">
        <v>0</v>
      </c>
      <c r="E6434" s="5">
        <v>0</v>
      </c>
      <c r="F6434" s="5" t="s">
        <v>8</v>
      </c>
      <c r="G6434" s="15" t="s">
        <v>9</v>
      </c>
      <c r="H6434" s="24">
        <v>0</v>
      </c>
      <c r="I6434" s="24" t="s">
        <v>21</v>
      </c>
      <c r="J6434" s="24">
        <v>0</v>
      </c>
      <c r="K6434" s="24" t="s">
        <v>21</v>
      </c>
      <c r="L6434" s="24" t="s">
        <v>21</v>
      </c>
      <c r="M6434" s="24" t="s">
        <v>21</v>
      </c>
      <c r="N6434" s="24" t="s">
        <v>21</v>
      </c>
      <c r="O6434" s="24" t="s">
        <v>21</v>
      </c>
      <c r="P6434" s="24" t="s">
        <v>21</v>
      </c>
      <c r="Q6434" s="24" t="s">
        <v>21</v>
      </c>
      <c r="R6434" s="24" t="s">
        <v>21</v>
      </c>
      <c r="S6434" s="24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5">
        <v>1</v>
      </c>
      <c r="E6435" s="5">
        <v>0</v>
      </c>
      <c r="F6435" s="5" t="s">
        <v>8</v>
      </c>
      <c r="G6435" s="15" t="s">
        <v>9</v>
      </c>
      <c r="H6435" s="24">
        <v>0.99999999278225005</v>
      </c>
      <c r="I6435" s="24" t="s">
        <v>21</v>
      </c>
      <c r="J6435" s="24">
        <v>0.99999999278225005</v>
      </c>
      <c r="K6435" s="24" t="s">
        <v>21</v>
      </c>
      <c r="L6435" s="24" t="s">
        <v>21</v>
      </c>
      <c r="M6435" s="24" t="s">
        <v>21</v>
      </c>
      <c r="N6435" s="24" t="s">
        <v>21</v>
      </c>
      <c r="O6435" s="24" t="s">
        <v>21</v>
      </c>
      <c r="P6435" s="24" t="s">
        <v>21</v>
      </c>
      <c r="Q6435" s="24" t="s">
        <v>21</v>
      </c>
      <c r="R6435" s="24" t="s">
        <v>21</v>
      </c>
      <c r="S6435" s="24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5">
        <v>1</v>
      </c>
      <c r="E6436" s="5">
        <v>0</v>
      </c>
      <c r="F6436" s="5" t="s">
        <v>8</v>
      </c>
      <c r="G6436" s="15" t="s">
        <v>9</v>
      </c>
      <c r="H6436" s="24">
        <v>0</v>
      </c>
      <c r="I6436" s="24" t="s">
        <v>21</v>
      </c>
      <c r="J6436" s="24">
        <v>0</v>
      </c>
      <c r="K6436" s="24" t="s">
        <v>21</v>
      </c>
      <c r="L6436" s="24" t="s">
        <v>21</v>
      </c>
      <c r="M6436" s="24" t="s">
        <v>21</v>
      </c>
      <c r="N6436" s="24" t="s">
        <v>21</v>
      </c>
      <c r="O6436" s="24" t="s">
        <v>21</v>
      </c>
      <c r="P6436" s="24" t="s">
        <v>21</v>
      </c>
      <c r="Q6436" s="24" t="s">
        <v>21</v>
      </c>
      <c r="R6436" s="24" t="s">
        <v>21</v>
      </c>
      <c r="S6436" s="24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5">
        <v>1</v>
      </c>
      <c r="E6437" s="5">
        <v>0</v>
      </c>
      <c r="F6437" s="5" t="s">
        <v>8</v>
      </c>
      <c r="G6437" s="15" t="s">
        <v>9</v>
      </c>
      <c r="H6437" s="24">
        <v>1.000000003259629</v>
      </c>
      <c r="I6437" s="24" t="s">
        <v>21</v>
      </c>
      <c r="J6437" s="24">
        <v>1.000000003259629</v>
      </c>
      <c r="K6437" s="24" t="s">
        <v>21</v>
      </c>
      <c r="L6437" s="24" t="s">
        <v>21</v>
      </c>
      <c r="M6437" s="24" t="s">
        <v>21</v>
      </c>
      <c r="N6437" s="24" t="s">
        <v>21</v>
      </c>
      <c r="O6437" s="24" t="s">
        <v>21</v>
      </c>
      <c r="P6437" s="24" t="s">
        <v>21</v>
      </c>
      <c r="Q6437" s="24" t="s">
        <v>21</v>
      </c>
      <c r="R6437" s="24" t="s">
        <v>21</v>
      </c>
      <c r="S6437" s="24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5">
        <v>1</v>
      </c>
      <c r="E6438" s="5">
        <v>0</v>
      </c>
      <c r="F6438" s="5" t="s">
        <v>8</v>
      </c>
      <c r="G6438" s="15" t="s">
        <v>9</v>
      </c>
      <c r="H6438" s="24">
        <v>0</v>
      </c>
      <c r="I6438" s="24" t="s">
        <v>21</v>
      </c>
      <c r="J6438" s="24">
        <v>0</v>
      </c>
      <c r="K6438" s="24" t="s">
        <v>21</v>
      </c>
      <c r="L6438" s="24" t="s">
        <v>21</v>
      </c>
      <c r="M6438" s="24" t="s">
        <v>21</v>
      </c>
      <c r="N6438" s="24" t="s">
        <v>21</v>
      </c>
      <c r="O6438" s="24" t="s">
        <v>21</v>
      </c>
      <c r="P6438" s="24" t="s">
        <v>21</v>
      </c>
      <c r="Q6438" s="24" t="s">
        <v>21</v>
      </c>
      <c r="R6438" s="24" t="s">
        <v>21</v>
      </c>
      <c r="S6438" s="24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5">
        <v>1</v>
      </c>
      <c r="E6439" s="5">
        <v>0</v>
      </c>
      <c r="F6439" s="5" t="s">
        <v>8</v>
      </c>
      <c r="G6439" s="15" t="s">
        <v>9</v>
      </c>
      <c r="H6439" s="24">
        <v>0</v>
      </c>
      <c r="I6439" s="24" t="s">
        <v>21</v>
      </c>
      <c r="J6439" s="24">
        <v>0</v>
      </c>
      <c r="K6439" s="24" t="s">
        <v>21</v>
      </c>
      <c r="L6439" s="24" t="s">
        <v>21</v>
      </c>
      <c r="M6439" s="24" t="s">
        <v>21</v>
      </c>
      <c r="N6439" s="24" t="s">
        <v>21</v>
      </c>
      <c r="O6439" s="24" t="s">
        <v>21</v>
      </c>
      <c r="P6439" s="24" t="s">
        <v>21</v>
      </c>
      <c r="Q6439" s="24" t="s">
        <v>21</v>
      </c>
      <c r="R6439" s="24" t="s">
        <v>21</v>
      </c>
      <c r="S6439" s="24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5">
        <v>0</v>
      </c>
      <c r="E6440" s="5">
        <v>0</v>
      </c>
      <c r="F6440" s="5" t="s">
        <v>8</v>
      </c>
      <c r="G6440" s="15" t="s">
        <v>9</v>
      </c>
      <c r="H6440" s="24">
        <v>1.000000003259629</v>
      </c>
      <c r="I6440" s="24" t="s">
        <v>21</v>
      </c>
      <c r="J6440" s="24">
        <v>1.000000003259629</v>
      </c>
      <c r="K6440" s="24" t="s">
        <v>21</v>
      </c>
      <c r="L6440" s="24" t="s">
        <v>21</v>
      </c>
      <c r="M6440" s="24" t="s">
        <v>21</v>
      </c>
      <c r="N6440" s="24" t="s">
        <v>21</v>
      </c>
      <c r="O6440" s="24" t="s">
        <v>21</v>
      </c>
      <c r="P6440" s="24" t="s">
        <v>21</v>
      </c>
      <c r="Q6440" s="24" t="s">
        <v>21</v>
      </c>
      <c r="R6440" s="24" t="s">
        <v>21</v>
      </c>
      <c r="S6440" s="24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5">
        <v>0</v>
      </c>
      <c r="E6441" s="5">
        <v>0</v>
      </c>
      <c r="F6441" s="5" t="s">
        <v>8</v>
      </c>
      <c r="G6441" s="15" t="s">
        <v>9</v>
      </c>
      <c r="H6441" s="24">
        <v>0</v>
      </c>
      <c r="I6441" s="24" t="s">
        <v>21</v>
      </c>
      <c r="J6441" s="24">
        <v>0</v>
      </c>
      <c r="K6441" s="24" t="s">
        <v>21</v>
      </c>
      <c r="L6441" s="24" t="s">
        <v>21</v>
      </c>
      <c r="M6441" s="24" t="s">
        <v>21</v>
      </c>
      <c r="N6441" s="24" t="s">
        <v>21</v>
      </c>
      <c r="O6441" s="24" t="s">
        <v>21</v>
      </c>
      <c r="P6441" s="24" t="s">
        <v>21</v>
      </c>
      <c r="Q6441" s="24" t="s">
        <v>21</v>
      </c>
      <c r="R6441" s="24" t="s">
        <v>21</v>
      </c>
      <c r="S6441" s="24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5">
        <v>2</v>
      </c>
      <c r="E6442" s="5">
        <v>0</v>
      </c>
      <c r="F6442" s="5" t="s">
        <v>8</v>
      </c>
      <c r="G6442" s="15" t="s">
        <v>9</v>
      </c>
      <c r="H6442" s="24">
        <v>1.000000003259629</v>
      </c>
      <c r="I6442" s="24" t="s">
        <v>21</v>
      </c>
      <c r="J6442" s="24">
        <v>1.000000003259629</v>
      </c>
      <c r="K6442" s="24" t="s">
        <v>21</v>
      </c>
      <c r="L6442" s="24" t="s">
        <v>21</v>
      </c>
      <c r="M6442" s="24" t="s">
        <v>21</v>
      </c>
      <c r="N6442" s="24" t="s">
        <v>21</v>
      </c>
      <c r="O6442" s="24" t="s">
        <v>21</v>
      </c>
      <c r="P6442" s="24" t="s">
        <v>21</v>
      </c>
      <c r="Q6442" s="24" t="s">
        <v>21</v>
      </c>
      <c r="R6442" s="24" t="s">
        <v>21</v>
      </c>
      <c r="S6442" s="24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5">
        <v>1</v>
      </c>
      <c r="E6443" s="5">
        <v>0</v>
      </c>
      <c r="F6443" s="5" t="s">
        <v>8</v>
      </c>
      <c r="G6443" s="15" t="s">
        <v>9</v>
      </c>
      <c r="H6443" s="24">
        <v>0</v>
      </c>
      <c r="I6443" s="24" t="s">
        <v>21</v>
      </c>
      <c r="J6443" s="24">
        <v>0</v>
      </c>
      <c r="K6443" s="24" t="s">
        <v>21</v>
      </c>
      <c r="L6443" s="24" t="s">
        <v>21</v>
      </c>
      <c r="M6443" s="24" t="s">
        <v>21</v>
      </c>
      <c r="N6443" s="24" t="s">
        <v>21</v>
      </c>
      <c r="O6443" s="24" t="s">
        <v>21</v>
      </c>
      <c r="P6443" s="24" t="s">
        <v>21</v>
      </c>
      <c r="Q6443" s="24" t="s">
        <v>21</v>
      </c>
      <c r="R6443" s="24" t="s">
        <v>21</v>
      </c>
      <c r="S6443" s="24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5">
        <v>3</v>
      </c>
      <c r="E6444" s="5">
        <v>0</v>
      </c>
      <c r="F6444" s="5" t="s">
        <v>8</v>
      </c>
      <c r="G6444" s="15" t="s">
        <v>9</v>
      </c>
      <c r="H6444" s="24">
        <v>101.99999999720603</v>
      </c>
      <c r="I6444" s="24" t="s">
        <v>21</v>
      </c>
      <c r="J6444" s="24" t="s">
        <v>21</v>
      </c>
      <c r="K6444" s="24" t="s">
        <v>21</v>
      </c>
      <c r="L6444" s="24" t="s">
        <v>21</v>
      </c>
      <c r="M6444" s="24" t="s">
        <v>21</v>
      </c>
      <c r="N6444" s="24" t="s">
        <v>21</v>
      </c>
      <c r="O6444" s="24">
        <v>351.00000000209548</v>
      </c>
      <c r="P6444" s="24" t="s">
        <v>21</v>
      </c>
      <c r="Q6444" s="24" t="s">
        <v>21</v>
      </c>
      <c r="R6444" s="24" t="s">
        <v>21</v>
      </c>
      <c r="S6444" s="24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5">
        <v>17</v>
      </c>
      <c r="E6445" s="5">
        <v>0</v>
      </c>
      <c r="F6445" s="5" t="s">
        <v>8</v>
      </c>
      <c r="G6445" s="15" t="s">
        <v>9</v>
      </c>
      <c r="H6445" s="24">
        <v>0</v>
      </c>
      <c r="I6445" s="24" t="s">
        <v>21</v>
      </c>
      <c r="J6445" s="24" t="s">
        <v>21</v>
      </c>
      <c r="K6445" s="24" t="s">
        <v>21</v>
      </c>
      <c r="L6445" s="24" t="s">
        <v>21</v>
      </c>
      <c r="M6445" s="24" t="s">
        <v>21</v>
      </c>
      <c r="N6445" s="24" t="s">
        <v>21</v>
      </c>
      <c r="O6445" s="24">
        <v>0</v>
      </c>
      <c r="P6445" s="24" t="s">
        <v>21</v>
      </c>
      <c r="Q6445" s="24" t="s">
        <v>21</v>
      </c>
      <c r="R6445" s="24" t="s">
        <v>21</v>
      </c>
      <c r="S6445" s="24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5">
        <v>0</v>
      </c>
      <c r="E6446" s="5">
        <v>18</v>
      </c>
      <c r="F6446" s="5" t="s">
        <v>8</v>
      </c>
      <c r="G6446" s="15" t="s">
        <v>9</v>
      </c>
      <c r="H6446" s="24">
        <v>1.000000003259629</v>
      </c>
      <c r="I6446" s="24" t="s">
        <v>21</v>
      </c>
      <c r="J6446" s="24" t="s">
        <v>21</v>
      </c>
      <c r="K6446" s="24" t="s">
        <v>21</v>
      </c>
      <c r="L6446" s="24" t="s">
        <v>21</v>
      </c>
      <c r="M6446" s="24" t="s">
        <v>21</v>
      </c>
      <c r="N6446" s="24" t="s">
        <v>21</v>
      </c>
      <c r="O6446" s="24">
        <v>1.000000003259629</v>
      </c>
      <c r="P6446" s="24" t="s">
        <v>21</v>
      </c>
      <c r="Q6446" s="24" t="s">
        <v>21</v>
      </c>
      <c r="R6446" s="24" t="s">
        <v>21</v>
      </c>
      <c r="S6446" s="24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5">
        <v>0</v>
      </c>
      <c r="E6447" s="5">
        <v>22</v>
      </c>
      <c r="F6447" s="5" t="s">
        <v>8</v>
      </c>
      <c r="G6447" s="15" t="s">
        <v>9</v>
      </c>
      <c r="H6447" s="24">
        <v>0</v>
      </c>
      <c r="I6447" s="24" t="s">
        <v>21</v>
      </c>
      <c r="J6447" s="24" t="s">
        <v>21</v>
      </c>
      <c r="K6447" s="24" t="s">
        <v>21</v>
      </c>
      <c r="L6447" s="24" t="s">
        <v>21</v>
      </c>
      <c r="M6447" s="24" t="s">
        <v>21</v>
      </c>
      <c r="N6447" s="24" t="s">
        <v>21</v>
      </c>
      <c r="O6447" s="24">
        <v>0</v>
      </c>
      <c r="P6447" s="24" t="s">
        <v>21</v>
      </c>
      <c r="Q6447" s="24" t="s">
        <v>21</v>
      </c>
      <c r="R6447" s="24" t="s">
        <v>21</v>
      </c>
      <c r="S6447" s="24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5">
        <v>0</v>
      </c>
      <c r="E6448" s="5">
        <v>17</v>
      </c>
      <c r="F6448" s="5" t="s">
        <v>8</v>
      </c>
      <c r="G6448" s="15" t="s">
        <v>9</v>
      </c>
      <c r="H6448" s="24">
        <v>0.99999999278225005</v>
      </c>
      <c r="I6448" s="24" t="s">
        <v>21</v>
      </c>
      <c r="J6448" s="24" t="s">
        <v>21</v>
      </c>
      <c r="K6448" s="24" t="s">
        <v>21</v>
      </c>
      <c r="L6448" s="24" t="s">
        <v>21</v>
      </c>
      <c r="M6448" s="24" t="s">
        <v>21</v>
      </c>
      <c r="N6448" s="24" t="s">
        <v>21</v>
      </c>
      <c r="O6448" s="24">
        <v>0.99999999278225005</v>
      </c>
      <c r="P6448" s="24" t="s">
        <v>21</v>
      </c>
      <c r="Q6448" s="24" t="s">
        <v>21</v>
      </c>
      <c r="R6448" s="24" t="s">
        <v>21</v>
      </c>
      <c r="S6448" s="24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5">
        <v>6</v>
      </c>
      <c r="E6449" s="5">
        <v>3</v>
      </c>
      <c r="F6449" s="5" t="s">
        <v>8</v>
      </c>
      <c r="G6449" s="15" t="s">
        <v>9</v>
      </c>
      <c r="H6449" s="24">
        <v>0</v>
      </c>
      <c r="I6449" s="24" t="s">
        <v>21</v>
      </c>
      <c r="J6449" s="24" t="s">
        <v>21</v>
      </c>
      <c r="K6449" s="24" t="s">
        <v>21</v>
      </c>
      <c r="L6449" s="24" t="s">
        <v>21</v>
      </c>
      <c r="M6449" s="24" t="s">
        <v>21</v>
      </c>
      <c r="N6449" s="24" t="s">
        <v>21</v>
      </c>
      <c r="O6449" s="24">
        <v>0</v>
      </c>
      <c r="P6449" s="24" t="s">
        <v>21</v>
      </c>
      <c r="Q6449" s="24" t="s">
        <v>21</v>
      </c>
      <c r="R6449" s="24" t="s">
        <v>21</v>
      </c>
      <c r="S6449" s="24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5">
        <v>5</v>
      </c>
      <c r="E6450" s="5">
        <v>0</v>
      </c>
      <c r="F6450" s="5" t="s">
        <v>8</v>
      </c>
      <c r="G6450" s="15" t="s">
        <v>9</v>
      </c>
      <c r="H6450" s="24">
        <v>1.000000003259629</v>
      </c>
      <c r="I6450" s="24" t="s">
        <v>21</v>
      </c>
      <c r="J6450" s="24" t="s">
        <v>21</v>
      </c>
      <c r="K6450" s="24" t="s">
        <v>21</v>
      </c>
      <c r="L6450" s="24" t="s">
        <v>21</v>
      </c>
      <c r="M6450" s="24" t="s">
        <v>21</v>
      </c>
      <c r="N6450" s="24" t="s">
        <v>21</v>
      </c>
      <c r="O6450" s="24">
        <v>1.000000003259629</v>
      </c>
      <c r="P6450" s="24" t="s">
        <v>21</v>
      </c>
      <c r="Q6450" s="24" t="s">
        <v>21</v>
      </c>
      <c r="R6450" s="24" t="s">
        <v>21</v>
      </c>
      <c r="S6450" s="24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5">
        <v>7</v>
      </c>
      <c r="E6451" s="5">
        <v>4</v>
      </c>
      <c r="F6451" s="5" t="s">
        <v>8</v>
      </c>
      <c r="G6451" s="15" t="s">
        <v>9</v>
      </c>
      <c r="H6451" s="24">
        <v>0</v>
      </c>
      <c r="I6451" s="24" t="s">
        <v>21</v>
      </c>
      <c r="J6451" s="24" t="s">
        <v>21</v>
      </c>
      <c r="K6451" s="24" t="s">
        <v>21</v>
      </c>
      <c r="L6451" s="24" t="s">
        <v>21</v>
      </c>
      <c r="M6451" s="24" t="s">
        <v>21</v>
      </c>
      <c r="N6451" s="24" t="s">
        <v>21</v>
      </c>
      <c r="O6451" s="24">
        <v>0</v>
      </c>
      <c r="P6451" s="24" t="s">
        <v>21</v>
      </c>
      <c r="Q6451" s="24" t="s">
        <v>21</v>
      </c>
      <c r="R6451" s="24" t="s">
        <v>21</v>
      </c>
      <c r="S6451" s="24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5">
        <v>0</v>
      </c>
      <c r="E6452" s="5">
        <v>9</v>
      </c>
      <c r="F6452" s="5" t="s">
        <v>8</v>
      </c>
      <c r="G6452" s="15" t="s">
        <v>9</v>
      </c>
      <c r="H6452" s="24">
        <v>1.000000003259629</v>
      </c>
      <c r="I6452" s="24" t="s">
        <v>21</v>
      </c>
      <c r="J6452" s="24" t="s">
        <v>21</v>
      </c>
      <c r="K6452" s="24" t="s">
        <v>21</v>
      </c>
      <c r="L6452" s="24" t="s">
        <v>21</v>
      </c>
      <c r="M6452" s="24" t="s">
        <v>21</v>
      </c>
      <c r="N6452" s="24" t="s">
        <v>21</v>
      </c>
      <c r="O6452" s="24">
        <v>1.000000003259629</v>
      </c>
      <c r="P6452" s="24" t="s">
        <v>21</v>
      </c>
      <c r="Q6452" s="24" t="s">
        <v>21</v>
      </c>
      <c r="R6452" s="24" t="s">
        <v>21</v>
      </c>
      <c r="S6452" s="24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5">
        <v>0</v>
      </c>
      <c r="E6453" s="5">
        <v>8</v>
      </c>
      <c r="F6453" s="5" t="s">
        <v>8</v>
      </c>
      <c r="G6453" s="15" t="s">
        <v>9</v>
      </c>
      <c r="H6453" s="24">
        <v>107.99999999580905</v>
      </c>
      <c r="I6453" s="24" t="s">
        <v>21</v>
      </c>
      <c r="J6453" s="24" t="s">
        <v>21</v>
      </c>
      <c r="K6453" s="24" t="s">
        <v>21</v>
      </c>
      <c r="L6453" s="24" t="s">
        <v>21</v>
      </c>
      <c r="M6453" s="24" t="s">
        <v>21</v>
      </c>
      <c r="N6453" s="24" t="s">
        <v>21</v>
      </c>
      <c r="O6453" s="24" t="s">
        <v>21</v>
      </c>
      <c r="P6453" s="24" t="s">
        <v>21</v>
      </c>
      <c r="Q6453" s="24">
        <v>1512.000000004191</v>
      </c>
      <c r="R6453" s="24" t="s">
        <v>21</v>
      </c>
      <c r="S6453" s="24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5">
        <v>7</v>
      </c>
      <c r="E6454" s="5">
        <v>0</v>
      </c>
      <c r="F6454" s="5" t="s">
        <v>8</v>
      </c>
      <c r="G6454" s="15" t="s">
        <v>9</v>
      </c>
      <c r="H6454" s="24">
        <v>1.000000003259629</v>
      </c>
      <c r="I6454" s="24" t="s">
        <v>21</v>
      </c>
      <c r="J6454" s="24" t="s">
        <v>21</v>
      </c>
      <c r="K6454" s="24" t="s">
        <v>21</v>
      </c>
      <c r="L6454" s="24" t="s">
        <v>21</v>
      </c>
      <c r="M6454" s="24" t="s">
        <v>21</v>
      </c>
      <c r="N6454" s="24">
        <v>37569.000000001397</v>
      </c>
      <c r="O6454" s="24" t="s">
        <v>21</v>
      </c>
      <c r="P6454" s="24" t="s">
        <v>21</v>
      </c>
      <c r="Q6454" s="24" t="s">
        <v>21</v>
      </c>
      <c r="R6454" s="24" t="s">
        <v>21</v>
      </c>
      <c r="S6454" s="24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5">
        <v>0</v>
      </c>
      <c r="E6455" s="5">
        <v>0</v>
      </c>
      <c r="F6455" s="5" t="s">
        <v>8</v>
      </c>
      <c r="G6455" s="15" t="s">
        <v>9</v>
      </c>
      <c r="H6455" s="24">
        <v>64.999999991850927</v>
      </c>
      <c r="I6455" s="24" t="s">
        <v>21</v>
      </c>
      <c r="J6455" s="24" t="s">
        <v>21</v>
      </c>
      <c r="K6455" s="24" t="s">
        <v>21</v>
      </c>
      <c r="L6455" s="24" t="s">
        <v>21</v>
      </c>
      <c r="M6455" s="24" t="s">
        <v>21</v>
      </c>
      <c r="N6455" s="24" t="s">
        <v>21</v>
      </c>
      <c r="O6455" s="24">
        <v>173.9999999909196</v>
      </c>
      <c r="P6455" s="24" t="s">
        <v>21</v>
      </c>
      <c r="Q6455" s="24" t="s">
        <v>21</v>
      </c>
      <c r="R6455" s="24" t="s">
        <v>21</v>
      </c>
      <c r="S6455" s="24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5">
        <v>0</v>
      </c>
      <c r="E6456" s="5">
        <v>16</v>
      </c>
      <c r="F6456" s="5" t="s">
        <v>8</v>
      </c>
      <c r="G6456" s="15" t="s">
        <v>9</v>
      </c>
      <c r="H6456" s="24">
        <v>0</v>
      </c>
      <c r="I6456" s="24" t="s">
        <v>21</v>
      </c>
      <c r="J6456" s="24" t="s">
        <v>21</v>
      </c>
      <c r="K6456" s="24" t="s">
        <v>21</v>
      </c>
      <c r="L6456" s="24" t="s">
        <v>21</v>
      </c>
      <c r="M6456" s="24" t="s">
        <v>21</v>
      </c>
      <c r="N6456" s="24" t="s">
        <v>21</v>
      </c>
      <c r="O6456" s="24">
        <v>0</v>
      </c>
      <c r="P6456" s="24" t="s">
        <v>21</v>
      </c>
      <c r="Q6456" s="24" t="s">
        <v>21</v>
      </c>
      <c r="R6456" s="24" t="s">
        <v>21</v>
      </c>
      <c r="S6456" s="24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5">
        <v>0</v>
      </c>
      <c r="E6457" s="5">
        <v>18</v>
      </c>
      <c r="F6457" s="5" t="s">
        <v>8</v>
      </c>
      <c r="G6457" s="15" t="s">
        <v>9</v>
      </c>
      <c r="H6457" s="24">
        <v>1.000000003259629</v>
      </c>
      <c r="I6457" s="24" t="s">
        <v>21</v>
      </c>
      <c r="J6457" s="24" t="s">
        <v>21</v>
      </c>
      <c r="K6457" s="24" t="s">
        <v>21</v>
      </c>
      <c r="L6457" s="24" t="s">
        <v>21</v>
      </c>
      <c r="M6457" s="24" t="s">
        <v>21</v>
      </c>
      <c r="N6457" s="24" t="s">
        <v>21</v>
      </c>
      <c r="O6457" s="24">
        <v>1.000000003259629</v>
      </c>
      <c r="P6457" s="24" t="s">
        <v>21</v>
      </c>
      <c r="Q6457" s="24" t="s">
        <v>21</v>
      </c>
      <c r="R6457" s="24" t="s">
        <v>21</v>
      </c>
      <c r="S6457" s="24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5">
        <v>0</v>
      </c>
      <c r="E6458" s="5">
        <v>22</v>
      </c>
      <c r="F6458" s="5" t="s">
        <v>8</v>
      </c>
      <c r="G6458" s="15" t="s">
        <v>9</v>
      </c>
      <c r="H6458" s="24">
        <v>0</v>
      </c>
      <c r="I6458" s="24" t="s">
        <v>21</v>
      </c>
      <c r="J6458" s="24" t="s">
        <v>21</v>
      </c>
      <c r="K6458" s="24" t="s">
        <v>21</v>
      </c>
      <c r="L6458" s="24" t="s">
        <v>21</v>
      </c>
      <c r="M6458" s="24" t="s">
        <v>21</v>
      </c>
      <c r="N6458" s="24" t="s">
        <v>21</v>
      </c>
      <c r="O6458" s="24">
        <v>0</v>
      </c>
      <c r="P6458" s="24" t="s">
        <v>21</v>
      </c>
      <c r="Q6458" s="24" t="s">
        <v>21</v>
      </c>
      <c r="R6458" s="24" t="s">
        <v>21</v>
      </c>
      <c r="S6458" s="24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5">
        <v>0</v>
      </c>
      <c r="E6459" s="5">
        <v>18</v>
      </c>
      <c r="F6459" s="5" t="s">
        <v>8</v>
      </c>
      <c r="G6459" s="15" t="s">
        <v>9</v>
      </c>
      <c r="H6459" s="24">
        <v>1.000000003259629</v>
      </c>
      <c r="I6459" s="24" t="s">
        <v>21</v>
      </c>
      <c r="J6459" s="24" t="s">
        <v>21</v>
      </c>
      <c r="K6459" s="24" t="s">
        <v>21</v>
      </c>
      <c r="L6459" s="24" t="s">
        <v>21</v>
      </c>
      <c r="M6459" s="24" t="s">
        <v>21</v>
      </c>
      <c r="N6459" s="24" t="s">
        <v>21</v>
      </c>
      <c r="O6459" s="24">
        <v>1.000000003259629</v>
      </c>
      <c r="P6459" s="24" t="s">
        <v>21</v>
      </c>
      <c r="Q6459" s="24" t="s">
        <v>21</v>
      </c>
      <c r="R6459" s="24" t="s">
        <v>21</v>
      </c>
      <c r="S6459" s="24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5">
        <v>0</v>
      </c>
      <c r="E6460" s="5">
        <v>22</v>
      </c>
      <c r="F6460" s="5" t="s">
        <v>8</v>
      </c>
      <c r="G6460" s="15" t="s">
        <v>9</v>
      </c>
      <c r="H6460" s="24">
        <v>0</v>
      </c>
      <c r="I6460" s="24" t="s">
        <v>21</v>
      </c>
      <c r="J6460" s="24" t="s">
        <v>21</v>
      </c>
      <c r="K6460" s="24" t="s">
        <v>21</v>
      </c>
      <c r="L6460" s="24" t="s">
        <v>21</v>
      </c>
      <c r="M6460" s="24" t="s">
        <v>21</v>
      </c>
      <c r="N6460" s="24" t="s">
        <v>21</v>
      </c>
      <c r="O6460" s="24">
        <v>0</v>
      </c>
      <c r="P6460" s="24" t="s">
        <v>21</v>
      </c>
      <c r="Q6460" s="24" t="s">
        <v>21</v>
      </c>
      <c r="R6460" s="24" t="s">
        <v>21</v>
      </c>
      <c r="S6460" s="24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5">
        <v>0</v>
      </c>
      <c r="E6461" s="5">
        <v>21</v>
      </c>
      <c r="F6461" s="5" t="s">
        <v>8</v>
      </c>
      <c r="G6461" s="15" t="s">
        <v>9</v>
      </c>
      <c r="H6461" s="24">
        <v>1.000000003259629</v>
      </c>
      <c r="I6461" s="24" t="s">
        <v>21</v>
      </c>
      <c r="J6461" s="24" t="s">
        <v>21</v>
      </c>
      <c r="K6461" s="24" t="s">
        <v>21</v>
      </c>
      <c r="L6461" s="24" t="s">
        <v>21</v>
      </c>
      <c r="M6461" s="24" t="s">
        <v>21</v>
      </c>
      <c r="N6461" s="24" t="s">
        <v>21</v>
      </c>
      <c r="O6461" s="24">
        <v>1.000000003259629</v>
      </c>
      <c r="P6461" s="24" t="s">
        <v>21</v>
      </c>
      <c r="Q6461" s="24" t="s">
        <v>21</v>
      </c>
      <c r="R6461" s="24" t="s">
        <v>21</v>
      </c>
      <c r="S6461" s="24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5">
        <v>0</v>
      </c>
      <c r="E6462" s="5">
        <v>0</v>
      </c>
      <c r="F6462" s="5" t="s">
        <v>8</v>
      </c>
      <c r="G6462" s="15" t="s">
        <v>9</v>
      </c>
      <c r="H6462" s="24">
        <v>0</v>
      </c>
      <c r="I6462" s="24" t="s">
        <v>21</v>
      </c>
      <c r="J6462" s="24" t="s">
        <v>21</v>
      </c>
      <c r="K6462" s="24" t="s">
        <v>21</v>
      </c>
      <c r="L6462" s="24" t="s">
        <v>21</v>
      </c>
      <c r="M6462" s="24" t="s">
        <v>21</v>
      </c>
      <c r="N6462" s="24" t="s">
        <v>21</v>
      </c>
      <c r="O6462" s="24">
        <v>0</v>
      </c>
      <c r="P6462" s="24" t="s">
        <v>21</v>
      </c>
      <c r="Q6462" s="24" t="s">
        <v>21</v>
      </c>
      <c r="R6462" s="24" t="s">
        <v>21</v>
      </c>
      <c r="S6462" s="24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5">
        <v>0</v>
      </c>
      <c r="E6463" s="5">
        <v>7</v>
      </c>
      <c r="F6463" s="5" t="s">
        <v>8</v>
      </c>
      <c r="G6463" s="15" t="s">
        <v>9</v>
      </c>
      <c r="H6463" s="24">
        <v>38.999999990919605</v>
      </c>
      <c r="I6463" s="24" t="s">
        <v>21</v>
      </c>
      <c r="J6463" s="24" t="s">
        <v>21</v>
      </c>
      <c r="K6463" s="24" t="s">
        <v>21</v>
      </c>
      <c r="L6463" s="24" t="s">
        <v>21</v>
      </c>
      <c r="M6463" s="24" t="s">
        <v>21</v>
      </c>
      <c r="N6463" s="24" t="s">
        <v>21</v>
      </c>
      <c r="O6463" s="24">
        <v>38.999999990919605</v>
      </c>
      <c r="P6463" s="24" t="s">
        <v>21</v>
      </c>
      <c r="Q6463" s="24" t="s">
        <v>21</v>
      </c>
      <c r="R6463" s="24" t="s">
        <v>21</v>
      </c>
      <c r="S6463" s="24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5">
        <v>0</v>
      </c>
      <c r="E6464" s="5">
        <v>13</v>
      </c>
      <c r="F6464" s="5" t="s">
        <v>8</v>
      </c>
      <c r="G6464" s="15" t="s">
        <v>9</v>
      </c>
      <c r="H6464" s="24">
        <v>1.000000003259629</v>
      </c>
      <c r="I6464" s="24" t="s">
        <v>21</v>
      </c>
      <c r="J6464" s="24" t="s">
        <v>21</v>
      </c>
      <c r="K6464" s="24" t="s">
        <v>21</v>
      </c>
      <c r="L6464" s="24" t="s">
        <v>21</v>
      </c>
      <c r="M6464" s="24" t="s">
        <v>21</v>
      </c>
      <c r="N6464" s="24" t="s">
        <v>21</v>
      </c>
      <c r="O6464" s="24">
        <v>1.000000003259629</v>
      </c>
      <c r="P6464" s="24" t="s">
        <v>21</v>
      </c>
      <c r="Q6464" s="24" t="s">
        <v>21</v>
      </c>
      <c r="R6464" s="24" t="s">
        <v>21</v>
      </c>
      <c r="S6464" s="24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5">
        <v>0</v>
      </c>
      <c r="E6465" s="5">
        <v>7</v>
      </c>
      <c r="F6465" s="5" t="s">
        <v>8</v>
      </c>
      <c r="G6465" s="15" t="s">
        <v>9</v>
      </c>
      <c r="H6465" s="24">
        <v>1.000000003259629</v>
      </c>
      <c r="I6465" s="24" t="s">
        <v>21</v>
      </c>
      <c r="J6465" s="24" t="s">
        <v>21</v>
      </c>
      <c r="K6465" s="24" t="s">
        <v>21</v>
      </c>
      <c r="L6465" s="24" t="s">
        <v>21</v>
      </c>
      <c r="M6465" s="24" t="s">
        <v>21</v>
      </c>
      <c r="N6465" s="24" t="s">
        <v>21</v>
      </c>
      <c r="O6465" s="24">
        <v>1.000000003259629</v>
      </c>
      <c r="P6465" s="24" t="s">
        <v>21</v>
      </c>
      <c r="Q6465" s="24" t="s">
        <v>21</v>
      </c>
      <c r="R6465" s="24" t="s">
        <v>21</v>
      </c>
      <c r="S6465" s="24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5">
        <v>0</v>
      </c>
      <c r="E6466" s="5">
        <v>4</v>
      </c>
      <c r="F6466" s="5" t="s">
        <v>8</v>
      </c>
      <c r="G6466" s="15" t="s">
        <v>9</v>
      </c>
      <c r="H6466" s="24">
        <v>0</v>
      </c>
      <c r="I6466" s="24" t="s">
        <v>21</v>
      </c>
      <c r="J6466" s="24" t="s">
        <v>21</v>
      </c>
      <c r="K6466" s="24" t="s">
        <v>21</v>
      </c>
      <c r="L6466" s="24" t="s">
        <v>21</v>
      </c>
      <c r="M6466" s="24" t="s">
        <v>21</v>
      </c>
      <c r="N6466" s="24" t="s">
        <v>21</v>
      </c>
      <c r="O6466" s="24">
        <v>0</v>
      </c>
      <c r="P6466" s="24" t="s">
        <v>21</v>
      </c>
      <c r="Q6466" s="24" t="s">
        <v>21</v>
      </c>
      <c r="R6466" s="24" t="s">
        <v>21</v>
      </c>
      <c r="S6466" s="24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5">
        <v>0</v>
      </c>
      <c r="E6467" s="5">
        <v>0</v>
      </c>
      <c r="F6467" s="5" t="s">
        <v>8</v>
      </c>
      <c r="G6467" s="15" t="s">
        <v>9</v>
      </c>
      <c r="H6467" s="24">
        <v>0.99999999278225005</v>
      </c>
      <c r="I6467" s="24" t="s">
        <v>21</v>
      </c>
      <c r="J6467" s="24" t="s">
        <v>21</v>
      </c>
      <c r="K6467" s="24" t="s">
        <v>21</v>
      </c>
      <c r="L6467" s="24" t="s">
        <v>21</v>
      </c>
      <c r="M6467" s="24" t="s">
        <v>21</v>
      </c>
      <c r="N6467" s="24" t="s">
        <v>21</v>
      </c>
      <c r="O6467" s="24">
        <v>0.99999999278225005</v>
      </c>
      <c r="P6467" s="24" t="s">
        <v>21</v>
      </c>
      <c r="Q6467" s="24" t="s">
        <v>21</v>
      </c>
      <c r="R6467" s="24" t="s">
        <v>21</v>
      </c>
      <c r="S6467" s="24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5">
        <v>0</v>
      </c>
      <c r="E6468" s="5">
        <v>5</v>
      </c>
      <c r="F6468" s="5" t="s">
        <v>8</v>
      </c>
      <c r="G6468" s="15" t="s">
        <v>9</v>
      </c>
      <c r="H6468" s="24">
        <v>5.0000000058207661</v>
      </c>
      <c r="I6468" s="24">
        <v>1425.0000000034925</v>
      </c>
      <c r="J6468" s="24" t="s">
        <v>21</v>
      </c>
      <c r="K6468" s="24" t="s">
        <v>21</v>
      </c>
      <c r="L6468" s="24" t="s">
        <v>21</v>
      </c>
      <c r="M6468" s="24" t="s">
        <v>21</v>
      </c>
      <c r="N6468" s="24" t="s">
        <v>21</v>
      </c>
      <c r="O6468" s="24" t="s">
        <v>21</v>
      </c>
      <c r="P6468" s="24" t="s">
        <v>21</v>
      </c>
      <c r="Q6468" s="24" t="s">
        <v>21</v>
      </c>
      <c r="R6468" s="24" t="s">
        <v>21</v>
      </c>
      <c r="S6468" s="24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5">
        <v>0</v>
      </c>
      <c r="E6469" s="5">
        <v>0</v>
      </c>
      <c r="F6469" s="5" t="s">
        <v>8</v>
      </c>
      <c r="G6469" s="15" t="s">
        <v>9</v>
      </c>
      <c r="H6469" s="24">
        <v>0</v>
      </c>
      <c r="I6469" s="24">
        <v>0</v>
      </c>
      <c r="J6469" s="24" t="s">
        <v>21</v>
      </c>
      <c r="K6469" s="24" t="s">
        <v>21</v>
      </c>
      <c r="L6469" s="24" t="s">
        <v>21</v>
      </c>
      <c r="M6469" s="24" t="s">
        <v>21</v>
      </c>
      <c r="N6469" s="24" t="s">
        <v>21</v>
      </c>
      <c r="O6469" s="24" t="s">
        <v>21</v>
      </c>
      <c r="P6469" s="24" t="s">
        <v>21</v>
      </c>
      <c r="Q6469" s="24" t="s">
        <v>21</v>
      </c>
      <c r="R6469" s="24" t="s">
        <v>21</v>
      </c>
      <c r="S6469" s="24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5">
        <v>0</v>
      </c>
      <c r="E6470" s="5">
        <v>8</v>
      </c>
      <c r="F6470" s="5" t="s">
        <v>8</v>
      </c>
      <c r="G6470" s="15" t="s">
        <v>9</v>
      </c>
      <c r="H6470" s="24">
        <v>1.9999999960418791</v>
      </c>
      <c r="I6470" s="24">
        <v>1.9999999960418791</v>
      </c>
      <c r="J6470" s="24" t="s">
        <v>21</v>
      </c>
      <c r="K6470" s="24" t="s">
        <v>21</v>
      </c>
      <c r="L6470" s="24" t="s">
        <v>21</v>
      </c>
      <c r="M6470" s="24" t="s">
        <v>21</v>
      </c>
      <c r="N6470" s="24" t="s">
        <v>21</v>
      </c>
      <c r="O6470" s="24" t="s">
        <v>21</v>
      </c>
      <c r="P6470" s="24" t="s">
        <v>21</v>
      </c>
      <c r="Q6470" s="24" t="s">
        <v>21</v>
      </c>
      <c r="R6470" s="24" t="s">
        <v>21</v>
      </c>
      <c r="S6470" s="24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5">
        <v>0</v>
      </c>
      <c r="E6471" s="5">
        <v>10</v>
      </c>
      <c r="F6471" s="5" t="s">
        <v>8</v>
      </c>
      <c r="G6471" s="15" t="s">
        <v>9</v>
      </c>
      <c r="H6471" s="24">
        <v>1.000000003259629</v>
      </c>
      <c r="I6471" s="24">
        <v>1.000000003259629</v>
      </c>
      <c r="J6471" s="24" t="s">
        <v>21</v>
      </c>
      <c r="K6471" s="24" t="s">
        <v>21</v>
      </c>
      <c r="L6471" s="24" t="s">
        <v>21</v>
      </c>
      <c r="M6471" s="24" t="s">
        <v>21</v>
      </c>
      <c r="N6471" s="24" t="s">
        <v>21</v>
      </c>
      <c r="O6471" s="24" t="s">
        <v>21</v>
      </c>
      <c r="P6471" s="24" t="s">
        <v>21</v>
      </c>
      <c r="Q6471" s="24" t="s">
        <v>21</v>
      </c>
      <c r="R6471" s="24" t="s">
        <v>21</v>
      </c>
      <c r="S6471" s="24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5">
        <v>2</v>
      </c>
      <c r="E6472" s="5">
        <v>1</v>
      </c>
      <c r="F6472" s="5" t="s">
        <v>8</v>
      </c>
      <c r="G6472" s="15" t="s">
        <v>9</v>
      </c>
      <c r="H6472" s="24">
        <v>1.000000003259629</v>
      </c>
      <c r="I6472" s="24">
        <v>1.000000003259629</v>
      </c>
      <c r="J6472" s="24" t="s">
        <v>21</v>
      </c>
      <c r="K6472" s="24" t="s">
        <v>21</v>
      </c>
      <c r="L6472" s="24" t="s">
        <v>21</v>
      </c>
      <c r="M6472" s="24" t="s">
        <v>21</v>
      </c>
      <c r="N6472" s="24" t="s">
        <v>21</v>
      </c>
      <c r="O6472" s="24" t="s">
        <v>21</v>
      </c>
      <c r="P6472" s="24" t="s">
        <v>21</v>
      </c>
      <c r="Q6472" s="24" t="s">
        <v>21</v>
      </c>
      <c r="R6472" s="24" t="s">
        <v>21</v>
      </c>
      <c r="S6472" s="24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5">
        <v>0</v>
      </c>
      <c r="E6473" s="5">
        <v>1</v>
      </c>
      <c r="F6473" s="5" t="s">
        <v>8</v>
      </c>
      <c r="G6473" s="15" t="s">
        <v>9</v>
      </c>
      <c r="H6473" s="24">
        <v>0.99999999278225005</v>
      </c>
      <c r="I6473" s="24">
        <v>0.99999999278225005</v>
      </c>
      <c r="J6473" s="24" t="s">
        <v>21</v>
      </c>
      <c r="K6473" s="24" t="s">
        <v>21</v>
      </c>
      <c r="L6473" s="24" t="s">
        <v>21</v>
      </c>
      <c r="M6473" s="24" t="s">
        <v>21</v>
      </c>
      <c r="N6473" s="24" t="s">
        <v>21</v>
      </c>
      <c r="O6473" s="24" t="s">
        <v>21</v>
      </c>
      <c r="P6473" s="24" t="s">
        <v>21</v>
      </c>
      <c r="Q6473" s="24" t="s">
        <v>21</v>
      </c>
      <c r="R6473" s="24" t="s">
        <v>21</v>
      </c>
      <c r="S6473" s="24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5">
        <v>0</v>
      </c>
      <c r="E6474" s="5">
        <v>4</v>
      </c>
      <c r="F6474" s="5" t="s">
        <v>8</v>
      </c>
      <c r="G6474" s="15" t="s">
        <v>9</v>
      </c>
      <c r="H6474" s="24">
        <v>0</v>
      </c>
      <c r="I6474" s="24">
        <v>0</v>
      </c>
      <c r="J6474" s="24" t="s">
        <v>21</v>
      </c>
      <c r="K6474" s="24" t="s">
        <v>21</v>
      </c>
      <c r="L6474" s="24" t="s">
        <v>21</v>
      </c>
      <c r="M6474" s="24" t="s">
        <v>21</v>
      </c>
      <c r="N6474" s="24" t="s">
        <v>21</v>
      </c>
      <c r="O6474" s="24" t="s">
        <v>21</v>
      </c>
      <c r="P6474" s="24" t="s">
        <v>21</v>
      </c>
      <c r="Q6474" s="24" t="s">
        <v>21</v>
      </c>
      <c r="R6474" s="24" t="s">
        <v>21</v>
      </c>
      <c r="S6474" s="24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5">
        <v>0</v>
      </c>
      <c r="E6475" s="5">
        <v>12</v>
      </c>
      <c r="F6475" s="5" t="s">
        <v>8</v>
      </c>
      <c r="G6475" s="15" t="s">
        <v>9</v>
      </c>
      <c r="H6475" s="24">
        <v>1.000000003259629</v>
      </c>
      <c r="I6475" s="24">
        <v>1.000000003259629</v>
      </c>
      <c r="J6475" s="24" t="s">
        <v>21</v>
      </c>
      <c r="K6475" s="24" t="s">
        <v>21</v>
      </c>
      <c r="L6475" s="24" t="s">
        <v>21</v>
      </c>
      <c r="M6475" s="24" t="s">
        <v>21</v>
      </c>
      <c r="N6475" s="24" t="s">
        <v>21</v>
      </c>
      <c r="O6475" s="24" t="s">
        <v>21</v>
      </c>
      <c r="P6475" s="24" t="s">
        <v>21</v>
      </c>
      <c r="Q6475" s="24" t="s">
        <v>21</v>
      </c>
      <c r="R6475" s="24" t="s">
        <v>21</v>
      </c>
      <c r="S6475" s="24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5">
        <v>0</v>
      </c>
      <c r="E6476" s="5">
        <v>13</v>
      </c>
      <c r="F6476" s="5" t="s">
        <v>8</v>
      </c>
      <c r="G6476" s="15" t="s">
        <v>9</v>
      </c>
      <c r="H6476" s="24">
        <v>0</v>
      </c>
      <c r="I6476" s="24">
        <v>0</v>
      </c>
      <c r="J6476" s="24" t="s">
        <v>21</v>
      </c>
      <c r="K6476" s="24" t="s">
        <v>21</v>
      </c>
      <c r="L6476" s="24" t="s">
        <v>21</v>
      </c>
      <c r="M6476" s="24" t="s">
        <v>21</v>
      </c>
      <c r="N6476" s="24" t="s">
        <v>21</v>
      </c>
      <c r="O6476" s="24" t="s">
        <v>21</v>
      </c>
      <c r="P6476" s="24" t="s">
        <v>21</v>
      </c>
      <c r="Q6476" s="24" t="s">
        <v>21</v>
      </c>
      <c r="R6476" s="24" t="s">
        <v>21</v>
      </c>
      <c r="S6476" s="24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5">
        <v>0</v>
      </c>
      <c r="E6477" s="5">
        <v>8</v>
      </c>
      <c r="F6477" s="5" t="s">
        <v>8</v>
      </c>
      <c r="G6477" s="15" t="s">
        <v>9</v>
      </c>
      <c r="H6477" s="24">
        <v>1.000000003259629</v>
      </c>
      <c r="I6477" s="24">
        <v>1.000000003259629</v>
      </c>
      <c r="J6477" s="24" t="s">
        <v>21</v>
      </c>
      <c r="K6477" s="24" t="s">
        <v>21</v>
      </c>
      <c r="L6477" s="24" t="s">
        <v>21</v>
      </c>
      <c r="M6477" s="24" t="s">
        <v>21</v>
      </c>
      <c r="N6477" s="24" t="s">
        <v>21</v>
      </c>
      <c r="O6477" s="24" t="s">
        <v>21</v>
      </c>
      <c r="P6477" s="24" t="s">
        <v>21</v>
      </c>
      <c r="Q6477" s="24" t="s">
        <v>21</v>
      </c>
      <c r="R6477" s="24" t="s">
        <v>21</v>
      </c>
      <c r="S6477" s="24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5">
        <v>2</v>
      </c>
      <c r="E6478" s="5">
        <v>2</v>
      </c>
      <c r="F6478" s="5" t="s">
        <v>8</v>
      </c>
      <c r="G6478" s="15" t="s">
        <v>9</v>
      </c>
      <c r="H6478" s="24">
        <v>0</v>
      </c>
      <c r="I6478" s="24">
        <v>0</v>
      </c>
      <c r="J6478" s="24" t="s">
        <v>21</v>
      </c>
      <c r="K6478" s="24" t="s">
        <v>21</v>
      </c>
      <c r="L6478" s="24" t="s">
        <v>21</v>
      </c>
      <c r="M6478" s="24" t="s">
        <v>21</v>
      </c>
      <c r="N6478" s="24" t="s">
        <v>21</v>
      </c>
      <c r="O6478" s="24" t="s">
        <v>21</v>
      </c>
      <c r="P6478" s="24" t="s">
        <v>21</v>
      </c>
      <c r="Q6478" s="24" t="s">
        <v>21</v>
      </c>
      <c r="R6478" s="24" t="s">
        <v>21</v>
      </c>
      <c r="S6478" s="24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5">
        <v>3</v>
      </c>
      <c r="E6479" s="5">
        <v>0</v>
      </c>
      <c r="F6479" s="5" t="s">
        <v>8</v>
      </c>
      <c r="G6479" s="15" t="s">
        <v>9</v>
      </c>
      <c r="H6479" s="24">
        <v>3.9999999920837581</v>
      </c>
      <c r="I6479" s="24">
        <v>3.9999999920837581</v>
      </c>
      <c r="J6479" s="24" t="s">
        <v>21</v>
      </c>
      <c r="K6479" s="24" t="s">
        <v>21</v>
      </c>
      <c r="L6479" s="24" t="s">
        <v>21</v>
      </c>
      <c r="M6479" s="24" t="s">
        <v>21</v>
      </c>
      <c r="N6479" s="24" t="s">
        <v>21</v>
      </c>
      <c r="O6479" s="24" t="s">
        <v>21</v>
      </c>
      <c r="P6479" s="24" t="s">
        <v>21</v>
      </c>
      <c r="Q6479" s="24" t="s">
        <v>21</v>
      </c>
      <c r="R6479" s="24" t="s">
        <v>21</v>
      </c>
      <c r="S6479" s="24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5">
        <v>4</v>
      </c>
      <c r="E6480" s="5">
        <v>2</v>
      </c>
      <c r="F6480" s="5" t="s">
        <v>8</v>
      </c>
      <c r="G6480" s="15" t="s">
        <v>9</v>
      </c>
      <c r="H6480" s="24">
        <v>1.000000003259629</v>
      </c>
      <c r="I6480" s="24">
        <v>1.000000003259629</v>
      </c>
      <c r="J6480" s="24" t="s">
        <v>21</v>
      </c>
      <c r="K6480" s="24" t="s">
        <v>21</v>
      </c>
      <c r="L6480" s="24" t="s">
        <v>21</v>
      </c>
      <c r="M6480" s="24" t="s">
        <v>21</v>
      </c>
      <c r="N6480" s="24" t="s">
        <v>21</v>
      </c>
      <c r="O6480" s="24" t="s">
        <v>21</v>
      </c>
      <c r="P6480" s="24" t="s">
        <v>21</v>
      </c>
      <c r="Q6480" s="24" t="s">
        <v>21</v>
      </c>
      <c r="R6480" s="24" t="s">
        <v>21</v>
      </c>
      <c r="S6480" s="24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5">
        <v>0</v>
      </c>
      <c r="E6481" s="5">
        <v>3</v>
      </c>
      <c r="F6481" s="5" t="s">
        <v>8</v>
      </c>
      <c r="G6481" s="15" t="s">
        <v>9</v>
      </c>
      <c r="H6481" s="24">
        <v>0</v>
      </c>
      <c r="I6481" s="24">
        <v>0</v>
      </c>
      <c r="J6481" s="24" t="s">
        <v>21</v>
      </c>
      <c r="K6481" s="24" t="s">
        <v>21</v>
      </c>
      <c r="L6481" s="24" t="s">
        <v>21</v>
      </c>
      <c r="M6481" s="24" t="s">
        <v>21</v>
      </c>
      <c r="N6481" s="24" t="s">
        <v>21</v>
      </c>
      <c r="O6481" s="24" t="s">
        <v>21</v>
      </c>
      <c r="P6481" s="24" t="s">
        <v>21</v>
      </c>
      <c r="Q6481" s="24" t="s">
        <v>21</v>
      </c>
      <c r="R6481" s="24" t="s">
        <v>21</v>
      </c>
      <c r="S6481" s="24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5">
        <v>0</v>
      </c>
      <c r="E6482" s="5">
        <v>0</v>
      </c>
      <c r="F6482" s="5" t="s">
        <v>8</v>
      </c>
      <c r="G6482" s="15" t="s">
        <v>9</v>
      </c>
      <c r="H6482" s="24">
        <v>0</v>
      </c>
      <c r="I6482" s="24">
        <v>0</v>
      </c>
      <c r="J6482" s="24" t="s">
        <v>21</v>
      </c>
      <c r="K6482" s="24" t="s">
        <v>21</v>
      </c>
      <c r="L6482" s="24" t="s">
        <v>21</v>
      </c>
      <c r="M6482" s="24" t="s">
        <v>21</v>
      </c>
      <c r="N6482" s="24" t="s">
        <v>21</v>
      </c>
      <c r="O6482" s="24" t="s">
        <v>21</v>
      </c>
      <c r="P6482" s="24" t="s">
        <v>21</v>
      </c>
      <c r="Q6482" s="24" t="s">
        <v>21</v>
      </c>
      <c r="R6482" s="24" t="s">
        <v>21</v>
      </c>
      <c r="S6482" s="24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5">
        <v>2</v>
      </c>
      <c r="E6483" s="5">
        <v>2</v>
      </c>
      <c r="F6483" s="5" t="s">
        <v>8</v>
      </c>
      <c r="G6483" s="15" t="s">
        <v>9</v>
      </c>
      <c r="H6483" s="24">
        <v>1.000000003259629</v>
      </c>
      <c r="I6483" s="24">
        <v>1.000000003259629</v>
      </c>
      <c r="J6483" s="24" t="s">
        <v>21</v>
      </c>
      <c r="K6483" s="24" t="s">
        <v>21</v>
      </c>
      <c r="L6483" s="24" t="s">
        <v>21</v>
      </c>
      <c r="M6483" s="24" t="s">
        <v>21</v>
      </c>
      <c r="N6483" s="24" t="s">
        <v>21</v>
      </c>
      <c r="O6483" s="24" t="s">
        <v>21</v>
      </c>
      <c r="P6483" s="24" t="s">
        <v>21</v>
      </c>
      <c r="Q6483" s="24" t="s">
        <v>21</v>
      </c>
      <c r="R6483" s="24" t="s">
        <v>21</v>
      </c>
      <c r="S6483" s="24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5">
        <v>0</v>
      </c>
      <c r="E6484" s="5">
        <v>2</v>
      </c>
      <c r="F6484" s="5" t="s">
        <v>8</v>
      </c>
      <c r="G6484" s="15" t="s">
        <v>9</v>
      </c>
      <c r="H6484" s="24">
        <v>0</v>
      </c>
      <c r="I6484" s="24">
        <v>0</v>
      </c>
      <c r="J6484" s="24" t="s">
        <v>21</v>
      </c>
      <c r="K6484" s="24" t="s">
        <v>21</v>
      </c>
      <c r="L6484" s="24" t="s">
        <v>21</v>
      </c>
      <c r="M6484" s="24" t="s">
        <v>21</v>
      </c>
      <c r="N6484" s="24" t="s">
        <v>21</v>
      </c>
      <c r="O6484" s="24" t="s">
        <v>21</v>
      </c>
      <c r="P6484" s="24" t="s">
        <v>21</v>
      </c>
      <c r="Q6484" s="24" t="s">
        <v>21</v>
      </c>
      <c r="R6484" s="24" t="s">
        <v>21</v>
      </c>
      <c r="S6484" s="24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5">
        <v>0</v>
      </c>
      <c r="E6485" s="5">
        <v>0</v>
      </c>
      <c r="F6485" s="5" t="s">
        <v>8</v>
      </c>
      <c r="G6485" s="15" t="s">
        <v>9</v>
      </c>
      <c r="H6485" s="24">
        <v>1.9999999960418791</v>
      </c>
      <c r="I6485" s="24">
        <v>1.9999999960418791</v>
      </c>
      <c r="J6485" s="24" t="s">
        <v>21</v>
      </c>
      <c r="K6485" s="24" t="s">
        <v>21</v>
      </c>
      <c r="L6485" s="24" t="s">
        <v>21</v>
      </c>
      <c r="M6485" s="24" t="s">
        <v>21</v>
      </c>
      <c r="N6485" s="24" t="s">
        <v>21</v>
      </c>
      <c r="O6485" s="24" t="s">
        <v>21</v>
      </c>
      <c r="P6485" s="24" t="s">
        <v>21</v>
      </c>
      <c r="Q6485" s="24" t="s">
        <v>21</v>
      </c>
      <c r="R6485" s="24" t="s">
        <v>21</v>
      </c>
      <c r="S6485" s="24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5">
        <v>0</v>
      </c>
      <c r="E6486" s="5">
        <v>3</v>
      </c>
      <c r="F6486" s="5" t="s">
        <v>8</v>
      </c>
      <c r="G6486" s="15" t="s">
        <v>9</v>
      </c>
      <c r="H6486" s="24">
        <v>0</v>
      </c>
      <c r="I6486" s="24">
        <v>0</v>
      </c>
      <c r="J6486" s="24" t="s">
        <v>21</v>
      </c>
      <c r="K6486" s="24" t="s">
        <v>21</v>
      </c>
      <c r="L6486" s="24" t="s">
        <v>21</v>
      </c>
      <c r="M6486" s="24" t="s">
        <v>21</v>
      </c>
      <c r="N6486" s="24" t="s">
        <v>21</v>
      </c>
      <c r="O6486" s="24" t="s">
        <v>21</v>
      </c>
      <c r="P6486" s="24" t="s">
        <v>21</v>
      </c>
      <c r="Q6486" s="24" t="s">
        <v>21</v>
      </c>
      <c r="R6486" s="24" t="s">
        <v>21</v>
      </c>
      <c r="S6486" s="24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5">
        <v>1</v>
      </c>
      <c r="E6487" s="5">
        <v>2</v>
      </c>
      <c r="F6487" s="5" t="s">
        <v>8</v>
      </c>
      <c r="G6487" s="15" t="s">
        <v>9</v>
      </c>
      <c r="H6487" s="24">
        <v>1.000000003259629</v>
      </c>
      <c r="I6487" s="24">
        <v>1.000000003259629</v>
      </c>
      <c r="J6487" s="24" t="s">
        <v>21</v>
      </c>
      <c r="K6487" s="24" t="s">
        <v>21</v>
      </c>
      <c r="L6487" s="24" t="s">
        <v>21</v>
      </c>
      <c r="M6487" s="24" t="s">
        <v>21</v>
      </c>
      <c r="N6487" s="24" t="s">
        <v>21</v>
      </c>
      <c r="O6487" s="24" t="s">
        <v>21</v>
      </c>
      <c r="P6487" s="24" t="s">
        <v>21</v>
      </c>
      <c r="Q6487" s="24" t="s">
        <v>21</v>
      </c>
      <c r="R6487" s="24" t="s">
        <v>21</v>
      </c>
      <c r="S6487" s="24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5">
        <v>0</v>
      </c>
      <c r="E6488" s="5">
        <v>3</v>
      </c>
      <c r="F6488" s="5" t="s">
        <v>8</v>
      </c>
      <c r="G6488" s="15" t="s">
        <v>9</v>
      </c>
      <c r="H6488" s="24">
        <v>0</v>
      </c>
      <c r="I6488" s="24">
        <v>0</v>
      </c>
      <c r="J6488" s="24" t="s">
        <v>21</v>
      </c>
      <c r="K6488" s="24" t="s">
        <v>21</v>
      </c>
      <c r="L6488" s="24" t="s">
        <v>21</v>
      </c>
      <c r="M6488" s="24" t="s">
        <v>21</v>
      </c>
      <c r="N6488" s="24" t="s">
        <v>21</v>
      </c>
      <c r="O6488" s="24" t="s">
        <v>21</v>
      </c>
      <c r="P6488" s="24" t="s">
        <v>21</v>
      </c>
      <c r="Q6488" s="24" t="s">
        <v>21</v>
      </c>
      <c r="R6488" s="24" t="s">
        <v>21</v>
      </c>
      <c r="S6488" s="24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5">
        <v>1</v>
      </c>
      <c r="E6489" s="5">
        <v>0</v>
      </c>
      <c r="F6489" s="5" t="s">
        <v>8</v>
      </c>
      <c r="G6489" s="15" t="s">
        <v>9</v>
      </c>
      <c r="H6489" s="24">
        <v>1.000000003259629</v>
      </c>
      <c r="I6489" s="24">
        <v>1.000000003259629</v>
      </c>
      <c r="J6489" s="24" t="s">
        <v>21</v>
      </c>
      <c r="K6489" s="24" t="s">
        <v>21</v>
      </c>
      <c r="L6489" s="24" t="s">
        <v>21</v>
      </c>
      <c r="M6489" s="24" t="s">
        <v>21</v>
      </c>
      <c r="N6489" s="24" t="s">
        <v>21</v>
      </c>
      <c r="O6489" s="24" t="s">
        <v>21</v>
      </c>
      <c r="P6489" s="24" t="s">
        <v>21</v>
      </c>
      <c r="Q6489" s="24" t="s">
        <v>21</v>
      </c>
      <c r="R6489" s="24" t="s">
        <v>21</v>
      </c>
      <c r="S6489" s="24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5">
        <v>1</v>
      </c>
      <c r="E6490" s="5">
        <v>1</v>
      </c>
      <c r="F6490" s="5" t="s">
        <v>8</v>
      </c>
      <c r="G6490" s="15" t="s">
        <v>9</v>
      </c>
      <c r="H6490" s="24">
        <v>0</v>
      </c>
      <c r="I6490" s="24">
        <v>0</v>
      </c>
      <c r="J6490" s="24" t="s">
        <v>21</v>
      </c>
      <c r="K6490" s="24" t="s">
        <v>21</v>
      </c>
      <c r="L6490" s="24" t="s">
        <v>21</v>
      </c>
      <c r="M6490" s="24" t="s">
        <v>21</v>
      </c>
      <c r="N6490" s="24" t="s">
        <v>21</v>
      </c>
      <c r="O6490" s="24" t="s">
        <v>21</v>
      </c>
      <c r="P6490" s="24" t="s">
        <v>21</v>
      </c>
      <c r="Q6490" s="24" t="s">
        <v>21</v>
      </c>
      <c r="R6490" s="24" t="s">
        <v>21</v>
      </c>
      <c r="S6490" s="24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5">
        <v>2</v>
      </c>
      <c r="E6491" s="5">
        <v>0</v>
      </c>
      <c r="F6491" s="5" t="s">
        <v>8</v>
      </c>
      <c r="G6491" s="15" t="s">
        <v>9</v>
      </c>
      <c r="H6491" s="24">
        <v>0</v>
      </c>
      <c r="I6491" s="24">
        <v>0</v>
      </c>
      <c r="J6491" s="24" t="s">
        <v>21</v>
      </c>
      <c r="K6491" s="24" t="s">
        <v>21</v>
      </c>
      <c r="L6491" s="24" t="s">
        <v>21</v>
      </c>
      <c r="M6491" s="24" t="s">
        <v>21</v>
      </c>
      <c r="N6491" s="24" t="s">
        <v>21</v>
      </c>
      <c r="O6491" s="24" t="s">
        <v>21</v>
      </c>
      <c r="P6491" s="24" t="s">
        <v>21</v>
      </c>
      <c r="Q6491" s="24" t="s">
        <v>21</v>
      </c>
      <c r="R6491" s="24" t="s">
        <v>21</v>
      </c>
      <c r="S6491" s="24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5">
        <v>3</v>
      </c>
      <c r="E6492" s="5">
        <v>1</v>
      </c>
      <c r="F6492" s="5" t="s">
        <v>8</v>
      </c>
      <c r="G6492" s="15" t="s">
        <v>9</v>
      </c>
      <c r="H6492" s="24">
        <v>0.99999999278225005</v>
      </c>
      <c r="I6492" s="24">
        <v>0.99999999278225005</v>
      </c>
      <c r="J6492" s="24" t="s">
        <v>21</v>
      </c>
      <c r="K6492" s="24" t="s">
        <v>21</v>
      </c>
      <c r="L6492" s="24" t="s">
        <v>21</v>
      </c>
      <c r="M6492" s="24" t="s">
        <v>21</v>
      </c>
      <c r="N6492" s="24" t="s">
        <v>21</v>
      </c>
      <c r="O6492" s="24" t="s">
        <v>21</v>
      </c>
      <c r="P6492" s="24" t="s">
        <v>21</v>
      </c>
      <c r="Q6492" s="24" t="s">
        <v>21</v>
      </c>
      <c r="R6492" s="24" t="s">
        <v>21</v>
      </c>
      <c r="S6492" s="24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7">
        <v>3</v>
      </c>
      <c r="E6493" s="7">
        <v>0</v>
      </c>
      <c r="F6493" s="7" t="s">
        <v>8</v>
      </c>
      <c r="G6493" s="16" t="s">
        <v>9</v>
      </c>
      <c r="H6493" s="25">
        <v>1.000000003259629</v>
      </c>
      <c r="I6493" s="25">
        <v>1.000000003259629</v>
      </c>
      <c r="J6493" s="25" t="s">
        <v>21</v>
      </c>
      <c r="K6493" s="25" t="s">
        <v>21</v>
      </c>
      <c r="L6493" s="25" t="s">
        <v>21</v>
      </c>
      <c r="M6493" s="25" t="s">
        <v>21</v>
      </c>
      <c r="N6493" s="25" t="s">
        <v>21</v>
      </c>
      <c r="O6493" s="25" t="s">
        <v>21</v>
      </c>
      <c r="P6493" s="25" t="s">
        <v>21</v>
      </c>
      <c r="Q6493" s="25" t="s">
        <v>21</v>
      </c>
      <c r="R6493" s="25" t="s">
        <v>21</v>
      </c>
      <c r="S6493" s="25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5">
        <v>1</v>
      </c>
      <c r="E6494" s="5">
        <v>0</v>
      </c>
      <c r="F6494" s="5" t="s">
        <v>8</v>
      </c>
      <c r="G6494" s="15" t="s">
        <v>9</v>
      </c>
      <c r="H6494" s="24">
        <v>780.99999999976717</v>
      </c>
      <c r="I6494" s="24">
        <v>780.99999999976717</v>
      </c>
      <c r="J6494" s="24" t="s">
        <v>21</v>
      </c>
      <c r="K6494" s="24" t="s">
        <v>21</v>
      </c>
      <c r="L6494" s="24" t="s">
        <v>21</v>
      </c>
      <c r="M6494" s="24" t="s">
        <v>21</v>
      </c>
      <c r="N6494" s="24" t="s">
        <v>21</v>
      </c>
      <c r="O6494" s="24" t="s">
        <v>21</v>
      </c>
      <c r="P6494" s="24" t="s">
        <v>21</v>
      </c>
      <c r="Q6494" s="24" t="s">
        <v>21</v>
      </c>
      <c r="R6494" s="24" t="s">
        <v>21</v>
      </c>
      <c r="S6494" s="24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5">
        <v>1</v>
      </c>
      <c r="E6495" s="5">
        <v>0</v>
      </c>
      <c r="F6495" s="5" t="s">
        <v>8</v>
      </c>
      <c r="G6495" s="15" t="s">
        <v>9</v>
      </c>
      <c r="H6495" s="24">
        <v>1.000000003259629</v>
      </c>
      <c r="I6495" s="24">
        <v>1.000000003259629</v>
      </c>
      <c r="J6495" s="24" t="s">
        <v>21</v>
      </c>
      <c r="K6495" s="24" t="s">
        <v>21</v>
      </c>
      <c r="L6495" s="24" t="s">
        <v>21</v>
      </c>
      <c r="M6495" s="24" t="s">
        <v>21</v>
      </c>
      <c r="N6495" s="24" t="s">
        <v>21</v>
      </c>
      <c r="O6495" s="24" t="s">
        <v>21</v>
      </c>
      <c r="P6495" s="24" t="s">
        <v>21</v>
      </c>
      <c r="Q6495" s="24" t="s">
        <v>21</v>
      </c>
      <c r="R6495" s="24" t="s">
        <v>21</v>
      </c>
      <c r="S6495" s="24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5">
        <v>3</v>
      </c>
      <c r="E6496" s="5">
        <v>0</v>
      </c>
      <c r="F6496" s="5" t="s">
        <v>8</v>
      </c>
      <c r="G6496" s="15" t="s">
        <v>9</v>
      </c>
      <c r="H6496" s="24">
        <v>0</v>
      </c>
      <c r="I6496" s="24">
        <v>0</v>
      </c>
      <c r="J6496" s="24" t="s">
        <v>21</v>
      </c>
      <c r="K6496" s="24" t="s">
        <v>21</v>
      </c>
      <c r="L6496" s="24" t="s">
        <v>21</v>
      </c>
      <c r="M6496" s="24" t="s">
        <v>21</v>
      </c>
      <c r="N6496" s="24" t="s">
        <v>21</v>
      </c>
      <c r="O6496" s="24" t="s">
        <v>21</v>
      </c>
      <c r="P6496" s="24" t="s">
        <v>21</v>
      </c>
      <c r="Q6496" s="24" t="s">
        <v>21</v>
      </c>
      <c r="R6496" s="24" t="s">
        <v>21</v>
      </c>
      <c r="S6496" s="24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5">
        <v>2</v>
      </c>
      <c r="E6497" s="5">
        <v>1</v>
      </c>
      <c r="F6497" s="5" t="s">
        <v>8</v>
      </c>
      <c r="G6497" s="15" t="s">
        <v>9</v>
      </c>
      <c r="H6497" s="24">
        <v>0.99999999278225005</v>
      </c>
      <c r="I6497" s="24">
        <v>0.99999999278225005</v>
      </c>
      <c r="J6497" s="24" t="s">
        <v>21</v>
      </c>
      <c r="K6497" s="24" t="s">
        <v>21</v>
      </c>
      <c r="L6497" s="24" t="s">
        <v>21</v>
      </c>
      <c r="M6497" s="24" t="s">
        <v>21</v>
      </c>
      <c r="N6497" s="24" t="s">
        <v>21</v>
      </c>
      <c r="O6497" s="24" t="s">
        <v>21</v>
      </c>
      <c r="P6497" s="24" t="s">
        <v>21</v>
      </c>
      <c r="Q6497" s="24" t="s">
        <v>21</v>
      </c>
      <c r="R6497" s="24" t="s">
        <v>21</v>
      </c>
      <c r="S6497" s="24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5">
        <v>0</v>
      </c>
      <c r="E6498" s="5">
        <v>4</v>
      </c>
      <c r="F6498" s="5" t="s">
        <v>8</v>
      </c>
      <c r="G6498" s="15" t="s">
        <v>9</v>
      </c>
      <c r="H6498" s="24">
        <v>0</v>
      </c>
      <c r="I6498" s="24">
        <v>0</v>
      </c>
      <c r="J6498" s="24" t="s">
        <v>21</v>
      </c>
      <c r="K6498" s="24" t="s">
        <v>21</v>
      </c>
      <c r="L6498" s="24" t="s">
        <v>21</v>
      </c>
      <c r="M6498" s="24" t="s">
        <v>21</v>
      </c>
      <c r="N6498" s="24" t="s">
        <v>21</v>
      </c>
      <c r="O6498" s="24" t="s">
        <v>21</v>
      </c>
      <c r="P6498" s="24" t="s">
        <v>21</v>
      </c>
      <c r="Q6498" s="24" t="s">
        <v>21</v>
      </c>
      <c r="R6498" s="24" t="s">
        <v>21</v>
      </c>
      <c r="S6498" s="24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5">
        <v>0</v>
      </c>
      <c r="E6499" s="5">
        <v>9</v>
      </c>
      <c r="F6499" s="5" t="s">
        <v>8</v>
      </c>
      <c r="G6499" s="15" t="s">
        <v>9</v>
      </c>
      <c r="H6499" s="24">
        <v>1.000000003259629</v>
      </c>
      <c r="I6499" s="24">
        <v>1.000000003259629</v>
      </c>
      <c r="J6499" s="24" t="s">
        <v>21</v>
      </c>
      <c r="K6499" s="24" t="s">
        <v>21</v>
      </c>
      <c r="L6499" s="24" t="s">
        <v>21</v>
      </c>
      <c r="M6499" s="24" t="s">
        <v>21</v>
      </c>
      <c r="N6499" s="24" t="s">
        <v>21</v>
      </c>
      <c r="O6499" s="24" t="s">
        <v>21</v>
      </c>
      <c r="P6499" s="24" t="s">
        <v>21</v>
      </c>
      <c r="Q6499" s="24" t="s">
        <v>21</v>
      </c>
      <c r="R6499" s="24" t="s">
        <v>21</v>
      </c>
      <c r="S6499" s="24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5">
        <v>0</v>
      </c>
      <c r="E6500" s="5">
        <v>1</v>
      </c>
      <c r="F6500" s="5" t="s">
        <v>8</v>
      </c>
      <c r="G6500" s="15" t="s">
        <v>9</v>
      </c>
      <c r="H6500" s="24">
        <v>21.999999998370185</v>
      </c>
      <c r="I6500" s="24" t="s">
        <v>21</v>
      </c>
      <c r="J6500" s="24" t="s">
        <v>21</v>
      </c>
      <c r="K6500" s="24" t="s">
        <v>21</v>
      </c>
      <c r="L6500" s="24" t="s">
        <v>21</v>
      </c>
      <c r="M6500" s="24" t="s">
        <v>21</v>
      </c>
      <c r="N6500" s="24" t="s">
        <v>21</v>
      </c>
      <c r="O6500" s="24">
        <v>830.00000000232831</v>
      </c>
      <c r="P6500" s="24" t="s">
        <v>21</v>
      </c>
      <c r="Q6500" s="24" t="s">
        <v>21</v>
      </c>
      <c r="R6500" s="24" t="s">
        <v>21</v>
      </c>
      <c r="S6500" s="24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5">
        <v>0</v>
      </c>
      <c r="E6501" s="5">
        <v>1</v>
      </c>
      <c r="F6501" s="5" t="s">
        <v>8</v>
      </c>
      <c r="G6501" s="15" t="s">
        <v>9</v>
      </c>
      <c r="H6501" s="24">
        <v>1.000000003259629</v>
      </c>
      <c r="I6501" s="24" t="s">
        <v>21</v>
      </c>
      <c r="J6501" s="24" t="s">
        <v>21</v>
      </c>
      <c r="K6501" s="24" t="s">
        <v>21</v>
      </c>
      <c r="L6501" s="24" t="s">
        <v>21</v>
      </c>
      <c r="M6501" s="24" t="s">
        <v>21</v>
      </c>
      <c r="N6501" s="24" t="s">
        <v>21</v>
      </c>
      <c r="O6501" s="24">
        <v>1.000000003259629</v>
      </c>
      <c r="P6501" s="24" t="s">
        <v>21</v>
      </c>
      <c r="Q6501" s="24" t="s">
        <v>21</v>
      </c>
      <c r="R6501" s="24" t="s">
        <v>21</v>
      </c>
      <c r="S6501" s="24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5">
        <v>0</v>
      </c>
      <c r="E6502" s="5">
        <v>12</v>
      </c>
      <c r="F6502" s="5" t="s">
        <v>8</v>
      </c>
      <c r="G6502" s="15" t="s">
        <v>9</v>
      </c>
      <c r="H6502" s="24">
        <v>0</v>
      </c>
      <c r="I6502" s="24" t="s">
        <v>21</v>
      </c>
      <c r="J6502" s="24" t="s">
        <v>21</v>
      </c>
      <c r="K6502" s="24" t="s">
        <v>21</v>
      </c>
      <c r="L6502" s="24" t="s">
        <v>21</v>
      </c>
      <c r="M6502" s="24" t="s">
        <v>21</v>
      </c>
      <c r="N6502" s="24" t="s">
        <v>21</v>
      </c>
      <c r="O6502" s="24">
        <v>0</v>
      </c>
      <c r="P6502" s="24" t="s">
        <v>21</v>
      </c>
      <c r="Q6502" s="24" t="s">
        <v>21</v>
      </c>
      <c r="R6502" s="24" t="s">
        <v>21</v>
      </c>
      <c r="S6502" s="24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5">
        <v>0</v>
      </c>
      <c r="E6503" s="5">
        <v>2</v>
      </c>
      <c r="F6503" s="5" t="s">
        <v>8</v>
      </c>
      <c r="G6503" s="15" t="s">
        <v>9</v>
      </c>
      <c r="H6503" s="24">
        <v>1.000000003259629</v>
      </c>
      <c r="I6503" s="24" t="s">
        <v>21</v>
      </c>
      <c r="J6503" s="24" t="s">
        <v>21</v>
      </c>
      <c r="K6503" s="24" t="s">
        <v>21</v>
      </c>
      <c r="L6503" s="24" t="s">
        <v>21</v>
      </c>
      <c r="M6503" s="24" t="s">
        <v>21</v>
      </c>
      <c r="N6503" s="24" t="s">
        <v>21</v>
      </c>
      <c r="O6503" s="24">
        <v>1.000000003259629</v>
      </c>
      <c r="P6503" s="24" t="s">
        <v>21</v>
      </c>
      <c r="Q6503" s="24" t="s">
        <v>21</v>
      </c>
      <c r="R6503" s="24" t="s">
        <v>21</v>
      </c>
      <c r="S6503" s="24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5">
        <v>0</v>
      </c>
      <c r="E6504" s="5">
        <v>5</v>
      </c>
      <c r="F6504" s="5" t="s">
        <v>8</v>
      </c>
      <c r="G6504" s="15" t="s">
        <v>9</v>
      </c>
      <c r="H6504" s="24">
        <v>0</v>
      </c>
      <c r="I6504" s="24" t="s">
        <v>21</v>
      </c>
      <c r="J6504" s="24" t="s">
        <v>21</v>
      </c>
      <c r="K6504" s="24" t="s">
        <v>21</v>
      </c>
      <c r="L6504" s="24" t="s">
        <v>21</v>
      </c>
      <c r="M6504" s="24" t="s">
        <v>21</v>
      </c>
      <c r="N6504" s="24" t="s">
        <v>21</v>
      </c>
      <c r="O6504" s="24">
        <v>0</v>
      </c>
      <c r="P6504" s="24" t="s">
        <v>21</v>
      </c>
      <c r="Q6504" s="24" t="s">
        <v>21</v>
      </c>
      <c r="R6504" s="24" t="s">
        <v>21</v>
      </c>
      <c r="S6504" s="24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5">
        <v>0</v>
      </c>
      <c r="E6505" s="5">
        <v>24</v>
      </c>
      <c r="F6505" s="5" t="s">
        <v>8</v>
      </c>
      <c r="G6505" s="15" t="s">
        <v>9</v>
      </c>
      <c r="H6505" s="24">
        <v>0.99999999278225005</v>
      </c>
      <c r="I6505" s="24" t="s">
        <v>21</v>
      </c>
      <c r="J6505" s="24" t="s">
        <v>21</v>
      </c>
      <c r="K6505" s="24" t="s">
        <v>21</v>
      </c>
      <c r="L6505" s="24" t="s">
        <v>21</v>
      </c>
      <c r="M6505" s="24" t="s">
        <v>21</v>
      </c>
      <c r="N6505" s="24" t="s">
        <v>21</v>
      </c>
      <c r="O6505" s="24">
        <v>0.99999999278225005</v>
      </c>
      <c r="P6505" s="24" t="s">
        <v>21</v>
      </c>
      <c r="Q6505" s="24" t="s">
        <v>21</v>
      </c>
      <c r="R6505" s="24" t="s">
        <v>21</v>
      </c>
      <c r="S6505" s="24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5">
        <v>0</v>
      </c>
      <c r="E6506" s="5">
        <v>13</v>
      </c>
      <c r="F6506" s="5" t="s">
        <v>8</v>
      </c>
      <c r="G6506" s="15" t="s">
        <v>9</v>
      </c>
      <c r="H6506" s="24">
        <v>0</v>
      </c>
      <c r="I6506" s="24" t="s">
        <v>21</v>
      </c>
      <c r="J6506" s="24" t="s">
        <v>21</v>
      </c>
      <c r="K6506" s="24" t="s">
        <v>21</v>
      </c>
      <c r="L6506" s="24" t="s">
        <v>21</v>
      </c>
      <c r="M6506" s="24" t="s">
        <v>21</v>
      </c>
      <c r="N6506" s="24" t="s">
        <v>21</v>
      </c>
      <c r="O6506" s="24">
        <v>0</v>
      </c>
      <c r="P6506" s="24" t="s">
        <v>21</v>
      </c>
      <c r="Q6506" s="24" t="s">
        <v>21</v>
      </c>
      <c r="R6506" s="24" t="s">
        <v>21</v>
      </c>
      <c r="S6506" s="24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5">
        <v>0</v>
      </c>
      <c r="E6507" s="5">
        <v>8</v>
      </c>
      <c r="F6507" s="5" t="s">
        <v>8</v>
      </c>
      <c r="G6507" s="15" t="s">
        <v>9</v>
      </c>
      <c r="H6507" s="24">
        <v>1.000000003259629</v>
      </c>
      <c r="I6507" s="24" t="s">
        <v>21</v>
      </c>
      <c r="J6507" s="24" t="s">
        <v>21</v>
      </c>
      <c r="K6507" s="24" t="s">
        <v>21</v>
      </c>
      <c r="L6507" s="24" t="s">
        <v>21</v>
      </c>
      <c r="M6507" s="24" t="s">
        <v>21</v>
      </c>
      <c r="N6507" s="24" t="s">
        <v>21</v>
      </c>
      <c r="O6507" s="24">
        <v>1.000000003259629</v>
      </c>
      <c r="P6507" s="24" t="s">
        <v>21</v>
      </c>
      <c r="Q6507" s="24" t="s">
        <v>21</v>
      </c>
      <c r="R6507" s="24" t="s">
        <v>21</v>
      </c>
      <c r="S6507" s="24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5">
        <v>0</v>
      </c>
      <c r="E6508" s="5">
        <v>17</v>
      </c>
      <c r="F6508" s="5" t="s">
        <v>8</v>
      </c>
      <c r="G6508" s="15" t="s">
        <v>9</v>
      </c>
      <c r="H6508" s="24">
        <v>0</v>
      </c>
      <c r="I6508" s="24" t="s">
        <v>21</v>
      </c>
      <c r="J6508" s="24" t="s">
        <v>21</v>
      </c>
      <c r="K6508" s="24" t="s">
        <v>21</v>
      </c>
      <c r="L6508" s="24" t="s">
        <v>21</v>
      </c>
      <c r="M6508" s="24" t="s">
        <v>21</v>
      </c>
      <c r="N6508" s="24" t="s">
        <v>21</v>
      </c>
      <c r="O6508" s="24">
        <v>0</v>
      </c>
      <c r="P6508" s="24" t="s">
        <v>21</v>
      </c>
      <c r="Q6508" s="24" t="s">
        <v>21</v>
      </c>
      <c r="R6508" s="24" t="s">
        <v>21</v>
      </c>
      <c r="S6508" s="24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5">
        <v>0</v>
      </c>
      <c r="E6509" s="5">
        <v>10</v>
      </c>
      <c r="F6509" s="5" t="s">
        <v>8</v>
      </c>
      <c r="G6509" s="15" t="s">
        <v>9</v>
      </c>
      <c r="H6509" s="24">
        <v>1.000000003259629</v>
      </c>
      <c r="I6509" s="24" t="s">
        <v>21</v>
      </c>
      <c r="J6509" s="24" t="s">
        <v>21</v>
      </c>
      <c r="K6509" s="24" t="s">
        <v>21</v>
      </c>
      <c r="L6509" s="24" t="s">
        <v>21</v>
      </c>
      <c r="M6509" s="24" t="s">
        <v>21</v>
      </c>
      <c r="N6509" s="24" t="s">
        <v>21</v>
      </c>
      <c r="O6509" s="24">
        <v>1.000000003259629</v>
      </c>
      <c r="P6509" s="24" t="s">
        <v>21</v>
      </c>
      <c r="Q6509" s="24" t="s">
        <v>21</v>
      </c>
      <c r="R6509" s="24" t="s">
        <v>21</v>
      </c>
      <c r="S6509" s="24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5">
        <v>0</v>
      </c>
      <c r="E6510" s="5">
        <v>0</v>
      </c>
      <c r="F6510" s="5" t="s">
        <v>8</v>
      </c>
      <c r="G6510" s="15" t="s">
        <v>9</v>
      </c>
      <c r="H6510" s="24">
        <v>0</v>
      </c>
      <c r="I6510" s="24" t="s">
        <v>21</v>
      </c>
      <c r="J6510" s="24" t="s">
        <v>21</v>
      </c>
      <c r="K6510" s="24" t="s">
        <v>21</v>
      </c>
      <c r="L6510" s="24" t="s">
        <v>21</v>
      </c>
      <c r="M6510" s="24" t="s">
        <v>21</v>
      </c>
      <c r="N6510" s="24" t="s">
        <v>21</v>
      </c>
      <c r="O6510" s="24">
        <v>0</v>
      </c>
      <c r="P6510" s="24" t="s">
        <v>21</v>
      </c>
      <c r="Q6510" s="24" t="s">
        <v>21</v>
      </c>
      <c r="R6510" s="24" t="s">
        <v>21</v>
      </c>
      <c r="S6510" s="24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5">
        <v>0</v>
      </c>
      <c r="E6511" s="5">
        <v>0</v>
      </c>
      <c r="F6511" s="5" t="s">
        <v>8</v>
      </c>
      <c r="G6511" s="15" t="s">
        <v>9</v>
      </c>
      <c r="H6511" s="24">
        <v>0.99999999278225005</v>
      </c>
      <c r="I6511" s="24" t="s">
        <v>21</v>
      </c>
      <c r="J6511" s="24" t="s">
        <v>21</v>
      </c>
      <c r="K6511" s="24" t="s">
        <v>21</v>
      </c>
      <c r="L6511" s="24" t="s">
        <v>21</v>
      </c>
      <c r="M6511" s="24" t="s">
        <v>21</v>
      </c>
      <c r="N6511" s="24" t="s">
        <v>21</v>
      </c>
      <c r="O6511" s="24">
        <v>0.99999999278225005</v>
      </c>
      <c r="P6511" s="24" t="s">
        <v>21</v>
      </c>
      <c r="Q6511" s="24" t="s">
        <v>21</v>
      </c>
      <c r="R6511" s="24" t="s">
        <v>21</v>
      </c>
      <c r="S6511" s="24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5">
        <v>0</v>
      </c>
      <c r="E6512" s="5">
        <v>7</v>
      </c>
      <c r="F6512" s="5" t="s">
        <v>8</v>
      </c>
      <c r="G6512" s="15" t="s">
        <v>9</v>
      </c>
      <c r="H6512" s="24">
        <v>195.99999999976717</v>
      </c>
      <c r="I6512" s="24" t="s">
        <v>21</v>
      </c>
      <c r="J6512" s="24" t="s">
        <v>21</v>
      </c>
      <c r="K6512" s="24" t="s">
        <v>21</v>
      </c>
      <c r="L6512" s="24" t="s">
        <v>21</v>
      </c>
      <c r="M6512" s="24" t="s">
        <v>21</v>
      </c>
      <c r="N6512" s="24" t="s">
        <v>21</v>
      </c>
      <c r="O6512" s="24">
        <v>195.99999999976717</v>
      </c>
      <c r="P6512" s="24" t="s">
        <v>21</v>
      </c>
      <c r="Q6512" s="24" t="s">
        <v>21</v>
      </c>
      <c r="R6512" s="24" t="s">
        <v>21</v>
      </c>
      <c r="S6512" s="24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5">
        <v>0</v>
      </c>
      <c r="E6513" s="5">
        <v>18</v>
      </c>
      <c r="F6513" s="5" t="s">
        <v>8</v>
      </c>
      <c r="G6513" s="15" t="s">
        <v>9</v>
      </c>
      <c r="H6513" s="24">
        <v>0</v>
      </c>
      <c r="I6513" s="24" t="s">
        <v>21</v>
      </c>
      <c r="J6513" s="24" t="s">
        <v>21</v>
      </c>
      <c r="K6513" s="24" t="s">
        <v>21</v>
      </c>
      <c r="L6513" s="24" t="s">
        <v>21</v>
      </c>
      <c r="M6513" s="24" t="s">
        <v>21</v>
      </c>
      <c r="N6513" s="24" t="s">
        <v>21</v>
      </c>
      <c r="O6513" s="24">
        <v>0</v>
      </c>
      <c r="P6513" s="24" t="s">
        <v>21</v>
      </c>
      <c r="Q6513" s="24" t="s">
        <v>21</v>
      </c>
      <c r="R6513" s="24" t="s">
        <v>21</v>
      </c>
      <c r="S6513" s="24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5">
        <v>0</v>
      </c>
      <c r="E6514" s="5">
        <v>27</v>
      </c>
      <c r="F6514" s="5" t="s">
        <v>8</v>
      </c>
      <c r="G6514" s="15" t="s">
        <v>9</v>
      </c>
      <c r="H6514" s="24">
        <v>1.000000003259629</v>
      </c>
      <c r="I6514" s="24" t="s">
        <v>21</v>
      </c>
      <c r="J6514" s="24" t="s">
        <v>21</v>
      </c>
      <c r="K6514" s="24" t="s">
        <v>21</v>
      </c>
      <c r="L6514" s="24" t="s">
        <v>21</v>
      </c>
      <c r="M6514" s="24" t="s">
        <v>21</v>
      </c>
      <c r="N6514" s="24" t="s">
        <v>21</v>
      </c>
      <c r="O6514" s="24">
        <v>1.000000003259629</v>
      </c>
      <c r="P6514" s="24" t="s">
        <v>21</v>
      </c>
      <c r="Q6514" s="24" t="s">
        <v>21</v>
      </c>
      <c r="R6514" s="24" t="s">
        <v>21</v>
      </c>
      <c r="S6514" s="24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5">
        <v>0</v>
      </c>
      <c r="E6515" s="5">
        <v>26</v>
      </c>
      <c r="F6515" s="5" t="s">
        <v>8</v>
      </c>
      <c r="G6515" s="15" t="s">
        <v>9</v>
      </c>
      <c r="H6515" s="24">
        <v>0</v>
      </c>
      <c r="I6515" s="24" t="s">
        <v>21</v>
      </c>
      <c r="J6515" s="24" t="s">
        <v>21</v>
      </c>
      <c r="K6515" s="24" t="s">
        <v>21</v>
      </c>
      <c r="L6515" s="24" t="s">
        <v>21</v>
      </c>
      <c r="M6515" s="24" t="s">
        <v>21</v>
      </c>
      <c r="N6515" s="24" t="s">
        <v>21</v>
      </c>
      <c r="O6515" s="24">
        <v>0</v>
      </c>
      <c r="P6515" s="24" t="s">
        <v>21</v>
      </c>
      <c r="Q6515" s="24" t="s">
        <v>21</v>
      </c>
      <c r="R6515" s="24" t="s">
        <v>21</v>
      </c>
      <c r="S6515" s="24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5">
        <v>0</v>
      </c>
      <c r="E6516" s="5">
        <v>29</v>
      </c>
      <c r="F6516" s="5" t="s">
        <v>8</v>
      </c>
      <c r="G6516" s="15" t="s">
        <v>9</v>
      </c>
      <c r="H6516" s="24">
        <v>1.000000003259629</v>
      </c>
      <c r="I6516" s="24" t="s">
        <v>21</v>
      </c>
      <c r="J6516" s="24" t="s">
        <v>21</v>
      </c>
      <c r="K6516" s="24" t="s">
        <v>21</v>
      </c>
      <c r="L6516" s="24" t="s">
        <v>21</v>
      </c>
      <c r="M6516" s="24" t="s">
        <v>21</v>
      </c>
      <c r="N6516" s="24" t="s">
        <v>21</v>
      </c>
      <c r="O6516" s="24">
        <v>1.000000003259629</v>
      </c>
      <c r="P6516" s="24" t="s">
        <v>21</v>
      </c>
      <c r="Q6516" s="24" t="s">
        <v>21</v>
      </c>
      <c r="R6516" s="24" t="s">
        <v>21</v>
      </c>
      <c r="S6516" s="24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5">
        <v>0</v>
      </c>
      <c r="E6517" s="5">
        <v>31</v>
      </c>
      <c r="F6517" s="5" t="s">
        <v>8</v>
      </c>
      <c r="G6517" s="15" t="s">
        <v>9</v>
      </c>
      <c r="H6517" s="24">
        <v>0</v>
      </c>
      <c r="I6517" s="24" t="s">
        <v>21</v>
      </c>
      <c r="J6517" s="24" t="s">
        <v>21</v>
      </c>
      <c r="K6517" s="24" t="s">
        <v>21</v>
      </c>
      <c r="L6517" s="24" t="s">
        <v>21</v>
      </c>
      <c r="M6517" s="24" t="s">
        <v>21</v>
      </c>
      <c r="N6517" s="24" t="s">
        <v>21</v>
      </c>
      <c r="O6517" s="24">
        <v>0</v>
      </c>
      <c r="P6517" s="24" t="s">
        <v>21</v>
      </c>
      <c r="Q6517" s="24" t="s">
        <v>21</v>
      </c>
      <c r="R6517" s="24" t="s">
        <v>21</v>
      </c>
      <c r="S6517" s="24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5">
        <v>0</v>
      </c>
      <c r="E6518" s="5">
        <v>27</v>
      </c>
      <c r="F6518" s="5" t="s">
        <v>8</v>
      </c>
      <c r="G6518" s="15" t="s">
        <v>9</v>
      </c>
      <c r="H6518" s="24">
        <v>0.99999999278225005</v>
      </c>
      <c r="I6518" s="24" t="s">
        <v>21</v>
      </c>
      <c r="J6518" s="24" t="s">
        <v>21</v>
      </c>
      <c r="K6518" s="24" t="s">
        <v>21</v>
      </c>
      <c r="L6518" s="24" t="s">
        <v>21</v>
      </c>
      <c r="M6518" s="24" t="s">
        <v>21</v>
      </c>
      <c r="N6518" s="24" t="s">
        <v>21</v>
      </c>
      <c r="O6518" s="24">
        <v>0.99999999278225005</v>
      </c>
      <c r="P6518" s="24" t="s">
        <v>21</v>
      </c>
      <c r="Q6518" s="24" t="s">
        <v>21</v>
      </c>
      <c r="R6518" s="24" t="s">
        <v>21</v>
      </c>
      <c r="S6518" s="24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5">
        <v>3</v>
      </c>
      <c r="E6519" s="5">
        <v>24</v>
      </c>
      <c r="F6519" s="5" t="s">
        <v>8</v>
      </c>
      <c r="G6519" s="15" t="s">
        <v>9</v>
      </c>
      <c r="H6519" s="24">
        <v>0</v>
      </c>
      <c r="I6519" s="24" t="s">
        <v>21</v>
      </c>
      <c r="J6519" s="24" t="s">
        <v>21</v>
      </c>
      <c r="K6519" s="24" t="s">
        <v>21</v>
      </c>
      <c r="L6519" s="24" t="s">
        <v>21</v>
      </c>
      <c r="M6519" s="24" t="s">
        <v>21</v>
      </c>
      <c r="N6519" s="24" t="s">
        <v>21</v>
      </c>
      <c r="O6519" s="24">
        <v>0</v>
      </c>
      <c r="P6519" s="24" t="s">
        <v>21</v>
      </c>
      <c r="Q6519" s="24" t="s">
        <v>21</v>
      </c>
      <c r="R6519" s="24" t="s">
        <v>21</v>
      </c>
      <c r="S6519" s="24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5">
        <v>4</v>
      </c>
      <c r="E6520" s="5">
        <v>10</v>
      </c>
      <c r="F6520" s="5" t="s">
        <v>8</v>
      </c>
      <c r="G6520" s="15" t="s">
        <v>9</v>
      </c>
      <c r="H6520" s="24">
        <v>1.000000003259629</v>
      </c>
      <c r="I6520" s="24" t="s">
        <v>21</v>
      </c>
      <c r="J6520" s="24" t="s">
        <v>21</v>
      </c>
      <c r="K6520" s="24" t="s">
        <v>21</v>
      </c>
      <c r="L6520" s="24" t="s">
        <v>21</v>
      </c>
      <c r="M6520" s="24" t="s">
        <v>21</v>
      </c>
      <c r="N6520" s="24" t="s">
        <v>21</v>
      </c>
      <c r="O6520" s="24">
        <v>1.000000003259629</v>
      </c>
      <c r="P6520" s="24" t="s">
        <v>21</v>
      </c>
      <c r="Q6520" s="24" t="s">
        <v>21</v>
      </c>
      <c r="R6520" s="24" t="s">
        <v>21</v>
      </c>
      <c r="S6520" s="24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5">
        <v>0</v>
      </c>
      <c r="E6521" s="5">
        <v>28</v>
      </c>
      <c r="F6521" s="5" t="s">
        <v>8</v>
      </c>
      <c r="G6521" s="15" t="s">
        <v>9</v>
      </c>
      <c r="H6521" s="24">
        <v>1.000000003259629</v>
      </c>
      <c r="I6521" s="24" t="s">
        <v>21</v>
      </c>
      <c r="J6521" s="24" t="s">
        <v>21</v>
      </c>
      <c r="K6521" s="24" t="s">
        <v>21</v>
      </c>
      <c r="L6521" s="24" t="s">
        <v>21</v>
      </c>
      <c r="M6521" s="24" t="s">
        <v>21</v>
      </c>
      <c r="N6521" s="24" t="s">
        <v>21</v>
      </c>
      <c r="O6521" s="24">
        <v>1.000000003259629</v>
      </c>
      <c r="P6521" s="24" t="s">
        <v>21</v>
      </c>
      <c r="Q6521" s="24" t="s">
        <v>21</v>
      </c>
      <c r="R6521" s="24" t="s">
        <v>21</v>
      </c>
      <c r="S6521" s="24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5">
        <v>2</v>
      </c>
      <c r="E6522" s="5">
        <v>17</v>
      </c>
      <c r="F6522" s="5" t="s">
        <v>8</v>
      </c>
      <c r="G6522" s="15" t="s">
        <v>9</v>
      </c>
      <c r="H6522" s="24">
        <v>0</v>
      </c>
      <c r="I6522" s="24" t="s">
        <v>21</v>
      </c>
      <c r="J6522" s="24" t="s">
        <v>21</v>
      </c>
      <c r="K6522" s="24" t="s">
        <v>21</v>
      </c>
      <c r="L6522" s="24" t="s">
        <v>21</v>
      </c>
      <c r="M6522" s="24" t="s">
        <v>21</v>
      </c>
      <c r="N6522" s="24" t="s">
        <v>21</v>
      </c>
      <c r="O6522" s="24">
        <v>0</v>
      </c>
      <c r="P6522" s="24" t="s">
        <v>21</v>
      </c>
      <c r="Q6522" s="24" t="s">
        <v>21</v>
      </c>
      <c r="R6522" s="24" t="s">
        <v>21</v>
      </c>
      <c r="S6522" s="24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5">
        <v>2</v>
      </c>
      <c r="E6523" s="5">
        <v>19</v>
      </c>
      <c r="F6523" s="5" t="s">
        <v>8</v>
      </c>
      <c r="G6523" s="15" t="s">
        <v>9</v>
      </c>
      <c r="H6523" s="24">
        <v>1.000000003259629</v>
      </c>
      <c r="I6523" s="24" t="s">
        <v>21</v>
      </c>
      <c r="J6523" s="24" t="s">
        <v>21</v>
      </c>
      <c r="K6523" s="24" t="s">
        <v>21</v>
      </c>
      <c r="L6523" s="24" t="s">
        <v>21</v>
      </c>
      <c r="M6523" s="24" t="s">
        <v>21</v>
      </c>
      <c r="N6523" s="24" t="s">
        <v>21</v>
      </c>
      <c r="O6523" s="24">
        <v>1.000000003259629</v>
      </c>
      <c r="P6523" s="24" t="s">
        <v>21</v>
      </c>
      <c r="Q6523" s="24" t="s">
        <v>21</v>
      </c>
      <c r="R6523" s="24" t="s">
        <v>21</v>
      </c>
      <c r="S6523" s="24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5">
        <v>0</v>
      </c>
      <c r="E6524" s="5">
        <v>26</v>
      </c>
      <c r="F6524" s="5" t="s">
        <v>8</v>
      </c>
      <c r="G6524" s="15" t="s">
        <v>9</v>
      </c>
      <c r="H6524" s="24">
        <v>0</v>
      </c>
      <c r="I6524" s="24" t="s">
        <v>21</v>
      </c>
      <c r="J6524" s="24" t="s">
        <v>21</v>
      </c>
      <c r="K6524" s="24" t="s">
        <v>21</v>
      </c>
      <c r="L6524" s="24" t="s">
        <v>21</v>
      </c>
      <c r="M6524" s="24" t="s">
        <v>21</v>
      </c>
      <c r="N6524" s="24" t="s">
        <v>21</v>
      </c>
      <c r="O6524" s="24">
        <v>0</v>
      </c>
      <c r="P6524" s="24" t="s">
        <v>21</v>
      </c>
      <c r="Q6524" s="24" t="s">
        <v>21</v>
      </c>
      <c r="R6524" s="24" t="s">
        <v>21</v>
      </c>
      <c r="S6524" s="24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5">
        <v>0</v>
      </c>
      <c r="E6525" s="5">
        <v>25</v>
      </c>
      <c r="F6525" s="5" t="s">
        <v>8</v>
      </c>
      <c r="G6525" s="15" t="s">
        <v>9</v>
      </c>
      <c r="H6525" s="24">
        <v>0.99999999278225005</v>
      </c>
      <c r="I6525" s="24" t="s">
        <v>21</v>
      </c>
      <c r="J6525" s="24" t="s">
        <v>21</v>
      </c>
      <c r="K6525" s="24" t="s">
        <v>21</v>
      </c>
      <c r="L6525" s="24" t="s">
        <v>21</v>
      </c>
      <c r="M6525" s="24" t="s">
        <v>21</v>
      </c>
      <c r="N6525" s="24" t="s">
        <v>21</v>
      </c>
      <c r="O6525" s="24">
        <v>0.99999999278225005</v>
      </c>
      <c r="P6525" s="24" t="s">
        <v>21</v>
      </c>
      <c r="Q6525" s="24" t="s">
        <v>21</v>
      </c>
      <c r="R6525" s="24" t="s">
        <v>21</v>
      </c>
      <c r="S6525" s="24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5">
        <v>0</v>
      </c>
      <c r="E6526" s="5">
        <v>27</v>
      </c>
      <c r="F6526" s="5" t="s">
        <v>8</v>
      </c>
      <c r="G6526" s="15" t="s">
        <v>9</v>
      </c>
      <c r="H6526" s="24">
        <v>0</v>
      </c>
      <c r="I6526" s="24" t="s">
        <v>21</v>
      </c>
      <c r="J6526" s="24" t="s">
        <v>21</v>
      </c>
      <c r="K6526" s="24" t="s">
        <v>21</v>
      </c>
      <c r="L6526" s="24" t="s">
        <v>21</v>
      </c>
      <c r="M6526" s="24" t="s">
        <v>21</v>
      </c>
      <c r="N6526" s="24" t="s">
        <v>21</v>
      </c>
      <c r="O6526" s="24">
        <v>0</v>
      </c>
      <c r="P6526" s="24" t="s">
        <v>21</v>
      </c>
      <c r="Q6526" s="24" t="s">
        <v>21</v>
      </c>
      <c r="R6526" s="24" t="s">
        <v>21</v>
      </c>
      <c r="S6526" s="24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5">
        <v>0</v>
      </c>
      <c r="E6527" s="5">
        <v>31</v>
      </c>
      <c r="F6527" s="5" t="s">
        <v>8</v>
      </c>
      <c r="G6527" s="15" t="s">
        <v>9</v>
      </c>
      <c r="H6527" s="24">
        <v>1.000000003259629</v>
      </c>
      <c r="I6527" s="24" t="s">
        <v>21</v>
      </c>
      <c r="J6527" s="24" t="s">
        <v>21</v>
      </c>
      <c r="K6527" s="24" t="s">
        <v>21</v>
      </c>
      <c r="L6527" s="24" t="s">
        <v>21</v>
      </c>
      <c r="M6527" s="24" t="s">
        <v>21</v>
      </c>
      <c r="N6527" s="24" t="s">
        <v>21</v>
      </c>
      <c r="O6527" s="24">
        <v>1.000000003259629</v>
      </c>
      <c r="P6527" s="24" t="s">
        <v>21</v>
      </c>
      <c r="Q6527" s="24" t="s">
        <v>21</v>
      </c>
      <c r="R6527" s="24" t="s">
        <v>21</v>
      </c>
      <c r="S6527" s="24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5">
        <v>0</v>
      </c>
      <c r="E6528" s="5">
        <v>0</v>
      </c>
      <c r="F6528" s="5" t="s">
        <v>8</v>
      </c>
      <c r="G6528" s="15" t="s">
        <v>9</v>
      </c>
      <c r="H6528" s="24">
        <v>0</v>
      </c>
      <c r="I6528" s="24" t="s">
        <v>21</v>
      </c>
      <c r="J6528" s="24" t="s">
        <v>21</v>
      </c>
      <c r="K6528" s="24" t="s">
        <v>21</v>
      </c>
      <c r="L6528" s="24" t="s">
        <v>21</v>
      </c>
      <c r="M6528" s="24" t="s">
        <v>21</v>
      </c>
      <c r="N6528" s="24" t="s">
        <v>21</v>
      </c>
      <c r="O6528" s="24">
        <v>0</v>
      </c>
      <c r="P6528" s="24" t="s">
        <v>21</v>
      </c>
      <c r="Q6528" s="24" t="s">
        <v>21</v>
      </c>
      <c r="R6528" s="24" t="s">
        <v>21</v>
      </c>
      <c r="S6528" s="24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5">
        <v>0</v>
      </c>
      <c r="E6529" s="5">
        <v>22</v>
      </c>
      <c r="F6529" s="5" t="s">
        <v>8</v>
      </c>
      <c r="G6529" s="15" t="s">
        <v>9</v>
      </c>
      <c r="H6529" s="24">
        <v>1.000000003259629</v>
      </c>
      <c r="I6529" s="24" t="s">
        <v>21</v>
      </c>
      <c r="J6529" s="24" t="s">
        <v>21</v>
      </c>
      <c r="K6529" s="24" t="s">
        <v>21</v>
      </c>
      <c r="L6529" s="24" t="s">
        <v>21</v>
      </c>
      <c r="M6529" s="24" t="s">
        <v>21</v>
      </c>
      <c r="N6529" s="24" t="s">
        <v>21</v>
      </c>
      <c r="O6529" s="24">
        <v>1.000000003259629</v>
      </c>
      <c r="P6529" s="24" t="s">
        <v>21</v>
      </c>
      <c r="Q6529" s="24" t="s">
        <v>21</v>
      </c>
      <c r="R6529" s="24" t="s">
        <v>21</v>
      </c>
      <c r="S6529" s="24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5">
        <v>0</v>
      </c>
      <c r="E6530" s="5">
        <v>27</v>
      </c>
      <c r="F6530" s="5" t="s">
        <v>8</v>
      </c>
      <c r="G6530" s="15" t="s">
        <v>9</v>
      </c>
      <c r="H6530" s="24">
        <v>0</v>
      </c>
      <c r="I6530" s="24" t="s">
        <v>21</v>
      </c>
      <c r="J6530" s="24" t="s">
        <v>21</v>
      </c>
      <c r="K6530" s="24" t="s">
        <v>21</v>
      </c>
      <c r="L6530" s="24" t="s">
        <v>21</v>
      </c>
      <c r="M6530" s="24" t="s">
        <v>21</v>
      </c>
      <c r="N6530" s="24" t="s">
        <v>21</v>
      </c>
      <c r="O6530" s="24">
        <v>0</v>
      </c>
      <c r="P6530" s="24" t="s">
        <v>21</v>
      </c>
      <c r="Q6530" s="24" t="s">
        <v>21</v>
      </c>
      <c r="R6530" s="24" t="s">
        <v>21</v>
      </c>
      <c r="S6530" s="24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5">
        <v>0</v>
      </c>
      <c r="E6531" s="5">
        <v>27</v>
      </c>
      <c r="F6531" s="5" t="s">
        <v>8</v>
      </c>
      <c r="G6531" s="15" t="s">
        <v>9</v>
      </c>
      <c r="H6531" s="24">
        <v>0.99999999278225005</v>
      </c>
      <c r="I6531" s="24" t="s">
        <v>21</v>
      </c>
      <c r="J6531" s="24" t="s">
        <v>21</v>
      </c>
      <c r="K6531" s="24" t="s">
        <v>21</v>
      </c>
      <c r="L6531" s="24" t="s">
        <v>21</v>
      </c>
      <c r="M6531" s="24" t="s">
        <v>21</v>
      </c>
      <c r="N6531" s="24" t="s">
        <v>21</v>
      </c>
      <c r="O6531" s="24">
        <v>0.99999999278225005</v>
      </c>
      <c r="P6531" s="24" t="s">
        <v>21</v>
      </c>
      <c r="Q6531" s="24" t="s">
        <v>21</v>
      </c>
      <c r="R6531" s="24" t="s">
        <v>21</v>
      </c>
      <c r="S6531" s="24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5">
        <v>0</v>
      </c>
      <c r="E6532" s="5">
        <v>21</v>
      </c>
      <c r="F6532" s="5" t="s">
        <v>8</v>
      </c>
      <c r="G6532" s="15" t="s">
        <v>9</v>
      </c>
      <c r="H6532" s="24">
        <v>1.000000003259629</v>
      </c>
      <c r="I6532" s="24" t="s">
        <v>21</v>
      </c>
      <c r="J6532" s="24" t="s">
        <v>21</v>
      </c>
      <c r="K6532" s="24" t="s">
        <v>21</v>
      </c>
      <c r="L6532" s="24" t="s">
        <v>21</v>
      </c>
      <c r="M6532" s="24" t="s">
        <v>21</v>
      </c>
      <c r="N6532" s="24" t="s">
        <v>21</v>
      </c>
      <c r="O6532" s="24">
        <v>1.000000003259629</v>
      </c>
      <c r="P6532" s="24" t="s">
        <v>21</v>
      </c>
      <c r="Q6532" s="24" t="s">
        <v>21</v>
      </c>
      <c r="R6532" s="24" t="s">
        <v>21</v>
      </c>
      <c r="S6532" s="24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5">
        <v>0</v>
      </c>
      <c r="E6533" s="5">
        <v>21</v>
      </c>
      <c r="F6533" s="5" t="s">
        <v>8</v>
      </c>
      <c r="G6533" s="15" t="s">
        <v>9</v>
      </c>
      <c r="H6533" s="24">
        <v>0</v>
      </c>
      <c r="I6533" s="24" t="s">
        <v>21</v>
      </c>
      <c r="J6533" s="24" t="s">
        <v>21</v>
      </c>
      <c r="K6533" s="24" t="s">
        <v>21</v>
      </c>
      <c r="L6533" s="24" t="s">
        <v>21</v>
      </c>
      <c r="M6533" s="24" t="s">
        <v>21</v>
      </c>
      <c r="N6533" s="24" t="s">
        <v>21</v>
      </c>
      <c r="O6533" s="24">
        <v>0</v>
      </c>
      <c r="P6533" s="24" t="s">
        <v>21</v>
      </c>
      <c r="Q6533" s="24" t="s">
        <v>21</v>
      </c>
      <c r="R6533" s="24" t="s">
        <v>21</v>
      </c>
      <c r="S6533" s="24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5">
        <v>0</v>
      </c>
      <c r="E6534" s="5">
        <v>11</v>
      </c>
      <c r="F6534" s="5" t="s">
        <v>8</v>
      </c>
      <c r="G6534" s="15" t="s">
        <v>9</v>
      </c>
      <c r="H6534" s="24">
        <v>1.000000003259629</v>
      </c>
      <c r="I6534" s="24" t="s">
        <v>21</v>
      </c>
      <c r="J6534" s="24" t="s">
        <v>21</v>
      </c>
      <c r="K6534" s="24" t="s">
        <v>21</v>
      </c>
      <c r="L6534" s="24" t="s">
        <v>21</v>
      </c>
      <c r="M6534" s="24" t="s">
        <v>21</v>
      </c>
      <c r="N6534" s="24" t="s">
        <v>21</v>
      </c>
      <c r="O6534" s="24">
        <v>1.000000003259629</v>
      </c>
      <c r="P6534" s="24" t="s">
        <v>21</v>
      </c>
      <c r="Q6534" s="24" t="s">
        <v>21</v>
      </c>
      <c r="R6534" s="24" t="s">
        <v>21</v>
      </c>
      <c r="S6534" s="24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5">
        <v>0</v>
      </c>
      <c r="E6535" s="5">
        <v>0</v>
      </c>
      <c r="F6535" s="5" t="s">
        <v>8</v>
      </c>
      <c r="G6535" s="15" t="s">
        <v>9</v>
      </c>
      <c r="H6535" s="24">
        <v>0</v>
      </c>
      <c r="I6535" s="24" t="s">
        <v>21</v>
      </c>
      <c r="J6535" s="24" t="s">
        <v>21</v>
      </c>
      <c r="K6535" s="24" t="s">
        <v>21</v>
      </c>
      <c r="L6535" s="24" t="s">
        <v>21</v>
      </c>
      <c r="M6535" s="24" t="s">
        <v>21</v>
      </c>
      <c r="N6535" s="24" t="s">
        <v>21</v>
      </c>
      <c r="O6535" s="24">
        <v>0</v>
      </c>
      <c r="P6535" s="24" t="s">
        <v>21</v>
      </c>
      <c r="Q6535" s="24" t="s">
        <v>21</v>
      </c>
      <c r="R6535" s="24" t="s">
        <v>21</v>
      </c>
      <c r="S6535" s="24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5">
        <v>2</v>
      </c>
      <c r="E6536" s="5">
        <v>0</v>
      </c>
      <c r="F6536" s="5" t="s">
        <v>8</v>
      </c>
      <c r="G6536" s="15" t="s">
        <v>9</v>
      </c>
      <c r="H6536" s="24">
        <v>48.999999992083758</v>
      </c>
      <c r="I6536" s="24" t="s">
        <v>21</v>
      </c>
      <c r="J6536" s="24">
        <v>1417.9999999911524</v>
      </c>
      <c r="K6536" s="24" t="s">
        <v>21</v>
      </c>
      <c r="L6536" s="24" t="s">
        <v>21</v>
      </c>
      <c r="M6536" s="24" t="s">
        <v>21</v>
      </c>
      <c r="N6536" s="24" t="s">
        <v>21</v>
      </c>
      <c r="O6536" s="24" t="s">
        <v>21</v>
      </c>
      <c r="P6536" s="24" t="s">
        <v>21</v>
      </c>
      <c r="Q6536" s="24" t="s">
        <v>21</v>
      </c>
      <c r="R6536" s="24" t="s">
        <v>21</v>
      </c>
      <c r="S6536" s="24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5">
        <v>1</v>
      </c>
      <c r="E6537" s="5">
        <v>0</v>
      </c>
      <c r="F6537" s="5" t="s">
        <v>8</v>
      </c>
      <c r="G6537" s="15" t="s">
        <v>9</v>
      </c>
      <c r="H6537" s="24">
        <v>1.000000003259629</v>
      </c>
      <c r="I6537" s="24" t="s">
        <v>21</v>
      </c>
      <c r="J6537" s="24">
        <v>1.000000003259629</v>
      </c>
      <c r="K6537" s="24" t="s">
        <v>21</v>
      </c>
      <c r="L6537" s="24" t="s">
        <v>21</v>
      </c>
      <c r="M6537" s="24" t="s">
        <v>21</v>
      </c>
      <c r="N6537" s="24" t="s">
        <v>21</v>
      </c>
      <c r="O6537" s="24" t="s">
        <v>21</v>
      </c>
      <c r="P6537" s="24" t="s">
        <v>21</v>
      </c>
      <c r="Q6537" s="24" t="s">
        <v>21</v>
      </c>
      <c r="R6537" s="24" t="s">
        <v>21</v>
      </c>
      <c r="S6537" s="24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5">
        <v>0</v>
      </c>
      <c r="E6538" s="5">
        <v>0</v>
      </c>
      <c r="F6538" s="5" t="s">
        <v>8</v>
      </c>
      <c r="G6538" s="15" t="s">
        <v>9</v>
      </c>
      <c r="H6538" s="24">
        <v>0</v>
      </c>
      <c r="I6538" s="24" t="s">
        <v>21</v>
      </c>
      <c r="J6538" s="24" t="s">
        <v>21</v>
      </c>
      <c r="K6538" s="24" t="s">
        <v>21</v>
      </c>
      <c r="L6538" s="24" t="s">
        <v>21</v>
      </c>
      <c r="M6538" s="24" t="s">
        <v>21</v>
      </c>
      <c r="N6538" s="24" t="s">
        <v>21</v>
      </c>
      <c r="O6538" s="24" t="s">
        <v>21</v>
      </c>
      <c r="P6538" s="24" t="s">
        <v>21</v>
      </c>
      <c r="Q6538" s="24" t="s">
        <v>21</v>
      </c>
      <c r="R6538" s="24" t="s">
        <v>21</v>
      </c>
      <c r="S6538" s="24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5">
        <v>0</v>
      </c>
      <c r="E6539" s="5">
        <v>2</v>
      </c>
      <c r="F6539" s="5" t="s">
        <v>8</v>
      </c>
      <c r="G6539" s="15" t="s">
        <v>9</v>
      </c>
      <c r="H6539" s="24">
        <v>0</v>
      </c>
      <c r="I6539" s="24" t="s">
        <v>21</v>
      </c>
      <c r="J6539" s="24">
        <v>0</v>
      </c>
      <c r="K6539" s="24" t="s">
        <v>21</v>
      </c>
      <c r="L6539" s="24" t="s">
        <v>21</v>
      </c>
      <c r="M6539" s="24" t="s">
        <v>21</v>
      </c>
      <c r="N6539" s="24" t="s">
        <v>21</v>
      </c>
      <c r="O6539" s="24" t="s">
        <v>21</v>
      </c>
      <c r="P6539" s="24" t="s">
        <v>21</v>
      </c>
      <c r="Q6539" s="24" t="s">
        <v>21</v>
      </c>
      <c r="R6539" s="24" t="s">
        <v>21</v>
      </c>
      <c r="S6539" s="24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5">
        <v>0</v>
      </c>
      <c r="E6540" s="5">
        <v>13</v>
      </c>
      <c r="F6540" s="5" t="s">
        <v>8</v>
      </c>
      <c r="G6540" s="15" t="s">
        <v>9</v>
      </c>
      <c r="H6540" s="24">
        <v>1.000000003259629</v>
      </c>
      <c r="I6540" s="24" t="s">
        <v>21</v>
      </c>
      <c r="J6540" s="24" t="s">
        <v>21</v>
      </c>
      <c r="K6540" s="24" t="s">
        <v>21</v>
      </c>
      <c r="L6540" s="24">
        <v>2662.0000000018626</v>
      </c>
      <c r="M6540" s="24" t="s">
        <v>21</v>
      </c>
      <c r="N6540" s="24" t="s">
        <v>21</v>
      </c>
      <c r="O6540" s="24" t="s">
        <v>21</v>
      </c>
      <c r="P6540" s="24" t="s">
        <v>21</v>
      </c>
      <c r="Q6540" s="24" t="s">
        <v>21</v>
      </c>
      <c r="R6540" s="24" t="s">
        <v>21</v>
      </c>
      <c r="S6540" s="24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5">
        <v>0</v>
      </c>
      <c r="E6541" s="5">
        <v>7</v>
      </c>
      <c r="F6541" s="5" t="s">
        <v>8</v>
      </c>
      <c r="G6541" s="15" t="s">
        <v>9</v>
      </c>
      <c r="H6541" s="24">
        <v>0</v>
      </c>
      <c r="I6541" s="24" t="s">
        <v>21</v>
      </c>
      <c r="J6541" s="24" t="s">
        <v>21</v>
      </c>
      <c r="K6541" s="24" t="s">
        <v>21</v>
      </c>
      <c r="L6541" s="24">
        <v>0</v>
      </c>
      <c r="M6541" s="24" t="s">
        <v>21</v>
      </c>
      <c r="N6541" s="24" t="s">
        <v>21</v>
      </c>
      <c r="O6541" s="24" t="s">
        <v>21</v>
      </c>
      <c r="P6541" s="24" t="s">
        <v>21</v>
      </c>
      <c r="Q6541" s="24" t="s">
        <v>21</v>
      </c>
      <c r="R6541" s="24" t="s">
        <v>21</v>
      </c>
      <c r="S6541" s="24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5">
        <v>3</v>
      </c>
      <c r="E6542" s="5">
        <v>0</v>
      </c>
      <c r="F6542" s="5" t="s">
        <v>8</v>
      </c>
      <c r="G6542" s="15" t="s">
        <v>9</v>
      </c>
      <c r="H6542" s="24">
        <v>0</v>
      </c>
      <c r="I6542" s="24" t="s">
        <v>21</v>
      </c>
      <c r="J6542" s="24">
        <v>1.000000003259629</v>
      </c>
      <c r="K6542" s="24" t="s">
        <v>21</v>
      </c>
      <c r="L6542" s="24" t="s">
        <v>21</v>
      </c>
      <c r="M6542" s="24" t="s">
        <v>21</v>
      </c>
      <c r="N6542" s="24" t="s">
        <v>21</v>
      </c>
      <c r="O6542" s="24" t="s">
        <v>21</v>
      </c>
      <c r="P6542" s="24" t="s">
        <v>21</v>
      </c>
      <c r="Q6542" s="24" t="s">
        <v>21</v>
      </c>
      <c r="R6542" s="24" t="s">
        <v>21</v>
      </c>
      <c r="S6542" s="24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5">
        <v>3</v>
      </c>
      <c r="E6543" s="5">
        <v>0</v>
      </c>
      <c r="F6543" s="5" t="s">
        <v>8</v>
      </c>
      <c r="G6543" s="15" t="s">
        <v>9</v>
      </c>
      <c r="H6543" s="24">
        <v>0.99999999278225005</v>
      </c>
      <c r="I6543" s="24" t="s">
        <v>21</v>
      </c>
      <c r="J6543" s="24">
        <v>0.99999999278225005</v>
      </c>
      <c r="K6543" s="24" t="s">
        <v>21</v>
      </c>
      <c r="L6543" s="24" t="s">
        <v>21</v>
      </c>
      <c r="M6543" s="24" t="s">
        <v>21</v>
      </c>
      <c r="N6543" s="24" t="s">
        <v>21</v>
      </c>
      <c r="O6543" s="24" t="s">
        <v>21</v>
      </c>
      <c r="P6543" s="24" t="s">
        <v>21</v>
      </c>
      <c r="Q6543" s="24" t="s">
        <v>21</v>
      </c>
      <c r="R6543" s="24" t="s">
        <v>21</v>
      </c>
      <c r="S6543" s="24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5">
        <v>0</v>
      </c>
      <c r="E6544" s="5">
        <v>1</v>
      </c>
      <c r="F6544" s="5" t="s">
        <v>8</v>
      </c>
      <c r="G6544" s="15" t="s">
        <v>9</v>
      </c>
      <c r="H6544" s="24">
        <v>0</v>
      </c>
      <c r="I6544" s="24" t="s">
        <v>21</v>
      </c>
      <c r="J6544" s="24">
        <v>0</v>
      </c>
      <c r="K6544" s="24" t="s">
        <v>21</v>
      </c>
      <c r="L6544" s="24" t="s">
        <v>21</v>
      </c>
      <c r="M6544" s="24" t="s">
        <v>21</v>
      </c>
      <c r="N6544" s="24" t="s">
        <v>21</v>
      </c>
      <c r="O6544" s="24" t="s">
        <v>21</v>
      </c>
      <c r="P6544" s="24" t="s">
        <v>21</v>
      </c>
      <c r="Q6544" s="24" t="s">
        <v>21</v>
      </c>
      <c r="R6544" s="24" t="s">
        <v>21</v>
      </c>
      <c r="S6544" s="24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5">
        <v>1</v>
      </c>
      <c r="E6545" s="5">
        <v>0</v>
      </c>
      <c r="F6545" s="5" t="s">
        <v>8</v>
      </c>
      <c r="G6545" s="15" t="s">
        <v>9</v>
      </c>
      <c r="H6545" s="24">
        <v>1.000000003259629</v>
      </c>
      <c r="I6545" s="24" t="s">
        <v>21</v>
      </c>
      <c r="J6545" s="24">
        <v>1.000000003259629</v>
      </c>
      <c r="K6545" s="24" t="s">
        <v>21</v>
      </c>
      <c r="L6545" s="24" t="s">
        <v>21</v>
      </c>
      <c r="M6545" s="24" t="s">
        <v>21</v>
      </c>
      <c r="N6545" s="24" t="s">
        <v>21</v>
      </c>
      <c r="O6545" s="24" t="s">
        <v>21</v>
      </c>
      <c r="P6545" s="24" t="s">
        <v>21</v>
      </c>
      <c r="Q6545" s="24" t="s">
        <v>21</v>
      </c>
      <c r="R6545" s="24" t="s">
        <v>21</v>
      </c>
      <c r="S6545" s="24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5">
        <v>1</v>
      </c>
      <c r="E6546" s="5">
        <v>0</v>
      </c>
      <c r="F6546" s="5" t="s">
        <v>8</v>
      </c>
      <c r="G6546" s="15" t="s">
        <v>9</v>
      </c>
      <c r="H6546" s="24">
        <v>2.000000006519258</v>
      </c>
      <c r="I6546" s="24" t="s">
        <v>21</v>
      </c>
      <c r="J6546" s="24">
        <v>2.000000006519258</v>
      </c>
      <c r="K6546" s="24" t="s">
        <v>21</v>
      </c>
      <c r="L6546" s="24" t="s">
        <v>21</v>
      </c>
      <c r="M6546" s="24" t="s">
        <v>21</v>
      </c>
      <c r="N6546" s="24" t="s">
        <v>21</v>
      </c>
      <c r="O6546" s="24" t="s">
        <v>21</v>
      </c>
      <c r="P6546" s="24" t="s">
        <v>21</v>
      </c>
      <c r="Q6546" s="24" t="s">
        <v>21</v>
      </c>
      <c r="R6546" s="24" t="s">
        <v>21</v>
      </c>
      <c r="S6546" s="24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5">
        <v>1</v>
      </c>
      <c r="E6547" s="5">
        <v>0</v>
      </c>
      <c r="F6547" s="5" t="s">
        <v>8</v>
      </c>
      <c r="G6547" s="15" t="s">
        <v>9</v>
      </c>
      <c r="H6547" s="24">
        <v>0.99999999278225005</v>
      </c>
      <c r="I6547" s="24" t="s">
        <v>21</v>
      </c>
      <c r="J6547" s="24">
        <v>0.99999999278225005</v>
      </c>
      <c r="K6547" s="24" t="s">
        <v>21</v>
      </c>
      <c r="L6547" s="24" t="s">
        <v>21</v>
      </c>
      <c r="M6547" s="24" t="s">
        <v>21</v>
      </c>
      <c r="N6547" s="24" t="s">
        <v>21</v>
      </c>
      <c r="O6547" s="24" t="s">
        <v>21</v>
      </c>
      <c r="P6547" s="24" t="s">
        <v>21</v>
      </c>
      <c r="Q6547" s="24" t="s">
        <v>21</v>
      </c>
      <c r="R6547" s="24" t="s">
        <v>21</v>
      </c>
      <c r="S6547" s="24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5">
        <v>1</v>
      </c>
      <c r="E6548" s="5">
        <v>0</v>
      </c>
      <c r="F6548" s="5" t="s">
        <v>8</v>
      </c>
      <c r="G6548" s="15" t="s">
        <v>9</v>
      </c>
      <c r="H6548" s="24">
        <v>0</v>
      </c>
      <c r="I6548" s="24" t="s">
        <v>21</v>
      </c>
      <c r="J6548" s="24">
        <v>0</v>
      </c>
      <c r="K6548" s="24" t="s">
        <v>21</v>
      </c>
      <c r="L6548" s="24" t="s">
        <v>21</v>
      </c>
      <c r="M6548" s="24" t="s">
        <v>21</v>
      </c>
      <c r="N6548" s="24" t="s">
        <v>21</v>
      </c>
      <c r="O6548" s="24" t="s">
        <v>21</v>
      </c>
      <c r="P6548" s="24" t="s">
        <v>21</v>
      </c>
      <c r="Q6548" s="24" t="s">
        <v>21</v>
      </c>
      <c r="R6548" s="24" t="s">
        <v>21</v>
      </c>
      <c r="S6548" s="24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5">
        <v>2</v>
      </c>
      <c r="E6549" s="5">
        <v>0</v>
      </c>
      <c r="F6549" s="5" t="s">
        <v>8</v>
      </c>
      <c r="G6549" s="15" t="s">
        <v>9</v>
      </c>
      <c r="H6549" s="24">
        <v>4.0000000025611371</v>
      </c>
      <c r="I6549" s="24" t="s">
        <v>21</v>
      </c>
      <c r="J6549" s="24">
        <v>4.0000000025611371</v>
      </c>
      <c r="K6549" s="24" t="s">
        <v>21</v>
      </c>
      <c r="L6549" s="24" t="s">
        <v>21</v>
      </c>
      <c r="M6549" s="24" t="s">
        <v>21</v>
      </c>
      <c r="N6549" s="24" t="s">
        <v>21</v>
      </c>
      <c r="O6549" s="24" t="s">
        <v>21</v>
      </c>
      <c r="P6549" s="24" t="s">
        <v>21</v>
      </c>
      <c r="Q6549" s="24" t="s">
        <v>21</v>
      </c>
      <c r="R6549" s="24" t="s">
        <v>21</v>
      </c>
      <c r="S6549" s="24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5">
        <v>1</v>
      </c>
      <c r="E6550" s="5">
        <v>0</v>
      </c>
      <c r="F6550" s="5" t="s">
        <v>8</v>
      </c>
      <c r="G6550" s="15" t="s">
        <v>9</v>
      </c>
      <c r="H6550" s="24">
        <v>21.999999998370185</v>
      </c>
      <c r="I6550" s="24" t="s">
        <v>21</v>
      </c>
      <c r="J6550" s="24">
        <v>21.999999998370185</v>
      </c>
      <c r="K6550" s="24" t="s">
        <v>21</v>
      </c>
      <c r="L6550" s="24" t="s">
        <v>21</v>
      </c>
      <c r="M6550" s="24" t="s">
        <v>21</v>
      </c>
      <c r="N6550" s="24" t="s">
        <v>21</v>
      </c>
      <c r="O6550" s="24" t="s">
        <v>21</v>
      </c>
      <c r="P6550" s="24" t="s">
        <v>21</v>
      </c>
      <c r="Q6550" s="24" t="s">
        <v>21</v>
      </c>
      <c r="R6550" s="24" t="s">
        <v>21</v>
      </c>
      <c r="S6550" s="24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5">
        <v>3</v>
      </c>
      <c r="E6551" s="5">
        <v>0</v>
      </c>
      <c r="F6551" s="5" t="s">
        <v>8</v>
      </c>
      <c r="G6551" s="15" t="s">
        <v>9</v>
      </c>
      <c r="H6551" s="24">
        <v>1.000000003259629</v>
      </c>
      <c r="I6551" s="24" t="s">
        <v>21</v>
      </c>
      <c r="J6551" s="24">
        <v>1.000000003259629</v>
      </c>
      <c r="K6551" s="24" t="s">
        <v>21</v>
      </c>
      <c r="L6551" s="24" t="s">
        <v>21</v>
      </c>
      <c r="M6551" s="24" t="s">
        <v>21</v>
      </c>
      <c r="N6551" s="24" t="s">
        <v>21</v>
      </c>
      <c r="O6551" s="24" t="s">
        <v>21</v>
      </c>
      <c r="P6551" s="24" t="s">
        <v>21</v>
      </c>
      <c r="Q6551" s="24" t="s">
        <v>21</v>
      </c>
      <c r="R6551" s="24" t="s">
        <v>21</v>
      </c>
      <c r="S6551" s="24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5">
        <v>1</v>
      </c>
      <c r="E6552" s="5">
        <v>0</v>
      </c>
      <c r="F6552" s="5" t="s">
        <v>8</v>
      </c>
      <c r="G6552" s="15" t="s">
        <v>9</v>
      </c>
      <c r="H6552" s="24">
        <v>0</v>
      </c>
      <c r="I6552" s="24" t="s">
        <v>21</v>
      </c>
      <c r="J6552" s="24">
        <v>0</v>
      </c>
      <c r="K6552" s="24" t="s">
        <v>21</v>
      </c>
      <c r="L6552" s="24" t="s">
        <v>21</v>
      </c>
      <c r="M6552" s="24" t="s">
        <v>21</v>
      </c>
      <c r="N6552" s="24" t="s">
        <v>21</v>
      </c>
      <c r="O6552" s="24" t="s">
        <v>21</v>
      </c>
      <c r="P6552" s="24" t="s">
        <v>21</v>
      </c>
      <c r="Q6552" s="24" t="s">
        <v>21</v>
      </c>
      <c r="R6552" s="24" t="s">
        <v>21</v>
      </c>
      <c r="S6552" s="24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5">
        <v>2</v>
      </c>
      <c r="E6553" s="5">
        <v>0</v>
      </c>
      <c r="F6553" s="5" t="s">
        <v>8</v>
      </c>
      <c r="G6553" s="15" t="s">
        <v>9</v>
      </c>
      <c r="H6553" s="24">
        <v>0</v>
      </c>
      <c r="I6553" s="24" t="s">
        <v>21</v>
      </c>
      <c r="J6553" s="24">
        <v>0</v>
      </c>
      <c r="K6553" s="24" t="s">
        <v>21</v>
      </c>
      <c r="L6553" s="24" t="s">
        <v>21</v>
      </c>
      <c r="M6553" s="24" t="s">
        <v>21</v>
      </c>
      <c r="N6553" s="24" t="s">
        <v>21</v>
      </c>
      <c r="O6553" s="24" t="s">
        <v>21</v>
      </c>
      <c r="P6553" s="24" t="s">
        <v>21</v>
      </c>
      <c r="Q6553" s="24" t="s">
        <v>21</v>
      </c>
      <c r="R6553" s="24" t="s">
        <v>21</v>
      </c>
      <c r="S6553" s="24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5">
        <v>2</v>
      </c>
      <c r="E6554" s="5">
        <v>0</v>
      </c>
      <c r="F6554" s="5" t="s">
        <v>8</v>
      </c>
      <c r="G6554" s="15" t="s">
        <v>9</v>
      </c>
      <c r="H6554" s="24">
        <v>0</v>
      </c>
      <c r="I6554" s="24" t="s">
        <v>21</v>
      </c>
      <c r="J6554" s="24">
        <v>0</v>
      </c>
      <c r="K6554" s="24" t="s">
        <v>21</v>
      </c>
      <c r="L6554" s="24" t="s">
        <v>21</v>
      </c>
      <c r="M6554" s="24" t="s">
        <v>21</v>
      </c>
      <c r="N6554" s="24" t="s">
        <v>21</v>
      </c>
      <c r="O6554" s="24" t="s">
        <v>21</v>
      </c>
      <c r="P6554" s="24" t="s">
        <v>21</v>
      </c>
      <c r="Q6554" s="24" t="s">
        <v>21</v>
      </c>
      <c r="R6554" s="24" t="s">
        <v>21</v>
      </c>
      <c r="S6554" s="24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5">
        <v>1</v>
      </c>
      <c r="E6555" s="5">
        <v>0</v>
      </c>
      <c r="F6555" s="5" t="s">
        <v>8</v>
      </c>
      <c r="G6555" s="15" t="s">
        <v>9</v>
      </c>
      <c r="H6555" s="24">
        <v>7.9999999946448952</v>
      </c>
      <c r="I6555" s="24" t="s">
        <v>21</v>
      </c>
      <c r="J6555" s="24">
        <v>7.9999999946448952</v>
      </c>
      <c r="K6555" s="24" t="s">
        <v>21</v>
      </c>
      <c r="L6555" s="24" t="s">
        <v>21</v>
      </c>
      <c r="M6555" s="24" t="s">
        <v>21</v>
      </c>
      <c r="N6555" s="24" t="s">
        <v>21</v>
      </c>
      <c r="O6555" s="24" t="s">
        <v>21</v>
      </c>
      <c r="P6555" s="24" t="s">
        <v>21</v>
      </c>
      <c r="Q6555" s="24" t="s">
        <v>21</v>
      </c>
      <c r="R6555" s="24" t="s">
        <v>21</v>
      </c>
      <c r="S6555" s="24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5">
        <v>2</v>
      </c>
      <c r="E6556" s="5">
        <v>0</v>
      </c>
      <c r="F6556" s="5" t="s">
        <v>8</v>
      </c>
      <c r="G6556" s="15" t="s">
        <v>9</v>
      </c>
      <c r="H6556" s="24">
        <v>1.000000003259629</v>
      </c>
      <c r="I6556" s="24" t="s">
        <v>21</v>
      </c>
      <c r="J6556" s="24">
        <v>1.000000003259629</v>
      </c>
      <c r="K6556" s="24" t="s">
        <v>21</v>
      </c>
      <c r="L6556" s="24" t="s">
        <v>21</v>
      </c>
      <c r="M6556" s="24" t="s">
        <v>21</v>
      </c>
      <c r="N6556" s="24" t="s">
        <v>21</v>
      </c>
      <c r="O6556" s="24" t="s">
        <v>21</v>
      </c>
      <c r="P6556" s="24" t="s">
        <v>21</v>
      </c>
      <c r="Q6556" s="24" t="s">
        <v>21</v>
      </c>
      <c r="R6556" s="24" t="s">
        <v>21</v>
      </c>
      <c r="S6556" s="24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5">
        <v>5</v>
      </c>
      <c r="E6557" s="5">
        <v>0</v>
      </c>
      <c r="F6557" s="5" t="s">
        <v>8</v>
      </c>
      <c r="G6557" s="15" t="s">
        <v>9</v>
      </c>
      <c r="H6557" s="24">
        <v>0</v>
      </c>
      <c r="I6557" s="24" t="s">
        <v>21</v>
      </c>
      <c r="J6557" s="24">
        <v>0</v>
      </c>
      <c r="K6557" s="24" t="s">
        <v>21</v>
      </c>
      <c r="L6557" s="24" t="s">
        <v>21</v>
      </c>
      <c r="M6557" s="24" t="s">
        <v>21</v>
      </c>
      <c r="N6557" s="24" t="s">
        <v>21</v>
      </c>
      <c r="O6557" s="24" t="s">
        <v>21</v>
      </c>
      <c r="P6557" s="24" t="s">
        <v>21</v>
      </c>
      <c r="Q6557" s="24" t="s">
        <v>21</v>
      </c>
      <c r="R6557" s="24" t="s">
        <v>21</v>
      </c>
      <c r="S6557" s="24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5">
        <v>4</v>
      </c>
      <c r="E6558" s="5">
        <v>0</v>
      </c>
      <c r="F6558" s="5" t="s">
        <v>8</v>
      </c>
      <c r="G6558" s="15" t="s">
        <v>9</v>
      </c>
      <c r="H6558" s="24">
        <v>0</v>
      </c>
      <c r="I6558" s="24" t="s">
        <v>21</v>
      </c>
      <c r="J6558" s="24">
        <v>0</v>
      </c>
      <c r="K6558" s="24" t="s">
        <v>21</v>
      </c>
      <c r="L6558" s="24" t="s">
        <v>21</v>
      </c>
      <c r="M6558" s="24" t="s">
        <v>21</v>
      </c>
      <c r="N6558" s="24" t="s">
        <v>21</v>
      </c>
      <c r="O6558" s="24" t="s">
        <v>21</v>
      </c>
      <c r="P6558" s="24" t="s">
        <v>21</v>
      </c>
      <c r="Q6558" s="24" t="s">
        <v>21</v>
      </c>
      <c r="R6558" s="24" t="s">
        <v>21</v>
      </c>
      <c r="S6558" s="24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5">
        <v>2</v>
      </c>
      <c r="E6559" s="5">
        <v>0</v>
      </c>
      <c r="F6559" s="5" t="s">
        <v>8</v>
      </c>
      <c r="G6559" s="15" t="s">
        <v>9</v>
      </c>
      <c r="H6559" s="24">
        <v>1.000000003259629</v>
      </c>
      <c r="I6559" s="24" t="s">
        <v>21</v>
      </c>
      <c r="J6559" s="24">
        <v>1.000000003259629</v>
      </c>
      <c r="K6559" s="24" t="s">
        <v>21</v>
      </c>
      <c r="L6559" s="24" t="s">
        <v>21</v>
      </c>
      <c r="M6559" s="24" t="s">
        <v>21</v>
      </c>
      <c r="N6559" s="24" t="s">
        <v>21</v>
      </c>
      <c r="O6559" s="24" t="s">
        <v>21</v>
      </c>
      <c r="P6559" s="24" t="s">
        <v>21</v>
      </c>
      <c r="Q6559" s="24" t="s">
        <v>21</v>
      </c>
      <c r="R6559" s="24" t="s">
        <v>21</v>
      </c>
      <c r="S6559" s="24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5">
        <v>2</v>
      </c>
      <c r="E6560" s="5">
        <v>0</v>
      </c>
      <c r="F6560" s="5" t="s">
        <v>8</v>
      </c>
      <c r="G6560" s="15" t="s">
        <v>9</v>
      </c>
      <c r="H6560" s="24">
        <v>0</v>
      </c>
      <c r="I6560" s="24" t="s">
        <v>21</v>
      </c>
      <c r="J6560" s="24">
        <v>0</v>
      </c>
      <c r="K6560" s="24" t="s">
        <v>21</v>
      </c>
      <c r="L6560" s="24" t="s">
        <v>21</v>
      </c>
      <c r="M6560" s="24" t="s">
        <v>21</v>
      </c>
      <c r="N6560" s="24" t="s">
        <v>21</v>
      </c>
      <c r="O6560" s="24" t="s">
        <v>21</v>
      </c>
      <c r="P6560" s="24" t="s">
        <v>21</v>
      </c>
      <c r="Q6560" s="24" t="s">
        <v>21</v>
      </c>
      <c r="R6560" s="24" t="s">
        <v>21</v>
      </c>
      <c r="S6560" s="24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5">
        <v>3</v>
      </c>
      <c r="E6561" s="5">
        <v>0</v>
      </c>
      <c r="F6561" s="5" t="s">
        <v>8</v>
      </c>
      <c r="G6561" s="15" t="s">
        <v>9</v>
      </c>
      <c r="H6561" s="24">
        <v>0</v>
      </c>
      <c r="I6561" s="24" t="s">
        <v>21</v>
      </c>
      <c r="J6561" s="24">
        <v>0</v>
      </c>
      <c r="K6561" s="24" t="s">
        <v>21</v>
      </c>
      <c r="L6561" s="24" t="s">
        <v>21</v>
      </c>
      <c r="M6561" s="24" t="s">
        <v>21</v>
      </c>
      <c r="N6561" s="24" t="s">
        <v>21</v>
      </c>
      <c r="O6561" s="24" t="s">
        <v>21</v>
      </c>
      <c r="P6561" s="24" t="s">
        <v>21</v>
      </c>
      <c r="Q6561" s="24" t="s">
        <v>21</v>
      </c>
      <c r="R6561" s="24" t="s">
        <v>21</v>
      </c>
      <c r="S6561" s="24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5">
        <v>1</v>
      </c>
      <c r="E6562" s="5">
        <v>0</v>
      </c>
      <c r="F6562" s="5" t="s">
        <v>8</v>
      </c>
      <c r="G6562" s="15" t="s">
        <v>9</v>
      </c>
      <c r="H6562" s="24">
        <v>0.99999999278225005</v>
      </c>
      <c r="I6562" s="24" t="s">
        <v>21</v>
      </c>
      <c r="J6562" s="24">
        <v>0.99999999278225005</v>
      </c>
      <c r="K6562" s="24" t="s">
        <v>21</v>
      </c>
      <c r="L6562" s="24" t="s">
        <v>21</v>
      </c>
      <c r="M6562" s="24" t="s">
        <v>21</v>
      </c>
      <c r="N6562" s="24" t="s">
        <v>21</v>
      </c>
      <c r="O6562" s="24" t="s">
        <v>21</v>
      </c>
      <c r="P6562" s="24" t="s">
        <v>21</v>
      </c>
      <c r="Q6562" s="24" t="s">
        <v>21</v>
      </c>
      <c r="R6562" s="24" t="s">
        <v>21</v>
      </c>
      <c r="S6562" s="24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5">
        <v>2</v>
      </c>
      <c r="E6563" s="5">
        <v>0</v>
      </c>
      <c r="F6563" s="5" t="s">
        <v>8</v>
      </c>
      <c r="G6563" s="15" t="s">
        <v>9</v>
      </c>
      <c r="H6563" s="24">
        <v>0</v>
      </c>
      <c r="I6563" s="24" t="s">
        <v>21</v>
      </c>
      <c r="J6563" s="24">
        <v>0</v>
      </c>
      <c r="K6563" s="24" t="s">
        <v>21</v>
      </c>
      <c r="L6563" s="24" t="s">
        <v>21</v>
      </c>
      <c r="M6563" s="24" t="s">
        <v>21</v>
      </c>
      <c r="N6563" s="24" t="s">
        <v>21</v>
      </c>
      <c r="O6563" s="24" t="s">
        <v>21</v>
      </c>
      <c r="P6563" s="24" t="s">
        <v>21</v>
      </c>
      <c r="Q6563" s="24" t="s">
        <v>21</v>
      </c>
      <c r="R6563" s="24" t="s">
        <v>21</v>
      </c>
      <c r="S6563" s="24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5">
        <v>3</v>
      </c>
      <c r="E6564" s="5">
        <v>0</v>
      </c>
      <c r="F6564" s="5" t="s">
        <v>8</v>
      </c>
      <c r="G6564" s="15" t="s">
        <v>9</v>
      </c>
      <c r="H6564" s="24">
        <v>1.000000003259629</v>
      </c>
      <c r="I6564" s="24" t="s">
        <v>21</v>
      </c>
      <c r="J6564" s="24">
        <v>1.000000003259629</v>
      </c>
      <c r="K6564" s="24" t="s">
        <v>21</v>
      </c>
      <c r="L6564" s="24" t="s">
        <v>21</v>
      </c>
      <c r="M6564" s="24" t="s">
        <v>21</v>
      </c>
      <c r="N6564" s="24" t="s">
        <v>21</v>
      </c>
      <c r="O6564" s="24" t="s">
        <v>21</v>
      </c>
      <c r="P6564" s="24" t="s">
        <v>21</v>
      </c>
      <c r="Q6564" s="24" t="s">
        <v>21</v>
      </c>
      <c r="R6564" s="24" t="s">
        <v>21</v>
      </c>
      <c r="S6564" s="24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5">
        <v>0</v>
      </c>
      <c r="E6565" s="5">
        <v>4</v>
      </c>
      <c r="F6565" s="5" t="s">
        <v>8</v>
      </c>
      <c r="G6565" s="15" t="s">
        <v>9</v>
      </c>
      <c r="H6565" s="24">
        <v>8.9999999979045242</v>
      </c>
      <c r="I6565" s="24">
        <v>339.99999999767169</v>
      </c>
      <c r="J6565" s="24" t="s">
        <v>21</v>
      </c>
      <c r="K6565" s="24" t="s">
        <v>21</v>
      </c>
      <c r="L6565" s="24" t="s">
        <v>21</v>
      </c>
      <c r="M6565" s="24" t="s">
        <v>21</v>
      </c>
      <c r="N6565" s="24" t="s">
        <v>21</v>
      </c>
      <c r="O6565" s="24" t="s">
        <v>21</v>
      </c>
      <c r="P6565" s="24" t="s">
        <v>21</v>
      </c>
      <c r="Q6565" s="24" t="s">
        <v>21</v>
      </c>
      <c r="R6565" s="24" t="s">
        <v>21</v>
      </c>
      <c r="S6565" s="24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5">
        <v>0</v>
      </c>
      <c r="E6566" s="5">
        <v>15</v>
      </c>
      <c r="F6566" s="5" t="s">
        <v>8</v>
      </c>
      <c r="G6566" s="15" t="s">
        <v>9</v>
      </c>
      <c r="H6566" s="24">
        <v>1.000000003259629</v>
      </c>
      <c r="I6566" s="24">
        <v>1.000000003259629</v>
      </c>
      <c r="J6566" s="24" t="s">
        <v>21</v>
      </c>
      <c r="K6566" s="24" t="s">
        <v>21</v>
      </c>
      <c r="L6566" s="24" t="s">
        <v>21</v>
      </c>
      <c r="M6566" s="24" t="s">
        <v>21</v>
      </c>
      <c r="N6566" s="24" t="s">
        <v>21</v>
      </c>
      <c r="O6566" s="24" t="s">
        <v>21</v>
      </c>
      <c r="P6566" s="24" t="s">
        <v>21</v>
      </c>
      <c r="Q6566" s="24" t="s">
        <v>21</v>
      </c>
      <c r="R6566" s="24" t="s">
        <v>21</v>
      </c>
      <c r="S6566" s="24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5">
        <v>2</v>
      </c>
      <c r="E6567" s="5">
        <v>0</v>
      </c>
      <c r="F6567" s="5" t="s">
        <v>8</v>
      </c>
      <c r="G6567" s="15" t="s">
        <v>9</v>
      </c>
      <c r="H6567" s="24">
        <v>1.000000003259629</v>
      </c>
      <c r="I6567" s="24" t="s">
        <v>21</v>
      </c>
      <c r="J6567" s="24">
        <v>11.000000004423782</v>
      </c>
      <c r="K6567" s="24" t="s">
        <v>21</v>
      </c>
      <c r="L6567" s="24" t="s">
        <v>21</v>
      </c>
      <c r="M6567" s="24" t="s">
        <v>21</v>
      </c>
      <c r="N6567" s="24" t="s">
        <v>21</v>
      </c>
      <c r="O6567" s="24" t="s">
        <v>21</v>
      </c>
      <c r="P6567" s="24" t="s">
        <v>21</v>
      </c>
      <c r="Q6567" s="24" t="s">
        <v>21</v>
      </c>
      <c r="R6567" s="24" t="s">
        <v>21</v>
      </c>
      <c r="S6567" s="24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5">
        <v>2</v>
      </c>
      <c r="E6568" s="5">
        <v>0</v>
      </c>
      <c r="F6568" s="5" t="s">
        <v>8</v>
      </c>
      <c r="G6568" s="15" t="s">
        <v>9</v>
      </c>
      <c r="H6568" s="24">
        <v>0</v>
      </c>
      <c r="I6568" s="24" t="s">
        <v>21</v>
      </c>
      <c r="J6568" s="24">
        <v>0</v>
      </c>
      <c r="K6568" s="24" t="s">
        <v>21</v>
      </c>
      <c r="L6568" s="24" t="s">
        <v>21</v>
      </c>
      <c r="M6568" s="24" t="s">
        <v>21</v>
      </c>
      <c r="N6568" s="24" t="s">
        <v>21</v>
      </c>
      <c r="O6568" s="24" t="s">
        <v>21</v>
      </c>
      <c r="P6568" s="24" t="s">
        <v>21</v>
      </c>
      <c r="Q6568" s="24" t="s">
        <v>21</v>
      </c>
      <c r="R6568" s="24" t="s">
        <v>21</v>
      </c>
      <c r="S6568" s="24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5">
        <v>1</v>
      </c>
      <c r="E6569" s="5">
        <v>0</v>
      </c>
      <c r="F6569" s="5" t="s">
        <v>8</v>
      </c>
      <c r="G6569" s="15" t="s">
        <v>9</v>
      </c>
      <c r="H6569" s="24">
        <v>0</v>
      </c>
      <c r="I6569" s="24" t="s">
        <v>21</v>
      </c>
      <c r="J6569" s="24" t="s">
        <v>21</v>
      </c>
      <c r="K6569" s="24">
        <v>1577.9999999993015</v>
      </c>
      <c r="L6569" s="24" t="s">
        <v>21</v>
      </c>
      <c r="M6569" s="24" t="s">
        <v>21</v>
      </c>
      <c r="N6569" s="24" t="s">
        <v>21</v>
      </c>
      <c r="O6569" s="24" t="s">
        <v>21</v>
      </c>
      <c r="P6569" s="24" t="s">
        <v>21</v>
      </c>
      <c r="Q6569" s="24" t="s">
        <v>21</v>
      </c>
      <c r="R6569" s="24" t="s">
        <v>21</v>
      </c>
      <c r="S6569" s="24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5">
        <v>3</v>
      </c>
      <c r="E6570" s="5">
        <v>0</v>
      </c>
      <c r="F6570" s="5" t="s">
        <v>8</v>
      </c>
      <c r="G6570" s="15" t="s">
        <v>9</v>
      </c>
      <c r="H6570" s="24">
        <v>0</v>
      </c>
      <c r="I6570" s="24" t="s">
        <v>21</v>
      </c>
      <c r="J6570" s="24">
        <v>0</v>
      </c>
      <c r="K6570" s="24" t="s">
        <v>21</v>
      </c>
      <c r="L6570" s="24" t="s">
        <v>21</v>
      </c>
      <c r="M6570" s="24" t="s">
        <v>21</v>
      </c>
      <c r="N6570" s="24" t="s">
        <v>21</v>
      </c>
      <c r="O6570" s="24" t="s">
        <v>21</v>
      </c>
      <c r="P6570" s="24" t="s">
        <v>21</v>
      </c>
      <c r="Q6570" s="24" t="s">
        <v>21</v>
      </c>
      <c r="R6570" s="24" t="s">
        <v>21</v>
      </c>
      <c r="S6570" s="24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5">
        <v>2</v>
      </c>
      <c r="E6571" s="5">
        <v>0</v>
      </c>
      <c r="F6571" s="5" t="s">
        <v>8</v>
      </c>
      <c r="G6571" s="15" t="s">
        <v>9</v>
      </c>
      <c r="H6571" s="24">
        <v>0</v>
      </c>
      <c r="I6571" s="24" t="s">
        <v>21</v>
      </c>
      <c r="J6571" s="24">
        <v>0</v>
      </c>
      <c r="K6571" s="24" t="s">
        <v>21</v>
      </c>
      <c r="L6571" s="24" t="s">
        <v>21</v>
      </c>
      <c r="M6571" s="24" t="s">
        <v>21</v>
      </c>
      <c r="N6571" s="24" t="s">
        <v>21</v>
      </c>
      <c r="O6571" s="24" t="s">
        <v>21</v>
      </c>
      <c r="P6571" s="24" t="s">
        <v>21</v>
      </c>
      <c r="Q6571" s="24" t="s">
        <v>21</v>
      </c>
      <c r="R6571" s="24" t="s">
        <v>21</v>
      </c>
      <c r="S6571" s="24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5">
        <v>2</v>
      </c>
      <c r="E6572" s="5">
        <v>0</v>
      </c>
      <c r="F6572" s="5" t="s">
        <v>8</v>
      </c>
      <c r="G6572" s="15" t="s">
        <v>9</v>
      </c>
      <c r="H6572" s="24">
        <v>0</v>
      </c>
      <c r="I6572" s="24" t="s">
        <v>21</v>
      </c>
      <c r="J6572" s="24" t="s">
        <v>21</v>
      </c>
      <c r="K6572" s="24">
        <v>0</v>
      </c>
      <c r="L6572" s="24" t="s">
        <v>21</v>
      </c>
      <c r="M6572" s="24" t="s">
        <v>21</v>
      </c>
      <c r="N6572" s="24" t="s">
        <v>21</v>
      </c>
      <c r="O6572" s="24" t="s">
        <v>21</v>
      </c>
      <c r="P6572" s="24" t="s">
        <v>21</v>
      </c>
      <c r="Q6572" s="24" t="s">
        <v>21</v>
      </c>
      <c r="R6572" s="24" t="s">
        <v>21</v>
      </c>
      <c r="S6572" s="24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5">
        <v>3</v>
      </c>
      <c r="E6573" s="5">
        <v>0</v>
      </c>
      <c r="F6573" s="5" t="s">
        <v>8</v>
      </c>
      <c r="G6573" s="15" t="s">
        <v>9</v>
      </c>
      <c r="H6573" s="24">
        <v>0.99999999278225005</v>
      </c>
      <c r="I6573" s="24" t="s">
        <v>21</v>
      </c>
      <c r="J6573" s="24">
        <v>0.99999999278225005</v>
      </c>
      <c r="K6573" s="24" t="s">
        <v>21</v>
      </c>
      <c r="L6573" s="24" t="s">
        <v>21</v>
      </c>
      <c r="M6573" s="24" t="s">
        <v>21</v>
      </c>
      <c r="N6573" s="24" t="s">
        <v>21</v>
      </c>
      <c r="O6573" s="24" t="s">
        <v>21</v>
      </c>
      <c r="P6573" s="24" t="s">
        <v>21</v>
      </c>
      <c r="Q6573" s="24" t="s">
        <v>21</v>
      </c>
      <c r="R6573" s="24" t="s">
        <v>21</v>
      </c>
      <c r="S6573" s="24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5">
        <v>3</v>
      </c>
      <c r="E6574" s="5">
        <v>0</v>
      </c>
      <c r="F6574" s="5" t="s">
        <v>8</v>
      </c>
      <c r="G6574" s="15" t="s">
        <v>9</v>
      </c>
      <c r="H6574" s="24">
        <v>1.000000003259629</v>
      </c>
      <c r="I6574" s="24" t="s">
        <v>21</v>
      </c>
      <c r="J6574" s="24">
        <v>1.000000003259629</v>
      </c>
      <c r="K6574" s="24" t="s">
        <v>21</v>
      </c>
      <c r="L6574" s="24" t="s">
        <v>21</v>
      </c>
      <c r="M6574" s="24" t="s">
        <v>21</v>
      </c>
      <c r="N6574" s="24" t="s">
        <v>21</v>
      </c>
      <c r="O6574" s="24" t="s">
        <v>21</v>
      </c>
      <c r="P6574" s="24" t="s">
        <v>21</v>
      </c>
      <c r="Q6574" s="24" t="s">
        <v>21</v>
      </c>
      <c r="R6574" s="24" t="s">
        <v>21</v>
      </c>
      <c r="S6574" s="24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5">
        <v>2</v>
      </c>
      <c r="E6575" s="5">
        <v>0</v>
      </c>
      <c r="F6575" s="5" t="s">
        <v>8</v>
      </c>
      <c r="G6575" s="15" t="s">
        <v>9</v>
      </c>
      <c r="H6575" s="24">
        <v>1.000000003259629</v>
      </c>
      <c r="I6575" s="24" t="s">
        <v>21</v>
      </c>
      <c r="J6575" s="24">
        <v>1.000000003259629</v>
      </c>
      <c r="K6575" s="24" t="s">
        <v>21</v>
      </c>
      <c r="L6575" s="24" t="s">
        <v>21</v>
      </c>
      <c r="M6575" s="24" t="s">
        <v>21</v>
      </c>
      <c r="N6575" s="24" t="s">
        <v>21</v>
      </c>
      <c r="O6575" s="24" t="s">
        <v>21</v>
      </c>
      <c r="P6575" s="24" t="s">
        <v>21</v>
      </c>
      <c r="Q6575" s="24" t="s">
        <v>21</v>
      </c>
      <c r="R6575" s="24" t="s">
        <v>21</v>
      </c>
      <c r="S6575" s="24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5">
        <v>4</v>
      </c>
      <c r="E6576" s="5">
        <v>0</v>
      </c>
      <c r="F6576" s="5" t="s">
        <v>8</v>
      </c>
      <c r="G6576" s="15" t="s">
        <v>9</v>
      </c>
      <c r="H6576" s="24">
        <v>0</v>
      </c>
      <c r="I6576" s="24" t="s">
        <v>21</v>
      </c>
      <c r="J6576" s="24">
        <v>0</v>
      </c>
      <c r="K6576" s="24" t="s">
        <v>21</v>
      </c>
      <c r="L6576" s="24" t="s">
        <v>21</v>
      </c>
      <c r="M6576" s="24" t="s">
        <v>21</v>
      </c>
      <c r="N6576" s="24" t="s">
        <v>21</v>
      </c>
      <c r="O6576" s="24" t="s">
        <v>21</v>
      </c>
      <c r="P6576" s="24" t="s">
        <v>21</v>
      </c>
      <c r="Q6576" s="24" t="s">
        <v>21</v>
      </c>
      <c r="R6576" s="24" t="s">
        <v>21</v>
      </c>
      <c r="S6576" s="24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5">
        <v>1</v>
      </c>
      <c r="E6577" s="5">
        <v>0</v>
      </c>
      <c r="F6577" s="5" t="s">
        <v>8</v>
      </c>
      <c r="G6577" s="15" t="s">
        <v>9</v>
      </c>
      <c r="H6577" s="24">
        <v>0.99999999278225005</v>
      </c>
      <c r="I6577" s="24" t="s">
        <v>21</v>
      </c>
      <c r="J6577" s="24">
        <v>0.99999999278225005</v>
      </c>
      <c r="K6577" s="24" t="s">
        <v>21</v>
      </c>
      <c r="L6577" s="24" t="s">
        <v>21</v>
      </c>
      <c r="M6577" s="24" t="s">
        <v>21</v>
      </c>
      <c r="N6577" s="24" t="s">
        <v>21</v>
      </c>
      <c r="O6577" s="24" t="s">
        <v>21</v>
      </c>
      <c r="P6577" s="24" t="s">
        <v>21</v>
      </c>
      <c r="Q6577" s="24" t="s">
        <v>21</v>
      </c>
      <c r="R6577" s="24" t="s">
        <v>21</v>
      </c>
      <c r="S6577" s="24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5">
        <v>0</v>
      </c>
      <c r="E6578" s="5">
        <v>10</v>
      </c>
      <c r="F6578" s="5" t="s">
        <v>8</v>
      </c>
      <c r="G6578" s="15" t="s">
        <v>9</v>
      </c>
      <c r="H6578" s="24">
        <v>1.000000003259629</v>
      </c>
      <c r="I6578" s="24" t="s">
        <v>21</v>
      </c>
      <c r="J6578" s="24" t="s">
        <v>21</v>
      </c>
      <c r="K6578" s="24" t="s">
        <v>21</v>
      </c>
      <c r="L6578" s="24">
        <v>59.99999999650754</v>
      </c>
      <c r="M6578" s="24" t="s">
        <v>21</v>
      </c>
      <c r="N6578" s="24" t="s">
        <v>21</v>
      </c>
      <c r="O6578" s="24" t="s">
        <v>21</v>
      </c>
      <c r="P6578" s="24" t="s">
        <v>21</v>
      </c>
      <c r="Q6578" s="24" t="s">
        <v>21</v>
      </c>
      <c r="R6578" s="24" t="s">
        <v>21</v>
      </c>
      <c r="S6578" s="24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5">
        <v>0</v>
      </c>
      <c r="E6579" s="5">
        <v>14</v>
      </c>
      <c r="F6579" s="5" t="s">
        <v>8</v>
      </c>
      <c r="G6579" s="15" t="s">
        <v>9</v>
      </c>
      <c r="H6579" s="24">
        <v>1.000000003259629</v>
      </c>
      <c r="I6579" s="24" t="s">
        <v>21</v>
      </c>
      <c r="J6579" s="24" t="s">
        <v>21</v>
      </c>
      <c r="K6579" s="24" t="s">
        <v>21</v>
      </c>
      <c r="L6579" s="24">
        <v>1.000000003259629</v>
      </c>
      <c r="M6579" s="24" t="s">
        <v>21</v>
      </c>
      <c r="N6579" s="24" t="s">
        <v>21</v>
      </c>
      <c r="O6579" s="24" t="s">
        <v>21</v>
      </c>
      <c r="P6579" s="24" t="s">
        <v>21</v>
      </c>
      <c r="Q6579" s="24" t="s">
        <v>21</v>
      </c>
      <c r="R6579" s="24" t="s">
        <v>21</v>
      </c>
      <c r="S6579" s="24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5">
        <v>1</v>
      </c>
      <c r="E6580" s="5">
        <v>0</v>
      </c>
      <c r="F6580" s="5" t="s">
        <v>8</v>
      </c>
      <c r="G6580" s="15" t="s">
        <v>9</v>
      </c>
      <c r="H6580" s="24">
        <v>0</v>
      </c>
      <c r="I6580" s="24" t="s">
        <v>21</v>
      </c>
      <c r="J6580" s="24">
        <v>2.000000006519258</v>
      </c>
      <c r="K6580" s="24" t="s">
        <v>21</v>
      </c>
      <c r="L6580" s="24" t="s">
        <v>21</v>
      </c>
      <c r="M6580" s="24" t="s">
        <v>21</v>
      </c>
      <c r="N6580" s="24" t="s">
        <v>21</v>
      </c>
      <c r="O6580" s="24" t="s">
        <v>21</v>
      </c>
      <c r="P6580" s="24" t="s">
        <v>21</v>
      </c>
      <c r="Q6580" s="24" t="s">
        <v>21</v>
      </c>
      <c r="R6580" s="24" t="s">
        <v>21</v>
      </c>
      <c r="S6580" s="24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5">
        <v>1</v>
      </c>
      <c r="E6581" s="5">
        <v>0</v>
      </c>
      <c r="F6581" s="5" t="s">
        <v>8</v>
      </c>
      <c r="G6581" s="15" t="s">
        <v>9</v>
      </c>
      <c r="H6581" s="24">
        <v>0.99999999278225005</v>
      </c>
      <c r="I6581" s="24" t="s">
        <v>21</v>
      </c>
      <c r="J6581" s="24">
        <v>0.99999999278225005</v>
      </c>
      <c r="K6581" s="24" t="s">
        <v>21</v>
      </c>
      <c r="L6581" s="24" t="s">
        <v>21</v>
      </c>
      <c r="M6581" s="24" t="s">
        <v>21</v>
      </c>
      <c r="N6581" s="24" t="s">
        <v>21</v>
      </c>
      <c r="O6581" s="24" t="s">
        <v>21</v>
      </c>
      <c r="P6581" s="24" t="s">
        <v>21</v>
      </c>
      <c r="Q6581" s="24" t="s">
        <v>21</v>
      </c>
      <c r="R6581" s="24" t="s">
        <v>21</v>
      </c>
      <c r="S6581" s="24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5">
        <v>0</v>
      </c>
      <c r="E6582" s="5">
        <v>0</v>
      </c>
      <c r="F6582" s="5" t="s">
        <v>8</v>
      </c>
      <c r="G6582" s="15" t="s">
        <v>9</v>
      </c>
      <c r="H6582" s="24">
        <v>0</v>
      </c>
      <c r="I6582" s="24" t="s">
        <v>21</v>
      </c>
      <c r="J6582" s="24" t="s">
        <v>21</v>
      </c>
      <c r="K6582" s="24" t="s">
        <v>21</v>
      </c>
      <c r="L6582" s="24">
        <v>0.99999999278225005</v>
      </c>
      <c r="M6582" s="24" t="s">
        <v>21</v>
      </c>
      <c r="N6582" s="24" t="s">
        <v>21</v>
      </c>
      <c r="O6582" s="24" t="s">
        <v>21</v>
      </c>
      <c r="P6582" s="24" t="s">
        <v>21</v>
      </c>
      <c r="Q6582" s="24" t="s">
        <v>21</v>
      </c>
      <c r="R6582" s="24" t="s">
        <v>21</v>
      </c>
      <c r="S6582" s="24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5">
        <v>1</v>
      </c>
      <c r="E6583" s="5">
        <v>0</v>
      </c>
      <c r="F6583" s="5" t="s">
        <v>8</v>
      </c>
      <c r="G6583" s="15" t="s">
        <v>9</v>
      </c>
      <c r="H6583" s="24">
        <v>0</v>
      </c>
      <c r="I6583" s="24" t="s">
        <v>21</v>
      </c>
      <c r="J6583" s="24">
        <v>0</v>
      </c>
      <c r="K6583" s="24" t="s">
        <v>21</v>
      </c>
      <c r="L6583" s="24" t="s">
        <v>21</v>
      </c>
      <c r="M6583" s="24" t="s">
        <v>21</v>
      </c>
      <c r="N6583" s="24" t="s">
        <v>21</v>
      </c>
      <c r="O6583" s="24" t="s">
        <v>21</v>
      </c>
      <c r="P6583" s="24" t="s">
        <v>21</v>
      </c>
      <c r="Q6583" s="24" t="s">
        <v>21</v>
      </c>
      <c r="R6583" s="24" t="s">
        <v>21</v>
      </c>
      <c r="S6583" s="24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5">
        <v>3</v>
      </c>
      <c r="E6584" s="5">
        <v>0</v>
      </c>
      <c r="F6584" s="5" t="s">
        <v>8</v>
      </c>
      <c r="G6584" s="15" t="s">
        <v>9</v>
      </c>
      <c r="H6584" s="24">
        <v>1.000000003259629</v>
      </c>
      <c r="I6584" s="24" t="s">
        <v>21</v>
      </c>
      <c r="J6584" s="24">
        <v>1.000000003259629</v>
      </c>
      <c r="K6584" s="24" t="s">
        <v>21</v>
      </c>
      <c r="L6584" s="24" t="s">
        <v>21</v>
      </c>
      <c r="M6584" s="24" t="s">
        <v>21</v>
      </c>
      <c r="N6584" s="24" t="s">
        <v>21</v>
      </c>
      <c r="O6584" s="24" t="s">
        <v>21</v>
      </c>
      <c r="P6584" s="24" t="s">
        <v>21</v>
      </c>
      <c r="Q6584" s="24" t="s">
        <v>21</v>
      </c>
      <c r="R6584" s="24" t="s">
        <v>21</v>
      </c>
      <c r="S6584" s="24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5">
        <v>1</v>
      </c>
      <c r="E6585" s="5">
        <v>0</v>
      </c>
      <c r="F6585" s="5" t="s">
        <v>8</v>
      </c>
      <c r="G6585" s="15" t="s">
        <v>9</v>
      </c>
      <c r="H6585" s="24">
        <v>0</v>
      </c>
      <c r="I6585" s="24" t="s">
        <v>21</v>
      </c>
      <c r="J6585" s="24">
        <v>0</v>
      </c>
      <c r="K6585" s="24" t="s">
        <v>21</v>
      </c>
      <c r="L6585" s="24" t="s">
        <v>21</v>
      </c>
      <c r="M6585" s="24" t="s">
        <v>21</v>
      </c>
      <c r="N6585" s="24" t="s">
        <v>21</v>
      </c>
      <c r="O6585" s="24" t="s">
        <v>21</v>
      </c>
      <c r="P6585" s="24" t="s">
        <v>21</v>
      </c>
      <c r="Q6585" s="24" t="s">
        <v>21</v>
      </c>
      <c r="R6585" s="24" t="s">
        <v>21</v>
      </c>
      <c r="S6585" s="24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5">
        <v>0</v>
      </c>
      <c r="E6586" s="5">
        <v>0</v>
      </c>
      <c r="F6586" s="5" t="s">
        <v>8</v>
      </c>
      <c r="G6586" s="15" t="s">
        <v>9</v>
      </c>
      <c r="H6586" s="24">
        <v>1.000000003259629</v>
      </c>
      <c r="I6586" s="24" t="s">
        <v>21</v>
      </c>
      <c r="J6586" s="24">
        <v>1.000000003259629</v>
      </c>
      <c r="K6586" s="24" t="s">
        <v>21</v>
      </c>
      <c r="L6586" s="24" t="s">
        <v>21</v>
      </c>
      <c r="M6586" s="24" t="s">
        <v>21</v>
      </c>
      <c r="N6586" s="24" t="s">
        <v>21</v>
      </c>
      <c r="O6586" s="24" t="s">
        <v>21</v>
      </c>
      <c r="P6586" s="24" t="s">
        <v>21</v>
      </c>
      <c r="Q6586" s="24" t="s">
        <v>21</v>
      </c>
      <c r="R6586" s="24" t="s">
        <v>21</v>
      </c>
      <c r="S6586" s="24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5">
        <v>3</v>
      </c>
      <c r="E6587" s="5">
        <v>0</v>
      </c>
      <c r="F6587" s="5" t="s">
        <v>8</v>
      </c>
      <c r="G6587" s="15" t="s">
        <v>9</v>
      </c>
      <c r="H6587" s="24">
        <v>0</v>
      </c>
      <c r="I6587" s="24" t="s">
        <v>21</v>
      </c>
      <c r="J6587" s="24">
        <v>0</v>
      </c>
      <c r="K6587" s="24" t="s">
        <v>21</v>
      </c>
      <c r="L6587" s="24" t="s">
        <v>21</v>
      </c>
      <c r="M6587" s="24" t="s">
        <v>21</v>
      </c>
      <c r="N6587" s="24" t="s">
        <v>21</v>
      </c>
      <c r="O6587" s="24" t="s">
        <v>21</v>
      </c>
      <c r="P6587" s="24" t="s">
        <v>21</v>
      </c>
      <c r="Q6587" s="24" t="s">
        <v>21</v>
      </c>
      <c r="R6587" s="24" t="s">
        <v>21</v>
      </c>
      <c r="S6587" s="24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5">
        <v>3</v>
      </c>
      <c r="E6588" s="5">
        <v>0</v>
      </c>
      <c r="F6588" s="5" t="s">
        <v>8</v>
      </c>
      <c r="G6588" s="15" t="s">
        <v>9</v>
      </c>
      <c r="H6588" s="24">
        <v>0</v>
      </c>
      <c r="I6588" s="24" t="s">
        <v>21</v>
      </c>
      <c r="J6588" s="24">
        <v>0</v>
      </c>
      <c r="K6588" s="24" t="s">
        <v>21</v>
      </c>
      <c r="L6588" s="24" t="s">
        <v>21</v>
      </c>
      <c r="M6588" s="24" t="s">
        <v>21</v>
      </c>
      <c r="N6588" s="24" t="s">
        <v>21</v>
      </c>
      <c r="O6588" s="24" t="s">
        <v>21</v>
      </c>
      <c r="P6588" s="24" t="s">
        <v>21</v>
      </c>
      <c r="Q6588" s="24" t="s">
        <v>21</v>
      </c>
      <c r="R6588" s="24" t="s">
        <v>21</v>
      </c>
      <c r="S6588" s="24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5">
        <v>1</v>
      </c>
      <c r="E6589" s="5">
        <v>0</v>
      </c>
      <c r="F6589" s="5" t="s">
        <v>8</v>
      </c>
      <c r="G6589" s="15" t="s">
        <v>9</v>
      </c>
      <c r="H6589" s="24">
        <v>1.000000003259629</v>
      </c>
      <c r="I6589" s="24" t="s">
        <v>21</v>
      </c>
      <c r="J6589" s="24">
        <v>1.000000003259629</v>
      </c>
      <c r="K6589" s="24" t="s">
        <v>21</v>
      </c>
      <c r="L6589" s="24" t="s">
        <v>21</v>
      </c>
      <c r="M6589" s="24" t="s">
        <v>21</v>
      </c>
      <c r="N6589" s="24" t="s">
        <v>21</v>
      </c>
      <c r="O6589" s="24" t="s">
        <v>21</v>
      </c>
      <c r="P6589" s="24" t="s">
        <v>21</v>
      </c>
      <c r="Q6589" s="24" t="s">
        <v>21</v>
      </c>
      <c r="R6589" s="24" t="s">
        <v>21</v>
      </c>
      <c r="S6589" s="24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5">
        <v>1</v>
      </c>
      <c r="E6590" s="5">
        <v>0</v>
      </c>
      <c r="F6590" s="5" t="s">
        <v>8</v>
      </c>
      <c r="G6590" s="15" t="s">
        <v>9</v>
      </c>
      <c r="H6590" s="24">
        <v>0</v>
      </c>
      <c r="I6590" s="24" t="s">
        <v>21</v>
      </c>
      <c r="J6590" s="24">
        <v>0</v>
      </c>
      <c r="K6590" s="24" t="s">
        <v>21</v>
      </c>
      <c r="L6590" s="24" t="s">
        <v>21</v>
      </c>
      <c r="M6590" s="24" t="s">
        <v>21</v>
      </c>
      <c r="N6590" s="24" t="s">
        <v>21</v>
      </c>
      <c r="O6590" s="24" t="s">
        <v>21</v>
      </c>
      <c r="P6590" s="24" t="s">
        <v>21</v>
      </c>
      <c r="Q6590" s="24" t="s">
        <v>21</v>
      </c>
      <c r="R6590" s="24" t="s">
        <v>21</v>
      </c>
      <c r="S6590" s="24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5">
        <v>4</v>
      </c>
      <c r="E6591" s="5">
        <v>0</v>
      </c>
      <c r="F6591" s="5" t="s">
        <v>8</v>
      </c>
      <c r="G6591" s="15" t="s">
        <v>9</v>
      </c>
      <c r="H6591" s="24">
        <v>0.99999999278225005</v>
      </c>
      <c r="I6591" s="24" t="s">
        <v>21</v>
      </c>
      <c r="J6591" s="24">
        <v>0.99999999278225005</v>
      </c>
      <c r="K6591" s="24" t="s">
        <v>21</v>
      </c>
      <c r="L6591" s="24" t="s">
        <v>21</v>
      </c>
      <c r="M6591" s="24" t="s">
        <v>21</v>
      </c>
      <c r="N6591" s="24" t="s">
        <v>21</v>
      </c>
      <c r="O6591" s="24" t="s">
        <v>21</v>
      </c>
      <c r="P6591" s="24" t="s">
        <v>21</v>
      </c>
      <c r="Q6591" s="24" t="s">
        <v>21</v>
      </c>
      <c r="R6591" s="24" t="s">
        <v>21</v>
      </c>
      <c r="S6591" s="24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5">
        <v>0</v>
      </c>
      <c r="E6592" s="5">
        <v>12</v>
      </c>
      <c r="F6592" s="5" t="s">
        <v>8</v>
      </c>
      <c r="G6592" s="15" t="s">
        <v>9</v>
      </c>
      <c r="H6592" s="24">
        <v>2.000000006519258</v>
      </c>
      <c r="I6592" s="24" t="s">
        <v>21</v>
      </c>
      <c r="J6592" s="24" t="s">
        <v>21</v>
      </c>
      <c r="K6592" s="24" t="s">
        <v>21</v>
      </c>
      <c r="L6592" s="24" t="s">
        <v>21</v>
      </c>
      <c r="M6592" s="24" t="s">
        <v>21</v>
      </c>
      <c r="N6592" s="24" t="s">
        <v>21</v>
      </c>
      <c r="O6592" s="24" t="s">
        <v>21</v>
      </c>
      <c r="P6592" s="24" t="s">
        <v>21</v>
      </c>
      <c r="Q6592" s="24" t="s">
        <v>21</v>
      </c>
      <c r="R6592" s="24" t="s">
        <v>21</v>
      </c>
      <c r="S6592" s="24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5">
        <v>2</v>
      </c>
      <c r="E6593" s="5">
        <v>0</v>
      </c>
      <c r="F6593" s="5" t="s">
        <v>8</v>
      </c>
      <c r="G6593" s="15" t="s">
        <v>9</v>
      </c>
      <c r="H6593" s="24">
        <v>0</v>
      </c>
      <c r="I6593" s="24" t="s">
        <v>21</v>
      </c>
      <c r="J6593" s="24">
        <v>2.000000006519258</v>
      </c>
      <c r="K6593" s="24" t="s">
        <v>21</v>
      </c>
      <c r="L6593" s="24" t="s">
        <v>21</v>
      </c>
      <c r="M6593" s="24" t="s">
        <v>21</v>
      </c>
      <c r="N6593" s="24" t="s">
        <v>21</v>
      </c>
      <c r="O6593" s="24" t="s">
        <v>21</v>
      </c>
      <c r="P6593" s="24" t="s">
        <v>21</v>
      </c>
      <c r="Q6593" s="24" t="s">
        <v>21</v>
      </c>
      <c r="R6593" s="24" t="s">
        <v>21</v>
      </c>
      <c r="S6593" s="24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5">
        <v>2</v>
      </c>
      <c r="E6594" s="5">
        <v>0</v>
      </c>
      <c r="F6594" s="5" t="s">
        <v>8</v>
      </c>
      <c r="G6594" s="15" t="s">
        <v>9</v>
      </c>
      <c r="H6594" s="24">
        <v>0</v>
      </c>
      <c r="I6594" s="24" t="s">
        <v>21</v>
      </c>
      <c r="J6594" s="24">
        <v>0</v>
      </c>
      <c r="K6594" s="24" t="s">
        <v>21</v>
      </c>
      <c r="L6594" s="24" t="s">
        <v>21</v>
      </c>
      <c r="M6594" s="24" t="s">
        <v>21</v>
      </c>
      <c r="N6594" s="24" t="s">
        <v>21</v>
      </c>
      <c r="O6594" s="24" t="s">
        <v>21</v>
      </c>
      <c r="P6594" s="24" t="s">
        <v>21</v>
      </c>
      <c r="Q6594" s="24" t="s">
        <v>21</v>
      </c>
      <c r="R6594" s="24" t="s">
        <v>21</v>
      </c>
      <c r="S6594" s="24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5">
        <v>4</v>
      </c>
      <c r="E6595" s="5">
        <v>0</v>
      </c>
      <c r="F6595" s="5" t="s">
        <v>8</v>
      </c>
      <c r="G6595" s="15" t="s">
        <v>9</v>
      </c>
      <c r="H6595" s="24">
        <v>0</v>
      </c>
      <c r="I6595" s="24" t="s">
        <v>21</v>
      </c>
      <c r="J6595" s="24">
        <v>0</v>
      </c>
      <c r="K6595" s="24" t="s">
        <v>21</v>
      </c>
      <c r="L6595" s="24" t="s">
        <v>21</v>
      </c>
      <c r="M6595" s="24" t="s">
        <v>21</v>
      </c>
      <c r="N6595" s="24" t="s">
        <v>21</v>
      </c>
      <c r="O6595" s="24" t="s">
        <v>21</v>
      </c>
      <c r="P6595" s="24" t="s">
        <v>21</v>
      </c>
      <c r="Q6595" s="24" t="s">
        <v>21</v>
      </c>
      <c r="R6595" s="24" t="s">
        <v>21</v>
      </c>
      <c r="S6595" s="24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5">
        <v>1</v>
      </c>
      <c r="E6596" s="5">
        <v>0</v>
      </c>
      <c r="F6596" s="5" t="s">
        <v>8</v>
      </c>
      <c r="G6596" s="15" t="s">
        <v>9</v>
      </c>
      <c r="H6596" s="24">
        <v>0</v>
      </c>
      <c r="I6596" s="24" t="s">
        <v>21</v>
      </c>
      <c r="J6596" s="24" t="s">
        <v>21</v>
      </c>
      <c r="K6596" s="24">
        <v>13.000000000465661</v>
      </c>
      <c r="L6596" s="24" t="s">
        <v>21</v>
      </c>
      <c r="M6596" s="24" t="s">
        <v>21</v>
      </c>
      <c r="N6596" s="24" t="s">
        <v>21</v>
      </c>
      <c r="O6596" s="24" t="s">
        <v>21</v>
      </c>
      <c r="P6596" s="24" t="s">
        <v>21</v>
      </c>
      <c r="Q6596" s="24" t="s">
        <v>21</v>
      </c>
      <c r="R6596" s="24" t="s">
        <v>21</v>
      </c>
      <c r="S6596" s="24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5">
        <v>4</v>
      </c>
      <c r="E6597" s="5">
        <v>0</v>
      </c>
      <c r="F6597" s="5" t="s">
        <v>8</v>
      </c>
      <c r="G6597" s="15" t="s">
        <v>9</v>
      </c>
      <c r="H6597" s="24">
        <v>0</v>
      </c>
      <c r="I6597" s="24" t="s">
        <v>21</v>
      </c>
      <c r="J6597" s="24" t="s">
        <v>21</v>
      </c>
      <c r="K6597" s="24" t="s">
        <v>21</v>
      </c>
      <c r="L6597" s="24" t="s">
        <v>21</v>
      </c>
      <c r="M6597" s="24" t="s">
        <v>21</v>
      </c>
      <c r="N6597" s="24" t="s">
        <v>21</v>
      </c>
      <c r="O6597" s="24" t="s">
        <v>21</v>
      </c>
      <c r="P6597" s="24" t="s">
        <v>21</v>
      </c>
      <c r="Q6597" s="24" t="s">
        <v>21</v>
      </c>
      <c r="R6597" s="24" t="s">
        <v>21</v>
      </c>
      <c r="S6597" s="24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5">
        <v>1</v>
      </c>
      <c r="E6598" s="5">
        <v>0</v>
      </c>
      <c r="F6598" s="5" t="s">
        <v>8</v>
      </c>
      <c r="G6598" s="15" t="s">
        <v>9</v>
      </c>
      <c r="H6598" s="24">
        <v>0.99999999278225005</v>
      </c>
      <c r="I6598" s="24" t="s">
        <v>21</v>
      </c>
      <c r="J6598" s="24">
        <v>0.99999999278225005</v>
      </c>
      <c r="K6598" s="24" t="s">
        <v>21</v>
      </c>
      <c r="L6598" s="24" t="s">
        <v>21</v>
      </c>
      <c r="M6598" s="24" t="s">
        <v>21</v>
      </c>
      <c r="N6598" s="24" t="s">
        <v>21</v>
      </c>
      <c r="O6598" s="24" t="s">
        <v>21</v>
      </c>
      <c r="P6598" s="24" t="s">
        <v>21</v>
      </c>
      <c r="Q6598" s="24" t="s">
        <v>21</v>
      </c>
      <c r="R6598" s="24" t="s">
        <v>21</v>
      </c>
      <c r="S6598" s="24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5">
        <v>2</v>
      </c>
      <c r="E6599" s="5">
        <v>0</v>
      </c>
      <c r="F6599" s="5" t="s">
        <v>8</v>
      </c>
      <c r="G6599" s="15" t="s">
        <v>9</v>
      </c>
      <c r="H6599" s="24">
        <v>0</v>
      </c>
      <c r="I6599" s="24" t="s">
        <v>21</v>
      </c>
      <c r="J6599" s="24">
        <v>0</v>
      </c>
      <c r="K6599" s="24" t="s">
        <v>21</v>
      </c>
      <c r="L6599" s="24" t="s">
        <v>21</v>
      </c>
      <c r="M6599" s="24" t="s">
        <v>21</v>
      </c>
      <c r="N6599" s="24" t="s">
        <v>21</v>
      </c>
      <c r="O6599" s="24" t="s">
        <v>21</v>
      </c>
      <c r="P6599" s="24" t="s">
        <v>21</v>
      </c>
      <c r="Q6599" s="24" t="s">
        <v>21</v>
      </c>
      <c r="R6599" s="24" t="s">
        <v>21</v>
      </c>
      <c r="S6599" s="24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5">
        <v>0</v>
      </c>
      <c r="E6600" s="5">
        <v>1</v>
      </c>
      <c r="F6600" s="5" t="s">
        <v>8</v>
      </c>
      <c r="G6600" s="15" t="s">
        <v>9</v>
      </c>
      <c r="H6600" s="24">
        <v>0</v>
      </c>
      <c r="I6600" s="24" t="s">
        <v>21</v>
      </c>
      <c r="J6600" s="24" t="s">
        <v>21</v>
      </c>
      <c r="K6600" s="24">
        <v>0.99999999278225005</v>
      </c>
      <c r="L6600" s="24" t="s">
        <v>21</v>
      </c>
      <c r="M6600" s="24" t="s">
        <v>21</v>
      </c>
      <c r="N6600" s="24" t="s">
        <v>21</v>
      </c>
      <c r="O6600" s="24" t="s">
        <v>21</v>
      </c>
      <c r="P6600" s="24" t="s">
        <v>21</v>
      </c>
      <c r="Q6600" s="24" t="s">
        <v>21</v>
      </c>
      <c r="R6600" s="24" t="s">
        <v>21</v>
      </c>
      <c r="S6600" s="24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5">
        <v>0</v>
      </c>
      <c r="E6601" s="5">
        <v>0</v>
      </c>
      <c r="F6601" s="5" t="s">
        <v>8</v>
      </c>
      <c r="G6601" s="15" t="s">
        <v>9</v>
      </c>
      <c r="H6601" s="24">
        <v>0</v>
      </c>
      <c r="I6601" s="24" t="s">
        <v>21</v>
      </c>
      <c r="J6601" s="24">
        <v>0</v>
      </c>
      <c r="K6601" s="24" t="s">
        <v>21</v>
      </c>
      <c r="L6601" s="24" t="s">
        <v>21</v>
      </c>
      <c r="M6601" s="24" t="s">
        <v>21</v>
      </c>
      <c r="N6601" s="24" t="s">
        <v>21</v>
      </c>
      <c r="O6601" s="24" t="s">
        <v>21</v>
      </c>
      <c r="P6601" s="24" t="s">
        <v>21</v>
      </c>
      <c r="Q6601" s="24" t="s">
        <v>21</v>
      </c>
      <c r="R6601" s="24" t="s">
        <v>21</v>
      </c>
      <c r="S6601" s="24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5">
        <v>1</v>
      </c>
      <c r="E6602" s="5">
        <v>0</v>
      </c>
      <c r="F6602" s="5" t="s">
        <v>8</v>
      </c>
      <c r="G6602" s="15" t="s">
        <v>9</v>
      </c>
      <c r="H6602" s="24">
        <v>1.000000003259629</v>
      </c>
      <c r="I6602" s="24" t="s">
        <v>21</v>
      </c>
      <c r="J6602" s="24">
        <v>1.000000003259629</v>
      </c>
      <c r="K6602" s="24" t="s">
        <v>21</v>
      </c>
      <c r="L6602" s="24" t="s">
        <v>21</v>
      </c>
      <c r="M6602" s="24" t="s">
        <v>21</v>
      </c>
      <c r="N6602" s="24" t="s">
        <v>21</v>
      </c>
      <c r="O6602" s="24" t="s">
        <v>21</v>
      </c>
      <c r="P6602" s="24" t="s">
        <v>21</v>
      </c>
      <c r="Q6602" s="24" t="s">
        <v>21</v>
      </c>
      <c r="R6602" s="24" t="s">
        <v>21</v>
      </c>
      <c r="S6602" s="24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5">
        <v>5</v>
      </c>
      <c r="E6603" s="5">
        <v>0</v>
      </c>
      <c r="F6603" s="5" t="s">
        <v>8</v>
      </c>
      <c r="G6603" s="15" t="s">
        <v>9</v>
      </c>
      <c r="H6603" s="24">
        <v>0</v>
      </c>
      <c r="I6603" s="24" t="s">
        <v>21</v>
      </c>
      <c r="J6603" s="24">
        <v>0</v>
      </c>
      <c r="K6603" s="24" t="s">
        <v>21</v>
      </c>
      <c r="L6603" s="24" t="s">
        <v>21</v>
      </c>
      <c r="M6603" s="24" t="s">
        <v>21</v>
      </c>
      <c r="N6603" s="24" t="s">
        <v>21</v>
      </c>
      <c r="O6603" s="24" t="s">
        <v>21</v>
      </c>
      <c r="P6603" s="24" t="s">
        <v>21</v>
      </c>
      <c r="Q6603" s="24" t="s">
        <v>21</v>
      </c>
      <c r="R6603" s="24" t="s">
        <v>21</v>
      </c>
      <c r="S6603" s="24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5">
        <v>0</v>
      </c>
      <c r="E6604" s="5">
        <v>10</v>
      </c>
      <c r="F6604" s="5" t="s">
        <v>8</v>
      </c>
      <c r="G6604" s="15" t="s">
        <v>9</v>
      </c>
      <c r="H6604" s="24">
        <v>0</v>
      </c>
      <c r="I6604" s="24">
        <v>15.999999999767169</v>
      </c>
      <c r="J6604" s="24" t="s">
        <v>21</v>
      </c>
      <c r="K6604" s="24" t="s">
        <v>21</v>
      </c>
      <c r="L6604" s="24" t="s">
        <v>21</v>
      </c>
      <c r="M6604" s="24" t="s">
        <v>21</v>
      </c>
      <c r="N6604" s="24" t="s">
        <v>21</v>
      </c>
      <c r="O6604" s="24" t="s">
        <v>21</v>
      </c>
      <c r="P6604" s="24" t="s">
        <v>21</v>
      </c>
      <c r="Q6604" s="24" t="s">
        <v>21</v>
      </c>
      <c r="R6604" s="24" t="s">
        <v>21</v>
      </c>
      <c r="S6604" s="24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5">
        <v>0</v>
      </c>
      <c r="E6605" s="5">
        <v>0</v>
      </c>
      <c r="F6605" s="5" t="s">
        <v>8</v>
      </c>
      <c r="G6605" s="15" t="s">
        <v>9</v>
      </c>
      <c r="H6605" s="24">
        <v>0</v>
      </c>
      <c r="I6605" s="24" t="s">
        <v>21</v>
      </c>
      <c r="J6605" s="24" t="s">
        <v>21</v>
      </c>
      <c r="K6605" s="24">
        <v>1.000000003259629</v>
      </c>
      <c r="L6605" s="24" t="s">
        <v>21</v>
      </c>
      <c r="M6605" s="24" t="s">
        <v>21</v>
      </c>
      <c r="N6605" s="24" t="s">
        <v>21</v>
      </c>
      <c r="O6605" s="24" t="s">
        <v>21</v>
      </c>
      <c r="P6605" s="24" t="s">
        <v>21</v>
      </c>
      <c r="Q6605" s="24" t="s">
        <v>21</v>
      </c>
      <c r="R6605" s="24" t="s">
        <v>21</v>
      </c>
      <c r="S6605" s="24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5">
        <v>4</v>
      </c>
      <c r="E6606" s="5">
        <v>2</v>
      </c>
      <c r="F6606" s="5" t="s">
        <v>8</v>
      </c>
      <c r="G6606" s="15" t="s">
        <v>9</v>
      </c>
      <c r="H6606" s="24">
        <v>1.000000003259629</v>
      </c>
      <c r="I6606" s="24">
        <v>1.000000003259629</v>
      </c>
      <c r="J6606" s="24" t="s">
        <v>21</v>
      </c>
      <c r="K6606" s="24" t="s">
        <v>21</v>
      </c>
      <c r="L6606" s="24" t="s">
        <v>21</v>
      </c>
      <c r="M6606" s="24" t="s">
        <v>21</v>
      </c>
      <c r="N6606" s="24" t="s">
        <v>21</v>
      </c>
      <c r="O6606" s="24" t="s">
        <v>21</v>
      </c>
      <c r="P6606" s="24" t="s">
        <v>21</v>
      </c>
      <c r="Q6606" s="24" t="s">
        <v>21</v>
      </c>
      <c r="R6606" s="24" t="s">
        <v>21</v>
      </c>
      <c r="S6606" s="24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5">
        <v>0</v>
      </c>
      <c r="E6607" s="5">
        <v>3</v>
      </c>
      <c r="F6607" s="5" t="s">
        <v>8</v>
      </c>
      <c r="G6607" s="15" t="s">
        <v>9</v>
      </c>
      <c r="H6607" s="24">
        <v>0.99999999278225005</v>
      </c>
      <c r="I6607" s="24">
        <v>0.99999999278225005</v>
      </c>
      <c r="J6607" s="24" t="s">
        <v>21</v>
      </c>
      <c r="K6607" s="24" t="s">
        <v>21</v>
      </c>
      <c r="L6607" s="24" t="s">
        <v>21</v>
      </c>
      <c r="M6607" s="24" t="s">
        <v>21</v>
      </c>
      <c r="N6607" s="24" t="s">
        <v>21</v>
      </c>
      <c r="O6607" s="24" t="s">
        <v>21</v>
      </c>
      <c r="P6607" s="24" t="s">
        <v>21</v>
      </c>
      <c r="Q6607" s="24" t="s">
        <v>21</v>
      </c>
      <c r="R6607" s="24" t="s">
        <v>21</v>
      </c>
      <c r="S6607" s="24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5">
        <v>0</v>
      </c>
      <c r="E6608" s="5">
        <v>12</v>
      </c>
      <c r="F6608" s="5" t="s">
        <v>8</v>
      </c>
      <c r="G6608" s="15" t="s">
        <v>9</v>
      </c>
      <c r="H6608" s="24">
        <v>0</v>
      </c>
      <c r="I6608" s="24" t="s">
        <v>21</v>
      </c>
      <c r="J6608" s="24" t="s">
        <v>21</v>
      </c>
      <c r="K6608" s="24" t="s">
        <v>21</v>
      </c>
      <c r="L6608" s="24" t="s">
        <v>21</v>
      </c>
      <c r="M6608" s="24" t="s">
        <v>21</v>
      </c>
      <c r="N6608" s="24" t="s">
        <v>21</v>
      </c>
      <c r="O6608" s="24" t="s">
        <v>21</v>
      </c>
      <c r="P6608" s="24" t="s">
        <v>21</v>
      </c>
      <c r="Q6608" s="24">
        <v>1277.999999995809</v>
      </c>
      <c r="R6608" s="24" t="s">
        <v>21</v>
      </c>
      <c r="S6608" s="24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5">
        <v>1</v>
      </c>
      <c r="E6609" s="5">
        <v>0</v>
      </c>
      <c r="F6609" s="5" t="s">
        <v>8</v>
      </c>
      <c r="G6609" s="15" t="s">
        <v>9</v>
      </c>
      <c r="H6609" s="24">
        <v>0</v>
      </c>
      <c r="I6609" s="24" t="s">
        <v>21</v>
      </c>
      <c r="J6609" s="24" t="s">
        <v>21</v>
      </c>
      <c r="K6609" s="24">
        <v>1.9999999960418791</v>
      </c>
      <c r="L6609" s="24" t="s">
        <v>21</v>
      </c>
      <c r="M6609" s="24" t="s">
        <v>21</v>
      </c>
      <c r="N6609" s="24" t="s">
        <v>21</v>
      </c>
      <c r="O6609" s="24" t="s">
        <v>21</v>
      </c>
      <c r="P6609" s="24" t="s">
        <v>21</v>
      </c>
      <c r="Q6609" s="24" t="s">
        <v>21</v>
      </c>
      <c r="R6609" s="24" t="s">
        <v>21</v>
      </c>
      <c r="S6609" s="24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5">
        <v>0</v>
      </c>
      <c r="E6610" s="5">
        <v>13</v>
      </c>
      <c r="F6610" s="5" t="s">
        <v>8</v>
      </c>
      <c r="G6610" s="15" t="s">
        <v>9</v>
      </c>
      <c r="H6610" s="24">
        <v>0</v>
      </c>
      <c r="I6610" s="24" t="s">
        <v>21</v>
      </c>
      <c r="J6610" s="24" t="s">
        <v>21</v>
      </c>
      <c r="K6610" s="24" t="s">
        <v>21</v>
      </c>
      <c r="L6610" s="24" t="s">
        <v>21</v>
      </c>
      <c r="M6610" s="24" t="s">
        <v>21</v>
      </c>
      <c r="N6610" s="24" t="s">
        <v>21</v>
      </c>
      <c r="O6610" s="24" t="s">
        <v>21</v>
      </c>
      <c r="P6610" s="24" t="s">
        <v>21</v>
      </c>
      <c r="Q6610" s="24">
        <v>0</v>
      </c>
      <c r="R6610" s="24" t="s">
        <v>21</v>
      </c>
      <c r="S6610" s="24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5">
        <v>1</v>
      </c>
      <c r="E6611" s="5">
        <v>0</v>
      </c>
      <c r="F6611" s="5" t="s">
        <v>8</v>
      </c>
      <c r="G6611" s="15" t="s">
        <v>9</v>
      </c>
      <c r="H6611" s="24">
        <v>0</v>
      </c>
      <c r="I6611" s="24" t="s">
        <v>21</v>
      </c>
      <c r="J6611" s="24" t="s">
        <v>21</v>
      </c>
      <c r="K6611" s="24">
        <v>0</v>
      </c>
      <c r="L6611" s="24" t="s">
        <v>21</v>
      </c>
      <c r="M6611" s="24" t="s">
        <v>21</v>
      </c>
      <c r="N6611" s="24" t="s">
        <v>21</v>
      </c>
      <c r="O6611" s="24" t="s">
        <v>21</v>
      </c>
      <c r="P6611" s="24" t="s">
        <v>21</v>
      </c>
      <c r="Q6611" s="24" t="s">
        <v>21</v>
      </c>
      <c r="R6611" s="24" t="s">
        <v>21</v>
      </c>
      <c r="S6611" s="24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5">
        <v>1</v>
      </c>
      <c r="E6612" s="5">
        <v>0</v>
      </c>
      <c r="F6612" s="5" t="s">
        <v>8</v>
      </c>
      <c r="G6612" s="15" t="s">
        <v>9</v>
      </c>
      <c r="H6612" s="24">
        <v>0</v>
      </c>
      <c r="I6612" s="24" t="s">
        <v>21</v>
      </c>
      <c r="J6612" s="24">
        <v>1.9999999960418791</v>
      </c>
      <c r="K6612" s="24" t="s">
        <v>21</v>
      </c>
      <c r="L6612" s="24" t="s">
        <v>21</v>
      </c>
      <c r="M6612" s="24" t="s">
        <v>21</v>
      </c>
      <c r="N6612" s="24" t="s">
        <v>21</v>
      </c>
      <c r="O6612" s="24" t="s">
        <v>21</v>
      </c>
      <c r="P6612" s="24" t="s">
        <v>21</v>
      </c>
      <c r="Q6612" s="24" t="s">
        <v>21</v>
      </c>
      <c r="R6612" s="24" t="s">
        <v>21</v>
      </c>
      <c r="S6612" s="24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5">
        <v>0</v>
      </c>
      <c r="E6613" s="5">
        <v>11</v>
      </c>
      <c r="F6613" s="5" t="s">
        <v>8</v>
      </c>
      <c r="G6613" s="15" t="s">
        <v>9</v>
      </c>
      <c r="H6613" s="24">
        <v>1.000000003259629</v>
      </c>
      <c r="I6613" s="24" t="s">
        <v>21</v>
      </c>
      <c r="J6613" s="24" t="s">
        <v>21</v>
      </c>
      <c r="K6613" s="24" t="s">
        <v>21</v>
      </c>
      <c r="L6613" s="24" t="s">
        <v>21</v>
      </c>
      <c r="M6613" s="24" t="s">
        <v>21</v>
      </c>
      <c r="N6613" s="24" t="s">
        <v>21</v>
      </c>
      <c r="O6613" s="24" t="s">
        <v>21</v>
      </c>
      <c r="P6613" s="24" t="s">
        <v>21</v>
      </c>
      <c r="Q6613" s="24">
        <v>1.000000003259629</v>
      </c>
      <c r="R6613" s="24" t="s">
        <v>21</v>
      </c>
      <c r="S6613" s="24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5">
        <v>1</v>
      </c>
      <c r="E6614" s="5">
        <v>0</v>
      </c>
      <c r="F6614" s="5" t="s">
        <v>8</v>
      </c>
      <c r="G6614" s="15" t="s">
        <v>9</v>
      </c>
      <c r="H6614" s="24">
        <v>0</v>
      </c>
      <c r="I6614" s="24" t="s">
        <v>21</v>
      </c>
      <c r="J6614" s="24">
        <v>1.000000003259629</v>
      </c>
      <c r="K6614" s="24" t="s">
        <v>21</v>
      </c>
      <c r="L6614" s="24" t="s">
        <v>21</v>
      </c>
      <c r="M6614" s="24" t="s">
        <v>21</v>
      </c>
      <c r="N6614" s="24" t="s">
        <v>21</v>
      </c>
      <c r="O6614" s="24" t="s">
        <v>21</v>
      </c>
      <c r="P6614" s="24" t="s">
        <v>21</v>
      </c>
      <c r="Q6614" s="24" t="s">
        <v>21</v>
      </c>
      <c r="R6614" s="24" t="s">
        <v>21</v>
      </c>
      <c r="S6614" s="24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5">
        <v>0</v>
      </c>
      <c r="E6615" s="5">
        <v>9</v>
      </c>
      <c r="F6615" s="5" t="s">
        <v>8</v>
      </c>
      <c r="G6615" s="15" t="s">
        <v>9</v>
      </c>
      <c r="H6615" s="24">
        <v>0</v>
      </c>
      <c r="I6615" s="24" t="s">
        <v>21</v>
      </c>
      <c r="J6615" s="24" t="s">
        <v>21</v>
      </c>
      <c r="K6615" s="24" t="s">
        <v>21</v>
      </c>
      <c r="L6615" s="24" t="s">
        <v>21</v>
      </c>
      <c r="M6615" s="24" t="s">
        <v>21</v>
      </c>
      <c r="N6615" s="24" t="s">
        <v>21</v>
      </c>
      <c r="O6615" s="24" t="s">
        <v>21</v>
      </c>
      <c r="P6615" s="24" t="s">
        <v>21</v>
      </c>
      <c r="Q6615" s="24">
        <v>0</v>
      </c>
      <c r="R6615" s="24" t="s">
        <v>21</v>
      </c>
      <c r="S6615" s="24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5">
        <v>1</v>
      </c>
      <c r="E6616" s="5">
        <v>0</v>
      </c>
      <c r="F6616" s="5" t="s">
        <v>8</v>
      </c>
      <c r="G6616" s="15" t="s">
        <v>9</v>
      </c>
      <c r="H6616" s="24">
        <v>0</v>
      </c>
      <c r="I6616" s="24" t="s">
        <v>21</v>
      </c>
      <c r="J6616" s="24">
        <v>0</v>
      </c>
      <c r="K6616" s="24" t="s">
        <v>21</v>
      </c>
      <c r="L6616" s="24" t="s">
        <v>21</v>
      </c>
      <c r="M6616" s="24" t="s">
        <v>21</v>
      </c>
      <c r="N6616" s="24" t="s">
        <v>21</v>
      </c>
      <c r="O6616" s="24" t="s">
        <v>21</v>
      </c>
      <c r="P6616" s="24" t="s">
        <v>21</v>
      </c>
      <c r="Q6616" s="24" t="s">
        <v>21</v>
      </c>
      <c r="R6616" s="24" t="s">
        <v>21</v>
      </c>
      <c r="S6616" s="24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5">
        <v>2</v>
      </c>
      <c r="E6617" s="5">
        <v>0</v>
      </c>
      <c r="F6617" s="5" t="s">
        <v>8</v>
      </c>
      <c r="G6617" s="15" t="s">
        <v>9</v>
      </c>
      <c r="H6617" s="24">
        <v>0</v>
      </c>
      <c r="I6617" s="24" t="s">
        <v>21</v>
      </c>
      <c r="J6617" s="24" t="s">
        <v>21</v>
      </c>
      <c r="K6617" s="24">
        <v>1.000000003259629</v>
      </c>
      <c r="L6617" s="24" t="s">
        <v>21</v>
      </c>
      <c r="M6617" s="24" t="s">
        <v>21</v>
      </c>
      <c r="N6617" s="24" t="s">
        <v>21</v>
      </c>
      <c r="O6617" s="24" t="s">
        <v>21</v>
      </c>
      <c r="P6617" s="24" t="s">
        <v>21</v>
      </c>
      <c r="Q6617" s="24" t="s">
        <v>21</v>
      </c>
      <c r="R6617" s="24" t="s">
        <v>21</v>
      </c>
      <c r="S6617" s="24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5">
        <v>3</v>
      </c>
      <c r="E6618" s="5">
        <v>0</v>
      </c>
      <c r="F6618" s="5" t="s">
        <v>8</v>
      </c>
      <c r="G6618" s="15" t="s">
        <v>9</v>
      </c>
      <c r="H6618" s="24">
        <v>1.000000003259629</v>
      </c>
      <c r="I6618" s="24" t="s">
        <v>21</v>
      </c>
      <c r="J6618" s="24">
        <v>1.000000003259629</v>
      </c>
      <c r="K6618" s="24" t="s">
        <v>21</v>
      </c>
      <c r="L6618" s="24" t="s">
        <v>21</v>
      </c>
      <c r="M6618" s="24" t="s">
        <v>21</v>
      </c>
      <c r="N6618" s="24" t="s">
        <v>21</v>
      </c>
      <c r="O6618" s="24" t="s">
        <v>21</v>
      </c>
      <c r="P6618" s="24" t="s">
        <v>21</v>
      </c>
      <c r="Q6618" s="24" t="s">
        <v>21</v>
      </c>
      <c r="R6618" s="24" t="s">
        <v>21</v>
      </c>
      <c r="S6618" s="24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5">
        <v>1</v>
      </c>
      <c r="E6619" s="5">
        <v>0</v>
      </c>
      <c r="F6619" s="5" t="s">
        <v>8</v>
      </c>
      <c r="G6619" s="15" t="s">
        <v>9</v>
      </c>
      <c r="H6619" s="24">
        <v>0.99999999278225005</v>
      </c>
      <c r="I6619" s="24" t="s">
        <v>21</v>
      </c>
      <c r="J6619" s="24">
        <v>0.99999999278225005</v>
      </c>
      <c r="K6619" s="24" t="s">
        <v>21</v>
      </c>
      <c r="L6619" s="24" t="s">
        <v>21</v>
      </c>
      <c r="M6619" s="24" t="s">
        <v>21</v>
      </c>
      <c r="N6619" s="24" t="s">
        <v>21</v>
      </c>
      <c r="O6619" s="24" t="s">
        <v>21</v>
      </c>
      <c r="P6619" s="24" t="s">
        <v>21</v>
      </c>
      <c r="Q6619" s="24" t="s">
        <v>21</v>
      </c>
      <c r="R6619" s="24" t="s">
        <v>21</v>
      </c>
      <c r="S6619" s="24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5">
        <v>2</v>
      </c>
      <c r="E6620" s="5">
        <v>0</v>
      </c>
      <c r="F6620" s="5" t="s">
        <v>8</v>
      </c>
      <c r="G6620" s="15" t="s">
        <v>9</v>
      </c>
      <c r="H6620" s="24">
        <v>0</v>
      </c>
      <c r="I6620" s="24" t="s">
        <v>21</v>
      </c>
      <c r="J6620" s="24" t="s">
        <v>21</v>
      </c>
      <c r="K6620" s="24">
        <v>1.9999999960418791</v>
      </c>
      <c r="L6620" s="24" t="s">
        <v>21</v>
      </c>
      <c r="M6620" s="24" t="s">
        <v>21</v>
      </c>
      <c r="N6620" s="24" t="s">
        <v>21</v>
      </c>
      <c r="O6620" s="24" t="s">
        <v>21</v>
      </c>
      <c r="P6620" s="24" t="s">
        <v>21</v>
      </c>
      <c r="Q6620" s="24" t="s">
        <v>21</v>
      </c>
      <c r="R6620" s="24" t="s">
        <v>21</v>
      </c>
      <c r="S6620" s="24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5">
        <v>3</v>
      </c>
      <c r="E6621" s="5">
        <v>0</v>
      </c>
      <c r="F6621" s="5" t="s">
        <v>8</v>
      </c>
      <c r="G6621" s="15" t="s">
        <v>9</v>
      </c>
      <c r="H6621" s="24">
        <v>0</v>
      </c>
      <c r="I6621" s="24" t="s">
        <v>21</v>
      </c>
      <c r="J6621" s="24">
        <v>0</v>
      </c>
      <c r="K6621" s="24" t="s">
        <v>21</v>
      </c>
      <c r="L6621" s="24" t="s">
        <v>21</v>
      </c>
      <c r="M6621" s="24" t="s">
        <v>21</v>
      </c>
      <c r="N6621" s="24" t="s">
        <v>21</v>
      </c>
      <c r="O6621" s="24" t="s">
        <v>21</v>
      </c>
      <c r="P6621" s="24" t="s">
        <v>21</v>
      </c>
      <c r="Q6621" s="24" t="s">
        <v>21</v>
      </c>
      <c r="R6621" s="24" t="s">
        <v>21</v>
      </c>
      <c r="S6621" s="24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5">
        <v>2</v>
      </c>
      <c r="E6622" s="5">
        <v>0</v>
      </c>
      <c r="F6622" s="5" t="s">
        <v>8</v>
      </c>
      <c r="G6622" s="15" t="s">
        <v>9</v>
      </c>
      <c r="H6622" s="24">
        <v>0</v>
      </c>
      <c r="I6622" s="24" t="s">
        <v>21</v>
      </c>
      <c r="J6622" s="24" t="s">
        <v>21</v>
      </c>
      <c r="K6622" s="24">
        <v>0</v>
      </c>
      <c r="L6622" s="24" t="s">
        <v>21</v>
      </c>
      <c r="M6622" s="24" t="s">
        <v>21</v>
      </c>
      <c r="N6622" s="24" t="s">
        <v>21</v>
      </c>
      <c r="O6622" s="24" t="s">
        <v>21</v>
      </c>
      <c r="P6622" s="24" t="s">
        <v>21</v>
      </c>
      <c r="Q6622" s="24" t="s">
        <v>21</v>
      </c>
      <c r="R6622" s="24" t="s">
        <v>21</v>
      </c>
      <c r="S6622" s="24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5">
        <v>1</v>
      </c>
      <c r="E6623" s="5">
        <v>0</v>
      </c>
      <c r="F6623" s="5" t="s">
        <v>8</v>
      </c>
      <c r="G6623" s="15" t="s">
        <v>9</v>
      </c>
      <c r="H6623" s="24">
        <v>1.000000003259629</v>
      </c>
      <c r="I6623" s="24" t="s">
        <v>21</v>
      </c>
      <c r="J6623" s="24">
        <v>1.000000003259629</v>
      </c>
      <c r="K6623" s="24" t="s">
        <v>21</v>
      </c>
      <c r="L6623" s="24" t="s">
        <v>21</v>
      </c>
      <c r="M6623" s="24" t="s">
        <v>21</v>
      </c>
      <c r="N6623" s="24" t="s">
        <v>21</v>
      </c>
      <c r="O6623" s="24" t="s">
        <v>21</v>
      </c>
      <c r="P6623" s="24" t="s">
        <v>21</v>
      </c>
      <c r="Q6623" s="24" t="s">
        <v>21</v>
      </c>
      <c r="R6623" s="24" t="s">
        <v>21</v>
      </c>
      <c r="S6623" s="24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5">
        <v>2</v>
      </c>
      <c r="E6624" s="5">
        <v>0</v>
      </c>
      <c r="F6624" s="5" t="s">
        <v>8</v>
      </c>
      <c r="G6624" s="15" t="s">
        <v>9</v>
      </c>
      <c r="H6624" s="24">
        <v>1.000000003259629</v>
      </c>
      <c r="I6624" s="24" t="s">
        <v>21</v>
      </c>
      <c r="J6624" s="24" t="s">
        <v>21</v>
      </c>
      <c r="K6624" s="24">
        <v>2.000000006519258</v>
      </c>
      <c r="L6624" s="24" t="s">
        <v>21</v>
      </c>
      <c r="M6624" s="24" t="s">
        <v>21</v>
      </c>
      <c r="N6624" s="24" t="s">
        <v>21</v>
      </c>
      <c r="O6624" s="24" t="s">
        <v>21</v>
      </c>
      <c r="P6624" s="24" t="s">
        <v>21</v>
      </c>
      <c r="Q6624" s="24" t="s">
        <v>21</v>
      </c>
      <c r="R6624" s="24" t="s">
        <v>21</v>
      </c>
      <c r="S6624" s="24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5">
        <v>5</v>
      </c>
      <c r="E6625" s="5">
        <v>0</v>
      </c>
      <c r="F6625" s="5" t="s">
        <v>8</v>
      </c>
      <c r="G6625" s="15" t="s">
        <v>9</v>
      </c>
      <c r="H6625" s="24">
        <v>0</v>
      </c>
      <c r="I6625" s="24" t="s">
        <v>21</v>
      </c>
      <c r="J6625" s="24">
        <v>1.000000003259629</v>
      </c>
      <c r="K6625" s="24" t="s">
        <v>21</v>
      </c>
      <c r="L6625" s="24" t="s">
        <v>21</v>
      </c>
      <c r="M6625" s="24" t="s">
        <v>21</v>
      </c>
      <c r="N6625" s="24" t="s">
        <v>21</v>
      </c>
      <c r="O6625" s="24" t="s">
        <v>21</v>
      </c>
      <c r="P6625" s="24" t="s">
        <v>21</v>
      </c>
      <c r="Q6625" s="24" t="s">
        <v>21</v>
      </c>
      <c r="R6625" s="24" t="s">
        <v>21</v>
      </c>
      <c r="S6625" s="24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5">
        <v>4</v>
      </c>
      <c r="E6626" s="5">
        <v>0</v>
      </c>
      <c r="F6626" s="5" t="s">
        <v>8</v>
      </c>
      <c r="G6626" s="15" t="s">
        <v>9</v>
      </c>
      <c r="H6626" s="24">
        <v>5.9999999986030161</v>
      </c>
      <c r="I6626" s="24" t="s">
        <v>21</v>
      </c>
      <c r="J6626" s="24">
        <v>5.9999999986030161</v>
      </c>
      <c r="K6626" s="24" t="s">
        <v>21</v>
      </c>
      <c r="L6626" s="24" t="s">
        <v>21</v>
      </c>
      <c r="M6626" s="24" t="s">
        <v>21</v>
      </c>
      <c r="N6626" s="24" t="s">
        <v>21</v>
      </c>
      <c r="O6626" s="24" t="s">
        <v>21</v>
      </c>
      <c r="P6626" s="24" t="s">
        <v>21</v>
      </c>
      <c r="Q6626" s="24" t="s">
        <v>21</v>
      </c>
      <c r="R6626" s="24" t="s">
        <v>21</v>
      </c>
      <c r="S6626" s="24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5">
        <v>0</v>
      </c>
      <c r="E6627" s="5">
        <v>0</v>
      </c>
      <c r="F6627" s="5" t="s">
        <v>8</v>
      </c>
      <c r="G6627" s="15" t="s">
        <v>9</v>
      </c>
      <c r="H6627" s="24">
        <v>1.000000003259629</v>
      </c>
      <c r="I6627" s="24" t="s">
        <v>21</v>
      </c>
      <c r="J6627" s="24" t="s">
        <v>21</v>
      </c>
      <c r="K6627" s="24">
        <v>7.0000000018626451</v>
      </c>
      <c r="L6627" s="24" t="s">
        <v>21</v>
      </c>
      <c r="M6627" s="24" t="s">
        <v>21</v>
      </c>
      <c r="N6627" s="24" t="s">
        <v>21</v>
      </c>
      <c r="O6627" s="24" t="s">
        <v>21</v>
      </c>
      <c r="P6627" s="24" t="s">
        <v>21</v>
      </c>
      <c r="Q6627" s="24" t="s">
        <v>21</v>
      </c>
      <c r="R6627" s="24" t="s">
        <v>21</v>
      </c>
      <c r="S6627" s="24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5">
        <v>0</v>
      </c>
      <c r="E6628" s="5">
        <v>0</v>
      </c>
      <c r="F6628" s="5" t="s">
        <v>8</v>
      </c>
      <c r="G6628" s="15" t="s">
        <v>9</v>
      </c>
      <c r="H6628" s="24">
        <v>0</v>
      </c>
      <c r="I6628" s="24" t="s">
        <v>21</v>
      </c>
      <c r="J6628" s="24">
        <v>1.000000003259629</v>
      </c>
      <c r="K6628" s="24" t="s">
        <v>21</v>
      </c>
      <c r="L6628" s="24" t="s">
        <v>21</v>
      </c>
      <c r="M6628" s="24" t="s">
        <v>21</v>
      </c>
      <c r="N6628" s="24" t="s">
        <v>21</v>
      </c>
      <c r="O6628" s="24" t="s">
        <v>21</v>
      </c>
      <c r="P6628" s="24" t="s">
        <v>21</v>
      </c>
      <c r="Q6628" s="24" t="s">
        <v>21</v>
      </c>
      <c r="R6628" s="24" t="s">
        <v>21</v>
      </c>
      <c r="S6628" s="24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5">
        <v>1</v>
      </c>
      <c r="E6629" s="5">
        <v>0</v>
      </c>
      <c r="F6629" s="5" t="s">
        <v>8</v>
      </c>
      <c r="G6629" s="15" t="s">
        <v>9</v>
      </c>
      <c r="H6629" s="24">
        <v>0</v>
      </c>
      <c r="I6629" s="24" t="s">
        <v>21</v>
      </c>
      <c r="J6629" s="24">
        <v>0</v>
      </c>
      <c r="K6629" s="24" t="s">
        <v>21</v>
      </c>
      <c r="L6629" s="24" t="s">
        <v>21</v>
      </c>
      <c r="M6629" s="24" t="s">
        <v>21</v>
      </c>
      <c r="N6629" s="24" t="s">
        <v>21</v>
      </c>
      <c r="O6629" s="24" t="s">
        <v>21</v>
      </c>
      <c r="P6629" s="24" t="s">
        <v>21</v>
      </c>
      <c r="Q6629" s="24" t="s">
        <v>21</v>
      </c>
      <c r="R6629" s="24" t="s">
        <v>21</v>
      </c>
      <c r="S6629" s="24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5">
        <v>1</v>
      </c>
      <c r="E6630" s="5">
        <v>0</v>
      </c>
      <c r="F6630" s="5" t="s">
        <v>8</v>
      </c>
      <c r="G6630" s="15" t="s">
        <v>9</v>
      </c>
      <c r="H6630" s="24">
        <v>0</v>
      </c>
      <c r="I6630" s="24" t="s">
        <v>21</v>
      </c>
      <c r="J6630" s="24" t="s">
        <v>21</v>
      </c>
      <c r="K6630" s="24">
        <v>0</v>
      </c>
      <c r="L6630" s="24" t="s">
        <v>21</v>
      </c>
      <c r="M6630" s="24" t="s">
        <v>21</v>
      </c>
      <c r="N6630" s="24" t="s">
        <v>21</v>
      </c>
      <c r="O6630" s="24" t="s">
        <v>21</v>
      </c>
      <c r="P6630" s="24" t="s">
        <v>21</v>
      </c>
      <c r="Q6630" s="24" t="s">
        <v>21</v>
      </c>
      <c r="R6630" s="24" t="s">
        <v>21</v>
      </c>
      <c r="S6630" s="24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5">
        <v>0</v>
      </c>
      <c r="E6631" s="5">
        <v>2</v>
      </c>
      <c r="F6631" s="5" t="s">
        <v>8</v>
      </c>
      <c r="G6631" s="15" t="s">
        <v>9</v>
      </c>
      <c r="H6631" s="24">
        <v>0.99999999278225005</v>
      </c>
      <c r="I6631" s="24" t="s">
        <v>21</v>
      </c>
      <c r="J6631" s="24">
        <v>0.99999999278225005</v>
      </c>
      <c r="K6631" s="24" t="s">
        <v>21</v>
      </c>
      <c r="L6631" s="24" t="s">
        <v>21</v>
      </c>
      <c r="M6631" s="24" t="s">
        <v>21</v>
      </c>
      <c r="N6631" s="24" t="s">
        <v>21</v>
      </c>
      <c r="O6631" s="24" t="s">
        <v>21</v>
      </c>
      <c r="P6631" s="24" t="s">
        <v>21</v>
      </c>
      <c r="Q6631" s="24" t="s">
        <v>21</v>
      </c>
      <c r="R6631" s="24" t="s">
        <v>21</v>
      </c>
      <c r="S6631" s="24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5">
        <v>3</v>
      </c>
      <c r="E6632" s="5">
        <v>0</v>
      </c>
      <c r="F6632" s="5" t="s">
        <v>8</v>
      </c>
      <c r="G6632" s="15" t="s">
        <v>9</v>
      </c>
      <c r="H6632" s="24">
        <v>0</v>
      </c>
      <c r="I6632" s="24" t="s">
        <v>21</v>
      </c>
      <c r="J6632" s="24">
        <v>0</v>
      </c>
      <c r="K6632" s="24" t="s">
        <v>21</v>
      </c>
      <c r="L6632" s="24" t="s">
        <v>21</v>
      </c>
      <c r="M6632" s="24" t="s">
        <v>21</v>
      </c>
      <c r="N6632" s="24" t="s">
        <v>21</v>
      </c>
      <c r="O6632" s="24" t="s">
        <v>21</v>
      </c>
      <c r="P6632" s="24" t="s">
        <v>21</v>
      </c>
      <c r="Q6632" s="24" t="s">
        <v>21</v>
      </c>
      <c r="R6632" s="24" t="s">
        <v>21</v>
      </c>
      <c r="S6632" s="24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5">
        <v>2</v>
      </c>
      <c r="E6633" s="5">
        <v>0</v>
      </c>
      <c r="F6633" s="5" t="s">
        <v>8</v>
      </c>
      <c r="G6633" s="15" t="s">
        <v>9</v>
      </c>
      <c r="H6633" s="24">
        <v>1.000000003259629</v>
      </c>
      <c r="I6633" s="24" t="s">
        <v>21</v>
      </c>
      <c r="J6633" s="24">
        <v>1.000000003259629</v>
      </c>
      <c r="K6633" s="24" t="s">
        <v>21</v>
      </c>
      <c r="L6633" s="24" t="s">
        <v>21</v>
      </c>
      <c r="M6633" s="24" t="s">
        <v>21</v>
      </c>
      <c r="N6633" s="24" t="s">
        <v>21</v>
      </c>
      <c r="O6633" s="24" t="s">
        <v>21</v>
      </c>
      <c r="P6633" s="24" t="s">
        <v>21</v>
      </c>
      <c r="Q6633" s="24" t="s">
        <v>21</v>
      </c>
      <c r="R6633" s="24" t="s">
        <v>21</v>
      </c>
      <c r="S6633" s="24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5">
        <v>1</v>
      </c>
      <c r="E6634" s="5">
        <v>0</v>
      </c>
      <c r="F6634" s="5" t="s">
        <v>8</v>
      </c>
      <c r="G6634" s="15" t="s">
        <v>9</v>
      </c>
      <c r="H6634" s="24">
        <v>0</v>
      </c>
      <c r="I6634" s="24" t="s">
        <v>21</v>
      </c>
      <c r="J6634" s="24">
        <v>0</v>
      </c>
      <c r="K6634" s="24" t="s">
        <v>21</v>
      </c>
      <c r="L6634" s="24" t="s">
        <v>21</v>
      </c>
      <c r="M6634" s="24" t="s">
        <v>21</v>
      </c>
      <c r="N6634" s="24" t="s">
        <v>21</v>
      </c>
      <c r="O6634" s="24" t="s">
        <v>21</v>
      </c>
      <c r="P6634" s="24" t="s">
        <v>21</v>
      </c>
      <c r="Q6634" s="24" t="s">
        <v>21</v>
      </c>
      <c r="R6634" s="24" t="s">
        <v>21</v>
      </c>
      <c r="S6634" s="24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5">
        <v>1</v>
      </c>
      <c r="E6635" s="5">
        <v>0</v>
      </c>
      <c r="F6635" s="5" t="s">
        <v>8</v>
      </c>
      <c r="G6635" s="15" t="s">
        <v>9</v>
      </c>
      <c r="H6635" s="24">
        <v>0</v>
      </c>
      <c r="I6635" s="24" t="s">
        <v>21</v>
      </c>
      <c r="J6635" s="24" t="s">
        <v>21</v>
      </c>
      <c r="K6635" s="24">
        <v>1.9999999960418791</v>
      </c>
      <c r="L6635" s="24" t="s">
        <v>21</v>
      </c>
      <c r="M6635" s="24" t="s">
        <v>21</v>
      </c>
      <c r="N6635" s="24" t="s">
        <v>21</v>
      </c>
      <c r="O6635" s="24" t="s">
        <v>21</v>
      </c>
      <c r="P6635" s="24" t="s">
        <v>21</v>
      </c>
      <c r="Q6635" s="24" t="s">
        <v>21</v>
      </c>
      <c r="R6635" s="24" t="s">
        <v>21</v>
      </c>
      <c r="S6635" s="24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5">
        <v>0</v>
      </c>
      <c r="E6636" s="5">
        <v>0</v>
      </c>
      <c r="F6636" s="5" t="s">
        <v>8</v>
      </c>
      <c r="G6636" s="15" t="s">
        <v>9</v>
      </c>
      <c r="H6636" s="24">
        <v>0</v>
      </c>
      <c r="I6636" s="24" t="s">
        <v>21</v>
      </c>
      <c r="J6636" s="24">
        <v>0</v>
      </c>
      <c r="K6636" s="24" t="s">
        <v>21</v>
      </c>
      <c r="L6636" s="24" t="s">
        <v>21</v>
      </c>
      <c r="M6636" s="24" t="s">
        <v>21</v>
      </c>
      <c r="N6636" s="24" t="s">
        <v>21</v>
      </c>
      <c r="O6636" s="24" t="s">
        <v>21</v>
      </c>
      <c r="P6636" s="24" t="s">
        <v>21</v>
      </c>
      <c r="Q6636" s="24" t="s">
        <v>21</v>
      </c>
      <c r="R6636" s="24" t="s">
        <v>21</v>
      </c>
      <c r="S6636" s="24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5">
        <v>1</v>
      </c>
      <c r="E6637" s="5">
        <v>0</v>
      </c>
      <c r="F6637" s="5" t="s">
        <v>8</v>
      </c>
      <c r="G6637" s="15" t="s">
        <v>9</v>
      </c>
      <c r="H6637" s="24">
        <v>1.000000003259629</v>
      </c>
      <c r="I6637" s="24" t="s">
        <v>21</v>
      </c>
      <c r="J6637" s="24">
        <v>1.000000003259629</v>
      </c>
      <c r="K6637" s="24" t="s">
        <v>21</v>
      </c>
      <c r="L6637" s="24" t="s">
        <v>21</v>
      </c>
      <c r="M6637" s="24" t="s">
        <v>21</v>
      </c>
      <c r="N6637" s="24" t="s">
        <v>21</v>
      </c>
      <c r="O6637" s="24" t="s">
        <v>21</v>
      </c>
      <c r="P6637" s="24" t="s">
        <v>21</v>
      </c>
      <c r="Q6637" s="24" t="s">
        <v>21</v>
      </c>
      <c r="R6637" s="24" t="s">
        <v>21</v>
      </c>
      <c r="S6637" s="24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5">
        <v>1</v>
      </c>
      <c r="E6638" s="5">
        <v>0</v>
      </c>
      <c r="F6638" s="5" t="s">
        <v>8</v>
      </c>
      <c r="G6638" s="15" t="s">
        <v>9</v>
      </c>
      <c r="H6638" s="24">
        <v>0</v>
      </c>
      <c r="I6638" s="24" t="s">
        <v>21</v>
      </c>
      <c r="J6638" s="24" t="s">
        <v>21</v>
      </c>
      <c r="K6638" s="24">
        <v>1.000000003259629</v>
      </c>
      <c r="L6638" s="24" t="s">
        <v>21</v>
      </c>
      <c r="M6638" s="24" t="s">
        <v>21</v>
      </c>
      <c r="N6638" s="24" t="s">
        <v>21</v>
      </c>
      <c r="O6638" s="24" t="s">
        <v>21</v>
      </c>
      <c r="P6638" s="24" t="s">
        <v>21</v>
      </c>
      <c r="Q6638" s="24" t="s">
        <v>21</v>
      </c>
      <c r="R6638" s="24" t="s">
        <v>21</v>
      </c>
      <c r="S6638" s="24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5">
        <v>0</v>
      </c>
      <c r="E6639" s="5">
        <v>0</v>
      </c>
      <c r="F6639" s="5" t="s">
        <v>8</v>
      </c>
      <c r="G6639" s="15" t="s">
        <v>9</v>
      </c>
      <c r="H6639" s="24">
        <v>0</v>
      </c>
      <c r="I6639" s="24" t="s">
        <v>21</v>
      </c>
      <c r="J6639" s="24">
        <v>0</v>
      </c>
      <c r="K6639" s="24" t="s">
        <v>21</v>
      </c>
      <c r="L6639" s="24" t="s">
        <v>21</v>
      </c>
      <c r="M6639" s="24" t="s">
        <v>21</v>
      </c>
      <c r="N6639" s="24" t="s">
        <v>21</v>
      </c>
      <c r="O6639" s="24" t="s">
        <v>21</v>
      </c>
      <c r="P6639" s="24" t="s">
        <v>21</v>
      </c>
      <c r="Q6639" s="24" t="s">
        <v>21</v>
      </c>
      <c r="R6639" s="24" t="s">
        <v>21</v>
      </c>
      <c r="S6639" s="24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5">
        <v>2</v>
      </c>
      <c r="E6640" s="5">
        <v>0</v>
      </c>
      <c r="F6640" s="5" t="s">
        <v>8</v>
      </c>
      <c r="G6640" s="15" t="s">
        <v>9</v>
      </c>
      <c r="H6640" s="24">
        <v>0</v>
      </c>
      <c r="I6640" s="24" t="s">
        <v>21</v>
      </c>
      <c r="J6640" s="24">
        <v>0</v>
      </c>
      <c r="K6640" s="24" t="s">
        <v>21</v>
      </c>
      <c r="L6640" s="24" t="s">
        <v>21</v>
      </c>
      <c r="M6640" s="24" t="s">
        <v>21</v>
      </c>
      <c r="N6640" s="24" t="s">
        <v>21</v>
      </c>
      <c r="O6640" s="24" t="s">
        <v>21</v>
      </c>
      <c r="P6640" s="24" t="s">
        <v>21</v>
      </c>
      <c r="Q6640" s="24" t="s">
        <v>21</v>
      </c>
      <c r="R6640" s="24" t="s">
        <v>21</v>
      </c>
      <c r="S6640" s="24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5">
        <v>2</v>
      </c>
      <c r="E6641" s="5">
        <v>0</v>
      </c>
      <c r="F6641" s="5" t="s">
        <v>8</v>
      </c>
      <c r="G6641" s="15" t="s">
        <v>9</v>
      </c>
      <c r="H6641" s="24">
        <v>0</v>
      </c>
      <c r="I6641" s="24" t="s">
        <v>21</v>
      </c>
      <c r="J6641" s="24">
        <v>0</v>
      </c>
      <c r="K6641" s="24" t="s">
        <v>21</v>
      </c>
      <c r="L6641" s="24" t="s">
        <v>21</v>
      </c>
      <c r="M6641" s="24" t="s">
        <v>21</v>
      </c>
      <c r="N6641" s="24" t="s">
        <v>21</v>
      </c>
      <c r="O6641" s="24" t="s">
        <v>21</v>
      </c>
      <c r="P6641" s="24" t="s">
        <v>21</v>
      </c>
      <c r="Q6641" s="24" t="s">
        <v>21</v>
      </c>
      <c r="R6641" s="24" t="s">
        <v>21</v>
      </c>
      <c r="S6641" s="24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5">
        <v>0</v>
      </c>
      <c r="E6642" s="5">
        <v>1</v>
      </c>
      <c r="F6642" s="5" t="s">
        <v>8</v>
      </c>
      <c r="G6642" s="15" t="s">
        <v>9</v>
      </c>
      <c r="H6642" s="24">
        <v>0</v>
      </c>
      <c r="I6642" s="24" t="s">
        <v>21</v>
      </c>
      <c r="J6642" s="24" t="s">
        <v>21</v>
      </c>
      <c r="K6642" s="24">
        <v>0</v>
      </c>
      <c r="L6642" s="24" t="s">
        <v>21</v>
      </c>
      <c r="M6642" s="24" t="s">
        <v>21</v>
      </c>
      <c r="N6642" s="24" t="s">
        <v>21</v>
      </c>
      <c r="O6642" s="24" t="s">
        <v>21</v>
      </c>
      <c r="P6642" s="24" t="s">
        <v>21</v>
      </c>
      <c r="Q6642" s="24" t="s">
        <v>21</v>
      </c>
      <c r="R6642" s="24" t="s">
        <v>21</v>
      </c>
      <c r="S6642" s="24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5">
        <v>1</v>
      </c>
      <c r="E6643" s="5">
        <v>0</v>
      </c>
      <c r="F6643" s="5" t="s">
        <v>8</v>
      </c>
      <c r="G6643" s="15" t="s">
        <v>9</v>
      </c>
      <c r="H6643" s="24">
        <v>0</v>
      </c>
      <c r="I6643" s="24" t="s">
        <v>21</v>
      </c>
      <c r="J6643" s="24">
        <v>0</v>
      </c>
      <c r="K6643" s="24" t="s">
        <v>21</v>
      </c>
      <c r="L6643" s="24" t="s">
        <v>21</v>
      </c>
      <c r="M6643" s="24" t="s">
        <v>21</v>
      </c>
      <c r="N6643" s="24" t="s">
        <v>21</v>
      </c>
      <c r="O6643" s="24" t="s">
        <v>21</v>
      </c>
      <c r="P6643" s="24" t="s">
        <v>21</v>
      </c>
      <c r="Q6643" s="24" t="s">
        <v>21</v>
      </c>
      <c r="R6643" s="24" t="s">
        <v>21</v>
      </c>
      <c r="S6643" s="24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5">
        <v>1</v>
      </c>
      <c r="E6644" s="5">
        <v>0</v>
      </c>
      <c r="F6644" s="5" t="s">
        <v>8</v>
      </c>
      <c r="G6644" s="15" t="s">
        <v>9</v>
      </c>
      <c r="H6644" s="24">
        <v>0.99999999278225005</v>
      </c>
      <c r="I6644" s="24" t="s">
        <v>21</v>
      </c>
      <c r="J6644" s="24">
        <v>0.99999999278225005</v>
      </c>
      <c r="K6644" s="24" t="s">
        <v>21</v>
      </c>
      <c r="L6644" s="24" t="s">
        <v>21</v>
      </c>
      <c r="M6644" s="24" t="s">
        <v>21</v>
      </c>
      <c r="N6644" s="24" t="s">
        <v>21</v>
      </c>
      <c r="O6644" s="24" t="s">
        <v>21</v>
      </c>
      <c r="P6644" s="24" t="s">
        <v>21</v>
      </c>
      <c r="Q6644" s="24" t="s">
        <v>21</v>
      </c>
      <c r="R6644" s="24" t="s">
        <v>21</v>
      </c>
      <c r="S6644" s="24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5">
        <v>3</v>
      </c>
      <c r="E6645" s="5">
        <v>0</v>
      </c>
      <c r="F6645" s="5" t="s">
        <v>8</v>
      </c>
      <c r="G6645" s="15" t="s">
        <v>9</v>
      </c>
      <c r="H6645" s="24">
        <v>1.000000003259629</v>
      </c>
      <c r="I6645" s="24" t="s">
        <v>21</v>
      </c>
      <c r="J6645" s="24" t="s">
        <v>21</v>
      </c>
      <c r="K6645" s="24">
        <v>1.9999999960418791</v>
      </c>
      <c r="L6645" s="24" t="s">
        <v>21</v>
      </c>
      <c r="M6645" s="24" t="s">
        <v>21</v>
      </c>
      <c r="N6645" s="24" t="s">
        <v>21</v>
      </c>
      <c r="O6645" s="24" t="s">
        <v>21</v>
      </c>
      <c r="P6645" s="24" t="s">
        <v>21</v>
      </c>
      <c r="Q6645" s="24" t="s">
        <v>21</v>
      </c>
      <c r="R6645" s="24" t="s">
        <v>21</v>
      </c>
      <c r="S6645" s="24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5">
        <v>2</v>
      </c>
      <c r="E6646" s="5">
        <v>0</v>
      </c>
      <c r="F6646" s="5" t="s">
        <v>8</v>
      </c>
      <c r="G6646" s="15" t="s">
        <v>9</v>
      </c>
      <c r="H6646" s="24">
        <v>0</v>
      </c>
      <c r="I6646" s="24" t="s">
        <v>21</v>
      </c>
      <c r="J6646" s="24">
        <v>1.000000003259629</v>
      </c>
      <c r="K6646" s="24" t="s">
        <v>21</v>
      </c>
      <c r="L6646" s="24" t="s">
        <v>21</v>
      </c>
      <c r="M6646" s="24" t="s">
        <v>21</v>
      </c>
      <c r="N6646" s="24" t="s">
        <v>21</v>
      </c>
      <c r="O6646" s="24" t="s">
        <v>21</v>
      </c>
      <c r="P6646" s="24" t="s">
        <v>21</v>
      </c>
      <c r="Q6646" s="24" t="s">
        <v>21</v>
      </c>
      <c r="R6646" s="24" t="s">
        <v>21</v>
      </c>
      <c r="S6646" s="24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5">
        <v>2</v>
      </c>
      <c r="E6647" s="5">
        <v>0</v>
      </c>
      <c r="F6647" s="5" t="s">
        <v>8</v>
      </c>
      <c r="G6647" s="15" t="s">
        <v>9</v>
      </c>
      <c r="H6647" s="24">
        <v>1.9999999960418791</v>
      </c>
      <c r="I6647" s="24" t="s">
        <v>21</v>
      </c>
      <c r="J6647" s="24" t="s">
        <v>21</v>
      </c>
      <c r="K6647" s="24">
        <v>1.9999999960418791</v>
      </c>
      <c r="L6647" s="24" t="s">
        <v>21</v>
      </c>
      <c r="M6647" s="24" t="s">
        <v>21</v>
      </c>
      <c r="N6647" s="24" t="s">
        <v>21</v>
      </c>
      <c r="O6647" s="24" t="s">
        <v>21</v>
      </c>
      <c r="P6647" s="24" t="s">
        <v>21</v>
      </c>
      <c r="Q6647" s="24" t="s">
        <v>21</v>
      </c>
      <c r="R6647" s="24" t="s">
        <v>21</v>
      </c>
      <c r="S6647" s="24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5">
        <v>3</v>
      </c>
      <c r="E6648" s="5">
        <v>0</v>
      </c>
      <c r="F6648" s="5" t="s">
        <v>8</v>
      </c>
      <c r="G6648" s="15" t="s">
        <v>9</v>
      </c>
      <c r="H6648" s="24">
        <v>0</v>
      </c>
      <c r="I6648" s="24" t="s">
        <v>21</v>
      </c>
      <c r="J6648" s="24">
        <v>1.9999999960418791</v>
      </c>
      <c r="K6648" s="24" t="s">
        <v>21</v>
      </c>
      <c r="L6648" s="24" t="s">
        <v>21</v>
      </c>
      <c r="M6648" s="24" t="s">
        <v>21</v>
      </c>
      <c r="N6648" s="24" t="s">
        <v>21</v>
      </c>
      <c r="O6648" s="24" t="s">
        <v>21</v>
      </c>
      <c r="P6648" s="24" t="s">
        <v>21</v>
      </c>
      <c r="Q6648" s="24" t="s">
        <v>21</v>
      </c>
      <c r="R6648" s="24" t="s">
        <v>21</v>
      </c>
      <c r="S6648" s="24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5">
        <v>0</v>
      </c>
      <c r="E6649" s="5">
        <v>0</v>
      </c>
      <c r="F6649" s="5" t="s">
        <v>8</v>
      </c>
      <c r="G6649" s="15" t="s">
        <v>9</v>
      </c>
      <c r="H6649" s="24">
        <v>0</v>
      </c>
      <c r="I6649" s="24" t="s">
        <v>21</v>
      </c>
      <c r="J6649" s="24">
        <v>0</v>
      </c>
      <c r="K6649" s="24" t="s">
        <v>21</v>
      </c>
      <c r="L6649" s="24" t="s">
        <v>21</v>
      </c>
      <c r="M6649" s="24" t="s">
        <v>21</v>
      </c>
      <c r="N6649" s="24" t="s">
        <v>21</v>
      </c>
      <c r="O6649" s="24" t="s">
        <v>21</v>
      </c>
      <c r="P6649" s="24" t="s">
        <v>21</v>
      </c>
      <c r="Q6649" s="24" t="s">
        <v>21</v>
      </c>
      <c r="R6649" s="24" t="s">
        <v>21</v>
      </c>
      <c r="S6649" s="24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5">
        <v>6</v>
      </c>
      <c r="E6650" s="5">
        <v>0</v>
      </c>
      <c r="F6650" s="5" t="s">
        <v>8</v>
      </c>
      <c r="G6650" s="15" t="s">
        <v>9</v>
      </c>
      <c r="H6650" s="24">
        <v>0</v>
      </c>
      <c r="I6650" s="24" t="s">
        <v>21</v>
      </c>
      <c r="J6650" s="24">
        <v>0</v>
      </c>
      <c r="K6650" s="24" t="s">
        <v>21</v>
      </c>
      <c r="L6650" s="24" t="s">
        <v>21</v>
      </c>
      <c r="M6650" s="24" t="s">
        <v>21</v>
      </c>
      <c r="N6650" s="24" t="s">
        <v>21</v>
      </c>
      <c r="O6650" s="24" t="s">
        <v>21</v>
      </c>
      <c r="P6650" s="24" t="s">
        <v>21</v>
      </c>
      <c r="Q6650" s="24" t="s">
        <v>21</v>
      </c>
      <c r="R6650" s="24" t="s">
        <v>21</v>
      </c>
      <c r="S6650" s="24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5">
        <v>3</v>
      </c>
      <c r="E6651" s="5">
        <v>0</v>
      </c>
      <c r="F6651" s="5" t="s">
        <v>8</v>
      </c>
      <c r="G6651" s="15" t="s">
        <v>9</v>
      </c>
      <c r="H6651" s="24">
        <v>0</v>
      </c>
      <c r="I6651" s="24" t="s">
        <v>21</v>
      </c>
      <c r="J6651" s="24" t="s">
        <v>21</v>
      </c>
      <c r="K6651" s="24">
        <v>0</v>
      </c>
      <c r="L6651" s="24" t="s">
        <v>21</v>
      </c>
      <c r="M6651" s="24" t="s">
        <v>21</v>
      </c>
      <c r="N6651" s="24" t="s">
        <v>21</v>
      </c>
      <c r="O6651" s="24" t="s">
        <v>21</v>
      </c>
      <c r="P6651" s="24" t="s">
        <v>21</v>
      </c>
      <c r="Q6651" s="24" t="s">
        <v>21</v>
      </c>
      <c r="R6651" s="24" t="s">
        <v>21</v>
      </c>
      <c r="S6651" s="24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5">
        <v>1</v>
      </c>
      <c r="E6652" s="5">
        <v>0</v>
      </c>
      <c r="F6652" s="5" t="s">
        <v>8</v>
      </c>
      <c r="G6652" s="15" t="s">
        <v>9</v>
      </c>
      <c r="H6652" s="24">
        <v>0</v>
      </c>
      <c r="I6652" s="24" t="s">
        <v>21</v>
      </c>
      <c r="J6652" s="24">
        <v>0</v>
      </c>
      <c r="K6652" s="24" t="s">
        <v>21</v>
      </c>
      <c r="L6652" s="24" t="s">
        <v>21</v>
      </c>
      <c r="M6652" s="24" t="s">
        <v>21</v>
      </c>
      <c r="N6652" s="24" t="s">
        <v>21</v>
      </c>
      <c r="O6652" s="24" t="s">
        <v>21</v>
      </c>
      <c r="P6652" s="24" t="s">
        <v>21</v>
      </c>
      <c r="Q6652" s="24" t="s">
        <v>21</v>
      </c>
      <c r="R6652" s="24" t="s">
        <v>21</v>
      </c>
      <c r="S6652" s="24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5">
        <v>2</v>
      </c>
      <c r="E6653" s="5">
        <v>0</v>
      </c>
      <c r="F6653" s="5" t="s">
        <v>8</v>
      </c>
      <c r="G6653" s="15" t="s">
        <v>9</v>
      </c>
      <c r="H6653" s="24">
        <v>3.000000009778887</v>
      </c>
      <c r="I6653" s="24" t="s">
        <v>21</v>
      </c>
      <c r="J6653" s="24">
        <v>3.000000009778887</v>
      </c>
      <c r="K6653" s="24" t="s">
        <v>21</v>
      </c>
      <c r="L6653" s="24" t="s">
        <v>21</v>
      </c>
      <c r="M6653" s="24" t="s">
        <v>21</v>
      </c>
      <c r="N6653" s="24" t="s">
        <v>21</v>
      </c>
      <c r="O6653" s="24" t="s">
        <v>21</v>
      </c>
      <c r="P6653" s="24" t="s">
        <v>21</v>
      </c>
      <c r="Q6653" s="24" t="s">
        <v>21</v>
      </c>
      <c r="R6653" s="24" t="s">
        <v>21</v>
      </c>
      <c r="S6653" s="24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5">
        <v>1</v>
      </c>
      <c r="E6654" s="5">
        <v>0</v>
      </c>
      <c r="F6654" s="5" t="s">
        <v>8</v>
      </c>
      <c r="G6654" s="15" t="s">
        <v>9</v>
      </c>
      <c r="H6654" s="24">
        <v>0.99999999278225005</v>
      </c>
      <c r="I6654" s="24" t="s">
        <v>21</v>
      </c>
      <c r="J6654" s="24">
        <v>0.99999999278225005</v>
      </c>
      <c r="K6654" s="24" t="s">
        <v>21</v>
      </c>
      <c r="L6654" s="24" t="s">
        <v>21</v>
      </c>
      <c r="M6654" s="24" t="s">
        <v>21</v>
      </c>
      <c r="N6654" s="24" t="s">
        <v>21</v>
      </c>
      <c r="O6654" s="24" t="s">
        <v>21</v>
      </c>
      <c r="P6654" s="24" t="s">
        <v>21</v>
      </c>
      <c r="Q6654" s="24" t="s">
        <v>21</v>
      </c>
      <c r="R6654" s="24" t="s">
        <v>21</v>
      </c>
      <c r="S6654" s="24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5">
        <v>2</v>
      </c>
      <c r="E6655" s="5">
        <v>0</v>
      </c>
      <c r="F6655" s="5" t="s">
        <v>8</v>
      </c>
      <c r="G6655" s="15" t="s">
        <v>9</v>
      </c>
      <c r="H6655" s="24">
        <v>0</v>
      </c>
      <c r="I6655" s="24" t="s">
        <v>21</v>
      </c>
      <c r="J6655" s="24" t="s">
        <v>21</v>
      </c>
      <c r="K6655" s="24">
        <v>4.0000000025611371</v>
      </c>
      <c r="L6655" s="24" t="s">
        <v>21</v>
      </c>
      <c r="M6655" s="24" t="s">
        <v>21</v>
      </c>
      <c r="N6655" s="24" t="s">
        <v>21</v>
      </c>
      <c r="O6655" s="24" t="s">
        <v>21</v>
      </c>
      <c r="P6655" s="24" t="s">
        <v>21</v>
      </c>
      <c r="Q6655" s="24" t="s">
        <v>21</v>
      </c>
      <c r="R6655" s="24" t="s">
        <v>21</v>
      </c>
      <c r="S6655" s="24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5">
        <v>6</v>
      </c>
      <c r="E6656" s="5">
        <v>0</v>
      </c>
      <c r="F6656" s="5" t="s">
        <v>8</v>
      </c>
      <c r="G6656" s="15" t="s">
        <v>9</v>
      </c>
      <c r="H6656" s="24">
        <v>0</v>
      </c>
      <c r="I6656" s="24" t="s">
        <v>21</v>
      </c>
      <c r="J6656" s="24">
        <v>0</v>
      </c>
      <c r="K6656" s="24" t="s">
        <v>21</v>
      </c>
      <c r="L6656" s="24" t="s">
        <v>21</v>
      </c>
      <c r="M6656" s="24" t="s">
        <v>21</v>
      </c>
      <c r="N6656" s="24" t="s">
        <v>21</v>
      </c>
      <c r="O6656" s="24" t="s">
        <v>21</v>
      </c>
      <c r="P6656" s="24" t="s">
        <v>21</v>
      </c>
      <c r="Q6656" s="24" t="s">
        <v>21</v>
      </c>
      <c r="R6656" s="24" t="s">
        <v>21</v>
      </c>
      <c r="S6656" s="24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5">
        <v>3</v>
      </c>
      <c r="E6657" s="5">
        <v>0</v>
      </c>
      <c r="F6657" s="5" t="s">
        <v>8</v>
      </c>
      <c r="G6657" s="15" t="s">
        <v>9</v>
      </c>
      <c r="H6657" s="24">
        <v>1.000000003259629</v>
      </c>
      <c r="I6657" s="24" t="s">
        <v>21</v>
      </c>
      <c r="J6657" s="24">
        <v>1.000000003259629</v>
      </c>
      <c r="K6657" s="24" t="s">
        <v>21</v>
      </c>
      <c r="L6657" s="24" t="s">
        <v>21</v>
      </c>
      <c r="M6657" s="24" t="s">
        <v>21</v>
      </c>
      <c r="N6657" s="24" t="s">
        <v>21</v>
      </c>
      <c r="O6657" s="24" t="s">
        <v>21</v>
      </c>
      <c r="P6657" s="24" t="s">
        <v>21</v>
      </c>
      <c r="Q6657" s="24" t="s">
        <v>21</v>
      </c>
      <c r="R6657" s="24" t="s">
        <v>21</v>
      </c>
      <c r="S6657" s="24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5">
        <v>3</v>
      </c>
      <c r="E6658" s="5">
        <v>0</v>
      </c>
      <c r="F6658" s="5" t="s">
        <v>8</v>
      </c>
      <c r="G6658" s="15" t="s">
        <v>9</v>
      </c>
      <c r="H6658" s="24">
        <v>0</v>
      </c>
      <c r="I6658" s="24" t="s">
        <v>21</v>
      </c>
      <c r="J6658" s="24">
        <v>0</v>
      </c>
      <c r="K6658" s="24" t="s">
        <v>21</v>
      </c>
      <c r="L6658" s="24" t="s">
        <v>21</v>
      </c>
      <c r="M6658" s="24" t="s">
        <v>21</v>
      </c>
      <c r="N6658" s="24" t="s">
        <v>21</v>
      </c>
      <c r="O6658" s="24" t="s">
        <v>21</v>
      </c>
      <c r="P6658" s="24" t="s">
        <v>21</v>
      </c>
      <c r="Q6658" s="24" t="s">
        <v>21</v>
      </c>
      <c r="R6658" s="24" t="s">
        <v>21</v>
      </c>
      <c r="S6658" s="24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5">
        <v>4</v>
      </c>
      <c r="E6659" s="5">
        <v>0</v>
      </c>
      <c r="F6659" s="5" t="s">
        <v>8</v>
      </c>
      <c r="G6659" s="15" t="s">
        <v>9</v>
      </c>
      <c r="H6659" s="24">
        <v>1.000000003259629</v>
      </c>
      <c r="I6659" s="24" t="s">
        <v>21</v>
      </c>
      <c r="J6659" s="24">
        <v>1.000000003259629</v>
      </c>
      <c r="K6659" s="24" t="s">
        <v>21</v>
      </c>
      <c r="L6659" s="24" t="s">
        <v>21</v>
      </c>
      <c r="M6659" s="24" t="s">
        <v>21</v>
      </c>
      <c r="N6659" s="24" t="s">
        <v>21</v>
      </c>
      <c r="O6659" s="24" t="s">
        <v>21</v>
      </c>
      <c r="P6659" s="24" t="s">
        <v>21</v>
      </c>
      <c r="Q6659" s="24" t="s">
        <v>21</v>
      </c>
      <c r="R6659" s="24" t="s">
        <v>21</v>
      </c>
      <c r="S6659" s="24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5">
        <v>0</v>
      </c>
      <c r="E6660" s="5">
        <v>1</v>
      </c>
      <c r="F6660" s="5" t="s">
        <v>8</v>
      </c>
      <c r="G6660" s="15" t="s">
        <v>9</v>
      </c>
      <c r="H6660" s="24">
        <v>0</v>
      </c>
      <c r="I6660" s="24" t="s">
        <v>21</v>
      </c>
      <c r="J6660" s="24">
        <v>0</v>
      </c>
      <c r="K6660" s="24" t="s">
        <v>21</v>
      </c>
      <c r="L6660" s="24" t="s">
        <v>21</v>
      </c>
      <c r="M6660" s="24" t="s">
        <v>21</v>
      </c>
      <c r="N6660" s="24" t="s">
        <v>21</v>
      </c>
      <c r="O6660" s="24" t="s">
        <v>21</v>
      </c>
      <c r="P6660" s="24" t="s">
        <v>21</v>
      </c>
      <c r="Q6660" s="24" t="s">
        <v>21</v>
      </c>
      <c r="R6660" s="24" t="s">
        <v>21</v>
      </c>
      <c r="S6660" s="24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5">
        <v>2</v>
      </c>
      <c r="E6661" s="5">
        <v>0</v>
      </c>
      <c r="F6661" s="5" t="s">
        <v>8</v>
      </c>
      <c r="G6661" s="15" t="s">
        <v>9</v>
      </c>
      <c r="H6661" s="24">
        <v>0</v>
      </c>
      <c r="I6661" s="24" t="s">
        <v>21</v>
      </c>
      <c r="J6661" s="24">
        <v>0</v>
      </c>
      <c r="K6661" s="24" t="s">
        <v>21</v>
      </c>
      <c r="L6661" s="24" t="s">
        <v>21</v>
      </c>
      <c r="M6661" s="24" t="s">
        <v>21</v>
      </c>
      <c r="N6661" s="24" t="s">
        <v>21</v>
      </c>
      <c r="O6661" s="24" t="s">
        <v>21</v>
      </c>
      <c r="P6661" s="24" t="s">
        <v>21</v>
      </c>
      <c r="Q6661" s="24" t="s">
        <v>21</v>
      </c>
      <c r="R6661" s="24" t="s">
        <v>21</v>
      </c>
      <c r="S6661" s="24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5">
        <v>3</v>
      </c>
      <c r="E6662" s="5">
        <v>0</v>
      </c>
      <c r="F6662" s="5" t="s">
        <v>8</v>
      </c>
      <c r="G6662" s="15" t="s">
        <v>9</v>
      </c>
      <c r="H6662" s="24">
        <v>0.99999999278225005</v>
      </c>
      <c r="I6662" s="24" t="s">
        <v>21</v>
      </c>
      <c r="J6662" s="24">
        <v>0.99999999278225005</v>
      </c>
      <c r="K6662" s="24" t="s">
        <v>21</v>
      </c>
      <c r="L6662" s="24" t="s">
        <v>21</v>
      </c>
      <c r="M6662" s="24" t="s">
        <v>21</v>
      </c>
      <c r="N6662" s="24" t="s">
        <v>21</v>
      </c>
      <c r="O6662" s="24" t="s">
        <v>21</v>
      </c>
      <c r="P6662" s="24" t="s">
        <v>21</v>
      </c>
      <c r="Q6662" s="24" t="s">
        <v>21</v>
      </c>
      <c r="R6662" s="24" t="s">
        <v>21</v>
      </c>
      <c r="S6662" s="24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5">
        <v>0</v>
      </c>
      <c r="E6663" s="5">
        <v>0</v>
      </c>
      <c r="F6663" s="5" t="s">
        <v>8</v>
      </c>
      <c r="G6663" s="15" t="s">
        <v>9</v>
      </c>
      <c r="H6663" s="24">
        <v>0</v>
      </c>
      <c r="I6663" s="24" t="s">
        <v>21</v>
      </c>
      <c r="J6663" s="24">
        <v>0</v>
      </c>
      <c r="K6663" s="24" t="s">
        <v>21</v>
      </c>
      <c r="L6663" s="24" t="s">
        <v>21</v>
      </c>
      <c r="M6663" s="24" t="s">
        <v>21</v>
      </c>
      <c r="N6663" s="24" t="s">
        <v>21</v>
      </c>
      <c r="O6663" s="24" t="s">
        <v>21</v>
      </c>
      <c r="P6663" s="24" t="s">
        <v>21</v>
      </c>
      <c r="Q6663" s="24" t="s">
        <v>21</v>
      </c>
      <c r="R6663" s="24" t="s">
        <v>21</v>
      </c>
      <c r="S6663" s="24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5">
        <v>1</v>
      </c>
      <c r="E6664" s="5">
        <v>0</v>
      </c>
      <c r="F6664" s="5" t="s">
        <v>8</v>
      </c>
      <c r="G6664" s="15" t="s">
        <v>9</v>
      </c>
      <c r="H6664" s="24">
        <v>1.000000003259629</v>
      </c>
      <c r="I6664" s="24" t="s">
        <v>21</v>
      </c>
      <c r="J6664" s="24">
        <v>1.000000003259629</v>
      </c>
      <c r="K6664" s="24" t="s">
        <v>21</v>
      </c>
      <c r="L6664" s="24" t="s">
        <v>21</v>
      </c>
      <c r="M6664" s="24" t="s">
        <v>21</v>
      </c>
      <c r="N6664" s="24" t="s">
        <v>21</v>
      </c>
      <c r="O6664" s="24" t="s">
        <v>21</v>
      </c>
      <c r="P6664" s="24" t="s">
        <v>21</v>
      </c>
      <c r="Q6664" s="24" t="s">
        <v>21</v>
      </c>
      <c r="R6664" s="24" t="s">
        <v>21</v>
      </c>
      <c r="S6664" s="24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5">
        <v>3</v>
      </c>
      <c r="E6665" s="5">
        <v>0</v>
      </c>
      <c r="F6665" s="5" t="s">
        <v>8</v>
      </c>
      <c r="G6665" s="15" t="s">
        <v>9</v>
      </c>
      <c r="H6665" s="24">
        <v>0</v>
      </c>
      <c r="I6665" s="24" t="s">
        <v>21</v>
      </c>
      <c r="J6665" s="24">
        <v>0</v>
      </c>
      <c r="K6665" s="24" t="s">
        <v>21</v>
      </c>
      <c r="L6665" s="24" t="s">
        <v>21</v>
      </c>
      <c r="M6665" s="24" t="s">
        <v>21</v>
      </c>
      <c r="N6665" s="24" t="s">
        <v>21</v>
      </c>
      <c r="O6665" s="24" t="s">
        <v>21</v>
      </c>
      <c r="P6665" s="24" t="s">
        <v>21</v>
      </c>
      <c r="Q6665" s="24" t="s">
        <v>21</v>
      </c>
      <c r="R6665" s="24" t="s">
        <v>21</v>
      </c>
      <c r="S6665" s="24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5">
        <v>2</v>
      </c>
      <c r="E6666" s="5">
        <v>0</v>
      </c>
      <c r="F6666" s="5" t="s">
        <v>8</v>
      </c>
      <c r="G6666" s="15" t="s">
        <v>9</v>
      </c>
      <c r="H6666" s="24">
        <v>0</v>
      </c>
      <c r="I6666" s="24" t="s">
        <v>21</v>
      </c>
      <c r="J6666" s="24">
        <v>0</v>
      </c>
      <c r="K6666" s="24" t="s">
        <v>21</v>
      </c>
      <c r="L6666" s="24" t="s">
        <v>21</v>
      </c>
      <c r="M6666" s="24" t="s">
        <v>21</v>
      </c>
      <c r="N6666" s="24" t="s">
        <v>21</v>
      </c>
      <c r="O6666" s="24" t="s">
        <v>21</v>
      </c>
      <c r="P6666" s="24" t="s">
        <v>21</v>
      </c>
      <c r="Q6666" s="24" t="s">
        <v>21</v>
      </c>
      <c r="R6666" s="24" t="s">
        <v>21</v>
      </c>
      <c r="S6666" s="24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5">
        <v>0</v>
      </c>
      <c r="E6667" s="5">
        <v>0</v>
      </c>
      <c r="F6667" s="5" t="s">
        <v>8</v>
      </c>
      <c r="G6667" s="15" t="s">
        <v>9</v>
      </c>
      <c r="H6667" s="24">
        <v>1.000000003259629</v>
      </c>
      <c r="I6667" s="24" t="s">
        <v>21</v>
      </c>
      <c r="J6667" s="24">
        <v>1.000000003259629</v>
      </c>
      <c r="K6667" s="24" t="s">
        <v>21</v>
      </c>
      <c r="L6667" s="24" t="s">
        <v>21</v>
      </c>
      <c r="M6667" s="24" t="s">
        <v>21</v>
      </c>
      <c r="N6667" s="24" t="s">
        <v>21</v>
      </c>
      <c r="O6667" s="24" t="s">
        <v>21</v>
      </c>
      <c r="P6667" s="24" t="s">
        <v>21</v>
      </c>
      <c r="Q6667" s="24" t="s">
        <v>21</v>
      </c>
      <c r="R6667" s="24" t="s">
        <v>21</v>
      </c>
      <c r="S6667" s="24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5">
        <v>1</v>
      </c>
      <c r="E6668" s="5">
        <v>0</v>
      </c>
      <c r="F6668" s="5" t="s">
        <v>8</v>
      </c>
      <c r="G6668" s="15" t="s">
        <v>9</v>
      </c>
      <c r="H6668" s="24">
        <v>0</v>
      </c>
      <c r="I6668" s="24" t="s">
        <v>21</v>
      </c>
      <c r="J6668" s="24">
        <v>0</v>
      </c>
      <c r="K6668" s="24" t="s">
        <v>21</v>
      </c>
      <c r="L6668" s="24" t="s">
        <v>21</v>
      </c>
      <c r="M6668" s="24" t="s">
        <v>21</v>
      </c>
      <c r="N6668" s="24" t="s">
        <v>21</v>
      </c>
      <c r="O6668" s="24" t="s">
        <v>21</v>
      </c>
      <c r="P6668" s="24" t="s">
        <v>21</v>
      </c>
      <c r="Q6668" s="24" t="s">
        <v>21</v>
      </c>
      <c r="R6668" s="24" t="s">
        <v>21</v>
      </c>
      <c r="S6668" s="24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5">
        <v>3</v>
      </c>
      <c r="E6669" s="5">
        <v>0</v>
      </c>
      <c r="F6669" s="5" t="s">
        <v>8</v>
      </c>
      <c r="G6669" s="15" t="s">
        <v>9</v>
      </c>
      <c r="H6669" s="24">
        <v>0</v>
      </c>
      <c r="I6669" s="24" t="s">
        <v>21</v>
      </c>
      <c r="J6669" s="24">
        <v>0</v>
      </c>
      <c r="K6669" s="24" t="s">
        <v>21</v>
      </c>
      <c r="L6669" s="24" t="s">
        <v>21</v>
      </c>
      <c r="M6669" s="24" t="s">
        <v>21</v>
      </c>
      <c r="N6669" s="24" t="s">
        <v>21</v>
      </c>
      <c r="O6669" s="24" t="s">
        <v>21</v>
      </c>
      <c r="P6669" s="24" t="s">
        <v>21</v>
      </c>
      <c r="Q6669" s="24" t="s">
        <v>21</v>
      </c>
      <c r="R6669" s="24" t="s">
        <v>21</v>
      </c>
      <c r="S6669" s="24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5">
        <v>2</v>
      </c>
      <c r="E6670" s="5">
        <v>0</v>
      </c>
      <c r="F6670" s="5" t="s">
        <v>8</v>
      </c>
      <c r="G6670" s="15" t="s">
        <v>9</v>
      </c>
      <c r="H6670" s="24">
        <v>0</v>
      </c>
      <c r="I6670" s="24" t="s">
        <v>21</v>
      </c>
      <c r="J6670" s="24">
        <v>0</v>
      </c>
      <c r="K6670" s="24" t="s">
        <v>21</v>
      </c>
      <c r="L6670" s="24" t="s">
        <v>21</v>
      </c>
      <c r="M6670" s="24" t="s">
        <v>21</v>
      </c>
      <c r="N6670" s="24" t="s">
        <v>21</v>
      </c>
      <c r="O6670" s="24" t="s">
        <v>21</v>
      </c>
      <c r="P6670" s="24" t="s">
        <v>21</v>
      </c>
      <c r="Q6670" s="24" t="s">
        <v>21</v>
      </c>
      <c r="R6670" s="24" t="s">
        <v>21</v>
      </c>
      <c r="S6670" s="24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5">
        <v>3</v>
      </c>
      <c r="E6671" s="5">
        <v>0</v>
      </c>
      <c r="F6671" s="5" t="s">
        <v>8</v>
      </c>
      <c r="G6671" s="15" t="s">
        <v>9</v>
      </c>
      <c r="H6671" s="24">
        <v>0</v>
      </c>
      <c r="I6671" s="24" t="s">
        <v>21</v>
      </c>
      <c r="J6671" s="24" t="s">
        <v>21</v>
      </c>
      <c r="K6671" s="24">
        <v>5.0000000058207661</v>
      </c>
      <c r="L6671" s="24" t="s">
        <v>21</v>
      </c>
      <c r="M6671" s="24" t="s">
        <v>21</v>
      </c>
      <c r="N6671" s="24" t="s">
        <v>21</v>
      </c>
      <c r="O6671" s="24" t="s">
        <v>21</v>
      </c>
      <c r="P6671" s="24" t="s">
        <v>21</v>
      </c>
      <c r="Q6671" s="24" t="s">
        <v>21</v>
      </c>
      <c r="R6671" s="24" t="s">
        <v>21</v>
      </c>
      <c r="S6671" s="24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5">
        <v>1</v>
      </c>
      <c r="E6672" s="5">
        <v>0</v>
      </c>
      <c r="F6672" s="5" t="s">
        <v>8</v>
      </c>
      <c r="G6672" s="15" t="s">
        <v>9</v>
      </c>
      <c r="H6672" s="24">
        <v>0</v>
      </c>
      <c r="I6672" s="24" t="s">
        <v>21</v>
      </c>
      <c r="J6672" s="24">
        <v>0</v>
      </c>
      <c r="K6672" s="24" t="s">
        <v>21</v>
      </c>
      <c r="L6672" s="24" t="s">
        <v>21</v>
      </c>
      <c r="M6672" s="24" t="s">
        <v>21</v>
      </c>
      <c r="N6672" s="24" t="s">
        <v>21</v>
      </c>
      <c r="O6672" s="24" t="s">
        <v>21</v>
      </c>
      <c r="P6672" s="24" t="s">
        <v>21</v>
      </c>
      <c r="Q6672" s="24" t="s">
        <v>21</v>
      </c>
      <c r="R6672" s="24" t="s">
        <v>21</v>
      </c>
      <c r="S6672" s="24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5">
        <v>5</v>
      </c>
      <c r="E6673" s="5">
        <v>0</v>
      </c>
      <c r="F6673" s="5" t="s">
        <v>8</v>
      </c>
      <c r="G6673" s="15" t="s">
        <v>9</v>
      </c>
      <c r="H6673" s="24">
        <v>1.9999999960418791</v>
      </c>
      <c r="I6673" s="24" t="s">
        <v>21</v>
      </c>
      <c r="J6673" s="24">
        <v>1.9999999960418791</v>
      </c>
      <c r="K6673" s="24" t="s">
        <v>21</v>
      </c>
      <c r="L6673" s="24" t="s">
        <v>21</v>
      </c>
      <c r="M6673" s="24" t="s">
        <v>21</v>
      </c>
      <c r="N6673" s="24" t="s">
        <v>21</v>
      </c>
      <c r="O6673" s="24" t="s">
        <v>21</v>
      </c>
      <c r="P6673" s="24" t="s">
        <v>21</v>
      </c>
      <c r="Q6673" s="24" t="s">
        <v>21</v>
      </c>
      <c r="R6673" s="24" t="s">
        <v>21</v>
      </c>
      <c r="S6673" s="24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5">
        <v>1</v>
      </c>
      <c r="E6674" s="5">
        <v>0</v>
      </c>
      <c r="F6674" s="5" t="s">
        <v>8</v>
      </c>
      <c r="G6674" s="15" t="s">
        <v>9</v>
      </c>
      <c r="H6674" s="24">
        <v>0</v>
      </c>
      <c r="I6674" s="24" t="s">
        <v>21</v>
      </c>
      <c r="J6674" s="24" t="s">
        <v>21</v>
      </c>
      <c r="K6674" s="24">
        <v>1.9999999960418791</v>
      </c>
      <c r="L6674" s="24" t="s">
        <v>21</v>
      </c>
      <c r="M6674" s="24" t="s">
        <v>21</v>
      </c>
      <c r="N6674" s="24" t="s">
        <v>21</v>
      </c>
      <c r="O6674" s="24" t="s">
        <v>21</v>
      </c>
      <c r="P6674" s="24" t="s">
        <v>21</v>
      </c>
      <c r="Q6674" s="24" t="s">
        <v>21</v>
      </c>
      <c r="R6674" s="24" t="s">
        <v>21</v>
      </c>
      <c r="S6674" s="24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5">
        <v>1</v>
      </c>
      <c r="E6675" s="5">
        <v>0</v>
      </c>
      <c r="F6675" s="5" t="s">
        <v>8</v>
      </c>
      <c r="G6675" s="15" t="s">
        <v>9</v>
      </c>
      <c r="H6675" s="24">
        <v>0</v>
      </c>
      <c r="I6675" s="24" t="s">
        <v>21</v>
      </c>
      <c r="J6675" s="24">
        <v>0</v>
      </c>
      <c r="K6675" s="24" t="s">
        <v>21</v>
      </c>
      <c r="L6675" s="24" t="s">
        <v>21</v>
      </c>
      <c r="M6675" s="24" t="s">
        <v>21</v>
      </c>
      <c r="N6675" s="24" t="s">
        <v>21</v>
      </c>
      <c r="O6675" s="24" t="s">
        <v>21</v>
      </c>
      <c r="P6675" s="24" t="s">
        <v>21</v>
      </c>
      <c r="Q6675" s="24" t="s">
        <v>21</v>
      </c>
      <c r="R6675" s="24" t="s">
        <v>21</v>
      </c>
      <c r="S6675" s="24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5">
        <v>2</v>
      </c>
      <c r="E6676" s="5">
        <v>0</v>
      </c>
      <c r="F6676" s="5" t="s">
        <v>8</v>
      </c>
      <c r="G6676" s="15" t="s">
        <v>9</v>
      </c>
      <c r="H6676" s="24">
        <v>0</v>
      </c>
      <c r="I6676" s="24" t="s">
        <v>21</v>
      </c>
      <c r="J6676" s="24" t="s">
        <v>21</v>
      </c>
      <c r="K6676" s="24">
        <v>0</v>
      </c>
      <c r="L6676" s="24" t="s">
        <v>21</v>
      </c>
      <c r="M6676" s="24" t="s">
        <v>21</v>
      </c>
      <c r="N6676" s="24" t="s">
        <v>21</v>
      </c>
      <c r="O6676" s="24" t="s">
        <v>21</v>
      </c>
      <c r="P6676" s="24" t="s">
        <v>21</v>
      </c>
      <c r="Q6676" s="24" t="s">
        <v>21</v>
      </c>
      <c r="R6676" s="24" t="s">
        <v>21</v>
      </c>
      <c r="S6676" s="24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5">
        <v>0</v>
      </c>
      <c r="E6677" s="5">
        <v>0</v>
      </c>
      <c r="F6677" s="5" t="s">
        <v>8</v>
      </c>
      <c r="G6677" s="15" t="s">
        <v>9</v>
      </c>
      <c r="H6677" s="24">
        <v>0</v>
      </c>
      <c r="I6677" s="24" t="s">
        <v>21</v>
      </c>
      <c r="J6677" s="24">
        <v>0</v>
      </c>
      <c r="K6677" s="24" t="s">
        <v>21</v>
      </c>
      <c r="L6677" s="24" t="s">
        <v>21</v>
      </c>
      <c r="M6677" s="24" t="s">
        <v>21</v>
      </c>
      <c r="N6677" s="24" t="s">
        <v>21</v>
      </c>
      <c r="O6677" s="24" t="s">
        <v>21</v>
      </c>
      <c r="P6677" s="24" t="s">
        <v>21</v>
      </c>
      <c r="Q6677" s="24" t="s">
        <v>21</v>
      </c>
      <c r="R6677" s="24" t="s">
        <v>21</v>
      </c>
      <c r="S6677" s="24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5">
        <v>2</v>
      </c>
      <c r="E6678" s="5">
        <v>0</v>
      </c>
      <c r="F6678" s="5" t="s">
        <v>8</v>
      </c>
      <c r="G6678" s="15" t="s">
        <v>9</v>
      </c>
      <c r="H6678" s="24">
        <v>1.000000003259629</v>
      </c>
      <c r="I6678" s="24" t="s">
        <v>21</v>
      </c>
      <c r="J6678" s="24">
        <v>1.000000003259629</v>
      </c>
      <c r="K6678" s="24" t="s">
        <v>21</v>
      </c>
      <c r="L6678" s="24" t="s">
        <v>21</v>
      </c>
      <c r="M6678" s="24" t="s">
        <v>21</v>
      </c>
      <c r="N6678" s="24" t="s">
        <v>21</v>
      </c>
      <c r="O6678" s="24" t="s">
        <v>21</v>
      </c>
      <c r="P6678" s="24" t="s">
        <v>21</v>
      </c>
      <c r="Q6678" s="24" t="s">
        <v>21</v>
      </c>
      <c r="R6678" s="24" t="s">
        <v>21</v>
      </c>
      <c r="S6678" s="24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5">
        <v>1</v>
      </c>
      <c r="E6679" s="5">
        <v>0</v>
      </c>
      <c r="F6679" s="5" t="s">
        <v>8</v>
      </c>
      <c r="G6679" s="15" t="s">
        <v>9</v>
      </c>
      <c r="H6679" s="24">
        <v>0</v>
      </c>
      <c r="I6679" s="24" t="s">
        <v>21</v>
      </c>
      <c r="J6679" s="24">
        <v>0</v>
      </c>
      <c r="K6679" s="24" t="s">
        <v>21</v>
      </c>
      <c r="L6679" s="24" t="s">
        <v>21</v>
      </c>
      <c r="M6679" s="24" t="s">
        <v>21</v>
      </c>
      <c r="N6679" s="24" t="s">
        <v>21</v>
      </c>
      <c r="O6679" s="24" t="s">
        <v>21</v>
      </c>
      <c r="P6679" s="24" t="s">
        <v>21</v>
      </c>
      <c r="Q6679" s="24" t="s">
        <v>21</v>
      </c>
      <c r="R6679" s="24" t="s">
        <v>21</v>
      </c>
      <c r="S6679" s="24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5">
        <v>0</v>
      </c>
      <c r="E6680" s="5">
        <v>0</v>
      </c>
      <c r="F6680" s="5" t="s">
        <v>8</v>
      </c>
      <c r="G6680" s="15" t="s">
        <v>9</v>
      </c>
      <c r="H6680" s="24">
        <v>0.99999999278225005</v>
      </c>
      <c r="I6680" s="24" t="s">
        <v>21</v>
      </c>
      <c r="J6680" s="24">
        <v>0.99999999278225005</v>
      </c>
      <c r="K6680" s="24" t="s">
        <v>21</v>
      </c>
      <c r="L6680" s="24" t="s">
        <v>21</v>
      </c>
      <c r="M6680" s="24" t="s">
        <v>21</v>
      </c>
      <c r="N6680" s="24" t="s">
        <v>21</v>
      </c>
      <c r="O6680" s="24" t="s">
        <v>21</v>
      </c>
      <c r="P6680" s="24" t="s">
        <v>21</v>
      </c>
      <c r="Q6680" s="24" t="s">
        <v>21</v>
      </c>
      <c r="R6680" s="24" t="s">
        <v>21</v>
      </c>
      <c r="S6680" s="24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5">
        <v>3</v>
      </c>
      <c r="E6681" s="5">
        <v>0</v>
      </c>
      <c r="F6681" s="5" t="s">
        <v>8</v>
      </c>
      <c r="G6681" s="15" t="s">
        <v>9</v>
      </c>
      <c r="H6681" s="24">
        <v>0</v>
      </c>
      <c r="I6681" s="24" t="s">
        <v>21</v>
      </c>
      <c r="J6681" s="24">
        <v>0</v>
      </c>
      <c r="K6681" s="24" t="s">
        <v>21</v>
      </c>
      <c r="L6681" s="24" t="s">
        <v>21</v>
      </c>
      <c r="M6681" s="24" t="s">
        <v>21</v>
      </c>
      <c r="N6681" s="24" t="s">
        <v>21</v>
      </c>
      <c r="O6681" s="24" t="s">
        <v>21</v>
      </c>
      <c r="P6681" s="24" t="s">
        <v>21</v>
      </c>
      <c r="Q6681" s="24" t="s">
        <v>21</v>
      </c>
      <c r="R6681" s="24" t="s">
        <v>21</v>
      </c>
      <c r="S6681" s="24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5">
        <v>1</v>
      </c>
      <c r="E6682" s="5">
        <v>0</v>
      </c>
      <c r="F6682" s="5" t="s">
        <v>8</v>
      </c>
      <c r="G6682" s="15" t="s">
        <v>9</v>
      </c>
      <c r="H6682" s="24">
        <v>0</v>
      </c>
      <c r="I6682" s="24" t="s">
        <v>21</v>
      </c>
      <c r="J6682" s="24">
        <v>0</v>
      </c>
      <c r="K6682" s="24" t="s">
        <v>21</v>
      </c>
      <c r="L6682" s="24" t="s">
        <v>21</v>
      </c>
      <c r="M6682" s="24" t="s">
        <v>21</v>
      </c>
      <c r="N6682" s="24" t="s">
        <v>21</v>
      </c>
      <c r="O6682" s="24" t="s">
        <v>21</v>
      </c>
      <c r="P6682" s="24" t="s">
        <v>21</v>
      </c>
      <c r="Q6682" s="24" t="s">
        <v>21</v>
      </c>
      <c r="R6682" s="24" t="s">
        <v>21</v>
      </c>
      <c r="S6682" s="24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5">
        <v>4</v>
      </c>
      <c r="E6683" s="5">
        <v>0</v>
      </c>
      <c r="F6683" s="5" t="s">
        <v>8</v>
      </c>
      <c r="G6683" s="15" t="s">
        <v>9</v>
      </c>
      <c r="H6683" s="24">
        <v>0</v>
      </c>
      <c r="I6683" s="24" t="s">
        <v>21</v>
      </c>
      <c r="J6683" s="24" t="s">
        <v>21</v>
      </c>
      <c r="K6683" s="24">
        <v>1.9999999960418791</v>
      </c>
      <c r="L6683" s="24" t="s">
        <v>21</v>
      </c>
      <c r="M6683" s="24" t="s">
        <v>21</v>
      </c>
      <c r="N6683" s="24" t="s">
        <v>21</v>
      </c>
      <c r="O6683" s="24" t="s">
        <v>21</v>
      </c>
      <c r="P6683" s="24" t="s">
        <v>21</v>
      </c>
      <c r="Q6683" s="24" t="s">
        <v>21</v>
      </c>
      <c r="R6683" s="24" t="s">
        <v>21</v>
      </c>
      <c r="S6683" s="24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5">
        <v>2</v>
      </c>
      <c r="E6684" s="5">
        <v>0</v>
      </c>
      <c r="F6684" s="5" t="s">
        <v>8</v>
      </c>
      <c r="G6684" s="15" t="s">
        <v>9</v>
      </c>
      <c r="H6684" s="24">
        <v>1.000000003259629</v>
      </c>
      <c r="I6684" s="24" t="s">
        <v>21</v>
      </c>
      <c r="J6684" s="24">
        <v>1.000000003259629</v>
      </c>
      <c r="K6684" s="24" t="s">
        <v>21</v>
      </c>
      <c r="L6684" s="24" t="s">
        <v>21</v>
      </c>
      <c r="M6684" s="24" t="s">
        <v>21</v>
      </c>
      <c r="N6684" s="24" t="s">
        <v>21</v>
      </c>
      <c r="O6684" s="24" t="s">
        <v>21</v>
      </c>
      <c r="P6684" s="24" t="s">
        <v>21</v>
      </c>
      <c r="Q6684" s="24" t="s">
        <v>21</v>
      </c>
      <c r="R6684" s="24" t="s">
        <v>21</v>
      </c>
      <c r="S6684" s="24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5">
        <v>2</v>
      </c>
      <c r="E6685" s="5">
        <v>0</v>
      </c>
      <c r="F6685" s="5" t="s">
        <v>8</v>
      </c>
      <c r="G6685" s="15" t="s">
        <v>9</v>
      </c>
      <c r="H6685" s="24">
        <v>1.000000003259629</v>
      </c>
      <c r="I6685" s="24" t="s">
        <v>21</v>
      </c>
      <c r="J6685" s="24">
        <v>1.000000003259629</v>
      </c>
      <c r="K6685" s="24" t="s">
        <v>21</v>
      </c>
      <c r="L6685" s="24" t="s">
        <v>21</v>
      </c>
      <c r="M6685" s="24" t="s">
        <v>21</v>
      </c>
      <c r="N6685" s="24" t="s">
        <v>21</v>
      </c>
      <c r="O6685" s="24" t="s">
        <v>21</v>
      </c>
      <c r="P6685" s="24" t="s">
        <v>21</v>
      </c>
      <c r="Q6685" s="24" t="s">
        <v>21</v>
      </c>
      <c r="R6685" s="24" t="s">
        <v>21</v>
      </c>
      <c r="S6685" s="24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5">
        <v>3</v>
      </c>
      <c r="E6686" s="5">
        <v>0</v>
      </c>
      <c r="F6686" s="5" t="s">
        <v>8</v>
      </c>
      <c r="G6686" s="15" t="s">
        <v>9</v>
      </c>
      <c r="H6686" s="24">
        <v>1.9999999960418791</v>
      </c>
      <c r="I6686" s="24" t="s">
        <v>21</v>
      </c>
      <c r="J6686" s="24">
        <v>1.9999999960418791</v>
      </c>
      <c r="K6686" s="24" t="s">
        <v>21</v>
      </c>
      <c r="L6686" s="24" t="s">
        <v>21</v>
      </c>
      <c r="M6686" s="24" t="s">
        <v>21</v>
      </c>
      <c r="N6686" s="24" t="s">
        <v>21</v>
      </c>
      <c r="O6686" s="24" t="s">
        <v>21</v>
      </c>
      <c r="P6686" s="24" t="s">
        <v>21</v>
      </c>
      <c r="Q6686" s="24" t="s">
        <v>21</v>
      </c>
      <c r="R6686" s="24" t="s">
        <v>21</v>
      </c>
      <c r="S6686" s="24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5">
        <v>4</v>
      </c>
      <c r="E6687" s="5">
        <v>0</v>
      </c>
      <c r="F6687" s="5" t="s">
        <v>8</v>
      </c>
      <c r="G6687" s="15" t="s">
        <v>9</v>
      </c>
      <c r="H6687" s="24">
        <v>0</v>
      </c>
      <c r="I6687" s="24" t="s">
        <v>21</v>
      </c>
      <c r="J6687" s="24" t="s">
        <v>21</v>
      </c>
      <c r="K6687" s="24">
        <v>4.0000000025611371</v>
      </c>
      <c r="L6687" s="24" t="s">
        <v>21</v>
      </c>
      <c r="M6687" s="24" t="s">
        <v>21</v>
      </c>
      <c r="N6687" s="24" t="s">
        <v>21</v>
      </c>
      <c r="O6687" s="24" t="s">
        <v>21</v>
      </c>
      <c r="P6687" s="24" t="s">
        <v>21</v>
      </c>
      <c r="Q6687" s="24" t="s">
        <v>21</v>
      </c>
      <c r="R6687" s="24" t="s">
        <v>21</v>
      </c>
      <c r="S6687" s="24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5">
        <v>0</v>
      </c>
      <c r="E6688" s="5">
        <v>15</v>
      </c>
      <c r="F6688" s="5" t="s">
        <v>8</v>
      </c>
      <c r="G6688" s="15" t="s">
        <v>9</v>
      </c>
      <c r="H6688" s="24">
        <v>0</v>
      </c>
      <c r="I6688" s="24" t="s">
        <v>21</v>
      </c>
      <c r="J6688" s="24" t="s">
        <v>21</v>
      </c>
      <c r="K6688" s="24" t="s">
        <v>21</v>
      </c>
      <c r="L6688" s="24" t="s">
        <v>21</v>
      </c>
      <c r="M6688" s="24" t="s">
        <v>21</v>
      </c>
      <c r="N6688" s="24" t="s">
        <v>21</v>
      </c>
      <c r="O6688" s="24">
        <v>158.99999999441206</v>
      </c>
      <c r="P6688" s="24" t="s">
        <v>21</v>
      </c>
      <c r="Q6688" s="24" t="s">
        <v>21</v>
      </c>
      <c r="R6688" s="24" t="s">
        <v>21</v>
      </c>
      <c r="S6688" s="24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5">
        <v>2</v>
      </c>
      <c r="E6689" s="5">
        <v>0</v>
      </c>
      <c r="F6689" s="5" t="s">
        <v>8</v>
      </c>
      <c r="G6689" s="15" t="s">
        <v>9</v>
      </c>
      <c r="H6689" s="24">
        <v>0</v>
      </c>
      <c r="I6689" s="24" t="s">
        <v>21</v>
      </c>
      <c r="J6689" s="24" t="s">
        <v>21</v>
      </c>
      <c r="K6689" s="24">
        <v>0</v>
      </c>
      <c r="L6689" s="24" t="s">
        <v>21</v>
      </c>
      <c r="M6689" s="24" t="s">
        <v>21</v>
      </c>
      <c r="N6689" s="24" t="s">
        <v>21</v>
      </c>
      <c r="O6689" s="24" t="s">
        <v>21</v>
      </c>
      <c r="P6689" s="24" t="s">
        <v>21</v>
      </c>
      <c r="Q6689" s="24" t="s">
        <v>21</v>
      </c>
      <c r="R6689" s="24" t="s">
        <v>21</v>
      </c>
      <c r="S6689" s="24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5">
        <v>0</v>
      </c>
      <c r="E6690" s="5">
        <v>8</v>
      </c>
      <c r="F6690" s="5" t="s">
        <v>8</v>
      </c>
      <c r="G6690" s="15" t="s">
        <v>9</v>
      </c>
      <c r="H6690" s="24">
        <v>1.000000003259629</v>
      </c>
      <c r="I6690" s="24" t="s">
        <v>21</v>
      </c>
      <c r="J6690" s="24" t="s">
        <v>21</v>
      </c>
      <c r="K6690" s="24" t="s">
        <v>21</v>
      </c>
      <c r="L6690" s="24" t="s">
        <v>21</v>
      </c>
      <c r="M6690" s="24" t="s">
        <v>21</v>
      </c>
      <c r="N6690" s="24" t="s">
        <v>21</v>
      </c>
      <c r="O6690" s="24">
        <v>1.000000003259629</v>
      </c>
      <c r="P6690" s="24" t="s">
        <v>21</v>
      </c>
      <c r="Q6690" s="24" t="s">
        <v>21</v>
      </c>
      <c r="R6690" s="24" t="s">
        <v>21</v>
      </c>
      <c r="S6690" s="24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5">
        <v>0</v>
      </c>
      <c r="E6691" s="5">
        <v>0</v>
      </c>
      <c r="F6691" s="5" t="s">
        <v>8</v>
      </c>
      <c r="G6691" s="15" t="s">
        <v>9</v>
      </c>
      <c r="H6691" s="24">
        <v>0</v>
      </c>
      <c r="I6691" s="24" t="s">
        <v>21</v>
      </c>
      <c r="J6691" s="24" t="s">
        <v>21</v>
      </c>
      <c r="K6691" s="24" t="s">
        <v>21</v>
      </c>
      <c r="L6691" s="24" t="s">
        <v>21</v>
      </c>
      <c r="M6691" s="24" t="s">
        <v>21</v>
      </c>
      <c r="N6691" s="24" t="s">
        <v>21</v>
      </c>
      <c r="O6691" s="24">
        <v>0</v>
      </c>
      <c r="P6691" s="24" t="s">
        <v>21</v>
      </c>
      <c r="Q6691" s="24" t="s">
        <v>21</v>
      </c>
      <c r="R6691" s="24" t="s">
        <v>21</v>
      </c>
      <c r="S6691" s="24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5">
        <v>0</v>
      </c>
      <c r="E6692" s="5">
        <v>0</v>
      </c>
      <c r="F6692" s="5" t="s">
        <v>8</v>
      </c>
      <c r="G6692" s="15" t="s">
        <v>9</v>
      </c>
      <c r="H6692" s="24">
        <v>0</v>
      </c>
      <c r="I6692" s="24" t="s">
        <v>21</v>
      </c>
      <c r="J6692" s="24" t="s">
        <v>21</v>
      </c>
      <c r="K6692" s="24" t="s">
        <v>21</v>
      </c>
      <c r="L6692" s="24" t="s">
        <v>21</v>
      </c>
      <c r="M6692" s="24" t="s">
        <v>21</v>
      </c>
      <c r="N6692" s="24" t="s">
        <v>21</v>
      </c>
      <c r="O6692" s="24">
        <v>0</v>
      </c>
      <c r="P6692" s="24" t="s">
        <v>21</v>
      </c>
      <c r="Q6692" s="24" t="s">
        <v>21</v>
      </c>
      <c r="R6692" s="24" t="s">
        <v>21</v>
      </c>
      <c r="S6692" s="24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5">
        <v>0</v>
      </c>
      <c r="E6693" s="5">
        <v>0</v>
      </c>
      <c r="F6693" s="5" t="s">
        <v>8</v>
      </c>
      <c r="G6693" s="15" t="s">
        <v>9</v>
      </c>
      <c r="H6693" s="24">
        <v>0</v>
      </c>
      <c r="I6693" s="24" t="s">
        <v>21</v>
      </c>
      <c r="J6693" s="24" t="s">
        <v>21</v>
      </c>
      <c r="K6693" s="24" t="s">
        <v>21</v>
      </c>
      <c r="L6693" s="24" t="s">
        <v>21</v>
      </c>
      <c r="M6693" s="24" t="s">
        <v>21</v>
      </c>
      <c r="N6693" s="24" t="s">
        <v>21</v>
      </c>
      <c r="O6693" s="24">
        <v>0</v>
      </c>
      <c r="P6693" s="24" t="s">
        <v>21</v>
      </c>
      <c r="Q6693" s="24" t="s">
        <v>21</v>
      </c>
      <c r="R6693" s="24" t="s">
        <v>21</v>
      </c>
      <c r="S6693" s="24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5">
        <v>11</v>
      </c>
      <c r="E6694" s="5">
        <v>0</v>
      </c>
      <c r="F6694" s="5" t="s">
        <v>8</v>
      </c>
      <c r="G6694" s="15" t="s">
        <v>9</v>
      </c>
      <c r="H6694" s="24">
        <v>1.000000003259629</v>
      </c>
      <c r="I6694" s="24" t="s">
        <v>21</v>
      </c>
      <c r="J6694" s="24" t="s">
        <v>21</v>
      </c>
      <c r="K6694" s="24" t="s">
        <v>21</v>
      </c>
      <c r="L6694" s="24" t="s">
        <v>21</v>
      </c>
      <c r="M6694" s="24" t="s">
        <v>21</v>
      </c>
      <c r="N6694" s="24" t="s">
        <v>21</v>
      </c>
      <c r="O6694" s="24">
        <v>1.000000003259629</v>
      </c>
      <c r="P6694" s="24" t="s">
        <v>21</v>
      </c>
      <c r="Q6694" s="24" t="s">
        <v>21</v>
      </c>
      <c r="R6694" s="24" t="s">
        <v>21</v>
      </c>
      <c r="S6694" s="24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5">
        <v>0</v>
      </c>
      <c r="E6695" s="5">
        <v>14</v>
      </c>
      <c r="F6695" s="5" t="s">
        <v>8</v>
      </c>
      <c r="G6695" s="15" t="s">
        <v>9</v>
      </c>
      <c r="H6695" s="24">
        <v>0</v>
      </c>
      <c r="I6695" s="24" t="s">
        <v>21</v>
      </c>
      <c r="J6695" s="24" t="s">
        <v>21</v>
      </c>
      <c r="K6695" s="24" t="s">
        <v>21</v>
      </c>
      <c r="L6695" s="24" t="s">
        <v>21</v>
      </c>
      <c r="M6695" s="24" t="s">
        <v>21</v>
      </c>
      <c r="N6695" s="24" t="s">
        <v>21</v>
      </c>
      <c r="O6695" s="24">
        <v>0</v>
      </c>
      <c r="P6695" s="24" t="s">
        <v>21</v>
      </c>
      <c r="Q6695" s="24" t="s">
        <v>21</v>
      </c>
      <c r="R6695" s="24" t="s">
        <v>21</v>
      </c>
      <c r="S6695" s="24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5">
        <v>0</v>
      </c>
      <c r="E6696" s="5">
        <v>15</v>
      </c>
      <c r="F6696" s="5" t="s">
        <v>8</v>
      </c>
      <c r="G6696" s="15" t="s">
        <v>9</v>
      </c>
      <c r="H6696" s="24">
        <v>0</v>
      </c>
      <c r="I6696" s="24" t="s">
        <v>21</v>
      </c>
      <c r="J6696" s="24" t="s">
        <v>21</v>
      </c>
      <c r="K6696" s="24" t="s">
        <v>21</v>
      </c>
      <c r="L6696" s="24" t="s">
        <v>21</v>
      </c>
      <c r="M6696" s="24" t="s">
        <v>21</v>
      </c>
      <c r="N6696" s="24" t="s">
        <v>21</v>
      </c>
      <c r="O6696" s="24">
        <v>0</v>
      </c>
      <c r="P6696" s="24" t="s">
        <v>21</v>
      </c>
      <c r="Q6696" s="24" t="s">
        <v>21</v>
      </c>
      <c r="R6696" s="24" t="s">
        <v>21</v>
      </c>
      <c r="S6696" s="24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5">
        <v>4</v>
      </c>
      <c r="E6697" s="5">
        <v>0</v>
      </c>
      <c r="F6697" s="5" t="s">
        <v>8</v>
      </c>
      <c r="G6697" s="15" t="s">
        <v>9</v>
      </c>
      <c r="H6697" s="24">
        <v>0</v>
      </c>
      <c r="I6697" s="24" t="s">
        <v>21</v>
      </c>
      <c r="J6697" s="24" t="s">
        <v>21</v>
      </c>
      <c r="K6697" s="24" t="s">
        <v>21</v>
      </c>
      <c r="L6697" s="24" t="s">
        <v>21</v>
      </c>
      <c r="M6697" s="24" t="s">
        <v>21</v>
      </c>
      <c r="N6697" s="24" t="s">
        <v>21</v>
      </c>
      <c r="O6697" s="24">
        <v>0</v>
      </c>
      <c r="P6697" s="24" t="s">
        <v>21</v>
      </c>
      <c r="Q6697" s="24" t="s">
        <v>21</v>
      </c>
      <c r="R6697" s="24" t="s">
        <v>21</v>
      </c>
      <c r="S6697" s="24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5">
        <v>0</v>
      </c>
      <c r="E6698" s="5">
        <v>16</v>
      </c>
      <c r="F6698" s="5" t="s">
        <v>8</v>
      </c>
      <c r="G6698" s="15" t="s">
        <v>9</v>
      </c>
      <c r="H6698" s="24">
        <v>0.99999999278225005</v>
      </c>
      <c r="I6698" s="24" t="s">
        <v>21</v>
      </c>
      <c r="J6698" s="24" t="s">
        <v>21</v>
      </c>
      <c r="K6698" s="24" t="s">
        <v>21</v>
      </c>
      <c r="L6698" s="24" t="s">
        <v>21</v>
      </c>
      <c r="M6698" s="24" t="s">
        <v>21</v>
      </c>
      <c r="N6698" s="24" t="s">
        <v>21</v>
      </c>
      <c r="O6698" s="24">
        <v>0.99999999278225005</v>
      </c>
      <c r="P6698" s="24" t="s">
        <v>21</v>
      </c>
      <c r="Q6698" s="24" t="s">
        <v>21</v>
      </c>
      <c r="R6698" s="24" t="s">
        <v>21</v>
      </c>
      <c r="S6698" s="24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5">
        <v>12</v>
      </c>
      <c r="E6699" s="5">
        <v>0</v>
      </c>
      <c r="F6699" s="5" t="s">
        <v>8</v>
      </c>
      <c r="G6699" s="15" t="s">
        <v>9</v>
      </c>
      <c r="H6699" s="24">
        <v>0</v>
      </c>
      <c r="I6699" s="24" t="s">
        <v>21</v>
      </c>
      <c r="J6699" s="24" t="s">
        <v>21</v>
      </c>
      <c r="K6699" s="24" t="s">
        <v>21</v>
      </c>
      <c r="L6699" s="24" t="s">
        <v>21</v>
      </c>
      <c r="M6699" s="24" t="s">
        <v>21</v>
      </c>
      <c r="N6699" s="24" t="s">
        <v>21</v>
      </c>
      <c r="O6699" s="24">
        <v>0</v>
      </c>
      <c r="P6699" s="24" t="s">
        <v>21</v>
      </c>
      <c r="Q6699" s="24" t="s">
        <v>21</v>
      </c>
      <c r="R6699" s="24" t="s">
        <v>21</v>
      </c>
      <c r="S6699" s="24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5">
        <v>17</v>
      </c>
      <c r="E6700" s="5">
        <v>0</v>
      </c>
      <c r="F6700" s="5" t="s">
        <v>8</v>
      </c>
      <c r="G6700" s="15" t="s">
        <v>9</v>
      </c>
      <c r="H6700" s="24">
        <v>0</v>
      </c>
      <c r="I6700" s="24" t="s">
        <v>21</v>
      </c>
      <c r="J6700" s="24" t="s">
        <v>21</v>
      </c>
      <c r="K6700" s="24" t="s">
        <v>21</v>
      </c>
      <c r="L6700" s="24" t="s">
        <v>21</v>
      </c>
      <c r="M6700" s="24" t="s">
        <v>21</v>
      </c>
      <c r="N6700" s="24" t="s">
        <v>21</v>
      </c>
      <c r="O6700" s="24">
        <v>0</v>
      </c>
      <c r="P6700" s="24" t="s">
        <v>21</v>
      </c>
      <c r="Q6700" s="24" t="s">
        <v>21</v>
      </c>
      <c r="R6700" s="24" t="s">
        <v>21</v>
      </c>
      <c r="S6700" s="24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5">
        <v>0</v>
      </c>
      <c r="E6701" s="5">
        <v>21</v>
      </c>
      <c r="F6701" s="5" t="s">
        <v>8</v>
      </c>
      <c r="G6701" s="15" t="s">
        <v>9</v>
      </c>
      <c r="H6701" s="24">
        <v>0</v>
      </c>
      <c r="I6701" s="24" t="s">
        <v>21</v>
      </c>
      <c r="J6701" s="24" t="s">
        <v>21</v>
      </c>
      <c r="K6701" s="24" t="s">
        <v>21</v>
      </c>
      <c r="L6701" s="24" t="s">
        <v>21</v>
      </c>
      <c r="M6701" s="24" t="s">
        <v>21</v>
      </c>
      <c r="N6701" s="24" t="s">
        <v>21</v>
      </c>
      <c r="O6701" s="24">
        <v>0</v>
      </c>
      <c r="P6701" s="24" t="s">
        <v>21</v>
      </c>
      <c r="Q6701" s="24" t="s">
        <v>21</v>
      </c>
      <c r="R6701" s="24" t="s">
        <v>21</v>
      </c>
      <c r="S6701" s="24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5">
        <v>0</v>
      </c>
      <c r="E6702" s="5">
        <v>24</v>
      </c>
      <c r="F6702" s="5" t="s">
        <v>8</v>
      </c>
      <c r="G6702" s="15" t="s">
        <v>9</v>
      </c>
      <c r="H6702" s="24">
        <v>1.000000003259629</v>
      </c>
      <c r="I6702" s="24" t="s">
        <v>21</v>
      </c>
      <c r="J6702" s="24" t="s">
        <v>21</v>
      </c>
      <c r="K6702" s="24" t="s">
        <v>21</v>
      </c>
      <c r="L6702" s="24" t="s">
        <v>21</v>
      </c>
      <c r="M6702" s="24" t="s">
        <v>21</v>
      </c>
      <c r="N6702" s="24" t="s">
        <v>21</v>
      </c>
      <c r="O6702" s="24">
        <v>1.000000003259629</v>
      </c>
      <c r="P6702" s="24" t="s">
        <v>21</v>
      </c>
      <c r="Q6702" s="24" t="s">
        <v>21</v>
      </c>
      <c r="R6702" s="24" t="s">
        <v>21</v>
      </c>
      <c r="S6702" s="24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5">
        <v>17</v>
      </c>
      <c r="E6703" s="5">
        <v>0</v>
      </c>
      <c r="F6703" s="5" t="s">
        <v>8</v>
      </c>
      <c r="G6703" s="15" t="s">
        <v>9</v>
      </c>
      <c r="H6703" s="24">
        <v>0</v>
      </c>
      <c r="I6703" s="24" t="s">
        <v>21</v>
      </c>
      <c r="J6703" s="24" t="s">
        <v>21</v>
      </c>
      <c r="K6703" s="24" t="s">
        <v>21</v>
      </c>
      <c r="L6703" s="24" t="s">
        <v>21</v>
      </c>
      <c r="M6703" s="24" t="s">
        <v>21</v>
      </c>
      <c r="N6703" s="24" t="s">
        <v>21</v>
      </c>
      <c r="O6703" s="24">
        <v>0</v>
      </c>
      <c r="P6703" s="24" t="s">
        <v>21</v>
      </c>
      <c r="Q6703" s="24" t="s">
        <v>21</v>
      </c>
      <c r="R6703" s="24" t="s">
        <v>21</v>
      </c>
      <c r="S6703" s="24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5">
        <v>0</v>
      </c>
      <c r="E6704" s="5">
        <v>12</v>
      </c>
      <c r="F6704" s="5" t="s">
        <v>8</v>
      </c>
      <c r="G6704" s="15" t="s">
        <v>9</v>
      </c>
      <c r="H6704" s="24">
        <v>0</v>
      </c>
      <c r="I6704" s="24" t="s">
        <v>21</v>
      </c>
      <c r="J6704" s="24" t="s">
        <v>21</v>
      </c>
      <c r="K6704" s="24" t="s">
        <v>21</v>
      </c>
      <c r="L6704" s="24" t="s">
        <v>21</v>
      </c>
      <c r="M6704" s="24" t="s">
        <v>21</v>
      </c>
      <c r="N6704" s="24" t="s">
        <v>21</v>
      </c>
      <c r="O6704" s="24">
        <v>0</v>
      </c>
      <c r="P6704" s="24" t="s">
        <v>21</v>
      </c>
      <c r="Q6704" s="24" t="s">
        <v>21</v>
      </c>
      <c r="R6704" s="24" t="s">
        <v>21</v>
      </c>
      <c r="S6704" s="24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5">
        <v>14</v>
      </c>
      <c r="E6705" s="5">
        <v>0</v>
      </c>
      <c r="F6705" s="5" t="s">
        <v>8</v>
      </c>
      <c r="G6705" s="15" t="s">
        <v>9</v>
      </c>
      <c r="H6705" s="24">
        <v>0</v>
      </c>
      <c r="I6705" s="24" t="s">
        <v>21</v>
      </c>
      <c r="J6705" s="24" t="s">
        <v>21</v>
      </c>
      <c r="K6705" s="24" t="s">
        <v>21</v>
      </c>
      <c r="L6705" s="24" t="s">
        <v>21</v>
      </c>
      <c r="M6705" s="24" t="s">
        <v>21</v>
      </c>
      <c r="N6705" s="24" t="s">
        <v>21</v>
      </c>
      <c r="O6705" s="24">
        <v>0</v>
      </c>
      <c r="P6705" s="24" t="s">
        <v>21</v>
      </c>
      <c r="Q6705" s="24" t="s">
        <v>21</v>
      </c>
      <c r="R6705" s="24" t="s">
        <v>21</v>
      </c>
      <c r="S6705" s="24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5">
        <v>27</v>
      </c>
      <c r="E6706" s="5">
        <v>0</v>
      </c>
      <c r="F6706" s="5" t="s">
        <v>8</v>
      </c>
      <c r="G6706" s="15" t="s">
        <v>9</v>
      </c>
      <c r="H6706" s="24">
        <v>1.000000003259629</v>
      </c>
      <c r="I6706" s="24" t="s">
        <v>21</v>
      </c>
      <c r="J6706" s="24" t="s">
        <v>21</v>
      </c>
      <c r="K6706" s="24" t="s">
        <v>21</v>
      </c>
      <c r="L6706" s="24" t="s">
        <v>21</v>
      </c>
      <c r="M6706" s="24" t="s">
        <v>21</v>
      </c>
      <c r="N6706" s="24" t="s">
        <v>21</v>
      </c>
      <c r="O6706" s="24">
        <v>1.000000003259629</v>
      </c>
      <c r="P6706" s="24" t="s">
        <v>21</v>
      </c>
      <c r="Q6706" s="24" t="s">
        <v>21</v>
      </c>
      <c r="R6706" s="24" t="s">
        <v>21</v>
      </c>
      <c r="S6706" s="24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5">
        <v>0</v>
      </c>
      <c r="E6707" s="5">
        <v>28</v>
      </c>
      <c r="F6707" s="5" t="s">
        <v>8</v>
      </c>
      <c r="G6707" s="15" t="s">
        <v>9</v>
      </c>
      <c r="H6707" s="24">
        <v>0</v>
      </c>
      <c r="I6707" s="24" t="s">
        <v>21</v>
      </c>
      <c r="J6707" s="24" t="s">
        <v>21</v>
      </c>
      <c r="K6707" s="24" t="s">
        <v>21</v>
      </c>
      <c r="L6707" s="24" t="s">
        <v>21</v>
      </c>
      <c r="M6707" s="24" t="s">
        <v>21</v>
      </c>
      <c r="N6707" s="24" t="s">
        <v>21</v>
      </c>
      <c r="O6707" s="24">
        <v>0</v>
      </c>
      <c r="P6707" s="24" t="s">
        <v>21</v>
      </c>
      <c r="Q6707" s="24" t="s">
        <v>21</v>
      </c>
      <c r="R6707" s="24" t="s">
        <v>21</v>
      </c>
      <c r="S6707" s="24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5">
        <v>31</v>
      </c>
      <c r="E6708" s="5">
        <v>0</v>
      </c>
      <c r="F6708" s="5" t="s">
        <v>8</v>
      </c>
      <c r="G6708" s="15" t="s">
        <v>9</v>
      </c>
      <c r="H6708" s="24">
        <v>0.99999999278225005</v>
      </c>
      <c r="I6708" s="24" t="s">
        <v>21</v>
      </c>
      <c r="J6708" s="24" t="s">
        <v>21</v>
      </c>
      <c r="K6708" s="24" t="s">
        <v>21</v>
      </c>
      <c r="L6708" s="24" t="s">
        <v>21</v>
      </c>
      <c r="M6708" s="24" t="s">
        <v>21</v>
      </c>
      <c r="N6708" s="24" t="s">
        <v>21</v>
      </c>
      <c r="O6708" s="24">
        <v>0.99999999278225005</v>
      </c>
      <c r="P6708" s="24" t="s">
        <v>21</v>
      </c>
      <c r="Q6708" s="24" t="s">
        <v>21</v>
      </c>
      <c r="R6708" s="24" t="s">
        <v>21</v>
      </c>
      <c r="S6708" s="24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5">
        <v>0</v>
      </c>
      <c r="E6709" s="5">
        <v>0</v>
      </c>
      <c r="F6709" s="5" t="s">
        <v>8</v>
      </c>
      <c r="G6709" s="15" t="s">
        <v>9</v>
      </c>
      <c r="H6709" s="24">
        <v>0</v>
      </c>
      <c r="I6709" s="24" t="s">
        <v>21</v>
      </c>
      <c r="J6709" s="24" t="s">
        <v>21</v>
      </c>
      <c r="K6709" s="24" t="s">
        <v>21</v>
      </c>
      <c r="L6709" s="24" t="s">
        <v>21</v>
      </c>
      <c r="M6709" s="24" t="s">
        <v>21</v>
      </c>
      <c r="N6709" s="24" t="s">
        <v>21</v>
      </c>
      <c r="O6709" s="24">
        <v>0</v>
      </c>
      <c r="P6709" s="24" t="s">
        <v>21</v>
      </c>
      <c r="Q6709" s="24" t="s">
        <v>21</v>
      </c>
      <c r="R6709" s="24" t="s">
        <v>21</v>
      </c>
      <c r="S6709" s="24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5">
        <v>0</v>
      </c>
      <c r="E6710" s="5">
        <v>0</v>
      </c>
      <c r="F6710" s="5" t="s">
        <v>8</v>
      </c>
      <c r="G6710" s="15" t="s">
        <v>9</v>
      </c>
      <c r="H6710" s="24">
        <v>0</v>
      </c>
      <c r="I6710" s="24" t="s">
        <v>21</v>
      </c>
      <c r="J6710" s="24" t="s">
        <v>21</v>
      </c>
      <c r="K6710" s="24" t="s">
        <v>21</v>
      </c>
      <c r="L6710" s="24" t="s">
        <v>21</v>
      </c>
      <c r="M6710" s="24" t="s">
        <v>21</v>
      </c>
      <c r="N6710" s="24" t="s">
        <v>21</v>
      </c>
      <c r="O6710" s="24">
        <v>0</v>
      </c>
      <c r="P6710" s="24" t="s">
        <v>21</v>
      </c>
      <c r="Q6710" s="24" t="s">
        <v>21</v>
      </c>
      <c r="R6710" s="24" t="s">
        <v>21</v>
      </c>
      <c r="S6710" s="24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5">
        <v>8</v>
      </c>
      <c r="E6711" s="5">
        <v>2</v>
      </c>
      <c r="F6711" s="5" t="s">
        <v>8</v>
      </c>
      <c r="G6711" s="15" t="s">
        <v>9</v>
      </c>
      <c r="H6711" s="24">
        <v>0</v>
      </c>
      <c r="I6711" s="24" t="s">
        <v>21</v>
      </c>
      <c r="J6711" s="24" t="s">
        <v>21</v>
      </c>
      <c r="K6711" s="24" t="s">
        <v>21</v>
      </c>
      <c r="L6711" s="24" t="s">
        <v>21</v>
      </c>
      <c r="M6711" s="24" t="s">
        <v>21</v>
      </c>
      <c r="N6711" s="24" t="s">
        <v>21</v>
      </c>
      <c r="O6711" s="24">
        <v>0</v>
      </c>
      <c r="P6711" s="24" t="s">
        <v>21</v>
      </c>
      <c r="Q6711" s="24" t="s">
        <v>21</v>
      </c>
      <c r="R6711" s="24" t="s">
        <v>21</v>
      </c>
      <c r="S6711" s="24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5">
        <v>22</v>
      </c>
      <c r="E6712" s="5">
        <v>0</v>
      </c>
      <c r="F6712" s="5" t="s">
        <v>8</v>
      </c>
      <c r="G6712" s="15" t="s">
        <v>9</v>
      </c>
      <c r="H6712" s="24">
        <v>1.000000003259629</v>
      </c>
      <c r="I6712" s="24" t="s">
        <v>21</v>
      </c>
      <c r="J6712" s="24" t="s">
        <v>21</v>
      </c>
      <c r="K6712" s="24" t="s">
        <v>21</v>
      </c>
      <c r="L6712" s="24" t="s">
        <v>21</v>
      </c>
      <c r="M6712" s="24" t="s">
        <v>21</v>
      </c>
      <c r="N6712" s="24" t="s">
        <v>21</v>
      </c>
      <c r="O6712" s="24">
        <v>1.000000003259629</v>
      </c>
      <c r="P6712" s="24" t="s">
        <v>21</v>
      </c>
      <c r="Q6712" s="24" t="s">
        <v>21</v>
      </c>
      <c r="R6712" s="24" t="s">
        <v>21</v>
      </c>
      <c r="S6712" s="24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5">
        <v>0</v>
      </c>
      <c r="E6713" s="5">
        <v>0</v>
      </c>
      <c r="F6713" s="5" t="s">
        <v>8</v>
      </c>
      <c r="G6713" s="15" t="s">
        <v>9</v>
      </c>
      <c r="H6713" s="24">
        <v>0</v>
      </c>
      <c r="I6713" s="24" t="s">
        <v>21</v>
      </c>
      <c r="J6713" s="24" t="s">
        <v>21</v>
      </c>
      <c r="K6713" s="24" t="s">
        <v>21</v>
      </c>
      <c r="L6713" s="24" t="s">
        <v>21</v>
      </c>
      <c r="M6713" s="24" t="s">
        <v>21</v>
      </c>
      <c r="N6713" s="24" t="s">
        <v>21</v>
      </c>
      <c r="O6713" s="24">
        <v>0</v>
      </c>
      <c r="P6713" s="24" t="s">
        <v>21</v>
      </c>
      <c r="Q6713" s="24" t="s">
        <v>21</v>
      </c>
      <c r="R6713" s="24" t="s">
        <v>21</v>
      </c>
      <c r="S6713" s="24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5">
        <v>3</v>
      </c>
      <c r="E6714" s="5">
        <v>0</v>
      </c>
      <c r="F6714" s="5" t="s">
        <v>8</v>
      </c>
      <c r="G6714" s="15" t="s">
        <v>9</v>
      </c>
      <c r="H6714" s="24">
        <v>0</v>
      </c>
      <c r="I6714" s="24" t="s">
        <v>21</v>
      </c>
      <c r="J6714" s="24" t="s">
        <v>21</v>
      </c>
      <c r="K6714" s="24" t="s">
        <v>21</v>
      </c>
      <c r="L6714" s="24" t="s">
        <v>21</v>
      </c>
      <c r="M6714" s="24" t="s">
        <v>21</v>
      </c>
      <c r="N6714" s="24" t="s">
        <v>21</v>
      </c>
      <c r="O6714" s="24">
        <v>0</v>
      </c>
      <c r="P6714" s="24" t="s">
        <v>21</v>
      </c>
      <c r="Q6714" s="24" t="s">
        <v>21</v>
      </c>
      <c r="R6714" s="24" t="s">
        <v>21</v>
      </c>
      <c r="S6714" s="24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5">
        <v>18</v>
      </c>
      <c r="E6715" s="5">
        <v>0</v>
      </c>
      <c r="F6715" s="5" t="s">
        <v>8</v>
      </c>
      <c r="G6715" s="15" t="s">
        <v>9</v>
      </c>
      <c r="H6715" s="24">
        <v>1.000000003259629</v>
      </c>
      <c r="I6715" s="24" t="s">
        <v>21</v>
      </c>
      <c r="J6715" s="24" t="s">
        <v>21</v>
      </c>
      <c r="K6715" s="24" t="s">
        <v>21</v>
      </c>
      <c r="L6715" s="24" t="s">
        <v>21</v>
      </c>
      <c r="M6715" s="24" t="s">
        <v>21</v>
      </c>
      <c r="N6715" s="24" t="s">
        <v>21</v>
      </c>
      <c r="O6715" s="24">
        <v>1.000000003259629</v>
      </c>
      <c r="P6715" s="24" t="s">
        <v>21</v>
      </c>
      <c r="Q6715" s="24" t="s">
        <v>21</v>
      </c>
      <c r="R6715" s="24" t="s">
        <v>21</v>
      </c>
      <c r="S6715" s="24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5">
        <v>0</v>
      </c>
      <c r="E6716" s="5">
        <v>27</v>
      </c>
      <c r="F6716" s="5" t="s">
        <v>8</v>
      </c>
      <c r="G6716" s="15" t="s">
        <v>9</v>
      </c>
      <c r="H6716" s="24">
        <v>0</v>
      </c>
      <c r="I6716" s="24" t="s">
        <v>21</v>
      </c>
      <c r="J6716" s="24" t="s">
        <v>21</v>
      </c>
      <c r="K6716" s="24" t="s">
        <v>21</v>
      </c>
      <c r="L6716" s="24" t="s">
        <v>21</v>
      </c>
      <c r="M6716" s="24" t="s">
        <v>21</v>
      </c>
      <c r="N6716" s="24" t="s">
        <v>21</v>
      </c>
      <c r="O6716" s="24">
        <v>0</v>
      </c>
      <c r="P6716" s="24" t="s">
        <v>21</v>
      </c>
      <c r="Q6716" s="24" t="s">
        <v>21</v>
      </c>
      <c r="R6716" s="24" t="s">
        <v>21</v>
      </c>
      <c r="S6716" s="24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5">
        <v>0</v>
      </c>
      <c r="E6717" s="5">
        <v>19</v>
      </c>
      <c r="F6717" s="5" t="s">
        <v>8</v>
      </c>
      <c r="G6717" s="15" t="s">
        <v>9</v>
      </c>
      <c r="H6717" s="24">
        <v>0.99999999278225005</v>
      </c>
      <c r="I6717" s="24" t="s">
        <v>21</v>
      </c>
      <c r="J6717" s="24" t="s">
        <v>21</v>
      </c>
      <c r="K6717" s="24" t="s">
        <v>21</v>
      </c>
      <c r="L6717" s="24" t="s">
        <v>21</v>
      </c>
      <c r="M6717" s="24" t="s">
        <v>21</v>
      </c>
      <c r="N6717" s="24" t="s">
        <v>21</v>
      </c>
      <c r="O6717" s="24">
        <v>0.99999999278225005</v>
      </c>
      <c r="P6717" s="24" t="s">
        <v>21</v>
      </c>
      <c r="Q6717" s="24" t="s">
        <v>21</v>
      </c>
      <c r="R6717" s="24" t="s">
        <v>21</v>
      </c>
      <c r="S6717" s="24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5">
        <v>0</v>
      </c>
      <c r="E6718" s="5">
        <v>0</v>
      </c>
      <c r="F6718" s="5" t="s">
        <v>8</v>
      </c>
      <c r="G6718" s="15" t="s">
        <v>9</v>
      </c>
      <c r="H6718" s="24">
        <v>0</v>
      </c>
      <c r="I6718" s="24" t="s">
        <v>21</v>
      </c>
      <c r="J6718" s="24">
        <v>8.9999999979045242</v>
      </c>
      <c r="K6718" s="24" t="s">
        <v>21</v>
      </c>
      <c r="L6718" s="24" t="s">
        <v>21</v>
      </c>
      <c r="M6718" s="24" t="s">
        <v>21</v>
      </c>
      <c r="N6718" s="24" t="s">
        <v>21</v>
      </c>
      <c r="O6718" s="24" t="s">
        <v>21</v>
      </c>
      <c r="P6718" s="24" t="s">
        <v>21</v>
      </c>
      <c r="Q6718" s="24" t="s">
        <v>21</v>
      </c>
      <c r="R6718" s="24" t="s">
        <v>21</v>
      </c>
      <c r="S6718" s="24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5">
        <v>0</v>
      </c>
      <c r="E6719" s="5">
        <v>14</v>
      </c>
      <c r="F6719" s="5" t="s">
        <v>8</v>
      </c>
      <c r="G6719" s="15" t="s">
        <v>9</v>
      </c>
      <c r="H6719" s="24">
        <v>0</v>
      </c>
      <c r="I6719" s="24" t="s">
        <v>21</v>
      </c>
      <c r="J6719" s="24" t="s">
        <v>21</v>
      </c>
      <c r="K6719" s="24" t="s">
        <v>21</v>
      </c>
      <c r="L6719" s="24" t="s">
        <v>21</v>
      </c>
      <c r="M6719" s="24" t="s">
        <v>21</v>
      </c>
      <c r="N6719" s="24" t="s">
        <v>21</v>
      </c>
      <c r="O6719" s="24">
        <v>0</v>
      </c>
      <c r="P6719" s="24" t="s">
        <v>21</v>
      </c>
      <c r="Q6719" s="24" t="s">
        <v>21</v>
      </c>
      <c r="R6719" s="24" t="s">
        <v>21</v>
      </c>
      <c r="S6719" s="24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5">
        <v>0</v>
      </c>
      <c r="E6720" s="5">
        <v>0</v>
      </c>
      <c r="F6720" s="5" t="s">
        <v>8</v>
      </c>
      <c r="G6720" s="15" t="s">
        <v>9</v>
      </c>
      <c r="H6720" s="24">
        <v>1.000000003259629</v>
      </c>
      <c r="I6720" s="24" t="s">
        <v>21</v>
      </c>
      <c r="J6720" s="24" t="s">
        <v>21</v>
      </c>
      <c r="K6720" s="24" t="s">
        <v>21</v>
      </c>
      <c r="L6720" s="24" t="s">
        <v>21</v>
      </c>
      <c r="M6720" s="24" t="s">
        <v>21</v>
      </c>
      <c r="N6720" s="24" t="s">
        <v>21</v>
      </c>
      <c r="O6720" s="24">
        <v>1.000000003259629</v>
      </c>
      <c r="P6720" s="24" t="s">
        <v>21</v>
      </c>
      <c r="Q6720" s="24" t="s">
        <v>21</v>
      </c>
      <c r="R6720" s="24" t="s">
        <v>21</v>
      </c>
      <c r="S6720" s="24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5">
        <v>3</v>
      </c>
      <c r="E6721" s="5">
        <v>0</v>
      </c>
      <c r="F6721" s="5" t="s">
        <v>8</v>
      </c>
      <c r="G6721" s="15" t="s">
        <v>9</v>
      </c>
      <c r="H6721" s="24">
        <v>1.9999999960418791</v>
      </c>
      <c r="I6721" s="24" t="s">
        <v>21</v>
      </c>
      <c r="J6721" s="24">
        <v>2.9999999993015081</v>
      </c>
      <c r="K6721" s="24" t="s">
        <v>21</v>
      </c>
      <c r="L6721" s="24" t="s">
        <v>21</v>
      </c>
      <c r="M6721" s="24" t="s">
        <v>21</v>
      </c>
      <c r="N6721" s="24" t="s">
        <v>21</v>
      </c>
      <c r="O6721" s="24" t="s">
        <v>21</v>
      </c>
      <c r="P6721" s="24" t="s">
        <v>21</v>
      </c>
      <c r="Q6721" s="24" t="s">
        <v>21</v>
      </c>
      <c r="R6721" s="24" t="s">
        <v>21</v>
      </c>
      <c r="S6721" s="24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5">
        <v>1</v>
      </c>
      <c r="E6722" s="5">
        <v>0</v>
      </c>
      <c r="F6722" s="5" t="s">
        <v>8</v>
      </c>
      <c r="G6722" s="15" t="s">
        <v>9</v>
      </c>
      <c r="H6722" s="24">
        <v>0</v>
      </c>
      <c r="I6722" s="24" t="s">
        <v>21</v>
      </c>
      <c r="J6722" s="24">
        <v>0</v>
      </c>
      <c r="K6722" s="24" t="s">
        <v>21</v>
      </c>
      <c r="L6722" s="24" t="s">
        <v>21</v>
      </c>
      <c r="M6722" s="24" t="s">
        <v>21</v>
      </c>
      <c r="N6722" s="24" t="s">
        <v>21</v>
      </c>
      <c r="O6722" s="24" t="s">
        <v>21</v>
      </c>
      <c r="P6722" s="24" t="s">
        <v>21</v>
      </c>
      <c r="Q6722" s="24" t="s">
        <v>21</v>
      </c>
      <c r="R6722" s="24" t="s">
        <v>21</v>
      </c>
      <c r="S6722" s="24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5">
        <v>0</v>
      </c>
      <c r="E6723" s="5">
        <v>8</v>
      </c>
      <c r="F6723" s="5" t="s">
        <v>8</v>
      </c>
      <c r="G6723" s="15" t="s">
        <v>9</v>
      </c>
      <c r="H6723" s="24">
        <v>1.000000003259629</v>
      </c>
      <c r="I6723" s="24">
        <v>49.000000002561137</v>
      </c>
      <c r="J6723" s="24" t="s">
        <v>21</v>
      </c>
      <c r="K6723" s="24" t="s">
        <v>21</v>
      </c>
      <c r="L6723" s="24" t="s">
        <v>21</v>
      </c>
      <c r="M6723" s="24" t="s">
        <v>21</v>
      </c>
      <c r="N6723" s="24" t="s">
        <v>21</v>
      </c>
      <c r="O6723" s="24" t="s">
        <v>21</v>
      </c>
      <c r="P6723" s="24" t="s">
        <v>21</v>
      </c>
      <c r="Q6723" s="24" t="s">
        <v>21</v>
      </c>
      <c r="R6723" s="24" t="s">
        <v>21</v>
      </c>
      <c r="S6723" s="24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5">
        <v>0</v>
      </c>
      <c r="E6724" s="5">
        <v>18</v>
      </c>
      <c r="F6724" s="5" t="s">
        <v>8</v>
      </c>
      <c r="G6724" s="15" t="s">
        <v>9</v>
      </c>
      <c r="H6724" s="24">
        <v>0</v>
      </c>
      <c r="I6724" s="24">
        <v>0</v>
      </c>
      <c r="J6724" s="24" t="s">
        <v>21</v>
      </c>
      <c r="K6724" s="24" t="s">
        <v>21</v>
      </c>
      <c r="L6724" s="24" t="s">
        <v>21</v>
      </c>
      <c r="M6724" s="24" t="s">
        <v>21</v>
      </c>
      <c r="N6724" s="24" t="s">
        <v>21</v>
      </c>
      <c r="O6724" s="24" t="s">
        <v>21</v>
      </c>
      <c r="P6724" s="24" t="s">
        <v>21</v>
      </c>
      <c r="Q6724" s="24" t="s">
        <v>21</v>
      </c>
      <c r="R6724" s="24" t="s">
        <v>21</v>
      </c>
      <c r="S6724" s="24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5">
        <v>0</v>
      </c>
      <c r="E6725" s="5">
        <v>17</v>
      </c>
      <c r="F6725" s="5" t="s">
        <v>8</v>
      </c>
      <c r="G6725" s="15" t="s">
        <v>9</v>
      </c>
      <c r="H6725" s="24">
        <v>1.000000003259629</v>
      </c>
      <c r="I6725" s="24">
        <v>1.000000003259629</v>
      </c>
      <c r="J6725" s="24" t="s">
        <v>21</v>
      </c>
      <c r="K6725" s="24" t="s">
        <v>21</v>
      </c>
      <c r="L6725" s="24" t="s">
        <v>21</v>
      </c>
      <c r="M6725" s="24" t="s">
        <v>21</v>
      </c>
      <c r="N6725" s="24" t="s">
        <v>21</v>
      </c>
      <c r="O6725" s="24" t="s">
        <v>21</v>
      </c>
      <c r="P6725" s="24" t="s">
        <v>21</v>
      </c>
      <c r="Q6725" s="24" t="s">
        <v>21</v>
      </c>
      <c r="R6725" s="24" t="s">
        <v>21</v>
      </c>
      <c r="S6725" s="24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5">
        <v>3</v>
      </c>
      <c r="E6726" s="5">
        <v>0</v>
      </c>
      <c r="F6726" s="5" t="s">
        <v>8</v>
      </c>
      <c r="G6726" s="15" t="s">
        <v>9</v>
      </c>
      <c r="H6726" s="24">
        <v>0</v>
      </c>
      <c r="I6726" s="24">
        <v>0</v>
      </c>
      <c r="J6726" s="24" t="s">
        <v>21</v>
      </c>
      <c r="K6726" s="24" t="s">
        <v>21</v>
      </c>
      <c r="L6726" s="24" t="s">
        <v>21</v>
      </c>
      <c r="M6726" s="24" t="s">
        <v>21</v>
      </c>
      <c r="N6726" s="24" t="s">
        <v>21</v>
      </c>
      <c r="O6726" s="24" t="s">
        <v>21</v>
      </c>
      <c r="P6726" s="24" t="s">
        <v>21</v>
      </c>
      <c r="Q6726" s="24" t="s">
        <v>21</v>
      </c>
      <c r="R6726" s="24" t="s">
        <v>21</v>
      </c>
      <c r="S6726" s="24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5">
        <v>2</v>
      </c>
      <c r="E6727" s="5">
        <v>0</v>
      </c>
      <c r="F6727" s="5" t="s">
        <v>8</v>
      </c>
      <c r="G6727" s="15" t="s">
        <v>9</v>
      </c>
      <c r="H6727" s="24">
        <v>1.000000003259629</v>
      </c>
      <c r="I6727" s="24" t="s">
        <v>21</v>
      </c>
      <c r="J6727" s="24">
        <v>3.000000009778887</v>
      </c>
      <c r="K6727" s="24" t="s">
        <v>21</v>
      </c>
      <c r="L6727" s="24" t="s">
        <v>21</v>
      </c>
      <c r="M6727" s="24" t="s">
        <v>21</v>
      </c>
      <c r="N6727" s="24" t="s">
        <v>21</v>
      </c>
      <c r="O6727" s="24" t="s">
        <v>21</v>
      </c>
      <c r="P6727" s="24" t="s">
        <v>21</v>
      </c>
      <c r="Q6727" s="24" t="s">
        <v>21</v>
      </c>
      <c r="R6727" s="24" t="s">
        <v>21</v>
      </c>
      <c r="S6727" s="24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5">
        <v>3</v>
      </c>
      <c r="E6728" s="5">
        <v>0</v>
      </c>
      <c r="F6728" s="5" t="s">
        <v>8</v>
      </c>
      <c r="G6728" s="15" t="s">
        <v>9</v>
      </c>
      <c r="H6728" s="24">
        <v>0.99999999278225005</v>
      </c>
      <c r="I6728" s="24" t="s">
        <v>21</v>
      </c>
      <c r="J6728" s="24">
        <v>0.99999999278225005</v>
      </c>
      <c r="K6728" s="24" t="s">
        <v>21</v>
      </c>
      <c r="L6728" s="24" t="s">
        <v>21</v>
      </c>
      <c r="M6728" s="24" t="s">
        <v>21</v>
      </c>
      <c r="N6728" s="24" t="s">
        <v>21</v>
      </c>
      <c r="O6728" s="24" t="s">
        <v>21</v>
      </c>
      <c r="P6728" s="24" t="s">
        <v>21</v>
      </c>
      <c r="Q6728" s="24" t="s">
        <v>21</v>
      </c>
      <c r="R6728" s="24" t="s">
        <v>21</v>
      </c>
      <c r="S6728" s="24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5">
        <v>0</v>
      </c>
      <c r="E6729" s="5">
        <v>0</v>
      </c>
      <c r="F6729" s="5" t="s">
        <v>8</v>
      </c>
      <c r="G6729" s="15" t="s">
        <v>9</v>
      </c>
      <c r="H6729" s="24">
        <v>0</v>
      </c>
      <c r="I6729" s="24" t="s">
        <v>21</v>
      </c>
      <c r="J6729" s="24">
        <v>0</v>
      </c>
      <c r="K6729" s="24" t="s">
        <v>21</v>
      </c>
      <c r="L6729" s="24" t="s">
        <v>21</v>
      </c>
      <c r="M6729" s="24" t="s">
        <v>21</v>
      </c>
      <c r="N6729" s="24" t="s">
        <v>21</v>
      </c>
      <c r="O6729" s="24" t="s">
        <v>21</v>
      </c>
      <c r="P6729" s="24" t="s">
        <v>21</v>
      </c>
      <c r="Q6729" s="24" t="s">
        <v>21</v>
      </c>
      <c r="R6729" s="24" t="s">
        <v>21</v>
      </c>
      <c r="S6729" s="24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5">
        <v>4</v>
      </c>
      <c r="E6730" s="5">
        <v>0</v>
      </c>
      <c r="F6730" s="5" t="s">
        <v>8</v>
      </c>
      <c r="G6730" s="15" t="s">
        <v>9</v>
      </c>
      <c r="H6730" s="24">
        <v>0</v>
      </c>
      <c r="I6730" s="24">
        <v>1.9999999960418791</v>
      </c>
      <c r="J6730" s="24" t="s">
        <v>21</v>
      </c>
      <c r="K6730" s="24" t="s">
        <v>21</v>
      </c>
      <c r="L6730" s="24" t="s">
        <v>21</v>
      </c>
      <c r="M6730" s="24" t="s">
        <v>21</v>
      </c>
      <c r="N6730" s="24" t="s">
        <v>21</v>
      </c>
      <c r="O6730" s="24" t="s">
        <v>21</v>
      </c>
      <c r="P6730" s="24" t="s">
        <v>21</v>
      </c>
      <c r="Q6730" s="24" t="s">
        <v>21</v>
      </c>
      <c r="R6730" s="24" t="s">
        <v>21</v>
      </c>
      <c r="S6730" s="24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5">
        <v>4</v>
      </c>
      <c r="E6731" s="5">
        <v>0</v>
      </c>
      <c r="F6731" s="5" t="s">
        <v>8</v>
      </c>
      <c r="G6731" s="15" t="s">
        <v>9</v>
      </c>
      <c r="H6731" s="24">
        <v>1.000000003259629</v>
      </c>
      <c r="I6731" s="24">
        <v>1.000000003259629</v>
      </c>
      <c r="J6731" s="24" t="s">
        <v>21</v>
      </c>
      <c r="K6731" s="24" t="s">
        <v>21</v>
      </c>
      <c r="L6731" s="24" t="s">
        <v>21</v>
      </c>
      <c r="M6731" s="24" t="s">
        <v>21</v>
      </c>
      <c r="N6731" s="24" t="s">
        <v>21</v>
      </c>
      <c r="O6731" s="24" t="s">
        <v>21</v>
      </c>
      <c r="P6731" s="24" t="s">
        <v>21</v>
      </c>
      <c r="Q6731" s="24" t="s">
        <v>21</v>
      </c>
      <c r="R6731" s="24" t="s">
        <v>21</v>
      </c>
      <c r="S6731" s="24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5">
        <v>4</v>
      </c>
      <c r="E6732" s="5">
        <v>0</v>
      </c>
      <c r="F6732" s="5" t="s">
        <v>8</v>
      </c>
      <c r="G6732" s="15" t="s">
        <v>9</v>
      </c>
      <c r="H6732" s="24">
        <v>1.000000003259629</v>
      </c>
      <c r="I6732" s="24">
        <v>1.000000003259629</v>
      </c>
      <c r="J6732" s="24" t="s">
        <v>21</v>
      </c>
      <c r="K6732" s="24" t="s">
        <v>21</v>
      </c>
      <c r="L6732" s="24" t="s">
        <v>21</v>
      </c>
      <c r="M6732" s="24" t="s">
        <v>21</v>
      </c>
      <c r="N6732" s="24" t="s">
        <v>21</v>
      </c>
      <c r="O6732" s="24" t="s">
        <v>21</v>
      </c>
      <c r="P6732" s="24" t="s">
        <v>21</v>
      </c>
      <c r="Q6732" s="24" t="s">
        <v>21</v>
      </c>
      <c r="R6732" s="24" t="s">
        <v>21</v>
      </c>
      <c r="S6732" s="24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5">
        <v>2</v>
      </c>
      <c r="E6733" s="5">
        <v>0</v>
      </c>
      <c r="F6733" s="5" t="s">
        <v>8</v>
      </c>
      <c r="G6733" s="15" t="s">
        <v>9</v>
      </c>
      <c r="H6733" s="24">
        <v>0</v>
      </c>
      <c r="I6733" s="24">
        <v>0</v>
      </c>
      <c r="J6733" s="24" t="s">
        <v>21</v>
      </c>
      <c r="K6733" s="24" t="s">
        <v>21</v>
      </c>
      <c r="L6733" s="24" t="s">
        <v>21</v>
      </c>
      <c r="M6733" s="24" t="s">
        <v>21</v>
      </c>
      <c r="N6733" s="24" t="s">
        <v>21</v>
      </c>
      <c r="O6733" s="24" t="s">
        <v>21</v>
      </c>
      <c r="P6733" s="24" t="s">
        <v>21</v>
      </c>
      <c r="Q6733" s="24" t="s">
        <v>21</v>
      </c>
      <c r="R6733" s="24" t="s">
        <v>21</v>
      </c>
      <c r="S6733" s="24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5">
        <v>4</v>
      </c>
      <c r="E6734" s="5">
        <v>0</v>
      </c>
      <c r="F6734" s="5" t="s">
        <v>8</v>
      </c>
      <c r="G6734" s="15" t="s">
        <v>9</v>
      </c>
      <c r="H6734" s="24">
        <v>1.9999999960418791</v>
      </c>
      <c r="I6734" s="24" t="s">
        <v>21</v>
      </c>
      <c r="J6734" s="24">
        <v>4.0000000025611371</v>
      </c>
      <c r="K6734" s="24" t="s">
        <v>21</v>
      </c>
      <c r="L6734" s="24" t="s">
        <v>21</v>
      </c>
      <c r="M6734" s="24" t="s">
        <v>21</v>
      </c>
      <c r="N6734" s="24" t="s">
        <v>21</v>
      </c>
      <c r="O6734" s="24" t="s">
        <v>21</v>
      </c>
      <c r="P6734" s="24" t="s">
        <v>21</v>
      </c>
      <c r="Q6734" s="24" t="s">
        <v>21</v>
      </c>
      <c r="R6734" s="24" t="s">
        <v>21</v>
      </c>
      <c r="S6734" s="24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5">
        <v>2</v>
      </c>
      <c r="E6735" s="5">
        <v>0</v>
      </c>
      <c r="F6735" s="5" t="s">
        <v>8</v>
      </c>
      <c r="G6735" s="15" t="s">
        <v>9</v>
      </c>
      <c r="H6735" s="24">
        <v>1.000000003259629</v>
      </c>
      <c r="I6735" s="24" t="s">
        <v>21</v>
      </c>
      <c r="J6735" s="24">
        <v>1.000000003259629</v>
      </c>
      <c r="K6735" s="24" t="s">
        <v>21</v>
      </c>
      <c r="L6735" s="24" t="s">
        <v>21</v>
      </c>
      <c r="M6735" s="24" t="s">
        <v>21</v>
      </c>
      <c r="N6735" s="24" t="s">
        <v>21</v>
      </c>
      <c r="O6735" s="24" t="s">
        <v>21</v>
      </c>
      <c r="P6735" s="24" t="s">
        <v>21</v>
      </c>
      <c r="Q6735" s="24" t="s">
        <v>21</v>
      </c>
      <c r="R6735" s="24" t="s">
        <v>21</v>
      </c>
      <c r="S6735" s="24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5">
        <v>3</v>
      </c>
      <c r="E6736" s="5">
        <v>0</v>
      </c>
      <c r="F6736" s="5" t="s">
        <v>8</v>
      </c>
      <c r="G6736" s="15" t="s">
        <v>9</v>
      </c>
      <c r="H6736" s="24">
        <v>0.99999999278225005</v>
      </c>
      <c r="I6736" s="24" t="s">
        <v>21</v>
      </c>
      <c r="J6736" s="24">
        <v>0.99999999278225005</v>
      </c>
      <c r="K6736" s="24" t="s">
        <v>21</v>
      </c>
      <c r="L6736" s="24" t="s">
        <v>21</v>
      </c>
      <c r="M6736" s="24" t="s">
        <v>21</v>
      </c>
      <c r="N6736" s="24" t="s">
        <v>21</v>
      </c>
      <c r="O6736" s="24" t="s">
        <v>21</v>
      </c>
      <c r="P6736" s="24" t="s">
        <v>21</v>
      </c>
      <c r="Q6736" s="24" t="s">
        <v>21</v>
      </c>
      <c r="R6736" s="24" t="s">
        <v>21</v>
      </c>
      <c r="S6736" s="24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5">
        <v>3</v>
      </c>
      <c r="E6737" s="5">
        <v>0</v>
      </c>
      <c r="F6737" s="5" t="s">
        <v>8</v>
      </c>
      <c r="G6737" s="15" t="s">
        <v>9</v>
      </c>
      <c r="H6737" s="24">
        <v>1.000000003259629</v>
      </c>
      <c r="I6737" s="24" t="s">
        <v>21</v>
      </c>
      <c r="J6737" s="24">
        <v>1.000000003259629</v>
      </c>
      <c r="K6737" s="24" t="s">
        <v>21</v>
      </c>
      <c r="L6737" s="24" t="s">
        <v>21</v>
      </c>
      <c r="M6737" s="24" t="s">
        <v>21</v>
      </c>
      <c r="N6737" s="24" t="s">
        <v>21</v>
      </c>
      <c r="O6737" s="24" t="s">
        <v>21</v>
      </c>
      <c r="P6737" s="24" t="s">
        <v>21</v>
      </c>
      <c r="Q6737" s="24" t="s">
        <v>21</v>
      </c>
      <c r="R6737" s="24" t="s">
        <v>21</v>
      </c>
      <c r="S6737" s="24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5">
        <v>1</v>
      </c>
      <c r="E6738" s="5">
        <v>0</v>
      </c>
      <c r="F6738" s="5" t="s">
        <v>8</v>
      </c>
      <c r="G6738" s="15" t="s">
        <v>9</v>
      </c>
      <c r="H6738" s="24">
        <v>1.000000003259629</v>
      </c>
      <c r="I6738" s="24" t="s">
        <v>21</v>
      </c>
      <c r="J6738" s="24">
        <v>1.000000003259629</v>
      </c>
      <c r="K6738" s="24" t="s">
        <v>21</v>
      </c>
      <c r="L6738" s="24" t="s">
        <v>21</v>
      </c>
      <c r="M6738" s="24" t="s">
        <v>21</v>
      </c>
      <c r="N6738" s="24" t="s">
        <v>21</v>
      </c>
      <c r="O6738" s="24" t="s">
        <v>21</v>
      </c>
      <c r="P6738" s="24" t="s">
        <v>21</v>
      </c>
      <c r="Q6738" s="24" t="s">
        <v>21</v>
      </c>
      <c r="R6738" s="24" t="s">
        <v>21</v>
      </c>
      <c r="S6738" s="24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5">
        <v>2</v>
      </c>
      <c r="E6739" s="5">
        <v>0</v>
      </c>
      <c r="F6739" s="5" t="s">
        <v>8</v>
      </c>
      <c r="G6739" s="15" t="s">
        <v>9</v>
      </c>
      <c r="H6739" s="24">
        <v>0</v>
      </c>
      <c r="I6739" s="24" t="s">
        <v>21</v>
      </c>
      <c r="J6739" s="24">
        <v>0</v>
      </c>
      <c r="K6739" s="24" t="s">
        <v>21</v>
      </c>
      <c r="L6739" s="24" t="s">
        <v>21</v>
      </c>
      <c r="M6739" s="24" t="s">
        <v>21</v>
      </c>
      <c r="N6739" s="24" t="s">
        <v>21</v>
      </c>
      <c r="O6739" s="24" t="s">
        <v>21</v>
      </c>
      <c r="P6739" s="24" t="s">
        <v>21</v>
      </c>
      <c r="Q6739" s="24" t="s">
        <v>21</v>
      </c>
      <c r="R6739" s="24" t="s">
        <v>21</v>
      </c>
      <c r="S6739" s="24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5">
        <v>1</v>
      </c>
      <c r="E6740" s="5">
        <v>0</v>
      </c>
      <c r="F6740" s="5" t="s">
        <v>8</v>
      </c>
      <c r="G6740" s="15" t="s">
        <v>9</v>
      </c>
      <c r="H6740" s="24">
        <v>0.99999999278225005</v>
      </c>
      <c r="I6740" s="24" t="s">
        <v>21</v>
      </c>
      <c r="J6740" s="24" t="s">
        <v>21</v>
      </c>
      <c r="K6740" s="24">
        <v>24.999999997671694</v>
      </c>
      <c r="L6740" s="24" t="s">
        <v>21</v>
      </c>
      <c r="M6740" s="24" t="s">
        <v>21</v>
      </c>
      <c r="N6740" s="24" t="s">
        <v>21</v>
      </c>
      <c r="O6740" s="24" t="s">
        <v>21</v>
      </c>
      <c r="P6740" s="24" t="s">
        <v>21</v>
      </c>
      <c r="Q6740" s="24" t="s">
        <v>21</v>
      </c>
      <c r="R6740" s="24" t="s">
        <v>21</v>
      </c>
      <c r="S6740" s="24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5">
        <v>3</v>
      </c>
      <c r="E6741" s="5">
        <v>0</v>
      </c>
      <c r="F6741" s="5" t="s">
        <v>8</v>
      </c>
      <c r="G6741" s="15" t="s">
        <v>9</v>
      </c>
      <c r="H6741" s="24">
        <v>0</v>
      </c>
      <c r="I6741" s="24" t="s">
        <v>21</v>
      </c>
      <c r="J6741" s="24">
        <v>0.99999999278225005</v>
      </c>
      <c r="K6741" s="24" t="s">
        <v>21</v>
      </c>
      <c r="L6741" s="24" t="s">
        <v>21</v>
      </c>
      <c r="M6741" s="24" t="s">
        <v>21</v>
      </c>
      <c r="N6741" s="24" t="s">
        <v>21</v>
      </c>
      <c r="O6741" s="24" t="s">
        <v>21</v>
      </c>
      <c r="P6741" s="24" t="s">
        <v>21</v>
      </c>
      <c r="Q6741" s="24" t="s">
        <v>21</v>
      </c>
      <c r="R6741" s="24" t="s">
        <v>21</v>
      </c>
      <c r="S6741" s="24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5">
        <v>1</v>
      </c>
      <c r="E6742" s="5">
        <v>0</v>
      </c>
      <c r="F6742" s="5" t="s">
        <v>8</v>
      </c>
      <c r="G6742" s="15" t="s">
        <v>9</v>
      </c>
      <c r="H6742" s="24">
        <v>1.000000003259629</v>
      </c>
      <c r="I6742" s="24" t="s">
        <v>21</v>
      </c>
      <c r="J6742" s="24" t="s">
        <v>21</v>
      </c>
      <c r="K6742" s="24">
        <v>1.000000003259629</v>
      </c>
      <c r="L6742" s="24" t="s">
        <v>21</v>
      </c>
      <c r="M6742" s="24" t="s">
        <v>21</v>
      </c>
      <c r="N6742" s="24" t="s">
        <v>21</v>
      </c>
      <c r="O6742" s="24" t="s">
        <v>21</v>
      </c>
      <c r="P6742" s="24" t="s">
        <v>21</v>
      </c>
      <c r="Q6742" s="24" t="s">
        <v>21</v>
      </c>
      <c r="R6742" s="24" t="s">
        <v>21</v>
      </c>
      <c r="S6742" s="24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5">
        <v>0</v>
      </c>
      <c r="E6743" s="5">
        <v>0</v>
      </c>
      <c r="F6743" s="5" t="s">
        <v>8</v>
      </c>
      <c r="G6743" s="15" t="s">
        <v>9</v>
      </c>
      <c r="H6743" s="24">
        <v>0</v>
      </c>
      <c r="I6743" s="24" t="s">
        <v>21</v>
      </c>
      <c r="J6743" s="24" t="s">
        <v>21</v>
      </c>
      <c r="K6743" s="24">
        <v>0</v>
      </c>
      <c r="L6743" s="24" t="s">
        <v>21</v>
      </c>
      <c r="M6743" s="24" t="s">
        <v>21</v>
      </c>
      <c r="N6743" s="24" t="s">
        <v>21</v>
      </c>
      <c r="O6743" s="24" t="s">
        <v>21</v>
      </c>
      <c r="P6743" s="24" t="s">
        <v>21</v>
      </c>
      <c r="Q6743" s="24" t="s">
        <v>21</v>
      </c>
      <c r="R6743" s="24" t="s">
        <v>21</v>
      </c>
      <c r="S6743" s="24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5">
        <v>0</v>
      </c>
      <c r="E6744" s="5">
        <v>0</v>
      </c>
      <c r="F6744" s="5" t="s">
        <v>8</v>
      </c>
      <c r="G6744" s="15" t="s">
        <v>9</v>
      </c>
      <c r="H6744" s="24">
        <v>0</v>
      </c>
      <c r="I6744" s="24" t="s">
        <v>21</v>
      </c>
      <c r="J6744" s="24" t="s">
        <v>21</v>
      </c>
      <c r="K6744" s="24" t="s">
        <v>21</v>
      </c>
      <c r="L6744" s="24">
        <v>72.000000004190952</v>
      </c>
      <c r="M6744" s="24" t="s">
        <v>21</v>
      </c>
      <c r="N6744" s="24" t="s">
        <v>21</v>
      </c>
      <c r="O6744" s="24" t="s">
        <v>21</v>
      </c>
      <c r="P6744" s="24" t="s">
        <v>21</v>
      </c>
      <c r="Q6744" s="24" t="s">
        <v>21</v>
      </c>
      <c r="R6744" s="24" t="s">
        <v>21</v>
      </c>
      <c r="S6744" s="24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5">
        <v>0</v>
      </c>
      <c r="E6745" s="5">
        <v>1</v>
      </c>
      <c r="F6745" s="5" t="s">
        <v>8</v>
      </c>
      <c r="G6745" s="15" t="s">
        <v>9</v>
      </c>
      <c r="H6745" s="24">
        <v>0</v>
      </c>
      <c r="I6745" s="24" t="s">
        <v>21</v>
      </c>
      <c r="J6745" s="24">
        <v>1.000000003259629</v>
      </c>
      <c r="K6745" s="24" t="s">
        <v>21</v>
      </c>
      <c r="L6745" s="24" t="s">
        <v>21</v>
      </c>
      <c r="M6745" s="24" t="s">
        <v>21</v>
      </c>
      <c r="N6745" s="24" t="s">
        <v>21</v>
      </c>
      <c r="O6745" s="24" t="s">
        <v>21</v>
      </c>
      <c r="P6745" s="24" t="s">
        <v>21</v>
      </c>
      <c r="Q6745" s="24" t="s">
        <v>21</v>
      </c>
      <c r="R6745" s="24" t="s">
        <v>21</v>
      </c>
      <c r="S6745" s="24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5">
        <v>0</v>
      </c>
      <c r="E6746" s="5">
        <v>0</v>
      </c>
      <c r="F6746" s="5" t="s">
        <v>8</v>
      </c>
      <c r="G6746" s="15" t="s">
        <v>9</v>
      </c>
      <c r="H6746" s="24">
        <v>0</v>
      </c>
      <c r="I6746" s="24" t="s">
        <v>21</v>
      </c>
      <c r="J6746" s="24" t="s">
        <v>21</v>
      </c>
      <c r="K6746" s="24" t="s">
        <v>21</v>
      </c>
      <c r="L6746" s="24">
        <v>0</v>
      </c>
      <c r="M6746" s="24" t="s">
        <v>21</v>
      </c>
      <c r="N6746" s="24" t="s">
        <v>21</v>
      </c>
      <c r="O6746" s="24" t="s">
        <v>21</v>
      </c>
      <c r="P6746" s="24" t="s">
        <v>21</v>
      </c>
      <c r="Q6746" s="24" t="s">
        <v>21</v>
      </c>
      <c r="R6746" s="24" t="s">
        <v>21</v>
      </c>
      <c r="S6746" s="24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5">
        <v>0</v>
      </c>
      <c r="E6747" s="5">
        <v>0</v>
      </c>
      <c r="F6747" s="5" t="s">
        <v>8</v>
      </c>
      <c r="G6747" s="15" t="s">
        <v>9</v>
      </c>
      <c r="H6747" s="24">
        <v>0</v>
      </c>
      <c r="I6747" s="24" t="s">
        <v>21</v>
      </c>
      <c r="J6747" s="24" t="s">
        <v>21</v>
      </c>
      <c r="K6747" s="24">
        <v>0</v>
      </c>
      <c r="L6747" s="24" t="s">
        <v>21</v>
      </c>
      <c r="M6747" s="24" t="s">
        <v>21</v>
      </c>
      <c r="N6747" s="24" t="s">
        <v>21</v>
      </c>
      <c r="O6747" s="24" t="s">
        <v>21</v>
      </c>
      <c r="P6747" s="24" t="s">
        <v>21</v>
      </c>
      <c r="Q6747" s="24" t="s">
        <v>21</v>
      </c>
      <c r="R6747" s="24" t="s">
        <v>21</v>
      </c>
      <c r="S6747" s="24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5">
        <v>4</v>
      </c>
      <c r="E6748" s="5">
        <v>0</v>
      </c>
      <c r="F6748" s="5" t="s">
        <v>8</v>
      </c>
      <c r="G6748" s="15" t="s">
        <v>9</v>
      </c>
      <c r="H6748" s="24">
        <v>1.000000003259629</v>
      </c>
      <c r="I6748" s="24" t="s">
        <v>21</v>
      </c>
      <c r="J6748" s="24" t="s">
        <v>21</v>
      </c>
      <c r="K6748" s="24">
        <v>1.000000003259629</v>
      </c>
      <c r="L6748" s="24" t="s">
        <v>21</v>
      </c>
      <c r="M6748" s="24" t="s">
        <v>21</v>
      </c>
      <c r="N6748" s="24" t="s">
        <v>21</v>
      </c>
      <c r="O6748" s="24" t="s">
        <v>21</v>
      </c>
      <c r="P6748" s="24" t="s">
        <v>21</v>
      </c>
      <c r="Q6748" s="24" t="s">
        <v>21</v>
      </c>
      <c r="R6748" s="24" t="s">
        <v>21</v>
      </c>
      <c r="S6748" s="24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5">
        <v>1</v>
      </c>
      <c r="E6749" s="5">
        <v>0</v>
      </c>
      <c r="F6749" s="5" t="s">
        <v>8</v>
      </c>
      <c r="G6749" s="15" t="s">
        <v>9</v>
      </c>
      <c r="H6749" s="24">
        <v>0.99999999278225005</v>
      </c>
      <c r="I6749" s="24" t="s">
        <v>21</v>
      </c>
      <c r="J6749" s="24">
        <v>1.9999999960418791</v>
      </c>
      <c r="K6749" s="24" t="s">
        <v>21</v>
      </c>
      <c r="L6749" s="24" t="s">
        <v>21</v>
      </c>
      <c r="M6749" s="24" t="s">
        <v>21</v>
      </c>
      <c r="N6749" s="24" t="s">
        <v>21</v>
      </c>
      <c r="O6749" s="24" t="s">
        <v>21</v>
      </c>
      <c r="P6749" s="24" t="s">
        <v>21</v>
      </c>
      <c r="Q6749" s="24" t="s">
        <v>21</v>
      </c>
      <c r="R6749" s="24" t="s">
        <v>21</v>
      </c>
      <c r="S6749" s="24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5">
        <v>2</v>
      </c>
      <c r="E6750" s="5">
        <v>0</v>
      </c>
      <c r="F6750" s="5" t="s">
        <v>8</v>
      </c>
      <c r="G6750" s="15" t="s">
        <v>9</v>
      </c>
      <c r="H6750" s="24">
        <v>1.000000003259629</v>
      </c>
      <c r="I6750" s="24" t="s">
        <v>21</v>
      </c>
      <c r="J6750" s="24">
        <v>1.000000003259629</v>
      </c>
      <c r="K6750" s="24" t="s">
        <v>21</v>
      </c>
      <c r="L6750" s="24" t="s">
        <v>21</v>
      </c>
      <c r="M6750" s="24" t="s">
        <v>21</v>
      </c>
      <c r="N6750" s="24" t="s">
        <v>21</v>
      </c>
      <c r="O6750" s="24" t="s">
        <v>21</v>
      </c>
      <c r="P6750" s="24" t="s">
        <v>21</v>
      </c>
      <c r="Q6750" s="24" t="s">
        <v>21</v>
      </c>
      <c r="R6750" s="24" t="s">
        <v>21</v>
      </c>
      <c r="S6750" s="24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5">
        <v>1</v>
      </c>
      <c r="E6751" s="5">
        <v>0</v>
      </c>
      <c r="F6751" s="5" t="s">
        <v>8</v>
      </c>
      <c r="G6751" s="15" t="s">
        <v>9</v>
      </c>
      <c r="H6751" s="24">
        <v>4.0000000025611371</v>
      </c>
      <c r="I6751" s="24" t="s">
        <v>21</v>
      </c>
      <c r="J6751" s="24" t="s">
        <v>21</v>
      </c>
      <c r="K6751" s="24">
        <v>5.9999999986030161</v>
      </c>
      <c r="L6751" s="24" t="s">
        <v>21</v>
      </c>
      <c r="M6751" s="24" t="s">
        <v>21</v>
      </c>
      <c r="N6751" s="24" t="s">
        <v>21</v>
      </c>
      <c r="O6751" s="24" t="s">
        <v>21</v>
      </c>
      <c r="P6751" s="24" t="s">
        <v>21</v>
      </c>
      <c r="Q6751" s="24" t="s">
        <v>21</v>
      </c>
      <c r="R6751" s="24" t="s">
        <v>21</v>
      </c>
      <c r="S6751" s="24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5">
        <v>2</v>
      </c>
      <c r="E6752" s="5">
        <v>0</v>
      </c>
      <c r="F6752" s="5" t="s">
        <v>8</v>
      </c>
      <c r="G6752" s="15" t="s">
        <v>9</v>
      </c>
      <c r="H6752" s="24">
        <v>1.000000003259629</v>
      </c>
      <c r="I6752" s="24" t="s">
        <v>21</v>
      </c>
      <c r="J6752" s="24">
        <v>5.0000000058207661</v>
      </c>
      <c r="K6752" s="24" t="s">
        <v>21</v>
      </c>
      <c r="L6752" s="24" t="s">
        <v>21</v>
      </c>
      <c r="M6752" s="24" t="s">
        <v>21</v>
      </c>
      <c r="N6752" s="24" t="s">
        <v>21</v>
      </c>
      <c r="O6752" s="24" t="s">
        <v>21</v>
      </c>
      <c r="P6752" s="24" t="s">
        <v>21</v>
      </c>
      <c r="Q6752" s="24" t="s">
        <v>21</v>
      </c>
      <c r="R6752" s="24" t="s">
        <v>21</v>
      </c>
      <c r="S6752" s="24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5">
        <v>0</v>
      </c>
      <c r="E6753" s="5">
        <v>1</v>
      </c>
      <c r="F6753" s="5" t="s">
        <v>8</v>
      </c>
      <c r="G6753" s="15" t="s">
        <v>9</v>
      </c>
      <c r="H6753" s="24">
        <v>0</v>
      </c>
      <c r="I6753" s="24" t="s">
        <v>21</v>
      </c>
      <c r="J6753" s="24" t="s">
        <v>21</v>
      </c>
      <c r="K6753" s="24">
        <v>1.000000003259629</v>
      </c>
      <c r="L6753" s="24" t="s">
        <v>21</v>
      </c>
      <c r="M6753" s="24" t="s">
        <v>21</v>
      </c>
      <c r="N6753" s="24" t="s">
        <v>21</v>
      </c>
      <c r="O6753" s="24" t="s">
        <v>21</v>
      </c>
      <c r="P6753" s="24" t="s">
        <v>21</v>
      </c>
      <c r="Q6753" s="24" t="s">
        <v>21</v>
      </c>
      <c r="R6753" s="24" t="s">
        <v>21</v>
      </c>
      <c r="S6753" s="24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5">
        <v>3</v>
      </c>
      <c r="E6754" s="5">
        <v>0</v>
      </c>
      <c r="F6754" s="5" t="s">
        <v>8</v>
      </c>
      <c r="G6754" s="15" t="s">
        <v>9</v>
      </c>
      <c r="H6754" s="24">
        <v>0</v>
      </c>
      <c r="I6754" s="24" t="s">
        <v>21</v>
      </c>
      <c r="J6754" s="24">
        <v>0</v>
      </c>
      <c r="K6754" s="24" t="s">
        <v>21</v>
      </c>
      <c r="L6754" s="24" t="s">
        <v>21</v>
      </c>
      <c r="M6754" s="24" t="s">
        <v>21</v>
      </c>
      <c r="N6754" s="24" t="s">
        <v>21</v>
      </c>
      <c r="O6754" s="24" t="s">
        <v>21</v>
      </c>
      <c r="P6754" s="24" t="s">
        <v>21</v>
      </c>
      <c r="Q6754" s="24" t="s">
        <v>21</v>
      </c>
      <c r="R6754" s="24" t="s">
        <v>21</v>
      </c>
      <c r="S6754" s="24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5">
        <v>0</v>
      </c>
      <c r="E6755" s="5">
        <v>0</v>
      </c>
      <c r="F6755" s="5" t="s">
        <v>8</v>
      </c>
      <c r="G6755" s="15" t="s">
        <v>9</v>
      </c>
      <c r="H6755" s="24">
        <v>0</v>
      </c>
      <c r="I6755" s="24" t="s">
        <v>21</v>
      </c>
      <c r="J6755" s="24" t="s">
        <v>21</v>
      </c>
      <c r="K6755" s="24" t="s">
        <v>21</v>
      </c>
      <c r="L6755" s="24" t="s">
        <v>21</v>
      </c>
      <c r="M6755" s="24" t="s">
        <v>21</v>
      </c>
      <c r="N6755" s="24" t="s">
        <v>21</v>
      </c>
      <c r="O6755" s="24" t="s">
        <v>21</v>
      </c>
      <c r="P6755" s="24" t="s">
        <v>21</v>
      </c>
      <c r="Q6755" s="24" t="s">
        <v>21</v>
      </c>
      <c r="R6755" s="24" t="s">
        <v>21</v>
      </c>
      <c r="S6755" s="24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5">
        <v>1</v>
      </c>
      <c r="E6756" s="5">
        <v>0</v>
      </c>
      <c r="F6756" s="5" t="s">
        <v>8</v>
      </c>
      <c r="G6756" s="15" t="s">
        <v>9</v>
      </c>
      <c r="H6756" s="24">
        <v>0</v>
      </c>
      <c r="I6756" s="24" t="s">
        <v>21</v>
      </c>
      <c r="J6756" s="24" t="s">
        <v>21</v>
      </c>
      <c r="K6756" s="24">
        <v>0</v>
      </c>
      <c r="L6756" s="24" t="s">
        <v>21</v>
      </c>
      <c r="M6756" s="24" t="s">
        <v>21</v>
      </c>
      <c r="N6756" s="24" t="s">
        <v>21</v>
      </c>
      <c r="O6756" s="24" t="s">
        <v>21</v>
      </c>
      <c r="P6756" s="24" t="s">
        <v>21</v>
      </c>
      <c r="Q6756" s="24" t="s">
        <v>21</v>
      </c>
      <c r="R6756" s="24" t="s">
        <v>21</v>
      </c>
      <c r="S6756" s="24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5">
        <v>3</v>
      </c>
      <c r="E6757" s="5">
        <v>0</v>
      </c>
      <c r="F6757" s="5" t="s">
        <v>8</v>
      </c>
      <c r="G6757" s="15" t="s">
        <v>9</v>
      </c>
      <c r="H6757" s="24">
        <v>1.9999999960418791</v>
      </c>
      <c r="I6757" s="24" t="s">
        <v>21</v>
      </c>
      <c r="J6757" s="24" t="s">
        <v>21</v>
      </c>
      <c r="K6757" s="24">
        <v>1.9999999960418791</v>
      </c>
      <c r="L6757" s="24" t="s">
        <v>21</v>
      </c>
      <c r="M6757" s="24" t="s">
        <v>21</v>
      </c>
      <c r="N6757" s="24" t="s">
        <v>21</v>
      </c>
      <c r="O6757" s="24" t="s">
        <v>21</v>
      </c>
      <c r="P6757" s="24" t="s">
        <v>21</v>
      </c>
      <c r="Q6757" s="24" t="s">
        <v>21</v>
      </c>
      <c r="R6757" s="24" t="s">
        <v>21</v>
      </c>
      <c r="S6757" s="24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5">
        <v>1</v>
      </c>
      <c r="E6758" s="5">
        <v>0</v>
      </c>
      <c r="F6758" s="5" t="s">
        <v>8</v>
      </c>
      <c r="G6758" s="15" t="s">
        <v>9</v>
      </c>
      <c r="H6758" s="24">
        <v>0</v>
      </c>
      <c r="I6758" s="24" t="s">
        <v>21</v>
      </c>
      <c r="J6758" s="24" t="s">
        <v>21</v>
      </c>
      <c r="K6758" s="24">
        <v>0</v>
      </c>
      <c r="L6758" s="24" t="s">
        <v>21</v>
      </c>
      <c r="M6758" s="24" t="s">
        <v>21</v>
      </c>
      <c r="N6758" s="24" t="s">
        <v>21</v>
      </c>
      <c r="O6758" s="24" t="s">
        <v>21</v>
      </c>
      <c r="P6758" s="24" t="s">
        <v>21</v>
      </c>
      <c r="Q6758" s="24" t="s">
        <v>21</v>
      </c>
      <c r="R6758" s="24" t="s">
        <v>21</v>
      </c>
      <c r="S6758" s="24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5">
        <v>2</v>
      </c>
      <c r="E6759" s="5">
        <v>0</v>
      </c>
      <c r="F6759" s="5" t="s">
        <v>8</v>
      </c>
      <c r="G6759" s="15" t="s">
        <v>9</v>
      </c>
      <c r="H6759" s="24">
        <v>0</v>
      </c>
      <c r="I6759" s="24" t="s">
        <v>21</v>
      </c>
      <c r="J6759" s="24">
        <v>1.9999999960418791</v>
      </c>
      <c r="K6759" s="24" t="s">
        <v>21</v>
      </c>
      <c r="L6759" s="24" t="s">
        <v>21</v>
      </c>
      <c r="M6759" s="24" t="s">
        <v>21</v>
      </c>
      <c r="N6759" s="24" t="s">
        <v>21</v>
      </c>
      <c r="O6759" s="24" t="s">
        <v>21</v>
      </c>
      <c r="P6759" s="24" t="s">
        <v>21</v>
      </c>
      <c r="Q6759" s="24" t="s">
        <v>21</v>
      </c>
      <c r="R6759" s="24" t="s">
        <v>21</v>
      </c>
      <c r="S6759" s="24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5">
        <v>2</v>
      </c>
      <c r="E6760" s="5">
        <v>0</v>
      </c>
      <c r="F6760" s="5" t="s">
        <v>8</v>
      </c>
      <c r="G6760" s="15" t="s">
        <v>9</v>
      </c>
      <c r="H6760" s="24">
        <v>0</v>
      </c>
      <c r="I6760" s="24" t="s">
        <v>21</v>
      </c>
      <c r="J6760" s="24">
        <v>0</v>
      </c>
      <c r="K6760" s="24" t="s">
        <v>21</v>
      </c>
      <c r="L6760" s="24" t="s">
        <v>21</v>
      </c>
      <c r="M6760" s="24" t="s">
        <v>21</v>
      </c>
      <c r="N6760" s="24" t="s">
        <v>21</v>
      </c>
      <c r="O6760" s="24" t="s">
        <v>21</v>
      </c>
      <c r="P6760" s="24" t="s">
        <v>21</v>
      </c>
      <c r="Q6760" s="24" t="s">
        <v>21</v>
      </c>
      <c r="R6760" s="24" t="s">
        <v>21</v>
      </c>
      <c r="S6760" s="24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5">
        <v>1</v>
      </c>
      <c r="E6761" s="5">
        <v>0</v>
      </c>
      <c r="F6761" s="5" t="s">
        <v>8</v>
      </c>
      <c r="G6761" s="15" t="s">
        <v>9</v>
      </c>
      <c r="H6761" s="24">
        <v>0</v>
      </c>
      <c r="I6761" s="24" t="s">
        <v>21</v>
      </c>
      <c r="J6761" s="24">
        <v>0</v>
      </c>
      <c r="K6761" s="24" t="s">
        <v>21</v>
      </c>
      <c r="L6761" s="24" t="s">
        <v>21</v>
      </c>
      <c r="M6761" s="24" t="s">
        <v>21</v>
      </c>
      <c r="N6761" s="24" t="s">
        <v>21</v>
      </c>
      <c r="O6761" s="24" t="s">
        <v>21</v>
      </c>
      <c r="P6761" s="24" t="s">
        <v>21</v>
      </c>
      <c r="Q6761" s="24" t="s">
        <v>21</v>
      </c>
      <c r="R6761" s="24" t="s">
        <v>21</v>
      </c>
      <c r="S6761" s="24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5">
        <v>1</v>
      </c>
      <c r="E6762" s="5">
        <v>0</v>
      </c>
      <c r="F6762" s="5" t="s">
        <v>8</v>
      </c>
      <c r="G6762" s="15" t="s">
        <v>9</v>
      </c>
      <c r="H6762" s="24">
        <v>0</v>
      </c>
      <c r="I6762" s="24" t="s">
        <v>21</v>
      </c>
      <c r="J6762" s="24">
        <v>0</v>
      </c>
      <c r="K6762" s="24" t="s">
        <v>21</v>
      </c>
      <c r="L6762" s="24" t="s">
        <v>21</v>
      </c>
      <c r="M6762" s="24" t="s">
        <v>21</v>
      </c>
      <c r="N6762" s="24" t="s">
        <v>21</v>
      </c>
      <c r="O6762" s="24" t="s">
        <v>21</v>
      </c>
      <c r="P6762" s="24" t="s">
        <v>21</v>
      </c>
      <c r="Q6762" s="24" t="s">
        <v>21</v>
      </c>
      <c r="R6762" s="24" t="s">
        <v>21</v>
      </c>
      <c r="S6762" s="24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5">
        <v>0</v>
      </c>
      <c r="E6763" s="5">
        <v>0</v>
      </c>
      <c r="F6763" s="5" t="s">
        <v>8</v>
      </c>
      <c r="G6763" s="15" t="s">
        <v>9</v>
      </c>
      <c r="H6763" s="24">
        <v>1.000000003259629</v>
      </c>
      <c r="I6763" s="24" t="s">
        <v>21</v>
      </c>
      <c r="J6763" s="24">
        <v>1.000000003259629</v>
      </c>
      <c r="K6763" s="24" t="s">
        <v>21</v>
      </c>
      <c r="L6763" s="24" t="s">
        <v>21</v>
      </c>
      <c r="M6763" s="24" t="s">
        <v>21</v>
      </c>
      <c r="N6763" s="24" t="s">
        <v>21</v>
      </c>
      <c r="O6763" s="24" t="s">
        <v>21</v>
      </c>
      <c r="P6763" s="24" t="s">
        <v>21</v>
      </c>
      <c r="Q6763" s="24" t="s">
        <v>21</v>
      </c>
      <c r="R6763" s="24" t="s">
        <v>21</v>
      </c>
      <c r="S6763" s="24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5">
        <v>2</v>
      </c>
      <c r="E6764" s="5">
        <v>0</v>
      </c>
      <c r="F6764" s="5" t="s">
        <v>8</v>
      </c>
      <c r="G6764" s="15" t="s">
        <v>9</v>
      </c>
      <c r="H6764" s="24">
        <v>1.9999999960418791</v>
      </c>
      <c r="I6764" s="24" t="s">
        <v>21</v>
      </c>
      <c r="J6764" s="24">
        <v>1.9999999960418791</v>
      </c>
      <c r="K6764" s="24" t="s">
        <v>21</v>
      </c>
      <c r="L6764" s="24" t="s">
        <v>21</v>
      </c>
      <c r="M6764" s="24" t="s">
        <v>21</v>
      </c>
      <c r="N6764" s="24" t="s">
        <v>21</v>
      </c>
      <c r="O6764" s="24" t="s">
        <v>21</v>
      </c>
      <c r="P6764" s="24" t="s">
        <v>21</v>
      </c>
      <c r="Q6764" s="24" t="s">
        <v>21</v>
      </c>
      <c r="R6764" s="24" t="s">
        <v>21</v>
      </c>
      <c r="S6764" s="24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5">
        <v>0</v>
      </c>
      <c r="E6765" s="5">
        <v>0</v>
      </c>
      <c r="F6765" s="5" t="s">
        <v>8</v>
      </c>
      <c r="G6765" s="15" t="s">
        <v>9</v>
      </c>
      <c r="H6765" s="24">
        <v>0</v>
      </c>
      <c r="I6765" s="24" t="s">
        <v>21</v>
      </c>
      <c r="J6765" s="24" t="s">
        <v>21</v>
      </c>
      <c r="K6765" s="24">
        <v>2.9999999993015081</v>
      </c>
      <c r="L6765" s="24" t="s">
        <v>21</v>
      </c>
      <c r="M6765" s="24" t="s">
        <v>21</v>
      </c>
      <c r="N6765" s="24" t="s">
        <v>21</v>
      </c>
      <c r="O6765" s="24" t="s">
        <v>21</v>
      </c>
      <c r="P6765" s="24" t="s">
        <v>21</v>
      </c>
      <c r="Q6765" s="24" t="s">
        <v>21</v>
      </c>
      <c r="R6765" s="24" t="s">
        <v>21</v>
      </c>
      <c r="S6765" s="24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5">
        <v>0</v>
      </c>
      <c r="E6766" s="5">
        <v>14</v>
      </c>
      <c r="F6766" s="5" t="s">
        <v>8</v>
      </c>
      <c r="G6766" s="15" t="s">
        <v>9</v>
      </c>
      <c r="H6766" s="24">
        <v>0</v>
      </c>
      <c r="I6766" s="24" t="s">
        <v>21</v>
      </c>
      <c r="J6766" s="24" t="s">
        <v>21</v>
      </c>
      <c r="K6766" s="24" t="s">
        <v>21</v>
      </c>
      <c r="L6766" s="24">
        <v>13.000000000465661</v>
      </c>
      <c r="M6766" s="24" t="s">
        <v>21</v>
      </c>
      <c r="N6766" s="24" t="s">
        <v>21</v>
      </c>
      <c r="O6766" s="24" t="s">
        <v>21</v>
      </c>
      <c r="P6766" s="24" t="s">
        <v>21</v>
      </c>
      <c r="Q6766" s="24" t="s">
        <v>21</v>
      </c>
      <c r="R6766" s="24" t="s">
        <v>21</v>
      </c>
      <c r="S6766" s="24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5">
        <v>13</v>
      </c>
      <c r="E6767" s="5">
        <v>0</v>
      </c>
      <c r="F6767" s="5" t="s">
        <v>8</v>
      </c>
      <c r="G6767" s="15" t="s">
        <v>9</v>
      </c>
      <c r="H6767" s="24">
        <v>1.000000003259629</v>
      </c>
      <c r="I6767" s="24" t="s">
        <v>21</v>
      </c>
      <c r="J6767" s="24" t="s">
        <v>21</v>
      </c>
      <c r="K6767" s="24" t="s">
        <v>21</v>
      </c>
      <c r="L6767" s="24">
        <v>1.000000003259629</v>
      </c>
      <c r="M6767" s="24" t="s">
        <v>21</v>
      </c>
      <c r="N6767" s="24" t="s">
        <v>21</v>
      </c>
      <c r="O6767" s="24" t="s">
        <v>21</v>
      </c>
      <c r="P6767" s="24" t="s">
        <v>21</v>
      </c>
      <c r="Q6767" s="24" t="s">
        <v>21</v>
      </c>
      <c r="R6767" s="24" t="s">
        <v>21</v>
      </c>
      <c r="S6767" s="24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5">
        <v>6</v>
      </c>
      <c r="E6768" s="5">
        <v>0</v>
      </c>
      <c r="F6768" s="5" t="s">
        <v>8</v>
      </c>
      <c r="G6768" s="15" t="s">
        <v>9</v>
      </c>
      <c r="H6768" s="24">
        <v>0</v>
      </c>
      <c r="I6768" s="24" t="s">
        <v>21</v>
      </c>
      <c r="J6768" s="24" t="s">
        <v>21</v>
      </c>
      <c r="K6768" s="24">
        <v>1.000000003259629</v>
      </c>
      <c r="L6768" s="24" t="s">
        <v>21</v>
      </c>
      <c r="M6768" s="24" t="s">
        <v>21</v>
      </c>
      <c r="N6768" s="24" t="s">
        <v>21</v>
      </c>
      <c r="O6768" s="24" t="s">
        <v>21</v>
      </c>
      <c r="P6768" s="24" t="s">
        <v>21</v>
      </c>
      <c r="Q6768" s="24" t="s">
        <v>21</v>
      </c>
      <c r="R6768" s="24" t="s">
        <v>21</v>
      </c>
      <c r="S6768" s="24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5">
        <v>9</v>
      </c>
      <c r="E6769" s="5">
        <v>0</v>
      </c>
      <c r="F6769" s="5" t="s">
        <v>8</v>
      </c>
      <c r="G6769" s="15" t="s">
        <v>9</v>
      </c>
      <c r="H6769" s="24">
        <v>0.99999999278225005</v>
      </c>
      <c r="I6769" s="24" t="s">
        <v>21</v>
      </c>
      <c r="J6769" s="24" t="s">
        <v>21</v>
      </c>
      <c r="K6769" s="24">
        <v>0.99999999278225005</v>
      </c>
      <c r="L6769" s="24" t="s">
        <v>21</v>
      </c>
      <c r="M6769" s="24" t="s">
        <v>21</v>
      </c>
      <c r="N6769" s="24" t="s">
        <v>21</v>
      </c>
      <c r="O6769" s="24" t="s">
        <v>21</v>
      </c>
      <c r="P6769" s="24" t="s">
        <v>21</v>
      </c>
      <c r="Q6769" s="24" t="s">
        <v>21</v>
      </c>
      <c r="R6769" s="24" t="s">
        <v>21</v>
      </c>
      <c r="S6769" s="24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5">
        <v>3</v>
      </c>
      <c r="E6770" s="5">
        <v>0</v>
      </c>
      <c r="F6770" s="5" t="s">
        <v>8</v>
      </c>
      <c r="G6770" s="15" t="s">
        <v>9</v>
      </c>
      <c r="H6770" s="24">
        <v>1.000000003259629</v>
      </c>
      <c r="I6770" s="24" t="s">
        <v>21</v>
      </c>
      <c r="J6770" s="24" t="s">
        <v>21</v>
      </c>
      <c r="K6770" s="24">
        <v>1.000000003259629</v>
      </c>
      <c r="L6770" s="24" t="s">
        <v>21</v>
      </c>
      <c r="M6770" s="24" t="s">
        <v>21</v>
      </c>
      <c r="N6770" s="24" t="s">
        <v>21</v>
      </c>
      <c r="O6770" s="24" t="s">
        <v>21</v>
      </c>
      <c r="P6770" s="24" t="s">
        <v>21</v>
      </c>
      <c r="Q6770" s="24" t="s">
        <v>21</v>
      </c>
      <c r="R6770" s="24" t="s">
        <v>21</v>
      </c>
      <c r="S6770" s="24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5">
        <v>3</v>
      </c>
      <c r="E6771" s="5">
        <v>0</v>
      </c>
      <c r="F6771" s="5" t="s">
        <v>8</v>
      </c>
      <c r="G6771" s="15" t="s">
        <v>9</v>
      </c>
      <c r="H6771" s="24">
        <v>1.9999999960418791</v>
      </c>
      <c r="I6771" s="24" t="s">
        <v>21</v>
      </c>
      <c r="J6771" s="24">
        <v>4.9999999953433871</v>
      </c>
      <c r="K6771" s="24" t="s">
        <v>21</v>
      </c>
      <c r="L6771" s="24" t="s">
        <v>21</v>
      </c>
      <c r="M6771" s="24" t="s">
        <v>21</v>
      </c>
      <c r="N6771" s="24" t="s">
        <v>21</v>
      </c>
      <c r="O6771" s="24" t="s">
        <v>21</v>
      </c>
      <c r="P6771" s="24" t="s">
        <v>21</v>
      </c>
      <c r="Q6771" s="24" t="s">
        <v>21</v>
      </c>
      <c r="R6771" s="24" t="s">
        <v>21</v>
      </c>
      <c r="S6771" s="24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5">
        <v>3</v>
      </c>
      <c r="E6772" s="5">
        <v>0</v>
      </c>
      <c r="F6772" s="5" t="s">
        <v>8</v>
      </c>
      <c r="G6772" s="15" t="s">
        <v>9</v>
      </c>
      <c r="H6772" s="24">
        <v>1.000000003259629</v>
      </c>
      <c r="I6772" s="24" t="s">
        <v>21</v>
      </c>
      <c r="J6772" s="24">
        <v>1.000000003259629</v>
      </c>
      <c r="K6772" s="24" t="s">
        <v>21</v>
      </c>
      <c r="L6772" s="24" t="s">
        <v>21</v>
      </c>
      <c r="M6772" s="24" t="s">
        <v>21</v>
      </c>
      <c r="N6772" s="24" t="s">
        <v>21</v>
      </c>
      <c r="O6772" s="24" t="s">
        <v>21</v>
      </c>
      <c r="P6772" s="24" t="s">
        <v>21</v>
      </c>
      <c r="Q6772" s="24" t="s">
        <v>21</v>
      </c>
      <c r="R6772" s="24" t="s">
        <v>21</v>
      </c>
      <c r="S6772" s="24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5">
        <v>4</v>
      </c>
      <c r="E6773" s="5">
        <v>0</v>
      </c>
      <c r="F6773" s="5" t="s">
        <v>8</v>
      </c>
      <c r="G6773" s="15" t="s">
        <v>9</v>
      </c>
      <c r="H6773" s="24">
        <v>2.000000006519258</v>
      </c>
      <c r="I6773" s="24" t="s">
        <v>21</v>
      </c>
      <c r="J6773" s="24" t="s">
        <v>21</v>
      </c>
      <c r="K6773" s="24">
        <v>5.0000000058207661</v>
      </c>
      <c r="L6773" s="24" t="s">
        <v>21</v>
      </c>
      <c r="M6773" s="24" t="s">
        <v>21</v>
      </c>
      <c r="N6773" s="24" t="s">
        <v>21</v>
      </c>
      <c r="O6773" s="24" t="s">
        <v>21</v>
      </c>
      <c r="P6773" s="24" t="s">
        <v>21</v>
      </c>
      <c r="Q6773" s="24" t="s">
        <v>21</v>
      </c>
      <c r="R6773" s="24" t="s">
        <v>21</v>
      </c>
      <c r="S6773" s="24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5">
        <v>2</v>
      </c>
      <c r="E6774" s="5">
        <v>0</v>
      </c>
      <c r="F6774" s="5" t="s">
        <v>8</v>
      </c>
      <c r="G6774" s="15" t="s">
        <v>9</v>
      </c>
      <c r="H6774" s="24">
        <v>0</v>
      </c>
      <c r="I6774" s="24" t="s">
        <v>21</v>
      </c>
      <c r="J6774" s="24">
        <v>2.000000006519258</v>
      </c>
      <c r="K6774" s="24" t="s">
        <v>21</v>
      </c>
      <c r="L6774" s="24" t="s">
        <v>21</v>
      </c>
      <c r="M6774" s="24" t="s">
        <v>21</v>
      </c>
      <c r="N6774" s="24" t="s">
        <v>21</v>
      </c>
      <c r="O6774" s="24" t="s">
        <v>21</v>
      </c>
      <c r="P6774" s="24" t="s">
        <v>21</v>
      </c>
      <c r="Q6774" s="24" t="s">
        <v>21</v>
      </c>
      <c r="R6774" s="24" t="s">
        <v>21</v>
      </c>
      <c r="S6774" s="24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5">
        <v>0</v>
      </c>
      <c r="E6775" s="5">
        <v>0</v>
      </c>
      <c r="F6775" s="5" t="s">
        <v>8</v>
      </c>
      <c r="G6775" s="15" t="s">
        <v>9</v>
      </c>
      <c r="H6775" s="24">
        <v>0</v>
      </c>
      <c r="I6775" s="24" t="s">
        <v>21</v>
      </c>
      <c r="J6775" s="24">
        <v>0</v>
      </c>
      <c r="K6775" s="24" t="s">
        <v>21</v>
      </c>
      <c r="L6775" s="24" t="s">
        <v>21</v>
      </c>
      <c r="M6775" s="24" t="s">
        <v>21</v>
      </c>
      <c r="N6775" s="24" t="s">
        <v>21</v>
      </c>
      <c r="O6775" s="24" t="s">
        <v>21</v>
      </c>
      <c r="P6775" s="24" t="s">
        <v>21</v>
      </c>
      <c r="Q6775" s="24" t="s">
        <v>21</v>
      </c>
      <c r="R6775" s="24" t="s">
        <v>21</v>
      </c>
      <c r="S6775" s="24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5">
        <v>0</v>
      </c>
      <c r="E6776" s="5">
        <v>0</v>
      </c>
      <c r="F6776" s="5" t="s">
        <v>8</v>
      </c>
      <c r="G6776" s="15" t="s">
        <v>9</v>
      </c>
      <c r="H6776" s="24">
        <v>0.99999999278225005</v>
      </c>
      <c r="I6776" s="24" t="s">
        <v>21</v>
      </c>
      <c r="J6776" s="24" t="s">
        <v>21</v>
      </c>
      <c r="K6776" s="24" t="s">
        <v>21</v>
      </c>
      <c r="L6776" s="24" t="s">
        <v>21</v>
      </c>
      <c r="M6776" s="24" t="s">
        <v>21</v>
      </c>
      <c r="N6776" s="24" t="s">
        <v>21</v>
      </c>
      <c r="O6776" s="24">
        <v>37.999999998137355</v>
      </c>
      <c r="P6776" s="24" t="s">
        <v>21</v>
      </c>
      <c r="Q6776" s="24" t="s">
        <v>21</v>
      </c>
      <c r="R6776" s="24" t="s">
        <v>21</v>
      </c>
      <c r="S6776" s="24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5">
        <v>4</v>
      </c>
      <c r="E6777" s="5">
        <v>0</v>
      </c>
      <c r="F6777" s="5" t="s">
        <v>8</v>
      </c>
      <c r="G6777" s="15" t="s">
        <v>9</v>
      </c>
      <c r="H6777" s="24">
        <v>0</v>
      </c>
      <c r="I6777" s="24" t="s">
        <v>21</v>
      </c>
      <c r="J6777" s="24" t="s">
        <v>21</v>
      </c>
      <c r="K6777" s="24">
        <v>0.99999999278225005</v>
      </c>
      <c r="L6777" s="24" t="s">
        <v>21</v>
      </c>
      <c r="M6777" s="24" t="s">
        <v>21</v>
      </c>
      <c r="N6777" s="24" t="s">
        <v>21</v>
      </c>
      <c r="O6777" s="24" t="s">
        <v>21</v>
      </c>
      <c r="P6777" s="24" t="s">
        <v>21</v>
      </c>
      <c r="Q6777" s="24" t="s">
        <v>21</v>
      </c>
      <c r="R6777" s="24" t="s">
        <v>21</v>
      </c>
      <c r="S6777" s="24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5">
        <v>3</v>
      </c>
      <c r="E6778" s="5">
        <v>1</v>
      </c>
      <c r="F6778" s="5" t="s">
        <v>8</v>
      </c>
      <c r="G6778" s="15" t="s">
        <v>9</v>
      </c>
      <c r="H6778" s="24">
        <v>0</v>
      </c>
      <c r="I6778" s="24" t="s">
        <v>21</v>
      </c>
      <c r="J6778" s="24" t="s">
        <v>21</v>
      </c>
      <c r="K6778" s="24">
        <v>0</v>
      </c>
      <c r="L6778" s="24" t="s">
        <v>21</v>
      </c>
      <c r="M6778" s="24" t="s">
        <v>21</v>
      </c>
      <c r="N6778" s="24" t="s">
        <v>21</v>
      </c>
      <c r="O6778" s="24" t="s">
        <v>21</v>
      </c>
      <c r="P6778" s="24" t="s">
        <v>21</v>
      </c>
      <c r="Q6778" s="24" t="s">
        <v>21</v>
      </c>
      <c r="R6778" s="24" t="s">
        <v>21</v>
      </c>
      <c r="S6778" s="24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5">
        <v>1</v>
      </c>
      <c r="E6779" s="5">
        <v>0</v>
      </c>
      <c r="F6779" s="5" t="s">
        <v>8</v>
      </c>
      <c r="G6779" s="15" t="s">
        <v>9</v>
      </c>
      <c r="H6779" s="24">
        <v>1.000000003259629</v>
      </c>
      <c r="I6779" s="24" t="s">
        <v>21</v>
      </c>
      <c r="J6779" s="24">
        <v>1.9999999960418791</v>
      </c>
      <c r="K6779" s="24" t="s">
        <v>21</v>
      </c>
      <c r="L6779" s="24" t="s">
        <v>21</v>
      </c>
      <c r="M6779" s="24" t="s">
        <v>21</v>
      </c>
      <c r="N6779" s="24" t="s">
        <v>21</v>
      </c>
      <c r="O6779" s="24" t="s">
        <v>21</v>
      </c>
      <c r="P6779" s="24" t="s">
        <v>21</v>
      </c>
      <c r="Q6779" s="24" t="s">
        <v>21</v>
      </c>
      <c r="R6779" s="24" t="s">
        <v>21</v>
      </c>
      <c r="S6779" s="24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5">
        <v>0</v>
      </c>
      <c r="E6780" s="5">
        <v>0</v>
      </c>
      <c r="F6780" s="5" t="s">
        <v>8</v>
      </c>
      <c r="G6780" s="15" t="s">
        <v>9</v>
      </c>
      <c r="H6780" s="24">
        <v>0</v>
      </c>
      <c r="I6780" s="24" t="s">
        <v>21</v>
      </c>
      <c r="J6780" s="24" t="s">
        <v>21</v>
      </c>
      <c r="K6780" s="24" t="s">
        <v>21</v>
      </c>
      <c r="L6780" s="24" t="s">
        <v>21</v>
      </c>
      <c r="M6780" s="24" t="s">
        <v>21</v>
      </c>
      <c r="N6780" s="24" t="s">
        <v>21</v>
      </c>
      <c r="O6780" s="24">
        <v>1.000000003259629</v>
      </c>
      <c r="P6780" s="24" t="s">
        <v>21</v>
      </c>
      <c r="Q6780" s="24" t="s">
        <v>21</v>
      </c>
      <c r="R6780" s="24" t="s">
        <v>21</v>
      </c>
      <c r="S6780" s="24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5">
        <v>0</v>
      </c>
      <c r="E6781" s="5">
        <v>18</v>
      </c>
      <c r="F6781" s="5" t="s">
        <v>8</v>
      </c>
      <c r="G6781" s="15" t="s">
        <v>9</v>
      </c>
      <c r="H6781" s="24">
        <v>0</v>
      </c>
      <c r="I6781" s="24" t="s">
        <v>21</v>
      </c>
      <c r="J6781" s="24" t="s">
        <v>21</v>
      </c>
      <c r="K6781" s="24" t="s">
        <v>21</v>
      </c>
      <c r="L6781" s="24" t="s">
        <v>21</v>
      </c>
      <c r="M6781" s="24" t="s">
        <v>21</v>
      </c>
      <c r="N6781" s="24" t="s">
        <v>21</v>
      </c>
      <c r="O6781" s="24">
        <v>0</v>
      </c>
      <c r="P6781" s="24" t="s">
        <v>21</v>
      </c>
      <c r="Q6781" s="24" t="s">
        <v>21</v>
      </c>
      <c r="R6781" s="24" t="s">
        <v>21</v>
      </c>
      <c r="S6781" s="24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5">
        <v>0</v>
      </c>
      <c r="E6782" s="5">
        <v>0</v>
      </c>
      <c r="F6782" s="5" t="s">
        <v>8</v>
      </c>
      <c r="G6782" s="15" t="s">
        <v>9</v>
      </c>
      <c r="H6782" s="24">
        <v>0</v>
      </c>
      <c r="I6782" s="24" t="s">
        <v>21</v>
      </c>
      <c r="J6782" s="24" t="s">
        <v>21</v>
      </c>
      <c r="K6782" s="24">
        <v>1.000000003259629</v>
      </c>
      <c r="L6782" s="24" t="s">
        <v>21</v>
      </c>
      <c r="M6782" s="24" t="s">
        <v>21</v>
      </c>
      <c r="N6782" s="24" t="s">
        <v>21</v>
      </c>
      <c r="O6782" s="24" t="s">
        <v>21</v>
      </c>
      <c r="P6782" s="24" t="s">
        <v>21</v>
      </c>
      <c r="Q6782" s="24" t="s">
        <v>21</v>
      </c>
      <c r="R6782" s="24" t="s">
        <v>21</v>
      </c>
      <c r="S6782" s="24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5">
        <v>0</v>
      </c>
      <c r="E6783" s="5">
        <v>22</v>
      </c>
      <c r="F6783" s="5" t="s">
        <v>8</v>
      </c>
      <c r="G6783" s="15" t="s">
        <v>9</v>
      </c>
      <c r="H6783" s="24">
        <v>1.000000003259629</v>
      </c>
      <c r="I6783" s="24" t="s">
        <v>21</v>
      </c>
      <c r="J6783" s="24" t="s">
        <v>21</v>
      </c>
      <c r="K6783" s="24" t="s">
        <v>21</v>
      </c>
      <c r="L6783" s="24" t="s">
        <v>21</v>
      </c>
      <c r="M6783" s="24" t="s">
        <v>21</v>
      </c>
      <c r="N6783" s="24" t="s">
        <v>21</v>
      </c>
      <c r="O6783" s="24">
        <v>1.000000003259629</v>
      </c>
      <c r="P6783" s="24" t="s">
        <v>21</v>
      </c>
      <c r="Q6783" s="24" t="s">
        <v>21</v>
      </c>
      <c r="R6783" s="24" t="s">
        <v>21</v>
      </c>
      <c r="S6783" s="24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5">
        <v>1</v>
      </c>
      <c r="E6784" s="5">
        <v>0</v>
      </c>
      <c r="F6784" s="5" t="s">
        <v>8</v>
      </c>
      <c r="G6784" s="15" t="s">
        <v>9</v>
      </c>
      <c r="H6784" s="24">
        <v>0</v>
      </c>
      <c r="I6784" s="24" t="s">
        <v>21</v>
      </c>
      <c r="J6784" s="24" t="s">
        <v>21</v>
      </c>
      <c r="K6784" s="24">
        <v>1.000000003259629</v>
      </c>
      <c r="L6784" s="24" t="s">
        <v>21</v>
      </c>
      <c r="M6784" s="24" t="s">
        <v>21</v>
      </c>
      <c r="N6784" s="24" t="s">
        <v>21</v>
      </c>
      <c r="O6784" s="24" t="s">
        <v>21</v>
      </c>
      <c r="P6784" s="24" t="s">
        <v>21</v>
      </c>
      <c r="Q6784" s="24" t="s">
        <v>21</v>
      </c>
      <c r="R6784" s="24" t="s">
        <v>21</v>
      </c>
      <c r="S6784" s="24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5">
        <v>0</v>
      </c>
      <c r="E6785" s="5">
        <v>28</v>
      </c>
      <c r="F6785" s="5" t="s">
        <v>8</v>
      </c>
      <c r="G6785" s="15" t="s">
        <v>9</v>
      </c>
      <c r="H6785" s="24">
        <v>0</v>
      </c>
      <c r="I6785" s="24" t="s">
        <v>21</v>
      </c>
      <c r="J6785" s="24" t="s">
        <v>21</v>
      </c>
      <c r="K6785" s="24" t="s">
        <v>21</v>
      </c>
      <c r="L6785" s="24" t="s">
        <v>21</v>
      </c>
      <c r="M6785" s="24" t="s">
        <v>21</v>
      </c>
      <c r="N6785" s="24" t="s">
        <v>21</v>
      </c>
      <c r="O6785" s="24">
        <v>0</v>
      </c>
      <c r="P6785" s="24" t="s">
        <v>21</v>
      </c>
      <c r="Q6785" s="24" t="s">
        <v>21</v>
      </c>
      <c r="R6785" s="24" t="s">
        <v>21</v>
      </c>
      <c r="S6785" s="24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5">
        <v>1</v>
      </c>
      <c r="E6786" s="5">
        <v>0</v>
      </c>
      <c r="F6786" s="5" t="s">
        <v>8</v>
      </c>
      <c r="G6786" s="15" t="s">
        <v>9</v>
      </c>
      <c r="H6786" s="24">
        <v>0</v>
      </c>
      <c r="I6786" s="24" t="s">
        <v>21</v>
      </c>
      <c r="J6786" s="24" t="s">
        <v>21</v>
      </c>
      <c r="K6786" s="24">
        <v>0</v>
      </c>
      <c r="L6786" s="24" t="s">
        <v>21</v>
      </c>
      <c r="M6786" s="24" t="s">
        <v>21</v>
      </c>
      <c r="N6786" s="24" t="s">
        <v>21</v>
      </c>
      <c r="O6786" s="24" t="s">
        <v>21</v>
      </c>
      <c r="P6786" s="24" t="s">
        <v>21</v>
      </c>
      <c r="Q6786" s="24" t="s">
        <v>21</v>
      </c>
      <c r="R6786" s="24" t="s">
        <v>21</v>
      </c>
      <c r="S6786" s="24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5">
        <v>0</v>
      </c>
      <c r="E6787" s="5">
        <v>20</v>
      </c>
      <c r="F6787" s="5" t="s">
        <v>8</v>
      </c>
      <c r="G6787" s="15" t="s">
        <v>9</v>
      </c>
      <c r="H6787" s="24">
        <v>0.99999999278225005</v>
      </c>
      <c r="I6787" s="24" t="s">
        <v>21</v>
      </c>
      <c r="J6787" s="24" t="s">
        <v>21</v>
      </c>
      <c r="K6787" s="24" t="s">
        <v>21</v>
      </c>
      <c r="L6787" s="24" t="s">
        <v>21</v>
      </c>
      <c r="M6787" s="24" t="s">
        <v>21</v>
      </c>
      <c r="N6787" s="24" t="s">
        <v>21</v>
      </c>
      <c r="O6787" s="24">
        <v>0.99999999278225005</v>
      </c>
      <c r="P6787" s="24" t="s">
        <v>21</v>
      </c>
      <c r="Q6787" s="24" t="s">
        <v>21</v>
      </c>
      <c r="R6787" s="24" t="s">
        <v>21</v>
      </c>
      <c r="S6787" s="24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5">
        <v>0</v>
      </c>
      <c r="E6788" s="5">
        <v>0</v>
      </c>
      <c r="F6788" s="5" t="s">
        <v>8</v>
      </c>
      <c r="G6788" s="15" t="s">
        <v>9</v>
      </c>
      <c r="H6788" s="24">
        <v>1.000000003259629</v>
      </c>
      <c r="I6788" s="24" t="s">
        <v>21</v>
      </c>
      <c r="J6788" s="24" t="s">
        <v>21</v>
      </c>
      <c r="K6788" s="24" t="s">
        <v>21</v>
      </c>
      <c r="L6788" s="24" t="s">
        <v>21</v>
      </c>
      <c r="M6788" s="24" t="s">
        <v>21</v>
      </c>
      <c r="N6788" s="24" t="s">
        <v>21</v>
      </c>
      <c r="O6788" s="24">
        <v>1.000000003259629</v>
      </c>
      <c r="P6788" s="24" t="s">
        <v>21</v>
      </c>
      <c r="Q6788" s="24" t="s">
        <v>21</v>
      </c>
      <c r="R6788" s="24" t="s">
        <v>21</v>
      </c>
      <c r="S6788" s="24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5">
        <v>0</v>
      </c>
      <c r="E6789" s="5">
        <v>30</v>
      </c>
      <c r="F6789" s="5" t="s">
        <v>8</v>
      </c>
      <c r="G6789" s="15" t="s">
        <v>9</v>
      </c>
      <c r="H6789" s="24">
        <v>0</v>
      </c>
      <c r="I6789" s="24" t="s">
        <v>21</v>
      </c>
      <c r="J6789" s="24" t="s">
        <v>21</v>
      </c>
      <c r="K6789" s="24" t="s">
        <v>21</v>
      </c>
      <c r="L6789" s="24" t="s">
        <v>21</v>
      </c>
      <c r="M6789" s="24" t="s">
        <v>21</v>
      </c>
      <c r="N6789" s="24" t="s">
        <v>21</v>
      </c>
      <c r="O6789" s="24">
        <v>0</v>
      </c>
      <c r="P6789" s="24" t="s">
        <v>21</v>
      </c>
      <c r="Q6789" s="24" t="s">
        <v>21</v>
      </c>
      <c r="R6789" s="24" t="s">
        <v>21</v>
      </c>
      <c r="S6789" s="24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5">
        <v>0</v>
      </c>
      <c r="E6790" s="5">
        <v>30</v>
      </c>
      <c r="F6790" s="5" t="s">
        <v>8</v>
      </c>
      <c r="G6790" s="15" t="s">
        <v>9</v>
      </c>
      <c r="H6790" s="24">
        <v>1.000000003259629</v>
      </c>
      <c r="I6790" s="24" t="s">
        <v>21</v>
      </c>
      <c r="J6790" s="24" t="s">
        <v>21</v>
      </c>
      <c r="K6790" s="24" t="s">
        <v>21</v>
      </c>
      <c r="L6790" s="24" t="s">
        <v>21</v>
      </c>
      <c r="M6790" s="24" t="s">
        <v>21</v>
      </c>
      <c r="N6790" s="24" t="s">
        <v>21</v>
      </c>
      <c r="O6790" s="24">
        <v>1.000000003259629</v>
      </c>
      <c r="P6790" s="24" t="s">
        <v>21</v>
      </c>
      <c r="Q6790" s="24" t="s">
        <v>21</v>
      </c>
      <c r="R6790" s="24" t="s">
        <v>21</v>
      </c>
      <c r="S6790" s="24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5">
        <v>0</v>
      </c>
      <c r="E6791" s="5">
        <v>7</v>
      </c>
      <c r="F6791" s="5" t="s">
        <v>8</v>
      </c>
      <c r="G6791" s="15" t="s">
        <v>9</v>
      </c>
      <c r="H6791" s="24">
        <v>0.99999999278225005</v>
      </c>
      <c r="I6791" s="24" t="s">
        <v>21</v>
      </c>
      <c r="J6791" s="24" t="s">
        <v>21</v>
      </c>
      <c r="K6791" s="24" t="s">
        <v>21</v>
      </c>
      <c r="L6791" s="24" t="s">
        <v>21</v>
      </c>
      <c r="M6791" s="24" t="s">
        <v>21</v>
      </c>
      <c r="N6791" s="24" t="s">
        <v>21</v>
      </c>
      <c r="O6791" s="24">
        <v>0.99999999278225005</v>
      </c>
      <c r="P6791" s="24" t="s">
        <v>21</v>
      </c>
      <c r="Q6791" s="24" t="s">
        <v>21</v>
      </c>
      <c r="R6791" s="24" t="s">
        <v>21</v>
      </c>
      <c r="S6791" s="24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5">
        <v>0</v>
      </c>
      <c r="E6792" s="5">
        <v>0</v>
      </c>
      <c r="F6792" s="5" t="s">
        <v>8</v>
      </c>
      <c r="G6792" s="15" t="s">
        <v>9</v>
      </c>
      <c r="H6792" s="24">
        <v>1.000000003259629</v>
      </c>
      <c r="I6792" s="24" t="s">
        <v>21</v>
      </c>
      <c r="J6792" s="24" t="s">
        <v>21</v>
      </c>
      <c r="K6792" s="24" t="s">
        <v>21</v>
      </c>
      <c r="L6792" s="24" t="s">
        <v>21</v>
      </c>
      <c r="M6792" s="24" t="s">
        <v>21</v>
      </c>
      <c r="N6792" s="24" t="s">
        <v>21</v>
      </c>
      <c r="O6792" s="24">
        <v>1.000000003259629</v>
      </c>
      <c r="P6792" s="24" t="s">
        <v>21</v>
      </c>
      <c r="Q6792" s="24" t="s">
        <v>21</v>
      </c>
      <c r="R6792" s="24" t="s">
        <v>21</v>
      </c>
      <c r="S6792" s="24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5">
        <v>0</v>
      </c>
      <c r="E6793" s="5">
        <v>7</v>
      </c>
      <c r="F6793" s="5" t="s">
        <v>8</v>
      </c>
      <c r="G6793" s="15" t="s">
        <v>9</v>
      </c>
      <c r="H6793" s="24">
        <v>0</v>
      </c>
      <c r="I6793" s="24" t="s">
        <v>21</v>
      </c>
      <c r="J6793" s="24" t="s">
        <v>21</v>
      </c>
      <c r="K6793" s="24" t="s">
        <v>21</v>
      </c>
      <c r="L6793" s="24" t="s">
        <v>21</v>
      </c>
      <c r="M6793" s="24" t="s">
        <v>21</v>
      </c>
      <c r="N6793" s="24" t="s">
        <v>21</v>
      </c>
      <c r="O6793" s="24">
        <v>0</v>
      </c>
      <c r="P6793" s="24" t="s">
        <v>21</v>
      </c>
      <c r="Q6793" s="24" t="s">
        <v>21</v>
      </c>
      <c r="R6793" s="24" t="s">
        <v>21</v>
      </c>
      <c r="S6793" s="24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5">
        <v>0</v>
      </c>
      <c r="E6794" s="5">
        <v>0</v>
      </c>
      <c r="F6794" s="5" t="s">
        <v>8</v>
      </c>
      <c r="G6794" s="15" t="s">
        <v>9</v>
      </c>
      <c r="H6794" s="24">
        <v>1.000000003259629</v>
      </c>
      <c r="I6794" s="24" t="s">
        <v>21</v>
      </c>
      <c r="J6794" s="24" t="s">
        <v>21</v>
      </c>
      <c r="K6794" s="24" t="s">
        <v>21</v>
      </c>
      <c r="L6794" s="24" t="s">
        <v>21</v>
      </c>
      <c r="M6794" s="24" t="s">
        <v>21</v>
      </c>
      <c r="N6794" s="24" t="s">
        <v>21</v>
      </c>
      <c r="O6794" s="24">
        <v>1.000000003259629</v>
      </c>
      <c r="P6794" s="24" t="s">
        <v>21</v>
      </c>
      <c r="Q6794" s="24" t="s">
        <v>21</v>
      </c>
      <c r="R6794" s="24" t="s">
        <v>21</v>
      </c>
      <c r="S6794" s="24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5">
        <v>1</v>
      </c>
      <c r="E6795" s="5">
        <v>0</v>
      </c>
      <c r="F6795" s="5" t="s">
        <v>8</v>
      </c>
      <c r="G6795" s="15" t="s">
        <v>9</v>
      </c>
      <c r="H6795" s="24">
        <v>8.9999999979045242</v>
      </c>
      <c r="I6795" s="24" t="s">
        <v>21</v>
      </c>
      <c r="J6795" s="24">
        <v>15.999999999767169</v>
      </c>
      <c r="K6795" s="24" t="s">
        <v>21</v>
      </c>
      <c r="L6795" s="24" t="s">
        <v>21</v>
      </c>
      <c r="M6795" s="24" t="s">
        <v>21</v>
      </c>
      <c r="N6795" s="24" t="s">
        <v>21</v>
      </c>
      <c r="O6795" s="24" t="s">
        <v>21</v>
      </c>
      <c r="P6795" s="24" t="s">
        <v>21</v>
      </c>
      <c r="Q6795" s="24" t="s">
        <v>21</v>
      </c>
      <c r="R6795" s="24" t="s">
        <v>21</v>
      </c>
      <c r="S6795" s="24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5">
        <v>1</v>
      </c>
      <c r="E6796" s="5">
        <v>0</v>
      </c>
      <c r="F6796" s="5" t="s">
        <v>8</v>
      </c>
      <c r="G6796" s="15" t="s">
        <v>9</v>
      </c>
      <c r="H6796" s="24">
        <v>1.9999999960418791</v>
      </c>
      <c r="I6796" s="24" t="s">
        <v>21</v>
      </c>
      <c r="J6796" s="24" t="s">
        <v>21</v>
      </c>
      <c r="K6796" s="24">
        <v>16.999999992549419</v>
      </c>
      <c r="L6796" s="24" t="s">
        <v>21</v>
      </c>
      <c r="M6796" s="24" t="s">
        <v>21</v>
      </c>
      <c r="N6796" s="24" t="s">
        <v>21</v>
      </c>
      <c r="O6796" s="24" t="s">
        <v>21</v>
      </c>
      <c r="P6796" s="24" t="s">
        <v>21</v>
      </c>
      <c r="Q6796" s="24" t="s">
        <v>21</v>
      </c>
      <c r="R6796" s="24" t="s">
        <v>21</v>
      </c>
      <c r="S6796" s="24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5">
        <v>2</v>
      </c>
      <c r="E6797" s="5">
        <v>0</v>
      </c>
      <c r="F6797" s="5" t="s">
        <v>8</v>
      </c>
      <c r="G6797" s="15" t="s">
        <v>9</v>
      </c>
      <c r="H6797" s="24">
        <v>13.000000000465661</v>
      </c>
      <c r="I6797" s="24" t="s">
        <v>21</v>
      </c>
      <c r="J6797" s="24">
        <v>14.99999999650754</v>
      </c>
      <c r="K6797" s="24" t="s">
        <v>21</v>
      </c>
      <c r="L6797" s="24" t="s">
        <v>21</v>
      </c>
      <c r="M6797" s="24" t="s">
        <v>21</v>
      </c>
      <c r="N6797" s="24" t="s">
        <v>21</v>
      </c>
      <c r="O6797" s="24" t="s">
        <v>21</v>
      </c>
      <c r="P6797" s="24" t="s">
        <v>21</v>
      </c>
      <c r="Q6797" s="24" t="s">
        <v>21</v>
      </c>
      <c r="R6797" s="24" t="s">
        <v>21</v>
      </c>
      <c r="S6797" s="24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5">
        <v>0</v>
      </c>
      <c r="E6798" s="5">
        <v>2</v>
      </c>
      <c r="F6798" s="5" t="s">
        <v>8</v>
      </c>
      <c r="G6798" s="15" t="s">
        <v>9</v>
      </c>
      <c r="H6798" s="24">
        <v>1.000000003259629</v>
      </c>
      <c r="I6798" s="24">
        <v>62.999999995809048</v>
      </c>
      <c r="J6798" s="24" t="s">
        <v>21</v>
      </c>
      <c r="K6798" s="24" t="s">
        <v>21</v>
      </c>
      <c r="L6798" s="24" t="s">
        <v>21</v>
      </c>
      <c r="M6798" s="24" t="s">
        <v>21</v>
      </c>
      <c r="N6798" s="24" t="s">
        <v>21</v>
      </c>
      <c r="O6798" s="24" t="s">
        <v>21</v>
      </c>
      <c r="P6798" s="24" t="s">
        <v>21</v>
      </c>
      <c r="Q6798" s="24" t="s">
        <v>21</v>
      </c>
      <c r="R6798" s="24" t="s">
        <v>21</v>
      </c>
      <c r="S6798" s="24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5">
        <v>0</v>
      </c>
      <c r="E6799" s="5">
        <v>0</v>
      </c>
      <c r="F6799" s="5" t="s">
        <v>8</v>
      </c>
      <c r="G6799" s="15" t="s">
        <v>9</v>
      </c>
      <c r="H6799" s="24">
        <v>0</v>
      </c>
      <c r="I6799" s="24" t="s">
        <v>21</v>
      </c>
      <c r="J6799" s="24" t="s">
        <v>21</v>
      </c>
      <c r="K6799" s="24" t="s">
        <v>21</v>
      </c>
      <c r="L6799" s="24" t="s">
        <v>21</v>
      </c>
      <c r="M6799" s="24" t="s">
        <v>21</v>
      </c>
      <c r="N6799" s="24" t="s">
        <v>21</v>
      </c>
      <c r="O6799" s="24">
        <v>24.999999997671694</v>
      </c>
      <c r="P6799" s="24" t="s">
        <v>21</v>
      </c>
      <c r="Q6799" s="24" t="s">
        <v>21</v>
      </c>
      <c r="R6799" s="24" t="s">
        <v>21</v>
      </c>
      <c r="S6799" s="24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5">
        <v>13</v>
      </c>
      <c r="E6800" s="5">
        <v>0</v>
      </c>
      <c r="F6800" s="5" t="s">
        <v>8</v>
      </c>
      <c r="G6800" s="15" t="s">
        <v>9</v>
      </c>
      <c r="H6800" s="24">
        <v>0</v>
      </c>
      <c r="I6800" s="24" t="s">
        <v>21</v>
      </c>
      <c r="J6800" s="24" t="s">
        <v>21</v>
      </c>
      <c r="K6800" s="24" t="s">
        <v>21</v>
      </c>
      <c r="L6800" s="24" t="s">
        <v>21</v>
      </c>
      <c r="M6800" s="24" t="s">
        <v>21</v>
      </c>
      <c r="N6800" s="24" t="s">
        <v>21</v>
      </c>
      <c r="O6800" s="24">
        <v>0</v>
      </c>
      <c r="P6800" s="24" t="s">
        <v>21</v>
      </c>
      <c r="Q6800" s="24" t="s">
        <v>21</v>
      </c>
      <c r="R6800" s="24" t="s">
        <v>21</v>
      </c>
      <c r="S6800" s="24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5">
        <v>12</v>
      </c>
      <c r="E6801" s="5">
        <v>0</v>
      </c>
      <c r="F6801" s="5" t="s">
        <v>8</v>
      </c>
      <c r="G6801" s="15" t="s">
        <v>9</v>
      </c>
      <c r="H6801" s="24">
        <v>1.000000003259629</v>
      </c>
      <c r="I6801" s="24" t="s">
        <v>21</v>
      </c>
      <c r="J6801" s="24" t="s">
        <v>21</v>
      </c>
      <c r="K6801" s="24" t="s">
        <v>21</v>
      </c>
      <c r="L6801" s="24" t="s">
        <v>21</v>
      </c>
      <c r="M6801" s="24" t="s">
        <v>21</v>
      </c>
      <c r="N6801" s="24" t="s">
        <v>21</v>
      </c>
      <c r="O6801" s="24">
        <v>1.000000003259629</v>
      </c>
      <c r="P6801" s="24" t="s">
        <v>21</v>
      </c>
      <c r="Q6801" s="24" t="s">
        <v>21</v>
      </c>
      <c r="R6801" s="24" t="s">
        <v>21</v>
      </c>
      <c r="S6801" s="24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5">
        <v>0</v>
      </c>
      <c r="E6802" s="5">
        <v>31</v>
      </c>
      <c r="F6802" s="5" t="s">
        <v>8</v>
      </c>
      <c r="G6802" s="15" t="s">
        <v>9</v>
      </c>
      <c r="H6802" s="24">
        <v>0.99999999278225005</v>
      </c>
      <c r="I6802" s="24" t="s">
        <v>21</v>
      </c>
      <c r="J6802" s="24" t="s">
        <v>21</v>
      </c>
      <c r="K6802" s="24" t="s">
        <v>21</v>
      </c>
      <c r="L6802" s="24" t="s">
        <v>21</v>
      </c>
      <c r="M6802" s="24" t="s">
        <v>21</v>
      </c>
      <c r="N6802" s="24" t="s">
        <v>21</v>
      </c>
      <c r="O6802" s="24">
        <v>0.99999999278225005</v>
      </c>
      <c r="P6802" s="24" t="s">
        <v>21</v>
      </c>
      <c r="Q6802" s="24" t="s">
        <v>21</v>
      </c>
      <c r="R6802" s="24" t="s">
        <v>21</v>
      </c>
      <c r="S6802" s="24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5">
        <v>0</v>
      </c>
      <c r="E6803" s="5">
        <v>24</v>
      </c>
      <c r="F6803" s="5" t="s">
        <v>8</v>
      </c>
      <c r="G6803" s="15" t="s">
        <v>9</v>
      </c>
      <c r="H6803" s="24">
        <v>0</v>
      </c>
      <c r="I6803" s="24" t="s">
        <v>21</v>
      </c>
      <c r="J6803" s="24" t="s">
        <v>21</v>
      </c>
      <c r="K6803" s="24" t="s">
        <v>21</v>
      </c>
      <c r="L6803" s="24" t="s">
        <v>21</v>
      </c>
      <c r="M6803" s="24" t="s">
        <v>21</v>
      </c>
      <c r="N6803" s="24" t="s">
        <v>21</v>
      </c>
      <c r="O6803" s="24">
        <v>0</v>
      </c>
      <c r="P6803" s="24" t="s">
        <v>21</v>
      </c>
      <c r="Q6803" s="24" t="s">
        <v>21</v>
      </c>
      <c r="R6803" s="24" t="s">
        <v>21</v>
      </c>
      <c r="S6803" s="24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5">
        <v>0</v>
      </c>
      <c r="E6804" s="5">
        <v>27</v>
      </c>
      <c r="F6804" s="5" t="s">
        <v>8</v>
      </c>
      <c r="G6804" s="15" t="s">
        <v>9</v>
      </c>
      <c r="H6804" s="24">
        <v>1.000000003259629</v>
      </c>
      <c r="I6804" s="24" t="s">
        <v>21</v>
      </c>
      <c r="J6804" s="24" t="s">
        <v>21</v>
      </c>
      <c r="K6804" s="24" t="s">
        <v>21</v>
      </c>
      <c r="L6804" s="24" t="s">
        <v>21</v>
      </c>
      <c r="M6804" s="24" t="s">
        <v>21</v>
      </c>
      <c r="N6804" s="24" t="s">
        <v>21</v>
      </c>
      <c r="O6804" s="24">
        <v>1.000000003259629</v>
      </c>
      <c r="P6804" s="24" t="s">
        <v>21</v>
      </c>
      <c r="Q6804" s="24" t="s">
        <v>21</v>
      </c>
      <c r="R6804" s="24" t="s">
        <v>21</v>
      </c>
      <c r="S6804" s="24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5">
        <v>0</v>
      </c>
      <c r="E6805" s="5">
        <v>31</v>
      </c>
      <c r="F6805" s="5" t="s">
        <v>8</v>
      </c>
      <c r="G6805" s="15" t="s">
        <v>9</v>
      </c>
      <c r="H6805" s="24">
        <v>0</v>
      </c>
      <c r="I6805" s="24" t="s">
        <v>21</v>
      </c>
      <c r="J6805" s="24" t="s">
        <v>21</v>
      </c>
      <c r="K6805" s="24" t="s">
        <v>21</v>
      </c>
      <c r="L6805" s="24" t="s">
        <v>21</v>
      </c>
      <c r="M6805" s="24" t="s">
        <v>21</v>
      </c>
      <c r="N6805" s="24" t="s">
        <v>21</v>
      </c>
      <c r="O6805" s="24">
        <v>0</v>
      </c>
      <c r="P6805" s="24" t="s">
        <v>21</v>
      </c>
      <c r="Q6805" s="24" t="s">
        <v>21</v>
      </c>
      <c r="R6805" s="24" t="s">
        <v>21</v>
      </c>
      <c r="S6805" s="24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5">
        <v>0</v>
      </c>
      <c r="E6806" s="5">
        <v>28</v>
      </c>
      <c r="F6806" s="5" t="s">
        <v>8</v>
      </c>
      <c r="G6806" s="15" t="s">
        <v>9</v>
      </c>
      <c r="H6806" s="24">
        <v>1.000000003259629</v>
      </c>
      <c r="I6806" s="24" t="s">
        <v>21</v>
      </c>
      <c r="J6806" s="24" t="s">
        <v>21</v>
      </c>
      <c r="K6806" s="24" t="s">
        <v>21</v>
      </c>
      <c r="L6806" s="24" t="s">
        <v>21</v>
      </c>
      <c r="M6806" s="24" t="s">
        <v>21</v>
      </c>
      <c r="N6806" s="24" t="s">
        <v>21</v>
      </c>
      <c r="O6806" s="24">
        <v>1.000000003259629</v>
      </c>
      <c r="P6806" s="24" t="s">
        <v>21</v>
      </c>
      <c r="Q6806" s="24" t="s">
        <v>21</v>
      </c>
      <c r="R6806" s="24" t="s">
        <v>21</v>
      </c>
      <c r="S6806" s="24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5">
        <v>0</v>
      </c>
      <c r="E6807" s="5">
        <v>25</v>
      </c>
      <c r="F6807" s="5" t="s">
        <v>8</v>
      </c>
      <c r="G6807" s="15" t="s">
        <v>9</v>
      </c>
      <c r="H6807" s="24">
        <v>0</v>
      </c>
      <c r="I6807" s="24" t="s">
        <v>21</v>
      </c>
      <c r="J6807" s="24" t="s">
        <v>21</v>
      </c>
      <c r="K6807" s="24" t="s">
        <v>21</v>
      </c>
      <c r="L6807" s="24" t="s">
        <v>21</v>
      </c>
      <c r="M6807" s="24" t="s">
        <v>21</v>
      </c>
      <c r="N6807" s="24" t="s">
        <v>21</v>
      </c>
      <c r="O6807" s="24">
        <v>0</v>
      </c>
      <c r="P6807" s="24" t="s">
        <v>21</v>
      </c>
      <c r="Q6807" s="24" t="s">
        <v>21</v>
      </c>
      <c r="R6807" s="24" t="s">
        <v>21</v>
      </c>
      <c r="S6807" s="24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5">
        <v>0</v>
      </c>
      <c r="E6808" s="5">
        <v>0</v>
      </c>
      <c r="F6808" s="5" t="s">
        <v>8</v>
      </c>
      <c r="G6808" s="15" t="s">
        <v>9</v>
      </c>
      <c r="H6808" s="24">
        <v>0</v>
      </c>
      <c r="I6808" s="24" t="s">
        <v>21</v>
      </c>
      <c r="J6808" s="24" t="s">
        <v>21</v>
      </c>
      <c r="K6808" s="24" t="s">
        <v>21</v>
      </c>
      <c r="L6808" s="24" t="s">
        <v>21</v>
      </c>
      <c r="M6808" s="24" t="s">
        <v>21</v>
      </c>
      <c r="N6808" s="24" t="s">
        <v>21</v>
      </c>
      <c r="O6808" s="24">
        <v>0</v>
      </c>
      <c r="P6808" s="24" t="s">
        <v>21</v>
      </c>
      <c r="Q6808" s="24" t="s">
        <v>21</v>
      </c>
      <c r="R6808" s="24" t="s">
        <v>21</v>
      </c>
      <c r="S6808" s="24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5">
        <v>0</v>
      </c>
      <c r="E6809" s="5">
        <v>8</v>
      </c>
      <c r="F6809" s="5" t="s">
        <v>8</v>
      </c>
      <c r="G6809" s="15" t="s">
        <v>9</v>
      </c>
      <c r="H6809" s="24">
        <v>0.99999999278225005</v>
      </c>
      <c r="I6809" s="24" t="s">
        <v>21</v>
      </c>
      <c r="J6809" s="24" t="s">
        <v>21</v>
      </c>
      <c r="K6809" s="24" t="s">
        <v>21</v>
      </c>
      <c r="L6809" s="24" t="s">
        <v>21</v>
      </c>
      <c r="M6809" s="24" t="s">
        <v>21</v>
      </c>
      <c r="N6809" s="24" t="s">
        <v>21</v>
      </c>
      <c r="O6809" s="24">
        <v>0.99999999278225005</v>
      </c>
      <c r="P6809" s="24" t="s">
        <v>21</v>
      </c>
      <c r="Q6809" s="24" t="s">
        <v>21</v>
      </c>
      <c r="R6809" s="24" t="s">
        <v>21</v>
      </c>
      <c r="S6809" s="24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5">
        <v>0</v>
      </c>
      <c r="E6810" s="5">
        <v>0</v>
      </c>
      <c r="F6810" s="5" t="s">
        <v>8</v>
      </c>
      <c r="G6810" s="15" t="s">
        <v>9</v>
      </c>
      <c r="H6810" s="24">
        <v>0</v>
      </c>
      <c r="I6810" s="24" t="s">
        <v>21</v>
      </c>
      <c r="J6810" s="24" t="s">
        <v>21</v>
      </c>
      <c r="K6810" s="24" t="s">
        <v>21</v>
      </c>
      <c r="L6810" s="24" t="s">
        <v>21</v>
      </c>
      <c r="M6810" s="24" t="s">
        <v>21</v>
      </c>
      <c r="N6810" s="24" t="s">
        <v>21</v>
      </c>
      <c r="O6810" s="24">
        <v>0</v>
      </c>
      <c r="P6810" s="24" t="s">
        <v>21</v>
      </c>
      <c r="Q6810" s="24" t="s">
        <v>21</v>
      </c>
      <c r="R6810" s="24" t="s">
        <v>21</v>
      </c>
      <c r="S6810" s="24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5">
        <v>0</v>
      </c>
      <c r="E6811" s="5">
        <v>28</v>
      </c>
      <c r="F6811" s="5" t="s">
        <v>8</v>
      </c>
      <c r="G6811" s="15" t="s">
        <v>9</v>
      </c>
      <c r="H6811" s="24">
        <v>0</v>
      </c>
      <c r="I6811" s="24" t="s">
        <v>21</v>
      </c>
      <c r="J6811" s="24" t="s">
        <v>21</v>
      </c>
      <c r="K6811" s="24" t="s">
        <v>21</v>
      </c>
      <c r="L6811" s="24" t="s">
        <v>21</v>
      </c>
      <c r="M6811" s="24" t="s">
        <v>21</v>
      </c>
      <c r="N6811" s="24" t="s">
        <v>21</v>
      </c>
      <c r="O6811" s="24">
        <v>0</v>
      </c>
      <c r="P6811" s="24" t="s">
        <v>21</v>
      </c>
      <c r="Q6811" s="24" t="s">
        <v>21</v>
      </c>
      <c r="R6811" s="24" t="s">
        <v>21</v>
      </c>
      <c r="S6811" s="24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5">
        <v>0</v>
      </c>
      <c r="E6812" s="5">
        <v>19</v>
      </c>
      <c r="F6812" s="5" t="s">
        <v>8</v>
      </c>
      <c r="G6812" s="15" t="s">
        <v>9</v>
      </c>
      <c r="H6812" s="24">
        <v>0</v>
      </c>
      <c r="I6812" s="24" t="s">
        <v>21</v>
      </c>
      <c r="J6812" s="24" t="s">
        <v>21</v>
      </c>
      <c r="K6812" s="24" t="s">
        <v>21</v>
      </c>
      <c r="L6812" s="24" t="s">
        <v>21</v>
      </c>
      <c r="M6812" s="24" t="s">
        <v>21</v>
      </c>
      <c r="N6812" s="24" t="s">
        <v>21</v>
      </c>
      <c r="O6812" s="24">
        <v>0</v>
      </c>
      <c r="P6812" s="24" t="s">
        <v>21</v>
      </c>
      <c r="Q6812" s="24" t="s">
        <v>21</v>
      </c>
      <c r="R6812" s="24" t="s">
        <v>21</v>
      </c>
      <c r="S6812" s="24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5">
        <v>0</v>
      </c>
      <c r="E6813" s="5">
        <v>22</v>
      </c>
      <c r="F6813" s="5" t="s">
        <v>8</v>
      </c>
      <c r="G6813" s="15" t="s">
        <v>9</v>
      </c>
      <c r="H6813" s="24">
        <v>1.000000003259629</v>
      </c>
      <c r="I6813" s="24" t="s">
        <v>21</v>
      </c>
      <c r="J6813" s="24" t="s">
        <v>21</v>
      </c>
      <c r="K6813" s="24" t="s">
        <v>21</v>
      </c>
      <c r="L6813" s="24" t="s">
        <v>21</v>
      </c>
      <c r="M6813" s="24" t="s">
        <v>21</v>
      </c>
      <c r="N6813" s="24" t="s">
        <v>21</v>
      </c>
      <c r="O6813" s="24">
        <v>1.000000003259629</v>
      </c>
      <c r="P6813" s="24" t="s">
        <v>21</v>
      </c>
      <c r="Q6813" s="24" t="s">
        <v>21</v>
      </c>
      <c r="R6813" s="24" t="s">
        <v>21</v>
      </c>
      <c r="S6813" s="24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5">
        <v>0</v>
      </c>
      <c r="E6814" s="5">
        <v>0</v>
      </c>
      <c r="F6814" s="5" t="s">
        <v>8</v>
      </c>
      <c r="G6814" s="15" t="s">
        <v>9</v>
      </c>
      <c r="H6814" s="24">
        <v>0</v>
      </c>
      <c r="I6814" s="24" t="s">
        <v>21</v>
      </c>
      <c r="J6814" s="24" t="s">
        <v>21</v>
      </c>
      <c r="K6814" s="24" t="s">
        <v>21</v>
      </c>
      <c r="L6814" s="24" t="s">
        <v>21</v>
      </c>
      <c r="M6814" s="24" t="s">
        <v>21</v>
      </c>
      <c r="N6814" s="24" t="s">
        <v>21</v>
      </c>
      <c r="O6814" s="24">
        <v>0</v>
      </c>
      <c r="P6814" s="24" t="s">
        <v>21</v>
      </c>
      <c r="Q6814" s="24" t="s">
        <v>21</v>
      </c>
      <c r="R6814" s="24" t="s">
        <v>21</v>
      </c>
      <c r="S6814" s="24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5">
        <v>0</v>
      </c>
      <c r="E6815" s="5">
        <v>6</v>
      </c>
      <c r="F6815" s="5" t="s">
        <v>8</v>
      </c>
      <c r="G6815" s="15" t="s">
        <v>9</v>
      </c>
      <c r="H6815" s="24">
        <v>1.000000003259629</v>
      </c>
      <c r="I6815" s="24" t="s">
        <v>21</v>
      </c>
      <c r="J6815" s="24" t="s">
        <v>21</v>
      </c>
      <c r="K6815" s="24" t="s">
        <v>21</v>
      </c>
      <c r="L6815" s="24" t="s">
        <v>21</v>
      </c>
      <c r="M6815" s="24" t="s">
        <v>21</v>
      </c>
      <c r="N6815" s="24" t="s">
        <v>21</v>
      </c>
      <c r="O6815" s="24">
        <v>1.000000003259629</v>
      </c>
      <c r="P6815" s="24" t="s">
        <v>21</v>
      </c>
      <c r="Q6815" s="24" t="s">
        <v>21</v>
      </c>
      <c r="R6815" s="24" t="s">
        <v>21</v>
      </c>
      <c r="S6815" s="24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5">
        <v>0</v>
      </c>
      <c r="E6816" s="5">
        <v>0</v>
      </c>
      <c r="F6816" s="5" t="s">
        <v>8</v>
      </c>
      <c r="G6816" s="15" t="s">
        <v>9</v>
      </c>
      <c r="H6816" s="24">
        <v>0</v>
      </c>
      <c r="I6816" s="24" t="s">
        <v>21</v>
      </c>
      <c r="J6816" s="24" t="s">
        <v>21</v>
      </c>
      <c r="K6816" s="24" t="s">
        <v>21</v>
      </c>
      <c r="L6816" s="24" t="s">
        <v>21</v>
      </c>
      <c r="M6816" s="24" t="s">
        <v>21</v>
      </c>
      <c r="N6816" s="24" t="s">
        <v>21</v>
      </c>
      <c r="O6816" s="24">
        <v>0</v>
      </c>
      <c r="P6816" s="24" t="s">
        <v>21</v>
      </c>
      <c r="Q6816" s="24" t="s">
        <v>21</v>
      </c>
      <c r="R6816" s="24" t="s">
        <v>21</v>
      </c>
      <c r="S6816" s="24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5">
        <v>8</v>
      </c>
      <c r="E6817" s="5">
        <v>0</v>
      </c>
      <c r="F6817" s="5" t="s">
        <v>8</v>
      </c>
      <c r="G6817" s="15" t="s">
        <v>9</v>
      </c>
      <c r="H6817" s="24">
        <v>0</v>
      </c>
      <c r="I6817" s="24" t="s">
        <v>21</v>
      </c>
      <c r="J6817" s="24" t="s">
        <v>21</v>
      </c>
      <c r="K6817" s="24" t="s">
        <v>21</v>
      </c>
      <c r="L6817" s="24" t="s">
        <v>21</v>
      </c>
      <c r="M6817" s="24" t="s">
        <v>21</v>
      </c>
      <c r="N6817" s="24" t="s">
        <v>21</v>
      </c>
      <c r="O6817" s="24">
        <v>0</v>
      </c>
      <c r="P6817" s="24" t="s">
        <v>21</v>
      </c>
      <c r="Q6817" s="24" t="s">
        <v>21</v>
      </c>
      <c r="R6817" s="24" t="s">
        <v>21</v>
      </c>
      <c r="S6817" s="24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5">
        <v>0</v>
      </c>
      <c r="E6818" s="5">
        <v>0</v>
      </c>
      <c r="F6818" s="5" t="s">
        <v>8</v>
      </c>
      <c r="G6818" s="15" t="s">
        <v>9</v>
      </c>
      <c r="H6818" s="24">
        <v>0</v>
      </c>
      <c r="I6818" s="24" t="s">
        <v>21</v>
      </c>
      <c r="J6818" s="24" t="s">
        <v>21</v>
      </c>
      <c r="K6818" s="24" t="s">
        <v>21</v>
      </c>
      <c r="L6818" s="24" t="s">
        <v>21</v>
      </c>
      <c r="M6818" s="24" t="s">
        <v>21</v>
      </c>
      <c r="N6818" s="24" t="s">
        <v>21</v>
      </c>
      <c r="O6818" s="24">
        <v>0</v>
      </c>
      <c r="P6818" s="24" t="s">
        <v>21</v>
      </c>
      <c r="Q6818" s="24" t="s">
        <v>21</v>
      </c>
      <c r="R6818" s="24" t="s">
        <v>21</v>
      </c>
      <c r="S6818" s="24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5">
        <v>0</v>
      </c>
      <c r="E6819" s="5">
        <v>0</v>
      </c>
      <c r="F6819" s="5" t="s">
        <v>8</v>
      </c>
      <c r="G6819" s="15" t="s">
        <v>9</v>
      </c>
      <c r="H6819" s="24">
        <v>0.99999999278225005</v>
      </c>
      <c r="I6819" s="24" t="s">
        <v>21</v>
      </c>
      <c r="J6819" s="24" t="s">
        <v>21</v>
      </c>
      <c r="K6819" s="24" t="s">
        <v>21</v>
      </c>
      <c r="L6819" s="24" t="s">
        <v>21</v>
      </c>
      <c r="M6819" s="24" t="s">
        <v>21</v>
      </c>
      <c r="N6819" s="24" t="s">
        <v>21</v>
      </c>
      <c r="O6819" s="24">
        <v>0.99999999278225005</v>
      </c>
      <c r="P6819" s="24" t="s">
        <v>21</v>
      </c>
      <c r="Q6819" s="24" t="s">
        <v>21</v>
      </c>
      <c r="R6819" s="24" t="s">
        <v>21</v>
      </c>
      <c r="S6819" s="24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5">
        <v>0</v>
      </c>
      <c r="E6820" s="5">
        <v>15</v>
      </c>
      <c r="F6820" s="5" t="s">
        <v>8</v>
      </c>
      <c r="G6820" s="15" t="s">
        <v>9</v>
      </c>
      <c r="H6820" s="24">
        <v>0</v>
      </c>
      <c r="I6820" s="24" t="s">
        <v>21</v>
      </c>
      <c r="J6820" s="24" t="s">
        <v>21</v>
      </c>
      <c r="K6820" s="24" t="s">
        <v>21</v>
      </c>
      <c r="L6820" s="24" t="s">
        <v>21</v>
      </c>
      <c r="M6820" s="24" t="s">
        <v>21</v>
      </c>
      <c r="N6820" s="24" t="s">
        <v>21</v>
      </c>
      <c r="O6820" s="24">
        <v>0</v>
      </c>
      <c r="P6820" s="24" t="s">
        <v>21</v>
      </c>
      <c r="Q6820" s="24" t="s">
        <v>21</v>
      </c>
      <c r="R6820" s="24" t="s">
        <v>21</v>
      </c>
      <c r="S6820" s="24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5">
        <v>0</v>
      </c>
      <c r="E6821" s="5">
        <v>10</v>
      </c>
      <c r="F6821" s="5" t="s">
        <v>8</v>
      </c>
      <c r="G6821" s="15" t="s">
        <v>9</v>
      </c>
      <c r="H6821" s="24">
        <v>1.000000003259629</v>
      </c>
      <c r="I6821" s="24" t="s">
        <v>21</v>
      </c>
      <c r="J6821" s="24" t="s">
        <v>21</v>
      </c>
      <c r="K6821" s="24" t="s">
        <v>21</v>
      </c>
      <c r="L6821" s="24" t="s">
        <v>21</v>
      </c>
      <c r="M6821" s="24" t="s">
        <v>21</v>
      </c>
      <c r="N6821" s="24" t="s">
        <v>21</v>
      </c>
      <c r="O6821" s="24">
        <v>1.000000003259629</v>
      </c>
      <c r="P6821" s="24" t="s">
        <v>21</v>
      </c>
      <c r="Q6821" s="24" t="s">
        <v>21</v>
      </c>
      <c r="R6821" s="24" t="s">
        <v>21</v>
      </c>
      <c r="S6821" s="24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5">
        <v>2</v>
      </c>
      <c r="E6822" s="5">
        <v>18</v>
      </c>
      <c r="F6822" s="5" t="s">
        <v>8</v>
      </c>
      <c r="G6822" s="15" t="s">
        <v>9</v>
      </c>
      <c r="H6822" s="24">
        <v>0</v>
      </c>
      <c r="I6822" s="24" t="s">
        <v>21</v>
      </c>
      <c r="J6822" s="24" t="s">
        <v>21</v>
      </c>
      <c r="K6822" s="24" t="s">
        <v>21</v>
      </c>
      <c r="L6822" s="24" t="s">
        <v>21</v>
      </c>
      <c r="M6822" s="24" t="s">
        <v>21</v>
      </c>
      <c r="N6822" s="24" t="s">
        <v>21</v>
      </c>
      <c r="O6822" s="24">
        <v>0</v>
      </c>
      <c r="P6822" s="24" t="s">
        <v>21</v>
      </c>
      <c r="Q6822" s="24" t="s">
        <v>21</v>
      </c>
      <c r="R6822" s="24" t="s">
        <v>21</v>
      </c>
      <c r="S6822" s="24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5">
        <v>0</v>
      </c>
      <c r="E6823" s="5">
        <v>18</v>
      </c>
      <c r="F6823" s="5" t="s">
        <v>8</v>
      </c>
      <c r="G6823" s="15" t="s">
        <v>9</v>
      </c>
      <c r="H6823" s="24">
        <v>1.000000003259629</v>
      </c>
      <c r="I6823" s="24" t="s">
        <v>21</v>
      </c>
      <c r="J6823" s="24" t="s">
        <v>21</v>
      </c>
      <c r="K6823" s="24" t="s">
        <v>21</v>
      </c>
      <c r="L6823" s="24" t="s">
        <v>21</v>
      </c>
      <c r="M6823" s="24" t="s">
        <v>21</v>
      </c>
      <c r="N6823" s="24" t="s">
        <v>21</v>
      </c>
      <c r="O6823" s="24">
        <v>1.000000003259629</v>
      </c>
      <c r="P6823" s="24" t="s">
        <v>21</v>
      </c>
      <c r="Q6823" s="24" t="s">
        <v>21</v>
      </c>
      <c r="R6823" s="24" t="s">
        <v>21</v>
      </c>
      <c r="S6823" s="24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5">
        <v>0</v>
      </c>
      <c r="E6824" s="5">
        <v>24</v>
      </c>
      <c r="F6824" s="5" t="s">
        <v>8</v>
      </c>
      <c r="G6824" s="15" t="s">
        <v>9</v>
      </c>
      <c r="H6824" s="24">
        <v>0</v>
      </c>
      <c r="I6824" s="24" t="s">
        <v>21</v>
      </c>
      <c r="J6824" s="24" t="s">
        <v>21</v>
      </c>
      <c r="K6824" s="24" t="s">
        <v>21</v>
      </c>
      <c r="L6824" s="24" t="s">
        <v>21</v>
      </c>
      <c r="M6824" s="24" t="s">
        <v>21</v>
      </c>
      <c r="N6824" s="24" t="s">
        <v>21</v>
      </c>
      <c r="O6824" s="24">
        <v>0</v>
      </c>
      <c r="P6824" s="24" t="s">
        <v>21</v>
      </c>
      <c r="Q6824" s="24" t="s">
        <v>21</v>
      </c>
      <c r="R6824" s="24" t="s">
        <v>21</v>
      </c>
      <c r="S6824" s="24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5">
        <v>0</v>
      </c>
      <c r="E6825" s="5">
        <v>29</v>
      </c>
      <c r="F6825" s="5" t="s">
        <v>8</v>
      </c>
      <c r="G6825" s="15" t="s">
        <v>9</v>
      </c>
      <c r="H6825" s="24">
        <v>1.000000003259629</v>
      </c>
      <c r="I6825" s="24" t="s">
        <v>21</v>
      </c>
      <c r="J6825" s="24" t="s">
        <v>21</v>
      </c>
      <c r="K6825" s="24" t="s">
        <v>21</v>
      </c>
      <c r="L6825" s="24" t="s">
        <v>21</v>
      </c>
      <c r="M6825" s="24" t="s">
        <v>21</v>
      </c>
      <c r="N6825" s="24" t="s">
        <v>21</v>
      </c>
      <c r="O6825" s="24">
        <v>1.000000003259629</v>
      </c>
      <c r="P6825" s="24" t="s">
        <v>21</v>
      </c>
      <c r="Q6825" s="24" t="s">
        <v>21</v>
      </c>
      <c r="R6825" s="24" t="s">
        <v>21</v>
      </c>
      <c r="S6825" s="24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5">
        <v>0</v>
      </c>
      <c r="E6826" s="5">
        <v>22</v>
      </c>
      <c r="F6826" s="5" t="s">
        <v>8</v>
      </c>
      <c r="G6826" s="15" t="s">
        <v>9</v>
      </c>
      <c r="H6826" s="24">
        <v>0</v>
      </c>
      <c r="I6826" s="24" t="s">
        <v>21</v>
      </c>
      <c r="J6826" s="24" t="s">
        <v>21</v>
      </c>
      <c r="K6826" s="24" t="s">
        <v>21</v>
      </c>
      <c r="L6826" s="24" t="s">
        <v>21</v>
      </c>
      <c r="M6826" s="24" t="s">
        <v>21</v>
      </c>
      <c r="N6826" s="24" t="s">
        <v>21</v>
      </c>
      <c r="O6826" s="24">
        <v>0</v>
      </c>
      <c r="P6826" s="24" t="s">
        <v>21</v>
      </c>
      <c r="Q6826" s="24" t="s">
        <v>21</v>
      </c>
      <c r="R6826" s="24" t="s">
        <v>21</v>
      </c>
      <c r="S6826" s="24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5">
        <v>4</v>
      </c>
      <c r="E6827" s="5">
        <v>0</v>
      </c>
      <c r="F6827" s="5" t="s">
        <v>8</v>
      </c>
      <c r="G6827" s="15" t="s">
        <v>9</v>
      </c>
      <c r="H6827" s="24">
        <v>8.9999999979045242</v>
      </c>
      <c r="I6827" s="24" t="s">
        <v>21</v>
      </c>
      <c r="J6827" s="24">
        <v>21.000000005587935</v>
      </c>
      <c r="K6827" s="24" t="s">
        <v>21</v>
      </c>
      <c r="L6827" s="24" t="s">
        <v>21</v>
      </c>
      <c r="M6827" s="24" t="s">
        <v>21</v>
      </c>
      <c r="N6827" s="24" t="s">
        <v>21</v>
      </c>
      <c r="O6827" s="24" t="s">
        <v>21</v>
      </c>
      <c r="P6827" s="24" t="s">
        <v>21</v>
      </c>
      <c r="Q6827" s="24" t="s">
        <v>21</v>
      </c>
      <c r="R6827" s="24" t="s">
        <v>21</v>
      </c>
      <c r="S6827" s="24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5">
        <v>5</v>
      </c>
      <c r="E6828" s="5">
        <v>8</v>
      </c>
      <c r="F6828" s="5" t="s">
        <v>8</v>
      </c>
      <c r="G6828" s="15" t="s">
        <v>9</v>
      </c>
      <c r="H6828" s="24">
        <v>4.9999999953433871</v>
      </c>
      <c r="I6828" s="24" t="s">
        <v>21</v>
      </c>
      <c r="J6828" s="24">
        <v>4.9999999953433871</v>
      </c>
      <c r="K6828" s="24" t="s">
        <v>21</v>
      </c>
      <c r="L6828" s="24" t="s">
        <v>21</v>
      </c>
      <c r="M6828" s="24" t="s">
        <v>21</v>
      </c>
      <c r="N6828" s="24" t="s">
        <v>21</v>
      </c>
      <c r="O6828" s="24" t="s">
        <v>21</v>
      </c>
      <c r="P6828" s="24" t="s">
        <v>21</v>
      </c>
      <c r="Q6828" s="24" t="s">
        <v>21</v>
      </c>
      <c r="R6828" s="24" t="s">
        <v>21</v>
      </c>
      <c r="S6828" s="24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5">
        <v>7</v>
      </c>
      <c r="E6829" s="5">
        <v>5</v>
      </c>
      <c r="F6829" s="5" t="s">
        <v>8</v>
      </c>
      <c r="G6829" s="15" t="s">
        <v>9</v>
      </c>
      <c r="H6829" s="24">
        <v>0</v>
      </c>
      <c r="I6829" s="24" t="s">
        <v>21</v>
      </c>
      <c r="J6829" s="24">
        <v>0</v>
      </c>
      <c r="K6829" s="24" t="s">
        <v>21</v>
      </c>
      <c r="L6829" s="24" t="s">
        <v>21</v>
      </c>
      <c r="M6829" s="24" t="s">
        <v>21</v>
      </c>
      <c r="N6829" s="24" t="s">
        <v>21</v>
      </c>
      <c r="O6829" s="24" t="s">
        <v>21</v>
      </c>
      <c r="P6829" s="24" t="s">
        <v>21</v>
      </c>
      <c r="Q6829" s="24" t="s">
        <v>21</v>
      </c>
      <c r="R6829" s="24" t="s">
        <v>21</v>
      </c>
      <c r="S6829" s="24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5">
        <v>3</v>
      </c>
      <c r="E6830" s="5">
        <v>2</v>
      </c>
      <c r="F6830" s="5" t="s">
        <v>8</v>
      </c>
      <c r="G6830" s="15" t="s">
        <v>9</v>
      </c>
      <c r="H6830" s="24">
        <v>31.999999999534339</v>
      </c>
      <c r="I6830" s="24" t="s">
        <v>21</v>
      </c>
      <c r="J6830" s="24" t="s">
        <v>21</v>
      </c>
      <c r="K6830" s="24" t="s">
        <v>21</v>
      </c>
      <c r="L6830" s="24">
        <v>97.999999994644895</v>
      </c>
      <c r="M6830" s="24" t="s">
        <v>21</v>
      </c>
      <c r="N6830" s="24" t="s">
        <v>21</v>
      </c>
      <c r="O6830" s="24" t="s">
        <v>21</v>
      </c>
      <c r="P6830" s="24" t="s">
        <v>21</v>
      </c>
      <c r="Q6830" s="24" t="s">
        <v>21</v>
      </c>
      <c r="R6830" s="24" t="s">
        <v>21</v>
      </c>
      <c r="S6830" s="24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5">
        <v>0</v>
      </c>
      <c r="E6831" s="5">
        <v>10</v>
      </c>
      <c r="F6831" s="5" t="s">
        <v>8</v>
      </c>
      <c r="G6831" s="15" t="s">
        <v>9</v>
      </c>
      <c r="H6831" s="24">
        <v>1.000000003259629</v>
      </c>
      <c r="I6831" s="24" t="s">
        <v>21</v>
      </c>
      <c r="J6831" s="24" t="s">
        <v>21</v>
      </c>
      <c r="K6831" s="24" t="s">
        <v>21</v>
      </c>
      <c r="L6831" s="24">
        <v>1.000000003259629</v>
      </c>
      <c r="M6831" s="24" t="s">
        <v>21</v>
      </c>
      <c r="N6831" s="24" t="s">
        <v>21</v>
      </c>
      <c r="O6831" s="24" t="s">
        <v>21</v>
      </c>
      <c r="P6831" s="24" t="s">
        <v>21</v>
      </c>
      <c r="Q6831" s="24" t="s">
        <v>21</v>
      </c>
      <c r="R6831" s="24" t="s">
        <v>21</v>
      </c>
      <c r="S6831" s="24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5">
        <v>0</v>
      </c>
      <c r="E6832" s="5">
        <v>10</v>
      </c>
      <c r="F6832" s="5" t="s">
        <v>8</v>
      </c>
      <c r="G6832" s="15" t="s">
        <v>9</v>
      </c>
      <c r="H6832" s="24">
        <v>1.000000003259629</v>
      </c>
      <c r="I6832" s="24" t="s">
        <v>21</v>
      </c>
      <c r="J6832" s="24" t="s">
        <v>21</v>
      </c>
      <c r="K6832" s="24" t="s">
        <v>21</v>
      </c>
      <c r="L6832" s="24">
        <v>1.000000003259629</v>
      </c>
      <c r="M6832" s="24" t="s">
        <v>21</v>
      </c>
      <c r="N6832" s="24" t="s">
        <v>21</v>
      </c>
      <c r="O6832" s="24" t="s">
        <v>21</v>
      </c>
      <c r="P6832" s="24" t="s">
        <v>21</v>
      </c>
      <c r="Q6832" s="24" t="s">
        <v>21</v>
      </c>
      <c r="R6832" s="24" t="s">
        <v>21</v>
      </c>
      <c r="S6832" s="24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5">
        <v>0</v>
      </c>
      <c r="E6833" s="5">
        <v>4</v>
      </c>
      <c r="F6833" s="5" t="s">
        <v>8</v>
      </c>
      <c r="G6833" s="15" t="s">
        <v>9</v>
      </c>
      <c r="H6833" s="24">
        <v>68.999999994412065</v>
      </c>
      <c r="I6833" s="24">
        <v>127.99999999813735</v>
      </c>
      <c r="J6833" s="24" t="s">
        <v>21</v>
      </c>
      <c r="K6833" s="24" t="s">
        <v>21</v>
      </c>
      <c r="L6833" s="24" t="s">
        <v>21</v>
      </c>
      <c r="M6833" s="24" t="s">
        <v>21</v>
      </c>
      <c r="N6833" s="24" t="s">
        <v>21</v>
      </c>
      <c r="O6833" s="24" t="s">
        <v>21</v>
      </c>
      <c r="P6833" s="24" t="s">
        <v>21</v>
      </c>
      <c r="Q6833" s="24" t="s">
        <v>21</v>
      </c>
      <c r="R6833" s="24" t="s">
        <v>21</v>
      </c>
      <c r="S6833" s="24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5">
        <v>0</v>
      </c>
      <c r="E6834" s="5">
        <v>6</v>
      </c>
      <c r="F6834" s="5" t="s">
        <v>8</v>
      </c>
      <c r="G6834" s="15" t="s">
        <v>9</v>
      </c>
      <c r="H6834" s="24">
        <v>0</v>
      </c>
      <c r="I6834" s="24">
        <v>0</v>
      </c>
      <c r="J6834" s="24" t="s">
        <v>21</v>
      </c>
      <c r="K6834" s="24" t="s">
        <v>21</v>
      </c>
      <c r="L6834" s="24" t="s">
        <v>21</v>
      </c>
      <c r="M6834" s="24" t="s">
        <v>21</v>
      </c>
      <c r="N6834" s="24" t="s">
        <v>21</v>
      </c>
      <c r="O6834" s="24" t="s">
        <v>21</v>
      </c>
      <c r="P6834" s="24" t="s">
        <v>21</v>
      </c>
      <c r="Q6834" s="24" t="s">
        <v>21</v>
      </c>
      <c r="R6834" s="24" t="s">
        <v>21</v>
      </c>
      <c r="S6834" s="24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5">
        <v>1</v>
      </c>
      <c r="E6835" s="5">
        <v>8</v>
      </c>
      <c r="F6835" s="5" t="s">
        <v>8</v>
      </c>
      <c r="G6835" s="15" t="s">
        <v>9</v>
      </c>
      <c r="H6835" s="24">
        <v>1.000000003259629</v>
      </c>
      <c r="I6835" s="24">
        <v>1.000000003259629</v>
      </c>
      <c r="J6835" s="24" t="s">
        <v>21</v>
      </c>
      <c r="K6835" s="24" t="s">
        <v>21</v>
      </c>
      <c r="L6835" s="24" t="s">
        <v>21</v>
      </c>
      <c r="M6835" s="24" t="s">
        <v>21</v>
      </c>
      <c r="N6835" s="24" t="s">
        <v>21</v>
      </c>
      <c r="O6835" s="24" t="s">
        <v>21</v>
      </c>
      <c r="P6835" s="24" t="s">
        <v>21</v>
      </c>
      <c r="Q6835" s="24" t="s">
        <v>21</v>
      </c>
      <c r="R6835" s="24" t="s">
        <v>21</v>
      </c>
      <c r="S6835" s="24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5">
        <v>0</v>
      </c>
      <c r="E6836" s="5">
        <v>0</v>
      </c>
      <c r="F6836" s="5" t="s">
        <v>8</v>
      </c>
      <c r="G6836" s="15" t="s">
        <v>9</v>
      </c>
      <c r="H6836" s="24">
        <v>0</v>
      </c>
      <c r="I6836" s="24" t="s">
        <v>21</v>
      </c>
      <c r="J6836" s="24" t="s">
        <v>21</v>
      </c>
      <c r="K6836" s="24" t="s">
        <v>21</v>
      </c>
      <c r="L6836" s="24" t="s">
        <v>21</v>
      </c>
      <c r="M6836" s="24" t="s">
        <v>21</v>
      </c>
      <c r="N6836" s="24" t="s">
        <v>21</v>
      </c>
      <c r="O6836" s="24">
        <v>117.9999999969732</v>
      </c>
      <c r="P6836" s="24" t="s">
        <v>21</v>
      </c>
      <c r="Q6836" s="24" t="s">
        <v>21</v>
      </c>
      <c r="R6836" s="24" t="s">
        <v>21</v>
      </c>
      <c r="S6836" s="24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5">
        <v>0</v>
      </c>
      <c r="E6837" s="5">
        <v>3</v>
      </c>
      <c r="F6837" s="5" t="s">
        <v>8</v>
      </c>
      <c r="G6837" s="15" t="s">
        <v>9</v>
      </c>
      <c r="H6837" s="24">
        <v>0</v>
      </c>
      <c r="I6837" s="24">
        <v>0</v>
      </c>
      <c r="J6837" s="24" t="s">
        <v>21</v>
      </c>
      <c r="K6837" s="24" t="s">
        <v>21</v>
      </c>
      <c r="L6837" s="24" t="s">
        <v>21</v>
      </c>
      <c r="M6837" s="24" t="s">
        <v>21</v>
      </c>
      <c r="N6837" s="24" t="s">
        <v>21</v>
      </c>
      <c r="O6837" s="24" t="s">
        <v>21</v>
      </c>
      <c r="P6837" s="24" t="s">
        <v>21</v>
      </c>
      <c r="Q6837" s="24" t="s">
        <v>21</v>
      </c>
      <c r="R6837" s="24" t="s">
        <v>21</v>
      </c>
      <c r="S6837" s="24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5">
        <v>0</v>
      </c>
      <c r="E6838" s="5">
        <v>0</v>
      </c>
      <c r="F6838" s="5" t="s">
        <v>8</v>
      </c>
      <c r="G6838" s="15" t="s">
        <v>9</v>
      </c>
      <c r="H6838" s="24">
        <v>0</v>
      </c>
      <c r="I6838" s="24" t="s">
        <v>21</v>
      </c>
      <c r="J6838" s="24" t="s">
        <v>21</v>
      </c>
      <c r="K6838" s="24" t="s">
        <v>21</v>
      </c>
      <c r="L6838" s="24" t="s">
        <v>21</v>
      </c>
      <c r="M6838" s="24" t="s">
        <v>21</v>
      </c>
      <c r="N6838" s="24" t="s">
        <v>21</v>
      </c>
      <c r="O6838" s="24">
        <v>0</v>
      </c>
      <c r="P6838" s="24" t="s">
        <v>21</v>
      </c>
      <c r="Q6838" s="24" t="s">
        <v>21</v>
      </c>
      <c r="R6838" s="24" t="s">
        <v>21</v>
      </c>
      <c r="S6838" s="24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5">
        <v>3</v>
      </c>
      <c r="E6839" s="5">
        <v>0</v>
      </c>
      <c r="F6839" s="5" t="s">
        <v>8</v>
      </c>
      <c r="G6839" s="15" t="s">
        <v>9</v>
      </c>
      <c r="H6839" s="24">
        <v>1.000000003259629</v>
      </c>
      <c r="I6839" s="24">
        <v>1.000000003259629</v>
      </c>
      <c r="J6839" s="24" t="s">
        <v>21</v>
      </c>
      <c r="K6839" s="24" t="s">
        <v>21</v>
      </c>
      <c r="L6839" s="24" t="s">
        <v>21</v>
      </c>
      <c r="M6839" s="24" t="s">
        <v>21</v>
      </c>
      <c r="N6839" s="24" t="s">
        <v>21</v>
      </c>
      <c r="O6839" s="24" t="s">
        <v>21</v>
      </c>
      <c r="P6839" s="24" t="s">
        <v>21</v>
      </c>
      <c r="Q6839" s="24" t="s">
        <v>21</v>
      </c>
      <c r="R6839" s="24" t="s">
        <v>21</v>
      </c>
      <c r="S6839" s="24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5">
        <v>3</v>
      </c>
      <c r="E6840" s="5">
        <v>0</v>
      </c>
      <c r="F6840" s="5" t="s">
        <v>8</v>
      </c>
      <c r="G6840" s="15" t="s">
        <v>9</v>
      </c>
      <c r="H6840" s="24">
        <v>0.99999999278225005</v>
      </c>
      <c r="I6840" s="24">
        <v>0.99999999278225005</v>
      </c>
      <c r="J6840" s="24" t="s">
        <v>21</v>
      </c>
      <c r="K6840" s="24" t="s">
        <v>21</v>
      </c>
      <c r="L6840" s="24" t="s">
        <v>21</v>
      </c>
      <c r="M6840" s="24" t="s">
        <v>21</v>
      </c>
      <c r="N6840" s="24" t="s">
        <v>21</v>
      </c>
      <c r="O6840" s="24" t="s">
        <v>21</v>
      </c>
      <c r="P6840" s="24" t="s">
        <v>21</v>
      </c>
      <c r="Q6840" s="24" t="s">
        <v>21</v>
      </c>
      <c r="R6840" s="24" t="s">
        <v>21</v>
      </c>
      <c r="S6840" s="24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5">
        <v>0</v>
      </c>
      <c r="E6841" s="5">
        <v>0</v>
      </c>
      <c r="F6841" s="5" t="s">
        <v>8</v>
      </c>
      <c r="G6841" s="15" t="s">
        <v>9</v>
      </c>
      <c r="H6841" s="24">
        <v>0</v>
      </c>
      <c r="I6841" s="24" t="s">
        <v>21</v>
      </c>
      <c r="J6841" s="24" t="s">
        <v>21</v>
      </c>
      <c r="K6841" s="24" t="s">
        <v>21</v>
      </c>
      <c r="L6841" s="24" t="s">
        <v>21</v>
      </c>
      <c r="M6841" s="24" t="s">
        <v>21</v>
      </c>
      <c r="N6841" s="24" t="s">
        <v>21</v>
      </c>
      <c r="O6841" s="24">
        <v>1.9999999960418791</v>
      </c>
      <c r="P6841" s="24" t="s">
        <v>21</v>
      </c>
      <c r="Q6841" s="24" t="s">
        <v>21</v>
      </c>
      <c r="R6841" s="24" t="s">
        <v>21</v>
      </c>
      <c r="S6841" s="24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5">
        <v>0</v>
      </c>
      <c r="E6842" s="5">
        <v>9</v>
      </c>
      <c r="F6842" s="5" t="s">
        <v>8</v>
      </c>
      <c r="G6842" s="15" t="s">
        <v>9</v>
      </c>
      <c r="H6842" s="24">
        <v>1.000000003259629</v>
      </c>
      <c r="I6842" s="24" t="s">
        <v>21</v>
      </c>
      <c r="J6842" s="24" t="s">
        <v>21</v>
      </c>
      <c r="K6842" s="24" t="s">
        <v>21</v>
      </c>
      <c r="L6842" s="24" t="s">
        <v>21</v>
      </c>
      <c r="M6842" s="24" t="s">
        <v>21</v>
      </c>
      <c r="N6842" s="24" t="s">
        <v>21</v>
      </c>
      <c r="O6842" s="24">
        <v>1.000000003259629</v>
      </c>
      <c r="P6842" s="24" t="s">
        <v>21</v>
      </c>
      <c r="Q6842" s="24" t="s">
        <v>21</v>
      </c>
      <c r="R6842" s="24" t="s">
        <v>21</v>
      </c>
      <c r="S6842" s="24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5">
        <v>1</v>
      </c>
      <c r="E6843" s="5">
        <v>0</v>
      </c>
      <c r="F6843" s="5" t="s">
        <v>8</v>
      </c>
      <c r="G6843" s="15" t="s">
        <v>9</v>
      </c>
      <c r="H6843" s="24">
        <v>0</v>
      </c>
      <c r="I6843" s="24" t="s">
        <v>21</v>
      </c>
      <c r="J6843" s="24" t="s">
        <v>21</v>
      </c>
      <c r="K6843" s="24" t="s">
        <v>21</v>
      </c>
      <c r="L6843" s="24" t="s">
        <v>21</v>
      </c>
      <c r="M6843" s="24" t="s">
        <v>21</v>
      </c>
      <c r="N6843" s="24" t="s">
        <v>21</v>
      </c>
      <c r="O6843" s="24">
        <v>0</v>
      </c>
      <c r="P6843" s="24" t="s">
        <v>21</v>
      </c>
      <c r="Q6843" s="24" t="s">
        <v>21</v>
      </c>
      <c r="R6843" s="24" t="s">
        <v>21</v>
      </c>
      <c r="S6843" s="24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5">
        <v>0</v>
      </c>
      <c r="E6844" s="5">
        <v>17</v>
      </c>
      <c r="F6844" s="5" t="s">
        <v>8</v>
      </c>
      <c r="G6844" s="15" t="s">
        <v>9</v>
      </c>
      <c r="H6844" s="24">
        <v>0</v>
      </c>
      <c r="I6844" s="24" t="s">
        <v>21</v>
      </c>
      <c r="J6844" s="24" t="s">
        <v>21</v>
      </c>
      <c r="K6844" s="24" t="s">
        <v>21</v>
      </c>
      <c r="L6844" s="24" t="s">
        <v>21</v>
      </c>
      <c r="M6844" s="24" t="s">
        <v>21</v>
      </c>
      <c r="N6844" s="24" t="s">
        <v>21</v>
      </c>
      <c r="O6844" s="24">
        <v>0</v>
      </c>
      <c r="P6844" s="24" t="s">
        <v>21</v>
      </c>
      <c r="Q6844" s="24" t="s">
        <v>21</v>
      </c>
      <c r="R6844" s="24" t="s">
        <v>21</v>
      </c>
      <c r="S6844" s="24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5">
        <v>16</v>
      </c>
      <c r="E6845" s="5">
        <v>0</v>
      </c>
      <c r="F6845" s="5" t="s">
        <v>8</v>
      </c>
      <c r="G6845" s="15" t="s">
        <v>9</v>
      </c>
      <c r="H6845" s="24">
        <v>0</v>
      </c>
      <c r="I6845" s="24" t="s">
        <v>21</v>
      </c>
      <c r="J6845" s="24" t="s">
        <v>21</v>
      </c>
      <c r="K6845" s="24" t="s">
        <v>21</v>
      </c>
      <c r="L6845" s="24" t="s">
        <v>21</v>
      </c>
      <c r="M6845" s="24" t="s">
        <v>21</v>
      </c>
      <c r="N6845" s="24" t="s">
        <v>21</v>
      </c>
      <c r="O6845" s="24">
        <v>0</v>
      </c>
      <c r="P6845" s="24" t="s">
        <v>21</v>
      </c>
      <c r="Q6845" s="24" t="s">
        <v>21</v>
      </c>
      <c r="R6845" s="24" t="s">
        <v>21</v>
      </c>
      <c r="S6845" s="24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5">
        <v>0</v>
      </c>
      <c r="E6846" s="5">
        <v>19</v>
      </c>
      <c r="F6846" s="5" t="s">
        <v>8</v>
      </c>
      <c r="G6846" s="15" t="s">
        <v>9</v>
      </c>
      <c r="H6846" s="24">
        <v>1.000000003259629</v>
      </c>
      <c r="I6846" s="24" t="s">
        <v>21</v>
      </c>
      <c r="J6846" s="24" t="s">
        <v>21</v>
      </c>
      <c r="K6846" s="24" t="s">
        <v>21</v>
      </c>
      <c r="L6846" s="24" t="s">
        <v>21</v>
      </c>
      <c r="M6846" s="24" t="s">
        <v>21</v>
      </c>
      <c r="N6846" s="24" t="s">
        <v>21</v>
      </c>
      <c r="O6846" s="24">
        <v>1.000000003259629</v>
      </c>
      <c r="P6846" s="24" t="s">
        <v>21</v>
      </c>
      <c r="Q6846" s="24" t="s">
        <v>21</v>
      </c>
      <c r="R6846" s="24" t="s">
        <v>21</v>
      </c>
      <c r="S6846" s="24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5">
        <v>5</v>
      </c>
      <c r="E6847" s="5">
        <v>6</v>
      </c>
      <c r="F6847" s="5" t="s">
        <v>8</v>
      </c>
      <c r="G6847" s="15" t="s">
        <v>9</v>
      </c>
      <c r="H6847" s="24">
        <v>0</v>
      </c>
      <c r="I6847" s="24" t="s">
        <v>21</v>
      </c>
      <c r="J6847" s="24" t="s">
        <v>21</v>
      </c>
      <c r="K6847" s="24" t="s">
        <v>21</v>
      </c>
      <c r="L6847" s="24" t="s">
        <v>21</v>
      </c>
      <c r="M6847" s="24" t="s">
        <v>21</v>
      </c>
      <c r="N6847" s="24" t="s">
        <v>21</v>
      </c>
      <c r="O6847" s="24">
        <v>0</v>
      </c>
      <c r="P6847" s="24" t="s">
        <v>21</v>
      </c>
      <c r="Q6847" s="24" t="s">
        <v>21</v>
      </c>
      <c r="R6847" s="24" t="s">
        <v>21</v>
      </c>
      <c r="S6847" s="24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5">
        <v>0</v>
      </c>
      <c r="E6848" s="5">
        <v>19</v>
      </c>
      <c r="F6848" s="5" t="s">
        <v>8</v>
      </c>
      <c r="G6848" s="15" t="s">
        <v>9</v>
      </c>
      <c r="H6848" s="24">
        <v>0</v>
      </c>
      <c r="I6848" s="24" t="s">
        <v>21</v>
      </c>
      <c r="J6848" s="24" t="s">
        <v>21</v>
      </c>
      <c r="K6848" s="24" t="s">
        <v>21</v>
      </c>
      <c r="L6848" s="24" t="s">
        <v>21</v>
      </c>
      <c r="M6848" s="24" t="s">
        <v>21</v>
      </c>
      <c r="N6848" s="24" t="s">
        <v>21</v>
      </c>
      <c r="O6848" s="24">
        <v>0</v>
      </c>
      <c r="P6848" s="24" t="s">
        <v>21</v>
      </c>
      <c r="Q6848" s="24" t="s">
        <v>21</v>
      </c>
      <c r="R6848" s="24" t="s">
        <v>21</v>
      </c>
      <c r="S6848" s="24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5">
        <v>3</v>
      </c>
      <c r="E6849" s="5">
        <v>0</v>
      </c>
      <c r="F6849" s="5" t="s">
        <v>8</v>
      </c>
      <c r="G6849" s="15" t="s">
        <v>9</v>
      </c>
      <c r="H6849" s="24">
        <v>0</v>
      </c>
      <c r="I6849" s="24" t="s">
        <v>21</v>
      </c>
      <c r="J6849" s="24" t="s">
        <v>21</v>
      </c>
      <c r="K6849" s="24" t="s">
        <v>21</v>
      </c>
      <c r="L6849" s="24" t="s">
        <v>21</v>
      </c>
      <c r="M6849" s="24" t="s">
        <v>21</v>
      </c>
      <c r="N6849" s="24" t="s">
        <v>21</v>
      </c>
      <c r="O6849" s="24">
        <v>0</v>
      </c>
      <c r="P6849" s="24" t="s">
        <v>21</v>
      </c>
      <c r="Q6849" s="24" t="s">
        <v>21</v>
      </c>
      <c r="R6849" s="24" t="s">
        <v>21</v>
      </c>
      <c r="S6849" s="24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5">
        <v>0</v>
      </c>
      <c r="E6850" s="5">
        <v>13</v>
      </c>
      <c r="F6850" s="5" t="s">
        <v>8</v>
      </c>
      <c r="G6850" s="15" t="s">
        <v>9</v>
      </c>
      <c r="H6850" s="24">
        <v>0.99999999278225005</v>
      </c>
      <c r="I6850" s="24" t="s">
        <v>21</v>
      </c>
      <c r="J6850" s="24" t="s">
        <v>21</v>
      </c>
      <c r="K6850" s="24" t="s">
        <v>21</v>
      </c>
      <c r="L6850" s="24" t="s">
        <v>21</v>
      </c>
      <c r="M6850" s="24" t="s">
        <v>21</v>
      </c>
      <c r="N6850" s="24" t="s">
        <v>21</v>
      </c>
      <c r="O6850" s="24">
        <v>0.99999999278225005</v>
      </c>
      <c r="P6850" s="24" t="s">
        <v>21</v>
      </c>
      <c r="Q6850" s="24" t="s">
        <v>21</v>
      </c>
      <c r="R6850" s="24" t="s">
        <v>21</v>
      </c>
      <c r="S6850" s="24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5">
        <v>0</v>
      </c>
      <c r="E6851" s="5">
        <v>13</v>
      </c>
      <c r="F6851" s="5" t="s">
        <v>8</v>
      </c>
      <c r="G6851" s="15" t="s">
        <v>9</v>
      </c>
      <c r="H6851" s="24">
        <v>0</v>
      </c>
      <c r="I6851" s="24" t="s">
        <v>21</v>
      </c>
      <c r="J6851" s="24" t="s">
        <v>21</v>
      </c>
      <c r="K6851" s="24" t="s">
        <v>21</v>
      </c>
      <c r="L6851" s="24" t="s">
        <v>21</v>
      </c>
      <c r="M6851" s="24" t="s">
        <v>21</v>
      </c>
      <c r="N6851" s="24" t="s">
        <v>21</v>
      </c>
      <c r="O6851" s="24">
        <v>0</v>
      </c>
      <c r="P6851" s="24" t="s">
        <v>21</v>
      </c>
      <c r="Q6851" s="24" t="s">
        <v>21</v>
      </c>
      <c r="R6851" s="24" t="s">
        <v>21</v>
      </c>
      <c r="S6851" s="24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5">
        <v>0</v>
      </c>
      <c r="E6852" s="5">
        <v>20</v>
      </c>
      <c r="F6852" s="5" t="s">
        <v>8</v>
      </c>
      <c r="G6852" s="15" t="s">
        <v>9</v>
      </c>
      <c r="H6852" s="24">
        <v>0</v>
      </c>
      <c r="I6852" s="24" t="s">
        <v>21</v>
      </c>
      <c r="J6852" s="24" t="s">
        <v>21</v>
      </c>
      <c r="K6852" s="24" t="s">
        <v>21</v>
      </c>
      <c r="L6852" s="24" t="s">
        <v>21</v>
      </c>
      <c r="M6852" s="24" t="s">
        <v>21</v>
      </c>
      <c r="N6852" s="24" t="s">
        <v>21</v>
      </c>
      <c r="O6852" s="24">
        <v>0</v>
      </c>
      <c r="P6852" s="24" t="s">
        <v>21</v>
      </c>
      <c r="Q6852" s="24" t="s">
        <v>21</v>
      </c>
      <c r="R6852" s="24" t="s">
        <v>21</v>
      </c>
      <c r="S6852" s="24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5">
        <v>6</v>
      </c>
      <c r="E6853" s="5">
        <v>6</v>
      </c>
      <c r="F6853" s="5" t="s">
        <v>8</v>
      </c>
      <c r="G6853" s="15" t="s">
        <v>9</v>
      </c>
      <c r="H6853" s="24">
        <v>0</v>
      </c>
      <c r="I6853" s="24" t="s">
        <v>21</v>
      </c>
      <c r="J6853" s="24" t="s">
        <v>21</v>
      </c>
      <c r="K6853" s="24" t="s">
        <v>21</v>
      </c>
      <c r="L6853" s="24" t="s">
        <v>21</v>
      </c>
      <c r="M6853" s="24" t="s">
        <v>21</v>
      </c>
      <c r="N6853" s="24" t="s">
        <v>21</v>
      </c>
      <c r="O6853" s="24">
        <v>0</v>
      </c>
      <c r="P6853" s="24" t="s">
        <v>21</v>
      </c>
      <c r="Q6853" s="24" t="s">
        <v>21</v>
      </c>
      <c r="R6853" s="24" t="s">
        <v>21</v>
      </c>
      <c r="S6853" s="24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5">
        <v>0</v>
      </c>
      <c r="E6854" s="5">
        <v>18</v>
      </c>
      <c r="F6854" s="5" t="s">
        <v>8</v>
      </c>
      <c r="G6854" s="15" t="s">
        <v>9</v>
      </c>
      <c r="H6854" s="24">
        <v>1.000000003259629</v>
      </c>
      <c r="I6854" s="24" t="s">
        <v>21</v>
      </c>
      <c r="J6854" s="24" t="s">
        <v>21</v>
      </c>
      <c r="K6854" s="24" t="s">
        <v>21</v>
      </c>
      <c r="L6854" s="24" t="s">
        <v>21</v>
      </c>
      <c r="M6854" s="24" t="s">
        <v>21</v>
      </c>
      <c r="N6854" s="24" t="s">
        <v>21</v>
      </c>
      <c r="O6854" s="24">
        <v>1.000000003259629</v>
      </c>
      <c r="P6854" s="24" t="s">
        <v>21</v>
      </c>
      <c r="Q6854" s="24" t="s">
        <v>21</v>
      </c>
      <c r="R6854" s="24" t="s">
        <v>21</v>
      </c>
      <c r="S6854" s="24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5">
        <v>4</v>
      </c>
      <c r="E6855" s="5">
        <v>0</v>
      </c>
      <c r="F6855" s="5" t="s">
        <v>8</v>
      </c>
      <c r="G6855" s="15" t="s">
        <v>9</v>
      </c>
      <c r="H6855" s="24">
        <v>0</v>
      </c>
      <c r="I6855" s="24" t="s">
        <v>21</v>
      </c>
      <c r="J6855" s="24" t="s">
        <v>21</v>
      </c>
      <c r="K6855" s="24" t="s">
        <v>21</v>
      </c>
      <c r="L6855" s="24" t="s">
        <v>21</v>
      </c>
      <c r="M6855" s="24" t="s">
        <v>21</v>
      </c>
      <c r="N6855" s="24" t="s">
        <v>21</v>
      </c>
      <c r="O6855" s="24">
        <v>0</v>
      </c>
      <c r="P6855" s="24" t="s">
        <v>21</v>
      </c>
      <c r="Q6855" s="24" t="s">
        <v>21</v>
      </c>
      <c r="R6855" s="24" t="s">
        <v>21</v>
      </c>
      <c r="S6855" s="24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5">
        <v>0</v>
      </c>
      <c r="E6856" s="5">
        <v>0</v>
      </c>
      <c r="F6856" s="5" t="s">
        <v>8</v>
      </c>
      <c r="G6856" s="15" t="s">
        <v>9</v>
      </c>
      <c r="H6856" s="24">
        <v>1.000000003259629</v>
      </c>
      <c r="I6856" s="24" t="s">
        <v>21</v>
      </c>
      <c r="J6856" s="24" t="s">
        <v>21</v>
      </c>
      <c r="K6856" s="24" t="s">
        <v>21</v>
      </c>
      <c r="L6856" s="24" t="s">
        <v>21</v>
      </c>
      <c r="M6856" s="24" t="s">
        <v>21</v>
      </c>
      <c r="N6856" s="24" t="s">
        <v>21</v>
      </c>
      <c r="O6856" s="24">
        <v>1.000000003259629</v>
      </c>
      <c r="P6856" s="24" t="s">
        <v>21</v>
      </c>
      <c r="Q6856" s="24" t="s">
        <v>21</v>
      </c>
      <c r="R6856" s="24" t="s">
        <v>21</v>
      </c>
      <c r="S6856" s="24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5">
        <v>0</v>
      </c>
      <c r="E6857" s="5">
        <v>0</v>
      </c>
      <c r="F6857" s="5" t="s">
        <v>8</v>
      </c>
      <c r="G6857" s="15" t="s">
        <v>9</v>
      </c>
      <c r="H6857" s="24">
        <v>0</v>
      </c>
      <c r="I6857" s="24" t="s">
        <v>21</v>
      </c>
      <c r="J6857" s="24" t="s">
        <v>21</v>
      </c>
      <c r="K6857" s="24" t="s">
        <v>21</v>
      </c>
      <c r="L6857" s="24" t="s">
        <v>21</v>
      </c>
      <c r="M6857" s="24" t="s">
        <v>21</v>
      </c>
      <c r="N6857" s="24" t="s">
        <v>21</v>
      </c>
      <c r="O6857" s="24">
        <v>0</v>
      </c>
      <c r="P6857" s="24" t="s">
        <v>21</v>
      </c>
      <c r="Q6857" s="24" t="s">
        <v>21</v>
      </c>
      <c r="R6857" s="24" t="s">
        <v>21</v>
      </c>
      <c r="S6857" s="24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5">
        <v>0</v>
      </c>
      <c r="E6858" s="5">
        <v>12</v>
      </c>
      <c r="F6858" s="5" t="s">
        <v>8</v>
      </c>
      <c r="G6858" s="15" t="s">
        <v>9</v>
      </c>
      <c r="H6858" s="24">
        <v>0</v>
      </c>
      <c r="I6858" s="24" t="s">
        <v>21</v>
      </c>
      <c r="J6858" s="24" t="s">
        <v>21</v>
      </c>
      <c r="K6858" s="24" t="s">
        <v>21</v>
      </c>
      <c r="L6858" s="24" t="s">
        <v>21</v>
      </c>
      <c r="M6858" s="24" t="s">
        <v>21</v>
      </c>
      <c r="N6858" s="24" t="s">
        <v>21</v>
      </c>
      <c r="O6858" s="24">
        <v>0</v>
      </c>
      <c r="P6858" s="24" t="s">
        <v>21</v>
      </c>
      <c r="Q6858" s="24" t="s">
        <v>21</v>
      </c>
      <c r="R6858" s="24" t="s">
        <v>21</v>
      </c>
      <c r="S6858" s="24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5">
        <v>0</v>
      </c>
      <c r="E6859" s="5">
        <v>19</v>
      </c>
      <c r="F6859" s="5" t="s">
        <v>8</v>
      </c>
      <c r="G6859" s="15" t="s">
        <v>9</v>
      </c>
      <c r="H6859" s="24">
        <v>0.99999999278225005</v>
      </c>
      <c r="I6859" s="24" t="s">
        <v>21</v>
      </c>
      <c r="J6859" s="24" t="s">
        <v>21</v>
      </c>
      <c r="K6859" s="24" t="s">
        <v>21</v>
      </c>
      <c r="L6859" s="24" t="s">
        <v>21</v>
      </c>
      <c r="M6859" s="24" t="s">
        <v>21</v>
      </c>
      <c r="N6859" s="24" t="s">
        <v>21</v>
      </c>
      <c r="O6859" s="24">
        <v>0.99999999278225005</v>
      </c>
      <c r="P6859" s="24" t="s">
        <v>21</v>
      </c>
      <c r="Q6859" s="24" t="s">
        <v>21</v>
      </c>
      <c r="R6859" s="24" t="s">
        <v>21</v>
      </c>
      <c r="S6859" s="24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5">
        <v>0</v>
      </c>
      <c r="E6860" s="5">
        <v>0</v>
      </c>
      <c r="F6860" s="5" t="s">
        <v>8</v>
      </c>
      <c r="G6860" s="15" t="s">
        <v>9</v>
      </c>
      <c r="H6860" s="24">
        <v>1.000000003259629</v>
      </c>
      <c r="I6860" s="24" t="s">
        <v>21</v>
      </c>
      <c r="J6860" s="24" t="s">
        <v>21</v>
      </c>
      <c r="K6860" s="24" t="s">
        <v>21</v>
      </c>
      <c r="L6860" s="24" t="s">
        <v>21</v>
      </c>
      <c r="M6860" s="24" t="s">
        <v>21</v>
      </c>
      <c r="N6860" s="24" t="s">
        <v>21</v>
      </c>
      <c r="O6860" s="24">
        <v>1.000000003259629</v>
      </c>
      <c r="P6860" s="24" t="s">
        <v>21</v>
      </c>
      <c r="Q6860" s="24" t="s">
        <v>21</v>
      </c>
      <c r="R6860" s="24" t="s">
        <v>21</v>
      </c>
      <c r="S6860" s="24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5">
        <v>0</v>
      </c>
      <c r="E6861" s="5">
        <v>2</v>
      </c>
      <c r="F6861" s="5" t="s">
        <v>8</v>
      </c>
      <c r="G6861" s="15" t="s">
        <v>9</v>
      </c>
      <c r="H6861" s="24">
        <v>0</v>
      </c>
      <c r="I6861" s="24" t="s">
        <v>21</v>
      </c>
      <c r="J6861" s="24" t="s">
        <v>21</v>
      </c>
      <c r="K6861" s="24" t="s">
        <v>21</v>
      </c>
      <c r="L6861" s="24" t="s">
        <v>21</v>
      </c>
      <c r="M6861" s="24" t="s">
        <v>21</v>
      </c>
      <c r="N6861" s="24" t="s">
        <v>21</v>
      </c>
      <c r="O6861" s="24">
        <v>0</v>
      </c>
      <c r="P6861" s="24" t="s">
        <v>21</v>
      </c>
      <c r="Q6861" s="24" t="s">
        <v>21</v>
      </c>
      <c r="R6861" s="24" t="s">
        <v>21</v>
      </c>
      <c r="S6861" s="24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5">
        <v>0</v>
      </c>
      <c r="E6862" s="5">
        <v>11</v>
      </c>
      <c r="F6862" s="5" t="s">
        <v>8</v>
      </c>
      <c r="G6862" s="15" t="s">
        <v>9</v>
      </c>
      <c r="H6862" s="24">
        <v>1.000000003259629</v>
      </c>
      <c r="I6862" s="24" t="s">
        <v>21</v>
      </c>
      <c r="J6862" s="24" t="s">
        <v>21</v>
      </c>
      <c r="K6862" s="24" t="s">
        <v>21</v>
      </c>
      <c r="L6862" s="24" t="s">
        <v>21</v>
      </c>
      <c r="M6862" s="24" t="s">
        <v>21</v>
      </c>
      <c r="N6862" s="24" t="s">
        <v>21</v>
      </c>
      <c r="O6862" s="24">
        <v>1.000000003259629</v>
      </c>
      <c r="P6862" s="24" t="s">
        <v>21</v>
      </c>
      <c r="Q6862" s="24" t="s">
        <v>21</v>
      </c>
      <c r="R6862" s="24" t="s">
        <v>21</v>
      </c>
      <c r="S6862" s="24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5">
        <v>0</v>
      </c>
      <c r="E6863" s="5">
        <v>7</v>
      </c>
      <c r="F6863" s="5" t="s">
        <v>8</v>
      </c>
      <c r="G6863" s="15" t="s">
        <v>9</v>
      </c>
      <c r="H6863" s="24">
        <v>0</v>
      </c>
      <c r="I6863" s="24" t="s">
        <v>21</v>
      </c>
      <c r="J6863" s="24" t="s">
        <v>21</v>
      </c>
      <c r="K6863" s="24" t="s">
        <v>21</v>
      </c>
      <c r="L6863" s="24" t="s">
        <v>21</v>
      </c>
      <c r="M6863" s="24" t="s">
        <v>21</v>
      </c>
      <c r="N6863" s="24" t="s">
        <v>21</v>
      </c>
      <c r="O6863" s="24">
        <v>0</v>
      </c>
      <c r="P6863" s="24" t="s">
        <v>21</v>
      </c>
      <c r="Q6863" s="24" t="s">
        <v>21</v>
      </c>
      <c r="R6863" s="24" t="s">
        <v>21</v>
      </c>
      <c r="S6863" s="24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5">
        <v>0</v>
      </c>
      <c r="E6864" s="5">
        <v>0</v>
      </c>
      <c r="F6864" s="5" t="s">
        <v>8</v>
      </c>
      <c r="G6864" s="15" t="s">
        <v>9</v>
      </c>
      <c r="H6864" s="24">
        <v>0.99999999278225005</v>
      </c>
      <c r="I6864" s="24" t="s">
        <v>21</v>
      </c>
      <c r="J6864" s="24" t="s">
        <v>21</v>
      </c>
      <c r="K6864" s="24" t="s">
        <v>21</v>
      </c>
      <c r="L6864" s="24" t="s">
        <v>21</v>
      </c>
      <c r="M6864" s="24" t="s">
        <v>21</v>
      </c>
      <c r="N6864" s="24" t="s">
        <v>21</v>
      </c>
      <c r="O6864" s="24">
        <v>0.99999999278225005</v>
      </c>
      <c r="P6864" s="24" t="s">
        <v>21</v>
      </c>
      <c r="Q6864" s="24" t="s">
        <v>21</v>
      </c>
      <c r="R6864" s="24" t="s">
        <v>21</v>
      </c>
      <c r="S6864" s="24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7">
        <v>0</v>
      </c>
      <c r="E6865" s="7">
        <v>0</v>
      </c>
      <c r="F6865" s="7" t="s">
        <v>8</v>
      </c>
      <c r="G6865" s="16" t="s">
        <v>9</v>
      </c>
      <c r="H6865" s="25">
        <v>0</v>
      </c>
      <c r="I6865" s="25" t="s">
        <v>21</v>
      </c>
      <c r="J6865" s="25" t="s">
        <v>21</v>
      </c>
      <c r="K6865" s="25" t="s">
        <v>21</v>
      </c>
      <c r="L6865" s="25" t="s">
        <v>21</v>
      </c>
      <c r="M6865" s="25" t="s">
        <v>21</v>
      </c>
      <c r="N6865" s="25" t="s">
        <v>21</v>
      </c>
      <c r="O6865" s="25">
        <v>0</v>
      </c>
      <c r="P6865" s="25" t="s">
        <v>21</v>
      </c>
      <c r="Q6865" s="25" t="s">
        <v>21</v>
      </c>
      <c r="R6865" s="25" t="s">
        <v>21</v>
      </c>
      <c r="S6865" s="25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5">
        <v>0</v>
      </c>
      <c r="E6866" s="5">
        <v>0</v>
      </c>
      <c r="F6866" s="5" t="s">
        <v>22</v>
      </c>
      <c r="G6866" s="15" t="s">
        <v>22</v>
      </c>
      <c r="H6866" s="24">
        <v>959.00000000372529</v>
      </c>
      <c r="I6866" s="24" t="s">
        <v>21</v>
      </c>
      <c r="J6866" s="24" t="s">
        <v>21</v>
      </c>
      <c r="K6866" s="24" t="s">
        <v>21</v>
      </c>
      <c r="L6866" s="24" t="s">
        <v>21</v>
      </c>
      <c r="M6866" s="24" t="s">
        <v>21</v>
      </c>
      <c r="N6866" s="24" t="s">
        <v>21</v>
      </c>
      <c r="O6866" s="24">
        <v>959.00000000372529</v>
      </c>
      <c r="P6866" s="24" t="s">
        <v>21</v>
      </c>
      <c r="Q6866" s="24" t="s">
        <v>21</v>
      </c>
      <c r="R6866" s="24" t="s">
        <v>21</v>
      </c>
      <c r="S6866" s="24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5">
        <v>0</v>
      </c>
      <c r="E6867" s="5">
        <v>5</v>
      </c>
      <c r="F6867" s="5" t="s">
        <v>22</v>
      </c>
      <c r="G6867" s="15" t="s">
        <v>22</v>
      </c>
      <c r="H6867" s="24">
        <v>1.000000003259629</v>
      </c>
      <c r="I6867" s="24" t="s">
        <v>21</v>
      </c>
      <c r="J6867" s="24" t="s">
        <v>21</v>
      </c>
      <c r="K6867" s="24" t="s">
        <v>21</v>
      </c>
      <c r="L6867" s="24" t="s">
        <v>21</v>
      </c>
      <c r="M6867" s="24" t="s">
        <v>21</v>
      </c>
      <c r="N6867" s="24" t="s">
        <v>21</v>
      </c>
      <c r="O6867" s="24">
        <v>1.000000003259629</v>
      </c>
      <c r="P6867" s="24" t="s">
        <v>21</v>
      </c>
      <c r="Q6867" s="24" t="s">
        <v>21</v>
      </c>
      <c r="R6867" s="24" t="s">
        <v>21</v>
      </c>
      <c r="S6867" s="24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5">
        <v>4</v>
      </c>
      <c r="E6868" s="5">
        <v>0</v>
      </c>
      <c r="F6868" s="5" t="s">
        <v>22</v>
      </c>
      <c r="G6868" s="15" t="s">
        <v>22</v>
      </c>
      <c r="H6868" s="24">
        <v>0</v>
      </c>
      <c r="I6868" s="24" t="s">
        <v>21</v>
      </c>
      <c r="J6868" s="24" t="s">
        <v>21</v>
      </c>
      <c r="K6868" s="24" t="s">
        <v>21</v>
      </c>
      <c r="L6868" s="24" t="s">
        <v>21</v>
      </c>
      <c r="M6868" s="24" t="s">
        <v>21</v>
      </c>
      <c r="N6868" s="24" t="s">
        <v>21</v>
      </c>
      <c r="O6868" s="24">
        <v>0</v>
      </c>
      <c r="P6868" s="24" t="s">
        <v>21</v>
      </c>
      <c r="Q6868" s="24" t="s">
        <v>21</v>
      </c>
      <c r="R6868" s="24" t="s">
        <v>21</v>
      </c>
      <c r="S6868" s="24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5">
        <v>0</v>
      </c>
      <c r="E6869" s="5">
        <v>6</v>
      </c>
      <c r="F6869" s="5" t="s">
        <v>22</v>
      </c>
      <c r="G6869" s="15" t="s">
        <v>22</v>
      </c>
      <c r="H6869" s="24">
        <v>0.99999999278225005</v>
      </c>
      <c r="I6869" s="24" t="s">
        <v>21</v>
      </c>
      <c r="J6869" s="24" t="s">
        <v>21</v>
      </c>
      <c r="K6869" s="24" t="s">
        <v>21</v>
      </c>
      <c r="L6869" s="24" t="s">
        <v>21</v>
      </c>
      <c r="M6869" s="24" t="s">
        <v>21</v>
      </c>
      <c r="N6869" s="24" t="s">
        <v>21</v>
      </c>
      <c r="O6869" s="24">
        <v>0.99999999278225005</v>
      </c>
      <c r="P6869" s="24" t="s">
        <v>21</v>
      </c>
      <c r="Q6869" s="24" t="s">
        <v>21</v>
      </c>
      <c r="R6869" s="24" t="s">
        <v>21</v>
      </c>
      <c r="S6869" s="24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5">
        <v>1</v>
      </c>
      <c r="E6870" s="5">
        <v>0</v>
      </c>
      <c r="F6870" s="5" t="s">
        <v>22</v>
      </c>
      <c r="G6870" s="15" t="s">
        <v>22</v>
      </c>
      <c r="H6870" s="24">
        <v>1.000000003259629</v>
      </c>
      <c r="I6870" s="24" t="s">
        <v>21</v>
      </c>
      <c r="J6870" s="24" t="s">
        <v>21</v>
      </c>
      <c r="K6870" s="24" t="s">
        <v>21</v>
      </c>
      <c r="L6870" s="24" t="s">
        <v>21</v>
      </c>
      <c r="M6870" s="24" t="s">
        <v>21</v>
      </c>
      <c r="N6870" s="24" t="s">
        <v>21</v>
      </c>
      <c r="O6870" s="24">
        <v>1.000000003259629</v>
      </c>
      <c r="P6870" s="24" t="s">
        <v>21</v>
      </c>
      <c r="Q6870" s="24" t="s">
        <v>21</v>
      </c>
      <c r="R6870" s="24" t="s">
        <v>21</v>
      </c>
      <c r="S6870" s="24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5">
        <v>0</v>
      </c>
      <c r="E6871" s="5">
        <v>0</v>
      </c>
      <c r="F6871" s="5" t="s">
        <v>22</v>
      </c>
      <c r="G6871" s="15" t="s">
        <v>22</v>
      </c>
      <c r="H6871" s="24">
        <v>0</v>
      </c>
      <c r="I6871" s="24" t="s">
        <v>21</v>
      </c>
      <c r="J6871" s="24" t="s">
        <v>21</v>
      </c>
      <c r="K6871" s="24" t="s">
        <v>21</v>
      </c>
      <c r="L6871" s="24" t="s">
        <v>21</v>
      </c>
      <c r="M6871" s="24" t="s">
        <v>21</v>
      </c>
      <c r="N6871" s="24" t="s">
        <v>21</v>
      </c>
      <c r="O6871" s="24">
        <v>0</v>
      </c>
      <c r="P6871" s="24" t="s">
        <v>21</v>
      </c>
      <c r="Q6871" s="24" t="s">
        <v>21</v>
      </c>
      <c r="R6871" s="24" t="s">
        <v>21</v>
      </c>
      <c r="S6871" s="24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5">
        <v>0</v>
      </c>
      <c r="E6872" s="5">
        <v>0</v>
      </c>
      <c r="F6872" s="5" t="s">
        <v>22</v>
      </c>
      <c r="G6872" s="15" t="s">
        <v>22</v>
      </c>
      <c r="H6872" s="24">
        <v>2.9999999993015081</v>
      </c>
      <c r="I6872" s="24" t="s">
        <v>21</v>
      </c>
      <c r="J6872" s="24" t="s">
        <v>21</v>
      </c>
      <c r="K6872" s="24" t="s">
        <v>21</v>
      </c>
      <c r="L6872" s="24" t="s">
        <v>21</v>
      </c>
      <c r="M6872" s="24" t="s">
        <v>21</v>
      </c>
      <c r="N6872" s="24" t="s">
        <v>21</v>
      </c>
      <c r="O6872" s="24">
        <v>2.9999999993015081</v>
      </c>
      <c r="P6872" s="24" t="s">
        <v>21</v>
      </c>
      <c r="Q6872" s="24" t="s">
        <v>21</v>
      </c>
      <c r="R6872" s="24" t="s">
        <v>21</v>
      </c>
      <c r="S6872" s="24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5">
        <v>0</v>
      </c>
      <c r="E6873" s="5">
        <v>0</v>
      </c>
      <c r="F6873" s="5" t="s">
        <v>22</v>
      </c>
      <c r="G6873" s="15" t="s">
        <v>22</v>
      </c>
      <c r="H6873" s="24">
        <v>1.000000003259629</v>
      </c>
      <c r="I6873" s="24" t="s">
        <v>21</v>
      </c>
      <c r="J6873" s="24" t="s">
        <v>21</v>
      </c>
      <c r="K6873" s="24" t="s">
        <v>21</v>
      </c>
      <c r="L6873" s="24" t="s">
        <v>21</v>
      </c>
      <c r="M6873" s="24" t="s">
        <v>21</v>
      </c>
      <c r="N6873" s="24" t="s">
        <v>21</v>
      </c>
      <c r="O6873" s="24">
        <v>1.000000003259629</v>
      </c>
      <c r="P6873" s="24" t="s">
        <v>21</v>
      </c>
      <c r="Q6873" s="24" t="s">
        <v>21</v>
      </c>
      <c r="R6873" s="24" t="s">
        <v>21</v>
      </c>
      <c r="S6873" s="24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5">
        <v>0</v>
      </c>
      <c r="E6874" s="5">
        <v>0</v>
      </c>
      <c r="F6874" s="5" t="s">
        <v>22</v>
      </c>
      <c r="G6874" s="15" t="s">
        <v>22</v>
      </c>
      <c r="H6874" s="24">
        <v>110.00000000232831</v>
      </c>
      <c r="I6874" s="24" t="s">
        <v>21</v>
      </c>
      <c r="J6874" s="24" t="s">
        <v>21</v>
      </c>
      <c r="K6874" s="24">
        <v>1230.0000000069849</v>
      </c>
      <c r="L6874" s="24" t="s">
        <v>21</v>
      </c>
      <c r="M6874" s="24" t="s">
        <v>21</v>
      </c>
      <c r="N6874" s="24" t="s">
        <v>21</v>
      </c>
      <c r="O6874" s="24" t="s">
        <v>21</v>
      </c>
      <c r="P6874" s="24" t="s">
        <v>21</v>
      </c>
      <c r="Q6874" s="24" t="s">
        <v>21</v>
      </c>
      <c r="R6874" s="24" t="s">
        <v>21</v>
      </c>
      <c r="S6874" s="24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5">
        <v>0</v>
      </c>
      <c r="E6875" s="5">
        <v>0</v>
      </c>
      <c r="F6875" s="5" t="s">
        <v>22</v>
      </c>
      <c r="G6875" s="15" t="s">
        <v>22</v>
      </c>
      <c r="H6875" s="24">
        <v>77.999999992316589</v>
      </c>
      <c r="I6875" s="24" t="s">
        <v>21</v>
      </c>
      <c r="J6875" s="24" t="s">
        <v>21</v>
      </c>
      <c r="K6875" s="24" t="s">
        <v>21</v>
      </c>
      <c r="L6875" s="24" t="s">
        <v>21</v>
      </c>
      <c r="M6875" s="24" t="s">
        <v>21</v>
      </c>
      <c r="N6875" s="24" t="s">
        <v>21</v>
      </c>
      <c r="O6875" s="24">
        <v>187.9999999946449</v>
      </c>
      <c r="P6875" s="24" t="s">
        <v>21</v>
      </c>
      <c r="Q6875" s="24" t="s">
        <v>21</v>
      </c>
      <c r="R6875" s="24" t="s">
        <v>21</v>
      </c>
      <c r="S6875" s="24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5">
        <v>0</v>
      </c>
      <c r="E6876" s="5">
        <v>0</v>
      </c>
      <c r="F6876" s="5" t="s">
        <v>22</v>
      </c>
      <c r="G6876" s="15" t="s">
        <v>22</v>
      </c>
      <c r="H6876" s="24">
        <v>23.000000001629815</v>
      </c>
      <c r="I6876" s="24" t="s">
        <v>21</v>
      </c>
      <c r="J6876" s="24" t="s">
        <v>21</v>
      </c>
      <c r="K6876" s="24" t="s">
        <v>21</v>
      </c>
      <c r="L6876" s="24" t="s">
        <v>21</v>
      </c>
      <c r="M6876" s="24" t="s">
        <v>21</v>
      </c>
      <c r="N6876" s="24" t="s">
        <v>21</v>
      </c>
      <c r="O6876" s="24">
        <v>23.000000001629815</v>
      </c>
      <c r="P6876" s="24" t="s">
        <v>21</v>
      </c>
      <c r="Q6876" s="24" t="s">
        <v>21</v>
      </c>
      <c r="R6876" s="24" t="s">
        <v>21</v>
      </c>
      <c r="S6876" s="24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5">
        <v>2</v>
      </c>
      <c r="E6877" s="5">
        <v>0</v>
      </c>
      <c r="F6877" s="5" t="s">
        <v>22</v>
      </c>
      <c r="G6877" s="15" t="s">
        <v>22</v>
      </c>
      <c r="H6877" s="24">
        <v>0</v>
      </c>
      <c r="I6877" s="24" t="s">
        <v>21</v>
      </c>
      <c r="J6877" s="24" t="s">
        <v>21</v>
      </c>
      <c r="K6877" s="24" t="s">
        <v>21</v>
      </c>
      <c r="L6877" s="24" t="s">
        <v>21</v>
      </c>
      <c r="M6877" s="24" t="s">
        <v>21</v>
      </c>
      <c r="N6877" s="24" t="s">
        <v>21</v>
      </c>
      <c r="O6877" s="24">
        <v>0</v>
      </c>
      <c r="P6877" s="24" t="s">
        <v>21</v>
      </c>
      <c r="Q6877" s="24" t="s">
        <v>21</v>
      </c>
      <c r="R6877" s="24" t="s">
        <v>21</v>
      </c>
      <c r="S6877" s="24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5">
        <v>0</v>
      </c>
      <c r="E6878" s="5">
        <v>0</v>
      </c>
      <c r="F6878" s="5" t="s">
        <v>22</v>
      </c>
      <c r="G6878" s="15" t="s">
        <v>22</v>
      </c>
      <c r="H6878" s="24">
        <v>1.000000003259629</v>
      </c>
      <c r="I6878" s="24" t="s">
        <v>21</v>
      </c>
      <c r="J6878" s="24" t="s">
        <v>21</v>
      </c>
      <c r="K6878" s="24" t="s">
        <v>21</v>
      </c>
      <c r="L6878" s="24" t="s">
        <v>21</v>
      </c>
      <c r="M6878" s="24" t="s">
        <v>21</v>
      </c>
      <c r="N6878" s="24" t="s">
        <v>21</v>
      </c>
      <c r="O6878" s="24">
        <v>1.000000003259629</v>
      </c>
      <c r="P6878" s="24" t="s">
        <v>21</v>
      </c>
      <c r="Q6878" s="24" t="s">
        <v>21</v>
      </c>
      <c r="R6878" s="24" t="s">
        <v>21</v>
      </c>
      <c r="S6878" s="24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5">
        <v>0</v>
      </c>
      <c r="E6879" s="5">
        <v>0</v>
      </c>
      <c r="F6879" s="5" t="s">
        <v>22</v>
      </c>
      <c r="G6879" s="15" t="s">
        <v>22</v>
      </c>
      <c r="H6879" s="24">
        <v>0</v>
      </c>
      <c r="I6879" s="24" t="s">
        <v>21</v>
      </c>
      <c r="J6879" s="24" t="s">
        <v>21</v>
      </c>
      <c r="K6879" s="24" t="s">
        <v>21</v>
      </c>
      <c r="L6879" s="24" t="s">
        <v>21</v>
      </c>
      <c r="M6879" s="24" t="s">
        <v>21</v>
      </c>
      <c r="N6879" s="24" t="s">
        <v>21</v>
      </c>
      <c r="O6879" s="24">
        <v>0</v>
      </c>
      <c r="P6879" s="24" t="s">
        <v>21</v>
      </c>
      <c r="Q6879" s="24" t="s">
        <v>21</v>
      </c>
      <c r="R6879" s="24" t="s">
        <v>21</v>
      </c>
      <c r="S6879" s="24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5">
        <v>0</v>
      </c>
      <c r="E6880" s="5">
        <v>0</v>
      </c>
      <c r="F6880" s="5" t="s">
        <v>22</v>
      </c>
      <c r="G6880" s="15" t="s">
        <v>22</v>
      </c>
      <c r="H6880" s="24">
        <v>1.000000003259629</v>
      </c>
      <c r="I6880" s="24" t="s">
        <v>21</v>
      </c>
      <c r="J6880" s="24" t="s">
        <v>21</v>
      </c>
      <c r="K6880" s="24" t="s">
        <v>21</v>
      </c>
      <c r="L6880" s="24" t="s">
        <v>21</v>
      </c>
      <c r="M6880" s="24" t="s">
        <v>21</v>
      </c>
      <c r="N6880" s="24" t="s">
        <v>21</v>
      </c>
      <c r="O6880" s="24">
        <v>1.000000003259629</v>
      </c>
      <c r="P6880" s="24" t="s">
        <v>21</v>
      </c>
      <c r="Q6880" s="24" t="s">
        <v>21</v>
      </c>
      <c r="R6880" s="24" t="s">
        <v>21</v>
      </c>
      <c r="S6880" s="24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5">
        <v>0</v>
      </c>
      <c r="E6881" s="5">
        <v>0</v>
      </c>
      <c r="F6881" s="5" t="s">
        <v>22</v>
      </c>
      <c r="G6881" s="15" t="s">
        <v>22</v>
      </c>
      <c r="H6881" s="24">
        <v>0</v>
      </c>
      <c r="I6881" s="24" t="s">
        <v>21</v>
      </c>
      <c r="J6881" s="24" t="s">
        <v>21</v>
      </c>
      <c r="K6881" s="24" t="s">
        <v>21</v>
      </c>
      <c r="L6881" s="24" t="s">
        <v>21</v>
      </c>
      <c r="M6881" s="24" t="s">
        <v>21</v>
      </c>
      <c r="N6881" s="24" t="s">
        <v>21</v>
      </c>
      <c r="O6881" s="24">
        <v>0</v>
      </c>
      <c r="P6881" s="24" t="s">
        <v>21</v>
      </c>
      <c r="Q6881" s="24" t="s">
        <v>21</v>
      </c>
      <c r="R6881" s="24" t="s">
        <v>21</v>
      </c>
      <c r="S6881" s="24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5">
        <v>0</v>
      </c>
      <c r="E6882" s="5">
        <v>0</v>
      </c>
      <c r="F6882" s="5" t="s">
        <v>22</v>
      </c>
      <c r="G6882" s="15" t="s">
        <v>22</v>
      </c>
      <c r="H6882" s="24">
        <v>2.9999999993015081</v>
      </c>
      <c r="I6882" s="24" t="s">
        <v>21</v>
      </c>
      <c r="J6882" s="24" t="s">
        <v>21</v>
      </c>
      <c r="K6882" s="24" t="s">
        <v>21</v>
      </c>
      <c r="L6882" s="24" t="s">
        <v>21</v>
      </c>
      <c r="M6882" s="24" t="s">
        <v>21</v>
      </c>
      <c r="N6882" s="24" t="s">
        <v>21</v>
      </c>
      <c r="O6882" s="24">
        <v>2.9999999993015081</v>
      </c>
      <c r="P6882" s="24" t="s">
        <v>21</v>
      </c>
      <c r="Q6882" s="24" t="s">
        <v>21</v>
      </c>
      <c r="R6882" s="24" t="s">
        <v>21</v>
      </c>
      <c r="S6882" s="24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5">
        <v>0</v>
      </c>
      <c r="E6883" s="5">
        <v>0</v>
      </c>
      <c r="F6883" s="5" t="s">
        <v>22</v>
      </c>
      <c r="G6883" s="15" t="s">
        <v>22</v>
      </c>
      <c r="H6883" s="24">
        <v>0.99999999278225005</v>
      </c>
      <c r="I6883" s="24" t="s">
        <v>21</v>
      </c>
      <c r="J6883" s="24" t="s">
        <v>21</v>
      </c>
      <c r="K6883" s="24" t="s">
        <v>21</v>
      </c>
      <c r="L6883" s="24" t="s">
        <v>21</v>
      </c>
      <c r="M6883" s="24" t="s">
        <v>21</v>
      </c>
      <c r="N6883" s="24" t="s">
        <v>21</v>
      </c>
      <c r="O6883" s="24">
        <v>0.99999999278225005</v>
      </c>
      <c r="P6883" s="24" t="s">
        <v>21</v>
      </c>
      <c r="Q6883" s="24" t="s">
        <v>21</v>
      </c>
      <c r="R6883" s="24" t="s">
        <v>21</v>
      </c>
      <c r="S6883" s="24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5">
        <v>0</v>
      </c>
      <c r="E6884" s="5">
        <v>4</v>
      </c>
      <c r="F6884" s="5" t="s">
        <v>22</v>
      </c>
      <c r="G6884" s="15" t="s">
        <v>22</v>
      </c>
      <c r="H6884" s="24">
        <v>2.9999999993015081</v>
      </c>
      <c r="I6884" s="24" t="s">
        <v>21</v>
      </c>
      <c r="J6884" s="24" t="s">
        <v>21</v>
      </c>
      <c r="K6884" s="24" t="s">
        <v>21</v>
      </c>
      <c r="L6884" s="24" t="s">
        <v>21</v>
      </c>
      <c r="M6884" s="24" t="s">
        <v>21</v>
      </c>
      <c r="N6884" s="24" t="s">
        <v>21</v>
      </c>
      <c r="O6884" s="24">
        <v>2.9999999993015081</v>
      </c>
      <c r="P6884" s="24" t="s">
        <v>21</v>
      </c>
      <c r="Q6884" s="24" t="s">
        <v>21</v>
      </c>
      <c r="R6884" s="24" t="s">
        <v>21</v>
      </c>
      <c r="S6884" s="24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5">
        <v>3</v>
      </c>
      <c r="E6885" s="5">
        <v>0</v>
      </c>
      <c r="F6885" s="5" t="s">
        <v>22</v>
      </c>
      <c r="G6885" s="15" t="s">
        <v>22</v>
      </c>
      <c r="H6885" s="24">
        <v>1.000000003259629</v>
      </c>
      <c r="I6885" s="24" t="s">
        <v>21</v>
      </c>
      <c r="J6885" s="24" t="s">
        <v>21</v>
      </c>
      <c r="K6885" s="24" t="s">
        <v>21</v>
      </c>
      <c r="L6885" s="24" t="s">
        <v>21</v>
      </c>
      <c r="M6885" s="24" t="s">
        <v>21</v>
      </c>
      <c r="N6885" s="24" t="s">
        <v>21</v>
      </c>
      <c r="O6885" s="24">
        <v>1.000000003259629</v>
      </c>
      <c r="P6885" s="24" t="s">
        <v>21</v>
      </c>
      <c r="Q6885" s="24" t="s">
        <v>21</v>
      </c>
      <c r="R6885" s="24" t="s">
        <v>21</v>
      </c>
      <c r="S6885" s="24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5">
        <v>0</v>
      </c>
      <c r="E6886" s="5">
        <v>0</v>
      </c>
      <c r="F6886" s="5" t="s">
        <v>22</v>
      </c>
      <c r="G6886" s="15" t="s">
        <v>22</v>
      </c>
      <c r="H6886" s="24">
        <v>0</v>
      </c>
      <c r="I6886" s="24" t="s">
        <v>21</v>
      </c>
      <c r="J6886" s="24" t="s">
        <v>21</v>
      </c>
      <c r="K6886" s="24" t="s">
        <v>21</v>
      </c>
      <c r="L6886" s="24" t="s">
        <v>21</v>
      </c>
      <c r="M6886" s="24" t="s">
        <v>21</v>
      </c>
      <c r="N6886" s="24">
        <v>2720.9999999951106</v>
      </c>
      <c r="O6886" s="24" t="s">
        <v>21</v>
      </c>
      <c r="P6886" s="24" t="s">
        <v>21</v>
      </c>
      <c r="Q6886" s="24" t="s">
        <v>21</v>
      </c>
      <c r="R6886" s="24" t="s">
        <v>21</v>
      </c>
      <c r="S6886" s="24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5">
        <v>0</v>
      </c>
      <c r="E6887" s="5">
        <v>0</v>
      </c>
      <c r="F6887" s="5" t="s">
        <v>22</v>
      </c>
      <c r="G6887" s="15" t="s">
        <v>22</v>
      </c>
      <c r="H6887" s="24">
        <v>0</v>
      </c>
      <c r="I6887" s="24" t="s">
        <v>21</v>
      </c>
      <c r="J6887" s="24" t="s">
        <v>21</v>
      </c>
      <c r="K6887" s="24" t="s">
        <v>21</v>
      </c>
      <c r="L6887" s="24" t="s">
        <v>21</v>
      </c>
      <c r="M6887" s="24" t="s">
        <v>21</v>
      </c>
      <c r="N6887" s="24">
        <v>0</v>
      </c>
      <c r="O6887" s="24" t="s">
        <v>21</v>
      </c>
      <c r="P6887" s="24" t="s">
        <v>21</v>
      </c>
      <c r="Q6887" s="24" t="s">
        <v>21</v>
      </c>
      <c r="R6887" s="24" t="s">
        <v>21</v>
      </c>
      <c r="S6887" s="24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5">
        <v>0</v>
      </c>
      <c r="E6888" s="5">
        <v>0</v>
      </c>
      <c r="F6888" s="5" t="s">
        <v>22</v>
      </c>
      <c r="G6888" s="15" t="s">
        <v>22</v>
      </c>
      <c r="H6888" s="24">
        <v>1.000000003259629</v>
      </c>
      <c r="I6888" s="24" t="s">
        <v>21</v>
      </c>
      <c r="J6888" s="24" t="s">
        <v>21</v>
      </c>
      <c r="K6888" s="24" t="s">
        <v>21</v>
      </c>
      <c r="L6888" s="24" t="s">
        <v>21</v>
      </c>
      <c r="M6888" s="24" t="s">
        <v>21</v>
      </c>
      <c r="N6888" s="24" t="s">
        <v>21</v>
      </c>
      <c r="O6888" s="24">
        <v>1.000000003259629</v>
      </c>
      <c r="P6888" s="24" t="s">
        <v>21</v>
      </c>
      <c r="Q6888" s="24" t="s">
        <v>21</v>
      </c>
      <c r="R6888" s="24" t="s">
        <v>21</v>
      </c>
      <c r="S6888" s="24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5">
        <v>0</v>
      </c>
      <c r="E6889" s="5">
        <v>3</v>
      </c>
      <c r="F6889" s="5" t="s">
        <v>22</v>
      </c>
      <c r="G6889" s="15" t="s">
        <v>22</v>
      </c>
      <c r="H6889" s="24">
        <v>1.000000003259629</v>
      </c>
      <c r="I6889" s="24" t="s">
        <v>21</v>
      </c>
      <c r="J6889" s="24" t="s">
        <v>21</v>
      </c>
      <c r="K6889" s="24" t="s">
        <v>21</v>
      </c>
      <c r="L6889" s="24" t="s">
        <v>21</v>
      </c>
      <c r="M6889" s="24" t="s">
        <v>21</v>
      </c>
      <c r="N6889" s="24" t="s">
        <v>21</v>
      </c>
      <c r="O6889" s="24">
        <v>1.000000003259629</v>
      </c>
      <c r="P6889" s="24" t="s">
        <v>21</v>
      </c>
      <c r="Q6889" s="24" t="s">
        <v>21</v>
      </c>
      <c r="R6889" s="24" t="s">
        <v>21</v>
      </c>
      <c r="S6889" s="24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5">
        <v>0</v>
      </c>
      <c r="E6890" s="5">
        <v>0</v>
      </c>
      <c r="F6890" s="5" t="s">
        <v>22</v>
      </c>
      <c r="G6890" s="15" t="s">
        <v>22</v>
      </c>
      <c r="H6890" s="24">
        <v>0.99999999278225005</v>
      </c>
      <c r="I6890" s="24" t="s">
        <v>21</v>
      </c>
      <c r="J6890" s="24" t="s">
        <v>21</v>
      </c>
      <c r="K6890" s="24" t="s">
        <v>21</v>
      </c>
      <c r="L6890" s="24" t="s">
        <v>21</v>
      </c>
      <c r="M6890" s="24" t="s">
        <v>21</v>
      </c>
      <c r="N6890" s="24" t="s">
        <v>21</v>
      </c>
      <c r="O6890" s="24">
        <v>0.99999999278225005</v>
      </c>
      <c r="P6890" s="24" t="s">
        <v>21</v>
      </c>
      <c r="Q6890" s="24" t="s">
        <v>21</v>
      </c>
      <c r="R6890" s="24" t="s">
        <v>21</v>
      </c>
      <c r="S6890" s="24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5">
        <v>7</v>
      </c>
      <c r="E6891" s="5">
        <v>0</v>
      </c>
      <c r="F6891" s="5" t="s">
        <v>22</v>
      </c>
      <c r="G6891" s="15" t="s">
        <v>22</v>
      </c>
      <c r="H6891" s="24">
        <v>0</v>
      </c>
      <c r="I6891" s="24" t="s">
        <v>21</v>
      </c>
      <c r="J6891" s="24" t="s">
        <v>21</v>
      </c>
      <c r="K6891" s="24" t="s">
        <v>21</v>
      </c>
      <c r="L6891" s="24" t="s">
        <v>21</v>
      </c>
      <c r="M6891" s="24" t="s">
        <v>21</v>
      </c>
      <c r="N6891" s="24" t="s">
        <v>21</v>
      </c>
      <c r="O6891" s="24">
        <v>0</v>
      </c>
      <c r="P6891" s="24" t="s">
        <v>21</v>
      </c>
      <c r="Q6891" s="24" t="s">
        <v>21</v>
      </c>
      <c r="R6891" s="24" t="s">
        <v>21</v>
      </c>
      <c r="S6891" s="24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5">
        <v>0</v>
      </c>
      <c r="E6892" s="5">
        <v>0</v>
      </c>
      <c r="F6892" s="5" t="s">
        <v>22</v>
      </c>
      <c r="G6892" s="15" t="s">
        <v>22</v>
      </c>
      <c r="H6892" s="24">
        <v>1.000000003259629</v>
      </c>
      <c r="I6892" s="24" t="s">
        <v>21</v>
      </c>
      <c r="J6892" s="24" t="s">
        <v>21</v>
      </c>
      <c r="K6892" s="24" t="s">
        <v>21</v>
      </c>
      <c r="L6892" s="24" t="s">
        <v>21</v>
      </c>
      <c r="M6892" s="24" t="s">
        <v>21</v>
      </c>
      <c r="N6892" s="24" t="s">
        <v>21</v>
      </c>
      <c r="O6892" s="24">
        <v>1.000000003259629</v>
      </c>
      <c r="P6892" s="24" t="s">
        <v>21</v>
      </c>
      <c r="Q6892" s="24" t="s">
        <v>21</v>
      </c>
      <c r="R6892" s="24" t="s">
        <v>21</v>
      </c>
      <c r="S6892" s="24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5">
        <v>0</v>
      </c>
      <c r="E6893" s="5">
        <v>0</v>
      </c>
      <c r="F6893" s="5" t="s">
        <v>22</v>
      </c>
      <c r="G6893" s="15" t="s">
        <v>22</v>
      </c>
      <c r="H6893" s="24">
        <v>0</v>
      </c>
      <c r="I6893" s="24" t="s">
        <v>21</v>
      </c>
      <c r="J6893" s="24" t="s">
        <v>21</v>
      </c>
      <c r="K6893" s="24" t="s">
        <v>21</v>
      </c>
      <c r="L6893" s="24" t="s">
        <v>21</v>
      </c>
      <c r="M6893" s="24" t="s">
        <v>21</v>
      </c>
      <c r="N6893" s="24" t="s">
        <v>21</v>
      </c>
      <c r="O6893" s="24">
        <v>0</v>
      </c>
      <c r="P6893" s="24" t="s">
        <v>21</v>
      </c>
      <c r="Q6893" s="24" t="s">
        <v>21</v>
      </c>
      <c r="R6893" s="24" t="s">
        <v>21</v>
      </c>
      <c r="S6893" s="24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5">
        <v>2</v>
      </c>
      <c r="E6894" s="5">
        <v>2</v>
      </c>
      <c r="F6894" s="5" t="s">
        <v>22</v>
      </c>
      <c r="G6894" s="15" t="s">
        <v>22</v>
      </c>
      <c r="H6894" s="24">
        <v>0</v>
      </c>
      <c r="I6894" s="24" t="s">
        <v>21</v>
      </c>
      <c r="J6894" s="24" t="s">
        <v>21</v>
      </c>
      <c r="K6894" s="24" t="s">
        <v>21</v>
      </c>
      <c r="L6894" s="24" t="s">
        <v>21</v>
      </c>
      <c r="M6894" s="24" t="s">
        <v>21</v>
      </c>
      <c r="N6894" s="24" t="s">
        <v>21</v>
      </c>
      <c r="O6894" s="24">
        <v>0</v>
      </c>
      <c r="P6894" s="24" t="s">
        <v>21</v>
      </c>
      <c r="Q6894" s="24" t="s">
        <v>21</v>
      </c>
      <c r="R6894" s="24" t="s">
        <v>21</v>
      </c>
      <c r="S6894" s="24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5">
        <v>0</v>
      </c>
      <c r="E6895" s="5">
        <v>0</v>
      </c>
      <c r="F6895" s="5" t="s">
        <v>22</v>
      </c>
      <c r="G6895" s="15" t="s">
        <v>22</v>
      </c>
      <c r="H6895" s="24">
        <v>97.000000001862645</v>
      </c>
      <c r="I6895" s="24" t="s">
        <v>21</v>
      </c>
      <c r="J6895" s="24" t="s">
        <v>21</v>
      </c>
      <c r="K6895" s="24" t="s">
        <v>21</v>
      </c>
      <c r="L6895" s="24" t="s">
        <v>21</v>
      </c>
      <c r="M6895" s="24" t="s">
        <v>21</v>
      </c>
      <c r="N6895" s="24" t="s">
        <v>21</v>
      </c>
      <c r="O6895" s="24" t="s">
        <v>21</v>
      </c>
      <c r="P6895" s="24" t="s">
        <v>21</v>
      </c>
      <c r="Q6895" s="24">
        <v>1544.0000000037253</v>
      </c>
      <c r="R6895" s="24" t="s">
        <v>21</v>
      </c>
      <c r="S6895" s="24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5">
        <v>0</v>
      </c>
      <c r="E6896" s="5">
        <v>0</v>
      </c>
      <c r="F6896" s="5" t="s">
        <v>22</v>
      </c>
      <c r="G6896" s="15" t="s">
        <v>22</v>
      </c>
      <c r="H6896" s="24">
        <v>0.99999999278225005</v>
      </c>
      <c r="I6896" s="24" t="s">
        <v>21</v>
      </c>
      <c r="J6896" s="24" t="s">
        <v>21</v>
      </c>
      <c r="K6896" s="24" t="s">
        <v>21</v>
      </c>
      <c r="L6896" s="24" t="s">
        <v>21</v>
      </c>
      <c r="M6896" s="24" t="s">
        <v>21</v>
      </c>
      <c r="N6896" s="24" t="s">
        <v>21</v>
      </c>
      <c r="O6896" s="24" t="s">
        <v>21</v>
      </c>
      <c r="P6896" s="24" t="s">
        <v>21</v>
      </c>
      <c r="Q6896" s="24">
        <v>0.99999999278225005</v>
      </c>
      <c r="R6896" s="24" t="s">
        <v>21</v>
      </c>
      <c r="S6896" s="24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5">
        <v>0</v>
      </c>
      <c r="E6897" s="5">
        <v>0</v>
      </c>
      <c r="F6897" s="5" t="s">
        <v>22</v>
      </c>
      <c r="G6897" s="15" t="s">
        <v>22</v>
      </c>
      <c r="H6897" s="24">
        <v>0</v>
      </c>
      <c r="I6897" s="24" t="s">
        <v>21</v>
      </c>
      <c r="J6897" s="24" t="s">
        <v>21</v>
      </c>
      <c r="K6897" s="24" t="s">
        <v>21</v>
      </c>
      <c r="L6897" s="24" t="s">
        <v>21</v>
      </c>
      <c r="M6897" s="24" t="s">
        <v>21</v>
      </c>
      <c r="N6897" s="24" t="s">
        <v>21</v>
      </c>
      <c r="O6897" s="24" t="s">
        <v>21</v>
      </c>
      <c r="P6897" s="24" t="s">
        <v>21</v>
      </c>
      <c r="Q6897" s="24">
        <v>0</v>
      </c>
      <c r="R6897" s="24" t="s">
        <v>21</v>
      </c>
      <c r="S6897" s="24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5">
        <v>0</v>
      </c>
      <c r="E6898" s="5">
        <v>0</v>
      </c>
      <c r="F6898" s="5" t="s">
        <v>22</v>
      </c>
      <c r="G6898" s="15" t="s">
        <v>22</v>
      </c>
      <c r="H6898" s="24">
        <v>1.000000003259629</v>
      </c>
      <c r="I6898" s="24" t="s">
        <v>21</v>
      </c>
      <c r="J6898" s="24" t="s">
        <v>21</v>
      </c>
      <c r="K6898" s="24" t="s">
        <v>21</v>
      </c>
      <c r="L6898" s="24" t="s">
        <v>21</v>
      </c>
      <c r="M6898" s="24" t="s">
        <v>21</v>
      </c>
      <c r="N6898" s="24" t="s">
        <v>21</v>
      </c>
      <c r="O6898" s="24" t="s">
        <v>21</v>
      </c>
      <c r="P6898" s="24" t="s">
        <v>21</v>
      </c>
      <c r="Q6898" s="24">
        <v>1.000000003259629</v>
      </c>
      <c r="R6898" s="24" t="s">
        <v>21</v>
      </c>
      <c r="S6898" s="24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5">
        <v>0</v>
      </c>
      <c r="E6899" s="5">
        <v>0</v>
      </c>
      <c r="F6899" s="5" t="s">
        <v>22</v>
      </c>
      <c r="G6899" s="15" t="s">
        <v>22</v>
      </c>
      <c r="H6899" s="24">
        <v>1.000000003259629</v>
      </c>
      <c r="I6899" s="24" t="s">
        <v>21</v>
      </c>
      <c r="J6899" s="24" t="s">
        <v>21</v>
      </c>
      <c r="K6899" s="24" t="s">
        <v>21</v>
      </c>
      <c r="L6899" s="24" t="s">
        <v>21</v>
      </c>
      <c r="M6899" s="24" t="s">
        <v>21</v>
      </c>
      <c r="N6899" s="24" t="s">
        <v>21</v>
      </c>
      <c r="O6899" s="24" t="s">
        <v>21</v>
      </c>
      <c r="P6899" s="24" t="s">
        <v>21</v>
      </c>
      <c r="Q6899" s="24">
        <v>1.000000003259629</v>
      </c>
      <c r="R6899" s="24" t="s">
        <v>21</v>
      </c>
      <c r="S6899" s="24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5">
        <v>0</v>
      </c>
      <c r="E6900" s="5">
        <v>0</v>
      </c>
      <c r="F6900" s="5" t="s">
        <v>22</v>
      </c>
      <c r="G6900" s="15" t="s">
        <v>22</v>
      </c>
      <c r="H6900" s="24">
        <v>0</v>
      </c>
      <c r="I6900" s="24" t="s">
        <v>21</v>
      </c>
      <c r="J6900" s="24" t="s">
        <v>21</v>
      </c>
      <c r="K6900" s="24" t="s">
        <v>21</v>
      </c>
      <c r="L6900" s="24" t="s">
        <v>21</v>
      </c>
      <c r="M6900" s="24" t="s">
        <v>21</v>
      </c>
      <c r="N6900" s="24" t="s">
        <v>21</v>
      </c>
      <c r="O6900" s="24" t="s">
        <v>21</v>
      </c>
      <c r="P6900" s="24" t="s">
        <v>21</v>
      </c>
      <c r="Q6900" s="24">
        <v>0</v>
      </c>
      <c r="R6900" s="24" t="s">
        <v>21</v>
      </c>
      <c r="S6900" s="24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5">
        <v>0</v>
      </c>
      <c r="E6901" s="5">
        <v>0</v>
      </c>
      <c r="F6901" s="5" t="s">
        <v>22</v>
      </c>
      <c r="G6901" s="15" t="s">
        <v>22</v>
      </c>
      <c r="H6901" s="24">
        <v>0.99999999278225005</v>
      </c>
      <c r="I6901" s="24" t="s">
        <v>21</v>
      </c>
      <c r="J6901" s="24" t="s">
        <v>21</v>
      </c>
      <c r="K6901" s="24" t="s">
        <v>21</v>
      </c>
      <c r="L6901" s="24" t="s">
        <v>21</v>
      </c>
      <c r="M6901" s="24" t="s">
        <v>21</v>
      </c>
      <c r="N6901" s="24" t="s">
        <v>21</v>
      </c>
      <c r="O6901" s="24" t="s">
        <v>21</v>
      </c>
      <c r="P6901" s="24" t="s">
        <v>21</v>
      </c>
      <c r="Q6901" s="24">
        <v>0.99999999278225005</v>
      </c>
      <c r="R6901" s="24" t="s">
        <v>21</v>
      </c>
      <c r="S6901" s="24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5">
        <v>0</v>
      </c>
      <c r="E6902" s="5">
        <v>0</v>
      </c>
      <c r="F6902" s="5" t="s">
        <v>22</v>
      </c>
      <c r="G6902" s="15" t="s">
        <v>22</v>
      </c>
      <c r="H6902" s="24">
        <v>0</v>
      </c>
      <c r="I6902" s="24" t="s">
        <v>21</v>
      </c>
      <c r="J6902" s="24" t="s">
        <v>21</v>
      </c>
      <c r="K6902" s="24" t="s">
        <v>21</v>
      </c>
      <c r="L6902" s="24" t="s">
        <v>21</v>
      </c>
      <c r="M6902" s="24" t="s">
        <v>21</v>
      </c>
      <c r="N6902" s="24" t="s">
        <v>21</v>
      </c>
      <c r="O6902" s="24" t="s">
        <v>21</v>
      </c>
      <c r="P6902" s="24" t="s">
        <v>21</v>
      </c>
      <c r="Q6902" s="24">
        <v>0</v>
      </c>
      <c r="R6902" s="24" t="s">
        <v>21</v>
      </c>
      <c r="S6902" s="24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5">
        <v>0</v>
      </c>
      <c r="E6903" s="5">
        <v>0</v>
      </c>
      <c r="F6903" s="5" t="s">
        <v>22</v>
      </c>
      <c r="G6903" s="15" t="s">
        <v>22</v>
      </c>
      <c r="H6903" s="24">
        <v>1.000000003259629</v>
      </c>
      <c r="I6903" s="24" t="s">
        <v>21</v>
      </c>
      <c r="J6903" s="24" t="s">
        <v>21</v>
      </c>
      <c r="K6903" s="24" t="s">
        <v>21</v>
      </c>
      <c r="L6903" s="24" t="s">
        <v>21</v>
      </c>
      <c r="M6903" s="24" t="s">
        <v>21</v>
      </c>
      <c r="N6903" s="24" t="s">
        <v>21</v>
      </c>
      <c r="O6903" s="24" t="s">
        <v>21</v>
      </c>
      <c r="P6903" s="24" t="s">
        <v>21</v>
      </c>
      <c r="Q6903" s="24">
        <v>1.000000003259629</v>
      </c>
      <c r="R6903" s="24" t="s">
        <v>21</v>
      </c>
      <c r="S6903" s="24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5">
        <v>0</v>
      </c>
      <c r="E6904" s="5">
        <v>0</v>
      </c>
      <c r="F6904" s="5" t="s">
        <v>22</v>
      </c>
      <c r="G6904" s="15" t="s">
        <v>22</v>
      </c>
      <c r="H6904" s="24">
        <v>148.00000000046566</v>
      </c>
      <c r="I6904" s="24">
        <v>1450.0000000011642</v>
      </c>
      <c r="J6904" s="24" t="s">
        <v>21</v>
      </c>
      <c r="K6904" s="24" t="s">
        <v>21</v>
      </c>
      <c r="L6904" s="24" t="s">
        <v>21</v>
      </c>
      <c r="M6904" s="24" t="s">
        <v>21</v>
      </c>
      <c r="N6904" s="24" t="s">
        <v>21</v>
      </c>
      <c r="O6904" s="24" t="s">
        <v>21</v>
      </c>
      <c r="P6904" s="24" t="s">
        <v>21</v>
      </c>
      <c r="Q6904" s="24" t="s">
        <v>21</v>
      </c>
      <c r="R6904" s="24" t="s">
        <v>21</v>
      </c>
      <c r="S6904" s="24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5">
        <v>0</v>
      </c>
      <c r="E6905" s="5">
        <v>0</v>
      </c>
      <c r="F6905" s="5" t="s">
        <v>22</v>
      </c>
      <c r="G6905" s="15" t="s">
        <v>22</v>
      </c>
      <c r="H6905" s="24">
        <v>0</v>
      </c>
      <c r="I6905" s="24">
        <v>0</v>
      </c>
      <c r="J6905" s="24" t="s">
        <v>21</v>
      </c>
      <c r="K6905" s="24" t="s">
        <v>21</v>
      </c>
      <c r="L6905" s="24" t="s">
        <v>21</v>
      </c>
      <c r="M6905" s="24" t="s">
        <v>21</v>
      </c>
      <c r="N6905" s="24" t="s">
        <v>21</v>
      </c>
      <c r="O6905" s="24" t="s">
        <v>21</v>
      </c>
      <c r="P6905" s="24" t="s">
        <v>21</v>
      </c>
      <c r="Q6905" s="24" t="s">
        <v>21</v>
      </c>
      <c r="R6905" s="24" t="s">
        <v>21</v>
      </c>
      <c r="S6905" s="24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5">
        <v>0</v>
      </c>
      <c r="E6906" s="5">
        <v>0</v>
      </c>
      <c r="F6906" s="5" t="s">
        <v>22</v>
      </c>
      <c r="G6906" s="15" t="s">
        <v>22</v>
      </c>
      <c r="H6906" s="24">
        <v>1.000000003259629</v>
      </c>
      <c r="I6906" s="24">
        <v>1.000000003259629</v>
      </c>
      <c r="J6906" s="24" t="s">
        <v>21</v>
      </c>
      <c r="K6906" s="24" t="s">
        <v>21</v>
      </c>
      <c r="L6906" s="24" t="s">
        <v>21</v>
      </c>
      <c r="M6906" s="24" t="s">
        <v>21</v>
      </c>
      <c r="N6906" s="24" t="s">
        <v>21</v>
      </c>
      <c r="O6906" s="24" t="s">
        <v>21</v>
      </c>
      <c r="P6906" s="24" t="s">
        <v>21</v>
      </c>
      <c r="Q6906" s="24" t="s">
        <v>21</v>
      </c>
      <c r="R6906" s="24" t="s">
        <v>21</v>
      </c>
      <c r="S6906" s="24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5">
        <v>0</v>
      </c>
      <c r="E6907" s="5">
        <v>0</v>
      </c>
      <c r="F6907" s="5" t="s">
        <v>22</v>
      </c>
      <c r="G6907" s="15" t="s">
        <v>22</v>
      </c>
      <c r="H6907" s="24">
        <v>0</v>
      </c>
      <c r="I6907" s="24">
        <v>0</v>
      </c>
      <c r="J6907" s="24" t="s">
        <v>21</v>
      </c>
      <c r="K6907" s="24" t="s">
        <v>21</v>
      </c>
      <c r="L6907" s="24" t="s">
        <v>21</v>
      </c>
      <c r="M6907" s="24" t="s">
        <v>21</v>
      </c>
      <c r="N6907" s="24" t="s">
        <v>21</v>
      </c>
      <c r="O6907" s="24" t="s">
        <v>21</v>
      </c>
      <c r="P6907" s="24" t="s">
        <v>21</v>
      </c>
      <c r="Q6907" s="24" t="s">
        <v>21</v>
      </c>
      <c r="R6907" s="24" t="s">
        <v>21</v>
      </c>
      <c r="S6907" s="24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5">
        <v>0</v>
      </c>
      <c r="E6908" s="5">
        <v>0</v>
      </c>
      <c r="F6908" s="5" t="s">
        <v>22</v>
      </c>
      <c r="G6908" s="15" t="s">
        <v>22</v>
      </c>
      <c r="H6908" s="24">
        <v>2.9999999993015081</v>
      </c>
      <c r="I6908" s="24">
        <v>2.9999999993015081</v>
      </c>
      <c r="J6908" s="24" t="s">
        <v>21</v>
      </c>
      <c r="K6908" s="24" t="s">
        <v>21</v>
      </c>
      <c r="L6908" s="24" t="s">
        <v>21</v>
      </c>
      <c r="M6908" s="24" t="s">
        <v>21</v>
      </c>
      <c r="N6908" s="24" t="s">
        <v>21</v>
      </c>
      <c r="O6908" s="24" t="s">
        <v>21</v>
      </c>
      <c r="P6908" s="24" t="s">
        <v>21</v>
      </c>
      <c r="Q6908" s="24" t="s">
        <v>21</v>
      </c>
      <c r="R6908" s="24" t="s">
        <v>21</v>
      </c>
      <c r="S6908" s="24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5">
        <v>0</v>
      </c>
      <c r="E6909" s="5">
        <v>0</v>
      </c>
      <c r="F6909" s="5" t="s">
        <v>22</v>
      </c>
      <c r="G6909" s="15" t="s">
        <v>22</v>
      </c>
      <c r="H6909" s="24">
        <v>1.000000003259629</v>
      </c>
      <c r="I6909" s="24">
        <v>1.000000003259629</v>
      </c>
      <c r="J6909" s="24" t="s">
        <v>21</v>
      </c>
      <c r="K6909" s="24" t="s">
        <v>21</v>
      </c>
      <c r="L6909" s="24" t="s">
        <v>21</v>
      </c>
      <c r="M6909" s="24" t="s">
        <v>21</v>
      </c>
      <c r="N6909" s="24" t="s">
        <v>21</v>
      </c>
      <c r="O6909" s="24" t="s">
        <v>21</v>
      </c>
      <c r="P6909" s="24" t="s">
        <v>21</v>
      </c>
      <c r="Q6909" s="24" t="s">
        <v>21</v>
      </c>
      <c r="R6909" s="24" t="s">
        <v>21</v>
      </c>
      <c r="S6909" s="24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5">
        <v>0</v>
      </c>
      <c r="E6910" s="5">
        <v>0</v>
      </c>
      <c r="F6910" s="5" t="s">
        <v>22</v>
      </c>
      <c r="G6910" s="15" t="s">
        <v>22</v>
      </c>
      <c r="H6910" s="24">
        <v>0</v>
      </c>
      <c r="I6910" s="24">
        <v>0</v>
      </c>
      <c r="J6910" s="24" t="s">
        <v>21</v>
      </c>
      <c r="K6910" s="24" t="s">
        <v>21</v>
      </c>
      <c r="L6910" s="24" t="s">
        <v>21</v>
      </c>
      <c r="M6910" s="24" t="s">
        <v>21</v>
      </c>
      <c r="N6910" s="24" t="s">
        <v>21</v>
      </c>
      <c r="O6910" s="24" t="s">
        <v>21</v>
      </c>
      <c r="P6910" s="24" t="s">
        <v>21</v>
      </c>
      <c r="Q6910" s="24" t="s">
        <v>21</v>
      </c>
      <c r="R6910" s="24" t="s">
        <v>21</v>
      </c>
      <c r="S6910" s="24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5">
        <v>0</v>
      </c>
      <c r="E6911" s="5">
        <v>0</v>
      </c>
      <c r="F6911" s="5" t="s">
        <v>22</v>
      </c>
      <c r="G6911" s="15" t="s">
        <v>22</v>
      </c>
      <c r="H6911" s="24">
        <v>0.99999999278225005</v>
      </c>
      <c r="I6911" s="24">
        <v>0.99999999278225005</v>
      </c>
      <c r="J6911" s="24" t="s">
        <v>21</v>
      </c>
      <c r="K6911" s="24" t="s">
        <v>21</v>
      </c>
      <c r="L6911" s="24" t="s">
        <v>21</v>
      </c>
      <c r="M6911" s="24" t="s">
        <v>21</v>
      </c>
      <c r="N6911" s="24" t="s">
        <v>21</v>
      </c>
      <c r="O6911" s="24" t="s">
        <v>21</v>
      </c>
      <c r="P6911" s="24" t="s">
        <v>21</v>
      </c>
      <c r="Q6911" s="24" t="s">
        <v>21</v>
      </c>
      <c r="R6911" s="24" t="s">
        <v>21</v>
      </c>
      <c r="S6911" s="24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5">
        <v>0</v>
      </c>
      <c r="E6912" s="5">
        <v>0</v>
      </c>
      <c r="F6912" s="5" t="s">
        <v>22</v>
      </c>
      <c r="G6912" s="15" t="s">
        <v>22</v>
      </c>
      <c r="H6912" s="24">
        <v>0</v>
      </c>
      <c r="I6912" s="24">
        <v>0</v>
      </c>
      <c r="J6912" s="24" t="s">
        <v>21</v>
      </c>
      <c r="K6912" s="24" t="s">
        <v>21</v>
      </c>
      <c r="L6912" s="24" t="s">
        <v>21</v>
      </c>
      <c r="M6912" s="24" t="s">
        <v>21</v>
      </c>
      <c r="N6912" s="24" t="s">
        <v>21</v>
      </c>
      <c r="O6912" s="24" t="s">
        <v>21</v>
      </c>
      <c r="P6912" s="24" t="s">
        <v>21</v>
      </c>
      <c r="Q6912" s="24" t="s">
        <v>21</v>
      </c>
      <c r="R6912" s="24" t="s">
        <v>21</v>
      </c>
      <c r="S6912" s="24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5">
        <v>0</v>
      </c>
      <c r="E6913" s="5">
        <v>0</v>
      </c>
      <c r="F6913" s="5" t="s">
        <v>22</v>
      </c>
      <c r="G6913" s="15" t="s">
        <v>22</v>
      </c>
      <c r="H6913" s="24">
        <v>1.000000003259629</v>
      </c>
      <c r="I6913" s="24">
        <v>1.000000003259629</v>
      </c>
      <c r="J6913" s="24" t="s">
        <v>21</v>
      </c>
      <c r="K6913" s="24" t="s">
        <v>21</v>
      </c>
      <c r="L6913" s="24" t="s">
        <v>21</v>
      </c>
      <c r="M6913" s="24" t="s">
        <v>21</v>
      </c>
      <c r="N6913" s="24" t="s">
        <v>21</v>
      </c>
      <c r="O6913" s="24" t="s">
        <v>21</v>
      </c>
      <c r="P6913" s="24" t="s">
        <v>21</v>
      </c>
      <c r="Q6913" s="24" t="s">
        <v>21</v>
      </c>
      <c r="R6913" s="24" t="s">
        <v>21</v>
      </c>
      <c r="S6913" s="24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5">
        <v>0</v>
      </c>
      <c r="E6914" s="5">
        <v>0</v>
      </c>
      <c r="F6914" s="5" t="s">
        <v>22</v>
      </c>
      <c r="G6914" s="15" t="s">
        <v>22</v>
      </c>
      <c r="H6914" s="24">
        <v>7.9999999946448952</v>
      </c>
      <c r="I6914" s="24">
        <v>7.9999999946448952</v>
      </c>
      <c r="J6914" s="24" t="s">
        <v>21</v>
      </c>
      <c r="K6914" s="24" t="s">
        <v>21</v>
      </c>
      <c r="L6914" s="24" t="s">
        <v>21</v>
      </c>
      <c r="M6914" s="24" t="s">
        <v>21</v>
      </c>
      <c r="N6914" s="24" t="s">
        <v>21</v>
      </c>
      <c r="O6914" s="24" t="s">
        <v>21</v>
      </c>
      <c r="P6914" s="24" t="s">
        <v>21</v>
      </c>
      <c r="Q6914" s="24" t="s">
        <v>21</v>
      </c>
      <c r="R6914" s="24" t="s">
        <v>21</v>
      </c>
      <c r="S6914" s="24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5">
        <v>0</v>
      </c>
      <c r="E6915" s="5">
        <v>0</v>
      </c>
      <c r="F6915" s="5" t="s">
        <v>22</v>
      </c>
      <c r="G6915" s="15" t="s">
        <v>22</v>
      </c>
      <c r="H6915" s="24">
        <v>0</v>
      </c>
      <c r="I6915" s="24">
        <v>0</v>
      </c>
      <c r="J6915" s="24" t="s">
        <v>21</v>
      </c>
      <c r="K6915" s="24" t="s">
        <v>21</v>
      </c>
      <c r="L6915" s="24" t="s">
        <v>21</v>
      </c>
      <c r="M6915" s="24" t="s">
        <v>21</v>
      </c>
      <c r="N6915" s="24" t="s">
        <v>21</v>
      </c>
      <c r="O6915" s="24" t="s">
        <v>21</v>
      </c>
      <c r="P6915" s="24" t="s">
        <v>21</v>
      </c>
      <c r="Q6915" s="24" t="s">
        <v>21</v>
      </c>
      <c r="R6915" s="24" t="s">
        <v>21</v>
      </c>
      <c r="S6915" s="24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5">
        <v>0</v>
      </c>
      <c r="E6916" s="5">
        <v>0</v>
      </c>
      <c r="F6916" s="5" t="s">
        <v>22</v>
      </c>
      <c r="G6916" s="15" t="s">
        <v>22</v>
      </c>
      <c r="H6916" s="24">
        <v>1.000000003259629</v>
      </c>
      <c r="I6916" s="24">
        <v>1.000000003259629</v>
      </c>
      <c r="J6916" s="24" t="s">
        <v>21</v>
      </c>
      <c r="K6916" s="24" t="s">
        <v>21</v>
      </c>
      <c r="L6916" s="24" t="s">
        <v>21</v>
      </c>
      <c r="M6916" s="24" t="s">
        <v>21</v>
      </c>
      <c r="N6916" s="24" t="s">
        <v>21</v>
      </c>
      <c r="O6916" s="24" t="s">
        <v>21</v>
      </c>
      <c r="P6916" s="24" t="s">
        <v>21</v>
      </c>
      <c r="Q6916" s="24" t="s">
        <v>21</v>
      </c>
      <c r="R6916" s="24" t="s">
        <v>21</v>
      </c>
      <c r="S6916" s="24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5">
        <v>0</v>
      </c>
      <c r="E6917" s="5">
        <v>0</v>
      </c>
      <c r="F6917" s="5" t="s">
        <v>22</v>
      </c>
      <c r="G6917" s="15" t="s">
        <v>22</v>
      </c>
      <c r="H6917" s="24">
        <v>1.000000003259629</v>
      </c>
      <c r="I6917" s="24">
        <v>1.000000003259629</v>
      </c>
      <c r="J6917" s="24" t="s">
        <v>21</v>
      </c>
      <c r="K6917" s="24" t="s">
        <v>21</v>
      </c>
      <c r="L6917" s="24" t="s">
        <v>21</v>
      </c>
      <c r="M6917" s="24" t="s">
        <v>21</v>
      </c>
      <c r="N6917" s="24" t="s">
        <v>21</v>
      </c>
      <c r="O6917" s="24" t="s">
        <v>21</v>
      </c>
      <c r="P6917" s="24" t="s">
        <v>21</v>
      </c>
      <c r="Q6917" s="24" t="s">
        <v>21</v>
      </c>
      <c r="R6917" s="24" t="s">
        <v>21</v>
      </c>
      <c r="S6917" s="24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5">
        <v>0</v>
      </c>
      <c r="E6918" s="5">
        <v>0</v>
      </c>
      <c r="F6918" s="5" t="s">
        <v>22</v>
      </c>
      <c r="G6918" s="15" t="s">
        <v>22</v>
      </c>
      <c r="H6918" s="24">
        <v>5.9999999986030161</v>
      </c>
      <c r="I6918" s="24">
        <v>5.9999999986030161</v>
      </c>
      <c r="J6918" s="24" t="s">
        <v>21</v>
      </c>
      <c r="K6918" s="24" t="s">
        <v>21</v>
      </c>
      <c r="L6918" s="24" t="s">
        <v>21</v>
      </c>
      <c r="M6918" s="24" t="s">
        <v>21</v>
      </c>
      <c r="N6918" s="24" t="s">
        <v>21</v>
      </c>
      <c r="O6918" s="24" t="s">
        <v>21</v>
      </c>
      <c r="P6918" s="24" t="s">
        <v>21</v>
      </c>
      <c r="Q6918" s="24" t="s">
        <v>21</v>
      </c>
      <c r="R6918" s="24" t="s">
        <v>21</v>
      </c>
      <c r="S6918" s="24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7">
        <v>0</v>
      </c>
      <c r="E6919" s="7">
        <v>0</v>
      </c>
      <c r="F6919" s="7" t="s">
        <v>22</v>
      </c>
      <c r="G6919" s="16" t="s">
        <v>22</v>
      </c>
      <c r="H6919" s="25">
        <v>0</v>
      </c>
      <c r="I6919" s="25">
        <v>0</v>
      </c>
      <c r="J6919" s="25" t="s">
        <v>21</v>
      </c>
      <c r="K6919" s="25" t="s">
        <v>21</v>
      </c>
      <c r="L6919" s="25" t="s">
        <v>21</v>
      </c>
      <c r="M6919" s="25" t="s">
        <v>21</v>
      </c>
      <c r="N6919" s="25" t="s">
        <v>21</v>
      </c>
      <c r="O6919" s="25" t="s">
        <v>21</v>
      </c>
      <c r="P6919" s="25" t="s">
        <v>21</v>
      </c>
      <c r="Q6919" s="25" t="s">
        <v>21</v>
      </c>
      <c r="R6919" s="25" t="s">
        <v>21</v>
      </c>
      <c r="S6919" s="25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5">
        <v>0</v>
      </c>
      <c r="E6920" s="5">
        <v>0</v>
      </c>
      <c r="F6920" s="5" t="s">
        <v>22</v>
      </c>
      <c r="G6920" s="15" t="s">
        <v>22</v>
      </c>
      <c r="H6920" s="24">
        <v>917.99999999580905</v>
      </c>
      <c r="I6920" s="24" t="s">
        <v>21</v>
      </c>
      <c r="J6920" s="24">
        <v>2496.9999999983702</v>
      </c>
      <c r="K6920" s="24" t="s">
        <v>21</v>
      </c>
      <c r="L6920" s="24" t="s">
        <v>21</v>
      </c>
      <c r="M6920" s="24" t="s">
        <v>21</v>
      </c>
      <c r="N6920" s="24" t="s">
        <v>21</v>
      </c>
      <c r="O6920" s="24" t="s">
        <v>21</v>
      </c>
      <c r="P6920" s="24" t="s">
        <v>21</v>
      </c>
      <c r="Q6920" s="24" t="s">
        <v>21</v>
      </c>
      <c r="R6920" s="24" t="s">
        <v>21</v>
      </c>
      <c r="S6920" s="24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5">
        <v>0</v>
      </c>
      <c r="E6921" s="5">
        <v>0</v>
      </c>
      <c r="F6921" s="5" t="s">
        <v>22</v>
      </c>
      <c r="G6921" s="15" t="s">
        <v>22</v>
      </c>
      <c r="H6921" s="24">
        <v>0</v>
      </c>
      <c r="I6921" s="24" t="s">
        <v>21</v>
      </c>
      <c r="J6921" s="24">
        <v>0</v>
      </c>
      <c r="K6921" s="24" t="s">
        <v>21</v>
      </c>
      <c r="L6921" s="24" t="s">
        <v>21</v>
      </c>
      <c r="M6921" s="24" t="s">
        <v>21</v>
      </c>
      <c r="N6921" s="24" t="s">
        <v>21</v>
      </c>
      <c r="O6921" s="24" t="s">
        <v>21</v>
      </c>
      <c r="P6921" s="24" t="s">
        <v>21</v>
      </c>
      <c r="Q6921" s="24" t="s">
        <v>21</v>
      </c>
      <c r="R6921" s="24" t="s">
        <v>21</v>
      </c>
      <c r="S6921" s="24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5">
        <v>0</v>
      </c>
      <c r="E6922" s="5">
        <v>0</v>
      </c>
      <c r="F6922" s="5" t="s">
        <v>22</v>
      </c>
      <c r="G6922" s="15" t="s">
        <v>22</v>
      </c>
      <c r="H6922" s="24">
        <v>0</v>
      </c>
      <c r="I6922" s="24" t="s">
        <v>21</v>
      </c>
      <c r="J6922" s="24" t="s">
        <v>21</v>
      </c>
      <c r="K6922" s="24">
        <v>1305.9999999927823</v>
      </c>
      <c r="L6922" s="24" t="s">
        <v>21</v>
      </c>
      <c r="M6922" s="24" t="s">
        <v>21</v>
      </c>
      <c r="N6922" s="24" t="s">
        <v>21</v>
      </c>
      <c r="O6922" s="24" t="s">
        <v>21</v>
      </c>
      <c r="P6922" s="24" t="s">
        <v>21</v>
      </c>
      <c r="Q6922" s="24" t="s">
        <v>21</v>
      </c>
      <c r="R6922" s="24" t="s">
        <v>21</v>
      </c>
      <c r="S6922" s="24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5">
        <v>0</v>
      </c>
      <c r="E6923" s="5">
        <v>0</v>
      </c>
      <c r="F6923" s="5" t="s">
        <v>22</v>
      </c>
      <c r="G6923" s="15" t="s">
        <v>22</v>
      </c>
      <c r="H6923" s="24">
        <v>0</v>
      </c>
      <c r="I6923" s="24" t="s">
        <v>21</v>
      </c>
      <c r="J6923" s="24">
        <v>0</v>
      </c>
      <c r="K6923" s="24" t="s">
        <v>21</v>
      </c>
      <c r="L6923" s="24" t="s">
        <v>21</v>
      </c>
      <c r="M6923" s="24" t="s">
        <v>21</v>
      </c>
      <c r="N6923" s="24" t="s">
        <v>21</v>
      </c>
      <c r="O6923" s="24" t="s">
        <v>21</v>
      </c>
      <c r="P6923" s="24" t="s">
        <v>21</v>
      </c>
      <c r="Q6923" s="24" t="s">
        <v>21</v>
      </c>
      <c r="R6923" s="24" t="s">
        <v>21</v>
      </c>
      <c r="S6923" s="24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5">
        <v>0</v>
      </c>
      <c r="E6924" s="5">
        <v>0</v>
      </c>
      <c r="F6924" s="5" t="s">
        <v>22</v>
      </c>
      <c r="G6924" s="15" t="s">
        <v>22</v>
      </c>
      <c r="H6924" s="24">
        <v>0</v>
      </c>
      <c r="I6924" s="24" t="s">
        <v>21</v>
      </c>
      <c r="J6924" s="24">
        <v>0</v>
      </c>
      <c r="K6924" s="24" t="s">
        <v>21</v>
      </c>
      <c r="L6924" s="24" t="s">
        <v>21</v>
      </c>
      <c r="M6924" s="24" t="s">
        <v>21</v>
      </c>
      <c r="N6924" s="24" t="s">
        <v>21</v>
      </c>
      <c r="O6924" s="24" t="s">
        <v>21</v>
      </c>
      <c r="P6924" s="24" t="s">
        <v>21</v>
      </c>
      <c r="Q6924" s="24" t="s">
        <v>21</v>
      </c>
      <c r="R6924" s="24" t="s">
        <v>21</v>
      </c>
      <c r="S6924" s="24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5">
        <v>0</v>
      </c>
      <c r="E6925" s="5">
        <v>0</v>
      </c>
      <c r="F6925" s="5" t="s">
        <v>22</v>
      </c>
      <c r="G6925" s="15" t="s">
        <v>22</v>
      </c>
      <c r="H6925" s="24">
        <v>0</v>
      </c>
      <c r="I6925" s="24" t="s">
        <v>21</v>
      </c>
      <c r="J6925" s="24" t="s">
        <v>21</v>
      </c>
      <c r="K6925" s="24">
        <v>0</v>
      </c>
      <c r="L6925" s="24" t="s">
        <v>21</v>
      </c>
      <c r="M6925" s="24" t="s">
        <v>21</v>
      </c>
      <c r="N6925" s="24" t="s">
        <v>21</v>
      </c>
      <c r="O6925" s="24" t="s">
        <v>21</v>
      </c>
      <c r="P6925" s="24" t="s">
        <v>21</v>
      </c>
      <c r="Q6925" s="24" t="s">
        <v>21</v>
      </c>
      <c r="R6925" s="24" t="s">
        <v>21</v>
      </c>
      <c r="S6925" s="24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5">
        <v>0</v>
      </c>
      <c r="E6926" s="5">
        <v>0</v>
      </c>
      <c r="F6926" s="5" t="s">
        <v>22</v>
      </c>
      <c r="G6926" s="15" t="s">
        <v>22</v>
      </c>
      <c r="H6926" s="24">
        <v>1.000000003259629</v>
      </c>
      <c r="I6926" s="24" t="s">
        <v>21</v>
      </c>
      <c r="J6926" s="24">
        <v>1.000000003259629</v>
      </c>
      <c r="K6926" s="24" t="s">
        <v>21</v>
      </c>
      <c r="L6926" s="24" t="s">
        <v>21</v>
      </c>
      <c r="M6926" s="24" t="s">
        <v>21</v>
      </c>
      <c r="N6926" s="24" t="s">
        <v>21</v>
      </c>
      <c r="O6926" s="24" t="s">
        <v>21</v>
      </c>
      <c r="P6926" s="24" t="s">
        <v>21</v>
      </c>
      <c r="Q6926" s="24" t="s">
        <v>21</v>
      </c>
      <c r="R6926" s="24" t="s">
        <v>21</v>
      </c>
      <c r="S6926" s="24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5">
        <v>0</v>
      </c>
      <c r="E6927" s="5">
        <v>0</v>
      </c>
      <c r="F6927" s="5" t="s">
        <v>22</v>
      </c>
      <c r="G6927" s="15" t="s">
        <v>22</v>
      </c>
      <c r="H6927" s="24">
        <v>0</v>
      </c>
      <c r="I6927" s="24" t="s">
        <v>21</v>
      </c>
      <c r="J6927" s="24" t="s">
        <v>21</v>
      </c>
      <c r="K6927" s="24">
        <v>1.000000003259629</v>
      </c>
      <c r="L6927" s="24" t="s">
        <v>21</v>
      </c>
      <c r="M6927" s="24" t="s">
        <v>21</v>
      </c>
      <c r="N6927" s="24" t="s">
        <v>21</v>
      </c>
      <c r="O6927" s="24" t="s">
        <v>21</v>
      </c>
      <c r="P6927" s="24" t="s">
        <v>21</v>
      </c>
      <c r="Q6927" s="24" t="s">
        <v>21</v>
      </c>
      <c r="R6927" s="24" t="s">
        <v>21</v>
      </c>
      <c r="S6927" s="24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5">
        <v>0</v>
      </c>
      <c r="E6928" s="5">
        <v>0</v>
      </c>
      <c r="F6928" s="5" t="s">
        <v>22</v>
      </c>
      <c r="G6928" s="15" t="s">
        <v>22</v>
      </c>
      <c r="H6928" s="24">
        <v>171.00000000209548</v>
      </c>
      <c r="I6928" s="24" t="s">
        <v>21</v>
      </c>
      <c r="J6928" s="24" t="s">
        <v>21</v>
      </c>
      <c r="K6928" s="24" t="s">
        <v>21</v>
      </c>
      <c r="L6928" s="24">
        <v>2634.9999999976717</v>
      </c>
      <c r="M6928" s="24" t="s">
        <v>21</v>
      </c>
      <c r="N6928" s="24" t="s">
        <v>21</v>
      </c>
      <c r="O6928" s="24" t="s">
        <v>21</v>
      </c>
      <c r="P6928" s="24" t="s">
        <v>21</v>
      </c>
      <c r="Q6928" s="24" t="s">
        <v>21</v>
      </c>
      <c r="R6928" s="24" t="s">
        <v>21</v>
      </c>
      <c r="S6928" s="24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5">
        <v>0</v>
      </c>
      <c r="E6929" s="5">
        <v>0</v>
      </c>
      <c r="F6929" s="5" t="s">
        <v>22</v>
      </c>
      <c r="G6929" s="15" t="s">
        <v>22</v>
      </c>
      <c r="H6929" s="24">
        <v>0</v>
      </c>
      <c r="I6929" s="24" t="s">
        <v>21</v>
      </c>
      <c r="J6929" s="24" t="s">
        <v>21</v>
      </c>
      <c r="K6929" s="24" t="s">
        <v>21</v>
      </c>
      <c r="L6929" s="24">
        <v>0</v>
      </c>
      <c r="M6929" s="24" t="s">
        <v>21</v>
      </c>
      <c r="N6929" s="24" t="s">
        <v>21</v>
      </c>
      <c r="O6929" s="24" t="s">
        <v>21</v>
      </c>
      <c r="P6929" s="24" t="s">
        <v>21</v>
      </c>
      <c r="Q6929" s="24" t="s">
        <v>21</v>
      </c>
      <c r="R6929" s="24" t="s">
        <v>21</v>
      </c>
      <c r="S6929" s="24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5">
        <v>0</v>
      </c>
      <c r="E6930" s="5">
        <v>0</v>
      </c>
      <c r="F6930" s="5" t="s">
        <v>22</v>
      </c>
      <c r="G6930" s="15" t="s">
        <v>22</v>
      </c>
      <c r="H6930" s="24">
        <v>1.000000003259629</v>
      </c>
      <c r="I6930" s="24" t="s">
        <v>21</v>
      </c>
      <c r="J6930" s="24" t="s">
        <v>21</v>
      </c>
      <c r="K6930" s="24" t="s">
        <v>21</v>
      </c>
      <c r="L6930" s="24">
        <v>1.000000003259629</v>
      </c>
      <c r="M6930" s="24" t="s">
        <v>21</v>
      </c>
      <c r="N6930" s="24" t="s">
        <v>21</v>
      </c>
      <c r="O6930" s="24" t="s">
        <v>21</v>
      </c>
      <c r="P6930" s="24" t="s">
        <v>21</v>
      </c>
      <c r="Q6930" s="24" t="s">
        <v>21</v>
      </c>
      <c r="R6930" s="24" t="s">
        <v>21</v>
      </c>
      <c r="S6930" s="24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5">
        <v>0</v>
      </c>
      <c r="E6931" s="5">
        <v>0</v>
      </c>
      <c r="F6931" s="5" t="s">
        <v>22</v>
      </c>
      <c r="G6931" s="15" t="s">
        <v>22</v>
      </c>
      <c r="H6931" s="24">
        <v>147.99999998998828</v>
      </c>
      <c r="I6931" s="24" t="s">
        <v>21</v>
      </c>
      <c r="J6931" s="24" t="s">
        <v>21</v>
      </c>
      <c r="K6931" s="24" t="s">
        <v>21</v>
      </c>
      <c r="L6931" s="24" t="s">
        <v>21</v>
      </c>
      <c r="M6931" s="24" t="s">
        <v>21</v>
      </c>
      <c r="N6931" s="24" t="s">
        <v>21</v>
      </c>
      <c r="O6931" s="24">
        <v>1511.9999999937136</v>
      </c>
      <c r="P6931" s="24" t="s">
        <v>21</v>
      </c>
      <c r="Q6931" s="24" t="s">
        <v>21</v>
      </c>
      <c r="R6931" s="24" t="s">
        <v>21</v>
      </c>
      <c r="S6931" s="24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5">
        <v>0</v>
      </c>
      <c r="E6932" s="5">
        <v>0</v>
      </c>
      <c r="F6932" s="5" t="s">
        <v>22</v>
      </c>
      <c r="G6932" s="15" t="s">
        <v>22</v>
      </c>
      <c r="H6932" s="24">
        <v>44.00000000721775</v>
      </c>
      <c r="I6932" s="24" t="s">
        <v>21</v>
      </c>
      <c r="J6932" s="24" t="s">
        <v>21</v>
      </c>
      <c r="K6932" s="24">
        <v>364.00000000256114</v>
      </c>
      <c r="L6932" s="24" t="s">
        <v>21</v>
      </c>
      <c r="M6932" s="24" t="s">
        <v>21</v>
      </c>
      <c r="N6932" s="24" t="s">
        <v>21</v>
      </c>
      <c r="O6932" s="24" t="s">
        <v>21</v>
      </c>
      <c r="P6932" s="24" t="s">
        <v>21</v>
      </c>
      <c r="Q6932" s="24" t="s">
        <v>21</v>
      </c>
      <c r="R6932" s="24" t="s">
        <v>21</v>
      </c>
      <c r="S6932" s="24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5">
        <v>0</v>
      </c>
      <c r="E6933" s="5">
        <v>0</v>
      </c>
      <c r="F6933" s="5" t="s">
        <v>22</v>
      </c>
      <c r="G6933" s="15" t="s">
        <v>22</v>
      </c>
      <c r="H6933" s="24">
        <v>10.000000001164153</v>
      </c>
      <c r="I6933" s="24">
        <v>1293.000000002794</v>
      </c>
      <c r="J6933" s="24" t="s">
        <v>21</v>
      </c>
      <c r="K6933" s="24" t="s">
        <v>21</v>
      </c>
      <c r="L6933" s="24" t="s">
        <v>21</v>
      </c>
      <c r="M6933" s="24" t="s">
        <v>21</v>
      </c>
      <c r="N6933" s="24" t="s">
        <v>21</v>
      </c>
      <c r="O6933" s="24" t="s">
        <v>21</v>
      </c>
      <c r="P6933" s="24" t="s">
        <v>21</v>
      </c>
      <c r="Q6933" s="24" t="s">
        <v>21</v>
      </c>
      <c r="R6933" s="24" t="s">
        <v>21</v>
      </c>
      <c r="S6933" s="24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7">
        <v>0</v>
      </c>
      <c r="E6934" s="7">
        <v>0</v>
      </c>
      <c r="F6934" s="7" t="s">
        <v>22</v>
      </c>
      <c r="G6934" s="16" t="s">
        <v>22</v>
      </c>
      <c r="H6934" s="25">
        <v>142.9999999946449</v>
      </c>
      <c r="I6934" s="25">
        <v>142.9999999946449</v>
      </c>
      <c r="J6934" s="25" t="s">
        <v>21</v>
      </c>
      <c r="K6934" s="25" t="s">
        <v>21</v>
      </c>
      <c r="L6934" s="25" t="s">
        <v>21</v>
      </c>
      <c r="M6934" s="25" t="s">
        <v>21</v>
      </c>
      <c r="N6934" s="25" t="s">
        <v>21</v>
      </c>
      <c r="O6934" s="25" t="s">
        <v>21</v>
      </c>
      <c r="P6934" s="25" t="s">
        <v>21</v>
      </c>
      <c r="Q6934" s="25" t="s">
        <v>21</v>
      </c>
      <c r="R6934" s="25" t="s">
        <v>21</v>
      </c>
      <c r="S6934" s="25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5">
        <v>0</v>
      </c>
      <c r="E6935" s="5">
        <v>0</v>
      </c>
      <c r="F6935" s="5" t="s">
        <v>22</v>
      </c>
      <c r="G6935" s="15" t="s">
        <v>22</v>
      </c>
      <c r="H6935" s="24">
        <v>1116.0000000020955</v>
      </c>
      <c r="I6935" s="24" t="s">
        <v>21</v>
      </c>
      <c r="J6935" s="24" t="s">
        <v>21</v>
      </c>
      <c r="K6935" s="24" t="s">
        <v>21</v>
      </c>
      <c r="L6935" s="24" t="s">
        <v>21</v>
      </c>
      <c r="M6935" s="24" t="s">
        <v>21</v>
      </c>
      <c r="N6935" s="24" t="s">
        <v>21</v>
      </c>
      <c r="O6935" s="24" t="s">
        <v>21</v>
      </c>
      <c r="P6935" s="24" t="s">
        <v>21</v>
      </c>
      <c r="Q6935" s="24" t="s">
        <v>21</v>
      </c>
      <c r="R6935" s="24" t="s">
        <v>21</v>
      </c>
      <c r="S6935" s="24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5">
        <v>0</v>
      </c>
      <c r="E6936" s="5">
        <v>0</v>
      </c>
      <c r="F6936" s="5" t="s">
        <v>22</v>
      </c>
      <c r="G6936" s="15" t="s">
        <v>22</v>
      </c>
      <c r="H6936" s="24">
        <v>0</v>
      </c>
      <c r="I6936" s="24" t="s">
        <v>21</v>
      </c>
      <c r="J6936" s="24" t="s">
        <v>21</v>
      </c>
      <c r="K6936" s="24" t="s">
        <v>21</v>
      </c>
      <c r="L6936" s="24" t="s">
        <v>21</v>
      </c>
      <c r="M6936" s="24" t="s">
        <v>21</v>
      </c>
      <c r="N6936" s="24" t="s">
        <v>21</v>
      </c>
      <c r="O6936" s="24" t="s">
        <v>21</v>
      </c>
      <c r="P6936" s="24" t="s">
        <v>21</v>
      </c>
      <c r="Q6936" s="24" t="s">
        <v>21</v>
      </c>
      <c r="R6936" s="24" t="s">
        <v>21</v>
      </c>
      <c r="S6936" s="24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5">
        <v>0</v>
      </c>
      <c r="E6937" s="5">
        <v>0</v>
      </c>
      <c r="F6937" s="5" t="s">
        <v>22</v>
      </c>
      <c r="G6937" s="15" t="s">
        <v>22</v>
      </c>
      <c r="H6937" s="24">
        <v>0</v>
      </c>
      <c r="I6937" s="24" t="s">
        <v>21</v>
      </c>
      <c r="J6937" s="24" t="s">
        <v>21</v>
      </c>
      <c r="K6937" s="24" t="s">
        <v>21</v>
      </c>
      <c r="L6937" s="24" t="s">
        <v>21</v>
      </c>
      <c r="M6937" s="24" t="s">
        <v>21</v>
      </c>
      <c r="N6937" s="24" t="s">
        <v>21</v>
      </c>
      <c r="O6937" s="24" t="s">
        <v>21</v>
      </c>
      <c r="P6937" s="24" t="s">
        <v>21</v>
      </c>
      <c r="Q6937" s="24" t="s">
        <v>21</v>
      </c>
      <c r="R6937" s="24" t="s">
        <v>21</v>
      </c>
      <c r="S6937" s="24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5">
        <v>0</v>
      </c>
      <c r="E6938" s="5">
        <v>0</v>
      </c>
      <c r="F6938" s="5" t="s">
        <v>22</v>
      </c>
      <c r="G6938" s="15" t="s">
        <v>22</v>
      </c>
      <c r="H6938" s="24">
        <v>0</v>
      </c>
      <c r="I6938" s="24" t="s">
        <v>21</v>
      </c>
      <c r="J6938" s="24" t="s">
        <v>21</v>
      </c>
      <c r="K6938" s="24" t="s">
        <v>21</v>
      </c>
      <c r="L6938" s="24" t="s">
        <v>21</v>
      </c>
      <c r="M6938" s="24" t="s">
        <v>21</v>
      </c>
      <c r="N6938" s="24" t="s">
        <v>21</v>
      </c>
      <c r="O6938" s="24" t="s">
        <v>21</v>
      </c>
      <c r="P6938" s="24" t="s">
        <v>21</v>
      </c>
      <c r="Q6938" s="24">
        <v>2723.0000000016298</v>
      </c>
      <c r="R6938" s="24" t="s">
        <v>21</v>
      </c>
      <c r="S6938" s="24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5">
        <v>0</v>
      </c>
      <c r="E6939" s="5">
        <v>0</v>
      </c>
      <c r="F6939" s="5" t="s">
        <v>22</v>
      </c>
      <c r="G6939" s="15" t="s">
        <v>22</v>
      </c>
      <c r="H6939" s="24">
        <v>100.00000000116415</v>
      </c>
      <c r="I6939" s="24" t="s">
        <v>21</v>
      </c>
      <c r="J6939" s="24" t="s">
        <v>21</v>
      </c>
      <c r="K6939" s="24" t="s">
        <v>21</v>
      </c>
      <c r="L6939" s="24" t="s">
        <v>21</v>
      </c>
      <c r="M6939" s="24" t="s">
        <v>21</v>
      </c>
      <c r="N6939" s="24" t="s">
        <v>21</v>
      </c>
      <c r="O6939" s="24" t="s">
        <v>21</v>
      </c>
      <c r="P6939" s="24" t="s">
        <v>21</v>
      </c>
      <c r="Q6939" s="24" t="s">
        <v>21</v>
      </c>
      <c r="R6939" s="24">
        <v>15911.000000000931</v>
      </c>
      <c r="S6939" s="24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5">
        <v>0</v>
      </c>
      <c r="E6940" s="5">
        <v>0</v>
      </c>
      <c r="F6940" s="5" t="s">
        <v>22</v>
      </c>
      <c r="G6940" s="15" t="s">
        <v>22</v>
      </c>
      <c r="H6940" s="24">
        <v>4.0000000025611371</v>
      </c>
      <c r="I6940" s="24" t="s">
        <v>21</v>
      </c>
      <c r="J6940" s="24" t="s">
        <v>21</v>
      </c>
      <c r="K6940" s="24" t="s">
        <v>21</v>
      </c>
      <c r="L6940" s="24" t="s">
        <v>21</v>
      </c>
      <c r="M6940" s="24" t="s">
        <v>21</v>
      </c>
      <c r="N6940" s="24" t="s">
        <v>21</v>
      </c>
      <c r="O6940" s="24" t="s">
        <v>21</v>
      </c>
      <c r="P6940" s="24" t="s">
        <v>21</v>
      </c>
      <c r="Q6940" s="24">
        <v>104.00000000372529</v>
      </c>
      <c r="R6940" s="24" t="s">
        <v>21</v>
      </c>
      <c r="S6940" s="24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5">
        <v>0</v>
      </c>
      <c r="E6941" s="5">
        <v>0</v>
      </c>
      <c r="F6941" s="5" t="s">
        <v>22</v>
      </c>
      <c r="G6941" s="15" t="s">
        <v>22</v>
      </c>
      <c r="H6941" s="24">
        <v>0.99999999278225005</v>
      </c>
      <c r="I6941" s="24" t="s">
        <v>21</v>
      </c>
      <c r="J6941" s="24" t="s">
        <v>21</v>
      </c>
      <c r="K6941" s="24" t="s">
        <v>21</v>
      </c>
      <c r="L6941" s="24" t="s">
        <v>21</v>
      </c>
      <c r="M6941" s="24" t="s">
        <v>21</v>
      </c>
      <c r="N6941" s="24" t="s">
        <v>21</v>
      </c>
      <c r="O6941" s="24" t="s">
        <v>21</v>
      </c>
      <c r="P6941" s="24" t="s">
        <v>21</v>
      </c>
      <c r="Q6941" s="24">
        <v>0.99999999278225005</v>
      </c>
      <c r="R6941" s="24" t="s">
        <v>21</v>
      </c>
      <c r="S6941" s="24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5">
        <v>0</v>
      </c>
      <c r="E6942" s="5">
        <v>0</v>
      </c>
      <c r="F6942" s="5" t="s">
        <v>22</v>
      </c>
      <c r="G6942" s="15" t="s">
        <v>22</v>
      </c>
      <c r="H6942" s="24">
        <v>0</v>
      </c>
      <c r="I6942" s="24" t="s">
        <v>21</v>
      </c>
      <c r="J6942" s="24" t="s">
        <v>21</v>
      </c>
      <c r="K6942" s="24" t="s">
        <v>21</v>
      </c>
      <c r="L6942" s="24" t="s">
        <v>21</v>
      </c>
      <c r="M6942" s="24" t="s">
        <v>21</v>
      </c>
      <c r="N6942" s="24" t="s">
        <v>21</v>
      </c>
      <c r="O6942" s="24" t="s">
        <v>21</v>
      </c>
      <c r="P6942" s="24" t="s">
        <v>21</v>
      </c>
      <c r="Q6942" s="24" t="s">
        <v>21</v>
      </c>
      <c r="R6942" s="24" t="s">
        <v>21</v>
      </c>
      <c r="S6942" s="24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5">
        <v>0</v>
      </c>
      <c r="E6943" s="5">
        <v>0</v>
      </c>
      <c r="F6943" s="5" t="s">
        <v>22</v>
      </c>
      <c r="G6943" s="15" t="s">
        <v>22</v>
      </c>
      <c r="H6943" s="24">
        <v>2.000000006519258</v>
      </c>
      <c r="I6943" s="24" t="s">
        <v>21</v>
      </c>
      <c r="J6943" s="24" t="s">
        <v>21</v>
      </c>
      <c r="K6943" s="24" t="s">
        <v>21</v>
      </c>
      <c r="L6943" s="24" t="s">
        <v>21</v>
      </c>
      <c r="M6943" s="24" t="s">
        <v>21</v>
      </c>
      <c r="N6943" s="24" t="s">
        <v>21</v>
      </c>
      <c r="O6943" s="24" t="s">
        <v>21</v>
      </c>
      <c r="P6943" s="24" t="s">
        <v>21</v>
      </c>
      <c r="Q6943" s="24">
        <v>2.000000006519258</v>
      </c>
      <c r="R6943" s="24" t="s">
        <v>21</v>
      </c>
      <c r="S6943" s="24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5">
        <v>0</v>
      </c>
      <c r="E6944" s="5">
        <v>0</v>
      </c>
      <c r="F6944" s="5" t="s">
        <v>22</v>
      </c>
      <c r="G6944" s="15" t="s">
        <v>22</v>
      </c>
      <c r="H6944" s="24">
        <v>0.99999999278225005</v>
      </c>
      <c r="I6944" s="24" t="s">
        <v>21</v>
      </c>
      <c r="J6944" s="24" t="s">
        <v>21</v>
      </c>
      <c r="K6944" s="24" t="s">
        <v>21</v>
      </c>
      <c r="L6944" s="24" t="s">
        <v>21</v>
      </c>
      <c r="M6944" s="24" t="s">
        <v>21</v>
      </c>
      <c r="N6944" s="24" t="s">
        <v>21</v>
      </c>
      <c r="O6944" s="24" t="s">
        <v>21</v>
      </c>
      <c r="P6944" s="24" t="s">
        <v>21</v>
      </c>
      <c r="Q6944" s="24">
        <v>0.99999999278225005</v>
      </c>
      <c r="R6944" s="24" t="s">
        <v>21</v>
      </c>
      <c r="S6944" s="24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5">
        <v>0</v>
      </c>
      <c r="E6945" s="5">
        <v>0</v>
      </c>
      <c r="F6945" s="5" t="s">
        <v>22</v>
      </c>
      <c r="G6945" s="15" t="s">
        <v>22</v>
      </c>
      <c r="H6945" s="24">
        <v>2.000000006519258</v>
      </c>
      <c r="I6945" s="24" t="s">
        <v>21</v>
      </c>
      <c r="J6945" s="24" t="s">
        <v>21</v>
      </c>
      <c r="K6945" s="24" t="s">
        <v>21</v>
      </c>
      <c r="L6945" s="24" t="s">
        <v>21</v>
      </c>
      <c r="M6945" s="24" t="s">
        <v>21</v>
      </c>
      <c r="N6945" s="24" t="s">
        <v>21</v>
      </c>
      <c r="O6945" s="24">
        <v>1423.0000000074506</v>
      </c>
      <c r="P6945" s="24" t="s">
        <v>21</v>
      </c>
      <c r="Q6945" s="24" t="s">
        <v>21</v>
      </c>
      <c r="R6945" s="24" t="s">
        <v>21</v>
      </c>
      <c r="S6945" s="24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5">
        <v>0</v>
      </c>
      <c r="E6946" s="5">
        <v>0</v>
      </c>
      <c r="F6946" s="5" t="s">
        <v>22</v>
      </c>
      <c r="G6946" s="15" t="s">
        <v>22</v>
      </c>
      <c r="H6946" s="24">
        <v>21.999999998370185</v>
      </c>
      <c r="I6946" s="24" t="s">
        <v>21</v>
      </c>
      <c r="J6946" s="24" t="s">
        <v>21</v>
      </c>
      <c r="K6946" s="24" t="s">
        <v>21</v>
      </c>
      <c r="L6946" s="24">
        <v>1592.999999995809</v>
      </c>
      <c r="M6946" s="24" t="s">
        <v>21</v>
      </c>
      <c r="N6946" s="24" t="s">
        <v>21</v>
      </c>
      <c r="O6946" s="24" t="s">
        <v>21</v>
      </c>
      <c r="P6946" s="24" t="s">
        <v>21</v>
      </c>
      <c r="Q6946" s="24" t="s">
        <v>21</v>
      </c>
      <c r="R6946" s="24" t="s">
        <v>21</v>
      </c>
      <c r="S6946" s="24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5">
        <v>0</v>
      </c>
      <c r="E6947" s="5">
        <v>0</v>
      </c>
      <c r="F6947" s="5" t="s">
        <v>22</v>
      </c>
      <c r="G6947" s="15" t="s">
        <v>22</v>
      </c>
      <c r="H6947" s="24">
        <v>1.000000003259629</v>
      </c>
      <c r="I6947" s="24" t="s">
        <v>21</v>
      </c>
      <c r="J6947" s="24" t="s">
        <v>21</v>
      </c>
      <c r="K6947" s="24" t="s">
        <v>21</v>
      </c>
      <c r="L6947" s="24">
        <v>1.000000003259629</v>
      </c>
      <c r="M6947" s="24" t="s">
        <v>21</v>
      </c>
      <c r="N6947" s="24" t="s">
        <v>21</v>
      </c>
      <c r="O6947" s="24" t="s">
        <v>21</v>
      </c>
      <c r="P6947" s="24" t="s">
        <v>21</v>
      </c>
      <c r="Q6947" s="24" t="s">
        <v>21</v>
      </c>
      <c r="R6947" s="24" t="s">
        <v>21</v>
      </c>
      <c r="S6947" s="24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5">
        <v>0</v>
      </c>
      <c r="E6948" s="5">
        <v>0</v>
      </c>
      <c r="F6948" s="5" t="s">
        <v>22</v>
      </c>
      <c r="G6948" s="15" t="s">
        <v>22</v>
      </c>
      <c r="H6948" s="24">
        <v>3.9999999920837581</v>
      </c>
      <c r="I6948" s="24" t="s">
        <v>21</v>
      </c>
      <c r="J6948" s="24" t="s">
        <v>21</v>
      </c>
      <c r="K6948" s="24" t="s">
        <v>21</v>
      </c>
      <c r="L6948" s="24">
        <v>3.9999999920837581</v>
      </c>
      <c r="M6948" s="24" t="s">
        <v>21</v>
      </c>
      <c r="N6948" s="24" t="s">
        <v>21</v>
      </c>
      <c r="O6948" s="24" t="s">
        <v>21</v>
      </c>
      <c r="P6948" s="24" t="s">
        <v>21</v>
      </c>
      <c r="Q6948" s="24" t="s">
        <v>21</v>
      </c>
      <c r="R6948" s="24" t="s">
        <v>21</v>
      </c>
      <c r="S6948" s="24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5">
        <v>0</v>
      </c>
      <c r="E6949" s="5">
        <v>0</v>
      </c>
      <c r="F6949" s="5" t="s">
        <v>22</v>
      </c>
      <c r="G6949" s="15" t="s">
        <v>22</v>
      </c>
      <c r="H6949" s="24">
        <v>181.00000000325963</v>
      </c>
      <c r="I6949" s="24">
        <v>1434.000000001397</v>
      </c>
      <c r="J6949" s="24" t="s">
        <v>21</v>
      </c>
      <c r="K6949" s="24" t="s">
        <v>21</v>
      </c>
      <c r="L6949" s="24" t="s">
        <v>21</v>
      </c>
      <c r="M6949" s="24" t="s">
        <v>21</v>
      </c>
      <c r="N6949" s="24" t="s">
        <v>21</v>
      </c>
      <c r="O6949" s="24" t="s">
        <v>21</v>
      </c>
      <c r="P6949" s="24" t="s">
        <v>21</v>
      </c>
      <c r="Q6949" s="24" t="s">
        <v>21</v>
      </c>
      <c r="R6949" s="24" t="s">
        <v>21</v>
      </c>
      <c r="S6949" s="24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5">
        <v>0</v>
      </c>
      <c r="E6950" s="5">
        <v>0</v>
      </c>
      <c r="F6950" s="5" t="s">
        <v>22</v>
      </c>
      <c r="G6950" s="15" t="s">
        <v>22</v>
      </c>
      <c r="H6950" s="24">
        <v>1.000000003259629</v>
      </c>
      <c r="I6950" s="24">
        <v>1.000000003259629</v>
      </c>
      <c r="J6950" s="24" t="s">
        <v>21</v>
      </c>
      <c r="K6950" s="24" t="s">
        <v>21</v>
      </c>
      <c r="L6950" s="24" t="s">
        <v>21</v>
      </c>
      <c r="M6950" s="24" t="s">
        <v>21</v>
      </c>
      <c r="N6950" s="24" t="s">
        <v>21</v>
      </c>
      <c r="O6950" s="24" t="s">
        <v>21</v>
      </c>
      <c r="P6950" s="24" t="s">
        <v>21</v>
      </c>
      <c r="Q6950" s="24" t="s">
        <v>21</v>
      </c>
      <c r="R6950" s="24" t="s">
        <v>21</v>
      </c>
      <c r="S6950" s="24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5">
        <v>0</v>
      </c>
      <c r="E6951" s="5">
        <v>0</v>
      </c>
      <c r="F6951" s="5" t="s">
        <v>22</v>
      </c>
      <c r="G6951" s="15" t="s">
        <v>22</v>
      </c>
      <c r="H6951" s="24">
        <v>0.99999999278225005</v>
      </c>
      <c r="I6951" s="24">
        <v>0.99999999278225005</v>
      </c>
      <c r="J6951" s="24" t="s">
        <v>21</v>
      </c>
      <c r="K6951" s="24" t="s">
        <v>21</v>
      </c>
      <c r="L6951" s="24" t="s">
        <v>21</v>
      </c>
      <c r="M6951" s="24" t="s">
        <v>21</v>
      </c>
      <c r="N6951" s="24" t="s">
        <v>21</v>
      </c>
      <c r="O6951" s="24" t="s">
        <v>21</v>
      </c>
      <c r="P6951" s="24" t="s">
        <v>21</v>
      </c>
      <c r="Q6951" s="24" t="s">
        <v>21</v>
      </c>
      <c r="R6951" s="24" t="s">
        <v>21</v>
      </c>
      <c r="S6951" s="24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7">
        <v>0</v>
      </c>
      <c r="E6952" s="7">
        <v>0</v>
      </c>
      <c r="F6952" s="7" t="s">
        <v>22</v>
      </c>
      <c r="G6952" s="16" t="s">
        <v>22</v>
      </c>
      <c r="H6952" s="25">
        <v>19.000000009546056</v>
      </c>
      <c r="I6952" s="25">
        <v>19.000000009546056</v>
      </c>
      <c r="J6952" s="25" t="s">
        <v>21</v>
      </c>
      <c r="K6952" s="25" t="s">
        <v>21</v>
      </c>
      <c r="L6952" s="25" t="s">
        <v>21</v>
      </c>
      <c r="M6952" s="25" t="s">
        <v>21</v>
      </c>
      <c r="N6952" s="25" t="s">
        <v>21</v>
      </c>
      <c r="O6952" s="25" t="s">
        <v>21</v>
      </c>
      <c r="P6952" s="25" t="s">
        <v>21</v>
      </c>
      <c r="Q6952" s="25" t="s">
        <v>21</v>
      </c>
      <c r="R6952" s="25" t="s">
        <v>21</v>
      </c>
      <c r="S6952" s="25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5">
        <v>0</v>
      </c>
      <c r="E6953" s="5">
        <v>0</v>
      </c>
      <c r="F6953" s="5" t="s">
        <v>22</v>
      </c>
      <c r="G6953" s="15" t="s">
        <v>22</v>
      </c>
      <c r="H6953" s="24">
        <v>1129.9999999953434</v>
      </c>
      <c r="I6953" s="24" t="s">
        <v>21</v>
      </c>
      <c r="J6953" s="24" t="s">
        <v>21</v>
      </c>
      <c r="K6953" s="24" t="s">
        <v>21</v>
      </c>
      <c r="L6953" s="24">
        <v>1332.000000004191</v>
      </c>
      <c r="M6953" s="24" t="s">
        <v>21</v>
      </c>
      <c r="N6953" s="24" t="s">
        <v>21</v>
      </c>
      <c r="O6953" s="24" t="s">
        <v>21</v>
      </c>
      <c r="P6953" s="24" t="s">
        <v>21</v>
      </c>
      <c r="Q6953" s="24" t="s">
        <v>21</v>
      </c>
      <c r="R6953" s="24" t="s">
        <v>21</v>
      </c>
      <c r="S6953" s="24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5">
        <v>0</v>
      </c>
      <c r="E6954" s="5">
        <v>0</v>
      </c>
      <c r="F6954" s="5" t="s">
        <v>22</v>
      </c>
      <c r="G6954" s="15" t="s">
        <v>22</v>
      </c>
      <c r="H6954" s="24">
        <v>40.000000004656613</v>
      </c>
      <c r="I6954" s="24" t="s">
        <v>21</v>
      </c>
      <c r="J6954" s="24" t="s">
        <v>21</v>
      </c>
      <c r="K6954" s="24" t="s">
        <v>21</v>
      </c>
      <c r="L6954" s="24">
        <v>40.000000004656613</v>
      </c>
      <c r="M6954" s="24" t="s">
        <v>21</v>
      </c>
      <c r="N6954" s="24" t="s">
        <v>21</v>
      </c>
      <c r="O6954" s="24" t="s">
        <v>21</v>
      </c>
      <c r="P6954" s="24" t="s">
        <v>21</v>
      </c>
      <c r="Q6954" s="24" t="s">
        <v>21</v>
      </c>
      <c r="R6954" s="24" t="s">
        <v>21</v>
      </c>
      <c r="S6954" s="24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5">
        <v>0</v>
      </c>
      <c r="E6955" s="5">
        <v>0</v>
      </c>
      <c r="F6955" s="5" t="s">
        <v>22</v>
      </c>
      <c r="G6955" s="15" t="s">
        <v>22</v>
      </c>
      <c r="H6955" s="24">
        <v>10.999999993946403</v>
      </c>
      <c r="I6955" s="24" t="s">
        <v>21</v>
      </c>
      <c r="J6955" s="24" t="s">
        <v>21</v>
      </c>
      <c r="K6955" s="24">
        <v>2788.9999999967404</v>
      </c>
      <c r="L6955" s="24" t="s">
        <v>21</v>
      </c>
      <c r="M6955" s="24" t="s">
        <v>21</v>
      </c>
      <c r="N6955" s="24" t="s">
        <v>21</v>
      </c>
      <c r="O6955" s="24" t="s">
        <v>21</v>
      </c>
      <c r="P6955" s="24" t="s">
        <v>21</v>
      </c>
      <c r="Q6955" s="24" t="s">
        <v>21</v>
      </c>
      <c r="R6955" s="24" t="s">
        <v>21</v>
      </c>
      <c r="S6955" s="24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5">
        <v>0</v>
      </c>
      <c r="E6956" s="5">
        <v>0</v>
      </c>
      <c r="F6956" s="5" t="s">
        <v>22</v>
      </c>
      <c r="G6956" s="15" t="s">
        <v>22</v>
      </c>
      <c r="H6956" s="24">
        <v>0</v>
      </c>
      <c r="I6956" s="24" t="s">
        <v>21</v>
      </c>
      <c r="J6956" s="24">
        <v>3152.9999999993015</v>
      </c>
      <c r="K6956" s="24" t="s">
        <v>21</v>
      </c>
      <c r="L6956" s="24" t="s">
        <v>21</v>
      </c>
      <c r="M6956" s="24" t="s">
        <v>21</v>
      </c>
      <c r="N6956" s="24" t="s">
        <v>21</v>
      </c>
      <c r="O6956" s="24" t="s">
        <v>21</v>
      </c>
      <c r="P6956" s="24" t="s">
        <v>21</v>
      </c>
      <c r="Q6956" s="24" t="s">
        <v>21</v>
      </c>
      <c r="R6956" s="24" t="s">
        <v>21</v>
      </c>
      <c r="S6956" s="24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5">
        <v>0</v>
      </c>
      <c r="E6957" s="5">
        <v>0</v>
      </c>
      <c r="F6957" s="5" t="s">
        <v>22</v>
      </c>
      <c r="G6957" s="15" t="s">
        <v>22</v>
      </c>
      <c r="H6957" s="24">
        <v>0</v>
      </c>
      <c r="I6957" s="24" t="s">
        <v>21</v>
      </c>
      <c r="J6957" s="24" t="s">
        <v>21</v>
      </c>
      <c r="K6957" s="24">
        <v>0</v>
      </c>
      <c r="L6957" s="24" t="s">
        <v>21</v>
      </c>
      <c r="M6957" s="24" t="s">
        <v>21</v>
      </c>
      <c r="N6957" s="24" t="s">
        <v>21</v>
      </c>
      <c r="O6957" s="24" t="s">
        <v>21</v>
      </c>
      <c r="P6957" s="24" t="s">
        <v>21</v>
      </c>
      <c r="Q6957" s="24" t="s">
        <v>21</v>
      </c>
      <c r="R6957" s="24" t="s">
        <v>21</v>
      </c>
      <c r="S6957" s="24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5">
        <v>0</v>
      </c>
      <c r="E6958" s="5">
        <v>0</v>
      </c>
      <c r="F6958" s="5" t="s">
        <v>22</v>
      </c>
      <c r="G6958" s="15" t="s">
        <v>22</v>
      </c>
      <c r="H6958" s="24">
        <v>0</v>
      </c>
      <c r="I6958" s="24" t="s">
        <v>21</v>
      </c>
      <c r="J6958" s="24">
        <v>0</v>
      </c>
      <c r="K6958" s="24" t="s">
        <v>21</v>
      </c>
      <c r="L6958" s="24" t="s">
        <v>21</v>
      </c>
      <c r="M6958" s="24" t="s">
        <v>21</v>
      </c>
      <c r="N6958" s="24" t="s">
        <v>21</v>
      </c>
      <c r="O6958" s="24" t="s">
        <v>21</v>
      </c>
      <c r="P6958" s="24" t="s">
        <v>21</v>
      </c>
      <c r="Q6958" s="24" t="s">
        <v>21</v>
      </c>
      <c r="R6958" s="24" t="s">
        <v>21</v>
      </c>
      <c r="S6958" s="24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5">
        <v>0</v>
      </c>
      <c r="E6959" s="5">
        <v>0</v>
      </c>
      <c r="F6959" s="5" t="s">
        <v>22</v>
      </c>
      <c r="G6959" s="15" t="s">
        <v>22</v>
      </c>
      <c r="H6959" s="24">
        <v>1.9999999960418791</v>
      </c>
      <c r="I6959" s="24" t="s">
        <v>21</v>
      </c>
      <c r="J6959" s="24">
        <v>1.9999999960418791</v>
      </c>
      <c r="K6959" s="24" t="s">
        <v>21</v>
      </c>
      <c r="L6959" s="24" t="s">
        <v>21</v>
      </c>
      <c r="M6959" s="24" t="s">
        <v>21</v>
      </c>
      <c r="N6959" s="24" t="s">
        <v>21</v>
      </c>
      <c r="O6959" s="24" t="s">
        <v>21</v>
      </c>
      <c r="P6959" s="24" t="s">
        <v>21</v>
      </c>
      <c r="Q6959" s="24" t="s">
        <v>21</v>
      </c>
      <c r="R6959" s="24" t="s">
        <v>21</v>
      </c>
      <c r="S6959" s="24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5">
        <v>0</v>
      </c>
      <c r="E6960" s="5">
        <v>0</v>
      </c>
      <c r="F6960" s="5" t="s">
        <v>22</v>
      </c>
      <c r="G6960" s="15" t="s">
        <v>22</v>
      </c>
      <c r="H6960" s="24">
        <v>129.00000000139698</v>
      </c>
      <c r="I6960" s="24" t="s">
        <v>21</v>
      </c>
      <c r="J6960" s="24" t="s">
        <v>21</v>
      </c>
      <c r="K6960" s="24" t="s">
        <v>21</v>
      </c>
      <c r="L6960" s="24" t="s">
        <v>21</v>
      </c>
      <c r="M6960" s="24" t="s">
        <v>21</v>
      </c>
      <c r="N6960" s="24" t="s">
        <v>21</v>
      </c>
      <c r="O6960" s="24">
        <v>1540.9999999939464</v>
      </c>
      <c r="P6960" s="24" t="s">
        <v>21</v>
      </c>
      <c r="Q6960" s="24" t="s">
        <v>21</v>
      </c>
      <c r="R6960" s="24" t="s">
        <v>21</v>
      </c>
      <c r="S6960" s="24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5">
        <v>0</v>
      </c>
      <c r="E6961" s="5">
        <v>0</v>
      </c>
      <c r="F6961" s="5" t="s">
        <v>22</v>
      </c>
      <c r="G6961" s="15" t="s">
        <v>22</v>
      </c>
      <c r="H6961" s="24">
        <v>0</v>
      </c>
      <c r="I6961" s="24" t="s">
        <v>21</v>
      </c>
      <c r="J6961" s="24" t="s">
        <v>21</v>
      </c>
      <c r="K6961" s="24" t="s">
        <v>21</v>
      </c>
      <c r="L6961" s="24" t="s">
        <v>21</v>
      </c>
      <c r="M6961" s="24" t="s">
        <v>21</v>
      </c>
      <c r="N6961" s="24" t="s">
        <v>21</v>
      </c>
      <c r="O6961" s="24">
        <v>0</v>
      </c>
      <c r="P6961" s="24" t="s">
        <v>21</v>
      </c>
      <c r="Q6961" s="24" t="s">
        <v>21</v>
      </c>
      <c r="R6961" s="24" t="s">
        <v>21</v>
      </c>
      <c r="S6961" s="24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7">
        <v>0</v>
      </c>
      <c r="E6962" s="7">
        <v>0</v>
      </c>
      <c r="F6962" s="7" t="s">
        <v>22</v>
      </c>
      <c r="G6962" s="16" t="s">
        <v>22</v>
      </c>
      <c r="H6962" s="25">
        <v>1.000000003259629</v>
      </c>
      <c r="I6962" s="25" t="s">
        <v>21</v>
      </c>
      <c r="J6962" s="25" t="s">
        <v>21</v>
      </c>
      <c r="K6962" s="25" t="s">
        <v>21</v>
      </c>
      <c r="L6962" s="25" t="s">
        <v>21</v>
      </c>
      <c r="M6962" s="25" t="s">
        <v>21</v>
      </c>
      <c r="N6962" s="25" t="s">
        <v>21</v>
      </c>
      <c r="O6962" s="25">
        <v>1.000000003259629</v>
      </c>
      <c r="P6962" s="25" t="s">
        <v>21</v>
      </c>
      <c r="Q6962" s="25" t="s">
        <v>21</v>
      </c>
      <c r="R6962" s="25" t="s">
        <v>21</v>
      </c>
      <c r="S6962" s="25" t="s">
        <v>21</v>
      </c>
    </row>
    <row r="6963" spans="1:19" x14ac:dyDescent="0.2">
      <c r="A6963" s="39">
        <v>45996</v>
      </c>
      <c r="B6963" s="40" t="s">
        <v>3</v>
      </c>
      <c r="C6963" s="41">
        <v>0.73611111111111116</v>
      </c>
      <c r="D6963" s="40">
        <v>0</v>
      </c>
      <c r="E6963" s="40">
        <v>0</v>
      </c>
      <c r="F6963" s="40" t="s">
        <v>22</v>
      </c>
      <c r="G6963" s="42" t="s">
        <v>22</v>
      </c>
      <c r="H6963" s="43">
        <f t="shared" ref="H6963:H6999" si="1308">IFERROR((($A6963+$C6963) - ($A6962+$C6962))*24*60, "")</f>
        <v>1567.9999999981374</v>
      </c>
      <c r="I6963" s="43" cm="1">
        <f t="array" ref="I6963">IFERROR(IF($B6963=I$1, ($A6963+$C6963) - MAX(IF($B$2:$B6962=$B6963, $A$2:$A6962+$C$2:$C6962)), "")*24*60, "")</f>
        <v>2880.9999999927823</v>
      </c>
      <c r="J6963" s="43" t="str" cm="1">
        <f t="array" ref="J6963">IFERROR(IF($B6963=J$1, ($A6963+$C6963) - MAX(IF($B$2:$B6962=$B6963, $A$2:$A6962+$C$2:$C6962)), "")*24*60, "")</f>
        <v/>
      </c>
      <c r="K6963" s="43" t="str" cm="1">
        <f t="array" ref="K6963">IFERROR(IF($B6963=K$1, ($A6963+$C6963) - MAX(IF($B$2:$B6962=$B6963, $A$2:$A6962+$C$2:$C6962)), "")*24*60, "")</f>
        <v/>
      </c>
      <c r="L6963" s="43" t="str" cm="1">
        <f t="array" ref="L6963">IFERROR(IF($B6963=L$1, ($A6963+$C6963) - MAX(IF($B$2:$B6962=$B6963, $A$2:$A6962+$C$2:$C6962)), "")*24*60, "")</f>
        <v/>
      </c>
      <c r="M6963" s="43" t="str" cm="1">
        <f t="array" ref="M6963">IFERROR(IF($B6963=M$1, ($A6963+$C6963) - MAX(IF($B$2:$B6962=$B6963, $A$2:$A6962+$C$2:$C6962)), "")*24*60, "")</f>
        <v/>
      </c>
      <c r="N6963" s="43" t="str" cm="1">
        <f t="array" ref="N6963">IFERROR(IF($B6963=N$1, ($A6963+$C6963) - MAX(IF($B$2:$B6962=$B6963, $A$2:$A6962+$C$2:$C6962)), "")*24*60, "")</f>
        <v/>
      </c>
      <c r="O6963" s="43" t="str" cm="1">
        <f t="array" ref="O6963">IFERROR(IF($B6963=O$1, ($A6963+$C6963) - MAX(IF($B$2:$B6962=$B6963, $A$2:$A6962+$C$2:$C6962)), "")*24*60, "")</f>
        <v/>
      </c>
      <c r="P6963" s="43" t="str" cm="1">
        <f t="array" ref="P6963">IFERROR(IF($B6963=P$1, ($A6963+$C6963) - MAX(IF($B$2:$B6962=$B6963, $A$2:$A6962+$C$2:$C6962)), "")*24*60, "")</f>
        <v/>
      </c>
      <c r="Q6963" s="43" t="str" cm="1">
        <f t="array" ref="Q6963">IFERROR(IF($B6963=Q$1, ($A6963+$C6963) - MAX(IF($B$2:$B6962=$B6963, $A$2:$A6962+$C$2:$C6962)), "")*24*60, "")</f>
        <v/>
      </c>
      <c r="R6963" s="43" t="str" cm="1">
        <f t="array" ref="R6963">IFERROR(IF($B6963=R$1, ($A6963+$C6963) - MAX(IF($B$2:$B6962=$B6963, $A$2:$A6962+$C$2:$C6962)), "")*24*60, "")</f>
        <v/>
      </c>
      <c r="S6963" s="43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5">
        <v>0</v>
      </c>
      <c r="E6964" s="5">
        <v>0</v>
      </c>
      <c r="F6964" s="5" t="s">
        <v>22</v>
      </c>
      <c r="G6964" s="15" t="s">
        <v>22</v>
      </c>
      <c r="H6964" s="24">
        <v>1193.0000000016298</v>
      </c>
      <c r="I6964" s="24" t="s">
        <v>21</v>
      </c>
      <c r="J6964" s="24" t="s">
        <v>21</v>
      </c>
      <c r="K6964" s="24" t="s">
        <v>21</v>
      </c>
      <c r="L6964" s="24">
        <v>2903.9999999944121</v>
      </c>
      <c r="M6964" s="24" t="s">
        <v>21</v>
      </c>
      <c r="N6964" s="24" t="s">
        <v>21</v>
      </c>
      <c r="O6964" s="24" t="s">
        <v>21</v>
      </c>
      <c r="P6964" s="24" t="s">
        <v>21</v>
      </c>
      <c r="Q6964" s="24" t="s">
        <v>21</v>
      </c>
      <c r="R6964" s="24" t="s">
        <v>21</v>
      </c>
      <c r="S6964" s="24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7">
        <v>0</v>
      </c>
      <c r="E6965" s="7">
        <v>0</v>
      </c>
      <c r="F6965" s="7" t="s">
        <v>22</v>
      </c>
      <c r="G6965" s="16" t="s">
        <v>22</v>
      </c>
      <c r="H6965" s="25">
        <v>230.99999999860302</v>
      </c>
      <c r="I6965" s="25">
        <v>1424.0000000002328</v>
      </c>
      <c r="J6965" s="25" t="s">
        <v>21</v>
      </c>
      <c r="K6965" s="25" t="s">
        <v>21</v>
      </c>
      <c r="L6965" s="25" t="s">
        <v>21</v>
      </c>
      <c r="M6965" s="25" t="s">
        <v>21</v>
      </c>
      <c r="N6965" s="25" t="s">
        <v>21</v>
      </c>
      <c r="O6965" s="25" t="s">
        <v>21</v>
      </c>
      <c r="P6965" s="25" t="s">
        <v>21</v>
      </c>
      <c r="Q6965" s="25" t="s">
        <v>21</v>
      </c>
      <c r="R6965" s="25" t="s">
        <v>21</v>
      </c>
      <c r="S6965" s="25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5">
        <v>0</v>
      </c>
      <c r="E6966" s="5">
        <v>0</v>
      </c>
      <c r="F6966" s="5" t="s">
        <v>22</v>
      </c>
      <c r="G6966" s="15" t="s">
        <v>22</v>
      </c>
      <c r="H6966" s="24">
        <f t="shared" si="1308"/>
        <v>904.00000000256114</v>
      </c>
      <c r="I6966" s="24" t="str" cm="1">
        <f t="array" ref="I6966">IFERROR(IF($B6966=I$1, ($A6966+$C6966) - MAX(IF($B$2:$B6965=$B6966, $A$2:$A6965+$C$2:$C6965)), "")*24*60, "")</f>
        <v/>
      </c>
      <c r="J6966" s="24" t="str" cm="1">
        <f t="array" ref="J6966">IFERROR(IF($B6966=J$1, ($A6966+$C6966) - MAX(IF($B$2:$B6965=$B6966, $A$2:$A6965+$C$2:$C6965)), "")*24*60, "")</f>
        <v/>
      </c>
      <c r="K6966" s="24" t="str" cm="1">
        <f t="array" ref="K6966">IFERROR(IF($B6966=K$1, ($A6966+$C6966) - MAX(IF($B$2:$B6965=$B6966, $A$2:$A6965+$C$2:$C6965)), "")*24*60, "")</f>
        <v/>
      </c>
      <c r="L6966" s="24" t="str" cm="1">
        <f t="array" ref="L6966">IFERROR(IF($B6966=L$1, ($A6966+$C6966) - MAX(IF($B$2:$B6965=$B6966, $A$2:$A6965+$C$2:$C6965)), "")*24*60, "")</f>
        <v/>
      </c>
      <c r="M6966" s="24" t="str" cm="1">
        <f t="array" ref="M6966">IFERROR(IF($B6966=M$1, ($A6966+$C6966) - MAX(IF($B$2:$B6965=$B6966, $A$2:$A6965+$C$2:$C6965)), "")*24*60, "")</f>
        <v/>
      </c>
      <c r="N6966" s="24" cm="1">
        <f t="array" ref="N6966">IFERROR(IF($B6966=N$1, ($A6966+$C6966) - MAX(IF($B$2:$B6965=$B6966, $A$2:$A6965+$C$2:$C6965)), "")*24*60, "")</f>
        <v>8377.0000000018626</v>
      </c>
      <c r="O6966" s="24" t="str" cm="1">
        <f t="array" ref="O6966">IFERROR(IF($B6966=O$1, ($A6966+$C6966) - MAX(IF($B$2:$B6965=$B6966, $A$2:$A6965+$C$2:$C6965)), "")*24*60, "")</f>
        <v/>
      </c>
      <c r="P6966" s="24" t="str" cm="1">
        <f t="array" ref="P6966">IFERROR(IF($B6966=P$1, ($A6966+$C6966) - MAX(IF($B$2:$B6965=$B6966, $A$2:$A6965+$C$2:$C6965)), "")*24*60, "")</f>
        <v/>
      </c>
      <c r="Q6966" s="24" t="str" cm="1">
        <f t="array" ref="Q6966">IFERROR(IF($B6966=Q$1, ($A6966+$C6966) - MAX(IF($B$2:$B6965=$B6966, $A$2:$A6965+$C$2:$C6965)), "")*24*60, "")</f>
        <v/>
      </c>
      <c r="R6966" s="24" t="str" cm="1">
        <f t="array" ref="R6966">IFERROR(IF($B6966=R$1, ($A6966+$C6966) - MAX(IF($B$2:$B6965=$B6966, $A$2:$A6965+$C$2:$C6965)), "")*24*60, "")</f>
        <v/>
      </c>
      <c r="S6966" s="24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5">
        <v>0</v>
      </c>
      <c r="E6967" s="5">
        <v>0</v>
      </c>
      <c r="F6967" s="5" t="s">
        <v>22</v>
      </c>
      <c r="G6967" s="15" t="s">
        <v>22</v>
      </c>
      <c r="H6967" s="24">
        <f t="shared" si="1308"/>
        <v>49.999999995343387</v>
      </c>
      <c r="I6967" s="24" t="str" cm="1">
        <f t="array" ref="I6967">IFERROR(IF($B6967=I$1, ($A6967+$C6967) - MAX(IF($B$2:$B6966=$B6967, $A$2:$A6966+$C$2:$C6966)), "")*24*60, "")</f>
        <v/>
      </c>
      <c r="J6967" s="24" t="str" cm="1">
        <f t="array" ref="J6967">IFERROR(IF($B6967=J$1, ($A6967+$C6967) - MAX(IF($B$2:$B6966=$B6967, $A$2:$A6966+$C$2:$C6966)), "")*24*60, "")</f>
        <v/>
      </c>
      <c r="K6967" s="24" t="str" cm="1">
        <f t="array" ref="K6967">IFERROR(IF($B6967=K$1, ($A6967+$C6967) - MAX(IF($B$2:$B6966=$B6967, $A$2:$A6966+$C$2:$C6966)), "")*24*60, "")</f>
        <v/>
      </c>
      <c r="L6967" s="24" t="str" cm="1">
        <f t="array" ref="L6967">IFERROR(IF($B6967=L$1, ($A6967+$C6967) - MAX(IF($B$2:$B6966=$B6967, $A$2:$A6966+$C$2:$C6966)), "")*24*60, "")</f>
        <v/>
      </c>
      <c r="M6967" s="24" t="str" cm="1">
        <f t="array" ref="M6967">IFERROR(IF($B6967=M$1, ($A6967+$C6967) - MAX(IF($B$2:$B6966=$B6967, $A$2:$A6966+$C$2:$C6966)), "")*24*60, "")</f>
        <v/>
      </c>
      <c r="N6967" s="24" t="str" cm="1">
        <f t="array" ref="N6967">IFERROR(IF($B6967=N$1, ($A6967+$C6967) - MAX(IF($B$2:$B6966=$B6967, $A$2:$A6966+$C$2:$C6966)), "")*24*60, "")</f>
        <v/>
      </c>
      <c r="O6967" s="24" t="str" cm="1">
        <f t="array" ref="O6967">IFERROR(IF($B6967=O$1, ($A6967+$C6967) - MAX(IF($B$2:$B6966=$B6967, $A$2:$A6966+$C$2:$C6966)), "")*24*60, "")</f>
        <v/>
      </c>
      <c r="P6967" s="24" t="str" cm="1">
        <f t="array" ref="P6967">IFERROR(IF($B6967=P$1, ($A6967+$C6967) - MAX(IF($B$2:$B6966=$B6967, $A$2:$A6966+$C$2:$C6966)), "")*24*60, "")</f>
        <v/>
      </c>
      <c r="Q6967" s="24" t="str" cm="1">
        <f t="array" ref="Q6967">IFERROR(IF($B6967=Q$1, ($A6967+$C6967) - MAX(IF($B$2:$B6966=$B6967, $A$2:$A6966+$C$2:$C6966)), "")*24*60, "")</f>
        <v/>
      </c>
      <c r="R6967" s="24" t="str" cm="1">
        <f t="array" ref="R6967">IFERROR(IF($B6967=R$1, ($A6967+$C6967) - MAX(IF($B$2:$B6966=$B6967, $A$2:$A6966+$C$2:$C6966)), "")*24*60, "")</f>
        <v/>
      </c>
      <c r="S6967" s="24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5">
        <v>0</v>
      </c>
      <c r="E6968" s="5">
        <v>0</v>
      </c>
      <c r="F6968" s="5" t="s">
        <v>22</v>
      </c>
      <c r="G6968" s="15" t="s">
        <v>22</v>
      </c>
      <c r="H6968" s="24">
        <f t="shared" si="1308"/>
        <v>2.9999999993015081</v>
      </c>
      <c r="I6968" s="24" t="str" cm="1">
        <f t="array" ref="I6968">IFERROR(IF($B6968=I$1, ($A6968+$C6968) - MAX(IF($B$2:$B6967=$B6968, $A$2:$A6967+$C$2:$C6967)), "")*24*60, "")</f>
        <v/>
      </c>
      <c r="J6968" s="24" t="str" cm="1">
        <f t="array" ref="J6968">IFERROR(IF($B6968=J$1, ($A6968+$C6968) - MAX(IF($B$2:$B6967=$B6968, $A$2:$A6967+$C$2:$C6967)), "")*24*60, "")</f>
        <v/>
      </c>
      <c r="K6968" s="24" t="str" cm="1">
        <f t="array" ref="K6968">IFERROR(IF($B6968=K$1, ($A6968+$C6968) - MAX(IF($B$2:$B6967=$B6968, $A$2:$A6967+$C$2:$C6967)), "")*24*60, "")</f>
        <v/>
      </c>
      <c r="L6968" s="24" cm="1">
        <f t="array" ref="L6968">IFERROR(IF($B6968=L$1, ($A6968+$C6968) - MAX(IF($B$2:$B6967=$B6968, $A$2:$A6967+$C$2:$C6967)), "")*24*60, "")</f>
        <v>1187.999999995809</v>
      </c>
      <c r="M6968" s="24" t="str" cm="1">
        <f t="array" ref="M6968">IFERROR(IF($B6968=M$1, ($A6968+$C6968) - MAX(IF($B$2:$B6967=$B6968, $A$2:$A6967+$C$2:$C6967)), "")*24*60, "")</f>
        <v/>
      </c>
      <c r="N6968" s="24" t="str" cm="1">
        <f t="array" ref="N6968">IFERROR(IF($B6968=N$1, ($A6968+$C6968) - MAX(IF($B$2:$B6967=$B6968, $A$2:$A6967+$C$2:$C6967)), "")*24*60, "")</f>
        <v/>
      </c>
      <c r="O6968" s="24" t="str" cm="1">
        <f t="array" ref="O6968">IFERROR(IF($B6968=O$1, ($A6968+$C6968) - MAX(IF($B$2:$B6967=$B6968, $A$2:$A6967+$C$2:$C6967)), "")*24*60, "")</f>
        <v/>
      </c>
      <c r="P6968" s="24" t="str" cm="1">
        <f t="array" ref="P6968">IFERROR(IF($B6968=P$1, ($A6968+$C6968) - MAX(IF($B$2:$B6967=$B6968, $A$2:$A6967+$C$2:$C6967)), "")*24*60, "")</f>
        <v/>
      </c>
      <c r="Q6968" s="24" t="str" cm="1">
        <f t="array" ref="Q6968">IFERROR(IF($B6968=Q$1, ($A6968+$C6968) - MAX(IF($B$2:$B6967=$B6968, $A$2:$A6967+$C$2:$C6967)), "")*24*60, "")</f>
        <v/>
      </c>
      <c r="R6968" s="24" t="str" cm="1">
        <f t="array" ref="R6968">IFERROR(IF($B6968=R$1, ($A6968+$C6968) - MAX(IF($B$2:$B6967=$B6968, $A$2:$A6967+$C$2:$C6967)), "")*24*60, "")</f>
        <v/>
      </c>
      <c r="S6968" s="24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5">
        <v>0</v>
      </c>
      <c r="E6969" s="5">
        <v>0</v>
      </c>
      <c r="F6969" s="5" t="s">
        <v>22</v>
      </c>
      <c r="G6969" s="15" t="s">
        <v>22</v>
      </c>
      <c r="H6969" s="24">
        <f t="shared" si="1308"/>
        <v>15.000000006984919</v>
      </c>
      <c r="I6969" s="24" t="str" cm="1">
        <f t="array" ref="I6969">IFERROR(IF($B6969=I$1, ($A6969+$C6969) - MAX(IF($B$2:$B6968=$B6969, $A$2:$A6968+$C$2:$C6968)), "")*24*60, "")</f>
        <v/>
      </c>
      <c r="J6969" s="24" t="str" cm="1">
        <f t="array" ref="J6969">IFERROR(IF($B6969=J$1, ($A6969+$C6969) - MAX(IF($B$2:$B6968=$B6969, $A$2:$A6968+$C$2:$C6968)), "")*24*60, "")</f>
        <v/>
      </c>
      <c r="K6969" s="24" t="str" cm="1">
        <f t="array" ref="K6969">IFERROR(IF($B6969=K$1, ($A6969+$C6969) - MAX(IF($B$2:$B6968=$B6969, $A$2:$A6968+$C$2:$C6968)), "")*24*60, "")</f>
        <v/>
      </c>
      <c r="L6969" s="24" cm="1">
        <f t="array" ref="L6969">IFERROR(IF($B6969=L$1, ($A6969+$C6969) - MAX(IF($B$2:$B6968=$B6969, $A$2:$A6968+$C$2:$C6968)), "")*24*60, "")</f>
        <v>15.000000006984919</v>
      </c>
      <c r="M6969" s="24" t="str" cm="1">
        <f t="array" ref="M6969">IFERROR(IF($B6969=M$1, ($A6969+$C6969) - MAX(IF($B$2:$B6968=$B6969, $A$2:$A6968+$C$2:$C6968)), "")*24*60, "")</f>
        <v/>
      </c>
      <c r="N6969" s="24" t="str" cm="1">
        <f t="array" ref="N6969">IFERROR(IF($B6969=N$1, ($A6969+$C6969) - MAX(IF($B$2:$B6968=$B6969, $A$2:$A6968+$C$2:$C6968)), "")*24*60, "")</f>
        <v/>
      </c>
      <c r="O6969" s="24" t="str" cm="1">
        <f t="array" ref="O6969">IFERROR(IF($B6969=O$1, ($A6969+$C6969) - MAX(IF($B$2:$B6968=$B6969, $A$2:$A6968+$C$2:$C6968)), "")*24*60, "")</f>
        <v/>
      </c>
      <c r="P6969" s="24" t="str" cm="1">
        <f t="array" ref="P6969">IFERROR(IF($B6969=P$1, ($A6969+$C6969) - MAX(IF($B$2:$B6968=$B6969, $A$2:$A6968+$C$2:$C6968)), "")*24*60, "")</f>
        <v/>
      </c>
      <c r="Q6969" s="24" t="str" cm="1">
        <f t="array" ref="Q6969">IFERROR(IF($B6969=Q$1, ($A6969+$C6969) - MAX(IF($B$2:$B6968=$B6969, $A$2:$A6968+$C$2:$C6968)), "")*24*60, "")</f>
        <v/>
      </c>
      <c r="R6969" s="24" t="str" cm="1">
        <f t="array" ref="R6969">IFERROR(IF($B6969=R$1, ($A6969+$C6969) - MAX(IF($B$2:$B6968=$B6969, $A$2:$A6968+$C$2:$C6968)), "")*24*60, "")</f>
        <v/>
      </c>
      <c r="S6969" s="24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5">
        <v>0</v>
      </c>
      <c r="E6970" s="5">
        <v>0</v>
      </c>
      <c r="F6970" s="5" t="s">
        <v>22</v>
      </c>
      <c r="G6970" s="15" t="s">
        <v>22</v>
      </c>
      <c r="H6970" s="24">
        <f t="shared" si="1308"/>
        <v>0</v>
      </c>
      <c r="I6970" s="24" t="str" cm="1">
        <f t="array" ref="I6970">IFERROR(IF($B6970=I$1, ($A6970+$C6970) - MAX(IF($B$2:$B6969=$B6970, $A$2:$A6969+$C$2:$C6969)), "")*24*60, "")</f>
        <v/>
      </c>
      <c r="J6970" s="24" t="str" cm="1">
        <f t="array" ref="J6970">IFERROR(IF($B6970=J$1, ($A6970+$C6970) - MAX(IF($B$2:$B6969=$B6970, $A$2:$A6969+$C$2:$C6969)), "")*24*60, "")</f>
        <v/>
      </c>
      <c r="K6970" s="24" t="str" cm="1">
        <f t="array" ref="K6970">IFERROR(IF($B6970=K$1, ($A6970+$C6970) - MAX(IF($B$2:$B6969=$B6970, $A$2:$A6969+$C$2:$C6969)), "")*24*60, "")</f>
        <v/>
      </c>
      <c r="L6970" s="24" cm="1">
        <f t="array" ref="L6970">IFERROR(IF($B6970=L$1, ($A6970+$C6970) - MAX(IF($B$2:$B6969=$B6970, $A$2:$A6969+$C$2:$C6969)), "")*24*60, "")</f>
        <v>0</v>
      </c>
      <c r="M6970" s="24" t="str" cm="1">
        <f t="array" ref="M6970">IFERROR(IF($B6970=M$1, ($A6970+$C6970) - MAX(IF($B$2:$B6969=$B6970, $A$2:$A6969+$C$2:$C6969)), "")*24*60, "")</f>
        <v/>
      </c>
      <c r="N6970" s="24" t="str" cm="1">
        <f t="array" ref="N6970">IFERROR(IF($B6970=N$1, ($A6970+$C6970) - MAX(IF($B$2:$B6969=$B6970, $A$2:$A6969+$C$2:$C6969)), "")*24*60, "")</f>
        <v/>
      </c>
      <c r="O6970" s="24" t="str" cm="1">
        <f t="array" ref="O6970">IFERROR(IF($B6970=O$1, ($A6970+$C6970) - MAX(IF($B$2:$B6969=$B6970, $A$2:$A6969+$C$2:$C6969)), "")*24*60, "")</f>
        <v/>
      </c>
      <c r="P6970" s="24" t="str" cm="1">
        <f t="array" ref="P6970">IFERROR(IF($B6970=P$1, ($A6970+$C6970) - MAX(IF($B$2:$B6969=$B6970, $A$2:$A6969+$C$2:$C6969)), "")*24*60, "")</f>
        <v/>
      </c>
      <c r="Q6970" s="24" t="str" cm="1">
        <f t="array" ref="Q6970">IFERROR(IF($B6970=Q$1, ($A6970+$C6970) - MAX(IF($B$2:$B6969=$B6970, $A$2:$A6969+$C$2:$C6969)), "")*24*60, "")</f>
        <v/>
      </c>
      <c r="R6970" s="24" t="str" cm="1">
        <f t="array" ref="R6970">IFERROR(IF($B6970=R$1, ($A6970+$C6970) - MAX(IF($B$2:$B6969=$B6970, $A$2:$A6969+$C$2:$C6969)), "")*24*60, "")</f>
        <v/>
      </c>
      <c r="S6970" s="24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5">
        <v>0</v>
      </c>
      <c r="E6971" s="5">
        <v>0</v>
      </c>
      <c r="F6971" s="5" t="s">
        <v>22</v>
      </c>
      <c r="G6971" s="15" t="s">
        <v>22</v>
      </c>
      <c r="H6971" s="24">
        <f t="shared" si="1308"/>
        <v>0.99999999278225005</v>
      </c>
      <c r="I6971" s="24" t="str" cm="1">
        <f t="array" ref="I6971">IFERROR(IF($B6971=I$1, ($A6971+$C6971) - MAX(IF($B$2:$B6970=$B6971, $A$2:$A6970+$C$2:$C6970)), "")*24*60, "")</f>
        <v/>
      </c>
      <c r="J6971" s="24" t="str" cm="1">
        <f t="array" ref="J6971">IFERROR(IF($B6971=J$1, ($A6971+$C6971) - MAX(IF($B$2:$B6970=$B6971, $A$2:$A6970+$C$2:$C6970)), "")*24*60, "")</f>
        <v/>
      </c>
      <c r="K6971" s="24" t="str" cm="1">
        <f t="array" ref="K6971">IFERROR(IF($B6971=K$1, ($A6971+$C6971) - MAX(IF($B$2:$B6970=$B6971, $A$2:$A6970+$C$2:$C6970)), "")*24*60, "")</f>
        <v/>
      </c>
      <c r="L6971" s="24" cm="1">
        <f t="array" ref="L6971">IFERROR(IF($B6971=L$1, ($A6971+$C6971) - MAX(IF($B$2:$B6970=$B6971, $A$2:$A6970+$C$2:$C6970)), "")*24*60, "")</f>
        <v>0.99999999278225005</v>
      </c>
      <c r="M6971" s="24" t="str" cm="1">
        <f t="array" ref="M6971">IFERROR(IF($B6971=M$1, ($A6971+$C6971) - MAX(IF($B$2:$B6970=$B6971, $A$2:$A6970+$C$2:$C6970)), "")*24*60, "")</f>
        <v/>
      </c>
      <c r="N6971" s="24" t="str" cm="1">
        <f t="array" ref="N6971">IFERROR(IF($B6971=N$1, ($A6971+$C6971) - MAX(IF($B$2:$B6970=$B6971, $A$2:$A6970+$C$2:$C6970)), "")*24*60, "")</f>
        <v/>
      </c>
      <c r="O6971" s="24" t="str" cm="1">
        <f t="array" ref="O6971">IFERROR(IF($B6971=O$1, ($A6971+$C6971) - MAX(IF($B$2:$B6970=$B6971, $A$2:$A6970+$C$2:$C6970)), "")*24*60, "")</f>
        <v/>
      </c>
      <c r="P6971" s="24" t="str" cm="1">
        <f t="array" ref="P6971">IFERROR(IF($B6971=P$1, ($A6971+$C6971) - MAX(IF($B$2:$B6970=$B6971, $A$2:$A6970+$C$2:$C6970)), "")*24*60, "")</f>
        <v/>
      </c>
      <c r="Q6971" s="24" t="str" cm="1">
        <f t="array" ref="Q6971">IFERROR(IF($B6971=Q$1, ($A6971+$C6971) - MAX(IF($B$2:$B6970=$B6971, $A$2:$A6970+$C$2:$C6970)), "")*24*60, "")</f>
        <v/>
      </c>
      <c r="R6971" s="24" t="str" cm="1">
        <f t="array" ref="R6971">IFERROR(IF($B6971=R$1, ($A6971+$C6971) - MAX(IF($B$2:$B6970=$B6971, $A$2:$A6970+$C$2:$C6970)), "")*24*60, "")</f>
        <v/>
      </c>
      <c r="S6971" s="24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5">
        <v>0</v>
      </c>
      <c r="E6972" s="5">
        <v>0</v>
      </c>
      <c r="F6972" s="5" t="s">
        <v>22</v>
      </c>
      <c r="G6972" s="15" t="s">
        <v>22</v>
      </c>
      <c r="H6972" s="24">
        <f t="shared" si="1308"/>
        <v>448.00000000395812</v>
      </c>
      <c r="I6972" s="24" cm="1">
        <f t="array" ref="I6972">IFERROR(IF($B6972=I$1, ($A6972+$C6972) - MAX(IF($B$2:$B6971=$B6972, $A$2:$A6971+$C$2:$C6971)), "")*24*60, "")</f>
        <v>1421.0000000009313</v>
      </c>
      <c r="J6972" s="24" t="str" cm="1">
        <f t="array" ref="J6972">IFERROR(IF($B6972=J$1, ($A6972+$C6972) - MAX(IF($B$2:$B6971=$B6972, $A$2:$A6971+$C$2:$C6971)), "")*24*60, "")</f>
        <v/>
      </c>
      <c r="K6972" s="24" t="str" cm="1">
        <f t="array" ref="K6972">IFERROR(IF($B6972=K$1, ($A6972+$C6972) - MAX(IF($B$2:$B6971=$B6972, $A$2:$A6971+$C$2:$C6971)), "")*24*60, "")</f>
        <v/>
      </c>
      <c r="L6972" s="24" t="str" cm="1">
        <f t="array" ref="L6972">IFERROR(IF($B6972=L$1, ($A6972+$C6972) - MAX(IF($B$2:$B6971=$B6972, $A$2:$A6971+$C$2:$C6971)), "")*24*60, "")</f>
        <v/>
      </c>
      <c r="M6972" s="24" t="str" cm="1">
        <f t="array" ref="M6972">IFERROR(IF($B6972=M$1, ($A6972+$C6972) - MAX(IF($B$2:$B6971=$B6972, $A$2:$A6971+$C$2:$C6971)), "")*24*60, "")</f>
        <v/>
      </c>
      <c r="N6972" s="24" t="str" cm="1">
        <f t="array" ref="N6972">IFERROR(IF($B6972=N$1, ($A6972+$C6972) - MAX(IF($B$2:$B6971=$B6972, $A$2:$A6971+$C$2:$C6971)), "")*24*60, "")</f>
        <v/>
      </c>
      <c r="O6972" s="24" t="str" cm="1">
        <f t="array" ref="O6972">IFERROR(IF($B6972=O$1, ($A6972+$C6972) - MAX(IF($B$2:$B6971=$B6972, $A$2:$A6971+$C$2:$C6971)), "")*24*60, "")</f>
        <v/>
      </c>
      <c r="P6972" s="24" t="str" cm="1">
        <f t="array" ref="P6972">IFERROR(IF($B6972=P$1, ($A6972+$C6972) - MAX(IF($B$2:$B6971=$B6972, $A$2:$A6971+$C$2:$C6971)), "")*24*60, "")</f>
        <v/>
      </c>
      <c r="Q6972" s="24" t="str" cm="1">
        <f t="array" ref="Q6972">IFERROR(IF($B6972=Q$1, ($A6972+$C6972) - MAX(IF($B$2:$B6971=$B6972, $A$2:$A6971+$C$2:$C6971)), "")*24*60, "")</f>
        <v/>
      </c>
      <c r="R6972" s="24" t="str" cm="1">
        <f t="array" ref="R6972">IFERROR(IF($B6972=R$1, ($A6972+$C6972) - MAX(IF($B$2:$B6971=$B6972, $A$2:$A6971+$C$2:$C6971)), "")*24*60, "")</f>
        <v/>
      </c>
      <c r="S6972" s="24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5">
        <v>0</v>
      </c>
      <c r="E6973" s="5">
        <v>0</v>
      </c>
      <c r="F6973" s="5" t="s">
        <v>22</v>
      </c>
      <c r="G6973" s="15" t="s">
        <v>22</v>
      </c>
      <c r="H6973" s="24">
        <f t="shared" si="1308"/>
        <v>0</v>
      </c>
      <c r="I6973" s="24" cm="1">
        <f t="array" ref="I6973">IFERROR(IF($B6973=I$1, ($A6973+$C6973) - MAX(IF($B$2:$B6972=$B6973, $A$2:$A6972+$C$2:$C6972)), "")*24*60, "")</f>
        <v>0</v>
      </c>
      <c r="J6973" s="24" t="str" cm="1">
        <f t="array" ref="J6973">IFERROR(IF($B6973=J$1, ($A6973+$C6973) - MAX(IF($B$2:$B6972=$B6973, $A$2:$A6972+$C$2:$C6972)), "")*24*60, "")</f>
        <v/>
      </c>
      <c r="K6973" s="24" t="str" cm="1">
        <f t="array" ref="K6973">IFERROR(IF($B6973=K$1, ($A6973+$C6973) - MAX(IF($B$2:$B6972=$B6973, $A$2:$A6972+$C$2:$C6972)), "")*24*60, "")</f>
        <v/>
      </c>
      <c r="L6973" s="24" t="str" cm="1">
        <f t="array" ref="L6973">IFERROR(IF($B6973=L$1, ($A6973+$C6973) - MAX(IF($B$2:$B6972=$B6973, $A$2:$A6972+$C$2:$C6972)), "")*24*60, "")</f>
        <v/>
      </c>
      <c r="M6973" s="24" t="str" cm="1">
        <f t="array" ref="M6973">IFERROR(IF($B6973=M$1, ($A6973+$C6973) - MAX(IF($B$2:$B6972=$B6973, $A$2:$A6972+$C$2:$C6972)), "")*24*60, "")</f>
        <v/>
      </c>
      <c r="N6973" s="24" t="str" cm="1">
        <f t="array" ref="N6973">IFERROR(IF($B6973=N$1, ($A6973+$C6973) - MAX(IF($B$2:$B6972=$B6973, $A$2:$A6972+$C$2:$C6972)), "")*24*60, "")</f>
        <v/>
      </c>
      <c r="O6973" s="24" t="str" cm="1">
        <f t="array" ref="O6973">IFERROR(IF($B6973=O$1, ($A6973+$C6973) - MAX(IF($B$2:$B6972=$B6973, $A$2:$A6972+$C$2:$C6972)), "")*24*60, "")</f>
        <v/>
      </c>
      <c r="P6973" s="24" t="str" cm="1">
        <f t="array" ref="P6973">IFERROR(IF($B6973=P$1, ($A6973+$C6973) - MAX(IF($B$2:$B6972=$B6973, $A$2:$A6972+$C$2:$C6972)), "")*24*60, "")</f>
        <v/>
      </c>
      <c r="Q6973" s="24" t="str" cm="1">
        <f t="array" ref="Q6973">IFERROR(IF($B6973=Q$1, ($A6973+$C6973) - MAX(IF($B$2:$B6972=$B6973, $A$2:$A6972+$C$2:$C6972)), "")*24*60, "")</f>
        <v/>
      </c>
      <c r="R6973" s="24" t="str" cm="1">
        <f t="array" ref="R6973">IFERROR(IF($B6973=R$1, ($A6973+$C6973) - MAX(IF($B$2:$B6972=$B6973, $A$2:$A6972+$C$2:$C6972)), "")*24*60, "")</f>
        <v/>
      </c>
      <c r="S6973" s="24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7">
        <v>0</v>
      </c>
      <c r="E6974" s="7">
        <v>0</v>
      </c>
      <c r="F6974" s="7" t="s">
        <v>22</v>
      </c>
      <c r="G6974" s="16" t="s">
        <v>22</v>
      </c>
      <c r="H6974" s="25">
        <f t="shared" si="1308"/>
        <v>14.99999999650754</v>
      </c>
      <c r="I6974" s="25" cm="1">
        <f t="array" ref="I6974">IFERROR(IF($B6974=I$1, ($A6974+$C6974) - MAX(IF($B$2:$B6973=$B6974, $A$2:$A6973+$C$2:$C6973)), "")*24*60, "")</f>
        <v>14.99999999650754</v>
      </c>
      <c r="J6974" s="25" t="str" cm="1">
        <f t="array" ref="J6974">IFERROR(IF($B6974=J$1, ($A6974+$C6974) - MAX(IF($B$2:$B6973=$B6974, $A$2:$A6973+$C$2:$C6973)), "")*24*60, "")</f>
        <v/>
      </c>
      <c r="K6974" s="25" t="str" cm="1">
        <f t="array" ref="K6974">IFERROR(IF($B6974=K$1, ($A6974+$C6974) - MAX(IF($B$2:$B6973=$B6974, $A$2:$A6973+$C$2:$C6973)), "")*24*60, "")</f>
        <v/>
      </c>
      <c r="L6974" s="25" t="str" cm="1">
        <f t="array" ref="L6974">IFERROR(IF($B6974=L$1, ($A6974+$C6974) - MAX(IF($B$2:$B6973=$B6974, $A$2:$A6973+$C$2:$C6973)), "")*24*60, "")</f>
        <v/>
      </c>
      <c r="M6974" s="25" t="str" cm="1">
        <f t="array" ref="M6974">IFERROR(IF($B6974=M$1, ($A6974+$C6974) - MAX(IF($B$2:$B6973=$B6974, $A$2:$A6973+$C$2:$C6973)), "")*24*60, "")</f>
        <v/>
      </c>
      <c r="N6974" s="25" t="str" cm="1">
        <f t="array" ref="N6974">IFERROR(IF($B6974=N$1, ($A6974+$C6974) - MAX(IF($B$2:$B6973=$B6974, $A$2:$A6973+$C$2:$C6973)), "")*24*60, "")</f>
        <v/>
      </c>
      <c r="O6974" s="25" t="str" cm="1">
        <f t="array" ref="O6974">IFERROR(IF($B6974=O$1, ($A6974+$C6974) - MAX(IF($B$2:$B6973=$B6974, $A$2:$A6973+$C$2:$C6973)), "")*24*60, "")</f>
        <v/>
      </c>
      <c r="P6974" s="25" t="str" cm="1">
        <f t="array" ref="P6974">IFERROR(IF($B6974=P$1, ($A6974+$C6974) - MAX(IF($B$2:$B6973=$B6974, $A$2:$A6973+$C$2:$C6973)), "")*24*60, "")</f>
        <v/>
      </c>
      <c r="Q6974" s="25" t="str" cm="1">
        <f t="array" ref="Q6974">IFERROR(IF($B6974=Q$1, ($A6974+$C6974) - MAX(IF($B$2:$B6973=$B6974, $A$2:$A6973+$C$2:$C6973)), "")*24*60, "")</f>
        <v/>
      </c>
      <c r="R6974" s="25" t="str" cm="1">
        <f t="array" ref="R6974">IFERROR(IF($B6974=R$1, ($A6974+$C6974) - MAX(IF($B$2:$B6973=$B6974, $A$2:$A6973+$C$2:$C6973)), "")*24*60, "")</f>
        <v/>
      </c>
      <c r="S6974" s="25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5">
        <v>0</v>
      </c>
      <c r="E6975" s="5">
        <v>0</v>
      </c>
      <c r="F6975" s="5" t="s">
        <v>22</v>
      </c>
      <c r="G6975" s="15" t="s">
        <v>22</v>
      </c>
      <c r="H6975" s="24">
        <f t="shared" si="1308"/>
        <v>1322.0000000030268</v>
      </c>
      <c r="I6975" s="24" t="str" cm="1">
        <f t="array" ref="I6975">IFERROR(IF($B6975=I$1, ($A6975+$C6975) - MAX(IF($B$2:$B6974=$B6975, $A$2:$A6974+$C$2:$C6974)), "")*24*60, "")</f>
        <v/>
      </c>
      <c r="J6975" s="24" t="str" cm="1">
        <f t="array" ref="J6975">IFERROR(IF($B6975=J$1, ($A6975+$C6975) - MAX(IF($B$2:$B6974=$B6975, $A$2:$A6974+$C$2:$C6974)), "")*24*60, "")</f>
        <v/>
      </c>
      <c r="K6975" s="24" t="str" cm="1">
        <f t="array" ref="K6975">IFERROR(IF($B6975=K$1, ($A6975+$C6975) - MAX(IF($B$2:$B6974=$B6975, $A$2:$A6974+$C$2:$C6974)), "")*24*60, "")</f>
        <v/>
      </c>
      <c r="L6975" s="24" t="str" cm="1">
        <f t="array" ref="L6975">IFERROR(IF($B6975=L$1, ($A6975+$C6975) - MAX(IF($B$2:$B6974=$B6975, $A$2:$A6974+$C$2:$C6974)), "")*24*60, "")</f>
        <v/>
      </c>
      <c r="M6975" s="24" t="str" cm="1">
        <f t="array" ref="M6975">IFERROR(IF($B6975=M$1, ($A6975+$C6975) - MAX(IF($B$2:$B6974=$B6975, $A$2:$A6974+$C$2:$C6974)), "")*24*60, "")</f>
        <v/>
      </c>
      <c r="N6975" s="24" t="str" cm="1">
        <f t="array" ref="N6975">IFERROR(IF($B6975=N$1, ($A6975+$C6975) - MAX(IF($B$2:$B6974=$B6975, $A$2:$A6974+$C$2:$C6974)), "")*24*60, "")</f>
        <v/>
      </c>
      <c r="O6975" s="24" cm="1">
        <f t="array" ref="O6975">IFERROR(IF($B6975=O$1, ($A6975+$C6975) - MAX(IF($B$2:$B6974=$B6975, $A$2:$A6974+$C$2:$C6974)), "")*24*60, "")</f>
        <v>5749.9999999988358</v>
      </c>
      <c r="P6975" s="24" t="str" cm="1">
        <f t="array" ref="P6975">IFERROR(IF($B6975=P$1, ($A6975+$C6975) - MAX(IF($B$2:$B6974=$B6975, $A$2:$A6974+$C$2:$C6974)), "")*24*60, "")</f>
        <v/>
      </c>
      <c r="Q6975" s="24" t="str" cm="1">
        <f t="array" ref="Q6975">IFERROR(IF($B6975=Q$1, ($A6975+$C6975) - MAX(IF($B$2:$B6974=$B6975, $A$2:$A6974+$C$2:$C6974)), "")*24*60, "")</f>
        <v/>
      </c>
      <c r="R6975" s="24" t="str" cm="1">
        <f t="array" ref="R6975">IFERROR(IF($B6975=R$1, ($A6975+$C6975) - MAX(IF($B$2:$B6974=$B6975, $A$2:$A6974+$C$2:$C6974)), "")*24*60, "")</f>
        <v/>
      </c>
      <c r="S6975" s="24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5">
        <v>0</v>
      </c>
      <c r="E6976" s="5">
        <v>0</v>
      </c>
      <c r="F6976" s="5" t="s">
        <v>22</v>
      </c>
      <c r="G6976" s="15" t="s">
        <v>22</v>
      </c>
      <c r="H6976" s="24">
        <f t="shared" si="1308"/>
        <v>0</v>
      </c>
      <c r="I6976" s="24" t="str" cm="1">
        <f t="array" ref="I6976">IFERROR(IF($B6976=I$1, ($A6976+$C6976) - MAX(IF($B$2:$B6975=$B6976, $A$2:$A6975+$C$2:$C6975)), "")*24*60, "")</f>
        <v/>
      </c>
      <c r="J6976" s="24" t="str" cm="1">
        <f t="array" ref="J6976">IFERROR(IF($B6976=J$1, ($A6976+$C6976) - MAX(IF($B$2:$B6975=$B6976, $A$2:$A6975+$C$2:$C6975)), "")*24*60, "")</f>
        <v/>
      </c>
      <c r="K6976" s="24" t="str" cm="1">
        <f t="array" ref="K6976">IFERROR(IF($B6976=K$1, ($A6976+$C6976) - MAX(IF($B$2:$B6975=$B6976, $A$2:$A6975+$C$2:$C6975)), "")*24*60, "")</f>
        <v/>
      </c>
      <c r="L6976" s="24" t="str" cm="1">
        <f t="array" ref="L6976">IFERROR(IF($B6976=L$1, ($A6976+$C6976) - MAX(IF($B$2:$B6975=$B6976, $A$2:$A6975+$C$2:$C6975)), "")*24*60, "")</f>
        <v/>
      </c>
      <c r="M6976" s="24" t="str" cm="1">
        <f t="array" ref="M6976">IFERROR(IF($B6976=M$1, ($A6976+$C6976) - MAX(IF($B$2:$B6975=$B6976, $A$2:$A6975+$C$2:$C6975)), "")*24*60, "")</f>
        <v/>
      </c>
      <c r="N6976" s="24" t="str" cm="1">
        <f t="array" ref="N6976">IFERROR(IF($B6976=N$1, ($A6976+$C6976) - MAX(IF($B$2:$B6975=$B6976, $A$2:$A6975+$C$2:$C6975)), "")*24*60, "")</f>
        <v/>
      </c>
      <c r="O6976" s="24" cm="1">
        <f t="array" ref="O6976">IFERROR(IF($B6976=O$1, ($A6976+$C6976) - MAX(IF($B$2:$B6975=$B6976, $A$2:$A6975+$C$2:$C6975)), "")*24*60, "")</f>
        <v>0</v>
      </c>
      <c r="P6976" s="24" t="str" cm="1">
        <f t="array" ref="P6976">IFERROR(IF($B6976=P$1, ($A6976+$C6976) - MAX(IF($B$2:$B6975=$B6976, $A$2:$A6975+$C$2:$C6975)), "")*24*60, "")</f>
        <v/>
      </c>
      <c r="Q6976" s="24" t="str" cm="1">
        <f t="array" ref="Q6976">IFERROR(IF($B6976=Q$1, ($A6976+$C6976) - MAX(IF($B$2:$B6975=$B6976, $A$2:$A6975+$C$2:$C6975)), "")*24*60, "")</f>
        <v/>
      </c>
      <c r="R6976" s="24" t="str" cm="1">
        <f t="array" ref="R6976">IFERROR(IF($B6976=R$1, ($A6976+$C6976) - MAX(IF($B$2:$B6975=$B6976, $A$2:$A6975+$C$2:$C6975)), "")*24*60, "")</f>
        <v/>
      </c>
      <c r="S6976" s="24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5">
        <v>0</v>
      </c>
      <c r="E6977" s="5">
        <v>0</v>
      </c>
      <c r="F6977" s="5" t="s">
        <v>22</v>
      </c>
      <c r="G6977" s="15" t="s">
        <v>22</v>
      </c>
      <c r="H6977" s="24">
        <f t="shared" si="1308"/>
        <v>4.0000000025611371</v>
      </c>
      <c r="I6977" s="24" t="str" cm="1">
        <f t="array" ref="I6977">IFERROR(IF($B6977=I$1, ($A6977+$C6977) - MAX(IF($B$2:$B6976=$B6977, $A$2:$A6976+$C$2:$C6976)), "")*24*60, "")</f>
        <v/>
      </c>
      <c r="J6977" s="24" t="str" cm="1">
        <f t="array" ref="J6977">IFERROR(IF($B6977=J$1, ($A6977+$C6977) - MAX(IF($B$2:$B6976=$B6977, $A$2:$A6976+$C$2:$C6976)), "")*24*60, "")</f>
        <v/>
      </c>
      <c r="K6977" s="24" cm="1">
        <f t="array" ref="K6977">IFERROR(IF($B6977=K$1, ($A6977+$C6977) - MAX(IF($B$2:$B6976=$B6977, $A$2:$A6976+$C$2:$C6976)), "")*24*60, "")</f>
        <v>5886.0000000020955</v>
      </c>
      <c r="L6977" s="24" t="str" cm="1">
        <f t="array" ref="L6977">IFERROR(IF($B6977=L$1, ($A6977+$C6977) - MAX(IF($B$2:$B6976=$B6977, $A$2:$A6976+$C$2:$C6976)), "")*24*60, "")</f>
        <v/>
      </c>
      <c r="M6977" s="24" t="str" cm="1">
        <f t="array" ref="M6977">IFERROR(IF($B6977=M$1, ($A6977+$C6977) - MAX(IF($B$2:$B6976=$B6977, $A$2:$A6976+$C$2:$C6976)), "")*24*60, "")</f>
        <v/>
      </c>
      <c r="N6977" s="24" t="str" cm="1">
        <f t="array" ref="N6977">IFERROR(IF($B6977=N$1, ($A6977+$C6977) - MAX(IF($B$2:$B6976=$B6977, $A$2:$A6976+$C$2:$C6976)), "")*24*60, "")</f>
        <v/>
      </c>
      <c r="O6977" s="24" t="str" cm="1">
        <f t="array" ref="O6977">IFERROR(IF($B6977=O$1, ($A6977+$C6977) - MAX(IF($B$2:$B6976=$B6977, $A$2:$A6976+$C$2:$C6976)), "")*24*60, "")</f>
        <v/>
      </c>
      <c r="P6977" s="24" t="str" cm="1">
        <f t="array" ref="P6977">IFERROR(IF($B6977=P$1, ($A6977+$C6977) - MAX(IF($B$2:$B6976=$B6977, $A$2:$A6976+$C$2:$C6976)), "")*24*60, "")</f>
        <v/>
      </c>
      <c r="Q6977" s="24" t="str" cm="1">
        <f t="array" ref="Q6977">IFERROR(IF($B6977=Q$1, ($A6977+$C6977) - MAX(IF($B$2:$B6976=$B6977, $A$2:$A6976+$C$2:$C6976)), "")*24*60, "")</f>
        <v/>
      </c>
      <c r="R6977" s="24" t="str" cm="1">
        <f t="array" ref="R6977">IFERROR(IF($B6977=R$1, ($A6977+$C6977) - MAX(IF($B$2:$B6976=$B6977, $A$2:$A6976+$C$2:$C6976)), "")*24*60, "")</f>
        <v/>
      </c>
      <c r="S6977" s="24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5">
        <v>0</v>
      </c>
      <c r="E6978" s="5">
        <v>0</v>
      </c>
      <c r="F6978" s="5" t="s">
        <v>22</v>
      </c>
      <c r="G6978" s="15" t="s">
        <v>22</v>
      </c>
      <c r="H6978" s="24">
        <f t="shared" si="1308"/>
        <v>117.00000000419095</v>
      </c>
      <c r="I6978" s="24" cm="1">
        <f t="array" ref="I6978">IFERROR(IF($B6978=I$1, ($A6978+$C6978) - MAX(IF($B$2:$B6977=$B6978, $A$2:$A6977+$C$2:$C6977)), "")*24*60, "")</f>
        <v>1443.0000000097789</v>
      </c>
      <c r="J6978" s="24" t="str" cm="1">
        <f t="array" ref="J6978">IFERROR(IF($B6978=J$1, ($A6978+$C6978) - MAX(IF($B$2:$B6977=$B6978, $A$2:$A6977+$C$2:$C6977)), "")*24*60, "")</f>
        <v/>
      </c>
      <c r="K6978" s="24" t="str" cm="1">
        <f t="array" ref="K6978">IFERROR(IF($B6978=K$1, ($A6978+$C6978) - MAX(IF($B$2:$B6977=$B6978, $A$2:$A6977+$C$2:$C6977)), "")*24*60, "")</f>
        <v/>
      </c>
      <c r="L6978" s="24" t="str" cm="1">
        <f t="array" ref="L6978">IFERROR(IF($B6978=L$1, ($A6978+$C6978) - MAX(IF($B$2:$B6977=$B6978, $A$2:$A6977+$C$2:$C6977)), "")*24*60, "")</f>
        <v/>
      </c>
      <c r="M6978" s="24" t="str" cm="1">
        <f t="array" ref="M6978">IFERROR(IF($B6978=M$1, ($A6978+$C6978) - MAX(IF($B$2:$B6977=$B6978, $A$2:$A6977+$C$2:$C6977)), "")*24*60, "")</f>
        <v/>
      </c>
      <c r="N6978" s="24" t="str" cm="1">
        <f t="array" ref="N6978">IFERROR(IF($B6978=N$1, ($A6978+$C6978) - MAX(IF($B$2:$B6977=$B6978, $A$2:$A6977+$C$2:$C6977)), "")*24*60, "")</f>
        <v/>
      </c>
      <c r="O6978" s="24" t="str" cm="1">
        <f t="array" ref="O6978">IFERROR(IF($B6978=O$1, ($A6978+$C6978) - MAX(IF($B$2:$B6977=$B6978, $A$2:$A6977+$C$2:$C6977)), "")*24*60, "")</f>
        <v/>
      </c>
      <c r="P6978" s="24" t="str" cm="1">
        <f t="array" ref="P6978">IFERROR(IF($B6978=P$1, ($A6978+$C6978) - MAX(IF($B$2:$B6977=$B6978, $A$2:$A6977+$C$2:$C6977)), "")*24*60, "")</f>
        <v/>
      </c>
      <c r="Q6978" s="24" t="str" cm="1">
        <f t="array" ref="Q6978">IFERROR(IF($B6978=Q$1, ($A6978+$C6978) - MAX(IF($B$2:$B6977=$B6978, $A$2:$A6977+$C$2:$C6977)), "")*24*60, "")</f>
        <v/>
      </c>
      <c r="R6978" s="24" t="str" cm="1">
        <f t="array" ref="R6978">IFERROR(IF($B6978=R$1, ($A6978+$C6978) - MAX(IF($B$2:$B6977=$B6978, $A$2:$A6977+$C$2:$C6977)), "")*24*60, "")</f>
        <v/>
      </c>
      <c r="S6978" s="24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5">
        <v>0</v>
      </c>
      <c r="E6979" s="5">
        <v>0</v>
      </c>
      <c r="F6979" s="5" t="s">
        <v>22</v>
      </c>
      <c r="G6979" s="15" t="s">
        <v>22</v>
      </c>
      <c r="H6979" s="24">
        <f t="shared" si="1308"/>
        <v>0</v>
      </c>
      <c r="I6979" s="24" cm="1">
        <f t="array" ref="I6979">IFERROR(IF($B6979=I$1, ($A6979+$C6979) - MAX(IF($B$2:$B6978=$B6979, $A$2:$A6978+$C$2:$C6978)), "")*24*60, "")</f>
        <v>0</v>
      </c>
      <c r="J6979" s="24" t="str" cm="1">
        <f t="array" ref="J6979">IFERROR(IF($B6979=J$1, ($A6979+$C6979) - MAX(IF($B$2:$B6978=$B6979, $A$2:$A6978+$C$2:$C6978)), "")*24*60, "")</f>
        <v/>
      </c>
      <c r="K6979" s="24" t="str" cm="1">
        <f t="array" ref="K6979">IFERROR(IF($B6979=K$1, ($A6979+$C6979) - MAX(IF($B$2:$B6978=$B6979, $A$2:$A6978+$C$2:$C6978)), "")*24*60, "")</f>
        <v/>
      </c>
      <c r="L6979" s="24" t="str" cm="1">
        <f t="array" ref="L6979">IFERROR(IF($B6979=L$1, ($A6979+$C6979) - MAX(IF($B$2:$B6978=$B6979, $A$2:$A6978+$C$2:$C6978)), "")*24*60, "")</f>
        <v/>
      </c>
      <c r="M6979" s="24" t="str" cm="1">
        <f t="array" ref="M6979">IFERROR(IF($B6979=M$1, ($A6979+$C6979) - MAX(IF($B$2:$B6978=$B6979, $A$2:$A6978+$C$2:$C6978)), "")*24*60, "")</f>
        <v/>
      </c>
      <c r="N6979" s="24" t="str" cm="1">
        <f t="array" ref="N6979">IFERROR(IF($B6979=N$1, ($A6979+$C6979) - MAX(IF($B$2:$B6978=$B6979, $A$2:$A6978+$C$2:$C6978)), "")*24*60, "")</f>
        <v/>
      </c>
      <c r="O6979" s="24" t="str" cm="1">
        <f t="array" ref="O6979">IFERROR(IF($B6979=O$1, ($A6979+$C6979) - MAX(IF($B$2:$B6978=$B6979, $A$2:$A6978+$C$2:$C6978)), "")*24*60, "")</f>
        <v/>
      </c>
      <c r="P6979" s="24" t="str" cm="1">
        <f t="array" ref="P6979">IFERROR(IF($B6979=P$1, ($A6979+$C6979) - MAX(IF($B$2:$B6978=$B6979, $A$2:$A6978+$C$2:$C6978)), "")*24*60, "")</f>
        <v/>
      </c>
      <c r="Q6979" s="24" t="str" cm="1">
        <f t="array" ref="Q6979">IFERROR(IF($B6979=Q$1, ($A6979+$C6979) - MAX(IF($B$2:$B6978=$B6979, $A$2:$A6978+$C$2:$C6978)), "")*24*60, "")</f>
        <v/>
      </c>
      <c r="R6979" s="24" t="str" cm="1">
        <f t="array" ref="R6979">IFERROR(IF($B6979=R$1, ($A6979+$C6979) - MAX(IF($B$2:$B6978=$B6979, $A$2:$A6978+$C$2:$C6978)), "")*24*60, "")</f>
        <v/>
      </c>
      <c r="S6979" s="24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5">
        <v>0</v>
      </c>
      <c r="E6980" s="5">
        <v>0</v>
      </c>
      <c r="F6980" s="5" t="s">
        <v>22</v>
      </c>
      <c r="G6980" s="15" t="s">
        <v>22</v>
      </c>
      <c r="H6980" s="24">
        <f t="shared" si="1308"/>
        <v>0.99999999278225005</v>
      </c>
      <c r="I6980" s="24" cm="1">
        <f t="array" ref="I6980">IFERROR(IF($B6980=I$1, ($A6980+$C6980) - MAX(IF($B$2:$B6979=$B6980, $A$2:$A6979+$C$2:$C6979)), "")*24*60, "")</f>
        <v>0.99999999278225005</v>
      </c>
      <c r="J6980" s="24" t="str" cm="1">
        <f t="array" ref="J6980">IFERROR(IF($B6980=J$1, ($A6980+$C6980) - MAX(IF($B$2:$B6979=$B6980, $A$2:$A6979+$C$2:$C6979)), "")*24*60, "")</f>
        <v/>
      </c>
      <c r="K6980" s="24" t="str" cm="1">
        <f t="array" ref="K6980">IFERROR(IF($B6980=K$1, ($A6980+$C6980) - MAX(IF($B$2:$B6979=$B6980, $A$2:$A6979+$C$2:$C6979)), "")*24*60, "")</f>
        <v/>
      </c>
      <c r="L6980" s="24" t="str" cm="1">
        <f t="array" ref="L6980">IFERROR(IF($B6980=L$1, ($A6980+$C6980) - MAX(IF($B$2:$B6979=$B6980, $A$2:$A6979+$C$2:$C6979)), "")*24*60, "")</f>
        <v/>
      </c>
      <c r="M6980" s="24" t="str" cm="1">
        <f t="array" ref="M6980">IFERROR(IF($B6980=M$1, ($A6980+$C6980) - MAX(IF($B$2:$B6979=$B6980, $A$2:$A6979+$C$2:$C6979)), "")*24*60, "")</f>
        <v/>
      </c>
      <c r="N6980" s="24" t="str" cm="1">
        <f t="array" ref="N6980">IFERROR(IF($B6980=N$1, ($A6980+$C6980) - MAX(IF($B$2:$B6979=$B6980, $A$2:$A6979+$C$2:$C6979)), "")*24*60, "")</f>
        <v/>
      </c>
      <c r="O6980" s="24" t="str" cm="1">
        <f t="array" ref="O6980">IFERROR(IF($B6980=O$1, ($A6980+$C6980) - MAX(IF($B$2:$B6979=$B6980, $A$2:$A6979+$C$2:$C6979)), "")*24*60, "")</f>
        <v/>
      </c>
      <c r="P6980" s="24" t="str" cm="1">
        <f t="array" ref="P6980">IFERROR(IF($B6980=P$1, ($A6980+$C6980) - MAX(IF($B$2:$B6979=$B6980, $A$2:$A6979+$C$2:$C6979)), "")*24*60, "")</f>
        <v/>
      </c>
      <c r="Q6980" s="24" t="str" cm="1">
        <f t="array" ref="Q6980">IFERROR(IF($B6980=Q$1, ($A6980+$C6980) - MAX(IF($B$2:$B6979=$B6980, $A$2:$A6979+$C$2:$C6979)), "")*24*60, "")</f>
        <v/>
      </c>
      <c r="R6980" s="24" t="str" cm="1">
        <f t="array" ref="R6980">IFERROR(IF($B6980=R$1, ($A6980+$C6980) - MAX(IF($B$2:$B6979=$B6980, $A$2:$A6979+$C$2:$C6979)), "")*24*60, "")</f>
        <v/>
      </c>
      <c r="S6980" s="24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7">
        <v>0</v>
      </c>
      <c r="E6981" s="7">
        <v>0</v>
      </c>
      <c r="F6981" s="7" t="s">
        <v>22</v>
      </c>
      <c r="G6981" s="16" t="s">
        <v>22</v>
      </c>
      <c r="H6981" s="25">
        <f t="shared" si="1308"/>
        <v>0</v>
      </c>
      <c r="I6981" s="25" cm="1">
        <f t="array" ref="I6981">IFERROR(IF($B6981=I$1, ($A6981+$C6981) - MAX(IF($B$2:$B6980=$B6981, $A$2:$A6980+$C$2:$C6980)), "")*24*60, "")</f>
        <v>0</v>
      </c>
      <c r="J6981" s="25" t="str" cm="1">
        <f t="array" ref="J6981">IFERROR(IF($B6981=J$1, ($A6981+$C6981) - MAX(IF($B$2:$B6980=$B6981, $A$2:$A6980+$C$2:$C6980)), "")*24*60, "")</f>
        <v/>
      </c>
      <c r="K6981" s="25" t="str" cm="1">
        <f t="array" ref="K6981">IFERROR(IF($B6981=K$1, ($A6981+$C6981) - MAX(IF($B$2:$B6980=$B6981, $A$2:$A6980+$C$2:$C6980)), "")*24*60, "")</f>
        <v/>
      </c>
      <c r="L6981" s="25" t="str" cm="1">
        <f t="array" ref="L6981">IFERROR(IF($B6981=L$1, ($A6981+$C6981) - MAX(IF($B$2:$B6980=$B6981, $A$2:$A6980+$C$2:$C6980)), "")*24*60, "")</f>
        <v/>
      </c>
      <c r="M6981" s="25" t="str" cm="1">
        <f t="array" ref="M6981">IFERROR(IF($B6981=M$1, ($A6981+$C6981) - MAX(IF($B$2:$B6980=$B6981, $A$2:$A6980+$C$2:$C6980)), "")*24*60, "")</f>
        <v/>
      </c>
      <c r="N6981" s="25" t="str" cm="1">
        <f t="array" ref="N6981">IFERROR(IF($B6981=N$1, ($A6981+$C6981) - MAX(IF($B$2:$B6980=$B6981, $A$2:$A6980+$C$2:$C6980)), "")*24*60, "")</f>
        <v/>
      </c>
      <c r="O6981" s="25" t="str" cm="1">
        <f t="array" ref="O6981">IFERROR(IF($B6981=O$1, ($A6981+$C6981) - MAX(IF($B$2:$B6980=$B6981, $A$2:$A6980+$C$2:$C6980)), "")*24*60, "")</f>
        <v/>
      </c>
      <c r="P6981" s="25" t="str" cm="1">
        <f t="array" ref="P6981">IFERROR(IF($B6981=P$1, ($A6981+$C6981) - MAX(IF($B$2:$B6980=$B6981, $A$2:$A6980+$C$2:$C6980)), "")*24*60, "")</f>
        <v/>
      </c>
      <c r="Q6981" s="25" t="str" cm="1">
        <f t="array" ref="Q6981">IFERROR(IF($B6981=Q$1, ($A6981+$C6981) - MAX(IF($B$2:$B6980=$B6981, $A$2:$A6980+$C$2:$C6980)), "")*24*60, "")</f>
        <v/>
      </c>
      <c r="R6981" s="25" t="str" cm="1">
        <f t="array" ref="R6981">IFERROR(IF($B6981=R$1, ($A6981+$C6981) - MAX(IF($B$2:$B6980=$B6981, $A$2:$A6980+$C$2:$C6980)), "")*24*60, "")</f>
        <v/>
      </c>
      <c r="S6981" s="25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5">
        <v>0</v>
      </c>
      <c r="E6982" s="5">
        <v>0</v>
      </c>
      <c r="F6982" s="5" t="s">
        <v>22</v>
      </c>
      <c r="G6982" s="15" t="s">
        <v>22</v>
      </c>
      <c r="H6982" s="24">
        <v>1132.0000000018626</v>
      </c>
      <c r="I6982" s="24" t="s">
        <v>21</v>
      </c>
      <c r="J6982" s="24" t="s">
        <v>21</v>
      </c>
      <c r="K6982" s="24" t="s">
        <v>21</v>
      </c>
      <c r="L6982" s="24" t="s">
        <v>21</v>
      </c>
      <c r="M6982" s="24" t="s">
        <v>21</v>
      </c>
      <c r="N6982" s="24" t="s">
        <v>21</v>
      </c>
      <c r="O6982" s="24" t="s">
        <v>21</v>
      </c>
      <c r="P6982" s="24">
        <v>66240736</v>
      </c>
      <c r="Q6982" s="24" t="s">
        <v>21</v>
      </c>
      <c r="R6982" s="24" t="s">
        <v>21</v>
      </c>
      <c r="S6982" s="24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5">
        <v>0</v>
      </c>
      <c r="E6983" s="5">
        <v>0</v>
      </c>
      <c r="F6983" s="5" t="s">
        <v>22</v>
      </c>
      <c r="G6983" s="15" t="s">
        <v>22</v>
      </c>
      <c r="H6983" s="24">
        <v>0</v>
      </c>
      <c r="I6983" s="24" t="s">
        <v>21</v>
      </c>
      <c r="J6983" s="24" t="s">
        <v>21</v>
      </c>
      <c r="K6983" s="24" t="s">
        <v>21</v>
      </c>
      <c r="L6983" s="24" t="s">
        <v>21</v>
      </c>
      <c r="M6983" s="24" t="s">
        <v>21</v>
      </c>
      <c r="N6983" s="24" t="s">
        <v>21</v>
      </c>
      <c r="O6983" s="24" t="s">
        <v>21</v>
      </c>
      <c r="P6983" s="24">
        <v>0</v>
      </c>
      <c r="Q6983" s="24" t="s">
        <v>21</v>
      </c>
      <c r="R6983" s="24" t="s">
        <v>21</v>
      </c>
      <c r="S6983" s="24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5">
        <v>0</v>
      </c>
      <c r="E6984" s="5">
        <v>0</v>
      </c>
      <c r="F6984" s="5" t="s">
        <v>22</v>
      </c>
      <c r="G6984" s="15" t="s">
        <v>22</v>
      </c>
      <c r="H6984" s="24">
        <v>182.99999999930151</v>
      </c>
      <c r="I6984" s="24" t="s">
        <v>21</v>
      </c>
      <c r="J6984" s="24" t="s">
        <v>21</v>
      </c>
      <c r="K6984" s="24" t="s">
        <v>21</v>
      </c>
      <c r="L6984" s="24" t="s">
        <v>21</v>
      </c>
      <c r="M6984" s="24" t="s">
        <v>21</v>
      </c>
      <c r="N6984" s="24" t="s">
        <v>21</v>
      </c>
      <c r="O6984" s="24" t="s">
        <v>21</v>
      </c>
      <c r="P6984" s="24" t="s">
        <v>21</v>
      </c>
      <c r="Q6984" s="24">
        <v>8731.0000000032596</v>
      </c>
      <c r="R6984" s="24" t="s">
        <v>21</v>
      </c>
      <c r="S6984" s="24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5">
        <v>0</v>
      </c>
      <c r="E6985" s="5">
        <v>0</v>
      </c>
      <c r="F6985" s="5" t="s">
        <v>22</v>
      </c>
      <c r="G6985" s="15" t="s">
        <v>22</v>
      </c>
      <c r="H6985" s="24">
        <v>1.000000003259629</v>
      </c>
      <c r="I6985" s="24" t="s">
        <v>21</v>
      </c>
      <c r="J6985" s="24" t="s">
        <v>21</v>
      </c>
      <c r="K6985" s="24" t="s">
        <v>21</v>
      </c>
      <c r="L6985" s="24" t="s">
        <v>21</v>
      </c>
      <c r="M6985" s="24" t="s">
        <v>21</v>
      </c>
      <c r="N6985" s="24" t="s">
        <v>21</v>
      </c>
      <c r="O6985" s="24" t="s">
        <v>21</v>
      </c>
      <c r="P6985" s="24" t="s">
        <v>21</v>
      </c>
      <c r="Q6985" s="24">
        <v>1.000000003259629</v>
      </c>
      <c r="R6985" s="24" t="s">
        <v>21</v>
      </c>
      <c r="S6985" s="24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7">
        <v>0</v>
      </c>
      <c r="E6986" s="7">
        <v>0</v>
      </c>
      <c r="F6986" s="7" t="s">
        <v>22</v>
      </c>
      <c r="G6986" s="16" t="s">
        <v>22</v>
      </c>
      <c r="H6986" s="25">
        <v>65.999999995110556</v>
      </c>
      <c r="I6986" s="25" t="s">
        <v>21</v>
      </c>
      <c r="J6986" s="25" t="s">
        <v>21</v>
      </c>
      <c r="K6986" s="25" t="s">
        <v>21</v>
      </c>
      <c r="L6986" s="25" t="s">
        <v>21</v>
      </c>
      <c r="M6986" s="25" t="s">
        <v>21</v>
      </c>
      <c r="N6986" s="25" t="s">
        <v>21</v>
      </c>
      <c r="O6986" s="25">
        <v>1503.9999999990687</v>
      </c>
      <c r="P6986" s="25" t="s">
        <v>21</v>
      </c>
      <c r="Q6986" s="25" t="s">
        <v>21</v>
      </c>
      <c r="R6986" s="25" t="s">
        <v>21</v>
      </c>
      <c r="S6986" s="25" t="s">
        <v>21</v>
      </c>
    </row>
    <row r="6987" spans="1:19" x14ac:dyDescent="0.2">
      <c r="A6987" s="39">
        <v>46001</v>
      </c>
      <c r="B6987" s="40" t="s">
        <v>20</v>
      </c>
      <c r="C6987" s="41">
        <v>0.60624999999999996</v>
      </c>
      <c r="D6987" s="40">
        <v>0</v>
      </c>
      <c r="E6987" s="40">
        <v>0</v>
      </c>
      <c r="F6987" s="40" t="s">
        <v>22</v>
      </c>
      <c r="G6987" s="42" t="s">
        <v>22</v>
      </c>
      <c r="H6987" s="43">
        <v>1326.9999999983702</v>
      </c>
      <c r="I6987" s="43" t="s">
        <v>21</v>
      </c>
      <c r="J6987" s="43" t="s">
        <v>21</v>
      </c>
      <c r="K6987" s="43" t="s">
        <v>21</v>
      </c>
      <c r="L6987" s="43" t="s">
        <v>21</v>
      </c>
      <c r="M6987" s="43" t="s">
        <v>21</v>
      </c>
      <c r="N6987" s="43" t="s">
        <v>21</v>
      </c>
      <c r="O6987" s="43">
        <v>1326.9999999983702</v>
      </c>
      <c r="P6987" s="43" t="s">
        <v>21</v>
      </c>
      <c r="Q6987" s="43" t="s">
        <v>21</v>
      </c>
      <c r="R6987" s="43" t="s">
        <v>21</v>
      </c>
      <c r="S6987" s="43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5">
        <v>0</v>
      </c>
      <c r="E6988" s="5">
        <v>0</v>
      </c>
      <c r="F6988" s="5" t="s">
        <v>22</v>
      </c>
      <c r="G6988" s="15" t="s">
        <v>22</v>
      </c>
      <c r="H6988" s="24">
        <v>1225.0000000011642</v>
      </c>
      <c r="I6988" s="24" t="s">
        <v>21</v>
      </c>
      <c r="J6988" s="24" t="s">
        <v>21</v>
      </c>
      <c r="K6988" s="24" t="s">
        <v>21</v>
      </c>
      <c r="L6988" s="24" t="s">
        <v>21</v>
      </c>
      <c r="M6988" s="24" t="s">
        <v>21</v>
      </c>
      <c r="N6988" s="24" t="s">
        <v>21</v>
      </c>
      <c r="O6988" s="24" t="s">
        <v>21</v>
      </c>
      <c r="P6988" s="24" t="s">
        <v>21</v>
      </c>
      <c r="Q6988" s="24" t="s">
        <v>21</v>
      </c>
      <c r="R6988" s="24" t="s">
        <v>21</v>
      </c>
      <c r="S6988" s="24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7">
        <v>0</v>
      </c>
      <c r="E6989" s="7">
        <v>0</v>
      </c>
      <c r="F6989" s="7" t="s">
        <v>22</v>
      </c>
      <c r="G6989" s="16" t="s">
        <v>22</v>
      </c>
      <c r="H6989" s="25">
        <v>25.000000008149073</v>
      </c>
      <c r="I6989" s="25" t="s">
        <v>21</v>
      </c>
      <c r="J6989" s="25">
        <v>9961.0000000102445</v>
      </c>
      <c r="K6989" s="25" t="s">
        <v>21</v>
      </c>
      <c r="L6989" s="25" t="s">
        <v>21</v>
      </c>
      <c r="M6989" s="25" t="s">
        <v>21</v>
      </c>
      <c r="N6989" s="25" t="s">
        <v>21</v>
      </c>
      <c r="O6989" s="25" t="s">
        <v>21</v>
      </c>
      <c r="P6989" s="25" t="s">
        <v>21</v>
      </c>
      <c r="Q6989" s="25" t="s">
        <v>21</v>
      </c>
      <c r="R6989" s="25" t="s">
        <v>21</v>
      </c>
      <c r="S6989" s="25" t="s">
        <v>21</v>
      </c>
    </row>
    <row r="6990" spans="1:19" x14ac:dyDescent="0.2">
      <c r="A6990" s="12">
        <v>46003</v>
      </c>
      <c r="B6990" s="5" t="str">
        <f t="shared" ref="A6990:C6990" si="1323">B6989</f>
        <v>Tufted Titmouse</v>
      </c>
      <c r="C6990" s="6">
        <f t="shared" si="1323"/>
        <v>0.47430555555555554</v>
      </c>
      <c r="D6990" s="5"/>
      <c r="E6990" s="5"/>
      <c r="F6990" s="5" t="s">
        <v>22</v>
      </c>
      <c r="G6990" s="15" t="s">
        <v>22</v>
      </c>
      <c r="H6990" s="24">
        <f t="shared" si="1308"/>
        <v>1440</v>
      </c>
      <c r="I6990" s="24" t="str" cm="1">
        <f t="array" ref="I6990">IFERROR(IF($B6990=I$1, ($A6990+$C6990) - MAX(IF($B$2:$B6989=$B6990, $A$2:$A6989+$C$2:$C6989)), "")*24*60, "")</f>
        <v/>
      </c>
      <c r="J6990" s="24" cm="1">
        <f t="array" ref="J6990">IFERROR(IF($B6990=J$1, ($A6990+$C6990) - MAX(IF($B$2:$B6989=$B6990, $A$2:$A6989+$C$2:$C6989)), "")*24*60, "")</f>
        <v>1440</v>
      </c>
      <c r="K6990" s="24" t="str" cm="1">
        <f t="array" ref="K6990">IFERROR(IF($B6990=K$1, ($A6990+$C6990) - MAX(IF($B$2:$B6989=$B6990, $A$2:$A6989+$C$2:$C6989)), "")*24*60, "")</f>
        <v/>
      </c>
      <c r="L6990" s="24" t="str" cm="1">
        <f t="array" ref="L6990">IFERROR(IF($B6990=L$1, ($A6990+$C6990) - MAX(IF($B$2:$B6989=$B6990, $A$2:$A6989+$C$2:$C6989)), "")*24*60, "")</f>
        <v/>
      </c>
      <c r="M6990" s="24" t="str" cm="1">
        <f t="array" ref="M6990">IFERROR(IF($B6990=M$1, ($A6990+$C6990) - MAX(IF($B$2:$B6989=$B6990, $A$2:$A6989+$C$2:$C6989)), "")*24*60, "")</f>
        <v/>
      </c>
      <c r="N6990" s="24" t="str" cm="1">
        <f t="array" ref="N6990">IFERROR(IF($B6990=N$1, ($A6990+$C6990) - MAX(IF($B$2:$B6989=$B6990, $A$2:$A6989+$C$2:$C6989)), "")*24*60, "")</f>
        <v/>
      </c>
      <c r="O6990" s="24" t="str" cm="1">
        <f t="array" ref="O6990">IFERROR(IF($B6990=O$1, ($A6990+$C6990) - MAX(IF($B$2:$B6989=$B6990, $A$2:$A6989+$C$2:$C6989)), "")*24*60, "")</f>
        <v/>
      </c>
      <c r="P6990" s="24" t="str" cm="1">
        <f t="array" ref="P6990">IFERROR(IF($B6990=P$1, ($A6990+$C6990) - MAX(IF($B$2:$B6989=$B6990, $A$2:$A6989+$C$2:$C6989)), "")*24*60, "")</f>
        <v/>
      </c>
      <c r="Q6990" s="24" t="str" cm="1">
        <f t="array" ref="Q6990">IFERROR(IF($B6990=Q$1, ($A6990+$C6990) - MAX(IF($B$2:$B6989=$B6990, $A$2:$A6989+$C$2:$C6989)), "")*24*60, "")</f>
        <v/>
      </c>
      <c r="R6990" s="24" t="str" cm="1">
        <f t="array" ref="R6990">IFERROR(IF($B6990=R$1, ($A6990+$C6990) - MAX(IF($B$2:$B6989=$B6990, $A$2:$A6989+$C$2:$C6989)), "")*24*60, "")</f>
        <v/>
      </c>
      <c r="S6990" s="24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:C6991" si="1324">A6990</f>
        <v>46003</v>
      </c>
      <c r="B6991" s="5" t="str">
        <f t="shared" si="1324"/>
        <v>Tufted Titmouse</v>
      </c>
      <c r="C6991" s="6">
        <f t="shared" si="1324"/>
        <v>0.47430555555555554</v>
      </c>
      <c r="D6991" s="5"/>
      <c r="E6991" s="5"/>
      <c r="F6991" s="5" t="s">
        <v>22</v>
      </c>
      <c r="G6991" s="15" t="s">
        <v>22</v>
      </c>
      <c r="H6991" s="24">
        <f t="shared" si="1308"/>
        <v>0</v>
      </c>
      <c r="I6991" s="24" t="str" cm="1">
        <f t="array" ref="I6991">IFERROR(IF($B6991=I$1, ($A6991+$C6991) - MAX(IF($B$2:$B6990=$B6991, $A$2:$A6990+$C$2:$C6990)), "")*24*60, "")</f>
        <v/>
      </c>
      <c r="J6991" s="24" cm="1">
        <f t="array" ref="J6991">IFERROR(IF($B6991=J$1, ($A6991+$C6991) - MAX(IF($B$2:$B6990=$B6991, $A$2:$A6990+$C$2:$C6990)), "")*24*60, "")</f>
        <v>0</v>
      </c>
      <c r="K6991" s="24" t="str" cm="1">
        <f t="array" ref="K6991">IFERROR(IF($B6991=K$1, ($A6991+$C6991) - MAX(IF($B$2:$B6990=$B6991, $A$2:$A6990+$C$2:$C6990)), "")*24*60, "")</f>
        <v/>
      </c>
      <c r="L6991" s="24" t="str" cm="1">
        <f t="array" ref="L6991">IFERROR(IF($B6991=L$1, ($A6991+$C6991) - MAX(IF($B$2:$B6990=$B6991, $A$2:$A6990+$C$2:$C6990)), "")*24*60, "")</f>
        <v/>
      </c>
      <c r="M6991" s="24" t="str" cm="1">
        <f t="array" ref="M6991">IFERROR(IF($B6991=M$1, ($A6991+$C6991) - MAX(IF($B$2:$B6990=$B6991, $A$2:$A6990+$C$2:$C6990)), "")*24*60, "")</f>
        <v/>
      </c>
      <c r="N6991" s="24" t="str" cm="1">
        <f t="array" ref="N6991">IFERROR(IF($B6991=N$1, ($A6991+$C6991) - MAX(IF($B$2:$B6990=$B6991, $A$2:$A6990+$C$2:$C6990)), "")*24*60, "")</f>
        <v/>
      </c>
      <c r="O6991" s="24" t="str" cm="1">
        <f t="array" ref="O6991">IFERROR(IF($B6991=O$1, ($A6991+$C6991) - MAX(IF($B$2:$B6990=$B6991, $A$2:$A6990+$C$2:$C6990)), "")*24*60, "")</f>
        <v/>
      </c>
      <c r="P6991" s="24" t="str" cm="1">
        <f t="array" ref="P6991">IFERROR(IF($B6991=P$1, ($A6991+$C6991) - MAX(IF($B$2:$B6990=$B6991, $A$2:$A6990+$C$2:$C6990)), "")*24*60, "")</f>
        <v/>
      </c>
      <c r="Q6991" s="24" t="str" cm="1">
        <f t="array" ref="Q6991">IFERROR(IF($B6991=Q$1, ($A6991+$C6991) - MAX(IF($B$2:$B6990=$B6991, $A$2:$A6990+$C$2:$C6990)), "")*24*60, "")</f>
        <v/>
      </c>
      <c r="R6991" s="24" t="str" cm="1">
        <f t="array" ref="R6991">IFERROR(IF($B6991=R$1, ($A6991+$C6991) - MAX(IF($B$2:$B6990=$B6991, $A$2:$A6990+$C$2:$C6990)), "")*24*60, "")</f>
        <v/>
      </c>
      <c r="S6991" s="24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C6992" si="1325">A6991</f>
        <v>46003</v>
      </c>
      <c r="B6992" s="5" t="str">
        <f t="shared" si="1325"/>
        <v>Tufted Titmouse</v>
      </c>
      <c r="C6992" s="6">
        <f t="shared" si="1325"/>
        <v>0.47430555555555554</v>
      </c>
      <c r="D6992" s="5"/>
      <c r="E6992" s="5"/>
      <c r="F6992" s="5" t="s">
        <v>22</v>
      </c>
      <c r="G6992" s="15" t="s">
        <v>22</v>
      </c>
      <c r="H6992" s="24">
        <f t="shared" si="1308"/>
        <v>0</v>
      </c>
      <c r="I6992" s="24" t="str" cm="1">
        <f t="array" ref="I6992">IFERROR(IF($B6992=I$1, ($A6992+$C6992) - MAX(IF($B$2:$B6991=$B6992, $A$2:$A6991+$C$2:$C6991)), "")*24*60, "")</f>
        <v/>
      </c>
      <c r="J6992" s="24" cm="1">
        <f t="array" ref="J6992">IFERROR(IF($B6992=J$1, ($A6992+$C6992) - MAX(IF($B$2:$B6991=$B6992, $A$2:$A6991+$C$2:$C6991)), "")*24*60, "")</f>
        <v>0</v>
      </c>
      <c r="K6992" s="24" t="str" cm="1">
        <f t="array" ref="K6992">IFERROR(IF($B6992=K$1, ($A6992+$C6992) - MAX(IF($B$2:$B6991=$B6992, $A$2:$A6991+$C$2:$C6991)), "")*24*60, "")</f>
        <v/>
      </c>
      <c r="L6992" s="24" t="str" cm="1">
        <f t="array" ref="L6992">IFERROR(IF($B6992=L$1, ($A6992+$C6992) - MAX(IF($B$2:$B6991=$B6992, $A$2:$A6991+$C$2:$C6991)), "")*24*60, "")</f>
        <v/>
      </c>
      <c r="M6992" s="24" t="str" cm="1">
        <f t="array" ref="M6992">IFERROR(IF($B6992=M$1, ($A6992+$C6992) - MAX(IF($B$2:$B6991=$B6992, $A$2:$A6991+$C$2:$C6991)), "")*24*60, "")</f>
        <v/>
      </c>
      <c r="N6992" s="24" t="str" cm="1">
        <f t="array" ref="N6992">IFERROR(IF($B6992=N$1, ($A6992+$C6992) - MAX(IF($B$2:$B6991=$B6992, $A$2:$A6991+$C$2:$C6991)), "")*24*60, "")</f>
        <v/>
      </c>
      <c r="O6992" s="24" t="str" cm="1">
        <f t="array" ref="O6992">IFERROR(IF($B6992=O$1, ($A6992+$C6992) - MAX(IF($B$2:$B6991=$B6992, $A$2:$A6991+$C$2:$C6991)), "")*24*60, "")</f>
        <v/>
      </c>
      <c r="P6992" s="24" t="str" cm="1">
        <f t="array" ref="P6992">IFERROR(IF($B6992=P$1, ($A6992+$C6992) - MAX(IF($B$2:$B6991=$B6992, $A$2:$A6991+$C$2:$C6991)), "")*24*60, "")</f>
        <v/>
      </c>
      <c r="Q6992" s="24" t="str" cm="1">
        <f t="array" ref="Q6992">IFERROR(IF($B6992=Q$1, ($A6992+$C6992) - MAX(IF($B$2:$B6991=$B6992, $A$2:$A6991+$C$2:$C6991)), "")*24*60, "")</f>
        <v/>
      </c>
      <c r="R6992" s="24" t="str" cm="1">
        <f t="array" ref="R6992">IFERROR(IF($B6992=R$1, ($A6992+$C6992) - MAX(IF($B$2:$B6991=$B6992, $A$2:$A6991+$C$2:$C6991)), "")*24*60, "")</f>
        <v/>
      </c>
      <c r="S6992" s="24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6">A6992</f>
        <v>46003</v>
      </c>
      <c r="B6993" s="5" t="str">
        <f t="shared" si="1326"/>
        <v>Tufted Titmouse</v>
      </c>
      <c r="C6993" s="6">
        <f t="shared" si="1326"/>
        <v>0.47430555555555554</v>
      </c>
      <c r="D6993" s="5"/>
      <c r="E6993" s="5"/>
      <c r="F6993" s="5" t="s">
        <v>22</v>
      </c>
      <c r="G6993" s="15" t="s">
        <v>22</v>
      </c>
      <c r="H6993" s="24">
        <f t="shared" si="1308"/>
        <v>0</v>
      </c>
      <c r="I6993" s="24" t="str" cm="1">
        <f t="array" ref="I6993">IFERROR(IF($B6993=I$1, ($A6993+$C6993) - MAX(IF($B$2:$B6992=$B6993, $A$2:$A6992+$C$2:$C6992)), "")*24*60, "")</f>
        <v/>
      </c>
      <c r="J6993" s="24" cm="1">
        <f t="array" ref="J6993">IFERROR(IF($B6993=J$1, ($A6993+$C6993) - MAX(IF($B$2:$B6992=$B6993, $A$2:$A6992+$C$2:$C6992)), "")*24*60, "")</f>
        <v>0</v>
      </c>
      <c r="K6993" s="24" t="str" cm="1">
        <f t="array" ref="K6993">IFERROR(IF($B6993=K$1, ($A6993+$C6993) - MAX(IF($B$2:$B6992=$B6993, $A$2:$A6992+$C$2:$C6992)), "")*24*60, "")</f>
        <v/>
      </c>
      <c r="L6993" s="24" t="str" cm="1">
        <f t="array" ref="L6993">IFERROR(IF($B6993=L$1, ($A6993+$C6993) - MAX(IF($B$2:$B6992=$B6993, $A$2:$A6992+$C$2:$C6992)), "")*24*60, "")</f>
        <v/>
      </c>
      <c r="M6993" s="24" t="str" cm="1">
        <f t="array" ref="M6993">IFERROR(IF($B6993=M$1, ($A6993+$C6993) - MAX(IF($B$2:$B6992=$B6993, $A$2:$A6992+$C$2:$C6992)), "")*24*60, "")</f>
        <v/>
      </c>
      <c r="N6993" s="24" t="str" cm="1">
        <f t="array" ref="N6993">IFERROR(IF($B6993=N$1, ($A6993+$C6993) - MAX(IF($B$2:$B6992=$B6993, $A$2:$A6992+$C$2:$C6992)), "")*24*60, "")</f>
        <v/>
      </c>
      <c r="O6993" s="24" t="str" cm="1">
        <f t="array" ref="O6993">IFERROR(IF($B6993=O$1, ($A6993+$C6993) - MAX(IF($B$2:$B6992=$B6993, $A$2:$A6992+$C$2:$C6992)), "")*24*60, "")</f>
        <v/>
      </c>
      <c r="P6993" s="24" t="str" cm="1">
        <f t="array" ref="P6993">IFERROR(IF($B6993=P$1, ($A6993+$C6993) - MAX(IF($B$2:$B6992=$B6993, $A$2:$A6992+$C$2:$C6992)), "")*24*60, "")</f>
        <v/>
      </c>
      <c r="Q6993" s="24" t="str" cm="1">
        <f t="array" ref="Q6993">IFERROR(IF($B6993=Q$1, ($A6993+$C6993) - MAX(IF($B$2:$B6992=$B6993, $A$2:$A6992+$C$2:$C6992)), "")*24*60, "")</f>
        <v/>
      </c>
      <c r="R6993" s="24" t="str" cm="1">
        <f t="array" ref="R6993">IFERROR(IF($B6993=R$1, ($A6993+$C6993) - MAX(IF($B$2:$B6992=$B6993, $A$2:$A6992+$C$2:$C6992)), "")*24*60, "")</f>
        <v/>
      </c>
      <c r="S6993" s="24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C6994" si="1327">A6993</f>
        <v>46003</v>
      </c>
      <c r="B6994" s="5" t="str">
        <f t="shared" si="1327"/>
        <v>Tufted Titmouse</v>
      </c>
      <c r="C6994" s="6">
        <f t="shared" si="1327"/>
        <v>0.47430555555555554</v>
      </c>
      <c r="D6994" s="5"/>
      <c r="E6994" s="5"/>
      <c r="F6994" s="5" t="s">
        <v>22</v>
      </c>
      <c r="G6994" s="15" t="s">
        <v>22</v>
      </c>
      <c r="H6994" s="24">
        <f t="shared" si="1308"/>
        <v>0</v>
      </c>
      <c r="I6994" s="24" t="str" cm="1">
        <f t="array" ref="I6994">IFERROR(IF($B6994=I$1, ($A6994+$C6994) - MAX(IF($B$2:$B6993=$B6994, $A$2:$A6993+$C$2:$C6993)), "")*24*60, "")</f>
        <v/>
      </c>
      <c r="J6994" s="24" cm="1">
        <f t="array" ref="J6994">IFERROR(IF($B6994=J$1, ($A6994+$C6994) - MAX(IF($B$2:$B6993=$B6994, $A$2:$A6993+$C$2:$C6993)), "")*24*60, "")</f>
        <v>0</v>
      </c>
      <c r="K6994" s="24" t="str" cm="1">
        <f t="array" ref="K6994">IFERROR(IF($B6994=K$1, ($A6994+$C6994) - MAX(IF($B$2:$B6993=$B6994, $A$2:$A6993+$C$2:$C6993)), "")*24*60, "")</f>
        <v/>
      </c>
      <c r="L6994" s="24" t="str" cm="1">
        <f t="array" ref="L6994">IFERROR(IF($B6994=L$1, ($A6994+$C6994) - MAX(IF($B$2:$B6993=$B6994, $A$2:$A6993+$C$2:$C6993)), "")*24*60, "")</f>
        <v/>
      </c>
      <c r="M6994" s="24" t="str" cm="1">
        <f t="array" ref="M6994">IFERROR(IF($B6994=M$1, ($A6994+$C6994) - MAX(IF($B$2:$B6993=$B6994, $A$2:$A6993+$C$2:$C6993)), "")*24*60, "")</f>
        <v/>
      </c>
      <c r="N6994" s="24" t="str" cm="1">
        <f t="array" ref="N6994">IFERROR(IF($B6994=N$1, ($A6994+$C6994) - MAX(IF($B$2:$B6993=$B6994, $A$2:$A6993+$C$2:$C6993)), "")*24*60, "")</f>
        <v/>
      </c>
      <c r="O6994" s="24" t="str" cm="1">
        <f t="array" ref="O6994">IFERROR(IF($B6994=O$1, ($A6994+$C6994) - MAX(IF($B$2:$B6993=$B6994, $A$2:$A6993+$C$2:$C6993)), "")*24*60, "")</f>
        <v/>
      </c>
      <c r="P6994" s="24" t="str" cm="1">
        <f t="array" ref="P6994">IFERROR(IF($B6994=P$1, ($A6994+$C6994) - MAX(IF($B$2:$B6993=$B6994, $A$2:$A6993+$C$2:$C6993)), "")*24*60, "")</f>
        <v/>
      </c>
      <c r="Q6994" s="24" t="str" cm="1">
        <f t="array" ref="Q6994">IFERROR(IF($B6994=Q$1, ($A6994+$C6994) - MAX(IF($B$2:$B6993=$B6994, $A$2:$A6993+$C$2:$C6993)), "")*24*60, "")</f>
        <v/>
      </c>
      <c r="R6994" s="24" t="str" cm="1">
        <f t="array" ref="R6994">IFERROR(IF($B6994=R$1, ($A6994+$C6994) - MAX(IF($B$2:$B6993=$B6994, $A$2:$A6993+$C$2:$C6993)), "")*24*60, "")</f>
        <v/>
      </c>
      <c r="S6994" s="24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8">A6994</f>
        <v>46003</v>
      </c>
      <c r="B6995" s="5" t="str">
        <f t="shared" si="1328"/>
        <v>Tufted Titmouse</v>
      </c>
      <c r="C6995" s="6">
        <f t="shared" si="1328"/>
        <v>0.47430555555555554</v>
      </c>
      <c r="D6995" s="5"/>
      <c r="E6995" s="5"/>
      <c r="F6995" s="5" t="s">
        <v>22</v>
      </c>
      <c r="G6995" s="15" t="s">
        <v>22</v>
      </c>
      <c r="H6995" s="24">
        <f t="shared" si="1308"/>
        <v>0</v>
      </c>
      <c r="I6995" s="24" t="str" cm="1">
        <f t="array" ref="I6995">IFERROR(IF($B6995=I$1, ($A6995+$C6995) - MAX(IF($B$2:$B6994=$B6995, $A$2:$A6994+$C$2:$C6994)), "")*24*60, "")</f>
        <v/>
      </c>
      <c r="J6995" s="24" cm="1">
        <f t="array" ref="J6995">IFERROR(IF($B6995=J$1, ($A6995+$C6995) - MAX(IF($B$2:$B6994=$B6995, $A$2:$A6994+$C$2:$C6994)), "")*24*60, "")</f>
        <v>0</v>
      </c>
      <c r="K6995" s="24" t="str" cm="1">
        <f t="array" ref="K6995">IFERROR(IF($B6995=K$1, ($A6995+$C6995) - MAX(IF($B$2:$B6994=$B6995, $A$2:$A6994+$C$2:$C6994)), "")*24*60, "")</f>
        <v/>
      </c>
      <c r="L6995" s="24" t="str" cm="1">
        <f t="array" ref="L6995">IFERROR(IF($B6995=L$1, ($A6995+$C6995) - MAX(IF($B$2:$B6994=$B6995, $A$2:$A6994+$C$2:$C6994)), "")*24*60, "")</f>
        <v/>
      </c>
      <c r="M6995" s="24" t="str" cm="1">
        <f t="array" ref="M6995">IFERROR(IF($B6995=M$1, ($A6995+$C6995) - MAX(IF($B$2:$B6994=$B6995, $A$2:$A6994+$C$2:$C6994)), "")*24*60, "")</f>
        <v/>
      </c>
      <c r="N6995" s="24" t="str" cm="1">
        <f t="array" ref="N6995">IFERROR(IF($B6995=N$1, ($A6995+$C6995) - MAX(IF($B$2:$B6994=$B6995, $A$2:$A6994+$C$2:$C6994)), "")*24*60, "")</f>
        <v/>
      </c>
      <c r="O6995" s="24" t="str" cm="1">
        <f t="array" ref="O6995">IFERROR(IF($B6995=O$1, ($A6995+$C6995) - MAX(IF($B$2:$B6994=$B6995, $A$2:$A6994+$C$2:$C6994)), "")*24*60, "")</f>
        <v/>
      </c>
      <c r="P6995" s="24" t="str" cm="1">
        <f t="array" ref="P6995">IFERROR(IF($B6995=P$1, ($A6995+$C6995) - MAX(IF($B$2:$B6994=$B6995, $A$2:$A6994+$C$2:$C6994)), "")*24*60, "")</f>
        <v/>
      </c>
      <c r="Q6995" s="24" t="str" cm="1">
        <f t="array" ref="Q6995">IFERROR(IF($B6995=Q$1, ($A6995+$C6995) - MAX(IF($B$2:$B6994=$B6995, $A$2:$A6994+$C$2:$C6994)), "")*24*60, "")</f>
        <v/>
      </c>
      <c r="R6995" s="24" t="str" cm="1">
        <f t="array" ref="R6995">IFERROR(IF($B6995=R$1, ($A6995+$C6995) - MAX(IF($B$2:$B6994=$B6995, $A$2:$A6994+$C$2:$C6994)), "")*24*60, "")</f>
        <v/>
      </c>
      <c r="S6995" s="24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C6996" si="1329">A6995</f>
        <v>46003</v>
      </c>
      <c r="B6996" s="5" t="str">
        <f t="shared" si="1329"/>
        <v>Tufted Titmouse</v>
      </c>
      <c r="C6996" s="6">
        <f t="shared" si="1329"/>
        <v>0.47430555555555554</v>
      </c>
      <c r="D6996" s="5"/>
      <c r="E6996" s="5"/>
      <c r="F6996" s="5" t="s">
        <v>22</v>
      </c>
      <c r="G6996" s="15" t="s">
        <v>22</v>
      </c>
      <c r="H6996" s="24">
        <f t="shared" si="1308"/>
        <v>0</v>
      </c>
      <c r="I6996" s="24" t="str" cm="1">
        <f t="array" ref="I6996">IFERROR(IF($B6996=I$1, ($A6996+$C6996) - MAX(IF($B$2:$B6995=$B6996, $A$2:$A6995+$C$2:$C6995)), "")*24*60, "")</f>
        <v/>
      </c>
      <c r="J6996" s="24" cm="1">
        <f t="array" ref="J6996">IFERROR(IF($B6996=J$1, ($A6996+$C6996) - MAX(IF($B$2:$B6995=$B6996, $A$2:$A6995+$C$2:$C6995)), "")*24*60, "")</f>
        <v>0</v>
      </c>
      <c r="K6996" s="24" t="str" cm="1">
        <f t="array" ref="K6996">IFERROR(IF($B6996=K$1, ($A6996+$C6996) - MAX(IF($B$2:$B6995=$B6996, $A$2:$A6995+$C$2:$C6995)), "")*24*60, "")</f>
        <v/>
      </c>
      <c r="L6996" s="24" t="str" cm="1">
        <f t="array" ref="L6996">IFERROR(IF($B6996=L$1, ($A6996+$C6996) - MAX(IF($B$2:$B6995=$B6996, $A$2:$A6995+$C$2:$C6995)), "")*24*60, "")</f>
        <v/>
      </c>
      <c r="M6996" s="24" t="str" cm="1">
        <f t="array" ref="M6996">IFERROR(IF($B6996=M$1, ($A6996+$C6996) - MAX(IF($B$2:$B6995=$B6996, $A$2:$A6995+$C$2:$C6995)), "")*24*60, "")</f>
        <v/>
      </c>
      <c r="N6996" s="24" t="str" cm="1">
        <f t="array" ref="N6996">IFERROR(IF($B6996=N$1, ($A6996+$C6996) - MAX(IF($B$2:$B6995=$B6996, $A$2:$A6995+$C$2:$C6995)), "")*24*60, "")</f>
        <v/>
      </c>
      <c r="O6996" s="24" t="str" cm="1">
        <f t="array" ref="O6996">IFERROR(IF($B6996=O$1, ($A6996+$C6996) - MAX(IF($B$2:$B6995=$B6996, $A$2:$A6995+$C$2:$C6995)), "")*24*60, "")</f>
        <v/>
      </c>
      <c r="P6996" s="24" t="str" cm="1">
        <f t="array" ref="P6996">IFERROR(IF($B6996=P$1, ($A6996+$C6996) - MAX(IF($B$2:$B6995=$B6996, $A$2:$A6995+$C$2:$C6995)), "")*24*60, "")</f>
        <v/>
      </c>
      <c r="Q6996" s="24" t="str" cm="1">
        <f t="array" ref="Q6996">IFERROR(IF($B6996=Q$1, ($A6996+$C6996) - MAX(IF($B$2:$B6995=$B6996, $A$2:$A6995+$C$2:$C6995)), "")*24*60, "")</f>
        <v/>
      </c>
      <c r="R6996" s="24" t="str" cm="1">
        <f t="array" ref="R6996">IFERROR(IF($B6996=R$1, ($A6996+$C6996) - MAX(IF($B$2:$B6995=$B6996, $A$2:$A6995+$C$2:$C6995)), "")*24*60, "")</f>
        <v/>
      </c>
      <c r="S6996" s="24" t="str" cm="1">
        <f t="array" ref="S6996">IFERROR(IF($B6996=S$1, ($A6996+$C6996) - MAX(IF($B$2:$B6995=$B6996, $A$2:$A6995+$C$2:$C6995)), "")*24*60, "")</f>
        <v/>
      </c>
    </row>
    <row r="6997" spans="1:19" x14ac:dyDescent="0.2">
      <c r="A6997" s="12">
        <f t="shared" ref="A6997:C6997" si="1330">A6996</f>
        <v>46003</v>
      </c>
      <c r="B6997" s="5" t="str">
        <f t="shared" si="1330"/>
        <v>Tufted Titmouse</v>
      </c>
      <c r="C6997" s="6">
        <f t="shared" si="1330"/>
        <v>0.47430555555555554</v>
      </c>
      <c r="D6997" s="5"/>
      <c r="E6997" s="5"/>
      <c r="F6997" s="5" t="s">
        <v>22</v>
      </c>
      <c r="G6997" s="15" t="s">
        <v>22</v>
      </c>
      <c r="H6997" s="24">
        <f t="shared" si="1308"/>
        <v>0</v>
      </c>
      <c r="I6997" s="24" t="str" cm="1">
        <f t="array" ref="I6997">IFERROR(IF($B6997=I$1, ($A6997+$C6997) - MAX(IF($B$2:$B6996=$B6997, $A$2:$A6996+$C$2:$C6996)), "")*24*60, "")</f>
        <v/>
      </c>
      <c r="J6997" s="24" cm="1">
        <f t="array" ref="J6997">IFERROR(IF($B6997=J$1, ($A6997+$C6997) - MAX(IF($B$2:$B6996=$B6997, $A$2:$A6996+$C$2:$C6996)), "")*24*60, "")</f>
        <v>0</v>
      </c>
      <c r="K6997" s="24" t="str" cm="1">
        <f t="array" ref="K6997">IFERROR(IF($B6997=K$1, ($A6997+$C6997) - MAX(IF($B$2:$B6996=$B6997, $A$2:$A6996+$C$2:$C6996)), "")*24*60, "")</f>
        <v/>
      </c>
      <c r="L6997" s="24" t="str" cm="1">
        <f t="array" ref="L6997">IFERROR(IF($B6997=L$1, ($A6997+$C6997) - MAX(IF($B$2:$B6996=$B6997, $A$2:$A6996+$C$2:$C6996)), "")*24*60, "")</f>
        <v/>
      </c>
      <c r="M6997" s="24" t="str" cm="1">
        <f t="array" ref="M6997">IFERROR(IF($B6997=M$1, ($A6997+$C6997) - MAX(IF($B$2:$B6996=$B6997, $A$2:$A6996+$C$2:$C6996)), "")*24*60, "")</f>
        <v/>
      </c>
      <c r="N6997" s="24" t="str" cm="1">
        <f t="array" ref="N6997">IFERROR(IF($B6997=N$1, ($A6997+$C6997) - MAX(IF($B$2:$B6996=$B6997, $A$2:$A6996+$C$2:$C6996)), "")*24*60, "")</f>
        <v/>
      </c>
      <c r="O6997" s="24" t="str" cm="1">
        <f t="array" ref="O6997">IFERROR(IF($B6997=O$1, ($A6997+$C6997) - MAX(IF($B$2:$B6996=$B6997, $A$2:$A6996+$C$2:$C6996)), "")*24*60, "")</f>
        <v/>
      </c>
      <c r="P6997" s="24" t="str" cm="1">
        <f t="array" ref="P6997">IFERROR(IF($B6997=P$1, ($A6997+$C6997) - MAX(IF($B$2:$B6996=$B6997, $A$2:$A6996+$C$2:$C6996)), "")*24*60, "")</f>
        <v/>
      </c>
      <c r="Q6997" s="24" t="str" cm="1">
        <f t="array" ref="Q6997">IFERROR(IF($B6997=Q$1, ($A6997+$C6997) - MAX(IF($B$2:$B6996=$B6997, $A$2:$A6996+$C$2:$C6996)), "")*24*60, "")</f>
        <v/>
      </c>
      <c r="R6997" s="24" t="str" cm="1">
        <f t="array" ref="R6997">IFERROR(IF($B6997=R$1, ($A6997+$C6997) - MAX(IF($B$2:$B6996=$B6997, $A$2:$A6996+$C$2:$C6996)), "")*24*60, "")</f>
        <v/>
      </c>
      <c r="S6997" s="24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f t="shared" ref="A6998:C6998" si="1331">A6997</f>
        <v>46003</v>
      </c>
      <c r="B6998" s="5" t="str">
        <f t="shared" si="1331"/>
        <v>Tufted Titmouse</v>
      </c>
      <c r="C6998" s="6">
        <f t="shared" si="1331"/>
        <v>0.47430555555555554</v>
      </c>
      <c r="D6998" s="5"/>
      <c r="E6998" s="5"/>
      <c r="F6998" s="5" t="s">
        <v>22</v>
      </c>
      <c r="G6998" s="15" t="s">
        <v>22</v>
      </c>
      <c r="H6998" s="24">
        <f t="shared" si="1308"/>
        <v>0</v>
      </c>
      <c r="I6998" s="24" t="str" cm="1">
        <f t="array" ref="I6998">IFERROR(IF($B6998=I$1, ($A6998+$C6998) - MAX(IF($B$2:$B6997=$B6998, $A$2:$A6997+$C$2:$C6997)), "")*24*60, "")</f>
        <v/>
      </c>
      <c r="J6998" s="24" cm="1">
        <f t="array" ref="J6998">IFERROR(IF($B6998=J$1, ($A6998+$C6998) - MAX(IF($B$2:$B6997=$B6998, $A$2:$A6997+$C$2:$C6997)), "")*24*60, "")</f>
        <v>0</v>
      </c>
      <c r="K6998" s="24" t="str" cm="1">
        <f t="array" ref="K6998">IFERROR(IF($B6998=K$1, ($A6998+$C6998) - MAX(IF($B$2:$B6997=$B6998, $A$2:$A6997+$C$2:$C6997)), "")*24*60, "")</f>
        <v/>
      </c>
      <c r="L6998" s="24" t="str" cm="1">
        <f t="array" ref="L6998">IFERROR(IF($B6998=L$1, ($A6998+$C6998) - MAX(IF($B$2:$B6997=$B6998, $A$2:$A6997+$C$2:$C6997)), "")*24*60, "")</f>
        <v/>
      </c>
      <c r="M6998" s="24" t="str" cm="1">
        <f t="array" ref="M6998">IFERROR(IF($B6998=M$1, ($A6998+$C6998) - MAX(IF($B$2:$B6997=$B6998, $A$2:$A6997+$C$2:$C6997)), "")*24*60, "")</f>
        <v/>
      </c>
      <c r="N6998" s="24" t="str" cm="1">
        <f t="array" ref="N6998">IFERROR(IF($B6998=N$1, ($A6998+$C6998) - MAX(IF($B$2:$B6997=$B6998, $A$2:$A6997+$C$2:$C6997)), "")*24*60, "")</f>
        <v/>
      </c>
      <c r="O6998" s="24" t="str" cm="1">
        <f t="array" ref="O6998">IFERROR(IF($B6998=O$1, ($A6998+$C6998) - MAX(IF($B$2:$B6997=$B6998, $A$2:$A6997+$C$2:$C6997)), "")*24*60, "")</f>
        <v/>
      </c>
      <c r="P6998" s="24" t="str" cm="1">
        <f t="array" ref="P6998">IFERROR(IF($B6998=P$1, ($A6998+$C6998) - MAX(IF($B$2:$B6997=$B6998, $A$2:$A6997+$C$2:$C6997)), "")*24*60, "")</f>
        <v/>
      </c>
      <c r="Q6998" s="24" t="str" cm="1">
        <f t="array" ref="Q6998">IFERROR(IF($B6998=Q$1, ($A6998+$C6998) - MAX(IF($B$2:$B6997=$B6998, $A$2:$A6997+$C$2:$C6997)), "")*24*60, "")</f>
        <v/>
      </c>
      <c r="R6998" s="24" t="str" cm="1">
        <f t="array" ref="R6998">IFERROR(IF($B6998=R$1, ($A6998+$C6998) - MAX(IF($B$2:$B6997=$B6998, $A$2:$A6997+$C$2:$C6997)), "")*24*60, "")</f>
        <v/>
      </c>
      <c r="S6998" s="24" t="str" cm="1">
        <f t="array" ref="S6998">IFERROR(IF($B6998=S$1, ($A6998+$C6998) - MAX(IF($B$2:$B6997=$B6998, $A$2:$A6997+$C$2:$C6997)), "")*24*60, "")</f>
        <v/>
      </c>
    </row>
    <row r="6999" spans="1:19" x14ac:dyDescent="0.2">
      <c r="A6999" s="12">
        <f t="shared" ref="A6999:C6999" si="1332">A6998</f>
        <v>46003</v>
      </c>
      <c r="B6999" s="5" t="str">
        <f t="shared" si="1332"/>
        <v>Tufted Titmouse</v>
      </c>
      <c r="C6999" s="6">
        <f t="shared" si="1332"/>
        <v>0.47430555555555554</v>
      </c>
      <c r="D6999" s="5"/>
      <c r="E6999" s="5"/>
      <c r="F6999" s="5" t="s">
        <v>22</v>
      </c>
      <c r="G6999" s="15" t="s">
        <v>22</v>
      </c>
      <c r="H6999" s="24">
        <f t="shared" si="1308"/>
        <v>0</v>
      </c>
      <c r="I6999" s="24" t="str" cm="1">
        <f t="array" ref="I6999">IFERROR(IF($B6999=I$1, ($A6999+$C6999) - MAX(IF($B$2:$B6998=$B6999, $A$2:$A6998+$C$2:$C6998)), "")*24*60, "")</f>
        <v/>
      </c>
      <c r="J6999" s="24" cm="1">
        <f t="array" ref="J6999">IFERROR(IF($B6999=J$1, ($A6999+$C6999) - MAX(IF($B$2:$B6998=$B6999, $A$2:$A6998+$C$2:$C6998)), "")*24*60, "")</f>
        <v>0</v>
      </c>
      <c r="K6999" s="24" t="str" cm="1">
        <f t="array" ref="K6999">IFERROR(IF($B6999=K$1, ($A6999+$C6999) - MAX(IF($B$2:$B6998=$B6999, $A$2:$A6998+$C$2:$C6998)), "")*24*60, "")</f>
        <v/>
      </c>
      <c r="L6999" s="24" t="str" cm="1">
        <f t="array" ref="L6999">IFERROR(IF($B6999=L$1, ($A6999+$C6999) - MAX(IF($B$2:$B6998=$B6999, $A$2:$A6998+$C$2:$C6998)), "")*24*60, "")</f>
        <v/>
      </c>
      <c r="M6999" s="24" t="str" cm="1">
        <f t="array" ref="M6999">IFERROR(IF($B6999=M$1, ($A6999+$C6999) - MAX(IF($B$2:$B6998=$B6999, $A$2:$A6998+$C$2:$C6998)), "")*24*60, "")</f>
        <v/>
      </c>
      <c r="N6999" s="24" t="str" cm="1">
        <f t="array" ref="N6999">IFERROR(IF($B6999=N$1, ($A6999+$C6999) - MAX(IF($B$2:$B6998=$B6999, $A$2:$A6998+$C$2:$C6998)), "")*24*60, "")</f>
        <v/>
      </c>
      <c r="O6999" s="24" t="str" cm="1">
        <f t="array" ref="O6999">IFERROR(IF($B6999=O$1, ($A6999+$C6999) - MAX(IF($B$2:$B6998=$B6999, $A$2:$A6998+$C$2:$C6998)), "")*24*60, "")</f>
        <v/>
      </c>
      <c r="P6999" s="24" t="str" cm="1">
        <f t="array" ref="P6999">IFERROR(IF($B6999=P$1, ($A6999+$C6999) - MAX(IF($B$2:$B6998=$B6999, $A$2:$A6998+$C$2:$C6998)), "")*24*60, "")</f>
        <v/>
      </c>
      <c r="Q6999" s="24" t="str" cm="1">
        <f t="array" ref="Q6999">IFERROR(IF($B6999=Q$1, ($A6999+$C6999) - MAX(IF($B$2:$B6998=$B6999, $A$2:$A6998+$C$2:$C6998)), "")*24*60, "")</f>
        <v/>
      </c>
      <c r="R6999" s="24" t="str" cm="1">
        <f t="array" ref="R6999">IFERROR(IF($B6999=R$1, ($A6999+$C6999) - MAX(IF($B$2:$B6998=$B6999, $A$2:$A6998+$C$2:$C6998)), "")*24*60, "")</f>
        <v/>
      </c>
      <c r="S6999" s="24" t="str" cm="1">
        <f t="array" ref="S6999">IFERROR(IF($B6999=S$1, ($A6999+$C6999) - MAX(IF($B$2:$B6998=$B6999, $A$2:$A6998+$C$2:$C6998)), "")*24*60, "")</f>
        <v/>
      </c>
    </row>
    <row r="7000" spans="1:19" x14ac:dyDescent="0.2">
      <c r="A7000" s="12">
        <f t="shared" ref="A7000:C7000" si="1333">A6999</f>
        <v>46003</v>
      </c>
      <c r="B7000" s="5" t="str">
        <f t="shared" si="1333"/>
        <v>Tufted Titmouse</v>
      </c>
      <c r="C7000" s="6">
        <f t="shared" si="1333"/>
        <v>0.47430555555555554</v>
      </c>
      <c r="D7000" s="5"/>
      <c r="E7000" s="5"/>
      <c r="F7000" s="5" t="s">
        <v>22</v>
      </c>
      <c r="G7000" s="15" t="s">
        <v>22</v>
      </c>
      <c r="H7000" s="24">
        <f t="shared" ref="H7000:H7063" si="1334">IFERROR((($A7000+$C7000) - ($A6999+$C6999))*24*60, "")</f>
        <v>0</v>
      </c>
      <c r="I7000" s="24" t="str" cm="1">
        <f t="array" ref="I7000">IFERROR(IF($B7000=I$1, ($A7000+$C7000) - MAX(IF($B$2:$B6999=$B7000, $A$2:$A6999+$C$2:$C6999)), "")*24*60, "")</f>
        <v/>
      </c>
      <c r="J7000" s="24" cm="1">
        <f t="array" ref="J7000">IFERROR(IF($B7000=J$1, ($A7000+$C7000) - MAX(IF($B$2:$B6999=$B7000, $A$2:$A6999+$C$2:$C6999)), "")*24*60, "")</f>
        <v>0</v>
      </c>
      <c r="K7000" s="24" t="str" cm="1">
        <f t="array" ref="K7000">IFERROR(IF($B7000=K$1, ($A7000+$C7000) - MAX(IF($B$2:$B6999=$B7000, $A$2:$A6999+$C$2:$C6999)), "")*24*60, "")</f>
        <v/>
      </c>
      <c r="L7000" s="24" t="str" cm="1">
        <f t="array" ref="L7000">IFERROR(IF($B7000=L$1, ($A7000+$C7000) - MAX(IF($B$2:$B6999=$B7000, $A$2:$A6999+$C$2:$C6999)), "")*24*60, "")</f>
        <v/>
      </c>
      <c r="M7000" s="24" t="str" cm="1">
        <f t="array" ref="M7000">IFERROR(IF($B7000=M$1, ($A7000+$C7000) - MAX(IF($B$2:$B6999=$B7000, $A$2:$A6999+$C$2:$C6999)), "")*24*60, "")</f>
        <v/>
      </c>
      <c r="N7000" s="24" t="str" cm="1">
        <f t="array" ref="N7000">IFERROR(IF($B7000=N$1, ($A7000+$C7000) - MAX(IF($B$2:$B6999=$B7000, $A$2:$A6999+$C$2:$C6999)), "")*24*60, "")</f>
        <v/>
      </c>
      <c r="O7000" s="24" t="str" cm="1">
        <f t="array" ref="O7000">IFERROR(IF($B7000=O$1, ($A7000+$C7000) - MAX(IF($B$2:$B6999=$B7000, $A$2:$A6999+$C$2:$C6999)), "")*24*60, "")</f>
        <v/>
      </c>
      <c r="P7000" s="24" t="str" cm="1">
        <f t="array" ref="P7000">IFERROR(IF($B7000=P$1, ($A7000+$C7000) - MAX(IF($B$2:$B6999=$B7000, $A$2:$A6999+$C$2:$C6999)), "")*24*60, "")</f>
        <v/>
      </c>
      <c r="Q7000" s="24" t="str" cm="1">
        <f t="array" ref="Q7000">IFERROR(IF($B7000=Q$1, ($A7000+$C7000) - MAX(IF($B$2:$B6999=$B7000, $A$2:$A6999+$C$2:$C6999)), "")*24*60, "")</f>
        <v/>
      </c>
      <c r="R7000" s="24" t="str" cm="1">
        <f t="array" ref="R7000">IFERROR(IF($B7000=R$1, ($A7000+$C7000) - MAX(IF($B$2:$B6999=$B7000, $A$2:$A6999+$C$2:$C6999)), "")*24*60, "")</f>
        <v/>
      </c>
      <c r="S7000" s="24" t="str" cm="1">
        <f t="array" ref="S7000">IFERROR(IF($B7000=S$1, ($A7000+$C7000) - MAX(IF($B$2:$B6999=$B7000, $A$2:$A6999+$C$2:$C6999)), "")*24*60, "")</f>
        <v/>
      </c>
    </row>
    <row r="7001" spans="1:19" x14ac:dyDescent="0.2">
      <c r="A7001" s="12">
        <f t="shared" ref="A7001:C7001" si="1335">A7000</f>
        <v>46003</v>
      </c>
      <c r="B7001" s="5" t="str">
        <f t="shared" si="1335"/>
        <v>Tufted Titmouse</v>
      </c>
      <c r="C7001" s="6">
        <f t="shared" si="1335"/>
        <v>0.47430555555555554</v>
      </c>
      <c r="D7001" s="5"/>
      <c r="E7001" s="5"/>
      <c r="F7001" s="5" t="s">
        <v>22</v>
      </c>
      <c r="G7001" s="15" t="s">
        <v>22</v>
      </c>
      <c r="H7001" s="24">
        <f t="shared" si="1334"/>
        <v>0</v>
      </c>
      <c r="I7001" s="24" t="str" cm="1">
        <f t="array" ref="I7001">IFERROR(IF($B7001=I$1, ($A7001+$C7001) - MAX(IF($B$2:$B7000=$B7001, $A$2:$A7000+$C$2:$C7000)), "")*24*60, "")</f>
        <v/>
      </c>
      <c r="J7001" s="24" cm="1">
        <f t="array" ref="J7001">IFERROR(IF($B7001=J$1, ($A7001+$C7001) - MAX(IF($B$2:$B7000=$B7001, $A$2:$A7000+$C$2:$C7000)), "")*24*60, "")</f>
        <v>0</v>
      </c>
      <c r="K7001" s="24" t="str" cm="1">
        <f t="array" ref="K7001">IFERROR(IF($B7001=K$1, ($A7001+$C7001) - MAX(IF($B$2:$B7000=$B7001, $A$2:$A7000+$C$2:$C7000)), "")*24*60, "")</f>
        <v/>
      </c>
      <c r="L7001" s="24" t="str" cm="1">
        <f t="array" ref="L7001">IFERROR(IF($B7001=L$1, ($A7001+$C7001) - MAX(IF($B$2:$B7000=$B7001, $A$2:$A7000+$C$2:$C7000)), "")*24*60, "")</f>
        <v/>
      </c>
      <c r="M7001" s="24" t="str" cm="1">
        <f t="array" ref="M7001">IFERROR(IF($B7001=M$1, ($A7001+$C7001) - MAX(IF($B$2:$B7000=$B7001, $A$2:$A7000+$C$2:$C7000)), "")*24*60, "")</f>
        <v/>
      </c>
      <c r="N7001" s="24" t="str" cm="1">
        <f t="array" ref="N7001">IFERROR(IF($B7001=N$1, ($A7001+$C7001) - MAX(IF($B$2:$B7000=$B7001, $A$2:$A7000+$C$2:$C7000)), "")*24*60, "")</f>
        <v/>
      </c>
      <c r="O7001" s="24" t="str" cm="1">
        <f t="array" ref="O7001">IFERROR(IF($B7001=O$1, ($A7001+$C7001) - MAX(IF($B$2:$B7000=$B7001, $A$2:$A7000+$C$2:$C7000)), "")*24*60, "")</f>
        <v/>
      </c>
      <c r="P7001" s="24" t="str" cm="1">
        <f t="array" ref="P7001">IFERROR(IF($B7001=P$1, ($A7001+$C7001) - MAX(IF($B$2:$B7000=$B7001, $A$2:$A7000+$C$2:$C7000)), "")*24*60, "")</f>
        <v/>
      </c>
      <c r="Q7001" s="24" t="str" cm="1">
        <f t="array" ref="Q7001">IFERROR(IF($B7001=Q$1, ($A7001+$C7001) - MAX(IF($B$2:$B7000=$B7001, $A$2:$A7000+$C$2:$C7000)), "")*24*60, "")</f>
        <v/>
      </c>
      <c r="R7001" s="24" t="str" cm="1">
        <f t="array" ref="R7001">IFERROR(IF($B7001=R$1, ($A7001+$C7001) - MAX(IF($B$2:$B7000=$B7001, $A$2:$A7000+$C$2:$C7000)), "")*24*60, "")</f>
        <v/>
      </c>
      <c r="S7001" s="24" t="str" cm="1">
        <f t="array" ref="S7001">IFERROR(IF($B7001=S$1, ($A7001+$C7001) - MAX(IF($B$2:$B7000=$B7001, $A$2:$A7000+$C$2:$C7000)), "")*24*60, "")</f>
        <v/>
      </c>
    </row>
    <row r="7002" spans="1:19" x14ac:dyDescent="0.2">
      <c r="A7002" s="12">
        <f t="shared" ref="A7002:C7002" si="1336">A7001</f>
        <v>46003</v>
      </c>
      <c r="B7002" s="5" t="str">
        <f t="shared" si="1336"/>
        <v>Tufted Titmouse</v>
      </c>
      <c r="C7002" s="6">
        <f t="shared" si="1336"/>
        <v>0.47430555555555554</v>
      </c>
      <c r="D7002" s="5"/>
      <c r="E7002" s="5"/>
      <c r="F7002" s="5" t="s">
        <v>22</v>
      </c>
      <c r="G7002" s="15" t="s">
        <v>22</v>
      </c>
      <c r="H7002" s="24">
        <f t="shared" si="1334"/>
        <v>0</v>
      </c>
      <c r="I7002" s="24" t="str" cm="1">
        <f t="array" ref="I7002">IFERROR(IF($B7002=I$1, ($A7002+$C7002) - MAX(IF($B$2:$B7001=$B7002, $A$2:$A7001+$C$2:$C7001)), "")*24*60, "")</f>
        <v/>
      </c>
      <c r="J7002" s="24" cm="1">
        <f t="array" ref="J7002">IFERROR(IF($B7002=J$1, ($A7002+$C7002) - MAX(IF($B$2:$B7001=$B7002, $A$2:$A7001+$C$2:$C7001)), "")*24*60, "")</f>
        <v>0</v>
      </c>
      <c r="K7002" s="24" t="str" cm="1">
        <f t="array" ref="K7002">IFERROR(IF($B7002=K$1, ($A7002+$C7002) - MAX(IF($B$2:$B7001=$B7002, $A$2:$A7001+$C$2:$C7001)), "")*24*60, "")</f>
        <v/>
      </c>
      <c r="L7002" s="24" t="str" cm="1">
        <f t="array" ref="L7002">IFERROR(IF($B7002=L$1, ($A7002+$C7002) - MAX(IF($B$2:$B7001=$B7002, $A$2:$A7001+$C$2:$C7001)), "")*24*60, "")</f>
        <v/>
      </c>
      <c r="M7002" s="24" t="str" cm="1">
        <f t="array" ref="M7002">IFERROR(IF($B7002=M$1, ($A7002+$C7002) - MAX(IF($B$2:$B7001=$B7002, $A$2:$A7001+$C$2:$C7001)), "")*24*60, "")</f>
        <v/>
      </c>
      <c r="N7002" s="24" t="str" cm="1">
        <f t="array" ref="N7002">IFERROR(IF($B7002=N$1, ($A7002+$C7002) - MAX(IF($B$2:$B7001=$B7002, $A$2:$A7001+$C$2:$C7001)), "")*24*60, "")</f>
        <v/>
      </c>
      <c r="O7002" s="24" t="str" cm="1">
        <f t="array" ref="O7002">IFERROR(IF($B7002=O$1, ($A7002+$C7002) - MAX(IF($B$2:$B7001=$B7002, $A$2:$A7001+$C$2:$C7001)), "")*24*60, "")</f>
        <v/>
      </c>
      <c r="P7002" s="24" t="str" cm="1">
        <f t="array" ref="P7002">IFERROR(IF($B7002=P$1, ($A7002+$C7002) - MAX(IF($B$2:$B7001=$B7002, $A$2:$A7001+$C$2:$C7001)), "")*24*60, "")</f>
        <v/>
      </c>
      <c r="Q7002" s="24" t="str" cm="1">
        <f t="array" ref="Q7002">IFERROR(IF($B7002=Q$1, ($A7002+$C7002) - MAX(IF($B$2:$B7001=$B7002, $A$2:$A7001+$C$2:$C7001)), "")*24*60, "")</f>
        <v/>
      </c>
      <c r="R7002" s="24" t="str" cm="1">
        <f t="array" ref="R7002">IFERROR(IF($B7002=R$1, ($A7002+$C7002) - MAX(IF($B$2:$B7001=$B7002, $A$2:$A7001+$C$2:$C7001)), "")*24*60, "")</f>
        <v/>
      </c>
      <c r="S7002" s="24" t="str" cm="1">
        <f t="array" ref="S7002">IFERROR(IF($B7002=S$1, ($A7002+$C7002) - MAX(IF($B$2:$B7001=$B7002, $A$2:$A7001+$C$2:$C7001)), "")*24*60, "")</f>
        <v/>
      </c>
    </row>
    <row r="7003" spans="1:19" x14ac:dyDescent="0.2">
      <c r="A7003" s="12">
        <f t="shared" ref="A7003:C7003" si="1337">A7002</f>
        <v>46003</v>
      </c>
      <c r="B7003" s="5" t="str">
        <f t="shared" si="1337"/>
        <v>Tufted Titmouse</v>
      </c>
      <c r="C7003" s="6">
        <f t="shared" si="1337"/>
        <v>0.47430555555555554</v>
      </c>
      <c r="D7003" s="5"/>
      <c r="E7003" s="5"/>
      <c r="F7003" s="5" t="s">
        <v>22</v>
      </c>
      <c r="G7003" s="15" t="s">
        <v>22</v>
      </c>
      <c r="H7003" s="24">
        <f t="shared" si="1334"/>
        <v>0</v>
      </c>
      <c r="I7003" s="24" t="str" cm="1">
        <f t="array" ref="I7003">IFERROR(IF($B7003=I$1, ($A7003+$C7003) - MAX(IF($B$2:$B7002=$B7003, $A$2:$A7002+$C$2:$C7002)), "")*24*60, "")</f>
        <v/>
      </c>
      <c r="J7003" s="24" cm="1">
        <f t="array" ref="J7003">IFERROR(IF($B7003=J$1, ($A7003+$C7003) - MAX(IF($B$2:$B7002=$B7003, $A$2:$A7002+$C$2:$C7002)), "")*24*60, "")</f>
        <v>0</v>
      </c>
      <c r="K7003" s="24" t="str" cm="1">
        <f t="array" ref="K7003">IFERROR(IF($B7003=K$1, ($A7003+$C7003) - MAX(IF($B$2:$B7002=$B7003, $A$2:$A7002+$C$2:$C7002)), "")*24*60, "")</f>
        <v/>
      </c>
      <c r="L7003" s="24" t="str" cm="1">
        <f t="array" ref="L7003">IFERROR(IF($B7003=L$1, ($A7003+$C7003) - MAX(IF($B$2:$B7002=$B7003, $A$2:$A7002+$C$2:$C7002)), "")*24*60, "")</f>
        <v/>
      </c>
      <c r="M7003" s="24" t="str" cm="1">
        <f t="array" ref="M7003">IFERROR(IF($B7003=M$1, ($A7003+$C7003) - MAX(IF($B$2:$B7002=$B7003, $A$2:$A7002+$C$2:$C7002)), "")*24*60, "")</f>
        <v/>
      </c>
      <c r="N7003" s="24" t="str" cm="1">
        <f t="array" ref="N7003">IFERROR(IF($B7003=N$1, ($A7003+$C7003) - MAX(IF($B$2:$B7002=$B7003, $A$2:$A7002+$C$2:$C7002)), "")*24*60, "")</f>
        <v/>
      </c>
      <c r="O7003" s="24" t="str" cm="1">
        <f t="array" ref="O7003">IFERROR(IF($B7003=O$1, ($A7003+$C7003) - MAX(IF($B$2:$B7002=$B7003, $A$2:$A7002+$C$2:$C7002)), "")*24*60, "")</f>
        <v/>
      </c>
      <c r="P7003" s="24" t="str" cm="1">
        <f t="array" ref="P7003">IFERROR(IF($B7003=P$1, ($A7003+$C7003) - MAX(IF($B$2:$B7002=$B7003, $A$2:$A7002+$C$2:$C7002)), "")*24*60, "")</f>
        <v/>
      </c>
      <c r="Q7003" s="24" t="str" cm="1">
        <f t="array" ref="Q7003">IFERROR(IF($B7003=Q$1, ($A7003+$C7003) - MAX(IF($B$2:$B7002=$B7003, $A$2:$A7002+$C$2:$C7002)), "")*24*60, "")</f>
        <v/>
      </c>
      <c r="R7003" s="24" t="str" cm="1">
        <f t="array" ref="R7003">IFERROR(IF($B7003=R$1, ($A7003+$C7003) - MAX(IF($B$2:$B7002=$B7003, $A$2:$A7002+$C$2:$C7002)), "")*24*60, "")</f>
        <v/>
      </c>
      <c r="S7003" s="24" t="str" cm="1">
        <f t="array" ref="S7003">IFERROR(IF($B7003=S$1, ($A7003+$C7003) - MAX(IF($B$2:$B7002=$B7003, $A$2:$A7002+$C$2:$C7002)), "")*24*60, "")</f>
        <v/>
      </c>
    </row>
    <row r="7004" spans="1:19" x14ac:dyDescent="0.2">
      <c r="A7004" s="12">
        <f t="shared" ref="A7004:C7004" si="1338">A7003</f>
        <v>46003</v>
      </c>
      <c r="B7004" s="5" t="str">
        <f t="shared" si="1338"/>
        <v>Tufted Titmouse</v>
      </c>
      <c r="C7004" s="6">
        <f t="shared" si="1338"/>
        <v>0.47430555555555554</v>
      </c>
      <c r="D7004" s="5"/>
      <c r="E7004" s="5"/>
      <c r="F7004" s="5" t="s">
        <v>22</v>
      </c>
      <c r="G7004" s="15" t="s">
        <v>22</v>
      </c>
      <c r="H7004" s="24">
        <f t="shared" si="1334"/>
        <v>0</v>
      </c>
      <c r="I7004" s="24" t="str" cm="1">
        <f t="array" ref="I7004">IFERROR(IF($B7004=I$1, ($A7004+$C7004) - MAX(IF($B$2:$B7003=$B7004, $A$2:$A7003+$C$2:$C7003)), "")*24*60, "")</f>
        <v/>
      </c>
      <c r="J7004" s="24" cm="1">
        <f t="array" ref="J7004">IFERROR(IF($B7004=J$1, ($A7004+$C7004) - MAX(IF($B$2:$B7003=$B7004, $A$2:$A7003+$C$2:$C7003)), "")*24*60, "")</f>
        <v>0</v>
      </c>
      <c r="K7004" s="24" t="str" cm="1">
        <f t="array" ref="K7004">IFERROR(IF($B7004=K$1, ($A7004+$C7004) - MAX(IF($B$2:$B7003=$B7004, $A$2:$A7003+$C$2:$C7003)), "")*24*60, "")</f>
        <v/>
      </c>
      <c r="L7004" s="24" t="str" cm="1">
        <f t="array" ref="L7004">IFERROR(IF($B7004=L$1, ($A7004+$C7004) - MAX(IF($B$2:$B7003=$B7004, $A$2:$A7003+$C$2:$C7003)), "")*24*60, "")</f>
        <v/>
      </c>
      <c r="M7004" s="24" t="str" cm="1">
        <f t="array" ref="M7004">IFERROR(IF($B7004=M$1, ($A7004+$C7004) - MAX(IF($B$2:$B7003=$B7004, $A$2:$A7003+$C$2:$C7003)), "")*24*60, "")</f>
        <v/>
      </c>
      <c r="N7004" s="24" t="str" cm="1">
        <f t="array" ref="N7004">IFERROR(IF($B7004=N$1, ($A7004+$C7004) - MAX(IF($B$2:$B7003=$B7004, $A$2:$A7003+$C$2:$C7003)), "")*24*60, "")</f>
        <v/>
      </c>
      <c r="O7004" s="24" t="str" cm="1">
        <f t="array" ref="O7004">IFERROR(IF($B7004=O$1, ($A7004+$C7004) - MAX(IF($B$2:$B7003=$B7004, $A$2:$A7003+$C$2:$C7003)), "")*24*60, "")</f>
        <v/>
      </c>
      <c r="P7004" s="24" t="str" cm="1">
        <f t="array" ref="P7004">IFERROR(IF($B7004=P$1, ($A7004+$C7004) - MAX(IF($B$2:$B7003=$B7004, $A$2:$A7003+$C$2:$C7003)), "")*24*60, "")</f>
        <v/>
      </c>
      <c r="Q7004" s="24" t="str" cm="1">
        <f t="array" ref="Q7004">IFERROR(IF($B7004=Q$1, ($A7004+$C7004) - MAX(IF($B$2:$B7003=$B7004, $A$2:$A7003+$C$2:$C7003)), "")*24*60, "")</f>
        <v/>
      </c>
      <c r="R7004" s="24" t="str" cm="1">
        <f t="array" ref="R7004">IFERROR(IF($B7004=R$1, ($A7004+$C7004) - MAX(IF($B$2:$B7003=$B7004, $A$2:$A7003+$C$2:$C7003)), "")*24*60, "")</f>
        <v/>
      </c>
      <c r="S7004" s="24" t="str" cm="1">
        <f t="array" ref="S7004">IFERROR(IF($B7004=S$1, ($A7004+$C7004) - MAX(IF($B$2:$B7003=$B7004, $A$2:$A7003+$C$2:$C7003)), "")*24*60, "")</f>
        <v/>
      </c>
    </row>
    <row r="7005" spans="1:19" x14ac:dyDescent="0.2">
      <c r="A7005" s="12">
        <f t="shared" ref="A7005:C7005" si="1339">A7004</f>
        <v>46003</v>
      </c>
      <c r="B7005" s="5" t="str">
        <f t="shared" si="1339"/>
        <v>Tufted Titmouse</v>
      </c>
      <c r="C7005" s="6">
        <f t="shared" si="1339"/>
        <v>0.47430555555555554</v>
      </c>
      <c r="D7005" s="5"/>
      <c r="E7005" s="5"/>
      <c r="F7005" s="5" t="s">
        <v>22</v>
      </c>
      <c r="G7005" s="15" t="s">
        <v>22</v>
      </c>
      <c r="H7005" s="24">
        <f t="shared" si="1334"/>
        <v>0</v>
      </c>
      <c r="I7005" s="24" t="str" cm="1">
        <f t="array" ref="I7005">IFERROR(IF($B7005=I$1, ($A7005+$C7005) - MAX(IF($B$2:$B7004=$B7005, $A$2:$A7004+$C$2:$C7004)), "")*24*60, "")</f>
        <v/>
      </c>
      <c r="J7005" s="24" cm="1">
        <f t="array" ref="J7005">IFERROR(IF($B7005=J$1, ($A7005+$C7005) - MAX(IF($B$2:$B7004=$B7005, $A$2:$A7004+$C$2:$C7004)), "")*24*60, "")</f>
        <v>0</v>
      </c>
      <c r="K7005" s="24" t="str" cm="1">
        <f t="array" ref="K7005">IFERROR(IF($B7005=K$1, ($A7005+$C7005) - MAX(IF($B$2:$B7004=$B7005, $A$2:$A7004+$C$2:$C7004)), "")*24*60, "")</f>
        <v/>
      </c>
      <c r="L7005" s="24" t="str" cm="1">
        <f t="array" ref="L7005">IFERROR(IF($B7005=L$1, ($A7005+$C7005) - MAX(IF($B$2:$B7004=$B7005, $A$2:$A7004+$C$2:$C7004)), "")*24*60, "")</f>
        <v/>
      </c>
      <c r="M7005" s="24" t="str" cm="1">
        <f t="array" ref="M7005">IFERROR(IF($B7005=M$1, ($A7005+$C7005) - MAX(IF($B$2:$B7004=$B7005, $A$2:$A7004+$C$2:$C7004)), "")*24*60, "")</f>
        <v/>
      </c>
      <c r="N7005" s="24" t="str" cm="1">
        <f t="array" ref="N7005">IFERROR(IF($B7005=N$1, ($A7005+$C7005) - MAX(IF($B$2:$B7004=$B7005, $A$2:$A7004+$C$2:$C7004)), "")*24*60, "")</f>
        <v/>
      </c>
      <c r="O7005" s="24" t="str" cm="1">
        <f t="array" ref="O7005">IFERROR(IF($B7005=O$1, ($A7005+$C7005) - MAX(IF($B$2:$B7004=$B7005, $A$2:$A7004+$C$2:$C7004)), "")*24*60, "")</f>
        <v/>
      </c>
      <c r="P7005" s="24" t="str" cm="1">
        <f t="array" ref="P7005">IFERROR(IF($B7005=P$1, ($A7005+$C7005) - MAX(IF($B$2:$B7004=$B7005, $A$2:$A7004+$C$2:$C7004)), "")*24*60, "")</f>
        <v/>
      </c>
      <c r="Q7005" s="24" t="str" cm="1">
        <f t="array" ref="Q7005">IFERROR(IF($B7005=Q$1, ($A7005+$C7005) - MAX(IF($B$2:$B7004=$B7005, $A$2:$A7004+$C$2:$C7004)), "")*24*60, "")</f>
        <v/>
      </c>
      <c r="R7005" s="24" t="str" cm="1">
        <f t="array" ref="R7005">IFERROR(IF($B7005=R$1, ($A7005+$C7005) - MAX(IF($B$2:$B7004=$B7005, $A$2:$A7004+$C$2:$C7004)), "")*24*60, "")</f>
        <v/>
      </c>
      <c r="S7005" s="24" t="str" cm="1">
        <f t="array" ref="S7005">IFERROR(IF($B7005=S$1, ($A7005+$C7005) - MAX(IF($B$2:$B7004=$B7005, $A$2:$A7004+$C$2:$C7004)), "")*24*60, "")</f>
        <v/>
      </c>
    </row>
    <row r="7006" spans="1:19" x14ac:dyDescent="0.2">
      <c r="A7006" s="12">
        <f t="shared" ref="A7006:C7006" si="1340">A7005</f>
        <v>46003</v>
      </c>
      <c r="B7006" s="5" t="str">
        <f t="shared" si="1340"/>
        <v>Tufted Titmouse</v>
      </c>
      <c r="C7006" s="6">
        <f t="shared" si="1340"/>
        <v>0.47430555555555554</v>
      </c>
      <c r="D7006" s="5"/>
      <c r="E7006" s="5"/>
      <c r="F7006" s="5" t="s">
        <v>22</v>
      </c>
      <c r="G7006" s="15" t="s">
        <v>22</v>
      </c>
      <c r="H7006" s="24">
        <f t="shared" si="1334"/>
        <v>0</v>
      </c>
      <c r="I7006" s="24" t="str" cm="1">
        <f t="array" ref="I7006">IFERROR(IF($B7006=I$1, ($A7006+$C7006) - MAX(IF($B$2:$B7005=$B7006, $A$2:$A7005+$C$2:$C7005)), "")*24*60, "")</f>
        <v/>
      </c>
      <c r="J7006" s="24" cm="1">
        <f t="array" ref="J7006">IFERROR(IF($B7006=J$1, ($A7006+$C7006) - MAX(IF($B$2:$B7005=$B7006, $A$2:$A7005+$C$2:$C7005)), "")*24*60, "")</f>
        <v>0</v>
      </c>
      <c r="K7006" s="24" t="str" cm="1">
        <f t="array" ref="K7006">IFERROR(IF($B7006=K$1, ($A7006+$C7006) - MAX(IF($B$2:$B7005=$B7006, $A$2:$A7005+$C$2:$C7005)), "")*24*60, "")</f>
        <v/>
      </c>
      <c r="L7006" s="24" t="str" cm="1">
        <f t="array" ref="L7006">IFERROR(IF($B7006=L$1, ($A7006+$C7006) - MAX(IF($B$2:$B7005=$B7006, $A$2:$A7005+$C$2:$C7005)), "")*24*60, "")</f>
        <v/>
      </c>
      <c r="M7006" s="24" t="str" cm="1">
        <f t="array" ref="M7006">IFERROR(IF($B7006=M$1, ($A7006+$C7006) - MAX(IF($B$2:$B7005=$B7006, $A$2:$A7005+$C$2:$C7005)), "")*24*60, "")</f>
        <v/>
      </c>
      <c r="N7006" s="24" t="str" cm="1">
        <f t="array" ref="N7006">IFERROR(IF($B7006=N$1, ($A7006+$C7006) - MAX(IF($B$2:$B7005=$B7006, $A$2:$A7005+$C$2:$C7005)), "")*24*60, "")</f>
        <v/>
      </c>
      <c r="O7006" s="24" t="str" cm="1">
        <f t="array" ref="O7006">IFERROR(IF($B7006=O$1, ($A7006+$C7006) - MAX(IF($B$2:$B7005=$B7006, $A$2:$A7005+$C$2:$C7005)), "")*24*60, "")</f>
        <v/>
      </c>
      <c r="P7006" s="24" t="str" cm="1">
        <f t="array" ref="P7006">IFERROR(IF($B7006=P$1, ($A7006+$C7006) - MAX(IF($B$2:$B7005=$B7006, $A$2:$A7005+$C$2:$C7005)), "")*24*60, "")</f>
        <v/>
      </c>
      <c r="Q7006" s="24" t="str" cm="1">
        <f t="array" ref="Q7006">IFERROR(IF($B7006=Q$1, ($A7006+$C7006) - MAX(IF($B$2:$B7005=$B7006, $A$2:$A7005+$C$2:$C7005)), "")*24*60, "")</f>
        <v/>
      </c>
      <c r="R7006" s="24" t="str" cm="1">
        <f t="array" ref="R7006">IFERROR(IF($B7006=R$1, ($A7006+$C7006) - MAX(IF($B$2:$B7005=$B7006, $A$2:$A7005+$C$2:$C7005)), "")*24*60, "")</f>
        <v/>
      </c>
      <c r="S7006" s="24" t="str" cm="1">
        <f t="array" ref="S7006">IFERROR(IF($B7006=S$1, ($A7006+$C7006) - MAX(IF($B$2:$B7005=$B7006, $A$2:$A7005+$C$2:$C7005)), "")*24*60, "")</f>
        <v/>
      </c>
    </row>
    <row r="7007" spans="1:19" x14ac:dyDescent="0.2">
      <c r="A7007" s="12">
        <f t="shared" ref="A7007:C7007" si="1341">A7006</f>
        <v>46003</v>
      </c>
      <c r="B7007" s="5" t="str">
        <f t="shared" si="1341"/>
        <v>Tufted Titmouse</v>
      </c>
      <c r="C7007" s="6">
        <f t="shared" si="1341"/>
        <v>0.47430555555555554</v>
      </c>
      <c r="D7007" s="5"/>
      <c r="E7007" s="5"/>
      <c r="F7007" s="5" t="s">
        <v>22</v>
      </c>
      <c r="G7007" s="15" t="s">
        <v>22</v>
      </c>
      <c r="H7007" s="24">
        <f t="shared" si="1334"/>
        <v>0</v>
      </c>
      <c r="I7007" s="24" t="str" cm="1">
        <f t="array" ref="I7007">IFERROR(IF($B7007=I$1, ($A7007+$C7007) - MAX(IF($B$2:$B7006=$B7007, $A$2:$A7006+$C$2:$C7006)), "")*24*60, "")</f>
        <v/>
      </c>
      <c r="J7007" s="24" cm="1">
        <f t="array" ref="J7007">IFERROR(IF($B7007=J$1, ($A7007+$C7007) - MAX(IF($B$2:$B7006=$B7007, $A$2:$A7006+$C$2:$C7006)), "")*24*60, "")</f>
        <v>0</v>
      </c>
      <c r="K7007" s="24" t="str" cm="1">
        <f t="array" ref="K7007">IFERROR(IF($B7007=K$1, ($A7007+$C7007) - MAX(IF($B$2:$B7006=$B7007, $A$2:$A7006+$C$2:$C7006)), "")*24*60, "")</f>
        <v/>
      </c>
      <c r="L7007" s="24" t="str" cm="1">
        <f t="array" ref="L7007">IFERROR(IF($B7007=L$1, ($A7007+$C7007) - MAX(IF($B$2:$B7006=$B7007, $A$2:$A7006+$C$2:$C7006)), "")*24*60, "")</f>
        <v/>
      </c>
      <c r="M7007" s="24" t="str" cm="1">
        <f t="array" ref="M7007">IFERROR(IF($B7007=M$1, ($A7007+$C7007) - MAX(IF($B$2:$B7006=$B7007, $A$2:$A7006+$C$2:$C7006)), "")*24*60, "")</f>
        <v/>
      </c>
      <c r="N7007" s="24" t="str" cm="1">
        <f t="array" ref="N7007">IFERROR(IF($B7007=N$1, ($A7007+$C7007) - MAX(IF($B$2:$B7006=$B7007, $A$2:$A7006+$C$2:$C7006)), "")*24*60, "")</f>
        <v/>
      </c>
      <c r="O7007" s="24" t="str" cm="1">
        <f t="array" ref="O7007">IFERROR(IF($B7007=O$1, ($A7007+$C7007) - MAX(IF($B$2:$B7006=$B7007, $A$2:$A7006+$C$2:$C7006)), "")*24*60, "")</f>
        <v/>
      </c>
      <c r="P7007" s="24" t="str" cm="1">
        <f t="array" ref="P7007">IFERROR(IF($B7007=P$1, ($A7007+$C7007) - MAX(IF($B$2:$B7006=$B7007, $A$2:$A7006+$C$2:$C7006)), "")*24*60, "")</f>
        <v/>
      </c>
      <c r="Q7007" s="24" t="str" cm="1">
        <f t="array" ref="Q7007">IFERROR(IF($B7007=Q$1, ($A7007+$C7007) - MAX(IF($B$2:$B7006=$B7007, $A$2:$A7006+$C$2:$C7006)), "")*24*60, "")</f>
        <v/>
      </c>
      <c r="R7007" s="24" t="str" cm="1">
        <f t="array" ref="R7007">IFERROR(IF($B7007=R$1, ($A7007+$C7007) - MAX(IF($B$2:$B7006=$B7007, $A$2:$A7006+$C$2:$C7006)), "")*24*60, "")</f>
        <v/>
      </c>
      <c r="S7007" s="24" t="str" cm="1">
        <f t="array" ref="S7007">IFERROR(IF($B7007=S$1, ($A7007+$C7007) - MAX(IF($B$2:$B7006=$B7007, $A$2:$A7006+$C$2:$C7006)), "")*24*60, "")</f>
        <v/>
      </c>
    </row>
    <row r="7008" spans="1:19" x14ac:dyDescent="0.2">
      <c r="A7008" s="12">
        <f t="shared" ref="A7008:C7008" si="1342">A7007</f>
        <v>46003</v>
      </c>
      <c r="B7008" s="5" t="str">
        <f t="shared" si="1342"/>
        <v>Tufted Titmouse</v>
      </c>
      <c r="C7008" s="6">
        <f t="shared" si="1342"/>
        <v>0.47430555555555554</v>
      </c>
      <c r="D7008" s="5"/>
      <c r="E7008" s="5"/>
      <c r="F7008" s="5" t="s">
        <v>22</v>
      </c>
      <c r="G7008" s="15" t="s">
        <v>22</v>
      </c>
      <c r="H7008" s="24">
        <f t="shared" si="1334"/>
        <v>0</v>
      </c>
      <c r="I7008" s="24" t="str" cm="1">
        <f t="array" ref="I7008">IFERROR(IF($B7008=I$1, ($A7008+$C7008) - MAX(IF($B$2:$B7007=$B7008, $A$2:$A7007+$C$2:$C7007)), "")*24*60, "")</f>
        <v/>
      </c>
      <c r="J7008" s="24" cm="1">
        <f t="array" ref="J7008">IFERROR(IF($B7008=J$1, ($A7008+$C7008) - MAX(IF($B$2:$B7007=$B7008, $A$2:$A7007+$C$2:$C7007)), "")*24*60, "")</f>
        <v>0</v>
      </c>
      <c r="K7008" s="24" t="str" cm="1">
        <f t="array" ref="K7008">IFERROR(IF($B7008=K$1, ($A7008+$C7008) - MAX(IF($B$2:$B7007=$B7008, $A$2:$A7007+$C$2:$C7007)), "")*24*60, "")</f>
        <v/>
      </c>
      <c r="L7008" s="24" t="str" cm="1">
        <f t="array" ref="L7008">IFERROR(IF($B7008=L$1, ($A7008+$C7008) - MAX(IF($B$2:$B7007=$B7008, $A$2:$A7007+$C$2:$C7007)), "")*24*60, "")</f>
        <v/>
      </c>
      <c r="M7008" s="24" t="str" cm="1">
        <f t="array" ref="M7008">IFERROR(IF($B7008=M$1, ($A7008+$C7008) - MAX(IF($B$2:$B7007=$B7008, $A$2:$A7007+$C$2:$C7007)), "")*24*60, "")</f>
        <v/>
      </c>
      <c r="N7008" s="24" t="str" cm="1">
        <f t="array" ref="N7008">IFERROR(IF($B7008=N$1, ($A7008+$C7008) - MAX(IF($B$2:$B7007=$B7008, $A$2:$A7007+$C$2:$C7007)), "")*24*60, "")</f>
        <v/>
      </c>
      <c r="O7008" s="24" t="str" cm="1">
        <f t="array" ref="O7008">IFERROR(IF($B7008=O$1, ($A7008+$C7008) - MAX(IF($B$2:$B7007=$B7008, $A$2:$A7007+$C$2:$C7007)), "")*24*60, "")</f>
        <v/>
      </c>
      <c r="P7008" s="24" t="str" cm="1">
        <f t="array" ref="P7008">IFERROR(IF($B7008=P$1, ($A7008+$C7008) - MAX(IF($B$2:$B7007=$B7008, $A$2:$A7007+$C$2:$C7007)), "")*24*60, "")</f>
        <v/>
      </c>
      <c r="Q7008" s="24" t="str" cm="1">
        <f t="array" ref="Q7008">IFERROR(IF($B7008=Q$1, ($A7008+$C7008) - MAX(IF($B$2:$B7007=$B7008, $A$2:$A7007+$C$2:$C7007)), "")*24*60, "")</f>
        <v/>
      </c>
      <c r="R7008" s="24" t="str" cm="1">
        <f t="array" ref="R7008">IFERROR(IF($B7008=R$1, ($A7008+$C7008) - MAX(IF($B$2:$B7007=$B7008, $A$2:$A7007+$C$2:$C7007)), "")*24*60, "")</f>
        <v/>
      </c>
      <c r="S7008" s="24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C7009" si="1343">A7008</f>
        <v>46003</v>
      </c>
      <c r="B7009" s="5" t="str">
        <f t="shared" si="1343"/>
        <v>Tufted Titmouse</v>
      </c>
      <c r="C7009" s="6">
        <f t="shared" si="1343"/>
        <v>0.47430555555555554</v>
      </c>
      <c r="D7009" s="5"/>
      <c r="E7009" s="5"/>
      <c r="F7009" s="5" t="s">
        <v>22</v>
      </c>
      <c r="G7009" s="15" t="s">
        <v>22</v>
      </c>
      <c r="H7009" s="24">
        <f t="shared" si="1334"/>
        <v>0</v>
      </c>
      <c r="I7009" s="24" t="str" cm="1">
        <f t="array" ref="I7009">IFERROR(IF($B7009=I$1, ($A7009+$C7009) - MAX(IF($B$2:$B7008=$B7009, $A$2:$A7008+$C$2:$C7008)), "")*24*60, "")</f>
        <v/>
      </c>
      <c r="J7009" s="24" cm="1">
        <f t="array" ref="J7009">IFERROR(IF($B7009=J$1, ($A7009+$C7009) - MAX(IF($B$2:$B7008=$B7009, $A$2:$A7008+$C$2:$C7008)), "")*24*60, "")</f>
        <v>0</v>
      </c>
      <c r="K7009" s="24" t="str" cm="1">
        <f t="array" ref="K7009">IFERROR(IF($B7009=K$1, ($A7009+$C7009) - MAX(IF($B$2:$B7008=$B7009, $A$2:$A7008+$C$2:$C7008)), "")*24*60, "")</f>
        <v/>
      </c>
      <c r="L7009" s="24" t="str" cm="1">
        <f t="array" ref="L7009">IFERROR(IF($B7009=L$1, ($A7009+$C7009) - MAX(IF($B$2:$B7008=$B7009, $A$2:$A7008+$C$2:$C7008)), "")*24*60, "")</f>
        <v/>
      </c>
      <c r="M7009" s="24" t="str" cm="1">
        <f t="array" ref="M7009">IFERROR(IF($B7009=M$1, ($A7009+$C7009) - MAX(IF($B$2:$B7008=$B7009, $A$2:$A7008+$C$2:$C7008)), "")*24*60, "")</f>
        <v/>
      </c>
      <c r="N7009" s="24" t="str" cm="1">
        <f t="array" ref="N7009">IFERROR(IF($B7009=N$1, ($A7009+$C7009) - MAX(IF($B$2:$B7008=$B7009, $A$2:$A7008+$C$2:$C7008)), "")*24*60, "")</f>
        <v/>
      </c>
      <c r="O7009" s="24" t="str" cm="1">
        <f t="array" ref="O7009">IFERROR(IF($B7009=O$1, ($A7009+$C7009) - MAX(IF($B$2:$B7008=$B7009, $A$2:$A7008+$C$2:$C7008)), "")*24*60, "")</f>
        <v/>
      </c>
      <c r="P7009" s="24" t="str" cm="1">
        <f t="array" ref="P7009">IFERROR(IF($B7009=P$1, ($A7009+$C7009) - MAX(IF($B$2:$B7008=$B7009, $A$2:$A7008+$C$2:$C7008)), "")*24*60, "")</f>
        <v/>
      </c>
      <c r="Q7009" s="24" t="str" cm="1">
        <f t="array" ref="Q7009">IFERROR(IF($B7009=Q$1, ($A7009+$C7009) - MAX(IF($B$2:$B7008=$B7009, $A$2:$A7008+$C$2:$C7008)), "")*24*60, "")</f>
        <v/>
      </c>
      <c r="R7009" s="24" t="str" cm="1">
        <f t="array" ref="R7009">IFERROR(IF($B7009=R$1, ($A7009+$C7009) - MAX(IF($B$2:$B7008=$B7009, $A$2:$A7008+$C$2:$C7008)), "")*24*60, "")</f>
        <v/>
      </c>
      <c r="S7009" s="24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C7010" si="1344">A7009</f>
        <v>46003</v>
      </c>
      <c r="B7010" s="5" t="str">
        <f t="shared" si="1344"/>
        <v>Tufted Titmouse</v>
      </c>
      <c r="C7010" s="6">
        <f t="shared" si="1344"/>
        <v>0.47430555555555554</v>
      </c>
      <c r="D7010" s="5"/>
      <c r="E7010" s="5"/>
      <c r="F7010" s="5" t="s">
        <v>22</v>
      </c>
      <c r="G7010" s="15" t="s">
        <v>22</v>
      </c>
      <c r="H7010" s="24">
        <f t="shared" si="1334"/>
        <v>0</v>
      </c>
      <c r="I7010" s="24" t="str" cm="1">
        <f t="array" ref="I7010">IFERROR(IF($B7010=I$1, ($A7010+$C7010) - MAX(IF($B$2:$B7009=$B7010, $A$2:$A7009+$C$2:$C7009)), "")*24*60, "")</f>
        <v/>
      </c>
      <c r="J7010" s="24" cm="1">
        <f t="array" ref="J7010">IFERROR(IF($B7010=J$1, ($A7010+$C7010) - MAX(IF($B$2:$B7009=$B7010, $A$2:$A7009+$C$2:$C7009)), "")*24*60, "")</f>
        <v>0</v>
      </c>
      <c r="K7010" s="24" t="str" cm="1">
        <f t="array" ref="K7010">IFERROR(IF($B7010=K$1, ($A7010+$C7010) - MAX(IF($B$2:$B7009=$B7010, $A$2:$A7009+$C$2:$C7009)), "")*24*60, "")</f>
        <v/>
      </c>
      <c r="L7010" s="24" t="str" cm="1">
        <f t="array" ref="L7010">IFERROR(IF($B7010=L$1, ($A7010+$C7010) - MAX(IF($B$2:$B7009=$B7010, $A$2:$A7009+$C$2:$C7009)), "")*24*60, "")</f>
        <v/>
      </c>
      <c r="M7010" s="24" t="str" cm="1">
        <f t="array" ref="M7010">IFERROR(IF($B7010=M$1, ($A7010+$C7010) - MAX(IF($B$2:$B7009=$B7010, $A$2:$A7009+$C$2:$C7009)), "")*24*60, "")</f>
        <v/>
      </c>
      <c r="N7010" s="24" t="str" cm="1">
        <f t="array" ref="N7010">IFERROR(IF($B7010=N$1, ($A7010+$C7010) - MAX(IF($B$2:$B7009=$B7010, $A$2:$A7009+$C$2:$C7009)), "")*24*60, "")</f>
        <v/>
      </c>
      <c r="O7010" s="24" t="str" cm="1">
        <f t="array" ref="O7010">IFERROR(IF($B7010=O$1, ($A7010+$C7010) - MAX(IF($B$2:$B7009=$B7010, $A$2:$A7009+$C$2:$C7009)), "")*24*60, "")</f>
        <v/>
      </c>
      <c r="P7010" s="24" t="str" cm="1">
        <f t="array" ref="P7010">IFERROR(IF($B7010=P$1, ($A7010+$C7010) - MAX(IF($B$2:$B7009=$B7010, $A$2:$A7009+$C$2:$C7009)), "")*24*60, "")</f>
        <v/>
      </c>
      <c r="Q7010" s="24" t="str" cm="1">
        <f t="array" ref="Q7010">IFERROR(IF($B7010=Q$1, ($A7010+$C7010) - MAX(IF($B$2:$B7009=$B7010, $A$2:$A7009+$C$2:$C7009)), "")*24*60, "")</f>
        <v/>
      </c>
      <c r="R7010" s="24" t="str" cm="1">
        <f t="array" ref="R7010">IFERROR(IF($B7010=R$1, ($A7010+$C7010) - MAX(IF($B$2:$B7009=$B7010, $A$2:$A7009+$C$2:$C7009)), "")*24*60, "")</f>
        <v/>
      </c>
      <c r="S7010" s="24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C7011" si="1345">A7010</f>
        <v>46003</v>
      </c>
      <c r="B7011" s="5" t="str">
        <f t="shared" si="1345"/>
        <v>Tufted Titmouse</v>
      </c>
      <c r="C7011" s="6">
        <f t="shared" si="1345"/>
        <v>0.47430555555555554</v>
      </c>
      <c r="D7011" s="5"/>
      <c r="E7011" s="5"/>
      <c r="F7011" s="5" t="s">
        <v>22</v>
      </c>
      <c r="G7011" s="15" t="s">
        <v>22</v>
      </c>
      <c r="H7011" s="24">
        <f t="shared" si="1334"/>
        <v>0</v>
      </c>
      <c r="I7011" s="24" t="str" cm="1">
        <f t="array" ref="I7011">IFERROR(IF($B7011=I$1, ($A7011+$C7011) - MAX(IF($B$2:$B7010=$B7011, $A$2:$A7010+$C$2:$C7010)), "")*24*60, "")</f>
        <v/>
      </c>
      <c r="J7011" s="24" cm="1">
        <f t="array" ref="J7011">IFERROR(IF($B7011=J$1, ($A7011+$C7011) - MAX(IF($B$2:$B7010=$B7011, $A$2:$A7010+$C$2:$C7010)), "")*24*60, "")</f>
        <v>0</v>
      </c>
      <c r="K7011" s="24" t="str" cm="1">
        <f t="array" ref="K7011">IFERROR(IF($B7011=K$1, ($A7011+$C7011) - MAX(IF($B$2:$B7010=$B7011, $A$2:$A7010+$C$2:$C7010)), "")*24*60, "")</f>
        <v/>
      </c>
      <c r="L7011" s="24" t="str" cm="1">
        <f t="array" ref="L7011">IFERROR(IF($B7011=L$1, ($A7011+$C7011) - MAX(IF($B$2:$B7010=$B7011, $A$2:$A7010+$C$2:$C7010)), "")*24*60, "")</f>
        <v/>
      </c>
      <c r="M7011" s="24" t="str" cm="1">
        <f t="array" ref="M7011">IFERROR(IF($B7011=M$1, ($A7011+$C7011) - MAX(IF($B$2:$B7010=$B7011, $A$2:$A7010+$C$2:$C7010)), "")*24*60, "")</f>
        <v/>
      </c>
      <c r="N7011" s="24" t="str" cm="1">
        <f t="array" ref="N7011">IFERROR(IF($B7011=N$1, ($A7011+$C7011) - MAX(IF($B$2:$B7010=$B7011, $A$2:$A7010+$C$2:$C7010)), "")*24*60, "")</f>
        <v/>
      </c>
      <c r="O7011" s="24" t="str" cm="1">
        <f t="array" ref="O7011">IFERROR(IF($B7011=O$1, ($A7011+$C7011) - MAX(IF($B$2:$B7010=$B7011, $A$2:$A7010+$C$2:$C7010)), "")*24*60, "")</f>
        <v/>
      </c>
      <c r="P7011" s="24" t="str" cm="1">
        <f t="array" ref="P7011">IFERROR(IF($B7011=P$1, ($A7011+$C7011) - MAX(IF($B$2:$B7010=$B7011, $A$2:$A7010+$C$2:$C7010)), "")*24*60, "")</f>
        <v/>
      </c>
      <c r="Q7011" s="24" t="str" cm="1">
        <f t="array" ref="Q7011">IFERROR(IF($B7011=Q$1, ($A7011+$C7011) - MAX(IF($B$2:$B7010=$B7011, $A$2:$A7010+$C$2:$C7010)), "")*24*60, "")</f>
        <v/>
      </c>
      <c r="R7011" s="24" t="str" cm="1">
        <f t="array" ref="R7011">IFERROR(IF($B7011=R$1, ($A7011+$C7011) - MAX(IF($B$2:$B7010=$B7011, $A$2:$A7010+$C$2:$C7010)), "")*24*60, "")</f>
        <v/>
      </c>
      <c r="S7011" s="24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46">A7011</f>
        <v>46003</v>
      </c>
      <c r="B7012" s="5" t="str">
        <f t="shared" si="1346"/>
        <v>Tufted Titmouse</v>
      </c>
      <c r="C7012" s="6">
        <f t="shared" si="1346"/>
        <v>0.47430555555555554</v>
      </c>
      <c r="D7012" s="5"/>
      <c r="E7012" s="5"/>
      <c r="F7012" s="5" t="s">
        <v>22</v>
      </c>
      <c r="G7012" s="15" t="s">
        <v>22</v>
      </c>
      <c r="H7012" s="24">
        <f t="shared" si="1334"/>
        <v>0</v>
      </c>
      <c r="I7012" s="24" t="str" cm="1">
        <f t="array" ref="I7012">IFERROR(IF($B7012=I$1, ($A7012+$C7012) - MAX(IF($B$2:$B7011=$B7012, $A$2:$A7011+$C$2:$C7011)), "")*24*60, "")</f>
        <v/>
      </c>
      <c r="J7012" s="24" cm="1">
        <f t="array" ref="J7012">IFERROR(IF($B7012=J$1, ($A7012+$C7012) - MAX(IF($B$2:$B7011=$B7012, $A$2:$A7011+$C$2:$C7011)), "")*24*60, "")</f>
        <v>0</v>
      </c>
      <c r="K7012" s="24" t="str" cm="1">
        <f t="array" ref="K7012">IFERROR(IF($B7012=K$1, ($A7012+$C7012) - MAX(IF($B$2:$B7011=$B7012, $A$2:$A7011+$C$2:$C7011)), "")*24*60, "")</f>
        <v/>
      </c>
      <c r="L7012" s="24" t="str" cm="1">
        <f t="array" ref="L7012">IFERROR(IF($B7012=L$1, ($A7012+$C7012) - MAX(IF($B$2:$B7011=$B7012, $A$2:$A7011+$C$2:$C7011)), "")*24*60, "")</f>
        <v/>
      </c>
      <c r="M7012" s="24" t="str" cm="1">
        <f t="array" ref="M7012">IFERROR(IF($B7012=M$1, ($A7012+$C7012) - MAX(IF($B$2:$B7011=$B7012, $A$2:$A7011+$C$2:$C7011)), "")*24*60, "")</f>
        <v/>
      </c>
      <c r="N7012" s="24" t="str" cm="1">
        <f t="array" ref="N7012">IFERROR(IF($B7012=N$1, ($A7012+$C7012) - MAX(IF($B$2:$B7011=$B7012, $A$2:$A7011+$C$2:$C7011)), "")*24*60, "")</f>
        <v/>
      </c>
      <c r="O7012" s="24" t="str" cm="1">
        <f t="array" ref="O7012">IFERROR(IF($B7012=O$1, ($A7012+$C7012) - MAX(IF($B$2:$B7011=$B7012, $A$2:$A7011+$C$2:$C7011)), "")*24*60, "")</f>
        <v/>
      </c>
      <c r="P7012" s="24" t="str" cm="1">
        <f t="array" ref="P7012">IFERROR(IF($B7012=P$1, ($A7012+$C7012) - MAX(IF($B$2:$B7011=$B7012, $A$2:$A7011+$C$2:$C7011)), "")*24*60, "")</f>
        <v/>
      </c>
      <c r="Q7012" s="24" t="str" cm="1">
        <f t="array" ref="Q7012">IFERROR(IF($B7012=Q$1, ($A7012+$C7012) - MAX(IF($B$2:$B7011=$B7012, $A$2:$A7011+$C$2:$C7011)), "")*24*60, "")</f>
        <v/>
      </c>
      <c r="R7012" s="24" t="str" cm="1">
        <f t="array" ref="R7012">IFERROR(IF($B7012=R$1, ($A7012+$C7012) - MAX(IF($B$2:$B7011=$B7012, $A$2:$A7011+$C$2:$C7011)), "")*24*60, "")</f>
        <v/>
      </c>
      <c r="S7012" s="24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C7013" si="1347">A7012</f>
        <v>46003</v>
      </c>
      <c r="B7013" s="5" t="str">
        <f t="shared" si="1347"/>
        <v>Tufted Titmouse</v>
      </c>
      <c r="C7013" s="6">
        <f t="shared" si="1347"/>
        <v>0.47430555555555554</v>
      </c>
      <c r="D7013" s="5"/>
      <c r="E7013" s="5"/>
      <c r="F7013" s="5" t="s">
        <v>22</v>
      </c>
      <c r="G7013" s="15" t="s">
        <v>22</v>
      </c>
      <c r="H7013" s="24">
        <f t="shared" si="1334"/>
        <v>0</v>
      </c>
      <c r="I7013" s="24" t="str" cm="1">
        <f t="array" ref="I7013">IFERROR(IF($B7013=I$1, ($A7013+$C7013) - MAX(IF($B$2:$B7012=$B7013, $A$2:$A7012+$C$2:$C7012)), "")*24*60, "")</f>
        <v/>
      </c>
      <c r="J7013" s="24" cm="1">
        <f t="array" ref="J7013">IFERROR(IF($B7013=J$1, ($A7013+$C7013) - MAX(IF($B$2:$B7012=$B7013, $A$2:$A7012+$C$2:$C7012)), "")*24*60, "")</f>
        <v>0</v>
      </c>
      <c r="K7013" s="24" t="str" cm="1">
        <f t="array" ref="K7013">IFERROR(IF($B7013=K$1, ($A7013+$C7013) - MAX(IF($B$2:$B7012=$B7013, $A$2:$A7012+$C$2:$C7012)), "")*24*60, "")</f>
        <v/>
      </c>
      <c r="L7013" s="24" t="str" cm="1">
        <f t="array" ref="L7013">IFERROR(IF($B7013=L$1, ($A7013+$C7013) - MAX(IF($B$2:$B7012=$B7013, $A$2:$A7012+$C$2:$C7012)), "")*24*60, "")</f>
        <v/>
      </c>
      <c r="M7013" s="24" t="str" cm="1">
        <f t="array" ref="M7013">IFERROR(IF($B7013=M$1, ($A7013+$C7013) - MAX(IF($B$2:$B7012=$B7013, $A$2:$A7012+$C$2:$C7012)), "")*24*60, "")</f>
        <v/>
      </c>
      <c r="N7013" s="24" t="str" cm="1">
        <f t="array" ref="N7013">IFERROR(IF($B7013=N$1, ($A7013+$C7013) - MAX(IF($B$2:$B7012=$B7013, $A$2:$A7012+$C$2:$C7012)), "")*24*60, "")</f>
        <v/>
      </c>
      <c r="O7013" s="24" t="str" cm="1">
        <f t="array" ref="O7013">IFERROR(IF($B7013=O$1, ($A7013+$C7013) - MAX(IF($B$2:$B7012=$B7013, $A$2:$A7012+$C$2:$C7012)), "")*24*60, "")</f>
        <v/>
      </c>
      <c r="P7013" s="24" t="str" cm="1">
        <f t="array" ref="P7013">IFERROR(IF($B7013=P$1, ($A7013+$C7013) - MAX(IF($B$2:$B7012=$B7013, $A$2:$A7012+$C$2:$C7012)), "")*24*60, "")</f>
        <v/>
      </c>
      <c r="Q7013" s="24" t="str" cm="1">
        <f t="array" ref="Q7013">IFERROR(IF($B7013=Q$1, ($A7013+$C7013) - MAX(IF($B$2:$B7012=$B7013, $A$2:$A7012+$C$2:$C7012)), "")*24*60, "")</f>
        <v/>
      </c>
      <c r="R7013" s="24" t="str" cm="1">
        <f t="array" ref="R7013">IFERROR(IF($B7013=R$1, ($A7013+$C7013) - MAX(IF($B$2:$B7012=$B7013, $A$2:$A7012+$C$2:$C7012)), "")*24*60, "")</f>
        <v/>
      </c>
      <c r="S7013" s="24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48">A7013</f>
        <v>46003</v>
      </c>
      <c r="B7014" s="5" t="str">
        <f t="shared" si="1348"/>
        <v>Tufted Titmouse</v>
      </c>
      <c r="C7014" s="6">
        <f t="shared" si="1348"/>
        <v>0.47430555555555554</v>
      </c>
      <c r="D7014" s="5"/>
      <c r="E7014" s="5"/>
      <c r="F7014" s="5" t="s">
        <v>22</v>
      </c>
      <c r="G7014" s="15" t="s">
        <v>22</v>
      </c>
      <c r="H7014" s="24">
        <f t="shared" si="1334"/>
        <v>0</v>
      </c>
      <c r="I7014" s="24" t="str" cm="1">
        <f t="array" ref="I7014">IFERROR(IF($B7014=I$1, ($A7014+$C7014) - MAX(IF($B$2:$B7013=$B7014, $A$2:$A7013+$C$2:$C7013)), "")*24*60, "")</f>
        <v/>
      </c>
      <c r="J7014" s="24" cm="1">
        <f t="array" ref="J7014">IFERROR(IF($B7014=J$1, ($A7014+$C7014) - MAX(IF($B$2:$B7013=$B7014, $A$2:$A7013+$C$2:$C7013)), "")*24*60, "")</f>
        <v>0</v>
      </c>
      <c r="K7014" s="24" t="str" cm="1">
        <f t="array" ref="K7014">IFERROR(IF($B7014=K$1, ($A7014+$C7014) - MAX(IF($B$2:$B7013=$B7014, $A$2:$A7013+$C$2:$C7013)), "")*24*60, "")</f>
        <v/>
      </c>
      <c r="L7014" s="24" t="str" cm="1">
        <f t="array" ref="L7014">IFERROR(IF($B7014=L$1, ($A7014+$C7014) - MAX(IF($B$2:$B7013=$B7014, $A$2:$A7013+$C$2:$C7013)), "")*24*60, "")</f>
        <v/>
      </c>
      <c r="M7014" s="24" t="str" cm="1">
        <f t="array" ref="M7014">IFERROR(IF($B7014=M$1, ($A7014+$C7014) - MAX(IF($B$2:$B7013=$B7014, $A$2:$A7013+$C$2:$C7013)), "")*24*60, "")</f>
        <v/>
      </c>
      <c r="N7014" s="24" t="str" cm="1">
        <f t="array" ref="N7014">IFERROR(IF($B7014=N$1, ($A7014+$C7014) - MAX(IF($B$2:$B7013=$B7014, $A$2:$A7013+$C$2:$C7013)), "")*24*60, "")</f>
        <v/>
      </c>
      <c r="O7014" s="24" t="str" cm="1">
        <f t="array" ref="O7014">IFERROR(IF($B7014=O$1, ($A7014+$C7014) - MAX(IF($B$2:$B7013=$B7014, $A$2:$A7013+$C$2:$C7013)), "")*24*60, "")</f>
        <v/>
      </c>
      <c r="P7014" s="24" t="str" cm="1">
        <f t="array" ref="P7014">IFERROR(IF($B7014=P$1, ($A7014+$C7014) - MAX(IF($B$2:$B7013=$B7014, $A$2:$A7013+$C$2:$C7013)), "")*24*60, "")</f>
        <v/>
      </c>
      <c r="Q7014" s="24" t="str" cm="1">
        <f t="array" ref="Q7014">IFERROR(IF($B7014=Q$1, ($A7014+$C7014) - MAX(IF($B$2:$B7013=$B7014, $A$2:$A7013+$C$2:$C7013)), "")*24*60, "")</f>
        <v/>
      </c>
      <c r="R7014" s="24" t="str" cm="1">
        <f t="array" ref="R7014">IFERROR(IF($B7014=R$1, ($A7014+$C7014) - MAX(IF($B$2:$B7013=$B7014, $A$2:$A7013+$C$2:$C7013)), "")*24*60, "")</f>
        <v/>
      </c>
      <c r="S7014" s="24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C7015" si="1349">A7014</f>
        <v>46003</v>
      </c>
      <c r="B7015" s="5" t="str">
        <f t="shared" si="1349"/>
        <v>Tufted Titmouse</v>
      </c>
      <c r="C7015" s="6">
        <f t="shared" si="1349"/>
        <v>0.47430555555555554</v>
      </c>
      <c r="D7015" s="5"/>
      <c r="E7015" s="5"/>
      <c r="F7015" s="5" t="s">
        <v>22</v>
      </c>
      <c r="G7015" s="15" t="s">
        <v>22</v>
      </c>
      <c r="H7015" s="24">
        <f t="shared" si="1334"/>
        <v>0</v>
      </c>
      <c r="I7015" s="24" t="str" cm="1">
        <f t="array" ref="I7015">IFERROR(IF($B7015=I$1, ($A7015+$C7015) - MAX(IF($B$2:$B7014=$B7015, $A$2:$A7014+$C$2:$C7014)), "")*24*60, "")</f>
        <v/>
      </c>
      <c r="J7015" s="24" cm="1">
        <f t="array" ref="J7015">IFERROR(IF($B7015=J$1, ($A7015+$C7015) - MAX(IF($B$2:$B7014=$B7015, $A$2:$A7014+$C$2:$C7014)), "")*24*60, "")</f>
        <v>0</v>
      </c>
      <c r="K7015" s="24" t="str" cm="1">
        <f t="array" ref="K7015">IFERROR(IF($B7015=K$1, ($A7015+$C7015) - MAX(IF($B$2:$B7014=$B7015, $A$2:$A7014+$C$2:$C7014)), "")*24*60, "")</f>
        <v/>
      </c>
      <c r="L7015" s="24" t="str" cm="1">
        <f t="array" ref="L7015">IFERROR(IF($B7015=L$1, ($A7015+$C7015) - MAX(IF($B$2:$B7014=$B7015, $A$2:$A7014+$C$2:$C7014)), "")*24*60, "")</f>
        <v/>
      </c>
      <c r="M7015" s="24" t="str" cm="1">
        <f t="array" ref="M7015">IFERROR(IF($B7015=M$1, ($A7015+$C7015) - MAX(IF($B$2:$B7014=$B7015, $A$2:$A7014+$C$2:$C7014)), "")*24*60, "")</f>
        <v/>
      </c>
      <c r="N7015" s="24" t="str" cm="1">
        <f t="array" ref="N7015">IFERROR(IF($B7015=N$1, ($A7015+$C7015) - MAX(IF($B$2:$B7014=$B7015, $A$2:$A7014+$C$2:$C7014)), "")*24*60, "")</f>
        <v/>
      </c>
      <c r="O7015" s="24" t="str" cm="1">
        <f t="array" ref="O7015">IFERROR(IF($B7015=O$1, ($A7015+$C7015) - MAX(IF($B$2:$B7014=$B7015, $A$2:$A7014+$C$2:$C7014)), "")*24*60, "")</f>
        <v/>
      </c>
      <c r="P7015" s="24" t="str" cm="1">
        <f t="array" ref="P7015">IFERROR(IF($B7015=P$1, ($A7015+$C7015) - MAX(IF($B$2:$B7014=$B7015, $A$2:$A7014+$C$2:$C7014)), "")*24*60, "")</f>
        <v/>
      </c>
      <c r="Q7015" s="24" t="str" cm="1">
        <f t="array" ref="Q7015">IFERROR(IF($B7015=Q$1, ($A7015+$C7015) - MAX(IF($B$2:$B7014=$B7015, $A$2:$A7014+$C$2:$C7014)), "")*24*60, "")</f>
        <v/>
      </c>
      <c r="R7015" s="24" t="str" cm="1">
        <f t="array" ref="R7015">IFERROR(IF($B7015=R$1, ($A7015+$C7015) - MAX(IF($B$2:$B7014=$B7015, $A$2:$A7014+$C$2:$C7014)), "")*24*60, "")</f>
        <v/>
      </c>
      <c r="S7015" s="24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C7016" si="1350">A7015</f>
        <v>46003</v>
      </c>
      <c r="B7016" s="5" t="str">
        <f t="shared" si="1350"/>
        <v>Tufted Titmouse</v>
      </c>
      <c r="C7016" s="6">
        <f t="shared" si="1350"/>
        <v>0.47430555555555554</v>
      </c>
      <c r="D7016" s="5"/>
      <c r="E7016" s="5"/>
      <c r="F7016" s="5" t="s">
        <v>22</v>
      </c>
      <c r="G7016" s="15" t="s">
        <v>22</v>
      </c>
      <c r="H7016" s="24">
        <f t="shared" si="1334"/>
        <v>0</v>
      </c>
      <c r="I7016" s="24" t="str" cm="1">
        <f t="array" ref="I7016">IFERROR(IF($B7016=I$1, ($A7016+$C7016) - MAX(IF($B$2:$B7015=$B7016, $A$2:$A7015+$C$2:$C7015)), "")*24*60, "")</f>
        <v/>
      </c>
      <c r="J7016" s="24" cm="1">
        <f t="array" ref="J7016">IFERROR(IF($B7016=J$1, ($A7016+$C7016) - MAX(IF($B$2:$B7015=$B7016, $A$2:$A7015+$C$2:$C7015)), "")*24*60, "")</f>
        <v>0</v>
      </c>
      <c r="K7016" s="24" t="str" cm="1">
        <f t="array" ref="K7016">IFERROR(IF($B7016=K$1, ($A7016+$C7016) - MAX(IF($B$2:$B7015=$B7016, $A$2:$A7015+$C$2:$C7015)), "")*24*60, "")</f>
        <v/>
      </c>
      <c r="L7016" s="24" t="str" cm="1">
        <f t="array" ref="L7016">IFERROR(IF($B7016=L$1, ($A7016+$C7016) - MAX(IF($B$2:$B7015=$B7016, $A$2:$A7015+$C$2:$C7015)), "")*24*60, "")</f>
        <v/>
      </c>
      <c r="M7016" s="24" t="str" cm="1">
        <f t="array" ref="M7016">IFERROR(IF($B7016=M$1, ($A7016+$C7016) - MAX(IF($B$2:$B7015=$B7016, $A$2:$A7015+$C$2:$C7015)), "")*24*60, "")</f>
        <v/>
      </c>
      <c r="N7016" s="24" t="str" cm="1">
        <f t="array" ref="N7016">IFERROR(IF($B7016=N$1, ($A7016+$C7016) - MAX(IF($B$2:$B7015=$B7016, $A$2:$A7015+$C$2:$C7015)), "")*24*60, "")</f>
        <v/>
      </c>
      <c r="O7016" s="24" t="str" cm="1">
        <f t="array" ref="O7016">IFERROR(IF($B7016=O$1, ($A7016+$C7016) - MAX(IF($B$2:$B7015=$B7016, $A$2:$A7015+$C$2:$C7015)), "")*24*60, "")</f>
        <v/>
      </c>
      <c r="P7016" s="24" t="str" cm="1">
        <f t="array" ref="P7016">IFERROR(IF($B7016=P$1, ($A7016+$C7016) - MAX(IF($B$2:$B7015=$B7016, $A$2:$A7015+$C$2:$C7015)), "")*24*60, "")</f>
        <v/>
      </c>
      <c r="Q7016" s="24" t="str" cm="1">
        <f t="array" ref="Q7016">IFERROR(IF($B7016=Q$1, ($A7016+$C7016) - MAX(IF($B$2:$B7015=$B7016, $A$2:$A7015+$C$2:$C7015)), "")*24*60, "")</f>
        <v/>
      </c>
      <c r="R7016" s="24" t="str" cm="1">
        <f t="array" ref="R7016">IFERROR(IF($B7016=R$1, ($A7016+$C7016) - MAX(IF($B$2:$B7015=$B7016, $A$2:$A7015+$C$2:$C7015)), "")*24*60, "")</f>
        <v/>
      </c>
      <c r="S7016" s="24" t="str" cm="1">
        <f t="array" ref="S7016">IFERROR(IF($B7016=S$1, ($A7016+$C7016) - MAX(IF($B$2:$B7015=$B7016, $A$2:$A7015+$C$2:$C7015)), "")*24*60, "")</f>
        <v/>
      </c>
    </row>
    <row r="7017" spans="1:19" x14ac:dyDescent="0.2">
      <c r="A7017" s="12">
        <f t="shared" ref="A7017:C7017" si="1351">A7016</f>
        <v>46003</v>
      </c>
      <c r="B7017" s="5" t="str">
        <f t="shared" si="1351"/>
        <v>Tufted Titmouse</v>
      </c>
      <c r="C7017" s="6">
        <f t="shared" si="1351"/>
        <v>0.47430555555555554</v>
      </c>
      <c r="D7017" s="5"/>
      <c r="E7017" s="5"/>
      <c r="F7017" s="5" t="s">
        <v>22</v>
      </c>
      <c r="G7017" s="15" t="s">
        <v>22</v>
      </c>
      <c r="H7017" s="24">
        <f t="shared" si="1334"/>
        <v>0</v>
      </c>
      <c r="I7017" s="24" t="str" cm="1">
        <f t="array" ref="I7017">IFERROR(IF($B7017=I$1, ($A7017+$C7017) - MAX(IF($B$2:$B7016=$B7017, $A$2:$A7016+$C$2:$C7016)), "")*24*60, "")</f>
        <v/>
      </c>
      <c r="J7017" s="24" cm="1">
        <f t="array" ref="J7017">IFERROR(IF($B7017=J$1, ($A7017+$C7017) - MAX(IF($B$2:$B7016=$B7017, $A$2:$A7016+$C$2:$C7016)), "")*24*60, "")</f>
        <v>0</v>
      </c>
      <c r="K7017" s="24" t="str" cm="1">
        <f t="array" ref="K7017">IFERROR(IF($B7017=K$1, ($A7017+$C7017) - MAX(IF($B$2:$B7016=$B7017, $A$2:$A7016+$C$2:$C7016)), "")*24*60, "")</f>
        <v/>
      </c>
      <c r="L7017" s="24" t="str" cm="1">
        <f t="array" ref="L7017">IFERROR(IF($B7017=L$1, ($A7017+$C7017) - MAX(IF($B$2:$B7016=$B7017, $A$2:$A7016+$C$2:$C7016)), "")*24*60, "")</f>
        <v/>
      </c>
      <c r="M7017" s="24" t="str" cm="1">
        <f t="array" ref="M7017">IFERROR(IF($B7017=M$1, ($A7017+$C7017) - MAX(IF($B$2:$B7016=$B7017, $A$2:$A7016+$C$2:$C7016)), "")*24*60, "")</f>
        <v/>
      </c>
      <c r="N7017" s="24" t="str" cm="1">
        <f t="array" ref="N7017">IFERROR(IF($B7017=N$1, ($A7017+$C7017) - MAX(IF($B$2:$B7016=$B7017, $A$2:$A7016+$C$2:$C7016)), "")*24*60, "")</f>
        <v/>
      </c>
      <c r="O7017" s="24" t="str" cm="1">
        <f t="array" ref="O7017">IFERROR(IF($B7017=O$1, ($A7017+$C7017) - MAX(IF($B$2:$B7016=$B7017, $A$2:$A7016+$C$2:$C7016)), "")*24*60, "")</f>
        <v/>
      </c>
      <c r="P7017" s="24" t="str" cm="1">
        <f t="array" ref="P7017">IFERROR(IF($B7017=P$1, ($A7017+$C7017) - MAX(IF($B$2:$B7016=$B7017, $A$2:$A7016+$C$2:$C7016)), "")*24*60, "")</f>
        <v/>
      </c>
      <c r="Q7017" s="24" t="str" cm="1">
        <f t="array" ref="Q7017">IFERROR(IF($B7017=Q$1, ($A7017+$C7017) - MAX(IF($B$2:$B7016=$B7017, $A$2:$A7016+$C$2:$C7016)), "")*24*60, "")</f>
        <v/>
      </c>
      <c r="R7017" s="24" t="str" cm="1">
        <f t="array" ref="R7017">IFERROR(IF($B7017=R$1, ($A7017+$C7017) - MAX(IF($B$2:$B7016=$B7017, $A$2:$A7016+$C$2:$C7016)), "")*24*60, "")</f>
        <v/>
      </c>
      <c r="S7017" s="24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f t="shared" ref="A7018:C7018" si="1352">A7017</f>
        <v>46003</v>
      </c>
      <c r="B7018" s="5" t="str">
        <f t="shared" si="1352"/>
        <v>Tufted Titmouse</v>
      </c>
      <c r="C7018" s="6">
        <f t="shared" si="1352"/>
        <v>0.47430555555555554</v>
      </c>
      <c r="D7018" s="5"/>
      <c r="E7018" s="5"/>
      <c r="F7018" s="5" t="s">
        <v>22</v>
      </c>
      <c r="G7018" s="15" t="s">
        <v>22</v>
      </c>
      <c r="H7018" s="24">
        <f t="shared" si="1334"/>
        <v>0</v>
      </c>
      <c r="I7018" s="24" t="str" cm="1">
        <f t="array" ref="I7018">IFERROR(IF($B7018=I$1, ($A7018+$C7018) - MAX(IF($B$2:$B7017=$B7018, $A$2:$A7017+$C$2:$C7017)), "")*24*60, "")</f>
        <v/>
      </c>
      <c r="J7018" s="24" cm="1">
        <f t="array" ref="J7018">IFERROR(IF($B7018=J$1, ($A7018+$C7018) - MAX(IF($B$2:$B7017=$B7018, $A$2:$A7017+$C$2:$C7017)), "")*24*60, "")</f>
        <v>0</v>
      </c>
      <c r="K7018" s="24" t="str" cm="1">
        <f t="array" ref="K7018">IFERROR(IF($B7018=K$1, ($A7018+$C7018) - MAX(IF($B$2:$B7017=$B7018, $A$2:$A7017+$C$2:$C7017)), "")*24*60, "")</f>
        <v/>
      </c>
      <c r="L7018" s="24" t="str" cm="1">
        <f t="array" ref="L7018">IFERROR(IF($B7018=L$1, ($A7018+$C7018) - MAX(IF($B$2:$B7017=$B7018, $A$2:$A7017+$C$2:$C7017)), "")*24*60, "")</f>
        <v/>
      </c>
      <c r="M7018" s="24" t="str" cm="1">
        <f t="array" ref="M7018">IFERROR(IF($B7018=M$1, ($A7018+$C7018) - MAX(IF($B$2:$B7017=$B7018, $A$2:$A7017+$C$2:$C7017)), "")*24*60, "")</f>
        <v/>
      </c>
      <c r="N7018" s="24" t="str" cm="1">
        <f t="array" ref="N7018">IFERROR(IF($B7018=N$1, ($A7018+$C7018) - MAX(IF($B$2:$B7017=$B7018, $A$2:$A7017+$C$2:$C7017)), "")*24*60, "")</f>
        <v/>
      </c>
      <c r="O7018" s="24" t="str" cm="1">
        <f t="array" ref="O7018">IFERROR(IF($B7018=O$1, ($A7018+$C7018) - MAX(IF($B$2:$B7017=$B7018, $A$2:$A7017+$C$2:$C7017)), "")*24*60, "")</f>
        <v/>
      </c>
      <c r="P7018" s="24" t="str" cm="1">
        <f t="array" ref="P7018">IFERROR(IF($B7018=P$1, ($A7018+$C7018) - MAX(IF($B$2:$B7017=$B7018, $A$2:$A7017+$C$2:$C7017)), "")*24*60, "")</f>
        <v/>
      </c>
      <c r="Q7018" s="24" t="str" cm="1">
        <f t="array" ref="Q7018">IFERROR(IF($B7018=Q$1, ($A7018+$C7018) - MAX(IF($B$2:$B7017=$B7018, $A$2:$A7017+$C$2:$C7017)), "")*24*60, "")</f>
        <v/>
      </c>
      <c r="R7018" s="24" t="str" cm="1">
        <f t="array" ref="R7018">IFERROR(IF($B7018=R$1, ($A7018+$C7018) - MAX(IF($B$2:$B7017=$B7018, $A$2:$A7017+$C$2:$C7017)), "")*24*60, "")</f>
        <v/>
      </c>
      <c r="S7018" s="24" t="str" cm="1">
        <f t="array" ref="S7018">IFERROR(IF($B7018=S$1, ($A7018+$C7018) - MAX(IF($B$2:$B7017=$B7018, $A$2:$A7017+$C$2:$C7017)), "")*24*60, "")</f>
        <v/>
      </c>
    </row>
    <row r="7019" spans="1:19" x14ac:dyDescent="0.2">
      <c r="A7019" s="12">
        <f t="shared" ref="A7019:C7019" si="1353">A7018</f>
        <v>46003</v>
      </c>
      <c r="B7019" s="5" t="str">
        <f t="shared" si="1353"/>
        <v>Tufted Titmouse</v>
      </c>
      <c r="C7019" s="6">
        <f t="shared" si="1353"/>
        <v>0.47430555555555554</v>
      </c>
      <c r="D7019" s="5"/>
      <c r="E7019" s="5"/>
      <c r="F7019" s="5" t="s">
        <v>22</v>
      </c>
      <c r="G7019" s="15" t="s">
        <v>22</v>
      </c>
      <c r="H7019" s="24">
        <f t="shared" si="1334"/>
        <v>0</v>
      </c>
      <c r="I7019" s="24" t="str" cm="1">
        <f t="array" ref="I7019">IFERROR(IF($B7019=I$1, ($A7019+$C7019) - MAX(IF($B$2:$B7018=$B7019, $A$2:$A7018+$C$2:$C7018)), "")*24*60, "")</f>
        <v/>
      </c>
      <c r="J7019" s="24" cm="1">
        <f t="array" ref="J7019">IFERROR(IF($B7019=J$1, ($A7019+$C7019) - MAX(IF($B$2:$B7018=$B7019, $A$2:$A7018+$C$2:$C7018)), "")*24*60, "")</f>
        <v>0</v>
      </c>
      <c r="K7019" s="24" t="str" cm="1">
        <f t="array" ref="K7019">IFERROR(IF($B7019=K$1, ($A7019+$C7019) - MAX(IF($B$2:$B7018=$B7019, $A$2:$A7018+$C$2:$C7018)), "")*24*60, "")</f>
        <v/>
      </c>
      <c r="L7019" s="24" t="str" cm="1">
        <f t="array" ref="L7019">IFERROR(IF($B7019=L$1, ($A7019+$C7019) - MAX(IF($B$2:$B7018=$B7019, $A$2:$A7018+$C$2:$C7018)), "")*24*60, "")</f>
        <v/>
      </c>
      <c r="M7019" s="24" t="str" cm="1">
        <f t="array" ref="M7019">IFERROR(IF($B7019=M$1, ($A7019+$C7019) - MAX(IF($B$2:$B7018=$B7019, $A$2:$A7018+$C$2:$C7018)), "")*24*60, "")</f>
        <v/>
      </c>
      <c r="N7019" s="24" t="str" cm="1">
        <f t="array" ref="N7019">IFERROR(IF($B7019=N$1, ($A7019+$C7019) - MAX(IF($B$2:$B7018=$B7019, $A$2:$A7018+$C$2:$C7018)), "")*24*60, "")</f>
        <v/>
      </c>
      <c r="O7019" s="24" t="str" cm="1">
        <f t="array" ref="O7019">IFERROR(IF($B7019=O$1, ($A7019+$C7019) - MAX(IF($B$2:$B7018=$B7019, $A$2:$A7018+$C$2:$C7018)), "")*24*60, "")</f>
        <v/>
      </c>
      <c r="P7019" s="24" t="str" cm="1">
        <f t="array" ref="P7019">IFERROR(IF($B7019=P$1, ($A7019+$C7019) - MAX(IF($B$2:$B7018=$B7019, $A$2:$A7018+$C$2:$C7018)), "")*24*60, "")</f>
        <v/>
      </c>
      <c r="Q7019" s="24" t="str" cm="1">
        <f t="array" ref="Q7019">IFERROR(IF($B7019=Q$1, ($A7019+$C7019) - MAX(IF($B$2:$B7018=$B7019, $A$2:$A7018+$C$2:$C7018)), "")*24*60, "")</f>
        <v/>
      </c>
      <c r="R7019" s="24" t="str" cm="1">
        <f t="array" ref="R7019">IFERROR(IF($B7019=R$1, ($A7019+$C7019) - MAX(IF($B$2:$B7018=$B7019, $A$2:$A7018+$C$2:$C7018)), "")*24*60, "")</f>
        <v/>
      </c>
      <c r="S7019" s="24" t="str" cm="1">
        <f t="array" ref="S7019">IFERROR(IF($B7019=S$1, ($A7019+$C7019) - MAX(IF($B$2:$B7018=$B7019, $A$2:$A7018+$C$2:$C7018)), "")*24*60, "")</f>
        <v/>
      </c>
    </row>
    <row r="7020" spans="1:19" x14ac:dyDescent="0.2">
      <c r="A7020" s="12">
        <f t="shared" ref="A7020:C7020" si="1354">A7019</f>
        <v>46003</v>
      </c>
      <c r="B7020" s="5" t="str">
        <f t="shared" si="1354"/>
        <v>Tufted Titmouse</v>
      </c>
      <c r="C7020" s="6">
        <f t="shared" si="1354"/>
        <v>0.47430555555555554</v>
      </c>
      <c r="D7020" s="5"/>
      <c r="E7020" s="5"/>
      <c r="F7020" s="5" t="s">
        <v>22</v>
      </c>
      <c r="G7020" s="15" t="s">
        <v>22</v>
      </c>
      <c r="H7020" s="24">
        <f t="shared" si="1334"/>
        <v>0</v>
      </c>
      <c r="I7020" s="24" t="str" cm="1">
        <f t="array" ref="I7020">IFERROR(IF($B7020=I$1, ($A7020+$C7020) - MAX(IF($B$2:$B7019=$B7020, $A$2:$A7019+$C$2:$C7019)), "")*24*60, "")</f>
        <v/>
      </c>
      <c r="J7020" s="24" cm="1">
        <f t="array" ref="J7020">IFERROR(IF($B7020=J$1, ($A7020+$C7020) - MAX(IF($B$2:$B7019=$B7020, $A$2:$A7019+$C$2:$C7019)), "")*24*60, "")</f>
        <v>0</v>
      </c>
      <c r="K7020" s="24" t="str" cm="1">
        <f t="array" ref="K7020">IFERROR(IF($B7020=K$1, ($A7020+$C7020) - MAX(IF($B$2:$B7019=$B7020, $A$2:$A7019+$C$2:$C7019)), "")*24*60, "")</f>
        <v/>
      </c>
      <c r="L7020" s="24" t="str" cm="1">
        <f t="array" ref="L7020">IFERROR(IF($B7020=L$1, ($A7020+$C7020) - MAX(IF($B$2:$B7019=$B7020, $A$2:$A7019+$C$2:$C7019)), "")*24*60, "")</f>
        <v/>
      </c>
      <c r="M7020" s="24" t="str" cm="1">
        <f t="array" ref="M7020">IFERROR(IF($B7020=M$1, ($A7020+$C7020) - MAX(IF($B$2:$B7019=$B7020, $A$2:$A7019+$C$2:$C7019)), "")*24*60, "")</f>
        <v/>
      </c>
      <c r="N7020" s="24" t="str" cm="1">
        <f t="array" ref="N7020">IFERROR(IF($B7020=N$1, ($A7020+$C7020) - MAX(IF($B$2:$B7019=$B7020, $A$2:$A7019+$C$2:$C7019)), "")*24*60, "")</f>
        <v/>
      </c>
      <c r="O7020" s="24" t="str" cm="1">
        <f t="array" ref="O7020">IFERROR(IF($B7020=O$1, ($A7020+$C7020) - MAX(IF($B$2:$B7019=$B7020, $A$2:$A7019+$C$2:$C7019)), "")*24*60, "")</f>
        <v/>
      </c>
      <c r="P7020" s="24" t="str" cm="1">
        <f t="array" ref="P7020">IFERROR(IF($B7020=P$1, ($A7020+$C7020) - MAX(IF($B$2:$B7019=$B7020, $A$2:$A7019+$C$2:$C7019)), "")*24*60, "")</f>
        <v/>
      </c>
      <c r="Q7020" s="24" t="str" cm="1">
        <f t="array" ref="Q7020">IFERROR(IF($B7020=Q$1, ($A7020+$C7020) - MAX(IF($B$2:$B7019=$B7020, $A$2:$A7019+$C$2:$C7019)), "")*24*60, "")</f>
        <v/>
      </c>
      <c r="R7020" s="24" t="str" cm="1">
        <f t="array" ref="R7020">IFERROR(IF($B7020=R$1, ($A7020+$C7020) - MAX(IF($B$2:$B7019=$B7020, $A$2:$A7019+$C$2:$C7019)), "")*24*60, "")</f>
        <v/>
      </c>
      <c r="S7020" s="24" t="str" cm="1">
        <f t="array" ref="S7020">IFERROR(IF($B7020=S$1, ($A7020+$C7020) - MAX(IF($B$2:$B7019=$B7020, $A$2:$A7019+$C$2:$C7019)), "")*24*60, "")</f>
        <v/>
      </c>
    </row>
    <row r="7021" spans="1:19" x14ac:dyDescent="0.2">
      <c r="A7021" s="12">
        <f t="shared" ref="A7021:C7021" si="1355">A7020</f>
        <v>46003</v>
      </c>
      <c r="B7021" s="5" t="str">
        <f t="shared" si="1355"/>
        <v>Tufted Titmouse</v>
      </c>
      <c r="C7021" s="6">
        <f t="shared" si="1355"/>
        <v>0.47430555555555554</v>
      </c>
      <c r="D7021" s="5"/>
      <c r="E7021" s="5"/>
      <c r="F7021" s="5" t="s">
        <v>22</v>
      </c>
      <c r="G7021" s="15" t="s">
        <v>22</v>
      </c>
      <c r="H7021" s="24">
        <f t="shared" si="1334"/>
        <v>0</v>
      </c>
      <c r="I7021" s="24" t="str" cm="1">
        <f t="array" ref="I7021">IFERROR(IF($B7021=I$1, ($A7021+$C7021) - MAX(IF($B$2:$B7020=$B7021, $A$2:$A7020+$C$2:$C7020)), "")*24*60, "")</f>
        <v/>
      </c>
      <c r="J7021" s="24" cm="1">
        <f t="array" ref="J7021">IFERROR(IF($B7021=J$1, ($A7021+$C7021) - MAX(IF($B$2:$B7020=$B7021, $A$2:$A7020+$C$2:$C7020)), "")*24*60, "")</f>
        <v>0</v>
      </c>
      <c r="K7021" s="24" t="str" cm="1">
        <f t="array" ref="K7021">IFERROR(IF($B7021=K$1, ($A7021+$C7021) - MAX(IF($B$2:$B7020=$B7021, $A$2:$A7020+$C$2:$C7020)), "")*24*60, "")</f>
        <v/>
      </c>
      <c r="L7021" s="24" t="str" cm="1">
        <f t="array" ref="L7021">IFERROR(IF($B7021=L$1, ($A7021+$C7021) - MAX(IF($B$2:$B7020=$B7021, $A$2:$A7020+$C$2:$C7020)), "")*24*60, "")</f>
        <v/>
      </c>
      <c r="M7021" s="24" t="str" cm="1">
        <f t="array" ref="M7021">IFERROR(IF($B7021=M$1, ($A7021+$C7021) - MAX(IF($B$2:$B7020=$B7021, $A$2:$A7020+$C$2:$C7020)), "")*24*60, "")</f>
        <v/>
      </c>
      <c r="N7021" s="24" t="str" cm="1">
        <f t="array" ref="N7021">IFERROR(IF($B7021=N$1, ($A7021+$C7021) - MAX(IF($B$2:$B7020=$B7021, $A$2:$A7020+$C$2:$C7020)), "")*24*60, "")</f>
        <v/>
      </c>
      <c r="O7021" s="24" t="str" cm="1">
        <f t="array" ref="O7021">IFERROR(IF($B7021=O$1, ($A7021+$C7021) - MAX(IF($B$2:$B7020=$B7021, $A$2:$A7020+$C$2:$C7020)), "")*24*60, "")</f>
        <v/>
      </c>
      <c r="P7021" s="24" t="str" cm="1">
        <f t="array" ref="P7021">IFERROR(IF($B7021=P$1, ($A7021+$C7021) - MAX(IF($B$2:$B7020=$B7021, $A$2:$A7020+$C$2:$C7020)), "")*24*60, "")</f>
        <v/>
      </c>
      <c r="Q7021" s="24" t="str" cm="1">
        <f t="array" ref="Q7021">IFERROR(IF($B7021=Q$1, ($A7021+$C7021) - MAX(IF($B$2:$B7020=$B7021, $A$2:$A7020+$C$2:$C7020)), "")*24*60, "")</f>
        <v/>
      </c>
      <c r="R7021" s="24" t="str" cm="1">
        <f t="array" ref="R7021">IFERROR(IF($B7021=R$1, ($A7021+$C7021) - MAX(IF($B$2:$B7020=$B7021, $A$2:$A7020+$C$2:$C7020)), "")*24*60, "")</f>
        <v/>
      </c>
      <c r="S7021" s="24" t="str" cm="1">
        <f t="array" ref="S7021">IFERROR(IF($B7021=S$1, ($A7021+$C7021) - MAX(IF($B$2:$B7020=$B7021, $A$2:$A7020+$C$2:$C7020)), "")*24*60, "")</f>
        <v/>
      </c>
    </row>
    <row r="7022" spans="1:19" x14ac:dyDescent="0.2">
      <c r="A7022" s="12">
        <f t="shared" ref="A7022:C7022" si="1356">A7021</f>
        <v>46003</v>
      </c>
      <c r="B7022" s="5" t="str">
        <f t="shared" si="1356"/>
        <v>Tufted Titmouse</v>
      </c>
      <c r="C7022" s="6">
        <f t="shared" si="1356"/>
        <v>0.47430555555555554</v>
      </c>
      <c r="D7022" s="5"/>
      <c r="E7022" s="5"/>
      <c r="F7022" s="5" t="s">
        <v>22</v>
      </c>
      <c r="G7022" s="15" t="s">
        <v>22</v>
      </c>
      <c r="H7022" s="24">
        <f t="shared" si="1334"/>
        <v>0</v>
      </c>
      <c r="I7022" s="24" t="str" cm="1">
        <f t="array" ref="I7022">IFERROR(IF($B7022=I$1, ($A7022+$C7022) - MAX(IF($B$2:$B7021=$B7022, $A$2:$A7021+$C$2:$C7021)), "")*24*60, "")</f>
        <v/>
      </c>
      <c r="J7022" s="24" cm="1">
        <f t="array" ref="J7022">IFERROR(IF($B7022=J$1, ($A7022+$C7022) - MAX(IF($B$2:$B7021=$B7022, $A$2:$A7021+$C$2:$C7021)), "")*24*60, "")</f>
        <v>0</v>
      </c>
      <c r="K7022" s="24" t="str" cm="1">
        <f t="array" ref="K7022">IFERROR(IF($B7022=K$1, ($A7022+$C7022) - MAX(IF($B$2:$B7021=$B7022, $A$2:$A7021+$C$2:$C7021)), "")*24*60, "")</f>
        <v/>
      </c>
      <c r="L7022" s="24" t="str" cm="1">
        <f t="array" ref="L7022">IFERROR(IF($B7022=L$1, ($A7022+$C7022) - MAX(IF($B$2:$B7021=$B7022, $A$2:$A7021+$C$2:$C7021)), "")*24*60, "")</f>
        <v/>
      </c>
      <c r="M7022" s="24" t="str" cm="1">
        <f t="array" ref="M7022">IFERROR(IF($B7022=M$1, ($A7022+$C7022) - MAX(IF($B$2:$B7021=$B7022, $A$2:$A7021+$C$2:$C7021)), "")*24*60, "")</f>
        <v/>
      </c>
      <c r="N7022" s="24" t="str" cm="1">
        <f t="array" ref="N7022">IFERROR(IF($B7022=N$1, ($A7022+$C7022) - MAX(IF($B$2:$B7021=$B7022, $A$2:$A7021+$C$2:$C7021)), "")*24*60, "")</f>
        <v/>
      </c>
      <c r="O7022" s="24" t="str" cm="1">
        <f t="array" ref="O7022">IFERROR(IF($B7022=O$1, ($A7022+$C7022) - MAX(IF($B$2:$B7021=$B7022, $A$2:$A7021+$C$2:$C7021)), "")*24*60, "")</f>
        <v/>
      </c>
      <c r="P7022" s="24" t="str" cm="1">
        <f t="array" ref="P7022">IFERROR(IF($B7022=P$1, ($A7022+$C7022) - MAX(IF($B$2:$B7021=$B7022, $A$2:$A7021+$C$2:$C7021)), "")*24*60, "")</f>
        <v/>
      </c>
      <c r="Q7022" s="24" t="str" cm="1">
        <f t="array" ref="Q7022">IFERROR(IF($B7022=Q$1, ($A7022+$C7022) - MAX(IF($B$2:$B7021=$B7022, $A$2:$A7021+$C$2:$C7021)), "")*24*60, "")</f>
        <v/>
      </c>
      <c r="R7022" s="24" t="str" cm="1">
        <f t="array" ref="R7022">IFERROR(IF($B7022=R$1, ($A7022+$C7022) - MAX(IF($B$2:$B7021=$B7022, $A$2:$A7021+$C$2:$C7021)), "")*24*60, "")</f>
        <v/>
      </c>
      <c r="S7022" s="24" t="str" cm="1">
        <f t="array" ref="S7022">IFERROR(IF($B7022=S$1, ($A7022+$C7022) - MAX(IF($B$2:$B7021=$B7022, $A$2:$A7021+$C$2:$C7021)), "")*24*60, "")</f>
        <v/>
      </c>
    </row>
    <row r="7023" spans="1:19" x14ac:dyDescent="0.2">
      <c r="A7023" s="12">
        <f t="shared" ref="A7023:C7023" si="1357">A7022</f>
        <v>46003</v>
      </c>
      <c r="B7023" s="5" t="str">
        <f t="shared" si="1357"/>
        <v>Tufted Titmouse</v>
      </c>
      <c r="C7023" s="6">
        <f t="shared" si="1357"/>
        <v>0.47430555555555554</v>
      </c>
      <c r="D7023" s="5"/>
      <c r="E7023" s="5"/>
      <c r="F7023" s="5" t="s">
        <v>22</v>
      </c>
      <c r="G7023" s="15" t="s">
        <v>22</v>
      </c>
      <c r="H7023" s="24">
        <f t="shared" si="1334"/>
        <v>0</v>
      </c>
      <c r="I7023" s="24" t="str" cm="1">
        <f t="array" ref="I7023">IFERROR(IF($B7023=I$1, ($A7023+$C7023) - MAX(IF($B$2:$B7022=$B7023, $A$2:$A7022+$C$2:$C7022)), "")*24*60, "")</f>
        <v/>
      </c>
      <c r="J7023" s="24" cm="1">
        <f t="array" ref="J7023">IFERROR(IF($B7023=J$1, ($A7023+$C7023) - MAX(IF($B$2:$B7022=$B7023, $A$2:$A7022+$C$2:$C7022)), "")*24*60, "")</f>
        <v>0</v>
      </c>
      <c r="K7023" s="24" t="str" cm="1">
        <f t="array" ref="K7023">IFERROR(IF($B7023=K$1, ($A7023+$C7023) - MAX(IF($B$2:$B7022=$B7023, $A$2:$A7022+$C$2:$C7022)), "")*24*60, "")</f>
        <v/>
      </c>
      <c r="L7023" s="24" t="str" cm="1">
        <f t="array" ref="L7023">IFERROR(IF($B7023=L$1, ($A7023+$C7023) - MAX(IF($B$2:$B7022=$B7023, $A$2:$A7022+$C$2:$C7022)), "")*24*60, "")</f>
        <v/>
      </c>
      <c r="M7023" s="24" t="str" cm="1">
        <f t="array" ref="M7023">IFERROR(IF($B7023=M$1, ($A7023+$C7023) - MAX(IF($B$2:$B7022=$B7023, $A$2:$A7022+$C$2:$C7022)), "")*24*60, "")</f>
        <v/>
      </c>
      <c r="N7023" s="24" t="str" cm="1">
        <f t="array" ref="N7023">IFERROR(IF($B7023=N$1, ($A7023+$C7023) - MAX(IF($B$2:$B7022=$B7023, $A$2:$A7022+$C$2:$C7022)), "")*24*60, "")</f>
        <v/>
      </c>
      <c r="O7023" s="24" t="str" cm="1">
        <f t="array" ref="O7023">IFERROR(IF($B7023=O$1, ($A7023+$C7023) - MAX(IF($B$2:$B7022=$B7023, $A$2:$A7022+$C$2:$C7022)), "")*24*60, "")</f>
        <v/>
      </c>
      <c r="P7023" s="24" t="str" cm="1">
        <f t="array" ref="P7023">IFERROR(IF($B7023=P$1, ($A7023+$C7023) - MAX(IF($B$2:$B7022=$B7023, $A$2:$A7022+$C$2:$C7022)), "")*24*60, "")</f>
        <v/>
      </c>
      <c r="Q7023" s="24" t="str" cm="1">
        <f t="array" ref="Q7023">IFERROR(IF($B7023=Q$1, ($A7023+$C7023) - MAX(IF($B$2:$B7022=$B7023, $A$2:$A7022+$C$2:$C7022)), "")*24*60, "")</f>
        <v/>
      </c>
      <c r="R7023" s="24" t="str" cm="1">
        <f t="array" ref="R7023">IFERROR(IF($B7023=R$1, ($A7023+$C7023) - MAX(IF($B$2:$B7022=$B7023, $A$2:$A7022+$C$2:$C7022)), "")*24*60, "")</f>
        <v/>
      </c>
      <c r="S7023" s="24" t="str" cm="1">
        <f t="array" ref="S7023">IFERROR(IF($B7023=S$1, ($A7023+$C7023) - MAX(IF($B$2:$B7022=$B7023, $A$2:$A7022+$C$2:$C7022)), "")*24*60, "")</f>
        <v/>
      </c>
    </row>
    <row r="7024" spans="1:19" x14ac:dyDescent="0.2">
      <c r="A7024" s="12">
        <f t="shared" ref="A7024:C7024" si="1358">A7023</f>
        <v>46003</v>
      </c>
      <c r="B7024" s="5" t="str">
        <f t="shared" si="1358"/>
        <v>Tufted Titmouse</v>
      </c>
      <c r="C7024" s="6">
        <f t="shared" si="1358"/>
        <v>0.47430555555555554</v>
      </c>
      <c r="D7024" s="5"/>
      <c r="E7024" s="5"/>
      <c r="F7024" s="5" t="s">
        <v>22</v>
      </c>
      <c r="G7024" s="15" t="s">
        <v>22</v>
      </c>
      <c r="H7024" s="24">
        <f t="shared" si="1334"/>
        <v>0</v>
      </c>
      <c r="I7024" s="24" t="str" cm="1">
        <f t="array" ref="I7024">IFERROR(IF($B7024=I$1, ($A7024+$C7024) - MAX(IF($B$2:$B7023=$B7024, $A$2:$A7023+$C$2:$C7023)), "")*24*60, "")</f>
        <v/>
      </c>
      <c r="J7024" s="24" cm="1">
        <f t="array" ref="J7024">IFERROR(IF($B7024=J$1, ($A7024+$C7024) - MAX(IF($B$2:$B7023=$B7024, $A$2:$A7023+$C$2:$C7023)), "")*24*60, "")</f>
        <v>0</v>
      </c>
      <c r="K7024" s="24" t="str" cm="1">
        <f t="array" ref="K7024">IFERROR(IF($B7024=K$1, ($A7024+$C7024) - MAX(IF($B$2:$B7023=$B7024, $A$2:$A7023+$C$2:$C7023)), "")*24*60, "")</f>
        <v/>
      </c>
      <c r="L7024" s="24" t="str" cm="1">
        <f t="array" ref="L7024">IFERROR(IF($B7024=L$1, ($A7024+$C7024) - MAX(IF($B$2:$B7023=$B7024, $A$2:$A7023+$C$2:$C7023)), "")*24*60, "")</f>
        <v/>
      </c>
      <c r="M7024" s="24" t="str" cm="1">
        <f t="array" ref="M7024">IFERROR(IF($B7024=M$1, ($A7024+$C7024) - MAX(IF($B$2:$B7023=$B7024, $A$2:$A7023+$C$2:$C7023)), "")*24*60, "")</f>
        <v/>
      </c>
      <c r="N7024" s="24" t="str" cm="1">
        <f t="array" ref="N7024">IFERROR(IF($B7024=N$1, ($A7024+$C7024) - MAX(IF($B$2:$B7023=$B7024, $A$2:$A7023+$C$2:$C7023)), "")*24*60, "")</f>
        <v/>
      </c>
      <c r="O7024" s="24" t="str" cm="1">
        <f t="array" ref="O7024">IFERROR(IF($B7024=O$1, ($A7024+$C7024) - MAX(IF($B$2:$B7023=$B7024, $A$2:$A7023+$C$2:$C7023)), "")*24*60, "")</f>
        <v/>
      </c>
      <c r="P7024" s="24" t="str" cm="1">
        <f t="array" ref="P7024">IFERROR(IF($B7024=P$1, ($A7024+$C7024) - MAX(IF($B$2:$B7023=$B7024, $A$2:$A7023+$C$2:$C7023)), "")*24*60, "")</f>
        <v/>
      </c>
      <c r="Q7024" s="24" t="str" cm="1">
        <f t="array" ref="Q7024">IFERROR(IF($B7024=Q$1, ($A7024+$C7024) - MAX(IF($B$2:$B7023=$B7024, $A$2:$A7023+$C$2:$C7023)), "")*24*60, "")</f>
        <v/>
      </c>
      <c r="R7024" s="24" t="str" cm="1">
        <f t="array" ref="R7024">IFERROR(IF($B7024=R$1, ($A7024+$C7024) - MAX(IF($B$2:$B7023=$B7024, $A$2:$A7023+$C$2:$C7023)), "")*24*60, "")</f>
        <v/>
      </c>
      <c r="S7024" s="24" t="str" cm="1">
        <f t="array" ref="S7024">IFERROR(IF($B7024=S$1, ($A7024+$C7024) - MAX(IF($B$2:$B7023=$B7024, $A$2:$A7023+$C$2:$C7023)), "")*24*60, "")</f>
        <v/>
      </c>
    </row>
    <row r="7025" spans="1:19" x14ac:dyDescent="0.2">
      <c r="A7025" s="12">
        <f t="shared" ref="A7025:C7025" si="1359">A7024</f>
        <v>46003</v>
      </c>
      <c r="B7025" s="5" t="str">
        <f t="shared" si="1359"/>
        <v>Tufted Titmouse</v>
      </c>
      <c r="C7025" s="6">
        <f t="shared" si="1359"/>
        <v>0.47430555555555554</v>
      </c>
      <c r="D7025" s="5"/>
      <c r="E7025" s="5"/>
      <c r="F7025" s="5" t="s">
        <v>22</v>
      </c>
      <c r="G7025" s="15" t="s">
        <v>22</v>
      </c>
      <c r="H7025" s="24">
        <f t="shared" si="1334"/>
        <v>0</v>
      </c>
      <c r="I7025" s="24" t="str" cm="1">
        <f t="array" ref="I7025">IFERROR(IF($B7025=I$1, ($A7025+$C7025) - MAX(IF($B$2:$B7024=$B7025, $A$2:$A7024+$C$2:$C7024)), "")*24*60, "")</f>
        <v/>
      </c>
      <c r="J7025" s="24" cm="1">
        <f t="array" ref="J7025">IFERROR(IF($B7025=J$1, ($A7025+$C7025) - MAX(IF($B$2:$B7024=$B7025, $A$2:$A7024+$C$2:$C7024)), "")*24*60, "")</f>
        <v>0</v>
      </c>
      <c r="K7025" s="24" t="str" cm="1">
        <f t="array" ref="K7025">IFERROR(IF($B7025=K$1, ($A7025+$C7025) - MAX(IF($B$2:$B7024=$B7025, $A$2:$A7024+$C$2:$C7024)), "")*24*60, "")</f>
        <v/>
      </c>
      <c r="L7025" s="24" t="str" cm="1">
        <f t="array" ref="L7025">IFERROR(IF($B7025=L$1, ($A7025+$C7025) - MAX(IF($B$2:$B7024=$B7025, $A$2:$A7024+$C$2:$C7024)), "")*24*60, "")</f>
        <v/>
      </c>
      <c r="M7025" s="24" t="str" cm="1">
        <f t="array" ref="M7025">IFERROR(IF($B7025=M$1, ($A7025+$C7025) - MAX(IF($B$2:$B7024=$B7025, $A$2:$A7024+$C$2:$C7024)), "")*24*60, "")</f>
        <v/>
      </c>
      <c r="N7025" s="24" t="str" cm="1">
        <f t="array" ref="N7025">IFERROR(IF($B7025=N$1, ($A7025+$C7025) - MAX(IF($B$2:$B7024=$B7025, $A$2:$A7024+$C$2:$C7024)), "")*24*60, "")</f>
        <v/>
      </c>
      <c r="O7025" s="24" t="str" cm="1">
        <f t="array" ref="O7025">IFERROR(IF($B7025=O$1, ($A7025+$C7025) - MAX(IF($B$2:$B7024=$B7025, $A$2:$A7024+$C$2:$C7024)), "")*24*60, "")</f>
        <v/>
      </c>
      <c r="P7025" s="24" t="str" cm="1">
        <f t="array" ref="P7025">IFERROR(IF($B7025=P$1, ($A7025+$C7025) - MAX(IF($B$2:$B7024=$B7025, $A$2:$A7024+$C$2:$C7024)), "")*24*60, "")</f>
        <v/>
      </c>
      <c r="Q7025" s="24" t="str" cm="1">
        <f t="array" ref="Q7025">IFERROR(IF($B7025=Q$1, ($A7025+$C7025) - MAX(IF($B$2:$B7024=$B7025, $A$2:$A7024+$C$2:$C7024)), "")*24*60, "")</f>
        <v/>
      </c>
      <c r="R7025" s="24" t="str" cm="1">
        <f t="array" ref="R7025">IFERROR(IF($B7025=R$1, ($A7025+$C7025) - MAX(IF($B$2:$B7024=$B7025, $A$2:$A7024+$C$2:$C7024)), "")*24*60, "")</f>
        <v/>
      </c>
      <c r="S7025" s="24" t="str" cm="1">
        <f t="array" ref="S7025">IFERROR(IF($B7025=S$1, ($A7025+$C7025) - MAX(IF($B$2:$B7024=$B7025, $A$2:$A7024+$C$2:$C7024)), "")*24*60, "")</f>
        <v/>
      </c>
    </row>
    <row r="7026" spans="1:19" x14ac:dyDescent="0.2">
      <c r="A7026" s="12">
        <f t="shared" ref="A7026:C7026" si="1360">A7025</f>
        <v>46003</v>
      </c>
      <c r="B7026" s="5" t="str">
        <f t="shared" si="1360"/>
        <v>Tufted Titmouse</v>
      </c>
      <c r="C7026" s="6">
        <f t="shared" si="1360"/>
        <v>0.47430555555555554</v>
      </c>
      <c r="D7026" s="5"/>
      <c r="E7026" s="5"/>
      <c r="F7026" s="5" t="s">
        <v>22</v>
      </c>
      <c r="G7026" s="15" t="s">
        <v>22</v>
      </c>
      <c r="H7026" s="24">
        <f t="shared" si="1334"/>
        <v>0</v>
      </c>
      <c r="I7026" s="24" t="str" cm="1">
        <f t="array" ref="I7026">IFERROR(IF($B7026=I$1, ($A7026+$C7026) - MAX(IF($B$2:$B7025=$B7026, $A$2:$A7025+$C$2:$C7025)), "")*24*60, "")</f>
        <v/>
      </c>
      <c r="J7026" s="24" cm="1">
        <f t="array" ref="J7026">IFERROR(IF($B7026=J$1, ($A7026+$C7026) - MAX(IF($B$2:$B7025=$B7026, $A$2:$A7025+$C$2:$C7025)), "")*24*60, "")</f>
        <v>0</v>
      </c>
      <c r="K7026" s="24" t="str" cm="1">
        <f t="array" ref="K7026">IFERROR(IF($B7026=K$1, ($A7026+$C7026) - MAX(IF($B$2:$B7025=$B7026, $A$2:$A7025+$C$2:$C7025)), "")*24*60, "")</f>
        <v/>
      </c>
      <c r="L7026" s="24" t="str" cm="1">
        <f t="array" ref="L7026">IFERROR(IF($B7026=L$1, ($A7026+$C7026) - MAX(IF($B$2:$B7025=$B7026, $A$2:$A7025+$C$2:$C7025)), "")*24*60, "")</f>
        <v/>
      </c>
      <c r="M7026" s="24" t="str" cm="1">
        <f t="array" ref="M7026">IFERROR(IF($B7026=M$1, ($A7026+$C7026) - MAX(IF($B$2:$B7025=$B7026, $A$2:$A7025+$C$2:$C7025)), "")*24*60, "")</f>
        <v/>
      </c>
      <c r="N7026" s="24" t="str" cm="1">
        <f t="array" ref="N7026">IFERROR(IF($B7026=N$1, ($A7026+$C7026) - MAX(IF($B$2:$B7025=$B7026, $A$2:$A7025+$C$2:$C7025)), "")*24*60, "")</f>
        <v/>
      </c>
      <c r="O7026" s="24" t="str" cm="1">
        <f t="array" ref="O7026">IFERROR(IF($B7026=O$1, ($A7026+$C7026) - MAX(IF($B$2:$B7025=$B7026, $A$2:$A7025+$C$2:$C7025)), "")*24*60, "")</f>
        <v/>
      </c>
      <c r="P7026" s="24" t="str" cm="1">
        <f t="array" ref="P7026">IFERROR(IF($B7026=P$1, ($A7026+$C7026) - MAX(IF($B$2:$B7025=$B7026, $A$2:$A7025+$C$2:$C7025)), "")*24*60, "")</f>
        <v/>
      </c>
      <c r="Q7026" s="24" t="str" cm="1">
        <f t="array" ref="Q7026">IFERROR(IF($B7026=Q$1, ($A7026+$C7026) - MAX(IF($B$2:$B7025=$B7026, $A$2:$A7025+$C$2:$C7025)), "")*24*60, "")</f>
        <v/>
      </c>
      <c r="R7026" s="24" t="str" cm="1">
        <f t="array" ref="R7026">IFERROR(IF($B7026=R$1, ($A7026+$C7026) - MAX(IF($B$2:$B7025=$B7026, $A$2:$A7025+$C$2:$C7025)), "")*24*60, "")</f>
        <v/>
      </c>
      <c r="S7026" s="24" t="str" cm="1">
        <f t="array" ref="S7026">IFERROR(IF($B7026=S$1, ($A7026+$C7026) - MAX(IF($B$2:$B7025=$B7026, $A$2:$A7025+$C$2:$C7025)), "")*24*60, "")</f>
        <v/>
      </c>
    </row>
    <row r="7027" spans="1:19" x14ac:dyDescent="0.2">
      <c r="A7027" s="12">
        <f t="shared" ref="A7027:C7027" si="1361">A7026</f>
        <v>46003</v>
      </c>
      <c r="B7027" s="5" t="str">
        <f t="shared" si="1361"/>
        <v>Tufted Titmouse</v>
      </c>
      <c r="C7027" s="6">
        <f t="shared" si="1361"/>
        <v>0.47430555555555554</v>
      </c>
      <c r="D7027" s="5"/>
      <c r="E7027" s="5"/>
      <c r="F7027" s="5" t="s">
        <v>22</v>
      </c>
      <c r="G7027" s="15" t="s">
        <v>22</v>
      </c>
      <c r="H7027" s="24">
        <f t="shared" si="1334"/>
        <v>0</v>
      </c>
      <c r="I7027" s="24" t="str" cm="1">
        <f t="array" ref="I7027">IFERROR(IF($B7027=I$1, ($A7027+$C7027) - MAX(IF($B$2:$B7026=$B7027, $A$2:$A7026+$C$2:$C7026)), "")*24*60, "")</f>
        <v/>
      </c>
      <c r="J7027" s="24" cm="1">
        <f t="array" ref="J7027">IFERROR(IF($B7027=J$1, ($A7027+$C7027) - MAX(IF($B$2:$B7026=$B7027, $A$2:$A7026+$C$2:$C7026)), "")*24*60, "")</f>
        <v>0</v>
      </c>
      <c r="K7027" s="24" t="str" cm="1">
        <f t="array" ref="K7027">IFERROR(IF($B7027=K$1, ($A7027+$C7027) - MAX(IF($B$2:$B7026=$B7027, $A$2:$A7026+$C$2:$C7026)), "")*24*60, "")</f>
        <v/>
      </c>
      <c r="L7027" s="24" t="str" cm="1">
        <f t="array" ref="L7027">IFERROR(IF($B7027=L$1, ($A7027+$C7027) - MAX(IF($B$2:$B7026=$B7027, $A$2:$A7026+$C$2:$C7026)), "")*24*60, "")</f>
        <v/>
      </c>
      <c r="M7027" s="24" t="str" cm="1">
        <f t="array" ref="M7027">IFERROR(IF($B7027=M$1, ($A7027+$C7027) - MAX(IF($B$2:$B7026=$B7027, $A$2:$A7026+$C$2:$C7026)), "")*24*60, "")</f>
        <v/>
      </c>
      <c r="N7027" s="24" t="str" cm="1">
        <f t="array" ref="N7027">IFERROR(IF($B7027=N$1, ($A7027+$C7027) - MAX(IF($B$2:$B7026=$B7027, $A$2:$A7026+$C$2:$C7026)), "")*24*60, "")</f>
        <v/>
      </c>
      <c r="O7027" s="24" t="str" cm="1">
        <f t="array" ref="O7027">IFERROR(IF($B7027=O$1, ($A7027+$C7027) - MAX(IF($B$2:$B7026=$B7027, $A$2:$A7026+$C$2:$C7026)), "")*24*60, "")</f>
        <v/>
      </c>
      <c r="P7027" s="24" t="str" cm="1">
        <f t="array" ref="P7027">IFERROR(IF($B7027=P$1, ($A7027+$C7027) - MAX(IF($B$2:$B7026=$B7027, $A$2:$A7026+$C$2:$C7026)), "")*24*60, "")</f>
        <v/>
      </c>
      <c r="Q7027" s="24" t="str" cm="1">
        <f t="array" ref="Q7027">IFERROR(IF($B7027=Q$1, ($A7027+$C7027) - MAX(IF($B$2:$B7026=$B7027, $A$2:$A7026+$C$2:$C7026)), "")*24*60, "")</f>
        <v/>
      </c>
      <c r="R7027" s="24" t="str" cm="1">
        <f t="array" ref="R7027">IFERROR(IF($B7027=R$1, ($A7027+$C7027) - MAX(IF($B$2:$B7026=$B7027, $A$2:$A7026+$C$2:$C7026)), "")*24*60, "")</f>
        <v/>
      </c>
      <c r="S7027" s="24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ref="A7028:C7028" si="1362">A7027</f>
        <v>46003</v>
      </c>
      <c r="B7028" s="5" t="str">
        <f t="shared" si="1362"/>
        <v>Tufted Titmouse</v>
      </c>
      <c r="C7028" s="6">
        <f t="shared" si="1362"/>
        <v>0.47430555555555554</v>
      </c>
      <c r="D7028" s="5"/>
      <c r="E7028" s="5"/>
      <c r="F7028" s="5" t="s">
        <v>22</v>
      </c>
      <c r="G7028" s="15" t="s">
        <v>22</v>
      </c>
      <c r="H7028" s="24">
        <f t="shared" si="1334"/>
        <v>0</v>
      </c>
      <c r="I7028" s="24" t="str" cm="1">
        <f t="array" ref="I7028">IFERROR(IF($B7028=I$1, ($A7028+$C7028) - MAX(IF($B$2:$B7027=$B7028, $A$2:$A7027+$C$2:$C7027)), "")*24*60, "")</f>
        <v/>
      </c>
      <c r="J7028" s="24" cm="1">
        <f t="array" ref="J7028">IFERROR(IF($B7028=J$1, ($A7028+$C7028) - MAX(IF($B$2:$B7027=$B7028, $A$2:$A7027+$C$2:$C7027)), "")*24*60, "")</f>
        <v>0</v>
      </c>
      <c r="K7028" s="24" t="str" cm="1">
        <f t="array" ref="K7028">IFERROR(IF($B7028=K$1, ($A7028+$C7028) - MAX(IF($B$2:$B7027=$B7028, $A$2:$A7027+$C$2:$C7027)), "")*24*60, "")</f>
        <v/>
      </c>
      <c r="L7028" s="24" t="str" cm="1">
        <f t="array" ref="L7028">IFERROR(IF($B7028=L$1, ($A7028+$C7028) - MAX(IF($B$2:$B7027=$B7028, $A$2:$A7027+$C$2:$C7027)), "")*24*60, "")</f>
        <v/>
      </c>
      <c r="M7028" s="24" t="str" cm="1">
        <f t="array" ref="M7028">IFERROR(IF($B7028=M$1, ($A7028+$C7028) - MAX(IF($B$2:$B7027=$B7028, $A$2:$A7027+$C$2:$C7027)), "")*24*60, "")</f>
        <v/>
      </c>
      <c r="N7028" s="24" t="str" cm="1">
        <f t="array" ref="N7028">IFERROR(IF($B7028=N$1, ($A7028+$C7028) - MAX(IF($B$2:$B7027=$B7028, $A$2:$A7027+$C$2:$C7027)), "")*24*60, "")</f>
        <v/>
      </c>
      <c r="O7028" s="24" t="str" cm="1">
        <f t="array" ref="O7028">IFERROR(IF($B7028=O$1, ($A7028+$C7028) - MAX(IF($B$2:$B7027=$B7028, $A$2:$A7027+$C$2:$C7027)), "")*24*60, "")</f>
        <v/>
      </c>
      <c r="P7028" s="24" t="str" cm="1">
        <f t="array" ref="P7028">IFERROR(IF($B7028=P$1, ($A7028+$C7028) - MAX(IF($B$2:$B7027=$B7028, $A$2:$A7027+$C$2:$C7027)), "")*24*60, "")</f>
        <v/>
      </c>
      <c r="Q7028" s="24" t="str" cm="1">
        <f t="array" ref="Q7028">IFERROR(IF($B7028=Q$1, ($A7028+$C7028) - MAX(IF($B$2:$B7027=$B7028, $A$2:$A7027+$C$2:$C7027)), "")*24*60, "")</f>
        <v/>
      </c>
      <c r="R7028" s="24" t="str" cm="1">
        <f t="array" ref="R7028">IFERROR(IF($B7028=R$1, ($A7028+$C7028) - MAX(IF($B$2:$B7027=$B7028, $A$2:$A7027+$C$2:$C7027)), "")*24*60, "")</f>
        <v/>
      </c>
      <c r="S7028" s="24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ref="A7029:C7029" si="1363">A7028</f>
        <v>46003</v>
      </c>
      <c r="B7029" s="5" t="str">
        <f t="shared" si="1363"/>
        <v>Tufted Titmouse</v>
      </c>
      <c r="C7029" s="6">
        <f t="shared" si="1363"/>
        <v>0.47430555555555554</v>
      </c>
      <c r="D7029" s="5"/>
      <c r="E7029" s="5"/>
      <c r="F7029" s="5" t="s">
        <v>22</v>
      </c>
      <c r="G7029" s="15" t="s">
        <v>22</v>
      </c>
      <c r="H7029" s="24">
        <f t="shared" si="1334"/>
        <v>0</v>
      </c>
      <c r="I7029" s="24" t="str" cm="1">
        <f t="array" ref="I7029">IFERROR(IF($B7029=I$1, ($A7029+$C7029) - MAX(IF($B$2:$B7028=$B7029, $A$2:$A7028+$C$2:$C7028)), "")*24*60, "")</f>
        <v/>
      </c>
      <c r="J7029" s="24" cm="1">
        <f t="array" ref="J7029">IFERROR(IF($B7029=J$1, ($A7029+$C7029) - MAX(IF($B$2:$B7028=$B7029, $A$2:$A7028+$C$2:$C7028)), "")*24*60, "")</f>
        <v>0</v>
      </c>
      <c r="K7029" s="24" t="str" cm="1">
        <f t="array" ref="K7029">IFERROR(IF($B7029=K$1, ($A7029+$C7029) - MAX(IF($B$2:$B7028=$B7029, $A$2:$A7028+$C$2:$C7028)), "")*24*60, "")</f>
        <v/>
      </c>
      <c r="L7029" s="24" t="str" cm="1">
        <f t="array" ref="L7029">IFERROR(IF($B7029=L$1, ($A7029+$C7029) - MAX(IF($B$2:$B7028=$B7029, $A$2:$A7028+$C$2:$C7028)), "")*24*60, "")</f>
        <v/>
      </c>
      <c r="M7029" s="24" t="str" cm="1">
        <f t="array" ref="M7029">IFERROR(IF($B7029=M$1, ($A7029+$C7029) - MAX(IF($B$2:$B7028=$B7029, $A$2:$A7028+$C$2:$C7028)), "")*24*60, "")</f>
        <v/>
      </c>
      <c r="N7029" s="24" t="str" cm="1">
        <f t="array" ref="N7029">IFERROR(IF($B7029=N$1, ($A7029+$C7029) - MAX(IF($B$2:$B7028=$B7029, $A$2:$A7028+$C$2:$C7028)), "")*24*60, "")</f>
        <v/>
      </c>
      <c r="O7029" s="24" t="str" cm="1">
        <f t="array" ref="O7029">IFERROR(IF($B7029=O$1, ($A7029+$C7029) - MAX(IF($B$2:$B7028=$B7029, $A$2:$A7028+$C$2:$C7028)), "")*24*60, "")</f>
        <v/>
      </c>
      <c r="P7029" s="24" t="str" cm="1">
        <f t="array" ref="P7029">IFERROR(IF($B7029=P$1, ($A7029+$C7029) - MAX(IF($B$2:$B7028=$B7029, $A$2:$A7028+$C$2:$C7028)), "")*24*60, "")</f>
        <v/>
      </c>
      <c r="Q7029" s="24" t="str" cm="1">
        <f t="array" ref="Q7029">IFERROR(IF($B7029=Q$1, ($A7029+$C7029) - MAX(IF($B$2:$B7028=$B7029, $A$2:$A7028+$C$2:$C7028)), "")*24*60, "")</f>
        <v/>
      </c>
      <c r="R7029" s="24" t="str" cm="1">
        <f t="array" ref="R7029">IFERROR(IF($B7029=R$1, ($A7029+$C7029) - MAX(IF($B$2:$B7028=$B7029, $A$2:$A7028+$C$2:$C7028)), "")*24*60, "")</f>
        <v/>
      </c>
      <c r="S7029" s="24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ref="A7030:C7030" si="1364">A7029</f>
        <v>46003</v>
      </c>
      <c r="B7030" s="5" t="str">
        <f t="shared" si="1364"/>
        <v>Tufted Titmouse</v>
      </c>
      <c r="C7030" s="6">
        <f t="shared" si="1364"/>
        <v>0.47430555555555554</v>
      </c>
      <c r="D7030" s="5"/>
      <c r="E7030" s="5"/>
      <c r="F7030" s="5" t="s">
        <v>22</v>
      </c>
      <c r="G7030" s="15" t="s">
        <v>22</v>
      </c>
      <c r="H7030" s="24">
        <f t="shared" si="1334"/>
        <v>0</v>
      </c>
      <c r="I7030" s="24" t="str" cm="1">
        <f t="array" ref="I7030">IFERROR(IF($B7030=I$1, ($A7030+$C7030) - MAX(IF($B$2:$B7029=$B7030, $A$2:$A7029+$C$2:$C7029)), "")*24*60, "")</f>
        <v/>
      </c>
      <c r="J7030" s="24" cm="1">
        <f t="array" ref="J7030">IFERROR(IF($B7030=J$1, ($A7030+$C7030) - MAX(IF($B$2:$B7029=$B7030, $A$2:$A7029+$C$2:$C7029)), "")*24*60, "")</f>
        <v>0</v>
      </c>
      <c r="K7030" s="24" t="str" cm="1">
        <f t="array" ref="K7030">IFERROR(IF($B7030=K$1, ($A7030+$C7030) - MAX(IF($B$2:$B7029=$B7030, $A$2:$A7029+$C$2:$C7029)), "")*24*60, "")</f>
        <v/>
      </c>
      <c r="L7030" s="24" t="str" cm="1">
        <f t="array" ref="L7030">IFERROR(IF($B7030=L$1, ($A7030+$C7030) - MAX(IF($B$2:$B7029=$B7030, $A$2:$A7029+$C$2:$C7029)), "")*24*60, "")</f>
        <v/>
      </c>
      <c r="M7030" s="24" t="str" cm="1">
        <f t="array" ref="M7030">IFERROR(IF($B7030=M$1, ($A7030+$C7030) - MAX(IF($B$2:$B7029=$B7030, $A$2:$A7029+$C$2:$C7029)), "")*24*60, "")</f>
        <v/>
      </c>
      <c r="N7030" s="24" t="str" cm="1">
        <f t="array" ref="N7030">IFERROR(IF($B7030=N$1, ($A7030+$C7030) - MAX(IF($B$2:$B7029=$B7030, $A$2:$A7029+$C$2:$C7029)), "")*24*60, "")</f>
        <v/>
      </c>
      <c r="O7030" s="24" t="str" cm="1">
        <f t="array" ref="O7030">IFERROR(IF($B7030=O$1, ($A7030+$C7030) - MAX(IF($B$2:$B7029=$B7030, $A$2:$A7029+$C$2:$C7029)), "")*24*60, "")</f>
        <v/>
      </c>
      <c r="P7030" s="24" t="str" cm="1">
        <f t="array" ref="P7030">IFERROR(IF($B7030=P$1, ($A7030+$C7030) - MAX(IF($B$2:$B7029=$B7030, $A$2:$A7029+$C$2:$C7029)), "")*24*60, "")</f>
        <v/>
      </c>
      <c r="Q7030" s="24" t="str" cm="1">
        <f t="array" ref="Q7030">IFERROR(IF($B7030=Q$1, ($A7030+$C7030) - MAX(IF($B$2:$B7029=$B7030, $A$2:$A7029+$C$2:$C7029)), "")*24*60, "")</f>
        <v/>
      </c>
      <c r="R7030" s="24" t="str" cm="1">
        <f t="array" ref="R7030">IFERROR(IF($B7030=R$1, ($A7030+$C7030) - MAX(IF($B$2:$B7029=$B7030, $A$2:$A7029+$C$2:$C7029)), "")*24*60, "")</f>
        <v/>
      </c>
      <c r="S7030" s="24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ref="A7031:C7031" si="1365">A7030</f>
        <v>46003</v>
      </c>
      <c r="B7031" s="5" t="str">
        <f t="shared" si="1365"/>
        <v>Tufted Titmouse</v>
      </c>
      <c r="C7031" s="6">
        <f t="shared" si="1365"/>
        <v>0.47430555555555554</v>
      </c>
      <c r="D7031" s="5"/>
      <c r="E7031" s="5"/>
      <c r="F7031" s="5" t="s">
        <v>22</v>
      </c>
      <c r="G7031" s="15" t="s">
        <v>22</v>
      </c>
      <c r="H7031" s="24">
        <f t="shared" si="1334"/>
        <v>0</v>
      </c>
      <c r="I7031" s="24" t="str" cm="1">
        <f t="array" ref="I7031">IFERROR(IF($B7031=I$1, ($A7031+$C7031) - MAX(IF($B$2:$B7030=$B7031, $A$2:$A7030+$C$2:$C7030)), "")*24*60, "")</f>
        <v/>
      </c>
      <c r="J7031" s="24" cm="1">
        <f t="array" ref="J7031">IFERROR(IF($B7031=J$1, ($A7031+$C7031) - MAX(IF($B$2:$B7030=$B7031, $A$2:$A7030+$C$2:$C7030)), "")*24*60, "")</f>
        <v>0</v>
      </c>
      <c r="K7031" s="24" t="str" cm="1">
        <f t="array" ref="K7031">IFERROR(IF($B7031=K$1, ($A7031+$C7031) - MAX(IF($B$2:$B7030=$B7031, $A$2:$A7030+$C$2:$C7030)), "")*24*60, "")</f>
        <v/>
      </c>
      <c r="L7031" s="24" t="str" cm="1">
        <f t="array" ref="L7031">IFERROR(IF($B7031=L$1, ($A7031+$C7031) - MAX(IF($B$2:$B7030=$B7031, $A$2:$A7030+$C$2:$C7030)), "")*24*60, "")</f>
        <v/>
      </c>
      <c r="M7031" s="24" t="str" cm="1">
        <f t="array" ref="M7031">IFERROR(IF($B7031=M$1, ($A7031+$C7031) - MAX(IF($B$2:$B7030=$B7031, $A$2:$A7030+$C$2:$C7030)), "")*24*60, "")</f>
        <v/>
      </c>
      <c r="N7031" s="24" t="str" cm="1">
        <f t="array" ref="N7031">IFERROR(IF($B7031=N$1, ($A7031+$C7031) - MAX(IF($B$2:$B7030=$B7031, $A$2:$A7030+$C$2:$C7030)), "")*24*60, "")</f>
        <v/>
      </c>
      <c r="O7031" s="24" t="str" cm="1">
        <f t="array" ref="O7031">IFERROR(IF($B7031=O$1, ($A7031+$C7031) - MAX(IF($B$2:$B7030=$B7031, $A$2:$A7030+$C$2:$C7030)), "")*24*60, "")</f>
        <v/>
      </c>
      <c r="P7031" s="24" t="str" cm="1">
        <f t="array" ref="P7031">IFERROR(IF($B7031=P$1, ($A7031+$C7031) - MAX(IF($B$2:$B7030=$B7031, $A$2:$A7030+$C$2:$C7030)), "")*24*60, "")</f>
        <v/>
      </c>
      <c r="Q7031" s="24" t="str" cm="1">
        <f t="array" ref="Q7031">IFERROR(IF($B7031=Q$1, ($A7031+$C7031) - MAX(IF($B$2:$B7030=$B7031, $A$2:$A7030+$C$2:$C7030)), "")*24*60, "")</f>
        <v/>
      </c>
      <c r="R7031" s="24" t="str" cm="1">
        <f t="array" ref="R7031">IFERROR(IF($B7031=R$1, ($A7031+$C7031) - MAX(IF($B$2:$B7030=$B7031, $A$2:$A7030+$C$2:$C7030)), "")*24*60, "")</f>
        <v/>
      </c>
      <c r="S7031" s="24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ref="A7032:C7032" si="1366">A7031</f>
        <v>46003</v>
      </c>
      <c r="B7032" s="5" t="str">
        <f t="shared" si="1366"/>
        <v>Tufted Titmouse</v>
      </c>
      <c r="C7032" s="6">
        <f t="shared" si="1366"/>
        <v>0.47430555555555554</v>
      </c>
      <c r="D7032" s="5"/>
      <c r="E7032" s="5"/>
      <c r="F7032" s="5" t="s">
        <v>22</v>
      </c>
      <c r="G7032" s="15" t="s">
        <v>22</v>
      </c>
      <c r="H7032" s="24">
        <f t="shared" si="1334"/>
        <v>0</v>
      </c>
      <c r="I7032" s="24" t="str" cm="1">
        <f t="array" ref="I7032">IFERROR(IF($B7032=I$1, ($A7032+$C7032) - MAX(IF($B$2:$B7031=$B7032, $A$2:$A7031+$C$2:$C7031)), "")*24*60, "")</f>
        <v/>
      </c>
      <c r="J7032" s="24" cm="1">
        <f t="array" ref="J7032">IFERROR(IF($B7032=J$1, ($A7032+$C7032) - MAX(IF($B$2:$B7031=$B7032, $A$2:$A7031+$C$2:$C7031)), "")*24*60, "")</f>
        <v>0</v>
      </c>
      <c r="K7032" s="24" t="str" cm="1">
        <f t="array" ref="K7032">IFERROR(IF($B7032=K$1, ($A7032+$C7032) - MAX(IF($B$2:$B7031=$B7032, $A$2:$A7031+$C$2:$C7031)), "")*24*60, "")</f>
        <v/>
      </c>
      <c r="L7032" s="24" t="str" cm="1">
        <f t="array" ref="L7032">IFERROR(IF($B7032=L$1, ($A7032+$C7032) - MAX(IF($B$2:$B7031=$B7032, $A$2:$A7031+$C$2:$C7031)), "")*24*60, "")</f>
        <v/>
      </c>
      <c r="M7032" s="24" t="str" cm="1">
        <f t="array" ref="M7032">IFERROR(IF($B7032=M$1, ($A7032+$C7032) - MAX(IF($B$2:$B7031=$B7032, $A$2:$A7031+$C$2:$C7031)), "")*24*60, "")</f>
        <v/>
      </c>
      <c r="N7032" s="24" t="str" cm="1">
        <f t="array" ref="N7032">IFERROR(IF($B7032=N$1, ($A7032+$C7032) - MAX(IF($B$2:$B7031=$B7032, $A$2:$A7031+$C$2:$C7031)), "")*24*60, "")</f>
        <v/>
      </c>
      <c r="O7032" s="24" t="str" cm="1">
        <f t="array" ref="O7032">IFERROR(IF($B7032=O$1, ($A7032+$C7032) - MAX(IF($B$2:$B7031=$B7032, $A$2:$A7031+$C$2:$C7031)), "")*24*60, "")</f>
        <v/>
      </c>
      <c r="P7032" s="24" t="str" cm="1">
        <f t="array" ref="P7032">IFERROR(IF($B7032=P$1, ($A7032+$C7032) - MAX(IF($B$2:$B7031=$B7032, $A$2:$A7031+$C$2:$C7031)), "")*24*60, "")</f>
        <v/>
      </c>
      <c r="Q7032" s="24" t="str" cm="1">
        <f t="array" ref="Q7032">IFERROR(IF($B7032=Q$1, ($A7032+$C7032) - MAX(IF($B$2:$B7031=$B7032, $A$2:$A7031+$C$2:$C7031)), "")*24*60, "")</f>
        <v/>
      </c>
      <c r="R7032" s="24" t="str" cm="1">
        <f t="array" ref="R7032">IFERROR(IF($B7032=R$1, ($A7032+$C7032) - MAX(IF($B$2:$B7031=$B7032, $A$2:$A7031+$C$2:$C7031)), "")*24*60, "")</f>
        <v/>
      </c>
      <c r="S7032" s="24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ref="A7033:C7033" si="1367">A7032</f>
        <v>46003</v>
      </c>
      <c r="B7033" s="5" t="str">
        <f t="shared" si="1367"/>
        <v>Tufted Titmouse</v>
      </c>
      <c r="C7033" s="6">
        <f t="shared" si="1367"/>
        <v>0.47430555555555554</v>
      </c>
      <c r="D7033" s="5"/>
      <c r="E7033" s="5"/>
      <c r="F7033" s="5" t="s">
        <v>22</v>
      </c>
      <c r="G7033" s="15" t="s">
        <v>22</v>
      </c>
      <c r="H7033" s="24">
        <f t="shared" si="1334"/>
        <v>0</v>
      </c>
      <c r="I7033" s="24" t="str" cm="1">
        <f t="array" ref="I7033">IFERROR(IF($B7033=I$1, ($A7033+$C7033) - MAX(IF($B$2:$B7032=$B7033, $A$2:$A7032+$C$2:$C7032)), "")*24*60, "")</f>
        <v/>
      </c>
      <c r="J7033" s="24" cm="1">
        <f t="array" ref="J7033">IFERROR(IF($B7033=J$1, ($A7033+$C7033) - MAX(IF($B$2:$B7032=$B7033, $A$2:$A7032+$C$2:$C7032)), "")*24*60, "")</f>
        <v>0</v>
      </c>
      <c r="K7033" s="24" t="str" cm="1">
        <f t="array" ref="K7033">IFERROR(IF($B7033=K$1, ($A7033+$C7033) - MAX(IF($B$2:$B7032=$B7033, $A$2:$A7032+$C$2:$C7032)), "")*24*60, "")</f>
        <v/>
      </c>
      <c r="L7033" s="24" t="str" cm="1">
        <f t="array" ref="L7033">IFERROR(IF($B7033=L$1, ($A7033+$C7033) - MAX(IF($B$2:$B7032=$B7033, $A$2:$A7032+$C$2:$C7032)), "")*24*60, "")</f>
        <v/>
      </c>
      <c r="M7033" s="24" t="str" cm="1">
        <f t="array" ref="M7033">IFERROR(IF($B7033=M$1, ($A7033+$C7033) - MAX(IF($B$2:$B7032=$B7033, $A$2:$A7032+$C$2:$C7032)), "")*24*60, "")</f>
        <v/>
      </c>
      <c r="N7033" s="24" t="str" cm="1">
        <f t="array" ref="N7033">IFERROR(IF($B7033=N$1, ($A7033+$C7033) - MAX(IF($B$2:$B7032=$B7033, $A$2:$A7032+$C$2:$C7032)), "")*24*60, "")</f>
        <v/>
      </c>
      <c r="O7033" s="24" t="str" cm="1">
        <f t="array" ref="O7033">IFERROR(IF($B7033=O$1, ($A7033+$C7033) - MAX(IF($B$2:$B7032=$B7033, $A$2:$A7032+$C$2:$C7032)), "")*24*60, "")</f>
        <v/>
      </c>
      <c r="P7033" s="24" t="str" cm="1">
        <f t="array" ref="P7033">IFERROR(IF($B7033=P$1, ($A7033+$C7033) - MAX(IF($B$2:$B7032=$B7033, $A$2:$A7032+$C$2:$C7032)), "")*24*60, "")</f>
        <v/>
      </c>
      <c r="Q7033" s="24" t="str" cm="1">
        <f t="array" ref="Q7033">IFERROR(IF($B7033=Q$1, ($A7033+$C7033) - MAX(IF($B$2:$B7032=$B7033, $A$2:$A7032+$C$2:$C7032)), "")*24*60, "")</f>
        <v/>
      </c>
      <c r="R7033" s="24" t="str" cm="1">
        <f t="array" ref="R7033">IFERROR(IF($B7033=R$1, ($A7033+$C7033) - MAX(IF($B$2:$B7032=$B7033, $A$2:$A7032+$C$2:$C7032)), "")*24*60, "")</f>
        <v/>
      </c>
      <c r="S7033" s="24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ref="A7034:C7034" si="1368">A7033</f>
        <v>46003</v>
      </c>
      <c r="B7034" s="5" t="str">
        <f t="shared" si="1368"/>
        <v>Tufted Titmouse</v>
      </c>
      <c r="C7034" s="6">
        <f t="shared" si="1368"/>
        <v>0.47430555555555554</v>
      </c>
      <c r="D7034" s="5"/>
      <c r="E7034" s="5"/>
      <c r="F7034" s="5" t="s">
        <v>22</v>
      </c>
      <c r="G7034" s="15" t="s">
        <v>22</v>
      </c>
      <c r="H7034" s="24">
        <f t="shared" si="1334"/>
        <v>0</v>
      </c>
      <c r="I7034" s="24" t="str" cm="1">
        <f t="array" ref="I7034">IFERROR(IF($B7034=I$1, ($A7034+$C7034) - MAX(IF($B$2:$B7033=$B7034, $A$2:$A7033+$C$2:$C7033)), "")*24*60, "")</f>
        <v/>
      </c>
      <c r="J7034" s="24" cm="1">
        <f t="array" ref="J7034">IFERROR(IF($B7034=J$1, ($A7034+$C7034) - MAX(IF($B$2:$B7033=$B7034, $A$2:$A7033+$C$2:$C7033)), "")*24*60, "")</f>
        <v>0</v>
      </c>
      <c r="K7034" s="24" t="str" cm="1">
        <f t="array" ref="K7034">IFERROR(IF($B7034=K$1, ($A7034+$C7034) - MAX(IF($B$2:$B7033=$B7034, $A$2:$A7033+$C$2:$C7033)), "")*24*60, "")</f>
        <v/>
      </c>
      <c r="L7034" s="24" t="str" cm="1">
        <f t="array" ref="L7034">IFERROR(IF($B7034=L$1, ($A7034+$C7034) - MAX(IF($B$2:$B7033=$B7034, $A$2:$A7033+$C$2:$C7033)), "")*24*60, "")</f>
        <v/>
      </c>
      <c r="M7034" s="24" t="str" cm="1">
        <f t="array" ref="M7034">IFERROR(IF($B7034=M$1, ($A7034+$C7034) - MAX(IF($B$2:$B7033=$B7034, $A$2:$A7033+$C$2:$C7033)), "")*24*60, "")</f>
        <v/>
      </c>
      <c r="N7034" s="24" t="str" cm="1">
        <f t="array" ref="N7034">IFERROR(IF($B7034=N$1, ($A7034+$C7034) - MAX(IF($B$2:$B7033=$B7034, $A$2:$A7033+$C$2:$C7033)), "")*24*60, "")</f>
        <v/>
      </c>
      <c r="O7034" s="24" t="str" cm="1">
        <f t="array" ref="O7034">IFERROR(IF($B7034=O$1, ($A7034+$C7034) - MAX(IF($B$2:$B7033=$B7034, $A$2:$A7033+$C$2:$C7033)), "")*24*60, "")</f>
        <v/>
      </c>
      <c r="P7034" s="24" t="str" cm="1">
        <f t="array" ref="P7034">IFERROR(IF($B7034=P$1, ($A7034+$C7034) - MAX(IF($B$2:$B7033=$B7034, $A$2:$A7033+$C$2:$C7033)), "")*24*60, "")</f>
        <v/>
      </c>
      <c r="Q7034" s="24" t="str" cm="1">
        <f t="array" ref="Q7034">IFERROR(IF($B7034=Q$1, ($A7034+$C7034) - MAX(IF($B$2:$B7033=$B7034, $A$2:$A7033+$C$2:$C7033)), "")*24*60, "")</f>
        <v/>
      </c>
      <c r="R7034" s="24" t="str" cm="1">
        <f t="array" ref="R7034">IFERROR(IF($B7034=R$1, ($A7034+$C7034) - MAX(IF($B$2:$B7033=$B7034, $A$2:$A7033+$C$2:$C7033)), "")*24*60, "")</f>
        <v/>
      </c>
      <c r="S7034" s="24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ref="A7035:C7035" si="1369">A7034</f>
        <v>46003</v>
      </c>
      <c r="B7035" s="5" t="str">
        <f t="shared" si="1369"/>
        <v>Tufted Titmouse</v>
      </c>
      <c r="C7035" s="6">
        <f t="shared" si="1369"/>
        <v>0.47430555555555554</v>
      </c>
      <c r="D7035" s="5"/>
      <c r="E7035" s="5"/>
      <c r="F7035" s="5" t="s">
        <v>22</v>
      </c>
      <c r="G7035" s="15" t="s">
        <v>22</v>
      </c>
      <c r="H7035" s="24">
        <f t="shared" si="1334"/>
        <v>0</v>
      </c>
      <c r="I7035" s="24" t="str" cm="1">
        <f t="array" ref="I7035">IFERROR(IF($B7035=I$1, ($A7035+$C7035) - MAX(IF($B$2:$B7034=$B7035, $A$2:$A7034+$C$2:$C7034)), "")*24*60, "")</f>
        <v/>
      </c>
      <c r="J7035" s="24" cm="1">
        <f t="array" ref="J7035">IFERROR(IF($B7035=J$1, ($A7035+$C7035) - MAX(IF($B$2:$B7034=$B7035, $A$2:$A7034+$C$2:$C7034)), "")*24*60, "")</f>
        <v>0</v>
      </c>
      <c r="K7035" s="24" t="str" cm="1">
        <f t="array" ref="K7035">IFERROR(IF($B7035=K$1, ($A7035+$C7035) - MAX(IF($B$2:$B7034=$B7035, $A$2:$A7034+$C$2:$C7034)), "")*24*60, "")</f>
        <v/>
      </c>
      <c r="L7035" s="24" t="str" cm="1">
        <f t="array" ref="L7035">IFERROR(IF($B7035=L$1, ($A7035+$C7035) - MAX(IF($B$2:$B7034=$B7035, $A$2:$A7034+$C$2:$C7034)), "")*24*60, "")</f>
        <v/>
      </c>
      <c r="M7035" s="24" t="str" cm="1">
        <f t="array" ref="M7035">IFERROR(IF($B7035=M$1, ($A7035+$C7035) - MAX(IF($B$2:$B7034=$B7035, $A$2:$A7034+$C$2:$C7034)), "")*24*60, "")</f>
        <v/>
      </c>
      <c r="N7035" s="24" t="str" cm="1">
        <f t="array" ref="N7035">IFERROR(IF($B7035=N$1, ($A7035+$C7035) - MAX(IF($B$2:$B7034=$B7035, $A$2:$A7034+$C$2:$C7034)), "")*24*60, "")</f>
        <v/>
      </c>
      <c r="O7035" s="24" t="str" cm="1">
        <f t="array" ref="O7035">IFERROR(IF($B7035=O$1, ($A7035+$C7035) - MAX(IF($B$2:$B7034=$B7035, $A$2:$A7034+$C$2:$C7034)), "")*24*60, "")</f>
        <v/>
      </c>
      <c r="P7035" s="24" t="str" cm="1">
        <f t="array" ref="P7035">IFERROR(IF($B7035=P$1, ($A7035+$C7035) - MAX(IF($B$2:$B7034=$B7035, $A$2:$A7034+$C$2:$C7034)), "")*24*60, "")</f>
        <v/>
      </c>
      <c r="Q7035" s="24" t="str" cm="1">
        <f t="array" ref="Q7035">IFERROR(IF($B7035=Q$1, ($A7035+$C7035) - MAX(IF($B$2:$B7034=$B7035, $A$2:$A7034+$C$2:$C7034)), "")*24*60, "")</f>
        <v/>
      </c>
      <c r="R7035" s="24" t="str" cm="1">
        <f t="array" ref="R7035">IFERROR(IF($B7035=R$1, ($A7035+$C7035) - MAX(IF($B$2:$B7034=$B7035, $A$2:$A7034+$C$2:$C7034)), "")*24*60, "")</f>
        <v/>
      </c>
      <c r="S7035" s="24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ref="A7036:C7036" si="1370">A7035</f>
        <v>46003</v>
      </c>
      <c r="B7036" s="5" t="str">
        <f t="shared" si="1370"/>
        <v>Tufted Titmouse</v>
      </c>
      <c r="C7036" s="6">
        <f t="shared" si="1370"/>
        <v>0.47430555555555554</v>
      </c>
      <c r="D7036" s="5"/>
      <c r="E7036" s="5"/>
      <c r="F7036" s="5" t="s">
        <v>22</v>
      </c>
      <c r="G7036" s="15" t="s">
        <v>22</v>
      </c>
      <c r="H7036" s="24">
        <f t="shared" si="1334"/>
        <v>0</v>
      </c>
      <c r="I7036" s="24" t="str" cm="1">
        <f t="array" ref="I7036">IFERROR(IF($B7036=I$1, ($A7036+$C7036) - MAX(IF($B$2:$B7035=$B7036, $A$2:$A7035+$C$2:$C7035)), "")*24*60, "")</f>
        <v/>
      </c>
      <c r="J7036" s="24" cm="1">
        <f t="array" ref="J7036">IFERROR(IF($B7036=J$1, ($A7036+$C7036) - MAX(IF($B$2:$B7035=$B7036, $A$2:$A7035+$C$2:$C7035)), "")*24*60, "")</f>
        <v>0</v>
      </c>
      <c r="K7036" s="24" t="str" cm="1">
        <f t="array" ref="K7036">IFERROR(IF($B7036=K$1, ($A7036+$C7036) - MAX(IF($B$2:$B7035=$B7036, $A$2:$A7035+$C$2:$C7035)), "")*24*60, "")</f>
        <v/>
      </c>
      <c r="L7036" s="24" t="str" cm="1">
        <f t="array" ref="L7036">IFERROR(IF($B7036=L$1, ($A7036+$C7036) - MAX(IF($B$2:$B7035=$B7036, $A$2:$A7035+$C$2:$C7035)), "")*24*60, "")</f>
        <v/>
      </c>
      <c r="M7036" s="24" t="str" cm="1">
        <f t="array" ref="M7036">IFERROR(IF($B7036=M$1, ($A7036+$C7036) - MAX(IF($B$2:$B7035=$B7036, $A$2:$A7035+$C$2:$C7035)), "")*24*60, "")</f>
        <v/>
      </c>
      <c r="N7036" s="24" t="str" cm="1">
        <f t="array" ref="N7036">IFERROR(IF($B7036=N$1, ($A7036+$C7036) - MAX(IF($B$2:$B7035=$B7036, $A$2:$A7035+$C$2:$C7035)), "")*24*60, "")</f>
        <v/>
      </c>
      <c r="O7036" s="24" t="str" cm="1">
        <f t="array" ref="O7036">IFERROR(IF($B7036=O$1, ($A7036+$C7036) - MAX(IF($B$2:$B7035=$B7036, $A$2:$A7035+$C$2:$C7035)), "")*24*60, "")</f>
        <v/>
      </c>
      <c r="P7036" s="24" t="str" cm="1">
        <f t="array" ref="P7036">IFERROR(IF($B7036=P$1, ($A7036+$C7036) - MAX(IF($B$2:$B7035=$B7036, $A$2:$A7035+$C$2:$C7035)), "")*24*60, "")</f>
        <v/>
      </c>
      <c r="Q7036" s="24" t="str" cm="1">
        <f t="array" ref="Q7036">IFERROR(IF($B7036=Q$1, ($A7036+$C7036) - MAX(IF($B$2:$B7035=$B7036, $A$2:$A7035+$C$2:$C7035)), "")*24*60, "")</f>
        <v/>
      </c>
      <c r="R7036" s="24" t="str" cm="1">
        <f t="array" ref="R7036">IFERROR(IF($B7036=R$1, ($A7036+$C7036) - MAX(IF($B$2:$B7035=$B7036, $A$2:$A7035+$C$2:$C7035)), "")*24*60, "")</f>
        <v/>
      </c>
      <c r="S7036" s="24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ref="A7037:C7037" si="1371">A7036</f>
        <v>46003</v>
      </c>
      <c r="B7037" s="5" t="str">
        <f t="shared" si="1371"/>
        <v>Tufted Titmouse</v>
      </c>
      <c r="C7037" s="6">
        <f t="shared" si="1371"/>
        <v>0.47430555555555554</v>
      </c>
      <c r="D7037" s="5"/>
      <c r="E7037" s="5"/>
      <c r="F7037" s="5" t="s">
        <v>22</v>
      </c>
      <c r="G7037" s="15" t="s">
        <v>22</v>
      </c>
      <c r="H7037" s="24">
        <f t="shared" si="1334"/>
        <v>0</v>
      </c>
      <c r="I7037" s="24" t="str" cm="1">
        <f t="array" ref="I7037">IFERROR(IF($B7037=I$1, ($A7037+$C7037) - MAX(IF($B$2:$B7036=$B7037, $A$2:$A7036+$C$2:$C7036)), "")*24*60, "")</f>
        <v/>
      </c>
      <c r="J7037" s="24" cm="1">
        <f t="array" ref="J7037">IFERROR(IF($B7037=J$1, ($A7037+$C7037) - MAX(IF($B$2:$B7036=$B7037, $A$2:$A7036+$C$2:$C7036)), "")*24*60, "")</f>
        <v>0</v>
      </c>
      <c r="K7037" s="24" t="str" cm="1">
        <f t="array" ref="K7037">IFERROR(IF($B7037=K$1, ($A7037+$C7037) - MAX(IF($B$2:$B7036=$B7037, $A$2:$A7036+$C$2:$C7036)), "")*24*60, "")</f>
        <v/>
      </c>
      <c r="L7037" s="24" t="str" cm="1">
        <f t="array" ref="L7037">IFERROR(IF($B7037=L$1, ($A7037+$C7037) - MAX(IF($B$2:$B7036=$B7037, $A$2:$A7036+$C$2:$C7036)), "")*24*60, "")</f>
        <v/>
      </c>
      <c r="M7037" s="24" t="str" cm="1">
        <f t="array" ref="M7037">IFERROR(IF($B7037=M$1, ($A7037+$C7037) - MAX(IF($B$2:$B7036=$B7037, $A$2:$A7036+$C$2:$C7036)), "")*24*60, "")</f>
        <v/>
      </c>
      <c r="N7037" s="24" t="str" cm="1">
        <f t="array" ref="N7037">IFERROR(IF($B7037=N$1, ($A7037+$C7037) - MAX(IF($B$2:$B7036=$B7037, $A$2:$A7036+$C$2:$C7036)), "")*24*60, "")</f>
        <v/>
      </c>
      <c r="O7037" s="24" t="str" cm="1">
        <f t="array" ref="O7037">IFERROR(IF($B7037=O$1, ($A7037+$C7037) - MAX(IF($B$2:$B7036=$B7037, $A$2:$A7036+$C$2:$C7036)), "")*24*60, "")</f>
        <v/>
      </c>
      <c r="P7037" s="24" t="str" cm="1">
        <f t="array" ref="P7037">IFERROR(IF($B7037=P$1, ($A7037+$C7037) - MAX(IF($B$2:$B7036=$B7037, $A$2:$A7036+$C$2:$C7036)), "")*24*60, "")</f>
        <v/>
      </c>
      <c r="Q7037" s="24" t="str" cm="1">
        <f t="array" ref="Q7037">IFERROR(IF($B7037=Q$1, ($A7037+$C7037) - MAX(IF($B$2:$B7036=$B7037, $A$2:$A7036+$C$2:$C7036)), "")*24*60, "")</f>
        <v/>
      </c>
      <c r="R7037" s="24" t="str" cm="1">
        <f t="array" ref="R7037">IFERROR(IF($B7037=R$1, ($A7037+$C7037) - MAX(IF($B$2:$B7036=$B7037, $A$2:$A7036+$C$2:$C7036)), "")*24*60, "")</f>
        <v/>
      </c>
      <c r="S7037" s="24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ref="A7038:C7038" si="1372">A7037</f>
        <v>46003</v>
      </c>
      <c r="B7038" s="5" t="str">
        <f t="shared" si="1372"/>
        <v>Tufted Titmouse</v>
      </c>
      <c r="C7038" s="6">
        <f t="shared" si="1372"/>
        <v>0.47430555555555554</v>
      </c>
      <c r="D7038" s="5"/>
      <c r="E7038" s="5"/>
      <c r="F7038" s="5" t="s">
        <v>22</v>
      </c>
      <c r="G7038" s="15" t="s">
        <v>22</v>
      </c>
      <c r="H7038" s="24">
        <f t="shared" si="1334"/>
        <v>0</v>
      </c>
      <c r="I7038" s="24" t="str" cm="1">
        <f t="array" ref="I7038">IFERROR(IF($B7038=I$1, ($A7038+$C7038) - MAX(IF($B$2:$B7037=$B7038, $A$2:$A7037+$C$2:$C7037)), "")*24*60, "")</f>
        <v/>
      </c>
      <c r="J7038" s="24" cm="1">
        <f t="array" ref="J7038">IFERROR(IF($B7038=J$1, ($A7038+$C7038) - MAX(IF($B$2:$B7037=$B7038, $A$2:$A7037+$C$2:$C7037)), "")*24*60, "")</f>
        <v>0</v>
      </c>
      <c r="K7038" s="24" t="str" cm="1">
        <f t="array" ref="K7038">IFERROR(IF($B7038=K$1, ($A7038+$C7038) - MAX(IF($B$2:$B7037=$B7038, $A$2:$A7037+$C$2:$C7037)), "")*24*60, "")</f>
        <v/>
      </c>
      <c r="L7038" s="24" t="str" cm="1">
        <f t="array" ref="L7038">IFERROR(IF($B7038=L$1, ($A7038+$C7038) - MAX(IF($B$2:$B7037=$B7038, $A$2:$A7037+$C$2:$C7037)), "")*24*60, "")</f>
        <v/>
      </c>
      <c r="M7038" s="24" t="str" cm="1">
        <f t="array" ref="M7038">IFERROR(IF($B7038=M$1, ($A7038+$C7038) - MAX(IF($B$2:$B7037=$B7038, $A$2:$A7037+$C$2:$C7037)), "")*24*60, "")</f>
        <v/>
      </c>
      <c r="N7038" s="24" t="str" cm="1">
        <f t="array" ref="N7038">IFERROR(IF($B7038=N$1, ($A7038+$C7038) - MAX(IF($B$2:$B7037=$B7038, $A$2:$A7037+$C$2:$C7037)), "")*24*60, "")</f>
        <v/>
      </c>
      <c r="O7038" s="24" t="str" cm="1">
        <f t="array" ref="O7038">IFERROR(IF($B7038=O$1, ($A7038+$C7038) - MAX(IF($B$2:$B7037=$B7038, $A$2:$A7037+$C$2:$C7037)), "")*24*60, "")</f>
        <v/>
      </c>
      <c r="P7038" s="24" t="str" cm="1">
        <f t="array" ref="P7038">IFERROR(IF($B7038=P$1, ($A7038+$C7038) - MAX(IF($B$2:$B7037=$B7038, $A$2:$A7037+$C$2:$C7037)), "")*24*60, "")</f>
        <v/>
      </c>
      <c r="Q7038" s="24" t="str" cm="1">
        <f t="array" ref="Q7038">IFERROR(IF($B7038=Q$1, ($A7038+$C7038) - MAX(IF($B$2:$B7037=$B7038, $A$2:$A7037+$C$2:$C7037)), "")*24*60, "")</f>
        <v/>
      </c>
      <c r="R7038" s="24" t="str" cm="1">
        <f t="array" ref="R7038">IFERROR(IF($B7038=R$1, ($A7038+$C7038) - MAX(IF($B$2:$B7037=$B7038, $A$2:$A7037+$C$2:$C7037)), "")*24*60, "")</f>
        <v/>
      </c>
      <c r="S7038" s="24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ref="A7039:C7039" si="1373">A7038</f>
        <v>46003</v>
      </c>
      <c r="B7039" s="5" t="str">
        <f t="shared" si="1373"/>
        <v>Tufted Titmouse</v>
      </c>
      <c r="C7039" s="6">
        <f t="shared" si="1373"/>
        <v>0.47430555555555554</v>
      </c>
      <c r="D7039" s="5"/>
      <c r="E7039" s="5"/>
      <c r="F7039" s="5" t="s">
        <v>22</v>
      </c>
      <c r="G7039" s="15" t="s">
        <v>22</v>
      </c>
      <c r="H7039" s="24">
        <f t="shared" si="1334"/>
        <v>0</v>
      </c>
      <c r="I7039" s="24" t="str" cm="1">
        <f t="array" ref="I7039">IFERROR(IF($B7039=I$1, ($A7039+$C7039) - MAX(IF($B$2:$B7038=$B7039, $A$2:$A7038+$C$2:$C7038)), "")*24*60, "")</f>
        <v/>
      </c>
      <c r="J7039" s="24" cm="1">
        <f t="array" ref="J7039">IFERROR(IF($B7039=J$1, ($A7039+$C7039) - MAX(IF($B$2:$B7038=$B7039, $A$2:$A7038+$C$2:$C7038)), "")*24*60, "")</f>
        <v>0</v>
      </c>
      <c r="K7039" s="24" t="str" cm="1">
        <f t="array" ref="K7039">IFERROR(IF($B7039=K$1, ($A7039+$C7039) - MAX(IF($B$2:$B7038=$B7039, $A$2:$A7038+$C$2:$C7038)), "")*24*60, "")</f>
        <v/>
      </c>
      <c r="L7039" s="24" t="str" cm="1">
        <f t="array" ref="L7039">IFERROR(IF($B7039=L$1, ($A7039+$C7039) - MAX(IF($B$2:$B7038=$B7039, $A$2:$A7038+$C$2:$C7038)), "")*24*60, "")</f>
        <v/>
      </c>
      <c r="M7039" s="24" t="str" cm="1">
        <f t="array" ref="M7039">IFERROR(IF($B7039=M$1, ($A7039+$C7039) - MAX(IF($B$2:$B7038=$B7039, $A$2:$A7038+$C$2:$C7038)), "")*24*60, "")</f>
        <v/>
      </c>
      <c r="N7039" s="24" t="str" cm="1">
        <f t="array" ref="N7039">IFERROR(IF($B7039=N$1, ($A7039+$C7039) - MAX(IF($B$2:$B7038=$B7039, $A$2:$A7038+$C$2:$C7038)), "")*24*60, "")</f>
        <v/>
      </c>
      <c r="O7039" s="24" t="str" cm="1">
        <f t="array" ref="O7039">IFERROR(IF($B7039=O$1, ($A7039+$C7039) - MAX(IF($B$2:$B7038=$B7039, $A$2:$A7038+$C$2:$C7038)), "")*24*60, "")</f>
        <v/>
      </c>
      <c r="P7039" s="24" t="str" cm="1">
        <f t="array" ref="P7039">IFERROR(IF($B7039=P$1, ($A7039+$C7039) - MAX(IF($B$2:$B7038=$B7039, $A$2:$A7038+$C$2:$C7038)), "")*24*60, "")</f>
        <v/>
      </c>
      <c r="Q7039" s="24" t="str" cm="1">
        <f t="array" ref="Q7039">IFERROR(IF($B7039=Q$1, ($A7039+$C7039) - MAX(IF($B$2:$B7038=$B7039, $A$2:$A7038+$C$2:$C7038)), "")*24*60, "")</f>
        <v/>
      </c>
      <c r="R7039" s="24" t="str" cm="1">
        <f t="array" ref="R7039">IFERROR(IF($B7039=R$1, ($A7039+$C7039) - MAX(IF($B$2:$B7038=$B7039, $A$2:$A7038+$C$2:$C7038)), "")*24*60, "")</f>
        <v/>
      </c>
      <c r="S7039" s="24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ref="A7040:C7040" si="1374">A7039</f>
        <v>46003</v>
      </c>
      <c r="B7040" s="5" t="str">
        <f t="shared" si="1374"/>
        <v>Tufted Titmouse</v>
      </c>
      <c r="C7040" s="6">
        <f t="shared" si="1374"/>
        <v>0.47430555555555554</v>
      </c>
      <c r="D7040" s="5"/>
      <c r="E7040" s="5"/>
      <c r="F7040" s="5" t="s">
        <v>22</v>
      </c>
      <c r="G7040" s="15" t="s">
        <v>22</v>
      </c>
      <c r="H7040" s="24">
        <f t="shared" si="1334"/>
        <v>0</v>
      </c>
      <c r="I7040" s="24" t="str" cm="1">
        <f t="array" ref="I7040">IFERROR(IF($B7040=I$1, ($A7040+$C7040) - MAX(IF($B$2:$B7039=$B7040, $A$2:$A7039+$C$2:$C7039)), "")*24*60, "")</f>
        <v/>
      </c>
      <c r="J7040" s="24" cm="1">
        <f t="array" ref="J7040">IFERROR(IF($B7040=J$1, ($A7040+$C7040) - MAX(IF($B$2:$B7039=$B7040, $A$2:$A7039+$C$2:$C7039)), "")*24*60, "")</f>
        <v>0</v>
      </c>
      <c r="K7040" s="24" t="str" cm="1">
        <f t="array" ref="K7040">IFERROR(IF($B7040=K$1, ($A7040+$C7040) - MAX(IF($B$2:$B7039=$B7040, $A$2:$A7039+$C$2:$C7039)), "")*24*60, "")</f>
        <v/>
      </c>
      <c r="L7040" s="24" t="str" cm="1">
        <f t="array" ref="L7040">IFERROR(IF($B7040=L$1, ($A7040+$C7040) - MAX(IF($B$2:$B7039=$B7040, $A$2:$A7039+$C$2:$C7039)), "")*24*60, "")</f>
        <v/>
      </c>
      <c r="M7040" s="24" t="str" cm="1">
        <f t="array" ref="M7040">IFERROR(IF($B7040=M$1, ($A7040+$C7040) - MAX(IF($B$2:$B7039=$B7040, $A$2:$A7039+$C$2:$C7039)), "")*24*60, "")</f>
        <v/>
      </c>
      <c r="N7040" s="24" t="str" cm="1">
        <f t="array" ref="N7040">IFERROR(IF($B7040=N$1, ($A7040+$C7040) - MAX(IF($B$2:$B7039=$B7040, $A$2:$A7039+$C$2:$C7039)), "")*24*60, "")</f>
        <v/>
      </c>
      <c r="O7040" s="24" t="str" cm="1">
        <f t="array" ref="O7040">IFERROR(IF($B7040=O$1, ($A7040+$C7040) - MAX(IF($B$2:$B7039=$B7040, $A$2:$A7039+$C$2:$C7039)), "")*24*60, "")</f>
        <v/>
      </c>
      <c r="P7040" s="24" t="str" cm="1">
        <f t="array" ref="P7040">IFERROR(IF($B7040=P$1, ($A7040+$C7040) - MAX(IF($B$2:$B7039=$B7040, $A$2:$A7039+$C$2:$C7039)), "")*24*60, "")</f>
        <v/>
      </c>
      <c r="Q7040" s="24" t="str" cm="1">
        <f t="array" ref="Q7040">IFERROR(IF($B7040=Q$1, ($A7040+$C7040) - MAX(IF($B$2:$B7039=$B7040, $A$2:$A7039+$C$2:$C7039)), "")*24*60, "")</f>
        <v/>
      </c>
      <c r="R7040" s="24" t="str" cm="1">
        <f t="array" ref="R7040">IFERROR(IF($B7040=R$1, ($A7040+$C7040) - MAX(IF($B$2:$B7039=$B7040, $A$2:$A7039+$C$2:$C7039)), "")*24*60, "")</f>
        <v/>
      </c>
      <c r="S7040" s="24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ref="A7041:C7041" si="1375">A7040</f>
        <v>46003</v>
      </c>
      <c r="B7041" s="5" t="str">
        <f t="shared" si="1375"/>
        <v>Tufted Titmouse</v>
      </c>
      <c r="C7041" s="6">
        <f t="shared" si="1375"/>
        <v>0.47430555555555554</v>
      </c>
      <c r="D7041" s="5"/>
      <c r="E7041" s="5"/>
      <c r="F7041" s="5" t="s">
        <v>22</v>
      </c>
      <c r="G7041" s="15" t="s">
        <v>22</v>
      </c>
      <c r="H7041" s="24">
        <f t="shared" si="1334"/>
        <v>0</v>
      </c>
      <c r="I7041" s="24" t="str" cm="1">
        <f t="array" ref="I7041">IFERROR(IF($B7041=I$1, ($A7041+$C7041) - MAX(IF($B$2:$B7040=$B7041, $A$2:$A7040+$C$2:$C7040)), "")*24*60, "")</f>
        <v/>
      </c>
      <c r="J7041" s="24" cm="1">
        <f t="array" ref="J7041">IFERROR(IF($B7041=J$1, ($A7041+$C7041) - MAX(IF($B$2:$B7040=$B7041, $A$2:$A7040+$C$2:$C7040)), "")*24*60, "")</f>
        <v>0</v>
      </c>
      <c r="K7041" s="24" t="str" cm="1">
        <f t="array" ref="K7041">IFERROR(IF($B7041=K$1, ($A7041+$C7041) - MAX(IF($B$2:$B7040=$B7041, $A$2:$A7040+$C$2:$C7040)), "")*24*60, "")</f>
        <v/>
      </c>
      <c r="L7041" s="24" t="str" cm="1">
        <f t="array" ref="L7041">IFERROR(IF($B7041=L$1, ($A7041+$C7041) - MAX(IF($B$2:$B7040=$B7041, $A$2:$A7040+$C$2:$C7040)), "")*24*60, "")</f>
        <v/>
      </c>
      <c r="M7041" s="24" t="str" cm="1">
        <f t="array" ref="M7041">IFERROR(IF($B7041=M$1, ($A7041+$C7041) - MAX(IF($B$2:$B7040=$B7041, $A$2:$A7040+$C$2:$C7040)), "")*24*60, "")</f>
        <v/>
      </c>
      <c r="N7041" s="24" t="str" cm="1">
        <f t="array" ref="N7041">IFERROR(IF($B7041=N$1, ($A7041+$C7041) - MAX(IF($B$2:$B7040=$B7041, $A$2:$A7040+$C$2:$C7040)), "")*24*60, "")</f>
        <v/>
      </c>
      <c r="O7041" s="24" t="str" cm="1">
        <f t="array" ref="O7041">IFERROR(IF($B7041=O$1, ($A7041+$C7041) - MAX(IF($B$2:$B7040=$B7041, $A$2:$A7040+$C$2:$C7040)), "")*24*60, "")</f>
        <v/>
      </c>
      <c r="P7041" s="24" t="str" cm="1">
        <f t="array" ref="P7041">IFERROR(IF($B7041=P$1, ($A7041+$C7041) - MAX(IF($B$2:$B7040=$B7041, $A$2:$A7040+$C$2:$C7040)), "")*24*60, "")</f>
        <v/>
      </c>
      <c r="Q7041" s="24" t="str" cm="1">
        <f t="array" ref="Q7041">IFERROR(IF($B7041=Q$1, ($A7041+$C7041) - MAX(IF($B$2:$B7040=$B7041, $A$2:$A7040+$C$2:$C7040)), "")*24*60, "")</f>
        <v/>
      </c>
      <c r="R7041" s="24" t="str" cm="1">
        <f t="array" ref="R7041">IFERROR(IF($B7041=R$1, ($A7041+$C7041) - MAX(IF($B$2:$B7040=$B7041, $A$2:$A7040+$C$2:$C7040)), "")*24*60, "")</f>
        <v/>
      </c>
      <c r="S7041" s="24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ref="A7042:C7042" si="1376">A7041</f>
        <v>46003</v>
      </c>
      <c r="B7042" s="5" t="str">
        <f t="shared" si="1376"/>
        <v>Tufted Titmouse</v>
      </c>
      <c r="C7042" s="6">
        <f t="shared" si="1376"/>
        <v>0.47430555555555554</v>
      </c>
      <c r="D7042" s="5"/>
      <c r="E7042" s="5"/>
      <c r="F7042" s="5" t="s">
        <v>22</v>
      </c>
      <c r="G7042" s="15" t="s">
        <v>22</v>
      </c>
      <c r="H7042" s="24">
        <f t="shared" si="1334"/>
        <v>0</v>
      </c>
      <c r="I7042" s="24" t="str" cm="1">
        <f t="array" ref="I7042">IFERROR(IF($B7042=I$1, ($A7042+$C7042) - MAX(IF($B$2:$B7041=$B7042, $A$2:$A7041+$C$2:$C7041)), "")*24*60, "")</f>
        <v/>
      </c>
      <c r="J7042" s="24" cm="1">
        <f t="array" ref="J7042">IFERROR(IF($B7042=J$1, ($A7042+$C7042) - MAX(IF($B$2:$B7041=$B7042, $A$2:$A7041+$C$2:$C7041)), "")*24*60, "")</f>
        <v>0</v>
      </c>
      <c r="K7042" s="24" t="str" cm="1">
        <f t="array" ref="K7042">IFERROR(IF($B7042=K$1, ($A7042+$C7042) - MAX(IF($B$2:$B7041=$B7042, $A$2:$A7041+$C$2:$C7041)), "")*24*60, "")</f>
        <v/>
      </c>
      <c r="L7042" s="24" t="str" cm="1">
        <f t="array" ref="L7042">IFERROR(IF($B7042=L$1, ($A7042+$C7042) - MAX(IF($B$2:$B7041=$B7042, $A$2:$A7041+$C$2:$C7041)), "")*24*60, "")</f>
        <v/>
      </c>
      <c r="M7042" s="24" t="str" cm="1">
        <f t="array" ref="M7042">IFERROR(IF($B7042=M$1, ($A7042+$C7042) - MAX(IF($B$2:$B7041=$B7042, $A$2:$A7041+$C$2:$C7041)), "")*24*60, "")</f>
        <v/>
      </c>
      <c r="N7042" s="24" t="str" cm="1">
        <f t="array" ref="N7042">IFERROR(IF($B7042=N$1, ($A7042+$C7042) - MAX(IF($B$2:$B7041=$B7042, $A$2:$A7041+$C$2:$C7041)), "")*24*60, "")</f>
        <v/>
      </c>
      <c r="O7042" s="24" t="str" cm="1">
        <f t="array" ref="O7042">IFERROR(IF($B7042=O$1, ($A7042+$C7042) - MAX(IF($B$2:$B7041=$B7042, $A$2:$A7041+$C$2:$C7041)), "")*24*60, "")</f>
        <v/>
      </c>
      <c r="P7042" s="24" t="str" cm="1">
        <f t="array" ref="P7042">IFERROR(IF($B7042=P$1, ($A7042+$C7042) - MAX(IF($B$2:$B7041=$B7042, $A$2:$A7041+$C$2:$C7041)), "")*24*60, "")</f>
        <v/>
      </c>
      <c r="Q7042" s="24" t="str" cm="1">
        <f t="array" ref="Q7042">IFERROR(IF($B7042=Q$1, ($A7042+$C7042) - MAX(IF($B$2:$B7041=$B7042, $A$2:$A7041+$C$2:$C7041)), "")*24*60, "")</f>
        <v/>
      </c>
      <c r="R7042" s="24" t="str" cm="1">
        <f t="array" ref="R7042">IFERROR(IF($B7042=R$1, ($A7042+$C7042) - MAX(IF($B$2:$B7041=$B7042, $A$2:$A7041+$C$2:$C7041)), "")*24*60, "")</f>
        <v/>
      </c>
      <c r="S7042" s="24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ref="A7043:C7043" si="1377">A7042</f>
        <v>46003</v>
      </c>
      <c r="B7043" s="5" t="str">
        <f t="shared" si="1377"/>
        <v>Tufted Titmouse</v>
      </c>
      <c r="C7043" s="6">
        <f t="shared" si="1377"/>
        <v>0.47430555555555554</v>
      </c>
      <c r="D7043" s="5"/>
      <c r="E7043" s="5"/>
      <c r="F7043" s="5" t="s">
        <v>22</v>
      </c>
      <c r="G7043" s="15" t="s">
        <v>22</v>
      </c>
      <c r="H7043" s="24">
        <f t="shared" si="1334"/>
        <v>0</v>
      </c>
      <c r="I7043" s="24" t="str" cm="1">
        <f t="array" ref="I7043">IFERROR(IF($B7043=I$1, ($A7043+$C7043) - MAX(IF($B$2:$B7042=$B7043, $A$2:$A7042+$C$2:$C7042)), "")*24*60, "")</f>
        <v/>
      </c>
      <c r="J7043" s="24" cm="1">
        <f t="array" ref="J7043">IFERROR(IF($B7043=J$1, ($A7043+$C7043) - MAX(IF($B$2:$B7042=$B7043, $A$2:$A7042+$C$2:$C7042)), "")*24*60, "")</f>
        <v>0</v>
      </c>
      <c r="K7043" s="24" t="str" cm="1">
        <f t="array" ref="K7043">IFERROR(IF($B7043=K$1, ($A7043+$C7043) - MAX(IF($B$2:$B7042=$B7043, $A$2:$A7042+$C$2:$C7042)), "")*24*60, "")</f>
        <v/>
      </c>
      <c r="L7043" s="24" t="str" cm="1">
        <f t="array" ref="L7043">IFERROR(IF($B7043=L$1, ($A7043+$C7043) - MAX(IF($B$2:$B7042=$B7043, $A$2:$A7042+$C$2:$C7042)), "")*24*60, "")</f>
        <v/>
      </c>
      <c r="M7043" s="24" t="str" cm="1">
        <f t="array" ref="M7043">IFERROR(IF($B7043=M$1, ($A7043+$C7043) - MAX(IF($B$2:$B7042=$B7043, $A$2:$A7042+$C$2:$C7042)), "")*24*60, "")</f>
        <v/>
      </c>
      <c r="N7043" s="24" t="str" cm="1">
        <f t="array" ref="N7043">IFERROR(IF($B7043=N$1, ($A7043+$C7043) - MAX(IF($B$2:$B7042=$B7043, $A$2:$A7042+$C$2:$C7042)), "")*24*60, "")</f>
        <v/>
      </c>
      <c r="O7043" s="24" t="str" cm="1">
        <f t="array" ref="O7043">IFERROR(IF($B7043=O$1, ($A7043+$C7043) - MAX(IF($B$2:$B7042=$B7043, $A$2:$A7042+$C$2:$C7042)), "")*24*60, "")</f>
        <v/>
      </c>
      <c r="P7043" s="24" t="str" cm="1">
        <f t="array" ref="P7043">IFERROR(IF($B7043=P$1, ($A7043+$C7043) - MAX(IF($B$2:$B7042=$B7043, $A$2:$A7042+$C$2:$C7042)), "")*24*60, "")</f>
        <v/>
      </c>
      <c r="Q7043" s="24" t="str" cm="1">
        <f t="array" ref="Q7043">IFERROR(IF($B7043=Q$1, ($A7043+$C7043) - MAX(IF($B$2:$B7042=$B7043, $A$2:$A7042+$C$2:$C7042)), "")*24*60, "")</f>
        <v/>
      </c>
      <c r="R7043" s="24" t="str" cm="1">
        <f t="array" ref="R7043">IFERROR(IF($B7043=R$1, ($A7043+$C7043) - MAX(IF($B$2:$B7042=$B7043, $A$2:$A7042+$C$2:$C7042)), "")*24*60, "")</f>
        <v/>
      </c>
      <c r="S7043" s="24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ref="A7044:C7044" si="1378">A7043</f>
        <v>46003</v>
      </c>
      <c r="B7044" s="5" t="str">
        <f t="shared" si="1378"/>
        <v>Tufted Titmouse</v>
      </c>
      <c r="C7044" s="6">
        <f t="shared" si="1378"/>
        <v>0.47430555555555554</v>
      </c>
      <c r="D7044" s="5"/>
      <c r="E7044" s="5"/>
      <c r="F7044" s="5" t="s">
        <v>22</v>
      </c>
      <c r="G7044" s="15" t="s">
        <v>22</v>
      </c>
      <c r="H7044" s="24">
        <f t="shared" si="1334"/>
        <v>0</v>
      </c>
      <c r="I7044" s="24" t="str" cm="1">
        <f t="array" ref="I7044">IFERROR(IF($B7044=I$1, ($A7044+$C7044) - MAX(IF($B$2:$B7043=$B7044, $A$2:$A7043+$C$2:$C7043)), "")*24*60, "")</f>
        <v/>
      </c>
      <c r="J7044" s="24" cm="1">
        <f t="array" ref="J7044">IFERROR(IF($B7044=J$1, ($A7044+$C7044) - MAX(IF($B$2:$B7043=$B7044, $A$2:$A7043+$C$2:$C7043)), "")*24*60, "")</f>
        <v>0</v>
      </c>
      <c r="K7044" s="24" t="str" cm="1">
        <f t="array" ref="K7044">IFERROR(IF($B7044=K$1, ($A7044+$C7044) - MAX(IF($B$2:$B7043=$B7044, $A$2:$A7043+$C$2:$C7043)), "")*24*60, "")</f>
        <v/>
      </c>
      <c r="L7044" s="24" t="str" cm="1">
        <f t="array" ref="L7044">IFERROR(IF($B7044=L$1, ($A7044+$C7044) - MAX(IF($B$2:$B7043=$B7044, $A$2:$A7043+$C$2:$C7043)), "")*24*60, "")</f>
        <v/>
      </c>
      <c r="M7044" s="24" t="str" cm="1">
        <f t="array" ref="M7044">IFERROR(IF($B7044=M$1, ($A7044+$C7044) - MAX(IF($B$2:$B7043=$B7044, $A$2:$A7043+$C$2:$C7043)), "")*24*60, "")</f>
        <v/>
      </c>
      <c r="N7044" s="24" t="str" cm="1">
        <f t="array" ref="N7044">IFERROR(IF($B7044=N$1, ($A7044+$C7044) - MAX(IF($B$2:$B7043=$B7044, $A$2:$A7043+$C$2:$C7043)), "")*24*60, "")</f>
        <v/>
      </c>
      <c r="O7044" s="24" t="str" cm="1">
        <f t="array" ref="O7044">IFERROR(IF($B7044=O$1, ($A7044+$C7044) - MAX(IF($B$2:$B7043=$B7044, $A$2:$A7043+$C$2:$C7043)), "")*24*60, "")</f>
        <v/>
      </c>
      <c r="P7044" s="24" t="str" cm="1">
        <f t="array" ref="P7044">IFERROR(IF($B7044=P$1, ($A7044+$C7044) - MAX(IF($B$2:$B7043=$B7044, $A$2:$A7043+$C$2:$C7043)), "")*24*60, "")</f>
        <v/>
      </c>
      <c r="Q7044" s="24" t="str" cm="1">
        <f t="array" ref="Q7044">IFERROR(IF($B7044=Q$1, ($A7044+$C7044) - MAX(IF($B$2:$B7043=$B7044, $A$2:$A7043+$C$2:$C7043)), "")*24*60, "")</f>
        <v/>
      </c>
      <c r="R7044" s="24" t="str" cm="1">
        <f t="array" ref="R7044">IFERROR(IF($B7044=R$1, ($A7044+$C7044) - MAX(IF($B$2:$B7043=$B7044, $A$2:$A7043+$C$2:$C7043)), "")*24*60, "")</f>
        <v/>
      </c>
      <c r="S7044" s="24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ref="A7045:C7045" si="1379">A7044</f>
        <v>46003</v>
      </c>
      <c r="B7045" s="5" t="str">
        <f t="shared" si="1379"/>
        <v>Tufted Titmouse</v>
      </c>
      <c r="C7045" s="6">
        <f t="shared" si="1379"/>
        <v>0.47430555555555554</v>
      </c>
      <c r="D7045" s="5"/>
      <c r="E7045" s="5"/>
      <c r="F7045" s="5" t="s">
        <v>22</v>
      </c>
      <c r="G7045" s="15" t="s">
        <v>22</v>
      </c>
      <c r="H7045" s="24">
        <f t="shared" si="1334"/>
        <v>0</v>
      </c>
      <c r="I7045" s="24" t="str" cm="1">
        <f t="array" ref="I7045">IFERROR(IF($B7045=I$1, ($A7045+$C7045) - MAX(IF($B$2:$B7044=$B7045, $A$2:$A7044+$C$2:$C7044)), "")*24*60, "")</f>
        <v/>
      </c>
      <c r="J7045" s="24" cm="1">
        <f t="array" ref="J7045">IFERROR(IF($B7045=J$1, ($A7045+$C7045) - MAX(IF($B$2:$B7044=$B7045, $A$2:$A7044+$C$2:$C7044)), "")*24*60, "")</f>
        <v>0</v>
      </c>
      <c r="K7045" s="24" t="str" cm="1">
        <f t="array" ref="K7045">IFERROR(IF($B7045=K$1, ($A7045+$C7045) - MAX(IF($B$2:$B7044=$B7045, $A$2:$A7044+$C$2:$C7044)), "")*24*60, "")</f>
        <v/>
      </c>
      <c r="L7045" s="24" t="str" cm="1">
        <f t="array" ref="L7045">IFERROR(IF($B7045=L$1, ($A7045+$C7045) - MAX(IF($B$2:$B7044=$B7045, $A$2:$A7044+$C$2:$C7044)), "")*24*60, "")</f>
        <v/>
      </c>
      <c r="M7045" s="24" t="str" cm="1">
        <f t="array" ref="M7045">IFERROR(IF($B7045=M$1, ($A7045+$C7045) - MAX(IF($B$2:$B7044=$B7045, $A$2:$A7044+$C$2:$C7044)), "")*24*60, "")</f>
        <v/>
      </c>
      <c r="N7045" s="24" t="str" cm="1">
        <f t="array" ref="N7045">IFERROR(IF($B7045=N$1, ($A7045+$C7045) - MAX(IF($B$2:$B7044=$B7045, $A$2:$A7044+$C$2:$C7044)), "")*24*60, "")</f>
        <v/>
      </c>
      <c r="O7045" s="24" t="str" cm="1">
        <f t="array" ref="O7045">IFERROR(IF($B7045=O$1, ($A7045+$C7045) - MAX(IF($B$2:$B7044=$B7045, $A$2:$A7044+$C$2:$C7044)), "")*24*60, "")</f>
        <v/>
      </c>
      <c r="P7045" s="24" t="str" cm="1">
        <f t="array" ref="P7045">IFERROR(IF($B7045=P$1, ($A7045+$C7045) - MAX(IF($B$2:$B7044=$B7045, $A$2:$A7044+$C$2:$C7044)), "")*24*60, "")</f>
        <v/>
      </c>
      <c r="Q7045" s="24" t="str" cm="1">
        <f t="array" ref="Q7045">IFERROR(IF($B7045=Q$1, ($A7045+$C7045) - MAX(IF($B$2:$B7044=$B7045, $A$2:$A7044+$C$2:$C7044)), "")*24*60, "")</f>
        <v/>
      </c>
      <c r="R7045" s="24" t="str" cm="1">
        <f t="array" ref="R7045">IFERROR(IF($B7045=R$1, ($A7045+$C7045) - MAX(IF($B$2:$B7044=$B7045, $A$2:$A7044+$C$2:$C7044)), "")*24*60, "")</f>
        <v/>
      </c>
      <c r="S7045" s="24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ref="A7046:C7046" si="1380">A7045</f>
        <v>46003</v>
      </c>
      <c r="B7046" s="5" t="str">
        <f t="shared" si="1380"/>
        <v>Tufted Titmouse</v>
      </c>
      <c r="C7046" s="6">
        <f t="shared" si="1380"/>
        <v>0.47430555555555554</v>
      </c>
      <c r="D7046" s="5"/>
      <c r="E7046" s="5"/>
      <c r="F7046" s="5" t="s">
        <v>22</v>
      </c>
      <c r="G7046" s="15" t="s">
        <v>22</v>
      </c>
      <c r="H7046" s="24">
        <f t="shared" si="1334"/>
        <v>0</v>
      </c>
      <c r="I7046" s="24" t="str" cm="1">
        <f t="array" ref="I7046">IFERROR(IF($B7046=I$1, ($A7046+$C7046) - MAX(IF($B$2:$B7045=$B7046, $A$2:$A7045+$C$2:$C7045)), "")*24*60, "")</f>
        <v/>
      </c>
      <c r="J7046" s="24" cm="1">
        <f t="array" ref="J7046">IFERROR(IF($B7046=J$1, ($A7046+$C7046) - MAX(IF($B$2:$B7045=$B7046, $A$2:$A7045+$C$2:$C7045)), "")*24*60, "")</f>
        <v>0</v>
      </c>
      <c r="K7046" s="24" t="str" cm="1">
        <f t="array" ref="K7046">IFERROR(IF($B7046=K$1, ($A7046+$C7046) - MAX(IF($B$2:$B7045=$B7046, $A$2:$A7045+$C$2:$C7045)), "")*24*60, "")</f>
        <v/>
      </c>
      <c r="L7046" s="24" t="str" cm="1">
        <f t="array" ref="L7046">IFERROR(IF($B7046=L$1, ($A7046+$C7046) - MAX(IF($B$2:$B7045=$B7046, $A$2:$A7045+$C$2:$C7045)), "")*24*60, "")</f>
        <v/>
      </c>
      <c r="M7046" s="24" t="str" cm="1">
        <f t="array" ref="M7046">IFERROR(IF($B7046=M$1, ($A7046+$C7046) - MAX(IF($B$2:$B7045=$B7046, $A$2:$A7045+$C$2:$C7045)), "")*24*60, "")</f>
        <v/>
      </c>
      <c r="N7046" s="24" t="str" cm="1">
        <f t="array" ref="N7046">IFERROR(IF($B7046=N$1, ($A7046+$C7046) - MAX(IF($B$2:$B7045=$B7046, $A$2:$A7045+$C$2:$C7045)), "")*24*60, "")</f>
        <v/>
      </c>
      <c r="O7046" s="24" t="str" cm="1">
        <f t="array" ref="O7046">IFERROR(IF($B7046=O$1, ($A7046+$C7046) - MAX(IF($B$2:$B7045=$B7046, $A$2:$A7045+$C$2:$C7045)), "")*24*60, "")</f>
        <v/>
      </c>
      <c r="P7046" s="24" t="str" cm="1">
        <f t="array" ref="P7046">IFERROR(IF($B7046=P$1, ($A7046+$C7046) - MAX(IF($B$2:$B7045=$B7046, $A$2:$A7045+$C$2:$C7045)), "")*24*60, "")</f>
        <v/>
      </c>
      <c r="Q7046" s="24" t="str" cm="1">
        <f t="array" ref="Q7046">IFERROR(IF($B7046=Q$1, ($A7046+$C7046) - MAX(IF($B$2:$B7045=$B7046, $A$2:$A7045+$C$2:$C7045)), "")*24*60, "")</f>
        <v/>
      </c>
      <c r="R7046" s="24" t="str" cm="1">
        <f t="array" ref="R7046">IFERROR(IF($B7046=R$1, ($A7046+$C7046) - MAX(IF($B$2:$B7045=$B7046, $A$2:$A7045+$C$2:$C7045)), "")*24*60, "")</f>
        <v/>
      </c>
      <c r="S7046" s="24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ref="A7047:C7047" si="1381">A7046</f>
        <v>46003</v>
      </c>
      <c r="B7047" s="5" t="str">
        <f t="shared" si="1381"/>
        <v>Tufted Titmouse</v>
      </c>
      <c r="C7047" s="6">
        <f t="shared" si="1381"/>
        <v>0.47430555555555554</v>
      </c>
      <c r="D7047" s="5"/>
      <c r="E7047" s="5"/>
      <c r="F7047" s="5" t="s">
        <v>22</v>
      </c>
      <c r="G7047" s="15" t="s">
        <v>22</v>
      </c>
      <c r="H7047" s="24">
        <f t="shared" si="1334"/>
        <v>0</v>
      </c>
      <c r="I7047" s="24" t="str" cm="1">
        <f t="array" ref="I7047">IFERROR(IF($B7047=I$1, ($A7047+$C7047) - MAX(IF($B$2:$B7046=$B7047, $A$2:$A7046+$C$2:$C7046)), "")*24*60, "")</f>
        <v/>
      </c>
      <c r="J7047" s="24" cm="1">
        <f t="array" ref="J7047">IFERROR(IF($B7047=J$1, ($A7047+$C7047) - MAX(IF($B$2:$B7046=$B7047, $A$2:$A7046+$C$2:$C7046)), "")*24*60, "")</f>
        <v>0</v>
      </c>
      <c r="K7047" s="24" t="str" cm="1">
        <f t="array" ref="K7047">IFERROR(IF($B7047=K$1, ($A7047+$C7047) - MAX(IF($B$2:$B7046=$B7047, $A$2:$A7046+$C$2:$C7046)), "")*24*60, "")</f>
        <v/>
      </c>
      <c r="L7047" s="24" t="str" cm="1">
        <f t="array" ref="L7047">IFERROR(IF($B7047=L$1, ($A7047+$C7047) - MAX(IF($B$2:$B7046=$B7047, $A$2:$A7046+$C$2:$C7046)), "")*24*60, "")</f>
        <v/>
      </c>
      <c r="M7047" s="24" t="str" cm="1">
        <f t="array" ref="M7047">IFERROR(IF($B7047=M$1, ($A7047+$C7047) - MAX(IF($B$2:$B7046=$B7047, $A$2:$A7046+$C$2:$C7046)), "")*24*60, "")</f>
        <v/>
      </c>
      <c r="N7047" s="24" t="str" cm="1">
        <f t="array" ref="N7047">IFERROR(IF($B7047=N$1, ($A7047+$C7047) - MAX(IF($B$2:$B7046=$B7047, $A$2:$A7046+$C$2:$C7046)), "")*24*60, "")</f>
        <v/>
      </c>
      <c r="O7047" s="24" t="str" cm="1">
        <f t="array" ref="O7047">IFERROR(IF($B7047=O$1, ($A7047+$C7047) - MAX(IF($B$2:$B7046=$B7047, $A$2:$A7046+$C$2:$C7046)), "")*24*60, "")</f>
        <v/>
      </c>
      <c r="P7047" s="24" t="str" cm="1">
        <f t="array" ref="P7047">IFERROR(IF($B7047=P$1, ($A7047+$C7047) - MAX(IF($B$2:$B7046=$B7047, $A$2:$A7046+$C$2:$C7046)), "")*24*60, "")</f>
        <v/>
      </c>
      <c r="Q7047" s="24" t="str" cm="1">
        <f t="array" ref="Q7047">IFERROR(IF($B7047=Q$1, ($A7047+$C7047) - MAX(IF($B$2:$B7046=$B7047, $A$2:$A7046+$C$2:$C7046)), "")*24*60, "")</f>
        <v/>
      </c>
      <c r="R7047" s="24" t="str" cm="1">
        <f t="array" ref="R7047">IFERROR(IF($B7047=R$1, ($A7047+$C7047) - MAX(IF($B$2:$B7046=$B7047, $A$2:$A7046+$C$2:$C7046)), "")*24*60, "")</f>
        <v/>
      </c>
      <c r="S7047" s="24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ref="A7048:C7048" si="1382">A7047</f>
        <v>46003</v>
      </c>
      <c r="B7048" s="5" t="str">
        <f t="shared" si="1382"/>
        <v>Tufted Titmouse</v>
      </c>
      <c r="C7048" s="6">
        <f t="shared" si="1382"/>
        <v>0.47430555555555554</v>
      </c>
      <c r="D7048" s="5"/>
      <c r="E7048" s="5"/>
      <c r="F7048" s="5" t="s">
        <v>22</v>
      </c>
      <c r="G7048" s="15" t="s">
        <v>22</v>
      </c>
      <c r="H7048" s="24">
        <f t="shared" si="1334"/>
        <v>0</v>
      </c>
      <c r="I7048" s="24" t="str" cm="1">
        <f t="array" ref="I7048">IFERROR(IF($B7048=I$1, ($A7048+$C7048) - MAX(IF($B$2:$B7047=$B7048, $A$2:$A7047+$C$2:$C7047)), "")*24*60, "")</f>
        <v/>
      </c>
      <c r="J7048" s="24" cm="1">
        <f t="array" ref="J7048">IFERROR(IF($B7048=J$1, ($A7048+$C7048) - MAX(IF($B$2:$B7047=$B7048, $A$2:$A7047+$C$2:$C7047)), "")*24*60, "")</f>
        <v>0</v>
      </c>
      <c r="K7048" s="24" t="str" cm="1">
        <f t="array" ref="K7048">IFERROR(IF($B7048=K$1, ($A7048+$C7048) - MAX(IF($B$2:$B7047=$B7048, $A$2:$A7047+$C$2:$C7047)), "")*24*60, "")</f>
        <v/>
      </c>
      <c r="L7048" s="24" t="str" cm="1">
        <f t="array" ref="L7048">IFERROR(IF($B7048=L$1, ($A7048+$C7048) - MAX(IF($B$2:$B7047=$B7048, $A$2:$A7047+$C$2:$C7047)), "")*24*60, "")</f>
        <v/>
      </c>
      <c r="M7048" s="24" t="str" cm="1">
        <f t="array" ref="M7048">IFERROR(IF($B7048=M$1, ($A7048+$C7048) - MAX(IF($B$2:$B7047=$B7048, $A$2:$A7047+$C$2:$C7047)), "")*24*60, "")</f>
        <v/>
      </c>
      <c r="N7048" s="24" t="str" cm="1">
        <f t="array" ref="N7048">IFERROR(IF($B7048=N$1, ($A7048+$C7048) - MAX(IF($B$2:$B7047=$B7048, $A$2:$A7047+$C$2:$C7047)), "")*24*60, "")</f>
        <v/>
      </c>
      <c r="O7048" s="24" t="str" cm="1">
        <f t="array" ref="O7048">IFERROR(IF($B7048=O$1, ($A7048+$C7048) - MAX(IF($B$2:$B7047=$B7048, $A$2:$A7047+$C$2:$C7047)), "")*24*60, "")</f>
        <v/>
      </c>
      <c r="P7048" s="24" t="str" cm="1">
        <f t="array" ref="P7048">IFERROR(IF($B7048=P$1, ($A7048+$C7048) - MAX(IF($B$2:$B7047=$B7048, $A$2:$A7047+$C$2:$C7047)), "")*24*60, "")</f>
        <v/>
      </c>
      <c r="Q7048" s="24" t="str" cm="1">
        <f t="array" ref="Q7048">IFERROR(IF($B7048=Q$1, ($A7048+$C7048) - MAX(IF($B$2:$B7047=$B7048, $A$2:$A7047+$C$2:$C7047)), "")*24*60, "")</f>
        <v/>
      </c>
      <c r="R7048" s="24" t="str" cm="1">
        <f t="array" ref="R7048">IFERROR(IF($B7048=R$1, ($A7048+$C7048) - MAX(IF($B$2:$B7047=$B7048, $A$2:$A7047+$C$2:$C7047)), "")*24*60, "")</f>
        <v/>
      </c>
      <c r="S7048" s="24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ref="A7049:C7049" si="1383">A7048</f>
        <v>46003</v>
      </c>
      <c r="B7049" s="5" t="str">
        <f t="shared" si="1383"/>
        <v>Tufted Titmouse</v>
      </c>
      <c r="C7049" s="6">
        <f t="shared" si="1383"/>
        <v>0.47430555555555554</v>
      </c>
      <c r="D7049" s="5"/>
      <c r="E7049" s="5"/>
      <c r="F7049" s="5" t="s">
        <v>22</v>
      </c>
      <c r="G7049" s="15" t="s">
        <v>22</v>
      </c>
      <c r="H7049" s="24">
        <f t="shared" si="1334"/>
        <v>0</v>
      </c>
      <c r="I7049" s="24" t="str" cm="1">
        <f t="array" ref="I7049">IFERROR(IF($B7049=I$1, ($A7049+$C7049) - MAX(IF($B$2:$B7048=$B7049, $A$2:$A7048+$C$2:$C7048)), "")*24*60, "")</f>
        <v/>
      </c>
      <c r="J7049" s="24" cm="1">
        <f t="array" ref="J7049">IFERROR(IF($B7049=J$1, ($A7049+$C7049) - MAX(IF($B$2:$B7048=$B7049, $A$2:$A7048+$C$2:$C7048)), "")*24*60, "")</f>
        <v>0</v>
      </c>
      <c r="K7049" s="24" t="str" cm="1">
        <f t="array" ref="K7049">IFERROR(IF($B7049=K$1, ($A7049+$C7049) - MAX(IF($B$2:$B7048=$B7049, $A$2:$A7048+$C$2:$C7048)), "")*24*60, "")</f>
        <v/>
      </c>
      <c r="L7049" s="24" t="str" cm="1">
        <f t="array" ref="L7049">IFERROR(IF($B7049=L$1, ($A7049+$C7049) - MAX(IF($B$2:$B7048=$B7049, $A$2:$A7048+$C$2:$C7048)), "")*24*60, "")</f>
        <v/>
      </c>
      <c r="M7049" s="24" t="str" cm="1">
        <f t="array" ref="M7049">IFERROR(IF($B7049=M$1, ($A7049+$C7049) - MAX(IF($B$2:$B7048=$B7049, $A$2:$A7048+$C$2:$C7048)), "")*24*60, "")</f>
        <v/>
      </c>
      <c r="N7049" s="24" t="str" cm="1">
        <f t="array" ref="N7049">IFERROR(IF($B7049=N$1, ($A7049+$C7049) - MAX(IF($B$2:$B7048=$B7049, $A$2:$A7048+$C$2:$C7048)), "")*24*60, "")</f>
        <v/>
      </c>
      <c r="O7049" s="24" t="str" cm="1">
        <f t="array" ref="O7049">IFERROR(IF($B7049=O$1, ($A7049+$C7049) - MAX(IF($B$2:$B7048=$B7049, $A$2:$A7048+$C$2:$C7048)), "")*24*60, "")</f>
        <v/>
      </c>
      <c r="P7049" s="24" t="str" cm="1">
        <f t="array" ref="P7049">IFERROR(IF($B7049=P$1, ($A7049+$C7049) - MAX(IF($B$2:$B7048=$B7049, $A$2:$A7048+$C$2:$C7048)), "")*24*60, "")</f>
        <v/>
      </c>
      <c r="Q7049" s="24" t="str" cm="1">
        <f t="array" ref="Q7049">IFERROR(IF($B7049=Q$1, ($A7049+$C7049) - MAX(IF($B$2:$B7048=$B7049, $A$2:$A7048+$C$2:$C7048)), "")*24*60, "")</f>
        <v/>
      </c>
      <c r="R7049" s="24" t="str" cm="1">
        <f t="array" ref="R7049">IFERROR(IF($B7049=R$1, ($A7049+$C7049) - MAX(IF($B$2:$B7048=$B7049, $A$2:$A7048+$C$2:$C7048)), "")*24*60, "")</f>
        <v/>
      </c>
      <c r="S7049" s="24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ref="A7050:C7050" si="1384">A7049</f>
        <v>46003</v>
      </c>
      <c r="B7050" s="5" t="str">
        <f t="shared" si="1384"/>
        <v>Tufted Titmouse</v>
      </c>
      <c r="C7050" s="6">
        <f t="shared" si="1384"/>
        <v>0.47430555555555554</v>
      </c>
      <c r="D7050" s="5"/>
      <c r="E7050" s="5"/>
      <c r="F7050" s="5" t="s">
        <v>22</v>
      </c>
      <c r="G7050" s="15" t="s">
        <v>22</v>
      </c>
      <c r="H7050" s="24">
        <f t="shared" si="1334"/>
        <v>0</v>
      </c>
      <c r="I7050" s="24" t="str" cm="1">
        <f t="array" ref="I7050">IFERROR(IF($B7050=I$1, ($A7050+$C7050) - MAX(IF($B$2:$B7049=$B7050, $A$2:$A7049+$C$2:$C7049)), "")*24*60, "")</f>
        <v/>
      </c>
      <c r="J7050" s="24" cm="1">
        <f t="array" ref="J7050">IFERROR(IF($B7050=J$1, ($A7050+$C7050) - MAX(IF($B$2:$B7049=$B7050, $A$2:$A7049+$C$2:$C7049)), "")*24*60, "")</f>
        <v>0</v>
      </c>
      <c r="K7050" s="24" t="str" cm="1">
        <f t="array" ref="K7050">IFERROR(IF($B7050=K$1, ($A7050+$C7050) - MAX(IF($B$2:$B7049=$B7050, $A$2:$A7049+$C$2:$C7049)), "")*24*60, "")</f>
        <v/>
      </c>
      <c r="L7050" s="24" t="str" cm="1">
        <f t="array" ref="L7050">IFERROR(IF($B7050=L$1, ($A7050+$C7050) - MAX(IF($B$2:$B7049=$B7050, $A$2:$A7049+$C$2:$C7049)), "")*24*60, "")</f>
        <v/>
      </c>
      <c r="M7050" s="24" t="str" cm="1">
        <f t="array" ref="M7050">IFERROR(IF($B7050=M$1, ($A7050+$C7050) - MAX(IF($B$2:$B7049=$B7050, $A$2:$A7049+$C$2:$C7049)), "")*24*60, "")</f>
        <v/>
      </c>
      <c r="N7050" s="24" t="str" cm="1">
        <f t="array" ref="N7050">IFERROR(IF($B7050=N$1, ($A7050+$C7050) - MAX(IF($B$2:$B7049=$B7050, $A$2:$A7049+$C$2:$C7049)), "")*24*60, "")</f>
        <v/>
      </c>
      <c r="O7050" s="24" t="str" cm="1">
        <f t="array" ref="O7050">IFERROR(IF($B7050=O$1, ($A7050+$C7050) - MAX(IF($B$2:$B7049=$B7050, $A$2:$A7049+$C$2:$C7049)), "")*24*60, "")</f>
        <v/>
      </c>
      <c r="P7050" s="24" t="str" cm="1">
        <f t="array" ref="P7050">IFERROR(IF($B7050=P$1, ($A7050+$C7050) - MAX(IF($B$2:$B7049=$B7050, $A$2:$A7049+$C$2:$C7049)), "")*24*60, "")</f>
        <v/>
      </c>
      <c r="Q7050" s="24" t="str" cm="1">
        <f t="array" ref="Q7050">IFERROR(IF($B7050=Q$1, ($A7050+$C7050) - MAX(IF($B$2:$B7049=$B7050, $A$2:$A7049+$C$2:$C7049)), "")*24*60, "")</f>
        <v/>
      </c>
      <c r="R7050" s="24" t="str" cm="1">
        <f t="array" ref="R7050">IFERROR(IF($B7050=R$1, ($A7050+$C7050) - MAX(IF($B$2:$B7049=$B7050, $A$2:$A7049+$C$2:$C7049)), "")*24*60, "")</f>
        <v/>
      </c>
      <c r="S7050" s="24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ref="A7051:C7051" si="1385">A7050</f>
        <v>46003</v>
      </c>
      <c r="B7051" s="5" t="str">
        <f t="shared" si="1385"/>
        <v>Tufted Titmouse</v>
      </c>
      <c r="C7051" s="6">
        <f t="shared" si="1385"/>
        <v>0.47430555555555554</v>
      </c>
      <c r="D7051" s="5"/>
      <c r="E7051" s="5"/>
      <c r="F7051" s="5" t="s">
        <v>22</v>
      </c>
      <c r="G7051" s="15" t="s">
        <v>22</v>
      </c>
      <c r="H7051" s="24">
        <f t="shared" si="1334"/>
        <v>0</v>
      </c>
      <c r="I7051" s="24" t="str" cm="1">
        <f t="array" ref="I7051">IFERROR(IF($B7051=I$1, ($A7051+$C7051) - MAX(IF($B$2:$B7050=$B7051, $A$2:$A7050+$C$2:$C7050)), "")*24*60, "")</f>
        <v/>
      </c>
      <c r="J7051" s="24" cm="1">
        <f t="array" ref="J7051">IFERROR(IF($B7051=J$1, ($A7051+$C7051) - MAX(IF($B$2:$B7050=$B7051, $A$2:$A7050+$C$2:$C7050)), "")*24*60, "")</f>
        <v>0</v>
      </c>
      <c r="K7051" s="24" t="str" cm="1">
        <f t="array" ref="K7051">IFERROR(IF($B7051=K$1, ($A7051+$C7051) - MAX(IF($B$2:$B7050=$B7051, $A$2:$A7050+$C$2:$C7050)), "")*24*60, "")</f>
        <v/>
      </c>
      <c r="L7051" s="24" t="str" cm="1">
        <f t="array" ref="L7051">IFERROR(IF($B7051=L$1, ($A7051+$C7051) - MAX(IF($B$2:$B7050=$B7051, $A$2:$A7050+$C$2:$C7050)), "")*24*60, "")</f>
        <v/>
      </c>
      <c r="M7051" s="24" t="str" cm="1">
        <f t="array" ref="M7051">IFERROR(IF($B7051=M$1, ($A7051+$C7051) - MAX(IF($B$2:$B7050=$B7051, $A$2:$A7050+$C$2:$C7050)), "")*24*60, "")</f>
        <v/>
      </c>
      <c r="N7051" s="24" t="str" cm="1">
        <f t="array" ref="N7051">IFERROR(IF($B7051=N$1, ($A7051+$C7051) - MAX(IF($B$2:$B7050=$B7051, $A$2:$A7050+$C$2:$C7050)), "")*24*60, "")</f>
        <v/>
      </c>
      <c r="O7051" s="24" t="str" cm="1">
        <f t="array" ref="O7051">IFERROR(IF($B7051=O$1, ($A7051+$C7051) - MAX(IF($B$2:$B7050=$B7051, $A$2:$A7050+$C$2:$C7050)), "")*24*60, "")</f>
        <v/>
      </c>
      <c r="P7051" s="24" t="str" cm="1">
        <f t="array" ref="P7051">IFERROR(IF($B7051=P$1, ($A7051+$C7051) - MAX(IF($B$2:$B7050=$B7051, $A$2:$A7050+$C$2:$C7050)), "")*24*60, "")</f>
        <v/>
      </c>
      <c r="Q7051" s="24" t="str" cm="1">
        <f t="array" ref="Q7051">IFERROR(IF($B7051=Q$1, ($A7051+$C7051) - MAX(IF($B$2:$B7050=$B7051, $A$2:$A7050+$C$2:$C7050)), "")*24*60, "")</f>
        <v/>
      </c>
      <c r="R7051" s="24" t="str" cm="1">
        <f t="array" ref="R7051">IFERROR(IF($B7051=R$1, ($A7051+$C7051) - MAX(IF($B$2:$B7050=$B7051, $A$2:$A7050+$C$2:$C7050)), "")*24*60, "")</f>
        <v/>
      </c>
      <c r="S7051" s="24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ref="A7052:C7052" si="1386">A7051</f>
        <v>46003</v>
      </c>
      <c r="B7052" s="5" t="str">
        <f t="shared" si="1386"/>
        <v>Tufted Titmouse</v>
      </c>
      <c r="C7052" s="6">
        <f t="shared" si="1386"/>
        <v>0.47430555555555554</v>
      </c>
      <c r="D7052" s="5"/>
      <c r="E7052" s="5"/>
      <c r="F7052" s="5" t="s">
        <v>22</v>
      </c>
      <c r="G7052" s="15" t="s">
        <v>22</v>
      </c>
      <c r="H7052" s="24">
        <f t="shared" si="1334"/>
        <v>0</v>
      </c>
      <c r="I7052" s="24" t="str" cm="1">
        <f t="array" ref="I7052">IFERROR(IF($B7052=I$1, ($A7052+$C7052) - MAX(IF($B$2:$B7051=$B7052, $A$2:$A7051+$C$2:$C7051)), "")*24*60, "")</f>
        <v/>
      </c>
      <c r="J7052" s="24" cm="1">
        <f t="array" ref="J7052">IFERROR(IF($B7052=J$1, ($A7052+$C7052) - MAX(IF($B$2:$B7051=$B7052, $A$2:$A7051+$C$2:$C7051)), "")*24*60, "")</f>
        <v>0</v>
      </c>
      <c r="K7052" s="24" t="str" cm="1">
        <f t="array" ref="K7052">IFERROR(IF($B7052=K$1, ($A7052+$C7052) - MAX(IF($B$2:$B7051=$B7052, $A$2:$A7051+$C$2:$C7051)), "")*24*60, "")</f>
        <v/>
      </c>
      <c r="L7052" s="24" t="str" cm="1">
        <f t="array" ref="L7052">IFERROR(IF($B7052=L$1, ($A7052+$C7052) - MAX(IF($B$2:$B7051=$B7052, $A$2:$A7051+$C$2:$C7051)), "")*24*60, "")</f>
        <v/>
      </c>
      <c r="M7052" s="24" t="str" cm="1">
        <f t="array" ref="M7052">IFERROR(IF($B7052=M$1, ($A7052+$C7052) - MAX(IF($B$2:$B7051=$B7052, $A$2:$A7051+$C$2:$C7051)), "")*24*60, "")</f>
        <v/>
      </c>
      <c r="N7052" s="24" t="str" cm="1">
        <f t="array" ref="N7052">IFERROR(IF($B7052=N$1, ($A7052+$C7052) - MAX(IF($B$2:$B7051=$B7052, $A$2:$A7051+$C$2:$C7051)), "")*24*60, "")</f>
        <v/>
      </c>
      <c r="O7052" s="24" t="str" cm="1">
        <f t="array" ref="O7052">IFERROR(IF($B7052=O$1, ($A7052+$C7052) - MAX(IF($B$2:$B7051=$B7052, $A$2:$A7051+$C$2:$C7051)), "")*24*60, "")</f>
        <v/>
      </c>
      <c r="P7052" s="24" t="str" cm="1">
        <f t="array" ref="P7052">IFERROR(IF($B7052=P$1, ($A7052+$C7052) - MAX(IF($B$2:$B7051=$B7052, $A$2:$A7051+$C$2:$C7051)), "")*24*60, "")</f>
        <v/>
      </c>
      <c r="Q7052" s="24" t="str" cm="1">
        <f t="array" ref="Q7052">IFERROR(IF($B7052=Q$1, ($A7052+$C7052) - MAX(IF($B$2:$B7051=$B7052, $A$2:$A7051+$C$2:$C7051)), "")*24*60, "")</f>
        <v/>
      </c>
      <c r="R7052" s="24" t="str" cm="1">
        <f t="array" ref="R7052">IFERROR(IF($B7052=R$1, ($A7052+$C7052) - MAX(IF($B$2:$B7051=$B7052, $A$2:$A7051+$C$2:$C7051)), "")*24*60, "")</f>
        <v/>
      </c>
      <c r="S7052" s="24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ref="A7053:C7053" si="1387">A7052</f>
        <v>46003</v>
      </c>
      <c r="B7053" s="5" t="str">
        <f t="shared" si="1387"/>
        <v>Tufted Titmouse</v>
      </c>
      <c r="C7053" s="6">
        <f t="shared" si="1387"/>
        <v>0.47430555555555554</v>
      </c>
      <c r="D7053" s="5"/>
      <c r="E7053" s="5"/>
      <c r="F7053" s="5" t="s">
        <v>22</v>
      </c>
      <c r="G7053" s="15" t="s">
        <v>22</v>
      </c>
      <c r="H7053" s="24">
        <f t="shared" si="1334"/>
        <v>0</v>
      </c>
      <c r="I7053" s="24" t="str" cm="1">
        <f t="array" ref="I7053">IFERROR(IF($B7053=I$1, ($A7053+$C7053) - MAX(IF($B$2:$B7052=$B7053, $A$2:$A7052+$C$2:$C7052)), "")*24*60, "")</f>
        <v/>
      </c>
      <c r="J7053" s="24" cm="1">
        <f t="array" ref="J7053">IFERROR(IF($B7053=J$1, ($A7053+$C7053) - MAX(IF($B$2:$B7052=$B7053, $A$2:$A7052+$C$2:$C7052)), "")*24*60, "")</f>
        <v>0</v>
      </c>
      <c r="K7053" s="24" t="str" cm="1">
        <f t="array" ref="K7053">IFERROR(IF($B7053=K$1, ($A7053+$C7053) - MAX(IF($B$2:$B7052=$B7053, $A$2:$A7052+$C$2:$C7052)), "")*24*60, "")</f>
        <v/>
      </c>
      <c r="L7053" s="24" t="str" cm="1">
        <f t="array" ref="L7053">IFERROR(IF($B7053=L$1, ($A7053+$C7053) - MAX(IF($B$2:$B7052=$B7053, $A$2:$A7052+$C$2:$C7052)), "")*24*60, "")</f>
        <v/>
      </c>
      <c r="M7053" s="24" t="str" cm="1">
        <f t="array" ref="M7053">IFERROR(IF($B7053=M$1, ($A7053+$C7053) - MAX(IF($B$2:$B7052=$B7053, $A$2:$A7052+$C$2:$C7052)), "")*24*60, "")</f>
        <v/>
      </c>
      <c r="N7053" s="24" t="str" cm="1">
        <f t="array" ref="N7053">IFERROR(IF($B7053=N$1, ($A7053+$C7053) - MAX(IF($B$2:$B7052=$B7053, $A$2:$A7052+$C$2:$C7052)), "")*24*60, "")</f>
        <v/>
      </c>
      <c r="O7053" s="24" t="str" cm="1">
        <f t="array" ref="O7053">IFERROR(IF($B7053=O$1, ($A7053+$C7053) - MAX(IF($B$2:$B7052=$B7053, $A$2:$A7052+$C$2:$C7052)), "")*24*60, "")</f>
        <v/>
      </c>
      <c r="P7053" s="24" t="str" cm="1">
        <f t="array" ref="P7053">IFERROR(IF($B7053=P$1, ($A7053+$C7053) - MAX(IF($B$2:$B7052=$B7053, $A$2:$A7052+$C$2:$C7052)), "")*24*60, "")</f>
        <v/>
      </c>
      <c r="Q7053" s="24" t="str" cm="1">
        <f t="array" ref="Q7053">IFERROR(IF($B7053=Q$1, ($A7053+$C7053) - MAX(IF($B$2:$B7052=$B7053, $A$2:$A7052+$C$2:$C7052)), "")*24*60, "")</f>
        <v/>
      </c>
      <c r="R7053" s="24" t="str" cm="1">
        <f t="array" ref="R7053">IFERROR(IF($B7053=R$1, ($A7053+$C7053) - MAX(IF($B$2:$B7052=$B7053, $A$2:$A7052+$C$2:$C7052)), "")*24*60, "")</f>
        <v/>
      </c>
      <c r="S7053" s="24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ref="A7054:C7054" si="1388">A7053</f>
        <v>46003</v>
      </c>
      <c r="B7054" s="5" t="str">
        <f t="shared" si="1388"/>
        <v>Tufted Titmouse</v>
      </c>
      <c r="C7054" s="6">
        <f t="shared" si="1388"/>
        <v>0.47430555555555554</v>
      </c>
      <c r="D7054" s="5"/>
      <c r="E7054" s="5"/>
      <c r="F7054" s="5" t="s">
        <v>22</v>
      </c>
      <c r="G7054" s="15" t="s">
        <v>22</v>
      </c>
      <c r="H7054" s="24">
        <f t="shared" si="1334"/>
        <v>0</v>
      </c>
      <c r="I7054" s="24" t="str" cm="1">
        <f t="array" ref="I7054">IFERROR(IF($B7054=I$1, ($A7054+$C7054) - MAX(IF($B$2:$B7053=$B7054, $A$2:$A7053+$C$2:$C7053)), "")*24*60, "")</f>
        <v/>
      </c>
      <c r="J7054" s="24" cm="1">
        <f t="array" ref="J7054">IFERROR(IF($B7054=J$1, ($A7054+$C7054) - MAX(IF($B$2:$B7053=$B7054, $A$2:$A7053+$C$2:$C7053)), "")*24*60, "")</f>
        <v>0</v>
      </c>
      <c r="K7054" s="24" t="str" cm="1">
        <f t="array" ref="K7054">IFERROR(IF($B7054=K$1, ($A7054+$C7054) - MAX(IF($B$2:$B7053=$B7054, $A$2:$A7053+$C$2:$C7053)), "")*24*60, "")</f>
        <v/>
      </c>
      <c r="L7054" s="24" t="str" cm="1">
        <f t="array" ref="L7054">IFERROR(IF($B7054=L$1, ($A7054+$C7054) - MAX(IF($B$2:$B7053=$B7054, $A$2:$A7053+$C$2:$C7053)), "")*24*60, "")</f>
        <v/>
      </c>
      <c r="M7054" s="24" t="str" cm="1">
        <f t="array" ref="M7054">IFERROR(IF($B7054=M$1, ($A7054+$C7054) - MAX(IF($B$2:$B7053=$B7054, $A$2:$A7053+$C$2:$C7053)), "")*24*60, "")</f>
        <v/>
      </c>
      <c r="N7054" s="24" t="str" cm="1">
        <f t="array" ref="N7054">IFERROR(IF($B7054=N$1, ($A7054+$C7054) - MAX(IF($B$2:$B7053=$B7054, $A$2:$A7053+$C$2:$C7053)), "")*24*60, "")</f>
        <v/>
      </c>
      <c r="O7054" s="24" t="str" cm="1">
        <f t="array" ref="O7054">IFERROR(IF($B7054=O$1, ($A7054+$C7054) - MAX(IF($B$2:$B7053=$B7054, $A$2:$A7053+$C$2:$C7053)), "")*24*60, "")</f>
        <v/>
      </c>
      <c r="P7054" s="24" t="str" cm="1">
        <f t="array" ref="P7054">IFERROR(IF($B7054=P$1, ($A7054+$C7054) - MAX(IF($B$2:$B7053=$B7054, $A$2:$A7053+$C$2:$C7053)), "")*24*60, "")</f>
        <v/>
      </c>
      <c r="Q7054" s="24" t="str" cm="1">
        <f t="array" ref="Q7054">IFERROR(IF($B7054=Q$1, ($A7054+$C7054) - MAX(IF($B$2:$B7053=$B7054, $A$2:$A7053+$C$2:$C7053)), "")*24*60, "")</f>
        <v/>
      </c>
      <c r="R7054" s="24" t="str" cm="1">
        <f t="array" ref="R7054">IFERROR(IF($B7054=R$1, ($A7054+$C7054) - MAX(IF($B$2:$B7053=$B7054, $A$2:$A7053+$C$2:$C7053)), "")*24*60, "")</f>
        <v/>
      </c>
      <c r="S7054" s="24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ref="A7055:C7055" si="1389">A7054</f>
        <v>46003</v>
      </c>
      <c r="B7055" s="5" t="str">
        <f t="shared" si="1389"/>
        <v>Tufted Titmouse</v>
      </c>
      <c r="C7055" s="6">
        <f t="shared" si="1389"/>
        <v>0.47430555555555554</v>
      </c>
      <c r="D7055" s="5"/>
      <c r="E7055" s="5"/>
      <c r="F7055" s="5" t="s">
        <v>22</v>
      </c>
      <c r="G7055" s="15" t="s">
        <v>22</v>
      </c>
      <c r="H7055" s="24">
        <f t="shared" si="1334"/>
        <v>0</v>
      </c>
      <c r="I7055" s="24" t="str" cm="1">
        <f t="array" ref="I7055">IFERROR(IF($B7055=I$1, ($A7055+$C7055) - MAX(IF($B$2:$B7054=$B7055, $A$2:$A7054+$C$2:$C7054)), "")*24*60, "")</f>
        <v/>
      </c>
      <c r="J7055" s="24" cm="1">
        <f t="array" ref="J7055">IFERROR(IF($B7055=J$1, ($A7055+$C7055) - MAX(IF($B$2:$B7054=$B7055, $A$2:$A7054+$C$2:$C7054)), "")*24*60, "")</f>
        <v>0</v>
      </c>
      <c r="K7055" s="24" t="str" cm="1">
        <f t="array" ref="K7055">IFERROR(IF($B7055=K$1, ($A7055+$C7055) - MAX(IF($B$2:$B7054=$B7055, $A$2:$A7054+$C$2:$C7054)), "")*24*60, "")</f>
        <v/>
      </c>
      <c r="L7055" s="24" t="str" cm="1">
        <f t="array" ref="L7055">IFERROR(IF($B7055=L$1, ($A7055+$C7055) - MAX(IF($B$2:$B7054=$B7055, $A$2:$A7054+$C$2:$C7054)), "")*24*60, "")</f>
        <v/>
      </c>
      <c r="M7055" s="24" t="str" cm="1">
        <f t="array" ref="M7055">IFERROR(IF($B7055=M$1, ($A7055+$C7055) - MAX(IF($B$2:$B7054=$B7055, $A$2:$A7054+$C$2:$C7054)), "")*24*60, "")</f>
        <v/>
      </c>
      <c r="N7055" s="24" t="str" cm="1">
        <f t="array" ref="N7055">IFERROR(IF($B7055=N$1, ($A7055+$C7055) - MAX(IF($B$2:$B7054=$B7055, $A$2:$A7054+$C$2:$C7054)), "")*24*60, "")</f>
        <v/>
      </c>
      <c r="O7055" s="24" t="str" cm="1">
        <f t="array" ref="O7055">IFERROR(IF($B7055=O$1, ($A7055+$C7055) - MAX(IF($B$2:$B7054=$B7055, $A$2:$A7054+$C$2:$C7054)), "")*24*60, "")</f>
        <v/>
      </c>
      <c r="P7055" s="24" t="str" cm="1">
        <f t="array" ref="P7055">IFERROR(IF($B7055=P$1, ($A7055+$C7055) - MAX(IF($B$2:$B7054=$B7055, $A$2:$A7054+$C$2:$C7054)), "")*24*60, "")</f>
        <v/>
      </c>
      <c r="Q7055" s="24" t="str" cm="1">
        <f t="array" ref="Q7055">IFERROR(IF($B7055=Q$1, ($A7055+$C7055) - MAX(IF($B$2:$B7054=$B7055, $A$2:$A7054+$C$2:$C7054)), "")*24*60, "")</f>
        <v/>
      </c>
      <c r="R7055" s="24" t="str" cm="1">
        <f t="array" ref="R7055">IFERROR(IF($B7055=R$1, ($A7055+$C7055) - MAX(IF($B$2:$B7054=$B7055, $A$2:$A7054+$C$2:$C7054)), "")*24*60, "")</f>
        <v/>
      </c>
      <c r="S7055" s="24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ref="A7056:C7056" si="1390">A7055</f>
        <v>46003</v>
      </c>
      <c r="B7056" s="5" t="str">
        <f t="shared" si="1390"/>
        <v>Tufted Titmouse</v>
      </c>
      <c r="C7056" s="6">
        <f t="shared" si="1390"/>
        <v>0.47430555555555554</v>
      </c>
      <c r="D7056" s="5"/>
      <c r="E7056" s="5"/>
      <c r="F7056" s="5" t="s">
        <v>22</v>
      </c>
      <c r="G7056" s="15" t="s">
        <v>22</v>
      </c>
      <c r="H7056" s="24">
        <f t="shared" si="1334"/>
        <v>0</v>
      </c>
      <c r="I7056" s="24" t="str" cm="1">
        <f t="array" ref="I7056">IFERROR(IF($B7056=I$1, ($A7056+$C7056) - MAX(IF($B$2:$B7055=$B7056, $A$2:$A7055+$C$2:$C7055)), "")*24*60, "")</f>
        <v/>
      </c>
      <c r="J7056" s="24" cm="1">
        <f t="array" ref="J7056">IFERROR(IF($B7056=J$1, ($A7056+$C7056) - MAX(IF($B$2:$B7055=$B7056, $A$2:$A7055+$C$2:$C7055)), "")*24*60, "")</f>
        <v>0</v>
      </c>
      <c r="K7056" s="24" t="str" cm="1">
        <f t="array" ref="K7056">IFERROR(IF($B7056=K$1, ($A7056+$C7056) - MAX(IF($B$2:$B7055=$B7056, $A$2:$A7055+$C$2:$C7055)), "")*24*60, "")</f>
        <v/>
      </c>
      <c r="L7056" s="24" t="str" cm="1">
        <f t="array" ref="L7056">IFERROR(IF($B7056=L$1, ($A7056+$C7056) - MAX(IF($B$2:$B7055=$B7056, $A$2:$A7055+$C$2:$C7055)), "")*24*60, "")</f>
        <v/>
      </c>
      <c r="M7056" s="24" t="str" cm="1">
        <f t="array" ref="M7056">IFERROR(IF($B7056=M$1, ($A7056+$C7056) - MAX(IF($B$2:$B7055=$B7056, $A$2:$A7055+$C$2:$C7055)), "")*24*60, "")</f>
        <v/>
      </c>
      <c r="N7056" s="24" t="str" cm="1">
        <f t="array" ref="N7056">IFERROR(IF($B7056=N$1, ($A7056+$C7056) - MAX(IF($B$2:$B7055=$B7056, $A$2:$A7055+$C$2:$C7055)), "")*24*60, "")</f>
        <v/>
      </c>
      <c r="O7056" s="24" t="str" cm="1">
        <f t="array" ref="O7056">IFERROR(IF($B7056=O$1, ($A7056+$C7056) - MAX(IF($B$2:$B7055=$B7056, $A$2:$A7055+$C$2:$C7055)), "")*24*60, "")</f>
        <v/>
      </c>
      <c r="P7056" s="24" t="str" cm="1">
        <f t="array" ref="P7056">IFERROR(IF($B7056=P$1, ($A7056+$C7056) - MAX(IF($B$2:$B7055=$B7056, $A$2:$A7055+$C$2:$C7055)), "")*24*60, "")</f>
        <v/>
      </c>
      <c r="Q7056" s="24" t="str" cm="1">
        <f t="array" ref="Q7056">IFERROR(IF($B7056=Q$1, ($A7056+$C7056) - MAX(IF($B$2:$B7055=$B7056, $A$2:$A7055+$C$2:$C7055)), "")*24*60, "")</f>
        <v/>
      </c>
      <c r="R7056" s="24" t="str" cm="1">
        <f t="array" ref="R7056">IFERROR(IF($B7056=R$1, ($A7056+$C7056) - MAX(IF($B$2:$B7055=$B7056, $A$2:$A7055+$C$2:$C7055)), "")*24*60, "")</f>
        <v/>
      </c>
      <c r="S7056" s="24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ref="A7057:C7057" si="1391">A7056</f>
        <v>46003</v>
      </c>
      <c r="B7057" s="5" t="str">
        <f t="shared" si="1391"/>
        <v>Tufted Titmouse</v>
      </c>
      <c r="C7057" s="6">
        <f t="shared" si="1391"/>
        <v>0.47430555555555554</v>
      </c>
      <c r="D7057" s="5"/>
      <c r="E7057" s="5"/>
      <c r="F7057" s="5" t="s">
        <v>22</v>
      </c>
      <c r="G7057" s="15" t="s">
        <v>22</v>
      </c>
      <c r="H7057" s="24">
        <f t="shared" si="1334"/>
        <v>0</v>
      </c>
      <c r="I7057" s="24" t="str" cm="1">
        <f t="array" ref="I7057">IFERROR(IF($B7057=I$1, ($A7057+$C7057) - MAX(IF($B$2:$B7056=$B7057, $A$2:$A7056+$C$2:$C7056)), "")*24*60, "")</f>
        <v/>
      </c>
      <c r="J7057" s="24" cm="1">
        <f t="array" ref="J7057">IFERROR(IF($B7057=J$1, ($A7057+$C7057) - MAX(IF($B$2:$B7056=$B7057, $A$2:$A7056+$C$2:$C7056)), "")*24*60, "")</f>
        <v>0</v>
      </c>
      <c r="K7057" s="24" t="str" cm="1">
        <f t="array" ref="K7057">IFERROR(IF($B7057=K$1, ($A7057+$C7057) - MAX(IF($B$2:$B7056=$B7057, $A$2:$A7056+$C$2:$C7056)), "")*24*60, "")</f>
        <v/>
      </c>
      <c r="L7057" s="24" t="str" cm="1">
        <f t="array" ref="L7057">IFERROR(IF($B7057=L$1, ($A7057+$C7057) - MAX(IF($B$2:$B7056=$B7057, $A$2:$A7056+$C$2:$C7056)), "")*24*60, "")</f>
        <v/>
      </c>
      <c r="M7057" s="24" t="str" cm="1">
        <f t="array" ref="M7057">IFERROR(IF($B7057=M$1, ($A7057+$C7057) - MAX(IF($B$2:$B7056=$B7057, $A$2:$A7056+$C$2:$C7056)), "")*24*60, "")</f>
        <v/>
      </c>
      <c r="N7057" s="24" t="str" cm="1">
        <f t="array" ref="N7057">IFERROR(IF($B7057=N$1, ($A7057+$C7057) - MAX(IF($B$2:$B7056=$B7057, $A$2:$A7056+$C$2:$C7056)), "")*24*60, "")</f>
        <v/>
      </c>
      <c r="O7057" s="24" t="str" cm="1">
        <f t="array" ref="O7057">IFERROR(IF($B7057=O$1, ($A7057+$C7057) - MAX(IF($B$2:$B7056=$B7057, $A$2:$A7056+$C$2:$C7056)), "")*24*60, "")</f>
        <v/>
      </c>
      <c r="P7057" s="24" t="str" cm="1">
        <f t="array" ref="P7057">IFERROR(IF($B7057=P$1, ($A7057+$C7057) - MAX(IF($B$2:$B7056=$B7057, $A$2:$A7056+$C$2:$C7056)), "")*24*60, "")</f>
        <v/>
      </c>
      <c r="Q7057" s="24" t="str" cm="1">
        <f t="array" ref="Q7057">IFERROR(IF($B7057=Q$1, ($A7057+$C7057) - MAX(IF($B$2:$B7056=$B7057, $A$2:$A7056+$C$2:$C7056)), "")*24*60, "")</f>
        <v/>
      </c>
      <c r="R7057" s="24" t="str" cm="1">
        <f t="array" ref="R7057">IFERROR(IF($B7057=R$1, ($A7057+$C7057) - MAX(IF($B$2:$B7056=$B7057, $A$2:$A7056+$C$2:$C7056)), "")*24*60, "")</f>
        <v/>
      </c>
      <c r="S7057" s="24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ref="A7058:C7058" si="1392">A7057</f>
        <v>46003</v>
      </c>
      <c r="B7058" s="5" t="str">
        <f t="shared" si="1392"/>
        <v>Tufted Titmouse</v>
      </c>
      <c r="C7058" s="6">
        <f t="shared" si="1392"/>
        <v>0.47430555555555554</v>
      </c>
      <c r="D7058" s="5"/>
      <c r="E7058" s="5"/>
      <c r="F7058" s="5" t="s">
        <v>22</v>
      </c>
      <c r="G7058" s="15" t="s">
        <v>22</v>
      </c>
      <c r="H7058" s="24">
        <f t="shared" si="1334"/>
        <v>0</v>
      </c>
      <c r="I7058" s="24" t="str" cm="1">
        <f t="array" ref="I7058">IFERROR(IF($B7058=I$1, ($A7058+$C7058) - MAX(IF($B$2:$B7057=$B7058, $A$2:$A7057+$C$2:$C7057)), "")*24*60, "")</f>
        <v/>
      </c>
      <c r="J7058" s="24" cm="1">
        <f t="array" ref="J7058">IFERROR(IF($B7058=J$1, ($A7058+$C7058) - MAX(IF($B$2:$B7057=$B7058, $A$2:$A7057+$C$2:$C7057)), "")*24*60, "")</f>
        <v>0</v>
      </c>
      <c r="K7058" s="24" t="str" cm="1">
        <f t="array" ref="K7058">IFERROR(IF($B7058=K$1, ($A7058+$C7058) - MAX(IF($B$2:$B7057=$B7058, $A$2:$A7057+$C$2:$C7057)), "")*24*60, "")</f>
        <v/>
      </c>
      <c r="L7058" s="24" t="str" cm="1">
        <f t="array" ref="L7058">IFERROR(IF($B7058=L$1, ($A7058+$C7058) - MAX(IF($B$2:$B7057=$B7058, $A$2:$A7057+$C$2:$C7057)), "")*24*60, "")</f>
        <v/>
      </c>
      <c r="M7058" s="24" t="str" cm="1">
        <f t="array" ref="M7058">IFERROR(IF($B7058=M$1, ($A7058+$C7058) - MAX(IF($B$2:$B7057=$B7058, $A$2:$A7057+$C$2:$C7057)), "")*24*60, "")</f>
        <v/>
      </c>
      <c r="N7058" s="24" t="str" cm="1">
        <f t="array" ref="N7058">IFERROR(IF($B7058=N$1, ($A7058+$C7058) - MAX(IF($B$2:$B7057=$B7058, $A$2:$A7057+$C$2:$C7057)), "")*24*60, "")</f>
        <v/>
      </c>
      <c r="O7058" s="24" t="str" cm="1">
        <f t="array" ref="O7058">IFERROR(IF($B7058=O$1, ($A7058+$C7058) - MAX(IF($B$2:$B7057=$B7058, $A$2:$A7057+$C$2:$C7057)), "")*24*60, "")</f>
        <v/>
      </c>
      <c r="P7058" s="24" t="str" cm="1">
        <f t="array" ref="P7058">IFERROR(IF($B7058=P$1, ($A7058+$C7058) - MAX(IF($B$2:$B7057=$B7058, $A$2:$A7057+$C$2:$C7057)), "")*24*60, "")</f>
        <v/>
      </c>
      <c r="Q7058" s="24" t="str" cm="1">
        <f t="array" ref="Q7058">IFERROR(IF($B7058=Q$1, ($A7058+$C7058) - MAX(IF($B$2:$B7057=$B7058, $A$2:$A7057+$C$2:$C7057)), "")*24*60, "")</f>
        <v/>
      </c>
      <c r="R7058" s="24" t="str" cm="1">
        <f t="array" ref="R7058">IFERROR(IF($B7058=R$1, ($A7058+$C7058) - MAX(IF($B$2:$B7057=$B7058, $A$2:$A7057+$C$2:$C7057)), "")*24*60, "")</f>
        <v/>
      </c>
      <c r="S7058" s="24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ref="A7059:C7059" si="1393">A7058</f>
        <v>46003</v>
      </c>
      <c r="B7059" s="5" t="str">
        <f t="shared" si="1393"/>
        <v>Tufted Titmouse</v>
      </c>
      <c r="C7059" s="6">
        <f t="shared" si="1393"/>
        <v>0.47430555555555554</v>
      </c>
      <c r="D7059" s="5"/>
      <c r="E7059" s="5"/>
      <c r="F7059" s="5" t="s">
        <v>22</v>
      </c>
      <c r="G7059" s="15" t="s">
        <v>22</v>
      </c>
      <c r="H7059" s="24">
        <f t="shared" si="1334"/>
        <v>0</v>
      </c>
      <c r="I7059" s="24" t="str" cm="1">
        <f t="array" ref="I7059">IFERROR(IF($B7059=I$1, ($A7059+$C7059) - MAX(IF($B$2:$B7058=$B7059, $A$2:$A7058+$C$2:$C7058)), "")*24*60, "")</f>
        <v/>
      </c>
      <c r="J7059" s="24" cm="1">
        <f t="array" ref="J7059">IFERROR(IF($B7059=J$1, ($A7059+$C7059) - MAX(IF($B$2:$B7058=$B7059, $A$2:$A7058+$C$2:$C7058)), "")*24*60, "")</f>
        <v>0</v>
      </c>
      <c r="K7059" s="24" t="str" cm="1">
        <f t="array" ref="K7059">IFERROR(IF($B7059=K$1, ($A7059+$C7059) - MAX(IF($B$2:$B7058=$B7059, $A$2:$A7058+$C$2:$C7058)), "")*24*60, "")</f>
        <v/>
      </c>
      <c r="L7059" s="24" t="str" cm="1">
        <f t="array" ref="L7059">IFERROR(IF($B7059=L$1, ($A7059+$C7059) - MAX(IF($B$2:$B7058=$B7059, $A$2:$A7058+$C$2:$C7058)), "")*24*60, "")</f>
        <v/>
      </c>
      <c r="M7059" s="24" t="str" cm="1">
        <f t="array" ref="M7059">IFERROR(IF($B7059=M$1, ($A7059+$C7059) - MAX(IF($B$2:$B7058=$B7059, $A$2:$A7058+$C$2:$C7058)), "")*24*60, "")</f>
        <v/>
      </c>
      <c r="N7059" s="24" t="str" cm="1">
        <f t="array" ref="N7059">IFERROR(IF($B7059=N$1, ($A7059+$C7059) - MAX(IF($B$2:$B7058=$B7059, $A$2:$A7058+$C$2:$C7058)), "")*24*60, "")</f>
        <v/>
      </c>
      <c r="O7059" s="24" t="str" cm="1">
        <f t="array" ref="O7059">IFERROR(IF($B7059=O$1, ($A7059+$C7059) - MAX(IF($B$2:$B7058=$B7059, $A$2:$A7058+$C$2:$C7058)), "")*24*60, "")</f>
        <v/>
      </c>
      <c r="P7059" s="24" t="str" cm="1">
        <f t="array" ref="P7059">IFERROR(IF($B7059=P$1, ($A7059+$C7059) - MAX(IF($B$2:$B7058=$B7059, $A$2:$A7058+$C$2:$C7058)), "")*24*60, "")</f>
        <v/>
      </c>
      <c r="Q7059" s="24" t="str" cm="1">
        <f t="array" ref="Q7059">IFERROR(IF($B7059=Q$1, ($A7059+$C7059) - MAX(IF($B$2:$B7058=$B7059, $A$2:$A7058+$C$2:$C7058)), "")*24*60, "")</f>
        <v/>
      </c>
      <c r="R7059" s="24" t="str" cm="1">
        <f t="array" ref="R7059">IFERROR(IF($B7059=R$1, ($A7059+$C7059) - MAX(IF($B$2:$B7058=$B7059, $A$2:$A7058+$C$2:$C7058)), "")*24*60, "")</f>
        <v/>
      </c>
      <c r="S7059" s="24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ref="A7060:C7060" si="1394">A7059</f>
        <v>46003</v>
      </c>
      <c r="B7060" s="5" t="str">
        <f t="shared" si="1394"/>
        <v>Tufted Titmouse</v>
      </c>
      <c r="C7060" s="6">
        <f t="shared" si="1394"/>
        <v>0.47430555555555554</v>
      </c>
      <c r="D7060" s="5"/>
      <c r="E7060" s="5"/>
      <c r="F7060" s="5" t="s">
        <v>22</v>
      </c>
      <c r="G7060" s="15" t="s">
        <v>22</v>
      </c>
      <c r="H7060" s="24">
        <f t="shared" si="1334"/>
        <v>0</v>
      </c>
      <c r="I7060" s="24" t="str" cm="1">
        <f t="array" ref="I7060">IFERROR(IF($B7060=I$1, ($A7060+$C7060) - MAX(IF($B$2:$B7059=$B7060, $A$2:$A7059+$C$2:$C7059)), "")*24*60, "")</f>
        <v/>
      </c>
      <c r="J7060" s="24" cm="1">
        <f t="array" ref="J7060">IFERROR(IF($B7060=J$1, ($A7060+$C7060) - MAX(IF($B$2:$B7059=$B7060, $A$2:$A7059+$C$2:$C7059)), "")*24*60, "")</f>
        <v>0</v>
      </c>
      <c r="K7060" s="24" t="str" cm="1">
        <f t="array" ref="K7060">IFERROR(IF($B7060=K$1, ($A7060+$C7060) - MAX(IF($B$2:$B7059=$B7060, $A$2:$A7059+$C$2:$C7059)), "")*24*60, "")</f>
        <v/>
      </c>
      <c r="L7060" s="24" t="str" cm="1">
        <f t="array" ref="L7060">IFERROR(IF($B7060=L$1, ($A7060+$C7060) - MAX(IF($B$2:$B7059=$B7060, $A$2:$A7059+$C$2:$C7059)), "")*24*60, "")</f>
        <v/>
      </c>
      <c r="M7060" s="24" t="str" cm="1">
        <f t="array" ref="M7060">IFERROR(IF($B7060=M$1, ($A7060+$C7060) - MAX(IF($B$2:$B7059=$B7060, $A$2:$A7059+$C$2:$C7059)), "")*24*60, "")</f>
        <v/>
      </c>
      <c r="N7060" s="24" t="str" cm="1">
        <f t="array" ref="N7060">IFERROR(IF($B7060=N$1, ($A7060+$C7060) - MAX(IF($B$2:$B7059=$B7060, $A$2:$A7059+$C$2:$C7059)), "")*24*60, "")</f>
        <v/>
      </c>
      <c r="O7060" s="24" t="str" cm="1">
        <f t="array" ref="O7060">IFERROR(IF($B7060=O$1, ($A7060+$C7060) - MAX(IF($B$2:$B7059=$B7060, $A$2:$A7059+$C$2:$C7059)), "")*24*60, "")</f>
        <v/>
      </c>
      <c r="P7060" s="24" t="str" cm="1">
        <f t="array" ref="P7060">IFERROR(IF($B7060=P$1, ($A7060+$C7060) - MAX(IF($B$2:$B7059=$B7060, $A$2:$A7059+$C$2:$C7059)), "")*24*60, "")</f>
        <v/>
      </c>
      <c r="Q7060" s="24" t="str" cm="1">
        <f t="array" ref="Q7060">IFERROR(IF($B7060=Q$1, ($A7060+$C7060) - MAX(IF($B$2:$B7059=$B7060, $A$2:$A7059+$C$2:$C7059)), "")*24*60, "")</f>
        <v/>
      </c>
      <c r="R7060" s="24" t="str" cm="1">
        <f t="array" ref="R7060">IFERROR(IF($B7060=R$1, ($A7060+$C7060) - MAX(IF($B$2:$B7059=$B7060, $A$2:$A7059+$C$2:$C7059)), "")*24*60, "")</f>
        <v/>
      </c>
      <c r="S7060" s="24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ref="A7061:C7061" si="1395">A7060</f>
        <v>46003</v>
      </c>
      <c r="B7061" s="5" t="str">
        <f t="shared" si="1395"/>
        <v>Tufted Titmouse</v>
      </c>
      <c r="C7061" s="6">
        <f t="shared" si="1395"/>
        <v>0.47430555555555554</v>
      </c>
      <c r="D7061" s="5"/>
      <c r="E7061" s="5"/>
      <c r="F7061" s="5" t="s">
        <v>22</v>
      </c>
      <c r="G7061" s="15" t="s">
        <v>22</v>
      </c>
      <c r="H7061" s="24">
        <f t="shared" si="1334"/>
        <v>0</v>
      </c>
      <c r="I7061" s="24" t="str" cm="1">
        <f t="array" ref="I7061">IFERROR(IF($B7061=I$1, ($A7061+$C7061) - MAX(IF($B$2:$B7060=$B7061, $A$2:$A7060+$C$2:$C7060)), "")*24*60, "")</f>
        <v/>
      </c>
      <c r="J7061" s="24" cm="1">
        <f t="array" ref="J7061">IFERROR(IF($B7061=J$1, ($A7061+$C7061) - MAX(IF($B$2:$B7060=$B7061, $A$2:$A7060+$C$2:$C7060)), "")*24*60, "")</f>
        <v>0</v>
      </c>
      <c r="K7061" s="24" t="str" cm="1">
        <f t="array" ref="K7061">IFERROR(IF($B7061=K$1, ($A7061+$C7061) - MAX(IF($B$2:$B7060=$B7061, $A$2:$A7060+$C$2:$C7060)), "")*24*60, "")</f>
        <v/>
      </c>
      <c r="L7061" s="24" t="str" cm="1">
        <f t="array" ref="L7061">IFERROR(IF($B7061=L$1, ($A7061+$C7061) - MAX(IF($B$2:$B7060=$B7061, $A$2:$A7060+$C$2:$C7060)), "")*24*60, "")</f>
        <v/>
      </c>
      <c r="M7061" s="24" t="str" cm="1">
        <f t="array" ref="M7061">IFERROR(IF($B7061=M$1, ($A7061+$C7061) - MAX(IF($B$2:$B7060=$B7061, $A$2:$A7060+$C$2:$C7060)), "")*24*60, "")</f>
        <v/>
      </c>
      <c r="N7061" s="24" t="str" cm="1">
        <f t="array" ref="N7061">IFERROR(IF($B7061=N$1, ($A7061+$C7061) - MAX(IF($B$2:$B7060=$B7061, $A$2:$A7060+$C$2:$C7060)), "")*24*60, "")</f>
        <v/>
      </c>
      <c r="O7061" s="24" t="str" cm="1">
        <f t="array" ref="O7061">IFERROR(IF($B7061=O$1, ($A7061+$C7061) - MAX(IF($B$2:$B7060=$B7061, $A$2:$A7060+$C$2:$C7060)), "")*24*60, "")</f>
        <v/>
      </c>
      <c r="P7061" s="24" t="str" cm="1">
        <f t="array" ref="P7061">IFERROR(IF($B7061=P$1, ($A7061+$C7061) - MAX(IF($B$2:$B7060=$B7061, $A$2:$A7060+$C$2:$C7060)), "")*24*60, "")</f>
        <v/>
      </c>
      <c r="Q7061" s="24" t="str" cm="1">
        <f t="array" ref="Q7061">IFERROR(IF($B7061=Q$1, ($A7061+$C7061) - MAX(IF($B$2:$B7060=$B7061, $A$2:$A7060+$C$2:$C7060)), "")*24*60, "")</f>
        <v/>
      </c>
      <c r="R7061" s="24" t="str" cm="1">
        <f t="array" ref="R7061">IFERROR(IF($B7061=R$1, ($A7061+$C7061) - MAX(IF($B$2:$B7060=$B7061, $A$2:$A7060+$C$2:$C7060)), "")*24*60, "")</f>
        <v/>
      </c>
      <c r="S7061" s="24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ref="A7062:C7062" si="1396">A7061</f>
        <v>46003</v>
      </c>
      <c r="B7062" s="5" t="str">
        <f t="shared" si="1396"/>
        <v>Tufted Titmouse</v>
      </c>
      <c r="C7062" s="6">
        <f t="shared" si="1396"/>
        <v>0.47430555555555554</v>
      </c>
      <c r="D7062" s="5"/>
      <c r="E7062" s="5"/>
      <c r="F7062" s="5" t="s">
        <v>22</v>
      </c>
      <c r="G7062" s="15" t="s">
        <v>22</v>
      </c>
      <c r="H7062" s="24">
        <f t="shared" si="1334"/>
        <v>0</v>
      </c>
      <c r="I7062" s="24" t="str" cm="1">
        <f t="array" ref="I7062">IFERROR(IF($B7062=I$1, ($A7062+$C7062) - MAX(IF($B$2:$B7061=$B7062, $A$2:$A7061+$C$2:$C7061)), "")*24*60, "")</f>
        <v/>
      </c>
      <c r="J7062" s="24" cm="1">
        <f t="array" ref="J7062">IFERROR(IF($B7062=J$1, ($A7062+$C7062) - MAX(IF($B$2:$B7061=$B7062, $A$2:$A7061+$C$2:$C7061)), "")*24*60, "")</f>
        <v>0</v>
      </c>
      <c r="K7062" s="24" t="str" cm="1">
        <f t="array" ref="K7062">IFERROR(IF($B7062=K$1, ($A7062+$C7062) - MAX(IF($B$2:$B7061=$B7062, $A$2:$A7061+$C$2:$C7061)), "")*24*60, "")</f>
        <v/>
      </c>
      <c r="L7062" s="24" t="str" cm="1">
        <f t="array" ref="L7062">IFERROR(IF($B7062=L$1, ($A7062+$C7062) - MAX(IF($B$2:$B7061=$B7062, $A$2:$A7061+$C$2:$C7061)), "")*24*60, "")</f>
        <v/>
      </c>
      <c r="M7062" s="24" t="str" cm="1">
        <f t="array" ref="M7062">IFERROR(IF($B7062=M$1, ($A7062+$C7062) - MAX(IF($B$2:$B7061=$B7062, $A$2:$A7061+$C$2:$C7061)), "")*24*60, "")</f>
        <v/>
      </c>
      <c r="N7062" s="24" t="str" cm="1">
        <f t="array" ref="N7062">IFERROR(IF($B7062=N$1, ($A7062+$C7062) - MAX(IF($B$2:$B7061=$B7062, $A$2:$A7061+$C$2:$C7061)), "")*24*60, "")</f>
        <v/>
      </c>
      <c r="O7062" s="24" t="str" cm="1">
        <f t="array" ref="O7062">IFERROR(IF($B7062=O$1, ($A7062+$C7062) - MAX(IF($B$2:$B7061=$B7062, $A$2:$A7061+$C$2:$C7061)), "")*24*60, "")</f>
        <v/>
      </c>
      <c r="P7062" s="24" t="str" cm="1">
        <f t="array" ref="P7062">IFERROR(IF($B7062=P$1, ($A7062+$C7062) - MAX(IF($B$2:$B7061=$B7062, $A$2:$A7061+$C$2:$C7061)), "")*24*60, "")</f>
        <v/>
      </c>
      <c r="Q7062" s="24" t="str" cm="1">
        <f t="array" ref="Q7062">IFERROR(IF($B7062=Q$1, ($A7062+$C7062) - MAX(IF($B$2:$B7061=$B7062, $A$2:$A7061+$C$2:$C7061)), "")*24*60, "")</f>
        <v/>
      </c>
      <c r="R7062" s="24" t="str" cm="1">
        <f t="array" ref="R7062">IFERROR(IF($B7062=R$1, ($A7062+$C7062) - MAX(IF($B$2:$B7061=$B7062, $A$2:$A7061+$C$2:$C7061)), "")*24*60, "")</f>
        <v/>
      </c>
      <c r="S7062" s="24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ref="A7063:C7063" si="1397">A7062</f>
        <v>46003</v>
      </c>
      <c r="B7063" s="5" t="str">
        <f t="shared" si="1397"/>
        <v>Tufted Titmouse</v>
      </c>
      <c r="C7063" s="6">
        <f t="shared" si="1397"/>
        <v>0.47430555555555554</v>
      </c>
      <c r="D7063" s="5"/>
      <c r="E7063" s="5"/>
      <c r="F7063" s="5" t="s">
        <v>22</v>
      </c>
      <c r="G7063" s="15" t="s">
        <v>22</v>
      </c>
      <c r="H7063" s="24">
        <f t="shared" si="1334"/>
        <v>0</v>
      </c>
      <c r="I7063" s="24" t="str" cm="1">
        <f t="array" ref="I7063">IFERROR(IF($B7063=I$1, ($A7063+$C7063) - MAX(IF($B$2:$B7062=$B7063, $A$2:$A7062+$C$2:$C7062)), "")*24*60, "")</f>
        <v/>
      </c>
      <c r="J7063" s="24" cm="1">
        <f t="array" ref="J7063">IFERROR(IF($B7063=J$1, ($A7063+$C7063) - MAX(IF($B$2:$B7062=$B7063, $A$2:$A7062+$C$2:$C7062)), "")*24*60, "")</f>
        <v>0</v>
      </c>
      <c r="K7063" s="24" t="str" cm="1">
        <f t="array" ref="K7063">IFERROR(IF($B7063=K$1, ($A7063+$C7063) - MAX(IF($B$2:$B7062=$B7063, $A$2:$A7062+$C$2:$C7062)), "")*24*60, "")</f>
        <v/>
      </c>
      <c r="L7063" s="24" t="str" cm="1">
        <f t="array" ref="L7063">IFERROR(IF($B7063=L$1, ($A7063+$C7063) - MAX(IF($B$2:$B7062=$B7063, $A$2:$A7062+$C$2:$C7062)), "")*24*60, "")</f>
        <v/>
      </c>
      <c r="M7063" s="24" t="str" cm="1">
        <f t="array" ref="M7063">IFERROR(IF($B7063=M$1, ($A7063+$C7063) - MAX(IF($B$2:$B7062=$B7063, $A$2:$A7062+$C$2:$C7062)), "")*24*60, "")</f>
        <v/>
      </c>
      <c r="N7063" s="24" t="str" cm="1">
        <f t="array" ref="N7063">IFERROR(IF($B7063=N$1, ($A7063+$C7063) - MAX(IF($B$2:$B7062=$B7063, $A$2:$A7062+$C$2:$C7062)), "")*24*60, "")</f>
        <v/>
      </c>
      <c r="O7063" s="24" t="str" cm="1">
        <f t="array" ref="O7063">IFERROR(IF($B7063=O$1, ($A7063+$C7063) - MAX(IF($B$2:$B7062=$B7063, $A$2:$A7062+$C$2:$C7062)), "")*24*60, "")</f>
        <v/>
      </c>
      <c r="P7063" s="24" t="str" cm="1">
        <f t="array" ref="P7063">IFERROR(IF($B7063=P$1, ($A7063+$C7063) - MAX(IF($B$2:$B7062=$B7063, $A$2:$A7062+$C$2:$C7062)), "")*24*60, "")</f>
        <v/>
      </c>
      <c r="Q7063" s="24" t="str" cm="1">
        <f t="array" ref="Q7063">IFERROR(IF($B7063=Q$1, ($A7063+$C7063) - MAX(IF($B$2:$B7062=$B7063, $A$2:$A7062+$C$2:$C7062)), "")*24*60, "")</f>
        <v/>
      </c>
      <c r="R7063" s="24" t="str" cm="1">
        <f t="array" ref="R7063">IFERROR(IF($B7063=R$1, ($A7063+$C7063) - MAX(IF($B$2:$B7062=$B7063, $A$2:$A7062+$C$2:$C7062)), "")*24*60, "")</f>
        <v/>
      </c>
      <c r="S7063" s="24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ref="A7064:C7064" si="1398">A7063</f>
        <v>46003</v>
      </c>
      <c r="B7064" s="5" t="str">
        <f t="shared" si="1398"/>
        <v>Tufted Titmouse</v>
      </c>
      <c r="C7064" s="6">
        <f t="shared" si="1398"/>
        <v>0.47430555555555554</v>
      </c>
      <c r="D7064" s="5"/>
      <c r="E7064" s="5"/>
      <c r="F7064" s="5" t="s">
        <v>22</v>
      </c>
      <c r="G7064" s="15" t="s">
        <v>22</v>
      </c>
      <c r="H7064" s="24">
        <f t="shared" ref="H7064:H7127" si="1399">IFERROR((($A7064+$C7064) - ($A7063+$C7063))*24*60, "")</f>
        <v>0</v>
      </c>
      <c r="I7064" s="24" t="str" cm="1">
        <f t="array" ref="I7064">IFERROR(IF($B7064=I$1, ($A7064+$C7064) - MAX(IF($B$2:$B7063=$B7064, $A$2:$A7063+$C$2:$C7063)), "")*24*60, "")</f>
        <v/>
      </c>
      <c r="J7064" s="24" cm="1">
        <f t="array" ref="J7064">IFERROR(IF($B7064=J$1, ($A7064+$C7064) - MAX(IF($B$2:$B7063=$B7064, $A$2:$A7063+$C$2:$C7063)), "")*24*60, "")</f>
        <v>0</v>
      </c>
      <c r="K7064" s="24" t="str" cm="1">
        <f t="array" ref="K7064">IFERROR(IF($B7064=K$1, ($A7064+$C7064) - MAX(IF($B$2:$B7063=$B7064, $A$2:$A7063+$C$2:$C7063)), "")*24*60, "")</f>
        <v/>
      </c>
      <c r="L7064" s="24" t="str" cm="1">
        <f t="array" ref="L7064">IFERROR(IF($B7064=L$1, ($A7064+$C7064) - MAX(IF($B$2:$B7063=$B7064, $A$2:$A7063+$C$2:$C7063)), "")*24*60, "")</f>
        <v/>
      </c>
      <c r="M7064" s="24" t="str" cm="1">
        <f t="array" ref="M7064">IFERROR(IF($B7064=M$1, ($A7064+$C7064) - MAX(IF($B$2:$B7063=$B7064, $A$2:$A7063+$C$2:$C7063)), "")*24*60, "")</f>
        <v/>
      </c>
      <c r="N7064" s="24" t="str" cm="1">
        <f t="array" ref="N7064">IFERROR(IF($B7064=N$1, ($A7064+$C7064) - MAX(IF($B$2:$B7063=$B7064, $A$2:$A7063+$C$2:$C7063)), "")*24*60, "")</f>
        <v/>
      </c>
      <c r="O7064" s="24" t="str" cm="1">
        <f t="array" ref="O7064">IFERROR(IF($B7064=O$1, ($A7064+$C7064) - MAX(IF($B$2:$B7063=$B7064, $A$2:$A7063+$C$2:$C7063)), "")*24*60, "")</f>
        <v/>
      </c>
      <c r="P7064" s="24" t="str" cm="1">
        <f t="array" ref="P7064">IFERROR(IF($B7064=P$1, ($A7064+$C7064) - MAX(IF($B$2:$B7063=$B7064, $A$2:$A7063+$C$2:$C7063)), "")*24*60, "")</f>
        <v/>
      </c>
      <c r="Q7064" s="24" t="str" cm="1">
        <f t="array" ref="Q7064">IFERROR(IF($B7064=Q$1, ($A7064+$C7064) - MAX(IF($B$2:$B7063=$B7064, $A$2:$A7063+$C$2:$C7063)), "")*24*60, "")</f>
        <v/>
      </c>
      <c r="R7064" s="24" t="str" cm="1">
        <f t="array" ref="R7064">IFERROR(IF($B7064=R$1, ($A7064+$C7064) - MAX(IF($B$2:$B7063=$B7064, $A$2:$A7063+$C$2:$C7063)), "")*24*60, "")</f>
        <v/>
      </c>
      <c r="S7064" s="24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ref="A7065:C7065" si="1400">A7064</f>
        <v>46003</v>
      </c>
      <c r="B7065" s="5" t="str">
        <f t="shared" si="1400"/>
        <v>Tufted Titmouse</v>
      </c>
      <c r="C7065" s="6">
        <f t="shared" si="1400"/>
        <v>0.47430555555555554</v>
      </c>
      <c r="D7065" s="5"/>
      <c r="E7065" s="5"/>
      <c r="F7065" s="5" t="s">
        <v>22</v>
      </c>
      <c r="G7065" s="15" t="s">
        <v>22</v>
      </c>
      <c r="H7065" s="24">
        <f t="shared" si="1399"/>
        <v>0</v>
      </c>
      <c r="I7065" s="24" t="str" cm="1">
        <f t="array" ref="I7065">IFERROR(IF($B7065=I$1, ($A7065+$C7065) - MAX(IF($B$2:$B7064=$B7065, $A$2:$A7064+$C$2:$C7064)), "")*24*60, "")</f>
        <v/>
      </c>
      <c r="J7065" s="24" cm="1">
        <f t="array" ref="J7065">IFERROR(IF($B7065=J$1, ($A7065+$C7065) - MAX(IF($B$2:$B7064=$B7065, $A$2:$A7064+$C$2:$C7064)), "")*24*60, "")</f>
        <v>0</v>
      </c>
      <c r="K7065" s="24" t="str" cm="1">
        <f t="array" ref="K7065">IFERROR(IF($B7065=K$1, ($A7065+$C7065) - MAX(IF($B$2:$B7064=$B7065, $A$2:$A7064+$C$2:$C7064)), "")*24*60, "")</f>
        <v/>
      </c>
      <c r="L7065" s="24" t="str" cm="1">
        <f t="array" ref="L7065">IFERROR(IF($B7065=L$1, ($A7065+$C7065) - MAX(IF($B$2:$B7064=$B7065, $A$2:$A7064+$C$2:$C7064)), "")*24*60, "")</f>
        <v/>
      </c>
      <c r="M7065" s="24" t="str" cm="1">
        <f t="array" ref="M7065">IFERROR(IF($B7065=M$1, ($A7065+$C7065) - MAX(IF($B$2:$B7064=$B7065, $A$2:$A7064+$C$2:$C7064)), "")*24*60, "")</f>
        <v/>
      </c>
      <c r="N7065" s="24" t="str" cm="1">
        <f t="array" ref="N7065">IFERROR(IF($B7065=N$1, ($A7065+$C7065) - MAX(IF($B$2:$B7064=$B7065, $A$2:$A7064+$C$2:$C7064)), "")*24*60, "")</f>
        <v/>
      </c>
      <c r="O7065" s="24" t="str" cm="1">
        <f t="array" ref="O7065">IFERROR(IF($B7065=O$1, ($A7065+$C7065) - MAX(IF($B$2:$B7064=$B7065, $A$2:$A7064+$C$2:$C7064)), "")*24*60, "")</f>
        <v/>
      </c>
      <c r="P7065" s="24" t="str" cm="1">
        <f t="array" ref="P7065">IFERROR(IF($B7065=P$1, ($A7065+$C7065) - MAX(IF($B$2:$B7064=$B7065, $A$2:$A7064+$C$2:$C7064)), "")*24*60, "")</f>
        <v/>
      </c>
      <c r="Q7065" s="24" t="str" cm="1">
        <f t="array" ref="Q7065">IFERROR(IF($B7065=Q$1, ($A7065+$C7065) - MAX(IF($B$2:$B7064=$B7065, $A$2:$A7064+$C$2:$C7064)), "")*24*60, "")</f>
        <v/>
      </c>
      <c r="R7065" s="24" t="str" cm="1">
        <f t="array" ref="R7065">IFERROR(IF($B7065=R$1, ($A7065+$C7065) - MAX(IF($B$2:$B7064=$B7065, $A$2:$A7064+$C$2:$C7064)), "")*24*60, "")</f>
        <v/>
      </c>
      <c r="S7065" s="24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ref="A7066:C7066" si="1401">A7065</f>
        <v>46003</v>
      </c>
      <c r="B7066" s="5" t="str">
        <f t="shared" si="1401"/>
        <v>Tufted Titmouse</v>
      </c>
      <c r="C7066" s="6">
        <f t="shared" si="1401"/>
        <v>0.47430555555555554</v>
      </c>
      <c r="D7066" s="5"/>
      <c r="E7066" s="5"/>
      <c r="F7066" s="5" t="s">
        <v>22</v>
      </c>
      <c r="G7066" s="15" t="s">
        <v>22</v>
      </c>
      <c r="H7066" s="24">
        <f t="shared" si="1399"/>
        <v>0</v>
      </c>
      <c r="I7066" s="24" t="str" cm="1">
        <f t="array" ref="I7066">IFERROR(IF($B7066=I$1, ($A7066+$C7066) - MAX(IF($B$2:$B7065=$B7066, $A$2:$A7065+$C$2:$C7065)), "")*24*60, "")</f>
        <v/>
      </c>
      <c r="J7066" s="24" cm="1">
        <f t="array" ref="J7066">IFERROR(IF($B7066=J$1, ($A7066+$C7066) - MAX(IF($B$2:$B7065=$B7066, $A$2:$A7065+$C$2:$C7065)), "")*24*60, "")</f>
        <v>0</v>
      </c>
      <c r="K7066" s="24" t="str" cm="1">
        <f t="array" ref="K7066">IFERROR(IF($B7066=K$1, ($A7066+$C7066) - MAX(IF($B$2:$B7065=$B7066, $A$2:$A7065+$C$2:$C7065)), "")*24*60, "")</f>
        <v/>
      </c>
      <c r="L7066" s="24" t="str" cm="1">
        <f t="array" ref="L7066">IFERROR(IF($B7066=L$1, ($A7066+$C7066) - MAX(IF($B$2:$B7065=$B7066, $A$2:$A7065+$C$2:$C7065)), "")*24*60, "")</f>
        <v/>
      </c>
      <c r="M7066" s="24" t="str" cm="1">
        <f t="array" ref="M7066">IFERROR(IF($B7066=M$1, ($A7066+$C7066) - MAX(IF($B$2:$B7065=$B7066, $A$2:$A7065+$C$2:$C7065)), "")*24*60, "")</f>
        <v/>
      </c>
      <c r="N7066" s="24" t="str" cm="1">
        <f t="array" ref="N7066">IFERROR(IF($B7066=N$1, ($A7066+$C7066) - MAX(IF($B$2:$B7065=$B7066, $A$2:$A7065+$C$2:$C7065)), "")*24*60, "")</f>
        <v/>
      </c>
      <c r="O7066" s="24" t="str" cm="1">
        <f t="array" ref="O7066">IFERROR(IF($B7066=O$1, ($A7066+$C7066) - MAX(IF($B$2:$B7065=$B7066, $A$2:$A7065+$C$2:$C7065)), "")*24*60, "")</f>
        <v/>
      </c>
      <c r="P7066" s="24" t="str" cm="1">
        <f t="array" ref="P7066">IFERROR(IF($B7066=P$1, ($A7066+$C7066) - MAX(IF($B$2:$B7065=$B7066, $A$2:$A7065+$C$2:$C7065)), "")*24*60, "")</f>
        <v/>
      </c>
      <c r="Q7066" s="24" t="str" cm="1">
        <f t="array" ref="Q7066">IFERROR(IF($B7066=Q$1, ($A7066+$C7066) - MAX(IF($B$2:$B7065=$B7066, $A$2:$A7065+$C$2:$C7065)), "")*24*60, "")</f>
        <v/>
      </c>
      <c r="R7066" s="24" t="str" cm="1">
        <f t="array" ref="R7066">IFERROR(IF($B7066=R$1, ($A7066+$C7066) - MAX(IF($B$2:$B7065=$B7066, $A$2:$A7065+$C$2:$C7065)), "")*24*60, "")</f>
        <v/>
      </c>
      <c r="S7066" s="24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ref="A7067:C7067" si="1402">A7066</f>
        <v>46003</v>
      </c>
      <c r="B7067" s="5" t="str">
        <f t="shared" si="1402"/>
        <v>Tufted Titmouse</v>
      </c>
      <c r="C7067" s="6">
        <f t="shared" si="1402"/>
        <v>0.47430555555555554</v>
      </c>
      <c r="D7067" s="5"/>
      <c r="E7067" s="5"/>
      <c r="F7067" s="5" t="s">
        <v>22</v>
      </c>
      <c r="G7067" s="15" t="s">
        <v>22</v>
      </c>
      <c r="H7067" s="24">
        <f t="shared" si="1399"/>
        <v>0</v>
      </c>
      <c r="I7067" s="24" t="str" cm="1">
        <f t="array" ref="I7067">IFERROR(IF($B7067=I$1, ($A7067+$C7067) - MAX(IF($B$2:$B7066=$B7067, $A$2:$A7066+$C$2:$C7066)), "")*24*60, "")</f>
        <v/>
      </c>
      <c r="J7067" s="24" cm="1">
        <f t="array" ref="J7067">IFERROR(IF($B7067=J$1, ($A7067+$C7067) - MAX(IF($B$2:$B7066=$B7067, $A$2:$A7066+$C$2:$C7066)), "")*24*60, "")</f>
        <v>0</v>
      </c>
      <c r="K7067" s="24" t="str" cm="1">
        <f t="array" ref="K7067">IFERROR(IF($B7067=K$1, ($A7067+$C7067) - MAX(IF($B$2:$B7066=$B7067, $A$2:$A7066+$C$2:$C7066)), "")*24*60, "")</f>
        <v/>
      </c>
      <c r="L7067" s="24" t="str" cm="1">
        <f t="array" ref="L7067">IFERROR(IF($B7067=L$1, ($A7067+$C7067) - MAX(IF($B$2:$B7066=$B7067, $A$2:$A7066+$C$2:$C7066)), "")*24*60, "")</f>
        <v/>
      </c>
      <c r="M7067" s="24" t="str" cm="1">
        <f t="array" ref="M7067">IFERROR(IF($B7067=M$1, ($A7067+$C7067) - MAX(IF($B$2:$B7066=$B7067, $A$2:$A7066+$C$2:$C7066)), "")*24*60, "")</f>
        <v/>
      </c>
      <c r="N7067" s="24" t="str" cm="1">
        <f t="array" ref="N7067">IFERROR(IF($B7067=N$1, ($A7067+$C7067) - MAX(IF($B$2:$B7066=$B7067, $A$2:$A7066+$C$2:$C7066)), "")*24*60, "")</f>
        <v/>
      </c>
      <c r="O7067" s="24" t="str" cm="1">
        <f t="array" ref="O7067">IFERROR(IF($B7067=O$1, ($A7067+$C7067) - MAX(IF($B$2:$B7066=$B7067, $A$2:$A7066+$C$2:$C7066)), "")*24*60, "")</f>
        <v/>
      </c>
      <c r="P7067" s="24" t="str" cm="1">
        <f t="array" ref="P7067">IFERROR(IF($B7067=P$1, ($A7067+$C7067) - MAX(IF($B$2:$B7066=$B7067, $A$2:$A7066+$C$2:$C7066)), "")*24*60, "")</f>
        <v/>
      </c>
      <c r="Q7067" s="24" t="str" cm="1">
        <f t="array" ref="Q7067">IFERROR(IF($B7067=Q$1, ($A7067+$C7067) - MAX(IF($B$2:$B7066=$B7067, $A$2:$A7066+$C$2:$C7066)), "")*24*60, "")</f>
        <v/>
      </c>
      <c r="R7067" s="24" t="str" cm="1">
        <f t="array" ref="R7067">IFERROR(IF($B7067=R$1, ($A7067+$C7067) - MAX(IF($B$2:$B7066=$B7067, $A$2:$A7066+$C$2:$C7066)), "")*24*60, "")</f>
        <v/>
      </c>
      <c r="S7067" s="24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ref="A7068:C7068" si="1403">A7067</f>
        <v>46003</v>
      </c>
      <c r="B7068" s="5" t="str">
        <f t="shared" si="1403"/>
        <v>Tufted Titmouse</v>
      </c>
      <c r="C7068" s="6">
        <f t="shared" si="1403"/>
        <v>0.47430555555555554</v>
      </c>
      <c r="D7068" s="5"/>
      <c r="E7068" s="5"/>
      <c r="F7068" s="5" t="s">
        <v>22</v>
      </c>
      <c r="G7068" s="15" t="s">
        <v>22</v>
      </c>
      <c r="H7068" s="24">
        <f t="shared" si="1399"/>
        <v>0</v>
      </c>
      <c r="I7068" s="24" t="str" cm="1">
        <f t="array" ref="I7068">IFERROR(IF($B7068=I$1, ($A7068+$C7068) - MAX(IF($B$2:$B7067=$B7068, $A$2:$A7067+$C$2:$C7067)), "")*24*60, "")</f>
        <v/>
      </c>
      <c r="J7068" s="24" cm="1">
        <f t="array" ref="J7068">IFERROR(IF($B7068=J$1, ($A7068+$C7068) - MAX(IF($B$2:$B7067=$B7068, $A$2:$A7067+$C$2:$C7067)), "")*24*60, "")</f>
        <v>0</v>
      </c>
      <c r="K7068" s="24" t="str" cm="1">
        <f t="array" ref="K7068">IFERROR(IF($B7068=K$1, ($A7068+$C7068) - MAX(IF($B$2:$B7067=$B7068, $A$2:$A7067+$C$2:$C7067)), "")*24*60, "")</f>
        <v/>
      </c>
      <c r="L7068" s="24" t="str" cm="1">
        <f t="array" ref="L7068">IFERROR(IF($B7068=L$1, ($A7068+$C7068) - MAX(IF($B$2:$B7067=$B7068, $A$2:$A7067+$C$2:$C7067)), "")*24*60, "")</f>
        <v/>
      </c>
      <c r="M7068" s="24" t="str" cm="1">
        <f t="array" ref="M7068">IFERROR(IF($B7068=M$1, ($A7068+$C7068) - MAX(IF($B$2:$B7067=$B7068, $A$2:$A7067+$C$2:$C7067)), "")*24*60, "")</f>
        <v/>
      </c>
      <c r="N7068" s="24" t="str" cm="1">
        <f t="array" ref="N7068">IFERROR(IF($B7068=N$1, ($A7068+$C7068) - MAX(IF($B$2:$B7067=$B7068, $A$2:$A7067+$C$2:$C7067)), "")*24*60, "")</f>
        <v/>
      </c>
      <c r="O7068" s="24" t="str" cm="1">
        <f t="array" ref="O7068">IFERROR(IF($B7068=O$1, ($A7068+$C7068) - MAX(IF($B$2:$B7067=$B7068, $A$2:$A7067+$C$2:$C7067)), "")*24*60, "")</f>
        <v/>
      </c>
      <c r="P7068" s="24" t="str" cm="1">
        <f t="array" ref="P7068">IFERROR(IF($B7068=P$1, ($A7068+$C7068) - MAX(IF($B$2:$B7067=$B7068, $A$2:$A7067+$C$2:$C7067)), "")*24*60, "")</f>
        <v/>
      </c>
      <c r="Q7068" s="24" t="str" cm="1">
        <f t="array" ref="Q7068">IFERROR(IF($B7068=Q$1, ($A7068+$C7068) - MAX(IF($B$2:$B7067=$B7068, $A$2:$A7067+$C$2:$C7067)), "")*24*60, "")</f>
        <v/>
      </c>
      <c r="R7068" s="24" t="str" cm="1">
        <f t="array" ref="R7068">IFERROR(IF($B7068=R$1, ($A7068+$C7068) - MAX(IF($B$2:$B7067=$B7068, $A$2:$A7067+$C$2:$C7067)), "")*24*60, "")</f>
        <v/>
      </c>
      <c r="S7068" s="24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ref="A7069:C7069" si="1404">A7068</f>
        <v>46003</v>
      </c>
      <c r="B7069" s="5" t="str">
        <f t="shared" si="1404"/>
        <v>Tufted Titmouse</v>
      </c>
      <c r="C7069" s="6">
        <f t="shared" si="1404"/>
        <v>0.47430555555555554</v>
      </c>
      <c r="D7069" s="5"/>
      <c r="E7069" s="5"/>
      <c r="F7069" s="5" t="s">
        <v>22</v>
      </c>
      <c r="G7069" s="15" t="s">
        <v>22</v>
      </c>
      <c r="H7069" s="24">
        <f t="shared" si="1399"/>
        <v>0</v>
      </c>
      <c r="I7069" s="24" t="str" cm="1">
        <f t="array" ref="I7069">IFERROR(IF($B7069=I$1, ($A7069+$C7069) - MAX(IF($B$2:$B7068=$B7069, $A$2:$A7068+$C$2:$C7068)), "")*24*60, "")</f>
        <v/>
      </c>
      <c r="J7069" s="24" cm="1">
        <f t="array" ref="J7069">IFERROR(IF($B7069=J$1, ($A7069+$C7069) - MAX(IF($B$2:$B7068=$B7069, $A$2:$A7068+$C$2:$C7068)), "")*24*60, "")</f>
        <v>0</v>
      </c>
      <c r="K7069" s="24" t="str" cm="1">
        <f t="array" ref="K7069">IFERROR(IF($B7069=K$1, ($A7069+$C7069) - MAX(IF($B$2:$B7068=$B7069, $A$2:$A7068+$C$2:$C7068)), "")*24*60, "")</f>
        <v/>
      </c>
      <c r="L7069" s="24" t="str" cm="1">
        <f t="array" ref="L7069">IFERROR(IF($B7069=L$1, ($A7069+$C7069) - MAX(IF($B$2:$B7068=$B7069, $A$2:$A7068+$C$2:$C7068)), "")*24*60, "")</f>
        <v/>
      </c>
      <c r="M7069" s="24" t="str" cm="1">
        <f t="array" ref="M7069">IFERROR(IF($B7069=M$1, ($A7069+$C7069) - MAX(IF($B$2:$B7068=$B7069, $A$2:$A7068+$C$2:$C7068)), "")*24*60, "")</f>
        <v/>
      </c>
      <c r="N7069" s="24" t="str" cm="1">
        <f t="array" ref="N7069">IFERROR(IF($B7069=N$1, ($A7069+$C7069) - MAX(IF($B$2:$B7068=$B7069, $A$2:$A7068+$C$2:$C7068)), "")*24*60, "")</f>
        <v/>
      </c>
      <c r="O7069" s="24" t="str" cm="1">
        <f t="array" ref="O7069">IFERROR(IF($B7069=O$1, ($A7069+$C7069) - MAX(IF($B$2:$B7068=$B7069, $A$2:$A7068+$C$2:$C7068)), "")*24*60, "")</f>
        <v/>
      </c>
      <c r="P7069" s="24" t="str" cm="1">
        <f t="array" ref="P7069">IFERROR(IF($B7069=P$1, ($A7069+$C7069) - MAX(IF($B$2:$B7068=$B7069, $A$2:$A7068+$C$2:$C7068)), "")*24*60, "")</f>
        <v/>
      </c>
      <c r="Q7069" s="24" t="str" cm="1">
        <f t="array" ref="Q7069">IFERROR(IF($B7069=Q$1, ($A7069+$C7069) - MAX(IF($B$2:$B7068=$B7069, $A$2:$A7068+$C$2:$C7068)), "")*24*60, "")</f>
        <v/>
      </c>
      <c r="R7069" s="24" t="str" cm="1">
        <f t="array" ref="R7069">IFERROR(IF($B7069=R$1, ($A7069+$C7069) - MAX(IF($B$2:$B7068=$B7069, $A$2:$A7068+$C$2:$C7068)), "")*24*60, "")</f>
        <v/>
      </c>
      <c r="S7069" s="24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ref="A7070:C7070" si="1405">A7069</f>
        <v>46003</v>
      </c>
      <c r="B7070" s="5" t="str">
        <f t="shared" si="1405"/>
        <v>Tufted Titmouse</v>
      </c>
      <c r="C7070" s="6">
        <f t="shared" si="1405"/>
        <v>0.47430555555555554</v>
      </c>
      <c r="D7070" s="5"/>
      <c r="E7070" s="5"/>
      <c r="F7070" s="5" t="s">
        <v>22</v>
      </c>
      <c r="G7070" s="15" t="s">
        <v>22</v>
      </c>
      <c r="H7070" s="24">
        <f t="shared" si="1399"/>
        <v>0</v>
      </c>
      <c r="I7070" s="24" t="str" cm="1">
        <f t="array" ref="I7070">IFERROR(IF($B7070=I$1, ($A7070+$C7070) - MAX(IF($B$2:$B7069=$B7070, $A$2:$A7069+$C$2:$C7069)), "")*24*60, "")</f>
        <v/>
      </c>
      <c r="J7070" s="24" cm="1">
        <f t="array" ref="J7070">IFERROR(IF($B7070=J$1, ($A7070+$C7070) - MAX(IF($B$2:$B7069=$B7070, $A$2:$A7069+$C$2:$C7069)), "")*24*60, "")</f>
        <v>0</v>
      </c>
      <c r="K7070" s="24" t="str" cm="1">
        <f t="array" ref="K7070">IFERROR(IF($B7070=K$1, ($A7070+$C7070) - MAX(IF($B$2:$B7069=$B7070, $A$2:$A7069+$C$2:$C7069)), "")*24*60, "")</f>
        <v/>
      </c>
      <c r="L7070" s="24" t="str" cm="1">
        <f t="array" ref="L7070">IFERROR(IF($B7070=L$1, ($A7070+$C7070) - MAX(IF($B$2:$B7069=$B7070, $A$2:$A7069+$C$2:$C7069)), "")*24*60, "")</f>
        <v/>
      </c>
      <c r="M7070" s="24" t="str" cm="1">
        <f t="array" ref="M7070">IFERROR(IF($B7070=M$1, ($A7070+$C7070) - MAX(IF($B$2:$B7069=$B7070, $A$2:$A7069+$C$2:$C7069)), "")*24*60, "")</f>
        <v/>
      </c>
      <c r="N7070" s="24" t="str" cm="1">
        <f t="array" ref="N7070">IFERROR(IF($B7070=N$1, ($A7070+$C7070) - MAX(IF($B$2:$B7069=$B7070, $A$2:$A7069+$C$2:$C7069)), "")*24*60, "")</f>
        <v/>
      </c>
      <c r="O7070" s="24" t="str" cm="1">
        <f t="array" ref="O7070">IFERROR(IF($B7070=O$1, ($A7070+$C7070) - MAX(IF($B$2:$B7069=$B7070, $A$2:$A7069+$C$2:$C7069)), "")*24*60, "")</f>
        <v/>
      </c>
      <c r="P7070" s="24" t="str" cm="1">
        <f t="array" ref="P7070">IFERROR(IF($B7070=P$1, ($A7070+$C7070) - MAX(IF($B$2:$B7069=$B7070, $A$2:$A7069+$C$2:$C7069)), "")*24*60, "")</f>
        <v/>
      </c>
      <c r="Q7070" s="24" t="str" cm="1">
        <f t="array" ref="Q7070">IFERROR(IF($B7070=Q$1, ($A7070+$C7070) - MAX(IF($B$2:$B7069=$B7070, $A$2:$A7069+$C$2:$C7069)), "")*24*60, "")</f>
        <v/>
      </c>
      <c r="R7070" s="24" t="str" cm="1">
        <f t="array" ref="R7070">IFERROR(IF($B7070=R$1, ($A7070+$C7070) - MAX(IF($B$2:$B7069=$B7070, $A$2:$A7069+$C$2:$C7069)), "")*24*60, "")</f>
        <v/>
      </c>
      <c r="S7070" s="24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ref="A7071:C7071" si="1406">A7070</f>
        <v>46003</v>
      </c>
      <c r="B7071" s="5" t="str">
        <f t="shared" si="1406"/>
        <v>Tufted Titmouse</v>
      </c>
      <c r="C7071" s="6">
        <f t="shared" si="1406"/>
        <v>0.47430555555555554</v>
      </c>
      <c r="D7071" s="5"/>
      <c r="E7071" s="5"/>
      <c r="F7071" s="5" t="s">
        <v>22</v>
      </c>
      <c r="G7071" s="15" t="s">
        <v>22</v>
      </c>
      <c r="H7071" s="24">
        <f t="shared" si="1399"/>
        <v>0</v>
      </c>
      <c r="I7071" s="24" t="str" cm="1">
        <f t="array" ref="I7071">IFERROR(IF($B7071=I$1, ($A7071+$C7071) - MAX(IF($B$2:$B7070=$B7071, $A$2:$A7070+$C$2:$C7070)), "")*24*60, "")</f>
        <v/>
      </c>
      <c r="J7071" s="24" cm="1">
        <f t="array" ref="J7071">IFERROR(IF($B7071=J$1, ($A7071+$C7071) - MAX(IF($B$2:$B7070=$B7071, $A$2:$A7070+$C$2:$C7070)), "")*24*60, "")</f>
        <v>0</v>
      </c>
      <c r="K7071" s="24" t="str" cm="1">
        <f t="array" ref="K7071">IFERROR(IF($B7071=K$1, ($A7071+$C7071) - MAX(IF($B$2:$B7070=$B7071, $A$2:$A7070+$C$2:$C7070)), "")*24*60, "")</f>
        <v/>
      </c>
      <c r="L7071" s="24" t="str" cm="1">
        <f t="array" ref="L7071">IFERROR(IF($B7071=L$1, ($A7071+$C7071) - MAX(IF($B$2:$B7070=$B7071, $A$2:$A7070+$C$2:$C7070)), "")*24*60, "")</f>
        <v/>
      </c>
      <c r="M7071" s="24" t="str" cm="1">
        <f t="array" ref="M7071">IFERROR(IF($B7071=M$1, ($A7071+$C7071) - MAX(IF($B$2:$B7070=$B7071, $A$2:$A7070+$C$2:$C7070)), "")*24*60, "")</f>
        <v/>
      </c>
      <c r="N7071" s="24" t="str" cm="1">
        <f t="array" ref="N7071">IFERROR(IF($B7071=N$1, ($A7071+$C7071) - MAX(IF($B$2:$B7070=$B7071, $A$2:$A7070+$C$2:$C7070)), "")*24*60, "")</f>
        <v/>
      </c>
      <c r="O7071" s="24" t="str" cm="1">
        <f t="array" ref="O7071">IFERROR(IF($B7071=O$1, ($A7071+$C7071) - MAX(IF($B$2:$B7070=$B7071, $A$2:$A7070+$C$2:$C7070)), "")*24*60, "")</f>
        <v/>
      </c>
      <c r="P7071" s="24" t="str" cm="1">
        <f t="array" ref="P7071">IFERROR(IF($B7071=P$1, ($A7071+$C7071) - MAX(IF($B$2:$B7070=$B7071, $A$2:$A7070+$C$2:$C7070)), "")*24*60, "")</f>
        <v/>
      </c>
      <c r="Q7071" s="24" t="str" cm="1">
        <f t="array" ref="Q7071">IFERROR(IF($B7071=Q$1, ($A7071+$C7071) - MAX(IF($B$2:$B7070=$B7071, $A$2:$A7070+$C$2:$C7070)), "")*24*60, "")</f>
        <v/>
      </c>
      <c r="R7071" s="24" t="str" cm="1">
        <f t="array" ref="R7071">IFERROR(IF($B7071=R$1, ($A7071+$C7071) - MAX(IF($B$2:$B7070=$B7071, $A$2:$A7070+$C$2:$C7070)), "")*24*60, "")</f>
        <v/>
      </c>
      <c r="S7071" s="24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ref="A7072:C7072" si="1407">A7071</f>
        <v>46003</v>
      </c>
      <c r="B7072" s="5" t="str">
        <f t="shared" si="1407"/>
        <v>Tufted Titmouse</v>
      </c>
      <c r="C7072" s="6">
        <f t="shared" si="1407"/>
        <v>0.47430555555555554</v>
      </c>
      <c r="D7072" s="5"/>
      <c r="E7072" s="5"/>
      <c r="F7072" s="5" t="s">
        <v>22</v>
      </c>
      <c r="G7072" s="15" t="s">
        <v>22</v>
      </c>
      <c r="H7072" s="24">
        <f t="shared" si="1399"/>
        <v>0</v>
      </c>
      <c r="I7072" s="24" t="str" cm="1">
        <f t="array" ref="I7072">IFERROR(IF($B7072=I$1, ($A7072+$C7072) - MAX(IF($B$2:$B7071=$B7072, $A$2:$A7071+$C$2:$C7071)), "")*24*60, "")</f>
        <v/>
      </c>
      <c r="J7072" s="24" cm="1">
        <f t="array" ref="J7072">IFERROR(IF($B7072=J$1, ($A7072+$C7072) - MAX(IF($B$2:$B7071=$B7072, $A$2:$A7071+$C$2:$C7071)), "")*24*60, "")</f>
        <v>0</v>
      </c>
      <c r="K7072" s="24" t="str" cm="1">
        <f t="array" ref="K7072">IFERROR(IF($B7072=K$1, ($A7072+$C7072) - MAX(IF($B$2:$B7071=$B7072, $A$2:$A7071+$C$2:$C7071)), "")*24*60, "")</f>
        <v/>
      </c>
      <c r="L7072" s="24" t="str" cm="1">
        <f t="array" ref="L7072">IFERROR(IF($B7072=L$1, ($A7072+$C7072) - MAX(IF($B$2:$B7071=$B7072, $A$2:$A7071+$C$2:$C7071)), "")*24*60, "")</f>
        <v/>
      </c>
      <c r="M7072" s="24" t="str" cm="1">
        <f t="array" ref="M7072">IFERROR(IF($B7072=M$1, ($A7072+$C7072) - MAX(IF($B$2:$B7071=$B7072, $A$2:$A7071+$C$2:$C7071)), "")*24*60, "")</f>
        <v/>
      </c>
      <c r="N7072" s="24" t="str" cm="1">
        <f t="array" ref="N7072">IFERROR(IF($B7072=N$1, ($A7072+$C7072) - MAX(IF($B$2:$B7071=$B7072, $A$2:$A7071+$C$2:$C7071)), "")*24*60, "")</f>
        <v/>
      </c>
      <c r="O7072" s="24" t="str" cm="1">
        <f t="array" ref="O7072">IFERROR(IF($B7072=O$1, ($A7072+$C7072) - MAX(IF($B$2:$B7071=$B7072, $A$2:$A7071+$C$2:$C7071)), "")*24*60, "")</f>
        <v/>
      </c>
      <c r="P7072" s="24" t="str" cm="1">
        <f t="array" ref="P7072">IFERROR(IF($B7072=P$1, ($A7072+$C7072) - MAX(IF($B$2:$B7071=$B7072, $A$2:$A7071+$C$2:$C7071)), "")*24*60, "")</f>
        <v/>
      </c>
      <c r="Q7072" s="24" t="str" cm="1">
        <f t="array" ref="Q7072">IFERROR(IF($B7072=Q$1, ($A7072+$C7072) - MAX(IF($B$2:$B7071=$B7072, $A$2:$A7071+$C$2:$C7071)), "")*24*60, "")</f>
        <v/>
      </c>
      <c r="R7072" s="24" t="str" cm="1">
        <f t="array" ref="R7072">IFERROR(IF($B7072=R$1, ($A7072+$C7072) - MAX(IF($B$2:$B7071=$B7072, $A$2:$A7071+$C$2:$C7071)), "")*24*60, "")</f>
        <v/>
      </c>
      <c r="S7072" s="24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ref="A7073:C7073" si="1408">A7072</f>
        <v>46003</v>
      </c>
      <c r="B7073" s="5" t="str">
        <f t="shared" si="1408"/>
        <v>Tufted Titmouse</v>
      </c>
      <c r="C7073" s="6">
        <f t="shared" si="1408"/>
        <v>0.47430555555555554</v>
      </c>
      <c r="D7073" s="5"/>
      <c r="E7073" s="5"/>
      <c r="F7073" s="5" t="s">
        <v>22</v>
      </c>
      <c r="G7073" s="15" t="s">
        <v>22</v>
      </c>
      <c r="H7073" s="24">
        <f t="shared" si="1399"/>
        <v>0</v>
      </c>
      <c r="I7073" s="24" t="str" cm="1">
        <f t="array" ref="I7073">IFERROR(IF($B7073=I$1, ($A7073+$C7073) - MAX(IF($B$2:$B7072=$B7073, $A$2:$A7072+$C$2:$C7072)), "")*24*60, "")</f>
        <v/>
      </c>
      <c r="J7073" s="24" cm="1">
        <f t="array" ref="J7073">IFERROR(IF($B7073=J$1, ($A7073+$C7073) - MAX(IF($B$2:$B7072=$B7073, $A$2:$A7072+$C$2:$C7072)), "")*24*60, "")</f>
        <v>0</v>
      </c>
      <c r="K7073" s="24" t="str" cm="1">
        <f t="array" ref="K7073">IFERROR(IF($B7073=K$1, ($A7073+$C7073) - MAX(IF($B$2:$B7072=$B7073, $A$2:$A7072+$C$2:$C7072)), "")*24*60, "")</f>
        <v/>
      </c>
      <c r="L7073" s="24" t="str" cm="1">
        <f t="array" ref="L7073">IFERROR(IF($B7073=L$1, ($A7073+$C7073) - MAX(IF($B$2:$B7072=$B7073, $A$2:$A7072+$C$2:$C7072)), "")*24*60, "")</f>
        <v/>
      </c>
      <c r="M7073" s="24" t="str" cm="1">
        <f t="array" ref="M7073">IFERROR(IF($B7073=M$1, ($A7073+$C7073) - MAX(IF($B$2:$B7072=$B7073, $A$2:$A7072+$C$2:$C7072)), "")*24*60, "")</f>
        <v/>
      </c>
      <c r="N7073" s="24" t="str" cm="1">
        <f t="array" ref="N7073">IFERROR(IF($B7073=N$1, ($A7073+$C7073) - MAX(IF($B$2:$B7072=$B7073, $A$2:$A7072+$C$2:$C7072)), "")*24*60, "")</f>
        <v/>
      </c>
      <c r="O7073" s="24" t="str" cm="1">
        <f t="array" ref="O7073">IFERROR(IF($B7073=O$1, ($A7073+$C7073) - MAX(IF($B$2:$B7072=$B7073, $A$2:$A7072+$C$2:$C7072)), "")*24*60, "")</f>
        <v/>
      </c>
      <c r="P7073" s="24" t="str" cm="1">
        <f t="array" ref="P7073">IFERROR(IF($B7073=P$1, ($A7073+$C7073) - MAX(IF($B$2:$B7072=$B7073, $A$2:$A7072+$C$2:$C7072)), "")*24*60, "")</f>
        <v/>
      </c>
      <c r="Q7073" s="24" t="str" cm="1">
        <f t="array" ref="Q7073">IFERROR(IF($B7073=Q$1, ($A7073+$C7073) - MAX(IF($B$2:$B7072=$B7073, $A$2:$A7072+$C$2:$C7072)), "")*24*60, "")</f>
        <v/>
      </c>
      <c r="R7073" s="24" t="str" cm="1">
        <f t="array" ref="R7073">IFERROR(IF($B7073=R$1, ($A7073+$C7073) - MAX(IF($B$2:$B7072=$B7073, $A$2:$A7072+$C$2:$C7072)), "")*24*60, "")</f>
        <v/>
      </c>
      <c r="S7073" s="24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ref="A7074:C7074" si="1409">A7073</f>
        <v>46003</v>
      </c>
      <c r="B7074" s="5" t="str">
        <f t="shared" si="1409"/>
        <v>Tufted Titmouse</v>
      </c>
      <c r="C7074" s="6">
        <f t="shared" si="1409"/>
        <v>0.47430555555555554</v>
      </c>
      <c r="D7074" s="5"/>
      <c r="E7074" s="5"/>
      <c r="F7074" s="5" t="s">
        <v>22</v>
      </c>
      <c r="G7074" s="15" t="s">
        <v>22</v>
      </c>
      <c r="H7074" s="24">
        <f t="shared" si="1399"/>
        <v>0</v>
      </c>
      <c r="I7074" s="24" t="str" cm="1">
        <f t="array" ref="I7074">IFERROR(IF($B7074=I$1, ($A7074+$C7074) - MAX(IF($B$2:$B7073=$B7074, $A$2:$A7073+$C$2:$C7073)), "")*24*60, "")</f>
        <v/>
      </c>
      <c r="J7074" s="24" cm="1">
        <f t="array" ref="J7074">IFERROR(IF($B7074=J$1, ($A7074+$C7074) - MAX(IF($B$2:$B7073=$B7074, $A$2:$A7073+$C$2:$C7073)), "")*24*60, "")</f>
        <v>0</v>
      </c>
      <c r="K7074" s="24" t="str" cm="1">
        <f t="array" ref="K7074">IFERROR(IF($B7074=K$1, ($A7074+$C7074) - MAX(IF($B$2:$B7073=$B7074, $A$2:$A7073+$C$2:$C7073)), "")*24*60, "")</f>
        <v/>
      </c>
      <c r="L7074" s="24" t="str" cm="1">
        <f t="array" ref="L7074">IFERROR(IF($B7074=L$1, ($A7074+$C7074) - MAX(IF($B$2:$B7073=$B7074, $A$2:$A7073+$C$2:$C7073)), "")*24*60, "")</f>
        <v/>
      </c>
      <c r="M7074" s="24" t="str" cm="1">
        <f t="array" ref="M7074">IFERROR(IF($B7074=M$1, ($A7074+$C7074) - MAX(IF($B$2:$B7073=$B7074, $A$2:$A7073+$C$2:$C7073)), "")*24*60, "")</f>
        <v/>
      </c>
      <c r="N7074" s="24" t="str" cm="1">
        <f t="array" ref="N7074">IFERROR(IF($B7074=N$1, ($A7074+$C7074) - MAX(IF($B$2:$B7073=$B7074, $A$2:$A7073+$C$2:$C7073)), "")*24*60, "")</f>
        <v/>
      </c>
      <c r="O7074" s="24" t="str" cm="1">
        <f t="array" ref="O7074">IFERROR(IF($B7074=O$1, ($A7074+$C7074) - MAX(IF($B$2:$B7073=$B7074, $A$2:$A7073+$C$2:$C7073)), "")*24*60, "")</f>
        <v/>
      </c>
      <c r="P7074" s="24" t="str" cm="1">
        <f t="array" ref="P7074">IFERROR(IF($B7074=P$1, ($A7074+$C7074) - MAX(IF($B$2:$B7073=$B7074, $A$2:$A7073+$C$2:$C7073)), "")*24*60, "")</f>
        <v/>
      </c>
      <c r="Q7074" s="24" t="str" cm="1">
        <f t="array" ref="Q7074">IFERROR(IF($B7074=Q$1, ($A7074+$C7074) - MAX(IF($B$2:$B7073=$B7074, $A$2:$A7073+$C$2:$C7073)), "")*24*60, "")</f>
        <v/>
      </c>
      <c r="R7074" s="24" t="str" cm="1">
        <f t="array" ref="R7074">IFERROR(IF($B7074=R$1, ($A7074+$C7074) - MAX(IF($B$2:$B7073=$B7074, $A$2:$A7073+$C$2:$C7073)), "")*24*60, "")</f>
        <v/>
      </c>
      <c r="S7074" s="24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ref="A7075:C7075" si="1410">A7074</f>
        <v>46003</v>
      </c>
      <c r="B7075" s="5" t="str">
        <f t="shared" si="1410"/>
        <v>Tufted Titmouse</v>
      </c>
      <c r="C7075" s="6">
        <f t="shared" si="1410"/>
        <v>0.47430555555555554</v>
      </c>
      <c r="D7075" s="5"/>
      <c r="E7075" s="5"/>
      <c r="F7075" s="5" t="s">
        <v>22</v>
      </c>
      <c r="G7075" s="15" t="s">
        <v>22</v>
      </c>
      <c r="H7075" s="24">
        <f t="shared" si="1399"/>
        <v>0</v>
      </c>
      <c r="I7075" s="24" t="str" cm="1">
        <f t="array" ref="I7075">IFERROR(IF($B7075=I$1, ($A7075+$C7075) - MAX(IF($B$2:$B7074=$B7075, $A$2:$A7074+$C$2:$C7074)), "")*24*60, "")</f>
        <v/>
      </c>
      <c r="J7075" s="24" cm="1">
        <f t="array" ref="J7075">IFERROR(IF($B7075=J$1, ($A7075+$C7075) - MAX(IF($B$2:$B7074=$B7075, $A$2:$A7074+$C$2:$C7074)), "")*24*60, "")</f>
        <v>0</v>
      </c>
      <c r="K7075" s="24" t="str" cm="1">
        <f t="array" ref="K7075">IFERROR(IF($B7075=K$1, ($A7075+$C7075) - MAX(IF($B$2:$B7074=$B7075, $A$2:$A7074+$C$2:$C7074)), "")*24*60, "")</f>
        <v/>
      </c>
      <c r="L7075" s="24" t="str" cm="1">
        <f t="array" ref="L7075">IFERROR(IF($B7075=L$1, ($A7075+$C7075) - MAX(IF($B$2:$B7074=$B7075, $A$2:$A7074+$C$2:$C7074)), "")*24*60, "")</f>
        <v/>
      </c>
      <c r="M7075" s="24" t="str" cm="1">
        <f t="array" ref="M7075">IFERROR(IF($B7075=M$1, ($A7075+$C7075) - MAX(IF($B$2:$B7074=$B7075, $A$2:$A7074+$C$2:$C7074)), "")*24*60, "")</f>
        <v/>
      </c>
      <c r="N7075" s="24" t="str" cm="1">
        <f t="array" ref="N7075">IFERROR(IF($B7075=N$1, ($A7075+$C7075) - MAX(IF($B$2:$B7074=$B7075, $A$2:$A7074+$C$2:$C7074)), "")*24*60, "")</f>
        <v/>
      </c>
      <c r="O7075" s="24" t="str" cm="1">
        <f t="array" ref="O7075">IFERROR(IF($B7075=O$1, ($A7075+$C7075) - MAX(IF($B$2:$B7074=$B7075, $A$2:$A7074+$C$2:$C7074)), "")*24*60, "")</f>
        <v/>
      </c>
      <c r="P7075" s="24" t="str" cm="1">
        <f t="array" ref="P7075">IFERROR(IF($B7075=P$1, ($A7075+$C7075) - MAX(IF($B$2:$B7074=$B7075, $A$2:$A7074+$C$2:$C7074)), "")*24*60, "")</f>
        <v/>
      </c>
      <c r="Q7075" s="24" t="str" cm="1">
        <f t="array" ref="Q7075">IFERROR(IF($B7075=Q$1, ($A7075+$C7075) - MAX(IF($B$2:$B7074=$B7075, $A$2:$A7074+$C$2:$C7074)), "")*24*60, "")</f>
        <v/>
      </c>
      <c r="R7075" s="24" t="str" cm="1">
        <f t="array" ref="R7075">IFERROR(IF($B7075=R$1, ($A7075+$C7075) - MAX(IF($B$2:$B7074=$B7075, $A$2:$A7074+$C$2:$C7074)), "")*24*60, "")</f>
        <v/>
      </c>
      <c r="S7075" s="24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ref="A7076:C7076" si="1411">A7075</f>
        <v>46003</v>
      </c>
      <c r="B7076" s="5" t="str">
        <f t="shared" si="1411"/>
        <v>Tufted Titmouse</v>
      </c>
      <c r="C7076" s="6">
        <f t="shared" si="1411"/>
        <v>0.47430555555555554</v>
      </c>
      <c r="D7076" s="5"/>
      <c r="E7076" s="5"/>
      <c r="F7076" s="5" t="s">
        <v>22</v>
      </c>
      <c r="G7076" s="15" t="s">
        <v>22</v>
      </c>
      <c r="H7076" s="24">
        <f t="shared" si="1399"/>
        <v>0</v>
      </c>
      <c r="I7076" s="24" t="str" cm="1">
        <f t="array" ref="I7076">IFERROR(IF($B7076=I$1, ($A7076+$C7076) - MAX(IF($B$2:$B7075=$B7076, $A$2:$A7075+$C$2:$C7075)), "")*24*60, "")</f>
        <v/>
      </c>
      <c r="J7076" s="24" cm="1">
        <f t="array" ref="J7076">IFERROR(IF($B7076=J$1, ($A7076+$C7076) - MAX(IF($B$2:$B7075=$B7076, $A$2:$A7075+$C$2:$C7075)), "")*24*60, "")</f>
        <v>0</v>
      </c>
      <c r="K7076" s="24" t="str" cm="1">
        <f t="array" ref="K7076">IFERROR(IF($B7076=K$1, ($A7076+$C7076) - MAX(IF($B$2:$B7075=$B7076, $A$2:$A7075+$C$2:$C7075)), "")*24*60, "")</f>
        <v/>
      </c>
      <c r="L7076" s="24" t="str" cm="1">
        <f t="array" ref="L7076">IFERROR(IF($B7076=L$1, ($A7076+$C7076) - MAX(IF($B$2:$B7075=$B7076, $A$2:$A7075+$C$2:$C7075)), "")*24*60, "")</f>
        <v/>
      </c>
      <c r="M7076" s="24" t="str" cm="1">
        <f t="array" ref="M7076">IFERROR(IF($B7076=M$1, ($A7076+$C7076) - MAX(IF($B$2:$B7075=$B7076, $A$2:$A7075+$C$2:$C7075)), "")*24*60, "")</f>
        <v/>
      </c>
      <c r="N7076" s="24" t="str" cm="1">
        <f t="array" ref="N7076">IFERROR(IF($B7076=N$1, ($A7076+$C7076) - MAX(IF($B$2:$B7075=$B7076, $A$2:$A7075+$C$2:$C7075)), "")*24*60, "")</f>
        <v/>
      </c>
      <c r="O7076" s="24" t="str" cm="1">
        <f t="array" ref="O7076">IFERROR(IF($B7076=O$1, ($A7076+$C7076) - MAX(IF($B$2:$B7075=$B7076, $A$2:$A7075+$C$2:$C7075)), "")*24*60, "")</f>
        <v/>
      </c>
      <c r="P7076" s="24" t="str" cm="1">
        <f t="array" ref="P7076">IFERROR(IF($B7076=P$1, ($A7076+$C7076) - MAX(IF($B$2:$B7075=$B7076, $A$2:$A7075+$C$2:$C7075)), "")*24*60, "")</f>
        <v/>
      </c>
      <c r="Q7076" s="24" t="str" cm="1">
        <f t="array" ref="Q7076">IFERROR(IF($B7076=Q$1, ($A7076+$C7076) - MAX(IF($B$2:$B7075=$B7076, $A$2:$A7075+$C$2:$C7075)), "")*24*60, "")</f>
        <v/>
      </c>
      <c r="R7076" s="24" t="str" cm="1">
        <f t="array" ref="R7076">IFERROR(IF($B7076=R$1, ($A7076+$C7076) - MAX(IF($B$2:$B7075=$B7076, $A$2:$A7075+$C$2:$C7075)), "")*24*60, "")</f>
        <v/>
      </c>
      <c r="S7076" s="24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ref="A7077:C7077" si="1412">A7076</f>
        <v>46003</v>
      </c>
      <c r="B7077" s="5" t="str">
        <f t="shared" si="1412"/>
        <v>Tufted Titmouse</v>
      </c>
      <c r="C7077" s="6">
        <f t="shared" si="1412"/>
        <v>0.47430555555555554</v>
      </c>
      <c r="D7077" s="5"/>
      <c r="E7077" s="5"/>
      <c r="F7077" s="5" t="s">
        <v>22</v>
      </c>
      <c r="G7077" s="15" t="s">
        <v>22</v>
      </c>
      <c r="H7077" s="24">
        <f t="shared" si="1399"/>
        <v>0</v>
      </c>
      <c r="I7077" s="24" t="str" cm="1">
        <f t="array" ref="I7077">IFERROR(IF($B7077=I$1, ($A7077+$C7077) - MAX(IF($B$2:$B7076=$B7077, $A$2:$A7076+$C$2:$C7076)), "")*24*60, "")</f>
        <v/>
      </c>
      <c r="J7077" s="24" cm="1">
        <f t="array" ref="J7077">IFERROR(IF($B7077=J$1, ($A7077+$C7077) - MAX(IF($B$2:$B7076=$B7077, $A$2:$A7076+$C$2:$C7076)), "")*24*60, "")</f>
        <v>0</v>
      </c>
      <c r="K7077" s="24" t="str" cm="1">
        <f t="array" ref="K7077">IFERROR(IF($B7077=K$1, ($A7077+$C7077) - MAX(IF($B$2:$B7076=$B7077, $A$2:$A7076+$C$2:$C7076)), "")*24*60, "")</f>
        <v/>
      </c>
      <c r="L7077" s="24" t="str" cm="1">
        <f t="array" ref="L7077">IFERROR(IF($B7077=L$1, ($A7077+$C7077) - MAX(IF($B$2:$B7076=$B7077, $A$2:$A7076+$C$2:$C7076)), "")*24*60, "")</f>
        <v/>
      </c>
      <c r="M7077" s="24" t="str" cm="1">
        <f t="array" ref="M7077">IFERROR(IF($B7077=M$1, ($A7077+$C7077) - MAX(IF($B$2:$B7076=$B7077, $A$2:$A7076+$C$2:$C7076)), "")*24*60, "")</f>
        <v/>
      </c>
      <c r="N7077" s="24" t="str" cm="1">
        <f t="array" ref="N7077">IFERROR(IF($B7077=N$1, ($A7077+$C7077) - MAX(IF($B$2:$B7076=$B7077, $A$2:$A7076+$C$2:$C7076)), "")*24*60, "")</f>
        <v/>
      </c>
      <c r="O7077" s="24" t="str" cm="1">
        <f t="array" ref="O7077">IFERROR(IF($B7077=O$1, ($A7077+$C7077) - MAX(IF($B$2:$B7076=$B7077, $A$2:$A7076+$C$2:$C7076)), "")*24*60, "")</f>
        <v/>
      </c>
      <c r="P7077" s="24" t="str" cm="1">
        <f t="array" ref="P7077">IFERROR(IF($B7077=P$1, ($A7077+$C7077) - MAX(IF($B$2:$B7076=$B7077, $A$2:$A7076+$C$2:$C7076)), "")*24*60, "")</f>
        <v/>
      </c>
      <c r="Q7077" s="24" t="str" cm="1">
        <f t="array" ref="Q7077">IFERROR(IF($B7077=Q$1, ($A7077+$C7077) - MAX(IF($B$2:$B7076=$B7077, $A$2:$A7076+$C$2:$C7076)), "")*24*60, "")</f>
        <v/>
      </c>
      <c r="R7077" s="24" t="str" cm="1">
        <f t="array" ref="R7077">IFERROR(IF($B7077=R$1, ($A7077+$C7077) - MAX(IF($B$2:$B7076=$B7077, $A$2:$A7076+$C$2:$C7076)), "")*24*60, "")</f>
        <v/>
      </c>
      <c r="S7077" s="24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ref="A7078:C7078" si="1413">A7077</f>
        <v>46003</v>
      </c>
      <c r="B7078" s="5" t="str">
        <f t="shared" si="1413"/>
        <v>Tufted Titmouse</v>
      </c>
      <c r="C7078" s="6">
        <f t="shared" si="1413"/>
        <v>0.47430555555555554</v>
      </c>
      <c r="D7078" s="5"/>
      <c r="E7078" s="5"/>
      <c r="F7078" s="5" t="s">
        <v>22</v>
      </c>
      <c r="G7078" s="15" t="s">
        <v>22</v>
      </c>
      <c r="H7078" s="24">
        <f t="shared" si="1399"/>
        <v>0</v>
      </c>
      <c r="I7078" s="24" t="str" cm="1">
        <f t="array" ref="I7078">IFERROR(IF($B7078=I$1, ($A7078+$C7078) - MAX(IF($B$2:$B7077=$B7078, $A$2:$A7077+$C$2:$C7077)), "")*24*60, "")</f>
        <v/>
      </c>
      <c r="J7078" s="24" cm="1">
        <f t="array" ref="J7078">IFERROR(IF($B7078=J$1, ($A7078+$C7078) - MAX(IF($B$2:$B7077=$B7078, $A$2:$A7077+$C$2:$C7077)), "")*24*60, "")</f>
        <v>0</v>
      </c>
      <c r="K7078" s="24" t="str" cm="1">
        <f t="array" ref="K7078">IFERROR(IF($B7078=K$1, ($A7078+$C7078) - MAX(IF($B$2:$B7077=$B7078, $A$2:$A7077+$C$2:$C7077)), "")*24*60, "")</f>
        <v/>
      </c>
      <c r="L7078" s="24" t="str" cm="1">
        <f t="array" ref="L7078">IFERROR(IF($B7078=L$1, ($A7078+$C7078) - MAX(IF($B$2:$B7077=$B7078, $A$2:$A7077+$C$2:$C7077)), "")*24*60, "")</f>
        <v/>
      </c>
      <c r="M7078" s="24" t="str" cm="1">
        <f t="array" ref="M7078">IFERROR(IF($B7078=M$1, ($A7078+$C7078) - MAX(IF($B$2:$B7077=$B7078, $A$2:$A7077+$C$2:$C7077)), "")*24*60, "")</f>
        <v/>
      </c>
      <c r="N7078" s="24" t="str" cm="1">
        <f t="array" ref="N7078">IFERROR(IF($B7078=N$1, ($A7078+$C7078) - MAX(IF($B$2:$B7077=$B7078, $A$2:$A7077+$C$2:$C7077)), "")*24*60, "")</f>
        <v/>
      </c>
      <c r="O7078" s="24" t="str" cm="1">
        <f t="array" ref="O7078">IFERROR(IF($B7078=O$1, ($A7078+$C7078) - MAX(IF($B$2:$B7077=$B7078, $A$2:$A7077+$C$2:$C7077)), "")*24*60, "")</f>
        <v/>
      </c>
      <c r="P7078" s="24" t="str" cm="1">
        <f t="array" ref="P7078">IFERROR(IF($B7078=P$1, ($A7078+$C7078) - MAX(IF($B$2:$B7077=$B7078, $A$2:$A7077+$C$2:$C7077)), "")*24*60, "")</f>
        <v/>
      </c>
      <c r="Q7078" s="24" t="str" cm="1">
        <f t="array" ref="Q7078">IFERROR(IF($B7078=Q$1, ($A7078+$C7078) - MAX(IF($B$2:$B7077=$B7078, $A$2:$A7077+$C$2:$C7077)), "")*24*60, "")</f>
        <v/>
      </c>
      <c r="R7078" s="24" t="str" cm="1">
        <f t="array" ref="R7078">IFERROR(IF($B7078=R$1, ($A7078+$C7078) - MAX(IF($B$2:$B7077=$B7078, $A$2:$A7077+$C$2:$C7077)), "")*24*60, "")</f>
        <v/>
      </c>
      <c r="S7078" s="24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ref="A7079:C7079" si="1414">A7078</f>
        <v>46003</v>
      </c>
      <c r="B7079" s="5" t="str">
        <f t="shared" si="1414"/>
        <v>Tufted Titmouse</v>
      </c>
      <c r="C7079" s="6">
        <f t="shared" si="1414"/>
        <v>0.47430555555555554</v>
      </c>
      <c r="D7079" s="5"/>
      <c r="E7079" s="5"/>
      <c r="F7079" s="5" t="s">
        <v>22</v>
      </c>
      <c r="G7079" s="15" t="s">
        <v>22</v>
      </c>
      <c r="H7079" s="24">
        <f t="shared" si="1399"/>
        <v>0</v>
      </c>
      <c r="I7079" s="24" t="str" cm="1">
        <f t="array" ref="I7079">IFERROR(IF($B7079=I$1, ($A7079+$C7079) - MAX(IF($B$2:$B7078=$B7079, $A$2:$A7078+$C$2:$C7078)), "")*24*60, "")</f>
        <v/>
      </c>
      <c r="J7079" s="24" cm="1">
        <f t="array" ref="J7079">IFERROR(IF($B7079=J$1, ($A7079+$C7079) - MAX(IF($B$2:$B7078=$B7079, $A$2:$A7078+$C$2:$C7078)), "")*24*60, "")</f>
        <v>0</v>
      </c>
      <c r="K7079" s="24" t="str" cm="1">
        <f t="array" ref="K7079">IFERROR(IF($B7079=K$1, ($A7079+$C7079) - MAX(IF($B$2:$B7078=$B7079, $A$2:$A7078+$C$2:$C7078)), "")*24*60, "")</f>
        <v/>
      </c>
      <c r="L7079" s="24" t="str" cm="1">
        <f t="array" ref="L7079">IFERROR(IF($B7079=L$1, ($A7079+$C7079) - MAX(IF($B$2:$B7078=$B7079, $A$2:$A7078+$C$2:$C7078)), "")*24*60, "")</f>
        <v/>
      </c>
      <c r="M7079" s="24" t="str" cm="1">
        <f t="array" ref="M7079">IFERROR(IF($B7079=M$1, ($A7079+$C7079) - MAX(IF($B$2:$B7078=$B7079, $A$2:$A7078+$C$2:$C7078)), "")*24*60, "")</f>
        <v/>
      </c>
      <c r="N7079" s="24" t="str" cm="1">
        <f t="array" ref="N7079">IFERROR(IF($B7079=N$1, ($A7079+$C7079) - MAX(IF($B$2:$B7078=$B7079, $A$2:$A7078+$C$2:$C7078)), "")*24*60, "")</f>
        <v/>
      </c>
      <c r="O7079" s="24" t="str" cm="1">
        <f t="array" ref="O7079">IFERROR(IF($B7079=O$1, ($A7079+$C7079) - MAX(IF($B$2:$B7078=$B7079, $A$2:$A7078+$C$2:$C7078)), "")*24*60, "")</f>
        <v/>
      </c>
      <c r="P7079" s="24" t="str" cm="1">
        <f t="array" ref="P7079">IFERROR(IF($B7079=P$1, ($A7079+$C7079) - MAX(IF($B$2:$B7078=$B7079, $A$2:$A7078+$C$2:$C7078)), "")*24*60, "")</f>
        <v/>
      </c>
      <c r="Q7079" s="24" t="str" cm="1">
        <f t="array" ref="Q7079">IFERROR(IF($B7079=Q$1, ($A7079+$C7079) - MAX(IF($B$2:$B7078=$B7079, $A$2:$A7078+$C$2:$C7078)), "")*24*60, "")</f>
        <v/>
      </c>
      <c r="R7079" s="24" t="str" cm="1">
        <f t="array" ref="R7079">IFERROR(IF($B7079=R$1, ($A7079+$C7079) - MAX(IF($B$2:$B7078=$B7079, $A$2:$A7078+$C$2:$C7078)), "")*24*60, "")</f>
        <v/>
      </c>
      <c r="S7079" s="24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ref="A7080:C7080" si="1415">A7079</f>
        <v>46003</v>
      </c>
      <c r="B7080" s="5" t="str">
        <f t="shared" si="1415"/>
        <v>Tufted Titmouse</v>
      </c>
      <c r="C7080" s="6">
        <f t="shared" si="1415"/>
        <v>0.47430555555555554</v>
      </c>
      <c r="D7080" s="5"/>
      <c r="E7080" s="5"/>
      <c r="F7080" s="5" t="s">
        <v>22</v>
      </c>
      <c r="G7080" s="15" t="s">
        <v>22</v>
      </c>
      <c r="H7080" s="24">
        <f t="shared" si="1399"/>
        <v>0</v>
      </c>
      <c r="I7080" s="24" t="str" cm="1">
        <f t="array" ref="I7080">IFERROR(IF($B7080=I$1, ($A7080+$C7080) - MAX(IF($B$2:$B7079=$B7080, $A$2:$A7079+$C$2:$C7079)), "")*24*60, "")</f>
        <v/>
      </c>
      <c r="J7080" s="24" cm="1">
        <f t="array" ref="J7080">IFERROR(IF($B7080=J$1, ($A7080+$C7080) - MAX(IF($B$2:$B7079=$B7080, $A$2:$A7079+$C$2:$C7079)), "")*24*60, "")</f>
        <v>0</v>
      </c>
      <c r="K7080" s="24" t="str" cm="1">
        <f t="array" ref="K7080">IFERROR(IF($B7080=K$1, ($A7080+$C7080) - MAX(IF($B$2:$B7079=$B7080, $A$2:$A7079+$C$2:$C7079)), "")*24*60, "")</f>
        <v/>
      </c>
      <c r="L7080" s="24" t="str" cm="1">
        <f t="array" ref="L7080">IFERROR(IF($B7080=L$1, ($A7080+$C7080) - MAX(IF($B$2:$B7079=$B7080, $A$2:$A7079+$C$2:$C7079)), "")*24*60, "")</f>
        <v/>
      </c>
      <c r="M7080" s="24" t="str" cm="1">
        <f t="array" ref="M7080">IFERROR(IF($B7080=M$1, ($A7080+$C7080) - MAX(IF($B$2:$B7079=$B7080, $A$2:$A7079+$C$2:$C7079)), "")*24*60, "")</f>
        <v/>
      </c>
      <c r="N7080" s="24" t="str" cm="1">
        <f t="array" ref="N7080">IFERROR(IF($B7080=N$1, ($A7080+$C7080) - MAX(IF($B$2:$B7079=$B7080, $A$2:$A7079+$C$2:$C7079)), "")*24*60, "")</f>
        <v/>
      </c>
      <c r="O7080" s="24" t="str" cm="1">
        <f t="array" ref="O7080">IFERROR(IF($B7080=O$1, ($A7080+$C7080) - MAX(IF($B$2:$B7079=$B7080, $A$2:$A7079+$C$2:$C7079)), "")*24*60, "")</f>
        <v/>
      </c>
      <c r="P7080" s="24" t="str" cm="1">
        <f t="array" ref="P7080">IFERROR(IF($B7080=P$1, ($A7080+$C7080) - MAX(IF($B$2:$B7079=$B7080, $A$2:$A7079+$C$2:$C7079)), "")*24*60, "")</f>
        <v/>
      </c>
      <c r="Q7080" s="24" t="str" cm="1">
        <f t="array" ref="Q7080">IFERROR(IF($B7080=Q$1, ($A7080+$C7080) - MAX(IF($B$2:$B7079=$B7080, $A$2:$A7079+$C$2:$C7079)), "")*24*60, "")</f>
        <v/>
      </c>
      <c r="R7080" s="24" t="str" cm="1">
        <f t="array" ref="R7080">IFERROR(IF($B7080=R$1, ($A7080+$C7080) - MAX(IF($B$2:$B7079=$B7080, $A$2:$A7079+$C$2:$C7079)), "")*24*60, "")</f>
        <v/>
      </c>
      <c r="S7080" s="24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ref="A7081:C7081" si="1416">A7080</f>
        <v>46003</v>
      </c>
      <c r="B7081" s="5" t="str">
        <f t="shared" si="1416"/>
        <v>Tufted Titmouse</v>
      </c>
      <c r="C7081" s="6">
        <f t="shared" si="1416"/>
        <v>0.47430555555555554</v>
      </c>
      <c r="D7081" s="5"/>
      <c r="E7081" s="5"/>
      <c r="F7081" s="5" t="s">
        <v>22</v>
      </c>
      <c r="G7081" s="15" t="s">
        <v>22</v>
      </c>
      <c r="H7081" s="24">
        <f t="shared" si="1399"/>
        <v>0</v>
      </c>
      <c r="I7081" s="24" t="str" cm="1">
        <f t="array" ref="I7081">IFERROR(IF($B7081=I$1, ($A7081+$C7081) - MAX(IF($B$2:$B7080=$B7081, $A$2:$A7080+$C$2:$C7080)), "")*24*60, "")</f>
        <v/>
      </c>
      <c r="J7081" s="24" cm="1">
        <f t="array" ref="J7081">IFERROR(IF($B7081=J$1, ($A7081+$C7081) - MAX(IF($B$2:$B7080=$B7081, $A$2:$A7080+$C$2:$C7080)), "")*24*60, "")</f>
        <v>0</v>
      </c>
      <c r="K7081" s="24" t="str" cm="1">
        <f t="array" ref="K7081">IFERROR(IF($B7081=K$1, ($A7081+$C7081) - MAX(IF($B$2:$B7080=$B7081, $A$2:$A7080+$C$2:$C7080)), "")*24*60, "")</f>
        <v/>
      </c>
      <c r="L7081" s="24" t="str" cm="1">
        <f t="array" ref="L7081">IFERROR(IF($B7081=L$1, ($A7081+$C7081) - MAX(IF($B$2:$B7080=$B7081, $A$2:$A7080+$C$2:$C7080)), "")*24*60, "")</f>
        <v/>
      </c>
      <c r="M7081" s="24" t="str" cm="1">
        <f t="array" ref="M7081">IFERROR(IF($B7081=M$1, ($A7081+$C7081) - MAX(IF($B$2:$B7080=$B7081, $A$2:$A7080+$C$2:$C7080)), "")*24*60, "")</f>
        <v/>
      </c>
      <c r="N7081" s="24" t="str" cm="1">
        <f t="array" ref="N7081">IFERROR(IF($B7081=N$1, ($A7081+$C7081) - MAX(IF($B$2:$B7080=$B7081, $A$2:$A7080+$C$2:$C7080)), "")*24*60, "")</f>
        <v/>
      </c>
      <c r="O7081" s="24" t="str" cm="1">
        <f t="array" ref="O7081">IFERROR(IF($B7081=O$1, ($A7081+$C7081) - MAX(IF($B$2:$B7080=$B7081, $A$2:$A7080+$C$2:$C7080)), "")*24*60, "")</f>
        <v/>
      </c>
      <c r="P7081" s="24" t="str" cm="1">
        <f t="array" ref="P7081">IFERROR(IF($B7081=P$1, ($A7081+$C7081) - MAX(IF($B$2:$B7080=$B7081, $A$2:$A7080+$C$2:$C7080)), "")*24*60, "")</f>
        <v/>
      </c>
      <c r="Q7081" s="24" t="str" cm="1">
        <f t="array" ref="Q7081">IFERROR(IF($B7081=Q$1, ($A7081+$C7081) - MAX(IF($B$2:$B7080=$B7081, $A$2:$A7080+$C$2:$C7080)), "")*24*60, "")</f>
        <v/>
      </c>
      <c r="R7081" s="24" t="str" cm="1">
        <f t="array" ref="R7081">IFERROR(IF($B7081=R$1, ($A7081+$C7081) - MAX(IF($B$2:$B7080=$B7081, $A$2:$A7080+$C$2:$C7080)), "")*24*60, "")</f>
        <v/>
      </c>
      <c r="S7081" s="24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ref="A7082:C7082" si="1417">A7081</f>
        <v>46003</v>
      </c>
      <c r="B7082" s="5" t="str">
        <f t="shared" si="1417"/>
        <v>Tufted Titmouse</v>
      </c>
      <c r="C7082" s="6">
        <f t="shared" si="1417"/>
        <v>0.47430555555555554</v>
      </c>
      <c r="D7082" s="5"/>
      <c r="E7082" s="5"/>
      <c r="F7082" s="5" t="s">
        <v>22</v>
      </c>
      <c r="G7082" s="15" t="s">
        <v>22</v>
      </c>
      <c r="H7082" s="24">
        <f t="shared" si="1399"/>
        <v>0</v>
      </c>
      <c r="I7082" s="24" t="str" cm="1">
        <f t="array" ref="I7082">IFERROR(IF($B7082=I$1, ($A7082+$C7082) - MAX(IF($B$2:$B7081=$B7082, $A$2:$A7081+$C$2:$C7081)), "")*24*60, "")</f>
        <v/>
      </c>
      <c r="J7082" s="24" cm="1">
        <f t="array" ref="J7082">IFERROR(IF($B7082=J$1, ($A7082+$C7082) - MAX(IF($B$2:$B7081=$B7082, $A$2:$A7081+$C$2:$C7081)), "")*24*60, "")</f>
        <v>0</v>
      </c>
      <c r="K7082" s="24" t="str" cm="1">
        <f t="array" ref="K7082">IFERROR(IF($B7082=K$1, ($A7082+$C7082) - MAX(IF($B$2:$B7081=$B7082, $A$2:$A7081+$C$2:$C7081)), "")*24*60, "")</f>
        <v/>
      </c>
      <c r="L7082" s="24" t="str" cm="1">
        <f t="array" ref="L7082">IFERROR(IF($B7082=L$1, ($A7082+$C7082) - MAX(IF($B$2:$B7081=$B7082, $A$2:$A7081+$C$2:$C7081)), "")*24*60, "")</f>
        <v/>
      </c>
      <c r="M7082" s="24" t="str" cm="1">
        <f t="array" ref="M7082">IFERROR(IF($B7082=M$1, ($A7082+$C7082) - MAX(IF($B$2:$B7081=$B7082, $A$2:$A7081+$C$2:$C7081)), "")*24*60, "")</f>
        <v/>
      </c>
      <c r="N7082" s="24" t="str" cm="1">
        <f t="array" ref="N7082">IFERROR(IF($B7082=N$1, ($A7082+$C7082) - MAX(IF($B$2:$B7081=$B7082, $A$2:$A7081+$C$2:$C7081)), "")*24*60, "")</f>
        <v/>
      </c>
      <c r="O7082" s="24" t="str" cm="1">
        <f t="array" ref="O7082">IFERROR(IF($B7082=O$1, ($A7082+$C7082) - MAX(IF($B$2:$B7081=$B7082, $A$2:$A7081+$C$2:$C7081)), "")*24*60, "")</f>
        <v/>
      </c>
      <c r="P7082" s="24" t="str" cm="1">
        <f t="array" ref="P7082">IFERROR(IF($B7082=P$1, ($A7082+$C7082) - MAX(IF($B$2:$B7081=$B7082, $A$2:$A7081+$C$2:$C7081)), "")*24*60, "")</f>
        <v/>
      </c>
      <c r="Q7082" s="24" t="str" cm="1">
        <f t="array" ref="Q7082">IFERROR(IF($B7082=Q$1, ($A7082+$C7082) - MAX(IF($B$2:$B7081=$B7082, $A$2:$A7081+$C$2:$C7081)), "")*24*60, "")</f>
        <v/>
      </c>
      <c r="R7082" s="24" t="str" cm="1">
        <f t="array" ref="R7082">IFERROR(IF($B7082=R$1, ($A7082+$C7082) - MAX(IF($B$2:$B7081=$B7082, $A$2:$A7081+$C$2:$C7081)), "")*24*60, "")</f>
        <v/>
      </c>
      <c r="S7082" s="24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ref="A7083:C7083" si="1418">A7082</f>
        <v>46003</v>
      </c>
      <c r="B7083" s="5" t="str">
        <f t="shared" si="1418"/>
        <v>Tufted Titmouse</v>
      </c>
      <c r="C7083" s="6">
        <f t="shared" si="1418"/>
        <v>0.47430555555555554</v>
      </c>
      <c r="D7083" s="5"/>
      <c r="E7083" s="5"/>
      <c r="F7083" s="5" t="s">
        <v>22</v>
      </c>
      <c r="G7083" s="15" t="s">
        <v>22</v>
      </c>
      <c r="H7083" s="24">
        <f t="shared" si="1399"/>
        <v>0</v>
      </c>
      <c r="I7083" s="24" t="str" cm="1">
        <f t="array" ref="I7083">IFERROR(IF($B7083=I$1, ($A7083+$C7083) - MAX(IF($B$2:$B7082=$B7083, $A$2:$A7082+$C$2:$C7082)), "")*24*60, "")</f>
        <v/>
      </c>
      <c r="J7083" s="24" cm="1">
        <f t="array" ref="J7083">IFERROR(IF($B7083=J$1, ($A7083+$C7083) - MAX(IF($B$2:$B7082=$B7083, $A$2:$A7082+$C$2:$C7082)), "")*24*60, "")</f>
        <v>0</v>
      </c>
      <c r="K7083" s="24" t="str" cm="1">
        <f t="array" ref="K7083">IFERROR(IF($B7083=K$1, ($A7083+$C7083) - MAX(IF($B$2:$B7082=$B7083, $A$2:$A7082+$C$2:$C7082)), "")*24*60, "")</f>
        <v/>
      </c>
      <c r="L7083" s="24" t="str" cm="1">
        <f t="array" ref="L7083">IFERROR(IF($B7083=L$1, ($A7083+$C7083) - MAX(IF($B$2:$B7082=$B7083, $A$2:$A7082+$C$2:$C7082)), "")*24*60, "")</f>
        <v/>
      </c>
      <c r="M7083" s="24" t="str" cm="1">
        <f t="array" ref="M7083">IFERROR(IF($B7083=M$1, ($A7083+$C7083) - MAX(IF($B$2:$B7082=$B7083, $A$2:$A7082+$C$2:$C7082)), "")*24*60, "")</f>
        <v/>
      </c>
      <c r="N7083" s="24" t="str" cm="1">
        <f t="array" ref="N7083">IFERROR(IF($B7083=N$1, ($A7083+$C7083) - MAX(IF($B$2:$B7082=$B7083, $A$2:$A7082+$C$2:$C7082)), "")*24*60, "")</f>
        <v/>
      </c>
      <c r="O7083" s="24" t="str" cm="1">
        <f t="array" ref="O7083">IFERROR(IF($B7083=O$1, ($A7083+$C7083) - MAX(IF($B$2:$B7082=$B7083, $A$2:$A7082+$C$2:$C7082)), "")*24*60, "")</f>
        <v/>
      </c>
      <c r="P7083" s="24" t="str" cm="1">
        <f t="array" ref="P7083">IFERROR(IF($B7083=P$1, ($A7083+$C7083) - MAX(IF($B$2:$B7082=$B7083, $A$2:$A7082+$C$2:$C7082)), "")*24*60, "")</f>
        <v/>
      </c>
      <c r="Q7083" s="24" t="str" cm="1">
        <f t="array" ref="Q7083">IFERROR(IF($B7083=Q$1, ($A7083+$C7083) - MAX(IF($B$2:$B7082=$B7083, $A$2:$A7082+$C$2:$C7082)), "")*24*60, "")</f>
        <v/>
      </c>
      <c r="R7083" s="24" t="str" cm="1">
        <f t="array" ref="R7083">IFERROR(IF($B7083=R$1, ($A7083+$C7083) - MAX(IF($B$2:$B7082=$B7083, $A$2:$A7082+$C$2:$C7082)), "")*24*60, "")</f>
        <v/>
      </c>
      <c r="S7083" s="24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C7084" si="1419">A7083</f>
        <v>46003</v>
      </c>
      <c r="B7084" s="5" t="str">
        <f t="shared" si="1419"/>
        <v>Tufted Titmouse</v>
      </c>
      <c r="C7084" s="6">
        <f t="shared" si="1419"/>
        <v>0.47430555555555554</v>
      </c>
      <c r="D7084" s="5"/>
      <c r="E7084" s="5"/>
      <c r="F7084" s="5" t="s">
        <v>22</v>
      </c>
      <c r="G7084" s="15" t="s">
        <v>22</v>
      </c>
      <c r="H7084" s="24">
        <f t="shared" si="1399"/>
        <v>0</v>
      </c>
      <c r="I7084" s="24" t="str" cm="1">
        <f t="array" ref="I7084">IFERROR(IF($B7084=I$1, ($A7084+$C7084) - MAX(IF($B$2:$B7083=$B7084, $A$2:$A7083+$C$2:$C7083)), "")*24*60, "")</f>
        <v/>
      </c>
      <c r="J7084" s="24" cm="1">
        <f t="array" ref="J7084">IFERROR(IF($B7084=J$1, ($A7084+$C7084) - MAX(IF($B$2:$B7083=$B7084, $A$2:$A7083+$C$2:$C7083)), "")*24*60, "")</f>
        <v>0</v>
      </c>
      <c r="K7084" s="24" t="str" cm="1">
        <f t="array" ref="K7084">IFERROR(IF($B7084=K$1, ($A7084+$C7084) - MAX(IF($B$2:$B7083=$B7084, $A$2:$A7083+$C$2:$C7083)), "")*24*60, "")</f>
        <v/>
      </c>
      <c r="L7084" s="24" t="str" cm="1">
        <f t="array" ref="L7084">IFERROR(IF($B7084=L$1, ($A7084+$C7084) - MAX(IF($B$2:$B7083=$B7084, $A$2:$A7083+$C$2:$C7083)), "")*24*60, "")</f>
        <v/>
      </c>
      <c r="M7084" s="24" t="str" cm="1">
        <f t="array" ref="M7084">IFERROR(IF($B7084=M$1, ($A7084+$C7084) - MAX(IF($B$2:$B7083=$B7084, $A$2:$A7083+$C$2:$C7083)), "")*24*60, "")</f>
        <v/>
      </c>
      <c r="N7084" s="24" t="str" cm="1">
        <f t="array" ref="N7084">IFERROR(IF($B7084=N$1, ($A7084+$C7084) - MAX(IF($B$2:$B7083=$B7084, $A$2:$A7083+$C$2:$C7083)), "")*24*60, "")</f>
        <v/>
      </c>
      <c r="O7084" s="24" t="str" cm="1">
        <f t="array" ref="O7084">IFERROR(IF($B7084=O$1, ($A7084+$C7084) - MAX(IF($B$2:$B7083=$B7084, $A$2:$A7083+$C$2:$C7083)), "")*24*60, "")</f>
        <v/>
      </c>
      <c r="P7084" s="24" t="str" cm="1">
        <f t="array" ref="P7084">IFERROR(IF($B7084=P$1, ($A7084+$C7084) - MAX(IF($B$2:$B7083=$B7084, $A$2:$A7083+$C$2:$C7083)), "")*24*60, "")</f>
        <v/>
      </c>
      <c r="Q7084" s="24" t="str" cm="1">
        <f t="array" ref="Q7084">IFERROR(IF($B7084=Q$1, ($A7084+$C7084) - MAX(IF($B$2:$B7083=$B7084, $A$2:$A7083+$C$2:$C7083)), "")*24*60, "")</f>
        <v/>
      </c>
      <c r="R7084" s="24" t="str" cm="1">
        <f t="array" ref="R7084">IFERROR(IF($B7084=R$1, ($A7084+$C7084) - MAX(IF($B$2:$B7083=$B7084, $A$2:$A7083+$C$2:$C7083)), "")*24*60, "")</f>
        <v/>
      </c>
      <c r="S7084" s="24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ref="A7085:C7085" si="1420">A7084</f>
        <v>46003</v>
      </c>
      <c r="B7085" s="5" t="str">
        <f t="shared" si="1420"/>
        <v>Tufted Titmouse</v>
      </c>
      <c r="C7085" s="6">
        <f t="shared" si="1420"/>
        <v>0.47430555555555554</v>
      </c>
      <c r="D7085" s="5"/>
      <c r="E7085" s="5"/>
      <c r="F7085" s="5" t="s">
        <v>22</v>
      </c>
      <c r="G7085" s="15" t="s">
        <v>22</v>
      </c>
      <c r="H7085" s="24">
        <f t="shared" si="1399"/>
        <v>0</v>
      </c>
      <c r="I7085" s="24" t="str" cm="1">
        <f t="array" ref="I7085">IFERROR(IF($B7085=I$1, ($A7085+$C7085) - MAX(IF($B$2:$B7084=$B7085, $A$2:$A7084+$C$2:$C7084)), "")*24*60, "")</f>
        <v/>
      </c>
      <c r="J7085" s="24" cm="1">
        <f t="array" ref="J7085">IFERROR(IF($B7085=J$1, ($A7085+$C7085) - MAX(IF($B$2:$B7084=$B7085, $A$2:$A7084+$C$2:$C7084)), "")*24*60, "")</f>
        <v>0</v>
      </c>
      <c r="K7085" s="24" t="str" cm="1">
        <f t="array" ref="K7085">IFERROR(IF($B7085=K$1, ($A7085+$C7085) - MAX(IF($B$2:$B7084=$B7085, $A$2:$A7084+$C$2:$C7084)), "")*24*60, "")</f>
        <v/>
      </c>
      <c r="L7085" s="24" t="str" cm="1">
        <f t="array" ref="L7085">IFERROR(IF($B7085=L$1, ($A7085+$C7085) - MAX(IF($B$2:$B7084=$B7085, $A$2:$A7084+$C$2:$C7084)), "")*24*60, "")</f>
        <v/>
      </c>
      <c r="M7085" s="24" t="str" cm="1">
        <f t="array" ref="M7085">IFERROR(IF($B7085=M$1, ($A7085+$C7085) - MAX(IF($B$2:$B7084=$B7085, $A$2:$A7084+$C$2:$C7084)), "")*24*60, "")</f>
        <v/>
      </c>
      <c r="N7085" s="24" t="str" cm="1">
        <f t="array" ref="N7085">IFERROR(IF($B7085=N$1, ($A7085+$C7085) - MAX(IF($B$2:$B7084=$B7085, $A$2:$A7084+$C$2:$C7084)), "")*24*60, "")</f>
        <v/>
      </c>
      <c r="O7085" s="24" t="str" cm="1">
        <f t="array" ref="O7085">IFERROR(IF($B7085=O$1, ($A7085+$C7085) - MAX(IF($B$2:$B7084=$B7085, $A$2:$A7084+$C$2:$C7084)), "")*24*60, "")</f>
        <v/>
      </c>
      <c r="P7085" s="24" t="str" cm="1">
        <f t="array" ref="P7085">IFERROR(IF($B7085=P$1, ($A7085+$C7085) - MAX(IF($B$2:$B7084=$B7085, $A$2:$A7084+$C$2:$C7084)), "")*24*60, "")</f>
        <v/>
      </c>
      <c r="Q7085" s="24" t="str" cm="1">
        <f t="array" ref="Q7085">IFERROR(IF($B7085=Q$1, ($A7085+$C7085) - MAX(IF($B$2:$B7084=$B7085, $A$2:$A7084+$C$2:$C7084)), "")*24*60, "")</f>
        <v/>
      </c>
      <c r="R7085" s="24" t="str" cm="1">
        <f t="array" ref="R7085">IFERROR(IF($B7085=R$1, ($A7085+$C7085) - MAX(IF($B$2:$B7084=$B7085, $A$2:$A7084+$C$2:$C7084)), "")*24*60, "")</f>
        <v/>
      </c>
      <c r="S7085" s="24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ref="A7086:C7086" si="1421">A7085</f>
        <v>46003</v>
      </c>
      <c r="B7086" s="5" t="str">
        <f t="shared" si="1421"/>
        <v>Tufted Titmouse</v>
      </c>
      <c r="C7086" s="6">
        <f t="shared" si="1421"/>
        <v>0.47430555555555554</v>
      </c>
      <c r="D7086" s="5"/>
      <c r="E7086" s="5"/>
      <c r="F7086" s="5" t="s">
        <v>22</v>
      </c>
      <c r="G7086" s="15" t="s">
        <v>22</v>
      </c>
      <c r="H7086" s="24">
        <f t="shared" si="1399"/>
        <v>0</v>
      </c>
      <c r="I7086" s="24" t="str" cm="1">
        <f t="array" ref="I7086">IFERROR(IF($B7086=I$1, ($A7086+$C7086) - MAX(IF($B$2:$B7085=$B7086, $A$2:$A7085+$C$2:$C7085)), "")*24*60, "")</f>
        <v/>
      </c>
      <c r="J7086" s="24" cm="1">
        <f t="array" ref="J7086">IFERROR(IF($B7086=J$1, ($A7086+$C7086) - MAX(IF($B$2:$B7085=$B7086, $A$2:$A7085+$C$2:$C7085)), "")*24*60, "")</f>
        <v>0</v>
      </c>
      <c r="K7086" s="24" t="str" cm="1">
        <f t="array" ref="K7086">IFERROR(IF($B7086=K$1, ($A7086+$C7086) - MAX(IF($B$2:$B7085=$B7086, $A$2:$A7085+$C$2:$C7085)), "")*24*60, "")</f>
        <v/>
      </c>
      <c r="L7086" s="24" t="str" cm="1">
        <f t="array" ref="L7086">IFERROR(IF($B7086=L$1, ($A7086+$C7086) - MAX(IF($B$2:$B7085=$B7086, $A$2:$A7085+$C$2:$C7085)), "")*24*60, "")</f>
        <v/>
      </c>
      <c r="M7086" s="24" t="str" cm="1">
        <f t="array" ref="M7086">IFERROR(IF($B7086=M$1, ($A7086+$C7086) - MAX(IF($B$2:$B7085=$B7086, $A$2:$A7085+$C$2:$C7085)), "")*24*60, "")</f>
        <v/>
      </c>
      <c r="N7086" s="24" t="str" cm="1">
        <f t="array" ref="N7086">IFERROR(IF($B7086=N$1, ($A7086+$C7086) - MAX(IF($B$2:$B7085=$B7086, $A$2:$A7085+$C$2:$C7085)), "")*24*60, "")</f>
        <v/>
      </c>
      <c r="O7086" s="24" t="str" cm="1">
        <f t="array" ref="O7086">IFERROR(IF($B7086=O$1, ($A7086+$C7086) - MAX(IF($B$2:$B7085=$B7086, $A$2:$A7085+$C$2:$C7085)), "")*24*60, "")</f>
        <v/>
      </c>
      <c r="P7086" s="24" t="str" cm="1">
        <f t="array" ref="P7086">IFERROR(IF($B7086=P$1, ($A7086+$C7086) - MAX(IF($B$2:$B7085=$B7086, $A$2:$A7085+$C$2:$C7085)), "")*24*60, "")</f>
        <v/>
      </c>
      <c r="Q7086" s="24" t="str" cm="1">
        <f t="array" ref="Q7086">IFERROR(IF($B7086=Q$1, ($A7086+$C7086) - MAX(IF($B$2:$B7085=$B7086, $A$2:$A7085+$C$2:$C7085)), "")*24*60, "")</f>
        <v/>
      </c>
      <c r="R7086" s="24" t="str" cm="1">
        <f t="array" ref="R7086">IFERROR(IF($B7086=R$1, ($A7086+$C7086) - MAX(IF($B$2:$B7085=$B7086, $A$2:$A7085+$C$2:$C7085)), "")*24*60, "")</f>
        <v/>
      </c>
      <c r="S7086" s="24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ref="A7087:C7087" si="1422">A7086</f>
        <v>46003</v>
      </c>
      <c r="B7087" s="5" t="str">
        <f t="shared" si="1422"/>
        <v>Tufted Titmouse</v>
      </c>
      <c r="C7087" s="6">
        <f t="shared" si="1422"/>
        <v>0.47430555555555554</v>
      </c>
      <c r="D7087" s="5"/>
      <c r="E7087" s="5"/>
      <c r="F7087" s="5" t="s">
        <v>22</v>
      </c>
      <c r="G7087" s="15" t="s">
        <v>22</v>
      </c>
      <c r="H7087" s="24">
        <f t="shared" si="1399"/>
        <v>0</v>
      </c>
      <c r="I7087" s="24" t="str" cm="1">
        <f t="array" ref="I7087">IFERROR(IF($B7087=I$1, ($A7087+$C7087) - MAX(IF($B$2:$B7086=$B7087, $A$2:$A7086+$C$2:$C7086)), "")*24*60, "")</f>
        <v/>
      </c>
      <c r="J7087" s="24" cm="1">
        <f t="array" ref="J7087">IFERROR(IF($B7087=J$1, ($A7087+$C7087) - MAX(IF($B$2:$B7086=$B7087, $A$2:$A7086+$C$2:$C7086)), "")*24*60, "")</f>
        <v>0</v>
      </c>
      <c r="K7087" s="24" t="str" cm="1">
        <f t="array" ref="K7087">IFERROR(IF($B7087=K$1, ($A7087+$C7087) - MAX(IF($B$2:$B7086=$B7087, $A$2:$A7086+$C$2:$C7086)), "")*24*60, "")</f>
        <v/>
      </c>
      <c r="L7087" s="24" t="str" cm="1">
        <f t="array" ref="L7087">IFERROR(IF($B7087=L$1, ($A7087+$C7087) - MAX(IF($B$2:$B7086=$B7087, $A$2:$A7086+$C$2:$C7086)), "")*24*60, "")</f>
        <v/>
      </c>
      <c r="M7087" s="24" t="str" cm="1">
        <f t="array" ref="M7087">IFERROR(IF($B7087=M$1, ($A7087+$C7087) - MAX(IF($B$2:$B7086=$B7087, $A$2:$A7086+$C$2:$C7086)), "")*24*60, "")</f>
        <v/>
      </c>
      <c r="N7087" s="24" t="str" cm="1">
        <f t="array" ref="N7087">IFERROR(IF($B7087=N$1, ($A7087+$C7087) - MAX(IF($B$2:$B7086=$B7087, $A$2:$A7086+$C$2:$C7086)), "")*24*60, "")</f>
        <v/>
      </c>
      <c r="O7087" s="24" t="str" cm="1">
        <f t="array" ref="O7087">IFERROR(IF($B7087=O$1, ($A7087+$C7087) - MAX(IF($B$2:$B7086=$B7087, $A$2:$A7086+$C$2:$C7086)), "")*24*60, "")</f>
        <v/>
      </c>
      <c r="P7087" s="24" t="str" cm="1">
        <f t="array" ref="P7087">IFERROR(IF($B7087=P$1, ($A7087+$C7087) - MAX(IF($B$2:$B7086=$B7087, $A$2:$A7086+$C$2:$C7086)), "")*24*60, "")</f>
        <v/>
      </c>
      <c r="Q7087" s="24" t="str" cm="1">
        <f t="array" ref="Q7087">IFERROR(IF($B7087=Q$1, ($A7087+$C7087) - MAX(IF($B$2:$B7086=$B7087, $A$2:$A7086+$C$2:$C7086)), "")*24*60, "")</f>
        <v/>
      </c>
      <c r="R7087" s="24" t="str" cm="1">
        <f t="array" ref="R7087">IFERROR(IF($B7087=R$1, ($A7087+$C7087) - MAX(IF($B$2:$B7086=$B7087, $A$2:$A7086+$C$2:$C7086)), "")*24*60, "")</f>
        <v/>
      </c>
      <c r="S7087" s="24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ref="A7088:C7088" si="1423">A7087</f>
        <v>46003</v>
      </c>
      <c r="B7088" s="5" t="str">
        <f t="shared" si="1423"/>
        <v>Tufted Titmouse</v>
      </c>
      <c r="C7088" s="6">
        <f t="shared" si="1423"/>
        <v>0.47430555555555554</v>
      </c>
      <c r="D7088" s="5"/>
      <c r="E7088" s="5"/>
      <c r="F7088" s="5" t="s">
        <v>22</v>
      </c>
      <c r="G7088" s="15" t="s">
        <v>22</v>
      </c>
      <c r="H7088" s="24">
        <f t="shared" si="1399"/>
        <v>0</v>
      </c>
      <c r="I7088" s="24" t="str" cm="1">
        <f t="array" ref="I7088">IFERROR(IF($B7088=I$1, ($A7088+$C7088) - MAX(IF($B$2:$B7087=$B7088, $A$2:$A7087+$C$2:$C7087)), "")*24*60, "")</f>
        <v/>
      </c>
      <c r="J7088" s="24" cm="1">
        <f t="array" ref="J7088">IFERROR(IF($B7088=J$1, ($A7088+$C7088) - MAX(IF($B$2:$B7087=$B7088, $A$2:$A7087+$C$2:$C7087)), "")*24*60, "")</f>
        <v>0</v>
      </c>
      <c r="K7088" s="24" t="str" cm="1">
        <f t="array" ref="K7088">IFERROR(IF($B7088=K$1, ($A7088+$C7088) - MAX(IF($B$2:$B7087=$B7088, $A$2:$A7087+$C$2:$C7087)), "")*24*60, "")</f>
        <v/>
      </c>
      <c r="L7088" s="24" t="str" cm="1">
        <f t="array" ref="L7088">IFERROR(IF($B7088=L$1, ($A7088+$C7088) - MAX(IF($B$2:$B7087=$B7088, $A$2:$A7087+$C$2:$C7087)), "")*24*60, "")</f>
        <v/>
      </c>
      <c r="M7088" s="24" t="str" cm="1">
        <f t="array" ref="M7088">IFERROR(IF($B7088=M$1, ($A7088+$C7088) - MAX(IF($B$2:$B7087=$B7088, $A$2:$A7087+$C$2:$C7087)), "")*24*60, "")</f>
        <v/>
      </c>
      <c r="N7088" s="24" t="str" cm="1">
        <f t="array" ref="N7088">IFERROR(IF($B7088=N$1, ($A7088+$C7088) - MAX(IF($B$2:$B7087=$B7088, $A$2:$A7087+$C$2:$C7087)), "")*24*60, "")</f>
        <v/>
      </c>
      <c r="O7088" s="24" t="str" cm="1">
        <f t="array" ref="O7088">IFERROR(IF($B7088=O$1, ($A7088+$C7088) - MAX(IF($B$2:$B7087=$B7088, $A$2:$A7087+$C$2:$C7087)), "")*24*60, "")</f>
        <v/>
      </c>
      <c r="P7088" s="24" t="str" cm="1">
        <f t="array" ref="P7088">IFERROR(IF($B7088=P$1, ($A7088+$C7088) - MAX(IF($B$2:$B7087=$B7088, $A$2:$A7087+$C$2:$C7087)), "")*24*60, "")</f>
        <v/>
      </c>
      <c r="Q7088" s="24" t="str" cm="1">
        <f t="array" ref="Q7088">IFERROR(IF($B7088=Q$1, ($A7088+$C7088) - MAX(IF($B$2:$B7087=$B7088, $A$2:$A7087+$C$2:$C7087)), "")*24*60, "")</f>
        <v/>
      </c>
      <c r="R7088" s="24" t="str" cm="1">
        <f t="array" ref="R7088">IFERROR(IF($B7088=R$1, ($A7088+$C7088) - MAX(IF($B$2:$B7087=$B7088, $A$2:$A7087+$C$2:$C7087)), "")*24*60, "")</f>
        <v/>
      </c>
      <c r="S7088" s="24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ref="A7089:C7089" si="1424">A7088</f>
        <v>46003</v>
      </c>
      <c r="B7089" s="5" t="str">
        <f t="shared" si="1424"/>
        <v>Tufted Titmouse</v>
      </c>
      <c r="C7089" s="6">
        <f t="shared" si="1424"/>
        <v>0.47430555555555554</v>
      </c>
      <c r="D7089" s="5"/>
      <c r="E7089" s="5"/>
      <c r="F7089" s="5" t="s">
        <v>22</v>
      </c>
      <c r="G7089" s="15" t="s">
        <v>22</v>
      </c>
      <c r="H7089" s="24">
        <f t="shared" si="1399"/>
        <v>0</v>
      </c>
      <c r="I7089" s="24" t="str" cm="1">
        <f t="array" ref="I7089">IFERROR(IF($B7089=I$1, ($A7089+$C7089) - MAX(IF($B$2:$B7088=$B7089, $A$2:$A7088+$C$2:$C7088)), "")*24*60, "")</f>
        <v/>
      </c>
      <c r="J7089" s="24" cm="1">
        <f t="array" ref="J7089">IFERROR(IF($B7089=J$1, ($A7089+$C7089) - MAX(IF($B$2:$B7088=$B7089, $A$2:$A7088+$C$2:$C7088)), "")*24*60, "")</f>
        <v>0</v>
      </c>
      <c r="K7089" s="24" t="str" cm="1">
        <f t="array" ref="K7089">IFERROR(IF($B7089=K$1, ($A7089+$C7089) - MAX(IF($B$2:$B7088=$B7089, $A$2:$A7088+$C$2:$C7088)), "")*24*60, "")</f>
        <v/>
      </c>
      <c r="L7089" s="24" t="str" cm="1">
        <f t="array" ref="L7089">IFERROR(IF($B7089=L$1, ($A7089+$C7089) - MAX(IF($B$2:$B7088=$B7089, $A$2:$A7088+$C$2:$C7088)), "")*24*60, "")</f>
        <v/>
      </c>
      <c r="M7089" s="24" t="str" cm="1">
        <f t="array" ref="M7089">IFERROR(IF($B7089=M$1, ($A7089+$C7089) - MAX(IF($B$2:$B7088=$B7089, $A$2:$A7088+$C$2:$C7088)), "")*24*60, "")</f>
        <v/>
      </c>
      <c r="N7089" s="24" t="str" cm="1">
        <f t="array" ref="N7089">IFERROR(IF($B7089=N$1, ($A7089+$C7089) - MAX(IF($B$2:$B7088=$B7089, $A$2:$A7088+$C$2:$C7088)), "")*24*60, "")</f>
        <v/>
      </c>
      <c r="O7089" s="24" t="str" cm="1">
        <f t="array" ref="O7089">IFERROR(IF($B7089=O$1, ($A7089+$C7089) - MAX(IF($B$2:$B7088=$B7089, $A$2:$A7088+$C$2:$C7088)), "")*24*60, "")</f>
        <v/>
      </c>
      <c r="P7089" s="24" t="str" cm="1">
        <f t="array" ref="P7089">IFERROR(IF($B7089=P$1, ($A7089+$C7089) - MAX(IF($B$2:$B7088=$B7089, $A$2:$A7088+$C$2:$C7088)), "")*24*60, "")</f>
        <v/>
      </c>
      <c r="Q7089" s="24" t="str" cm="1">
        <f t="array" ref="Q7089">IFERROR(IF($B7089=Q$1, ($A7089+$C7089) - MAX(IF($B$2:$B7088=$B7089, $A$2:$A7088+$C$2:$C7088)), "")*24*60, "")</f>
        <v/>
      </c>
      <c r="R7089" s="24" t="str" cm="1">
        <f t="array" ref="R7089">IFERROR(IF($B7089=R$1, ($A7089+$C7089) - MAX(IF($B$2:$B7088=$B7089, $A$2:$A7088+$C$2:$C7088)), "")*24*60, "")</f>
        <v/>
      </c>
      <c r="S7089" s="24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ref="A7090:C7090" si="1425">A7089</f>
        <v>46003</v>
      </c>
      <c r="B7090" s="5" t="str">
        <f t="shared" si="1425"/>
        <v>Tufted Titmouse</v>
      </c>
      <c r="C7090" s="6">
        <f t="shared" si="1425"/>
        <v>0.47430555555555554</v>
      </c>
      <c r="D7090" s="5"/>
      <c r="E7090" s="5"/>
      <c r="F7090" s="5" t="s">
        <v>22</v>
      </c>
      <c r="G7090" s="15" t="s">
        <v>22</v>
      </c>
      <c r="H7090" s="24">
        <f t="shared" si="1399"/>
        <v>0</v>
      </c>
      <c r="I7090" s="24" t="str" cm="1">
        <f t="array" ref="I7090">IFERROR(IF($B7090=I$1, ($A7090+$C7090) - MAX(IF($B$2:$B7089=$B7090, $A$2:$A7089+$C$2:$C7089)), "")*24*60, "")</f>
        <v/>
      </c>
      <c r="J7090" s="24" cm="1">
        <f t="array" ref="J7090">IFERROR(IF($B7090=J$1, ($A7090+$C7090) - MAX(IF($B$2:$B7089=$B7090, $A$2:$A7089+$C$2:$C7089)), "")*24*60, "")</f>
        <v>0</v>
      </c>
      <c r="K7090" s="24" t="str" cm="1">
        <f t="array" ref="K7090">IFERROR(IF($B7090=K$1, ($A7090+$C7090) - MAX(IF($B$2:$B7089=$B7090, $A$2:$A7089+$C$2:$C7089)), "")*24*60, "")</f>
        <v/>
      </c>
      <c r="L7090" s="24" t="str" cm="1">
        <f t="array" ref="L7090">IFERROR(IF($B7090=L$1, ($A7090+$C7090) - MAX(IF($B$2:$B7089=$B7090, $A$2:$A7089+$C$2:$C7089)), "")*24*60, "")</f>
        <v/>
      </c>
      <c r="M7090" s="24" t="str" cm="1">
        <f t="array" ref="M7090">IFERROR(IF($B7090=M$1, ($A7090+$C7090) - MAX(IF($B$2:$B7089=$B7090, $A$2:$A7089+$C$2:$C7089)), "")*24*60, "")</f>
        <v/>
      </c>
      <c r="N7090" s="24" t="str" cm="1">
        <f t="array" ref="N7090">IFERROR(IF($B7090=N$1, ($A7090+$C7090) - MAX(IF($B$2:$B7089=$B7090, $A$2:$A7089+$C$2:$C7089)), "")*24*60, "")</f>
        <v/>
      </c>
      <c r="O7090" s="24" t="str" cm="1">
        <f t="array" ref="O7090">IFERROR(IF($B7090=O$1, ($A7090+$C7090) - MAX(IF($B$2:$B7089=$B7090, $A$2:$A7089+$C$2:$C7089)), "")*24*60, "")</f>
        <v/>
      </c>
      <c r="P7090" s="24" t="str" cm="1">
        <f t="array" ref="P7090">IFERROR(IF($B7090=P$1, ($A7090+$C7090) - MAX(IF($B$2:$B7089=$B7090, $A$2:$A7089+$C$2:$C7089)), "")*24*60, "")</f>
        <v/>
      </c>
      <c r="Q7090" s="24" t="str" cm="1">
        <f t="array" ref="Q7090">IFERROR(IF($B7090=Q$1, ($A7090+$C7090) - MAX(IF($B$2:$B7089=$B7090, $A$2:$A7089+$C$2:$C7089)), "")*24*60, "")</f>
        <v/>
      </c>
      <c r="R7090" s="24" t="str" cm="1">
        <f t="array" ref="R7090">IFERROR(IF($B7090=R$1, ($A7090+$C7090) - MAX(IF($B$2:$B7089=$B7090, $A$2:$A7089+$C$2:$C7089)), "")*24*60, "")</f>
        <v/>
      </c>
      <c r="S7090" s="24" t="str" cm="1">
        <f t="array" ref="S7090">IFERROR(IF($B7090=S$1, ($A7090+$C7090) - MAX(IF($B$2:$B7089=$B7090, $A$2:$A7089+$C$2:$C7089)), "")*24*60, "")</f>
        <v/>
      </c>
    </row>
    <row r="7091" spans="1:19" x14ac:dyDescent="0.2">
      <c r="A7091" s="12">
        <f t="shared" ref="A7091:C7091" si="1426">A7090</f>
        <v>46003</v>
      </c>
      <c r="B7091" s="5" t="str">
        <f t="shared" si="1426"/>
        <v>Tufted Titmouse</v>
      </c>
      <c r="C7091" s="6">
        <f t="shared" si="1426"/>
        <v>0.47430555555555554</v>
      </c>
      <c r="D7091" s="5"/>
      <c r="E7091" s="5"/>
      <c r="F7091" s="5" t="s">
        <v>22</v>
      </c>
      <c r="G7091" s="15" t="s">
        <v>22</v>
      </c>
      <c r="H7091" s="24">
        <f t="shared" si="1399"/>
        <v>0</v>
      </c>
      <c r="I7091" s="24" t="str" cm="1">
        <f t="array" ref="I7091">IFERROR(IF($B7091=I$1, ($A7091+$C7091) - MAX(IF($B$2:$B7090=$B7091, $A$2:$A7090+$C$2:$C7090)), "")*24*60, "")</f>
        <v/>
      </c>
      <c r="J7091" s="24" cm="1">
        <f t="array" ref="J7091">IFERROR(IF($B7091=J$1, ($A7091+$C7091) - MAX(IF($B$2:$B7090=$B7091, $A$2:$A7090+$C$2:$C7090)), "")*24*60, "")</f>
        <v>0</v>
      </c>
      <c r="K7091" s="24" t="str" cm="1">
        <f t="array" ref="K7091">IFERROR(IF($B7091=K$1, ($A7091+$C7091) - MAX(IF($B$2:$B7090=$B7091, $A$2:$A7090+$C$2:$C7090)), "")*24*60, "")</f>
        <v/>
      </c>
      <c r="L7091" s="24" t="str" cm="1">
        <f t="array" ref="L7091">IFERROR(IF($B7091=L$1, ($A7091+$C7091) - MAX(IF($B$2:$B7090=$B7091, $A$2:$A7090+$C$2:$C7090)), "")*24*60, "")</f>
        <v/>
      </c>
      <c r="M7091" s="24" t="str" cm="1">
        <f t="array" ref="M7091">IFERROR(IF($B7091=M$1, ($A7091+$C7091) - MAX(IF($B$2:$B7090=$B7091, $A$2:$A7090+$C$2:$C7090)), "")*24*60, "")</f>
        <v/>
      </c>
      <c r="N7091" s="24" t="str" cm="1">
        <f t="array" ref="N7091">IFERROR(IF($B7091=N$1, ($A7091+$C7091) - MAX(IF($B$2:$B7090=$B7091, $A$2:$A7090+$C$2:$C7090)), "")*24*60, "")</f>
        <v/>
      </c>
      <c r="O7091" s="24" t="str" cm="1">
        <f t="array" ref="O7091">IFERROR(IF($B7091=O$1, ($A7091+$C7091) - MAX(IF($B$2:$B7090=$B7091, $A$2:$A7090+$C$2:$C7090)), "")*24*60, "")</f>
        <v/>
      </c>
      <c r="P7091" s="24" t="str" cm="1">
        <f t="array" ref="P7091">IFERROR(IF($B7091=P$1, ($A7091+$C7091) - MAX(IF($B$2:$B7090=$B7091, $A$2:$A7090+$C$2:$C7090)), "")*24*60, "")</f>
        <v/>
      </c>
      <c r="Q7091" s="24" t="str" cm="1">
        <f t="array" ref="Q7091">IFERROR(IF($B7091=Q$1, ($A7091+$C7091) - MAX(IF($B$2:$B7090=$B7091, $A$2:$A7090+$C$2:$C7090)), "")*24*60, "")</f>
        <v/>
      </c>
      <c r="R7091" s="24" t="str" cm="1">
        <f t="array" ref="R7091">IFERROR(IF($B7091=R$1, ($A7091+$C7091) - MAX(IF($B$2:$B7090=$B7091, $A$2:$A7090+$C$2:$C7090)), "")*24*60, "")</f>
        <v/>
      </c>
      <c r="S7091" s="24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f t="shared" ref="A7092:C7092" si="1427">A7091</f>
        <v>46003</v>
      </c>
      <c r="B7092" s="5" t="str">
        <f t="shared" si="1427"/>
        <v>Tufted Titmouse</v>
      </c>
      <c r="C7092" s="6">
        <f t="shared" si="1427"/>
        <v>0.47430555555555554</v>
      </c>
      <c r="D7092" s="5"/>
      <c r="E7092" s="5"/>
      <c r="F7092" s="5" t="s">
        <v>22</v>
      </c>
      <c r="G7092" s="15" t="s">
        <v>22</v>
      </c>
      <c r="H7092" s="24">
        <f t="shared" si="1399"/>
        <v>0</v>
      </c>
      <c r="I7092" s="24" t="str" cm="1">
        <f t="array" ref="I7092">IFERROR(IF($B7092=I$1, ($A7092+$C7092) - MAX(IF($B$2:$B7091=$B7092, $A$2:$A7091+$C$2:$C7091)), "")*24*60, "")</f>
        <v/>
      </c>
      <c r="J7092" s="24" cm="1">
        <f t="array" ref="J7092">IFERROR(IF($B7092=J$1, ($A7092+$C7092) - MAX(IF($B$2:$B7091=$B7092, $A$2:$A7091+$C$2:$C7091)), "")*24*60, "")</f>
        <v>0</v>
      </c>
      <c r="K7092" s="24" t="str" cm="1">
        <f t="array" ref="K7092">IFERROR(IF($B7092=K$1, ($A7092+$C7092) - MAX(IF($B$2:$B7091=$B7092, $A$2:$A7091+$C$2:$C7091)), "")*24*60, "")</f>
        <v/>
      </c>
      <c r="L7092" s="24" t="str" cm="1">
        <f t="array" ref="L7092">IFERROR(IF($B7092=L$1, ($A7092+$C7092) - MAX(IF($B$2:$B7091=$B7092, $A$2:$A7091+$C$2:$C7091)), "")*24*60, "")</f>
        <v/>
      </c>
      <c r="M7092" s="24" t="str" cm="1">
        <f t="array" ref="M7092">IFERROR(IF($B7092=M$1, ($A7092+$C7092) - MAX(IF($B$2:$B7091=$B7092, $A$2:$A7091+$C$2:$C7091)), "")*24*60, "")</f>
        <v/>
      </c>
      <c r="N7092" s="24" t="str" cm="1">
        <f t="array" ref="N7092">IFERROR(IF($B7092=N$1, ($A7092+$C7092) - MAX(IF($B$2:$B7091=$B7092, $A$2:$A7091+$C$2:$C7091)), "")*24*60, "")</f>
        <v/>
      </c>
      <c r="O7092" s="24" t="str" cm="1">
        <f t="array" ref="O7092">IFERROR(IF($B7092=O$1, ($A7092+$C7092) - MAX(IF($B$2:$B7091=$B7092, $A$2:$A7091+$C$2:$C7091)), "")*24*60, "")</f>
        <v/>
      </c>
      <c r="P7092" s="24" t="str" cm="1">
        <f t="array" ref="P7092">IFERROR(IF($B7092=P$1, ($A7092+$C7092) - MAX(IF($B$2:$B7091=$B7092, $A$2:$A7091+$C$2:$C7091)), "")*24*60, "")</f>
        <v/>
      </c>
      <c r="Q7092" s="24" t="str" cm="1">
        <f t="array" ref="Q7092">IFERROR(IF($B7092=Q$1, ($A7092+$C7092) - MAX(IF($B$2:$B7091=$B7092, $A$2:$A7091+$C$2:$C7091)), "")*24*60, "")</f>
        <v/>
      </c>
      <c r="R7092" s="24" t="str" cm="1">
        <f t="array" ref="R7092">IFERROR(IF($B7092=R$1, ($A7092+$C7092) - MAX(IF($B$2:$B7091=$B7092, $A$2:$A7091+$C$2:$C7091)), "")*24*60, "")</f>
        <v/>
      </c>
      <c r="S7092" s="24" t="str" cm="1">
        <f t="array" ref="S7092">IFERROR(IF($B7092=S$1, ($A7092+$C7092) - MAX(IF($B$2:$B7091=$B7092, $A$2:$A7091+$C$2:$C7091)), "")*24*60, "")</f>
        <v/>
      </c>
    </row>
    <row r="7093" spans="1:19" x14ac:dyDescent="0.2">
      <c r="A7093" s="12">
        <f t="shared" ref="A7093:C7093" si="1428">A7092</f>
        <v>46003</v>
      </c>
      <c r="B7093" s="5" t="str">
        <f t="shared" si="1428"/>
        <v>Tufted Titmouse</v>
      </c>
      <c r="C7093" s="6">
        <f t="shared" si="1428"/>
        <v>0.47430555555555554</v>
      </c>
      <c r="D7093" s="5"/>
      <c r="E7093" s="5"/>
      <c r="F7093" s="5" t="s">
        <v>22</v>
      </c>
      <c r="G7093" s="15" t="s">
        <v>22</v>
      </c>
      <c r="H7093" s="24">
        <f t="shared" si="1399"/>
        <v>0</v>
      </c>
      <c r="I7093" s="24" t="str" cm="1">
        <f t="array" ref="I7093">IFERROR(IF($B7093=I$1, ($A7093+$C7093) - MAX(IF($B$2:$B7092=$B7093, $A$2:$A7092+$C$2:$C7092)), "")*24*60, "")</f>
        <v/>
      </c>
      <c r="J7093" s="24" cm="1">
        <f t="array" ref="J7093">IFERROR(IF($B7093=J$1, ($A7093+$C7093) - MAX(IF($B$2:$B7092=$B7093, $A$2:$A7092+$C$2:$C7092)), "")*24*60, "")</f>
        <v>0</v>
      </c>
      <c r="K7093" s="24" t="str" cm="1">
        <f t="array" ref="K7093">IFERROR(IF($B7093=K$1, ($A7093+$C7093) - MAX(IF($B$2:$B7092=$B7093, $A$2:$A7092+$C$2:$C7092)), "")*24*60, "")</f>
        <v/>
      </c>
      <c r="L7093" s="24" t="str" cm="1">
        <f t="array" ref="L7093">IFERROR(IF($B7093=L$1, ($A7093+$C7093) - MAX(IF($B$2:$B7092=$B7093, $A$2:$A7092+$C$2:$C7092)), "")*24*60, "")</f>
        <v/>
      </c>
      <c r="M7093" s="24" t="str" cm="1">
        <f t="array" ref="M7093">IFERROR(IF($B7093=M$1, ($A7093+$C7093) - MAX(IF($B$2:$B7092=$B7093, $A$2:$A7092+$C$2:$C7092)), "")*24*60, "")</f>
        <v/>
      </c>
      <c r="N7093" s="24" t="str" cm="1">
        <f t="array" ref="N7093">IFERROR(IF($B7093=N$1, ($A7093+$C7093) - MAX(IF($B$2:$B7092=$B7093, $A$2:$A7092+$C$2:$C7092)), "")*24*60, "")</f>
        <v/>
      </c>
      <c r="O7093" s="24" t="str" cm="1">
        <f t="array" ref="O7093">IFERROR(IF($B7093=O$1, ($A7093+$C7093) - MAX(IF($B$2:$B7092=$B7093, $A$2:$A7092+$C$2:$C7092)), "")*24*60, "")</f>
        <v/>
      </c>
      <c r="P7093" s="24" t="str" cm="1">
        <f t="array" ref="P7093">IFERROR(IF($B7093=P$1, ($A7093+$C7093) - MAX(IF($B$2:$B7092=$B7093, $A$2:$A7092+$C$2:$C7092)), "")*24*60, "")</f>
        <v/>
      </c>
      <c r="Q7093" s="24" t="str" cm="1">
        <f t="array" ref="Q7093">IFERROR(IF($B7093=Q$1, ($A7093+$C7093) - MAX(IF($B$2:$B7092=$B7093, $A$2:$A7092+$C$2:$C7092)), "")*24*60, "")</f>
        <v/>
      </c>
      <c r="R7093" s="24" t="str" cm="1">
        <f t="array" ref="R7093">IFERROR(IF($B7093=R$1, ($A7093+$C7093) - MAX(IF($B$2:$B7092=$B7093, $A$2:$A7092+$C$2:$C7092)), "")*24*60, "")</f>
        <v/>
      </c>
      <c r="S7093" s="24" t="str" cm="1">
        <f t="array" ref="S7093">IFERROR(IF($B7093=S$1, ($A7093+$C7093) - MAX(IF($B$2:$B7092=$B7093, $A$2:$A7092+$C$2:$C7092)), "")*24*60, "")</f>
        <v/>
      </c>
    </row>
    <row r="7094" spans="1:19" x14ac:dyDescent="0.2">
      <c r="A7094" s="12">
        <f t="shared" ref="A7094:C7094" si="1429">A7093</f>
        <v>46003</v>
      </c>
      <c r="B7094" s="5" t="str">
        <f t="shared" si="1429"/>
        <v>Tufted Titmouse</v>
      </c>
      <c r="C7094" s="6">
        <f t="shared" si="1429"/>
        <v>0.47430555555555554</v>
      </c>
      <c r="D7094" s="5"/>
      <c r="E7094" s="5"/>
      <c r="F7094" s="5" t="s">
        <v>22</v>
      </c>
      <c r="G7094" s="15" t="s">
        <v>22</v>
      </c>
      <c r="H7094" s="24">
        <f t="shared" si="1399"/>
        <v>0</v>
      </c>
      <c r="I7094" s="24" t="str" cm="1">
        <f t="array" ref="I7094">IFERROR(IF($B7094=I$1, ($A7094+$C7094) - MAX(IF($B$2:$B7093=$B7094, $A$2:$A7093+$C$2:$C7093)), "")*24*60, "")</f>
        <v/>
      </c>
      <c r="J7094" s="24" cm="1">
        <f t="array" ref="J7094">IFERROR(IF($B7094=J$1, ($A7094+$C7094) - MAX(IF($B$2:$B7093=$B7094, $A$2:$A7093+$C$2:$C7093)), "")*24*60, "")</f>
        <v>0</v>
      </c>
      <c r="K7094" s="24" t="str" cm="1">
        <f t="array" ref="K7094">IFERROR(IF($B7094=K$1, ($A7094+$C7094) - MAX(IF($B$2:$B7093=$B7094, $A$2:$A7093+$C$2:$C7093)), "")*24*60, "")</f>
        <v/>
      </c>
      <c r="L7094" s="24" t="str" cm="1">
        <f t="array" ref="L7094">IFERROR(IF($B7094=L$1, ($A7094+$C7094) - MAX(IF($B$2:$B7093=$B7094, $A$2:$A7093+$C$2:$C7093)), "")*24*60, "")</f>
        <v/>
      </c>
      <c r="M7094" s="24" t="str" cm="1">
        <f t="array" ref="M7094">IFERROR(IF($B7094=M$1, ($A7094+$C7094) - MAX(IF($B$2:$B7093=$B7094, $A$2:$A7093+$C$2:$C7093)), "")*24*60, "")</f>
        <v/>
      </c>
      <c r="N7094" s="24" t="str" cm="1">
        <f t="array" ref="N7094">IFERROR(IF($B7094=N$1, ($A7094+$C7094) - MAX(IF($B$2:$B7093=$B7094, $A$2:$A7093+$C$2:$C7093)), "")*24*60, "")</f>
        <v/>
      </c>
      <c r="O7094" s="24" t="str" cm="1">
        <f t="array" ref="O7094">IFERROR(IF($B7094=O$1, ($A7094+$C7094) - MAX(IF($B$2:$B7093=$B7094, $A$2:$A7093+$C$2:$C7093)), "")*24*60, "")</f>
        <v/>
      </c>
      <c r="P7094" s="24" t="str" cm="1">
        <f t="array" ref="P7094">IFERROR(IF($B7094=P$1, ($A7094+$C7094) - MAX(IF($B$2:$B7093=$B7094, $A$2:$A7093+$C$2:$C7093)), "")*24*60, "")</f>
        <v/>
      </c>
      <c r="Q7094" s="24" t="str" cm="1">
        <f t="array" ref="Q7094">IFERROR(IF($B7094=Q$1, ($A7094+$C7094) - MAX(IF($B$2:$B7093=$B7094, $A$2:$A7093+$C$2:$C7093)), "")*24*60, "")</f>
        <v/>
      </c>
      <c r="R7094" s="24" t="str" cm="1">
        <f t="array" ref="R7094">IFERROR(IF($B7094=R$1, ($A7094+$C7094) - MAX(IF($B$2:$B7093=$B7094, $A$2:$A7093+$C$2:$C7093)), "")*24*60, "")</f>
        <v/>
      </c>
      <c r="S7094" s="24" t="str" cm="1">
        <f t="array" ref="S7094">IFERROR(IF($B7094=S$1, ($A7094+$C7094) - MAX(IF($B$2:$B7093=$B7094, $A$2:$A7093+$C$2:$C7093)), "")*24*60, "")</f>
        <v/>
      </c>
    </row>
    <row r="7095" spans="1:19" x14ac:dyDescent="0.2">
      <c r="A7095" s="12">
        <f t="shared" ref="A7095:C7095" si="1430">A7094</f>
        <v>46003</v>
      </c>
      <c r="B7095" s="5" t="str">
        <f t="shared" si="1430"/>
        <v>Tufted Titmouse</v>
      </c>
      <c r="C7095" s="6">
        <f t="shared" si="1430"/>
        <v>0.47430555555555554</v>
      </c>
      <c r="D7095" s="5"/>
      <c r="E7095" s="5"/>
      <c r="F7095" s="5" t="s">
        <v>22</v>
      </c>
      <c r="G7095" s="15" t="s">
        <v>22</v>
      </c>
      <c r="H7095" s="24">
        <f t="shared" si="1399"/>
        <v>0</v>
      </c>
      <c r="I7095" s="24" t="str" cm="1">
        <f t="array" ref="I7095">IFERROR(IF($B7095=I$1, ($A7095+$C7095) - MAX(IF($B$2:$B7094=$B7095, $A$2:$A7094+$C$2:$C7094)), "")*24*60, "")</f>
        <v/>
      </c>
      <c r="J7095" s="24" cm="1">
        <f t="array" ref="J7095">IFERROR(IF($B7095=J$1, ($A7095+$C7095) - MAX(IF($B$2:$B7094=$B7095, $A$2:$A7094+$C$2:$C7094)), "")*24*60, "")</f>
        <v>0</v>
      </c>
      <c r="K7095" s="24" t="str" cm="1">
        <f t="array" ref="K7095">IFERROR(IF($B7095=K$1, ($A7095+$C7095) - MAX(IF($B$2:$B7094=$B7095, $A$2:$A7094+$C$2:$C7094)), "")*24*60, "")</f>
        <v/>
      </c>
      <c r="L7095" s="24" t="str" cm="1">
        <f t="array" ref="L7095">IFERROR(IF($B7095=L$1, ($A7095+$C7095) - MAX(IF($B$2:$B7094=$B7095, $A$2:$A7094+$C$2:$C7094)), "")*24*60, "")</f>
        <v/>
      </c>
      <c r="M7095" s="24" t="str" cm="1">
        <f t="array" ref="M7095">IFERROR(IF($B7095=M$1, ($A7095+$C7095) - MAX(IF($B$2:$B7094=$B7095, $A$2:$A7094+$C$2:$C7094)), "")*24*60, "")</f>
        <v/>
      </c>
      <c r="N7095" s="24" t="str" cm="1">
        <f t="array" ref="N7095">IFERROR(IF($B7095=N$1, ($A7095+$C7095) - MAX(IF($B$2:$B7094=$B7095, $A$2:$A7094+$C$2:$C7094)), "")*24*60, "")</f>
        <v/>
      </c>
      <c r="O7095" s="24" t="str" cm="1">
        <f t="array" ref="O7095">IFERROR(IF($B7095=O$1, ($A7095+$C7095) - MAX(IF($B$2:$B7094=$B7095, $A$2:$A7094+$C$2:$C7094)), "")*24*60, "")</f>
        <v/>
      </c>
      <c r="P7095" s="24" t="str" cm="1">
        <f t="array" ref="P7095">IFERROR(IF($B7095=P$1, ($A7095+$C7095) - MAX(IF($B$2:$B7094=$B7095, $A$2:$A7094+$C$2:$C7094)), "")*24*60, "")</f>
        <v/>
      </c>
      <c r="Q7095" s="24" t="str" cm="1">
        <f t="array" ref="Q7095">IFERROR(IF($B7095=Q$1, ($A7095+$C7095) - MAX(IF($B$2:$B7094=$B7095, $A$2:$A7094+$C$2:$C7094)), "")*24*60, "")</f>
        <v/>
      </c>
      <c r="R7095" s="24" t="str" cm="1">
        <f t="array" ref="R7095">IFERROR(IF($B7095=R$1, ($A7095+$C7095) - MAX(IF($B$2:$B7094=$B7095, $A$2:$A7094+$C$2:$C7094)), "")*24*60, "")</f>
        <v/>
      </c>
      <c r="S7095" s="24" t="str" cm="1">
        <f t="array" ref="S7095">IFERROR(IF($B7095=S$1, ($A7095+$C7095) - MAX(IF($B$2:$B7094=$B7095, $A$2:$A7094+$C$2:$C7094)), "")*24*60, "")</f>
        <v/>
      </c>
    </row>
    <row r="7096" spans="1:19" x14ac:dyDescent="0.2">
      <c r="A7096" s="12">
        <f t="shared" ref="A7096:C7096" si="1431">A7095</f>
        <v>46003</v>
      </c>
      <c r="B7096" s="5" t="str">
        <f t="shared" si="1431"/>
        <v>Tufted Titmouse</v>
      </c>
      <c r="C7096" s="6">
        <f t="shared" si="1431"/>
        <v>0.47430555555555554</v>
      </c>
      <c r="D7096" s="5"/>
      <c r="E7096" s="5"/>
      <c r="F7096" s="5" t="s">
        <v>22</v>
      </c>
      <c r="G7096" s="15" t="s">
        <v>22</v>
      </c>
      <c r="H7096" s="24">
        <f t="shared" si="1399"/>
        <v>0</v>
      </c>
      <c r="I7096" s="24" t="str" cm="1">
        <f t="array" ref="I7096">IFERROR(IF($B7096=I$1, ($A7096+$C7096) - MAX(IF($B$2:$B7095=$B7096, $A$2:$A7095+$C$2:$C7095)), "")*24*60, "")</f>
        <v/>
      </c>
      <c r="J7096" s="24" cm="1">
        <f t="array" ref="J7096">IFERROR(IF($B7096=J$1, ($A7096+$C7096) - MAX(IF($B$2:$B7095=$B7096, $A$2:$A7095+$C$2:$C7095)), "")*24*60, "")</f>
        <v>0</v>
      </c>
      <c r="K7096" s="24" t="str" cm="1">
        <f t="array" ref="K7096">IFERROR(IF($B7096=K$1, ($A7096+$C7096) - MAX(IF($B$2:$B7095=$B7096, $A$2:$A7095+$C$2:$C7095)), "")*24*60, "")</f>
        <v/>
      </c>
      <c r="L7096" s="24" t="str" cm="1">
        <f t="array" ref="L7096">IFERROR(IF($B7096=L$1, ($A7096+$C7096) - MAX(IF($B$2:$B7095=$B7096, $A$2:$A7095+$C$2:$C7095)), "")*24*60, "")</f>
        <v/>
      </c>
      <c r="M7096" s="24" t="str" cm="1">
        <f t="array" ref="M7096">IFERROR(IF($B7096=M$1, ($A7096+$C7096) - MAX(IF($B$2:$B7095=$B7096, $A$2:$A7095+$C$2:$C7095)), "")*24*60, "")</f>
        <v/>
      </c>
      <c r="N7096" s="24" t="str" cm="1">
        <f t="array" ref="N7096">IFERROR(IF($B7096=N$1, ($A7096+$C7096) - MAX(IF($B$2:$B7095=$B7096, $A$2:$A7095+$C$2:$C7095)), "")*24*60, "")</f>
        <v/>
      </c>
      <c r="O7096" s="24" t="str" cm="1">
        <f t="array" ref="O7096">IFERROR(IF($B7096=O$1, ($A7096+$C7096) - MAX(IF($B$2:$B7095=$B7096, $A$2:$A7095+$C$2:$C7095)), "")*24*60, "")</f>
        <v/>
      </c>
      <c r="P7096" s="24" t="str" cm="1">
        <f t="array" ref="P7096">IFERROR(IF($B7096=P$1, ($A7096+$C7096) - MAX(IF($B$2:$B7095=$B7096, $A$2:$A7095+$C$2:$C7095)), "")*24*60, "")</f>
        <v/>
      </c>
      <c r="Q7096" s="24" t="str" cm="1">
        <f t="array" ref="Q7096">IFERROR(IF($B7096=Q$1, ($A7096+$C7096) - MAX(IF($B$2:$B7095=$B7096, $A$2:$A7095+$C$2:$C7095)), "")*24*60, "")</f>
        <v/>
      </c>
      <c r="R7096" s="24" t="str" cm="1">
        <f t="array" ref="R7096">IFERROR(IF($B7096=R$1, ($A7096+$C7096) - MAX(IF($B$2:$B7095=$B7096, $A$2:$A7095+$C$2:$C7095)), "")*24*60, "")</f>
        <v/>
      </c>
      <c r="S7096" s="24" t="str" cm="1">
        <f t="array" ref="S7096">IFERROR(IF($B7096=S$1, ($A7096+$C7096) - MAX(IF($B$2:$B7095=$B7096, $A$2:$A7095+$C$2:$C7095)), "")*24*60, "")</f>
        <v/>
      </c>
    </row>
    <row r="7097" spans="1:19" x14ac:dyDescent="0.2">
      <c r="A7097" s="12">
        <f t="shared" ref="A7097:C7097" si="1432">A7096</f>
        <v>46003</v>
      </c>
      <c r="B7097" s="5" t="str">
        <f t="shared" si="1432"/>
        <v>Tufted Titmouse</v>
      </c>
      <c r="C7097" s="6">
        <f t="shared" si="1432"/>
        <v>0.47430555555555554</v>
      </c>
      <c r="D7097" s="5"/>
      <c r="E7097" s="5"/>
      <c r="F7097" s="5" t="s">
        <v>22</v>
      </c>
      <c r="G7097" s="15" t="s">
        <v>22</v>
      </c>
      <c r="H7097" s="24">
        <f t="shared" si="1399"/>
        <v>0</v>
      </c>
      <c r="I7097" s="24" t="str" cm="1">
        <f t="array" ref="I7097">IFERROR(IF($B7097=I$1, ($A7097+$C7097) - MAX(IF($B$2:$B7096=$B7097, $A$2:$A7096+$C$2:$C7096)), "")*24*60, "")</f>
        <v/>
      </c>
      <c r="J7097" s="24" cm="1">
        <f t="array" ref="J7097">IFERROR(IF($B7097=J$1, ($A7097+$C7097) - MAX(IF($B$2:$B7096=$B7097, $A$2:$A7096+$C$2:$C7096)), "")*24*60, "")</f>
        <v>0</v>
      </c>
      <c r="K7097" s="24" t="str" cm="1">
        <f t="array" ref="K7097">IFERROR(IF($B7097=K$1, ($A7097+$C7097) - MAX(IF($B$2:$B7096=$B7097, $A$2:$A7096+$C$2:$C7096)), "")*24*60, "")</f>
        <v/>
      </c>
      <c r="L7097" s="24" t="str" cm="1">
        <f t="array" ref="L7097">IFERROR(IF($B7097=L$1, ($A7097+$C7097) - MAX(IF($B$2:$B7096=$B7097, $A$2:$A7096+$C$2:$C7096)), "")*24*60, "")</f>
        <v/>
      </c>
      <c r="M7097" s="24" t="str" cm="1">
        <f t="array" ref="M7097">IFERROR(IF($B7097=M$1, ($A7097+$C7097) - MAX(IF($B$2:$B7096=$B7097, $A$2:$A7096+$C$2:$C7096)), "")*24*60, "")</f>
        <v/>
      </c>
      <c r="N7097" s="24" t="str" cm="1">
        <f t="array" ref="N7097">IFERROR(IF($B7097=N$1, ($A7097+$C7097) - MAX(IF($B$2:$B7096=$B7097, $A$2:$A7096+$C$2:$C7096)), "")*24*60, "")</f>
        <v/>
      </c>
      <c r="O7097" s="24" t="str" cm="1">
        <f t="array" ref="O7097">IFERROR(IF($B7097=O$1, ($A7097+$C7097) - MAX(IF($B$2:$B7096=$B7097, $A$2:$A7096+$C$2:$C7096)), "")*24*60, "")</f>
        <v/>
      </c>
      <c r="P7097" s="24" t="str" cm="1">
        <f t="array" ref="P7097">IFERROR(IF($B7097=P$1, ($A7097+$C7097) - MAX(IF($B$2:$B7096=$B7097, $A$2:$A7096+$C$2:$C7096)), "")*24*60, "")</f>
        <v/>
      </c>
      <c r="Q7097" s="24" t="str" cm="1">
        <f t="array" ref="Q7097">IFERROR(IF($B7097=Q$1, ($A7097+$C7097) - MAX(IF($B$2:$B7096=$B7097, $A$2:$A7096+$C$2:$C7096)), "")*24*60, "")</f>
        <v/>
      </c>
      <c r="R7097" s="24" t="str" cm="1">
        <f t="array" ref="R7097">IFERROR(IF($B7097=R$1, ($A7097+$C7097) - MAX(IF($B$2:$B7096=$B7097, $A$2:$A7096+$C$2:$C7096)), "")*24*60, "")</f>
        <v/>
      </c>
      <c r="S7097" s="24" t="str" cm="1">
        <f t="array" ref="S7097">IFERROR(IF($B7097=S$1, ($A7097+$C7097) - MAX(IF($B$2:$B7096=$B7097, $A$2:$A7096+$C$2:$C7096)), "")*24*60, "")</f>
        <v/>
      </c>
    </row>
    <row r="7098" spans="1:19" x14ac:dyDescent="0.2">
      <c r="A7098" s="12">
        <f t="shared" ref="A7098:C7098" si="1433">A7097</f>
        <v>46003</v>
      </c>
      <c r="B7098" s="5" t="str">
        <f t="shared" si="1433"/>
        <v>Tufted Titmouse</v>
      </c>
      <c r="C7098" s="6">
        <f t="shared" si="1433"/>
        <v>0.47430555555555554</v>
      </c>
      <c r="D7098" s="5"/>
      <c r="E7098" s="5"/>
      <c r="F7098" s="5" t="s">
        <v>22</v>
      </c>
      <c r="G7098" s="15" t="s">
        <v>22</v>
      </c>
      <c r="H7098" s="24">
        <f t="shared" si="1399"/>
        <v>0</v>
      </c>
      <c r="I7098" s="24" t="str" cm="1">
        <f t="array" ref="I7098">IFERROR(IF($B7098=I$1, ($A7098+$C7098) - MAX(IF($B$2:$B7097=$B7098, $A$2:$A7097+$C$2:$C7097)), "")*24*60, "")</f>
        <v/>
      </c>
      <c r="J7098" s="24" cm="1">
        <f t="array" ref="J7098">IFERROR(IF($B7098=J$1, ($A7098+$C7098) - MAX(IF($B$2:$B7097=$B7098, $A$2:$A7097+$C$2:$C7097)), "")*24*60, "")</f>
        <v>0</v>
      </c>
      <c r="K7098" s="24" t="str" cm="1">
        <f t="array" ref="K7098">IFERROR(IF($B7098=K$1, ($A7098+$C7098) - MAX(IF($B$2:$B7097=$B7098, $A$2:$A7097+$C$2:$C7097)), "")*24*60, "")</f>
        <v/>
      </c>
      <c r="L7098" s="24" t="str" cm="1">
        <f t="array" ref="L7098">IFERROR(IF($B7098=L$1, ($A7098+$C7098) - MAX(IF($B$2:$B7097=$B7098, $A$2:$A7097+$C$2:$C7097)), "")*24*60, "")</f>
        <v/>
      </c>
      <c r="M7098" s="24" t="str" cm="1">
        <f t="array" ref="M7098">IFERROR(IF($B7098=M$1, ($A7098+$C7098) - MAX(IF($B$2:$B7097=$B7098, $A$2:$A7097+$C$2:$C7097)), "")*24*60, "")</f>
        <v/>
      </c>
      <c r="N7098" s="24" t="str" cm="1">
        <f t="array" ref="N7098">IFERROR(IF($B7098=N$1, ($A7098+$C7098) - MAX(IF($B$2:$B7097=$B7098, $A$2:$A7097+$C$2:$C7097)), "")*24*60, "")</f>
        <v/>
      </c>
      <c r="O7098" s="24" t="str" cm="1">
        <f t="array" ref="O7098">IFERROR(IF($B7098=O$1, ($A7098+$C7098) - MAX(IF($B$2:$B7097=$B7098, $A$2:$A7097+$C$2:$C7097)), "")*24*60, "")</f>
        <v/>
      </c>
      <c r="P7098" s="24" t="str" cm="1">
        <f t="array" ref="P7098">IFERROR(IF($B7098=P$1, ($A7098+$C7098) - MAX(IF($B$2:$B7097=$B7098, $A$2:$A7097+$C$2:$C7097)), "")*24*60, "")</f>
        <v/>
      </c>
      <c r="Q7098" s="24" t="str" cm="1">
        <f t="array" ref="Q7098">IFERROR(IF($B7098=Q$1, ($A7098+$C7098) - MAX(IF($B$2:$B7097=$B7098, $A$2:$A7097+$C$2:$C7097)), "")*24*60, "")</f>
        <v/>
      </c>
      <c r="R7098" s="24" t="str" cm="1">
        <f t="array" ref="R7098">IFERROR(IF($B7098=R$1, ($A7098+$C7098) - MAX(IF($B$2:$B7097=$B7098, $A$2:$A7097+$C$2:$C7097)), "")*24*60, "")</f>
        <v/>
      </c>
      <c r="S7098" s="24" t="str" cm="1">
        <f t="array" ref="S7098">IFERROR(IF($B7098=S$1, ($A7098+$C7098) - MAX(IF($B$2:$B7097=$B7098, $A$2:$A7097+$C$2:$C7097)), "")*24*60, "")</f>
        <v/>
      </c>
    </row>
    <row r="7099" spans="1:19" x14ac:dyDescent="0.2">
      <c r="A7099" s="12">
        <f t="shared" ref="A7099:C7099" si="1434">A7098</f>
        <v>46003</v>
      </c>
      <c r="B7099" s="5" t="str">
        <f t="shared" si="1434"/>
        <v>Tufted Titmouse</v>
      </c>
      <c r="C7099" s="6">
        <f t="shared" si="1434"/>
        <v>0.47430555555555554</v>
      </c>
      <c r="D7099" s="5"/>
      <c r="E7099" s="5"/>
      <c r="F7099" s="5" t="s">
        <v>22</v>
      </c>
      <c r="G7099" s="15" t="s">
        <v>22</v>
      </c>
      <c r="H7099" s="24">
        <f t="shared" si="1399"/>
        <v>0</v>
      </c>
      <c r="I7099" s="24" t="str" cm="1">
        <f t="array" ref="I7099">IFERROR(IF($B7099=I$1, ($A7099+$C7099) - MAX(IF($B$2:$B7098=$B7099, $A$2:$A7098+$C$2:$C7098)), "")*24*60, "")</f>
        <v/>
      </c>
      <c r="J7099" s="24" cm="1">
        <f t="array" ref="J7099">IFERROR(IF($B7099=J$1, ($A7099+$C7099) - MAX(IF($B$2:$B7098=$B7099, $A$2:$A7098+$C$2:$C7098)), "")*24*60, "")</f>
        <v>0</v>
      </c>
      <c r="K7099" s="24" t="str" cm="1">
        <f t="array" ref="K7099">IFERROR(IF($B7099=K$1, ($A7099+$C7099) - MAX(IF($B$2:$B7098=$B7099, $A$2:$A7098+$C$2:$C7098)), "")*24*60, "")</f>
        <v/>
      </c>
      <c r="L7099" s="24" t="str" cm="1">
        <f t="array" ref="L7099">IFERROR(IF($B7099=L$1, ($A7099+$C7099) - MAX(IF($B$2:$B7098=$B7099, $A$2:$A7098+$C$2:$C7098)), "")*24*60, "")</f>
        <v/>
      </c>
      <c r="M7099" s="24" t="str" cm="1">
        <f t="array" ref="M7099">IFERROR(IF($B7099=M$1, ($A7099+$C7099) - MAX(IF($B$2:$B7098=$B7099, $A$2:$A7098+$C$2:$C7098)), "")*24*60, "")</f>
        <v/>
      </c>
      <c r="N7099" s="24" t="str" cm="1">
        <f t="array" ref="N7099">IFERROR(IF($B7099=N$1, ($A7099+$C7099) - MAX(IF($B$2:$B7098=$B7099, $A$2:$A7098+$C$2:$C7098)), "")*24*60, "")</f>
        <v/>
      </c>
      <c r="O7099" s="24" t="str" cm="1">
        <f t="array" ref="O7099">IFERROR(IF($B7099=O$1, ($A7099+$C7099) - MAX(IF($B$2:$B7098=$B7099, $A$2:$A7098+$C$2:$C7098)), "")*24*60, "")</f>
        <v/>
      </c>
      <c r="P7099" s="24" t="str" cm="1">
        <f t="array" ref="P7099">IFERROR(IF($B7099=P$1, ($A7099+$C7099) - MAX(IF($B$2:$B7098=$B7099, $A$2:$A7098+$C$2:$C7098)), "")*24*60, "")</f>
        <v/>
      </c>
      <c r="Q7099" s="24" t="str" cm="1">
        <f t="array" ref="Q7099">IFERROR(IF($B7099=Q$1, ($A7099+$C7099) - MAX(IF($B$2:$B7098=$B7099, $A$2:$A7098+$C$2:$C7098)), "")*24*60, "")</f>
        <v/>
      </c>
      <c r="R7099" s="24" t="str" cm="1">
        <f t="array" ref="R7099">IFERROR(IF($B7099=R$1, ($A7099+$C7099) - MAX(IF($B$2:$B7098=$B7099, $A$2:$A7098+$C$2:$C7098)), "")*24*60, "")</f>
        <v/>
      </c>
      <c r="S7099" s="24" t="str" cm="1">
        <f t="array" ref="S7099">IFERROR(IF($B7099=S$1, ($A7099+$C7099) - MAX(IF($B$2:$B7098=$B7099, $A$2:$A7098+$C$2:$C7098)), "")*24*60, "")</f>
        <v/>
      </c>
    </row>
    <row r="7100" spans="1:19" x14ac:dyDescent="0.2">
      <c r="A7100" s="12">
        <f t="shared" ref="A7100:C7100" si="1435">A7099</f>
        <v>46003</v>
      </c>
      <c r="B7100" s="5" t="str">
        <f t="shared" si="1435"/>
        <v>Tufted Titmouse</v>
      </c>
      <c r="C7100" s="6">
        <f t="shared" si="1435"/>
        <v>0.47430555555555554</v>
      </c>
      <c r="D7100" s="5"/>
      <c r="E7100" s="5"/>
      <c r="F7100" s="5" t="s">
        <v>22</v>
      </c>
      <c r="G7100" s="15" t="s">
        <v>22</v>
      </c>
      <c r="H7100" s="24">
        <f t="shared" si="1399"/>
        <v>0</v>
      </c>
      <c r="I7100" s="24" t="str" cm="1">
        <f t="array" ref="I7100">IFERROR(IF($B7100=I$1, ($A7100+$C7100) - MAX(IF($B$2:$B7099=$B7100, $A$2:$A7099+$C$2:$C7099)), "")*24*60, "")</f>
        <v/>
      </c>
      <c r="J7100" s="24" cm="1">
        <f t="array" ref="J7100">IFERROR(IF($B7100=J$1, ($A7100+$C7100) - MAX(IF($B$2:$B7099=$B7100, $A$2:$A7099+$C$2:$C7099)), "")*24*60, "")</f>
        <v>0</v>
      </c>
      <c r="K7100" s="24" t="str" cm="1">
        <f t="array" ref="K7100">IFERROR(IF($B7100=K$1, ($A7100+$C7100) - MAX(IF($B$2:$B7099=$B7100, $A$2:$A7099+$C$2:$C7099)), "")*24*60, "")</f>
        <v/>
      </c>
      <c r="L7100" s="24" t="str" cm="1">
        <f t="array" ref="L7100">IFERROR(IF($B7100=L$1, ($A7100+$C7100) - MAX(IF($B$2:$B7099=$B7100, $A$2:$A7099+$C$2:$C7099)), "")*24*60, "")</f>
        <v/>
      </c>
      <c r="M7100" s="24" t="str" cm="1">
        <f t="array" ref="M7100">IFERROR(IF($B7100=M$1, ($A7100+$C7100) - MAX(IF($B$2:$B7099=$B7100, $A$2:$A7099+$C$2:$C7099)), "")*24*60, "")</f>
        <v/>
      </c>
      <c r="N7100" s="24" t="str" cm="1">
        <f t="array" ref="N7100">IFERROR(IF($B7100=N$1, ($A7100+$C7100) - MAX(IF($B$2:$B7099=$B7100, $A$2:$A7099+$C$2:$C7099)), "")*24*60, "")</f>
        <v/>
      </c>
      <c r="O7100" s="24" t="str" cm="1">
        <f t="array" ref="O7100">IFERROR(IF($B7100=O$1, ($A7100+$C7100) - MAX(IF($B$2:$B7099=$B7100, $A$2:$A7099+$C$2:$C7099)), "")*24*60, "")</f>
        <v/>
      </c>
      <c r="P7100" s="24" t="str" cm="1">
        <f t="array" ref="P7100">IFERROR(IF($B7100=P$1, ($A7100+$C7100) - MAX(IF($B$2:$B7099=$B7100, $A$2:$A7099+$C$2:$C7099)), "")*24*60, "")</f>
        <v/>
      </c>
      <c r="Q7100" s="24" t="str" cm="1">
        <f t="array" ref="Q7100">IFERROR(IF($B7100=Q$1, ($A7100+$C7100) - MAX(IF($B$2:$B7099=$B7100, $A$2:$A7099+$C$2:$C7099)), "")*24*60, "")</f>
        <v/>
      </c>
      <c r="R7100" s="24" t="str" cm="1">
        <f t="array" ref="R7100">IFERROR(IF($B7100=R$1, ($A7100+$C7100) - MAX(IF($B$2:$B7099=$B7100, $A$2:$A7099+$C$2:$C7099)), "")*24*60, "")</f>
        <v/>
      </c>
      <c r="S7100" s="24" t="str" cm="1">
        <f t="array" ref="S7100">IFERROR(IF($B7100=S$1, ($A7100+$C7100) - MAX(IF($B$2:$B7099=$B7100, $A$2:$A7099+$C$2:$C7099)), "")*24*60, "")</f>
        <v/>
      </c>
    </row>
    <row r="7101" spans="1:19" x14ac:dyDescent="0.2">
      <c r="A7101" s="12">
        <f t="shared" ref="A7101:C7101" si="1436">A7100</f>
        <v>46003</v>
      </c>
      <c r="B7101" s="5" t="str">
        <f t="shared" si="1436"/>
        <v>Tufted Titmouse</v>
      </c>
      <c r="C7101" s="6">
        <f t="shared" si="1436"/>
        <v>0.47430555555555554</v>
      </c>
      <c r="D7101" s="5"/>
      <c r="E7101" s="5"/>
      <c r="F7101" s="5" t="s">
        <v>22</v>
      </c>
      <c r="G7101" s="15" t="s">
        <v>22</v>
      </c>
      <c r="H7101" s="24">
        <f t="shared" si="1399"/>
        <v>0</v>
      </c>
      <c r="I7101" s="24" t="str" cm="1">
        <f t="array" ref="I7101">IFERROR(IF($B7101=I$1, ($A7101+$C7101) - MAX(IF($B$2:$B7100=$B7101, $A$2:$A7100+$C$2:$C7100)), "")*24*60, "")</f>
        <v/>
      </c>
      <c r="J7101" s="24" cm="1">
        <f t="array" ref="J7101">IFERROR(IF($B7101=J$1, ($A7101+$C7101) - MAX(IF($B$2:$B7100=$B7101, $A$2:$A7100+$C$2:$C7100)), "")*24*60, "")</f>
        <v>0</v>
      </c>
      <c r="K7101" s="24" t="str" cm="1">
        <f t="array" ref="K7101">IFERROR(IF($B7101=K$1, ($A7101+$C7101) - MAX(IF($B$2:$B7100=$B7101, $A$2:$A7100+$C$2:$C7100)), "")*24*60, "")</f>
        <v/>
      </c>
      <c r="L7101" s="24" t="str" cm="1">
        <f t="array" ref="L7101">IFERROR(IF($B7101=L$1, ($A7101+$C7101) - MAX(IF($B$2:$B7100=$B7101, $A$2:$A7100+$C$2:$C7100)), "")*24*60, "")</f>
        <v/>
      </c>
      <c r="M7101" s="24" t="str" cm="1">
        <f t="array" ref="M7101">IFERROR(IF($B7101=M$1, ($A7101+$C7101) - MAX(IF($B$2:$B7100=$B7101, $A$2:$A7100+$C$2:$C7100)), "")*24*60, "")</f>
        <v/>
      </c>
      <c r="N7101" s="24" t="str" cm="1">
        <f t="array" ref="N7101">IFERROR(IF($B7101=N$1, ($A7101+$C7101) - MAX(IF($B$2:$B7100=$B7101, $A$2:$A7100+$C$2:$C7100)), "")*24*60, "")</f>
        <v/>
      </c>
      <c r="O7101" s="24" t="str" cm="1">
        <f t="array" ref="O7101">IFERROR(IF($B7101=O$1, ($A7101+$C7101) - MAX(IF($B$2:$B7100=$B7101, $A$2:$A7100+$C$2:$C7100)), "")*24*60, "")</f>
        <v/>
      </c>
      <c r="P7101" s="24" t="str" cm="1">
        <f t="array" ref="P7101">IFERROR(IF($B7101=P$1, ($A7101+$C7101) - MAX(IF($B$2:$B7100=$B7101, $A$2:$A7100+$C$2:$C7100)), "")*24*60, "")</f>
        <v/>
      </c>
      <c r="Q7101" s="24" t="str" cm="1">
        <f t="array" ref="Q7101">IFERROR(IF($B7101=Q$1, ($A7101+$C7101) - MAX(IF($B$2:$B7100=$B7101, $A$2:$A7100+$C$2:$C7100)), "")*24*60, "")</f>
        <v/>
      </c>
      <c r="R7101" s="24" t="str" cm="1">
        <f t="array" ref="R7101">IFERROR(IF($B7101=R$1, ($A7101+$C7101) - MAX(IF($B$2:$B7100=$B7101, $A$2:$A7100+$C$2:$C7100)), "")*24*60, "")</f>
        <v/>
      </c>
      <c r="S7101" s="24" t="str" cm="1">
        <f t="array" ref="S7101">IFERROR(IF($B7101=S$1, ($A7101+$C7101) - MAX(IF($B$2:$B7100=$B7101, $A$2:$A7100+$C$2:$C7100)), "")*24*60, "")</f>
        <v/>
      </c>
    </row>
    <row r="7102" spans="1:19" x14ac:dyDescent="0.2">
      <c r="A7102" s="12">
        <f t="shared" ref="A7102:C7102" si="1437">A7101</f>
        <v>46003</v>
      </c>
      <c r="B7102" s="5" t="str">
        <f t="shared" si="1437"/>
        <v>Tufted Titmouse</v>
      </c>
      <c r="C7102" s="6">
        <f t="shared" si="1437"/>
        <v>0.47430555555555554</v>
      </c>
      <c r="D7102" s="5"/>
      <c r="E7102" s="5"/>
      <c r="F7102" s="5" t="s">
        <v>22</v>
      </c>
      <c r="G7102" s="15" t="s">
        <v>22</v>
      </c>
      <c r="H7102" s="24">
        <f t="shared" si="1399"/>
        <v>0</v>
      </c>
      <c r="I7102" s="24" t="str" cm="1">
        <f t="array" ref="I7102">IFERROR(IF($B7102=I$1, ($A7102+$C7102) - MAX(IF($B$2:$B7101=$B7102, $A$2:$A7101+$C$2:$C7101)), "")*24*60, "")</f>
        <v/>
      </c>
      <c r="J7102" s="24" cm="1">
        <f t="array" ref="J7102">IFERROR(IF($B7102=J$1, ($A7102+$C7102) - MAX(IF($B$2:$B7101=$B7102, $A$2:$A7101+$C$2:$C7101)), "")*24*60, "")</f>
        <v>0</v>
      </c>
      <c r="K7102" s="24" t="str" cm="1">
        <f t="array" ref="K7102">IFERROR(IF($B7102=K$1, ($A7102+$C7102) - MAX(IF($B$2:$B7101=$B7102, $A$2:$A7101+$C$2:$C7101)), "")*24*60, "")</f>
        <v/>
      </c>
      <c r="L7102" s="24" t="str" cm="1">
        <f t="array" ref="L7102">IFERROR(IF($B7102=L$1, ($A7102+$C7102) - MAX(IF($B$2:$B7101=$B7102, $A$2:$A7101+$C$2:$C7101)), "")*24*60, "")</f>
        <v/>
      </c>
      <c r="M7102" s="24" t="str" cm="1">
        <f t="array" ref="M7102">IFERROR(IF($B7102=M$1, ($A7102+$C7102) - MAX(IF($B$2:$B7101=$B7102, $A$2:$A7101+$C$2:$C7101)), "")*24*60, "")</f>
        <v/>
      </c>
      <c r="N7102" s="24" t="str" cm="1">
        <f t="array" ref="N7102">IFERROR(IF($B7102=N$1, ($A7102+$C7102) - MAX(IF($B$2:$B7101=$B7102, $A$2:$A7101+$C$2:$C7101)), "")*24*60, "")</f>
        <v/>
      </c>
      <c r="O7102" s="24" t="str" cm="1">
        <f t="array" ref="O7102">IFERROR(IF($B7102=O$1, ($A7102+$C7102) - MAX(IF($B$2:$B7101=$B7102, $A$2:$A7101+$C$2:$C7101)), "")*24*60, "")</f>
        <v/>
      </c>
      <c r="P7102" s="24" t="str" cm="1">
        <f t="array" ref="P7102">IFERROR(IF($B7102=P$1, ($A7102+$C7102) - MAX(IF($B$2:$B7101=$B7102, $A$2:$A7101+$C$2:$C7101)), "")*24*60, "")</f>
        <v/>
      </c>
      <c r="Q7102" s="24" t="str" cm="1">
        <f t="array" ref="Q7102">IFERROR(IF($B7102=Q$1, ($A7102+$C7102) - MAX(IF($B$2:$B7101=$B7102, $A$2:$A7101+$C$2:$C7101)), "")*24*60, "")</f>
        <v/>
      </c>
      <c r="R7102" s="24" t="str" cm="1">
        <f t="array" ref="R7102">IFERROR(IF($B7102=R$1, ($A7102+$C7102) - MAX(IF($B$2:$B7101=$B7102, $A$2:$A7101+$C$2:$C7101)), "")*24*60, "")</f>
        <v/>
      </c>
      <c r="S7102" s="24" t="str" cm="1">
        <f t="array" ref="S7102">IFERROR(IF($B7102=S$1, ($A7102+$C7102) - MAX(IF($B$2:$B7101=$B7102, $A$2:$A7101+$C$2:$C7101)), "")*24*60, "")</f>
        <v/>
      </c>
    </row>
    <row r="7103" spans="1:19" x14ac:dyDescent="0.2">
      <c r="A7103" s="12">
        <f t="shared" ref="A7103:C7103" si="1438">A7102</f>
        <v>46003</v>
      </c>
      <c r="B7103" s="5" t="str">
        <f t="shared" si="1438"/>
        <v>Tufted Titmouse</v>
      </c>
      <c r="C7103" s="6">
        <f t="shared" si="1438"/>
        <v>0.47430555555555554</v>
      </c>
      <c r="D7103" s="5"/>
      <c r="E7103" s="5"/>
      <c r="F7103" s="5" t="s">
        <v>22</v>
      </c>
      <c r="G7103" s="15" t="s">
        <v>22</v>
      </c>
      <c r="H7103" s="24">
        <f t="shared" si="1399"/>
        <v>0</v>
      </c>
      <c r="I7103" s="24" t="str" cm="1">
        <f t="array" ref="I7103">IFERROR(IF($B7103=I$1, ($A7103+$C7103) - MAX(IF($B$2:$B7102=$B7103, $A$2:$A7102+$C$2:$C7102)), "")*24*60, "")</f>
        <v/>
      </c>
      <c r="J7103" s="24" cm="1">
        <f t="array" ref="J7103">IFERROR(IF($B7103=J$1, ($A7103+$C7103) - MAX(IF($B$2:$B7102=$B7103, $A$2:$A7102+$C$2:$C7102)), "")*24*60, "")</f>
        <v>0</v>
      </c>
      <c r="K7103" s="24" t="str" cm="1">
        <f t="array" ref="K7103">IFERROR(IF($B7103=K$1, ($A7103+$C7103) - MAX(IF($B$2:$B7102=$B7103, $A$2:$A7102+$C$2:$C7102)), "")*24*60, "")</f>
        <v/>
      </c>
      <c r="L7103" s="24" t="str" cm="1">
        <f t="array" ref="L7103">IFERROR(IF($B7103=L$1, ($A7103+$C7103) - MAX(IF($B$2:$B7102=$B7103, $A$2:$A7102+$C$2:$C7102)), "")*24*60, "")</f>
        <v/>
      </c>
      <c r="M7103" s="24" t="str" cm="1">
        <f t="array" ref="M7103">IFERROR(IF($B7103=M$1, ($A7103+$C7103) - MAX(IF($B$2:$B7102=$B7103, $A$2:$A7102+$C$2:$C7102)), "")*24*60, "")</f>
        <v/>
      </c>
      <c r="N7103" s="24" t="str" cm="1">
        <f t="array" ref="N7103">IFERROR(IF($B7103=N$1, ($A7103+$C7103) - MAX(IF($B$2:$B7102=$B7103, $A$2:$A7102+$C$2:$C7102)), "")*24*60, "")</f>
        <v/>
      </c>
      <c r="O7103" s="24" t="str" cm="1">
        <f t="array" ref="O7103">IFERROR(IF($B7103=O$1, ($A7103+$C7103) - MAX(IF($B$2:$B7102=$B7103, $A$2:$A7102+$C$2:$C7102)), "")*24*60, "")</f>
        <v/>
      </c>
      <c r="P7103" s="24" t="str" cm="1">
        <f t="array" ref="P7103">IFERROR(IF($B7103=P$1, ($A7103+$C7103) - MAX(IF($B$2:$B7102=$B7103, $A$2:$A7102+$C$2:$C7102)), "")*24*60, "")</f>
        <v/>
      </c>
      <c r="Q7103" s="24" t="str" cm="1">
        <f t="array" ref="Q7103">IFERROR(IF($B7103=Q$1, ($A7103+$C7103) - MAX(IF($B$2:$B7102=$B7103, $A$2:$A7102+$C$2:$C7102)), "")*24*60, "")</f>
        <v/>
      </c>
      <c r="R7103" s="24" t="str" cm="1">
        <f t="array" ref="R7103">IFERROR(IF($B7103=R$1, ($A7103+$C7103) - MAX(IF($B$2:$B7102=$B7103, $A$2:$A7102+$C$2:$C7102)), "")*24*60, "")</f>
        <v/>
      </c>
      <c r="S7103" s="24" t="str" cm="1">
        <f t="array" ref="S7103">IFERROR(IF($B7103=S$1, ($A7103+$C7103) - MAX(IF($B$2:$B7102=$B7103, $A$2:$A7102+$C$2:$C7102)), "")*24*60, "")</f>
        <v/>
      </c>
    </row>
    <row r="7104" spans="1:19" x14ac:dyDescent="0.2">
      <c r="A7104" s="12">
        <f t="shared" ref="A7104:C7104" si="1439">A7103</f>
        <v>46003</v>
      </c>
      <c r="B7104" s="5" t="str">
        <f t="shared" si="1439"/>
        <v>Tufted Titmouse</v>
      </c>
      <c r="C7104" s="6">
        <f t="shared" si="1439"/>
        <v>0.47430555555555554</v>
      </c>
      <c r="D7104" s="5"/>
      <c r="E7104" s="5"/>
      <c r="F7104" s="5" t="s">
        <v>22</v>
      </c>
      <c r="G7104" s="15" t="s">
        <v>22</v>
      </c>
      <c r="H7104" s="24">
        <f t="shared" si="1399"/>
        <v>0</v>
      </c>
      <c r="I7104" s="24" t="str" cm="1">
        <f t="array" ref="I7104">IFERROR(IF($B7104=I$1, ($A7104+$C7104) - MAX(IF($B$2:$B7103=$B7104, $A$2:$A7103+$C$2:$C7103)), "")*24*60, "")</f>
        <v/>
      </c>
      <c r="J7104" s="24" cm="1">
        <f t="array" ref="J7104">IFERROR(IF($B7104=J$1, ($A7104+$C7104) - MAX(IF($B$2:$B7103=$B7104, $A$2:$A7103+$C$2:$C7103)), "")*24*60, "")</f>
        <v>0</v>
      </c>
      <c r="K7104" s="24" t="str" cm="1">
        <f t="array" ref="K7104">IFERROR(IF($B7104=K$1, ($A7104+$C7104) - MAX(IF($B$2:$B7103=$B7104, $A$2:$A7103+$C$2:$C7103)), "")*24*60, "")</f>
        <v/>
      </c>
      <c r="L7104" s="24" t="str" cm="1">
        <f t="array" ref="L7104">IFERROR(IF($B7104=L$1, ($A7104+$C7104) - MAX(IF($B$2:$B7103=$B7104, $A$2:$A7103+$C$2:$C7103)), "")*24*60, "")</f>
        <v/>
      </c>
      <c r="M7104" s="24" t="str" cm="1">
        <f t="array" ref="M7104">IFERROR(IF($B7104=M$1, ($A7104+$C7104) - MAX(IF($B$2:$B7103=$B7104, $A$2:$A7103+$C$2:$C7103)), "")*24*60, "")</f>
        <v/>
      </c>
      <c r="N7104" s="24" t="str" cm="1">
        <f t="array" ref="N7104">IFERROR(IF($B7104=N$1, ($A7104+$C7104) - MAX(IF($B$2:$B7103=$B7104, $A$2:$A7103+$C$2:$C7103)), "")*24*60, "")</f>
        <v/>
      </c>
      <c r="O7104" s="24" t="str" cm="1">
        <f t="array" ref="O7104">IFERROR(IF($B7104=O$1, ($A7104+$C7104) - MAX(IF($B$2:$B7103=$B7104, $A$2:$A7103+$C$2:$C7103)), "")*24*60, "")</f>
        <v/>
      </c>
      <c r="P7104" s="24" t="str" cm="1">
        <f t="array" ref="P7104">IFERROR(IF($B7104=P$1, ($A7104+$C7104) - MAX(IF($B$2:$B7103=$B7104, $A$2:$A7103+$C$2:$C7103)), "")*24*60, "")</f>
        <v/>
      </c>
      <c r="Q7104" s="24" t="str" cm="1">
        <f t="array" ref="Q7104">IFERROR(IF($B7104=Q$1, ($A7104+$C7104) - MAX(IF($B$2:$B7103=$B7104, $A$2:$A7103+$C$2:$C7103)), "")*24*60, "")</f>
        <v/>
      </c>
      <c r="R7104" s="24" t="str" cm="1">
        <f t="array" ref="R7104">IFERROR(IF($B7104=R$1, ($A7104+$C7104) - MAX(IF($B$2:$B7103=$B7104, $A$2:$A7103+$C$2:$C7103)), "")*24*60, "")</f>
        <v/>
      </c>
      <c r="S7104" s="24" t="str" cm="1">
        <f t="array" ref="S7104">IFERROR(IF($B7104=S$1, ($A7104+$C7104) - MAX(IF($B$2:$B7103=$B7104, $A$2:$A7103+$C$2:$C7103)), "")*24*60, "")</f>
        <v/>
      </c>
    </row>
    <row r="7105" spans="1:19" x14ac:dyDescent="0.2">
      <c r="A7105" s="12">
        <f t="shared" ref="A7105:C7105" si="1440">A7104</f>
        <v>46003</v>
      </c>
      <c r="B7105" s="5" t="str">
        <f t="shared" si="1440"/>
        <v>Tufted Titmouse</v>
      </c>
      <c r="C7105" s="6">
        <f t="shared" si="1440"/>
        <v>0.47430555555555554</v>
      </c>
      <c r="D7105" s="5"/>
      <c r="E7105" s="5"/>
      <c r="F7105" s="5" t="s">
        <v>22</v>
      </c>
      <c r="G7105" s="15" t="s">
        <v>22</v>
      </c>
      <c r="H7105" s="24">
        <f t="shared" si="1399"/>
        <v>0</v>
      </c>
      <c r="I7105" s="24" t="str" cm="1">
        <f t="array" ref="I7105">IFERROR(IF($B7105=I$1, ($A7105+$C7105) - MAX(IF($B$2:$B7104=$B7105, $A$2:$A7104+$C$2:$C7104)), "")*24*60, "")</f>
        <v/>
      </c>
      <c r="J7105" s="24" cm="1">
        <f t="array" ref="J7105">IFERROR(IF($B7105=J$1, ($A7105+$C7105) - MAX(IF($B$2:$B7104=$B7105, $A$2:$A7104+$C$2:$C7104)), "")*24*60, "")</f>
        <v>0</v>
      </c>
      <c r="K7105" s="24" t="str" cm="1">
        <f t="array" ref="K7105">IFERROR(IF($B7105=K$1, ($A7105+$C7105) - MAX(IF($B$2:$B7104=$B7105, $A$2:$A7104+$C$2:$C7104)), "")*24*60, "")</f>
        <v/>
      </c>
      <c r="L7105" s="24" t="str" cm="1">
        <f t="array" ref="L7105">IFERROR(IF($B7105=L$1, ($A7105+$C7105) - MAX(IF($B$2:$B7104=$B7105, $A$2:$A7104+$C$2:$C7104)), "")*24*60, "")</f>
        <v/>
      </c>
      <c r="M7105" s="24" t="str" cm="1">
        <f t="array" ref="M7105">IFERROR(IF($B7105=M$1, ($A7105+$C7105) - MAX(IF($B$2:$B7104=$B7105, $A$2:$A7104+$C$2:$C7104)), "")*24*60, "")</f>
        <v/>
      </c>
      <c r="N7105" s="24" t="str" cm="1">
        <f t="array" ref="N7105">IFERROR(IF($B7105=N$1, ($A7105+$C7105) - MAX(IF($B$2:$B7104=$B7105, $A$2:$A7104+$C$2:$C7104)), "")*24*60, "")</f>
        <v/>
      </c>
      <c r="O7105" s="24" t="str" cm="1">
        <f t="array" ref="O7105">IFERROR(IF($B7105=O$1, ($A7105+$C7105) - MAX(IF($B$2:$B7104=$B7105, $A$2:$A7104+$C$2:$C7104)), "")*24*60, "")</f>
        <v/>
      </c>
      <c r="P7105" s="24" t="str" cm="1">
        <f t="array" ref="P7105">IFERROR(IF($B7105=P$1, ($A7105+$C7105) - MAX(IF($B$2:$B7104=$B7105, $A$2:$A7104+$C$2:$C7104)), "")*24*60, "")</f>
        <v/>
      </c>
      <c r="Q7105" s="24" t="str" cm="1">
        <f t="array" ref="Q7105">IFERROR(IF($B7105=Q$1, ($A7105+$C7105) - MAX(IF($B$2:$B7104=$B7105, $A$2:$A7104+$C$2:$C7104)), "")*24*60, "")</f>
        <v/>
      </c>
      <c r="R7105" s="24" t="str" cm="1">
        <f t="array" ref="R7105">IFERROR(IF($B7105=R$1, ($A7105+$C7105) - MAX(IF($B$2:$B7104=$B7105, $A$2:$A7104+$C$2:$C7104)), "")*24*60, "")</f>
        <v/>
      </c>
      <c r="S7105" s="24" t="str" cm="1">
        <f t="array" ref="S7105">IFERROR(IF($B7105=S$1, ($A7105+$C7105) - MAX(IF($B$2:$B7104=$B7105, $A$2:$A7104+$C$2:$C7104)), "")*24*60, "")</f>
        <v/>
      </c>
    </row>
    <row r="7106" spans="1:19" x14ac:dyDescent="0.2">
      <c r="A7106" s="12">
        <f t="shared" ref="A7106:C7106" si="1441">A7105</f>
        <v>46003</v>
      </c>
      <c r="B7106" s="5" t="str">
        <f t="shared" si="1441"/>
        <v>Tufted Titmouse</v>
      </c>
      <c r="C7106" s="6">
        <f t="shared" si="1441"/>
        <v>0.47430555555555554</v>
      </c>
      <c r="D7106" s="5"/>
      <c r="E7106" s="5"/>
      <c r="F7106" s="5" t="s">
        <v>22</v>
      </c>
      <c r="G7106" s="15" t="s">
        <v>22</v>
      </c>
      <c r="H7106" s="24">
        <f t="shared" si="1399"/>
        <v>0</v>
      </c>
      <c r="I7106" s="24" t="str" cm="1">
        <f t="array" ref="I7106">IFERROR(IF($B7106=I$1, ($A7106+$C7106) - MAX(IF($B$2:$B7105=$B7106, $A$2:$A7105+$C$2:$C7105)), "")*24*60, "")</f>
        <v/>
      </c>
      <c r="J7106" s="24" cm="1">
        <f t="array" ref="J7106">IFERROR(IF($B7106=J$1, ($A7106+$C7106) - MAX(IF($B$2:$B7105=$B7106, $A$2:$A7105+$C$2:$C7105)), "")*24*60, "")</f>
        <v>0</v>
      </c>
      <c r="K7106" s="24" t="str" cm="1">
        <f t="array" ref="K7106">IFERROR(IF($B7106=K$1, ($A7106+$C7106) - MAX(IF($B$2:$B7105=$B7106, $A$2:$A7105+$C$2:$C7105)), "")*24*60, "")</f>
        <v/>
      </c>
      <c r="L7106" s="24" t="str" cm="1">
        <f t="array" ref="L7106">IFERROR(IF($B7106=L$1, ($A7106+$C7106) - MAX(IF($B$2:$B7105=$B7106, $A$2:$A7105+$C$2:$C7105)), "")*24*60, "")</f>
        <v/>
      </c>
      <c r="M7106" s="24" t="str" cm="1">
        <f t="array" ref="M7106">IFERROR(IF($B7106=M$1, ($A7106+$C7106) - MAX(IF($B$2:$B7105=$B7106, $A$2:$A7105+$C$2:$C7105)), "")*24*60, "")</f>
        <v/>
      </c>
      <c r="N7106" s="24" t="str" cm="1">
        <f t="array" ref="N7106">IFERROR(IF($B7106=N$1, ($A7106+$C7106) - MAX(IF($B$2:$B7105=$B7106, $A$2:$A7105+$C$2:$C7105)), "")*24*60, "")</f>
        <v/>
      </c>
      <c r="O7106" s="24" t="str" cm="1">
        <f t="array" ref="O7106">IFERROR(IF($B7106=O$1, ($A7106+$C7106) - MAX(IF($B$2:$B7105=$B7106, $A$2:$A7105+$C$2:$C7105)), "")*24*60, "")</f>
        <v/>
      </c>
      <c r="P7106" s="24" t="str" cm="1">
        <f t="array" ref="P7106">IFERROR(IF($B7106=P$1, ($A7106+$C7106) - MAX(IF($B$2:$B7105=$B7106, $A$2:$A7105+$C$2:$C7105)), "")*24*60, "")</f>
        <v/>
      </c>
      <c r="Q7106" s="24" t="str" cm="1">
        <f t="array" ref="Q7106">IFERROR(IF($B7106=Q$1, ($A7106+$C7106) - MAX(IF($B$2:$B7105=$B7106, $A$2:$A7105+$C$2:$C7105)), "")*24*60, "")</f>
        <v/>
      </c>
      <c r="R7106" s="24" t="str" cm="1">
        <f t="array" ref="R7106">IFERROR(IF($B7106=R$1, ($A7106+$C7106) - MAX(IF($B$2:$B7105=$B7106, $A$2:$A7105+$C$2:$C7105)), "")*24*60, "")</f>
        <v/>
      </c>
      <c r="S7106" s="24" t="str" cm="1">
        <f t="array" ref="S7106">IFERROR(IF($B7106=S$1, ($A7106+$C7106) - MAX(IF($B$2:$B7105=$B7106, $A$2:$A7105+$C$2:$C7105)), "")*24*60, "")</f>
        <v/>
      </c>
    </row>
    <row r="7107" spans="1:19" x14ac:dyDescent="0.2">
      <c r="A7107" s="12">
        <f t="shared" ref="A7107:C7107" si="1442">A7106</f>
        <v>46003</v>
      </c>
      <c r="B7107" s="5" t="str">
        <f t="shared" si="1442"/>
        <v>Tufted Titmouse</v>
      </c>
      <c r="C7107" s="6">
        <f t="shared" si="1442"/>
        <v>0.47430555555555554</v>
      </c>
      <c r="D7107" s="5"/>
      <c r="E7107" s="5"/>
      <c r="F7107" s="5" t="s">
        <v>22</v>
      </c>
      <c r="G7107" s="15" t="s">
        <v>22</v>
      </c>
      <c r="H7107" s="24">
        <f t="shared" si="1399"/>
        <v>0</v>
      </c>
      <c r="I7107" s="24" t="str" cm="1">
        <f t="array" ref="I7107">IFERROR(IF($B7107=I$1, ($A7107+$C7107) - MAX(IF($B$2:$B7106=$B7107, $A$2:$A7106+$C$2:$C7106)), "")*24*60, "")</f>
        <v/>
      </c>
      <c r="J7107" s="24" cm="1">
        <f t="array" ref="J7107">IFERROR(IF($B7107=J$1, ($A7107+$C7107) - MAX(IF($B$2:$B7106=$B7107, $A$2:$A7106+$C$2:$C7106)), "")*24*60, "")</f>
        <v>0</v>
      </c>
      <c r="K7107" s="24" t="str" cm="1">
        <f t="array" ref="K7107">IFERROR(IF($B7107=K$1, ($A7107+$C7107) - MAX(IF($B$2:$B7106=$B7107, $A$2:$A7106+$C$2:$C7106)), "")*24*60, "")</f>
        <v/>
      </c>
      <c r="L7107" s="24" t="str" cm="1">
        <f t="array" ref="L7107">IFERROR(IF($B7107=L$1, ($A7107+$C7107) - MAX(IF($B$2:$B7106=$B7107, $A$2:$A7106+$C$2:$C7106)), "")*24*60, "")</f>
        <v/>
      </c>
      <c r="M7107" s="24" t="str" cm="1">
        <f t="array" ref="M7107">IFERROR(IF($B7107=M$1, ($A7107+$C7107) - MAX(IF($B$2:$B7106=$B7107, $A$2:$A7106+$C$2:$C7106)), "")*24*60, "")</f>
        <v/>
      </c>
      <c r="N7107" s="24" t="str" cm="1">
        <f t="array" ref="N7107">IFERROR(IF($B7107=N$1, ($A7107+$C7107) - MAX(IF($B$2:$B7106=$B7107, $A$2:$A7106+$C$2:$C7106)), "")*24*60, "")</f>
        <v/>
      </c>
      <c r="O7107" s="24" t="str" cm="1">
        <f t="array" ref="O7107">IFERROR(IF($B7107=O$1, ($A7107+$C7107) - MAX(IF($B$2:$B7106=$B7107, $A$2:$A7106+$C$2:$C7106)), "")*24*60, "")</f>
        <v/>
      </c>
      <c r="P7107" s="24" t="str" cm="1">
        <f t="array" ref="P7107">IFERROR(IF($B7107=P$1, ($A7107+$C7107) - MAX(IF($B$2:$B7106=$B7107, $A$2:$A7106+$C$2:$C7106)), "")*24*60, "")</f>
        <v/>
      </c>
      <c r="Q7107" s="24" t="str" cm="1">
        <f t="array" ref="Q7107">IFERROR(IF($B7107=Q$1, ($A7107+$C7107) - MAX(IF($B$2:$B7106=$B7107, $A$2:$A7106+$C$2:$C7106)), "")*24*60, "")</f>
        <v/>
      </c>
      <c r="R7107" s="24" t="str" cm="1">
        <f t="array" ref="R7107">IFERROR(IF($B7107=R$1, ($A7107+$C7107) - MAX(IF($B$2:$B7106=$B7107, $A$2:$A7106+$C$2:$C7106)), "")*24*60, "")</f>
        <v/>
      </c>
      <c r="S7107" s="24" t="str" cm="1">
        <f t="array" ref="S7107">IFERROR(IF($B7107=S$1, ($A7107+$C7107) - MAX(IF($B$2:$B7106=$B7107, $A$2:$A7106+$C$2:$C7106)), "")*24*60, "")</f>
        <v/>
      </c>
    </row>
    <row r="7108" spans="1:19" x14ac:dyDescent="0.2">
      <c r="A7108" s="12">
        <f t="shared" ref="A7108:C7108" si="1443">A7107</f>
        <v>46003</v>
      </c>
      <c r="B7108" s="5" t="str">
        <f t="shared" si="1443"/>
        <v>Tufted Titmouse</v>
      </c>
      <c r="C7108" s="6">
        <f t="shared" si="1443"/>
        <v>0.47430555555555554</v>
      </c>
      <c r="D7108" s="5"/>
      <c r="E7108" s="5"/>
      <c r="F7108" s="5" t="s">
        <v>22</v>
      </c>
      <c r="G7108" s="15" t="s">
        <v>22</v>
      </c>
      <c r="H7108" s="24">
        <f t="shared" si="1399"/>
        <v>0</v>
      </c>
      <c r="I7108" s="24" t="str" cm="1">
        <f t="array" ref="I7108">IFERROR(IF($B7108=I$1, ($A7108+$C7108) - MAX(IF($B$2:$B7107=$B7108, $A$2:$A7107+$C$2:$C7107)), "")*24*60, "")</f>
        <v/>
      </c>
      <c r="J7108" s="24" cm="1">
        <f t="array" ref="J7108">IFERROR(IF($B7108=J$1, ($A7108+$C7108) - MAX(IF($B$2:$B7107=$B7108, $A$2:$A7107+$C$2:$C7107)), "")*24*60, "")</f>
        <v>0</v>
      </c>
      <c r="K7108" s="24" t="str" cm="1">
        <f t="array" ref="K7108">IFERROR(IF($B7108=K$1, ($A7108+$C7108) - MAX(IF($B$2:$B7107=$B7108, $A$2:$A7107+$C$2:$C7107)), "")*24*60, "")</f>
        <v/>
      </c>
      <c r="L7108" s="24" t="str" cm="1">
        <f t="array" ref="L7108">IFERROR(IF($B7108=L$1, ($A7108+$C7108) - MAX(IF($B$2:$B7107=$B7108, $A$2:$A7107+$C$2:$C7107)), "")*24*60, "")</f>
        <v/>
      </c>
      <c r="M7108" s="24" t="str" cm="1">
        <f t="array" ref="M7108">IFERROR(IF($B7108=M$1, ($A7108+$C7108) - MAX(IF($B$2:$B7107=$B7108, $A$2:$A7107+$C$2:$C7107)), "")*24*60, "")</f>
        <v/>
      </c>
      <c r="N7108" s="24" t="str" cm="1">
        <f t="array" ref="N7108">IFERROR(IF($B7108=N$1, ($A7108+$C7108) - MAX(IF($B$2:$B7107=$B7108, $A$2:$A7107+$C$2:$C7107)), "")*24*60, "")</f>
        <v/>
      </c>
      <c r="O7108" s="24" t="str" cm="1">
        <f t="array" ref="O7108">IFERROR(IF($B7108=O$1, ($A7108+$C7108) - MAX(IF($B$2:$B7107=$B7108, $A$2:$A7107+$C$2:$C7107)), "")*24*60, "")</f>
        <v/>
      </c>
      <c r="P7108" s="24" t="str" cm="1">
        <f t="array" ref="P7108">IFERROR(IF($B7108=P$1, ($A7108+$C7108) - MAX(IF($B$2:$B7107=$B7108, $A$2:$A7107+$C$2:$C7107)), "")*24*60, "")</f>
        <v/>
      </c>
      <c r="Q7108" s="24" t="str" cm="1">
        <f t="array" ref="Q7108">IFERROR(IF($B7108=Q$1, ($A7108+$C7108) - MAX(IF($B$2:$B7107=$B7108, $A$2:$A7107+$C$2:$C7107)), "")*24*60, "")</f>
        <v/>
      </c>
      <c r="R7108" s="24" t="str" cm="1">
        <f t="array" ref="R7108">IFERROR(IF($B7108=R$1, ($A7108+$C7108) - MAX(IF($B$2:$B7107=$B7108, $A$2:$A7107+$C$2:$C7107)), "")*24*60, "")</f>
        <v/>
      </c>
      <c r="S7108" s="24" t="str" cm="1">
        <f t="array" ref="S7108">IFERROR(IF($B7108=S$1, ($A7108+$C7108) - MAX(IF($B$2:$B7107=$B7108, $A$2:$A7107+$C$2:$C7107)), "")*24*60, "")</f>
        <v/>
      </c>
    </row>
    <row r="7109" spans="1:19" x14ac:dyDescent="0.2">
      <c r="A7109" s="12">
        <f t="shared" ref="A7109:C7109" si="1444">A7108</f>
        <v>46003</v>
      </c>
      <c r="B7109" s="5" t="str">
        <f t="shared" si="1444"/>
        <v>Tufted Titmouse</v>
      </c>
      <c r="C7109" s="6">
        <f t="shared" si="1444"/>
        <v>0.47430555555555554</v>
      </c>
      <c r="D7109" s="5"/>
      <c r="E7109" s="5"/>
      <c r="F7109" s="5" t="s">
        <v>22</v>
      </c>
      <c r="G7109" s="15" t="s">
        <v>22</v>
      </c>
      <c r="H7109" s="24">
        <f t="shared" si="1399"/>
        <v>0</v>
      </c>
      <c r="I7109" s="24" t="str" cm="1">
        <f t="array" ref="I7109">IFERROR(IF($B7109=I$1, ($A7109+$C7109) - MAX(IF($B$2:$B7108=$B7109, $A$2:$A7108+$C$2:$C7108)), "")*24*60, "")</f>
        <v/>
      </c>
      <c r="J7109" s="24" cm="1">
        <f t="array" ref="J7109">IFERROR(IF($B7109=J$1, ($A7109+$C7109) - MAX(IF($B$2:$B7108=$B7109, $A$2:$A7108+$C$2:$C7108)), "")*24*60, "")</f>
        <v>0</v>
      </c>
      <c r="K7109" s="24" t="str" cm="1">
        <f t="array" ref="K7109">IFERROR(IF($B7109=K$1, ($A7109+$C7109) - MAX(IF($B$2:$B7108=$B7109, $A$2:$A7108+$C$2:$C7108)), "")*24*60, "")</f>
        <v/>
      </c>
      <c r="L7109" s="24" t="str" cm="1">
        <f t="array" ref="L7109">IFERROR(IF($B7109=L$1, ($A7109+$C7109) - MAX(IF($B$2:$B7108=$B7109, $A$2:$A7108+$C$2:$C7108)), "")*24*60, "")</f>
        <v/>
      </c>
      <c r="M7109" s="24" t="str" cm="1">
        <f t="array" ref="M7109">IFERROR(IF($B7109=M$1, ($A7109+$C7109) - MAX(IF($B$2:$B7108=$B7109, $A$2:$A7108+$C$2:$C7108)), "")*24*60, "")</f>
        <v/>
      </c>
      <c r="N7109" s="24" t="str" cm="1">
        <f t="array" ref="N7109">IFERROR(IF($B7109=N$1, ($A7109+$C7109) - MAX(IF($B$2:$B7108=$B7109, $A$2:$A7108+$C$2:$C7108)), "")*24*60, "")</f>
        <v/>
      </c>
      <c r="O7109" s="24" t="str" cm="1">
        <f t="array" ref="O7109">IFERROR(IF($B7109=O$1, ($A7109+$C7109) - MAX(IF($B$2:$B7108=$B7109, $A$2:$A7108+$C$2:$C7108)), "")*24*60, "")</f>
        <v/>
      </c>
      <c r="P7109" s="24" t="str" cm="1">
        <f t="array" ref="P7109">IFERROR(IF($B7109=P$1, ($A7109+$C7109) - MAX(IF($B$2:$B7108=$B7109, $A$2:$A7108+$C$2:$C7108)), "")*24*60, "")</f>
        <v/>
      </c>
      <c r="Q7109" s="24" t="str" cm="1">
        <f t="array" ref="Q7109">IFERROR(IF($B7109=Q$1, ($A7109+$C7109) - MAX(IF($B$2:$B7108=$B7109, $A$2:$A7108+$C$2:$C7108)), "")*24*60, "")</f>
        <v/>
      </c>
      <c r="R7109" s="24" t="str" cm="1">
        <f t="array" ref="R7109">IFERROR(IF($B7109=R$1, ($A7109+$C7109) - MAX(IF($B$2:$B7108=$B7109, $A$2:$A7108+$C$2:$C7108)), "")*24*60, "")</f>
        <v/>
      </c>
      <c r="S7109" s="24" t="str" cm="1">
        <f t="array" ref="S7109">IFERROR(IF($B7109=S$1, ($A7109+$C7109) - MAX(IF($B$2:$B7108=$B7109, $A$2:$A7108+$C$2:$C7108)), "")*24*60, "")</f>
        <v/>
      </c>
    </row>
    <row r="7110" spans="1:19" x14ac:dyDescent="0.2">
      <c r="A7110" s="12">
        <f t="shared" ref="A7110:C7110" si="1445">A7109</f>
        <v>46003</v>
      </c>
      <c r="B7110" s="5" t="str">
        <f t="shared" si="1445"/>
        <v>Tufted Titmouse</v>
      </c>
      <c r="C7110" s="6">
        <f t="shared" si="1445"/>
        <v>0.47430555555555554</v>
      </c>
      <c r="D7110" s="5"/>
      <c r="E7110" s="5"/>
      <c r="F7110" s="5" t="s">
        <v>22</v>
      </c>
      <c r="G7110" s="15" t="s">
        <v>22</v>
      </c>
      <c r="H7110" s="24">
        <f t="shared" si="1399"/>
        <v>0</v>
      </c>
      <c r="I7110" s="24" t="str" cm="1">
        <f t="array" ref="I7110">IFERROR(IF($B7110=I$1, ($A7110+$C7110) - MAX(IF($B$2:$B7109=$B7110, $A$2:$A7109+$C$2:$C7109)), "")*24*60, "")</f>
        <v/>
      </c>
      <c r="J7110" s="24" cm="1">
        <f t="array" ref="J7110">IFERROR(IF($B7110=J$1, ($A7110+$C7110) - MAX(IF($B$2:$B7109=$B7110, $A$2:$A7109+$C$2:$C7109)), "")*24*60, "")</f>
        <v>0</v>
      </c>
      <c r="K7110" s="24" t="str" cm="1">
        <f t="array" ref="K7110">IFERROR(IF($B7110=K$1, ($A7110+$C7110) - MAX(IF($B$2:$B7109=$B7110, $A$2:$A7109+$C$2:$C7109)), "")*24*60, "")</f>
        <v/>
      </c>
      <c r="L7110" s="24" t="str" cm="1">
        <f t="array" ref="L7110">IFERROR(IF($B7110=L$1, ($A7110+$C7110) - MAX(IF($B$2:$B7109=$B7110, $A$2:$A7109+$C$2:$C7109)), "")*24*60, "")</f>
        <v/>
      </c>
      <c r="M7110" s="24" t="str" cm="1">
        <f t="array" ref="M7110">IFERROR(IF($B7110=M$1, ($A7110+$C7110) - MAX(IF($B$2:$B7109=$B7110, $A$2:$A7109+$C$2:$C7109)), "")*24*60, "")</f>
        <v/>
      </c>
      <c r="N7110" s="24" t="str" cm="1">
        <f t="array" ref="N7110">IFERROR(IF($B7110=N$1, ($A7110+$C7110) - MAX(IF($B$2:$B7109=$B7110, $A$2:$A7109+$C$2:$C7109)), "")*24*60, "")</f>
        <v/>
      </c>
      <c r="O7110" s="24" t="str" cm="1">
        <f t="array" ref="O7110">IFERROR(IF($B7110=O$1, ($A7110+$C7110) - MAX(IF($B$2:$B7109=$B7110, $A$2:$A7109+$C$2:$C7109)), "")*24*60, "")</f>
        <v/>
      </c>
      <c r="P7110" s="24" t="str" cm="1">
        <f t="array" ref="P7110">IFERROR(IF($B7110=P$1, ($A7110+$C7110) - MAX(IF($B$2:$B7109=$B7110, $A$2:$A7109+$C$2:$C7109)), "")*24*60, "")</f>
        <v/>
      </c>
      <c r="Q7110" s="24" t="str" cm="1">
        <f t="array" ref="Q7110">IFERROR(IF($B7110=Q$1, ($A7110+$C7110) - MAX(IF($B$2:$B7109=$B7110, $A$2:$A7109+$C$2:$C7109)), "")*24*60, "")</f>
        <v/>
      </c>
      <c r="R7110" s="24" t="str" cm="1">
        <f t="array" ref="R7110">IFERROR(IF($B7110=R$1, ($A7110+$C7110) - MAX(IF($B$2:$B7109=$B7110, $A$2:$A7109+$C$2:$C7109)), "")*24*60, "")</f>
        <v/>
      </c>
      <c r="S7110" s="24" t="str" cm="1">
        <f t="array" ref="S7110">IFERROR(IF($B7110=S$1, ($A7110+$C7110) - MAX(IF($B$2:$B7109=$B7110, $A$2:$A7109+$C$2:$C7109)), "")*24*60, "")</f>
        <v/>
      </c>
    </row>
    <row r="7111" spans="1:19" x14ac:dyDescent="0.2">
      <c r="A7111" s="12">
        <f t="shared" ref="A7111:C7111" si="1446">A7110</f>
        <v>46003</v>
      </c>
      <c r="B7111" s="5" t="str">
        <f t="shared" si="1446"/>
        <v>Tufted Titmouse</v>
      </c>
      <c r="C7111" s="6">
        <f t="shared" si="1446"/>
        <v>0.47430555555555554</v>
      </c>
      <c r="D7111" s="5"/>
      <c r="E7111" s="5"/>
      <c r="F7111" s="5" t="s">
        <v>22</v>
      </c>
      <c r="G7111" s="15" t="s">
        <v>22</v>
      </c>
      <c r="H7111" s="24">
        <f t="shared" si="1399"/>
        <v>0</v>
      </c>
      <c r="I7111" s="24" t="str" cm="1">
        <f t="array" ref="I7111">IFERROR(IF($B7111=I$1, ($A7111+$C7111) - MAX(IF($B$2:$B7110=$B7111, $A$2:$A7110+$C$2:$C7110)), "")*24*60, "")</f>
        <v/>
      </c>
      <c r="J7111" s="24" cm="1">
        <f t="array" ref="J7111">IFERROR(IF($B7111=J$1, ($A7111+$C7111) - MAX(IF($B$2:$B7110=$B7111, $A$2:$A7110+$C$2:$C7110)), "")*24*60, "")</f>
        <v>0</v>
      </c>
      <c r="K7111" s="24" t="str" cm="1">
        <f t="array" ref="K7111">IFERROR(IF($B7111=K$1, ($A7111+$C7111) - MAX(IF($B$2:$B7110=$B7111, $A$2:$A7110+$C$2:$C7110)), "")*24*60, "")</f>
        <v/>
      </c>
      <c r="L7111" s="24" t="str" cm="1">
        <f t="array" ref="L7111">IFERROR(IF($B7111=L$1, ($A7111+$C7111) - MAX(IF($B$2:$B7110=$B7111, $A$2:$A7110+$C$2:$C7110)), "")*24*60, "")</f>
        <v/>
      </c>
      <c r="M7111" s="24" t="str" cm="1">
        <f t="array" ref="M7111">IFERROR(IF($B7111=M$1, ($A7111+$C7111) - MAX(IF($B$2:$B7110=$B7111, $A$2:$A7110+$C$2:$C7110)), "")*24*60, "")</f>
        <v/>
      </c>
      <c r="N7111" s="24" t="str" cm="1">
        <f t="array" ref="N7111">IFERROR(IF($B7111=N$1, ($A7111+$C7111) - MAX(IF($B$2:$B7110=$B7111, $A$2:$A7110+$C$2:$C7110)), "")*24*60, "")</f>
        <v/>
      </c>
      <c r="O7111" s="24" t="str" cm="1">
        <f t="array" ref="O7111">IFERROR(IF($B7111=O$1, ($A7111+$C7111) - MAX(IF($B$2:$B7110=$B7111, $A$2:$A7110+$C$2:$C7110)), "")*24*60, "")</f>
        <v/>
      </c>
      <c r="P7111" s="24" t="str" cm="1">
        <f t="array" ref="P7111">IFERROR(IF($B7111=P$1, ($A7111+$C7111) - MAX(IF($B$2:$B7110=$B7111, $A$2:$A7110+$C$2:$C7110)), "")*24*60, "")</f>
        <v/>
      </c>
      <c r="Q7111" s="24" t="str" cm="1">
        <f t="array" ref="Q7111">IFERROR(IF($B7111=Q$1, ($A7111+$C7111) - MAX(IF($B$2:$B7110=$B7111, $A$2:$A7110+$C$2:$C7110)), "")*24*60, "")</f>
        <v/>
      </c>
      <c r="R7111" s="24" t="str" cm="1">
        <f t="array" ref="R7111">IFERROR(IF($B7111=R$1, ($A7111+$C7111) - MAX(IF($B$2:$B7110=$B7111, $A$2:$A7110+$C$2:$C7110)), "")*24*60, "")</f>
        <v/>
      </c>
      <c r="S7111" s="24" t="str" cm="1">
        <f t="array" ref="S7111">IFERROR(IF($B7111=S$1, ($A7111+$C7111) - MAX(IF($B$2:$B7110=$B7111, $A$2:$A7110+$C$2:$C7110)), "")*24*60, "")</f>
        <v/>
      </c>
    </row>
    <row r="7112" spans="1:19" x14ac:dyDescent="0.2">
      <c r="A7112" s="12">
        <f t="shared" ref="A7112:C7112" si="1447">A7111</f>
        <v>46003</v>
      </c>
      <c r="B7112" s="5" t="str">
        <f t="shared" si="1447"/>
        <v>Tufted Titmouse</v>
      </c>
      <c r="C7112" s="6">
        <f t="shared" si="1447"/>
        <v>0.47430555555555554</v>
      </c>
      <c r="D7112" s="5"/>
      <c r="E7112" s="5"/>
      <c r="F7112" s="5" t="s">
        <v>22</v>
      </c>
      <c r="G7112" s="15" t="s">
        <v>22</v>
      </c>
      <c r="H7112" s="24">
        <f t="shared" si="1399"/>
        <v>0</v>
      </c>
      <c r="I7112" s="24" t="str" cm="1">
        <f t="array" ref="I7112">IFERROR(IF($B7112=I$1, ($A7112+$C7112) - MAX(IF($B$2:$B7111=$B7112, $A$2:$A7111+$C$2:$C7111)), "")*24*60, "")</f>
        <v/>
      </c>
      <c r="J7112" s="24" cm="1">
        <f t="array" ref="J7112">IFERROR(IF($B7112=J$1, ($A7112+$C7112) - MAX(IF($B$2:$B7111=$B7112, $A$2:$A7111+$C$2:$C7111)), "")*24*60, "")</f>
        <v>0</v>
      </c>
      <c r="K7112" s="24" t="str" cm="1">
        <f t="array" ref="K7112">IFERROR(IF($B7112=K$1, ($A7112+$C7112) - MAX(IF($B$2:$B7111=$B7112, $A$2:$A7111+$C$2:$C7111)), "")*24*60, "")</f>
        <v/>
      </c>
      <c r="L7112" s="24" t="str" cm="1">
        <f t="array" ref="L7112">IFERROR(IF($B7112=L$1, ($A7112+$C7112) - MAX(IF($B$2:$B7111=$B7112, $A$2:$A7111+$C$2:$C7111)), "")*24*60, "")</f>
        <v/>
      </c>
      <c r="M7112" s="24" t="str" cm="1">
        <f t="array" ref="M7112">IFERROR(IF($B7112=M$1, ($A7112+$C7112) - MAX(IF($B$2:$B7111=$B7112, $A$2:$A7111+$C$2:$C7111)), "")*24*60, "")</f>
        <v/>
      </c>
      <c r="N7112" s="24" t="str" cm="1">
        <f t="array" ref="N7112">IFERROR(IF($B7112=N$1, ($A7112+$C7112) - MAX(IF($B$2:$B7111=$B7112, $A$2:$A7111+$C$2:$C7111)), "")*24*60, "")</f>
        <v/>
      </c>
      <c r="O7112" s="24" t="str" cm="1">
        <f t="array" ref="O7112">IFERROR(IF($B7112=O$1, ($A7112+$C7112) - MAX(IF($B$2:$B7111=$B7112, $A$2:$A7111+$C$2:$C7111)), "")*24*60, "")</f>
        <v/>
      </c>
      <c r="P7112" s="24" t="str" cm="1">
        <f t="array" ref="P7112">IFERROR(IF($B7112=P$1, ($A7112+$C7112) - MAX(IF($B$2:$B7111=$B7112, $A$2:$A7111+$C$2:$C7111)), "")*24*60, "")</f>
        <v/>
      </c>
      <c r="Q7112" s="24" t="str" cm="1">
        <f t="array" ref="Q7112">IFERROR(IF($B7112=Q$1, ($A7112+$C7112) - MAX(IF($B$2:$B7111=$B7112, $A$2:$A7111+$C$2:$C7111)), "")*24*60, "")</f>
        <v/>
      </c>
      <c r="R7112" s="24" t="str" cm="1">
        <f t="array" ref="R7112">IFERROR(IF($B7112=R$1, ($A7112+$C7112) - MAX(IF($B$2:$B7111=$B7112, $A$2:$A7111+$C$2:$C7111)), "")*24*60, "")</f>
        <v/>
      </c>
      <c r="S7112" s="24" t="str" cm="1">
        <f t="array" ref="S7112">IFERROR(IF($B7112=S$1, ($A7112+$C7112) - MAX(IF($B$2:$B7111=$B7112, $A$2:$A7111+$C$2:$C7111)), "")*24*60, "")</f>
        <v/>
      </c>
    </row>
    <row r="7113" spans="1:19" x14ac:dyDescent="0.2">
      <c r="A7113" s="12">
        <f t="shared" ref="A7113:C7113" si="1448">A7112</f>
        <v>46003</v>
      </c>
      <c r="B7113" s="5" t="str">
        <f t="shared" si="1448"/>
        <v>Tufted Titmouse</v>
      </c>
      <c r="C7113" s="6">
        <f t="shared" si="1448"/>
        <v>0.47430555555555554</v>
      </c>
      <c r="D7113" s="5"/>
      <c r="E7113" s="5"/>
      <c r="F7113" s="5" t="s">
        <v>22</v>
      </c>
      <c r="G7113" s="15" t="s">
        <v>22</v>
      </c>
      <c r="H7113" s="24">
        <f t="shared" si="1399"/>
        <v>0</v>
      </c>
      <c r="I7113" s="24" t="str" cm="1">
        <f t="array" ref="I7113">IFERROR(IF($B7113=I$1, ($A7113+$C7113) - MAX(IF($B$2:$B7112=$B7113, $A$2:$A7112+$C$2:$C7112)), "")*24*60, "")</f>
        <v/>
      </c>
      <c r="J7113" s="24" cm="1">
        <f t="array" ref="J7113">IFERROR(IF($B7113=J$1, ($A7113+$C7113) - MAX(IF($B$2:$B7112=$B7113, $A$2:$A7112+$C$2:$C7112)), "")*24*60, "")</f>
        <v>0</v>
      </c>
      <c r="K7113" s="24" t="str" cm="1">
        <f t="array" ref="K7113">IFERROR(IF($B7113=K$1, ($A7113+$C7113) - MAX(IF($B$2:$B7112=$B7113, $A$2:$A7112+$C$2:$C7112)), "")*24*60, "")</f>
        <v/>
      </c>
      <c r="L7113" s="24" t="str" cm="1">
        <f t="array" ref="L7113">IFERROR(IF($B7113=L$1, ($A7113+$C7113) - MAX(IF($B$2:$B7112=$B7113, $A$2:$A7112+$C$2:$C7112)), "")*24*60, "")</f>
        <v/>
      </c>
      <c r="M7113" s="24" t="str" cm="1">
        <f t="array" ref="M7113">IFERROR(IF($B7113=M$1, ($A7113+$C7113) - MAX(IF($B$2:$B7112=$B7113, $A$2:$A7112+$C$2:$C7112)), "")*24*60, "")</f>
        <v/>
      </c>
      <c r="N7113" s="24" t="str" cm="1">
        <f t="array" ref="N7113">IFERROR(IF($B7113=N$1, ($A7113+$C7113) - MAX(IF($B$2:$B7112=$B7113, $A$2:$A7112+$C$2:$C7112)), "")*24*60, "")</f>
        <v/>
      </c>
      <c r="O7113" s="24" t="str" cm="1">
        <f t="array" ref="O7113">IFERROR(IF($B7113=O$1, ($A7113+$C7113) - MAX(IF($B$2:$B7112=$B7113, $A$2:$A7112+$C$2:$C7112)), "")*24*60, "")</f>
        <v/>
      </c>
      <c r="P7113" s="24" t="str" cm="1">
        <f t="array" ref="P7113">IFERROR(IF($B7113=P$1, ($A7113+$C7113) - MAX(IF($B$2:$B7112=$B7113, $A$2:$A7112+$C$2:$C7112)), "")*24*60, "")</f>
        <v/>
      </c>
      <c r="Q7113" s="24" t="str" cm="1">
        <f t="array" ref="Q7113">IFERROR(IF($B7113=Q$1, ($A7113+$C7113) - MAX(IF($B$2:$B7112=$B7113, $A$2:$A7112+$C$2:$C7112)), "")*24*60, "")</f>
        <v/>
      </c>
      <c r="R7113" s="24" t="str" cm="1">
        <f t="array" ref="R7113">IFERROR(IF($B7113=R$1, ($A7113+$C7113) - MAX(IF($B$2:$B7112=$B7113, $A$2:$A7112+$C$2:$C7112)), "")*24*60, "")</f>
        <v/>
      </c>
      <c r="S7113" s="24" t="str" cm="1">
        <f t="array" ref="S7113">IFERROR(IF($B7113=S$1, ($A7113+$C7113) - MAX(IF($B$2:$B7112=$B7113, $A$2:$A7112+$C$2:$C7112)), "")*24*60, "")</f>
        <v/>
      </c>
    </row>
    <row r="7114" spans="1:19" x14ac:dyDescent="0.2">
      <c r="A7114" s="12">
        <f t="shared" ref="A7114:C7114" si="1449">A7113</f>
        <v>46003</v>
      </c>
      <c r="B7114" s="5" t="str">
        <f t="shared" si="1449"/>
        <v>Tufted Titmouse</v>
      </c>
      <c r="C7114" s="6">
        <f t="shared" si="1449"/>
        <v>0.47430555555555554</v>
      </c>
      <c r="D7114" s="5"/>
      <c r="E7114" s="5"/>
      <c r="F7114" s="5" t="s">
        <v>22</v>
      </c>
      <c r="G7114" s="15" t="s">
        <v>22</v>
      </c>
      <c r="H7114" s="24">
        <f t="shared" si="1399"/>
        <v>0</v>
      </c>
      <c r="I7114" s="24" t="str" cm="1">
        <f t="array" ref="I7114">IFERROR(IF($B7114=I$1, ($A7114+$C7114) - MAX(IF($B$2:$B7113=$B7114, $A$2:$A7113+$C$2:$C7113)), "")*24*60, "")</f>
        <v/>
      </c>
      <c r="J7114" s="24" cm="1">
        <f t="array" ref="J7114">IFERROR(IF($B7114=J$1, ($A7114+$C7114) - MAX(IF($B$2:$B7113=$B7114, $A$2:$A7113+$C$2:$C7113)), "")*24*60, "")</f>
        <v>0</v>
      </c>
      <c r="K7114" s="24" t="str" cm="1">
        <f t="array" ref="K7114">IFERROR(IF($B7114=K$1, ($A7114+$C7114) - MAX(IF($B$2:$B7113=$B7114, $A$2:$A7113+$C$2:$C7113)), "")*24*60, "")</f>
        <v/>
      </c>
      <c r="L7114" s="24" t="str" cm="1">
        <f t="array" ref="L7114">IFERROR(IF($B7114=L$1, ($A7114+$C7114) - MAX(IF($B$2:$B7113=$B7114, $A$2:$A7113+$C$2:$C7113)), "")*24*60, "")</f>
        <v/>
      </c>
      <c r="M7114" s="24" t="str" cm="1">
        <f t="array" ref="M7114">IFERROR(IF($B7114=M$1, ($A7114+$C7114) - MAX(IF($B$2:$B7113=$B7114, $A$2:$A7113+$C$2:$C7113)), "")*24*60, "")</f>
        <v/>
      </c>
      <c r="N7114" s="24" t="str" cm="1">
        <f t="array" ref="N7114">IFERROR(IF($B7114=N$1, ($A7114+$C7114) - MAX(IF($B$2:$B7113=$B7114, $A$2:$A7113+$C$2:$C7113)), "")*24*60, "")</f>
        <v/>
      </c>
      <c r="O7114" s="24" t="str" cm="1">
        <f t="array" ref="O7114">IFERROR(IF($B7114=O$1, ($A7114+$C7114) - MAX(IF($B$2:$B7113=$B7114, $A$2:$A7113+$C$2:$C7113)), "")*24*60, "")</f>
        <v/>
      </c>
      <c r="P7114" s="24" t="str" cm="1">
        <f t="array" ref="P7114">IFERROR(IF($B7114=P$1, ($A7114+$C7114) - MAX(IF($B$2:$B7113=$B7114, $A$2:$A7113+$C$2:$C7113)), "")*24*60, "")</f>
        <v/>
      </c>
      <c r="Q7114" s="24" t="str" cm="1">
        <f t="array" ref="Q7114">IFERROR(IF($B7114=Q$1, ($A7114+$C7114) - MAX(IF($B$2:$B7113=$B7114, $A$2:$A7113+$C$2:$C7113)), "")*24*60, "")</f>
        <v/>
      </c>
      <c r="R7114" s="24" t="str" cm="1">
        <f t="array" ref="R7114">IFERROR(IF($B7114=R$1, ($A7114+$C7114) - MAX(IF($B$2:$B7113=$B7114, $A$2:$A7113+$C$2:$C7113)), "")*24*60, "")</f>
        <v/>
      </c>
      <c r="S7114" s="24" t="str" cm="1">
        <f t="array" ref="S7114">IFERROR(IF($B7114=S$1, ($A7114+$C7114) - MAX(IF($B$2:$B7113=$B7114, $A$2:$A7113+$C$2:$C7113)), "")*24*60, "")</f>
        <v/>
      </c>
    </row>
    <row r="7115" spans="1:19" x14ac:dyDescent="0.2">
      <c r="A7115" s="12">
        <f t="shared" ref="A7115:C7115" si="1450">A7114</f>
        <v>46003</v>
      </c>
      <c r="B7115" s="5" t="str">
        <f t="shared" si="1450"/>
        <v>Tufted Titmouse</v>
      </c>
      <c r="C7115" s="6">
        <f t="shared" si="1450"/>
        <v>0.47430555555555554</v>
      </c>
      <c r="D7115" s="5"/>
      <c r="E7115" s="5"/>
      <c r="F7115" s="5" t="s">
        <v>22</v>
      </c>
      <c r="G7115" s="15" t="s">
        <v>22</v>
      </c>
      <c r="H7115" s="24">
        <f t="shared" si="1399"/>
        <v>0</v>
      </c>
      <c r="I7115" s="24" t="str" cm="1">
        <f t="array" ref="I7115">IFERROR(IF($B7115=I$1, ($A7115+$C7115) - MAX(IF($B$2:$B7114=$B7115, $A$2:$A7114+$C$2:$C7114)), "")*24*60, "")</f>
        <v/>
      </c>
      <c r="J7115" s="24" cm="1">
        <f t="array" ref="J7115">IFERROR(IF($B7115=J$1, ($A7115+$C7115) - MAX(IF($B$2:$B7114=$B7115, $A$2:$A7114+$C$2:$C7114)), "")*24*60, "")</f>
        <v>0</v>
      </c>
      <c r="K7115" s="24" t="str" cm="1">
        <f t="array" ref="K7115">IFERROR(IF($B7115=K$1, ($A7115+$C7115) - MAX(IF($B$2:$B7114=$B7115, $A$2:$A7114+$C$2:$C7114)), "")*24*60, "")</f>
        <v/>
      </c>
      <c r="L7115" s="24" t="str" cm="1">
        <f t="array" ref="L7115">IFERROR(IF($B7115=L$1, ($A7115+$C7115) - MAX(IF($B$2:$B7114=$B7115, $A$2:$A7114+$C$2:$C7114)), "")*24*60, "")</f>
        <v/>
      </c>
      <c r="M7115" s="24" t="str" cm="1">
        <f t="array" ref="M7115">IFERROR(IF($B7115=M$1, ($A7115+$C7115) - MAX(IF($B$2:$B7114=$B7115, $A$2:$A7114+$C$2:$C7114)), "")*24*60, "")</f>
        <v/>
      </c>
      <c r="N7115" s="24" t="str" cm="1">
        <f t="array" ref="N7115">IFERROR(IF($B7115=N$1, ($A7115+$C7115) - MAX(IF($B$2:$B7114=$B7115, $A$2:$A7114+$C$2:$C7114)), "")*24*60, "")</f>
        <v/>
      </c>
      <c r="O7115" s="24" t="str" cm="1">
        <f t="array" ref="O7115">IFERROR(IF($B7115=O$1, ($A7115+$C7115) - MAX(IF($B$2:$B7114=$B7115, $A$2:$A7114+$C$2:$C7114)), "")*24*60, "")</f>
        <v/>
      </c>
      <c r="P7115" s="24" t="str" cm="1">
        <f t="array" ref="P7115">IFERROR(IF($B7115=P$1, ($A7115+$C7115) - MAX(IF($B$2:$B7114=$B7115, $A$2:$A7114+$C$2:$C7114)), "")*24*60, "")</f>
        <v/>
      </c>
      <c r="Q7115" s="24" t="str" cm="1">
        <f t="array" ref="Q7115">IFERROR(IF($B7115=Q$1, ($A7115+$C7115) - MAX(IF($B$2:$B7114=$B7115, $A$2:$A7114+$C$2:$C7114)), "")*24*60, "")</f>
        <v/>
      </c>
      <c r="R7115" s="24" t="str" cm="1">
        <f t="array" ref="R7115">IFERROR(IF($B7115=R$1, ($A7115+$C7115) - MAX(IF($B$2:$B7114=$B7115, $A$2:$A7114+$C$2:$C7114)), "")*24*60, "")</f>
        <v/>
      </c>
      <c r="S7115" s="24" t="str" cm="1">
        <f t="array" ref="S7115">IFERROR(IF($B7115=S$1, ($A7115+$C7115) - MAX(IF($B$2:$B7114=$B7115, $A$2:$A7114+$C$2:$C7114)), "")*24*60, "")</f>
        <v/>
      </c>
    </row>
    <row r="7116" spans="1:19" x14ac:dyDescent="0.2">
      <c r="A7116" s="12">
        <f t="shared" ref="A7116:C7116" si="1451">A7115</f>
        <v>46003</v>
      </c>
      <c r="B7116" s="5" t="str">
        <f t="shared" si="1451"/>
        <v>Tufted Titmouse</v>
      </c>
      <c r="C7116" s="6">
        <f t="shared" si="1451"/>
        <v>0.47430555555555554</v>
      </c>
      <c r="D7116" s="5"/>
      <c r="E7116" s="5"/>
      <c r="F7116" s="5" t="s">
        <v>22</v>
      </c>
      <c r="G7116" s="15" t="s">
        <v>22</v>
      </c>
      <c r="H7116" s="24">
        <f t="shared" si="1399"/>
        <v>0</v>
      </c>
      <c r="I7116" s="24" t="str" cm="1">
        <f t="array" ref="I7116">IFERROR(IF($B7116=I$1, ($A7116+$C7116) - MAX(IF($B$2:$B7115=$B7116, $A$2:$A7115+$C$2:$C7115)), "")*24*60, "")</f>
        <v/>
      </c>
      <c r="J7116" s="24" cm="1">
        <f t="array" ref="J7116">IFERROR(IF($B7116=J$1, ($A7116+$C7116) - MAX(IF($B$2:$B7115=$B7116, $A$2:$A7115+$C$2:$C7115)), "")*24*60, "")</f>
        <v>0</v>
      </c>
      <c r="K7116" s="24" t="str" cm="1">
        <f t="array" ref="K7116">IFERROR(IF($B7116=K$1, ($A7116+$C7116) - MAX(IF($B$2:$B7115=$B7116, $A$2:$A7115+$C$2:$C7115)), "")*24*60, "")</f>
        <v/>
      </c>
      <c r="L7116" s="24" t="str" cm="1">
        <f t="array" ref="L7116">IFERROR(IF($B7116=L$1, ($A7116+$C7116) - MAX(IF($B$2:$B7115=$B7116, $A$2:$A7115+$C$2:$C7115)), "")*24*60, "")</f>
        <v/>
      </c>
      <c r="M7116" s="24" t="str" cm="1">
        <f t="array" ref="M7116">IFERROR(IF($B7116=M$1, ($A7116+$C7116) - MAX(IF($B$2:$B7115=$B7116, $A$2:$A7115+$C$2:$C7115)), "")*24*60, "")</f>
        <v/>
      </c>
      <c r="N7116" s="24" t="str" cm="1">
        <f t="array" ref="N7116">IFERROR(IF($B7116=N$1, ($A7116+$C7116) - MAX(IF($B$2:$B7115=$B7116, $A$2:$A7115+$C$2:$C7115)), "")*24*60, "")</f>
        <v/>
      </c>
      <c r="O7116" s="24" t="str" cm="1">
        <f t="array" ref="O7116">IFERROR(IF($B7116=O$1, ($A7116+$C7116) - MAX(IF($B$2:$B7115=$B7116, $A$2:$A7115+$C$2:$C7115)), "")*24*60, "")</f>
        <v/>
      </c>
      <c r="P7116" s="24" t="str" cm="1">
        <f t="array" ref="P7116">IFERROR(IF($B7116=P$1, ($A7116+$C7116) - MAX(IF($B$2:$B7115=$B7116, $A$2:$A7115+$C$2:$C7115)), "")*24*60, "")</f>
        <v/>
      </c>
      <c r="Q7116" s="24" t="str" cm="1">
        <f t="array" ref="Q7116">IFERROR(IF($B7116=Q$1, ($A7116+$C7116) - MAX(IF($B$2:$B7115=$B7116, $A$2:$A7115+$C$2:$C7115)), "")*24*60, "")</f>
        <v/>
      </c>
      <c r="R7116" s="24" t="str" cm="1">
        <f t="array" ref="R7116">IFERROR(IF($B7116=R$1, ($A7116+$C7116) - MAX(IF($B$2:$B7115=$B7116, $A$2:$A7115+$C$2:$C7115)), "")*24*60, "")</f>
        <v/>
      </c>
      <c r="S7116" s="24" t="str" cm="1">
        <f t="array" ref="S7116">IFERROR(IF($B7116=S$1, ($A7116+$C7116) - MAX(IF($B$2:$B7115=$B7116, $A$2:$A7115+$C$2:$C7115)), "")*24*60, "")</f>
        <v/>
      </c>
    </row>
    <row r="7117" spans="1:19" x14ac:dyDescent="0.2">
      <c r="A7117" s="12">
        <f t="shared" ref="A7117:C7117" si="1452">A7116</f>
        <v>46003</v>
      </c>
      <c r="B7117" s="5" t="str">
        <f t="shared" si="1452"/>
        <v>Tufted Titmouse</v>
      </c>
      <c r="C7117" s="6">
        <f t="shared" si="1452"/>
        <v>0.47430555555555554</v>
      </c>
      <c r="D7117" s="5"/>
      <c r="E7117" s="5"/>
      <c r="F7117" s="5" t="s">
        <v>22</v>
      </c>
      <c r="G7117" s="15" t="s">
        <v>22</v>
      </c>
      <c r="H7117" s="24">
        <f t="shared" si="1399"/>
        <v>0</v>
      </c>
      <c r="I7117" s="24" t="str" cm="1">
        <f t="array" ref="I7117">IFERROR(IF($B7117=I$1, ($A7117+$C7117) - MAX(IF($B$2:$B7116=$B7117, $A$2:$A7116+$C$2:$C7116)), "")*24*60, "")</f>
        <v/>
      </c>
      <c r="J7117" s="24" cm="1">
        <f t="array" ref="J7117">IFERROR(IF($B7117=J$1, ($A7117+$C7117) - MAX(IF($B$2:$B7116=$B7117, $A$2:$A7116+$C$2:$C7116)), "")*24*60, "")</f>
        <v>0</v>
      </c>
      <c r="K7117" s="24" t="str" cm="1">
        <f t="array" ref="K7117">IFERROR(IF($B7117=K$1, ($A7117+$C7117) - MAX(IF($B$2:$B7116=$B7117, $A$2:$A7116+$C$2:$C7116)), "")*24*60, "")</f>
        <v/>
      </c>
      <c r="L7117" s="24" t="str" cm="1">
        <f t="array" ref="L7117">IFERROR(IF($B7117=L$1, ($A7117+$C7117) - MAX(IF($B$2:$B7116=$B7117, $A$2:$A7116+$C$2:$C7116)), "")*24*60, "")</f>
        <v/>
      </c>
      <c r="M7117" s="24" t="str" cm="1">
        <f t="array" ref="M7117">IFERROR(IF($B7117=M$1, ($A7117+$C7117) - MAX(IF($B$2:$B7116=$B7117, $A$2:$A7116+$C$2:$C7116)), "")*24*60, "")</f>
        <v/>
      </c>
      <c r="N7117" s="24" t="str" cm="1">
        <f t="array" ref="N7117">IFERROR(IF($B7117=N$1, ($A7117+$C7117) - MAX(IF($B$2:$B7116=$B7117, $A$2:$A7116+$C$2:$C7116)), "")*24*60, "")</f>
        <v/>
      </c>
      <c r="O7117" s="24" t="str" cm="1">
        <f t="array" ref="O7117">IFERROR(IF($B7117=O$1, ($A7117+$C7117) - MAX(IF($B$2:$B7116=$B7117, $A$2:$A7116+$C$2:$C7116)), "")*24*60, "")</f>
        <v/>
      </c>
      <c r="P7117" s="24" t="str" cm="1">
        <f t="array" ref="P7117">IFERROR(IF($B7117=P$1, ($A7117+$C7117) - MAX(IF($B$2:$B7116=$B7117, $A$2:$A7116+$C$2:$C7116)), "")*24*60, "")</f>
        <v/>
      </c>
      <c r="Q7117" s="24" t="str" cm="1">
        <f t="array" ref="Q7117">IFERROR(IF($B7117=Q$1, ($A7117+$C7117) - MAX(IF($B$2:$B7116=$B7117, $A$2:$A7116+$C$2:$C7116)), "")*24*60, "")</f>
        <v/>
      </c>
      <c r="R7117" s="24" t="str" cm="1">
        <f t="array" ref="R7117">IFERROR(IF($B7117=R$1, ($A7117+$C7117) - MAX(IF($B$2:$B7116=$B7117, $A$2:$A7116+$C$2:$C7116)), "")*24*60, "")</f>
        <v/>
      </c>
      <c r="S7117" s="24" t="str" cm="1">
        <f t="array" ref="S7117">IFERROR(IF($B7117=S$1, ($A7117+$C7117) - MAX(IF($B$2:$B7116=$B7117, $A$2:$A7116+$C$2:$C7116)), "")*24*60, "")</f>
        <v/>
      </c>
    </row>
    <row r="7118" spans="1:19" x14ac:dyDescent="0.2">
      <c r="A7118" s="12">
        <f t="shared" ref="A7118:C7118" si="1453">A7117</f>
        <v>46003</v>
      </c>
      <c r="B7118" s="5" t="str">
        <f t="shared" si="1453"/>
        <v>Tufted Titmouse</v>
      </c>
      <c r="C7118" s="6">
        <f t="shared" si="1453"/>
        <v>0.47430555555555554</v>
      </c>
      <c r="D7118" s="5"/>
      <c r="E7118" s="5"/>
      <c r="F7118" s="5" t="s">
        <v>22</v>
      </c>
      <c r="G7118" s="15" t="s">
        <v>22</v>
      </c>
      <c r="H7118" s="24">
        <f t="shared" si="1399"/>
        <v>0</v>
      </c>
      <c r="I7118" s="24" t="str" cm="1">
        <f t="array" ref="I7118">IFERROR(IF($B7118=I$1, ($A7118+$C7118) - MAX(IF($B$2:$B7117=$B7118, $A$2:$A7117+$C$2:$C7117)), "")*24*60, "")</f>
        <v/>
      </c>
      <c r="J7118" s="24" cm="1">
        <f t="array" ref="J7118">IFERROR(IF($B7118=J$1, ($A7118+$C7118) - MAX(IF($B$2:$B7117=$B7118, $A$2:$A7117+$C$2:$C7117)), "")*24*60, "")</f>
        <v>0</v>
      </c>
      <c r="K7118" s="24" t="str" cm="1">
        <f t="array" ref="K7118">IFERROR(IF($B7118=K$1, ($A7118+$C7118) - MAX(IF($B$2:$B7117=$B7118, $A$2:$A7117+$C$2:$C7117)), "")*24*60, "")</f>
        <v/>
      </c>
      <c r="L7118" s="24" t="str" cm="1">
        <f t="array" ref="L7118">IFERROR(IF($B7118=L$1, ($A7118+$C7118) - MAX(IF($B$2:$B7117=$B7118, $A$2:$A7117+$C$2:$C7117)), "")*24*60, "")</f>
        <v/>
      </c>
      <c r="M7118" s="24" t="str" cm="1">
        <f t="array" ref="M7118">IFERROR(IF($B7118=M$1, ($A7118+$C7118) - MAX(IF($B$2:$B7117=$B7118, $A$2:$A7117+$C$2:$C7117)), "")*24*60, "")</f>
        <v/>
      </c>
      <c r="N7118" s="24" t="str" cm="1">
        <f t="array" ref="N7118">IFERROR(IF($B7118=N$1, ($A7118+$C7118) - MAX(IF($B$2:$B7117=$B7118, $A$2:$A7117+$C$2:$C7117)), "")*24*60, "")</f>
        <v/>
      </c>
      <c r="O7118" s="24" t="str" cm="1">
        <f t="array" ref="O7118">IFERROR(IF($B7118=O$1, ($A7118+$C7118) - MAX(IF($B$2:$B7117=$B7118, $A$2:$A7117+$C$2:$C7117)), "")*24*60, "")</f>
        <v/>
      </c>
      <c r="P7118" s="24" t="str" cm="1">
        <f t="array" ref="P7118">IFERROR(IF($B7118=P$1, ($A7118+$C7118) - MAX(IF($B$2:$B7117=$B7118, $A$2:$A7117+$C$2:$C7117)), "")*24*60, "")</f>
        <v/>
      </c>
      <c r="Q7118" s="24" t="str" cm="1">
        <f t="array" ref="Q7118">IFERROR(IF($B7118=Q$1, ($A7118+$C7118) - MAX(IF($B$2:$B7117=$B7118, $A$2:$A7117+$C$2:$C7117)), "")*24*60, "")</f>
        <v/>
      </c>
      <c r="R7118" s="24" t="str" cm="1">
        <f t="array" ref="R7118">IFERROR(IF($B7118=R$1, ($A7118+$C7118) - MAX(IF($B$2:$B7117=$B7118, $A$2:$A7117+$C$2:$C7117)), "")*24*60, "")</f>
        <v/>
      </c>
      <c r="S7118" s="24" t="str" cm="1">
        <f t="array" ref="S7118">IFERROR(IF($B7118=S$1, ($A7118+$C7118) - MAX(IF($B$2:$B7117=$B7118, $A$2:$A7117+$C$2:$C7117)), "")*24*60, "")</f>
        <v/>
      </c>
    </row>
    <row r="7119" spans="1:19" x14ac:dyDescent="0.2">
      <c r="A7119" s="12">
        <f t="shared" ref="A7119:C7119" si="1454">A7118</f>
        <v>46003</v>
      </c>
      <c r="B7119" s="5" t="str">
        <f t="shared" si="1454"/>
        <v>Tufted Titmouse</v>
      </c>
      <c r="C7119" s="6">
        <f t="shared" si="1454"/>
        <v>0.47430555555555554</v>
      </c>
      <c r="D7119" s="5"/>
      <c r="E7119" s="5"/>
      <c r="F7119" s="5" t="s">
        <v>22</v>
      </c>
      <c r="G7119" s="15" t="s">
        <v>22</v>
      </c>
      <c r="H7119" s="24">
        <f t="shared" si="1399"/>
        <v>0</v>
      </c>
      <c r="I7119" s="24" t="str" cm="1">
        <f t="array" ref="I7119">IFERROR(IF($B7119=I$1, ($A7119+$C7119) - MAX(IF($B$2:$B7118=$B7119, $A$2:$A7118+$C$2:$C7118)), "")*24*60, "")</f>
        <v/>
      </c>
      <c r="J7119" s="24" cm="1">
        <f t="array" ref="J7119">IFERROR(IF($B7119=J$1, ($A7119+$C7119) - MAX(IF($B$2:$B7118=$B7119, $A$2:$A7118+$C$2:$C7118)), "")*24*60, "")</f>
        <v>0</v>
      </c>
      <c r="K7119" s="24" t="str" cm="1">
        <f t="array" ref="K7119">IFERROR(IF($B7119=K$1, ($A7119+$C7119) - MAX(IF($B$2:$B7118=$B7119, $A$2:$A7118+$C$2:$C7118)), "")*24*60, "")</f>
        <v/>
      </c>
      <c r="L7119" s="24" t="str" cm="1">
        <f t="array" ref="L7119">IFERROR(IF($B7119=L$1, ($A7119+$C7119) - MAX(IF($B$2:$B7118=$B7119, $A$2:$A7118+$C$2:$C7118)), "")*24*60, "")</f>
        <v/>
      </c>
      <c r="M7119" s="24" t="str" cm="1">
        <f t="array" ref="M7119">IFERROR(IF($B7119=M$1, ($A7119+$C7119) - MAX(IF($B$2:$B7118=$B7119, $A$2:$A7118+$C$2:$C7118)), "")*24*60, "")</f>
        <v/>
      </c>
      <c r="N7119" s="24" t="str" cm="1">
        <f t="array" ref="N7119">IFERROR(IF($B7119=N$1, ($A7119+$C7119) - MAX(IF($B$2:$B7118=$B7119, $A$2:$A7118+$C$2:$C7118)), "")*24*60, "")</f>
        <v/>
      </c>
      <c r="O7119" s="24" t="str" cm="1">
        <f t="array" ref="O7119">IFERROR(IF($B7119=O$1, ($A7119+$C7119) - MAX(IF($B$2:$B7118=$B7119, $A$2:$A7118+$C$2:$C7118)), "")*24*60, "")</f>
        <v/>
      </c>
      <c r="P7119" s="24" t="str" cm="1">
        <f t="array" ref="P7119">IFERROR(IF($B7119=P$1, ($A7119+$C7119) - MAX(IF($B$2:$B7118=$B7119, $A$2:$A7118+$C$2:$C7118)), "")*24*60, "")</f>
        <v/>
      </c>
      <c r="Q7119" s="24" t="str" cm="1">
        <f t="array" ref="Q7119">IFERROR(IF($B7119=Q$1, ($A7119+$C7119) - MAX(IF($B$2:$B7118=$B7119, $A$2:$A7118+$C$2:$C7118)), "")*24*60, "")</f>
        <v/>
      </c>
      <c r="R7119" s="24" t="str" cm="1">
        <f t="array" ref="R7119">IFERROR(IF($B7119=R$1, ($A7119+$C7119) - MAX(IF($B$2:$B7118=$B7119, $A$2:$A7118+$C$2:$C7118)), "")*24*60, "")</f>
        <v/>
      </c>
      <c r="S7119" s="24" t="str" cm="1">
        <f t="array" ref="S7119">IFERROR(IF($B7119=S$1, ($A7119+$C7119) - MAX(IF($B$2:$B7118=$B7119, $A$2:$A7118+$C$2:$C7118)), "")*24*60, "")</f>
        <v/>
      </c>
    </row>
    <row r="7120" spans="1:19" x14ac:dyDescent="0.2">
      <c r="A7120" s="12">
        <f t="shared" ref="A7120:C7120" si="1455">A7119</f>
        <v>46003</v>
      </c>
      <c r="B7120" s="5" t="str">
        <f t="shared" si="1455"/>
        <v>Tufted Titmouse</v>
      </c>
      <c r="C7120" s="6">
        <f t="shared" si="1455"/>
        <v>0.47430555555555554</v>
      </c>
      <c r="D7120" s="5"/>
      <c r="E7120" s="5"/>
      <c r="F7120" s="5" t="s">
        <v>22</v>
      </c>
      <c r="G7120" s="15" t="s">
        <v>22</v>
      </c>
      <c r="H7120" s="24">
        <f t="shared" si="1399"/>
        <v>0</v>
      </c>
      <c r="I7120" s="24" t="str" cm="1">
        <f t="array" ref="I7120">IFERROR(IF($B7120=I$1, ($A7120+$C7120) - MAX(IF($B$2:$B7119=$B7120, $A$2:$A7119+$C$2:$C7119)), "")*24*60, "")</f>
        <v/>
      </c>
      <c r="J7120" s="24" cm="1">
        <f t="array" ref="J7120">IFERROR(IF($B7120=J$1, ($A7120+$C7120) - MAX(IF($B$2:$B7119=$B7120, $A$2:$A7119+$C$2:$C7119)), "")*24*60, "")</f>
        <v>0</v>
      </c>
      <c r="K7120" s="24" t="str" cm="1">
        <f t="array" ref="K7120">IFERROR(IF($B7120=K$1, ($A7120+$C7120) - MAX(IF($B$2:$B7119=$B7120, $A$2:$A7119+$C$2:$C7119)), "")*24*60, "")</f>
        <v/>
      </c>
      <c r="L7120" s="24" t="str" cm="1">
        <f t="array" ref="L7120">IFERROR(IF($B7120=L$1, ($A7120+$C7120) - MAX(IF($B$2:$B7119=$B7120, $A$2:$A7119+$C$2:$C7119)), "")*24*60, "")</f>
        <v/>
      </c>
      <c r="M7120" s="24" t="str" cm="1">
        <f t="array" ref="M7120">IFERROR(IF($B7120=M$1, ($A7120+$C7120) - MAX(IF($B$2:$B7119=$B7120, $A$2:$A7119+$C$2:$C7119)), "")*24*60, "")</f>
        <v/>
      </c>
      <c r="N7120" s="24" t="str" cm="1">
        <f t="array" ref="N7120">IFERROR(IF($B7120=N$1, ($A7120+$C7120) - MAX(IF($B$2:$B7119=$B7120, $A$2:$A7119+$C$2:$C7119)), "")*24*60, "")</f>
        <v/>
      </c>
      <c r="O7120" s="24" t="str" cm="1">
        <f t="array" ref="O7120">IFERROR(IF($B7120=O$1, ($A7120+$C7120) - MAX(IF($B$2:$B7119=$B7120, $A$2:$A7119+$C$2:$C7119)), "")*24*60, "")</f>
        <v/>
      </c>
      <c r="P7120" s="24" t="str" cm="1">
        <f t="array" ref="P7120">IFERROR(IF($B7120=P$1, ($A7120+$C7120) - MAX(IF($B$2:$B7119=$B7120, $A$2:$A7119+$C$2:$C7119)), "")*24*60, "")</f>
        <v/>
      </c>
      <c r="Q7120" s="24" t="str" cm="1">
        <f t="array" ref="Q7120">IFERROR(IF($B7120=Q$1, ($A7120+$C7120) - MAX(IF($B$2:$B7119=$B7120, $A$2:$A7119+$C$2:$C7119)), "")*24*60, "")</f>
        <v/>
      </c>
      <c r="R7120" s="24" t="str" cm="1">
        <f t="array" ref="R7120">IFERROR(IF($B7120=R$1, ($A7120+$C7120) - MAX(IF($B$2:$B7119=$B7120, $A$2:$A7119+$C$2:$C7119)), "")*24*60, "")</f>
        <v/>
      </c>
      <c r="S7120" s="24" t="str" cm="1">
        <f t="array" ref="S7120">IFERROR(IF($B7120=S$1, ($A7120+$C7120) - MAX(IF($B$2:$B7119=$B7120, $A$2:$A7119+$C$2:$C7119)), "")*24*60, "")</f>
        <v/>
      </c>
    </row>
    <row r="7121" spans="1:19" x14ac:dyDescent="0.2">
      <c r="A7121" s="12">
        <f t="shared" ref="A7121:C7121" si="1456">A7120</f>
        <v>46003</v>
      </c>
      <c r="B7121" s="5" t="str">
        <f t="shared" si="1456"/>
        <v>Tufted Titmouse</v>
      </c>
      <c r="C7121" s="6">
        <f t="shared" si="1456"/>
        <v>0.47430555555555554</v>
      </c>
      <c r="D7121" s="5"/>
      <c r="E7121" s="5"/>
      <c r="F7121" s="5" t="s">
        <v>22</v>
      </c>
      <c r="G7121" s="15" t="s">
        <v>22</v>
      </c>
      <c r="H7121" s="24">
        <f t="shared" si="1399"/>
        <v>0</v>
      </c>
      <c r="I7121" s="24" t="str" cm="1">
        <f t="array" ref="I7121">IFERROR(IF($B7121=I$1, ($A7121+$C7121) - MAX(IF($B$2:$B7120=$B7121, $A$2:$A7120+$C$2:$C7120)), "")*24*60, "")</f>
        <v/>
      </c>
      <c r="J7121" s="24" cm="1">
        <f t="array" ref="J7121">IFERROR(IF($B7121=J$1, ($A7121+$C7121) - MAX(IF($B$2:$B7120=$B7121, $A$2:$A7120+$C$2:$C7120)), "")*24*60, "")</f>
        <v>0</v>
      </c>
      <c r="K7121" s="24" t="str" cm="1">
        <f t="array" ref="K7121">IFERROR(IF($B7121=K$1, ($A7121+$C7121) - MAX(IF($B$2:$B7120=$B7121, $A$2:$A7120+$C$2:$C7120)), "")*24*60, "")</f>
        <v/>
      </c>
      <c r="L7121" s="24" t="str" cm="1">
        <f t="array" ref="L7121">IFERROR(IF($B7121=L$1, ($A7121+$C7121) - MAX(IF($B$2:$B7120=$B7121, $A$2:$A7120+$C$2:$C7120)), "")*24*60, "")</f>
        <v/>
      </c>
      <c r="M7121" s="24" t="str" cm="1">
        <f t="array" ref="M7121">IFERROR(IF($B7121=M$1, ($A7121+$C7121) - MAX(IF($B$2:$B7120=$B7121, $A$2:$A7120+$C$2:$C7120)), "")*24*60, "")</f>
        <v/>
      </c>
      <c r="N7121" s="24" t="str" cm="1">
        <f t="array" ref="N7121">IFERROR(IF($B7121=N$1, ($A7121+$C7121) - MAX(IF($B$2:$B7120=$B7121, $A$2:$A7120+$C$2:$C7120)), "")*24*60, "")</f>
        <v/>
      </c>
      <c r="O7121" s="24" t="str" cm="1">
        <f t="array" ref="O7121">IFERROR(IF($B7121=O$1, ($A7121+$C7121) - MAX(IF($B$2:$B7120=$B7121, $A$2:$A7120+$C$2:$C7120)), "")*24*60, "")</f>
        <v/>
      </c>
      <c r="P7121" s="24" t="str" cm="1">
        <f t="array" ref="P7121">IFERROR(IF($B7121=P$1, ($A7121+$C7121) - MAX(IF($B$2:$B7120=$B7121, $A$2:$A7120+$C$2:$C7120)), "")*24*60, "")</f>
        <v/>
      </c>
      <c r="Q7121" s="24" t="str" cm="1">
        <f t="array" ref="Q7121">IFERROR(IF($B7121=Q$1, ($A7121+$C7121) - MAX(IF($B$2:$B7120=$B7121, $A$2:$A7120+$C$2:$C7120)), "")*24*60, "")</f>
        <v/>
      </c>
      <c r="R7121" s="24" t="str" cm="1">
        <f t="array" ref="R7121">IFERROR(IF($B7121=R$1, ($A7121+$C7121) - MAX(IF($B$2:$B7120=$B7121, $A$2:$A7120+$C$2:$C7120)), "")*24*60, "")</f>
        <v/>
      </c>
      <c r="S7121" s="24" t="str" cm="1">
        <f t="array" ref="S7121">IFERROR(IF($B7121=S$1, ($A7121+$C7121) - MAX(IF($B$2:$B7120=$B7121, $A$2:$A7120+$C$2:$C7120)), "")*24*60, "")</f>
        <v/>
      </c>
    </row>
    <row r="7122" spans="1:19" x14ac:dyDescent="0.2">
      <c r="A7122" s="12">
        <f t="shared" ref="A7122:C7122" si="1457">A7121</f>
        <v>46003</v>
      </c>
      <c r="B7122" s="5" t="str">
        <f t="shared" si="1457"/>
        <v>Tufted Titmouse</v>
      </c>
      <c r="C7122" s="6">
        <f t="shared" si="1457"/>
        <v>0.47430555555555554</v>
      </c>
      <c r="D7122" s="5"/>
      <c r="E7122" s="5"/>
      <c r="F7122" s="5" t="s">
        <v>22</v>
      </c>
      <c r="G7122" s="15" t="s">
        <v>22</v>
      </c>
      <c r="H7122" s="24">
        <f t="shared" si="1399"/>
        <v>0</v>
      </c>
      <c r="I7122" s="24" t="str" cm="1">
        <f t="array" ref="I7122">IFERROR(IF($B7122=I$1, ($A7122+$C7122) - MAX(IF($B$2:$B7121=$B7122, $A$2:$A7121+$C$2:$C7121)), "")*24*60, "")</f>
        <v/>
      </c>
      <c r="J7122" s="24" cm="1">
        <f t="array" ref="J7122">IFERROR(IF($B7122=J$1, ($A7122+$C7122) - MAX(IF($B$2:$B7121=$B7122, $A$2:$A7121+$C$2:$C7121)), "")*24*60, "")</f>
        <v>0</v>
      </c>
      <c r="K7122" s="24" t="str" cm="1">
        <f t="array" ref="K7122">IFERROR(IF($B7122=K$1, ($A7122+$C7122) - MAX(IF($B$2:$B7121=$B7122, $A$2:$A7121+$C$2:$C7121)), "")*24*60, "")</f>
        <v/>
      </c>
      <c r="L7122" s="24" t="str" cm="1">
        <f t="array" ref="L7122">IFERROR(IF($B7122=L$1, ($A7122+$C7122) - MAX(IF($B$2:$B7121=$B7122, $A$2:$A7121+$C$2:$C7121)), "")*24*60, "")</f>
        <v/>
      </c>
      <c r="M7122" s="24" t="str" cm="1">
        <f t="array" ref="M7122">IFERROR(IF($B7122=M$1, ($A7122+$C7122) - MAX(IF($B$2:$B7121=$B7122, $A$2:$A7121+$C$2:$C7121)), "")*24*60, "")</f>
        <v/>
      </c>
      <c r="N7122" s="24" t="str" cm="1">
        <f t="array" ref="N7122">IFERROR(IF($B7122=N$1, ($A7122+$C7122) - MAX(IF($B$2:$B7121=$B7122, $A$2:$A7121+$C$2:$C7121)), "")*24*60, "")</f>
        <v/>
      </c>
      <c r="O7122" s="24" t="str" cm="1">
        <f t="array" ref="O7122">IFERROR(IF($B7122=O$1, ($A7122+$C7122) - MAX(IF($B$2:$B7121=$B7122, $A$2:$A7121+$C$2:$C7121)), "")*24*60, "")</f>
        <v/>
      </c>
      <c r="P7122" s="24" t="str" cm="1">
        <f t="array" ref="P7122">IFERROR(IF($B7122=P$1, ($A7122+$C7122) - MAX(IF($B$2:$B7121=$B7122, $A$2:$A7121+$C$2:$C7121)), "")*24*60, "")</f>
        <v/>
      </c>
      <c r="Q7122" s="24" t="str" cm="1">
        <f t="array" ref="Q7122">IFERROR(IF($B7122=Q$1, ($A7122+$C7122) - MAX(IF($B$2:$B7121=$B7122, $A$2:$A7121+$C$2:$C7121)), "")*24*60, "")</f>
        <v/>
      </c>
      <c r="R7122" s="24" t="str" cm="1">
        <f t="array" ref="R7122">IFERROR(IF($B7122=R$1, ($A7122+$C7122) - MAX(IF($B$2:$B7121=$B7122, $A$2:$A7121+$C$2:$C7121)), "")*24*60, "")</f>
        <v/>
      </c>
      <c r="S7122" s="24" t="str" cm="1">
        <f t="array" ref="S7122">IFERROR(IF($B7122=S$1, ($A7122+$C7122) - MAX(IF($B$2:$B7121=$B7122, $A$2:$A7121+$C$2:$C7121)), "")*24*60, "")</f>
        <v/>
      </c>
    </row>
    <row r="7123" spans="1:19" x14ac:dyDescent="0.2">
      <c r="A7123" s="12">
        <f t="shared" ref="A7123:C7123" si="1458">A7122</f>
        <v>46003</v>
      </c>
      <c r="B7123" s="5" t="str">
        <f t="shared" si="1458"/>
        <v>Tufted Titmouse</v>
      </c>
      <c r="C7123" s="6">
        <f t="shared" si="1458"/>
        <v>0.47430555555555554</v>
      </c>
      <c r="D7123" s="5"/>
      <c r="E7123" s="5"/>
      <c r="F7123" s="5" t="s">
        <v>22</v>
      </c>
      <c r="G7123" s="15" t="s">
        <v>22</v>
      </c>
      <c r="H7123" s="24">
        <f t="shared" si="1399"/>
        <v>0</v>
      </c>
      <c r="I7123" s="24" t="str" cm="1">
        <f t="array" ref="I7123">IFERROR(IF($B7123=I$1, ($A7123+$C7123) - MAX(IF($B$2:$B7122=$B7123, $A$2:$A7122+$C$2:$C7122)), "")*24*60, "")</f>
        <v/>
      </c>
      <c r="J7123" s="24" cm="1">
        <f t="array" ref="J7123">IFERROR(IF($B7123=J$1, ($A7123+$C7123) - MAX(IF($B$2:$B7122=$B7123, $A$2:$A7122+$C$2:$C7122)), "")*24*60, "")</f>
        <v>0</v>
      </c>
      <c r="K7123" s="24" t="str" cm="1">
        <f t="array" ref="K7123">IFERROR(IF($B7123=K$1, ($A7123+$C7123) - MAX(IF($B$2:$B7122=$B7123, $A$2:$A7122+$C$2:$C7122)), "")*24*60, "")</f>
        <v/>
      </c>
      <c r="L7123" s="24" t="str" cm="1">
        <f t="array" ref="L7123">IFERROR(IF($B7123=L$1, ($A7123+$C7123) - MAX(IF($B$2:$B7122=$B7123, $A$2:$A7122+$C$2:$C7122)), "")*24*60, "")</f>
        <v/>
      </c>
      <c r="M7123" s="24" t="str" cm="1">
        <f t="array" ref="M7123">IFERROR(IF($B7123=M$1, ($A7123+$C7123) - MAX(IF($B$2:$B7122=$B7123, $A$2:$A7122+$C$2:$C7122)), "")*24*60, "")</f>
        <v/>
      </c>
      <c r="N7123" s="24" t="str" cm="1">
        <f t="array" ref="N7123">IFERROR(IF($B7123=N$1, ($A7123+$C7123) - MAX(IF($B$2:$B7122=$B7123, $A$2:$A7122+$C$2:$C7122)), "")*24*60, "")</f>
        <v/>
      </c>
      <c r="O7123" s="24" t="str" cm="1">
        <f t="array" ref="O7123">IFERROR(IF($B7123=O$1, ($A7123+$C7123) - MAX(IF($B$2:$B7122=$B7123, $A$2:$A7122+$C$2:$C7122)), "")*24*60, "")</f>
        <v/>
      </c>
      <c r="P7123" s="24" t="str" cm="1">
        <f t="array" ref="P7123">IFERROR(IF($B7123=P$1, ($A7123+$C7123) - MAX(IF($B$2:$B7122=$B7123, $A$2:$A7122+$C$2:$C7122)), "")*24*60, "")</f>
        <v/>
      </c>
      <c r="Q7123" s="24" t="str" cm="1">
        <f t="array" ref="Q7123">IFERROR(IF($B7123=Q$1, ($A7123+$C7123) - MAX(IF($B$2:$B7122=$B7123, $A$2:$A7122+$C$2:$C7122)), "")*24*60, "")</f>
        <v/>
      </c>
      <c r="R7123" s="24" t="str" cm="1">
        <f t="array" ref="R7123">IFERROR(IF($B7123=R$1, ($A7123+$C7123) - MAX(IF($B$2:$B7122=$B7123, $A$2:$A7122+$C$2:$C7122)), "")*24*60, "")</f>
        <v/>
      </c>
      <c r="S7123" s="24" t="str" cm="1">
        <f t="array" ref="S7123">IFERROR(IF($B7123=S$1, ($A7123+$C7123) - MAX(IF($B$2:$B7122=$B7123, $A$2:$A7122+$C$2:$C7122)), "")*24*60, "")</f>
        <v/>
      </c>
    </row>
    <row r="7124" spans="1:19" x14ac:dyDescent="0.2">
      <c r="A7124" s="12">
        <f t="shared" ref="A7124:C7124" si="1459">A7123</f>
        <v>46003</v>
      </c>
      <c r="B7124" s="5" t="str">
        <f t="shared" si="1459"/>
        <v>Tufted Titmouse</v>
      </c>
      <c r="C7124" s="6">
        <f t="shared" si="1459"/>
        <v>0.47430555555555554</v>
      </c>
      <c r="D7124" s="5"/>
      <c r="E7124" s="5"/>
      <c r="F7124" s="5" t="s">
        <v>22</v>
      </c>
      <c r="G7124" s="15" t="s">
        <v>22</v>
      </c>
      <c r="H7124" s="24">
        <f t="shared" si="1399"/>
        <v>0</v>
      </c>
      <c r="I7124" s="24" t="str" cm="1">
        <f t="array" ref="I7124">IFERROR(IF($B7124=I$1, ($A7124+$C7124) - MAX(IF($B$2:$B7123=$B7124, $A$2:$A7123+$C$2:$C7123)), "")*24*60, "")</f>
        <v/>
      </c>
      <c r="J7124" s="24" cm="1">
        <f t="array" ref="J7124">IFERROR(IF($B7124=J$1, ($A7124+$C7124) - MAX(IF($B$2:$B7123=$B7124, $A$2:$A7123+$C$2:$C7123)), "")*24*60, "")</f>
        <v>0</v>
      </c>
      <c r="K7124" s="24" t="str" cm="1">
        <f t="array" ref="K7124">IFERROR(IF($B7124=K$1, ($A7124+$C7124) - MAX(IF($B$2:$B7123=$B7124, $A$2:$A7123+$C$2:$C7123)), "")*24*60, "")</f>
        <v/>
      </c>
      <c r="L7124" s="24" t="str" cm="1">
        <f t="array" ref="L7124">IFERROR(IF($B7124=L$1, ($A7124+$C7124) - MAX(IF($B$2:$B7123=$B7124, $A$2:$A7123+$C$2:$C7123)), "")*24*60, "")</f>
        <v/>
      </c>
      <c r="M7124" s="24" t="str" cm="1">
        <f t="array" ref="M7124">IFERROR(IF($B7124=M$1, ($A7124+$C7124) - MAX(IF($B$2:$B7123=$B7124, $A$2:$A7123+$C$2:$C7123)), "")*24*60, "")</f>
        <v/>
      </c>
      <c r="N7124" s="24" t="str" cm="1">
        <f t="array" ref="N7124">IFERROR(IF($B7124=N$1, ($A7124+$C7124) - MAX(IF($B$2:$B7123=$B7124, $A$2:$A7123+$C$2:$C7123)), "")*24*60, "")</f>
        <v/>
      </c>
      <c r="O7124" s="24" t="str" cm="1">
        <f t="array" ref="O7124">IFERROR(IF($B7124=O$1, ($A7124+$C7124) - MAX(IF($B$2:$B7123=$B7124, $A$2:$A7123+$C$2:$C7123)), "")*24*60, "")</f>
        <v/>
      </c>
      <c r="P7124" s="24" t="str" cm="1">
        <f t="array" ref="P7124">IFERROR(IF($B7124=P$1, ($A7124+$C7124) - MAX(IF($B$2:$B7123=$B7124, $A$2:$A7123+$C$2:$C7123)), "")*24*60, "")</f>
        <v/>
      </c>
      <c r="Q7124" s="24" t="str" cm="1">
        <f t="array" ref="Q7124">IFERROR(IF($B7124=Q$1, ($A7124+$C7124) - MAX(IF($B$2:$B7123=$B7124, $A$2:$A7123+$C$2:$C7123)), "")*24*60, "")</f>
        <v/>
      </c>
      <c r="R7124" s="24" t="str" cm="1">
        <f t="array" ref="R7124">IFERROR(IF($B7124=R$1, ($A7124+$C7124) - MAX(IF($B$2:$B7123=$B7124, $A$2:$A7123+$C$2:$C7123)), "")*24*60, "")</f>
        <v/>
      </c>
      <c r="S7124" s="24" t="str" cm="1">
        <f t="array" ref="S7124">IFERROR(IF($B7124=S$1, ($A7124+$C7124) - MAX(IF($B$2:$B7123=$B7124, $A$2:$A7123+$C$2:$C7123)), "")*24*60, "")</f>
        <v/>
      </c>
    </row>
    <row r="7125" spans="1:19" x14ac:dyDescent="0.2">
      <c r="A7125" s="12">
        <f t="shared" ref="A7125:C7125" si="1460">A7124</f>
        <v>46003</v>
      </c>
      <c r="B7125" s="5" t="str">
        <f t="shared" si="1460"/>
        <v>Tufted Titmouse</v>
      </c>
      <c r="C7125" s="6">
        <f t="shared" si="1460"/>
        <v>0.47430555555555554</v>
      </c>
      <c r="D7125" s="5"/>
      <c r="E7125" s="5"/>
      <c r="F7125" s="5" t="s">
        <v>22</v>
      </c>
      <c r="G7125" s="15" t="s">
        <v>22</v>
      </c>
      <c r="H7125" s="24">
        <f t="shared" si="1399"/>
        <v>0</v>
      </c>
      <c r="I7125" s="24" t="str" cm="1">
        <f t="array" ref="I7125">IFERROR(IF($B7125=I$1, ($A7125+$C7125) - MAX(IF($B$2:$B7124=$B7125, $A$2:$A7124+$C$2:$C7124)), "")*24*60, "")</f>
        <v/>
      </c>
      <c r="J7125" s="24" cm="1">
        <f t="array" ref="J7125">IFERROR(IF($B7125=J$1, ($A7125+$C7125) - MAX(IF($B$2:$B7124=$B7125, $A$2:$A7124+$C$2:$C7124)), "")*24*60, "")</f>
        <v>0</v>
      </c>
      <c r="K7125" s="24" t="str" cm="1">
        <f t="array" ref="K7125">IFERROR(IF($B7125=K$1, ($A7125+$C7125) - MAX(IF($B$2:$B7124=$B7125, $A$2:$A7124+$C$2:$C7124)), "")*24*60, "")</f>
        <v/>
      </c>
      <c r="L7125" s="24" t="str" cm="1">
        <f t="array" ref="L7125">IFERROR(IF($B7125=L$1, ($A7125+$C7125) - MAX(IF($B$2:$B7124=$B7125, $A$2:$A7124+$C$2:$C7124)), "")*24*60, "")</f>
        <v/>
      </c>
      <c r="M7125" s="24" t="str" cm="1">
        <f t="array" ref="M7125">IFERROR(IF($B7125=M$1, ($A7125+$C7125) - MAX(IF($B$2:$B7124=$B7125, $A$2:$A7124+$C$2:$C7124)), "")*24*60, "")</f>
        <v/>
      </c>
      <c r="N7125" s="24" t="str" cm="1">
        <f t="array" ref="N7125">IFERROR(IF($B7125=N$1, ($A7125+$C7125) - MAX(IF($B$2:$B7124=$B7125, $A$2:$A7124+$C$2:$C7124)), "")*24*60, "")</f>
        <v/>
      </c>
      <c r="O7125" s="24" t="str" cm="1">
        <f t="array" ref="O7125">IFERROR(IF($B7125=O$1, ($A7125+$C7125) - MAX(IF($B$2:$B7124=$B7125, $A$2:$A7124+$C$2:$C7124)), "")*24*60, "")</f>
        <v/>
      </c>
      <c r="P7125" s="24" t="str" cm="1">
        <f t="array" ref="P7125">IFERROR(IF($B7125=P$1, ($A7125+$C7125) - MAX(IF($B$2:$B7124=$B7125, $A$2:$A7124+$C$2:$C7124)), "")*24*60, "")</f>
        <v/>
      </c>
      <c r="Q7125" s="24" t="str" cm="1">
        <f t="array" ref="Q7125">IFERROR(IF($B7125=Q$1, ($A7125+$C7125) - MAX(IF($B$2:$B7124=$B7125, $A$2:$A7124+$C$2:$C7124)), "")*24*60, "")</f>
        <v/>
      </c>
      <c r="R7125" s="24" t="str" cm="1">
        <f t="array" ref="R7125">IFERROR(IF($B7125=R$1, ($A7125+$C7125) - MAX(IF($B$2:$B7124=$B7125, $A$2:$A7124+$C$2:$C7124)), "")*24*60, "")</f>
        <v/>
      </c>
      <c r="S7125" s="24" t="str" cm="1">
        <f t="array" ref="S7125">IFERROR(IF($B7125=S$1, ($A7125+$C7125) - MAX(IF($B$2:$B7124=$B7125, $A$2:$A7124+$C$2:$C7124)), "")*24*60, "")</f>
        <v/>
      </c>
    </row>
    <row r="7126" spans="1:19" x14ac:dyDescent="0.2">
      <c r="A7126" s="12">
        <f t="shared" ref="A7126:C7126" si="1461">A7125</f>
        <v>46003</v>
      </c>
      <c r="B7126" s="5" t="str">
        <f t="shared" si="1461"/>
        <v>Tufted Titmouse</v>
      </c>
      <c r="C7126" s="6">
        <f t="shared" si="1461"/>
        <v>0.47430555555555554</v>
      </c>
      <c r="D7126" s="5"/>
      <c r="E7126" s="5"/>
      <c r="F7126" s="5" t="s">
        <v>22</v>
      </c>
      <c r="G7126" s="15" t="s">
        <v>22</v>
      </c>
      <c r="H7126" s="24">
        <f t="shared" si="1399"/>
        <v>0</v>
      </c>
      <c r="I7126" s="24" t="str" cm="1">
        <f t="array" ref="I7126">IFERROR(IF($B7126=I$1, ($A7126+$C7126) - MAX(IF($B$2:$B7125=$B7126, $A$2:$A7125+$C$2:$C7125)), "")*24*60, "")</f>
        <v/>
      </c>
      <c r="J7126" s="24" cm="1">
        <f t="array" ref="J7126">IFERROR(IF($B7126=J$1, ($A7126+$C7126) - MAX(IF($B$2:$B7125=$B7126, $A$2:$A7125+$C$2:$C7125)), "")*24*60, "")</f>
        <v>0</v>
      </c>
      <c r="K7126" s="24" t="str" cm="1">
        <f t="array" ref="K7126">IFERROR(IF($B7126=K$1, ($A7126+$C7126) - MAX(IF($B$2:$B7125=$B7126, $A$2:$A7125+$C$2:$C7125)), "")*24*60, "")</f>
        <v/>
      </c>
      <c r="L7126" s="24" t="str" cm="1">
        <f t="array" ref="L7126">IFERROR(IF($B7126=L$1, ($A7126+$C7126) - MAX(IF($B$2:$B7125=$B7126, $A$2:$A7125+$C$2:$C7125)), "")*24*60, "")</f>
        <v/>
      </c>
      <c r="M7126" s="24" t="str" cm="1">
        <f t="array" ref="M7126">IFERROR(IF($B7126=M$1, ($A7126+$C7126) - MAX(IF($B$2:$B7125=$B7126, $A$2:$A7125+$C$2:$C7125)), "")*24*60, "")</f>
        <v/>
      </c>
      <c r="N7126" s="24" t="str" cm="1">
        <f t="array" ref="N7126">IFERROR(IF($B7126=N$1, ($A7126+$C7126) - MAX(IF($B$2:$B7125=$B7126, $A$2:$A7125+$C$2:$C7125)), "")*24*60, "")</f>
        <v/>
      </c>
      <c r="O7126" s="24" t="str" cm="1">
        <f t="array" ref="O7126">IFERROR(IF($B7126=O$1, ($A7126+$C7126) - MAX(IF($B$2:$B7125=$B7126, $A$2:$A7125+$C$2:$C7125)), "")*24*60, "")</f>
        <v/>
      </c>
      <c r="P7126" s="24" t="str" cm="1">
        <f t="array" ref="P7126">IFERROR(IF($B7126=P$1, ($A7126+$C7126) - MAX(IF($B$2:$B7125=$B7126, $A$2:$A7125+$C$2:$C7125)), "")*24*60, "")</f>
        <v/>
      </c>
      <c r="Q7126" s="24" t="str" cm="1">
        <f t="array" ref="Q7126">IFERROR(IF($B7126=Q$1, ($A7126+$C7126) - MAX(IF($B$2:$B7125=$B7126, $A$2:$A7125+$C$2:$C7125)), "")*24*60, "")</f>
        <v/>
      </c>
      <c r="R7126" s="24" t="str" cm="1">
        <f t="array" ref="R7126">IFERROR(IF($B7126=R$1, ($A7126+$C7126) - MAX(IF($B$2:$B7125=$B7126, $A$2:$A7125+$C$2:$C7125)), "")*24*60, "")</f>
        <v/>
      </c>
      <c r="S7126" s="24" t="str" cm="1">
        <f t="array" ref="S7126">IFERROR(IF($B7126=S$1, ($A7126+$C7126) - MAX(IF($B$2:$B7125=$B7126, $A$2:$A7125+$C$2:$C7125)), "")*24*60, "")</f>
        <v/>
      </c>
    </row>
    <row r="7127" spans="1:19" x14ac:dyDescent="0.2">
      <c r="A7127" s="12">
        <f t="shared" ref="A7127:C7127" si="1462">A7126</f>
        <v>46003</v>
      </c>
      <c r="B7127" s="5" t="str">
        <f t="shared" si="1462"/>
        <v>Tufted Titmouse</v>
      </c>
      <c r="C7127" s="6">
        <f t="shared" si="1462"/>
        <v>0.47430555555555554</v>
      </c>
      <c r="D7127" s="5"/>
      <c r="E7127" s="5"/>
      <c r="F7127" s="5" t="s">
        <v>22</v>
      </c>
      <c r="G7127" s="15" t="s">
        <v>22</v>
      </c>
      <c r="H7127" s="24">
        <f t="shared" si="1399"/>
        <v>0</v>
      </c>
      <c r="I7127" s="24" t="str" cm="1">
        <f t="array" ref="I7127">IFERROR(IF($B7127=I$1, ($A7127+$C7127) - MAX(IF($B$2:$B7126=$B7127, $A$2:$A7126+$C$2:$C7126)), "")*24*60, "")</f>
        <v/>
      </c>
      <c r="J7127" s="24" cm="1">
        <f t="array" ref="J7127">IFERROR(IF($B7127=J$1, ($A7127+$C7127) - MAX(IF($B$2:$B7126=$B7127, $A$2:$A7126+$C$2:$C7126)), "")*24*60, "")</f>
        <v>0</v>
      </c>
      <c r="K7127" s="24" t="str" cm="1">
        <f t="array" ref="K7127">IFERROR(IF($B7127=K$1, ($A7127+$C7127) - MAX(IF($B$2:$B7126=$B7127, $A$2:$A7126+$C$2:$C7126)), "")*24*60, "")</f>
        <v/>
      </c>
      <c r="L7127" s="24" t="str" cm="1">
        <f t="array" ref="L7127">IFERROR(IF($B7127=L$1, ($A7127+$C7127) - MAX(IF($B$2:$B7126=$B7127, $A$2:$A7126+$C$2:$C7126)), "")*24*60, "")</f>
        <v/>
      </c>
      <c r="M7127" s="24" t="str" cm="1">
        <f t="array" ref="M7127">IFERROR(IF($B7127=M$1, ($A7127+$C7127) - MAX(IF($B$2:$B7126=$B7127, $A$2:$A7126+$C$2:$C7126)), "")*24*60, "")</f>
        <v/>
      </c>
      <c r="N7127" s="24" t="str" cm="1">
        <f t="array" ref="N7127">IFERROR(IF($B7127=N$1, ($A7127+$C7127) - MAX(IF($B$2:$B7126=$B7127, $A$2:$A7126+$C$2:$C7126)), "")*24*60, "")</f>
        <v/>
      </c>
      <c r="O7127" s="24" t="str" cm="1">
        <f t="array" ref="O7127">IFERROR(IF($B7127=O$1, ($A7127+$C7127) - MAX(IF($B$2:$B7126=$B7127, $A$2:$A7126+$C$2:$C7126)), "")*24*60, "")</f>
        <v/>
      </c>
      <c r="P7127" s="24" t="str" cm="1">
        <f t="array" ref="P7127">IFERROR(IF($B7127=P$1, ($A7127+$C7127) - MAX(IF($B$2:$B7126=$B7127, $A$2:$A7126+$C$2:$C7126)), "")*24*60, "")</f>
        <v/>
      </c>
      <c r="Q7127" s="24" t="str" cm="1">
        <f t="array" ref="Q7127">IFERROR(IF($B7127=Q$1, ($A7127+$C7127) - MAX(IF($B$2:$B7126=$B7127, $A$2:$A7126+$C$2:$C7126)), "")*24*60, "")</f>
        <v/>
      </c>
      <c r="R7127" s="24" t="str" cm="1">
        <f t="array" ref="R7127">IFERROR(IF($B7127=R$1, ($A7127+$C7127) - MAX(IF($B$2:$B7126=$B7127, $A$2:$A7126+$C$2:$C7126)), "")*24*60, "")</f>
        <v/>
      </c>
      <c r="S7127" s="24" t="str" cm="1">
        <f t="array" ref="S7127">IFERROR(IF($B7127=S$1, ($A7127+$C7127) - MAX(IF($B$2:$B7126=$B7127, $A$2:$A7126+$C$2:$C7126)), "")*24*60, "")</f>
        <v/>
      </c>
    </row>
    <row r="7128" spans="1:19" x14ac:dyDescent="0.2">
      <c r="A7128" s="12">
        <f t="shared" ref="A7128:C7128" si="1463">A7127</f>
        <v>46003</v>
      </c>
      <c r="B7128" s="5" t="str">
        <f t="shared" si="1463"/>
        <v>Tufted Titmouse</v>
      </c>
      <c r="C7128" s="6">
        <f t="shared" si="1463"/>
        <v>0.47430555555555554</v>
      </c>
      <c r="D7128" s="5"/>
      <c r="E7128" s="5"/>
      <c r="F7128" s="5" t="s">
        <v>22</v>
      </c>
      <c r="G7128" s="15" t="s">
        <v>22</v>
      </c>
      <c r="H7128" s="24">
        <f t="shared" ref="H7128:H7190" si="1464">IFERROR((($A7128+$C7128) - ($A7127+$C7127))*24*60, "")</f>
        <v>0</v>
      </c>
      <c r="I7128" s="24" t="str" cm="1">
        <f t="array" ref="I7128">IFERROR(IF($B7128=I$1, ($A7128+$C7128) - MAX(IF($B$2:$B7127=$B7128, $A$2:$A7127+$C$2:$C7127)), "")*24*60, "")</f>
        <v/>
      </c>
      <c r="J7128" s="24" cm="1">
        <f t="array" ref="J7128">IFERROR(IF($B7128=J$1, ($A7128+$C7128) - MAX(IF($B$2:$B7127=$B7128, $A$2:$A7127+$C$2:$C7127)), "")*24*60, "")</f>
        <v>0</v>
      </c>
      <c r="K7128" s="24" t="str" cm="1">
        <f t="array" ref="K7128">IFERROR(IF($B7128=K$1, ($A7128+$C7128) - MAX(IF($B$2:$B7127=$B7128, $A$2:$A7127+$C$2:$C7127)), "")*24*60, "")</f>
        <v/>
      </c>
      <c r="L7128" s="24" t="str" cm="1">
        <f t="array" ref="L7128">IFERROR(IF($B7128=L$1, ($A7128+$C7128) - MAX(IF($B$2:$B7127=$B7128, $A$2:$A7127+$C$2:$C7127)), "")*24*60, "")</f>
        <v/>
      </c>
      <c r="M7128" s="24" t="str" cm="1">
        <f t="array" ref="M7128">IFERROR(IF($B7128=M$1, ($A7128+$C7128) - MAX(IF($B$2:$B7127=$B7128, $A$2:$A7127+$C$2:$C7127)), "")*24*60, "")</f>
        <v/>
      </c>
      <c r="N7128" s="24" t="str" cm="1">
        <f t="array" ref="N7128">IFERROR(IF($B7128=N$1, ($A7128+$C7128) - MAX(IF($B$2:$B7127=$B7128, $A$2:$A7127+$C$2:$C7127)), "")*24*60, "")</f>
        <v/>
      </c>
      <c r="O7128" s="24" t="str" cm="1">
        <f t="array" ref="O7128">IFERROR(IF($B7128=O$1, ($A7128+$C7128) - MAX(IF($B$2:$B7127=$B7128, $A$2:$A7127+$C$2:$C7127)), "")*24*60, "")</f>
        <v/>
      </c>
      <c r="P7128" s="24" t="str" cm="1">
        <f t="array" ref="P7128">IFERROR(IF($B7128=P$1, ($A7128+$C7128) - MAX(IF($B$2:$B7127=$B7128, $A$2:$A7127+$C$2:$C7127)), "")*24*60, "")</f>
        <v/>
      </c>
      <c r="Q7128" s="24" t="str" cm="1">
        <f t="array" ref="Q7128">IFERROR(IF($B7128=Q$1, ($A7128+$C7128) - MAX(IF($B$2:$B7127=$B7128, $A$2:$A7127+$C$2:$C7127)), "")*24*60, "")</f>
        <v/>
      </c>
      <c r="R7128" s="24" t="str" cm="1">
        <f t="array" ref="R7128">IFERROR(IF($B7128=R$1, ($A7128+$C7128) - MAX(IF($B$2:$B7127=$B7128, $A$2:$A7127+$C$2:$C7127)), "")*24*60, "")</f>
        <v/>
      </c>
      <c r="S7128" s="24" t="str" cm="1">
        <f t="array" ref="S7128">IFERROR(IF($B7128=S$1, ($A7128+$C7128) - MAX(IF($B$2:$B7127=$B7128, $A$2:$A7127+$C$2:$C7127)), "")*24*60, "")</f>
        <v/>
      </c>
    </row>
    <row r="7129" spans="1:19" x14ac:dyDescent="0.2">
      <c r="A7129" s="12">
        <f t="shared" ref="A7129:C7129" si="1465">A7128</f>
        <v>46003</v>
      </c>
      <c r="B7129" s="5" t="str">
        <f t="shared" si="1465"/>
        <v>Tufted Titmouse</v>
      </c>
      <c r="C7129" s="6">
        <f t="shared" si="1465"/>
        <v>0.47430555555555554</v>
      </c>
      <c r="D7129" s="5"/>
      <c r="E7129" s="5"/>
      <c r="F7129" s="5" t="s">
        <v>22</v>
      </c>
      <c r="G7129" s="15" t="s">
        <v>22</v>
      </c>
      <c r="H7129" s="24">
        <f t="shared" si="1464"/>
        <v>0</v>
      </c>
      <c r="I7129" s="24" t="str" cm="1">
        <f t="array" ref="I7129">IFERROR(IF($B7129=I$1, ($A7129+$C7129) - MAX(IF($B$2:$B7128=$B7129, $A$2:$A7128+$C$2:$C7128)), "")*24*60, "")</f>
        <v/>
      </c>
      <c r="J7129" s="24" cm="1">
        <f t="array" ref="J7129">IFERROR(IF($B7129=J$1, ($A7129+$C7129) - MAX(IF($B$2:$B7128=$B7129, $A$2:$A7128+$C$2:$C7128)), "")*24*60, "")</f>
        <v>0</v>
      </c>
      <c r="K7129" s="24" t="str" cm="1">
        <f t="array" ref="K7129">IFERROR(IF($B7129=K$1, ($A7129+$C7129) - MAX(IF($B$2:$B7128=$B7129, $A$2:$A7128+$C$2:$C7128)), "")*24*60, "")</f>
        <v/>
      </c>
      <c r="L7129" s="24" t="str" cm="1">
        <f t="array" ref="L7129">IFERROR(IF($B7129=L$1, ($A7129+$C7129) - MAX(IF($B$2:$B7128=$B7129, $A$2:$A7128+$C$2:$C7128)), "")*24*60, "")</f>
        <v/>
      </c>
      <c r="M7129" s="24" t="str" cm="1">
        <f t="array" ref="M7129">IFERROR(IF($B7129=M$1, ($A7129+$C7129) - MAX(IF($B$2:$B7128=$B7129, $A$2:$A7128+$C$2:$C7128)), "")*24*60, "")</f>
        <v/>
      </c>
      <c r="N7129" s="24" t="str" cm="1">
        <f t="array" ref="N7129">IFERROR(IF($B7129=N$1, ($A7129+$C7129) - MAX(IF($B$2:$B7128=$B7129, $A$2:$A7128+$C$2:$C7128)), "")*24*60, "")</f>
        <v/>
      </c>
      <c r="O7129" s="24" t="str" cm="1">
        <f t="array" ref="O7129">IFERROR(IF($B7129=O$1, ($A7129+$C7129) - MAX(IF($B$2:$B7128=$B7129, $A$2:$A7128+$C$2:$C7128)), "")*24*60, "")</f>
        <v/>
      </c>
      <c r="P7129" s="24" t="str" cm="1">
        <f t="array" ref="P7129">IFERROR(IF($B7129=P$1, ($A7129+$C7129) - MAX(IF($B$2:$B7128=$B7129, $A$2:$A7128+$C$2:$C7128)), "")*24*60, "")</f>
        <v/>
      </c>
      <c r="Q7129" s="24" t="str" cm="1">
        <f t="array" ref="Q7129">IFERROR(IF($B7129=Q$1, ($A7129+$C7129) - MAX(IF($B$2:$B7128=$B7129, $A$2:$A7128+$C$2:$C7128)), "")*24*60, "")</f>
        <v/>
      </c>
      <c r="R7129" s="24" t="str" cm="1">
        <f t="array" ref="R7129">IFERROR(IF($B7129=R$1, ($A7129+$C7129) - MAX(IF($B$2:$B7128=$B7129, $A$2:$A7128+$C$2:$C7128)), "")*24*60, "")</f>
        <v/>
      </c>
      <c r="S7129" s="24" t="str" cm="1">
        <f t="array" ref="S7129">IFERROR(IF($B7129=S$1, ($A7129+$C7129) - MAX(IF($B$2:$B7128=$B7129, $A$2:$A7128+$C$2:$C7128)), "")*24*60, "")</f>
        <v/>
      </c>
    </row>
    <row r="7130" spans="1:19" x14ac:dyDescent="0.2">
      <c r="A7130" s="12">
        <f t="shared" ref="A7130:C7130" si="1466">A7129</f>
        <v>46003</v>
      </c>
      <c r="B7130" s="5" t="str">
        <f t="shared" si="1466"/>
        <v>Tufted Titmouse</v>
      </c>
      <c r="C7130" s="6">
        <f t="shared" si="1466"/>
        <v>0.47430555555555554</v>
      </c>
      <c r="D7130" s="5"/>
      <c r="E7130" s="5"/>
      <c r="F7130" s="5" t="s">
        <v>22</v>
      </c>
      <c r="G7130" s="15" t="s">
        <v>22</v>
      </c>
      <c r="H7130" s="24">
        <f t="shared" si="1464"/>
        <v>0</v>
      </c>
      <c r="I7130" s="24" t="str" cm="1">
        <f t="array" ref="I7130">IFERROR(IF($B7130=I$1, ($A7130+$C7130) - MAX(IF($B$2:$B7129=$B7130, $A$2:$A7129+$C$2:$C7129)), "")*24*60, "")</f>
        <v/>
      </c>
      <c r="J7130" s="24" cm="1">
        <f t="array" ref="J7130">IFERROR(IF($B7130=J$1, ($A7130+$C7130) - MAX(IF($B$2:$B7129=$B7130, $A$2:$A7129+$C$2:$C7129)), "")*24*60, "")</f>
        <v>0</v>
      </c>
      <c r="K7130" s="24" t="str" cm="1">
        <f t="array" ref="K7130">IFERROR(IF($B7130=K$1, ($A7130+$C7130) - MAX(IF($B$2:$B7129=$B7130, $A$2:$A7129+$C$2:$C7129)), "")*24*60, "")</f>
        <v/>
      </c>
      <c r="L7130" s="24" t="str" cm="1">
        <f t="array" ref="L7130">IFERROR(IF($B7130=L$1, ($A7130+$C7130) - MAX(IF($B$2:$B7129=$B7130, $A$2:$A7129+$C$2:$C7129)), "")*24*60, "")</f>
        <v/>
      </c>
      <c r="M7130" s="24" t="str" cm="1">
        <f t="array" ref="M7130">IFERROR(IF($B7130=M$1, ($A7130+$C7130) - MAX(IF($B$2:$B7129=$B7130, $A$2:$A7129+$C$2:$C7129)), "")*24*60, "")</f>
        <v/>
      </c>
      <c r="N7130" s="24" t="str" cm="1">
        <f t="array" ref="N7130">IFERROR(IF($B7130=N$1, ($A7130+$C7130) - MAX(IF($B$2:$B7129=$B7130, $A$2:$A7129+$C$2:$C7129)), "")*24*60, "")</f>
        <v/>
      </c>
      <c r="O7130" s="24" t="str" cm="1">
        <f t="array" ref="O7130">IFERROR(IF($B7130=O$1, ($A7130+$C7130) - MAX(IF($B$2:$B7129=$B7130, $A$2:$A7129+$C$2:$C7129)), "")*24*60, "")</f>
        <v/>
      </c>
      <c r="P7130" s="24" t="str" cm="1">
        <f t="array" ref="P7130">IFERROR(IF($B7130=P$1, ($A7130+$C7130) - MAX(IF($B$2:$B7129=$B7130, $A$2:$A7129+$C$2:$C7129)), "")*24*60, "")</f>
        <v/>
      </c>
      <c r="Q7130" s="24" t="str" cm="1">
        <f t="array" ref="Q7130">IFERROR(IF($B7130=Q$1, ($A7130+$C7130) - MAX(IF($B$2:$B7129=$B7130, $A$2:$A7129+$C$2:$C7129)), "")*24*60, "")</f>
        <v/>
      </c>
      <c r="R7130" s="24" t="str" cm="1">
        <f t="array" ref="R7130">IFERROR(IF($B7130=R$1, ($A7130+$C7130) - MAX(IF($B$2:$B7129=$B7130, $A$2:$A7129+$C$2:$C7129)), "")*24*60, "")</f>
        <v/>
      </c>
      <c r="S7130" s="24" t="str" cm="1">
        <f t="array" ref="S7130">IFERROR(IF($B7130=S$1, ($A7130+$C7130) - MAX(IF($B$2:$B7129=$B7130, $A$2:$A7129+$C$2:$C7129)), "")*24*60, "")</f>
        <v/>
      </c>
    </row>
    <row r="7131" spans="1:19" x14ac:dyDescent="0.2">
      <c r="A7131" s="12">
        <f t="shared" ref="A7131:C7131" si="1467">A7130</f>
        <v>46003</v>
      </c>
      <c r="B7131" s="5" t="str">
        <f t="shared" si="1467"/>
        <v>Tufted Titmouse</v>
      </c>
      <c r="C7131" s="6">
        <f t="shared" si="1467"/>
        <v>0.47430555555555554</v>
      </c>
      <c r="D7131" s="5"/>
      <c r="E7131" s="5"/>
      <c r="F7131" s="5" t="s">
        <v>22</v>
      </c>
      <c r="G7131" s="15" t="s">
        <v>22</v>
      </c>
      <c r="H7131" s="24">
        <f t="shared" si="1464"/>
        <v>0</v>
      </c>
      <c r="I7131" s="24" t="str" cm="1">
        <f t="array" ref="I7131">IFERROR(IF($B7131=I$1, ($A7131+$C7131) - MAX(IF($B$2:$B7130=$B7131, $A$2:$A7130+$C$2:$C7130)), "")*24*60, "")</f>
        <v/>
      </c>
      <c r="J7131" s="24" cm="1">
        <f t="array" ref="J7131">IFERROR(IF($B7131=J$1, ($A7131+$C7131) - MAX(IF($B$2:$B7130=$B7131, $A$2:$A7130+$C$2:$C7130)), "")*24*60, "")</f>
        <v>0</v>
      </c>
      <c r="K7131" s="24" t="str" cm="1">
        <f t="array" ref="K7131">IFERROR(IF($B7131=K$1, ($A7131+$C7131) - MAX(IF($B$2:$B7130=$B7131, $A$2:$A7130+$C$2:$C7130)), "")*24*60, "")</f>
        <v/>
      </c>
      <c r="L7131" s="24" t="str" cm="1">
        <f t="array" ref="L7131">IFERROR(IF($B7131=L$1, ($A7131+$C7131) - MAX(IF($B$2:$B7130=$B7131, $A$2:$A7130+$C$2:$C7130)), "")*24*60, "")</f>
        <v/>
      </c>
      <c r="M7131" s="24" t="str" cm="1">
        <f t="array" ref="M7131">IFERROR(IF($B7131=M$1, ($A7131+$C7131) - MAX(IF($B$2:$B7130=$B7131, $A$2:$A7130+$C$2:$C7130)), "")*24*60, "")</f>
        <v/>
      </c>
      <c r="N7131" s="24" t="str" cm="1">
        <f t="array" ref="N7131">IFERROR(IF($B7131=N$1, ($A7131+$C7131) - MAX(IF($B$2:$B7130=$B7131, $A$2:$A7130+$C$2:$C7130)), "")*24*60, "")</f>
        <v/>
      </c>
      <c r="O7131" s="24" t="str" cm="1">
        <f t="array" ref="O7131">IFERROR(IF($B7131=O$1, ($A7131+$C7131) - MAX(IF($B$2:$B7130=$B7131, $A$2:$A7130+$C$2:$C7130)), "")*24*60, "")</f>
        <v/>
      </c>
      <c r="P7131" s="24" t="str" cm="1">
        <f t="array" ref="P7131">IFERROR(IF($B7131=P$1, ($A7131+$C7131) - MAX(IF($B$2:$B7130=$B7131, $A$2:$A7130+$C$2:$C7130)), "")*24*60, "")</f>
        <v/>
      </c>
      <c r="Q7131" s="24" t="str" cm="1">
        <f t="array" ref="Q7131">IFERROR(IF($B7131=Q$1, ($A7131+$C7131) - MAX(IF($B$2:$B7130=$B7131, $A$2:$A7130+$C$2:$C7130)), "")*24*60, "")</f>
        <v/>
      </c>
      <c r="R7131" s="24" t="str" cm="1">
        <f t="array" ref="R7131">IFERROR(IF($B7131=R$1, ($A7131+$C7131) - MAX(IF($B$2:$B7130=$B7131, $A$2:$A7130+$C$2:$C7130)), "")*24*60, "")</f>
        <v/>
      </c>
      <c r="S7131" s="24" t="str" cm="1">
        <f t="array" ref="S7131">IFERROR(IF($B7131=S$1, ($A7131+$C7131) - MAX(IF($B$2:$B7130=$B7131, $A$2:$A7130+$C$2:$C7130)), "")*24*60, "")</f>
        <v/>
      </c>
    </row>
    <row r="7132" spans="1:19" x14ac:dyDescent="0.2">
      <c r="A7132" s="12">
        <f t="shared" ref="A7132:C7132" si="1468">A7131</f>
        <v>46003</v>
      </c>
      <c r="B7132" s="5" t="str">
        <f t="shared" si="1468"/>
        <v>Tufted Titmouse</v>
      </c>
      <c r="C7132" s="6">
        <f t="shared" si="1468"/>
        <v>0.47430555555555554</v>
      </c>
      <c r="D7132" s="5"/>
      <c r="E7132" s="5"/>
      <c r="F7132" s="5" t="s">
        <v>22</v>
      </c>
      <c r="G7132" s="15" t="s">
        <v>22</v>
      </c>
      <c r="H7132" s="24">
        <f t="shared" si="1464"/>
        <v>0</v>
      </c>
      <c r="I7132" s="24" t="str" cm="1">
        <f t="array" ref="I7132">IFERROR(IF($B7132=I$1, ($A7132+$C7132) - MAX(IF($B$2:$B7131=$B7132, $A$2:$A7131+$C$2:$C7131)), "")*24*60, "")</f>
        <v/>
      </c>
      <c r="J7132" s="24" cm="1">
        <f t="array" ref="J7132">IFERROR(IF($B7132=J$1, ($A7132+$C7132) - MAX(IF($B$2:$B7131=$B7132, $A$2:$A7131+$C$2:$C7131)), "")*24*60, "")</f>
        <v>0</v>
      </c>
      <c r="K7132" s="24" t="str" cm="1">
        <f t="array" ref="K7132">IFERROR(IF($B7132=K$1, ($A7132+$C7132) - MAX(IF($B$2:$B7131=$B7132, $A$2:$A7131+$C$2:$C7131)), "")*24*60, "")</f>
        <v/>
      </c>
      <c r="L7132" s="24" t="str" cm="1">
        <f t="array" ref="L7132">IFERROR(IF($B7132=L$1, ($A7132+$C7132) - MAX(IF($B$2:$B7131=$B7132, $A$2:$A7131+$C$2:$C7131)), "")*24*60, "")</f>
        <v/>
      </c>
      <c r="M7132" s="24" t="str" cm="1">
        <f t="array" ref="M7132">IFERROR(IF($B7132=M$1, ($A7132+$C7132) - MAX(IF($B$2:$B7131=$B7132, $A$2:$A7131+$C$2:$C7131)), "")*24*60, "")</f>
        <v/>
      </c>
      <c r="N7132" s="24" t="str" cm="1">
        <f t="array" ref="N7132">IFERROR(IF($B7132=N$1, ($A7132+$C7132) - MAX(IF($B$2:$B7131=$B7132, $A$2:$A7131+$C$2:$C7131)), "")*24*60, "")</f>
        <v/>
      </c>
      <c r="O7132" s="24" t="str" cm="1">
        <f t="array" ref="O7132">IFERROR(IF($B7132=O$1, ($A7132+$C7132) - MAX(IF($B$2:$B7131=$B7132, $A$2:$A7131+$C$2:$C7131)), "")*24*60, "")</f>
        <v/>
      </c>
      <c r="P7132" s="24" t="str" cm="1">
        <f t="array" ref="P7132">IFERROR(IF($B7132=P$1, ($A7132+$C7132) - MAX(IF($B$2:$B7131=$B7132, $A$2:$A7131+$C$2:$C7131)), "")*24*60, "")</f>
        <v/>
      </c>
      <c r="Q7132" s="24" t="str" cm="1">
        <f t="array" ref="Q7132">IFERROR(IF($B7132=Q$1, ($A7132+$C7132) - MAX(IF($B$2:$B7131=$B7132, $A$2:$A7131+$C$2:$C7131)), "")*24*60, "")</f>
        <v/>
      </c>
      <c r="R7132" s="24" t="str" cm="1">
        <f t="array" ref="R7132">IFERROR(IF($B7132=R$1, ($A7132+$C7132) - MAX(IF($B$2:$B7131=$B7132, $A$2:$A7131+$C$2:$C7131)), "")*24*60, "")</f>
        <v/>
      </c>
      <c r="S7132" s="24" t="str" cm="1">
        <f t="array" ref="S7132">IFERROR(IF($B7132=S$1, ($A7132+$C7132) - MAX(IF($B$2:$B7131=$B7132, $A$2:$A7131+$C$2:$C7131)), "")*24*60, "")</f>
        <v/>
      </c>
    </row>
    <row r="7133" spans="1:19" x14ac:dyDescent="0.2">
      <c r="A7133" s="12">
        <f t="shared" ref="A7133:C7133" si="1469">A7132</f>
        <v>46003</v>
      </c>
      <c r="B7133" s="5" t="str">
        <f t="shared" si="1469"/>
        <v>Tufted Titmouse</v>
      </c>
      <c r="C7133" s="6">
        <f t="shared" si="1469"/>
        <v>0.47430555555555554</v>
      </c>
      <c r="D7133" s="5"/>
      <c r="E7133" s="5"/>
      <c r="F7133" s="5" t="s">
        <v>22</v>
      </c>
      <c r="G7133" s="15" t="s">
        <v>22</v>
      </c>
      <c r="H7133" s="24">
        <f t="shared" si="1464"/>
        <v>0</v>
      </c>
      <c r="I7133" s="24" t="str" cm="1">
        <f t="array" ref="I7133">IFERROR(IF($B7133=I$1, ($A7133+$C7133) - MAX(IF($B$2:$B7132=$B7133, $A$2:$A7132+$C$2:$C7132)), "")*24*60, "")</f>
        <v/>
      </c>
      <c r="J7133" s="24" cm="1">
        <f t="array" ref="J7133">IFERROR(IF($B7133=J$1, ($A7133+$C7133) - MAX(IF($B$2:$B7132=$B7133, $A$2:$A7132+$C$2:$C7132)), "")*24*60, "")</f>
        <v>0</v>
      </c>
      <c r="K7133" s="24" t="str" cm="1">
        <f t="array" ref="K7133">IFERROR(IF($B7133=K$1, ($A7133+$C7133) - MAX(IF($B$2:$B7132=$B7133, $A$2:$A7132+$C$2:$C7132)), "")*24*60, "")</f>
        <v/>
      </c>
      <c r="L7133" s="24" t="str" cm="1">
        <f t="array" ref="L7133">IFERROR(IF($B7133=L$1, ($A7133+$C7133) - MAX(IF($B$2:$B7132=$B7133, $A$2:$A7132+$C$2:$C7132)), "")*24*60, "")</f>
        <v/>
      </c>
      <c r="M7133" s="24" t="str" cm="1">
        <f t="array" ref="M7133">IFERROR(IF($B7133=M$1, ($A7133+$C7133) - MAX(IF($B$2:$B7132=$B7133, $A$2:$A7132+$C$2:$C7132)), "")*24*60, "")</f>
        <v/>
      </c>
      <c r="N7133" s="24" t="str" cm="1">
        <f t="array" ref="N7133">IFERROR(IF($B7133=N$1, ($A7133+$C7133) - MAX(IF($B$2:$B7132=$B7133, $A$2:$A7132+$C$2:$C7132)), "")*24*60, "")</f>
        <v/>
      </c>
      <c r="O7133" s="24" t="str" cm="1">
        <f t="array" ref="O7133">IFERROR(IF($B7133=O$1, ($A7133+$C7133) - MAX(IF($B$2:$B7132=$B7133, $A$2:$A7132+$C$2:$C7132)), "")*24*60, "")</f>
        <v/>
      </c>
      <c r="P7133" s="24" t="str" cm="1">
        <f t="array" ref="P7133">IFERROR(IF($B7133=P$1, ($A7133+$C7133) - MAX(IF($B$2:$B7132=$B7133, $A$2:$A7132+$C$2:$C7132)), "")*24*60, "")</f>
        <v/>
      </c>
      <c r="Q7133" s="24" t="str" cm="1">
        <f t="array" ref="Q7133">IFERROR(IF($B7133=Q$1, ($A7133+$C7133) - MAX(IF($B$2:$B7132=$B7133, $A$2:$A7132+$C$2:$C7132)), "")*24*60, "")</f>
        <v/>
      </c>
      <c r="R7133" s="24" t="str" cm="1">
        <f t="array" ref="R7133">IFERROR(IF($B7133=R$1, ($A7133+$C7133) - MAX(IF($B$2:$B7132=$B7133, $A$2:$A7132+$C$2:$C7132)), "")*24*60, "")</f>
        <v/>
      </c>
      <c r="S7133" s="24" t="str" cm="1">
        <f t="array" ref="S7133">IFERROR(IF($B7133=S$1, ($A7133+$C7133) - MAX(IF($B$2:$B7132=$B7133, $A$2:$A7132+$C$2:$C7132)), "")*24*60, "")</f>
        <v/>
      </c>
    </row>
    <row r="7134" spans="1:19" x14ac:dyDescent="0.2">
      <c r="A7134" s="12">
        <f t="shared" ref="A7134:C7134" si="1470">A7133</f>
        <v>46003</v>
      </c>
      <c r="B7134" s="5" t="str">
        <f t="shared" si="1470"/>
        <v>Tufted Titmouse</v>
      </c>
      <c r="C7134" s="6">
        <f t="shared" si="1470"/>
        <v>0.47430555555555554</v>
      </c>
      <c r="D7134" s="5"/>
      <c r="E7134" s="5"/>
      <c r="F7134" s="5" t="s">
        <v>22</v>
      </c>
      <c r="G7134" s="15" t="s">
        <v>22</v>
      </c>
      <c r="H7134" s="24">
        <f t="shared" si="1464"/>
        <v>0</v>
      </c>
      <c r="I7134" s="24" t="str" cm="1">
        <f t="array" ref="I7134">IFERROR(IF($B7134=I$1, ($A7134+$C7134) - MAX(IF($B$2:$B7133=$B7134, $A$2:$A7133+$C$2:$C7133)), "")*24*60, "")</f>
        <v/>
      </c>
      <c r="J7134" s="24" cm="1">
        <f t="array" ref="J7134">IFERROR(IF($B7134=J$1, ($A7134+$C7134) - MAX(IF($B$2:$B7133=$B7134, $A$2:$A7133+$C$2:$C7133)), "")*24*60, "")</f>
        <v>0</v>
      </c>
      <c r="K7134" s="24" t="str" cm="1">
        <f t="array" ref="K7134">IFERROR(IF($B7134=K$1, ($A7134+$C7134) - MAX(IF($B$2:$B7133=$B7134, $A$2:$A7133+$C$2:$C7133)), "")*24*60, "")</f>
        <v/>
      </c>
      <c r="L7134" s="24" t="str" cm="1">
        <f t="array" ref="L7134">IFERROR(IF($B7134=L$1, ($A7134+$C7134) - MAX(IF($B$2:$B7133=$B7134, $A$2:$A7133+$C$2:$C7133)), "")*24*60, "")</f>
        <v/>
      </c>
      <c r="M7134" s="24" t="str" cm="1">
        <f t="array" ref="M7134">IFERROR(IF($B7134=M$1, ($A7134+$C7134) - MAX(IF($B$2:$B7133=$B7134, $A$2:$A7133+$C$2:$C7133)), "")*24*60, "")</f>
        <v/>
      </c>
      <c r="N7134" s="24" t="str" cm="1">
        <f t="array" ref="N7134">IFERROR(IF($B7134=N$1, ($A7134+$C7134) - MAX(IF($B$2:$B7133=$B7134, $A$2:$A7133+$C$2:$C7133)), "")*24*60, "")</f>
        <v/>
      </c>
      <c r="O7134" s="24" t="str" cm="1">
        <f t="array" ref="O7134">IFERROR(IF($B7134=O$1, ($A7134+$C7134) - MAX(IF($B$2:$B7133=$B7134, $A$2:$A7133+$C$2:$C7133)), "")*24*60, "")</f>
        <v/>
      </c>
      <c r="P7134" s="24" t="str" cm="1">
        <f t="array" ref="P7134">IFERROR(IF($B7134=P$1, ($A7134+$C7134) - MAX(IF($B$2:$B7133=$B7134, $A$2:$A7133+$C$2:$C7133)), "")*24*60, "")</f>
        <v/>
      </c>
      <c r="Q7134" s="24" t="str" cm="1">
        <f t="array" ref="Q7134">IFERROR(IF($B7134=Q$1, ($A7134+$C7134) - MAX(IF($B$2:$B7133=$B7134, $A$2:$A7133+$C$2:$C7133)), "")*24*60, "")</f>
        <v/>
      </c>
      <c r="R7134" s="24" t="str" cm="1">
        <f t="array" ref="R7134">IFERROR(IF($B7134=R$1, ($A7134+$C7134) - MAX(IF($B$2:$B7133=$B7134, $A$2:$A7133+$C$2:$C7133)), "")*24*60, "")</f>
        <v/>
      </c>
      <c r="S7134" s="24" t="str" cm="1">
        <f t="array" ref="S7134">IFERROR(IF($B7134=S$1, ($A7134+$C7134) - MAX(IF($B$2:$B7133=$B7134, $A$2:$A7133+$C$2:$C7133)), "")*24*60, "")</f>
        <v/>
      </c>
    </row>
    <row r="7135" spans="1:19" x14ac:dyDescent="0.2">
      <c r="A7135" s="12">
        <f t="shared" ref="A7135:C7135" si="1471">A7134</f>
        <v>46003</v>
      </c>
      <c r="B7135" s="5" t="str">
        <f t="shared" si="1471"/>
        <v>Tufted Titmouse</v>
      </c>
      <c r="C7135" s="6">
        <f t="shared" si="1471"/>
        <v>0.47430555555555554</v>
      </c>
      <c r="D7135" s="5"/>
      <c r="E7135" s="5"/>
      <c r="F7135" s="5" t="s">
        <v>22</v>
      </c>
      <c r="G7135" s="15" t="s">
        <v>22</v>
      </c>
      <c r="H7135" s="24">
        <f t="shared" si="1464"/>
        <v>0</v>
      </c>
      <c r="I7135" s="24" t="str" cm="1">
        <f t="array" ref="I7135">IFERROR(IF($B7135=I$1, ($A7135+$C7135) - MAX(IF($B$2:$B7134=$B7135, $A$2:$A7134+$C$2:$C7134)), "")*24*60, "")</f>
        <v/>
      </c>
      <c r="J7135" s="24" cm="1">
        <f t="array" ref="J7135">IFERROR(IF($B7135=J$1, ($A7135+$C7135) - MAX(IF($B$2:$B7134=$B7135, $A$2:$A7134+$C$2:$C7134)), "")*24*60, "")</f>
        <v>0</v>
      </c>
      <c r="K7135" s="24" t="str" cm="1">
        <f t="array" ref="K7135">IFERROR(IF($B7135=K$1, ($A7135+$C7135) - MAX(IF($B$2:$B7134=$B7135, $A$2:$A7134+$C$2:$C7134)), "")*24*60, "")</f>
        <v/>
      </c>
      <c r="L7135" s="24" t="str" cm="1">
        <f t="array" ref="L7135">IFERROR(IF($B7135=L$1, ($A7135+$C7135) - MAX(IF($B$2:$B7134=$B7135, $A$2:$A7134+$C$2:$C7134)), "")*24*60, "")</f>
        <v/>
      </c>
      <c r="M7135" s="24" t="str" cm="1">
        <f t="array" ref="M7135">IFERROR(IF($B7135=M$1, ($A7135+$C7135) - MAX(IF($B$2:$B7134=$B7135, $A$2:$A7134+$C$2:$C7134)), "")*24*60, "")</f>
        <v/>
      </c>
      <c r="N7135" s="24" t="str" cm="1">
        <f t="array" ref="N7135">IFERROR(IF($B7135=N$1, ($A7135+$C7135) - MAX(IF($B$2:$B7134=$B7135, $A$2:$A7134+$C$2:$C7134)), "")*24*60, "")</f>
        <v/>
      </c>
      <c r="O7135" s="24" t="str" cm="1">
        <f t="array" ref="O7135">IFERROR(IF($B7135=O$1, ($A7135+$C7135) - MAX(IF($B$2:$B7134=$B7135, $A$2:$A7134+$C$2:$C7134)), "")*24*60, "")</f>
        <v/>
      </c>
      <c r="P7135" s="24" t="str" cm="1">
        <f t="array" ref="P7135">IFERROR(IF($B7135=P$1, ($A7135+$C7135) - MAX(IF($B$2:$B7134=$B7135, $A$2:$A7134+$C$2:$C7134)), "")*24*60, "")</f>
        <v/>
      </c>
      <c r="Q7135" s="24" t="str" cm="1">
        <f t="array" ref="Q7135">IFERROR(IF($B7135=Q$1, ($A7135+$C7135) - MAX(IF($B$2:$B7134=$B7135, $A$2:$A7134+$C$2:$C7134)), "")*24*60, "")</f>
        <v/>
      </c>
      <c r="R7135" s="24" t="str" cm="1">
        <f t="array" ref="R7135">IFERROR(IF($B7135=R$1, ($A7135+$C7135) - MAX(IF($B$2:$B7134=$B7135, $A$2:$A7134+$C$2:$C7134)), "")*24*60, "")</f>
        <v/>
      </c>
      <c r="S7135" s="24" t="str" cm="1">
        <f t="array" ref="S7135">IFERROR(IF($B7135=S$1, ($A7135+$C7135) - MAX(IF($B$2:$B7134=$B7135, $A$2:$A7134+$C$2:$C7134)), "")*24*60, "")</f>
        <v/>
      </c>
    </row>
    <row r="7136" spans="1:19" x14ac:dyDescent="0.2">
      <c r="A7136" s="12">
        <f t="shared" ref="A7136:C7136" si="1472">A7135</f>
        <v>46003</v>
      </c>
      <c r="B7136" s="5" t="str">
        <f t="shared" si="1472"/>
        <v>Tufted Titmouse</v>
      </c>
      <c r="C7136" s="6">
        <f t="shared" si="1472"/>
        <v>0.47430555555555554</v>
      </c>
      <c r="D7136" s="5"/>
      <c r="E7136" s="5"/>
      <c r="F7136" s="5" t="s">
        <v>22</v>
      </c>
      <c r="G7136" s="15" t="s">
        <v>22</v>
      </c>
      <c r="H7136" s="24">
        <f t="shared" si="1464"/>
        <v>0</v>
      </c>
      <c r="I7136" s="24" t="str" cm="1">
        <f t="array" ref="I7136">IFERROR(IF($B7136=I$1, ($A7136+$C7136) - MAX(IF($B$2:$B7135=$B7136, $A$2:$A7135+$C$2:$C7135)), "")*24*60, "")</f>
        <v/>
      </c>
      <c r="J7136" s="24" cm="1">
        <f t="array" ref="J7136">IFERROR(IF($B7136=J$1, ($A7136+$C7136) - MAX(IF($B$2:$B7135=$B7136, $A$2:$A7135+$C$2:$C7135)), "")*24*60, "")</f>
        <v>0</v>
      </c>
      <c r="K7136" s="24" t="str" cm="1">
        <f t="array" ref="K7136">IFERROR(IF($B7136=K$1, ($A7136+$C7136) - MAX(IF($B$2:$B7135=$B7136, $A$2:$A7135+$C$2:$C7135)), "")*24*60, "")</f>
        <v/>
      </c>
      <c r="L7136" s="24" t="str" cm="1">
        <f t="array" ref="L7136">IFERROR(IF($B7136=L$1, ($A7136+$C7136) - MAX(IF($B$2:$B7135=$B7136, $A$2:$A7135+$C$2:$C7135)), "")*24*60, "")</f>
        <v/>
      </c>
      <c r="M7136" s="24" t="str" cm="1">
        <f t="array" ref="M7136">IFERROR(IF($B7136=M$1, ($A7136+$C7136) - MAX(IF($B$2:$B7135=$B7136, $A$2:$A7135+$C$2:$C7135)), "")*24*60, "")</f>
        <v/>
      </c>
      <c r="N7136" s="24" t="str" cm="1">
        <f t="array" ref="N7136">IFERROR(IF($B7136=N$1, ($A7136+$C7136) - MAX(IF($B$2:$B7135=$B7136, $A$2:$A7135+$C$2:$C7135)), "")*24*60, "")</f>
        <v/>
      </c>
      <c r="O7136" s="24" t="str" cm="1">
        <f t="array" ref="O7136">IFERROR(IF($B7136=O$1, ($A7136+$C7136) - MAX(IF($B$2:$B7135=$B7136, $A$2:$A7135+$C$2:$C7135)), "")*24*60, "")</f>
        <v/>
      </c>
      <c r="P7136" s="24" t="str" cm="1">
        <f t="array" ref="P7136">IFERROR(IF($B7136=P$1, ($A7136+$C7136) - MAX(IF($B$2:$B7135=$B7136, $A$2:$A7135+$C$2:$C7135)), "")*24*60, "")</f>
        <v/>
      </c>
      <c r="Q7136" s="24" t="str" cm="1">
        <f t="array" ref="Q7136">IFERROR(IF($B7136=Q$1, ($A7136+$C7136) - MAX(IF($B$2:$B7135=$B7136, $A$2:$A7135+$C$2:$C7135)), "")*24*60, "")</f>
        <v/>
      </c>
      <c r="R7136" s="24" t="str" cm="1">
        <f t="array" ref="R7136">IFERROR(IF($B7136=R$1, ($A7136+$C7136) - MAX(IF($B$2:$B7135=$B7136, $A$2:$A7135+$C$2:$C7135)), "")*24*60, "")</f>
        <v/>
      </c>
      <c r="S7136" s="24" t="str" cm="1">
        <f t="array" ref="S7136">IFERROR(IF($B7136=S$1, ($A7136+$C7136) - MAX(IF($B$2:$B7135=$B7136, $A$2:$A7135+$C$2:$C7135)), "")*24*60, "")</f>
        <v/>
      </c>
    </row>
    <row r="7137" spans="1:19" x14ac:dyDescent="0.2">
      <c r="A7137" s="12">
        <f t="shared" ref="A7137:C7137" si="1473">A7136</f>
        <v>46003</v>
      </c>
      <c r="B7137" s="5" t="str">
        <f t="shared" si="1473"/>
        <v>Tufted Titmouse</v>
      </c>
      <c r="C7137" s="6">
        <f t="shared" si="1473"/>
        <v>0.47430555555555554</v>
      </c>
      <c r="D7137" s="5"/>
      <c r="E7137" s="5"/>
      <c r="F7137" s="5" t="s">
        <v>22</v>
      </c>
      <c r="G7137" s="15" t="s">
        <v>22</v>
      </c>
      <c r="H7137" s="24">
        <f t="shared" si="1464"/>
        <v>0</v>
      </c>
      <c r="I7137" s="24" t="str" cm="1">
        <f t="array" ref="I7137">IFERROR(IF($B7137=I$1, ($A7137+$C7137) - MAX(IF($B$2:$B7136=$B7137, $A$2:$A7136+$C$2:$C7136)), "")*24*60, "")</f>
        <v/>
      </c>
      <c r="J7137" s="24" cm="1">
        <f t="array" ref="J7137">IFERROR(IF($B7137=J$1, ($A7137+$C7137) - MAX(IF($B$2:$B7136=$B7137, $A$2:$A7136+$C$2:$C7136)), "")*24*60, "")</f>
        <v>0</v>
      </c>
      <c r="K7137" s="24" t="str" cm="1">
        <f t="array" ref="K7137">IFERROR(IF($B7137=K$1, ($A7137+$C7137) - MAX(IF($B$2:$B7136=$B7137, $A$2:$A7136+$C$2:$C7136)), "")*24*60, "")</f>
        <v/>
      </c>
      <c r="L7137" s="24" t="str" cm="1">
        <f t="array" ref="L7137">IFERROR(IF($B7137=L$1, ($A7137+$C7137) - MAX(IF($B$2:$B7136=$B7137, $A$2:$A7136+$C$2:$C7136)), "")*24*60, "")</f>
        <v/>
      </c>
      <c r="M7137" s="24" t="str" cm="1">
        <f t="array" ref="M7137">IFERROR(IF($B7137=M$1, ($A7137+$C7137) - MAX(IF($B$2:$B7136=$B7137, $A$2:$A7136+$C$2:$C7136)), "")*24*60, "")</f>
        <v/>
      </c>
      <c r="N7137" s="24" t="str" cm="1">
        <f t="array" ref="N7137">IFERROR(IF($B7137=N$1, ($A7137+$C7137) - MAX(IF($B$2:$B7136=$B7137, $A$2:$A7136+$C$2:$C7136)), "")*24*60, "")</f>
        <v/>
      </c>
      <c r="O7137" s="24" t="str" cm="1">
        <f t="array" ref="O7137">IFERROR(IF($B7137=O$1, ($A7137+$C7137) - MAX(IF($B$2:$B7136=$B7137, $A$2:$A7136+$C$2:$C7136)), "")*24*60, "")</f>
        <v/>
      </c>
      <c r="P7137" s="24" t="str" cm="1">
        <f t="array" ref="P7137">IFERROR(IF($B7137=P$1, ($A7137+$C7137) - MAX(IF($B$2:$B7136=$B7137, $A$2:$A7136+$C$2:$C7136)), "")*24*60, "")</f>
        <v/>
      </c>
      <c r="Q7137" s="24" t="str" cm="1">
        <f t="array" ref="Q7137">IFERROR(IF($B7137=Q$1, ($A7137+$C7137) - MAX(IF($B$2:$B7136=$B7137, $A$2:$A7136+$C$2:$C7136)), "")*24*60, "")</f>
        <v/>
      </c>
      <c r="R7137" s="24" t="str" cm="1">
        <f t="array" ref="R7137">IFERROR(IF($B7137=R$1, ($A7137+$C7137) - MAX(IF($B$2:$B7136=$B7137, $A$2:$A7136+$C$2:$C7136)), "")*24*60, "")</f>
        <v/>
      </c>
      <c r="S7137" s="24" t="str" cm="1">
        <f t="array" ref="S7137">IFERROR(IF($B7137=S$1, ($A7137+$C7137) - MAX(IF($B$2:$B7136=$B7137, $A$2:$A7136+$C$2:$C7136)), "")*24*60, "")</f>
        <v/>
      </c>
    </row>
    <row r="7138" spans="1:19" x14ac:dyDescent="0.2">
      <c r="A7138" s="12">
        <f t="shared" ref="A7138:C7138" si="1474">A7137</f>
        <v>46003</v>
      </c>
      <c r="B7138" s="5" t="str">
        <f t="shared" si="1474"/>
        <v>Tufted Titmouse</v>
      </c>
      <c r="C7138" s="6">
        <f t="shared" si="1474"/>
        <v>0.47430555555555554</v>
      </c>
      <c r="D7138" s="5"/>
      <c r="E7138" s="5"/>
      <c r="F7138" s="5" t="s">
        <v>22</v>
      </c>
      <c r="G7138" s="15" t="s">
        <v>22</v>
      </c>
      <c r="H7138" s="24">
        <f t="shared" si="1464"/>
        <v>0</v>
      </c>
      <c r="I7138" s="24" t="str" cm="1">
        <f t="array" ref="I7138">IFERROR(IF($B7138=I$1, ($A7138+$C7138) - MAX(IF($B$2:$B7137=$B7138, $A$2:$A7137+$C$2:$C7137)), "")*24*60, "")</f>
        <v/>
      </c>
      <c r="J7138" s="24" cm="1">
        <f t="array" ref="J7138">IFERROR(IF($B7138=J$1, ($A7138+$C7138) - MAX(IF($B$2:$B7137=$B7138, $A$2:$A7137+$C$2:$C7137)), "")*24*60, "")</f>
        <v>0</v>
      </c>
      <c r="K7138" s="24" t="str" cm="1">
        <f t="array" ref="K7138">IFERROR(IF($B7138=K$1, ($A7138+$C7138) - MAX(IF($B$2:$B7137=$B7138, $A$2:$A7137+$C$2:$C7137)), "")*24*60, "")</f>
        <v/>
      </c>
      <c r="L7138" s="24" t="str" cm="1">
        <f t="array" ref="L7138">IFERROR(IF($B7138=L$1, ($A7138+$C7138) - MAX(IF($B$2:$B7137=$B7138, $A$2:$A7137+$C$2:$C7137)), "")*24*60, "")</f>
        <v/>
      </c>
      <c r="M7138" s="24" t="str" cm="1">
        <f t="array" ref="M7138">IFERROR(IF($B7138=M$1, ($A7138+$C7138) - MAX(IF($B$2:$B7137=$B7138, $A$2:$A7137+$C$2:$C7137)), "")*24*60, "")</f>
        <v/>
      </c>
      <c r="N7138" s="24" t="str" cm="1">
        <f t="array" ref="N7138">IFERROR(IF($B7138=N$1, ($A7138+$C7138) - MAX(IF($B$2:$B7137=$B7138, $A$2:$A7137+$C$2:$C7137)), "")*24*60, "")</f>
        <v/>
      </c>
      <c r="O7138" s="24" t="str" cm="1">
        <f t="array" ref="O7138">IFERROR(IF($B7138=O$1, ($A7138+$C7138) - MAX(IF($B$2:$B7137=$B7138, $A$2:$A7137+$C$2:$C7137)), "")*24*60, "")</f>
        <v/>
      </c>
      <c r="P7138" s="24" t="str" cm="1">
        <f t="array" ref="P7138">IFERROR(IF($B7138=P$1, ($A7138+$C7138) - MAX(IF($B$2:$B7137=$B7138, $A$2:$A7137+$C$2:$C7137)), "")*24*60, "")</f>
        <v/>
      </c>
      <c r="Q7138" s="24" t="str" cm="1">
        <f t="array" ref="Q7138">IFERROR(IF($B7138=Q$1, ($A7138+$C7138) - MAX(IF($B$2:$B7137=$B7138, $A$2:$A7137+$C$2:$C7137)), "")*24*60, "")</f>
        <v/>
      </c>
      <c r="R7138" s="24" t="str" cm="1">
        <f t="array" ref="R7138">IFERROR(IF($B7138=R$1, ($A7138+$C7138) - MAX(IF($B$2:$B7137=$B7138, $A$2:$A7137+$C$2:$C7137)), "")*24*60, "")</f>
        <v/>
      </c>
      <c r="S7138" s="24" t="str" cm="1">
        <f t="array" ref="S7138">IFERROR(IF($B7138=S$1, ($A7138+$C7138) - MAX(IF($B$2:$B7137=$B7138, $A$2:$A7137+$C$2:$C7137)), "")*24*60, "")</f>
        <v/>
      </c>
    </row>
    <row r="7139" spans="1:19" x14ac:dyDescent="0.2">
      <c r="A7139" s="12">
        <f t="shared" ref="A7139:C7139" si="1475">A7138</f>
        <v>46003</v>
      </c>
      <c r="B7139" s="5" t="str">
        <f t="shared" si="1475"/>
        <v>Tufted Titmouse</v>
      </c>
      <c r="C7139" s="6">
        <f t="shared" si="1475"/>
        <v>0.47430555555555554</v>
      </c>
      <c r="D7139" s="5"/>
      <c r="E7139" s="5"/>
      <c r="F7139" s="5" t="s">
        <v>22</v>
      </c>
      <c r="G7139" s="15" t="s">
        <v>22</v>
      </c>
      <c r="H7139" s="24">
        <f t="shared" si="1464"/>
        <v>0</v>
      </c>
      <c r="I7139" s="24" t="str" cm="1">
        <f t="array" ref="I7139">IFERROR(IF($B7139=I$1, ($A7139+$C7139) - MAX(IF($B$2:$B7138=$B7139, $A$2:$A7138+$C$2:$C7138)), "")*24*60, "")</f>
        <v/>
      </c>
      <c r="J7139" s="24" cm="1">
        <f t="array" ref="J7139">IFERROR(IF($B7139=J$1, ($A7139+$C7139) - MAX(IF($B$2:$B7138=$B7139, $A$2:$A7138+$C$2:$C7138)), "")*24*60, "")</f>
        <v>0</v>
      </c>
      <c r="K7139" s="24" t="str" cm="1">
        <f t="array" ref="K7139">IFERROR(IF($B7139=K$1, ($A7139+$C7139) - MAX(IF($B$2:$B7138=$B7139, $A$2:$A7138+$C$2:$C7138)), "")*24*60, "")</f>
        <v/>
      </c>
      <c r="L7139" s="24" t="str" cm="1">
        <f t="array" ref="L7139">IFERROR(IF($B7139=L$1, ($A7139+$C7139) - MAX(IF($B$2:$B7138=$B7139, $A$2:$A7138+$C$2:$C7138)), "")*24*60, "")</f>
        <v/>
      </c>
      <c r="M7139" s="24" t="str" cm="1">
        <f t="array" ref="M7139">IFERROR(IF($B7139=M$1, ($A7139+$C7139) - MAX(IF($B$2:$B7138=$B7139, $A$2:$A7138+$C$2:$C7138)), "")*24*60, "")</f>
        <v/>
      </c>
      <c r="N7139" s="24" t="str" cm="1">
        <f t="array" ref="N7139">IFERROR(IF($B7139=N$1, ($A7139+$C7139) - MAX(IF($B$2:$B7138=$B7139, $A$2:$A7138+$C$2:$C7138)), "")*24*60, "")</f>
        <v/>
      </c>
      <c r="O7139" s="24" t="str" cm="1">
        <f t="array" ref="O7139">IFERROR(IF($B7139=O$1, ($A7139+$C7139) - MAX(IF($B$2:$B7138=$B7139, $A$2:$A7138+$C$2:$C7138)), "")*24*60, "")</f>
        <v/>
      </c>
      <c r="P7139" s="24" t="str" cm="1">
        <f t="array" ref="P7139">IFERROR(IF($B7139=P$1, ($A7139+$C7139) - MAX(IF($B$2:$B7138=$B7139, $A$2:$A7138+$C$2:$C7138)), "")*24*60, "")</f>
        <v/>
      </c>
      <c r="Q7139" s="24" t="str" cm="1">
        <f t="array" ref="Q7139">IFERROR(IF($B7139=Q$1, ($A7139+$C7139) - MAX(IF($B$2:$B7138=$B7139, $A$2:$A7138+$C$2:$C7138)), "")*24*60, "")</f>
        <v/>
      </c>
      <c r="R7139" s="24" t="str" cm="1">
        <f t="array" ref="R7139">IFERROR(IF($B7139=R$1, ($A7139+$C7139) - MAX(IF($B$2:$B7138=$B7139, $A$2:$A7138+$C$2:$C7138)), "")*24*60, "")</f>
        <v/>
      </c>
      <c r="S7139" s="24" t="str" cm="1">
        <f t="array" ref="S7139">IFERROR(IF($B7139=S$1, ($A7139+$C7139) - MAX(IF($B$2:$B7138=$B7139, $A$2:$A7138+$C$2:$C7138)), "")*24*60, "")</f>
        <v/>
      </c>
    </row>
    <row r="7140" spans="1:19" x14ac:dyDescent="0.2">
      <c r="A7140" s="12">
        <f t="shared" ref="A7140:C7140" si="1476">A7139</f>
        <v>46003</v>
      </c>
      <c r="B7140" s="5" t="str">
        <f t="shared" si="1476"/>
        <v>Tufted Titmouse</v>
      </c>
      <c r="C7140" s="6">
        <f t="shared" si="1476"/>
        <v>0.47430555555555554</v>
      </c>
      <c r="D7140" s="5"/>
      <c r="E7140" s="5"/>
      <c r="F7140" s="5" t="s">
        <v>22</v>
      </c>
      <c r="G7140" s="15" t="s">
        <v>22</v>
      </c>
      <c r="H7140" s="24">
        <f t="shared" si="1464"/>
        <v>0</v>
      </c>
      <c r="I7140" s="24" t="str" cm="1">
        <f t="array" ref="I7140">IFERROR(IF($B7140=I$1, ($A7140+$C7140) - MAX(IF($B$2:$B7139=$B7140, $A$2:$A7139+$C$2:$C7139)), "")*24*60, "")</f>
        <v/>
      </c>
      <c r="J7140" s="24" cm="1">
        <f t="array" ref="J7140">IFERROR(IF($B7140=J$1, ($A7140+$C7140) - MAX(IF($B$2:$B7139=$B7140, $A$2:$A7139+$C$2:$C7139)), "")*24*60, "")</f>
        <v>0</v>
      </c>
      <c r="K7140" s="24" t="str" cm="1">
        <f t="array" ref="K7140">IFERROR(IF($B7140=K$1, ($A7140+$C7140) - MAX(IF($B$2:$B7139=$B7140, $A$2:$A7139+$C$2:$C7139)), "")*24*60, "")</f>
        <v/>
      </c>
      <c r="L7140" s="24" t="str" cm="1">
        <f t="array" ref="L7140">IFERROR(IF($B7140=L$1, ($A7140+$C7140) - MAX(IF($B$2:$B7139=$B7140, $A$2:$A7139+$C$2:$C7139)), "")*24*60, "")</f>
        <v/>
      </c>
      <c r="M7140" s="24" t="str" cm="1">
        <f t="array" ref="M7140">IFERROR(IF($B7140=M$1, ($A7140+$C7140) - MAX(IF($B$2:$B7139=$B7140, $A$2:$A7139+$C$2:$C7139)), "")*24*60, "")</f>
        <v/>
      </c>
      <c r="N7140" s="24" t="str" cm="1">
        <f t="array" ref="N7140">IFERROR(IF($B7140=N$1, ($A7140+$C7140) - MAX(IF($B$2:$B7139=$B7140, $A$2:$A7139+$C$2:$C7139)), "")*24*60, "")</f>
        <v/>
      </c>
      <c r="O7140" s="24" t="str" cm="1">
        <f t="array" ref="O7140">IFERROR(IF($B7140=O$1, ($A7140+$C7140) - MAX(IF($B$2:$B7139=$B7140, $A$2:$A7139+$C$2:$C7139)), "")*24*60, "")</f>
        <v/>
      </c>
      <c r="P7140" s="24" t="str" cm="1">
        <f t="array" ref="P7140">IFERROR(IF($B7140=P$1, ($A7140+$C7140) - MAX(IF($B$2:$B7139=$B7140, $A$2:$A7139+$C$2:$C7139)), "")*24*60, "")</f>
        <v/>
      </c>
      <c r="Q7140" s="24" t="str" cm="1">
        <f t="array" ref="Q7140">IFERROR(IF($B7140=Q$1, ($A7140+$C7140) - MAX(IF($B$2:$B7139=$B7140, $A$2:$A7139+$C$2:$C7139)), "")*24*60, "")</f>
        <v/>
      </c>
      <c r="R7140" s="24" t="str" cm="1">
        <f t="array" ref="R7140">IFERROR(IF($B7140=R$1, ($A7140+$C7140) - MAX(IF($B$2:$B7139=$B7140, $A$2:$A7139+$C$2:$C7139)), "")*24*60, "")</f>
        <v/>
      </c>
      <c r="S7140" s="24" t="str" cm="1">
        <f t="array" ref="S7140">IFERROR(IF($B7140=S$1, ($A7140+$C7140) - MAX(IF($B$2:$B7139=$B7140, $A$2:$A7139+$C$2:$C7139)), "")*24*60, "")</f>
        <v/>
      </c>
    </row>
    <row r="7141" spans="1:19" x14ac:dyDescent="0.2">
      <c r="A7141" s="12">
        <f t="shared" ref="A7141:C7141" si="1477">A7140</f>
        <v>46003</v>
      </c>
      <c r="B7141" s="5" t="str">
        <f t="shared" si="1477"/>
        <v>Tufted Titmouse</v>
      </c>
      <c r="C7141" s="6">
        <f t="shared" si="1477"/>
        <v>0.47430555555555554</v>
      </c>
      <c r="D7141" s="5"/>
      <c r="E7141" s="5"/>
      <c r="F7141" s="5" t="s">
        <v>22</v>
      </c>
      <c r="G7141" s="15" t="s">
        <v>22</v>
      </c>
      <c r="H7141" s="24">
        <f t="shared" si="1464"/>
        <v>0</v>
      </c>
      <c r="I7141" s="24" t="str" cm="1">
        <f t="array" ref="I7141">IFERROR(IF($B7141=I$1, ($A7141+$C7141) - MAX(IF($B$2:$B7140=$B7141, $A$2:$A7140+$C$2:$C7140)), "")*24*60, "")</f>
        <v/>
      </c>
      <c r="J7141" s="24" cm="1">
        <f t="array" ref="J7141">IFERROR(IF($B7141=J$1, ($A7141+$C7141) - MAX(IF($B$2:$B7140=$B7141, $A$2:$A7140+$C$2:$C7140)), "")*24*60, "")</f>
        <v>0</v>
      </c>
      <c r="K7141" s="24" t="str" cm="1">
        <f t="array" ref="K7141">IFERROR(IF($B7141=K$1, ($A7141+$C7141) - MAX(IF($B$2:$B7140=$B7141, $A$2:$A7140+$C$2:$C7140)), "")*24*60, "")</f>
        <v/>
      </c>
      <c r="L7141" s="24" t="str" cm="1">
        <f t="array" ref="L7141">IFERROR(IF($B7141=L$1, ($A7141+$C7141) - MAX(IF($B$2:$B7140=$B7141, $A$2:$A7140+$C$2:$C7140)), "")*24*60, "")</f>
        <v/>
      </c>
      <c r="M7141" s="24" t="str" cm="1">
        <f t="array" ref="M7141">IFERROR(IF($B7141=M$1, ($A7141+$C7141) - MAX(IF($B$2:$B7140=$B7141, $A$2:$A7140+$C$2:$C7140)), "")*24*60, "")</f>
        <v/>
      </c>
      <c r="N7141" s="24" t="str" cm="1">
        <f t="array" ref="N7141">IFERROR(IF($B7141=N$1, ($A7141+$C7141) - MAX(IF($B$2:$B7140=$B7141, $A$2:$A7140+$C$2:$C7140)), "")*24*60, "")</f>
        <v/>
      </c>
      <c r="O7141" s="24" t="str" cm="1">
        <f t="array" ref="O7141">IFERROR(IF($B7141=O$1, ($A7141+$C7141) - MAX(IF($B$2:$B7140=$B7141, $A$2:$A7140+$C$2:$C7140)), "")*24*60, "")</f>
        <v/>
      </c>
      <c r="P7141" s="24" t="str" cm="1">
        <f t="array" ref="P7141">IFERROR(IF($B7141=P$1, ($A7141+$C7141) - MAX(IF($B$2:$B7140=$B7141, $A$2:$A7140+$C$2:$C7140)), "")*24*60, "")</f>
        <v/>
      </c>
      <c r="Q7141" s="24" t="str" cm="1">
        <f t="array" ref="Q7141">IFERROR(IF($B7141=Q$1, ($A7141+$C7141) - MAX(IF($B$2:$B7140=$B7141, $A$2:$A7140+$C$2:$C7140)), "")*24*60, "")</f>
        <v/>
      </c>
      <c r="R7141" s="24" t="str" cm="1">
        <f t="array" ref="R7141">IFERROR(IF($B7141=R$1, ($A7141+$C7141) - MAX(IF($B$2:$B7140=$B7141, $A$2:$A7140+$C$2:$C7140)), "")*24*60, "")</f>
        <v/>
      </c>
      <c r="S7141" s="24" t="str" cm="1">
        <f t="array" ref="S7141">IFERROR(IF($B7141=S$1, ($A7141+$C7141) - MAX(IF($B$2:$B7140=$B7141, $A$2:$A7140+$C$2:$C7140)), "")*24*60, "")</f>
        <v/>
      </c>
    </row>
    <row r="7142" spans="1:19" x14ac:dyDescent="0.2">
      <c r="A7142" s="12">
        <f t="shared" ref="A7142:C7142" si="1478">A7141</f>
        <v>46003</v>
      </c>
      <c r="B7142" s="5" t="str">
        <f t="shared" si="1478"/>
        <v>Tufted Titmouse</v>
      </c>
      <c r="C7142" s="6">
        <f t="shared" si="1478"/>
        <v>0.47430555555555554</v>
      </c>
      <c r="D7142" s="5"/>
      <c r="E7142" s="5"/>
      <c r="F7142" s="5" t="s">
        <v>22</v>
      </c>
      <c r="G7142" s="15" t="s">
        <v>22</v>
      </c>
      <c r="H7142" s="24">
        <f t="shared" si="1464"/>
        <v>0</v>
      </c>
      <c r="I7142" s="24" t="str" cm="1">
        <f t="array" ref="I7142">IFERROR(IF($B7142=I$1, ($A7142+$C7142) - MAX(IF($B$2:$B7141=$B7142, $A$2:$A7141+$C$2:$C7141)), "")*24*60, "")</f>
        <v/>
      </c>
      <c r="J7142" s="24" cm="1">
        <f t="array" ref="J7142">IFERROR(IF($B7142=J$1, ($A7142+$C7142) - MAX(IF($B$2:$B7141=$B7142, $A$2:$A7141+$C$2:$C7141)), "")*24*60, "")</f>
        <v>0</v>
      </c>
      <c r="K7142" s="24" t="str" cm="1">
        <f t="array" ref="K7142">IFERROR(IF($B7142=K$1, ($A7142+$C7142) - MAX(IF($B$2:$B7141=$B7142, $A$2:$A7141+$C$2:$C7141)), "")*24*60, "")</f>
        <v/>
      </c>
      <c r="L7142" s="24" t="str" cm="1">
        <f t="array" ref="L7142">IFERROR(IF($B7142=L$1, ($A7142+$C7142) - MAX(IF($B$2:$B7141=$B7142, $A$2:$A7141+$C$2:$C7141)), "")*24*60, "")</f>
        <v/>
      </c>
      <c r="M7142" s="24" t="str" cm="1">
        <f t="array" ref="M7142">IFERROR(IF($B7142=M$1, ($A7142+$C7142) - MAX(IF($B$2:$B7141=$B7142, $A$2:$A7141+$C$2:$C7141)), "")*24*60, "")</f>
        <v/>
      </c>
      <c r="N7142" s="24" t="str" cm="1">
        <f t="array" ref="N7142">IFERROR(IF($B7142=N$1, ($A7142+$C7142) - MAX(IF($B$2:$B7141=$B7142, $A$2:$A7141+$C$2:$C7141)), "")*24*60, "")</f>
        <v/>
      </c>
      <c r="O7142" s="24" t="str" cm="1">
        <f t="array" ref="O7142">IFERROR(IF($B7142=O$1, ($A7142+$C7142) - MAX(IF($B$2:$B7141=$B7142, $A$2:$A7141+$C$2:$C7141)), "")*24*60, "")</f>
        <v/>
      </c>
      <c r="P7142" s="24" t="str" cm="1">
        <f t="array" ref="P7142">IFERROR(IF($B7142=P$1, ($A7142+$C7142) - MAX(IF($B$2:$B7141=$B7142, $A$2:$A7141+$C$2:$C7141)), "")*24*60, "")</f>
        <v/>
      </c>
      <c r="Q7142" s="24" t="str" cm="1">
        <f t="array" ref="Q7142">IFERROR(IF($B7142=Q$1, ($A7142+$C7142) - MAX(IF($B$2:$B7141=$B7142, $A$2:$A7141+$C$2:$C7141)), "")*24*60, "")</f>
        <v/>
      </c>
      <c r="R7142" s="24" t="str" cm="1">
        <f t="array" ref="R7142">IFERROR(IF($B7142=R$1, ($A7142+$C7142) - MAX(IF($B$2:$B7141=$B7142, $A$2:$A7141+$C$2:$C7141)), "")*24*60, "")</f>
        <v/>
      </c>
      <c r="S7142" s="24" t="str" cm="1">
        <f t="array" ref="S7142">IFERROR(IF($B7142=S$1, ($A7142+$C7142) - MAX(IF($B$2:$B7141=$B7142, $A$2:$A7141+$C$2:$C7141)), "")*24*60, "")</f>
        <v/>
      </c>
    </row>
    <row r="7143" spans="1:19" x14ac:dyDescent="0.2">
      <c r="A7143" s="12">
        <f t="shared" ref="A7143:C7143" si="1479">A7142</f>
        <v>46003</v>
      </c>
      <c r="B7143" s="5" t="str">
        <f t="shared" si="1479"/>
        <v>Tufted Titmouse</v>
      </c>
      <c r="C7143" s="6">
        <f t="shared" si="1479"/>
        <v>0.47430555555555554</v>
      </c>
      <c r="D7143" s="5"/>
      <c r="E7143" s="5"/>
      <c r="F7143" s="5" t="s">
        <v>22</v>
      </c>
      <c r="G7143" s="15" t="s">
        <v>22</v>
      </c>
      <c r="H7143" s="24">
        <f t="shared" si="1464"/>
        <v>0</v>
      </c>
      <c r="I7143" s="24" t="str" cm="1">
        <f t="array" ref="I7143">IFERROR(IF($B7143=I$1, ($A7143+$C7143) - MAX(IF($B$2:$B7142=$B7143, $A$2:$A7142+$C$2:$C7142)), "")*24*60, "")</f>
        <v/>
      </c>
      <c r="J7143" s="24" cm="1">
        <f t="array" ref="J7143">IFERROR(IF($B7143=J$1, ($A7143+$C7143) - MAX(IF($B$2:$B7142=$B7143, $A$2:$A7142+$C$2:$C7142)), "")*24*60, "")</f>
        <v>0</v>
      </c>
      <c r="K7143" s="24" t="str" cm="1">
        <f t="array" ref="K7143">IFERROR(IF($B7143=K$1, ($A7143+$C7143) - MAX(IF($B$2:$B7142=$B7143, $A$2:$A7142+$C$2:$C7142)), "")*24*60, "")</f>
        <v/>
      </c>
      <c r="L7143" s="24" t="str" cm="1">
        <f t="array" ref="L7143">IFERROR(IF($B7143=L$1, ($A7143+$C7143) - MAX(IF($B$2:$B7142=$B7143, $A$2:$A7142+$C$2:$C7142)), "")*24*60, "")</f>
        <v/>
      </c>
      <c r="M7143" s="24" t="str" cm="1">
        <f t="array" ref="M7143">IFERROR(IF($B7143=M$1, ($A7143+$C7143) - MAX(IF($B$2:$B7142=$B7143, $A$2:$A7142+$C$2:$C7142)), "")*24*60, "")</f>
        <v/>
      </c>
      <c r="N7143" s="24" t="str" cm="1">
        <f t="array" ref="N7143">IFERROR(IF($B7143=N$1, ($A7143+$C7143) - MAX(IF($B$2:$B7142=$B7143, $A$2:$A7142+$C$2:$C7142)), "")*24*60, "")</f>
        <v/>
      </c>
      <c r="O7143" s="24" t="str" cm="1">
        <f t="array" ref="O7143">IFERROR(IF($B7143=O$1, ($A7143+$C7143) - MAX(IF($B$2:$B7142=$B7143, $A$2:$A7142+$C$2:$C7142)), "")*24*60, "")</f>
        <v/>
      </c>
      <c r="P7143" s="24" t="str" cm="1">
        <f t="array" ref="P7143">IFERROR(IF($B7143=P$1, ($A7143+$C7143) - MAX(IF($B$2:$B7142=$B7143, $A$2:$A7142+$C$2:$C7142)), "")*24*60, "")</f>
        <v/>
      </c>
      <c r="Q7143" s="24" t="str" cm="1">
        <f t="array" ref="Q7143">IFERROR(IF($B7143=Q$1, ($A7143+$C7143) - MAX(IF($B$2:$B7142=$B7143, $A$2:$A7142+$C$2:$C7142)), "")*24*60, "")</f>
        <v/>
      </c>
      <c r="R7143" s="24" t="str" cm="1">
        <f t="array" ref="R7143">IFERROR(IF($B7143=R$1, ($A7143+$C7143) - MAX(IF($B$2:$B7142=$B7143, $A$2:$A7142+$C$2:$C7142)), "")*24*60, "")</f>
        <v/>
      </c>
      <c r="S7143" s="24" t="str" cm="1">
        <f t="array" ref="S7143">IFERROR(IF($B7143=S$1, ($A7143+$C7143) - MAX(IF($B$2:$B7142=$B7143, $A$2:$A7142+$C$2:$C7142)), "")*24*60, "")</f>
        <v/>
      </c>
    </row>
    <row r="7144" spans="1:19" x14ac:dyDescent="0.2">
      <c r="A7144" s="12">
        <f t="shared" ref="A7144:C7144" si="1480">A7143</f>
        <v>46003</v>
      </c>
      <c r="B7144" s="5" t="str">
        <f t="shared" si="1480"/>
        <v>Tufted Titmouse</v>
      </c>
      <c r="C7144" s="6">
        <f t="shared" si="1480"/>
        <v>0.47430555555555554</v>
      </c>
      <c r="D7144" s="5"/>
      <c r="E7144" s="5"/>
      <c r="F7144" s="5" t="s">
        <v>22</v>
      </c>
      <c r="G7144" s="15" t="s">
        <v>22</v>
      </c>
      <c r="H7144" s="24">
        <f t="shared" si="1464"/>
        <v>0</v>
      </c>
      <c r="I7144" s="24" t="str" cm="1">
        <f t="array" ref="I7144">IFERROR(IF($B7144=I$1, ($A7144+$C7144) - MAX(IF($B$2:$B7143=$B7144, $A$2:$A7143+$C$2:$C7143)), "")*24*60, "")</f>
        <v/>
      </c>
      <c r="J7144" s="24" cm="1">
        <f t="array" ref="J7144">IFERROR(IF($B7144=J$1, ($A7144+$C7144) - MAX(IF($B$2:$B7143=$B7144, $A$2:$A7143+$C$2:$C7143)), "")*24*60, "")</f>
        <v>0</v>
      </c>
      <c r="K7144" s="24" t="str" cm="1">
        <f t="array" ref="K7144">IFERROR(IF($B7144=K$1, ($A7144+$C7144) - MAX(IF($B$2:$B7143=$B7144, $A$2:$A7143+$C$2:$C7143)), "")*24*60, "")</f>
        <v/>
      </c>
      <c r="L7144" s="24" t="str" cm="1">
        <f t="array" ref="L7144">IFERROR(IF($B7144=L$1, ($A7144+$C7144) - MAX(IF($B$2:$B7143=$B7144, $A$2:$A7143+$C$2:$C7143)), "")*24*60, "")</f>
        <v/>
      </c>
      <c r="M7144" s="24" t="str" cm="1">
        <f t="array" ref="M7144">IFERROR(IF($B7144=M$1, ($A7144+$C7144) - MAX(IF($B$2:$B7143=$B7144, $A$2:$A7143+$C$2:$C7143)), "")*24*60, "")</f>
        <v/>
      </c>
      <c r="N7144" s="24" t="str" cm="1">
        <f t="array" ref="N7144">IFERROR(IF($B7144=N$1, ($A7144+$C7144) - MAX(IF($B$2:$B7143=$B7144, $A$2:$A7143+$C$2:$C7143)), "")*24*60, "")</f>
        <v/>
      </c>
      <c r="O7144" s="24" t="str" cm="1">
        <f t="array" ref="O7144">IFERROR(IF($B7144=O$1, ($A7144+$C7144) - MAX(IF($B$2:$B7143=$B7144, $A$2:$A7143+$C$2:$C7143)), "")*24*60, "")</f>
        <v/>
      </c>
      <c r="P7144" s="24" t="str" cm="1">
        <f t="array" ref="P7144">IFERROR(IF($B7144=P$1, ($A7144+$C7144) - MAX(IF($B$2:$B7143=$B7144, $A$2:$A7143+$C$2:$C7143)), "")*24*60, "")</f>
        <v/>
      </c>
      <c r="Q7144" s="24" t="str" cm="1">
        <f t="array" ref="Q7144">IFERROR(IF($B7144=Q$1, ($A7144+$C7144) - MAX(IF($B$2:$B7143=$B7144, $A$2:$A7143+$C$2:$C7143)), "")*24*60, "")</f>
        <v/>
      </c>
      <c r="R7144" s="24" t="str" cm="1">
        <f t="array" ref="R7144">IFERROR(IF($B7144=R$1, ($A7144+$C7144) - MAX(IF($B$2:$B7143=$B7144, $A$2:$A7143+$C$2:$C7143)), "")*24*60, "")</f>
        <v/>
      </c>
      <c r="S7144" s="24" t="str" cm="1">
        <f t="array" ref="S7144">IFERROR(IF($B7144=S$1, ($A7144+$C7144) - MAX(IF($B$2:$B7143=$B7144, $A$2:$A7143+$C$2:$C7143)), "")*24*60, "")</f>
        <v/>
      </c>
    </row>
    <row r="7145" spans="1:19" x14ac:dyDescent="0.2">
      <c r="A7145" s="12">
        <f t="shared" ref="A7145:C7145" si="1481">A7144</f>
        <v>46003</v>
      </c>
      <c r="B7145" s="5" t="str">
        <f t="shared" si="1481"/>
        <v>Tufted Titmouse</v>
      </c>
      <c r="C7145" s="6">
        <f t="shared" si="1481"/>
        <v>0.47430555555555554</v>
      </c>
      <c r="D7145" s="5"/>
      <c r="E7145" s="5"/>
      <c r="F7145" s="5" t="s">
        <v>22</v>
      </c>
      <c r="G7145" s="15" t="s">
        <v>22</v>
      </c>
      <c r="H7145" s="24">
        <f t="shared" si="1464"/>
        <v>0</v>
      </c>
      <c r="I7145" s="24" t="str" cm="1">
        <f t="array" ref="I7145">IFERROR(IF($B7145=I$1, ($A7145+$C7145) - MAX(IF($B$2:$B7144=$B7145, $A$2:$A7144+$C$2:$C7144)), "")*24*60, "")</f>
        <v/>
      </c>
      <c r="J7145" s="24" cm="1">
        <f t="array" ref="J7145">IFERROR(IF($B7145=J$1, ($A7145+$C7145) - MAX(IF($B$2:$B7144=$B7145, $A$2:$A7144+$C$2:$C7144)), "")*24*60, "")</f>
        <v>0</v>
      </c>
      <c r="K7145" s="24" t="str" cm="1">
        <f t="array" ref="K7145">IFERROR(IF($B7145=K$1, ($A7145+$C7145) - MAX(IF($B$2:$B7144=$B7145, $A$2:$A7144+$C$2:$C7144)), "")*24*60, "")</f>
        <v/>
      </c>
      <c r="L7145" s="24" t="str" cm="1">
        <f t="array" ref="L7145">IFERROR(IF($B7145=L$1, ($A7145+$C7145) - MAX(IF($B$2:$B7144=$B7145, $A$2:$A7144+$C$2:$C7144)), "")*24*60, "")</f>
        <v/>
      </c>
      <c r="M7145" s="24" t="str" cm="1">
        <f t="array" ref="M7145">IFERROR(IF($B7145=M$1, ($A7145+$C7145) - MAX(IF($B$2:$B7144=$B7145, $A$2:$A7144+$C$2:$C7144)), "")*24*60, "")</f>
        <v/>
      </c>
      <c r="N7145" s="24" t="str" cm="1">
        <f t="array" ref="N7145">IFERROR(IF($B7145=N$1, ($A7145+$C7145) - MAX(IF($B$2:$B7144=$B7145, $A$2:$A7144+$C$2:$C7144)), "")*24*60, "")</f>
        <v/>
      </c>
      <c r="O7145" s="24" t="str" cm="1">
        <f t="array" ref="O7145">IFERROR(IF($B7145=O$1, ($A7145+$C7145) - MAX(IF($B$2:$B7144=$B7145, $A$2:$A7144+$C$2:$C7144)), "")*24*60, "")</f>
        <v/>
      </c>
      <c r="P7145" s="24" t="str" cm="1">
        <f t="array" ref="P7145">IFERROR(IF($B7145=P$1, ($A7145+$C7145) - MAX(IF($B$2:$B7144=$B7145, $A$2:$A7144+$C$2:$C7144)), "")*24*60, "")</f>
        <v/>
      </c>
      <c r="Q7145" s="24" t="str" cm="1">
        <f t="array" ref="Q7145">IFERROR(IF($B7145=Q$1, ($A7145+$C7145) - MAX(IF($B$2:$B7144=$B7145, $A$2:$A7144+$C$2:$C7144)), "")*24*60, "")</f>
        <v/>
      </c>
      <c r="R7145" s="24" t="str" cm="1">
        <f t="array" ref="R7145">IFERROR(IF($B7145=R$1, ($A7145+$C7145) - MAX(IF($B$2:$B7144=$B7145, $A$2:$A7144+$C$2:$C7144)), "")*24*60, "")</f>
        <v/>
      </c>
      <c r="S7145" s="24" t="str" cm="1">
        <f t="array" ref="S7145">IFERROR(IF($B7145=S$1, ($A7145+$C7145) - MAX(IF($B$2:$B7144=$B7145, $A$2:$A7144+$C$2:$C7144)), "")*24*60, "")</f>
        <v/>
      </c>
    </row>
    <row r="7146" spans="1:19" x14ac:dyDescent="0.2">
      <c r="A7146" s="12">
        <f t="shared" ref="A7146:C7146" si="1482">A7145</f>
        <v>46003</v>
      </c>
      <c r="B7146" s="5" t="str">
        <f t="shared" si="1482"/>
        <v>Tufted Titmouse</v>
      </c>
      <c r="C7146" s="6">
        <f t="shared" si="1482"/>
        <v>0.47430555555555554</v>
      </c>
      <c r="D7146" s="5"/>
      <c r="E7146" s="5"/>
      <c r="F7146" s="5" t="s">
        <v>22</v>
      </c>
      <c r="G7146" s="15" t="s">
        <v>22</v>
      </c>
      <c r="H7146" s="24">
        <f t="shared" si="1464"/>
        <v>0</v>
      </c>
      <c r="I7146" s="24" t="str" cm="1">
        <f t="array" ref="I7146">IFERROR(IF($B7146=I$1, ($A7146+$C7146) - MAX(IF($B$2:$B7145=$B7146, $A$2:$A7145+$C$2:$C7145)), "")*24*60, "")</f>
        <v/>
      </c>
      <c r="J7146" s="24" cm="1">
        <f t="array" ref="J7146">IFERROR(IF($B7146=J$1, ($A7146+$C7146) - MAX(IF($B$2:$B7145=$B7146, $A$2:$A7145+$C$2:$C7145)), "")*24*60, "")</f>
        <v>0</v>
      </c>
      <c r="K7146" s="24" t="str" cm="1">
        <f t="array" ref="K7146">IFERROR(IF($B7146=K$1, ($A7146+$C7146) - MAX(IF($B$2:$B7145=$B7146, $A$2:$A7145+$C$2:$C7145)), "")*24*60, "")</f>
        <v/>
      </c>
      <c r="L7146" s="24" t="str" cm="1">
        <f t="array" ref="L7146">IFERROR(IF($B7146=L$1, ($A7146+$C7146) - MAX(IF($B$2:$B7145=$B7146, $A$2:$A7145+$C$2:$C7145)), "")*24*60, "")</f>
        <v/>
      </c>
      <c r="M7146" s="24" t="str" cm="1">
        <f t="array" ref="M7146">IFERROR(IF($B7146=M$1, ($A7146+$C7146) - MAX(IF($B$2:$B7145=$B7146, $A$2:$A7145+$C$2:$C7145)), "")*24*60, "")</f>
        <v/>
      </c>
      <c r="N7146" s="24" t="str" cm="1">
        <f t="array" ref="N7146">IFERROR(IF($B7146=N$1, ($A7146+$C7146) - MAX(IF($B$2:$B7145=$B7146, $A$2:$A7145+$C$2:$C7145)), "")*24*60, "")</f>
        <v/>
      </c>
      <c r="O7146" s="24" t="str" cm="1">
        <f t="array" ref="O7146">IFERROR(IF($B7146=O$1, ($A7146+$C7146) - MAX(IF($B$2:$B7145=$B7146, $A$2:$A7145+$C$2:$C7145)), "")*24*60, "")</f>
        <v/>
      </c>
      <c r="P7146" s="24" t="str" cm="1">
        <f t="array" ref="P7146">IFERROR(IF($B7146=P$1, ($A7146+$C7146) - MAX(IF($B$2:$B7145=$B7146, $A$2:$A7145+$C$2:$C7145)), "")*24*60, "")</f>
        <v/>
      </c>
      <c r="Q7146" s="24" t="str" cm="1">
        <f t="array" ref="Q7146">IFERROR(IF($B7146=Q$1, ($A7146+$C7146) - MAX(IF($B$2:$B7145=$B7146, $A$2:$A7145+$C$2:$C7145)), "")*24*60, "")</f>
        <v/>
      </c>
      <c r="R7146" s="24" t="str" cm="1">
        <f t="array" ref="R7146">IFERROR(IF($B7146=R$1, ($A7146+$C7146) - MAX(IF($B$2:$B7145=$B7146, $A$2:$A7145+$C$2:$C7145)), "")*24*60, "")</f>
        <v/>
      </c>
      <c r="S7146" s="24" t="str" cm="1">
        <f t="array" ref="S7146">IFERROR(IF($B7146=S$1, ($A7146+$C7146) - MAX(IF($B$2:$B7145=$B7146, $A$2:$A7145+$C$2:$C7145)), "")*24*60, "")</f>
        <v/>
      </c>
    </row>
    <row r="7147" spans="1:19" x14ac:dyDescent="0.2">
      <c r="A7147" s="12">
        <f t="shared" ref="A7147:C7147" si="1483">A7146</f>
        <v>46003</v>
      </c>
      <c r="B7147" s="5" t="str">
        <f t="shared" si="1483"/>
        <v>Tufted Titmouse</v>
      </c>
      <c r="C7147" s="6">
        <f t="shared" si="1483"/>
        <v>0.47430555555555554</v>
      </c>
      <c r="D7147" s="5"/>
      <c r="E7147" s="5"/>
      <c r="F7147" s="5" t="s">
        <v>22</v>
      </c>
      <c r="G7147" s="15" t="s">
        <v>22</v>
      </c>
      <c r="H7147" s="24">
        <f t="shared" si="1464"/>
        <v>0</v>
      </c>
      <c r="I7147" s="24" t="str" cm="1">
        <f t="array" ref="I7147">IFERROR(IF($B7147=I$1, ($A7147+$C7147) - MAX(IF($B$2:$B7146=$B7147, $A$2:$A7146+$C$2:$C7146)), "")*24*60, "")</f>
        <v/>
      </c>
      <c r="J7147" s="24" cm="1">
        <f t="array" ref="J7147">IFERROR(IF($B7147=J$1, ($A7147+$C7147) - MAX(IF($B$2:$B7146=$B7147, $A$2:$A7146+$C$2:$C7146)), "")*24*60, "")</f>
        <v>0</v>
      </c>
      <c r="K7147" s="24" t="str" cm="1">
        <f t="array" ref="K7147">IFERROR(IF($B7147=K$1, ($A7147+$C7147) - MAX(IF($B$2:$B7146=$B7147, $A$2:$A7146+$C$2:$C7146)), "")*24*60, "")</f>
        <v/>
      </c>
      <c r="L7147" s="24" t="str" cm="1">
        <f t="array" ref="L7147">IFERROR(IF($B7147=L$1, ($A7147+$C7147) - MAX(IF($B$2:$B7146=$B7147, $A$2:$A7146+$C$2:$C7146)), "")*24*60, "")</f>
        <v/>
      </c>
      <c r="M7147" s="24" t="str" cm="1">
        <f t="array" ref="M7147">IFERROR(IF($B7147=M$1, ($A7147+$C7147) - MAX(IF($B$2:$B7146=$B7147, $A$2:$A7146+$C$2:$C7146)), "")*24*60, "")</f>
        <v/>
      </c>
      <c r="N7147" s="24" t="str" cm="1">
        <f t="array" ref="N7147">IFERROR(IF($B7147=N$1, ($A7147+$C7147) - MAX(IF($B$2:$B7146=$B7147, $A$2:$A7146+$C$2:$C7146)), "")*24*60, "")</f>
        <v/>
      </c>
      <c r="O7147" s="24" t="str" cm="1">
        <f t="array" ref="O7147">IFERROR(IF($B7147=O$1, ($A7147+$C7147) - MAX(IF($B$2:$B7146=$B7147, $A$2:$A7146+$C$2:$C7146)), "")*24*60, "")</f>
        <v/>
      </c>
      <c r="P7147" s="24" t="str" cm="1">
        <f t="array" ref="P7147">IFERROR(IF($B7147=P$1, ($A7147+$C7147) - MAX(IF($B$2:$B7146=$B7147, $A$2:$A7146+$C$2:$C7146)), "")*24*60, "")</f>
        <v/>
      </c>
      <c r="Q7147" s="24" t="str" cm="1">
        <f t="array" ref="Q7147">IFERROR(IF($B7147=Q$1, ($A7147+$C7147) - MAX(IF($B$2:$B7146=$B7147, $A$2:$A7146+$C$2:$C7146)), "")*24*60, "")</f>
        <v/>
      </c>
      <c r="R7147" s="24" t="str" cm="1">
        <f t="array" ref="R7147">IFERROR(IF($B7147=R$1, ($A7147+$C7147) - MAX(IF($B$2:$B7146=$B7147, $A$2:$A7146+$C$2:$C7146)), "")*24*60, "")</f>
        <v/>
      </c>
      <c r="S7147" s="24" t="str" cm="1">
        <f t="array" ref="S7147">IFERROR(IF($B7147=S$1, ($A7147+$C7147) - MAX(IF($B$2:$B7146=$B7147, $A$2:$A7146+$C$2:$C7146)), "")*24*60, "")</f>
        <v/>
      </c>
    </row>
    <row r="7148" spans="1:19" x14ac:dyDescent="0.2">
      <c r="A7148" s="12">
        <f t="shared" ref="A7148:C7148" si="1484">A7147</f>
        <v>46003</v>
      </c>
      <c r="B7148" s="5" t="str">
        <f t="shared" si="1484"/>
        <v>Tufted Titmouse</v>
      </c>
      <c r="C7148" s="6">
        <f t="shared" si="1484"/>
        <v>0.47430555555555554</v>
      </c>
      <c r="D7148" s="5"/>
      <c r="E7148" s="5"/>
      <c r="F7148" s="5" t="s">
        <v>22</v>
      </c>
      <c r="G7148" s="15" t="s">
        <v>22</v>
      </c>
      <c r="H7148" s="24">
        <f t="shared" si="1464"/>
        <v>0</v>
      </c>
      <c r="I7148" s="24" t="str" cm="1">
        <f t="array" ref="I7148">IFERROR(IF($B7148=I$1, ($A7148+$C7148) - MAX(IF($B$2:$B7147=$B7148, $A$2:$A7147+$C$2:$C7147)), "")*24*60, "")</f>
        <v/>
      </c>
      <c r="J7148" s="24" cm="1">
        <f t="array" ref="J7148">IFERROR(IF($B7148=J$1, ($A7148+$C7148) - MAX(IF($B$2:$B7147=$B7148, $A$2:$A7147+$C$2:$C7147)), "")*24*60, "")</f>
        <v>0</v>
      </c>
      <c r="K7148" s="24" t="str" cm="1">
        <f t="array" ref="K7148">IFERROR(IF($B7148=K$1, ($A7148+$C7148) - MAX(IF($B$2:$B7147=$B7148, $A$2:$A7147+$C$2:$C7147)), "")*24*60, "")</f>
        <v/>
      </c>
      <c r="L7148" s="24" t="str" cm="1">
        <f t="array" ref="L7148">IFERROR(IF($B7148=L$1, ($A7148+$C7148) - MAX(IF($B$2:$B7147=$B7148, $A$2:$A7147+$C$2:$C7147)), "")*24*60, "")</f>
        <v/>
      </c>
      <c r="M7148" s="24" t="str" cm="1">
        <f t="array" ref="M7148">IFERROR(IF($B7148=M$1, ($A7148+$C7148) - MAX(IF($B$2:$B7147=$B7148, $A$2:$A7147+$C$2:$C7147)), "")*24*60, "")</f>
        <v/>
      </c>
      <c r="N7148" s="24" t="str" cm="1">
        <f t="array" ref="N7148">IFERROR(IF($B7148=N$1, ($A7148+$C7148) - MAX(IF($B$2:$B7147=$B7148, $A$2:$A7147+$C$2:$C7147)), "")*24*60, "")</f>
        <v/>
      </c>
      <c r="O7148" s="24" t="str" cm="1">
        <f t="array" ref="O7148">IFERROR(IF($B7148=O$1, ($A7148+$C7148) - MAX(IF($B$2:$B7147=$B7148, $A$2:$A7147+$C$2:$C7147)), "")*24*60, "")</f>
        <v/>
      </c>
      <c r="P7148" s="24" t="str" cm="1">
        <f t="array" ref="P7148">IFERROR(IF($B7148=P$1, ($A7148+$C7148) - MAX(IF($B$2:$B7147=$B7148, $A$2:$A7147+$C$2:$C7147)), "")*24*60, "")</f>
        <v/>
      </c>
      <c r="Q7148" s="24" t="str" cm="1">
        <f t="array" ref="Q7148">IFERROR(IF($B7148=Q$1, ($A7148+$C7148) - MAX(IF($B$2:$B7147=$B7148, $A$2:$A7147+$C$2:$C7147)), "")*24*60, "")</f>
        <v/>
      </c>
      <c r="R7148" s="24" t="str" cm="1">
        <f t="array" ref="R7148">IFERROR(IF($B7148=R$1, ($A7148+$C7148) - MAX(IF($B$2:$B7147=$B7148, $A$2:$A7147+$C$2:$C7147)), "")*24*60, "")</f>
        <v/>
      </c>
      <c r="S7148" s="24" t="str" cm="1">
        <f t="array" ref="S7148">IFERROR(IF($B7148=S$1, ($A7148+$C7148) - MAX(IF($B$2:$B7147=$B7148, $A$2:$A7147+$C$2:$C7147)), "")*24*60, "")</f>
        <v/>
      </c>
    </row>
    <row r="7149" spans="1:19" x14ac:dyDescent="0.2">
      <c r="A7149" s="12">
        <f t="shared" ref="A7149:C7149" si="1485">A7148</f>
        <v>46003</v>
      </c>
      <c r="B7149" s="5" t="str">
        <f t="shared" si="1485"/>
        <v>Tufted Titmouse</v>
      </c>
      <c r="C7149" s="6">
        <f t="shared" si="1485"/>
        <v>0.47430555555555554</v>
      </c>
      <c r="D7149" s="5"/>
      <c r="E7149" s="5"/>
      <c r="F7149" s="5" t="s">
        <v>22</v>
      </c>
      <c r="G7149" s="15" t="s">
        <v>22</v>
      </c>
      <c r="H7149" s="24">
        <f t="shared" si="1464"/>
        <v>0</v>
      </c>
      <c r="I7149" s="24" t="str" cm="1">
        <f t="array" ref="I7149">IFERROR(IF($B7149=I$1, ($A7149+$C7149) - MAX(IF($B$2:$B7148=$B7149, $A$2:$A7148+$C$2:$C7148)), "")*24*60, "")</f>
        <v/>
      </c>
      <c r="J7149" s="24" cm="1">
        <f t="array" ref="J7149">IFERROR(IF($B7149=J$1, ($A7149+$C7149) - MAX(IF($B$2:$B7148=$B7149, $A$2:$A7148+$C$2:$C7148)), "")*24*60, "")</f>
        <v>0</v>
      </c>
      <c r="K7149" s="24" t="str" cm="1">
        <f t="array" ref="K7149">IFERROR(IF($B7149=K$1, ($A7149+$C7149) - MAX(IF($B$2:$B7148=$B7149, $A$2:$A7148+$C$2:$C7148)), "")*24*60, "")</f>
        <v/>
      </c>
      <c r="L7149" s="24" t="str" cm="1">
        <f t="array" ref="L7149">IFERROR(IF($B7149=L$1, ($A7149+$C7149) - MAX(IF($B$2:$B7148=$B7149, $A$2:$A7148+$C$2:$C7148)), "")*24*60, "")</f>
        <v/>
      </c>
      <c r="M7149" s="24" t="str" cm="1">
        <f t="array" ref="M7149">IFERROR(IF($B7149=M$1, ($A7149+$C7149) - MAX(IF($B$2:$B7148=$B7149, $A$2:$A7148+$C$2:$C7148)), "")*24*60, "")</f>
        <v/>
      </c>
      <c r="N7149" s="24" t="str" cm="1">
        <f t="array" ref="N7149">IFERROR(IF($B7149=N$1, ($A7149+$C7149) - MAX(IF($B$2:$B7148=$B7149, $A$2:$A7148+$C$2:$C7148)), "")*24*60, "")</f>
        <v/>
      </c>
      <c r="O7149" s="24" t="str" cm="1">
        <f t="array" ref="O7149">IFERROR(IF($B7149=O$1, ($A7149+$C7149) - MAX(IF($B$2:$B7148=$B7149, $A$2:$A7148+$C$2:$C7148)), "")*24*60, "")</f>
        <v/>
      </c>
      <c r="P7149" s="24" t="str" cm="1">
        <f t="array" ref="P7149">IFERROR(IF($B7149=P$1, ($A7149+$C7149) - MAX(IF($B$2:$B7148=$B7149, $A$2:$A7148+$C$2:$C7148)), "")*24*60, "")</f>
        <v/>
      </c>
      <c r="Q7149" s="24" t="str" cm="1">
        <f t="array" ref="Q7149">IFERROR(IF($B7149=Q$1, ($A7149+$C7149) - MAX(IF($B$2:$B7148=$B7149, $A$2:$A7148+$C$2:$C7148)), "")*24*60, "")</f>
        <v/>
      </c>
      <c r="R7149" s="24" t="str" cm="1">
        <f t="array" ref="R7149">IFERROR(IF($B7149=R$1, ($A7149+$C7149) - MAX(IF($B$2:$B7148=$B7149, $A$2:$A7148+$C$2:$C7148)), "")*24*60, "")</f>
        <v/>
      </c>
      <c r="S7149" s="24" t="str" cm="1">
        <f t="array" ref="S7149">IFERROR(IF($B7149=S$1, ($A7149+$C7149) - MAX(IF($B$2:$B7148=$B7149, $A$2:$A7148+$C$2:$C7148)), "")*24*60, "")</f>
        <v/>
      </c>
    </row>
    <row r="7150" spans="1:19" x14ac:dyDescent="0.2">
      <c r="A7150" s="12">
        <f t="shared" ref="A7150:C7150" si="1486">A7149</f>
        <v>46003</v>
      </c>
      <c r="B7150" s="5" t="str">
        <f t="shared" si="1486"/>
        <v>Tufted Titmouse</v>
      </c>
      <c r="C7150" s="6">
        <f t="shared" si="1486"/>
        <v>0.47430555555555554</v>
      </c>
      <c r="D7150" s="5"/>
      <c r="E7150" s="5"/>
      <c r="F7150" s="5" t="s">
        <v>22</v>
      </c>
      <c r="G7150" s="15" t="s">
        <v>22</v>
      </c>
      <c r="H7150" s="24">
        <f t="shared" si="1464"/>
        <v>0</v>
      </c>
      <c r="I7150" s="24" t="str" cm="1">
        <f t="array" ref="I7150">IFERROR(IF($B7150=I$1, ($A7150+$C7150) - MAX(IF($B$2:$B7149=$B7150, $A$2:$A7149+$C$2:$C7149)), "")*24*60, "")</f>
        <v/>
      </c>
      <c r="J7150" s="24" cm="1">
        <f t="array" ref="J7150">IFERROR(IF($B7150=J$1, ($A7150+$C7150) - MAX(IF($B$2:$B7149=$B7150, $A$2:$A7149+$C$2:$C7149)), "")*24*60, "")</f>
        <v>0</v>
      </c>
      <c r="K7150" s="24" t="str" cm="1">
        <f t="array" ref="K7150">IFERROR(IF($B7150=K$1, ($A7150+$C7150) - MAX(IF($B$2:$B7149=$B7150, $A$2:$A7149+$C$2:$C7149)), "")*24*60, "")</f>
        <v/>
      </c>
      <c r="L7150" s="24" t="str" cm="1">
        <f t="array" ref="L7150">IFERROR(IF($B7150=L$1, ($A7150+$C7150) - MAX(IF($B$2:$B7149=$B7150, $A$2:$A7149+$C$2:$C7149)), "")*24*60, "")</f>
        <v/>
      </c>
      <c r="M7150" s="24" t="str" cm="1">
        <f t="array" ref="M7150">IFERROR(IF($B7150=M$1, ($A7150+$C7150) - MAX(IF($B$2:$B7149=$B7150, $A$2:$A7149+$C$2:$C7149)), "")*24*60, "")</f>
        <v/>
      </c>
      <c r="N7150" s="24" t="str" cm="1">
        <f t="array" ref="N7150">IFERROR(IF($B7150=N$1, ($A7150+$C7150) - MAX(IF($B$2:$B7149=$B7150, $A$2:$A7149+$C$2:$C7149)), "")*24*60, "")</f>
        <v/>
      </c>
      <c r="O7150" s="24" t="str" cm="1">
        <f t="array" ref="O7150">IFERROR(IF($B7150=O$1, ($A7150+$C7150) - MAX(IF($B$2:$B7149=$B7150, $A$2:$A7149+$C$2:$C7149)), "")*24*60, "")</f>
        <v/>
      </c>
      <c r="P7150" s="24" t="str" cm="1">
        <f t="array" ref="P7150">IFERROR(IF($B7150=P$1, ($A7150+$C7150) - MAX(IF($B$2:$B7149=$B7150, $A$2:$A7149+$C$2:$C7149)), "")*24*60, "")</f>
        <v/>
      </c>
      <c r="Q7150" s="24" t="str" cm="1">
        <f t="array" ref="Q7150">IFERROR(IF($B7150=Q$1, ($A7150+$C7150) - MAX(IF($B$2:$B7149=$B7150, $A$2:$A7149+$C$2:$C7149)), "")*24*60, "")</f>
        <v/>
      </c>
      <c r="R7150" s="24" t="str" cm="1">
        <f t="array" ref="R7150">IFERROR(IF($B7150=R$1, ($A7150+$C7150) - MAX(IF($B$2:$B7149=$B7150, $A$2:$A7149+$C$2:$C7149)), "")*24*60, "")</f>
        <v/>
      </c>
      <c r="S7150" s="24" t="str" cm="1">
        <f t="array" ref="S7150">IFERROR(IF($B7150=S$1, ($A7150+$C7150) - MAX(IF($B$2:$B7149=$B7150, $A$2:$A7149+$C$2:$C7149)), "")*24*60, "")</f>
        <v/>
      </c>
    </row>
    <row r="7151" spans="1:19" x14ac:dyDescent="0.2">
      <c r="A7151" s="12">
        <f t="shared" ref="A7151:C7151" si="1487">A7150</f>
        <v>46003</v>
      </c>
      <c r="B7151" s="5" t="str">
        <f t="shared" si="1487"/>
        <v>Tufted Titmouse</v>
      </c>
      <c r="C7151" s="6">
        <f t="shared" si="1487"/>
        <v>0.47430555555555554</v>
      </c>
      <c r="D7151" s="5"/>
      <c r="E7151" s="5"/>
      <c r="F7151" s="5" t="s">
        <v>22</v>
      </c>
      <c r="G7151" s="15" t="s">
        <v>22</v>
      </c>
      <c r="H7151" s="24">
        <f t="shared" si="1464"/>
        <v>0</v>
      </c>
      <c r="I7151" s="24" t="str" cm="1">
        <f t="array" ref="I7151">IFERROR(IF($B7151=I$1, ($A7151+$C7151) - MAX(IF($B$2:$B7150=$B7151, $A$2:$A7150+$C$2:$C7150)), "")*24*60, "")</f>
        <v/>
      </c>
      <c r="J7151" s="24" cm="1">
        <f t="array" ref="J7151">IFERROR(IF($B7151=J$1, ($A7151+$C7151) - MAX(IF($B$2:$B7150=$B7151, $A$2:$A7150+$C$2:$C7150)), "")*24*60, "")</f>
        <v>0</v>
      </c>
      <c r="K7151" s="24" t="str" cm="1">
        <f t="array" ref="K7151">IFERROR(IF($B7151=K$1, ($A7151+$C7151) - MAX(IF($B$2:$B7150=$B7151, $A$2:$A7150+$C$2:$C7150)), "")*24*60, "")</f>
        <v/>
      </c>
      <c r="L7151" s="24" t="str" cm="1">
        <f t="array" ref="L7151">IFERROR(IF($B7151=L$1, ($A7151+$C7151) - MAX(IF($B$2:$B7150=$B7151, $A$2:$A7150+$C$2:$C7150)), "")*24*60, "")</f>
        <v/>
      </c>
      <c r="M7151" s="24" t="str" cm="1">
        <f t="array" ref="M7151">IFERROR(IF($B7151=M$1, ($A7151+$C7151) - MAX(IF($B$2:$B7150=$B7151, $A$2:$A7150+$C$2:$C7150)), "")*24*60, "")</f>
        <v/>
      </c>
      <c r="N7151" s="24" t="str" cm="1">
        <f t="array" ref="N7151">IFERROR(IF($B7151=N$1, ($A7151+$C7151) - MAX(IF($B$2:$B7150=$B7151, $A$2:$A7150+$C$2:$C7150)), "")*24*60, "")</f>
        <v/>
      </c>
      <c r="O7151" s="24" t="str" cm="1">
        <f t="array" ref="O7151">IFERROR(IF($B7151=O$1, ($A7151+$C7151) - MAX(IF($B$2:$B7150=$B7151, $A$2:$A7150+$C$2:$C7150)), "")*24*60, "")</f>
        <v/>
      </c>
      <c r="P7151" s="24" t="str" cm="1">
        <f t="array" ref="P7151">IFERROR(IF($B7151=P$1, ($A7151+$C7151) - MAX(IF($B$2:$B7150=$B7151, $A$2:$A7150+$C$2:$C7150)), "")*24*60, "")</f>
        <v/>
      </c>
      <c r="Q7151" s="24" t="str" cm="1">
        <f t="array" ref="Q7151">IFERROR(IF($B7151=Q$1, ($A7151+$C7151) - MAX(IF($B$2:$B7150=$B7151, $A$2:$A7150+$C$2:$C7150)), "")*24*60, "")</f>
        <v/>
      </c>
      <c r="R7151" s="24" t="str" cm="1">
        <f t="array" ref="R7151">IFERROR(IF($B7151=R$1, ($A7151+$C7151) - MAX(IF($B$2:$B7150=$B7151, $A$2:$A7150+$C$2:$C7150)), "")*24*60, "")</f>
        <v/>
      </c>
      <c r="S7151" s="24" t="str" cm="1">
        <f t="array" ref="S7151">IFERROR(IF($B7151=S$1, ($A7151+$C7151) - MAX(IF($B$2:$B7150=$B7151, $A$2:$A7150+$C$2:$C7150)), "")*24*60, "")</f>
        <v/>
      </c>
    </row>
    <row r="7152" spans="1:19" x14ac:dyDescent="0.2">
      <c r="A7152" s="12">
        <f t="shared" ref="A7152:C7152" si="1488">A7151</f>
        <v>46003</v>
      </c>
      <c r="B7152" s="5" t="str">
        <f t="shared" si="1488"/>
        <v>Tufted Titmouse</v>
      </c>
      <c r="C7152" s="6">
        <f t="shared" si="1488"/>
        <v>0.47430555555555554</v>
      </c>
      <c r="D7152" s="5"/>
      <c r="E7152" s="5"/>
      <c r="F7152" s="5" t="s">
        <v>22</v>
      </c>
      <c r="G7152" s="15" t="s">
        <v>22</v>
      </c>
      <c r="H7152" s="24">
        <f t="shared" si="1464"/>
        <v>0</v>
      </c>
      <c r="I7152" s="24" t="str" cm="1">
        <f t="array" ref="I7152">IFERROR(IF($B7152=I$1, ($A7152+$C7152) - MAX(IF($B$2:$B7151=$B7152, $A$2:$A7151+$C$2:$C7151)), "")*24*60, "")</f>
        <v/>
      </c>
      <c r="J7152" s="24" cm="1">
        <f t="array" ref="J7152">IFERROR(IF($B7152=J$1, ($A7152+$C7152) - MAX(IF($B$2:$B7151=$B7152, $A$2:$A7151+$C$2:$C7151)), "")*24*60, "")</f>
        <v>0</v>
      </c>
      <c r="K7152" s="24" t="str" cm="1">
        <f t="array" ref="K7152">IFERROR(IF($B7152=K$1, ($A7152+$C7152) - MAX(IF($B$2:$B7151=$B7152, $A$2:$A7151+$C$2:$C7151)), "")*24*60, "")</f>
        <v/>
      </c>
      <c r="L7152" s="24" t="str" cm="1">
        <f t="array" ref="L7152">IFERROR(IF($B7152=L$1, ($A7152+$C7152) - MAX(IF($B$2:$B7151=$B7152, $A$2:$A7151+$C$2:$C7151)), "")*24*60, "")</f>
        <v/>
      </c>
      <c r="M7152" s="24" t="str" cm="1">
        <f t="array" ref="M7152">IFERROR(IF($B7152=M$1, ($A7152+$C7152) - MAX(IF($B$2:$B7151=$B7152, $A$2:$A7151+$C$2:$C7151)), "")*24*60, "")</f>
        <v/>
      </c>
      <c r="N7152" s="24" t="str" cm="1">
        <f t="array" ref="N7152">IFERROR(IF($B7152=N$1, ($A7152+$C7152) - MAX(IF($B$2:$B7151=$B7152, $A$2:$A7151+$C$2:$C7151)), "")*24*60, "")</f>
        <v/>
      </c>
      <c r="O7152" s="24" t="str" cm="1">
        <f t="array" ref="O7152">IFERROR(IF($B7152=O$1, ($A7152+$C7152) - MAX(IF($B$2:$B7151=$B7152, $A$2:$A7151+$C$2:$C7151)), "")*24*60, "")</f>
        <v/>
      </c>
      <c r="P7152" s="24" t="str" cm="1">
        <f t="array" ref="P7152">IFERROR(IF($B7152=P$1, ($A7152+$C7152) - MAX(IF($B$2:$B7151=$B7152, $A$2:$A7151+$C$2:$C7151)), "")*24*60, "")</f>
        <v/>
      </c>
      <c r="Q7152" s="24" t="str" cm="1">
        <f t="array" ref="Q7152">IFERROR(IF($B7152=Q$1, ($A7152+$C7152) - MAX(IF($B$2:$B7151=$B7152, $A$2:$A7151+$C$2:$C7151)), "")*24*60, "")</f>
        <v/>
      </c>
      <c r="R7152" s="24" t="str" cm="1">
        <f t="array" ref="R7152">IFERROR(IF($B7152=R$1, ($A7152+$C7152) - MAX(IF($B$2:$B7151=$B7152, $A$2:$A7151+$C$2:$C7151)), "")*24*60, "")</f>
        <v/>
      </c>
      <c r="S7152" s="24" t="str" cm="1">
        <f t="array" ref="S7152">IFERROR(IF($B7152=S$1, ($A7152+$C7152) - MAX(IF($B$2:$B7151=$B7152, $A$2:$A7151+$C$2:$C7151)), "")*24*60, "")</f>
        <v/>
      </c>
    </row>
    <row r="7153" spans="1:19" x14ac:dyDescent="0.2">
      <c r="A7153" s="12">
        <f t="shared" ref="A7153:C7153" si="1489">A7152</f>
        <v>46003</v>
      </c>
      <c r="B7153" s="5" t="str">
        <f t="shared" si="1489"/>
        <v>Tufted Titmouse</v>
      </c>
      <c r="C7153" s="6">
        <f t="shared" si="1489"/>
        <v>0.47430555555555554</v>
      </c>
      <c r="D7153" s="5"/>
      <c r="E7153" s="5"/>
      <c r="F7153" s="5" t="s">
        <v>22</v>
      </c>
      <c r="G7153" s="15" t="s">
        <v>22</v>
      </c>
      <c r="H7153" s="24">
        <f t="shared" si="1464"/>
        <v>0</v>
      </c>
      <c r="I7153" s="24" t="str" cm="1">
        <f t="array" ref="I7153">IFERROR(IF($B7153=I$1, ($A7153+$C7153) - MAX(IF($B$2:$B7152=$B7153, $A$2:$A7152+$C$2:$C7152)), "")*24*60, "")</f>
        <v/>
      </c>
      <c r="J7153" s="24" cm="1">
        <f t="array" ref="J7153">IFERROR(IF($B7153=J$1, ($A7153+$C7153) - MAX(IF($B$2:$B7152=$B7153, $A$2:$A7152+$C$2:$C7152)), "")*24*60, "")</f>
        <v>0</v>
      </c>
      <c r="K7153" s="24" t="str" cm="1">
        <f t="array" ref="K7153">IFERROR(IF($B7153=K$1, ($A7153+$C7153) - MAX(IF($B$2:$B7152=$B7153, $A$2:$A7152+$C$2:$C7152)), "")*24*60, "")</f>
        <v/>
      </c>
      <c r="L7153" s="24" t="str" cm="1">
        <f t="array" ref="L7153">IFERROR(IF($B7153=L$1, ($A7153+$C7153) - MAX(IF($B$2:$B7152=$B7153, $A$2:$A7152+$C$2:$C7152)), "")*24*60, "")</f>
        <v/>
      </c>
      <c r="M7153" s="24" t="str" cm="1">
        <f t="array" ref="M7153">IFERROR(IF($B7153=M$1, ($A7153+$C7153) - MAX(IF($B$2:$B7152=$B7153, $A$2:$A7152+$C$2:$C7152)), "")*24*60, "")</f>
        <v/>
      </c>
      <c r="N7153" s="24" t="str" cm="1">
        <f t="array" ref="N7153">IFERROR(IF($B7153=N$1, ($A7153+$C7153) - MAX(IF($B$2:$B7152=$B7153, $A$2:$A7152+$C$2:$C7152)), "")*24*60, "")</f>
        <v/>
      </c>
      <c r="O7153" s="24" t="str" cm="1">
        <f t="array" ref="O7153">IFERROR(IF($B7153=O$1, ($A7153+$C7153) - MAX(IF($B$2:$B7152=$B7153, $A$2:$A7152+$C$2:$C7152)), "")*24*60, "")</f>
        <v/>
      </c>
      <c r="P7153" s="24" t="str" cm="1">
        <f t="array" ref="P7153">IFERROR(IF($B7153=P$1, ($A7153+$C7153) - MAX(IF($B$2:$B7152=$B7153, $A$2:$A7152+$C$2:$C7152)), "")*24*60, "")</f>
        <v/>
      </c>
      <c r="Q7153" s="24" t="str" cm="1">
        <f t="array" ref="Q7153">IFERROR(IF($B7153=Q$1, ($A7153+$C7153) - MAX(IF($B$2:$B7152=$B7153, $A$2:$A7152+$C$2:$C7152)), "")*24*60, "")</f>
        <v/>
      </c>
      <c r="R7153" s="24" t="str" cm="1">
        <f t="array" ref="R7153">IFERROR(IF($B7153=R$1, ($A7153+$C7153) - MAX(IF($B$2:$B7152=$B7153, $A$2:$A7152+$C$2:$C7152)), "")*24*60, "")</f>
        <v/>
      </c>
      <c r="S7153" s="24" t="str" cm="1">
        <f t="array" ref="S7153">IFERROR(IF($B7153=S$1, ($A7153+$C7153) - MAX(IF($B$2:$B7152=$B7153, $A$2:$A7152+$C$2:$C7152)), "")*24*60, "")</f>
        <v/>
      </c>
    </row>
    <row r="7154" spans="1:19" x14ac:dyDescent="0.2">
      <c r="A7154" s="12">
        <f t="shared" ref="A7154:C7154" si="1490">A7153</f>
        <v>46003</v>
      </c>
      <c r="B7154" s="5" t="str">
        <f t="shared" si="1490"/>
        <v>Tufted Titmouse</v>
      </c>
      <c r="C7154" s="6">
        <f t="shared" si="1490"/>
        <v>0.47430555555555554</v>
      </c>
      <c r="D7154" s="5"/>
      <c r="E7154" s="5"/>
      <c r="F7154" s="5" t="s">
        <v>22</v>
      </c>
      <c r="G7154" s="15" t="s">
        <v>22</v>
      </c>
      <c r="H7154" s="24">
        <f t="shared" si="1464"/>
        <v>0</v>
      </c>
      <c r="I7154" s="24" t="str" cm="1">
        <f t="array" ref="I7154">IFERROR(IF($B7154=I$1, ($A7154+$C7154) - MAX(IF($B$2:$B7153=$B7154, $A$2:$A7153+$C$2:$C7153)), "")*24*60, "")</f>
        <v/>
      </c>
      <c r="J7154" s="24" cm="1">
        <f t="array" ref="J7154">IFERROR(IF($B7154=J$1, ($A7154+$C7154) - MAX(IF($B$2:$B7153=$B7154, $A$2:$A7153+$C$2:$C7153)), "")*24*60, "")</f>
        <v>0</v>
      </c>
      <c r="K7154" s="24" t="str" cm="1">
        <f t="array" ref="K7154">IFERROR(IF($B7154=K$1, ($A7154+$C7154) - MAX(IF($B$2:$B7153=$B7154, $A$2:$A7153+$C$2:$C7153)), "")*24*60, "")</f>
        <v/>
      </c>
      <c r="L7154" s="24" t="str" cm="1">
        <f t="array" ref="L7154">IFERROR(IF($B7154=L$1, ($A7154+$C7154) - MAX(IF($B$2:$B7153=$B7154, $A$2:$A7153+$C$2:$C7153)), "")*24*60, "")</f>
        <v/>
      </c>
      <c r="M7154" s="24" t="str" cm="1">
        <f t="array" ref="M7154">IFERROR(IF($B7154=M$1, ($A7154+$C7154) - MAX(IF($B$2:$B7153=$B7154, $A$2:$A7153+$C$2:$C7153)), "")*24*60, "")</f>
        <v/>
      </c>
      <c r="N7154" s="24" t="str" cm="1">
        <f t="array" ref="N7154">IFERROR(IF($B7154=N$1, ($A7154+$C7154) - MAX(IF($B$2:$B7153=$B7154, $A$2:$A7153+$C$2:$C7153)), "")*24*60, "")</f>
        <v/>
      </c>
      <c r="O7154" s="24" t="str" cm="1">
        <f t="array" ref="O7154">IFERROR(IF($B7154=O$1, ($A7154+$C7154) - MAX(IF($B$2:$B7153=$B7154, $A$2:$A7153+$C$2:$C7153)), "")*24*60, "")</f>
        <v/>
      </c>
      <c r="P7154" s="24" t="str" cm="1">
        <f t="array" ref="P7154">IFERROR(IF($B7154=P$1, ($A7154+$C7154) - MAX(IF($B$2:$B7153=$B7154, $A$2:$A7153+$C$2:$C7153)), "")*24*60, "")</f>
        <v/>
      </c>
      <c r="Q7154" s="24" t="str" cm="1">
        <f t="array" ref="Q7154">IFERROR(IF($B7154=Q$1, ($A7154+$C7154) - MAX(IF($B$2:$B7153=$B7154, $A$2:$A7153+$C$2:$C7153)), "")*24*60, "")</f>
        <v/>
      </c>
      <c r="R7154" s="24" t="str" cm="1">
        <f t="array" ref="R7154">IFERROR(IF($B7154=R$1, ($A7154+$C7154) - MAX(IF($B$2:$B7153=$B7154, $A$2:$A7153+$C$2:$C7153)), "")*24*60, "")</f>
        <v/>
      </c>
      <c r="S7154" s="24" t="str" cm="1">
        <f t="array" ref="S7154">IFERROR(IF($B7154=S$1, ($A7154+$C7154) - MAX(IF($B$2:$B7153=$B7154, $A$2:$A7153+$C$2:$C7153)), "")*24*60, "")</f>
        <v/>
      </c>
    </row>
    <row r="7155" spans="1:19" x14ac:dyDescent="0.2">
      <c r="A7155" s="12">
        <f t="shared" ref="A7155:C7155" si="1491">A7154</f>
        <v>46003</v>
      </c>
      <c r="B7155" s="5" t="str">
        <f t="shared" si="1491"/>
        <v>Tufted Titmouse</v>
      </c>
      <c r="C7155" s="6">
        <f t="shared" si="1491"/>
        <v>0.47430555555555554</v>
      </c>
      <c r="D7155" s="5"/>
      <c r="E7155" s="5"/>
      <c r="F7155" s="5" t="s">
        <v>22</v>
      </c>
      <c r="G7155" s="15" t="s">
        <v>22</v>
      </c>
      <c r="H7155" s="24">
        <f t="shared" si="1464"/>
        <v>0</v>
      </c>
      <c r="I7155" s="24" t="str" cm="1">
        <f t="array" ref="I7155">IFERROR(IF($B7155=I$1, ($A7155+$C7155) - MAX(IF($B$2:$B7154=$B7155, $A$2:$A7154+$C$2:$C7154)), "")*24*60, "")</f>
        <v/>
      </c>
      <c r="J7155" s="24" cm="1">
        <f t="array" ref="J7155">IFERROR(IF($B7155=J$1, ($A7155+$C7155) - MAX(IF($B$2:$B7154=$B7155, $A$2:$A7154+$C$2:$C7154)), "")*24*60, "")</f>
        <v>0</v>
      </c>
      <c r="K7155" s="24" t="str" cm="1">
        <f t="array" ref="K7155">IFERROR(IF($B7155=K$1, ($A7155+$C7155) - MAX(IF($B$2:$B7154=$B7155, $A$2:$A7154+$C$2:$C7154)), "")*24*60, "")</f>
        <v/>
      </c>
      <c r="L7155" s="24" t="str" cm="1">
        <f t="array" ref="L7155">IFERROR(IF($B7155=L$1, ($A7155+$C7155) - MAX(IF($B$2:$B7154=$B7155, $A$2:$A7154+$C$2:$C7154)), "")*24*60, "")</f>
        <v/>
      </c>
      <c r="M7155" s="24" t="str" cm="1">
        <f t="array" ref="M7155">IFERROR(IF($B7155=M$1, ($A7155+$C7155) - MAX(IF($B$2:$B7154=$B7155, $A$2:$A7154+$C$2:$C7154)), "")*24*60, "")</f>
        <v/>
      </c>
      <c r="N7155" s="24" t="str" cm="1">
        <f t="array" ref="N7155">IFERROR(IF($B7155=N$1, ($A7155+$C7155) - MAX(IF($B$2:$B7154=$B7155, $A$2:$A7154+$C$2:$C7154)), "")*24*60, "")</f>
        <v/>
      </c>
      <c r="O7155" s="24" t="str" cm="1">
        <f t="array" ref="O7155">IFERROR(IF($B7155=O$1, ($A7155+$C7155) - MAX(IF($B$2:$B7154=$B7155, $A$2:$A7154+$C$2:$C7154)), "")*24*60, "")</f>
        <v/>
      </c>
      <c r="P7155" s="24" t="str" cm="1">
        <f t="array" ref="P7155">IFERROR(IF($B7155=P$1, ($A7155+$C7155) - MAX(IF($B$2:$B7154=$B7155, $A$2:$A7154+$C$2:$C7154)), "")*24*60, "")</f>
        <v/>
      </c>
      <c r="Q7155" s="24" t="str" cm="1">
        <f t="array" ref="Q7155">IFERROR(IF($B7155=Q$1, ($A7155+$C7155) - MAX(IF($B$2:$B7154=$B7155, $A$2:$A7154+$C$2:$C7154)), "")*24*60, "")</f>
        <v/>
      </c>
      <c r="R7155" s="24" t="str" cm="1">
        <f t="array" ref="R7155">IFERROR(IF($B7155=R$1, ($A7155+$C7155) - MAX(IF($B$2:$B7154=$B7155, $A$2:$A7154+$C$2:$C7154)), "")*24*60, "")</f>
        <v/>
      </c>
      <c r="S7155" s="24" t="str" cm="1">
        <f t="array" ref="S7155">IFERROR(IF($B7155=S$1, ($A7155+$C7155) - MAX(IF($B$2:$B7154=$B7155, $A$2:$A7154+$C$2:$C7154)), "")*24*60, "")</f>
        <v/>
      </c>
    </row>
    <row r="7156" spans="1:19" x14ac:dyDescent="0.2">
      <c r="A7156" s="12">
        <f t="shared" ref="A7156:C7156" si="1492">A7155</f>
        <v>46003</v>
      </c>
      <c r="B7156" s="5" t="str">
        <f t="shared" si="1492"/>
        <v>Tufted Titmouse</v>
      </c>
      <c r="C7156" s="6">
        <f t="shared" si="1492"/>
        <v>0.47430555555555554</v>
      </c>
      <c r="D7156" s="5"/>
      <c r="E7156" s="5"/>
      <c r="F7156" s="5" t="s">
        <v>22</v>
      </c>
      <c r="G7156" s="15" t="s">
        <v>22</v>
      </c>
      <c r="H7156" s="24">
        <f t="shared" si="1464"/>
        <v>0</v>
      </c>
      <c r="I7156" s="24" t="str" cm="1">
        <f t="array" ref="I7156">IFERROR(IF($B7156=I$1, ($A7156+$C7156) - MAX(IF($B$2:$B7155=$B7156, $A$2:$A7155+$C$2:$C7155)), "")*24*60, "")</f>
        <v/>
      </c>
      <c r="J7156" s="24" cm="1">
        <f t="array" ref="J7156">IFERROR(IF($B7156=J$1, ($A7156+$C7156) - MAX(IF($B$2:$B7155=$B7156, $A$2:$A7155+$C$2:$C7155)), "")*24*60, "")</f>
        <v>0</v>
      </c>
      <c r="K7156" s="24" t="str" cm="1">
        <f t="array" ref="K7156">IFERROR(IF($B7156=K$1, ($A7156+$C7156) - MAX(IF($B$2:$B7155=$B7156, $A$2:$A7155+$C$2:$C7155)), "")*24*60, "")</f>
        <v/>
      </c>
      <c r="L7156" s="24" t="str" cm="1">
        <f t="array" ref="L7156">IFERROR(IF($B7156=L$1, ($A7156+$C7156) - MAX(IF($B$2:$B7155=$B7156, $A$2:$A7155+$C$2:$C7155)), "")*24*60, "")</f>
        <v/>
      </c>
      <c r="M7156" s="24" t="str" cm="1">
        <f t="array" ref="M7156">IFERROR(IF($B7156=M$1, ($A7156+$C7156) - MAX(IF($B$2:$B7155=$B7156, $A$2:$A7155+$C$2:$C7155)), "")*24*60, "")</f>
        <v/>
      </c>
      <c r="N7156" s="24" t="str" cm="1">
        <f t="array" ref="N7156">IFERROR(IF($B7156=N$1, ($A7156+$C7156) - MAX(IF($B$2:$B7155=$B7156, $A$2:$A7155+$C$2:$C7155)), "")*24*60, "")</f>
        <v/>
      </c>
      <c r="O7156" s="24" t="str" cm="1">
        <f t="array" ref="O7156">IFERROR(IF($B7156=O$1, ($A7156+$C7156) - MAX(IF($B$2:$B7155=$B7156, $A$2:$A7155+$C$2:$C7155)), "")*24*60, "")</f>
        <v/>
      </c>
      <c r="P7156" s="24" t="str" cm="1">
        <f t="array" ref="P7156">IFERROR(IF($B7156=P$1, ($A7156+$C7156) - MAX(IF($B$2:$B7155=$B7156, $A$2:$A7155+$C$2:$C7155)), "")*24*60, "")</f>
        <v/>
      </c>
      <c r="Q7156" s="24" t="str" cm="1">
        <f t="array" ref="Q7156">IFERROR(IF($B7156=Q$1, ($A7156+$C7156) - MAX(IF($B$2:$B7155=$B7156, $A$2:$A7155+$C$2:$C7155)), "")*24*60, "")</f>
        <v/>
      </c>
      <c r="R7156" s="24" t="str" cm="1">
        <f t="array" ref="R7156">IFERROR(IF($B7156=R$1, ($A7156+$C7156) - MAX(IF($B$2:$B7155=$B7156, $A$2:$A7155+$C$2:$C7155)), "")*24*60, "")</f>
        <v/>
      </c>
      <c r="S7156" s="24" t="str" cm="1">
        <f t="array" ref="S7156">IFERROR(IF($B7156=S$1, ($A7156+$C7156) - MAX(IF($B$2:$B7155=$B7156, $A$2:$A7155+$C$2:$C7155)), "")*24*60, "")</f>
        <v/>
      </c>
    </row>
    <row r="7157" spans="1:19" x14ac:dyDescent="0.2">
      <c r="A7157" s="12">
        <f t="shared" ref="A7157:C7157" si="1493">A7156</f>
        <v>46003</v>
      </c>
      <c r="B7157" s="5" t="str">
        <f t="shared" si="1493"/>
        <v>Tufted Titmouse</v>
      </c>
      <c r="C7157" s="6">
        <f t="shared" si="1493"/>
        <v>0.47430555555555554</v>
      </c>
      <c r="D7157" s="5"/>
      <c r="E7157" s="5"/>
      <c r="F7157" s="5" t="s">
        <v>22</v>
      </c>
      <c r="G7157" s="15" t="s">
        <v>22</v>
      </c>
      <c r="H7157" s="24">
        <f t="shared" si="1464"/>
        <v>0</v>
      </c>
      <c r="I7157" s="24" t="str" cm="1">
        <f t="array" ref="I7157">IFERROR(IF($B7157=I$1, ($A7157+$C7157) - MAX(IF($B$2:$B7156=$B7157, $A$2:$A7156+$C$2:$C7156)), "")*24*60, "")</f>
        <v/>
      </c>
      <c r="J7157" s="24" cm="1">
        <f t="array" ref="J7157">IFERROR(IF($B7157=J$1, ($A7157+$C7157) - MAX(IF($B$2:$B7156=$B7157, $A$2:$A7156+$C$2:$C7156)), "")*24*60, "")</f>
        <v>0</v>
      </c>
      <c r="K7157" s="24" t="str" cm="1">
        <f t="array" ref="K7157">IFERROR(IF($B7157=K$1, ($A7157+$C7157) - MAX(IF($B$2:$B7156=$B7157, $A$2:$A7156+$C$2:$C7156)), "")*24*60, "")</f>
        <v/>
      </c>
      <c r="L7157" s="24" t="str" cm="1">
        <f t="array" ref="L7157">IFERROR(IF($B7157=L$1, ($A7157+$C7157) - MAX(IF($B$2:$B7156=$B7157, $A$2:$A7156+$C$2:$C7156)), "")*24*60, "")</f>
        <v/>
      </c>
      <c r="M7157" s="24" t="str" cm="1">
        <f t="array" ref="M7157">IFERROR(IF($B7157=M$1, ($A7157+$C7157) - MAX(IF($B$2:$B7156=$B7157, $A$2:$A7156+$C$2:$C7156)), "")*24*60, "")</f>
        <v/>
      </c>
      <c r="N7157" s="24" t="str" cm="1">
        <f t="array" ref="N7157">IFERROR(IF($B7157=N$1, ($A7157+$C7157) - MAX(IF($B$2:$B7156=$B7157, $A$2:$A7156+$C$2:$C7156)), "")*24*60, "")</f>
        <v/>
      </c>
      <c r="O7157" s="24" t="str" cm="1">
        <f t="array" ref="O7157">IFERROR(IF($B7157=O$1, ($A7157+$C7157) - MAX(IF($B$2:$B7156=$B7157, $A$2:$A7156+$C$2:$C7156)), "")*24*60, "")</f>
        <v/>
      </c>
      <c r="P7157" s="24" t="str" cm="1">
        <f t="array" ref="P7157">IFERROR(IF($B7157=P$1, ($A7157+$C7157) - MAX(IF($B$2:$B7156=$B7157, $A$2:$A7156+$C$2:$C7156)), "")*24*60, "")</f>
        <v/>
      </c>
      <c r="Q7157" s="24" t="str" cm="1">
        <f t="array" ref="Q7157">IFERROR(IF($B7157=Q$1, ($A7157+$C7157) - MAX(IF($B$2:$B7156=$B7157, $A$2:$A7156+$C$2:$C7156)), "")*24*60, "")</f>
        <v/>
      </c>
      <c r="R7157" s="24" t="str" cm="1">
        <f t="array" ref="R7157">IFERROR(IF($B7157=R$1, ($A7157+$C7157) - MAX(IF($B$2:$B7156=$B7157, $A$2:$A7156+$C$2:$C7156)), "")*24*60, "")</f>
        <v/>
      </c>
      <c r="S7157" s="24" t="str" cm="1">
        <f t="array" ref="S7157">IFERROR(IF($B7157=S$1, ($A7157+$C7157) - MAX(IF($B$2:$B7156=$B7157, $A$2:$A7156+$C$2:$C7156)), "")*24*60, "")</f>
        <v/>
      </c>
    </row>
    <row r="7158" spans="1:19" x14ac:dyDescent="0.2">
      <c r="A7158" s="12">
        <f t="shared" ref="A7158:C7158" si="1494">A7157</f>
        <v>46003</v>
      </c>
      <c r="B7158" s="5" t="str">
        <f t="shared" si="1494"/>
        <v>Tufted Titmouse</v>
      </c>
      <c r="C7158" s="6">
        <f t="shared" si="1494"/>
        <v>0.47430555555555554</v>
      </c>
      <c r="D7158" s="5"/>
      <c r="E7158" s="5"/>
      <c r="F7158" s="5" t="s">
        <v>22</v>
      </c>
      <c r="G7158" s="15" t="s">
        <v>22</v>
      </c>
      <c r="H7158" s="24">
        <f t="shared" si="1464"/>
        <v>0</v>
      </c>
      <c r="I7158" s="24" t="str" cm="1">
        <f t="array" ref="I7158">IFERROR(IF($B7158=I$1, ($A7158+$C7158) - MAX(IF($B$2:$B7157=$B7158, $A$2:$A7157+$C$2:$C7157)), "")*24*60, "")</f>
        <v/>
      </c>
      <c r="J7158" s="24" cm="1">
        <f t="array" ref="J7158">IFERROR(IF($B7158=J$1, ($A7158+$C7158) - MAX(IF($B$2:$B7157=$B7158, $A$2:$A7157+$C$2:$C7157)), "")*24*60, "")</f>
        <v>0</v>
      </c>
      <c r="K7158" s="24" t="str" cm="1">
        <f t="array" ref="K7158">IFERROR(IF($B7158=K$1, ($A7158+$C7158) - MAX(IF($B$2:$B7157=$B7158, $A$2:$A7157+$C$2:$C7157)), "")*24*60, "")</f>
        <v/>
      </c>
      <c r="L7158" s="24" t="str" cm="1">
        <f t="array" ref="L7158">IFERROR(IF($B7158=L$1, ($A7158+$C7158) - MAX(IF($B$2:$B7157=$B7158, $A$2:$A7157+$C$2:$C7157)), "")*24*60, "")</f>
        <v/>
      </c>
      <c r="M7158" s="24" t="str" cm="1">
        <f t="array" ref="M7158">IFERROR(IF($B7158=M$1, ($A7158+$C7158) - MAX(IF($B$2:$B7157=$B7158, $A$2:$A7157+$C$2:$C7157)), "")*24*60, "")</f>
        <v/>
      </c>
      <c r="N7158" s="24" t="str" cm="1">
        <f t="array" ref="N7158">IFERROR(IF($B7158=N$1, ($A7158+$C7158) - MAX(IF($B$2:$B7157=$B7158, $A$2:$A7157+$C$2:$C7157)), "")*24*60, "")</f>
        <v/>
      </c>
      <c r="O7158" s="24" t="str" cm="1">
        <f t="array" ref="O7158">IFERROR(IF($B7158=O$1, ($A7158+$C7158) - MAX(IF($B$2:$B7157=$B7158, $A$2:$A7157+$C$2:$C7157)), "")*24*60, "")</f>
        <v/>
      </c>
      <c r="P7158" s="24" t="str" cm="1">
        <f t="array" ref="P7158">IFERROR(IF($B7158=P$1, ($A7158+$C7158) - MAX(IF($B$2:$B7157=$B7158, $A$2:$A7157+$C$2:$C7157)), "")*24*60, "")</f>
        <v/>
      </c>
      <c r="Q7158" s="24" t="str" cm="1">
        <f t="array" ref="Q7158">IFERROR(IF($B7158=Q$1, ($A7158+$C7158) - MAX(IF($B$2:$B7157=$B7158, $A$2:$A7157+$C$2:$C7157)), "")*24*60, "")</f>
        <v/>
      </c>
      <c r="R7158" s="24" t="str" cm="1">
        <f t="array" ref="R7158">IFERROR(IF($B7158=R$1, ($A7158+$C7158) - MAX(IF($B$2:$B7157=$B7158, $A$2:$A7157+$C$2:$C7157)), "")*24*60, "")</f>
        <v/>
      </c>
      <c r="S7158" s="24" t="str" cm="1">
        <f t="array" ref="S7158">IFERROR(IF($B7158=S$1, ($A7158+$C7158) - MAX(IF($B$2:$B7157=$B7158, $A$2:$A7157+$C$2:$C7157)), "")*24*60, "")</f>
        <v/>
      </c>
    </row>
    <row r="7159" spans="1:19" x14ac:dyDescent="0.2">
      <c r="A7159" s="12">
        <f t="shared" ref="A7159:C7159" si="1495">A7158</f>
        <v>46003</v>
      </c>
      <c r="B7159" s="5" t="str">
        <f t="shared" si="1495"/>
        <v>Tufted Titmouse</v>
      </c>
      <c r="C7159" s="6">
        <f t="shared" si="1495"/>
        <v>0.47430555555555554</v>
      </c>
      <c r="D7159" s="5"/>
      <c r="E7159" s="5"/>
      <c r="F7159" s="5" t="s">
        <v>22</v>
      </c>
      <c r="G7159" s="15" t="s">
        <v>22</v>
      </c>
      <c r="H7159" s="24">
        <f t="shared" si="1464"/>
        <v>0</v>
      </c>
      <c r="I7159" s="24" t="str" cm="1">
        <f t="array" ref="I7159">IFERROR(IF($B7159=I$1, ($A7159+$C7159) - MAX(IF($B$2:$B7158=$B7159, $A$2:$A7158+$C$2:$C7158)), "")*24*60, "")</f>
        <v/>
      </c>
      <c r="J7159" s="24" cm="1">
        <f t="array" ref="J7159">IFERROR(IF($B7159=J$1, ($A7159+$C7159) - MAX(IF($B$2:$B7158=$B7159, $A$2:$A7158+$C$2:$C7158)), "")*24*60, "")</f>
        <v>0</v>
      </c>
      <c r="K7159" s="24" t="str" cm="1">
        <f t="array" ref="K7159">IFERROR(IF($B7159=K$1, ($A7159+$C7159) - MAX(IF($B$2:$B7158=$B7159, $A$2:$A7158+$C$2:$C7158)), "")*24*60, "")</f>
        <v/>
      </c>
      <c r="L7159" s="24" t="str" cm="1">
        <f t="array" ref="L7159">IFERROR(IF($B7159=L$1, ($A7159+$C7159) - MAX(IF($B$2:$B7158=$B7159, $A$2:$A7158+$C$2:$C7158)), "")*24*60, "")</f>
        <v/>
      </c>
      <c r="M7159" s="24" t="str" cm="1">
        <f t="array" ref="M7159">IFERROR(IF($B7159=M$1, ($A7159+$C7159) - MAX(IF($B$2:$B7158=$B7159, $A$2:$A7158+$C$2:$C7158)), "")*24*60, "")</f>
        <v/>
      </c>
      <c r="N7159" s="24" t="str" cm="1">
        <f t="array" ref="N7159">IFERROR(IF($B7159=N$1, ($A7159+$C7159) - MAX(IF($B$2:$B7158=$B7159, $A$2:$A7158+$C$2:$C7158)), "")*24*60, "")</f>
        <v/>
      </c>
      <c r="O7159" s="24" t="str" cm="1">
        <f t="array" ref="O7159">IFERROR(IF($B7159=O$1, ($A7159+$C7159) - MAX(IF($B$2:$B7158=$B7159, $A$2:$A7158+$C$2:$C7158)), "")*24*60, "")</f>
        <v/>
      </c>
      <c r="P7159" s="24" t="str" cm="1">
        <f t="array" ref="P7159">IFERROR(IF($B7159=P$1, ($A7159+$C7159) - MAX(IF($B$2:$B7158=$B7159, $A$2:$A7158+$C$2:$C7158)), "")*24*60, "")</f>
        <v/>
      </c>
      <c r="Q7159" s="24" t="str" cm="1">
        <f t="array" ref="Q7159">IFERROR(IF($B7159=Q$1, ($A7159+$C7159) - MAX(IF($B$2:$B7158=$B7159, $A$2:$A7158+$C$2:$C7158)), "")*24*60, "")</f>
        <v/>
      </c>
      <c r="R7159" s="24" t="str" cm="1">
        <f t="array" ref="R7159">IFERROR(IF($B7159=R$1, ($A7159+$C7159) - MAX(IF($B$2:$B7158=$B7159, $A$2:$A7158+$C$2:$C7158)), "")*24*60, "")</f>
        <v/>
      </c>
      <c r="S7159" s="24" t="str" cm="1">
        <f t="array" ref="S7159">IFERROR(IF($B7159=S$1, ($A7159+$C7159) - MAX(IF($B$2:$B7158=$B7159, $A$2:$A7158+$C$2:$C7158)), "")*24*60, "")</f>
        <v/>
      </c>
    </row>
    <row r="7160" spans="1:19" x14ac:dyDescent="0.2">
      <c r="A7160" s="12">
        <f t="shared" ref="A7160:C7160" si="1496">A7159</f>
        <v>46003</v>
      </c>
      <c r="B7160" s="5" t="str">
        <f t="shared" si="1496"/>
        <v>Tufted Titmouse</v>
      </c>
      <c r="C7160" s="6">
        <f t="shared" si="1496"/>
        <v>0.47430555555555554</v>
      </c>
      <c r="D7160" s="5"/>
      <c r="E7160" s="5"/>
      <c r="F7160" s="5" t="s">
        <v>22</v>
      </c>
      <c r="G7160" s="15" t="s">
        <v>22</v>
      </c>
      <c r="H7160" s="24">
        <f t="shared" si="1464"/>
        <v>0</v>
      </c>
      <c r="I7160" s="24" t="str" cm="1">
        <f t="array" ref="I7160">IFERROR(IF($B7160=I$1, ($A7160+$C7160) - MAX(IF($B$2:$B7159=$B7160, $A$2:$A7159+$C$2:$C7159)), "")*24*60, "")</f>
        <v/>
      </c>
      <c r="J7160" s="24" cm="1">
        <f t="array" ref="J7160">IFERROR(IF($B7160=J$1, ($A7160+$C7160) - MAX(IF($B$2:$B7159=$B7160, $A$2:$A7159+$C$2:$C7159)), "")*24*60, "")</f>
        <v>0</v>
      </c>
      <c r="K7160" s="24" t="str" cm="1">
        <f t="array" ref="K7160">IFERROR(IF($B7160=K$1, ($A7160+$C7160) - MAX(IF($B$2:$B7159=$B7160, $A$2:$A7159+$C$2:$C7159)), "")*24*60, "")</f>
        <v/>
      </c>
      <c r="L7160" s="24" t="str" cm="1">
        <f t="array" ref="L7160">IFERROR(IF($B7160=L$1, ($A7160+$C7160) - MAX(IF($B$2:$B7159=$B7160, $A$2:$A7159+$C$2:$C7159)), "")*24*60, "")</f>
        <v/>
      </c>
      <c r="M7160" s="24" t="str" cm="1">
        <f t="array" ref="M7160">IFERROR(IF($B7160=M$1, ($A7160+$C7160) - MAX(IF($B$2:$B7159=$B7160, $A$2:$A7159+$C$2:$C7159)), "")*24*60, "")</f>
        <v/>
      </c>
      <c r="N7160" s="24" t="str" cm="1">
        <f t="array" ref="N7160">IFERROR(IF($B7160=N$1, ($A7160+$C7160) - MAX(IF($B$2:$B7159=$B7160, $A$2:$A7159+$C$2:$C7159)), "")*24*60, "")</f>
        <v/>
      </c>
      <c r="O7160" s="24" t="str" cm="1">
        <f t="array" ref="O7160">IFERROR(IF($B7160=O$1, ($A7160+$C7160) - MAX(IF($B$2:$B7159=$B7160, $A$2:$A7159+$C$2:$C7159)), "")*24*60, "")</f>
        <v/>
      </c>
      <c r="P7160" s="24" t="str" cm="1">
        <f t="array" ref="P7160">IFERROR(IF($B7160=P$1, ($A7160+$C7160) - MAX(IF($B$2:$B7159=$B7160, $A$2:$A7159+$C$2:$C7159)), "")*24*60, "")</f>
        <v/>
      </c>
      <c r="Q7160" s="24" t="str" cm="1">
        <f t="array" ref="Q7160">IFERROR(IF($B7160=Q$1, ($A7160+$C7160) - MAX(IF($B$2:$B7159=$B7160, $A$2:$A7159+$C$2:$C7159)), "")*24*60, "")</f>
        <v/>
      </c>
      <c r="R7160" s="24" t="str" cm="1">
        <f t="array" ref="R7160">IFERROR(IF($B7160=R$1, ($A7160+$C7160) - MAX(IF($B$2:$B7159=$B7160, $A$2:$A7159+$C$2:$C7159)), "")*24*60, "")</f>
        <v/>
      </c>
      <c r="S7160" s="24" t="str" cm="1">
        <f t="array" ref="S7160">IFERROR(IF($B7160=S$1, ($A7160+$C7160) - MAX(IF($B$2:$B7159=$B7160, $A$2:$A7159+$C$2:$C7159)), "")*24*60, "")</f>
        <v/>
      </c>
    </row>
    <row r="7161" spans="1:19" x14ac:dyDescent="0.2">
      <c r="A7161" s="12">
        <f t="shared" ref="A7161:C7161" si="1497">A7160</f>
        <v>46003</v>
      </c>
      <c r="B7161" s="5" t="str">
        <f t="shared" si="1497"/>
        <v>Tufted Titmouse</v>
      </c>
      <c r="C7161" s="6">
        <f t="shared" si="1497"/>
        <v>0.47430555555555554</v>
      </c>
      <c r="D7161" s="5"/>
      <c r="E7161" s="5"/>
      <c r="F7161" s="5" t="s">
        <v>22</v>
      </c>
      <c r="G7161" s="15" t="s">
        <v>22</v>
      </c>
      <c r="H7161" s="24">
        <f t="shared" si="1464"/>
        <v>0</v>
      </c>
      <c r="I7161" s="24" t="str" cm="1">
        <f t="array" ref="I7161">IFERROR(IF($B7161=I$1, ($A7161+$C7161) - MAX(IF($B$2:$B7160=$B7161, $A$2:$A7160+$C$2:$C7160)), "")*24*60, "")</f>
        <v/>
      </c>
      <c r="J7161" s="24" cm="1">
        <f t="array" ref="J7161">IFERROR(IF($B7161=J$1, ($A7161+$C7161) - MAX(IF($B$2:$B7160=$B7161, $A$2:$A7160+$C$2:$C7160)), "")*24*60, "")</f>
        <v>0</v>
      </c>
      <c r="K7161" s="24" t="str" cm="1">
        <f t="array" ref="K7161">IFERROR(IF($B7161=K$1, ($A7161+$C7161) - MAX(IF($B$2:$B7160=$B7161, $A$2:$A7160+$C$2:$C7160)), "")*24*60, "")</f>
        <v/>
      </c>
      <c r="L7161" s="24" t="str" cm="1">
        <f t="array" ref="L7161">IFERROR(IF($B7161=L$1, ($A7161+$C7161) - MAX(IF($B$2:$B7160=$B7161, $A$2:$A7160+$C$2:$C7160)), "")*24*60, "")</f>
        <v/>
      </c>
      <c r="M7161" s="24" t="str" cm="1">
        <f t="array" ref="M7161">IFERROR(IF($B7161=M$1, ($A7161+$C7161) - MAX(IF($B$2:$B7160=$B7161, $A$2:$A7160+$C$2:$C7160)), "")*24*60, "")</f>
        <v/>
      </c>
      <c r="N7161" s="24" t="str" cm="1">
        <f t="array" ref="N7161">IFERROR(IF($B7161=N$1, ($A7161+$C7161) - MAX(IF($B$2:$B7160=$B7161, $A$2:$A7160+$C$2:$C7160)), "")*24*60, "")</f>
        <v/>
      </c>
      <c r="O7161" s="24" t="str" cm="1">
        <f t="array" ref="O7161">IFERROR(IF($B7161=O$1, ($A7161+$C7161) - MAX(IF($B$2:$B7160=$B7161, $A$2:$A7160+$C$2:$C7160)), "")*24*60, "")</f>
        <v/>
      </c>
      <c r="P7161" s="24" t="str" cm="1">
        <f t="array" ref="P7161">IFERROR(IF($B7161=P$1, ($A7161+$C7161) - MAX(IF($B$2:$B7160=$B7161, $A$2:$A7160+$C$2:$C7160)), "")*24*60, "")</f>
        <v/>
      </c>
      <c r="Q7161" s="24" t="str" cm="1">
        <f t="array" ref="Q7161">IFERROR(IF($B7161=Q$1, ($A7161+$C7161) - MAX(IF($B$2:$B7160=$B7161, $A$2:$A7160+$C$2:$C7160)), "")*24*60, "")</f>
        <v/>
      </c>
      <c r="R7161" s="24" t="str" cm="1">
        <f t="array" ref="R7161">IFERROR(IF($B7161=R$1, ($A7161+$C7161) - MAX(IF($B$2:$B7160=$B7161, $A$2:$A7160+$C$2:$C7160)), "")*24*60, "")</f>
        <v/>
      </c>
      <c r="S7161" s="24" t="str" cm="1">
        <f t="array" ref="S7161">IFERROR(IF($B7161=S$1, ($A7161+$C7161) - MAX(IF($B$2:$B7160=$B7161, $A$2:$A7160+$C$2:$C7160)), "")*24*60, "")</f>
        <v/>
      </c>
    </row>
    <row r="7162" spans="1:19" x14ac:dyDescent="0.2">
      <c r="A7162" s="12">
        <f t="shared" ref="A7162:C7162" si="1498">A7161</f>
        <v>46003</v>
      </c>
      <c r="B7162" s="5" t="str">
        <f t="shared" si="1498"/>
        <v>Tufted Titmouse</v>
      </c>
      <c r="C7162" s="6">
        <f t="shared" si="1498"/>
        <v>0.47430555555555554</v>
      </c>
      <c r="D7162" s="5"/>
      <c r="E7162" s="5"/>
      <c r="F7162" s="5" t="s">
        <v>22</v>
      </c>
      <c r="G7162" s="15" t="s">
        <v>22</v>
      </c>
      <c r="H7162" s="24">
        <f t="shared" si="1464"/>
        <v>0</v>
      </c>
      <c r="I7162" s="24" t="str" cm="1">
        <f t="array" ref="I7162">IFERROR(IF($B7162=I$1, ($A7162+$C7162) - MAX(IF($B$2:$B7161=$B7162, $A$2:$A7161+$C$2:$C7161)), "")*24*60, "")</f>
        <v/>
      </c>
      <c r="J7162" s="24" cm="1">
        <f t="array" ref="J7162">IFERROR(IF($B7162=J$1, ($A7162+$C7162) - MAX(IF($B$2:$B7161=$B7162, $A$2:$A7161+$C$2:$C7161)), "")*24*60, "")</f>
        <v>0</v>
      </c>
      <c r="K7162" s="24" t="str" cm="1">
        <f t="array" ref="K7162">IFERROR(IF($B7162=K$1, ($A7162+$C7162) - MAX(IF($B$2:$B7161=$B7162, $A$2:$A7161+$C$2:$C7161)), "")*24*60, "")</f>
        <v/>
      </c>
      <c r="L7162" s="24" t="str" cm="1">
        <f t="array" ref="L7162">IFERROR(IF($B7162=L$1, ($A7162+$C7162) - MAX(IF($B$2:$B7161=$B7162, $A$2:$A7161+$C$2:$C7161)), "")*24*60, "")</f>
        <v/>
      </c>
      <c r="M7162" s="24" t="str" cm="1">
        <f t="array" ref="M7162">IFERROR(IF($B7162=M$1, ($A7162+$C7162) - MAX(IF($B$2:$B7161=$B7162, $A$2:$A7161+$C$2:$C7161)), "")*24*60, "")</f>
        <v/>
      </c>
      <c r="N7162" s="24" t="str" cm="1">
        <f t="array" ref="N7162">IFERROR(IF($B7162=N$1, ($A7162+$C7162) - MAX(IF($B$2:$B7161=$B7162, $A$2:$A7161+$C$2:$C7161)), "")*24*60, "")</f>
        <v/>
      </c>
      <c r="O7162" s="24" t="str" cm="1">
        <f t="array" ref="O7162">IFERROR(IF($B7162=O$1, ($A7162+$C7162) - MAX(IF($B$2:$B7161=$B7162, $A$2:$A7161+$C$2:$C7161)), "")*24*60, "")</f>
        <v/>
      </c>
      <c r="P7162" s="24" t="str" cm="1">
        <f t="array" ref="P7162">IFERROR(IF($B7162=P$1, ($A7162+$C7162) - MAX(IF($B$2:$B7161=$B7162, $A$2:$A7161+$C$2:$C7161)), "")*24*60, "")</f>
        <v/>
      </c>
      <c r="Q7162" s="24" t="str" cm="1">
        <f t="array" ref="Q7162">IFERROR(IF($B7162=Q$1, ($A7162+$C7162) - MAX(IF($B$2:$B7161=$B7162, $A$2:$A7161+$C$2:$C7161)), "")*24*60, "")</f>
        <v/>
      </c>
      <c r="R7162" s="24" t="str" cm="1">
        <f t="array" ref="R7162">IFERROR(IF($B7162=R$1, ($A7162+$C7162) - MAX(IF($B$2:$B7161=$B7162, $A$2:$A7161+$C$2:$C7161)), "")*24*60, "")</f>
        <v/>
      </c>
      <c r="S7162" s="24" t="str" cm="1">
        <f t="array" ref="S7162">IFERROR(IF($B7162=S$1, ($A7162+$C7162) - MAX(IF($B$2:$B7161=$B7162, $A$2:$A7161+$C$2:$C7161)), "")*24*60, "")</f>
        <v/>
      </c>
    </row>
    <row r="7163" spans="1:19" x14ac:dyDescent="0.2">
      <c r="A7163" s="12">
        <f t="shared" ref="A7163:C7163" si="1499">A7162</f>
        <v>46003</v>
      </c>
      <c r="B7163" s="5" t="str">
        <f t="shared" si="1499"/>
        <v>Tufted Titmouse</v>
      </c>
      <c r="C7163" s="6">
        <f t="shared" si="1499"/>
        <v>0.47430555555555554</v>
      </c>
      <c r="D7163" s="5"/>
      <c r="E7163" s="5"/>
      <c r="F7163" s="5" t="s">
        <v>22</v>
      </c>
      <c r="G7163" s="15" t="s">
        <v>22</v>
      </c>
      <c r="H7163" s="24">
        <f t="shared" si="1464"/>
        <v>0</v>
      </c>
      <c r="I7163" s="24" t="str" cm="1">
        <f t="array" ref="I7163">IFERROR(IF($B7163=I$1, ($A7163+$C7163) - MAX(IF($B$2:$B7162=$B7163, $A$2:$A7162+$C$2:$C7162)), "")*24*60, "")</f>
        <v/>
      </c>
      <c r="J7163" s="24" cm="1">
        <f t="array" ref="J7163">IFERROR(IF($B7163=J$1, ($A7163+$C7163) - MAX(IF($B$2:$B7162=$B7163, $A$2:$A7162+$C$2:$C7162)), "")*24*60, "")</f>
        <v>0</v>
      </c>
      <c r="K7163" s="24" t="str" cm="1">
        <f t="array" ref="K7163">IFERROR(IF($B7163=K$1, ($A7163+$C7163) - MAX(IF($B$2:$B7162=$B7163, $A$2:$A7162+$C$2:$C7162)), "")*24*60, "")</f>
        <v/>
      </c>
      <c r="L7163" s="24" t="str" cm="1">
        <f t="array" ref="L7163">IFERROR(IF($B7163=L$1, ($A7163+$C7163) - MAX(IF($B$2:$B7162=$B7163, $A$2:$A7162+$C$2:$C7162)), "")*24*60, "")</f>
        <v/>
      </c>
      <c r="M7163" s="24" t="str" cm="1">
        <f t="array" ref="M7163">IFERROR(IF($B7163=M$1, ($A7163+$C7163) - MAX(IF($B$2:$B7162=$B7163, $A$2:$A7162+$C$2:$C7162)), "")*24*60, "")</f>
        <v/>
      </c>
      <c r="N7163" s="24" t="str" cm="1">
        <f t="array" ref="N7163">IFERROR(IF($B7163=N$1, ($A7163+$C7163) - MAX(IF($B$2:$B7162=$B7163, $A$2:$A7162+$C$2:$C7162)), "")*24*60, "")</f>
        <v/>
      </c>
      <c r="O7163" s="24" t="str" cm="1">
        <f t="array" ref="O7163">IFERROR(IF($B7163=O$1, ($A7163+$C7163) - MAX(IF($B$2:$B7162=$B7163, $A$2:$A7162+$C$2:$C7162)), "")*24*60, "")</f>
        <v/>
      </c>
      <c r="P7163" s="24" t="str" cm="1">
        <f t="array" ref="P7163">IFERROR(IF($B7163=P$1, ($A7163+$C7163) - MAX(IF($B$2:$B7162=$B7163, $A$2:$A7162+$C$2:$C7162)), "")*24*60, "")</f>
        <v/>
      </c>
      <c r="Q7163" s="24" t="str" cm="1">
        <f t="array" ref="Q7163">IFERROR(IF($B7163=Q$1, ($A7163+$C7163) - MAX(IF($B$2:$B7162=$B7163, $A$2:$A7162+$C$2:$C7162)), "")*24*60, "")</f>
        <v/>
      </c>
      <c r="R7163" s="24" t="str" cm="1">
        <f t="array" ref="R7163">IFERROR(IF($B7163=R$1, ($A7163+$C7163) - MAX(IF($B$2:$B7162=$B7163, $A$2:$A7162+$C$2:$C7162)), "")*24*60, "")</f>
        <v/>
      </c>
      <c r="S7163" s="24" t="str" cm="1">
        <f t="array" ref="S7163">IFERROR(IF($B7163=S$1, ($A7163+$C7163) - MAX(IF($B$2:$B7162=$B7163, $A$2:$A7162+$C$2:$C7162)), "")*24*60, "")</f>
        <v/>
      </c>
    </row>
    <row r="7164" spans="1:19" x14ac:dyDescent="0.2">
      <c r="A7164" s="12">
        <f t="shared" ref="A7164:C7164" si="1500">A7163</f>
        <v>46003</v>
      </c>
      <c r="B7164" s="5" t="str">
        <f t="shared" si="1500"/>
        <v>Tufted Titmouse</v>
      </c>
      <c r="C7164" s="6">
        <f t="shared" si="1500"/>
        <v>0.47430555555555554</v>
      </c>
      <c r="D7164" s="5"/>
      <c r="E7164" s="5"/>
      <c r="F7164" s="5" t="s">
        <v>22</v>
      </c>
      <c r="G7164" s="15" t="s">
        <v>22</v>
      </c>
      <c r="H7164" s="24">
        <f t="shared" si="1464"/>
        <v>0</v>
      </c>
      <c r="I7164" s="24" t="str" cm="1">
        <f t="array" ref="I7164">IFERROR(IF($B7164=I$1, ($A7164+$C7164) - MAX(IF($B$2:$B7163=$B7164, $A$2:$A7163+$C$2:$C7163)), "")*24*60, "")</f>
        <v/>
      </c>
      <c r="J7164" s="24" cm="1">
        <f t="array" ref="J7164">IFERROR(IF($B7164=J$1, ($A7164+$C7164) - MAX(IF($B$2:$B7163=$B7164, $A$2:$A7163+$C$2:$C7163)), "")*24*60, "")</f>
        <v>0</v>
      </c>
      <c r="K7164" s="24" t="str" cm="1">
        <f t="array" ref="K7164">IFERROR(IF($B7164=K$1, ($A7164+$C7164) - MAX(IF($B$2:$B7163=$B7164, $A$2:$A7163+$C$2:$C7163)), "")*24*60, "")</f>
        <v/>
      </c>
      <c r="L7164" s="24" t="str" cm="1">
        <f t="array" ref="L7164">IFERROR(IF($B7164=L$1, ($A7164+$C7164) - MAX(IF($B$2:$B7163=$B7164, $A$2:$A7163+$C$2:$C7163)), "")*24*60, "")</f>
        <v/>
      </c>
      <c r="M7164" s="24" t="str" cm="1">
        <f t="array" ref="M7164">IFERROR(IF($B7164=M$1, ($A7164+$C7164) - MAX(IF($B$2:$B7163=$B7164, $A$2:$A7163+$C$2:$C7163)), "")*24*60, "")</f>
        <v/>
      </c>
      <c r="N7164" s="24" t="str" cm="1">
        <f t="array" ref="N7164">IFERROR(IF($B7164=N$1, ($A7164+$C7164) - MAX(IF($B$2:$B7163=$B7164, $A$2:$A7163+$C$2:$C7163)), "")*24*60, "")</f>
        <v/>
      </c>
      <c r="O7164" s="24" t="str" cm="1">
        <f t="array" ref="O7164">IFERROR(IF($B7164=O$1, ($A7164+$C7164) - MAX(IF($B$2:$B7163=$B7164, $A$2:$A7163+$C$2:$C7163)), "")*24*60, "")</f>
        <v/>
      </c>
      <c r="P7164" s="24" t="str" cm="1">
        <f t="array" ref="P7164">IFERROR(IF($B7164=P$1, ($A7164+$C7164) - MAX(IF($B$2:$B7163=$B7164, $A$2:$A7163+$C$2:$C7163)), "")*24*60, "")</f>
        <v/>
      </c>
      <c r="Q7164" s="24" t="str" cm="1">
        <f t="array" ref="Q7164">IFERROR(IF($B7164=Q$1, ($A7164+$C7164) - MAX(IF($B$2:$B7163=$B7164, $A$2:$A7163+$C$2:$C7163)), "")*24*60, "")</f>
        <v/>
      </c>
      <c r="R7164" s="24" t="str" cm="1">
        <f t="array" ref="R7164">IFERROR(IF($B7164=R$1, ($A7164+$C7164) - MAX(IF($B$2:$B7163=$B7164, $A$2:$A7163+$C$2:$C7163)), "")*24*60, "")</f>
        <v/>
      </c>
      <c r="S7164" s="24" t="str" cm="1">
        <f t="array" ref="S7164">IFERROR(IF($B7164=S$1, ($A7164+$C7164) - MAX(IF($B$2:$B7163=$B7164, $A$2:$A7163+$C$2:$C7163)), "")*24*60, "")</f>
        <v/>
      </c>
    </row>
    <row r="7165" spans="1:19" x14ac:dyDescent="0.2">
      <c r="A7165" s="12">
        <f t="shared" ref="A7165:C7165" si="1501">A7164</f>
        <v>46003</v>
      </c>
      <c r="B7165" s="5" t="str">
        <f t="shared" si="1501"/>
        <v>Tufted Titmouse</v>
      </c>
      <c r="C7165" s="6">
        <f t="shared" si="1501"/>
        <v>0.47430555555555554</v>
      </c>
      <c r="D7165" s="5"/>
      <c r="E7165" s="5"/>
      <c r="F7165" s="5" t="s">
        <v>22</v>
      </c>
      <c r="G7165" s="15" t="s">
        <v>22</v>
      </c>
      <c r="H7165" s="24">
        <f t="shared" si="1464"/>
        <v>0</v>
      </c>
      <c r="I7165" s="24" t="str" cm="1">
        <f t="array" ref="I7165">IFERROR(IF($B7165=I$1, ($A7165+$C7165) - MAX(IF($B$2:$B7164=$B7165, $A$2:$A7164+$C$2:$C7164)), "")*24*60, "")</f>
        <v/>
      </c>
      <c r="J7165" s="24" cm="1">
        <f t="array" ref="J7165">IFERROR(IF($B7165=J$1, ($A7165+$C7165) - MAX(IF($B$2:$B7164=$B7165, $A$2:$A7164+$C$2:$C7164)), "")*24*60, "")</f>
        <v>0</v>
      </c>
      <c r="K7165" s="24" t="str" cm="1">
        <f t="array" ref="K7165">IFERROR(IF($B7165=K$1, ($A7165+$C7165) - MAX(IF($B$2:$B7164=$B7165, $A$2:$A7164+$C$2:$C7164)), "")*24*60, "")</f>
        <v/>
      </c>
      <c r="L7165" s="24" t="str" cm="1">
        <f t="array" ref="L7165">IFERROR(IF($B7165=L$1, ($A7165+$C7165) - MAX(IF($B$2:$B7164=$B7165, $A$2:$A7164+$C$2:$C7164)), "")*24*60, "")</f>
        <v/>
      </c>
      <c r="M7165" s="24" t="str" cm="1">
        <f t="array" ref="M7165">IFERROR(IF($B7165=M$1, ($A7165+$C7165) - MAX(IF($B$2:$B7164=$B7165, $A$2:$A7164+$C$2:$C7164)), "")*24*60, "")</f>
        <v/>
      </c>
      <c r="N7165" s="24" t="str" cm="1">
        <f t="array" ref="N7165">IFERROR(IF($B7165=N$1, ($A7165+$C7165) - MAX(IF($B$2:$B7164=$B7165, $A$2:$A7164+$C$2:$C7164)), "")*24*60, "")</f>
        <v/>
      </c>
      <c r="O7165" s="24" t="str" cm="1">
        <f t="array" ref="O7165">IFERROR(IF($B7165=O$1, ($A7165+$C7165) - MAX(IF($B$2:$B7164=$B7165, $A$2:$A7164+$C$2:$C7164)), "")*24*60, "")</f>
        <v/>
      </c>
      <c r="P7165" s="24" t="str" cm="1">
        <f t="array" ref="P7165">IFERROR(IF($B7165=P$1, ($A7165+$C7165) - MAX(IF($B$2:$B7164=$B7165, $A$2:$A7164+$C$2:$C7164)), "")*24*60, "")</f>
        <v/>
      </c>
      <c r="Q7165" s="24" t="str" cm="1">
        <f t="array" ref="Q7165">IFERROR(IF($B7165=Q$1, ($A7165+$C7165) - MAX(IF($B$2:$B7164=$B7165, $A$2:$A7164+$C$2:$C7164)), "")*24*60, "")</f>
        <v/>
      </c>
      <c r="R7165" s="24" t="str" cm="1">
        <f t="array" ref="R7165">IFERROR(IF($B7165=R$1, ($A7165+$C7165) - MAX(IF($B$2:$B7164=$B7165, $A$2:$A7164+$C$2:$C7164)), "")*24*60, "")</f>
        <v/>
      </c>
      <c r="S7165" s="24" t="str" cm="1">
        <f t="array" ref="S7165">IFERROR(IF($B7165=S$1, ($A7165+$C7165) - MAX(IF($B$2:$B7164=$B7165, $A$2:$A7164+$C$2:$C7164)), "")*24*60, "")</f>
        <v/>
      </c>
    </row>
    <row r="7166" spans="1:19" x14ac:dyDescent="0.2">
      <c r="A7166" s="12">
        <f t="shared" ref="A7166:C7166" si="1502">A7165</f>
        <v>46003</v>
      </c>
      <c r="B7166" s="5" t="str">
        <f t="shared" si="1502"/>
        <v>Tufted Titmouse</v>
      </c>
      <c r="C7166" s="6">
        <f t="shared" si="1502"/>
        <v>0.47430555555555554</v>
      </c>
      <c r="D7166" s="5"/>
      <c r="E7166" s="5"/>
      <c r="F7166" s="5" t="s">
        <v>22</v>
      </c>
      <c r="G7166" s="15" t="s">
        <v>22</v>
      </c>
      <c r="H7166" s="24">
        <f t="shared" si="1464"/>
        <v>0</v>
      </c>
      <c r="I7166" s="24" t="str" cm="1">
        <f t="array" ref="I7166">IFERROR(IF($B7166=I$1, ($A7166+$C7166) - MAX(IF($B$2:$B7165=$B7166, $A$2:$A7165+$C$2:$C7165)), "")*24*60, "")</f>
        <v/>
      </c>
      <c r="J7166" s="24" cm="1">
        <f t="array" ref="J7166">IFERROR(IF($B7166=J$1, ($A7166+$C7166) - MAX(IF($B$2:$B7165=$B7166, $A$2:$A7165+$C$2:$C7165)), "")*24*60, "")</f>
        <v>0</v>
      </c>
      <c r="K7166" s="24" t="str" cm="1">
        <f t="array" ref="K7166">IFERROR(IF($B7166=K$1, ($A7166+$C7166) - MAX(IF($B$2:$B7165=$B7166, $A$2:$A7165+$C$2:$C7165)), "")*24*60, "")</f>
        <v/>
      </c>
      <c r="L7166" s="24" t="str" cm="1">
        <f t="array" ref="L7166">IFERROR(IF($B7166=L$1, ($A7166+$C7166) - MAX(IF($B$2:$B7165=$B7166, $A$2:$A7165+$C$2:$C7165)), "")*24*60, "")</f>
        <v/>
      </c>
      <c r="M7166" s="24" t="str" cm="1">
        <f t="array" ref="M7166">IFERROR(IF($B7166=M$1, ($A7166+$C7166) - MAX(IF($B$2:$B7165=$B7166, $A$2:$A7165+$C$2:$C7165)), "")*24*60, "")</f>
        <v/>
      </c>
      <c r="N7166" s="24" t="str" cm="1">
        <f t="array" ref="N7166">IFERROR(IF($B7166=N$1, ($A7166+$C7166) - MAX(IF($B$2:$B7165=$B7166, $A$2:$A7165+$C$2:$C7165)), "")*24*60, "")</f>
        <v/>
      </c>
      <c r="O7166" s="24" t="str" cm="1">
        <f t="array" ref="O7166">IFERROR(IF($B7166=O$1, ($A7166+$C7166) - MAX(IF($B$2:$B7165=$B7166, $A$2:$A7165+$C$2:$C7165)), "")*24*60, "")</f>
        <v/>
      </c>
      <c r="P7166" s="24" t="str" cm="1">
        <f t="array" ref="P7166">IFERROR(IF($B7166=P$1, ($A7166+$C7166) - MAX(IF($B$2:$B7165=$B7166, $A$2:$A7165+$C$2:$C7165)), "")*24*60, "")</f>
        <v/>
      </c>
      <c r="Q7166" s="24" t="str" cm="1">
        <f t="array" ref="Q7166">IFERROR(IF($B7166=Q$1, ($A7166+$C7166) - MAX(IF($B$2:$B7165=$B7166, $A$2:$A7165+$C$2:$C7165)), "")*24*60, "")</f>
        <v/>
      </c>
      <c r="R7166" s="24" t="str" cm="1">
        <f t="array" ref="R7166">IFERROR(IF($B7166=R$1, ($A7166+$C7166) - MAX(IF($B$2:$B7165=$B7166, $A$2:$A7165+$C$2:$C7165)), "")*24*60, "")</f>
        <v/>
      </c>
      <c r="S7166" s="24" t="str" cm="1">
        <f t="array" ref="S7166">IFERROR(IF($B7166=S$1, ($A7166+$C7166) - MAX(IF($B$2:$B7165=$B7166, $A$2:$A7165+$C$2:$C7165)), "")*24*60, "")</f>
        <v/>
      </c>
    </row>
    <row r="7167" spans="1:19" x14ac:dyDescent="0.2">
      <c r="A7167" s="12">
        <f t="shared" ref="A7167:C7167" si="1503">A7166</f>
        <v>46003</v>
      </c>
      <c r="B7167" s="5" t="str">
        <f t="shared" si="1503"/>
        <v>Tufted Titmouse</v>
      </c>
      <c r="C7167" s="6">
        <f t="shared" si="1503"/>
        <v>0.47430555555555554</v>
      </c>
      <c r="D7167" s="5"/>
      <c r="E7167" s="5"/>
      <c r="F7167" s="5" t="s">
        <v>22</v>
      </c>
      <c r="G7167" s="15" t="s">
        <v>22</v>
      </c>
      <c r="H7167" s="24">
        <f t="shared" si="1464"/>
        <v>0</v>
      </c>
      <c r="I7167" s="24" t="str" cm="1">
        <f t="array" ref="I7167">IFERROR(IF($B7167=I$1, ($A7167+$C7167) - MAX(IF($B$2:$B7166=$B7167, $A$2:$A7166+$C$2:$C7166)), "")*24*60, "")</f>
        <v/>
      </c>
      <c r="J7167" s="24" cm="1">
        <f t="array" ref="J7167">IFERROR(IF($B7167=J$1, ($A7167+$C7167) - MAX(IF($B$2:$B7166=$B7167, $A$2:$A7166+$C$2:$C7166)), "")*24*60, "")</f>
        <v>0</v>
      </c>
      <c r="K7167" s="24" t="str" cm="1">
        <f t="array" ref="K7167">IFERROR(IF($B7167=K$1, ($A7167+$C7167) - MAX(IF($B$2:$B7166=$B7167, $A$2:$A7166+$C$2:$C7166)), "")*24*60, "")</f>
        <v/>
      </c>
      <c r="L7167" s="24" t="str" cm="1">
        <f t="array" ref="L7167">IFERROR(IF($B7167=L$1, ($A7167+$C7167) - MAX(IF($B$2:$B7166=$B7167, $A$2:$A7166+$C$2:$C7166)), "")*24*60, "")</f>
        <v/>
      </c>
      <c r="M7167" s="24" t="str" cm="1">
        <f t="array" ref="M7167">IFERROR(IF($B7167=M$1, ($A7167+$C7167) - MAX(IF($B$2:$B7166=$B7167, $A$2:$A7166+$C$2:$C7166)), "")*24*60, "")</f>
        <v/>
      </c>
      <c r="N7167" s="24" t="str" cm="1">
        <f t="array" ref="N7167">IFERROR(IF($B7167=N$1, ($A7167+$C7167) - MAX(IF($B$2:$B7166=$B7167, $A$2:$A7166+$C$2:$C7166)), "")*24*60, "")</f>
        <v/>
      </c>
      <c r="O7167" s="24" t="str" cm="1">
        <f t="array" ref="O7167">IFERROR(IF($B7167=O$1, ($A7167+$C7167) - MAX(IF($B$2:$B7166=$B7167, $A$2:$A7166+$C$2:$C7166)), "")*24*60, "")</f>
        <v/>
      </c>
      <c r="P7167" s="24" t="str" cm="1">
        <f t="array" ref="P7167">IFERROR(IF($B7167=P$1, ($A7167+$C7167) - MAX(IF($B$2:$B7166=$B7167, $A$2:$A7166+$C$2:$C7166)), "")*24*60, "")</f>
        <v/>
      </c>
      <c r="Q7167" s="24" t="str" cm="1">
        <f t="array" ref="Q7167">IFERROR(IF($B7167=Q$1, ($A7167+$C7167) - MAX(IF($B$2:$B7166=$B7167, $A$2:$A7166+$C$2:$C7166)), "")*24*60, "")</f>
        <v/>
      </c>
      <c r="R7167" s="24" t="str" cm="1">
        <f t="array" ref="R7167">IFERROR(IF($B7167=R$1, ($A7167+$C7167) - MAX(IF($B$2:$B7166=$B7167, $A$2:$A7166+$C$2:$C7166)), "")*24*60, "")</f>
        <v/>
      </c>
      <c r="S7167" s="24" t="str" cm="1">
        <f t="array" ref="S7167">IFERROR(IF($B7167=S$1, ($A7167+$C7167) - MAX(IF($B$2:$B7166=$B7167, $A$2:$A7166+$C$2:$C7166)), "")*24*60, "")</f>
        <v/>
      </c>
    </row>
    <row r="7168" spans="1:19" x14ac:dyDescent="0.2">
      <c r="A7168" s="12">
        <f t="shared" ref="A7168:C7168" si="1504">A7167</f>
        <v>46003</v>
      </c>
      <c r="B7168" s="5" t="str">
        <f t="shared" si="1504"/>
        <v>Tufted Titmouse</v>
      </c>
      <c r="C7168" s="6">
        <f t="shared" si="1504"/>
        <v>0.47430555555555554</v>
      </c>
      <c r="D7168" s="5"/>
      <c r="E7168" s="5"/>
      <c r="F7168" s="5" t="s">
        <v>22</v>
      </c>
      <c r="G7168" s="15" t="s">
        <v>22</v>
      </c>
      <c r="H7168" s="24">
        <f t="shared" si="1464"/>
        <v>0</v>
      </c>
      <c r="I7168" s="24" t="str" cm="1">
        <f t="array" ref="I7168">IFERROR(IF($B7168=I$1, ($A7168+$C7168) - MAX(IF($B$2:$B7167=$B7168, $A$2:$A7167+$C$2:$C7167)), "")*24*60, "")</f>
        <v/>
      </c>
      <c r="J7168" s="24" cm="1">
        <f t="array" ref="J7168">IFERROR(IF($B7168=J$1, ($A7168+$C7168) - MAX(IF($B$2:$B7167=$B7168, $A$2:$A7167+$C$2:$C7167)), "")*24*60, "")</f>
        <v>0</v>
      </c>
      <c r="K7168" s="24" t="str" cm="1">
        <f t="array" ref="K7168">IFERROR(IF($B7168=K$1, ($A7168+$C7168) - MAX(IF($B$2:$B7167=$B7168, $A$2:$A7167+$C$2:$C7167)), "")*24*60, "")</f>
        <v/>
      </c>
      <c r="L7168" s="24" t="str" cm="1">
        <f t="array" ref="L7168">IFERROR(IF($B7168=L$1, ($A7168+$C7168) - MAX(IF($B$2:$B7167=$B7168, $A$2:$A7167+$C$2:$C7167)), "")*24*60, "")</f>
        <v/>
      </c>
      <c r="M7168" s="24" t="str" cm="1">
        <f t="array" ref="M7168">IFERROR(IF($B7168=M$1, ($A7168+$C7168) - MAX(IF($B$2:$B7167=$B7168, $A$2:$A7167+$C$2:$C7167)), "")*24*60, "")</f>
        <v/>
      </c>
      <c r="N7168" s="24" t="str" cm="1">
        <f t="array" ref="N7168">IFERROR(IF($B7168=N$1, ($A7168+$C7168) - MAX(IF($B$2:$B7167=$B7168, $A$2:$A7167+$C$2:$C7167)), "")*24*60, "")</f>
        <v/>
      </c>
      <c r="O7168" s="24" t="str" cm="1">
        <f t="array" ref="O7168">IFERROR(IF($B7168=O$1, ($A7168+$C7168) - MAX(IF($B$2:$B7167=$B7168, $A$2:$A7167+$C$2:$C7167)), "")*24*60, "")</f>
        <v/>
      </c>
      <c r="P7168" s="24" t="str" cm="1">
        <f t="array" ref="P7168">IFERROR(IF($B7168=P$1, ($A7168+$C7168) - MAX(IF($B$2:$B7167=$B7168, $A$2:$A7167+$C$2:$C7167)), "")*24*60, "")</f>
        <v/>
      </c>
      <c r="Q7168" s="24" t="str" cm="1">
        <f t="array" ref="Q7168">IFERROR(IF($B7168=Q$1, ($A7168+$C7168) - MAX(IF($B$2:$B7167=$B7168, $A$2:$A7167+$C$2:$C7167)), "")*24*60, "")</f>
        <v/>
      </c>
      <c r="R7168" s="24" t="str" cm="1">
        <f t="array" ref="R7168">IFERROR(IF($B7168=R$1, ($A7168+$C7168) - MAX(IF($B$2:$B7167=$B7168, $A$2:$A7167+$C$2:$C7167)), "")*24*60, "")</f>
        <v/>
      </c>
      <c r="S7168" s="24" t="str" cm="1">
        <f t="array" ref="S7168">IFERROR(IF($B7168=S$1, ($A7168+$C7168) - MAX(IF($B$2:$B7167=$B7168, $A$2:$A7167+$C$2:$C7167)), "")*24*60, "")</f>
        <v/>
      </c>
    </row>
    <row r="7169" spans="1:19" x14ac:dyDescent="0.2">
      <c r="A7169" s="12">
        <f t="shared" ref="A7169:C7169" si="1505">A7168</f>
        <v>46003</v>
      </c>
      <c r="B7169" s="5" t="str">
        <f t="shared" si="1505"/>
        <v>Tufted Titmouse</v>
      </c>
      <c r="C7169" s="6">
        <f t="shared" si="1505"/>
        <v>0.47430555555555554</v>
      </c>
      <c r="D7169" s="5"/>
      <c r="E7169" s="5"/>
      <c r="F7169" s="5" t="s">
        <v>22</v>
      </c>
      <c r="G7169" s="15" t="s">
        <v>22</v>
      </c>
      <c r="H7169" s="24">
        <f t="shared" si="1464"/>
        <v>0</v>
      </c>
      <c r="I7169" s="24" t="str" cm="1">
        <f t="array" ref="I7169">IFERROR(IF($B7169=I$1, ($A7169+$C7169) - MAX(IF($B$2:$B7168=$B7169, $A$2:$A7168+$C$2:$C7168)), "")*24*60, "")</f>
        <v/>
      </c>
      <c r="J7169" s="24" cm="1">
        <f t="array" ref="J7169">IFERROR(IF($B7169=J$1, ($A7169+$C7169) - MAX(IF($B$2:$B7168=$B7169, $A$2:$A7168+$C$2:$C7168)), "")*24*60, "")</f>
        <v>0</v>
      </c>
      <c r="K7169" s="24" t="str" cm="1">
        <f t="array" ref="K7169">IFERROR(IF($B7169=K$1, ($A7169+$C7169) - MAX(IF($B$2:$B7168=$B7169, $A$2:$A7168+$C$2:$C7168)), "")*24*60, "")</f>
        <v/>
      </c>
      <c r="L7169" s="24" t="str" cm="1">
        <f t="array" ref="L7169">IFERROR(IF($B7169=L$1, ($A7169+$C7169) - MAX(IF($B$2:$B7168=$B7169, $A$2:$A7168+$C$2:$C7168)), "")*24*60, "")</f>
        <v/>
      </c>
      <c r="M7169" s="24" t="str" cm="1">
        <f t="array" ref="M7169">IFERROR(IF($B7169=M$1, ($A7169+$C7169) - MAX(IF($B$2:$B7168=$B7169, $A$2:$A7168+$C$2:$C7168)), "")*24*60, "")</f>
        <v/>
      </c>
      <c r="N7169" s="24" t="str" cm="1">
        <f t="array" ref="N7169">IFERROR(IF($B7169=N$1, ($A7169+$C7169) - MAX(IF($B$2:$B7168=$B7169, $A$2:$A7168+$C$2:$C7168)), "")*24*60, "")</f>
        <v/>
      </c>
      <c r="O7169" s="24" t="str" cm="1">
        <f t="array" ref="O7169">IFERROR(IF($B7169=O$1, ($A7169+$C7169) - MAX(IF($B$2:$B7168=$B7169, $A$2:$A7168+$C$2:$C7168)), "")*24*60, "")</f>
        <v/>
      </c>
      <c r="P7169" s="24" t="str" cm="1">
        <f t="array" ref="P7169">IFERROR(IF($B7169=P$1, ($A7169+$C7169) - MAX(IF($B$2:$B7168=$B7169, $A$2:$A7168+$C$2:$C7168)), "")*24*60, "")</f>
        <v/>
      </c>
      <c r="Q7169" s="24" t="str" cm="1">
        <f t="array" ref="Q7169">IFERROR(IF($B7169=Q$1, ($A7169+$C7169) - MAX(IF($B$2:$B7168=$B7169, $A$2:$A7168+$C$2:$C7168)), "")*24*60, "")</f>
        <v/>
      </c>
      <c r="R7169" s="24" t="str" cm="1">
        <f t="array" ref="R7169">IFERROR(IF($B7169=R$1, ($A7169+$C7169) - MAX(IF($B$2:$B7168=$B7169, $A$2:$A7168+$C$2:$C7168)), "")*24*60, "")</f>
        <v/>
      </c>
      <c r="S7169" s="24" t="str" cm="1">
        <f t="array" ref="S7169">IFERROR(IF($B7169=S$1, ($A7169+$C7169) - MAX(IF($B$2:$B7168=$B7169, $A$2:$A7168+$C$2:$C7168)), "")*24*60, "")</f>
        <v/>
      </c>
    </row>
    <row r="7170" spans="1:19" x14ac:dyDescent="0.2">
      <c r="A7170" s="12">
        <f t="shared" ref="A7170:C7170" si="1506">A7169</f>
        <v>46003</v>
      </c>
      <c r="B7170" s="5" t="str">
        <f t="shared" si="1506"/>
        <v>Tufted Titmouse</v>
      </c>
      <c r="C7170" s="6">
        <f t="shared" si="1506"/>
        <v>0.47430555555555554</v>
      </c>
      <c r="D7170" s="5"/>
      <c r="E7170" s="5"/>
      <c r="F7170" s="5" t="s">
        <v>22</v>
      </c>
      <c r="G7170" s="15" t="s">
        <v>22</v>
      </c>
      <c r="H7170" s="24">
        <f t="shared" si="1464"/>
        <v>0</v>
      </c>
      <c r="I7170" s="24" t="str" cm="1">
        <f t="array" ref="I7170">IFERROR(IF($B7170=I$1, ($A7170+$C7170) - MAX(IF($B$2:$B7169=$B7170, $A$2:$A7169+$C$2:$C7169)), "")*24*60, "")</f>
        <v/>
      </c>
      <c r="J7170" s="24" cm="1">
        <f t="array" ref="J7170">IFERROR(IF($B7170=J$1, ($A7170+$C7170) - MAX(IF($B$2:$B7169=$B7170, $A$2:$A7169+$C$2:$C7169)), "")*24*60, "")</f>
        <v>0</v>
      </c>
      <c r="K7170" s="24" t="str" cm="1">
        <f t="array" ref="K7170">IFERROR(IF($B7170=K$1, ($A7170+$C7170) - MAX(IF($B$2:$B7169=$B7170, $A$2:$A7169+$C$2:$C7169)), "")*24*60, "")</f>
        <v/>
      </c>
      <c r="L7170" s="24" t="str" cm="1">
        <f t="array" ref="L7170">IFERROR(IF($B7170=L$1, ($A7170+$C7170) - MAX(IF($B$2:$B7169=$B7170, $A$2:$A7169+$C$2:$C7169)), "")*24*60, "")</f>
        <v/>
      </c>
      <c r="M7170" s="24" t="str" cm="1">
        <f t="array" ref="M7170">IFERROR(IF($B7170=M$1, ($A7170+$C7170) - MAX(IF($B$2:$B7169=$B7170, $A$2:$A7169+$C$2:$C7169)), "")*24*60, "")</f>
        <v/>
      </c>
      <c r="N7170" s="24" t="str" cm="1">
        <f t="array" ref="N7170">IFERROR(IF($B7170=N$1, ($A7170+$C7170) - MAX(IF($B$2:$B7169=$B7170, $A$2:$A7169+$C$2:$C7169)), "")*24*60, "")</f>
        <v/>
      </c>
      <c r="O7170" s="24" t="str" cm="1">
        <f t="array" ref="O7170">IFERROR(IF($B7170=O$1, ($A7170+$C7170) - MAX(IF($B$2:$B7169=$B7170, $A$2:$A7169+$C$2:$C7169)), "")*24*60, "")</f>
        <v/>
      </c>
      <c r="P7170" s="24" t="str" cm="1">
        <f t="array" ref="P7170">IFERROR(IF($B7170=P$1, ($A7170+$C7170) - MAX(IF($B$2:$B7169=$B7170, $A$2:$A7169+$C$2:$C7169)), "")*24*60, "")</f>
        <v/>
      </c>
      <c r="Q7170" s="24" t="str" cm="1">
        <f t="array" ref="Q7170">IFERROR(IF($B7170=Q$1, ($A7170+$C7170) - MAX(IF($B$2:$B7169=$B7170, $A$2:$A7169+$C$2:$C7169)), "")*24*60, "")</f>
        <v/>
      </c>
      <c r="R7170" s="24" t="str" cm="1">
        <f t="array" ref="R7170">IFERROR(IF($B7170=R$1, ($A7170+$C7170) - MAX(IF($B$2:$B7169=$B7170, $A$2:$A7169+$C$2:$C7169)), "")*24*60, "")</f>
        <v/>
      </c>
      <c r="S7170" s="24" t="str" cm="1">
        <f t="array" ref="S7170">IFERROR(IF($B7170=S$1, ($A7170+$C7170) - MAX(IF($B$2:$B7169=$B7170, $A$2:$A7169+$C$2:$C7169)), "")*24*60, "")</f>
        <v/>
      </c>
    </row>
    <row r="7171" spans="1:19" x14ac:dyDescent="0.2">
      <c r="A7171" s="12">
        <f t="shared" ref="A7171:C7171" si="1507">A7170</f>
        <v>46003</v>
      </c>
      <c r="B7171" s="5" t="str">
        <f t="shared" si="1507"/>
        <v>Tufted Titmouse</v>
      </c>
      <c r="C7171" s="6">
        <f t="shared" si="1507"/>
        <v>0.47430555555555554</v>
      </c>
      <c r="D7171" s="5"/>
      <c r="E7171" s="5"/>
      <c r="F7171" s="5" t="s">
        <v>22</v>
      </c>
      <c r="G7171" s="15" t="s">
        <v>22</v>
      </c>
      <c r="H7171" s="24">
        <f t="shared" si="1464"/>
        <v>0</v>
      </c>
      <c r="I7171" s="24" t="str" cm="1">
        <f t="array" ref="I7171">IFERROR(IF($B7171=I$1, ($A7171+$C7171) - MAX(IF($B$2:$B7170=$B7171, $A$2:$A7170+$C$2:$C7170)), "")*24*60, "")</f>
        <v/>
      </c>
      <c r="J7171" s="24" cm="1">
        <f t="array" ref="J7171">IFERROR(IF($B7171=J$1, ($A7171+$C7171) - MAX(IF($B$2:$B7170=$B7171, $A$2:$A7170+$C$2:$C7170)), "")*24*60, "")</f>
        <v>0</v>
      </c>
      <c r="K7171" s="24" t="str" cm="1">
        <f t="array" ref="K7171">IFERROR(IF($B7171=K$1, ($A7171+$C7171) - MAX(IF($B$2:$B7170=$B7171, $A$2:$A7170+$C$2:$C7170)), "")*24*60, "")</f>
        <v/>
      </c>
      <c r="L7171" s="24" t="str" cm="1">
        <f t="array" ref="L7171">IFERROR(IF($B7171=L$1, ($A7171+$C7171) - MAX(IF($B$2:$B7170=$B7171, $A$2:$A7170+$C$2:$C7170)), "")*24*60, "")</f>
        <v/>
      </c>
      <c r="M7171" s="24" t="str" cm="1">
        <f t="array" ref="M7171">IFERROR(IF($B7171=M$1, ($A7171+$C7171) - MAX(IF($B$2:$B7170=$B7171, $A$2:$A7170+$C$2:$C7170)), "")*24*60, "")</f>
        <v/>
      </c>
      <c r="N7171" s="24" t="str" cm="1">
        <f t="array" ref="N7171">IFERROR(IF($B7171=N$1, ($A7171+$C7171) - MAX(IF($B$2:$B7170=$B7171, $A$2:$A7170+$C$2:$C7170)), "")*24*60, "")</f>
        <v/>
      </c>
      <c r="O7171" s="24" t="str" cm="1">
        <f t="array" ref="O7171">IFERROR(IF($B7171=O$1, ($A7171+$C7171) - MAX(IF($B$2:$B7170=$B7171, $A$2:$A7170+$C$2:$C7170)), "")*24*60, "")</f>
        <v/>
      </c>
      <c r="P7171" s="24" t="str" cm="1">
        <f t="array" ref="P7171">IFERROR(IF($B7171=P$1, ($A7171+$C7171) - MAX(IF($B$2:$B7170=$B7171, $A$2:$A7170+$C$2:$C7170)), "")*24*60, "")</f>
        <v/>
      </c>
      <c r="Q7171" s="24" t="str" cm="1">
        <f t="array" ref="Q7171">IFERROR(IF($B7171=Q$1, ($A7171+$C7171) - MAX(IF($B$2:$B7170=$B7171, $A$2:$A7170+$C$2:$C7170)), "")*24*60, "")</f>
        <v/>
      </c>
      <c r="R7171" s="24" t="str" cm="1">
        <f t="array" ref="R7171">IFERROR(IF($B7171=R$1, ($A7171+$C7171) - MAX(IF($B$2:$B7170=$B7171, $A$2:$A7170+$C$2:$C7170)), "")*24*60, "")</f>
        <v/>
      </c>
      <c r="S7171" s="24" t="str" cm="1">
        <f t="array" ref="S7171">IFERROR(IF($B7171=S$1, ($A7171+$C7171) - MAX(IF($B$2:$B7170=$B7171, $A$2:$A7170+$C$2:$C7170)), "")*24*60, "")</f>
        <v/>
      </c>
    </row>
    <row r="7172" spans="1:19" x14ac:dyDescent="0.2">
      <c r="A7172" s="12">
        <f t="shared" ref="A7172:C7172" si="1508">A7171</f>
        <v>46003</v>
      </c>
      <c r="B7172" s="5" t="str">
        <f t="shared" si="1508"/>
        <v>Tufted Titmouse</v>
      </c>
      <c r="C7172" s="6">
        <f t="shared" si="1508"/>
        <v>0.47430555555555554</v>
      </c>
      <c r="D7172" s="5"/>
      <c r="E7172" s="5"/>
      <c r="F7172" s="5" t="s">
        <v>22</v>
      </c>
      <c r="G7172" s="15" t="s">
        <v>22</v>
      </c>
      <c r="H7172" s="24">
        <f t="shared" si="1464"/>
        <v>0</v>
      </c>
      <c r="I7172" s="24" t="str" cm="1">
        <f t="array" ref="I7172">IFERROR(IF($B7172=I$1, ($A7172+$C7172) - MAX(IF($B$2:$B7171=$B7172, $A$2:$A7171+$C$2:$C7171)), "")*24*60, "")</f>
        <v/>
      </c>
      <c r="J7172" s="24" cm="1">
        <f t="array" ref="J7172">IFERROR(IF($B7172=J$1, ($A7172+$C7172) - MAX(IF($B$2:$B7171=$B7172, $A$2:$A7171+$C$2:$C7171)), "")*24*60, "")</f>
        <v>0</v>
      </c>
      <c r="K7172" s="24" t="str" cm="1">
        <f t="array" ref="K7172">IFERROR(IF($B7172=K$1, ($A7172+$C7172) - MAX(IF($B$2:$B7171=$B7172, $A$2:$A7171+$C$2:$C7171)), "")*24*60, "")</f>
        <v/>
      </c>
      <c r="L7172" s="24" t="str" cm="1">
        <f t="array" ref="L7172">IFERROR(IF($B7172=L$1, ($A7172+$C7172) - MAX(IF($B$2:$B7171=$B7172, $A$2:$A7171+$C$2:$C7171)), "")*24*60, "")</f>
        <v/>
      </c>
      <c r="M7172" s="24" t="str" cm="1">
        <f t="array" ref="M7172">IFERROR(IF($B7172=M$1, ($A7172+$C7172) - MAX(IF($B$2:$B7171=$B7172, $A$2:$A7171+$C$2:$C7171)), "")*24*60, "")</f>
        <v/>
      </c>
      <c r="N7172" s="24" t="str" cm="1">
        <f t="array" ref="N7172">IFERROR(IF($B7172=N$1, ($A7172+$C7172) - MAX(IF($B$2:$B7171=$B7172, $A$2:$A7171+$C$2:$C7171)), "")*24*60, "")</f>
        <v/>
      </c>
      <c r="O7172" s="24" t="str" cm="1">
        <f t="array" ref="O7172">IFERROR(IF($B7172=O$1, ($A7172+$C7172) - MAX(IF($B$2:$B7171=$B7172, $A$2:$A7171+$C$2:$C7171)), "")*24*60, "")</f>
        <v/>
      </c>
      <c r="P7172" s="24" t="str" cm="1">
        <f t="array" ref="P7172">IFERROR(IF($B7172=P$1, ($A7172+$C7172) - MAX(IF($B$2:$B7171=$B7172, $A$2:$A7171+$C$2:$C7171)), "")*24*60, "")</f>
        <v/>
      </c>
      <c r="Q7172" s="24" t="str" cm="1">
        <f t="array" ref="Q7172">IFERROR(IF($B7172=Q$1, ($A7172+$C7172) - MAX(IF($B$2:$B7171=$B7172, $A$2:$A7171+$C$2:$C7171)), "")*24*60, "")</f>
        <v/>
      </c>
      <c r="R7172" s="24" t="str" cm="1">
        <f t="array" ref="R7172">IFERROR(IF($B7172=R$1, ($A7172+$C7172) - MAX(IF($B$2:$B7171=$B7172, $A$2:$A7171+$C$2:$C7171)), "")*24*60, "")</f>
        <v/>
      </c>
      <c r="S7172" s="24" t="str" cm="1">
        <f t="array" ref="S7172">IFERROR(IF($B7172=S$1, ($A7172+$C7172) - MAX(IF($B$2:$B7171=$B7172, $A$2:$A7171+$C$2:$C7171)), "")*24*60, "")</f>
        <v/>
      </c>
    </row>
    <row r="7173" spans="1:19" x14ac:dyDescent="0.2">
      <c r="A7173" s="12">
        <f t="shared" ref="A7173:C7173" si="1509">A7172</f>
        <v>46003</v>
      </c>
      <c r="B7173" s="5" t="str">
        <f t="shared" si="1509"/>
        <v>Tufted Titmouse</v>
      </c>
      <c r="C7173" s="6">
        <f t="shared" si="1509"/>
        <v>0.47430555555555554</v>
      </c>
      <c r="D7173" s="5"/>
      <c r="E7173" s="5"/>
      <c r="F7173" s="5" t="s">
        <v>22</v>
      </c>
      <c r="G7173" s="15" t="s">
        <v>22</v>
      </c>
      <c r="H7173" s="24">
        <f t="shared" si="1464"/>
        <v>0</v>
      </c>
      <c r="I7173" s="24" t="str" cm="1">
        <f t="array" ref="I7173">IFERROR(IF($B7173=I$1, ($A7173+$C7173) - MAX(IF($B$2:$B7172=$B7173, $A$2:$A7172+$C$2:$C7172)), "")*24*60, "")</f>
        <v/>
      </c>
      <c r="J7173" s="24" cm="1">
        <f t="array" ref="J7173">IFERROR(IF($B7173=J$1, ($A7173+$C7173) - MAX(IF($B$2:$B7172=$B7173, $A$2:$A7172+$C$2:$C7172)), "")*24*60, "")</f>
        <v>0</v>
      </c>
      <c r="K7173" s="24" t="str" cm="1">
        <f t="array" ref="K7173">IFERROR(IF($B7173=K$1, ($A7173+$C7173) - MAX(IF($B$2:$B7172=$B7173, $A$2:$A7172+$C$2:$C7172)), "")*24*60, "")</f>
        <v/>
      </c>
      <c r="L7173" s="24" t="str" cm="1">
        <f t="array" ref="L7173">IFERROR(IF($B7173=L$1, ($A7173+$C7173) - MAX(IF($B$2:$B7172=$B7173, $A$2:$A7172+$C$2:$C7172)), "")*24*60, "")</f>
        <v/>
      </c>
      <c r="M7173" s="24" t="str" cm="1">
        <f t="array" ref="M7173">IFERROR(IF($B7173=M$1, ($A7173+$C7173) - MAX(IF($B$2:$B7172=$B7173, $A$2:$A7172+$C$2:$C7172)), "")*24*60, "")</f>
        <v/>
      </c>
      <c r="N7173" s="24" t="str" cm="1">
        <f t="array" ref="N7173">IFERROR(IF($B7173=N$1, ($A7173+$C7173) - MAX(IF($B$2:$B7172=$B7173, $A$2:$A7172+$C$2:$C7172)), "")*24*60, "")</f>
        <v/>
      </c>
      <c r="O7173" s="24" t="str" cm="1">
        <f t="array" ref="O7173">IFERROR(IF($B7173=O$1, ($A7173+$C7173) - MAX(IF($B$2:$B7172=$B7173, $A$2:$A7172+$C$2:$C7172)), "")*24*60, "")</f>
        <v/>
      </c>
      <c r="P7173" s="24" t="str" cm="1">
        <f t="array" ref="P7173">IFERROR(IF($B7173=P$1, ($A7173+$C7173) - MAX(IF($B$2:$B7172=$B7173, $A$2:$A7172+$C$2:$C7172)), "")*24*60, "")</f>
        <v/>
      </c>
      <c r="Q7173" s="24" t="str" cm="1">
        <f t="array" ref="Q7173">IFERROR(IF($B7173=Q$1, ($A7173+$C7173) - MAX(IF($B$2:$B7172=$B7173, $A$2:$A7172+$C$2:$C7172)), "")*24*60, "")</f>
        <v/>
      </c>
      <c r="R7173" s="24" t="str" cm="1">
        <f t="array" ref="R7173">IFERROR(IF($B7173=R$1, ($A7173+$C7173) - MAX(IF($B$2:$B7172=$B7173, $A$2:$A7172+$C$2:$C7172)), "")*24*60, "")</f>
        <v/>
      </c>
      <c r="S7173" s="24" t="str" cm="1">
        <f t="array" ref="S7173">IFERROR(IF($B7173=S$1, ($A7173+$C7173) - MAX(IF($B$2:$B7172=$B7173, $A$2:$A7172+$C$2:$C7172)), "")*24*60, "")</f>
        <v/>
      </c>
    </row>
    <row r="7174" spans="1:19" x14ac:dyDescent="0.2">
      <c r="A7174" s="12">
        <f t="shared" ref="A7174:C7174" si="1510">A7173</f>
        <v>46003</v>
      </c>
      <c r="B7174" s="5" t="str">
        <f t="shared" si="1510"/>
        <v>Tufted Titmouse</v>
      </c>
      <c r="C7174" s="6">
        <f t="shared" si="1510"/>
        <v>0.47430555555555554</v>
      </c>
      <c r="D7174" s="5"/>
      <c r="E7174" s="5"/>
      <c r="F7174" s="5" t="s">
        <v>22</v>
      </c>
      <c r="G7174" s="15" t="s">
        <v>22</v>
      </c>
      <c r="H7174" s="24">
        <f t="shared" si="1464"/>
        <v>0</v>
      </c>
      <c r="I7174" s="24" t="str" cm="1">
        <f t="array" ref="I7174">IFERROR(IF($B7174=I$1, ($A7174+$C7174) - MAX(IF($B$2:$B7173=$B7174, $A$2:$A7173+$C$2:$C7173)), "")*24*60, "")</f>
        <v/>
      </c>
      <c r="J7174" s="24" cm="1">
        <f t="array" ref="J7174">IFERROR(IF($B7174=J$1, ($A7174+$C7174) - MAX(IF($B$2:$B7173=$B7174, $A$2:$A7173+$C$2:$C7173)), "")*24*60, "")</f>
        <v>0</v>
      </c>
      <c r="K7174" s="24" t="str" cm="1">
        <f t="array" ref="K7174">IFERROR(IF($B7174=K$1, ($A7174+$C7174) - MAX(IF($B$2:$B7173=$B7174, $A$2:$A7173+$C$2:$C7173)), "")*24*60, "")</f>
        <v/>
      </c>
      <c r="L7174" s="24" t="str" cm="1">
        <f t="array" ref="L7174">IFERROR(IF($B7174=L$1, ($A7174+$C7174) - MAX(IF($B$2:$B7173=$B7174, $A$2:$A7173+$C$2:$C7173)), "")*24*60, "")</f>
        <v/>
      </c>
      <c r="M7174" s="24" t="str" cm="1">
        <f t="array" ref="M7174">IFERROR(IF($B7174=M$1, ($A7174+$C7174) - MAX(IF($B$2:$B7173=$B7174, $A$2:$A7173+$C$2:$C7173)), "")*24*60, "")</f>
        <v/>
      </c>
      <c r="N7174" s="24" t="str" cm="1">
        <f t="array" ref="N7174">IFERROR(IF($B7174=N$1, ($A7174+$C7174) - MAX(IF($B$2:$B7173=$B7174, $A$2:$A7173+$C$2:$C7173)), "")*24*60, "")</f>
        <v/>
      </c>
      <c r="O7174" s="24" t="str" cm="1">
        <f t="array" ref="O7174">IFERROR(IF($B7174=O$1, ($A7174+$C7174) - MAX(IF($B$2:$B7173=$B7174, $A$2:$A7173+$C$2:$C7173)), "")*24*60, "")</f>
        <v/>
      </c>
      <c r="P7174" s="24" t="str" cm="1">
        <f t="array" ref="P7174">IFERROR(IF($B7174=P$1, ($A7174+$C7174) - MAX(IF($B$2:$B7173=$B7174, $A$2:$A7173+$C$2:$C7173)), "")*24*60, "")</f>
        <v/>
      </c>
      <c r="Q7174" s="24" t="str" cm="1">
        <f t="array" ref="Q7174">IFERROR(IF($B7174=Q$1, ($A7174+$C7174) - MAX(IF($B$2:$B7173=$B7174, $A$2:$A7173+$C$2:$C7173)), "")*24*60, "")</f>
        <v/>
      </c>
      <c r="R7174" s="24" t="str" cm="1">
        <f t="array" ref="R7174">IFERROR(IF($B7174=R$1, ($A7174+$C7174) - MAX(IF($B$2:$B7173=$B7174, $A$2:$A7173+$C$2:$C7173)), "")*24*60, "")</f>
        <v/>
      </c>
      <c r="S7174" s="24" t="str" cm="1">
        <f t="array" ref="S7174">IFERROR(IF($B7174=S$1, ($A7174+$C7174) - MAX(IF($B$2:$B7173=$B7174, $A$2:$A7173+$C$2:$C7173)), "")*24*60, "")</f>
        <v/>
      </c>
    </row>
    <row r="7175" spans="1:19" x14ac:dyDescent="0.2">
      <c r="A7175" s="12">
        <f t="shared" ref="A7175:C7175" si="1511">A7174</f>
        <v>46003</v>
      </c>
      <c r="B7175" s="5" t="str">
        <f t="shared" si="1511"/>
        <v>Tufted Titmouse</v>
      </c>
      <c r="C7175" s="6">
        <f t="shared" si="1511"/>
        <v>0.47430555555555554</v>
      </c>
      <c r="D7175" s="5"/>
      <c r="E7175" s="5"/>
      <c r="F7175" s="5" t="s">
        <v>22</v>
      </c>
      <c r="G7175" s="15" t="s">
        <v>22</v>
      </c>
      <c r="H7175" s="24">
        <f t="shared" si="1464"/>
        <v>0</v>
      </c>
      <c r="I7175" s="24" t="str" cm="1">
        <f t="array" ref="I7175">IFERROR(IF($B7175=I$1, ($A7175+$C7175) - MAX(IF($B$2:$B7174=$B7175, $A$2:$A7174+$C$2:$C7174)), "")*24*60, "")</f>
        <v/>
      </c>
      <c r="J7175" s="24" cm="1">
        <f t="array" ref="J7175">IFERROR(IF($B7175=J$1, ($A7175+$C7175) - MAX(IF($B$2:$B7174=$B7175, $A$2:$A7174+$C$2:$C7174)), "")*24*60, "")</f>
        <v>0</v>
      </c>
      <c r="K7175" s="24" t="str" cm="1">
        <f t="array" ref="K7175">IFERROR(IF($B7175=K$1, ($A7175+$C7175) - MAX(IF($B$2:$B7174=$B7175, $A$2:$A7174+$C$2:$C7174)), "")*24*60, "")</f>
        <v/>
      </c>
      <c r="L7175" s="24" t="str" cm="1">
        <f t="array" ref="L7175">IFERROR(IF($B7175=L$1, ($A7175+$C7175) - MAX(IF($B$2:$B7174=$B7175, $A$2:$A7174+$C$2:$C7174)), "")*24*60, "")</f>
        <v/>
      </c>
      <c r="M7175" s="24" t="str" cm="1">
        <f t="array" ref="M7175">IFERROR(IF($B7175=M$1, ($A7175+$C7175) - MAX(IF($B$2:$B7174=$B7175, $A$2:$A7174+$C$2:$C7174)), "")*24*60, "")</f>
        <v/>
      </c>
      <c r="N7175" s="24" t="str" cm="1">
        <f t="array" ref="N7175">IFERROR(IF($B7175=N$1, ($A7175+$C7175) - MAX(IF($B$2:$B7174=$B7175, $A$2:$A7174+$C$2:$C7174)), "")*24*60, "")</f>
        <v/>
      </c>
      <c r="O7175" s="24" t="str" cm="1">
        <f t="array" ref="O7175">IFERROR(IF($B7175=O$1, ($A7175+$C7175) - MAX(IF($B$2:$B7174=$B7175, $A$2:$A7174+$C$2:$C7174)), "")*24*60, "")</f>
        <v/>
      </c>
      <c r="P7175" s="24" t="str" cm="1">
        <f t="array" ref="P7175">IFERROR(IF($B7175=P$1, ($A7175+$C7175) - MAX(IF($B$2:$B7174=$B7175, $A$2:$A7174+$C$2:$C7174)), "")*24*60, "")</f>
        <v/>
      </c>
      <c r="Q7175" s="24" t="str" cm="1">
        <f t="array" ref="Q7175">IFERROR(IF($B7175=Q$1, ($A7175+$C7175) - MAX(IF($B$2:$B7174=$B7175, $A$2:$A7174+$C$2:$C7174)), "")*24*60, "")</f>
        <v/>
      </c>
      <c r="R7175" s="24" t="str" cm="1">
        <f t="array" ref="R7175">IFERROR(IF($B7175=R$1, ($A7175+$C7175) - MAX(IF($B$2:$B7174=$B7175, $A$2:$A7174+$C$2:$C7174)), "")*24*60, "")</f>
        <v/>
      </c>
      <c r="S7175" s="24" t="str" cm="1">
        <f t="array" ref="S7175">IFERROR(IF($B7175=S$1, ($A7175+$C7175) - MAX(IF($B$2:$B7174=$B7175, $A$2:$A7174+$C$2:$C7174)), "")*24*60, "")</f>
        <v/>
      </c>
    </row>
    <row r="7176" spans="1:19" x14ac:dyDescent="0.2">
      <c r="A7176" s="12">
        <f t="shared" ref="A7176:C7176" si="1512">A7175</f>
        <v>46003</v>
      </c>
      <c r="B7176" s="5" t="str">
        <f t="shared" si="1512"/>
        <v>Tufted Titmouse</v>
      </c>
      <c r="C7176" s="6">
        <f t="shared" si="1512"/>
        <v>0.47430555555555554</v>
      </c>
      <c r="D7176" s="5"/>
      <c r="E7176" s="5"/>
      <c r="F7176" s="5" t="s">
        <v>22</v>
      </c>
      <c r="G7176" s="15" t="s">
        <v>22</v>
      </c>
      <c r="H7176" s="24">
        <f t="shared" si="1464"/>
        <v>0</v>
      </c>
      <c r="I7176" s="24" t="str" cm="1">
        <f t="array" ref="I7176">IFERROR(IF($B7176=I$1, ($A7176+$C7176) - MAX(IF($B$2:$B7175=$B7176, $A$2:$A7175+$C$2:$C7175)), "")*24*60, "")</f>
        <v/>
      </c>
      <c r="J7176" s="24" cm="1">
        <f t="array" ref="J7176">IFERROR(IF($B7176=J$1, ($A7176+$C7176) - MAX(IF($B$2:$B7175=$B7176, $A$2:$A7175+$C$2:$C7175)), "")*24*60, "")</f>
        <v>0</v>
      </c>
      <c r="K7176" s="24" t="str" cm="1">
        <f t="array" ref="K7176">IFERROR(IF($B7176=K$1, ($A7176+$C7176) - MAX(IF($B$2:$B7175=$B7176, $A$2:$A7175+$C$2:$C7175)), "")*24*60, "")</f>
        <v/>
      </c>
      <c r="L7176" s="24" t="str" cm="1">
        <f t="array" ref="L7176">IFERROR(IF($B7176=L$1, ($A7176+$C7176) - MAX(IF($B$2:$B7175=$B7176, $A$2:$A7175+$C$2:$C7175)), "")*24*60, "")</f>
        <v/>
      </c>
      <c r="M7176" s="24" t="str" cm="1">
        <f t="array" ref="M7176">IFERROR(IF($B7176=M$1, ($A7176+$C7176) - MAX(IF($B$2:$B7175=$B7176, $A$2:$A7175+$C$2:$C7175)), "")*24*60, "")</f>
        <v/>
      </c>
      <c r="N7176" s="24" t="str" cm="1">
        <f t="array" ref="N7176">IFERROR(IF($B7176=N$1, ($A7176+$C7176) - MAX(IF($B$2:$B7175=$B7176, $A$2:$A7175+$C$2:$C7175)), "")*24*60, "")</f>
        <v/>
      </c>
      <c r="O7176" s="24" t="str" cm="1">
        <f t="array" ref="O7176">IFERROR(IF($B7176=O$1, ($A7176+$C7176) - MAX(IF($B$2:$B7175=$B7176, $A$2:$A7175+$C$2:$C7175)), "")*24*60, "")</f>
        <v/>
      </c>
      <c r="P7176" s="24" t="str" cm="1">
        <f t="array" ref="P7176">IFERROR(IF($B7176=P$1, ($A7176+$C7176) - MAX(IF($B$2:$B7175=$B7176, $A$2:$A7175+$C$2:$C7175)), "")*24*60, "")</f>
        <v/>
      </c>
      <c r="Q7176" s="24" t="str" cm="1">
        <f t="array" ref="Q7176">IFERROR(IF($B7176=Q$1, ($A7176+$C7176) - MAX(IF($B$2:$B7175=$B7176, $A$2:$A7175+$C$2:$C7175)), "")*24*60, "")</f>
        <v/>
      </c>
      <c r="R7176" s="24" t="str" cm="1">
        <f t="array" ref="R7176">IFERROR(IF($B7176=R$1, ($A7176+$C7176) - MAX(IF($B$2:$B7175=$B7176, $A$2:$A7175+$C$2:$C7175)), "")*24*60, "")</f>
        <v/>
      </c>
      <c r="S7176" s="24" t="str" cm="1">
        <f t="array" ref="S7176">IFERROR(IF($B7176=S$1, ($A7176+$C7176) - MAX(IF($B$2:$B7175=$B7176, $A$2:$A7175+$C$2:$C7175)), "")*24*60, "")</f>
        <v/>
      </c>
    </row>
    <row r="7177" spans="1:19" x14ac:dyDescent="0.2">
      <c r="A7177" s="12">
        <f t="shared" ref="A7177:C7177" si="1513">A7176</f>
        <v>46003</v>
      </c>
      <c r="B7177" s="5" t="str">
        <f t="shared" si="1513"/>
        <v>Tufted Titmouse</v>
      </c>
      <c r="C7177" s="6">
        <f t="shared" si="1513"/>
        <v>0.47430555555555554</v>
      </c>
      <c r="D7177" s="5"/>
      <c r="E7177" s="5"/>
      <c r="F7177" s="5" t="s">
        <v>22</v>
      </c>
      <c r="G7177" s="15" t="s">
        <v>22</v>
      </c>
      <c r="H7177" s="24">
        <f t="shared" si="1464"/>
        <v>0</v>
      </c>
      <c r="I7177" s="24" t="str" cm="1">
        <f t="array" ref="I7177">IFERROR(IF($B7177=I$1, ($A7177+$C7177) - MAX(IF($B$2:$B7176=$B7177, $A$2:$A7176+$C$2:$C7176)), "")*24*60, "")</f>
        <v/>
      </c>
      <c r="J7177" s="24" cm="1">
        <f t="array" ref="J7177">IFERROR(IF($B7177=J$1, ($A7177+$C7177) - MAX(IF($B$2:$B7176=$B7177, $A$2:$A7176+$C$2:$C7176)), "")*24*60, "")</f>
        <v>0</v>
      </c>
      <c r="K7177" s="24" t="str" cm="1">
        <f t="array" ref="K7177">IFERROR(IF($B7177=K$1, ($A7177+$C7177) - MAX(IF($B$2:$B7176=$B7177, $A$2:$A7176+$C$2:$C7176)), "")*24*60, "")</f>
        <v/>
      </c>
      <c r="L7177" s="24" t="str" cm="1">
        <f t="array" ref="L7177">IFERROR(IF($B7177=L$1, ($A7177+$C7177) - MAX(IF($B$2:$B7176=$B7177, $A$2:$A7176+$C$2:$C7176)), "")*24*60, "")</f>
        <v/>
      </c>
      <c r="M7177" s="24" t="str" cm="1">
        <f t="array" ref="M7177">IFERROR(IF($B7177=M$1, ($A7177+$C7177) - MAX(IF($B$2:$B7176=$B7177, $A$2:$A7176+$C$2:$C7176)), "")*24*60, "")</f>
        <v/>
      </c>
      <c r="N7177" s="24" t="str" cm="1">
        <f t="array" ref="N7177">IFERROR(IF($B7177=N$1, ($A7177+$C7177) - MAX(IF($B$2:$B7176=$B7177, $A$2:$A7176+$C$2:$C7176)), "")*24*60, "")</f>
        <v/>
      </c>
      <c r="O7177" s="24" t="str" cm="1">
        <f t="array" ref="O7177">IFERROR(IF($B7177=O$1, ($A7177+$C7177) - MAX(IF($B$2:$B7176=$B7177, $A$2:$A7176+$C$2:$C7176)), "")*24*60, "")</f>
        <v/>
      </c>
      <c r="P7177" s="24" t="str" cm="1">
        <f t="array" ref="P7177">IFERROR(IF($B7177=P$1, ($A7177+$C7177) - MAX(IF($B$2:$B7176=$B7177, $A$2:$A7176+$C$2:$C7176)), "")*24*60, "")</f>
        <v/>
      </c>
      <c r="Q7177" s="24" t="str" cm="1">
        <f t="array" ref="Q7177">IFERROR(IF($B7177=Q$1, ($A7177+$C7177) - MAX(IF($B$2:$B7176=$B7177, $A$2:$A7176+$C$2:$C7176)), "")*24*60, "")</f>
        <v/>
      </c>
      <c r="R7177" s="24" t="str" cm="1">
        <f t="array" ref="R7177">IFERROR(IF($B7177=R$1, ($A7177+$C7177) - MAX(IF($B$2:$B7176=$B7177, $A$2:$A7176+$C$2:$C7176)), "")*24*60, "")</f>
        <v/>
      </c>
      <c r="S7177" s="24" t="str" cm="1">
        <f t="array" ref="S7177">IFERROR(IF($B7177=S$1, ($A7177+$C7177) - MAX(IF($B$2:$B7176=$B7177, $A$2:$A7176+$C$2:$C7176)), "")*24*60, "")</f>
        <v/>
      </c>
    </row>
    <row r="7178" spans="1:19" x14ac:dyDescent="0.2">
      <c r="A7178" s="12">
        <f t="shared" ref="A7178:C7178" si="1514">A7177</f>
        <v>46003</v>
      </c>
      <c r="B7178" s="5" t="str">
        <f t="shared" si="1514"/>
        <v>Tufted Titmouse</v>
      </c>
      <c r="C7178" s="6">
        <f t="shared" si="1514"/>
        <v>0.47430555555555554</v>
      </c>
      <c r="D7178" s="5"/>
      <c r="E7178" s="5"/>
      <c r="F7178" s="5" t="s">
        <v>22</v>
      </c>
      <c r="G7178" s="15" t="s">
        <v>22</v>
      </c>
      <c r="H7178" s="24">
        <f t="shared" si="1464"/>
        <v>0</v>
      </c>
      <c r="I7178" s="24" t="str" cm="1">
        <f t="array" ref="I7178">IFERROR(IF($B7178=I$1, ($A7178+$C7178) - MAX(IF($B$2:$B7177=$B7178, $A$2:$A7177+$C$2:$C7177)), "")*24*60, "")</f>
        <v/>
      </c>
      <c r="J7178" s="24" cm="1">
        <f t="array" ref="J7178">IFERROR(IF($B7178=J$1, ($A7178+$C7178) - MAX(IF($B$2:$B7177=$B7178, $A$2:$A7177+$C$2:$C7177)), "")*24*60, "")</f>
        <v>0</v>
      </c>
      <c r="K7178" s="24" t="str" cm="1">
        <f t="array" ref="K7178">IFERROR(IF($B7178=K$1, ($A7178+$C7178) - MAX(IF($B$2:$B7177=$B7178, $A$2:$A7177+$C$2:$C7177)), "")*24*60, "")</f>
        <v/>
      </c>
      <c r="L7178" s="24" t="str" cm="1">
        <f t="array" ref="L7178">IFERROR(IF($B7178=L$1, ($A7178+$C7178) - MAX(IF($B$2:$B7177=$B7178, $A$2:$A7177+$C$2:$C7177)), "")*24*60, "")</f>
        <v/>
      </c>
      <c r="M7178" s="24" t="str" cm="1">
        <f t="array" ref="M7178">IFERROR(IF($B7178=M$1, ($A7178+$C7178) - MAX(IF($B$2:$B7177=$B7178, $A$2:$A7177+$C$2:$C7177)), "")*24*60, "")</f>
        <v/>
      </c>
      <c r="N7178" s="24" t="str" cm="1">
        <f t="array" ref="N7178">IFERROR(IF($B7178=N$1, ($A7178+$C7178) - MAX(IF($B$2:$B7177=$B7178, $A$2:$A7177+$C$2:$C7177)), "")*24*60, "")</f>
        <v/>
      </c>
      <c r="O7178" s="24" t="str" cm="1">
        <f t="array" ref="O7178">IFERROR(IF($B7178=O$1, ($A7178+$C7178) - MAX(IF($B$2:$B7177=$B7178, $A$2:$A7177+$C$2:$C7177)), "")*24*60, "")</f>
        <v/>
      </c>
      <c r="P7178" s="24" t="str" cm="1">
        <f t="array" ref="P7178">IFERROR(IF($B7178=P$1, ($A7178+$C7178) - MAX(IF($B$2:$B7177=$B7178, $A$2:$A7177+$C$2:$C7177)), "")*24*60, "")</f>
        <v/>
      </c>
      <c r="Q7178" s="24" t="str" cm="1">
        <f t="array" ref="Q7178">IFERROR(IF($B7178=Q$1, ($A7178+$C7178) - MAX(IF($B$2:$B7177=$B7178, $A$2:$A7177+$C$2:$C7177)), "")*24*60, "")</f>
        <v/>
      </c>
      <c r="R7178" s="24" t="str" cm="1">
        <f t="array" ref="R7178">IFERROR(IF($B7178=R$1, ($A7178+$C7178) - MAX(IF($B$2:$B7177=$B7178, $A$2:$A7177+$C$2:$C7177)), "")*24*60, "")</f>
        <v/>
      </c>
      <c r="S7178" s="24" t="str" cm="1">
        <f t="array" ref="S7178">IFERROR(IF($B7178=S$1, ($A7178+$C7178) - MAX(IF($B$2:$B7177=$B7178, $A$2:$A7177+$C$2:$C7177)), "")*24*60, "")</f>
        <v/>
      </c>
    </row>
    <row r="7179" spans="1:19" x14ac:dyDescent="0.2">
      <c r="A7179" s="12">
        <f t="shared" ref="A7179:C7179" si="1515">A7178</f>
        <v>46003</v>
      </c>
      <c r="B7179" s="5" t="str">
        <f t="shared" si="1515"/>
        <v>Tufted Titmouse</v>
      </c>
      <c r="C7179" s="6">
        <f t="shared" si="1515"/>
        <v>0.47430555555555554</v>
      </c>
      <c r="D7179" s="5"/>
      <c r="E7179" s="5"/>
      <c r="F7179" s="5" t="s">
        <v>22</v>
      </c>
      <c r="G7179" s="15" t="s">
        <v>22</v>
      </c>
      <c r="H7179" s="24">
        <f t="shared" si="1464"/>
        <v>0</v>
      </c>
      <c r="I7179" s="24" t="str" cm="1">
        <f t="array" ref="I7179">IFERROR(IF($B7179=I$1, ($A7179+$C7179) - MAX(IF($B$2:$B7178=$B7179, $A$2:$A7178+$C$2:$C7178)), "")*24*60, "")</f>
        <v/>
      </c>
      <c r="J7179" s="24" cm="1">
        <f t="array" ref="J7179">IFERROR(IF($B7179=J$1, ($A7179+$C7179) - MAX(IF($B$2:$B7178=$B7179, $A$2:$A7178+$C$2:$C7178)), "")*24*60, "")</f>
        <v>0</v>
      </c>
      <c r="K7179" s="24" t="str" cm="1">
        <f t="array" ref="K7179">IFERROR(IF($B7179=K$1, ($A7179+$C7179) - MAX(IF($B$2:$B7178=$B7179, $A$2:$A7178+$C$2:$C7178)), "")*24*60, "")</f>
        <v/>
      </c>
      <c r="L7179" s="24" t="str" cm="1">
        <f t="array" ref="L7179">IFERROR(IF($B7179=L$1, ($A7179+$C7179) - MAX(IF($B$2:$B7178=$B7179, $A$2:$A7178+$C$2:$C7178)), "")*24*60, "")</f>
        <v/>
      </c>
      <c r="M7179" s="24" t="str" cm="1">
        <f t="array" ref="M7179">IFERROR(IF($B7179=M$1, ($A7179+$C7179) - MAX(IF($B$2:$B7178=$B7179, $A$2:$A7178+$C$2:$C7178)), "")*24*60, "")</f>
        <v/>
      </c>
      <c r="N7179" s="24" t="str" cm="1">
        <f t="array" ref="N7179">IFERROR(IF($B7179=N$1, ($A7179+$C7179) - MAX(IF($B$2:$B7178=$B7179, $A$2:$A7178+$C$2:$C7178)), "")*24*60, "")</f>
        <v/>
      </c>
      <c r="O7179" s="24" t="str" cm="1">
        <f t="array" ref="O7179">IFERROR(IF($B7179=O$1, ($A7179+$C7179) - MAX(IF($B$2:$B7178=$B7179, $A$2:$A7178+$C$2:$C7178)), "")*24*60, "")</f>
        <v/>
      </c>
      <c r="P7179" s="24" t="str" cm="1">
        <f t="array" ref="P7179">IFERROR(IF($B7179=P$1, ($A7179+$C7179) - MAX(IF($B$2:$B7178=$B7179, $A$2:$A7178+$C$2:$C7178)), "")*24*60, "")</f>
        <v/>
      </c>
      <c r="Q7179" s="24" t="str" cm="1">
        <f t="array" ref="Q7179">IFERROR(IF($B7179=Q$1, ($A7179+$C7179) - MAX(IF($B$2:$B7178=$B7179, $A$2:$A7178+$C$2:$C7178)), "")*24*60, "")</f>
        <v/>
      </c>
      <c r="R7179" s="24" t="str" cm="1">
        <f t="array" ref="R7179">IFERROR(IF($B7179=R$1, ($A7179+$C7179) - MAX(IF($B$2:$B7178=$B7179, $A$2:$A7178+$C$2:$C7178)), "")*24*60, "")</f>
        <v/>
      </c>
      <c r="S7179" s="24" t="str" cm="1">
        <f t="array" ref="S7179">IFERROR(IF($B7179=S$1, ($A7179+$C7179) - MAX(IF($B$2:$B7178=$B7179, $A$2:$A7178+$C$2:$C7178)), "")*24*60, "")</f>
        <v/>
      </c>
    </row>
    <row r="7180" spans="1:19" x14ac:dyDescent="0.2">
      <c r="A7180" s="12">
        <f t="shared" ref="A7180:C7180" si="1516">A7179</f>
        <v>46003</v>
      </c>
      <c r="B7180" s="5" t="str">
        <f t="shared" si="1516"/>
        <v>Tufted Titmouse</v>
      </c>
      <c r="C7180" s="6">
        <f t="shared" si="1516"/>
        <v>0.47430555555555554</v>
      </c>
      <c r="D7180" s="5"/>
      <c r="E7180" s="5"/>
      <c r="F7180" s="5" t="s">
        <v>22</v>
      </c>
      <c r="G7180" s="15" t="s">
        <v>22</v>
      </c>
      <c r="H7180" s="24">
        <f t="shared" si="1464"/>
        <v>0</v>
      </c>
      <c r="I7180" s="24" t="str" cm="1">
        <f t="array" ref="I7180">IFERROR(IF($B7180=I$1, ($A7180+$C7180) - MAX(IF($B$2:$B7179=$B7180, $A$2:$A7179+$C$2:$C7179)), "")*24*60, "")</f>
        <v/>
      </c>
      <c r="J7180" s="24" cm="1">
        <f t="array" ref="J7180">IFERROR(IF($B7180=J$1, ($A7180+$C7180) - MAX(IF($B$2:$B7179=$B7180, $A$2:$A7179+$C$2:$C7179)), "")*24*60, "")</f>
        <v>0</v>
      </c>
      <c r="K7180" s="24" t="str" cm="1">
        <f t="array" ref="K7180">IFERROR(IF($B7180=K$1, ($A7180+$C7180) - MAX(IF($B$2:$B7179=$B7180, $A$2:$A7179+$C$2:$C7179)), "")*24*60, "")</f>
        <v/>
      </c>
      <c r="L7180" s="24" t="str" cm="1">
        <f t="array" ref="L7180">IFERROR(IF($B7180=L$1, ($A7180+$C7180) - MAX(IF($B$2:$B7179=$B7180, $A$2:$A7179+$C$2:$C7179)), "")*24*60, "")</f>
        <v/>
      </c>
      <c r="M7180" s="24" t="str" cm="1">
        <f t="array" ref="M7180">IFERROR(IF($B7180=M$1, ($A7180+$C7180) - MAX(IF($B$2:$B7179=$B7180, $A$2:$A7179+$C$2:$C7179)), "")*24*60, "")</f>
        <v/>
      </c>
      <c r="N7180" s="24" t="str" cm="1">
        <f t="array" ref="N7180">IFERROR(IF($B7180=N$1, ($A7180+$C7180) - MAX(IF($B$2:$B7179=$B7180, $A$2:$A7179+$C$2:$C7179)), "")*24*60, "")</f>
        <v/>
      </c>
      <c r="O7180" s="24" t="str" cm="1">
        <f t="array" ref="O7180">IFERROR(IF($B7180=O$1, ($A7180+$C7180) - MAX(IF($B$2:$B7179=$B7180, $A$2:$A7179+$C$2:$C7179)), "")*24*60, "")</f>
        <v/>
      </c>
      <c r="P7180" s="24" t="str" cm="1">
        <f t="array" ref="P7180">IFERROR(IF($B7180=P$1, ($A7180+$C7180) - MAX(IF($B$2:$B7179=$B7180, $A$2:$A7179+$C$2:$C7179)), "")*24*60, "")</f>
        <v/>
      </c>
      <c r="Q7180" s="24" t="str" cm="1">
        <f t="array" ref="Q7180">IFERROR(IF($B7180=Q$1, ($A7180+$C7180) - MAX(IF($B$2:$B7179=$B7180, $A$2:$A7179+$C$2:$C7179)), "")*24*60, "")</f>
        <v/>
      </c>
      <c r="R7180" s="24" t="str" cm="1">
        <f t="array" ref="R7180">IFERROR(IF($B7180=R$1, ($A7180+$C7180) - MAX(IF($B$2:$B7179=$B7180, $A$2:$A7179+$C$2:$C7179)), "")*24*60, "")</f>
        <v/>
      </c>
      <c r="S7180" s="24" t="str" cm="1">
        <f t="array" ref="S7180">IFERROR(IF($B7180=S$1, ($A7180+$C7180) - MAX(IF($B$2:$B7179=$B7180, $A$2:$A7179+$C$2:$C7179)), "")*24*60, "")</f>
        <v/>
      </c>
    </row>
    <row r="7181" spans="1:19" x14ac:dyDescent="0.2">
      <c r="A7181" s="12">
        <f t="shared" ref="A7181:C7181" si="1517">A7180</f>
        <v>46003</v>
      </c>
      <c r="B7181" s="5" t="str">
        <f t="shared" si="1517"/>
        <v>Tufted Titmouse</v>
      </c>
      <c r="C7181" s="6">
        <f t="shared" si="1517"/>
        <v>0.47430555555555554</v>
      </c>
      <c r="D7181" s="5"/>
      <c r="E7181" s="5"/>
      <c r="F7181" s="5" t="s">
        <v>22</v>
      </c>
      <c r="G7181" s="15" t="s">
        <v>22</v>
      </c>
      <c r="H7181" s="24">
        <f t="shared" si="1464"/>
        <v>0</v>
      </c>
      <c r="I7181" s="24" t="str" cm="1">
        <f t="array" ref="I7181">IFERROR(IF($B7181=I$1, ($A7181+$C7181) - MAX(IF($B$2:$B7180=$B7181, $A$2:$A7180+$C$2:$C7180)), "")*24*60, "")</f>
        <v/>
      </c>
      <c r="J7181" s="24" cm="1">
        <f t="array" ref="J7181">IFERROR(IF($B7181=J$1, ($A7181+$C7181) - MAX(IF($B$2:$B7180=$B7181, $A$2:$A7180+$C$2:$C7180)), "")*24*60, "")</f>
        <v>0</v>
      </c>
      <c r="K7181" s="24" t="str" cm="1">
        <f t="array" ref="K7181">IFERROR(IF($B7181=K$1, ($A7181+$C7181) - MAX(IF($B$2:$B7180=$B7181, $A$2:$A7180+$C$2:$C7180)), "")*24*60, "")</f>
        <v/>
      </c>
      <c r="L7181" s="24" t="str" cm="1">
        <f t="array" ref="L7181">IFERROR(IF($B7181=L$1, ($A7181+$C7181) - MAX(IF($B$2:$B7180=$B7181, $A$2:$A7180+$C$2:$C7180)), "")*24*60, "")</f>
        <v/>
      </c>
      <c r="M7181" s="24" t="str" cm="1">
        <f t="array" ref="M7181">IFERROR(IF($B7181=M$1, ($A7181+$C7181) - MAX(IF($B$2:$B7180=$B7181, $A$2:$A7180+$C$2:$C7180)), "")*24*60, "")</f>
        <v/>
      </c>
      <c r="N7181" s="24" t="str" cm="1">
        <f t="array" ref="N7181">IFERROR(IF($B7181=N$1, ($A7181+$C7181) - MAX(IF($B$2:$B7180=$B7181, $A$2:$A7180+$C$2:$C7180)), "")*24*60, "")</f>
        <v/>
      </c>
      <c r="O7181" s="24" t="str" cm="1">
        <f t="array" ref="O7181">IFERROR(IF($B7181=O$1, ($A7181+$C7181) - MAX(IF($B$2:$B7180=$B7181, $A$2:$A7180+$C$2:$C7180)), "")*24*60, "")</f>
        <v/>
      </c>
      <c r="P7181" s="24" t="str" cm="1">
        <f t="array" ref="P7181">IFERROR(IF($B7181=P$1, ($A7181+$C7181) - MAX(IF($B$2:$B7180=$B7181, $A$2:$A7180+$C$2:$C7180)), "")*24*60, "")</f>
        <v/>
      </c>
      <c r="Q7181" s="24" t="str" cm="1">
        <f t="array" ref="Q7181">IFERROR(IF($B7181=Q$1, ($A7181+$C7181) - MAX(IF($B$2:$B7180=$B7181, $A$2:$A7180+$C$2:$C7180)), "")*24*60, "")</f>
        <v/>
      </c>
      <c r="R7181" s="24" t="str" cm="1">
        <f t="array" ref="R7181">IFERROR(IF($B7181=R$1, ($A7181+$C7181) - MAX(IF($B$2:$B7180=$B7181, $A$2:$A7180+$C$2:$C7180)), "")*24*60, "")</f>
        <v/>
      </c>
      <c r="S7181" s="24" t="str" cm="1">
        <f t="array" ref="S7181">IFERROR(IF($B7181=S$1, ($A7181+$C7181) - MAX(IF($B$2:$B7180=$B7181, $A$2:$A7180+$C$2:$C7180)), "")*24*60, "")</f>
        <v/>
      </c>
    </row>
    <row r="7182" spans="1:19" x14ac:dyDescent="0.2">
      <c r="A7182" s="12">
        <f t="shared" ref="A7182:C7182" si="1518">A7181</f>
        <v>46003</v>
      </c>
      <c r="B7182" s="5" t="str">
        <f t="shared" si="1518"/>
        <v>Tufted Titmouse</v>
      </c>
      <c r="C7182" s="6">
        <f t="shared" si="1518"/>
        <v>0.47430555555555554</v>
      </c>
      <c r="D7182" s="5"/>
      <c r="E7182" s="5"/>
      <c r="F7182" s="5" t="s">
        <v>22</v>
      </c>
      <c r="G7182" s="15" t="s">
        <v>22</v>
      </c>
      <c r="H7182" s="24">
        <f t="shared" si="1464"/>
        <v>0</v>
      </c>
      <c r="I7182" s="24" t="str" cm="1">
        <f t="array" ref="I7182">IFERROR(IF($B7182=I$1, ($A7182+$C7182) - MAX(IF($B$2:$B7181=$B7182, $A$2:$A7181+$C$2:$C7181)), "")*24*60, "")</f>
        <v/>
      </c>
      <c r="J7182" s="24" cm="1">
        <f t="array" ref="J7182">IFERROR(IF($B7182=J$1, ($A7182+$C7182) - MAX(IF($B$2:$B7181=$B7182, $A$2:$A7181+$C$2:$C7181)), "")*24*60, "")</f>
        <v>0</v>
      </c>
      <c r="K7182" s="24" t="str" cm="1">
        <f t="array" ref="K7182">IFERROR(IF($B7182=K$1, ($A7182+$C7182) - MAX(IF($B$2:$B7181=$B7182, $A$2:$A7181+$C$2:$C7181)), "")*24*60, "")</f>
        <v/>
      </c>
      <c r="L7182" s="24" t="str" cm="1">
        <f t="array" ref="L7182">IFERROR(IF($B7182=L$1, ($A7182+$C7182) - MAX(IF($B$2:$B7181=$B7182, $A$2:$A7181+$C$2:$C7181)), "")*24*60, "")</f>
        <v/>
      </c>
      <c r="M7182" s="24" t="str" cm="1">
        <f t="array" ref="M7182">IFERROR(IF($B7182=M$1, ($A7182+$C7182) - MAX(IF($B$2:$B7181=$B7182, $A$2:$A7181+$C$2:$C7181)), "")*24*60, "")</f>
        <v/>
      </c>
      <c r="N7182" s="24" t="str" cm="1">
        <f t="array" ref="N7182">IFERROR(IF($B7182=N$1, ($A7182+$C7182) - MAX(IF($B$2:$B7181=$B7182, $A$2:$A7181+$C$2:$C7181)), "")*24*60, "")</f>
        <v/>
      </c>
      <c r="O7182" s="24" t="str" cm="1">
        <f t="array" ref="O7182">IFERROR(IF($B7182=O$1, ($A7182+$C7182) - MAX(IF($B$2:$B7181=$B7182, $A$2:$A7181+$C$2:$C7181)), "")*24*60, "")</f>
        <v/>
      </c>
      <c r="P7182" s="24" t="str" cm="1">
        <f t="array" ref="P7182">IFERROR(IF($B7182=P$1, ($A7182+$C7182) - MAX(IF($B$2:$B7181=$B7182, $A$2:$A7181+$C$2:$C7181)), "")*24*60, "")</f>
        <v/>
      </c>
      <c r="Q7182" s="24" t="str" cm="1">
        <f t="array" ref="Q7182">IFERROR(IF($B7182=Q$1, ($A7182+$C7182) - MAX(IF($B$2:$B7181=$B7182, $A$2:$A7181+$C$2:$C7181)), "")*24*60, "")</f>
        <v/>
      </c>
      <c r="R7182" s="24" t="str" cm="1">
        <f t="array" ref="R7182">IFERROR(IF($B7182=R$1, ($A7182+$C7182) - MAX(IF($B$2:$B7181=$B7182, $A$2:$A7181+$C$2:$C7181)), "")*24*60, "")</f>
        <v/>
      </c>
      <c r="S7182" s="24" t="str" cm="1">
        <f t="array" ref="S7182">IFERROR(IF($B7182=S$1, ($A7182+$C7182) - MAX(IF($B$2:$B7181=$B7182, $A$2:$A7181+$C$2:$C7181)), "")*24*60, "")</f>
        <v/>
      </c>
    </row>
    <row r="7183" spans="1:19" x14ac:dyDescent="0.2">
      <c r="A7183" s="12">
        <f t="shared" ref="A7183:C7183" si="1519">A7182</f>
        <v>46003</v>
      </c>
      <c r="B7183" s="5" t="str">
        <f t="shared" si="1519"/>
        <v>Tufted Titmouse</v>
      </c>
      <c r="C7183" s="6">
        <f t="shared" si="1519"/>
        <v>0.47430555555555554</v>
      </c>
      <c r="D7183" s="5"/>
      <c r="E7183" s="5"/>
      <c r="F7183" s="5" t="s">
        <v>22</v>
      </c>
      <c r="G7183" s="15" t="s">
        <v>22</v>
      </c>
      <c r="H7183" s="24">
        <f t="shared" si="1464"/>
        <v>0</v>
      </c>
      <c r="I7183" s="24" t="str" cm="1">
        <f t="array" ref="I7183">IFERROR(IF($B7183=I$1, ($A7183+$C7183) - MAX(IF($B$2:$B7182=$B7183, $A$2:$A7182+$C$2:$C7182)), "")*24*60, "")</f>
        <v/>
      </c>
      <c r="J7183" s="24" cm="1">
        <f t="array" ref="J7183">IFERROR(IF($B7183=J$1, ($A7183+$C7183) - MAX(IF($B$2:$B7182=$B7183, $A$2:$A7182+$C$2:$C7182)), "")*24*60, "")</f>
        <v>0</v>
      </c>
      <c r="K7183" s="24" t="str" cm="1">
        <f t="array" ref="K7183">IFERROR(IF($B7183=K$1, ($A7183+$C7183) - MAX(IF($B$2:$B7182=$B7183, $A$2:$A7182+$C$2:$C7182)), "")*24*60, "")</f>
        <v/>
      </c>
      <c r="L7183" s="24" t="str" cm="1">
        <f t="array" ref="L7183">IFERROR(IF($B7183=L$1, ($A7183+$C7183) - MAX(IF($B$2:$B7182=$B7183, $A$2:$A7182+$C$2:$C7182)), "")*24*60, "")</f>
        <v/>
      </c>
      <c r="M7183" s="24" t="str" cm="1">
        <f t="array" ref="M7183">IFERROR(IF($B7183=M$1, ($A7183+$C7183) - MAX(IF($B$2:$B7182=$B7183, $A$2:$A7182+$C$2:$C7182)), "")*24*60, "")</f>
        <v/>
      </c>
      <c r="N7183" s="24" t="str" cm="1">
        <f t="array" ref="N7183">IFERROR(IF($B7183=N$1, ($A7183+$C7183) - MAX(IF($B$2:$B7182=$B7183, $A$2:$A7182+$C$2:$C7182)), "")*24*60, "")</f>
        <v/>
      </c>
      <c r="O7183" s="24" t="str" cm="1">
        <f t="array" ref="O7183">IFERROR(IF($B7183=O$1, ($A7183+$C7183) - MAX(IF($B$2:$B7182=$B7183, $A$2:$A7182+$C$2:$C7182)), "")*24*60, "")</f>
        <v/>
      </c>
      <c r="P7183" s="24" t="str" cm="1">
        <f t="array" ref="P7183">IFERROR(IF($B7183=P$1, ($A7183+$C7183) - MAX(IF($B$2:$B7182=$B7183, $A$2:$A7182+$C$2:$C7182)), "")*24*60, "")</f>
        <v/>
      </c>
      <c r="Q7183" s="24" t="str" cm="1">
        <f t="array" ref="Q7183">IFERROR(IF($B7183=Q$1, ($A7183+$C7183) - MAX(IF($B$2:$B7182=$B7183, $A$2:$A7182+$C$2:$C7182)), "")*24*60, "")</f>
        <v/>
      </c>
      <c r="R7183" s="24" t="str" cm="1">
        <f t="array" ref="R7183">IFERROR(IF($B7183=R$1, ($A7183+$C7183) - MAX(IF($B$2:$B7182=$B7183, $A$2:$A7182+$C$2:$C7182)), "")*24*60, "")</f>
        <v/>
      </c>
      <c r="S7183" s="24" t="str" cm="1">
        <f t="array" ref="S7183">IFERROR(IF($B7183=S$1, ($A7183+$C7183) - MAX(IF($B$2:$B7182=$B7183, $A$2:$A7182+$C$2:$C7182)), "")*24*60, "")</f>
        <v/>
      </c>
    </row>
    <row r="7184" spans="1:19" x14ac:dyDescent="0.2">
      <c r="A7184" s="12">
        <f t="shared" ref="A7184:C7184" si="1520">A7183</f>
        <v>46003</v>
      </c>
      <c r="B7184" s="5" t="str">
        <f t="shared" si="1520"/>
        <v>Tufted Titmouse</v>
      </c>
      <c r="C7184" s="6">
        <f t="shared" si="1520"/>
        <v>0.47430555555555554</v>
      </c>
      <c r="D7184" s="5"/>
      <c r="E7184" s="5"/>
      <c r="F7184" s="5" t="s">
        <v>22</v>
      </c>
      <c r="G7184" s="15" t="s">
        <v>22</v>
      </c>
      <c r="H7184" s="24">
        <f t="shared" si="1464"/>
        <v>0</v>
      </c>
      <c r="I7184" s="24" t="str" cm="1">
        <f t="array" ref="I7184">IFERROR(IF($B7184=I$1, ($A7184+$C7184) - MAX(IF($B$2:$B7183=$B7184, $A$2:$A7183+$C$2:$C7183)), "")*24*60, "")</f>
        <v/>
      </c>
      <c r="J7184" s="24" cm="1">
        <f t="array" ref="J7184">IFERROR(IF($B7184=J$1, ($A7184+$C7184) - MAX(IF($B$2:$B7183=$B7184, $A$2:$A7183+$C$2:$C7183)), "")*24*60, "")</f>
        <v>0</v>
      </c>
      <c r="K7184" s="24" t="str" cm="1">
        <f t="array" ref="K7184">IFERROR(IF($B7184=K$1, ($A7184+$C7184) - MAX(IF($B$2:$B7183=$B7184, $A$2:$A7183+$C$2:$C7183)), "")*24*60, "")</f>
        <v/>
      </c>
      <c r="L7184" s="24" t="str" cm="1">
        <f t="array" ref="L7184">IFERROR(IF($B7184=L$1, ($A7184+$C7184) - MAX(IF($B$2:$B7183=$B7184, $A$2:$A7183+$C$2:$C7183)), "")*24*60, "")</f>
        <v/>
      </c>
      <c r="M7184" s="24" t="str" cm="1">
        <f t="array" ref="M7184">IFERROR(IF($B7184=M$1, ($A7184+$C7184) - MAX(IF($B$2:$B7183=$B7184, $A$2:$A7183+$C$2:$C7183)), "")*24*60, "")</f>
        <v/>
      </c>
      <c r="N7184" s="24" t="str" cm="1">
        <f t="array" ref="N7184">IFERROR(IF($B7184=N$1, ($A7184+$C7184) - MAX(IF($B$2:$B7183=$B7184, $A$2:$A7183+$C$2:$C7183)), "")*24*60, "")</f>
        <v/>
      </c>
      <c r="O7184" s="24" t="str" cm="1">
        <f t="array" ref="O7184">IFERROR(IF($B7184=O$1, ($A7184+$C7184) - MAX(IF($B$2:$B7183=$B7184, $A$2:$A7183+$C$2:$C7183)), "")*24*60, "")</f>
        <v/>
      </c>
      <c r="P7184" s="24" t="str" cm="1">
        <f t="array" ref="P7184">IFERROR(IF($B7184=P$1, ($A7184+$C7184) - MAX(IF($B$2:$B7183=$B7184, $A$2:$A7183+$C$2:$C7183)), "")*24*60, "")</f>
        <v/>
      </c>
      <c r="Q7184" s="24" t="str" cm="1">
        <f t="array" ref="Q7184">IFERROR(IF($B7184=Q$1, ($A7184+$C7184) - MAX(IF($B$2:$B7183=$B7184, $A$2:$A7183+$C$2:$C7183)), "")*24*60, "")</f>
        <v/>
      </c>
      <c r="R7184" s="24" t="str" cm="1">
        <f t="array" ref="R7184">IFERROR(IF($B7184=R$1, ($A7184+$C7184) - MAX(IF($B$2:$B7183=$B7184, $A$2:$A7183+$C$2:$C7183)), "")*24*60, "")</f>
        <v/>
      </c>
      <c r="S7184" s="24" t="str" cm="1">
        <f t="array" ref="S7184">IFERROR(IF($B7184=S$1, ($A7184+$C7184) - MAX(IF($B$2:$B7183=$B7184, $A$2:$A7183+$C$2:$C7183)), "")*24*60, "")</f>
        <v/>
      </c>
    </row>
    <row r="7185" spans="1:19" x14ac:dyDescent="0.2">
      <c r="A7185" s="12">
        <f t="shared" ref="A7185:C7185" si="1521">A7184</f>
        <v>46003</v>
      </c>
      <c r="B7185" s="5" t="str">
        <f t="shared" si="1521"/>
        <v>Tufted Titmouse</v>
      </c>
      <c r="C7185" s="6">
        <f t="shared" si="1521"/>
        <v>0.47430555555555554</v>
      </c>
      <c r="D7185" s="5"/>
      <c r="E7185" s="5"/>
      <c r="F7185" s="5" t="s">
        <v>22</v>
      </c>
      <c r="G7185" s="15" t="s">
        <v>22</v>
      </c>
      <c r="H7185" s="24">
        <f t="shared" si="1464"/>
        <v>0</v>
      </c>
      <c r="I7185" s="24" t="str" cm="1">
        <f t="array" ref="I7185">IFERROR(IF($B7185=I$1, ($A7185+$C7185) - MAX(IF($B$2:$B7184=$B7185, $A$2:$A7184+$C$2:$C7184)), "")*24*60, "")</f>
        <v/>
      </c>
      <c r="J7185" s="24" cm="1">
        <f t="array" ref="J7185">IFERROR(IF($B7185=J$1, ($A7185+$C7185) - MAX(IF($B$2:$B7184=$B7185, $A$2:$A7184+$C$2:$C7184)), "")*24*60, "")</f>
        <v>0</v>
      </c>
      <c r="K7185" s="24" t="str" cm="1">
        <f t="array" ref="K7185">IFERROR(IF($B7185=K$1, ($A7185+$C7185) - MAX(IF($B$2:$B7184=$B7185, $A$2:$A7184+$C$2:$C7184)), "")*24*60, "")</f>
        <v/>
      </c>
      <c r="L7185" s="24" t="str" cm="1">
        <f t="array" ref="L7185">IFERROR(IF($B7185=L$1, ($A7185+$C7185) - MAX(IF($B$2:$B7184=$B7185, $A$2:$A7184+$C$2:$C7184)), "")*24*60, "")</f>
        <v/>
      </c>
      <c r="M7185" s="24" t="str" cm="1">
        <f t="array" ref="M7185">IFERROR(IF($B7185=M$1, ($A7185+$C7185) - MAX(IF($B$2:$B7184=$B7185, $A$2:$A7184+$C$2:$C7184)), "")*24*60, "")</f>
        <v/>
      </c>
      <c r="N7185" s="24" t="str" cm="1">
        <f t="array" ref="N7185">IFERROR(IF($B7185=N$1, ($A7185+$C7185) - MAX(IF($B$2:$B7184=$B7185, $A$2:$A7184+$C$2:$C7184)), "")*24*60, "")</f>
        <v/>
      </c>
      <c r="O7185" s="24" t="str" cm="1">
        <f t="array" ref="O7185">IFERROR(IF($B7185=O$1, ($A7185+$C7185) - MAX(IF($B$2:$B7184=$B7185, $A$2:$A7184+$C$2:$C7184)), "")*24*60, "")</f>
        <v/>
      </c>
      <c r="P7185" s="24" t="str" cm="1">
        <f t="array" ref="P7185">IFERROR(IF($B7185=P$1, ($A7185+$C7185) - MAX(IF($B$2:$B7184=$B7185, $A$2:$A7184+$C$2:$C7184)), "")*24*60, "")</f>
        <v/>
      </c>
      <c r="Q7185" s="24" t="str" cm="1">
        <f t="array" ref="Q7185">IFERROR(IF($B7185=Q$1, ($A7185+$C7185) - MAX(IF($B$2:$B7184=$B7185, $A$2:$A7184+$C$2:$C7184)), "")*24*60, "")</f>
        <v/>
      </c>
      <c r="R7185" s="24" t="str" cm="1">
        <f t="array" ref="R7185">IFERROR(IF($B7185=R$1, ($A7185+$C7185) - MAX(IF($B$2:$B7184=$B7185, $A$2:$A7184+$C$2:$C7184)), "")*24*60, "")</f>
        <v/>
      </c>
      <c r="S7185" s="24" t="str" cm="1">
        <f t="array" ref="S7185">IFERROR(IF($B7185=S$1, ($A7185+$C7185) - MAX(IF($B$2:$B7184=$B7185, $A$2:$A7184+$C$2:$C7184)), "")*24*60, "")</f>
        <v/>
      </c>
    </row>
    <row r="7186" spans="1:19" x14ac:dyDescent="0.2">
      <c r="A7186" s="12">
        <f t="shared" ref="A7186:C7186" si="1522">A7185</f>
        <v>46003</v>
      </c>
      <c r="B7186" s="5" t="str">
        <f t="shared" si="1522"/>
        <v>Tufted Titmouse</v>
      </c>
      <c r="C7186" s="6">
        <f t="shared" si="1522"/>
        <v>0.47430555555555554</v>
      </c>
      <c r="D7186" s="5"/>
      <c r="E7186" s="5"/>
      <c r="F7186" s="5" t="s">
        <v>22</v>
      </c>
      <c r="G7186" s="15" t="s">
        <v>22</v>
      </c>
      <c r="H7186" s="24">
        <f t="shared" si="1464"/>
        <v>0</v>
      </c>
      <c r="I7186" s="24" t="str" cm="1">
        <f t="array" ref="I7186">IFERROR(IF($B7186=I$1, ($A7186+$C7186) - MAX(IF($B$2:$B7185=$B7186, $A$2:$A7185+$C$2:$C7185)), "")*24*60, "")</f>
        <v/>
      </c>
      <c r="J7186" s="24" cm="1">
        <f t="array" ref="J7186">IFERROR(IF($B7186=J$1, ($A7186+$C7186) - MAX(IF($B$2:$B7185=$B7186, $A$2:$A7185+$C$2:$C7185)), "")*24*60, "")</f>
        <v>0</v>
      </c>
      <c r="K7186" s="24" t="str" cm="1">
        <f t="array" ref="K7186">IFERROR(IF($B7186=K$1, ($A7186+$C7186) - MAX(IF($B$2:$B7185=$B7186, $A$2:$A7185+$C$2:$C7185)), "")*24*60, "")</f>
        <v/>
      </c>
      <c r="L7186" s="24" t="str" cm="1">
        <f t="array" ref="L7186">IFERROR(IF($B7186=L$1, ($A7186+$C7186) - MAX(IF($B$2:$B7185=$B7186, $A$2:$A7185+$C$2:$C7185)), "")*24*60, "")</f>
        <v/>
      </c>
      <c r="M7186" s="24" t="str" cm="1">
        <f t="array" ref="M7186">IFERROR(IF($B7186=M$1, ($A7186+$C7186) - MAX(IF($B$2:$B7185=$B7186, $A$2:$A7185+$C$2:$C7185)), "")*24*60, "")</f>
        <v/>
      </c>
      <c r="N7186" s="24" t="str" cm="1">
        <f t="array" ref="N7186">IFERROR(IF($B7186=N$1, ($A7186+$C7186) - MAX(IF($B$2:$B7185=$B7186, $A$2:$A7185+$C$2:$C7185)), "")*24*60, "")</f>
        <v/>
      </c>
      <c r="O7186" s="24" t="str" cm="1">
        <f t="array" ref="O7186">IFERROR(IF($B7186=O$1, ($A7186+$C7186) - MAX(IF($B$2:$B7185=$B7186, $A$2:$A7185+$C$2:$C7185)), "")*24*60, "")</f>
        <v/>
      </c>
      <c r="P7186" s="24" t="str" cm="1">
        <f t="array" ref="P7186">IFERROR(IF($B7186=P$1, ($A7186+$C7186) - MAX(IF($B$2:$B7185=$B7186, $A$2:$A7185+$C$2:$C7185)), "")*24*60, "")</f>
        <v/>
      </c>
      <c r="Q7186" s="24" t="str" cm="1">
        <f t="array" ref="Q7186">IFERROR(IF($B7186=Q$1, ($A7186+$C7186) - MAX(IF($B$2:$B7185=$B7186, $A$2:$A7185+$C$2:$C7185)), "")*24*60, "")</f>
        <v/>
      </c>
      <c r="R7186" s="24" t="str" cm="1">
        <f t="array" ref="R7186">IFERROR(IF($B7186=R$1, ($A7186+$C7186) - MAX(IF($B$2:$B7185=$B7186, $A$2:$A7185+$C$2:$C7185)), "")*24*60, "")</f>
        <v/>
      </c>
      <c r="S7186" s="24" t="str" cm="1">
        <f t="array" ref="S7186">IFERROR(IF($B7186=S$1, ($A7186+$C7186) - MAX(IF($B$2:$B7185=$B7186, $A$2:$A7185+$C$2:$C7185)), "")*24*60, "")</f>
        <v/>
      </c>
    </row>
    <row r="7187" spans="1:19" x14ac:dyDescent="0.2">
      <c r="A7187" s="12">
        <f t="shared" ref="A7187:C7187" si="1523">A7186</f>
        <v>46003</v>
      </c>
      <c r="B7187" s="5" t="str">
        <f t="shared" si="1523"/>
        <v>Tufted Titmouse</v>
      </c>
      <c r="C7187" s="6">
        <f t="shared" si="1523"/>
        <v>0.47430555555555554</v>
      </c>
      <c r="D7187" s="5"/>
      <c r="E7187" s="5"/>
      <c r="F7187" s="5" t="s">
        <v>22</v>
      </c>
      <c r="G7187" s="15" t="s">
        <v>22</v>
      </c>
      <c r="H7187" s="24">
        <f t="shared" si="1464"/>
        <v>0</v>
      </c>
      <c r="I7187" s="24" t="str" cm="1">
        <f t="array" ref="I7187">IFERROR(IF($B7187=I$1, ($A7187+$C7187) - MAX(IF($B$2:$B7186=$B7187, $A$2:$A7186+$C$2:$C7186)), "")*24*60, "")</f>
        <v/>
      </c>
      <c r="J7187" s="24" cm="1">
        <f t="array" ref="J7187">IFERROR(IF($B7187=J$1, ($A7187+$C7187) - MAX(IF($B$2:$B7186=$B7187, $A$2:$A7186+$C$2:$C7186)), "")*24*60, "")</f>
        <v>0</v>
      </c>
      <c r="K7187" s="24" t="str" cm="1">
        <f t="array" ref="K7187">IFERROR(IF($B7187=K$1, ($A7187+$C7187) - MAX(IF($B$2:$B7186=$B7187, $A$2:$A7186+$C$2:$C7186)), "")*24*60, "")</f>
        <v/>
      </c>
      <c r="L7187" s="24" t="str" cm="1">
        <f t="array" ref="L7187">IFERROR(IF($B7187=L$1, ($A7187+$C7187) - MAX(IF($B$2:$B7186=$B7187, $A$2:$A7186+$C$2:$C7186)), "")*24*60, "")</f>
        <v/>
      </c>
      <c r="M7187" s="24" t="str" cm="1">
        <f t="array" ref="M7187">IFERROR(IF($B7187=M$1, ($A7187+$C7187) - MAX(IF($B$2:$B7186=$B7187, $A$2:$A7186+$C$2:$C7186)), "")*24*60, "")</f>
        <v/>
      </c>
      <c r="N7187" s="24" t="str" cm="1">
        <f t="array" ref="N7187">IFERROR(IF($B7187=N$1, ($A7187+$C7187) - MAX(IF($B$2:$B7186=$B7187, $A$2:$A7186+$C$2:$C7186)), "")*24*60, "")</f>
        <v/>
      </c>
      <c r="O7187" s="24" t="str" cm="1">
        <f t="array" ref="O7187">IFERROR(IF($B7187=O$1, ($A7187+$C7187) - MAX(IF($B$2:$B7186=$B7187, $A$2:$A7186+$C$2:$C7186)), "")*24*60, "")</f>
        <v/>
      </c>
      <c r="P7187" s="24" t="str" cm="1">
        <f t="array" ref="P7187">IFERROR(IF($B7187=P$1, ($A7187+$C7187) - MAX(IF($B$2:$B7186=$B7187, $A$2:$A7186+$C$2:$C7186)), "")*24*60, "")</f>
        <v/>
      </c>
      <c r="Q7187" s="24" t="str" cm="1">
        <f t="array" ref="Q7187">IFERROR(IF($B7187=Q$1, ($A7187+$C7187) - MAX(IF($B$2:$B7186=$B7187, $A$2:$A7186+$C$2:$C7186)), "")*24*60, "")</f>
        <v/>
      </c>
      <c r="R7187" s="24" t="str" cm="1">
        <f t="array" ref="R7187">IFERROR(IF($B7187=R$1, ($A7187+$C7187) - MAX(IF($B$2:$B7186=$B7187, $A$2:$A7186+$C$2:$C7186)), "")*24*60, "")</f>
        <v/>
      </c>
      <c r="S7187" s="24" t="str" cm="1">
        <f t="array" ref="S7187">IFERROR(IF($B7187=S$1, ($A7187+$C7187) - MAX(IF($B$2:$B7186=$B7187, $A$2:$A7186+$C$2:$C7186)), "")*24*60, "")</f>
        <v/>
      </c>
    </row>
    <row r="7188" spans="1:19" x14ac:dyDescent="0.2">
      <c r="A7188" s="12">
        <f t="shared" ref="A7188:C7188" si="1524">A7187</f>
        <v>46003</v>
      </c>
      <c r="B7188" s="5" t="str">
        <f t="shared" si="1524"/>
        <v>Tufted Titmouse</v>
      </c>
      <c r="C7188" s="6">
        <f t="shared" si="1524"/>
        <v>0.47430555555555554</v>
      </c>
      <c r="D7188" s="5"/>
      <c r="E7188" s="5"/>
      <c r="F7188" s="5" t="s">
        <v>22</v>
      </c>
      <c r="G7188" s="15" t="s">
        <v>22</v>
      </c>
      <c r="H7188" s="24">
        <f t="shared" si="1464"/>
        <v>0</v>
      </c>
      <c r="I7188" s="24" t="str" cm="1">
        <f t="array" ref="I7188">IFERROR(IF($B7188=I$1, ($A7188+$C7188) - MAX(IF($B$2:$B7187=$B7188, $A$2:$A7187+$C$2:$C7187)), "")*24*60, "")</f>
        <v/>
      </c>
      <c r="J7188" s="24" cm="1">
        <f t="array" ref="J7188">IFERROR(IF($B7188=J$1, ($A7188+$C7188) - MAX(IF($B$2:$B7187=$B7188, $A$2:$A7187+$C$2:$C7187)), "")*24*60, "")</f>
        <v>0</v>
      </c>
      <c r="K7188" s="24" t="str" cm="1">
        <f t="array" ref="K7188">IFERROR(IF($B7188=K$1, ($A7188+$C7188) - MAX(IF($B$2:$B7187=$B7188, $A$2:$A7187+$C$2:$C7187)), "")*24*60, "")</f>
        <v/>
      </c>
      <c r="L7188" s="24" t="str" cm="1">
        <f t="array" ref="L7188">IFERROR(IF($B7188=L$1, ($A7188+$C7188) - MAX(IF($B$2:$B7187=$B7188, $A$2:$A7187+$C$2:$C7187)), "")*24*60, "")</f>
        <v/>
      </c>
      <c r="M7188" s="24" t="str" cm="1">
        <f t="array" ref="M7188">IFERROR(IF($B7188=M$1, ($A7188+$C7188) - MAX(IF($B$2:$B7187=$B7188, $A$2:$A7187+$C$2:$C7187)), "")*24*60, "")</f>
        <v/>
      </c>
      <c r="N7188" s="24" t="str" cm="1">
        <f t="array" ref="N7188">IFERROR(IF($B7188=N$1, ($A7188+$C7188) - MAX(IF($B$2:$B7187=$B7188, $A$2:$A7187+$C$2:$C7187)), "")*24*60, "")</f>
        <v/>
      </c>
      <c r="O7188" s="24" t="str" cm="1">
        <f t="array" ref="O7188">IFERROR(IF($B7188=O$1, ($A7188+$C7188) - MAX(IF($B$2:$B7187=$B7188, $A$2:$A7187+$C$2:$C7187)), "")*24*60, "")</f>
        <v/>
      </c>
      <c r="P7188" s="24" t="str" cm="1">
        <f t="array" ref="P7188">IFERROR(IF($B7188=P$1, ($A7188+$C7188) - MAX(IF($B$2:$B7187=$B7188, $A$2:$A7187+$C$2:$C7187)), "")*24*60, "")</f>
        <v/>
      </c>
      <c r="Q7188" s="24" t="str" cm="1">
        <f t="array" ref="Q7188">IFERROR(IF($B7188=Q$1, ($A7188+$C7188) - MAX(IF($B$2:$B7187=$B7188, $A$2:$A7187+$C$2:$C7187)), "")*24*60, "")</f>
        <v/>
      </c>
      <c r="R7188" s="24" t="str" cm="1">
        <f t="array" ref="R7188">IFERROR(IF($B7188=R$1, ($A7188+$C7188) - MAX(IF($B$2:$B7187=$B7188, $A$2:$A7187+$C$2:$C7187)), "")*24*60, "")</f>
        <v/>
      </c>
      <c r="S7188" s="24" t="str" cm="1">
        <f t="array" ref="S7188">IFERROR(IF($B7188=S$1, ($A7188+$C7188) - MAX(IF($B$2:$B7187=$B7188, $A$2:$A7187+$C$2:$C7187)), "")*24*60, "")</f>
        <v/>
      </c>
    </row>
    <row r="7189" spans="1:19" x14ac:dyDescent="0.2">
      <c r="A7189" s="12">
        <f t="shared" ref="A7189:C7189" si="1525">A7188</f>
        <v>46003</v>
      </c>
      <c r="B7189" s="5" t="str">
        <f t="shared" si="1525"/>
        <v>Tufted Titmouse</v>
      </c>
      <c r="C7189" s="6">
        <f t="shared" si="1525"/>
        <v>0.47430555555555554</v>
      </c>
      <c r="D7189" s="5"/>
      <c r="E7189" s="5"/>
      <c r="F7189" s="5" t="s">
        <v>22</v>
      </c>
      <c r="G7189" s="15" t="s">
        <v>22</v>
      </c>
      <c r="H7189" s="24">
        <f t="shared" si="1464"/>
        <v>0</v>
      </c>
      <c r="I7189" s="24" t="str" cm="1">
        <f t="array" ref="I7189">IFERROR(IF($B7189=I$1, ($A7189+$C7189) - MAX(IF($B$2:$B7188=$B7189, $A$2:$A7188+$C$2:$C7188)), "")*24*60, "")</f>
        <v/>
      </c>
      <c r="J7189" s="24" cm="1">
        <f t="array" ref="J7189">IFERROR(IF($B7189=J$1, ($A7189+$C7189) - MAX(IF($B$2:$B7188=$B7189, $A$2:$A7188+$C$2:$C7188)), "")*24*60, "")</f>
        <v>0</v>
      </c>
      <c r="K7189" s="24" t="str" cm="1">
        <f t="array" ref="K7189">IFERROR(IF($B7189=K$1, ($A7189+$C7189) - MAX(IF($B$2:$B7188=$B7189, $A$2:$A7188+$C$2:$C7188)), "")*24*60, "")</f>
        <v/>
      </c>
      <c r="L7189" s="24" t="str" cm="1">
        <f t="array" ref="L7189">IFERROR(IF($B7189=L$1, ($A7189+$C7189) - MAX(IF($B$2:$B7188=$B7189, $A$2:$A7188+$C$2:$C7188)), "")*24*60, "")</f>
        <v/>
      </c>
      <c r="M7189" s="24" t="str" cm="1">
        <f t="array" ref="M7189">IFERROR(IF($B7189=M$1, ($A7189+$C7189) - MAX(IF($B$2:$B7188=$B7189, $A$2:$A7188+$C$2:$C7188)), "")*24*60, "")</f>
        <v/>
      </c>
      <c r="N7189" s="24" t="str" cm="1">
        <f t="array" ref="N7189">IFERROR(IF($B7189=N$1, ($A7189+$C7189) - MAX(IF($B$2:$B7188=$B7189, $A$2:$A7188+$C$2:$C7188)), "")*24*60, "")</f>
        <v/>
      </c>
      <c r="O7189" s="24" t="str" cm="1">
        <f t="array" ref="O7189">IFERROR(IF($B7189=O$1, ($A7189+$C7189) - MAX(IF($B$2:$B7188=$B7189, $A$2:$A7188+$C$2:$C7188)), "")*24*60, "")</f>
        <v/>
      </c>
      <c r="P7189" s="24" t="str" cm="1">
        <f t="array" ref="P7189">IFERROR(IF($B7189=P$1, ($A7189+$C7189) - MAX(IF($B$2:$B7188=$B7189, $A$2:$A7188+$C$2:$C7188)), "")*24*60, "")</f>
        <v/>
      </c>
      <c r="Q7189" s="24" t="str" cm="1">
        <f t="array" ref="Q7189">IFERROR(IF($B7189=Q$1, ($A7189+$C7189) - MAX(IF($B$2:$B7188=$B7189, $A$2:$A7188+$C$2:$C7188)), "")*24*60, "")</f>
        <v/>
      </c>
      <c r="R7189" s="24" t="str" cm="1">
        <f t="array" ref="R7189">IFERROR(IF($B7189=R$1, ($A7189+$C7189) - MAX(IF($B$2:$B7188=$B7189, $A$2:$A7188+$C$2:$C7188)), "")*24*60, "")</f>
        <v/>
      </c>
      <c r="S7189" s="24" t="str" cm="1">
        <f t="array" ref="S7189">IFERROR(IF($B7189=S$1, ($A7189+$C7189) - MAX(IF($B$2:$B7188=$B7189, $A$2:$A7188+$C$2:$C7188)), "")*24*60, "")</f>
        <v/>
      </c>
    </row>
    <row r="7190" spans="1:19" x14ac:dyDescent="0.2">
      <c r="A7190" s="12">
        <f t="shared" ref="A7190:C7190" si="1526">A7189</f>
        <v>46003</v>
      </c>
      <c r="B7190" s="5" t="str">
        <f t="shared" si="1526"/>
        <v>Tufted Titmouse</v>
      </c>
      <c r="C7190" s="6">
        <f t="shared" si="1526"/>
        <v>0.47430555555555554</v>
      </c>
      <c r="D7190" s="5"/>
      <c r="E7190" s="5"/>
      <c r="F7190" s="5" t="s">
        <v>22</v>
      </c>
      <c r="G7190" s="15" t="s">
        <v>22</v>
      </c>
      <c r="H7190" s="24">
        <f t="shared" si="1464"/>
        <v>0</v>
      </c>
      <c r="I7190" s="24" t="str" cm="1">
        <f t="array" ref="I7190">IFERROR(IF($B7190=I$1, ($A7190+$C7190) - MAX(IF($B$2:$B7189=$B7190, $A$2:$A7189+$C$2:$C7189)), "")*24*60, "")</f>
        <v/>
      </c>
      <c r="J7190" s="24" cm="1">
        <f t="array" ref="J7190">IFERROR(IF($B7190=J$1, ($A7190+$C7190) - MAX(IF($B$2:$B7189=$B7190, $A$2:$A7189+$C$2:$C7189)), "")*24*60, "")</f>
        <v>0</v>
      </c>
      <c r="K7190" s="24" t="str" cm="1">
        <f t="array" ref="K7190">IFERROR(IF($B7190=K$1, ($A7190+$C7190) - MAX(IF($B$2:$B7189=$B7190, $A$2:$A7189+$C$2:$C7189)), "")*24*60, "")</f>
        <v/>
      </c>
      <c r="L7190" s="24" t="str" cm="1">
        <f t="array" ref="L7190">IFERROR(IF($B7190=L$1, ($A7190+$C7190) - MAX(IF($B$2:$B7189=$B7190, $A$2:$A7189+$C$2:$C7189)), "")*24*60, "")</f>
        <v/>
      </c>
      <c r="M7190" s="24" t="str" cm="1">
        <f t="array" ref="M7190">IFERROR(IF($B7190=M$1, ($A7190+$C7190) - MAX(IF($B$2:$B7189=$B7190, $A$2:$A7189+$C$2:$C7189)), "")*24*60, "")</f>
        <v/>
      </c>
      <c r="N7190" s="24" t="str" cm="1">
        <f t="array" ref="N7190">IFERROR(IF($B7190=N$1, ($A7190+$C7190) - MAX(IF($B$2:$B7189=$B7190, $A$2:$A7189+$C$2:$C7189)), "")*24*60, "")</f>
        <v/>
      </c>
      <c r="O7190" s="24" t="str" cm="1">
        <f t="array" ref="O7190">IFERROR(IF($B7190=O$1, ($A7190+$C7190) - MAX(IF($B$2:$B7189=$B7190, $A$2:$A7189+$C$2:$C7189)), "")*24*60, "")</f>
        <v/>
      </c>
      <c r="P7190" s="24" t="str" cm="1">
        <f t="array" ref="P7190">IFERROR(IF($B7190=P$1, ($A7190+$C7190) - MAX(IF($B$2:$B7189=$B7190, $A$2:$A7189+$C$2:$C7189)), "")*24*60, "")</f>
        <v/>
      </c>
      <c r="Q7190" s="24" t="str" cm="1">
        <f t="array" ref="Q7190">IFERROR(IF($B7190=Q$1, ($A7190+$C7190) - MAX(IF($B$2:$B7189=$B7190, $A$2:$A7189+$C$2:$C7189)), "")*24*60, "")</f>
        <v/>
      </c>
      <c r="R7190" s="24" t="str" cm="1">
        <f t="array" ref="R7190">IFERROR(IF($B7190=R$1, ($A7190+$C7190) - MAX(IF($B$2:$B7189=$B7190, $A$2:$A7189+$C$2:$C7189)), "")*24*60, "")</f>
        <v/>
      </c>
      <c r="S7190" s="24" t="str" cm="1">
        <f t="array" ref="S7190">IFERROR(IF($B7190=S$1, ($A7190+$C7190) - MAX(IF($B$2:$B7189=$B7190, $A$2:$A7189+$C$2:$C7189)),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269"/>
  <sheetViews>
    <sheetView tabSelected="1" zoomScale="120" zoomScaleNormal="120" workbookViewId="0">
      <pane ySplit="1" topLeftCell="A253" activePane="bottomLeft" state="frozen"/>
      <selection pane="bottomLeft" activeCell="A267" sqref="A267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0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1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0</v>
      </c>
      <c r="D37" s="27">
        <f>SUMIFS(RawData!$D:$D,RawData!$B:$B,$B37,RawData!$A:$A,DailySummaries!$A37)+1</f>
        <v>1</v>
      </c>
      <c r="E37" s="27">
        <f>SUMIFS(RawData!$E:$E,RawData!$B:$B,$B37,RawData!$A:$A,DailySummaries!$A37)+1</f>
        <v>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0</v>
      </c>
      <c r="D62" s="27">
        <f>SUMIFS(RawData!$D:$D,RawData!$B:$B,$B62,RawData!$A:$A,DailySummaries!$A62)+1</f>
        <v>1</v>
      </c>
      <c r="E62" s="27">
        <f>SUMIFS(RawData!$E:$E,RawData!$B:$B,$B62,RawData!$A:$A,DailySummaries!$A62)+1</f>
        <v>1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28</v>
      </c>
      <c r="D68" s="27">
        <f>SUMIFS(RawData!$D:$D,RawData!$B:$B,$B68,RawData!$A:$A,DailySummaries!$A68)+1</f>
        <v>258</v>
      </c>
      <c r="E68" s="27">
        <f>SUMIFS(RawData!$E:$E,RawData!$B:$B,$B68,RawData!$A:$A,DailySummaries!$A68)+1</f>
        <v>180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26">
        <v>45981</v>
      </c>
      <c r="B177" s="27" t="s">
        <v>10</v>
      </c>
      <c r="C177" s="27">
        <f>COUNTIFS(RawData!$B:$B, $B177, RawData!$A:$A, DailySummaries!$A177)</f>
        <v>4</v>
      </c>
      <c r="D177" s="27">
        <f>SUMIFS(RawData!$D:$D,RawData!$B:$B,$B177,RawData!$A:$A,DailySummaries!$A177)+1</f>
        <v>4</v>
      </c>
      <c r="E177" s="27">
        <f>SUMIFS(RawData!$E:$E,RawData!$B:$B,$B177,RawData!$A:$A,DailySummaries!$A177)+1</f>
        <v>3</v>
      </c>
    </row>
    <row r="178" spans="1:5" x14ac:dyDescent="0.25">
      <c r="A178" s="10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10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10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10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26">
        <v>45982</v>
      </c>
      <c r="B182" s="27" t="s">
        <v>10</v>
      </c>
      <c r="C182" s="27">
        <f>COUNTIFS(RawData!$B:$B, $B182, RawData!$A:$A, DailySummaries!$A182)</f>
        <v>19</v>
      </c>
      <c r="D182" s="27">
        <f>SUMIFS(RawData!$D:$D,RawData!$B:$B,$B182,RawData!$A:$A,DailySummaries!$A182)+1</f>
        <v>23</v>
      </c>
      <c r="E182" s="27">
        <f>SUMIFS(RawData!$E:$E,RawData!$B:$B,$B182,RawData!$A:$A,DailySummaries!$A182)+1</f>
        <v>3</v>
      </c>
    </row>
    <row r="183" spans="1:5" x14ac:dyDescent="0.25">
      <c r="A183" s="10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10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10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10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10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10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10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26">
        <v>45983</v>
      </c>
      <c r="B190" s="27" t="s">
        <v>25</v>
      </c>
      <c r="C190" s="27">
        <f>COUNTIFS(RawData!$B:$B, $B190, RawData!$A:$A, DailySummaries!$A190)</f>
        <v>7</v>
      </c>
      <c r="D190" s="27">
        <f>SUMIFS(RawData!$D:$D,RawData!$B:$B,$B190,RawData!$A:$A,DailySummaries!$A190)+1</f>
        <v>15</v>
      </c>
      <c r="E190" s="27">
        <f>SUMIFS(RawData!$E:$E,RawData!$B:$B,$B190,RawData!$A:$A,DailySummaries!$A190)+1</f>
        <v>16</v>
      </c>
    </row>
    <row r="191" spans="1:5" x14ac:dyDescent="0.25">
      <c r="A191" s="10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10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10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10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26">
        <v>45984</v>
      </c>
      <c r="B195" s="27" t="s">
        <v>20</v>
      </c>
      <c r="C195" s="27">
        <f>COUNTIFS(RawData!$B:$B, $B195, RawData!$A:$A, DailySummaries!$A195)</f>
        <v>72</v>
      </c>
      <c r="D195" s="27">
        <f>SUMIFS(RawData!$D:$D,RawData!$B:$B,$B195,RawData!$A:$A,DailySummaries!$A195)+1</f>
        <v>50</v>
      </c>
      <c r="E195" s="27">
        <f>SUMIFS(RawData!$E:$E,RawData!$B:$B,$B195,RawData!$A:$A,DailySummaries!$A195)+1</f>
        <v>911</v>
      </c>
    </row>
    <row r="196" spans="1:5" x14ac:dyDescent="0.25">
      <c r="A196" s="10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10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10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10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10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26">
        <v>45985</v>
      </c>
      <c r="B201" s="27" t="s">
        <v>25</v>
      </c>
      <c r="C201" s="27">
        <f>COUNTIFS(RawData!$B:$B, $B201, RawData!$A:$A, DailySummaries!$A201)</f>
        <v>2</v>
      </c>
      <c r="D201" s="27">
        <f>SUMIFS(RawData!$D:$D,RawData!$B:$B,$B201,RawData!$A:$A,DailySummaries!$A201)+1</f>
        <v>13</v>
      </c>
      <c r="E201" s="27">
        <f>SUMIFS(RawData!$E:$E,RawData!$B:$B,$B201,RawData!$A:$A,DailySummaries!$A201)+1</f>
        <v>8</v>
      </c>
    </row>
    <row r="202" spans="1:5" x14ac:dyDescent="0.25">
      <c r="A202" s="10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10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10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10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26">
        <v>45986</v>
      </c>
      <c r="B206" s="27" t="s">
        <v>10</v>
      </c>
      <c r="C206" s="27">
        <f>COUNTIFS(RawData!$B:$B, $B206, RawData!$A:$A, DailySummaries!$A206)</f>
        <v>25</v>
      </c>
      <c r="D206" s="27">
        <f>SUMIFS(RawData!$D:$D,RawData!$B:$B,$B206,RawData!$A:$A,DailySummaries!$A206)+1</f>
        <v>42</v>
      </c>
      <c r="E206" s="27">
        <f>SUMIFS(RawData!$E:$E,RawData!$B:$B,$B206,RawData!$A:$A,DailySummaries!$A206)+1</f>
        <v>25</v>
      </c>
    </row>
    <row r="207" spans="1:5" x14ac:dyDescent="0.25">
      <c r="A207" s="10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10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10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10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26">
        <v>45987</v>
      </c>
      <c r="B211" s="27" t="s">
        <v>20</v>
      </c>
      <c r="C211" s="27">
        <f>COUNTIFS(RawData!$B:$B, $B211, RawData!$A:$A, DailySummaries!$A211)</f>
        <v>95</v>
      </c>
      <c r="D211" s="27">
        <f>SUMIFS(RawData!$D:$D,RawData!$B:$B,$B211,RawData!$A:$A,DailySummaries!$A211)+1</f>
        <v>195</v>
      </c>
      <c r="E211" s="27">
        <f>SUMIFS(RawData!$E:$E,RawData!$B:$B,$B211,RawData!$A:$A,DailySummaries!$A211)+1</f>
        <v>1045</v>
      </c>
    </row>
    <row r="212" spans="1:5" x14ac:dyDescent="0.25">
      <c r="A212" s="10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10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26">
        <v>45988</v>
      </c>
      <c r="B214" s="27" t="s">
        <v>20</v>
      </c>
      <c r="C214" s="27">
        <f>COUNTIFS(RawData!$B:$B, $B214, RawData!$A:$A, DailySummaries!$A214)</f>
        <v>57</v>
      </c>
      <c r="D214" s="27">
        <f>SUMIFS(RawData!$D:$D,RawData!$B:$B,$B214,RawData!$A:$A,DailySummaries!$A214)+1</f>
        <v>36</v>
      </c>
      <c r="E214" s="27">
        <f>SUMIFS(RawData!$E:$E,RawData!$B:$B,$B214,RawData!$A:$A,DailySummaries!$A214)+1</f>
        <v>360</v>
      </c>
    </row>
    <row r="215" spans="1:5" x14ac:dyDescent="0.25">
      <c r="A215" s="44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4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4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4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4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4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5">
        <v>45989</v>
      </c>
      <c r="B221" s="27" t="s">
        <v>20</v>
      </c>
      <c r="C221" s="27">
        <f>COUNTIFS(RawData!$B:$B, $B221, RawData!$A:$A, DailySummaries!$A221)</f>
        <v>86</v>
      </c>
      <c r="D221" s="27">
        <f>SUMIFS(RawData!$D:$D,RawData!$B:$B,$B221,RawData!$A:$A,DailySummaries!$A221)+1</f>
        <v>78</v>
      </c>
      <c r="E221" s="27">
        <f>SUMIFS(RawData!$E:$E,RawData!$B:$B,$B221,RawData!$A:$A,DailySummaries!$A221)+1</f>
        <v>835</v>
      </c>
    </row>
    <row r="222" spans="1:5" x14ac:dyDescent="0.25">
      <c r="A222" s="10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10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10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10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10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26">
        <v>45990</v>
      </c>
      <c r="B227" s="27" t="s">
        <v>18</v>
      </c>
      <c r="C227" s="27">
        <f>COUNTIFS(RawData!$B:$B, $B227, RawData!$A:$A, DailySummaries!$A227)</f>
        <v>1</v>
      </c>
      <c r="D227" s="27">
        <f>SUMIFS(RawData!$D:$D,RawData!$B:$B,$B227,RawData!$A:$A,DailySummaries!$A227)+1</f>
        <v>8</v>
      </c>
      <c r="E227" s="27">
        <f>SUMIFS(RawData!$E:$E,RawData!$B:$B,$B227,RawData!$A:$A,DailySummaries!$A227)+1</f>
        <v>1</v>
      </c>
    </row>
    <row r="228" spans="1:5" x14ac:dyDescent="0.25">
      <c r="A228" s="10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10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10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10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10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10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26">
        <v>45991</v>
      </c>
      <c r="B234" s="27" t="s">
        <v>20</v>
      </c>
      <c r="C234" s="27">
        <f>COUNTIFS(RawData!$B:$B, $B234, RawData!$A:$A, DailySummaries!$A234)</f>
        <v>135</v>
      </c>
      <c r="D234" s="27">
        <f>SUMIFS(RawData!$D:$D,RawData!$B:$B,$B234,RawData!$A:$A,DailySummaries!$A234)+1</f>
        <v>266</v>
      </c>
      <c r="E234" s="27">
        <f>SUMIFS(RawData!$E:$E,RawData!$B:$B,$B234,RawData!$A:$A,DailySummaries!$A234)+1</f>
        <v>1548</v>
      </c>
    </row>
    <row r="235" spans="1:5" x14ac:dyDescent="0.25">
      <c r="A235" s="10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10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10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26">
        <v>45992</v>
      </c>
      <c r="B238" s="27" t="s">
        <v>20</v>
      </c>
      <c r="C238" s="27">
        <f>COUNTIFS(RawData!$B:$B, $B238, RawData!$A:$A, DailySummaries!$A238)</f>
        <v>26</v>
      </c>
      <c r="D238" s="27">
        <f>SUMIFS(RawData!$D:$D,RawData!$B:$B,$B238,RawData!$A:$A,DailySummaries!$A238)+1</f>
        <v>20</v>
      </c>
      <c r="E238" s="27">
        <f>SUMIFS(RawData!$E:$E,RawData!$B:$B,$B238,RawData!$A:$A,DailySummaries!$A238)+1</f>
        <v>21</v>
      </c>
    </row>
    <row r="239" spans="1:5" x14ac:dyDescent="0.25">
      <c r="A239" s="10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10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10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10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26">
        <v>45993</v>
      </c>
      <c r="B243" s="27" t="s">
        <v>16</v>
      </c>
      <c r="C243" s="27">
        <f>COUNTIFS(RawData!$B:$B, $B243, RawData!$A:$A, DailySummaries!$A243)</f>
        <v>3</v>
      </c>
      <c r="D243" s="27">
        <f>SUMIFS(RawData!$D:$D,RawData!$B:$B,$B243,RawData!$A:$A,DailySummaries!$A243)+1</f>
        <v>1</v>
      </c>
      <c r="E243" s="27">
        <f>SUMIFS(RawData!$E:$E,RawData!$B:$B,$B243,RawData!$A:$A,DailySummaries!$A243)+1</f>
        <v>1</v>
      </c>
    </row>
    <row r="244" spans="1:5" x14ac:dyDescent="0.25">
      <c r="A244" s="10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10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10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10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10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26">
        <v>45994</v>
      </c>
      <c r="B249" s="27" t="s">
        <v>3</v>
      </c>
      <c r="C249" s="27">
        <f>COUNTIFS(RawData!$B:$B, $B249, RawData!$A:$A, DailySummaries!$A249)</f>
        <v>4</v>
      </c>
      <c r="D249" s="27">
        <f>SUMIFS(RawData!$D:$D,RawData!$B:$B,$B249,RawData!$A:$A,DailySummaries!$A249)+1</f>
        <v>1</v>
      </c>
      <c r="E249" s="27">
        <f>SUMIFS(RawData!$E:$E,RawData!$B:$B,$B249,RawData!$A:$A,DailySummaries!$A249)+1</f>
        <v>1</v>
      </c>
    </row>
    <row r="250" spans="1:5" x14ac:dyDescent="0.25">
      <c r="A250" s="10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10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10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26">
        <v>45995</v>
      </c>
      <c r="B253" s="27" t="s">
        <v>20</v>
      </c>
      <c r="C253" s="27">
        <f>COUNTIFS(RawData!$B:$B, $B253, RawData!$A:$A, DailySummaries!$A253)</f>
        <v>3</v>
      </c>
      <c r="D253" s="27">
        <f>SUMIFS(RawData!$D:$D,RawData!$B:$B,$B253,RawData!$A:$A,DailySummaries!$A253)+1</f>
        <v>1</v>
      </c>
      <c r="E253" s="27">
        <f>SUMIFS(RawData!$E:$E,RawData!$B:$B,$B253,RawData!$A:$A,DailySummaries!$A253)+1</f>
        <v>1</v>
      </c>
    </row>
    <row r="254" spans="1:5" x14ac:dyDescent="0.25">
      <c r="A254" s="32">
        <v>45996</v>
      </c>
      <c r="B254" s="33" t="s">
        <v>3</v>
      </c>
      <c r="C254" s="33">
        <f>COUNTIFS(RawData!$B:$B, $B254, RawData!$A:$A, DailySummaries!$A254)</f>
        <v>1</v>
      </c>
      <c r="D254" s="33">
        <f>SUMIFS(RawData!$D:$D,RawData!$B:$B,$B254,RawData!$A:$A,DailySummaries!$A254)+1</f>
        <v>1</v>
      </c>
      <c r="E254" s="33">
        <f>SUMIFS(RawData!$E:$E,RawData!$B:$B,$B254,RawData!$A:$A,DailySummaries!$A254)+1</f>
        <v>1</v>
      </c>
    </row>
    <row r="255" spans="1:5" x14ac:dyDescent="0.25">
      <c r="A255" s="10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26">
        <v>45997</v>
      </c>
      <c r="B256" s="27" t="s">
        <v>16</v>
      </c>
      <c r="C256" s="27">
        <f>COUNTIFS(RawData!$B:$B, $B256, RawData!$A:$A, DailySummaries!$A256)</f>
        <v>1</v>
      </c>
      <c r="D256" s="27">
        <f>SUMIFS(RawData!$D:$D,RawData!$B:$B,$B256,RawData!$A:$A,DailySummaries!$A256)+1</f>
        <v>1</v>
      </c>
      <c r="E256" s="27">
        <f>SUMIFS(RawData!$E:$E,RawData!$B:$B,$B256,RawData!$A:$A,DailySummaries!$A256)+1</f>
        <v>1</v>
      </c>
    </row>
    <row r="257" spans="1:5" x14ac:dyDescent="0.25">
      <c r="A257" s="10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10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10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26">
        <v>45998</v>
      </c>
      <c r="B260" s="27" t="s">
        <v>16</v>
      </c>
      <c r="C260" s="27">
        <f>COUNTIFS(RawData!$B:$B, $B260, RawData!$A:$A, DailySummaries!$A260)</f>
        <v>4</v>
      </c>
      <c r="D260" s="27">
        <f>SUMIFS(RawData!$D:$D,RawData!$B:$B,$B260,RawData!$A:$A,DailySummaries!$A260)+1</f>
        <v>1</v>
      </c>
      <c r="E260" s="27">
        <f>SUMIFS(RawData!$E:$E,RawData!$B:$B,$B260,RawData!$A:$A,DailySummaries!$A260)+1</f>
        <v>1</v>
      </c>
    </row>
    <row r="261" spans="1:5" x14ac:dyDescent="0.25">
      <c r="A261" s="10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10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26">
        <v>45999</v>
      </c>
      <c r="B263" s="27" t="s">
        <v>3</v>
      </c>
      <c r="C263" s="27">
        <f>COUNTIFS(RawData!$B:$B, $B263, RawData!$A:$A, DailySummaries!$A263)</f>
        <v>4</v>
      </c>
      <c r="D263" s="27">
        <f>SUMIFS(RawData!$D:$D,RawData!$B:$B,$B263,RawData!$A:$A,DailySummaries!$A263)+1</f>
        <v>1</v>
      </c>
      <c r="E263" s="27">
        <f>SUMIFS(RawData!$E:$E,RawData!$B:$B,$B263,RawData!$A:$A,DailySummaries!$A263)+1</f>
        <v>1</v>
      </c>
    </row>
    <row r="264" spans="1:5" x14ac:dyDescent="0.25">
      <c r="A264" s="10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10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26">
        <v>46000</v>
      </c>
      <c r="B266" s="27" t="s">
        <v>20</v>
      </c>
      <c r="C266" s="27">
        <f>COUNTIFS(RawData!$B:$B, $B266, RawData!$A:$A, DailySummaries!$A266)</f>
        <v>1</v>
      </c>
      <c r="D266" s="27">
        <f>SUMIFS(RawData!$D:$D,RawData!$B:$B,$B266,RawData!$A:$A,DailySummaries!$A266)+1</f>
        <v>1</v>
      </c>
      <c r="E266" s="27">
        <f>SUMIFS(RawData!$E:$E,RawData!$B:$B,$B266,RawData!$A:$A,DailySummaries!$A266)+1</f>
        <v>1</v>
      </c>
    </row>
    <row r="267" spans="1:5" x14ac:dyDescent="0.25">
      <c r="A267" s="32">
        <v>46001</v>
      </c>
      <c r="B267" s="33" t="s">
        <v>20</v>
      </c>
      <c r="C267" s="33">
        <f>COUNTIFS(RawData!$B:$B, $B267, RawData!$A:$A, DailySummaries!$A267)</f>
        <v>1</v>
      </c>
      <c r="D267" s="33">
        <f>SUMIFS(RawData!$D:$D,RawData!$B:$B,$B267,RawData!$A:$A,DailySummaries!$A267)+1</f>
        <v>1</v>
      </c>
      <c r="E267" s="33">
        <f>SUMIFS(RawData!$E:$E,RawData!$B:$B,$B267,RawData!$A:$A,DailySummaries!$A267)+1</f>
        <v>1</v>
      </c>
    </row>
    <row r="268" spans="1:5" x14ac:dyDescent="0.25">
      <c r="A268" s="10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10">
        <v>46002</v>
      </c>
      <c r="B269" s="11" t="s">
        <v>10</v>
      </c>
      <c r="C269" s="11">
        <f>COUNTIFS(RawData!$B:$B, $B269, RawData!$A:$A, DailySummaries!$A269)</f>
        <v>1</v>
      </c>
      <c r="D269" s="11">
        <f>SUMIFS(RawData!$D:$D,RawData!$B:$B,$B269,RawData!$A:$A,DailySummaries!$A269)+1</f>
        <v>1</v>
      </c>
      <c r="E269" s="11">
        <f>SUMIFS(RawData!$E:$E,RawData!$B:$B,$B269,RawData!$A:$A,DailySummaries!$A269)+1</f>
        <v>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2025-12-12T10:12:40Z</dcterms:modified>
</cp:coreProperties>
</file>
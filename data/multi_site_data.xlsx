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Library/CloudStorage/Dropbox/Miscellaneous/backyard-ecology/data/"/>
    </mc:Choice>
  </mc:AlternateContent>
  <xr:revisionPtr revIDLastSave="0" documentId="13_ncr:1_{AB241304-3DD8-E74B-9BE4-567BBF462C67}" xr6:coauthVersionLast="47" xr6:coauthVersionMax="47" xr10:uidLastSave="{00000000-0000-0000-0000-000000000000}"/>
  <bookViews>
    <workbookView xWindow="0" yWindow="500" windowWidth="33600" windowHeight="1940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2" i="2" l="1"/>
  <c r="D142" i="2"/>
  <c r="E142" i="2"/>
  <c r="C143" i="2"/>
  <c r="D143" i="2"/>
  <c r="E143" i="2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29" i="1" s="1"/>
  <c r="F4530" i="1" s="1"/>
  <c r="F4531" i="1" s="1"/>
  <c r="F4532" i="1" s="1"/>
  <c r="F4533" i="1" s="1"/>
  <c r="F4534" i="1" s="1"/>
  <c r="F4535" i="1" s="1"/>
  <c r="F4536" i="1" s="1"/>
  <c r="F4537" i="1" s="1"/>
  <c r="F4538" i="1" s="1"/>
  <c r="F4539" i="1" s="1"/>
  <c r="F4540" i="1" s="1"/>
  <c r="F4541" i="1" s="1"/>
  <c r="F4542" i="1" s="1"/>
  <c r="F4543" i="1" s="1"/>
  <c r="F4544" i="1" s="1"/>
  <c r="F4545" i="1" s="1"/>
  <c r="F4546" i="1" s="1"/>
  <c r="F4547" i="1" s="1"/>
  <c r="F4548" i="1" s="1"/>
  <c r="F4549" i="1" s="1"/>
  <c r="F4550" i="1" s="1"/>
  <c r="F4551" i="1" s="1"/>
  <c r="F4552" i="1" s="1"/>
  <c r="F4553" i="1" s="1"/>
  <c r="F4554" i="1" s="1"/>
  <c r="F4555" i="1" s="1"/>
  <c r="F4556" i="1" s="1"/>
  <c r="F4557" i="1" s="1"/>
  <c r="F4558" i="1" s="1"/>
  <c r="F4559" i="1" s="1"/>
  <c r="F4560" i="1" s="1"/>
  <c r="F4561" i="1" s="1"/>
  <c r="F4562" i="1" s="1"/>
  <c r="F4563" i="1" s="1"/>
  <c r="F4564" i="1" s="1"/>
  <c r="F4565" i="1" s="1"/>
  <c r="F4566" i="1" s="1"/>
  <c r="F4567" i="1" s="1"/>
  <c r="F4568" i="1" s="1"/>
  <c r="F4569" i="1" s="1"/>
  <c r="F4570" i="1" s="1"/>
  <c r="F4571" i="1" s="1"/>
  <c r="F4572" i="1" s="1"/>
  <c r="F4573" i="1" s="1"/>
  <c r="F4574" i="1" s="1"/>
  <c r="F4575" i="1" s="1"/>
  <c r="F4576" i="1" s="1"/>
  <c r="F4577" i="1" s="1"/>
  <c r="F4578" i="1" s="1"/>
  <c r="F4579" i="1" s="1"/>
  <c r="F4580" i="1" s="1"/>
  <c r="F4581" i="1" s="1"/>
  <c r="F4582" i="1" s="1"/>
  <c r="F4583" i="1" s="1"/>
  <c r="F4584" i="1" s="1"/>
  <c r="F4585" i="1" s="1"/>
  <c r="F4586" i="1" s="1"/>
  <c r="F4587" i="1" s="1"/>
  <c r="F4588" i="1" s="1"/>
  <c r="F4589" i="1" s="1"/>
  <c r="F4590" i="1" s="1"/>
  <c r="F4591" i="1" s="1"/>
  <c r="F4592" i="1" s="1"/>
  <c r="F4593" i="1" s="1"/>
  <c r="F4594" i="1" s="1"/>
  <c r="F4595" i="1" s="1"/>
  <c r="F4596" i="1" s="1"/>
  <c r="F4597" i="1" s="1"/>
  <c r="F4598" i="1" s="1"/>
  <c r="F4599" i="1" s="1"/>
  <c r="F4600" i="1" s="1"/>
  <c r="F4601" i="1" s="1"/>
  <c r="F4602" i="1" s="1"/>
  <c r="F4603" i="1" s="1"/>
  <c r="F4604" i="1" s="1"/>
  <c r="F4605" i="1" s="1"/>
  <c r="F4606" i="1" s="1"/>
  <c r="F4607" i="1" s="1"/>
  <c r="F4608" i="1" s="1"/>
  <c r="F4609" i="1" s="1"/>
  <c r="F4610" i="1" s="1"/>
  <c r="F4611" i="1" s="1"/>
  <c r="F4612" i="1" s="1"/>
  <c r="F4613" i="1" s="1"/>
  <c r="F4614" i="1" s="1"/>
  <c r="F4615" i="1" s="1"/>
  <c r="F4616" i="1" s="1"/>
  <c r="F4617" i="1" s="1"/>
  <c r="F4618" i="1" s="1"/>
  <c r="F4619" i="1" s="1"/>
  <c r="F4620" i="1" s="1"/>
  <c r="F4621" i="1" s="1"/>
  <c r="F4622" i="1" s="1"/>
  <c r="F4623" i="1" s="1"/>
  <c r="F4624" i="1" s="1"/>
  <c r="F4625" i="1" s="1"/>
  <c r="F4626" i="1" s="1"/>
  <c r="F4627" i="1" s="1"/>
  <c r="F4628" i="1" s="1"/>
  <c r="F4629" i="1" s="1"/>
  <c r="F4630" i="1" s="1"/>
  <c r="F4631" i="1" s="1"/>
  <c r="F4632" i="1" s="1"/>
  <c r="F4633" i="1" s="1"/>
  <c r="F4634" i="1" s="1"/>
  <c r="F4635" i="1" s="1"/>
  <c r="F4636" i="1" s="1"/>
  <c r="F4637" i="1" s="1"/>
  <c r="F4638" i="1" s="1"/>
  <c r="F4639" i="1" s="1"/>
  <c r="F4640" i="1" s="1"/>
  <c r="F4641" i="1" s="1"/>
  <c r="F4642" i="1" s="1"/>
  <c r="F4643" i="1" s="1"/>
  <c r="F4644" i="1" s="1"/>
  <c r="F4645" i="1" s="1"/>
  <c r="F4646" i="1" s="1"/>
  <c r="F4647" i="1" s="1"/>
  <c r="F4648" i="1" s="1"/>
  <c r="F4649" i="1" s="1"/>
  <c r="F4650" i="1" s="1"/>
  <c r="F4651" i="1" s="1"/>
  <c r="F4652" i="1" s="1"/>
  <c r="F4653" i="1" s="1"/>
  <c r="F4654" i="1" s="1"/>
  <c r="F4655" i="1" s="1"/>
  <c r="F4656" i="1" s="1"/>
  <c r="F4657" i="1" s="1"/>
  <c r="F4658" i="1" s="1"/>
  <c r="F4659" i="1" s="1"/>
  <c r="F4660" i="1" s="1"/>
  <c r="F4661" i="1" s="1"/>
  <c r="F4662" i="1" s="1"/>
  <c r="F4663" i="1" s="1"/>
  <c r="F4664" i="1" s="1"/>
  <c r="F4665" i="1" s="1"/>
  <c r="F4666" i="1" s="1"/>
  <c r="F4667" i="1" s="1"/>
  <c r="F4668" i="1" s="1"/>
  <c r="F4669" i="1" s="1"/>
  <c r="F4670" i="1" s="1"/>
  <c r="F4671" i="1" s="1"/>
  <c r="F4672" i="1" s="1"/>
  <c r="F4673" i="1" s="1"/>
  <c r="F467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29" i="1" s="1"/>
  <c r="G4530" i="1" s="1"/>
  <c r="G4531" i="1" s="1"/>
  <c r="G4532" i="1" s="1"/>
  <c r="G4533" i="1" s="1"/>
  <c r="G4534" i="1" s="1"/>
  <c r="G4535" i="1" s="1"/>
  <c r="G4536" i="1" s="1"/>
  <c r="G4537" i="1" s="1"/>
  <c r="G4538" i="1" s="1"/>
  <c r="G4539" i="1" s="1"/>
  <c r="G4540" i="1" s="1"/>
  <c r="G4541" i="1" s="1"/>
  <c r="G4542" i="1" s="1"/>
  <c r="G4543" i="1" s="1"/>
  <c r="G4544" i="1" s="1"/>
  <c r="G4545" i="1" s="1"/>
  <c r="G4546" i="1" s="1"/>
  <c r="G4547" i="1" s="1"/>
  <c r="G4548" i="1" s="1"/>
  <c r="G4549" i="1" s="1"/>
  <c r="G4550" i="1" s="1"/>
  <c r="G4551" i="1" s="1"/>
  <c r="G4552" i="1" s="1"/>
  <c r="G4553" i="1" s="1"/>
  <c r="G4554" i="1" s="1"/>
  <c r="G4555" i="1" s="1"/>
  <c r="G4556" i="1" s="1"/>
  <c r="G4557" i="1" s="1"/>
  <c r="G4558" i="1" s="1"/>
  <c r="G4559" i="1" s="1"/>
  <c r="G4560" i="1" s="1"/>
  <c r="G4561" i="1" s="1"/>
  <c r="G4562" i="1" s="1"/>
  <c r="G4563" i="1" s="1"/>
  <c r="G4564" i="1" s="1"/>
  <c r="G4565" i="1" s="1"/>
  <c r="G4566" i="1" s="1"/>
  <c r="G4567" i="1" s="1"/>
  <c r="G4568" i="1" s="1"/>
  <c r="G4569" i="1" s="1"/>
  <c r="G4570" i="1" s="1"/>
  <c r="G4571" i="1" s="1"/>
  <c r="G4572" i="1" s="1"/>
  <c r="G4573" i="1" s="1"/>
  <c r="G4574" i="1" s="1"/>
  <c r="G4575" i="1" s="1"/>
  <c r="G4576" i="1" s="1"/>
  <c r="G4577" i="1" s="1"/>
  <c r="G4578" i="1" s="1"/>
  <c r="G4579" i="1" s="1"/>
  <c r="G4580" i="1" s="1"/>
  <c r="G4581" i="1" s="1"/>
  <c r="G4582" i="1" s="1"/>
  <c r="G4583" i="1" s="1"/>
  <c r="G4584" i="1" s="1"/>
  <c r="G4585" i="1" s="1"/>
  <c r="G4586" i="1" s="1"/>
  <c r="G4587" i="1" s="1"/>
  <c r="G4588" i="1" s="1"/>
  <c r="G4589" i="1" s="1"/>
  <c r="G4590" i="1" s="1"/>
  <c r="G4591" i="1" s="1"/>
  <c r="G4592" i="1" s="1"/>
  <c r="G4593" i="1" s="1"/>
  <c r="G4594" i="1" s="1"/>
  <c r="G4595" i="1" s="1"/>
  <c r="G4596" i="1" s="1"/>
  <c r="G4597" i="1" s="1"/>
  <c r="G4598" i="1" s="1"/>
  <c r="G4599" i="1" s="1"/>
  <c r="G4600" i="1" s="1"/>
  <c r="G4601" i="1" s="1"/>
  <c r="G4602" i="1" s="1"/>
  <c r="G4603" i="1" s="1"/>
  <c r="G4604" i="1" s="1"/>
  <c r="G4605" i="1" s="1"/>
  <c r="G4606" i="1" s="1"/>
  <c r="G4607" i="1" s="1"/>
  <c r="G4608" i="1" s="1"/>
  <c r="G4609" i="1" s="1"/>
  <c r="G4610" i="1" s="1"/>
  <c r="G4611" i="1" s="1"/>
  <c r="G4612" i="1" s="1"/>
  <c r="G4613" i="1" s="1"/>
  <c r="G4614" i="1" s="1"/>
  <c r="G4615" i="1" s="1"/>
  <c r="G4616" i="1" s="1"/>
  <c r="G4617" i="1" s="1"/>
  <c r="G4618" i="1" s="1"/>
  <c r="G4619" i="1" s="1"/>
  <c r="G4620" i="1" s="1"/>
  <c r="G4621" i="1" s="1"/>
  <c r="G4622" i="1" s="1"/>
  <c r="G4623" i="1" s="1"/>
  <c r="G4624" i="1" s="1"/>
  <c r="G4625" i="1" s="1"/>
  <c r="G4626" i="1" s="1"/>
  <c r="G4627" i="1" s="1"/>
  <c r="G4628" i="1" s="1"/>
  <c r="G4629" i="1" s="1"/>
  <c r="G4630" i="1" s="1"/>
  <c r="G4631" i="1" s="1"/>
  <c r="G4632" i="1" s="1"/>
  <c r="G4633" i="1" s="1"/>
  <c r="G4634" i="1" s="1"/>
  <c r="G4635" i="1" s="1"/>
  <c r="G4636" i="1" s="1"/>
  <c r="G4637" i="1" s="1"/>
  <c r="G4638" i="1" s="1"/>
  <c r="G4639" i="1" s="1"/>
  <c r="G4640" i="1" s="1"/>
  <c r="G4641" i="1" s="1"/>
  <c r="G4642" i="1" s="1"/>
  <c r="G4643" i="1" s="1"/>
  <c r="G4644" i="1" s="1"/>
  <c r="G4645" i="1" s="1"/>
  <c r="G4646" i="1" s="1"/>
  <c r="G4647" i="1" s="1"/>
  <c r="G4648" i="1" s="1"/>
  <c r="G4649" i="1" s="1"/>
  <c r="G4650" i="1" s="1"/>
  <c r="G4651" i="1" s="1"/>
  <c r="G4652" i="1" s="1"/>
  <c r="G4653" i="1" s="1"/>
  <c r="G4654" i="1" s="1"/>
  <c r="G4655" i="1" s="1"/>
  <c r="G4656" i="1" s="1"/>
  <c r="G4657" i="1" s="1"/>
  <c r="G4658" i="1" s="1"/>
  <c r="G4659" i="1" s="1"/>
  <c r="G4660" i="1" s="1"/>
  <c r="G4661" i="1" s="1"/>
  <c r="G4662" i="1" s="1"/>
  <c r="G4663" i="1" s="1"/>
  <c r="G4664" i="1" s="1"/>
  <c r="G4665" i="1" s="1"/>
  <c r="G4666" i="1" s="1"/>
  <c r="G4667" i="1" s="1"/>
  <c r="G4668" i="1" s="1"/>
  <c r="G4669" i="1" s="1"/>
  <c r="G4670" i="1" s="1"/>
  <c r="G4671" i="1" s="1"/>
  <c r="G4672" i="1" s="1"/>
  <c r="G4673" i="1" s="1"/>
  <c r="G467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50" i="2"/>
  <c r="A51" i="2" s="1"/>
  <c r="A49" i="2"/>
  <c r="C3383" i="1" l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115" i="2" l="1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A117" i="2" l="1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A4530" i="1" l="1"/>
  <c r="B4529" i="1"/>
  <c r="H3391" i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N4529" i="1" l="1" a="1"/>
  <c r="N4529" i="1" s="1"/>
  <c r="K4529" i="1" a="1"/>
  <c r="K4529" i="1" s="1"/>
  <c r="J4529" i="1" a="1"/>
  <c r="J4529" i="1" s="1"/>
  <c r="O4529" i="1" a="1"/>
  <c r="O4529" i="1" s="1"/>
  <c r="P4529" i="1" a="1"/>
  <c r="P4529" i="1" s="1"/>
  <c r="L4529" i="1" a="1"/>
  <c r="L4529" i="1" s="1"/>
  <c r="M4529" i="1" a="1"/>
  <c r="M4529" i="1" s="1"/>
  <c r="B4530" i="1"/>
  <c r="A4531" i="1"/>
  <c r="L3392" i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K4530" i="1" l="1" a="1"/>
  <c r="K4530" i="1" s="1"/>
  <c r="O4530" i="1" a="1"/>
  <c r="O4530" i="1" s="1"/>
  <c r="L4530" i="1" a="1"/>
  <c r="L4530" i="1" s="1"/>
  <c r="P4530" i="1" a="1"/>
  <c r="P4530" i="1" s="1"/>
  <c r="M4530" i="1" a="1"/>
  <c r="M4530" i="1" s="1"/>
  <c r="N4530" i="1" a="1"/>
  <c r="N4530" i="1" s="1"/>
  <c r="J4530" i="1" a="1"/>
  <c r="J4530" i="1" s="1"/>
  <c r="A4532" i="1"/>
  <c r="B4531" i="1"/>
  <c r="I3393" i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O4531" i="1" l="1" a="1"/>
  <c r="O4531" i="1" s="1"/>
  <c r="K4531" i="1" a="1"/>
  <c r="K4531" i="1" s="1"/>
  <c r="P4531" i="1" a="1"/>
  <c r="P4531" i="1" s="1"/>
  <c r="L4531" i="1" a="1"/>
  <c r="L4531" i="1" s="1"/>
  <c r="J4531" i="1" a="1"/>
  <c r="J4531" i="1" s="1"/>
  <c r="M4531" i="1" a="1"/>
  <c r="M4531" i="1" s="1"/>
  <c r="N4531" i="1" a="1"/>
  <c r="N4531" i="1" s="1"/>
  <c r="B4532" i="1"/>
  <c r="A4533" i="1"/>
  <c r="H3394" i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A4534" i="1" l="1"/>
  <c r="P4532" i="1" a="1"/>
  <c r="P4532" i="1" s="1"/>
  <c r="B4533" i="1"/>
  <c r="M4532" i="1" a="1"/>
  <c r="M4532" i="1" s="1"/>
  <c r="K3395" i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A4535" i="1" l="1"/>
  <c r="M4533" i="1" a="1"/>
  <c r="M4533" i="1" s="1"/>
  <c r="B4534" i="1"/>
  <c r="P4533" i="1" a="1"/>
  <c r="P4533" i="1" s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B4535" i="1"/>
  <c r="A4536" i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4536" i="1" l="1"/>
  <c r="M4535" i="1" a="1"/>
  <c r="M4535" i="1" s="1"/>
  <c r="P4535" i="1" a="1"/>
  <c r="P4535" i="1" s="1"/>
  <c r="A4537" i="1"/>
  <c r="B3399" i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A4538" i="1" l="1"/>
  <c r="B4537" i="1"/>
  <c r="M4536" i="1" a="1"/>
  <c r="M4536" i="1" s="1"/>
  <c r="P4536" i="1" a="1"/>
  <c r="P4536" i="1" s="1"/>
  <c r="H3399" i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B4538" i="1" l="1"/>
  <c r="M4537" i="1" a="1"/>
  <c r="M4537" i="1" s="1"/>
  <c r="P4537" i="1" a="1"/>
  <c r="P4537" i="1" s="1"/>
  <c r="A4539" i="1"/>
  <c r="L3400" i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M4538" i="1" l="1" a="1"/>
  <c r="M4538" i="1" s="1"/>
  <c r="B4539" i="1"/>
  <c r="P4538" i="1" a="1"/>
  <c r="P4538" i="1" s="1"/>
  <c r="A4540" i="1"/>
  <c r="I3401" i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A4541" i="1" l="1"/>
  <c r="B4540" i="1"/>
  <c r="P4539" i="1" a="1"/>
  <c r="P4539" i="1" s="1"/>
  <c r="M4539" i="1" a="1"/>
  <c r="M4539" i="1" s="1"/>
  <c r="H3402" i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P4540" i="1" l="1" a="1"/>
  <c r="P4540" i="1" s="1"/>
  <c r="M4540" i="1" a="1"/>
  <c r="M4540" i="1" s="1"/>
  <c r="B4541" i="1"/>
  <c r="A4542" i="1"/>
  <c r="K3403" i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A4543" i="1" l="1"/>
  <c r="P4541" i="1" a="1"/>
  <c r="P4541" i="1" s="1"/>
  <c r="M4541" i="1" a="1"/>
  <c r="M4541" i="1" s="1"/>
  <c r="B4542" i="1"/>
  <c r="H3404" i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M4542" i="1" l="1" a="1"/>
  <c r="M4542" i="1" s="1"/>
  <c r="P4542" i="1" a="1"/>
  <c r="P4542" i="1" s="1"/>
  <c r="B4543" i="1"/>
  <c r="A4544" i="1"/>
  <c r="I3405" i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A4545" i="1" l="1"/>
  <c r="B4544" i="1"/>
  <c r="M4543" i="1" a="1"/>
  <c r="M4543" i="1" s="1"/>
  <c r="P4543" i="1" a="1"/>
  <c r="P4543" i="1" s="1"/>
  <c r="H3406" i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B4545" i="1" l="1"/>
  <c r="M4544" i="1" a="1"/>
  <c r="M4544" i="1" s="1"/>
  <c r="P4544" i="1" a="1"/>
  <c r="P4544" i="1" s="1"/>
  <c r="A4546" i="1"/>
  <c r="K3407" i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B4546" i="1" l="1"/>
  <c r="M4545" i="1" a="1"/>
  <c r="M4545" i="1" s="1"/>
  <c r="P4545" i="1" a="1"/>
  <c r="P4545" i="1" s="1"/>
  <c r="A4547" i="1"/>
  <c r="L3408" i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A4548" i="1" l="1"/>
  <c r="P4546" i="1" a="1"/>
  <c r="P4546" i="1" s="1"/>
  <c r="B4547" i="1"/>
  <c r="M4546" i="1" a="1"/>
  <c r="M4546" i="1" s="1"/>
  <c r="I3409" i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B4548" i="1" l="1"/>
  <c r="P4547" i="1" a="1"/>
  <c r="P4547" i="1" s="1"/>
  <c r="M4547" i="1" a="1"/>
  <c r="M4547" i="1" s="1"/>
  <c r="A4549" i="1"/>
  <c r="H3410" i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A4550" i="1" l="1"/>
  <c r="P4548" i="1" a="1"/>
  <c r="P4548" i="1" s="1"/>
  <c r="B4549" i="1"/>
  <c r="M4548" i="1" a="1"/>
  <c r="M4548" i="1" s="1"/>
  <c r="K3411" i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P4549" i="1" l="1" a="1"/>
  <c r="P4549" i="1" s="1"/>
  <c r="B4550" i="1"/>
  <c r="M4549" i="1" a="1"/>
  <c r="M4549" i="1" s="1"/>
  <c r="A4551" i="1"/>
  <c r="L3412" i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P4550" i="1" l="1" a="1"/>
  <c r="P4550" i="1" s="1"/>
  <c r="B4551" i="1"/>
  <c r="M4550" i="1" a="1"/>
  <c r="M4550" i="1" s="1"/>
  <c r="A4552" i="1"/>
  <c r="H3413" i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B4552" i="1" l="1"/>
  <c r="P4551" i="1" a="1"/>
  <c r="P4551" i="1" s="1"/>
  <c r="M4551" i="1" a="1"/>
  <c r="M4551" i="1" s="1"/>
  <c r="A4553" i="1"/>
  <c r="J3414" i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A4554" i="1" l="1"/>
  <c r="M4552" i="1" a="1"/>
  <c r="M4552" i="1" s="1"/>
  <c r="P4552" i="1" a="1"/>
  <c r="P4552" i="1" s="1"/>
  <c r="B4553" i="1"/>
  <c r="H3415" i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M4553" i="1" l="1" a="1"/>
  <c r="M4553" i="1" s="1"/>
  <c r="P4553" i="1" a="1"/>
  <c r="P4553" i="1" s="1"/>
  <c r="B4554" i="1"/>
  <c r="A4555" i="1"/>
  <c r="L3416" i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B4555" i="1" l="1"/>
  <c r="M4554" i="1" a="1"/>
  <c r="M4554" i="1" s="1"/>
  <c r="P4554" i="1" a="1"/>
  <c r="P4554" i="1" s="1"/>
  <c r="A4556" i="1"/>
  <c r="I3417" i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A4557" i="1" l="1"/>
  <c r="B4556" i="1"/>
  <c r="M4555" i="1" a="1"/>
  <c r="M4555" i="1" s="1"/>
  <c r="P4555" i="1" a="1"/>
  <c r="P4555" i="1" s="1"/>
  <c r="H3418" i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P4556" i="1" l="1" a="1"/>
  <c r="P4556" i="1" s="1"/>
  <c r="B4557" i="1"/>
  <c r="M4556" i="1" a="1"/>
  <c r="M4556" i="1" s="1"/>
  <c r="A4558" i="1"/>
  <c r="K3419" i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A4559" i="1" l="1"/>
  <c r="P4557" i="1" a="1"/>
  <c r="P4557" i="1" s="1"/>
  <c r="B4558" i="1"/>
  <c r="M4557" i="1" a="1"/>
  <c r="M4557" i="1" s="1"/>
  <c r="L3420" i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P4558" i="1" l="1" a="1"/>
  <c r="P4558" i="1" s="1"/>
  <c r="B4559" i="1"/>
  <c r="M4558" i="1" a="1"/>
  <c r="M4558" i="1" s="1"/>
  <c r="A4560" i="1"/>
  <c r="H3421" i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4560" i="1" l="1"/>
  <c r="P4559" i="1" a="1"/>
  <c r="P4559" i="1" s="1"/>
  <c r="M4559" i="1" a="1"/>
  <c r="M4559" i="1" s="1"/>
  <c r="A4561" i="1"/>
  <c r="B3423" i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A4562" i="1" l="1"/>
  <c r="M4560" i="1" a="1"/>
  <c r="M4560" i="1" s="1"/>
  <c r="B4561" i="1"/>
  <c r="P4560" i="1" a="1"/>
  <c r="P4560" i="1" s="1"/>
  <c r="H3423" i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P4561" i="1" l="1" a="1"/>
  <c r="P4561" i="1" s="1"/>
  <c r="M4561" i="1" a="1"/>
  <c r="M4561" i="1" s="1"/>
  <c r="B4562" i="1"/>
  <c r="A4563" i="1"/>
  <c r="I3424" i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A4564" i="1" l="1"/>
  <c r="M4562" i="1" a="1"/>
  <c r="M4562" i="1" s="1"/>
  <c r="B4563" i="1"/>
  <c r="P4562" i="1" a="1"/>
  <c r="P4562" i="1" s="1"/>
  <c r="M3425" i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B4564" i="1" l="1"/>
  <c r="M4563" i="1" a="1"/>
  <c r="M4563" i="1" s="1"/>
  <c r="P4563" i="1" a="1"/>
  <c r="P4563" i="1" s="1"/>
  <c r="A4565" i="1"/>
  <c r="H3426" i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A4566" i="1" l="1"/>
  <c r="B4565" i="1"/>
  <c r="M4564" i="1" a="1"/>
  <c r="M4564" i="1" s="1"/>
  <c r="P4564" i="1" a="1"/>
  <c r="P4564" i="1" s="1"/>
  <c r="B3428" i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M4565" i="1" l="1" a="1"/>
  <c r="M4565" i="1" s="1"/>
  <c r="B4566" i="1"/>
  <c r="P4565" i="1" a="1"/>
  <c r="P4565" i="1" s="1"/>
  <c r="A4567" i="1"/>
  <c r="H3428" i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A4568" i="1" l="1"/>
  <c r="P4566" i="1" a="1"/>
  <c r="P4566" i="1" s="1"/>
  <c r="B4567" i="1"/>
  <c r="M4566" i="1" a="1"/>
  <c r="M4566" i="1" s="1"/>
  <c r="L3429" i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B4568" i="1" l="1"/>
  <c r="P4567" i="1" a="1"/>
  <c r="P4567" i="1" s="1"/>
  <c r="M4567" i="1" a="1"/>
  <c r="M4567" i="1" s="1"/>
  <c r="A4569" i="1"/>
  <c r="I3430" i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4570" i="1" l="1"/>
  <c r="P4568" i="1" a="1"/>
  <c r="P4568" i="1" s="1"/>
  <c r="M4568" i="1" a="1"/>
  <c r="M4568" i="1" s="1"/>
  <c r="B4569" i="1"/>
  <c r="A3432" i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P4569" i="1" l="1" a="1"/>
  <c r="P4569" i="1" s="1"/>
  <c r="B4570" i="1"/>
  <c r="M4569" i="1" a="1"/>
  <c r="M4569" i="1" s="1"/>
  <c r="A4571" i="1"/>
  <c r="K3432" i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M4570" i="1" l="1" a="1"/>
  <c r="M4570" i="1" s="1"/>
  <c r="B4571" i="1"/>
  <c r="P4570" i="1" a="1"/>
  <c r="P4570" i="1" s="1"/>
  <c r="A4572" i="1"/>
  <c r="L3433" i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A4573" i="1" l="1"/>
  <c r="B4572" i="1"/>
  <c r="M4571" i="1" a="1"/>
  <c r="M4571" i="1" s="1"/>
  <c r="P4571" i="1" a="1"/>
  <c r="P4571" i="1" s="1"/>
  <c r="I3434" i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B4573" i="1" l="1"/>
  <c r="M4572" i="1" a="1"/>
  <c r="M4572" i="1" s="1"/>
  <c r="P4572" i="1" a="1"/>
  <c r="P4572" i="1" s="1"/>
  <c r="A4574" i="1"/>
  <c r="A3436" i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A4575" i="1" l="1"/>
  <c r="B4574" i="1"/>
  <c r="M4573" i="1" a="1"/>
  <c r="M4573" i="1" s="1"/>
  <c r="P4573" i="1" a="1"/>
  <c r="P4573" i="1" s="1"/>
  <c r="K3436" i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B4575" i="1" l="1"/>
  <c r="M4574" i="1" a="1"/>
  <c r="M4574" i="1" s="1"/>
  <c r="P4574" i="1" a="1"/>
  <c r="P4574" i="1" s="1"/>
  <c r="A4576" i="1"/>
  <c r="I3437" i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B4576" i="1" l="1"/>
  <c r="P4575" i="1" a="1"/>
  <c r="P4575" i="1" s="1"/>
  <c r="M4575" i="1" a="1"/>
  <c r="M4575" i="1" s="1"/>
  <c r="A4577" i="1"/>
  <c r="H3438" i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A4578" i="1" l="1"/>
  <c r="P4576" i="1" a="1"/>
  <c r="P4576" i="1" s="1"/>
  <c r="B4577" i="1"/>
  <c r="M4576" i="1" a="1"/>
  <c r="M4576" i="1" s="1"/>
  <c r="B3440" i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P4577" i="1" l="1" a="1"/>
  <c r="P4577" i="1" s="1"/>
  <c r="M4577" i="1" a="1"/>
  <c r="M4577" i="1" s="1"/>
  <c r="B4578" i="1"/>
  <c r="A4579" i="1"/>
  <c r="H3440" i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P4578" i="1" l="1" a="1"/>
  <c r="P4578" i="1" s="1"/>
  <c r="M4578" i="1" a="1"/>
  <c r="M4578" i="1" s="1"/>
  <c r="B4579" i="1"/>
  <c r="A4580" i="1"/>
  <c r="I3441" i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A4581" i="1" l="1"/>
  <c r="B4580" i="1"/>
  <c r="P4579" i="1" a="1"/>
  <c r="P4579" i="1" s="1"/>
  <c r="M4579" i="1" a="1"/>
  <c r="M4579" i="1" s="1"/>
  <c r="H3442" i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M4580" i="1" l="1" a="1"/>
  <c r="M4580" i="1" s="1"/>
  <c r="P4580" i="1" a="1"/>
  <c r="P4580" i="1" s="1"/>
  <c r="B4581" i="1"/>
  <c r="A4582" i="1"/>
  <c r="B3444" i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B4582" i="1" l="1"/>
  <c r="P4581" i="1" a="1"/>
  <c r="P4581" i="1" s="1"/>
  <c r="M4581" i="1" a="1"/>
  <c r="M4581" i="1" s="1"/>
  <c r="A4583" i="1"/>
  <c r="H3444" i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A4584" i="1" l="1"/>
  <c r="M4582" i="1" a="1"/>
  <c r="M4582" i="1" s="1"/>
  <c r="P4582" i="1" a="1"/>
  <c r="P4582" i="1" s="1"/>
  <c r="B4583" i="1"/>
  <c r="B3446" i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M4583" i="1" l="1" a="1"/>
  <c r="M4583" i="1" s="1"/>
  <c r="B4584" i="1"/>
  <c r="P4583" i="1" a="1"/>
  <c r="P4583" i="1" s="1"/>
  <c r="A4585" i="1"/>
  <c r="H3446" i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A4586" i="1" l="1"/>
  <c r="P4584" i="1" a="1"/>
  <c r="P4584" i="1" s="1"/>
  <c r="M4584" i="1" a="1"/>
  <c r="M4584" i="1" s="1"/>
  <c r="B4585" i="1"/>
  <c r="I3447" i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B4586" i="1" l="1"/>
  <c r="M4585" i="1" a="1"/>
  <c r="M4585" i="1" s="1"/>
  <c r="P4585" i="1" a="1"/>
  <c r="P4585" i="1" s="1"/>
  <c r="A4587" i="1"/>
  <c r="I3448" i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A4588" i="1" l="1"/>
  <c r="P4586" i="1" a="1"/>
  <c r="P4586" i="1" s="1"/>
  <c r="M4586" i="1" a="1"/>
  <c r="M4586" i="1" s="1"/>
  <c r="B4587" i="1"/>
  <c r="H3449" i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B4588" i="1" l="1"/>
  <c r="M4587" i="1" a="1"/>
  <c r="M4587" i="1" s="1"/>
  <c r="P4587" i="1" a="1"/>
  <c r="P4587" i="1" s="1"/>
  <c r="A4589" i="1"/>
  <c r="M3450" i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M4588" i="1" l="1" a="1"/>
  <c r="M4588" i="1" s="1"/>
  <c r="B4589" i="1"/>
  <c r="P4588" i="1" a="1"/>
  <c r="P4588" i="1" s="1"/>
  <c r="A4590" i="1"/>
  <c r="H3451" i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A4591" i="1" l="1"/>
  <c r="B4590" i="1"/>
  <c r="P4589" i="1" a="1"/>
  <c r="P4589" i="1" s="1"/>
  <c r="M4589" i="1" a="1"/>
  <c r="M4589" i="1" s="1"/>
  <c r="L3452" i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M4590" i="1" l="1" a="1"/>
  <c r="M4590" i="1" s="1"/>
  <c r="B4591" i="1"/>
  <c r="P4590" i="1" a="1"/>
  <c r="P4590" i="1" s="1"/>
  <c r="A4592" i="1"/>
  <c r="A3454" i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A4593" i="1" l="1"/>
  <c r="P4591" i="1" a="1"/>
  <c r="P4591" i="1" s="1"/>
  <c r="B4592" i="1"/>
  <c r="M4591" i="1" a="1"/>
  <c r="M4591" i="1" s="1"/>
  <c r="K3454" i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B4593" i="1" l="1"/>
  <c r="M4592" i="1" a="1"/>
  <c r="M4592" i="1" s="1"/>
  <c r="P4592" i="1" a="1"/>
  <c r="P4592" i="1" s="1"/>
  <c r="A4594" i="1"/>
  <c r="L3455" i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B4594" i="1" l="1"/>
  <c r="P4593" i="1" a="1"/>
  <c r="P4593" i="1" s="1"/>
  <c r="M4593" i="1" a="1"/>
  <c r="M4593" i="1" s="1"/>
  <c r="A4595" i="1"/>
  <c r="I3456" i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A4596" i="1" l="1"/>
  <c r="P4594" i="1" a="1"/>
  <c r="P4594" i="1" s="1"/>
  <c r="B4595" i="1"/>
  <c r="M4594" i="1" a="1"/>
  <c r="M4594" i="1" s="1"/>
  <c r="A3458" i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M4595" i="1" l="1" a="1"/>
  <c r="M4595" i="1" s="1"/>
  <c r="B4596" i="1"/>
  <c r="P4595" i="1" a="1"/>
  <c r="P4595" i="1" s="1"/>
  <c r="A4597" i="1"/>
  <c r="K3458" i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P4596" i="1" l="1" a="1"/>
  <c r="P4596" i="1" s="1"/>
  <c r="B4597" i="1"/>
  <c r="M4596" i="1" a="1"/>
  <c r="M4596" i="1" s="1"/>
  <c r="A4598" i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4599" i="1" l="1"/>
  <c r="B4598" i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P4598" i="1" l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M4599" i="1" l="1" a="1"/>
  <c r="M4599" i="1" s="1"/>
  <c r="B4600" i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M4600" i="1" l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4603" i="1" l="1"/>
  <c r="B4602" i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B4603" i="1" l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P4603" i="1" l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P4604" i="1" l="1" a="1"/>
  <c r="P4604" i="1" s="1"/>
  <c r="B4605" i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B4606" i="1" l="1"/>
  <c r="P4605" i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4608" i="1" l="1"/>
  <c r="P4606" i="1" a="1"/>
  <c r="P4606" i="1" s="1"/>
  <c r="B4607" i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A4609" i="1" l="1"/>
  <c r="P4607" i="1" a="1"/>
  <c r="P4607" i="1" s="1"/>
  <c r="M4607" i="1" a="1"/>
  <c r="M4607" i="1" s="1"/>
  <c r="B4608" i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4610" i="1" l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A4611" i="1" l="1"/>
  <c r="B4610" i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B4611" i="1" l="1"/>
  <c r="M4610" i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A4613" i="1" l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P4612" i="1" l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B4614" i="1" l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A4616" i="1" l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P4615" i="1" l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A4618" i="1" l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B4618" i="1" l="1"/>
  <c r="M4617" i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A4620" i="1" l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B4620" i="1" l="1"/>
  <c r="M4619" i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A4622" i="1" l="1"/>
  <c r="B4621" i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B4622" i="1" l="1"/>
  <c r="M4621" i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A4624" i="1" l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P4623" i="1" l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B4625" i="1" l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A4627" i="1" l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P4626" i="1" l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P4627" i="1" l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4630" i="1" l="1"/>
  <c r="B4629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B4630" i="1" l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B4631" i="1" l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A4633" i="1" l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A4634" i="1" l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P4633" i="1" l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B4635" i="1" l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M4635" i="1" l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4638" i="1" l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M4637" i="1" l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A4640" i="1" l="1"/>
  <c r="P4638" i="1" a="1"/>
  <c r="P4638" i="1" s="1"/>
  <c r="B4639" i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A4641" i="1" l="1"/>
  <c r="P4639" i="1" a="1"/>
  <c r="P4639" i="1" s="1"/>
  <c r="B4640" i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B4641" i="1" l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A4643" i="1" l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M4642" i="1" l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A4645" i="1" l="1"/>
  <c r="P4643" i="1" a="1"/>
  <c r="P4643" i="1" s="1"/>
  <c r="B4644" i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B4645" i="1" l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A4647" i="1" l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M4646" i="1" l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M4647" i="1" l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B4649" i="1" l="1"/>
  <c r="P4648" i="1" a="1"/>
  <c r="P4648" i="1" s="1"/>
  <c r="M4648" i="1" a="1"/>
  <c r="M4648" i="1" s="1"/>
  <c r="A4650" i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A4651" i="1" l="1"/>
  <c r="P4649" i="1" a="1"/>
  <c r="P4649" i="1" s="1"/>
  <c r="B4650" i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B4651" i="1" l="1"/>
  <c r="M4650" i="1" a="1"/>
  <c r="M4650" i="1" s="1"/>
  <c r="P4650" i="1" a="1"/>
  <c r="P4650" i="1" s="1"/>
  <c r="A4652" i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A4653" i="1" l="1"/>
  <c r="M4651" i="1" a="1"/>
  <c r="M4651" i="1" s="1"/>
  <c r="B4652" i="1"/>
  <c r="P4651" i="1" a="1"/>
  <c r="P4651" i="1" s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B4653" i="1" l="1"/>
  <c r="M4652" i="1" a="1"/>
  <c r="M4652" i="1" s="1"/>
  <c r="P4652" i="1" a="1"/>
  <c r="P4652" i="1" s="1"/>
  <c r="A4654" i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A4655" i="1" l="1"/>
  <c r="P4653" i="1" a="1"/>
  <c r="P4653" i="1" s="1"/>
  <c r="B4654" i="1"/>
  <c r="M4653" i="1" a="1"/>
  <c r="M4653" i="1" s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P4654" i="1" l="1" a="1"/>
  <c r="P4654" i="1" s="1"/>
  <c r="B4655" i="1"/>
  <c r="M4654" i="1" a="1"/>
  <c r="M4654" i="1" s="1"/>
  <c r="A4656" i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P4655" i="1" l="1" a="1"/>
  <c r="P4655" i="1" s="1"/>
  <c r="B4656" i="1"/>
  <c r="M4655" i="1" a="1"/>
  <c r="M4655" i="1" s="1"/>
  <c r="A4657" i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A4658" i="1" l="1"/>
  <c r="B4657" i="1"/>
  <c r="M4656" i="1" a="1"/>
  <c r="M4656" i="1" s="1"/>
  <c r="P4656" i="1" a="1"/>
  <c r="P4656" i="1" s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M4657" i="1" l="1" a="1"/>
  <c r="M4657" i="1" s="1"/>
  <c r="B4658" i="1"/>
  <c r="P4657" i="1" a="1"/>
  <c r="P4657" i="1" s="1"/>
  <c r="A4659" i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A4660" i="1" l="1"/>
  <c r="P4658" i="1" a="1"/>
  <c r="P4658" i="1" s="1"/>
  <c r="B4659" i="1"/>
  <c r="M4658" i="1" a="1"/>
  <c r="M4658" i="1" s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I3523" i="1" l="1" a="1"/>
  <c r="I3523" i="1" s="1"/>
  <c r="A3524" i="1"/>
  <c r="H3523" i="1"/>
  <c r="P4659" i="1" a="1"/>
  <c r="P4659" i="1" s="1"/>
  <c r="B4660" i="1"/>
  <c r="M4659" i="1" a="1"/>
  <c r="M4659" i="1" s="1"/>
  <c r="A4661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A3525" i="1" l="1"/>
  <c r="I3524" i="1" a="1"/>
  <c r="I3524" i="1" s="1"/>
  <c r="H3524" i="1"/>
  <c r="B4661" i="1"/>
  <c r="P4660" i="1" a="1"/>
  <c r="P4660" i="1" s="1"/>
  <c r="M4660" i="1" a="1"/>
  <c r="M4660" i="1" s="1"/>
  <c r="A4662" i="1"/>
  <c r="A3526" i="1" l="1"/>
  <c r="I3525" i="1" a="1"/>
  <c r="I3525" i="1" s="1"/>
  <c r="H3525" i="1"/>
  <c r="A4663" i="1"/>
  <c r="M4661" i="1" a="1"/>
  <c r="M4661" i="1" s="1"/>
  <c r="P4661" i="1" a="1"/>
  <c r="P4661" i="1" s="1"/>
  <c r="B4662" i="1"/>
  <c r="A3527" i="1" l="1"/>
  <c r="L3526" i="1" a="1"/>
  <c r="L3526" i="1" s="1"/>
  <c r="H3526" i="1"/>
  <c r="M4662" i="1" a="1"/>
  <c r="M4662" i="1" s="1"/>
  <c r="B4663" i="1"/>
  <c r="P4662" i="1" a="1"/>
  <c r="P4662" i="1" s="1"/>
  <c r="A4664" i="1"/>
  <c r="L3527" i="1" l="1" a="1"/>
  <c r="L3527" i="1" s="1"/>
  <c r="A3528" i="1"/>
  <c r="H3527" i="1"/>
  <c r="B4664" i="1"/>
  <c r="M4663" i="1" a="1"/>
  <c r="M4663" i="1" s="1"/>
  <c r="P4663" i="1" a="1"/>
  <c r="P4663" i="1" s="1"/>
  <c r="A4665" i="1"/>
  <c r="A3529" i="1" l="1"/>
  <c r="O3528" i="1" a="1"/>
  <c r="O3528" i="1" s="1"/>
  <c r="H3528" i="1"/>
  <c r="A4666" i="1"/>
  <c r="B4665" i="1"/>
  <c r="M4664" i="1" a="1"/>
  <c r="M4664" i="1" s="1"/>
  <c r="P4664" i="1" a="1"/>
  <c r="P4664" i="1" s="1"/>
  <c r="A3530" i="1" l="1"/>
  <c r="H3529" i="1"/>
  <c r="O3529" i="1" a="1"/>
  <c r="O3529" i="1" s="1"/>
  <c r="P4665" i="1" a="1"/>
  <c r="P4665" i="1" s="1"/>
  <c r="B4666" i="1"/>
  <c r="M4665" i="1" a="1"/>
  <c r="M4665" i="1" s="1"/>
  <c r="A4667" i="1"/>
  <c r="A3531" i="1" l="1"/>
  <c r="H3530" i="1"/>
  <c r="O3530" i="1" a="1"/>
  <c r="O3530" i="1" s="1"/>
  <c r="P4666" i="1" a="1"/>
  <c r="P4666" i="1" s="1"/>
  <c r="B4667" i="1"/>
  <c r="M4666" i="1" a="1"/>
  <c r="M4666" i="1" s="1"/>
  <c r="A4668" i="1"/>
  <c r="A3532" i="1" l="1"/>
  <c r="H3531" i="1"/>
  <c r="O3531" i="1" a="1"/>
  <c r="O3531" i="1" s="1"/>
  <c r="A4669" i="1"/>
  <c r="P4667" i="1" a="1"/>
  <c r="P4667" i="1" s="1"/>
  <c r="M4667" i="1" a="1"/>
  <c r="M4667" i="1" s="1"/>
  <c r="B4668" i="1"/>
  <c r="A3533" i="1" l="1"/>
  <c r="O3532" i="1" a="1"/>
  <c r="O3532" i="1" s="1"/>
  <c r="H3532" i="1"/>
  <c r="A4670" i="1"/>
  <c r="B4669" i="1"/>
  <c r="M4668" i="1" a="1"/>
  <c r="M4668" i="1" s="1"/>
  <c r="P4668" i="1" a="1"/>
  <c r="P4668" i="1" s="1"/>
  <c r="A3534" i="1" l="1"/>
  <c r="H3533" i="1"/>
  <c r="O3533" i="1" a="1"/>
  <c r="O3533" i="1" s="1"/>
  <c r="P4669" i="1" a="1"/>
  <c r="P4669" i="1" s="1"/>
  <c r="M4669" i="1" a="1"/>
  <c r="M4669" i="1" s="1"/>
  <c r="B4670" i="1"/>
  <c r="A4671" i="1"/>
  <c r="A3535" i="1" l="1"/>
  <c r="O3534" i="1" a="1"/>
  <c r="O3534" i="1" s="1"/>
  <c r="H3534" i="1"/>
  <c r="P4670" i="1" a="1"/>
  <c r="P4670" i="1" s="1"/>
  <c r="B4671" i="1"/>
  <c r="M4670" i="1" a="1"/>
  <c r="M4670" i="1" s="1"/>
  <c r="A4672" i="1"/>
  <c r="A3536" i="1" l="1"/>
  <c r="H3535" i="1"/>
  <c r="O3535" i="1" a="1"/>
  <c r="O3535" i="1" s="1"/>
  <c r="B4672" i="1"/>
  <c r="M4671" i="1" a="1"/>
  <c r="M4671" i="1" s="1"/>
  <c r="P4671" i="1" a="1"/>
  <c r="P4671" i="1" s="1"/>
  <c r="A4673" i="1"/>
  <c r="A3537" i="1" l="1"/>
  <c r="H3536" i="1"/>
  <c r="O3536" i="1" a="1"/>
  <c r="O3536" i="1" s="1"/>
  <c r="A4674" i="1"/>
  <c r="B4673" i="1"/>
  <c r="P4672" i="1" a="1"/>
  <c r="P4672" i="1" s="1"/>
  <c r="M4672" i="1" a="1"/>
  <c r="M4672" i="1" s="1"/>
  <c r="A3538" i="1" l="1"/>
  <c r="H3537" i="1"/>
  <c r="O3537" i="1" a="1"/>
  <c r="O3537" i="1" s="1"/>
  <c r="M4673" i="1" a="1"/>
  <c r="M4673" i="1" s="1"/>
  <c r="B4674" i="1"/>
  <c r="P4673" i="1" a="1"/>
  <c r="P4673" i="1" s="1"/>
  <c r="C139" i="2" l="1"/>
  <c r="E139" i="2"/>
  <c r="E141" i="2"/>
  <c r="D139" i="2"/>
  <c r="C141" i="2"/>
  <c r="D141" i="2"/>
  <c r="D119" i="2"/>
  <c r="D118" i="2"/>
  <c r="C125" i="2"/>
  <c r="C118" i="2"/>
  <c r="E128" i="2"/>
  <c r="C135" i="2"/>
  <c r="C120" i="2"/>
  <c r="D132" i="2"/>
  <c r="E115" i="2"/>
  <c r="E135" i="2"/>
  <c r="D128" i="2"/>
  <c r="E132" i="2"/>
  <c r="D129" i="2"/>
  <c r="E136" i="2"/>
  <c r="D123" i="2"/>
  <c r="E119" i="2"/>
  <c r="E129" i="2"/>
  <c r="C129" i="2"/>
  <c r="C132" i="2"/>
  <c r="E123" i="2"/>
  <c r="D124" i="2"/>
  <c r="D131" i="2"/>
  <c r="D120" i="2"/>
  <c r="D114" i="2"/>
  <c r="D137" i="2"/>
  <c r="C115" i="2"/>
  <c r="D125" i="2"/>
  <c r="E114" i="2"/>
  <c r="C137" i="2"/>
  <c r="D115" i="2"/>
  <c r="E131" i="2"/>
  <c r="C119" i="2"/>
  <c r="C128" i="2"/>
  <c r="E125" i="2"/>
  <c r="E137" i="2"/>
  <c r="C124" i="2"/>
  <c r="E118" i="2"/>
  <c r="C131" i="2"/>
  <c r="C136" i="2"/>
  <c r="D135" i="2"/>
  <c r="E124" i="2"/>
  <c r="C123" i="2"/>
  <c r="D136" i="2"/>
  <c r="C114" i="2"/>
  <c r="A3539" i="1"/>
  <c r="O3538" i="1" a="1"/>
  <c r="O3538" i="1" s="1"/>
  <c r="H3538" i="1"/>
  <c r="E120" i="2"/>
  <c r="P4674" i="1" a="1"/>
  <c r="P4674" i="1" s="1"/>
  <c r="M4674" i="1" a="1"/>
  <c r="M4674" i="1" s="1"/>
  <c r="A3540" i="1" l="1"/>
  <c r="H3539" i="1"/>
  <c r="O3539" i="1" a="1"/>
  <c r="O3539" i="1" s="1"/>
  <c r="E67" i="2"/>
  <c r="C13" i="2"/>
  <c r="D55" i="2"/>
  <c r="C62" i="2"/>
  <c r="D109" i="2"/>
  <c r="D111" i="2"/>
  <c r="D23" i="2"/>
  <c r="E64" i="2"/>
  <c r="C90" i="2"/>
  <c r="C76" i="2"/>
  <c r="C71" i="2"/>
  <c r="D67" i="2"/>
  <c r="D83" i="2"/>
  <c r="E82" i="2"/>
  <c r="C91" i="2"/>
  <c r="C21" i="2"/>
  <c r="E20" i="2"/>
  <c r="C5" i="2"/>
  <c r="E70" i="2"/>
  <c r="C57" i="2"/>
  <c r="C25" i="2"/>
  <c r="E76" i="2"/>
  <c r="C39" i="2"/>
  <c r="D90" i="2"/>
  <c r="D26" i="2"/>
  <c r="D3" i="2"/>
  <c r="E57" i="2"/>
  <c r="D82" i="2"/>
  <c r="D30" i="2"/>
  <c r="C40" i="2"/>
  <c r="D50" i="2"/>
  <c r="D36" i="2"/>
  <c r="E6" i="2"/>
  <c r="D24" i="2"/>
  <c r="C9" i="2"/>
  <c r="E44" i="2"/>
  <c r="E37" i="2"/>
  <c r="E92" i="2"/>
  <c r="E13" i="2"/>
  <c r="D6" i="2"/>
  <c r="C19" i="2"/>
  <c r="D47" i="2"/>
  <c r="C79" i="2"/>
  <c r="E32" i="2"/>
  <c r="C34" i="2"/>
  <c r="D19" i="2"/>
  <c r="C6" i="2"/>
  <c r="E66" i="2"/>
  <c r="C56" i="2"/>
  <c r="D70" i="2"/>
  <c r="C72" i="2"/>
  <c r="C95" i="2"/>
  <c r="E35" i="2"/>
  <c r="D10" i="2"/>
  <c r="E80" i="2"/>
  <c r="E49" i="2"/>
  <c r="E100" i="2"/>
  <c r="E83" i="2"/>
  <c r="C80" i="2"/>
  <c r="E16" i="2"/>
  <c r="E50" i="2"/>
  <c r="C75" i="2"/>
  <c r="C55" i="2"/>
  <c r="C44" i="2"/>
  <c r="C36" i="2"/>
  <c r="D91" i="2"/>
  <c r="C11" i="2"/>
  <c r="D42" i="2"/>
  <c r="C105" i="2"/>
  <c r="C20" i="2"/>
  <c r="C30" i="2"/>
  <c r="E55" i="2"/>
  <c r="E10" i="2"/>
  <c r="C14" i="2"/>
  <c r="C66" i="2"/>
  <c r="E23" i="2"/>
  <c r="C85" i="2"/>
  <c r="E30" i="2"/>
  <c r="E79" i="2"/>
  <c r="C46" i="2"/>
  <c r="E46" i="2"/>
  <c r="C65" i="2"/>
  <c r="E91" i="2"/>
  <c r="D28" i="2"/>
  <c r="D39" i="2"/>
  <c r="E31" i="2"/>
  <c r="E39" i="2"/>
  <c r="E86" i="2"/>
  <c r="D86" i="2"/>
  <c r="E47" i="2"/>
  <c r="C31" i="2"/>
  <c r="C24" i="2"/>
  <c r="D44" i="2"/>
  <c r="C3" i="2"/>
  <c r="E85" i="2"/>
  <c r="D29" i="2"/>
  <c r="C67" i="2"/>
  <c r="D88" i="2"/>
  <c r="E34" i="2"/>
  <c r="E45" i="2"/>
  <c r="E19" i="2"/>
  <c r="D49" i="2"/>
  <c r="D71" i="2"/>
  <c r="E21" i="2"/>
  <c r="E62" i="2"/>
  <c r="C106" i="2"/>
  <c r="C32" i="2"/>
  <c r="C28" i="2"/>
  <c r="C53" i="2"/>
  <c r="D25" i="2"/>
  <c r="C10" i="2"/>
  <c r="C45" i="2"/>
  <c r="C23" i="2"/>
  <c r="E90" i="2"/>
  <c r="D37" i="2"/>
  <c r="C16" i="2"/>
  <c r="E56" i="2"/>
  <c r="C29" i="2"/>
  <c r="E105" i="2"/>
  <c r="E71" i="2"/>
  <c r="E88" i="2"/>
  <c r="D72" i="2"/>
  <c r="D16" i="2"/>
  <c r="C41" i="2"/>
  <c r="C64" i="2"/>
  <c r="E25" i="2"/>
  <c r="E5" i="2"/>
  <c r="D57" i="2"/>
  <c r="E95" i="2"/>
  <c r="E14" i="2"/>
  <c r="D32" i="2"/>
  <c r="C17" i="2"/>
  <c r="D20" i="2"/>
  <c r="E65" i="2"/>
  <c r="D13" i="2"/>
  <c r="C26" i="2"/>
  <c r="E28" i="2"/>
  <c r="D41" i="2"/>
  <c r="C88" i="2"/>
  <c r="C37" i="2"/>
  <c r="C7" i="2"/>
  <c r="E11" i="2"/>
  <c r="E36" i="2"/>
  <c r="E26" i="2"/>
  <c r="E51" i="2"/>
  <c r="D51" i="2"/>
  <c r="C99" i="2"/>
  <c r="C101" i="2"/>
  <c r="C96" i="2"/>
  <c r="E106" i="2"/>
  <c r="D95" i="2"/>
  <c r="E96" i="2"/>
  <c r="E101" i="2"/>
  <c r="E99" i="2"/>
  <c r="E40" i="2"/>
  <c r="C47" i="2"/>
  <c r="C51" i="2"/>
  <c r="E72" i="2"/>
  <c r="C100" i="2"/>
  <c r="D66" i="2"/>
  <c r="C86" i="2"/>
  <c r="D35" i="2"/>
  <c r="D7" i="2"/>
  <c r="E9" i="2"/>
  <c r="D11" i="2"/>
  <c r="E42" i="2"/>
  <c r="C42" i="2"/>
  <c r="E29" i="2"/>
  <c r="E75" i="2"/>
  <c r="D45" i="2"/>
  <c r="D56" i="2"/>
  <c r="D64" i="2"/>
  <c r="D60" i="2"/>
  <c r="D101" i="2"/>
  <c r="D31" i="2"/>
  <c r="D100" i="2"/>
  <c r="E24" i="2"/>
  <c r="D65" i="2"/>
  <c r="D79" i="2"/>
  <c r="D9" i="2"/>
  <c r="D53" i="2"/>
  <c r="E109" i="2"/>
  <c r="D106" i="2"/>
  <c r="E53" i="2"/>
  <c r="E3" i="2"/>
  <c r="C70" i="2"/>
  <c r="E110" i="2"/>
  <c r="C111" i="2"/>
  <c r="D40" i="2"/>
  <c r="C49" i="2"/>
  <c r="D76" i="2"/>
  <c r="E17" i="2"/>
  <c r="C82" i="2"/>
  <c r="E7" i="2"/>
  <c r="E60" i="2"/>
  <c r="D14" i="2"/>
  <c r="D75" i="2"/>
  <c r="C60" i="2"/>
  <c r="D80" i="2"/>
  <c r="C92" i="2"/>
  <c r="D85" i="2"/>
  <c r="D105" i="2"/>
  <c r="D62" i="2"/>
  <c r="C50" i="2"/>
  <c r="D21" i="2"/>
  <c r="C83" i="2"/>
  <c r="E41" i="2"/>
  <c r="D99" i="2"/>
  <c r="D110" i="2"/>
  <c r="D96" i="2"/>
  <c r="D17" i="2"/>
  <c r="E111" i="2"/>
  <c r="C35" i="2"/>
  <c r="C110" i="2"/>
  <c r="C109" i="2"/>
  <c r="D5" i="2"/>
  <c r="D92" i="2"/>
  <c r="D46" i="2"/>
  <c r="D34" i="2"/>
  <c r="A3541" i="1" l="1"/>
  <c r="O3540" i="1" a="1"/>
  <c r="O3540" i="1" s="1"/>
  <c r="H3540" i="1"/>
  <c r="I4438" i="1" a="1"/>
  <c r="I4438" i="1" s="1"/>
  <c r="A3542" i="1" l="1"/>
  <c r="H3541" i="1"/>
  <c r="O3541" i="1" a="1"/>
  <c r="O3541" i="1" s="1"/>
  <c r="C4439" i="1"/>
  <c r="H4438" i="1"/>
  <c r="A3543" i="1" l="1"/>
  <c r="H3542" i="1"/>
  <c r="O3542" i="1" a="1"/>
  <c r="O3542" i="1" s="1"/>
  <c r="I4439" i="1" a="1"/>
  <c r="I4439" i="1" s="1"/>
  <c r="C4440" i="1"/>
  <c r="I4440" i="1" s="1" a="1"/>
  <c r="I4440" i="1" s="1"/>
  <c r="H4439" i="1"/>
  <c r="A3544" i="1" l="1"/>
  <c r="H3543" i="1"/>
  <c r="O3543" i="1" a="1"/>
  <c r="O3543" i="1" s="1"/>
  <c r="C4441" i="1"/>
  <c r="H4440" i="1"/>
  <c r="A3545" i="1" l="1"/>
  <c r="O3544" i="1" a="1"/>
  <c r="O3544" i="1" s="1"/>
  <c r="H3544" i="1"/>
  <c r="I4441" i="1" a="1"/>
  <c r="I4441" i="1" s="1"/>
  <c r="I4442" i="1" a="1"/>
  <c r="I4442" i="1" s="1"/>
  <c r="H4441" i="1"/>
  <c r="A3546" i="1" l="1"/>
  <c r="O3545" i="1" a="1"/>
  <c r="O3545" i="1" s="1"/>
  <c r="H3545" i="1"/>
  <c r="C4443" i="1"/>
  <c r="H4442" i="1"/>
  <c r="A3547" i="1" l="1"/>
  <c r="H3546" i="1"/>
  <c r="O3546" i="1" a="1"/>
  <c r="O3546" i="1" s="1"/>
  <c r="I4443" i="1" a="1"/>
  <c r="I4443" i="1" s="1"/>
  <c r="I4444" i="1" a="1"/>
  <c r="I4444" i="1" s="1"/>
  <c r="H4443" i="1"/>
  <c r="A3548" i="1" l="1"/>
  <c r="H3547" i="1"/>
  <c r="O3547" i="1" a="1"/>
  <c r="O3547" i="1" s="1"/>
  <c r="I4445" i="1" a="1"/>
  <c r="I4445" i="1" s="1"/>
  <c r="H4444" i="1"/>
  <c r="A3549" i="1" l="1"/>
  <c r="O3548" i="1" a="1"/>
  <c r="O3548" i="1" s="1"/>
  <c r="H3548" i="1"/>
  <c r="I4446" i="1" a="1"/>
  <c r="I4446" i="1" s="1"/>
  <c r="H4445" i="1"/>
  <c r="A3550" i="1" l="1"/>
  <c r="O3549" i="1" a="1"/>
  <c r="O3549" i="1" s="1"/>
  <c r="H3549" i="1"/>
  <c r="I4447" i="1" a="1"/>
  <c r="I4447" i="1" s="1"/>
  <c r="H4446" i="1"/>
  <c r="A3551" i="1" l="1"/>
  <c r="H3550" i="1"/>
  <c r="O3550" i="1" a="1"/>
  <c r="O3550" i="1" s="1"/>
  <c r="C4448" i="1"/>
  <c r="H4447" i="1"/>
  <c r="O4447" i="1" a="1"/>
  <c r="O4447" i="1" s="1"/>
  <c r="A3552" i="1" l="1"/>
  <c r="I3551" i="1" a="1"/>
  <c r="I3551" i="1" s="1"/>
  <c r="H3551" i="1"/>
  <c r="I4448" i="1" a="1"/>
  <c r="I4448" i="1" s="1"/>
  <c r="C4449" i="1"/>
  <c r="H4448" i="1"/>
  <c r="O4448" i="1" a="1"/>
  <c r="O4448" i="1" s="1"/>
  <c r="A3553" i="1" l="1"/>
  <c r="I3552" i="1" a="1"/>
  <c r="I3552" i="1" s="1"/>
  <c r="H3552" i="1"/>
  <c r="I4449" i="1" a="1"/>
  <c r="I4449" i="1" s="1"/>
  <c r="C4450" i="1"/>
  <c r="H4449" i="1"/>
  <c r="O4449" i="1" a="1"/>
  <c r="O4449" i="1" s="1"/>
  <c r="A3554" i="1" l="1"/>
  <c r="I3553" i="1" a="1"/>
  <c r="I3553" i="1" s="1"/>
  <c r="H3553" i="1"/>
  <c r="I4450" i="1" a="1"/>
  <c r="I4450" i="1" s="1"/>
  <c r="H4450" i="1"/>
  <c r="O4450" i="1" a="1"/>
  <c r="O4450" i="1" s="1"/>
  <c r="A3555" i="1" l="1"/>
  <c r="I3554" i="1" a="1"/>
  <c r="I3554" i="1" s="1"/>
  <c r="H3554" i="1"/>
  <c r="I4451" i="1" a="1"/>
  <c r="I4451" i="1" s="1"/>
  <c r="K4451" i="1" a="1"/>
  <c r="K4451" i="1" s="1"/>
  <c r="H4451" i="1"/>
  <c r="A3556" i="1" l="1"/>
  <c r="I3555" i="1" a="1"/>
  <c r="I3555" i="1" s="1"/>
  <c r="H3555" i="1"/>
  <c r="I4452" i="1" a="1"/>
  <c r="I4452" i="1" s="1"/>
  <c r="K4452" i="1" a="1"/>
  <c r="K4452" i="1" s="1"/>
  <c r="C4453" i="1"/>
  <c r="H4452" i="1"/>
  <c r="A3557" i="1" l="1"/>
  <c r="I3556" i="1" a="1"/>
  <c r="I3556" i="1" s="1"/>
  <c r="H3556" i="1"/>
  <c r="I4453" i="1" a="1"/>
  <c r="I4453" i="1" s="1"/>
  <c r="K4453" i="1" a="1"/>
  <c r="K4453" i="1" s="1"/>
  <c r="H4453" i="1"/>
  <c r="A3558" i="1" l="1"/>
  <c r="I3557" i="1" a="1"/>
  <c r="I3557" i="1" s="1"/>
  <c r="H3557" i="1"/>
  <c r="I4454" i="1" a="1"/>
  <c r="I4454" i="1" s="1"/>
  <c r="K4454" i="1" a="1"/>
  <c r="K4454" i="1" s="1"/>
  <c r="H4454" i="1"/>
  <c r="A3559" i="1" l="1"/>
  <c r="I3558" i="1" a="1"/>
  <c r="I3558" i="1" s="1"/>
  <c r="H3558" i="1"/>
  <c r="I4455" i="1" a="1"/>
  <c r="I4455" i="1" s="1"/>
  <c r="K4455" i="1" a="1"/>
  <c r="K4455" i="1" s="1"/>
  <c r="C4456" i="1"/>
  <c r="H4455" i="1"/>
  <c r="A3560" i="1" l="1"/>
  <c r="I3559" i="1" a="1"/>
  <c r="I3559" i="1" s="1"/>
  <c r="H3559" i="1"/>
  <c r="I4456" i="1" a="1"/>
  <c r="I4456" i="1" s="1"/>
  <c r="K4456" i="1" a="1"/>
  <c r="K4456" i="1" s="1"/>
  <c r="H4456" i="1"/>
  <c r="A3561" i="1" l="1"/>
  <c r="I3560" i="1" a="1"/>
  <c r="I3560" i="1" s="1"/>
  <c r="H3560" i="1"/>
  <c r="I4457" i="1" a="1"/>
  <c r="I4457" i="1" s="1"/>
  <c r="K4457" i="1" a="1"/>
  <c r="K4457" i="1" s="1"/>
  <c r="H4457" i="1"/>
  <c r="A3562" i="1" l="1"/>
  <c r="I3561" i="1" a="1"/>
  <c r="I3561" i="1" s="1"/>
  <c r="H3561" i="1"/>
  <c r="I4458" i="1" a="1"/>
  <c r="I4458" i="1" s="1"/>
  <c r="K4458" i="1" a="1"/>
  <c r="K4458" i="1" s="1"/>
  <c r="C4459" i="1"/>
  <c r="H4458" i="1"/>
  <c r="A3563" i="1" l="1"/>
  <c r="I3562" i="1" a="1"/>
  <c r="I3562" i="1" s="1"/>
  <c r="H3562" i="1"/>
  <c r="I4459" i="1" a="1"/>
  <c r="I4459" i="1" s="1"/>
  <c r="K4459" i="1" a="1"/>
  <c r="K4459" i="1" s="1"/>
  <c r="H4459" i="1"/>
  <c r="A3564" i="1" l="1"/>
  <c r="I3563" i="1" a="1"/>
  <c r="I3563" i="1" s="1"/>
  <c r="H3563" i="1"/>
  <c r="I4460" i="1" a="1"/>
  <c r="I4460" i="1" s="1"/>
  <c r="K4460" i="1" a="1"/>
  <c r="K4460" i="1" s="1"/>
  <c r="C4461" i="1"/>
  <c r="H4460" i="1"/>
  <c r="A3565" i="1" l="1"/>
  <c r="I3564" i="1" a="1"/>
  <c r="I3564" i="1" s="1"/>
  <c r="H3564" i="1"/>
  <c r="I4461" i="1" a="1"/>
  <c r="I4461" i="1" s="1"/>
  <c r="K4461" i="1" a="1"/>
  <c r="K4461" i="1" s="1"/>
  <c r="H4461" i="1"/>
  <c r="A3566" i="1" l="1"/>
  <c r="I3565" i="1" a="1"/>
  <c r="I3565" i="1" s="1"/>
  <c r="H3565" i="1"/>
  <c r="I4462" i="1" a="1"/>
  <c r="I4462" i="1" s="1"/>
  <c r="K4462" i="1" a="1"/>
  <c r="K4462" i="1" s="1"/>
  <c r="C4463" i="1"/>
  <c r="H4462" i="1"/>
  <c r="A3567" i="1" l="1"/>
  <c r="I3566" i="1" a="1"/>
  <c r="I3566" i="1" s="1"/>
  <c r="H3566" i="1"/>
  <c r="I4463" i="1" a="1"/>
  <c r="I4463" i="1" s="1"/>
  <c r="K4463" i="1" a="1"/>
  <c r="K4463" i="1" s="1"/>
  <c r="C4464" i="1"/>
  <c r="H4463" i="1"/>
  <c r="A3568" i="1" l="1"/>
  <c r="I3567" i="1" a="1"/>
  <c r="I3567" i="1" s="1"/>
  <c r="H3567" i="1"/>
  <c r="I4464" i="1" a="1"/>
  <c r="I4464" i="1" s="1"/>
  <c r="K4464" i="1" a="1"/>
  <c r="K4464" i="1" s="1"/>
  <c r="H4464" i="1"/>
  <c r="A3569" i="1" l="1"/>
  <c r="I3568" i="1" a="1"/>
  <c r="I3568" i="1" s="1"/>
  <c r="H3568" i="1"/>
  <c r="I4465" i="1" a="1"/>
  <c r="I4465" i="1" s="1"/>
  <c r="K4465" i="1" a="1"/>
  <c r="K4465" i="1" s="1"/>
  <c r="C4466" i="1"/>
  <c r="H4465" i="1"/>
  <c r="A3570" i="1" l="1"/>
  <c r="I3569" i="1" a="1"/>
  <c r="I3569" i="1" s="1"/>
  <c r="H3569" i="1"/>
  <c r="I4466" i="1" a="1"/>
  <c r="I4466" i="1" s="1"/>
  <c r="K4466" i="1" a="1"/>
  <c r="K4466" i="1" s="1"/>
  <c r="H4466" i="1"/>
  <c r="A3571" i="1" l="1"/>
  <c r="I3570" i="1" a="1"/>
  <c r="I3570" i="1" s="1"/>
  <c r="H3570" i="1"/>
  <c r="I4467" i="1" a="1"/>
  <c r="I4467" i="1" s="1"/>
  <c r="K4467" i="1" a="1"/>
  <c r="K4467" i="1" s="1"/>
  <c r="C4468" i="1"/>
  <c r="H4467" i="1"/>
  <c r="A3572" i="1" l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I3572" i="1" l="1" a="1"/>
  <c r="I3572" i="1" s="1"/>
  <c r="H3572" i="1"/>
  <c r="H3573" i="1"/>
  <c r="D140" i="2"/>
  <c r="E130" i="2"/>
  <c r="E140" i="2"/>
  <c r="C130" i="2"/>
  <c r="C58" i="2"/>
  <c r="D127" i="2"/>
  <c r="D130" i="2"/>
  <c r="C113" i="2"/>
  <c r="C122" i="2"/>
  <c r="E87" i="2"/>
  <c r="E117" i="2"/>
  <c r="D81" i="2"/>
  <c r="E122" i="2"/>
  <c r="C127" i="2"/>
  <c r="C140" i="2"/>
  <c r="D117" i="2"/>
  <c r="E104" i="2"/>
  <c r="E127" i="2"/>
  <c r="D113" i="2"/>
  <c r="D122" i="2"/>
  <c r="D52" i="2"/>
  <c r="D68" i="2"/>
  <c r="C117" i="2"/>
  <c r="C52" i="2"/>
  <c r="D102" i="2"/>
  <c r="E113" i="2"/>
  <c r="D73" i="2"/>
  <c r="E108" i="2"/>
  <c r="C87" i="2"/>
  <c r="D77" i="2"/>
  <c r="E73" i="2"/>
  <c r="D58" i="2"/>
  <c r="D104" i="2"/>
  <c r="E81" i="2"/>
  <c r="C77" i="2"/>
  <c r="C102" i="2"/>
  <c r="E52" i="2"/>
  <c r="E97" i="2"/>
  <c r="E102" i="2"/>
  <c r="E77" i="2"/>
  <c r="C81" i="2"/>
  <c r="C61" i="2"/>
  <c r="E58" i="2"/>
  <c r="C68" i="2"/>
  <c r="C73" i="2"/>
  <c r="E93" i="2"/>
  <c r="D97" i="2"/>
  <c r="D61" i="2"/>
  <c r="E68" i="2"/>
  <c r="D87" i="2"/>
  <c r="D93" i="2"/>
  <c r="C93" i="2"/>
  <c r="E61" i="2"/>
  <c r="C108" i="2"/>
  <c r="D108" i="2"/>
  <c r="C104" i="2"/>
  <c r="C97" i="2"/>
  <c r="C138" i="2"/>
  <c r="E138" i="2"/>
  <c r="D138" i="2"/>
  <c r="C89" i="2"/>
  <c r="C63" i="2"/>
  <c r="E59" i="2"/>
  <c r="E69" i="2"/>
  <c r="E98" i="2"/>
  <c r="D59" i="2"/>
  <c r="C12" i="2"/>
  <c r="E126" i="2"/>
  <c r="E38" i="2"/>
  <c r="C94" i="2"/>
  <c r="C48" i="2"/>
  <c r="D27" i="2"/>
  <c r="C2" i="2"/>
  <c r="D48" i="2"/>
  <c r="C103" i="2"/>
  <c r="E33" i="2"/>
  <c r="D134" i="2"/>
  <c r="C15" i="2"/>
  <c r="E112" i="2"/>
  <c r="D121" i="2"/>
  <c r="C33" i="2"/>
  <c r="C121" i="2"/>
  <c r="D2" i="2"/>
  <c r="C78" i="2"/>
  <c r="E116" i="2"/>
  <c r="C8" i="2"/>
  <c r="D15" i="2"/>
  <c r="D38" i="2"/>
  <c r="C69" i="2"/>
  <c r="D33" i="2"/>
  <c r="D8" i="2"/>
  <c r="E94" i="2"/>
  <c r="C107" i="2"/>
  <c r="E103" i="2"/>
  <c r="C59" i="2"/>
  <c r="D74" i="2"/>
  <c r="C27" i="2"/>
  <c r="D112" i="2"/>
  <c r="E12" i="2"/>
  <c r="D12" i="2"/>
  <c r="D116" i="2"/>
  <c r="C38" i="2"/>
  <c r="D54" i="2"/>
  <c r="D98" i="2"/>
  <c r="E133" i="2"/>
  <c r="D133" i="2"/>
  <c r="E15" i="2"/>
  <c r="E121" i="2"/>
  <c r="E78" i="2"/>
  <c r="D63" i="2"/>
  <c r="E107" i="2"/>
  <c r="E22" i="2"/>
  <c r="E84" i="2"/>
  <c r="C18" i="2"/>
  <c r="C133" i="2"/>
  <c r="E27" i="2"/>
  <c r="C126" i="2"/>
  <c r="D94" i="2"/>
  <c r="E8" i="2"/>
  <c r="C98" i="2"/>
  <c r="E63" i="2"/>
  <c r="C84" i="2"/>
  <c r="D4" i="2"/>
  <c r="E2" i="2"/>
  <c r="E134" i="2"/>
  <c r="C54" i="2"/>
  <c r="D84" i="2"/>
  <c r="C112" i="2"/>
  <c r="D22" i="2"/>
  <c r="C4" i="2"/>
  <c r="E43" i="2"/>
  <c r="E18" i="2"/>
  <c r="D78" i="2"/>
  <c r="C22" i="2"/>
  <c r="C134" i="2"/>
  <c r="D107" i="2"/>
  <c r="D103" i="2"/>
  <c r="E54" i="2"/>
  <c r="C43" i="2"/>
  <c r="E4" i="2"/>
  <c r="C116" i="2"/>
  <c r="D69" i="2"/>
  <c r="E74" i="2"/>
  <c r="E48" i="2"/>
  <c r="D89" i="2"/>
  <c r="D43" i="2"/>
  <c r="D126" i="2"/>
  <c r="C74" i="2"/>
  <c r="E89" i="2"/>
  <c r="D18" i="2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I4470" i="1" l="1" a="1"/>
  <c r="I4470" i="1" s="1"/>
  <c r="K4470" i="1" a="1"/>
  <c r="K4470" i="1" s="1"/>
  <c r="H4470" i="1"/>
  <c r="O4470" i="1" a="1"/>
  <c r="O4470" i="1" s="1"/>
  <c r="I4471" i="1" l="1" a="1"/>
  <c r="I4471" i="1" s="1"/>
  <c r="K4471" i="1" a="1"/>
  <c r="K4471" i="1" s="1"/>
  <c r="C4472" i="1"/>
  <c r="H4471" i="1"/>
  <c r="O4471" i="1" a="1"/>
  <c r="O4471" i="1" s="1"/>
  <c r="L4474" i="1" l="1" a="1"/>
  <c r="L4474" i="1" s="1"/>
  <c r="I4472" i="1" a="1"/>
  <c r="I4472" i="1" s="1"/>
  <c r="K4472" i="1" a="1"/>
  <c r="K4472" i="1" s="1"/>
  <c r="H4472" i="1"/>
  <c r="O4472" i="1" a="1"/>
  <c r="O4472" i="1" s="1"/>
  <c r="I4473" i="1" l="1" a="1"/>
  <c r="I4473" i="1" s="1"/>
  <c r="K4473" i="1" a="1"/>
  <c r="K4473" i="1" s="1"/>
  <c r="H4473" i="1"/>
  <c r="O4473" i="1" a="1"/>
  <c r="O4473" i="1" s="1"/>
  <c r="I4474" i="1" l="1" a="1"/>
  <c r="I4474" i="1" s="1"/>
  <c r="K4474" i="1" a="1"/>
  <c r="K4474" i="1" s="1"/>
  <c r="C4475" i="1"/>
  <c r="H4474" i="1"/>
  <c r="O4474" i="1" a="1"/>
  <c r="O4474" i="1" s="1"/>
  <c r="L4475" i="1" l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I4476" i="1" l="1" a="1"/>
  <c r="I4476" i="1" s="1"/>
  <c r="K4476" i="1" a="1"/>
  <c r="K4476" i="1" s="1"/>
  <c r="L4477" i="1" a="1"/>
  <c r="L4477" i="1" s="1"/>
  <c r="H4476" i="1"/>
  <c r="O4476" i="1" a="1"/>
  <c r="O4476" i="1" s="1"/>
  <c r="I4477" i="1" l="1" a="1"/>
  <c r="I4477" i="1" s="1"/>
  <c r="K4477" i="1" a="1"/>
  <c r="K4477" i="1" s="1"/>
  <c r="C4478" i="1"/>
  <c r="H4477" i="1"/>
  <c r="O4477" i="1" a="1"/>
  <c r="O4477" i="1" s="1"/>
  <c r="L4478" i="1" l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I4479" i="1" l="1" a="1"/>
  <c r="I4479" i="1" s="1"/>
  <c r="K4479" i="1" a="1"/>
  <c r="K4479" i="1" s="1"/>
  <c r="L4480" i="1" a="1"/>
  <c r="L4480" i="1" s="1"/>
  <c r="H4479" i="1"/>
  <c r="O4479" i="1" a="1"/>
  <c r="O4479" i="1" s="1"/>
  <c r="I4480" i="1" l="1" a="1"/>
  <c r="I4480" i="1" s="1"/>
  <c r="K4480" i="1" a="1"/>
  <c r="K4480" i="1" s="1"/>
  <c r="L4481" i="1" a="1"/>
  <c r="L4481" i="1" s="1"/>
  <c r="H4480" i="1"/>
  <c r="O4480" i="1" a="1"/>
  <c r="O4480" i="1" s="1"/>
  <c r="I4481" i="1" l="1" a="1"/>
  <c r="I4481" i="1" s="1"/>
  <c r="K4481" i="1" a="1"/>
  <c r="K4481" i="1" s="1"/>
  <c r="C4482" i="1"/>
  <c r="H4481" i="1"/>
  <c r="O4481" i="1" a="1"/>
  <c r="O4481" i="1" s="1"/>
  <c r="L4482" i="1" l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I4483" i="1" l="1" a="1"/>
  <c r="I4483" i="1" s="1"/>
  <c r="K4483" i="1" a="1"/>
  <c r="K4483" i="1" s="1"/>
  <c r="L4484" i="1" a="1"/>
  <c r="L4484" i="1" s="1"/>
  <c r="H4483" i="1"/>
  <c r="O4483" i="1" a="1"/>
  <c r="O4483" i="1" s="1"/>
  <c r="I4484" i="1" l="1" a="1"/>
  <c r="I4484" i="1" s="1"/>
  <c r="K4484" i="1" a="1"/>
  <c r="K4484" i="1" s="1"/>
  <c r="C4485" i="1"/>
  <c r="H4484" i="1"/>
  <c r="O4484" i="1" a="1"/>
  <c r="O4484" i="1" s="1"/>
  <c r="L4485" i="1" l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I4486" i="1" l="1" a="1"/>
  <c r="I4486" i="1" s="1"/>
  <c r="K4486" i="1" a="1"/>
  <c r="K4486" i="1" s="1"/>
  <c r="L4487" i="1" a="1"/>
  <c r="L4487" i="1" s="1"/>
  <c r="H4486" i="1"/>
  <c r="O4486" i="1" a="1"/>
  <c r="O4486" i="1" s="1"/>
  <c r="I4487" i="1" l="1" a="1"/>
  <c r="I4487" i="1" s="1"/>
  <c r="K4487" i="1" a="1"/>
  <c r="K4487" i="1" s="1"/>
  <c r="L4488" i="1" a="1"/>
  <c r="L4488" i="1" s="1"/>
  <c r="H4487" i="1"/>
  <c r="O4487" i="1" a="1"/>
  <c r="O4487" i="1" s="1"/>
  <c r="I4488" i="1" l="1" a="1"/>
  <c r="I4488" i="1" s="1"/>
  <c r="K4488" i="1" a="1"/>
  <c r="K4488" i="1" s="1"/>
  <c r="H4488" i="1"/>
  <c r="O4488" i="1" a="1"/>
  <c r="O4488" i="1" s="1"/>
  <c r="L4509" i="1" l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L4510" i="1" l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L4511" i="1" l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L4512" i="1" l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L4513" i="1" l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L4514" i="1" l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C4529" i="1" l="1"/>
  <c r="H4529" i="1" l="1"/>
  <c r="I4529" i="1" a="1"/>
  <c r="I4529" i="1" s="1"/>
  <c r="C4530" i="1"/>
  <c r="H4530" i="1" l="1"/>
  <c r="I4530" i="1" a="1"/>
  <c r="I4530" i="1" s="1"/>
  <c r="C4531" i="1"/>
  <c r="H4531" i="1" l="1"/>
  <c r="I4531" i="1" a="1"/>
  <c r="I4531" i="1" s="1"/>
  <c r="C4532" i="1"/>
  <c r="J4532" i="1" s="1" a="1"/>
  <c r="J4532" i="1" s="1"/>
  <c r="L4532" i="1" l="1" a="1"/>
  <c r="L4532" i="1" s="1"/>
  <c r="N4532" i="1" a="1"/>
  <c r="N4532" i="1" s="1"/>
  <c r="I4532" i="1" a="1"/>
  <c r="I4532" i="1" s="1"/>
  <c r="K4532" i="1" a="1"/>
  <c r="K4532" i="1" s="1"/>
  <c r="C4533" i="1"/>
  <c r="J4533" i="1" s="1" a="1"/>
  <c r="J4533" i="1" s="1"/>
  <c r="H4532" i="1"/>
  <c r="O4532" i="1" a="1"/>
  <c r="O4532" i="1" s="1"/>
  <c r="L4533" i="1" l="1" a="1"/>
  <c r="L4533" i="1" s="1"/>
  <c r="N4533" i="1" a="1"/>
  <c r="N4533" i="1" s="1"/>
  <c r="I4533" i="1" a="1"/>
  <c r="I4533" i="1" s="1"/>
  <c r="K4533" i="1" a="1"/>
  <c r="K4533" i="1" s="1"/>
  <c r="C4534" i="1"/>
  <c r="J4534" i="1" s="1" a="1"/>
  <c r="J4534" i="1" s="1"/>
  <c r="H4533" i="1"/>
  <c r="O4533" i="1" a="1"/>
  <c r="O4533" i="1" s="1"/>
  <c r="L4534" i="1" l="1" a="1"/>
  <c r="L4534" i="1" s="1"/>
  <c r="N4534" i="1" a="1"/>
  <c r="N4534" i="1" s="1"/>
  <c r="I4534" i="1" a="1"/>
  <c r="I4534" i="1" s="1"/>
  <c r="K4534" i="1" a="1"/>
  <c r="K4534" i="1" s="1"/>
  <c r="C4535" i="1"/>
  <c r="J4535" i="1" s="1" a="1"/>
  <c r="J4535" i="1" s="1"/>
  <c r="H4534" i="1"/>
  <c r="O4534" i="1" a="1"/>
  <c r="O4534" i="1" s="1"/>
  <c r="L4535" i="1" l="1" a="1"/>
  <c r="L4535" i="1" s="1"/>
  <c r="N4535" i="1" a="1"/>
  <c r="N4535" i="1" s="1"/>
  <c r="I4535" i="1" a="1"/>
  <c r="I4535" i="1" s="1"/>
  <c r="K4535" i="1" a="1"/>
  <c r="K4535" i="1" s="1"/>
  <c r="C4536" i="1"/>
  <c r="J4536" i="1" s="1" a="1"/>
  <c r="J4536" i="1" s="1"/>
  <c r="H4535" i="1"/>
  <c r="O4535" i="1" a="1"/>
  <c r="O4535" i="1" s="1"/>
  <c r="L4536" i="1" l="1" a="1"/>
  <c r="L4536" i="1" s="1"/>
  <c r="N4536" i="1" a="1"/>
  <c r="N4536" i="1" s="1"/>
  <c r="I4536" i="1" a="1"/>
  <c r="I4536" i="1" s="1"/>
  <c r="K4536" i="1" a="1"/>
  <c r="K4536" i="1" s="1"/>
  <c r="C4537" i="1"/>
  <c r="J4537" i="1" s="1" a="1"/>
  <c r="J4537" i="1" s="1"/>
  <c r="H4536" i="1"/>
  <c r="O4536" i="1" a="1"/>
  <c r="O4536" i="1" s="1"/>
  <c r="L4537" i="1" l="1" a="1"/>
  <c r="L4537" i="1" s="1"/>
  <c r="N4537" i="1" a="1"/>
  <c r="N4537" i="1" s="1"/>
  <c r="I4537" i="1" a="1"/>
  <c r="I4537" i="1" s="1"/>
  <c r="K4537" i="1" a="1"/>
  <c r="K4537" i="1" s="1"/>
  <c r="C4538" i="1"/>
  <c r="J4538" i="1" s="1" a="1"/>
  <c r="J4538" i="1" s="1"/>
  <c r="H4537" i="1"/>
  <c r="O4537" i="1" a="1"/>
  <c r="O4537" i="1" s="1"/>
  <c r="L4538" i="1" l="1" a="1"/>
  <c r="L4538" i="1" s="1"/>
  <c r="N4538" i="1" a="1"/>
  <c r="N4538" i="1" s="1"/>
  <c r="I4538" i="1" a="1"/>
  <c r="I4538" i="1" s="1"/>
  <c r="K4538" i="1" a="1"/>
  <c r="K4538" i="1" s="1"/>
  <c r="C4539" i="1"/>
  <c r="J4539" i="1" s="1" a="1"/>
  <c r="J4539" i="1" s="1"/>
  <c r="H4538" i="1"/>
  <c r="O4538" i="1" a="1"/>
  <c r="O4538" i="1" s="1"/>
  <c r="L4539" i="1" l="1" a="1"/>
  <c r="L4539" i="1" s="1"/>
  <c r="N4539" i="1" a="1"/>
  <c r="N4539" i="1" s="1"/>
  <c r="I4539" i="1" a="1"/>
  <c r="I4539" i="1" s="1"/>
  <c r="K4539" i="1" a="1"/>
  <c r="K4539" i="1" s="1"/>
  <c r="C4540" i="1"/>
  <c r="J4540" i="1" s="1" a="1"/>
  <c r="J4540" i="1" s="1"/>
  <c r="H4539" i="1"/>
  <c r="O4539" i="1" a="1"/>
  <c r="O4539" i="1" s="1"/>
  <c r="L4540" i="1" l="1" a="1"/>
  <c r="L4540" i="1" s="1"/>
  <c r="N4540" i="1" a="1"/>
  <c r="N4540" i="1" s="1"/>
  <c r="I4540" i="1" a="1"/>
  <c r="I4540" i="1" s="1"/>
  <c r="K4540" i="1" a="1"/>
  <c r="K4540" i="1" s="1"/>
  <c r="C4541" i="1"/>
  <c r="J4541" i="1" s="1" a="1"/>
  <c r="J4541" i="1" s="1"/>
  <c r="H4540" i="1"/>
  <c r="O4540" i="1" a="1"/>
  <c r="O4540" i="1" s="1"/>
  <c r="L4541" i="1" l="1" a="1"/>
  <c r="L4541" i="1" s="1"/>
  <c r="N4541" i="1" a="1"/>
  <c r="N4541" i="1" s="1"/>
  <c r="I4541" i="1" a="1"/>
  <c r="I4541" i="1" s="1"/>
  <c r="K4541" i="1" a="1"/>
  <c r="K4541" i="1" s="1"/>
  <c r="C4542" i="1"/>
  <c r="J4542" i="1" s="1" a="1"/>
  <c r="J4542" i="1" s="1"/>
  <c r="H4541" i="1"/>
  <c r="O4541" i="1" a="1"/>
  <c r="O4541" i="1" s="1"/>
  <c r="L4542" i="1" l="1" a="1"/>
  <c r="L4542" i="1" s="1"/>
  <c r="N4542" i="1" a="1"/>
  <c r="N4542" i="1" s="1"/>
  <c r="I4542" i="1" a="1"/>
  <c r="I4542" i="1" s="1"/>
  <c r="K4542" i="1" a="1"/>
  <c r="K4542" i="1" s="1"/>
  <c r="C4543" i="1"/>
  <c r="J4543" i="1" s="1" a="1"/>
  <c r="J4543" i="1" s="1"/>
  <c r="H4542" i="1"/>
  <c r="O4542" i="1" a="1"/>
  <c r="O4542" i="1" s="1"/>
  <c r="L4543" i="1" l="1" a="1"/>
  <c r="L4543" i="1" s="1"/>
  <c r="N4543" i="1" a="1"/>
  <c r="N4543" i="1" s="1"/>
  <c r="I4543" i="1" a="1"/>
  <c r="I4543" i="1" s="1"/>
  <c r="K4543" i="1" a="1"/>
  <c r="K4543" i="1" s="1"/>
  <c r="C4544" i="1"/>
  <c r="J4544" i="1" s="1" a="1"/>
  <c r="J4544" i="1" s="1"/>
  <c r="H4543" i="1"/>
  <c r="O4543" i="1" a="1"/>
  <c r="O4543" i="1" s="1"/>
  <c r="L4544" i="1" l="1" a="1"/>
  <c r="L4544" i="1" s="1"/>
  <c r="N4544" i="1" a="1"/>
  <c r="N4544" i="1" s="1"/>
  <c r="I4544" i="1" a="1"/>
  <c r="I4544" i="1" s="1"/>
  <c r="K4544" i="1" a="1"/>
  <c r="K4544" i="1" s="1"/>
  <c r="C4545" i="1"/>
  <c r="J4545" i="1" s="1" a="1"/>
  <c r="J4545" i="1" s="1"/>
  <c r="H4544" i="1"/>
  <c r="O4544" i="1" a="1"/>
  <c r="O4544" i="1" s="1"/>
  <c r="L4545" i="1" l="1" a="1"/>
  <c r="L4545" i="1" s="1"/>
  <c r="N4545" i="1" a="1"/>
  <c r="N4545" i="1" s="1"/>
  <c r="I4545" i="1" a="1"/>
  <c r="I4545" i="1" s="1"/>
  <c r="K4545" i="1" a="1"/>
  <c r="K4545" i="1" s="1"/>
  <c r="C4546" i="1"/>
  <c r="J4546" i="1" s="1" a="1"/>
  <c r="J4546" i="1" s="1"/>
  <c r="H4545" i="1"/>
  <c r="O4545" i="1" a="1"/>
  <c r="O4545" i="1" s="1"/>
  <c r="L4546" i="1" l="1" a="1"/>
  <c r="L4546" i="1" s="1"/>
  <c r="N4546" i="1" a="1"/>
  <c r="N4546" i="1" s="1"/>
  <c r="I4546" i="1" a="1"/>
  <c r="I4546" i="1" s="1"/>
  <c r="K4546" i="1" a="1"/>
  <c r="K4546" i="1" s="1"/>
  <c r="C4547" i="1"/>
  <c r="J4547" i="1" s="1" a="1"/>
  <c r="J4547" i="1" s="1"/>
  <c r="H4546" i="1"/>
  <c r="O4546" i="1" a="1"/>
  <c r="O4546" i="1" s="1"/>
  <c r="L4547" i="1" l="1" a="1"/>
  <c r="L4547" i="1" s="1"/>
  <c r="N4547" i="1" a="1"/>
  <c r="N4547" i="1" s="1"/>
  <c r="I4547" i="1" a="1"/>
  <c r="I4547" i="1" s="1"/>
  <c r="K4547" i="1" a="1"/>
  <c r="K4547" i="1" s="1"/>
  <c r="C4548" i="1"/>
  <c r="J4548" i="1" s="1" a="1"/>
  <c r="J4548" i="1" s="1"/>
  <c r="H4547" i="1"/>
  <c r="O4547" i="1" a="1"/>
  <c r="O4547" i="1" s="1"/>
  <c r="L4548" i="1" l="1" a="1"/>
  <c r="L4548" i="1" s="1"/>
  <c r="N4548" i="1" a="1"/>
  <c r="N4548" i="1" s="1"/>
  <c r="I4548" i="1" a="1"/>
  <c r="I4548" i="1" s="1"/>
  <c r="K4548" i="1" a="1"/>
  <c r="K4548" i="1" s="1"/>
  <c r="C4549" i="1"/>
  <c r="J4549" i="1" s="1" a="1"/>
  <c r="J4549" i="1" s="1"/>
  <c r="H4548" i="1"/>
  <c r="O4548" i="1" a="1"/>
  <c r="O4548" i="1" s="1"/>
  <c r="L4549" i="1" l="1" a="1"/>
  <c r="L4549" i="1" s="1"/>
  <c r="N4549" i="1" a="1"/>
  <c r="N4549" i="1" s="1"/>
  <c r="I4549" i="1" a="1"/>
  <c r="I4549" i="1" s="1"/>
  <c r="K4549" i="1" a="1"/>
  <c r="K4549" i="1" s="1"/>
  <c r="C4550" i="1"/>
  <c r="J4550" i="1" s="1" a="1"/>
  <c r="J4550" i="1" s="1"/>
  <c r="H4549" i="1"/>
  <c r="O4549" i="1" a="1"/>
  <c r="O4549" i="1" s="1"/>
  <c r="L4550" i="1" l="1" a="1"/>
  <c r="L4550" i="1" s="1"/>
  <c r="N4550" i="1" a="1"/>
  <c r="N4550" i="1" s="1"/>
  <c r="I4550" i="1" a="1"/>
  <c r="I4550" i="1" s="1"/>
  <c r="K4550" i="1" a="1"/>
  <c r="K4550" i="1" s="1"/>
  <c r="C4551" i="1"/>
  <c r="J4551" i="1" s="1" a="1"/>
  <c r="J4551" i="1" s="1"/>
  <c r="H4550" i="1"/>
  <c r="O4550" i="1" a="1"/>
  <c r="O4550" i="1" s="1"/>
  <c r="L4551" i="1" l="1" a="1"/>
  <c r="L4551" i="1" s="1"/>
  <c r="N4551" i="1" a="1"/>
  <c r="N4551" i="1" s="1"/>
  <c r="I4551" i="1" a="1"/>
  <c r="I4551" i="1" s="1"/>
  <c r="K4551" i="1" a="1"/>
  <c r="K4551" i="1" s="1"/>
  <c r="C4552" i="1"/>
  <c r="J4552" i="1" s="1" a="1"/>
  <c r="J4552" i="1" s="1"/>
  <c r="H4551" i="1"/>
  <c r="O4551" i="1" a="1"/>
  <c r="O4551" i="1" s="1"/>
  <c r="L4552" i="1" l="1" a="1"/>
  <c r="L4552" i="1" s="1"/>
  <c r="N4552" i="1" a="1"/>
  <c r="N4552" i="1" s="1"/>
  <c r="I4552" i="1" a="1"/>
  <c r="I4552" i="1" s="1"/>
  <c r="K4552" i="1" a="1"/>
  <c r="K4552" i="1" s="1"/>
  <c r="C4553" i="1"/>
  <c r="J4553" i="1" s="1" a="1"/>
  <c r="J4553" i="1" s="1"/>
  <c r="H4552" i="1"/>
  <c r="O4552" i="1" a="1"/>
  <c r="O4552" i="1" s="1"/>
  <c r="L4553" i="1" l="1" a="1"/>
  <c r="L4553" i="1" s="1"/>
  <c r="N4553" i="1" a="1"/>
  <c r="N4553" i="1" s="1"/>
  <c r="I4553" i="1" a="1"/>
  <c r="I4553" i="1" s="1"/>
  <c r="K4553" i="1" a="1"/>
  <c r="K4553" i="1" s="1"/>
  <c r="C4554" i="1"/>
  <c r="J4554" i="1" s="1" a="1"/>
  <c r="J4554" i="1" s="1"/>
  <c r="H4553" i="1"/>
  <c r="O4553" i="1" a="1"/>
  <c r="O4553" i="1" s="1"/>
  <c r="L4554" i="1" l="1" a="1"/>
  <c r="L4554" i="1" s="1"/>
  <c r="N4554" i="1" a="1"/>
  <c r="N4554" i="1" s="1"/>
  <c r="I4554" i="1" a="1"/>
  <c r="I4554" i="1" s="1"/>
  <c r="K4554" i="1" a="1"/>
  <c r="K4554" i="1" s="1"/>
  <c r="C4555" i="1"/>
  <c r="J4555" i="1" s="1" a="1"/>
  <c r="J4555" i="1" s="1"/>
  <c r="H4554" i="1"/>
  <c r="O4554" i="1" a="1"/>
  <c r="O4554" i="1" s="1"/>
  <c r="L4555" i="1" l="1" a="1"/>
  <c r="L4555" i="1" s="1"/>
  <c r="N4555" i="1" a="1"/>
  <c r="N4555" i="1" s="1"/>
  <c r="I4555" i="1" a="1"/>
  <c r="I4555" i="1" s="1"/>
  <c r="K4555" i="1" a="1"/>
  <c r="K4555" i="1" s="1"/>
  <c r="C4556" i="1"/>
  <c r="J4556" i="1" s="1" a="1"/>
  <c r="J4556" i="1" s="1"/>
  <c r="H4555" i="1"/>
  <c r="O4555" i="1" a="1"/>
  <c r="O4555" i="1" s="1"/>
  <c r="L4556" i="1" l="1" a="1"/>
  <c r="L4556" i="1" s="1"/>
  <c r="N4556" i="1" a="1"/>
  <c r="N4556" i="1" s="1"/>
  <c r="I4556" i="1" a="1"/>
  <c r="I4556" i="1" s="1"/>
  <c r="K4556" i="1" a="1"/>
  <c r="K4556" i="1" s="1"/>
  <c r="C4557" i="1"/>
  <c r="J4557" i="1" s="1" a="1"/>
  <c r="J4557" i="1" s="1"/>
  <c r="H4556" i="1"/>
  <c r="O4556" i="1" a="1"/>
  <c r="O4556" i="1" s="1"/>
  <c r="L4557" i="1" l="1" a="1"/>
  <c r="L4557" i="1" s="1"/>
  <c r="N4557" i="1" a="1"/>
  <c r="N4557" i="1" s="1"/>
  <c r="I4557" i="1" a="1"/>
  <c r="I4557" i="1" s="1"/>
  <c r="K4557" i="1" a="1"/>
  <c r="K4557" i="1" s="1"/>
  <c r="C4558" i="1"/>
  <c r="J4558" i="1" s="1" a="1"/>
  <c r="J4558" i="1" s="1"/>
  <c r="H4557" i="1"/>
  <c r="O4557" i="1" a="1"/>
  <c r="O4557" i="1" s="1"/>
  <c r="L4558" i="1" l="1" a="1"/>
  <c r="L4558" i="1" s="1"/>
  <c r="N4558" i="1" a="1"/>
  <c r="N4558" i="1" s="1"/>
  <c r="I4558" i="1" a="1"/>
  <c r="I4558" i="1" s="1"/>
  <c r="K4558" i="1" a="1"/>
  <c r="K4558" i="1" s="1"/>
  <c r="C4559" i="1"/>
  <c r="J4559" i="1" s="1" a="1"/>
  <c r="J4559" i="1" s="1"/>
  <c r="H4558" i="1"/>
  <c r="O4558" i="1" a="1"/>
  <c r="O4558" i="1" s="1"/>
  <c r="L4559" i="1" l="1" a="1"/>
  <c r="L4559" i="1" s="1"/>
  <c r="N4559" i="1" a="1"/>
  <c r="N4559" i="1" s="1"/>
  <c r="I4559" i="1" a="1"/>
  <c r="I4559" i="1" s="1"/>
  <c r="K4559" i="1" a="1"/>
  <c r="K4559" i="1" s="1"/>
  <c r="C4560" i="1"/>
  <c r="J4560" i="1" s="1" a="1"/>
  <c r="J4560" i="1" s="1"/>
  <c r="H4559" i="1"/>
  <c r="O4559" i="1" a="1"/>
  <c r="O4559" i="1" s="1"/>
  <c r="L4560" i="1" l="1" a="1"/>
  <c r="L4560" i="1" s="1"/>
  <c r="N4560" i="1" a="1"/>
  <c r="N4560" i="1" s="1"/>
  <c r="I4560" i="1" a="1"/>
  <c r="I4560" i="1" s="1"/>
  <c r="K4560" i="1" a="1"/>
  <c r="K4560" i="1" s="1"/>
  <c r="C4561" i="1"/>
  <c r="J4561" i="1" s="1" a="1"/>
  <c r="J4561" i="1" s="1"/>
  <c r="H4560" i="1"/>
  <c r="O4560" i="1" a="1"/>
  <c r="O4560" i="1" s="1"/>
  <c r="L4561" i="1" l="1" a="1"/>
  <c r="L4561" i="1" s="1"/>
  <c r="N4561" i="1" a="1"/>
  <c r="N4561" i="1" s="1"/>
  <c r="I4561" i="1" a="1"/>
  <c r="I4561" i="1" s="1"/>
  <c r="K4561" i="1" a="1"/>
  <c r="K4561" i="1" s="1"/>
  <c r="C4562" i="1"/>
  <c r="J4562" i="1" s="1" a="1"/>
  <c r="J4562" i="1" s="1"/>
  <c r="H4561" i="1"/>
  <c r="O4561" i="1" a="1"/>
  <c r="O4561" i="1" s="1"/>
  <c r="L4562" i="1" l="1" a="1"/>
  <c r="L4562" i="1" s="1"/>
  <c r="N4562" i="1" a="1"/>
  <c r="N4562" i="1" s="1"/>
  <c r="I4562" i="1" a="1"/>
  <c r="I4562" i="1" s="1"/>
  <c r="K4562" i="1" a="1"/>
  <c r="K4562" i="1" s="1"/>
  <c r="C4563" i="1"/>
  <c r="J4563" i="1" s="1" a="1"/>
  <c r="J4563" i="1" s="1"/>
  <c r="H4562" i="1"/>
  <c r="O4562" i="1" a="1"/>
  <c r="O4562" i="1" s="1"/>
  <c r="L4563" i="1" l="1" a="1"/>
  <c r="L4563" i="1" s="1"/>
  <c r="N4563" i="1" a="1"/>
  <c r="N4563" i="1" s="1"/>
  <c r="I4563" i="1" a="1"/>
  <c r="I4563" i="1" s="1"/>
  <c r="K4563" i="1" a="1"/>
  <c r="K4563" i="1" s="1"/>
  <c r="C4564" i="1"/>
  <c r="J4564" i="1" s="1" a="1"/>
  <c r="J4564" i="1" s="1"/>
  <c r="H4563" i="1"/>
  <c r="O4563" i="1" a="1"/>
  <c r="O4563" i="1" s="1"/>
  <c r="L4564" i="1" l="1" a="1"/>
  <c r="L4564" i="1" s="1"/>
  <c r="N4564" i="1" a="1"/>
  <c r="N4564" i="1" s="1"/>
  <c r="I4564" i="1" a="1"/>
  <c r="I4564" i="1" s="1"/>
  <c r="K4564" i="1" a="1"/>
  <c r="K4564" i="1" s="1"/>
  <c r="C4565" i="1"/>
  <c r="J4565" i="1" s="1" a="1"/>
  <c r="J4565" i="1" s="1"/>
  <c r="H4564" i="1"/>
  <c r="O4564" i="1" a="1"/>
  <c r="O4564" i="1" s="1"/>
  <c r="L4565" i="1" l="1" a="1"/>
  <c r="L4565" i="1" s="1"/>
  <c r="N4565" i="1" a="1"/>
  <c r="N4565" i="1" s="1"/>
  <c r="I4565" i="1" a="1"/>
  <c r="I4565" i="1" s="1"/>
  <c r="K4565" i="1" a="1"/>
  <c r="K4565" i="1" s="1"/>
  <c r="C4566" i="1"/>
  <c r="J4566" i="1" s="1" a="1"/>
  <c r="J4566" i="1" s="1"/>
  <c r="H4565" i="1"/>
  <c r="O4565" i="1" a="1"/>
  <c r="O4565" i="1" s="1"/>
  <c r="L4566" i="1" l="1" a="1"/>
  <c r="L4566" i="1" s="1"/>
  <c r="N4566" i="1" a="1"/>
  <c r="N4566" i="1" s="1"/>
  <c r="I4566" i="1" a="1"/>
  <c r="I4566" i="1" s="1"/>
  <c r="K4566" i="1" a="1"/>
  <c r="K4566" i="1" s="1"/>
  <c r="C4567" i="1"/>
  <c r="J4567" i="1" s="1" a="1"/>
  <c r="J4567" i="1" s="1"/>
  <c r="H4566" i="1"/>
  <c r="O4566" i="1" a="1"/>
  <c r="O4566" i="1" s="1"/>
  <c r="L4567" i="1" l="1" a="1"/>
  <c r="L4567" i="1" s="1"/>
  <c r="N4567" i="1" a="1"/>
  <c r="N4567" i="1" s="1"/>
  <c r="I4567" i="1" a="1"/>
  <c r="I4567" i="1" s="1"/>
  <c r="K4567" i="1" a="1"/>
  <c r="K4567" i="1" s="1"/>
  <c r="C4568" i="1"/>
  <c r="J4568" i="1" s="1" a="1"/>
  <c r="J4568" i="1" s="1"/>
  <c r="H4567" i="1"/>
  <c r="O4567" i="1" a="1"/>
  <c r="O4567" i="1" s="1"/>
  <c r="L4568" i="1" l="1" a="1"/>
  <c r="L4568" i="1" s="1"/>
  <c r="N4568" i="1" a="1"/>
  <c r="N4568" i="1" s="1"/>
  <c r="I4568" i="1" a="1"/>
  <c r="I4568" i="1" s="1"/>
  <c r="K4568" i="1" a="1"/>
  <c r="K4568" i="1" s="1"/>
  <c r="C4569" i="1"/>
  <c r="J4569" i="1" s="1" a="1"/>
  <c r="J4569" i="1" s="1"/>
  <c r="H4568" i="1"/>
  <c r="O4568" i="1" a="1"/>
  <c r="O4568" i="1" s="1"/>
  <c r="L4569" i="1" l="1" a="1"/>
  <c r="L4569" i="1" s="1"/>
  <c r="N4569" i="1" a="1"/>
  <c r="N4569" i="1" s="1"/>
  <c r="I4569" i="1" a="1"/>
  <c r="I4569" i="1" s="1"/>
  <c r="K4569" i="1" a="1"/>
  <c r="K4569" i="1" s="1"/>
  <c r="C4570" i="1"/>
  <c r="J4570" i="1" s="1" a="1"/>
  <c r="J4570" i="1" s="1"/>
  <c r="H4569" i="1"/>
  <c r="O4569" i="1" a="1"/>
  <c r="O4569" i="1" s="1"/>
  <c r="L4570" i="1" l="1" a="1"/>
  <c r="L4570" i="1" s="1"/>
  <c r="N4570" i="1" a="1"/>
  <c r="N4570" i="1" s="1"/>
  <c r="I4570" i="1" a="1"/>
  <c r="I4570" i="1" s="1"/>
  <c r="K4570" i="1" a="1"/>
  <c r="K4570" i="1" s="1"/>
  <c r="C4571" i="1"/>
  <c r="J4571" i="1" s="1" a="1"/>
  <c r="J4571" i="1" s="1"/>
  <c r="H4570" i="1"/>
  <c r="O4570" i="1" a="1"/>
  <c r="O4570" i="1" s="1"/>
  <c r="L4571" i="1" l="1" a="1"/>
  <c r="L4571" i="1" s="1"/>
  <c r="N4571" i="1" a="1"/>
  <c r="N4571" i="1" s="1"/>
  <c r="I4571" i="1" a="1"/>
  <c r="I4571" i="1" s="1"/>
  <c r="K4571" i="1" a="1"/>
  <c r="K4571" i="1" s="1"/>
  <c r="C4572" i="1"/>
  <c r="J4572" i="1" s="1" a="1"/>
  <c r="J4572" i="1" s="1"/>
  <c r="H4571" i="1"/>
  <c r="O4571" i="1" a="1"/>
  <c r="O4571" i="1" s="1"/>
  <c r="L4572" i="1" l="1" a="1"/>
  <c r="L4572" i="1" s="1"/>
  <c r="N4572" i="1" a="1"/>
  <c r="N4572" i="1" s="1"/>
  <c r="I4572" i="1" a="1"/>
  <c r="I4572" i="1" s="1"/>
  <c r="K4572" i="1" a="1"/>
  <c r="K4572" i="1" s="1"/>
  <c r="C4573" i="1"/>
  <c r="J4573" i="1" s="1" a="1"/>
  <c r="J4573" i="1" s="1"/>
  <c r="H4572" i="1"/>
  <c r="O4572" i="1" a="1"/>
  <c r="O4572" i="1" s="1"/>
  <c r="L4573" i="1" l="1" a="1"/>
  <c r="L4573" i="1" s="1"/>
  <c r="N4573" i="1" a="1"/>
  <c r="N4573" i="1" s="1"/>
  <c r="I4573" i="1" a="1"/>
  <c r="I4573" i="1" s="1"/>
  <c r="K4573" i="1" a="1"/>
  <c r="K4573" i="1" s="1"/>
  <c r="C4574" i="1"/>
  <c r="J4574" i="1" s="1" a="1"/>
  <c r="J4574" i="1" s="1"/>
  <c r="H4573" i="1"/>
  <c r="O4573" i="1" a="1"/>
  <c r="O4573" i="1" s="1"/>
  <c r="L4574" i="1" l="1" a="1"/>
  <c r="L4574" i="1" s="1"/>
  <c r="N4574" i="1" a="1"/>
  <c r="N4574" i="1" s="1"/>
  <c r="I4574" i="1" a="1"/>
  <c r="I4574" i="1" s="1"/>
  <c r="K4574" i="1" a="1"/>
  <c r="K4574" i="1" s="1"/>
  <c r="C4575" i="1"/>
  <c r="J4575" i="1" s="1" a="1"/>
  <c r="J4575" i="1" s="1"/>
  <c r="H4574" i="1"/>
  <c r="O4574" i="1" a="1"/>
  <c r="O4574" i="1" s="1"/>
  <c r="L4575" i="1" l="1" a="1"/>
  <c r="L4575" i="1" s="1"/>
  <c r="N4575" i="1" a="1"/>
  <c r="N4575" i="1" s="1"/>
  <c r="I4575" i="1" a="1"/>
  <c r="I4575" i="1" s="1"/>
  <c r="K4575" i="1" a="1"/>
  <c r="K4575" i="1" s="1"/>
  <c r="C4576" i="1"/>
  <c r="J4576" i="1" s="1" a="1"/>
  <c r="J4576" i="1" s="1"/>
  <c r="H4575" i="1"/>
  <c r="O4575" i="1" a="1"/>
  <c r="O4575" i="1" s="1"/>
  <c r="L4576" i="1" l="1" a="1"/>
  <c r="L4576" i="1" s="1"/>
  <c r="N4576" i="1" a="1"/>
  <c r="N4576" i="1" s="1"/>
  <c r="I4576" i="1" a="1"/>
  <c r="I4576" i="1" s="1"/>
  <c r="K4576" i="1" a="1"/>
  <c r="K4576" i="1" s="1"/>
  <c r="C4577" i="1"/>
  <c r="J4577" i="1" s="1" a="1"/>
  <c r="J4577" i="1" s="1"/>
  <c r="H4576" i="1"/>
  <c r="O4576" i="1" a="1"/>
  <c r="O4576" i="1" s="1"/>
  <c r="L4577" i="1" l="1" a="1"/>
  <c r="L4577" i="1" s="1"/>
  <c r="N4577" i="1" a="1"/>
  <c r="N4577" i="1" s="1"/>
  <c r="I4577" i="1" a="1"/>
  <c r="I4577" i="1" s="1"/>
  <c r="K4577" i="1" a="1"/>
  <c r="K4577" i="1" s="1"/>
  <c r="C4578" i="1"/>
  <c r="J4578" i="1" s="1" a="1"/>
  <c r="J4578" i="1" s="1"/>
  <c r="H4577" i="1"/>
  <c r="O4577" i="1" a="1"/>
  <c r="O4577" i="1" s="1"/>
  <c r="L4578" i="1" l="1" a="1"/>
  <c r="L4578" i="1" s="1"/>
  <c r="N4578" i="1" a="1"/>
  <c r="N4578" i="1" s="1"/>
  <c r="I4578" i="1" a="1"/>
  <c r="I4578" i="1" s="1"/>
  <c r="K4578" i="1" a="1"/>
  <c r="K4578" i="1" s="1"/>
  <c r="C4579" i="1"/>
  <c r="J4579" i="1" s="1" a="1"/>
  <c r="J4579" i="1" s="1"/>
  <c r="H4578" i="1"/>
  <c r="O4578" i="1" a="1"/>
  <c r="O4578" i="1" s="1"/>
  <c r="L4579" i="1" l="1" a="1"/>
  <c r="L4579" i="1" s="1"/>
  <c r="N4579" i="1" a="1"/>
  <c r="N4579" i="1" s="1"/>
  <c r="I4579" i="1" a="1"/>
  <c r="I4579" i="1" s="1"/>
  <c r="K4579" i="1" a="1"/>
  <c r="K4579" i="1" s="1"/>
  <c r="C4580" i="1"/>
  <c r="J4580" i="1" s="1" a="1"/>
  <c r="J4580" i="1" s="1"/>
  <c r="H4579" i="1"/>
  <c r="O4579" i="1" a="1"/>
  <c r="O4579" i="1" s="1"/>
  <c r="L4580" i="1" l="1" a="1"/>
  <c r="L4580" i="1" s="1"/>
  <c r="N4580" i="1" a="1"/>
  <c r="N4580" i="1" s="1"/>
  <c r="I4580" i="1" a="1"/>
  <c r="I4580" i="1" s="1"/>
  <c r="K4580" i="1" a="1"/>
  <c r="K4580" i="1" s="1"/>
  <c r="C4581" i="1"/>
  <c r="J4581" i="1" s="1" a="1"/>
  <c r="J4581" i="1" s="1"/>
  <c r="H4580" i="1"/>
  <c r="O4580" i="1" a="1"/>
  <c r="O4580" i="1" s="1"/>
  <c r="L4581" i="1" l="1" a="1"/>
  <c r="L4581" i="1" s="1"/>
  <c r="N4581" i="1" a="1"/>
  <c r="N4581" i="1" s="1"/>
  <c r="I4581" i="1" a="1"/>
  <c r="I4581" i="1" s="1"/>
  <c r="K4581" i="1" a="1"/>
  <c r="K4581" i="1" s="1"/>
  <c r="C4582" i="1"/>
  <c r="J4582" i="1" s="1" a="1"/>
  <c r="J4582" i="1" s="1"/>
  <c r="H4581" i="1"/>
  <c r="O4581" i="1" a="1"/>
  <c r="O4581" i="1" s="1"/>
  <c r="L4582" i="1" l="1" a="1"/>
  <c r="L4582" i="1" s="1"/>
  <c r="N4582" i="1" a="1"/>
  <c r="N4582" i="1" s="1"/>
  <c r="I4582" i="1" a="1"/>
  <c r="I4582" i="1" s="1"/>
  <c r="K4582" i="1" a="1"/>
  <c r="K4582" i="1" s="1"/>
  <c r="C4583" i="1"/>
  <c r="J4583" i="1" s="1" a="1"/>
  <c r="J4583" i="1" s="1"/>
  <c r="H4582" i="1"/>
  <c r="O4582" i="1" a="1"/>
  <c r="O4582" i="1" s="1"/>
  <c r="L4583" i="1" l="1" a="1"/>
  <c r="L4583" i="1" s="1"/>
  <c r="N4583" i="1" a="1"/>
  <c r="N4583" i="1" s="1"/>
  <c r="I4583" i="1" a="1"/>
  <c r="I4583" i="1" s="1"/>
  <c r="K4583" i="1" a="1"/>
  <c r="K4583" i="1" s="1"/>
  <c r="C4584" i="1"/>
  <c r="J4584" i="1" s="1" a="1"/>
  <c r="J4584" i="1" s="1"/>
  <c r="H4583" i="1"/>
  <c r="O4583" i="1" a="1"/>
  <c r="O4583" i="1" s="1"/>
  <c r="L4584" i="1" l="1" a="1"/>
  <c r="L4584" i="1" s="1"/>
  <c r="N4584" i="1" a="1"/>
  <c r="N4584" i="1" s="1"/>
  <c r="I4584" i="1" a="1"/>
  <c r="I4584" i="1" s="1"/>
  <c r="K4584" i="1" a="1"/>
  <c r="K4584" i="1" s="1"/>
  <c r="C4585" i="1"/>
  <c r="J4585" i="1" s="1" a="1"/>
  <c r="J4585" i="1" s="1"/>
  <c r="H4584" i="1"/>
  <c r="O4584" i="1" a="1"/>
  <c r="O4584" i="1" s="1"/>
  <c r="L4585" i="1" l="1" a="1"/>
  <c r="L4585" i="1" s="1"/>
  <c r="N4585" i="1" a="1"/>
  <c r="N4585" i="1" s="1"/>
  <c r="I4585" i="1" a="1"/>
  <c r="I4585" i="1" s="1"/>
  <c r="K4585" i="1" a="1"/>
  <c r="K4585" i="1" s="1"/>
  <c r="C4586" i="1"/>
  <c r="J4586" i="1" s="1" a="1"/>
  <c r="J4586" i="1" s="1"/>
  <c r="H4585" i="1"/>
  <c r="O4585" i="1" a="1"/>
  <c r="O4585" i="1" s="1"/>
  <c r="L4586" i="1" l="1" a="1"/>
  <c r="L4586" i="1" s="1"/>
  <c r="N4586" i="1" a="1"/>
  <c r="N4586" i="1" s="1"/>
  <c r="I4586" i="1" a="1"/>
  <c r="I4586" i="1" s="1"/>
  <c r="K4586" i="1" a="1"/>
  <c r="K4586" i="1" s="1"/>
  <c r="C4587" i="1"/>
  <c r="J4587" i="1" s="1" a="1"/>
  <c r="J4587" i="1" s="1"/>
  <c r="H4586" i="1"/>
  <c r="O4586" i="1" a="1"/>
  <c r="O4586" i="1" s="1"/>
  <c r="L4587" i="1" l="1" a="1"/>
  <c r="L4587" i="1" s="1"/>
  <c r="N4587" i="1" a="1"/>
  <c r="N4587" i="1" s="1"/>
  <c r="I4587" i="1" a="1"/>
  <c r="I4587" i="1" s="1"/>
  <c r="K4587" i="1" a="1"/>
  <c r="K4587" i="1" s="1"/>
  <c r="C4588" i="1"/>
  <c r="J4588" i="1" s="1" a="1"/>
  <c r="J4588" i="1" s="1"/>
  <c r="H4587" i="1"/>
  <c r="O4587" i="1" a="1"/>
  <c r="O4587" i="1" s="1"/>
  <c r="L4588" i="1" l="1" a="1"/>
  <c r="L4588" i="1" s="1"/>
  <c r="N4588" i="1" a="1"/>
  <c r="N4588" i="1" s="1"/>
  <c r="I4588" i="1" a="1"/>
  <c r="I4588" i="1" s="1"/>
  <c r="K4588" i="1" a="1"/>
  <c r="K4588" i="1" s="1"/>
  <c r="C4589" i="1"/>
  <c r="J4589" i="1" s="1" a="1"/>
  <c r="J4589" i="1" s="1"/>
  <c r="H4588" i="1"/>
  <c r="O4588" i="1" a="1"/>
  <c r="O4588" i="1" s="1"/>
  <c r="L4589" i="1" l="1" a="1"/>
  <c r="L4589" i="1" s="1"/>
  <c r="N4589" i="1" a="1"/>
  <c r="N4589" i="1" s="1"/>
  <c r="I4589" i="1" a="1"/>
  <c r="I4589" i="1" s="1"/>
  <c r="K4589" i="1" a="1"/>
  <c r="K4589" i="1" s="1"/>
  <c r="C4590" i="1"/>
  <c r="J4590" i="1" s="1" a="1"/>
  <c r="J4590" i="1" s="1"/>
  <c r="H4589" i="1"/>
  <c r="O4589" i="1" a="1"/>
  <c r="O4589" i="1" s="1"/>
  <c r="L4590" i="1" l="1" a="1"/>
  <c r="L4590" i="1" s="1"/>
  <c r="N4590" i="1" a="1"/>
  <c r="N4590" i="1" s="1"/>
  <c r="I4590" i="1" a="1"/>
  <c r="I4590" i="1" s="1"/>
  <c r="K4590" i="1" a="1"/>
  <c r="K4590" i="1" s="1"/>
  <c r="C4591" i="1"/>
  <c r="J4591" i="1" s="1" a="1"/>
  <c r="J4591" i="1" s="1"/>
  <c r="H4590" i="1"/>
  <c r="O4590" i="1" a="1"/>
  <c r="O4590" i="1" s="1"/>
  <c r="L4591" i="1" l="1" a="1"/>
  <c r="L4591" i="1" s="1"/>
  <c r="N4591" i="1" a="1"/>
  <c r="N4591" i="1" s="1"/>
  <c r="I4591" i="1" a="1"/>
  <c r="I4591" i="1" s="1"/>
  <c r="K4591" i="1" a="1"/>
  <c r="K4591" i="1" s="1"/>
  <c r="C4592" i="1"/>
  <c r="J4592" i="1" s="1" a="1"/>
  <c r="J4592" i="1" s="1"/>
  <c r="H4591" i="1"/>
  <c r="O4591" i="1" a="1"/>
  <c r="O4591" i="1" s="1"/>
  <c r="L4592" i="1" l="1" a="1"/>
  <c r="L4592" i="1" s="1"/>
  <c r="N4592" i="1" a="1"/>
  <c r="N4592" i="1" s="1"/>
  <c r="I4592" i="1" a="1"/>
  <c r="I4592" i="1" s="1"/>
  <c r="K4592" i="1" a="1"/>
  <c r="K4592" i="1" s="1"/>
  <c r="C4593" i="1"/>
  <c r="J4593" i="1" s="1" a="1"/>
  <c r="J4593" i="1" s="1"/>
  <c r="H4592" i="1"/>
  <c r="O4592" i="1" a="1"/>
  <c r="O4592" i="1" s="1"/>
  <c r="L4593" i="1" l="1" a="1"/>
  <c r="L4593" i="1" s="1"/>
  <c r="N4593" i="1" a="1"/>
  <c r="N4593" i="1" s="1"/>
  <c r="I4593" i="1" a="1"/>
  <c r="I4593" i="1" s="1"/>
  <c r="K4593" i="1" a="1"/>
  <c r="K4593" i="1" s="1"/>
  <c r="C4594" i="1"/>
  <c r="J4594" i="1" s="1" a="1"/>
  <c r="J4594" i="1" s="1"/>
  <c r="H4593" i="1"/>
  <c r="O4593" i="1" a="1"/>
  <c r="O4593" i="1" s="1"/>
  <c r="L4594" i="1" l="1" a="1"/>
  <c r="L4594" i="1" s="1"/>
  <c r="N4594" i="1" a="1"/>
  <c r="N4594" i="1" s="1"/>
  <c r="I4594" i="1" a="1"/>
  <c r="I4594" i="1" s="1"/>
  <c r="K4594" i="1" a="1"/>
  <c r="K4594" i="1" s="1"/>
  <c r="C4595" i="1"/>
  <c r="J4595" i="1" s="1" a="1"/>
  <c r="J4595" i="1" s="1"/>
  <c r="H4594" i="1"/>
  <c r="O4594" i="1" a="1"/>
  <c r="O4594" i="1" s="1"/>
  <c r="L4595" i="1" l="1" a="1"/>
  <c r="L4595" i="1" s="1"/>
  <c r="N4595" i="1" a="1"/>
  <c r="N4595" i="1" s="1"/>
  <c r="I4595" i="1" a="1"/>
  <c r="I4595" i="1" s="1"/>
  <c r="K4595" i="1" a="1"/>
  <c r="K4595" i="1" s="1"/>
  <c r="C4596" i="1"/>
  <c r="J4596" i="1" s="1" a="1"/>
  <c r="J4596" i="1" s="1"/>
  <c r="H4595" i="1"/>
  <c r="O4595" i="1" a="1"/>
  <c r="O4595" i="1" s="1"/>
  <c r="L4596" i="1" l="1" a="1"/>
  <c r="L4596" i="1" s="1"/>
  <c r="N4596" i="1" a="1"/>
  <c r="N4596" i="1" s="1"/>
  <c r="I4596" i="1" a="1"/>
  <c r="I4596" i="1" s="1"/>
  <c r="K4596" i="1" a="1"/>
  <c r="K4596" i="1" s="1"/>
  <c r="C4597" i="1"/>
  <c r="J4597" i="1" s="1" a="1"/>
  <c r="J4597" i="1" s="1"/>
  <c r="H4596" i="1"/>
  <c r="O4596" i="1" a="1"/>
  <c r="O4596" i="1" s="1"/>
  <c r="L4597" i="1" l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L4598" i="1" l="1" a="1"/>
  <c r="L4598" i="1" s="1"/>
  <c r="N4598" i="1" a="1"/>
  <c r="N4598" i="1" s="1"/>
  <c r="I4598" i="1" a="1"/>
  <c r="I4598" i="1" s="1"/>
  <c r="K4598" i="1" a="1"/>
  <c r="K4598" i="1" s="1"/>
  <c r="C4599" i="1"/>
  <c r="J4599" i="1" s="1" a="1"/>
  <c r="J4599" i="1" s="1"/>
  <c r="H4598" i="1"/>
  <c r="O4598" i="1" a="1"/>
  <c r="O4598" i="1" s="1"/>
  <c r="L4599" i="1" l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L4600" i="1" l="1" a="1"/>
  <c r="L4600" i="1" s="1"/>
  <c r="N4600" i="1" a="1"/>
  <c r="N4600" i="1" s="1"/>
  <c r="I4600" i="1" a="1"/>
  <c r="I4600" i="1" s="1"/>
  <c r="K4600" i="1" a="1"/>
  <c r="K4600" i="1" s="1"/>
  <c r="C4601" i="1"/>
  <c r="J4601" i="1" s="1" a="1"/>
  <c r="J4601" i="1" s="1"/>
  <c r="H4600" i="1"/>
  <c r="O4600" i="1" a="1"/>
  <c r="O4600" i="1" s="1"/>
  <c r="L4601" i="1" l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L4602" i="1" l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L4603" i="1" l="1" a="1"/>
  <c r="L4603" i="1" s="1"/>
  <c r="N4603" i="1" a="1"/>
  <c r="N4603" i="1" s="1"/>
  <c r="I4603" i="1" a="1"/>
  <c r="I4603" i="1" s="1"/>
  <c r="K4603" i="1" a="1"/>
  <c r="K4603" i="1" s="1"/>
  <c r="C4604" i="1"/>
  <c r="J4604" i="1" s="1" a="1"/>
  <c r="J4604" i="1" s="1"/>
  <c r="H4603" i="1"/>
  <c r="O4603" i="1" a="1"/>
  <c r="O4603" i="1" s="1"/>
  <c r="L4604" i="1" l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L4605" i="1" l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L4606" i="1" l="1" a="1"/>
  <c r="L4606" i="1" s="1"/>
  <c r="N4606" i="1" a="1"/>
  <c r="N4606" i="1" s="1"/>
  <c r="I4606" i="1" a="1"/>
  <c r="I4606" i="1" s="1"/>
  <c r="K4606" i="1" a="1"/>
  <c r="K4606" i="1" s="1"/>
  <c r="C4607" i="1"/>
  <c r="J4607" i="1" s="1" a="1"/>
  <c r="J4607" i="1" s="1"/>
  <c r="H4606" i="1"/>
  <c r="O4606" i="1" a="1"/>
  <c r="O4606" i="1" s="1"/>
  <c r="L4607" i="1" l="1" a="1"/>
  <c r="L4607" i="1" s="1"/>
  <c r="N4607" i="1" a="1"/>
  <c r="N4607" i="1" s="1"/>
  <c r="I4607" i="1" a="1"/>
  <c r="I4607" i="1" s="1"/>
  <c r="K4607" i="1" a="1"/>
  <c r="K4607" i="1" s="1"/>
  <c r="C4608" i="1"/>
  <c r="J4608" i="1" s="1" a="1"/>
  <c r="J4608" i="1" s="1"/>
  <c r="H4607" i="1"/>
  <c r="O4607" i="1" a="1"/>
  <c r="O4607" i="1" s="1"/>
  <c r="L4608" i="1" l="1" a="1"/>
  <c r="L4608" i="1" s="1"/>
  <c r="N4608" i="1" a="1"/>
  <c r="N4608" i="1" s="1"/>
  <c r="I4608" i="1" a="1"/>
  <c r="I4608" i="1" s="1"/>
  <c r="K4608" i="1" a="1"/>
  <c r="K4608" i="1" s="1"/>
  <c r="C4609" i="1"/>
  <c r="J4609" i="1" s="1" a="1"/>
  <c r="J4609" i="1" s="1"/>
  <c r="H4608" i="1"/>
  <c r="O4608" i="1" a="1"/>
  <c r="O4608" i="1" s="1"/>
  <c r="L4609" i="1" l="1" a="1"/>
  <c r="L4609" i="1" s="1"/>
  <c r="N4609" i="1" a="1"/>
  <c r="N4609" i="1" s="1"/>
  <c r="I4609" i="1" a="1"/>
  <c r="I4609" i="1" s="1"/>
  <c r="K4609" i="1" a="1"/>
  <c r="K4609" i="1" s="1"/>
  <c r="C4610" i="1"/>
  <c r="J4610" i="1" s="1" a="1"/>
  <c r="J4610" i="1" s="1"/>
  <c r="H4609" i="1"/>
  <c r="O4609" i="1" a="1"/>
  <c r="O4609" i="1" s="1"/>
  <c r="L4610" i="1" l="1" a="1"/>
  <c r="L4610" i="1" s="1"/>
  <c r="N4610" i="1" a="1"/>
  <c r="N4610" i="1" s="1"/>
  <c r="I4610" i="1" a="1"/>
  <c r="I4610" i="1" s="1"/>
  <c r="K4610" i="1" a="1"/>
  <c r="K4610" i="1" s="1"/>
  <c r="C4611" i="1"/>
  <c r="J4611" i="1" s="1" a="1"/>
  <c r="J4611" i="1" s="1"/>
  <c r="H4610" i="1"/>
  <c r="O4610" i="1" a="1"/>
  <c r="O4610" i="1" s="1"/>
  <c r="L4611" i="1" l="1" a="1"/>
  <c r="L4611" i="1" s="1"/>
  <c r="N4611" i="1" a="1"/>
  <c r="N4611" i="1" s="1"/>
  <c r="I4611" i="1" a="1"/>
  <c r="I4611" i="1" s="1"/>
  <c r="K4611" i="1" a="1"/>
  <c r="K4611" i="1" s="1"/>
  <c r="C4612" i="1"/>
  <c r="J4612" i="1" s="1" a="1"/>
  <c r="J4612" i="1" s="1"/>
  <c r="H4611" i="1"/>
  <c r="O4611" i="1" a="1"/>
  <c r="O4611" i="1" s="1"/>
  <c r="L4612" i="1" l="1" a="1"/>
  <c r="L4612" i="1" s="1"/>
  <c r="N4612" i="1" a="1"/>
  <c r="N4612" i="1" s="1"/>
  <c r="I4612" i="1" a="1"/>
  <c r="I4612" i="1" s="1"/>
  <c r="K4612" i="1" a="1"/>
  <c r="K4612" i="1" s="1"/>
  <c r="C4613" i="1"/>
  <c r="J4613" i="1" s="1" a="1"/>
  <c r="J4613" i="1" s="1"/>
  <c r="H4612" i="1"/>
  <c r="O4612" i="1" a="1"/>
  <c r="O4612" i="1" s="1"/>
  <c r="L4613" i="1" l="1" a="1"/>
  <c r="L4613" i="1" s="1"/>
  <c r="N4613" i="1" a="1"/>
  <c r="N4613" i="1" s="1"/>
  <c r="I4613" i="1" a="1"/>
  <c r="I4613" i="1" s="1"/>
  <c r="K4613" i="1" a="1"/>
  <c r="K4613" i="1" s="1"/>
  <c r="C4614" i="1"/>
  <c r="J4614" i="1" s="1" a="1"/>
  <c r="J4614" i="1" s="1"/>
  <c r="H4613" i="1"/>
  <c r="O4613" i="1" a="1"/>
  <c r="O4613" i="1" s="1"/>
  <c r="L4614" i="1" l="1" a="1"/>
  <c r="L4614" i="1" s="1"/>
  <c r="N4614" i="1" a="1"/>
  <c r="N4614" i="1" s="1"/>
  <c r="I4614" i="1" a="1"/>
  <c r="I4614" i="1" s="1"/>
  <c r="K4614" i="1" a="1"/>
  <c r="K4614" i="1" s="1"/>
  <c r="C4615" i="1"/>
  <c r="J4615" i="1" s="1" a="1"/>
  <c r="J4615" i="1" s="1"/>
  <c r="H4614" i="1"/>
  <c r="O4614" i="1" a="1"/>
  <c r="O4614" i="1" s="1"/>
  <c r="L4615" i="1" l="1" a="1"/>
  <c r="L4615" i="1" s="1"/>
  <c r="N4615" i="1" a="1"/>
  <c r="N4615" i="1" s="1"/>
  <c r="I4615" i="1" a="1"/>
  <c r="I4615" i="1" s="1"/>
  <c r="K4615" i="1" a="1"/>
  <c r="K4615" i="1" s="1"/>
  <c r="C4616" i="1"/>
  <c r="J4616" i="1" s="1" a="1"/>
  <c r="J4616" i="1" s="1"/>
  <c r="H4615" i="1"/>
  <c r="O4615" i="1" a="1"/>
  <c r="O4615" i="1" s="1"/>
  <c r="L4616" i="1" l="1" a="1"/>
  <c r="L4616" i="1" s="1"/>
  <c r="N4616" i="1" a="1"/>
  <c r="N4616" i="1" s="1"/>
  <c r="I4616" i="1" a="1"/>
  <c r="I4616" i="1" s="1"/>
  <c r="K4616" i="1" a="1"/>
  <c r="K4616" i="1" s="1"/>
  <c r="C4617" i="1"/>
  <c r="J4617" i="1" s="1" a="1"/>
  <c r="J4617" i="1" s="1"/>
  <c r="H4616" i="1"/>
  <c r="O4616" i="1" a="1"/>
  <c r="O4616" i="1" s="1"/>
  <c r="L4617" i="1" l="1" a="1"/>
  <c r="L4617" i="1" s="1"/>
  <c r="N4617" i="1" a="1"/>
  <c r="N4617" i="1" s="1"/>
  <c r="I4617" i="1" a="1"/>
  <c r="I4617" i="1" s="1"/>
  <c r="K4617" i="1" a="1"/>
  <c r="K4617" i="1" s="1"/>
  <c r="C4618" i="1"/>
  <c r="J4618" i="1" s="1" a="1"/>
  <c r="J4618" i="1" s="1"/>
  <c r="H4617" i="1"/>
  <c r="O4617" i="1" a="1"/>
  <c r="O4617" i="1" s="1"/>
  <c r="L4618" i="1" l="1" a="1"/>
  <c r="L4618" i="1" s="1"/>
  <c r="N4618" i="1" a="1"/>
  <c r="N4618" i="1" s="1"/>
  <c r="I4618" i="1" a="1"/>
  <c r="I4618" i="1" s="1"/>
  <c r="K4618" i="1" a="1"/>
  <c r="K4618" i="1" s="1"/>
  <c r="C4619" i="1"/>
  <c r="J4619" i="1" s="1" a="1"/>
  <c r="J4619" i="1" s="1"/>
  <c r="H4618" i="1"/>
  <c r="O4618" i="1" a="1"/>
  <c r="O4618" i="1" s="1"/>
  <c r="L4619" i="1" l="1" a="1"/>
  <c r="L4619" i="1" s="1"/>
  <c r="N4619" i="1" a="1"/>
  <c r="N4619" i="1" s="1"/>
  <c r="I4619" i="1" a="1"/>
  <c r="I4619" i="1" s="1"/>
  <c r="K4619" i="1" a="1"/>
  <c r="K4619" i="1" s="1"/>
  <c r="C4620" i="1"/>
  <c r="J4620" i="1" s="1" a="1"/>
  <c r="J4620" i="1" s="1"/>
  <c r="H4619" i="1"/>
  <c r="O4619" i="1" a="1"/>
  <c r="O4619" i="1" s="1"/>
  <c r="L4620" i="1" l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L4621" i="1" l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L4622" i="1" l="1" a="1"/>
  <c r="L4622" i="1" s="1"/>
  <c r="N4622" i="1" a="1"/>
  <c r="N4622" i="1" s="1"/>
  <c r="I4622" i="1" a="1"/>
  <c r="I4622" i="1" s="1"/>
  <c r="K4622" i="1" a="1"/>
  <c r="K4622" i="1" s="1"/>
  <c r="C4623" i="1"/>
  <c r="J4623" i="1" s="1" a="1"/>
  <c r="J4623" i="1" s="1"/>
  <c r="H4622" i="1"/>
  <c r="O4622" i="1" a="1"/>
  <c r="O4622" i="1" s="1"/>
  <c r="L4623" i="1" l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L4624" i="1" l="1" a="1"/>
  <c r="L4624" i="1" s="1"/>
  <c r="N4624" i="1" a="1"/>
  <c r="N4624" i="1" s="1"/>
  <c r="I4624" i="1" a="1"/>
  <c r="I4624" i="1" s="1"/>
  <c r="K4624" i="1" a="1"/>
  <c r="K4624" i="1" s="1"/>
  <c r="C4625" i="1"/>
  <c r="J4625" i="1" s="1" a="1"/>
  <c r="J4625" i="1" s="1"/>
  <c r="H4624" i="1"/>
  <c r="O4624" i="1" a="1"/>
  <c r="O4624" i="1" s="1"/>
  <c r="L4625" i="1" l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L4626" i="1" l="1" a="1"/>
  <c r="L4626" i="1" s="1"/>
  <c r="N4626" i="1" a="1"/>
  <c r="N4626" i="1" s="1"/>
  <c r="I4626" i="1" a="1"/>
  <c r="I4626" i="1" s="1"/>
  <c r="K4626" i="1" a="1"/>
  <c r="K4626" i="1" s="1"/>
  <c r="C4627" i="1"/>
  <c r="J4627" i="1" s="1" a="1"/>
  <c r="J4627" i="1" s="1"/>
  <c r="H4626" i="1"/>
  <c r="O4626" i="1" a="1"/>
  <c r="O4626" i="1" s="1"/>
  <c r="L4627" i="1" l="1" a="1"/>
  <c r="L4627" i="1" s="1"/>
  <c r="N4627" i="1" a="1"/>
  <c r="N4627" i="1" s="1"/>
  <c r="I4627" i="1" a="1"/>
  <c r="I4627" i="1" s="1"/>
  <c r="K4627" i="1" a="1"/>
  <c r="K4627" i="1" s="1"/>
  <c r="C4628" i="1"/>
  <c r="J4628" i="1" s="1" a="1"/>
  <c r="J4628" i="1" s="1"/>
  <c r="H4627" i="1"/>
  <c r="O4627" i="1" a="1"/>
  <c r="O4627" i="1" s="1"/>
  <c r="L4628" i="1" l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L4629" i="1" l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L4630" i="1" l="1" a="1"/>
  <c r="L4630" i="1" s="1"/>
  <c r="N4630" i="1" a="1"/>
  <c r="N4630" i="1" s="1"/>
  <c r="I4630" i="1" a="1"/>
  <c r="I4630" i="1" s="1"/>
  <c r="K4630" i="1" a="1"/>
  <c r="K4630" i="1" s="1"/>
  <c r="C4631" i="1"/>
  <c r="J4631" i="1" s="1" a="1"/>
  <c r="J4631" i="1" s="1"/>
  <c r="H4630" i="1"/>
  <c r="O4630" i="1" a="1"/>
  <c r="O4630" i="1" s="1"/>
  <c r="L4631" i="1" l="1" a="1"/>
  <c r="L4631" i="1" s="1"/>
  <c r="N4631" i="1" a="1"/>
  <c r="N4631" i="1" s="1"/>
  <c r="I4631" i="1" a="1"/>
  <c r="I4631" i="1" s="1"/>
  <c r="K4631" i="1" a="1"/>
  <c r="K4631" i="1" s="1"/>
  <c r="C4632" i="1"/>
  <c r="J4632" i="1" s="1" a="1"/>
  <c r="J4632" i="1" s="1"/>
  <c r="H4631" i="1"/>
  <c r="O4631" i="1" a="1"/>
  <c r="O4631" i="1" s="1"/>
  <c r="L4632" i="1" l="1" a="1"/>
  <c r="L4632" i="1" s="1"/>
  <c r="N4632" i="1" a="1"/>
  <c r="N4632" i="1" s="1"/>
  <c r="I4632" i="1" a="1"/>
  <c r="I4632" i="1" s="1"/>
  <c r="K4632" i="1" a="1"/>
  <c r="K4632" i="1" s="1"/>
  <c r="C4633" i="1"/>
  <c r="J4633" i="1" s="1" a="1"/>
  <c r="J4633" i="1" s="1"/>
  <c r="H4632" i="1"/>
  <c r="O4632" i="1" a="1"/>
  <c r="O4632" i="1" s="1"/>
  <c r="L4633" i="1" l="1" a="1"/>
  <c r="L4633" i="1" s="1"/>
  <c r="N4633" i="1" a="1"/>
  <c r="N4633" i="1" s="1"/>
  <c r="I4633" i="1" a="1"/>
  <c r="I4633" i="1" s="1"/>
  <c r="K4633" i="1" a="1"/>
  <c r="K4633" i="1" s="1"/>
  <c r="C4634" i="1"/>
  <c r="J4634" i="1" s="1" a="1"/>
  <c r="J4634" i="1" s="1"/>
  <c r="H4633" i="1"/>
  <c r="O4633" i="1" a="1"/>
  <c r="O4633" i="1" s="1"/>
  <c r="L4634" i="1" l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L4635" i="1" l="1" a="1"/>
  <c r="L4635" i="1" s="1"/>
  <c r="N4635" i="1" a="1"/>
  <c r="N4635" i="1" s="1"/>
  <c r="I4635" i="1" a="1"/>
  <c r="I4635" i="1" s="1"/>
  <c r="K4635" i="1" a="1"/>
  <c r="K4635" i="1" s="1"/>
  <c r="C4636" i="1"/>
  <c r="J4636" i="1" s="1" a="1"/>
  <c r="J4636" i="1" s="1"/>
  <c r="H4635" i="1"/>
  <c r="O4635" i="1" a="1"/>
  <c r="O4635" i="1" s="1"/>
  <c r="L4636" i="1" l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L4637" i="1" l="1" a="1"/>
  <c r="L4637" i="1" s="1"/>
  <c r="N4637" i="1" a="1"/>
  <c r="N4637" i="1" s="1"/>
  <c r="I4637" i="1" a="1"/>
  <c r="I4637" i="1" s="1"/>
  <c r="K4637" i="1" a="1"/>
  <c r="K4637" i="1" s="1"/>
  <c r="C4638" i="1"/>
  <c r="J4638" i="1" s="1" a="1"/>
  <c r="J4638" i="1" s="1"/>
  <c r="H4637" i="1"/>
  <c r="O4637" i="1" a="1"/>
  <c r="O4637" i="1" s="1"/>
  <c r="L4638" i="1" l="1" a="1"/>
  <c r="L4638" i="1" s="1"/>
  <c r="N4638" i="1" a="1"/>
  <c r="N4638" i="1" s="1"/>
  <c r="I4638" i="1" a="1"/>
  <c r="I4638" i="1" s="1"/>
  <c r="K4638" i="1" a="1"/>
  <c r="K4638" i="1" s="1"/>
  <c r="C4639" i="1"/>
  <c r="J4639" i="1" s="1" a="1"/>
  <c r="J4639" i="1" s="1"/>
  <c r="H4638" i="1"/>
  <c r="O4638" i="1" a="1"/>
  <c r="O4638" i="1" s="1"/>
  <c r="L4639" i="1" l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L4640" i="1" l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L4641" i="1" l="1" a="1"/>
  <c r="L4641" i="1" s="1"/>
  <c r="N4641" i="1" a="1"/>
  <c r="N4641" i="1" s="1"/>
  <c r="I4641" i="1" a="1"/>
  <c r="I4641" i="1" s="1"/>
  <c r="K4641" i="1" a="1"/>
  <c r="K4641" i="1" s="1"/>
  <c r="C4642" i="1"/>
  <c r="J4642" i="1" s="1" a="1"/>
  <c r="J4642" i="1" s="1"/>
  <c r="H4641" i="1"/>
  <c r="O4641" i="1" a="1"/>
  <c r="O4641" i="1" s="1"/>
  <c r="L4642" i="1" l="1" a="1"/>
  <c r="L4642" i="1" s="1"/>
  <c r="N4642" i="1" a="1"/>
  <c r="N4642" i="1" s="1"/>
  <c r="I4642" i="1" a="1"/>
  <c r="I4642" i="1" s="1"/>
  <c r="K4642" i="1" a="1"/>
  <c r="K4642" i="1" s="1"/>
  <c r="C4643" i="1"/>
  <c r="J4643" i="1" s="1" a="1"/>
  <c r="J4643" i="1" s="1"/>
  <c r="H4642" i="1"/>
  <c r="O4642" i="1" a="1"/>
  <c r="O4642" i="1" s="1"/>
  <c r="L4643" i="1" l="1" a="1"/>
  <c r="L4643" i="1" s="1"/>
  <c r="N4643" i="1" a="1"/>
  <c r="N4643" i="1" s="1"/>
  <c r="I4643" i="1" a="1"/>
  <c r="I4643" i="1" s="1"/>
  <c r="K4643" i="1" a="1"/>
  <c r="K4643" i="1" s="1"/>
  <c r="C4644" i="1"/>
  <c r="J4644" i="1" s="1" a="1"/>
  <c r="J4644" i="1" s="1"/>
  <c r="H4643" i="1"/>
  <c r="O4643" i="1" a="1"/>
  <c r="O4643" i="1" s="1"/>
  <c r="L4644" i="1" l="1" a="1"/>
  <c r="L4644" i="1" s="1"/>
  <c r="N4644" i="1" a="1"/>
  <c r="N4644" i="1" s="1"/>
  <c r="I4644" i="1" a="1"/>
  <c r="I4644" i="1" s="1"/>
  <c r="K4644" i="1" a="1"/>
  <c r="K4644" i="1" s="1"/>
  <c r="C4645" i="1"/>
  <c r="J4645" i="1" s="1" a="1"/>
  <c r="J4645" i="1" s="1"/>
  <c r="H4644" i="1"/>
  <c r="O4644" i="1" a="1"/>
  <c r="O4644" i="1" s="1"/>
  <c r="L4645" i="1" l="1" a="1"/>
  <c r="L4645" i="1" s="1"/>
  <c r="N4645" i="1" a="1"/>
  <c r="N4645" i="1" s="1"/>
  <c r="I4645" i="1" a="1"/>
  <c r="I4645" i="1" s="1"/>
  <c r="K4645" i="1" a="1"/>
  <c r="K4645" i="1" s="1"/>
  <c r="C4646" i="1"/>
  <c r="J4646" i="1" s="1" a="1"/>
  <c r="J4646" i="1" s="1"/>
  <c r="H4645" i="1"/>
  <c r="O4645" i="1" a="1"/>
  <c r="O4645" i="1" s="1"/>
  <c r="L4646" i="1" l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L4647" i="1" l="1" a="1"/>
  <c r="L4647" i="1" s="1"/>
  <c r="N4647" i="1" a="1"/>
  <c r="N4647" i="1" s="1"/>
  <c r="I4647" i="1" a="1"/>
  <c r="I4647" i="1" s="1"/>
  <c r="K4647" i="1" a="1"/>
  <c r="K4647" i="1" s="1"/>
  <c r="C4648" i="1"/>
  <c r="J4648" i="1" s="1" a="1"/>
  <c r="J4648" i="1" s="1"/>
  <c r="H4647" i="1"/>
  <c r="O4647" i="1" a="1"/>
  <c r="O4647" i="1" s="1"/>
  <c r="L4648" i="1" l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L4649" i="1" l="1" a="1"/>
  <c r="L4649" i="1" s="1"/>
  <c r="N4649" i="1" a="1"/>
  <c r="N4649" i="1" s="1"/>
  <c r="I4649" i="1" a="1"/>
  <c r="I4649" i="1" s="1"/>
  <c r="K4649" i="1" a="1"/>
  <c r="K4649" i="1" s="1"/>
  <c r="C4650" i="1"/>
  <c r="J4650" i="1" s="1" a="1"/>
  <c r="J4650" i="1" s="1"/>
  <c r="H4649" i="1"/>
  <c r="O4649" i="1" a="1"/>
  <c r="O4649" i="1" s="1"/>
  <c r="L4650" i="1" l="1" a="1"/>
  <c r="L4650" i="1" s="1"/>
  <c r="N4650" i="1" a="1"/>
  <c r="N4650" i="1" s="1"/>
  <c r="I4650" i="1" a="1"/>
  <c r="I4650" i="1" s="1"/>
  <c r="K4650" i="1" a="1"/>
  <c r="K4650" i="1" s="1"/>
  <c r="C4651" i="1"/>
  <c r="J4651" i="1" s="1" a="1"/>
  <c r="J4651" i="1" s="1"/>
  <c r="H4650" i="1"/>
  <c r="O4650" i="1" a="1"/>
  <c r="O4650" i="1" s="1"/>
  <c r="L4651" i="1" l="1" a="1"/>
  <c r="L4651" i="1" s="1"/>
  <c r="N4651" i="1" a="1"/>
  <c r="N4651" i="1" s="1"/>
  <c r="I4651" i="1" a="1"/>
  <c r="I4651" i="1" s="1"/>
  <c r="K4651" i="1" a="1"/>
  <c r="K4651" i="1" s="1"/>
  <c r="C4652" i="1"/>
  <c r="J4652" i="1" s="1" a="1"/>
  <c r="J4652" i="1" s="1"/>
  <c r="H4651" i="1"/>
  <c r="O4651" i="1" a="1"/>
  <c r="O4651" i="1" s="1"/>
  <c r="L4652" i="1" l="1" a="1"/>
  <c r="L4652" i="1" s="1"/>
  <c r="N4652" i="1" a="1"/>
  <c r="N4652" i="1" s="1"/>
  <c r="I4652" i="1" a="1"/>
  <c r="I4652" i="1" s="1"/>
  <c r="K4652" i="1" a="1"/>
  <c r="K4652" i="1" s="1"/>
  <c r="C4653" i="1"/>
  <c r="J4653" i="1" s="1" a="1"/>
  <c r="J4653" i="1" s="1"/>
  <c r="H4652" i="1"/>
  <c r="O4652" i="1" a="1"/>
  <c r="O4652" i="1" s="1"/>
  <c r="L4653" i="1" l="1" a="1"/>
  <c r="L4653" i="1" s="1"/>
  <c r="N4653" i="1" a="1"/>
  <c r="N4653" i="1" s="1"/>
  <c r="I4653" i="1" a="1"/>
  <c r="I4653" i="1" s="1"/>
  <c r="K4653" i="1" a="1"/>
  <c r="K4653" i="1" s="1"/>
  <c r="C4654" i="1"/>
  <c r="J4654" i="1" s="1" a="1"/>
  <c r="J4654" i="1" s="1"/>
  <c r="H4653" i="1"/>
  <c r="O4653" i="1" a="1"/>
  <c r="O4653" i="1" s="1"/>
  <c r="L4654" i="1" l="1" a="1"/>
  <c r="L4654" i="1" s="1"/>
  <c r="N4654" i="1" a="1"/>
  <c r="N4654" i="1" s="1"/>
  <c r="I4654" i="1" a="1"/>
  <c r="I4654" i="1" s="1"/>
  <c r="K4654" i="1" a="1"/>
  <c r="K4654" i="1" s="1"/>
  <c r="C4655" i="1"/>
  <c r="J4655" i="1" s="1" a="1"/>
  <c r="J4655" i="1" s="1"/>
  <c r="H4654" i="1"/>
  <c r="O4654" i="1" a="1"/>
  <c r="O4654" i="1" s="1"/>
  <c r="L4655" i="1" l="1" a="1"/>
  <c r="L4655" i="1" s="1"/>
  <c r="N4655" i="1" a="1"/>
  <c r="N4655" i="1" s="1"/>
  <c r="I4655" i="1" a="1"/>
  <c r="I4655" i="1" s="1"/>
  <c r="K4655" i="1" a="1"/>
  <c r="K4655" i="1" s="1"/>
  <c r="C4656" i="1"/>
  <c r="J4656" i="1" s="1" a="1"/>
  <c r="J4656" i="1" s="1"/>
  <c r="H4655" i="1"/>
  <c r="O4655" i="1" a="1"/>
  <c r="O4655" i="1" s="1"/>
  <c r="L4656" i="1" l="1" a="1"/>
  <c r="L4656" i="1" s="1"/>
  <c r="N4656" i="1" a="1"/>
  <c r="N4656" i="1" s="1"/>
  <c r="I4656" i="1" a="1"/>
  <c r="I4656" i="1" s="1"/>
  <c r="K4656" i="1" a="1"/>
  <c r="K4656" i="1" s="1"/>
  <c r="C4657" i="1"/>
  <c r="J4657" i="1" s="1" a="1"/>
  <c r="J4657" i="1" s="1"/>
  <c r="H4656" i="1"/>
  <c r="O4656" i="1" a="1"/>
  <c r="O4656" i="1" s="1"/>
  <c r="L4657" i="1" l="1" a="1"/>
  <c r="L4657" i="1" s="1"/>
  <c r="N4657" i="1" a="1"/>
  <c r="N4657" i="1" s="1"/>
  <c r="I4657" i="1" a="1"/>
  <c r="I4657" i="1" s="1"/>
  <c r="K4657" i="1" a="1"/>
  <c r="K4657" i="1" s="1"/>
  <c r="C4658" i="1"/>
  <c r="J4658" i="1" s="1" a="1"/>
  <c r="J4658" i="1" s="1"/>
  <c r="H4657" i="1"/>
  <c r="O4657" i="1" a="1"/>
  <c r="O4657" i="1" s="1"/>
  <c r="L4658" i="1" l="1" a="1"/>
  <c r="L4658" i="1" s="1"/>
  <c r="N4658" i="1" a="1"/>
  <c r="N4658" i="1" s="1"/>
  <c r="I4658" i="1" a="1"/>
  <c r="I4658" i="1" s="1"/>
  <c r="K4658" i="1" a="1"/>
  <c r="K4658" i="1" s="1"/>
  <c r="C4659" i="1"/>
  <c r="J4659" i="1" s="1" a="1"/>
  <c r="J4659" i="1" s="1"/>
  <c r="H4658" i="1"/>
  <c r="O4658" i="1" a="1"/>
  <c r="O4658" i="1" s="1"/>
  <c r="L4659" i="1" l="1" a="1"/>
  <c r="L4659" i="1" s="1"/>
  <c r="N4659" i="1" a="1"/>
  <c r="N4659" i="1" s="1"/>
  <c r="I4659" i="1" a="1"/>
  <c r="I4659" i="1" s="1"/>
  <c r="K4659" i="1" a="1"/>
  <c r="K4659" i="1" s="1"/>
  <c r="C4660" i="1"/>
  <c r="J4660" i="1" s="1" a="1"/>
  <c r="J4660" i="1" s="1"/>
  <c r="H4659" i="1"/>
  <c r="O4659" i="1" a="1"/>
  <c r="O4659" i="1" s="1"/>
  <c r="L4660" i="1" l="1" a="1"/>
  <c r="L4660" i="1" s="1"/>
  <c r="N4660" i="1" a="1"/>
  <c r="N4660" i="1" s="1"/>
  <c r="I4660" i="1" a="1"/>
  <c r="I4660" i="1" s="1"/>
  <c r="K4660" i="1" a="1"/>
  <c r="K4660" i="1" s="1"/>
  <c r="C4661" i="1"/>
  <c r="J4661" i="1" s="1" a="1"/>
  <c r="J4661" i="1" s="1"/>
  <c r="H4660" i="1"/>
  <c r="O4660" i="1" a="1"/>
  <c r="O4660" i="1" s="1"/>
  <c r="L4661" i="1" l="1" a="1"/>
  <c r="L4661" i="1" s="1"/>
  <c r="N4661" i="1" a="1"/>
  <c r="N4661" i="1" s="1"/>
  <c r="I4661" i="1" a="1"/>
  <c r="I4661" i="1" s="1"/>
  <c r="K4661" i="1" a="1"/>
  <c r="K4661" i="1" s="1"/>
  <c r="C4662" i="1"/>
  <c r="J4662" i="1" s="1" a="1"/>
  <c r="J4662" i="1" s="1"/>
  <c r="H4661" i="1"/>
  <c r="O4661" i="1" a="1"/>
  <c r="O4661" i="1" s="1"/>
  <c r="L4662" i="1" l="1" a="1"/>
  <c r="L4662" i="1" s="1"/>
  <c r="N4662" i="1" a="1"/>
  <c r="N4662" i="1" s="1"/>
  <c r="I4662" i="1" a="1"/>
  <c r="I4662" i="1" s="1"/>
  <c r="K4662" i="1" a="1"/>
  <c r="K4662" i="1" s="1"/>
  <c r="C4663" i="1"/>
  <c r="J4663" i="1" s="1" a="1"/>
  <c r="J4663" i="1" s="1"/>
  <c r="H4662" i="1"/>
  <c r="O4662" i="1" a="1"/>
  <c r="O4662" i="1" s="1"/>
  <c r="L4663" i="1" l="1" a="1"/>
  <c r="L4663" i="1" s="1"/>
  <c r="N4663" i="1" a="1"/>
  <c r="N4663" i="1" s="1"/>
  <c r="I4663" i="1" a="1"/>
  <c r="I4663" i="1" s="1"/>
  <c r="K4663" i="1" a="1"/>
  <c r="K4663" i="1" s="1"/>
  <c r="C4664" i="1"/>
  <c r="J4664" i="1" s="1" a="1"/>
  <c r="J4664" i="1" s="1"/>
  <c r="H4663" i="1"/>
  <c r="O4663" i="1" a="1"/>
  <c r="O4663" i="1" s="1"/>
  <c r="L4664" i="1" l="1" a="1"/>
  <c r="L4664" i="1" s="1"/>
  <c r="N4664" i="1" a="1"/>
  <c r="N4664" i="1" s="1"/>
  <c r="I4664" i="1" a="1"/>
  <c r="I4664" i="1" s="1"/>
  <c r="K4664" i="1" a="1"/>
  <c r="K4664" i="1" s="1"/>
  <c r="C4665" i="1"/>
  <c r="J4665" i="1" s="1" a="1"/>
  <c r="J4665" i="1" s="1"/>
  <c r="H4664" i="1"/>
  <c r="O4664" i="1" a="1"/>
  <c r="O4664" i="1" s="1"/>
  <c r="L4665" i="1" l="1" a="1"/>
  <c r="L4665" i="1" s="1"/>
  <c r="N4665" i="1" a="1"/>
  <c r="N4665" i="1" s="1"/>
  <c r="I4665" i="1" a="1"/>
  <c r="I4665" i="1" s="1"/>
  <c r="K4665" i="1" a="1"/>
  <c r="K4665" i="1" s="1"/>
  <c r="C4666" i="1"/>
  <c r="J4666" i="1" s="1" a="1"/>
  <c r="J4666" i="1" s="1"/>
  <c r="H4665" i="1"/>
  <c r="O4665" i="1" a="1"/>
  <c r="O4665" i="1" s="1"/>
  <c r="L4666" i="1" l="1" a="1"/>
  <c r="L4666" i="1" s="1"/>
  <c r="N4666" i="1" a="1"/>
  <c r="N4666" i="1" s="1"/>
  <c r="I4666" i="1" a="1"/>
  <c r="I4666" i="1" s="1"/>
  <c r="K4666" i="1" a="1"/>
  <c r="K4666" i="1" s="1"/>
  <c r="C4667" i="1"/>
  <c r="J4667" i="1" s="1" a="1"/>
  <c r="J4667" i="1" s="1"/>
  <c r="H4666" i="1"/>
  <c r="O4666" i="1" a="1"/>
  <c r="O4666" i="1" s="1"/>
  <c r="L4667" i="1" l="1" a="1"/>
  <c r="L4667" i="1" s="1"/>
  <c r="N4667" i="1" a="1"/>
  <c r="N4667" i="1" s="1"/>
  <c r="I4667" i="1" a="1"/>
  <c r="I4667" i="1" s="1"/>
  <c r="K4667" i="1" a="1"/>
  <c r="K4667" i="1" s="1"/>
  <c r="C4668" i="1"/>
  <c r="J4668" i="1" s="1" a="1"/>
  <c r="J4668" i="1" s="1"/>
  <c r="H4667" i="1"/>
  <c r="O4667" i="1" a="1"/>
  <c r="O4667" i="1" s="1"/>
  <c r="L4668" i="1" l="1" a="1"/>
  <c r="L4668" i="1" s="1"/>
  <c r="N4668" i="1" a="1"/>
  <c r="N4668" i="1" s="1"/>
  <c r="I4668" i="1" a="1"/>
  <c r="I4668" i="1" s="1"/>
  <c r="K4668" i="1" a="1"/>
  <c r="K4668" i="1" s="1"/>
  <c r="C4669" i="1"/>
  <c r="J4669" i="1" s="1" a="1"/>
  <c r="J4669" i="1" s="1"/>
  <c r="H4668" i="1"/>
  <c r="O4668" i="1" a="1"/>
  <c r="O4668" i="1" s="1"/>
  <c r="L4669" i="1" l="1" a="1"/>
  <c r="L4669" i="1" s="1"/>
  <c r="N4669" i="1" a="1"/>
  <c r="N4669" i="1" s="1"/>
  <c r="I4669" i="1" a="1"/>
  <c r="I4669" i="1" s="1"/>
  <c r="K4669" i="1" a="1"/>
  <c r="K4669" i="1" s="1"/>
  <c r="C4670" i="1"/>
  <c r="J4670" i="1" s="1" a="1"/>
  <c r="J4670" i="1" s="1"/>
  <c r="H4669" i="1"/>
  <c r="O4669" i="1" a="1"/>
  <c r="O4669" i="1" s="1"/>
  <c r="L4670" i="1" l="1" a="1"/>
  <c r="L4670" i="1" s="1"/>
  <c r="N4670" i="1" a="1"/>
  <c r="N4670" i="1" s="1"/>
  <c r="I4670" i="1" a="1"/>
  <c r="I4670" i="1" s="1"/>
  <c r="K4670" i="1" a="1"/>
  <c r="K4670" i="1" s="1"/>
  <c r="C4671" i="1"/>
  <c r="J4671" i="1" s="1" a="1"/>
  <c r="J4671" i="1" s="1"/>
  <c r="H4670" i="1"/>
  <c r="O4670" i="1" a="1"/>
  <c r="O4670" i="1" s="1"/>
  <c r="L4671" i="1" l="1" a="1"/>
  <c r="L4671" i="1" s="1"/>
  <c r="N4671" i="1" a="1"/>
  <c r="N4671" i="1" s="1"/>
  <c r="I4671" i="1" a="1"/>
  <c r="I4671" i="1" s="1"/>
  <c r="K4671" i="1" a="1"/>
  <c r="K4671" i="1" s="1"/>
  <c r="C4672" i="1"/>
  <c r="J4672" i="1" s="1" a="1"/>
  <c r="J4672" i="1" s="1"/>
  <c r="H4671" i="1"/>
  <c r="O4671" i="1" a="1"/>
  <c r="O4671" i="1" s="1"/>
  <c r="L4672" i="1" l="1" a="1"/>
  <c r="L4672" i="1" s="1"/>
  <c r="N4672" i="1" a="1"/>
  <c r="N4672" i="1" s="1"/>
  <c r="I4672" i="1" a="1"/>
  <c r="I4672" i="1" s="1"/>
  <c r="K4672" i="1" a="1"/>
  <c r="K4672" i="1" s="1"/>
  <c r="C4673" i="1"/>
  <c r="J4673" i="1" s="1" a="1"/>
  <c r="J4673" i="1" s="1"/>
  <c r="H4672" i="1"/>
  <c r="O4672" i="1" a="1"/>
  <c r="O4672" i="1" s="1"/>
  <c r="L4673" i="1" l="1" a="1"/>
  <c r="L4673" i="1" s="1"/>
  <c r="N4673" i="1" a="1"/>
  <c r="N4673" i="1" s="1"/>
  <c r="I4673" i="1" a="1"/>
  <c r="I4673" i="1" s="1"/>
  <c r="K4673" i="1" a="1"/>
  <c r="K4673" i="1" s="1"/>
  <c r="C4674" i="1"/>
  <c r="J4674" i="1" s="1" a="1"/>
  <c r="J4674" i="1" s="1"/>
  <c r="H4673" i="1"/>
  <c r="O4673" i="1" a="1"/>
  <c r="O4673" i="1" s="1"/>
  <c r="L4674" i="1" l="1" a="1"/>
  <c r="L4674" i="1" s="1"/>
  <c r="N4674" i="1" a="1"/>
  <c r="N4674" i="1" s="1"/>
  <c r="I4674" i="1" a="1"/>
  <c r="I4674" i="1" s="1"/>
  <c r="K4674" i="1" a="1"/>
  <c r="K4674" i="1" s="1"/>
  <c r="H4674" i="1"/>
  <c r="O4674" i="1" a="1"/>
  <c r="O467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<sst xmlns="http://schemas.openxmlformats.org/spreadsheetml/2006/main" count="40145" uniqueCount="23">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</sst>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P4674"/>
  <sheetViews>
    <sheetView zoomScaleNormal="100" workbookViewId="0">
      <pane ySplit="1" topLeftCell="A4512" activePane="bottomLeft" state="frozen"/>
      <selection pane="bottomLeft" activeCell="D4529" sqref="D4529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20.83203125" style="2" bestFit="1" customWidth="1"/>
    <col min="7" max="7" width="18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6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</row>
    <row r="2" spans="1:16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6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6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6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6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6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6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6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6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6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6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6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6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6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6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19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19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19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19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19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19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19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19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19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19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19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19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19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19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19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19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19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19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19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19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19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19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19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19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19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19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19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19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19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19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19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19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19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19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19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19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19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19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19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19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19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19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19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19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19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19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19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19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19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19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19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19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19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19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19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19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19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19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19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19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19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19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19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19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19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19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19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19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19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19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19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19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19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19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19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19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19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19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19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19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19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19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19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19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19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19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19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19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19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19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19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19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19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19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19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6" x14ac:dyDescent="0.2">
      <c r="A4529" s="12">
        <v>45969</v>
      </c>
      <c r="B4529" s="5" t="str">
        <f t="shared" ref="B4529:C4529" si="1073">B4528</f>
        <v>Northern Cardinal</v>
      </c>
      <c r="C4529" s="6">
        <f t="shared" si="1073"/>
        <v>0.73888888888888893</v>
      </c>
      <c r="D4529" s="5"/>
      <c r="E4529" s="5"/>
      <c r="F4529" s="5" t="str">
        <f t="shared" ref="F4529:G4529" si="1074">F4528</f>
        <v>None</v>
      </c>
      <c r="G4529" s="15" t="str">
        <f t="shared" si="1074"/>
        <v>None</v>
      </c>
      <c r="H4529" s="24">
        <f t="shared" si="961"/>
        <v>1440</v>
      </c>
      <c r="I4529" s="24" cm="1">
        <f t="array" ref="I4529">IFERROR(IF($B4529=I$1, ($A4529+$C4529) - MAX(IF($B$2:$B4528=$B4529, $A$2:$A4528+$C$2:$C4528)), "")*24*60, "")</f>
        <v>1440</v>
      </c>
      <c r="J4529" s="24" t="str" cm="1">
        <f t="array" ref="J4529">IFERROR(IF($B4529=J$1, ($A4529+$C4529) - MAX(IF($B$2:$B4528=$B4529, $A$2:$A4528+$C$2:$C4528)), "")*24*60, "")</f>
        <v/>
      </c>
      <c r="K4529" s="24" t="str" cm="1">
        <f t="array" ref="K4529">IFERROR(IF($B4529=K$1, ($A4529+$C4529) - MAX(IF($B$2:$B4528=$B4529, $A$2:$A4528+$C$2:$C4528)), "")*24*60, "")</f>
        <v/>
      </c>
      <c r="L4529" s="24" t="str" cm="1">
        <f t="array" ref="L4529">IFERROR(IF($B4529=L$1, ($A4529+$C4529) - MAX(IF($B$2:$B4528=$B4529, $A$2:$A4528+$C$2:$C4528)), "")*24*60, "")</f>
        <v/>
      </c>
      <c r="M4529" s="24" t="str" cm="1">
        <f t="array" ref="M4529">IFERROR(IF($B4529=M$1, ($A4529+$C4529) - MAX(IF($B$2:$B4528=$B4529, $A$2:$A4528+$C$2:$C4528)), "")*24*60, "")</f>
        <v/>
      </c>
      <c r="N4529" s="24" t="str" cm="1">
        <f t="array" ref="N4529">IFERROR(IF($B4529=N$1, ($A4529+$C4529) - MAX(IF($B$2:$B4528=$B4529, $A$2:$A4528+$C$2:$C4528)), "")*24*60, "")</f>
        <v/>
      </c>
      <c r="O4529" s="24" t="str" cm="1">
        <f t="array" ref="O4529">IFERROR(IF($B4529=O$1, ($A4529+$C4529) - MAX(IF($B$2:$B4528=$B4529, $A$2:$A4528+$C$2:$C4528)), "")*24*60, "")</f>
        <v/>
      </c>
      <c r="P4529" s="24" t="str" cm="1">
        <f t="array" ref="P4529">IFERROR(IF($B4529=P$1, ($A4529+$C4529) - MAX(IF($B$2:$B4528=$B4529, $A$2:$A4528+$C$2:$C4528)), "")*24*60, "")</f>
        <v/>
      </c>
    </row>
    <row r="4530" spans="1:16" x14ac:dyDescent="0.2">
      <c r="A4530" s="12">
        <f t="shared" ref="A4530:C4530" si="1075">A4529</f>
        <v>45969</v>
      </c>
      <c r="B4530" s="5" t="str">
        <f t="shared" si="1075"/>
        <v>Northern Cardinal</v>
      </c>
      <c r="C4530" s="6">
        <f t="shared" si="1075"/>
        <v>0.73888888888888893</v>
      </c>
      <c r="D4530" s="5"/>
      <c r="E4530" s="5"/>
      <c r="F4530" s="5" t="str">
        <f t="shared" ref="F4530:G4530" si="1076">F4529</f>
        <v>None</v>
      </c>
      <c r="G4530" s="15" t="str">
        <f t="shared" si="1076"/>
        <v>None</v>
      </c>
      <c r="H4530" s="24">
        <f t="shared" si="961"/>
        <v>0</v>
      </c>
      <c r="I4530" s="24" cm="1">
        <f t="array" ref="I4530">IFERROR(IF($B4530=I$1, ($A4530+$C4530) - MAX(IF($B$2:$B4529=$B4530, $A$2:$A4529+$C$2:$C4529)), "")*24*60, "")</f>
        <v>0</v>
      </c>
      <c r="J4530" s="24" t="str" cm="1">
        <f t="array" ref="J4530">IFERROR(IF($B4530=J$1, ($A4530+$C4530) - MAX(IF($B$2:$B4529=$B4530, $A$2:$A4529+$C$2:$C4529)), "")*24*60, "")</f>
        <v/>
      </c>
      <c r="K4530" s="24" t="str" cm="1">
        <f t="array" ref="K4530">IFERROR(IF($B4530=K$1, ($A4530+$C4530) - MAX(IF($B$2:$B4529=$B4530, $A$2:$A4529+$C$2:$C4529)), "")*24*60, "")</f>
        <v/>
      </c>
      <c r="L4530" s="24" t="str" cm="1">
        <f t="array" ref="L4530">IFERROR(IF($B4530=L$1, ($A4530+$C4530) - MAX(IF($B$2:$B4529=$B4530, $A$2:$A4529+$C$2:$C4529)), "")*24*60, "")</f>
        <v/>
      </c>
      <c r="M4530" s="24" t="str" cm="1">
        <f t="array" ref="M4530">IFERROR(IF($B4530=M$1, ($A4530+$C4530) - MAX(IF($B$2:$B4529=$B4530, $A$2:$A4529+$C$2:$C4529)), "")*24*60, "")</f>
        <v/>
      </c>
      <c r="N4530" s="24" t="str" cm="1">
        <f t="array" ref="N4530">IFERROR(IF($B4530=N$1, ($A4530+$C4530) - MAX(IF($B$2:$B4529=$B4530, $A$2:$A4529+$C$2:$C4529)), "")*24*60, "")</f>
        <v/>
      </c>
      <c r="O4530" s="24" t="str" cm="1">
        <f t="array" ref="O4530">IFERROR(IF($B4530=O$1, ($A4530+$C4530) - MAX(IF($B$2:$B4529=$B4530, $A$2:$A4529+$C$2:$C4529)), "")*24*60, "")</f>
        <v/>
      </c>
      <c r="P4530" s="24" t="str" cm="1">
        <f t="array" ref="P4530">IFERROR(IF($B4530=P$1, ($A4530+$C4530) - MAX(IF($B$2:$B4529=$B4530, $A$2:$A4529+$C$2:$C4529)), "")*24*60, "")</f>
        <v/>
      </c>
    </row>
    <row r="4531" spans="1:16" x14ac:dyDescent="0.2">
      <c r="A4531" s="12">
        <f t="shared" ref="A4531:C4531" si="1077">A4530</f>
        <v>45969</v>
      </c>
      <c r="B4531" s="5" t="str">
        <f t="shared" si="1077"/>
        <v>Northern Cardinal</v>
      </c>
      <c r="C4531" s="6">
        <f t="shared" si="1077"/>
        <v>0.73888888888888893</v>
      </c>
      <c r="D4531" s="5"/>
      <c r="E4531" s="5"/>
      <c r="F4531" s="5" t="str">
        <f t="shared" ref="F4531:G4531" si="1078">F4530</f>
        <v>None</v>
      </c>
      <c r="G4531" s="15" t="str">
        <f t="shared" si="1078"/>
        <v>None</v>
      </c>
      <c r="H4531" s="24">
        <f t="shared" si="961"/>
        <v>0</v>
      </c>
      <c r="I4531" s="24" cm="1">
        <f t="array" ref="I4531">IFERROR(IF($B4531=I$1, ($A4531+$C4531) - MAX(IF($B$2:$B4530=$B4531, $A$2:$A4530+$C$2:$C4530)), "")*24*60, "")</f>
        <v>0</v>
      </c>
      <c r="J4531" s="24" t="str" cm="1">
        <f t="array" ref="J4531">IFERROR(IF($B4531=J$1, ($A4531+$C4531) - MAX(IF($B$2:$B4530=$B4531, $A$2:$A4530+$C$2:$C4530)), "")*24*60, "")</f>
        <v/>
      </c>
      <c r="K4531" s="24" t="str" cm="1">
        <f t="array" ref="K4531">IFERROR(IF($B4531=K$1, ($A4531+$C4531) - MAX(IF($B$2:$B4530=$B4531, $A$2:$A4530+$C$2:$C4530)), "")*24*60, "")</f>
        <v/>
      </c>
      <c r="L4531" s="24" t="str" cm="1">
        <f t="array" ref="L4531">IFERROR(IF($B4531=L$1, ($A4531+$C4531) - MAX(IF($B$2:$B4530=$B4531, $A$2:$A4530+$C$2:$C4530)), "")*24*60, "")</f>
        <v/>
      </c>
      <c r="M4531" s="24" t="str" cm="1">
        <f t="array" ref="M4531">IFERROR(IF($B4531=M$1, ($A4531+$C4531) - MAX(IF($B$2:$B4530=$B4531, $A$2:$A4530+$C$2:$C4530)), "")*24*60, "")</f>
        <v/>
      </c>
      <c r="N4531" s="24" t="str" cm="1">
        <f t="array" ref="N4531">IFERROR(IF($B4531=N$1, ($A4531+$C4531) - MAX(IF($B$2:$B4530=$B4531, $A$2:$A4530+$C$2:$C4530)), "")*24*60, "")</f>
        <v/>
      </c>
      <c r="O4531" s="24" t="str" cm="1">
        <f t="array" ref="O4531">IFERROR(IF($B4531=O$1, ($A4531+$C4531) - MAX(IF($B$2:$B4530=$B4531, $A$2:$A4530+$C$2:$C4530)), "")*24*60, "")</f>
        <v/>
      </c>
      <c r="P4531" s="24" t="str" cm="1">
        <f t="array" ref="P4531">IFERROR(IF($B4531=P$1, ($A4531+$C4531) - MAX(IF($B$2:$B4530=$B4531, $A$2:$A4530+$C$2:$C4530)), "")*24*60, "")</f>
        <v/>
      </c>
    </row>
    <row r="4532" spans="1:16" x14ac:dyDescent="0.2">
      <c r="A4532" s="12">
        <f t="shared" ref="A4532:C4532" si="1079">A4531</f>
        <v>45969</v>
      </c>
      <c r="B4532" s="5" t="str">
        <f t="shared" si="1079"/>
        <v>Northern Cardinal</v>
      </c>
      <c r="C4532" s="6">
        <f t="shared" si="1079"/>
        <v>0.73888888888888893</v>
      </c>
      <c r="D4532" s="5"/>
      <c r="E4532" s="5"/>
      <c r="F4532" s="5" t="str">
        <f t="shared" ref="F4532:G4532" si="1080">F4531</f>
        <v>None</v>
      </c>
      <c r="G4532" s="15" t="str">
        <f t="shared" si="1080"/>
        <v>None</v>
      </c>
      <c r="H4532" s="24">
        <f t="shared" si="961"/>
        <v>0</v>
      </c>
      <c r="I4532" s="24" cm="1">
        <f t="array" ref="I4532">IFERROR(IF($B4532=I$1, ($A4532+$C4532) - MAX(IF($B$2:$B4531=$B4532, $A$2:$A4531+$C$2:$C4531)), "")*24*60, "")</f>
        <v>0</v>
      </c>
      <c r="J4532" s="24" t="str" cm="1">
        <f t="array" ref="J4532">IFERROR(IF($B4532=J$1, ($A4532+$C4532) - MAX(IF($B$2:$B4531=$B4532, $A$2:$A4531+$C$2:$C4531)), "")*24*60, "")</f>
        <v/>
      </c>
      <c r="K4532" s="24" t="str" cm="1">
        <f t="array" ref="K4532">IFERROR(IF($B4532=K$1, ($A4532+$C4532) - MAX(IF($B$2:$B4531=$B4532, $A$2:$A4531+$C$2:$C4531)), "")*24*60, "")</f>
        <v/>
      </c>
      <c r="L4532" s="24" t="str" cm="1">
        <f t="array" ref="L4532">IFERROR(IF($B4532=L$1, ($A4532+$C4532) - MAX(IF($B$2:$B4531=$B4532, $A$2:$A4531+$C$2:$C4531)), "")*24*60, "")</f>
        <v/>
      </c>
      <c r="M4532" s="24" t="str" cm="1">
        <f t="array" ref="M4532">IFERROR(IF($B4532=M$1, ($A4532+$C4532) - MAX(IF($B$2:$B4531=$B4532, $A$2:$A4531+$C$2:$C4531)), "")*24*60, "")</f>
        <v/>
      </c>
      <c r="N4532" s="24" t="str" cm="1">
        <f t="array" ref="N4532">IFERROR(IF($B4532=N$1, ($A4532+$C4532) - MAX(IF($B$2:$B4531=$B4532, $A$2:$A4531+$C$2:$C4531)), "")*24*60, "")</f>
        <v/>
      </c>
      <c r="O4532" s="24" t="str" cm="1">
        <f t="array" ref="O4532">IFERROR(IF($B4532=O$1, ($A4532+$C4532) - MAX(IF($B$2:$B4531=$B4532, $A$2:$A4531+$C$2:$C4531)), "")*24*60, "")</f>
        <v/>
      </c>
      <c r="P4532" s="24" t="str" cm="1">
        <f t="array" ref="P4532">IFERROR(IF($B4532=P$1, ($A4532+$C4532) - MAX(IF($B$2:$B4531=$B4532, $A$2:$A4531+$C$2:$C4531)), "")*24*60, "")</f>
        <v/>
      </c>
    </row>
    <row r="4533" spans="1:16" x14ac:dyDescent="0.2">
      <c r="A4533" s="12">
        <f t="shared" ref="A4533:C4533" si="1081">A4532</f>
        <v>45969</v>
      </c>
      <c r="B4533" s="5" t="str">
        <f t="shared" si="1081"/>
        <v>Northern Cardinal</v>
      </c>
      <c r="C4533" s="6">
        <f t="shared" si="1081"/>
        <v>0.73888888888888893</v>
      </c>
      <c r="D4533" s="5"/>
      <c r="E4533" s="5"/>
      <c r="F4533" s="5" t="str">
        <f t="shared" ref="F4533:G4533" si="1082">F4532</f>
        <v>None</v>
      </c>
      <c r="G4533" s="15" t="str">
        <f t="shared" si="1082"/>
        <v>None</v>
      </c>
      <c r="H4533" s="24">
        <f t="shared" si="961"/>
        <v>0</v>
      </c>
      <c r="I4533" s="24" cm="1">
        <f t="array" ref="I4533">IFERROR(IF($B4533=I$1, ($A4533+$C4533) - MAX(IF($B$2:$B4532=$B4533, $A$2:$A4532+$C$2:$C4532)), "")*24*60, "")</f>
        <v>0</v>
      </c>
      <c r="J4533" s="24" t="str" cm="1">
        <f t="array" ref="J4533">IFERROR(IF($B4533=J$1, ($A4533+$C4533) - MAX(IF($B$2:$B4532=$B4533, $A$2:$A4532+$C$2:$C4532)), "")*24*60, "")</f>
        <v/>
      </c>
      <c r="K4533" s="24" t="str" cm="1">
        <f t="array" ref="K4533">IFERROR(IF($B4533=K$1, ($A4533+$C4533) - MAX(IF($B$2:$B4532=$B4533, $A$2:$A4532+$C$2:$C4532)), "")*24*60, "")</f>
        <v/>
      </c>
      <c r="L4533" s="24" t="str" cm="1">
        <f t="array" ref="L4533">IFERROR(IF($B4533=L$1, ($A4533+$C4533) - MAX(IF($B$2:$B4532=$B4533, $A$2:$A4532+$C$2:$C4532)), "")*24*60, "")</f>
        <v/>
      </c>
      <c r="M4533" s="24" t="str" cm="1">
        <f t="array" ref="M4533">IFERROR(IF($B4533=M$1, ($A4533+$C4533) - MAX(IF($B$2:$B4532=$B4533, $A$2:$A4532+$C$2:$C4532)), "")*24*60, "")</f>
        <v/>
      </c>
      <c r="N4533" s="24" t="str" cm="1">
        <f t="array" ref="N4533">IFERROR(IF($B4533=N$1, ($A4533+$C4533) - MAX(IF($B$2:$B4532=$B4533, $A$2:$A4532+$C$2:$C4532)), "")*24*60, "")</f>
        <v/>
      </c>
      <c r="O4533" s="24" t="str" cm="1">
        <f t="array" ref="O4533">IFERROR(IF($B4533=O$1, ($A4533+$C4533) - MAX(IF($B$2:$B4532=$B4533, $A$2:$A4532+$C$2:$C4532)), "")*24*60, "")</f>
        <v/>
      </c>
      <c r="P4533" s="24" t="str" cm="1">
        <f t="array" ref="P4533">IFERROR(IF($B4533=P$1, ($A4533+$C4533) - MAX(IF($B$2:$B4532=$B4533, $A$2:$A4532+$C$2:$C4532)), "")*24*60, "")</f>
        <v/>
      </c>
    </row>
    <row r="4534" spans="1:16" x14ac:dyDescent="0.2">
      <c r="A4534" s="12">
        <f t="shared" ref="A4534:C4534" si="1083">A4533</f>
        <v>45969</v>
      </c>
      <c r="B4534" s="5" t="str">
        <f t="shared" si="1083"/>
        <v>Northern Cardinal</v>
      </c>
      <c r="C4534" s="6">
        <f t="shared" si="1083"/>
        <v>0.73888888888888893</v>
      </c>
      <c r="D4534" s="5"/>
      <c r="E4534" s="5"/>
      <c r="F4534" s="5" t="str">
        <f t="shared" ref="F4534:G4534" si="1084">F4533</f>
        <v>None</v>
      </c>
      <c r="G4534" s="15" t="str">
        <f t="shared" si="1084"/>
        <v>None</v>
      </c>
      <c r="H4534" s="24">
        <f t="shared" si="961"/>
        <v>0</v>
      </c>
      <c r="I4534" s="24" cm="1">
        <f t="array" ref="I4534">IFERROR(IF($B4534=I$1, ($A4534+$C4534) - MAX(IF($B$2:$B4533=$B4534, $A$2:$A4533+$C$2:$C4533)), "")*24*60, "")</f>
        <v>0</v>
      </c>
      <c r="J4534" s="24" t="str" cm="1">
        <f t="array" ref="J4534">IFERROR(IF($B4534=J$1, ($A4534+$C4534) - MAX(IF($B$2:$B4533=$B4534, $A$2:$A4533+$C$2:$C4533)), "")*24*60, "")</f>
        <v/>
      </c>
      <c r="K4534" s="24" t="str" cm="1">
        <f t="array" ref="K4534">IFERROR(IF($B4534=K$1, ($A4534+$C4534) - MAX(IF($B$2:$B4533=$B4534, $A$2:$A4533+$C$2:$C4533)), "")*24*60, "")</f>
        <v/>
      </c>
      <c r="L4534" s="24" t="str" cm="1">
        <f t="array" ref="L4534">IFERROR(IF($B4534=L$1, ($A4534+$C4534) - MAX(IF($B$2:$B4533=$B4534, $A$2:$A4533+$C$2:$C4533)), "")*24*60, "")</f>
        <v/>
      </c>
      <c r="M4534" s="24" t="str" cm="1">
        <f t="array" ref="M4534">IFERROR(IF($B4534=M$1, ($A4534+$C4534) - MAX(IF($B$2:$B4533=$B4534, $A$2:$A4533+$C$2:$C4533)), "")*24*60, "")</f>
        <v/>
      </c>
      <c r="N4534" s="24" t="str" cm="1">
        <f t="array" ref="N4534">IFERROR(IF($B4534=N$1, ($A4534+$C4534) - MAX(IF($B$2:$B4533=$B4534, $A$2:$A4533+$C$2:$C4533)), "")*24*60, "")</f>
        <v/>
      </c>
      <c r="O4534" s="24" t="str" cm="1">
        <f t="array" ref="O4534">IFERROR(IF($B4534=O$1, ($A4534+$C4534) - MAX(IF($B$2:$B4533=$B4534, $A$2:$A4533+$C$2:$C4533)), "")*24*60, "")</f>
        <v/>
      </c>
      <c r="P4534" s="24" t="str" cm="1">
        <f t="array" ref="P4534">IFERROR(IF($B4534=P$1, ($A4534+$C4534) - MAX(IF($B$2:$B4533=$B4534, $A$2:$A4533+$C$2:$C4533)), "")*24*60, "")</f>
        <v/>
      </c>
    </row>
    <row r="4535" spans="1:16" x14ac:dyDescent="0.2">
      <c r="A4535" s="12">
        <f t="shared" ref="A4535:C4535" si="1085">A4534</f>
        <v>45969</v>
      </c>
      <c r="B4535" s="5" t="str">
        <f t="shared" si="1085"/>
        <v>Northern Cardinal</v>
      </c>
      <c r="C4535" s="6">
        <f t="shared" si="1085"/>
        <v>0.73888888888888893</v>
      </c>
      <c r="D4535" s="5"/>
      <c r="E4535" s="5"/>
      <c r="F4535" s="5" t="str">
        <f t="shared" ref="F4535:G4535" si="1086">F4534</f>
        <v>None</v>
      </c>
      <c r="G4535" s="15" t="str">
        <f t="shared" si="1086"/>
        <v>None</v>
      </c>
      <c r="H4535" s="24">
        <f t="shared" si="961"/>
        <v>0</v>
      </c>
      <c r="I4535" s="24" cm="1">
        <f t="array" ref="I4535">IFERROR(IF($B4535=I$1, ($A4535+$C4535) - MAX(IF($B$2:$B4534=$B4535, $A$2:$A4534+$C$2:$C4534)), "")*24*60, "")</f>
        <v>0</v>
      </c>
      <c r="J4535" s="24" t="str" cm="1">
        <f t="array" ref="J4535">IFERROR(IF($B4535=J$1, ($A4535+$C4535) - MAX(IF($B$2:$B4534=$B4535, $A$2:$A4534+$C$2:$C4534)), "")*24*60, "")</f>
        <v/>
      </c>
      <c r="K4535" s="24" t="str" cm="1">
        <f t="array" ref="K4535">IFERROR(IF($B4535=K$1, ($A4535+$C4535) - MAX(IF($B$2:$B4534=$B4535, $A$2:$A4534+$C$2:$C4534)), "")*24*60, "")</f>
        <v/>
      </c>
      <c r="L4535" s="24" t="str" cm="1">
        <f t="array" ref="L4535">IFERROR(IF($B4535=L$1, ($A4535+$C4535) - MAX(IF($B$2:$B4534=$B4535, $A$2:$A4534+$C$2:$C4534)), "")*24*60, "")</f>
        <v/>
      </c>
      <c r="M4535" s="24" t="str" cm="1">
        <f t="array" ref="M4535">IFERROR(IF($B4535=M$1, ($A4535+$C4535) - MAX(IF($B$2:$B4534=$B4535, $A$2:$A4534+$C$2:$C4534)), "")*24*60, "")</f>
        <v/>
      </c>
      <c r="N4535" s="24" t="str" cm="1">
        <f t="array" ref="N4535">IFERROR(IF($B4535=N$1, ($A4535+$C4535) - MAX(IF($B$2:$B4534=$B4535, $A$2:$A4534+$C$2:$C4534)), "")*24*60, "")</f>
        <v/>
      </c>
      <c r="O4535" s="24" t="str" cm="1">
        <f t="array" ref="O4535">IFERROR(IF($B4535=O$1, ($A4535+$C4535) - MAX(IF($B$2:$B4534=$B4535, $A$2:$A4534+$C$2:$C4534)), "")*24*60, "")</f>
        <v/>
      </c>
      <c r="P4535" s="24" t="str" cm="1">
        <f t="array" ref="P4535">IFERROR(IF($B4535=P$1, ($A4535+$C4535) - MAX(IF($B$2:$B4534=$B4535, $A$2:$A4534+$C$2:$C4534)), "")*24*60, "")</f>
        <v/>
      </c>
    </row>
    <row r="4536" spans="1:16" x14ac:dyDescent="0.2">
      <c r="A4536" s="12">
        <f t="shared" ref="A4536:C4536" si="1087">A4535</f>
        <v>45969</v>
      </c>
      <c r="B4536" s="5" t="str">
        <f t="shared" si="1087"/>
        <v>Northern Cardinal</v>
      </c>
      <c r="C4536" s="6">
        <f t="shared" si="1087"/>
        <v>0.73888888888888893</v>
      </c>
      <c r="D4536" s="5"/>
      <c r="E4536" s="5"/>
      <c r="F4536" s="5" t="str">
        <f t="shared" ref="F4536:G4536" si="1088">F4535</f>
        <v>None</v>
      </c>
      <c r="G4536" s="15" t="str">
        <f t="shared" si="1088"/>
        <v>None</v>
      </c>
      <c r="H4536" s="24">
        <f t="shared" si="961"/>
        <v>0</v>
      </c>
      <c r="I4536" s="24" cm="1">
        <f t="array" ref="I4536">IFERROR(IF($B4536=I$1, ($A4536+$C4536) - MAX(IF($B$2:$B4535=$B4536, $A$2:$A4535+$C$2:$C4535)), "")*24*60, "")</f>
        <v>0</v>
      </c>
      <c r="J4536" s="24" t="str" cm="1">
        <f t="array" ref="J4536">IFERROR(IF($B4536=J$1, ($A4536+$C4536) - MAX(IF($B$2:$B4535=$B4536, $A$2:$A4535+$C$2:$C4535)), "")*24*60, "")</f>
        <v/>
      </c>
      <c r="K4536" s="24" t="str" cm="1">
        <f t="array" ref="K4536">IFERROR(IF($B4536=K$1, ($A4536+$C4536) - MAX(IF($B$2:$B4535=$B4536, $A$2:$A4535+$C$2:$C4535)), "")*24*60, "")</f>
        <v/>
      </c>
      <c r="L4536" s="24" t="str" cm="1">
        <f t="array" ref="L4536">IFERROR(IF($B4536=L$1, ($A4536+$C4536) - MAX(IF($B$2:$B4535=$B4536, $A$2:$A4535+$C$2:$C4535)), "")*24*60, "")</f>
        <v/>
      </c>
      <c r="M4536" s="24" t="str" cm="1">
        <f t="array" ref="M4536">IFERROR(IF($B4536=M$1, ($A4536+$C4536) - MAX(IF($B$2:$B4535=$B4536, $A$2:$A4535+$C$2:$C4535)), "")*24*60, "")</f>
        <v/>
      </c>
      <c r="N4536" s="24" t="str" cm="1">
        <f t="array" ref="N4536">IFERROR(IF($B4536=N$1, ($A4536+$C4536) - MAX(IF($B$2:$B4535=$B4536, $A$2:$A4535+$C$2:$C4535)), "")*24*60, "")</f>
        <v/>
      </c>
      <c r="O4536" s="24" t="str" cm="1">
        <f t="array" ref="O4536">IFERROR(IF($B4536=O$1, ($A4536+$C4536) - MAX(IF($B$2:$B4535=$B4536, $A$2:$A4535+$C$2:$C4535)), "")*24*60, "")</f>
        <v/>
      </c>
      <c r="P4536" s="24" t="str" cm="1">
        <f t="array" ref="P4536">IFERROR(IF($B4536=P$1, ($A4536+$C4536) - MAX(IF($B$2:$B4535=$B4536, $A$2:$A4535+$C$2:$C4535)), "")*24*60, "")</f>
        <v/>
      </c>
    </row>
    <row r="4537" spans="1:16" x14ac:dyDescent="0.2">
      <c r="A4537" s="12">
        <f t="shared" ref="A4537:C4537" si="1089">A4536</f>
        <v>45969</v>
      </c>
      <c r="B4537" s="5" t="str">
        <f t="shared" si="1089"/>
        <v>Northern Cardinal</v>
      </c>
      <c r="C4537" s="6">
        <f t="shared" si="1089"/>
        <v>0.73888888888888893</v>
      </c>
      <c r="D4537" s="5"/>
      <c r="E4537" s="5"/>
      <c r="F4537" s="5" t="str">
        <f t="shared" ref="F4537:G4537" si="1090">F4536</f>
        <v>None</v>
      </c>
      <c r="G4537" s="15" t="str">
        <f t="shared" si="1090"/>
        <v>None</v>
      </c>
      <c r="H4537" s="24">
        <f t="shared" si="961"/>
        <v>0</v>
      </c>
      <c r="I4537" s="24" cm="1">
        <f t="array" ref="I4537">IFERROR(IF($B4537=I$1, ($A4537+$C4537) - MAX(IF($B$2:$B4536=$B4537, $A$2:$A4536+$C$2:$C4536)), "")*24*60, "")</f>
        <v>0</v>
      </c>
      <c r="J4537" s="24" t="str" cm="1">
        <f t="array" ref="J4537">IFERROR(IF($B4537=J$1, ($A4537+$C4537) - MAX(IF($B$2:$B4536=$B4537, $A$2:$A4536+$C$2:$C4536)), "")*24*60, "")</f>
        <v/>
      </c>
      <c r="K4537" s="24" t="str" cm="1">
        <f t="array" ref="K4537">IFERROR(IF($B4537=K$1, ($A4537+$C4537) - MAX(IF($B$2:$B4536=$B4537, $A$2:$A4536+$C$2:$C4536)), "")*24*60, "")</f>
        <v/>
      </c>
      <c r="L4537" s="24" t="str" cm="1">
        <f t="array" ref="L4537">IFERROR(IF($B4537=L$1, ($A4537+$C4537) - MAX(IF($B$2:$B4536=$B4537, $A$2:$A4536+$C$2:$C4536)), "")*24*60, "")</f>
        <v/>
      </c>
      <c r="M4537" s="24" t="str" cm="1">
        <f t="array" ref="M4537">IFERROR(IF($B4537=M$1, ($A4537+$C4537) - MAX(IF($B$2:$B4536=$B4537, $A$2:$A4536+$C$2:$C4536)), "")*24*60, "")</f>
        <v/>
      </c>
      <c r="N4537" s="24" t="str" cm="1">
        <f t="array" ref="N4537">IFERROR(IF($B4537=N$1, ($A4537+$C4537) - MAX(IF($B$2:$B4536=$B4537, $A$2:$A4536+$C$2:$C4536)), "")*24*60, "")</f>
        <v/>
      </c>
      <c r="O4537" s="24" t="str" cm="1">
        <f t="array" ref="O4537">IFERROR(IF($B4537=O$1, ($A4537+$C4537) - MAX(IF($B$2:$B4536=$B4537, $A$2:$A4536+$C$2:$C4536)), "")*24*60, "")</f>
        <v/>
      </c>
      <c r="P4537" s="24" t="str" cm="1">
        <f t="array" ref="P4537">IFERROR(IF($B4537=P$1, ($A4537+$C4537) - MAX(IF($B$2:$B4536=$B4537, $A$2:$A4536+$C$2:$C4536)), "")*24*60, "")</f>
        <v/>
      </c>
    </row>
    <row r="4538" spans="1:16" x14ac:dyDescent="0.2">
      <c r="A4538" s="12">
        <f t="shared" ref="A4538:C4538" si="1091">A4537</f>
        <v>45969</v>
      </c>
      <c r="B4538" s="5" t="str">
        <f t="shared" si="1091"/>
        <v>Northern Cardinal</v>
      </c>
      <c r="C4538" s="6">
        <f t="shared" si="1091"/>
        <v>0.73888888888888893</v>
      </c>
      <c r="D4538" s="5"/>
      <c r="E4538" s="5"/>
      <c r="F4538" s="5" t="str">
        <f t="shared" ref="F4538:G4538" si="1092">F4537</f>
        <v>None</v>
      </c>
      <c r="G4538" s="15" t="str">
        <f t="shared" si="1092"/>
        <v>None</v>
      </c>
      <c r="H4538" s="24">
        <f t="shared" si="961"/>
        <v>0</v>
      </c>
      <c r="I4538" s="24" cm="1">
        <f t="array" ref="I4538">IFERROR(IF($B4538=I$1, ($A4538+$C4538) - MAX(IF($B$2:$B4537=$B4538, $A$2:$A4537+$C$2:$C4537)), "")*24*60, "")</f>
        <v>0</v>
      </c>
      <c r="J4538" s="24" t="str" cm="1">
        <f t="array" ref="J4538">IFERROR(IF($B4538=J$1, ($A4538+$C4538) - MAX(IF($B$2:$B4537=$B4538, $A$2:$A4537+$C$2:$C4537)), "")*24*60, "")</f>
        <v/>
      </c>
      <c r="K4538" s="24" t="str" cm="1">
        <f t="array" ref="K4538">IFERROR(IF($B4538=K$1, ($A4538+$C4538) - MAX(IF($B$2:$B4537=$B4538, $A$2:$A4537+$C$2:$C4537)), "")*24*60, "")</f>
        <v/>
      </c>
      <c r="L4538" s="24" t="str" cm="1">
        <f t="array" ref="L4538">IFERROR(IF($B4538=L$1, ($A4538+$C4538) - MAX(IF($B$2:$B4537=$B4538, $A$2:$A4537+$C$2:$C4537)), "")*24*60, "")</f>
        <v/>
      </c>
      <c r="M4538" s="24" t="str" cm="1">
        <f t="array" ref="M4538">IFERROR(IF($B4538=M$1, ($A4538+$C4538) - MAX(IF($B$2:$B4537=$B4538, $A$2:$A4537+$C$2:$C4537)), "")*24*60, "")</f>
        <v/>
      </c>
      <c r="N4538" s="24" t="str" cm="1">
        <f t="array" ref="N4538">IFERROR(IF($B4538=N$1, ($A4538+$C4538) - MAX(IF($B$2:$B4537=$B4538, $A$2:$A4537+$C$2:$C4537)), "")*24*60, "")</f>
        <v/>
      </c>
      <c r="O4538" s="24" t="str" cm="1">
        <f t="array" ref="O4538">IFERROR(IF($B4538=O$1, ($A4538+$C4538) - MAX(IF($B$2:$B4537=$B4538, $A$2:$A4537+$C$2:$C4537)), "")*24*60, "")</f>
        <v/>
      </c>
      <c r="P4538" s="24" t="str" cm="1">
        <f t="array" ref="P4538">IFERROR(IF($B4538=P$1, ($A4538+$C4538) - MAX(IF($B$2:$B4537=$B4538, $A$2:$A4537+$C$2:$C4537)), "")*24*60, "")</f>
        <v/>
      </c>
    </row>
    <row r="4539" spans="1:16" x14ac:dyDescent="0.2">
      <c r="A4539" s="12">
        <f t="shared" ref="A4539:C4539" si="1093">A4538</f>
        <v>45969</v>
      </c>
      <c r="B4539" s="5" t="str">
        <f t="shared" si="1093"/>
        <v>Northern Cardinal</v>
      </c>
      <c r="C4539" s="6">
        <f t="shared" si="1093"/>
        <v>0.73888888888888893</v>
      </c>
      <c r="D4539" s="5"/>
      <c r="E4539" s="5"/>
      <c r="F4539" s="5" t="str">
        <f t="shared" ref="F4539:G4539" si="1094">F4538</f>
        <v>None</v>
      </c>
      <c r="G4539" s="15" t="str">
        <f t="shared" si="1094"/>
        <v>None</v>
      </c>
      <c r="H4539" s="24">
        <f t="shared" si="961"/>
        <v>0</v>
      </c>
      <c r="I4539" s="24" cm="1">
        <f t="array" ref="I4539">IFERROR(IF($B4539=I$1, ($A4539+$C4539) - MAX(IF($B$2:$B4538=$B4539, $A$2:$A4538+$C$2:$C4538)), "")*24*60, "")</f>
        <v>0</v>
      </c>
      <c r="J4539" s="24" t="str" cm="1">
        <f t="array" ref="J4539">IFERROR(IF($B4539=J$1, ($A4539+$C4539) - MAX(IF($B$2:$B4538=$B4539, $A$2:$A4538+$C$2:$C4538)), "")*24*60, "")</f>
        <v/>
      </c>
      <c r="K4539" s="24" t="str" cm="1">
        <f t="array" ref="K4539">IFERROR(IF($B4539=K$1, ($A4539+$C4539) - MAX(IF($B$2:$B4538=$B4539, $A$2:$A4538+$C$2:$C4538)), "")*24*60, "")</f>
        <v/>
      </c>
      <c r="L4539" s="24" t="str" cm="1">
        <f t="array" ref="L4539">IFERROR(IF($B4539=L$1, ($A4539+$C4539) - MAX(IF($B$2:$B4538=$B4539, $A$2:$A4538+$C$2:$C4538)), "")*24*60, "")</f>
        <v/>
      </c>
      <c r="M4539" s="24" t="str" cm="1">
        <f t="array" ref="M4539">IFERROR(IF($B4539=M$1, ($A4539+$C4539) - MAX(IF($B$2:$B4538=$B4539, $A$2:$A4538+$C$2:$C4538)), "")*24*60, "")</f>
        <v/>
      </c>
      <c r="N4539" s="24" t="str" cm="1">
        <f t="array" ref="N4539">IFERROR(IF($B4539=N$1, ($A4539+$C4539) - MAX(IF($B$2:$B4538=$B4539, $A$2:$A4538+$C$2:$C4538)), "")*24*60, "")</f>
        <v/>
      </c>
      <c r="O4539" s="24" t="str" cm="1">
        <f t="array" ref="O4539">IFERROR(IF($B4539=O$1, ($A4539+$C4539) - MAX(IF($B$2:$B4538=$B4539, $A$2:$A4538+$C$2:$C4538)), "")*24*60, "")</f>
        <v/>
      </c>
      <c r="P4539" s="24" t="str" cm="1">
        <f t="array" ref="P4539">IFERROR(IF($B4539=P$1, ($A4539+$C4539) - MAX(IF($B$2:$B4538=$B4539, $A$2:$A4538+$C$2:$C4538)), "")*24*60, "")</f>
        <v/>
      </c>
    </row>
    <row r="4540" spans="1:16" x14ac:dyDescent="0.2">
      <c r="A4540" s="12">
        <f t="shared" ref="A4540:C4540" si="1095">A4539</f>
        <v>45969</v>
      </c>
      <c r="B4540" s="5" t="str">
        <f t="shared" si="1095"/>
        <v>Northern Cardinal</v>
      </c>
      <c r="C4540" s="6">
        <f t="shared" si="1095"/>
        <v>0.73888888888888893</v>
      </c>
      <c r="D4540" s="5"/>
      <c r="E4540" s="5"/>
      <c r="F4540" s="5" t="str">
        <f t="shared" ref="F4540:G4540" si="1096">F4539</f>
        <v>None</v>
      </c>
      <c r="G4540" s="15" t="str">
        <f t="shared" si="1096"/>
        <v>None</v>
      </c>
      <c r="H4540" s="24">
        <f t="shared" si="961"/>
        <v>0</v>
      </c>
      <c r="I4540" s="24" cm="1">
        <f t="array" ref="I4540">IFERROR(IF($B4540=I$1, ($A4540+$C4540) - MAX(IF($B$2:$B4539=$B4540, $A$2:$A4539+$C$2:$C4539)), "")*24*60, "")</f>
        <v>0</v>
      </c>
      <c r="J4540" s="24" t="str" cm="1">
        <f t="array" ref="J4540">IFERROR(IF($B4540=J$1, ($A4540+$C4540) - MAX(IF($B$2:$B4539=$B4540, $A$2:$A4539+$C$2:$C4539)), "")*24*60, "")</f>
        <v/>
      </c>
      <c r="K4540" s="24" t="str" cm="1">
        <f t="array" ref="K4540">IFERROR(IF($B4540=K$1, ($A4540+$C4540) - MAX(IF($B$2:$B4539=$B4540, $A$2:$A4539+$C$2:$C4539)), "")*24*60, "")</f>
        <v/>
      </c>
      <c r="L4540" s="24" t="str" cm="1">
        <f t="array" ref="L4540">IFERROR(IF($B4540=L$1, ($A4540+$C4540) - MAX(IF($B$2:$B4539=$B4540, $A$2:$A4539+$C$2:$C4539)), "")*24*60, "")</f>
        <v/>
      </c>
      <c r="M4540" s="24" t="str" cm="1">
        <f t="array" ref="M4540">IFERROR(IF($B4540=M$1, ($A4540+$C4540) - MAX(IF($B$2:$B4539=$B4540, $A$2:$A4539+$C$2:$C4539)), "")*24*60, "")</f>
        <v/>
      </c>
      <c r="N4540" s="24" t="str" cm="1">
        <f t="array" ref="N4540">IFERROR(IF($B4540=N$1, ($A4540+$C4540) - MAX(IF($B$2:$B4539=$B4540, $A$2:$A4539+$C$2:$C4539)), "")*24*60, "")</f>
        <v/>
      </c>
      <c r="O4540" s="24" t="str" cm="1">
        <f t="array" ref="O4540">IFERROR(IF($B4540=O$1, ($A4540+$C4540) - MAX(IF($B$2:$B4539=$B4540, $A$2:$A4539+$C$2:$C4539)), "")*24*60, "")</f>
        <v/>
      </c>
      <c r="P4540" s="24" t="str" cm="1">
        <f t="array" ref="P4540">IFERROR(IF($B4540=P$1, ($A4540+$C4540) - MAX(IF($B$2:$B4539=$B4540, $A$2:$A4539+$C$2:$C4539)), "")*24*60, "")</f>
        <v/>
      </c>
    </row>
    <row r="4541" spans="1:16" x14ac:dyDescent="0.2">
      <c r="A4541" s="12">
        <f t="shared" ref="A4541:C4541" si="1097">A4540</f>
        <v>45969</v>
      </c>
      <c r="B4541" s="5" t="str">
        <f t="shared" si="1097"/>
        <v>Northern Cardinal</v>
      </c>
      <c r="C4541" s="6">
        <f t="shared" si="1097"/>
        <v>0.73888888888888893</v>
      </c>
      <c r="D4541" s="5"/>
      <c r="E4541" s="5"/>
      <c r="F4541" s="5" t="str">
        <f t="shared" ref="F4541:G4541" si="1098">F4540</f>
        <v>None</v>
      </c>
      <c r="G4541" s="15" t="str">
        <f t="shared" si="1098"/>
        <v>None</v>
      </c>
      <c r="H4541" s="24">
        <f t="shared" si="961"/>
        <v>0</v>
      </c>
      <c r="I4541" s="24" cm="1">
        <f t="array" ref="I4541">IFERROR(IF($B4541=I$1, ($A4541+$C4541) - MAX(IF($B$2:$B4540=$B4541, $A$2:$A4540+$C$2:$C4540)), "")*24*60, "")</f>
        <v>0</v>
      </c>
      <c r="J4541" s="24" t="str" cm="1">
        <f t="array" ref="J4541">IFERROR(IF($B4541=J$1, ($A4541+$C4541) - MAX(IF($B$2:$B4540=$B4541, $A$2:$A4540+$C$2:$C4540)), "")*24*60, "")</f>
        <v/>
      </c>
      <c r="K4541" s="24" t="str" cm="1">
        <f t="array" ref="K4541">IFERROR(IF($B4541=K$1, ($A4541+$C4541) - MAX(IF($B$2:$B4540=$B4541, $A$2:$A4540+$C$2:$C4540)), "")*24*60, "")</f>
        <v/>
      </c>
      <c r="L4541" s="24" t="str" cm="1">
        <f t="array" ref="L4541">IFERROR(IF($B4541=L$1, ($A4541+$C4541) - MAX(IF($B$2:$B4540=$B4541, $A$2:$A4540+$C$2:$C4540)), "")*24*60, "")</f>
        <v/>
      </c>
      <c r="M4541" s="24" t="str" cm="1">
        <f t="array" ref="M4541">IFERROR(IF($B4541=M$1, ($A4541+$C4541) - MAX(IF($B$2:$B4540=$B4541, $A$2:$A4540+$C$2:$C4540)), "")*24*60, "")</f>
        <v/>
      </c>
      <c r="N4541" s="24" t="str" cm="1">
        <f t="array" ref="N4541">IFERROR(IF($B4541=N$1, ($A4541+$C4541) - MAX(IF($B$2:$B4540=$B4541, $A$2:$A4540+$C$2:$C4540)), "")*24*60, "")</f>
        <v/>
      </c>
      <c r="O4541" s="24" t="str" cm="1">
        <f t="array" ref="O4541">IFERROR(IF($B4541=O$1, ($A4541+$C4541) - MAX(IF($B$2:$B4540=$B4541, $A$2:$A4540+$C$2:$C4540)), "")*24*60, "")</f>
        <v/>
      </c>
      <c r="P4541" s="24" t="str" cm="1">
        <f t="array" ref="P4541">IFERROR(IF($B4541=P$1, ($A4541+$C4541) - MAX(IF($B$2:$B4540=$B4541, $A$2:$A4540+$C$2:$C4540)), "")*24*60, "")</f>
        <v/>
      </c>
    </row>
    <row r="4542" spans="1:16" x14ac:dyDescent="0.2">
      <c r="A4542" s="12">
        <f t="shared" ref="A4542:C4542" si="1099">A4541</f>
        <v>45969</v>
      </c>
      <c r="B4542" s="5" t="str">
        <f t="shared" si="1099"/>
        <v>Northern Cardinal</v>
      </c>
      <c r="C4542" s="6">
        <f t="shared" si="1099"/>
        <v>0.73888888888888893</v>
      </c>
      <c r="D4542" s="5"/>
      <c r="E4542" s="5"/>
      <c r="F4542" s="5" t="str">
        <f t="shared" ref="F4542:G4542" si="1100">F4541</f>
        <v>None</v>
      </c>
      <c r="G4542" s="15" t="str">
        <f t="shared" si="1100"/>
        <v>None</v>
      </c>
      <c r="H4542" s="24">
        <f t="shared" si="961"/>
        <v>0</v>
      </c>
      <c r="I4542" s="24" cm="1">
        <f t="array" ref="I4542">IFERROR(IF($B4542=I$1, ($A4542+$C4542) - MAX(IF($B$2:$B4541=$B4542, $A$2:$A4541+$C$2:$C4541)), "")*24*60, "")</f>
        <v>0</v>
      </c>
      <c r="J4542" s="24" t="str" cm="1">
        <f t="array" ref="J4542">IFERROR(IF($B4542=J$1, ($A4542+$C4542) - MAX(IF($B$2:$B4541=$B4542, $A$2:$A4541+$C$2:$C4541)), "")*24*60, "")</f>
        <v/>
      </c>
      <c r="K4542" s="24" t="str" cm="1">
        <f t="array" ref="K4542">IFERROR(IF($B4542=K$1, ($A4542+$C4542) - MAX(IF($B$2:$B4541=$B4542, $A$2:$A4541+$C$2:$C4541)), "")*24*60, "")</f>
        <v/>
      </c>
      <c r="L4542" s="24" t="str" cm="1">
        <f t="array" ref="L4542">IFERROR(IF($B4542=L$1, ($A4542+$C4542) - MAX(IF($B$2:$B4541=$B4542, $A$2:$A4541+$C$2:$C4541)), "")*24*60, "")</f>
        <v/>
      </c>
      <c r="M4542" s="24" t="str" cm="1">
        <f t="array" ref="M4542">IFERROR(IF($B4542=M$1, ($A4542+$C4542) - MAX(IF($B$2:$B4541=$B4542, $A$2:$A4541+$C$2:$C4541)), "")*24*60, "")</f>
        <v/>
      </c>
      <c r="N4542" s="24" t="str" cm="1">
        <f t="array" ref="N4542">IFERROR(IF($B4542=N$1, ($A4542+$C4542) - MAX(IF($B$2:$B4541=$B4542, $A$2:$A4541+$C$2:$C4541)), "")*24*60, "")</f>
        <v/>
      </c>
      <c r="O4542" s="24" t="str" cm="1">
        <f t="array" ref="O4542">IFERROR(IF($B4542=O$1, ($A4542+$C4542) - MAX(IF($B$2:$B4541=$B4542, $A$2:$A4541+$C$2:$C4541)), "")*24*60, "")</f>
        <v/>
      </c>
      <c r="P4542" s="24" t="str" cm="1">
        <f t="array" ref="P4542">IFERROR(IF($B4542=P$1, ($A4542+$C4542) - MAX(IF($B$2:$B4541=$B4542, $A$2:$A4541+$C$2:$C4541)), "")*24*60, "")</f>
        <v/>
      </c>
    </row>
    <row r="4543" spans="1:16" x14ac:dyDescent="0.2">
      <c r="A4543" s="12">
        <f t="shared" ref="A4543:C4543" si="1101">A4542</f>
        <v>45969</v>
      </c>
      <c r="B4543" s="5" t="str">
        <f t="shared" si="1101"/>
        <v>Northern Cardinal</v>
      </c>
      <c r="C4543" s="6">
        <f t="shared" si="1101"/>
        <v>0.73888888888888893</v>
      </c>
      <c r="D4543" s="5"/>
      <c r="E4543" s="5"/>
      <c r="F4543" s="5" t="str">
        <f t="shared" ref="F4543:G4543" si="1102">F4542</f>
        <v>None</v>
      </c>
      <c r="G4543" s="15" t="str">
        <f t="shared" si="1102"/>
        <v>None</v>
      </c>
      <c r="H4543" s="24">
        <f t="shared" si="961"/>
        <v>0</v>
      </c>
      <c r="I4543" s="24" cm="1">
        <f t="array" ref="I4543">IFERROR(IF($B4543=I$1, ($A4543+$C4543) - MAX(IF($B$2:$B4542=$B4543, $A$2:$A4542+$C$2:$C4542)), "")*24*60, "")</f>
        <v>0</v>
      </c>
      <c r="J4543" s="24" t="str" cm="1">
        <f t="array" ref="J4543">IFERROR(IF($B4543=J$1, ($A4543+$C4543) - MAX(IF($B$2:$B4542=$B4543, $A$2:$A4542+$C$2:$C4542)), "")*24*60, "")</f>
        <v/>
      </c>
      <c r="K4543" s="24" t="str" cm="1">
        <f t="array" ref="K4543">IFERROR(IF($B4543=K$1, ($A4543+$C4543) - MAX(IF($B$2:$B4542=$B4543, $A$2:$A4542+$C$2:$C4542)), "")*24*60, "")</f>
        <v/>
      </c>
      <c r="L4543" s="24" t="str" cm="1">
        <f t="array" ref="L4543">IFERROR(IF($B4543=L$1, ($A4543+$C4543) - MAX(IF($B$2:$B4542=$B4543, $A$2:$A4542+$C$2:$C4542)), "")*24*60, "")</f>
        <v/>
      </c>
      <c r="M4543" s="24" t="str" cm="1">
        <f t="array" ref="M4543">IFERROR(IF($B4543=M$1, ($A4543+$C4543) - MAX(IF($B$2:$B4542=$B4543, $A$2:$A4542+$C$2:$C4542)), "")*24*60, "")</f>
        <v/>
      </c>
      <c r="N4543" s="24" t="str" cm="1">
        <f t="array" ref="N4543">IFERROR(IF($B4543=N$1, ($A4543+$C4543) - MAX(IF($B$2:$B4542=$B4543, $A$2:$A4542+$C$2:$C4542)), "")*24*60, "")</f>
        <v/>
      </c>
      <c r="O4543" s="24" t="str" cm="1">
        <f t="array" ref="O4543">IFERROR(IF($B4543=O$1, ($A4543+$C4543) - MAX(IF($B$2:$B4542=$B4543, $A$2:$A4542+$C$2:$C4542)), "")*24*60, "")</f>
        <v/>
      </c>
      <c r="P4543" s="24" t="str" cm="1">
        <f t="array" ref="P4543">IFERROR(IF($B4543=P$1, ($A4543+$C4543) - MAX(IF($B$2:$B4542=$B4543, $A$2:$A4542+$C$2:$C4542)), "")*24*60, "")</f>
        <v/>
      </c>
    </row>
    <row r="4544" spans="1:16" x14ac:dyDescent="0.2">
      <c r="A4544" s="12">
        <f t="shared" ref="A4544:C4544" si="1103">A4543</f>
        <v>45969</v>
      </c>
      <c r="B4544" s="5" t="str">
        <f t="shared" si="1103"/>
        <v>Northern Cardinal</v>
      </c>
      <c r="C4544" s="6">
        <f t="shared" si="1103"/>
        <v>0.73888888888888893</v>
      </c>
      <c r="D4544" s="5"/>
      <c r="E4544" s="5"/>
      <c r="F4544" s="5" t="str">
        <f t="shared" ref="F4544:G4544" si="1104">F4543</f>
        <v>None</v>
      </c>
      <c r="G4544" s="15" t="str">
        <f t="shared" si="1104"/>
        <v>None</v>
      </c>
      <c r="H4544" s="24">
        <f t="shared" si="961"/>
        <v>0</v>
      </c>
      <c r="I4544" s="24" cm="1">
        <f t="array" ref="I4544">IFERROR(IF($B4544=I$1, ($A4544+$C4544) - MAX(IF($B$2:$B4543=$B4544, $A$2:$A4543+$C$2:$C4543)), "")*24*60, "")</f>
        <v>0</v>
      </c>
      <c r="J4544" s="24" t="str" cm="1">
        <f t="array" ref="J4544">IFERROR(IF($B4544=J$1, ($A4544+$C4544) - MAX(IF($B$2:$B4543=$B4544, $A$2:$A4543+$C$2:$C4543)), "")*24*60, "")</f>
        <v/>
      </c>
      <c r="K4544" s="24" t="str" cm="1">
        <f t="array" ref="K4544">IFERROR(IF($B4544=K$1, ($A4544+$C4544) - MAX(IF($B$2:$B4543=$B4544, $A$2:$A4543+$C$2:$C4543)), "")*24*60, "")</f>
        <v/>
      </c>
      <c r="L4544" s="24" t="str" cm="1">
        <f t="array" ref="L4544">IFERROR(IF($B4544=L$1, ($A4544+$C4544) - MAX(IF($B$2:$B4543=$B4544, $A$2:$A4543+$C$2:$C4543)), "")*24*60, "")</f>
        <v/>
      </c>
      <c r="M4544" s="24" t="str" cm="1">
        <f t="array" ref="M4544">IFERROR(IF($B4544=M$1, ($A4544+$C4544) - MAX(IF($B$2:$B4543=$B4544, $A$2:$A4543+$C$2:$C4543)), "")*24*60, "")</f>
        <v/>
      </c>
      <c r="N4544" s="24" t="str" cm="1">
        <f t="array" ref="N4544">IFERROR(IF($B4544=N$1, ($A4544+$C4544) - MAX(IF($B$2:$B4543=$B4544, $A$2:$A4543+$C$2:$C4543)), "")*24*60, "")</f>
        <v/>
      </c>
      <c r="O4544" s="24" t="str" cm="1">
        <f t="array" ref="O4544">IFERROR(IF($B4544=O$1, ($A4544+$C4544) - MAX(IF($B$2:$B4543=$B4544, $A$2:$A4543+$C$2:$C4543)), "")*24*60, "")</f>
        <v/>
      </c>
      <c r="P4544" s="24" t="str" cm="1">
        <f t="array" ref="P4544">IFERROR(IF($B4544=P$1, ($A4544+$C4544) - MAX(IF($B$2:$B4543=$B4544, $A$2:$A4543+$C$2:$C4543)), "")*24*60, "")</f>
        <v/>
      </c>
    </row>
    <row r="4545" spans="1:16" x14ac:dyDescent="0.2">
      <c r="A4545" s="12">
        <f t="shared" ref="A4545:C4545" si="1105">A4544</f>
        <v>45969</v>
      </c>
      <c r="B4545" s="5" t="str">
        <f t="shared" si="1105"/>
        <v>Northern Cardinal</v>
      </c>
      <c r="C4545" s="6">
        <f t="shared" si="1105"/>
        <v>0.73888888888888893</v>
      </c>
      <c r="D4545" s="5"/>
      <c r="E4545" s="5"/>
      <c r="F4545" s="5" t="str">
        <f t="shared" ref="F4545:G4545" si="1106">F4544</f>
        <v>None</v>
      </c>
      <c r="G4545" s="15" t="str">
        <f t="shared" si="1106"/>
        <v>None</v>
      </c>
      <c r="H4545" s="24">
        <f t="shared" si="961"/>
        <v>0</v>
      </c>
      <c r="I4545" s="24" cm="1">
        <f t="array" ref="I4545">IFERROR(IF($B4545=I$1, ($A4545+$C4545) - MAX(IF($B$2:$B4544=$B4545, $A$2:$A4544+$C$2:$C4544)), "")*24*60, "")</f>
        <v>0</v>
      </c>
      <c r="J4545" s="24" t="str" cm="1">
        <f t="array" ref="J4545">IFERROR(IF($B4545=J$1, ($A4545+$C4545) - MAX(IF($B$2:$B4544=$B4545, $A$2:$A4544+$C$2:$C4544)), "")*24*60, "")</f>
        <v/>
      </c>
      <c r="K4545" s="24" t="str" cm="1">
        <f t="array" ref="K4545">IFERROR(IF($B4545=K$1, ($A4545+$C4545) - MAX(IF($B$2:$B4544=$B4545, $A$2:$A4544+$C$2:$C4544)), "")*24*60, "")</f>
        <v/>
      </c>
      <c r="L4545" s="24" t="str" cm="1">
        <f t="array" ref="L4545">IFERROR(IF($B4545=L$1, ($A4545+$C4545) - MAX(IF($B$2:$B4544=$B4545, $A$2:$A4544+$C$2:$C4544)), "")*24*60, "")</f>
        <v/>
      </c>
      <c r="M4545" s="24" t="str" cm="1">
        <f t="array" ref="M4545">IFERROR(IF($B4545=M$1, ($A4545+$C4545) - MAX(IF($B$2:$B4544=$B4545, $A$2:$A4544+$C$2:$C4544)), "")*24*60, "")</f>
        <v/>
      </c>
      <c r="N4545" s="24" t="str" cm="1">
        <f t="array" ref="N4545">IFERROR(IF($B4545=N$1, ($A4545+$C4545) - MAX(IF($B$2:$B4544=$B4545, $A$2:$A4544+$C$2:$C4544)), "")*24*60, "")</f>
        <v/>
      </c>
      <c r="O4545" s="24" t="str" cm="1">
        <f t="array" ref="O4545">IFERROR(IF($B4545=O$1, ($A4545+$C4545) - MAX(IF($B$2:$B4544=$B4545, $A$2:$A4544+$C$2:$C4544)), "")*24*60, "")</f>
        <v/>
      </c>
      <c r="P4545" s="24" t="str" cm="1">
        <f t="array" ref="P4545">IFERROR(IF($B4545=P$1, ($A4545+$C4545) - MAX(IF($B$2:$B4544=$B4545, $A$2:$A4544+$C$2:$C4544)), "")*24*60, "")</f>
        <v/>
      </c>
    </row>
    <row r="4546" spans="1:16" x14ac:dyDescent="0.2">
      <c r="A4546" s="12">
        <f t="shared" ref="A4546:C4546" si="1107">A4545</f>
        <v>45969</v>
      </c>
      <c r="B4546" s="5" t="str">
        <f t="shared" si="1107"/>
        <v>Northern Cardinal</v>
      </c>
      <c r="C4546" s="6">
        <f t="shared" si="1107"/>
        <v>0.73888888888888893</v>
      </c>
      <c r="D4546" s="5"/>
      <c r="E4546" s="5"/>
      <c r="F4546" s="5" t="str">
        <f t="shared" ref="F4546:G4546" si="1108">F4545</f>
        <v>None</v>
      </c>
      <c r="G4546" s="15" t="str">
        <f t="shared" si="1108"/>
        <v>None</v>
      </c>
      <c r="H4546" s="24">
        <f t="shared" si="961"/>
        <v>0</v>
      </c>
      <c r="I4546" s="24" cm="1">
        <f t="array" ref="I4546">IFERROR(IF($B4546=I$1, ($A4546+$C4546) - MAX(IF($B$2:$B4545=$B4546, $A$2:$A4545+$C$2:$C4545)), "")*24*60, "")</f>
        <v>0</v>
      </c>
      <c r="J4546" s="24" t="str" cm="1">
        <f t="array" ref="J4546">IFERROR(IF($B4546=J$1, ($A4546+$C4546) - MAX(IF($B$2:$B4545=$B4546, $A$2:$A4545+$C$2:$C4545)), "")*24*60, "")</f>
        <v/>
      </c>
      <c r="K4546" s="24" t="str" cm="1">
        <f t="array" ref="K4546">IFERROR(IF($B4546=K$1, ($A4546+$C4546) - MAX(IF($B$2:$B4545=$B4546, $A$2:$A4545+$C$2:$C4545)), "")*24*60, "")</f>
        <v/>
      </c>
      <c r="L4546" s="24" t="str" cm="1">
        <f t="array" ref="L4546">IFERROR(IF($B4546=L$1, ($A4546+$C4546) - MAX(IF($B$2:$B4545=$B4546, $A$2:$A4545+$C$2:$C4545)), "")*24*60, "")</f>
        <v/>
      </c>
      <c r="M4546" s="24" t="str" cm="1">
        <f t="array" ref="M4546">IFERROR(IF($B4546=M$1, ($A4546+$C4546) - MAX(IF($B$2:$B4545=$B4546, $A$2:$A4545+$C$2:$C4545)), "")*24*60, "")</f>
        <v/>
      </c>
      <c r="N4546" s="24" t="str" cm="1">
        <f t="array" ref="N4546">IFERROR(IF($B4546=N$1, ($A4546+$C4546) - MAX(IF($B$2:$B4545=$B4546, $A$2:$A4545+$C$2:$C4545)), "")*24*60, "")</f>
        <v/>
      </c>
      <c r="O4546" s="24" t="str" cm="1">
        <f t="array" ref="O4546">IFERROR(IF($B4546=O$1, ($A4546+$C4546) - MAX(IF($B$2:$B4545=$B4546, $A$2:$A4545+$C$2:$C4545)), "")*24*60, "")</f>
        <v/>
      </c>
      <c r="P4546" s="24" t="str" cm="1">
        <f t="array" ref="P4546">IFERROR(IF($B4546=P$1, ($A4546+$C4546) - MAX(IF($B$2:$B4545=$B4546, $A$2:$A4545+$C$2:$C4545)), "")*24*60, "")</f>
        <v/>
      </c>
    </row>
    <row r="4547" spans="1:16" x14ac:dyDescent="0.2">
      <c r="A4547" s="12">
        <f t="shared" ref="A4547:C4547" si="1109">A4546</f>
        <v>45969</v>
      </c>
      <c r="B4547" s="5" t="str">
        <f t="shared" si="1109"/>
        <v>Northern Cardinal</v>
      </c>
      <c r="C4547" s="6">
        <f t="shared" si="1109"/>
        <v>0.73888888888888893</v>
      </c>
      <c r="D4547" s="5"/>
      <c r="E4547" s="5"/>
      <c r="F4547" s="5" t="str">
        <f t="shared" ref="F4547:G4547" si="1110">F4546</f>
        <v>None</v>
      </c>
      <c r="G4547" s="15" t="str">
        <f t="shared" si="1110"/>
        <v>None</v>
      </c>
      <c r="H4547" s="24">
        <f t="shared" si="961"/>
        <v>0</v>
      </c>
      <c r="I4547" s="24" cm="1">
        <f t="array" ref="I4547">IFERROR(IF($B4547=I$1, ($A4547+$C4547) - MAX(IF($B$2:$B4546=$B4547, $A$2:$A4546+$C$2:$C4546)), "")*24*60, "")</f>
        <v>0</v>
      </c>
      <c r="J4547" s="24" t="str" cm="1">
        <f t="array" ref="J4547">IFERROR(IF($B4547=J$1, ($A4547+$C4547) - MAX(IF($B$2:$B4546=$B4547, $A$2:$A4546+$C$2:$C4546)), "")*24*60, "")</f>
        <v/>
      </c>
      <c r="K4547" s="24" t="str" cm="1">
        <f t="array" ref="K4547">IFERROR(IF($B4547=K$1, ($A4547+$C4547) - MAX(IF($B$2:$B4546=$B4547, $A$2:$A4546+$C$2:$C4546)), "")*24*60, "")</f>
        <v/>
      </c>
      <c r="L4547" s="24" t="str" cm="1">
        <f t="array" ref="L4547">IFERROR(IF($B4547=L$1, ($A4547+$C4547) - MAX(IF($B$2:$B4546=$B4547, $A$2:$A4546+$C$2:$C4546)), "")*24*60, "")</f>
        <v/>
      </c>
      <c r="M4547" s="24" t="str" cm="1">
        <f t="array" ref="M4547">IFERROR(IF($B4547=M$1, ($A4547+$C4547) - MAX(IF($B$2:$B4546=$B4547, $A$2:$A4546+$C$2:$C4546)), "")*24*60, "")</f>
        <v/>
      </c>
      <c r="N4547" s="24" t="str" cm="1">
        <f t="array" ref="N4547">IFERROR(IF($B4547=N$1, ($A4547+$C4547) - MAX(IF($B$2:$B4546=$B4547, $A$2:$A4546+$C$2:$C4546)), "")*24*60, "")</f>
        <v/>
      </c>
      <c r="O4547" s="24" t="str" cm="1">
        <f t="array" ref="O4547">IFERROR(IF($B4547=O$1, ($A4547+$C4547) - MAX(IF($B$2:$B4546=$B4547, $A$2:$A4546+$C$2:$C4546)), "")*24*60, "")</f>
        <v/>
      </c>
      <c r="P4547" s="24" t="str" cm="1">
        <f t="array" ref="P4547">IFERROR(IF($B4547=P$1, ($A4547+$C4547) - MAX(IF($B$2:$B4546=$B4547, $A$2:$A4546+$C$2:$C4546)), "")*24*60, "")</f>
        <v/>
      </c>
    </row>
    <row r="4548" spans="1:16" x14ac:dyDescent="0.2">
      <c r="A4548" s="12">
        <f t="shared" ref="A4548:C4548" si="1111">A4547</f>
        <v>45969</v>
      </c>
      <c r="B4548" s="5" t="str">
        <f t="shared" si="1111"/>
        <v>Northern Cardinal</v>
      </c>
      <c r="C4548" s="6">
        <f t="shared" si="1111"/>
        <v>0.73888888888888893</v>
      </c>
      <c r="D4548" s="5"/>
      <c r="E4548" s="5"/>
      <c r="F4548" s="5" t="str">
        <f t="shared" ref="F4548:G4548" si="1112">F4547</f>
        <v>None</v>
      </c>
      <c r="G4548" s="15" t="str">
        <f t="shared" si="1112"/>
        <v>None</v>
      </c>
      <c r="H4548" s="24">
        <f t="shared" si="961"/>
        <v>0</v>
      </c>
      <c r="I4548" s="24" cm="1">
        <f t="array" ref="I4548">IFERROR(IF($B4548=I$1, ($A4548+$C4548) - MAX(IF($B$2:$B4547=$B4548, $A$2:$A4547+$C$2:$C4547)), "")*24*60, "")</f>
        <v>0</v>
      </c>
      <c r="J4548" s="24" t="str" cm="1">
        <f t="array" ref="J4548">IFERROR(IF($B4548=J$1, ($A4548+$C4548) - MAX(IF($B$2:$B4547=$B4548, $A$2:$A4547+$C$2:$C4547)), "")*24*60, "")</f>
        <v/>
      </c>
      <c r="K4548" s="24" t="str" cm="1">
        <f t="array" ref="K4548">IFERROR(IF($B4548=K$1, ($A4548+$C4548) - MAX(IF($B$2:$B4547=$B4548, $A$2:$A4547+$C$2:$C4547)), "")*24*60, "")</f>
        <v/>
      </c>
      <c r="L4548" s="24" t="str" cm="1">
        <f t="array" ref="L4548">IFERROR(IF($B4548=L$1, ($A4548+$C4548) - MAX(IF($B$2:$B4547=$B4548, $A$2:$A4547+$C$2:$C4547)), "")*24*60, "")</f>
        <v/>
      </c>
      <c r="M4548" s="24" t="str" cm="1">
        <f t="array" ref="M4548">IFERROR(IF($B4548=M$1, ($A4548+$C4548) - MAX(IF($B$2:$B4547=$B4548, $A$2:$A4547+$C$2:$C4547)), "")*24*60, "")</f>
        <v/>
      </c>
      <c r="N4548" s="24" t="str" cm="1">
        <f t="array" ref="N4548">IFERROR(IF($B4548=N$1, ($A4548+$C4548) - MAX(IF($B$2:$B4547=$B4548, $A$2:$A4547+$C$2:$C4547)), "")*24*60, "")</f>
        <v/>
      </c>
      <c r="O4548" s="24" t="str" cm="1">
        <f t="array" ref="O4548">IFERROR(IF($B4548=O$1, ($A4548+$C4548) - MAX(IF($B$2:$B4547=$B4548, $A$2:$A4547+$C$2:$C4547)), "")*24*60, "")</f>
        <v/>
      </c>
      <c r="P4548" s="24" t="str" cm="1">
        <f t="array" ref="P4548">IFERROR(IF($B4548=P$1, ($A4548+$C4548) - MAX(IF($B$2:$B4547=$B4548, $A$2:$A4547+$C$2:$C4547)), "")*24*60, "")</f>
        <v/>
      </c>
    </row>
    <row r="4549" spans="1:16" x14ac:dyDescent="0.2">
      <c r="A4549" s="12">
        <f t="shared" ref="A4549:C4549" si="1113">A4548</f>
        <v>45969</v>
      </c>
      <c r="B4549" s="5" t="str">
        <f t="shared" si="1113"/>
        <v>Northern Cardinal</v>
      </c>
      <c r="C4549" s="6">
        <f t="shared" si="1113"/>
        <v>0.73888888888888893</v>
      </c>
      <c r="D4549" s="5"/>
      <c r="E4549" s="5"/>
      <c r="F4549" s="5" t="str">
        <f t="shared" ref="F4549:G4549" si="1114">F4548</f>
        <v>None</v>
      </c>
      <c r="G4549" s="15" t="str">
        <f t="shared" si="1114"/>
        <v>None</v>
      </c>
      <c r="H4549" s="24">
        <f t="shared" si="961"/>
        <v>0</v>
      </c>
      <c r="I4549" s="24" cm="1">
        <f t="array" ref="I4549">IFERROR(IF($B4549=I$1, ($A4549+$C4549) - MAX(IF($B$2:$B4548=$B4549, $A$2:$A4548+$C$2:$C4548)), "")*24*60, "")</f>
        <v>0</v>
      </c>
      <c r="J4549" s="24" t="str" cm="1">
        <f t="array" ref="J4549">IFERROR(IF($B4549=J$1, ($A4549+$C4549) - MAX(IF($B$2:$B4548=$B4549, $A$2:$A4548+$C$2:$C4548)), "")*24*60, "")</f>
        <v/>
      </c>
      <c r="K4549" s="24" t="str" cm="1">
        <f t="array" ref="K4549">IFERROR(IF($B4549=K$1, ($A4549+$C4549) - MAX(IF($B$2:$B4548=$B4549, $A$2:$A4548+$C$2:$C4548)), "")*24*60, "")</f>
        <v/>
      </c>
      <c r="L4549" s="24" t="str" cm="1">
        <f t="array" ref="L4549">IFERROR(IF($B4549=L$1, ($A4549+$C4549) - MAX(IF($B$2:$B4548=$B4549, $A$2:$A4548+$C$2:$C4548)), "")*24*60, "")</f>
        <v/>
      </c>
      <c r="M4549" s="24" t="str" cm="1">
        <f t="array" ref="M4549">IFERROR(IF($B4549=M$1, ($A4549+$C4549) - MAX(IF($B$2:$B4548=$B4549, $A$2:$A4548+$C$2:$C4548)), "")*24*60, "")</f>
        <v/>
      </c>
      <c r="N4549" s="24" t="str" cm="1">
        <f t="array" ref="N4549">IFERROR(IF($B4549=N$1, ($A4549+$C4549) - MAX(IF($B$2:$B4548=$B4549, $A$2:$A4548+$C$2:$C4548)), "")*24*60, "")</f>
        <v/>
      </c>
      <c r="O4549" s="24" t="str" cm="1">
        <f t="array" ref="O4549">IFERROR(IF($B4549=O$1, ($A4549+$C4549) - MAX(IF($B$2:$B4548=$B4549, $A$2:$A4548+$C$2:$C4548)), "")*24*60, "")</f>
        <v/>
      </c>
      <c r="P4549" s="24" t="str" cm="1">
        <f t="array" ref="P4549">IFERROR(IF($B4549=P$1, ($A4549+$C4549) - MAX(IF($B$2:$B4548=$B4549, $A$2:$A4548+$C$2:$C4548)), "")*24*60, "")</f>
        <v/>
      </c>
    </row>
    <row r="4550" spans="1:16" x14ac:dyDescent="0.2">
      <c r="A4550" s="12">
        <f t="shared" ref="A4550:C4550" si="1115">A4549</f>
        <v>45969</v>
      </c>
      <c r="B4550" s="5" t="str">
        <f t="shared" si="1115"/>
        <v>Northern Cardinal</v>
      </c>
      <c r="C4550" s="6">
        <f t="shared" si="1115"/>
        <v>0.73888888888888893</v>
      </c>
      <c r="D4550" s="5"/>
      <c r="E4550" s="5"/>
      <c r="F4550" s="5" t="str">
        <f t="shared" ref="F4550:G4550" si="1116">F4549</f>
        <v>None</v>
      </c>
      <c r="G4550" s="15" t="str">
        <f t="shared" si="1116"/>
        <v>None</v>
      </c>
      <c r="H4550" s="24">
        <f t="shared" si="961"/>
        <v>0</v>
      </c>
      <c r="I4550" s="24" cm="1">
        <f t="array" ref="I4550">IFERROR(IF($B4550=I$1, ($A4550+$C4550) - MAX(IF($B$2:$B4549=$B4550, $A$2:$A4549+$C$2:$C4549)), "")*24*60, "")</f>
        <v>0</v>
      </c>
      <c r="J4550" s="24" t="str" cm="1">
        <f t="array" ref="J4550">IFERROR(IF($B4550=J$1, ($A4550+$C4550) - MAX(IF($B$2:$B4549=$B4550, $A$2:$A4549+$C$2:$C4549)), "")*24*60, "")</f>
        <v/>
      </c>
      <c r="K4550" s="24" t="str" cm="1">
        <f t="array" ref="K4550">IFERROR(IF($B4550=K$1, ($A4550+$C4550) - MAX(IF($B$2:$B4549=$B4550, $A$2:$A4549+$C$2:$C4549)), "")*24*60, "")</f>
        <v/>
      </c>
      <c r="L4550" s="24" t="str" cm="1">
        <f t="array" ref="L4550">IFERROR(IF($B4550=L$1, ($A4550+$C4550) - MAX(IF($B$2:$B4549=$B4550, $A$2:$A4549+$C$2:$C4549)), "")*24*60, "")</f>
        <v/>
      </c>
      <c r="M4550" s="24" t="str" cm="1">
        <f t="array" ref="M4550">IFERROR(IF($B4550=M$1, ($A4550+$C4550) - MAX(IF($B$2:$B4549=$B4550, $A$2:$A4549+$C$2:$C4549)), "")*24*60, "")</f>
        <v/>
      </c>
      <c r="N4550" s="24" t="str" cm="1">
        <f t="array" ref="N4550">IFERROR(IF($B4550=N$1, ($A4550+$C4550) - MAX(IF($B$2:$B4549=$B4550, $A$2:$A4549+$C$2:$C4549)), "")*24*60, "")</f>
        <v/>
      </c>
      <c r="O4550" s="24" t="str" cm="1">
        <f t="array" ref="O4550">IFERROR(IF($B4550=O$1, ($A4550+$C4550) - MAX(IF($B$2:$B4549=$B4550, $A$2:$A4549+$C$2:$C4549)), "")*24*60, "")</f>
        <v/>
      </c>
      <c r="P4550" s="24" t="str" cm="1">
        <f t="array" ref="P4550">IFERROR(IF($B4550=P$1, ($A4550+$C4550) - MAX(IF($B$2:$B4549=$B4550, $A$2:$A4549+$C$2:$C4549)), "")*24*60, "")</f>
        <v/>
      </c>
    </row>
    <row r="4551" spans="1:16" x14ac:dyDescent="0.2">
      <c r="A4551" s="12">
        <f t="shared" ref="A4551:C4551" si="1117">A4550</f>
        <v>45969</v>
      </c>
      <c r="B4551" s="5" t="str">
        <f t="shared" si="1117"/>
        <v>Northern Cardinal</v>
      </c>
      <c r="C4551" s="6">
        <f t="shared" si="1117"/>
        <v>0.73888888888888893</v>
      </c>
      <c r="D4551" s="5"/>
      <c r="E4551" s="5"/>
      <c r="F4551" s="5" t="str">
        <f t="shared" ref="F4551:G4551" si="1118">F4550</f>
        <v>None</v>
      </c>
      <c r="G4551" s="15" t="str">
        <f t="shared" si="1118"/>
        <v>None</v>
      </c>
      <c r="H4551" s="24">
        <f t="shared" si="961"/>
        <v>0</v>
      </c>
      <c r="I4551" s="24" cm="1">
        <f t="array" ref="I4551">IFERROR(IF($B4551=I$1, ($A4551+$C4551) - MAX(IF($B$2:$B4550=$B4551, $A$2:$A4550+$C$2:$C4550)), "")*24*60, "")</f>
        <v>0</v>
      </c>
      <c r="J4551" s="24" t="str" cm="1">
        <f t="array" ref="J4551">IFERROR(IF($B4551=J$1, ($A4551+$C4551) - MAX(IF($B$2:$B4550=$B4551, $A$2:$A4550+$C$2:$C4550)), "")*24*60, "")</f>
        <v/>
      </c>
      <c r="K4551" s="24" t="str" cm="1">
        <f t="array" ref="K4551">IFERROR(IF($B4551=K$1, ($A4551+$C4551) - MAX(IF($B$2:$B4550=$B4551, $A$2:$A4550+$C$2:$C4550)), "")*24*60, "")</f>
        <v/>
      </c>
      <c r="L4551" s="24" t="str" cm="1">
        <f t="array" ref="L4551">IFERROR(IF($B4551=L$1, ($A4551+$C4551) - MAX(IF($B$2:$B4550=$B4551, $A$2:$A4550+$C$2:$C4550)), "")*24*60, "")</f>
        <v/>
      </c>
      <c r="M4551" s="24" t="str" cm="1">
        <f t="array" ref="M4551">IFERROR(IF($B4551=M$1, ($A4551+$C4551) - MAX(IF($B$2:$B4550=$B4551, $A$2:$A4550+$C$2:$C4550)), "")*24*60, "")</f>
        <v/>
      </c>
      <c r="N4551" s="24" t="str" cm="1">
        <f t="array" ref="N4551">IFERROR(IF($B4551=N$1, ($A4551+$C4551) - MAX(IF($B$2:$B4550=$B4551, $A$2:$A4550+$C$2:$C4550)), "")*24*60, "")</f>
        <v/>
      </c>
      <c r="O4551" s="24" t="str" cm="1">
        <f t="array" ref="O4551">IFERROR(IF($B4551=O$1, ($A4551+$C4551) - MAX(IF($B$2:$B4550=$B4551, $A$2:$A4550+$C$2:$C4550)), "")*24*60, "")</f>
        <v/>
      </c>
      <c r="P4551" s="24" t="str" cm="1">
        <f t="array" ref="P4551">IFERROR(IF($B4551=P$1, ($A4551+$C4551) - MAX(IF($B$2:$B4550=$B4551, $A$2:$A4550+$C$2:$C4550)), "")*24*60, "")</f>
        <v/>
      </c>
    </row>
    <row r="4552" spans="1:16" x14ac:dyDescent="0.2">
      <c r="A4552" s="12">
        <f t="shared" ref="A4552:C4552" si="1119">A4551</f>
        <v>45969</v>
      </c>
      <c r="B4552" s="5" t="str">
        <f t="shared" si="1119"/>
        <v>Northern Cardinal</v>
      </c>
      <c r="C4552" s="6">
        <f t="shared" si="1119"/>
        <v>0.73888888888888893</v>
      </c>
      <c r="D4552" s="5"/>
      <c r="E4552" s="5"/>
      <c r="F4552" s="5" t="str">
        <f t="shared" ref="F4552:G4552" si="1120">F4551</f>
        <v>None</v>
      </c>
      <c r="G4552" s="15" t="str">
        <f t="shared" si="1120"/>
        <v>None</v>
      </c>
      <c r="H4552" s="24">
        <f t="shared" si="961"/>
        <v>0</v>
      </c>
      <c r="I4552" s="24" cm="1">
        <f t="array" ref="I4552">IFERROR(IF($B4552=I$1, ($A4552+$C4552) - MAX(IF($B$2:$B4551=$B4552, $A$2:$A4551+$C$2:$C4551)), "")*24*60, "")</f>
        <v>0</v>
      </c>
      <c r="J4552" s="24" t="str" cm="1">
        <f t="array" ref="J4552">IFERROR(IF($B4552=J$1, ($A4552+$C4552) - MAX(IF($B$2:$B4551=$B4552, $A$2:$A4551+$C$2:$C4551)), "")*24*60, "")</f>
        <v/>
      </c>
      <c r="K4552" s="24" t="str" cm="1">
        <f t="array" ref="K4552">IFERROR(IF($B4552=K$1, ($A4552+$C4552) - MAX(IF($B$2:$B4551=$B4552, $A$2:$A4551+$C$2:$C4551)), "")*24*60, "")</f>
        <v/>
      </c>
      <c r="L4552" s="24" t="str" cm="1">
        <f t="array" ref="L4552">IFERROR(IF($B4552=L$1, ($A4552+$C4552) - MAX(IF($B$2:$B4551=$B4552, $A$2:$A4551+$C$2:$C4551)), "")*24*60, "")</f>
        <v/>
      </c>
      <c r="M4552" s="24" t="str" cm="1">
        <f t="array" ref="M4552">IFERROR(IF($B4552=M$1, ($A4552+$C4552) - MAX(IF($B$2:$B4551=$B4552, $A$2:$A4551+$C$2:$C4551)), "")*24*60, "")</f>
        <v/>
      </c>
      <c r="N4552" s="24" t="str" cm="1">
        <f t="array" ref="N4552">IFERROR(IF($B4552=N$1, ($A4552+$C4552) - MAX(IF($B$2:$B4551=$B4552, $A$2:$A4551+$C$2:$C4551)), "")*24*60, "")</f>
        <v/>
      </c>
      <c r="O4552" s="24" t="str" cm="1">
        <f t="array" ref="O4552">IFERROR(IF($B4552=O$1, ($A4552+$C4552) - MAX(IF($B$2:$B4551=$B4552, $A$2:$A4551+$C$2:$C4551)), "")*24*60, "")</f>
        <v/>
      </c>
      <c r="P4552" s="24" t="str" cm="1">
        <f t="array" ref="P4552">IFERROR(IF($B4552=P$1, ($A4552+$C4552) - MAX(IF($B$2:$B4551=$B4552, $A$2:$A4551+$C$2:$C4551)), "")*24*60, "")</f>
        <v/>
      </c>
    </row>
    <row r="4553" spans="1:16" x14ac:dyDescent="0.2">
      <c r="A4553" s="12">
        <f t="shared" ref="A4553:C4553" si="1121">A4552</f>
        <v>45969</v>
      </c>
      <c r="B4553" s="5" t="str">
        <f t="shared" si="1121"/>
        <v>Northern Cardinal</v>
      </c>
      <c r="C4553" s="6">
        <f t="shared" si="1121"/>
        <v>0.73888888888888893</v>
      </c>
      <c r="D4553" s="5"/>
      <c r="E4553" s="5"/>
      <c r="F4553" s="5" t="str">
        <f t="shared" ref="F4553:G4553" si="1122">F4552</f>
        <v>None</v>
      </c>
      <c r="G4553" s="15" t="str">
        <f t="shared" si="1122"/>
        <v>None</v>
      </c>
      <c r="H4553" s="24">
        <f t="shared" si="961"/>
        <v>0</v>
      </c>
      <c r="I4553" s="24" cm="1">
        <f t="array" ref="I4553">IFERROR(IF($B4553=I$1, ($A4553+$C4553) - MAX(IF($B$2:$B4552=$B4553, $A$2:$A4552+$C$2:$C4552)), "")*24*60, "")</f>
        <v>0</v>
      </c>
      <c r="J4553" s="24" t="str" cm="1">
        <f t="array" ref="J4553">IFERROR(IF($B4553=J$1, ($A4553+$C4553) - MAX(IF($B$2:$B4552=$B4553, $A$2:$A4552+$C$2:$C4552)), "")*24*60, "")</f>
        <v/>
      </c>
      <c r="K4553" s="24" t="str" cm="1">
        <f t="array" ref="K4553">IFERROR(IF($B4553=K$1, ($A4553+$C4553) - MAX(IF($B$2:$B4552=$B4553, $A$2:$A4552+$C$2:$C4552)), "")*24*60, "")</f>
        <v/>
      </c>
      <c r="L4553" s="24" t="str" cm="1">
        <f t="array" ref="L4553">IFERROR(IF($B4553=L$1, ($A4553+$C4553) - MAX(IF($B$2:$B4552=$B4553, $A$2:$A4552+$C$2:$C4552)), "")*24*60, "")</f>
        <v/>
      </c>
      <c r="M4553" s="24" t="str" cm="1">
        <f t="array" ref="M4553">IFERROR(IF($B4553=M$1, ($A4553+$C4553) - MAX(IF($B$2:$B4552=$B4553, $A$2:$A4552+$C$2:$C4552)), "")*24*60, "")</f>
        <v/>
      </c>
      <c r="N4553" s="24" t="str" cm="1">
        <f t="array" ref="N4553">IFERROR(IF($B4553=N$1, ($A4553+$C4553) - MAX(IF($B$2:$B4552=$B4553, $A$2:$A4552+$C$2:$C4552)), "")*24*60, "")</f>
        <v/>
      </c>
      <c r="O4553" s="24" t="str" cm="1">
        <f t="array" ref="O4553">IFERROR(IF($B4553=O$1, ($A4553+$C4553) - MAX(IF($B$2:$B4552=$B4553, $A$2:$A4552+$C$2:$C4552)), "")*24*60, "")</f>
        <v/>
      </c>
      <c r="P4553" s="24" t="str" cm="1">
        <f t="array" ref="P4553">IFERROR(IF($B4553=P$1, ($A4553+$C4553) - MAX(IF($B$2:$B4552=$B4553, $A$2:$A4552+$C$2:$C4552)), "")*24*60, "")</f>
        <v/>
      </c>
    </row>
    <row r="4554" spans="1:16" x14ac:dyDescent="0.2">
      <c r="A4554" s="12">
        <f t="shared" ref="A4554:C4554" si="1123">A4553</f>
        <v>45969</v>
      </c>
      <c r="B4554" s="5" t="str">
        <f t="shared" si="1123"/>
        <v>Northern Cardinal</v>
      </c>
      <c r="C4554" s="6">
        <f t="shared" si="1123"/>
        <v>0.73888888888888893</v>
      </c>
      <c r="D4554" s="5"/>
      <c r="E4554" s="5"/>
      <c r="F4554" s="5" t="str">
        <f t="shared" ref="F4554:G4554" si="1124">F4553</f>
        <v>None</v>
      </c>
      <c r="G4554" s="15" t="str">
        <f t="shared" si="1124"/>
        <v>None</v>
      </c>
      <c r="H4554" s="24">
        <f t="shared" si="961"/>
        <v>0</v>
      </c>
      <c r="I4554" s="24" cm="1">
        <f t="array" ref="I4554">IFERROR(IF($B4554=I$1, ($A4554+$C4554) - MAX(IF($B$2:$B4553=$B4554, $A$2:$A4553+$C$2:$C4553)), "")*24*60, "")</f>
        <v>0</v>
      </c>
      <c r="J4554" s="24" t="str" cm="1">
        <f t="array" ref="J4554">IFERROR(IF($B4554=J$1, ($A4554+$C4554) - MAX(IF($B$2:$B4553=$B4554, $A$2:$A4553+$C$2:$C4553)), "")*24*60, "")</f>
        <v/>
      </c>
      <c r="K4554" s="24" t="str" cm="1">
        <f t="array" ref="K4554">IFERROR(IF($B4554=K$1, ($A4554+$C4554) - MAX(IF($B$2:$B4553=$B4554, $A$2:$A4553+$C$2:$C4553)), "")*24*60, "")</f>
        <v/>
      </c>
      <c r="L4554" s="24" t="str" cm="1">
        <f t="array" ref="L4554">IFERROR(IF($B4554=L$1, ($A4554+$C4554) - MAX(IF($B$2:$B4553=$B4554, $A$2:$A4553+$C$2:$C4553)), "")*24*60, "")</f>
        <v/>
      </c>
      <c r="M4554" s="24" t="str" cm="1">
        <f t="array" ref="M4554">IFERROR(IF($B4554=M$1, ($A4554+$C4554) - MAX(IF($B$2:$B4553=$B4554, $A$2:$A4553+$C$2:$C4553)), "")*24*60, "")</f>
        <v/>
      </c>
      <c r="N4554" s="24" t="str" cm="1">
        <f t="array" ref="N4554">IFERROR(IF($B4554=N$1, ($A4554+$C4554) - MAX(IF($B$2:$B4553=$B4554, $A$2:$A4553+$C$2:$C4553)), "")*24*60, "")</f>
        <v/>
      </c>
      <c r="O4554" s="24" t="str" cm="1">
        <f t="array" ref="O4554">IFERROR(IF($B4554=O$1, ($A4554+$C4554) - MAX(IF($B$2:$B4553=$B4554, $A$2:$A4553+$C$2:$C4553)), "")*24*60, "")</f>
        <v/>
      </c>
      <c r="P4554" s="24" t="str" cm="1">
        <f t="array" ref="P4554">IFERROR(IF($B4554=P$1, ($A4554+$C4554) - MAX(IF($B$2:$B4553=$B4554, $A$2:$A4553+$C$2:$C4553)), "")*24*60, "")</f>
        <v/>
      </c>
    </row>
    <row r="4555" spans="1:16" x14ac:dyDescent="0.2">
      <c r="A4555" s="12">
        <f t="shared" ref="A4555:C4555" si="1125">A4554</f>
        <v>45969</v>
      </c>
      <c r="B4555" s="5" t="str">
        <f t="shared" si="1125"/>
        <v>Northern Cardinal</v>
      </c>
      <c r="C4555" s="6">
        <f t="shared" si="1125"/>
        <v>0.73888888888888893</v>
      </c>
      <c r="D4555" s="5"/>
      <c r="E4555" s="5"/>
      <c r="F4555" s="5" t="str">
        <f t="shared" ref="F4555:G4555" si="1126">F4554</f>
        <v>None</v>
      </c>
      <c r="G4555" s="15" t="str">
        <f t="shared" si="1126"/>
        <v>None</v>
      </c>
      <c r="H4555" s="24">
        <f t="shared" si="961"/>
        <v>0</v>
      </c>
      <c r="I4555" s="24" cm="1">
        <f t="array" ref="I4555">IFERROR(IF($B4555=I$1, ($A4555+$C4555) - MAX(IF($B$2:$B4554=$B4555, $A$2:$A4554+$C$2:$C4554)), "")*24*60, "")</f>
        <v>0</v>
      </c>
      <c r="J4555" s="24" t="str" cm="1">
        <f t="array" ref="J4555">IFERROR(IF($B4555=J$1, ($A4555+$C4555) - MAX(IF($B$2:$B4554=$B4555, $A$2:$A4554+$C$2:$C4554)), "")*24*60, "")</f>
        <v/>
      </c>
      <c r="K4555" s="24" t="str" cm="1">
        <f t="array" ref="K4555">IFERROR(IF($B4555=K$1, ($A4555+$C4555) - MAX(IF($B$2:$B4554=$B4555, $A$2:$A4554+$C$2:$C4554)), "")*24*60, "")</f>
        <v/>
      </c>
      <c r="L4555" s="24" t="str" cm="1">
        <f t="array" ref="L4555">IFERROR(IF($B4555=L$1, ($A4555+$C4555) - MAX(IF($B$2:$B4554=$B4555, $A$2:$A4554+$C$2:$C4554)), "")*24*60, "")</f>
        <v/>
      </c>
      <c r="M4555" s="24" t="str" cm="1">
        <f t="array" ref="M4555">IFERROR(IF($B4555=M$1, ($A4555+$C4555) - MAX(IF($B$2:$B4554=$B4555, $A$2:$A4554+$C$2:$C4554)), "")*24*60, "")</f>
        <v/>
      </c>
      <c r="N4555" s="24" t="str" cm="1">
        <f t="array" ref="N4555">IFERROR(IF($B4555=N$1, ($A4555+$C4555) - MAX(IF($B$2:$B4554=$B4555, $A$2:$A4554+$C$2:$C4554)), "")*24*60, "")</f>
        <v/>
      </c>
      <c r="O4555" s="24" t="str" cm="1">
        <f t="array" ref="O4555">IFERROR(IF($B4555=O$1, ($A4555+$C4555) - MAX(IF($B$2:$B4554=$B4555, $A$2:$A4554+$C$2:$C4554)), "")*24*60, "")</f>
        <v/>
      </c>
      <c r="P4555" s="24" t="str" cm="1">
        <f t="array" ref="P4555">IFERROR(IF($B4555=P$1, ($A4555+$C4555) - MAX(IF($B$2:$B4554=$B4555, $A$2:$A4554+$C$2:$C4554)), "")*24*60, "")</f>
        <v/>
      </c>
    </row>
    <row r="4556" spans="1:16" x14ac:dyDescent="0.2">
      <c r="A4556" s="12">
        <f t="shared" ref="A4556:C4556" si="1127">A4555</f>
        <v>45969</v>
      </c>
      <c r="B4556" s="5" t="str">
        <f t="shared" si="1127"/>
        <v>Northern Cardinal</v>
      </c>
      <c r="C4556" s="6">
        <f t="shared" si="1127"/>
        <v>0.73888888888888893</v>
      </c>
      <c r="D4556" s="5"/>
      <c r="E4556" s="5"/>
      <c r="F4556" s="5" t="str">
        <f t="shared" ref="F4556:G4556" si="1128">F4555</f>
        <v>None</v>
      </c>
      <c r="G4556" s="15" t="str">
        <f t="shared" si="1128"/>
        <v>None</v>
      </c>
      <c r="H4556" s="24">
        <f t="shared" si="961"/>
        <v>0</v>
      </c>
      <c r="I4556" s="24" cm="1">
        <f t="array" ref="I4556">IFERROR(IF($B4556=I$1, ($A4556+$C4556) - MAX(IF($B$2:$B4555=$B4556, $A$2:$A4555+$C$2:$C4555)), "")*24*60, "")</f>
        <v>0</v>
      </c>
      <c r="J4556" s="24" t="str" cm="1">
        <f t="array" ref="J4556">IFERROR(IF($B4556=J$1, ($A4556+$C4556) - MAX(IF($B$2:$B4555=$B4556, $A$2:$A4555+$C$2:$C4555)), "")*24*60, "")</f>
        <v/>
      </c>
      <c r="K4556" s="24" t="str" cm="1">
        <f t="array" ref="K4556">IFERROR(IF($B4556=K$1, ($A4556+$C4556) - MAX(IF($B$2:$B4555=$B4556, $A$2:$A4555+$C$2:$C4555)), "")*24*60, "")</f>
        <v/>
      </c>
      <c r="L4556" s="24" t="str" cm="1">
        <f t="array" ref="L4556">IFERROR(IF($B4556=L$1, ($A4556+$C4556) - MAX(IF($B$2:$B4555=$B4556, $A$2:$A4555+$C$2:$C4555)), "")*24*60, "")</f>
        <v/>
      </c>
      <c r="M4556" s="24" t="str" cm="1">
        <f t="array" ref="M4556">IFERROR(IF($B4556=M$1, ($A4556+$C4556) - MAX(IF($B$2:$B4555=$B4556, $A$2:$A4555+$C$2:$C4555)), "")*24*60, "")</f>
        <v/>
      </c>
      <c r="N4556" s="24" t="str" cm="1">
        <f t="array" ref="N4556">IFERROR(IF($B4556=N$1, ($A4556+$C4556) - MAX(IF($B$2:$B4555=$B4556, $A$2:$A4555+$C$2:$C4555)), "")*24*60, "")</f>
        <v/>
      </c>
      <c r="O4556" s="24" t="str" cm="1">
        <f t="array" ref="O4556">IFERROR(IF($B4556=O$1, ($A4556+$C4556) - MAX(IF($B$2:$B4555=$B4556, $A$2:$A4555+$C$2:$C4555)), "")*24*60, "")</f>
        <v/>
      </c>
      <c r="P4556" s="24" t="str" cm="1">
        <f t="array" ref="P4556">IFERROR(IF($B4556=P$1, ($A4556+$C4556) - MAX(IF($B$2:$B4555=$B4556, $A$2:$A4555+$C$2:$C4555)), "")*24*60, "")</f>
        <v/>
      </c>
    </row>
    <row r="4557" spans="1:16" x14ac:dyDescent="0.2">
      <c r="A4557" s="12">
        <f t="shared" ref="A4557:C4557" si="1129">A4556</f>
        <v>45969</v>
      </c>
      <c r="B4557" s="5" t="str">
        <f t="shared" si="1129"/>
        <v>Northern Cardinal</v>
      </c>
      <c r="C4557" s="6">
        <f t="shared" si="1129"/>
        <v>0.73888888888888893</v>
      </c>
      <c r="D4557" s="5"/>
      <c r="E4557" s="5"/>
      <c r="F4557" s="5" t="str">
        <f t="shared" ref="F4557:G4557" si="1130">F4556</f>
        <v>None</v>
      </c>
      <c r="G4557" s="15" t="str">
        <f t="shared" si="1130"/>
        <v>None</v>
      </c>
      <c r="H4557" s="24">
        <f t="shared" si="961"/>
        <v>0</v>
      </c>
      <c r="I4557" s="24" cm="1">
        <f t="array" ref="I4557">IFERROR(IF($B4557=I$1, ($A4557+$C4557) - MAX(IF($B$2:$B4556=$B4557, $A$2:$A4556+$C$2:$C4556)), "")*24*60, "")</f>
        <v>0</v>
      </c>
      <c r="J4557" s="24" t="str" cm="1">
        <f t="array" ref="J4557">IFERROR(IF($B4557=J$1, ($A4557+$C4557) - MAX(IF($B$2:$B4556=$B4557, $A$2:$A4556+$C$2:$C4556)), "")*24*60, "")</f>
        <v/>
      </c>
      <c r="K4557" s="24" t="str" cm="1">
        <f t="array" ref="K4557">IFERROR(IF($B4557=K$1, ($A4557+$C4557) - MAX(IF($B$2:$B4556=$B4557, $A$2:$A4556+$C$2:$C4556)), "")*24*60, "")</f>
        <v/>
      </c>
      <c r="L4557" s="24" t="str" cm="1">
        <f t="array" ref="L4557">IFERROR(IF($B4557=L$1, ($A4557+$C4557) - MAX(IF($B$2:$B4556=$B4557, $A$2:$A4556+$C$2:$C4556)), "")*24*60, "")</f>
        <v/>
      </c>
      <c r="M4557" s="24" t="str" cm="1">
        <f t="array" ref="M4557">IFERROR(IF($B4557=M$1, ($A4557+$C4557) - MAX(IF($B$2:$B4556=$B4557, $A$2:$A4556+$C$2:$C4556)), "")*24*60, "")</f>
        <v/>
      </c>
      <c r="N4557" s="24" t="str" cm="1">
        <f t="array" ref="N4557">IFERROR(IF($B4557=N$1, ($A4557+$C4557) - MAX(IF($B$2:$B4556=$B4557, $A$2:$A4556+$C$2:$C4556)), "")*24*60, "")</f>
        <v/>
      </c>
      <c r="O4557" s="24" t="str" cm="1">
        <f t="array" ref="O4557">IFERROR(IF($B4557=O$1, ($A4557+$C4557) - MAX(IF($B$2:$B4556=$B4557, $A$2:$A4556+$C$2:$C4556)), "")*24*60, "")</f>
        <v/>
      </c>
      <c r="P4557" s="24" t="str" cm="1">
        <f t="array" ref="P4557">IFERROR(IF($B4557=P$1, ($A4557+$C4557) - MAX(IF($B$2:$B4556=$B4557, $A$2:$A4556+$C$2:$C4556)), "")*24*60, "")</f>
        <v/>
      </c>
    </row>
    <row r="4558" spans="1:16" x14ac:dyDescent="0.2">
      <c r="A4558" s="12">
        <f t="shared" ref="A4558:C4558" si="1131">A4557</f>
        <v>45969</v>
      </c>
      <c r="B4558" s="5" t="str">
        <f t="shared" si="1131"/>
        <v>Northern Cardinal</v>
      </c>
      <c r="C4558" s="6">
        <f t="shared" si="1131"/>
        <v>0.73888888888888893</v>
      </c>
      <c r="D4558" s="5"/>
      <c r="E4558" s="5"/>
      <c r="F4558" s="5" t="str">
        <f t="shared" ref="F4558:G4558" si="1132">F4557</f>
        <v>None</v>
      </c>
      <c r="G4558" s="15" t="str">
        <f t="shared" si="1132"/>
        <v>None</v>
      </c>
      <c r="H4558" s="24">
        <f t="shared" si="961"/>
        <v>0</v>
      </c>
      <c r="I4558" s="24" cm="1">
        <f t="array" ref="I4558">IFERROR(IF($B4558=I$1, ($A4558+$C4558) - MAX(IF($B$2:$B4557=$B4558, $A$2:$A4557+$C$2:$C4557)), "")*24*60, "")</f>
        <v>0</v>
      </c>
      <c r="J4558" s="24" t="str" cm="1">
        <f t="array" ref="J4558">IFERROR(IF($B4558=J$1, ($A4558+$C4558) - MAX(IF($B$2:$B4557=$B4558, $A$2:$A4557+$C$2:$C4557)), "")*24*60, "")</f>
        <v/>
      </c>
      <c r="K4558" s="24" t="str" cm="1">
        <f t="array" ref="K4558">IFERROR(IF($B4558=K$1, ($A4558+$C4558) - MAX(IF($B$2:$B4557=$B4558, $A$2:$A4557+$C$2:$C4557)), "")*24*60, "")</f>
        <v/>
      </c>
      <c r="L4558" s="24" t="str" cm="1">
        <f t="array" ref="L4558">IFERROR(IF($B4558=L$1, ($A4558+$C4558) - MAX(IF($B$2:$B4557=$B4558, $A$2:$A4557+$C$2:$C4557)), "")*24*60, "")</f>
        <v/>
      </c>
      <c r="M4558" s="24" t="str" cm="1">
        <f t="array" ref="M4558">IFERROR(IF($B4558=M$1, ($A4558+$C4558) - MAX(IF($B$2:$B4557=$B4558, $A$2:$A4557+$C$2:$C4557)), "")*24*60, "")</f>
        <v/>
      </c>
      <c r="N4558" s="24" t="str" cm="1">
        <f t="array" ref="N4558">IFERROR(IF($B4558=N$1, ($A4558+$C4558) - MAX(IF($B$2:$B4557=$B4558, $A$2:$A4557+$C$2:$C4557)), "")*24*60, "")</f>
        <v/>
      </c>
      <c r="O4558" s="24" t="str" cm="1">
        <f t="array" ref="O4558">IFERROR(IF($B4558=O$1, ($A4558+$C4558) - MAX(IF($B$2:$B4557=$B4558, $A$2:$A4557+$C$2:$C4557)), "")*24*60, "")</f>
        <v/>
      </c>
      <c r="P4558" s="24" t="str" cm="1">
        <f t="array" ref="P4558">IFERROR(IF($B4558=P$1, ($A4558+$C4558) - MAX(IF($B$2:$B4557=$B4558, $A$2:$A4557+$C$2:$C4557)), "")*24*60, "")</f>
        <v/>
      </c>
    </row>
    <row r="4559" spans="1:16" x14ac:dyDescent="0.2">
      <c r="A4559" s="12">
        <f t="shared" ref="A4559:C4559" si="1133">A4558</f>
        <v>45969</v>
      </c>
      <c r="B4559" s="5" t="str">
        <f t="shared" si="1133"/>
        <v>Northern Cardinal</v>
      </c>
      <c r="C4559" s="6">
        <f t="shared" si="1133"/>
        <v>0.73888888888888893</v>
      </c>
      <c r="D4559" s="5"/>
      <c r="E4559" s="5"/>
      <c r="F4559" s="5" t="str">
        <f t="shared" ref="F4559:G4559" si="1134">F4558</f>
        <v>None</v>
      </c>
      <c r="G4559" s="15" t="str">
        <f t="shared" si="1134"/>
        <v>None</v>
      </c>
      <c r="H4559" s="24">
        <f t="shared" si="961"/>
        <v>0</v>
      </c>
      <c r="I4559" s="24" cm="1">
        <f t="array" ref="I4559">IFERROR(IF($B4559=I$1, ($A4559+$C4559) - MAX(IF($B$2:$B4558=$B4559, $A$2:$A4558+$C$2:$C4558)), "")*24*60, "")</f>
        <v>0</v>
      </c>
      <c r="J4559" s="24" t="str" cm="1">
        <f t="array" ref="J4559">IFERROR(IF($B4559=J$1, ($A4559+$C4559) - MAX(IF($B$2:$B4558=$B4559, $A$2:$A4558+$C$2:$C4558)), "")*24*60, "")</f>
        <v/>
      </c>
      <c r="K4559" s="24" t="str" cm="1">
        <f t="array" ref="K4559">IFERROR(IF($B4559=K$1, ($A4559+$C4559) - MAX(IF($B$2:$B4558=$B4559, $A$2:$A4558+$C$2:$C4558)), "")*24*60, "")</f>
        <v/>
      </c>
      <c r="L4559" s="24" t="str" cm="1">
        <f t="array" ref="L4559">IFERROR(IF($B4559=L$1, ($A4559+$C4559) - MAX(IF($B$2:$B4558=$B4559, $A$2:$A4558+$C$2:$C4558)), "")*24*60, "")</f>
        <v/>
      </c>
      <c r="M4559" s="24" t="str" cm="1">
        <f t="array" ref="M4559">IFERROR(IF($B4559=M$1, ($A4559+$C4559) - MAX(IF($B$2:$B4558=$B4559, $A$2:$A4558+$C$2:$C4558)), "")*24*60, "")</f>
        <v/>
      </c>
      <c r="N4559" s="24" t="str" cm="1">
        <f t="array" ref="N4559">IFERROR(IF($B4559=N$1, ($A4559+$C4559) - MAX(IF($B$2:$B4558=$B4559, $A$2:$A4558+$C$2:$C4558)), "")*24*60, "")</f>
        <v/>
      </c>
      <c r="O4559" s="24" t="str" cm="1">
        <f t="array" ref="O4559">IFERROR(IF($B4559=O$1, ($A4559+$C4559) - MAX(IF($B$2:$B4558=$B4559, $A$2:$A4558+$C$2:$C4558)), "")*24*60, "")</f>
        <v/>
      </c>
      <c r="P4559" s="24" t="str" cm="1">
        <f t="array" ref="P4559">IFERROR(IF($B4559=P$1, ($A4559+$C4559) - MAX(IF($B$2:$B4558=$B4559, $A$2:$A4558+$C$2:$C4558)), "")*24*60, "")</f>
        <v/>
      </c>
    </row>
    <row r="4560" spans="1:16" x14ac:dyDescent="0.2">
      <c r="A4560" s="12">
        <f t="shared" ref="A4560:C4560" si="1135">A4559</f>
        <v>45969</v>
      </c>
      <c r="B4560" s="5" t="str">
        <f t="shared" si="1135"/>
        <v>Northern Cardinal</v>
      </c>
      <c r="C4560" s="6">
        <f t="shared" si="1135"/>
        <v>0.73888888888888893</v>
      </c>
      <c r="D4560" s="5"/>
      <c r="E4560" s="5"/>
      <c r="F4560" s="5" t="str">
        <f t="shared" ref="F4560:G4560" si="1136">F4559</f>
        <v>None</v>
      </c>
      <c r="G4560" s="15" t="str">
        <f t="shared" si="1136"/>
        <v>None</v>
      </c>
      <c r="H4560" s="24">
        <f t="shared" si="961"/>
        <v>0</v>
      </c>
      <c r="I4560" s="24" cm="1">
        <f t="array" ref="I4560">IFERROR(IF($B4560=I$1, ($A4560+$C4560) - MAX(IF($B$2:$B4559=$B4560, $A$2:$A4559+$C$2:$C4559)), "")*24*60, "")</f>
        <v>0</v>
      </c>
      <c r="J4560" s="24" t="str" cm="1">
        <f t="array" ref="J4560">IFERROR(IF($B4560=J$1, ($A4560+$C4560) - MAX(IF($B$2:$B4559=$B4560, $A$2:$A4559+$C$2:$C4559)), "")*24*60, "")</f>
        <v/>
      </c>
      <c r="K4560" s="24" t="str" cm="1">
        <f t="array" ref="K4560">IFERROR(IF($B4560=K$1, ($A4560+$C4560) - MAX(IF($B$2:$B4559=$B4560, $A$2:$A4559+$C$2:$C4559)), "")*24*60, "")</f>
        <v/>
      </c>
      <c r="L4560" s="24" t="str" cm="1">
        <f t="array" ref="L4560">IFERROR(IF($B4560=L$1, ($A4560+$C4560) - MAX(IF($B$2:$B4559=$B4560, $A$2:$A4559+$C$2:$C4559)), "")*24*60, "")</f>
        <v/>
      </c>
      <c r="M4560" s="24" t="str" cm="1">
        <f t="array" ref="M4560">IFERROR(IF($B4560=M$1, ($A4560+$C4560) - MAX(IF($B$2:$B4559=$B4560, $A$2:$A4559+$C$2:$C4559)), "")*24*60, "")</f>
        <v/>
      </c>
      <c r="N4560" s="24" t="str" cm="1">
        <f t="array" ref="N4560">IFERROR(IF($B4560=N$1, ($A4560+$C4560) - MAX(IF($B$2:$B4559=$B4560, $A$2:$A4559+$C$2:$C4559)), "")*24*60, "")</f>
        <v/>
      </c>
      <c r="O4560" s="24" t="str" cm="1">
        <f t="array" ref="O4560">IFERROR(IF($B4560=O$1, ($A4560+$C4560) - MAX(IF($B$2:$B4559=$B4560, $A$2:$A4559+$C$2:$C4559)), "")*24*60, "")</f>
        <v/>
      </c>
      <c r="P4560" s="24" t="str" cm="1">
        <f t="array" ref="P4560">IFERROR(IF($B4560=P$1, ($A4560+$C4560) - MAX(IF($B$2:$B4559=$B4560, $A$2:$A4559+$C$2:$C4559)), "")*24*60, "")</f>
        <v/>
      </c>
    </row>
    <row r="4561" spans="1:16" x14ac:dyDescent="0.2">
      <c r="A4561" s="12">
        <f t="shared" ref="A4561:C4561" si="1137">A4560</f>
        <v>45969</v>
      </c>
      <c r="B4561" s="5" t="str">
        <f t="shared" si="1137"/>
        <v>Northern Cardinal</v>
      </c>
      <c r="C4561" s="6">
        <f t="shared" si="1137"/>
        <v>0.73888888888888893</v>
      </c>
      <c r="D4561" s="5"/>
      <c r="E4561" s="5"/>
      <c r="F4561" s="5" t="str">
        <f t="shared" ref="F4561:G4561" si="1138">F4560</f>
        <v>None</v>
      </c>
      <c r="G4561" s="15" t="str">
        <f t="shared" si="1138"/>
        <v>None</v>
      </c>
      <c r="H4561" s="24">
        <f t="shared" si="961"/>
        <v>0</v>
      </c>
      <c r="I4561" s="24" cm="1">
        <f t="array" ref="I4561">IFERROR(IF($B4561=I$1, ($A4561+$C4561) - MAX(IF($B$2:$B4560=$B4561, $A$2:$A4560+$C$2:$C4560)), "")*24*60, "")</f>
        <v>0</v>
      </c>
      <c r="J4561" s="24" t="str" cm="1">
        <f t="array" ref="J4561">IFERROR(IF($B4561=J$1, ($A4561+$C4561) - MAX(IF($B$2:$B4560=$B4561, $A$2:$A4560+$C$2:$C4560)), "")*24*60, "")</f>
        <v/>
      </c>
      <c r="K4561" s="24" t="str" cm="1">
        <f t="array" ref="K4561">IFERROR(IF($B4561=K$1, ($A4561+$C4561) - MAX(IF($B$2:$B4560=$B4561, $A$2:$A4560+$C$2:$C4560)), "")*24*60, "")</f>
        <v/>
      </c>
      <c r="L4561" s="24" t="str" cm="1">
        <f t="array" ref="L4561">IFERROR(IF($B4561=L$1, ($A4561+$C4561) - MAX(IF($B$2:$B4560=$B4561, $A$2:$A4560+$C$2:$C4560)), "")*24*60, "")</f>
        <v/>
      </c>
      <c r="M4561" s="24" t="str" cm="1">
        <f t="array" ref="M4561">IFERROR(IF($B4561=M$1, ($A4561+$C4561) - MAX(IF($B$2:$B4560=$B4561, $A$2:$A4560+$C$2:$C4560)), "")*24*60, "")</f>
        <v/>
      </c>
      <c r="N4561" s="24" t="str" cm="1">
        <f t="array" ref="N4561">IFERROR(IF($B4561=N$1, ($A4561+$C4561) - MAX(IF($B$2:$B4560=$B4561, $A$2:$A4560+$C$2:$C4560)), "")*24*60, "")</f>
        <v/>
      </c>
      <c r="O4561" s="24" t="str" cm="1">
        <f t="array" ref="O4561">IFERROR(IF($B4561=O$1, ($A4561+$C4561) - MAX(IF($B$2:$B4560=$B4561, $A$2:$A4560+$C$2:$C4560)), "")*24*60, "")</f>
        <v/>
      </c>
      <c r="P4561" s="24" t="str" cm="1">
        <f t="array" ref="P4561">IFERROR(IF($B4561=P$1, ($A4561+$C4561) - MAX(IF($B$2:$B4560=$B4561, $A$2:$A4560+$C$2:$C4560)), "")*24*60, "")</f>
        <v/>
      </c>
    </row>
    <row r="4562" spans="1:16" x14ac:dyDescent="0.2">
      <c r="A4562" s="12">
        <f t="shared" ref="A4562:C4562" si="1139">A4561</f>
        <v>45969</v>
      </c>
      <c r="B4562" s="5" t="str">
        <f t="shared" si="1139"/>
        <v>Northern Cardinal</v>
      </c>
      <c r="C4562" s="6">
        <f t="shared" si="1139"/>
        <v>0.73888888888888893</v>
      </c>
      <c r="D4562" s="5"/>
      <c r="E4562" s="5"/>
      <c r="F4562" s="5" t="str">
        <f t="shared" ref="F4562:G4562" si="1140">F4561</f>
        <v>None</v>
      </c>
      <c r="G4562" s="15" t="str">
        <f t="shared" si="1140"/>
        <v>None</v>
      </c>
      <c r="H4562" s="24">
        <f t="shared" si="961"/>
        <v>0</v>
      </c>
      <c r="I4562" s="24" cm="1">
        <f t="array" ref="I4562">IFERROR(IF($B4562=I$1, ($A4562+$C4562) - MAX(IF($B$2:$B4561=$B4562, $A$2:$A4561+$C$2:$C4561)), "")*24*60, "")</f>
        <v>0</v>
      </c>
      <c r="J4562" s="24" t="str" cm="1">
        <f t="array" ref="J4562">IFERROR(IF($B4562=J$1, ($A4562+$C4562) - MAX(IF($B$2:$B4561=$B4562, $A$2:$A4561+$C$2:$C4561)), "")*24*60, "")</f>
        <v/>
      </c>
      <c r="K4562" s="24" t="str" cm="1">
        <f t="array" ref="K4562">IFERROR(IF($B4562=K$1, ($A4562+$C4562) - MAX(IF($B$2:$B4561=$B4562, $A$2:$A4561+$C$2:$C4561)), "")*24*60, "")</f>
        <v/>
      </c>
      <c r="L4562" s="24" t="str" cm="1">
        <f t="array" ref="L4562">IFERROR(IF($B4562=L$1, ($A4562+$C4562) - MAX(IF($B$2:$B4561=$B4562, $A$2:$A4561+$C$2:$C4561)), "")*24*60, "")</f>
        <v/>
      </c>
      <c r="M4562" s="24" t="str" cm="1">
        <f t="array" ref="M4562">IFERROR(IF($B4562=M$1, ($A4562+$C4562) - MAX(IF($B$2:$B4561=$B4562, $A$2:$A4561+$C$2:$C4561)), "")*24*60, "")</f>
        <v/>
      </c>
      <c r="N4562" s="24" t="str" cm="1">
        <f t="array" ref="N4562">IFERROR(IF($B4562=N$1, ($A4562+$C4562) - MAX(IF($B$2:$B4561=$B4562, $A$2:$A4561+$C$2:$C4561)), "")*24*60, "")</f>
        <v/>
      </c>
      <c r="O4562" s="24" t="str" cm="1">
        <f t="array" ref="O4562">IFERROR(IF($B4562=O$1, ($A4562+$C4562) - MAX(IF($B$2:$B4561=$B4562, $A$2:$A4561+$C$2:$C4561)), "")*24*60, "")</f>
        <v/>
      </c>
      <c r="P4562" s="24" t="str" cm="1">
        <f t="array" ref="P4562">IFERROR(IF($B4562=P$1, ($A4562+$C4562) - MAX(IF($B$2:$B4561=$B4562, $A$2:$A4561+$C$2:$C4561)), "")*24*60, "")</f>
        <v/>
      </c>
    </row>
    <row r="4563" spans="1:16" x14ac:dyDescent="0.2">
      <c r="A4563" s="12">
        <f t="shared" ref="A4563:C4563" si="1141">A4562</f>
        <v>45969</v>
      </c>
      <c r="B4563" s="5" t="str">
        <f t="shared" si="1141"/>
        <v>Northern Cardinal</v>
      </c>
      <c r="C4563" s="6">
        <f t="shared" si="1141"/>
        <v>0.73888888888888893</v>
      </c>
      <c r="D4563" s="5"/>
      <c r="E4563" s="5"/>
      <c r="F4563" s="5" t="str">
        <f t="shared" ref="F4563:G4563" si="1142">F4562</f>
        <v>None</v>
      </c>
      <c r="G4563" s="15" t="str">
        <f t="shared" si="1142"/>
        <v>None</v>
      </c>
      <c r="H4563" s="24">
        <f t="shared" si="961"/>
        <v>0</v>
      </c>
      <c r="I4563" s="24" cm="1">
        <f t="array" ref="I4563">IFERROR(IF($B4563=I$1, ($A4563+$C4563) - MAX(IF($B$2:$B4562=$B4563, $A$2:$A4562+$C$2:$C4562)), "")*24*60, "")</f>
        <v>0</v>
      </c>
      <c r="J4563" s="24" t="str" cm="1">
        <f t="array" ref="J4563">IFERROR(IF($B4563=J$1, ($A4563+$C4563) - MAX(IF($B$2:$B4562=$B4563, $A$2:$A4562+$C$2:$C4562)), "")*24*60, "")</f>
        <v/>
      </c>
      <c r="K4563" s="24" t="str" cm="1">
        <f t="array" ref="K4563">IFERROR(IF($B4563=K$1, ($A4563+$C4563) - MAX(IF($B$2:$B4562=$B4563, $A$2:$A4562+$C$2:$C4562)), "")*24*60, "")</f>
        <v/>
      </c>
      <c r="L4563" s="24" t="str" cm="1">
        <f t="array" ref="L4563">IFERROR(IF($B4563=L$1, ($A4563+$C4563) - MAX(IF($B$2:$B4562=$B4563, $A$2:$A4562+$C$2:$C4562)), "")*24*60, "")</f>
        <v/>
      </c>
      <c r="M4563" s="24" t="str" cm="1">
        <f t="array" ref="M4563">IFERROR(IF($B4563=M$1, ($A4563+$C4563) - MAX(IF($B$2:$B4562=$B4563, $A$2:$A4562+$C$2:$C4562)), "")*24*60, "")</f>
        <v/>
      </c>
      <c r="N4563" s="24" t="str" cm="1">
        <f t="array" ref="N4563">IFERROR(IF($B4563=N$1, ($A4563+$C4563) - MAX(IF($B$2:$B4562=$B4563, $A$2:$A4562+$C$2:$C4562)), "")*24*60, "")</f>
        <v/>
      </c>
      <c r="O4563" s="24" t="str" cm="1">
        <f t="array" ref="O4563">IFERROR(IF($B4563=O$1, ($A4563+$C4563) - MAX(IF($B$2:$B4562=$B4563, $A$2:$A4562+$C$2:$C4562)), "")*24*60, "")</f>
        <v/>
      </c>
      <c r="P4563" s="24" t="str" cm="1">
        <f t="array" ref="P4563">IFERROR(IF($B4563=P$1, ($A4563+$C4563) - MAX(IF($B$2:$B4562=$B4563, $A$2:$A4562+$C$2:$C4562)), "")*24*60, "")</f>
        <v/>
      </c>
    </row>
    <row r="4564" spans="1:16" x14ac:dyDescent="0.2">
      <c r="A4564" s="12">
        <f t="shared" ref="A4564:C4564" si="1143">A4563</f>
        <v>45969</v>
      </c>
      <c r="B4564" s="5" t="str">
        <f t="shared" si="1143"/>
        <v>Northern Cardinal</v>
      </c>
      <c r="C4564" s="6">
        <f t="shared" si="1143"/>
        <v>0.73888888888888893</v>
      </c>
      <c r="D4564" s="5"/>
      <c r="E4564" s="5"/>
      <c r="F4564" s="5" t="str">
        <f t="shared" ref="F4564:G4564" si="1144">F4563</f>
        <v>None</v>
      </c>
      <c r="G4564" s="15" t="str">
        <f t="shared" si="1144"/>
        <v>None</v>
      </c>
      <c r="H4564" s="24">
        <f t="shared" si="961"/>
        <v>0</v>
      </c>
      <c r="I4564" s="24" cm="1">
        <f t="array" ref="I4564">IFERROR(IF($B4564=I$1, ($A4564+$C4564) - MAX(IF($B$2:$B4563=$B4564, $A$2:$A4563+$C$2:$C4563)), "")*24*60, "")</f>
        <v>0</v>
      </c>
      <c r="J4564" s="24" t="str" cm="1">
        <f t="array" ref="J4564">IFERROR(IF($B4564=J$1, ($A4564+$C4564) - MAX(IF($B$2:$B4563=$B4564, $A$2:$A4563+$C$2:$C4563)), "")*24*60, "")</f>
        <v/>
      </c>
      <c r="K4564" s="24" t="str" cm="1">
        <f t="array" ref="K4564">IFERROR(IF($B4564=K$1, ($A4564+$C4564) - MAX(IF($B$2:$B4563=$B4564, $A$2:$A4563+$C$2:$C4563)), "")*24*60, "")</f>
        <v/>
      </c>
      <c r="L4564" s="24" t="str" cm="1">
        <f t="array" ref="L4564">IFERROR(IF($B4564=L$1, ($A4564+$C4564) - MAX(IF($B$2:$B4563=$B4564, $A$2:$A4563+$C$2:$C4563)), "")*24*60, "")</f>
        <v/>
      </c>
      <c r="M4564" s="24" t="str" cm="1">
        <f t="array" ref="M4564">IFERROR(IF($B4564=M$1, ($A4564+$C4564) - MAX(IF($B$2:$B4563=$B4564, $A$2:$A4563+$C$2:$C4563)), "")*24*60, "")</f>
        <v/>
      </c>
      <c r="N4564" s="24" t="str" cm="1">
        <f t="array" ref="N4564">IFERROR(IF($B4564=N$1, ($A4564+$C4564) - MAX(IF($B$2:$B4563=$B4564, $A$2:$A4563+$C$2:$C4563)), "")*24*60, "")</f>
        <v/>
      </c>
      <c r="O4564" s="24" t="str" cm="1">
        <f t="array" ref="O4564">IFERROR(IF($B4564=O$1, ($A4564+$C4564) - MAX(IF($B$2:$B4563=$B4564, $A$2:$A4563+$C$2:$C4563)), "")*24*60, "")</f>
        <v/>
      </c>
      <c r="P4564" s="24" t="str" cm="1">
        <f t="array" ref="P4564">IFERROR(IF($B4564=P$1, ($A4564+$C4564) - MAX(IF($B$2:$B4563=$B4564, $A$2:$A4563+$C$2:$C4563)), "")*24*60, "")</f>
        <v/>
      </c>
    </row>
    <row r="4565" spans="1:16" x14ac:dyDescent="0.2">
      <c r="A4565" s="12">
        <f t="shared" ref="A4565:C4565" si="1145">A4564</f>
        <v>45969</v>
      </c>
      <c r="B4565" s="5" t="str">
        <f t="shared" si="1145"/>
        <v>Northern Cardinal</v>
      </c>
      <c r="C4565" s="6">
        <f t="shared" si="1145"/>
        <v>0.73888888888888893</v>
      </c>
      <c r="D4565" s="5"/>
      <c r="E4565" s="5"/>
      <c r="F4565" s="5" t="str">
        <f t="shared" ref="F4565:G4565" si="1146">F4564</f>
        <v>None</v>
      </c>
      <c r="G4565" s="15" t="str">
        <f t="shared" si="1146"/>
        <v>None</v>
      </c>
      <c r="H4565" s="24">
        <f t="shared" si="961"/>
        <v>0</v>
      </c>
      <c r="I4565" s="24" cm="1">
        <f t="array" ref="I4565">IFERROR(IF($B4565=I$1, ($A4565+$C4565) - MAX(IF($B$2:$B4564=$B4565, $A$2:$A4564+$C$2:$C4564)), "")*24*60, "")</f>
        <v>0</v>
      </c>
      <c r="J4565" s="24" t="str" cm="1">
        <f t="array" ref="J4565">IFERROR(IF($B4565=J$1, ($A4565+$C4565) - MAX(IF($B$2:$B4564=$B4565, $A$2:$A4564+$C$2:$C4564)), "")*24*60, "")</f>
        <v/>
      </c>
      <c r="K4565" s="24" t="str" cm="1">
        <f t="array" ref="K4565">IFERROR(IF($B4565=K$1, ($A4565+$C4565) - MAX(IF($B$2:$B4564=$B4565, $A$2:$A4564+$C$2:$C4564)), "")*24*60, "")</f>
        <v/>
      </c>
      <c r="L4565" s="24" t="str" cm="1">
        <f t="array" ref="L4565">IFERROR(IF($B4565=L$1, ($A4565+$C4565) - MAX(IF($B$2:$B4564=$B4565, $A$2:$A4564+$C$2:$C4564)), "")*24*60, "")</f>
        <v/>
      </c>
      <c r="M4565" s="24" t="str" cm="1">
        <f t="array" ref="M4565">IFERROR(IF($B4565=M$1, ($A4565+$C4565) - MAX(IF($B$2:$B4564=$B4565, $A$2:$A4564+$C$2:$C4564)), "")*24*60, "")</f>
        <v/>
      </c>
      <c r="N4565" s="24" t="str" cm="1">
        <f t="array" ref="N4565">IFERROR(IF($B4565=N$1, ($A4565+$C4565) - MAX(IF($B$2:$B4564=$B4565, $A$2:$A4564+$C$2:$C4564)), "")*24*60, "")</f>
        <v/>
      </c>
      <c r="O4565" s="24" t="str" cm="1">
        <f t="array" ref="O4565">IFERROR(IF($B4565=O$1, ($A4565+$C4565) - MAX(IF($B$2:$B4564=$B4565, $A$2:$A4564+$C$2:$C4564)), "")*24*60, "")</f>
        <v/>
      </c>
      <c r="P4565" s="24" t="str" cm="1">
        <f t="array" ref="P4565">IFERROR(IF($B4565=P$1, ($A4565+$C4565) - MAX(IF($B$2:$B4564=$B4565, $A$2:$A4564+$C$2:$C4564)), "")*24*60, "")</f>
        <v/>
      </c>
    </row>
    <row r="4566" spans="1:16" x14ac:dyDescent="0.2">
      <c r="A4566" s="12">
        <f t="shared" ref="A4566:C4566" si="1147">A4565</f>
        <v>45969</v>
      </c>
      <c r="B4566" s="5" t="str">
        <f t="shared" si="1147"/>
        <v>Northern Cardinal</v>
      </c>
      <c r="C4566" s="6">
        <f t="shared" si="1147"/>
        <v>0.73888888888888893</v>
      </c>
      <c r="D4566" s="5"/>
      <c r="E4566" s="5"/>
      <c r="F4566" s="5" t="str">
        <f t="shared" ref="F4566:G4566" si="1148">F4565</f>
        <v>None</v>
      </c>
      <c r="G4566" s="15" t="str">
        <f t="shared" si="1148"/>
        <v>None</v>
      </c>
      <c r="H4566" s="24">
        <f t="shared" si="961"/>
        <v>0</v>
      </c>
      <c r="I4566" s="24" cm="1">
        <f t="array" ref="I4566">IFERROR(IF($B4566=I$1, ($A4566+$C4566) - MAX(IF($B$2:$B4565=$B4566, $A$2:$A4565+$C$2:$C4565)), "")*24*60, "")</f>
        <v>0</v>
      </c>
      <c r="J4566" s="24" t="str" cm="1">
        <f t="array" ref="J4566">IFERROR(IF($B4566=J$1, ($A4566+$C4566) - MAX(IF($B$2:$B4565=$B4566, $A$2:$A4565+$C$2:$C4565)), "")*24*60, "")</f>
        <v/>
      </c>
      <c r="K4566" s="24" t="str" cm="1">
        <f t="array" ref="K4566">IFERROR(IF($B4566=K$1, ($A4566+$C4566) - MAX(IF($B$2:$B4565=$B4566, $A$2:$A4565+$C$2:$C4565)), "")*24*60, "")</f>
        <v/>
      </c>
      <c r="L4566" s="24" t="str" cm="1">
        <f t="array" ref="L4566">IFERROR(IF($B4566=L$1, ($A4566+$C4566) - MAX(IF($B$2:$B4565=$B4566, $A$2:$A4565+$C$2:$C4565)), "")*24*60, "")</f>
        <v/>
      </c>
      <c r="M4566" s="24" t="str" cm="1">
        <f t="array" ref="M4566">IFERROR(IF($B4566=M$1, ($A4566+$C4566) - MAX(IF($B$2:$B4565=$B4566, $A$2:$A4565+$C$2:$C4565)), "")*24*60, "")</f>
        <v/>
      </c>
      <c r="N4566" s="24" t="str" cm="1">
        <f t="array" ref="N4566">IFERROR(IF($B4566=N$1, ($A4566+$C4566) - MAX(IF($B$2:$B4565=$B4566, $A$2:$A4565+$C$2:$C4565)), "")*24*60, "")</f>
        <v/>
      </c>
      <c r="O4566" s="24" t="str" cm="1">
        <f t="array" ref="O4566">IFERROR(IF($B4566=O$1, ($A4566+$C4566) - MAX(IF($B$2:$B4565=$B4566, $A$2:$A4565+$C$2:$C4565)), "")*24*60, "")</f>
        <v/>
      </c>
      <c r="P4566" s="24" t="str" cm="1">
        <f t="array" ref="P4566">IFERROR(IF($B4566=P$1, ($A4566+$C4566) - MAX(IF($B$2:$B4565=$B4566, $A$2:$A4565+$C$2:$C4565)), "")*24*60, "")</f>
        <v/>
      </c>
    </row>
    <row r="4567" spans="1:16" x14ac:dyDescent="0.2">
      <c r="A4567" s="12">
        <f t="shared" ref="A4567:C4567" si="1149">A4566</f>
        <v>45969</v>
      </c>
      <c r="B4567" s="5" t="str">
        <f t="shared" si="1149"/>
        <v>Northern Cardinal</v>
      </c>
      <c r="C4567" s="6">
        <f t="shared" si="1149"/>
        <v>0.73888888888888893</v>
      </c>
      <c r="D4567" s="5"/>
      <c r="E4567" s="5"/>
      <c r="F4567" s="5" t="str">
        <f t="shared" ref="F4567:G4567" si="1150">F4566</f>
        <v>None</v>
      </c>
      <c r="G4567" s="15" t="str">
        <f t="shared" si="1150"/>
        <v>None</v>
      </c>
      <c r="H4567" s="24">
        <f t="shared" si="961"/>
        <v>0</v>
      </c>
      <c r="I4567" s="24" cm="1">
        <f t="array" ref="I4567">IFERROR(IF($B4567=I$1, ($A4567+$C4567) - MAX(IF($B$2:$B4566=$B4567, $A$2:$A4566+$C$2:$C4566)), "")*24*60, "")</f>
        <v>0</v>
      </c>
      <c r="J4567" s="24" t="str" cm="1">
        <f t="array" ref="J4567">IFERROR(IF($B4567=J$1, ($A4567+$C4567) - MAX(IF($B$2:$B4566=$B4567, $A$2:$A4566+$C$2:$C4566)), "")*24*60, "")</f>
        <v/>
      </c>
      <c r="K4567" s="24" t="str" cm="1">
        <f t="array" ref="K4567">IFERROR(IF($B4567=K$1, ($A4567+$C4567) - MAX(IF($B$2:$B4566=$B4567, $A$2:$A4566+$C$2:$C4566)), "")*24*60, "")</f>
        <v/>
      </c>
      <c r="L4567" s="24" t="str" cm="1">
        <f t="array" ref="L4567">IFERROR(IF($B4567=L$1, ($A4567+$C4567) - MAX(IF($B$2:$B4566=$B4567, $A$2:$A4566+$C$2:$C4566)), "")*24*60, "")</f>
        <v/>
      </c>
      <c r="M4567" s="24" t="str" cm="1">
        <f t="array" ref="M4567">IFERROR(IF($B4567=M$1, ($A4567+$C4567) - MAX(IF($B$2:$B4566=$B4567, $A$2:$A4566+$C$2:$C4566)), "")*24*60, "")</f>
        <v/>
      </c>
      <c r="N4567" s="24" t="str" cm="1">
        <f t="array" ref="N4567">IFERROR(IF($B4567=N$1, ($A4567+$C4567) - MAX(IF($B$2:$B4566=$B4567, $A$2:$A4566+$C$2:$C4566)), "")*24*60, "")</f>
        <v/>
      </c>
      <c r="O4567" s="24" t="str" cm="1">
        <f t="array" ref="O4567">IFERROR(IF($B4567=O$1, ($A4567+$C4567) - MAX(IF($B$2:$B4566=$B4567, $A$2:$A4566+$C$2:$C4566)), "")*24*60, "")</f>
        <v/>
      </c>
      <c r="P4567" s="24" t="str" cm="1">
        <f t="array" ref="P4567">IFERROR(IF($B4567=P$1, ($A4567+$C4567) - MAX(IF($B$2:$B4566=$B4567, $A$2:$A4566+$C$2:$C4566)), "")*24*60, "")</f>
        <v/>
      </c>
    </row>
    <row r="4568" spans="1:16" x14ac:dyDescent="0.2">
      <c r="A4568" s="12">
        <f t="shared" ref="A4568:C4568" si="1151">A4567</f>
        <v>45969</v>
      </c>
      <c r="B4568" s="5" t="str">
        <f t="shared" si="1151"/>
        <v>Northern Cardinal</v>
      </c>
      <c r="C4568" s="6">
        <f t="shared" si="1151"/>
        <v>0.73888888888888893</v>
      </c>
      <c r="D4568" s="5"/>
      <c r="E4568" s="5"/>
      <c r="F4568" s="5" t="str">
        <f t="shared" ref="F4568:G4568" si="1152">F4567</f>
        <v>None</v>
      </c>
      <c r="G4568" s="15" t="str">
        <f t="shared" si="1152"/>
        <v>None</v>
      </c>
      <c r="H4568" s="24">
        <f t="shared" si="961"/>
        <v>0</v>
      </c>
      <c r="I4568" s="24" cm="1">
        <f t="array" ref="I4568">IFERROR(IF($B4568=I$1, ($A4568+$C4568) - MAX(IF($B$2:$B4567=$B4568, $A$2:$A4567+$C$2:$C4567)), "")*24*60, "")</f>
        <v>0</v>
      </c>
      <c r="J4568" s="24" t="str" cm="1">
        <f t="array" ref="J4568">IFERROR(IF($B4568=J$1, ($A4568+$C4568) - MAX(IF($B$2:$B4567=$B4568, $A$2:$A4567+$C$2:$C4567)), "")*24*60, "")</f>
        <v/>
      </c>
      <c r="K4568" s="24" t="str" cm="1">
        <f t="array" ref="K4568">IFERROR(IF($B4568=K$1, ($A4568+$C4568) - MAX(IF($B$2:$B4567=$B4568, $A$2:$A4567+$C$2:$C4567)), "")*24*60, "")</f>
        <v/>
      </c>
      <c r="L4568" s="24" t="str" cm="1">
        <f t="array" ref="L4568">IFERROR(IF($B4568=L$1, ($A4568+$C4568) - MAX(IF($B$2:$B4567=$B4568, $A$2:$A4567+$C$2:$C4567)), "")*24*60, "")</f>
        <v/>
      </c>
      <c r="M4568" s="24" t="str" cm="1">
        <f t="array" ref="M4568">IFERROR(IF($B4568=M$1, ($A4568+$C4568) - MAX(IF($B$2:$B4567=$B4568, $A$2:$A4567+$C$2:$C4567)), "")*24*60, "")</f>
        <v/>
      </c>
      <c r="N4568" s="24" t="str" cm="1">
        <f t="array" ref="N4568">IFERROR(IF($B4568=N$1, ($A4568+$C4568) - MAX(IF($B$2:$B4567=$B4568, $A$2:$A4567+$C$2:$C4567)), "")*24*60, "")</f>
        <v/>
      </c>
      <c r="O4568" s="24" t="str" cm="1">
        <f t="array" ref="O4568">IFERROR(IF($B4568=O$1, ($A4568+$C4568) - MAX(IF($B$2:$B4567=$B4568, $A$2:$A4567+$C$2:$C4567)), "")*24*60, "")</f>
        <v/>
      </c>
      <c r="P4568" s="24" t="str" cm="1">
        <f t="array" ref="P4568">IFERROR(IF($B4568=P$1, ($A4568+$C4568) - MAX(IF($B$2:$B4567=$B4568, $A$2:$A4567+$C$2:$C4567)), "")*24*60, "")</f>
        <v/>
      </c>
    </row>
    <row r="4569" spans="1:16" x14ac:dyDescent="0.2">
      <c r="A4569" s="12">
        <f t="shared" ref="A4569:C4569" si="1153">A4568</f>
        <v>45969</v>
      </c>
      <c r="B4569" s="5" t="str">
        <f t="shared" si="1153"/>
        <v>Northern Cardinal</v>
      </c>
      <c r="C4569" s="6">
        <f t="shared" si="1153"/>
        <v>0.73888888888888893</v>
      </c>
      <c r="D4569" s="5"/>
      <c r="E4569" s="5"/>
      <c r="F4569" s="5" t="str">
        <f t="shared" ref="F4569:G4569" si="1154">F4568</f>
        <v>None</v>
      </c>
      <c r="G4569" s="15" t="str">
        <f t="shared" si="1154"/>
        <v>None</v>
      </c>
      <c r="H4569" s="24">
        <f t="shared" si="961"/>
        <v>0</v>
      </c>
      <c r="I4569" s="24" cm="1">
        <f t="array" ref="I4569">IFERROR(IF($B4569=I$1, ($A4569+$C4569) - MAX(IF($B$2:$B4568=$B4569, $A$2:$A4568+$C$2:$C4568)), "")*24*60, "")</f>
        <v>0</v>
      </c>
      <c r="J4569" s="24" t="str" cm="1">
        <f t="array" ref="J4569">IFERROR(IF($B4569=J$1, ($A4569+$C4569) - MAX(IF($B$2:$B4568=$B4569, $A$2:$A4568+$C$2:$C4568)), "")*24*60, "")</f>
        <v/>
      </c>
      <c r="K4569" s="24" t="str" cm="1">
        <f t="array" ref="K4569">IFERROR(IF($B4569=K$1, ($A4569+$C4569) - MAX(IF($B$2:$B4568=$B4569, $A$2:$A4568+$C$2:$C4568)), "")*24*60, "")</f>
        <v/>
      </c>
      <c r="L4569" s="24" t="str" cm="1">
        <f t="array" ref="L4569">IFERROR(IF($B4569=L$1, ($A4569+$C4569) - MAX(IF($B$2:$B4568=$B4569, $A$2:$A4568+$C$2:$C4568)), "")*24*60, "")</f>
        <v/>
      </c>
      <c r="M4569" s="24" t="str" cm="1">
        <f t="array" ref="M4569">IFERROR(IF($B4569=M$1, ($A4569+$C4569) - MAX(IF($B$2:$B4568=$B4569, $A$2:$A4568+$C$2:$C4568)), "")*24*60, "")</f>
        <v/>
      </c>
      <c r="N4569" s="24" t="str" cm="1">
        <f t="array" ref="N4569">IFERROR(IF($B4569=N$1, ($A4569+$C4569) - MAX(IF($B$2:$B4568=$B4569, $A$2:$A4568+$C$2:$C4568)), "")*24*60, "")</f>
        <v/>
      </c>
      <c r="O4569" s="24" t="str" cm="1">
        <f t="array" ref="O4569">IFERROR(IF($B4569=O$1, ($A4569+$C4569) - MAX(IF($B$2:$B4568=$B4569, $A$2:$A4568+$C$2:$C4568)), "")*24*60, "")</f>
        <v/>
      </c>
      <c r="P4569" s="24" t="str" cm="1">
        <f t="array" ref="P4569">IFERROR(IF($B4569=P$1, ($A4569+$C4569) - MAX(IF($B$2:$B4568=$B4569, $A$2:$A4568+$C$2:$C4568)), "")*24*60, "")</f>
        <v/>
      </c>
    </row>
    <row r="4570" spans="1:16" x14ac:dyDescent="0.2">
      <c r="A4570" s="12">
        <f t="shared" ref="A4570:C4570" si="1155">A4569</f>
        <v>45969</v>
      </c>
      <c r="B4570" s="5" t="str">
        <f t="shared" si="1155"/>
        <v>Northern Cardinal</v>
      </c>
      <c r="C4570" s="6">
        <f t="shared" si="1155"/>
        <v>0.73888888888888893</v>
      </c>
      <c r="D4570" s="5"/>
      <c r="E4570" s="5"/>
      <c r="F4570" s="5" t="str">
        <f t="shared" ref="F4570:G4570" si="1156">F4569</f>
        <v>None</v>
      </c>
      <c r="G4570" s="15" t="str">
        <f t="shared" si="1156"/>
        <v>None</v>
      </c>
      <c r="H4570" s="24">
        <f t="shared" si="961"/>
        <v>0</v>
      </c>
      <c r="I4570" s="24" cm="1">
        <f t="array" ref="I4570">IFERROR(IF($B4570=I$1, ($A4570+$C4570) - MAX(IF($B$2:$B4569=$B4570, $A$2:$A4569+$C$2:$C4569)), "")*24*60, "")</f>
        <v>0</v>
      </c>
      <c r="J4570" s="24" t="str" cm="1">
        <f t="array" ref="J4570">IFERROR(IF($B4570=J$1, ($A4570+$C4570) - MAX(IF($B$2:$B4569=$B4570, $A$2:$A4569+$C$2:$C4569)), "")*24*60, "")</f>
        <v/>
      </c>
      <c r="K4570" s="24" t="str" cm="1">
        <f t="array" ref="K4570">IFERROR(IF($B4570=K$1, ($A4570+$C4570) - MAX(IF($B$2:$B4569=$B4570, $A$2:$A4569+$C$2:$C4569)), "")*24*60, "")</f>
        <v/>
      </c>
      <c r="L4570" s="24" t="str" cm="1">
        <f t="array" ref="L4570">IFERROR(IF($B4570=L$1, ($A4570+$C4570) - MAX(IF($B$2:$B4569=$B4570, $A$2:$A4569+$C$2:$C4569)), "")*24*60, "")</f>
        <v/>
      </c>
      <c r="M4570" s="24" t="str" cm="1">
        <f t="array" ref="M4570">IFERROR(IF($B4570=M$1, ($A4570+$C4570) - MAX(IF($B$2:$B4569=$B4570, $A$2:$A4569+$C$2:$C4569)), "")*24*60, "")</f>
        <v/>
      </c>
      <c r="N4570" s="24" t="str" cm="1">
        <f t="array" ref="N4570">IFERROR(IF($B4570=N$1, ($A4570+$C4570) - MAX(IF($B$2:$B4569=$B4570, $A$2:$A4569+$C$2:$C4569)), "")*24*60, "")</f>
        <v/>
      </c>
      <c r="O4570" s="24" t="str" cm="1">
        <f t="array" ref="O4570">IFERROR(IF($B4570=O$1, ($A4570+$C4570) - MAX(IF($B$2:$B4569=$B4570, $A$2:$A4569+$C$2:$C4569)), "")*24*60, "")</f>
        <v/>
      </c>
      <c r="P4570" s="24" t="str" cm="1">
        <f t="array" ref="P4570">IFERROR(IF($B4570=P$1, ($A4570+$C4570) - MAX(IF($B$2:$B4569=$B4570, $A$2:$A4569+$C$2:$C4569)), "")*24*60, "")</f>
        <v/>
      </c>
    </row>
    <row r="4571" spans="1:16" x14ac:dyDescent="0.2">
      <c r="A4571" s="12">
        <f t="shared" ref="A4571:C4571" si="1157">A4570</f>
        <v>45969</v>
      </c>
      <c r="B4571" s="5" t="str">
        <f t="shared" si="1157"/>
        <v>Northern Cardinal</v>
      </c>
      <c r="C4571" s="6">
        <f t="shared" si="1157"/>
        <v>0.73888888888888893</v>
      </c>
      <c r="D4571" s="5"/>
      <c r="E4571" s="5"/>
      <c r="F4571" s="5" t="str">
        <f t="shared" ref="F4571:G4571" si="1158">F4570</f>
        <v>None</v>
      </c>
      <c r="G4571" s="15" t="str">
        <f t="shared" si="1158"/>
        <v>None</v>
      </c>
      <c r="H4571" s="24">
        <f t="shared" si="961"/>
        <v>0</v>
      </c>
      <c r="I4571" s="24" cm="1">
        <f t="array" ref="I4571">IFERROR(IF($B4571=I$1, ($A4571+$C4571) - MAX(IF($B$2:$B4570=$B4571, $A$2:$A4570+$C$2:$C4570)), "")*24*60, "")</f>
        <v>0</v>
      </c>
      <c r="J4571" s="24" t="str" cm="1">
        <f t="array" ref="J4571">IFERROR(IF($B4571=J$1, ($A4571+$C4571) - MAX(IF($B$2:$B4570=$B4571, $A$2:$A4570+$C$2:$C4570)), "")*24*60, "")</f>
        <v/>
      </c>
      <c r="K4571" s="24" t="str" cm="1">
        <f t="array" ref="K4571">IFERROR(IF($B4571=K$1, ($A4571+$C4571) - MAX(IF($B$2:$B4570=$B4571, $A$2:$A4570+$C$2:$C4570)), "")*24*60, "")</f>
        <v/>
      </c>
      <c r="L4571" s="24" t="str" cm="1">
        <f t="array" ref="L4571">IFERROR(IF($B4571=L$1, ($A4571+$C4571) - MAX(IF($B$2:$B4570=$B4571, $A$2:$A4570+$C$2:$C4570)), "")*24*60, "")</f>
        <v/>
      </c>
      <c r="M4571" s="24" t="str" cm="1">
        <f t="array" ref="M4571">IFERROR(IF($B4571=M$1, ($A4571+$C4571) - MAX(IF($B$2:$B4570=$B4571, $A$2:$A4570+$C$2:$C4570)), "")*24*60, "")</f>
        <v/>
      </c>
      <c r="N4571" s="24" t="str" cm="1">
        <f t="array" ref="N4571">IFERROR(IF($B4571=N$1, ($A4571+$C4571) - MAX(IF($B$2:$B4570=$B4571, $A$2:$A4570+$C$2:$C4570)), "")*24*60, "")</f>
        <v/>
      </c>
      <c r="O4571" s="24" t="str" cm="1">
        <f t="array" ref="O4571">IFERROR(IF($B4571=O$1, ($A4571+$C4571) - MAX(IF($B$2:$B4570=$B4571, $A$2:$A4570+$C$2:$C4570)), "")*24*60, "")</f>
        <v/>
      </c>
      <c r="P4571" s="24" t="str" cm="1">
        <f t="array" ref="P4571">IFERROR(IF($B4571=P$1, ($A4571+$C4571) - MAX(IF($B$2:$B4570=$B4571, $A$2:$A4570+$C$2:$C4570)), "")*24*60, "")</f>
        <v/>
      </c>
    </row>
    <row r="4572" spans="1:16" x14ac:dyDescent="0.2">
      <c r="A4572" s="12">
        <f t="shared" ref="A4572:C4572" si="1159">A4571</f>
        <v>45969</v>
      </c>
      <c r="B4572" s="5" t="str">
        <f t="shared" si="1159"/>
        <v>Northern Cardinal</v>
      </c>
      <c r="C4572" s="6">
        <f t="shared" si="1159"/>
        <v>0.73888888888888893</v>
      </c>
      <c r="D4572" s="5"/>
      <c r="E4572" s="5"/>
      <c r="F4572" s="5" t="str">
        <f t="shared" ref="F4572:G4572" si="1160">F4571</f>
        <v>None</v>
      </c>
      <c r="G4572" s="15" t="str">
        <f t="shared" si="1160"/>
        <v>None</v>
      </c>
      <c r="H4572" s="24">
        <f t="shared" si="961"/>
        <v>0</v>
      </c>
      <c r="I4572" s="24" cm="1">
        <f t="array" ref="I4572">IFERROR(IF($B4572=I$1, ($A4572+$C4572) - MAX(IF($B$2:$B4571=$B4572, $A$2:$A4571+$C$2:$C4571)), "")*24*60, "")</f>
        <v>0</v>
      </c>
      <c r="J4572" s="24" t="str" cm="1">
        <f t="array" ref="J4572">IFERROR(IF($B4572=J$1, ($A4572+$C4572) - MAX(IF($B$2:$B4571=$B4572, $A$2:$A4571+$C$2:$C4571)), "")*24*60, "")</f>
        <v/>
      </c>
      <c r="K4572" s="24" t="str" cm="1">
        <f t="array" ref="K4572">IFERROR(IF($B4572=K$1, ($A4572+$C4572) - MAX(IF($B$2:$B4571=$B4572, $A$2:$A4571+$C$2:$C4571)), "")*24*60, "")</f>
        <v/>
      </c>
      <c r="L4572" s="24" t="str" cm="1">
        <f t="array" ref="L4572">IFERROR(IF($B4572=L$1, ($A4572+$C4572) - MAX(IF($B$2:$B4571=$B4572, $A$2:$A4571+$C$2:$C4571)), "")*24*60, "")</f>
        <v/>
      </c>
      <c r="M4572" s="24" t="str" cm="1">
        <f t="array" ref="M4572">IFERROR(IF($B4572=M$1, ($A4572+$C4572) - MAX(IF($B$2:$B4571=$B4572, $A$2:$A4571+$C$2:$C4571)), "")*24*60, "")</f>
        <v/>
      </c>
      <c r="N4572" s="24" t="str" cm="1">
        <f t="array" ref="N4572">IFERROR(IF($B4572=N$1, ($A4572+$C4572) - MAX(IF($B$2:$B4571=$B4572, $A$2:$A4571+$C$2:$C4571)), "")*24*60, "")</f>
        <v/>
      </c>
      <c r="O4572" s="24" t="str" cm="1">
        <f t="array" ref="O4572">IFERROR(IF($B4572=O$1, ($A4572+$C4572) - MAX(IF($B$2:$B4571=$B4572, $A$2:$A4571+$C$2:$C4571)), "")*24*60, "")</f>
        <v/>
      </c>
      <c r="P4572" s="24" t="str" cm="1">
        <f t="array" ref="P4572">IFERROR(IF($B4572=P$1, ($A4572+$C4572) - MAX(IF($B$2:$B4571=$B4572, $A$2:$A4571+$C$2:$C4571)), "")*24*60, "")</f>
        <v/>
      </c>
    </row>
    <row r="4573" spans="1:16" x14ac:dyDescent="0.2">
      <c r="A4573" s="12">
        <f t="shared" ref="A4573:C4573" si="1161">A4572</f>
        <v>45969</v>
      </c>
      <c r="B4573" s="5" t="str">
        <f t="shared" si="1161"/>
        <v>Northern Cardinal</v>
      </c>
      <c r="C4573" s="6">
        <f t="shared" si="1161"/>
        <v>0.73888888888888893</v>
      </c>
      <c r="D4573" s="5"/>
      <c r="E4573" s="5"/>
      <c r="F4573" s="5" t="str">
        <f t="shared" ref="F4573:G4573" si="1162">F4572</f>
        <v>None</v>
      </c>
      <c r="G4573" s="15" t="str">
        <f t="shared" si="1162"/>
        <v>None</v>
      </c>
      <c r="H4573" s="24">
        <f t="shared" si="961"/>
        <v>0</v>
      </c>
      <c r="I4573" s="24" cm="1">
        <f t="array" ref="I4573">IFERROR(IF($B4573=I$1, ($A4573+$C4573) - MAX(IF($B$2:$B4572=$B4573, $A$2:$A4572+$C$2:$C4572)), "")*24*60, "")</f>
        <v>0</v>
      </c>
      <c r="J4573" s="24" t="str" cm="1">
        <f t="array" ref="J4573">IFERROR(IF($B4573=J$1, ($A4573+$C4573) - MAX(IF($B$2:$B4572=$B4573, $A$2:$A4572+$C$2:$C4572)), "")*24*60, "")</f>
        <v/>
      </c>
      <c r="K4573" s="24" t="str" cm="1">
        <f t="array" ref="K4573">IFERROR(IF($B4573=K$1, ($A4573+$C4573) - MAX(IF($B$2:$B4572=$B4573, $A$2:$A4572+$C$2:$C4572)), "")*24*60, "")</f>
        <v/>
      </c>
      <c r="L4573" s="24" t="str" cm="1">
        <f t="array" ref="L4573">IFERROR(IF($B4573=L$1, ($A4573+$C4573) - MAX(IF($B$2:$B4572=$B4573, $A$2:$A4572+$C$2:$C4572)), "")*24*60, "")</f>
        <v/>
      </c>
      <c r="M4573" s="24" t="str" cm="1">
        <f t="array" ref="M4573">IFERROR(IF($B4573=M$1, ($A4573+$C4573) - MAX(IF($B$2:$B4572=$B4573, $A$2:$A4572+$C$2:$C4572)), "")*24*60, "")</f>
        <v/>
      </c>
      <c r="N4573" s="24" t="str" cm="1">
        <f t="array" ref="N4573">IFERROR(IF($B4573=N$1, ($A4573+$C4573) - MAX(IF($B$2:$B4572=$B4573, $A$2:$A4572+$C$2:$C4572)), "")*24*60, "")</f>
        <v/>
      </c>
      <c r="O4573" s="24" t="str" cm="1">
        <f t="array" ref="O4573">IFERROR(IF($B4573=O$1, ($A4573+$C4573) - MAX(IF($B$2:$B4572=$B4573, $A$2:$A4572+$C$2:$C4572)), "")*24*60, "")</f>
        <v/>
      </c>
      <c r="P4573" s="24" t="str" cm="1">
        <f t="array" ref="P4573">IFERROR(IF($B4573=P$1, ($A4573+$C4573) - MAX(IF($B$2:$B4572=$B4573, $A$2:$A4572+$C$2:$C4572)), "")*24*60, "")</f>
        <v/>
      </c>
    </row>
    <row r="4574" spans="1:16" x14ac:dyDescent="0.2">
      <c r="A4574" s="12">
        <f t="shared" ref="A4574:C4574" si="1163">A4573</f>
        <v>45969</v>
      </c>
      <c r="B4574" s="5" t="str">
        <f t="shared" si="1163"/>
        <v>Northern Cardinal</v>
      </c>
      <c r="C4574" s="6">
        <f t="shared" si="1163"/>
        <v>0.73888888888888893</v>
      </c>
      <c r="D4574" s="5"/>
      <c r="E4574" s="5"/>
      <c r="F4574" s="5" t="str">
        <f t="shared" ref="F4574:G4574" si="1164">F4573</f>
        <v>None</v>
      </c>
      <c r="G4574" s="15" t="str">
        <f t="shared" si="1164"/>
        <v>None</v>
      </c>
      <c r="H4574" s="24">
        <f t="shared" si="961"/>
        <v>0</v>
      </c>
      <c r="I4574" s="24" cm="1">
        <f t="array" ref="I4574">IFERROR(IF($B4574=I$1, ($A4574+$C4574) - MAX(IF($B$2:$B4573=$B4574, $A$2:$A4573+$C$2:$C4573)), "")*24*60, "")</f>
        <v>0</v>
      </c>
      <c r="J4574" s="24" t="str" cm="1">
        <f t="array" ref="J4574">IFERROR(IF($B4574=J$1, ($A4574+$C4574) - MAX(IF($B$2:$B4573=$B4574, $A$2:$A4573+$C$2:$C4573)), "")*24*60, "")</f>
        <v/>
      </c>
      <c r="K4574" s="24" t="str" cm="1">
        <f t="array" ref="K4574">IFERROR(IF($B4574=K$1, ($A4574+$C4574) - MAX(IF($B$2:$B4573=$B4574, $A$2:$A4573+$C$2:$C4573)), "")*24*60, "")</f>
        <v/>
      </c>
      <c r="L4574" s="24" t="str" cm="1">
        <f t="array" ref="L4574">IFERROR(IF($B4574=L$1, ($A4574+$C4574) - MAX(IF($B$2:$B4573=$B4574, $A$2:$A4573+$C$2:$C4573)), "")*24*60, "")</f>
        <v/>
      </c>
      <c r="M4574" s="24" t="str" cm="1">
        <f t="array" ref="M4574">IFERROR(IF($B4574=M$1, ($A4574+$C4574) - MAX(IF($B$2:$B4573=$B4574, $A$2:$A4573+$C$2:$C4573)), "")*24*60, "")</f>
        <v/>
      </c>
      <c r="N4574" s="24" t="str" cm="1">
        <f t="array" ref="N4574">IFERROR(IF($B4574=N$1, ($A4574+$C4574) - MAX(IF($B$2:$B4573=$B4574, $A$2:$A4573+$C$2:$C4573)), "")*24*60, "")</f>
        <v/>
      </c>
      <c r="O4574" s="24" t="str" cm="1">
        <f t="array" ref="O4574">IFERROR(IF($B4574=O$1, ($A4574+$C4574) - MAX(IF($B$2:$B4573=$B4574, $A$2:$A4573+$C$2:$C4573)), "")*24*60, "")</f>
        <v/>
      </c>
      <c r="P4574" s="24" t="str" cm="1">
        <f t="array" ref="P4574">IFERROR(IF($B4574=P$1, ($A4574+$C4574) - MAX(IF($B$2:$B4573=$B4574, $A$2:$A4573+$C$2:$C4573)), "")*24*60, "")</f>
        <v/>
      </c>
    </row>
    <row r="4575" spans="1:16" x14ac:dyDescent="0.2">
      <c r="A4575" s="12">
        <f t="shared" ref="A4575:C4575" si="1165">A4574</f>
        <v>45969</v>
      </c>
      <c r="B4575" s="5" t="str">
        <f t="shared" si="1165"/>
        <v>Northern Cardinal</v>
      </c>
      <c r="C4575" s="6">
        <f t="shared" si="1165"/>
        <v>0.73888888888888893</v>
      </c>
      <c r="D4575" s="5"/>
      <c r="E4575" s="5"/>
      <c r="F4575" s="5" t="str">
        <f t="shared" ref="F4575:G4575" si="1166">F4574</f>
        <v>None</v>
      </c>
      <c r="G4575" s="15" t="str">
        <f t="shared" si="1166"/>
        <v>None</v>
      </c>
      <c r="H4575" s="24">
        <f t="shared" si="961"/>
        <v>0</v>
      </c>
      <c r="I4575" s="24" cm="1">
        <f t="array" ref="I4575">IFERROR(IF($B4575=I$1, ($A4575+$C4575) - MAX(IF($B$2:$B4574=$B4575, $A$2:$A4574+$C$2:$C4574)), "")*24*60, "")</f>
        <v>0</v>
      </c>
      <c r="J4575" s="24" t="str" cm="1">
        <f t="array" ref="J4575">IFERROR(IF($B4575=J$1, ($A4575+$C4575) - MAX(IF($B$2:$B4574=$B4575, $A$2:$A4574+$C$2:$C4574)), "")*24*60, "")</f>
        <v/>
      </c>
      <c r="K4575" s="24" t="str" cm="1">
        <f t="array" ref="K4575">IFERROR(IF($B4575=K$1, ($A4575+$C4575) - MAX(IF($B$2:$B4574=$B4575, $A$2:$A4574+$C$2:$C4574)), "")*24*60, "")</f>
        <v/>
      </c>
      <c r="L4575" s="24" t="str" cm="1">
        <f t="array" ref="L4575">IFERROR(IF($B4575=L$1, ($A4575+$C4575) - MAX(IF($B$2:$B4574=$B4575, $A$2:$A4574+$C$2:$C4574)), "")*24*60, "")</f>
        <v/>
      </c>
      <c r="M4575" s="24" t="str" cm="1">
        <f t="array" ref="M4575">IFERROR(IF($B4575=M$1, ($A4575+$C4575) - MAX(IF($B$2:$B4574=$B4575, $A$2:$A4574+$C$2:$C4574)), "")*24*60, "")</f>
        <v/>
      </c>
      <c r="N4575" s="24" t="str" cm="1">
        <f t="array" ref="N4575">IFERROR(IF($B4575=N$1, ($A4575+$C4575) - MAX(IF($B$2:$B4574=$B4575, $A$2:$A4574+$C$2:$C4574)), "")*24*60, "")</f>
        <v/>
      </c>
      <c r="O4575" s="24" t="str" cm="1">
        <f t="array" ref="O4575">IFERROR(IF($B4575=O$1, ($A4575+$C4575) - MAX(IF($B$2:$B4574=$B4575, $A$2:$A4574+$C$2:$C4574)), "")*24*60, "")</f>
        <v/>
      </c>
      <c r="P4575" s="24" t="str" cm="1">
        <f t="array" ref="P4575">IFERROR(IF($B4575=P$1, ($A4575+$C4575) - MAX(IF($B$2:$B4574=$B4575, $A$2:$A4574+$C$2:$C4574)), "")*24*60, "")</f>
        <v/>
      </c>
    </row>
    <row r="4576" spans="1:16" x14ac:dyDescent="0.2">
      <c r="A4576" s="12">
        <f t="shared" ref="A4576:C4576" si="1167">A4575</f>
        <v>45969</v>
      </c>
      <c r="B4576" s="5" t="str">
        <f t="shared" si="1167"/>
        <v>Northern Cardinal</v>
      </c>
      <c r="C4576" s="6">
        <f t="shared" si="1167"/>
        <v>0.73888888888888893</v>
      </c>
      <c r="D4576" s="5"/>
      <c r="E4576" s="5"/>
      <c r="F4576" s="5" t="str">
        <f t="shared" ref="F4576:G4576" si="1168">F4575</f>
        <v>None</v>
      </c>
      <c r="G4576" s="15" t="str">
        <f t="shared" si="1168"/>
        <v>None</v>
      </c>
      <c r="H4576" s="24">
        <f t="shared" si="961"/>
        <v>0</v>
      </c>
      <c r="I4576" s="24" cm="1">
        <f t="array" ref="I4576">IFERROR(IF($B4576=I$1, ($A4576+$C4576) - MAX(IF($B$2:$B4575=$B4576, $A$2:$A4575+$C$2:$C4575)), "")*24*60, "")</f>
        <v>0</v>
      </c>
      <c r="J4576" s="24" t="str" cm="1">
        <f t="array" ref="J4576">IFERROR(IF($B4576=J$1, ($A4576+$C4576) - MAX(IF($B$2:$B4575=$B4576, $A$2:$A4575+$C$2:$C4575)), "")*24*60, "")</f>
        <v/>
      </c>
      <c r="K4576" s="24" t="str" cm="1">
        <f t="array" ref="K4576">IFERROR(IF($B4576=K$1, ($A4576+$C4576) - MAX(IF($B$2:$B4575=$B4576, $A$2:$A4575+$C$2:$C4575)), "")*24*60, "")</f>
        <v/>
      </c>
      <c r="L4576" s="24" t="str" cm="1">
        <f t="array" ref="L4576">IFERROR(IF($B4576=L$1, ($A4576+$C4576) - MAX(IF($B$2:$B4575=$B4576, $A$2:$A4575+$C$2:$C4575)), "")*24*60, "")</f>
        <v/>
      </c>
      <c r="M4576" s="24" t="str" cm="1">
        <f t="array" ref="M4576">IFERROR(IF($B4576=M$1, ($A4576+$C4576) - MAX(IF($B$2:$B4575=$B4576, $A$2:$A4575+$C$2:$C4575)), "")*24*60, "")</f>
        <v/>
      </c>
      <c r="N4576" s="24" t="str" cm="1">
        <f t="array" ref="N4576">IFERROR(IF($B4576=N$1, ($A4576+$C4576) - MAX(IF($B$2:$B4575=$B4576, $A$2:$A4575+$C$2:$C4575)), "")*24*60, "")</f>
        <v/>
      </c>
      <c r="O4576" s="24" t="str" cm="1">
        <f t="array" ref="O4576">IFERROR(IF($B4576=O$1, ($A4576+$C4576) - MAX(IF($B$2:$B4575=$B4576, $A$2:$A4575+$C$2:$C4575)), "")*24*60, "")</f>
        <v/>
      </c>
      <c r="P4576" s="24" t="str" cm="1">
        <f t="array" ref="P4576">IFERROR(IF($B4576=P$1, ($A4576+$C4576) - MAX(IF($B$2:$B4575=$B4576, $A$2:$A4575+$C$2:$C4575)), "")*24*60, "")</f>
        <v/>
      </c>
    </row>
    <row r="4577" spans="1:16" x14ac:dyDescent="0.2">
      <c r="A4577" s="12">
        <f t="shared" ref="A4577:C4577" si="1169">A4576</f>
        <v>45969</v>
      </c>
      <c r="B4577" s="5" t="str">
        <f t="shared" si="1169"/>
        <v>Northern Cardinal</v>
      </c>
      <c r="C4577" s="6">
        <f t="shared" si="1169"/>
        <v>0.73888888888888893</v>
      </c>
      <c r="D4577" s="5"/>
      <c r="E4577" s="5"/>
      <c r="F4577" s="5" t="str">
        <f t="shared" ref="F4577:G4577" si="1170">F4576</f>
        <v>None</v>
      </c>
      <c r="G4577" s="15" t="str">
        <f t="shared" si="1170"/>
        <v>None</v>
      </c>
      <c r="H4577" s="24">
        <f t="shared" si="961"/>
        <v>0</v>
      </c>
      <c r="I4577" s="24" cm="1">
        <f t="array" ref="I4577">IFERROR(IF($B4577=I$1, ($A4577+$C4577) - MAX(IF($B$2:$B4576=$B4577, $A$2:$A4576+$C$2:$C4576)), "")*24*60, "")</f>
        <v>0</v>
      </c>
      <c r="J4577" s="24" t="str" cm="1">
        <f t="array" ref="J4577">IFERROR(IF($B4577=J$1, ($A4577+$C4577) - MAX(IF($B$2:$B4576=$B4577, $A$2:$A4576+$C$2:$C4576)), "")*24*60, "")</f>
        <v/>
      </c>
      <c r="K4577" s="24" t="str" cm="1">
        <f t="array" ref="K4577">IFERROR(IF($B4577=K$1, ($A4577+$C4577) - MAX(IF($B$2:$B4576=$B4577, $A$2:$A4576+$C$2:$C4576)), "")*24*60, "")</f>
        <v/>
      </c>
      <c r="L4577" s="24" t="str" cm="1">
        <f t="array" ref="L4577">IFERROR(IF($B4577=L$1, ($A4577+$C4577) - MAX(IF($B$2:$B4576=$B4577, $A$2:$A4576+$C$2:$C4576)), "")*24*60, "")</f>
        <v/>
      </c>
      <c r="M4577" s="24" t="str" cm="1">
        <f t="array" ref="M4577">IFERROR(IF($B4577=M$1, ($A4577+$C4577) - MAX(IF($B$2:$B4576=$B4577, $A$2:$A4576+$C$2:$C4576)), "")*24*60, "")</f>
        <v/>
      </c>
      <c r="N4577" s="24" t="str" cm="1">
        <f t="array" ref="N4577">IFERROR(IF($B4577=N$1, ($A4577+$C4577) - MAX(IF($B$2:$B4576=$B4577, $A$2:$A4576+$C$2:$C4576)), "")*24*60, "")</f>
        <v/>
      </c>
      <c r="O4577" s="24" t="str" cm="1">
        <f t="array" ref="O4577">IFERROR(IF($B4577=O$1, ($A4577+$C4577) - MAX(IF($B$2:$B4576=$B4577, $A$2:$A4576+$C$2:$C4576)), "")*24*60, "")</f>
        <v/>
      </c>
      <c r="P4577" s="24" t="str" cm="1">
        <f t="array" ref="P4577">IFERROR(IF($B4577=P$1, ($A4577+$C4577) - MAX(IF($B$2:$B4576=$B4577, $A$2:$A4576+$C$2:$C4576)), "")*24*60, "")</f>
        <v/>
      </c>
    </row>
    <row r="4578" spans="1:16" x14ac:dyDescent="0.2">
      <c r="A4578" s="12">
        <f t="shared" ref="A4578:C4578" si="1171">A4577</f>
        <v>45969</v>
      </c>
      <c r="B4578" s="5" t="str">
        <f t="shared" si="1171"/>
        <v>Northern Cardinal</v>
      </c>
      <c r="C4578" s="6">
        <f t="shared" si="1171"/>
        <v>0.73888888888888893</v>
      </c>
      <c r="D4578" s="5"/>
      <c r="E4578" s="5"/>
      <c r="F4578" s="5" t="str">
        <f t="shared" ref="F4578:G4578" si="1172">F4577</f>
        <v>None</v>
      </c>
      <c r="G4578" s="15" t="str">
        <f t="shared" si="1172"/>
        <v>None</v>
      </c>
      <c r="H4578" s="24">
        <f t="shared" si="961"/>
        <v>0</v>
      </c>
      <c r="I4578" s="24" cm="1">
        <f t="array" ref="I4578">IFERROR(IF($B4578=I$1, ($A4578+$C4578) - MAX(IF($B$2:$B4577=$B4578, $A$2:$A4577+$C$2:$C4577)), "")*24*60, "")</f>
        <v>0</v>
      </c>
      <c r="J4578" s="24" t="str" cm="1">
        <f t="array" ref="J4578">IFERROR(IF($B4578=J$1, ($A4578+$C4578) - MAX(IF($B$2:$B4577=$B4578, $A$2:$A4577+$C$2:$C4577)), "")*24*60, "")</f>
        <v/>
      </c>
      <c r="K4578" s="24" t="str" cm="1">
        <f t="array" ref="K4578">IFERROR(IF($B4578=K$1, ($A4578+$C4578) - MAX(IF($B$2:$B4577=$B4578, $A$2:$A4577+$C$2:$C4577)), "")*24*60, "")</f>
        <v/>
      </c>
      <c r="L4578" s="24" t="str" cm="1">
        <f t="array" ref="L4578">IFERROR(IF($B4578=L$1, ($A4578+$C4578) - MAX(IF($B$2:$B4577=$B4578, $A$2:$A4577+$C$2:$C4577)), "")*24*60, "")</f>
        <v/>
      </c>
      <c r="M4578" s="24" t="str" cm="1">
        <f t="array" ref="M4578">IFERROR(IF($B4578=M$1, ($A4578+$C4578) - MAX(IF($B$2:$B4577=$B4578, $A$2:$A4577+$C$2:$C4577)), "")*24*60, "")</f>
        <v/>
      </c>
      <c r="N4578" s="24" t="str" cm="1">
        <f t="array" ref="N4578">IFERROR(IF($B4578=N$1, ($A4578+$C4578) - MAX(IF($B$2:$B4577=$B4578, $A$2:$A4577+$C$2:$C4577)), "")*24*60, "")</f>
        <v/>
      </c>
      <c r="O4578" s="24" t="str" cm="1">
        <f t="array" ref="O4578">IFERROR(IF($B4578=O$1, ($A4578+$C4578) - MAX(IF($B$2:$B4577=$B4578, $A$2:$A4577+$C$2:$C4577)), "")*24*60, "")</f>
        <v/>
      </c>
      <c r="P4578" s="24" t="str" cm="1">
        <f t="array" ref="P4578">IFERROR(IF($B4578=P$1, ($A4578+$C4578) - MAX(IF($B$2:$B4577=$B4578, $A$2:$A4577+$C$2:$C4577)), "")*24*60, "")</f>
        <v/>
      </c>
    </row>
    <row r="4579" spans="1:16" x14ac:dyDescent="0.2">
      <c r="A4579" s="12">
        <f t="shared" ref="A4579:C4579" si="1173">A4578</f>
        <v>45969</v>
      </c>
      <c r="B4579" s="5" t="str">
        <f t="shared" si="1173"/>
        <v>Northern Cardinal</v>
      </c>
      <c r="C4579" s="6">
        <f t="shared" si="1173"/>
        <v>0.73888888888888893</v>
      </c>
      <c r="D4579" s="5"/>
      <c r="E4579" s="5"/>
      <c r="F4579" s="5" t="str">
        <f t="shared" ref="F4579:G4579" si="1174">F4578</f>
        <v>None</v>
      </c>
      <c r="G4579" s="15" t="str">
        <f t="shared" si="1174"/>
        <v>None</v>
      </c>
      <c r="H4579" s="24">
        <f t="shared" si="961"/>
        <v>0</v>
      </c>
      <c r="I4579" s="24" cm="1">
        <f t="array" ref="I4579">IFERROR(IF($B4579=I$1, ($A4579+$C4579) - MAX(IF($B$2:$B4578=$B4579, $A$2:$A4578+$C$2:$C4578)), "")*24*60, "")</f>
        <v>0</v>
      </c>
      <c r="J4579" s="24" t="str" cm="1">
        <f t="array" ref="J4579">IFERROR(IF($B4579=J$1, ($A4579+$C4579) - MAX(IF($B$2:$B4578=$B4579, $A$2:$A4578+$C$2:$C4578)), "")*24*60, "")</f>
        <v/>
      </c>
      <c r="K4579" s="24" t="str" cm="1">
        <f t="array" ref="K4579">IFERROR(IF($B4579=K$1, ($A4579+$C4579) - MAX(IF($B$2:$B4578=$B4579, $A$2:$A4578+$C$2:$C4578)), "")*24*60, "")</f>
        <v/>
      </c>
      <c r="L4579" s="24" t="str" cm="1">
        <f t="array" ref="L4579">IFERROR(IF($B4579=L$1, ($A4579+$C4579) - MAX(IF($B$2:$B4578=$B4579, $A$2:$A4578+$C$2:$C4578)), "")*24*60, "")</f>
        <v/>
      </c>
      <c r="M4579" s="24" t="str" cm="1">
        <f t="array" ref="M4579">IFERROR(IF($B4579=M$1, ($A4579+$C4579) - MAX(IF($B$2:$B4578=$B4579, $A$2:$A4578+$C$2:$C4578)), "")*24*60, "")</f>
        <v/>
      </c>
      <c r="N4579" s="24" t="str" cm="1">
        <f t="array" ref="N4579">IFERROR(IF($B4579=N$1, ($A4579+$C4579) - MAX(IF($B$2:$B4578=$B4579, $A$2:$A4578+$C$2:$C4578)), "")*24*60, "")</f>
        <v/>
      </c>
      <c r="O4579" s="24" t="str" cm="1">
        <f t="array" ref="O4579">IFERROR(IF($B4579=O$1, ($A4579+$C4579) - MAX(IF($B$2:$B4578=$B4579, $A$2:$A4578+$C$2:$C4578)), "")*24*60, "")</f>
        <v/>
      </c>
      <c r="P4579" s="24" t="str" cm="1">
        <f t="array" ref="P4579">IFERROR(IF($B4579=P$1, ($A4579+$C4579) - MAX(IF($B$2:$B4578=$B4579, $A$2:$A4578+$C$2:$C4578)), "")*24*60, "")</f>
        <v/>
      </c>
    </row>
    <row r="4580" spans="1:16" x14ac:dyDescent="0.2">
      <c r="A4580" s="12">
        <f t="shared" ref="A4580:C4580" si="1175">A4579</f>
        <v>45969</v>
      </c>
      <c r="B4580" s="5" t="str">
        <f t="shared" si="1175"/>
        <v>Northern Cardinal</v>
      </c>
      <c r="C4580" s="6">
        <f t="shared" si="1175"/>
        <v>0.73888888888888893</v>
      </c>
      <c r="D4580" s="5"/>
      <c r="E4580" s="5"/>
      <c r="F4580" s="5" t="str">
        <f t="shared" ref="F4580:G4580" si="1176">F4579</f>
        <v>None</v>
      </c>
      <c r="G4580" s="15" t="str">
        <f t="shared" si="1176"/>
        <v>None</v>
      </c>
      <c r="H4580" s="24">
        <f t="shared" si="961"/>
        <v>0</v>
      </c>
      <c r="I4580" s="24" cm="1">
        <f t="array" ref="I4580">IFERROR(IF($B4580=I$1, ($A4580+$C4580) - MAX(IF($B$2:$B4579=$B4580, $A$2:$A4579+$C$2:$C4579)), "")*24*60, "")</f>
        <v>0</v>
      </c>
      <c r="J4580" s="24" t="str" cm="1">
        <f t="array" ref="J4580">IFERROR(IF($B4580=J$1, ($A4580+$C4580) - MAX(IF($B$2:$B4579=$B4580, $A$2:$A4579+$C$2:$C4579)), "")*24*60, "")</f>
        <v/>
      </c>
      <c r="K4580" s="24" t="str" cm="1">
        <f t="array" ref="K4580">IFERROR(IF($B4580=K$1, ($A4580+$C4580) - MAX(IF($B$2:$B4579=$B4580, $A$2:$A4579+$C$2:$C4579)), "")*24*60, "")</f>
        <v/>
      </c>
      <c r="L4580" s="24" t="str" cm="1">
        <f t="array" ref="L4580">IFERROR(IF($B4580=L$1, ($A4580+$C4580) - MAX(IF($B$2:$B4579=$B4580, $A$2:$A4579+$C$2:$C4579)), "")*24*60, "")</f>
        <v/>
      </c>
      <c r="M4580" s="24" t="str" cm="1">
        <f t="array" ref="M4580">IFERROR(IF($B4580=M$1, ($A4580+$C4580) - MAX(IF($B$2:$B4579=$B4580, $A$2:$A4579+$C$2:$C4579)), "")*24*60, "")</f>
        <v/>
      </c>
      <c r="N4580" s="24" t="str" cm="1">
        <f t="array" ref="N4580">IFERROR(IF($B4580=N$1, ($A4580+$C4580) - MAX(IF($B$2:$B4579=$B4580, $A$2:$A4579+$C$2:$C4579)), "")*24*60, "")</f>
        <v/>
      </c>
      <c r="O4580" s="24" t="str" cm="1">
        <f t="array" ref="O4580">IFERROR(IF($B4580=O$1, ($A4580+$C4580) - MAX(IF($B$2:$B4579=$B4580, $A$2:$A4579+$C$2:$C4579)), "")*24*60, "")</f>
        <v/>
      </c>
      <c r="P4580" s="24" t="str" cm="1">
        <f t="array" ref="P4580">IFERROR(IF($B4580=P$1, ($A4580+$C4580) - MAX(IF($B$2:$B4579=$B4580, $A$2:$A4579+$C$2:$C4579)), "")*24*60, "")</f>
        <v/>
      </c>
    </row>
    <row r="4581" spans="1:16" x14ac:dyDescent="0.2">
      <c r="A4581" s="12">
        <f t="shared" ref="A4581:C4581" si="1177">A4580</f>
        <v>45969</v>
      </c>
      <c r="B4581" s="5" t="str">
        <f t="shared" si="1177"/>
        <v>Northern Cardinal</v>
      </c>
      <c r="C4581" s="6">
        <f t="shared" si="1177"/>
        <v>0.73888888888888893</v>
      </c>
      <c r="D4581" s="5"/>
      <c r="E4581" s="5"/>
      <c r="F4581" s="5" t="str">
        <f t="shared" ref="F4581:G4581" si="1178">F4580</f>
        <v>None</v>
      </c>
      <c r="G4581" s="15" t="str">
        <f t="shared" si="1178"/>
        <v>None</v>
      </c>
      <c r="H4581" s="24">
        <f t="shared" si="961"/>
        <v>0</v>
      </c>
      <c r="I4581" s="24" cm="1">
        <f t="array" ref="I4581">IFERROR(IF($B4581=I$1, ($A4581+$C4581) - MAX(IF($B$2:$B4580=$B4581, $A$2:$A4580+$C$2:$C4580)), "")*24*60, "")</f>
        <v>0</v>
      </c>
      <c r="J4581" s="24" t="str" cm="1">
        <f t="array" ref="J4581">IFERROR(IF($B4581=J$1, ($A4581+$C4581) - MAX(IF($B$2:$B4580=$B4581, $A$2:$A4580+$C$2:$C4580)), "")*24*60, "")</f>
        <v/>
      </c>
      <c r="K4581" s="24" t="str" cm="1">
        <f t="array" ref="K4581">IFERROR(IF($B4581=K$1, ($A4581+$C4581) - MAX(IF($B$2:$B4580=$B4581, $A$2:$A4580+$C$2:$C4580)), "")*24*60, "")</f>
        <v/>
      </c>
      <c r="L4581" s="24" t="str" cm="1">
        <f t="array" ref="L4581">IFERROR(IF($B4581=L$1, ($A4581+$C4581) - MAX(IF($B$2:$B4580=$B4581, $A$2:$A4580+$C$2:$C4580)), "")*24*60, "")</f>
        <v/>
      </c>
      <c r="M4581" s="24" t="str" cm="1">
        <f t="array" ref="M4581">IFERROR(IF($B4581=M$1, ($A4581+$C4581) - MAX(IF($B$2:$B4580=$B4581, $A$2:$A4580+$C$2:$C4580)), "")*24*60, "")</f>
        <v/>
      </c>
      <c r="N4581" s="24" t="str" cm="1">
        <f t="array" ref="N4581">IFERROR(IF($B4581=N$1, ($A4581+$C4581) - MAX(IF($B$2:$B4580=$B4581, $A$2:$A4580+$C$2:$C4580)), "")*24*60, "")</f>
        <v/>
      </c>
      <c r="O4581" s="24" t="str" cm="1">
        <f t="array" ref="O4581">IFERROR(IF($B4581=O$1, ($A4581+$C4581) - MAX(IF($B$2:$B4580=$B4581, $A$2:$A4580+$C$2:$C4580)), "")*24*60, "")</f>
        <v/>
      </c>
      <c r="P4581" s="24" t="str" cm="1">
        <f t="array" ref="P4581">IFERROR(IF($B4581=P$1, ($A4581+$C4581) - MAX(IF($B$2:$B4580=$B4581, $A$2:$A4580+$C$2:$C4580)), "")*24*60, "")</f>
        <v/>
      </c>
    </row>
    <row r="4582" spans="1:16" x14ac:dyDescent="0.2">
      <c r="A4582" s="12">
        <f t="shared" ref="A4582:C4582" si="1179">A4581</f>
        <v>45969</v>
      </c>
      <c r="B4582" s="5" t="str">
        <f t="shared" si="1179"/>
        <v>Northern Cardinal</v>
      </c>
      <c r="C4582" s="6">
        <f t="shared" si="1179"/>
        <v>0.73888888888888893</v>
      </c>
      <c r="D4582" s="5"/>
      <c r="E4582" s="5"/>
      <c r="F4582" s="5" t="str">
        <f t="shared" ref="F4582:G4582" si="1180">F4581</f>
        <v>None</v>
      </c>
      <c r="G4582" s="15" t="str">
        <f t="shared" si="1180"/>
        <v>None</v>
      </c>
      <c r="H4582" s="24">
        <f t="shared" si="961"/>
        <v>0</v>
      </c>
      <c r="I4582" s="24" cm="1">
        <f t="array" ref="I4582">IFERROR(IF($B4582=I$1, ($A4582+$C4582) - MAX(IF($B$2:$B4581=$B4582, $A$2:$A4581+$C$2:$C4581)), "")*24*60, "")</f>
        <v>0</v>
      </c>
      <c r="J4582" s="24" t="str" cm="1">
        <f t="array" ref="J4582">IFERROR(IF($B4582=J$1, ($A4582+$C4582) - MAX(IF($B$2:$B4581=$B4582, $A$2:$A4581+$C$2:$C4581)), "")*24*60, "")</f>
        <v/>
      </c>
      <c r="K4582" s="24" t="str" cm="1">
        <f t="array" ref="K4582">IFERROR(IF($B4582=K$1, ($A4582+$C4582) - MAX(IF($B$2:$B4581=$B4582, $A$2:$A4581+$C$2:$C4581)), "")*24*60, "")</f>
        <v/>
      </c>
      <c r="L4582" s="24" t="str" cm="1">
        <f t="array" ref="L4582">IFERROR(IF($B4582=L$1, ($A4582+$C4582) - MAX(IF($B$2:$B4581=$B4582, $A$2:$A4581+$C$2:$C4581)), "")*24*60, "")</f>
        <v/>
      </c>
      <c r="M4582" s="24" t="str" cm="1">
        <f t="array" ref="M4582">IFERROR(IF($B4582=M$1, ($A4582+$C4582) - MAX(IF($B$2:$B4581=$B4582, $A$2:$A4581+$C$2:$C4581)), "")*24*60, "")</f>
        <v/>
      </c>
      <c r="N4582" s="24" t="str" cm="1">
        <f t="array" ref="N4582">IFERROR(IF($B4582=N$1, ($A4582+$C4582) - MAX(IF($B$2:$B4581=$B4582, $A$2:$A4581+$C$2:$C4581)), "")*24*60, "")</f>
        <v/>
      </c>
      <c r="O4582" s="24" t="str" cm="1">
        <f t="array" ref="O4582">IFERROR(IF($B4582=O$1, ($A4582+$C4582) - MAX(IF($B$2:$B4581=$B4582, $A$2:$A4581+$C$2:$C4581)), "")*24*60, "")</f>
        <v/>
      </c>
      <c r="P4582" s="24" t="str" cm="1">
        <f t="array" ref="P4582">IFERROR(IF($B4582=P$1, ($A4582+$C4582) - MAX(IF($B$2:$B4581=$B4582, $A$2:$A4581+$C$2:$C4581)), "")*24*60, "")</f>
        <v/>
      </c>
    </row>
    <row r="4583" spans="1:16" x14ac:dyDescent="0.2">
      <c r="A4583" s="12">
        <f t="shared" ref="A4583:C4583" si="1181">A4582</f>
        <v>45969</v>
      </c>
      <c r="B4583" s="5" t="str">
        <f t="shared" si="1181"/>
        <v>Northern Cardinal</v>
      </c>
      <c r="C4583" s="6">
        <f t="shared" si="1181"/>
        <v>0.73888888888888893</v>
      </c>
      <c r="D4583" s="5"/>
      <c r="E4583" s="5"/>
      <c r="F4583" s="5" t="str">
        <f t="shared" ref="F4583:G4583" si="1182">F4582</f>
        <v>None</v>
      </c>
      <c r="G4583" s="15" t="str">
        <f t="shared" si="1182"/>
        <v>None</v>
      </c>
      <c r="H4583" s="24">
        <f t="shared" si="961"/>
        <v>0</v>
      </c>
      <c r="I4583" s="24" cm="1">
        <f t="array" ref="I4583">IFERROR(IF($B4583=I$1, ($A4583+$C4583) - MAX(IF($B$2:$B4582=$B4583, $A$2:$A4582+$C$2:$C4582)), "")*24*60, "")</f>
        <v>0</v>
      </c>
      <c r="J4583" s="24" t="str" cm="1">
        <f t="array" ref="J4583">IFERROR(IF($B4583=J$1, ($A4583+$C4583) - MAX(IF($B$2:$B4582=$B4583, $A$2:$A4582+$C$2:$C4582)), "")*24*60, "")</f>
        <v/>
      </c>
      <c r="K4583" s="24" t="str" cm="1">
        <f t="array" ref="K4583">IFERROR(IF($B4583=K$1, ($A4583+$C4583) - MAX(IF($B$2:$B4582=$B4583, $A$2:$A4582+$C$2:$C4582)), "")*24*60, "")</f>
        <v/>
      </c>
      <c r="L4583" s="24" t="str" cm="1">
        <f t="array" ref="L4583">IFERROR(IF($B4583=L$1, ($A4583+$C4583) - MAX(IF($B$2:$B4582=$B4583, $A$2:$A4582+$C$2:$C4582)), "")*24*60, "")</f>
        <v/>
      </c>
      <c r="M4583" s="24" t="str" cm="1">
        <f t="array" ref="M4583">IFERROR(IF($B4583=M$1, ($A4583+$C4583) - MAX(IF($B$2:$B4582=$B4583, $A$2:$A4582+$C$2:$C4582)), "")*24*60, "")</f>
        <v/>
      </c>
      <c r="N4583" s="24" t="str" cm="1">
        <f t="array" ref="N4583">IFERROR(IF($B4583=N$1, ($A4583+$C4583) - MAX(IF($B$2:$B4582=$B4583, $A$2:$A4582+$C$2:$C4582)), "")*24*60, "")</f>
        <v/>
      </c>
      <c r="O4583" s="24" t="str" cm="1">
        <f t="array" ref="O4583">IFERROR(IF($B4583=O$1, ($A4583+$C4583) - MAX(IF($B$2:$B4582=$B4583, $A$2:$A4582+$C$2:$C4582)), "")*24*60, "")</f>
        <v/>
      </c>
      <c r="P4583" s="24" t="str" cm="1">
        <f t="array" ref="P4583">IFERROR(IF($B4583=P$1, ($A4583+$C4583) - MAX(IF($B$2:$B4582=$B4583, $A$2:$A4582+$C$2:$C4582)), "")*24*60, "")</f>
        <v/>
      </c>
    </row>
    <row r="4584" spans="1:16" x14ac:dyDescent="0.2">
      <c r="A4584" s="12">
        <f t="shared" ref="A4584:C4584" si="1183">A4583</f>
        <v>45969</v>
      </c>
      <c r="B4584" s="5" t="str">
        <f t="shared" si="1183"/>
        <v>Northern Cardinal</v>
      </c>
      <c r="C4584" s="6">
        <f t="shared" si="1183"/>
        <v>0.73888888888888893</v>
      </c>
      <c r="D4584" s="5"/>
      <c r="E4584" s="5"/>
      <c r="F4584" s="5" t="str">
        <f t="shared" ref="F4584:G4584" si="1184">F4583</f>
        <v>None</v>
      </c>
      <c r="G4584" s="15" t="str">
        <f t="shared" si="1184"/>
        <v>None</v>
      </c>
      <c r="H4584" s="24">
        <f t="shared" si="961"/>
        <v>0</v>
      </c>
      <c r="I4584" s="24" cm="1">
        <f t="array" ref="I4584">IFERROR(IF($B4584=I$1, ($A4584+$C4584) - MAX(IF($B$2:$B4583=$B4584, $A$2:$A4583+$C$2:$C4583)), "")*24*60, "")</f>
        <v>0</v>
      </c>
      <c r="J4584" s="24" t="str" cm="1">
        <f t="array" ref="J4584">IFERROR(IF($B4584=J$1, ($A4584+$C4584) - MAX(IF($B$2:$B4583=$B4584, $A$2:$A4583+$C$2:$C4583)), "")*24*60, "")</f>
        <v/>
      </c>
      <c r="K4584" s="24" t="str" cm="1">
        <f t="array" ref="K4584">IFERROR(IF($B4584=K$1, ($A4584+$C4584) - MAX(IF($B$2:$B4583=$B4584, $A$2:$A4583+$C$2:$C4583)), "")*24*60, "")</f>
        <v/>
      </c>
      <c r="L4584" s="24" t="str" cm="1">
        <f t="array" ref="L4584">IFERROR(IF($B4584=L$1, ($A4584+$C4584) - MAX(IF($B$2:$B4583=$B4584, $A$2:$A4583+$C$2:$C4583)), "")*24*60, "")</f>
        <v/>
      </c>
      <c r="M4584" s="24" t="str" cm="1">
        <f t="array" ref="M4584">IFERROR(IF($B4584=M$1, ($A4584+$C4584) - MAX(IF($B$2:$B4583=$B4584, $A$2:$A4583+$C$2:$C4583)), "")*24*60, "")</f>
        <v/>
      </c>
      <c r="N4584" s="24" t="str" cm="1">
        <f t="array" ref="N4584">IFERROR(IF($B4584=N$1, ($A4584+$C4584) - MAX(IF($B$2:$B4583=$B4584, $A$2:$A4583+$C$2:$C4583)), "")*24*60, "")</f>
        <v/>
      </c>
      <c r="O4584" s="24" t="str" cm="1">
        <f t="array" ref="O4584">IFERROR(IF($B4584=O$1, ($A4584+$C4584) - MAX(IF($B$2:$B4583=$B4584, $A$2:$A4583+$C$2:$C4583)), "")*24*60, "")</f>
        <v/>
      </c>
      <c r="P4584" s="24" t="str" cm="1">
        <f t="array" ref="P4584">IFERROR(IF($B4584=P$1, ($A4584+$C4584) - MAX(IF($B$2:$B4583=$B4584, $A$2:$A4583+$C$2:$C4583)), "")*24*60, "")</f>
        <v/>
      </c>
    </row>
    <row r="4585" spans="1:16" x14ac:dyDescent="0.2">
      <c r="A4585" s="12">
        <f t="shared" ref="A4585:C4585" si="1185">A4584</f>
        <v>45969</v>
      </c>
      <c r="B4585" s="5" t="str">
        <f t="shared" si="1185"/>
        <v>Northern Cardinal</v>
      </c>
      <c r="C4585" s="6">
        <f t="shared" si="1185"/>
        <v>0.73888888888888893</v>
      </c>
      <c r="D4585" s="5"/>
      <c r="E4585" s="5"/>
      <c r="F4585" s="5" t="str">
        <f t="shared" ref="F4585:G4585" si="1186">F4584</f>
        <v>None</v>
      </c>
      <c r="G4585" s="15" t="str">
        <f t="shared" si="1186"/>
        <v>None</v>
      </c>
      <c r="H4585" s="24">
        <f t="shared" si="961"/>
        <v>0</v>
      </c>
      <c r="I4585" s="24" cm="1">
        <f t="array" ref="I4585">IFERROR(IF($B4585=I$1, ($A4585+$C4585) - MAX(IF($B$2:$B4584=$B4585, $A$2:$A4584+$C$2:$C4584)), "")*24*60, "")</f>
        <v>0</v>
      </c>
      <c r="J4585" s="24" t="str" cm="1">
        <f t="array" ref="J4585">IFERROR(IF($B4585=J$1, ($A4585+$C4585) - MAX(IF($B$2:$B4584=$B4585, $A$2:$A4584+$C$2:$C4584)), "")*24*60, "")</f>
        <v/>
      </c>
      <c r="K4585" s="24" t="str" cm="1">
        <f t="array" ref="K4585">IFERROR(IF($B4585=K$1, ($A4585+$C4585) - MAX(IF($B$2:$B4584=$B4585, $A$2:$A4584+$C$2:$C4584)), "")*24*60, "")</f>
        <v/>
      </c>
      <c r="L4585" s="24" t="str" cm="1">
        <f t="array" ref="L4585">IFERROR(IF($B4585=L$1, ($A4585+$C4585) - MAX(IF($B$2:$B4584=$B4585, $A$2:$A4584+$C$2:$C4584)), "")*24*60, "")</f>
        <v/>
      </c>
      <c r="M4585" s="24" t="str" cm="1">
        <f t="array" ref="M4585">IFERROR(IF($B4585=M$1, ($A4585+$C4585) - MAX(IF($B$2:$B4584=$B4585, $A$2:$A4584+$C$2:$C4584)), "")*24*60, "")</f>
        <v/>
      </c>
      <c r="N4585" s="24" t="str" cm="1">
        <f t="array" ref="N4585">IFERROR(IF($B4585=N$1, ($A4585+$C4585) - MAX(IF($B$2:$B4584=$B4585, $A$2:$A4584+$C$2:$C4584)), "")*24*60, "")</f>
        <v/>
      </c>
      <c r="O4585" s="24" t="str" cm="1">
        <f t="array" ref="O4585">IFERROR(IF($B4585=O$1, ($A4585+$C4585) - MAX(IF($B$2:$B4584=$B4585, $A$2:$A4584+$C$2:$C4584)), "")*24*60, "")</f>
        <v/>
      </c>
      <c r="P4585" s="24" t="str" cm="1">
        <f t="array" ref="P4585">IFERROR(IF($B4585=P$1, ($A4585+$C4585) - MAX(IF($B$2:$B4584=$B4585, $A$2:$A4584+$C$2:$C4584)), "")*24*60, "")</f>
        <v/>
      </c>
    </row>
    <row r="4586" spans="1:16" x14ac:dyDescent="0.2">
      <c r="A4586" s="12">
        <f t="shared" ref="A4586:C4586" si="1187">A4585</f>
        <v>45969</v>
      </c>
      <c r="B4586" s="5" t="str">
        <f t="shared" si="1187"/>
        <v>Northern Cardinal</v>
      </c>
      <c r="C4586" s="6">
        <f t="shared" si="1187"/>
        <v>0.73888888888888893</v>
      </c>
      <c r="D4586" s="5"/>
      <c r="E4586" s="5"/>
      <c r="F4586" s="5" t="str">
        <f t="shared" ref="F4586:G4586" si="1188">F4585</f>
        <v>None</v>
      </c>
      <c r="G4586" s="15" t="str">
        <f t="shared" si="1188"/>
        <v>None</v>
      </c>
      <c r="H4586" s="24">
        <f t="shared" si="961"/>
        <v>0</v>
      </c>
      <c r="I4586" s="24" cm="1">
        <f t="array" ref="I4586">IFERROR(IF($B4586=I$1, ($A4586+$C4586) - MAX(IF($B$2:$B4585=$B4586, $A$2:$A4585+$C$2:$C4585)), "")*24*60, "")</f>
        <v>0</v>
      </c>
      <c r="J4586" s="24" t="str" cm="1">
        <f t="array" ref="J4586">IFERROR(IF($B4586=J$1, ($A4586+$C4586) - MAX(IF($B$2:$B4585=$B4586, $A$2:$A4585+$C$2:$C4585)), "")*24*60, "")</f>
        <v/>
      </c>
      <c r="K4586" s="24" t="str" cm="1">
        <f t="array" ref="K4586">IFERROR(IF($B4586=K$1, ($A4586+$C4586) - MAX(IF($B$2:$B4585=$B4586, $A$2:$A4585+$C$2:$C4585)), "")*24*60, "")</f>
        <v/>
      </c>
      <c r="L4586" s="24" t="str" cm="1">
        <f t="array" ref="L4586">IFERROR(IF($B4586=L$1, ($A4586+$C4586) - MAX(IF($B$2:$B4585=$B4586, $A$2:$A4585+$C$2:$C4585)), "")*24*60, "")</f>
        <v/>
      </c>
      <c r="M4586" s="24" t="str" cm="1">
        <f t="array" ref="M4586">IFERROR(IF($B4586=M$1, ($A4586+$C4586) - MAX(IF($B$2:$B4585=$B4586, $A$2:$A4585+$C$2:$C4585)), "")*24*60, "")</f>
        <v/>
      </c>
      <c r="N4586" s="24" t="str" cm="1">
        <f t="array" ref="N4586">IFERROR(IF($B4586=N$1, ($A4586+$C4586) - MAX(IF($B$2:$B4585=$B4586, $A$2:$A4585+$C$2:$C4585)), "")*24*60, "")</f>
        <v/>
      </c>
      <c r="O4586" s="24" t="str" cm="1">
        <f t="array" ref="O4586">IFERROR(IF($B4586=O$1, ($A4586+$C4586) - MAX(IF($B$2:$B4585=$B4586, $A$2:$A4585+$C$2:$C4585)), "")*24*60, "")</f>
        <v/>
      </c>
      <c r="P4586" s="24" t="str" cm="1">
        <f t="array" ref="P4586">IFERROR(IF($B4586=P$1, ($A4586+$C4586) - MAX(IF($B$2:$B4585=$B4586, $A$2:$A4585+$C$2:$C4585)), "")*24*60, "")</f>
        <v/>
      </c>
    </row>
    <row r="4587" spans="1:16" x14ac:dyDescent="0.2">
      <c r="A4587" s="12">
        <f t="shared" ref="A4587:C4587" si="1189">A4586</f>
        <v>45969</v>
      </c>
      <c r="B4587" s="5" t="str">
        <f t="shared" si="1189"/>
        <v>Northern Cardinal</v>
      </c>
      <c r="C4587" s="6">
        <f t="shared" si="1189"/>
        <v>0.73888888888888893</v>
      </c>
      <c r="D4587" s="5"/>
      <c r="E4587" s="5"/>
      <c r="F4587" s="5" t="str">
        <f t="shared" ref="F4587:G4587" si="1190">F4586</f>
        <v>None</v>
      </c>
      <c r="G4587" s="15" t="str">
        <f t="shared" si="1190"/>
        <v>None</v>
      </c>
      <c r="H4587" s="24">
        <f t="shared" si="961"/>
        <v>0</v>
      </c>
      <c r="I4587" s="24" cm="1">
        <f t="array" ref="I4587">IFERROR(IF($B4587=I$1, ($A4587+$C4587) - MAX(IF($B$2:$B4586=$B4587, $A$2:$A4586+$C$2:$C4586)), "")*24*60, "")</f>
        <v>0</v>
      </c>
      <c r="J4587" s="24" t="str" cm="1">
        <f t="array" ref="J4587">IFERROR(IF($B4587=J$1, ($A4587+$C4587) - MAX(IF($B$2:$B4586=$B4587, $A$2:$A4586+$C$2:$C4586)), "")*24*60, "")</f>
        <v/>
      </c>
      <c r="K4587" s="24" t="str" cm="1">
        <f t="array" ref="K4587">IFERROR(IF($B4587=K$1, ($A4587+$C4587) - MAX(IF($B$2:$B4586=$B4587, $A$2:$A4586+$C$2:$C4586)), "")*24*60, "")</f>
        <v/>
      </c>
      <c r="L4587" s="24" t="str" cm="1">
        <f t="array" ref="L4587">IFERROR(IF($B4587=L$1, ($A4587+$C4587) - MAX(IF($B$2:$B4586=$B4587, $A$2:$A4586+$C$2:$C4586)), "")*24*60, "")</f>
        <v/>
      </c>
      <c r="M4587" s="24" t="str" cm="1">
        <f t="array" ref="M4587">IFERROR(IF($B4587=M$1, ($A4587+$C4587) - MAX(IF($B$2:$B4586=$B4587, $A$2:$A4586+$C$2:$C4586)), "")*24*60, "")</f>
        <v/>
      </c>
      <c r="N4587" s="24" t="str" cm="1">
        <f t="array" ref="N4587">IFERROR(IF($B4587=N$1, ($A4587+$C4587) - MAX(IF($B$2:$B4586=$B4587, $A$2:$A4586+$C$2:$C4586)), "")*24*60, "")</f>
        <v/>
      </c>
      <c r="O4587" s="24" t="str" cm="1">
        <f t="array" ref="O4587">IFERROR(IF($B4587=O$1, ($A4587+$C4587) - MAX(IF($B$2:$B4586=$B4587, $A$2:$A4586+$C$2:$C4586)), "")*24*60, "")</f>
        <v/>
      </c>
      <c r="P4587" s="24" t="str" cm="1">
        <f t="array" ref="P4587">IFERROR(IF($B4587=P$1, ($A4587+$C4587) - MAX(IF($B$2:$B4586=$B4587, $A$2:$A4586+$C$2:$C4586)), "")*24*60, "")</f>
        <v/>
      </c>
    </row>
    <row r="4588" spans="1:16" x14ac:dyDescent="0.2">
      <c r="A4588" s="12">
        <f t="shared" ref="A4588:C4588" si="1191">A4587</f>
        <v>45969</v>
      </c>
      <c r="B4588" s="5" t="str">
        <f t="shared" si="1191"/>
        <v>Northern Cardinal</v>
      </c>
      <c r="C4588" s="6">
        <f t="shared" si="1191"/>
        <v>0.73888888888888893</v>
      </c>
      <c r="D4588" s="5"/>
      <c r="E4588" s="5"/>
      <c r="F4588" s="5" t="str">
        <f t="shared" ref="F4588:G4588" si="1192">F4587</f>
        <v>None</v>
      </c>
      <c r="G4588" s="15" t="str">
        <f t="shared" si="1192"/>
        <v>None</v>
      </c>
      <c r="H4588" s="24">
        <f t="shared" si="961"/>
        <v>0</v>
      </c>
      <c r="I4588" s="24" cm="1">
        <f t="array" ref="I4588">IFERROR(IF($B4588=I$1, ($A4588+$C4588) - MAX(IF($B$2:$B4587=$B4588, $A$2:$A4587+$C$2:$C4587)), "")*24*60, "")</f>
        <v>0</v>
      </c>
      <c r="J4588" s="24" t="str" cm="1">
        <f t="array" ref="J4588">IFERROR(IF($B4588=J$1, ($A4588+$C4588) - MAX(IF($B$2:$B4587=$B4588, $A$2:$A4587+$C$2:$C4587)), "")*24*60, "")</f>
        <v/>
      </c>
      <c r="K4588" s="24" t="str" cm="1">
        <f t="array" ref="K4588">IFERROR(IF($B4588=K$1, ($A4588+$C4588) - MAX(IF($B$2:$B4587=$B4588, $A$2:$A4587+$C$2:$C4587)), "")*24*60, "")</f>
        <v/>
      </c>
      <c r="L4588" s="24" t="str" cm="1">
        <f t="array" ref="L4588">IFERROR(IF($B4588=L$1, ($A4588+$C4588) - MAX(IF($B$2:$B4587=$B4588, $A$2:$A4587+$C$2:$C4587)), "")*24*60, "")</f>
        <v/>
      </c>
      <c r="M4588" s="24" t="str" cm="1">
        <f t="array" ref="M4588">IFERROR(IF($B4588=M$1, ($A4588+$C4588) - MAX(IF($B$2:$B4587=$B4588, $A$2:$A4587+$C$2:$C4587)), "")*24*60, "")</f>
        <v/>
      </c>
      <c r="N4588" s="24" t="str" cm="1">
        <f t="array" ref="N4588">IFERROR(IF($B4588=N$1, ($A4588+$C4588) - MAX(IF($B$2:$B4587=$B4588, $A$2:$A4587+$C$2:$C4587)), "")*24*60, "")</f>
        <v/>
      </c>
      <c r="O4588" s="24" t="str" cm="1">
        <f t="array" ref="O4588">IFERROR(IF($B4588=O$1, ($A4588+$C4588) - MAX(IF($B$2:$B4587=$B4588, $A$2:$A4587+$C$2:$C4587)), "")*24*60, "")</f>
        <v/>
      </c>
      <c r="P4588" s="24" t="str" cm="1">
        <f t="array" ref="P4588">IFERROR(IF($B4588=P$1, ($A4588+$C4588) - MAX(IF($B$2:$B4587=$B4588, $A$2:$A4587+$C$2:$C4587)), "")*24*60, "")</f>
        <v/>
      </c>
    </row>
    <row r="4589" spans="1:16" x14ac:dyDescent="0.2">
      <c r="A4589" s="12">
        <f t="shared" ref="A4589:C4589" si="1193">A4588</f>
        <v>45969</v>
      </c>
      <c r="B4589" s="5" t="str">
        <f t="shared" si="1193"/>
        <v>Northern Cardinal</v>
      </c>
      <c r="C4589" s="6">
        <f t="shared" si="1193"/>
        <v>0.73888888888888893</v>
      </c>
      <c r="D4589" s="5"/>
      <c r="E4589" s="5"/>
      <c r="F4589" s="5" t="str">
        <f t="shared" ref="F4589:G4589" si="1194">F4588</f>
        <v>None</v>
      </c>
      <c r="G4589" s="15" t="str">
        <f t="shared" si="1194"/>
        <v>None</v>
      </c>
      <c r="H4589" s="24">
        <f t="shared" si="961"/>
        <v>0</v>
      </c>
      <c r="I4589" s="24" cm="1">
        <f t="array" ref="I4589">IFERROR(IF($B4589=I$1, ($A4589+$C4589) - MAX(IF($B$2:$B4588=$B4589, $A$2:$A4588+$C$2:$C4588)), "")*24*60, "")</f>
        <v>0</v>
      </c>
      <c r="J4589" s="24" t="str" cm="1">
        <f t="array" ref="J4589">IFERROR(IF($B4589=J$1, ($A4589+$C4589) - MAX(IF($B$2:$B4588=$B4589, $A$2:$A4588+$C$2:$C4588)), "")*24*60, "")</f>
        <v/>
      </c>
      <c r="K4589" s="24" t="str" cm="1">
        <f t="array" ref="K4589">IFERROR(IF($B4589=K$1, ($A4589+$C4589) - MAX(IF($B$2:$B4588=$B4589, $A$2:$A4588+$C$2:$C4588)), "")*24*60, "")</f>
        <v/>
      </c>
      <c r="L4589" s="24" t="str" cm="1">
        <f t="array" ref="L4589">IFERROR(IF($B4589=L$1, ($A4589+$C4589) - MAX(IF($B$2:$B4588=$B4589, $A$2:$A4588+$C$2:$C4588)), "")*24*60, "")</f>
        <v/>
      </c>
      <c r="M4589" s="24" t="str" cm="1">
        <f t="array" ref="M4589">IFERROR(IF($B4589=M$1, ($A4589+$C4589) - MAX(IF($B$2:$B4588=$B4589, $A$2:$A4588+$C$2:$C4588)), "")*24*60, "")</f>
        <v/>
      </c>
      <c r="N4589" s="24" t="str" cm="1">
        <f t="array" ref="N4589">IFERROR(IF($B4589=N$1, ($A4589+$C4589) - MAX(IF($B$2:$B4588=$B4589, $A$2:$A4588+$C$2:$C4588)), "")*24*60, "")</f>
        <v/>
      </c>
      <c r="O4589" s="24" t="str" cm="1">
        <f t="array" ref="O4589">IFERROR(IF($B4589=O$1, ($A4589+$C4589) - MAX(IF($B$2:$B4588=$B4589, $A$2:$A4588+$C$2:$C4588)), "")*24*60, "")</f>
        <v/>
      </c>
      <c r="P4589" s="24" t="str" cm="1">
        <f t="array" ref="P4589">IFERROR(IF($B4589=P$1, ($A4589+$C4589) - MAX(IF($B$2:$B4588=$B4589, $A$2:$A4588+$C$2:$C4588)), "")*24*60, "")</f>
        <v/>
      </c>
    </row>
    <row r="4590" spans="1:16" x14ac:dyDescent="0.2">
      <c r="A4590" s="12">
        <f t="shared" ref="A4590:C4590" si="1195">A4589</f>
        <v>45969</v>
      </c>
      <c r="B4590" s="5" t="str">
        <f t="shared" si="1195"/>
        <v>Northern Cardinal</v>
      </c>
      <c r="C4590" s="6">
        <f t="shared" si="1195"/>
        <v>0.73888888888888893</v>
      </c>
      <c r="D4590" s="5"/>
      <c r="E4590" s="5"/>
      <c r="F4590" s="5" t="str">
        <f t="shared" ref="F4590:G4590" si="1196">F4589</f>
        <v>None</v>
      </c>
      <c r="G4590" s="15" t="str">
        <f t="shared" si="1196"/>
        <v>None</v>
      </c>
      <c r="H4590" s="24">
        <f t="shared" si="961"/>
        <v>0</v>
      </c>
      <c r="I4590" s="24" cm="1">
        <f t="array" ref="I4590">IFERROR(IF($B4590=I$1, ($A4590+$C4590) - MAX(IF($B$2:$B4589=$B4590, $A$2:$A4589+$C$2:$C4589)), "")*24*60, "")</f>
        <v>0</v>
      </c>
      <c r="J4590" s="24" t="str" cm="1">
        <f t="array" ref="J4590">IFERROR(IF($B4590=J$1, ($A4590+$C4590) - MAX(IF($B$2:$B4589=$B4590, $A$2:$A4589+$C$2:$C4589)), "")*24*60, "")</f>
        <v/>
      </c>
      <c r="K4590" s="24" t="str" cm="1">
        <f t="array" ref="K4590">IFERROR(IF($B4590=K$1, ($A4590+$C4590) - MAX(IF($B$2:$B4589=$B4590, $A$2:$A4589+$C$2:$C4589)), "")*24*60, "")</f>
        <v/>
      </c>
      <c r="L4590" s="24" t="str" cm="1">
        <f t="array" ref="L4590">IFERROR(IF($B4590=L$1, ($A4590+$C4590) - MAX(IF($B$2:$B4589=$B4590, $A$2:$A4589+$C$2:$C4589)), "")*24*60, "")</f>
        <v/>
      </c>
      <c r="M4590" s="24" t="str" cm="1">
        <f t="array" ref="M4590">IFERROR(IF($B4590=M$1, ($A4590+$C4590) - MAX(IF($B$2:$B4589=$B4590, $A$2:$A4589+$C$2:$C4589)), "")*24*60, "")</f>
        <v/>
      </c>
      <c r="N4590" s="24" t="str" cm="1">
        <f t="array" ref="N4590">IFERROR(IF($B4590=N$1, ($A4590+$C4590) - MAX(IF($B$2:$B4589=$B4590, $A$2:$A4589+$C$2:$C4589)), "")*24*60, "")</f>
        <v/>
      </c>
      <c r="O4590" s="24" t="str" cm="1">
        <f t="array" ref="O4590">IFERROR(IF($B4590=O$1, ($A4590+$C4590) - MAX(IF($B$2:$B4589=$B4590, $A$2:$A4589+$C$2:$C4589)), "")*24*60, "")</f>
        <v/>
      </c>
      <c r="P4590" s="24" t="str" cm="1">
        <f t="array" ref="P4590">IFERROR(IF($B4590=P$1, ($A4590+$C4590) - MAX(IF($B$2:$B4589=$B4590, $A$2:$A4589+$C$2:$C4589)), "")*24*60, "")</f>
        <v/>
      </c>
    </row>
    <row r="4591" spans="1:16" x14ac:dyDescent="0.2">
      <c r="A4591" s="12">
        <f t="shared" ref="A4591:C4591" si="1197">A4590</f>
        <v>45969</v>
      </c>
      <c r="B4591" s="5" t="str">
        <f t="shared" si="1197"/>
        <v>Northern Cardinal</v>
      </c>
      <c r="C4591" s="6">
        <f t="shared" si="1197"/>
        <v>0.73888888888888893</v>
      </c>
      <c r="D4591" s="5"/>
      <c r="E4591" s="5"/>
      <c r="F4591" s="5" t="str">
        <f t="shared" ref="F4591:G4591" si="1198">F4590</f>
        <v>None</v>
      </c>
      <c r="G4591" s="15" t="str">
        <f t="shared" si="1198"/>
        <v>None</v>
      </c>
      <c r="H4591" s="24">
        <f t="shared" si="961"/>
        <v>0</v>
      </c>
      <c r="I4591" s="24" cm="1">
        <f t="array" ref="I4591">IFERROR(IF($B4591=I$1, ($A4591+$C4591) - MAX(IF($B$2:$B4590=$B4591, $A$2:$A4590+$C$2:$C4590)), "")*24*60, "")</f>
        <v>0</v>
      </c>
      <c r="J4591" s="24" t="str" cm="1">
        <f t="array" ref="J4591">IFERROR(IF($B4591=J$1, ($A4591+$C4591) - MAX(IF($B$2:$B4590=$B4591, $A$2:$A4590+$C$2:$C4590)), "")*24*60, "")</f>
        <v/>
      </c>
      <c r="K4591" s="24" t="str" cm="1">
        <f t="array" ref="K4591">IFERROR(IF($B4591=K$1, ($A4591+$C4591) - MAX(IF($B$2:$B4590=$B4591, $A$2:$A4590+$C$2:$C4590)), "")*24*60, "")</f>
        <v/>
      </c>
      <c r="L4591" s="24" t="str" cm="1">
        <f t="array" ref="L4591">IFERROR(IF($B4591=L$1, ($A4591+$C4591) - MAX(IF($B$2:$B4590=$B4591, $A$2:$A4590+$C$2:$C4590)), "")*24*60, "")</f>
        <v/>
      </c>
      <c r="M4591" s="24" t="str" cm="1">
        <f t="array" ref="M4591">IFERROR(IF($B4591=M$1, ($A4591+$C4591) - MAX(IF($B$2:$B4590=$B4591, $A$2:$A4590+$C$2:$C4590)), "")*24*60, "")</f>
        <v/>
      </c>
      <c r="N4591" s="24" t="str" cm="1">
        <f t="array" ref="N4591">IFERROR(IF($B4591=N$1, ($A4591+$C4591) - MAX(IF($B$2:$B4590=$B4591, $A$2:$A4590+$C$2:$C4590)), "")*24*60, "")</f>
        <v/>
      </c>
      <c r="O4591" s="24" t="str" cm="1">
        <f t="array" ref="O4591">IFERROR(IF($B4591=O$1, ($A4591+$C4591) - MAX(IF($B$2:$B4590=$B4591, $A$2:$A4590+$C$2:$C4590)), "")*24*60, "")</f>
        <v/>
      </c>
      <c r="P4591" s="24" t="str" cm="1">
        <f t="array" ref="P4591">IFERROR(IF($B4591=P$1, ($A4591+$C4591) - MAX(IF($B$2:$B4590=$B4591, $A$2:$A4590+$C$2:$C4590)), "")*24*60, "")</f>
        <v/>
      </c>
    </row>
    <row r="4592" spans="1:16" x14ac:dyDescent="0.2">
      <c r="A4592" s="12">
        <f t="shared" ref="A4592:C4592" si="1199">A4591</f>
        <v>45969</v>
      </c>
      <c r="B4592" s="5" t="str">
        <f t="shared" si="1199"/>
        <v>Northern Cardinal</v>
      </c>
      <c r="C4592" s="6">
        <f t="shared" si="1199"/>
        <v>0.73888888888888893</v>
      </c>
      <c r="D4592" s="5"/>
      <c r="E4592" s="5"/>
      <c r="F4592" s="5" t="str">
        <f t="shared" ref="F4592:G4592" si="1200">F4591</f>
        <v>None</v>
      </c>
      <c r="G4592" s="15" t="str">
        <f t="shared" si="1200"/>
        <v>None</v>
      </c>
      <c r="H4592" s="24">
        <f t="shared" si="961"/>
        <v>0</v>
      </c>
      <c r="I4592" s="24" cm="1">
        <f t="array" ref="I4592">IFERROR(IF($B4592=I$1, ($A4592+$C4592) - MAX(IF($B$2:$B4591=$B4592, $A$2:$A4591+$C$2:$C4591)), "")*24*60, "")</f>
        <v>0</v>
      </c>
      <c r="J4592" s="24" t="str" cm="1">
        <f t="array" ref="J4592">IFERROR(IF($B4592=J$1, ($A4592+$C4592) - MAX(IF($B$2:$B4591=$B4592, $A$2:$A4591+$C$2:$C4591)), "")*24*60, "")</f>
        <v/>
      </c>
      <c r="K4592" s="24" t="str" cm="1">
        <f t="array" ref="K4592">IFERROR(IF($B4592=K$1, ($A4592+$C4592) - MAX(IF($B$2:$B4591=$B4592, $A$2:$A4591+$C$2:$C4591)), "")*24*60, "")</f>
        <v/>
      </c>
      <c r="L4592" s="24" t="str" cm="1">
        <f t="array" ref="L4592">IFERROR(IF($B4592=L$1, ($A4592+$C4592) - MAX(IF($B$2:$B4591=$B4592, $A$2:$A4591+$C$2:$C4591)), "")*24*60, "")</f>
        <v/>
      </c>
      <c r="M4592" s="24" t="str" cm="1">
        <f t="array" ref="M4592">IFERROR(IF($B4592=M$1, ($A4592+$C4592) - MAX(IF($B$2:$B4591=$B4592, $A$2:$A4591+$C$2:$C4591)), "")*24*60, "")</f>
        <v/>
      </c>
      <c r="N4592" s="24" t="str" cm="1">
        <f t="array" ref="N4592">IFERROR(IF($B4592=N$1, ($A4592+$C4592) - MAX(IF($B$2:$B4591=$B4592, $A$2:$A4591+$C$2:$C4591)), "")*24*60, "")</f>
        <v/>
      </c>
      <c r="O4592" s="24" t="str" cm="1">
        <f t="array" ref="O4592">IFERROR(IF($B4592=O$1, ($A4592+$C4592) - MAX(IF($B$2:$B4591=$B4592, $A$2:$A4591+$C$2:$C4591)), "")*24*60, "")</f>
        <v/>
      </c>
      <c r="P4592" s="24" t="str" cm="1">
        <f t="array" ref="P4592">IFERROR(IF($B4592=P$1, ($A4592+$C4592) - MAX(IF($B$2:$B4591=$B4592, $A$2:$A4591+$C$2:$C4591)), "")*24*60, "")</f>
        <v/>
      </c>
    </row>
    <row r="4593" spans="1:16" x14ac:dyDescent="0.2">
      <c r="A4593" s="12">
        <f t="shared" ref="A4593:C4593" si="1201">A4592</f>
        <v>45969</v>
      </c>
      <c r="B4593" s="5" t="str">
        <f t="shared" si="1201"/>
        <v>Northern Cardinal</v>
      </c>
      <c r="C4593" s="6">
        <f t="shared" si="1201"/>
        <v>0.73888888888888893</v>
      </c>
      <c r="D4593" s="5"/>
      <c r="E4593" s="5"/>
      <c r="F4593" s="5" t="str">
        <f t="shared" ref="F4593:G4593" si="1202">F4592</f>
        <v>None</v>
      </c>
      <c r="G4593" s="15" t="str">
        <f t="shared" si="1202"/>
        <v>None</v>
      </c>
      <c r="H4593" s="24">
        <f t="shared" si="961"/>
        <v>0</v>
      </c>
      <c r="I4593" s="24" cm="1">
        <f t="array" ref="I4593">IFERROR(IF($B4593=I$1, ($A4593+$C4593) - MAX(IF($B$2:$B4592=$B4593, $A$2:$A4592+$C$2:$C4592)), "")*24*60, "")</f>
        <v>0</v>
      </c>
      <c r="J4593" s="24" t="str" cm="1">
        <f t="array" ref="J4593">IFERROR(IF($B4593=J$1, ($A4593+$C4593) - MAX(IF($B$2:$B4592=$B4593, $A$2:$A4592+$C$2:$C4592)), "")*24*60, "")</f>
        <v/>
      </c>
      <c r="K4593" s="24" t="str" cm="1">
        <f t="array" ref="K4593">IFERROR(IF($B4593=K$1, ($A4593+$C4593) - MAX(IF($B$2:$B4592=$B4593, $A$2:$A4592+$C$2:$C4592)), "")*24*60, "")</f>
        <v/>
      </c>
      <c r="L4593" s="24" t="str" cm="1">
        <f t="array" ref="L4593">IFERROR(IF($B4593=L$1, ($A4593+$C4593) - MAX(IF($B$2:$B4592=$B4593, $A$2:$A4592+$C$2:$C4592)), "")*24*60, "")</f>
        <v/>
      </c>
      <c r="M4593" s="24" t="str" cm="1">
        <f t="array" ref="M4593">IFERROR(IF($B4593=M$1, ($A4593+$C4593) - MAX(IF($B$2:$B4592=$B4593, $A$2:$A4592+$C$2:$C4592)), "")*24*60, "")</f>
        <v/>
      </c>
      <c r="N4593" s="24" t="str" cm="1">
        <f t="array" ref="N4593">IFERROR(IF($B4593=N$1, ($A4593+$C4593) - MAX(IF($B$2:$B4592=$B4593, $A$2:$A4592+$C$2:$C4592)), "")*24*60, "")</f>
        <v/>
      </c>
      <c r="O4593" s="24" t="str" cm="1">
        <f t="array" ref="O4593">IFERROR(IF($B4593=O$1, ($A4593+$C4593) - MAX(IF($B$2:$B4592=$B4593, $A$2:$A4592+$C$2:$C4592)), "")*24*60, "")</f>
        <v/>
      </c>
      <c r="P4593" s="24" t="str" cm="1">
        <f t="array" ref="P4593">IFERROR(IF($B4593=P$1, ($A4593+$C4593) - MAX(IF($B$2:$B4592=$B4593, $A$2:$A4592+$C$2:$C4592)), "")*24*60, "")</f>
        <v/>
      </c>
    </row>
    <row r="4594" spans="1:16" x14ac:dyDescent="0.2">
      <c r="A4594" s="12">
        <f t="shared" ref="A4594:C4594" si="1203">A4593</f>
        <v>45969</v>
      </c>
      <c r="B4594" s="5" t="str">
        <f t="shared" si="1203"/>
        <v>Northern Cardinal</v>
      </c>
      <c r="C4594" s="6">
        <f t="shared" si="1203"/>
        <v>0.73888888888888893</v>
      </c>
      <c r="D4594" s="5"/>
      <c r="E4594" s="5"/>
      <c r="F4594" s="5" t="str">
        <f t="shared" ref="F4594:G4594" si="1204">F4593</f>
        <v>None</v>
      </c>
      <c r="G4594" s="15" t="str">
        <f t="shared" si="1204"/>
        <v>None</v>
      </c>
      <c r="H4594" s="24">
        <f t="shared" si="961"/>
        <v>0</v>
      </c>
      <c r="I4594" s="24" cm="1">
        <f t="array" ref="I4594">IFERROR(IF($B4594=I$1, ($A4594+$C4594) - MAX(IF($B$2:$B4593=$B4594, $A$2:$A4593+$C$2:$C4593)), "")*24*60, "")</f>
        <v>0</v>
      </c>
      <c r="J4594" s="24" t="str" cm="1">
        <f t="array" ref="J4594">IFERROR(IF($B4594=J$1, ($A4594+$C4594) - MAX(IF($B$2:$B4593=$B4594, $A$2:$A4593+$C$2:$C4593)), "")*24*60, "")</f>
        <v/>
      </c>
      <c r="K4594" s="24" t="str" cm="1">
        <f t="array" ref="K4594">IFERROR(IF($B4594=K$1, ($A4594+$C4594) - MAX(IF($B$2:$B4593=$B4594, $A$2:$A4593+$C$2:$C4593)), "")*24*60, "")</f>
        <v/>
      </c>
      <c r="L4594" s="24" t="str" cm="1">
        <f t="array" ref="L4594">IFERROR(IF($B4594=L$1, ($A4594+$C4594) - MAX(IF($B$2:$B4593=$B4594, $A$2:$A4593+$C$2:$C4593)), "")*24*60, "")</f>
        <v/>
      </c>
      <c r="M4594" s="24" t="str" cm="1">
        <f t="array" ref="M4594">IFERROR(IF($B4594=M$1, ($A4594+$C4594) - MAX(IF($B$2:$B4593=$B4594, $A$2:$A4593+$C$2:$C4593)), "")*24*60, "")</f>
        <v/>
      </c>
      <c r="N4594" s="24" t="str" cm="1">
        <f t="array" ref="N4594">IFERROR(IF($B4594=N$1, ($A4594+$C4594) - MAX(IF($B$2:$B4593=$B4594, $A$2:$A4593+$C$2:$C4593)), "")*24*60, "")</f>
        <v/>
      </c>
      <c r="O4594" s="24" t="str" cm="1">
        <f t="array" ref="O4594">IFERROR(IF($B4594=O$1, ($A4594+$C4594) - MAX(IF($B$2:$B4593=$B4594, $A$2:$A4593+$C$2:$C4593)), "")*24*60, "")</f>
        <v/>
      </c>
      <c r="P4594" s="24" t="str" cm="1">
        <f t="array" ref="P4594">IFERROR(IF($B4594=P$1, ($A4594+$C4594) - MAX(IF($B$2:$B4593=$B4594, $A$2:$A4593+$C$2:$C4593)), "")*24*60, "")</f>
        <v/>
      </c>
    </row>
    <row r="4595" spans="1:16" x14ac:dyDescent="0.2">
      <c r="A4595" s="12">
        <f t="shared" ref="A4595:C4595" si="1205">A4594</f>
        <v>45969</v>
      </c>
      <c r="B4595" s="5" t="str">
        <f t="shared" si="1205"/>
        <v>Northern Cardinal</v>
      </c>
      <c r="C4595" s="6">
        <f t="shared" si="1205"/>
        <v>0.73888888888888893</v>
      </c>
      <c r="D4595" s="5"/>
      <c r="E4595" s="5"/>
      <c r="F4595" s="5" t="str">
        <f t="shared" ref="F4595:G4595" si="1206">F4594</f>
        <v>None</v>
      </c>
      <c r="G4595" s="15" t="str">
        <f t="shared" si="1206"/>
        <v>None</v>
      </c>
      <c r="H4595" s="24">
        <f t="shared" si="961"/>
        <v>0</v>
      </c>
      <c r="I4595" s="24" cm="1">
        <f t="array" ref="I4595">IFERROR(IF($B4595=I$1, ($A4595+$C4595) - MAX(IF($B$2:$B4594=$B4595, $A$2:$A4594+$C$2:$C4594)), "")*24*60, "")</f>
        <v>0</v>
      </c>
      <c r="J4595" s="24" t="str" cm="1">
        <f t="array" ref="J4595">IFERROR(IF($B4595=J$1, ($A4595+$C4595) - MAX(IF($B$2:$B4594=$B4595, $A$2:$A4594+$C$2:$C4594)), "")*24*60, "")</f>
        <v/>
      </c>
      <c r="K4595" s="24" t="str" cm="1">
        <f t="array" ref="K4595">IFERROR(IF($B4595=K$1, ($A4595+$C4595) - MAX(IF($B$2:$B4594=$B4595, $A$2:$A4594+$C$2:$C4594)), "")*24*60, "")</f>
        <v/>
      </c>
      <c r="L4595" s="24" t="str" cm="1">
        <f t="array" ref="L4595">IFERROR(IF($B4595=L$1, ($A4595+$C4595) - MAX(IF($B$2:$B4594=$B4595, $A$2:$A4594+$C$2:$C4594)), "")*24*60, "")</f>
        <v/>
      </c>
      <c r="M4595" s="24" t="str" cm="1">
        <f t="array" ref="M4595">IFERROR(IF($B4595=M$1, ($A4595+$C4595) - MAX(IF($B$2:$B4594=$B4595, $A$2:$A4594+$C$2:$C4594)), "")*24*60, "")</f>
        <v/>
      </c>
      <c r="N4595" s="24" t="str" cm="1">
        <f t="array" ref="N4595">IFERROR(IF($B4595=N$1, ($A4595+$C4595) - MAX(IF($B$2:$B4594=$B4595, $A$2:$A4594+$C$2:$C4594)), "")*24*60, "")</f>
        <v/>
      </c>
      <c r="O4595" s="24" t="str" cm="1">
        <f t="array" ref="O4595">IFERROR(IF($B4595=O$1, ($A4595+$C4595) - MAX(IF($B$2:$B4594=$B4595, $A$2:$A4594+$C$2:$C4594)), "")*24*60, "")</f>
        <v/>
      </c>
      <c r="P4595" s="24" t="str" cm="1">
        <f t="array" ref="P4595">IFERROR(IF($B4595=P$1, ($A4595+$C4595) - MAX(IF($B$2:$B4594=$B4595, $A$2:$A4594+$C$2:$C4594)), "")*24*60, "")</f>
        <v/>
      </c>
    </row>
    <row r="4596" spans="1:16" x14ac:dyDescent="0.2">
      <c r="A4596" s="12">
        <f t="shared" ref="A4596:C4596" si="1207">A4595</f>
        <v>45969</v>
      </c>
      <c r="B4596" s="5" t="str">
        <f t="shared" si="1207"/>
        <v>Northern Cardinal</v>
      </c>
      <c r="C4596" s="6">
        <f t="shared" si="1207"/>
        <v>0.73888888888888893</v>
      </c>
      <c r="D4596" s="5"/>
      <c r="E4596" s="5"/>
      <c r="F4596" s="5" t="str">
        <f t="shared" ref="F4596:G4596" si="1208">F4595</f>
        <v>None</v>
      </c>
      <c r="G4596" s="15" t="str">
        <f t="shared" si="1208"/>
        <v>None</v>
      </c>
      <c r="H4596" s="24">
        <f t="shared" si="961"/>
        <v>0</v>
      </c>
      <c r="I4596" s="24" cm="1">
        <f t="array" ref="I4596">IFERROR(IF($B4596=I$1, ($A4596+$C4596) - MAX(IF($B$2:$B4595=$B4596, $A$2:$A4595+$C$2:$C4595)), "")*24*60, "")</f>
        <v>0</v>
      </c>
      <c r="J4596" s="24" t="str" cm="1">
        <f t="array" ref="J4596">IFERROR(IF($B4596=J$1, ($A4596+$C4596) - MAX(IF($B$2:$B4595=$B4596, $A$2:$A4595+$C$2:$C4595)), "")*24*60, "")</f>
        <v/>
      </c>
      <c r="K4596" s="24" t="str" cm="1">
        <f t="array" ref="K4596">IFERROR(IF($B4596=K$1, ($A4596+$C4596) - MAX(IF($B$2:$B4595=$B4596, $A$2:$A4595+$C$2:$C4595)), "")*24*60, "")</f>
        <v/>
      </c>
      <c r="L4596" s="24" t="str" cm="1">
        <f t="array" ref="L4596">IFERROR(IF($B4596=L$1, ($A4596+$C4596) - MAX(IF($B$2:$B4595=$B4596, $A$2:$A4595+$C$2:$C4595)), "")*24*60, "")</f>
        <v/>
      </c>
      <c r="M4596" s="24" t="str" cm="1">
        <f t="array" ref="M4596">IFERROR(IF($B4596=M$1, ($A4596+$C4596) - MAX(IF($B$2:$B4595=$B4596, $A$2:$A4595+$C$2:$C4595)), "")*24*60, "")</f>
        <v/>
      </c>
      <c r="N4596" s="24" t="str" cm="1">
        <f t="array" ref="N4596">IFERROR(IF($B4596=N$1, ($A4596+$C4596) - MAX(IF($B$2:$B4595=$B4596, $A$2:$A4595+$C$2:$C4595)), "")*24*60, "")</f>
        <v/>
      </c>
      <c r="O4596" s="24" t="str" cm="1">
        <f t="array" ref="O4596">IFERROR(IF($B4596=O$1, ($A4596+$C4596) - MAX(IF($B$2:$B4595=$B4596, $A$2:$A4595+$C$2:$C4595)), "")*24*60, "")</f>
        <v/>
      </c>
      <c r="P4596" s="24" t="str" cm="1">
        <f t="array" ref="P4596">IFERROR(IF($B4596=P$1, ($A4596+$C4596) - MAX(IF($B$2:$B4595=$B4596, $A$2:$A4595+$C$2:$C4595)), "")*24*60, "")</f>
        <v/>
      </c>
    </row>
    <row r="4597" spans="1:16" x14ac:dyDescent="0.2">
      <c r="A4597" s="12">
        <f t="shared" ref="A4597:C4597" si="1209">A4596</f>
        <v>45969</v>
      </c>
      <c r="B4597" s="5" t="str">
        <f t="shared" si="1209"/>
        <v>Northern Cardinal</v>
      </c>
      <c r="C4597" s="6">
        <f t="shared" si="1209"/>
        <v>0.73888888888888893</v>
      </c>
      <c r="D4597" s="5"/>
      <c r="E4597" s="5"/>
      <c r="F4597" s="5" t="str">
        <f t="shared" ref="F4597:G4597" si="1210">F4596</f>
        <v>None</v>
      </c>
      <c r="G4597" s="15" t="str">
        <f t="shared" si="1210"/>
        <v>None</v>
      </c>
      <c r="H4597" s="24">
        <f t="shared" si="961"/>
        <v>0</v>
      </c>
      <c r="I4597" s="24" cm="1">
        <f t="array" ref="I4597">IFERROR(IF($B4597=I$1, ($A4597+$C4597) - MAX(IF($B$2:$B4596=$B4597, $A$2:$A4596+$C$2:$C4596)), "")*24*60, "")</f>
        <v>0</v>
      </c>
      <c r="J4597" s="24" t="str" cm="1">
        <f t="array" ref="J4597">IFERROR(IF($B4597=J$1, ($A4597+$C4597) - MAX(IF($B$2:$B4596=$B4597, $A$2:$A4596+$C$2:$C4596)), "")*24*60, "")</f>
        <v/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</row>
    <row r="4598" spans="1:16" x14ac:dyDescent="0.2">
      <c r="A4598" s="12">
        <f t="shared" ref="A4598:C4598" si="1211">A4597</f>
        <v>45969</v>
      </c>
      <c r="B4598" s="5" t="str">
        <f t="shared" si="1211"/>
        <v>Northern Cardinal</v>
      </c>
      <c r="C4598" s="6">
        <f t="shared" si="1211"/>
        <v>0.73888888888888893</v>
      </c>
      <c r="D4598" s="5"/>
      <c r="E4598" s="5"/>
      <c r="F4598" s="5" t="str">
        <f t="shared" ref="F4598:G4598" si="1212">F4597</f>
        <v>None</v>
      </c>
      <c r="G4598" s="15" t="str">
        <f t="shared" si="1212"/>
        <v>None</v>
      </c>
      <c r="H4598" s="24">
        <f t="shared" si="961"/>
        <v>0</v>
      </c>
      <c r="I4598" s="24" cm="1">
        <f t="array" ref="I4598">IFERROR(IF($B4598=I$1, ($A4598+$C4598) - MAX(IF($B$2:$B4597=$B4598, $A$2:$A4597+$C$2:$C4597)), "")*24*60, "")</f>
        <v>0</v>
      </c>
      <c r="J4598" s="24" t="str" cm="1">
        <f t="array" ref="J4598">IFERROR(IF($B4598=J$1, ($A4598+$C4598) - MAX(IF($B$2:$B4597=$B4598, $A$2:$A4597+$C$2:$C4597)), "")*24*60, "")</f>
        <v/>
      </c>
      <c r="K4598" s="24" t="str" cm="1">
        <f t="array" ref="K4598">IFERROR(IF($B4598=K$1, ($A4598+$C4598) - MAX(IF($B$2:$B4597=$B4598, $A$2:$A4597+$C$2:$C4597)), "")*24*60, "")</f>
        <v/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</row>
    <row r="4599" spans="1:16" x14ac:dyDescent="0.2">
      <c r="A4599" s="12">
        <f t="shared" ref="A4599:C4599" si="1213">A4598</f>
        <v>45969</v>
      </c>
      <c r="B4599" s="5" t="str">
        <f t="shared" si="1213"/>
        <v>Northern Cardinal</v>
      </c>
      <c r="C4599" s="6">
        <f t="shared" si="1213"/>
        <v>0.73888888888888893</v>
      </c>
      <c r="D4599" s="5"/>
      <c r="E4599" s="5"/>
      <c r="F4599" s="5" t="str">
        <f t="shared" ref="F4599:G4599" si="1214">F4598</f>
        <v>None</v>
      </c>
      <c r="G4599" s="15" t="str">
        <f t="shared" si="1214"/>
        <v>None</v>
      </c>
      <c r="H4599" s="24">
        <f t="shared" ref="H4599:H4662" si="1215">IFERROR((($A4599+$C4599) - ($A4598+$C4598))*24*60, "")</f>
        <v>0</v>
      </c>
      <c r="I4599" s="24" cm="1">
        <f t="array" ref="I4599">IFERROR(IF($B4599=I$1, ($A4599+$C4599) - MAX(IF($B$2:$B4598=$B4599, $A$2:$A4598+$C$2:$C4598)), "")*24*60, "")</f>
        <v>0</v>
      </c>
      <c r="J4599" s="24" t="str" cm="1">
        <f t="array" ref="J4599">IFERROR(IF($B4599=J$1, ($A4599+$C4599) - MAX(IF($B$2:$B4598=$B4599, $A$2:$A4598+$C$2:$C4598)), "")*24*60, "")</f>
        <v/>
      </c>
      <c r="K4599" s="24" t="str" cm="1">
        <f t="array" ref="K4599">IFERROR(IF($B4599=K$1, ($A4599+$C4599) - MAX(IF($B$2:$B4598=$B4599, $A$2:$A4598+$C$2:$C4598)), "")*24*60, "")</f>
        <v/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</row>
    <row r="4600" spans="1:16" x14ac:dyDescent="0.2">
      <c r="A4600" s="12">
        <f t="shared" ref="A4600:C4600" si="1216">A4599</f>
        <v>45969</v>
      </c>
      <c r="B4600" s="5" t="str">
        <f t="shared" si="1216"/>
        <v>Northern Cardinal</v>
      </c>
      <c r="C4600" s="6">
        <f t="shared" si="1216"/>
        <v>0.73888888888888893</v>
      </c>
      <c r="D4600" s="5"/>
      <c r="E4600" s="5"/>
      <c r="F4600" s="5" t="str">
        <f t="shared" ref="F4600:G4600" si="1217">F4599</f>
        <v>None</v>
      </c>
      <c r="G4600" s="15" t="str">
        <f t="shared" si="1217"/>
        <v>None</v>
      </c>
      <c r="H4600" s="24">
        <f t="shared" si="1215"/>
        <v>0</v>
      </c>
      <c r="I4600" s="24" cm="1">
        <f t="array" ref="I4600">IFERROR(IF($B4600=I$1, ($A4600+$C4600) - MAX(IF($B$2:$B4599=$B4600, $A$2:$A4599+$C$2:$C4599)), "")*24*60, "")</f>
        <v>0</v>
      </c>
      <c r="J4600" s="24" t="str" cm="1">
        <f t="array" ref="J4600">IFERROR(IF($B4600=J$1, ($A4600+$C4600) - MAX(IF($B$2:$B4599=$B4600, $A$2:$A4599+$C$2:$C4599)), "")*24*60, "")</f>
        <v/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</row>
    <row r="4601" spans="1:16" x14ac:dyDescent="0.2">
      <c r="A4601" s="12">
        <f t="shared" ref="A4601:C4601" si="1218">A4600</f>
        <v>45969</v>
      </c>
      <c r="B4601" s="5" t="str">
        <f t="shared" si="1218"/>
        <v>Northern Cardinal</v>
      </c>
      <c r="C4601" s="6">
        <f t="shared" si="1218"/>
        <v>0.73888888888888893</v>
      </c>
      <c r="D4601" s="5"/>
      <c r="E4601" s="5"/>
      <c r="F4601" s="5" t="str">
        <f t="shared" ref="F4601:G4601" si="1219">F4600</f>
        <v>None</v>
      </c>
      <c r="G4601" s="15" t="str">
        <f t="shared" si="1219"/>
        <v>None</v>
      </c>
      <c r="H4601" s="24">
        <f t="shared" si="1215"/>
        <v>0</v>
      </c>
      <c r="I4601" s="24" cm="1">
        <f t="array" ref="I4601">IFERROR(IF($B4601=I$1, ($A4601+$C4601) - MAX(IF($B$2:$B4600=$B4601, $A$2:$A4600+$C$2:$C4600)), "")*24*60, "")</f>
        <v>0</v>
      </c>
      <c r="J4601" s="24" t="str" cm="1">
        <f t="array" ref="J4601">IFERROR(IF($B4601=J$1, ($A4601+$C4601) - MAX(IF($B$2:$B4600=$B4601, $A$2:$A4600+$C$2:$C4600)), "")*24*60, "")</f>
        <v/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</row>
    <row r="4602" spans="1:16" x14ac:dyDescent="0.2">
      <c r="A4602" s="12">
        <f t="shared" ref="A4602:C4602" si="1220">A4601</f>
        <v>45969</v>
      </c>
      <c r="B4602" s="5" t="str">
        <f t="shared" si="1220"/>
        <v>Northern Cardinal</v>
      </c>
      <c r="C4602" s="6">
        <f t="shared" si="1220"/>
        <v>0.73888888888888893</v>
      </c>
      <c r="D4602" s="5"/>
      <c r="E4602" s="5"/>
      <c r="F4602" s="5" t="str">
        <f t="shared" ref="F4602:G4602" si="1221">F4601</f>
        <v>None</v>
      </c>
      <c r="G4602" s="15" t="str">
        <f t="shared" si="1221"/>
        <v>None</v>
      </c>
      <c r="H4602" s="24">
        <f t="shared" si="1215"/>
        <v>0</v>
      </c>
      <c r="I4602" s="24" cm="1">
        <f t="array" ref="I4602">IFERROR(IF($B4602=I$1, ($A4602+$C4602) - MAX(IF($B$2:$B4601=$B4602, $A$2:$A4601+$C$2:$C4601)), "")*24*60, "")</f>
        <v>0</v>
      </c>
      <c r="J4602" s="24" t="str" cm="1">
        <f t="array" ref="J4602">IFERROR(IF($B4602=J$1, ($A4602+$C4602) - MAX(IF($B$2:$B4601=$B4602, $A$2:$A4601+$C$2:$C4601)), "")*24*60, "")</f>
        <v/>
      </c>
      <c r="K4602" s="24" t="str" cm="1">
        <f t="array" ref="K4602">IFERROR(IF($B4602=K$1, ($A4602+$C4602) - MAX(IF($B$2:$B4601=$B4602, $A$2:$A4601+$C$2:$C4601)), "")*24*60, "")</f>
        <v/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</row>
    <row r="4603" spans="1:16" x14ac:dyDescent="0.2">
      <c r="A4603" s="12">
        <f t="shared" ref="A4603:C4603" si="1222">A4602</f>
        <v>45969</v>
      </c>
      <c r="B4603" s="5" t="str">
        <f t="shared" si="1222"/>
        <v>Northern Cardinal</v>
      </c>
      <c r="C4603" s="6">
        <f t="shared" si="1222"/>
        <v>0.73888888888888893</v>
      </c>
      <c r="D4603" s="5"/>
      <c r="E4603" s="5"/>
      <c r="F4603" s="5" t="str">
        <f t="shared" ref="F4603:G4603" si="1223">F4602</f>
        <v>None</v>
      </c>
      <c r="G4603" s="15" t="str">
        <f t="shared" si="1223"/>
        <v>None</v>
      </c>
      <c r="H4603" s="24">
        <f t="shared" si="1215"/>
        <v>0</v>
      </c>
      <c r="I4603" s="24" cm="1">
        <f t="array" ref="I4603">IFERROR(IF($B4603=I$1, ($A4603+$C4603) - MAX(IF($B$2:$B4602=$B4603, $A$2:$A4602+$C$2:$C4602)), "")*24*60, "")</f>
        <v>0</v>
      </c>
      <c r="J4603" s="24" t="str" cm="1">
        <f t="array" ref="J4603">IFERROR(IF($B4603=J$1, ($A4603+$C4603) - MAX(IF($B$2:$B4602=$B4603, $A$2:$A4602+$C$2:$C4602)), "")*24*60, "")</f>
        <v/>
      </c>
      <c r="K4603" s="24" t="str" cm="1">
        <f t="array" ref="K4603">IFERROR(IF($B4603=K$1, ($A4603+$C4603) - MAX(IF($B$2:$B4602=$B4603, $A$2:$A4602+$C$2:$C4602)), "")*24*60, "")</f>
        <v/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</row>
    <row r="4604" spans="1:16" x14ac:dyDescent="0.2">
      <c r="A4604" s="12">
        <f t="shared" ref="A4604:C4604" si="1224">A4603</f>
        <v>45969</v>
      </c>
      <c r="B4604" s="5" t="str">
        <f t="shared" si="1224"/>
        <v>Northern Cardinal</v>
      </c>
      <c r="C4604" s="6">
        <f t="shared" si="1224"/>
        <v>0.73888888888888893</v>
      </c>
      <c r="D4604" s="5"/>
      <c r="E4604" s="5"/>
      <c r="F4604" s="5" t="str">
        <f t="shared" ref="F4604:G4604" si="1225">F4603</f>
        <v>None</v>
      </c>
      <c r="G4604" s="15" t="str">
        <f t="shared" si="1225"/>
        <v>None</v>
      </c>
      <c r="H4604" s="24">
        <f t="shared" si="1215"/>
        <v>0</v>
      </c>
      <c r="I4604" s="24" cm="1">
        <f t="array" ref="I4604">IFERROR(IF($B4604=I$1, ($A4604+$C4604) - MAX(IF($B$2:$B4603=$B4604, $A$2:$A4603+$C$2:$C4603)), "")*24*60, "")</f>
        <v>0</v>
      </c>
      <c r="J4604" s="24" t="str" cm="1">
        <f t="array" ref="J4604">IFERROR(IF($B4604=J$1, ($A4604+$C4604) - MAX(IF($B$2:$B4603=$B4604, $A$2:$A4603+$C$2:$C4603)), "")*24*60, "")</f>
        <v/>
      </c>
      <c r="K4604" s="24" t="str" cm="1">
        <f t="array" ref="K4604">IFERROR(IF($B4604=K$1, ($A4604+$C4604) - MAX(IF($B$2:$B4603=$B4604, $A$2:$A4603+$C$2:$C4603)), "")*24*60, "")</f>
        <v/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</row>
    <row r="4605" spans="1:16" x14ac:dyDescent="0.2">
      <c r="A4605" s="12">
        <f t="shared" ref="A4605:C4605" si="1226">A4604</f>
        <v>45969</v>
      </c>
      <c r="B4605" s="5" t="str">
        <f t="shared" si="1226"/>
        <v>Northern Cardinal</v>
      </c>
      <c r="C4605" s="6">
        <f t="shared" si="1226"/>
        <v>0.73888888888888893</v>
      </c>
      <c r="D4605" s="5"/>
      <c r="E4605" s="5"/>
      <c r="F4605" s="5" t="str">
        <f t="shared" ref="F4605:G4605" si="1227">F4604</f>
        <v>None</v>
      </c>
      <c r="G4605" s="15" t="str">
        <f t="shared" si="1227"/>
        <v>None</v>
      </c>
      <c r="H4605" s="24">
        <f t="shared" si="1215"/>
        <v>0</v>
      </c>
      <c r="I4605" s="24" cm="1">
        <f t="array" ref="I4605">IFERROR(IF($B4605=I$1, ($A4605+$C4605) - MAX(IF($B$2:$B4604=$B4605, $A$2:$A4604+$C$2:$C4604)), "")*24*60, "")</f>
        <v>0</v>
      </c>
      <c r="J4605" s="24" t="str" cm="1">
        <f t="array" ref="J4605">IFERROR(IF($B4605=J$1, ($A4605+$C4605) - MAX(IF($B$2:$B4604=$B4605, $A$2:$A4604+$C$2:$C4604)), "")*24*60, "")</f>
        <v/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</row>
    <row r="4606" spans="1:16" x14ac:dyDescent="0.2">
      <c r="A4606" s="12">
        <f t="shared" ref="A4606:C4606" si="1228">A4605</f>
        <v>45969</v>
      </c>
      <c r="B4606" s="5" t="str">
        <f t="shared" si="1228"/>
        <v>Northern Cardinal</v>
      </c>
      <c r="C4606" s="6">
        <f t="shared" si="1228"/>
        <v>0.73888888888888893</v>
      </c>
      <c r="D4606" s="5"/>
      <c r="E4606" s="5"/>
      <c r="F4606" s="5" t="str">
        <f t="shared" ref="F4606:G4606" si="1229">F4605</f>
        <v>None</v>
      </c>
      <c r="G4606" s="15" t="str">
        <f t="shared" si="1229"/>
        <v>None</v>
      </c>
      <c r="H4606" s="24">
        <f t="shared" si="1215"/>
        <v>0</v>
      </c>
      <c r="I4606" s="24" cm="1">
        <f t="array" ref="I4606">IFERROR(IF($B4606=I$1, ($A4606+$C4606) - MAX(IF($B$2:$B4605=$B4606, $A$2:$A4605+$C$2:$C4605)), "")*24*60, "")</f>
        <v>0</v>
      </c>
      <c r="J4606" s="24" t="str" cm="1">
        <f t="array" ref="J4606">IFERROR(IF($B4606=J$1, ($A4606+$C4606) - MAX(IF($B$2:$B4605=$B4606, $A$2:$A4605+$C$2:$C4605)), "")*24*60, "")</f>
        <v/>
      </c>
      <c r="K4606" s="24" t="str" cm="1">
        <f t="array" ref="K4606">IFERROR(IF($B4606=K$1, ($A4606+$C4606) - MAX(IF($B$2:$B4605=$B4606, $A$2:$A4605+$C$2:$C4605)), "")*24*60, "")</f>
        <v/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</row>
    <row r="4607" spans="1:16" x14ac:dyDescent="0.2">
      <c r="A4607" s="12">
        <f t="shared" ref="A4607:C4607" si="1230">A4606</f>
        <v>45969</v>
      </c>
      <c r="B4607" s="5" t="str">
        <f t="shared" si="1230"/>
        <v>Northern Cardinal</v>
      </c>
      <c r="C4607" s="6">
        <f t="shared" si="1230"/>
        <v>0.73888888888888893</v>
      </c>
      <c r="D4607" s="5"/>
      <c r="E4607" s="5"/>
      <c r="F4607" s="5" t="str">
        <f t="shared" ref="F4607:G4607" si="1231">F4606</f>
        <v>None</v>
      </c>
      <c r="G4607" s="15" t="str">
        <f t="shared" si="1231"/>
        <v>None</v>
      </c>
      <c r="H4607" s="24">
        <f t="shared" si="1215"/>
        <v>0</v>
      </c>
      <c r="I4607" s="24" cm="1">
        <f t="array" ref="I4607">IFERROR(IF($B4607=I$1, ($A4607+$C4607) - MAX(IF($B$2:$B4606=$B4607, $A$2:$A4606+$C$2:$C4606)), "")*24*60, "")</f>
        <v>0</v>
      </c>
      <c r="J4607" s="24" t="str" cm="1">
        <f t="array" ref="J4607">IFERROR(IF($B4607=J$1, ($A4607+$C4607) - MAX(IF($B$2:$B4606=$B4607, $A$2:$A4606+$C$2:$C4606)), "")*24*60, "")</f>
        <v/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</row>
    <row r="4608" spans="1:16" x14ac:dyDescent="0.2">
      <c r="A4608" s="12">
        <f t="shared" ref="A4608:C4608" si="1232">A4607</f>
        <v>45969</v>
      </c>
      <c r="B4608" s="5" t="str">
        <f t="shared" si="1232"/>
        <v>Northern Cardinal</v>
      </c>
      <c r="C4608" s="6">
        <f t="shared" si="1232"/>
        <v>0.73888888888888893</v>
      </c>
      <c r="D4608" s="5"/>
      <c r="E4608" s="5"/>
      <c r="F4608" s="5" t="str">
        <f t="shared" ref="F4608:G4608" si="1233">F4607</f>
        <v>None</v>
      </c>
      <c r="G4608" s="15" t="str">
        <f t="shared" si="1233"/>
        <v>None</v>
      </c>
      <c r="H4608" s="24">
        <f t="shared" si="1215"/>
        <v>0</v>
      </c>
      <c r="I4608" s="24" cm="1">
        <f t="array" ref="I4608">IFERROR(IF($B4608=I$1, ($A4608+$C4608) - MAX(IF($B$2:$B4607=$B4608, $A$2:$A4607+$C$2:$C4607)), "")*24*60, "")</f>
        <v>0</v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</row>
    <row r="4609" spans="1:16" x14ac:dyDescent="0.2">
      <c r="A4609" s="12">
        <f t="shared" ref="A4609:C4609" si="1234">A4608</f>
        <v>45969</v>
      </c>
      <c r="B4609" s="5" t="str">
        <f t="shared" si="1234"/>
        <v>Northern Cardinal</v>
      </c>
      <c r="C4609" s="6">
        <f t="shared" si="1234"/>
        <v>0.73888888888888893</v>
      </c>
      <c r="D4609" s="5"/>
      <c r="E4609" s="5"/>
      <c r="F4609" s="5" t="str">
        <f t="shared" ref="F4609:G4609" si="1235">F4608</f>
        <v>None</v>
      </c>
      <c r="G4609" s="15" t="str">
        <f t="shared" si="1235"/>
        <v>None</v>
      </c>
      <c r="H4609" s="24">
        <f t="shared" si="1215"/>
        <v>0</v>
      </c>
      <c r="I4609" s="24" cm="1">
        <f t="array" ref="I4609">IFERROR(IF($B4609=I$1, ($A4609+$C4609) - MAX(IF($B$2:$B4608=$B4609, $A$2:$A4608+$C$2:$C4608)), "")*24*60, "")</f>
        <v>0</v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</row>
    <row r="4610" spans="1:16" x14ac:dyDescent="0.2">
      <c r="A4610" s="12">
        <f t="shared" ref="A4610:C4610" si="1236">A4609</f>
        <v>45969</v>
      </c>
      <c r="B4610" s="5" t="str">
        <f t="shared" si="1236"/>
        <v>Northern Cardinal</v>
      </c>
      <c r="C4610" s="6">
        <f t="shared" si="1236"/>
        <v>0.73888888888888893</v>
      </c>
      <c r="D4610" s="5"/>
      <c r="E4610" s="5"/>
      <c r="F4610" s="5" t="str">
        <f t="shared" ref="F4610:G4610" si="1237">F4609</f>
        <v>None</v>
      </c>
      <c r="G4610" s="15" t="str">
        <f t="shared" si="1237"/>
        <v>None</v>
      </c>
      <c r="H4610" s="24">
        <f t="shared" si="1215"/>
        <v>0</v>
      </c>
      <c r="I4610" s="24" cm="1">
        <f t="array" ref="I4610">IFERROR(IF($B4610=I$1, ($A4610+$C4610) - MAX(IF($B$2:$B4609=$B4610, $A$2:$A4609+$C$2:$C4609)), "")*24*60, "")</f>
        <v>0</v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t="str" cm="1">
        <f t="array" ref="L4610">IFERROR(IF($B4610=L$1, ($A4610+$C4610) - MAX(IF($B$2:$B4609=$B4610, $A$2:$A4609+$C$2:$C4609)), "")*24*60, "")</f>
        <v/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</row>
    <row r="4611" spans="1:16" x14ac:dyDescent="0.2">
      <c r="A4611" s="12">
        <f t="shared" ref="A4611:C4611" si="1238">A4610</f>
        <v>45969</v>
      </c>
      <c r="B4611" s="5" t="str">
        <f t="shared" si="1238"/>
        <v>Northern Cardinal</v>
      </c>
      <c r="C4611" s="6">
        <f t="shared" si="1238"/>
        <v>0.73888888888888893</v>
      </c>
      <c r="D4611" s="5"/>
      <c r="E4611" s="5"/>
      <c r="F4611" s="5" t="str">
        <f t="shared" ref="F4611:G4611" si="1239">F4610</f>
        <v>None</v>
      </c>
      <c r="G4611" s="15" t="str">
        <f t="shared" si="1239"/>
        <v>None</v>
      </c>
      <c r="H4611" s="24">
        <f t="shared" si="1215"/>
        <v>0</v>
      </c>
      <c r="I4611" s="24" cm="1">
        <f t="array" ref="I4611">IFERROR(IF($B4611=I$1, ($A4611+$C4611) - MAX(IF($B$2:$B4610=$B4611, $A$2:$A4610+$C$2:$C4610)), "")*24*60, "")</f>
        <v>0</v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t="str" cm="1">
        <f t="array" ref="O4611">IFERROR(IF($B4611=O$1, ($A4611+$C4611) - MAX(IF($B$2:$B4610=$B4611, $A$2:$A4610+$C$2:$C4610)), "")*24*60, "")</f>
        <v/>
      </c>
      <c r="P4611" s="24" t="str" cm="1">
        <f t="array" ref="P4611">IFERROR(IF($B4611=P$1, ($A4611+$C4611) - MAX(IF($B$2:$B4610=$B4611, $A$2:$A4610+$C$2:$C4610)), "")*24*60, "")</f>
        <v/>
      </c>
    </row>
    <row r="4612" spans="1:16" x14ac:dyDescent="0.2">
      <c r="A4612" s="12">
        <f t="shared" ref="A4612:C4612" si="1240">A4611</f>
        <v>45969</v>
      </c>
      <c r="B4612" s="5" t="str">
        <f t="shared" si="1240"/>
        <v>Northern Cardinal</v>
      </c>
      <c r="C4612" s="6">
        <f t="shared" si="1240"/>
        <v>0.73888888888888893</v>
      </c>
      <c r="D4612" s="5"/>
      <c r="E4612" s="5"/>
      <c r="F4612" s="5" t="str">
        <f t="shared" ref="F4612:G4612" si="1241">F4611</f>
        <v>None</v>
      </c>
      <c r="G4612" s="15" t="str">
        <f t="shared" si="1241"/>
        <v>None</v>
      </c>
      <c r="H4612" s="24">
        <f t="shared" si="1215"/>
        <v>0</v>
      </c>
      <c r="I4612" s="24" cm="1">
        <f t="array" ref="I4612">IFERROR(IF($B4612=I$1, ($A4612+$C4612) - MAX(IF($B$2:$B4611=$B4612, $A$2:$A4611+$C$2:$C4611)), "")*24*60, "")</f>
        <v>0</v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t="str" cm="1">
        <f t="array" ref="O4612">IFERROR(IF($B4612=O$1, ($A4612+$C4612) - MAX(IF($B$2:$B4611=$B4612, $A$2:$A4611+$C$2:$C4611)), "")*24*60, "")</f>
        <v/>
      </c>
      <c r="P4612" s="24" t="str" cm="1">
        <f t="array" ref="P4612">IFERROR(IF($B4612=P$1, ($A4612+$C4612) - MAX(IF($B$2:$B4611=$B4612, $A$2:$A4611+$C$2:$C4611)), "")*24*60, "")</f>
        <v/>
      </c>
    </row>
    <row r="4613" spans="1:16" x14ac:dyDescent="0.2">
      <c r="A4613" s="12">
        <f t="shared" ref="A4613:C4613" si="1242">A4612</f>
        <v>45969</v>
      </c>
      <c r="B4613" s="5" t="str">
        <f t="shared" si="1242"/>
        <v>Northern Cardinal</v>
      </c>
      <c r="C4613" s="6">
        <f t="shared" si="1242"/>
        <v>0.73888888888888893</v>
      </c>
      <c r="D4613" s="5"/>
      <c r="E4613" s="5"/>
      <c r="F4613" s="5" t="str">
        <f t="shared" ref="F4613:G4613" si="1243">F4612</f>
        <v>None</v>
      </c>
      <c r="G4613" s="15" t="str">
        <f t="shared" si="1243"/>
        <v>None</v>
      </c>
      <c r="H4613" s="24">
        <f t="shared" si="1215"/>
        <v>0</v>
      </c>
      <c r="I4613" s="24" cm="1">
        <f t="array" ref="I4613">IFERROR(IF($B4613=I$1, ($A4613+$C4613) - MAX(IF($B$2:$B4612=$B4613, $A$2:$A4612+$C$2:$C4612)), "")*24*60, "")</f>
        <v>0</v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t="str" cm="1">
        <f t="array" ref="O4613">IFERROR(IF($B4613=O$1, ($A4613+$C4613) - MAX(IF($B$2:$B4612=$B4613, $A$2:$A4612+$C$2:$C4612)), "")*24*60, "")</f>
        <v/>
      </c>
      <c r="P4613" s="24" t="str" cm="1">
        <f t="array" ref="P4613">IFERROR(IF($B4613=P$1, ($A4613+$C4613) - MAX(IF($B$2:$B4612=$B4613, $A$2:$A4612+$C$2:$C4612)), "")*24*60, "")</f>
        <v/>
      </c>
    </row>
    <row r="4614" spans="1:16" x14ac:dyDescent="0.2">
      <c r="A4614" s="12">
        <f t="shared" ref="A4614:C4614" si="1244">A4613</f>
        <v>45969</v>
      </c>
      <c r="B4614" s="5" t="str">
        <f t="shared" si="1244"/>
        <v>Northern Cardinal</v>
      </c>
      <c r="C4614" s="6">
        <f t="shared" si="1244"/>
        <v>0.73888888888888893</v>
      </c>
      <c r="D4614" s="5"/>
      <c r="E4614" s="5"/>
      <c r="F4614" s="5" t="str">
        <f t="shared" ref="F4614:G4614" si="1245">F4613</f>
        <v>None</v>
      </c>
      <c r="G4614" s="15" t="str">
        <f t="shared" si="1245"/>
        <v>None</v>
      </c>
      <c r="H4614" s="24">
        <f t="shared" si="1215"/>
        <v>0</v>
      </c>
      <c r="I4614" s="24" cm="1">
        <f t="array" ref="I4614">IFERROR(IF($B4614=I$1, ($A4614+$C4614) - MAX(IF($B$2:$B4613=$B4614, $A$2:$A4613+$C$2:$C4613)), "")*24*60, "")</f>
        <v>0</v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t="str" cm="1">
        <f t="array" ref="O4614">IFERROR(IF($B4614=O$1, ($A4614+$C4614) - MAX(IF($B$2:$B4613=$B4614, $A$2:$A4613+$C$2:$C4613)), "")*24*60, "")</f>
        <v/>
      </c>
      <c r="P4614" s="24" t="str" cm="1">
        <f t="array" ref="P4614">IFERROR(IF($B4614=P$1, ($A4614+$C4614) - MAX(IF($B$2:$B4613=$B4614, $A$2:$A4613+$C$2:$C4613)), "")*24*60, "")</f>
        <v/>
      </c>
    </row>
    <row r="4615" spans="1:16" x14ac:dyDescent="0.2">
      <c r="A4615" s="12">
        <f t="shared" ref="A4615:C4615" si="1246">A4614</f>
        <v>45969</v>
      </c>
      <c r="B4615" s="5" t="str">
        <f t="shared" si="1246"/>
        <v>Northern Cardinal</v>
      </c>
      <c r="C4615" s="6">
        <f t="shared" si="1246"/>
        <v>0.73888888888888893</v>
      </c>
      <c r="D4615" s="5"/>
      <c r="E4615" s="5"/>
      <c r="F4615" s="5" t="str">
        <f t="shared" ref="F4615:G4615" si="1247">F4614</f>
        <v>None</v>
      </c>
      <c r="G4615" s="15" t="str">
        <f t="shared" si="1247"/>
        <v>None</v>
      </c>
      <c r="H4615" s="24">
        <f t="shared" si="1215"/>
        <v>0</v>
      </c>
      <c r="I4615" s="24" cm="1">
        <f t="array" ref="I4615">IFERROR(IF($B4615=I$1, ($A4615+$C4615) - MAX(IF($B$2:$B4614=$B4615, $A$2:$A4614+$C$2:$C4614)), "")*24*60, "")</f>
        <v>0</v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t="str" cm="1">
        <f t="array" ref="O4615">IFERROR(IF($B4615=O$1, ($A4615+$C4615) - MAX(IF($B$2:$B4614=$B4615, $A$2:$A4614+$C$2:$C4614)), "")*24*60, "")</f>
        <v/>
      </c>
      <c r="P4615" s="24" t="str" cm="1">
        <f t="array" ref="P4615">IFERROR(IF($B4615=P$1, ($A4615+$C4615) - MAX(IF($B$2:$B4614=$B4615, $A$2:$A4614+$C$2:$C4614)), "")*24*60, "")</f>
        <v/>
      </c>
    </row>
    <row r="4616" spans="1:16" x14ac:dyDescent="0.2">
      <c r="A4616" s="12">
        <f t="shared" ref="A4616:C4616" si="1248">A4615</f>
        <v>45969</v>
      </c>
      <c r="B4616" s="5" t="str">
        <f t="shared" si="1248"/>
        <v>Northern Cardinal</v>
      </c>
      <c r="C4616" s="6">
        <f t="shared" si="1248"/>
        <v>0.73888888888888893</v>
      </c>
      <c r="D4616" s="5"/>
      <c r="E4616" s="5"/>
      <c r="F4616" s="5" t="str">
        <f t="shared" ref="F4616:G4616" si="1249">F4615</f>
        <v>None</v>
      </c>
      <c r="G4616" s="15" t="str">
        <f t="shared" si="1249"/>
        <v>None</v>
      </c>
      <c r="H4616" s="24">
        <f t="shared" si="1215"/>
        <v>0</v>
      </c>
      <c r="I4616" s="24" cm="1">
        <f t="array" ref="I4616">IFERROR(IF($B4616=I$1, ($A4616+$C4616) - MAX(IF($B$2:$B4615=$B4616, $A$2:$A4615+$C$2:$C4615)), "")*24*60, "")</f>
        <v>0</v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t="str" cm="1">
        <f t="array" ref="O4616">IFERROR(IF($B4616=O$1, ($A4616+$C4616) - MAX(IF($B$2:$B4615=$B4616, $A$2:$A4615+$C$2:$C4615)), "")*24*60, "")</f>
        <v/>
      </c>
      <c r="P4616" s="24" t="str" cm="1">
        <f t="array" ref="P4616">IFERROR(IF($B4616=P$1, ($A4616+$C4616) - MAX(IF($B$2:$B4615=$B4616, $A$2:$A4615+$C$2:$C4615)), "")*24*60, "")</f>
        <v/>
      </c>
    </row>
    <row r="4617" spans="1:16" x14ac:dyDescent="0.2">
      <c r="A4617" s="12">
        <f t="shared" ref="A4617:C4617" si="1250">A4616</f>
        <v>45969</v>
      </c>
      <c r="B4617" s="5" t="str">
        <f t="shared" si="1250"/>
        <v>Northern Cardinal</v>
      </c>
      <c r="C4617" s="6">
        <f t="shared" si="1250"/>
        <v>0.73888888888888893</v>
      </c>
      <c r="D4617" s="5"/>
      <c r="E4617" s="5"/>
      <c r="F4617" s="5" t="str">
        <f t="shared" ref="F4617:G4617" si="1251">F4616</f>
        <v>None</v>
      </c>
      <c r="G4617" s="15" t="str">
        <f t="shared" si="1251"/>
        <v>None</v>
      </c>
      <c r="H4617" s="24">
        <f t="shared" si="1215"/>
        <v>0</v>
      </c>
      <c r="I4617" s="24" cm="1">
        <f t="array" ref="I4617">IFERROR(IF($B4617=I$1, ($A4617+$C4617) - MAX(IF($B$2:$B4616=$B4617, $A$2:$A4616+$C$2:$C4616)), "")*24*60, "")</f>
        <v>0</v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t="str" cm="1">
        <f t="array" ref="O4617">IFERROR(IF($B4617=O$1, ($A4617+$C4617) - MAX(IF($B$2:$B4616=$B4617, $A$2:$A4616+$C$2:$C4616)), "")*24*60, "")</f>
        <v/>
      </c>
      <c r="P4617" s="24" t="str" cm="1">
        <f t="array" ref="P4617">IFERROR(IF($B4617=P$1, ($A4617+$C4617) - MAX(IF($B$2:$B4616=$B4617, $A$2:$A4616+$C$2:$C4616)), "")*24*60, "")</f>
        <v/>
      </c>
    </row>
    <row r="4618" spans="1:16" x14ac:dyDescent="0.2">
      <c r="A4618" s="12">
        <f t="shared" ref="A4618:C4618" si="1252">A4617</f>
        <v>45969</v>
      </c>
      <c r="B4618" s="5" t="str">
        <f t="shared" si="1252"/>
        <v>Northern Cardinal</v>
      </c>
      <c r="C4618" s="6">
        <f t="shared" si="1252"/>
        <v>0.73888888888888893</v>
      </c>
      <c r="D4618" s="5"/>
      <c r="E4618" s="5"/>
      <c r="F4618" s="5" t="str">
        <f t="shared" ref="F4618:G4618" si="1253">F4617</f>
        <v>None</v>
      </c>
      <c r="G4618" s="15" t="str">
        <f t="shared" si="1253"/>
        <v>None</v>
      </c>
      <c r="H4618" s="24">
        <f t="shared" si="1215"/>
        <v>0</v>
      </c>
      <c r="I4618" s="24" cm="1">
        <f t="array" ref="I4618">IFERROR(IF($B4618=I$1, ($A4618+$C4618) - MAX(IF($B$2:$B4617=$B4618, $A$2:$A4617+$C$2:$C4617)), "")*24*60, "")</f>
        <v>0</v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t="str" cm="1">
        <f t="array" ref="L4618">IFERROR(IF($B4618=L$1, ($A4618+$C4618) - MAX(IF($B$2:$B4617=$B4618, $A$2:$A4617+$C$2:$C4617)), "")*24*60, "")</f>
        <v/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</row>
    <row r="4619" spans="1:16" x14ac:dyDescent="0.2">
      <c r="A4619" s="12">
        <f t="shared" ref="A4619:C4619" si="1254">A4618</f>
        <v>45969</v>
      </c>
      <c r="B4619" s="5" t="str">
        <f t="shared" si="1254"/>
        <v>Northern Cardinal</v>
      </c>
      <c r="C4619" s="6">
        <f t="shared" si="1254"/>
        <v>0.73888888888888893</v>
      </c>
      <c r="D4619" s="5"/>
      <c r="E4619" s="5"/>
      <c r="F4619" s="5" t="str">
        <f t="shared" ref="F4619:G4619" si="1255">F4618</f>
        <v>None</v>
      </c>
      <c r="G4619" s="15" t="str">
        <f t="shared" si="1255"/>
        <v>None</v>
      </c>
      <c r="H4619" s="24">
        <f t="shared" si="1215"/>
        <v>0</v>
      </c>
      <c r="I4619" s="24" cm="1">
        <f t="array" ref="I4619">IFERROR(IF($B4619=I$1, ($A4619+$C4619) - MAX(IF($B$2:$B4618=$B4619, $A$2:$A4618+$C$2:$C4618)), "")*24*60, "")</f>
        <v>0</v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t="str" cm="1">
        <f t="array" ref="L4619">IFERROR(IF($B4619=L$1, ($A4619+$C4619) - MAX(IF($B$2:$B4618=$B4619, $A$2:$A4618+$C$2:$C4618)), "")*24*60, "")</f>
        <v/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</row>
    <row r="4620" spans="1:16" x14ac:dyDescent="0.2">
      <c r="A4620" s="12">
        <f t="shared" ref="A4620:C4620" si="1256">A4619</f>
        <v>45969</v>
      </c>
      <c r="B4620" s="5" t="str">
        <f t="shared" si="1256"/>
        <v>Northern Cardinal</v>
      </c>
      <c r="C4620" s="6">
        <f t="shared" si="1256"/>
        <v>0.73888888888888893</v>
      </c>
      <c r="D4620" s="5"/>
      <c r="E4620" s="5"/>
      <c r="F4620" s="5" t="str">
        <f t="shared" ref="F4620:G4620" si="1257">F4619</f>
        <v>None</v>
      </c>
      <c r="G4620" s="15" t="str">
        <f t="shared" si="1257"/>
        <v>None</v>
      </c>
      <c r="H4620" s="24">
        <f t="shared" si="1215"/>
        <v>0</v>
      </c>
      <c r="I4620" s="24" cm="1">
        <f t="array" ref="I4620">IFERROR(IF($B4620=I$1, ($A4620+$C4620) - MAX(IF($B$2:$B4619=$B4620, $A$2:$A4619+$C$2:$C4619)), "")*24*60, "")</f>
        <v>0</v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t="str" cm="1">
        <f t="array" ref="O4620">IFERROR(IF($B4620=O$1, ($A4620+$C4620) - MAX(IF($B$2:$B4619=$B4620, $A$2:$A4619+$C$2:$C4619)), "")*24*60, "")</f>
        <v/>
      </c>
      <c r="P4620" s="24" t="str" cm="1">
        <f t="array" ref="P4620">IFERROR(IF($B4620=P$1, ($A4620+$C4620) - MAX(IF($B$2:$B4619=$B4620, $A$2:$A4619+$C$2:$C4619)), "")*24*60, "")</f>
        <v/>
      </c>
    </row>
    <row r="4621" spans="1:16" x14ac:dyDescent="0.2">
      <c r="A4621" s="12">
        <f t="shared" ref="A4621:C4621" si="1258">A4620</f>
        <v>45969</v>
      </c>
      <c r="B4621" s="5" t="str">
        <f t="shared" si="1258"/>
        <v>Northern Cardinal</v>
      </c>
      <c r="C4621" s="6">
        <f t="shared" si="1258"/>
        <v>0.73888888888888893</v>
      </c>
      <c r="D4621" s="5"/>
      <c r="E4621" s="5"/>
      <c r="F4621" s="5" t="str">
        <f t="shared" ref="F4621:G4621" si="1259">F4620</f>
        <v>None</v>
      </c>
      <c r="G4621" s="15" t="str">
        <f t="shared" si="1259"/>
        <v>None</v>
      </c>
      <c r="H4621" s="24">
        <f t="shared" si="1215"/>
        <v>0</v>
      </c>
      <c r="I4621" s="24" cm="1">
        <f t="array" ref="I4621">IFERROR(IF($B4621=I$1, ($A4621+$C4621) - MAX(IF($B$2:$B4620=$B4621, $A$2:$A4620+$C$2:$C4620)), "")*24*60, "")</f>
        <v>0</v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t="str" cm="1">
        <f t="array" ref="L4621">IFERROR(IF($B4621=L$1, ($A4621+$C4621) - MAX(IF($B$2:$B4620=$B4621, $A$2:$A4620+$C$2:$C4620)), "")*24*60, "")</f>
        <v/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</row>
    <row r="4622" spans="1:16" x14ac:dyDescent="0.2">
      <c r="A4622" s="12">
        <f t="shared" ref="A4622:C4622" si="1260">A4621</f>
        <v>45969</v>
      </c>
      <c r="B4622" s="5" t="str">
        <f t="shared" si="1260"/>
        <v>Northern Cardinal</v>
      </c>
      <c r="C4622" s="6">
        <f t="shared" si="1260"/>
        <v>0.73888888888888893</v>
      </c>
      <c r="D4622" s="5"/>
      <c r="E4622" s="5"/>
      <c r="F4622" s="5" t="str">
        <f t="shared" ref="F4622:G4622" si="1261">F4621</f>
        <v>None</v>
      </c>
      <c r="G4622" s="15" t="str">
        <f t="shared" si="1261"/>
        <v>None</v>
      </c>
      <c r="H4622" s="24">
        <f t="shared" si="1215"/>
        <v>0</v>
      </c>
      <c r="I4622" s="24" cm="1">
        <f t="array" ref="I4622">IFERROR(IF($B4622=I$1, ($A4622+$C4622) - MAX(IF($B$2:$B4621=$B4622, $A$2:$A4621+$C$2:$C4621)), "")*24*60, "")</f>
        <v>0</v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t="str" cm="1">
        <f t="array" ref="O4622">IFERROR(IF($B4622=O$1, ($A4622+$C4622) - MAX(IF($B$2:$B4621=$B4622, $A$2:$A4621+$C$2:$C4621)), "")*24*60, "")</f>
        <v/>
      </c>
      <c r="P4622" s="24" t="str" cm="1">
        <f t="array" ref="P4622">IFERROR(IF($B4622=P$1, ($A4622+$C4622) - MAX(IF($B$2:$B4621=$B4622, $A$2:$A4621+$C$2:$C4621)), "")*24*60, "")</f>
        <v/>
      </c>
    </row>
    <row r="4623" spans="1:16" x14ac:dyDescent="0.2">
      <c r="A4623" s="12">
        <f t="shared" ref="A4623:C4623" si="1262">A4622</f>
        <v>45969</v>
      </c>
      <c r="B4623" s="5" t="str">
        <f t="shared" si="1262"/>
        <v>Northern Cardinal</v>
      </c>
      <c r="C4623" s="6">
        <f t="shared" si="1262"/>
        <v>0.73888888888888893</v>
      </c>
      <c r="D4623" s="5"/>
      <c r="E4623" s="5"/>
      <c r="F4623" s="5" t="str">
        <f t="shared" ref="F4623:G4623" si="1263">F4622</f>
        <v>None</v>
      </c>
      <c r="G4623" s="15" t="str">
        <f t="shared" si="1263"/>
        <v>None</v>
      </c>
      <c r="H4623" s="24">
        <f t="shared" si="1215"/>
        <v>0</v>
      </c>
      <c r="I4623" s="24" cm="1">
        <f t="array" ref="I4623">IFERROR(IF($B4623=I$1, ($A4623+$C4623) - MAX(IF($B$2:$B4622=$B4623, $A$2:$A4622+$C$2:$C4622)), "")*24*60, "")</f>
        <v>0</v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t="str" cm="1">
        <f t="array" ref="O4623">IFERROR(IF($B4623=O$1, ($A4623+$C4623) - MAX(IF($B$2:$B4622=$B4623, $A$2:$A4622+$C$2:$C4622)), "")*24*60, "")</f>
        <v/>
      </c>
      <c r="P4623" s="24" t="str" cm="1">
        <f t="array" ref="P4623">IFERROR(IF($B4623=P$1, ($A4623+$C4623) - MAX(IF($B$2:$B4622=$B4623, $A$2:$A4622+$C$2:$C4622)), "")*24*60, "")</f>
        <v/>
      </c>
    </row>
    <row r="4624" spans="1:16" x14ac:dyDescent="0.2">
      <c r="A4624" s="12">
        <f t="shared" ref="A4624:C4624" si="1264">A4623</f>
        <v>45969</v>
      </c>
      <c r="B4624" s="5" t="str">
        <f t="shared" si="1264"/>
        <v>Northern Cardinal</v>
      </c>
      <c r="C4624" s="6">
        <f t="shared" si="1264"/>
        <v>0.73888888888888893</v>
      </c>
      <c r="D4624" s="5"/>
      <c r="E4624" s="5"/>
      <c r="F4624" s="5" t="str">
        <f t="shared" ref="F4624:G4624" si="1265">F4623</f>
        <v>None</v>
      </c>
      <c r="G4624" s="15" t="str">
        <f t="shared" si="1265"/>
        <v>None</v>
      </c>
      <c r="H4624" s="24">
        <f t="shared" si="1215"/>
        <v>0</v>
      </c>
      <c r="I4624" s="24" cm="1">
        <f t="array" ref="I4624">IFERROR(IF($B4624=I$1, ($A4624+$C4624) - MAX(IF($B$2:$B4623=$B4624, $A$2:$A4623+$C$2:$C4623)), "")*24*60, "")</f>
        <v>0</v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t="str" cm="1">
        <f t="array" ref="O4624">IFERROR(IF($B4624=O$1, ($A4624+$C4624) - MAX(IF($B$2:$B4623=$B4624, $A$2:$A4623+$C$2:$C4623)), "")*24*60, "")</f>
        <v/>
      </c>
      <c r="P4624" s="24" t="str" cm="1">
        <f t="array" ref="P4624">IFERROR(IF($B4624=P$1, ($A4624+$C4624) - MAX(IF($B$2:$B4623=$B4624, $A$2:$A4623+$C$2:$C4623)), "")*24*60, "")</f>
        <v/>
      </c>
    </row>
    <row r="4625" spans="1:16" x14ac:dyDescent="0.2">
      <c r="A4625" s="12">
        <f t="shared" ref="A4625:C4625" si="1266">A4624</f>
        <v>45969</v>
      </c>
      <c r="B4625" s="5" t="str">
        <f t="shared" si="1266"/>
        <v>Northern Cardinal</v>
      </c>
      <c r="C4625" s="6">
        <f t="shared" si="1266"/>
        <v>0.73888888888888893</v>
      </c>
      <c r="D4625" s="5"/>
      <c r="E4625" s="5"/>
      <c r="F4625" s="5" t="str">
        <f t="shared" ref="F4625:G4625" si="1267">F4624</f>
        <v>None</v>
      </c>
      <c r="G4625" s="15" t="str">
        <f t="shared" si="1267"/>
        <v>None</v>
      </c>
      <c r="H4625" s="24">
        <f t="shared" si="1215"/>
        <v>0</v>
      </c>
      <c r="I4625" s="24" cm="1">
        <f t="array" ref="I4625">IFERROR(IF($B4625=I$1, ($A4625+$C4625) - MAX(IF($B$2:$B4624=$B4625, $A$2:$A4624+$C$2:$C4624)), "")*24*60, "")</f>
        <v>0</v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t="str" cm="1">
        <f t="array" ref="O4625">IFERROR(IF($B4625=O$1, ($A4625+$C4625) - MAX(IF($B$2:$B4624=$B4625, $A$2:$A4624+$C$2:$C4624)), "")*24*60, "")</f>
        <v/>
      </c>
      <c r="P4625" s="24" t="str" cm="1">
        <f t="array" ref="P4625">IFERROR(IF($B4625=P$1, ($A4625+$C4625) - MAX(IF($B$2:$B4624=$B4625, $A$2:$A4624+$C$2:$C4624)), "")*24*60, "")</f>
        <v/>
      </c>
    </row>
    <row r="4626" spans="1:16" x14ac:dyDescent="0.2">
      <c r="A4626" s="12">
        <f t="shared" ref="A4626:C4626" si="1268">A4625</f>
        <v>45969</v>
      </c>
      <c r="B4626" s="5" t="str">
        <f t="shared" si="1268"/>
        <v>Northern Cardinal</v>
      </c>
      <c r="C4626" s="6">
        <f t="shared" si="1268"/>
        <v>0.73888888888888893</v>
      </c>
      <c r="D4626" s="5"/>
      <c r="E4626" s="5"/>
      <c r="F4626" s="5" t="str">
        <f t="shared" ref="F4626:G4626" si="1269">F4625</f>
        <v>None</v>
      </c>
      <c r="G4626" s="15" t="str">
        <f t="shared" si="1269"/>
        <v>None</v>
      </c>
      <c r="H4626" s="24">
        <f t="shared" si="1215"/>
        <v>0</v>
      </c>
      <c r="I4626" s="24" cm="1">
        <f t="array" ref="I4626">IFERROR(IF($B4626=I$1, ($A4626+$C4626) - MAX(IF($B$2:$B4625=$B4626, $A$2:$A4625+$C$2:$C4625)), "")*24*60, "")</f>
        <v>0</v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t="str" cm="1">
        <f t="array" ref="O4626">IFERROR(IF($B4626=O$1, ($A4626+$C4626) - MAX(IF($B$2:$B4625=$B4626, $A$2:$A4625+$C$2:$C4625)), "")*24*60, "")</f>
        <v/>
      </c>
      <c r="P4626" s="24" t="str" cm="1">
        <f t="array" ref="P4626">IFERROR(IF($B4626=P$1, ($A4626+$C4626) - MAX(IF($B$2:$B4625=$B4626, $A$2:$A4625+$C$2:$C4625)), "")*24*60, "")</f>
        <v/>
      </c>
    </row>
    <row r="4627" spans="1:16" x14ac:dyDescent="0.2">
      <c r="A4627" s="12">
        <f t="shared" ref="A4627:C4627" si="1270">A4626</f>
        <v>45969</v>
      </c>
      <c r="B4627" s="5" t="str">
        <f t="shared" si="1270"/>
        <v>Northern Cardinal</v>
      </c>
      <c r="C4627" s="6">
        <f t="shared" si="1270"/>
        <v>0.73888888888888893</v>
      </c>
      <c r="D4627" s="5"/>
      <c r="E4627" s="5"/>
      <c r="F4627" s="5" t="str">
        <f t="shared" ref="F4627:G4627" si="1271">F4626</f>
        <v>None</v>
      </c>
      <c r="G4627" s="15" t="str">
        <f t="shared" si="1271"/>
        <v>None</v>
      </c>
      <c r="H4627" s="24">
        <f t="shared" si="1215"/>
        <v>0</v>
      </c>
      <c r="I4627" s="24" cm="1">
        <f t="array" ref="I4627">IFERROR(IF($B4627=I$1, ($A4627+$C4627) - MAX(IF($B$2:$B4626=$B4627, $A$2:$A4626+$C$2:$C4626)), "")*24*60, "")</f>
        <v>0</v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t="str" cm="1">
        <f t="array" ref="O4627">IFERROR(IF($B4627=O$1, ($A4627+$C4627) - MAX(IF($B$2:$B4626=$B4627, $A$2:$A4626+$C$2:$C4626)), "")*24*60, "")</f>
        <v/>
      </c>
      <c r="P4627" s="24" t="str" cm="1">
        <f t="array" ref="P4627">IFERROR(IF($B4627=P$1, ($A4627+$C4627) - MAX(IF($B$2:$B4626=$B4627, $A$2:$A4626+$C$2:$C4626)), "")*24*60, "")</f>
        <v/>
      </c>
    </row>
    <row r="4628" spans="1:16" x14ac:dyDescent="0.2">
      <c r="A4628" s="12">
        <f t="shared" ref="A4628:C4628" si="1272">A4627</f>
        <v>45969</v>
      </c>
      <c r="B4628" s="5" t="str">
        <f t="shared" si="1272"/>
        <v>Northern Cardinal</v>
      </c>
      <c r="C4628" s="6">
        <f t="shared" si="1272"/>
        <v>0.73888888888888893</v>
      </c>
      <c r="D4628" s="5"/>
      <c r="E4628" s="5"/>
      <c r="F4628" s="5" t="str">
        <f t="shared" ref="F4628:G4628" si="1273">F4627</f>
        <v>None</v>
      </c>
      <c r="G4628" s="15" t="str">
        <f t="shared" si="1273"/>
        <v>None</v>
      </c>
      <c r="H4628" s="24">
        <f t="shared" si="1215"/>
        <v>0</v>
      </c>
      <c r="I4628" s="24" cm="1">
        <f t="array" ref="I4628">IFERROR(IF($B4628=I$1, ($A4628+$C4628) - MAX(IF($B$2:$B4627=$B4628, $A$2:$A4627+$C$2:$C4627)), "")*24*60, "")</f>
        <v>0</v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t="str" cm="1">
        <f t="array" ref="O4628">IFERROR(IF($B4628=O$1, ($A4628+$C4628) - MAX(IF($B$2:$B4627=$B4628, $A$2:$A4627+$C$2:$C4627)), "")*24*60, "")</f>
        <v/>
      </c>
      <c r="P4628" s="24" t="str" cm="1">
        <f t="array" ref="P4628">IFERROR(IF($B4628=P$1, ($A4628+$C4628) - MAX(IF($B$2:$B4627=$B4628, $A$2:$A4627+$C$2:$C4627)), "")*24*60, "")</f>
        <v/>
      </c>
    </row>
    <row r="4629" spans="1:16" x14ac:dyDescent="0.2">
      <c r="A4629" s="12">
        <f t="shared" ref="A4629:C4629" si="1274">A4628</f>
        <v>45969</v>
      </c>
      <c r="B4629" s="5" t="str">
        <f t="shared" si="1274"/>
        <v>Northern Cardinal</v>
      </c>
      <c r="C4629" s="6">
        <f t="shared" si="1274"/>
        <v>0.73888888888888893</v>
      </c>
      <c r="D4629" s="5"/>
      <c r="E4629" s="5"/>
      <c r="F4629" s="5" t="str">
        <f t="shared" ref="F4629:G4629" si="1275">F4628</f>
        <v>None</v>
      </c>
      <c r="G4629" s="15" t="str">
        <f t="shared" si="1275"/>
        <v>None</v>
      </c>
      <c r="H4629" s="24">
        <f t="shared" si="1215"/>
        <v>0</v>
      </c>
      <c r="I4629" s="24" cm="1">
        <f t="array" ref="I4629">IFERROR(IF($B4629=I$1, ($A4629+$C4629) - MAX(IF($B$2:$B4628=$B4629, $A$2:$A4628+$C$2:$C4628)), "")*24*60, "")</f>
        <v>0</v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t="str" cm="1">
        <f t="array" ref="L4629">IFERROR(IF($B4629=L$1, ($A4629+$C4629) - MAX(IF($B$2:$B4628=$B4629, $A$2:$A4628+$C$2:$C4628)), "")*24*60, "")</f>
        <v/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</row>
    <row r="4630" spans="1:16" x14ac:dyDescent="0.2">
      <c r="A4630" s="12">
        <f t="shared" ref="A4630:C4630" si="1276">A4629</f>
        <v>45969</v>
      </c>
      <c r="B4630" s="5" t="str">
        <f t="shared" si="1276"/>
        <v>Northern Cardinal</v>
      </c>
      <c r="C4630" s="6">
        <f t="shared" si="1276"/>
        <v>0.73888888888888893</v>
      </c>
      <c r="D4630" s="5"/>
      <c r="E4630" s="5"/>
      <c r="F4630" s="5" t="str">
        <f t="shared" ref="F4630:G4630" si="1277">F4629</f>
        <v>None</v>
      </c>
      <c r="G4630" s="15" t="str">
        <f t="shared" si="1277"/>
        <v>None</v>
      </c>
      <c r="H4630" s="24">
        <f t="shared" si="1215"/>
        <v>0</v>
      </c>
      <c r="I4630" s="24" cm="1">
        <f t="array" ref="I4630">IFERROR(IF($B4630=I$1, ($A4630+$C4630) - MAX(IF($B$2:$B4629=$B4630, $A$2:$A4629+$C$2:$C4629)), "")*24*60, "")</f>
        <v>0</v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t="str" cm="1">
        <f t="array" ref="O4630">IFERROR(IF($B4630=O$1, ($A4630+$C4630) - MAX(IF($B$2:$B4629=$B4630, $A$2:$A4629+$C$2:$C4629)), "")*24*60, "")</f>
        <v/>
      </c>
      <c r="P4630" s="24" t="str" cm="1">
        <f t="array" ref="P4630">IFERROR(IF($B4630=P$1, ($A4630+$C4630) - MAX(IF($B$2:$B4629=$B4630, $A$2:$A4629+$C$2:$C4629)), "")*24*60, "")</f>
        <v/>
      </c>
    </row>
    <row r="4631" spans="1:16" x14ac:dyDescent="0.2">
      <c r="A4631" s="12">
        <f t="shared" ref="A4631:C4631" si="1278">A4630</f>
        <v>45969</v>
      </c>
      <c r="B4631" s="5" t="str">
        <f t="shared" si="1278"/>
        <v>Northern Cardinal</v>
      </c>
      <c r="C4631" s="6">
        <f t="shared" si="1278"/>
        <v>0.73888888888888893</v>
      </c>
      <c r="D4631" s="5"/>
      <c r="E4631" s="5"/>
      <c r="F4631" s="5" t="str">
        <f t="shared" ref="F4631:G4631" si="1279">F4630</f>
        <v>None</v>
      </c>
      <c r="G4631" s="15" t="str">
        <f t="shared" si="1279"/>
        <v>None</v>
      </c>
      <c r="H4631" s="24">
        <f t="shared" si="1215"/>
        <v>0</v>
      </c>
      <c r="I4631" s="24" cm="1">
        <f t="array" ref="I4631">IFERROR(IF($B4631=I$1, ($A4631+$C4631) - MAX(IF($B$2:$B4630=$B4631, $A$2:$A4630+$C$2:$C4630)), "")*24*60, "")</f>
        <v>0</v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t="str" cm="1">
        <f t="array" ref="O4631">IFERROR(IF($B4631=O$1, ($A4631+$C4631) - MAX(IF($B$2:$B4630=$B4631, $A$2:$A4630+$C$2:$C4630)), "")*24*60, "")</f>
        <v/>
      </c>
      <c r="P4631" s="24" t="str" cm="1">
        <f t="array" ref="P4631">IFERROR(IF($B4631=P$1, ($A4631+$C4631) - MAX(IF($B$2:$B4630=$B4631, $A$2:$A4630+$C$2:$C4630)), "")*24*60, "")</f>
        <v/>
      </c>
    </row>
    <row r="4632" spans="1:16" x14ac:dyDescent="0.2">
      <c r="A4632" s="12">
        <f t="shared" ref="A4632:C4632" si="1280">A4631</f>
        <v>45969</v>
      </c>
      <c r="B4632" s="5" t="str">
        <f t="shared" si="1280"/>
        <v>Northern Cardinal</v>
      </c>
      <c r="C4632" s="6">
        <f t="shared" si="1280"/>
        <v>0.73888888888888893</v>
      </c>
      <c r="D4632" s="5"/>
      <c r="E4632" s="5"/>
      <c r="F4632" s="5" t="str">
        <f t="shared" ref="F4632:G4632" si="1281">F4631</f>
        <v>None</v>
      </c>
      <c r="G4632" s="15" t="str">
        <f t="shared" si="1281"/>
        <v>None</v>
      </c>
      <c r="H4632" s="24">
        <f t="shared" si="1215"/>
        <v>0</v>
      </c>
      <c r="I4632" s="24" cm="1">
        <f t="array" ref="I4632">IFERROR(IF($B4632=I$1, ($A4632+$C4632) - MAX(IF($B$2:$B4631=$B4632, $A$2:$A4631+$C$2:$C4631)), "")*24*60, "")</f>
        <v>0</v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t="str" cm="1">
        <f t="array" ref="O4632">IFERROR(IF($B4632=O$1, ($A4632+$C4632) - MAX(IF($B$2:$B4631=$B4632, $A$2:$A4631+$C$2:$C4631)), "")*24*60, "")</f>
        <v/>
      </c>
      <c r="P4632" s="24" t="str" cm="1">
        <f t="array" ref="P4632">IFERROR(IF($B4632=P$1, ($A4632+$C4632) - MAX(IF($B$2:$B4631=$B4632, $A$2:$A4631+$C$2:$C4631)), "")*24*60, "")</f>
        <v/>
      </c>
    </row>
    <row r="4633" spans="1:16" x14ac:dyDescent="0.2">
      <c r="A4633" s="12">
        <f t="shared" ref="A4633:C4633" si="1282">A4632</f>
        <v>45969</v>
      </c>
      <c r="B4633" s="5" t="str">
        <f t="shared" si="1282"/>
        <v>Northern Cardinal</v>
      </c>
      <c r="C4633" s="6">
        <f t="shared" si="1282"/>
        <v>0.73888888888888893</v>
      </c>
      <c r="D4633" s="5"/>
      <c r="E4633" s="5"/>
      <c r="F4633" s="5" t="str">
        <f t="shared" ref="F4633:G4633" si="1283">F4632</f>
        <v>None</v>
      </c>
      <c r="G4633" s="15" t="str">
        <f t="shared" si="1283"/>
        <v>None</v>
      </c>
      <c r="H4633" s="24">
        <f t="shared" si="1215"/>
        <v>0</v>
      </c>
      <c r="I4633" s="24" cm="1">
        <f t="array" ref="I4633">IFERROR(IF($B4633=I$1, ($A4633+$C4633) - MAX(IF($B$2:$B4632=$B4633, $A$2:$A4632+$C$2:$C4632)), "")*24*60, "")</f>
        <v>0</v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t="str" cm="1">
        <f t="array" ref="O4633">IFERROR(IF($B4633=O$1, ($A4633+$C4633) - MAX(IF($B$2:$B4632=$B4633, $A$2:$A4632+$C$2:$C4632)), "")*24*60, "")</f>
        <v/>
      </c>
      <c r="P4633" s="24" t="str" cm="1">
        <f t="array" ref="P4633">IFERROR(IF($B4633=P$1, ($A4633+$C4633) - MAX(IF($B$2:$B4632=$B4633, $A$2:$A4632+$C$2:$C4632)), "")*24*60, "")</f>
        <v/>
      </c>
    </row>
    <row r="4634" spans="1:16" x14ac:dyDescent="0.2">
      <c r="A4634" s="12">
        <f t="shared" ref="A4634:C4634" si="1284">A4633</f>
        <v>45969</v>
      </c>
      <c r="B4634" s="5" t="str">
        <f t="shared" si="1284"/>
        <v>Northern Cardinal</v>
      </c>
      <c r="C4634" s="6">
        <f t="shared" si="1284"/>
        <v>0.73888888888888893</v>
      </c>
      <c r="D4634" s="5"/>
      <c r="E4634" s="5"/>
      <c r="F4634" s="5" t="str">
        <f t="shared" ref="F4634:G4634" si="1285">F4633</f>
        <v>None</v>
      </c>
      <c r="G4634" s="15" t="str">
        <f t="shared" si="1285"/>
        <v>None</v>
      </c>
      <c r="H4634" s="24">
        <f t="shared" si="1215"/>
        <v>0</v>
      </c>
      <c r="I4634" s="24" cm="1">
        <f t="array" ref="I4634">IFERROR(IF($B4634=I$1, ($A4634+$C4634) - MAX(IF($B$2:$B4633=$B4634, $A$2:$A4633+$C$2:$C4633)), "")*24*60, "")</f>
        <v>0</v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t="str" cm="1">
        <f t="array" ref="O4634">IFERROR(IF($B4634=O$1, ($A4634+$C4634) - MAX(IF($B$2:$B4633=$B4634, $A$2:$A4633+$C$2:$C4633)), "")*24*60, "")</f>
        <v/>
      </c>
      <c r="P4634" s="24" t="str" cm="1">
        <f t="array" ref="P4634">IFERROR(IF($B4634=P$1, ($A4634+$C4634) - MAX(IF($B$2:$B4633=$B4634, $A$2:$A4633+$C$2:$C4633)), "")*24*60, "")</f>
        <v/>
      </c>
    </row>
    <row r="4635" spans="1:16" x14ac:dyDescent="0.2">
      <c r="A4635" s="12">
        <f t="shared" ref="A4635:C4635" si="1286">A4634</f>
        <v>45969</v>
      </c>
      <c r="B4635" s="5" t="str">
        <f t="shared" si="1286"/>
        <v>Northern Cardinal</v>
      </c>
      <c r="C4635" s="6">
        <f t="shared" si="1286"/>
        <v>0.73888888888888893</v>
      </c>
      <c r="D4635" s="5"/>
      <c r="E4635" s="5"/>
      <c r="F4635" s="5" t="str">
        <f t="shared" ref="F4635:G4635" si="1287">F4634</f>
        <v>None</v>
      </c>
      <c r="G4635" s="15" t="str">
        <f t="shared" si="1287"/>
        <v>None</v>
      </c>
      <c r="H4635" s="24">
        <f t="shared" si="1215"/>
        <v>0</v>
      </c>
      <c r="I4635" s="24" cm="1">
        <f t="array" ref="I4635">IFERROR(IF($B4635=I$1, ($A4635+$C4635) - MAX(IF($B$2:$B4634=$B4635, $A$2:$A4634+$C$2:$C4634)), "")*24*60, "")</f>
        <v>0</v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t="str" cm="1">
        <f t="array" ref="O4635">IFERROR(IF($B4635=O$1, ($A4635+$C4635) - MAX(IF($B$2:$B4634=$B4635, $A$2:$A4634+$C$2:$C4634)), "")*24*60, "")</f>
        <v/>
      </c>
      <c r="P4635" s="24" t="str" cm="1">
        <f t="array" ref="P4635">IFERROR(IF($B4635=P$1, ($A4635+$C4635) - MAX(IF($B$2:$B4634=$B4635, $A$2:$A4634+$C$2:$C4634)), "")*24*60, "")</f>
        <v/>
      </c>
    </row>
    <row r="4636" spans="1:16" x14ac:dyDescent="0.2">
      <c r="A4636" s="12">
        <f t="shared" ref="A4636:C4636" si="1288">A4635</f>
        <v>45969</v>
      </c>
      <c r="B4636" s="5" t="str">
        <f t="shared" si="1288"/>
        <v>Northern Cardinal</v>
      </c>
      <c r="C4636" s="6">
        <f t="shared" si="1288"/>
        <v>0.73888888888888893</v>
      </c>
      <c r="D4636" s="5"/>
      <c r="E4636" s="5"/>
      <c r="F4636" s="5" t="str">
        <f t="shared" ref="F4636:G4636" si="1289">F4635</f>
        <v>None</v>
      </c>
      <c r="G4636" s="15" t="str">
        <f t="shared" si="1289"/>
        <v>None</v>
      </c>
      <c r="H4636" s="24">
        <f t="shared" si="1215"/>
        <v>0</v>
      </c>
      <c r="I4636" s="24" cm="1">
        <f t="array" ref="I4636">IFERROR(IF($B4636=I$1, ($A4636+$C4636) - MAX(IF($B$2:$B4635=$B4636, $A$2:$A4635+$C$2:$C4635)), "")*24*60, "")</f>
        <v>0</v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t="str" cm="1">
        <f t="array" ref="O4636">IFERROR(IF($B4636=O$1, ($A4636+$C4636) - MAX(IF($B$2:$B4635=$B4636, $A$2:$A4635+$C$2:$C4635)), "")*24*60, "")</f>
        <v/>
      </c>
      <c r="P4636" s="24" t="str" cm="1">
        <f t="array" ref="P4636">IFERROR(IF($B4636=P$1, ($A4636+$C4636) - MAX(IF($B$2:$B4635=$B4636, $A$2:$A4635+$C$2:$C4635)), "")*24*60, "")</f>
        <v/>
      </c>
    </row>
    <row r="4637" spans="1:16" x14ac:dyDescent="0.2">
      <c r="A4637" s="12">
        <f t="shared" ref="A4637:C4637" si="1290">A4636</f>
        <v>45969</v>
      </c>
      <c r="B4637" s="5" t="str">
        <f t="shared" si="1290"/>
        <v>Northern Cardinal</v>
      </c>
      <c r="C4637" s="6">
        <f t="shared" si="1290"/>
        <v>0.73888888888888893</v>
      </c>
      <c r="D4637" s="5"/>
      <c r="E4637" s="5"/>
      <c r="F4637" s="5" t="str">
        <f t="shared" ref="F4637:G4637" si="1291">F4636</f>
        <v>None</v>
      </c>
      <c r="G4637" s="15" t="str">
        <f t="shared" si="1291"/>
        <v>None</v>
      </c>
      <c r="H4637" s="24">
        <f t="shared" si="1215"/>
        <v>0</v>
      </c>
      <c r="I4637" s="24" cm="1">
        <f t="array" ref="I4637">IFERROR(IF($B4637=I$1, ($A4637+$C4637) - MAX(IF($B$2:$B4636=$B4637, $A$2:$A4636+$C$2:$C4636)), "")*24*60, "")</f>
        <v>0</v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t="str" cm="1">
        <f t="array" ref="O4637">IFERROR(IF($B4637=O$1, ($A4637+$C4637) - MAX(IF($B$2:$B4636=$B4637, $A$2:$A4636+$C$2:$C4636)), "")*24*60, "")</f>
        <v/>
      </c>
      <c r="P4637" s="24" t="str" cm="1">
        <f t="array" ref="P4637">IFERROR(IF($B4637=P$1, ($A4637+$C4637) - MAX(IF($B$2:$B4636=$B4637, $A$2:$A4636+$C$2:$C4636)), "")*24*60, "")</f>
        <v/>
      </c>
    </row>
    <row r="4638" spans="1:16" x14ac:dyDescent="0.2">
      <c r="A4638" s="12">
        <f t="shared" ref="A4638:C4638" si="1292">A4637</f>
        <v>45969</v>
      </c>
      <c r="B4638" s="5" t="str">
        <f t="shared" si="1292"/>
        <v>Northern Cardinal</v>
      </c>
      <c r="C4638" s="6">
        <f t="shared" si="1292"/>
        <v>0.73888888888888893</v>
      </c>
      <c r="D4638" s="5"/>
      <c r="E4638" s="5"/>
      <c r="F4638" s="5" t="str">
        <f t="shared" ref="F4638:G4638" si="1293">F4637</f>
        <v>None</v>
      </c>
      <c r="G4638" s="15" t="str">
        <f t="shared" si="1293"/>
        <v>None</v>
      </c>
      <c r="H4638" s="24">
        <f t="shared" si="1215"/>
        <v>0</v>
      </c>
      <c r="I4638" s="24" cm="1">
        <f t="array" ref="I4638">IFERROR(IF($B4638=I$1, ($A4638+$C4638) - MAX(IF($B$2:$B4637=$B4638, $A$2:$A4637+$C$2:$C4637)), "")*24*60, "")</f>
        <v>0</v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t="str" cm="1">
        <f t="array" ref="O4638">IFERROR(IF($B4638=O$1, ($A4638+$C4638) - MAX(IF($B$2:$B4637=$B4638, $A$2:$A4637+$C$2:$C4637)), "")*24*60, "")</f>
        <v/>
      </c>
      <c r="P4638" s="24" t="str" cm="1">
        <f t="array" ref="P4638">IFERROR(IF($B4638=P$1, ($A4638+$C4638) - MAX(IF($B$2:$B4637=$B4638, $A$2:$A4637+$C$2:$C4637)), "")*24*60, "")</f>
        <v/>
      </c>
    </row>
    <row r="4639" spans="1:16" x14ac:dyDescent="0.2">
      <c r="A4639" s="12">
        <f t="shared" ref="A4639:C4639" si="1294">A4638</f>
        <v>45969</v>
      </c>
      <c r="B4639" s="5" t="str">
        <f t="shared" si="1294"/>
        <v>Northern Cardinal</v>
      </c>
      <c r="C4639" s="6">
        <f t="shared" si="1294"/>
        <v>0.73888888888888893</v>
      </c>
      <c r="D4639" s="5"/>
      <c r="E4639" s="5"/>
      <c r="F4639" s="5" t="str">
        <f t="shared" ref="F4639:G4639" si="1295">F4638</f>
        <v>None</v>
      </c>
      <c r="G4639" s="15" t="str">
        <f t="shared" si="1295"/>
        <v>None</v>
      </c>
      <c r="H4639" s="24">
        <f t="shared" si="1215"/>
        <v>0</v>
      </c>
      <c r="I4639" s="24" cm="1">
        <f t="array" ref="I4639">IFERROR(IF($B4639=I$1, ($A4639+$C4639) - MAX(IF($B$2:$B4638=$B4639, $A$2:$A4638+$C$2:$C4638)), "")*24*60, "")</f>
        <v>0</v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</row>
    <row r="4640" spans="1:16" x14ac:dyDescent="0.2">
      <c r="A4640" s="12">
        <f t="shared" ref="A4640:C4640" si="1296">A4639</f>
        <v>45969</v>
      </c>
      <c r="B4640" s="5" t="str">
        <f t="shared" si="1296"/>
        <v>Northern Cardinal</v>
      </c>
      <c r="C4640" s="6">
        <f t="shared" si="1296"/>
        <v>0.73888888888888893</v>
      </c>
      <c r="D4640" s="5"/>
      <c r="E4640" s="5"/>
      <c r="F4640" s="5" t="str">
        <f t="shared" ref="F4640:G4640" si="1297">F4639</f>
        <v>None</v>
      </c>
      <c r="G4640" s="15" t="str">
        <f t="shared" si="1297"/>
        <v>None</v>
      </c>
      <c r="H4640" s="24">
        <f t="shared" si="1215"/>
        <v>0</v>
      </c>
      <c r="I4640" s="24" cm="1">
        <f t="array" ref="I4640">IFERROR(IF($B4640=I$1, ($A4640+$C4640) - MAX(IF($B$2:$B4639=$B4640, $A$2:$A4639+$C$2:$C4639)), "")*24*60, "")</f>
        <v>0</v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t="str" cm="1">
        <f t="array" ref="O4640">IFERROR(IF($B4640=O$1, ($A4640+$C4640) - MAX(IF($B$2:$B4639=$B4640, $A$2:$A4639+$C$2:$C4639)), "")*24*60, "")</f>
        <v/>
      </c>
      <c r="P4640" s="24" t="str" cm="1">
        <f t="array" ref="P4640">IFERROR(IF($B4640=P$1, ($A4640+$C4640) - MAX(IF($B$2:$B4639=$B4640, $A$2:$A4639+$C$2:$C4639)), "")*24*60, "")</f>
        <v/>
      </c>
    </row>
    <row r="4641" spans="1:16" x14ac:dyDescent="0.2">
      <c r="A4641" s="12">
        <f t="shared" ref="A4641:C4641" si="1298">A4640</f>
        <v>45969</v>
      </c>
      <c r="B4641" s="5" t="str">
        <f t="shared" si="1298"/>
        <v>Northern Cardinal</v>
      </c>
      <c r="C4641" s="6">
        <f t="shared" si="1298"/>
        <v>0.73888888888888893</v>
      </c>
      <c r="D4641" s="5"/>
      <c r="E4641" s="5"/>
      <c r="F4641" s="5" t="str">
        <f t="shared" ref="F4641:G4641" si="1299">F4640</f>
        <v>None</v>
      </c>
      <c r="G4641" s="15" t="str">
        <f t="shared" si="1299"/>
        <v>None</v>
      </c>
      <c r="H4641" s="24">
        <f t="shared" si="1215"/>
        <v>0</v>
      </c>
      <c r="I4641" s="24" cm="1">
        <f t="array" ref="I4641">IFERROR(IF($B4641=I$1, ($A4641+$C4641) - MAX(IF($B$2:$B4640=$B4641, $A$2:$A4640+$C$2:$C4640)), "")*24*60, "")</f>
        <v>0</v>
      </c>
      <c r="J4641" s="24" t="str" cm="1">
        <f t="array" ref="J4641">IFERROR(IF($B4641=J$1, ($A4641+$C4641) - MAX(IF($B$2:$B4640=$B4641, $A$2:$A4640+$C$2:$C4640)), "")*24*60, "")</f>
        <v/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</row>
    <row r="4642" spans="1:16" x14ac:dyDescent="0.2">
      <c r="A4642" s="12">
        <f t="shared" ref="A4642:C4642" si="1300">A4641</f>
        <v>45969</v>
      </c>
      <c r="B4642" s="5" t="str">
        <f t="shared" si="1300"/>
        <v>Northern Cardinal</v>
      </c>
      <c r="C4642" s="6">
        <f t="shared" si="1300"/>
        <v>0.73888888888888893</v>
      </c>
      <c r="D4642" s="5"/>
      <c r="E4642" s="5"/>
      <c r="F4642" s="5" t="str">
        <f t="shared" ref="F4642:G4642" si="1301">F4641</f>
        <v>None</v>
      </c>
      <c r="G4642" s="15" t="str">
        <f t="shared" si="1301"/>
        <v>None</v>
      </c>
      <c r="H4642" s="24">
        <f t="shared" si="1215"/>
        <v>0</v>
      </c>
      <c r="I4642" s="24" cm="1">
        <f t="array" ref="I4642">IFERROR(IF($B4642=I$1, ($A4642+$C4642) - MAX(IF($B$2:$B4641=$B4642, $A$2:$A4641+$C$2:$C4641)), "")*24*60, "")</f>
        <v>0</v>
      </c>
      <c r="J4642" s="24" t="str" cm="1">
        <f t="array" ref="J4642">IFERROR(IF($B4642=J$1, ($A4642+$C4642) - MAX(IF($B$2:$B4641=$B4642, $A$2:$A4641+$C$2:$C4641)), "")*24*60, "")</f>
        <v/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</row>
    <row r="4643" spans="1:16" x14ac:dyDescent="0.2">
      <c r="A4643" s="12">
        <f t="shared" ref="A4643:C4643" si="1302">A4642</f>
        <v>45969</v>
      </c>
      <c r="B4643" s="5" t="str">
        <f t="shared" si="1302"/>
        <v>Northern Cardinal</v>
      </c>
      <c r="C4643" s="6">
        <f t="shared" si="1302"/>
        <v>0.73888888888888893</v>
      </c>
      <c r="D4643" s="5"/>
      <c r="E4643" s="5"/>
      <c r="F4643" s="5" t="str">
        <f t="shared" ref="F4643:G4643" si="1303">F4642</f>
        <v>None</v>
      </c>
      <c r="G4643" s="15" t="str">
        <f t="shared" si="1303"/>
        <v>None</v>
      </c>
      <c r="H4643" s="24">
        <f t="shared" si="1215"/>
        <v>0</v>
      </c>
      <c r="I4643" s="24" cm="1">
        <f t="array" ref="I4643">IFERROR(IF($B4643=I$1, ($A4643+$C4643) - MAX(IF($B$2:$B4642=$B4643, $A$2:$A4642+$C$2:$C4642)), "")*24*60, "")</f>
        <v>0</v>
      </c>
      <c r="J4643" s="24" t="str" cm="1">
        <f t="array" ref="J4643">IFERROR(IF($B4643=J$1, ($A4643+$C4643) - MAX(IF($B$2:$B4642=$B4643, $A$2:$A4642+$C$2:$C4642)), "")*24*60, "")</f>
        <v/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</row>
    <row r="4644" spans="1:16" x14ac:dyDescent="0.2">
      <c r="A4644" s="12">
        <f t="shared" ref="A4644:C4644" si="1304">A4643</f>
        <v>45969</v>
      </c>
      <c r="B4644" s="5" t="str">
        <f t="shared" si="1304"/>
        <v>Northern Cardinal</v>
      </c>
      <c r="C4644" s="6">
        <f t="shared" si="1304"/>
        <v>0.73888888888888893</v>
      </c>
      <c r="D4644" s="5"/>
      <c r="E4644" s="5"/>
      <c r="F4644" s="5" t="str">
        <f t="shared" ref="F4644:G4644" si="1305">F4643</f>
        <v>None</v>
      </c>
      <c r="G4644" s="15" t="str">
        <f t="shared" si="1305"/>
        <v>None</v>
      </c>
      <c r="H4644" s="24">
        <f t="shared" si="1215"/>
        <v>0</v>
      </c>
      <c r="I4644" s="24" cm="1">
        <f t="array" ref="I4644">IFERROR(IF($B4644=I$1, ($A4644+$C4644) - MAX(IF($B$2:$B4643=$B4644, $A$2:$A4643+$C$2:$C4643)), "")*24*60, "")</f>
        <v>0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</row>
    <row r="4645" spans="1:16" x14ac:dyDescent="0.2">
      <c r="A4645" s="12">
        <f t="shared" ref="A4645:C4645" si="1306">A4644</f>
        <v>45969</v>
      </c>
      <c r="B4645" s="5" t="str">
        <f t="shared" si="1306"/>
        <v>Northern Cardinal</v>
      </c>
      <c r="C4645" s="6">
        <f t="shared" si="1306"/>
        <v>0.73888888888888893</v>
      </c>
      <c r="D4645" s="5"/>
      <c r="E4645" s="5"/>
      <c r="F4645" s="5" t="str">
        <f t="shared" ref="F4645:G4645" si="1307">F4644</f>
        <v>None</v>
      </c>
      <c r="G4645" s="15" t="str">
        <f t="shared" si="1307"/>
        <v>None</v>
      </c>
      <c r="H4645" s="24">
        <f t="shared" si="1215"/>
        <v>0</v>
      </c>
      <c r="I4645" s="24" cm="1">
        <f t="array" ref="I4645">IFERROR(IF($B4645=I$1, ($A4645+$C4645) - MAX(IF($B$2:$B4644=$B4645, $A$2:$A4644+$C$2:$C4644)), "")*24*60, "")</f>
        <v>0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</row>
    <row r="4646" spans="1:16" x14ac:dyDescent="0.2">
      <c r="A4646" s="12">
        <f t="shared" ref="A4646:C4646" si="1308">A4645</f>
        <v>45969</v>
      </c>
      <c r="B4646" s="5" t="str">
        <f t="shared" si="1308"/>
        <v>Northern Cardinal</v>
      </c>
      <c r="C4646" s="6">
        <f t="shared" si="1308"/>
        <v>0.73888888888888893</v>
      </c>
      <c r="D4646" s="5"/>
      <c r="E4646" s="5"/>
      <c r="F4646" s="5" t="str">
        <f t="shared" ref="F4646:G4646" si="1309">F4645</f>
        <v>None</v>
      </c>
      <c r="G4646" s="15" t="str">
        <f t="shared" si="1309"/>
        <v>None</v>
      </c>
      <c r="H4646" s="24">
        <f t="shared" si="1215"/>
        <v>0</v>
      </c>
      <c r="I4646" s="24" cm="1">
        <f t="array" ref="I4646">IFERROR(IF($B4646=I$1, ($A4646+$C4646) - MAX(IF($B$2:$B4645=$B4646, $A$2:$A4645+$C$2:$C4645)), "")*24*60, "")</f>
        <v>0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</row>
    <row r="4647" spans="1:16" x14ac:dyDescent="0.2">
      <c r="A4647" s="12">
        <f t="shared" ref="A4647:C4647" si="1310">A4646</f>
        <v>45969</v>
      </c>
      <c r="B4647" s="5" t="str">
        <f t="shared" si="1310"/>
        <v>Northern Cardinal</v>
      </c>
      <c r="C4647" s="6">
        <f t="shared" si="1310"/>
        <v>0.73888888888888893</v>
      </c>
      <c r="D4647" s="5"/>
      <c r="E4647" s="5"/>
      <c r="F4647" s="5" t="str">
        <f t="shared" ref="F4647:G4647" si="1311">F4646</f>
        <v>None</v>
      </c>
      <c r="G4647" s="15" t="str">
        <f t="shared" si="1311"/>
        <v>None</v>
      </c>
      <c r="H4647" s="24">
        <f t="shared" si="1215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</row>
    <row r="4648" spans="1:16" x14ac:dyDescent="0.2">
      <c r="A4648" s="12">
        <f t="shared" ref="A4648:C4648" si="1312">A4647</f>
        <v>45969</v>
      </c>
      <c r="B4648" s="5" t="str">
        <f t="shared" si="1312"/>
        <v>Northern Cardinal</v>
      </c>
      <c r="C4648" s="6">
        <f t="shared" si="1312"/>
        <v>0.73888888888888893</v>
      </c>
      <c r="D4648" s="5"/>
      <c r="E4648" s="5"/>
      <c r="F4648" s="5" t="str">
        <f t="shared" ref="F4648:G4648" si="1313">F4647</f>
        <v>None</v>
      </c>
      <c r="G4648" s="15" t="str">
        <f t="shared" si="1313"/>
        <v>None</v>
      </c>
      <c r="H4648" s="24">
        <f t="shared" si="1215"/>
        <v>0</v>
      </c>
      <c r="I4648" s="24" cm="1">
        <f t="array" ref="I4648">IFERROR(IF($B4648=I$1, ($A4648+$C4648) - MAX(IF($B$2:$B4647=$B4648, $A$2:$A4647+$C$2:$C4647)), "")*24*60, "")</f>
        <v>0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</row>
    <row r="4649" spans="1:16" x14ac:dyDescent="0.2">
      <c r="A4649" s="12">
        <f t="shared" ref="A4649:C4649" si="1314">A4648</f>
        <v>45969</v>
      </c>
      <c r="B4649" s="5" t="str">
        <f t="shared" si="1314"/>
        <v>Northern Cardinal</v>
      </c>
      <c r="C4649" s="6">
        <f t="shared" si="1314"/>
        <v>0.73888888888888893</v>
      </c>
      <c r="D4649" s="5"/>
      <c r="E4649" s="5"/>
      <c r="F4649" s="5" t="str">
        <f t="shared" ref="F4649:G4649" si="1315">F4648</f>
        <v>None</v>
      </c>
      <c r="G4649" s="15" t="str">
        <f t="shared" si="1315"/>
        <v>None</v>
      </c>
      <c r="H4649" s="24">
        <f t="shared" si="1215"/>
        <v>0</v>
      </c>
      <c r="I4649" s="24" cm="1">
        <f t="array" ref="I4649">IFERROR(IF($B4649=I$1, ($A4649+$C4649) - MAX(IF($B$2:$B4648=$B4649, $A$2:$A4648+$C$2:$C4648)), "")*24*60, "")</f>
        <v>0</v>
      </c>
      <c r="J4649" s="24" t="str" cm="1">
        <f t="array" ref="J4649">IFERROR(IF($B4649=J$1, ($A4649+$C4649) - MAX(IF($B$2:$B4648=$B4649, $A$2:$A4648+$C$2:$C4648)), "")*24*60, "")</f>
        <v/>
      </c>
      <c r="K4649" s="24" t="str" cm="1">
        <f t="array" ref="K4649">IFERROR(IF($B4649=K$1, ($A4649+$C4649) - MAX(IF($B$2:$B4648=$B4649, $A$2:$A4648+$C$2:$C4648)), "")*24*60, "")</f>
        <v/>
      </c>
      <c r="L4649" s="24" t="str" cm="1">
        <f t="array" ref="L4649">IFERROR(IF($B4649=L$1, ($A4649+$C4649) - MAX(IF($B$2:$B4648=$B4649, $A$2:$A4648+$C$2:$C4648)), "")*24*60, "")</f>
        <v/>
      </c>
      <c r="M4649" s="24" t="str" cm="1">
        <f t="array" ref="M4649">IFERROR(IF($B4649=M$1, ($A4649+$C4649) - MAX(IF($B$2:$B4648=$B4649, $A$2:$A4648+$C$2:$C4648)), "")*24*60, "")</f>
        <v/>
      </c>
      <c r="N4649" s="24" t="str" cm="1">
        <f t="array" ref="N4649">IFERROR(IF($B4649=N$1, ($A4649+$C4649) - MAX(IF($B$2:$B4648=$B4649, $A$2:$A4648+$C$2:$C4648)), "")*24*60, "")</f>
        <v/>
      </c>
      <c r="O4649" s="24" t="str" cm="1">
        <f t="array" ref="O4649">IFERROR(IF($B4649=O$1, ($A4649+$C4649) - MAX(IF($B$2:$B4648=$B4649, $A$2:$A4648+$C$2:$C4648)), "")*24*60, "")</f>
        <v/>
      </c>
      <c r="P4649" s="24" t="str" cm="1">
        <f t="array" ref="P4649">IFERROR(IF($B4649=P$1, ($A4649+$C4649) - MAX(IF($B$2:$B4648=$B4649, $A$2:$A4648+$C$2:$C4648)), "")*24*60, "")</f>
        <v/>
      </c>
    </row>
    <row r="4650" spans="1:16" x14ac:dyDescent="0.2">
      <c r="A4650" s="12">
        <f t="shared" ref="A4650:C4650" si="1316">A4649</f>
        <v>45969</v>
      </c>
      <c r="B4650" s="5" t="str">
        <f t="shared" si="1316"/>
        <v>Northern Cardinal</v>
      </c>
      <c r="C4650" s="6">
        <f t="shared" si="1316"/>
        <v>0.73888888888888893</v>
      </c>
      <c r="D4650" s="5"/>
      <c r="E4650" s="5"/>
      <c r="F4650" s="5" t="str">
        <f t="shared" ref="F4650:G4650" si="1317">F4649</f>
        <v>None</v>
      </c>
      <c r="G4650" s="15" t="str">
        <f t="shared" si="1317"/>
        <v>None</v>
      </c>
      <c r="H4650" s="24">
        <f t="shared" si="1215"/>
        <v>0</v>
      </c>
      <c r="I4650" s="24" cm="1">
        <f t="array" ref="I4650">IFERROR(IF($B4650=I$1, ($A4650+$C4650) - MAX(IF($B$2:$B4649=$B4650, $A$2:$A4649+$C$2:$C4649)), "")*24*60, "")</f>
        <v>0</v>
      </c>
      <c r="J4650" s="24" t="str" cm="1">
        <f t="array" ref="J4650">IFERROR(IF($B4650=J$1, ($A4650+$C4650) - MAX(IF($B$2:$B4649=$B4650, $A$2:$A4649+$C$2:$C4649)), "")*24*60, "")</f>
        <v/>
      </c>
      <c r="K4650" s="24" t="str" cm="1">
        <f t="array" ref="K4650">IFERROR(IF($B4650=K$1, ($A4650+$C4650) - MAX(IF($B$2:$B4649=$B4650, $A$2:$A4649+$C$2:$C4649)), "")*24*60, "")</f>
        <v/>
      </c>
      <c r="L4650" s="24" t="str" cm="1">
        <f t="array" ref="L4650">IFERROR(IF($B4650=L$1, ($A4650+$C4650) - MAX(IF($B$2:$B4649=$B4650, $A$2:$A4649+$C$2:$C4649)), "")*24*60, "")</f>
        <v/>
      </c>
      <c r="M4650" s="24" t="str" cm="1">
        <f t="array" ref="M4650">IFERROR(IF($B4650=M$1, ($A4650+$C4650) - MAX(IF($B$2:$B4649=$B4650, $A$2:$A4649+$C$2:$C4649)), "")*24*60, "")</f>
        <v/>
      </c>
      <c r="N4650" s="24" t="str" cm="1">
        <f t="array" ref="N4650">IFERROR(IF($B4650=N$1, ($A4650+$C4650) - MAX(IF($B$2:$B4649=$B4650, $A$2:$A4649+$C$2:$C4649)), "")*24*60, "")</f>
        <v/>
      </c>
      <c r="O4650" s="24" t="str" cm="1">
        <f t="array" ref="O4650">IFERROR(IF($B4650=O$1, ($A4650+$C4650) - MAX(IF($B$2:$B4649=$B4650, $A$2:$A4649+$C$2:$C4649)), "")*24*60, "")</f>
        <v/>
      </c>
      <c r="P4650" s="24" t="str" cm="1">
        <f t="array" ref="P4650">IFERROR(IF($B4650=P$1, ($A4650+$C4650) - MAX(IF($B$2:$B4649=$B4650, $A$2:$A4649+$C$2:$C4649)), "")*24*60, "")</f>
        <v/>
      </c>
    </row>
    <row r="4651" spans="1:16" x14ac:dyDescent="0.2">
      <c r="A4651" s="12">
        <f t="shared" ref="A4651:C4651" si="1318">A4650</f>
        <v>45969</v>
      </c>
      <c r="B4651" s="5" t="str">
        <f t="shared" si="1318"/>
        <v>Northern Cardinal</v>
      </c>
      <c r="C4651" s="6">
        <f t="shared" si="1318"/>
        <v>0.73888888888888893</v>
      </c>
      <c r="D4651" s="5"/>
      <c r="E4651" s="5"/>
      <c r="F4651" s="5" t="str">
        <f t="shared" ref="F4651:G4651" si="1319">F4650</f>
        <v>None</v>
      </c>
      <c r="G4651" s="15" t="str">
        <f t="shared" si="1319"/>
        <v>None</v>
      </c>
      <c r="H4651" s="24">
        <f t="shared" si="1215"/>
        <v>0</v>
      </c>
      <c r="I4651" s="24" cm="1">
        <f t="array" ref="I4651">IFERROR(IF($B4651=I$1, ($A4651+$C4651) - MAX(IF($B$2:$B4650=$B4651, $A$2:$A4650+$C$2:$C4650)), "")*24*60, "")</f>
        <v>0</v>
      </c>
      <c r="J4651" s="24" t="str" cm="1">
        <f t="array" ref="J4651">IFERROR(IF($B4651=J$1, ($A4651+$C4651) - MAX(IF($B$2:$B4650=$B4651, $A$2:$A4650+$C$2:$C4650)), "")*24*60, "")</f>
        <v/>
      </c>
      <c r="K4651" s="24" t="str" cm="1">
        <f t="array" ref="K4651">IFERROR(IF($B4651=K$1, ($A4651+$C4651) - MAX(IF($B$2:$B4650=$B4651, $A$2:$A4650+$C$2:$C4650)), "")*24*60, "")</f>
        <v/>
      </c>
      <c r="L4651" s="24" t="str" cm="1">
        <f t="array" ref="L4651">IFERROR(IF($B4651=L$1, ($A4651+$C4651) - MAX(IF($B$2:$B4650=$B4651, $A$2:$A4650+$C$2:$C4650)), "")*24*60, "")</f>
        <v/>
      </c>
      <c r="M4651" s="24" t="str" cm="1">
        <f t="array" ref="M4651">IFERROR(IF($B4651=M$1, ($A4651+$C4651) - MAX(IF($B$2:$B4650=$B4651, $A$2:$A4650+$C$2:$C4650)), "")*24*60, "")</f>
        <v/>
      </c>
      <c r="N4651" s="24" t="str" cm="1">
        <f t="array" ref="N4651">IFERROR(IF($B4651=N$1, ($A4651+$C4651) - MAX(IF($B$2:$B4650=$B4651, $A$2:$A4650+$C$2:$C4650)), "")*24*60, "")</f>
        <v/>
      </c>
      <c r="O4651" s="24" t="str" cm="1">
        <f t="array" ref="O4651">IFERROR(IF($B4651=O$1, ($A4651+$C4651) - MAX(IF($B$2:$B4650=$B4651, $A$2:$A4650+$C$2:$C4650)), "")*24*60, "")</f>
        <v/>
      </c>
      <c r="P4651" s="24" t="str" cm="1">
        <f t="array" ref="P4651">IFERROR(IF($B4651=P$1, ($A4651+$C4651) - MAX(IF($B$2:$B4650=$B4651, $A$2:$A4650+$C$2:$C4650)), "")*24*60, "")</f>
        <v/>
      </c>
    </row>
    <row r="4652" spans="1:16" x14ac:dyDescent="0.2">
      <c r="A4652" s="12">
        <f t="shared" ref="A4652:C4652" si="1320">A4651</f>
        <v>45969</v>
      </c>
      <c r="B4652" s="5" t="str">
        <f t="shared" si="1320"/>
        <v>Northern Cardinal</v>
      </c>
      <c r="C4652" s="6">
        <f t="shared" si="1320"/>
        <v>0.73888888888888893</v>
      </c>
      <c r="D4652" s="5"/>
      <c r="E4652" s="5"/>
      <c r="F4652" s="5" t="str">
        <f t="shared" ref="F4652:G4652" si="1321">F4651</f>
        <v>None</v>
      </c>
      <c r="G4652" s="15" t="str">
        <f t="shared" si="1321"/>
        <v>None</v>
      </c>
      <c r="H4652" s="24">
        <f t="shared" si="1215"/>
        <v>0</v>
      </c>
      <c r="I4652" s="24" cm="1">
        <f t="array" ref="I4652">IFERROR(IF($B4652=I$1, ($A4652+$C4652) - MAX(IF($B$2:$B4651=$B4652, $A$2:$A4651+$C$2:$C4651)), "")*24*60, "")</f>
        <v>0</v>
      </c>
      <c r="J4652" s="24" t="str" cm="1">
        <f t="array" ref="J4652">IFERROR(IF($B4652=J$1, ($A4652+$C4652) - MAX(IF($B$2:$B4651=$B4652, $A$2:$A4651+$C$2:$C4651)), "")*24*60, "")</f>
        <v/>
      </c>
      <c r="K4652" s="24" t="str" cm="1">
        <f t="array" ref="K4652">IFERROR(IF($B4652=K$1, ($A4652+$C4652) - MAX(IF($B$2:$B4651=$B4652, $A$2:$A4651+$C$2:$C4651)), "")*24*60, "")</f>
        <v/>
      </c>
      <c r="L4652" s="24" t="str" cm="1">
        <f t="array" ref="L4652">IFERROR(IF($B4652=L$1, ($A4652+$C4652) - MAX(IF($B$2:$B4651=$B4652, $A$2:$A4651+$C$2:$C4651)), "")*24*60, "")</f>
        <v/>
      </c>
      <c r="M4652" s="24" t="str" cm="1">
        <f t="array" ref="M4652">IFERROR(IF($B4652=M$1, ($A4652+$C4652) - MAX(IF($B$2:$B4651=$B4652, $A$2:$A4651+$C$2:$C4651)), "")*24*60, "")</f>
        <v/>
      </c>
      <c r="N4652" s="24" t="str" cm="1">
        <f t="array" ref="N4652">IFERROR(IF($B4652=N$1, ($A4652+$C4652) - MAX(IF($B$2:$B4651=$B4652, $A$2:$A4651+$C$2:$C4651)), "")*24*60, "")</f>
        <v/>
      </c>
      <c r="O4652" s="24" t="str" cm="1">
        <f t="array" ref="O4652">IFERROR(IF($B4652=O$1, ($A4652+$C4652) - MAX(IF($B$2:$B4651=$B4652, $A$2:$A4651+$C$2:$C4651)), "")*24*60, "")</f>
        <v/>
      </c>
      <c r="P4652" s="24" t="str" cm="1">
        <f t="array" ref="P4652">IFERROR(IF($B4652=P$1, ($A4652+$C4652) - MAX(IF($B$2:$B4651=$B4652, $A$2:$A4651+$C$2:$C4651)), "")*24*60, "")</f>
        <v/>
      </c>
    </row>
    <row r="4653" spans="1:16" x14ac:dyDescent="0.2">
      <c r="A4653" s="12">
        <f t="shared" ref="A4653:C4653" si="1322">A4652</f>
        <v>45969</v>
      </c>
      <c r="B4653" s="5" t="str">
        <f t="shared" si="1322"/>
        <v>Northern Cardinal</v>
      </c>
      <c r="C4653" s="6">
        <f t="shared" si="1322"/>
        <v>0.73888888888888893</v>
      </c>
      <c r="D4653" s="5"/>
      <c r="E4653" s="5"/>
      <c r="F4653" s="5" t="str">
        <f t="shared" ref="F4653:G4653" si="1323">F4652</f>
        <v>None</v>
      </c>
      <c r="G4653" s="15" t="str">
        <f t="shared" si="1323"/>
        <v>None</v>
      </c>
      <c r="H4653" s="24">
        <f t="shared" si="1215"/>
        <v>0</v>
      </c>
      <c r="I4653" s="24" cm="1">
        <f t="array" ref="I4653">IFERROR(IF($B4653=I$1, ($A4653+$C4653) - MAX(IF($B$2:$B4652=$B4653, $A$2:$A4652+$C$2:$C4652)), "")*24*60, "")</f>
        <v>0</v>
      </c>
      <c r="J4653" s="24" t="str" cm="1">
        <f t="array" ref="J4653">IFERROR(IF($B4653=J$1, ($A4653+$C4653) - MAX(IF($B$2:$B4652=$B4653, $A$2:$A4652+$C$2:$C4652)), "")*24*60, "")</f>
        <v/>
      </c>
      <c r="K4653" s="24" t="str" cm="1">
        <f t="array" ref="K4653">IFERROR(IF($B4653=K$1, ($A4653+$C4653) - MAX(IF($B$2:$B4652=$B4653, $A$2:$A4652+$C$2:$C4652)), "")*24*60, "")</f>
        <v/>
      </c>
      <c r="L4653" s="24" t="str" cm="1">
        <f t="array" ref="L4653">IFERROR(IF($B4653=L$1, ($A4653+$C4653) - MAX(IF($B$2:$B4652=$B4653, $A$2:$A4652+$C$2:$C4652)), "")*24*60, "")</f>
        <v/>
      </c>
      <c r="M4653" s="24" t="str" cm="1">
        <f t="array" ref="M4653">IFERROR(IF($B4653=M$1, ($A4653+$C4653) - MAX(IF($B$2:$B4652=$B4653, $A$2:$A4652+$C$2:$C4652)), "")*24*60, "")</f>
        <v/>
      </c>
      <c r="N4653" s="24" t="str" cm="1">
        <f t="array" ref="N4653">IFERROR(IF($B4653=N$1, ($A4653+$C4653) - MAX(IF($B$2:$B4652=$B4653, $A$2:$A4652+$C$2:$C4652)), "")*24*60, "")</f>
        <v/>
      </c>
      <c r="O4653" s="24" t="str" cm="1">
        <f t="array" ref="O4653">IFERROR(IF($B4653=O$1, ($A4653+$C4653) - MAX(IF($B$2:$B4652=$B4653, $A$2:$A4652+$C$2:$C4652)), "")*24*60, "")</f>
        <v/>
      </c>
      <c r="P4653" s="24" t="str" cm="1">
        <f t="array" ref="P4653">IFERROR(IF($B4653=P$1, ($A4653+$C4653) - MAX(IF($B$2:$B4652=$B4653, $A$2:$A4652+$C$2:$C4652)), "")*24*60, "")</f>
        <v/>
      </c>
    </row>
    <row r="4654" spans="1:16" x14ac:dyDescent="0.2">
      <c r="A4654" s="12">
        <f t="shared" ref="A4654:C4654" si="1324">A4653</f>
        <v>45969</v>
      </c>
      <c r="B4654" s="5" t="str">
        <f t="shared" si="1324"/>
        <v>Northern Cardinal</v>
      </c>
      <c r="C4654" s="6">
        <f t="shared" si="1324"/>
        <v>0.73888888888888893</v>
      </c>
      <c r="D4654" s="5"/>
      <c r="E4654" s="5"/>
      <c r="F4654" s="5" t="str">
        <f t="shared" ref="F4654:G4654" si="1325">F4653</f>
        <v>None</v>
      </c>
      <c r="G4654" s="15" t="str">
        <f t="shared" si="1325"/>
        <v>None</v>
      </c>
      <c r="H4654" s="24">
        <f t="shared" si="1215"/>
        <v>0</v>
      </c>
      <c r="I4654" s="24" cm="1">
        <f t="array" ref="I4654">IFERROR(IF($B4654=I$1, ($A4654+$C4654) - MAX(IF($B$2:$B4653=$B4654, $A$2:$A4653+$C$2:$C4653)), "")*24*60, "")</f>
        <v>0</v>
      </c>
      <c r="J4654" s="24" t="str" cm="1">
        <f t="array" ref="J4654">IFERROR(IF($B4654=J$1, ($A4654+$C4654) - MAX(IF($B$2:$B4653=$B4654, $A$2:$A4653+$C$2:$C4653)), "")*24*60, "")</f>
        <v/>
      </c>
      <c r="K4654" s="24" t="str" cm="1">
        <f t="array" ref="K4654">IFERROR(IF($B4654=K$1, ($A4654+$C4654) - MAX(IF($B$2:$B4653=$B4654, $A$2:$A4653+$C$2:$C4653)), "")*24*60, "")</f>
        <v/>
      </c>
      <c r="L4654" s="24" t="str" cm="1">
        <f t="array" ref="L4654">IFERROR(IF($B4654=L$1, ($A4654+$C4654) - MAX(IF($B$2:$B4653=$B4654, $A$2:$A4653+$C$2:$C4653)), "")*24*60, "")</f>
        <v/>
      </c>
      <c r="M4654" s="24" t="str" cm="1">
        <f t="array" ref="M4654">IFERROR(IF($B4654=M$1, ($A4654+$C4654) - MAX(IF($B$2:$B4653=$B4654, $A$2:$A4653+$C$2:$C4653)), "")*24*60, "")</f>
        <v/>
      </c>
      <c r="N4654" s="24" t="str" cm="1">
        <f t="array" ref="N4654">IFERROR(IF($B4654=N$1, ($A4654+$C4654) - MAX(IF($B$2:$B4653=$B4654, $A$2:$A4653+$C$2:$C4653)), "")*24*60, "")</f>
        <v/>
      </c>
      <c r="O4654" s="24" t="str" cm="1">
        <f t="array" ref="O4654">IFERROR(IF($B4654=O$1, ($A4654+$C4654) - MAX(IF($B$2:$B4653=$B4654, $A$2:$A4653+$C$2:$C4653)), "")*24*60, "")</f>
        <v/>
      </c>
      <c r="P4654" s="24" t="str" cm="1">
        <f t="array" ref="P4654">IFERROR(IF($B4654=P$1, ($A4654+$C4654) - MAX(IF($B$2:$B4653=$B4654, $A$2:$A4653+$C$2:$C4653)), "")*24*60, "")</f>
        <v/>
      </c>
    </row>
    <row r="4655" spans="1:16" x14ac:dyDescent="0.2">
      <c r="A4655" s="12">
        <f t="shared" ref="A4655:C4655" si="1326">A4654</f>
        <v>45969</v>
      </c>
      <c r="B4655" s="5" t="str">
        <f t="shared" si="1326"/>
        <v>Northern Cardinal</v>
      </c>
      <c r="C4655" s="6">
        <f t="shared" si="1326"/>
        <v>0.73888888888888893</v>
      </c>
      <c r="D4655" s="5"/>
      <c r="E4655" s="5"/>
      <c r="F4655" s="5" t="str">
        <f t="shared" ref="F4655:G4655" si="1327">F4654</f>
        <v>None</v>
      </c>
      <c r="G4655" s="15" t="str">
        <f t="shared" si="1327"/>
        <v>None</v>
      </c>
      <c r="H4655" s="24">
        <f t="shared" si="1215"/>
        <v>0</v>
      </c>
      <c r="I4655" s="24" cm="1">
        <f t="array" ref="I4655">IFERROR(IF($B4655=I$1, ($A4655+$C4655) - MAX(IF($B$2:$B4654=$B4655, $A$2:$A4654+$C$2:$C4654)), "")*24*60, "")</f>
        <v>0</v>
      </c>
      <c r="J4655" s="24" t="str" cm="1">
        <f t="array" ref="J4655">IFERROR(IF($B4655=J$1, ($A4655+$C4655) - MAX(IF($B$2:$B4654=$B4655, $A$2:$A4654+$C$2:$C4654)), "")*24*60, "")</f>
        <v/>
      </c>
      <c r="K4655" s="24" t="str" cm="1">
        <f t="array" ref="K4655">IFERROR(IF($B4655=K$1, ($A4655+$C4655) - MAX(IF($B$2:$B4654=$B4655, $A$2:$A4654+$C$2:$C4654)), "")*24*60, "")</f>
        <v/>
      </c>
      <c r="L4655" s="24" t="str" cm="1">
        <f t="array" ref="L4655">IFERROR(IF($B4655=L$1, ($A4655+$C4655) - MAX(IF($B$2:$B4654=$B4655, $A$2:$A4654+$C$2:$C4654)), "")*24*60, "")</f>
        <v/>
      </c>
      <c r="M4655" s="24" t="str" cm="1">
        <f t="array" ref="M4655">IFERROR(IF($B4655=M$1, ($A4655+$C4655) - MAX(IF($B$2:$B4654=$B4655, $A$2:$A4654+$C$2:$C4654)), "")*24*60, "")</f>
        <v/>
      </c>
      <c r="N4655" s="24" t="str" cm="1">
        <f t="array" ref="N4655">IFERROR(IF($B4655=N$1, ($A4655+$C4655) - MAX(IF($B$2:$B4654=$B4655, $A$2:$A4654+$C$2:$C4654)), "")*24*60, "")</f>
        <v/>
      </c>
      <c r="O4655" s="24" t="str" cm="1">
        <f t="array" ref="O4655">IFERROR(IF($B4655=O$1, ($A4655+$C4655) - MAX(IF($B$2:$B4654=$B4655, $A$2:$A4654+$C$2:$C4654)), "")*24*60, "")</f>
        <v/>
      </c>
      <c r="P4655" s="24" t="str" cm="1">
        <f t="array" ref="P4655">IFERROR(IF($B4655=P$1, ($A4655+$C4655) - MAX(IF($B$2:$B4654=$B4655, $A$2:$A4654+$C$2:$C4654)), "")*24*60, "")</f>
        <v/>
      </c>
    </row>
    <row r="4656" spans="1:16" x14ac:dyDescent="0.2">
      <c r="A4656" s="12">
        <f t="shared" ref="A4656:C4656" si="1328">A4655</f>
        <v>45969</v>
      </c>
      <c r="B4656" s="5" t="str">
        <f t="shared" si="1328"/>
        <v>Northern Cardinal</v>
      </c>
      <c r="C4656" s="6">
        <f t="shared" si="1328"/>
        <v>0.73888888888888893</v>
      </c>
      <c r="D4656" s="5"/>
      <c r="E4656" s="5"/>
      <c r="F4656" s="5" t="str">
        <f t="shared" ref="F4656:G4656" si="1329">F4655</f>
        <v>None</v>
      </c>
      <c r="G4656" s="15" t="str">
        <f t="shared" si="1329"/>
        <v>None</v>
      </c>
      <c r="H4656" s="24">
        <f t="shared" si="1215"/>
        <v>0</v>
      </c>
      <c r="I4656" s="24" cm="1">
        <f t="array" ref="I4656">IFERROR(IF($B4656=I$1, ($A4656+$C4656) - MAX(IF($B$2:$B4655=$B4656, $A$2:$A4655+$C$2:$C4655)), "")*24*60, "")</f>
        <v>0</v>
      </c>
      <c r="J4656" s="24" t="str" cm="1">
        <f t="array" ref="J4656">IFERROR(IF($B4656=J$1, ($A4656+$C4656) - MAX(IF($B$2:$B4655=$B4656, $A$2:$A4655+$C$2:$C4655)), "")*24*60, "")</f>
        <v/>
      </c>
      <c r="K4656" s="24" t="str" cm="1">
        <f t="array" ref="K4656">IFERROR(IF($B4656=K$1, ($A4656+$C4656) - MAX(IF($B$2:$B4655=$B4656, $A$2:$A4655+$C$2:$C4655)), "")*24*60, "")</f>
        <v/>
      </c>
      <c r="L4656" s="24" t="str" cm="1">
        <f t="array" ref="L4656">IFERROR(IF($B4656=L$1, ($A4656+$C4656) - MAX(IF($B$2:$B4655=$B4656, $A$2:$A4655+$C$2:$C4655)), "")*24*60, "")</f>
        <v/>
      </c>
      <c r="M4656" s="24" t="str" cm="1">
        <f t="array" ref="M4656">IFERROR(IF($B4656=M$1, ($A4656+$C4656) - MAX(IF($B$2:$B4655=$B4656, $A$2:$A4655+$C$2:$C4655)), "")*24*60, "")</f>
        <v/>
      </c>
      <c r="N4656" s="24" t="str" cm="1">
        <f t="array" ref="N4656">IFERROR(IF($B4656=N$1, ($A4656+$C4656) - MAX(IF($B$2:$B4655=$B4656, $A$2:$A4655+$C$2:$C4655)), "")*24*60, "")</f>
        <v/>
      </c>
      <c r="O4656" s="24" t="str" cm="1">
        <f t="array" ref="O4656">IFERROR(IF($B4656=O$1, ($A4656+$C4656) - MAX(IF($B$2:$B4655=$B4656, $A$2:$A4655+$C$2:$C4655)), "")*24*60, "")</f>
        <v/>
      </c>
      <c r="P4656" s="24" t="str" cm="1">
        <f t="array" ref="P4656">IFERROR(IF($B4656=P$1, ($A4656+$C4656) - MAX(IF($B$2:$B4655=$B4656, $A$2:$A4655+$C$2:$C4655)), "")*24*60, "")</f>
        <v/>
      </c>
    </row>
    <row r="4657" spans="1:16" x14ac:dyDescent="0.2">
      <c r="A4657" s="12">
        <f t="shared" ref="A4657:C4657" si="1330">A4656</f>
        <v>45969</v>
      </c>
      <c r="B4657" s="5" t="str">
        <f t="shared" si="1330"/>
        <v>Northern Cardinal</v>
      </c>
      <c r="C4657" s="6">
        <f t="shared" si="1330"/>
        <v>0.73888888888888893</v>
      </c>
      <c r="D4657" s="5"/>
      <c r="E4657" s="5"/>
      <c r="F4657" s="5" t="str">
        <f t="shared" ref="F4657:G4657" si="1331">F4656</f>
        <v>None</v>
      </c>
      <c r="G4657" s="15" t="str">
        <f t="shared" si="1331"/>
        <v>None</v>
      </c>
      <c r="H4657" s="24">
        <f t="shared" si="1215"/>
        <v>0</v>
      </c>
      <c r="I4657" s="24" cm="1">
        <f t="array" ref="I4657">IFERROR(IF($B4657=I$1, ($A4657+$C4657) - MAX(IF($B$2:$B4656=$B4657, $A$2:$A4656+$C$2:$C4656)), "")*24*60, "")</f>
        <v>0</v>
      </c>
      <c r="J4657" s="24" t="str" cm="1">
        <f t="array" ref="J4657">IFERROR(IF($B4657=J$1, ($A4657+$C4657) - MAX(IF($B$2:$B4656=$B4657, $A$2:$A4656+$C$2:$C4656)), "")*24*60, "")</f>
        <v/>
      </c>
      <c r="K4657" s="24" t="str" cm="1">
        <f t="array" ref="K4657">IFERROR(IF($B4657=K$1, ($A4657+$C4657) - MAX(IF($B$2:$B4656=$B4657, $A$2:$A4656+$C$2:$C4656)), "")*24*60, "")</f>
        <v/>
      </c>
      <c r="L4657" s="24" t="str" cm="1">
        <f t="array" ref="L4657">IFERROR(IF($B4657=L$1, ($A4657+$C4657) - MAX(IF($B$2:$B4656=$B4657, $A$2:$A4656+$C$2:$C4656)), "")*24*60, "")</f>
        <v/>
      </c>
      <c r="M4657" s="24" t="str" cm="1">
        <f t="array" ref="M4657">IFERROR(IF($B4657=M$1, ($A4657+$C4657) - MAX(IF($B$2:$B4656=$B4657, $A$2:$A4656+$C$2:$C4656)), "")*24*60, "")</f>
        <v/>
      </c>
      <c r="N4657" s="24" t="str" cm="1">
        <f t="array" ref="N4657">IFERROR(IF($B4657=N$1, ($A4657+$C4657) - MAX(IF($B$2:$B4656=$B4657, $A$2:$A4656+$C$2:$C4656)), "")*24*60, "")</f>
        <v/>
      </c>
      <c r="O4657" s="24" t="str" cm="1">
        <f t="array" ref="O4657">IFERROR(IF($B4657=O$1, ($A4657+$C4657) - MAX(IF($B$2:$B4656=$B4657, $A$2:$A4656+$C$2:$C4656)), "")*24*60, "")</f>
        <v/>
      </c>
      <c r="P4657" s="24" t="str" cm="1">
        <f t="array" ref="P4657">IFERROR(IF($B4657=P$1, ($A4657+$C4657) - MAX(IF($B$2:$B4656=$B4657, $A$2:$A4656+$C$2:$C4656)), "")*24*60, "")</f>
        <v/>
      </c>
    </row>
    <row r="4658" spans="1:16" x14ac:dyDescent="0.2">
      <c r="A4658" s="12">
        <f t="shared" ref="A4658:C4658" si="1332">A4657</f>
        <v>45969</v>
      </c>
      <c r="B4658" s="5" t="str">
        <f t="shared" si="1332"/>
        <v>Northern Cardinal</v>
      </c>
      <c r="C4658" s="6">
        <f t="shared" si="1332"/>
        <v>0.73888888888888893</v>
      </c>
      <c r="D4658" s="5"/>
      <c r="E4658" s="5"/>
      <c r="F4658" s="5" t="str">
        <f t="shared" ref="F4658:G4658" si="1333">F4657</f>
        <v>None</v>
      </c>
      <c r="G4658" s="15" t="str">
        <f t="shared" si="1333"/>
        <v>None</v>
      </c>
      <c r="H4658" s="24">
        <f t="shared" si="1215"/>
        <v>0</v>
      </c>
      <c r="I4658" s="24" cm="1">
        <f t="array" ref="I4658">IFERROR(IF($B4658=I$1, ($A4658+$C4658) - MAX(IF($B$2:$B4657=$B4658, $A$2:$A4657+$C$2:$C4657)), "")*24*60, "")</f>
        <v>0</v>
      </c>
      <c r="J4658" s="24" t="str" cm="1">
        <f t="array" ref="J4658">IFERROR(IF($B4658=J$1, ($A4658+$C4658) - MAX(IF($B$2:$B4657=$B4658, $A$2:$A4657+$C$2:$C4657)), "")*24*60, "")</f>
        <v/>
      </c>
      <c r="K4658" s="24" t="str" cm="1">
        <f t="array" ref="K4658">IFERROR(IF($B4658=K$1, ($A4658+$C4658) - MAX(IF($B$2:$B4657=$B4658, $A$2:$A4657+$C$2:$C4657)), "")*24*60, "")</f>
        <v/>
      </c>
      <c r="L4658" s="24" t="str" cm="1">
        <f t="array" ref="L4658">IFERROR(IF($B4658=L$1, ($A4658+$C4658) - MAX(IF($B$2:$B4657=$B4658, $A$2:$A4657+$C$2:$C4657)), "")*24*60, "")</f>
        <v/>
      </c>
      <c r="M4658" s="24" t="str" cm="1">
        <f t="array" ref="M4658">IFERROR(IF($B4658=M$1, ($A4658+$C4658) - MAX(IF($B$2:$B4657=$B4658, $A$2:$A4657+$C$2:$C4657)), "")*24*60, "")</f>
        <v/>
      </c>
      <c r="N4658" s="24" t="str" cm="1">
        <f t="array" ref="N4658">IFERROR(IF($B4658=N$1, ($A4658+$C4658) - MAX(IF($B$2:$B4657=$B4658, $A$2:$A4657+$C$2:$C4657)), "")*24*60, "")</f>
        <v/>
      </c>
      <c r="O4658" s="24" t="str" cm="1">
        <f t="array" ref="O4658">IFERROR(IF($B4658=O$1, ($A4658+$C4658) - MAX(IF($B$2:$B4657=$B4658, $A$2:$A4657+$C$2:$C4657)), "")*24*60, "")</f>
        <v/>
      </c>
      <c r="P4658" s="24" t="str" cm="1">
        <f t="array" ref="P4658">IFERROR(IF($B4658=P$1, ($A4658+$C4658) - MAX(IF($B$2:$B4657=$B4658, $A$2:$A4657+$C$2:$C4657)), "")*24*60, "")</f>
        <v/>
      </c>
    </row>
    <row r="4659" spans="1:16" x14ac:dyDescent="0.2">
      <c r="A4659" s="12">
        <f t="shared" ref="A4659:C4659" si="1334">A4658</f>
        <v>45969</v>
      </c>
      <c r="B4659" s="5" t="str">
        <f t="shared" si="1334"/>
        <v>Northern Cardinal</v>
      </c>
      <c r="C4659" s="6">
        <f t="shared" si="1334"/>
        <v>0.73888888888888893</v>
      </c>
      <c r="D4659" s="5"/>
      <c r="E4659" s="5"/>
      <c r="F4659" s="5" t="str">
        <f t="shared" ref="F4659:G4659" si="1335">F4658</f>
        <v>None</v>
      </c>
      <c r="G4659" s="15" t="str">
        <f t="shared" si="1335"/>
        <v>None</v>
      </c>
      <c r="H4659" s="24">
        <f t="shared" si="1215"/>
        <v>0</v>
      </c>
      <c r="I4659" s="24" cm="1">
        <f t="array" ref="I4659">IFERROR(IF($B4659=I$1, ($A4659+$C4659) - MAX(IF($B$2:$B4658=$B4659, $A$2:$A4658+$C$2:$C4658)), "")*24*60, "")</f>
        <v>0</v>
      </c>
      <c r="J4659" s="24" t="str" cm="1">
        <f t="array" ref="J4659">IFERROR(IF($B4659=J$1, ($A4659+$C4659) - MAX(IF($B$2:$B4658=$B4659, $A$2:$A4658+$C$2:$C4658)), "")*24*60, "")</f>
        <v/>
      </c>
      <c r="K4659" s="24" t="str" cm="1">
        <f t="array" ref="K4659">IFERROR(IF($B4659=K$1, ($A4659+$C4659) - MAX(IF($B$2:$B4658=$B4659, $A$2:$A4658+$C$2:$C4658)), "")*24*60, "")</f>
        <v/>
      </c>
      <c r="L4659" s="24" t="str" cm="1">
        <f t="array" ref="L4659">IFERROR(IF($B4659=L$1, ($A4659+$C4659) - MAX(IF($B$2:$B4658=$B4659, $A$2:$A4658+$C$2:$C4658)), "")*24*60, "")</f>
        <v/>
      </c>
      <c r="M4659" s="24" t="str" cm="1">
        <f t="array" ref="M4659">IFERROR(IF($B4659=M$1, ($A4659+$C4659) - MAX(IF($B$2:$B4658=$B4659, $A$2:$A4658+$C$2:$C4658)), "")*24*60, "")</f>
        <v/>
      </c>
      <c r="N4659" s="24" t="str" cm="1">
        <f t="array" ref="N4659">IFERROR(IF($B4659=N$1, ($A4659+$C4659) - MAX(IF($B$2:$B4658=$B4659, $A$2:$A4658+$C$2:$C4658)), "")*24*60, "")</f>
        <v/>
      </c>
      <c r="O4659" s="24" t="str" cm="1">
        <f t="array" ref="O4659">IFERROR(IF($B4659=O$1, ($A4659+$C4659) - MAX(IF($B$2:$B4658=$B4659, $A$2:$A4658+$C$2:$C4658)), "")*24*60, "")</f>
        <v/>
      </c>
      <c r="P4659" s="24" t="str" cm="1">
        <f t="array" ref="P4659">IFERROR(IF($B4659=P$1, ($A4659+$C4659) - MAX(IF($B$2:$B4658=$B4659, $A$2:$A4658+$C$2:$C4658)), "")*24*60, "")</f>
        <v/>
      </c>
    </row>
    <row r="4660" spans="1:16" x14ac:dyDescent="0.2">
      <c r="A4660" s="12">
        <f t="shared" ref="A4660:C4660" si="1336">A4659</f>
        <v>45969</v>
      </c>
      <c r="B4660" s="5" t="str">
        <f t="shared" si="1336"/>
        <v>Northern Cardinal</v>
      </c>
      <c r="C4660" s="6">
        <f t="shared" si="1336"/>
        <v>0.73888888888888893</v>
      </c>
      <c r="D4660" s="5"/>
      <c r="E4660" s="5"/>
      <c r="F4660" s="5" t="str">
        <f t="shared" ref="F4660:G4660" si="1337">F4659</f>
        <v>None</v>
      </c>
      <c r="G4660" s="15" t="str">
        <f t="shared" si="1337"/>
        <v>None</v>
      </c>
      <c r="H4660" s="24">
        <f t="shared" si="1215"/>
        <v>0</v>
      </c>
      <c r="I4660" s="24" cm="1">
        <f t="array" ref="I4660">IFERROR(IF($B4660=I$1, ($A4660+$C4660) - MAX(IF($B$2:$B4659=$B4660, $A$2:$A4659+$C$2:$C4659)), "")*24*60, "")</f>
        <v>0</v>
      </c>
      <c r="J4660" s="24" t="str" cm="1">
        <f t="array" ref="J4660">IFERROR(IF($B4660=J$1, ($A4660+$C4660) - MAX(IF($B$2:$B4659=$B4660, $A$2:$A4659+$C$2:$C4659)), "")*24*60, "")</f>
        <v/>
      </c>
      <c r="K4660" s="24" t="str" cm="1">
        <f t="array" ref="K4660">IFERROR(IF($B4660=K$1, ($A4660+$C4660) - MAX(IF($B$2:$B4659=$B4660, $A$2:$A4659+$C$2:$C4659)), "")*24*60, "")</f>
        <v/>
      </c>
      <c r="L4660" s="24" t="str" cm="1">
        <f t="array" ref="L4660">IFERROR(IF($B4660=L$1, ($A4660+$C4660) - MAX(IF($B$2:$B4659=$B4660, $A$2:$A4659+$C$2:$C4659)), "")*24*60, "")</f>
        <v/>
      </c>
      <c r="M4660" s="24" t="str" cm="1">
        <f t="array" ref="M4660">IFERROR(IF($B4660=M$1, ($A4660+$C4660) - MAX(IF($B$2:$B4659=$B4660, $A$2:$A4659+$C$2:$C4659)), "")*24*60, "")</f>
        <v/>
      </c>
      <c r="N4660" s="24" t="str" cm="1">
        <f t="array" ref="N4660">IFERROR(IF($B4660=N$1, ($A4660+$C4660) - MAX(IF($B$2:$B4659=$B4660, $A$2:$A4659+$C$2:$C4659)), "")*24*60, "")</f>
        <v/>
      </c>
      <c r="O4660" s="24" t="str" cm="1">
        <f t="array" ref="O4660">IFERROR(IF($B4660=O$1, ($A4660+$C4660) - MAX(IF($B$2:$B4659=$B4660, $A$2:$A4659+$C$2:$C4659)), "")*24*60, "")</f>
        <v/>
      </c>
      <c r="P4660" s="24" t="str" cm="1">
        <f t="array" ref="P4660">IFERROR(IF($B4660=P$1, ($A4660+$C4660) - MAX(IF($B$2:$B4659=$B4660, $A$2:$A4659+$C$2:$C4659)), "")*24*60, "")</f>
        <v/>
      </c>
    </row>
    <row r="4661" spans="1:16" x14ac:dyDescent="0.2">
      <c r="A4661" s="12">
        <f t="shared" ref="A4661:C4661" si="1338">A4660</f>
        <v>45969</v>
      </c>
      <c r="B4661" s="5" t="str">
        <f t="shared" si="1338"/>
        <v>Northern Cardinal</v>
      </c>
      <c r="C4661" s="6">
        <f t="shared" si="1338"/>
        <v>0.73888888888888893</v>
      </c>
      <c r="D4661" s="5"/>
      <c r="E4661" s="5"/>
      <c r="F4661" s="5" t="str">
        <f t="shared" ref="F4661:G4661" si="1339">F4660</f>
        <v>None</v>
      </c>
      <c r="G4661" s="15" t="str">
        <f t="shared" si="1339"/>
        <v>None</v>
      </c>
      <c r="H4661" s="24">
        <f t="shared" si="1215"/>
        <v>0</v>
      </c>
      <c r="I4661" s="24" cm="1">
        <f t="array" ref="I4661">IFERROR(IF($B4661=I$1, ($A4661+$C4661) - MAX(IF($B$2:$B4660=$B4661, $A$2:$A4660+$C$2:$C4660)), "")*24*60, "")</f>
        <v>0</v>
      </c>
      <c r="J4661" s="24" t="str" cm="1">
        <f t="array" ref="J4661">IFERROR(IF($B4661=J$1, ($A4661+$C4661) - MAX(IF($B$2:$B4660=$B4661, $A$2:$A4660+$C$2:$C4660)), "")*24*60, "")</f>
        <v/>
      </c>
      <c r="K4661" s="24" t="str" cm="1">
        <f t="array" ref="K4661">IFERROR(IF($B4661=K$1, ($A4661+$C4661) - MAX(IF($B$2:$B4660=$B4661, $A$2:$A4660+$C$2:$C4660)), "")*24*60, "")</f>
        <v/>
      </c>
      <c r="L4661" s="24" t="str" cm="1">
        <f t="array" ref="L4661">IFERROR(IF($B4661=L$1, ($A4661+$C4661) - MAX(IF($B$2:$B4660=$B4661, $A$2:$A4660+$C$2:$C4660)), "")*24*60, "")</f>
        <v/>
      </c>
      <c r="M4661" s="24" t="str" cm="1">
        <f t="array" ref="M4661">IFERROR(IF($B4661=M$1, ($A4661+$C4661) - MAX(IF($B$2:$B4660=$B4661, $A$2:$A4660+$C$2:$C4660)), "")*24*60, "")</f>
        <v/>
      </c>
      <c r="N4661" s="24" t="str" cm="1">
        <f t="array" ref="N4661">IFERROR(IF($B4661=N$1, ($A4661+$C4661) - MAX(IF($B$2:$B4660=$B4661, $A$2:$A4660+$C$2:$C4660)), "")*24*60, "")</f>
        <v/>
      </c>
      <c r="O4661" s="24" t="str" cm="1">
        <f t="array" ref="O4661">IFERROR(IF($B4661=O$1, ($A4661+$C4661) - MAX(IF($B$2:$B4660=$B4661, $A$2:$A4660+$C$2:$C4660)), "")*24*60, "")</f>
        <v/>
      </c>
      <c r="P4661" s="24" t="str" cm="1">
        <f t="array" ref="P4661">IFERROR(IF($B4661=P$1, ($A4661+$C4661) - MAX(IF($B$2:$B4660=$B4661, $A$2:$A4660+$C$2:$C4660)), "")*24*60, "")</f>
        <v/>
      </c>
    </row>
    <row r="4662" spans="1:16" x14ac:dyDescent="0.2">
      <c r="A4662" s="12">
        <f t="shared" ref="A4662:C4662" si="1340">A4661</f>
        <v>45969</v>
      </c>
      <c r="B4662" s="5" t="str">
        <f t="shared" si="1340"/>
        <v>Northern Cardinal</v>
      </c>
      <c r="C4662" s="6">
        <f t="shared" si="1340"/>
        <v>0.73888888888888893</v>
      </c>
      <c r="D4662" s="5"/>
      <c r="E4662" s="5"/>
      <c r="F4662" s="5" t="str">
        <f t="shared" ref="F4662:G4662" si="1341">F4661</f>
        <v>None</v>
      </c>
      <c r="G4662" s="15" t="str">
        <f t="shared" si="1341"/>
        <v>None</v>
      </c>
      <c r="H4662" s="24">
        <f t="shared" si="1215"/>
        <v>0</v>
      </c>
      <c r="I4662" s="24" cm="1">
        <f t="array" ref="I4662">IFERROR(IF($B4662=I$1, ($A4662+$C4662) - MAX(IF($B$2:$B4661=$B4662, $A$2:$A4661+$C$2:$C4661)), "")*24*60, "")</f>
        <v>0</v>
      </c>
      <c r="J4662" s="24" t="str" cm="1">
        <f t="array" ref="J4662">IFERROR(IF($B4662=J$1, ($A4662+$C4662) - MAX(IF($B$2:$B4661=$B4662, $A$2:$A4661+$C$2:$C4661)), "")*24*60, "")</f>
        <v/>
      </c>
      <c r="K4662" s="24" t="str" cm="1">
        <f t="array" ref="K4662">IFERROR(IF($B4662=K$1, ($A4662+$C4662) - MAX(IF($B$2:$B4661=$B4662, $A$2:$A4661+$C$2:$C4661)), "")*24*60, "")</f>
        <v/>
      </c>
      <c r="L4662" s="24" t="str" cm="1">
        <f t="array" ref="L4662">IFERROR(IF($B4662=L$1, ($A4662+$C4662) - MAX(IF($B$2:$B4661=$B4662, $A$2:$A4661+$C$2:$C4661)), "")*24*60, "")</f>
        <v/>
      </c>
      <c r="M4662" s="24" t="str" cm="1">
        <f t="array" ref="M4662">IFERROR(IF($B4662=M$1, ($A4662+$C4662) - MAX(IF($B$2:$B4661=$B4662, $A$2:$A4661+$C$2:$C4661)), "")*24*60, "")</f>
        <v/>
      </c>
      <c r="N4662" s="24" t="str" cm="1">
        <f t="array" ref="N4662">IFERROR(IF($B4662=N$1, ($A4662+$C4662) - MAX(IF($B$2:$B4661=$B4662, $A$2:$A4661+$C$2:$C4661)), "")*24*60, "")</f>
        <v/>
      </c>
      <c r="O4662" s="24" t="str" cm="1">
        <f t="array" ref="O4662">IFERROR(IF($B4662=O$1, ($A4662+$C4662) - MAX(IF($B$2:$B4661=$B4662, $A$2:$A4661+$C$2:$C4661)), "")*24*60, "")</f>
        <v/>
      </c>
      <c r="P4662" s="24" t="str" cm="1">
        <f t="array" ref="P4662">IFERROR(IF($B4662=P$1, ($A4662+$C4662) - MAX(IF($B$2:$B4661=$B4662, $A$2:$A4661+$C$2:$C4661)), "")*24*60, "")</f>
        <v/>
      </c>
    </row>
    <row r="4663" spans="1:16" x14ac:dyDescent="0.2">
      <c r="A4663" s="12">
        <f t="shared" ref="A4663:C4663" si="1342">A4662</f>
        <v>45969</v>
      </c>
      <c r="B4663" s="5" t="str">
        <f t="shared" si="1342"/>
        <v>Northern Cardinal</v>
      </c>
      <c r="C4663" s="6">
        <f t="shared" si="1342"/>
        <v>0.73888888888888893</v>
      </c>
      <c r="D4663" s="5"/>
      <c r="E4663" s="5"/>
      <c r="F4663" s="5" t="str">
        <f t="shared" ref="F4663:G4663" si="1343">F4662</f>
        <v>None</v>
      </c>
      <c r="G4663" s="15" t="str">
        <f t="shared" si="1343"/>
        <v>None</v>
      </c>
      <c r="H4663" s="24">
        <f t="shared" ref="H4663:H4674" si="1344">IFERROR((($A4663+$C4663) - ($A4662+$C4662))*24*60, "")</f>
        <v>0</v>
      </c>
      <c r="I4663" s="24" cm="1">
        <f t="array" ref="I4663">IFERROR(IF($B4663=I$1, ($A4663+$C4663) - MAX(IF($B$2:$B4662=$B4663, $A$2:$A4662+$C$2:$C4662)), "")*24*60, "")</f>
        <v>0</v>
      </c>
      <c r="J4663" s="24" t="str" cm="1">
        <f t="array" ref="J4663">IFERROR(IF($B4663=J$1, ($A4663+$C4663) - MAX(IF($B$2:$B4662=$B4663, $A$2:$A4662+$C$2:$C4662)), "")*24*60, "")</f>
        <v/>
      </c>
      <c r="K4663" s="24" t="str" cm="1">
        <f t="array" ref="K4663">IFERROR(IF($B4663=K$1, ($A4663+$C4663) - MAX(IF($B$2:$B4662=$B4663, $A$2:$A4662+$C$2:$C4662)), "")*24*60, "")</f>
        <v/>
      </c>
      <c r="L4663" s="24" t="str" cm="1">
        <f t="array" ref="L4663">IFERROR(IF($B4663=L$1, ($A4663+$C4663) - MAX(IF($B$2:$B4662=$B4663, $A$2:$A4662+$C$2:$C4662)), "")*24*60, "")</f>
        <v/>
      </c>
      <c r="M4663" s="24" t="str" cm="1">
        <f t="array" ref="M4663">IFERROR(IF($B4663=M$1, ($A4663+$C4663) - MAX(IF($B$2:$B4662=$B4663, $A$2:$A4662+$C$2:$C4662)), "")*24*60, "")</f>
        <v/>
      </c>
      <c r="N4663" s="24" t="str" cm="1">
        <f t="array" ref="N4663">IFERROR(IF($B4663=N$1, ($A4663+$C4663) - MAX(IF($B$2:$B4662=$B4663, $A$2:$A4662+$C$2:$C4662)), "")*24*60, "")</f>
        <v/>
      </c>
      <c r="O4663" s="24" t="str" cm="1">
        <f t="array" ref="O4663">IFERROR(IF($B4663=O$1, ($A4663+$C4663) - MAX(IF($B$2:$B4662=$B4663, $A$2:$A4662+$C$2:$C4662)), "")*24*60, "")</f>
        <v/>
      </c>
      <c r="P4663" s="24" t="str" cm="1">
        <f t="array" ref="P4663">IFERROR(IF($B4663=P$1, ($A4663+$C4663) - MAX(IF($B$2:$B4662=$B4663, $A$2:$A4662+$C$2:$C4662)), "")*24*60, "")</f>
        <v/>
      </c>
    </row>
    <row r="4664" spans="1:16" x14ac:dyDescent="0.2">
      <c r="A4664" s="12">
        <f t="shared" ref="A4664:C4664" si="1345">A4663</f>
        <v>45969</v>
      </c>
      <c r="B4664" s="5" t="str">
        <f t="shared" si="1345"/>
        <v>Northern Cardinal</v>
      </c>
      <c r="C4664" s="6">
        <f t="shared" si="1345"/>
        <v>0.73888888888888893</v>
      </c>
      <c r="D4664" s="5"/>
      <c r="E4664" s="5"/>
      <c r="F4664" s="5" t="str">
        <f t="shared" ref="F4664:G4664" si="1346">F4663</f>
        <v>None</v>
      </c>
      <c r="G4664" s="15" t="str">
        <f t="shared" si="1346"/>
        <v>None</v>
      </c>
      <c r="H4664" s="24">
        <f t="shared" si="1344"/>
        <v>0</v>
      </c>
      <c r="I4664" s="24" cm="1">
        <f t="array" ref="I4664">IFERROR(IF($B4664=I$1, ($A4664+$C4664) - MAX(IF($B$2:$B4663=$B4664, $A$2:$A4663+$C$2:$C4663)), "")*24*60, "")</f>
        <v>0</v>
      </c>
      <c r="J4664" s="24" t="str" cm="1">
        <f t="array" ref="J4664">IFERROR(IF($B4664=J$1, ($A4664+$C4664) - MAX(IF($B$2:$B4663=$B4664, $A$2:$A4663+$C$2:$C4663)), "")*24*60, "")</f>
        <v/>
      </c>
      <c r="K4664" s="24" t="str" cm="1">
        <f t="array" ref="K4664">IFERROR(IF($B4664=K$1, ($A4664+$C4664) - MAX(IF($B$2:$B4663=$B4664, $A$2:$A4663+$C$2:$C4663)), "")*24*60, "")</f>
        <v/>
      </c>
      <c r="L4664" s="24" t="str" cm="1">
        <f t="array" ref="L4664">IFERROR(IF($B4664=L$1, ($A4664+$C4664) - MAX(IF($B$2:$B4663=$B4664, $A$2:$A4663+$C$2:$C4663)), "")*24*60, "")</f>
        <v/>
      </c>
      <c r="M4664" s="24" t="str" cm="1">
        <f t="array" ref="M4664">IFERROR(IF($B4664=M$1, ($A4664+$C4664) - MAX(IF($B$2:$B4663=$B4664, $A$2:$A4663+$C$2:$C4663)), "")*24*60, "")</f>
        <v/>
      </c>
      <c r="N4664" s="24" t="str" cm="1">
        <f t="array" ref="N4664">IFERROR(IF($B4664=N$1, ($A4664+$C4664) - MAX(IF($B$2:$B4663=$B4664, $A$2:$A4663+$C$2:$C4663)), "")*24*60, "")</f>
        <v/>
      </c>
      <c r="O4664" s="24" t="str" cm="1">
        <f t="array" ref="O4664">IFERROR(IF($B4664=O$1, ($A4664+$C4664) - MAX(IF($B$2:$B4663=$B4664, $A$2:$A4663+$C$2:$C4663)), "")*24*60, "")</f>
        <v/>
      </c>
      <c r="P4664" s="24" t="str" cm="1">
        <f t="array" ref="P4664">IFERROR(IF($B4664=P$1, ($A4664+$C4664) - MAX(IF($B$2:$B4663=$B4664, $A$2:$A4663+$C$2:$C4663)), "")*24*60, "")</f>
        <v/>
      </c>
    </row>
    <row r="4665" spans="1:16" x14ac:dyDescent="0.2">
      <c r="A4665" s="12">
        <f t="shared" ref="A4665:C4665" si="1347">A4664</f>
        <v>45969</v>
      </c>
      <c r="B4665" s="5" t="str">
        <f t="shared" si="1347"/>
        <v>Northern Cardinal</v>
      </c>
      <c r="C4665" s="6">
        <f t="shared" si="1347"/>
        <v>0.73888888888888893</v>
      </c>
      <c r="D4665" s="5"/>
      <c r="E4665" s="5"/>
      <c r="F4665" s="5" t="str">
        <f t="shared" ref="F4665:G4665" si="1348">F4664</f>
        <v>None</v>
      </c>
      <c r="G4665" s="15" t="str">
        <f t="shared" si="1348"/>
        <v>None</v>
      </c>
      <c r="H4665" s="24">
        <f t="shared" si="1344"/>
        <v>0</v>
      </c>
      <c r="I4665" s="24" cm="1">
        <f t="array" ref="I4665">IFERROR(IF($B4665=I$1, ($A4665+$C4665) - MAX(IF($B$2:$B4664=$B4665, $A$2:$A4664+$C$2:$C4664)), "")*24*60, "")</f>
        <v>0</v>
      </c>
      <c r="J4665" s="24" t="str" cm="1">
        <f t="array" ref="J4665">IFERROR(IF($B4665=J$1, ($A4665+$C4665) - MAX(IF($B$2:$B4664=$B4665, $A$2:$A4664+$C$2:$C4664)), "")*24*60, "")</f>
        <v/>
      </c>
      <c r="K4665" s="24" t="str" cm="1">
        <f t="array" ref="K4665">IFERROR(IF($B4665=K$1, ($A4665+$C4665) - MAX(IF($B$2:$B4664=$B4665, $A$2:$A4664+$C$2:$C4664)), "")*24*60, "")</f>
        <v/>
      </c>
      <c r="L4665" s="24" t="str" cm="1">
        <f t="array" ref="L4665">IFERROR(IF($B4665=L$1, ($A4665+$C4665) - MAX(IF($B$2:$B4664=$B4665, $A$2:$A4664+$C$2:$C4664)), "")*24*60, "")</f>
        <v/>
      </c>
      <c r="M4665" s="24" t="str" cm="1">
        <f t="array" ref="M4665">IFERROR(IF($B4665=M$1, ($A4665+$C4665) - MAX(IF($B$2:$B4664=$B4665, $A$2:$A4664+$C$2:$C4664)), "")*24*60, "")</f>
        <v/>
      </c>
      <c r="N4665" s="24" t="str" cm="1">
        <f t="array" ref="N4665">IFERROR(IF($B4665=N$1, ($A4665+$C4665) - MAX(IF($B$2:$B4664=$B4665, $A$2:$A4664+$C$2:$C4664)), "")*24*60, "")</f>
        <v/>
      </c>
      <c r="O4665" s="24" t="str" cm="1">
        <f t="array" ref="O4665">IFERROR(IF($B4665=O$1, ($A4665+$C4665) - MAX(IF($B$2:$B4664=$B4665, $A$2:$A4664+$C$2:$C4664)), "")*24*60, "")</f>
        <v/>
      </c>
      <c r="P4665" s="24" t="str" cm="1">
        <f t="array" ref="P4665">IFERROR(IF($B4665=P$1, ($A4665+$C4665) - MAX(IF($B$2:$B4664=$B4665, $A$2:$A4664+$C$2:$C4664)), "")*24*60, "")</f>
        <v/>
      </c>
    </row>
    <row r="4666" spans="1:16" x14ac:dyDescent="0.2">
      <c r="A4666" s="12">
        <f t="shared" ref="A4666:C4666" si="1349">A4665</f>
        <v>45969</v>
      </c>
      <c r="B4666" s="5" t="str">
        <f t="shared" si="1349"/>
        <v>Northern Cardinal</v>
      </c>
      <c r="C4666" s="6">
        <f t="shared" si="1349"/>
        <v>0.73888888888888893</v>
      </c>
      <c r="D4666" s="5"/>
      <c r="E4666" s="5"/>
      <c r="F4666" s="5" t="str">
        <f t="shared" ref="F4666:G4666" si="1350">F4665</f>
        <v>None</v>
      </c>
      <c r="G4666" s="15" t="str">
        <f t="shared" si="1350"/>
        <v>None</v>
      </c>
      <c r="H4666" s="24">
        <f t="shared" si="1344"/>
        <v>0</v>
      </c>
      <c r="I4666" s="24" cm="1">
        <f t="array" ref="I4666">IFERROR(IF($B4666=I$1, ($A4666+$C4666) - MAX(IF($B$2:$B4665=$B4666, $A$2:$A4665+$C$2:$C4665)), "")*24*60, "")</f>
        <v>0</v>
      </c>
      <c r="J4666" s="24" t="str" cm="1">
        <f t="array" ref="J4666">IFERROR(IF($B4666=J$1, ($A4666+$C4666) - MAX(IF($B$2:$B4665=$B4666, $A$2:$A4665+$C$2:$C4665)), "")*24*60, "")</f>
        <v/>
      </c>
      <c r="K4666" s="24" t="str" cm="1">
        <f t="array" ref="K4666">IFERROR(IF($B4666=K$1, ($A4666+$C4666) - MAX(IF($B$2:$B4665=$B4666, $A$2:$A4665+$C$2:$C4665)), "")*24*60, "")</f>
        <v/>
      </c>
      <c r="L4666" s="24" t="str" cm="1">
        <f t="array" ref="L4666">IFERROR(IF($B4666=L$1, ($A4666+$C4666) - MAX(IF($B$2:$B4665=$B4666, $A$2:$A4665+$C$2:$C4665)), "")*24*60, "")</f>
        <v/>
      </c>
      <c r="M4666" s="24" t="str" cm="1">
        <f t="array" ref="M4666">IFERROR(IF($B4666=M$1, ($A4666+$C4666) - MAX(IF($B$2:$B4665=$B4666, $A$2:$A4665+$C$2:$C4665)), "")*24*60, "")</f>
        <v/>
      </c>
      <c r="N4666" s="24" t="str" cm="1">
        <f t="array" ref="N4666">IFERROR(IF($B4666=N$1, ($A4666+$C4666) - MAX(IF($B$2:$B4665=$B4666, $A$2:$A4665+$C$2:$C4665)), "")*24*60, "")</f>
        <v/>
      </c>
      <c r="O4666" s="24" t="str" cm="1">
        <f t="array" ref="O4666">IFERROR(IF($B4666=O$1, ($A4666+$C4666) - MAX(IF($B$2:$B4665=$B4666, $A$2:$A4665+$C$2:$C4665)), "")*24*60, "")</f>
        <v/>
      </c>
      <c r="P4666" s="24" t="str" cm="1">
        <f t="array" ref="P4666">IFERROR(IF($B4666=P$1, ($A4666+$C4666) - MAX(IF($B$2:$B4665=$B4666, $A$2:$A4665+$C$2:$C4665)), "")*24*60, "")</f>
        <v/>
      </c>
    </row>
    <row r="4667" spans="1:16" x14ac:dyDescent="0.2">
      <c r="A4667" s="12">
        <f t="shared" ref="A4667:C4667" si="1351">A4666</f>
        <v>45969</v>
      </c>
      <c r="B4667" s="5" t="str">
        <f t="shared" si="1351"/>
        <v>Northern Cardinal</v>
      </c>
      <c r="C4667" s="6">
        <f t="shared" si="1351"/>
        <v>0.73888888888888893</v>
      </c>
      <c r="D4667" s="5"/>
      <c r="E4667" s="5"/>
      <c r="F4667" s="5" t="str">
        <f t="shared" ref="F4667:G4667" si="1352">F4666</f>
        <v>None</v>
      </c>
      <c r="G4667" s="15" t="str">
        <f t="shared" si="1352"/>
        <v>None</v>
      </c>
      <c r="H4667" s="24">
        <f t="shared" si="1344"/>
        <v>0</v>
      </c>
      <c r="I4667" s="24" cm="1">
        <f t="array" ref="I4667">IFERROR(IF($B4667=I$1, ($A4667+$C4667) - MAX(IF($B$2:$B4666=$B4667, $A$2:$A4666+$C$2:$C4666)), "")*24*60, "")</f>
        <v>0</v>
      </c>
      <c r="J4667" s="24" t="str" cm="1">
        <f t="array" ref="J4667">IFERROR(IF($B4667=J$1, ($A4667+$C4667) - MAX(IF($B$2:$B4666=$B4667, $A$2:$A4666+$C$2:$C4666)), "")*24*60, "")</f>
        <v/>
      </c>
      <c r="K4667" s="24" t="str" cm="1">
        <f t="array" ref="K4667">IFERROR(IF($B4667=K$1, ($A4667+$C4667) - MAX(IF($B$2:$B4666=$B4667, $A$2:$A4666+$C$2:$C4666)), "")*24*60, "")</f>
        <v/>
      </c>
      <c r="L4667" s="24" t="str" cm="1">
        <f t="array" ref="L4667">IFERROR(IF($B4667=L$1, ($A4667+$C4667) - MAX(IF($B$2:$B4666=$B4667, $A$2:$A4666+$C$2:$C4666)), "")*24*60, "")</f>
        <v/>
      </c>
      <c r="M4667" s="24" t="str" cm="1">
        <f t="array" ref="M4667">IFERROR(IF($B4667=M$1, ($A4667+$C4667) - MAX(IF($B$2:$B4666=$B4667, $A$2:$A4666+$C$2:$C4666)), "")*24*60, "")</f>
        <v/>
      </c>
      <c r="N4667" s="24" t="str" cm="1">
        <f t="array" ref="N4667">IFERROR(IF($B4667=N$1, ($A4667+$C4667) - MAX(IF($B$2:$B4666=$B4667, $A$2:$A4666+$C$2:$C4666)), "")*24*60, "")</f>
        <v/>
      </c>
      <c r="O4667" s="24" t="str" cm="1">
        <f t="array" ref="O4667">IFERROR(IF($B4667=O$1, ($A4667+$C4667) - MAX(IF($B$2:$B4666=$B4667, $A$2:$A4666+$C$2:$C4666)), "")*24*60, "")</f>
        <v/>
      </c>
      <c r="P4667" s="24" t="str" cm="1">
        <f t="array" ref="P4667">IFERROR(IF($B4667=P$1, ($A4667+$C4667) - MAX(IF($B$2:$B4666=$B4667, $A$2:$A4666+$C$2:$C4666)), "")*24*60, "")</f>
        <v/>
      </c>
    </row>
    <row r="4668" spans="1:16" x14ac:dyDescent="0.2">
      <c r="A4668" s="12">
        <f t="shared" ref="A4668:C4668" si="1353">A4667</f>
        <v>45969</v>
      </c>
      <c r="B4668" s="5" t="str">
        <f t="shared" si="1353"/>
        <v>Northern Cardinal</v>
      </c>
      <c r="C4668" s="6">
        <f t="shared" si="1353"/>
        <v>0.73888888888888893</v>
      </c>
      <c r="D4668" s="5"/>
      <c r="E4668" s="5"/>
      <c r="F4668" s="5" t="str">
        <f t="shared" ref="F4668:G4668" si="1354">F4667</f>
        <v>None</v>
      </c>
      <c r="G4668" s="15" t="str">
        <f t="shared" si="1354"/>
        <v>None</v>
      </c>
      <c r="H4668" s="24">
        <f t="shared" si="1344"/>
        <v>0</v>
      </c>
      <c r="I4668" s="24" cm="1">
        <f t="array" ref="I4668">IFERROR(IF($B4668=I$1, ($A4668+$C4668) - MAX(IF($B$2:$B4667=$B4668, $A$2:$A4667+$C$2:$C4667)), "")*24*60, "")</f>
        <v>0</v>
      </c>
      <c r="J4668" s="24" t="str" cm="1">
        <f t="array" ref="J4668">IFERROR(IF($B4668=J$1, ($A4668+$C4668) - MAX(IF($B$2:$B4667=$B4668, $A$2:$A4667+$C$2:$C4667)), "")*24*60, "")</f>
        <v/>
      </c>
      <c r="K4668" s="24" t="str" cm="1">
        <f t="array" ref="K4668">IFERROR(IF($B4668=K$1, ($A4668+$C4668) - MAX(IF($B$2:$B4667=$B4668, $A$2:$A4667+$C$2:$C4667)), "")*24*60, "")</f>
        <v/>
      </c>
      <c r="L4668" s="24" t="str" cm="1">
        <f t="array" ref="L4668">IFERROR(IF($B4668=L$1, ($A4668+$C4668) - MAX(IF($B$2:$B4667=$B4668, $A$2:$A4667+$C$2:$C4667)), "")*24*60, "")</f>
        <v/>
      </c>
      <c r="M4668" s="24" t="str" cm="1">
        <f t="array" ref="M4668">IFERROR(IF($B4668=M$1, ($A4668+$C4668) - MAX(IF($B$2:$B4667=$B4668, $A$2:$A4667+$C$2:$C4667)), "")*24*60, "")</f>
        <v/>
      </c>
      <c r="N4668" s="24" t="str" cm="1">
        <f t="array" ref="N4668">IFERROR(IF($B4668=N$1, ($A4668+$C4668) - MAX(IF($B$2:$B4667=$B4668, $A$2:$A4667+$C$2:$C4667)), "")*24*60, "")</f>
        <v/>
      </c>
      <c r="O4668" s="24" t="str" cm="1">
        <f t="array" ref="O4668">IFERROR(IF($B4668=O$1, ($A4668+$C4668) - MAX(IF($B$2:$B4667=$B4668, $A$2:$A4667+$C$2:$C4667)), "")*24*60, "")</f>
        <v/>
      </c>
      <c r="P4668" s="24" t="str" cm="1">
        <f t="array" ref="P4668">IFERROR(IF($B4668=P$1, ($A4668+$C4668) - MAX(IF($B$2:$B4667=$B4668, $A$2:$A4667+$C$2:$C4667)), "")*24*60, "")</f>
        <v/>
      </c>
    </row>
    <row r="4669" spans="1:16" x14ac:dyDescent="0.2">
      <c r="A4669" s="12">
        <f t="shared" ref="A4669:C4669" si="1355">A4668</f>
        <v>45969</v>
      </c>
      <c r="B4669" s="5" t="str">
        <f t="shared" si="1355"/>
        <v>Northern Cardinal</v>
      </c>
      <c r="C4669" s="6">
        <f t="shared" si="1355"/>
        <v>0.73888888888888893</v>
      </c>
      <c r="D4669" s="5"/>
      <c r="E4669" s="5"/>
      <c r="F4669" s="5" t="str">
        <f t="shared" ref="F4669:G4669" si="1356">F4668</f>
        <v>None</v>
      </c>
      <c r="G4669" s="15" t="str">
        <f t="shared" si="1356"/>
        <v>None</v>
      </c>
      <c r="H4669" s="24">
        <f t="shared" si="1344"/>
        <v>0</v>
      </c>
      <c r="I4669" s="24" cm="1">
        <f t="array" ref="I4669">IFERROR(IF($B4669=I$1, ($A4669+$C4669) - MAX(IF($B$2:$B4668=$B4669, $A$2:$A4668+$C$2:$C4668)), "")*24*60, "")</f>
        <v>0</v>
      </c>
      <c r="J4669" s="24" t="str" cm="1">
        <f t="array" ref="J4669">IFERROR(IF($B4669=J$1, ($A4669+$C4669) - MAX(IF($B$2:$B4668=$B4669, $A$2:$A4668+$C$2:$C4668)), "")*24*60, "")</f>
        <v/>
      </c>
      <c r="K4669" s="24" t="str" cm="1">
        <f t="array" ref="K4669">IFERROR(IF($B4669=K$1, ($A4669+$C4669) - MAX(IF($B$2:$B4668=$B4669, $A$2:$A4668+$C$2:$C4668)), "")*24*60, "")</f>
        <v/>
      </c>
      <c r="L4669" s="24" t="str" cm="1">
        <f t="array" ref="L4669">IFERROR(IF($B4669=L$1, ($A4669+$C4669) - MAX(IF($B$2:$B4668=$B4669, $A$2:$A4668+$C$2:$C4668)), "")*24*60, "")</f>
        <v/>
      </c>
      <c r="M4669" s="24" t="str" cm="1">
        <f t="array" ref="M4669">IFERROR(IF($B4669=M$1, ($A4669+$C4669) - MAX(IF($B$2:$B4668=$B4669, $A$2:$A4668+$C$2:$C4668)), "")*24*60, "")</f>
        <v/>
      </c>
      <c r="N4669" s="24" t="str" cm="1">
        <f t="array" ref="N4669">IFERROR(IF($B4669=N$1, ($A4669+$C4669) - MAX(IF($B$2:$B4668=$B4669, $A$2:$A4668+$C$2:$C4668)), "")*24*60, "")</f>
        <v/>
      </c>
      <c r="O4669" s="24" t="str" cm="1">
        <f t="array" ref="O4669">IFERROR(IF($B4669=O$1, ($A4669+$C4669) - MAX(IF($B$2:$B4668=$B4669, $A$2:$A4668+$C$2:$C4668)), "")*24*60, "")</f>
        <v/>
      </c>
      <c r="P4669" s="24" t="str" cm="1">
        <f t="array" ref="P4669">IFERROR(IF($B4669=P$1, ($A4669+$C4669) - MAX(IF($B$2:$B4668=$B4669, $A$2:$A4668+$C$2:$C4668)), "")*24*60, "")</f>
        <v/>
      </c>
    </row>
    <row r="4670" spans="1:16" x14ac:dyDescent="0.2">
      <c r="A4670" s="12">
        <f t="shared" ref="A4670:C4670" si="1357">A4669</f>
        <v>45969</v>
      </c>
      <c r="B4670" s="5" t="str">
        <f t="shared" si="1357"/>
        <v>Northern Cardinal</v>
      </c>
      <c r="C4670" s="6">
        <f t="shared" si="1357"/>
        <v>0.73888888888888893</v>
      </c>
      <c r="D4670" s="5"/>
      <c r="E4670" s="5"/>
      <c r="F4670" s="5" t="str">
        <f t="shared" ref="F4670:G4670" si="1358">F4669</f>
        <v>None</v>
      </c>
      <c r="G4670" s="15" t="str">
        <f t="shared" si="1358"/>
        <v>None</v>
      </c>
      <c r="H4670" s="24">
        <f t="shared" si="1344"/>
        <v>0</v>
      </c>
      <c r="I4670" s="24" cm="1">
        <f t="array" ref="I4670">IFERROR(IF($B4670=I$1, ($A4670+$C4670) - MAX(IF($B$2:$B4669=$B4670, $A$2:$A4669+$C$2:$C4669)), "")*24*60, "")</f>
        <v>0</v>
      </c>
      <c r="J4670" s="24" t="str" cm="1">
        <f t="array" ref="J4670">IFERROR(IF($B4670=J$1, ($A4670+$C4670) - MAX(IF($B$2:$B4669=$B4670, $A$2:$A4669+$C$2:$C4669)), "")*24*60, "")</f>
        <v/>
      </c>
      <c r="K4670" s="24" t="str" cm="1">
        <f t="array" ref="K4670">IFERROR(IF($B4670=K$1, ($A4670+$C4670) - MAX(IF($B$2:$B4669=$B4670, $A$2:$A4669+$C$2:$C4669)), "")*24*60, "")</f>
        <v/>
      </c>
      <c r="L4670" s="24" t="str" cm="1">
        <f t="array" ref="L4670">IFERROR(IF($B4670=L$1, ($A4670+$C4670) - MAX(IF($B$2:$B4669=$B4670, $A$2:$A4669+$C$2:$C4669)), "")*24*60, "")</f>
        <v/>
      </c>
      <c r="M4670" s="24" t="str" cm="1">
        <f t="array" ref="M4670">IFERROR(IF($B4670=M$1, ($A4670+$C4670) - MAX(IF($B$2:$B4669=$B4670, $A$2:$A4669+$C$2:$C4669)), "")*24*60, "")</f>
        <v/>
      </c>
      <c r="N4670" s="24" t="str" cm="1">
        <f t="array" ref="N4670">IFERROR(IF($B4670=N$1, ($A4670+$C4670) - MAX(IF($B$2:$B4669=$B4670, $A$2:$A4669+$C$2:$C4669)), "")*24*60, "")</f>
        <v/>
      </c>
      <c r="O4670" s="24" t="str" cm="1">
        <f t="array" ref="O4670">IFERROR(IF($B4670=O$1, ($A4670+$C4670) - MAX(IF($B$2:$B4669=$B4670, $A$2:$A4669+$C$2:$C4669)), "")*24*60, "")</f>
        <v/>
      </c>
      <c r="P4670" s="24" t="str" cm="1">
        <f t="array" ref="P4670">IFERROR(IF($B4670=P$1, ($A4670+$C4670) - MAX(IF($B$2:$B4669=$B4670, $A$2:$A4669+$C$2:$C4669)), "")*24*60, "")</f>
        <v/>
      </c>
    </row>
    <row r="4671" spans="1:16" x14ac:dyDescent="0.2">
      <c r="A4671" s="12">
        <f t="shared" ref="A4671:C4671" si="1359">A4670</f>
        <v>45969</v>
      </c>
      <c r="B4671" s="5" t="str">
        <f t="shared" si="1359"/>
        <v>Northern Cardinal</v>
      </c>
      <c r="C4671" s="6">
        <f t="shared" si="1359"/>
        <v>0.73888888888888893</v>
      </c>
      <c r="D4671" s="5"/>
      <c r="E4671" s="5"/>
      <c r="F4671" s="5" t="str">
        <f t="shared" ref="F4671:G4671" si="1360">F4670</f>
        <v>None</v>
      </c>
      <c r="G4671" s="15" t="str">
        <f t="shared" si="1360"/>
        <v>None</v>
      </c>
      <c r="H4671" s="24">
        <f t="shared" si="1344"/>
        <v>0</v>
      </c>
      <c r="I4671" s="24" cm="1">
        <f t="array" ref="I4671">IFERROR(IF($B4671=I$1, ($A4671+$C4671) - MAX(IF($B$2:$B4670=$B4671, $A$2:$A4670+$C$2:$C4670)), "")*24*60, "")</f>
        <v>0</v>
      </c>
      <c r="J4671" s="24" t="str" cm="1">
        <f t="array" ref="J4671">IFERROR(IF($B4671=J$1, ($A4671+$C4671) - MAX(IF($B$2:$B4670=$B4671, $A$2:$A4670+$C$2:$C4670)), "")*24*60, "")</f>
        <v/>
      </c>
      <c r="K4671" s="24" t="str" cm="1">
        <f t="array" ref="K4671">IFERROR(IF($B4671=K$1, ($A4671+$C4671) - MAX(IF($B$2:$B4670=$B4671, $A$2:$A4670+$C$2:$C4670)), "")*24*60, "")</f>
        <v/>
      </c>
      <c r="L4671" s="24" t="str" cm="1">
        <f t="array" ref="L4671">IFERROR(IF($B4671=L$1, ($A4671+$C4671) - MAX(IF($B$2:$B4670=$B4671, $A$2:$A4670+$C$2:$C4670)), "")*24*60, "")</f>
        <v/>
      </c>
      <c r="M4671" s="24" t="str" cm="1">
        <f t="array" ref="M4671">IFERROR(IF($B4671=M$1, ($A4671+$C4671) - MAX(IF($B$2:$B4670=$B4671, $A$2:$A4670+$C$2:$C4670)), "")*24*60, "")</f>
        <v/>
      </c>
      <c r="N4671" s="24" t="str" cm="1">
        <f t="array" ref="N4671">IFERROR(IF($B4671=N$1, ($A4671+$C4671) - MAX(IF($B$2:$B4670=$B4671, $A$2:$A4670+$C$2:$C4670)), "")*24*60, "")</f>
        <v/>
      </c>
      <c r="O4671" s="24" t="str" cm="1">
        <f t="array" ref="O4671">IFERROR(IF($B4671=O$1, ($A4671+$C4671) - MAX(IF($B$2:$B4670=$B4671, $A$2:$A4670+$C$2:$C4670)), "")*24*60, "")</f>
        <v/>
      </c>
      <c r="P4671" s="24" t="str" cm="1">
        <f t="array" ref="P4671">IFERROR(IF($B4671=P$1, ($A4671+$C4671) - MAX(IF($B$2:$B4670=$B4671, $A$2:$A4670+$C$2:$C4670)), "")*24*60, "")</f>
        <v/>
      </c>
    </row>
    <row r="4672" spans="1:16" x14ac:dyDescent="0.2">
      <c r="A4672" s="12">
        <f t="shared" ref="A4672:C4672" si="1361">A4671</f>
        <v>45969</v>
      </c>
      <c r="B4672" s="5" t="str">
        <f t="shared" si="1361"/>
        <v>Northern Cardinal</v>
      </c>
      <c r="C4672" s="6">
        <f t="shared" si="1361"/>
        <v>0.73888888888888893</v>
      </c>
      <c r="D4672" s="5"/>
      <c r="E4672" s="5"/>
      <c r="F4672" s="5" t="str">
        <f t="shared" ref="F4672:G4672" si="1362">F4671</f>
        <v>None</v>
      </c>
      <c r="G4672" s="15" t="str">
        <f t="shared" si="1362"/>
        <v>None</v>
      </c>
      <c r="H4672" s="24">
        <f t="shared" si="1344"/>
        <v>0</v>
      </c>
      <c r="I4672" s="24" cm="1">
        <f t="array" ref="I4672">IFERROR(IF($B4672=I$1, ($A4672+$C4672) - MAX(IF($B$2:$B4671=$B4672, $A$2:$A4671+$C$2:$C4671)), "")*24*60, "")</f>
        <v>0</v>
      </c>
      <c r="J4672" s="24" t="str" cm="1">
        <f t="array" ref="J4672">IFERROR(IF($B4672=J$1, ($A4672+$C4672) - MAX(IF($B$2:$B4671=$B4672, $A$2:$A4671+$C$2:$C4671)), "")*24*60, "")</f>
        <v/>
      </c>
      <c r="K4672" s="24" t="str" cm="1">
        <f t="array" ref="K4672">IFERROR(IF($B4672=K$1, ($A4672+$C4672) - MAX(IF($B$2:$B4671=$B4672, $A$2:$A4671+$C$2:$C4671)), "")*24*60, "")</f>
        <v/>
      </c>
      <c r="L4672" s="24" t="str" cm="1">
        <f t="array" ref="L4672">IFERROR(IF($B4672=L$1, ($A4672+$C4672) - MAX(IF($B$2:$B4671=$B4672, $A$2:$A4671+$C$2:$C4671)), "")*24*60, "")</f>
        <v/>
      </c>
      <c r="M4672" s="24" t="str" cm="1">
        <f t="array" ref="M4672">IFERROR(IF($B4672=M$1, ($A4672+$C4672) - MAX(IF($B$2:$B4671=$B4672, $A$2:$A4671+$C$2:$C4671)), "")*24*60, "")</f>
        <v/>
      </c>
      <c r="N4672" s="24" t="str" cm="1">
        <f t="array" ref="N4672">IFERROR(IF($B4672=N$1, ($A4672+$C4672) - MAX(IF($B$2:$B4671=$B4672, $A$2:$A4671+$C$2:$C4671)), "")*24*60, "")</f>
        <v/>
      </c>
      <c r="O4672" s="24" t="str" cm="1">
        <f t="array" ref="O4672">IFERROR(IF($B4672=O$1, ($A4672+$C4672) - MAX(IF($B$2:$B4671=$B4672, $A$2:$A4671+$C$2:$C4671)), "")*24*60, "")</f>
        <v/>
      </c>
      <c r="P4672" s="24" t="str" cm="1">
        <f t="array" ref="P4672">IFERROR(IF($B4672=P$1, ($A4672+$C4672) - MAX(IF($B$2:$B4671=$B4672, $A$2:$A4671+$C$2:$C4671)), "")*24*60, "")</f>
        <v/>
      </c>
    </row>
    <row r="4673" spans="1:16" x14ac:dyDescent="0.2">
      <c r="A4673" s="12">
        <f t="shared" ref="A4673:C4673" si="1363">A4672</f>
        <v>45969</v>
      </c>
      <c r="B4673" s="5" t="str">
        <f t="shared" si="1363"/>
        <v>Northern Cardinal</v>
      </c>
      <c r="C4673" s="6">
        <f t="shared" si="1363"/>
        <v>0.73888888888888893</v>
      </c>
      <c r="D4673" s="5"/>
      <c r="E4673" s="5"/>
      <c r="F4673" s="5" t="str">
        <f t="shared" ref="F4673:G4673" si="1364">F4672</f>
        <v>None</v>
      </c>
      <c r="G4673" s="15" t="str">
        <f t="shared" si="1364"/>
        <v>None</v>
      </c>
      <c r="H4673" s="24">
        <f t="shared" si="1344"/>
        <v>0</v>
      </c>
      <c r="I4673" s="24" cm="1">
        <f t="array" ref="I4673">IFERROR(IF($B4673=I$1, ($A4673+$C4673) - MAX(IF($B$2:$B4672=$B4673, $A$2:$A4672+$C$2:$C4672)), "")*24*60, "")</f>
        <v>0</v>
      </c>
      <c r="J4673" s="24" t="str" cm="1">
        <f t="array" ref="J4673">IFERROR(IF($B4673=J$1, ($A4673+$C4673) - MAX(IF($B$2:$B4672=$B4673, $A$2:$A4672+$C$2:$C4672)), "")*24*60, "")</f>
        <v/>
      </c>
      <c r="K4673" s="24" t="str" cm="1">
        <f t="array" ref="K4673">IFERROR(IF($B4673=K$1, ($A4673+$C4673) - MAX(IF($B$2:$B4672=$B4673, $A$2:$A4672+$C$2:$C4672)), "")*24*60, "")</f>
        <v/>
      </c>
      <c r="L4673" s="24" t="str" cm="1">
        <f t="array" ref="L4673">IFERROR(IF($B4673=L$1, ($A4673+$C4673) - MAX(IF($B$2:$B4672=$B4673, $A$2:$A4672+$C$2:$C4672)), "")*24*60, "")</f>
        <v/>
      </c>
      <c r="M4673" s="24" t="str" cm="1">
        <f t="array" ref="M4673">IFERROR(IF($B4673=M$1, ($A4673+$C4673) - MAX(IF($B$2:$B4672=$B4673, $A$2:$A4672+$C$2:$C4672)), "")*24*60, "")</f>
        <v/>
      </c>
      <c r="N4673" s="24" t="str" cm="1">
        <f t="array" ref="N4673">IFERROR(IF($B4673=N$1, ($A4673+$C4673) - MAX(IF($B$2:$B4672=$B4673, $A$2:$A4672+$C$2:$C4672)), "")*24*60, "")</f>
        <v/>
      </c>
      <c r="O4673" s="24" t="str" cm="1">
        <f t="array" ref="O4673">IFERROR(IF($B4673=O$1, ($A4673+$C4673) - MAX(IF($B$2:$B4672=$B4673, $A$2:$A4672+$C$2:$C4672)), "")*24*60, "")</f>
        <v/>
      </c>
      <c r="P4673" s="24" t="str" cm="1">
        <f t="array" ref="P4673">IFERROR(IF($B4673=P$1, ($A4673+$C4673) - MAX(IF($B$2:$B4672=$B4673, $A$2:$A4672+$C$2:$C4672)), "")*24*60, "")</f>
        <v/>
      </c>
    </row>
    <row r="4674" spans="1:16" x14ac:dyDescent="0.2">
      <c r="A4674" s="12">
        <f t="shared" ref="A4674:C4674" si="1365">A4673</f>
        <v>45969</v>
      </c>
      <c r="B4674" s="5" t="str">
        <f t="shared" si="1365"/>
        <v>Northern Cardinal</v>
      </c>
      <c r="C4674" s="6">
        <f t="shared" si="1365"/>
        <v>0.73888888888888893</v>
      </c>
      <c r="D4674" s="5"/>
      <c r="E4674" s="5"/>
      <c r="F4674" s="5" t="str">
        <f t="shared" ref="F4674:G4674" si="1366">F4673</f>
        <v>None</v>
      </c>
      <c r="G4674" s="15" t="str">
        <f t="shared" si="1366"/>
        <v>None</v>
      </c>
      <c r="H4674" s="24">
        <f t="shared" si="1344"/>
        <v>0</v>
      </c>
      <c r="I4674" s="24" cm="1">
        <f t="array" ref="I4674">IFERROR(IF($B4674=I$1, ($A4674+$C4674) - MAX(IF($B$2:$B4673=$B4674, $A$2:$A4673+$C$2:$C4673)), "")*24*60, "")</f>
        <v>0</v>
      </c>
      <c r="J4674" s="24" t="str" cm="1">
        <f t="array" ref="J4674">IFERROR(IF($B4674=J$1, ($A4674+$C4674) - MAX(IF($B$2:$B4673=$B4674, $A$2:$A4673+$C$2:$C4673)), "")*24*60, "")</f>
        <v/>
      </c>
      <c r="K4674" s="24" t="str" cm="1">
        <f t="array" ref="K4674">IFERROR(IF($B4674=K$1, ($A4674+$C4674) - MAX(IF($B$2:$B4673=$B4674, $A$2:$A4673+$C$2:$C4673)), "")*24*60, "")</f>
        <v/>
      </c>
      <c r="L4674" s="24" t="str" cm="1">
        <f t="array" ref="L4674">IFERROR(IF($B4674=L$1, ($A4674+$C4674) - MAX(IF($B$2:$B4673=$B4674, $A$2:$A4673+$C$2:$C4673)), "")*24*60, "")</f>
        <v/>
      </c>
      <c r="M4674" s="24" t="str" cm="1">
        <f t="array" ref="M4674">IFERROR(IF($B4674=M$1, ($A4674+$C4674) - MAX(IF($B$2:$B4673=$B4674, $A$2:$A4673+$C$2:$C4673)), "")*24*60, "")</f>
        <v/>
      </c>
      <c r="N4674" s="24" t="str" cm="1">
        <f t="array" ref="N4674">IFERROR(IF($B4674=N$1, ($A4674+$C4674) - MAX(IF($B$2:$B4673=$B4674, $A$2:$A4673+$C$2:$C4673)), "")*24*60, "")</f>
        <v/>
      </c>
      <c r="O4674" s="24" t="str" cm="1">
        <f t="array" ref="O4674">IFERROR(IF($B4674=O$1, ($A4674+$C4674) - MAX(IF($B$2:$B4673=$B4674, $A$2:$A4673+$C$2:$C4673)), "")*24*60, "")</f>
        <v/>
      </c>
      <c r="P4674" s="24" t="str" cm="1">
        <f t="array" ref="P4674">IFERROR(IF($B4674=P$1, ($A4674+$C4674) - MAX(IF($B$2:$B4673=$B4674, $A$2:$A4673+$C$2:$C4673)),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143"/>
  <sheetViews>
    <sheetView tabSelected="1" zoomScale="120" zoomScaleNormal="120" workbookViewId="0">
      <pane ySplit="1" topLeftCell="A132" activePane="bottomLeft" state="frozen"/>
      <selection pane="bottomLeft" activeCell="A138" sqref="A138:E143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1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2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15</v>
      </c>
      <c r="D37" s="27">
        <f>SUMIFS(RawData!$D:$D,RawData!$B:$B,$B37,RawData!$A:$A,DailySummaries!$A37)+1</f>
        <v>143</v>
      </c>
      <c r="E37" s="27">
        <f>SUMIFS(RawData!$E:$E,RawData!$B:$B,$B37,RawData!$A:$A,DailySummaries!$A37)+1</f>
        <v>171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25</v>
      </c>
      <c r="D41" s="11">
        <f>SUMIFS(RawData!$D:$D,RawData!$B:$B,$B41,RawData!$A:$A,DailySummaries!$A41)+1</f>
        <v>513</v>
      </c>
      <c r="E41" s="11">
        <f>SUMIFS(RawData!$E:$E,RawData!$B:$B,$B41,RawData!$A:$A,DailySummaries!$A41)+1</f>
        <v>2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16</v>
      </c>
      <c r="D46" s="11">
        <f>SUMIFS(RawData!$D:$D,RawData!$B:$B,$B46,RawData!$A:$A,DailySummaries!$A46)+1</f>
        <v>133</v>
      </c>
      <c r="E46" s="11">
        <f>SUMIFS(RawData!$E:$E,RawData!$B:$B,$B46,RawData!$A:$A,DailySummaries!$A46)+1</f>
        <v>60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13</v>
      </c>
      <c r="D51" s="11">
        <f>SUMIFS(RawData!$D:$D,RawData!$B:$B,$B51,RawData!$A:$A,DailySummaries!$A51)+1</f>
        <v>268</v>
      </c>
      <c r="E51" s="11">
        <f>SUMIFS(RawData!$E:$E,RawData!$B:$B,$B51,RawData!$A:$A,DailySummaries!$A51)+1</f>
        <v>36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19</v>
      </c>
      <c r="D52" s="11">
        <f>SUMIFS(RawData!$D:$D,RawData!$B:$B,$B52,RawData!$A:$A,DailySummaries!$A52)+1</f>
        <v>179</v>
      </c>
      <c r="E52" s="11">
        <f>SUMIFS(RawData!$E:$E,RawData!$B:$B,$B52,RawData!$A:$A,DailySummaries!$A52)+1</f>
        <v>22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12</v>
      </c>
      <c r="D61" s="11">
        <f>SUMIFS(RawData!$D:$D,RawData!$B:$B,$B61,RawData!$A:$A,DailySummaries!$A61)+1</f>
        <v>39</v>
      </c>
      <c r="E61" s="11">
        <f>SUMIFS(RawData!$E:$E,RawData!$B:$B,$B61,RawData!$A:$A,DailySummaries!$A61)+1</f>
        <v>43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11</v>
      </c>
      <c r="D62" s="27">
        <f>SUMIFS(RawData!$D:$D,RawData!$B:$B,$B62,RawData!$A:$A,DailySummaries!$A62)+1</f>
        <v>204</v>
      </c>
      <c r="E62" s="27">
        <f>SUMIFS(RawData!$E:$E,RawData!$B:$B,$B62,RawData!$A:$A,DailySummaries!$A62)+1</f>
        <v>12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14</v>
      </c>
      <c r="D67" s="11">
        <f>SUMIFS(RawData!$D:$D,RawData!$B:$B,$B67,RawData!$A:$A,DailySummaries!$A67)+1</f>
        <v>161</v>
      </c>
      <c r="E67" s="11">
        <f>SUMIFS(RawData!$E:$E,RawData!$B:$B,$B67,RawData!$A:$A,DailySummaries!$A67)+1</f>
        <v>93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14</v>
      </c>
      <c r="D68" s="27">
        <f>SUMIFS(RawData!$D:$D,RawData!$B:$B,$B68,RawData!$A:$A,DailySummaries!$A68)+1</f>
        <v>98</v>
      </c>
      <c r="E68" s="27">
        <f>SUMIFS(RawData!$E:$E,RawData!$B:$B,$B68,RawData!$A:$A,DailySummaries!$A68)+1</f>
        <v>88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10">
        <v>45968</v>
      </c>
      <c r="B143" s="11" t="s">
        <v>3</v>
      </c>
      <c r="C143" s="11">
        <f>COUNTIFS(RawData!$B:$B, $B143, RawData!$A:$A, DailySummaries!$A143)</f>
        <v>3</v>
      </c>
      <c r="D143" s="11">
        <f>SUMIFS(RawData!$D:$D,RawData!$B:$B,$B143,RawData!$A:$A,DailySummaries!$A143)+1</f>
        <v>1</v>
      </c>
      <c r="E143" s="11">
        <f>SUMIFS(RawData!$E:$E,RawData!$B:$B,$B143,RawData!$A:$A,DailySummaries!$A143)+1</f>
        <v>1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2025-11-08T14:27:04Z</dcterms:modified>
</cp:coreProperties>
</file>
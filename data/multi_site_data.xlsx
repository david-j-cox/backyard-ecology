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809966C1-3F94-A641-ACAA-78EC10C67BFE}" xr6:coauthVersionLast="47" xr6:coauthVersionMax="47" xr10:uidLastSave="{00000000-0000-0000-0000-000000000000}"/>
  <bookViews>
    <workbookView xWindow="0" yWindow="500" windowWidth="33600" windowHeight="1940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9" i="2" l="1"/>
  <c r="D169" i="2"/>
  <c r="E169" i="2"/>
  <c r="C170" i="2"/>
  <c r="D170" i="2"/>
  <c r="E170" i="2"/>
  <c r="C171" i="2"/>
  <c r="D171" i="2"/>
  <c r="E171" i="2"/>
  <c r="C172" i="2"/>
  <c r="D172" i="2"/>
  <c r="E172" i="2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3383" i="1" l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115" i="2" l="1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A117" i="2" l="1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I3441" i="1" l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H3444" i="1" l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B3446" i="1" l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3446" i="1" l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I3447" i="1" l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I3448" i="1" l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H3449" i="1" l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M3450" i="1" l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H3451" i="1" l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L3452" i="1" l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A3454" i="1" l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K3454" i="1" l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L3455" i="1" l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I3456" i="1" l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A3458" i="1" l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K3458" i="1" l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A4598" i="1" l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P4605" i="1" l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4608" i="1" l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A4609" i="1" l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4610" i="1" l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A4611" i="1" l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M4610" i="1" l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A4613" i="1" l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P4612" i="1" l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M4619" i="1" l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M4621" i="1" l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A4624" i="1" l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P4623" i="1" l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B4625" i="1" l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A4627" i="1" l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P4626" i="1" l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P4627" i="1" l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4630" i="1" l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M4629" i="1" l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B4631" i="1" l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A4633" i="1" l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A4634" i="1" l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M4640" i="1" l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4643" i="1" l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M4642" i="1" l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4645" i="1" l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B4645" i="1" l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A4647" i="1" l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M4646" i="1" l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M4647" i="1" l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B4649" i="1" l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P4649" i="1" l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B3514" i="1" l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A3515" i="1" l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P3515" i="1" l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O3516" i="1" l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H3517" i="1" l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3518" i="1" l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J3519" i="1" l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3520" i="1" l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L3521" i="1" l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3523" i="1" l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3525" i="1" l="1"/>
  <c r="I3524" i="1" a="1"/>
  <c r="I3524" i="1" s="1"/>
  <c r="H3524" i="1"/>
  <c r="A3526" i="1" l="1"/>
  <c r="I3525" i="1" a="1"/>
  <c r="I3525" i="1" s="1"/>
  <c r="H3525" i="1"/>
  <c r="A3527" i="1" l="1"/>
  <c r="L3526" i="1" a="1"/>
  <c r="L3526" i="1" s="1"/>
  <c r="H3526" i="1"/>
  <c r="L3527" i="1" l="1" a="1"/>
  <c r="L3527" i="1" s="1"/>
  <c r="A3528" i="1"/>
  <c r="H3527" i="1"/>
  <c r="A3529" i="1" l="1"/>
  <c r="O3528" i="1" a="1"/>
  <c r="O3528" i="1" s="1"/>
  <c r="H3528" i="1"/>
  <c r="A3530" i="1" l="1"/>
  <c r="H3529" i="1"/>
  <c r="O3529" i="1" a="1"/>
  <c r="O3529" i="1" s="1"/>
  <c r="A3531" i="1" l="1"/>
  <c r="H3530" i="1"/>
  <c r="O3530" i="1" a="1"/>
  <c r="O3530" i="1" s="1"/>
  <c r="A3532" i="1" l="1"/>
  <c r="H3531" i="1"/>
  <c r="O3531" i="1" a="1"/>
  <c r="O3531" i="1" s="1"/>
  <c r="A3533" i="1" l="1"/>
  <c r="O3532" i="1" a="1"/>
  <c r="O3532" i="1" s="1"/>
  <c r="H3532" i="1"/>
  <c r="A3534" i="1" l="1"/>
  <c r="H3533" i="1"/>
  <c r="O3533" i="1" a="1"/>
  <c r="O3533" i="1" s="1"/>
  <c r="A3535" i="1" l="1"/>
  <c r="O3534" i="1" a="1"/>
  <c r="O3534" i="1" s="1"/>
  <c r="H3534" i="1"/>
  <c r="A3536" i="1" l="1"/>
  <c r="H3535" i="1"/>
  <c r="O3535" i="1" a="1"/>
  <c r="O3535" i="1" s="1"/>
  <c r="A3537" i="1" l="1"/>
  <c r="H3536" i="1"/>
  <c r="O3536" i="1" a="1"/>
  <c r="O3536" i="1" s="1"/>
  <c r="A3538" i="1" l="1"/>
  <c r="H3537" i="1"/>
  <c r="O3537" i="1" a="1"/>
  <c r="O3537" i="1" s="1"/>
  <c r="A3539" i="1" l="1"/>
  <c r="O3538" i="1" a="1"/>
  <c r="O3538" i="1" s="1"/>
  <c r="H3538" i="1"/>
  <c r="A3540" i="1" l="1"/>
  <c r="H3539" i="1"/>
  <c r="O3539" i="1" a="1"/>
  <c r="O3539" i="1" s="1"/>
  <c r="A3541" i="1" l="1"/>
  <c r="O3540" i="1" a="1"/>
  <c r="O3540" i="1" s="1"/>
  <c r="H3540" i="1"/>
  <c r="I4438" i="1" a="1"/>
  <c r="I4438" i="1" s="1"/>
  <c r="A3542" i="1" l="1"/>
  <c r="H3541" i="1"/>
  <c r="O3541" i="1" a="1"/>
  <c r="O3541" i="1" s="1"/>
  <c r="C4439" i="1"/>
  <c r="H4438" i="1"/>
  <c r="A3543" i="1" l="1"/>
  <c r="H3542" i="1"/>
  <c r="O3542" i="1" a="1"/>
  <c r="O3542" i="1" s="1"/>
  <c r="I4439" i="1" a="1"/>
  <c r="I4439" i="1" s="1"/>
  <c r="C4440" i="1"/>
  <c r="I4440" i="1" s="1" a="1"/>
  <c r="I4440" i="1" s="1"/>
  <c r="H4439" i="1"/>
  <c r="A3544" i="1" l="1"/>
  <c r="H3543" i="1"/>
  <c r="O3543" i="1" a="1"/>
  <c r="O3543" i="1" s="1"/>
  <c r="C4441" i="1"/>
  <c r="H4440" i="1"/>
  <c r="A3545" i="1" l="1"/>
  <c r="O3544" i="1" a="1"/>
  <c r="O3544" i="1" s="1"/>
  <c r="H3544" i="1"/>
  <c r="I4441" i="1" a="1"/>
  <c r="I4441" i="1" s="1"/>
  <c r="I4442" i="1" a="1"/>
  <c r="I4442" i="1" s="1"/>
  <c r="H4441" i="1"/>
  <c r="A3546" i="1" l="1"/>
  <c r="O3545" i="1" a="1"/>
  <c r="O3545" i="1" s="1"/>
  <c r="H3545" i="1"/>
  <c r="C4443" i="1"/>
  <c r="H4442" i="1"/>
  <c r="A3547" i="1" l="1"/>
  <c r="H3546" i="1"/>
  <c r="O3546" i="1" a="1"/>
  <c r="O3546" i="1" s="1"/>
  <c r="I4443" i="1" a="1"/>
  <c r="I4443" i="1" s="1"/>
  <c r="I4444" i="1" a="1"/>
  <c r="I4444" i="1" s="1"/>
  <c r="H4443" i="1"/>
  <c r="A3548" i="1" l="1"/>
  <c r="H3547" i="1"/>
  <c r="O3547" i="1" a="1"/>
  <c r="O3547" i="1" s="1"/>
  <c r="I4445" i="1" a="1"/>
  <c r="I4445" i="1" s="1"/>
  <c r="H4444" i="1"/>
  <c r="A3549" i="1" l="1"/>
  <c r="O3548" i="1" a="1"/>
  <c r="O3548" i="1" s="1"/>
  <c r="H3548" i="1"/>
  <c r="I4446" i="1" a="1"/>
  <c r="I4446" i="1" s="1"/>
  <c r="H4445" i="1"/>
  <c r="A3550" i="1" l="1"/>
  <c r="O3549" i="1" a="1"/>
  <c r="O3549" i="1" s="1"/>
  <c r="H3549" i="1"/>
  <c r="I4447" i="1" a="1"/>
  <c r="I4447" i="1" s="1"/>
  <c r="H4446" i="1"/>
  <c r="A3551" i="1" l="1"/>
  <c r="H3550" i="1"/>
  <c r="O3550" i="1" a="1"/>
  <c r="O3550" i="1" s="1"/>
  <c r="C4448" i="1"/>
  <c r="H4447" i="1"/>
  <c r="O4447" i="1" a="1"/>
  <c r="O4447" i="1" s="1"/>
  <c r="A3552" i="1" l="1"/>
  <c r="I3551" i="1" a="1"/>
  <c r="I3551" i="1" s="1"/>
  <c r="H3551" i="1"/>
  <c r="I4448" i="1" a="1"/>
  <c r="I4448" i="1" s="1"/>
  <c r="C4449" i="1"/>
  <c r="H4448" i="1"/>
  <c r="O4448" i="1" a="1"/>
  <c r="O4448" i="1" s="1"/>
  <c r="A3553" i="1" l="1"/>
  <c r="I3552" i="1" a="1"/>
  <c r="I3552" i="1" s="1"/>
  <c r="H3552" i="1"/>
  <c r="I4449" i="1" a="1"/>
  <c r="I4449" i="1" s="1"/>
  <c r="C4450" i="1"/>
  <c r="H4449" i="1"/>
  <c r="O4449" i="1" a="1"/>
  <c r="O4449" i="1" s="1"/>
  <c r="A3554" i="1" l="1"/>
  <c r="I3553" i="1" a="1"/>
  <c r="I3553" i="1" s="1"/>
  <c r="H3553" i="1"/>
  <c r="I4450" i="1" a="1"/>
  <c r="I4450" i="1" s="1"/>
  <c r="H4450" i="1"/>
  <c r="O4450" i="1" a="1"/>
  <c r="O4450" i="1" s="1"/>
  <c r="A3555" i="1" l="1"/>
  <c r="I3554" i="1" a="1"/>
  <c r="I3554" i="1" s="1"/>
  <c r="H3554" i="1"/>
  <c r="I4451" i="1" a="1"/>
  <c r="I4451" i="1" s="1"/>
  <c r="K4451" i="1" a="1"/>
  <c r="K4451" i="1" s="1"/>
  <c r="H4451" i="1"/>
  <c r="A3556" i="1" l="1"/>
  <c r="I3555" i="1" a="1"/>
  <c r="I3555" i="1" s="1"/>
  <c r="H3555" i="1"/>
  <c r="I4452" i="1" a="1"/>
  <c r="I4452" i="1" s="1"/>
  <c r="K4452" i="1" a="1"/>
  <c r="K4452" i="1" s="1"/>
  <c r="C4453" i="1"/>
  <c r="H4452" i="1"/>
  <c r="A3557" i="1" l="1"/>
  <c r="I3556" i="1" a="1"/>
  <c r="I3556" i="1" s="1"/>
  <c r="H3556" i="1"/>
  <c r="I4453" i="1" a="1"/>
  <c r="I4453" i="1" s="1"/>
  <c r="K4453" i="1" a="1"/>
  <c r="K4453" i="1" s="1"/>
  <c r="H4453" i="1"/>
  <c r="A3558" i="1" l="1"/>
  <c r="I3557" i="1" a="1"/>
  <c r="I3557" i="1" s="1"/>
  <c r="H3557" i="1"/>
  <c r="I4454" i="1" a="1"/>
  <c r="I4454" i="1" s="1"/>
  <c r="K4454" i="1" a="1"/>
  <c r="K4454" i="1" s="1"/>
  <c r="H4454" i="1"/>
  <c r="A3559" i="1" l="1"/>
  <c r="I3558" i="1" a="1"/>
  <c r="I3558" i="1" s="1"/>
  <c r="H3558" i="1"/>
  <c r="I4455" i="1" a="1"/>
  <c r="I4455" i="1" s="1"/>
  <c r="K4455" i="1" a="1"/>
  <c r="K4455" i="1" s="1"/>
  <c r="C4456" i="1"/>
  <c r="H4455" i="1"/>
  <c r="A3560" i="1" l="1"/>
  <c r="I3559" i="1" a="1"/>
  <c r="I3559" i="1" s="1"/>
  <c r="H3559" i="1"/>
  <c r="I4456" i="1" a="1"/>
  <c r="I4456" i="1" s="1"/>
  <c r="K4456" i="1" a="1"/>
  <c r="K4456" i="1" s="1"/>
  <c r="H4456" i="1"/>
  <c r="A3561" i="1" l="1"/>
  <c r="I3560" i="1" a="1"/>
  <c r="I3560" i="1" s="1"/>
  <c r="H3560" i="1"/>
  <c r="I4457" i="1" a="1"/>
  <c r="I4457" i="1" s="1"/>
  <c r="K4457" i="1" a="1"/>
  <c r="K4457" i="1" s="1"/>
  <c r="H4457" i="1"/>
  <c r="A3562" i="1" l="1"/>
  <c r="I3561" i="1" a="1"/>
  <c r="I3561" i="1" s="1"/>
  <c r="H3561" i="1"/>
  <c r="I4458" i="1" a="1"/>
  <c r="I4458" i="1" s="1"/>
  <c r="K4458" i="1" a="1"/>
  <c r="K4458" i="1" s="1"/>
  <c r="C4459" i="1"/>
  <c r="H4458" i="1"/>
  <c r="A3563" i="1" l="1"/>
  <c r="I3562" i="1" a="1"/>
  <c r="I3562" i="1" s="1"/>
  <c r="H3562" i="1"/>
  <c r="I4459" i="1" a="1"/>
  <c r="I4459" i="1" s="1"/>
  <c r="K4459" i="1" a="1"/>
  <c r="K4459" i="1" s="1"/>
  <c r="H4459" i="1"/>
  <c r="A3564" i="1" l="1"/>
  <c r="I3563" i="1" a="1"/>
  <c r="I3563" i="1" s="1"/>
  <c r="H3563" i="1"/>
  <c r="I4460" i="1" a="1"/>
  <c r="I4460" i="1" s="1"/>
  <c r="K4460" i="1" a="1"/>
  <c r="K4460" i="1" s="1"/>
  <c r="C4461" i="1"/>
  <c r="H4460" i="1"/>
  <c r="A3565" i="1" l="1"/>
  <c r="I3564" i="1" a="1"/>
  <c r="I3564" i="1" s="1"/>
  <c r="H3564" i="1"/>
  <c r="I4461" i="1" a="1"/>
  <c r="I4461" i="1" s="1"/>
  <c r="K4461" i="1" a="1"/>
  <c r="K4461" i="1" s="1"/>
  <c r="H4461" i="1"/>
  <c r="A3566" i="1" l="1"/>
  <c r="I3565" i="1" a="1"/>
  <c r="I3565" i="1" s="1"/>
  <c r="H3565" i="1"/>
  <c r="I4462" i="1" a="1"/>
  <c r="I4462" i="1" s="1"/>
  <c r="K4462" i="1" a="1"/>
  <c r="K4462" i="1" s="1"/>
  <c r="C4463" i="1"/>
  <c r="H4462" i="1"/>
  <c r="A3567" i="1" l="1"/>
  <c r="I3566" i="1" a="1"/>
  <c r="I3566" i="1" s="1"/>
  <c r="H3566" i="1"/>
  <c r="I4463" i="1" a="1"/>
  <c r="I4463" i="1" s="1"/>
  <c r="K4463" i="1" a="1"/>
  <c r="K4463" i="1" s="1"/>
  <c r="C4464" i="1"/>
  <c r="H4463" i="1"/>
  <c r="A3568" i="1" l="1"/>
  <c r="I3567" i="1" a="1"/>
  <c r="I3567" i="1" s="1"/>
  <c r="H3567" i="1"/>
  <c r="I4464" i="1" a="1"/>
  <c r="I4464" i="1" s="1"/>
  <c r="K4464" i="1" a="1"/>
  <c r="K4464" i="1" s="1"/>
  <c r="H4464" i="1"/>
  <c r="A3569" i="1" l="1"/>
  <c r="I3568" i="1" a="1"/>
  <c r="I3568" i="1" s="1"/>
  <c r="H3568" i="1"/>
  <c r="I4465" i="1" a="1"/>
  <c r="I4465" i="1" s="1"/>
  <c r="K4465" i="1" a="1"/>
  <c r="K4465" i="1" s="1"/>
  <c r="C4466" i="1"/>
  <c r="H4465" i="1"/>
  <c r="A3570" i="1" l="1"/>
  <c r="I3569" i="1" a="1"/>
  <c r="I3569" i="1" s="1"/>
  <c r="H3569" i="1"/>
  <c r="I4466" i="1" a="1"/>
  <c r="I4466" i="1" s="1"/>
  <c r="K4466" i="1" a="1"/>
  <c r="K4466" i="1" s="1"/>
  <c r="H4466" i="1"/>
  <c r="A3571" i="1" l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A5013" i="1" l="1"/>
  <c r="I4486" i="1" a="1"/>
  <c r="I4486" i="1" s="1"/>
  <c r="K4486" i="1" a="1"/>
  <c r="K4486" i="1" s="1"/>
  <c r="L4487" i="1" a="1"/>
  <c r="L4487" i="1" s="1"/>
  <c r="H4486" i="1"/>
  <c r="O4486" i="1" a="1"/>
  <c r="O4486" i="1" s="1"/>
  <c r="A5014" i="1" l="1"/>
  <c r="I4487" i="1" a="1"/>
  <c r="I4487" i="1" s="1"/>
  <c r="K4487" i="1" a="1"/>
  <c r="K4487" i="1" s="1"/>
  <c r="L4488" i="1" a="1"/>
  <c r="L4488" i="1" s="1"/>
  <c r="H4487" i="1"/>
  <c r="O4487" i="1" a="1"/>
  <c r="O4487" i="1" s="1"/>
  <c r="A5015" i="1" l="1"/>
  <c r="I4488" i="1" a="1"/>
  <c r="I4488" i="1" s="1"/>
  <c r="K4488" i="1" a="1"/>
  <c r="K4488" i="1" s="1"/>
  <c r="H4488" i="1"/>
  <c r="O4488" i="1" a="1"/>
  <c r="O4488" i="1" s="1"/>
  <c r="A5016" i="1" l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A5017" i="1" l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A5018" i="1" l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A5019" i="1" l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A5020" i="1" l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A5021" i="1" l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A5022" i="1" l="1"/>
  <c r="J4534" i="1" a="1"/>
  <c r="J4534" i="1" s="1"/>
  <c r="A5023" i="1" l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A5024" i="1" l="1"/>
  <c r="J4597" i="1" a="1"/>
  <c r="J4597" i="1" s="1"/>
  <c r="A5025" i="1" l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A5026" i="1" l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A5027" i="1" l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L4628" i="1" l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L4629" i="1" l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L4630" i="1" l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L4631" i="1" l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L4632" i="1" l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L4633" i="1" l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L4634" i="1" l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L4635" i="1" l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L4636" i="1" l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L4637" i="1" l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L4638" i="1" l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L4639" i="1" l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L4640" i="1" l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L4641" i="1" l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L4642" i="1" l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L4643" i="1" l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L4644" i="1" l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L4645" i="1" l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L4646" i="1" l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L4647" i="1" l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L4648" i="1" l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L4649" i="1" l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D139" i="2" l="1"/>
  <c r="E110" i="2" l="1"/>
  <c r="E45" i="2"/>
  <c r="C148" i="2"/>
  <c r="C120" i="2"/>
  <c r="E162" i="2"/>
  <c r="D115" i="2"/>
  <c r="C159" i="2"/>
  <c r="D159" i="2"/>
  <c r="C160" i="2"/>
  <c r="D135" i="2"/>
  <c r="E86" i="2"/>
  <c r="C155" i="2"/>
  <c r="E152" i="2"/>
  <c r="C157" i="2"/>
  <c r="D29" i="2"/>
  <c r="D141" i="2"/>
  <c r="D79" i="2"/>
  <c r="C91" i="2"/>
  <c r="C150" i="2"/>
  <c r="E118" i="2"/>
  <c r="E136" i="2"/>
  <c r="C147" i="2"/>
  <c r="D20" i="2"/>
  <c r="D157" i="2"/>
  <c r="E158" i="2"/>
  <c r="E129" i="2"/>
  <c r="C162" i="2"/>
  <c r="E128" i="2"/>
  <c r="C153" i="2"/>
  <c r="C99" i="2"/>
  <c r="C119" i="2"/>
  <c r="C158" i="2" l="1"/>
  <c r="E160" i="2"/>
  <c r="D150" i="2"/>
  <c r="D154" i="2"/>
  <c r="E157" i="2"/>
  <c r="E153" i="2"/>
  <c r="C129" i="2"/>
  <c r="E79" i="2"/>
  <c r="E105" i="2"/>
  <c r="D100" i="2"/>
  <c r="C154" i="2"/>
  <c r="E48" i="2"/>
  <c r="D86" i="2"/>
  <c r="C124" i="2"/>
  <c r="C131" i="2"/>
  <c r="D56" i="2"/>
  <c r="D136" i="2"/>
  <c r="E155" i="2"/>
  <c r="C60" i="2"/>
  <c r="E91" i="2"/>
  <c r="D131" i="2"/>
  <c r="D161" i="2"/>
  <c r="D119" i="2"/>
  <c r="D40" i="2"/>
  <c r="C86" i="2"/>
  <c r="D151" i="2"/>
  <c r="C149" i="2"/>
  <c r="D160" i="2"/>
  <c r="C136" i="2"/>
  <c r="D22" i="2"/>
  <c r="C115" i="2"/>
  <c r="E65" i="2"/>
  <c r="D76" i="2"/>
  <c r="E131" i="2"/>
  <c r="E119" i="2"/>
  <c r="D105" i="2"/>
  <c r="C76" i="2"/>
  <c r="C71" i="2"/>
  <c r="C45" i="2"/>
  <c r="E139" i="2" l="1"/>
  <c r="E124" i="2"/>
  <c r="E146" i="2"/>
  <c r="C151" i="2"/>
  <c r="E24" i="2"/>
  <c r="D146" i="2"/>
  <c r="C50" i="2"/>
  <c r="E56" i="2"/>
  <c r="E35" i="2"/>
  <c r="C114" i="2"/>
  <c r="E148" i="2"/>
  <c r="E161" i="2"/>
  <c r="C135" i="2"/>
  <c r="D92" i="2"/>
  <c r="E144" i="2"/>
  <c r="C137" i="2"/>
  <c r="E145" i="2"/>
  <c r="D152" i="2"/>
  <c r="C127" i="2"/>
  <c r="E141" i="2"/>
  <c r="C161" i="2"/>
  <c r="D143" i="2"/>
  <c r="D118" i="2"/>
  <c r="E150" i="2"/>
  <c r="D142" i="2"/>
  <c r="E156" i="2"/>
  <c r="C152" i="2"/>
  <c r="C156" i="2" l="1"/>
  <c r="D120" i="2"/>
  <c r="D30" i="2"/>
  <c r="C128" i="2"/>
  <c r="E143" i="2"/>
  <c r="C123" i="2"/>
  <c r="C23" i="2"/>
  <c r="E135" i="2"/>
  <c r="E13" i="2"/>
  <c r="E114" i="2"/>
  <c r="D132" i="2"/>
  <c r="D155" i="2"/>
  <c r="C88" i="2"/>
  <c r="E14" i="2"/>
  <c r="D147" i="2"/>
  <c r="D145" i="2"/>
  <c r="E149" i="2"/>
  <c r="E57" i="2"/>
  <c r="C90" i="2"/>
  <c r="C145" i="2"/>
  <c r="C36" i="2"/>
  <c r="E99" i="2"/>
  <c r="C144" i="2"/>
  <c r="E137" i="2"/>
  <c r="E123" i="2"/>
  <c r="D101" i="2"/>
  <c r="C125" i="2"/>
  <c r="E33" i="2"/>
  <c r="C21" i="2"/>
  <c r="C132" i="2"/>
  <c r="E159" i="2"/>
  <c r="C24" i="2" l="1"/>
  <c r="E120" i="2"/>
  <c r="E47" i="2"/>
  <c r="E74" i="2"/>
  <c r="E87" i="2"/>
  <c r="C32" i="2"/>
  <c r="C111" i="2"/>
  <c r="C5" i="2"/>
  <c r="E77" i="2"/>
  <c r="D114" i="2"/>
  <c r="E109" i="2"/>
  <c r="E25" i="2"/>
  <c r="D68" i="2"/>
  <c r="C117" i="2"/>
  <c r="E63" i="2"/>
  <c r="E39" i="2"/>
  <c r="E38" i="2"/>
  <c r="E8" i="2"/>
  <c r="E95" i="2"/>
  <c r="C64" i="2"/>
  <c r="D58" i="2"/>
  <c r="E61" i="2"/>
  <c r="E103" i="2"/>
  <c r="E88" i="2"/>
  <c r="D108" i="2"/>
  <c r="C138" i="2"/>
  <c r="C58" i="2"/>
  <c r="E132" i="2"/>
  <c r="E7" i="2"/>
  <c r="E36" i="2"/>
  <c r="E72" i="2" l="1"/>
  <c r="D72" i="2"/>
  <c r="C94" i="2"/>
  <c r="E58" i="2"/>
  <c r="D38" i="2"/>
  <c r="C19" i="2"/>
  <c r="D107" i="2"/>
  <c r="D49" i="2"/>
  <c r="C15" i="2"/>
  <c r="D48" i="2"/>
  <c r="E85" i="2"/>
  <c r="E51" i="2"/>
  <c r="C87" i="2"/>
  <c r="D130" i="2"/>
  <c r="C59" i="2"/>
  <c r="D16" i="2"/>
  <c r="E125" i="2"/>
  <c r="C133" i="2"/>
  <c r="E69" i="2"/>
  <c r="C30" i="2"/>
  <c r="D12" i="2"/>
  <c r="C38" i="2"/>
  <c r="C82" i="2"/>
  <c r="C57" i="2"/>
  <c r="E102" i="2"/>
  <c r="E130" i="2"/>
  <c r="C143" i="2"/>
  <c r="C83" i="2"/>
  <c r="E46" i="2"/>
  <c r="E92" i="2"/>
  <c r="E122" i="2"/>
  <c r="C75" i="2"/>
  <c r="C98" i="2"/>
  <c r="C16" i="2"/>
  <c r="C72" i="2"/>
  <c r="E26" i="2"/>
  <c r="E41" i="2"/>
  <c r="C122" i="2"/>
  <c r="D44" i="2" l="1"/>
  <c r="E32" i="2"/>
  <c r="E12" i="2"/>
  <c r="C85" i="2"/>
  <c r="D8" i="2"/>
  <c r="C95" i="2"/>
  <c r="C33" i="2"/>
  <c r="C34" i="2"/>
  <c r="E21" i="2"/>
  <c r="C106" i="2"/>
  <c r="E23" i="2"/>
  <c r="E66" i="2"/>
  <c r="E49" i="2"/>
  <c r="C31" i="2"/>
  <c r="D39" i="2"/>
  <c r="E5" i="2"/>
  <c r="E53" i="2"/>
  <c r="C109" i="2"/>
  <c r="C67" i="2"/>
  <c r="C42" i="2"/>
  <c r="C26" i="2"/>
  <c r="C25" i="2"/>
  <c r="E16" i="2"/>
  <c r="E42" i="2"/>
  <c r="E34" i="2"/>
  <c r="C39" i="2"/>
  <c r="C49" i="2"/>
  <c r="E142" i="2"/>
  <c r="C118" i="2"/>
  <c r="C14" i="2"/>
  <c r="D66" i="2"/>
  <c r="E83" i="2"/>
  <c r="C44" i="2"/>
  <c r="C84" i="2"/>
  <c r="E64" i="2"/>
  <c r="E82" i="2"/>
  <c r="D148" i="2"/>
  <c r="C41" i="2"/>
  <c r="C126" i="2" l="1"/>
  <c r="C47" i="2"/>
  <c r="D82" i="2"/>
  <c r="E147" i="2"/>
  <c r="C142" i="2"/>
  <c r="C62" i="2"/>
  <c r="C28" i="2"/>
  <c r="D33" i="2"/>
  <c r="C51" i="2"/>
  <c r="E10" i="2"/>
  <c r="D89" i="2"/>
  <c r="D94" i="2"/>
  <c r="C8" i="2"/>
  <c r="E31" i="2"/>
  <c r="E113" i="2"/>
  <c r="D25" i="2"/>
  <c r="C140" i="2"/>
  <c r="D112" i="2"/>
  <c r="C104" i="2"/>
  <c r="E116" i="2"/>
  <c r="E17" i="2"/>
  <c r="E133" i="2"/>
  <c r="E78" i="2"/>
  <c r="D102" i="2"/>
  <c r="C78" i="2"/>
  <c r="C3" i="2"/>
  <c r="D133" i="2"/>
  <c r="E70" i="2"/>
  <c r="D111" i="2"/>
  <c r="C134" i="2"/>
  <c r="D87" i="2"/>
  <c r="E2" i="2"/>
  <c r="C96" i="2"/>
  <c r="C141" i="2" l="1"/>
  <c r="D6" i="2"/>
  <c r="D4" i="2"/>
  <c r="D74" i="2"/>
  <c r="D134" i="2"/>
  <c r="D84" i="2"/>
  <c r="D127" i="2"/>
  <c r="E134" i="2"/>
  <c r="E104" i="2"/>
  <c r="C4" i="2"/>
  <c r="C130" i="2"/>
  <c r="D117" i="2"/>
  <c r="E6" i="2"/>
  <c r="C6" i="2"/>
  <c r="C7" i="2"/>
  <c r="E28" i="2"/>
  <c r="E54" i="2"/>
  <c r="C13" i="2"/>
  <c r="C46" i="2"/>
  <c r="E67" i="2"/>
  <c r="C37" i="2"/>
  <c r="E101" i="2"/>
  <c r="E62" i="2"/>
  <c r="C79" i="2"/>
  <c r="E96" i="2"/>
  <c r="E37" i="2"/>
  <c r="E106" i="2"/>
  <c r="E55" i="2"/>
  <c r="D43" i="2"/>
  <c r="E22" i="2"/>
  <c r="C101" i="2"/>
  <c r="C55" i="2"/>
  <c r="E75" i="2"/>
  <c r="E19" i="2"/>
  <c r="D18" i="2"/>
  <c r="E111" i="2"/>
  <c r="C66" i="2"/>
  <c r="C70" i="2"/>
  <c r="C77" i="2"/>
  <c r="E30" i="2" l="1"/>
  <c r="D73" i="2"/>
  <c r="D77" i="2"/>
  <c r="C9" i="2"/>
  <c r="C17" i="2"/>
  <c r="C53" i="2"/>
  <c r="E68" i="2"/>
  <c r="E15" i="2"/>
  <c r="D121" i="2"/>
  <c r="D138" i="2"/>
  <c r="D15" i="2"/>
  <c r="E59" i="2"/>
  <c r="D83" i="2"/>
  <c r="C18" i="2"/>
  <c r="C10" i="2"/>
  <c r="D32" i="2"/>
  <c r="D95" i="2"/>
  <c r="E90" i="2"/>
  <c r="E117" i="2"/>
  <c r="E107" i="2"/>
  <c r="E9" i="2"/>
  <c r="C103" i="2"/>
  <c r="E44" i="2"/>
  <c r="D78" i="2"/>
  <c r="C92" i="2"/>
  <c r="E98" i="2" l="1"/>
  <c r="C65" i="2"/>
  <c r="D104" i="2"/>
  <c r="C54" i="2"/>
  <c r="C89" i="2"/>
  <c r="D166" i="2"/>
  <c r="C121" i="2"/>
  <c r="D50" i="2"/>
  <c r="E81" i="2"/>
  <c r="D24" i="2"/>
  <c r="C168" i="2"/>
  <c r="D2" i="2"/>
  <c r="C68" i="2"/>
  <c r="D81" i="2"/>
  <c r="D80" i="2"/>
  <c r="C12" i="2"/>
  <c r="C163" i="2"/>
  <c r="C97" i="2"/>
  <c r="E43" i="2"/>
  <c r="E60" i="2"/>
  <c r="D167" i="2"/>
  <c r="C164" i="2"/>
  <c r="C22" i="2"/>
  <c r="D164" i="2"/>
  <c r="C56" i="2"/>
  <c r="E167" i="2"/>
  <c r="C43" i="2"/>
  <c r="D110" i="2"/>
  <c r="E93" i="2"/>
  <c r="E121" i="2"/>
  <c r="D65" i="2"/>
  <c r="D165" i="2"/>
  <c r="D61" i="2"/>
  <c r="E168" i="2"/>
  <c r="D163" i="2"/>
  <c r="C165" i="2"/>
  <c r="D124" i="2"/>
  <c r="D103" i="2"/>
  <c r="E163" i="2"/>
  <c r="C2" i="2"/>
  <c r="C112" i="2"/>
  <c r="E3" i="2"/>
  <c r="C52" i="2"/>
  <c r="C61" i="2"/>
  <c r="E115" i="2"/>
  <c r="C20" i="2"/>
  <c r="C48" i="2"/>
  <c r="D116" i="2"/>
  <c r="E127" i="2"/>
  <c r="D59" i="2"/>
  <c r="D140" i="2"/>
  <c r="C73" i="2"/>
  <c r="D69" i="2"/>
  <c r="C81" i="2"/>
  <c r="E18" i="2"/>
  <c r="E108" i="2"/>
  <c r="D27" i="2"/>
  <c r="E80" i="2"/>
  <c r="E20" i="2"/>
  <c r="C116" i="2"/>
  <c r="E97" i="2"/>
  <c r="E151" i="2"/>
  <c r="D93" i="2"/>
  <c r="D113" i="2"/>
  <c r="D54" i="2"/>
  <c r="D122" i="2"/>
  <c r="C113" i="2"/>
  <c r="C69" i="2"/>
  <c r="D71" i="2"/>
  <c r="C105" i="2"/>
  <c r="D63" i="2"/>
  <c r="E52" i="2"/>
  <c r="C100" i="2"/>
  <c r="C102" i="2"/>
  <c r="C107" i="2"/>
  <c r="D53" i="2" l="1"/>
  <c r="E76" i="2"/>
  <c r="E140" i="2"/>
  <c r="D52" i="2"/>
  <c r="D168" i="2"/>
  <c r="E164" i="2"/>
  <c r="E166" i="2"/>
  <c r="E84" i="2"/>
  <c r="E126" i="2"/>
  <c r="C27" i="2"/>
  <c r="C93" i="2"/>
  <c r="C167" i="2"/>
  <c r="E73" i="2"/>
  <c r="E29" i="2"/>
  <c r="D98" i="2"/>
  <c r="E89" i="2"/>
  <c r="E165" i="2"/>
  <c r="C29" i="2"/>
  <c r="D42" i="2"/>
  <c r="D41" i="2"/>
  <c r="D96" i="2"/>
  <c r="D128" i="2"/>
  <c r="D162" i="2"/>
  <c r="D70" i="2"/>
  <c r="D7" i="2"/>
  <c r="D62" i="2"/>
  <c r="D88" i="2"/>
  <c r="D137" i="2"/>
  <c r="D26" i="2"/>
  <c r="D123" i="2"/>
  <c r="D99" i="2"/>
  <c r="D55" i="2"/>
  <c r="D153" i="2"/>
  <c r="D3" i="2"/>
  <c r="D17" i="2"/>
  <c r="D14" i="2"/>
  <c r="D9" i="2"/>
  <c r="D21" i="2"/>
  <c r="D64" i="2"/>
  <c r="D106" i="2"/>
  <c r="D28" i="2"/>
  <c r="D90" i="2"/>
  <c r="D34" i="2"/>
  <c r="D144" i="2"/>
  <c r="D19" i="2"/>
  <c r="D75" i="2"/>
  <c r="D47" i="2"/>
  <c r="D125" i="2"/>
  <c r="D10" i="2"/>
  <c r="D13" i="2"/>
  <c r="D23" i="2"/>
  <c r="D67" i="2"/>
  <c r="D31" i="2"/>
  <c r="D5" i="2"/>
  <c r="D37" i="2"/>
  <c r="D46" i="2"/>
  <c r="D36" i="2"/>
  <c r="D109" i="2"/>
  <c r="D85" i="2"/>
  <c r="D156" i="2"/>
  <c r="D57" i="2"/>
  <c r="D51" i="2"/>
  <c r="D149" i="2"/>
  <c r="B5012" i="1" l="1"/>
  <c r="C110" i="2" l="1"/>
  <c r="E27" i="2"/>
  <c r="C146" i="2"/>
  <c r="E112" i="2"/>
  <c r="E11" i="2"/>
  <c r="C166" i="2"/>
  <c r="D91" i="2"/>
  <c r="E50" i="2"/>
  <c r="C11" i="2"/>
  <c r="E100" i="2"/>
  <c r="C63" i="2"/>
  <c r="C35" i="2"/>
  <c r="E71" i="2"/>
  <c r="D60" i="2"/>
  <c r="D35" i="2"/>
  <c r="C108" i="2"/>
  <c r="E154" i="2"/>
  <c r="C40" i="2"/>
  <c r="C139" i="2"/>
  <c r="E94" i="2"/>
  <c r="C80" i="2"/>
  <c r="D129" i="2"/>
  <c r="D11" i="2"/>
  <c r="C74" i="2"/>
  <c r="D158" i="2"/>
  <c r="E40" i="2"/>
  <c r="E138" i="2"/>
  <c r="D97" i="2"/>
  <c r="D126" i="2"/>
  <c r="D45" i="2"/>
  <c r="E4" i="2"/>
  <c r="M5012" i="1" a="1"/>
  <c r="M5012" i="1" s="1"/>
  <c r="N5012" i="1" a="1"/>
  <c r="N5012" i="1" s="1"/>
  <c r="B5013" i="1"/>
  <c r="P5012" i="1" a="1"/>
  <c r="P5012" i="1" s="1"/>
  <c r="P5013" i="1" l="1" a="1"/>
  <c r="P5013" i="1" s="1"/>
  <c r="M5013" i="1" a="1"/>
  <c r="M5013" i="1" s="1"/>
  <c r="N5013" i="1" a="1"/>
  <c r="N5013" i="1" s="1"/>
  <c r="B5014" i="1"/>
  <c r="P5014" i="1" l="1" a="1"/>
  <c r="P5014" i="1" s="1"/>
  <c r="B5015" i="1"/>
  <c r="N5014" i="1" a="1"/>
  <c r="N5014" i="1" s="1"/>
  <c r="M5014" i="1" a="1"/>
  <c r="M5014" i="1" s="1"/>
  <c r="P5015" i="1" l="1" a="1"/>
  <c r="P5015" i="1" s="1"/>
  <c r="M5015" i="1" a="1"/>
  <c r="M5015" i="1" s="1"/>
  <c r="B5016" i="1"/>
  <c r="N5015" i="1" a="1"/>
  <c r="N5015" i="1" s="1"/>
  <c r="N5016" i="1" l="1" a="1"/>
  <c r="N5016" i="1" s="1"/>
  <c r="M5016" i="1" a="1"/>
  <c r="M5016" i="1" s="1"/>
  <c r="P5016" i="1" a="1"/>
  <c r="P5016" i="1" s="1"/>
  <c r="B5017" i="1"/>
  <c r="P5017" i="1" l="1" a="1"/>
  <c r="P5017" i="1" s="1"/>
  <c r="B5018" i="1"/>
  <c r="N5017" i="1" a="1"/>
  <c r="N5017" i="1" s="1"/>
  <c r="M5017" i="1" a="1"/>
  <c r="M5017" i="1" s="1"/>
  <c r="B5019" i="1" l="1"/>
  <c r="M5018" i="1" a="1"/>
  <c r="M5018" i="1" s="1"/>
  <c r="P5018" i="1" a="1"/>
  <c r="P5018" i="1" s="1"/>
  <c r="N5018" i="1" a="1"/>
  <c r="N5018" i="1" s="1"/>
  <c r="P5019" i="1" l="1" a="1"/>
  <c r="P5019" i="1" s="1"/>
  <c r="N5019" i="1" a="1"/>
  <c r="N5019" i="1" s="1"/>
  <c r="B5020" i="1"/>
  <c r="M5019" i="1" a="1"/>
  <c r="M5019" i="1" s="1"/>
  <c r="P5020" i="1" l="1" a="1"/>
  <c r="P5020" i="1" s="1"/>
  <c r="N5020" i="1" a="1"/>
  <c r="N5020" i="1" s="1"/>
  <c r="M5020" i="1" a="1"/>
  <c r="M5020" i="1" s="1"/>
  <c r="B5021" i="1"/>
  <c r="M5021" i="1" l="1" a="1"/>
  <c r="M5021" i="1" s="1"/>
  <c r="P5021" i="1" a="1"/>
  <c r="P5021" i="1" s="1"/>
  <c r="B5022" i="1"/>
  <c r="N5021" i="1" a="1"/>
  <c r="N5021" i="1" s="1"/>
  <c r="N5022" i="1" l="1" a="1"/>
  <c r="N5022" i="1" s="1"/>
  <c r="B5023" i="1"/>
  <c r="M5022" i="1" a="1"/>
  <c r="M5022" i="1" s="1"/>
  <c r="P5022" i="1" a="1"/>
  <c r="P5022" i="1" s="1"/>
  <c r="P5023" i="1" l="1" a="1"/>
  <c r="P5023" i="1" s="1"/>
  <c r="B5024" i="1"/>
  <c r="M5023" i="1" a="1"/>
  <c r="M5023" i="1" s="1"/>
  <c r="N5023" i="1" a="1"/>
  <c r="N5023" i="1" s="1"/>
  <c r="M5024" i="1" l="1" a="1"/>
  <c r="M5024" i="1" s="1"/>
  <c r="N5024" i="1" a="1"/>
  <c r="N5024" i="1" s="1"/>
  <c r="P5024" i="1" a="1"/>
  <c r="P5024" i="1" s="1"/>
  <c r="B5025" i="1"/>
  <c r="N5025" i="1" l="1" a="1"/>
  <c r="N5025" i="1" s="1"/>
  <c r="P5025" i="1" a="1"/>
  <c r="P5025" i="1" s="1"/>
  <c r="B5026" i="1"/>
  <c r="M5025" i="1" a="1"/>
  <c r="M5025" i="1" s="1"/>
  <c r="B5027" i="1" l="1"/>
  <c r="M5026" i="1" a="1"/>
  <c r="M5026" i="1" s="1"/>
  <c r="N5026" i="1" a="1"/>
  <c r="N5026" i="1" s="1"/>
  <c r="P5026" i="1" a="1"/>
  <c r="P5026" i="1" s="1"/>
  <c r="M5027" i="1" l="1" a="1"/>
  <c r="M5027" i="1" s="1"/>
  <c r="N5027" i="1" a="1"/>
  <c r="N5027" i="1" s="1"/>
  <c r="P5027" i="1" a="1"/>
  <c r="P5027" i="1" s="1"/>
  <c r="I5012" i="1" l="1" a="1"/>
  <c r="I5012" i="1" s="1"/>
  <c r="K5012" i="1" l="1" a="1"/>
  <c r="K5012" i="1" s="1"/>
  <c r="O5012" i="1" a="1"/>
  <c r="O5012" i="1" s="1"/>
  <c r="J5012" i="1" a="1"/>
  <c r="J5012" i="1" s="1"/>
  <c r="Q5012" i="1" a="1"/>
  <c r="Q5012" i="1" s="1"/>
  <c r="C5013" i="1"/>
  <c r="I5013" i="1" s="1" a="1"/>
  <c r="I5013" i="1" s="1"/>
  <c r="H5012" i="1"/>
  <c r="L5012" i="1" a="1"/>
  <c r="L5012" i="1" s="1"/>
  <c r="K5013" i="1" l="1" a="1"/>
  <c r="K5013" i="1" s="1"/>
  <c r="O5013" i="1" a="1"/>
  <c r="O5013" i="1" s="1"/>
  <c r="J5013" i="1" a="1"/>
  <c r="J5013" i="1" s="1"/>
  <c r="Q5013" i="1" a="1"/>
  <c r="Q5013" i="1" s="1"/>
  <c r="C5014" i="1"/>
  <c r="I5014" i="1" s="1" a="1"/>
  <c r="I5014" i="1" s="1"/>
  <c r="H5013" i="1"/>
  <c r="L5013" i="1" a="1"/>
  <c r="L5013" i="1" s="1"/>
  <c r="K5014" i="1" l="1" a="1"/>
  <c r="K5014" i="1" s="1"/>
  <c r="O5014" i="1" a="1"/>
  <c r="O5014" i="1" s="1"/>
  <c r="J5014" i="1" a="1"/>
  <c r="J5014" i="1" s="1"/>
  <c r="Q5014" i="1" a="1"/>
  <c r="Q5014" i="1" s="1"/>
  <c r="C5015" i="1"/>
  <c r="I5015" i="1" s="1" a="1"/>
  <c r="I5015" i="1" s="1"/>
  <c r="L5014" i="1" a="1"/>
  <c r="L5014" i="1" s="1"/>
  <c r="H5014" i="1"/>
  <c r="K5015" i="1" l="1" a="1"/>
  <c r="K5015" i="1" s="1"/>
  <c r="O5015" i="1" a="1"/>
  <c r="O5015" i="1" s="1"/>
  <c r="J5015" i="1" a="1"/>
  <c r="J5015" i="1" s="1"/>
  <c r="Q5015" i="1" a="1"/>
  <c r="Q5015" i="1" s="1"/>
  <c r="C5016" i="1"/>
  <c r="I5016" i="1" s="1" a="1"/>
  <c r="I5016" i="1" s="1"/>
  <c r="H5015" i="1"/>
  <c r="L5015" i="1" a="1"/>
  <c r="L5015" i="1" s="1"/>
  <c r="K5016" i="1" l="1" a="1"/>
  <c r="K5016" i="1" s="1"/>
  <c r="O5016" i="1" a="1"/>
  <c r="O5016" i="1" s="1"/>
  <c r="J5016" i="1" a="1"/>
  <c r="J5016" i="1" s="1"/>
  <c r="Q5016" i="1" a="1"/>
  <c r="Q5016" i="1" s="1"/>
  <c r="C5017" i="1"/>
  <c r="I5017" i="1" s="1" a="1"/>
  <c r="I5017" i="1" s="1"/>
  <c r="L5016" i="1" a="1"/>
  <c r="L5016" i="1" s="1"/>
  <c r="H5016" i="1"/>
  <c r="K5017" i="1" l="1" a="1"/>
  <c r="K5017" i="1" s="1"/>
  <c r="O5017" i="1" a="1"/>
  <c r="O5017" i="1" s="1"/>
  <c r="J5017" i="1" a="1"/>
  <c r="J5017" i="1" s="1"/>
  <c r="Q5017" i="1" a="1"/>
  <c r="Q5017" i="1" s="1"/>
  <c r="C5018" i="1"/>
  <c r="I5018" i="1" s="1" a="1"/>
  <c r="I5018" i="1" s="1"/>
  <c r="H5017" i="1"/>
  <c r="L5017" i="1" a="1"/>
  <c r="L5017" i="1" s="1"/>
  <c r="K5018" i="1" l="1" a="1"/>
  <c r="K5018" i="1" s="1"/>
  <c r="O5018" i="1" a="1"/>
  <c r="O5018" i="1" s="1"/>
  <c r="J5018" i="1" a="1"/>
  <c r="J5018" i="1" s="1"/>
  <c r="Q5018" i="1" a="1"/>
  <c r="Q5018" i="1" s="1"/>
  <c r="C5019" i="1"/>
  <c r="I5019" i="1" s="1" a="1"/>
  <c r="I5019" i="1" s="1"/>
  <c r="H5018" i="1"/>
  <c r="L5018" i="1" a="1"/>
  <c r="L5018" i="1" s="1"/>
  <c r="K5019" i="1" l="1" a="1"/>
  <c r="K5019" i="1" s="1"/>
  <c r="O5019" i="1" a="1"/>
  <c r="O5019" i="1" s="1"/>
  <c r="J5019" i="1" a="1"/>
  <c r="J5019" i="1" s="1"/>
  <c r="Q5019" i="1" a="1"/>
  <c r="Q5019" i="1" s="1"/>
  <c r="C5020" i="1"/>
  <c r="I5020" i="1" s="1" a="1"/>
  <c r="I5020" i="1" s="1"/>
  <c r="L5019" i="1" a="1"/>
  <c r="L5019" i="1" s="1"/>
  <c r="H5019" i="1"/>
  <c r="K5020" i="1" l="1" a="1"/>
  <c r="K5020" i="1" s="1"/>
  <c r="O5020" i="1" a="1"/>
  <c r="O5020" i="1" s="1"/>
  <c r="J5020" i="1" a="1"/>
  <c r="J5020" i="1" s="1"/>
  <c r="Q5020" i="1" a="1"/>
  <c r="Q5020" i="1" s="1"/>
  <c r="C5021" i="1"/>
  <c r="I5021" i="1" s="1" a="1"/>
  <c r="I5021" i="1" s="1"/>
  <c r="H5020" i="1"/>
  <c r="L5020" i="1" a="1"/>
  <c r="L5020" i="1" s="1"/>
  <c r="K5021" i="1" l="1" a="1"/>
  <c r="K5021" i="1" s="1"/>
  <c r="O5021" i="1" a="1"/>
  <c r="O5021" i="1" s="1"/>
  <c r="J5021" i="1" a="1"/>
  <c r="J5021" i="1" s="1"/>
  <c r="Q5021" i="1" a="1"/>
  <c r="Q5021" i="1" s="1"/>
  <c r="C5022" i="1"/>
  <c r="I5022" i="1" s="1" a="1"/>
  <c r="I5022" i="1" s="1"/>
  <c r="H5021" i="1"/>
  <c r="L5021" i="1" a="1"/>
  <c r="L5021" i="1" s="1"/>
  <c r="K5022" i="1" l="1" a="1"/>
  <c r="K5022" i="1" s="1"/>
  <c r="O5022" i="1" a="1"/>
  <c r="O5022" i="1" s="1"/>
  <c r="J5022" i="1" a="1"/>
  <c r="J5022" i="1" s="1"/>
  <c r="Q5022" i="1" a="1"/>
  <c r="Q5022" i="1" s="1"/>
  <c r="C5023" i="1"/>
  <c r="I5023" i="1" s="1" a="1"/>
  <c r="I5023" i="1" s="1"/>
  <c r="H5022" i="1"/>
  <c r="L5022" i="1" a="1"/>
  <c r="L5022" i="1" s="1"/>
  <c r="K5023" i="1" l="1" a="1"/>
  <c r="K5023" i="1" s="1"/>
  <c r="O5023" i="1" a="1"/>
  <c r="O5023" i="1" s="1"/>
  <c r="J5023" i="1" a="1"/>
  <c r="J5023" i="1" s="1"/>
  <c r="Q5023" i="1" a="1"/>
  <c r="Q5023" i="1" s="1"/>
  <c r="C5024" i="1"/>
  <c r="I5024" i="1" s="1" a="1"/>
  <c r="I5024" i="1" s="1"/>
  <c r="L5023" i="1" a="1"/>
  <c r="L5023" i="1" s="1"/>
  <c r="H5023" i="1"/>
  <c r="K5024" i="1" l="1" a="1"/>
  <c r="K5024" i="1" s="1"/>
  <c r="O5024" i="1" a="1"/>
  <c r="O5024" i="1" s="1"/>
  <c r="J5024" i="1" a="1"/>
  <c r="J5024" i="1" s="1"/>
  <c r="Q5024" i="1" a="1"/>
  <c r="Q5024" i="1" s="1"/>
  <c r="C5025" i="1"/>
  <c r="I5025" i="1" s="1" a="1"/>
  <c r="I5025" i="1" s="1"/>
  <c r="L5024" i="1" a="1"/>
  <c r="L5024" i="1" s="1"/>
  <c r="H5024" i="1"/>
  <c r="K5025" i="1" l="1" a="1"/>
  <c r="K5025" i="1" s="1"/>
  <c r="O5025" i="1" a="1"/>
  <c r="O5025" i="1" s="1"/>
  <c r="J5025" i="1" a="1"/>
  <c r="J5025" i="1" s="1"/>
  <c r="Q5025" i="1" a="1"/>
  <c r="Q5025" i="1" s="1"/>
  <c r="C5026" i="1"/>
  <c r="I5026" i="1" s="1" a="1"/>
  <c r="I5026" i="1" s="1"/>
  <c r="L5025" i="1" a="1"/>
  <c r="L5025" i="1" s="1"/>
  <c r="H5025" i="1"/>
  <c r="K5026" i="1" l="1" a="1"/>
  <c r="K5026" i="1" s="1"/>
  <c r="O5026" i="1" a="1"/>
  <c r="O5026" i="1" s="1"/>
  <c r="J5026" i="1" a="1"/>
  <c r="J5026" i="1" s="1"/>
  <c r="Q5026" i="1" a="1"/>
  <c r="Q5026" i="1" s="1"/>
  <c r="C5027" i="1"/>
  <c r="I5027" i="1" s="1" a="1"/>
  <c r="I5027" i="1" s="1"/>
  <c r="H5026" i="1"/>
  <c r="L5026" i="1" a="1"/>
  <c r="L5026" i="1" s="1"/>
  <c r="K5027" i="1" l="1" a="1"/>
  <c r="K5027" i="1" s="1"/>
  <c r="O5027" i="1" a="1"/>
  <c r="O5027" i="1" s="1"/>
  <c r="J5027" i="1" a="1"/>
  <c r="J5027" i="1" s="1"/>
  <c r="Q5027" i="1" a="1"/>
  <c r="Q5027" i="1" s="1"/>
  <c r="L5027" i="1" a="1"/>
  <c r="L5027" i="1" s="1"/>
  <c r="H502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<sst xmlns="http://schemas.openxmlformats.org/spreadsheetml/2006/main" count="45043" uniqueCount="24">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</sst>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Q5027"/>
  <sheetViews>
    <sheetView tabSelected="1" zoomScaleNormal="100" workbookViewId="0">
      <pane ySplit="1" topLeftCell="A5011" activePane="bottomLeft" state="frozen"/>
      <selection pane="bottomLeft" activeCell="D5012" sqref="D5012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7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</row>
    <row r="2" spans="1:17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7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7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7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7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7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7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7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7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7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7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7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7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7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7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19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19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19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19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19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19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19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19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19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19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19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19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19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19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19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19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19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19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19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19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19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19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19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19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19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19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19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19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19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19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19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19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19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19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19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19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19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19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19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19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19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19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19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19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19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19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19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19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19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19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19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19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19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19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19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19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19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19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19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19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19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19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19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19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19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19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19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19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19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19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19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19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19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19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19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19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19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19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19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19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19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19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19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19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19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19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19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19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19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19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19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19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19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19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19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tr">
        <f t="shared" ref="A5012:C5012" si="1128">B5011</f>
        <v>Northern Cardinal</v>
      </c>
      <c r="C5012" s="6">
        <v>0.29166666666666669</v>
      </c>
      <c r="D5012" s="5"/>
      <c r="E5012" s="5"/>
      <c r="F5012" s="5" t="s">
        <v>8</v>
      </c>
      <c r="G5012" s="15" t="s">
        <v>9</v>
      </c>
      <c r="H5012" s="24">
        <f t="shared" ref="H4982:H5027" si="1129">IFERROR((($A5012+$C5012) - ($A5011+$C5011))*24*60, "")</f>
        <v>797.99999999231659</v>
      </c>
      <c r="I5012" s="24" cm="1">
        <f t="array" ref="I5012">IFERROR(IF($B5012=I$1, ($A5012+$C5012) - MAX(IF($B$2:$B5011=$B5012, $A$2:$A5011+$C$2:$C5011)), "")*24*60, "")</f>
        <v>797.99999999231659</v>
      </c>
      <c r="J5012" s="24" t="str" cm="1">
        <f t="array" ref="J5012">IFERROR(IF($B5012=J$1, ($A5012+$C5012) - MAX(IF($B$2:$B5011=$B5012, $A$2:$A5011+$C$2:$C5011)), "")*24*60, "")</f>
        <v/>
      </c>
      <c r="K5012" s="24" t="str" cm="1">
        <f t="array" ref="K5012">IFERROR(IF($B5012=K$1, ($A5012+$C5012) - MAX(IF($B$2:$B5011=$B5012, $A$2:$A5011+$C$2:$C5011)), "")*24*60, "")</f>
        <v/>
      </c>
      <c r="L5012" s="24" t="str" cm="1">
        <f t="array" ref="L5012">IFERROR(IF($B5012=L$1, ($A5012+$C5012) - MAX(IF($B$2:$B5011=$B5012, $A$2:$A5011+$C$2:$C5011)), "")*24*60, "")</f>
        <v/>
      </c>
      <c r="M5012" s="24" t="str" cm="1">
        <f t="array" ref="M5012">IFERROR(IF($B5012=M$1, ($A5012+$C5012) - MAX(IF($B$2:$B5011=$B5012, $A$2:$A5011+$C$2:$C5011)), "")*24*60, "")</f>
        <v/>
      </c>
      <c r="N5012" s="24" t="str" cm="1">
        <f t="array" ref="N5012">IFERROR(IF($B5012=N$1, ($A5012+$C5012) - MAX(IF($B$2:$B5011=$B5012, $A$2:$A5011+$C$2:$C5011)), "")*24*60, "")</f>
        <v/>
      </c>
      <c r="O5012" s="24" t="str" cm="1">
        <f t="array" ref="O5012">IFERROR(IF($B5012=O$1, ($A5012+$C5012) - MAX(IF($B$2:$B5011=$B5012, $A$2:$A5011+$C$2:$C5011)), "")*24*60, "")</f>
        <v/>
      </c>
      <c r="P5012" s="24" t="str" cm="1">
        <f t="array" ref="P5012">IFERROR(IF($B5012=P$1, ($A5012+$C5012) - MAX(IF($B$2:$B5011=$B5012, $A$2:$A5011+$C$2:$C5011)), "")*24*60, "")</f>
        <v/>
      </c>
      <c r="Q5012" s="24" t="str" cm="1">
        <f t="array" ref="Q5012">IFERROR(IF($B5012=Q$1, ($A5012+$C5012) - MAX(IF($B$2:$B5011=$B5012, $A$2:$A5011+$C$2:$C5011)), "")*24*60, "")</f>
        <v/>
      </c>
    </row>
    <row r="5013" spans="1:17" x14ac:dyDescent="0.2">
      <c r="A5013" s="12">
        <f t="shared" ref="A5013:C5013" si="1130">A5012</f>
        <v>45981</v>
      </c>
      <c r="B5013" s="5" t="str">
        <f t="shared" si="1130"/>
        <v>Northern Cardinal</v>
      </c>
      <c r="C5013" s="6">
        <f t="shared" si="1130"/>
        <v>0.29166666666666669</v>
      </c>
      <c r="D5013" s="5"/>
      <c r="E5013" s="5"/>
      <c r="F5013" s="5" t="s">
        <v>8</v>
      </c>
      <c r="G5013" s="15" t="s">
        <v>9</v>
      </c>
      <c r="H5013" s="24">
        <f t="shared" si="1129"/>
        <v>0</v>
      </c>
      <c r="I5013" s="24" cm="1">
        <f t="array" ref="I5013">IFERROR(IF($B5013=I$1, ($A5013+$C5013) - MAX(IF($B$2:$B5012=$B5013, $A$2:$A5012+$C$2:$C5012)), "")*24*60, "")</f>
        <v>0</v>
      </c>
      <c r="J5013" s="24" t="str" cm="1">
        <f t="array" ref="J5013">IFERROR(IF($B5013=J$1, ($A5013+$C5013) - MAX(IF($B$2:$B5012=$B5013, $A$2:$A5012+$C$2:$C5012)), "")*24*60, "")</f>
        <v/>
      </c>
      <c r="K5013" s="24" t="str" cm="1">
        <f t="array" ref="K5013">IFERROR(IF($B5013=K$1, ($A5013+$C5013) - MAX(IF($B$2:$B5012=$B5013, $A$2:$A5012+$C$2:$C5012)), "")*24*60, "")</f>
        <v/>
      </c>
      <c r="L5013" s="24" t="str" cm="1">
        <f t="array" ref="L5013">IFERROR(IF($B5013=L$1, ($A5013+$C5013) - MAX(IF($B$2:$B5012=$B5013, $A$2:$A5012+$C$2:$C5012)), "")*24*60, "")</f>
        <v/>
      </c>
      <c r="M5013" s="24" t="str" cm="1">
        <f t="array" ref="M5013">IFERROR(IF($B5013=M$1, ($A5013+$C5013) - MAX(IF($B$2:$B5012=$B5013, $A$2:$A5012+$C$2:$C5012)), "")*24*60, "")</f>
        <v/>
      </c>
      <c r="N5013" s="24" t="str" cm="1">
        <f t="array" ref="N5013">IFERROR(IF($B5013=N$1, ($A5013+$C5013) - MAX(IF($B$2:$B5012=$B5013, $A$2:$A5012+$C$2:$C5012)), "")*24*60, "")</f>
        <v/>
      </c>
      <c r="O5013" s="24" t="str" cm="1">
        <f t="array" ref="O5013">IFERROR(IF($B5013=O$1, ($A5013+$C5013) - MAX(IF($B$2:$B5012=$B5013, $A$2:$A5012+$C$2:$C5012)), "")*24*60, "")</f>
        <v/>
      </c>
      <c r="P5013" s="24" t="str" cm="1">
        <f t="array" ref="P5013">IFERROR(IF($B5013=P$1, ($A5013+$C5013) - MAX(IF($B$2:$B5012=$B5013, $A$2:$A5012+$C$2:$C5012)), "")*24*60, "")</f>
        <v/>
      </c>
      <c r="Q5013" s="24" t="str" cm="1">
        <f t="array" ref="Q5013">IFERROR(IF($B5013=Q$1, ($A5013+$C5013) - MAX(IF($B$2:$B5012=$B5013, $A$2:$A5012+$C$2:$C5012)), "")*24*60, "")</f>
        <v/>
      </c>
    </row>
    <row r="5014" spans="1:17" x14ac:dyDescent="0.2">
      <c r="A5014" s="12">
        <f t="shared" ref="A5014:C5014" si="1131">A5013</f>
        <v>45981</v>
      </c>
      <c r="B5014" s="5" t="str">
        <f t="shared" si="1131"/>
        <v>Northern Cardinal</v>
      </c>
      <c r="C5014" s="6">
        <f t="shared" si="1131"/>
        <v>0.29166666666666669</v>
      </c>
      <c r="D5014" s="5"/>
      <c r="E5014" s="5"/>
      <c r="F5014" s="5" t="s">
        <v>8</v>
      </c>
      <c r="G5014" s="15" t="s">
        <v>9</v>
      </c>
      <c r="H5014" s="24">
        <f t="shared" si="1129"/>
        <v>0</v>
      </c>
      <c r="I5014" s="24" cm="1">
        <f t="array" ref="I5014">IFERROR(IF($B5014=I$1, ($A5014+$C5014) - MAX(IF($B$2:$B5013=$B5014, $A$2:$A5013+$C$2:$C5013)), "")*24*60, "")</f>
        <v>0</v>
      </c>
      <c r="J5014" s="24" t="str" cm="1">
        <f t="array" ref="J5014">IFERROR(IF($B5014=J$1, ($A5014+$C5014) - MAX(IF($B$2:$B5013=$B5014, $A$2:$A5013+$C$2:$C5013)), "")*24*60, "")</f>
        <v/>
      </c>
      <c r="K5014" s="24" t="str" cm="1">
        <f t="array" ref="K5014">IFERROR(IF($B5014=K$1, ($A5014+$C5014) - MAX(IF($B$2:$B5013=$B5014, $A$2:$A5013+$C$2:$C5013)), "")*24*60, "")</f>
        <v/>
      </c>
      <c r="L5014" s="24" t="str" cm="1">
        <f t="array" ref="L5014">IFERROR(IF($B5014=L$1, ($A5014+$C5014) - MAX(IF($B$2:$B5013=$B5014, $A$2:$A5013+$C$2:$C5013)), "")*24*60, "")</f>
        <v/>
      </c>
      <c r="M5014" s="24" t="str" cm="1">
        <f t="array" ref="M5014">IFERROR(IF($B5014=M$1, ($A5014+$C5014) - MAX(IF($B$2:$B5013=$B5014, $A$2:$A5013+$C$2:$C5013)), "")*24*60, "")</f>
        <v/>
      </c>
      <c r="N5014" s="24" t="str" cm="1">
        <f t="array" ref="N5014">IFERROR(IF($B5014=N$1, ($A5014+$C5014) - MAX(IF($B$2:$B5013=$B5014, $A$2:$A5013+$C$2:$C5013)), "")*24*60, "")</f>
        <v/>
      </c>
      <c r="O5014" s="24" t="str" cm="1">
        <f t="array" ref="O5014">IFERROR(IF($B5014=O$1, ($A5014+$C5014) - MAX(IF($B$2:$B5013=$B5014, $A$2:$A5013+$C$2:$C5013)), "")*24*60, "")</f>
        <v/>
      </c>
      <c r="P5014" s="24" t="str" cm="1">
        <f t="array" ref="P5014">IFERROR(IF($B5014=P$1, ($A5014+$C5014) - MAX(IF($B$2:$B5013=$B5014, $A$2:$A5013+$C$2:$C5013)), "")*24*60, "")</f>
        <v/>
      </c>
      <c r="Q5014" s="24" t="str" cm="1">
        <f t="array" ref="Q5014">IFERROR(IF($B5014=Q$1, ($A5014+$C5014) - MAX(IF($B$2:$B5013=$B5014, $A$2:$A5013+$C$2:$C5013)), "")*24*60, "")</f>
        <v/>
      </c>
    </row>
    <row r="5015" spans="1:17" x14ac:dyDescent="0.2">
      <c r="A5015" s="12">
        <f t="shared" ref="A5015:C5015" si="1132">A5014</f>
        <v>45981</v>
      </c>
      <c r="B5015" s="5" t="str">
        <f t="shared" si="1132"/>
        <v>Northern Cardinal</v>
      </c>
      <c r="C5015" s="6">
        <f t="shared" si="1132"/>
        <v>0.29166666666666669</v>
      </c>
      <c r="D5015" s="5"/>
      <c r="E5015" s="5"/>
      <c r="F5015" s="5" t="s">
        <v>8</v>
      </c>
      <c r="G5015" s="15" t="s">
        <v>9</v>
      </c>
      <c r="H5015" s="24">
        <f t="shared" si="1129"/>
        <v>0</v>
      </c>
      <c r="I5015" s="24" cm="1">
        <f t="array" ref="I5015">IFERROR(IF($B5015=I$1, ($A5015+$C5015) - MAX(IF($B$2:$B5014=$B5015, $A$2:$A5014+$C$2:$C5014)), "")*24*60, "")</f>
        <v>0</v>
      </c>
      <c r="J5015" s="24" t="str" cm="1">
        <f t="array" ref="J5015">IFERROR(IF($B5015=J$1, ($A5015+$C5015) - MAX(IF($B$2:$B5014=$B5015, $A$2:$A5014+$C$2:$C5014)), "")*24*60, "")</f>
        <v/>
      </c>
      <c r="K5015" s="24" t="str" cm="1">
        <f t="array" ref="K5015">IFERROR(IF($B5015=K$1, ($A5015+$C5015) - MAX(IF($B$2:$B5014=$B5015, $A$2:$A5014+$C$2:$C5014)), "")*24*60, "")</f>
        <v/>
      </c>
      <c r="L5015" s="24" t="str" cm="1">
        <f t="array" ref="L5015">IFERROR(IF($B5015=L$1, ($A5015+$C5015) - MAX(IF($B$2:$B5014=$B5015, $A$2:$A5014+$C$2:$C5014)), "")*24*60, "")</f>
        <v/>
      </c>
      <c r="M5015" s="24" t="str" cm="1">
        <f t="array" ref="M5015">IFERROR(IF($B5015=M$1, ($A5015+$C5015) - MAX(IF($B$2:$B5014=$B5015, $A$2:$A5014+$C$2:$C5014)), "")*24*60, "")</f>
        <v/>
      </c>
      <c r="N5015" s="24" t="str" cm="1">
        <f t="array" ref="N5015">IFERROR(IF($B5015=N$1, ($A5015+$C5015) - MAX(IF($B$2:$B5014=$B5015, $A$2:$A5014+$C$2:$C5014)), "")*24*60, "")</f>
        <v/>
      </c>
      <c r="O5015" s="24" t="str" cm="1">
        <f t="array" ref="O5015">IFERROR(IF($B5015=O$1, ($A5015+$C5015) - MAX(IF($B$2:$B5014=$B5015, $A$2:$A5014+$C$2:$C5014)), "")*24*60, "")</f>
        <v/>
      </c>
      <c r="P5015" s="24" t="str" cm="1">
        <f t="array" ref="P5015">IFERROR(IF($B5015=P$1, ($A5015+$C5015) - MAX(IF($B$2:$B5014=$B5015, $A$2:$A5014+$C$2:$C5014)), "")*24*60, "")</f>
        <v/>
      </c>
      <c r="Q5015" s="24" t="str" cm="1">
        <f t="array" ref="Q5015">IFERROR(IF($B5015=Q$1, ($A5015+$C5015) - MAX(IF($B$2:$B5014=$B5015, $A$2:$A5014+$C$2:$C5014)), "")*24*60, "")</f>
        <v/>
      </c>
    </row>
    <row r="5016" spans="1:17" x14ac:dyDescent="0.2">
      <c r="A5016" s="12">
        <f t="shared" ref="A5016:C5016" si="1133">A5015</f>
        <v>45981</v>
      </c>
      <c r="B5016" s="5" t="str">
        <f t="shared" si="1133"/>
        <v>Northern Cardinal</v>
      </c>
      <c r="C5016" s="6">
        <f t="shared" si="1133"/>
        <v>0.29166666666666669</v>
      </c>
      <c r="D5016" s="5"/>
      <c r="E5016" s="5"/>
      <c r="F5016" s="5" t="s">
        <v>8</v>
      </c>
      <c r="G5016" s="15" t="s">
        <v>9</v>
      </c>
      <c r="H5016" s="24">
        <f t="shared" si="1129"/>
        <v>0</v>
      </c>
      <c r="I5016" s="24" cm="1">
        <f t="array" ref="I5016">IFERROR(IF($B5016=I$1, ($A5016+$C5016) - MAX(IF($B$2:$B5015=$B5016, $A$2:$A5015+$C$2:$C5015)), "")*24*60, "")</f>
        <v>0</v>
      </c>
      <c r="J5016" s="24" t="str" cm="1">
        <f t="array" ref="J5016">IFERROR(IF($B5016=J$1, ($A5016+$C5016) - MAX(IF($B$2:$B5015=$B5016, $A$2:$A5015+$C$2:$C5015)), "")*24*60, "")</f>
        <v/>
      </c>
      <c r="K5016" s="24" t="str" cm="1">
        <f t="array" ref="K5016">IFERROR(IF($B5016=K$1, ($A5016+$C5016) - MAX(IF($B$2:$B5015=$B5016, $A$2:$A5015+$C$2:$C5015)), "")*24*60, "")</f>
        <v/>
      </c>
      <c r="L5016" s="24" t="str" cm="1">
        <f t="array" ref="L5016">IFERROR(IF($B5016=L$1, ($A5016+$C5016) - MAX(IF($B$2:$B5015=$B5016, $A$2:$A5015+$C$2:$C5015)), "")*24*60, "")</f>
        <v/>
      </c>
      <c r="M5016" s="24" t="str" cm="1">
        <f t="array" ref="M5016">IFERROR(IF($B5016=M$1, ($A5016+$C5016) - MAX(IF($B$2:$B5015=$B5016, $A$2:$A5015+$C$2:$C5015)), "")*24*60, "")</f>
        <v/>
      </c>
      <c r="N5016" s="24" t="str" cm="1">
        <f t="array" ref="N5016">IFERROR(IF($B5016=N$1, ($A5016+$C5016) - MAX(IF($B$2:$B5015=$B5016, $A$2:$A5015+$C$2:$C5015)), "")*24*60, "")</f>
        <v/>
      </c>
      <c r="O5016" s="24" t="str" cm="1">
        <f t="array" ref="O5016">IFERROR(IF($B5016=O$1, ($A5016+$C5016) - MAX(IF($B$2:$B5015=$B5016, $A$2:$A5015+$C$2:$C5015)), "")*24*60, "")</f>
        <v/>
      </c>
      <c r="P5016" s="24" t="str" cm="1">
        <f t="array" ref="P5016">IFERROR(IF($B5016=P$1, ($A5016+$C5016) - MAX(IF($B$2:$B5015=$B5016, $A$2:$A5015+$C$2:$C5015)), "")*24*60, "")</f>
        <v/>
      </c>
      <c r="Q5016" s="24" t="str" cm="1">
        <f t="array" ref="Q5016">IFERROR(IF($B5016=Q$1, ($A5016+$C5016) - MAX(IF($B$2:$B5015=$B5016, $A$2:$A5015+$C$2:$C5015)), "")*24*60, "")</f>
        <v/>
      </c>
    </row>
    <row r="5017" spans="1:17" x14ac:dyDescent="0.2">
      <c r="A5017" s="12">
        <f t="shared" ref="A5017:C5017" si="1134">A5016</f>
        <v>45981</v>
      </c>
      <c r="B5017" s="5" t="str">
        <f t="shared" si="1134"/>
        <v>Northern Cardinal</v>
      </c>
      <c r="C5017" s="6">
        <f t="shared" si="1134"/>
        <v>0.29166666666666669</v>
      </c>
      <c r="D5017" s="5"/>
      <c r="E5017" s="5"/>
      <c r="F5017" s="5" t="s">
        <v>8</v>
      </c>
      <c r="G5017" s="15" t="s">
        <v>9</v>
      </c>
      <c r="H5017" s="24">
        <f t="shared" si="1129"/>
        <v>0</v>
      </c>
      <c r="I5017" s="24" cm="1">
        <f t="array" ref="I5017">IFERROR(IF($B5017=I$1, ($A5017+$C5017) - MAX(IF($B$2:$B5016=$B5017, $A$2:$A5016+$C$2:$C5016)), "")*24*60, "")</f>
        <v>0</v>
      </c>
      <c r="J5017" s="24" t="str" cm="1">
        <f t="array" ref="J5017">IFERROR(IF($B5017=J$1, ($A5017+$C5017) - MAX(IF($B$2:$B5016=$B5017, $A$2:$A5016+$C$2:$C5016)), "")*24*60, "")</f>
        <v/>
      </c>
      <c r="K5017" s="24" t="str" cm="1">
        <f t="array" ref="K5017">IFERROR(IF($B5017=K$1, ($A5017+$C5017) - MAX(IF($B$2:$B5016=$B5017, $A$2:$A5016+$C$2:$C5016)), "")*24*60, "")</f>
        <v/>
      </c>
      <c r="L5017" s="24" t="str" cm="1">
        <f t="array" ref="L5017">IFERROR(IF($B5017=L$1, ($A5017+$C5017) - MAX(IF($B$2:$B5016=$B5017, $A$2:$A5016+$C$2:$C5016)), "")*24*60, "")</f>
        <v/>
      </c>
      <c r="M5017" s="24" t="str" cm="1">
        <f t="array" ref="M5017">IFERROR(IF($B5017=M$1, ($A5017+$C5017) - MAX(IF($B$2:$B5016=$B5017, $A$2:$A5016+$C$2:$C5016)), "")*24*60, "")</f>
        <v/>
      </c>
      <c r="N5017" s="24" t="str" cm="1">
        <f t="array" ref="N5017">IFERROR(IF($B5017=N$1, ($A5017+$C5017) - MAX(IF($B$2:$B5016=$B5017, $A$2:$A5016+$C$2:$C5016)), "")*24*60, "")</f>
        <v/>
      </c>
      <c r="O5017" s="24" t="str" cm="1">
        <f t="array" ref="O5017">IFERROR(IF($B5017=O$1, ($A5017+$C5017) - MAX(IF($B$2:$B5016=$B5017, $A$2:$A5016+$C$2:$C5016)), "")*24*60, "")</f>
        <v/>
      </c>
      <c r="P5017" s="24" t="str" cm="1">
        <f t="array" ref="P5017">IFERROR(IF($B5017=P$1, ($A5017+$C5017) - MAX(IF($B$2:$B5016=$B5017, $A$2:$A5016+$C$2:$C5016)), "")*24*60, "")</f>
        <v/>
      </c>
      <c r="Q5017" s="24" t="str" cm="1">
        <f t="array" ref="Q5017">IFERROR(IF($B5017=Q$1, ($A5017+$C5017) - MAX(IF($B$2:$B5016=$B5017, $A$2:$A5016+$C$2:$C5016)), "")*24*60, "")</f>
        <v/>
      </c>
    </row>
    <row r="5018" spans="1:17" x14ac:dyDescent="0.2">
      <c r="A5018" s="12">
        <f t="shared" ref="A5018:C5018" si="1135">A5017</f>
        <v>45981</v>
      </c>
      <c r="B5018" s="5" t="str">
        <f t="shared" si="1135"/>
        <v>Northern Cardinal</v>
      </c>
      <c r="C5018" s="6">
        <f t="shared" si="1135"/>
        <v>0.29166666666666669</v>
      </c>
      <c r="D5018" s="5"/>
      <c r="E5018" s="5"/>
      <c r="F5018" s="5" t="s">
        <v>8</v>
      </c>
      <c r="G5018" s="15" t="s">
        <v>9</v>
      </c>
      <c r="H5018" s="24">
        <f t="shared" si="1129"/>
        <v>0</v>
      </c>
      <c r="I5018" s="24" cm="1">
        <f t="array" ref="I5018">IFERROR(IF($B5018=I$1, ($A5018+$C5018) - MAX(IF($B$2:$B5017=$B5018, $A$2:$A5017+$C$2:$C5017)), "")*24*60, "")</f>
        <v>0</v>
      </c>
      <c r="J5018" s="24" t="str" cm="1">
        <f t="array" ref="J5018">IFERROR(IF($B5018=J$1, ($A5018+$C5018) - MAX(IF($B$2:$B5017=$B5018, $A$2:$A5017+$C$2:$C5017)), "")*24*60, "")</f>
        <v/>
      </c>
      <c r="K5018" s="24" t="str" cm="1">
        <f t="array" ref="K5018">IFERROR(IF($B5018=K$1, ($A5018+$C5018) - MAX(IF($B$2:$B5017=$B5018, $A$2:$A5017+$C$2:$C5017)), "")*24*60, "")</f>
        <v/>
      </c>
      <c r="L5018" s="24" t="str" cm="1">
        <f t="array" ref="L5018">IFERROR(IF($B5018=L$1, ($A5018+$C5018) - MAX(IF($B$2:$B5017=$B5018, $A$2:$A5017+$C$2:$C5017)), "")*24*60, "")</f>
        <v/>
      </c>
      <c r="M5018" s="24" t="str" cm="1">
        <f t="array" ref="M5018">IFERROR(IF($B5018=M$1, ($A5018+$C5018) - MAX(IF($B$2:$B5017=$B5018, $A$2:$A5017+$C$2:$C5017)), "")*24*60, "")</f>
        <v/>
      </c>
      <c r="N5018" s="24" t="str" cm="1">
        <f t="array" ref="N5018">IFERROR(IF($B5018=N$1, ($A5018+$C5018) - MAX(IF($B$2:$B5017=$B5018, $A$2:$A5017+$C$2:$C5017)), "")*24*60, "")</f>
        <v/>
      </c>
      <c r="O5018" s="24" t="str" cm="1">
        <f t="array" ref="O5018">IFERROR(IF($B5018=O$1, ($A5018+$C5018) - MAX(IF($B$2:$B5017=$B5018, $A$2:$A5017+$C$2:$C5017)), "")*24*60, "")</f>
        <v/>
      </c>
      <c r="P5018" s="24" t="str" cm="1">
        <f t="array" ref="P5018">IFERROR(IF($B5018=P$1, ($A5018+$C5018) - MAX(IF($B$2:$B5017=$B5018, $A$2:$A5017+$C$2:$C5017)), "")*24*60, "")</f>
        <v/>
      </c>
      <c r="Q5018" s="24" t="str" cm="1">
        <f t="array" ref="Q5018">IFERROR(IF($B5018=Q$1, ($A5018+$C5018) - MAX(IF($B$2:$B5017=$B5018, $A$2:$A5017+$C$2:$C5017)), "")*24*60, "")</f>
        <v/>
      </c>
    </row>
    <row r="5019" spans="1:17" x14ac:dyDescent="0.2">
      <c r="A5019" s="12">
        <f t="shared" ref="A5019:C5019" si="1136">A5018</f>
        <v>45981</v>
      </c>
      <c r="B5019" s="5" t="str">
        <f t="shared" si="1136"/>
        <v>Northern Cardinal</v>
      </c>
      <c r="C5019" s="6">
        <f t="shared" si="1136"/>
        <v>0.29166666666666669</v>
      </c>
      <c r="D5019" s="5"/>
      <c r="E5019" s="5"/>
      <c r="F5019" s="5" t="s">
        <v>8</v>
      </c>
      <c r="G5019" s="15" t="s">
        <v>9</v>
      </c>
      <c r="H5019" s="24">
        <f t="shared" si="1129"/>
        <v>0</v>
      </c>
      <c r="I5019" s="24" cm="1">
        <f t="array" ref="I5019">IFERROR(IF($B5019=I$1, ($A5019+$C5019) - MAX(IF($B$2:$B5018=$B5019, $A$2:$A5018+$C$2:$C5018)), "")*24*60, "")</f>
        <v>0</v>
      </c>
      <c r="J5019" s="24" t="str" cm="1">
        <f t="array" ref="J5019">IFERROR(IF($B5019=J$1, ($A5019+$C5019) - MAX(IF($B$2:$B5018=$B5019, $A$2:$A5018+$C$2:$C5018)), "")*24*60, "")</f>
        <v/>
      </c>
      <c r="K5019" s="24" t="str" cm="1">
        <f t="array" ref="K5019">IFERROR(IF($B5019=K$1, ($A5019+$C5019) - MAX(IF($B$2:$B5018=$B5019, $A$2:$A5018+$C$2:$C5018)), "")*24*60, "")</f>
        <v/>
      </c>
      <c r="L5019" s="24" t="str" cm="1">
        <f t="array" ref="L5019">IFERROR(IF($B5019=L$1, ($A5019+$C5019) - MAX(IF($B$2:$B5018=$B5019, $A$2:$A5018+$C$2:$C5018)), "")*24*60, "")</f>
        <v/>
      </c>
      <c r="M5019" s="24" t="str" cm="1">
        <f t="array" ref="M5019">IFERROR(IF($B5019=M$1, ($A5019+$C5019) - MAX(IF($B$2:$B5018=$B5019, $A$2:$A5018+$C$2:$C5018)), "")*24*60, "")</f>
        <v/>
      </c>
      <c r="N5019" s="24" t="str" cm="1">
        <f t="array" ref="N5019">IFERROR(IF($B5019=N$1, ($A5019+$C5019) - MAX(IF($B$2:$B5018=$B5019, $A$2:$A5018+$C$2:$C5018)), "")*24*60, "")</f>
        <v/>
      </c>
      <c r="O5019" s="24" t="str" cm="1">
        <f t="array" ref="O5019">IFERROR(IF($B5019=O$1, ($A5019+$C5019) - MAX(IF($B$2:$B5018=$B5019, $A$2:$A5018+$C$2:$C5018)), "")*24*60, "")</f>
        <v/>
      </c>
      <c r="P5019" s="24" t="str" cm="1">
        <f t="array" ref="P5019">IFERROR(IF($B5019=P$1, ($A5019+$C5019) - MAX(IF($B$2:$B5018=$B5019, $A$2:$A5018+$C$2:$C5018)), "")*24*60, "")</f>
        <v/>
      </c>
      <c r="Q5019" s="24" t="str" cm="1">
        <f t="array" ref="Q5019">IFERROR(IF($B5019=Q$1, ($A5019+$C5019) - MAX(IF($B$2:$B5018=$B5019, $A$2:$A5018+$C$2:$C5018)), "")*24*60, "")</f>
        <v/>
      </c>
    </row>
    <row r="5020" spans="1:17" x14ac:dyDescent="0.2">
      <c r="A5020" s="12">
        <f t="shared" ref="A5020:C5020" si="1137">A5019</f>
        <v>45981</v>
      </c>
      <c r="B5020" s="5" t="str">
        <f t="shared" si="1137"/>
        <v>Northern Cardinal</v>
      </c>
      <c r="C5020" s="6">
        <f t="shared" si="1137"/>
        <v>0.29166666666666669</v>
      </c>
      <c r="D5020" s="5"/>
      <c r="E5020" s="5"/>
      <c r="F5020" s="5" t="s">
        <v>8</v>
      </c>
      <c r="G5020" s="15" t="s">
        <v>9</v>
      </c>
      <c r="H5020" s="24">
        <f t="shared" si="1129"/>
        <v>0</v>
      </c>
      <c r="I5020" s="24" cm="1">
        <f t="array" ref="I5020">IFERROR(IF($B5020=I$1, ($A5020+$C5020) - MAX(IF($B$2:$B5019=$B5020, $A$2:$A5019+$C$2:$C5019)), "")*24*60, "")</f>
        <v>0</v>
      </c>
      <c r="J5020" s="24" t="str" cm="1">
        <f t="array" ref="J5020">IFERROR(IF($B5020=J$1, ($A5020+$C5020) - MAX(IF($B$2:$B5019=$B5020, $A$2:$A5019+$C$2:$C5019)), "")*24*60, "")</f>
        <v/>
      </c>
      <c r="K5020" s="24" t="str" cm="1">
        <f t="array" ref="K5020">IFERROR(IF($B5020=K$1, ($A5020+$C5020) - MAX(IF($B$2:$B5019=$B5020, $A$2:$A5019+$C$2:$C5019)), "")*24*60, "")</f>
        <v/>
      </c>
      <c r="L5020" s="24" t="str" cm="1">
        <f t="array" ref="L5020">IFERROR(IF($B5020=L$1, ($A5020+$C5020) - MAX(IF($B$2:$B5019=$B5020, $A$2:$A5019+$C$2:$C5019)), "")*24*60, "")</f>
        <v/>
      </c>
      <c r="M5020" s="24" t="str" cm="1">
        <f t="array" ref="M5020">IFERROR(IF($B5020=M$1, ($A5020+$C5020) - MAX(IF($B$2:$B5019=$B5020, $A$2:$A5019+$C$2:$C5019)), "")*24*60, "")</f>
        <v/>
      </c>
      <c r="N5020" s="24" t="str" cm="1">
        <f t="array" ref="N5020">IFERROR(IF($B5020=N$1, ($A5020+$C5020) - MAX(IF($B$2:$B5019=$B5020, $A$2:$A5019+$C$2:$C5019)), "")*24*60, "")</f>
        <v/>
      </c>
      <c r="O5020" s="24" t="str" cm="1">
        <f t="array" ref="O5020">IFERROR(IF($B5020=O$1, ($A5020+$C5020) - MAX(IF($B$2:$B5019=$B5020, $A$2:$A5019+$C$2:$C5019)), "")*24*60, "")</f>
        <v/>
      </c>
      <c r="P5020" s="24" t="str" cm="1">
        <f t="array" ref="P5020">IFERROR(IF($B5020=P$1, ($A5020+$C5020) - MAX(IF($B$2:$B5019=$B5020, $A$2:$A5019+$C$2:$C5019)), "")*24*60, "")</f>
        <v/>
      </c>
      <c r="Q5020" s="24" t="str" cm="1">
        <f t="array" ref="Q5020">IFERROR(IF($B5020=Q$1, ($A5020+$C5020) - MAX(IF($B$2:$B5019=$B5020, $A$2:$A5019+$C$2:$C5019)), "")*24*60, "")</f>
        <v/>
      </c>
    </row>
    <row r="5021" spans="1:17" x14ac:dyDescent="0.2">
      <c r="A5021" s="12">
        <f t="shared" ref="A5021:C5021" si="1138">A5020</f>
        <v>45981</v>
      </c>
      <c r="B5021" s="5" t="str">
        <f t="shared" si="1138"/>
        <v>Northern Cardinal</v>
      </c>
      <c r="C5021" s="6">
        <f t="shared" si="1138"/>
        <v>0.29166666666666669</v>
      </c>
      <c r="D5021" s="5"/>
      <c r="E5021" s="5"/>
      <c r="F5021" s="5" t="s">
        <v>8</v>
      </c>
      <c r="G5021" s="15" t="s">
        <v>9</v>
      </c>
      <c r="H5021" s="24">
        <f t="shared" si="1129"/>
        <v>0</v>
      </c>
      <c r="I5021" s="24" cm="1">
        <f t="array" ref="I5021">IFERROR(IF($B5021=I$1, ($A5021+$C5021) - MAX(IF($B$2:$B5020=$B5021, $A$2:$A5020+$C$2:$C5020)), "")*24*60, "")</f>
        <v>0</v>
      </c>
      <c r="J5021" s="24" t="str" cm="1">
        <f t="array" ref="J5021">IFERROR(IF($B5021=J$1, ($A5021+$C5021) - MAX(IF($B$2:$B5020=$B5021, $A$2:$A5020+$C$2:$C5020)), "")*24*60, "")</f>
        <v/>
      </c>
      <c r="K5021" s="24" t="str" cm="1">
        <f t="array" ref="K5021">IFERROR(IF($B5021=K$1, ($A5021+$C5021) - MAX(IF($B$2:$B5020=$B5021, $A$2:$A5020+$C$2:$C5020)), "")*24*60, "")</f>
        <v/>
      </c>
      <c r="L5021" s="24" t="str" cm="1">
        <f t="array" ref="L5021">IFERROR(IF($B5021=L$1, ($A5021+$C5021) - MAX(IF($B$2:$B5020=$B5021, $A$2:$A5020+$C$2:$C5020)), "")*24*60, "")</f>
        <v/>
      </c>
      <c r="M5021" s="24" t="str" cm="1">
        <f t="array" ref="M5021">IFERROR(IF($B5021=M$1, ($A5021+$C5021) - MAX(IF($B$2:$B5020=$B5021, $A$2:$A5020+$C$2:$C5020)), "")*24*60, "")</f>
        <v/>
      </c>
      <c r="N5021" s="24" t="str" cm="1">
        <f t="array" ref="N5021">IFERROR(IF($B5021=N$1, ($A5021+$C5021) - MAX(IF($B$2:$B5020=$B5021, $A$2:$A5020+$C$2:$C5020)), "")*24*60, "")</f>
        <v/>
      </c>
      <c r="O5021" s="24" t="str" cm="1">
        <f t="array" ref="O5021">IFERROR(IF($B5021=O$1, ($A5021+$C5021) - MAX(IF($B$2:$B5020=$B5021, $A$2:$A5020+$C$2:$C5020)), "")*24*60, "")</f>
        <v/>
      </c>
      <c r="P5021" s="24" t="str" cm="1">
        <f t="array" ref="P5021">IFERROR(IF($B5021=P$1, ($A5021+$C5021) - MAX(IF($B$2:$B5020=$B5021, $A$2:$A5020+$C$2:$C5020)), "")*24*60, "")</f>
        <v/>
      </c>
      <c r="Q5021" s="24" t="str" cm="1">
        <f t="array" ref="Q5021">IFERROR(IF($B5021=Q$1, ($A5021+$C5021) - MAX(IF($B$2:$B5020=$B5021, $A$2:$A5020+$C$2:$C5020)), "")*24*60, "")</f>
        <v/>
      </c>
    </row>
    <row r="5022" spans="1:17" x14ac:dyDescent="0.2">
      <c r="A5022" s="12">
        <f t="shared" ref="A5022:C5022" si="1139">A5021</f>
        <v>45981</v>
      </c>
      <c r="B5022" s="5" t="str">
        <f t="shared" si="1139"/>
        <v>Northern Cardinal</v>
      </c>
      <c r="C5022" s="6">
        <f t="shared" si="1139"/>
        <v>0.29166666666666669</v>
      </c>
      <c r="D5022" s="5"/>
      <c r="E5022" s="5"/>
      <c r="F5022" s="5" t="s">
        <v>8</v>
      </c>
      <c r="G5022" s="15" t="s">
        <v>9</v>
      </c>
      <c r="H5022" s="24">
        <f t="shared" si="1129"/>
        <v>0</v>
      </c>
      <c r="I5022" s="24" cm="1">
        <f t="array" ref="I5022">IFERROR(IF($B5022=I$1, ($A5022+$C5022) - MAX(IF($B$2:$B5021=$B5022, $A$2:$A5021+$C$2:$C5021)), "")*24*60, "")</f>
        <v>0</v>
      </c>
      <c r="J5022" s="24" t="str" cm="1">
        <f t="array" ref="J5022">IFERROR(IF($B5022=J$1, ($A5022+$C5022) - MAX(IF($B$2:$B5021=$B5022, $A$2:$A5021+$C$2:$C5021)), "")*24*60, "")</f>
        <v/>
      </c>
      <c r="K5022" s="24" t="str" cm="1">
        <f t="array" ref="K5022">IFERROR(IF($B5022=K$1, ($A5022+$C5022) - MAX(IF($B$2:$B5021=$B5022, $A$2:$A5021+$C$2:$C5021)), "")*24*60, "")</f>
        <v/>
      </c>
      <c r="L5022" s="24" t="str" cm="1">
        <f t="array" ref="L5022">IFERROR(IF($B5022=L$1, ($A5022+$C5022) - MAX(IF($B$2:$B5021=$B5022, $A$2:$A5021+$C$2:$C5021)), "")*24*60, "")</f>
        <v/>
      </c>
      <c r="M5022" s="24" t="str" cm="1">
        <f t="array" ref="M5022">IFERROR(IF($B5022=M$1, ($A5022+$C5022) - MAX(IF($B$2:$B5021=$B5022, $A$2:$A5021+$C$2:$C5021)), "")*24*60, "")</f>
        <v/>
      </c>
      <c r="N5022" s="24" t="str" cm="1">
        <f t="array" ref="N5022">IFERROR(IF($B5022=N$1, ($A5022+$C5022) - MAX(IF($B$2:$B5021=$B5022, $A$2:$A5021+$C$2:$C5021)), "")*24*60, "")</f>
        <v/>
      </c>
      <c r="O5022" s="24" t="str" cm="1">
        <f t="array" ref="O5022">IFERROR(IF($B5022=O$1, ($A5022+$C5022) - MAX(IF($B$2:$B5021=$B5022, $A$2:$A5021+$C$2:$C5021)), "")*24*60, "")</f>
        <v/>
      </c>
      <c r="P5022" s="24" t="str" cm="1">
        <f t="array" ref="P5022">IFERROR(IF($B5022=P$1, ($A5022+$C5022) - MAX(IF($B$2:$B5021=$B5022, $A$2:$A5021+$C$2:$C5021)), "")*24*60, "")</f>
        <v/>
      </c>
      <c r="Q5022" s="24" t="str" cm="1">
        <f t="array" ref="Q5022">IFERROR(IF($B5022=Q$1, ($A5022+$C5022) - MAX(IF($B$2:$B5021=$B5022, $A$2:$A5021+$C$2:$C5021)), "")*24*60, "")</f>
        <v/>
      </c>
    </row>
    <row r="5023" spans="1:17" x14ac:dyDescent="0.2">
      <c r="A5023" s="12">
        <f t="shared" ref="A5023:C5023" si="1140">A5022</f>
        <v>45981</v>
      </c>
      <c r="B5023" s="5" t="str">
        <f t="shared" si="1140"/>
        <v>Northern Cardinal</v>
      </c>
      <c r="C5023" s="6">
        <f t="shared" si="1140"/>
        <v>0.29166666666666669</v>
      </c>
      <c r="D5023" s="5"/>
      <c r="E5023" s="5"/>
      <c r="F5023" s="5" t="s">
        <v>8</v>
      </c>
      <c r="G5023" s="15" t="s">
        <v>9</v>
      </c>
      <c r="H5023" s="24">
        <f t="shared" si="1129"/>
        <v>0</v>
      </c>
      <c r="I5023" s="24" cm="1">
        <f t="array" ref="I5023">IFERROR(IF($B5023=I$1, ($A5023+$C5023) - MAX(IF($B$2:$B5022=$B5023, $A$2:$A5022+$C$2:$C5022)), "")*24*60, "")</f>
        <v>0</v>
      </c>
      <c r="J5023" s="24" t="str" cm="1">
        <f t="array" ref="J5023">IFERROR(IF($B5023=J$1, ($A5023+$C5023) - MAX(IF($B$2:$B5022=$B5023, $A$2:$A5022+$C$2:$C5022)), "")*24*60, "")</f>
        <v/>
      </c>
      <c r="K5023" s="24" t="str" cm="1">
        <f t="array" ref="K5023">IFERROR(IF($B5023=K$1, ($A5023+$C5023) - MAX(IF($B$2:$B5022=$B5023, $A$2:$A5022+$C$2:$C5022)), "")*24*60, "")</f>
        <v/>
      </c>
      <c r="L5023" s="24" t="str" cm="1">
        <f t="array" ref="L5023">IFERROR(IF($B5023=L$1, ($A5023+$C5023) - MAX(IF($B$2:$B5022=$B5023, $A$2:$A5022+$C$2:$C5022)), "")*24*60, "")</f>
        <v/>
      </c>
      <c r="M5023" s="24" t="str" cm="1">
        <f t="array" ref="M5023">IFERROR(IF($B5023=M$1, ($A5023+$C5023) - MAX(IF($B$2:$B5022=$B5023, $A$2:$A5022+$C$2:$C5022)), "")*24*60, "")</f>
        <v/>
      </c>
      <c r="N5023" s="24" t="str" cm="1">
        <f t="array" ref="N5023">IFERROR(IF($B5023=N$1, ($A5023+$C5023) - MAX(IF($B$2:$B5022=$B5023, $A$2:$A5022+$C$2:$C5022)), "")*24*60, "")</f>
        <v/>
      </c>
      <c r="O5023" s="24" t="str" cm="1">
        <f t="array" ref="O5023">IFERROR(IF($B5023=O$1, ($A5023+$C5023) - MAX(IF($B$2:$B5022=$B5023, $A$2:$A5022+$C$2:$C5022)), "")*24*60, "")</f>
        <v/>
      </c>
      <c r="P5023" s="24" t="str" cm="1">
        <f t="array" ref="P5023">IFERROR(IF($B5023=P$1, ($A5023+$C5023) - MAX(IF($B$2:$B5022=$B5023, $A$2:$A5022+$C$2:$C5022)), "")*24*60, "")</f>
        <v/>
      </c>
      <c r="Q5023" s="24" t="str" cm="1">
        <f t="array" ref="Q5023">IFERROR(IF($B5023=Q$1, ($A5023+$C5023) - MAX(IF($B$2:$B5022=$B5023, $A$2:$A5022+$C$2:$C5022)), "")*24*60, "")</f>
        <v/>
      </c>
    </row>
    <row r="5024" spans="1:17" x14ac:dyDescent="0.2">
      <c r="A5024" s="12">
        <f t="shared" ref="A5024:C5024" si="1141">A5023</f>
        <v>45981</v>
      </c>
      <c r="B5024" s="5" t="str">
        <f t="shared" si="1141"/>
        <v>Northern Cardinal</v>
      </c>
      <c r="C5024" s="6">
        <f t="shared" si="1141"/>
        <v>0.29166666666666669</v>
      </c>
      <c r="D5024" s="5"/>
      <c r="E5024" s="5"/>
      <c r="F5024" s="5" t="s">
        <v>8</v>
      </c>
      <c r="G5024" s="15" t="s">
        <v>9</v>
      </c>
      <c r="H5024" s="24">
        <f t="shared" si="1129"/>
        <v>0</v>
      </c>
      <c r="I5024" s="24" cm="1">
        <f t="array" ref="I5024">IFERROR(IF($B5024=I$1, ($A5024+$C5024) - MAX(IF($B$2:$B5023=$B5024, $A$2:$A5023+$C$2:$C5023)), "")*24*60, "")</f>
        <v>0</v>
      </c>
      <c r="J5024" s="24" t="str" cm="1">
        <f t="array" ref="J5024">IFERROR(IF($B5024=J$1, ($A5024+$C5024) - MAX(IF($B$2:$B5023=$B5024, $A$2:$A5023+$C$2:$C5023)), "")*24*60, "")</f>
        <v/>
      </c>
      <c r="K5024" s="24" t="str" cm="1">
        <f t="array" ref="K5024">IFERROR(IF($B5024=K$1, ($A5024+$C5024) - MAX(IF($B$2:$B5023=$B5024, $A$2:$A5023+$C$2:$C5023)), "")*24*60, "")</f>
        <v/>
      </c>
      <c r="L5024" s="24" t="str" cm="1">
        <f t="array" ref="L5024">IFERROR(IF($B5024=L$1, ($A5024+$C5024) - MAX(IF($B$2:$B5023=$B5024, $A$2:$A5023+$C$2:$C5023)), "")*24*60, "")</f>
        <v/>
      </c>
      <c r="M5024" s="24" t="str" cm="1">
        <f t="array" ref="M5024">IFERROR(IF($B5024=M$1, ($A5024+$C5024) - MAX(IF($B$2:$B5023=$B5024, $A$2:$A5023+$C$2:$C5023)), "")*24*60, "")</f>
        <v/>
      </c>
      <c r="N5024" s="24" t="str" cm="1">
        <f t="array" ref="N5024">IFERROR(IF($B5024=N$1, ($A5024+$C5024) - MAX(IF($B$2:$B5023=$B5024, $A$2:$A5023+$C$2:$C5023)), "")*24*60, "")</f>
        <v/>
      </c>
      <c r="O5024" s="24" t="str" cm="1">
        <f t="array" ref="O5024">IFERROR(IF($B5024=O$1, ($A5024+$C5024) - MAX(IF($B$2:$B5023=$B5024, $A$2:$A5023+$C$2:$C5023)), "")*24*60, "")</f>
        <v/>
      </c>
      <c r="P5024" s="24" t="str" cm="1">
        <f t="array" ref="P5024">IFERROR(IF($B5024=P$1, ($A5024+$C5024) - MAX(IF($B$2:$B5023=$B5024, $A$2:$A5023+$C$2:$C5023)), "")*24*60, "")</f>
        <v/>
      </c>
      <c r="Q5024" s="24" t="str" cm="1">
        <f t="array" ref="Q5024">IFERROR(IF($B5024=Q$1, ($A5024+$C5024) - MAX(IF($B$2:$B5023=$B5024, $A$2:$A5023+$C$2:$C5023)), "")*24*60, "")</f>
        <v/>
      </c>
    </row>
    <row r="5025" spans="1:17" x14ac:dyDescent="0.2">
      <c r="A5025" s="12">
        <f t="shared" ref="A5025:C5025" si="1142">A5024</f>
        <v>45981</v>
      </c>
      <c r="B5025" s="5" t="str">
        <f t="shared" si="1142"/>
        <v>Northern Cardinal</v>
      </c>
      <c r="C5025" s="6">
        <f t="shared" si="1142"/>
        <v>0.29166666666666669</v>
      </c>
      <c r="D5025" s="5"/>
      <c r="E5025" s="5"/>
      <c r="F5025" s="5" t="s">
        <v>8</v>
      </c>
      <c r="G5025" s="15" t="s">
        <v>9</v>
      </c>
      <c r="H5025" s="24">
        <f t="shared" si="1129"/>
        <v>0</v>
      </c>
      <c r="I5025" s="24" cm="1">
        <f t="array" ref="I5025">IFERROR(IF($B5025=I$1, ($A5025+$C5025) - MAX(IF($B$2:$B5024=$B5025, $A$2:$A5024+$C$2:$C5024)), "")*24*60, "")</f>
        <v>0</v>
      </c>
      <c r="J5025" s="24" t="str" cm="1">
        <f t="array" ref="J5025">IFERROR(IF($B5025=J$1, ($A5025+$C5025) - MAX(IF($B$2:$B5024=$B5025, $A$2:$A5024+$C$2:$C5024)), "")*24*60, "")</f>
        <v/>
      </c>
      <c r="K5025" s="24" t="str" cm="1">
        <f t="array" ref="K5025">IFERROR(IF($B5025=K$1, ($A5025+$C5025) - MAX(IF($B$2:$B5024=$B5025, $A$2:$A5024+$C$2:$C5024)), "")*24*60, "")</f>
        <v/>
      </c>
      <c r="L5025" s="24" t="str" cm="1">
        <f t="array" ref="L5025">IFERROR(IF($B5025=L$1, ($A5025+$C5025) - MAX(IF($B$2:$B5024=$B5025, $A$2:$A5024+$C$2:$C5024)), "")*24*60, "")</f>
        <v/>
      </c>
      <c r="M5025" s="24" t="str" cm="1">
        <f t="array" ref="M5025">IFERROR(IF($B5025=M$1, ($A5025+$C5025) - MAX(IF($B$2:$B5024=$B5025, $A$2:$A5024+$C$2:$C5024)), "")*24*60, "")</f>
        <v/>
      </c>
      <c r="N5025" s="24" t="str" cm="1">
        <f t="array" ref="N5025">IFERROR(IF($B5025=N$1, ($A5025+$C5025) - MAX(IF($B$2:$B5024=$B5025, $A$2:$A5024+$C$2:$C5024)), "")*24*60, "")</f>
        <v/>
      </c>
      <c r="O5025" s="24" t="str" cm="1">
        <f t="array" ref="O5025">IFERROR(IF($B5025=O$1, ($A5025+$C5025) - MAX(IF($B$2:$B5024=$B5025, $A$2:$A5024+$C$2:$C5024)), "")*24*60, "")</f>
        <v/>
      </c>
      <c r="P5025" s="24" t="str" cm="1">
        <f t="array" ref="P5025">IFERROR(IF($B5025=P$1, ($A5025+$C5025) - MAX(IF($B$2:$B5024=$B5025, $A$2:$A5024+$C$2:$C5024)), "")*24*60, "")</f>
        <v/>
      </c>
      <c r="Q5025" s="24" t="str" cm="1">
        <f t="array" ref="Q5025">IFERROR(IF($B5025=Q$1, ($A5025+$C5025) - MAX(IF($B$2:$B5024=$B5025, $A$2:$A5024+$C$2:$C5024)), "")*24*60, "")</f>
        <v/>
      </c>
    </row>
    <row r="5026" spans="1:17" x14ac:dyDescent="0.2">
      <c r="A5026" s="12">
        <f t="shared" ref="A5026:C5026" si="1143">A5025</f>
        <v>45981</v>
      </c>
      <c r="B5026" s="5" t="str">
        <f t="shared" si="1143"/>
        <v>Northern Cardinal</v>
      </c>
      <c r="C5026" s="6">
        <f t="shared" si="1143"/>
        <v>0.29166666666666669</v>
      </c>
      <c r="D5026" s="5"/>
      <c r="E5026" s="5"/>
      <c r="F5026" s="5" t="s">
        <v>8</v>
      </c>
      <c r="G5026" s="15" t="s">
        <v>9</v>
      </c>
      <c r="H5026" s="24">
        <f t="shared" si="1129"/>
        <v>0</v>
      </c>
      <c r="I5026" s="24" cm="1">
        <f t="array" ref="I5026">IFERROR(IF($B5026=I$1, ($A5026+$C5026) - MAX(IF($B$2:$B5025=$B5026, $A$2:$A5025+$C$2:$C5025)), "")*24*60, "")</f>
        <v>0</v>
      </c>
      <c r="J5026" s="24" t="str" cm="1">
        <f t="array" ref="J5026">IFERROR(IF($B5026=J$1, ($A5026+$C5026) - MAX(IF($B$2:$B5025=$B5026, $A$2:$A5025+$C$2:$C5025)), "")*24*60, "")</f>
        <v/>
      </c>
      <c r="K5026" s="24" t="str" cm="1">
        <f t="array" ref="K5026">IFERROR(IF($B5026=K$1, ($A5026+$C5026) - MAX(IF($B$2:$B5025=$B5026, $A$2:$A5025+$C$2:$C5025)), "")*24*60, "")</f>
        <v/>
      </c>
      <c r="L5026" s="24" t="str" cm="1">
        <f t="array" ref="L5026">IFERROR(IF($B5026=L$1, ($A5026+$C5026) - MAX(IF($B$2:$B5025=$B5026, $A$2:$A5025+$C$2:$C5025)), "")*24*60, "")</f>
        <v/>
      </c>
      <c r="M5026" s="24" t="str" cm="1">
        <f t="array" ref="M5026">IFERROR(IF($B5026=M$1, ($A5026+$C5026) - MAX(IF($B$2:$B5025=$B5026, $A$2:$A5025+$C$2:$C5025)), "")*24*60, "")</f>
        <v/>
      </c>
      <c r="N5026" s="24" t="str" cm="1">
        <f t="array" ref="N5026">IFERROR(IF($B5026=N$1, ($A5026+$C5026) - MAX(IF($B$2:$B5025=$B5026, $A$2:$A5025+$C$2:$C5025)), "")*24*60, "")</f>
        <v/>
      </c>
      <c r="O5026" s="24" t="str" cm="1">
        <f t="array" ref="O5026">IFERROR(IF($B5026=O$1, ($A5026+$C5026) - MAX(IF($B$2:$B5025=$B5026, $A$2:$A5025+$C$2:$C5025)), "")*24*60, "")</f>
        <v/>
      </c>
      <c r="P5026" s="24" t="str" cm="1">
        <f t="array" ref="P5026">IFERROR(IF($B5026=P$1, ($A5026+$C5026) - MAX(IF($B$2:$B5025=$B5026, $A$2:$A5025+$C$2:$C5025)), "")*24*60, "")</f>
        <v/>
      </c>
      <c r="Q5026" s="24" t="str" cm="1">
        <f t="array" ref="Q5026">IFERROR(IF($B5026=Q$1, ($A5026+$C5026) - MAX(IF($B$2:$B5025=$B5026, $A$2:$A5025+$C$2:$C5025)), "")*24*60, "")</f>
        <v/>
      </c>
    </row>
    <row r="5027" spans="1:17" x14ac:dyDescent="0.2">
      <c r="A5027" s="12">
        <f t="shared" ref="A5027:C5027" si="1144">A5026</f>
        <v>45981</v>
      </c>
      <c r="B5027" s="5" t="str">
        <f t="shared" si="1144"/>
        <v>Northern Cardinal</v>
      </c>
      <c r="C5027" s="6">
        <f t="shared" si="1144"/>
        <v>0.29166666666666669</v>
      </c>
      <c r="D5027" s="5"/>
      <c r="E5027" s="5"/>
      <c r="F5027" s="5" t="s">
        <v>8</v>
      </c>
      <c r="G5027" s="15" t="s">
        <v>9</v>
      </c>
      <c r="H5027" s="24">
        <f t="shared" si="1129"/>
        <v>0</v>
      </c>
      <c r="I5027" s="24" cm="1">
        <f t="array" ref="I5027">IFERROR(IF($B5027=I$1, ($A5027+$C5027) - MAX(IF($B$2:$B5026=$B5027, $A$2:$A5026+$C$2:$C5026)), "")*24*60, "")</f>
        <v>0</v>
      </c>
      <c r="J5027" s="24" t="str" cm="1">
        <f t="array" ref="J5027">IFERROR(IF($B5027=J$1, ($A5027+$C5027) - MAX(IF($B$2:$B5026=$B5027, $A$2:$A5026+$C$2:$C5026)), "")*24*60, "")</f>
        <v/>
      </c>
      <c r="K5027" s="24" t="str" cm="1">
        <f t="array" ref="K5027">IFERROR(IF($B5027=K$1, ($A5027+$C5027) - MAX(IF($B$2:$B5026=$B5027, $A$2:$A5026+$C$2:$C5026)), "")*24*60, "")</f>
        <v/>
      </c>
      <c r="L5027" s="24" t="str" cm="1">
        <f t="array" ref="L5027">IFERROR(IF($B5027=L$1, ($A5027+$C5027) - MAX(IF($B$2:$B5026=$B5027, $A$2:$A5026+$C$2:$C5026)), "")*24*60, "")</f>
        <v/>
      </c>
      <c r="M5027" s="24" t="str" cm="1">
        <f t="array" ref="M5027">IFERROR(IF($B5027=M$1, ($A5027+$C5027) - MAX(IF($B$2:$B5026=$B5027, $A$2:$A5026+$C$2:$C5026)), "")*24*60, "")</f>
        <v/>
      </c>
      <c r="N5027" s="24" t="str" cm="1">
        <f t="array" ref="N5027">IFERROR(IF($B5027=N$1, ($A5027+$C5027) - MAX(IF($B$2:$B5026=$B5027, $A$2:$A5026+$C$2:$C5026)), "")*24*60, "")</f>
        <v/>
      </c>
      <c r="O5027" s="24" t="str" cm="1">
        <f t="array" ref="O5027">IFERROR(IF($B5027=O$1, ($A5027+$C5027) - MAX(IF($B$2:$B5026=$B5027, $A$2:$A5026+$C$2:$C5026)), "")*24*60, "")</f>
        <v/>
      </c>
      <c r="P5027" s="24" t="str" cm="1">
        <f t="array" ref="P5027">IFERROR(IF($B5027=P$1, ($A5027+$C5027) - MAX(IF($B$2:$B5026=$B5027, $A$2:$A5026+$C$2:$C5026)), "")*24*60, "")</f>
        <v/>
      </c>
      <c r="Q5027" s="24" t="str" cm="1">
        <f t="array" ref="Q5027">IFERROR(IF($B5027=Q$1, ($A5027+$C5027) - MAX(IF($B$2:$B5026=$B5027, $A$2:$A5026+$C$2:$C5026)),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172"/>
  <sheetViews>
    <sheetView zoomScale="120" zoomScaleNormal="120" workbookViewId="0">
      <pane ySplit="1" topLeftCell="A153" activePane="bottomLeft" state="frozen"/>
      <selection pane="bottomLeft" activeCell="A168" sqref="A168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1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2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15</v>
      </c>
      <c r="D37" s="27">
        <f>SUMIFS(RawData!$D:$D,RawData!$B:$B,$B37,RawData!$A:$A,DailySummaries!$A37)+1</f>
        <v>143</v>
      </c>
      <c r="E37" s="27">
        <f>SUMIFS(RawData!$E:$E,RawData!$B:$B,$B37,RawData!$A:$A,DailySummaries!$A37)+1</f>
        <v>171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25</v>
      </c>
      <c r="D41" s="11">
        <f>SUMIFS(RawData!$D:$D,RawData!$B:$B,$B41,RawData!$A:$A,DailySummaries!$A41)+1</f>
        <v>513</v>
      </c>
      <c r="E41" s="11">
        <f>SUMIFS(RawData!$E:$E,RawData!$B:$B,$B41,RawData!$A:$A,DailySummaries!$A41)+1</f>
        <v>2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16</v>
      </c>
      <c r="D46" s="11">
        <f>SUMIFS(RawData!$D:$D,RawData!$B:$B,$B46,RawData!$A:$A,DailySummaries!$A46)+1</f>
        <v>133</v>
      </c>
      <c r="E46" s="11">
        <f>SUMIFS(RawData!$E:$E,RawData!$B:$B,$B46,RawData!$A:$A,DailySummaries!$A46)+1</f>
        <v>60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13</v>
      </c>
      <c r="D51" s="11">
        <f>SUMIFS(RawData!$D:$D,RawData!$B:$B,$B51,RawData!$A:$A,DailySummaries!$A51)+1</f>
        <v>268</v>
      </c>
      <c r="E51" s="11">
        <f>SUMIFS(RawData!$E:$E,RawData!$B:$B,$B51,RawData!$A:$A,DailySummaries!$A51)+1</f>
        <v>36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19</v>
      </c>
      <c r="D52" s="11">
        <f>SUMIFS(RawData!$D:$D,RawData!$B:$B,$B52,RawData!$A:$A,DailySummaries!$A52)+1</f>
        <v>179</v>
      </c>
      <c r="E52" s="11">
        <f>SUMIFS(RawData!$E:$E,RawData!$B:$B,$B52,RawData!$A:$A,DailySummaries!$A52)+1</f>
        <v>22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12</v>
      </c>
      <c r="D61" s="11">
        <f>SUMIFS(RawData!$D:$D,RawData!$B:$B,$B61,RawData!$A:$A,DailySummaries!$A61)+1</f>
        <v>39</v>
      </c>
      <c r="E61" s="11">
        <f>SUMIFS(RawData!$E:$E,RawData!$B:$B,$B61,RawData!$A:$A,DailySummaries!$A61)+1</f>
        <v>43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11</v>
      </c>
      <c r="D62" s="27">
        <f>SUMIFS(RawData!$D:$D,RawData!$B:$B,$B62,RawData!$A:$A,DailySummaries!$A62)+1</f>
        <v>204</v>
      </c>
      <c r="E62" s="27">
        <f>SUMIFS(RawData!$E:$E,RawData!$B:$B,$B62,RawData!$A:$A,DailySummaries!$A62)+1</f>
        <v>12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14</v>
      </c>
      <c r="D67" s="11">
        <f>SUMIFS(RawData!$D:$D,RawData!$B:$B,$B67,RawData!$A:$A,DailySummaries!$A67)+1</f>
        <v>161</v>
      </c>
      <c r="E67" s="11">
        <f>SUMIFS(RawData!$E:$E,RawData!$B:$B,$B67,RawData!$A:$A,DailySummaries!$A67)+1</f>
        <v>93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14</v>
      </c>
      <c r="D68" s="27">
        <f>SUMIFS(RawData!$D:$D,RawData!$B:$B,$B68,RawData!$A:$A,DailySummaries!$A68)+1</f>
        <v>98</v>
      </c>
      <c r="E68" s="27">
        <f>SUMIFS(RawData!$E:$E,RawData!$B:$B,$B68,RawData!$A:$A,DailySummaries!$A68)+1</f>
        <v>88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10">
        <v>45980</v>
      </c>
      <c r="B172" s="11" t="s">
        <v>3</v>
      </c>
      <c r="C172" s="11">
        <f>COUNTIFS(RawData!$B:$B, $B172, RawData!$A:$A, DailySummaries!$A172)</f>
        <v>21</v>
      </c>
      <c r="D172" s="11">
        <f>SUMIFS(RawData!$D:$D,RawData!$B:$B,$B172,RawData!$A:$A,DailySummaries!$A172)+1</f>
        <v>1</v>
      </c>
      <c r="E172" s="11">
        <f>SUMIFS(RawData!$E:$E,RawData!$B:$B,$B172,RawData!$A:$A,DailySummaries!$A172)+1</f>
        <v>94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2025-11-20T11:03:18Z</dcterms:modified>
</cp:coreProperties>
</file>
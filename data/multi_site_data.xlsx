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0A26D655-FFE5-E845-A8B0-3BF184920C6D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8" i="2" l="1"/>
  <c r="D178" i="2"/>
  <c r="E178" i="2"/>
  <c r="C179" i="2"/>
  <c r="D179" i="2"/>
  <c r="E179" i="2"/>
  <c r="C180" i="2"/>
  <c r="D180" i="2"/>
  <c r="E180" i="2"/>
  <c r="C181" i="2"/>
  <c r="D181" i="2"/>
  <c r="E181" i="2"/>
  <c r="C182" i="2"/>
  <c r="D182" i="2"/>
  <c r="E182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A5237" i="1" l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5238" i="1" l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5239" i="1" l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A5240" i="1" l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5241" i="1" l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5242" i="1" l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5243" i="1" l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A5244" i="1" l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5245" i="1" l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5246" i="1" l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A5247" i="1" l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A5248" i="1" l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5249" i="1" l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5250" i="1" l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5251" i="1" l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5252" i="1" l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5253" i="1" l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5254" i="1" l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5255" i="1" l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5256" i="1" l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5257" i="1" l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A5258" i="1" l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5259" i="1" l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A5260" i="1" l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5261" i="1" l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5262" i="1" l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5263" i="1" l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A5264" i="1" l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5265" i="1" l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A5266" i="1" l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A5267" i="1" l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5268" i="1" l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5269" i="1" l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5270" i="1" l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A5271" i="1" l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5272" i="1" l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5273" i="1" l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5274" i="1" l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5275" i="1" l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5276" i="1" l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5277" i="1" l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5278" i="1" l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A5279" i="1" l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5280" i="1" l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5281" i="1" l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5282" i="1" l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A5283" i="1" l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5284" i="1" l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5285" i="1" l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5286" i="1" l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5287" i="1" l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5288" i="1" l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5289" i="1" l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5290" i="1" l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5291" i="1" l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5292" i="1" l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5293" i="1" l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5294" i="1" l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A5295" i="1" l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A5296" i="1" l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5297" i="1" l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5298" i="1" l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A5299" i="1" l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5300" i="1" l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5301" i="1" l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5302" i="1" l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A5303" i="1" l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5304" i="1" l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5305" i="1" l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A5306" i="1" l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5307" i="1" l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5308" i="1" l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5309" i="1" l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5310" i="1" l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A5311" i="1" l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5312" i="1" l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5313" i="1" l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5314" i="1" l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5315" i="1" l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5316" i="1" l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A5317" i="1" l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5318" i="1" l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5319" i="1" l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A5320" i="1" l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5321" i="1" l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A5322" i="1" l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5323" i="1" l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5324" i="1" l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5325" i="1" l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A5326" i="1" l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5327" i="1" l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5328" i="1" l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5329" i="1" l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A5330" i="1" l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A5331" i="1" l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5332" i="1" l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5333" i="1" l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5334" i="1" l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A5335" i="1" l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5336" i="1" l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5337" i="1" l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5338" i="1" l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5339" i="1" l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5340" i="1" l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5341" i="1" l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5342" i="1" l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5343" i="1" l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5344" i="1" l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5345" i="1" l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5346" i="1" l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5347" i="1" l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5348" i="1" l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A5349" i="1" l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5350" i="1" l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5351" i="1" l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5352" i="1" l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5353" i="1" l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5354" i="1" l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5355" i="1" l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5356" i="1" l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5357" i="1" l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5358" i="1" l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5359" i="1" l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5360" i="1" l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5361" i="1" l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5362" i="1" l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A5363" i="1" l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5364" i="1" l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5365" i="1" l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A536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5367" i="1" l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5368" i="1" l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5369" i="1" l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5370" i="1" l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537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5372" i="1" l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A5373" i="1" l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5374" i="1" l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5375" i="1" l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5376" i="1" l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5377" i="1" l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537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5379" i="1" l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A538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5381" i="1" l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538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5383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A5384" i="1" l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5385" i="1" l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5386" i="1" l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5387" i="1" l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A5388" i="1" l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5389" i="1" l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A539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5391" i="1" l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5392" i="1" l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5393" i="1" l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5394" i="1" l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5395" i="1" l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5396" i="1" l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5397" i="1" l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5398" i="1" l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5399" i="1" l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5400" i="1" l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540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5402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5403" i="1" l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5404" i="1" l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5405" i="1" l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5406" i="1" l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5407" i="1" l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5408" i="1" l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5409" i="1" l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5410" i="1" l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5411" i="1" l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5412" i="1" l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5413" i="1" l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5414" i="1" l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5415" i="1" l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5416" i="1" l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5417" i="1" l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5418" i="1" l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5419" i="1" l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A5420" i="1" l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5421" i="1" l="1"/>
  <c r="A3525" i="1"/>
  <c r="I3524" i="1" a="1"/>
  <c r="I3524" i="1" s="1"/>
  <c r="H3524" i="1"/>
  <c r="A5422" i="1" l="1"/>
  <c r="A3526" i="1"/>
  <c r="I3525" i="1" a="1"/>
  <c r="I3525" i="1" s="1"/>
  <c r="H3525" i="1"/>
  <c r="A5423" i="1" l="1"/>
  <c r="A3527" i="1"/>
  <c r="L3526" i="1" a="1"/>
  <c r="L3526" i="1" s="1"/>
  <c r="H3526" i="1"/>
  <c r="A5424" i="1" l="1"/>
  <c r="L3527" i="1" a="1"/>
  <c r="L3527" i="1" s="1"/>
  <c r="A3528" i="1"/>
  <c r="H3527" i="1"/>
  <c r="A5425" i="1" l="1"/>
  <c r="A3529" i="1"/>
  <c r="O3528" i="1" a="1"/>
  <c r="O3528" i="1" s="1"/>
  <c r="H3528" i="1"/>
  <c r="A5426" i="1" l="1"/>
  <c r="A3530" i="1"/>
  <c r="H3529" i="1"/>
  <c r="O3529" i="1" a="1"/>
  <c r="O3529" i="1" s="1"/>
  <c r="A5427" i="1" l="1"/>
  <c r="A3531" i="1"/>
  <c r="H3530" i="1"/>
  <c r="O3530" i="1" a="1"/>
  <c r="O3530" i="1" s="1"/>
  <c r="A5428" i="1" l="1"/>
  <c r="A3532" i="1"/>
  <c r="H3531" i="1"/>
  <c r="O3531" i="1" a="1"/>
  <c r="O3531" i="1" s="1"/>
  <c r="A5429" i="1" l="1"/>
  <c r="A3533" i="1"/>
  <c r="O3532" i="1" a="1"/>
  <c r="O3532" i="1" s="1"/>
  <c r="H3532" i="1"/>
  <c r="A5430" i="1" l="1"/>
  <c r="A3534" i="1"/>
  <c r="H3533" i="1"/>
  <c r="O3533" i="1" a="1"/>
  <c r="O3533" i="1" s="1"/>
  <c r="A5431" i="1" l="1"/>
  <c r="A3535" i="1"/>
  <c r="O3534" i="1" a="1"/>
  <c r="O3534" i="1" s="1"/>
  <c r="H3534" i="1"/>
  <c r="A5432" i="1" l="1"/>
  <c r="A3536" i="1"/>
  <c r="H3535" i="1"/>
  <c r="O3535" i="1" a="1"/>
  <c r="O3535" i="1" s="1"/>
  <c r="A5433" i="1" l="1"/>
  <c r="A3537" i="1"/>
  <c r="H3536" i="1"/>
  <c r="O3536" i="1" a="1"/>
  <c r="O3536" i="1" s="1"/>
  <c r="A5434" i="1" l="1"/>
  <c r="A3538" i="1"/>
  <c r="H3537" i="1"/>
  <c r="O3537" i="1" a="1"/>
  <c r="O3537" i="1" s="1"/>
  <c r="A5435" i="1" l="1"/>
  <c r="A3539" i="1"/>
  <c r="O3538" i="1" a="1"/>
  <c r="O3538" i="1" s="1"/>
  <c r="H3538" i="1"/>
  <c r="A5436" i="1" l="1"/>
  <c r="A3540" i="1"/>
  <c r="H3539" i="1"/>
  <c r="O3539" i="1" a="1"/>
  <c r="O3539" i="1" s="1"/>
  <c r="A5437" i="1" l="1"/>
  <c r="A3541" i="1"/>
  <c r="O3540" i="1" a="1"/>
  <c r="O3540" i="1" s="1"/>
  <c r="H3540" i="1"/>
  <c r="I4438" i="1" a="1"/>
  <c r="I4438" i="1" s="1"/>
  <c r="A5438" i="1" l="1"/>
  <c r="A3542" i="1"/>
  <c r="H3541" i="1"/>
  <c r="O3541" i="1" a="1"/>
  <c r="O3541" i="1" s="1"/>
  <c r="C4439" i="1"/>
  <c r="H4438" i="1"/>
  <c r="A5439" i="1" l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5440" i="1" l="1"/>
  <c r="A3544" i="1"/>
  <c r="H3543" i="1"/>
  <c r="O3543" i="1" a="1"/>
  <c r="O3543" i="1" s="1"/>
  <c r="C4441" i="1"/>
  <c r="H4440" i="1"/>
  <c r="A5441" i="1" l="1"/>
  <c r="A3545" i="1"/>
  <c r="O3544" i="1" a="1"/>
  <c r="O3544" i="1" s="1"/>
  <c r="H3544" i="1"/>
  <c r="I4441" i="1" a="1"/>
  <c r="I4441" i="1" s="1"/>
  <c r="I4442" i="1" a="1"/>
  <c r="I4442" i="1" s="1"/>
  <c r="H4441" i="1"/>
  <c r="A5442" i="1" l="1"/>
  <c r="A3546" i="1"/>
  <c r="O3545" i="1" a="1"/>
  <c r="O3545" i="1" s="1"/>
  <c r="H3545" i="1"/>
  <c r="C4443" i="1"/>
  <c r="H4442" i="1"/>
  <c r="A5443" i="1" l="1"/>
  <c r="A3547" i="1"/>
  <c r="H3546" i="1"/>
  <c r="O3546" i="1" a="1"/>
  <c r="O3546" i="1" s="1"/>
  <c r="I4443" i="1" a="1"/>
  <c r="I4443" i="1" s="1"/>
  <c r="I4444" i="1" a="1"/>
  <c r="I4444" i="1" s="1"/>
  <c r="H4443" i="1"/>
  <c r="A5444" i="1" l="1"/>
  <c r="A3548" i="1"/>
  <c r="H3547" i="1"/>
  <c r="O3547" i="1" a="1"/>
  <c r="O3547" i="1" s="1"/>
  <c r="I4445" i="1" a="1"/>
  <c r="I4445" i="1" s="1"/>
  <c r="H4444" i="1"/>
  <c r="A5445" i="1" l="1"/>
  <c r="A3549" i="1"/>
  <c r="O3548" i="1" a="1"/>
  <c r="O3548" i="1" s="1"/>
  <c r="H3548" i="1"/>
  <c r="I4446" i="1" a="1"/>
  <c r="I4446" i="1" s="1"/>
  <c r="H4445" i="1"/>
  <c r="A5446" i="1" l="1"/>
  <c r="A3550" i="1"/>
  <c r="O3549" i="1" a="1"/>
  <c r="O3549" i="1" s="1"/>
  <c r="H3549" i="1"/>
  <c r="I4447" i="1" a="1"/>
  <c r="I4447" i="1" s="1"/>
  <c r="H4446" i="1"/>
  <c r="A5447" i="1" l="1"/>
  <c r="A3551" i="1"/>
  <c r="H3550" i="1"/>
  <c r="O3550" i="1" a="1"/>
  <c r="O3550" i="1" s="1"/>
  <c r="C4448" i="1"/>
  <c r="H4447" i="1"/>
  <c r="O4447" i="1" a="1"/>
  <c r="O4447" i="1" s="1"/>
  <c r="A5448" i="1" l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A5449" i="1" l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A5450" i="1" l="1"/>
  <c r="A3554" i="1"/>
  <c r="I3553" i="1" a="1"/>
  <c r="I3553" i="1" s="1"/>
  <c r="H3553" i="1"/>
  <c r="I4450" i="1" a="1"/>
  <c r="I4450" i="1" s="1"/>
  <c r="H4450" i="1"/>
  <c r="O4450" i="1" a="1"/>
  <c r="O4450" i="1" s="1"/>
  <c r="A5451" i="1" l="1"/>
  <c r="A3555" i="1"/>
  <c r="I3554" i="1" a="1"/>
  <c r="I3554" i="1" s="1"/>
  <c r="H3554" i="1"/>
  <c r="I4451" i="1" a="1"/>
  <c r="I4451" i="1" s="1"/>
  <c r="K4451" i="1" a="1"/>
  <c r="K4451" i="1" s="1"/>
  <c r="H4451" i="1"/>
  <c r="A5452" i="1" l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A5453" i="1" l="1"/>
  <c r="A3557" i="1"/>
  <c r="I3556" i="1" a="1"/>
  <c r="I3556" i="1" s="1"/>
  <c r="H3556" i="1"/>
  <c r="I4453" i="1" a="1"/>
  <c r="I4453" i="1" s="1"/>
  <c r="K4453" i="1" a="1"/>
  <c r="K4453" i="1" s="1"/>
  <c r="H4453" i="1"/>
  <c r="A5454" i="1" l="1"/>
  <c r="A3558" i="1"/>
  <c r="I3557" i="1" a="1"/>
  <c r="I3557" i="1" s="1"/>
  <c r="H3557" i="1"/>
  <c r="I4454" i="1" a="1"/>
  <c r="I4454" i="1" s="1"/>
  <c r="K4454" i="1" a="1"/>
  <c r="K4454" i="1" s="1"/>
  <c r="H4454" i="1"/>
  <c r="A5455" i="1" l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A5456" i="1" l="1"/>
  <c r="A3560" i="1"/>
  <c r="I3559" i="1" a="1"/>
  <c r="I3559" i="1" s="1"/>
  <c r="H3559" i="1"/>
  <c r="I4456" i="1" a="1"/>
  <c r="I4456" i="1" s="1"/>
  <c r="K4456" i="1" a="1"/>
  <c r="K4456" i="1" s="1"/>
  <c r="H4456" i="1"/>
  <c r="A5457" i="1" l="1"/>
  <c r="A3561" i="1"/>
  <c r="I3560" i="1" a="1"/>
  <c r="I3560" i="1" s="1"/>
  <c r="H3560" i="1"/>
  <c r="I4457" i="1" a="1"/>
  <c r="I4457" i="1" s="1"/>
  <c r="K4457" i="1" a="1"/>
  <c r="K4457" i="1" s="1"/>
  <c r="H4457" i="1"/>
  <c r="A5458" i="1" l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5459" i="1" l="1"/>
  <c r="A3563" i="1"/>
  <c r="I3562" i="1" a="1"/>
  <c r="I3562" i="1" s="1"/>
  <c r="H3562" i="1"/>
  <c r="I4459" i="1" a="1"/>
  <c r="I4459" i="1" s="1"/>
  <c r="K4459" i="1" a="1"/>
  <c r="K4459" i="1" s="1"/>
  <c r="H4459" i="1"/>
  <c r="A5460" i="1" l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A5461" i="1" l="1"/>
  <c r="A3565" i="1"/>
  <c r="I3564" i="1" a="1"/>
  <c r="I3564" i="1" s="1"/>
  <c r="H3564" i="1"/>
  <c r="I4461" i="1" a="1"/>
  <c r="I4461" i="1" s="1"/>
  <c r="K4461" i="1" a="1"/>
  <c r="K4461" i="1" s="1"/>
  <c r="H4461" i="1"/>
  <c r="A5462" i="1" l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5463" i="1" l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5464" i="1" l="1"/>
  <c r="A3568" i="1"/>
  <c r="I3567" i="1" a="1"/>
  <c r="I3567" i="1" s="1"/>
  <c r="H3567" i="1"/>
  <c r="I4464" i="1" a="1"/>
  <c r="I4464" i="1" s="1"/>
  <c r="K4464" i="1" a="1"/>
  <c r="K4464" i="1" s="1"/>
  <c r="H4464" i="1"/>
  <c r="A5465" i="1" l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5466" i="1" l="1"/>
  <c r="A3570" i="1"/>
  <c r="I3569" i="1" a="1"/>
  <c r="I3569" i="1" s="1"/>
  <c r="H3569" i="1"/>
  <c r="I4466" i="1" a="1"/>
  <c r="I4466" i="1" s="1"/>
  <c r="K4466" i="1" a="1"/>
  <c r="K4466" i="1" s="1"/>
  <c r="H4466" i="1"/>
  <c r="A5467" i="1" l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5468" i="1" l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5469" i="1" l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5470" i="1" l="1"/>
  <c r="I4470" i="1" a="1"/>
  <c r="I4470" i="1" s="1"/>
  <c r="K4470" i="1" a="1"/>
  <c r="K4470" i="1" s="1"/>
  <c r="H4470" i="1"/>
  <c r="O4470" i="1" a="1"/>
  <c r="O4470" i="1" s="1"/>
  <c r="A5471" i="1" l="1"/>
  <c r="I4471" i="1" a="1"/>
  <c r="I4471" i="1" s="1"/>
  <c r="K4471" i="1" a="1"/>
  <c r="K4471" i="1" s="1"/>
  <c r="C4472" i="1"/>
  <c r="H4471" i="1"/>
  <c r="O4471" i="1" a="1"/>
  <c r="O4471" i="1" s="1"/>
  <c r="A5472" i="1" l="1"/>
  <c r="L4474" i="1" a="1"/>
  <c r="L4474" i="1" s="1"/>
  <c r="I4472" i="1" a="1"/>
  <c r="I4472" i="1" s="1"/>
  <c r="K4472" i="1" a="1"/>
  <c r="K4472" i="1" s="1"/>
  <c r="H4472" i="1"/>
  <c r="O4472" i="1" a="1"/>
  <c r="O4472" i="1" s="1"/>
  <c r="A5473" i="1" l="1"/>
  <c r="I4473" i="1" a="1"/>
  <c r="I4473" i="1" s="1"/>
  <c r="K4473" i="1" a="1"/>
  <c r="K4473" i="1" s="1"/>
  <c r="H4473" i="1"/>
  <c r="O4473" i="1" a="1"/>
  <c r="O4473" i="1" s="1"/>
  <c r="A5474" i="1" l="1"/>
  <c r="I4474" i="1" a="1"/>
  <c r="I4474" i="1" s="1"/>
  <c r="K4474" i="1" a="1"/>
  <c r="K4474" i="1" s="1"/>
  <c r="C4475" i="1"/>
  <c r="H4474" i="1"/>
  <c r="O4474" i="1" a="1"/>
  <c r="O4474" i="1" s="1"/>
  <c r="A5475" i="1" l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A5476" i="1" l="1"/>
  <c r="I4476" i="1" a="1"/>
  <c r="I4476" i="1" s="1"/>
  <c r="K4476" i="1" a="1"/>
  <c r="K4476" i="1" s="1"/>
  <c r="L4477" i="1" a="1"/>
  <c r="L4477" i="1" s="1"/>
  <c r="H4476" i="1"/>
  <c r="O4476" i="1" a="1"/>
  <c r="O4476" i="1" s="1"/>
  <c r="A5477" i="1" l="1"/>
  <c r="I4477" i="1" a="1"/>
  <c r="I4477" i="1" s="1"/>
  <c r="K4477" i="1" a="1"/>
  <c r="K4477" i="1" s="1"/>
  <c r="C4478" i="1"/>
  <c r="H4477" i="1"/>
  <c r="O4477" i="1" a="1"/>
  <c r="O4477" i="1" s="1"/>
  <c r="A5478" i="1" l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A5479" i="1" l="1"/>
  <c r="I4479" i="1" a="1"/>
  <c r="I4479" i="1" s="1"/>
  <c r="K4479" i="1" a="1"/>
  <c r="K4479" i="1" s="1"/>
  <c r="L4480" i="1" a="1"/>
  <c r="L4480" i="1" s="1"/>
  <c r="H4479" i="1"/>
  <c r="O4479" i="1" a="1"/>
  <c r="O4479" i="1" s="1"/>
  <c r="A5480" i="1" l="1"/>
  <c r="I4480" i="1" a="1"/>
  <c r="I4480" i="1" s="1"/>
  <c r="K4480" i="1" a="1"/>
  <c r="K4480" i="1" s="1"/>
  <c r="L4481" i="1" a="1"/>
  <c r="L4481" i="1" s="1"/>
  <c r="H4480" i="1"/>
  <c r="O4480" i="1" a="1"/>
  <c r="O4480" i="1" s="1"/>
  <c r="A5481" i="1" l="1"/>
  <c r="I4481" i="1" a="1"/>
  <c r="I4481" i="1" s="1"/>
  <c r="K4481" i="1" a="1"/>
  <c r="K4481" i="1" s="1"/>
  <c r="C4482" i="1"/>
  <c r="H4481" i="1"/>
  <c r="O4481" i="1" a="1"/>
  <c r="O4481" i="1" s="1"/>
  <c r="A5482" i="1" l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A5483" i="1" l="1"/>
  <c r="I4483" i="1" a="1"/>
  <c r="I4483" i="1" s="1"/>
  <c r="K4483" i="1" a="1"/>
  <c r="K4483" i="1" s="1"/>
  <c r="L4484" i="1" a="1"/>
  <c r="L4484" i="1" s="1"/>
  <c r="H4483" i="1"/>
  <c r="O4483" i="1" a="1"/>
  <c r="O4483" i="1" s="1"/>
  <c r="A5484" i="1" l="1"/>
  <c r="I4484" i="1" a="1"/>
  <c r="I4484" i="1" s="1"/>
  <c r="K4484" i="1" a="1"/>
  <c r="K4484" i="1" s="1"/>
  <c r="C4485" i="1"/>
  <c r="H4484" i="1"/>
  <c r="O4484" i="1" a="1"/>
  <c r="O4484" i="1" s="1"/>
  <c r="A5485" i="1" l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5486" i="1" l="1"/>
  <c r="I4486" i="1" a="1"/>
  <c r="I4486" i="1" s="1"/>
  <c r="K4486" i="1" a="1"/>
  <c r="K4486" i="1" s="1"/>
  <c r="L4487" i="1" a="1"/>
  <c r="L4487" i="1" s="1"/>
  <c r="H4486" i="1"/>
  <c r="O4486" i="1" a="1"/>
  <c r="O4486" i="1" s="1"/>
  <c r="A5487" i="1" l="1"/>
  <c r="I4487" i="1" a="1"/>
  <c r="I4487" i="1" s="1"/>
  <c r="K4487" i="1" a="1"/>
  <c r="K4487" i="1" s="1"/>
  <c r="L4488" i="1" a="1"/>
  <c r="L4488" i="1" s="1"/>
  <c r="H4487" i="1"/>
  <c r="O4487" i="1" a="1"/>
  <c r="O4487" i="1" s="1"/>
  <c r="A5488" i="1" l="1"/>
  <c r="I4488" i="1" a="1"/>
  <c r="I4488" i="1" s="1"/>
  <c r="K4488" i="1" a="1"/>
  <c r="K4488" i="1" s="1"/>
  <c r="H4488" i="1"/>
  <c r="O4488" i="1" a="1"/>
  <c r="O4488" i="1" s="1"/>
  <c r="A5489" i="1" l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A5490" i="1" l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5491" i="1" l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5492" i="1" l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5493" i="1" l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A5494" i="1" l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A5495" i="1" l="1"/>
  <c r="J4534" i="1" a="1"/>
  <c r="J4534" i="1" s="1"/>
  <c r="A5496" i="1" l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5497" i="1" l="1"/>
  <c r="J4597" i="1" a="1"/>
  <c r="J4597" i="1" s="1"/>
  <c r="A5498" i="1" l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5499" i="1" l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A5500" i="1" l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5501" i="1" l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A5502" i="1" l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A5503" i="1" l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5504" i="1" l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A5505" i="1" l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A5506" i="1" l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A5507" i="1" l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5508" i="1" l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A5509" i="1" l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A5510" i="1" l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A5511" i="1" l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A5512" i="1" l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5513" i="1" l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A5514" i="1" l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5515" i="1" l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A5516" i="1" l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A5517" i="1" l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A5518" i="1" l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A5519" i="1" l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A5520" i="1" l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A5521" i="1" l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A5522" i="1" l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A5523" i="1" l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A5524" i="1" l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5525" i="1" l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A5526" i="1" l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A5527" i="1" l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A5528" i="1" l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5529" i="1" l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A5530" i="1" l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5531" i="1" l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A5532" i="1" l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A5533" i="1" l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A5534" i="1" l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A5535" i="1" l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A5536" i="1" l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5537" i="1" l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A5538" i="1" l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A5539" i="1" l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A5540" i="1" l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5541" i="1" l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A5542" i="1" l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A5543" i="1" l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5544" i="1" l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A5545" i="1" l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A5546" i="1" l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A5547" i="1" l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A5548" i="1" l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A5549" i="1" l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A5550" i="1" l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5551" i="1" l="1"/>
  <c r="A5552" i="1" l="1"/>
  <c r="A5553" i="1" l="1"/>
  <c r="A5554" i="1" l="1"/>
  <c r="A5555" i="1" l="1"/>
  <c r="A5556" i="1" l="1"/>
  <c r="A5557" i="1" l="1"/>
  <c r="A5558" i="1" l="1"/>
  <c r="A5559" i="1" l="1"/>
  <c r="A5560" i="1" l="1"/>
  <c r="A5561" i="1" l="1"/>
  <c r="A5562" i="1" l="1"/>
  <c r="A5563" i="1" l="1"/>
  <c r="A5564" i="1" l="1"/>
  <c r="A5565" i="1" l="1"/>
  <c r="A5566" i="1" l="1"/>
  <c r="A5567" i="1" l="1"/>
  <c r="A5568" i="1" l="1"/>
  <c r="C120" i="2" l="1"/>
  <c r="C139" i="2"/>
  <c r="E110" i="2"/>
  <c r="C146" i="2"/>
  <c r="E169" i="2"/>
  <c r="D149" i="2"/>
  <c r="D29" i="2"/>
  <c r="C129" i="2"/>
  <c r="E50" i="2"/>
  <c r="C150" i="2"/>
  <c r="D173" i="2"/>
  <c r="E100" i="2"/>
  <c r="D159" i="2"/>
  <c r="D175" i="2"/>
  <c r="D172" i="2"/>
  <c r="E94" i="2"/>
  <c r="E155" i="2"/>
  <c r="D79" i="2"/>
  <c r="E138" i="2"/>
  <c r="D11" i="2"/>
  <c r="C160" i="2" l="1"/>
  <c r="E171" i="2"/>
  <c r="D86" i="2"/>
  <c r="D177" i="2"/>
  <c r="E128" i="2"/>
  <c r="C147" i="2"/>
  <c r="C119" i="2"/>
  <c r="E172" i="2"/>
  <c r="E27" i="2"/>
  <c r="D169" i="2"/>
  <c r="E65" i="2"/>
  <c r="C174" i="2"/>
  <c r="E112" i="2"/>
  <c r="C131" i="2"/>
  <c r="C108" i="2" l="1"/>
  <c r="E66" i="2"/>
  <c r="C66" i="2"/>
  <c r="C4" i="2"/>
  <c r="E22" i="2"/>
  <c r="C142" i="2"/>
  <c r="C41" i="2"/>
  <c r="E62" i="2"/>
  <c r="C104" i="2"/>
  <c r="E2" i="2"/>
  <c r="E67" i="2"/>
  <c r="E104" i="2"/>
  <c r="E31" i="2"/>
  <c r="C39" i="2"/>
  <c r="D117" i="2"/>
  <c r="C46" i="2"/>
  <c r="E101" i="2"/>
  <c r="C130" i="2"/>
  <c r="C78" i="2"/>
  <c r="C51" i="2"/>
  <c r="E21" i="2"/>
  <c r="E37" i="2"/>
  <c r="D6" i="2"/>
  <c r="D32" i="2"/>
  <c r="E116" i="2"/>
  <c r="E10" i="2"/>
  <c r="E19" i="2"/>
  <c r="C13" i="2"/>
  <c r="C126" i="2"/>
  <c r="E106" i="2"/>
  <c r="E68" i="2"/>
  <c r="E133" i="2"/>
  <c r="D134" i="2"/>
  <c r="D43" i="2"/>
  <c r="C6" i="2"/>
  <c r="C77" i="2"/>
  <c r="D77" i="2"/>
  <c r="C48" i="2"/>
  <c r="C101" i="2"/>
  <c r="E12" i="2" l="1"/>
  <c r="C140" i="2"/>
  <c r="E147" i="2"/>
  <c r="C34" i="2"/>
  <c r="C141" i="2"/>
  <c r="E55" i="2"/>
  <c r="C37" i="2"/>
  <c r="D127" i="2"/>
  <c r="E6" i="2"/>
  <c r="E78" i="2"/>
  <c r="E17" i="2"/>
  <c r="D74" i="2"/>
  <c r="D18" i="2"/>
  <c r="D84" i="2"/>
  <c r="C7" i="2"/>
  <c r="C103" i="2"/>
  <c r="E9" i="2"/>
  <c r="C56" i="2"/>
  <c r="E54" i="2"/>
  <c r="C62" i="2"/>
  <c r="E70" i="2"/>
  <c r="C8" i="2"/>
  <c r="E96" i="2"/>
  <c r="E107" i="2"/>
  <c r="D15" i="2"/>
  <c r="E30" i="2"/>
  <c r="C55" i="2"/>
  <c r="D133" i="2"/>
  <c r="E111" i="2"/>
  <c r="E134" i="2"/>
  <c r="D73" i="2"/>
  <c r="C20" i="2"/>
  <c r="D78" i="2"/>
  <c r="E75" i="2"/>
  <c r="E113" i="2"/>
  <c r="C96" i="2"/>
  <c r="C79" i="2"/>
  <c r="E15" i="2"/>
  <c r="E90" i="2"/>
  <c r="C165" i="2"/>
  <c r="C28" i="2"/>
  <c r="E28" i="2"/>
  <c r="C3" i="2"/>
  <c r="E44" i="2"/>
  <c r="C18" i="2"/>
  <c r="D138" i="2"/>
  <c r="C53" i="2"/>
  <c r="C134" i="2" l="1"/>
  <c r="D59" i="2"/>
  <c r="D110" i="2"/>
  <c r="D165" i="2"/>
  <c r="C47" i="2"/>
  <c r="D121" i="2"/>
  <c r="E98" i="2"/>
  <c r="E121" i="2"/>
  <c r="C112" i="2"/>
  <c r="D24" i="2"/>
  <c r="E81" i="2"/>
  <c r="D4" i="2"/>
  <c r="D95" i="2"/>
  <c r="C70" i="2"/>
  <c r="D124" i="2"/>
  <c r="D167" i="2"/>
  <c r="D104" i="2"/>
  <c r="E93" i="2"/>
  <c r="D50" i="2"/>
  <c r="E80" i="2"/>
  <c r="C68" i="2"/>
  <c r="C65" i="2"/>
  <c r="C2" i="2"/>
  <c r="D61" i="2"/>
  <c r="D164" i="2"/>
  <c r="C100" i="2"/>
  <c r="D113" i="2"/>
  <c r="C9" i="2"/>
  <c r="C17" i="2"/>
  <c r="E115" i="2"/>
  <c r="D2" i="2"/>
  <c r="C164" i="2"/>
  <c r="C52" i="2"/>
  <c r="C54" i="2"/>
  <c r="C29" i="2"/>
  <c r="D65" i="2"/>
  <c r="C92" i="2"/>
  <c r="E59" i="2"/>
  <c r="C12" i="2"/>
  <c r="E127" i="2"/>
  <c r="C10" i="2"/>
  <c r="D116" i="2"/>
  <c r="C89" i="2"/>
  <c r="D83" i="2"/>
  <c r="E117" i="2" l="1"/>
  <c r="E43" i="2"/>
  <c r="E97" i="2"/>
  <c r="E18" i="2"/>
  <c r="D140" i="2"/>
  <c r="D27" i="2"/>
  <c r="D28" i="2"/>
  <c r="E60" i="2"/>
  <c r="E168" i="2"/>
  <c r="C81" i="2"/>
  <c r="C121" i="2"/>
  <c r="C97" i="2"/>
  <c r="E52" i="2"/>
  <c r="C22" i="2"/>
  <c r="D93" i="2"/>
  <c r="C102" i="2"/>
  <c r="D123" i="2"/>
  <c r="C43" i="2"/>
  <c r="D103" i="2"/>
  <c r="E151" i="2"/>
  <c r="D69" i="2"/>
  <c r="D80" i="2"/>
  <c r="C107" i="2"/>
  <c r="E73" i="2"/>
  <c r="D3" i="2"/>
  <c r="C61" i="2"/>
  <c r="C168" i="2"/>
  <c r="D54" i="2"/>
  <c r="C73" i="2"/>
  <c r="D55" i="2"/>
  <c r="C113" i="2"/>
  <c r="D168" i="2"/>
  <c r="D26" i="2"/>
  <c r="D81" i="2"/>
  <c r="E167" i="2"/>
  <c r="C116" i="2"/>
  <c r="D53" i="2"/>
  <c r="E108" i="2"/>
  <c r="D122" i="2"/>
  <c r="C167" i="2"/>
  <c r="D163" i="2"/>
  <c r="C163" i="2"/>
  <c r="C27" i="2"/>
  <c r="E20" i="2"/>
  <c r="E3" i="2"/>
  <c r="E126" i="2"/>
  <c r="D52" i="2"/>
  <c r="D42" i="2"/>
  <c r="D166" i="2"/>
  <c r="C105" i="2"/>
  <c r="D71" i="2"/>
  <c r="D46" i="2"/>
  <c r="C69" i="2"/>
  <c r="D137" i="2"/>
  <c r="D5" i="2"/>
  <c r="E163" i="2" l="1"/>
  <c r="E140" i="2"/>
  <c r="E76" i="2"/>
  <c r="E166" i="2"/>
  <c r="E165" i="2"/>
  <c r="E164" i="2"/>
  <c r="D98" i="2"/>
  <c r="E29" i="2"/>
  <c r="E89" i="2"/>
  <c r="C93" i="2"/>
  <c r="E84" i="2"/>
  <c r="E148" i="2"/>
  <c r="E123" i="2"/>
  <c r="D120" i="2"/>
  <c r="E159" i="2"/>
  <c r="D151" i="2"/>
  <c r="C135" i="2"/>
  <c r="D92" i="2"/>
  <c r="E13" i="2"/>
  <c r="E137" i="2"/>
  <c r="C132" i="2"/>
  <c r="E149" i="2"/>
  <c r="C23" i="2"/>
  <c r="E14" i="2"/>
  <c r="E79" i="2"/>
  <c r="C161" i="2"/>
  <c r="C156" i="2"/>
  <c r="C125" i="2"/>
  <c r="E114" i="2"/>
  <c r="E99" i="2"/>
  <c r="C71" i="2"/>
  <c r="C137" i="2"/>
  <c r="D132" i="2"/>
  <c r="C36" i="2"/>
  <c r="C128" i="2"/>
  <c r="D101" i="2"/>
  <c r="C124" i="2"/>
  <c r="E35" i="2"/>
  <c r="E144" i="2"/>
  <c r="E143" i="2"/>
  <c r="D147" i="2"/>
  <c r="C123" i="2"/>
  <c r="D100" i="2"/>
  <c r="E156" i="2"/>
  <c r="E145" i="2"/>
  <c r="D30" i="2" l="1"/>
  <c r="E33" i="2"/>
  <c r="D154" i="2"/>
  <c r="C50" i="2"/>
  <c r="D146" i="2"/>
  <c r="D143" i="2"/>
  <c r="C127" i="2"/>
  <c r="C90" i="2"/>
  <c r="C88" i="2"/>
  <c r="C45" i="2"/>
  <c r="E124" i="2"/>
  <c r="E24" i="2"/>
  <c r="C21" i="2"/>
  <c r="E56" i="2"/>
  <c r="E161" i="2"/>
  <c r="C144" i="2"/>
  <c r="E139" i="2"/>
  <c r="E135" i="2"/>
  <c r="E146" i="2"/>
  <c r="C114" i="2"/>
  <c r="D155" i="2"/>
  <c r="D118" i="2"/>
  <c r="E150" i="2"/>
  <c r="E57" i="2"/>
  <c r="D142" i="2"/>
  <c r="E141" i="2"/>
  <c r="C151" i="2"/>
  <c r="C136" i="2"/>
  <c r="D152" i="2"/>
  <c r="C152" i="2" l="1"/>
  <c r="C145" i="2"/>
  <c r="D145" i="2"/>
  <c r="C24" i="2"/>
  <c r="C5" i="2"/>
  <c r="C58" i="2"/>
  <c r="C32" i="2"/>
  <c r="C117" i="2"/>
  <c r="C138" i="2"/>
  <c r="C111" i="2"/>
  <c r="C64" i="2"/>
  <c r="C94" i="2"/>
  <c r="C122" i="2"/>
  <c r="C133" i="2"/>
  <c r="C30" i="2"/>
  <c r="D72" i="2"/>
  <c r="C15" i="2"/>
  <c r="D12" i="2"/>
  <c r="C143" i="2"/>
  <c r="D49" i="2"/>
  <c r="C87" i="2"/>
  <c r="C19" i="2"/>
  <c r="E122" i="2"/>
  <c r="D16" i="2"/>
  <c r="C38" i="2"/>
  <c r="D107" i="2"/>
  <c r="C83" i="2"/>
  <c r="D48" i="2"/>
  <c r="C98" i="2" l="1"/>
  <c r="D114" i="2"/>
  <c r="C82" i="2"/>
  <c r="C109" i="2"/>
  <c r="C49" i="2"/>
  <c r="E5" i="2"/>
  <c r="C31" i="2"/>
  <c r="E49" i="2"/>
  <c r="E16" i="2"/>
  <c r="E125" i="2"/>
  <c r="D38" i="2"/>
  <c r="E82" i="2"/>
  <c r="C33" i="2"/>
  <c r="E42" i="2"/>
  <c r="E130" i="2"/>
  <c r="C16" i="2"/>
  <c r="C26" i="2"/>
  <c r="C25" i="2"/>
  <c r="E83" i="2"/>
  <c r="C84" i="2"/>
  <c r="C106" i="2"/>
  <c r="C42" i="2"/>
  <c r="C72" i="2"/>
  <c r="E53" i="2"/>
  <c r="C67" i="2"/>
  <c r="C44" i="2"/>
  <c r="E142" i="2"/>
  <c r="C14" i="2"/>
  <c r="C85" i="2"/>
  <c r="E58" i="2"/>
  <c r="C59" i="2"/>
  <c r="E32" i="2"/>
  <c r="E23" i="2"/>
  <c r="E64" i="2"/>
  <c r="E34" i="2"/>
  <c r="C95" i="2"/>
  <c r="C57" i="2"/>
  <c r="C118" i="2"/>
  <c r="C75" i="2" l="1"/>
  <c r="D36" i="2"/>
  <c r="D35" i="2"/>
  <c r="D76" i="2"/>
  <c r="D105" i="2"/>
  <c r="E48" i="2"/>
  <c r="C176" i="2"/>
  <c r="D47" i="2"/>
  <c r="C76" i="2"/>
  <c r="D22" i="2"/>
  <c r="C173" i="2"/>
  <c r="C80" i="2"/>
  <c r="C170" i="2"/>
  <c r="C110" i="2"/>
  <c r="C60" i="2"/>
  <c r="D135" i="2"/>
  <c r="D115" i="2"/>
  <c r="E152" i="2"/>
  <c r="D45" i="2"/>
  <c r="E91" i="2"/>
  <c r="D139" i="2"/>
  <c r="C63" i="2"/>
  <c r="D56" i="2"/>
  <c r="C115" i="2"/>
  <c r="D150" i="2"/>
  <c r="E105" i="2"/>
  <c r="C99" i="2"/>
  <c r="E175" i="2"/>
  <c r="D158" i="2"/>
  <c r="C149" i="2"/>
  <c r="C148" i="2"/>
  <c r="C175" i="2"/>
  <c r="D40" i="2"/>
  <c r="D60" i="2"/>
  <c r="C11" i="2"/>
  <c r="C155" i="2"/>
  <c r="C40" i="2"/>
  <c r="E119" i="2"/>
  <c r="C74" i="2"/>
  <c r="D97" i="2"/>
  <c r="B5236" i="1"/>
  <c r="E129" i="2" l="1"/>
  <c r="E153" i="2"/>
  <c r="E118" i="2"/>
  <c r="D174" i="2"/>
  <c r="E176" i="2"/>
  <c r="E11" i="2"/>
  <c r="C35" i="2"/>
  <c r="E173" i="2"/>
  <c r="E160" i="2"/>
  <c r="C162" i="2"/>
  <c r="C91" i="2"/>
  <c r="D129" i="2"/>
  <c r="E162" i="2"/>
  <c r="E4" i="2"/>
  <c r="E154" i="2"/>
  <c r="C157" i="2"/>
  <c r="C169" i="2"/>
  <c r="D119" i="2"/>
  <c r="D131" i="2"/>
  <c r="E174" i="2"/>
  <c r="E40" i="2"/>
  <c r="C177" i="2"/>
  <c r="C154" i="2"/>
  <c r="D136" i="2"/>
  <c r="C166" i="2"/>
  <c r="C86" i="2"/>
  <c r="D176" i="2"/>
  <c r="E45" i="2"/>
  <c r="E71" i="2"/>
  <c r="C159" i="2"/>
  <c r="D170" i="2"/>
  <c r="D91" i="2"/>
  <c r="D160" i="2"/>
  <c r="E158" i="2"/>
  <c r="E131" i="2"/>
  <c r="D20" i="2"/>
  <c r="E177" i="2"/>
  <c r="E86" i="2"/>
  <c r="C172" i="2"/>
  <c r="D157" i="2"/>
  <c r="D161" i="2"/>
  <c r="D141" i="2"/>
  <c r="C171" i="2"/>
  <c r="D171" i="2"/>
  <c r="C153" i="2"/>
  <c r="C158" i="2"/>
  <c r="E157" i="2"/>
  <c r="E136" i="2"/>
  <c r="E170" i="2"/>
  <c r="B5237" i="1"/>
  <c r="P5236" i="1" a="1"/>
  <c r="P5236" i="1" s="1"/>
  <c r="N5236" i="1" a="1"/>
  <c r="N5236" i="1" s="1"/>
  <c r="I5236" i="1" a="1"/>
  <c r="I5236" i="1" s="1"/>
  <c r="Q5236" i="1" a="1"/>
  <c r="Q5236" i="1" s="1"/>
  <c r="M5236" i="1" a="1"/>
  <c r="M5236" i="1" s="1"/>
  <c r="P5237" i="1" l="1" a="1"/>
  <c r="P5237" i="1" s="1"/>
  <c r="M5237" i="1" a="1"/>
  <c r="M5237" i="1" s="1"/>
  <c r="B5238" i="1"/>
  <c r="N5237" i="1" a="1"/>
  <c r="N5237" i="1" s="1"/>
  <c r="Q5237" i="1" a="1"/>
  <c r="Q5237" i="1" s="1"/>
  <c r="Q5238" i="1" l="1" a="1"/>
  <c r="Q5238" i="1" s="1"/>
  <c r="N5238" i="1" a="1"/>
  <c r="N5238" i="1" s="1"/>
  <c r="P5238" i="1" a="1"/>
  <c r="P5238" i="1" s="1"/>
  <c r="M5238" i="1" a="1"/>
  <c r="M5238" i="1" s="1"/>
  <c r="B5239" i="1"/>
  <c r="N5239" i="1" l="1" a="1"/>
  <c r="N5239" i="1" s="1"/>
  <c r="M5239" i="1" a="1"/>
  <c r="M5239" i="1" s="1"/>
  <c r="B5240" i="1"/>
  <c r="P5239" i="1" a="1"/>
  <c r="P5239" i="1" s="1"/>
  <c r="Q5239" i="1" a="1"/>
  <c r="Q5239" i="1" s="1"/>
  <c r="B5241" i="1" l="1"/>
  <c r="Q5240" i="1" a="1"/>
  <c r="Q5240" i="1" s="1"/>
  <c r="N5240" i="1" a="1"/>
  <c r="N5240" i="1" s="1"/>
  <c r="P5240" i="1" a="1"/>
  <c r="P5240" i="1" s="1"/>
  <c r="M5240" i="1" a="1"/>
  <c r="M5240" i="1" s="1"/>
  <c r="N5241" i="1" l="1" a="1"/>
  <c r="N5241" i="1" s="1"/>
  <c r="M5241" i="1" a="1"/>
  <c r="M5241" i="1" s="1"/>
  <c r="P5241" i="1" a="1"/>
  <c r="P5241" i="1" s="1"/>
  <c r="Q5241" i="1" a="1"/>
  <c r="Q5241" i="1" s="1"/>
  <c r="B5242" i="1"/>
  <c r="B5243" i="1" l="1"/>
  <c r="P5242" i="1" a="1"/>
  <c r="P5242" i="1" s="1"/>
  <c r="M5242" i="1" a="1"/>
  <c r="M5242" i="1" s="1"/>
  <c r="N5242" i="1" a="1"/>
  <c r="N5242" i="1" s="1"/>
  <c r="Q5242" i="1" a="1"/>
  <c r="Q5242" i="1" s="1"/>
  <c r="N5243" i="1" l="1" a="1"/>
  <c r="N5243" i="1" s="1"/>
  <c r="P5243" i="1" a="1"/>
  <c r="P5243" i="1" s="1"/>
  <c r="B5244" i="1"/>
  <c r="Q5243" i="1" a="1"/>
  <c r="Q5243" i="1" s="1"/>
  <c r="M5243" i="1" a="1"/>
  <c r="M5243" i="1" s="1"/>
  <c r="B5245" i="1" l="1"/>
  <c r="P5244" i="1" a="1"/>
  <c r="P5244" i="1" s="1"/>
  <c r="N5244" i="1" a="1"/>
  <c r="N5244" i="1" s="1"/>
  <c r="Q5244" i="1" a="1"/>
  <c r="Q5244" i="1" s="1"/>
  <c r="M5244" i="1" a="1"/>
  <c r="M5244" i="1" s="1"/>
  <c r="P5245" i="1" l="1" a="1"/>
  <c r="P5245" i="1" s="1"/>
  <c r="M5245" i="1" a="1"/>
  <c r="M5245" i="1" s="1"/>
  <c r="B5246" i="1"/>
  <c r="Q5245" i="1" a="1"/>
  <c r="Q5245" i="1" s="1"/>
  <c r="N5245" i="1" a="1"/>
  <c r="N5245" i="1" s="1"/>
  <c r="N5246" i="1" l="1" a="1"/>
  <c r="N5246" i="1" s="1"/>
  <c r="B5247" i="1"/>
  <c r="P5246" i="1" a="1"/>
  <c r="P5246" i="1" s="1"/>
  <c r="Q5246" i="1" a="1"/>
  <c r="Q5246" i="1" s="1"/>
  <c r="M5246" i="1" a="1"/>
  <c r="M5246" i="1" s="1"/>
  <c r="B5248" i="1" l="1"/>
  <c r="P5247" i="1" a="1"/>
  <c r="P5247" i="1" s="1"/>
  <c r="Q5247" i="1" a="1"/>
  <c r="Q5247" i="1" s="1"/>
  <c r="M5247" i="1" a="1"/>
  <c r="M5247" i="1" s="1"/>
  <c r="N5247" i="1" a="1"/>
  <c r="N5247" i="1" s="1"/>
  <c r="P5248" i="1" l="1" a="1"/>
  <c r="P5248" i="1" s="1"/>
  <c r="B5249" i="1"/>
  <c r="Q5248" i="1" a="1"/>
  <c r="Q5248" i="1" s="1"/>
  <c r="M5248" i="1" a="1"/>
  <c r="M5248" i="1" s="1"/>
  <c r="N5248" i="1" a="1"/>
  <c r="N5248" i="1" s="1"/>
  <c r="B5250" i="1" l="1"/>
  <c r="N5249" i="1" a="1"/>
  <c r="N5249" i="1" s="1"/>
  <c r="P5249" i="1" a="1"/>
  <c r="P5249" i="1" s="1"/>
  <c r="Q5249" i="1" a="1"/>
  <c r="Q5249" i="1" s="1"/>
  <c r="M5249" i="1" a="1"/>
  <c r="M5249" i="1" s="1"/>
  <c r="P5250" i="1" l="1" a="1"/>
  <c r="P5250" i="1" s="1"/>
  <c r="M5250" i="1" a="1"/>
  <c r="M5250" i="1" s="1"/>
  <c r="N5250" i="1" a="1"/>
  <c r="N5250" i="1" s="1"/>
  <c r="B5251" i="1"/>
  <c r="Q5250" i="1" a="1"/>
  <c r="Q5250" i="1" s="1"/>
  <c r="Q5251" i="1" l="1" a="1"/>
  <c r="Q5251" i="1" s="1"/>
  <c r="N5251" i="1" a="1"/>
  <c r="N5251" i="1" s="1"/>
  <c r="P5251" i="1" a="1"/>
  <c r="P5251" i="1" s="1"/>
  <c r="M5251" i="1" a="1"/>
  <c r="M5251" i="1" s="1"/>
  <c r="B5252" i="1"/>
  <c r="M5252" i="1" l="1" a="1"/>
  <c r="M5252" i="1" s="1"/>
  <c r="N5252" i="1" a="1"/>
  <c r="N5252" i="1" s="1"/>
  <c r="Q5252" i="1" a="1"/>
  <c r="Q5252" i="1" s="1"/>
  <c r="B5253" i="1"/>
  <c r="P5252" i="1" a="1"/>
  <c r="P5252" i="1" s="1"/>
  <c r="B5254" i="1" l="1"/>
  <c r="N5253" i="1" a="1"/>
  <c r="N5253" i="1" s="1"/>
  <c r="Q5253" i="1" a="1"/>
  <c r="Q5253" i="1" s="1"/>
  <c r="P5253" i="1" a="1"/>
  <c r="P5253" i="1" s="1"/>
  <c r="M5253" i="1" a="1"/>
  <c r="M5253" i="1" s="1"/>
  <c r="O5236" i="1" a="1"/>
  <c r="O5236" i="1" s="1"/>
  <c r="L5236" i="1" l="1" a="1"/>
  <c r="L5236" i="1" s="1"/>
  <c r="K5236" i="1" a="1"/>
  <c r="K5236" i="1" s="1"/>
  <c r="Q5254" i="1" a="1"/>
  <c r="Q5254" i="1" s="1"/>
  <c r="B5255" i="1"/>
  <c r="P5254" i="1" a="1"/>
  <c r="P5254" i="1" s="1"/>
  <c r="M5254" i="1" a="1"/>
  <c r="M5254" i="1" s="1"/>
  <c r="N5254" i="1" a="1"/>
  <c r="N5254" i="1" s="1"/>
  <c r="C5237" i="1"/>
  <c r="H5236" i="1"/>
  <c r="J5236" i="1" a="1"/>
  <c r="J5236" i="1" s="1"/>
  <c r="O5237" i="1" l="1" a="1"/>
  <c r="O5237" i="1" s="1"/>
  <c r="I5237" i="1" a="1"/>
  <c r="I5237" i="1" s="1"/>
  <c r="L5237" i="1" a="1"/>
  <c r="L5237" i="1" s="1"/>
  <c r="K5237" i="1" a="1"/>
  <c r="K5237" i="1" s="1"/>
  <c r="P5255" i="1" a="1"/>
  <c r="P5255" i="1" s="1"/>
  <c r="Q5255" i="1" a="1"/>
  <c r="Q5255" i="1" s="1"/>
  <c r="N5255" i="1" a="1"/>
  <c r="N5255" i="1" s="1"/>
  <c r="B5256" i="1"/>
  <c r="M5255" i="1" a="1"/>
  <c r="M5255" i="1" s="1"/>
  <c r="C5238" i="1"/>
  <c r="H5237" i="1"/>
  <c r="J5237" i="1" a="1"/>
  <c r="J5237" i="1" s="1"/>
  <c r="O5238" i="1" l="1" a="1"/>
  <c r="O5238" i="1" s="1"/>
  <c r="I5238" i="1" a="1"/>
  <c r="I5238" i="1" s="1"/>
  <c r="L5238" i="1" a="1"/>
  <c r="L5238" i="1" s="1"/>
  <c r="K5238" i="1" a="1"/>
  <c r="K5238" i="1" s="1"/>
  <c r="N5256" i="1" a="1"/>
  <c r="N5256" i="1" s="1"/>
  <c r="Q5256" i="1" a="1"/>
  <c r="Q5256" i="1" s="1"/>
  <c r="P5256" i="1" a="1"/>
  <c r="P5256" i="1" s="1"/>
  <c r="B5257" i="1"/>
  <c r="M5256" i="1" a="1"/>
  <c r="M5256" i="1" s="1"/>
  <c r="C5239" i="1"/>
  <c r="H5238" i="1"/>
  <c r="J5238" i="1" a="1"/>
  <c r="J5238" i="1" s="1"/>
  <c r="O5239" i="1" l="1" a="1"/>
  <c r="O5239" i="1" s="1"/>
  <c r="I5239" i="1" a="1"/>
  <c r="I5239" i="1" s="1"/>
  <c r="L5239" i="1" a="1"/>
  <c r="L5239" i="1" s="1"/>
  <c r="K5239" i="1" a="1"/>
  <c r="K5239" i="1" s="1"/>
  <c r="Q5257" i="1" a="1"/>
  <c r="Q5257" i="1" s="1"/>
  <c r="N5257" i="1" a="1"/>
  <c r="N5257" i="1" s="1"/>
  <c r="M5257" i="1" a="1"/>
  <c r="M5257" i="1" s="1"/>
  <c r="B5258" i="1"/>
  <c r="P5257" i="1" a="1"/>
  <c r="P5257" i="1" s="1"/>
  <c r="C5240" i="1"/>
  <c r="H5239" i="1"/>
  <c r="J5239" i="1" a="1"/>
  <c r="J5239" i="1" s="1"/>
  <c r="O5240" i="1" l="1" a="1"/>
  <c r="O5240" i="1" s="1"/>
  <c r="I5240" i="1" a="1"/>
  <c r="I5240" i="1" s="1"/>
  <c r="L5240" i="1" a="1"/>
  <c r="L5240" i="1" s="1"/>
  <c r="K5240" i="1" a="1"/>
  <c r="K5240" i="1" s="1"/>
  <c r="Q5258" i="1" a="1"/>
  <c r="Q5258" i="1" s="1"/>
  <c r="B5259" i="1"/>
  <c r="P5258" i="1" a="1"/>
  <c r="P5258" i="1" s="1"/>
  <c r="N5258" i="1" a="1"/>
  <c r="N5258" i="1" s="1"/>
  <c r="M5258" i="1" a="1"/>
  <c r="M5258" i="1" s="1"/>
  <c r="C5241" i="1"/>
  <c r="H5240" i="1"/>
  <c r="J5240" i="1" a="1"/>
  <c r="J5240" i="1" s="1"/>
  <c r="O5241" i="1" l="1" a="1"/>
  <c r="O5241" i="1" s="1"/>
  <c r="I5241" i="1" a="1"/>
  <c r="I5241" i="1" s="1"/>
  <c r="L5241" i="1" a="1"/>
  <c r="L5241" i="1" s="1"/>
  <c r="K5241" i="1" a="1"/>
  <c r="K5241" i="1" s="1"/>
  <c r="B5260" i="1"/>
  <c r="Q5259" i="1" a="1"/>
  <c r="Q5259" i="1" s="1"/>
  <c r="P5259" i="1" a="1"/>
  <c r="P5259" i="1" s="1"/>
  <c r="M5259" i="1" a="1"/>
  <c r="M5259" i="1" s="1"/>
  <c r="N5259" i="1" a="1"/>
  <c r="N5259" i="1" s="1"/>
  <c r="C5242" i="1"/>
  <c r="H5241" i="1"/>
  <c r="J5241" i="1" a="1"/>
  <c r="J5241" i="1" s="1"/>
  <c r="O5242" i="1" l="1" a="1"/>
  <c r="O5242" i="1" s="1"/>
  <c r="I5242" i="1" a="1"/>
  <c r="I5242" i="1" s="1"/>
  <c r="L5242" i="1" a="1"/>
  <c r="L5242" i="1" s="1"/>
  <c r="K5242" i="1" a="1"/>
  <c r="K5242" i="1" s="1"/>
  <c r="Q5260" i="1" a="1"/>
  <c r="Q5260" i="1" s="1"/>
  <c r="B5261" i="1"/>
  <c r="P5260" i="1" a="1"/>
  <c r="P5260" i="1" s="1"/>
  <c r="M5260" i="1" a="1"/>
  <c r="M5260" i="1" s="1"/>
  <c r="N5260" i="1" a="1"/>
  <c r="N5260" i="1" s="1"/>
  <c r="C5243" i="1"/>
  <c r="H5242" i="1"/>
  <c r="J5242" i="1" a="1"/>
  <c r="J5242" i="1" s="1"/>
  <c r="O5243" i="1" l="1" a="1"/>
  <c r="O5243" i="1" s="1"/>
  <c r="I5243" i="1" a="1"/>
  <c r="I5243" i="1" s="1"/>
  <c r="L5243" i="1" a="1"/>
  <c r="L5243" i="1" s="1"/>
  <c r="K5243" i="1" a="1"/>
  <c r="K5243" i="1" s="1"/>
  <c r="B5262" i="1"/>
  <c r="N5261" i="1" a="1"/>
  <c r="N5261" i="1" s="1"/>
  <c r="P5261" i="1" a="1"/>
  <c r="P5261" i="1" s="1"/>
  <c r="M5261" i="1" a="1"/>
  <c r="M5261" i="1" s="1"/>
  <c r="Q5261" i="1" a="1"/>
  <c r="Q5261" i="1" s="1"/>
  <c r="C5244" i="1"/>
  <c r="H5243" i="1"/>
  <c r="J5243" i="1" a="1"/>
  <c r="J5243" i="1" s="1"/>
  <c r="O5244" i="1" l="1" a="1"/>
  <c r="O5244" i="1" s="1"/>
  <c r="I5244" i="1" a="1"/>
  <c r="I5244" i="1" s="1"/>
  <c r="L5244" i="1" a="1"/>
  <c r="L5244" i="1" s="1"/>
  <c r="K5244" i="1" a="1"/>
  <c r="K5244" i="1" s="1"/>
  <c r="P5262" i="1" a="1"/>
  <c r="P5262" i="1" s="1"/>
  <c r="M5262" i="1" a="1"/>
  <c r="M5262" i="1" s="1"/>
  <c r="B5263" i="1"/>
  <c r="Q5262" i="1" a="1"/>
  <c r="Q5262" i="1" s="1"/>
  <c r="N5262" i="1" a="1"/>
  <c r="N5262" i="1" s="1"/>
  <c r="C5245" i="1"/>
  <c r="H5244" i="1"/>
  <c r="J5244" i="1" a="1"/>
  <c r="J5244" i="1" s="1"/>
  <c r="O5245" i="1" l="1" a="1"/>
  <c r="O5245" i="1" s="1"/>
  <c r="I5245" i="1" a="1"/>
  <c r="I5245" i="1" s="1"/>
  <c r="L5245" i="1" a="1"/>
  <c r="L5245" i="1" s="1"/>
  <c r="K5245" i="1" a="1"/>
  <c r="K5245" i="1" s="1"/>
  <c r="B5264" i="1"/>
  <c r="Q5263" i="1" a="1"/>
  <c r="Q5263" i="1" s="1"/>
  <c r="N5263" i="1" a="1"/>
  <c r="N5263" i="1" s="1"/>
  <c r="P5263" i="1" a="1"/>
  <c r="P5263" i="1" s="1"/>
  <c r="M5263" i="1" a="1"/>
  <c r="M5263" i="1" s="1"/>
  <c r="C5246" i="1"/>
  <c r="H5245" i="1"/>
  <c r="J5245" i="1" a="1"/>
  <c r="J5245" i="1" s="1"/>
  <c r="O5246" i="1" l="1" a="1"/>
  <c r="O5246" i="1" s="1"/>
  <c r="I5246" i="1" a="1"/>
  <c r="I5246" i="1" s="1"/>
  <c r="L5246" i="1" a="1"/>
  <c r="L5246" i="1" s="1"/>
  <c r="K5246" i="1" a="1"/>
  <c r="K5246" i="1" s="1"/>
  <c r="N5264" i="1" a="1"/>
  <c r="N5264" i="1" s="1"/>
  <c r="M5264" i="1" a="1"/>
  <c r="M5264" i="1" s="1"/>
  <c r="P5264" i="1" a="1"/>
  <c r="P5264" i="1" s="1"/>
  <c r="Q5264" i="1" a="1"/>
  <c r="Q5264" i="1" s="1"/>
  <c r="B5265" i="1"/>
  <c r="C5247" i="1"/>
  <c r="H5246" i="1"/>
  <c r="J5246" i="1" a="1"/>
  <c r="J5246" i="1" s="1"/>
  <c r="O5247" i="1" l="1" a="1"/>
  <c r="O5247" i="1" s="1"/>
  <c r="I5247" i="1" a="1"/>
  <c r="I5247" i="1" s="1"/>
  <c r="L5247" i="1" a="1"/>
  <c r="L5247" i="1" s="1"/>
  <c r="K5247" i="1" a="1"/>
  <c r="K5247" i="1" s="1"/>
  <c r="Q5265" i="1" a="1"/>
  <c r="Q5265" i="1" s="1"/>
  <c r="N5265" i="1" a="1"/>
  <c r="N5265" i="1" s="1"/>
  <c r="P5265" i="1" a="1"/>
  <c r="P5265" i="1" s="1"/>
  <c r="M5265" i="1" a="1"/>
  <c r="M5265" i="1" s="1"/>
  <c r="B5266" i="1"/>
  <c r="C5248" i="1"/>
  <c r="H5247" i="1"/>
  <c r="J5247" i="1" a="1"/>
  <c r="J5247" i="1" s="1"/>
  <c r="O5248" i="1" l="1" a="1"/>
  <c r="O5248" i="1" s="1"/>
  <c r="I5248" i="1" a="1"/>
  <c r="I5248" i="1" s="1"/>
  <c r="L5248" i="1" a="1"/>
  <c r="L5248" i="1" s="1"/>
  <c r="K5248" i="1" a="1"/>
  <c r="K5248" i="1" s="1"/>
  <c r="M5266" i="1" a="1"/>
  <c r="M5266" i="1" s="1"/>
  <c r="B5267" i="1"/>
  <c r="P5266" i="1" a="1"/>
  <c r="P5266" i="1" s="1"/>
  <c r="Q5266" i="1" a="1"/>
  <c r="Q5266" i="1" s="1"/>
  <c r="N5266" i="1" a="1"/>
  <c r="N5266" i="1" s="1"/>
  <c r="C5249" i="1"/>
  <c r="H5248" i="1"/>
  <c r="J5248" i="1" a="1"/>
  <c r="J5248" i="1" s="1"/>
  <c r="O5249" i="1" l="1" a="1"/>
  <c r="O5249" i="1" s="1"/>
  <c r="I5249" i="1" a="1"/>
  <c r="I5249" i="1" s="1"/>
  <c r="L5249" i="1" a="1"/>
  <c r="L5249" i="1" s="1"/>
  <c r="K5249" i="1" a="1"/>
  <c r="K5249" i="1" s="1"/>
  <c r="P5267" i="1" a="1"/>
  <c r="P5267" i="1" s="1"/>
  <c r="Q5267" i="1" a="1"/>
  <c r="Q5267" i="1" s="1"/>
  <c r="M5267" i="1" a="1"/>
  <c r="M5267" i="1" s="1"/>
  <c r="N5267" i="1" a="1"/>
  <c r="N5267" i="1" s="1"/>
  <c r="B5268" i="1"/>
  <c r="C5250" i="1"/>
  <c r="H5249" i="1"/>
  <c r="J5249" i="1" a="1"/>
  <c r="J5249" i="1" s="1"/>
  <c r="O5250" i="1" l="1" a="1"/>
  <c r="O5250" i="1" s="1"/>
  <c r="I5250" i="1" a="1"/>
  <c r="I5250" i="1" s="1"/>
  <c r="L5250" i="1" a="1"/>
  <c r="L5250" i="1" s="1"/>
  <c r="K5250" i="1" a="1"/>
  <c r="K5250" i="1" s="1"/>
  <c r="B5269" i="1"/>
  <c r="P5268" i="1" a="1"/>
  <c r="P5268" i="1" s="1"/>
  <c r="Q5268" i="1" a="1"/>
  <c r="Q5268" i="1" s="1"/>
  <c r="M5268" i="1" a="1"/>
  <c r="M5268" i="1" s="1"/>
  <c r="N5268" i="1" a="1"/>
  <c r="N5268" i="1" s="1"/>
  <c r="C5251" i="1"/>
  <c r="H5250" i="1"/>
  <c r="J5250" i="1" a="1"/>
  <c r="J5250" i="1" s="1"/>
  <c r="O5251" i="1" l="1" a="1"/>
  <c r="O5251" i="1" s="1"/>
  <c r="I5251" i="1" a="1"/>
  <c r="I5251" i="1" s="1"/>
  <c r="L5251" i="1" a="1"/>
  <c r="L5251" i="1" s="1"/>
  <c r="K5251" i="1" a="1"/>
  <c r="K5251" i="1" s="1"/>
  <c r="N5269" i="1" a="1"/>
  <c r="N5269" i="1" s="1"/>
  <c r="P5269" i="1" a="1"/>
  <c r="P5269" i="1" s="1"/>
  <c r="B5270" i="1"/>
  <c r="M5269" i="1" a="1"/>
  <c r="M5269" i="1" s="1"/>
  <c r="Q5269" i="1" a="1"/>
  <c r="Q5269" i="1" s="1"/>
  <c r="C5252" i="1"/>
  <c r="H5251" i="1"/>
  <c r="J5251" i="1" a="1"/>
  <c r="J5251" i="1" s="1"/>
  <c r="O5252" i="1" l="1" a="1"/>
  <c r="O5252" i="1" s="1"/>
  <c r="I5252" i="1" a="1"/>
  <c r="I5252" i="1" s="1"/>
  <c r="L5252" i="1" a="1"/>
  <c r="L5252" i="1" s="1"/>
  <c r="K5252" i="1" a="1"/>
  <c r="K5252" i="1" s="1"/>
  <c r="N5270" i="1" a="1"/>
  <c r="N5270" i="1" s="1"/>
  <c r="B5271" i="1"/>
  <c r="P5270" i="1" a="1"/>
  <c r="P5270" i="1" s="1"/>
  <c r="M5270" i="1" a="1"/>
  <c r="M5270" i="1" s="1"/>
  <c r="Q5270" i="1" a="1"/>
  <c r="Q5270" i="1" s="1"/>
  <c r="C5253" i="1"/>
  <c r="H5252" i="1"/>
  <c r="J5252" i="1" a="1"/>
  <c r="J5252" i="1" s="1"/>
  <c r="O5253" i="1" l="1" a="1"/>
  <c r="O5253" i="1" s="1"/>
  <c r="I5253" i="1" a="1"/>
  <c r="I5253" i="1" s="1"/>
  <c r="L5253" i="1" a="1"/>
  <c r="L5253" i="1" s="1"/>
  <c r="K5253" i="1" a="1"/>
  <c r="K5253" i="1" s="1"/>
  <c r="Q5271" i="1" a="1"/>
  <c r="Q5271" i="1" s="1"/>
  <c r="N5271" i="1" a="1"/>
  <c r="N5271" i="1" s="1"/>
  <c r="P5271" i="1" a="1"/>
  <c r="P5271" i="1" s="1"/>
  <c r="M5271" i="1" a="1"/>
  <c r="M5271" i="1" s="1"/>
  <c r="B5272" i="1"/>
  <c r="C5254" i="1"/>
  <c r="H5253" i="1"/>
  <c r="J5253" i="1" a="1"/>
  <c r="J5253" i="1" s="1"/>
  <c r="O5254" i="1" l="1" a="1"/>
  <c r="O5254" i="1" s="1"/>
  <c r="I5254" i="1" a="1"/>
  <c r="I5254" i="1" s="1"/>
  <c r="L5254" i="1" a="1"/>
  <c r="L5254" i="1" s="1"/>
  <c r="K5254" i="1" a="1"/>
  <c r="K5254" i="1" s="1"/>
  <c r="B5273" i="1"/>
  <c r="Q5272" i="1" a="1"/>
  <c r="Q5272" i="1" s="1"/>
  <c r="P5272" i="1" a="1"/>
  <c r="P5272" i="1" s="1"/>
  <c r="M5272" i="1" a="1"/>
  <c r="M5272" i="1" s="1"/>
  <c r="N5272" i="1" a="1"/>
  <c r="N5272" i="1" s="1"/>
  <c r="C5255" i="1"/>
  <c r="H5254" i="1"/>
  <c r="J5254" i="1" a="1"/>
  <c r="J5254" i="1" s="1"/>
  <c r="O5255" i="1" l="1" a="1"/>
  <c r="O5255" i="1" s="1"/>
  <c r="I5255" i="1" a="1"/>
  <c r="I5255" i="1" s="1"/>
  <c r="L5255" i="1" a="1"/>
  <c r="L5255" i="1" s="1"/>
  <c r="K5255" i="1" a="1"/>
  <c r="K5255" i="1" s="1"/>
  <c r="B5274" i="1"/>
  <c r="P5273" i="1" a="1"/>
  <c r="P5273" i="1" s="1"/>
  <c r="M5273" i="1" a="1"/>
  <c r="M5273" i="1" s="1"/>
  <c r="Q5273" i="1" a="1"/>
  <c r="Q5273" i="1" s="1"/>
  <c r="N5273" i="1" a="1"/>
  <c r="N5273" i="1" s="1"/>
  <c r="C5256" i="1"/>
  <c r="H5255" i="1"/>
  <c r="J5255" i="1" a="1"/>
  <c r="J5255" i="1" s="1"/>
  <c r="O5256" i="1" l="1" a="1"/>
  <c r="O5256" i="1" s="1"/>
  <c r="I5256" i="1" a="1"/>
  <c r="I5256" i="1" s="1"/>
  <c r="L5256" i="1" a="1"/>
  <c r="L5256" i="1" s="1"/>
  <c r="K5256" i="1" a="1"/>
  <c r="K5256" i="1" s="1"/>
  <c r="N5274" i="1" a="1"/>
  <c r="N5274" i="1" s="1"/>
  <c r="M5274" i="1" a="1"/>
  <c r="M5274" i="1" s="1"/>
  <c r="B5275" i="1"/>
  <c r="P5274" i="1" a="1"/>
  <c r="P5274" i="1" s="1"/>
  <c r="Q5274" i="1" a="1"/>
  <c r="Q5274" i="1" s="1"/>
  <c r="C5257" i="1"/>
  <c r="H5256" i="1"/>
  <c r="J5256" i="1" a="1"/>
  <c r="J5256" i="1" s="1"/>
  <c r="O5257" i="1" l="1" a="1"/>
  <c r="O5257" i="1" s="1"/>
  <c r="I5257" i="1" a="1"/>
  <c r="I5257" i="1" s="1"/>
  <c r="L5257" i="1" a="1"/>
  <c r="L5257" i="1" s="1"/>
  <c r="K5257" i="1" a="1"/>
  <c r="K5257" i="1" s="1"/>
  <c r="B5276" i="1"/>
  <c r="N5275" i="1" a="1"/>
  <c r="N5275" i="1" s="1"/>
  <c r="P5275" i="1" a="1"/>
  <c r="P5275" i="1" s="1"/>
  <c r="Q5275" i="1" a="1"/>
  <c r="Q5275" i="1" s="1"/>
  <c r="M5275" i="1" a="1"/>
  <c r="M5275" i="1" s="1"/>
  <c r="C5258" i="1"/>
  <c r="H5257" i="1"/>
  <c r="J5257" i="1" a="1"/>
  <c r="J5257" i="1" s="1"/>
  <c r="O5258" i="1" l="1" a="1"/>
  <c r="O5258" i="1" s="1"/>
  <c r="I5258" i="1" a="1"/>
  <c r="I5258" i="1" s="1"/>
  <c r="L5258" i="1" a="1"/>
  <c r="L5258" i="1" s="1"/>
  <c r="K5258" i="1" a="1"/>
  <c r="K5258" i="1" s="1"/>
  <c r="P5276" i="1" a="1"/>
  <c r="P5276" i="1" s="1"/>
  <c r="N5276" i="1" a="1"/>
  <c r="N5276" i="1" s="1"/>
  <c r="B5277" i="1"/>
  <c r="Q5276" i="1" a="1"/>
  <c r="Q5276" i="1" s="1"/>
  <c r="M5276" i="1" a="1"/>
  <c r="M5276" i="1" s="1"/>
  <c r="C5259" i="1"/>
  <c r="H5258" i="1"/>
  <c r="J5258" i="1" a="1"/>
  <c r="J5258" i="1" s="1"/>
  <c r="O5259" i="1" l="1" a="1"/>
  <c r="O5259" i="1" s="1"/>
  <c r="I5259" i="1" a="1"/>
  <c r="I5259" i="1" s="1"/>
  <c r="L5259" i="1" a="1"/>
  <c r="L5259" i="1" s="1"/>
  <c r="K5259" i="1" a="1"/>
  <c r="K5259" i="1" s="1"/>
  <c r="Q5277" i="1" a="1"/>
  <c r="Q5277" i="1" s="1"/>
  <c r="N5277" i="1" a="1"/>
  <c r="N5277" i="1" s="1"/>
  <c r="M5277" i="1" a="1"/>
  <c r="M5277" i="1" s="1"/>
  <c r="B5278" i="1"/>
  <c r="P5277" i="1" a="1"/>
  <c r="P5277" i="1" s="1"/>
  <c r="C5260" i="1"/>
  <c r="H5259" i="1"/>
  <c r="J5259" i="1" a="1"/>
  <c r="J5259" i="1" s="1"/>
  <c r="O5260" i="1" l="1" a="1"/>
  <c r="O5260" i="1" s="1"/>
  <c r="I5260" i="1" a="1"/>
  <c r="I5260" i="1" s="1"/>
  <c r="L5260" i="1" a="1"/>
  <c r="L5260" i="1" s="1"/>
  <c r="K5260" i="1" a="1"/>
  <c r="K5260" i="1" s="1"/>
  <c r="M5278" i="1" a="1"/>
  <c r="M5278" i="1" s="1"/>
  <c r="B5279" i="1"/>
  <c r="P5278" i="1" a="1"/>
  <c r="P5278" i="1" s="1"/>
  <c r="Q5278" i="1" a="1"/>
  <c r="Q5278" i="1" s="1"/>
  <c r="N5278" i="1" a="1"/>
  <c r="N5278" i="1" s="1"/>
  <c r="C5261" i="1"/>
  <c r="H5260" i="1"/>
  <c r="J5260" i="1" a="1"/>
  <c r="J5260" i="1" s="1"/>
  <c r="O5261" i="1" l="1" a="1"/>
  <c r="O5261" i="1" s="1"/>
  <c r="I5261" i="1" a="1"/>
  <c r="I5261" i="1" s="1"/>
  <c r="L5261" i="1" a="1"/>
  <c r="L5261" i="1" s="1"/>
  <c r="K5261" i="1" a="1"/>
  <c r="K5261" i="1" s="1"/>
  <c r="B5280" i="1"/>
  <c r="Q5279" i="1" a="1"/>
  <c r="Q5279" i="1" s="1"/>
  <c r="M5279" i="1" a="1"/>
  <c r="M5279" i="1" s="1"/>
  <c r="P5279" i="1" a="1"/>
  <c r="P5279" i="1" s="1"/>
  <c r="N5279" i="1" a="1"/>
  <c r="N5279" i="1" s="1"/>
  <c r="C5262" i="1"/>
  <c r="H5261" i="1"/>
  <c r="J5261" i="1" a="1"/>
  <c r="J5261" i="1" s="1"/>
  <c r="O5262" i="1" l="1" a="1"/>
  <c r="O5262" i="1" s="1"/>
  <c r="I5262" i="1" a="1"/>
  <c r="I5262" i="1" s="1"/>
  <c r="L5262" i="1" a="1"/>
  <c r="L5262" i="1" s="1"/>
  <c r="K5262" i="1" a="1"/>
  <c r="K5262" i="1" s="1"/>
  <c r="N5280" i="1" a="1"/>
  <c r="N5280" i="1" s="1"/>
  <c r="M5280" i="1" a="1"/>
  <c r="M5280" i="1" s="1"/>
  <c r="B5281" i="1"/>
  <c r="Q5280" i="1" a="1"/>
  <c r="Q5280" i="1" s="1"/>
  <c r="P5280" i="1" a="1"/>
  <c r="P5280" i="1" s="1"/>
  <c r="C5263" i="1"/>
  <c r="H5262" i="1"/>
  <c r="J5262" i="1" a="1"/>
  <c r="J5262" i="1" s="1"/>
  <c r="O5263" i="1" l="1" a="1"/>
  <c r="O5263" i="1" s="1"/>
  <c r="I5263" i="1" a="1"/>
  <c r="I5263" i="1" s="1"/>
  <c r="L5263" i="1" a="1"/>
  <c r="L5263" i="1" s="1"/>
  <c r="K5263" i="1" a="1"/>
  <c r="K5263" i="1" s="1"/>
  <c r="M5281" i="1" a="1"/>
  <c r="M5281" i="1" s="1"/>
  <c r="Q5281" i="1" a="1"/>
  <c r="Q5281" i="1" s="1"/>
  <c r="N5281" i="1" a="1"/>
  <c r="N5281" i="1" s="1"/>
  <c r="B5282" i="1"/>
  <c r="P5281" i="1" a="1"/>
  <c r="P5281" i="1" s="1"/>
  <c r="C5264" i="1"/>
  <c r="H5263" i="1"/>
  <c r="J5263" i="1" a="1"/>
  <c r="J5263" i="1" s="1"/>
  <c r="O5264" i="1" l="1" a="1"/>
  <c r="O5264" i="1" s="1"/>
  <c r="I5264" i="1" a="1"/>
  <c r="I5264" i="1" s="1"/>
  <c r="L5264" i="1" a="1"/>
  <c r="L5264" i="1" s="1"/>
  <c r="K5264" i="1" a="1"/>
  <c r="K5264" i="1" s="1"/>
  <c r="N5282" i="1" a="1"/>
  <c r="N5282" i="1" s="1"/>
  <c r="Q5282" i="1" a="1"/>
  <c r="Q5282" i="1" s="1"/>
  <c r="B5283" i="1"/>
  <c r="M5282" i="1" a="1"/>
  <c r="M5282" i="1" s="1"/>
  <c r="P5282" i="1" a="1"/>
  <c r="P5282" i="1" s="1"/>
  <c r="C5265" i="1"/>
  <c r="H5264" i="1"/>
  <c r="J5264" i="1" a="1"/>
  <c r="J5264" i="1" s="1"/>
  <c r="O5265" i="1" l="1" a="1"/>
  <c r="O5265" i="1" s="1"/>
  <c r="I5265" i="1" a="1"/>
  <c r="I5265" i="1" s="1"/>
  <c r="L5265" i="1" a="1"/>
  <c r="L5265" i="1" s="1"/>
  <c r="K5265" i="1" a="1"/>
  <c r="K5265" i="1" s="1"/>
  <c r="B5284" i="1"/>
  <c r="M5283" i="1" a="1"/>
  <c r="M5283" i="1" s="1"/>
  <c r="P5283" i="1" a="1"/>
  <c r="P5283" i="1" s="1"/>
  <c r="Q5283" i="1" a="1"/>
  <c r="Q5283" i="1" s="1"/>
  <c r="N5283" i="1" a="1"/>
  <c r="N5283" i="1" s="1"/>
  <c r="C5266" i="1"/>
  <c r="H5265" i="1"/>
  <c r="J5265" i="1" a="1"/>
  <c r="J5265" i="1" s="1"/>
  <c r="O5266" i="1" l="1" a="1"/>
  <c r="O5266" i="1" s="1"/>
  <c r="I5266" i="1" a="1"/>
  <c r="I5266" i="1" s="1"/>
  <c r="L5266" i="1" a="1"/>
  <c r="L5266" i="1" s="1"/>
  <c r="K5266" i="1" a="1"/>
  <c r="K5266" i="1" s="1"/>
  <c r="M5284" i="1" a="1"/>
  <c r="M5284" i="1" s="1"/>
  <c r="P5284" i="1" a="1"/>
  <c r="P5284" i="1" s="1"/>
  <c r="B5285" i="1"/>
  <c r="Q5284" i="1" a="1"/>
  <c r="Q5284" i="1" s="1"/>
  <c r="N5284" i="1" a="1"/>
  <c r="N5284" i="1" s="1"/>
  <c r="C5267" i="1"/>
  <c r="H5266" i="1"/>
  <c r="J5266" i="1" a="1"/>
  <c r="J5266" i="1" s="1"/>
  <c r="O5267" i="1" l="1" a="1"/>
  <c r="O5267" i="1" s="1"/>
  <c r="I5267" i="1" a="1"/>
  <c r="I5267" i="1" s="1"/>
  <c r="L5267" i="1" a="1"/>
  <c r="L5267" i="1" s="1"/>
  <c r="K5267" i="1" a="1"/>
  <c r="K5267" i="1" s="1"/>
  <c r="Q5285" i="1" a="1"/>
  <c r="Q5285" i="1" s="1"/>
  <c r="B5286" i="1"/>
  <c r="M5285" i="1" a="1"/>
  <c r="M5285" i="1" s="1"/>
  <c r="N5285" i="1" a="1"/>
  <c r="N5285" i="1" s="1"/>
  <c r="P5285" i="1" a="1"/>
  <c r="P5285" i="1" s="1"/>
  <c r="C5268" i="1"/>
  <c r="H5267" i="1"/>
  <c r="J5267" i="1" a="1"/>
  <c r="J5267" i="1" s="1"/>
  <c r="O5268" i="1" l="1" a="1"/>
  <c r="O5268" i="1" s="1"/>
  <c r="I5268" i="1" a="1"/>
  <c r="I5268" i="1" s="1"/>
  <c r="L5268" i="1" a="1"/>
  <c r="L5268" i="1" s="1"/>
  <c r="K5268" i="1" a="1"/>
  <c r="K5268" i="1" s="1"/>
  <c r="B5287" i="1"/>
  <c r="N5286" i="1" a="1"/>
  <c r="N5286" i="1" s="1"/>
  <c r="P5286" i="1" a="1"/>
  <c r="P5286" i="1" s="1"/>
  <c r="M5286" i="1" a="1"/>
  <c r="M5286" i="1" s="1"/>
  <c r="Q5286" i="1" a="1"/>
  <c r="Q5286" i="1" s="1"/>
  <c r="C5269" i="1"/>
  <c r="H5268" i="1"/>
  <c r="J5268" i="1" a="1"/>
  <c r="J5268" i="1" s="1"/>
  <c r="O5269" i="1" l="1" a="1"/>
  <c r="O5269" i="1" s="1"/>
  <c r="I5269" i="1" a="1"/>
  <c r="I5269" i="1" s="1"/>
  <c r="L5269" i="1" a="1"/>
  <c r="L5269" i="1" s="1"/>
  <c r="K5269" i="1" a="1"/>
  <c r="K5269" i="1" s="1"/>
  <c r="B5288" i="1"/>
  <c r="P5287" i="1" a="1"/>
  <c r="P5287" i="1" s="1"/>
  <c r="Q5287" i="1" a="1"/>
  <c r="Q5287" i="1" s="1"/>
  <c r="M5287" i="1" a="1"/>
  <c r="M5287" i="1" s="1"/>
  <c r="N5287" i="1" a="1"/>
  <c r="N5287" i="1" s="1"/>
  <c r="C5270" i="1"/>
  <c r="H5269" i="1"/>
  <c r="J5269" i="1" a="1"/>
  <c r="J5269" i="1" s="1"/>
  <c r="O5270" i="1" l="1" a="1"/>
  <c r="O5270" i="1" s="1"/>
  <c r="I5270" i="1" a="1"/>
  <c r="I5270" i="1" s="1"/>
  <c r="L5270" i="1" a="1"/>
  <c r="L5270" i="1" s="1"/>
  <c r="K5270" i="1" a="1"/>
  <c r="K5270" i="1" s="1"/>
  <c r="N5288" i="1" a="1"/>
  <c r="N5288" i="1" s="1"/>
  <c r="P5288" i="1" a="1"/>
  <c r="P5288" i="1" s="1"/>
  <c r="Q5288" i="1" a="1"/>
  <c r="Q5288" i="1" s="1"/>
  <c r="M5288" i="1" a="1"/>
  <c r="M5288" i="1" s="1"/>
  <c r="B5289" i="1"/>
  <c r="C5271" i="1"/>
  <c r="H5270" i="1"/>
  <c r="J5270" i="1" a="1"/>
  <c r="J5270" i="1" s="1"/>
  <c r="O5271" i="1" l="1" a="1"/>
  <c r="O5271" i="1" s="1"/>
  <c r="I5271" i="1" a="1"/>
  <c r="I5271" i="1" s="1"/>
  <c r="L5271" i="1" a="1"/>
  <c r="L5271" i="1" s="1"/>
  <c r="K5271" i="1" a="1"/>
  <c r="K5271" i="1" s="1"/>
  <c r="Q5289" i="1" a="1"/>
  <c r="Q5289" i="1" s="1"/>
  <c r="B5290" i="1"/>
  <c r="P5289" i="1" a="1"/>
  <c r="P5289" i="1" s="1"/>
  <c r="M5289" i="1" a="1"/>
  <c r="M5289" i="1" s="1"/>
  <c r="N5289" i="1" a="1"/>
  <c r="N5289" i="1" s="1"/>
  <c r="C5272" i="1"/>
  <c r="H5271" i="1"/>
  <c r="J5271" i="1" a="1"/>
  <c r="J5271" i="1" s="1"/>
  <c r="O5272" i="1" l="1" a="1"/>
  <c r="O5272" i="1" s="1"/>
  <c r="I5272" i="1" a="1"/>
  <c r="I5272" i="1" s="1"/>
  <c r="L5272" i="1" a="1"/>
  <c r="L5272" i="1" s="1"/>
  <c r="K5272" i="1" a="1"/>
  <c r="K5272" i="1" s="1"/>
  <c r="Q5290" i="1" a="1"/>
  <c r="Q5290" i="1" s="1"/>
  <c r="M5290" i="1" a="1"/>
  <c r="M5290" i="1" s="1"/>
  <c r="P5290" i="1" a="1"/>
  <c r="P5290" i="1" s="1"/>
  <c r="B5291" i="1"/>
  <c r="N5290" i="1" a="1"/>
  <c r="N5290" i="1" s="1"/>
  <c r="C5273" i="1"/>
  <c r="H5272" i="1"/>
  <c r="J5272" i="1" a="1"/>
  <c r="J5272" i="1" s="1"/>
  <c r="O5273" i="1" l="1" a="1"/>
  <c r="O5273" i="1" s="1"/>
  <c r="I5273" i="1" a="1"/>
  <c r="I5273" i="1" s="1"/>
  <c r="L5273" i="1" a="1"/>
  <c r="L5273" i="1" s="1"/>
  <c r="K5273" i="1" a="1"/>
  <c r="K5273" i="1" s="1"/>
  <c r="B5292" i="1"/>
  <c r="M5291" i="1" a="1"/>
  <c r="M5291" i="1" s="1"/>
  <c r="N5291" i="1" a="1"/>
  <c r="N5291" i="1" s="1"/>
  <c r="P5291" i="1" a="1"/>
  <c r="P5291" i="1" s="1"/>
  <c r="Q5291" i="1" a="1"/>
  <c r="Q5291" i="1" s="1"/>
  <c r="C5274" i="1"/>
  <c r="H5273" i="1"/>
  <c r="J5273" i="1" a="1"/>
  <c r="J5273" i="1" s="1"/>
  <c r="O5274" i="1" l="1" a="1"/>
  <c r="O5274" i="1" s="1"/>
  <c r="I5274" i="1" a="1"/>
  <c r="I5274" i="1" s="1"/>
  <c r="L5274" i="1" a="1"/>
  <c r="L5274" i="1" s="1"/>
  <c r="K5274" i="1" a="1"/>
  <c r="K5274" i="1" s="1"/>
  <c r="N5292" i="1" a="1"/>
  <c r="N5292" i="1" s="1"/>
  <c r="B5293" i="1"/>
  <c r="Q5292" i="1" a="1"/>
  <c r="Q5292" i="1" s="1"/>
  <c r="M5292" i="1" a="1"/>
  <c r="M5292" i="1" s="1"/>
  <c r="P5292" i="1" a="1"/>
  <c r="P5292" i="1" s="1"/>
  <c r="C5275" i="1"/>
  <c r="H5274" i="1"/>
  <c r="J5274" i="1" a="1"/>
  <c r="J5274" i="1" s="1"/>
  <c r="O5275" i="1" l="1" a="1"/>
  <c r="O5275" i="1" s="1"/>
  <c r="I5275" i="1" a="1"/>
  <c r="I5275" i="1" s="1"/>
  <c r="L5275" i="1" a="1"/>
  <c r="L5275" i="1" s="1"/>
  <c r="K5275" i="1" a="1"/>
  <c r="K5275" i="1" s="1"/>
  <c r="P5293" i="1" a="1"/>
  <c r="P5293" i="1" s="1"/>
  <c r="M5293" i="1" a="1"/>
  <c r="M5293" i="1" s="1"/>
  <c r="N5293" i="1" a="1"/>
  <c r="N5293" i="1" s="1"/>
  <c r="Q5293" i="1" a="1"/>
  <c r="Q5293" i="1" s="1"/>
  <c r="B5294" i="1"/>
  <c r="C5276" i="1"/>
  <c r="H5275" i="1"/>
  <c r="J5275" i="1" a="1"/>
  <c r="J5275" i="1" s="1"/>
  <c r="O5276" i="1" l="1" a="1"/>
  <c r="O5276" i="1" s="1"/>
  <c r="I5276" i="1" a="1"/>
  <c r="I5276" i="1" s="1"/>
  <c r="L5276" i="1" a="1"/>
  <c r="L5276" i="1" s="1"/>
  <c r="K5276" i="1" a="1"/>
  <c r="K5276" i="1" s="1"/>
  <c r="Q5294" i="1" a="1"/>
  <c r="Q5294" i="1" s="1"/>
  <c r="N5294" i="1" a="1"/>
  <c r="N5294" i="1" s="1"/>
  <c r="B5295" i="1"/>
  <c r="M5294" i="1" a="1"/>
  <c r="M5294" i="1" s="1"/>
  <c r="P5294" i="1" a="1"/>
  <c r="P5294" i="1" s="1"/>
  <c r="C5277" i="1"/>
  <c r="H5276" i="1"/>
  <c r="J5276" i="1" a="1"/>
  <c r="J5276" i="1" s="1"/>
  <c r="O5277" i="1" l="1" a="1"/>
  <c r="O5277" i="1" s="1"/>
  <c r="I5277" i="1" a="1"/>
  <c r="I5277" i="1" s="1"/>
  <c r="L5277" i="1" a="1"/>
  <c r="L5277" i="1" s="1"/>
  <c r="K5277" i="1" a="1"/>
  <c r="K5277" i="1" s="1"/>
  <c r="M5295" i="1" a="1"/>
  <c r="M5295" i="1" s="1"/>
  <c r="P5295" i="1" a="1"/>
  <c r="P5295" i="1" s="1"/>
  <c r="N5295" i="1" a="1"/>
  <c r="N5295" i="1" s="1"/>
  <c r="B5296" i="1"/>
  <c r="Q5295" i="1" a="1"/>
  <c r="Q5295" i="1" s="1"/>
  <c r="C5278" i="1"/>
  <c r="H5277" i="1"/>
  <c r="J5277" i="1" a="1"/>
  <c r="J5277" i="1" s="1"/>
  <c r="O5278" i="1" l="1" a="1"/>
  <c r="O5278" i="1" s="1"/>
  <c r="I5278" i="1" a="1"/>
  <c r="I5278" i="1" s="1"/>
  <c r="L5278" i="1" a="1"/>
  <c r="L5278" i="1" s="1"/>
  <c r="K5278" i="1" a="1"/>
  <c r="K5278" i="1" s="1"/>
  <c r="P5296" i="1" a="1"/>
  <c r="P5296" i="1" s="1"/>
  <c r="B5297" i="1"/>
  <c r="N5296" i="1" a="1"/>
  <c r="N5296" i="1" s="1"/>
  <c r="Q5296" i="1" a="1"/>
  <c r="Q5296" i="1" s="1"/>
  <c r="M5296" i="1" a="1"/>
  <c r="M5296" i="1" s="1"/>
  <c r="C5279" i="1"/>
  <c r="H5278" i="1"/>
  <c r="J5278" i="1" a="1"/>
  <c r="J5278" i="1" s="1"/>
  <c r="O5279" i="1" l="1" a="1"/>
  <c r="O5279" i="1" s="1"/>
  <c r="I5279" i="1" a="1"/>
  <c r="I5279" i="1" s="1"/>
  <c r="L5279" i="1" a="1"/>
  <c r="L5279" i="1" s="1"/>
  <c r="K5279" i="1" a="1"/>
  <c r="K5279" i="1" s="1"/>
  <c r="N5297" i="1" a="1"/>
  <c r="N5297" i="1" s="1"/>
  <c r="B5298" i="1"/>
  <c r="Q5297" i="1" a="1"/>
  <c r="Q5297" i="1" s="1"/>
  <c r="P5297" i="1" a="1"/>
  <c r="P5297" i="1" s="1"/>
  <c r="M5297" i="1" a="1"/>
  <c r="M5297" i="1" s="1"/>
  <c r="C5280" i="1"/>
  <c r="H5279" i="1"/>
  <c r="J5279" i="1" a="1"/>
  <c r="J5279" i="1" s="1"/>
  <c r="O5280" i="1" l="1" a="1"/>
  <c r="O5280" i="1" s="1"/>
  <c r="I5280" i="1" a="1"/>
  <c r="I5280" i="1" s="1"/>
  <c r="L5280" i="1" a="1"/>
  <c r="L5280" i="1" s="1"/>
  <c r="K5280" i="1" a="1"/>
  <c r="K5280" i="1" s="1"/>
  <c r="N5298" i="1" a="1"/>
  <c r="N5298" i="1" s="1"/>
  <c r="P5298" i="1" a="1"/>
  <c r="P5298" i="1" s="1"/>
  <c r="M5298" i="1" a="1"/>
  <c r="M5298" i="1" s="1"/>
  <c r="B5299" i="1"/>
  <c r="Q5298" i="1" a="1"/>
  <c r="Q5298" i="1" s="1"/>
  <c r="C5281" i="1"/>
  <c r="H5280" i="1"/>
  <c r="J5280" i="1" a="1"/>
  <c r="J5280" i="1" s="1"/>
  <c r="O5281" i="1" l="1" a="1"/>
  <c r="O5281" i="1" s="1"/>
  <c r="I5281" i="1" a="1"/>
  <c r="I5281" i="1" s="1"/>
  <c r="L5281" i="1" a="1"/>
  <c r="L5281" i="1" s="1"/>
  <c r="K5281" i="1" a="1"/>
  <c r="K5281" i="1" s="1"/>
  <c r="Q5299" i="1" a="1"/>
  <c r="Q5299" i="1" s="1"/>
  <c r="N5299" i="1" a="1"/>
  <c r="N5299" i="1" s="1"/>
  <c r="B5300" i="1"/>
  <c r="M5299" i="1" a="1"/>
  <c r="M5299" i="1" s="1"/>
  <c r="P5299" i="1" a="1"/>
  <c r="P5299" i="1" s="1"/>
  <c r="C5282" i="1"/>
  <c r="H5281" i="1"/>
  <c r="J5281" i="1" a="1"/>
  <c r="J5281" i="1" s="1"/>
  <c r="O5282" i="1" l="1" a="1"/>
  <c r="O5282" i="1" s="1"/>
  <c r="I5282" i="1" a="1"/>
  <c r="I5282" i="1" s="1"/>
  <c r="L5282" i="1" a="1"/>
  <c r="L5282" i="1" s="1"/>
  <c r="K5282" i="1" a="1"/>
  <c r="K5282" i="1" s="1"/>
  <c r="N5300" i="1" a="1"/>
  <c r="N5300" i="1" s="1"/>
  <c r="P5300" i="1" a="1"/>
  <c r="P5300" i="1" s="1"/>
  <c r="Q5300" i="1" a="1"/>
  <c r="Q5300" i="1" s="1"/>
  <c r="B5301" i="1"/>
  <c r="M5300" i="1" a="1"/>
  <c r="M5300" i="1" s="1"/>
  <c r="C5283" i="1"/>
  <c r="H5282" i="1"/>
  <c r="J5282" i="1" a="1"/>
  <c r="J5282" i="1" s="1"/>
  <c r="O5283" i="1" l="1" a="1"/>
  <c r="O5283" i="1" s="1"/>
  <c r="I5283" i="1" a="1"/>
  <c r="I5283" i="1" s="1"/>
  <c r="L5283" i="1" a="1"/>
  <c r="L5283" i="1" s="1"/>
  <c r="K5283" i="1" a="1"/>
  <c r="K5283" i="1" s="1"/>
  <c r="M5301" i="1" a="1"/>
  <c r="M5301" i="1" s="1"/>
  <c r="P5301" i="1" a="1"/>
  <c r="P5301" i="1" s="1"/>
  <c r="Q5301" i="1" a="1"/>
  <c r="Q5301" i="1" s="1"/>
  <c r="N5301" i="1" a="1"/>
  <c r="N5301" i="1" s="1"/>
  <c r="B5302" i="1"/>
  <c r="C5284" i="1"/>
  <c r="H5283" i="1"/>
  <c r="J5283" i="1" a="1"/>
  <c r="J5283" i="1" s="1"/>
  <c r="O5284" i="1" l="1" a="1"/>
  <c r="O5284" i="1" s="1"/>
  <c r="I5284" i="1" a="1"/>
  <c r="I5284" i="1" s="1"/>
  <c r="L5284" i="1" a="1"/>
  <c r="L5284" i="1" s="1"/>
  <c r="K5284" i="1" a="1"/>
  <c r="K5284" i="1" s="1"/>
  <c r="N5302" i="1" a="1"/>
  <c r="N5302" i="1" s="1"/>
  <c r="P5302" i="1" a="1"/>
  <c r="P5302" i="1" s="1"/>
  <c r="M5302" i="1" a="1"/>
  <c r="M5302" i="1" s="1"/>
  <c r="Q5302" i="1" a="1"/>
  <c r="Q5302" i="1" s="1"/>
  <c r="B5303" i="1"/>
  <c r="C5285" i="1"/>
  <c r="H5284" i="1"/>
  <c r="J5284" i="1" a="1"/>
  <c r="J5284" i="1" s="1"/>
  <c r="O5285" i="1" l="1" a="1"/>
  <c r="O5285" i="1" s="1"/>
  <c r="I5285" i="1" a="1"/>
  <c r="I5285" i="1" s="1"/>
  <c r="L5285" i="1" a="1"/>
  <c r="L5285" i="1" s="1"/>
  <c r="K5285" i="1" a="1"/>
  <c r="K5285" i="1" s="1"/>
  <c r="Q5303" i="1" a="1"/>
  <c r="Q5303" i="1" s="1"/>
  <c r="N5303" i="1" a="1"/>
  <c r="N5303" i="1" s="1"/>
  <c r="B5304" i="1"/>
  <c r="P5303" i="1" a="1"/>
  <c r="P5303" i="1" s="1"/>
  <c r="M5303" i="1" a="1"/>
  <c r="M5303" i="1" s="1"/>
  <c r="C5286" i="1"/>
  <c r="H5285" i="1"/>
  <c r="J5285" i="1" a="1"/>
  <c r="J5285" i="1" s="1"/>
  <c r="O5286" i="1" l="1" a="1"/>
  <c r="O5286" i="1" s="1"/>
  <c r="I5286" i="1" a="1"/>
  <c r="I5286" i="1" s="1"/>
  <c r="L5286" i="1" a="1"/>
  <c r="L5286" i="1" s="1"/>
  <c r="K5286" i="1" a="1"/>
  <c r="K5286" i="1" s="1"/>
  <c r="N5304" i="1" a="1"/>
  <c r="N5304" i="1" s="1"/>
  <c r="M5304" i="1" a="1"/>
  <c r="M5304" i="1" s="1"/>
  <c r="P5304" i="1" a="1"/>
  <c r="P5304" i="1" s="1"/>
  <c r="B5305" i="1"/>
  <c r="Q5304" i="1" a="1"/>
  <c r="Q5304" i="1" s="1"/>
  <c r="C5287" i="1"/>
  <c r="H5286" i="1"/>
  <c r="J5286" i="1" a="1"/>
  <c r="J5286" i="1" s="1"/>
  <c r="O5287" i="1" l="1" a="1"/>
  <c r="O5287" i="1" s="1"/>
  <c r="I5287" i="1" a="1"/>
  <c r="I5287" i="1" s="1"/>
  <c r="L5287" i="1" a="1"/>
  <c r="L5287" i="1" s="1"/>
  <c r="K5287" i="1" a="1"/>
  <c r="K5287" i="1" s="1"/>
  <c r="Q5305" i="1" a="1"/>
  <c r="Q5305" i="1" s="1"/>
  <c r="B5306" i="1"/>
  <c r="P5305" i="1" a="1"/>
  <c r="P5305" i="1" s="1"/>
  <c r="N5305" i="1" a="1"/>
  <c r="N5305" i="1" s="1"/>
  <c r="M5305" i="1" a="1"/>
  <c r="M5305" i="1" s="1"/>
  <c r="C5288" i="1"/>
  <c r="H5287" i="1"/>
  <c r="J5287" i="1" a="1"/>
  <c r="J5287" i="1" s="1"/>
  <c r="O5288" i="1" l="1" a="1"/>
  <c r="O5288" i="1" s="1"/>
  <c r="I5288" i="1" a="1"/>
  <c r="I5288" i="1" s="1"/>
  <c r="L5288" i="1" a="1"/>
  <c r="L5288" i="1" s="1"/>
  <c r="K5288" i="1" a="1"/>
  <c r="K5288" i="1" s="1"/>
  <c r="N5306" i="1" a="1"/>
  <c r="N5306" i="1" s="1"/>
  <c r="P5306" i="1" a="1"/>
  <c r="P5306" i="1" s="1"/>
  <c r="M5306" i="1" a="1"/>
  <c r="M5306" i="1" s="1"/>
  <c r="Q5306" i="1" a="1"/>
  <c r="Q5306" i="1" s="1"/>
  <c r="B5307" i="1"/>
  <c r="C5289" i="1"/>
  <c r="H5288" i="1"/>
  <c r="J5288" i="1" a="1"/>
  <c r="J5288" i="1" s="1"/>
  <c r="O5289" i="1" l="1" a="1"/>
  <c r="O5289" i="1" s="1"/>
  <c r="I5289" i="1" a="1"/>
  <c r="I5289" i="1" s="1"/>
  <c r="L5289" i="1" a="1"/>
  <c r="L5289" i="1" s="1"/>
  <c r="K5289" i="1" a="1"/>
  <c r="K5289" i="1" s="1"/>
  <c r="Q5307" i="1" a="1"/>
  <c r="Q5307" i="1" s="1"/>
  <c r="N5307" i="1" a="1"/>
  <c r="N5307" i="1" s="1"/>
  <c r="P5307" i="1" a="1"/>
  <c r="P5307" i="1" s="1"/>
  <c r="M5307" i="1" a="1"/>
  <c r="M5307" i="1" s="1"/>
  <c r="B5308" i="1"/>
  <c r="C5290" i="1"/>
  <c r="H5289" i="1"/>
  <c r="J5289" i="1" a="1"/>
  <c r="J5289" i="1" s="1"/>
  <c r="O5290" i="1" l="1" a="1"/>
  <c r="O5290" i="1" s="1"/>
  <c r="I5290" i="1" a="1"/>
  <c r="I5290" i="1" s="1"/>
  <c r="L5290" i="1" a="1"/>
  <c r="L5290" i="1" s="1"/>
  <c r="K5290" i="1" a="1"/>
  <c r="K5290" i="1" s="1"/>
  <c r="N5308" i="1" a="1"/>
  <c r="N5308" i="1" s="1"/>
  <c r="P5308" i="1" a="1"/>
  <c r="P5308" i="1" s="1"/>
  <c r="Q5308" i="1" a="1"/>
  <c r="Q5308" i="1" s="1"/>
  <c r="B5309" i="1"/>
  <c r="M5308" i="1" a="1"/>
  <c r="M5308" i="1" s="1"/>
  <c r="C5291" i="1"/>
  <c r="H5290" i="1"/>
  <c r="J5290" i="1" a="1"/>
  <c r="J5290" i="1" s="1"/>
  <c r="O5291" i="1" l="1" a="1"/>
  <c r="O5291" i="1" s="1"/>
  <c r="I5291" i="1" a="1"/>
  <c r="I5291" i="1" s="1"/>
  <c r="L5291" i="1" a="1"/>
  <c r="L5291" i="1" s="1"/>
  <c r="K5291" i="1" a="1"/>
  <c r="K5291" i="1" s="1"/>
  <c r="Q5309" i="1" a="1"/>
  <c r="Q5309" i="1" s="1"/>
  <c r="N5309" i="1" a="1"/>
  <c r="N5309" i="1" s="1"/>
  <c r="B5310" i="1"/>
  <c r="P5309" i="1" a="1"/>
  <c r="P5309" i="1" s="1"/>
  <c r="M5309" i="1" a="1"/>
  <c r="M5309" i="1" s="1"/>
  <c r="C5292" i="1"/>
  <c r="H5291" i="1"/>
  <c r="J5291" i="1" a="1"/>
  <c r="J5291" i="1" s="1"/>
  <c r="O5292" i="1" l="1" a="1"/>
  <c r="O5292" i="1" s="1"/>
  <c r="I5292" i="1" a="1"/>
  <c r="I5292" i="1" s="1"/>
  <c r="L5292" i="1" a="1"/>
  <c r="L5292" i="1" s="1"/>
  <c r="K5292" i="1" a="1"/>
  <c r="K5292" i="1" s="1"/>
  <c r="N5310" i="1" a="1"/>
  <c r="N5310" i="1" s="1"/>
  <c r="M5310" i="1" a="1"/>
  <c r="M5310" i="1" s="1"/>
  <c r="P5310" i="1" a="1"/>
  <c r="P5310" i="1" s="1"/>
  <c r="Q5310" i="1" a="1"/>
  <c r="Q5310" i="1" s="1"/>
  <c r="B5311" i="1"/>
  <c r="C5293" i="1"/>
  <c r="H5292" i="1"/>
  <c r="J5292" i="1" a="1"/>
  <c r="J5292" i="1" s="1"/>
  <c r="O5293" i="1" l="1" a="1"/>
  <c r="O5293" i="1" s="1"/>
  <c r="I5293" i="1" a="1"/>
  <c r="I5293" i="1" s="1"/>
  <c r="L5293" i="1" a="1"/>
  <c r="L5293" i="1" s="1"/>
  <c r="K5293" i="1" a="1"/>
  <c r="K5293" i="1" s="1"/>
  <c r="M5311" i="1" a="1"/>
  <c r="M5311" i="1" s="1"/>
  <c r="Q5311" i="1" a="1"/>
  <c r="Q5311" i="1" s="1"/>
  <c r="N5311" i="1" a="1"/>
  <c r="N5311" i="1" s="1"/>
  <c r="P5311" i="1" a="1"/>
  <c r="P5311" i="1" s="1"/>
  <c r="B5312" i="1"/>
  <c r="C5294" i="1"/>
  <c r="H5293" i="1"/>
  <c r="J5293" i="1" a="1"/>
  <c r="J5293" i="1" s="1"/>
  <c r="O5294" i="1" l="1" a="1"/>
  <c r="O5294" i="1" s="1"/>
  <c r="I5294" i="1" a="1"/>
  <c r="I5294" i="1" s="1"/>
  <c r="L5294" i="1" a="1"/>
  <c r="L5294" i="1" s="1"/>
  <c r="K5294" i="1" a="1"/>
  <c r="K5294" i="1" s="1"/>
  <c r="N5312" i="1" a="1"/>
  <c r="N5312" i="1" s="1"/>
  <c r="P5312" i="1" a="1"/>
  <c r="P5312" i="1" s="1"/>
  <c r="B5313" i="1"/>
  <c r="M5312" i="1" a="1"/>
  <c r="M5312" i="1" s="1"/>
  <c r="Q5312" i="1" a="1"/>
  <c r="Q5312" i="1" s="1"/>
  <c r="C5295" i="1"/>
  <c r="H5294" i="1"/>
  <c r="J5294" i="1" a="1"/>
  <c r="J5294" i="1" s="1"/>
  <c r="O5295" i="1" l="1" a="1"/>
  <c r="O5295" i="1" s="1"/>
  <c r="I5295" i="1" a="1"/>
  <c r="I5295" i="1" s="1"/>
  <c r="L5295" i="1" a="1"/>
  <c r="L5295" i="1" s="1"/>
  <c r="K5295" i="1" a="1"/>
  <c r="K5295" i="1" s="1"/>
  <c r="B5314" i="1"/>
  <c r="P5313" i="1" a="1"/>
  <c r="P5313" i="1" s="1"/>
  <c r="N5313" i="1" a="1"/>
  <c r="N5313" i="1" s="1"/>
  <c r="M5313" i="1" a="1"/>
  <c r="M5313" i="1" s="1"/>
  <c r="Q5313" i="1" a="1"/>
  <c r="Q5313" i="1" s="1"/>
  <c r="C5296" i="1"/>
  <c r="H5295" i="1"/>
  <c r="J5295" i="1" a="1"/>
  <c r="J5295" i="1" s="1"/>
  <c r="O5296" i="1" l="1" a="1"/>
  <c r="O5296" i="1" s="1"/>
  <c r="I5296" i="1" a="1"/>
  <c r="I5296" i="1" s="1"/>
  <c r="L5296" i="1" a="1"/>
  <c r="L5296" i="1" s="1"/>
  <c r="K5296" i="1" a="1"/>
  <c r="K5296" i="1" s="1"/>
  <c r="N5314" i="1" a="1"/>
  <c r="N5314" i="1" s="1"/>
  <c r="Q5314" i="1" a="1"/>
  <c r="Q5314" i="1" s="1"/>
  <c r="B5315" i="1"/>
  <c r="P5314" i="1" a="1"/>
  <c r="P5314" i="1" s="1"/>
  <c r="M5314" i="1" a="1"/>
  <c r="M5314" i="1" s="1"/>
  <c r="C5297" i="1"/>
  <c r="H5296" i="1"/>
  <c r="J5296" i="1" a="1"/>
  <c r="J5296" i="1" s="1"/>
  <c r="O5297" i="1" l="1" a="1"/>
  <c r="O5297" i="1" s="1"/>
  <c r="I5297" i="1" a="1"/>
  <c r="I5297" i="1" s="1"/>
  <c r="L5297" i="1" a="1"/>
  <c r="L5297" i="1" s="1"/>
  <c r="K5297" i="1" a="1"/>
  <c r="K5297" i="1" s="1"/>
  <c r="Q5315" i="1" a="1"/>
  <c r="Q5315" i="1" s="1"/>
  <c r="N5315" i="1" a="1"/>
  <c r="N5315" i="1" s="1"/>
  <c r="B5316" i="1"/>
  <c r="M5315" i="1" a="1"/>
  <c r="M5315" i="1" s="1"/>
  <c r="P5315" i="1" a="1"/>
  <c r="P5315" i="1" s="1"/>
  <c r="C5298" i="1"/>
  <c r="H5297" i="1"/>
  <c r="J5297" i="1" a="1"/>
  <c r="J5297" i="1" s="1"/>
  <c r="O5298" i="1" l="1" a="1"/>
  <c r="O5298" i="1" s="1"/>
  <c r="I5298" i="1" a="1"/>
  <c r="I5298" i="1" s="1"/>
  <c r="L5298" i="1" a="1"/>
  <c r="L5298" i="1" s="1"/>
  <c r="K5298" i="1" a="1"/>
  <c r="K5298" i="1" s="1"/>
  <c r="N5316" i="1" a="1"/>
  <c r="N5316" i="1" s="1"/>
  <c r="P5316" i="1" a="1"/>
  <c r="P5316" i="1" s="1"/>
  <c r="M5316" i="1" a="1"/>
  <c r="M5316" i="1" s="1"/>
  <c r="B5317" i="1"/>
  <c r="Q5316" i="1" a="1"/>
  <c r="Q5316" i="1" s="1"/>
  <c r="C5299" i="1"/>
  <c r="H5298" i="1"/>
  <c r="J5298" i="1" a="1"/>
  <c r="J5298" i="1" s="1"/>
  <c r="O5299" i="1" l="1" a="1"/>
  <c r="O5299" i="1" s="1"/>
  <c r="I5299" i="1" a="1"/>
  <c r="I5299" i="1" s="1"/>
  <c r="L5299" i="1" a="1"/>
  <c r="L5299" i="1" s="1"/>
  <c r="K5299" i="1" a="1"/>
  <c r="K5299" i="1" s="1"/>
  <c r="M5317" i="1" a="1"/>
  <c r="M5317" i="1" s="1"/>
  <c r="P5317" i="1" a="1"/>
  <c r="P5317" i="1" s="1"/>
  <c r="N5317" i="1" a="1"/>
  <c r="N5317" i="1" s="1"/>
  <c r="Q5317" i="1" a="1"/>
  <c r="Q5317" i="1" s="1"/>
  <c r="B5318" i="1"/>
  <c r="C5300" i="1"/>
  <c r="H5299" i="1"/>
  <c r="J5299" i="1" a="1"/>
  <c r="J5299" i="1" s="1"/>
  <c r="O5300" i="1" l="1" a="1"/>
  <c r="O5300" i="1" s="1"/>
  <c r="I5300" i="1" a="1"/>
  <c r="I5300" i="1" s="1"/>
  <c r="L5300" i="1" a="1"/>
  <c r="L5300" i="1" s="1"/>
  <c r="K5300" i="1" a="1"/>
  <c r="K5300" i="1" s="1"/>
  <c r="N5318" i="1" a="1"/>
  <c r="N5318" i="1" s="1"/>
  <c r="P5318" i="1" a="1"/>
  <c r="P5318" i="1" s="1"/>
  <c r="M5318" i="1" a="1"/>
  <c r="M5318" i="1" s="1"/>
  <c r="Q5318" i="1" a="1"/>
  <c r="Q5318" i="1" s="1"/>
  <c r="B5319" i="1"/>
  <c r="C5301" i="1"/>
  <c r="H5300" i="1"/>
  <c r="J5300" i="1" a="1"/>
  <c r="J5300" i="1" s="1"/>
  <c r="O5301" i="1" l="1" a="1"/>
  <c r="O5301" i="1" s="1"/>
  <c r="I5301" i="1" a="1"/>
  <c r="I5301" i="1" s="1"/>
  <c r="L5301" i="1" a="1"/>
  <c r="L5301" i="1" s="1"/>
  <c r="K5301" i="1" a="1"/>
  <c r="K5301" i="1" s="1"/>
  <c r="Q5319" i="1" a="1"/>
  <c r="Q5319" i="1" s="1"/>
  <c r="N5319" i="1" a="1"/>
  <c r="N5319" i="1" s="1"/>
  <c r="B5320" i="1"/>
  <c r="M5319" i="1" a="1"/>
  <c r="M5319" i="1" s="1"/>
  <c r="P5319" i="1" a="1"/>
  <c r="P5319" i="1" s="1"/>
  <c r="C5302" i="1"/>
  <c r="H5301" i="1"/>
  <c r="J5301" i="1" a="1"/>
  <c r="J5301" i="1" s="1"/>
  <c r="O5302" i="1" l="1" a="1"/>
  <c r="O5302" i="1" s="1"/>
  <c r="I5302" i="1" a="1"/>
  <c r="I5302" i="1" s="1"/>
  <c r="L5302" i="1" a="1"/>
  <c r="L5302" i="1" s="1"/>
  <c r="K5302" i="1" a="1"/>
  <c r="K5302" i="1" s="1"/>
  <c r="N5320" i="1" a="1"/>
  <c r="N5320" i="1" s="1"/>
  <c r="M5320" i="1" a="1"/>
  <c r="M5320" i="1" s="1"/>
  <c r="B5321" i="1"/>
  <c r="Q5320" i="1" a="1"/>
  <c r="Q5320" i="1" s="1"/>
  <c r="P5320" i="1" a="1"/>
  <c r="P5320" i="1" s="1"/>
  <c r="C5303" i="1"/>
  <c r="H5302" i="1"/>
  <c r="J5302" i="1" a="1"/>
  <c r="J5302" i="1" s="1"/>
  <c r="O5303" i="1" l="1" a="1"/>
  <c r="O5303" i="1" s="1"/>
  <c r="I5303" i="1" a="1"/>
  <c r="I5303" i="1" s="1"/>
  <c r="L5303" i="1" a="1"/>
  <c r="L5303" i="1" s="1"/>
  <c r="K5303" i="1" a="1"/>
  <c r="K5303" i="1" s="1"/>
  <c r="Q5321" i="1" a="1"/>
  <c r="Q5321" i="1" s="1"/>
  <c r="B5322" i="1"/>
  <c r="M5321" i="1" a="1"/>
  <c r="M5321" i="1" s="1"/>
  <c r="P5321" i="1" a="1"/>
  <c r="P5321" i="1" s="1"/>
  <c r="N5321" i="1" a="1"/>
  <c r="N5321" i="1" s="1"/>
  <c r="C5304" i="1"/>
  <c r="H5303" i="1"/>
  <c r="J5303" i="1" a="1"/>
  <c r="J5303" i="1" s="1"/>
  <c r="O5304" i="1" l="1" a="1"/>
  <c r="O5304" i="1" s="1"/>
  <c r="I5304" i="1" a="1"/>
  <c r="I5304" i="1" s="1"/>
  <c r="L5304" i="1" a="1"/>
  <c r="L5304" i="1" s="1"/>
  <c r="K5304" i="1" a="1"/>
  <c r="K5304" i="1" s="1"/>
  <c r="N5322" i="1" a="1"/>
  <c r="N5322" i="1" s="1"/>
  <c r="M5322" i="1" a="1"/>
  <c r="M5322" i="1" s="1"/>
  <c r="B5323" i="1"/>
  <c r="P5322" i="1" a="1"/>
  <c r="P5322" i="1" s="1"/>
  <c r="Q5322" i="1" a="1"/>
  <c r="Q5322" i="1" s="1"/>
  <c r="C5305" i="1"/>
  <c r="H5304" i="1"/>
  <c r="J5304" i="1" a="1"/>
  <c r="J5304" i="1" s="1"/>
  <c r="O5305" i="1" l="1" a="1"/>
  <c r="O5305" i="1" s="1"/>
  <c r="I5305" i="1" a="1"/>
  <c r="I5305" i="1" s="1"/>
  <c r="L5305" i="1" a="1"/>
  <c r="L5305" i="1" s="1"/>
  <c r="K5305" i="1" a="1"/>
  <c r="K5305" i="1" s="1"/>
  <c r="Q5323" i="1" a="1"/>
  <c r="Q5323" i="1" s="1"/>
  <c r="N5323" i="1" a="1"/>
  <c r="N5323" i="1" s="1"/>
  <c r="P5323" i="1" a="1"/>
  <c r="P5323" i="1" s="1"/>
  <c r="M5323" i="1" a="1"/>
  <c r="M5323" i="1" s="1"/>
  <c r="B5324" i="1"/>
  <c r="C5306" i="1"/>
  <c r="H5305" i="1"/>
  <c r="J5305" i="1" a="1"/>
  <c r="J5305" i="1" s="1"/>
  <c r="O5306" i="1" l="1" a="1"/>
  <c r="O5306" i="1" s="1"/>
  <c r="I5306" i="1" a="1"/>
  <c r="I5306" i="1" s="1"/>
  <c r="L5306" i="1" a="1"/>
  <c r="L5306" i="1" s="1"/>
  <c r="K5306" i="1" a="1"/>
  <c r="K5306" i="1" s="1"/>
  <c r="N5324" i="1" a="1"/>
  <c r="N5324" i="1" s="1"/>
  <c r="P5324" i="1" a="1"/>
  <c r="P5324" i="1" s="1"/>
  <c r="M5324" i="1" a="1"/>
  <c r="M5324" i="1" s="1"/>
  <c r="B5325" i="1"/>
  <c r="Q5324" i="1" a="1"/>
  <c r="Q5324" i="1" s="1"/>
  <c r="C5307" i="1"/>
  <c r="H5306" i="1"/>
  <c r="J5306" i="1" a="1"/>
  <c r="J5306" i="1" s="1"/>
  <c r="O5307" i="1" l="1" a="1"/>
  <c r="O5307" i="1" s="1"/>
  <c r="I5307" i="1" a="1"/>
  <c r="I5307" i="1" s="1"/>
  <c r="L5307" i="1" a="1"/>
  <c r="L5307" i="1" s="1"/>
  <c r="K5307" i="1" a="1"/>
  <c r="K5307" i="1" s="1"/>
  <c r="Q5325" i="1" a="1"/>
  <c r="Q5325" i="1" s="1"/>
  <c r="B5326" i="1"/>
  <c r="N5325" i="1" a="1"/>
  <c r="N5325" i="1" s="1"/>
  <c r="M5325" i="1" a="1"/>
  <c r="M5325" i="1" s="1"/>
  <c r="P5325" i="1" a="1"/>
  <c r="P5325" i="1" s="1"/>
  <c r="C5308" i="1"/>
  <c r="H5307" i="1"/>
  <c r="J5307" i="1" a="1"/>
  <c r="J5307" i="1" s="1"/>
  <c r="O5308" i="1" l="1" a="1"/>
  <c r="O5308" i="1" s="1"/>
  <c r="I5308" i="1" a="1"/>
  <c r="I5308" i="1" s="1"/>
  <c r="L5308" i="1" a="1"/>
  <c r="L5308" i="1" s="1"/>
  <c r="K5308" i="1" a="1"/>
  <c r="K5308" i="1" s="1"/>
  <c r="P5326" i="1" a="1"/>
  <c r="P5326" i="1" s="1"/>
  <c r="Q5326" i="1" a="1"/>
  <c r="Q5326" i="1" s="1"/>
  <c r="B5327" i="1"/>
  <c r="N5326" i="1" a="1"/>
  <c r="N5326" i="1" s="1"/>
  <c r="M5326" i="1" a="1"/>
  <c r="M5326" i="1" s="1"/>
  <c r="C5309" i="1"/>
  <c r="H5308" i="1"/>
  <c r="J5308" i="1" a="1"/>
  <c r="J5308" i="1" s="1"/>
  <c r="O5309" i="1" l="1" a="1"/>
  <c r="O5309" i="1" s="1"/>
  <c r="I5309" i="1" a="1"/>
  <c r="I5309" i="1" s="1"/>
  <c r="L5309" i="1" a="1"/>
  <c r="L5309" i="1" s="1"/>
  <c r="K5309" i="1" a="1"/>
  <c r="K5309" i="1" s="1"/>
  <c r="Q5327" i="1" a="1"/>
  <c r="Q5327" i="1" s="1"/>
  <c r="N5327" i="1" a="1"/>
  <c r="N5327" i="1" s="1"/>
  <c r="B5328" i="1"/>
  <c r="P5327" i="1" a="1"/>
  <c r="P5327" i="1" s="1"/>
  <c r="M5327" i="1" a="1"/>
  <c r="M5327" i="1" s="1"/>
  <c r="C5310" i="1"/>
  <c r="H5309" i="1"/>
  <c r="J5309" i="1" a="1"/>
  <c r="J5309" i="1" s="1"/>
  <c r="O5310" i="1" l="1" a="1"/>
  <c r="O5310" i="1" s="1"/>
  <c r="I5310" i="1" a="1"/>
  <c r="I5310" i="1" s="1"/>
  <c r="L5310" i="1" a="1"/>
  <c r="L5310" i="1" s="1"/>
  <c r="K5310" i="1" a="1"/>
  <c r="K5310" i="1" s="1"/>
  <c r="N5328" i="1" a="1"/>
  <c r="N5328" i="1" s="1"/>
  <c r="M5328" i="1" a="1"/>
  <c r="M5328" i="1" s="1"/>
  <c r="Q5328" i="1" a="1"/>
  <c r="Q5328" i="1" s="1"/>
  <c r="B5329" i="1"/>
  <c r="P5328" i="1" a="1"/>
  <c r="P5328" i="1" s="1"/>
  <c r="C5311" i="1"/>
  <c r="H5310" i="1"/>
  <c r="J5310" i="1" a="1"/>
  <c r="J5310" i="1" s="1"/>
  <c r="O5311" i="1" l="1" a="1"/>
  <c r="O5311" i="1" s="1"/>
  <c r="I5311" i="1" a="1"/>
  <c r="I5311" i="1" s="1"/>
  <c r="L5311" i="1" a="1"/>
  <c r="L5311" i="1" s="1"/>
  <c r="K5311" i="1" a="1"/>
  <c r="K5311" i="1" s="1"/>
  <c r="Q5329" i="1" a="1"/>
  <c r="Q5329" i="1" s="1"/>
  <c r="P5329" i="1" a="1"/>
  <c r="P5329" i="1" s="1"/>
  <c r="N5329" i="1" a="1"/>
  <c r="N5329" i="1" s="1"/>
  <c r="B5330" i="1"/>
  <c r="M5329" i="1" a="1"/>
  <c r="M5329" i="1" s="1"/>
  <c r="C5312" i="1"/>
  <c r="H5311" i="1"/>
  <c r="J5311" i="1" a="1"/>
  <c r="J5311" i="1" s="1"/>
  <c r="O5312" i="1" l="1" a="1"/>
  <c r="O5312" i="1" s="1"/>
  <c r="I5312" i="1" a="1"/>
  <c r="I5312" i="1" s="1"/>
  <c r="L5312" i="1" a="1"/>
  <c r="L5312" i="1" s="1"/>
  <c r="K5312" i="1" a="1"/>
  <c r="K5312" i="1" s="1"/>
  <c r="N5330" i="1" a="1"/>
  <c r="N5330" i="1" s="1"/>
  <c r="M5330" i="1" a="1"/>
  <c r="M5330" i="1" s="1"/>
  <c r="Q5330" i="1" a="1"/>
  <c r="Q5330" i="1" s="1"/>
  <c r="B5331" i="1"/>
  <c r="P5330" i="1" a="1"/>
  <c r="P5330" i="1" s="1"/>
  <c r="C5313" i="1"/>
  <c r="H5312" i="1"/>
  <c r="J5312" i="1" a="1"/>
  <c r="J5312" i="1" s="1"/>
  <c r="O5313" i="1" l="1" a="1"/>
  <c r="O5313" i="1" s="1"/>
  <c r="I5313" i="1" a="1"/>
  <c r="I5313" i="1" s="1"/>
  <c r="L5313" i="1" a="1"/>
  <c r="L5313" i="1" s="1"/>
  <c r="K5313" i="1" a="1"/>
  <c r="K5313" i="1" s="1"/>
  <c r="B5332" i="1"/>
  <c r="P5331" i="1" a="1"/>
  <c r="P5331" i="1" s="1"/>
  <c r="Q5331" i="1" a="1"/>
  <c r="Q5331" i="1" s="1"/>
  <c r="M5331" i="1" a="1"/>
  <c r="M5331" i="1" s="1"/>
  <c r="N5331" i="1" a="1"/>
  <c r="N5331" i="1" s="1"/>
  <c r="C5314" i="1"/>
  <c r="H5313" i="1"/>
  <c r="J5313" i="1" a="1"/>
  <c r="J5313" i="1" s="1"/>
  <c r="O5314" i="1" l="1" a="1"/>
  <c r="O5314" i="1" s="1"/>
  <c r="I5314" i="1" a="1"/>
  <c r="I5314" i="1" s="1"/>
  <c r="L5314" i="1" a="1"/>
  <c r="L5314" i="1" s="1"/>
  <c r="K5314" i="1" a="1"/>
  <c r="K5314" i="1" s="1"/>
  <c r="Q5332" i="1" a="1"/>
  <c r="Q5332" i="1" s="1"/>
  <c r="M5332" i="1" a="1"/>
  <c r="M5332" i="1" s="1"/>
  <c r="N5332" i="1" a="1"/>
  <c r="N5332" i="1" s="1"/>
  <c r="P5332" i="1" a="1"/>
  <c r="P5332" i="1" s="1"/>
  <c r="B5333" i="1"/>
  <c r="C5315" i="1"/>
  <c r="H5314" i="1"/>
  <c r="J5314" i="1" a="1"/>
  <c r="J5314" i="1" s="1"/>
  <c r="O5315" i="1" l="1" a="1"/>
  <c r="O5315" i="1" s="1"/>
  <c r="I5315" i="1" a="1"/>
  <c r="I5315" i="1" s="1"/>
  <c r="L5315" i="1" a="1"/>
  <c r="L5315" i="1" s="1"/>
  <c r="K5315" i="1" a="1"/>
  <c r="K5315" i="1" s="1"/>
  <c r="M5333" i="1" a="1"/>
  <c r="M5333" i="1" s="1"/>
  <c r="Q5333" i="1" a="1"/>
  <c r="Q5333" i="1" s="1"/>
  <c r="N5333" i="1" a="1"/>
  <c r="N5333" i="1" s="1"/>
  <c r="P5333" i="1" a="1"/>
  <c r="P5333" i="1" s="1"/>
  <c r="B5334" i="1"/>
  <c r="C5316" i="1"/>
  <c r="H5315" i="1"/>
  <c r="J5315" i="1" a="1"/>
  <c r="J5315" i="1" s="1"/>
  <c r="O5316" i="1" l="1" a="1"/>
  <c r="O5316" i="1" s="1"/>
  <c r="I5316" i="1" a="1"/>
  <c r="I5316" i="1" s="1"/>
  <c r="L5316" i="1" a="1"/>
  <c r="L5316" i="1" s="1"/>
  <c r="K5316" i="1" a="1"/>
  <c r="K5316" i="1" s="1"/>
  <c r="P5334" i="1" a="1"/>
  <c r="P5334" i="1" s="1"/>
  <c r="B5335" i="1"/>
  <c r="M5334" i="1" a="1"/>
  <c r="M5334" i="1" s="1"/>
  <c r="Q5334" i="1" a="1"/>
  <c r="Q5334" i="1" s="1"/>
  <c r="N5334" i="1" a="1"/>
  <c r="N5334" i="1" s="1"/>
  <c r="C5317" i="1"/>
  <c r="H5316" i="1"/>
  <c r="J5316" i="1" a="1"/>
  <c r="J5316" i="1" s="1"/>
  <c r="O5317" i="1" l="1" a="1"/>
  <c r="O5317" i="1" s="1"/>
  <c r="I5317" i="1" a="1"/>
  <c r="I5317" i="1" s="1"/>
  <c r="L5317" i="1" a="1"/>
  <c r="L5317" i="1" s="1"/>
  <c r="K5317" i="1" a="1"/>
  <c r="K5317" i="1" s="1"/>
  <c r="Q5335" i="1" a="1"/>
  <c r="Q5335" i="1" s="1"/>
  <c r="M5335" i="1" a="1"/>
  <c r="M5335" i="1" s="1"/>
  <c r="B5336" i="1"/>
  <c r="N5335" i="1" a="1"/>
  <c r="N5335" i="1" s="1"/>
  <c r="P5335" i="1" a="1"/>
  <c r="P5335" i="1" s="1"/>
  <c r="C5318" i="1"/>
  <c r="H5317" i="1"/>
  <c r="J5317" i="1" a="1"/>
  <c r="J5317" i="1" s="1"/>
  <c r="O5318" i="1" l="1" a="1"/>
  <c r="O5318" i="1" s="1"/>
  <c r="I5318" i="1" a="1"/>
  <c r="I5318" i="1" s="1"/>
  <c r="L5318" i="1" a="1"/>
  <c r="L5318" i="1" s="1"/>
  <c r="K5318" i="1" a="1"/>
  <c r="K5318" i="1" s="1"/>
  <c r="P5336" i="1" a="1"/>
  <c r="P5336" i="1" s="1"/>
  <c r="Q5336" i="1" a="1"/>
  <c r="Q5336" i="1" s="1"/>
  <c r="M5336" i="1" a="1"/>
  <c r="M5336" i="1" s="1"/>
  <c r="B5337" i="1"/>
  <c r="N5336" i="1" a="1"/>
  <c r="N5336" i="1" s="1"/>
  <c r="C5319" i="1"/>
  <c r="H5318" i="1"/>
  <c r="J5318" i="1" a="1"/>
  <c r="J5318" i="1" s="1"/>
  <c r="O5319" i="1" l="1" a="1"/>
  <c r="O5319" i="1" s="1"/>
  <c r="I5319" i="1" a="1"/>
  <c r="I5319" i="1" s="1"/>
  <c r="L5319" i="1" a="1"/>
  <c r="L5319" i="1" s="1"/>
  <c r="K5319" i="1" a="1"/>
  <c r="K5319" i="1" s="1"/>
  <c r="B5338" i="1"/>
  <c r="P5337" i="1" a="1"/>
  <c r="P5337" i="1" s="1"/>
  <c r="Q5337" i="1" a="1"/>
  <c r="Q5337" i="1" s="1"/>
  <c r="M5337" i="1" a="1"/>
  <c r="M5337" i="1" s="1"/>
  <c r="N5337" i="1" a="1"/>
  <c r="N5337" i="1" s="1"/>
  <c r="C5320" i="1"/>
  <c r="H5319" i="1"/>
  <c r="J5319" i="1" a="1"/>
  <c r="J5319" i="1" s="1"/>
  <c r="O5320" i="1" l="1" a="1"/>
  <c r="O5320" i="1" s="1"/>
  <c r="I5320" i="1" a="1"/>
  <c r="I5320" i="1" s="1"/>
  <c r="L5320" i="1" a="1"/>
  <c r="L5320" i="1" s="1"/>
  <c r="K5320" i="1" a="1"/>
  <c r="K5320" i="1" s="1"/>
  <c r="B5339" i="1"/>
  <c r="Q5338" i="1" a="1"/>
  <c r="Q5338" i="1" s="1"/>
  <c r="P5338" i="1" a="1"/>
  <c r="P5338" i="1" s="1"/>
  <c r="N5338" i="1" a="1"/>
  <c r="N5338" i="1" s="1"/>
  <c r="M5338" i="1" a="1"/>
  <c r="M5338" i="1" s="1"/>
  <c r="C5321" i="1"/>
  <c r="H5320" i="1"/>
  <c r="J5320" i="1" a="1"/>
  <c r="J5320" i="1" s="1"/>
  <c r="O5321" i="1" l="1" a="1"/>
  <c r="O5321" i="1" s="1"/>
  <c r="I5321" i="1" a="1"/>
  <c r="I5321" i="1" s="1"/>
  <c r="L5321" i="1" a="1"/>
  <c r="L5321" i="1" s="1"/>
  <c r="K5321" i="1" a="1"/>
  <c r="K5321" i="1" s="1"/>
  <c r="P5339" i="1" a="1"/>
  <c r="P5339" i="1" s="1"/>
  <c r="Q5339" i="1" a="1"/>
  <c r="Q5339" i="1" s="1"/>
  <c r="M5339" i="1" a="1"/>
  <c r="M5339" i="1" s="1"/>
  <c r="B5340" i="1"/>
  <c r="N5339" i="1" a="1"/>
  <c r="N5339" i="1" s="1"/>
  <c r="C5322" i="1"/>
  <c r="H5321" i="1"/>
  <c r="J5321" i="1" a="1"/>
  <c r="J5321" i="1" s="1"/>
  <c r="O5322" i="1" l="1" a="1"/>
  <c r="O5322" i="1" s="1"/>
  <c r="I5322" i="1" a="1"/>
  <c r="I5322" i="1" s="1"/>
  <c r="L5322" i="1" a="1"/>
  <c r="L5322" i="1" s="1"/>
  <c r="K5322" i="1" a="1"/>
  <c r="K5322" i="1" s="1"/>
  <c r="B5341" i="1"/>
  <c r="Q5340" i="1" a="1"/>
  <c r="Q5340" i="1" s="1"/>
  <c r="M5340" i="1" a="1"/>
  <c r="M5340" i="1" s="1"/>
  <c r="N5340" i="1" a="1"/>
  <c r="N5340" i="1" s="1"/>
  <c r="P5340" i="1" a="1"/>
  <c r="P5340" i="1" s="1"/>
  <c r="C5323" i="1"/>
  <c r="H5322" i="1"/>
  <c r="J5322" i="1" a="1"/>
  <c r="J5322" i="1" s="1"/>
  <c r="O5323" i="1" l="1" a="1"/>
  <c r="O5323" i="1" s="1"/>
  <c r="I5323" i="1" a="1"/>
  <c r="I5323" i="1" s="1"/>
  <c r="L5323" i="1" a="1"/>
  <c r="L5323" i="1" s="1"/>
  <c r="K5323" i="1" a="1"/>
  <c r="K5323" i="1" s="1"/>
  <c r="B5342" i="1"/>
  <c r="P5341" i="1" a="1"/>
  <c r="P5341" i="1" s="1"/>
  <c r="N5341" i="1" a="1"/>
  <c r="N5341" i="1" s="1"/>
  <c r="Q5341" i="1" a="1"/>
  <c r="Q5341" i="1" s="1"/>
  <c r="M5341" i="1" a="1"/>
  <c r="M5341" i="1" s="1"/>
  <c r="C5324" i="1"/>
  <c r="H5323" i="1"/>
  <c r="J5323" i="1" a="1"/>
  <c r="J5323" i="1" s="1"/>
  <c r="O5324" i="1" l="1" a="1"/>
  <c r="O5324" i="1" s="1"/>
  <c r="I5324" i="1" a="1"/>
  <c r="I5324" i="1" s="1"/>
  <c r="L5324" i="1" a="1"/>
  <c r="L5324" i="1" s="1"/>
  <c r="K5324" i="1" a="1"/>
  <c r="K5324" i="1" s="1"/>
  <c r="B5343" i="1"/>
  <c r="M5342" i="1" a="1"/>
  <c r="M5342" i="1" s="1"/>
  <c r="P5342" i="1" a="1"/>
  <c r="P5342" i="1" s="1"/>
  <c r="Q5342" i="1" a="1"/>
  <c r="Q5342" i="1" s="1"/>
  <c r="N5342" i="1" a="1"/>
  <c r="N5342" i="1" s="1"/>
  <c r="C5325" i="1"/>
  <c r="H5324" i="1"/>
  <c r="J5324" i="1" a="1"/>
  <c r="J5324" i="1" s="1"/>
  <c r="O5325" i="1" l="1" a="1"/>
  <c r="O5325" i="1" s="1"/>
  <c r="I5325" i="1" a="1"/>
  <c r="I5325" i="1" s="1"/>
  <c r="L5325" i="1" a="1"/>
  <c r="L5325" i="1" s="1"/>
  <c r="K5325" i="1" a="1"/>
  <c r="K5325" i="1" s="1"/>
  <c r="M5343" i="1" a="1"/>
  <c r="M5343" i="1" s="1"/>
  <c r="Q5343" i="1" a="1"/>
  <c r="Q5343" i="1" s="1"/>
  <c r="N5343" i="1" a="1"/>
  <c r="N5343" i="1" s="1"/>
  <c r="P5343" i="1" a="1"/>
  <c r="P5343" i="1" s="1"/>
  <c r="B5344" i="1"/>
  <c r="C5326" i="1"/>
  <c r="H5325" i="1"/>
  <c r="J5325" i="1" a="1"/>
  <c r="J5325" i="1" s="1"/>
  <c r="O5326" i="1" l="1" a="1"/>
  <c r="O5326" i="1" s="1"/>
  <c r="I5326" i="1" a="1"/>
  <c r="I5326" i="1" s="1"/>
  <c r="L5326" i="1" a="1"/>
  <c r="L5326" i="1" s="1"/>
  <c r="K5326" i="1" a="1"/>
  <c r="K5326" i="1" s="1"/>
  <c r="P5344" i="1" a="1"/>
  <c r="P5344" i="1" s="1"/>
  <c r="M5344" i="1" a="1"/>
  <c r="M5344" i="1" s="1"/>
  <c r="Q5344" i="1" a="1"/>
  <c r="Q5344" i="1" s="1"/>
  <c r="B5345" i="1"/>
  <c r="N5344" i="1" a="1"/>
  <c r="N5344" i="1" s="1"/>
  <c r="C5327" i="1"/>
  <c r="H5326" i="1"/>
  <c r="J5326" i="1" a="1"/>
  <c r="J5326" i="1" s="1"/>
  <c r="O5327" i="1" l="1" a="1"/>
  <c r="O5327" i="1" s="1"/>
  <c r="I5327" i="1" a="1"/>
  <c r="I5327" i="1" s="1"/>
  <c r="L5327" i="1" a="1"/>
  <c r="L5327" i="1" s="1"/>
  <c r="K5327" i="1" a="1"/>
  <c r="K5327" i="1" s="1"/>
  <c r="Q5345" i="1" a="1"/>
  <c r="Q5345" i="1" s="1"/>
  <c r="B5346" i="1"/>
  <c r="M5345" i="1" a="1"/>
  <c r="M5345" i="1" s="1"/>
  <c r="N5345" i="1" a="1"/>
  <c r="N5345" i="1" s="1"/>
  <c r="P5345" i="1" a="1"/>
  <c r="P5345" i="1" s="1"/>
  <c r="C5328" i="1"/>
  <c r="H5327" i="1"/>
  <c r="J5327" i="1" a="1"/>
  <c r="J5327" i="1" s="1"/>
  <c r="O5328" i="1" l="1" a="1"/>
  <c r="O5328" i="1" s="1"/>
  <c r="I5328" i="1" a="1"/>
  <c r="I5328" i="1" s="1"/>
  <c r="L5328" i="1" a="1"/>
  <c r="L5328" i="1" s="1"/>
  <c r="K5328" i="1" a="1"/>
  <c r="K5328" i="1" s="1"/>
  <c r="B5347" i="1"/>
  <c r="P5346" i="1" a="1"/>
  <c r="P5346" i="1" s="1"/>
  <c r="M5346" i="1" a="1"/>
  <c r="M5346" i="1" s="1"/>
  <c r="N5346" i="1" a="1"/>
  <c r="N5346" i="1" s="1"/>
  <c r="Q5346" i="1" a="1"/>
  <c r="Q5346" i="1" s="1"/>
  <c r="C5329" i="1"/>
  <c r="H5328" i="1"/>
  <c r="J5328" i="1" a="1"/>
  <c r="J5328" i="1" s="1"/>
  <c r="O5329" i="1" l="1" a="1"/>
  <c r="O5329" i="1" s="1"/>
  <c r="I5329" i="1" a="1"/>
  <c r="I5329" i="1" s="1"/>
  <c r="L5329" i="1" a="1"/>
  <c r="L5329" i="1" s="1"/>
  <c r="K5329" i="1" a="1"/>
  <c r="K5329" i="1" s="1"/>
  <c r="P5347" i="1" a="1"/>
  <c r="P5347" i="1" s="1"/>
  <c r="M5347" i="1" a="1"/>
  <c r="M5347" i="1" s="1"/>
  <c r="Q5347" i="1" a="1"/>
  <c r="Q5347" i="1" s="1"/>
  <c r="N5347" i="1" a="1"/>
  <c r="N5347" i="1" s="1"/>
  <c r="B5348" i="1"/>
  <c r="C5330" i="1"/>
  <c r="H5329" i="1"/>
  <c r="J5329" i="1" a="1"/>
  <c r="J5329" i="1" s="1"/>
  <c r="O5330" i="1" l="1" a="1"/>
  <c r="O5330" i="1" s="1"/>
  <c r="I5330" i="1" a="1"/>
  <c r="I5330" i="1" s="1"/>
  <c r="L5330" i="1" a="1"/>
  <c r="L5330" i="1" s="1"/>
  <c r="K5330" i="1" a="1"/>
  <c r="K5330" i="1" s="1"/>
  <c r="P5348" i="1" a="1"/>
  <c r="P5348" i="1" s="1"/>
  <c r="M5348" i="1" a="1"/>
  <c r="M5348" i="1" s="1"/>
  <c r="N5348" i="1" a="1"/>
  <c r="N5348" i="1" s="1"/>
  <c r="B5349" i="1"/>
  <c r="Q5348" i="1" a="1"/>
  <c r="Q5348" i="1" s="1"/>
  <c r="C5331" i="1"/>
  <c r="H5330" i="1"/>
  <c r="J5330" i="1" a="1"/>
  <c r="J5330" i="1" s="1"/>
  <c r="O5331" i="1" l="1" a="1"/>
  <c r="O5331" i="1" s="1"/>
  <c r="I5331" i="1" a="1"/>
  <c r="I5331" i="1" s="1"/>
  <c r="L5331" i="1" a="1"/>
  <c r="L5331" i="1" s="1"/>
  <c r="K5331" i="1" a="1"/>
  <c r="K5331" i="1" s="1"/>
  <c r="N5349" i="1" a="1"/>
  <c r="N5349" i="1" s="1"/>
  <c r="B5350" i="1"/>
  <c r="Q5349" i="1" a="1"/>
  <c r="Q5349" i="1" s="1"/>
  <c r="P5349" i="1" a="1"/>
  <c r="P5349" i="1" s="1"/>
  <c r="M5349" i="1" a="1"/>
  <c r="M5349" i="1" s="1"/>
  <c r="C5332" i="1"/>
  <c r="H5331" i="1"/>
  <c r="J5331" i="1" a="1"/>
  <c r="J5331" i="1" s="1"/>
  <c r="O5332" i="1" l="1" a="1"/>
  <c r="O5332" i="1" s="1"/>
  <c r="I5332" i="1" a="1"/>
  <c r="I5332" i="1" s="1"/>
  <c r="L5332" i="1" a="1"/>
  <c r="L5332" i="1" s="1"/>
  <c r="K5332" i="1" a="1"/>
  <c r="K5332" i="1" s="1"/>
  <c r="B5351" i="1"/>
  <c r="N5350" i="1" a="1"/>
  <c r="N5350" i="1" s="1"/>
  <c r="P5350" i="1" a="1"/>
  <c r="P5350" i="1" s="1"/>
  <c r="Q5350" i="1" a="1"/>
  <c r="Q5350" i="1" s="1"/>
  <c r="M5350" i="1" a="1"/>
  <c r="M5350" i="1" s="1"/>
  <c r="C5333" i="1"/>
  <c r="H5332" i="1"/>
  <c r="J5332" i="1" a="1"/>
  <c r="J5332" i="1" s="1"/>
  <c r="O5333" i="1" l="1" a="1"/>
  <c r="O5333" i="1" s="1"/>
  <c r="I5333" i="1" a="1"/>
  <c r="I5333" i="1" s="1"/>
  <c r="L5333" i="1" a="1"/>
  <c r="L5333" i="1" s="1"/>
  <c r="K5333" i="1" a="1"/>
  <c r="K5333" i="1" s="1"/>
  <c r="M5351" i="1" a="1"/>
  <c r="M5351" i="1" s="1"/>
  <c r="B5352" i="1"/>
  <c r="N5351" i="1" a="1"/>
  <c r="N5351" i="1" s="1"/>
  <c r="P5351" i="1" a="1"/>
  <c r="P5351" i="1" s="1"/>
  <c r="Q5351" i="1" a="1"/>
  <c r="Q5351" i="1" s="1"/>
  <c r="C5334" i="1"/>
  <c r="H5333" i="1"/>
  <c r="J5333" i="1" a="1"/>
  <c r="J5333" i="1" s="1"/>
  <c r="O5334" i="1" l="1" a="1"/>
  <c r="O5334" i="1" s="1"/>
  <c r="I5334" i="1" a="1"/>
  <c r="I5334" i="1" s="1"/>
  <c r="L5334" i="1" a="1"/>
  <c r="L5334" i="1" s="1"/>
  <c r="K5334" i="1" a="1"/>
  <c r="K5334" i="1" s="1"/>
  <c r="P5352" i="1" a="1"/>
  <c r="P5352" i="1" s="1"/>
  <c r="M5352" i="1" a="1"/>
  <c r="M5352" i="1" s="1"/>
  <c r="Q5352" i="1" a="1"/>
  <c r="Q5352" i="1" s="1"/>
  <c r="B5353" i="1"/>
  <c r="N5352" i="1" a="1"/>
  <c r="N5352" i="1" s="1"/>
  <c r="C5335" i="1"/>
  <c r="H5334" i="1"/>
  <c r="J5334" i="1" a="1"/>
  <c r="J5334" i="1" s="1"/>
  <c r="O5335" i="1" l="1" a="1"/>
  <c r="O5335" i="1" s="1"/>
  <c r="I5335" i="1" a="1"/>
  <c r="I5335" i="1" s="1"/>
  <c r="L5335" i="1" a="1"/>
  <c r="L5335" i="1" s="1"/>
  <c r="K5335" i="1" a="1"/>
  <c r="K5335" i="1" s="1"/>
  <c r="N5353" i="1" a="1"/>
  <c r="N5353" i="1" s="1"/>
  <c r="B5354" i="1"/>
  <c r="P5353" i="1" a="1"/>
  <c r="P5353" i="1" s="1"/>
  <c r="M5353" i="1" a="1"/>
  <c r="M5353" i="1" s="1"/>
  <c r="Q5353" i="1" a="1"/>
  <c r="Q5353" i="1" s="1"/>
  <c r="C5336" i="1"/>
  <c r="H5335" i="1"/>
  <c r="J5335" i="1" a="1"/>
  <c r="J5335" i="1" s="1"/>
  <c r="O5336" i="1" l="1" a="1"/>
  <c r="O5336" i="1" s="1"/>
  <c r="I5336" i="1" a="1"/>
  <c r="I5336" i="1" s="1"/>
  <c r="L5336" i="1" a="1"/>
  <c r="L5336" i="1" s="1"/>
  <c r="K5336" i="1" a="1"/>
  <c r="K5336" i="1" s="1"/>
  <c r="B5355" i="1"/>
  <c r="P5354" i="1" a="1"/>
  <c r="P5354" i="1" s="1"/>
  <c r="M5354" i="1" a="1"/>
  <c r="M5354" i="1" s="1"/>
  <c r="N5354" i="1" a="1"/>
  <c r="N5354" i="1" s="1"/>
  <c r="Q5354" i="1" a="1"/>
  <c r="Q5354" i="1" s="1"/>
  <c r="C5337" i="1"/>
  <c r="H5336" i="1"/>
  <c r="J5336" i="1" a="1"/>
  <c r="J5336" i="1" s="1"/>
  <c r="O5337" i="1" l="1" a="1"/>
  <c r="O5337" i="1" s="1"/>
  <c r="I5337" i="1" a="1"/>
  <c r="I5337" i="1" s="1"/>
  <c r="L5337" i="1" a="1"/>
  <c r="L5337" i="1" s="1"/>
  <c r="K5337" i="1" a="1"/>
  <c r="K5337" i="1" s="1"/>
  <c r="P5355" i="1" a="1"/>
  <c r="P5355" i="1" s="1"/>
  <c r="N5355" i="1" a="1"/>
  <c r="N5355" i="1" s="1"/>
  <c r="M5355" i="1" a="1"/>
  <c r="M5355" i="1" s="1"/>
  <c r="Q5355" i="1" a="1"/>
  <c r="Q5355" i="1" s="1"/>
  <c r="B5356" i="1"/>
  <c r="C5338" i="1"/>
  <c r="H5337" i="1"/>
  <c r="J5337" i="1" a="1"/>
  <c r="J5337" i="1" s="1"/>
  <c r="O5338" i="1" l="1" a="1"/>
  <c r="O5338" i="1" s="1"/>
  <c r="I5338" i="1" a="1"/>
  <c r="I5338" i="1" s="1"/>
  <c r="L5338" i="1" a="1"/>
  <c r="L5338" i="1" s="1"/>
  <c r="K5338" i="1" a="1"/>
  <c r="K5338" i="1" s="1"/>
  <c r="P5356" i="1" a="1"/>
  <c r="P5356" i="1" s="1"/>
  <c r="Q5356" i="1" a="1"/>
  <c r="Q5356" i="1" s="1"/>
  <c r="N5356" i="1" a="1"/>
  <c r="N5356" i="1" s="1"/>
  <c r="M5356" i="1" a="1"/>
  <c r="M5356" i="1" s="1"/>
  <c r="B5357" i="1"/>
  <c r="C5339" i="1"/>
  <c r="H5338" i="1"/>
  <c r="J5338" i="1" a="1"/>
  <c r="J5338" i="1" s="1"/>
  <c r="O5339" i="1" l="1" a="1"/>
  <c r="O5339" i="1" s="1"/>
  <c r="I5339" i="1" a="1"/>
  <c r="I5339" i="1" s="1"/>
  <c r="L5339" i="1" a="1"/>
  <c r="L5339" i="1" s="1"/>
  <c r="K5339" i="1" a="1"/>
  <c r="K5339" i="1" s="1"/>
  <c r="N5357" i="1" a="1"/>
  <c r="N5357" i="1" s="1"/>
  <c r="B5358" i="1"/>
  <c r="M5357" i="1" a="1"/>
  <c r="M5357" i="1" s="1"/>
  <c r="Q5357" i="1" a="1"/>
  <c r="Q5357" i="1" s="1"/>
  <c r="P5357" i="1" a="1"/>
  <c r="P5357" i="1" s="1"/>
  <c r="C5340" i="1"/>
  <c r="H5339" i="1"/>
  <c r="J5339" i="1" a="1"/>
  <c r="J5339" i="1" s="1"/>
  <c r="O5340" i="1" l="1" a="1"/>
  <c r="O5340" i="1" s="1"/>
  <c r="I5340" i="1" a="1"/>
  <c r="I5340" i="1" s="1"/>
  <c r="L5340" i="1" a="1"/>
  <c r="L5340" i="1" s="1"/>
  <c r="K5340" i="1" a="1"/>
  <c r="K5340" i="1" s="1"/>
  <c r="N5358" i="1" a="1"/>
  <c r="N5358" i="1" s="1"/>
  <c r="B5359" i="1"/>
  <c r="M5358" i="1" a="1"/>
  <c r="M5358" i="1" s="1"/>
  <c r="P5358" i="1" a="1"/>
  <c r="P5358" i="1" s="1"/>
  <c r="Q5358" i="1" a="1"/>
  <c r="Q5358" i="1" s="1"/>
  <c r="C5341" i="1"/>
  <c r="H5340" i="1"/>
  <c r="J5340" i="1" a="1"/>
  <c r="J5340" i="1" s="1"/>
  <c r="O5341" i="1" l="1" a="1"/>
  <c r="O5341" i="1" s="1"/>
  <c r="I5341" i="1" a="1"/>
  <c r="I5341" i="1" s="1"/>
  <c r="L5341" i="1" a="1"/>
  <c r="L5341" i="1" s="1"/>
  <c r="K5341" i="1" a="1"/>
  <c r="K5341" i="1" s="1"/>
  <c r="P5359" i="1" a="1"/>
  <c r="P5359" i="1" s="1"/>
  <c r="Q5359" i="1" a="1"/>
  <c r="Q5359" i="1" s="1"/>
  <c r="N5359" i="1" a="1"/>
  <c r="N5359" i="1" s="1"/>
  <c r="B5360" i="1"/>
  <c r="M5359" i="1" a="1"/>
  <c r="M5359" i="1" s="1"/>
  <c r="C5342" i="1"/>
  <c r="H5341" i="1"/>
  <c r="J5341" i="1" a="1"/>
  <c r="J5341" i="1" s="1"/>
  <c r="O5342" i="1" l="1" a="1"/>
  <c r="O5342" i="1" s="1"/>
  <c r="I5342" i="1" a="1"/>
  <c r="I5342" i="1" s="1"/>
  <c r="L5342" i="1" a="1"/>
  <c r="L5342" i="1" s="1"/>
  <c r="K5342" i="1" a="1"/>
  <c r="K5342" i="1" s="1"/>
  <c r="P5360" i="1" a="1"/>
  <c r="P5360" i="1" s="1"/>
  <c r="Q5360" i="1" a="1"/>
  <c r="Q5360" i="1" s="1"/>
  <c r="N5360" i="1" a="1"/>
  <c r="N5360" i="1" s="1"/>
  <c r="M5360" i="1" a="1"/>
  <c r="M5360" i="1" s="1"/>
  <c r="B5361" i="1"/>
  <c r="C5343" i="1"/>
  <c r="H5342" i="1"/>
  <c r="J5342" i="1" a="1"/>
  <c r="J5342" i="1" s="1"/>
  <c r="O5343" i="1" l="1" a="1"/>
  <c r="O5343" i="1" s="1"/>
  <c r="I5343" i="1" a="1"/>
  <c r="I5343" i="1" s="1"/>
  <c r="L5343" i="1" a="1"/>
  <c r="L5343" i="1" s="1"/>
  <c r="K5343" i="1" a="1"/>
  <c r="K5343" i="1" s="1"/>
  <c r="N5361" i="1" a="1"/>
  <c r="N5361" i="1" s="1"/>
  <c r="B5362" i="1"/>
  <c r="P5361" i="1" a="1"/>
  <c r="P5361" i="1" s="1"/>
  <c r="M5361" i="1" a="1"/>
  <c r="M5361" i="1" s="1"/>
  <c r="Q5361" i="1" a="1"/>
  <c r="Q5361" i="1" s="1"/>
  <c r="C5344" i="1"/>
  <c r="H5343" i="1"/>
  <c r="J5343" i="1" a="1"/>
  <c r="J5343" i="1" s="1"/>
  <c r="O5344" i="1" l="1" a="1"/>
  <c r="O5344" i="1" s="1"/>
  <c r="I5344" i="1" a="1"/>
  <c r="I5344" i="1" s="1"/>
  <c r="L5344" i="1" a="1"/>
  <c r="L5344" i="1" s="1"/>
  <c r="K5344" i="1" a="1"/>
  <c r="K5344" i="1" s="1"/>
  <c r="N5362" i="1" a="1"/>
  <c r="N5362" i="1" s="1"/>
  <c r="M5362" i="1" a="1"/>
  <c r="M5362" i="1" s="1"/>
  <c r="B5363" i="1"/>
  <c r="P5362" i="1" a="1"/>
  <c r="P5362" i="1" s="1"/>
  <c r="Q5362" i="1" a="1"/>
  <c r="Q5362" i="1" s="1"/>
  <c r="C5345" i="1"/>
  <c r="H5344" i="1"/>
  <c r="J5344" i="1" a="1"/>
  <c r="J5344" i="1" s="1"/>
  <c r="O5345" i="1" l="1" a="1"/>
  <c r="O5345" i="1" s="1"/>
  <c r="I5345" i="1" a="1"/>
  <c r="I5345" i="1" s="1"/>
  <c r="L5345" i="1" a="1"/>
  <c r="L5345" i="1" s="1"/>
  <c r="K5345" i="1" a="1"/>
  <c r="K5345" i="1" s="1"/>
  <c r="M5363" i="1" a="1"/>
  <c r="M5363" i="1" s="1"/>
  <c r="N5363" i="1" a="1"/>
  <c r="N5363" i="1" s="1"/>
  <c r="P5363" i="1" a="1"/>
  <c r="P5363" i="1" s="1"/>
  <c r="Q5363" i="1" a="1"/>
  <c r="Q5363" i="1" s="1"/>
  <c r="B5364" i="1"/>
  <c r="C5346" i="1"/>
  <c r="H5345" i="1"/>
  <c r="J5345" i="1" a="1"/>
  <c r="J5345" i="1" s="1"/>
  <c r="O5346" i="1" l="1" a="1"/>
  <c r="O5346" i="1" s="1"/>
  <c r="I5346" i="1" a="1"/>
  <c r="I5346" i="1" s="1"/>
  <c r="L5346" i="1" a="1"/>
  <c r="L5346" i="1" s="1"/>
  <c r="K5346" i="1" a="1"/>
  <c r="K5346" i="1" s="1"/>
  <c r="P5364" i="1" a="1"/>
  <c r="P5364" i="1" s="1"/>
  <c r="Q5364" i="1" a="1"/>
  <c r="Q5364" i="1" s="1"/>
  <c r="N5364" i="1" a="1"/>
  <c r="N5364" i="1" s="1"/>
  <c r="B5365" i="1"/>
  <c r="M5364" i="1" a="1"/>
  <c r="M5364" i="1" s="1"/>
  <c r="C5347" i="1"/>
  <c r="H5346" i="1"/>
  <c r="J5346" i="1" a="1"/>
  <c r="J5346" i="1" s="1"/>
  <c r="O5347" i="1" l="1" a="1"/>
  <c r="O5347" i="1" s="1"/>
  <c r="I5347" i="1" a="1"/>
  <c r="I5347" i="1" s="1"/>
  <c r="L5347" i="1" a="1"/>
  <c r="L5347" i="1" s="1"/>
  <c r="K5347" i="1" a="1"/>
  <c r="K5347" i="1" s="1"/>
  <c r="N5365" i="1" a="1"/>
  <c r="N5365" i="1" s="1"/>
  <c r="B5366" i="1"/>
  <c r="Q5365" i="1" a="1"/>
  <c r="Q5365" i="1" s="1"/>
  <c r="P5365" i="1" a="1"/>
  <c r="P5365" i="1" s="1"/>
  <c r="M5365" i="1" a="1"/>
  <c r="M5365" i="1" s="1"/>
  <c r="C5348" i="1"/>
  <c r="H5347" i="1"/>
  <c r="J5347" i="1" a="1"/>
  <c r="J5347" i="1" s="1"/>
  <c r="O5348" i="1" l="1" a="1"/>
  <c r="O5348" i="1" s="1"/>
  <c r="I5348" i="1" a="1"/>
  <c r="I5348" i="1" s="1"/>
  <c r="L5348" i="1" a="1"/>
  <c r="L5348" i="1" s="1"/>
  <c r="K5348" i="1" a="1"/>
  <c r="K5348" i="1" s="1"/>
  <c r="P5366" i="1" a="1"/>
  <c r="P5366" i="1" s="1"/>
  <c r="N5366" i="1" a="1"/>
  <c r="N5366" i="1" s="1"/>
  <c r="B5367" i="1"/>
  <c r="M5366" i="1" a="1"/>
  <c r="M5366" i="1" s="1"/>
  <c r="Q5366" i="1" a="1"/>
  <c r="Q5366" i="1" s="1"/>
  <c r="C5349" i="1"/>
  <c r="H5348" i="1"/>
  <c r="J5348" i="1" a="1"/>
  <c r="J5348" i="1" s="1"/>
  <c r="O5349" i="1" l="1" a="1"/>
  <c r="O5349" i="1" s="1"/>
  <c r="I5349" i="1" a="1"/>
  <c r="I5349" i="1" s="1"/>
  <c r="L5349" i="1" a="1"/>
  <c r="L5349" i="1" s="1"/>
  <c r="K5349" i="1" a="1"/>
  <c r="K5349" i="1" s="1"/>
  <c r="M5367" i="1" a="1"/>
  <c r="M5367" i="1" s="1"/>
  <c r="N5367" i="1" a="1"/>
  <c r="N5367" i="1" s="1"/>
  <c r="P5367" i="1" a="1"/>
  <c r="P5367" i="1" s="1"/>
  <c r="B5368" i="1"/>
  <c r="Q5367" i="1" a="1"/>
  <c r="Q5367" i="1" s="1"/>
  <c r="C5350" i="1"/>
  <c r="H5349" i="1"/>
  <c r="J5349" i="1" a="1"/>
  <c r="J5349" i="1" s="1"/>
  <c r="O5350" i="1" l="1" a="1"/>
  <c r="O5350" i="1" s="1"/>
  <c r="I5350" i="1" a="1"/>
  <c r="I5350" i="1" s="1"/>
  <c r="L5350" i="1" a="1"/>
  <c r="L5350" i="1" s="1"/>
  <c r="K5350" i="1" a="1"/>
  <c r="K5350" i="1" s="1"/>
  <c r="B5369" i="1"/>
  <c r="N5368" i="1" a="1"/>
  <c r="N5368" i="1" s="1"/>
  <c r="M5368" i="1" a="1"/>
  <c r="M5368" i="1" s="1"/>
  <c r="P5368" i="1" a="1"/>
  <c r="P5368" i="1" s="1"/>
  <c r="Q5368" i="1" a="1"/>
  <c r="Q5368" i="1" s="1"/>
  <c r="C5351" i="1"/>
  <c r="H5350" i="1"/>
  <c r="J5350" i="1" a="1"/>
  <c r="J5350" i="1" s="1"/>
  <c r="O5351" i="1" l="1" a="1"/>
  <c r="O5351" i="1" s="1"/>
  <c r="I5351" i="1" a="1"/>
  <c r="I5351" i="1" s="1"/>
  <c r="L5351" i="1" a="1"/>
  <c r="L5351" i="1" s="1"/>
  <c r="K5351" i="1" a="1"/>
  <c r="K5351" i="1" s="1"/>
  <c r="N5369" i="1" a="1"/>
  <c r="N5369" i="1" s="1"/>
  <c r="M5369" i="1" a="1"/>
  <c r="M5369" i="1" s="1"/>
  <c r="B5370" i="1"/>
  <c r="P5369" i="1" a="1"/>
  <c r="P5369" i="1" s="1"/>
  <c r="Q5369" i="1" a="1"/>
  <c r="Q5369" i="1" s="1"/>
  <c r="C5352" i="1"/>
  <c r="H5351" i="1"/>
  <c r="J5351" i="1" a="1"/>
  <c r="J5351" i="1" s="1"/>
  <c r="O5352" i="1" l="1" a="1"/>
  <c r="O5352" i="1" s="1"/>
  <c r="I5352" i="1" a="1"/>
  <c r="I5352" i="1" s="1"/>
  <c r="L5352" i="1" a="1"/>
  <c r="L5352" i="1" s="1"/>
  <c r="K5352" i="1" a="1"/>
  <c r="K5352" i="1" s="1"/>
  <c r="Q5370" i="1" a="1"/>
  <c r="Q5370" i="1" s="1"/>
  <c r="N5370" i="1" a="1"/>
  <c r="N5370" i="1" s="1"/>
  <c r="B5371" i="1"/>
  <c r="M5370" i="1" a="1"/>
  <c r="M5370" i="1" s="1"/>
  <c r="P5370" i="1" a="1"/>
  <c r="P5370" i="1" s="1"/>
  <c r="C5353" i="1"/>
  <c r="H5352" i="1"/>
  <c r="J5352" i="1" a="1"/>
  <c r="J5352" i="1" s="1"/>
  <c r="O5353" i="1" l="1" a="1"/>
  <c r="O5353" i="1" s="1"/>
  <c r="I5353" i="1" a="1"/>
  <c r="I5353" i="1" s="1"/>
  <c r="L5353" i="1" a="1"/>
  <c r="L5353" i="1" s="1"/>
  <c r="K5353" i="1" a="1"/>
  <c r="K5353" i="1" s="1"/>
  <c r="P5371" i="1" a="1"/>
  <c r="P5371" i="1" s="1"/>
  <c r="M5371" i="1" a="1"/>
  <c r="M5371" i="1" s="1"/>
  <c r="Q5371" i="1" a="1"/>
  <c r="Q5371" i="1" s="1"/>
  <c r="B5372" i="1"/>
  <c r="N5371" i="1" a="1"/>
  <c r="N5371" i="1" s="1"/>
  <c r="C5354" i="1"/>
  <c r="H5353" i="1"/>
  <c r="J5353" i="1" a="1"/>
  <c r="J5353" i="1" s="1"/>
  <c r="O5354" i="1" l="1" a="1"/>
  <c r="O5354" i="1" s="1"/>
  <c r="I5354" i="1" a="1"/>
  <c r="I5354" i="1" s="1"/>
  <c r="L5354" i="1" a="1"/>
  <c r="L5354" i="1" s="1"/>
  <c r="K5354" i="1" a="1"/>
  <c r="K5354" i="1" s="1"/>
  <c r="B5373" i="1"/>
  <c r="M5372" i="1" a="1"/>
  <c r="M5372" i="1" s="1"/>
  <c r="Q5372" i="1" a="1"/>
  <c r="Q5372" i="1" s="1"/>
  <c r="P5372" i="1" a="1"/>
  <c r="P5372" i="1" s="1"/>
  <c r="N5372" i="1" a="1"/>
  <c r="N5372" i="1" s="1"/>
  <c r="C5355" i="1"/>
  <c r="H5354" i="1"/>
  <c r="J5354" i="1" a="1"/>
  <c r="J5354" i="1" s="1"/>
  <c r="O5355" i="1" l="1" a="1"/>
  <c r="O5355" i="1" s="1"/>
  <c r="I5355" i="1" a="1"/>
  <c r="I5355" i="1" s="1"/>
  <c r="L5355" i="1" a="1"/>
  <c r="L5355" i="1" s="1"/>
  <c r="K5355" i="1" a="1"/>
  <c r="K5355" i="1" s="1"/>
  <c r="M5373" i="1" a="1"/>
  <c r="M5373" i="1" s="1"/>
  <c r="Q5373" i="1" a="1"/>
  <c r="Q5373" i="1" s="1"/>
  <c r="P5373" i="1" a="1"/>
  <c r="P5373" i="1" s="1"/>
  <c r="N5373" i="1" a="1"/>
  <c r="N5373" i="1" s="1"/>
  <c r="B5374" i="1"/>
  <c r="C5356" i="1"/>
  <c r="H5355" i="1"/>
  <c r="J5355" i="1" a="1"/>
  <c r="J5355" i="1" s="1"/>
  <c r="O5356" i="1" l="1" a="1"/>
  <c r="O5356" i="1" s="1"/>
  <c r="I5356" i="1" a="1"/>
  <c r="I5356" i="1" s="1"/>
  <c r="L5356" i="1" a="1"/>
  <c r="L5356" i="1" s="1"/>
  <c r="K5356" i="1" a="1"/>
  <c r="K5356" i="1" s="1"/>
  <c r="P5374" i="1" a="1"/>
  <c r="P5374" i="1" s="1"/>
  <c r="Q5374" i="1" a="1"/>
  <c r="Q5374" i="1" s="1"/>
  <c r="B5375" i="1"/>
  <c r="N5374" i="1" a="1"/>
  <c r="N5374" i="1" s="1"/>
  <c r="M5374" i="1" a="1"/>
  <c r="M5374" i="1" s="1"/>
  <c r="C5357" i="1"/>
  <c r="H5356" i="1"/>
  <c r="J5356" i="1" a="1"/>
  <c r="J5356" i="1" s="1"/>
  <c r="O5357" i="1" l="1" a="1"/>
  <c r="O5357" i="1" s="1"/>
  <c r="I5357" i="1" a="1"/>
  <c r="I5357" i="1" s="1"/>
  <c r="L5357" i="1" a="1"/>
  <c r="L5357" i="1" s="1"/>
  <c r="K5357" i="1" a="1"/>
  <c r="K5357" i="1" s="1"/>
  <c r="B5376" i="1"/>
  <c r="Q5375" i="1" a="1"/>
  <c r="Q5375" i="1" s="1"/>
  <c r="P5375" i="1" a="1"/>
  <c r="P5375" i="1" s="1"/>
  <c r="M5375" i="1" a="1"/>
  <c r="M5375" i="1" s="1"/>
  <c r="N5375" i="1" a="1"/>
  <c r="N5375" i="1" s="1"/>
  <c r="C5358" i="1"/>
  <c r="H5357" i="1"/>
  <c r="J5357" i="1" a="1"/>
  <c r="J5357" i="1" s="1"/>
  <c r="O5358" i="1" l="1" a="1"/>
  <c r="O5358" i="1" s="1"/>
  <c r="I5358" i="1" a="1"/>
  <c r="I5358" i="1" s="1"/>
  <c r="L5358" i="1" a="1"/>
  <c r="L5358" i="1" s="1"/>
  <c r="K5358" i="1" a="1"/>
  <c r="K5358" i="1" s="1"/>
  <c r="Q5376" i="1" a="1"/>
  <c r="Q5376" i="1" s="1"/>
  <c r="P5376" i="1" a="1"/>
  <c r="P5376" i="1" s="1"/>
  <c r="M5376" i="1" a="1"/>
  <c r="M5376" i="1" s="1"/>
  <c r="N5376" i="1" a="1"/>
  <c r="N5376" i="1" s="1"/>
  <c r="B5377" i="1"/>
  <c r="C5359" i="1"/>
  <c r="H5358" i="1"/>
  <c r="J5358" i="1" a="1"/>
  <c r="J5358" i="1" s="1"/>
  <c r="O5359" i="1" l="1" a="1"/>
  <c r="O5359" i="1" s="1"/>
  <c r="I5359" i="1" a="1"/>
  <c r="I5359" i="1" s="1"/>
  <c r="L5359" i="1" a="1"/>
  <c r="L5359" i="1" s="1"/>
  <c r="K5359" i="1" a="1"/>
  <c r="K5359" i="1" s="1"/>
  <c r="Q5377" i="1" a="1"/>
  <c r="Q5377" i="1" s="1"/>
  <c r="B5378" i="1"/>
  <c r="N5377" i="1" a="1"/>
  <c r="N5377" i="1" s="1"/>
  <c r="P5377" i="1" a="1"/>
  <c r="P5377" i="1" s="1"/>
  <c r="M5377" i="1" a="1"/>
  <c r="M5377" i="1" s="1"/>
  <c r="C5360" i="1"/>
  <c r="H5359" i="1"/>
  <c r="J5359" i="1" a="1"/>
  <c r="J5359" i="1" s="1"/>
  <c r="O5360" i="1" l="1" a="1"/>
  <c r="O5360" i="1" s="1"/>
  <c r="I5360" i="1" a="1"/>
  <c r="I5360" i="1" s="1"/>
  <c r="L5360" i="1" a="1"/>
  <c r="L5360" i="1" s="1"/>
  <c r="K5360" i="1" a="1"/>
  <c r="K5360" i="1" s="1"/>
  <c r="P5378" i="1" a="1"/>
  <c r="P5378" i="1" s="1"/>
  <c r="Q5378" i="1" a="1"/>
  <c r="Q5378" i="1" s="1"/>
  <c r="M5378" i="1" a="1"/>
  <c r="M5378" i="1" s="1"/>
  <c r="B5379" i="1"/>
  <c r="N5378" i="1" a="1"/>
  <c r="N5378" i="1" s="1"/>
  <c r="C5361" i="1"/>
  <c r="H5360" i="1"/>
  <c r="J5360" i="1" a="1"/>
  <c r="J5360" i="1" s="1"/>
  <c r="O5361" i="1" l="1" a="1"/>
  <c r="O5361" i="1" s="1"/>
  <c r="I5361" i="1" a="1"/>
  <c r="I5361" i="1" s="1"/>
  <c r="L5361" i="1" a="1"/>
  <c r="L5361" i="1" s="1"/>
  <c r="K5361" i="1" a="1"/>
  <c r="K5361" i="1" s="1"/>
  <c r="B5380" i="1"/>
  <c r="P5379" i="1" a="1"/>
  <c r="P5379" i="1" s="1"/>
  <c r="N5379" i="1" a="1"/>
  <c r="N5379" i="1" s="1"/>
  <c r="Q5379" i="1" a="1"/>
  <c r="Q5379" i="1" s="1"/>
  <c r="M5379" i="1" a="1"/>
  <c r="M5379" i="1" s="1"/>
  <c r="C5362" i="1"/>
  <c r="H5361" i="1"/>
  <c r="J5361" i="1" a="1"/>
  <c r="J5361" i="1" s="1"/>
  <c r="O5362" i="1" l="1" a="1"/>
  <c r="O5362" i="1" s="1"/>
  <c r="I5362" i="1" a="1"/>
  <c r="I5362" i="1" s="1"/>
  <c r="L5362" i="1" a="1"/>
  <c r="L5362" i="1" s="1"/>
  <c r="K5362" i="1" a="1"/>
  <c r="K5362" i="1" s="1"/>
  <c r="M5380" i="1" a="1"/>
  <c r="M5380" i="1" s="1"/>
  <c r="P5380" i="1" a="1"/>
  <c r="P5380" i="1" s="1"/>
  <c r="N5380" i="1" a="1"/>
  <c r="N5380" i="1" s="1"/>
  <c r="Q5380" i="1" a="1"/>
  <c r="Q5380" i="1" s="1"/>
  <c r="B5381" i="1"/>
  <c r="C5363" i="1"/>
  <c r="H5362" i="1"/>
  <c r="J5362" i="1" a="1"/>
  <c r="J5362" i="1" s="1"/>
  <c r="O5363" i="1" l="1" a="1"/>
  <c r="O5363" i="1" s="1"/>
  <c r="I5363" i="1" a="1"/>
  <c r="I5363" i="1" s="1"/>
  <c r="L5363" i="1" a="1"/>
  <c r="L5363" i="1" s="1"/>
  <c r="K5363" i="1" a="1"/>
  <c r="K5363" i="1" s="1"/>
  <c r="B5382" i="1"/>
  <c r="N5381" i="1" a="1"/>
  <c r="N5381" i="1" s="1"/>
  <c r="M5381" i="1" a="1"/>
  <c r="M5381" i="1" s="1"/>
  <c r="P5381" i="1" a="1"/>
  <c r="P5381" i="1" s="1"/>
  <c r="Q5381" i="1" a="1"/>
  <c r="Q5381" i="1" s="1"/>
  <c r="C5364" i="1"/>
  <c r="H5363" i="1"/>
  <c r="J5363" i="1" a="1"/>
  <c r="J5363" i="1" s="1"/>
  <c r="O5364" i="1" l="1" a="1"/>
  <c r="O5364" i="1" s="1"/>
  <c r="I5364" i="1" a="1"/>
  <c r="I5364" i="1" s="1"/>
  <c r="L5364" i="1" a="1"/>
  <c r="L5364" i="1" s="1"/>
  <c r="K5364" i="1" a="1"/>
  <c r="K5364" i="1" s="1"/>
  <c r="B5383" i="1"/>
  <c r="N5382" i="1" a="1"/>
  <c r="N5382" i="1" s="1"/>
  <c r="Q5382" i="1" a="1"/>
  <c r="Q5382" i="1" s="1"/>
  <c r="M5382" i="1" a="1"/>
  <c r="M5382" i="1" s="1"/>
  <c r="P5382" i="1" a="1"/>
  <c r="P5382" i="1" s="1"/>
  <c r="C5365" i="1"/>
  <c r="H5364" i="1"/>
  <c r="J5364" i="1" a="1"/>
  <c r="J5364" i="1" s="1"/>
  <c r="O5365" i="1" l="1" a="1"/>
  <c r="O5365" i="1" s="1"/>
  <c r="I5365" i="1" a="1"/>
  <c r="I5365" i="1" s="1"/>
  <c r="L5365" i="1" a="1"/>
  <c r="L5365" i="1" s="1"/>
  <c r="K5365" i="1" a="1"/>
  <c r="K5365" i="1" s="1"/>
  <c r="B5384" i="1"/>
  <c r="Q5383" i="1" a="1"/>
  <c r="Q5383" i="1" s="1"/>
  <c r="M5383" i="1" a="1"/>
  <c r="M5383" i="1" s="1"/>
  <c r="N5383" i="1" a="1"/>
  <c r="N5383" i="1" s="1"/>
  <c r="P5383" i="1" a="1"/>
  <c r="P5383" i="1" s="1"/>
  <c r="C5366" i="1"/>
  <c r="H5365" i="1"/>
  <c r="J5365" i="1" a="1"/>
  <c r="J5365" i="1" s="1"/>
  <c r="O5366" i="1" l="1" a="1"/>
  <c r="O5366" i="1" s="1"/>
  <c r="I5366" i="1" a="1"/>
  <c r="I5366" i="1" s="1"/>
  <c r="L5366" i="1" a="1"/>
  <c r="L5366" i="1" s="1"/>
  <c r="K5366" i="1" a="1"/>
  <c r="K5366" i="1" s="1"/>
  <c r="M5384" i="1" a="1"/>
  <c r="M5384" i="1" s="1"/>
  <c r="P5384" i="1" a="1"/>
  <c r="P5384" i="1" s="1"/>
  <c r="B5385" i="1"/>
  <c r="Q5384" i="1" a="1"/>
  <c r="Q5384" i="1" s="1"/>
  <c r="N5384" i="1" a="1"/>
  <c r="N5384" i="1" s="1"/>
  <c r="C5367" i="1"/>
  <c r="H5366" i="1"/>
  <c r="J5366" i="1" a="1"/>
  <c r="J5366" i="1" s="1"/>
  <c r="O5367" i="1" l="1" a="1"/>
  <c r="O5367" i="1" s="1"/>
  <c r="I5367" i="1" a="1"/>
  <c r="I5367" i="1" s="1"/>
  <c r="L5367" i="1" a="1"/>
  <c r="L5367" i="1" s="1"/>
  <c r="K5367" i="1" a="1"/>
  <c r="K5367" i="1" s="1"/>
  <c r="B5386" i="1"/>
  <c r="M5385" i="1" a="1"/>
  <c r="M5385" i="1" s="1"/>
  <c r="Q5385" i="1" a="1"/>
  <c r="Q5385" i="1" s="1"/>
  <c r="N5385" i="1" a="1"/>
  <c r="N5385" i="1" s="1"/>
  <c r="P5385" i="1" a="1"/>
  <c r="P5385" i="1" s="1"/>
  <c r="C5368" i="1"/>
  <c r="H5367" i="1"/>
  <c r="J5367" i="1" a="1"/>
  <c r="J5367" i="1" s="1"/>
  <c r="O5368" i="1" l="1" a="1"/>
  <c r="O5368" i="1" s="1"/>
  <c r="I5368" i="1" a="1"/>
  <c r="I5368" i="1" s="1"/>
  <c r="L5368" i="1" a="1"/>
  <c r="L5368" i="1" s="1"/>
  <c r="K5368" i="1" a="1"/>
  <c r="K5368" i="1" s="1"/>
  <c r="N5386" i="1" a="1"/>
  <c r="N5386" i="1" s="1"/>
  <c r="P5386" i="1" a="1"/>
  <c r="P5386" i="1" s="1"/>
  <c r="Q5386" i="1" a="1"/>
  <c r="Q5386" i="1" s="1"/>
  <c r="B5387" i="1"/>
  <c r="M5386" i="1" a="1"/>
  <c r="M5386" i="1" s="1"/>
  <c r="C5369" i="1"/>
  <c r="H5368" i="1"/>
  <c r="J5368" i="1" a="1"/>
  <c r="J5368" i="1" s="1"/>
  <c r="O5369" i="1" l="1" a="1"/>
  <c r="O5369" i="1" s="1"/>
  <c r="I5369" i="1" a="1"/>
  <c r="I5369" i="1" s="1"/>
  <c r="L5369" i="1" a="1"/>
  <c r="L5369" i="1" s="1"/>
  <c r="K5369" i="1" a="1"/>
  <c r="K5369" i="1" s="1"/>
  <c r="B5388" i="1"/>
  <c r="M5387" i="1" a="1"/>
  <c r="M5387" i="1" s="1"/>
  <c r="N5387" i="1" a="1"/>
  <c r="N5387" i="1" s="1"/>
  <c r="Q5387" i="1" a="1"/>
  <c r="Q5387" i="1" s="1"/>
  <c r="P5387" i="1" a="1"/>
  <c r="P5387" i="1" s="1"/>
  <c r="C5370" i="1"/>
  <c r="H5369" i="1"/>
  <c r="J5369" i="1" a="1"/>
  <c r="J5369" i="1" s="1"/>
  <c r="O5370" i="1" l="1" a="1"/>
  <c r="O5370" i="1" s="1"/>
  <c r="I5370" i="1" a="1"/>
  <c r="I5370" i="1" s="1"/>
  <c r="L5370" i="1" a="1"/>
  <c r="L5370" i="1" s="1"/>
  <c r="K5370" i="1" a="1"/>
  <c r="K5370" i="1" s="1"/>
  <c r="Q5388" i="1" a="1"/>
  <c r="Q5388" i="1" s="1"/>
  <c r="B5389" i="1"/>
  <c r="P5388" i="1" a="1"/>
  <c r="P5388" i="1" s="1"/>
  <c r="N5388" i="1" a="1"/>
  <c r="N5388" i="1" s="1"/>
  <c r="M5388" i="1" a="1"/>
  <c r="M5388" i="1" s="1"/>
  <c r="C5371" i="1"/>
  <c r="H5370" i="1"/>
  <c r="J5370" i="1" a="1"/>
  <c r="J5370" i="1" s="1"/>
  <c r="O5371" i="1" l="1" a="1"/>
  <c r="O5371" i="1" s="1"/>
  <c r="I5371" i="1" a="1"/>
  <c r="I5371" i="1" s="1"/>
  <c r="L5371" i="1" a="1"/>
  <c r="L5371" i="1" s="1"/>
  <c r="K5371" i="1" a="1"/>
  <c r="K5371" i="1" s="1"/>
  <c r="B5390" i="1"/>
  <c r="Q5389" i="1" a="1"/>
  <c r="Q5389" i="1" s="1"/>
  <c r="P5389" i="1" a="1"/>
  <c r="P5389" i="1" s="1"/>
  <c r="N5389" i="1" a="1"/>
  <c r="N5389" i="1" s="1"/>
  <c r="M5389" i="1" a="1"/>
  <c r="M5389" i="1" s="1"/>
  <c r="C5372" i="1"/>
  <c r="H5371" i="1"/>
  <c r="J5371" i="1" a="1"/>
  <c r="J5371" i="1" s="1"/>
  <c r="O5372" i="1" l="1" a="1"/>
  <c r="O5372" i="1" s="1"/>
  <c r="I5372" i="1" a="1"/>
  <c r="I5372" i="1" s="1"/>
  <c r="L5372" i="1" a="1"/>
  <c r="L5372" i="1" s="1"/>
  <c r="K5372" i="1" a="1"/>
  <c r="K5372" i="1" s="1"/>
  <c r="N5390" i="1" a="1"/>
  <c r="N5390" i="1" s="1"/>
  <c r="P5390" i="1" a="1"/>
  <c r="P5390" i="1" s="1"/>
  <c r="B5391" i="1"/>
  <c r="Q5390" i="1" a="1"/>
  <c r="Q5390" i="1" s="1"/>
  <c r="M5390" i="1" a="1"/>
  <c r="M5390" i="1" s="1"/>
  <c r="C5373" i="1"/>
  <c r="H5372" i="1"/>
  <c r="J5372" i="1" a="1"/>
  <c r="J5372" i="1" s="1"/>
  <c r="O5373" i="1" l="1" a="1"/>
  <c r="O5373" i="1" s="1"/>
  <c r="I5373" i="1" a="1"/>
  <c r="I5373" i="1" s="1"/>
  <c r="L5373" i="1" a="1"/>
  <c r="L5373" i="1" s="1"/>
  <c r="K5373" i="1" a="1"/>
  <c r="K5373" i="1" s="1"/>
  <c r="B5392" i="1"/>
  <c r="Q5391" i="1" a="1"/>
  <c r="Q5391" i="1" s="1"/>
  <c r="M5391" i="1" a="1"/>
  <c r="M5391" i="1" s="1"/>
  <c r="P5391" i="1" a="1"/>
  <c r="P5391" i="1" s="1"/>
  <c r="N5391" i="1" a="1"/>
  <c r="N5391" i="1" s="1"/>
  <c r="C5374" i="1"/>
  <c r="H5373" i="1"/>
  <c r="J5373" i="1" a="1"/>
  <c r="J5373" i="1" s="1"/>
  <c r="O5374" i="1" l="1" a="1"/>
  <c r="O5374" i="1" s="1"/>
  <c r="I5374" i="1" a="1"/>
  <c r="I5374" i="1" s="1"/>
  <c r="L5374" i="1" a="1"/>
  <c r="L5374" i="1" s="1"/>
  <c r="K5374" i="1" a="1"/>
  <c r="K5374" i="1" s="1"/>
  <c r="Q5392" i="1" a="1"/>
  <c r="Q5392" i="1" s="1"/>
  <c r="P5392" i="1" a="1"/>
  <c r="P5392" i="1" s="1"/>
  <c r="N5392" i="1" a="1"/>
  <c r="N5392" i="1" s="1"/>
  <c r="B5393" i="1"/>
  <c r="M5392" i="1" a="1"/>
  <c r="M5392" i="1" s="1"/>
  <c r="C5375" i="1"/>
  <c r="H5374" i="1"/>
  <c r="J5374" i="1" a="1"/>
  <c r="J5374" i="1" s="1"/>
  <c r="O5375" i="1" l="1" a="1"/>
  <c r="O5375" i="1" s="1"/>
  <c r="I5375" i="1" a="1"/>
  <c r="I5375" i="1" s="1"/>
  <c r="D39" i="2"/>
  <c r="L5375" i="1" a="1"/>
  <c r="L5375" i="1" s="1"/>
  <c r="K5375" i="1" a="1"/>
  <c r="K5375" i="1" s="1"/>
  <c r="B5394" i="1"/>
  <c r="D112" i="2" s="1"/>
  <c r="P5393" i="1" a="1"/>
  <c r="P5393" i="1" s="1"/>
  <c r="M5393" i="1" a="1"/>
  <c r="M5393" i="1" s="1"/>
  <c r="N5393" i="1" a="1"/>
  <c r="N5393" i="1" s="1"/>
  <c r="Q5393" i="1" a="1"/>
  <c r="Q5393" i="1" s="1"/>
  <c r="C5376" i="1"/>
  <c r="H5375" i="1"/>
  <c r="J5375" i="1" a="1"/>
  <c r="J5375" i="1" s="1"/>
  <c r="O5376" i="1" l="1" a="1"/>
  <c r="O5376" i="1" s="1"/>
  <c r="I5376" i="1" a="1"/>
  <c r="I5376" i="1" s="1"/>
  <c r="D68" i="2"/>
  <c r="D111" i="2"/>
  <c r="D82" i="2"/>
  <c r="D148" i="2"/>
  <c r="D25" i="2"/>
  <c r="D94" i="2"/>
  <c r="D130" i="2"/>
  <c r="D8" i="2"/>
  <c r="D89" i="2"/>
  <c r="D102" i="2"/>
  <c r="D33" i="2"/>
  <c r="D66" i="2"/>
  <c r="L5376" i="1" a="1"/>
  <c r="L5376" i="1" s="1"/>
  <c r="K5376" i="1" a="1"/>
  <c r="K5376" i="1" s="1"/>
  <c r="B5395" i="1"/>
  <c r="P5394" i="1" a="1"/>
  <c r="P5394" i="1" s="1"/>
  <c r="Q5394" i="1" a="1"/>
  <c r="Q5394" i="1" s="1"/>
  <c r="M5394" i="1" a="1"/>
  <c r="M5394" i="1" s="1"/>
  <c r="N5394" i="1" a="1"/>
  <c r="N5394" i="1" s="1"/>
  <c r="C5377" i="1"/>
  <c r="H5376" i="1"/>
  <c r="J5376" i="1" a="1"/>
  <c r="J5376" i="1" s="1"/>
  <c r="O5377" i="1" l="1" a="1"/>
  <c r="O5377" i="1" s="1"/>
  <c r="I5377" i="1" a="1"/>
  <c r="I5377" i="1" s="1"/>
  <c r="D58" i="2"/>
  <c r="D87" i="2"/>
  <c r="D44" i="2"/>
  <c r="D108" i="2"/>
  <c r="L5377" i="1" a="1"/>
  <c r="L5377" i="1" s="1"/>
  <c r="K5377" i="1" a="1"/>
  <c r="K5377" i="1" s="1"/>
  <c r="B5396" i="1"/>
  <c r="Q5395" i="1" a="1"/>
  <c r="Q5395" i="1" s="1"/>
  <c r="P5395" i="1" a="1"/>
  <c r="P5395" i="1" s="1"/>
  <c r="N5395" i="1" a="1"/>
  <c r="N5395" i="1" s="1"/>
  <c r="M5395" i="1" a="1"/>
  <c r="M5395" i="1" s="1"/>
  <c r="C5378" i="1"/>
  <c r="H5377" i="1"/>
  <c r="J5377" i="1" a="1"/>
  <c r="J5377" i="1" s="1"/>
  <c r="O5378" i="1" l="1" a="1"/>
  <c r="O5378" i="1" s="1"/>
  <c r="I5378" i="1" a="1"/>
  <c r="I5378" i="1" s="1"/>
  <c r="L5378" i="1" a="1"/>
  <c r="L5378" i="1" s="1"/>
  <c r="K5378" i="1" a="1"/>
  <c r="K5378" i="1" s="1"/>
  <c r="N5396" i="1" a="1"/>
  <c r="N5396" i="1" s="1"/>
  <c r="B5397" i="1"/>
  <c r="M5396" i="1" a="1"/>
  <c r="M5396" i="1" s="1"/>
  <c r="Q5396" i="1" a="1"/>
  <c r="Q5396" i="1" s="1"/>
  <c r="P5396" i="1" a="1"/>
  <c r="P5396" i="1" s="1"/>
  <c r="C5379" i="1"/>
  <c r="H5378" i="1"/>
  <c r="J5378" i="1" a="1"/>
  <c r="J5378" i="1" s="1"/>
  <c r="O5379" i="1" l="1" a="1"/>
  <c r="O5379" i="1" s="1"/>
  <c r="I5379" i="1" a="1"/>
  <c r="I5379" i="1" s="1"/>
  <c r="L5379" i="1" a="1"/>
  <c r="L5379" i="1" s="1"/>
  <c r="K5379" i="1" a="1"/>
  <c r="K5379" i="1" s="1"/>
  <c r="B5398" i="1"/>
  <c r="N5397" i="1" a="1"/>
  <c r="N5397" i="1" s="1"/>
  <c r="Q5397" i="1" a="1"/>
  <c r="Q5397" i="1" s="1"/>
  <c r="M5397" i="1" a="1"/>
  <c r="M5397" i="1" s="1"/>
  <c r="P5397" i="1" a="1"/>
  <c r="P5397" i="1" s="1"/>
  <c r="C5380" i="1"/>
  <c r="H5379" i="1"/>
  <c r="J5379" i="1" a="1"/>
  <c r="J5379" i="1" s="1"/>
  <c r="O5380" i="1" l="1" a="1"/>
  <c r="O5380" i="1" s="1"/>
  <c r="I5380" i="1" a="1"/>
  <c r="I5380" i="1" s="1"/>
  <c r="L5380" i="1" a="1"/>
  <c r="L5380" i="1" s="1"/>
  <c r="K5380" i="1" a="1"/>
  <c r="K5380" i="1" s="1"/>
  <c r="N5398" i="1" a="1"/>
  <c r="N5398" i="1" s="1"/>
  <c r="Q5398" i="1" a="1"/>
  <c r="Q5398" i="1" s="1"/>
  <c r="B5399" i="1"/>
  <c r="P5398" i="1" a="1"/>
  <c r="P5398" i="1" s="1"/>
  <c r="M5398" i="1" a="1"/>
  <c r="M5398" i="1" s="1"/>
  <c r="C5381" i="1"/>
  <c r="H5380" i="1"/>
  <c r="J5380" i="1" a="1"/>
  <c r="J5380" i="1" s="1"/>
  <c r="O5381" i="1" l="1" a="1"/>
  <c r="O5381" i="1" s="1"/>
  <c r="I5381" i="1" a="1"/>
  <c r="I5381" i="1" s="1"/>
  <c r="L5381" i="1" a="1"/>
  <c r="L5381" i="1" s="1"/>
  <c r="K5381" i="1" a="1"/>
  <c r="K5381" i="1" s="1"/>
  <c r="B5400" i="1"/>
  <c r="N5399" i="1" a="1"/>
  <c r="N5399" i="1" s="1"/>
  <c r="Q5399" i="1" a="1"/>
  <c r="Q5399" i="1" s="1"/>
  <c r="M5399" i="1" a="1"/>
  <c r="M5399" i="1" s="1"/>
  <c r="P5399" i="1" a="1"/>
  <c r="P5399" i="1" s="1"/>
  <c r="C5382" i="1"/>
  <c r="H5381" i="1"/>
  <c r="J5381" i="1" a="1"/>
  <c r="J5381" i="1" s="1"/>
  <c r="O5382" i="1" l="1" a="1"/>
  <c r="O5382" i="1" s="1"/>
  <c r="I5382" i="1" a="1"/>
  <c r="I5382" i="1" s="1"/>
  <c r="L5382" i="1" a="1"/>
  <c r="L5382" i="1" s="1"/>
  <c r="K5382" i="1" a="1"/>
  <c r="K5382" i="1" s="1"/>
  <c r="P5400" i="1" a="1"/>
  <c r="P5400" i="1" s="1"/>
  <c r="N5400" i="1" a="1"/>
  <c r="N5400" i="1" s="1"/>
  <c r="B5401" i="1"/>
  <c r="Q5400" i="1" a="1"/>
  <c r="Q5400" i="1" s="1"/>
  <c r="M5400" i="1" a="1"/>
  <c r="M5400" i="1" s="1"/>
  <c r="C5383" i="1"/>
  <c r="H5382" i="1"/>
  <c r="J5382" i="1" a="1"/>
  <c r="J5382" i="1" s="1"/>
  <c r="O5383" i="1" l="1" a="1"/>
  <c r="O5383" i="1" s="1"/>
  <c r="I5383" i="1" a="1"/>
  <c r="I5383" i="1" s="1"/>
  <c r="L5383" i="1" a="1"/>
  <c r="L5383" i="1" s="1"/>
  <c r="K5383" i="1" a="1"/>
  <c r="K5383" i="1" s="1"/>
  <c r="M5401" i="1" a="1"/>
  <c r="M5401" i="1" s="1"/>
  <c r="Q5401" i="1" a="1"/>
  <c r="Q5401" i="1" s="1"/>
  <c r="N5401" i="1" a="1"/>
  <c r="N5401" i="1" s="1"/>
  <c r="P5401" i="1" a="1"/>
  <c r="P5401" i="1" s="1"/>
  <c r="B5402" i="1"/>
  <c r="C5384" i="1"/>
  <c r="H5383" i="1"/>
  <c r="J5383" i="1" a="1"/>
  <c r="J5383" i="1" s="1"/>
  <c r="O5384" i="1" l="1" a="1"/>
  <c r="O5384" i="1" s="1"/>
  <c r="I5384" i="1" a="1"/>
  <c r="I5384" i="1" s="1"/>
  <c r="L5384" i="1" a="1"/>
  <c r="L5384" i="1" s="1"/>
  <c r="K5384" i="1" a="1"/>
  <c r="K5384" i="1" s="1"/>
  <c r="B5403" i="1"/>
  <c r="N5402" i="1" a="1"/>
  <c r="N5402" i="1" s="1"/>
  <c r="Q5402" i="1" a="1"/>
  <c r="Q5402" i="1" s="1"/>
  <c r="M5402" i="1" a="1"/>
  <c r="M5402" i="1" s="1"/>
  <c r="P5402" i="1" a="1"/>
  <c r="P5402" i="1" s="1"/>
  <c r="C5385" i="1"/>
  <c r="H5384" i="1"/>
  <c r="J5384" i="1" a="1"/>
  <c r="J5384" i="1" s="1"/>
  <c r="O5385" i="1" l="1" a="1"/>
  <c r="O5385" i="1" s="1"/>
  <c r="I5385" i="1" a="1"/>
  <c r="I5385" i="1" s="1"/>
  <c r="L5385" i="1" a="1"/>
  <c r="L5385" i="1" s="1"/>
  <c r="K5385" i="1" a="1"/>
  <c r="K5385" i="1" s="1"/>
  <c r="B5404" i="1"/>
  <c r="P5403" i="1" a="1"/>
  <c r="P5403" i="1" s="1"/>
  <c r="Q5403" i="1" a="1"/>
  <c r="Q5403" i="1" s="1"/>
  <c r="N5403" i="1" a="1"/>
  <c r="N5403" i="1" s="1"/>
  <c r="M5403" i="1" a="1"/>
  <c r="M5403" i="1" s="1"/>
  <c r="C5386" i="1"/>
  <c r="H5385" i="1"/>
  <c r="J5385" i="1" a="1"/>
  <c r="J5385" i="1" s="1"/>
  <c r="O5386" i="1" l="1" a="1"/>
  <c r="O5386" i="1" s="1"/>
  <c r="I5386" i="1" a="1"/>
  <c r="I5386" i="1" s="1"/>
  <c r="L5386" i="1" a="1"/>
  <c r="L5386" i="1" s="1"/>
  <c r="K5386" i="1" a="1"/>
  <c r="K5386" i="1" s="1"/>
  <c r="B5405" i="1"/>
  <c r="P5404" i="1" a="1"/>
  <c r="P5404" i="1" s="1"/>
  <c r="Q5404" i="1" a="1"/>
  <c r="Q5404" i="1" s="1"/>
  <c r="N5404" i="1" a="1"/>
  <c r="N5404" i="1" s="1"/>
  <c r="M5404" i="1" a="1"/>
  <c r="M5404" i="1" s="1"/>
  <c r="C5387" i="1"/>
  <c r="H5386" i="1"/>
  <c r="J5386" i="1" a="1"/>
  <c r="J5386" i="1" s="1"/>
  <c r="O5387" i="1" l="1" a="1"/>
  <c r="O5387" i="1" s="1"/>
  <c r="I5387" i="1" a="1"/>
  <c r="I5387" i="1" s="1"/>
  <c r="L5387" i="1" a="1"/>
  <c r="L5387" i="1" s="1"/>
  <c r="K5387" i="1" a="1"/>
  <c r="K5387" i="1" s="1"/>
  <c r="N5405" i="1" a="1"/>
  <c r="N5405" i="1" s="1"/>
  <c r="P5405" i="1" a="1"/>
  <c r="P5405" i="1" s="1"/>
  <c r="B5406" i="1"/>
  <c r="M5405" i="1" a="1"/>
  <c r="M5405" i="1" s="1"/>
  <c r="Q5405" i="1" a="1"/>
  <c r="Q5405" i="1" s="1"/>
  <c r="C5388" i="1"/>
  <c r="H5387" i="1"/>
  <c r="J5387" i="1" a="1"/>
  <c r="J5387" i="1" s="1"/>
  <c r="O5388" i="1" l="1" a="1"/>
  <c r="O5388" i="1" s="1"/>
  <c r="I5388" i="1" a="1"/>
  <c r="I5388" i="1" s="1"/>
  <c r="L5388" i="1" a="1"/>
  <c r="L5388" i="1" s="1"/>
  <c r="K5388" i="1" a="1"/>
  <c r="K5388" i="1" s="1"/>
  <c r="B5407" i="1"/>
  <c r="N5406" i="1" a="1"/>
  <c r="N5406" i="1" s="1"/>
  <c r="P5406" i="1" a="1"/>
  <c r="P5406" i="1" s="1"/>
  <c r="Q5406" i="1" a="1"/>
  <c r="Q5406" i="1" s="1"/>
  <c r="M5406" i="1" a="1"/>
  <c r="M5406" i="1" s="1"/>
  <c r="C5389" i="1"/>
  <c r="H5388" i="1"/>
  <c r="J5388" i="1" a="1"/>
  <c r="J5388" i="1" s="1"/>
  <c r="O5389" i="1" l="1" a="1"/>
  <c r="O5389" i="1" s="1"/>
  <c r="I5389" i="1" a="1"/>
  <c r="I5389" i="1" s="1"/>
  <c r="L5389" i="1" a="1"/>
  <c r="L5389" i="1" s="1"/>
  <c r="K5389" i="1" a="1"/>
  <c r="K5389" i="1" s="1"/>
  <c r="N5407" i="1" a="1"/>
  <c r="N5407" i="1" s="1"/>
  <c r="P5407" i="1" a="1"/>
  <c r="P5407" i="1" s="1"/>
  <c r="B5408" i="1"/>
  <c r="M5407" i="1" a="1"/>
  <c r="M5407" i="1" s="1"/>
  <c r="Q5407" i="1" a="1"/>
  <c r="Q5407" i="1" s="1"/>
  <c r="C5390" i="1"/>
  <c r="H5389" i="1"/>
  <c r="J5389" i="1" a="1"/>
  <c r="J5389" i="1" s="1"/>
  <c r="O5390" i="1" l="1" a="1"/>
  <c r="O5390" i="1" s="1"/>
  <c r="I5390" i="1" a="1"/>
  <c r="I5390" i="1" s="1"/>
  <c r="L5390" i="1" a="1"/>
  <c r="L5390" i="1" s="1"/>
  <c r="K5390" i="1" a="1"/>
  <c r="K5390" i="1" s="1"/>
  <c r="B5409" i="1"/>
  <c r="N5408" i="1" a="1"/>
  <c r="N5408" i="1" s="1"/>
  <c r="P5408" i="1" a="1"/>
  <c r="P5408" i="1" s="1"/>
  <c r="M5408" i="1" a="1"/>
  <c r="M5408" i="1" s="1"/>
  <c r="Q5408" i="1" a="1"/>
  <c r="Q5408" i="1" s="1"/>
  <c r="C5391" i="1"/>
  <c r="H5390" i="1"/>
  <c r="J5390" i="1" a="1"/>
  <c r="J5390" i="1" s="1"/>
  <c r="O5391" i="1" l="1" a="1"/>
  <c r="O5391" i="1" s="1"/>
  <c r="I5391" i="1" a="1"/>
  <c r="I5391" i="1" s="1"/>
  <c r="L5391" i="1" a="1"/>
  <c r="L5391" i="1" s="1"/>
  <c r="K5391" i="1" a="1"/>
  <c r="K5391" i="1" s="1"/>
  <c r="Q5409" i="1" a="1"/>
  <c r="Q5409" i="1" s="1"/>
  <c r="B5410" i="1"/>
  <c r="P5409" i="1" a="1"/>
  <c r="P5409" i="1" s="1"/>
  <c r="M5409" i="1" a="1"/>
  <c r="M5409" i="1" s="1"/>
  <c r="N5409" i="1" a="1"/>
  <c r="N5409" i="1" s="1"/>
  <c r="C5392" i="1"/>
  <c r="H5391" i="1"/>
  <c r="J5391" i="1" a="1"/>
  <c r="J5391" i="1" s="1"/>
  <c r="O5392" i="1" l="1" a="1"/>
  <c r="O5392" i="1" s="1"/>
  <c r="I5392" i="1" a="1"/>
  <c r="I5392" i="1" s="1"/>
  <c r="L5392" i="1" a="1"/>
  <c r="L5392" i="1" s="1"/>
  <c r="K5392" i="1" a="1"/>
  <c r="K5392" i="1" s="1"/>
  <c r="B5411" i="1"/>
  <c r="P5410" i="1" a="1"/>
  <c r="P5410" i="1" s="1"/>
  <c r="N5410" i="1" a="1"/>
  <c r="N5410" i="1" s="1"/>
  <c r="Q5410" i="1" a="1"/>
  <c r="Q5410" i="1" s="1"/>
  <c r="M5410" i="1" a="1"/>
  <c r="M5410" i="1" s="1"/>
  <c r="C5393" i="1"/>
  <c r="H5392" i="1"/>
  <c r="J5392" i="1" a="1"/>
  <c r="J5392" i="1" s="1"/>
  <c r="O5393" i="1" l="1" a="1"/>
  <c r="O5393" i="1" s="1"/>
  <c r="I5393" i="1" a="1"/>
  <c r="I5393" i="1" s="1"/>
  <c r="L5393" i="1" a="1"/>
  <c r="L5393" i="1" s="1"/>
  <c r="K5393" i="1" a="1"/>
  <c r="K5393" i="1" s="1"/>
  <c r="Q5411" i="1" a="1"/>
  <c r="Q5411" i="1" s="1"/>
  <c r="B5412" i="1"/>
  <c r="M5411" i="1" a="1"/>
  <c r="M5411" i="1" s="1"/>
  <c r="N5411" i="1" a="1"/>
  <c r="N5411" i="1" s="1"/>
  <c r="P5411" i="1" a="1"/>
  <c r="P5411" i="1" s="1"/>
  <c r="C5394" i="1"/>
  <c r="H5393" i="1"/>
  <c r="J5393" i="1" a="1"/>
  <c r="J5393" i="1" s="1"/>
  <c r="O5394" i="1" l="1" a="1"/>
  <c r="O5394" i="1" s="1"/>
  <c r="I5394" i="1" a="1"/>
  <c r="I5394" i="1" s="1"/>
  <c r="L5394" i="1" a="1"/>
  <c r="L5394" i="1" s="1"/>
  <c r="K5394" i="1" a="1"/>
  <c r="K5394" i="1" s="1"/>
  <c r="N5412" i="1" a="1"/>
  <c r="N5412" i="1" s="1"/>
  <c r="B5413" i="1"/>
  <c r="M5412" i="1" a="1"/>
  <c r="M5412" i="1" s="1"/>
  <c r="Q5412" i="1" a="1"/>
  <c r="Q5412" i="1" s="1"/>
  <c r="P5412" i="1" a="1"/>
  <c r="P5412" i="1" s="1"/>
  <c r="C5395" i="1"/>
  <c r="H5394" i="1"/>
  <c r="J5394" i="1" a="1"/>
  <c r="J5394" i="1" s="1"/>
  <c r="O5395" i="1" l="1" a="1"/>
  <c r="O5395" i="1" s="1"/>
  <c r="I5395" i="1" a="1"/>
  <c r="I5395" i="1" s="1"/>
  <c r="L5395" i="1" a="1"/>
  <c r="L5395" i="1" s="1"/>
  <c r="K5395" i="1" a="1"/>
  <c r="K5395" i="1" s="1"/>
  <c r="P5413" i="1" a="1"/>
  <c r="P5413" i="1" s="1"/>
  <c r="N5413" i="1" a="1"/>
  <c r="N5413" i="1" s="1"/>
  <c r="B5414" i="1"/>
  <c r="Q5413" i="1" a="1"/>
  <c r="Q5413" i="1" s="1"/>
  <c r="M5413" i="1" a="1"/>
  <c r="M5413" i="1" s="1"/>
  <c r="C5396" i="1"/>
  <c r="H5395" i="1"/>
  <c r="J5395" i="1" a="1"/>
  <c r="J5395" i="1" s="1"/>
  <c r="O5396" i="1" l="1" a="1"/>
  <c r="O5396" i="1" s="1"/>
  <c r="I5396" i="1" a="1"/>
  <c r="I5396" i="1" s="1"/>
  <c r="L5396" i="1" a="1"/>
  <c r="L5396" i="1" s="1"/>
  <c r="K5396" i="1" a="1"/>
  <c r="K5396" i="1" s="1"/>
  <c r="N5414" i="1" a="1"/>
  <c r="N5414" i="1" s="1"/>
  <c r="Q5414" i="1" a="1"/>
  <c r="Q5414" i="1" s="1"/>
  <c r="P5414" i="1" a="1"/>
  <c r="P5414" i="1" s="1"/>
  <c r="M5414" i="1" a="1"/>
  <c r="M5414" i="1" s="1"/>
  <c r="B5415" i="1"/>
  <c r="C5397" i="1"/>
  <c r="H5396" i="1"/>
  <c r="J5396" i="1" a="1"/>
  <c r="J5396" i="1" s="1"/>
  <c r="O5397" i="1" l="1" a="1"/>
  <c r="O5397" i="1" s="1"/>
  <c r="I5397" i="1" a="1"/>
  <c r="I5397" i="1" s="1"/>
  <c r="L5397" i="1" a="1"/>
  <c r="L5397" i="1" s="1"/>
  <c r="K5397" i="1" a="1"/>
  <c r="K5397" i="1" s="1"/>
  <c r="P5415" i="1" a="1"/>
  <c r="P5415" i="1" s="1"/>
  <c r="N5415" i="1" a="1"/>
  <c r="N5415" i="1" s="1"/>
  <c r="M5415" i="1" a="1"/>
  <c r="M5415" i="1" s="1"/>
  <c r="Q5415" i="1" a="1"/>
  <c r="Q5415" i="1" s="1"/>
  <c r="B5416" i="1"/>
  <c r="C5398" i="1"/>
  <c r="H5397" i="1"/>
  <c r="J5397" i="1" a="1"/>
  <c r="J5397" i="1" s="1"/>
  <c r="O5398" i="1" l="1" a="1"/>
  <c r="O5398" i="1" s="1"/>
  <c r="I5398" i="1" a="1"/>
  <c r="I5398" i="1" s="1"/>
  <c r="L5398" i="1" a="1"/>
  <c r="L5398" i="1" s="1"/>
  <c r="K5398" i="1" a="1"/>
  <c r="K5398" i="1" s="1"/>
  <c r="N5416" i="1" a="1"/>
  <c r="N5416" i="1" s="1"/>
  <c r="B5417" i="1"/>
  <c r="P5416" i="1" a="1"/>
  <c r="P5416" i="1" s="1"/>
  <c r="Q5416" i="1" a="1"/>
  <c r="Q5416" i="1" s="1"/>
  <c r="M5416" i="1" a="1"/>
  <c r="M5416" i="1" s="1"/>
  <c r="C5399" i="1"/>
  <c r="H5398" i="1"/>
  <c r="J5398" i="1" a="1"/>
  <c r="J5398" i="1" s="1"/>
  <c r="O5399" i="1" l="1" a="1"/>
  <c r="O5399" i="1" s="1"/>
  <c r="I5399" i="1" a="1"/>
  <c r="I5399" i="1" s="1"/>
  <c r="L5399" i="1" a="1"/>
  <c r="L5399" i="1" s="1"/>
  <c r="K5399" i="1" a="1"/>
  <c r="K5399" i="1" s="1"/>
  <c r="B5418" i="1"/>
  <c r="P5417" i="1" a="1"/>
  <c r="P5417" i="1" s="1"/>
  <c r="M5417" i="1" a="1"/>
  <c r="M5417" i="1" s="1"/>
  <c r="Q5417" i="1" a="1"/>
  <c r="Q5417" i="1" s="1"/>
  <c r="N5417" i="1" a="1"/>
  <c r="N5417" i="1" s="1"/>
  <c r="C5400" i="1"/>
  <c r="H5399" i="1"/>
  <c r="J5399" i="1" a="1"/>
  <c r="J5399" i="1" s="1"/>
  <c r="O5400" i="1" l="1" a="1"/>
  <c r="O5400" i="1" s="1"/>
  <c r="I5400" i="1" a="1"/>
  <c r="I5400" i="1" s="1"/>
  <c r="L5400" i="1" a="1"/>
  <c r="L5400" i="1" s="1"/>
  <c r="K5400" i="1" a="1"/>
  <c r="K5400" i="1" s="1"/>
  <c r="B5419" i="1"/>
  <c r="N5418" i="1" a="1"/>
  <c r="N5418" i="1" s="1"/>
  <c r="Q5418" i="1" a="1"/>
  <c r="Q5418" i="1" s="1"/>
  <c r="P5418" i="1" a="1"/>
  <c r="P5418" i="1" s="1"/>
  <c r="M5418" i="1" a="1"/>
  <c r="M5418" i="1" s="1"/>
  <c r="C5401" i="1"/>
  <c r="H5400" i="1"/>
  <c r="J5400" i="1" a="1"/>
  <c r="J5400" i="1" s="1"/>
  <c r="O5401" i="1" l="1" a="1"/>
  <c r="O5401" i="1" s="1"/>
  <c r="I5401" i="1" a="1"/>
  <c r="I5401" i="1" s="1"/>
  <c r="L5401" i="1" a="1"/>
  <c r="L5401" i="1" s="1"/>
  <c r="K5401" i="1" a="1"/>
  <c r="K5401" i="1" s="1"/>
  <c r="P5419" i="1" a="1"/>
  <c r="P5419" i="1" s="1"/>
  <c r="Q5419" i="1" a="1"/>
  <c r="Q5419" i="1" s="1"/>
  <c r="B5420" i="1"/>
  <c r="N5419" i="1" a="1"/>
  <c r="N5419" i="1" s="1"/>
  <c r="M5419" i="1" a="1"/>
  <c r="M5419" i="1" s="1"/>
  <c r="C5402" i="1"/>
  <c r="H5401" i="1"/>
  <c r="J5401" i="1" a="1"/>
  <c r="J5401" i="1" s="1"/>
  <c r="O5402" i="1" l="1" a="1"/>
  <c r="O5402" i="1" s="1"/>
  <c r="I5402" i="1" a="1"/>
  <c r="I5402" i="1" s="1"/>
  <c r="L5402" i="1" a="1"/>
  <c r="L5402" i="1" s="1"/>
  <c r="K5402" i="1" a="1"/>
  <c r="K5402" i="1" s="1"/>
  <c r="Q5420" i="1" a="1"/>
  <c r="Q5420" i="1" s="1"/>
  <c r="N5420" i="1" a="1"/>
  <c r="N5420" i="1" s="1"/>
  <c r="B5421" i="1"/>
  <c r="P5420" i="1" a="1"/>
  <c r="P5420" i="1" s="1"/>
  <c r="M5420" i="1" a="1"/>
  <c r="M5420" i="1" s="1"/>
  <c r="C5403" i="1"/>
  <c r="H5402" i="1"/>
  <c r="J5402" i="1" a="1"/>
  <c r="J5402" i="1" s="1"/>
  <c r="O5403" i="1" l="1" a="1"/>
  <c r="O5403" i="1" s="1"/>
  <c r="I5403" i="1" a="1"/>
  <c r="I5403" i="1" s="1"/>
  <c r="L5403" i="1" a="1"/>
  <c r="L5403" i="1" s="1"/>
  <c r="K5403" i="1" a="1"/>
  <c r="K5403" i="1" s="1"/>
  <c r="B5422" i="1"/>
  <c r="P5421" i="1" a="1"/>
  <c r="P5421" i="1" s="1"/>
  <c r="M5421" i="1" a="1"/>
  <c r="M5421" i="1" s="1"/>
  <c r="N5421" i="1" a="1"/>
  <c r="N5421" i="1" s="1"/>
  <c r="Q5421" i="1" a="1"/>
  <c r="Q5421" i="1" s="1"/>
  <c r="C5404" i="1"/>
  <c r="H5403" i="1"/>
  <c r="J5403" i="1" a="1"/>
  <c r="J5403" i="1" s="1"/>
  <c r="O5404" i="1" l="1" a="1"/>
  <c r="O5404" i="1" s="1"/>
  <c r="I5404" i="1" a="1"/>
  <c r="I5404" i="1" s="1"/>
  <c r="L5404" i="1" a="1"/>
  <c r="L5404" i="1" s="1"/>
  <c r="K5404" i="1" a="1"/>
  <c r="K5404" i="1" s="1"/>
  <c r="B5423" i="1"/>
  <c r="P5422" i="1" a="1"/>
  <c r="P5422" i="1" s="1"/>
  <c r="N5422" i="1" a="1"/>
  <c r="N5422" i="1" s="1"/>
  <c r="Q5422" i="1" a="1"/>
  <c r="Q5422" i="1" s="1"/>
  <c r="M5422" i="1" a="1"/>
  <c r="M5422" i="1" s="1"/>
  <c r="C5405" i="1"/>
  <c r="H5404" i="1"/>
  <c r="J5404" i="1" a="1"/>
  <c r="J5404" i="1" s="1"/>
  <c r="O5405" i="1" l="1" a="1"/>
  <c r="O5405" i="1" s="1"/>
  <c r="I5405" i="1" a="1"/>
  <c r="I5405" i="1" s="1"/>
  <c r="L5405" i="1" a="1"/>
  <c r="L5405" i="1" s="1"/>
  <c r="K5405" i="1" a="1"/>
  <c r="K5405" i="1" s="1"/>
  <c r="P5423" i="1" a="1"/>
  <c r="P5423" i="1" s="1"/>
  <c r="M5423" i="1" a="1"/>
  <c r="M5423" i="1" s="1"/>
  <c r="Q5423" i="1" a="1"/>
  <c r="Q5423" i="1" s="1"/>
  <c r="B5424" i="1"/>
  <c r="N5423" i="1" a="1"/>
  <c r="N5423" i="1" s="1"/>
  <c r="C5406" i="1"/>
  <c r="H5405" i="1"/>
  <c r="J5405" i="1" a="1"/>
  <c r="J5405" i="1" s="1"/>
  <c r="O5406" i="1" l="1" a="1"/>
  <c r="O5406" i="1" s="1"/>
  <c r="I5406" i="1" a="1"/>
  <c r="I5406" i="1" s="1"/>
  <c r="L5406" i="1" a="1"/>
  <c r="L5406" i="1" s="1"/>
  <c r="K5406" i="1" a="1"/>
  <c r="K5406" i="1" s="1"/>
  <c r="Q5424" i="1" a="1"/>
  <c r="Q5424" i="1" s="1"/>
  <c r="B5425" i="1"/>
  <c r="N5424" i="1" a="1"/>
  <c r="N5424" i="1" s="1"/>
  <c r="P5424" i="1" a="1"/>
  <c r="P5424" i="1" s="1"/>
  <c r="M5424" i="1" a="1"/>
  <c r="M5424" i="1" s="1"/>
  <c r="C5407" i="1"/>
  <c r="H5406" i="1"/>
  <c r="J5406" i="1" a="1"/>
  <c r="J5406" i="1" s="1"/>
  <c r="O5407" i="1" l="1" a="1"/>
  <c r="O5407" i="1" s="1"/>
  <c r="I5407" i="1" a="1"/>
  <c r="I5407" i="1" s="1"/>
  <c r="L5407" i="1" a="1"/>
  <c r="L5407" i="1" s="1"/>
  <c r="K5407" i="1" a="1"/>
  <c r="K5407" i="1" s="1"/>
  <c r="N5425" i="1" a="1"/>
  <c r="N5425" i="1" s="1"/>
  <c r="P5425" i="1" a="1"/>
  <c r="P5425" i="1" s="1"/>
  <c r="M5425" i="1" a="1"/>
  <c r="M5425" i="1" s="1"/>
  <c r="B5426" i="1"/>
  <c r="Q5425" i="1" a="1"/>
  <c r="Q5425" i="1" s="1"/>
  <c r="C5408" i="1"/>
  <c r="H5407" i="1"/>
  <c r="J5407" i="1" a="1"/>
  <c r="J5407" i="1" s="1"/>
  <c r="O5408" i="1" l="1" a="1"/>
  <c r="O5408" i="1" s="1"/>
  <c r="I5408" i="1" a="1"/>
  <c r="I5408" i="1" s="1"/>
  <c r="L5408" i="1" a="1"/>
  <c r="L5408" i="1" s="1"/>
  <c r="K5408" i="1" a="1"/>
  <c r="K5408" i="1" s="1"/>
  <c r="B5427" i="1"/>
  <c r="N5426" i="1" a="1"/>
  <c r="N5426" i="1" s="1"/>
  <c r="M5426" i="1" a="1"/>
  <c r="M5426" i="1" s="1"/>
  <c r="Q5426" i="1" a="1"/>
  <c r="Q5426" i="1" s="1"/>
  <c r="P5426" i="1" a="1"/>
  <c r="P5426" i="1" s="1"/>
  <c r="C5409" i="1"/>
  <c r="H5408" i="1"/>
  <c r="J5408" i="1" a="1"/>
  <c r="J5408" i="1" s="1"/>
  <c r="O5409" i="1" l="1" a="1"/>
  <c r="O5409" i="1" s="1"/>
  <c r="I5409" i="1" a="1"/>
  <c r="I5409" i="1" s="1"/>
  <c r="L5409" i="1" a="1"/>
  <c r="L5409" i="1" s="1"/>
  <c r="K5409" i="1" a="1"/>
  <c r="K5409" i="1" s="1"/>
  <c r="P5427" i="1" a="1"/>
  <c r="P5427" i="1" s="1"/>
  <c r="M5427" i="1" a="1"/>
  <c r="M5427" i="1" s="1"/>
  <c r="Q5427" i="1" a="1"/>
  <c r="Q5427" i="1" s="1"/>
  <c r="B5428" i="1"/>
  <c r="N5427" i="1" a="1"/>
  <c r="N5427" i="1" s="1"/>
  <c r="C5410" i="1"/>
  <c r="H5409" i="1"/>
  <c r="J5409" i="1" a="1"/>
  <c r="J5409" i="1" s="1"/>
  <c r="O5410" i="1" l="1" a="1"/>
  <c r="O5410" i="1" s="1"/>
  <c r="I5410" i="1" a="1"/>
  <c r="I5410" i="1" s="1"/>
  <c r="L5410" i="1" a="1"/>
  <c r="L5410" i="1" s="1"/>
  <c r="K5410" i="1" a="1"/>
  <c r="K5410" i="1" s="1"/>
  <c r="N5428" i="1" a="1"/>
  <c r="N5428" i="1" s="1"/>
  <c r="B5429" i="1"/>
  <c r="P5428" i="1" a="1"/>
  <c r="P5428" i="1" s="1"/>
  <c r="Q5428" i="1" a="1"/>
  <c r="Q5428" i="1" s="1"/>
  <c r="M5428" i="1" a="1"/>
  <c r="M5428" i="1" s="1"/>
  <c r="C5411" i="1"/>
  <c r="H5410" i="1"/>
  <c r="J5410" i="1" a="1"/>
  <c r="J5410" i="1" s="1"/>
  <c r="O5411" i="1" l="1" a="1"/>
  <c r="O5411" i="1" s="1"/>
  <c r="I5411" i="1" a="1"/>
  <c r="I5411" i="1" s="1"/>
  <c r="L5411" i="1" a="1"/>
  <c r="L5411" i="1" s="1"/>
  <c r="K5411" i="1" a="1"/>
  <c r="K5411" i="1" s="1"/>
  <c r="B5430" i="1"/>
  <c r="P5429" i="1" a="1"/>
  <c r="P5429" i="1" s="1"/>
  <c r="Q5429" i="1" a="1"/>
  <c r="Q5429" i="1" s="1"/>
  <c r="M5429" i="1" a="1"/>
  <c r="M5429" i="1" s="1"/>
  <c r="N5429" i="1" a="1"/>
  <c r="N5429" i="1" s="1"/>
  <c r="C5412" i="1"/>
  <c r="H5411" i="1"/>
  <c r="J5411" i="1" a="1"/>
  <c r="J5411" i="1" s="1"/>
  <c r="O5412" i="1" l="1" a="1"/>
  <c r="O5412" i="1" s="1"/>
  <c r="I5412" i="1" a="1"/>
  <c r="I5412" i="1" s="1"/>
  <c r="L5412" i="1" a="1"/>
  <c r="L5412" i="1" s="1"/>
  <c r="K5412" i="1" a="1"/>
  <c r="K5412" i="1" s="1"/>
  <c r="Q5430" i="1" a="1"/>
  <c r="Q5430" i="1" s="1"/>
  <c r="P5430" i="1" a="1"/>
  <c r="P5430" i="1" s="1"/>
  <c r="B5431" i="1"/>
  <c r="M5430" i="1" a="1"/>
  <c r="M5430" i="1" s="1"/>
  <c r="N5430" i="1" a="1"/>
  <c r="N5430" i="1" s="1"/>
  <c r="C5413" i="1"/>
  <c r="H5412" i="1"/>
  <c r="J5412" i="1" a="1"/>
  <c r="J5412" i="1" s="1"/>
  <c r="O5413" i="1" l="1" a="1"/>
  <c r="O5413" i="1" s="1"/>
  <c r="I5413" i="1" a="1"/>
  <c r="I5413" i="1" s="1"/>
  <c r="L5413" i="1" a="1"/>
  <c r="L5413" i="1" s="1"/>
  <c r="K5413" i="1" a="1"/>
  <c r="K5413" i="1" s="1"/>
  <c r="N5431" i="1" a="1"/>
  <c r="N5431" i="1" s="1"/>
  <c r="Q5431" i="1" a="1"/>
  <c r="Q5431" i="1" s="1"/>
  <c r="P5431" i="1" a="1"/>
  <c r="P5431" i="1" s="1"/>
  <c r="M5431" i="1" a="1"/>
  <c r="M5431" i="1" s="1"/>
  <c r="B5432" i="1"/>
  <c r="C5414" i="1"/>
  <c r="H5413" i="1"/>
  <c r="J5413" i="1" a="1"/>
  <c r="J5413" i="1" s="1"/>
  <c r="O5414" i="1" l="1" a="1"/>
  <c r="O5414" i="1" s="1"/>
  <c r="I5414" i="1" a="1"/>
  <c r="I5414" i="1" s="1"/>
  <c r="L5414" i="1" a="1"/>
  <c r="L5414" i="1" s="1"/>
  <c r="K5414" i="1" a="1"/>
  <c r="K5414" i="1" s="1"/>
  <c r="N5432" i="1" a="1"/>
  <c r="N5432" i="1" s="1"/>
  <c r="P5432" i="1" a="1"/>
  <c r="P5432" i="1" s="1"/>
  <c r="B5433" i="1"/>
  <c r="Q5432" i="1" a="1"/>
  <c r="Q5432" i="1" s="1"/>
  <c r="M5432" i="1" a="1"/>
  <c r="M5432" i="1" s="1"/>
  <c r="C5415" i="1"/>
  <c r="H5414" i="1"/>
  <c r="J5414" i="1" a="1"/>
  <c r="J5414" i="1" s="1"/>
  <c r="O5415" i="1" l="1" a="1"/>
  <c r="O5415" i="1" s="1"/>
  <c r="I5415" i="1" a="1"/>
  <c r="I5415" i="1" s="1"/>
  <c r="L5415" i="1" a="1"/>
  <c r="L5415" i="1" s="1"/>
  <c r="K5415" i="1" a="1"/>
  <c r="K5415" i="1" s="1"/>
  <c r="N5433" i="1" a="1"/>
  <c r="N5433" i="1" s="1"/>
  <c r="B5434" i="1"/>
  <c r="Q5433" i="1" a="1"/>
  <c r="Q5433" i="1" s="1"/>
  <c r="P5433" i="1" a="1"/>
  <c r="P5433" i="1" s="1"/>
  <c r="M5433" i="1" a="1"/>
  <c r="M5433" i="1" s="1"/>
  <c r="C5416" i="1"/>
  <c r="H5415" i="1"/>
  <c r="J5415" i="1" a="1"/>
  <c r="J5415" i="1" s="1"/>
  <c r="O5416" i="1" l="1" a="1"/>
  <c r="O5416" i="1" s="1"/>
  <c r="I5416" i="1" a="1"/>
  <c r="I5416" i="1" s="1"/>
  <c r="L5416" i="1" a="1"/>
  <c r="L5416" i="1" s="1"/>
  <c r="K5416" i="1" a="1"/>
  <c r="K5416" i="1" s="1"/>
  <c r="N5434" i="1" a="1"/>
  <c r="N5434" i="1" s="1"/>
  <c r="Q5434" i="1" a="1"/>
  <c r="Q5434" i="1" s="1"/>
  <c r="B5435" i="1"/>
  <c r="M5434" i="1" a="1"/>
  <c r="M5434" i="1" s="1"/>
  <c r="P5434" i="1" a="1"/>
  <c r="P5434" i="1" s="1"/>
  <c r="C5417" i="1"/>
  <c r="H5416" i="1"/>
  <c r="J5416" i="1" a="1"/>
  <c r="J5416" i="1" s="1"/>
  <c r="O5417" i="1" l="1" a="1"/>
  <c r="O5417" i="1" s="1"/>
  <c r="I5417" i="1" a="1"/>
  <c r="I5417" i="1" s="1"/>
  <c r="L5417" i="1" a="1"/>
  <c r="L5417" i="1" s="1"/>
  <c r="K5417" i="1" a="1"/>
  <c r="K5417" i="1" s="1"/>
  <c r="N5435" i="1" a="1"/>
  <c r="N5435" i="1" s="1"/>
  <c r="Q5435" i="1" a="1"/>
  <c r="Q5435" i="1" s="1"/>
  <c r="B5436" i="1"/>
  <c r="M5435" i="1" a="1"/>
  <c r="M5435" i="1" s="1"/>
  <c r="P5435" i="1" a="1"/>
  <c r="P5435" i="1" s="1"/>
  <c r="C5418" i="1"/>
  <c r="H5417" i="1"/>
  <c r="J5417" i="1" a="1"/>
  <c r="J5417" i="1" s="1"/>
  <c r="O5418" i="1" l="1" a="1"/>
  <c r="O5418" i="1" s="1"/>
  <c r="I5418" i="1" a="1"/>
  <c r="I5418" i="1" s="1"/>
  <c r="L5418" i="1" a="1"/>
  <c r="L5418" i="1" s="1"/>
  <c r="K5418" i="1" a="1"/>
  <c r="K5418" i="1" s="1"/>
  <c r="M5436" i="1" a="1"/>
  <c r="M5436" i="1" s="1"/>
  <c r="B5437" i="1"/>
  <c r="Q5436" i="1" a="1"/>
  <c r="Q5436" i="1" s="1"/>
  <c r="N5436" i="1" a="1"/>
  <c r="N5436" i="1" s="1"/>
  <c r="P5436" i="1" a="1"/>
  <c r="P5436" i="1" s="1"/>
  <c r="C5419" i="1"/>
  <c r="H5418" i="1"/>
  <c r="J5418" i="1" a="1"/>
  <c r="J5418" i="1" s="1"/>
  <c r="O5419" i="1" l="1" a="1"/>
  <c r="O5419" i="1" s="1"/>
  <c r="I5419" i="1" a="1"/>
  <c r="I5419" i="1" s="1"/>
  <c r="L5419" i="1" a="1"/>
  <c r="L5419" i="1" s="1"/>
  <c r="K5419" i="1" a="1"/>
  <c r="K5419" i="1" s="1"/>
  <c r="B5438" i="1"/>
  <c r="M5437" i="1" a="1"/>
  <c r="M5437" i="1" s="1"/>
  <c r="Q5437" i="1" a="1"/>
  <c r="Q5437" i="1" s="1"/>
  <c r="N5437" i="1" a="1"/>
  <c r="N5437" i="1" s="1"/>
  <c r="P5437" i="1" a="1"/>
  <c r="P5437" i="1" s="1"/>
  <c r="C5420" i="1"/>
  <c r="H5419" i="1"/>
  <c r="J5419" i="1" a="1"/>
  <c r="J5419" i="1" s="1"/>
  <c r="O5420" i="1" l="1" a="1"/>
  <c r="O5420" i="1" s="1"/>
  <c r="I5420" i="1" a="1"/>
  <c r="I5420" i="1" s="1"/>
  <c r="L5420" i="1" a="1"/>
  <c r="L5420" i="1" s="1"/>
  <c r="K5420" i="1" a="1"/>
  <c r="K5420" i="1" s="1"/>
  <c r="P5438" i="1" a="1"/>
  <c r="P5438" i="1" s="1"/>
  <c r="M5438" i="1" a="1"/>
  <c r="M5438" i="1" s="1"/>
  <c r="N5438" i="1" a="1"/>
  <c r="N5438" i="1" s="1"/>
  <c r="Q5438" i="1" a="1"/>
  <c r="Q5438" i="1" s="1"/>
  <c r="B5439" i="1"/>
  <c r="C5421" i="1"/>
  <c r="H5420" i="1"/>
  <c r="J5420" i="1" a="1"/>
  <c r="J5420" i="1" s="1"/>
  <c r="O5421" i="1" l="1" a="1"/>
  <c r="O5421" i="1" s="1"/>
  <c r="I5421" i="1" a="1"/>
  <c r="I5421" i="1" s="1"/>
  <c r="L5421" i="1" a="1"/>
  <c r="L5421" i="1" s="1"/>
  <c r="K5421" i="1" a="1"/>
  <c r="K5421" i="1" s="1"/>
  <c r="B5440" i="1"/>
  <c r="Q5439" i="1" a="1"/>
  <c r="Q5439" i="1" s="1"/>
  <c r="M5439" i="1" a="1"/>
  <c r="M5439" i="1" s="1"/>
  <c r="N5439" i="1" a="1"/>
  <c r="N5439" i="1" s="1"/>
  <c r="P5439" i="1" a="1"/>
  <c r="P5439" i="1" s="1"/>
  <c r="C5422" i="1"/>
  <c r="H5421" i="1"/>
  <c r="J5421" i="1" a="1"/>
  <c r="J5421" i="1" s="1"/>
  <c r="O5422" i="1" l="1" a="1"/>
  <c r="O5422" i="1" s="1"/>
  <c r="I5422" i="1" a="1"/>
  <c r="I5422" i="1" s="1"/>
  <c r="L5422" i="1" a="1"/>
  <c r="L5422" i="1" s="1"/>
  <c r="K5422" i="1" a="1"/>
  <c r="K5422" i="1" s="1"/>
  <c r="M5440" i="1" a="1"/>
  <c r="M5440" i="1" s="1"/>
  <c r="N5440" i="1" a="1"/>
  <c r="N5440" i="1" s="1"/>
  <c r="P5440" i="1" a="1"/>
  <c r="P5440" i="1" s="1"/>
  <c r="B5441" i="1"/>
  <c r="Q5440" i="1" a="1"/>
  <c r="Q5440" i="1" s="1"/>
  <c r="C5423" i="1"/>
  <c r="H5422" i="1"/>
  <c r="J5422" i="1" a="1"/>
  <c r="J5422" i="1" s="1"/>
  <c r="O5423" i="1" l="1" a="1"/>
  <c r="O5423" i="1" s="1"/>
  <c r="I5423" i="1" a="1"/>
  <c r="I5423" i="1" s="1"/>
  <c r="L5423" i="1" a="1"/>
  <c r="L5423" i="1" s="1"/>
  <c r="K5423" i="1" a="1"/>
  <c r="K5423" i="1" s="1"/>
  <c r="B5442" i="1"/>
  <c r="P5441" i="1" a="1"/>
  <c r="P5441" i="1" s="1"/>
  <c r="Q5441" i="1" a="1"/>
  <c r="Q5441" i="1" s="1"/>
  <c r="M5441" i="1" a="1"/>
  <c r="M5441" i="1" s="1"/>
  <c r="N5441" i="1" a="1"/>
  <c r="N5441" i="1" s="1"/>
  <c r="C5424" i="1"/>
  <c r="H5423" i="1"/>
  <c r="J5423" i="1" a="1"/>
  <c r="J5423" i="1" s="1"/>
  <c r="O5424" i="1" l="1" a="1"/>
  <c r="O5424" i="1" s="1"/>
  <c r="I5424" i="1" a="1"/>
  <c r="I5424" i="1" s="1"/>
  <c r="L5424" i="1" a="1"/>
  <c r="L5424" i="1" s="1"/>
  <c r="K5424" i="1" a="1"/>
  <c r="K5424" i="1" s="1"/>
  <c r="P5442" i="1" a="1"/>
  <c r="P5442" i="1" s="1"/>
  <c r="Q5442" i="1" a="1"/>
  <c r="Q5442" i="1" s="1"/>
  <c r="B5443" i="1"/>
  <c r="N5442" i="1" a="1"/>
  <c r="N5442" i="1" s="1"/>
  <c r="M5442" i="1" a="1"/>
  <c r="M5442" i="1" s="1"/>
  <c r="C5425" i="1"/>
  <c r="H5424" i="1"/>
  <c r="J5424" i="1" a="1"/>
  <c r="J5424" i="1" s="1"/>
  <c r="O5425" i="1" l="1" a="1"/>
  <c r="O5425" i="1" s="1"/>
  <c r="I5425" i="1" a="1"/>
  <c r="I5425" i="1" s="1"/>
  <c r="L5425" i="1" a="1"/>
  <c r="L5425" i="1" s="1"/>
  <c r="K5425" i="1" a="1"/>
  <c r="K5425" i="1" s="1"/>
  <c r="B5444" i="1"/>
  <c r="N5443" i="1" a="1"/>
  <c r="N5443" i="1" s="1"/>
  <c r="M5443" i="1" a="1"/>
  <c r="M5443" i="1" s="1"/>
  <c r="P5443" i="1" a="1"/>
  <c r="P5443" i="1" s="1"/>
  <c r="Q5443" i="1" a="1"/>
  <c r="Q5443" i="1" s="1"/>
  <c r="C5426" i="1"/>
  <c r="H5425" i="1"/>
  <c r="J5425" i="1" a="1"/>
  <c r="J5425" i="1" s="1"/>
  <c r="O5426" i="1" l="1" a="1"/>
  <c r="O5426" i="1" s="1"/>
  <c r="I5426" i="1" a="1"/>
  <c r="I5426" i="1" s="1"/>
  <c r="L5426" i="1" a="1"/>
  <c r="L5426" i="1" s="1"/>
  <c r="K5426" i="1" a="1"/>
  <c r="K5426" i="1" s="1"/>
  <c r="M5444" i="1" a="1"/>
  <c r="M5444" i="1" s="1"/>
  <c r="N5444" i="1" a="1"/>
  <c r="N5444" i="1" s="1"/>
  <c r="B5445" i="1"/>
  <c r="P5444" i="1" a="1"/>
  <c r="P5444" i="1" s="1"/>
  <c r="Q5444" i="1" a="1"/>
  <c r="Q5444" i="1" s="1"/>
  <c r="C5427" i="1"/>
  <c r="H5426" i="1"/>
  <c r="J5426" i="1" a="1"/>
  <c r="J5426" i="1" s="1"/>
  <c r="O5427" i="1" l="1" a="1"/>
  <c r="O5427" i="1" s="1"/>
  <c r="I5427" i="1" a="1"/>
  <c r="I5427" i="1" s="1"/>
  <c r="L5427" i="1" a="1"/>
  <c r="L5427" i="1" s="1"/>
  <c r="K5427" i="1" a="1"/>
  <c r="K5427" i="1" s="1"/>
  <c r="B5446" i="1"/>
  <c r="P5445" i="1" a="1"/>
  <c r="P5445" i="1" s="1"/>
  <c r="Q5445" i="1" a="1"/>
  <c r="Q5445" i="1" s="1"/>
  <c r="N5445" i="1" a="1"/>
  <c r="N5445" i="1" s="1"/>
  <c r="M5445" i="1" a="1"/>
  <c r="M5445" i="1" s="1"/>
  <c r="C5428" i="1"/>
  <c r="H5427" i="1"/>
  <c r="J5427" i="1" a="1"/>
  <c r="J5427" i="1" s="1"/>
  <c r="O5428" i="1" l="1" a="1"/>
  <c r="O5428" i="1" s="1"/>
  <c r="I5428" i="1" a="1"/>
  <c r="I5428" i="1" s="1"/>
  <c r="L5428" i="1" a="1"/>
  <c r="L5428" i="1" s="1"/>
  <c r="K5428" i="1" a="1"/>
  <c r="K5428" i="1" s="1"/>
  <c r="Q5446" i="1" a="1"/>
  <c r="Q5446" i="1" s="1"/>
  <c r="B5447" i="1"/>
  <c r="M5446" i="1" a="1"/>
  <c r="M5446" i="1" s="1"/>
  <c r="N5446" i="1" a="1"/>
  <c r="N5446" i="1" s="1"/>
  <c r="P5446" i="1" a="1"/>
  <c r="P5446" i="1" s="1"/>
  <c r="C5429" i="1"/>
  <c r="H5428" i="1"/>
  <c r="J5428" i="1" a="1"/>
  <c r="J5428" i="1" s="1"/>
  <c r="O5429" i="1" l="1" a="1"/>
  <c r="O5429" i="1" s="1"/>
  <c r="I5429" i="1" a="1"/>
  <c r="I5429" i="1" s="1"/>
  <c r="L5429" i="1" a="1"/>
  <c r="L5429" i="1" s="1"/>
  <c r="K5429" i="1" a="1"/>
  <c r="K5429" i="1" s="1"/>
  <c r="B5448" i="1"/>
  <c r="P5447" i="1" a="1"/>
  <c r="P5447" i="1" s="1"/>
  <c r="M5447" i="1" a="1"/>
  <c r="M5447" i="1" s="1"/>
  <c r="N5447" i="1" a="1"/>
  <c r="N5447" i="1" s="1"/>
  <c r="Q5447" i="1" a="1"/>
  <c r="Q5447" i="1" s="1"/>
  <c r="C5430" i="1"/>
  <c r="H5429" i="1"/>
  <c r="J5429" i="1" a="1"/>
  <c r="J5429" i="1" s="1"/>
  <c r="O5430" i="1" l="1" a="1"/>
  <c r="O5430" i="1" s="1"/>
  <c r="I5430" i="1" a="1"/>
  <c r="I5430" i="1" s="1"/>
  <c r="L5430" i="1" a="1"/>
  <c r="L5430" i="1" s="1"/>
  <c r="K5430" i="1" a="1"/>
  <c r="K5430" i="1" s="1"/>
  <c r="Q5448" i="1" a="1"/>
  <c r="Q5448" i="1" s="1"/>
  <c r="M5448" i="1" a="1"/>
  <c r="M5448" i="1" s="1"/>
  <c r="B5449" i="1"/>
  <c r="N5448" i="1" a="1"/>
  <c r="N5448" i="1" s="1"/>
  <c r="P5448" i="1" a="1"/>
  <c r="P5448" i="1" s="1"/>
  <c r="C5431" i="1"/>
  <c r="H5430" i="1"/>
  <c r="J5430" i="1" a="1"/>
  <c r="J5430" i="1" s="1"/>
  <c r="O5431" i="1" l="1" a="1"/>
  <c r="O5431" i="1" s="1"/>
  <c r="I5431" i="1" a="1"/>
  <c r="I5431" i="1" s="1"/>
  <c r="L5431" i="1" a="1"/>
  <c r="L5431" i="1" s="1"/>
  <c r="K5431" i="1" a="1"/>
  <c r="K5431" i="1" s="1"/>
  <c r="B5450" i="1"/>
  <c r="M5449" i="1" a="1"/>
  <c r="M5449" i="1" s="1"/>
  <c r="N5449" i="1" a="1"/>
  <c r="N5449" i="1" s="1"/>
  <c r="Q5449" i="1" a="1"/>
  <c r="Q5449" i="1" s="1"/>
  <c r="P5449" i="1" a="1"/>
  <c r="P5449" i="1" s="1"/>
  <c r="C5432" i="1"/>
  <c r="H5431" i="1"/>
  <c r="J5431" i="1" a="1"/>
  <c r="J5431" i="1" s="1"/>
  <c r="O5432" i="1" l="1" a="1"/>
  <c r="O5432" i="1" s="1"/>
  <c r="I5432" i="1" a="1"/>
  <c r="I5432" i="1" s="1"/>
  <c r="L5432" i="1" a="1"/>
  <c r="L5432" i="1" s="1"/>
  <c r="K5432" i="1" a="1"/>
  <c r="K5432" i="1" s="1"/>
  <c r="B5451" i="1"/>
  <c r="N5450" i="1" a="1"/>
  <c r="N5450" i="1" s="1"/>
  <c r="P5450" i="1" a="1"/>
  <c r="P5450" i="1" s="1"/>
  <c r="M5450" i="1" a="1"/>
  <c r="M5450" i="1" s="1"/>
  <c r="Q5450" i="1" a="1"/>
  <c r="Q5450" i="1" s="1"/>
  <c r="C5433" i="1"/>
  <c r="H5432" i="1"/>
  <c r="J5432" i="1" a="1"/>
  <c r="J5432" i="1" s="1"/>
  <c r="O5433" i="1" l="1" a="1"/>
  <c r="O5433" i="1" s="1"/>
  <c r="I5433" i="1" a="1"/>
  <c r="I5433" i="1" s="1"/>
  <c r="L5433" i="1" a="1"/>
  <c r="L5433" i="1" s="1"/>
  <c r="K5433" i="1" a="1"/>
  <c r="K5433" i="1" s="1"/>
  <c r="B5452" i="1"/>
  <c r="P5451" i="1" a="1"/>
  <c r="P5451" i="1" s="1"/>
  <c r="Q5451" i="1" a="1"/>
  <c r="Q5451" i="1" s="1"/>
  <c r="M5451" i="1" a="1"/>
  <c r="M5451" i="1" s="1"/>
  <c r="N5451" i="1" a="1"/>
  <c r="N5451" i="1" s="1"/>
  <c r="C5434" i="1"/>
  <c r="H5433" i="1"/>
  <c r="J5433" i="1" a="1"/>
  <c r="J5433" i="1" s="1"/>
  <c r="O5434" i="1" l="1" a="1"/>
  <c r="O5434" i="1" s="1"/>
  <c r="I5434" i="1" a="1"/>
  <c r="I5434" i="1" s="1"/>
  <c r="L5434" i="1" a="1"/>
  <c r="L5434" i="1" s="1"/>
  <c r="K5434" i="1" a="1"/>
  <c r="K5434" i="1" s="1"/>
  <c r="P5452" i="1" a="1"/>
  <c r="P5452" i="1" s="1"/>
  <c r="M5452" i="1" a="1"/>
  <c r="M5452" i="1" s="1"/>
  <c r="N5452" i="1" a="1"/>
  <c r="N5452" i="1" s="1"/>
  <c r="B5453" i="1"/>
  <c r="Q5452" i="1" a="1"/>
  <c r="Q5452" i="1" s="1"/>
  <c r="C5435" i="1"/>
  <c r="H5434" i="1"/>
  <c r="J5434" i="1" a="1"/>
  <c r="J5434" i="1" s="1"/>
  <c r="O5435" i="1" l="1" a="1"/>
  <c r="O5435" i="1" s="1"/>
  <c r="I5435" i="1" a="1"/>
  <c r="I5435" i="1" s="1"/>
  <c r="L5435" i="1" a="1"/>
  <c r="L5435" i="1" s="1"/>
  <c r="K5435" i="1" a="1"/>
  <c r="K5435" i="1" s="1"/>
  <c r="B5454" i="1"/>
  <c r="M5453" i="1" a="1"/>
  <c r="M5453" i="1" s="1"/>
  <c r="Q5453" i="1" a="1"/>
  <c r="Q5453" i="1" s="1"/>
  <c r="N5453" i="1" a="1"/>
  <c r="N5453" i="1" s="1"/>
  <c r="P5453" i="1" a="1"/>
  <c r="P5453" i="1" s="1"/>
  <c r="C5436" i="1"/>
  <c r="H5435" i="1"/>
  <c r="J5435" i="1" a="1"/>
  <c r="J5435" i="1" s="1"/>
  <c r="O5436" i="1" l="1" a="1"/>
  <c r="O5436" i="1" s="1"/>
  <c r="I5436" i="1" a="1"/>
  <c r="I5436" i="1" s="1"/>
  <c r="L5436" i="1" a="1"/>
  <c r="L5436" i="1" s="1"/>
  <c r="K5436" i="1" a="1"/>
  <c r="K5436" i="1" s="1"/>
  <c r="P5454" i="1" a="1"/>
  <c r="P5454" i="1" s="1"/>
  <c r="Q5454" i="1" a="1"/>
  <c r="Q5454" i="1" s="1"/>
  <c r="B5455" i="1"/>
  <c r="N5454" i="1" a="1"/>
  <c r="N5454" i="1" s="1"/>
  <c r="M5454" i="1" a="1"/>
  <c r="M5454" i="1" s="1"/>
  <c r="C5437" i="1"/>
  <c r="H5436" i="1"/>
  <c r="J5436" i="1" a="1"/>
  <c r="J5436" i="1" s="1"/>
  <c r="O5437" i="1" l="1" a="1"/>
  <c r="O5437" i="1" s="1"/>
  <c r="I5437" i="1" a="1"/>
  <c r="I5437" i="1" s="1"/>
  <c r="L5437" i="1" a="1"/>
  <c r="L5437" i="1" s="1"/>
  <c r="K5437" i="1" a="1"/>
  <c r="K5437" i="1" s="1"/>
  <c r="Q5455" i="1" a="1"/>
  <c r="Q5455" i="1" s="1"/>
  <c r="P5455" i="1" a="1"/>
  <c r="P5455" i="1" s="1"/>
  <c r="M5455" i="1" a="1"/>
  <c r="M5455" i="1" s="1"/>
  <c r="B5456" i="1"/>
  <c r="N5455" i="1" a="1"/>
  <c r="N5455" i="1" s="1"/>
  <c r="C5438" i="1"/>
  <c r="H5437" i="1"/>
  <c r="J5437" i="1" a="1"/>
  <c r="J5437" i="1" s="1"/>
  <c r="O5438" i="1" l="1" a="1"/>
  <c r="O5438" i="1" s="1"/>
  <c r="I5438" i="1" a="1"/>
  <c r="I5438" i="1" s="1"/>
  <c r="L5438" i="1" a="1"/>
  <c r="L5438" i="1" s="1"/>
  <c r="K5438" i="1" a="1"/>
  <c r="K5438" i="1" s="1"/>
  <c r="B5457" i="1"/>
  <c r="P5456" i="1" a="1"/>
  <c r="P5456" i="1" s="1"/>
  <c r="Q5456" i="1" a="1"/>
  <c r="Q5456" i="1" s="1"/>
  <c r="M5456" i="1" a="1"/>
  <c r="M5456" i="1" s="1"/>
  <c r="N5456" i="1" a="1"/>
  <c r="N5456" i="1" s="1"/>
  <c r="C5439" i="1"/>
  <c r="H5438" i="1"/>
  <c r="J5438" i="1" a="1"/>
  <c r="J5438" i="1" s="1"/>
  <c r="O5439" i="1" l="1" a="1"/>
  <c r="O5439" i="1" s="1"/>
  <c r="I5439" i="1" a="1"/>
  <c r="I5439" i="1" s="1"/>
  <c r="L5439" i="1" a="1"/>
  <c r="L5439" i="1" s="1"/>
  <c r="K5439" i="1" a="1"/>
  <c r="K5439" i="1" s="1"/>
  <c r="N5457" i="1" a="1"/>
  <c r="N5457" i="1" s="1"/>
  <c r="P5457" i="1" a="1"/>
  <c r="P5457" i="1" s="1"/>
  <c r="B5458" i="1"/>
  <c r="M5457" i="1" a="1"/>
  <c r="M5457" i="1" s="1"/>
  <c r="Q5457" i="1" a="1"/>
  <c r="Q5457" i="1" s="1"/>
  <c r="C5440" i="1"/>
  <c r="H5439" i="1"/>
  <c r="J5439" i="1" a="1"/>
  <c r="J5439" i="1" s="1"/>
  <c r="O5440" i="1" l="1" a="1"/>
  <c r="O5440" i="1" s="1"/>
  <c r="I5440" i="1" a="1"/>
  <c r="I5440" i="1" s="1"/>
  <c r="L5440" i="1" a="1"/>
  <c r="L5440" i="1" s="1"/>
  <c r="K5440" i="1" a="1"/>
  <c r="K5440" i="1" s="1"/>
  <c r="P5458" i="1" a="1"/>
  <c r="P5458" i="1" s="1"/>
  <c r="Q5458" i="1" a="1"/>
  <c r="Q5458" i="1" s="1"/>
  <c r="B5459" i="1"/>
  <c r="M5458" i="1" a="1"/>
  <c r="M5458" i="1" s="1"/>
  <c r="N5458" i="1" a="1"/>
  <c r="N5458" i="1" s="1"/>
  <c r="C5441" i="1"/>
  <c r="H5440" i="1"/>
  <c r="J5440" i="1" a="1"/>
  <c r="J5440" i="1" s="1"/>
  <c r="O5441" i="1" l="1" a="1"/>
  <c r="O5441" i="1" s="1"/>
  <c r="I5441" i="1" a="1"/>
  <c r="I5441" i="1" s="1"/>
  <c r="L5441" i="1" a="1"/>
  <c r="L5441" i="1" s="1"/>
  <c r="K5441" i="1" a="1"/>
  <c r="K5441" i="1" s="1"/>
  <c r="P5459" i="1" a="1"/>
  <c r="P5459" i="1" s="1"/>
  <c r="M5459" i="1" a="1"/>
  <c r="M5459" i="1" s="1"/>
  <c r="N5459" i="1" a="1"/>
  <c r="N5459" i="1" s="1"/>
  <c r="B5460" i="1"/>
  <c r="Q5459" i="1" a="1"/>
  <c r="Q5459" i="1" s="1"/>
  <c r="C5442" i="1"/>
  <c r="H5441" i="1"/>
  <c r="J5441" i="1" a="1"/>
  <c r="J5441" i="1" s="1"/>
  <c r="O5442" i="1" l="1" a="1"/>
  <c r="O5442" i="1" s="1"/>
  <c r="I5442" i="1" a="1"/>
  <c r="I5442" i="1" s="1"/>
  <c r="L5442" i="1" a="1"/>
  <c r="L5442" i="1" s="1"/>
  <c r="K5442" i="1" a="1"/>
  <c r="K5442" i="1" s="1"/>
  <c r="P5460" i="1" a="1"/>
  <c r="P5460" i="1" s="1"/>
  <c r="N5460" i="1" a="1"/>
  <c r="N5460" i="1" s="1"/>
  <c r="B5461" i="1"/>
  <c r="M5460" i="1" a="1"/>
  <c r="M5460" i="1" s="1"/>
  <c r="Q5460" i="1" a="1"/>
  <c r="Q5460" i="1" s="1"/>
  <c r="C5443" i="1"/>
  <c r="H5442" i="1"/>
  <c r="J5442" i="1" a="1"/>
  <c r="J5442" i="1" s="1"/>
  <c r="O5443" i="1" l="1" a="1"/>
  <c r="O5443" i="1" s="1"/>
  <c r="I5443" i="1" a="1"/>
  <c r="I5443" i="1" s="1"/>
  <c r="L5443" i="1" a="1"/>
  <c r="L5443" i="1" s="1"/>
  <c r="K5443" i="1" a="1"/>
  <c r="K5443" i="1" s="1"/>
  <c r="N5461" i="1" a="1"/>
  <c r="N5461" i="1" s="1"/>
  <c r="Q5461" i="1" a="1"/>
  <c r="Q5461" i="1" s="1"/>
  <c r="M5461" i="1" a="1"/>
  <c r="M5461" i="1" s="1"/>
  <c r="B5462" i="1"/>
  <c r="P5461" i="1" a="1"/>
  <c r="P5461" i="1" s="1"/>
  <c r="C5444" i="1"/>
  <c r="H5443" i="1"/>
  <c r="J5443" i="1" a="1"/>
  <c r="J5443" i="1" s="1"/>
  <c r="O5444" i="1" l="1" a="1"/>
  <c r="O5444" i="1" s="1"/>
  <c r="I5444" i="1" a="1"/>
  <c r="I5444" i="1" s="1"/>
  <c r="L5444" i="1" a="1"/>
  <c r="L5444" i="1" s="1"/>
  <c r="K5444" i="1" a="1"/>
  <c r="K5444" i="1" s="1"/>
  <c r="N5462" i="1" a="1"/>
  <c r="N5462" i="1" s="1"/>
  <c r="Q5462" i="1" a="1"/>
  <c r="Q5462" i="1" s="1"/>
  <c r="M5462" i="1" a="1"/>
  <c r="M5462" i="1" s="1"/>
  <c r="B5463" i="1"/>
  <c r="P5462" i="1" a="1"/>
  <c r="P5462" i="1" s="1"/>
  <c r="C5445" i="1"/>
  <c r="H5444" i="1"/>
  <c r="J5444" i="1" a="1"/>
  <c r="J5444" i="1" s="1"/>
  <c r="O5445" i="1" l="1" a="1"/>
  <c r="O5445" i="1" s="1"/>
  <c r="I5445" i="1" a="1"/>
  <c r="I5445" i="1" s="1"/>
  <c r="L5445" i="1" a="1"/>
  <c r="L5445" i="1" s="1"/>
  <c r="K5445" i="1" a="1"/>
  <c r="K5445" i="1" s="1"/>
  <c r="P5463" i="1" a="1"/>
  <c r="P5463" i="1" s="1"/>
  <c r="Q5463" i="1" a="1"/>
  <c r="Q5463" i="1" s="1"/>
  <c r="B5464" i="1"/>
  <c r="N5463" i="1" a="1"/>
  <c r="N5463" i="1" s="1"/>
  <c r="M5463" i="1" a="1"/>
  <c r="M5463" i="1" s="1"/>
  <c r="C5446" i="1"/>
  <c r="H5445" i="1"/>
  <c r="J5445" i="1" a="1"/>
  <c r="J5445" i="1" s="1"/>
  <c r="O5446" i="1" l="1" a="1"/>
  <c r="O5446" i="1" s="1"/>
  <c r="I5446" i="1" a="1"/>
  <c r="I5446" i="1" s="1"/>
  <c r="L5446" i="1" a="1"/>
  <c r="L5446" i="1" s="1"/>
  <c r="K5446" i="1" a="1"/>
  <c r="K5446" i="1" s="1"/>
  <c r="M5464" i="1" a="1"/>
  <c r="M5464" i="1" s="1"/>
  <c r="B5465" i="1"/>
  <c r="P5464" i="1" a="1"/>
  <c r="P5464" i="1" s="1"/>
  <c r="N5464" i="1" a="1"/>
  <c r="N5464" i="1" s="1"/>
  <c r="Q5464" i="1" a="1"/>
  <c r="Q5464" i="1" s="1"/>
  <c r="C5447" i="1"/>
  <c r="H5446" i="1"/>
  <c r="J5446" i="1" a="1"/>
  <c r="J5446" i="1" s="1"/>
  <c r="O5447" i="1" l="1" a="1"/>
  <c r="O5447" i="1" s="1"/>
  <c r="I5447" i="1" a="1"/>
  <c r="I5447" i="1" s="1"/>
  <c r="L5447" i="1" a="1"/>
  <c r="L5447" i="1" s="1"/>
  <c r="K5447" i="1" a="1"/>
  <c r="K5447" i="1" s="1"/>
  <c r="N5465" i="1" a="1"/>
  <c r="N5465" i="1" s="1"/>
  <c r="M5465" i="1" a="1"/>
  <c r="M5465" i="1" s="1"/>
  <c r="Q5465" i="1" a="1"/>
  <c r="Q5465" i="1" s="1"/>
  <c r="B5466" i="1"/>
  <c r="P5465" i="1" a="1"/>
  <c r="P5465" i="1" s="1"/>
  <c r="C5448" i="1"/>
  <c r="H5447" i="1"/>
  <c r="J5447" i="1" a="1"/>
  <c r="J5447" i="1" s="1"/>
  <c r="O5448" i="1" l="1" a="1"/>
  <c r="O5448" i="1" s="1"/>
  <c r="I5448" i="1" a="1"/>
  <c r="I5448" i="1" s="1"/>
  <c r="L5448" i="1" a="1"/>
  <c r="L5448" i="1" s="1"/>
  <c r="K5448" i="1" a="1"/>
  <c r="K5448" i="1" s="1"/>
  <c r="N5466" i="1" a="1"/>
  <c r="N5466" i="1" s="1"/>
  <c r="P5466" i="1" a="1"/>
  <c r="P5466" i="1" s="1"/>
  <c r="M5466" i="1" a="1"/>
  <c r="M5466" i="1" s="1"/>
  <c r="B5467" i="1"/>
  <c r="Q5466" i="1" a="1"/>
  <c r="Q5466" i="1" s="1"/>
  <c r="C5449" i="1"/>
  <c r="H5448" i="1"/>
  <c r="J5448" i="1" a="1"/>
  <c r="J5448" i="1" s="1"/>
  <c r="O5449" i="1" l="1" a="1"/>
  <c r="O5449" i="1" s="1"/>
  <c r="I5449" i="1" a="1"/>
  <c r="I5449" i="1" s="1"/>
  <c r="L5449" i="1" a="1"/>
  <c r="L5449" i="1" s="1"/>
  <c r="K5449" i="1" a="1"/>
  <c r="K5449" i="1" s="1"/>
  <c r="M5467" i="1" a="1"/>
  <c r="M5467" i="1" s="1"/>
  <c r="Q5467" i="1" a="1"/>
  <c r="Q5467" i="1" s="1"/>
  <c r="B5468" i="1"/>
  <c r="N5467" i="1" a="1"/>
  <c r="N5467" i="1" s="1"/>
  <c r="P5467" i="1" a="1"/>
  <c r="P5467" i="1" s="1"/>
  <c r="C5450" i="1"/>
  <c r="H5449" i="1"/>
  <c r="J5449" i="1" a="1"/>
  <c r="J5449" i="1" s="1"/>
  <c r="O5450" i="1" l="1" a="1"/>
  <c r="O5450" i="1" s="1"/>
  <c r="I5450" i="1" a="1"/>
  <c r="I5450" i="1" s="1"/>
  <c r="L5450" i="1" a="1"/>
  <c r="L5450" i="1" s="1"/>
  <c r="K5450" i="1" a="1"/>
  <c r="K5450" i="1" s="1"/>
  <c r="Q5468" i="1" a="1"/>
  <c r="Q5468" i="1" s="1"/>
  <c r="N5468" i="1" a="1"/>
  <c r="N5468" i="1" s="1"/>
  <c r="B5469" i="1"/>
  <c r="P5468" i="1" a="1"/>
  <c r="P5468" i="1" s="1"/>
  <c r="M5468" i="1" a="1"/>
  <c r="M5468" i="1" s="1"/>
  <c r="C5451" i="1"/>
  <c r="H5450" i="1"/>
  <c r="J5450" i="1" a="1"/>
  <c r="J5450" i="1" s="1"/>
  <c r="O5451" i="1" l="1" a="1"/>
  <c r="O5451" i="1" s="1"/>
  <c r="I5451" i="1" a="1"/>
  <c r="I5451" i="1" s="1"/>
  <c r="L5451" i="1" a="1"/>
  <c r="L5451" i="1" s="1"/>
  <c r="K5451" i="1" a="1"/>
  <c r="K5451" i="1" s="1"/>
  <c r="N5469" i="1" a="1"/>
  <c r="N5469" i="1" s="1"/>
  <c r="Q5469" i="1" a="1"/>
  <c r="Q5469" i="1" s="1"/>
  <c r="P5469" i="1" a="1"/>
  <c r="P5469" i="1" s="1"/>
  <c r="M5469" i="1" a="1"/>
  <c r="M5469" i="1" s="1"/>
  <c r="B5470" i="1"/>
  <c r="C5452" i="1"/>
  <c r="H5451" i="1"/>
  <c r="J5451" i="1" a="1"/>
  <c r="J5451" i="1" s="1"/>
  <c r="O5452" i="1" l="1" a="1"/>
  <c r="O5452" i="1" s="1"/>
  <c r="I5452" i="1" a="1"/>
  <c r="I5452" i="1" s="1"/>
  <c r="L5452" i="1" a="1"/>
  <c r="L5452" i="1" s="1"/>
  <c r="K5452" i="1" a="1"/>
  <c r="K5452" i="1" s="1"/>
  <c r="N5470" i="1" a="1"/>
  <c r="N5470" i="1" s="1"/>
  <c r="P5470" i="1" a="1"/>
  <c r="P5470" i="1" s="1"/>
  <c r="M5470" i="1" a="1"/>
  <c r="M5470" i="1" s="1"/>
  <c r="Q5470" i="1" a="1"/>
  <c r="Q5470" i="1" s="1"/>
  <c r="B5471" i="1"/>
  <c r="C5453" i="1"/>
  <c r="H5452" i="1"/>
  <c r="J5452" i="1" a="1"/>
  <c r="J5452" i="1" s="1"/>
  <c r="O5453" i="1" l="1" a="1"/>
  <c r="O5453" i="1" s="1"/>
  <c r="I5453" i="1" a="1"/>
  <c r="I5453" i="1" s="1"/>
  <c r="L5453" i="1" a="1"/>
  <c r="L5453" i="1" s="1"/>
  <c r="K5453" i="1" a="1"/>
  <c r="K5453" i="1" s="1"/>
  <c r="P5471" i="1" a="1"/>
  <c r="P5471" i="1" s="1"/>
  <c r="M5471" i="1" a="1"/>
  <c r="M5471" i="1" s="1"/>
  <c r="Q5471" i="1" a="1"/>
  <c r="Q5471" i="1" s="1"/>
  <c r="N5471" i="1" a="1"/>
  <c r="N5471" i="1" s="1"/>
  <c r="B5472" i="1"/>
  <c r="C5454" i="1"/>
  <c r="H5453" i="1"/>
  <c r="J5453" i="1" a="1"/>
  <c r="J5453" i="1" s="1"/>
  <c r="O5454" i="1" l="1" a="1"/>
  <c r="O5454" i="1" s="1"/>
  <c r="I5454" i="1" a="1"/>
  <c r="I5454" i="1" s="1"/>
  <c r="L5454" i="1" a="1"/>
  <c r="L5454" i="1" s="1"/>
  <c r="K5454" i="1" a="1"/>
  <c r="K5454" i="1" s="1"/>
  <c r="M5472" i="1" a="1"/>
  <c r="M5472" i="1" s="1"/>
  <c r="P5472" i="1" a="1"/>
  <c r="P5472" i="1" s="1"/>
  <c r="N5472" i="1" a="1"/>
  <c r="N5472" i="1" s="1"/>
  <c r="B5473" i="1"/>
  <c r="Q5472" i="1" a="1"/>
  <c r="Q5472" i="1" s="1"/>
  <c r="C5455" i="1"/>
  <c r="H5454" i="1"/>
  <c r="J5454" i="1" a="1"/>
  <c r="J5454" i="1" s="1"/>
  <c r="O5455" i="1" l="1" a="1"/>
  <c r="O5455" i="1" s="1"/>
  <c r="I5455" i="1" a="1"/>
  <c r="I5455" i="1" s="1"/>
  <c r="L5455" i="1" a="1"/>
  <c r="L5455" i="1" s="1"/>
  <c r="K5455" i="1" a="1"/>
  <c r="K5455" i="1" s="1"/>
  <c r="N5473" i="1" a="1"/>
  <c r="N5473" i="1" s="1"/>
  <c r="M5473" i="1" a="1"/>
  <c r="M5473" i="1" s="1"/>
  <c r="B5474" i="1"/>
  <c r="P5473" i="1" a="1"/>
  <c r="P5473" i="1" s="1"/>
  <c r="Q5473" i="1" a="1"/>
  <c r="Q5473" i="1" s="1"/>
  <c r="C5456" i="1"/>
  <c r="H5455" i="1"/>
  <c r="J5455" i="1" a="1"/>
  <c r="J5455" i="1" s="1"/>
  <c r="O5456" i="1" l="1" a="1"/>
  <c r="O5456" i="1" s="1"/>
  <c r="I5456" i="1" a="1"/>
  <c r="I5456" i="1" s="1"/>
  <c r="L5456" i="1" a="1"/>
  <c r="L5456" i="1" s="1"/>
  <c r="K5456" i="1" a="1"/>
  <c r="K5456" i="1" s="1"/>
  <c r="N5474" i="1" a="1"/>
  <c r="N5474" i="1" s="1"/>
  <c r="M5474" i="1" a="1"/>
  <c r="M5474" i="1" s="1"/>
  <c r="Q5474" i="1" a="1"/>
  <c r="Q5474" i="1" s="1"/>
  <c r="B5475" i="1"/>
  <c r="P5474" i="1" a="1"/>
  <c r="P5474" i="1" s="1"/>
  <c r="C5457" i="1"/>
  <c r="H5456" i="1"/>
  <c r="J5456" i="1" a="1"/>
  <c r="J5456" i="1" s="1"/>
  <c r="O5457" i="1" l="1" a="1"/>
  <c r="O5457" i="1" s="1"/>
  <c r="I5457" i="1" a="1"/>
  <c r="I5457" i="1" s="1"/>
  <c r="L5457" i="1" a="1"/>
  <c r="L5457" i="1" s="1"/>
  <c r="K5457" i="1" a="1"/>
  <c r="K5457" i="1" s="1"/>
  <c r="M5475" i="1" a="1"/>
  <c r="M5475" i="1" s="1"/>
  <c r="N5475" i="1" a="1"/>
  <c r="N5475" i="1" s="1"/>
  <c r="B5476" i="1"/>
  <c r="P5475" i="1" a="1"/>
  <c r="P5475" i="1" s="1"/>
  <c r="Q5475" i="1" a="1"/>
  <c r="Q5475" i="1" s="1"/>
  <c r="C5458" i="1"/>
  <c r="H5457" i="1"/>
  <c r="J5457" i="1" a="1"/>
  <c r="J5457" i="1" s="1"/>
  <c r="O5458" i="1" l="1" a="1"/>
  <c r="O5458" i="1" s="1"/>
  <c r="I5458" i="1" a="1"/>
  <c r="I5458" i="1" s="1"/>
  <c r="L5458" i="1" a="1"/>
  <c r="L5458" i="1" s="1"/>
  <c r="K5458" i="1" a="1"/>
  <c r="K5458" i="1" s="1"/>
  <c r="P5476" i="1" a="1"/>
  <c r="P5476" i="1" s="1"/>
  <c r="B5477" i="1"/>
  <c r="N5476" i="1" a="1"/>
  <c r="N5476" i="1" s="1"/>
  <c r="M5476" i="1" a="1"/>
  <c r="M5476" i="1" s="1"/>
  <c r="Q5476" i="1" a="1"/>
  <c r="Q5476" i="1" s="1"/>
  <c r="C5459" i="1"/>
  <c r="H5458" i="1"/>
  <c r="J5458" i="1" a="1"/>
  <c r="J5458" i="1" s="1"/>
  <c r="O5459" i="1" l="1" a="1"/>
  <c r="O5459" i="1" s="1"/>
  <c r="I5459" i="1" a="1"/>
  <c r="I5459" i="1" s="1"/>
  <c r="L5459" i="1" a="1"/>
  <c r="L5459" i="1" s="1"/>
  <c r="K5459" i="1" a="1"/>
  <c r="K5459" i="1" s="1"/>
  <c r="P5477" i="1" a="1"/>
  <c r="P5477" i="1" s="1"/>
  <c r="N5477" i="1" a="1"/>
  <c r="N5477" i="1" s="1"/>
  <c r="Q5477" i="1" a="1"/>
  <c r="Q5477" i="1" s="1"/>
  <c r="B5478" i="1"/>
  <c r="M5477" i="1" a="1"/>
  <c r="M5477" i="1" s="1"/>
  <c r="C5460" i="1"/>
  <c r="H5459" i="1"/>
  <c r="J5459" i="1" a="1"/>
  <c r="J5459" i="1" s="1"/>
  <c r="O5460" i="1" l="1" a="1"/>
  <c r="O5460" i="1" s="1"/>
  <c r="I5460" i="1" a="1"/>
  <c r="I5460" i="1" s="1"/>
  <c r="L5460" i="1" a="1"/>
  <c r="L5460" i="1" s="1"/>
  <c r="K5460" i="1" a="1"/>
  <c r="K5460" i="1" s="1"/>
  <c r="N5478" i="1" a="1"/>
  <c r="N5478" i="1" s="1"/>
  <c r="P5478" i="1" a="1"/>
  <c r="P5478" i="1" s="1"/>
  <c r="Q5478" i="1" a="1"/>
  <c r="Q5478" i="1" s="1"/>
  <c r="B5479" i="1"/>
  <c r="M5478" i="1" a="1"/>
  <c r="M5478" i="1" s="1"/>
  <c r="C5461" i="1"/>
  <c r="H5460" i="1"/>
  <c r="J5460" i="1" a="1"/>
  <c r="J5460" i="1" s="1"/>
  <c r="O5461" i="1" l="1" a="1"/>
  <c r="O5461" i="1" s="1"/>
  <c r="I5461" i="1" a="1"/>
  <c r="I5461" i="1" s="1"/>
  <c r="L5461" i="1" a="1"/>
  <c r="L5461" i="1" s="1"/>
  <c r="K5461" i="1" a="1"/>
  <c r="K5461" i="1" s="1"/>
  <c r="P5479" i="1" a="1"/>
  <c r="P5479" i="1" s="1"/>
  <c r="M5479" i="1" a="1"/>
  <c r="M5479" i="1" s="1"/>
  <c r="Q5479" i="1" a="1"/>
  <c r="Q5479" i="1" s="1"/>
  <c r="N5479" i="1" a="1"/>
  <c r="N5479" i="1" s="1"/>
  <c r="B5480" i="1"/>
  <c r="C5462" i="1"/>
  <c r="H5461" i="1"/>
  <c r="J5461" i="1" a="1"/>
  <c r="J5461" i="1" s="1"/>
  <c r="O5462" i="1" l="1" a="1"/>
  <c r="O5462" i="1" s="1"/>
  <c r="I5462" i="1" a="1"/>
  <c r="I5462" i="1" s="1"/>
  <c r="L5462" i="1" a="1"/>
  <c r="L5462" i="1" s="1"/>
  <c r="K5462" i="1" a="1"/>
  <c r="K5462" i="1" s="1"/>
  <c r="M5480" i="1" a="1"/>
  <c r="M5480" i="1" s="1"/>
  <c r="P5480" i="1" a="1"/>
  <c r="P5480" i="1" s="1"/>
  <c r="N5480" i="1" a="1"/>
  <c r="N5480" i="1" s="1"/>
  <c r="B5481" i="1"/>
  <c r="Q5480" i="1" a="1"/>
  <c r="Q5480" i="1" s="1"/>
  <c r="C5463" i="1"/>
  <c r="H5462" i="1"/>
  <c r="J5462" i="1" a="1"/>
  <c r="J5462" i="1" s="1"/>
  <c r="O5463" i="1" l="1" a="1"/>
  <c r="O5463" i="1" s="1"/>
  <c r="I5463" i="1" a="1"/>
  <c r="I5463" i="1" s="1"/>
  <c r="L5463" i="1" a="1"/>
  <c r="L5463" i="1" s="1"/>
  <c r="K5463" i="1" a="1"/>
  <c r="K5463" i="1" s="1"/>
  <c r="N5481" i="1" a="1"/>
  <c r="N5481" i="1" s="1"/>
  <c r="B5482" i="1"/>
  <c r="P5481" i="1" a="1"/>
  <c r="P5481" i="1" s="1"/>
  <c r="M5481" i="1" a="1"/>
  <c r="M5481" i="1" s="1"/>
  <c r="Q5481" i="1" a="1"/>
  <c r="Q5481" i="1" s="1"/>
  <c r="C5464" i="1"/>
  <c r="H5463" i="1"/>
  <c r="J5463" i="1" a="1"/>
  <c r="J5463" i="1" s="1"/>
  <c r="O5464" i="1" l="1" a="1"/>
  <c r="O5464" i="1" s="1"/>
  <c r="I5464" i="1" a="1"/>
  <c r="I5464" i="1" s="1"/>
  <c r="L5464" i="1" a="1"/>
  <c r="L5464" i="1" s="1"/>
  <c r="K5464" i="1" a="1"/>
  <c r="K5464" i="1" s="1"/>
  <c r="N5482" i="1" a="1"/>
  <c r="N5482" i="1" s="1"/>
  <c r="M5482" i="1" a="1"/>
  <c r="M5482" i="1" s="1"/>
  <c r="Q5482" i="1" a="1"/>
  <c r="Q5482" i="1" s="1"/>
  <c r="B5483" i="1"/>
  <c r="P5482" i="1" a="1"/>
  <c r="P5482" i="1" s="1"/>
  <c r="C5465" i="1"/>
  <c r="H5464" i="1"/>
  <c r="J5464" i="1" a="1"/>
  <c r="J5464" i="1" s="1"/>
  <c r="O5465" i="1" l="1" a="1"/>
  <c r="O5465" i="1" s="1"/>
  <c r="I5465" i="1" a="1"/>
  <c r="I5465" i="1" s="1"/>
  <c r="L5465" i="1" a="1"/>
  <c r="L5465" i="1" s="1"/>
  <c r="K5465" i="1" a="1"/>
  <c r="K5465" i="1" s="1"/>
  <c r="M5483" i="1" a="1"/>
  <c r="M5483" i="1" s="1"/>
  <c r="Q5483" i="1" a="1"/>
  <c r="Q5483" i="1" s="1"/>
  <c r="N5483" i="1" a="1"/>
  <c r="N5483" i="1" s="1"/>
  <c r="B5484" i="1"/>
  <c r="P5483" i="1" a="1"/>
  <c r="P5483" i="1" s="1"/>
  <c r="C5466" i="1"/>
  <c r="H5465" i="1"/>
  <c r="J5465" i="1" a="1"/>
  <c r="J5465" i="1" s="1"/>
  <c r="O5466" i="1" l="1" a="1"/>
  <c r="O5466" i="1" s="1"/>
  <c r="I5466" i="1" a="1"/>
  <c r="I5466" i="1" s="1"/>
  <c r="L5466" i="1" a="1"/>
  <c r="L5466" i="1" s="1"/>
  <c r="K5466" i="1" a="1"/>
  <c r="K5466" i="1" s="1"/>
  <c r="P5484" i="1" a="1"/>
  <c r="P5484" i="1" s="1"/>
  <c r="N5484" i="1" a="1"/>
  <c r="N5484" i="1" s="1"/>
  <c r="B5485" i="1"/>
  <c r="M5484" i="1" a="1"/>
  <c r="M5484" i="1" s="1"/>
  <c r="Q5484" i="1" a="1"/>
  <c r="Q5484" i="1" s="1"/>
  <c r="C5467" i="1"/>
  <c r="H5466" i="1"/>
  <c r="J5466" i="1" a="1"/>
  <c r="J5466" i="1" s="1"/>
  <c r="O5467" i="1" l="1" a="1"/>
  <c r="O5467" i="1" s="1"/>
  <c r="I5467" i="1" a="1"/>
  <c r="I5467" i="1" s="1"/>
  <c r="L5467" i="1" a="1"/>
  <c r="L5467" i="1" s="1"/>
  <c r="K5467" i="1" a="1"/>
  <c r="K5467" i="1" s="1"/>
  <c r="P5485" i="1" a="1"/>
  <c r="P5485" i="1" s="1"/>
  <c r="Q5485" i="1" a="1"/>
  <c r="Q5485" i="1" s="1"/>
  <c r="B5486" i="1"/>
  <c r="N5485" i="1" a="1"/>
  <c r="N5485" i="1" s="1"/>
  <c r="M5485" i="1" a="1"/>
  <c r="M5485" i="1" s="1"/>
  <c r="C5468" i="1"/>
  <c r="H5467" i="1"/>
  <c r="J5467" i="1" a="1"/>
  <c r="J5467" i="1" s="1"/>
  <c r="O5468" i="1" l="1" a="1"/>
  <c r="O5468" i="1" s="1"/>
  <c r="I5468" i="1" a="1"/>
  <c r="I5468" i="1" s="1"/>
  <c r="L5468" i="1" a="1"/>
  <c r="L5468" i="1" s="1"/>
  <c r="K5468" i="1" a="1"/>
  <c r="K5468" i="1" s="1"/>
  <c r="B5487" i="1"/>
  <c r="Q5486" i="1" a="1"/>
  <c r="Q5486" i="1" s="1"/>
  <c r="M5486" i="1" a="1"/>
  <c r="M5486" i="1" s="1"/>
  <c r="P5486" i="1" a="1"/>
  <c r="P5486" i="1" s="1"/>
  <c r="N5486" i="1" a="1"/>
  <c r="N5486" i="1" s="1"/>
  <c r="C5469" i="1"/>
  <c r="H5468" i="1"/>
  <c r="J5468" i="1" a="1"/>
  <c r="J5468" i="1" s="1"/>
  <c r="O5469" i="1" l="1" a="1"/>
  <c r="O5469" i="1" s="1"/>
  <c r="I5469" i="1" a="1"/>
  <c r="I5469" i="1" s="1"/>
  <c r="L5469" i="1" a="1"/>
  <c r="L5469" i="1" s="1"/>
  <c r="K5469" i="1" a="1"/>
  <c r="K5469" i="1" s="1"/>
  <c r="P5487" i="1" a="1"/>
  <c r="P5487" i="1" s="1"/>
  <c r="M5487" i="1" a="1"/>
  <c r="M5487" i="1" s="1"/>
  <c r="Q5487" i="1" a="1"/>
  <c r="Q5487" i="1" s="1"/>
  <c r="N5487" i="1" a="1"/>
  <c r="N5487" i="1" s="1"/>
  <c r="B5488" i="1"/>
  <c r="C5470" i="1"/>
  <c r="H5469" i="1"/>
  <c r="J5469" i="1" a="1"/>
  <c r="J5469" i="1" s="1"/>
  <c r="O5470" i="1" l="1" a="1"/>
  <c r="O5470" i="1" s="1"/>
  <c r="I5470" i="1" a="1"/>
  <c r="I5470" i="1" s="1"/>
  <c r="L5470" i="1" a="1"/>
  <c r="L5470" i="1" s="1"/>
  <c r="K5470" i="1" a="1"/>
  <c r="K5470" i="1" s="1"/>
  <c r="N5488" i="1" a="1"/>
  <c r="N5488" i="1" s="1"/>
  <c r="P5488" i="1" a="1"/>
  <c r="P5488" i="1" s="1"/>
  <c r="Q5488" i="1" a="1"/>
  <c r="Q5488" i="1" s="1"/>
  <c r="B5489" i="1"/>
  <c r="M5488" i="1" a="1"/>
  <c r="M5488" i="1" s="1"/>
  <c r="C5471" i="1"/>
  <c r="H5470" i="1"/>
  <c r="J5470" i="1" a="1"/>
  <c r="J5470" i="1" s="1"/>
  <c r="O5471" i="1" l="1" a="1"/>
  <c r="O5471" i="1" s="1"/>
  <c r="I5471" i="1" a="1"/>
  <c r="I5471" i="1" s="1"/>
  <c r="L5471" i="1" a="1"/>
  <c r="L5471" i="1" s="1"/>
  <c r="K5471" i="1" a="1"/>
  <c r="K5471" i="1" s="1"/>
  <c r="P5489" i="1" a="1"/>
  <c r="P5489" i="1" s="1"/>
  <c r="B5490" i="1"/>
  <c r="Q5489" i="1" a="1"/>
  <c r="Q5489" i="1" s="1"/>
  <c r="M5489" i="1" a="1"/>
  <c r="M5489" i="1" s="1"/>
  <c r="N5489" i="1" a="1"/>
  <c r="N5489" i="1" s="1"/>
  <c r="C5472" i="1"/>
  <c r="H5471" i="1"/>
  <c r="J5471" i="1" a="1"/>
  <c r="J5471" i="1" s="1"/>
  <c r="O5472" i="1" l="1" a="1"/>
  <c r="O5472" i="1" s="1"/>
  <c r="I5472" i="1" a="1"/>
  <c r="I5472" i="1" s="1"/>
  <c r="L5472" i="1" a="1"/>
  <c r="L5472" i="1" s="1"/>
  <c r="K5472" i="1" a="1"/>
  <c r="K5472" i="1" s="1"/>
  <c r="P5490" i="1" a="1"/>
  <c r="P5490" i="1" s="1"/>
  <c r="B5491" i="1"/>
  <c r="M5490" i="1" a="1"/>
  <c r="M5490" i="1" s="1"/>
  <c r="N5490" i="1" a="1"/>
  <c r="N5490" i="1" s="1"/>
  <c r="Q5490" i="1" a="1"/>
  <c r="Q5490" i="1" s="1"/>
  <c r="C5473" i="1"/>
  <c r="H5472" i="1"/>
  <c r="J5472" i="1" a="1"/>
  <c r="J5472" i="1" s="1"/>
  <c r="O5473" i="1" l="1" a="1"/>
  <c r="O5473" i="1" s="1"/>
  <c r="I5473" i="1" a="1"/>
  <c r="I5473" i="1" s="1"/>
  <c r="L5473" i="1" a="1"/>
  <c r="L5473" i="1" s="1"/>
  <c r="K5473" i="1" a="1"/>
  <c r="K5473" i="1" s="1"/>
  <c r="P5491" i="1" a="1"/>
  <c r="P5491" i="1" s="1"/>
  <c r="Q5491" i="1" a="1"/>
  <c r="Q5491" i="1" s="1"/>
  <c r="N5491" i="1" a="1"/>
  <c r="N5491" i="1" s="1"/>
  <c r="B5492" i="1"/>
  <c r="M5491" i="1" a="1"/>
  <c r="M5491" i="1" s="1"/>
  <c r="C5474" i="1"/>
  <c r="H5473" i="1"/>
  <c r="J5473" i="1" a="1"/>
  <c r="J5473" i="1" s="1"/>
  <c r="O5474" i="1" l="1" a="1"/>
  <c r="O5474" i="1" s="1"/>
  <c r="I5474" i="1" a="1"/>
  <c r="I5474" i="1" s="1"/>
  <c r="L5474" i="1" a="1"/>
  <c r="L5474" i="1" s="1"/>
  <c r="K5474" i="1" a="1"/>
  <c r="K5474" i="1" s="1"/>
  <c r="M5492" i="1" a="1"/>
  <c r="M5492" i="1" s="1"/>
  <c r="P5492" i="1" a="1"/>
  <c r="P5492" i="1" s="1"/>
  <c r="Q5492" i="1" a="1"/>
  <c r="Q5492" i="1" s="1"/>
  <c r="B5493" i="1"/>
  <c r="N5492" i="1" a="1"/>
  <c r="N5492" i="1" s="1"/>
  <c r="C5475" i="1"/>
  <c r="H5474" i="1"/>
  <c r="J5474" i="1" a="1"/>
  <c r="J5474" i="1" s="1"/>
  <c r="O5475" i="1" l="1" a="1"/>
  <c r="O5475" i="1" s="1"/>
  <c r="I5475" i="1" a="1"/>
  <c r="I5475" i="1" s="1"/>
  <c r="L5475" i="1" a="1"/>
  <c r="L5475" i="1" s="1"/>
  <c r="K5475" i="1" a="1"/>
  <c r="K5475" i="1" s="1"/>
  <c r="M5493" i="1" a="1"/>
  <c r="M5493" i="1" s="1"/>
  <c r="B5494" i="1"/>
  <c r="P5493" i="1" a="1"/>
  <c r="P5493" i="1" s="1"/>
  <c r="N5493" i="1" a="1"/>
  <c r="N5493" i="1" s="1"/>
  <c r="Q5493" i="1" a="1"/>
  <c r="Q5493" i="1" s="1"/>
  <c r="C5476" i="1"/>
  <c r="H5475" i="1"/>
  <c r="J5475" i="1" a="1"/>
  <c r="J5475" i="1" s="1"/>
  <c r="O5476" i="1" l="1" a="1"/>
  <c r="O5476" i="1" s="1"/>
  <c r="I5476" i="1" a="1"/>
  <c r="I5476" i="1" s="1"/>
  <c r="L5476" i="1" a="1"/>
  <c r="L5476" i="1" s="1"/>
  <c r="K5476" i="1" a="1"/>
  <c r="K5476" i="1" s="1"/>
  <c r="P5494" i="1" a="1"/>
  <c r="P5494" i="1" s="1"/>
  <c r="N5494" i="1" a="1"/>
  <c r="N5494" i="1" s="1"/>
  <c r="M5494" i="1" a="1"/>
  <c r="M5494" i="1" s="1"/>
  <c r="Q5494" i="1" a="1"/>
  <c r="Q5494" i="1" s="1"/>
  <c r="B5495" i="1"/>
  <c r="C5477" i="1"/>
  <c r="H5476" i="1"/>
  <c r="J5476" i="1" a="1"/>
  <c r="J5476" i="1" s="1"/>
  <c r="O5477" i="1" l="1" a="1"/>
  <c r="O5477" i="1" s="1"/>
  <c r="I5477" i="1" a="1"/>
  <c r="I5477" i="1" s="1"/>
  <c r="L5477" i="1" a="1"/>
  <c r="L5477" i="1" s="1"/>
  <c r="K5477" i="1" a="1"/>
  <c r="K5477" i="1" s="1"/>
  <c r="N5495" i="1" a="1"/>
  <c r="N5495" i="1" s="1"/>
  <c r="B5496" i="1"/>
  <c r="P5495" i="1" a="1"/>
  <c r="P5495" i="1" s="1"/>
  <c r="M5495" i="1" a="1"/>
  <c r="M5495" i="1" s="1"/>
  <c r="Q5495" i="1" a="1"/>
  <c r="Q5495" i="1" s="1"/>
  <c r="C5478" i="1"/>
  <c r="H5477" i="1"/>
  <c r="J5477" i="1" a="1"/>
  <c r="J5477" i="1" s="1"/>
  <c r="O5478" i="1" l="1" a="1"/>
  <c r="O5478" i="1" s="1"/>
  <c r="I5478" i="1" a="1"/>
  <c r="I5478" i="1" s="1"/>
  <c r="L5478" i="1" a="1"/>
  <c r="L5478" i="1" s="1"/>
  <c r="K5478" i="1" a="1"/>
  <c r="K5478" i="1" s="1"/>
  <c r="P5496" i="1" a="1"/>
  <c r="P5496" i="1" s="1"/>
  <c r="M5496" i="1" a="1"/>
  <c r="M5496" i="1" s="1"/>
  <c r="Q5496" i="1" a="1"/>
  <c r="Q5496" i="1" s="1"/>
  <c r="N5496" i="1" a="1"/>
  <c r="N5496" i="1" s="1"/>
  <c r="B5497" i="1"/>
  <c r="C5479" i="1"/>
  <c r="H5478" i="1"/>
  <c r="J5478" i="1" a="1"/>
  <c r="J5478" i="1" s="1"/>
  <c r="O5479" i="1" l="1" a="1"/>
  <c r="O5479" i="1" s="1"/>
  <c r="I5479" i="1" a="1"/>
  <c r="I5479" i="1" s="1"/>
  <c r="L5479" i="1" a="1"/>
  <c r="L5479" i="1" s="1"/>
  <c r="K5479" i="1" a="1"/>
  <c r="K5479" i="1" s="1"/>
  <c r="M5497" i="1" a="1"/>
  <c r="M5497" i="1" s="1"/>
  <c r="P5497" i="1" a="1"/>
  <c r="P5497" i="1" s="1"/>
  <c r="N5497" i="1" a="1"/>
  <c r="N5497" i="1" s="1"/>
  <c r="B5498" i="1"/>
  <c r="Q5497" i="1" a="1"/>
  <c r="Q5497" i="1" s="1"/>
  <c r="C5480" i="1"/>
  <c r="H5479" i="1"/>
  <c r="J5479" i="1" a="1"/>
  <c r="J5479" i="1" s="1"/>
  <c r="O5480" i="1" l="1" a="1"/>
  <c r="O5480" i="1" s="1"/>
  <c r="I5480" i="1" a="1"/>
  <c r="I5480" i="1" s="1"/>
  <c r="L5480" i="1" a="1"/>
  <c r="L5480" i="1" s="1"/>
  <c r="K5480" i="1" a="1"/>
  <c r="K5480" i="1" s="1"/>
  <c r="N5498" i="1" a="1"/>
  <c r="N5498" i="1" s="1"/>
  <c r="M5498" i="1" a="1"/>
  <c r="M5498" i="1" s="1"/>
  <c r="Q5498" i="1" a="1"/>
  <c r="Q5498" i="1" s="1"/>
  <c r="B5499" i="1"/>
  <c r="P5498" i="1" a="1"/>
  <c r="P5498" i="1" s="1"/>
  <c r="C5481" i="1"/>
  <c r="H5480" i="1"/>
  <c r="J5480" i="1" a="1"/>
  <c r="J5480" i="1" s="1"/>
  <c r="O5481" i="1" l="1" a="1"/>
  <c r="O5481" i="1" s="1"/>
  <c r="I5481" i="1" a="1"/>
  <c r="I5481" i="1" s="1"/>
  <c r="L5481" i="1" a="1"/>
  <c r="L5481" i="1" s="1"/>
  <c r="K5481" i="1" a="1"/>
  <c r="K5481" i="1" s="1"/>
  <c r="N5499" i="1" a="1"/>
  <c r="N5499" i="1" s="1"/>
  <c r="P5499" i="1" a="1"/>
  <c r="P5499" i="1" s="1"/>
  <c r="M5499" i="1" a="1"/>
  <c r="M5499" i="1" s="1"/>
  <c r="Q5499" i="1" a="1"/>
  <c r="Q5499" i="1" s="1"/>
  <c r="B5500" i="1"/>
  <c r="C5482" i="1"/>
  <c r="H5481" i="1"/>
  <c r="J5481" i="1" a="1"/>
  <c r="J5481" i="1" s="1"/>
  <c r="O5482" i="1" l="1" a="1"/>
  <c r="O5482" i="1" s="1"/>
  <c r="I5482" i="1" a="1"/>
  <c r="I5482" i="1" s="1"/>
  <c r="L5482" i="1" a="1"/>
  <c r="L5482" i="1" s="1"/>
  <c r="K5482" i="1" a="1"/>
  <c r="K5482" i="1" s="1"/>
  <c r="P5500" i="1" a="1"/>
  <c r="P5500" i="1" s="1"/>
  <c r="M5500" i="1" a="1"/>
  <c r="M5500" i="1" s="1"/>
  <c r="N5500" i="1" a="1"/>
  <c r="N5500" i="1" s="1"/>
  <c r="B5501" i="1"/>
  <c r="Q5500" i="1" a="1"/>
  <c r="Q5500" i="1" s="1"/>
  <c r="C5483" i="1"/>
  <c r="H5482" i="1"/>
  <c r="J5482" i="1" a="1"/>
  <c r="J5482" i="1" s="1"/>
  <c r="O5483" i="1" l="1" a="1"/>
  <c r="O5483" i="1" s="1"/>
  <c r="I5483" i="1" a="1"/>
  <c r="I5483" i="1" s="1"/>
  <c r="L5483" i="1" a="1"/>
  <c r="L5483" i="1" s="1"/>
  <c r="K5483" i="1" a="1"/>
  <c r="K5483" i="1" s="1"/>
  <c r="Q5501" i="1" a="1"/>
  <c r="Q5501" i="1" s="1"/>
  <c r="P5501" i="1" a="1"/>
  <c r="P5501" i="1" s="1"/>
  <c r="B5502" i="1"/>
  <c r="M5501" i="1" a="1"/>
  <c r="M5501" i="1" s="1"/>
  <c r="N5501" i="1" a="1"/>
  <c r="N5501" i="1" s="1"/>
  <c r="C5484" i="1"/>
  <c r="H5483" i="1"/>
  <c r="J5483" i="1" a="1"/>
  <c r="J5483" i="1" s="1"/>
  <c r="O5484" i="1" l="1" a="1"/>
  <c r="O5484" i="1" s="1"/>
  <c r="I5484" i="1" a="1"/>
  <c r="I5484" i="1" s="1"/>
  <c r="L5484" i="1" a="1"/>
  <c r="L5484" i="1" s="1"/>
  <c r="K5484" i="1" a="1"/>
  <c r="K5484" i="1" s="1"/>
  <c r="N5502" i="1" a="1"/>
  <c r="N5502" i="1" s="1"/>
  <c r="P5502" i="1" a="1"/>
  <c r="P5502" i="1" s="1"/>
  <c r="M5502" i="1" a="1"/>
  <c r="M5502" i="1" s="1"/>
  <c r="Q5502" i="1" a="1"/>
  <c r="Q5502" i="1" s="1"/>
  <c r="B5503" i="1"/>
  <c r="C5485" i="1"/>
  <c r="H5484" i="1"/>
  <c r="J5484" i="1" a="1"/>
  <c r="J5484" i="1" s="1"/>
  <c r="O5485" i="1" l="1" a="1"/>
  <c r="O5485" i="1" s="1"/>
  <c r="I5485" i="1" a="1"/>
  <c r="I5485" i="1" s="1"/>
  <c r="L5485" i="1" a="1"/>
  <c r="L5485" i="1" s="1"/>
  <c r="K5485" i="1" a="1"/>
  <c r="K5485" i="1" s="1"/>
  <c r="N5503" i="1" a="1"/>
  <c r="N5503" i="1" s="1"/>
  <c r="Q5503" i="1" a="1"/>
  <c r="Q5503" i="1" s="1"/>
  <c r="P5503" i="1" a="1"/>
  <c r="P5503" i="1" s="1"/>
  <c r="B5504" i="1"/>
  <c r="M5503" i="1" a="1"/>
  <c r="M5503" i="1" s="1"/>
  <c r="C5486" i="1"/>
  <c r="H5485" i="1"/>
  <c r="J5485" i="1" a="1"/>
  <c r="J5485" i="1" s="1"/>
  <c r="O5486" i="1" l="1" a="1"/>
  <c r="O5486" i="1" s="1"/>
  <c r="I5486" i="1" a="1"/>
  <c r="I5486" i="1" s="1"/>
  <c r="L5486" i="1" a="1"/>
  <c r="L5486" i="1" s="1"/>
  <c r="K5486" i="1" a="1"/>
  <c r="K5486" i="1" s="1"/>
  <c r="N5504" i="1" a="1"/>
  <c r="N5504" i="1" s="1"/>
  <c r="B5505" i="1"/>
  <c r="P5504" i="1" a="1"/>
  <c r="P5504" i="1" s="1"/>
  <c r="M5504" i="1" a="1"/>
  <c r="M5504" i="1" s="1"/>
  <c r="Q5504" i="1" a="1"/>
  <c r="Q5504" i="1" s="1"/>
  <c r="C5487" i="1"/>
  <c r="H5486" i="1"/>
  <c r="J5486" i="1" a="1"/>
  <c r="J5486" i="1" s="1"/>
  <c r="O5487" i="1" l="1" a="1"/>
  <c r="O5487" i="1" s="1"/>
  <c r="I5487" i="1" a="1"/>
  <c r="I5487" i="1" s="1"/>
  <c r="L5487" i="1" a="1"/>
  <c r="L5487" i="1" s="1"/>
  <c r="K5487" i="1" a="1"/>
  <c r="K5487" i="1" s="1"/>
  <c r="N5505" i="1" a="1"/>
  <c r="N5505" i="1" s="1"/>
  <c r="B5506" i="1"/>
  <c r="Q5505" i="1" a="1"/>
  <c r="Q5505" i="1" s="1"/>
  <c r="M5505" i="1" a="1"/>
  <c r="M5505" i="1" s="1"/>
  <c r="P5505" i="1" a="1"/>
  <c r="P5505" i="1" s="1"/>
  <c r="C5488" i="1"/>
  <c r="H5487" i="1"/>
  <c r="J5487" i="1" a="1"/>
  <c r="J5487" i="1" s="1"/>
  <c r="O5488" i="1" l="1" a="1"/>
  <c r="O5488" i="1" s="1"/>
  <c r="I5488" i="1" a="1"/>
  <c r="I5488" i="1" s="1"/>
  <c r="L5488" i="1" a="1"/>
  <c r="L5488" i="1" s="1"/>
  <c r="K5488" i="1" a="1"/>
  <c r="K5488" i="1" s="1"/>
  <c r="P5506" i="1" a="1"/>
  <c r="P5506" i="1" s="1"/>
  <c r="B5507" i="1"/>
  <c r="M5506" i="1" a="1"/>
  <c r="M5506" i="1" s="1"/>
  <c r="Q5506" i="1" a="1"/>
  <c r="Q5506" i="1" s="1"/>
  <c r="N5506" i="1" a="1"/>
  <c r="N5506" i="1" s="1"/>
  <c r="C5489" i="1"/>
  <c r="H5488" i="1"/>
  <c r="J5488" i="1" a="1"/>
  <c r="J5488" i="1" s="1"/>
  <c r="O5489" i="1" l="1" a="1"/>
  <c r="O5489" i="1" s="1"/>
  <c r="I5489" i="1" a="1"/>
  <c r="I5489" i="1" s="1"/>
  <c r="L5489" i="1" a="1"/>
  <c r="L5489" i="1" s="1"/>
  <c r="K5489" i="1" a="1"/>
  <c r="K5489" i="1" s="1"/>
  <c r="B5508" i="1"/>
  <c r="Q5507" i="1" a="1"/>
  <c r="Q5507" i="1" s="1"/>
  <c r="P5507" i="1" a="1"/>
  <c r="P5507" i="1" s="1"/>
  <c r="M5507" i="1" a="1"/>
  <c r="M5507" i="1" s="1"/>
  <c r="N5507" i="1" a="1"/>
  <c r="N5507" i="1" s="1"/>
  <c r="C5490" i="1"/>
  <c r="H5489" i="1"/>
  <c r="J5489" i="1" a="1"/>
  <c r="J5489" i="1" s="1"/>
  <c r="O5490" i="1" l="1" a="1"/>
  <c r="O5490" i="1" s="1"/>
  <c r="I5490" i="1" a="1"/>
  <c r="I5490" i="1" s="1"/>
  <c r="L5490" i="1" a="1"/>
  <c r="L5490" i="1" s="1"/>
  <c r="K5490" i="1" a="1"/>
  <c r="K5490" i="1" s="1"/>
  <c r="M5508" i="1" a="1"/>
  <c r="M5508" i="1" s="1"/>
  <c r="N5508" i="1" a="1"/>
  <c r="N5508" i="1" s="1"/>
  <c r="B5509" i="1"/>
  <c r="P5508" i="1" a="1"/>
  <c r="P5508" i="1" s="1"/>
  <c r="Q5508" i="1" a="1"/>
  <c r="Q5508" i="1" s="1"/>
  <c r="C5491" i="1"/>
  <c r="H5490" i="1"/>
  <c r="J5490" i="1" a="1"/>
  <c r="J5490" i="1" s="1"/>
  <c r="O5491" i="1" l="1" a="1"/>
  <c r="O5491" i="1" s="1"/>
  <c r="I5491" i="1" a="1"/>
  <c r="I5491" i="1" s="1"/>
  <c r="L5491" i="1" a="1"/>
  <c r="L5491" i="1" s="1"/>
  <c r="K5491" i="1" a="1"/>
  <c r="K5491" i="1" s="1"/>
  <c r="N5509" i="1" a="1"/>
  <c r="N5509" i="1" s="1"/>
  <c r="P5509" i="1" a="1"/>
  <c r="P5509" i="1" s="1"/>
  <c r="B5510" i="1"/>
  <c r="Q5509" i="1" a="1"/>
  <c r="Q5509" i="1" s="1"/>
  <c r="M5509" i="1" a="1"/>
  <c r="M5509" i="1" s="1"/>
  <c r="C5492" i="1"/>
  <c r="H5491" i="1"/>
  <c r="J5491" i="1" a="1"/>
  <c r="J5491" i="1" s="1"/>
  <c r="O5492" i="1" l="1" a="1"/>
  <c r="O5492" i="1" s="1"/>
  <c r="I5492" i="1" a="1"/>
  <c r="I5492" i="1" s="1"/>
  <c r="L5492" i="1" a="1"/>
  <c r="L5492" i="1" s="1"/>
  <c r="K5492" i="1" a="1"/>
  <c r="K5492" i="1" s="1"/>
  <c r="B5511" i="1"/>
  <c r="P5510" i="1" a="1"/>
  <c r="P5510" i="1" s="1"/>
  <c r="Q5510" i="1" a="1"/>
  <c r="Q5510" i="1" s="1"/>
  <c r="M5510" i="1" a="1"/>
  <c r="M5510" i="1" s="1"/>
  <c r="N5510" i="1" a="1"/>
  <c r="N5510" i="1" s="1"/>
  <c r="C5493" i="1"/>
  <c r="H5492" i="1"/>
  <c r="J5492" i="1" a="1"/>
  <c r="J5492" i="1" s="1"/>
  <c r="O5493" i="1" l="1" a="1"/>
  <c r="O5493" i="1" s="1"/>
  <c r="I5493" i="1" a="1"/>
  <c r="I5493" i="1" s="1"/>
  <c r="L5493" i="1" a="1"/>
  <c r="L5493" i="1" s="1"/>
  <c r="K5493" i="1" a="1"/>
  <c r="K5493" i="1" s="1"/>
  <c r="M5511" i="1" a="1"/>
  <c r="M5511" i="1" s="1"/>
  <c r="B5512" i="1"/>
  <c r="P5511" i="1" a="1"/>
  <c r="P5511" i="1" s="1"/>
  <c r="Q5511" i="1" a="1"/>
  <c r="Q5511" i="1" s="1"/>
  <c r="N5511" i="1" a="1"/>
  <c r="N5511" i="1" s="1"/>
  <c r="C5494" i="1"/>
  <c r="H5493" i="1"/>
  <c r="J5493" i="1" a="1"/>
  <c r="J5493" i="1" s="1"/>
  <c r="O5494" i="1" l="1" a="1"/>
  <c r="O5494" i="1" s="1"/>
  <c r="I5494" i="1" a="1"/>
  <c r="I5494" i="1" s="1"/>
  <c r="L5494" i="1" a="1"/>
  <c r="L5494" i="1" s="1"/>
  <c r="K5494" i="1" a="1"/>
  <c r="K5494" i="1" s="1"/>
  <c r="B5513" i="1"/>
  <c r="N5512" i="1" a="1"/>
  <c r="N5512" i="1" s="1"/>
  <c r="M5512" i="1" a="1"/>
  <c r="M5512" i="1" s="1"/>
  <c r="Q5512" i="1" a="1"/>
  <c r="Q5512" i="1" s="1"/>
  <c r="P5512" i="1" a="1"/>
  <c r="P5512" i="1" s="1"/>
  <c r="C5495" i="1"/>
  <c r="H5494" i="1"/>
  <c r="J5494" i="1" a="1"/>
  <c r="J5494" i="1" s="1"/>
  <c r="O5495" i="1" l="1" a="1"/>
  <c r="O5495" i="1" s="1"/>
  <c r="I5495" i="1" a="1"/>
  <c r="I5495" i="1" s="1"/>
  <c r="L5495" i="1" a="1"/>
  <c r="L5495" i="1" s="1"/>
  <c r="K5495" i="1" a="1"/>
  <c r="K5495" i="1" s="1"/>
  <c r="N5513" i="1" a="1"/>
  <c r="N5513" i="1" s="1"/>
  <c r="M5513" i="1" a="1"/>
  <c r="M5513" i="1" s="1"/>
  <c r="P5513" i="1" a="1"/>
  <c r="P5513" i="1" s="1"/>
  <c r="Q5513" i="1" a="1"/>
  <c r="Q5513" i="1" s="1"/>
  <c r="B5514" i="1"/>
  <c r="C5496" i="1"/>
  <c r="H5495" i="1"/>
  <c r="J5495" i="1" a="1"/>
  <c r="J5495" i="1" s="1"/>
  <c r="O5496" i="1" l="1" a="1"/>
  <c r="O5496" i="1" s="1"/>
  <c r="I5496" i="1" a="1"/>
  <c r="I5496" i="1" s="1"/>
  <c r="L5496" i="1" a="1"/>
  <c r="L5496" i="1" s="1"/>
  <c r="K5496" i="1" a="1"/>
  <c r="K5496" i="1" s="1"/>
  <c r="P5514" i="1" a="1"/>
  <c r="P5514" i="1" s="1"/>
  <c r="B5515" i="1"/>
  <c r="M5514" i="1" a="1"/>
  <c r="M5514" i="1" s="1"/>
  <c r="N5514" i="1" a="1"/>
  <c r="N5514" i="1" s="1"/>
  <c r="Q5514" i="1" a="1"/>
  <c r="Q5514" i="1" s="1"/>
  <c r="C5497" i="1"/>
  <c r="H5496" i="1"/>
  <c r="J5496" i="1" a="1"/>
  <c r="J5496" i="1" s="1"/>
  <c r="O5497" i="1" l="1" a="1"/>
  <c r="O5497" i="1" s="1"/>
  <c r="I5497" i="1" a="1"/>
  <c r="I5497" i="1" s="1"/>
  <c r="L5497" i="1" a="1"/>
  <c r="L5497" i="1" s="1"/>
  <c r="K5497" i="1" a="1"/>
  <c r="K5497" i="1" s="1"/>
  <c r="B5516" i="1"/>
  <c r="Q5515" i="1" a="1"/>
  <c r="Q5515" i="1" s="1"/>
  <c r="M5515" i="1" a="1"/>
  <c r="M5515" i="1" s="1"/>
  <c r="N5515" i="1" a="1"/>
  <c r="N5515" i="1" s="1"/>
  <c r="P5515" i="1" a="1"/>
  <c r="P5515" i="1" s="1"/>
  <c r="C5498" i="1"/>
  <c r="H5497" i="1"/>
  <c r="J5497" i="1" a="1"/>
  <c r="J5497" i="1" s="1"/>
  <c r="O5498" i="1" l="1" a="1"/>
  <c r="O5498" i="1" s="1"/>
  <c r="I5498" i="1" a="1"/>
  <c r="I5498" i="1" s="1"/>
  <c r="L5498" i="1" a="1"/>
  <c r="L5498" i="1" s="1"/>
  <c r="K5498" i="1" a="1"/>
  <c r="K5498" i="1" s="1"/>
  <c r="N5516" i="1" a="1"/>
  <c r="N5516" i="1" s="1"/>
  <c r="B5517" i="1"/>
  <c r="P5516" i="1" a="1"/>
  <c r="P5516" i="1" s="1"/>
  <c r="Q5516" i="1" a="1"/>
  <c r="Q5516" i="1" s="1"/>
  <c r="M5516" i="1" a="1"/>
  <c r="M5516" i="1" s="1"/>
  <c r="C5499" i="1"/>
  <c r="H5498" i="1"/>
  <c r="J5498" i="1" a="1"/>
  <c r="J5498" i="1" s="1"/>
  <c r="O5499" i="1" l="1" a="1"/>
  <c r="O5499" i="1" s="1"/>
  <c r="I5499" i="1" a="1"/>
  <c r="I5499" i="1" s="1"/>
  <c r="L5499" i="1" a="1"/>
  <c r="L5499" i="1" s="1"/>
  <c r="K5499" i="1" a="1"/>
  <c r="K5499" i="1" s="1"/>
  <c r="M5517" i="1" a="1"/>
  <c r="M5517" i="1" s="1"/>
  <c r="B5518" i="1"/>
  <c r="N5517" i="1" a="1"/>
  <c r="N5517" i="1" s="1"/>
  <c r="P5517" i="1" a="1"/>
  <c r="P5517" i="1" s="1"/>
  <c r="Q5517" i="1" a="1"/>
  <c r="Q5517" i="1" s="1"/>
  <c r="C5500" i="1"/>
  <c r="H5499" i="1"/>
  <c r="J5499" i="1" a="1"/>
  <c r="J5499" i="1" s="1"/>
  <c r="O5500" i="1" l="1" a="1"/>
  <c r="O5500" i="1" s="1"/>
  <c r="I5500" i="1" a="1"/>
  <c r="I5500" i="1" s="1"/>
  <c r="L5500" i="1" a="1"/>
  <c r="L5500" i="1" s="1"/>
  <c r="K5500" i="1" a="1"/>
  <c r="K5500" i="1" s="1"/>
  <c r="N5518" i="1" a="1"/>
  <c r="N5518" i="1" s="1"/>
  <c r="P5518" i="1" a="1"/>
  <c r="P5518" i="1" s="1"/>
  <c r="Q5518" i="1" a="1"/>
  <c r="Q5518" i="1" s="1"/>
  <c r="M5518" i="1" a="1"/>
  <c r="M5518" i="1" s="1"/>
  <c r="B5519" i="1"/>
  <c r="C5501" i="1"/>
  <c r="H5500" i="1"/>
  <c r="J5500" i="1" a="1"/>
  <c r="J5500" i="1" s="1"/>
  <c r="O5501" i="1" l="1" a="1"/>
  <c r="O5501" i="1" s="1"/>
  <c r="I5501" i="1" a="1"/>
  <c r="I5501" i="1" s="1"/>
  <c r="L5501" i="1" a="1"/>
  <c r="L5501" i="1" s="1"/>
  <c r="K5501" i="1" a="1"/>
  <c r="K5501" i="1" s="1"/>
  <c r="Q5519" i="1" a="1"/>
  <c r="Q5519" i="1" s="1"/>
  <c r="M5519" i="1" a="1"/>
  <c r="M5519" i="1" s="1"/>
  <c r="N5519" i="1" a="1"/>
  <c r="N5519" i="1" s="1"/>
  <c r="B5520" i="1"/>
  <c r="P5519" i="1" a="1"/>
  <c r="P5519" i="1" s="1"/>
  <c r="C5502" i="1"/>
  <c r="H5501" i="1"/>
  <c r="J5501" i="1" a="1"/>
  <c r="J5501" i="1" s="1"/>
  <c r="O5502" i="1" l="1" a="1"/>
  <c r="O5502" i="1" s="1"/>
  <c r="I5502" i="1" a="1"/>
  <c r="I5502" i="1" s="1"/>
  <c r="L5502" i="1" a="1"/>
  <c r="L5502" i="1" s="1"/>
  <c r="K5502" i="1" a="1"/>
  <c r="K5502" i="1" s="1"/>
  <c r="B5521" i="1"/>
  <c r="Q5520" i="1" a="1"/>
  <c r="Q5520" i="1" s="1"/>
  <c r="M5520" i="1" a="1"/>
  <c r="M5520" i="1" s="1"/>
  <c r="N5520" i="1" a="1"/>
  <c r="N5520" i="1" s="1"/>
  <c r="P5520" i="1" a="1"/>
  <c r="P5520" i="1" s="1"/>
  <c r="C5503" i="1"/>
  <c r="H5502" i="1"/>
  <c r="J5502" i="1" a="1"/>
  <c r="J5502" i="1" s="1"/>
  <c r="O5503" i="1" l="1" a="1"/>
  <c r="O5503" i="1" s="1"/>
  <c r="I5503" i="1" a="1"/>
  <c r="I5503" i="1" s="1"/>
  <c r="L5503" i="1" a="1"/>
  <c r="L5503" i="1" s="1"/>
  <c r="K5503" i="1" a="1"/>
  <c r="K5503" i="1" s="1"/>
  <c r="Q5521" i="1" a="1"/>
  <c r="Q5521" i="1" s="1"/>
  <c r="M5521" i="1" a="1"/>
  <c r="M5521" i="1" s="1"/>
  <c r="B5522" i="1"/>
  <c r="N5521" i="1" a="1"/>
  <c r="N5521" i="1" s="1"/>
  <c r="P5521" i="1" a="1"/>
  <c r="P5521" i="1" s="1"/>
  <c r="C5504" i="1"/>
  <c r="H5503" i="1"/>
  <c r="J5503" i="1" a="1"/>
  <c r="J5503" i="1" s="1"/>
  <c r="O5504" i="1" l="1" a="1"/>
  <c r="O5504" i="1" s="1"/>
  <c r="I5504" i="1" a="1"/>
  <c r="I5504" i="1" s="1"/>
  <c r="L5504" i="1" a="1"/>
  <c r="L5504" i="1" s="1"/>
  <c r="K5504" i="1" a="1"/>
  <c r="K5504" i="1" s="1"/>
  <c r="Q5522" i="1" a="1"/>
  <c r="Q5522" i="1" s="1"/>
  <c r="M5522" i="1" a="1"/>
  <c r="M5522" i="1" s="1"/>
  <c r="B5523" i="1"/>
  <c r="P5522" i="1" a="1"/>
  <c r="P5522" i="1" s="1"/>
  <c r="N5522" i="1" a="1"/>
  <c r="N5522" i="1" s="1"/>
  <c r="C5505" i="1"/>
  <c r="H5504" i="1"/>
  <c r="J5504" i="1" a="1"/>
  <c r="J5504" i="1" s="1"/>
  <c r="O5505" i="1" l="1" a="1"/>
  <c r="O5505" i="1" s="1"/>
  <c r="I5505" i="1" a="1"/>
  <c r="I5505" i="1" s="1"/>
  <c r="L5505" i="1" a="1"/>
  <c r="L5505" i="1" s="1"/>
  <c r="K5505" i="1" a="1"/>
  <c r="K5505" i="1" s="1"/>
  <c r="P5523" i="1" a="1"/>
  <c r="P5523" i="1" s="1"/>
  <c r="Q5523" i="1" a="1"/>
  <c r="Q5523" i="1" s="1"/>
  <c r="M5523" i="1" a="1"/>
  <c r="M5523" i="1" s="1"/>
  <c r="B5524" i="1"/>
  <c r="N5523" i="1" a="1"/>
  <c r="N5523" i="1" s="1"/>
  <c r="C5506" i="1"/>
  <c r="H5505" i="1"/>
  <c r="J5505" i="1" a="1"/>
  <c r="J5505" i="1" s="1"/>
  <c r="O5506" i="1" l="1" a="1"/>
  <c r="O5506" i="1" s="1"/>
  <c r="I5506" i="1" a="1"/>
  <c r="I5506" i="1" s="1"/>
  <c r="L5506" i="1" a="1"/>
  <c r="L5506" i="1" s="1"/>
  <c r="K5506" i="1" a="1"/>
  <c r="K5506" i="1" s="1"/>
  <c r="P5524" i="1" a="1"/>
  <c r="P5524" i="1" s="1"/>
  <c r="B5525" i="1"/>
  <c r="Q5524" i="1" a="1"/>
  <c r="Q5524" i="1" s="1"/>
  <c r="M5524" i="1" a="1"/>
  <c r="M5524" i="1" s="1"/>
  <c r="N5524" i="1" a="1"/>
  <c r="N5524" i="1" s="1"/>
  <c r="C5507" i="1"/>
  <c r="H5506" i="1"/>
  <c r="J5506" i="1" a="1"/>
  <c r="J5506" i="1" s="1"/>
  <c r="O5507" i="1" l="1" a="1"/>
  <c r="O5507" i="1" s="1"/>
  <c r="I5507" i="1" a="1"/>
  <c r="I5507" i="1" s="1"/>
  <c r="L5507" i="1" a="1"/>
  <c r="L5507" i="1" s="1"/>
  <c r="K5507" i="1" a="1"/>
  <c r="K5507" i="1" s="1"/>
  <c r="M5525" i="1" a="1"/>
  <c r="M5525" i="1" s="1"/>
  <c r="P5525" i="1" a="1"/>
  <c r="P5525" i="1" s="1"/>
  <c r="B5526" i="1"/>
  <c r="N5525" i="1" a="1"/>
  <c r="N5525" i="1" s="1"/>
  <c r="Q5525" i="1" a="1"/>
  <c r="Q5525" i="1" s="1"/>
  <c r="C5508" i="1"/>
  <c r="H5507" i="1"/>
  <c r="J5507" i="1" a="1"/>
  <c r="J5507" i="1" s="1"/>
  <c r="O5508" i="1" l="1" a="1"/>
  <c r="O5508" i="1" s="1"/>
  <c r="I5508" i="1" a="1"/>
  <c r="I5508" i="1" s="1"/>
  <c r="L5508" i="1" a="1"/>
  <c r="L5508" i="1" s="1"/>
  <c r="K5508" i="1" a="1"/>
  <c r="K5508" i="1" s="1"/>
  <c r="Q5526" i="1" a="1"/>
  <c r="Q5526" i="1" s="1"/>
  <c r="M5526" i="1" a="1"/>
  <c r="M5526" i="1" s="1"/>
  <c r="N5526" i="1" a="1"/>
  <c r="N5526" i="1" s="1"/>
  <c r="P5526" i="1" a="1"/>
  <c r="P5526" i="1" s="1"/>
  <c r="B5527" i="1"/>
  <c r="C5509" i="1"/>
  <c r="H5508" i="1"/>
  <c r="J5508" i="1" a="1"/>
  <c r="J5508" i="1" s="1"/>
  <c r="O5509" i="1" l="1" a="1"/>
  <c r="O5509" i="1" s="1"/>
  <c r="I5509" i="1" a="1"/>
  <c r="I5509" i="1" s="1"/>
  <c r="L5509" i="1" a="1"/>
  <c r="L5509" i="1" s="1"/>
  <c r="K5509" i="1" a="1"/>
  <c r="K5509" i="1" s="1"/>
  <c r="B5528" i="1"/>
  <c r="P5527" i="1" a="1"/>
  <c r="P5527" i="1" s="1"/>
  <c r="Q5527" i="1" a="1"/>
  <c r="Q5527" i="1" s="1"/>
  <c r="M5527" i="1" a="1"/>
  <c r="M5527" i="1" s="1"/>
  <c r="N5527" i="1" a="1"/>
  <c r="N5527" i="1" s="1"/>
  <c r="C5510" i="1"/>
  <c r="H5509" i="1"/>
  <c r="J5509" i="1" a="1"/>
  <c r="J5509" i="1" s="1"/>
  <c r="O5510" i="1" l="1" a="1"/>
  <c r="O5510" i="1" s="1"/>
  <c r="I5510" i="1" a="1"/>
  <c r="I5510" i="1" s="1"/>
  <c r="L5510" i="1" a="1"/>
  <c r="L5510" i="1" s="1"/>
  <c r="K5510" i="1" a="1"/>
  <c r="K5510" i="1" s="1"/>
  <c r="N5528" i="1" a="1"/>
  <c r="N5528" i="1" s="1"/>
  <c r="P5528" i="1" a="1"/>
  <c r="P5528" i="1" s="1"/>
  <c r="Q5528" i="1" a="1"/>
  <c r="Q5528" i="1" s="1"/>
  <c r="M5528" i="1" a="1"/>
  <c r="M5528" i="1" s="1"/>
  <c r="B5529" i="1"/>
  <c r="C5511" i="1"/>
  <c r="H5510" i="1"/>
  <c r="J5510" i="1" a="1"/>
  <c r="J5510" i="1" s="1"/>
  <c r="O5511" i="1" l="1" a="1"/>
  <c r="O5511" i="1" s="1"/>
  <c r="I5511" i="1" a="1"/>
  <c r="I5511" i="1" s="1"/>
  <c r="L5511" i="1" a="1"/>
  <c r="L5511" i="1" s="1"/>
  <c r="K5511" i="1" a="1"/>
  <c r="K5511" i="1" s="1"/>
  <c r="N5529" i="1" a="1"/>
  <c r="N5529" i="1" s="1"/>
  <c r="P5529" i="1" a="1"/>
  <c r="P5529" i="1" s="1"/>
  <c r="Q5529" i="1" a="1"/>
  <c r="Q5529" i="1" s="1"/>
  <c r="M5529" i="1" a="1"/>
  <c r="M5529" i="1" s="1"/>
  <c r="B5530" i="1"/>
  <c r="C5512" i="1"/>
  <c r="H5511" i="1"/>
  <c r="J5511" i="1" a="1"/>
  <c r="J5511" i="1" s="1"/>
  <c r="O5512" i="1" l="1" a="1"/>
  <c r="O5512" i="1" s="1"/>
  <c r="I5512" i="1" a="1"/>
  <c r="I5512" i="1" s="1"/>
  <c r="L5512" i="1" a="1"/>
  <c r="L5512" i="1" s="1"/>
  <c r="K5512" i="1" a="1"/>
  <c r="K5512" i="1" s="1"/>
  <c r="B5531" i="1"/>
  <c r="Q5530" i="1" a="1"/>
  <c r="Q5530" i="1" s="1"/>
  <c r="P5530" i="1" a="1"/>
  <c r="P5530" i="1" s="1"/>
  <c r="M5530" i="1" a="1"/>
  <c r="M5530" i="1" s="1"/>
  <c r="N5530" i="1" a="1"/>
  <c r="N5530" i="1" s="1"/>
  <c r="C5513" i="1"/>
  <c r="H5512" i="1"/>
  <c r="J5512" i="1" a="1"/>
  <c r="J5512" i="1" s="1"/>
  <c r="O5513" i="1" l="1" a="1"/>
  <c r="O5513" i="1" s="1"/>
  <c r="I5513" i="1" a="1"/>
  <c r="I5513" i="1" s="1"/>
  <c r="L5513" i="1" a="1"/>
  <c r="L5513" i="1" s="1"/>
  <c r="K5513" i="1" a="1"/>
  <c r="K5513" i="1" s="1"/>
  <c r="B5532" i="1"/>
  <c r="N5531" i="1" a="1"/>
  <c r="N5531" i="1" s="1"/>
  <c r="P5531" i="1" a="1"/>
  <c r="P5531" i="1" s="1"/>
  <c r="Q5531" i="1" a="1"/>
  <c r="Q5531" i="1" s="1"/>
  <c r="M5531" i="1" a="1"/>
  <c r="M5531" i="1" s="1"/>
  <c r="C5514" i="1"/>
  <c r="H5513" i="1"/>
  <c r="J5513" i="1" a="1"/>
  <c r="J5513" i="1" s="1"/>
  <c r="O5514" i="1" l="1" a="1"/>
  <c r="O5514" i="1" s="1"/>
  <c r="I5514" i="1" a="1"/>
  <c r="I5514" i="1" s="1"/>
  <c r="L5514" i="1" a="1"/>
  <c r="L5514" i="1" s="1"/>
  <c r="K5514" i="1" a="1"/>
  <c r="K5514" i="1" s="1"/>
  <c r="Q5532" i="1" a="1"/>
  <c r="Q5532" i="1" s="1"/>
  <c r="N5532" i="1" a="1"/>
  <c r="N5532" i="1" s="1"/>
  <c r="P5532" i="1" a="1"/>
  <c r="P5532" i="1" s="1"/>
  <c r="B5533" i="1"/>
  <c r="M5532" i="1" a="1"/>
  <c r="M5532" i="1" s="1"/>
  <c r="C5515" i="1"/>
  <c r="H5514" i="1"/>
  <c r="J5514" i="1" a="1"/>
  <c r="J5514" i="1" s="1"/>
  <c r="O5515" i="1" l="1" a="1"/>
  <c r="O5515" i="1" s="1"/>
  <c r="I5515" i="1" a="1"/>
  <c r="I5515" i="1" s="1"/>
  <c r="D57" i="2"/>
  <c r="L5515" i="1" a="1"/>
  <c r="L5515" i="1" s="1"/>
  <c r="K5515" i="1" a="1"/>
  <c r="K5515" i="1" s="1"/>
  <c r="B5534" i="1"/>
  <c r="D90" i="2" s="1"/>
  <c r="N5533" i="1" a="1"/>
  <c r="N5533" i="1" s="1"/>
  <c r="P5533" i="1" a="1"/>
  <c r="P5533" i="1" s="1"/>
  <c r="Q5533" i="1" a="1"/>
  <c r="Q5533" i="1" s="1"/>
  <c r="M5533" i="1" a="1"/>
  <c r="M5533" i="1" s="1"/>
  <c r="C5516" i="1"/>
  <c r="H5515" i="1"/>
  <c r="J5515" i="1" a="1"/>
  <c r="J5515" i="1" s="1"/>
  <c r="O5516" i="1" l="1" a="1"/>
  <c r="O5516" i="1" s="1"/>
  <c r="I5516" i="1" a="1"/>
  <c r="I5516" i="1" s="1"/>
  <c r="D37" i="2"/>
  <c r="D126" i="2"/>
  <c r="D63" i="2"/>
  <c r="D67" i="2"/>
  <c r="D75" i="2"/>
  <c r="D51" i="2"/>
  <c r="D7" i="2"/>
  <c r="D64" i="2"/>
  <c r="D14" i="2"/>
  <c r="D34" i="2"/>
  <c r="D156" i="2"/>
  <c r="D106" i="2"/>
  <c r="D17" i="2"/>
  <c r="D153" i="2"/>
  <c r="D23" i="2"/>
  <c r="D96" i="2"/>
  <c r="D21" i="2"/>
  <c r="D128" i="2"/>
  <c r="D85" i="2"/>
  <c r="D41" i="2"/>
  <c r="L5516" i="1" a="1"/>
  <c r="L5516" i="1" s="1"/>
  <c r="K5516" i="1" a="1"/>
  <c r="K5516" i="1" s="1"/>
  <c r="M5534" i="1" a="1"/>
  <c r="M5534" i="1" s="1"/>
  <c r="P5534" i="1" a="1"/>
  <c r="P5534" i="1" s="1"/>
  <c r="N5534" i="1" a="1"/>
  <c r="N5534" i="1" s="1"/>
  <c r="B5535" i="1"/>
  <c r="Q5534" i="1" a="1"/>
  <c r="Q5534" i="1" s="1"/>
  <c r="C5517" i="1"/>
  <c r="H5516" i="1"/>
  <c r="J5516" i="1" a="1"/>
  <c r="J5516" i="1" s="1"/>
  <c r="O5517" i="1" l="1" a="1"/>
  <c r="O5517" i="1" s="1"/>
  <c r="I5517" i="1" a="1"/>
  <c r="I5517" i="1" s="1"/>
  <c r="D19" i="2"/>
  <c r="D10" i="2"/>
  <c r="D162" i="2"/>
  <c r="D62" i="2"/>
  <c r="D9" i="2"/>
  <c r="D109" i="2"/>
  <c r="D144" i="2"/>
  <c r="D125" i="2"/>
  <c r="D13" i="2"/>
  <c r="D88" i="2"/>
  <c r="D99" i="2"/>
  <c r="D70" i="2"/>
  <c r="D31" i="2"/>
  <c r="L5517" i="1" a="1"/>
  <c r="L5517" i="1" s="1"/>
  <c r="K5517" i="1" a="1"/>
  <c r="K5517" i="1" s="1"/>
  <c r="B5536" i="1"/>
  <c r="Q5535" i="1" a="1"/>
  <c r="Q5535" i="1" s="1"/>
  <c r="M5535" i="1" a="1"/>
  <c r="M5535" i="1" s="1"/>
  <c r="N5535" i="1" a="1"/>
  <c r="N5535" i="1" s="1"/>
  <c r="P5535" i="1" a="1"/>
  <c r="P5535" i="1" s="1"/>
  <c r="C5518" i="1"/>
  <c r="H5517" i="1"/>
  <c r="J5517" i="1" a="1"/>
  <c r="J5517" i="1" s="1"/>
  <c r="O5518" i="1" l="1" a="1"/>
  <c r="O5518" i="1" s="1"/>
  <c r="I5518" i="1" a="1"/>
  <c r="I5518" i="1" s="1"/>
  <c r="L5518" i="1" a="1"/>
  <c r="L5518" i="1" s="1"/>
  <c r="K5518" i="1" a="1"/>
  <c r="K5518" i="1" s="1"/>
  <c r="B5537" i="1"/>
  <c r="Q5536" i="1" a="1"/>
  <c r="Q5536" i="1" s="1"/>
  <c r="M5536" i="1" a="1"/>
  <c r="M5536" i="1" s="1"/>
  <c r="N5536" i="1" a="1"/>
  <c r="N5536" i="1" s="1"/>
  <c r="P5536" i="1" a="1"/>
  <c r="P5536" i="1" s="1"/>
  <c r="C5519" i="1"/>
  <c r="H5518" i="1"/>
  <c r="J5518" i="1" a="1"/>
  <c r="J5518" i="1" s="1"/>
  <c r="O5519" i="1" l="1" a="1"/>
  <c r="O5519" i="1" s="1"/>
  <c r="I5519" i="1" a="1"/>
  <c r="I5519" i="1" s="1"/>
  <c r="L5519" i="1" a="1"/>
  <c r="L5519" i="1" s="1"/>
  <c r="K5519" i="1" a="1"/>
  <c r="K5519" i="1" s="1"/>
  <c r="M5537" i="1" a="1"/>
  <c r="M5537" i="1" s="1"/>
  <c r="B5538" i="1"/>
  <c r="N5537" i="1" a="1"/>
  <c r="N5537" i="1" s="1"/>
  <c r="Q5537" i="1" a="1"/>
  <c r="Q5537" i="1" s="1"/>
  <c r="P5537" i="1" a="1"/>
  <c r="P5537" i="1" s="1"/>
  <c r="C5520" i="1"/>
  <c r="H5519" i="1"/>
  <c r="J5519" i="1" a="1"/>
  <c r="J5519" i="1" s="1"/>
  <c r="O5520" i="1" l="1" a="1"/>
  <c r="O5520" i="1" s="1"/>
  <c r="I5520" i="1" a="1"/>
  <c r="I5520" i="1" s="1"/>
  <c r="L5520" i="1" a="1"/>
  <c r="L5520" i="1" s="1"/>
  <c r="K5520" i="1" a="1"/>
  <c r="K5520" i="1" s="1"/>
  <c r="P5538" i="1" a="1"/>
  <c r="P5538" i="1" s="1"/>
  <c r="M5538" i="1" a="1"/>
  <c r="M5538" i="1" s="1"/>
  <c r="N5538" i="1" a="1"/>
  <c r="N5538" i="1" s="1"/>
  <c r="Q5538" i="1" a="1"/>
  <c r="Q5538" i="1" s="1"/>
  <c r="B5539" i="1"/>
  <c r="C5521" i="1"/>
  <c r="H5520" i="1"/>
  <c r="J5520" i="1" a="1"/>
  <c r="J5520" i="1" s="1"/>
  <c r="O5521" i="1" l="1" a="1"/>
  <c r="O5521" i="1" s="1"/>
  <c r="I5521" i="1" a="1"/>
  <c r="I5521" i="1" s="1"/>
  <c r="L5521" i="1" a="1"/>
  <c r="L5521" i="1" s="1"/>
  <c r="K5521" i="1" a="1"/>
  <c r="K5521" i="1" s="1"/>
  <c r="B5540" i="1"/>
  <c r="P5539" i="1" a="1"/>
  <c r="P5539" i="1" s="1"/>
  <c r="N5539" i="1" a="1"/>
  <c r="N5539" i="1" s="1"/>
  <c r="Q5539" i="1" a="1"/>
  <c r="Q5539" i="1" s="1"/>
  <c r="M5539" i="1" a="1"/>
  <c r="M5539" i="1" s="1"/>
  <c r="C5522" i="1"/>
  <c r="H5521" i="1"/>
  <c r="J5521" i="1" a="1"/>
  <c r="J5521" i="1" s="1"/>
  <c r="O5522" i="1" l="1" a="1"/>
  <c r="O5522" i="1" s="1"/>
  <c r="I5522" i="1" a="1"/>
  <c r="I5522" i="1" s="1"/>
  <c r="L5522" i="1" a="1"/>
  <c r="L5522" i="1" s="1"/>
  <c r="K5522" i="1" a="1"/>
  <c r="K5522" i="1" s="1"/>
  <c r="B5541" i="1"/>
  <c r="P5540" i="1" a="1"/>
  <c r="P5540" i="1" s="1"/>
  <c r="Q5540" i="1" a="1"/>
  <c r="Q5540" i="1" s="1"/>
  <c r="M5540" i="1" a="1"/>
  <c r="M5540" i="1" s="1"/>
  <c r="N5540" i="1" a="1"/>
  <c r="N5540" i="1" s="1"/>
  <c r="C5523" i="1"/>
  <c r="H5522" i="1"/>
  <c r="J5522" i="1" a="1"/>
  <c r="J5522" i="1" s="1"/>
  <c r="O5523" i="1" l="1" a="1"/>
  <c r="O5523" i="1" s="1"/>
  <c r="I5523" i="1" a="1"/>
  <c r="I5523" i="1" s="1"/>
  <c r="L5523" i="1" a="1"/>
  <c r="L5523" i="1" s="1"/>
  <c r="K5523" i="1" a="1"/>
  <c r="K5523" i="1" s="1"/>
  <c r="Q5541" i="1" a="1"/>
  <c r="Q5541" i="1" s="1"/>
  <c r="P5541" i="1" a="1"/>
  <c r="P5541" i="1" s="1"/>
  <c r="M5541" i="1" a="1"/>
  <c r="M5541" i="1" s="1"/>
  <c r="B5542" i="1"/>
  <c r="N5541" i="1" a="1"/>
  <c r="N5541" i="1" s="1"/>
  <c r="C5524" i="1"/>
  <c r="H5523" i="1"/>
  <c r="J5523" i="1" a="1"/>
  <c r="J5523" i="1" s="1"/>
  <c r="O5524" i="1" l="1" a="1"/>
  <c r="O5524" i="1" s="1"/>
  <c r="I5524" i="1" a="1"/>
  <c r="I5524" i="1" s="1"/>
  <c r="L5524" i="1" a="1"/>
  <c r="L5524" i="1" s="1"/>
  <c r="K5524" i="1" a="1"/>
  <c r="K5524" i="1" s="1"/>
  <c r="P5542" i="1" a="1"/>
  <c r="P5542" i="1" s="1"/>
  <c r="M5542" i="1" a="1"/>
  <c r="M5542" i="1" s="1"/>
  <c r="B5543" i="1"/>
  <c r="N5542" i="1" a="1"/>
  <c r="N5542" i="1" s="1"/>
  <c r="Q5542" i="1" a="1"/>
  <c r="Q5542" i="1" s="1"/>
  <c r="C5525" i="1"/>
  <c r="H5524" i="1"/>
  <c r="J5524" i="1" a="1"/>
  <c r="J5524" i="1" s="1"/>
  <c r="O5525" i="1" l="1" a="1"/>
  <c r="O5525" i="1" s="1"/>
  <c r="I5525" i="1" a="1"/>
  <c r="I5525" i="1" s="1"/>
  <c r="L5525" i="1" a="1"/>
  <c r="L5525" i="1" s="1"/>
  <c r="K5525" i="1" a="1"/>
  <c r="K5525" i="1" s="1"/>
  <c r="N5543" i="1" a="1"/>
  <c r="N5543" i="1" s="1"/>
  <c r="P5543" i="1" a="1"/>
  <c r="P5543" i="1" s="1"/>
  <c r="B5544" i="1"/>
  <c r="M5543" i="1" a="1"/>
  <c r="M5543" i="1" s="1"/>
  <c r="Q5543" i="1" a="1"/>
  <c r="Q5543" i="1" s="1"/>
  <c r="C5526" i="1"/>
  <c r="H5525" i="1"/>
  <c r="J5525" i="1" a="1"/>
  <c r="J5525" i="1" s="1"/>
  <c r="O5526" i="1" l="1" a="1"/>
  <c r="O5526" i="1" s="1"/>
  <c r="I5526" i="1" a="1"/>
  <c r="I5526" i="1" s="1"/>
  <c r="L5526" i="1" a="1"/>
  <c r="L5526" i="1" s="1"/>
  <c r="K5526" i="1" a="1"/>
  <c r="K5526" i="1" s="1"/>
  <c r="N5544" i="1" a="1"/>
  <c r="N5544" i="1" s="1"/>
  <c r="P5544" i="1" a="1"/>
  <c r="P5544" i="1" s="1"/>
  <c r="M5544" i="1" a="1"/>
  <c r="M5544" i="1" s="1"/>
  <c r="Q5544" i="1" a="1"/>
  <c r="Q5544" i="1" s="1"/>
  <c r="B5545" i="1"/>
  <c r="C5527" i="1"/>
  <c r="H5526" i="1"/>
  <c r="J5526" i="1" a="1"/>
  <c r="J5526" i="1" s="1"/>
  <c r="O5527" i="1" l="1" a="1"/>
  <c r="O5527" i="1" s="1"/>
  <c r="I5527" i="1" a="1"/>
  <c r="I5527" i="1" s="1"/>
  <c r="L5527" i="1" a="1"/>
  <c r="L5527" i="1" s="1"/>
  <c r="K5527" i="1" a="1"/>
  <c r="K5527" i="1" s="1"/>
  <c r="P5545" i="1" a="1"/>
  <c r="P5545" i="1" s="1"/>
  <c r="N5545" i="1" a="1"/>
  <c r="N5545" i="1" s="1"/>
  <c r="M5545" i="1" a="1"/>
  <c r="M5545" i="1" s="1"/>
  <c r="B5546" i="1"/>
  <c r="Q5545" i="1" a="1"/>
  <c r="Q5545" i="1" s="1"/>
  <c r="C5528" i="1"/>
  <c r="H5527" i="1"/>
  <c r="J5527" i="1" a="1"/>
  <c r="J5527" i="1" s="1"/>
  <c r="O5528" i="1" l="1" a="1"/>
  <c r="O5528" i="1" s="1"/>
  <c r="I5528" i="1" a="1"/>
  <c r="I5528" i="1" s="1"/>
  <c r="L5528" i="1" a="1"/>
  <c r="L5528" i="1" s="1"/>
  <c r="K5528" i="1" a="1"/>
  <c r="K5528" i="1" s="1"/>
  <c r="N5546" i="1" a="1"/>
  <c r="N5546" i="1" s="1"/>
  <c r="Q5546" i="1" a="1"/>
  <c r="Q5546" i="1" s="1"/>
  <c r="P5546" i="1" a="1"/>
  <c r="P5546" i="1" s="1"/>
  <c r="B5547" i="1"/>
  <c r="M5546" i="1" a="1"/>
  <c r="M5546" i="1" s="1"/>
  <c r="C5529" i="1"/>
  <c r="H5528" i="1"/>
  <c r="J5528" i="1" a="1"/>
  <c r="J5528" i="1" s="1"/>
  <c r="O5529" i="1" l="1" a="1"/>
  <c r="O5529" i="1" s="1"/>
  <c r="I5529" i="1" a="1"/>
  <c r="I5529" i="1" s="1"/>
  <c r="L5529" i="1" a="1"/>
  <c r="L5529" i="1" s="1"/>
  <c r="K5529" i="1" a="1"/>
  <c r="K5529" i="1" s="1"/>
  <c r="Q5547" i="1" a="1"/>
  <c r="Q5547" i="1" s="1"/>
  <c r="N5547" i="1" a="1"/>
  <c r="N5547" i="1" s="1"/>
  <c r="B5548" i="1"/>
  <c r="M5547" i="1" a="1"/>
  <c r="M5547" i="1" s="1"/>
  <c r="P5547" i="1" a="1"/>
  <c r="P5547" i="1" s="1"/>
  <c r="C5530" i="1"/>
  <c r="H5529" i="1"/>
  <c r="J5529" i="1" a="1"/>
  <c r="J5529" i="1" s="1"/>
  <c r="O5530" i="1" l="1" a="1"/>
  <c r="O5530" i="1" s="1"/>
  <c r="I5530" i="1" a="1"/>
  <c r="I5530" i="1" s="1"/>
  <c r="L5530" i="1" a="1"/>
  <c r="L5530" i="1" s="1"/>
  <c r="K5530" i="1" a="1"/>
  <c r="K5530" i="1" s="1"/>
  <c r="P5548" i="1" a="1"/>
  <c r="P5548" i="1" s="1"/>
  <c r="M5548" i="1" a="1"/>
  <c r="M5548" i="1" s="1"/>
  <c r="Q5548" i="1" a="1"/>
  <c r="Q5548" i="1" s="1"/>
  <c r="N5548" i="1" a="1"/>
  <c r="N5548" i="1" s="1"/>
  <c r="B5549" i="1"/>
  <c r="C5531" i="1"/>
  <c r="H5530" i="1"/>
  <c r="J5530" i="1" a="1"/>
  <c r="J5530" i="1" s="1"/>
  <c r="O5531" i="1" l="1" a="1"/>
  <c r="O5531" i="1" s="1"/>
  <c r="I5531" i="1" a="1"/>
  <c r="I5531" i="1" s="1"/>
  <c r="L5531" i="1" a="1"/>
  <c r="L5531" i="1" s="1"/>
  <c r="K5531" i="1" a="1"/>
  <c r="K5531" i="1" s="1"/>
  <c r="P5549" i="1" a="1"/>
  <c r="P5549" i="1" s="1"/>
  <c r="B5550" i="1"/>
  <c r="M5549" i="1" a="1"/>
  <c r="M5549" i="1" s="1"/>
  <c r="N5549" i="1" a="1"/>
  <c r="N5549" i="1" s="1"/>
  <c r="Q5549" i="1" a="1"/>
  <c r="Q5549" i="1" s="1"/>
  <c r="C5532" i="1"/>
  <c r="H5531" i="1"/>
  <c r="J5531" i="1" a="1"/>
  <c r="J5531" i="1" s="1"/>
  <c r="O5532" i="1" l="1" a="1"/>
  <c r="O5532" i="1" s="1"/>
  <c r="I5532" i="1" a="1"/>
  <c r="I5532" i="1" s="1"/>
  <c r="L5532" i="1" a="1"/>
  <c r="L5532" i="1" s="1"/>
  <c r="K5532" i="1" a="1"/>
  <c r="K5532" i="1" s="1"/>
  <c r="N5550" i="1" a="1"/>
  <c r="N5550" i="1" s="1"/>
  <c r="Q5550" i="1" a="1"/>
  <c r="Q5550" i="1" s="1"/>
  <c r="B5551" i="1"/>
  <c r="P5550" i="1" a="1"/>
  <c r="P5550" i="1" s="1"/>
  <c r="M5550" i="1" a="1"/>
  <c r="M5550" i="1" s="1"/>
  <c r="C5533" i="1"/>
  <c r="H5532" i="1"/>
  <c r="J5532" i="1" a="1"/>
  <c r="J5532" i="1" s="1"/>
  <c r="O5533" i="1" l="1" a="1"/>
  <c r="O5533" i="1" s="1"/>
  <c r="I5533" i="1" a="1"/>
  <c r="I5533" i="1" s="1"/>
  <c r="L5533" i="1" a="1"/>
  <c r="L5533" i="1" s="1"/>
  <c r="K5533" i="1" a="1"/>
  <c r="K5533" i="1" s="1"/>
  <c r="B5552" i="1"/>
  <c r="P5551" i="1" a="1"/>
  <c r="P5551" i="1" s="1"/>
  <c r="M5551" i="1" a="1"/>
  <c r="M5551" i="1" s="1"/>
  <c r="N5551" i="1" a="1"/>
  <c r="N5551" i="1" s="1"/>
  <c r="Q5551" i="1" a="1"/>
  <c r="Q5551" i="1" s="1"/>
  <c r="C5534" i="1"/>
  <c r="H5533" i="1"/>
  <c r="J5533" i="1" a="1"/>
  <c r="J5533" i="1" s="1"/>
  <c r="O5534" i="1" l="1" a="1"/>
  <c r="O5534" i="1" s="1"/>
  <c r="I5534" i="1" a="1"/>
  <c r="I5534" i="1" s="1"/>
  <c r="L5534" i="1" a="1"/>
  <c r="L5534" i="1" s="1"/>
  <c r="K5534" i="1" a="1"/>
  <c r="K5534" i="1" s="1"/>
  <c r="M5552" i="1" a="1"/>
  <c r="M5552" i="1" s="1"/>
  <c r="N5552" i="1" a="1"/>
  <c r="N5552" i="1" s="1"/>
  <c r="Q5552" i="1" a="1"/>
  <c r="Q5552" i="1" s="1"/>
  <c r="B5553" i="1"/>
  <c r="P5552" i="1" a="1"/>
  <c r="P5552" i="1" s="1"/>
  <c r="C5535" i="1"/>
  <c r="H5534" i="1"/>
  <c r="J5534" i="1" a="1"/>
  <c r="J5534" i="1" s="1"/>
  <c r="O5535" i="1" l="1" a="1"/>
  <c r="O5535" i="1" s="1"/>
  <c r="I5535" i="1" a="1"/>
  <c r="I5535" i="1" s="1"/>
  <c r="L5535" i="1" a="1"/>
  <c r="L5535" i="1" s="1"/>
  <c r="K5535" i="1" a="1"/>
  <c r="K5535" i="1" s="1"/>
  <c r="P5553" i="1" a="1"/>
  <c r="P5553" i="1" s="1"/>
  <c r="M5553" i="1" a="1"/>
  <c r="M5553" i="1" s="1"/>
  <c r="Q5553" i="1" a="1"/>
  <c r="Q5553" i="1" s="1"/>
  <c r="N5553" i="1" a="1"/>
  <c r="N5553" i="1" s="1"/>
  <c r="B5554" i="1"/>
  <c r="C5536" i="1"/>
  <c r="H5535" i="1"/>
  <c r="J5535" i="1" a="1"/>
  <c r="J5535" i="1" s="1"/>
  <c r="O5536" i="1" l="1" a="1"/>
  <c r="O5536" i="1" s="1"/>
  <c r="I5536" i="1" a="1"/>
  <c r="I5536" i="1" s="1"/>
  <c r="L5536" i="1" a="1"/>
  <c r="L5536" i="1" s="1"/>
  <c r="K5536" i="1" a="1"/>
  <c r="K5536" i="1" s="1"/>
  <c r="M5554" i="1" a="1"/>
  <c r="M5554" i="1" s="1"/>
  <c r="N5554" i="1" a="1"/>
  <c r="N5554" i="1" s="1"/>
  <c r="Q5554" i="1" a="1"/>
  <c r="Q5554" i="1" s="1"/>
  <c r="B5555" i="1"/>
  <c r="P5554" i="1" a="1"/>
  <c r="P5554" i="1" s="1"/>
  <c r="C5537" i="1"/>
  <c r="H5536" i="1"/>
  <c r="J5536" i="1" a="1"/>
  <c r="J5536" i="1" s="1"/>
  <c r="O5537" i="1" l="1" a="1"/>
  <c r="O5537" i="1" s="1"/>
  <c r="I5537" i="1" a="1"/>
  <c r="I5537" i="1" s="1"/>
  <c r="E88" i="2"/>
  <c r="E63" i="2"/>
  <c r="E77" i="2"/>
  <c r="E61" i="2"/>
  <c r="E38" i="2"/>
  <c r="E47" i="2"/>
  <c r="E87" i="2"/>
  <c r="E39" i="2"/>
  <c r="E7" i="2"/>
  <c r="E120" i="2"/>
  <c r="E25" i="2"/>
  <c r="E8" i="2"/>
  <c r="E132" i="2"/>
  <c r="E95" i="2"/>
  <c r="E36" i="2"/>
  <c r="E74" i="2"/>
  <c r="E103" i="2"/>
  <c r="E109" i="2"/>
  <c r="E72" i="2"/>
  <c r="E26" i="2"/>
  <c r="E69" i="2"/>
  <c r="E46" i="2"/>
  <c r="E102" i="2"/>
  <c r="E41" i="2"/>
  <c r="E92" i="2"/>
  <c r="E51" i="2"/>
  <c r="E85" i="2"/>
  <c r="L5537" i="1" a="1"/>
  <c r="L5537" i="1" s="1"/>
  <c r="K5537" i="1" a="1"/>
  <c r="K5537" i="1" s="1"/>
  <c r="N5555" i="1" a="1"/>
  <c r="N5555" i="1" s="1"/>
  <c r="B5556" i="1"/>
  <c r="Q5555" i="1" a="1"/>
  <c r="Q5555" i="1" s="1"/>
  <c r="P5555" i="1" a="1"/>
  <c r="P5555" i="1" s="1"/>
  <c r="M5555" i="1" a="1"/>
  <c r="M5555" i="1" s="1"/>
  <c r="C5538" i="1"/>
  <c r="H5537" i="1"/>
  <c r="J5537" i="1" a="1"/>
  <c r="J5537" i="1" s="1"/>
  <c r="O5538" i="1" l="1" a="1"/>
  <c r="O5538" i="1" s="1"/>
  <c r="I5538" i="1" a="1"/>
  <c r="I5538" i="1" s="1"/>
  <c r="L5538" i="1" a="1"/>
  <c r="L5538" i="1" s="1"/>
  <c r="K5538" i="1" a="1"/>
  <c r="K5538" i="1" s="1"/>
  <c r="B5557" i="1"/>
  <c r="P5556" i="1" a="1"/>
  <c r="P5556" i="1" s="1"/>
  <c r="M5556" i="1" a="1"/>
  <c r="M5556" i="1" s="1"/>
  <c r="Q5556" i="1" a="1"/>
  <c r="Q5556" i="1" s="1"/>
  <c r="N5556" i="1" a="1"/>
  <c r="N5556" i="1" s="1"/>
  <c r="C5539" i="1"/>
  <c r="H5538" i="1"/>
  <c r="J5538" i="1" a="1"/>
  <c r="J5538" i="1" s="1"/>
  <c r="O5539" i="1" l="1" a="1"/>
  <c r="O5539" i="1" s="1"/>
  <c r="I5539" i="1" a="1"/>
  <c r="I5539" i="1" s="1"/>
  <c r="L5539" i="1" a="1"/>
  <c r="L5539" i="1" s="1"/>
  <c r="K5539" i="1" a="1"/>
  <c r="K5539" i="1" s="1"/>
  <c r="P5557" i="1" a="1"/>
  <c r="P5557" i="1" s="1"/>
  <c r="Q5557" i="1" a="1"/>
  <c r="Q5557" i="1" s="1"/>
  <c r="N5557" i="1" a="1"/>
  <c r="N5557" i="1" s="1"/>
  <c r="B5558" i="1"/>
  <c r="M5557" i="1" a="1"/>
  <c r="M5557" i="1" s="1"/>
  <c r="C5540" i="1"/>
  <c r="H5539" i="1"/>
  <c r="J5539" i="1" a="1"/>
  <c r="J5539" i="1" s="1"/>
  <c r="O5540" i="1" l="1" a="1"/>
  <c r="O5540" i="1" s="1"/>
  <c r="I5540" i="1" a="1"/>
  <c r="I5540" i="1" s="1"/>
  <c r="L5540" i="1" a="1"/>
  <c r="L5540" i="1" s="1"/>
  <c r="K5540" i="1" a="1"/>
  <c r="K5540" i="1" s="1"/>
  <c r="N5558" i="1" a="1"/>
  <c r="N5558" i="1" s="1"/>
  <c r="Q5558" i="1" a="1"/>
  <c r="Q5558" i="1" s="1"/>
  <c r="B5559" i="1"/>
  <c r="M5558" i="1" a="1"/>
  <c r="M5558" i="1" s="1"/>
  <c r="P5558" i="1" a="1"/>
  <c r="P5558" i="1" s="1"/>
  <c r="C5541" i="1"/>
  <c r="H5540" i="1"/>
  <c r="J5540" i="1" a="1"/>
  <c r="J5540" i="1" s="1"/>
  <c r="O5541" i="1" l="1" a="1"/>
  <c r="O5541" i="1" s="1"/>
  <c r="I5541" i="1" a="1"/>
  <c r="I5541" i="1" s="1"/>
  <c r="L5541" i="1" a="1"/>
  <c r="L5541" i="1" s="1"/>
  <c r="K5541" i="1" a="1"/>
  <c r="K5541" i="1" s="1"/>
  <c r="M5559" i="1" a="1"/>
  <c r="M5559" i="1" s="1"/>
  <c r="Q5559" i="1" a="1"/>
  <c r="Q5559" i="1" s="1"/>
  <c r="B5560" i="1"/>
  <c r="P5559" i="1" a="1"/>
  <c r="P5559" i="1" s="1"/>
  <c r="N5559" i="1" a="1"/>
  <c r="N5559" i="1" s="1"/>
  <c r="C5542" i="1"/>
  <c r="H5541" i="1"/>
  <c r="J5541" i="1" a="1"/>
  <c r="J5541" i="1" s="1"/>
  <c r="O5542" i="1" l="1" a="1"/>
  <c r="O5542" i="1" s="1"/>
  <c r="I5542" i="1" a="1"/>
  <c r="I5542" i="1" s="1"/>
  <c r="L5542" i="1" a="1"/>
  <c r="L5542" i="1" s="1"/>
  <c r="K5542" i="1" a="1"/>
  <c r="K5542" i="1" s="1"/>
  <c r="M5560" i="1" a="1"/>
  <c r="M5560" i="1" s="1"/>
  <c r="Q5560" i="1" a="1"/>
  <c r="Q5560" i="1" s="1"/>
  <c r="N5560" i="1" a="1"/>
  <c r="N5560" i="1" s="1"/>
  <c r="P5560" i="1" a="1"/>
  <c r="P5560" i="1" s="1"/>
  <c r="B5561" i="1"/>
  <c r="C5543" i="1"/>
  <c r="H5542" i="1"/>
  <c r="J5542" i="1" a="1"/>
  <c r="J5542" i="1" s="1"/>
  <c r="O5543" i="1" l="1" a="1"/>
  <c r="O5543" i="1" s="1"/>
  <c r="I5543" i="1" a="1"/>
  <c r="I5543" i="1" s="1"/>
  <c r="L5543" i="1" a="1"/>
  <c r="L5543" i="1" s="1"/>
  <c r="K5543" i="1" a="1"/>
  <c r="K5543" i="1" s="1"/>
  <c r="M5561" i="1" a="1"/>
  <c r="M5561" i="1" s="1"/>
  <c r="Q5561" i="1" a="1"/>
  <c r="Q5561" i="1" s="1"/>
  <c r="N5561" i="1" a="1"/>
  <c r="N5561" i="1" s="1"/>
  <c r="B5562" i="1"/>
  <c r="P5561" i="1" a="1"/>
  <c r="P5561" i="1" s="1"/>
  <c r="C5544" i="1"/>
  <c r="H5543" i="1"/>
  <c r="J5543" i="1" a="1"/>
  <c r="J5543" i="1" s="1"/>
  <c r="O5544" i="1" l="1" a="1"/>
  <c r="O5544" i="1" s="1"/>
  <c r="I5544" i="1" a="1"/>
  <c r="I5544" i="1" s="1"/>
  <c r="L5544" i="1" a="1"/>
  <c r="L5544" i="1" s="1"/>
  <c r="K5544" i="1" a="1"/>
  <c r="K5544" i="1" s="1"/>
  <c r="N5562" i="1" a="1"/>
  <c r="N5562" i="1" s="1"/>
  <c r="Q5562" i="1" a="1"/>
  <c r="Q5562" i="1" s="1"/>
  <c r="B5563" i="1"/>
  <c r="P5562" i="1" a="1"/>
  <c r="P5562" i="1" s="1"/>
  <c r="M5562" i="1" a="1"/>
  <c r="M5562" i="1" s="1"/>
  <c r="C5545" i="1"/>
  <c r="H5544" i="1"/>
  <c r="J5544" i="1" a="1"/>
  <c r="J5544" i="1" s="1"/>
  <c r="O5545" i="1" l="1" a="1"/>
  <c r="O5545" i="1" s="1"/>
  <c r="I5545" i="1" a="1"/>
  <c r="I5545" i="1" s="1"/>
  <c r="L5545" i="1" a="1"/>
  <c r="L5545" i="1" s="1"/>
  <c r="K5545" i="1" a="1"/>
  <c r="K5545" i="1" s="1"/>
  <c r="B5564" i="1"/>
  <c r="P5563" i="1" a="1"/>
  <c r="P5563" i="1" s="1"/>
  <c r="M5563" i="1" a="1"/>
  <c r="M5563" i="1" s="1"/>
  <c r="Q5563" i="1" a="1"/>
  <c r="Q5563" i="1" s="1"/>
  <c r="N5563" i="1" a="1"/>
  <c r="N5563" i="1" s="1"/>
  <c r="C5546" i="1"/>
  <c r="H5545" i="1"/>
  <c r="J5545" i="1" a="1"/>
  <c r="J5545" i="1" s="1"/>
  <c r="O5546" i="1" l="1" a="1"/>
  <c r="O5546" i="1" s="1"/>
  <c r="I5546" i="1" a="1"/>
  <c r="I5546" i="1" s="1"/>
  <c r="L5546" i="1" a="1"/>
  <c r="L5546" i="1" s="1"/>
  <c r="K5546" i="1" a="1"/>
  <c r="K5546" i="1" s="1"/>
  <c r="N5564" i="1" a="1"/>
  <c r="N5564" i="1" s="1"/>
  <c r="B5565" i="1"/>
  <c r="P5564" i="1" a="1"/>
  <c r="P5564" i="1" s="1"/>
  <c r="M5564" i="1" a="1"/>
  <c r="M5564" i="1" s="1"/>
  <c r="Q5564" i="1" a="1"/>
  <c r="Q5564" i="1" s="1"/>
  <c r="C5547" i="1"/>
  <c r="H5546" i="1"/>
  <c r="J5546" i="1" a="1"/>
  <c r="J5546" i="1" s="1"/>
  <c r="O5547" i="1" l="1" a="1"/>
  <c r="O5547" i="1" s="1"/>
  <c r="I5547" i="1" a="1"/>
  <c r="I5547" i="1" s="1"/>
  <c r="L5547" i="1" a="1"/>
  <c r="L5547" i="1" s="1"/>
  <c r="K5547" i="1" a="1"/>
  <c r="K5547" i="1" s="1"/>
  <c r="M5565" i="1" a="1"/>
  <c r="M5565" i="1" s="1"/>
  <c r="Q5565" i="1" a="1"/>
  <c r="Q5565" i="1" s="1"/>
  <c r="N5565" i="1" a="1"/>
  <c r="N5565" i="1" s="1"/>
  <c r="B5566" i="1"/>
  <c r="P5565" i="1" a="1"/>
  <c r="P5565" i="1" s="1"/>
  <c r="C5548" i="1"/>
  <c r="H5547" i="1"/>
  <c r="J5547" i="1" a="1"/>
  <c r="J5547" i="1" s="1"/>
  <c r="O5548" i="1" l="1" a="1"/>
  <c r="O5548" i="1" s="1"/>
  <c r="I5548" i="1" a="1"/>
  <c r="I5548" i="1" s="1"/>
  <c r="L5548" i="1" a="1"/>
  <c r="L5548" i="1" s="1"/>
  <c r="K5548" i="1" a="1"/>
  <c r="K5548" i="1" s="1"/>
  <c r="N5566" i="1" a="1"/>
  <c r="N5566" i="1" s="1"/>
  <c r="Q5566" i="1" a="1"/>
  <c r="Q5566" i="1" s="1"/>
  <c r="M5566" i="1" a="1"/>
  <c r="M5566" i="1" s="1"/>
  <c r="B5567" i="1"/>
  <c r="P5566" i="1" a="1"/>
  <c r="P5566" i="1" s="1"/>
  <c r="C5549" i="1"/>
  <c r="H5548" i="1"/>
  <c r="J5548" i="1" a="1"/>
  <c r="J5548" i="1" s="1"/>
  <c r="O5549" i="1" l="1" a="1"/>
  <c r="O5549" i="1" s="1"/>
  <c r="I5549" i="1" a="1"/>
  <c r="I5549" i="1" s="1"/>
  <c r="L5549" i="1" a="1"/>
  <c r="L5549" i="1" s="1"/>
  <c r="K5549" i="1" a="1"/>
  <c r="K5549" i="1" s="1"/>
  <c r="P5567" i="1" a="1"/>
  <c r="P5567" i="1" s="1"/>
  <c r="Q5567" i="1" a="1"/>
  <c r="Q5567" i="1" s="1"/>
  <c r="B5568" i="1"/>
  <c r="M5567" i="1" a="1"/>
  <c r="M5567" i="1" s="1"/>
  <c r="N5567" i="1" a="1"/>
  <c r="N5567" i="1" s="1"/>
  <c r="C5550" i="1"/>
  <c r="H5549" i="1"/>
  <c r="J5549" i="1" a="1"/>
  <c r="J5549" i="1" s="1"/>
  <c r="O5550" i="1" l="1" a="1"/>
  <c r="O5550" i="1" s="1"/>
  <c r="I5550" i="1" a="1"/>
  <c r="I5550" i="1" s="1"/>
  <c r="L5550" i="1" a="1"/>
  <c r="L5550" i="1" s="1"/>
  <c r="K5550" i="1" a="1"/>
  <c r="K5550" i="1" s="1"/>
  <c r="P5568" i="1" a="1"/>
  <c r="P5568" i="1" s="1"/>
  <c r="M5568" i="1" a="1"/>
  <c r="M5568" i="1" s="1"/>
  <c r="Q5568" i="1" a="1"/>
  <c r="Q5568" i="1" s="1"/>
  <c r="N5568" i="1" a="1"/>
  <c r="N5568" i="1" s="1"/>
  <c r="C5551" i="1"/>
  <c r="H5550" i="1"/>
  <c r="J5550" i="1" a="1"/>
  <c r="J5550" i="1" s="1"/>
  <c r="O5551" i="1" l="1" a="1"/>
  <c r="O5551" i="1" s="1"/>
  <c r="I5551" i="1" a="1"/>
  <c r="I5551" i="1" s="1"/>
  <c r="L5551" i="1" a="1"/>
  <c r="L5551" i="1" s="1"/>
  <c r="K5551" i="1" a="1"/>
  <c r="K5551" i="1" s="1"/>
  <c r="C5552" i="1"/>
  <c r="H5551" i="1"/>
  <c r="J5551" i="1" a="1"/>
  <c r="J5551" i="1" s="1"/>
  <c r="O5552" i="1" l="1" a="1"/>
  <c r="O5552" i="1" s="1"/>
  <c r="I5552" i="1" a="1"/>
  <c r="I5552" i="1" s="1"/>
  <c r="L5552" i="1" a="1"/>
  <c r="L5552" i="1" s="1"/>
  <c r="K5552" i="1" a="1"/>
  <c r="K5552" i="1" s="1"/>
  <c r="C5553" i="1"/>
  <c r="H5552" i="1"/>
  <c r="J5552" i="1" a="1"/>
  <c r="J5552" i="1" s="1"/>
  <c r="O5553" i="1" l="1" a="1"/>
  <c r="O5553" i="1" s="1"/>
  <c r="I5553" i="1" a="1"/>
  <c r="I5553" i="1" s="1"/>
  <c r="L5553" i="1" a="1"/>
  <c r="L5553" i="1" s="1"/>
  <c r="K5553" i="1" a="1"/>
  <c r="K5553" i="1" s="1"/>
  <c r="C5554" i="1"/>
  <c r="H5553" i="1"/>
  <c r="J5553" i="1" a="1"/>
  <c r="J5553" i="1" s="1"/>
  <c r="O5554" i="1" l="1" a="1"/>
  <c r="O5554" i="1" s="1"/>
  <c r="I5554" i="1" a="1"/>
  <c r="I5554" i="1" s="1"/>
  <c r="L5554" i="1" a="1"/>
  <c r="L5554" i="1" s="1"/>
  <c r="K5554" i="1" a="1"/>
  <c r="K5554" i="1" s="1"/>
  <c r="C5555" i="1"/>
  <c r="H5554" i="1"/>
  <c r="J5554" i="1" a="1"/>
  <c r="J5554" i="1" s="1"/>
  <c r="O5555" i="1" l="1" a="1"/>
  <c r="O5555" i="1" s="1"/>
  <c r="I5555" i="1" a="1"/>
  <c r="I5555" i="1" s="1"/>
  <c r="L5555" i="1" a="1"/>
  <c r="L5555" i="1" s="1"/>
  <c r="K5555" i="1" a="1"/>
  <c r="K5555" i="1" s="1"/>
  <c r="C5556" i="1"/>
  <c r="H5555" i="1"/>
  <c r="J5555" i="1" a="1"/>
  <c r="J5555" i="1" s="1"/>
  <c r="O5556" i="1" l="1" a="1"/>
  <c r="O5556" i="1" s="1"/>
  <c r="I5556" i="1" a="1"/>
  <c r="I5556" i="1" s="1"/>
  <c r="L5556" i="1" a="1"/>
  <c r="L5556" i="1" s="1"/>
  <c r="K5556" i="1" a="1"/>
  <c r="K5556" i="1" s="1"/>
  <c r="C5557" i="1"/>
  <c r="H5556" i="1"/>
  <c r="J5556" i="1" a="1"/>
  <c r="J5556" i="1" s="1"/>
  <c r="O5557" i="1" l="1" a="1"/>
  <c r="O5557" i="1" s="1"/>
  <c r="I5557" i="1" a="1"/>
  <c r="I5557" i="1" s="1"/>
  <c r="L5557" i="1" a="1"/>
  <c r="L5557" i="1" s="1"/>
  <c r="K5557" i="1" a="1"/>
  <c r="K5557" i="1" s="1"/>
  <c r="C5558" i="1"/>
  <c r="H5557" i="1"/>
  <c r="J5557" i="1" a="1"/>
  <c r="J5557" i="1" s="1"/>
  <c r="O5558" i="1" l="1" a="1"/>
  <c r="O5558" i="1" s="1"/>
  <c r="I5558" i="1" a="1"/>
  <c r="I5558" i="1" s="1"/>
  <c r="L5558" i="1" a="1"/>
  <c r="L5558" i="1" s="1"/>
  <c r="K5558" i="1" a="1"/>
  <c r="K5558" i="1" s="1"/>
  <c r="C5559" i="1"/>
  <c r="H5558" i="1"/>
  <c r="J5558" i="1" a="1"/>
  <c r="J5558" i="1" s="1"/>
  <c r="O5559" i="1" l="1" a="1"/>
  <c r="O5559" i="1" s="1"/>
  <c r="I5559" i="1" a="1"/>
  <c r="I5559" i="1" s="1"/>
  <c r="L5559" i="1" a="1"/>
  <c r="L5559" i="1" s="1"/>
  <c r="K5559" i="1" a="1"/>
  <c r="K5559" i="1" s="1"/>
  <c r="C5560" i="1"/>
  <c r="H5559" i="1"/>
  <c r="J5559" i="1" a="1"/>
  <c r="J5559" i="1" s="1"/>
  <c r="O5560" i="1" l="1" a="1"/>
  <c r="O5560" i="1" s="1"/>
  <c r="I5560" i="1" a="1"/>
  <c r="I5560" i="1" s="1"/>
  <c r="L5560" i="1" a="1"/>
  <c r="L5560" i="1" s="1"/>
  <c r="K5560" i="1" a="1"/>
  <c r="K5560" i="1" s="1"/>
  <c r="C5561" i="1"/>
  <c r="H5560" i="1"/>
  <c r="J5560" i="1" a="1"/>
  <c r="J5560" i="1" s="1"/>
  <c r="O5561" i="1" l="1" a="1"/>
  <c r="O5561" i="1" s="1"/>
  <c r="I5561" i="1" a="1"/>
  <c r="I5561" i="1" s="1"/>
  <c r="L5561" i="1" a="1"/>
  <c r="L5561" i="1" s="1"/>
  <c r="K5561" i="1" a="1"/>
  <c r="K5561" i="1" s="1"/>
  <c r="C5562" i="1"/>
  <c r="H5561" i="1"/>
  <c r="J5561" i="1" a="1"/>
  <c r="J5561" i="1" s="1"/>
  <c r="O5562" i="1" l="1" a="1"/>
  <c r="O5562" i="1" s="1"/>
  <c r="I5562" i="1" a="1"/>
  <c r="I5562" i="1" s="1"/>
  <c r="L5562" i="1" a="1"/>
  <c r="L5562" i="1" s="1"/>
  <c r="K5562" i="1" a="1"/>
  <c r="K5562" i="1" s="1"/>
  <c r="C5563" i="1"/>
  <c r="H5562" i="1"/>
  <c r="J5562" i="1" a="1"/>
  <c r="J5562" i="1" s="1"/>
  <c r="O5563" i="1" l="1" a="1"/>
  <c r="O5563" i="1" s="1"/>
  <c r="I5563" i="1" a="1"/>
  <c r="I5563" i="1" s="1"/>
  <c r="L5563" i="1" a="1"/>
  <c r="L5563" i="1" s="1"/>
  <c r="K5563" i="1" a="1"/>
  <c r="K5563" i="1" s="1"/>
  <c r="C5564" i="1"/>
  <c r="H5563" i="1"/>
  <c r="J5563" i="1" a="1"/>
  <c r="J5563" i="1" s="1"/>
  <c r="O5564" i="1" l="1" a="1"/>
  <c r="O5564" i="1" s="1"/>
  <c r="I5564" i="1" a="1"/>
  <c r="I5564" i="1" s="1"/>
  <c r="L5564" i="1" a="1"/>
  <c r="L5564" i="1" s="1"/>
  <c r="K5564" i="1" a="1"/>
  <c r="K5564" i="1" s="1"/>
  <c r="C5565" i="1"/>
  <c r="H5564" i="1"/>
  <c r="J5564" i="1" a="1"/>
  <c r="J5564" i="1" s="1"/>
  <c r="O5565" i="1" l="1" a="1"/>
  <c r="O5565" i="1" s="1"/>
  <c r="I5565" i="1" a="1"/>
  <c r="I5565" i="1" s="1"/>
  <c r="L5565" i="1" a="1"/>
  <c r="L5565" i="1" s="1"/>
  <c r="K5565" i="1" a="1"/>
  <c r="K5565" i="1" s="1"/>
  <c r="C5566" i="1"/>
  <c r="H5565" i="1"/>
  <c r="J5565" i="1" a="1"/>
  <c r="J5565" i="1" s="1"/>
  <c r="O5566" i="1" l="1" a="1"/>
  <c r="O5566" i="1" s="1"/>
  <c r="I5566" i="1" a="1"/>
  <c r="I5566" i="1" s="1"/>
  <c r="L5566" i="1" a="1"/>
  <c r="L5566" i="1" s="1"/>
  <c r="K5566" i="1" a="1"/>
  <c r="K5566" i="1" s="1"/>
  <c r="C5567" i="1"/>
  <c r="H5566" i="1"/>
  <c r="J5566" i="1" a="1"/>
  <c r="J5566" i="1" s="1"/>
  <c r="O5567" i="1" l="1" a="1"/>
  <c r="O5567" i="1" s="1"/>
  <c r="I5567" i="1" a="1"/>
  <c r="I5567" i="1" s="1"/>
  <c r="L5567" i="1" a="1"/>
  <c r="L5567" i="1" s="1"/>
  <c r="K5567" i="1" a="1"/>
  <c r="K5567" i="1" s="1"/>
  <c r="C5568" i="1"/>
  <c r="H5567" i="1"/>
  <c r="J5567" i="1" a="1"/>
  <c r="J5567" i="1" s="1"/>
  <c r="O5568" i="1" l="1" a="1"/>
  <c r="O5568" i="1" s="1"/>
  <c r="I5568" i="1" a="1"/>
  <c r="I5568" i="1" s="1"/>
  <c r="L5568" i="1" a="1"/>
  <c r="L5568" i="1" s="1"/>
  <c r="K5568" i="1" a="1"/>
  <c r="K5568" i="1" s="1"/>
  <c r="H5568" i="1"/>
  <c r="J5568" i="1" a="1"/>
  <c r="J556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<sst xmlns="http://schemas.openxmlformats.org/spreadsheetml/2006/main" count="48151" uniqueCount="24">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</sst>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Q5568"/>
  <sheetViews>
    <sheetView tabSelected="1" zoomScaleNormal="100" workbookViewId="0">
      <pane ySplit="1" topLeftCell="A5235" activePane="bottomLeft" state="frozen"/>
      <selection pane="bottomLeft" activeCell="D5236" sqref="D523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7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</row>
    <row r="2" spans="1:17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7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7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7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7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7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7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7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7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7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7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7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7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7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7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tr">
        <f t="shared" ref="B5236" si="1128">B5235</f>
        <v>Northern Cardinal</v>
      </c>
      <c r="C5236" s="6">
        <v>0.28194444444444444</v>
      </c>
      <c r="D5236" s="5"/>
      <c r="E5236" s="5"/>
      <c r="F5236" s="5" t="s">
        <v>8</v>
      </c>
      <c r="G5236" s="15" t="s">
        <v>9</v>
      </c>
      <c r="H5236" s="24">
        <f t="shared" ref="H5236:H5339" si="1129">IFERROR((($A5236+$C5236) - ($A5235+$C5235))*24*60, "")</f>
        <v>785.00000000232831</v>
      </c>
      <c r="I5236" s="24" cm="1">
        <f t="array" ref="I5236">IFERROR(IF($B5236=I$1, ($A5236+$C5236) - MAX(IF($B$2:$B5235=$B5236, $A$2:$A5235+$C$2:$C5235)), "")*24*60, "")</f>
        <v>785.00000000232831</v>
      </c>
      <c r="J5236" s="24" t="str" cm="1">
        <f t="array" ref="J5236">IFERROR(IF($B5236=J$1, ($A5236+$C5236) - MAX(IF($B$2:$B5235=$B5236, $A$2:$A5235+$C$2:$C5235)), "")*24*60, "")</f>
        <v/>
      </c>
      <c r="K5236" s="24" t="str" cm="1">
        <f t="array" ref="K5236">IFERROR(IF($B5236=K$1, ($A5236+$C5236) - MAX(IF($B$2:$B5235=$B5236, $A$2:$A5235+$C$2:$C5235)), "")*24*60, "")</f>
        <v/>
      </c>
      <c r="L5236" s="24" t="str" cm="1">
        <f t="array" ref="L5236">IFERROR(IF($B5236=L$1, ($A5236+$C5236) - MAX(IF($B$2:$B5235=$B5236, $A$2:$A5235+$C$2:$C5235)), "")*24*60, "")</f>
        <v/>
      </c>
      <c r="M5236" s="24" t="str" cm="1">
        <f t="array" ref="M5236">IFERROR(IF($B5236=M$1, ($A5236+$C5236) - MAX(IF($B$2:$B5235=$B5236, $A$2:$A5235+$C$2:$C5235)), "")*24*60, "")</f>
        <v/>
      </c>
      <c r="N5236" s="24" t="str" cm="1">
        <f t="array" ref="N5236">IFERROR(IF($B5236=N$1, ($A5236+$C5236) - MAX(IF($B$2:$B5235=$B5236, $A$2:$A5235+$C$2:$C5235)), "")*24*60, "")</f>
        <v/>
      </c>
      <c r="O5236" s="24" t="str" cm="1">
        <f t="array" ref="O5236">IFERROR(IF($B5236=O$1, ($A5236+$C5236) - MAX(IF($B$2:$B5235=$B5236, $A$2:$A5235+$C$2:$C5235)), "")*24*60, "")</f>
        <v/>
      </c>
      <c r="P5236" s="24" t="str" cm="1">
        <f t="array" ref="P5236">IFERROR(IF($B5236=P$1, ($A5236+$C5236) - MAX(IF($B$2:$B5235=$B5236, $A$2:$A5235+$C$2:$C5235)), "")*24*60, "")</f>
        <v/>
      </c>
      <c r="Q5236" s="24" t="str" cm="1">
        <f t="array" ref="Q5236">IFERROR(IF($B5236=Q$1, ($A5236+$C5236) - MAX(IF($B$2:$B5235=$B5236, $A$2:$A5235+$C$2:$C5235)), "")*24*60, "")</f>
        <v/>
      </c>
    </row>
    <row r="5237" spans="1:17" x14ac:dyDescent="0.2">
      <c r="A5237" s="12">
        <f t="shared" ref="A5237:C5237" si="1130">A5236</f>
        <v>45983</v>
      </c>
      <c r="B5237" s="5" t="str">
        <f t="shared" si="1130"/>
        <v>Northern Cardinal</v>
      </c>
      <c r="C5237" s="6">
        <f t="shared" si="1130"/>
        <v>0.28194444444444444</v>
      </c>
      <c r="D5237" s="5"/>
      <c r="E5237" s="5"/>
      <c r="F5237" s="5" t="s">
        <v>8</v>
      </c>
      <c r="G5237" s="15" t="s">
        <v>9</v>
      </c>
      <c r="H5237" s="24">
        <f t="shared" si="1129"/>
        <v>0</v>
      </c>
      <c r="I5237" s="24" cm="1">
        <f t="array" ref="I5237">IFERROR(IF($B5237=I$1, ($A5237+$C5237) - MAX(IF($B$2:$B5236=$B5237, $A$2:$A5236+$C$2:$C5236)), "")*24*60, "")</f>
        <v>0</v>
      </c>
      <c r="J5237" s="24" t="str" cm="1">
        <f t="array" ref="J5237">IFERROR(IF($B5237=J$1, ($A5237+$C5237) - MAX(IF($B$2:$B5236=$B5237, $A$2:$A5236+$C$2:$C5236)), "")*24*60, "")</f>
        <v/>
      </c>
      <c r="K5237" s="24" t="str" cm="1">
        <f t="array" ref="K5237">IFERROR(IF($B5237=K$1, ($A5237+$C5237) - MAX(IF($B$2:$B5236=$B5237, $A$2:$A5236+$C$2:$C5236)), "")*24*60, "")</f>
        <v/>
      </c>
      <c r="L5237" s="24" t="str" cm="1">
        <f t="array" ref="L5237">IFERROR(IF($B5237=L$1, ($A5237+$C5237) - MAX(IF($B$2:$B5236=$B5237, $A$2:$A5236+$C$2:$C5236)), "")*24*60, "")</f>
        <v/>
      </c>
      <c r="M5237" s="24" t="str" cm="1">
        <f t="array" ref="M5237">IFERROR(IF($B5237=M$1, ($A5237+$C5237) - MAX(IF($B$2:$B5236=$B5237, $A$2:$A5236+$C$2:$C5236)), "")*24*60, "")</f>
        <v/>
      </c>
      <c r="N5237" s="24" t="str" cm="1">
        <f t="array" ref="N5237">IFERROR(IF($B5237=N$1, ($A5237+$C5237) - MAX(IF($B$2:$B5236=$B5237, $A$2:$A5236+$C$2:$C5236)), "")*24*60, "")</f>
        <v/>
      </c>
      <c r="O5237" s="24" t="str" cm="1">
        <f t="array" ref="O5237">IFERROR(IF($B5237=O$1, ($A5237+$C5237) - MAX(IF($B$2:$B5236=$B5237, $A$2:$A5236+$C$2:$C5236)), "")*24*60, "")</f>
        <v/>
      </c>
      <c r="P5237" s="24" t="str" cm="1">
        <f t="array" ref="P5237">IFERROR(IF($B5237=P$1, ($A5237+$C5237) - MAX(IF($B$2:$B5236=$B5237, $A$2:$A5236+$C$2:$C5236)), "")*24*60, "")</f>
        <v/>
      </c>
      <c r="Q5237" s="24" t="str" cm="1">
        <f t="array" ref="Q5237">IFERROR(IF($B5237=Q$1, ($A5237+$C5237) - MAX(IF($B$2:$B5236=$B5237, $A$2:$A5236+$C$2:$C5236)), "")*24*60, "")</f>
        <v/>
      </c>
    </row>
    <row r="5238" spans="1:17" x14ac:dyDescent="0.2">
      <c r="A5238" s="12">
        <f t="shared" ref="A5238:C5238" si="1131">A5237</f>
        <v>45983</v>
      </c>
      <c r="B5238" s="5" t="str">
        <f t="shared" si="1131"/>
        <v>Northern Cardinal</v>
      </c>
      <c r="C5238" s="6">
        <f t="shared" si="1131"/>
        <v>0.28194444444444444</v>
      </c>
      <c r="D5238" s="5"/>
      <c r="E5238" s="5"/>
      <c r="F5238" s="5" t="s">
        <v>8</v>
      </c>
      <c r="G5238" s="15" t="s">
        <v>9</v>
      </c>
      <c r="H5238" s="24">
        <f t="shared" si="1129"/>
        <v>0</v>
      </c>
      <c r="I5238" s="24" cm="1">
        <f t="array" ref="I5238">IFERROR(IF($B5238=I$1, ($A5238+$C5238) - MAX(IF($B$2:$B5237=$B5238, $A$2:$A5237+$C$2:$C5237)), "")*24*60, "")</f>
        <v>0</v>
      </c>
      <c r="J5238" s="24" t="str" cm="1">
        <f t="array" ref="J5238">IFERROR(IF($B5238=J$1, ($A5238+$C5238) - MAX(IF($B$2:$B5237=$B5238, $A$2:$A5237+$C$2:$C5237)), "")*24*60, "")</f>
        <v/>
      </c>
      <c r="K5238" s="24" t="str" cm="1">
        <f t="array" ref="K5238">IFERROR(IF($B5238=K$1, ($A5238+$C5238) - MAX(IF($B$2:$B5237=$B5238, $A$2:$A5237+$C$2:$C5237)), "")*24*60, "")</f>
        <v/>
      </c>
      <c r="L5238" s="24" t="str" cm="1">
        <f t="array" ref="L5238">IFERROR(IF($B5238=L$1, ($A5238+$C5238) - MAX(IF($B$2:$B5237=$B5238, $A$2:$A5237+$C$2:$C5237)), "")*24*60, "")</f>
        <v/>
      </c>
      <c r="M5238" s="24" t="str" cm="1">
        <f t="array" ref="M5238">IFERROR(IF($B5238=M$1, ($A5238+$C5238) - MAX(IF($B$2:$B5237=$B5238, $A$2:$A5237+$C$2:$C5237)), "")*24*60, "")</f>
        <v/>
      </c>
      <c r="N5238" s="24" t="str" cm="1">
        <f t="array" ref="N5238">IFERROR(IF($B5238=N$1, ($A5238+$C5238) - MAX(IF($B$2:$B5237=$B5238, $A$2:$A5237+$C$2:$C5237)), "")*24*60, "")</f>
        <v/>
      </c>
      <c r="O5238" s="24" t="str" cm="1">
        <f t="array" ref="O5238">IFERROR(IF($B5238=O$1, ($A5238+$C5238) - MAX(IF($B$2:$B5237=$B5238, $A$2:$A5237+$C$2:$C5237)), "")*24*60, "")</f>
        <v/>
      </c>
      <c r="P5238" s="24" t="str" cm="1">
        <f t="array" ref="P5238">IFERROR(IF($B5238=P$1, ($A5238+$C5238) - MAX(IF($B$2:$B5237=$B5238, $A$2:$A5237+$C$2:$C5237)), "")*24*60, "")</f>
        <v/>
      </c>
      <c r="Q5238" s="24" t="str" cm="1">
        <f t="array" ref="Q5238">IFERROR(IF($B5238=Q$1, ($A5238+$C5238) - MAX(IF($B$2:$B5237=$B5238, $A$2:$A5237+$C$2:$C5237)), "")*24*60, "")</f>
        <v/>
      </c>
    </row>
    <row r="5239" spans="1:17" x14ac:dyDescent="0.2">
      <c r="A5239" s="12">
        <f t="shared" ref="A5239:C5239" si="1132">A5238</f>
        <v>45983</v>
      </c>
      <c r="B5239" s="5" t="str">
        <f t="shared" si="1132"/>
        <v>Northern Cardinal</v>
      </c>
      <c r="C5239" s="6">
        <f t="shared" si="1132"/>
        <v>0.28194444444444444</v>
      </c>
      <c r="D5239" s="5"/>
      <c r="E5239" s="5"/>
      <c r="F5239" s="5" t="s">
        <v>8</v>
      </c>
      <c r="G5239" s="15" t="s">
        <v>9</v>
      </c>
      <c r="H5239" s="24">
        <f t="shared" si="1129"/>
        <v>0</v>
      </c>
      <c r="I5239" s="24" cm="1">
        <f t="array" ref="I5239">IFERROR(IF($B5239=I$1, ($A5239+$C5239) - MAX(IF($B$2:$B5238=$B5239, $A$2:$A5238+$C$2:$C5238)), "")*24*60, "")</f>
        <v>0</v>
      </c>
      <c r="J5239" s="24" t="str" cm="1">
        <f t="array" ref="J5239">IFERROR(IF($B5239=J$1, ($A5239+$C5239) - MAX(IF($B$2:$B5238=$B5239, $A$2:$A5238+$C$2:$C5238)), "")*24*60, "")</f>
        <v/>
      </c>
      <c r="K5239" s="24" t="str" cm="1">
        <f t="array" ref="K5239">IFERROR(IF($B5239=K$1, ($A5239+$C5239) - MAX(IF($B$2:$B5238=$B5239, $A$2:$A5238+$C$2:$C5238)), "")*24*60, "")</f>
        <v/>
      </c>
      <c r="L5239" s="24" t="str" cm="1">
        <f t="array" ref="L5239">IFERROR(IF($B5239=L$1, ($A5239+$C5239) - MAX(IF($B$2:$B5238=$B5239, $A$2:$A5238+$C$2:$C5238)), "")*24*60, "")</f>
        <v/>
      </c>
      <c r="M5239" s="24" t="str" cm="1">
        <f t="array" ref="M5239">IFERROR(IF($B5239=M$1, ($A5239+$C5239) - MAX(IF($B$2:$B5238=$B5239, $A$2:$A5238+$C$2:$C5238)), "")*24*60, "")</f>
        <v/>
      </c>
      <c r="N5239" s="24" t="str" cm="1">
        <f t="array" ref="N5239">IFERROR(IF($B5239=N$1, ($A5239+$C5239) - MAX(IF($B$2:$B5238=$B5239, $A$2:$A5238+$C$2:$C5238)), "")*24*60, "")</f>
        <v/>
      </c>
      <c r="O5239" s="24" t="str" cm="1">
        <f t="array" ref="O5239">IFERROR(IF($B5239=O$1, ($A5239+$C5239) - MAX(IF($B$2:$B5238=$B5239, $A$2:$A5238+$C$2:$C5238)), "")*24*60, "")</f>
        <v/>
      </c>
      <c r="P5239" s="24" t="str" cm="1">
        <f t="array" ref="P5239">IFERROR(IF($B5239=P$1, ($A5239+$C5239) - MAX(IF($B$2:$B5238=$B5239, $A$2:$A5238+$C$2:$C5238)), "")*24*60, "")</f>
        <v/>
      </c>
      <c r="Q5239" s="24" t="str" cm="1">
        <f t="array" ref="Q5239">IFERROR(IF($B5239=Q$1, ($A5239+$C5239) - MAX(IF($B$2:$B5238=$B5239, $A$2:$A5238+$C$2:$C5238)), "")*24*60, "")</f>
        <v/>
      </c>
    </row>
    <row r="5240" spans="1:17" x14ac:dyDescent="0.2">
      <c r="A5240" s="12">
        <f t="shared" ref="A5240:C5240" si="1133">A5239</f>
        <v>45983</v>
      </c>
      <c r="B5240" s="5" t="str">
        <f t="shared" si="1133"/>
        <v>Northern Cardinal</v>
      </c>
      <c r="C5240" s="6">
        <f t="shared" si="1133"/>
        <v>0.28194444444444444</v>
      </c>
      <c r="D5240" s="5"/>
      <c r="E5240" s="5"/>
      <c r="F5240" s="5" t="s">
        <v>8</v>
      </c>
      <c r="G5240" s="15" t="s">
        <v>9</v>
      </c>
      <c r="H5240" s="24">
        <f t="shared" si="1129"/>
        <v>0</v>
      </c>
      <c r="I5240" s="24" cm="1">
        <f t="array" ref="I5240">IFERROR(IF($B5240=I$1, ($A5240+$C5240) - MAX(IF($B$2:$B5239=$B5240, $A$2:$A5239+$C$2:$C5239)), "")*24*60, "")</f>
        <v>0</v>
      </c>
      <c r="J5240" s="24" t="str" cm="1">
        <f t="array" ref="J5240">IFERROR(IF($B5240=J$1, ($A5240+$C5240) - MAX(IF($B$2:$B5239=$B5240, $A$2:$A5239+$C$2:$C5239)), "")*24*60, "")</f>
        <v/>
      </c>
      <c r="K5240" s="24" t="str" cm="1">
        <f t="array" ref="K5240">IFERROR(IF($B5240=K$1, ($A5240+$C5240) - MAX(IF($B$2:$B5239=$B5240, $A$2:$A5239+$C$2:$C5239)), "")*24*60, "")</f>
        <v/>
      </c>
      <c r="L5240" s="24" t="str" cm="1">
        <f t="array" ref="L5240">IFERROR(IF($B5240=L$1, ($A5240+$C5240) - MAX(IF($B$2:$B5239=$B5240, $A$2:$A5239+$C$2:$C5239)), "")*24*60, "")</f>
        <v/>
      </c>
      <c r="M5240" s="24" t="str" cm="1">
        <f t="array" ref="M5240">IFERROR(IF($B5240=M$1, ($A5240+$C5240) - MAX(IF($B$2:$B5239=$B5240, $A$2:$A5239+$C$2:$C5239)), "")*24*60, "")</f>
        <v/>
      </c>
      <c r="N5240" s="24" t="str" cm="1">
        <f t="array" ref="N5240">IFERROR(IF($B5240=N$1, ($A5240+$C5240) - MAX(IF($B$2:$B5239=$B5240, $A$2:$A5239+$C$2:$C5239)), "")*24*60, "")</f>
        <v/>
      </c>
      <c r="O5240" s="24" t="str" cm="1">
        <f t="array" ref="O5240">IFERROR(IF($B5240=O$1, ($A5240+$C5240) - MAX(IF($B$2:$B5239=$B5240, $A$2:$A5239+$C$2:$C5239)), "")*24*60, "")</f>
        <v/>
      </c>
      <c r="P5240" s="24" t="str" cm="1">
        <f t="array" ref="P5240">IFERROR(IF($B5240=P$1, ($A5240+$C5240) - MAX(IF($B$2:$B5239=$B5240, $A$2:$A5239+$C$2:$C5239)), "")*24*60, "")</f>
        <v/>
      </c>
      <c r="Q5240" s="24" t="str" cm="1">
        <f t="array" ref="Q5240">IFERROR(IF($B5240=Q$1, ($A5240+$C5240) - MAX(IF($B$2:$B5239=$B5240, $A$2:$A5239+$C$2:$C5239)), "")*24*60, "")</f>
        <v/>
      </c>
    </row>
    <row r="5241" spans="1:17" x14ac:dyDescent="0.2">
      <c r="A5241" s="12">
        <f t="shared" ref="A5241:C5241" si="1134">A5240</f>
        <v>45983</v>
      </c>
      <c r="B5241" s="5" t="str">
        <f t="shared" si="1134"/>
        <v>Northern Cardinal</v>
      </c>
      <c r="C5241" s="6">
        <f t="shared" si="1134"/>
        <v>0.28194444444444444</v>
      </c>
      <c r="D5241" s="5"/>
      <c r="E5241" s="5"/>
      <c r="F5241" s="5" t="s">
        <v>8</v>
      </c>
      <c r="G5241" s="15" t="s">
        <v>9</v>
      </c>
      <c r="H5241" s="24">
        <f t="shared" si="1129"/>
        <v>0</v>
      </c>
      <c r="I5241" s="24" cm="1">
        <f t="array" ref="I5241">IFERROR(IF($B5241=I$1, ($A5241+$C5241) - MAX(IF($B$2:$B5240=$B5241, $A$2:$A5240+$C$2:$C5240)), "")*24*60, "")</f>
        <v>0</v>
      </c>
      <c r="J5241" s="24" t="str" cm="1">
        <f t="array" ref="J5241">IFERROR(IF($B5241=J$1, ($A5241+$C5241) - MAX(IF($B$2:$B5240=$B5241, $A$2:$A5240+$C$2:$C5240)), "")*24*60, "")</f>
        <v/>
      </c>
      <c r="K5241" s="24" t="str" cm="1">
        <f t="array" ref="K5241">IFERROR(IF($B5241=K$1, ($A5241+$C5241) - MAX(IF($B$2:$B5240=$B5241, $A$2:$A5240+$C$2:$C5240)), "")*24*60, "")</f>
        <v/>
      </c>
      <c r="L5241" s="24" t="str" cm="1">
        <f t="array" ref="L5241">IFERROR(IF($B5241=L$1, ($A5241+$C5241) - MAX(IF($B$2:$B5240=$B5241, $A$2:$A5240+$C$2:$C5240)), "")*24*60, "")</f>
        <v/>
      </c>
      <c r="M5241" s="24" t="str" cm="1">
        <f t="array" ref="M5241">IFERROR(IF($B5241=M$1, ($A5241+$C5241) - MAX(IF($B$2:$B5240=$B5241, $A$2:$A5240+$C$2:$C5240)), "")*24*60, "")</f>
        <v/>
      </c>
      <c r="N5241" s="24" t="str" cm="1">
        <f t="array" ref="N5241">IFERROR(IF($B5241=N$1, ($A5241+$C5241) - MAX(IF($B$2:$B5240=$B5241, $A$2:$A5240+$C$2:$C5240)), "")*24*60, "")</f>
        <v/>
      </c>
      <c r="O5241" s="24" t="str" cm="1">
        <f t="array" ref="O5241">IFERROR(IF($B5241=O$1, ($A5241+$C5241) - MAX(IF($B$2:$B5240=$B5241, $A$2:$A5240+$C$2:$C5240)), "")*24*60, "")</f>
        <v/>
      </c>
      <c r="P5241" s="24" t="str" cm="1">
        <f t="array" ref="P5241">IFERROR(IF($B5241=P$1, ($A5241+$C5241) - MAX(IF($B$2:$B5240=$B5241, $A$2:$A5240+$C$2:$C5240)), "")*24*60, "")</f>
        <v/>
      </c>
      <c r="Q5241" s="24" t="str" cm="1">
        <f t="array" ref="Q5241">IFERROR(IF($B5241=Q$1, ($A5241+$C5241) - MAX(IF($B$2:$B5240=$B5241, $A$2:$A5240+$C$2:$C5240)), "")*24*60, "")</f>
        <v/>
      </c>
    </row>
    <row r="5242" spans="1:17" x14ac:dyDescent="0.2">
      <c r="A5242" s="12">
        <f t="shared" ref="A5242:C5242" si="1135">A5241</f>
        <v>45983</v>
      </c>
      <c r="B5242" s="5" t="str">
        <f t="shared" si="1135"/>
        <v>Northern Cardinal</v>
      </c>
      <c r="C5242" s="6">
        <f t="shared" si="1135"/>
        <v>0.28194444444444444</v>
      </c>
      <c r="D5242" s="5"/>
      <c r="E5242" s="5"/>
      <c r="F5242" s="5" t="s">
        <v>8</v>
      </c>
      <c r="G5242" s="15" t="s">
        <v>9</v>
      </c>
      <c r="H5242" s="24">
        <f t="shared" si="1129"/>
        <v>0</v>
      </c>
      <c r="I5242" s="24" cm="1">
        <f t="array" ref="I5242">IFERROR(IF($B5242=I$1, ($A5242+$C5242) - MAX(IF($B$2:$B5241=$B5242, $A$2:$A5241+$C$2:$C5241)), "")*24*60, "")</f>
        <v>0</v>
      </c>
      <c r="J5242" s="24" t="str" cm="1">
        <f t="array" ref="J5242">IFERROR(IF($B5242=J$1, ($A5242+$C5242) - MAX(IF($B$2:$B5241=$B5242, $A$2:$A5241+$C$2:$C5241)), "")*24*60, "")</f>
        <v/>
      </c>
      <c r="K5242" s="24" t="str" cm="1">
        <f t="array" ref="K5242">IFERROR(IF($B5242=K$1, ($A5242+$C5242) - MAX(IF($B$2:$B5241=$B5242, $A$2:$A5241+$C$2:$C5241)), "")*24*60, "")</f>
        <v/>
      </c>
      <c r="L5242" s="24" t="str" cm="1">
        <f t="array" ref="L5242">IFERROR(IF($B5242=L$1, ($A5242+$C5242) - MAX(IF($B$2:$B5241=$B5242, $A$2:$A5241+$C$2:$C5241)), "")*24*60, "")</f>
        <v/>
      </c>
      <c r="M5242" s="24" t="str" cm="1">
        <f t="array" ref="M5242">IFERROR(IF($B5242=M$1, ($A5242+$C5242) - MAX(IF($B$2:$B5241=$B5242, $A$2:$A5241+$C$2:$C5241)), "")*24*60, "")</f>
        <v/>
      </c>
      <c r="N5242" s="24" t="str" cm="1">
        <f t="array" ref="N5242">IFERROR(IF($B5242=N$1, ($A5242+$C5242) - MAX(IF($B$2:$B5241=$B5242, $A$2:$A5241+$C$2:$C5241)), "")*24*60, "")</f>
        <v/>
      </c>
      <c r="O5242" s="24" t="str" cm="1">
        <f t="array" ref="O5242">IFERROR(IF($B5242=O$1, ($A5242+$C5242) - MAX(IF($B$2:$B5241=$B5242, $A$2:$A5241+$C$2:$C5241)), "")*24*60, "")</f>
        <v/>
      </c>
      <c r="P5242" s="24" t="str" cm="1">
        <f t="array" ref="P5242">IFERROR(IF($B5242=P$1, ($A5242+$C5242) - MAX(IF($B$2:$B5241=$B5242, $A$2:$A5241+$C$2:$C5241)), "")*24*60, "")</f>
        <v/>
      </c>
      <c r="Q5242" s="24" t="str" cm="1">
        <f t="array" ref="Q5242">IFERROR(IF($B5242=Q$1, ($A5242+$C5242) - MAX(IF($B$2:$B5241=$B5242, $A$2:$A5241+$C$2:$C5241)), "")*24*60, "")</f>
        <v/>
      </c>
    </row>
    <row r="5243" spans="1:17" x14ac:dyDescent="0.2">
      <c r="A5243" s="12">
        <f t="shared" ref="A5243:C5243" si="1136">A5242</f>
        <v>45983</v>
      </c>
      <c r="B5243" s="5" t="str">
        <f t="shared" si="1136"/>
        <v>Northern Cardinal</v>
      </c>
      <c r="C5243" s="6">
        <f t="shared" si="1136"/>
        <v>0.28194444444444444</v>
      </c>
      <c r="D5243" s="5"/>
      <c r="E5243" s="5"/>
      <c r="F5243" s="5" t="s">
        <v>8</v>
      </c>
      <c r="G5243" s="15" t="s">
        <v>9</v>
      </c>
      <c r="H5243" s="24">
        <f t="shared" si="1129"/>
        <v>0</v>
      </c>
      <c r="I5243" s="24" cm="1">
        <f t="array" ref="I5243">IFERROR(IF($B5243=I$1, ($A5243+$C5243) - MAX(IF($B$2:$B5242=$B5243, $A$2:$A5242+$C$2:$C5242)), "")*24*60, "")</f>
        <v>0</v>
      </c>
      <c r="J5243" s="24" t="str" cm="1">
        <f t="array" ref="J5243">IFERROR(IF($B5243=J$1, ($A5243+$C5243) - MAX(IF($B$2:$B5242=$B5243, $A$2:$A5242+$C$2:$C5242)), "")*24*60, "")</f>
        <v/>
      </c>
      <c r="K5243" s="24" t="str" cm="1">
        <f t="array" ref="K5243">IFERROR(IF($B5243=K$1, ($A5243+$C5243) - MAX(IF($B$2:$B5242=$B5243, $A$2:$A5242+$C$2:$C5242)), "")*24*60, "")</f>
        <v/>
      </c>
      <c r="L5243" s="24" t="str" cm="1">
        <f t="array" ref="L5243">IFERROR(IF($B5243=L$1, ($A5243+$C5243) - MAX(IF($B$2:$B5242=$B5243, $A$2:$A5242+$C$2:$C5242)), "")*24*60, "")</f>
        <v/>
      </c>
      <c r="M5243" s="24" t="str" cm="1">
        <f t="array" ref="M5243">IFERROR(IF($B5243=M$1, ($A5243+$C5243) - MAX(IF($B$2:$B5242=$B5243, $A$2:$A5242+$C$2:$C5242)), "")*24*60, "")</f>
        <v/>
      </c>
      <c r="N5243" s="24" t="str" cm="1">
        <f t="array" ref="N5243">IFERROR(IF($B5243=N$1, ($A5243+$C5243) - MAX(IF($B$2:$B5242=$B5243, $A$2:$A5242+$C$2:$C5242)), "")*24*60, "")</f>
        <v/>
      </c>
      <c r="O5243" s="24" t="str" cm="1">
        <f t="array" ref="O5243">IFERROR(IF($B5243=O$1, ($A5243+$C5243) - MAX(IF($B$2:$B5242=$B5243, $A$2:$A5242+$C$2:$C5242)), "")*24*60, "")</f>
        <v/>
      </c>
      <c r="P5243" s="24" t="str" cm="1">
        <f t="array" ref="P5243">IFERROR(IF($B5243=P$1, ($A5243+$C5243) - MAX(IF($B$2:$B5242=$B5243, $A$2:$A5242+$C$2:$C5242)), "")*24*60, "")</f>
        <v/>
      </c>
      <c r="Q5243" s="24" t="str" cm="1">
        <f t="array" ref="Q5243">IFERROR(IF($B5243=Q$1, ($A5243+$C5243) - MAX(IF($B$2:$B5242=$B5243, $A$2:$A5242+$C$2:$C5242)), "")*24*60, "")</f>
        <v/>
      </c>
    </row>
    <row r="5244" spans="1:17" x14ac:dyDescent="0.2">
      <c r="A5244" s="12">
        <f t="shared" ref="A5244:C5244" si="1137">A5243</f>
        <v>45983</v>
      </c>
      <c r="B5244" s="5" t="str">
        <f t="shared" si="1137"/>
        <v>Northern Cardinal</v>
      </c>
      <c r="C5244" s="6">
        <f t="shared" si="1137"/>
        <v>0.28194444444444444</v>
      </c>
      <c r="D5244" s="5"/>
      <c r="E5244" s="5"/>
      <c r="F5244" s="5" t="s">
        <v>8</v>
      </c>
      <c r="G5244" s="15" t="s">
        <v>9</v>
      </c>
      <c r="H5244" s="24">
        <f t="shared" si="1129"/>
        <v>0</v>
      </c>
      <c r="I5244" s="24" cm="1">
        <f t="array" ref="I5244">IFERROR(IF($B5244=I$1, ($A5244+$C5244) - MAX(IF($B$2:$B5243=$B5244, $A$2:$A5243+$C$2:$C5243)), "")*24*60, "")</f>
        <v>0</v>
      </c>
      <c r="J5244" s="24" t="str" cm="1">
        <f t="array" ref="J5244">IFERROR(IF($B5244=J$1, ($A5244+$C5244) - MAX(IF($B$2:$B5243=$B5244, $A$2:$A5243+$C$2:$C5243)), "")*24*60, "")</f>
        <v/>
      </c>
      <c r="K5244" s="24" t="str" cm="1">
        <f t="array" ref="K5244">IFERROR(IF($B5244=K$1, ($A5244+$C5244) - MAX(IF($B$2:$B5243=$B5244, $A$2:$A5243+$C$2:$C5243)), "")*24*60, "")</f>
        <v/>
      </c>
      <c r="L5244" s="24" t="str" cm="1">
        <f t="array" ref="L5244">IFERROR(IF($B5244=L$1, ($A5244+$C5244) - MAX(IF($B$2:$B5243=$B5244, $A$2:$A5243+$C$2:$C5243)), "")*24*60, "")</f>
        <v/>
      </c>
      <c r="M5244" s="24" t="str" cm="1">
        <f t="array" ref="M5244">IFERROR(IF($B5244=M$1, ($A5244+$C5244) - MAX(IF($B$2:$B5243=$B5244, $A$2:$A5243+$C$2:$C5243)), "")*24*60, "")</f>
        <v/>
      </c>
      <c r="N5244" s="24" t="str" cm="1">
        <f t="array" ref="N5244">IFERROR(IF($B5244=N$1, ($A5244+$C5244) - MAX(IF($B$2:$B5243=$B5244, $A$2:$A5243+$C$2:$C5243)), "")*24*60, "")</f>
        <v/>
      </c>
      <c r="O5244" s="24" t="str" cm="1">
        <f t="array" ref="O5244">IFERROR(IF($B5244=O$1, ($A5244+$C5244) - MAX(IF($B$2:$B5243=$B5244, $A$2:$A5243+$C$2:$C5243)), "")*24*60, "")</f>
        <v/>
      </c>
      <c r="P5244" s="24" t="str" cm="1">
        <f t="array" ref="P5244">IFERROR(IF($B5244=P$1, ($A5244+$C5244) - MAX(IF($B$2:$B5243=$B5244, $A$2:$A5243+$C$2:$C5243)), "")*24*60, "")</f>
        <v/>
      </c>
      <c r="Q5244" s="24" t="str" cm="1">
        <f t="array" ref="Q5244">IFERROR(IF($B5244=Q$1, ($A5244+$C5244) - MAX(IF($B$2:$B5243=$B5244, $A$2:$A5243+$C$2:$C5243)), "")*24*60, "")</f>
        <v/>
      </c>
    </row>
    <row r="5245" spans="1:17" x14ac:dyDescent="0.2">
      <c r="A5245" s="12">
        <f t="shared" ref="A5245:C5245" si="1138">A5244</f>
        <v>45983</v>
      </c>
      <c r="B5245" s="5" t="str">
        <f t="shared" si="1138"/>
        <v>Northern Cardinal</v>
      </c>
      <c r="C5245" s="6">
        <f t="shared" si="1138"/>
        <v>0.28194444444444444</v>
      </c>
      <c r="D5245" s="5"/>
      <c r="E5245" s="5"/>
      <c r="F5245" s="5" t="s">
        <v>8</v>
      </c>
      <c r="G5245" s="15" t="s">
        <v>9</v>
      </c>
      <c r="H5245" s="24">
        <f t="shared" si="1129"/>
        <v>0</v>
      </c>
      <c r="I5245" s="24" cm="1">
        <f t="array" ref="I5245">IFERROR(IF($B5245=I$1, ($A5245+$C5245) - MAX(IF($B$2:$B5244=$B5245, $A$2:$A5244+$C$2:$C5244)), "")*24*60, "")</f>
        <v>0</v>
      </c>
      <c r="J5245" s="24" t="str" cm="1">
        <f t="array" ref="J5245">IFERROR(IF($B5245=J$1, ($A5245+$C5245) - MAX(IF($B$2:$B5244=$B5245, $A$2:$A5244+$C$2:$C5244)), "")*24*60, "")</f>
        <v/>
      </c>
      <c r="K5245" s="24" t="str" cm="1">
        <f t="array" ref="K5245">IFERROR(IF($B5245=K$1, ($A5245+$C5245) - MAX(IF($B$2:$B5244=$B5245, $A$2:$A5244+$C$2:$C5244)), "")*24*60, "")</f>
        <v/>
      </c>
      <c r="L5245" s="24" t="str" cm="1">
        <f t="array" ref="L5245">IFERROR(IF($B5245=L$1, ($A5245+$C5245) - MAX(IF($B$2:$B5244=$B5245, $A$2:$A5244+$C$2:$C5244)), "")*24*60, "")</f>
        <v/>
      </c>
      <c r="M5245" s="24" t="str" cm="1">
        <f t="array" ref="M5245">IFERROR(IF($B5245=M$1, ($A5245+$C5245) - MAX(IF($B$2:$B5244=$B5245, $A$2:$A5244+$C$2:$C5244)), "")*24*60, "")</f>
        <v/>
      </c>
      <c r="N5245" s="24" t="str" cm="1">
        <f t="array" ref="N5245">IFERROR(IF($B5245=N$1, ($A5245+$C5245) - MAX(IF($B$2:$B5244=$B5245, $A$2:$A5244+$C$2:$C5244)), "")*24*60, "")</f>
        <v/>
      </c>
      <c r="O5245" s="24" t="str" cm="1">
        <f t="array" ref="O5245">IFERROR(IF($B5245=O$1, ($A5245+$C5245) - MAX(IF($B$2:$B5244=$B5245, $A$2:$A5244+$C$2:$C5244)), "")*24*60, "")</f>
        <v/>
      </c>
      <c r="P5245" s="24" t="str" cm="1">
        <f t="array" ref="P5245">IFERROR(IF($B5245=P$1, ($A5245+$C5245) - MAX(IF($B$2:$B5244=$B5245, $A$2:$A5244+$C$2:$C5244)), "")*24*60, "")</f>
        <v/>
      </c>
      <c r="Q5245" s="24" t="str" cm="1">
        <f t="array" ref="Q5245">IFERROR(IF($B5245=Q$1, ($A5245+$C5245) - MAX(IF($B$2:$B5244=$B5245, $A$2:$A5244+$C$2:$C5244)), "")*24*60, "")</f>
        <v/>
      </c>
    </row>
    <row r="5246" spans="1:17" x14ac:dyDescent="0.2">
      <c r="A5246" s="12">
        <f t="shared" ref="A5246:C5246" si="1139">A5245</f>
        <v>45983</v>
      </c>
      <c r="B5246" s="5" t="str">
        <f t="shared" si="1139"/>
        <v>Northern Cardinal</v>
      </c>
      <c r="C5246" s="6">
        <f t="shared" si="1139"/>
        <v>0.28194444444444444</v>
      </c>
      <c r="D5246" s="5"/>
      <c r="E5246" s="5"/>
      <c r="F5246" s="5" t="s">
        <v>8</v>
      </c>
      <c r="G5246" s="15" t="s">
        <v>9</v>
      </c>
      <c r="H5246" s="24">
        <f t="shared" si="1129"/>
        <v>0</v>
      </c>
      <c r="I5246" s="24" cm="1">
        <f t="array" ref="I5246">IFERROR(IF($B5246=I$1, ($A5246+$C5246) - MAX(IF($B$2:$B5245=$B5246, $A$2:$A5245+$C$2:$C5245)), "")*24*60, "")</f>
        <v>0</v>
      </c>
      <c r="J5246" s="24" t="str" cm="1">
        <f t="array" ref="J5246">IFERROR(IF($B5246=J$1, ($A5246+$C5246) - MAX(IF($B$2:$B5245=$B5246, $A$2:$A5245+$C$2:$C5245)), "")*24*60, "")</f>
        <v/>
      </c>
      <c r="K5246" s="24" t="str" cm="1">
        <f t="array" ref="K5246">IFERROR(IF($B5246=K$1, ($A5246+$C5246) - MAX(IF($B$2:$B5245=$B5246, $A$2:$A5245+$C$2:$C5245)), "")*24*60, "")</f>
        <v/>
      </c>
      <c r="L5246" s="24" t="str" cm="1">
        <f t="array" ref="L5246">IFERROR(IF($B5246=L$1, ($A5246+$C5246) - MAX(IF($B$2:$B5245=$B5246, $A$2:$A5245+$C$2:$C5245)), "")*24*60, "")</f>
        <v/>
      </c>
      <c r="M5246" s="24" t="str" cm="1">
        <f t="array" ref="M5246">IFERROR(IF($B5246=M$1, ($A5246+$C5246) - MAX(IF($B$2:$B5245=$B5246, $A$2:$A5245+$C$2:$C5245)), "")*24*60, "")</f>
        <v/>
      </c>
      <c r="N5246" s="24" t="str" cm="1">
        <f t="array" ref="N5246">IFERROR(IF($B5246=N$1, ($A5246+$C5246) - MAX(IF($B$2:$B5245=$B5246, $A$2:$A5245+$C$2:$C5245)), "")*24*60, "")</f>
        <v/>
      </c>
      <c r="O5246" s="24" t="str" cm="1">
        <f t="array" ref="O5246">IFERROR(IF($B5246=O$1, ($A5246+$C5246) - MAX(IF($B$2:$B5245=$B5246, $A$2:$A5245+$C$2:$C5245)), "")*24*60, "")</f>
        <v/>
      </c>
      <c r="P5246" s="24" t="str" cm="1">
        <f t="array" ref="P5246">IFERROR(IF($B5246=P$1, ($A5246+$C5246) - MAX(IF($B$2:$B5245=$B5246, $A$2:$A5245+$C$2:$C5245)), "")*24*60, "")</f>
        <v/>
      </c>
      <c r="Q5246" s="24" t="str" cm="1">
        <f t="array" ref="Q5246">IFERROR(IF($B5246=Q$1, ($A5246+$C5246) - MAX(IF($B$2:$B5245=$B5246, $A$2:$A5245+$C$2:$C5245)), "")*24*60, "")</f>
        <v/>
      </c>
    </row>
    <row r="5247" spans="1:17" x14ac:dyDescent="0.2">
      <c r="A5247" s="12">
        <f t="shared" ref="A5247:C5247" si="1140">A5246</f>
        <v>45983</v>
      </c>
      <c r="B5247" s="5" t="str">
        <f t="shared" si="1140"/>
        <v>Northern Cardinal</v>
      </c>
      <c r="C5247" s="6">
        <f t="shared" si="1140"/>
        <v>0.28194444444444444</v>
      </c>
      <c r="D5247" s="5"/>
      <c r="E5247" s="5"/>
      <c r="F5247" s="5" t="s">
        <v>8</v>
      </c>
      <c r="G5247" s="15" t="s">
        <v>9</v>
      </c>
      <c r="H5247" s="24">
        <f t="shared" si="1129"/>
        <v>0</v>
      </c>
      <c r="I5247" s="24" cm="1">
        <f t="array" ref="I5247">IFERROR(IF($B5247=I$1, ($A5247+$C5247) - MAX(IF($B$2:$B5246=$B5247, $A$2:$A5246+$C$2:$C5246)), "")*24*60, "")</f>
        <v>0</v>
      </c>
      <c r="J5247" s="24" t="str" cm="1">
        <f t="array" ref="J5247">IFERROR(IF($B5247=J$1, ($A5247+$C5247) - MAX(IF($B$2:$B5246=$B5247, $A$2:$A5246+$C$2:$C5246)), "")*24*60, "")</f>
        <v/>
      </c>
      <c r="K5247" s="24" t="str" cm="1">
        <f t="array" ref="K5247">IFERROR(IF($B5247=K$1, ($A5247+$C5247) - MAX(IF($B$2:$B5246=$B5247, $A$2:$A5246+$C$2:$C5246)), "")*24*60, "")</f>
        <v/>
      </c>
      <c r="L5247" s="24" t="str" cm="1">
        <f t="array" ref="L5247">IFERROR(IF($B5247=L$1, ($A5247+$C5247) - MAX(IF($B$2:$B5246=$B5247, $A$2:$A5246+$C$2:$C5246)), "")*24*60, "")</f>
        <v/>
      </c>
      <c r="M5247" s="24" t="str" cm="1">
        <f t="array" ref="M5247">IFERROR(IF($B5247=M$1, ($A5247+$C5247) - MAX(IF($B$2:$B5246=$B5247, $A$2:$A5246+$C$2:$C5246)), "")*24*60, "")</f>
        <v/>
      </c>
      <c r="N5247" s="24" t="str" cm="1">
        <f t="array" ref="N5247">IFERROR(IF($B5247=N$1, ($A5247+$C5247) - MAX(IF($B$2:$B5246=$B5247, $A$2:$A5246+$C$2:$C5246)), "")*24*60, "")</f>
        <v/>
      </c>
      <c r="O5247" s="24" t="str" cm="1">
        <f t="array" ref="O5247">IFERROR(IF($B5247=O$1, ($A5247+$C5247) - MAX(IF($B$2:$B5246=$B5247, $A$2:$A5246+$C$2:$C5246)), "")*24*60, "")</f>
        <v/>
      </c>
      <c r="P5247" s="24" t="str" cm="1">
        <f t="array" ref="P5247">IFERROR(IF($B5247=P$1, ($A5247+$C5247) - MAX(IF($B$2:$B5246=$B5247, $A$2:$A5246+$C$2:$C5246)), "")*24*60, "")</f>
        <v/>
      </c>
      <c r="Q5247" s="24" t="str" cm="1">
        <f t="array" ref="Q5247">IFERROR(IF($B5247=Q$1, ($A5247+$C5247) - MAX(IF($B$2:$B5246=$B5247, $A$2:$A5246+$C$2:$C5246)), "")*24*60, "")</f>
        <v/>
      </c>
    </row>
    <row r="5248" spans="1:17" x14ac:dyDescent="0.2">
      <c r="A5248" s="12">
        <f t="shared" ref="A5248:C5248" si="1141">A5247</f>
        <v>45983</v>
      </c>
      <c r="B5248" s="5" t="str">
        <f t="shared" si="1141"/>
        <v>Northern Cardinal</v>
      </c>
      <c r="C5248" s="6">
        <f t="shared" si="1141"/>
        <v>0.28194444444444444</v>
      </c>
      <c r="D5248" s="5"/>
      <c r="E5248" s="5"/>
      <c r="F5248" s="5" t="s">
        <v>8</v>
      </c>
      <c r="G5248" s="15" t="s">
        <v>9</v>
      </c>
      <c r="H5248" s="24">
        <f t="shared" si="1129"/>
        <v>0</v>
      </c>
      <c r="I5248" s="24" cm="1">
        <f t="array" ref="I5248">IFERROR(IF($B5248=I$1, ($A5248+$C5248) - MAX(IF($B$2:$B5247=$B5248, $A$2:$A5247+$C$2:$C5247)), "")*24*60, "")</f>
        <v>0</v>
      </c>
      <c r="J5248" s="24" t="str" cm="1">
        <f t="array" ref="J5248">IFERROR(IF($B5248=J$1, ($A5248+$C5248) - MAX(IF($B$2:$B5247=$B5248, $A$2:$A5247+$C$2:$C5247)), "")*24*60, "")</f>
        <v/>
      </c>
      <c r="K5248" s="24" t="str" cm="1">
        <f t="array" ref="K5248">IFERROR(IF($B5248=K$1, ($A5248+$C5248) - MAX(IF($B$2:$B5247=$B5248, $A$2:$A5247+$C$2:$C5247)), "")*24*60, "")</f>
        <v/>
      </c>
      <c r="L5248" s="24" t="str" cm="1">
        <f t="array" ref="L5248">IFERROR(IF($B5248=L$1, ($A5248+$C5248) - MAX(IF($B$2:$B5247=$B5248, $A$2:$A5247+$C$2:$C5247)), "")*24*60, "")</f>
        <v/>
      </c>
      <c r="M5248" s="24" t="str" cm="1">
        <f t="array" ref="M5248">IFERROR(IF($B5248=M$1, ($A5248+$C5248) - MAX(IF($B$2:$B5247=$B5248, $A$2:$A5247+$C$2:$C5247)), "")*24*60, "")</f>
        <v/>
      </c>
      <c r="N5248" s="24" t="str" cm="1">
        <f t="array" ref="N5248">IFERROR(IF($B5248=N$1, ($A5248+$C5248) - MAX(IF($B$2:$B5247=$B5248, $A$2:$A5247+$C$2:$C5247)), "")*24*60, "")</f>
        <v/>
      </c>
      <c r="O5248" s="24" t="str" cm="1">
        <f t="array" ref="O5248">IFERROR(IF($B5248=O$1, ($A5248+$C5248) - MAX(IF($B$2:$B5247=$B5248, $A$2:$A5247+$C$2:$C5247)), "")*24*60, "")</f>
        <v/>
      </c>
      <c r="P5248" s="24" t="str" cm="1">
        <f t="array" ref="P5248">IFERROR(IF($B5248=P$1, ($A5248+$C5248) - MAX(IF($B$2:$B5247=$B5248, $A$2:$A5247+$C$2:$C5247)), "")*24*60, "")</f>
        <v/>
      </c>
      <c r="Q5248" s="24" t="str" cm="1">
        <f t="array" ref="Q5248">IFERROR(IF($B5248=Q$1, ($A5248+$C5248) - MAX(IF($B$2:$B5247=$B5248, $A$2:$A5247+$C$2:$C5247)), "")*24*60, "")</f>
        <v/>
      </c>
    </row>
    <row r="5249" spans="1:17" x14ac:dyDescent="0.2">
      <c r="A5249" s="12">
        <f t="shared" ref="A5249:C5249" si="1142">A5248</f>
        <v>45983</v>
      </c>
      <c r="B5249" s="5" t="str">
        <f t="shared" si="1142"/>
        <v>Northern Cardinal</v>
      </c>
      <c r="C5249" s="6">
        <f t="shared" si="1142"/>
        <v>0.28194444444444444</v>
      </c>
      <c r="D5249" s="5"/>
      <c r="E5249" s="5"/>
      <c r="F5249" s="5" t="s">
        <v>8</v>
      </c>
      <c r="G5249" s="15" t="s">
        <v>9</v>
      </c>
      <c r="H5249" s="24">
        <f t="shared" si="1129"/>
        <v>0</v>
      </c>
      <c r="I5249" s="24" cm="1">
        <f t="array" ref="I5249">IFERROR(IF($B5249=I$1, ($A5249+$C5249) - MAX(IF($B$2:$B5248=$B5249, $A$2:$A5248+$C$2:$C5248)), "")*24*60, "")</f>
        <v>0</v>
      </c>
      <c r="J5249" s="24" t="str" cm="1">
        <f t="array" ref="J5249">IFERROR(IF($B5249=J$1, ($A5249+$C5249) - MAX(IF($B$2:$B5248=$B5249, $A$2:$A5248+$C$2:$C5248)), "")*24*60, "")</f>
        <v/>
      </c>
      <c r="K5249" s="24" t="str" cm="1">
        <f t="array" ref="K5249">IFERROR(IF($B5249=K$1, ($A5249+$C5249) - MAX(IF($B$2:$B5248=$B5249, $A$2:$A5248+$C$2:$C5248)), "")*24*60, "")</f>
        <v/>
      </c>
      <c r="L5249" s="24" t="str" cm="1">
        <f t="array" ref="L5249">IFERROR(IF($B5249=L$1, ($A5249+$C5249) - MAX(IF($B$2:$B5248=$B5249, $A$2:$A5248+$C$2:$C5248)), "")*24*60, "")</f>
        <v/>
      </c>
      <c r="M5249" s="24" t="str" cm="1">
        <f t="array" ref="M5249">IFERROR(IF($B5249=M$1, ($A5249+$C5249) - MAX(IF($B$2:$B5248=$B5249, $A$2:$A5248+$C$2:$C5248)), "")*24*60, "")</f>
        <v/>
      </c>
      <c r="N5249" s="24" t="str" cm="1">
        <f t="array" ref="N5249">IFERROR(IF($B5249=N$1, ($A5249+$C5249) - MAX(IF($B$2:$B5248=$B5249, $A$2:$A5248+$C$2:$C5248)), "")*24*60, "")</f>
        <v/>
      </c>
      <c r="O5249" s="24" t="str" cm="1">
        <f t="array" ref="O5249">IFERROR(IF($B5249=O$1, ($A5249+$C5249) - MAX(IF($B$2:$B5248=$B5249, $A$2:$A5248+$C$2:$C5248)), "")*24*60, "")</f>
        <v/>
      </c>
      <c r="P5249" s="24" t="str" cm="1">
        <f t="array" ref="P5249">IFERROR(IF($B5249=P$1, ($A5249+$C5249) - MAX(IF($B$2:$B5248=$B5249, $A$2:$A5248+$C$2:$C5248)), "")*24*60, "")</f>
        <v/>
      </c>
      <c r="Q5249" s="24" t="str" cm="1">
        <f t="array" ref="Q5249">IFERROR(IF($B5249=Q$1, ($A5249+$C5249) - MAX(IF($B$2:$B5248=$B5249, $A$2:$A5248+$C$2:$C5248)), "")*24*60, "")</f>
        <v/>
      </c>
    </row>
    <row r="5250" spans="1:17" x14ac:dyDescent="0.2">
      <c r="A5250" s="12">
        <f t="shared" ref="A5250:C5250" si="1143">A5249</f>
        <v>45983</v>
      </c>
      <c r="B5250" s="5" t="str">
        <f t="shared" si="1143"/>
        <v>Northern Cardinal</v>
      </c>
      <c r="C5250" s="6">
        <f t="shared" si="1143"/>
        <v>0.28194444444444444</v>
      </c>
      <c r="D5250" s="5"/>
      <c r="E5250" s="5"/>
      <c r="F5250" s="5" t="s">
        <v>8</v>
      </c>
      <c r="G5250" s="15" t="s">
        <v>9</v>
      </c>
      <c r="H5250" s="24">
        <f t="shared" si="1129"/>
        <v>0</v>
      </c>
      <c r="I5250" s="24" cm="1">
        <f t="array" ref="I5250">IFERROR(IF($B5250=I$1, ($A5250+$C5250) - MAX(IF($B$2:$B5249=$B5250, $A$2:$A5249+$C$2:$C5249)), "")*24*60, "")</f>
        <v>0</v>
      </c>
      <c r="J5250" s="24" t="str" cm="1">
        <f t="array" ref="J5250">IFERROR(IF($B5250=J$1, ($A5250+$C5250) - MAX(IF($B$2:$B5249=$B5250, $A$2:$A5249+$C$2:$C5249)), "")*24*60, "")</f>
        <v/>
      </c>
      <c r="K5250" s="24" t="str" cm="1">
        <f t="array" ref="K5250">IFERROR(IF($B5250=K$1, ($A5250+$C5250) - MAX(IF($B$2:$B5249=$B5250, $A$2:$A5249+$C$2:$C5249)), "")*24*60, "")</f>
        <v/>
      </c>
      <c r="L5250" s="24" t="str" cm="1">
        <f t="array" ref="L5250">IFERROR(IF($B5250=L$1, ($A5250+$C5250) - MAX(IF($B$2:$B5249=$B5250, $A$2:$A5249+$C$2:$C5249)), "")*24*60, "")</f>
        <v/>
      </c>
      <c r="M5250" s="24" t="str" cm="1">
        <f t="array" ref="M5250">IFERROR(IF($B5250=M$1, ($A5250+$C5250) - MAX(IF($B$2:$B5249=$B5250, $A$2:$A5249+$C$2:$C5249)), "")*24*60, "")</f>
        <v/>
      </c>
      <c r="N5250" s="24" t="str" cm="1">
        <f t="array" ref="N5250">IFERROR(IF($B5250=N$1, ($A5250+$C5250) - MAX(IF($B$2:$B5249=$B5250, $A$2:$A5249+$C$2:$C5249)), "")*24*60, "")</f>
        <v/>
      </c>
      <c r="O5250" s="24" t="str" cm="1">
        <f t="array" ref="O5250">IFERROR(IF($B5250=O$1, ($A5250+$C5250) - MAX(IF($B$2:$B5249=$B5250, $A$2:$A5249+$C$2:$C5249)), "")*24*60, "")</f>
        <v/>
      </c>
      <c r="P5250" s="24" t="str" cm="1">
        <f t="array" ref="P5250">IFERROR(IF($B5250=P$1, ($A5250+$C5250) - MAX(IF($B$2:$B5249=$B5250, $A$2:$A5249+$C$2:$C5249)), "")*24*60, "")</f>
        <v/>
      </c>
      <c r="Q5250" s="24" t="str" cm="1">
        <f t="array" ref="Q5250">IFERROR(IF($B5250=Q$1, ($A5250+$C5250) - MAX(IF($B$2:$B5249=$B5250, $A$2:$A5249+$C$2:$C5249)), "")*24*60, "")</f>
        <v/>
      </c>
    </row>
    <row r="5251" spans="1:17" x14ac:dyDescent="0.2">
      <c r="A5251" s="12">
        <f t="shared" ref="A5251:C5251" si="1144">A5250</f>
        <v>45983</v>
      </c>
      <c r="B5251" s="5" t="str">
        <f t="shared" si="1144"/>
        <v>Northern Cardinal</v>
      </c>
      <c r="C5251" s="6">
        <f t="shared" si="1144"/>
        <v>0.28194444444444444</v>
      </c>
      <c r="D5251" s="5"/>
      <c r="E5251" s="5"/>
      <c r="F5251" s="5" t="s">
        <v>8</v>
      </c>
      <c r="G5251" s="15" t="s">
        <v>9</v>
      </c>
      <c r="H5251" s="24">
        <f t="shared" si="1129"/>
        <v>0</v>
      </c>
      <c r="I5251" s="24" cm="1">
        <f t="array" ref="I5251">IFERROR(IF($B5251=I$1, ($A5251+$C5251) - MAX(IF($B$2:$B5250=$B5251, $A$2:$A5250+$C$2:$C5250)), "")*24*60, "")</f>
        <v>0</v>
      </c>
      <c r="J5251" s="24" t="str" cm="1">
        <f t="array" ref="J5251">IFERROR(IF($B5251=J$1, ($A5251+$C5251) - MAX(IF($B$2:$B5250=$B5251, $A$2:$A5250+$C$2:$C5250)), "")*24*60, "")</f>
        <v/>
      </c>
      <c r="K5251" s="24" t="str" cm="1">
        <f t="array" ref="K5251">IFERROR(IF($B5251=K$1, ($A5251+$C5251) - MAX(IF($B$2:$B5250=$B5251, $A$2:$A5250+$C$2:$C5250)), "")*24*60, "")</f>
        <v/>
      </c>
      <c r="L5251" s="24" t="str" cm="1">
        <f t="array" ref="L5251">IFERROR(IF($B5251=L$1, ($A5251+$C5251) - MAX(IF($B$2:$B5250=$B5251, $A$2:$A5250+$C$2:$C5250)), "")*24*60, "")</f>
        <v/>
      </c>
      <c r="M5251" s="24" t="str" cm="1">
        <f t="array" ref="M5251">IFERROR(IF($B5251=M$1, ($A5251+$C5251) - MAX(IF($B$2:$B5250=$B5251, $A$2:$A5250+$C$2:$C5250)), "")*24*60, "")</f>
        <v/>
      </c>
      <c r="N5251" s="24" t="str" cm="1">
        <f t="array" ref="N5251">IFERROR(IF($B5251=N$1, ($A5251+$C5251) - MAX(IF($B$2:$B5250=$B5251, $A$2:$A5250+$C$2:$C5250)), "")*24*60, "")</f>
        <v/>
      </c>
      <c r="O5251" s="24" t="str" cm="1">
        <f t="array" ref="O5251">IFERROR(IF($B5251=O$1, ($A5251+$C5251) - MAX(IF($B$2:$B5250=$B5251, $A$2:$A5250+$C$2:$C5250)), "")*24*60, "")</f>
        <v/>
      </c>
      <c r="P5251" s="24" t="str" cm="1">
        <f t="array" ref="P5251">IFERROR(IF($B5251=P$1, ($A5251+$C5251) - MAX(IF($B$2:$B5250=$B5251, $A$2:$A5250+$C$2:$C5250)), "")*24*60, "")</f>
        <v/>
      </c>
      <c r="Q5251" s="24" t="str" cm="1">
        <f t="array" ref="Q5251">IFERROR(IF($B5251=Q$1, ($A5251+$C5251) - MAX(IF($B$2:$B5250=$B5251, $A$2:$A5250+$C$2:$C5250)), "")*24*60, "")</f>
        <v/>
      </c>
    </row>
    <row r="5252" spans="1:17" x14ac:dyDescent="0.2">
      <c r="A5252" s="12">
        <f t="shared" ref="A5252:C5252" si="1145">A5251</f>
        <v>45983</v>
      </c>
      <c r="B5252" s="5" t="str">
        <f t="shared" si="1145"/>
        <v>Northern Cardinal</v>
      </c>
      <c r="C5252" s="6">
        <f t="shared" si="1145"/>
        <v>0.28194444444444444</v>
      </c>
      <c r="D5252" s="5"/>
      <c r="E5252" s="5"/>
      <c r="F5252" s="5" t="s">
        <v>8</v>
      </c>
      <c r="G5252" s="15" t="s">
        <v>9</v>
      </c>
      <c r="H5252" s="24">
        <f t="shared" si="1129"/>
        <v>0</v>
      </c>
      <c r="I5252" s="24" cm="1">
        <f t="array" ref="I5252">IFERROR(IF($B5252=I$1, ($A5252+$C5252) - MAX(IF($B$2:$B5251=$B5252, $A$2:$A5251+$C$2:$C5251)), "")*24*60, "")</f>
        <v>0</v>
      </c>
      <c r="J5252" s="24" t="str" cm="1">
        <f t="array" ref="J5252">IFERROR(IF($B5252=J$1, ($A5252+$C5252) - MAX(IF($B$2:$B5251=$B5252, $A$2:$A5251+$C$2:$C5251)), "")*24*60, "")</f>
        <v/>
      </c>
      <c r="K5252" s="24" t="str" cm="1">
        <f t="array" ref="K5252">IFERROR(IF($B5252=K$1, ($A5252+$C5252) - MAX(IF($B$2:$B5251=$B5252, $A$2:$A5251+$C$2:$C5251)), "")*24*60, "")</f>
        <v/>
      </c>
      <c r="L5252" s="24" t="str" cm="1">
        <f t="array" ref="L5252">IFERROR(IF($B5252=L$1, ($A5252+$C5252) - MAX(IF($B$2:$B5251=$B5252, $A$2:$A5251+$C$2:$C5251)), "")*24*60, "")</f>
        <v/>
      </c>
      <c r="M5252" s="24" t="str" cm="1">
        <f t="array" ref="M5252">IFERROR(IF($B5252=M$1, ($A5252+$C5252) - MAX(IF($B$2:$B5251=$B5252, $A$2:$A5251+$C$2:$C5251)), "")*24*60, "")</f>
        <v/>
      </c>
      <c r="N5252" s="24" t="str" cm="1">
        <f t="array" ref="N5252">IFERROR(IF($B5252=N$1, ($A5252+$C5252) - MAX(IF($B$2:$B5251=$B5252, $A$2:$A5251+$C$2:$C5251)), "")*24*60, "")</f>
        <v/>
      </c>
      <c r="O5252" s="24" t="str" cm="1">
        <f t="array" ref="O5252">IFERROR(IF($B5252=O$1, ($A5252+$C5252) - MAX(IF($B$2:$B5251=$B5252, $A$2:$A5251+$C$2:$C5251)), "")*24*60, "")</f>
        <v/>
      </c>
      <c r="P5252" s="24" t="str" cm="1">
        <f t="array" ref="P5252">IFERROR(IF($B5252=P$1, ($A5252+$C5252) - MAX(IF($B$2:$B5251=$B5252, $A$2:$A5251+$C$2:$C5251)), "")*24*60, "")</f>
        <v/>
      </c>
      <c r="Q5252" s="24" t="str" cm="1">
        <f t="array" ref="Q5252">IFERROR(IF($B5252=Q$1, ($A5252+$C5252) - MAX(IF($B$2:$B5251=$B5252, $A$2:$A5251+$C$2:$C5251)), "")*24*60, "")</f>
        <v/>
      </c>
    </row>
    <row r="5253" spans="1:17" x14ac:dyDescent="0.2">
      <c r="A5253" s="12">
        <f t="shared" ref="A5253:C5253" si="1146">A5252</f>
        <v>45983</v>
      </c>
      <c r="B5253" s="5" t="str">
        <f t="shared" si="1146"/>
        <v>Northern Cardinal</v>
      </c>
      <c r="C5253" s="6">
        <f t="shared" si="1146"/>
        <v>0.28194444444444444</v>
      </c>
      <c r="D5253" s="5"/>
      <c r="E5253" s="5"/>
      <c r="F5253" s="5" t="s">
        <v>8</v>
      </c>
      <c r="G5253" s="15" t="s">
        <v>9</v>
      </c>
      <c r="H5253" s="24">
        <f t="shared" si="1129"/>
        <v>0</v>
      </c>
      <c r="I5253" s="24" cm="1">
        <f t="array" ref="I5253">IFERROR(IF($B5253=I$1, ($A5253+$C5253) - MAX(IF($B$2:$B5252=$B5253, $A$2:$A5252+$C$2:$C5252)), "")*24*60, "")</f>
        <v>0</v>
      </c>
      <c r="J5253" s="24" t="str" cm="1">
        <f t="array" ref="J5253">IFERROR(IF($B5253=J$1, ($A5253+$C5253) - MAX(IF($B$2:$B5252=$B5253, $A$2:$A5252+$C$2:$C5252)), "")*24*60, "")</f>
        <v/>
      </c>
      <c r="K5253" s="24" t="str" cm="1">
        <f t="array" ref="K5253">IFERROR(IF($B5253=K$1, ($A5253+$C5253) - MAX(IF($B$2:$B5252=$B5253, $A$2:$A5252+$C$2:$C5252)), "")*24*60, "")</f>
        <v/>
      </c>
      <c r="L5253" s="24" t="str" cm="1">
        <f t="array" ref="L5253">IFERROR(IF($B5253=L$1, ($A5253+$C5253) - MAX(IF($B$2:$B5252=$B5253, $A$2:$A5252+$C$2:$C5252)), "")*24*60, "")</f>
        <v/>
      </c>
      <c r="M5253" s="24" t="str" cm="1">
        <f t="array" ref="M5253">IFERROR(IF($B5253=M$1, ($A5253+$C5253) - MAX(IF($B$2:$B5252=$B5253, $A$2:$A5252+$C$2:$C5252)), "")*24*60, "")</f>
        <v/>
      </c>
      <c r="N5253" s="24" t="str" cm="1">
        <f t="array" ref="N5253">IFERROR(IF($B5253=N$1, ($A5253+$C5253) - MAX(IF($B$2:$B5252=$B5253, $A$2:$A5252+$C$2:$C5252)), "")*24*60, "")</f>
        <v/>
      </c>
      <c r="O5253" s="24" t="str" cm="1">
        <f t="array" ref="O5253">IFERROR(IF($B5253=O$1, ($A5253+$C5253) - MAX(IF($B$2:$B5252=$B5253, $A$2:$A5252+$C$2:$C5252)), "")*24*60, "")</f>
        <v/>
      </c>
      <c r="P5253" s="24" t="str" cm="1">
        <f t="array" ref="P5253">IFERROR(IF($B5253=P$1, ($A5253+$C5253) - MAX(IF($B$2:$B5252=$B5253, $A$2:$A5252+$C$2:$C5252)), "")*24*60, "")</f>
        <v/>
      </c>
      <c r="Q5253" s="24" t="str" cm="1">
        <f t="array" ref="Q5253">IFERROR(IF($B5253=Q$1, ($A5253+$C5253) - MAX(IF($B$2:$B5252=$B5253, $A$2:$A5252+$C$2:$C5252)), "")*24*60, "")</f>
        <v/>
      </c>
    </row>
    <row r="5254" spans="1:17" x14ac:dyDescent="0.2">
      <c r="A5254" s="12">
        <f t="shared" ref="A5254:C5254" si="1147">A5253</f>
        <v>45983</v>
      </c>
      <c r="B5254" s="5" t="str">
        <f t="shared" si="1147"/>
        <v>Northern Cardinal</v>
      </c>
      <c r="C5254" s="6">
        <f t="shared" si="1147"/>
        <v>0.28194444444444444</v>
      </c>
      <c r="D5254" s="5"/>
      <c r="E5254" s="5"/>
      <c r="F5254" s="5" t="s">
        <v>8</v>
      </c>
      <c r="G5254" s="15" t="s">
        <v>9</v>
      </c>
      <c r="H5254" s="24">
        <f t="shared" si="1129"/>
        <v>0</v>
      </c>
      <c r="I5254" s="24" cm="1">
        <f t="array" ref="I5254">IFERROR(IF($B5254=I$1, ($A5254+$C5254) - MAX(IF($B$2:$B5253=$B5254, $A$2:$A5253+$C$2:$C5253)), "")*24*60, "")</f>
        <v>0</v>
      </c>
      <c r="J5254" s="24" t="str" cm="1">
        <f t="array" ref="J5254">IFERROR(IF($B5254=J$1, ($A5254+$C5254) - MAX(IF($B$2:$B5253=$B5254, $A$2:$A5253+$C$2:$C5253)), "")*24*60, "")</f>
        <v/>
      </c>
      <c r="K5254" s="24" t="str" cm="1">
        <f t="array" ref="K5254">IFERROR(IF($B5254=K$1, ($A5254+$C5254) - MAX(IF($B$2:$B5253=$B5254, $A$2:$A5253+$C$2:$C5253)), "")*24*60, "")</f>
        <v/>
      </c>
      <c r="L5254" s="24" t="str" cm="1">
        <f t="array" ref="L5254">IFERROR(IF($B5254=L$1, ($A5254+$C5254) - MAX(IF($B$2:$B5253=$B5254, $A$2:$A5253+$C$2:$C5253)), "")*24*60, "")</f>
        <v/>
      </c>
      <c r="M5254" s="24" t="str" cm="1">
        <f t="array" ref="M5254">IFERROR(IF($B5254=M$1, ($A5254+$C5254) - MAX(IF($B$2:$B5253=$B5254, $A$2:$A5253+$C$2:$C5253)), "")*24*60, "")</f>
        <v/>
      </c>
      <c r="N5254" s="24" t="str" cm="1">
        <f t="array" ref="N5254">IFERROR(IF($B5254=N$1, ($A5254+$C5254) - MAX(IF($B$2:$B5253=$B5254, $A$2:$A5253+$C$2:$C5253)), "")*24*60, "")</f>
        <v/>
      </c>
      <c r="O5254" s="24" t="str" cm="1">
        <f t="array" ref="O5254">IFERROR(IF($B5254=O$1, ($A5254+$C5254) - MAX(IF($B$2:$B5253=$B5254, $A$2:$A5253+$C$2:$C5253)), "")*24*60, "")</f>
        <v/>
      </c>
      <c r="P5254" s="24" t="str" cm="1">
        <f t="array" ref="P5254">IFERROR(IF($B5254=P$1, ($A5254+$C5254) - MAX(IF($B$2:$B5253=$B5254, $A$2:$A5253+$C$2:$C5253)), "")*24*60, "")</f>
        <v/>
      </c>
      <c r="Q5254" s="24" t="str" cm="1">
        <f t="array" ref="Q5254">IFERROR(IF($B5254=Q$1, ($A5254+$C5254) - MAX(IF($B$2:$B5253=$B5254, $A$2:$A5253+$C$2:$C5253)), "")*24*60, "")</f>
        <v/>
      </c>
    </row>
    <row r="5255" spans="1:17" x14ac:dyDescent="0.2">
      <c r="A5255" s="12">
        <f t="shared" ref="A5255:C5255" si="1148">A5254</f>
        <v>45983</v>
      </c>
      <c r="B5255" s="5" t="str">
        <f t="shared" si="1148"/>
        <v>Northern Cardinal</v>
      </c>
      <c r="C5255" s="6">
        <f t="shared" si="1148"/>
        <v>0.28194444444444444</v>
      </c>
      <c r="D5255" s="5"/>
      <c r="E5255" s="5"/>
      <c r="F5255" s="5" t="s">
        <v>8</v>
      </c>
      <c r="G5255" s="15" t="s">
        <v>9</v>
      </c>
      <c r="H5255" s="24">
        <f t="shared" si="1129"/>
        <v>0</v>
      </c>
      <c r="I5255" s="24" cm="1">
        <f t="array" ref="I5255">IFERROR(IF($B5255=I$1, ($A5255+$C5255) - MAX(IF($B$2:$B5254=$B5255, $A$2:$A5254+$C$2:$C5254)), "")*24*60, "")</f>
        <v>0</v>
      </c>
      <c r="J5255" s="24" t="str" cm="1">
        <f t="array" ref="J5255">IFERROR(IF($B5255=J$1, ($A5255+$C5255) - MAX(IF($B$2:$B5254=$B5255, $A$2:$A5254+$C$2:$C5254)), "")*24*60, "")</f>
        <v/>
      </c>
      <c r="K5255" s="24" t="str" cm="1">
        <f t="array" ref="K5255">IFERROR(IF($B5255=K$1, ($A5255+$C5255) - MAX(IF($B$2:$B5254=$B5255, $A$2:$A5254+$C$2:$C5254)), "")*24*60, "")</f>
        <v/>
      </c>
      <c r="L5255" s="24" t="str" cm="1">
        <f t="array" ref="L5255">IFERROR(IF($B5255=L$1, ($A5255+$C5255) - MAX(IF($B$2:$B5254=$B5255, $A$2:$A5254+$C$2:$C5254)), "")*24*60, "")</f>
        <v/>
      </c>
      <c r="M5255" s="24" t="str" cm="1">
        <f t="array" ref="M5255">IFERROR(IF($B5255=M$1, ($A5255+$C5255) - MAX(IF($B$2:$B5254=$B5255, $A$2:$A5254+$C$2:$C5254)), "")*24*60, "")</f>
        <v/>
      </c>
      <c r="N5255" s="24" t="str" cm="1">
        <f t="array" ref="N5255">IFERROR(IF($B5255=N$1, ($A5255+$C5255) - MAX(IF($B$2:$B5254=$B5255, $A$2:$A5254+$C$2:$C5254)), "")*24*60, "")</f>
        <v/>
      </c>
      <c r="O5255" s="24" t="str" cm="1">
        <f t="array" ref="O5255">IFERROR(IF($B5255=O$1, ($A5255+$C5255) - MAX(IF($B$2:$B5254=$B5255, $A$2:$A5254+$C$2:$C5254)), "")*24*60, "")</f>
        <v/>
      </c>
      <c r="P5255" s="24" t="str" cm="1">
        <f t="array" ref="P5255">IFERROR(IF($B5255=P$1, ($A5255+$C5255) - MAX(IF($B$2:$B5254=$B5255, $A$2:$A5254+$C$2:$C5254)), "")*24*60, "")</f>
        <v/>
      </c>
      <c r="Q5255" s="24" t="str" cm="1">
        <f t="array" ref="Q5255">IFERROR(IF($B5255=Q$1, ($A5255+$C5255) - MAX(IF($B$2:$B5254=$B5255, $A$2:$A5254+$C$2:$C5254)), "")*24*60, "")</f>
        <v/>
      </c>
    </row>
    <row r="5256" spans="1:17" x14ac:dyDescent="0.2">
      <c r="A5256" s="12">
        <f t="shared" ref="A5256:C5256" si="1149">A5255</f>
        <v>45983</v>
      </c>
      <c r="B5256" s="5" t="str">
        <f t="shared" si="1149"/>
        <v>Northern Cardinal</v>
      </c>
      <c r="C5256" s="6">
        <f t="shared" si="1149"/>
        <v>0.28194444444444444</v>
      </c>
      <c r="D5256" s="5"/>
      <c r="E5256" s="5"/>
      <c r="F5256" s="5" t="s">
        <v>8</v>
      </c>
      <c r="G5256" s="15" t="s">
        <v>9</v>
      </c>
      <c r="H5256" s="24">
        <f t="shared" si="1129"/>
        <v>0</v>
      </c>
      <c r="I5256" s="24" cm="1">
        <f t="array" ref="I5256">IFERROR(IF($B5256=I$1, ($A5256+$C5256) - MAX(IF($B$2:$B5255=$B5256, $A$2:$A5255+$C$2:$C5255)), "")*24*60, "")</f>
        <v>0</v>
      </c>
      <c r="J5256" s="24" t="str" cm="1">
        <f t="array" ref="J5256">IFERROR(IF($B5256=J$1, ($A5256+$C5256) - MAX(IF($B$2:$B5255=$B5256, $A$2:$A5255+$C$2:$C5255)), "")*24*60, "")</f>
        <v/>
      </c>
      <c r="K5256" s="24" t="str" cm="1">
        <f t="array" ref="K5256">IFERROR(IF($B5256=K$1, ($A5256+$C5256) - MAX(IF($B$2:$B5255=$B5256, $A$2:$A5255+$C$2:$C5255)), "")*24*60, "")</f>
        <v/>
      </c>
      <c r="L5256" s="24" t="str" cm="1">
        <f t="array" ref="L5256">IFERROR(IF($B5256=L$1, ($A5256+$C5256) - MAX(IF($B$2:$B5255=$B5256, $A$2:$A5255+$C$2:$C5255)), "")*24*60, "")</f>
        <v/>
      </c>
      <c r="M5256" s="24" t="str" cm="1">
        <f t="array" ref="M5256">IFERROR(IF($B5256=M$1, ($A5256+$C5256) - MAX(IF($B$2:$B5255=$B5256, $A$2:$A5255+$C$2:$C5255)), "")*24*60, "")</f>
        <v/>
      </c>
      <c r="N5256" s="24" t="str" cm="1">
        <f t="array" ref="N5256">IFERROR(IF($B5256=N$1, ($A5256+$C5256) - MAX(IF($B$2:$B5255=$B5256, $A$2:$A5255+$C$2:$C5255)), "")*24*60, "")</f>
        <v/>
      </c>
      <c r="O5256" s="24" t="str" cm="1">
        <f t="array" ref="O5256">IFERROR(IF($B5256=O$1, ($A5256+$C5256) - MAX(IF($B$2:$B5255=$B5256, $A$2:$A5255+$C$2:$C5255)), "")*24*60, "")</f>
        <v/>
      </c>
      <c r="P5256" s="24" t="str" cm="1">
        <f t="array" ref="P5256">IFERROR(IF($B5256=P$1, ($A5256+$C5256) - MAX(IF($B$2:$B5255=$B5256, $A$2:$A5255+$C$2:$C5255)), "")*24*60, "")</f>
        <v/>
      </c>
      <c r="Q5256" s="24" t="str" cm="1">
        <f t="array" ref="Q5256">IFERROR(IF($B5256=Q$1, ($A5256+$C5256) - MAX(IF($B$2:$B5255=$B5256, $A$2:$A5255+$C$2:$C5255)), "")*24*60, "")</f>
        <v/>
      </c>
    </row>
    <row r="5257" spans="1:17" x14ac:dyDescent="0.2">
      <c r="A5257" s="12">
        <f t="shared" ref="A5257:C5257" si="1150">A5256</f>
        <v>45983</v>
      </c>
      <c r="B5257" s="5" t="str">
        <f t="shared" si="1150"/>
        <v>Northern Cardinal</v>
      </c>
      <c r="C5257" s="6">
        <f t="shared" si="1150"/>
        <v>0.28194444444444444</v>
      </c>
      <c r="D5257" s="5"/>
      <c r="E5257" s="5"/>
      <c r="F5257" s="5" t="s">
        <v>8</v>
      </c>
      <c r="G5257" s="15" t="s">
        <v>9</v>
      </c>
      <c r="H5257" s="24">
        <f t="shared" si="1129"/>
        <v>0</v>
      </c>
      <c r="I5257" s="24" cm="1">
        <f t="array" ref="I5257">IFERROR(IF($B5257=I$1, ($A5257+$C5257) - MAX(IF($B$2:$B5256=$B5257, $A$2:$A5256+$C$2:$C5256)), "")*24*60, "")</f>
        <v>0</v>
      </c>
      <c r="J5257" s="24" t="str" cm="1">
        <f t="array" ref="J5257">IFERROR(IF($B5257=J$1, ($A5257+$C5257) - MAX(IF($B$2:$B5256=$B5257, $A$2:$A5256+$C$2:$C5256)), "")*24*60, "")</f>
        <v/>
      </c>
      <c r="K5257" s="24" t="str" cm="1">
        <f t="array" ref="K5257">IFERROR(IF($B5257=K$1, ($A5257+$C5257) - MAX(IF($B$2:$B5256=$B5257, $A$2:$A5256+$C$2:$C5256)), "")*24*60, "")</f>
        <v/>
      </c>
      <c r="L5257" s="24" t="str" cm="1">
        <f t="array" ref="L5257">IFERROR(IF($B5257=L$1, ($A5257+$C5257) - MAX(IF($B$2:$B5256=$B5257, $A$2:$A5256+$C$2:$C5256)), "")*24*60, "")</f>
        <v/>
      </c>
      <c r="M5257" s="24" t="str" cm="1">
        <f t="array" ref="M5257">IFERROR(IF($B5257=M$1, ($A5257+$C5257) - MAX(IF($B$2:$B5256=$B5257, $A$2:$A5256+$C$2:$C5256)), "")*24*60, "")</f>
        <v/>
      </c>
      <c r="N5257" s="24" t="str" cm="1">
        <f t="array" ref="N5257">IFERROR(IF($B5257=N$1, ($A5257+$C5257) - MAX(IF($B$2:$B5256=$B5257, $A$2:$A5256+$C$2:$C5256)), "")*24*60, "")</f>
        <v/>
      </c>
      <c r="O5257" s="24" t="str" cm="1">
        <f t="array" ref="O5257">IFERROR(IF($B5257=O$1, ($A5257+$C5257) - MAX(IF($B$2:$B5256=$B5257, $A$2:$A5256+$C$2:$C5256)), "")*24*60, "")</f>
        <v/>
      </c>
      <c r="P5257" s="24" t="str" cm="1">
        <f t="array" ref="P5257">IFERROR(IF($B5257=P$1, ($A5257+$C5257) - MAX(IF($B$2:$B5256=$B5257, $A$2:$A5256+$C$2:$C5256)), "")*24*60, "")</f>
        <v/>
      </c>
      <c r="Q5257" s="24" t="str" cm="1">
        <f t="array" ref="Q5257">IFERROR(IF($B5257=Q$1, ($A5257+$C5257) - MAX(IF($B$2:$B5256=$B5257, $A$2:$A5256+$C$2:$C5256)), "")*24*60, "")</f>
        <v/>
      </c>
    </row>
    <row r="5258" spans="1:17" x14ac:dyDescent="0.2">
      <c r="A5258" s="12">
        <f t="shared" ref="A5258:C5258" si="1151">A5257</f>
        <v>45983</v>
      </c>
      <c r="B5258" s="5" t="str">
        <f t="shared" si="1151"/>
        <v>Northern Cardinal</v>
      </c>
      <c r="C5258" s="6">
        <f t="shared" si="1151"/>
        <v>0.28194444444444444</v>
      </c>
      <c r="D5258" s="5"/>
      <c r="E5258" s="5"/>
      <c r="F5258" s="5" t="s">
        <v>8</v>
      </c>
      <c r="G5258" s="15" t="s">
        <v>9</v>
      </c>
      <c r="H5258" s="24">
        <f t="shared" si="1129"/>
        <v>0</v>
      </c>
      <c r="I5258" s="24" cm="1">
        <f t="array" ref="I5258">IFERROR(IF($B5258=I$1, ($A5258+$C5258) - MAX(IF($B$2:$B5257=$B5258, $A$2:$A5257+$C$2:$C5257)), "")*24*60, "")</f>
        <v>0</v>
      </c>
      <c r="J5258" s="24" t="str" cm="1">
        <f t="array" ref="J5258">IFERROR(IF($B5258=J$1, ($A5258+$C5258) - MAX(IF($B$2:$B5257=$B5258, $A$2:$A5257+$C$2:$C5257)), "")*24*60, "")</f>
        <v/>
      </c>
      <c r="K5258" s="24" t="str" cm="1">
        <f t="array" ref="K5258">IFERROR(IF($B5258=K$1, ($A5258+$C5258) - MAX(IF($B$2:$B5257=$B5258, $A$2:$A5257+$C$2:$C5257)), "")*24*60, "")</f>
        <v/>
      </c>
      <c r="L5258" s="24" t="str" cm="1">
        <f t="array" ref="L5258">IFERROR(IF($B5258=L$1, ($A5258+$C5258) - MAX(IF($B$2:$B5257=$B5258, $A$2:$A5257+$C$2:$C5257)), "")*24*60, "")</f>
        <v/>
      </c>
      <c r="M5258" s="24" t="str" cm="1">
        <f t="array" ref="M5258">IFERROR(IF($B5258=M$1, ($A5258+$C5258) - MAX(IF($B$2:$B5257=$B5258, $A$2:$A5257+$C$2:$C5257)), "")*24*60, "")</f>
        <v/>
      </c>
      <c r="N5258" s="24" t="str" cm="1">
        <f t="array" ref="N5258">IFERROR(IF($B5258=N$1, ($A5258+$C5258) - MAX(IF($B$2:$B5257=$B5258, $A$2:$A5257+$C$2:$C5257)), "")*24*60, "")</f>
        <v/>
      </c>
      <c r="O5258" s="24" t="str" cm="1">
        <f t="array" ref="O5258">IFERROR(IF($B5258=O$1, ($A5258+$C5258) - MAX(IF($B$2:$B5257=$B5258, $A$2:$A5257+$C$2:$C5257)), "")*24*60, "")</f>
        <v/>
      </c>
      <c r="P5258" s="24" t="str" cm="1">
        <f t="array" ref="P5258">IFERROR(IF($B5258=P$1, ($A5258+$C5258) - MAX(IF($B$2:$B5257=$B5258, $A$2:$A5257+$C$2:$C5257)), "")*24*60, "")</f>
        <v/>
      </c>
      <c r="Q5258" s="24" t="str" cm="1">
        <f t="array" ref="Q5258">IFERROR(IF($B5258=Q$1, ($A5258+$C5258) - MAX(IF($B$2:$B5257=$B5258, $A$2:$A5257+$C$2:$C5257)), "")*24*60, "")</f>
        <v/>
      </c>
    </row>
    <row r="5259" spans="1:17" x14ac:dyDescent="0.2">
      <c r="A5259" s="12">
        <f t="shared" ref="A5259:C5259" si="1152">A5258</f>
        <v>45983</v>
      </c>
      <c r="B5259" s="5" t="str">
        <f t="shared" si="1152"/>
        <v>Northern Cardinal</v>
      </c>
      <c r="C5259" s="6">
        <f t="shared" si="1152"/>
        <v>0.28194444444444444</v>
      </c>
      <c r="D5259" s="5"/>
      <c r="E5259" s="5"/>
      <c r="F5259" s="5" t="s">
        <v>8</v>
      </c>
      <c r="G5259" s="15" t="s">
        <v>9</v>
      </c>
      <c r="H5259" s="24">
        <f t="shared" si="1129"/>
        <v>0</v>
      </c>
      <c r="I5259" s="24" cm="1">
        <f t="array" ref="I5259">IFERROR(IF($B5259=I$1, ($A5259+$C5259) - MAX(IF($B$2:$B5258=$B5259, $A$2:$A5258+$C$2:$C5258)), "")*24*60, "")</f>
        <v>0</v>
      </c>
      <c r="J5259" s="24" t="str" cm="1">
        <f t="array" ref="J5259">IFERROR(IF($B5259=J$1, ($A5259+$C5259) - MAX(IF($B$2:$B5258=$B5259, $A$2:$A5258+$C$2:$C5258)), "")*24*60, "")</f>
        <v/>
      </c>
      <c r="K5259" s="24" t="str" cm="1">
        <f t="array" ref="K5259">IFERROR(IF($B5259=K$1, ($A5259+$C5259) - MAX(IF($B$2:$B5258=$B5259, $A$2:$A5258+$C$2:$C5258)), "")*24*60, "")</f>
        <v/>
      </c>
      <c r="L5259" s="24" t="str" cm="1">
        <f t="array" ref="L5259">IFERROR(IF($B5259=L$1, ($A5259+$C5259) - MAX(IF($B$2:$B5258=$B5259, $A$2:$A5258+$C$2:$C5258)), "")*24*60, "")</f>
        <v/>
      </c>
      <c r="M5259" s="24" t="str" cm="1">
        <f t="array" ref="M5259">IFERROR(IF($B5259=M$1, ($A5259+$C5259) - MAX(IF($B$2:$B5258=$B5259, $A$2:$A5258+$C$2:$C5258)), "")*24*60, "")</f>
        <v/>
      </c>
      <c r="N5259" s="24" t="str" cm="1">
        <f t="array" ref="N5259">IFERROR(IF($B5259=N$1, ($A5259+$C5259) - MAX(IF($B$2:$B5258=$B5259, $A$2:$A5258+$C$2:$C5258)), "")*24*60, "")</f>
        <v/>
      </c>
      <c r="O5259" s="24" t="str" cm="1">
        <f t="array" ref="O5259">IFERROR(IF($B5259=O$1, ($A5259+$C5259) - MAX(IF($B$2:$B5258=$B5259, $A$2:$A5258+$C$2:$C5258)), "")*24*60, "")</f>
        <v/>
      </c>
      <c r="P5259" s="24" t="str" cm="1">
        <f t="array" ref="P5259">IFERROR(IF($B5259=P$1, ($A5259+$C5259) - MAX(IF($B$2:$B5258=$B5259, $A$2:$A5258+$C$2:$C5258)), "")*24*60, "")</f>
        <v/>
      </c>
      <c r="Q5259" s="24" t="str" cm="1">
        <f t="array" ref="Q5259">IFERROR(IF($B5259=Q$1, ($A5259+$C5259) - MAX(IF($B$2:$B5258=$B5259, $A$2:$A5258+$C$2:$C5258)), "")*24*60, "")</f>
        <v/>
      </c>
    </row>
    <row r="5260" spans="1:17" x14ac:dyDescent="0.2">
      <c r="A5260" s="12">
        <f t="shared" ref="A5260:C5260" si="1153">A5259</f>
        <v>45983</v>
      </c>
      <c r="B5260" s="5" t="str">
        <f t="shared" si="1153"/>
        <v>Northern Cardinal</v>
      </c>
      <c r="C5260" s="6">
        <f t="shared" si="1153"/>
        <v>0.28194444444444444</v>
      </c>
      <c r="D5260" s="5"/>
      <c r="E5260" s="5"/>
      <c r="F5260" s="5" t="s">
        <v>8</v>
      </c>
      <c r="G5260" s="15" t="s">
        <v>9</v>
      </c>
      <c r="H5260" s="24">
        <f t="shared" si="1129"/>
        <v>0</v>
      </c>
      <c r="I5260" s="24" cm="1">
        <f t="array" ref="I5260">IFERROR(IF($B5260=I$1, ($A5260+$C5260) - MAX(IF($B$2:$B5259=$B5260, $A$2:$A5259+$C$2:$C5259)), "")*24*60, "")</f>
        <v>0</v>
      </c>
      <c r="J5260" s="24" t="str" cm="1">
        <f t="array" ref="J5260">IFERROR(IF($B5260=J$1, ($A5260+$C5260) - MAX(IF($B$2:$B5259=$B5260, $A$2:$A5259+$C$2:$C5259)), "")*24*60, "")</f>
        <v/>
      </c>
      <c r="K5260" s="24" t="str" cm="1">
        <f t="array" ref="K5260">IFERROR(IF($B5260=K$1, ($A5260+$C5260) - MAX(IF($B$2:$B5259=$B5260, $A$2:$A5259+$C$2:$C5259)), "")*24*60, "")</f>
        <v/>
      </c>
      <c r="L5260" s="24" t="str" cm="1">
        <f t="array" ref="L5260">IFERROR(IF($B5260=L$1, ($A5260+$C5260) - MAX(IF($B$2:$B5259=$B5260, $A$2:$A5259+$C$2:$C5259)), "")*24*60, "")</f>
        <v/>
      </c>
      <c r="M5260" s="24" t="str" cm="1">
        <f t="array" ref="M5260">IFERROR(IF($B5260=M$1, ($A5260+$C5260) - MAX(IF($B$2:$B5259=$B5260, $A$2:$A5259+$C$2:$C5259)), "")*24*60, "")</f>
        <v/>
      </c>
      <c r="N5260" s="24" t="str" cm="1">
        <f t="array" ref="N5260">IFERROR(IF($B5260=N$1, ($A5260+$C5260) - MAX(IF($B$2:$B5259=$B5260, $A$2:$A5259+$C$2:$C5259)), "")*24*60, "")</f>
        <v/>
      </c>
      <c r="O5260" s="24" t="str" cm="1">
        <f t="array" ref="O5260">IFERROR(IF($B5260=O$1, ($A5260+$C5260) - MAX(IF($B$2:$B5259=$B5260, $A$2:$A5259+$C$2:$C5259)), "")*24*60, "")</f>
        <v/>
      </c>
      <c r="P5260" s="24" t="str" cm="1">
        <f t="array" ref="P5260">IFERROR(IF($B5260=P$1, ($A5260+$C5260) - MAX(IF($B$2:$B5259=$B5260, $A$2:$A5259+$C$2:$C5259)), "")*24*60, "")</f>
        <v/>
      </c>
      <c r="Q5260" s="24" t="str" cm="1">
        <f t="array" ref="Q5260">IFERROR(IF($B5260=Q$1, ($A5260+$C5260) - MAX(IF($B$2:$B5259=$B5260, $A$2:$A5259+$C$2:$C5259)), "")*24*60, "")</f>
        <v/>
      </c>
    </row>
    <row r="5261" spans="1:17" x14ac:dyDescent="0.2">
      <c r="A5261" s="12">
        <f t="shared" ref="A5261:C5261" si="1154">A5260</f>
        <v>45983</v>
      </c>
      <c r="B5261" s="5" t="str">
        <f t="shared" si="1154"/>
        <v>Northern Cardinal</v>
      </c>
      <c r="C5261" s="6">
        <f t="shared" si="1154"/>
        <v>0.28194444444444444</v>
      </c>
      <c r="D5261" s="5"/>
      <c r="E5261" s="5"/>
      <c r="F5261" s="5" t="s">
        <v>8</v>
      </c>
      <c r="G5261" s="15" t="s">
        <v>9</v>
      </c>
      <c r="H5261" s="24">
        <f t="shared" si="1129"/>
        <v>0</v>
      </c>
      <c r="I5261" s="24" cm="1">
        <f t="array" ref="I5261">IFERROR(IF($B5261=I$1, ($A5261+$C5261) - MAX(IF($B$2:$B5260=$B5261, $A$2:$A5260+$C$2:$C5260)), "")*24*60, "")</f>
        <v>0</v>
      </c>
      <c r="J5261" s="24" t="str" cm="1">
        <f t="array" ref="J5261">IFERROR(IF($B5261=J$1, ($A5261+$C5261) - MAX(IF($B$2:$B5260=$B5261, $A$2:$A5260+$C$2:$C5260)), "")*24*60, "")</f>
        <v/>
      </c>
      <c r="K5261" s="24" t="str" cm="1">
        <f t="array" ref="K5261">IFERROR(IF($B5261=K$1, ($A5261+$C5261) - MAX(IF($B$2:$B5260=$B5261, $A$2:$A5260+$C$2:$C5260)), "")*24*60, "")</f>
        <v/>
      </c>
      <c r="L5261" s="24" t="str" cm="1">
        <f t="array" ref="L5261">IFERROR(IF($B5261=L$1, ($A5261+$C5261) - MAX(IF($B$2:$B5260=$B5261, $A$2:$A5260+$C$2:$C5260)), "")*24*60, "")</f>
        <v/>
      </c>
      <c r="M5261" s="24" t="str" cm="1">
        <f t="array" ref="M5261">IFERROR(IF($B5261=M$1, ($A5261+$C5261) - MAX(IF($B$2:$B5260=$B5261, $A$2:$A5260+$C$2:$C5260)), "")*24*60, "")</f>
        <v/>
      </c>
      <c r="N5261" s="24" t="str" cm="1">
        <f t="array" ref="N5261">IFERROR(IF($B5261=N$1, ($A5261+$C5261) - MAX(IF($B$2:$B5260=$B5261, $A$2:$A5260+$C$2:$C5260)), "")*24*60, "")</f>
        <v/>
      </c>
      <c r="O5261" s="24" t="str" cm="1">
        <f t="array" ref="O5261">IFERROR(IF($B5261=O$1, ($A5261+$C5261) - MAX(IF($B$2:$B5260=$B5261, $A$2:$A5260+$C$2:$C5260)), "")*24*60, "")</f>
        <v/>
      </c>
      <c r="P5261" s="24" t="str" cm="1">
        <f t="array" ref="P5261">IFERROR(IF($B5261=P$1, ($A5261+$C5261) - MAX(IF($B$2:$B5260=$B5261, $A$2:$A5260+$C$2:$C5260)), "")*24*60, "")</f>
        <v/>
      </c>
      <c r="Q5261" s="24" t="str" cm="1">
        <f t="array" ref="Q5261">IFERROR(IF($B5261=Q$1, ($A5261+$C5261) - MAX(IF($B$2:$B5260=$B5261, $A$2:$A5260+$C$2:$C5260)), "")*24*60, "")</f>
        <v/>
      </c>
    </row>
    <row r="5262" spans="1:17" x14ac:dyDescent="0.2">
      <c r="A5262" s="12">
        <f t="shared" ref="A5262:C5262" si="1155">A5261</f>
        <v>45983</v>
      </c>
      <c r="B5262" s="5" t="str">
        <f t="shared" si="1155"/>
        <v>Northern Cardinal</v>
      </c>
      <c r="C5262" s="6">
        <f t="shared" si="1155"/>
        <v>0.28194444444444444</v>
      </c>
      <c r="D5262" s="5"/>
      <c r="E5262" s="5"/>
      <c r="F5262" s="5" t="s">
        <v>8</v>
      </c>
      <c r="G5262" s="15" t="s">
        <v>9</v>
      </c>
      <c r="H5262" s="24">
        <f t="shared" si="1129"/>
        <v>0</v>
      </c>
      <c r="I5262" s="24" cm="1">
        <f t="array" ref="I5262">IFERROR(IF($B5262=I$1, ($A5262+$C5262) - MAX(IF($B$2:$B5261=$B5262, $A$2:$A5261+$C$2:$C5261)), "")*24*60, "")</f>
        <v>0</v>
      </c>
      <c r="J5262" s="24" t="str" cm="1">
        <f t="array" ref="J5262">IFERROR(IF($B5262=J$1, ($A5262+$C5262) - MAX(IF($B$2:$B5261=$B5262, $A$2:$A5261+$C$2:$C5261)), "")*24*60, "")</f>
        <v/>
      </c>
      <c r="K5262" s="24" t="str" cm="1">
        <f t="array" ref="K5262">IFERROR(IF($B5262=K$1, ($A5262+$C5262) - MAX(IF($B$2:$B5261=$B5262, $A$2:$A5261+$C$2:$C5261)), "")*24*60, "")</f>
        <v/>
      </c>
      <c r="L5262" s="24" t="str" cm="1">
        <f t="array" ref="L5262">IFERROR(IF($B5262=L$1, ($A5262+$C5262) - MAX(IF($B$2:$B5261=$B5262, $A$2:$A5261+$C$2:$C5261)), "")*24*60, "")</f>
        <v/>
      </c>
      <c r="M5262" s="24" t="str" cm="1">
        <f t="array" ref="M5262">IFERROR(IF($B5262=M$1, ($A5262+$C5262) - MAX(IF($B$2:$B5261=$B5262, $A$2:$A5261+$C$2:$C5261)), "")*24*60, "")</f>
        <v/>
      </c>
      <c r="N5262" s="24" t="str" cm="1">
        <f t="array" ref="N5262">IFERROR(IF($B5262=N$1, ($A5262+$C5262) - MAX(IF($B$2:$B5261=$B5262, $A$2:$A5261+$C$2:$C5261)), "")*24*60, "")</f>
        <v/>
      </c>
      <c r="O5262" s="24" t="str" cm="1">
        <f t="array" ref="O5262">IFERROR(IF($B5262=O$1, ($A5262+$C5262) - MAX(IF($B$2:$B5261=$B5262, $A$2:$A5261+$C$2:$C5261)), "")*24*60, "")</f>
        <v/>
      </c>
      <c r="P5262" s="24" t="str" cm="1">
        <f t="array" ref="P5262">IFERROR(IF($B5262=P$1, ($A5262+$C5262) - MAX(IF($B$2:$B5261=$B5262, $A$2:$A5261+$C$2:$C5261)), "")*24*60, "")</f>
        <v/>
      </c>
      <c r="Q5262" s="24" t="str" cm="1">
        <f t="array" ref="Q5262">IFERROR(IF($B5262=Q$1, ($A5262+$C5262) - MAX(IF($B$2:$B5261=$B5262, $A$2:$A5261+$C$2:$C5261)), "")*24*60, "")</f>
        <v/>
      </c>
    </row>
    <row r="5263" spans="1:17" x14ac:dyDescent="0.2">
      <c r="A5263" s="12">
        <f t="shared" ref="A5263:C5263" si="1156">A5262</f>
        <v>45983</v>
      </c>
      <c r="B5263" s="5" t="str">
        <f t="shared" si="1156"/>
        <v>Northern Cardinal</v>
      </c>
      <c r="C5263" s="6">
        <f t="shared" si="1156"/>
        <v>0.28194444444444444</v>
      </c>
      <c r="D5263" s="5"/>
      <c r="E5263" s="5"/>
      <c r="F5263" s="5" t="s">
        <v>8</v>
      </c>
      <c r="G5263" s="15" t="s">
        <v>9</v>
      </c>
      <c r="H5263" s="24">
        <f t="shared" si="1129"/>
        <v>0</v>
      </c>
      <c r="I5263" s="24" cm="1">
        <f t="array" ref="I5263">IFERROR(IF($B5263=I$1, ($A5263+$C5263) - MAX(IF($B$2:$B5262=$B5263, $A$2:$A5262+$C$2:$C5262)), "")*24*60, "")</f>
        <v>0</v>
      </c>
      <c r="J5263" s="24" t="str" cm="1">
        <f t="array" ref="J5263">IFERROR(IF($B5263=J$1, ($A5263+$C5263) - MAX(IF($B$2:$B5262=$B5263, $A$2:$A5262+$C$2:$C5262)), "")*24*60, "")</f>
        <v/>
      </c>
      <c r="K5263" s="24" t="str" cm="1">
        <f t="array" ref="K5263">IFERROR(IF($B5263=K$1, ($A5263+$C5263) - MAX(IF($B$2:$B5262=$B5263, $A$2:$A5262+$C$2:$C5262)), "")*24*60, "")</f>
        <v/>
      </c>
      <c r="L5263" s="24" t="str" cm="1">
        <f t="array" ref="L5263">IFERROR(IF($B5263=L$1, ($A5263+$C5263) - MAX(IF($B$2:$B5262=$B5263, $A$2:$A5262+$C$2:$C5262)), "")*24*60, "")</f>
        <v/>
      </c>
      <c r="M5263" s="24" t="str" cm="1">
        <f t="array" ref="M5263">IFERROR(IF($B5263=M$1, ($A5263+$C5263) - MAX(IF($B$2:$B5262=$B5263, $A$2:$A5262+$C$2:$C5262)), "")*24*60, "")</f>
        <v/>
      </c>
      <c r="N5263" s="24" t="str" cm="1">
        <f t="array" ref="N5263">IFERROR(IF($B5263=N$1, ($A5263+$C5263) - MAX(IF($B$2:$B5262=$B5263, $A$2:$A5262+$C$2:$C5262)), "")*24*60, "")</f>
        <v/>
      </c>
      <c r="O5263" s="24" t="str" cm="1">
        <f t="array" ref="O5263">IFERROR(IF($B5263=O$1, ($A5263+$C5263) - MAX(IF($B$2:$B5262=$B5263, $A$2:$A5262+$C$2:$C5262)), "")*24*60, "")</f>
        <v/>
      </c>
      <c r="P5263" s="24" t="str" cm="1">
        <f t="array" ref="P5263">IFERROR(IF($B5263=P$1, ($A5263+$C5263) - MAX(IF($B$2:$B5262=$B5263, $A$2:$A5262+$C$2:$C5262)), "")*24*60, "")</f>
        <v/>
      </c>
      <c r="Q5263" s="24" t="str" cm="1">
        <f t="array" ref="Q5263">IFERROR(IF($B5263=Q$1, ($A5263+$C5263) - MAX(IF($B$2:$B5262=$B5263, $A$2:$A5262+$C$2:$C5262)), "")*24*60, "")</f>
        <v/>
      </c>
    </row>
    <row r="5264" spans="1:17" x14ac:dyDescent="0.2">
      <c r="A5264" s="12">
        <f t="shared" ref="A5264:C5264" si="1157">A5263</f>
        <v>45983</v>
      </c>
      <c r="B5264" s="5" t="str">
        <f t="shared" si="1157"/>
        <v>Northern Cardinal</v>
      </c>
      <c r="C5264" s="6">
        <f t="shared" si="1157"/>
        <v>0.28194444444444444</v>
      </c>
      <c r="D5264" s="5"/>
      <c r="E5264" s="5"/>
      <c r="F5264" s="5" t="s">
        <v>8</v>
      </c>
      <c r="G5264" s="15" t="s">
        <v>9</v>
      </c>
      <c r="H5264" s="24">
        <f t="shared" si="1129"/>
        <v>0</v>
      </c>
      <c r="I5264" s="24" cm="1">
        <f t="array" ref="I5264">IFERROR(IF($B5264=I$1, ($A5264+$C5264) - MAX(IF($B$2:$B5263=$B5264, $A$2:$A5263+$C$2:$C5263)), "")*24*60, "")</f>
        <v>0</v>
      </c>
      <c r="J5264" s="24" t="str" cm="1">
        <f t="array" ref="J5264">IFERROR(IF($B5264=J$1, ($A5264+$C5264) - MAX(IF($B$2:$B5263=$B5264, $A$2:$A5263+$C$2:$C5263)), "")*24*60, "")</f>
        <v/>
      </c>
      <c r="K5264" s="24" t="str" cm="1">
        <f t="array" ref="K5264">IFERROR(IF($B5264=K$1, ($A5264+$C5264) - MAX(IF($B$2:$B5263=$B5264, $A$2:$A5263+$C$2:$C5263)), "")*24*60, "")</f>
        <v/>
      </c>
      <c r="L5264" s="24" t="str" cm="1">
        <f t="array" ref="L5264">IFERROR(IF($B5264=L$1, ($A5264+$C5264) - MAX(IF($B$2:$B5263=$B5264, $A$2:$A5263+$C$2:$C5263)), "")*24*60, "")</f>
        <v/>
      </c>
      <c r="M5264" s="24" t="str" cm="1">
        <f t="array" ref="M5264">IFERROR(IF($B5264=M$1, ($A5264+$C5264) - MAX(IF($B$2:$B5263=$B5264, $A$2:$A5263+$C$2:$C5263)), "")*24*60, "")</f>
        <v/>
      </c>
      <c r="N5264" s="24" t="str" cm="1">
        <f t="array" ref="N5264">IFERROR(IF($B5264=N$1, ($A5264+$C5264) - MAX(IF($B$2:$B5263=$B5264, $A$2:$A5263+$C$2:$C5263)), "")*24*60, "")</f>
        <v/>
      </c>
      <c r="O5264" s="24" t="str" cm="1">
        <f t="array" ref="O5264">IFERROR(IF($B5264=O$1, ($A5264+$C5264) - MAX(IF($B$2:$B5263=$B5264, $A$2:$A5263+$C$2:$C5263)), "")*24*60, "")</f>
        <v/>
      </c>
      <c r="P5264" s="24" t="str" cm="1">
        <f t="array" ref="P5264">IFERROR(IF($B5264=P$1, ($A5264+$C5264) - MAX(IF($B$2:$B5263=$B5264, $A$2:$A5263+$C$2:$C5263)), "")*24*60, "")</f>
        <v/>
      </c>
      <c r="Q5264" s="24" t="str" cm="1">
        <f t="array" ref="Q5264">IFERROR(IF($B5264=Q$1, ($A5264+$C5264) - MAX(IF($B$2:$B5263=$B5264, $A$2:$A5263+$C$2:$C5263)), "")*24*60, "")</f>
        <v/>
      </c>
    </row>
    <row r="5265" spans="1:17" x14ac:dyDescent="0.2">
      <c r="A5265" s="12">
        <f t="shared" ref="A5265:C5265" si="1158">A5264</f>
        <v>45983</v>
      </c>
      <c r="B5265" s="5" t="str">
        <f t="shared" si="1158"/>
        <v>Northern Cardinal</v>
      </c>
      <c r="C5265" s="6">
        <f t="shared" si="1158"/>
        <v>0.28194444444444444</v>
      </c>
      <c r="D5265" s="5"/>
      <c r="E5265" s="5"/>
      <c r="F5265" s="5" t="s">
        <v>8</v>
      </c>
      <c r="G5265" s="15" t="s">
        <v>9</v>
      </c>
      <c r="H5265" s="24">
        <f t="shared" si="1129"/>
        <v>0</v>
      </c>
      <c r="I5265" s="24" cm="1">
        <f t="array" ref="I5265">IFERROR(IF($B5265=I$1, ($A5265+$C5265) - MAX(IF($B$2:$B5264=$B5265, $A$2:$A5264+$C$2:$C5264)), "")*24*60, "")</f>
        <v>0</v>
      </c>
      <c r="J5265" s="24" t="str" cm="1">
        <f t="array" ref="J5265">IFERROR(IF($B5265=J$1, ($A5265+$C5265) - MAX(IF($B$2:$B5264=$B5265, $A$2:$A5264+$C$2:$C5264)), "")*24*60, "")</f>
        <v/>
      </c>
      <c r="K5265" s="24" t="str" cm="1">
        <f t="array" ref="K5265">IFERROR(IF($B5265=K$1, ($A5265+$C5265) - MAX(IF($B$2:$B5264=$B5265, $A$2:$A5264+$C$2:$C5264)), "")*24*60, "")</f>
        <v/>
      </c>
      <c r="L5265" s="24" t="str" cm="1">
        <f t="array" ref="L5265">IFERROR(IF($B5265=L$1, ($A5265+$C5265) - MAX(IF($B$2:$B5264=$B5265, $A$2:$A5264+$C$2:$C5264)), "")*24*60, "")</f>
        <v/>
      </c>
      <c r="M5265" s="24" t="str" cm="1">
        <f t="array" ref="M5265">IFERROR(IF($B5265=M$1, ($A5265+$C5265) - MAX(IF($B$2:$B5264=$B5265, $A$2:$A5264+$C$2:$C5264)), "")*24*60, "")</f>
        <v/>
      </c>
      <c r="N5265" s="24" t="str" cm="1">
        <f t="array" ref="N5265">IFERROR(IF($B5265=N$1, ($A5265+$C5265) - MAX(IF($B$2:$B5264=$B5265, $A$2:$A5264+$C$2:$C5264)), "")*24*60, "")</f>
        <v/>
      </c>
      <c r="O5265" s="24" t="str" cm="1">
        <f t="array" ref="O5265">IFERROR(IF($B5265=O$1, ($A5265+$C5265) - MAX(IF($B$2:$B5264=$B5265, $A$2:$A5264+$C$2:$C5264)), "")*24*60, "")</f>
        <v/>
      </c>
      <c r="P5265" s="24" t="str" cm="1">
        <f t="array" ref="P5265">IFERROR(IF($B5265=P$1, ($A5265+$C5265) - MAX(IF($B$2:$B5264=$B5265, $A$2:$A5264+$C$2:$C5264)), "")*24*60, "")</f>
        <v/>
      </c>
      <c r="Q5265" s="24" t="str" cm="1">
        <f t="array" ref="Q5265">IFERROR(IF($B5265=Q$1, ($A5265+$C5265) - MAX(IF($B$2:$B5264=$B5265, $A$2:$A5264+$C$2:$C5264)), "")*24*60, "")</f>
        <v/>
      </c>
    </row>
    <row r="5266" spans="1:17" x14ac:dyDescent="0.2">
      <c r="A5266" s="12">
        <f t="shared" ref="A5266:C5266" si="1159">A5265</f>
        <v>45983</v>
      </c>
      <c r="B5266" s="5" t="str">
        <f t="shared" si="1159"/>
        <v>Northern Cardinal</v>
      </c>
      <c r="C5266" s="6">
        <f t="shared" si="1159"/>
        <v>0.28194444444444444</v>
      </c>
      <c r="D5266" s="5"/>
      <c r="E5266" s="5"/>
      <c r="F5266" s="5" t="s">
        <v>8</v>
      </c>
      <c r="G5266" s="15" t="s">
        <v>9</v>
      </c>
      <c r="H5266" s="24">
        <f t="shared" si="1129"/>
        <v>0</v>
      </c>
      <c r="I5266" s="24" cm="1">
        <f t="array" ref="I5266">IFERROR(IF($B5266=I$1, ($A5266+$C5266) - MAX(IF($B$2:$B5265=$B5266, $A$2:$A5265+$C$2:$C5265)), "")*24*60, "")</f>
        <v>0</v>
      </c>
      <c r="J5266" s="24" t="str" cm="1">
        <f t="array" ref="J5266">IFERROR(IF($B5266=J$1, ($A5266+$C5266) - MAX(IF($B$2:$B5265=$B5266, $A$2:$A5265+$C$2:$C5265)), "")*24*60, "")</f>
        <v/>
      </c>
      <c r="K5266" s="24" t="str" cm="1">
        <f t="array" ref="K5266">IFERROR(IF($B5266=K$1, ($A5266+$C5266) - MAX(IF($B$2:$B5265=$B5266, $A$2:$A5265+$C$2:$C5265)), "")*24*60, "")</f>
        <v/>
      </c>
      <c r="L5266" s="24" t="str" cm="1">
        <f t="array" ref="L5266">IFERROR(IF($B5266=L$1, ($A5266+$C5266) - MAX(IF($B$2:$B5265=$B5266, $A$2:$A5265+$C$2:$C5265)), "")*24*60, "")</f>
        <v/>
      </c>
      <c r="M5266" s="24" t="str" cm="1">
        <f t="array" ref="M5266">IFERROR(IF($B5266=M$1, ($A5266+$C5266) - MAX(IF($B$2:$B5265=$B5266, $A$2:$A5265+$C$2:$C5265)), "")*24*60, "")</f>
        <v/>
      </c>
      <c r="N5266" s="24" t="str" cm="1">
        <f t="array" ref="N5266">IFERROR(IF($B5266=N$1, ($A5266+$C5266) - MAX(IF($B$2:$B5265=$B5266, $A$2:$A5265+$C$2:$C5265)), "")*24*60, "")</f>
        <v/>
      </c>
      <c r="O5266" s="24" t="str" cm="1">
        <f t="array" ref="O5266">IFERROR(IF($B5266=O$1, ($A5266+$C5266) - MAX(IF($B$2:$B5265=$B5266, $A$2:$A5265+$C$2:$C5265)), "")*24*60, "")</f>
        <v/>
      </c>
      <c r="P5266" s="24" t="str" cm="1">
        <f t="array" ref="P5266">IFERROR(IF($B5266=P$1, ($A5266+$C5266) - MAX(IF($B$2:$B5265=$B5266, $A$2:$A5265+$C$2:$C5265)), "")*24*60, "")</f>
        <v/>
      </c>
      <c r="Q5266" s="24" t="str" cm="1">
        <f t="array" ref="Q5266">IFERROR(IF($B5266=Q$1, ($A5266+$C5266) - MAX(IF($B$2:$B5265=$B5266, $A$2:$A5265+$C$2:$C5265)), "")*24*60, "")</f>
        <v/>
      </c>
    </row>
    <row r="5267" spans="1:17" x14ac:dyDescent="0.2">
      <c r="A5267" s="12">
        <f t="shared" ref="A5267:C5267" si="1160">A5266</f>
        <v>45983</v>
      </c>
      <c r="B5267" s="5" t="str">
        <f t="shared" si="1160"/>
        <v>Northern Cardinal</v>
      </c>
      <c r="C5267" s="6">
        <f t="shared" si="1160"/>
        <v>0.28194444444444444</v>
      </c>
      <c r="D5267" s="5"/>
      <c r="E5267" s="5"/>
      <c r="F5267" s="5" t="s">
        <v>8</v>
      </c>
      <c r="G5267" s="15" t="s">
        <v>9</v>
      </c>
      <c r="H5267" s="24">
        <f t="shared" si="1129"/>
        <v>0</v>
      </c>
      <c r="I5267" s="24" cm="1">
        <f t="array" ref="I5267">IFERROR(IF($B5267=I$1, ($A5267+$C5267) - MAX(IF($B$2:$B5266=$B5267, $A$2:$A5266+$C$2:$C5266)), "")*24*60, "")</f>
        <v>0</v>
      </c>
      <c r="J5267" s="24" t="str" cm="1">
        <f t="array" ref="J5267">IFERROR(IF($B5267=J$1, ($A5267+$C5267) - MAX(IF($B$2:$B5266=$B5267, $A$2:$A5266+$C$2:$C5266)), "")*24*60, "")</f>
        <v/>
      </c>
      <c r="K5267" s="24" t="str" cm="1">
        <f t="array" ref="K5267">IFERROR(IF($B5267=K$1, ($A5267+$C5267) - MAX(IF($B$2:$B5266=$B5267, $A$2:$A5266+$C$2:$C5266)), "")*24*60, "")</f>
        <v/>
      </c>
      <c r="L5267" s="24" t="str" cm="1">
        <f t="array" ref="L5267">IFERROR(IF($B5267=L$1, ($A5267+$C5267) - MAX(IF($B$2:$B5266=$B5267, $A$2:$A5266+$C$2:$C5266)), "")*24*60, "")</f>
        <v/>
      </c>
      <c r="M5267" s="24" t="str" cm="1">
        <f t="array" ref="M5267">IFERROR(IF($B5267=M$1, ($A5267+$C5267) - MAX(IF($B$2:$B5266=$B5267, $A$2:$A5266+$C$2:$C5266)), "")*24*60, "")</f>
        <v/>
      </c>
      <c r="N5267" s="24" t="str" cm="1">
        <f t="array" ref="N5267">IFERROR(IF($B5267=N$1, ($A5267+$C5267) - MAX(IF($B$2:$B5266=$B5267, $A$2:$A5266+$C$2:$C5266)), "")*24*60, "")</f>
        <v/>
      </c>
      <c r="O5267" s="24" t="str" cm="1">
        <f t="array" ref="O5267">IFERROR(IF($B5267=O$1, ($A5267+$C5267) - MAX(IF($B$2:$B5266=$B5267, $A$2:$A5266+$C$2:$C5266)), "")*24*60, "")</f>
        <v/>
      </c>
      <c r="P5267" s="24" t="str" cm="1">
        <f t="array" ref="P5267">IFERROR(IF($B5267=P$1, ($A5267+$C5267) - MAX(IF($B$2:$B5266=$B5267, $A$2:$A5266+$C$2:$C5266)), "")*24*60, "")</f>
        <v/>
      </c>
      <c r="Q5267" s="24" t="str" cm="1">
        <f t="array" ref="Q5267">IFERROR(IF($B5267=Q$1, ($A5267+$C5267) - MAX(IF($B$2:$B5266=$B5267, $A$2:$A5266+$C$2:$C5266)), "")*24*60, "")</f>
        <v/>
      </c>
    </row>
    <row r="5268" spans="1:17" x14ac:dyDescent="0.2">
      <c r="A5268" s="12">
        <f t="shared" ref="A5268:C5268" si="1161">A5267</f>
        <v>45983</v>
      </c>
      <c r="B5268" s="5" t="str">
        <f t="shared" si="1161"/>
        <v>Northern Cardinal</v>
      </c>
      <c r="C5268" s="6">
        <f t="shared" si="1161"/>
        <v>0.28194444444444444</v>
      </c>
      <c r="D5268" s="5"/>
      <c r="E5268" s="5"/>
      <c r="F5268" s="5" t="s">
        <v>8</v>
      </c>
      <c r="G5268" s="15" t="s">
        <v>9</v>
      </c>
      <c r="H5268" s="24">
        <f t="shared" si="1129"/>
        <v>0</v>
      </c>
      <c r="I5268" s="24" cm="1">
        <f t="array" ref="I5268">IFERROR(IF($B5268=I$1, ($A5268+$C5268) - MAX(IF($B$2:$B5267=$B5268, $A$2:$A5267+$C$2:$C5267)), "")*24*60, "")</f>
        <v>0</v>
      </c>
      <c r="J5268" s="24" t="str" cm="1">
        <f t="array" ref="J5268">IFERROR(IF($B5268=J$1, ($A5268+$C5268) - MAX(IF($B$2:$B5267=$B5268, $A$2:$A5267+$C$2:$C5267)), "")*24*60, "")</f>
        <v/>
      </c>
      <c r="K5268" s="24" t="str" cm="1">
        <f t="array" ref="K5268">IFERROR(IF($B5268=K$1, ($A5268+$C5268) - MAX(IF($B$2:$B5267=$B5268, $A$2:$A5267+$C$2:$C5267)), "")*24*60, "")</f>
        <v/>
      </c>
      <c r="L5268" s="24" t="str" cm="1">
        <f t="array" ref="L5268">IFERROR(IF($B5268=L$1, ($A5268+$C5268) - MAX(IF($B$2:$B5267=$B5268, $A$2:$A5267+$C$2:$C5267)), "")*24*60, "")</f>
        <v/>
      </c>
      <c r="M5268" s="24" t="str" cm="1">
        <f t="array" ref="M5268">IFERROR(IF($B5268=M$1, ($A5268+$C5268) - MAX(IF($B$2:$B5267=$B5268, $A$2:$A5267+$C$2:$C5267)), "")*24*60, "")</f>
        <v/>
      </c>
      <c r="N5268" s="24" t="str" cm="1">
        <f t="array" ref="N5268">IFERROR(IF($B5268=N$1, ($A5268+$C5268) - MAX(IF($B$2:$B5267=$B5268, $A$2:$A5267+$C$2:$C5267)), "")*24*60, "")</f>
        <v/>
      </c>
      <c r="O5268" s="24" t="str" cm="1">
        <f t="array" ref="O5268">IFERROR(IF($B5268=O$1, ($A5268+$C5268) - MAX(IF($B$2:$B5267=$B5268, $A$2:$A5267+$C$2:$C5267)), "")*24*60, "")</f>
        <v/>
      </c>
      <c r="P5268" s="24" t="str" cm="1">
        <f t="array" ref="P5268">IFERROR(IF($B5268=P$1, ($A5268+$C5268) - MAX(IF($B$2:$B5267=$B5268, $A$2:$A5267+$C$2:$C5267)), "")*24*60, "")</f>
        <v/>
      </c>
      <c r="Q5268" s="24" t="str" cm="1">
        <f t="array" ref="Q5268">IFERROR(IF($B5268=Q$1, ($A5268+$C5268) - MAX(IF($B$2:$B5267=$B5268, $A$2:$A5267+$C$2:$C5267)), "")*24*60, "")</f>
        <v/>
      </c>
    </row>
    <row r="5269" spans="1:17" x14ac:dyDescent="0.2">
      <c r="A5269" s="12">
        <f t="shared" ref="A5269:C5269" si="1162">A5268</f>
        <v>45983</v>
      </c>
      <c r="B5269" s="5" t="str">
        <f t="shared" si="1162"/>
        <v>Northern Cardinal</v>
      </c>
      <c r="C5269" s="6">
        <f t="shared" si="1162"/>
        <v>0.28194444444444444</v>
      </c>
      <c r="D5269" s="5"/>
      <c r="E5269" s="5"/>
      <c r="F5269" s="5" t="s">
        <v>8</v>
      </c>
      <c r="G5269" s="15" t="s">
        <v>9</v>
      </c>
      <c r="H5269" s="24">
        <f t="shared" si="1129"/>
        <v>0</v>
      </c>
      <c r="I5269" s="24" cm="1">
        <f t="array" ref="I5269">IFERROR(IF($B5269=I$1, ($A5269+$C5269) - MAX(IF($B$2:$B5268=$B5269, $A$2:$A5268+$C$2:$C5268)), "")*24*60, "")</f>
        <v>0</v>
      </c>
      <c r="J5269" s="24" t="str" cm="1">
        <f t="array" ref="J5269">IFERROR(IF($B5269=J$1, ($A5269+$C5269) - MAX(IF($B$2:$B5268=$B5269, $A$2:$A5268+$C$2:$C5268)), "")*24*60, "")</f>
        <v/>
      </c>
      <c r="K5269" s="24" t="str" cm="1">
        <f t="array" ref="K5269">IFERROR(IF($B5269=K$1, ($A5269+$C5269) - MAX(IF($B$2:$B5268=$B5269, $A$2:$A5268+$C$2:$C5268)), "")*24*60, "")</f>
        <v/>
      </c>
      <c r="L5269" s="24" t="str" cm="1">
        <f t="array" ref="L5269">IFERROR(IF($B5269=L$1, ($A5269+$C5269) - MAX(IF($B$2:$B5268=$B5269, $A$2:$A5268+$C$2:$C5268)), "")*24*60, "")</f>
        <v/>
      </c>
      <c r="M5269" s="24" t="str" cm="1">
        <f t="array" ref="M5269">IFERROR(IF($B5269=M$1, ($A5269+$C5269) - MAX(IF($B$2:$B5268=$B5269, $A$2:$A5268+$C$2:$C5268)), "")*24*60, "")</f>
        <v/>
      </c>
      <c r="N5269" s="24" t="str" cm="1">
        <f t="array" ref="N5269">IFERROR(IF($B5269=N$1, ($A5269+$C5269) - MAX(IF($B$2:$B5268=$B5269, $A$2:$A5268+$C$2:$C5268)), "")*24*60, "")</f>
        <v/>
      </c>
      <c r="O5269" s="24" t="str" cm="1">
        <f t="array" ref="O5269">IFERROR(IF($B5269=O$1, ($A5269+$C5269) - MAX(IF($B$2:$B5268=$B5269, $A$2:$A5268+$C$2:$C5268)), "")*24*60, "")</f>
        <v/>
      </c>
      <c r="P5269" s="24" t="str" cm="1">
        <f t="array" ref="P5269">IFERROR(IF($B5269=P$1, ($A5269+$C5269) - MAX(IF($B$2:$B5268=$B5269, $A$2:$A5268+$C$2:$C5268)), "")*24*60, "")</f>
        <v/>
      </c>
      <c r="Q5269" s="24" t="str" cm="1">
        <f t="array" ref="Q5269">IFERROR(IF($B5269=Q$1, ($A5269+$C5269) - MAX(IF($B$2:$B5268=$B5269, $A$2:$A5268+$C$2:$C5268)), "")*24*60, "")</f>
        <v/>
      </c>
    </row>
    <row r="5270" spans="1:17" x14ac:dyDescent="0.2">
      <c r="A5270" s="12">
        <f t="shared" ref="A5270:C5270" si="1163">A5269</f>
        <v>45983</v>
      </c>
      <c r="B5270" s="5" t="str">
        <f t="shared" si="1163"/>
        <v>Northern Cardinal</v>
      </c>
      <c r="C5270" s="6">
        <f t="shared" si="1163"/>
        <v>0.28194444444444444</v>
      </c>
      <c r="D5270" s="5"/>
      <c r="E5270" s="5"/>
      <c r="F5270" s="5" t="s">
        <v>8</v>
      </c>
      <c r="G5270" s="15" t="s">
        <v>9</v>
      </c>
      <c r="H5270" s="24">
        <f t="shared" si="1129"/>
        <v>0</v>
      </c>
      <c r="I5270" s="24" cm="1">
        <f t="array" ref="I5270">IFERROR(IF($B5270=I$1, ($A5270+$C5270) - MAX(IF($B$2:$B5269=$B5270, $A$2:$A5269+$C$2:$C5269)), "")*24*60, "")</f>
        <v>0</v>
      </c>
      <c r="J5270" s="24" t="str" cm="1">
        <f t="array" ref="J5270">IFERROR(IF($B5270=J$1, ($A5270+$C5270) - MAX(IF($B$2:$B5269=$B5270, $A$2:$A5269+$C$2:$C5269)), "")*24*60, "")</f>
        <v/>
      </c>
      <c r="K5270" s="24" t="str" cm="1">
        <f t="array" ref="K5270">IFERROR(IF($B5270=K$1, ($A5270+$C5270) - MAX(IF($B$2:$B5269=$B5270, $A$2:$A5269+$C$2:$C5269)), "")*24*60, "")</f>
        <v/>
      </c>
      <c r="L5270" s="24" t="str" cm="1">
        <f t="array" ref="L5270">IFERROR(IF($B5270=L$1, ($A5270+$C5270) - MAX(IF($B$2:$B5269=$B5270, $A$2:$A5269+$C$2:$C5269)), "")*24*60, "")</f>
        <v/>
      </c>
      <c r="M5270" s="24" t="str" cm="1">
        <f t="array" ref="M5270">IFERROR(IF($B5270=M$1, ($A5270+$C5270) - MAX(IF($B$2:$B5269=$B5270, $A$2:$A5269+$C$2:$C5269)), "")*24*60, "")</f>
        <v/>
      </c>
      <c r="N5270" s="24" t="str" cm="1">
        <f t="array" ref="N5270">IFERROR(IF($B5270=N$1, ($A5270+$C5270) - MAX(IF($B$2:$B5269=$B5270, $A$2:$A5269+$C$2:$C5269)), "")*24*60, "")</f>
        <v/>
      </c>
      <c r="O5270" s="24" t="str" cm="1">
        <f t="array" ref="O5270">IFERROR(IF($B5270=O$1, ($A5270+$C5270) - MAX(IF($B$2:$B5269=$B5270, $A$2:$A5269+$C$2:$C5269)), "")*24*60, "")</f>
        <v/>
      </c>
      <c r="P5270" s="24" t="str" cm="1">
        <f t="array" ref="P5270">IFERROR(IF($B5270=P$1, ($A5270+$C5270) - MAX(IF($B$2:$B5269=$B5270, $A$2:$A5269+$C$2:$C5269)), "")*24*60, "")</f>
        <v/>
      </c>
      <c r="Q5270" s="24" t="str" cm="1">
        <f t="array" ref="Q5270">IFERROR(IF($B5270=Q$1, ($A5270+$C5270) - MAX(IF($B$2:$B5269=$B5270, $A$2:$A5269+$C$2:$C5269)), "")*24*60, "")</f>
        <v/>
      </c>
    </row>
    <row r="5271" spans="1:17" x14ac:dyDescent="0.2">
      <c r="A5271" s="12">
        <f t="shared" ref="A5271:C5271" si="1164">A5270</f>
        <v>45983</v>
      </c>
      <c r="B5271" s="5" t="str">
        <f t="shared" si="1164"/>
        <v>Northern Cardinal</v>
      </c>
      <c r="C5271" s="6">
        <f t="shared" si="1164"/>
        <v>0.28194444444444444</v>
      </c>
      <c r="D5271" s="5"/>
      <c r="E5271" s="5"/>
      <c r="F5271" s="5" t="s">
        <v>8</v>
      </c>
      <c r="G5271" s="15" t="s">
        <v>9</v>
      </c>
      <c r="H5271" s="24">
        <f t="shared" si="1129"/>
        <v>0</v>
      </c>
      <c r="I5271" s="24" cm="1">
        <f t="array" ref="I5271">IFERROR(IF($B5271=I$1, ($A5271+$C5271) - MAX(IF($B$2:$B5270=$B5271, $A$2:$A5270+$C$2:$C5270)), "")*24*60, "")</f>
        <v>0</v>
      </c>
      <c r="J5271" s="24" t="str" cm="1">
        <f t="array" ref="J5271">IFERROR(IF($B5271=J$1, ($A5271+$C5271) - MAX(IF($B$2:$B5270=$B5271, $A$2:$A5270+$C$2:$C5270)), "")*24*60, "")</f>
        <v/>
      </c>
      <c r="K5271" s="24" t="str" cm="1">
        <f t="array" ref="K5271">IFERROR(IF($B5271=K$1, ($A5271+$C5271) - MAX(IF($B$2:$B5270=$B5271, $A$2:$A5270+$C$2:$C5270)), "")*24*60, "")</f>
        <v/>
      </c>
      <c r="L5271" s="24" t="str" cm="1">
        <f t="array" ref="L5271">IFERROR(IF($B5271=L$1, ($A5271+$C5271) - MAX(IF($B$2:$B5270=$B5271, $A$2:$A5270+$C$2:$C5270)), "")*24*60, "")</f>
        <v/>
      </c>
      <c r="M5271" s="24" t="str" cm="1">
        <f t="array" ref="M5271">IFERROR(IF($B5271=M$1, ($A5271+$C5271) - MAX(IF($B$2:$B5270=$B5271, $A$2:$A5270+$C$2:$C5270)), "")*24*60, "")</f>
        <v/>
      </c>
      <c r="N5271" s="24" t="str" cm="1">
        <f t="array" ref="N5271">IFERROR(IF($B5271=N$1, ($A5271+$C5271) - MAX(IF($B$2:$B5270=$B5271, $A$2:$A5270+$C$2:$C5270)), "")*24*60, "")</f>
        <v/>
      </c>
      <c r="O5271" s="24" t="str" cm="1">
        <f t="array" ref="O5271">IFERROR(IF($B5271=O$1, ($A5271+$C5271) - MAX(IF($B$2:$B5270=$B5271, $A$2:$A5270+$C$2:$C5270)), "")*24*60, "")</f>
        <v/>
      </c>
      <c r="P5271" s="24" t="str" cm="1">
        <f t="array" ref="P5271">IFERROR(IF($B5271=P$1, ($A5271+$C5271) - MAX(IF($B$2:$B5270=$B5271, $A$2:$A5270+$C$2:$C5270)), "")*24*60, "")</f>
        <v/>
      </c>
      <c r="Q5271" s="24" t="str" cm="1">
        <f t="array" ref="Q5271">IFERROR(IF($B5271=Q$1, ($A5271+$C5271) - MAX(IF($B$2:$B5270=$B5271, $A$2:$A5270+$C$2:$C5270)), "")*24*60, "")</f>
        <v/>
      </c>
    </row>
    <row r="5272" spans="1:17" x14ac:dyDescent="0.2">
      <c r="A5272" s="12">
        <f t="shared" ref="A5272:C5272" si="1165">A5271</f>
        <v>45983</v>
      </c>
      <c r="B5272" s="5" t="str">
        <f t="shared" si="1165"/>
        <v>Northern Cardinal</v>
      </c>
      <c r="C5272" s="6">
        <f t="shared" si="1165"/>
        <v>0.28194444444444444</v>
      </c>
      <c r="D5272" s="5"/>
      <c r="E5272" s="5"/>
      <c r="F5272" s="5" t="s">
        <v>8</v>
      </c>
      <c r="G5272" s="15" t="s">
        <v>9</v>
      </c>
      <c r="H5272" s="24">
        <f t="shared" si="1129"/>
        <v>0</v>
      </c>
      <c r="I5272" s="24" cm="1">
        <f t="array" ref="I5272">IFERROR(IF($B5272=I$1, ($A5272+$C5272) - MAX(IF($B$2:$B5271=$B5272, $A$2:$A5271+$C$2:$C5271)), "")*24*60, "")</f>
        <v>0</v>
      </c>
      <c r="J5272" s="24" t="str" cm="1">
        <f t="array" ref="J5272">IFERROR(IF($B5272=J$1, ($A5272+$C5272) - MAX(IF($B$2:$B5271=$B5272, $A$2:$A5271+$C$2:$C5271)), "")*24*60, "")</f>
        <v/>
      </c>
      <c r="K5272" s="24" t="str" cm="1">
        <f t="array" ref="K5272">IFERROR(IF($B5272=K$1, ($A5272+$C5272) - MAX(IF($B$2:$B5271=$B5272, $A$2:$A5271+$C$2:$C5271)), "")*24*60, "")</f>
        <v/>
      </c>
      <c r="L5272" s="24" t="str" cm="1">
        <f t="array" ref="L5272">IFERROR(IF($B5272=L$1, ($A5272+$C5272) - MAX(IF($B$2:$B5271=$B5272, $A$2:$A5271+$C$2:$C5271)), "")*24*60, "")</f>
        <v/>
      </c>
      <c r="M5272" s="24" t="str" cm="1">
        <f t="array" ref="M5272">IFERROR(IF($B5272=M$1, ($A5272+$C5272) - MAX(IF($B$2:$B5271=$B5272, $A$2:$A5271+$C$2:$C5271)), "")*24*60, "")</f>
        <v/>
      </c>
      <c r="N5272" s="24" t="str" cm="1">
        <f t="array" ref="N5272">IFERROR(IF($B5272=N$1, ($A5272+$C5272) - MAX(IF($B$2:$B5271=$B5272, $A$2:$A5271+$C$2:$C5271)), "")*24*60, "")</f>
        <v/>
      </c>
      <c r="O5272" s="24" t="str" cm="1">
        <f t="array" ref="O5272">IFERROR(IF($B5272=O$1, ($A5272+$C5272) - MAX(IF($B$2:$B5271=$B5272, $A$2:$A5271+$C$2:$C5271)), "")*24*60, "")</f>
        <v/>
      </c>
      <c r="P5272" s="24" t="str" cm="1">
        <f t="array" ref="P5272">IFERROR(IF($B5272=P$1, ($A5272+$C5272) - MAX(IF($B$2:$B5271=$B5272, $A$2:$A5271+$C$2:$C5271)), "")*24*60, "")</f>
        <v/>
      </c>
      <c r="Q5272" s="24" t="str" cm="1">
        <f t="array" ref="Q5272">IFERROR(IF($B5272=Q$1, ($A5272+$C5272) - MAX(IF($B$2:$B5271=$B5272, $A$2:$A5271+$C$2:$C5271)), "")*24*60, "")</f>
        <v/>
      </c>
    </row>
    <row r="5273" spans="1:17" x14ac:dyDescent="0.2">
      <c r="A5273" s="12">
        <f t="shared" ref="A5273:C5273" si="1166">A5272</f>
        <v>45983</v>
      </c>
      <c r="B5273" s="5" t="str">
        <f t="shared" si="1166"/>
        <v>Northern Cardinal</v>
      </c>
      <c r="C5273" s="6">
        <f t="shared" si="1166"/>
        <v>0.28194444444444444</v>
      </c>
      <c r="D5273" s="5"/>
      <c r="E5273" s="5"/>
      <c r="F5273" s="5" t="s">
        <v>8</v>
      </c>
      <c r="G5273" s="15" t="s">
        <v>9</v>
      </c>
      <c r="H5273" s="24">
        <f t="shared" si="1129"/>
        <v>0</v>
      </c>
      <c r="I5273" s="24" cm="1">
        <f t="array" ref="I5273">IFERROR(IF($B5273=I$1, ($A5273+$C5273) - MAX(IF($B$2:$B5272=$B5273, $A$2:$A5272+$C$2:$C5272)), "")*24*60, "")</f>
        <v>0</v>
      </c>
      <c r="J5273" s="24" t="str" cm="1">
        <f t="array" ref="J5273">IFERROR(IF($B5273=J$1, ($A5273+$C5273) - MAX(IF($B$2:$B5272=$B5273, $A$2:$A5272+$C$2:$C5272)), "")*24*60, "")</f>
        <v/>
      </c>
      <c r="K5273" s="24" t="str" cm="1">
        <f t="array" ref="K5273">IFERROR(IF($B5273=K$1, ($A5273+$C5273) - MAX(IF($B$2:$B5272=$B5273, $A$2:$A5272+$C$2:$C5272)), "")*24*60, "")</f>
        <v/>
      </c>
      <c r="L5273" s="24" t="str" cm="1">
        <f t="array" ref="L5273">IFERROR(IF($B5273=L$1, ($A5273+$C5273) - MAX(IF($B$2:$B5272=$B5273, $A$2:$A5272+$C$2:$C5272)), "")*24*60, "")</f>
        <v/>
      </c>
      <c r="M5273" s="24" t="str" cm="1">
        <f t="array" ref="M5273">IFERROR(IF($B5273=M$1, ($A5273+$C5273) - MAX(IF($B$2:$B5272=$B5273, $A$2:$A5272+$C$2:$C5272)), "")*24*60, "")</f>
        <v/>
      </c>
      <c r="N5273" s="24" t="str" cm="1">
        <f t="array" ref="N5273">IFERROR(IF($B5273=N$1, ($A5273+$C5273) - MAX(IF($B$2:$B5272=$B5273, $A$2:$A5272+$C$2:$C5272)), "")*24*60, "")</f>
        <v/>
      </c>
      <c r="O5273" s="24" t="str" cm="1">
        <f t="array" ref="O5273">IFERROR(IF($B5273=O$1, ($A5273+$C5273) - MAX(IF($B$2:$B5272=$B5273, $A$2:$A5272+$C$2:$C5272)), "")*24*60, "")</f>
        <v/>
      </c>
      <c r="P5273" s="24" t="str" cm="1">
        <f t="array" ref="P5273">IFERROR(IF($B5273=P$1, ($A5273+$C5273) - MAX(IF($B$2:$B5272=$B5273, $A$2:$A5272+$C$2:$C5272)), "")*24*60, "")</f>
        <v/>
      </c>
      <c r="Q5273" s="24" t="str" cm="1">
        <f t="array" ref="Q5273">IFERROR(IF($B5273=Q$1, ($A5273+$C5273) - MAX(IF($B$2:$B5272=$B5273, $A$2:$A5272+$C$2:$C5272)), "")*24*60, "")</f>
        <v/>
      </c>
    </row>
    <row r="5274" spans="1:17" x14ac:dyDescent="0.2">
      <c r="A5274" s="12">
        <f t="shared" ref="A5274:C5274" si="1167">A5273</f>
        <v>45983</v>
      </c>
      <c r="B5274" s="5" t="str">
        <f t="shared" si="1167"/>
        <v>Northern Cardinal</v>
      </c>
      <c r="C5274" s="6">
        <f t="shared" si="1167"/>
        <v>0.28194444444444444</v>
      </c>
      <c r="D5274" s="5"/>
      <c r="E5274" s="5"/>
      <c r="F5274" s="5" t="s">
        <v>8</v>
      </c>
      <c r="G5274" s="15" t="s">
        <v>9</v>
      </c>
      <c r="H5274" s="24">
        <f t="shared" si="1129"/>
        <v>0</v>
      </c>
      <c r="I5274" s="24" cm="1">
        <f t="array" ref="I5274">IFERROR(IF($B5274=I$1, ($A5274+$C5274) - MAX(IF($B$2:$B5273=$B5274, $A$2:$A5273+$C$2:$C5273)), "")*24*60, "")</f>
        <v>0</v>
      </c>
      <c r="J5274" s="24" t="str" cm="1">
        <f t="array" ref="J5274">IFERROR(IF($B5274=J$1, ($A5274+$C5274) - MAX(IF($B$2:$B5273=$B5274, $A$2:$A5273+$C$2:$C5273)), "")*24*60, "")</f>
        <v/>
      </c>
      <c r="K5274" s="24" t="str" cm="1">
        <f t="array" ref="K5274">IFERROR(IF($B5274=K$1, ($A5274+$C5274) - MAX(IF($B$2:$B5273=$B5274, $A$2:$A5273+$C$2:$C5273)), "")*24*60, "")</f>
        <v/>
      </c>
      <c r="L5274" s="24" t="str" cm="1">
        <f t="array" ref="L5274">IFERROR(IF($B5274=L$1, ($A5274+$C5274) - MAX(IF($B$2:$B5273=$B5274, $A$2:$A5273+$C$2:$C5273)), "")*24*60, "")</f>
        <v/>
      </c>
      <c r="M5274" s="24" t="str" cm="1">
        <f t="array" ref="M5274">IFERROR(IF($B5274=M$1, ($A5274+$C5274) - MAX(IF($B$2:$B5273=$B5274, $A$2:$A5273+$C$2:$C5273)), "")*24*60, "")</f>
        <v/>
      </c>
      <c r="N5274" s="24" t="str" cm="1">
        <f t="array" ref="N5274">IFERROR(IF($B5274=N$1, ($A5274+$C5274) - MAX(IF($B$2:$B5273=$B5274, $A$2:$A5273+$C$2:$C5273)), "")*24*60, "")</f>
        <v/>
      </c>
      <c r="O5274" s="24" t="str" cm="1">
        <f t="array" ref="O5274">IFERROR(IF($B5274=O$1, ($A5274+$C5274) - MAX(IF($B$2:$B5273=$B5274, $A$2:$A5273+$C$2:$C5273)), "")*24*60, "")</f>
        <v/>
      </c>
      <c r="P5274" s="24" t="str" cm="1">
        <f t="array" ref="P5274">IFERROR(IF($B5274=P$1, ($A5274+$C5274) - MAX(IF($B$2:$B5273=$B5274, $A$2:$A5273+$C$2:$C5273)), "")*24*60, "")</f>
        <v/>
      </c>
      <c r="Q5274" s="24" t="str" cm="1">
        <f t="array" ref="Q5274">IFERROR(IF($B5274=Q$1, ($A5274+$C5274) - MAX(IF($B$2:$B5273=$B5274, $A$2:$A5273+$C$2:$C5273)), "")*24*60, "")</f>
        <v/>
      </c>
    </row>
    <row r="5275" spans="1:17" x14ac:dyDescent="0.2">
      <c r="A5275" s="12">
        <f t="shared" ref="A5275:C5275" si="1168">A5274</f>
        <v>45983</v>
      </c>
      <c r="B5275" s="5" t="str">
        <f t="shared" si="1168"/>
        <v>Northern Cardinal</v>
      </c>
      <c r="C5275" s="6">
        <f t="shared" si="1168"/>
        <v>0.28194444444444444</v>
      </c>
      <c r="D5275" s="5"/>
      <c r="E5275" s="5"/>
      <c r="F5275" s="5" t="s">
        <v>8</v>
      </c>
      <c r="G5275" s="15" t="s">
        <v>9</v>
      </c>
      <c r="H5275" s="24">
        <f t="shared" si="1129"/>
        <v>0</v>
      </c>
      <c r="I5275" s="24" cm="1">
        <f t="array" ref="I5275">IFERROR(IF($B5275=I$1, ($A5275+$C5275) - MAX(IF($B$2:$B5274=$B5275, $A$2:$A5274+$C$2:$C5274)), "")*24*60, "")</f>
        <v>0</v>
      </c>
      <c r="J5275" s="24" t="str" cm="1">
        <f t="array" ref="J5275">IFERROR(IF($B5275=J$1, ($A5275+$C5275) - MAX(IF($B$2:$B5274=$B5275, $A$2:$A5274+$C$2:$C5274)), "")*24*60, "")</f>
        <v/>
      </c>
      <c r="K5275" s="24" t="str" cm="1">
        <f t="array" ref="K5275">IFERROR(IF($B5275=K$1, ($A5275+$C5275) - MAX(IF($B$2:$B5274=$B5275, $A$2:$A5274+$C$2:$C5274)), "")*24*60, "")</f>
        <v/>
      </c>
      <c r="L5275" s="24" t="str" cm="1">
        <f t="array" ref="L5275">IFERROR(IF($B5275=L$1, ($A5275+$C5275) - MAX(IF($B$2:$B5274=$B5275, $A$2:$A5274+$C$2:$C5274)), "")*24*60, "")</f>
        <v/>
      </c>
      <c r="M5275" s="24" t="str" cm="1">
        <f t="array" ref="M5275">IFERROR(IF($B5275=M$1, ($A5275+$C5275) - MAX(IF($B$2:$B5274=$B5275, $A$2:$A5274+$C$2:$C5274)), "")*24*60, "")</f>
        <v/>
      </c>
      <c r="N5275" s="24" t="str" cm="1">
        <f t="array" ref="N5275">IFERROR(IF($B5275=N$1, ($A5275+$C5275) - MAX(IF($B$2:$B5274=$B5275, $A$2:$A5274+$C$2:$C5274)), "")*24*60, "")</f>
        <v/>
      </c>
      <c r="O5275" s="24" t="str" cm="1">
        <f t="array" ref="O5275">IFERROR(IF($B5275=O$1, ($A5275+$C5275) - MAX(IF($B$2:$B5274=$B5275, $A$2:$A5274+$C$2:$C5274)), "")*24*60, "")</f>
        <v/>
      </c>
      <c r="P5275" s="24" t="str" cm="1">
        <f t="array" ref="P5275">IFERROR(IF($B5275=P$1, ($A5275+$C5275) - MAX(IF($B$2:$B5274=$B5275, $A$2:$A5274+$C$2:$C5274)), "")*24*60, "")</f>
        <v/>
      </c>
      <c r="Q5275" s="24" t="str" cm="1">
        <f t="array" ref="Q5275">IFERROR(IF($B5275=Q$1, ($A5275+$C5275) - MAX(IF($B$2:$B5274=$B5275, $A$2:$A5274+$C$2:$C5274)), "")*24*60, "")</f>
        <v/>
      </c>
    </row>
    <row r="5276" spans="1:17" x14ac:dyDescent="0.2">
      <c r="A5276" s="12">
        <f t="shared" ref="A5276:C5276" si="1169">A5275</f>
        <v>45983</v>
      </c>
      <c r="B5276" s="5" t="str">
        <f t="shared" si="1169"/>
        <v>Northern Cardinal</v>
      </c>
      <c r="C5276" s="6">
        <f t="shared" si="1169"/>
        <v>0.28194444444444444</v>
      </c>
      <c r="D5276" s="5"/>
      <c r="E5276" s="5"/>
      <c r="F5276" s="5" t="s">
        <v>8</v>
      </c>
      <c r="G5276" s="15" t="s">
        <v>9</v>
      </c>
      <c r="H5276" s="24">
        <f t="shared" si="1129"/>
        <v>0</v>
      </c>
      <c r="I5276" s="24" cm="1">
        <f t="array" ref="I5276">IFERROR(IF($B5276=I$1, ($A5276+$C5276) - MAX(IF($B$2:$B5275=$B5276, $A$2:$A5275+$C$2:$C5275)), "")*24*60, "")</f>
        <v>0</v>
      </c>
      <c r="J5276" s="24" t="str" cm="1">
        <f t="array" ref="J5276">IFERROR(IF($B5276=J$1, ($A5276+$C5276) - MAX(IF($B$2:$B5275=$B5276, $A$2:$A5275+$C$2:$C5275)), "")*24*60, "")</f>
        <v/>
      </c>
      <c r="K5276" s="24" t="str" cm="1">
        <f t="array" ref="K5276">IFERROR(IF($B5276=K$1, ($A5276+$C5276) - MAX(IF($B$2:$B5275=$B5276, $A$2:$A5275+$C$2:$C5275)), "")*24*60, "")</f>
        <v/>
      </c>
      <c r="L5276" s="24" t="str" cm="1">
        <f t="array" ref="L5276">IFERROR(IF($B5276=L$1, ($A5276+$C5276) - MAX(IF($B$2:$B5275=$B5276, $A$2:$A5275+$C$2:$C5275)), "")*24*60, "")</f>
        <v/>
      </c>
      <c r="M5276" s="24" t="str" cm="1">
        <f t="array" ref="M5276">IFERROR(IF($B5276=M$1, ($A5276+$C5276) - MAX(IF($B$2:$B5275=$B5276, $A$2:$A5275+$C$2:$C5275)), "")*24*60, "")</f>
        <v/>
      </c>
      <c r="N5276" s="24" t="str" cm="1">
        <f t="array" ref="N5276">IFERROR(IF($B5276=N$1, ($A5276+$C5276) - MAX(IF($B$2:$B5275=$B5276, $A$2:$A5275+$C$2:$C5275)), "")*24*60, "")</f>
        <v/>
      </c>
      <c r="O5276" s="24" t="str" cm="1">
        <f t="array" ref="O5276">IFERROR(IF($B5276=O$1, ($A5276+$C5276) - MAX(IF($B$2:$B5275=$B5276, $A$2:$A5275+$C$2:$C5275)), "")*24*60, "")</f>
        <v/>
      </c>
      <c r="P5276" s="24" t="str" cm="1">
        <f t="array" ref="P5276">IFERROR(IF($B5276=P$1, ($A5276+$C5276) - MAX(IF($B$2:$B5275=$B5276, $A$2:$A5275+$C$2:$C5275)), "")*24*60, "")</f>
        <v/>
      </c>
      <c r="Q5276" s="24" t="str" cm="1">
        <f t="array" ref="Q5276">IFERROR(IF($B5276=Q$1, ($A5276+$C5276) - MAX(IF($B$2:$B5275=$B5276, $A$2:$A5275+$C$2:$C5275)), "")*24*60, "")</f>
        <v/>
      </c>
    </row>
    <row r="5277" spans="1:17" x14ac:dyDescent="0.2">
      <c r="A5277" s="12">
        <f t="shared" ref="A5277:C5277" si="1170">A5276</f>
        <v>45983</v>
      </c>
      <c r="B5277" s="5" t="str">
        <f t="shared" si="1170"/>
        <v>Northern Cardinal</v>
      </c>
      <c r="C5277" s="6">
        <f t="shared" si="1170"/>
        <v>0.28194444444444444</v>
      </c>
      <c r="D5277" s="5"/>
      <c r="E5277" s="5"/>
      <c r="F5277" s="5" t="s">
        <v>8</v>
      </c>
      <c r="G5277" s="15" t="s">
        <v>9</v>
      </c>
      <c r="H5277" s="24">
        <f t="shared" si="1129"/>
        <v>0</v>
      </c>
      <c r="I5277" s="24" cm="1">
        <f t="array" ref="I5277">IFERROR(IF($B5277=I$1, ($A5277+$C5277) - MAX(IF($B$2:$B5276=$B5277, $A$2:$A5276+$C$2:$C5276)), "")*24*60, "")</f>
        <v>0</v>
      </c>
      <c r="J5277" s="24" t="str" cm="1">
        <f t="array" ref="J5277">IFERROR(IF($B5277=J$1, ($A5277+$C5277) - MAX(IF($B$2:$B5276=$B5277, $A$2:$A5276+$C$2:$C5276)), "")*24*60, "")</f>
        <v/>
      </c>
      <c r="K5277" s="24" t="str" cm="1">
        <f t="array" ref="K5277">IFERROR(IF($B5277=K$1, ($A5277+$C5277) - MAX(IF($B$2:$B5276=$B5277, $A$2:$A5276+$C$2:$C5276)), "")*24*60, "")</f>
        <v/>
      </c>
      <c r="L5277" s="24" t="str" cm="1">
        <f t="array" ref="L5277">IFERROR(IF($B5277=L$1, ($A5277+$C5277) - MAX(IF($B$2:$B5276=$B5277, $A$2:$A5276+$C$2:$C5276)), "")*24*60, "")</f>
        <v/>
      </c>
      <c r="M5277" s="24" t="str" cm="1">
        <f t="array" ref="M5277">IFERROR(IF($B5277=M$1, ($A5277+$C5277) - MAX(IF($B$2:$B5276=$B5277, $A$2:$A5276+$C$2:$C5276)), "")*24*60, "")</f>
        <v/>
      </c>
      <c r="N5277" s="24" t="str" cm="1">
        <f t="array" ref="N5277">IFERROR(IF($B5277=N$1, ($A5277+$C5277) - MAX(IF($B$2:$B5276=$B5277, $A$2:$A5276+$C$2:$C5276)), "")*24*60, "")</f>
        <v/>
      </c>
      <c r="O5277" s="24" t="str" cm="1">
        <f t="array" ref="O5277">IFERROR(IF($B5277=O$1, ($A5277+$C5277) - MAX(IF($B$2:$B5276=$B5277, $A$2:$A5276+$C$2:$C5276)), "")*24*60, "")</f>
        <v/>
      </c>
      <c r="P5277" s="24" t="str" cm="1">
        <f t="array" ref="P5277">IFERROR(IF($B5277=P$1, ($A5277+$C5277) - MAX(IF($B$2:$B5276=$B5277, $A$2:$A5276+$C$2:$C5276)), "")*24*60, "")</f>
        <v/>
      </c>
      <c r="Q5277" s="24" t="str" cm="1">
        <f t="array" ref="Q5277">IFERROR(IF($B5277=Q$1, ($A5277+$C5277) - MAX(IF($B$2:$B5276=$B5277, $A$2:$A5276+$C$2:$C5276)), "")*24*60, "")</f>
        <v/>
      </c>
    </row>
    <row r="5278" spans="1:17" x14ac:dyDescent="0.2">
      <c r="A5278" s="12">
        <f t="shared" ref="A5278:C5278" si="1171">A5277</f>
        <v>45983</v>
      </c>
      <c r="B5278" s="5" t="str">
        <f t="shared" si="1171"/>
        <v>Northern Cardinal</v>
      </c>
      <c r="C5278" s="6">
        <f t="shared" si="1171"/>
        <v>0.28194444444444444</v>
      </c>
      <c r="D5278" s="5"/>
      <c r="E5278" s="5"/>
      <c r="F5278" s="5" t="s">
        <v>8</v>
      </c>
      <c r="G5278" s="15" t="s">
        <v>9</v>
      </c>
      <c r="H5278" s="24">
        <f t="shared" si="1129"/>
        <v>0</v>
      </c>
      <c r="I5278" s="24" cm="1">
        <f t="array" ref="I5278">IFERROR(IF($B5278=I$1, ($A5278+$C5278) - MAX(IF($B$2:$B5277=$B5278, $A$2:$A5277+$C$2:$C5277)), "")*24*60, "")</f>
        <v>0</v>
      </c>
      <c r="J5278" s="24" t="str" cm="1">
        <f t="array" ref="J5278">IFERROR(IF($B5278=J$1, ($A5278+$C5278) - MAX(IF($B$2:$B5277=$B5278, $A$2:$A5277+$C$2:$C5277)), "")*24*60, "")</f>
        <v/>
      </c>
      <c r="K5278" s="24" t="str" cm="1">
        <f t="array" ref="K5278">IFERROR(IF($B5278=K$1, ($A5278+$C5278) - MAX(IF($B$2:$B5277=$B5278, $A$2:$A5277+$C$2:$C5277)), "")*24*60, "")</f>
        <v/>
      </c>
      <c r="L5278" s="24" t="str" cm="1">
        <f t="array" ref="L5278">IFERROR(IF($B5278=L$1, ($A5278+$C5278) - MAX(IF($B$2:$B5277=$B5278, $A$2:$A5277+$C$2:$C5277)), "")*24*60, "")</f>
        <v/>
      </c>
      <c r="M5278" s="24" t="str" cm="1">
        <f t="array" ref="M5278">IFERROR(IF($B5278=M$1, ($A5278+$C5278) - MAX(IF($B$2:$B5277=$B5278, $A$2:$A5277+$C$2:$C5277)), "")*24*60, "")</f>
        <v/>
      </c>
      <c r="N5278" s="24" t="str" cm="1">
        <f t="array" ref="N5278">IFERROR(IF($B5278=N$1, ($A5278+$C5278) - MAX(IF($B$2:$B5277=$B5278, $A$2:$A5277+$C$2:$C5277)), "")*24*60, "")</f>
        <v/>
      </c>
      <c r="O5278" s="24" t="str" cm="1">
        <f t="array" ref="O5278">IFERROR(IF($B5278=O$1, ($A5278+$C5278) - MAX(IF($B$2:$B5277=$B5278, $A$2:$A5277+$C$2:$C5277)), "")*24*60, "")</f>
        <v/>
      </c>
      <c r="P5278" s="24" t="str" cm="1">
        <f t="array" ref="P5278">IFERROR(IF($B5278=P$1, ($A5278+$C5278) - MAX(IF($B$2:$B5277=$B5278, $A$2:$A5277+$C$2:$C5277)), "")*24*60, "")</f>
        <v/>
      </c>
      <c r="Q5278" s="24" t="str" cm="1">
        <f t="array" ref="Q5278">IFERROR(IF($B5278=Q$1, ($A5278+$C5278) - MAX(IF($B$2:$B5277=$B5278, $A$2:$A5277+$C$2:$C5277)), "")*24*60, "")</f>
        <v/>
      </c>
    </row>
    <row r="5279" spans="1:17" x14ac:dyDescent="0.2">
      <c r="A5279" s="12">
        <f t="shared" ref="A5279:C5279" si="1172">A5278</f>
        <v>45983</v>
      </c>
      <c r="B5279" s="5" t="str">
        <f t="shared" si="1172"/>
        <v>Northern Cardinal</v>
      </c>
      <c r="C5279" s="6">
        <f t="shared" si="1172"/>
        <v>0.28194444444444444</v>
      </c>
      <c r="D5279" s="5"/>
      <c r="E5279" s="5"/>
      <c r="F5279" s="5" t="s">
        <v>8</v>
      </c>
      <c r="G5279" s="15" t="s">
        <v>9</v>
      </c>
      <c r="H5279" s="24">
        <f t="shared" si="1129"/>
        <v>0</v>
      </c>
      <c r="I5279" s="24" cm="1">
        <f t="array" ref="I5279">IFERROR(IF($B5279=I$1, ($A5279+$C5279) - MAX(IF($B$2:$B5278=$B5279, $A$2:$A5278+$C$2:$C5278)), "")*24*60, "")</f>
        <v>0</v>
      </c>
      <c r="J5279" s="24" t="str" cm="1">
        <f t="array" ref="J5279">IFERROR(IF($B5279=J$1, ($A5279+$C5279) - MAX(IF($B$2:$B5278=$B5279, $A$2:$A5278+$C$2:$C5278)), "")*24*60, "")</f>
        <v/>
      </c>
      <c r="K5279" s="24" t="str" cm="1">
        <f t="array" ref="K5279">IFERROR(IF($B5279=K$1, ($A5279+$C5279) - MAX(IF($B$2:$B5278=$B5279, $A$2:$A5278+$C$2:$C5278)), "")*24*60, "")</f>
        <v/>
      </c>
      <c r="L5279" s="24" t="str" cm="1">
        <f t="array" ref="L5279">IFERROR(IF($B5279=L$1, ($A5279+$C5279) - MAX(IF($B$2:$B5278=$B5279, $A$2:$A5278+$C$2:$C5278)), "")*24*60, "")</f>
        <v/>
      </c>
      <c r="M5279" s="24" t="str" cm="1">
        <f t="array" ref="M5279">IFERROR(IF($B5279=M$1, ($A5279+$C5279) - MAX(IF($B$2:$B5278=$B5279, $A$2:$A5278+$C$2:$C5278)), "")*24*60, "")</f>
        <v/>
      </c>
      <c r="N5279" s="24" t="str" cm="1">
        <f t="array" ref="N5279">IFERROR(IF($B5279=N$1, ($A5279+$C5279) - MAX(IF($B$2:$B5278=$B5279, $A$2:$A5278+$C$2:$C5278)), "")*24*60, "")</f>
        <v/>
      </c>
      <c r="O5279" s="24" t="str" cm="1">
        <f t="array" ref="O5279">IFERROR(IF($B5279=O$1, ($A5279+$C5279) - MAX(IF($B$2:$B5278=$B5279, $A$2:$A5278+$C$2:$C5278)), "")*24*60, "")</f>
        <v/>
      </c>
      <c r="P5279" s="24" t="str" cm="1">
        <f t="array" ref="P5279">IFERROR(IF($B5279=P$1, ($A5279+$C5279) - MAX(IF($B$2:$B5278=$B5279, $A$2:$A5278+$C$2:$C5278)), "")*24*60, "")</f>
        <v/>
      </c>
      <c r="Q5279" s="24" t="str" cm="1">
        <f t="array" ref="Q5279">IFERROR(IF($B5279=Q$1, ($A5279+$C5279) - MAX(IF($B$2:$B5278=$B5279, $A$2:$A5278+$C$2:$C5278)), "")*24*60, "")</f>
        <v/>
      </c>
    </row>
    <row r="5280" spans="1:17" x14ac:dyDescent="0.2">
      <c r="A5280" s="12">
        <f t="shared" ref="A5280:C5280" si="1173">A5279</f>
        <v>45983</v>
      </c>
      <c r="B5280" s="5" t="str">
        <f t="shared" si="1173"/>
        <v>Northern Cardinal</v>
      </c>
      <c r="C5280" s="6">
        <f t="shared" si="1173"/>
        <v>0.28194444444444444</v>
      </c>
      <c r="D5280" s="5"/>
      <c r="E5280" s="5"/>
      <c r="F5280" s="5" t="s">
        <v>8</v>
      </c>
      <c r="G5280" s="15" t="s">
        <v>9</v>
      </c>
      <c r="H5280" s="24">
        <f t="shared" si="1129"/>
        <v>0</v>
      </c>
      <c r="I5280" s="24" cm="1">
        <f t="array" ref="I5280">IFERROR(IF($B5280=I$1, ($A5280+$C5280) - MAX(IF($B$2:$B5279=$B5280, $A$2:$A5279+$C$2:$C5279)), "")*24*60, "")</f>
        <v>0</v>
      </c>
      <c r="J5280" s="24" t="str" cm="1">
        <f t="array" ref="J5280">IFERROR(IF($B5280=J$1, ($A5280+$C5280) - MAX(IF($B$2:$B5279=$B5280, $A$2:$A5279+$C$2:$C5279)), "")*24*60, "")</f>
        <v/>
      </c>
      <c r="K5280" s="24" t="str" cm="1">
        <f t="array" ref="K5280">IFERROR(IF($B5280=K$1, ($A5280+$C5280) - MAX(IF($B$2:$B5279=$B5280, $A$2:$A5279+$C$2:$C5279)), "")*24*60, "")</f>
        <v/>
      </c>
      <c r="L5280" s="24" t="str" cm="1">
        <f t="array" ref="L5280">IFERROR(IF($B5280=L$1, ($A5280+$C5280) - MAX(IF($B$2:$B5279=$B5280, $A$2:$A5279+$C$2:$C5279)), "")*24*60, "")</f>
        <v/>
      </c>
      <c r="M5280" s="24" t="str" cm="1">
        <f t="array" ref="M5280">IFERROR(IF($B5280=M$1, ($A5280+$C5280) - MAX(IF($B$2:$B5279=$B5280, $A$2:$A5279+$C$2:$C5279)), "")*24*60, "")</f>
        <v/>
      </c>
      <c r="N5280" s="24" t="str" cm="1">
        <f t="array" ref="N5280">IFERROR(IF($B5280=N$1, ($A5280+$C5280) - MAX(IF($B$2:$B5279=$B5280, $A$2:$A5279+$C$2:$C5279)), "")*24*60, "")</f>
        <v/>
      </c>
      <c r="O5280" s="24" t="str" cm="1">
        <f t="array" ref="O5280">IFERROR(IF($B5280=O$1, ($A5280+$C5280) - MAX(IF($B$2:$B5279=$B5280, $A$2:$A5279+$C$2:$C5279)), "")*24*60, "")</f>
        <v/>
      </c>
      <c r="P5280" s="24" t="str" cm="1">
        <f t="array" ref="P5280">IFERROR(IF($B5280=P$1, ($A5280+$C5280) - MAX(IF($B$2:$B5279=$B5280, $A$2:$A5279+$C$2:$C5279)), "")*24*60, "")</f>
        <v/>
      </c>
      <c r="Q5280" s="24" t="str" cm="1">
        <f t="array" ref="Q5280">IFERROR(IF($B5280=Q$1, ($A5280+$C5280) - MAX(IF($B$2:$B5279=$B5280, $A$2:$A5279+$C$2:$C5279)), "")*24*60, "")</f>
        <v/>
      </c>
    </row>
    <row r="5281" spans="1:17" x14ac:dyDescent="0.2">
      <c r="A5281" s="12">
        <f t="shared" ref="A5281:C5281" si="1174">A5280</f>
        <v>45983</v>
      </c>
      <c r="B5281" s="5" t="str">
        <f t="shared" si="1174"/>
        <v>Northern Cardinal</v>
      </c>
      <c r="C5281" s="6">
        <f t="shared" si="1174"/>
        <v>0.28194444444444444</v>
      </c>
      <c r="D5281" s="5"/>
      <c r="E5281" s="5"/>
      <c r="F5281" s="5" t="s">
        <v>8</v>
      </c>
      <c r="G5281" s="15" t="s">
        <v>9</v>
      </c>
      <c r="H5281" s="24">
        <f t="shared" si="1129"/>
        <v>0</v>
      </c>
      <c r="I5281" s="24" cm="1">
        <f t="array" ref="I5281">IFERROR(IF($B5281=I$1, ($A5281+$C5281) - MAX(IF($B$2:$B5280=$B5281, $A$2:$A5280+$C$2:$C5280)), "")*24*60, "")</f>
        <v>0</v>
      </c>
      <c r="J5281" s="24" t="str" cm="1">
        <f t="array" ref="J5281">IFERROR(IF($B5281=J$1, ($A5281+$C5281) - MAX(IF($B$2:$B5280=$B5281, $A$2:$A5280+$C$2:$C5280)), "")*24*60, "")</f>
        <v/>
      </c>
      <c r="K5281" s="24" t="str" cm="1">
        <f t="array" ref="K5281">IFERROR(IF($B5281=K$1, ($A5281+$C5281) - MAX(IF($B$2:$B5280=$B5281, $A$2:$A5280+$C$2:$C5280)), "")*24*60, "")</f>
        <v/>
      </c>
      <c r="L5281" s="24" t="str" cm="1">
        <f t="array" ref="L5281">IFERROR(IF($B5281=L$1, ($A5281+$C5281) - MAX(IF($B$2:$B5280=$B5281, $A$2:$A5280+$C$2:$C5280)), "")*24*60, "")</f>
        <v/>
      </c>
      <c r="M5281" s="24" t="str" cm="1">
        <f t="array" ref="M5281">IFERROR(IF($B5281=M$1, ($A5281+$C5281) - MAX(IF($B$2:$B5280=$B5281, $A$2:$A5280+$C$2:$C5280)), "")*24*60, "")</f>
        <v/>
      </c>
      <c r="N5281" s="24" t="str" cm="1">
        <f t="array" ref="N5281">IFERROR(IF($B5281=N$1, ($A5281+$C5281) - MAX(IF($B$2:$B5280=$B5281, $A$2:$A5280+$C$2:$C5280)), "")*24*60, "")</f>
        <v/>
      </c>
      <c r="O5281" s="24" t="str" cm="1">
        <f t="array" ref="O5281">IFERROR(IF($B5281=O$1, ($A5281+$C5281) - MAX(IF($B$2:$B5280=$B5281, $A$2:$A5280+$C$2:$C5280)), "")*24*60, "")</f>
        <v/>
      </c>
      <c r="P5281" s="24" t="str" cm="1">
        <f t="array" ref="P5281">IFERROR(IF($B5281=P$1, ($A5281+$C5281) - MAX(IF($B$2:$B5280=$B5281, $A$2:$A5280+$C$2:$C5280)), "")*24*60, "")</f>
        <v/>
      </c>
      <c r="Q5281" s="24" t="str" cm="1">
        <f t="array" ref="Q5281">IFERROR(IF($B5281=Q$1, ($A5281+$C5281) - MAX(IF($B$2:$B5280=$B5281, $A$2:$A5280+$C$2:$C5280)), "")*24*60, "")</f>
        <v/>
      </c>
    </row>
    <row r="5282" spans="1:17" x14ac:dyDescent="0.2">
      <c r="A5282" s="12">
        <f t="shared" ref="A5282:C5282" si="1175">A5281</f>
        <v>45983</v>
      </c>
      <c r="B5282" s="5" t="str">
        <f t="shared" si="1175"/>
        <v>Northern Cardinal</v>
      </c>
      <c r="C5282" s="6">
        <f t="shared" si="1175"/>
        <v>0.28194444444444444</v>
      </c>
      <c r="D5282" s="5"/>
      <c r="E5282" s="5"/>
      <c r="F5282" s="5" t="s">
        <v>8</v>
      </c>
      <c r="G5282" s="15" t="s">
        <v>9</v>
      </c>
      <c r="H5282" s="24">
        <f t="shared" si="1129"/>
        <v>0</v>
      </c>
      <c r="I5282" s="24" cm="1">
        <f t="array" ref="I5282">IFERROR(IF($B5282=I$1, ($A5282+$C5282) - MAX(IF($B$2:$B5281=$B5282, $A$2:$A5281+$C$2:$C5281)), "")*24*60, "")</f>
        <v>0</v>
      </c>
      <c r="J5282" s="24" t="str" cm="1">
        <f t="array" ref="J5282">IFERROR(IF($B5282=J$1, ($A5282+$C5282) - MAX(IF($B$2:$B5281=$B5282, $A$2:$A5281+$C$2:$C5281)), "")*24*60, "")</f>
        <v/>
      </c>
      <c r="K5282" s="24" t="str" cm="1">
        <f t="array" ref="K5282">IFERROR(IF($B5282=K$1, ($A5282+$C5282) - MAX(IF($B$2:$B5281=$B5282, $A$2:$A5281+$C$2:$C5281)), "")*24*60, "")</f>
        <v/>
      </c>
      <c r="L5282" s="24" t="str" cm="1">
        <f t="array" ref="L5282">IFERROR(IF($B5282=L$1, ($A5282+$C5282) - MAX(IF($B$2:$B5281=$B5282, $A$2:$A5281+$C$2:$C5281)), "")*24*60, "")</f>
        <v/>
      </c>
      <c r="M5282" s="24" t="str" cm="1">
        <f t="array" ref="M5282">IFERROR(IF($B5282=M$1, ($A5282+$C5282) - MAX(IF($B$2:$B5281=$B5282, $A$2:$A5281+$C$2:$C5281)), "")*24*60, "")</f>
        <v/>
      </c>
      <c r="N5282" s="24" t="str" cm="1">
        <f t="array" ref="N5282">IFERROR(IF($B5282=N$1, ($A5282+$C5282) - MAX(IF($B$2:$B5281=$B5282, $A$2:$A5281+$C$2:$C5281)), "")*24*60, "")</f>
        <v/>
      </c>
      <c r="O5282" s="24" t="str" cm="1">
        <f t="array" ref="O5282">IFERROR(IF($B5282=O$1, ($A5282+$C5282) - MAX(IF($B$2:$B5281=$B5282, $A$2:$A5281+$C$2:$C5281)), "")*24*60, "")</f>
        <v/>
      </c>
      <c r="P5282" s="24" t="str" cm="1">
        <f t="array" ref="P5282">IFERROR(IF($B5282=P$1, ($A5282+$C5282) - MAX(IF($B$2:$B5281=$B5282, $A$2:$A5281+$C$2:$C5281)), "")*24*60, "")</f>
        <v/>
      </c>
      <c r="Q5282" s="24" t="str" cm="1">
        <f t="array" ref="Q5282">IFERROR(IF($B5282=Q$1, ($A5282+$C5282) - MAX(IF($B$2:$B5281=$B5282, $A$2:$A5281+$C$2:$C5281)), "")*24*60, "")</f>
        <v/>
      </c>
    </row>
    <row r="5283" spans="1:17" x14ac:dyDescent="0.2">
      <c r="A5283" s="12">
        <f t="shared" ref="A5283:C5283" si="1176">A5282</f>
        <v>45983</v>
      </c>
      <c r="B5283" s="5" t="str">
        <f t="shared" si="1176"/>
        <v>Northern Cardinal</v>
      </c>
      <c r="C5283" s="6">
        <f t="shared" si="1176"/>
        <v>0.28194444444444444</v>
      </c>
      <c r="D5283" s="5"/>
      <c r="E5283" s="5"/>
      <c r="F5283" s="5" t="s">
        <v>8</v>
      </c>
      <c r="G5283" s="15" t="s">
        <v>9</v>
      </c>
      <c r="H5283" s="24">
        <f t="shared" si="1129"/>
        <v>0</v>
      </c>
      <c r="I5283" s="24" cm="1">
        <f t="array" ref="I5283">IFERROR(IF($B5283=I$1, ($A5283+$C5283) - MAX(IF($B$2:$B5282=$B5283, $A$2:$A5282+$C$2:$C5282)), "")*24*60, "")</f>
        <v>0</v>
      </c>
      <c r="J5283" s="24" t="str" cm="1">
        <f t="array" ref="J5283">IFERROR(IF($B5283=J$1, ($A5283+$C5283) - MAX(IF($B$2:$B5282=$B5283, $A$2:$A5282+$C$2:$C5282)), "")*24*60, "")</f>
        <v/>
      </c>
      <c r="K5283" s="24" t="str" cm="1">
        <f t="array" ref="K5283">IFERROR(IF($B5283=K$1, ($A5283+$C5283) - MAX(IF($B$2:$B5282=$B5283, $A$2:$A5282+$C$2:$C5282)), "")*24*60, "")</f>
        <v/>
      </c>
      <c r="L5283" s="24" t="str" cm="1">
        <f t="array" ref="L5283">IFERROR(IF($B5283=L$1, ($A5283+$C5283) - MAX(IF($B$2:$B5282=$B5283, $A$2:$A5282+$C$2:$C5282)), "")*24*60, "")</f>
        <v/>
      </c>
      <c r="M5283" s="24" t="str" cm="1">
        <f t="array" ref="M5283">IFERROR(IF($B5283=M$1, ($A5283+$C5283) - MAX(IF($B$2:$B5282=$B5283, $A$2:$A5282+$C$2:$C5282)), "")*24*60, "")</f>
        <v/>
      </c>
      <c r="N5283" s="24" t="str" cm="1">
        <f t="array" ref="N5283">IFERROR(IF($B5283=N$1, ($A5283+$C5283) - MAX(IF($B$2:$B5282=$B5283, $A$2:$A5282+$C$2:$C5282)), "")*24*60, "")</f>
        <v/>
      </c>
      <c r="O5283" s="24" t="str" cm="1">
        <f t="array" ref="O5283">IFERROR(IF($B5283=O$1, ($A5283+$C5283) - MAX(IF($B$2:$B5282=$B5283, $A$2:$A5282+$C$2:$C5282)), "")*24*60, "")</f>
        <v/>
      </c>
      <c r="P5283" s="24" t="str" cm="1">
        <f t="array" ref="P5283">IFERROR(IF($B5283=P$1, ($A5283+$C5283) - MAX(IF($B$2:$B5282=$B5283, $A$2:$A5282+$C$2:$C5282)), "")*24*60, "")</f>
        <v/>
      </c>
      <c r="Q5283" s="24" t="str" cm="1">
        <f t="array" ref="Q5283">IFERROR(IF($B5283=Q$1, ($A5283+$C5283) - MAX(IF($B$2:$B5282=$B5283, $A$2:$A5282+$C$2:$C5282)), "")*24*60, "")</f>
        <v/>
      </c>
    </row>
    <row r="5284" spans="1:17" x14ac:dyDescent="0.2">
      <c r="A5284" s="12">
        <f t="shared" ref="A5284:C5284" si="1177">A5283</f>
        <v>45983</v>
      </c>
      <c r="B5284" s="5" t="str">
        <f t="shared" si="1177"/>
        <v>Northern Cardinal</v>
      </c>
      <c r="C5284" s="6">
        <f t="shared" si="1177"/>
        <v>0.28194444444444444</v>
      </c>
      <c r="D5284" s="5"/>
      <c r="E5284" s="5"/>
      <c r="F5284" s="5" t="s">
        <v>8</v>
      </c>
      <c r="G5284" s="15" t="s">
        <v>9</v>
      </c>
      <c r="H5284" s="24">
        <f t="shared" si="1129"/>
        <v>0</v>
      </c>
      <c r="I5284" s="24" cm="1">
        <f t="array" ref="I5284">IFERROR(IF($B5284=I$1, ($A5284+$C5284) - MAX(IF($B$2:$B5283=$B5284, $A$2:$A5283+$C$2:$C5283)), "")*24*60, "")</f>
        <v>0</v>
      </c>
      <c r="J5284" s="24" t="str" cm="1">
        <f t="array" ref="J5284">IFERROR(IF($B5284=J$1, ($A5284+$C5284) - MAX(IF($B$2:$B5283=$B5284, $A$2:$A5283+$C$2:$C5283)), "")*24*60, "")</f>
        <v/>
      </c>
      <c r="K5284" s="24" t="str" cm="1">
        <f t="array" ref="K5284">IFERROR(IF($B5284=K$1, ($A5284+$C5284) - MAX(IF($B$2:$B5283=$B5284, $A$2:$A5283+$C$2:$C5283)), "")*24*60, "")</f>
        <v/>
      </c>
      <c r="L5284" s="24" t="str" cm="1">
        <f t="array" ref="L5284">IFERROR(IF($B5284=L$1, ($A5284+$C5284) - MAX(IF($B$2:$B5283=$B5284, $A$2:$A5283+$C$2:$C5283)), "")*24*60, "")</f>
        <v/>
      </c>
      <c r="M5284" s="24" t="str" cm="1">
        <f t="array" ref="M5284">IFERROR(IF($B5284=M$1, ($A5284+$C5284) - MAX(IF($B$2:$B5283=$B5284, $A$2:$A5283+$C$2:$C5283)), "")*24*60, "")</f>
        <v/>
      </c>
      <c r="N5284" s="24" t="str" cm="1">
        <f t="array" ref="N5284">IFERROR(IF($B5284=N$1, ($A5284+$C5284) - MAX(IF($B$2:$B5283=$B5284, $A$2:$A5283+$C$2:$C5283)), "")*24*60, "")</f>
        <v/>
      </c>
      <c r="O5284" s="24" t="str" cm="1">
        <f t="array" ref="O5284">IFERROR(IF($B5284=O$1, ($A5284+$C5284) - MAX(IF($B$2:$B5283=$B5284, $A$2:$A5283+$C$2:$C5283)), "")*24*60, "")</f>
        <v/>
      </c>
      <c r="P5284" s="24" t="str" cm="1">
        <f t="array" ref="P5284">IFERROR(IF($B5284=P$1, ($A5284+$C5284) - MAX(IF($B$2:$B5283=$B5284, $A$2:$A5283+$C$2:$C5283)), "")*24*60, "")</f>
        <v/>
      </c>
      <c r="Q5284" s="24" t="str" cm="1">
        <f t="array" ref="Q5284">IFERROR(IF($B5284=Q$1, ($A5284+$C5284) - MAX(IF($B$2:$B5283=$B5284, $A$2:$A5283+$C$2:$C5283)), "")*24*60, "")</f>
        <v/>
      </c>
    </row>
    <row r="5285" spans="1:17" x14ac:dyDescent="0.2">
      <c r="A5285" s="12">
        <f t="shared" ref="A5285:C5285" si="1178">A5284</f>
        <v>45983</v>
      </c>
      <c r="B5285" s="5" t="str">
        <f t="shared" si="1178"/>
        <v>Northern Cardinal</v>
      </c>
      <c r="C5285" s="6">
        <f t="shared" si="1178"/>
        <v>0.28194444444444444</v>
      </c>
      <c r="D5285" s="5"/>
      <c r="E5285" s="5"/>
      <c r="F5285" s="5" t="s">
        <v>8</v>
      </c>
      <c r="G5285" s="15" t="s">
        <v>9</v>
      </c>
      <c r="H5285" s="24">
        <f t="shared" si="1129"/>
        <v>0</v>
      </c>
      <c r="I5285" s="24" cm="1">
        <f t="array" ref="I5285">IFERROR(IF($B5285=I$1, ($A5285+$C5285) - MAX(IF($B$2:$B5284=$B5285, $A$2:$A5284+$C$2:$C5284)), "")*24*60, "")</f>
        <v>0</v>
      </c>
      <c r="J5285" s="24" t="str" cm="1">
        <f t="array" ref="J5285">IFERROR(IF($B5285=J$1, ($A5285+$C5285) - MAX(IF($B$2:$B5284=$B5285, $A$2:$A5284+$C$2:$C5284)), "")*24*60, "")</f>
        <v/>
      </c>
      <c r="K5285" s="24" t="str" cm="1">
        <f t="array" ref="K5285">IFERROR(IF($B5285=K$1, ($A5285+$C5285) - MAX(IF($B$2:$B5284=$B5285, $A$2:$A5284+$C$2:$C5284)), "")*24*60, "")</f>
        <v/>
      </c>
      <c r="L5285" s="24" t="str" cm="1">
        <f t="array" ref="L5285">IFERROR(IF($B5285=L$1, ($A5285+$C5285) - MAX(IF($B$2:$B5284=$B5285, $A$2:$A5284+$C$2:$C5284)), "")*24*60, "")</f>
        <v/>
      </c>
      <c r="M5285" s="24" t="str" cm="1">
        <f t="array" ref="M5285">IFERROR(IF($B5285=M$1, ($A5285+$C5285) - MAX(IF($B$2:$B5284=$B5285, $A$2:$A5284+$C$2:$C5284)), "")*24*60, "")</f>
        <v/>
      </c>
      <c r="N5285" s="24" t="str" cm="1">
        <f t="array" ref="N5285">IFERROR(IF($B5285=N$1, ($A5285+$C5285) - MAX(IF($B$2:$B5284=$B5285, $A$2:$A5284+$C$2:$C5284)), "")*24*60, "")</f>
        <v/>
      </c>
      <c r="O5285" s="24" t="str" cm="1">
        <f t="array" ref="O5285">IFERROR(IF($B5285=O$1, ($A5285+$C5285) - MAX(IF($B$2:$B5284=$B5285, $A$2:$A5284+$C$2:$C5284)), "")*24*60, "")</f>
        <v/>
      </c>
      <c r="P5285" s="24" t="str" cm="1">
        <f t="array" ref="P5285">IFERROR(IF($B5285=P$1, ($A5285+$C5285) - MAX(IF($B$2:$B5284=$B5285, $A$2:$A5284+$C$2:$C5284)), "")*24*60, "")</f>
        <v/>
      </c>
      <c r="Q5285" s="24" t="str" cm="1">
        <f t="array" ref="Q5285">IFERROR(IF($B5285=Q$1, ($A5285+$C5285) - MAX(IF($B$2:$B5284=$B5285, $A$2:$A5284+$C$2:$C5284)), "")*24*60, "")</f>
        <v/>
      </c>
    </row>
    <row r="5286" spans="1:17" x14ac:dyDescent="0.2">
      <c r="A5286" s="12">
        <f t="shared" ref="A5286:C5286" si="1179">A5285</f>
        <v>45983</v>
      </c>
      <c r="B5286" s="5" t="str">
        <f t="shared" si="1179"/>
        <v>Northern Cardinal</v>
      </c>
      <c r="C5286" s="6">
        <f t="shared" si="1179"/>
        <v>0.28194444444444444</v>
      </c>
      <c r="D5286" s="5"/>
      <c r="E5286" s="5"/>
      <c r="F5286" s="5" t="s">
        <v>8</v>
      </c>
      <c r="G5286" s="15" t="s">
        <v>9</v>
      </c>
      <c r="H5286" s="24">
        <f t="shared" si="1129"/>
        <v>0</v>
      </c>
      <c r="I5286" s="24" cm="1">
        <f t="array" ref="I5286">IFERROR(IF($B5286=I$1, ($A5286+$C5286) - MAX(IF($B$2:$B5285=$B5286, $A$2:$A5285+$C$2:$C5285)), "")*24*60, "")</f>
        <v>0</v>
      </c>
      <c r="J5286" s="24" t="str" cm="1">
        <f t="array" ref="J5286">IFERROR(IF($B5286=J$1, ($A5286+$C5286) - MAX(IF($B$2:$B5285=$B5286, $A$2:$A5285+$C$2:$C5285)), "")*24*60, "")</f>
        <v/>
      </c>
      <c r="K5286" s="24" t="str" cm="1">
        <f t="array" ref="K5286">IFERROR(IF($B5286=K$1, ($A5286+$C5286) - MAX(IF($B$2:$B5285=$B5286, $A$2:$A5285+$C$2:$C5285)), "")*24*60, "")</f>
        <v/>
      </c>
      <c r="L5286" s="24" t="str" cm="1">
        <f t="array" ref="L5286">IFERROR(IF($B5286=L$1, ($A5286+$C5286) - MAX(IF($B$2:$B5285=$B5286, $A$2:$A5285+$C$2:$C5285)), "")*24*60, "")</f>
        <v/>
      </c>
      <c r="M5286" s="24" t="str" cm="1">
        <f t="array" ref="M5286">IFERROR(IF($B5286=M$1, ($A5286+$C5286) - MAX(IF($B$2:$B5285=$B5286, $A$2:$A5285+$C$2:$C5285)), "")*24*60, "")</f>
        <v/>
      </c>
      <c r="N5286" s="24" t="str" cm="1">
        <f t="array" ref="N5286">IFERROR(IF($B5286=N$1, ($A5286+$C5286) - MAX(IF($B$2:$B5285=$B5286, $A$2:$A5285+$C$2:$C5285)), "")*24*60, "")</f>
        <v/>
      </c>
      <c r="O5286" s="24" t="str" cm="1">
        <f t="array" ref="O5286">IFERROR(IF($B5286=O$1, ($A5286+$C5286) - MAX(IF($B$2:$B5285=$B5286, $A$2:$A5285+$C$2:$C5285)), "")*24*60, "")</f>
        <v/>
      </c>
      <c r="P5286" s="24" t="str" cm="1">
        <f t="array" ref="P5286">IFERROR(IF($B5286=P$1, ($A5286+$C5286) - MAX(IF($B$2:$B5285=$B5286, $A$2:$A5285+$C$2:$C5285)), "")*24*60, "")</f>
        <v/>
      </c>
      <c r="Q5286" s="24" t="str" cm="1">
        <f t="array" ref="Q5286">IFERROR(IF($B5286=Q$1, ($A5286+$C5286) - MAX(IF($B$2:$B5285=$B5286, $A$2:$A5285+$C$2:$C5285)), "")*24*60, "")</f>
        <v/>
      </c>
    </row>
    <row r="5287" spans="1:17" x14ac:dyDescent="0.2">
      <c r="A5287" s="12">
        <f t="shared" ref="A5287:C5287" si="1180">A5286</f>
        <v>45983</v>
      </c>
      <c r="B5287" s="5" t="str">
        <f t="shared" si="1180"/>
        <v>Northern Cardinal</v>
      </c>
      <c r="C5287" s="6">
        <f t="shared" si="1180"/>
        <v>0.28194444444444444</v>
      </c>
      <c r="D5287" s="5"/>
      <c r="E5287" s="5"/>
      <c r="F5287" s="5" t="s">
        <v>8</v>
      </c>
      <c r="G5287" s="15" t="s">
        <v>9</v>
      </c>
      <c r="H5287" s="24">
        <f t="shared" si="1129"/>
        <v>0</v>
      </c>
      <c r="I5287" s="24" cm="1">
        <f t="array" ref="I5287">IFERROR(IF($B5287=I$1, ($A5287+$C5287) - MAX(IF($B$2:$B5286=$B5287, $A$2:$A5286+$C$2:$C5286)), "")*24*60, "")</f>
        <v>0</v>
      </c>
      <c r="J5287" s="24" t="str" cm="1">
        <f t="array" ref="J5287">IFERROR(IF($B5287=J$1, ($A5287+$C5287) - MAX(IF($B$2:$B5286=$B5287, $A$2:$A5286+$C$2:$C5286)), "")*24*60, "")</f>
        <v/>
      </c>
      <c r="K5287" s="24" t="str" cm="1">
        <f t="array" ref="K5287">IFERROR(IF($B5287=K$1, ($A5287+$C5287) - MAX(IF($B$2:$B5286=$B5287, $A$2:$A5286+$C$2:$C5286)), "")*24*60, "")</f>
        <v/>
      </c>
      <c r="L5287" s="24" t="str" cm="1">
        <f t="array" ref="L5287">IFERROR(IF($B5287=L$1, ($A5287+$C5287) - MAX(IF($B$2:$B5286=$B5287, $A$2:$A5286+$C$2:$C5286)), "")*24*60, "")</f>
        <v/>
      </c>
      <c r="M5287" s="24" t="str" cm="1">
        <f t="array" ref="M5287">IFERROR(IF($B5287=M$1, ($A5287+$C5287) - MAX(IF($B$2:$B5286=$B5287, $A$2:$A5286+$C$2:$C5286)), "")*24*60, "")</f>
        <v/>
      </c>
      <c r="N5287" s="24" t="str" cm="1">
        <f t="array" ref="N5287">IFERROR(IF($B5287=N$1, ($A5287+$C5287) - MAX(IF($B$2:$B5286=$B5287, $A$2:$A5286+$C$2:$C5286)), "")*24*60, "")</f>
        <v/>
      </c>
      <c r="O5287" s="24" t="str" cm="1">
        <f t="array" ref="O5287">IFERROR(IF($B5287=O$1, ($A5287+$C5287) - MAX(IF($B$2:$B5286=$B5287, $A$2:$A5286+$C$2:$C5286)), "")*24*60, "")</f>
        <v/>
      </c>
      <c r="P5287" s="24" t="str" cm="1">
        <f t="array" ref="P5287">IFERROR(IF($B5287=P$1, ($A5287+$C5287) - MAX(IF($B$2:$B5286=$B5287, $A$2:$A5286+$C$2:$C5286)), "")*24*60, "")</f>
        <v/>
      </c>
      <c r="Q5287" s="24" t="str" cm="1">
        <f t="array" ref="Q5287">IFERROR(IF($B5287=Q$1, ($A5287+$C5287) - MAX(IF($B$2:$B5286=$B5287, $A$2:$A5286+$C$2:$C5286)), "")*24*60, "")</f>
        <v/>
      </c>
    </row>
    <row r="5288" spans="1:17" x14ac:dyDescent="0.2">
      <c r="A5288" s="12">
        <f t="shared" ref="A5288:C5288" si="1181">A5287</f>
        <v>45983</v>
      </c>
      <c r="B5288" s="5" t="str">
        <f t="shared" si="1181"/>
        <v>Northern Cardinal</v>
      </c>
      <c r="C5288" s="6">
        <f t="shared" si="1181"/>
        <v>0.28194444444444444</v>
      </c>
      <c r="D5288" s="5"/>
      <c r="E5288" s="5"/>
      <c r="F5288" s="5" t="s">
        <v>8</v>
      </c>
      <c r="G5288" s="15" t="s">
        <v>9</v>
      </c>
      <c r="H5288" s="24">
        <f t="shared" si="1129"/>
        <v>0</v>
      </c>
      <c r="I5288" s="24" cm="1">
        <f t="array" ref="I5288">IFERROR(IF($B5288=I$1, ($A5288+$C5288) - MAX(IF($B$2:$B5287=$B5288, $A$2:$A5287+$C$2:$C5287)), "")*24*60, "")</f>
        <v>0</v>
      </c>
      <c r="J5288" s="24" t="str" cm="1">
        <f t="array" ref="J5288">IFERROR(IF($B5288=J$1, ($A5288+$C5288) - MAX(IF($B$2:$B5287=$B5288, $A$2:$A5287+$C$2:$C5287)), "")*24*60, "")</f>
        <v/>
      </c>
      <c r="K5288" s="24" t="str" cm="1">
        <f t="array" ref="K5288">IFERROR(IF($B5288=K$1, ($A5288+$C5288) - MAX(IF($B$2:$B5287=$B5288, $A$2:$A5287+$C$2:$C5287)), "")*24*60, "")</f>
        <v/>
      </c>
      <c r="L5288" s="24" t="str" cm="1">
        <f t="array" ref="L5288">IFERROR(IF($B5288=L$1, ($A5288+$C5288) - MAX(IF($B$2:$B5287=$B5288, $A$2:$A5287+$C$2:$C5287)), "")*24*60, "")</f>
        <v/>
      </c>
      <c r="M5288" s="24" t="str" cm="1">
        <f t="array" ref="M5288">IFERROR(IF($B5288=M$1, ($A5288+$C5288) - MAX(IF($B$2:$B5287=$B5288, $A$2:$A5287+$C$2:$C5287)), "")*24*60, "")</f>
        <v/>
      </c>
      <c r="N5288" s="24" t="str" cm="1">
        <f t="array" ref="N5288">IFERROR(IF($B5288=N$1, ($A5288+$C5288) - MAX(IF($B$2:$B5287=$B5288, $A$2:$A5287+$C$2:$C5287)), "")*24*60, "")</f>
        <v/>
      </c>
      <c r="O5288" s="24" t="str" cm="1">
        <f t="array" ref="O5288">IFERROR(IF($B5288=O$1, ($A5288+$C5288) - MAX(IF($B$2:$B5287=$B5288, $A$2:$A5287+$C$2:$C5287)), "")*24*60, "")</f>
        <v/>
      </c>
      <c r="P5288" s="24" t="str" cm="1">
        <f t="array" ref="P5288">IFERROR(IF($B5288=P$1, ($A5288+$C5288) - MAX(IF($B$2:$B5287=$B5288, $A$2:$A5287+$C$2:$C5287)), "")*24*60, "")</f>
        <v/>
      </c>
      <c r="Q5288" s="24" t="str" cm="1">
        <f t="array" ref="Q5288">IFERROR(IF($B5288=Q$1, ($A5288+$C5288) - MAX(IF($B$2:$B5287=$B5288, $A$2:$A5287+$C$2:$C5287)), "")*24*60, "")</f>
        <v/>
      </c>
    </row>
    <row r="5289" spans="1:17" x14ac:dyDescent="0.2">
      <c r="A5289" s="12">
        <f t="shared" ref="A5289:C5289" si="1182">A5288</f>
        <v>45983</v>
      </c>
      <c r="B5289" s="5" t="str">
        <f t="shared" si="1182"/>
        <v>Northern Cardinal</v>
      </c>
      <c r="C5289" s="6">
        <f t="shared" si="1182"/>
        <v>0.28194444444444444</v>
      </c>
      <c r="D5289" s="5"/>
      <c r="E5289" s="5"/>
      <c r="F5289" s="5" t="s">
        <v>8</v>
      </c>
      <c r="G5289" s="15" t="s">
        <v>9</v>
      </c>
      <c r="H5289" s="24">
        <f t="shared" si="1129"/>
        <v>0</v>
      </c>
      <c r="I5289" s="24" cm="1">
        <f t="array" ref="I5289">IFERROR(IF($B5289=I$1, ($A5289+$C5289) - MAX(IF($B$2:$B5288=$B5289, $A$2:$A5288+$C$2:$C5288)), "")*24*60, "")</f>
        <v>0</v>
      </c>
      <c r="J5289" s="24" t="str" cm="1">
        <f t="array" ref="J5289">IFERROR(IF($B5289=J$1, ($A5289+$C5289) - MAX(IF($B$2:$B5288=$B5289, $A$2:$A5288+$C$2:$C5288)), "")*24*60, "")</f>
        <v/>
      </c>
      <c r="K5289" s="24" t="str" cm="1">
        <f t="array" ref="K5289">IFERROR(IF($B5289=K$1, ($A5289+$C5289) - MAX(IF($B$2:$B5288=$B5289, $A$2:$A5288+$C$2:$C5288)), "")*24*60, "")</f>
        <v/>
      </c>
      <c r="L5289" s="24" t="str" cm="1">
        <f t="array" ref="L5289">IFERROR(IF($B5289=L$1, ($A5289+$C5289) - MAX(IF($B$2:$B5288=$B5289, $A$2:$A5288+$C$2:$C5288)), "")*24*60, "")</f>
        <v/>
      </c>
      <c r="M5289" s="24" t="str" cm="1">
        <f t="array" ref="M5289">IFERROR(IF($B5289=M$1, ($A5289+$C5289) - MAX(IF($B$2:$B5288=$B5289, $A$2:$A5288+$C$2:$C5288)), "")*24*60, "")</f>
        <v/>
      </c>
      <c r="N5289" s="24" t="str" cm="1">
        <f t="array" ref="N5289">IFERROR(IF($B5289=N$1, ($A5289+$C5289) - MAX(IF($B$2:$B5288=$B5289, $A$2:$A5288+$C$2:$C5288)), "")*24*60, "")</f>
        <v/>
      </c>
      <c r="O5289" s="24" t="str" cm="1">
        <f t="array" ref="O5289">IFERROR(IF($B5289=O$1, ($A5289+$C5289) - MAX(IF($B$2:$B5288=$B5289, $A$2:$A5288+$C$2:$C5288)), "")*24*60, "")</f>
        <v/>
      </c>
      <c r="P5289" s="24" t="str" cm="1">
        <f t="array" ref="P5289">IFERROR(IF($B5289=P$1, ($A5289+$C5289) - MAX(IF($B$2:$B5288=$B5289, $A$2:$A5288+$C$2:$C5288)), "")*24*60, "")</f>
        <v/>
      </c>
      <c r="Q5289" s="24" t="str" cm="1">
        <f t="array" ref="Q5289">IFERROR(IF($B5289=Q$1, ($A5289+$C5289) - MAX(IF($B$2:$B5288=$B5289, $A$2:$A5288+$C$2:$C5288)), "")*24*60, "")</f>
        <v/>
      </c>
    </row>
    <row r="5290" spans="1:17" x14ac:dyDescent="0.2">
      <c r="A5290" s="12">
        <f t="shared" ref="A5290:C5290" si="1183">A5289</f>
        <v>45983</v>
      </c>
      <c r="B5290" s="5" t="str">
        <f t="shared" si="1183"/>
        <v>Northern Cardinal</v>
      </c>
      <c r="C5290" s="6">
        <f t="shared" si="1183"/>
        <v>0.28194444444444444</v>
      </c>
      <c r="D5290" s="5"/>
      <c r="E5290" s="5"/>
      <c r="F5290" s="5" t="s">
        <v>8</v>
      </c>
      <c r="G5290" s="15" t="s">
        <v>9</v>
      </c>
      <c r="H5290" s="24">
        <f t="shared" si="1129"/>
        <v>0</v>
      </c>
      <c r="I5290" s="24" cm="1">
        <f t="array" ref="I5290">IFERROR(IF($B5290=I$1, ($A5290+$C5290) - MAX(IF($B$2:$B5289=$B5290, $A$2:$A5289+$C$2:$C5289)), "")*24*60, "")</f>
        <v>0</v>
      </c>
      <c r="J5290" s="24" t="str" cm="1">
        <f t="array" ref="J5290">IFERROR(IF($B5290=J$1, ($A5290+$C5290) - MAX(IF($B$2:$B5289=$B5290, $A$2:$A5289+$C$2:$C5289)), "")*24*60, "")</f>
        <v/>
      </c>
      <c r="K5290" s="24" t="str" cm="1">
        <f t="array" ref="K5290">IFERROR(IF($B5290=K$1, ($A5290+$C5290) - MAX(IF($B$2:$B5289=$B5290, $A$2:$A5289+$C$2:$C5289)), "")*24*60, "")</f>
        <v/>
      </c>
      <c r="L5290" s="24" t="str" cm="1">
        <f t="array" ref="L5290">IFERROR(IF($B5290=L$1, ($A5290+$C5290) - MAX(IF($B$2:$B5289=$B5290, $A$2:$A5289+$C$2:$C5289)), "")*24*60, "")</f>
        <v/>
      </c>
      <c r="M5290" s="24" t="str" cm="1">
        <f t="array" ref="M5290">IFERROR(IF($B5290=M$1, ($A5290+$C5290) - MAX(IF($B$2:$B5289=$B5290, $A$2:$A5289+$C$2:$C5289)), "")*24*60, "")</f>
        <v/>
      </c>
      <c r="N5290" s="24" t="str" cm="1">
        <f t="array" ref="N5290">IFERROR(IF($B5290=N$1, ($A5290+$C5290) - MAX(IF($B$2:$B5289=$B5290, $A$2:$A5289+$C$2:$C5289)), "")*24*60, "")</f>
        <v/>
      </c>
      <c r="O5290" s="24" t="str" cm="1">
        <f t="array" ref="O5290">IFERROR(IF($B5290=O$1, ($A5290+$C5290) - MAX(IF($B$2:$B5289=$B5290, $A$2:$A5289+$C$2:$C5289)), "")*24*60, "")</f>
        <v/>
      </c>
      <c r="P5290" s="24" t="str" cm="1">
        <f t="array" ref="P5290">IFERROR(IF($B5290=P$1, ($A5290+$C5290) - MAX(IF($B$2:$B5289=$B5290, $A$2:$A5289+$C$2:$C5289)), "")*24*60, "")</f>
        <v/>
      </c>
      <c r="Q5290" s="24" t="str" cm="1">
        <f t="array" ref="Q5290">IFERROR(IF($B5290=Q$1, ($A5290+$C5290) - MAX(IF($B$2:$B5289=$B5290, $A$2:$A5289+$C$2:$C5289)), "")*24*60, "")</f>
        <v/>
      </c>
    </row>
    <row r="5291" spans="1:17" x14ac:dyDescent="0.2">
      <c r="A5291" s="12">
        <f t="shared" ref="A5291:C5291" si="1184">A5290</f>
        <v>45983</v>
      </c>
      <c r="B5291" s="5" t="str">
        <f t="shared" si="1184"/>
        <v>Northern Cardinal</v>
      </c>
      <c r="C5291" s="6">
        <f t="shared" si="1184"/>
        <v>0.28194444444444444</v>
      </c>
      <c r="D5291" s="5"/>
      <c r="E5291" s="5"/>
      <c r="F5291" s="5" t="s">
        <v>8</v>
      </c>
      <c r="G5291" s="15" t="s">
        <v>9</v>
      </c>
      <c r="H5291" s="24">
        <f t="shared" si="1129"/>
        <v>0</v>
      </c>
      <c r="I5291" s="24" cm="1">
        <f t="array" ref="I5291">IFERROR(IF($B5291=I$1, ($A5291+$C5291) - MAX(IF($B$2:$B5290=$B5291, $A$2:$A5290+$C$2:$C5290)), "")*24*60, "")</f>
        <v>0</v>
      </c>
      <c r="J5291" s="24" t="str" cm="1">
        <f t="array" ref="J5291">IFERROR(IF($B5291=J$1, ($A5291+$C5291) - MAX(IF($B$2:$B5290=$B5291, $A$2:$A5290+$C$2:$C5290)), "")*24*60, "")</f>
        <v/>
      </c>
      <c r="K5291" s="24" t="str" cm="1">
        <f t="array" ref="K5291">IFERROR(IF($B5291=K$1, ($A5291+$C5291) - MAX(IF($B$2:$B5290=$B5291, $A$2:$A5290+$C$2:$C5290)), "")*24*60, "")</f>
        <v/>
      </c>
      <c r="L5291" s="24" t="str" cm="1">
        <f t="array" ref="L5291">IFERROR(IF($B5291=L$1, ($A5291+$C5291) - MAX(IF($B$2:$B5290=$B5291, $A$2:$A5290+$C$2:$C5290)), "")*24*60, "")</f>
        <v/>
      </c>
      <c r="M5291" s="24" t="str" cm="1">
        <f t="array" ref="M5291">IFERROR(IF($B5291=M$1, ($A5291+$C5291) - MAX(IF($B$2:$B5290=$B5291, $A$2:$A5290+$C$2:$C5290)), "")*24*60, "")</f>
        <v/>
      </c>
      <c r="N5291" s="24" t="str" cm="1">
        <f t="array" ref="N5291">IFERROR(IF($B5291=N$1, ($A5291+$C5291) - MAX(IF($B$2:$B5290=$B5291, $A$2:$A5290+$C$2:$C5290)), "")*24*60, "")</f>
        <v/>
      </c>
      <c r="O5291" s="24" t="str" cm="1">
        <f t="array" ref="O5291">IFERROR(IF($B5291=O$1, ($A5291+$C5291) - MAX(IF($B$2:$B5290=$B5291, $A$2:$A5290+$C$2:$C5290)), "")*24*60, "")</f>
        <v/>
      </c>
      <c r="P5291" s="24" t="str" cm="1">
        <f t="array" ref="P5291">IFERROR(IF($B5291=P$1, ($A5291+$C5291) - MAX(IF($B$2:$B5290=$B5291, $A$2:$A5290+$C$2:$C5290)), "")*24*60, "")</f>
        <v/>
      </c>
      <c r="Q5291" s="24" t="str" cm="1">
        <f t="array" ref="Q5291">IFERROR(IF($B5291=Q$1, ($A5291+$C5291) - MAX(IF($B$2:$B5290=$B5291, $A$2:$A5290+$C$2:$C5290)), "")*24*60, "")</f>
        <v/>
      </c>
    </row>
    <row r="5292" spans="1:17" x14ac:dyDescent="0.2">
      <c r="A5292" s="12">
        <f t="shared" ref="A5292:C5292" si="1185">A5291</f>
        <v>45983</v>
      </c>
      <c r="B5292" s="5" t="str">
        <f t="shared" si="1185"/>
        <v>Northern Cardinal</v>
      </c>
      <c r="C5292" s="6">
        <f t="shared" si="1185"/>
        <v>0.28194444444444444</v>
      </c>
      <c r="D5292" s="5"/>
      <c r="E5292" s="5"/>
      <c r="F5292" s="5" t="s">
        <v>8</v>
      </c>
      <c r="G5292" s="15" t="s">
        <v>9</v>
      </c>
      <c r="H5292" s="24">
        <f t="shared" si="1129"/>
        <v>0</v>
      </c>
      <c r="I5292" s="24" cm="1">
        <f t="array" ref="I5292">IFERROR(IF($B5292=I$1, ($A5292+$C5292) - MAX(IF($B$2:$B5291=$B5292, $A$2:$A5291+$C$2:$C5291)), "")*24*60, "")</f>
        <v>0</v>
      </c>
      <c r="J5292" s="24" t="str" cm="1">
        <f t="array" ref="J5292">IFERROR(IF($B5292=J$1, ($A5292+$C5292) - MAX(IF($B$2:$B5291=$B5292, $A$2:$A5291+$C$2:$C5291)), "")*24*60, "")</f>
        <v/>
      </c>
      <c r="K5292" s="24" t="str" cm="1">
        <f t="array" ref="K5292">IFERROR(IF($B5292=K$1, ($A5292+$C5292) - MAX(IF($B$2:$B5291=$B5292, $A$2:$A5291+$C$2:$C5291)), "")*24*60, "")</f>
        <v/>
      </c>
      <c r="L5292" s="24" t="str" cm="1">
        <f t="array" ref="L5292">IFERROR(IF($B5292=L$1, ($A5292+$C5292) - MAX(IF($B$2:$B5291=$B5292, $A$2:$A5291+$C$2:$C5291)), "")*24*60, "")</f>
        <v/>
      </c>
      <c r="M5292" s="24" t="str" cm="1">
        <f t="array" ref="M5292">IFERROR(IF($B5292=M$1, ($A5292+$C5292) - MAX(IF($B$2:$B5291=$B5292, $A$2:$A5291+$C$2:$C5291)), "")*24*60, "")</f>
        <v/>
      </c>
      <c r="N5292" s="24" t="str" cm="1">
        <f t="array" ref="N5292">IFERROR(IF($B5292=N$1, ($A5292+$C5292) - MAX(IF($B$2:$B5291=$B5292, $A$2:$A5291+$C$2:$C5291)), "")*24*60, "")</f>
        <v/>
      </c>
      <c r="O5292" s="24" t="str" cm="1">
        <f t="array" ref="O5292">IFERROR(IF($B5292=O$1, ($A5292+$C5292) - MAX(IF($B$2:$B5291=$B5292, $A$2:$A5291+$C$2:$C5291)), "")*24*60, "")</f>
        <v/>
      </c>
      <c r="P5292" s="24" t="str" cm="1">
        <f t="array" ref="P5292">IFERROR(IF($B5292=P$1, ($A5292+$C5292) - MAX(IF($B$2:$B5291=$B5292, $A$2:$A5291+$C$2:$C5291)), "")*24*60, "")</f>
        <v/>
      </c>
      <c r="Q5292" s="24" t="str" cm="1">
        <f t="array" ref="Q5292">IFERROR(IF($B5292=Q$1, ($A5292+$C5292) - MAX(IF($B$2:$B5291=$B5292, $A$2:$A5291+$C$2:$C5291)), "")*24*60, "")</f>
        <v/>
      </c>
    </row>
    <row r="5293" spans="1:17" x14ac:dyDescent="0.2">
      <c r="A5293" s="12">
        <f t="shared" ref="A5293:C5293" si="1186">A5292</f>
        <v>45983</v>
      </c>
      <c r="B5293" s="5" t="str">
        <f t="shared" si="1186"/>
        <v>Northern Cardinal</v>
      </c>
      <c r="C5293" s="6">
        <f t="shared" si="1186"/>
        <v>0.28194444444444444</v>
      </c>
      <c r="D5293" s="5"/>
      <c r="E5293" s="5"/>
      <c r="F5293" s="5" t="s">
        <v>8</v>
      </c>
      <c r="G5293" s="15" t="s">
        <v>9</v>
      </c>
      <c r="H5293" s="24">
        <f t="shared" si="1129"/>
        <v>0</v>
      </c>
      <c r="I5293" s="24" cm="1">
        <f t="array" ref="I5293">IFERROR(IF($B5293=I$1, ($A5293+$C5293) - MAX(IF($B$2:$B5292=$B5293, $A$2:$A5292+$C$2:$C5292)), "")*24*60, "")</f>
        <v>0</v>
      </c>
      <c r="J5293" s="24" t="str" cm="1">
        <f t="array" ref="J5293">IFERROR(IF($B5293=J$1, ($A5293+$C5293) - MAX(IF($B$2:$B5292=$B5293, $A$2:$A5292+$C$2:$C5292)), "")*24*60, "")</f>
        <v/>
      </c>
      <c r="K5293" s="24" t="str" cm="1">
        <f t="array" ref="K5293">IFERROR(IF($B5293=K$1, ($A5293+$C5293) - MAX(IF($B$2:$B5292=$B5293, $A$2:$A5292+$C$2:$C5292)), "")*24*60, "")</f>
        <v/>
      </c>
      <c r="L5293" s="24" t="str" cm="1">
        <f t="array" ref="L5293">IFERROR(IF($B5293=L$1, ($A5293+$C5293) - MAX(IF($B$2:$B5292=$B5293, $A$2:$A5292+$C$2:$C5292)), "")*24*60, "")</f>
        <v/>
      </c>
      <c r="M5293" s="24" t="str" cm="1">
        <f t="array" ref="M5293">IFERROR(IF($B5293=M$1, ($A5293+$C5293) - MAX(IF($B$2:$B5292=$B5293, $A$2:$A5292+$C$2:$C5292)), "")*24*60, "")</f>
        <v/>
      </c>
      <c r="N5293" s="24" t="str" cm="1">
        <f t="array" ref="N5293">IFERROR(IF($B5293=N$1, ($A5293+$C5293) - MAX(IF($B$2:$B5292=$B5293, $A$2:$A5292+$C$2:$C5292)), "")*24*60, "")</f>
        <v/>
      </c>
      <c r="O5293" s="24" t="str" cm="1">
        <f t="array" ref="O5293">IFERROR(IF($B5293=O$1, ($A5293+$C5293) - MAX(IF($B$2:$B5292=$B5293, $A$2:$A5292+$C$2:$C5292)), "")*24*60, "")</f>
        <v/>
      </c>
      <c r="P5293" s="24" t="str" cm="1">
        <f t="array" ref="P5293">IFERROR(IF($B5293=P$1, ($A5293+$C5293) - MAX(IF($B$2:$B5292=$B5293, $A$2:$A5292+$C$2:$C5292)), "")*24*60, "")</f>
        <v/>
      </c>
      <c r="Q5293" s="24" t="str" cm="1">
        <f t="array" ref="Q5293">IFERROR(IF($B5293=Q$1, ($A5293+$C5293) - MAX(IF($B$2:$B5292=$B5293, $A$2:$A5292+$C$2:$C5292)), "")*24*60, "")</f>
        <v/>
      </c>
    </row>
    <row r="5294" spans="1:17" x14ac:dyDescent="0.2">
      <c r="A5294" s="12">
        <f t="shared" ref="A5294:C5294" si="1187">A5293</f>
        <v>45983</v>
      </c>
      <c r="B5294" s="5" t="str">
        <f t="shared" si="1187"/>
        <v>Northern Cardinal</v>
      </c>
      <c r="C5294" s="6">
        <f t="shared" si="1187"/>
        <v>0.28194444444444444</v>
      </c>
      <c r="D5294" s="5"/>
      <c r="E5294" s="5"/>
      <c r="F5294" s="5" t="s">
        <v>8</v>
      </c>
      <c r="G5294" s="15" t="s">
        <v>9</v>
      </c>
      <c r="H5294" s="24">
        <f t="shared" si="1129"/>
        <v>0</v>
      </c>
      <c r="I5294" s="24" cm="1">
        <f t="array" ref="I5294">IFERROR(IF($B5294=I$1, ($A5294+$C5294) - MAX(IF($B$2:$B5293=$B5294, $A$2:$A5293+$C$2:$C5293)), "")*24*60, "")</f>
        <v>0</v>
      </c>
      <c r="J5294" s="24" t="str" cm="1">
        <f t="array" ref="J5294">IFERROR(IF($B5294=J$1, ($A5294+$C5294) - MAX(IF($B$2:$B5293=$B5294, $A$2:$A5293+$C$2:$C5293)), "")*24*60, "")</f>
        <v/>
      </c>
      <c r="K5294" s="24" t="str" cm="1">
        <f t="array" ref="K5294">IFERROR(IF($B5294=K$1, ($A5294+$C5294) - MAX(IF($B$2:$B5293=$B5294, $A$2:$A5293+$C$2:$C5293)), "")*24*60, "")</f>
        <v/>
      </c>
      <c r="L5294" s="24" t="str" cm="1">
        <f t="array" ref="L5294">IFERROR(IF($B5294=L$1, ($A5294+$C5294) - MAX(IF($B$2:$B5293=$B5294, $A$2:$A5293+$C$2:$C5293)), "")*24*60, "")</f>
        <v/>
      </c>
      <c r="M5294" s="24" t="str" cm="1">
        <f t="array" ref="M5294">IFERROR(IF($B5294=M$1, ($A5294+$C5294) - MAX(IF($B$2:$B5293=$B5294, $A$2:$A5293+$C$2:$C5293)), "")*24*60, "")</f>
        <v/>
      </c>
      <c r="N5294" s="24" t="str" cm="1">
        <f t="array" ref="N5294">IFERROR(IF($B5294=N$1, ($A5294+$C5294) - MAX(IF($B$2:$B5293=$B5294, $A$2:$A5293+$C$2:$C5293)), "")*24*60, "")</f>
        <v/>
      </c>
      <c r="O5294" s="24" t="str" cm="1">
        <f t="array" ref="O5294">IFERROR(IF($B5294=O$1, ($A5294+$C5294) - MAX(IF($B$2:$B5293=$B5294, $A$2:$A5293+$C$2:$C5293)), "")*24*60, "")</f>
        <v/>
      </c>
      <c r="P5294" s="24" t="str" cm="1">
        <f t="array" ref="P5294">IFERROR(IF($B5294=P$1, ($A5294+$C5294) - MAX(IF($B$2:$B5293=$B5294, $A$2:$A5293+$C$2:$C5293)), "")*24*60, "")</f>
        <v/>
      </c>
      <c r="Q5294" s="24" t="str" cm="1">
        <f t="array" ref="Q5294">IFERROR(IF($B5294=Q$1, ($A5294+$C5294) - MAX(IF($B$2:$B5293=$B5294, $A$2:$A5293+$C$2:$C5293)), "")*24*60, "")</f>
        <v/>
      </c>
    </row>
    <row r="5295" spans="1:17" x14ac:dyDescent="0.2">
      <c r="A5295" s="12">
        <f t="shared" ref="A5295:C5295" si="1188">A5294</f>
        <v>45983</v>
      </c>
      <c r="B5295" s="5" t="str">
        <f t="shared" si="1188"/>
        <v>Northern Cardinal</v>
      </c>
      <c r="C5295" s="6">
        <f t="shared" si="1188"/>
        <v>0.28194444444444444</v>
      </c>
      <c r="D5295" s="5"/>
      <c r="E5295" s="5"/>
      <c r="F5295" s="5" t="s">
        <v>8</v>
      </c>
      <c r="G5295" s="15" t="s">
        <v>9</v>
      </c>
      <c r="H5295" s="24">
        <f t="shared" si="1129"/>
        <v>0</v>
      </c>
      <c r="I5295" s="24" cm="1">
        <f t="array" ref="I5295">IFERROR(IF($B5295=I$1, ($A5295+$C5295) - MAX(IF($B$2:$B5294=$B5295, $A$2:$A5294+$C$2:$C5294)), "")*24*60, "")</f>
        <v>0</v>
      </c>
      <c r="J5295" s="24" t="str" cm="1">
        <f t="array" ref="J5295">IFERROR(IF($B5295=J$1, ($A5295+$C5295) - MAX(IF($B$2:$B5294=$B5295, $A$2:$A5294+$C$2:$C5294)), "")*24*60, "")</f>
        <v/>
      </c>
      <c r="K5295" s="24" t="str" cm="1">
        <f t="array" ref="K5295">IFERROR(IF($B5295=K$1, ($A5295+$C5295) - MAX(IF($B$2:$B5294=$B5295, $A$2:$A5294+$C$2:$C5294)), "")*24*60, "")</f>
        <v/>
      </c>
      <c r="L5295" s="24" t="str" cm="1">
        <f t="array" ref="L5295">IFERROR(IF($B5295=L$1, ($A5295+$C5295) - MAX(IF($B$2:$B5294=$B5295, $A$2:$A5294+$C$2:$C5294)), "")*24*60, "")</f>
        <v/>
      </c>
      <c r="M5295" s="24" t="str" cm="1">
        <f t="array" ref="M5295">IFERROR(IF($B5295=M$1, ($A5295+$C5295) - MAX(IF($B$2:$B5294=$B5295, $A$2:$A5294+$C$2:$C5294)), "")*24*60, "")</f>
        <v/>
      </c>
      <c r="N5295" s="24" t="str" cm="1">
        <f t="array" ref="N5295">IFERROR(IF($B5295=N$1, ($A5295+$C5295) - MAX(IF($B$2:$B5294=$B5295, $A$2:$A5294+$C$2:$C5294)), "")*24*60, "")</f>
        <v/>
      </c>
      <c r="O5295" s="24" t="str" cm="1">
        <f t="array" ref="O5295">IFERROR(IF($B5295=O$1, ($A5295+$C5295) - MAX(IF($B$2:$B5294=$B5295, $A$2:$A5294+$C$2:$C5294)), "")*24*60, "")</f>
        <v/>
      </c>
      <c r="P5295" s="24" t="str" cm="1">
        <f t="array" ref="P5295">IFERROR(IF($B5295=P$1, ($A5295+$C5295) - MAX(IF($B$2:$B5294=$B5295, $A$2:$A5294+$C$2:$C5294)), "")*24*60, "")</f>
        <v/>
      </c>
      <c r="Q5295" s="24" t="str" cm="1">
        <f t="array" ref="Q5295">IFERROR(IF($B5295=Q$1, ($A5295+$C5295) - MAX(IF($B$2:$B5294=$B5295, $A$2:$A5294+$C$2:$C5294)), "")*24*60, "")</f>
        <v/>
      </c>
    </row>
    <row r="5296" spans="1:17" x14ac:dyDescent="0.2">
      <c r="A5296" s="12">
        <f t="shared" ref="A5296:C5296" si="1189">A5295</f>
        <v>45983</v>
      </c>
      <c r="B5296" s="5" t="str">
        <f t="shared" si="1189"/>
        <v>Northern Cardinal</v>
      </c>
      <c r="C5296" s="6">
        <f t="shared" si="1189"/>
        <v>0.28194444444444444</v>
      </c>
      <c r="D5296" s="5"/>
      <c r="E5296" s="5"/>
      <c r="F5296" s="5" t="s">
        <v>8</v>
      </c>
      <c r="G5296" s="15" t="s">
        <v>9</v>
      </c>
      <c r="H5296" s="24">
        <f t="shared" si="1129"/>
        <v>0</v>
      </c>
      <c r="I5296" s="24" cm="1">
        <f t="array" ref="I5296">IFERROR(IF($B5296=I$1, ($A5296+$C5296) - MAX(IF($B$2:$B5295=$B5296, $A$2:$A5295+$C$2:$C5295)), "")*24*60, "")</f>
        <v>0</v>
      </c>
      <c r="J5296" s="24" t="str" cm="1">
        <f t="array" ref="J5296">IFERROR(IF($B5296=J$1, ($A5296+$C5296) - MAX(IF($B$2:$B5295=$B5296, $A$2:$A5295+$C$2:$C5295)), "")*24*60, "")</f>
        <v/>
      </c>
      <c r="K5296" s="24" t="str" cm="1">
        <f t="array" ref="K5296">IFERROR(IF($B5296=K$1, ($A5296+$C5296) - MAX(IF($B$2:$B5295=$B5296, $A$2:$A5295+$C$2:$C5295)), "")*24*60, "")</f>
        <v/>
      </c>
      <c r="L5296" s="24" t="str" cm="1">
        <f t="array" ref="L5296">IFERROR(IF($B5296=L$1, ($A5296+$C5296) - MAX(IF($B$2:$B5295=$B5296, $A$2:$A5295+$C$2:$C5295)), "")*24*60, "")</f>
        <v/>
      </c>
      <c r="M5296" s="24" t="str" cm="1">
        <f t="array" ref="M5296">IFERROR(IF($B5296=M$1, ($A5296+$C5296) - MAX(IF($B$2:$B5295=$B5296, $A$2:$A5295+$C$2:$C5295)), "")*24*60, "")</f>
        <v/>
      </c>
      <c r="N5296" s="24" t="str" cm="1">
        <f t="array" ref="N5296">IFERROR(IF($B5296=N$1, ($A5296+$C5296) - MAX(IF($B$2:$B5295=$B5296, $A$2:$A5295+$C$2:$C5295)), "")*24*60, "")</f>
        <v/>
      </c>
      <c r="O5296" s="24" t="str" cm="1">
        <f t="array" ref="O5296">IFERROR(IF($B5296=O$1, ($A5296+$C5296) - MAX(IF($B$2:$B5295=$B5296, $A$2:$A5295+$C$2:$C5295)), "")*24*60, "")</f>
        <v/>
      </c>
      <c r="P5296" s="24" t="str" cm="1">
        <f t="array" ref="P5296">IFERROR(IF($B5296=P$1, ($A5296+$C5296) - MAX(IF($B$2:$B5295=$B5296, $A$2:$A5295+$C$2:$C5295)), "")*24*60, "")</f>
        <v/>
      </c>
      <c r="Q5296" s="24" t="str" cm="1">
        <f t="array" ref="Q5296">IFERROR(IF($B5296=Q$1, ($A5296+$C5296) - MAX(IF($B$2:$B5295=$B5296, $A$2:$A5295+$C$2:$C5295)), "")*24*60, "")</f>
        <v/>
      </c>
    </row>
    <row r="5297" spans="1:17" x14ac:dyDescent="0.2">
      <c r="A5297" s="12">
        <f t="shared" ref="A5297:C5297" si="1190">A5296</f>
        <v>45983</v>
      </c>
      <c r="B5297" s="5" t="str">
        <f t="shared" si="1190"/>
        <v>Northern Cardinal</v>
      </c>
      <c r="C5297" s="6">
        <f t="shared" si="1190"/>
        <v>0.28194444444444444</v>
      </c>
      <c r="D5297" s="5"/>
      <c r="E5297" s="5"/>
      <c r="F5297" s="5" t="s">
        <v>8</v>
      </c>
      <c r="G5297" s="15" t="s">
        <v>9</v>
      </c>
      <c r="H5297" s="24">
        <f t="shared" si="1129"/>
        <v>0</v>
      </c>
      <c r="I5297" s="24" cm="1">
        <f t="array" ref="I5297">IFERROR(IF($B5297=I$1, ($A5297+$C5297) - MAX(IF($B$2:$B5296=$B5297, $A$2:$A5296+$C$2:$C5296)), "")*24*60, "")</f>
        <v>0</v>
      </c>
      <c r="J5297" s="24" t="str" cm="1">
        <f t="array" ref="J5297">IFERROR(IF($B5297=J$1, ($A5297+$C5297) - MAX(IF($B$2:$B5296=$B5297, $A$2:$A5296+$C$2:$C5296)), "")*24*60, "")</f>
        <v/>
      </c>
      <c r="K5297" s="24" t="str" cm="1">
        <f t="array" ref="K5297">IFERROR(IF($B5297=K$1, ($A5297+$C5297) - MAX(IF($B$2:$B5296=$B5297, $A$2:$A5296+$C$2:$C5296)), "")*24*60, "")</f>
        <v/>
      </c>
      <c r="L5297" s="24" t="str" cm="1">
        <f t="array" ref="L5297">IFERROR(IF($B5297=L$1, ($A5297+$C5297) - MAX(IF($B$2:$B5296=$B5297, $A$2:$A5296+$C$2:$C5296)), "")*24*60, "")</f>
        <v/>
      </c>
      <c r="M5297" s="24" t="str" cm="1">
        <f t="array" ref="M5297">IFERROR(IF($B5297=M$1, ($A5297+$C5297) - MAX(IF($B$2:$B5296=$B5297, $A$2:$A5296+$C$2:$C5296)), "")*24*60, "")</f>
        <v/>
      </c>
      <c r="N5297" s="24" t="str" cm="1">
        <f t="array" ref="N5297">IFERROR(IF($B5297=N$1, ($A5297+$C5297) - MAX(IF($B$2:$B5296=$B5297, $A$2:$A5296+$C$2:$C5296)), "")*24*60, "")</f>
        <v/>
      </c>
      <c r="O5297" s="24" t="str" cm="1">
        <f t="array" ref="O5297">IFERROR(IF($B5297=O$1, ($A5297+$C5297) - MAX(IF($B$2:$B5296=$B5297, $A$2:$A5296+$C$2:$C5296)), "")*24*60, "")</f>
        <v/>
      </c>
      <c r="P5297" s="24" t="str" cm="1">
        <f t="array" ref="P5297">IFERROR(IF($B5297=P$1, ($A5297+$C5297) - MAX(IF($B$2:$B5296=$B5297, $A$2:$A5296+$C$2:$C5296)), "")*24*60, "")</f>
        <v/>
      </c>
      <c r="Q5297" s="24" t="str" cm="1">
        <f t="array" ref="Q5297">IFERROR(IF($B5297=Q$1, ($A5297+$C5297) - MAX(IF($B$2:$B5296=$B5297, $A$2:$A5296+$C$2:$C5296)), "")*24*60, "")</f>
        <v/>
      </c>
    </row>
    <row r="5298" spans="1:17" x14ac:dyDescent="0.2">
      <c r="A5298" s="12">
        <f t="shared" ref="A5298:C5298" si="1191">A5297</f>
        <v>45983</v>
      </c>
      <c r="B5298" s="5" t="str">
        <f t="shared" si="1191"/>
        <v>Northern Cardinal</v>
      </c>
      <c r="C5298" s="6">
        <f t="shared" si="1191"/>
        <v>0.28194444444444444</v>
      </c>
      <c r="D5298" s="5"/>
      <c r="E5298" s="5"/>
      <c r="F5298" s="5" t="s">
        <v>8</v>
      </c>
      <c r="G5298" s="15" t="s">
        <v>9</v>
      </c>
      <c r="H5298" s="24">
        <f t="shared" si="1129"/>
        <v>0</v>
      </c>
      <c r="I5298" s="24" cm="1">
        <f t="array" ref="I5298">IFERROR(IF($B5298=I$1, ($A5298+$C5298) - MAX(IF($B$2:$B5297=$B5298, $A$2:$A5297+$C$2:$C5297)), "")*24*60, "")</f>
        <v>0</v>
      </c>
      <c r="J5298" s="24" t="str" cm="1">
        <f t="array" ref="J5298">IFERROR(IF($B5298=J$1, ($A5298+$C5298) - MAX(IF($B$2:$B5297=$B5298, $A$2:$A5297+$C$2:$C5297)), "")*24*60, "")</f>
        <v/>
      </c>
      <c r="K5298" s="24" t="str" cm="1">
        <f t="array" ref="K5298">IFERROR(IF($B5298=K$1, ($A5298+$C5298) - MAX(IF($B$2:$B5297=$B5298, $A$2:$A5297+$C$2:$C5297)), "")*24*60, "")</f>
        <v/>
      </c>
      <c r="L5298" s="24" t="str" cm="1">
        <f t="array" ref="L5298">IFERROR(IF($B5298=L$1, ($A5298+$C5298) - MAX(IF($B$2:$B5297=$B5298, $A$2:$A5297+$C$2:$C5297)), "")*24*60, "")</f>
        <v/>
      </c>
      <c r="M5298" s="24" t="str" cm="1">
        <f t="array" ref="M5298">IFERROR(IF($B5298=M$1, ($A5298+$C5298) - MAX(IF($B$2:$B5297=$B5298, $A$2:$A5297+$C$2:$C5297)), "")*24*60, "")</f>
        <v/>
      </c>
      <c r="N5298" s="24" t="str" cm="1">
        <f t="array" ref="N5298">IFERROR(IF($B5298=N$1, ($A5298+$C5298) - MAX(IF($B$2:$B5297=$B5298, $A$2:$A5297+$C$2:$C5297)), "")*24*60, "")</f>
        <v/>
      </c>
      <c r="O5298" s="24" t="str" cm="1">
        <f t="array" ref="O5298">IFERROR(IF($B5298=O$1, ($A5298+$C5298) - MAX(IF($B$2:$B5297=$B5298, $A$2:$A5297+$C$2:$C5297)), "")*24*60, "")</f>
        <v/>
      </c>
      <c r="P5298" s="24" t="str" cm="1">
        <f t="array" ref="P5298">IFERROR(IF($B5298=P$1, ($A5298+$C5298) - MAX(IF($B$2:$B5297=$B5298, $A$2:$A5297+$C$2:$C5297)), "")*24*60, "")</f>
        <v/>
      </c>
      <c r="Q5298" s="24" t="str" cm="1">
        <f t="array" ref="Q5298">IFERROR(IF($B5298=Q$1, ($A5298+$C5298) - MAX(IF($B$2:$B5297=$B5298, $A$2:$A5297+$C$2:$C5297)), "")*24*60, "")</f>
        <v/>
      </c>
    </row>
    <row r="5299" spans="1:17" x14ac:dyDescent="0.2">
      <c r="A5299" s="12">
        <f t="shared" ref="A5299:C5299" si="1192">A5298</f>
        <v>45983</v>
      </c>
      <c r="B5299" s="5" t="str">
        <f t="shared" si="1192"/>
        <v>Northern Cardinal</v>
      </c>
      <c r="C5299" s="6">
        <f t="shared" si="1192"/>
        <v>0.28194444444444444</v>
      </c>
      <c r="D5299" s="5"/>
      <c r="E5299" s="5"/>
      <c r="F5299" s="5" t="s">
        <v>8</v>
      </c>
      <c r="G5299" s="15" t="s">
        <v>9</v>
      </c>
      <c r="H5299" s="24">
        <f t="shared" si="1129"/>
        <v>0</v>
      </c>
      <c r="I5299" s="24" cm="1">
        <f t="array" ref="I5299">IFERROR(IF($B5299=I$1, ($A5299+$C5299) - MAX(IF($B$2:$B5298=$B5299, $A$2:$A5298+$C$2:$C5298)), "")*24*60, "")</f>
        <v>0</v>
      </c>
      <c r="J5299" s="24" t="str" cm="1">
        <f t="array" ref="J5299">IFERROR(IF($B5299=J$1, ($A5299+$C5299) - MAX(IF($B$2:$B5298=$B5299, $A$2:$A5298+$C$2:$C5298)), "")*24*60, "")</f>
        <v/>
      </c>
      <c r="K5299" s="24" t="str" cm="1">
        <f t="array" ref="K5299">IFERROR(IF($B5299=K$1, ($A5299+$C5299) - MAX(IF($B$2:$B5298=$B5299, $A$2:$A5298+$C$2:$C5298)), "")*24*60, "")</f>
        <v/>
      </c>
      <c r="L5299" s="24" t="str" cm="1">
        <f t="array" ref="L5299">IFERROR(IF($B5299=L$1, ($A5299+$C5299) - MAX(IF($B$2:$B5298=$B5299, $A$2:$A5298+$C$2:$C5298)), "")*24*60, "")</f>
        <v/>
      </c>
      <c r="M5299" s="24" t="str" cm="1">
        <f t="array" ref="M5299">IFERROR(IF($B5299=M$1, ($A5299+$C5299) - MAX(IF($B$2:$B5298=$B5299, $A$2:$A5298+$C$2:$C5298)), "")*24*60, "")</f>
        <v/>
      </c>
      <c r="N5299" s="24" t="str" cm="1">
        <f t="array" ref="N5299">IFERROR(IF($B5299=N$1, ($A5299+$C5299) - MAX(IF($B$2:$B5298=$B5299, $A$2:$A5298+$C$2:$C5298)), "")*24*60, "")</f>
        <v/>
      </c>
      <c r="O5299" s="24" t="str" cm="1">
        <f t="array" ref="O5299">IFERROR(IF($B5299=O$1, ($A5299+$C5299) - MAX(IF($B$2:$B5298=$B5299, $A$2:$A5298+$C$2:$C5298)), "")*24*60, "")</f>
        <v/>
      </c>
      <c r="P5299" s="24" t="str" cm="1">
        <f t="array" ref="P5299">IFERROR(IF($B5299=P$1, ($A5299+$C5299) - MAX(IF($B$2:$B5298=$B5299, $A$2:$A5298+$C$2:$C5298)), "")*24*60, "")</f>
        <v/>
      </c>
      <c r="Q5299" s="24" t="str" cm="1">
        <f t="array" ref="Q5299">IFERROR(IF($B5299=Q$1, ($A5299+$C5299) - MAX(IF($B$2:$B5298=$B5299, $A$2:$A5298+$C$2:$C5298)), "")*24*60, "")</f>
        <v/>
      </c>
    </row>
    <row r="5300" spans="1:17" x14ac:dyDescent="0.2">
      <c r="A5300" s="12">
        <f t="shared" ref="A5300:C5300" si="1193">A5299</f>
        <v>45983</v>
      </c>
      <c r="B5300" s="5" t="str">
        <f t="shared" si="1193"/>
        <v>Northern Cardinal</v>
      </c>
      <c r="C5300" s="6">
        <f t="shared" si="1193"/>
        <v>0.28194444444444444</v>
      </c>
      <c r="D5300" s="5"/>
      <c r="E5300" s="5"/>
      <c r="F5300" s="5" t="s">
        <v>8</v>
      </c>
      <c r="G5300" s="15" t="s">
        <v>9</v>
      </c>
      <c r="H5300" s="24">
        <f t="shared" si="1129"/>
        <v>0</v>
      </c>
      <c r="I5300" s="24" cm="1">
        <f t="array" ref="I5300">IFERROR(IF($B5300=I$1, ($A5300+$C5300) - MAX(IF($B$2:$B5299=$B5300, $A$2:$A5299+$C$2:$C5299)), "")*24*60, "")</f>
        <v>0</v>
      </c>
      <c r="J5300" s="24" t="str" cm="1">
        <f t="array" ref="J5300">IFERROR(IF($B5300=J$1, ($A5300+$C5300) - MAX(IF($B$2:$B5299=$B5300, $A$2:$A5299+$C$2:$C5299)), "")*24*60, "")</f>
        <v/>
      </c>
      <c r="K5300" s="24" t="str" cm="1">
        <f t="array" ref="K5300">IFERROR(IF($B5300=K$1, ($A5300+$C5300) - MAX(IF($B$2:$B5299=$B5300, $A$2:$A5299+$C$2:$C5299)), "")*24*60, "")</f>
        <v/>
      </c>
      <c r="L5300" s="24" t="str" cm="1">
        <f t="array" ref="L5300">IFERROR(IF($B5300=L$1, ($A5300+$C5300) - MAX(IF($B$2:$B5299=$B5300, $A$2:$A5299+$C$2:$C5299)), "")*24*60, "")</f>
        <v/>
      </c>
      <c r="M5300" s="24" t="str" cm="1">
        <f t="array" ref="M5300">IFERROR(IF($B5300=M$1, ($A5300+$C5300) - MAX(IF($B$2:$B5299=$B5300, $A$2:$A5299+$C$2:$C5299)), "")*24*60, "")</f>
        <v/>
      </c>
      <c r="N5300" s="24" t="str" cm="1">
        <f t="array" ref="N5300">IFERROR(IF($B5300=N$1, ($A5300+$C5300) - MAX(IF($B$2:$B5299=$B5300, $A$2:$A5299+$C$2:$C5299)), "")*24*60, "")</f>
        <v/>
      </c>
      <c r="O5300" s="24" t="str" cm="1">
        <f t="array" ref="O5300">IFERROR(IF($B5300=O$1, ($A5300+$C5300) - MAX(IF($B$2:$B5299=$B5300, $A$2:$A5299+$C$2:$C5299)), "")*24*60, "")</f>
        <v/>
      </c>
      <c r="P5300" s="24" t="str" cm="1">
        <f t="array" ref="P5300">IFERROR(IF($B5300=P$1, ($A5300+$C5300) - MAX(IF($B$2:$B5299=$B5300, $A$2:$A5299+$C$2:$C5299)), "")*24*60, "")</f>
        <v/>
      </c>
      <c r="Q5300" s="24" t="str" cm="1">
        <f t="array" ref="Q5300">IFERROR(IF($B5300=Q$1, ($A5300+$C5300) - MAX(IF($B$2:$B5299=$B5300, $A$2:$A5299+$C$2:$C5299)), "")*24*60, "")</f>
        <v/>
      </c>
    </row>
    <row r="5301" spans="1:17" x14ac:dyDescent="0.2">
      <c r="A5301" s="12">
        <f t="shared" ref="A5301:C5301" si="1194">A5300</f>
        <v>45983</v>
      </c>
      <c r="B5301" s="5" t="str">
        <f t="shared" si="1194"/>
        <v>Northern Cardinal</v>
      </c>
      <c r="C5301" s="6">
        <f t="shared" si="1194"/>
        <v>0.28194444444444444</v>
      </c>
      <c r="D5301" s="5"/>
      <c r="E5301" s="5"/>
      <c r="F5301" s="5" t="s">
        <v>8</v>
      </c>
      <c r="G5301" s="15" t="s">
        <v>9</v>
      </c>
      <c r="H5301" s="24">
        <f t="shared" si="1129"/>
        <v>0</v>
      </c>
      <c r="I5301" s="24" cm="1">
        <f t="array" ref="I5301">IFERROR(IF($B5301=I$1, ($A5301+$C5301) - MAX(IF($B$2:$B5300=$B5301, $A$2:$A5300+$C$2:$C5300)), "")*24*60, "")</f>
        <v>0</v>
      </c>
      <c r="J5301" s="24" t="str" cm="1">
        <f t="array" ref="J5301">IFERROR(IF($B5301=J$1, ($A5301+$C5301) - MAX(IF($B$2:$B5300=$B5301, $A$2:$A5300+$C$2:$C5300)), "")*24*60, "")</f>
        <v/>
      </c>
      <c r="K5301" s="24" t="str" cm="1">
        <f t="array" ref="K5301">IFERROR(IF($B5301=K$1, ($A5301+$C5301) - MAX(IF($B$2:$B5300=$B5301, $A$2:$A5300+$C$2:$C5300)), "")*24*60, "")</f>
        <v/>
      </c>
      <c r="L5301" s="24" t="str" cm="1">
        <f t="array" ref="L5301">IFERROR(IF($B5301=L$1, ($A5301+$C5301) - MAX(IF($B$2:$B5300=$B5301, $A$2:$A5300+$C$2:$C5300)), "")*24*60, "")</f>
        <v/>
      </c>
      <c r="M5301" s="24" t="str" cm="1">
        <f t="array" ref="M5301">IFERROR(IF($B5301=M$1, ($A5301+$C5301) - MAX(IF($B$2:$B5300=$B5301, $A$2:$A5300+$C$2:$C5300)), "")*24*60, "")</f>
        <v/>
      </c>
      <c r="N5301" s="24" t="str" cm="1">
        <f t="array" ref="N5301">IFERROR(IF($B5301=N$1, ($A5301+$C5301) - MAX(IF($B$2:$B5300=$B5301, $A$2:$A5300+$C$2:$C5300)), "")*24*60, "")</f>
        <v/>
      </c>
      <c r="O5301" s="24" t="str" cm="1">
        <f t="array" ref="O5301">IFERROR(IF($B5301=O$1, ($A5301+$C5301) - MAX(IF($B$2:$B5300=$B5301, $A$2:$A5300+$C$2:$C5300)), "")*24*60, "")</f>
        <v/>
      </c>
      <c r="P5301" s="24" t="str" cm="1">
        <f t="array" ref="P5301">IFERROR(IF($B5301=P$1, ($A5301+$C5301) - MAX(IF($B$2:$B5300=$B5301, $A$2:$A5300+$C$2:$C5300)), "")*24*60, "")</f>
        <v/>
      </c>
      <c r="Q5301" s="24" t="str" cm="1">
        <f t="array" ref="Q5301">IFERROR(IF($B5301=Q$1, ($A5301+$C5301) - MAX(IF($B$2:$B5300=$B5301, $A$2:$A5300+$C$2:$C5300)), "")*24*60, "")</f>
        <v/>
      </c>
    </row>
    <row r="5302" spans="1:17" x14ac:dyDescent="0.2">
      <c r="A5302" s="12">
        <f t="shared" ref="A5302:C5302" si="1195">A5301</f>
        <v>45983</v>
      </c>
      <c r="B5302" s="5" t="str">
        <f t="shared" si="1195"/>
        <v>Northern Cardinal</v>
      </c>
      <c r="C5302" s="6">
        <f t="shared" si="1195"/>
        <v>0.28194444444444444</v>
      </c>
      <c r="D5302" s="5"/>
      <c r="E5302" s="5"/>
      <c r="F5302" s="5" t="s">
        <v>8</v>
      </c>
      <c r="G5302" s="15" t="s">
        <v>9</v>
      </c>
      <c r="H5302" s="24">
        <f t="shared" si="1129"/>
        <v>0</v>
      </c>
      <c r="I5302" s="24" cm="1">
        <f t="array" ref="I5302">IFERROR(IF($B5302=I$1, ($A5302+$C5302) - MAX(IF($B$2:$B5301=$B5302, $A$2:$A5301+$C$2:$C5301)), "")*24*60, "")</f>
        <v>0</v>
      </c>
      <c r="J5302" s="24" t="str" cm="1">
        <f t="array" ref="J5302">IFERROR(IF($B5302=J$1, ($A5302+$C5302) - MAX(IF($B$2:$B5301=$B5302, $A$2:$A5301+$C$2:$C5301)), "")*24*60, "")</f>
        <v/>
      </c>
      <c r="K5302" s="24" t="str" cm="1">
        <f t="array" ref="K5302">IFERROR(IF($B5302=K$1, ($A5302+$C5302) - MAX(IF($B$2:$B5301=$B5302, $A$2:$A5301+$C$2:$C5301)), "")*24*60, "")</f>
        <v/>
      </c>
      <c r="L5302" s="24" t="str" cm="1">
        <f t="array" ref="L5302">IFERROR(IF($B5302=L$1, ($A5302+$C5302) - MAX(IF($B$2:$B5301=$B5302, $A$2:$A5301+$C$2:$C5301)), "")*24*60, "")</f>
        <v/>
      </c>
      <c r="M5302" s="24" t="str" cm="1">
        <f t="array" ref="M5302">IFERROR(IF($B5302=M$1, ($A5302+$C5302) - MAX(IF($B$2:$B5301=$B5302, $A$2:$A5301+$C$2:$C5301)), "")*24*60, "")</f>
        <v/>
      </c>
      <c r="N5302" s="24" t="str" cm="1">
        <f t="array" ref="N5302">IFERROR(IF($B5302=N$1, ($A5302+$C5302) - MAX(IF($B$2:$B5301=$B5302, $A$2:$A5301+$C$2:$C5301)), "")*24*60, "")</f>
        <v/>
      </c>
      <c r="O5302" s="24" t="str" cm="1">
        <f t="array" ref="O5302">IFERROR(IF($B5302=O$1, ($A5302+$C5302) - MAX(IF($B$2:$B5301=$B5302, $A$2:$A5301+$C$2:$C5301)), "")*24*60, "")</f>
        <v/>
      </c>
      <c r="P5302" s="24" t="str" cm="1">
        <f t="array" ref="P5302">IFERROR(IF($B5302=P$1, ($A5302+$C5302) - MAX(IF($B$2:$B5301=$B5302, $A$2:$A5301+$C$2:$C5301)), "")*24*60, "")</f>
        <v/>
      </c>
      <c r="Q5302" s="24" t="str" cm="1">
        <f t="array" ref="Q5302">IFERROR(IF($B5302=Q$1, ($A5302+$C5302) - MAX(IF($B$2:$B5301=$B5302, $A$2:$A5301+$C$2:$C5301)), "")*24*60, "")</f>
        <v/>
      </c>
    </row>
    <row r="5303" spans="1:17" x14ac:dyDescent="0.2">
      <c r="A5303" s="12">
        <f t="shared" ref="A5303:C5303" si="1196">A5302</f>
        <v>45983</v>
      </c>
      <c r="B5303" s="5" t="str">
        <f t="shared" si="1196"/>
        <v>Northern Cardinal</v>
      </c>
      <c r="C5303" s="6">
        <f t="shared" si="1196"/>
        <v>0.28194444444444444</v>
      </c>
      <c r="D5303" s="5"/>
      <c r="E5303" s="5"/>
      <c r="F5303" s="5" t="s">
        <v>8</v>
      </c>
      <c r="G5303" s="15" t="s">
        <v>9</v>
      </c>
      <c r="H5303" s="24">
        <f t="shared" si="1129"/>
        <v>0</v>
      </c>
      <c r="I5303" s="24" cm="1">
        <f t="array" ref="I5303">IFERROR(IF($B5303=I$1, ($A5303+$C5303) - MAX(IF($B$2:$B5302=$B5303, $A$2:$A5302+$C$2:$C5302)), "")*24*60, "")</f>
        <v>0</v>
      </c>
      <c r="J5303" s="24" t="str" cm="1">
        <f t="array" ref="J5303">IFERROR(IF($B5303=J$1, ($A5303+$C5303) - MAX(IF($B$2:$B5302=$B5303, $A$2:$A5302+$C$2:$C5302)), "")*24*60, "")</f>
        <v/>
      </c>
      <c r="K5303" s="24" t="str" cm="1">
        <f t="array" ref="K5303">IFERROR(IF($B5303=K$1, ($A5303+$C5303) - MAX(IF($B$2:$B5302=$B5303, $A$2:$A5302+$C$2:$C5302)), "")*24*60, "")</f>
        <v/>
      </c>
      <c r="L5303" s="24" t="str" cm="1">
        <f t="array" ref="L5303">IFERROR(IF($B5303=L$1, ($A5303+$C5303) - MAX(IF($B$2:$B5302=$B5303, $A$2:$A5302+$C$2:$C5302)), "")*24*60, "")</f>
        <v/>
      </c>
      <c r="M5303" s="24" t="str" cm="1">
        <f t="array" ref="M5303">IFERROR(IF($B5303=M$1, ($A5303+$C5303) - MAX(IF($B$2:$B5302=$B5303, $A$2:$A5302+$C$2:$C5302)), "")*24*60, "")</f>
        <v/>
      </c>
      <c r="N5303" s="24" t="str" cm="1">
        <f t="array" ref="N5303">IFERROR(IF($B5303=N$1, ($A5303+$C5303) - MAX(IF($B$2:$B5302=$B5303, $A$2:$A5302+$C$2:$C5302)), "")*24*60, "")</f>
        <v/>
      </c>
      <c r="O5303" s="24" t="str" cm="1">
        <f t="array" ref="O5303">IFERROR(IF($B5303=O$1, ($A5303+$C5303) - MAX(IF($B$2:$B5302=$B5303, $A$2:$A5302+$C$2:$C5302)), "")*24*60, "")</f>
        <v/>
      </c>
      <c r="P5303" s="24" t="str" cm="1">
        <f t="array" ref="P5303">IFERROR(IF($B5303=P$1, ($A5303+$C5303) - MAX(IF($B$2:$B5302=$B5303, $A$2:$A5302+$C$2:$C5302)), "")*24*60, "")</f>
        <v/>
      </c>
      <c r="Q5303" s="24" t="str" cm="1">
        <f t="array" ref="Q5303">IFERROR(IF($B5303=Q$1, ($A5303+$C5303) - MAX(IF($B$2:$B5302=$B5303, $A$2:$A5302+$C$2:$C5302)), "")*24*60, "")</f>
        <v/>
      </c>
    </row>
    <row r="5304" spans="1:17" x14ac:dyDescent="0.2">
      <c r="A5304" s="12">
        <f t="shared" ref="A5304:C5304" si="1197">A5303</f>
        <v>45983</v>
      </c>
      <c r="B5304" s="5" t="str">
        <f t="shared" si="1197"/>
        <v>Northern Cardinal</v>
      </c>
      <c r="C5304" s="6">
        <f t="shared" si="1197"/>
        <v>0.28194444444444444</v>
      </c>
      <c r="D5304" s="5"/>
      <c r="E5304" s="5"/>
      <c r="F5304" s="5" t="s">
        <v>8</v>
      </c>
      <c r="G5304" s="15" t="s">
        <v>9</v>
      </c>
      <c r="H5304" s="24">
        <f t="shared" si="1129"/>
        <v>0</v>
      </c>
      <c r="I5304" s="24" cm="1">
        <f t="array" ref="I5304">IFERROR(IF($B5304=I$1, ($A5304+$C5304) - MAX(IF($B$2:$B5303=$B5304, $A$2:$A5303+$C$2:$C5303)), "")*24*60, "")</f>
        <v>0</v>
      </c>
      <c r="J5304" s="24" t="str" cm="1">
        <f t="array" ref="J5304">IFERROR(IF($B5304=J$1, ($A5304+$C5304) - MAX(IF($B$2:$B5303=$B5304, $A$2:$A5303+$C$2:$C5303)), "")*24*60, "")</f>
        <v/>
      </c>
      <c r="K5304" s="24" t="str" cm="1">
        <f t="array" ref="K5304">IFERROR(IF($B5304=K$1, ($A5304+$C5304) - MAX(IF($B$2:$B5303=$B5304, $A$2:$A5303+$C$2:$C5303)), "")*24*60, "")</f>
        <v/>
      </c>
      <c r="L5304" s="24" t="str" cm="1">
        <f t="array" ref="L5304">IFERROR(IF($B5304=L$1, ($A5304+$C5304) - MAX(IF($B$2:$B5303=$B5304, $A$2:$A5303+$C$2:$C5303)), "")*24*60, "")</f>
        <v/>
      </c>
      <c r="M5304" s="24" t="str" cm="1">
        <f t="array" ref="M5304">IFERROR(IF($B5304=M$1, ($A5304+$C5304) - MAX(IF($B$2:$B5303=$B5304, $A$2:$A5303+$C$2:$C5303)), "")*24*60, "")</f>
        <v/>
      </c>
      <c r="N5304" s="24" t="str" cm="1">
        <f t="array" ref="N5304">IFERROR(IF($B5304=N$1, ($A5304+$C5304) - MAX(IF($B$2:$B5303=$B5304, $A$2:$A5303+$C$2:$C5303)), "")*24*60, "")</f>
        <v/>
      </c>
      <c r="O5304" s="24" t="str" cm="1">
        <f t="array" ref="O5304">IFERROR(IF($B5304=O$1, ($A5304+$C5304) - MAX(IF($B$2:$B5303=$B5304, $A$2:$A5303+$C$2:$C5303)), "")*24*60, "")</f>
        <v/>
      </c>
      <c r="P5304" s="24" t="str" cm="1">
        <f t="array" ref="P5304">IFERROR(IF($B5304=P$1, ($A5304+$C5304) - MAX(IF($B$2:$B5303=$B5304, $A$2:$A5303+$C$2:$C5303)), "")*24*60, "")</f>
        <v/>
      </c>
      <c r="Q5304" s="24" t="str" cm="1">
        <f t="array" ref="Q5304">IFERROR(IF($B5304=Q$1, ($A5304+$C5304) - MAX(IF($B$2:$B5303=$B5304, $A$2:$A5303+$C$2:$C5303)), "")*24*60, "")</f>
        <v/>
      </c>
    </row>
    <row r="5305" spans="1:17" x14ac:dyDescent="0.2">
      <c r="A5305" s="12">
        <f t="shared" ref="A5305:C5305" si="1198">A5304</f>
        <v>45983</v>
      </c>
      <c r="B5305" s="5" t="str">
        <f t="shared" si="1198"/>
        <v>Northern Cardinal</v>
      </c>
      <c r="C5305" s="6">
        <f t="shared" si="1198"/>
        <v>0.28194444444444444</v>
      </c>
      <c r="D5305" s="5"/>
      <c r="E5305" s="5"/>
      <c r="F5305" s="5" t="s">
        <v>8</v>
      </c>
      <c r="G5305" s="15" t="s">
        <v>9</v>
      </c>
      <c r="H5305" s="24">
        <f t="shared" si="1129"/>
        <v>0</v>
      </c>
      <c r="I5305" s="24" cm="1">
        <f t="array" ref="I5305">IFERROR(IF($B5305=I$1, ($A5305+$C5305) - MAX(IF($B$2:$B5304=$B5305, $A$2:$A5304+$C$2:$C5304)), "")*24*60, "")</f>
        <v>0</v>
      </c>
      <c r="J5305" s="24" t="str" cm="1">
        <f t="array" ref="J5305">IFERROR(IF($B5305=J$1, ($A5305+$C5305) - MAX(IF($B$2:$B5304=$B5305, $A$2:$A5304+$C$2:$C5304)), "")*24*60, "")</f>
        <v/>
      </c>
      <c r="K5305" s="24" t="str" cm="1">
        <f t="array" ref="K5305">IFERROR(IF($B5305=K$1, ($A5305+$C5305) - MAX(IF($B$2:$B5304=$B5305, $A$2:$A5304+$C$2:$C5304)), "")*24*60, "")</f>
        <v/>
      </c>
      <c r="L5305" s="24" t="str" cm="1">
        <f t="array" ref="L5305">IFERROR(IF($B5305=L$1, ($A5305+$C5305) - MAX(IF($B$2:$B5304=$B5305, $A$2:$A5304+$C$2:$C5304)), "")*24*60, "")</f>
        <v/>
      </c>
      <c r="M5305" s="24" t="str" cm="1">
        <f t="array" ref="M5305">IFERROR(IF($B5305=M$1, ($A5305+$C5305) - MAX(IF($B$2:$B5304=$B5305, $A$2:$A5304+$C$2:$C5304)), "")*24*60, "")</f>
        <v/>
      </c>
      <c r="N5305" s="24" t="str" cm="1">
        <f t="array" ref="N5305">IFERROR(IF($B5305=N$1, ($A5305+$C5305) - MAX(IF($B$2:$B5304=$B5305, $A$2:$A5304+$C$2:$C5304)), "")*24*60, "")</f>
        <v/>
      </c>
      <c r="O5305" s="24" t="str" cm="1">
        <f t="array" ref="O5305">IFERROR(IF($B5305=O$1, ($A5305+$C5305) - MAX(IF($B$2:$B5304=$B5305, $A$2:$A5304+$C$2:$C5304)), "")*24*60, "")</f>
        <v/>
      </c>
      <c r="P5305" s="24" t="str" cm="1">
        <f t="array" ref="P5305">IFERROR(IF($B5305=P$1, ($A5305+$C5305) - MAX(IF($B$2:$B5304=$B5305, $A$2:$A5304+$C$2:$C5304)), "")*24*60, "")</f>
        <v/>
      </c>
      <c r="Q5305" s="24" t="str" cm="1">
        <f t="array" ref="Q5305">IFERROR(IF($B5305=Q$1, ($A5305+$C5305) - MAX(IF($B$2:$B5304=$B5305, $A$2:$A5304+$C$2:$C5304)), "")*24*60, "")</f>
        <v/>
      </c>
    </row>
    <row r="5306" spans="1:17" x14ac:dyDescent="0.2">
      <c r="A5306" s="12">
        <f t="shared" ref="A5306:C5306" si="1199">A5305</f>
        <v>45983</v>
      </c>
      <c r="B5306" s="5" t="str">
        <f t="shared" si="1199"/>
        <v>Northern Cardinal</v>
      </c>
      <c r="C5306" s="6">
        <f t="shared" si="1199"/>
        <v>0.28194444444444444</v>
      </c>
      <c r="D5306" s="5"/>
      <c r="E5306" s="5"/>
      <c r="F5306" s="5" t="s">
        <v>8</v>
      </c>
      <c r="G5306" s="15" t="s">
        <v>9</v>
      </c>
      <c r="H5306" s="24">
        <f t="shared" si="1129"/>
        <v>0</v>
      </c>
      <c r="I5306" s="24" cm="1">
        <f t="array" ref="I5306">IFERROR(IF($B5306=I$1, ($A5306+$C5306) - MAX(IF($B$2:$B5305=$B5306, $A$2:$A5305+$C$2:$C5305)), "")*24*60, "")</f>
        <v>0</v>
      </c>
      <c r="J5306" s="24" t="str" cm="1">
        <f t="array" ref="J5306">IFERROR(IF($B5306=J$1, ($A5306+$C5306) - MAX(IF($B$2:$B5305=$B5306, $A$2:$A5305+$C$2:$C5305)), "")*24*60, "")</f>
        <v/>
      </c>
      <c r="K5306" s="24" t="str" cm="1">
        <f t="array" ref="K5306">IFERROR(IF($B5306=K$1, ($A5306+$C5306) - MAX(IF($B$2:$B5305=$B5306, $A$2:$A5305+$C$2:$C5305)), "")*24*60, "")</f>
        <v/>
      </c>
      <c r="L5306" s="24" t="str" cm="1">
        <f t="array" ref="L5306">IFERROR(IF($B5306=L$1, ($A5306+$C5306) - MAX(IF($B$2:$B5305=$B5306, $A$2:$A5305+$C$2:$C5305)), "")*24*60, "")</f>
        <v/>
      </c>
      <c r="M5306" s="24" t="str" cm="1">
        <f t="array" ref="M5306">IFERROR(IF($B5306=M$1, ($A5306+$C5306) - MAX(IF($B$2:$B5305=$B5306, $A$2:$A5305+$C$2:$C5305)), "")*24*60, "")</f>
        <v/>
      </c>
      <c r="N5306" s="24" t="str" cm="1">
        <f t="array" ref="N5306">IFERROR(IF($B5306=N$1, ($A5306+$C5306) - MAX(IF($B$2:$B5305=$B5306, $A$2:$A5305+$C$2:$C5305)), "")*24*60, "")</f>
        <v/>
      </c>
      <c r="O5306" s="24" t="str" cm="1">
        <f t="array" ref="O5306">IFERROR(IF($B5306=O$1, ($A5306+$C5306) - MAX(IF($B$2:$B5305=$B5306, $A$2:$A5305+$C$2:$C5305)), "")*24*60, "")</f>
        <v/>
      </c>
      <c r="P5306" s="24" t="str" cm="1">
        <f t="array" ref="P5306">IFERROR(IF($B5306=P$1, ($A5306+$C5306) - MAX(IF($B$2:$B5305=$B5306, $A$2:$A5305+$C$2:$C5305)), "")*24*60, "")</f>
        <v/>
      </c>
      <c r="Q5306" s="24" t="str" cm="1">
        <f t="array" ref="Q5306">IFERROR(IF($B5306=Q$1, ($A5306+$C5306) - MAX(IF($B$2:$B5305=$B5306, $A$2:$A5305+$C$2:$C5305)), "")*24*60, "")</f>
        <v/>
      </c>
    </row>
    <row r="5307" spans="1:17" x14ac:dyDescent="0.2">
      <c r="A5307" s="12">
        <f t="shared" ref="A5307:C5307" si="1200">A5306</f>
        <v>45983</v>
      </c>
      <c r="B5307" s="5" t="str">
        <f t="shared" si="1200"/>
        <v>Northern Cardinal</v>
      </c>
      <c r="C5307" s="6">
        <f t="shared" si="1200"/>
        <v>0.28194444444444444</v>
      </c>
      <c r="D5307" s="5"/>
      <c r="E5307" s="5"/>
      <c r="F5307" s="5" t="s">
        <v>8</v>
      </c>
      <c r="G5307" s="15" t="s">
        <v>9</v>
      </c>
      <c r="H5307" s="24">
        <f t="shared" si="1129"/>
        <v>0</v>
      </c>
      <c r="I5307" s="24" cm="1">
        <f t="array" ref="I5307">IFERROR(IF($B5307=I$1, ($A5307+$C5307) - MAX(IF($B$2:$B5306=$B5307, $A$2:$A5306+$C$2:$C5306)), "")*24*60, "")</f>
        <v>0</v>
      </c>
      <c r="J5307" s="24" t="str" cm="1">
        <f t="array" ref="J5307">IFERROR(IF($B5307=J$1, ($A5307+$C5307) - MAX(IF($B$2:$B5306=$B5307, $A$2:$A5306+$C$2:$C5306)), "")*24*60, "")</f>
        <v/>
      </c>
      <c r="K5307" s="24" t="str" cm="1">
        <f t="array" ref="K5307">IFERROR(IF($B5307=K$1, ($A5307+$C5307) - MAX(IF($B$2:$B5306=$B5307, $A$2:$A5306+$C$2:$C5306)), "")*24*60, "")</f>
        <v/>
      </c>
      <c r="L5307" s="24" t="str" cm="1">
        <f t="array" ref="L5307">IFERROR(IF($B5307=L$1, ($A5307+$C5307) - MAX(IF($B$2:$B5306=$B5307, $A$2:$A5306+$C$2:$C5306)), "")*24*60, "")</f>
        <v/>
      </c>
      <c r="M5307" s="24" t="str" cm="1">
        <f t="array" ref="M5307">IFERROR(IF($B5307=M$1, ($A5307+$C5307) - MAX(IF($B$2:$B5306=$B5307, $A$2:$A5306+$C$2:$C5306)), "")*24*60, "")</f>
        <v/>
      </c>
      <c r="N5307" s="24" t="str" cm="1">
        <f t="array" ref="N5307">IFERROR(IF($B5307=N$1, ($A5307+$C5307) - MAX(IF($B$2:$B5306=$B5307, $A$2:$A5306+$C$2:$C5306)), "")*24*60, "")</f>
        <v/>
      </c>
      <c r="O5307" s="24" t="str" cm="1">
        <f t="array" ref="O5307">IFERROR(IF($B5307=O$1, ($A5307+$C5307) - MAX(IF($B$2:$B5306=$B5307, $A$2:$A5306+$C$2:$C5306)), "")*24*60, "")</f>
        <v/>
      </c>
      <c r="P5307" s="24" t="str" cm="1">
        <f t="array" ref="P5307">IFERROR(IF($B5307=P$1, ($A5307+$C5307) - MAX(IF($B$2:$B5306=$B5307, $A$2:$A5306+$C$2:$C5306)), "")*24*60, "")</f>
        <v/>
      </c>
      <c r="Q5307" s="24" t="str" cm="1">
        <f t="array" ref="Q5307">IFERROR(IF($B5307=Q$1, ($A5307+$C5307) - MAX(IF($B$2:$B5306=$B5307, $A$2:$A5306+$C$2:$C5306)), "")*24*60, "")</f>
        <v/>
      </c>
    </row>
    <row r="5308" spans="1:17" x14ac:dyDescent="0.2">
      <c r="A5308" s="12">
        <f t="shared" ref="A5308:C5308" si="1201">A5307</f>
        <v>45983</v>
      </c>
      <c r="B5308" s="5" t="str">
        <f t="shared" si="1201"/>
        <v>Northern Cardinal</v>
      </c>
      <c r="C5308" s="6">
        <f t="shared" si="1201"/>
        <v>0.28194444444444444</v>
      </c>
      <c r="D5308" s="5"/>
      <c r="E5308" s="5"/>
      <c r="F5308" s="5" t="s">
        <v>8</v>
      </c>
      <c r="G5308" s="15" t="s">
        <v>9</v>
      </c>
      <c r="H5308" s="24">
        <f t="shared" si="1129"/>
        <v>0</v>
      </c>
      <c r="I5308" s="24" cm="1">
        <f t="array" ref="I5308">IFERROR(IF($B5308=I$1, ($A5308+$C5308) - MAX(IF($B$2:$B5307=$B5308, $A$2:$A5307+$C$2:$C5307)), "")*24*60, "")</f>
        <v>0</v>
      </c>
      <c r="J5308" s="24" t="str" cm="1">
        <f t="array" ref="J5308">IFERROR(IF($B5308=J$1, ($A5308+$C5308) - MAX(IF($B$2:$B5307=$B5308, $A$2:$A5307+$C$2:$C5307)), "")*24*60, "")</f>
        <v/>
      </c>
      <c r="K5308" s="24" t="str" cm="1">
        <f t="array" ref="K5308">IFERROR(IF($B5308=K$1, ($A5308+$C5308) - MAX(IF($B$2:$B5307=$B5308, $A$2:$A5307+$C$2:$C5307)), "")*24*60, "")</f>
        <v/>
      </c>
      <c r="L5308" s="24" t="str" cm="1">
        <f t="array" ref="L5308">IFERROR(IF($B5308=L$1, ($A5308+$C5308) - MAX(IF($B$2:$B5307=$B5308, $A$2:$A5307+$C$2:$C5307)), "")*24*60, "")</f>
        <v/>
      </c>
      <c r="M5308" s="24" t="str" cm="1">
        <f t="array" ref="M5308">IFERROR(IF($B5308=M$1, ($A5308+$C5308) - MAX(IF($B$2:$B5307=$B5308, $A$2:$A5307+$C$2:$C5307)), "")*24*60, "")</f>
        <v/>
      </c>
      <c r="N5308" s="24" t="str" cm="1">
        <f t="array" ref="N5308">IFERROR(IF($B5308=N$1, ($A5308+$C5308) - MAX(IF($B$2:$B5307=$B5308, $A$2:$A5307+$C$2:$C5307)), "")*24*60, "")</f>
        <v/>
      </c>
      <c r="O5308" s="24" t="str" cm="1">
        <f t="array" ref="O5308">IFERROR(IF($B5308=O$1, ($A5308+$C5308) - MAX(IF($B$2:$B5307=$B5308, $A$2:$A5307+$C$2:$C5307)), "")*24*60, "")</f>
        <v/>
      </c>
      <c r="P5308" s="24" t="str" cm="1">
        <f t="array" ref="P5308">IFERROR(IF($B5308=P$1, ($A5308+$C5308) - MAX(IF($B$2:$B5307=$B5308, $A$2:$A5307+$C$2:$C5307)), "")*24*60, "")</f>
        <v/>
      </c>
      <c r="Q5308" s="24" t="str" cm="1">
        <f t="array" ref="Q5308">IFERROR(IF($B5308=Q$1, ($A5308+$C5308) - MAX(IF($B$2:$B5307=$B5308, $A$2:$A5307+$C$2:$C5307)), "")*24*60, "")</f>
        <v/>
      </c>
    </row>
    <row r="5309" spans="1:17" x14ac:dyDescent="0.2">
      <c r="A5309" s="12">
        <f t="shared" ref="A5309:C5309" si="1202">A5308</f>
        <v>45983</v>
      </c>
      <c r="B5309" s="5" t="str">
        <f t="shared" si="1202"/>
        <v>Northern Cardinal</v>
      </c>
      <c r="C5309" s="6">
        <f t="shared" si="1202"/>
        <v>0.28194444444444444</v>
      </c>
      <c r="D5309" s="5"/>
      <c r="E5309" s="5"/>
      <c r="F5309" s="5" t="s">
        <v>8</v>
      </c>
      <c r="G5309" s="15" t="s">
        <v>9</v>
      </c>
      <c r="H5309" s="24">
        <f t="shared" si="1129"/>
        <v>0</v>
      </c>
      <c r="I5309" s="24" cm="1">
        <f t="array" ref="I5309">IFERROR(IF($B5309=I$1, ($A5309+$C5309) - MAX(IF($B$2:$B5308=$B5309, $A$2:$A5308+$C$2:$C5308)), "")*24*60, "")</f>
        <v>0</v>
      </c>
      <c r="J5309" s="24" t="str" cm="1">
        <f t="array" ref="J5309">IFERROR(IF($B5309=J$1, ($A5309+$C5309) - MAX(IF($B$2:$B5308=$B5309, $A$2:$A5308+$C$2:$C5308)), "")*24*60, "")</f>
        <v/>
      </c>
      <c r="K5309" s="24" t="str" cm="1">
        <f t="array" ref="K5309">IFERROR(IF($B5309=K$1, ($A5309+$C5309) - MAX(IF($B$2:$B5308=$B5309, $A$2:$A5308+$C$2:$C5308)), "")*24*60, "")</f>
        <v/>
      </c>
      <c r="L5309" s="24" t="str" cm="1">
        <f t="array" ref="L5309">IFERROR(IF($B5309=L$1, ($A5309+$C5309) - MAX(IF($B$2:$B5308=$B5309, $A$2:$A5308+$C$2:$C5308)), "")*24*60, "")</f>
        <v/>
      </c>
      <c r="M5309" s="24" t="str" cm="1">
        <f t="array" ref="M5309">IFERROR(IF($B5309=M$1, ($A5309+$C5309) - MAX(IF($B$2:$B5308=$B5309, $A$2:$A5308+$C$2:$C5308)), "")*24*60, "")</f>
        <v/>
      </c>
      <c r="N5309" s="24" t="str" cm="1">
        <f t="array" ref="N5309">IFERROR(IF($B5309=N$1, ($A5309+$C5309) - MAX(IF($B$2:$B5308=$B5309, $A$2:$A5308+$C$2:$C5308)), "")*24*60, "")</f>
        <v/>
      </c>
      <c r="O5309" s="24" t="str" cm="1">
        <f t="array" ref="O5309">IFERROR(IF($B5309=O$1, ($A5309+$C5309) - MAX(IF($B$2:$B5308=$B5309, $A$2:$A5308+$C$2:$C5308)), "")*24*60, "")</f>
        <v/>
      </c>
      <c r="P5309" s="24" t="str" cm="1">
        <f t="array" ref="P5309">IFERROR(IF($B5309=P$1, ($A5309+$C5309) - MAX(IF($B$2:$B5308=$B5309, $A$2:$A5308+$C$2:$C5308)), "")*24*60, "")</f>
        <v/>
      </c>
      <c r="Q5309" s="24" t="str" cm="1">
        <f t="array" ref="Q5309">IFERROR(IF($B5309=Q$1, ($A5309+$C5309) - MAX(IF($B$2:$B5308=$B5309, $A$2:$A5308+$C$2:$C5308)), "")*24*60, "")</f>
        <v/>
      </c>
    </row>
    <row r="5310" spans="1:17" x14ac:dyDescent="0.2">
      <c r="A5310" s="12">
        <f t="shared" ref="A5310:C5310" si="1203">A5309</f>
        <v>45983</v>
      </c>
      <c r="B5310" s="5" t="str">
        <f t="shared" si="1203"/>
        <v>Northern Cardinal</v>
      </c>
      <c r="C5310" s="6">
        <f t="shared" si="1203"/>
        <v>0.28194444444444444</v>
      </c>
      <c r="D5310" s="5"/>
      <c r="E5310" s="5"/>
      <c r="F5310" s="5" t="s">
        <v>8</v>
      </c>
      <c r="G5310" s="15" t="s">
        <v>9</v>
      </c>
      <c r="H5310" s="24">
        <f t="shared" si="1129"/>
        <v>0</v>
      </c>
      <c r="I5310" s="24" cm="1">
        <f t="array" ref="I5310">IFERROR(IF($B5310=I$1, ($A5310+$C5310) - MAX(IF($B$2:$B5309=$B5310, $A$2:$A5309+$C$2:$C5309)), "")*24*60, "")</f>
        <v>0</v>
      </c>
      <c r="J5310" s="24" t="str" cm="1">
        <f t="array" ref="J5310">IFERROR(IF($B5310=J$1, ($A5310+$C5310) - MAX(IF($B$2:$B5309=$B5310, $A$2:$A5309+$C$2:$C5309)), "")*24*60, "")</f>
        <v/>
      </c>
      <c r="K5310" s="24" t="str" cm="1">
        <f t="array" ref="K5310">IFERROR(IF($B5310=K$1, ($A5310+$C5310) - MAX(IF($B$2:$B5309=$B5310, $A$2:$A5309+$C$2:$C5309)), "")*24*60, "")</f>
        <v/>
      </c>
      <c r="L5310" s="24" t="str" cm="1">
        <f t="array" ref="L5310">IFERROR(IF($B5310=L$1, ($A5310+$C5310) - MAX(IF($B$2:$B5309=$B5310, $A$2:$A5309+$C$2:$C5309)), "")*24*60, "")</f>
        <v/>
      </c>
      <c r="M5310" s="24" t="str" cm="1">
        <f t="array" ref="M5310">IFERROR(IF($B5310=M$1, ($A5310+$C5310) - MAX(IF($B$2:$B5309=$B5310, $A$2:$A5309+$C$2:$C5309)), "")*24*60, "")</f>
        <v/>
      </c>
      <c r="N5310" s="24" t="str" cm="1">
        <f t="array" ref="N5310">IFERROR(IF($B5310=N$1, ($A5310+$C5310) - MAX(IF($B$2:$B5309=$B5310, $A$2:$A5309+$C$2:$C5309)), "")*24*60, "")</f>
        <v/>
      </c>
      <c r="O5310" s="24" t="str" cm="1">
        <f t="array" ref="O5310">IFERROR(IF($B5310=O$1, ($A5310+$C5310) - MAX(IF($B$2:$B5309=$B5310, $A$2:$A5309+$C$2:$C5309)), "")*24*60, "")</f>
        <v/>
      </c>
      <c r="P5310" s="24" t="str" cm="1">
        <f t="array" ref="P5310">IFERROR(IF($B5310=P$1, ($A5310+$C5310) - MAX(IF($B$2:$B5309=$B5310, $A$2:$A5309+$C$2:$C5309)), "")*24*60, "")</f>
        <v/>
      </c>
      <c r="Q5310" s="24" t="str" cm="1">
        <f t="array" ref="Q5310">IFERROR(IF($B5310=Q$1, ($A5310+$C5310) - MAX(IF($B$2:$B5309=$B5310, $A$2:$A5309+$C$2:$C5309)), "")*24*60, "")</f>
        <v/>
      </c>
    </row>
    <row r="5311" spans="1:17" x14ac:dyDescent="0.2">
      <c r="A5311" s="12">
        <f t="shared" ref="A5311:C5311" si="1204">A5310</f>
        <v>45983</v>
      </c>
      <c r="B5311" s="5" t="str">
        <f t="shared" si="1204"/>
        <v>Northern Cardinal</v>
      </c>
      <c r="C5311" s="6">
        <f t="shared" si="1204"/>
        <v>0.28194444444444444</v>
      </c>
      <c r="D5311" s="5"/>
      <c r="E5311" s="5"/>
      <c r="F5311" s="5" t="s">
        <v>8</v>
      </c>
      <c r="G5311" s="15" t="s">
        <v>9</v>
      </c>
      <c r="H5311" s="24">
        <f t="shared" si="1129"/>
        <v>0</v>
      </c>
      <c r="I5311" s="24" cm="1">
        <f t="array" ref="I5311">IFERROR(IF($B5311=I$1, ($A5311+$C5311) - MAX(IF($B$2:$B5310=$B5311, $A$2:$A5310+$C$2:$C5310)), "")*24*60, "")</f>
        <v>0</v>
      </c>
      <c r="J5311" s="24" t="str" cm="1">
        <f t="array" ref="J5311">IFERROR(IF($B5311=J$1, ($A5311+$C5311) - MAX(IF($B$2:$B5310=$B5311, $A$2:$A5310+$C$2:$C5310)), "")*24*60, "")</f>
        <v/>
      </c>
      <c r="K5311" s="24" t="str" cm="1">
        <f t="array" ref="K5311">IFERROR(IF($B5311=K$1, ($A5311+$C5311) - MAX(IF($B$2:$B5310=$B5311, $A$2:$A5310+$C$2:$C5310)), "")*24*60, "")</f>
        <v/>
      </c>
      <c r="L5311" s="24" t="str" cm="1">
        <f t="array" ref="L5311">IFERROR(IF($B5311=L$1, ($A5311+$C5311) - MAX(IF($B$2:$B5310=$B5311, $A$2:$A5310+$C$2:$C5310)), "")*24*60, "")</f>
        <v/>
      </c>
      <c r="M5311" s="24" t="str" cm="1">
        <f t="array" ref="M5311">IFERROR(IF($B5311=M$1, ($A5311+$C5311) - MAX(IF($B$2:$B5310=$B5311, $A$2:$A5310+$C$2:$C5310)), "")*24*60, "")</f>
        <v/>
      </c>
      <c r="N5311" s="24" t="str" cm="1">
        <f t="array" ref="N5311">IFERROR(IF($B5311=N$1, ($A5311+$C5311) - MAX(IF($B$2:$B5310=$B5311, $A$2:$A5310+$C$2:$C5310)), "")*24*60, "")</f>
        <v/>
      </c>
      <c r="O5311" s="24" t="str" cm="1">
        <f t="array" ref="O5311">IFERROR(IF($B5311=O$1, ($A5311+$C5311) - MAX(IF($B$2:$B5310=$B5311, $A$2:$A5310+$C$2:$C5310)), "")*24*60, "")</f>
        <v/>
      </c>
      <c r="P5311" s="24" t="str" cm="1">
        <f t="array" ref="P5311">IFERROR(IF($B5311=P$1, ($A5311+$C5311) - MAX(IF($B$2:$B5310=$B5311, $A$2:$A5310+$C$2:$C5310)), "")*24*60, "")</f>
        <v/>
      </c>
      <c r="Q5311" s="24" t="str" cm="1">
        <f t="array" ref="Q5311">IFERROR(IF($B5311=Q$1, ($A5311+$C5311) - MAX(IF($B$2:$B5310=$B5311, $A$2:$A5310+$C$2:$C5310)), "")*24*60, "")</f>
        <v/>
      </c>
    </row>
    <row r="5312" spans="1:17" x14ac:dyDescent="0.2">
      <c r="A5312" s="12">
        <f t="shared" ref="A5312:C5312" si="1205">A5311</f>
        <v>45983</v>
      </c>
      <c r="B5312" s="5" t="str">
        <f t="shared" si="1205"/>
        <v>Northern Cardinal</v>
      </c>
      <c r="C5312" s="6">
        <f t="shared" si="1205"/>
        <v>0.28194444444444444</v>
      </c>
      <c r="D5312" s="5"/>
      <c r="E5312" s="5"/>
      <c r="F5312" s="5" t="s">
        <v>8</v>
      </c>
      <c r="G5312" s="15" t="s">
        <v>9</v>
      </c>
      <c r="H5312" s="24">
        <f t="shared" si="1129"/>
        <v>0</v>
      </c>
      <c r="I5312" s="24" cm="1">
        <f t="array" ref="I5312">IFERROR(IF($B5312=I$1, ($A5312+$C5312) - MAX(IF($B$2:$B5311=$B5312, $A$2:$A5311+$C$2:$C5311)), "")*24*60, "")</f>
        <v>0</v>
      </c>
      <c r="J5312" s="24" t="str" cm="1">
        <f t="array" ref="J5312">IFERROR(IF($B5312=J$1, ($A5312+$C5312) - MAX(IF($B$2:$B5311=$B5312, $A$2:$A5311+$C$2:$C5311)), "")*24*60, "")</f>
        <v/>
      </c>
      <c r="K5312" s="24" t="str" cm="1">
        <f t="array" ref="K5312">IFERROR(IF($B5312=K$1, ($A5312+$C5312) - MAX(IF($B$2:$B5311=$B5312, $A$2:$A5311+$C$2:$C5311)), "")*24*60, "")</f>
        <v/>
      </c>
      <c r="L5312" s="24" t="str" cm="1">
        <f t="array" ref="L5312">IFERROR(IF($B5312=L$1, ($A5312+$C5312) - MAX(IF($B$2:$B5311=$B5312, $A$2:$A5311+$C$2:$C5311)), "")*24*60, "")</f>
        <v/>
      </c>
      <c r="M5312" s="24" t="str" cm="1">
        <f t="array" ref="M5312">IFERROR(IF($B5312=M$1, ($A5312+$C5312) - MAX(IF($B$2:$B5311=$B5312, $A$2:$A5311+$C$2:$C5311)), "")*24*60, "")</f>
        <v/>
      </c>
      <c r="N5312" s="24" t="str" cm="1">
        <f t="array" ref="N5312">IFERROR(IF($B5312=N$1, ($A5312+$C5312) - MAX(IF($B$2:$B5311=$B5312, $A$2:$A5311+$C$2:$C5311)), "")*24*60, "")</f>
        <v/>
      </c>
      <c r="O5312" s="24" t="str" cm="1">
        <f t="array" ref="O5312">IFERROR(IF($B5312=O$1, ($A5312+$C5312) - MAX(IF($B$2:$B5311=$B5312, $A$2:$A5311+$C$2:$C5311)), "")*24*60, "")</f>
        <v/>
      </c>
      <c r="P5312" s="24" t="str" cm="1">
        <f t="array" ref="P5312">IFERROR(IF($B5312=P$1, ($A5312+$C5312) - MAX(IF($B$2:$B5311=$B5312, $A$2:$A5311+$C$2:$C5311)), "")*24*60, "")</f>
        <v/>
      </c>
      <c r="Q5312" s="24" t="str" cm="1">
        <f t="array" ref="Q5312">IFERROR(IF($B5312=Q$1, ($A5312+$C5312) - MAX(IF($B$2:$B5311=$B5312, $A$2:$A5311+$C$2:$C5311)), "")*24*60, "")</f>
        <v/>
      </c>
    </row>
    <row r="5313" spans="1:17" x14ac:dyDescent="0.2">
      <c r="A5313" s="12">
        <f t="shared" ref="A5313:C5313" si="1206">A5312</f>
        <v>45983</v>
      </c>
      <c r="B5313" s="5" t="str">
        <f t="shared" si="1206"/>
        <v>Northern Cardinal</v>
      </c>
      <c r="C5313" s="6">
        <f t="shared" si="1206"/>
        <v>0.28194444444444444</v>
      </c>
      <c r="D5313" s="5"/>
      <c r="E5313" s="5"/>
      <c r="F5313" s="5" t="s">
        <v>8</v>
      </c>
      <c r="G5313" s="15" t="s">
        <v>9</v>
      </c>
      <c r="H5313" s="24">
        <f t="shared" si="1129"/>
        <v>0</v>
      </c>
      <c r="I5313" s="24" cm="1">
        <f t="array" ref="I5313">IFERROR(IF($B5313=I$1, ($A5313+$C5313) - MAX(IF($B$2:$B5312=$B5313, $A$2:$A5312+$C$2:$C5312)), "")*24*60, "")</f>
        <v>0</v>
      </c>
      <c r="J5313" s="24" t="str" cm="1">
        <f t="array" ref="J5313">IFERROR(IF($B5313=J$1, ($A5313+$C5313) - MAX(IF($B$2:$B5312=$B5313, $A$2:$A5312+$C$2:$C5312)), "")*24*60, "")</f>
        <v/>
      </c>
      <c r="K5313" s="24" t="str" cm="1">
        <f t="array" ref="K5313">IFERROR(IF($B5313=K$1, ($A5313+$C5313) - MAX(IF($B$2:$B5312=$B5313, $A$2:$A5312+$C$2:$C5312)), "")*24*60, "")</f>
        <v/>
      </c>
      <c r="L5313" s="24" t="str" cm="1">
        <f t="array" ref="L5313">IFERROR(IF($B5313=L$1, ($A5313+$C5313) - MAX(IF($B$2:$B5312=$B5313, $A$2:$A5312+$C$2:$C5312)), "")*24*60, "")</f>
        <v/>
      </c>
      <c r="M5313" s="24" t="str" cm="1">
        <f t="array" ref="M5313">IFERROR(IF($B5313=M$1, ($A5313+$C5313) - MAX(IF($B$2:$B5312=$B5313, $A$2:$A5312+$C$2:$C5312)), "")*24*60, "")</f>
        <v/>
      </c>
      <c r="N5313" s="24" t="str" cm="1">
        <f t="array" ref="N5313">IFERROR(IF($B5313=N$1, ($A5313+$C5313) - MAX(IF($B$2:$B5312=$B5313, $A$2:$A5312+$C$2:$C5312)), "")*24*60, "")</f>
        <v/>
      </c>
      <c r="O5313" s="24" t="str" cm="1">
        <f t="array" ref="O5313">IFERROR(IF($B5313=O$1, ($A5313+$C5313) - MAX(IF($B$2:$B5312=$B5313, $A$2:$A5312+$C$2:$C5312)), "")*24*60, "")</f>
        <v/>
      </c>
      <c r="P5313" s="24" t="str" cm="1">
        <f t="array" ref="P5313">IFERROR(IF($B5313=P$1, ($A5313+$C5313) - MAX(IF($B$2:$B5312=$B5313, $A$2:$A5312+$C$2:$C5312)), "")*24*60, "")</f>
        <v/>
      </c>
      <c r="Q5313" s="24" t="str" cm="1">
        <f t="array" ref="Q5313">IFERROR(IF($B5313=Q$1, ($A5313+$C5313) - MAX(IF($B$2:$B5312=$B5313, $A$2:$A5312+$C$2:$C5312)), "")*24*60, "")</f>
        <v/>
      </c>
    </row>
    <row r="5314" spans="1:17" x14ac:dyDescent="0.2">
      <c r="A5314" s="12">
        <f t="shared" ref="A5314:C5314" si="1207">A5313</f>
        <v>45983</v>
      </c>
      <c r="B5314" s="5" t="str">
        <f t="shared" si="1207"/>
        <v>Northern Cardinal</v>
      </c>
      <c r="C5314" s="6">
        <f t="shared" si="1207"/>
        <v>0.28194444444444444</v>
      </c>
      <c r="D5314" s="5"/>
      <c r="E5314" s="5"/>
      <c r="F5314" s="5" t="s">
        <v>8</v>
      </c>
      <c r="G5314" s="15" t="s">
        <v>9</v>
      </c>
      <c r="H5314" s="24">
        <f t="shared" si="1129"/>
        <v>0</v>
      </c>
      <c r="I5314" s="24" cm="1">
        <f t="array" ref="I5314">IFERROR(IF($B5314=I$1, ($A5314+$C5314) - MAX(IF($B$2:$B5313=$B5314, $A$2:$A5313+$C$2:$C5313)), "")*24*60, "")</f>
        <v>0</v>
      </c>
      <c r="J5314" s="24" t="str" cm="1">
        <f t="array" ref="J5314">IFERROR(IF($B5314=J$1, ($A5314+$C5314) - MAX(IF($B$2:$B5313=$B5314, $A$2:$A5313+$C$2:$C5313)), "")*24*60, "")</f>
        <v/>
      </c>
      <c r="K5314" s="24" t="str" cm="1">
        <f t="array" ref="K5314">IFERROR(IF($B5314=K$1, ($A5314+$C5314) - MAX(IF($B$2:$B5313=$B5314, $A$2:$A5313+$C$2:$C5313)), "")*24*60, "")</f>
        <v/>
      </c>
      <c r="L5314" s="24" t="str" cm="1">
        <f t="array" ref="L5314">IFERROR(IF($B5314=L$1, ($A5314+$C5314) - MAX(IF($B$2:$B5313=$B5314, $A$2:$A5313+$C$2:$C5313)), "")*24*60, "")</f>
        <v/>
      </c>
      <c r="M5314" s="24" t="str" cm="1">
        <f t="array" ref="M5314">IFERROR(IF($B5314=M$1, ($A5314+$C5314) - MAX(IF($B$2:$B5313=$B5314, $A$2:$A5313+$C$2:$C5313)), "")*24*60, "")</f>
        <v/>
      </c>
      <c r="N5314" s="24" t="str" cm="1">
        <f t="array" ref="N5314">IFERROR(IF($B5314=N$1, ($A5314+$C5314) - MAX(IF($B$2:$B5313=$B5314, $A$2:$A5313+$C$2:$C5313)), "")*24*60, "")</f>
        <v/>
      </c>
      <c r="O5314" s="24" t="str" cm="1">
        <f t="array" ref="O5314">IFERROR(IF($B5314=O$1, ($A5314+$C5314) - MAX(IF($B$2:$B5313=$B5314, $A$2:$A5313+$C$2:$C5313)), "")*24*60, "")</f>
        <v/>
      </c>
      <c r="P5314" s="24" t="str" cm="1">
        <f t="array" ref="P5314">IFERROR(IF($B5314=P$1, ($A5314+$C5314) - MAX(IF($B$2:$B5313=$B5314, $A$2:$A5313+$C$2:$C5313)), "")*24*60, "")</f>
        <v/>
      </c>
      <c r="Q5314" s="24" t="str" cm="1">
        <f t="array" ref="Q5314">IFERROR(IF($B5314=Q$1, ($A5314+$C5314) - MAX(IF($B$2:$B5313=$B5314, $A$2:$A5313+$C$2:$C5313)), "")*24*60, "")</f>
        <v/>
      </c>
    </row>
    <row r="5315" spans="1:17" x14ac:dyDescent="0.2">
      <c r="A5315" s="12">
        <f t="shared" ref="A5315:C5315" si="1208">A5314</f>
        <v>45983</v>
      </c>
      <c r="B5315" s="5" t="str">
        <f t="shared" si="1208"/>
        <v>Northern Cardinal</v>
      </c>
      <c r="C5315" s="6">
        <f t="shared" si="1208"/>
        <v>0.28194444444444444</v>
      </c>
      <c r="D5315" s="5"/>
      <c r="E5315" s="5"/>
      <c r="F5315" s="5" t="s">
        <v>8</v>
      </c>
      <c r="G5315" s="15" t="s">
        <v>9</v>
      </c>
      <c r="H5315" s="24">
        <f t="shared" si="1129"/>
        <v>0</v>
      </c>
      <c r="I5315" s="24" cm="1">
        <f t="array" ref="I5315">IFERROR(IF($B5315=I$1, ($A5315+$C5315) - MAX(IF($B$2:$B5314=$B5315, $A$2:$A5314+$C$2:$C5314)), "")*24*60, "")</f>
        <v>0</v>
      </c>
      <c r="J5315" s="24" t="str" cm="1">
        <f t="array" ref="J5315">IFERROR(IF($B5315=J$1, ($A5315+$C5315) - MAX(IF($B$2:$B5314=$B5315, $A$2:$A5314+$C$2:$C5314)), "")*24*60, "")</f>
        <v/>
      </c>
      <c r="K5315" s="24" t="str" cm="1">
        <f t="array" ref="K5315">IFERROR(IF($B5315=K$1, ($A5315+$C5315) - MAX(IF($B$2:$B5314=$B5315, $A$2:$A5314+$C$2:$C5314)), "")*24*60, "")</f>
        <v/>
      </c>
      <c r="L5315" s="24" t="str" cm="1">
        <f t="array" ref="L5315">IFERROR(IF($B5315=L$1, ($A5315+$C5315) - MAX(IF($B$2:$B5314=$B5315, $A$2:$A5314+$C$2:$C5314)), "")*24*60, "")</f>
        <v/>
      </c>
      <c r="M5315" s="24" t="str" cm="1">
        <f t="array" ref="M5315">IFERROR(IF($B5315=M$1, ($A5315+$C5315) - MAX(IF($B$2:$B5314=$B5315, $A$2:$A5314+$C$2:$C5314)), "")*24*60, "")</f>
        <v/>
      </c>
      <c r="N5315" s="24" t="str" cm="1">
        <f t="array" ref="N5315">IFERROR(IF($B5315=N$1, ($A5315+$C5315) - MAX(IF($B$2:$B5314=$B5315, $A$2:$A5314+$C$2:$C5314)), "")*24*60, "")</f>
        <v/>
      </c>
      <c r="O5315" s="24" t="str" cm="1">
        <f t="array" ref="O5315">IFERROR(IF($B5315=O$1, ($A5315+$C5315) - MAX(IF($B$2:$B5314=$B5315, $A$2:$A5314+$C$2:$C5314)), "")*24*60, "")</f>
        <v/>
      </c>
      <c r="P5315" s="24" t="str" cm="1">
        <f t="array" ref="P5315">IFERROR(IF($B5315=P$1, ($A5315+$C5315) - MAX(IF($B$2:$B5314=$B5315, $A$2:$A5314+$C$2:$C5314)), "")*24*60, "")</f>
        <v/>
      </c>
      <c r="Q5315" s="24" t="str" cm="1">
        <f t="array" ref="Q5315">IFERROR(IF($B5315=Q$1, ($A5315+$C5315) - MAX(IF($B$2:$B5314=$B5315, $A$2:$A5314+$C$2:$C5314)), "")*24*60, "")</f>
        <v/>
      </c>
    </row>
    <row r="5316" spans="1:17" x14ac:dyDescent="0.2">
      <c r="A5316" s="12">
        <f t="shared" ref="A5316:C5316" si="1209">A5315</f>
        <v>45983</v>
      </c>
      <c r="B5316" s="5" t="str">
        <f t="shared" si="1209"/>
        <v>Northern Cardinal</v>
      </c>
      <c r="C5316" s="6">
        <f t="shared" si="1209"/>
        <v>0.28194444444444444</v>
      </c>
      <c r="D5316" s="5"/>
      <c r="E5316" s="5"/>
      <c r="F5316" s="5" t="s">
        <v>8</v>
      </c>
      <c r="G5316" s="15" t="s">
        <v>9</v>
      </c>
      <c r="H5316" s="24">
        <f t="shared" si="1129"/>
        <v>0</v>
      </c>
      <c r="I5316" s="24" cm="1">
        <f t="array" ref="I5316">IFERROR(IF($B5316=I$1, ($A5316+$C5316) - MAX(IF($B$2:$B5315=$B5316, $A$2:$A5315+$C$2:$C5315)), "")*24*60, "")</f>
        <v>0</v>
      </c>
      <c r="J5316" s="24" t="str" cm="1">
        <f t="array" ref="J5316">IFERROR(IF($B5316=J$1, ($A5316+$C5316) - MAX(IF($B$2:$B5315=$B5316, $A$2:$A5315+$C$2:$C5315)), "")*24*60, "")</f>
        <v/>
      </c>
      <c r="K5316" s="24" t="str" cm="1">
        <f t="array" ref="K5316">IFERROR(IF($B5316=K$1, ($A5316+$C5316) - MAX(IF($B$2:$B5315=$B5316, $A$2:$A5315+$C$2:$C5315)), "")*24*60, "")</f>
        <v/>
      </c>
      <c r="L5316" s="24" t="str" cm="1">
        <f t="array" ref="L5316">IFERROR(IF($B5316=L$1, ($A5316+$C5316) - MAX(IF($B$2:$B5315=$B5316, $A$2:$A5315+$C$2:$C5315)), "")*24*60, "")</f>
        <v/>
      </c>
      <c r="M5316" s="24" t="str" cm="1">
        <f t="array" ref="M5316">IFERROR(IF($B5316=M$1, ($A5316+$C5316) - MAX(IF($B$2:$B5315=$B5316, $A$2:$A5315+$C$2:$C5315)), "")*24*60, "")</f>
        <v/>
      </c>
      <c r="N5316" s="24" t="str" cm="1">
        <f t="array" ref="N5316">IFERROR(IF($B5316=N$1, ($A5316+$C5316) - MAX(IF($B$2:$B5315=$B5316, $A$2:$A5315+$C$2:$C5315)), "")*24*60, "")</f>
        <v/>
      </c>
      <c r="O5316" s="24" t="str" cm="1">
        <f t="array" ref="O5316">IFERROR(IF($B5316=O$1, ($A5316+$C5316) - MAX(IF($B$2:$B5315=$B5316, $A$2:$A5315+$C$2:$C5315)), "")*24*60, "")</f>
        <v/>
      </c>
      <c r="P5316" s="24" t="str" cm="1">
        <f t="array" ref="P5316">IFERROR(IF($B5316=P$1, ($A5316+$C5316) - MAX(IF($B$2:$B5315=$B5316, $A$2:$A5315+$C$2:$C5315)), "")*24*60, "")</f>
        <v/>
      </c>
      <c r="Q5316" s="24" t="str" cm="1">
        <f t="array" ref="Q5316">IFERROR(IF($B5316=Q$1, ($A5316+$C5316) - MAX(IF($B$2:$B5315=$B5316, $A$2:$A5315+$C$2:$C5315)), "")*24*60, "")</f>
        <v/>
      </c>
    </row>
    <row r="5317" spans="1:17" x14ac:dyDescent="0.2">
      <c r="A5317" s="12">
        <f t="shared" ref="A5317:C5317" si="1210">A5316</f>
        <v>45983</v>
      </c>
      <c r="B5317" s="5" t="str">
        <f t="shared" si="1210"/>
        <v>Northern Cardinal</v>
      </c>
      <c r="C5317" s="6">
        <f t="shared" si="1210"/>
        <v>0.28194444444444444</v>
      </c>
      <c r="D5317" s="5"/>
      <c r="E5317" s="5"/>
      <c r="F5317" s="5" t="s">
        <v>8</v>
      </c>
      <c r="G5317" s="15" t="s">
        <v>9</v>
      </c>
      <c r="H5317" s="24">
        <f t="shared" si="1129"/>
        <v>0</v>
      </c>
      <c r="I5317" s="24" cm="1">
        <f t="array" ref="I5317">IFERROR(IF($B5317=I$1, ($A5317+$C5317) - MAX(IF($B$2:$B5316=$B5317, $A$2:$A5316+$C$2:$C5316)), "")*24*60, "")</f>
        <v>0</v>
      </c>
      <c r="J5317" s="24" t="str" cm="1">
        <f t="array" ref="J5317">IFERROR(IF($B5317=J$1, ($A5317+$C5317) - MAX(IF($B$2:$B5316=$B5317, $A$2:$A5316+$C$2:$C5316)), "")*24*60, "")</f>
        <v/>
      </c>
      <c r="K5317" s="24" t="str" cm="1">
        <f t="array" ref="K5317">IFERROR(IF($B5317=K$1, ($A5317+$C5317) - MAX(IF($B$2:$B5316=$B5317, $A$2:$A5316+$C$2:$C5316)), "")*24*60, "")</f>
        <v/>
      </c>
      <c r="L5317" s="24" t="str" cm="1">
        <f t="array" ref="L5317">IFERROR(IF($B5317=L$1, ($A5317+$C5317) - MAX(IF($B$2:$B5316=$B5317, $A$2:$A5316+$C$2:$C5316)), "")*24*60, "")</f>
        <v/>
      </c>
      <c r="M5317" s="24" t="str" cm="1">
        <f t="array" ref="M5317">IFERROR(IF($B5317=M$1, ($A5317+$C5317) - MAX(IF($B$2:$B5316=$B5317, $A$2:$A5316+$C$2:$C5316)), "")*24*60, "")</f>
        <v/>
      </c>
      <c r="N5317" s="24" t="str" cm="1">
        <f t="array" ref="N5317">IFERROR(IF($B5317=N$1, ($A5317+$C5317) - MAX(IF($B$2:$B5316=$B5317, $A$2:$A5316+$C$2:$C5316)), "")*24*60, "")</f>
        <v/>
      </c>
      <c r="O5317" s="24" t="str" cm="1">
        <f t="array" ref="O5317">IFERROR(IF($B5317=O$1, ($A5317+$C5317) - MAX(IF($B$2:$B5316=$B5317, $A$2:$A5316+$C$2:$C5316)), "")*24*60, "")</f>
        <v/>
      </c>
      <c r="P5317" s="24" t="str" cm="1">
        <f t="array" ref="P5317">IFERROR(IF($B5317=P$1, ($A5317+$C5317) - MAX(IF($B$2:$B5316=$B5317, $A$2:$A5316+$C$2:$C5316)), "")*24*60, "")</f>
        <v/>
      </c>
      <c r="Q5317" s="24" t="str" cm="1">
        <f t="array" ref="Q5317">IFERROR(IF($B5317=Q$1, ($A5317+$C5317) - MAX(IF($B$2:$B5316=$B5317, $A$2:$A5316+$C$2:$C5316)), "")*24*60, "")</f>
        <v/>
      </c>
    </row>
    <row r="5318" spans="1:17" x14ac:dyDescent="0.2">
      <c r="A5318" s="12">
        <f t="shared" ref="A5318:C5318" si="1211">A5317</f>
        <v>45983</v>
      </c>
      <c r="B5318" s="5" t="str">
        <f t="shared" si="1211"/>
        <v>Northern Cardinal</v>
      </c>
      <c r="C5318" s="6">
        <f t="shared" si="1211"/>
        <v>0.28194444444444444</v>
      </c>
      <c r="D5318" s="5"/>
      <c r="E5318" s="5"/>
      <c r="F5318" s="5" t="s">
        <v>8</v>
      </c>
      <c r="G5318" s="15" t="s">
        <v>9</v>
      </c>
      <c r="H5318" s="24">
        <f t="shared" si="1129"/>
        <v>0</v>
      </c>
      <c r="I5318" s="24" cm="1">
        <f t="array" ref="I5318">IFERROR(IF($B5318=I$1, ($A5318+$C5318) - MAX(IF($B$2:$B5317=$B5318, $A$2:$A5317+$C$2:$C5317)), "")*24*60, "")</f>
        <v>0</v>
      </c>
      <c r="J5318" s="24" t="str" cm="1">
        <f t="array" ref="J5318">IFERROR(IF($B5318=J$1, ($A5318+$C5318) - MAX(IF($B$2:$B5317=$B5318, $A$2:$A5317+$C$2:$C5317)), "")*24*60, "")</f>
        <v/>
      </c>
      <c r="K5318" s="24" t="str" cm="1">
        <f t="array" ref="K5318">IFERROR(IF($B5318=K$1, ($A5318+$C5318) - MAX(IF($B$2:$B5317=$B5318, $A$2:$A5317+$C$2:$C5317)), "")*24*60, "")</f>
        <v/>
      </c>
      <c r="L5318" s="24" t="str" cm="1">
        <f t="array" ref="L5318">IFERROR(IF($B5318=L$1, ($A5318+$C5318) - MAX(IF($B$2:$B5317=$B5318, $A$2:$A5317+$C$2:$C5317)), "")*24*60, "")</f>
        <v/>
      </c>
      <c r="M5318" s="24" t="str" cm="1">
        <f t="array" ref="M5318">IFERROR(IF($B5318=M$1, ($A5318+$C5318) - MAX(IF($B$2:$B5317=$B5318, $A$2:$A5317+$C$2:$C5317)), "")*24*60, "")</f>
        <v/>
      </c>
      <c r="N5318" s="24" t="str" cm="1">
        <f t="array" ref="N5318">IFERROR(IF($B5318=N$1, ($A5318+$C5318) - MAX(IF($B$2:$B5317=$B5318, $A$2:$A5317+$C$2:$C5317)), "")*24*60, "")</f>
        <v/>
      </c>
      <c r="O5318" s="24" t="str" cm="1">
        <f t="array" ref="O5318">IFERROR(IF($B5318=O$1, ($A5318+$C5318) - MAX(IF($B$2:$B5317=$B5318, $A$2:$A5317+$C$2:$C5317)), "")*24*60, "")</f>
        <v/>
      </c>
      <c r="P5318" s="24" t="str" cm="1">
        <f t="array" ref="P5318">IFERROR(IF($B5318=P$1, ($A5318+$C5318) - MAX(IF($B$2:$B5317=$B5318, $A$2:$A5317+$C$2:$C5317)), "")*24*60, "")</f>
        <v/>
      </c>
      <c r="Q5318" s="24" t="str" cm="1">
        <f t="array" ref="Q5318">IFERROR(IF($B5318=Q$1, ($A5318+$C5318) - MAX(IF($B$2:$B5317=$B5318, $A$2:$A5317+$C$2:$C5317)), "")*24*60, "")</f>
        <v/>
      </c>
    </row>
    <row r="5319" spans="1:17" x14ac:dyDescent="0.2">
      <c r="A5319" s="12">
        <f t="shared" ref="A5319:C5319" si="1212">A5318</f>
        <v>45983</v>
      </c>
      <c r="B5319" s="5" t="str">
        <f t="shared" si="1212"/>
        <v>Northern Cardinal</v>
      </c>
      <c r="C5319" s="6">
        <f t="shared" si="1212"/>
        <v>0.28194444444444444</v>
      </c>
      <c r="D5319" s="5"/>
      <c r="E5319" s="5"/>
      <c r="F5319" s="5" t="s">
        <v>8</v>
      </c>
      <c r="G5319" s="15" t="s">
        <v>9</v>
      </c>
      <c r="H5319" s="24">
        <f t="shared" si="1129"/>
        <v>0</v>
      </c>
      <c r="I5319" s="24" cm="1">
        <f t="array" ref="I5319">IFERROR(IF($B5319=I$1, ($A5319+$C5319) - MAX(IF($B$2:$B5318=$B5319, $A$2:$A5318+$C$2:$C5318)), "")*24*60, "")</f>
        <v>0</v>
      </c>
      <c r="J5319" s="24" t="str" cm="1">
        <f t="array" ref="J5319">IFERROR(IF($B5319=J$1, ($A5319+$C5319) - MAX(IF($B$2:$B5318=$B5319, $A$2:$A5318+$C$2:$C5318)), "")*24*60, "")</f>
        <v/>
      </c>
      <c r="K5319" s="24" t="str" cm="1">
        <f t="array" ref="K5319">IFERROR(IF($B5319=K$1, ($A5319+$C5319) - MAX(IF($B$2:$B5318=$B5319, $A$2:$A5318+$C$2:$C5318)), "")*24*60, "")</f>
        <v/>
      </c>
      <c r="L5319" s="24" t="str" cm="1">
        <f t="array" ref="L5319">IFERROR(IF($B5319=L$1, ($A5319+$C5319) - MAX(IF($B$2:$B5318=$B5319, $A$2:$A5318+$C$2:$C5318)), "")*24*60, "")</f>
        <v/>
      </c>
      <c r="M5319" s="24" t="str" cm="1">
        <f t="array" ref="M5319">IFERROR(IF($B5319=M$1, ($A5319+$C5319) - MAX(IF($B$2:$B5318=$B5319, $A$2:$A5318+$C$2:$C5318)), "")*24*60, "")</f>
        <v/>
      </c>
      <c r="N5319" s="24" t="str" cm="1">
        <f t="array" ref="N5319">IFERROR(IF($B5319=N$1, ($A5319+$C5319) - MAX(IF($B$2:$B5318=$B5319, $A$2:$A5318+$C$2:$C5318)), "")*24*60, "")</f>
        <v/>
      </c>
      <c r="O5319" s="24" t="str" cm="1">
        <f t="array" ref="O5319">IFERROR(IF($B5319=O$1, ($A5319+$C5319) - MAX(IF($B$2:$B5318=$B5319, $A$2:$A5318+$C$2:$C5318)), "")*24*60, "")</f>
        <v/>
      </c>
      <c r="P5319" s="24" t="str" cm="1">
        <f t="array" ref="P5319">IFERROR(IF($B5319=P$1, ($A5319+$C5319) - MAX(IF($B$2:$B5318=$B5319, $A$2:$A5318+$C$2:$C5318)), "")*24*60, "")</f>
        <v/>
      </c>
      <c r="Q5319" s="24" t="str" cm="1">
        <f t="array" ref="Q5319">IFERROR(IF($B5319=Q$1, ($A5319+$C5319) - MAX(IF($B$2:$B5318=$B5319, $A$2:$A5318+$C$2:$C5318)), "")*24*60, "")</f>
        <v/>
      </c>
    </row>
    <row r="5320" spans="1:17" x14ac:dyDescent="0.2">
      <c r="A5320" s="12">
        <f t="shared" ref="A5320:C5320" si="1213">A5319</f>
        <v>45983</v>
      </c>
      <c r="B5320" s="5" t="str">
        <f t="shared" si="1213"/>
        <v>Northern Cardinal</v>
      </c>
      <c r="C5320" s="6">
        <f t="shared" si="1213"/>
        <v>0.28194444444444444</v>
      </c>
      <c r="D5320" s="5"/>
      <c r="E5320" s="5"/>
      <c r="F5320" s="5" t="s">
        <v>8</v>
      </c>
      <c r="G5320" s="15" t="s">
        <v>9</v>
      </c>
      <c r="H5320" s="24">
        <f t="shared" si="1129"/>
        <v>0</v>
      </c>
      <c r="I5320" s="24" cm="1">
        <f t="array" ref="I5320">IFERROR(IF($B5320=I$1, ($A5320+$C5320) - MAX(IF($B$2:$B5319=$B5320, $A$2:$A5319+$C$2:$C5319)), "")*24*60, "")</f>
        <v>0</v>
      </c>
      <c r="J5320" s="24" t="str" cm="1">
        <f t="array" ref="J5320">IFERROR(IF($B5320=J$1, ($A5320+$C5320) - MAX(IF($B$2:$B5319=$B5320, $A$2:$A5319+$C$2:$C5319)), "")*24*60, "")</f>
        <v/>
      </c>
      <c r="K5320" s="24" t="str" cm="1">
        <f t="array" ref="K5320">IFERROR(IF($B5320=K$1, ($A5320+$C5320) - MAX(IF($B$2:$B5319=$B5320, $A$2:$A5319+$C$2:$C5319)), "")*24*60, "")</f>
        <v/>
      </c>
      <c r="L5320" s="24" t="str" cm="1">
        <f t="array" ref="L5320">IFERROR(IF($B5320=L$1, ($A5320+$C5320) - MAX(IF($B$2:$B5319=$B5320, $A$2:$A5319+$C$2:$C5319)), "")*24*60, "")</f>
        <v/>
      </c>
      <c r="M5320" s="24" t="str" cm="1">
        <f t="array" ref="M5320">IFERROR(IF($B5320=M$1, ($A5320+$C5320) - MAX(IF($B$2:$B5319=$B5320, $A$2:$A5319+$C$2:$C5319)), "")*24*60, "")</f>
        <v/>
      </c>
      <c r="N5320" s="24" t="str" cm="1">
        <f t="array" ref="N5320">IFERROR(IF($B5320=N$1, ($A5320+$C5320) - MAX(IF($B$2:$B5319=$B5320, $A$2:$A5319+$C$2:$C5319)), "")*24*60, "")</f>
        <v/>
      </c>
      <c r="O5320" s="24" t="str" cm="1">
        <f t="array" ref="O5320">IFERROR(IF($B5320=O$1, ($A5320+$C5320) - MAX(IF($B$2:$B5319=$B5320, $A$2:$A5319+$C$2:$C5319)), "")*24*60, "")</f>
        <v/>
      </c>
      <c r="P5320" s="24" t="str" cm="1">
        <f t="array" ref="P5320">IFERROR(IF($B5320=P$1, ($A5320+$C5320) - MAX(IF($B$2:$B5319=$B5320, $A$2:$A5319+$C$2:$C5319)), "")*24*60, "")</f>
        <v/>
      </c>
      <c r="Q5320" s="24" t="str" cm="1">
        <f t="array" ref="Q5320">IFERROR(IF($B5320=Q$1, ($A5320+$C5320) - MAX(IF($B$2:$B5319=$B5320, $A$2:$A5319+$C$2:$C5319)), "")*24*60, "")</f>
        <v/>
      </c>
    </row>
    <row r="5321" spans="1:17" x14ac:dyDescent="0.2">
      <c r="A5321" s="12">
        <f t="shared" ref="A5321:C5321" si="1214">A5320</f>
        <v>45983</v>
      </c>
      <c r="B5321" s="5" t="str">
        <f t="shared" si="1214"/>
        <v>Northern Cardinal</v>
      </c>
      <c r="C5321" s="6">
        <f t="shared" si="1214"/>
        <v>0.28194444444444444</v>
      </c>
      <c r="D5321" s="5"/>
      <c r="E5321" s="5"/>
      <c r="F5321" s="5" t="s">
        <v>8</v>
      </c>
      <c r="G5321" s="15" t="s">
        <v>9</v>
      </c>
      <c r="H5321" s="24">
        <f t="shared" si="1129"/>
        <v>0</v>
      </c>
      <c r="I5321" s="24" cm="1">
        <f t="array" ref="I5321">IFERROR(IF($B5321=I$1, ($A5321+$C5321) - MAX(IF($B$2:$B5320=$B5321, $A$2:$A5320+$C$2:$C5320)), "")*24*60, "")</f>
        <v>0</v>
      </c>
      <c r="J5321" s="24" t="str" cm="1">
        <f t="array" ref="J5321">IFERROR(IF($B5321=J$1, ($A5321+$C5321) - MAX(IF($B$2:$B5320=$B5321, $A$2:$A5320+$C$2:$C5320)), "")*24*60, "")</f>
        <v/>
      </c>
      <c r="K5321" s="24" t="str" cm="1">
        <f t="array" ref="K5321">IFERROR(IF($B5321=K$1, ($A5321+$C5321) - MAX(IF($B$2:$B5320=$B5321, $A$2:$A5320+$C$2:$C5320)), "")*24*60, "")</f>
        <v/>
      </c>
      <c r="L5321" s="24" t="str" cm="1">
        <f t="array" ref="L5321">IFERROR(IF($B5321=L$1, ($A5321+$C5321) - MAX(IF($B$2:$B5320=$B5321, $A$2:$A5320+$C$2:$C5320)), "")*24*60, "")</f>
        <v/>
      </c>
      <c r="M5321" s="24" t="str" cm="1">
        <f t="array" ref="M5321">IFERROR(IF($B5321=M$1, ($A5321+$C5321) - MAX(IF($B$2:$B5320=$B5321, $A$2:$A5320+$C$2:$C5320)), "")*24*60, "")</f>
        <v/>
      </c>
      <c r="N5321" s="24" t="str" cm="1">
        <f t="array" ref="N5321">IFERROR(IF($B5321=N$1, ($A5321+$C5321) - MAX(IF($B$2:$B5320=$B5321, $A$2:$A5320+$C$2:$C5320)), "")*24*60, "")</f>
        <v/>
      </c>
      <c r="O5321" s="24" t="str" cm="1">
        <f t="array" ref="O5321">IFERROR(IF($B5321=O$1, ($A5321+$C5321) - MAX(IF($B$2:$B5320=$B5321, $A$2:$A5320+$C$2:$C5320)), "")*24*60, "")</f>
        <v/>
      </c>
      <c r="P5321" s="24" t="str" cm="1">
        <f t="array" ref="P5321">IFERROR(IF($B5321=P$1, ($A5321+$C5321) - MAX(IF($B$2:$B5320=$B5321, $A$2:$A5320+$C$2:$C5320)), "")*24*60, "")</f>
        <v/>
      </c>
      <c r="Q5321" s="24" t="str" cm="1">
        <f t="array" ref="Q5321">IFERROR(IF($B5321=Q$1, ($A5321+$C5321) - MAX(IF($B$2:$B5320=$B5321, $A$2:$A5320+$C$2:$C5320)), "")*24*60, "")</f>
        <v/>
      </c>
    </row>
    <row r="5322" spans="1:17" x14ac:dyDescent="0.2">
      <c r="A5322" s="12">
        <f t="shared" ref="A5322:C5322" si="1215">A5321</f>
        <v>45983</v>
      </c>
      <c r="B5322" s="5" t="str">
        <f t="shared" si="1215"/>
        <v>Northern Cardinal</v>
      </c>
      <c r="C5322" s="6">
        <f t="shared" si="1215"/>
        <v>0.28194444444444444</v>
      </c>
      <c r="D5322" s="5"/>
      <c r="E5322" s="5"/>
      <c r="F5322" s="5" t="s">
        <v>8</v>
      </c>
      <c r="G5322" s="15" t="s">
        <v>9</v>
      </c>
      <c r="H5322" s="24">
        <f t="shared" si="1129"/>
        <v>0</v>
      </c>
      <c r="I5322" s="24" cm="1">
        <f t="array" ref="I5322">IFERROR(IF($B5322=I$1, ($A5322+$C5322) - MAX(IF($B$2:$B5321=$B5322, $A$2:$A5321+$C$2:$C5321)), "")*24*60, "")</f>
        <v>0</v>
      </c>
      <c r="J5322" s="24" t="str" cm="1">
        <f t="array" ref="J5322">IFERROR(IF($B5322=J$1, ($A5322+$C5322) - MAX(IF($B$2:$B5321=$B5322, $A$2:$A5321+$C$2:$C5321)), "")*24*60, "")</f>
        <v/>
      </c>
      <c r="K5322" s="24" t="str" cm="1">
        <f t="array" ref="K5322">IFERROR(IF($B5322=K$1, ($A5322+$C5322) - MAX(IF($B$2:$B5321=$B5322, $A$2:$A5321+$C$2:$C5321)), "")*24*60, "")</f>
        <v/>
      </c>
      <c r="L5322" s="24" t="str" cm="1">
        <f t="array" ref="L5322">IFERROR(IF($B5322=L$1, ($A5322+$C5322) - MAX(IF($B$2:$B5321=$B5322, $A$2:$A5321+$C$2:$C5321)), "")*24*60, "")</f>
        <v/>
      </c>
      <c r="M5322" s="24" t="str" cm="1">
        <f t="array" ref="M5322">IFERROR(IF($B5322=M$1, ($A5322+$C5322) - MAX(IF($B$2:$B5321=$B5322, $A$2:$A5321+$C$2:$C5321)), "")*24*60, "")</f>
        <v/>
      </c>
      <c r="N5322" s="24" t="str" cm="1">
        <f t="array" ref="N5322">IFERROR(IF($B5322=N$1, ($A5322+$C5322) - MAX(IF($B$2:$B5321=$B5322, $A$2:$A5321+$C$2:$C5321)), "")*24*60, "")</f>
        <v/>
      </c>
      <c r="O5322" s="24" t="str" cm="1">
        <f t="array" ref="O5322">IFERROR(IF($B5322=O$1, ($A5322+$C5322) - MAX(IF($B$2:$B5321=$B5322, $A$2:$A5321+$C$2:$C5321)), "")*24*60, "")</f>
        <v/>
      </c>
      <c r="P5322" s="24" t="str" cm="1">
        <f t="array" ref="P5322">IFERROR(IF($B5322=P$1, ($A5322+$C5322) - MAX(IF($B$2:$B5321=$B5322, $A$2:$A5321+$C$2:$C5321)), "")*24*60, "")</f>
        <v/>
      </c>
      <c r="Q5322" s="24" t="str" cm="1">
        <f t="array" ref="Q5322">IFERROR(IF($B5322=Q$1, ($A5322+$C5322) - MAX(IF($B$2:$B5321=$B5322, $A$2:$A5321+$C$2:$C5321)), "")*24*60, "")</f>
        <v/>
      </c>
    </row>
    <row r="5323" spans="1:17" x14ac:dyDescent="0.2">
      <c r="A5323" s="12">
        <f t="shared" ref="A5323:C5323" si="1216">A5322</f>
        <v>45983</v>
      </c>
      <c r="B5323" s="5" t="str">
        <f t="shared" si="1216"/>
        <v>Northern Cardinal</v>
      </c>
      <c r="C5323" s="6">
        <f t="shared" si="1216"/>
        <v>0.28194444444444444</v>
      </c>
      <c r="D5323" s="5"/>
      <c r="E5323" s="5"/>
      <c r="F5323" s="5" t="s">
        <v>8</v>
      </c>
      <c r="G5323" s="15" t="s">
        <v>9</v>
      </c>
      <c r="H5323" s="24">
        <f t="shared" si="1129"/>
        <v>0</v>
      </c>
      <c r="I5323" s="24" cm="1">
        <f t="array" ref="I5323">IFERROR(IF($B5323=I$1, ($A5323+$C5323) - MAX(IF($B$2:$B5322=$B5323, $A$2:$A5322+$C$2:$C5322)), "")*24*60, "")</f>
        <v>0</v>
      </c>
      <c r="J5323" s="24" t="str" cm="1">
        <f t="array" ref="J5323">IFERROR(IF($B5323=J$1, ($A5323+$C5323) - MAX(IF($B$2:$B5322=$B5323, $A$2:$A5322+$C$2:$C5322)), "")*24*60, "")</f>
        <v/>
      </c>
      <c r="K5323" s="24" t="str" cm="1">
        <f t="array" ref="K5323">IFERROR(IF($B5323=K$1, ($A5323+$C5323) - MAX(IF($B$2:$B5322=$B5323, $A$2:$A5322+$C$2:$C5322)), "")*24*60, "")</f>
        <v/>
      </c>
      <c r="L5323" s="24" t="str" cm="1">
        <f t="array" ref="L5323">IFERROR(IF($B5323=L$1, ($A5323+$C5323) - MAX(IF($B$2:$B5322=$B5323, $A$2:$A5322+$C$2:$C5322)), "")*24*60, "")</f>
        <v/>
      </c>
      <c r="M5323" s="24" t="str" cm="1">
        <f t="array" ref="M5323">IFERROR(IF($B5323=M$1, ($A5323+$C5323) - MAX(IF($B$2:$B5322=$B5323, $A$2:$A5322+$C$2:$C5322)), "")*24*60, "")</f>
        <v/>
      </c>
      <c r="N5323" s="24" t="str" cm="1">
        <f t="array" ref="N5323">IFERROR(IF($B5323=N$1, ($A5323+$C5323) - MAX(IF($B$2:$B5322=$B5323, $A$2:$A5322+$C$2:$C5322)), "")*24*60, "")</f>
        <v/>
      </c>
      <c r="O5323" s="24" t="str" cm="1">
        <f t="array" ref="O5323">IFERROR(IF($B5323=O$1, ($A5323+$C5323) - MAX(IF($B$2:$B5322=$B5323, $A$2:$A5322+$C$2:$C5322)), "")*24*60, "")</f>
        <v/>
      </c>
      <c r="P5323" s="24" t="str" cm="1">
        <f t="array" ref="P5323">IFERROR(IF($B5323=P$1, ($A5323+$C5323) - MAX(IF($B$2:$B5322=$B5323, $A$2:$A5322+$C$2:$C5322)), "")*24*60, "")</f>
        <v/>
      </c>
      <c r="Q5323" s="24" t="str" cm="1">
        <f t="array" ref="Q5323">IFERROR(IF($B5323=Q$1, ($A5323+$C5323) - MAX(IF($B$2:$B5322=$B5323, $A$2:$A5322+$C$2:$C5322)), "")*24*60, "")</f>
        <v/>
      </c>
    </row>
    <row r="5324" spans="1:17" x14ac:dyDescent="0.2">
      <c r="A5324" s="12">
        <f t="shared" ref="A5324:C5324" si="1217">A5323</f>
        <v>45983</v>
      </c>
      <c r="B5324" s="5" t="str">
        <f t="shared" si="1217"/>
        <v>Northern Cardinal</v>
      </c>
      <c r="C5324" s="6">
        <f t="shared" si="1217"/>
        <v>0.28194444444444444</v>
      </c>
      <c r="D5324" s="5"/>
      <c r="E5324" s="5"/>
      <c r="F5324" s="5" t="s">
        <v>8</v>
      </c>
      <c r="G5324" s="15" t="s">
        <v>9</v>
      </c>
      <c r="H5324" s="24">
        <f t="shared" si="1129"/>
        <v>0</v>
      </c>
      <c r="I5324" s="24" cm="1">
        <f t="array" ref="I5324">IFERROR(IF($B5324=I$1, ($A5324+$C5324) - MAX(IF($B$2:$B5323=$B5324, $A$2:$A5323+$C$2:$C5323)), "")*24*60, "")</f>
        <v>0</v>
      </c>
      <c r="J5324" s="24" t="str" cm="1">
        <f t="array" ref="J5324">IFERROR(IF($B5324=J$1, ($A5324+$C5324) - MAX(IF($B$2:$B5323=$B5324, $A$2:$A5323+$C$2:$C5323)), "")*24*60, "")</f>
        <v/>
      </c>
      <c r="K5324" s="24" t="str" cm="1">
        <f t="array" ref="K5324">IFERROR(IF($B5324=K$1, ($A5324+$C5324) - MAX(IF($B$2:$B5323=$B5324, $A$2:$A5323+$C$2:$C5323)), "")*24*60, "")</f>
        <v/>
      </c>
      <c r="L5324" s="24" t="str" cm="1">
        <f t="array" ref="L5324">IFERROR(IF($B5324=L$1, ($A5324+$C5324) - MAX(IF($B$2:$B5323=$B5324, $A$2:$A5323+$C$2:$C5323)), "")*24*60, "")</f>
        <v/>
      </c>
      <c r="M5324" s="24" t="str" cm="1">
        <f t="array" ref="M5324">IFERROR(IF($B5324=M$1, ($A5324+$C5324) - MAX(IF($B$2:$B5323=$B5324, $A$2:$A5323+$C$2:$C5323)), "")*24*60, "")</f>
        <v/>
      </c>
      <c r="N5324" s="24" t="str" cm="1">
        <f t="array" ref="N5324">IFERROR(IF($B5324=N$1, ($A5324+$C5324) - MAX(IF($B$2:$B5323=$B5324, $A$2:$A5323+$C$2:$C5323)), "")*24*60, "")</f>
        <v/>
      </c>
      <c r="O5324" s="24" t="str" cm="1">
        <f t="array" ref="O5324">IFERROR(IF($B5324=O$1, ($A5324+$C5324) - MAX(IF($B$2:$B5323=$B5324, $A$2:$A5323+$C$2:$C5323)), "")*24*60, "")</f>
        <v/>
      </c>
      <c r="P5324" s="24" t="str" cm="1">
        <f t="array" ref="P5324">IFERROR(IF($B5324=P$1, ($A5324+$C5324) - MAX(IF($B$2:$B5323=$B5324, $A$2:$A5323+$C$2:$C5323)), "")*24*60, "")</f>
        <v/>
      </c>
      <c r="Q5324" s="24" t="str" cm="1">
        <f t="array" ref="Q5324">IFERROR(IF($B5324=Q$1, ($A5324+$C5324) - MAX(IF($B$2:$B5323=$B5324, $A$2:$A5323+$C$2:$C5323)), "")*24*60, "")</f>
        <v/>
      </c>
    </row>
    <row r="5325" spans="1:17" x14ac:dyDescent="0.2">
      <c r="A5325" s="12">
        <f t="shared" ref="A5325:C5325" si="1218">A5324</f>
        <v>45983</v>
      </c>
      <c r="B5325" s="5" t="str">
        <f t="shared" si="1218"/>
        <v>Northern Cardinal</v>
      </c>
      <c r="C5325" s="6">
        <f t="shared" si="1218"/>
        <v>0.28194444444444444</v>
      </c>
      <c r="D5325" s="5"/>
      <c r="E5325" s="5"/>
      <c r="F5325" s="5" t="s">
        <v>8</v>
      </c>
      <c r="G5325" s="15" t="s">
        <v>9</v>
      </c>
      <c r="H5325" s="24">
        <f t="shared" si="1129"/>
        <v>0</v>
      </c>
      <c r="I5325" s="24" cm="1">
        <f t="array" ref="I5325">IFERROR(IF($B5325=I$1, ($A5325+$C5325) - MAX(IF($B$2:$B5324=$B5325, $A$2:$A5324+$C$2:$C5324)), "")*24*60, "")</f>
        <v>0</v>
      </c>
      <c r="J5325" s="24" t="str" cm="1">
        <f t="array" ref="J5325">IFERROR(IF($B5325=J$1, ($A5325+$C5325) - MAX(IF($B$2:$B5324=$B5325, $A$2:$A5324+$C$2:$C5324)), "")*24*60, "")</f>
        <v/>
      </c>
      <c r="K5325" s="24" t="str" cm="1">
        <f t="array" ref="K5325">IFERROR(IF($B5325=K$1, ($A5325+$C5325) - MAX(IF($B$2:$B5324=$B5325, $A$2:$A5324+$C$2:$C5324)), "")*24*60, "")</f>
        <v/>
      </c>
      <c r="L5325" s="24" t="str" cm="1">
        <f t="array" ref="L5325">IFERROR(IF($B5325=L$1, ($A5325+$C5325) - MAX(IF($B$2:$B5324=$B5325, $A$2:$A5324+$C$2:$C5324)), "")*24*60, "")</f>
        <v/>
      </c>
      <c r="M5325" s="24" t="str" cm="1">
        <f t="array" ref="M5325">IFERROR(IF($B5325=M$1, ($A5325+$C5325) - MAX(IF($B$2:$B5324=$B5325, $A$2:$A5324+$C$2:$C5324)), "")*24*60, "")</f>
        <v/>
      </c>
      <c r="N5325" s="24" t="str" cm="1">
        <f t="array" ref="N5325">IFERROR(IF($B5325=N$1, ($A5325+$C5325) - MAX(IF($B$2:$B5324=$B5325, $A$2:$A5324+$C$2:$C5324)), "")*24*60, "")</f>
        <v/>
      </c>
      <c r="O5325" s="24" t="str" cm="1">
        <f t="array" ref="O5325">IFERROR(IF($B5325=O$1, ($A5325+$C5325) - MAX(IF($B$2:$B5324=$B5325, $A$2:$A5324+$C$2:$C5324)), "")*24*60, "")</f>
        <v/>
      </c>
      <c r="P5325" s="24" t="str" cm="1">
        <f t="array" ref="P5325">IFERROR(IF($B5325=P$1, ($A5325+$C5325) - MAX(IF($B$2:$B5324=$B5325, $A$2:$A5324+$C$2:$C5324)), "")*24*60, "")</f>
        <v/>
      </c>
      <c r="Q5325" s="24" t="str" cm="1">
        <f t="array" ref="Q5325">IFERROR(IF($B5325=Q$1, ($A5325+$C5325) - MAX(IF($B$2:$B5324=$B5325, $A$2:$A5324+$C$2:$C5324)), "")*24*60, "")</f>
        <v/>
      </c>
    </row>
    <row r="5326" spans="1:17" x14ac:dyDescent="0.2">
      <c r="A5326" s="12">
        <f t="shared" ref="A5326:C5326" si="1219">A5325</f>
        <v>45983</v>
      </c>
      <c r="B5326" s="5" t="str">
        <f t="shared" si="1219"/>
        <v>Northern Cardinal</v>
      </c>
      <c r="C5326" s="6">
        <f t="shared" si="1219"/>
        <v>0.28194444444444444</v>
      </c>
      <c r="D5326" s="5"/>
      <c r="E5326" s="5"/>
      <c r="F5326" s="5" t="s">
        <v>8</v>
      </c>
      <c r="G5326" s="15" t="s">
        <v>9</v>
      </c>
      <c r="H5326" s="24">
        <f t="shared" si="1129"/>
        <v>0</v>
      </c>
      <c r="I5326" s="24" cm="1">
        <f t="array" ref="I5326">IFERROR(IF($B5326=I$1, ($A5326+$C5326) - MAX(IF($B$2:$B5325=$B5326, $A$2:$A5325+$C$2:$C5325)), "")*24*60, "")</f>
        <v>0</v>
      </c>
      <c r="J5326" s="24" t="str" cm="1">
        <f t="array" ref="J5326">IFERROR(IF($B5326=J$1, ($A5326+$C5326) - MAX(IF($B$2:$B5325=$B5326, $A$2:$A5325+$C$2:$C5325)), "")*24*60, "")</f>
        <v/>
      </c>
      <c r="K5326" s="24" t="str" cm="1">
        <f t="array" ref="K5326">IFERROR(IF($B5326=K$1, ($A5326+$C5326) - MAX(IF($B$2:$B5325=$B5326, $A$2:$A5325+$C$2:$C5325)), "")*24*60, "")</f>
        <v/>
      </c>
      <c r="L5326" s="24" t="str" cm="1">
        <f t="array" ref="L5326">IFERROR(IF($B5326=L$1, ($A5326+$C5326) - MAX(IF($B$2:$B5325=$B5326, $A$2:$A5325+$C$2:$C5325)), "")*24*60, "")</f>
        <v/>
      </c>
      <c r="M5326" s="24" t="str" cm="1">
        <f t="array" ref="M5326">IFERROR(IF($B5326=M$1, ($A5326+$C5326) - MAX(IF($B$2:$B5325=$B5326, $A$2:$A5325+$C$2:$C5325)), "")*24*60, "")</f>
        <v/>
      </c>
      <c r="N5326" s="24" t="str" cm="1">
        <f t="array" ref="N5326">IFERROR(IF($B5326=N$1, ($A5326+$C5326) - MAX(IF($B$2:$B5325=$B5326, $A$2:$A5325+$C$2:$C5325)), "")*24*60, "")</f>
        <v/>
      </c>
      <c r="O5326" s="24" t="str" cm="1">
        <f t="array" ref="O5326">IFERROR(IF($B5326=O$1, ($A5326+$C5326) - MAX(IF($B$2:$B5325=$B5326, $A$2:$A5325+$C$2:$C5325)), "")*24*60, "")</f>
        <v/>
      </c>
      <c r="P5326" s="24" t="str" cm="1">
        <f t="array" ref="P5326">IFERROR(IF($B5326=P$1, ($A5326+$C5326) - MAX(IF($B$2:$B5325=$B5326, $A$2:$A5325+$C$2:$C5325)), "")*24*60, "")</f>
        <v/>
      </c>
      <c r="Q5326" s="24" t="str" cm="1">
        <f t="array" ref="Q5326">IFERROR(IF($B5326=Q$1, ($A5326+$C5326) - MAX(IF($B$2:$B5325=$B5326, $A$2:$A5325+$C$2:$C5325)), "")*24*60, "")</f>
        <v/>
      </c>
    </row>
    <row r="5327" spans="1:17" x14ac:dyDescent="0.2">
      <c r="A5327" s="12">
        <f t="shared" ref="A5327:C5327" si="1220">A5326</f>
        <v>45983</v>
      </c>
      <c r="B5327" s="5" t="str">
        <f t="shared" si="1220"/>
        <v>Northern Cardinal</v>
      </c>
      <c r="C5327" s="6">
        <f t="shared" si="1220"/>
        <v>0.28194444444444444</v>
      </c>
      <c r="D5327" s="5"/>
      <c r="E5327" s="5"/>
      <c r="F5327" s="5" t="s">
        <v>8</v>
      </c>
      <c r="G5327" s="15" t="s">
        <v>9</v>
      </c>
      <c r="H5327" s="24">
        <f t="shared" si="1129"/>
        <v>0</v>
      </c>
      <c r="I5327" s="24" cm="1">
        <f t="array" ref="I5327">IFERROR(IF($B5327=I$1, ($A5327+$C5327) - MAX(IF($B$2:$B5326=$B5327, $A$2:$A5326+$C$2:$C5326)), "")*24*60, "")</f>
        <v>0</v>
      </c>
      <c r="J5327" s="24" t="str" cm="1">
        <f t="array" ref="J5327">IFERROR(IF($B5327=J$1, ($A5327+$C5327) - MAX(IF($B$2:$B5326=$B5327, $A$2:$A5326+$C$2:$C5326)), "")*24*60, "")</f>
        <v/>
      </c>
      <c r="K5327" s="24" t="str" cm="1">
        <f t="array" ref="K5327">IFERROR(IF($B5327=K$1, ($A5327+$C5327) - MAX(IF($B$2:$B5326=$B5327, $A$2:$A5326+$C$2:$C5326)), "")*24*60, "")</f>
        <v/>
      </c>
      <c r="L5327" s="24" t="str" cm="1">
        <f t="array" ref="L5327">IFERROR(IF($B5327=L$1, ($A5327+$C5327) - MAX(IF($B$2:$B5326=$B5327, $A$2:$A5326+$C$2:$C5326)), "")*24*60, "")</f>
        <v/>
      </c>
      <c r="M5327" s="24" t="str" cm="1">
        <f t="array" ref="M5327">IFERROR(IF($B5327=M$1, ($A5327+$C5327) - MAX(IF($B$2:$B5326=$B5327, $A$2:$A5326+$C$2:$C5326)), "")*24*60, "")</f>
        <v/>
      </c>
      <c r="N5327" s="24" t="str" cm="1">
        <f t="array" ref="N5327">IFERROR(IF($B5327=N$1, ($A5327+$C5327) - MAX(IF($B$2:$B5326=$B5327, $A$2:$A5326+$C$2:$C5326)), "")*24*60, "")</f>
        <v/>
      </c>
      <c r="O5327" s="24" t="str" cm="1">
        <f t="array" ref="O5327">IFERROR(IF($B5327=O$1, ($A5327+$C5327) - MAX(IF($B$2:$B5326=$B5327, $A$2:$A5326+$C$2:$C5326)), "")*24*60, "")</f>
        <v/>
      </c>
      <c r="P5327" s="24" t="str" cm="1">
        <f t="array" ref="P5327">IFERROR(IF($B5327=P$1, ($A5327+$C5327) - MAX(IF($B$2:$B5326=$B5327, $A$2:$A5326+$C$2:$C5326)), "")*24*60, "")</f>
        <v/>
      </c>
      <c r="Q5327" s="24" t="str" cm="1">
        <f t="array" ref="Q5327">IFERROR(IF($B5327=Q$1, ($A5327+$C5327) - MAX(IF($B$2:$B5326=$B5327, $A$2:$A5326+$C$2:$C5326)), "")*24*60, "")</f>
        <v/>
      </c>
    </row>
    <row r="5328" spans="1:17" x14ac:dyDescent="0.2">
      <c r="A5328" s="12">
        <f t="shared" ref="A5328:C5328" si="1221">A5327</f>
        <v>45983</v>
      </c>
      <c r="B5328" s="5" t="str">
        <f t="shared" si="1221"/>
        <v>Northern Cardinal</v>
      </c>
      <c r="C5328" s="6">
        <f t="shared" si="1221"/>
        <v>0.28194444444444444</v>
      </c>
      <c r="D5328" s="5"/>
      <c r="E5328" s="5"/>
      <c r="F5328" s="5" t="s">
        <v>8</v>
      </c>
      <c r="G5328" s="15" t="s">
        <v>9</v>
      </c>
      <c r="H5328" s="24">
        <f t="shared" si="1129"/>
        <v>0</v>
      </c>
      <c r="I5328" s="24" cm="1">
        <f t="array" ref="I5328">IFERROR(IF($B5328=I$1, ($A5328+$C5328) - MAX(IF($B$2:$B5327=$B5328, $A$2:$A5327+$C$2:$C5327)), "")*24*60, "")</f>
        <v>0</v>
      </c>
      <c r="J5328" s="24" t="str" cm="1">
        <f t="array" ref="J5328">IFERROR(IF($B5328=J$1, ($A5328+$C5328) - MAX(IF($B$2:$B5327=$B5328, $A$2:$A5327+$C$2:$C5327)), "")*24*60, "")</f>
        <v/>
      </c>
      <c r="K5328" s="24" t="str" cm="1">
        <f t="array" ref="K5328">IFERROR(IF($B5328=K$1, ($A5328+$C5328) - MAX(IF($B$2:$B5327=$B5328, $A$2:$A5327+$C$2:$C5327)), "")*24*60, "")</f>
        <v/>
      </c>
      <c r="L5328" s="24" t="str" cm="1">
        <f t="array" ref="L5328">IFERROR(IF($B5328=L$1, ($A5328+$C5328) - MAX(IF($B$2:$B5327=$B5328, $A$2:$A5327+$C$2:$C5327)), "")*24*60, "")</f>
        <v/>
      </c>
      <c r="M5328" s="24" t="str" cm="1">
        <f t="array" ref="M5328">IFERROR(IF($B5328=M$1, ($A5328+$C5328) - MAX(IF($B$2:$B5327=$B5328, $A$2:$A5327+$C$2:$C5327)), "")*24*60, "")</f>
        <v/>
      </c>
      <c r="N5328" s="24" t="str" cm="1">
        <f t="array" ref="N5328">IFERROR(IF($B5328=N$1, ($A5328+$C5328) - MAX(IF($B$2:$B5327=$B5328, $A$2:$A5327+$C$2:$C5327)), "")*24*60, "")</f>
        <v/>
      </c>
      <c r="O5328" s="24" t="str" cm="1">
        <f t="array" ref="O5328">IFERROR(IF($B5328=O$1, ($A5328+$C5328) - MAX(IF($B$2:$B5327=$B5328, $A$2:$A5327+$C$2:$C5327)), "")*24*60, "")</f>
        <v/>
      </c>
      <c r="P5328" s="24" t="str" cm="1">
        <f t="array" ref="P5328">IFERROR(IF($B5328=P$1, ($A5328+$C5328) - MAX(IF($B$2:$B5327=$B5328, $A$2:$A5327+$C$2:$C5327)), "")*24*60, "")</f>
        <v/>
      </c>
      <c r="Q5328" s="24" t="str" cm="1">
        <f t="array" ref="Q5328">IFERROR(IF($B5328=Q$1, ($A5328+$C5328) - MAX(IF($B$2:$B5327=$B5328, $A$2:$A5327+$C$2:$C5327)), "")*24*60, "")</f>
        <v/>
      </c>
    </row>
    <row r="5329" spans="1:17" x14ac:dyDescent="0.2">
      <c r="A5329" s="12">
        <f t="shared" ref="A5329:C5329" si="1222">A5328</f>
        <v>45983</v>
      </c>
      <c r="B5329" s="5" t="str">
        <f t="shared" si="1222"/>
        <v>Northern Cardinal</v>
      </c>
      <c r="C5329" s="6">
        <f t="shared" si="1222"/>
        <v>0.28194444444444444</v>
      </c>
      <c r="D5329" s="5"/>
      <c r="E5329" s="5"/>
      <c r="F5329" s="5" t="s">
        <v>8</v>
      </c>
      <c r="G5329" s="15" t="s">
        <v>9</v>
      </c>
      <c r="H5329" s="24">
        <f t="shared" si="1129"/>
        <v>0</v>
      </c>
      <c r="I5329" s="24" cm="1">
        <f t="array" ref="I5329">IFERROR(IF($B5329=I$1, ($A5329+$C5329) - MAX(IF($B$2:$B5328=$B5329, $A$2:$A5328+$C$2:$C5328)), "")*24*60, "")</f>
        <v>0</v>
      </c>
      <c r="J5329" s="24" t="str" cm="1">
        <f t="array" ref="J5329">IFERROR(IF($B5329=J$1, ($A5329+$C5329) - MAX(IF($B$2:$B5328=$B5329, $A$2:$A5328+$C$2:$C5328)), "")*24*60, "")</f>
        <v/>
      </c>
      <c r="K5329" s="24" t="str" cm="1">
        <f t="array" ref="K5329">IFERROR(IF($B5329=K$1, ($A5329+$C5329) - MAX(IF($B$2:$B5328=$B5329, $A$2:$A5328+$C$2:$C5328)), "")*24*60, "")</f>
        <v/>
      </c>
      <c r="L5329" s="24" t="str" cm="1">
        <f t="array" ref="L5329">IFERROR(IF($B5329=L$1, ($A5329+$C5329) - MAX(IF($B$2:$B5328=$B5329, $A$2:$A5328+$C$2:$C5328)), "")*24*60, "")</f>
        <v/>
      </c>
      <c r="M5329" s="24" t="str" cm="1">
        <f t="array" ref="M5329">IFERROR(IF($B5329=M$1, ($A5329+$C5329) - MAX(IF($B$2:$B5328=$B5329, $A$2:$A5328+$C$2:$C5328)), "")*24*60, "")</f>
        <v/>
      </c>
      <c r="N5329" s="24" t="str" cm="1">
        <f t="array" ref="N5329">IFERROR(IF($B5329=N$1, ($A5329+$C5329) - MAX(IF($B$2:$B5328=$B5329, $A$2:$A5328+$C$2:$C5328)), "")*24*60, "")</f>
        <v/>
      </c>
      <c r="O5329" s="24" t="str" cm="1">
        <f t="array" ref="O5329">IFERROR(IF($B5329=O$1, ($A5329+$C5329) - MAX(IF($B$2:$B5328=$B5329, $A$2:$A5328+$C$2:$C5328)), "")*24*60, "")</f>
        <v/>
      </c>
      <c r="P5329" s="24" t="str" cm="1">
        <f t="array" ref="P5329">IFERROR(IF($B5329=P$1, ($A5329+$C5329) - MAX(IF($B$2:$B5328=$B5329, $A$2:$A5328+$C$2:$C5328)), "")*24*60, "")</f>
        <v/>
      </c>
      <c r="Q5329" s="24" t="str" cm="1">
        <f t="array" ref="Q5329">IFERROR(IF($B5329=Q$1, ($A5329+$C5329) - MAX(IF($B$2:$B5328=$B5329, $A$2:$A5328+$C$2:$C5328)), "")*24*60, "")</f>
        <v/>
      </c>
    </row>
    <row r="5330" spans="1:17" x14ac:dyDescent="0.2">
      <c r="A5330" s="12">
        <f t="shared" ref="A5330:C5330" si="1223">A5329</f>
        <v>45983</v>
      </c>
      <c r="B5330" s="5" t="str">
        <f t="shared" si="1223"/>
        <v>Northern Cardinal</v>
      </c>
      <c r="C5330" s="6">
        <f t="shared" si="1223"/>
        <v>0.28194444444444444</v>
      </c>
      <c r="D5330" s="5"/>
      <c r="E5330" s="5"/>
      <c r="F5330" s="5" t="s">
        <v>8</v>
      </c>
      <c r="G5330" s="15" t="s">
        <v>9</v>
      </c>
      <c r="H5330" s="24">
        <f t="shared" si="1129"/>
        <v>0</v>
      </c>
      <c r="I5330" s="24" cm="1">
        <f t="array" ref="I5330">IFERROR(IF($B5330=I$1, ($A5330+$C5330) - MAX(IF($B$2:$B5329=$B5330, $A$2:$A5329+$C$2:$C5329)), "")*24*60, "")</f>
        <v>0</v>
      </c>
      <c r="J5330" s="24" t="str" cm="1">
        <f t="array" ref="J5330">IFERROR(IF($B5330=J$1, ($A5330+$C5330) - MAX(IF($B$2:$B5329=$B5330, $A$2:$A5329+$C$2:$C5329)), "")*24*60, "")</f>
        <v/>
      </c>
      <c r="K5330" s="24" t="str" cm="1">
        <f t="array" ref="K5330">IFERROR(IF($B5330=K$1, ($A5330+$C5330) - MAX(IF($B$2:$B5329=$B5330, $A$2:$A5329+$C$2:$C5329)), "")*24*60, "")</f>
        <v/>
      </c>
      <c r="L5330" s="24" t="str" cm="1">
        <f t="array" ref="L5330">IFERROR(IF($B5330=L$1, ($A5330+$C5330) - MAX(IF($B$2:$B5329=$B5330, $A$2:$A5329+$C$2:$C5329)), "")*24*60, "")</f>
        <v/>
      </c>
      <c r="M5330" s="24" t="str" cm="1">
        <f t="array" ref="M5330">IFERROR(IF($B5330=M$1, ($A5330+$C5330) - MAX(IF($B$2:$B5329=$B5330, $A$2:$A5329+$C$2:$C5329)), "")*24*60, "")</f>
        <v/>
      </c>
      <c r="N5330" s="24" t="str" cm="1">
        <f t="array" ref="N5330">IFERROR(IF($B5330=N$1, ($A5330+$C5330) - MAX(IF($B$2:$B5329=$B5330, $A$2:$A5329+$C$2:$C5329)), "")*24*60, "")</f>
        <v/>
      </c>
      <c r="O5330" s="24" t="str" cm="1">
        <f t="array" ref="O5330">IFERROR(IF($B5330=O$1, ($A5330+$C5330) - MAX(IF($B$2:$B5329=$B5330, $A$2:$A5329+$C$2:$C5329)), "")*24*60, "")</f>
        <v/>
      </c>
      <c r="P5330" s="24" t="str" cm="1">
        <f t="array" ref="P5330">IFERROR(IF($B5330=P$1, ($A5330+$C5330) - MAX(IF($B$2:$B5329=$B5330, $A$2:$A5329+$C$2:$C5329)), "")*24*60, "")</f>
        <v/>
      </c>
      <c r="Q5330" s="24" t="str" cm="1">
        <f t="array" ref="Q5330">IFERROR(IF($B5330=Q$1, ($A5330+$C5330) - MAX(IF($B$2:$B5329=$B5330, $A$2:$A5329+$C$2:$C5329)), "")*24*60, "")</f>
        <v/>
      </c>
    </row>
    <row r="5331" spans="1:17" x14ac:dyDescent="0.2">
      <c r="A5331" s="12">
        <f t="shared" ref="A5331:C5331" si="1224">A5330</f>
        <v>45983</v>
      </c>
      <c r="B5331" s="5" t="str">
        <f t="shared" si="1224"/>
        <v>Northern Cardinal</v>
      </c>
      <c r="C5331" s="6">
        <f t="shared" si="1224"/>
        <v>0.28194444444444444</v>
      </c>
      <c r="D5331" s="5"/>
      <c r="E5331" s="5"/>
      <c r="F5331" s="5" t="s">
        <v>8</v>
      </c>
      <c r="G5331" s="15" t="s">
        <v>9</v>
      </c>
      <c r="H5331" s="24">
        <f t="shared" si="1129"/>
        <v>0</v>
      </c>
      <c r="I5331" s="24" cm="1">
        <f t="array" ref="I5331">IFERROR(IF($B5331=I$1, ($A5331+$C5331) - MAX(IF($B$2:$B5330=$B5331, $A$2:$A5330+$C$2:$C5330)), "")*24*60, "")</f>
        <v>0</v>
      </c>
      <c r="J5331" s="24" t="str" cm="1">
        <f t="array" ref="J5331">IFERROR(IF($B5331=J$1, ($A5331+$C5331) - MAX(IF($B$2:$B5330=$B5331, $A$2:$A5330+$C$2:$C5330)), "")*24*60, "")</f>
        <v/>
      </c>
      <c r="K5331" s="24" t="str" cm="1">
        <f t="array" ref="K5331">IFERROR(IF($B5331=K$1, ($A5331+$C5331) - MAX(IF($B$2:$B5330=$B5331, $A$2:$A5330+$C$2:$C5330)), "")*24*60, "")</f>
        <v/>
      </c>
      <c r="L5331" s="24" t="str" cm="1">
        <f t="array" ref="L5331">IFERROR(IF($B5331=L$1, ($A5331+$C5331) - MAX(IF($B$2:$B5330=$B5331, $A$2:$A5330+$C$2:$C5330)), "")*24*60, "")</f>
        <v/>
      </c>
      <c r="M5331" s="24" t="str" cm="1">
        <f t="array" ref="M5331">IFERROR(IF($B5331=M$1, ($A5331+$C5331) - MAX(IF($B$2:$B5330=$B5331, $A$2:$A5330+$C$2:$C5330)), "")*24*60, "")</f>
        <v/>
      </c>
      <c r="N5331" s="24" t="str" cm="1">
        <f t="array" ref="N5331">IFERROR(IF($B5331=N$1, ($A5331+$C5331) - MAX(IF($B$2:$B5330=$B5331, $A$2:$A5330+$C$2:$C5330)), "")*24*60, "")</f>
        <v/>
      </c>
      <c r="O5331" s="24" t="str" cm="1">
        <f t="array" ref="O5331">IFERROR(IF($B5331=O$1, ($A5331+$C5331) - MAX(IF($B$2:$B5330=$B5331, $A$2:$A5330+$C$2:$C5330)), "")*24*60, "")</f>
        <v/>
      </c>
      <c r="P5331" s="24" t="str" cm="1">
        <f t="array" ref="P5331">IFERROR(IF($B5331=P$1, ($A5331+$C5331) - MAX(IF($B$2:$B5330=$B5331, $A$2:$A5330+$C$2:$C5330)), "")*24*60, "")</f>
        <v/>
      </c>
      <c r="Q5331" s="24" t="str" cm="1">
        <f t="array" ref="Q5331">IFERROR(IF($B5331=Q$1, ($A5331+$C5331) - MAX(IF($B$2:$B5330=$B5331, $A$2:$A5330+$C$2:$C5330)), "")*24*60, "")</f>
        <v/>
      </c>
    </row>
    <row r="5332" spans="1:17" x14ac:dyDescent="0.2">
      <c r="A5332" s="12">
        <f t="shared" ref="A5332:C5332" si="1225">A5331</f>
        <v>45983</v>
      </c>
      <c r="B5332" s="5" t="str">
        <f t="shared" si="1225"/>
        <v>Northern Cardinal</v>
      </c>
      <c r="C5332" s="6">
        <f t="shared" si="1225"/>
        <v>0.28194444444444444</v>
      </c>
      <c r="D5332" s="5"/>
      <c r="E5332" s="5"/>
      <c r="F5332" s="5" t="s">
        <v>8</v>
      </c>
      <c r="G5332" s="15" t="s">
        <v>9</v>
      </c>
      <c r="H5332" s="24">
        <f t="shared" si="1129"/>
        <v>0</v>
      </c>
      <c r="I5332" s="24" cm="1">
        <f t="array" ref="I5332">IFERROR(IF($B5332=I$1, ($A5332+$C5332) - MAX(IF($B$2:$B5331=$B5332, $A$2:$A5331+$C$2:$C5331)), "")*24*60, "")</f>
        <v>0</v>
      </c>
      <c r="J5332" s="24" t="str" cm="1">
        <f t="array" ref="J5332">IFERROR(IF($B5332=J$1, ($A5332+$C5332) - MAX(IF($B$2:$B5331=$B5332, $A$2:$A5331+$C$2:$C5331)), "")*24*60, "")</f>
        <v/>
      </c>
      <c r="K5332" s="24" t="str" cm="1">
        <f t="array" ref="K5332">IFERROR(IF($B5332=K$1, ($A5332+$C5332) - MAX(IF($B$2:$B5331=$B5332, $A$2:$A5331+$C$2:$C5331)), "")*24*60, "")</f>
        <v/>
      </c>
      <c r="L5332" s="24" t="str" cm="1">
        <f t="array" ref="L5332">IFERROR(IF($B5332=L$1, ($A5332+$C5332) - MAX(IF($B$2:$B5331=$B5332, $A$2:$A5331+$C$2:$C5331)), "")*24*60, "")</f>
        <v/>
      </c>
      <c r="M5332" s="24" t="str" cm="1">
        <f t="array" ref="M5332">IFERROR(IF($B5332=M$1, ($A5332+$C5332) - MAX(IF($B$2:$B5331=$B5332, $A$2:$A5331+$C$2:$C5331)), "")*24*60, "")</f>
        <v/>
      </c>
      <c r="N5332" s="24" t="str" cm="1">
        <f t="array" ref="N5332">IFERROR(IF($B5332=N$1, ($A5332+$C5332) - MAX(IF($B$2:$B5331=$B5332, $A$2:$A5331+$C$2:$C5331)), "")*24*60, "")</f>
        <v/>
      </c>
      <c r="O5332" s="24" t="str" cm="1">
        <f t="array" ref="O5332">IFERROR(IF($B5332=O$1, ($A5332+$C5332) - MAX(IF($B$2:$B5331=$B5332, $A$2:$A5331+$C$2:$C5331)), "")*24*60, "")</f>
        <v/>
      </c>
      <c r="P5332" s="24" t="str" cm="1">
        <f t="array" ref="P5332">IFERROR(IF($B5332=P$1, ($A5332+$C5332) - MAX(IF($B$2:$B5331=$B5332, $A$2:$A5331+$C$2:$C5331)), "")*24*60, "")</f>
        <v/>
      </c>
      <c r="Q5332" s="24" t="str" cm="1">
        <f t="array" ref="Q5332">IFERROR(IF($B5332=Q$1, ($A5332+$C5332) - MAX(IF($B$2:$B5331=$B5332, $A$2:$A5331+$C$2:$C5331)), "")*24*60, "")</f>
        <v/>
      </c>
    </row>
    <row r="5333" spans="1:17" x14ac:dyDescent="0.2">
      <c r="A5333" s="12">
        <f t="shared" ref="A5333:C5333" si="1226">A5332</f>
        <v>45983</v>
      </c>
      <c r="B5333" s="5" t="str">
        <f t="shared" si="1226"/>
        <v>Northern Cardinal</v>
      </c>
      <c r="C5333" s="6">
        <f t="shared" si="1226"/>
        <v>0.28194444444444444</v>
      </c>
      <c r="D5333" s="5"/>
      <c r="E5333" s="5"/>
      <c r="F5333" s="5" t="s">
        <v>8</v>
      </c>
      <c r="G5333" s="15" t="s">
        <v>9</v>
      </c>
      <c r="H5333" s="24">
        <f t="shared" si="1129"/>
        <v>0</v>
      </c>
      <c r="I5333" s="24" cm="1">
        <f t="array" ref="I5333">IFERROR(IF($B5333=I$1, ($A5333+$C5333) - MAX(IF($B$2:$B5332=$B5333, $A$2:$A5332+$C$2:$C5332)), "")*24*60, "")</f>
        <v>0</v>
      </c>
      <c r="J5333" s="24" t="str" cm="1">
        <f t="array" ref="J5333">IFERROR(IF($B5333=J$1, ($A5333+$C5333) - MAX(IF($B$2:$B5332=$B5333, $A$2:$A5332+$C$2:$C5332)), "")*24*60, "")</f>
        <v/>
      </c>
      <c r="K5333" s="24" t="str" cm="1">
        <f t="array" ref="K5333">IFERROR(IF($B5333=K$1, ($A5333+$C5333) - MAX(IF($B$2:$B5332=$B5333, $A$2:$A5332+$C$2:$C5332)), "")*24*60, "")</f>
        <v/>
      </c>
      <c r="L5333" s="24" t="str" cm="1">
        <f t="array" ref="L5333">IFERROR(IF($B5333=L$1, ($A5333+$C5333) - MAX(IF($B$2:$B5332=$B5333, $A$2:$A5332+$C$2:$C5332)), "")*24*60, "")</f>
        <v/>
      </c>
      <c r="M5333" s="24" t="str" cm="1">
        <f t="array" ref="M5333">IFERROR(IF($B5333=M$1, ($A5333+$C5333) - MAX(IF($B$2:$B5332=$B5333, $A$2:$A5332+$C$2:$C5332)), "")*24*60, "")</f>
        <v/>
      </c>
      <c r="N5333" s="24" t="str" cm="1">
        <f t="array" ref="N5333">IFERROR(IF($B5333=N$1, ($A5333+$C5333) - MAX(IF($B$2:$B5332=$B5333, $A$2:$A5332+$C$2:$C5332)), "")*24*60, "")</f>
        <v/>
      </c>
      <c r="O5333" s="24" t="str" cm="1">
        <f t="array" ref="O5333">IFERROR(IF($B5333=O$1, ($A5333+$C5333) - MAX(IF($B$2:$B5332=$B5333, $A$2:$A5332+$C$2:$C5332)), "")*24*60, "")</f>
        <v/>
      </c>
      <c r="P5333" s="24" t="str" cm="1">
        <f t="array" ref="P5333">IFERROR(IF($B5333=P$1, ($A5333+$C5333) - MAX(IF($B$2:$B5332=$B5333, $A$2:$A5332+$C$2:$C5332)), "")*24*60, "")</f>
        <v/>
      </c>
      <c r="Q5333" s="24" t="str" cm="1">
        <f t="array" ref="Q5333">IFERROR(IF($B5333=Q$1, ($A5333+$C5333) - MAX(IF($B$2:$B5332=$B5333, $A$2:$A5332+$C$2:$C5332)), "")*24*60, "")</f>
        <v/>
      </c>
    </row>
    <row r="5334" spans="1:17" x14ac:dyDescent="0.2">
      <c r="A5334" s="12">
        <f t="shared" ref="A5334:C5334" si="1227">A5333</f>
        <v>45983</v>
      </c>
      <c r="B5334" s="5" t="str">
        <f t="shared" si="1227"/>
        <v>Northern Cardinal</v>
      </c>
      <c r="C5334" s="6">
        <f t="shared" si="1227"/>
        <v>0.28194444444444444</v>
      </c>
      <c r="D5334" s="5"/>
      <c r="E5334" s="5"/>
      <c r="F5334" s="5" t="s">
        <v>8</v>
      </c>
      <c r="G5334" s="15" t="s">
        <v>9</v>
      </c>
      <c r="H5334" s="24">
        <f t="shared" si="1129"/>
        <v>0</v>
      </c>
      <c r="I5334" s="24" cm="1">
        <f t="array" ref="I5334">IFERROR(IF($B5334=I$1, ($A5334+$C5334) - MAX(IF($B$2:$B5333=$B5334, $A$2:$A5333+$C$2:$C5333)), "")*24*60, "")</f>
        <v>0</v>
      </c>
      <c r="J5334" s="24" t="str" cm="1">
        <f t="array" ref="J5334">IFERROR(IF($B5334=J$1, ($A5334+$C5334) - MAX(IF($B$2:$B5333=$B5334, $A$2:$A5333+$C$2:$C5333)), "")*24*60, "")</f>
        <v/>
      </c>
      <c r="K5334" s="24" t="str" cm="1">
        <f t="array" ref="K5334">IFERROR(IF($B5334=K$1, ($A5334+$C5334) - MAX(IF($B$2:$B5333=$B5334, $A$2:$A5333+$C$2:$C5333)), "")*24*60, "")</f>
        <v/>
      </c>
      <c r="L5334" s="24" t="str" cm="1">
        <f t="array" ref="L5334">IFERROR(IF($B5334=L$1, ($A5334+$C5334) - MAX(IF($B$2:$B5333=$B5334, $A$2:$A5333+$C$2:$C5333)), "")*24*60, "")</f>
        <v/>
      </c>
      <c r="M5334" s="24" t="str" cm="1">
        <f t="array" ref="M5334">IFERROR(IF($B5334=M$1, ($A5334+$C5334) - MAX(IF($B$2:$B5333=$B5334, $A$2:$A5333+$C$2:$C5333)), "")*24*60, "")</f>
        <v/>
      </c>
      <c r="N5334" s="24" t="str" cm="1">
        <f t="array" ref="N5334">IFERROR(IF($B5334=N$1, ($A5334+$C5334) - MAX(IF($B$2:$B5333=$B5334, $A$2:$A5333+$C$2:$C5333)), "")*24*60, "")</f>
        <v/>
      </c>
      <c r="O5334" s="24" t="str" cm="1">
        <f t="array" ref="O5334">IFERROR(IF($B5334=O$1, ($A5334+$C5334) - MAX(IF($B$2:$B5333=$B5334, $A$2:$A5333+$C$2:$C5333)), "")*24*60, "")</f>
        <v/>
      </c>
      <c r="P5334" s="24" t="str" cm="1">
        <f t="array" ref="P5334">IFERROR(IF($B5334=P$1, ($A5334+$C5334) - MAX(IF($B$2:$B5333=$B5334, $A$2:$A5333+$C$2:$C5333)), "")*24*60, "")</f>
        <v/>
      </c>
      <c r="Q5334" s="24" t="str" cm="1">
        <f t="array" ref="Q5334">IFERROR(IF($B5334=Q$1, ($A5334+$C5334) - MAX(IF($B$2:$B5333=$B5334, $A$2:$A5333+$C$2:$C5333)), "")*24*60, "")</f>
        <v/>
      </c>
    </row>
    <row r="5335" spans="1:17" x14ac:dyDescent="0.2">
      <c r="A5335" s="12">
        <f t="shared" ref="A5335:C5335" si="1228">A5334</f>
        <v>45983</v>
      </c>
      <c r="B5335" s="5" t="str">
        <f t="shared" si="1228"/>
        <v>Northern Cardinal</v>
      </c>
      <c r="C5335" s="6">
        <f t="shared" si="1228"/>
        <v>0.28194444444444444</v>
      </c>
      <c r="D5335" s="5"/>
      <c r="E5335" s="5"/>
      <c r="F5335" s="5" t="s">
        <v>8</v>
      </c>
      <c r="G5335" s="15" t="s">
        <v>9</v>
      </c>
      <c r="H5335" s="24">
        <f t="shared" si="1129"/>
        <v>0</v>
      </c>
      <c r="I5335" s="24" cm="1">
        <f t="array" ref="I5335">IFERROR(IF($B5335=I$1, ($A5335+$C5335) - MAX(IF($B$2:$B5334=$B5335, $A$2:$A5334+$C$2:$C5334)), "")*24*60, "")</f>
        <v>0</v>
      </c>
      <c r="J5335" s="24" t="str" cm="1">
        <f t="array" ref="J5335">IFERROR(IF($B5335=J$1, ($A5335+$C5335) - MAX(IF($B$2:$B5334=$B5335, $A$2:$A5334+$C$2:$C5334)), "")*24*60, "")</f>
        <v/>
      </c>
      <c r="K5335" s="24" t="str" cm="1">
        <f t="array" ref="K5335">IFERROR(IF($B5335=K$1, ($A5335+$C5335) - MAX(IF($B$2:$B5334=$B5335, $A$2:$A5334+$C$2:$C5334)), "")*24*60, "")</f>
        <v/>
      </c>
      <c r="L5335" s="24" t="str" cm="1">
        <f t="array" ref="L5335">IFERROR(IF($B5335=L$1, ($A5335+$C5335) - MAX(IF($B$2:$B5334=$B5335, $A$2:$A5334+$C$2:$C5334)), "")*24*60, "")</f>
        <v/>
      </c>
      <c r="M5335" s="24" t="str" cm="1">
        <f t="array" ref="M5335">IFERROR(IF($B5335=M$1, ($A5335+$C5335) - MAX(IF($B$2:$B5334=$B5335, $A$2:$A5334+$C$2:$C5334)), "")*24*60, "")</f>
        <v/>
      </c>
      <c r="N5335" s="24" t="str" cm="1">
        <f t="array" ref="N5335">IFERROR(IF($B5335=N$1, ($A5335+$C5335) - MAX(IF($B$2:$B5334=$B5335, $A$2:$A5334+$C$2:$C5334)), "")*24*60, "")</f>
        <v/>
      </c>
      <c r="O5335" s="24" t="str" cm="1">
        <f t="array" ref="O5335">IFERROR(IF($B5335=O$1, ($A5335+$C5335) - MAX(IF($B$2:$B5334=$B5335, $A$2:$A5334+$C$2:$C5334)), "")*24*60, "")</f>
        <v/>
      </c>
      <c r="P5335" s="24" t="str" cm="1">
        <f t="array" ref="P5335">IFERROR(IF($B5335=P$1, ($A5335+$C5335) - MAX(IF($B$2:$B5334=$B5335, $A$2:$A5334+$C$2:$C5334)), "")*24*60, "")</f>
        <v/>
      </c>
      <c r="Q5335" s="24" t="str" cm="1">
        <f t="array" ref="Q5335">IFERROR(IF($B5335=Q$1, ($A5335+$C5335) - MAX(IF($B$2:$B5334=$B5335, $A$2:$A5334+$C$2:$C5334)), "")*24*60, "")</f>
        <v/>
      </c>
    </row>
    <row r="5336" spans="1:17" x14ac:dyDescent="0.2">
      <c r="A5336" s="12">
        <f t="shared" ref="A5336:C5336" si="1229">A5335</f>
        <v>45983</v>
      </c>
      <c r="B5336" s="5" t="str">
        <f t="shared" si="1229"/>
        <v>Northern Cardinal</v>
      </c>
      <c r="C5336" s="6">
        <f t="shared" si="1229"/>
        <v>0.28194444444444444</v>
      </c>
      <c r="D5336" s="5"/>
      <c r="E5336" s="5"/>
      <c r="F5336" s="5" t="s">
        <v>8</v>
      </c>
      <c r="G5336" s="15" t="s">
        <v>9</v>
      </c>
      <c r="H5336" s="24">
        <f t="shared" si="1129"/>
        <v>0</v>
      </c>
      <c r="I5336" s="24" cm="1">
        <f t="array" ref="I5336">IFERROR(IF($B5336=I$1, ($A5336+$C5336) - MAX(IF($B$2:$B5335=$B5336, $A$2:$A5335+$C$2:$C5335)), "")*24*60, "")</f>
        <v>0</v>
      </c>
      <c r="J5336" s="24" t="str" cm="1">
        <f t="array" ref="J5336">IFERROR(IF($B5336=J$1, ($A5336+$C5336) - MAX(IF($B$2:$B5335=$B5336, $A$2:$A5335+$C$2:$C5335)), "")*24*60, "")</f>
        <v/>
      </c>
      <c r="K5336" s="24" t="str" cm="1">
        <f t="array" ref="K5336">IFERROR(IF($B5336=K$1, ($A5336+$C5336) - MAX(IF($B$2:$B5335=$B5336, $A$2:$A5335+$C$2:$C5335)), "")*24*60, "")</f>
        <v/>
      </c>
      <c r="L5336" s="24" t="str" cm="1">
        <f t="array" ref="L5336">IFERROR(IF($B5336=L$1, ($A5336+$C5336) - MAX(IF($B$2:$B5335=$B5336, $A$2:$A5335+$C$2:$C5335)), "")*24*60, "")</f>
        <v/>
      </c>
      <c r="M5336" s="24" t="str" cm="1">
        <f t="array" ref="M5336">IFERROR(IF($B5336=M$1, ($A5336+$C5336) - MAX(IF($B$2:$B5335=$B5336, $A$2:$A5335+$C$2:$C5335)), "")*24*60, "")</f>
        <v/>
      </c>
      <c r="N5336" s="24" t="str" cm="1">
        <f t="array" ref="N5336">IFERROR(IF($B5336=N$1, ($A5336+$C5336) - MAX(IF($B$2:$B5335=$B5336, $A$2:$A5335+$C$2:$C5335)), "")*24*60, "")</f>
        <v/>
      </c>
      <c r="O5336" s="24" t="str" cm="1">
        <f t="array" ref="O5336">IFERROR(IF($B5336=O$1, ($A5336+$C5336) - MAX(IF($B$2:$B5335=$B5336, $A$2:$A5335+$C$2:$C5335)), "")*24*60, "")</f>
        <v/>
      </c>
      <c r="P5336" s="24" t="str" cm="1">
        <f t="array" ref="P5336">IFERROR(IF($B5336=P$1, ($A5336+$C5336) - MAX(IF($B$2:$B5335=$B5336, $A$2:$A5335+$C$2:$C5335)), "")*24*60, "")</f>
        <v/>
      </c>
      <c r="Q5336" s="24" t="str" cm="1">
        <f t="array" ref="Q5336">IFERROR(IF($B5336=Q$1, ($A5336+$C5336) - MAX(IF($B$2:$B5335=$B5336, $A$2:$A5335+$C$2:$C5335)), "")*24*60, "")</f>
        <v/>
      </c>
    </row>
    <row r="5337" spans="1:17" x14ac:dyDescent="0.2">
      <c r="A5337" s="12">
        <f t="shared" ref="A5337:C5337" si="1230">A5336</f>
        <v>45983</v>
      </c>
      <c r="B5337" s="5" t="str">
        <f t="shared" si="1230"/>
        <v>Northern Cardinal</v>
      </c>
      <c r="C5337" s="6">
        <f t="shared" si="1230"/>
        <v>0.28194444444444444</v>
      </c>
      <c r="D5337" s="5"/>
      <c r="E5337" s="5"/>
      <c r="F5337" s="5" t="s">
        <v>8</v>
      </c>
      <c r="G5337" s="15" t="s">
        <v>9</v>
      </c>
      <c r="H5337" s="24">
        <f t="shared" si="1129"/>
        <v>0</v>
      </c>
      <c r="I5337" s="24" cm="1">
        <f t="array" ref="I5337">IFERROR(IF($B5337=I$1, ($A5337+$C5337) - MAX(IF($B$2:$B5336=$B5337, $A$2:$A5336+$C$2:$C5336)), "")*24*60, "")</f>
        <v>0</v>
      </c>
      <c r="J5337" s="24" t="str" cm="1">
        <f t="array" ref="J5337">IFERROR(IF($B5337=J$1, ($A5337+$C5337) - MAX(IF($B$2:$B5336=$B5337, $A$2:$A5336+$C$2:$C5336)), "")*24*60, "")</f>
        <v/>
      </c>
      <c r="K5337" s="24" t="str" cm="1">
        <f t="array" ref="K5337">IFERROR(IF($B5337=K$1, ($A5337+$C5337) - MAX(IF($B$2:$B5336=$B5337, $A$2:$A5336+$C$2:$C5336)), "")*24*60, "")</f>
        <v/>
      </c>
      <c r="L5337" s="24" t="str" cm="1">
        <f t="array" ref="L5337">IFERROR(IF($B5337=L$1, ($A5337+$C5337) - MAX(IF($B$2:$B5336=$B5337, $A$2:$A5336+$C$2:$C5336)), "")*24*60, "")</f>
        <v/>
      </c>
      <c r="M5337" s="24" t="str" cm="1">
        <f t="array" ref="M5337">IFERROR(IF($B5337=M$1, ($A5337+$C5337) - MAX(IF($B$2:$B5336=$B5337, $A$2:$A5336+$C$2:$C5336)), "")*24*60, "")</f>
        <v/>
      </c>
      <c r="N5337" s="24" t="str" cm="1">
        <f t="array" ref="N5337">IFERROR(IF($B5337=N$1, ($A5337+$C5337) - MAX(IF($B$2:$B5336=$B5337, $A$2:$A5336+$C$2:$C5336)), "")*24*60, "")</f>
        <v/>
      </c>
      <c r="O5337" s="24" t="str" cm="1">
        <f t="array" ref="O5337">IFERROR(IF($B5337=O$1, ($A5337+$C5337) - MAX(IF($B$2:$B5336=$B5337, $A$2:$A5336+$C$2:$C5336)), "")*24*60, "")</f>
        <v/>
      </c>
      <c r="P5337" s="24" t="str" cm="1">
        <f t="array" ref="P5337">IFERROR(IF($B5337=P$1, ($A5337+$C5337) - MAX(IF($B$2:$B5336=$B5337, $A$2:$A5336+$C$2:$C5336)), "")*24*60, "")</f>
        <v/>
      </c>
      <c r="Q5337" s="24" t="str" cm="1">
        <f t="array" ref="Q5337">IFERROR(IF($B5337=Q$1, ($A5337+$C5337) - MAX(IF($B$2:$B5336=$B5337, $A$2:$A5336+$C$2:$C5336)), "")*24*60, "")</f>
        <v/>
      </c>
    </row>
    <row r="5338" spans="1:17" x14ac:dyDescent="0.2">
      <c r="A5338" s="12">
        <f t="shared" ref="A5338:C5338" si="1231">A5337</f>
        <v>45983</v>
      </c>
      <c r="B5338" s="5" t="str">
        <f t="shared" si="1231"/>
        <v>Northern Cardinal</v>
      </c>
      <c r="C5338" s="6">
        <f t="shared" si="1231"/>
        <v>0.28194444444444444</v>
      </c>
      <c r="D5338" s="5"/>
      <c r="E5338" s="5"/>
      <c r="F5338" s="5" t="s">
        <v>8</v>
      </c>
      <c r="G5338" s="15" t="s">
        <v>9</v>
      </c>
      <c r="H5338" s="24">
        <f t="shared" si="1129"/>
        <v>0</v>
      </c>
      <c r="I5338" s="24" cm="1">
        <f t="array" ref="I5338">IFERROR(IF($B5338=I$1, ($A5338+$C5338) - MAX(IF($B$2:$B5337=$B5338, $A$2:$A5337+$C$2:$C5337)), "")*24*60, "")</f>
        <v>0</v>
      </c>
      <c r="J5338" s="24" t="str" cm="1">
        <f t="array" ref="J5338">IFERROR(IF($B5338=J$1, ($A5338+$C5338) - MAX(IF($B$2:$B5337=$B5338, $A$2:$A5337+$C$2:$C5337)), "")*24*60, "")</f>
        <v/>
      </c>
      <c r="K5338" s="24" t="str" cm="1">
        <f t="array" ref="K5338">IFERROR(IF($B5338=K$1, ($A5338+$C5338) - MAX(IF($B$2:$B5337=$B5338, $A$2:$A5337+$C$2:$C5337)), "")*24*60, "")</f>
        <v/>
      </c>
      <c r="L5338" s="24" t="str" cm="1">
        <f t="array" ref="L5338">IFERROR(IF($B5338=L$1, ($A5338+$C5338) - MAX(IF($B$2:$B5337=$B5338, $A$2:$A5337+$C$2:$C5337)), "")*24*60, "")</f>
        <v/>
      </c>
      <c r="M5338" s="24" t="str" cm="1">
        <f t="array" ref="M5338">IFERROR(IF($B5338=M$1, ($A5338+$C5338) - MAX(IF($B$2:$B5337=$B5338, $A$2:$A5337+$C$2:$C5337)), "")*24*60, "")</f>
        <v/>
      </c>
      <c r="N5338" s="24" t="str" cm="1">
        <f t="array" ref="N5338">IFERROR(IF($B5338=N$1, ($A5338+$C5338) - MAX(IF($B$2:$B5337=$B5338, $A$2:$A5337+$C$2:$C5337)), "")*24*60, "")</f>
        <v/>
      </c>
      <c r="O5338" s="24" t="str" cm="1">
        <f t="array" ref="O5338">IFERROR(IF($B5338=O$1, ($A5338+$C5338) - MAX(IF($B$2:$B5337=$B5338, $A$2:$A5337+$C$2:$C5337)), "")*24*60, "")</f>
        <v/>
      </c>
      <c r="P5338" s="24" t="str" cm="1">
        <f t="array" ref="P5338">IFERROR(IF($B5338=P$1, ($A5338+$C5338) - MAX(IF($B$2:$B5337=$B5338, $A$2:$A5337+$C$2:$C5337)), "")*24*60, "")</f>
        <v/>
      </c>
      <c r="Q5338" s="24" t="str" cm="1">
        <f t="array" ref="Q5338">IFERROR(IF($B5338=Q$1, ($A5338+$C5338) - MAX(IF($B$2:$B5337=$B5338, $A$2:$A5337+$C$2:$C5337)), "")*24*60, "")</f>
        <v/>
      </c>
    </row>
    <row r="5339" spans="1:17" x14ac:dyDescent="0.2">
      <c r="A5339" s="12">
        <f t="shared" ref="A5339:C5339" si="1232">A5338</f>
        <v>45983</v>
      </c>
      <c r="B5339" s="5" t="str">
        <f t="shared" si="1232"/>
        <v>Northern Cardinal</v>
      </c>
      <c r="C5339" s="6">
        <f t="shared" si="1232"/>
        <v>0.28194444444444444</v>
      </c>
      <c r="D5339" s="5"/>
      <c r="E5339" s="5"/>
      <c r="F5339" s="5" t="s">
        <v>8</v>
      </c>
      <c r="G5339" s="15" t="s">
        <v>9</v>
      </c>
      <c r="H5339" s="24">
        <f t="shared" si="1129"/>
        <v>0</v>
      </c>
      <c r="I5339" s="24" cm="1">
        <f t="array" ref="I5339">IFERROR(IF($B5339=I$1, ($A5339+$C5339) - MAX(IF($B$2:$B5338=$B5339, $A$2:$A5338+$C$2:$C5338)), "")*24*60, "")</f>
        <v>0</v>
      </c>
      <c r="J5339" s="24" t="str" cm="1">
        <f t="array" ref="J5339">IFERROR(IF($B5339=J$1, ($A5339+$C5339) - MAX(IF($B$2:$B5338=$B5339, $A$2:$A5338+$C$2:$C5338)), "")*24*60, "")</f>
        <v/>
      </c>
      <c r="K5339" s="24" t="str" cm="1">
        <f t="array" ref="K5339">IFERROR(IF($B5339=K$1, ($A5339+$C5339) - MAX(IF($B$2:$B5338=$B5339, $A$2:$A5338+$C$2:$C5338)), "")*24*60, "")</f>
        <v/>
      </c>
      <c r="L5339" s="24" t="str" cm="1">
        <f t="array" ref="L5339">IFERROR(IF($B5339=L$1, ($A5339+$C5339) - MAX(IF($B$2:$B5338=$B5339, $A$2:$A5338+$C$2:$C5338)), "")*24*60, "")</f>
        <v/>
      </c>
      <c r="M5339" s="24" t="str" cm="1">
        <f t="array" ref="M5339">IFERROR(IF($B5339=M$1, ($A5339+$C5339) - MAX(IF($B$2:$B5338=$B5339, $A$2:$A5338+$C$2:$C5338)), "")*24*60, "")</f>
        <v/>
      </c>
      <c r="N5339" s="24" t="str" cm="1">
        <f t="array" ref="N5339">IFERROR(IF($B5339=N$1, ($A5339+$C5339) - MAX(IF($B$2:$B5338=$B5339, $A$2:$A5338+$C$2:$C5338)), "")*24*60, "")</f>
        <v/>
      </c>
      <c r="O5339" s="24" t="str" cm="1">
        <f t="array" ref="O5339">IFERROR(IF($B5339=O$1, ($A5339+$C5339) - MAX(IF($B$2:$B5338=$B5339, $A$2:$A5338+$C$2:$C5338)), "")*24*60, "")</f>
        <v/>
      </c>
      <c r="P5339" s="24" t="str" cm="1">
        <f t="array" ref="P5339">IFERROR(IF($B5339=P$1, ($A5339+$C5339) - MAX(IF($B$2:$B5338=$B5339, $A$2:$A5338+$C$2:$C5338)), "")*24*60, "")</f>
        <v/>
      </c>
      <c r="Q5339" s="24" t="str" cm="1">
        <f t="array" ref="Q5339">IFERROR(IF($B5339=Q$1, ($A5339+$C5339) - MAX(IF($B$2:$B5338=$B5339, $A$2:$A5338+$C$2:$C5338)), "")*24*60, "")</f>
        <v/>
      </c>
    </row>
    <row r="5340" spans="1:17" x14ac:dyDescent="0.2">
      <c r="A5340" s="12">
        <f t="shared" ref="A5340:C5340" si="1233">A5339</f>
        <v>45983</v>
      </c>
      <c r="B5340" s="5" t="str">
        <f t="shared" si="1233"/>
        <v>Northern Cardinal</v>
      </c>
      <c r="C5340" s="6">
        <f t="shared" si="1233"/>
        <v>0.28194444444444444</v>
      </c>
      <c r="D5340" s="5"/>
      <c r="E5340" s="5"/>
      <c r="F5340" s="5" t="s">
        <v>8</v>
      </c>
      <c r="G5340" s="15" t="s">
        <v>9</v>
      </c>
      <c r="H5340" s="24">
        <f t="shared" ref="H5340:H5403" si="1234">IFERROR((($A5340+$C5340) - ($A5339+$C5339))*24*60, "")</f>
        <v>0</v>
      </c>
      <c r="I5340" s="24" cm="1">
        <f t="array" ref="I5340">IFERROR(IF($B5340=I$1, ($A5340+$C5340) - MAX(IF($B$2:$B5339=$B5340, $A$2:$A5339+$C$2:$C5339)), "")*24*60, "")</f>
        <v>0</v>
      </c>
      <c r="J5340" s="24" t="str" cm="1">
        <f t="array" ref="J5340">IFERROR(IF($B5340=J$1, ($A5340+$C5340) - MAX(IF($B$2:$B5339=$B5340, $A$2:$A5339+$C$2:$C5339)), "")*24*60, "")</f>
        <v/>
      </c>
      <c r="K5340" s="24" t="str" cm="1">
        <f t="array" ref="K5340">IFERROR(IF($B5340=K$1, ($A5340+$C5340) - MAX(IF($B$2:$B5339=$B5340, $A$2:$A5339+$C$2:$C5339)), "")*24*60, "")</f>
        <v/>
      </c>
      <c r="L5340" s="24" t="str" cm="1">
        <f t="array" ref="L5340">IFERROR(IF($B5340=L$1, ($A5340+$C5340) - MAX(IF($B$2:$B5339=$B5340, $A$2:$A5339+$C$2:$C5339)), "")*24*60, "")</f>
        <v/>
      </c>
      <c r="M5340" s="24" t="str" cm="1">
        <f t="array" ref="M5340">IFERROR(IF($B5340=M$1, ($A5340+$C5340) - MAX(IF($B$2:$B5339=$B5340, $A$2:$A5339+$C$2:$C5339)), "")*24*60, "")</f>
        <v/>
      </c>
      <c r="N5340" s="24" t="str" cm="1">
        <f t="array" ref="N5340">IFERROR(IF($B5340=N$1, ($A5340+$C5340) - MAX(IF($B$2:$B5339=$B5340, $A$2:$A5339+$C$2:$C5339)), "")*24*60, "")</f>
        <v/>
      </c>
      <c r="O5340" s="24" t="str" cm="1">
        <f t="array" ref="O5340">IFERROR(IF($B5340=O$1, ($A5340+$C5340) - MAX(IF($B$2:$B5339=$B5340, $A$2:$A5339+$C$2:$C5339)), "")*24*60, "")</f>
        <v/>
      </c>
      <c r="P5340" s="24" t="str" cm="1">
        <f t="array" ref="P5340">IFERROR(IF($B5340=P$1, ($A5340+$C5340) - MAX(IF($B$2:$B5339=$B5340, $A$2:$A5339+$C$2:$C5339)), "")*24*60, "")</f>
        <v/>
      </c>
      <c r="Q5340" s="24" t="str" cm="1">
        <f t="array" ref="Q5340">IFERROR(IF($B5340=Q$1, ($A5340+$C5340) - MAX(IF($B$2:$B5339=$B5340, $A$2:$A5339+$C$2:$C5339)), "")*24*60, "")</f>
        <v/>
      </c>
    </row>
    <row r="5341" spans="1:17" x14ac:dyDescent="0.2">
      <c r="A5341" s="12">
        <f t="shared" ref="A5341:C5341" si="1235">A5340</f>
        <v>45983</v>
      </c>
      <c r="B5341" s="5" t="str">
        <f t="shared" si="1235"/>
        <v>Northern Cardinal</v>
      </c>
      <c r="C5341" s="6">
        <f t="shared" si="1235"/>
        <v>0.28194444444444444</v>
      </c>
      <c r="D5341" s="5"/>
      <c r="E5341" s="5"/>
      <c r="F5341" s="5" t="s">
        <v>8</v>
      </c>
      <c r="G5341" s="15" t="s">
        <v>9</v>
      </c>
      <c r="H5341" s="24">
        <f t="shared" si="1234"/>
        <v>0</v>
      </c>
      <c r="I5341" s="24" cm="1">
        <f t="array" ref="I5341">IFERROR(IF($B5341=I$1, ($A5341+$C5341) - MAX(IF($B$2:$B5340=$B5341, $A$2:$A5340+$C$2:$C5340)), "")*24*60, "")</f>
        <v>0</v>
      </c>
      <c r="J5341" s="24" t="str" cm="1">
        <f t="array" ref="J5341">IFERROR(IF($B5341=J$1, ($A5341+$C5341) - MAX(IF($B$2:$B5340=$B5341, $A$2:$A5340+$C$2:$C5340)), "")*24*60, "")</f>
        <v/>
      </c>
      <c r="K5341" s="24" t="str" cm="1">
        <f t="array" ref="K5341">IFERROR(IF($B5341=K$1, ($A5341+$C5341) - MAX(IF($B$2:$B5340=$B5341, $A$2:$A5340+$C$2:$C5340)), "")*24*60, "")</f>
        <v/>
      </c>
      <c r="L5341" s="24" t="str" cm="1">
        <f t="array" ref="L5341">IFERROR(IF($B5341=L$1, ($A5341+$C5341) - MAX(IF($B$2:$B5340=$B5341, $A$2:$A5340+$C$2:$C5340)), "")*24*60, "")</f>
        <v/>
      </c>
      <c r="M5341" s="24" t="str" cm="1">
        <f t="array" ref="M5341">IFERROR(IF($B5341=M$1, ($A5341+$C5341) - MAX(IF($B$2:$B5340=$B5341, $A$2:$A5340+$C$2:$C5340)), "")*24*60, "")</f>
        <v/>
      </c>
      <c r="N5341" s="24" t="str" cm="1">
        <f t="array" ref="N5341">IFERROR(IF($B5341=N$1, ($A5341+$C5341) - MAX(IF($B$2:$B5340=$B5341, $A$2:$A5340+$C$2:$C5340)), "")*24*60, "")</f>
        <v/>
      </c>
      <c r="O5341" s="24" t="str" cm="1">
        <f t="array" ref="O5341">IFERROR(IF($B5341=O$1, ($A5341+$C5341) - MAX(IF($B$2:$B5340=$B5341, $A$2:$A5340+$C$2:$C5340)), "")*24*60, "")</f>
        <v/>
      </c>
      <c r="P5341" s="24" t="str" cm="1">
        <f t="array" ref="P5341">IFERROR(IF($B5341=P$1, ($A5341+$C5341) - MAX(IF($B$2:$B5340=$B5341, $A$2:$A5340+$C$2:$C5340)), "")*24*60, "")</f>
        <v/>
      </c>
      <c r="Q5341" s="24" t="str" cm="1">
        <f t="array" ref="Q5341">IFERROR(IF($B5341=Q$1, ($A5341+$C5341) - MAX(IF($B$2:$B5340=$B5341, $A$2:$A5340+$C$2:$C5340)), "")*24*60, "")</f>
        <v/>
      </c>
    </row>
    <row r="5342" spans="1:17" x14ac:dyDescent="0.2">
      <c r="A5342" s="12">
        <f t="shared" ref="A5342:C5342" si="1236">A5341</f>
        <v>45983</v>
      </c>
      <c r="B5342" s="5" t="str">
        <f t="shared" si="1236"/>
        <v>Northern Cardinal</v>
      </c>
      <c r="C5342" s="6">
        <f t="shared" si="1236"/>
        <v>0.28194444444444444</v>
      </c>
      <c r="D5342" s="5"/>
      <c r="E5342" s="5"/>
      <c r="F5342" s="5" t="s">
        <v>8</v>
      </c>
      <c r="G5342" s="15" t="s">
        <v>9</v>
      </c>
      <c r="H5342" s="24">
        <f t="shared" si="1234"/>
        <v>0</v>
      </c>
      <c r="I5342" s="24" cm="1">
        <f t="array" ref="I5342">IFERROR(IF($B5342=I$1, ($A5342+$C5342) - MAX(IF($B$2:$B5341=$B5342, $A$2:$A5341+$C$2:$C5341)), "")*24*60, "")</f>
        <v>0</v>
      </c>
      <c r="J5342" s="24" t="str" cm="1">
        <f t="array" ref="J5342">IFERROR(IF($B5342=J$1, ($A5342+$C5342) - MAX(IF($B$2:$B5341=$B5342, $A$2:$A5341+$C$2:$C5341)), "")*24*60, "")</f>
        <v/>
      </c>
      <c r="K5342" s="24" t="str" cm="1">
        <f t="array" ref="K5342">IFERROR(IF($B5342=K$1, ($A5342+$C5342) - MAX(IF($B$2:$B5341=$B5342, $A$2:$A5341+$C$2:$C5341)), "")*24*60, "")</f>
        <v/>
      </c>
      <c r="L5342" s="24" t="str" cm="1">
        <f t="array" ref="L5342">IFERROR(IF($B5342=L$1, ($A5342+$C5342) - MAX(IF($B$2:$B5341=$B5342, $A$2:$A5341+$C$2:$C5341)), "")*24*60, "")</f>
        <v/>
      </c>
      <c r="M5342" s="24" t="str" cm="1">
        <f t="array" ref="M5342">IFERROR(IF($B5342=M$1, ($A5342+$C5342) - MAX(IF($B$2:$B5341=$B5342, $A$2:$A5341+$C$2:$C5341)), "")*24*60, "")</f>
        <v/>
      </c>
      <c r="N5342" s="24" t="str" cm="1">
        <f t="array" ref="N5342">IFERROR(IF($B5342=N$1, ($A5342+$C5342) - MAX(IF($B$2:$B5341=$B5342, $A$2:$A5341+$C$2:$C5341)), "")*24*60, "")</f>
        <v/>
      </c>
      <c r="O5342" s="24" t="str" cm="1">
        <f t="array" ref="O5342">IFERROR(IF($B5342=O$1, ($A5342+$C5342) - MAX(IF($B$2:$B5341=$B5342, $A$2:$A5341+$C$2:$C5341)), "")*24*60, "")</f>
        <v/>
      </c>
      <c r="P5342" s="24" t="str" cm="1">
        <f t="array" ref="P5342">IFERROR(IF($B5342=P$1, ($A5342+$C5342) - MAX(IF($B$2:$B5341=$B5342, $A$2:$A5341+$C$2:$C5341)), "")*24*60, "")</f>
        <v/>
      </c>
      <c r="Q5342" s="24" t="str" cm="1">
        <f t="array" ref="Q5342">IFERROR(IF($B5342=Q$1, ($A5342+$C5342) - MAX(IF($B$2:$B5341=$B5342, $A$2:$A5341+$C$2:$C5341)), "")*24*60, "")</f>
        <v/>
      </c>
    </row>
    <row r="5343" spans="1:17" x14ac:dyDescent="0.2">
      <c r="A5343" s="12">
        <f t="shared" ref="A5343:C5343" si="1237">A5342</f>
        <v>45983</v>
      </c>
      <c r="B5343" s="5" t="str">
        <f t="shared" si="1237"/>
        <v>Northern Cardinal</v>
      </c>
      <c r="C5343" s="6">
        <f t="shared" si="1237"/>
        <v>0.28194444444444444</v>
      </c>
      <c r="D5343" s="5"/>
      <c r="E5343" s="5"/>
      <c r="F5343" s="5" t="s">
        <v>8</v>
      </c>
      <c r="G5343" s="15" t="s">
        <v>9</v>
      </c>
      <c r="H5343" s="24">
        <f t="shared" si="1234"/>
        <v>0</v>
      </c>
      <c r="I5343" s="24" cm="1">
        <f t="array" ref="I5343">IFERROR(IF($B5343=I$1, ($A5343+$C5343) - MAX(IF($B$2:$B5342=$B5343, $A$2:$A5342+$C$2:$C5342)), "")*24*60, "")</f>
        <v>0</v>
      </c>
      <c r="J5343" s="24" t="str" cm="1">
        <f t="array" ref="J5343">IFERROR(IF($B5343=J$1, ($A5343+$C5343) - MAX(IF($B$2:$B5342=$B5343, $A$2:$A5342+$C$2:$C5342)), "")*24*60, "")</f>
        <v/>
      </c>
      <c r="K5343" s="24" t="str" cm="1">
        <f t="array" ref="K5343">IFERROR(IF($B5343=K$1, ($A5343+$C5343) - MAX(IF($B$2:$B5342=$B5343, $A$2:$A5342+$C$2:$C5342)), "")*24*60, "")</f>
        <v/>
      </c>
      <c r="L5343" s="24" t="str" cm="1">
        <f t="array" ref="L5343">IFERROR(IF($B5343=L$1, ($A5343+$C5343) - MAX(IF($B$2:$B5342=$B5343, $A$2:$A5342+$C$2:$C5342)), "")*24*60, "")</f>
        <v/>
      </c>
      <c r="M5343" s="24" t="str" cm="1">
        <f t="array" ref="M5343">IFERROR(IF($B5343=M$1, ($A5343+$C5343) - MAX(IF($B$2:$B5342=$B5343, $A$2:$A5342+$C$2:$C5342)), "")*24*60, "")</f>
        <v/>
      </c>
      <c r="N5343" s="24" t="str" cm="1">
        <f t="array" ref="N5343">IFERROR(IF($B5343=N$1, ($A5343+$C5343) - MAX(IF($B$2:$B5342=$B5343, $A$2:$A5342+$C$2:$C5342)), "")*24*60, "")</f>
        <v/>
      </c>
      <c r="O5343" s="24" t="str" cm="1">
        <f t="array" ref="O5343">IFERROR(IF($B5343=O$1, ($A5343+$C5343) - MAX(IF($B$2:$B5342=$B5343, $A$2:$A5342+$C$2:$C5342)), "")*24*60, "")</f>
        <v/>
      </c>
      <c r="P5343" s="24" t="str" cm="1">
        <f t="array" ref="P5343">IFERROR(IF($B5343=P$1, ($A5343+$C5343) - MAX(IF($B$2:$B5342=$B5343, $A$2:$A5342+$C$2:$C5342)), "")*24*60, "")</f>
        <v/>
      </c>
      <c r="Q5343" s="24" t="str" cm="1">
        <f t="array" ref="Q5343">IFERROR(IF($B5343=Q$1, ($A5343+$C5343) - MAX(IF($B$2:$B5342=$B5343, $A$2:$A5342+$C$2:$C5342)), "")*24*60, "")</f>
        <v/>
      </c>
    </row>
    <row r="5344" spans="1:17" x14ac:dyDescent="0.2">
      <c r="A5344" s="12">
        <f t="shared" ref="A5344:C5344" si="1238">A5343</f>
        <v>45983</v>
      </c>
      <c r="B5344" s="5" t="str">
        <f t="shared" si="1238"/>
        <v>Northern Cardinal</v>
      </c>
      <c r="C5344" s="6">
        <f t="shared" si="1238"/>
        <v>0.28194444444444444</v>
      </c>
      <c r="D5344" s="5"/>
      <c r="E5344" s="5"/>
      <c r="F5344" s="5" t="s">
        <v>8</v>
      </c>
      <c r="G5344" s="15" t="s">
        <v>9</v>
      </c>
      <c r="H5344" s="24">
        <f t="shared" si="1234"/>
        <v>0</v>
      </c>
      <c r="I5344" s="24" cm="1">
        <f t="array" ref="I5344">IFERROR(IF($B5344=I$1, ($A5344+$C5344) - MAX(IF($B$2:$B5343=$B5344, $A$2:$A5343+$C$2:$C5343)), "")*24*60, "")</f>
        <v>0</v>
      </c>
      <c r="J5344" s="24" t="str" cm="1">
        <f t="array" ref="J5344">IFERROR(IF($B5344=J$1, ($A5344+$C5344) - MAX(IF($B$2:$B5343=$B5344, $A$2:$A5343+$C$2:$C5343)), "")*24*60, "")</f>
        <v/>
      </c>
      <c r="K5344" s="24" t="str" cm="1">
        <f t="array" ref="K5344">IFERROR(IF($B5344=K$1, ($A5344+$C5344) - MAX(IF($B$2:$B5343=$B5344, $A$2:$A5343+$C$2:$C5343)), "")*24*60, "")</f>
        <v/>
      </c>
      <c r="L5344" s="24" t="str" cm="1">
        <f t="array" ref="L5344">IFERROR(IF($B5344=L$1, ($A5344+$C5344) - MAX(IF($B$2:$B5343=$B5344, $A$2:$A5343+$C$2:$C5343)), "")*24*60, "")</f>
        <v/>
      </c>
      <c r="M5344" s="24" t="str" cm="1">
        <f t="array" ref="M5344">IFERROR(IF($B5344=M$1, ($A5344+$C5344) - MAX(IF($B$2:$B5343=$B5344, $A$2:$A5343+$C$2:$C5343)), "")*24*60, "")</f>
        <v/>
      </c>
      <c r="N5344" s="24" t="str" cm="1">
        <f t="array" ref="N5344">IFERROR(IF($B5344=N$1, ($A5344+$C5344) - MAX(IF($B$2:$B5343=$B5344, $A$2:$A5343+$C$2:$C5343)), "")*24*60, "")</f>
        <v/>
      </c>
      <c r="O5344" s="24" t="str" cm="1">
        <f t="array" ref="O5344">IFERROR(IF($B5344=O$1, ($A5344+$C5344) - MAX(IF($B$2:$B5343=$B5344, $A$2:$A5343+$C$2:$C5343)), "")*24*60, "")</f>
        <v/>
      </c>
      <c r="P5344" s="24" t="str" cm="1">
        <f t="array" ref="P5344">IFERROR(IF($B5344=P$1, ($A5344+$C5344) - MAX(IF($B$2:$B5343=$B5344, $A$2:$A5343+$C$2:$C5343)), "")*24*60, "")</f>
        <v/>
      </c>
      <c r="Q5344" s="24" t="str" cm="1">
        <f t="array" ref="Q5344">IFERROR(IF($B5344=Q$1, ($A5344+$C5344) - MAX(IF($B$2:$B5343=$B5344, $A$2:$A5343+$C$2:$C5343)), "")*24*60, "")</f>
        <v/>
      </c>
    </row>
    <row r="5345" spans="1:17" x14ac:dyDescent="0.2">
      <c r="A5345" s="12">
        <f t="shared" ref="A5345:C5345" si="1239">A5344</f>
        <v>45983</v>
      </c>
      <c r="B5345" s="5" t="str">
        <f t="shared" si="1239"/>
        <v>Northern Cardinal</v>
      </c>
      <c r="C5345" s="6">
        <f t="shared" si="1239"/>
        <v>0.28194444444444444</v>
      </c>
      <c r="D5345" s="5"/>
      <c r="E5345" s="5"/>
      <c r="F5345" s="5" t="s">
        <v>8</v>
      </c>
      <c r="G5345" s="15" t="s">
        <v>9</v>
      </c>
      <c r="H5345" s="24">
        <f t="shared" si="1234"/>
        <v>0</v>
      </c>
      <c r="I5345" s="24" cm="1">
        <f t="array" ref="I5345">IFERROR(IF($B5345=I$1, ($A5345+$C5345) - MAX(IF($B$2:$B5344=$B5345, $A$2:$A5344+$C$2:$C5344)), "")*24*60, "")</f>
        <v>0</v>
      </c>
      <c r="J5345" s="24" t="str" cm="1">
        <f t="array" ref="J5345">IFERROR(IF($B5345=J$1, ($A5345+$C5345) - MAX(IF($B$2:$B5344=$B5345, $A$2:$A5344+$C$2:$C5344)), "")*24*60, "")</f>
        <v/>
      </c>
      <c r="K5345" s="24" t="str" cm="1">
        <f t="array" ref="K5345">IFERROR(IF($B5345=K$1, ($A5345+$C5345) - MAX(IF($B$2:$B5344=$B5345, $A$2:$A5344+$C$2:$C5344)), "")*24*60, "")</f>
        <v/>
      </c>
      <c r="L5345" s="24" t="str" cm="1">
        <f t="array" ref="L5345">IFERROR(IF($B5345=L$1, ($A5345+$C5345) - MAX(IF($B$2:$B5344=$B5345, $A$2:$A5344+$C$2:$C5344)), "")*24*60, "")</f>
        <v/>
      </c>
      <c r="M5345" s="24" t="str" cm="1">
        <f t="array" ref="M5345">IFERROR(IF($B5345=M$1, ($A5345+$C5345) - MAX(IF($B$2:$B5344=$B5345, $A$2:$A5344+$C$2:$C5344)), "")*24*60, "")</f>
        <v/>
      </c>
      <c r="N5345" s="24" t="str" cm="1">
        <f t="array" ref="N5345">IFERROR(IF($B5345=N$1, ($A5345+$C5345) - MAX(IF($B$2:$B5344=$B5345, $A$2:$A5344+$C$2:$C5344)), "")*24*60, "")</f>
        <v/>
      </c>
      <c r="O5345" s="24" t="str" cm="1">
        <f t="array" ref="O5345">IFERROR(IF($B5345=O$1, ($A5345+$C5345) - MAX(IF($B$2:$B5344=$B5345, $A$2:$A5344+$C$2:$C5344)), "")*24*60, "")</f>
        <v/>
      </c>
      <c r="P5345" s="24" t="str" cm="1">
        <f t="array" ref="P5345">IFERROR(IF($B5345=P$1, ($A5345+$C5345) - MAX(IF($B$2:$B5344=$B5345, $A$2:$A5344+$C$2:$C5344)), "")*24*60, "")</f>
        <v/>
      </c>
      <c r="Q5345" s="24" t="str" cm="1">
        <f t="array" ref="Q5345">IFERROR(IF($B5345=Q$1, ($A5345+$C5345) - MAX(IF($B$2:$B5344=$B5345, $A$2:$A5344+$C$2:$C5344)), "")*24*60, "")</f>
        <v/>
      </c>
    </row>
    <row r="5346" spans="1:17" x14ac:dyDescent="0.2">
      <c r="A5346" s="12">
        <f t="shared" ref="A5346:C5346" si="1240">A5345</f>
        <v>45983</v>
      </c>
      <c r="B5346" s="5" t="str">
        <f t="shared" si="1240"/>
        <v>Northern Cardinal</v>
      </c>
      <c r="C5346" s="6">
        <f t="shared" si="1240"/>
        <v>0.28194444444444444</v>
      </c>
      <c r="D5346" s="5"/>
      <c r="E5346" s="5"/>
      <c r="F5346" s="5" t="s">
        <v>8</v>
      </c>
      <c r="G5346" s="15" t="s">
        <v>9</v>
      </c>
      <c r="H5346" s="24">
        <f t="shared" si="1234"/>
        <v>0</v>
      </c>
      <c r="I5346" s="24" cm="1">
        <f t="array" ref="I5346">IFERROR(IF($B5346=I$1, ($A5346+$C5346) - MAX(IF($B$2:$B5345=$B5346, $A$2:$A5345+$C$2:$C5345)), "")*24*60, "")</f>
        <v>0</v>
      </c>
      <c r="J5346" s="24" t="str" cm="1">
        <f t="array" ref="J5346">IFERROR(IF($B5346=J$1, ($A5346+$C5346) - MAX(IF($B$2:$B5345=$B5346, $A$2:$A5345+$C$2:$C5345)), "")*24*60, "")</f>
        <v/>
      </c>
      <c r="K5346" s="24" t="str" cm="1">
        <f t="array" ref="K5346">IFERROR(IF($B5346=K$1, ($A5346+$C5346) - MAX(IF($B$2:$B5345=$B5346, $A$2:$A5345+$C$2:$C5345)), "")*24*60, "")</f>
        <v/>
      </c>
      <c r="L5346" s="24" t="str" cm="1">
        <f t="array" ref="L5346">IFERROR(IF($B5346=L$1, ($A5346+$C5346) - MAX(IF($B$2:$B5345=$B5346, $A$2:$A5345+$C$2:$C5345)), "")*24*60, "")</f>
        <v/>
      </c>
      <c r="M5346" s="24" t="str" cm="1">
        <f t="array" ref="M5346">IFERROR(IF($B5346=M$1, ($A5346+$C5346) - MAX(IF($B$2:$B5345=$B5346, $A$2:$A5345+$C$2:$C5345)), "")*24*60, "")</f>
        <v/>
      </c>
      <c r="N5346" s="24" t="str" cm="1">
        <f t="array" ref="N5346">IFERROR(IF($B5346=N$1, ($A5346+$C5346) - MAX(IF($B$2:$B5345=$B5346, $A$2:$A5345+$C$2:$C5345)), "")*24*60, "")</f>
        <v/>
      </c>
      <c r="O5346" s="24" t="str" cm="1">
        <f t="array" ref="O5346">IFERROR(IF($B5346=O$1, ($A5346+$C5346) - MAX(IF($B$2:$B5345=$B5346, $A$2:$A5345+$C$2:$C5345)), "")*24*60, "")</f>
        <v/>
      </c>
      <c r="P5346" s="24" t="str" cm="1">
        <f t="array" ref="P5346">IFERROR(IF($B5346=P$1, ($A5346+$C5346) - MAX(IF($B$2:$B5345=$B5346, $A$2:$A5345+$C$2:$C5345)), "")*24*60, "")</f>
        <v/>
      </c>
      <c r="Q5346" s="24" t="str" cm="1">
        <f t="array" ref="Q5346">IFERROR(IF($B5346=Q$1, ($A5346+$C5346) - MAX(IF($B$2:$B5345=$B5346, $A$2:$A5345+$C$2:$C5345)), "")*24*60, "")</f>
        <v/>
      </c>
    </row>
    <row r="5347" spans="1:17" x14ac:dyDescent="0.2">
      <c r="A5347" s="12">
        <f t="shared" ref="A5347:C5347" si="1241">A5346</f>
        <v>45983</v>
      </c>
      <c r="B5347" s="5" t="str">
        <f t="shared" si="1241"/>
        <v>Northern Cardinal</v>
      </c>
      <c r="C5347" s="6">
        <f t="shared" si="1241"/>
        <v>0.28194444444444444</v>
      </c>
      <c r="D5347" s="5"/>
      <c r="E5347" s="5"/>
      <c r="F5347" s="5" t="s">
        <v>8</v>
      </c>
      <c r="G5347" s="15" t="s">
        <v>9</v>
      </c>
      <c r="H5347" s="24">
        <f t="shared" si="1234"/>
        <v>0</v>
      </c>
      <c r="I5347" s="24" cm="1">
        <f t="array" ref="I5347">IFERROR(IF($B5347=I$1, ($A5347+$C5347) - MAX(IF($B$2:$B5346=$B5347, $A$2:$A5346+$C$2:$C5346)), "")*24*60, "")</f>
        <v>0</v>
      </c>
      <c r="J5347" s="24" t="str" cm="1">
        <f t="array" ref="J5347">IFERROR(IF($B5347=J$1, ($A5347+$C5347) - MAX(IF($B$2:$B5346=$B5347, $A$2:$A5346+$C$2:$C5346)), "")*24*60, "")</f>
        <v/>
      </c>
      <c r="K5347" s="24" t="str" cm="1">
        <f t="array" ref="K5347">IFERROR(IF($B5347=K$1, ($A5347+$C5347) - MAX(IF($B$2:$B5346=$B5347, $A$2:$A5346+$C$2:$C5346)), "")*24*60, "")</f>
        <v/>
      </c>
      <c r="L5347" s="24" t="str" cm="1">
        <f t="array" ref="L5347">IFERROR(IF($B5347=L$1, ($A5347+$C5347) - MAX(IF($B$2:$B5346=$B5347, $A$2:$A5346+$C$2:$C5346)), "")*24*60, "")</f>
        <v/>
      </c>
      <c r="M5347" s="24" t="str" cm="1">
        <f t="array" ref="M5347">IFERROR(IF($B5347=M$1, ($A5347+$C5347) - MAX(IF($B$2:$B5346=$B5347, $A$2:$A5346+$C$2:$C5346)), "")*24*60, "")</f>
        <v/>
      </c>
      <c r="N5347" s="24" t="str" cm="1">
        <f t="array" ref="N5347">IFERROR(IF($B5347=N$1, ($A5347+$C5347) - MAX(IF($B$2:$B5346=$B5347, $A$2:$A5346+$C$2:$C5346)), "")*24*60, "")</f>
        <v/>
      </c>
      <c r="O5347" s="24" t="str" cm="1">
        <f t="array" ref="O5347">IFERROR(IF($B5347=O$1, ($A5347+$C5347) - MAX(IF($B$2:$B5346=$B5347, $A$2:$A5346+$C$2:$C5346)), "")*24*60, "")</f>
        <v/>
      </c>
      <c r="P5347" s="24" t="str" cm="1">
        <f t="array" ref="P5347">IFERROR(IF($B5347=P$1, ($A5347+$C5347) - MAX(IF($B$2:$B5346=$B5347, $A$2:$A5346+$C$2:$C5346)), "")*24*60, "")</f>
        <v/>
      </c>
      <c r="Q5347" s="24" t="str" cm="1">
        <f t="array" ref="Q5347">IFERROR(IF($B5347=Q$1, ($A5347+$C5347) - MAX(IF($B$2:$B5346=$B5347, $A$2:$A5346+$C$2:$C5346)), "")*24*60, "")</f>
        <v/>
      </c>
    </row>
    <row r="5348" spans="1:17" x14ac:dyDescent="0.2">
      <c r="A5348" s="12">
        <f t="shared" ref="A5348:C5348" si="1242">A5347</f>
        <v>45983</v>
      </c>
      <c r="B5348" s="5" t="str">
        <f t="shared" si="1242"/>
        <v>Northern Cardinal</v>
      </c>
      <c r="C5348" s="6">
        <f t="shared" si="1242"/>
        <v>0.28194444444444444</v>
      </c>
      <c r="D5348" s="5"/>
      <c r="E5348" s="5"/>
      <c r="F5348" s="5" t="s">
        <v>8</v>
      </c>
      <c r="G5348" s="15" t="s">
        <v>9</v>
      </c>
      <c r="H5348" s="24">
        <f t="shared" si="1234"/>
        <v>0</v>
      </c>
      <c r="I5348" s="24" cm="1">
        <f t="array" ref="I5348">IFERROR(IF($B5348=I$1, ($A5348+$C5348) - MAX(IF($B$2:$B5347=$B5348, $A$2:$A5347+$C$2:$C5347)), "")*24*60, "")</f>
        <v>0</v>
      </c>
      <c r="J5348" s="24" t="str" cm="1">
        <f t="array" ref="J5348">IFERROR(IF($B5348=J$1, ($A5348+$C5348) - MAX(IF($B$2:$B5347=$B5348, $A$2:$A5347+$C$2:$C5347)), "")*24*60, "")</f>
        <v/>
      </c>
      <c r="K5348" s="24" t="str" cm="1">
        <f t="array" ref="K5348">IFERROR(IF($B5348=K$1, ($A5348+$C5348) - MAX(IF($B$2:$B5347=$B5348, $A$2:$A5347+$C$2:$C5347)), "")*24*60, "")</f>
        <v/>
      </c>
      <c r="L5348" s="24" t="str" cm="1">
        <f t="array" ref="L5348">IFERROR(IF($B5348=L$1, ($A5348+$C5348) - MAX(IF($B$2:$B5347=$B5348, $A$2:$A5347+$C$2:$C5347)), "")*24*60, "")</f>
        <v/>
      </c>
      <c r="M5348" s="24" t="str" cm="1">
        <f t="array" ref="M5348">IFERROR(IF($B5348=M$1, ($A5348+$C5348) - MAX(IF($B$2:$B5347=$B5348, $A$2:$A5347+$C$2:$C5347)), "")*24*60, "")</f>
        <v/>
      </c>
      <c r="N5348" s="24" t="str" cm="1">
        <f t="array" ref="N5348">IFERROR(IF($B5348=N$1, ($A5348+$C5348) - MAX(IF($B$2:$B5347=$B5348, $A$2:$A5347+$C$2:$C5347)), "")*24*60, "")</f>
        <v/>
      </c>
      <c r="O5348" s="24" t="str" cm="1">
        <f t="array" ref="O5348">IFERROR(IF($B5348=O$1, ($A5348+$C5348) - MAX(IF($B$2:$B5347=$B5348, $A$2:$A5347+$C$2:$C5347)), "")*24*60, "")</f>
        <v/>
      </c>
      <c r="P5348" s="24" t="str" cm="1">
        <f t="array" ref="P5348">IFERROR(IF($B5348=P$1, ($A5348+$C5348) - MAX(IF($B$2:$B5347=$B5348, $A$2:$A5347+$C$2:$C5347)), "")*24*60, "")</f>
        <v/>
      </c>
      <c r="Q5348" s="24" t="str" cm="1">
        <f t="array" ref="Q5348">IFERROR(IF($B5348=Q$1, ($A5348+$C5348) - MAX(IF($B$2:$B5347=$B5348, $A$2:$A5347+$C$2:$C5347)), "")*24*60, "")</f>
        <v/>
      </c>
    </row>
    <row r="5349" spans="1:17" x14ac:dyDescent="0.2">
      <c r="A5349" s="12">
        <f t="shared" ref="A5349:C5349" si="1243">A5348</f>
        <v>45983</v>
      </c>
      <c r="B5349" s="5" t="str">
        <f t="shared" si="1243"/>
        <v>Northern Cardinal</v>
      </c>
      <c r="C5349" s="6">
        <f t="shared" si="1243"/>
        <v>0.28194444444444444</v>
      </c>
      <c r="D5349" s="5"/>
      <c r="E5349" s="5"/>
      <c r="F5349" s="5" t="s">
        <v>8</v>
      </c>
      <c r="G5349" s="15" t="s">
        <v>9</v>
      </c>
      <c r="H5349" s="24">
        <f t="shared" si="1234"/>
        <v>0</v>
      </c>
      <c r="I5349" s="24" cm="1">
        <f t="array" ref="I5349">IFERROR(IF($B5349=I$1, ($A5349+$C5349) - MAX(IF($B$2:$B5348=$B5349, $A$2:$A5348+$C$2:$C5348)), "")*24*60, "")</f>
        <v>0</v>
      </c>
      <c r="J5349" s="24" t="str" cm="1">
        <f t="array" ref="J5349">IFERROR(IF($B5349=J$1, ($A5349+$C5349) - MAX(IF($B$2:$B5348=$B5349, $A$2:$A5348+$C$2:$C5348)), "")*24*60, "")</f>
        <v/>
      </c>
      <c r="K5349" s="24" t="str" cm="1">
        <f t="array" ref="K5349">IFERROR(IF($B5349=K$1, ($A5349+$C5349) - MAX(IF($B$2:$B5348=$B5349, $A$2:$A5348+$C$2:$C5348)), "")*24*60, "")</f>
        <v/>
      </c>
      <c r="L5349" s="24" t="str" cm="1">
        <f t="array" ref="L5349">IFERROR(IF($B5349=L$1, ($A5349+$C5349) - MAX(IF($B$2:$B5348=$B5349, $A$2:$A5348+$C$2:$C5348)), "")*24*60, "")</f>
        <v/>
      </c>
      <c r="M5349" s="24" t="str" cm="1">
        <f t="array" ref="M5349">IFERROR(IF($B5349=M$1, ($A5349+$C5349) - MAX(IF($B$2:$B5348=$B5349, $A$2:$A5348+$C$2:$C5348)), "")*24*60, "")</f>
        <v/>
      </c>
      <c r="N5349" s="24" t="str" cm="1">
        <f t="array" ref="N5349">IFERROR(IF($B5349=N$1, ($A5349+$C5349) - MAX(IF($B$2:$B5348=$B5349, $A$2:$A5348+$C$2:$C5348)), "")*24*60, "")</f>
        <v/>
      </c>
      <c r="O5349" s="24" t="str" cm="1">
        <f t="array" ref="O5349">IFERROR(IF($B5349=O$1, ($A5349+$C5349) - MAX(IF($B$2:$B5348=$B5349, $A$2:$A5348+$C$2:$C5348)), "")*24*60, "")</f>
        <v/>
      </c>
      <c r="P5349" s="24" t="str" cm="1">
        <f t="array" ref="P5349">IFERROR(IF($B5349=P$1, ($A5349+$C5349) - MAX(IF($B$2:$B5348=$B5349, $A$2:$A5348+$C$2:$C5348)), "")*24*60, "")</f>
        <v/>
      </c>
      <c r="Q5349" s="24" t="str" cm="1">
        <f t="array" ref="Q5349">IFERROR(IF($B5349=Q$1, ($A5349+$C5349) - MAX(IF($B$2:$B5348=$B5349, $A$2:$A5348+$C$2:$C5348)), "")*24*60, "")</f>
        <v/>
      </c>
    </row>
    <row r="5350" spans="1:17" x14ac:dyDescent="0.2">
      <c r="A5350" s="12">
        <f t="shared" ref="A5350:C5350" si="1244">A5349</f>
        <v>45983</v>
      </c>
      <c r="B5350" s="5" t="str">
        <f t="shared" si="1244"/>
        <v>Northern Cardinal</v>
      </c>
      <c r="C5350" s="6">
        <f t="shared" si="1244"/>
        <v>0.28194444444444444</v>
      </c>
      <c r="D5350" s="5"/>
      <c r="E5350" s="5"/>
      <c r="F5350" s="5" t="s">
        <v>8</v>
      </c>
      <c r="G5350" s="15" t="s">
        <v>9</v>
      </c>
      <c r="H5350" s="24">
        <f t="shared" si="1234"/>
        <v>0</v>
      </c>
      <c r="I5350" s="24" cm="1">
        <f t="array" ref="I5350">IFERROR(IF($B5350=I$1, ($A5350+$C5350) - MAX(IF($B$2:$B5349=$B5350, $A$2:$A5349+$C$2:$C5349)), "")*24*60, "")</f>
        <v>0</v>
      </c>
      <c r="J5350" s="24" t="str" cm="1">
        <f t="array" ref="J5350">IFERROR(IF($B5350=J$1, ($A5350+$C5350) - MAX(IF($B$2:$B5349=$B5350, $A$2:$A5349+$C$2:$C5349)), "")*24*60, "")</f>
        <v/>
      </c>
      <c r="K5350" s="24" t="str" cm="1">
        <f t="array" ref="K5350">IFERROR(IF($B5350=K$1, ($A5350+$C5350) - MAX(IF($B$2:$B5349=$B5350, $A$2:$A5349+$C$2:$C5349)), "")*24*60, "")</f>
        <v/>
      </c>
      <c r="L5350" s="24" t="str" cm="1">
        <f t="array" ref="L5350">IFERROR(IF($B5350=L$1, ($A5350+$C5350) - MAX(IF($B$2:$B5349=$B5350, $A$2:$A5349+$C$2:$C5349)), "")*24*60, "")</f>
        <v/>
      </c>
      <c r="M5350" s="24" t="str" cm="1">
        <f t="array" ref="M5350">IFERROR(IF($B5350=M$1, ($A5350+$C5350) - MAX(IF($B$2:$B5349=$B5350, $A$2:$A5349+$C$2:$C5349)), "")*24*60, "")</f>
        <v/>
      </c>
      <c r="N5350" s="24" t="str" cm="1">
        <f t="array" ref="N5350">IFERROR(IF($B5350=N$1, ($A5350+$C5350) - MAX(IF($B$2:$B5349=$B5350, $A$2:$A5349+$C$2:$C5349)), "")*24*60, "")</f>
        <v/>
      </c>
      <c r="O5350" s="24" t="str" cm="1">
        <f t="array" ref="O5350">IFERROR(IF($B5350=O$1, ($A5350+$C5350) - MAX(IF($B$2:$B5349=$B5350, $A$2:$A5349+$C$2:$C5349)), "")*24*60, "")</f>
        <v/>
      </c>
      <c r="P5350" s="24" t="str" cm="1">
        <f t="array" ref="P5350">IFERROR(IF($B5350=P$1, ($A5350+$C5350) - MAX(IF($B$2:$B5349=$B5350, $A$2:$A5349+$C$2:$C5349)), "")*24*60, "")</f>
        <v/>
      </c>
      <c r="Q5350" s="24" t="str" cm="1">
        <f t="array" ref="Q5350">IFERROR(IF($B5350=Q$1, ($A5350+$C5350) - MAX(IF($B$2:$B5349=$B5350, $A$2:$A5349+$C$2:$C5349)), "")*24*60, "")</f>
        <v/>
      </c>
    </row>
    <row r="5351" spans="1:17" x14ac:dyDescent="0.2">
      <c r="A5351" s="12">
        <f t="shared" ref="A5351:C5351" si="1245">A5350</f>
        <v>45983</v>
      </c>
      <c r="B5351" s="5" t="str">
        <f t="shared" si="1245"/>
        <v>Northern Cardinal</v>
      </c>
      <c r="C5351" s="6">
        <f t="shared" si="1245"/>
        <v>0.28194444444444444</v>
      </c>
      <c r="D5351" s="5"/>
      <c r="E5351" s="5"/>
      <c r="F5351" s="5" t="s">
        <v>8</v>
      </c>
      <c r="G5351" s="15" t="s">
        <v>9</v>
      </c>
      <c r="H5351" s="24">
        <f t="shared" si="1234"/>
        <v>0</v>
      </c>
      <c r="I5351" s="24" cm="1">
        <f t="array" ref="I5351">IFERROR(IF($B5351=I$1, ($A5351+$C5351) - MAX(IF($B$2:$B5350=$B5351, $A$2:$A5350+$C$2:$C5350)), "")*24*60, "")</f>
        <v>0</v>
      </c>
      <c r="J5351" s="24" t="str" cm="1">
        <f t="array" ref="J5351">IFERROR(IF($B5351=J$1, ($A5351+$C5351) - MAX(IF($B$2:$B5350=$B5351, $A$2:$A5350+$C$2:$C5350)), "")*24*60, "")</f>
        <v/>
      </c>
      <c r="K5351" s="24" t="str" cm="1">
        <f t="array" ref="K5351">IFERROR(IF($B5351=K$1, ($A5351+$C5351) - MAX(IF($B$2:$B5350=$B5351, $A$2:$A5350+$C$2:$C5350)), "")*24*60, "")</f>
        <v/>
      </c>
      <c r="L5351" s="24" t="str" cm="1">
        <f t="array" ref="L5351">IFERROR(IF($B5351=L$1, ($A5351+$C5351) - MAX(IF($B$2:$B5350=$B5351, $A$2:$A5350+$C$2:$C5350)), "")*24*60, "")</f>
        <v/>
      </c>
      <c r="M5351" s="24" t="str" cm="1">
        <f t="array" ref="M5351">IFERROR(IF($B5351=M$1, ($A5351+$C5351) - MAX(IF($B$2:$B5350=$B5351, $A$2:$A5350+$C$2:$C5350)), "")*24*60, "")</f>
        <v/>
      </c>
      <c r="N5351" s="24" t="str" cm="1">
        <f t="array" ref="N5351">IFERROR(IF($B5351=N$1, ($A5351+$C5351) - MAX(IF($B$2:$B5350=$B5351, $A$2:$A5350+$C$2:$C5350)), "")*24*60, "")</f>
        <v/>
      </c>
      <c r="O5351" s="24" t="str" cm="1">
        <f t="array" ref="O5351">IFERROR(IF($B5351=O$1, ($A5351+$C5351) - MAX(IF($B$2:$B5350=$B5351, $A$2:$A5350+$C$2:$C5350)), "")*24*60, "")</f>
        <v/>
      </c>
      <c r="P5351" s="24" t="str" cm="1">
        <f t="array" ref="P5351">IFERROR(IF($B5351=P$1, ($A5351+$C5351) - MAX(IF($B$2:$B5350=$B5351, $A$2:$A5350+$C$2:$C5350)), "")*24*60, "")</f>
        <v/>
      </c>
      <c r="Q5351" s="24" t="str" cm="1">
        <f t="array" ref="Q5351">IFERROR(IF($B5351=Q$1, ($A5351+$C5351) - MAX(IF($B$2:$B5350=$B5351, $A$2:$A5350+$C$2:$C5350)), "")*24*60, "")</f>
        <v/>
      </c>
    </row>
    <row r="5352" spans="1:17" x14ac:dyDescent="0.2">
      <c r="A5352" s="12">
        <f t="shared" ref="A5352:C5352" si="1246">A5351</f>
        <v>45983</v>
      </c>
      <c r="B5352" s="5" t="str">
        <f t="shared" si="1246"/>
        <v>Northern Cardinal</v>
      </c>
      <c r="C5352" s="6">
        <f t="shared" si="1246"/>
        <v>0.28194444444444444</v>
      </c>
      <c r="D5352" s="5"/>
      <c r="E5352" s="5"/>
      <c r="F5352" s="5" t="s">
        <v>8</v>
      </c>
      <c r="G5352" s="15" t="s">
        <v>9</v>
      </c>
      <c r="H5352" s="24">
        <f t="shared" si="1234"/>
        <v>0</v>
      </c>
      <c r="I5352" s="24" cm="1">
        <f t="array" ref="I5352">IFERROR(IF($B5352=I$1, ($A5352+$C5352) - MAX(IF($B$2:$B5351=$B5352, $A$2:$A5351+$C$2:$C5351)), "")*24*60, "")</f>
        <v>0</v>
      </c>
      <c r="J5352" s="24" t="str" cm="1">
        <f t="array" ref="J5352">IFERROR(IF($B5352=J$1, ($A5352+$C5352) - MAX(IF($B$2:$B5351=$B5352, $A$2:$A5351+$C$2:$C5351)), "")*24*60, "")</f>
        <v/>
      </c>
      <c r="K5352" s="24" t="str" cm="1">
        <f t="array" ref="K5352">IFERROR(IF($B5352=K$1, ($A5352+$C5352) - MAX(IF($B$2:$B5351=$B5352, $A$2:$A5351+$C$2:$C5351)), "")*24*60, "")</f>
        <v/>
      </c>
      <c r="L5352" s="24" t="str" cm="1">
        <f t="array" ref="L5352">IFERROR(IF($B5352=L$1, ($A5352+$C5352) - MAX(IF($B$2:$B5351=$B5352, $A$2:$A5351+$C$2:$C5351)), "")*24*60, "")</f>
        <v/>
      </c>
      <c r="M5352" s="24" t="str" cm="1">
        <f t="array" ref="M5352">IFERROR(IF($B5352=M$1, ($A5352+$C5352) - MAX(IF($B$2:$B5351=$B5352, $A$2:$A5351+$C$2:$C5351)), "")*24*60, "")</f>
        <v/>
      </c>
      <c r="N5352" s="24" t="str" cm="1">
        <f t="array" ref="N5352">IFERROR(IF($B5352=N$1, ($A5352+$C5352) - MAX(IF($B$2:$B5351=$B5352, $A$2:$A5351+$C$2:$C5351)), "")*24*60, "")</f>
        <v/>
      </c>
      <c r="O5352" s="24" t="str" cm="1">
        <f t="array" ref="O5352">IFERROR(IF($B5352=O$1, ($A5352+$C5352) - MAX(IF($B$2:$B5351=$B5352, $A$2:$A5351+$C$2:$C5351)), "")*24*60, "")</f>
        <v/>
      </c>
      <c r="P5352" s="24" t="str" cm="1">
        <f t="array" ref="P5352">IFERROR(IF($B5352=P$1, ($A5352+$C5352) - MAX(IF($B$2:$B5351=$B5352, $A$2:$A5351+$C$2:$C5351)), "")*24*60, "")</f>
        <v/>
      </c>
      <c r="Q5352" s="24" t="str" cm="1">
        <f t="array" ref="Q5352">IFERROR(IF($B5352=Q$1, ($A5352+$C5352) - MAX(IF($B$2:$B5351=$B5352, $A$2:$A5351+$C$2:$C5351)), "")*24*60, "")</f>
        <v/>
      </c>
    </row>
    <row r="5353" spans="1:17" x14ac:dyDescent="0.2">
      <c r="A5353" s="12">
        <f t="shared" ref="A5353:C5353" si="1247">A5352</f>
        <v>45983</v>
      </c>
      <c r="B5353" s="5" t="str">
        <f t="shared" si="1247"/>
        <v>Northern Cardinal</v>
      </c>
      <c r="C5353" s="6">
        <f t="shared" si="1247"/>
        <v>0.28194444444444444</v>
      </c>
      <c r="D5353" s="5"/>
      <c r="E5353" s="5"/>
      <c r="F5353" s="5" t="s">
        <v>8</v>
      </c>
      <c r="G5353" s="15" t="s">
        <v>9</v>
      </c>
      <c r="H5353" s="24">
        <f t="shared" si="1234"/>
        <v>0</v>
      </c>
      <c r="I5353" s="24" cm="1">
        <f t="array" ref="I5353">IFERROR(IF($B5353=I$1, ($A5353+$C5353) - MAX(IF($B$2:$B5352=$B5353, $A$2:$A5352+$C$2:$C5352)), "")*24*60, "")</f>
        <v>0</v>
      </c>
      <c r="J5353" s="24" t="str" cm="1">
        <f t="array" ref="J5353">IFERROR(IF($B5353=J$1, ($A5353+$C5353) - MAX(IF($B$2:$B5352=$B5353, $A$2:$A5352+$C$2:$C5352)), "")*24*60, "")</f>
        <v/>
      </c>
      <c r="K5353" s="24" t="str" cm="1">
        <f t="array" ref="K5353">IFERROR(IF($B5353=K$1, ($A5353+$C5353) - MAX(IF($B$2:$B5352=$B5353, $A$2:$A5352+$C$2:$C5352)), "")*24*60, "")</f>
        <v/>
      </c>
      <c r="L5353" s="24" t="str" cm="1">
        <f t="array" ref="L5353">IFERROR(IF($B5353=L$1, ($A5353+$C5353) - MAX(IF($B$2:$B5352=$B5353, $A$2:$A5352+$C$2:$C5352)), "")*24*60, "")</f>
        <v/>
      </c>
      <c r="M5353" s="24" t="str" cm="1">
        <f t="array" ref="M5353">IFERROR(IF($B5353=M$1, ($A5353+$C5353) - MAX(IF($B$2:$B5352=$B5353, $A$2:$A5352+$C$2:$C5352)), "")*24*60, "")</f>
        <v/>
      </c>
      <c r="N5353" s="24" t="str" cm="1">
        <f t="array" ref="N5353">IFERROR(IF($B5353=N$1, ($A5353+$C5353) - MAX(IF($B$2:$B5352=$B5353, $A$2:$A5352+$C$2:$C5352)), "")*24*60, "")</f>
        <v/>
      </c>
      <c r="O5353" s="24" t="str" cm="1">
        <f t="array" ref="O5353">IFERROR(IF($B5353=O$1, ($A5353+$C5353) - MAX(IF($B$2:$B5352=$B5353, $A$2:$A5352+$C$2:$C5352)), "")*24*60, "")</f>
        <v/>
      </c>
      <c r="P5353" s="24" t="str" cm="1">
        <f t="array" ref="P5353">IFERROR(IF($B5353=P$1, ($A5353+$C5353) - MAX(IF($B$2:$B5352=$B5353, $A$2:$A5352+$C$2:$C5352)), "")*24*60, "")</f>
        <v/>
      </c>
      <c r="Q5353" s="24" t="str" cm="1">
        <f t="array" ref="Q5353">IFERROR(IF($B5353=Q$1, ($A5353+$C5353) - MAX(IF($B$2:$B5352=$B5353, $A$2:$A5352+$C$2:$C5352)), "")*24*60, "")</f>
        <v/>
      </c>
    </row>
    <row r="5354" spans="1:17" x14ac:dyDescent="0.2">
      <c r="A5354" s="12">
        <f t="shared" ref="A5354:C5354" si="1248">A5353</f>
        <v>45983</v>
      </c>
      <c r="B5354" s="5" t="str">
        <f t="shared" si="1248"/>
        <v>Northern Cardinal</v>
      </c>
      <c r="C5354" s="6">
        <f t="shared" si="1248"/>
        <v>0.28194444444444444</v>
      </c>
      <c r="D5354" s="5"/>
      <c r="E5354" s="5"/>
      <c r="F5354" s="5" t="s">
        <v>8</v>
      </c>
      <c r="G5354" s="15" t="s">
        <v>9</v>
      </c>
      <c r="H5354" s="24">
        <f t="shared" si="1234"/>
        <v>0</v>
      </c>
      <c r="I5354" s="24" cm="1">
        <f t="array" ref="I5354">IFERROR(IF($B5354=I$1, ($A5354+$C5354) - MAX(IF($B$2:$B5353=$B5354, $A$2:$A5353+$C$2:$C5353)), "")*24*60, "")</f>
        <v>0</v>
      </c>
      <c r="J5354" s="24" t="str" cm="1">
        <f t="array" ref="J5354">IFERROR(IF($B5354=J$1, ($A5354+$C5354) - MAX(IF($B$2:$B5353=$B5354, $A$2:$A5353+$C$2:$C5353)), "")*24*60, "")</f>
        <v/>
      </c>
      <c r="K5354" s="24" t="str" cm="1">
        <f t="array" ref="K5354">IFERROR(IF($B5354=K$1, ($A5354+$C5354) - MAX(IF($B$2:$B5353=$B5354, $A$2:$A5353+$C$2:$C5353)), "")*24*60, "")</f>
        <v/>
      </c>
      <c r="L5354" s="24" t="str" cm="1">
        <f t="array" ref="L5354">IFERROR(IF($B5354=L$1, ($A5354+$C5354) - MAX(IF($B$2:$B5353=$B5354, $A$2:$A5353+$C$2:$C5353)), "")*24*60, "")</f>
        <v/>
      </c>
      <c r="M5354" s="24" t="str" cm="1">
        <f t="array" ref="M5354">IFERROR(IF($B5354=M$1, ($A5354+$C5354) - MAX(IF($B$2:$B5353=$B5354, $A$2:$A5353+$C$2:$C5353)), "")*24*60, "")</f>
        <v/>
      </c>
      <c r="N5354" s="24" t="str" cm="1">
        <f t="array" ref="N5354">IFERROR(IF($B5354=N$1, ($A5354+$C5354) - MAX(IF($B$2:$B5353=$B5354, $A$2:$A5353+$C$2:$C5353)), "")*24*60, "")</f>
        <v/>
      </c>
      <c r="O5354" s="24" t="str" cm="1">
        <f t="array" ref="O5354">IFERROR(IF($B5354=O$1, ($A5354+$C5354) - MAX(IF($B$2:$B5353=$B5354, $A$2:$A5353+$C$2:$C5353)), "")*24*60, "")</f>
        <v/>
      </c>
      <c r="P5354" s="24" t="str" cm="1">
        <f t="array" ref="P5354">IFERROR(IF($B5354=P$1, ($A5354+$C5354) - MAX(IF($B$2:$B5353=$B5354, $A$2:$A5353+$C$2:$C5353)), "")*24*60, "")</f>
        <v/>
      </c>
      <c r="Q5354" s="24" t="str" cm="1">
        <f t="array" ref="Q5354">IFERROR(IF($B5354=Q$1, ($A5354+$C5354) - MAX(IF($B$2:$B5353=$B5354, $A$2:$A5353+$C$2:$C5353)), "")*24*60, "")</f>
        <v/>
      </c>
    </row>
    <row r="5355" spans="1:17" x14ac:dyDescent="0.2">
      <c r="A5355" s="12">
        <f t="shared" ref="A5355:C5355" si="1249">A5354</f>
        <v>45983</v>
      </c>
      <c r="B5355" s="5" t="str">
        <f t="shared" si="1249"/>
        <v>Northern Cardinal</v>
      </c>
      <c r="C5355" s="6">
        <f t="shared" si="1249"/>
        <v>0.28194444444444444</v>
      </c>
      <c r="D5355" s="5"/>
      <c r="E5355" s="5"/>
      <c r="F5355" s="5" t="s">
        <v>8</v>
      </c>
      <c r="G5355" s="15" t="s">
        <v>9</v>
      </c>
      <c r="H5355" s="24">
        <f t="shared" si="1234"/>
        <v>0</v>
      </c>
      <c r="I5355" s="24" cm="1">
        <f t="array" ref="I5355">IFERROR(IF($B5355=I$1, ($A5355+$C5355) - MAX(IF($B$2:$B5354=$B5355, $A$2:$A5354+$C$2:$C5354)), "")*24*60, "")</f>
        <v>0</v>
      </c>
      <c r="J5355" s="24" t="str" cm="1">
        <f t="array" ref="J5355">IFERROR(IF($B5355=J$1, ($A5355+$C5355) - MAX(IF($B$2:$B5354=$B5355, $A$2:$A5354+$C$2:$C5354)), "")*24*60, "")</f>
        <v/>
      </c>
      <c r="K5355" s="24" t="str" cm="1">
        <f t="array" ref="K5355">IFERROR(IF($B5355=K$1, ($A5355+$C5355) - MAX(IF($B$2:$B5354=$B5355, $A$2:$A5354+$C$2:$C5354)), "")*24*60, "")</f>
        <v/>
      </c>
      <c r="L5355" s="24" t="str" cm="1">
        <f t="array" ref="L5355">IFERROR(IF($B5355=L$1, ($A5355+$C5355) - MAX(IF($B$2:$B5354=$B5355, $A$2:$A5354+$C$2:$C5354)), "")*24*60, "")</f>
        <v/>
      </c>
      <c r="M5355" s="24" t="str" cm="1">
        <f t="array" ref="M5355">IFERROR(IF($B5355=M$1, ($A5355+$C5355) - MAX(IF($B$2:$B5354=$B5355, $A$2:$A5354+$C$2:$C5354)), "")*24*60, "")</f>
        <v/>
      </c>
      <c r="N5355" s="24" t="str" cm="1">
        <f t="array" ref="N5355">IFERROR(IF($B5355=N$1, ($A5355+$C5355) - MAX(IF($B$2:$B5354=$B5355, $A$2:$A5354+$C$2:$C5354)), "")*24*60, "")</f>
        <v/>
      </c>
      <c r="O5355" s="24" t="str" cm="1">
        <f t="array" ref="O5355">IFERROR(IF($B5355=O$1, ($A5355+$C5355) - MAX(IF($B$2:$B5354=$B5355, $A$2:$A5354+$C$2:$C5354)), "")*24*60, "")</f>
        <v/>
      </c>
      <c r="P5355" s="24" t="str" cm="1">
        <f t="array" ref="P5355">IFERROR(IF($B5355=P$1, ($A5355+$C5355) - MAX(IF($B$2:$B5354=$B5355, $A$2:$A5354+$C$2:$C5354)), "")*24*60, "")</f>
        <v/>
      </c>
      <c r="Q5355" s="24" t="str" cm="1">
        <f t="array" ref="Q5355">IFERROR(IF($B5355=Q$1, ($A5355+$C5355) - MAX(IF($B$2:$B5354=$B5355, $A$2:$A5354+$C$2:$C5354)), "")*24*60, "")</f>
        <v/>
      </c>
    </row>
    <row r="5356" spans="1:17" x14ac:dyDescent="0.2">
      <c r="A5356" s="12">
        <f t="shared" ref="A5356:C5356" si="1250">A5355</f>
        <v>45983</v>
      </c>
      <c r="B5356" s="5" t="str">
        <f t="shared" si="1250"/>
        <v>Northern Cardinal</v>
      </c>
      <c r="C5356" s="6">
        <f t="shared" si="1250"/>
        <v>0.28194444444444444</v>
      </c>
      <c r="D5356" s="5"/>
      <c r="E5356" s="5"/>
      <c r="F5356" s="5" t="s">
        <v>8</v>
      </c>
      <c r="G5356" s="15" t="s">
        <v>9</v>
      </c>
      <c r="H5356" s="24">
        <f t="shared" si="1234"/>
        <v>0</v>
      </c>
      <c r="I5356" s="24" cm="1">
        <f t="array" ref="I5356">IFERROR(IF($B5356=I$1, ($A5356+$C5356) - MAX(IF($B$2:$B5355=$B5356, $A$2:$A5355+$C$2:$C5355)), "")*24*60, "")</f>
        <v>0</v>
      </c>
      <c r="J5356" s="24" t="str" cm="1">
        <f t="array" ref="J5356">IFERROR(IF($B5356=J$1, ($A5356+$C5356) - MAX(IF($B$2:$B5355=$B5356, $A$2:$A5355+$C$2:$C5355)), "")*24*60, "")</f>
        <v/>
      </c>
      <c r="K5356" s="24" t="str" cm="1">
        <f t="array" ref="K5356">IFERROR(IF($B5356=K$1, ($A5356+$C5356) - MAX(IF($B$2:$B5355=$B5356, $A$2:$A5355+$C$2:$C5355)), "")*24*60, "")</f>
        <v/>
      </c>
      <c r="L5356" s="24" t="str" cm="1">
        <f t="array" ref="L5356">IFERROR(IF($B5356=L$1, ($A5356+$C5356) - MAX(IF($B$2:$B5355=$B5356, $A$2:$A5355+$C$2:$C5355)), "")*24*60, "")</f>
        <v/>
      </c>
      <c r="M5356" s="24" t="str" cm="1">
        <f t="array" ref="M5356">IFERROR(IF($B5356=M$1, ($A5356+$C5356) - MAX(IF($B$2:$B5355=$B5356, $A$2:$A5355+$C$2:$C5355)), "")*24*60, "")</f>
        <v/>
      </c>
      <c r="N5356" s="24" t="str" cm="1">
        <f t="array" ref="N5356">IFERROR(IF($B5356=N$1, ($A5356+$C5356) - MAX(IF($B$2:$B5355=$B5356, $A$2:$A5355+$C$2:$C5355)), "")*24*60, "")</f>
        <v/>
      </c>
      <c r="O5356" s="24" t="str" cm="1">
        <f t="array" ref="O5356">IFERROR(IF($B5356=O$1, ($A5356+$C5356) - MAX(IF($B$2:$B5355=$B5356, $A$2:$A5355+$C$2:$C5355)), "")*24*60, "")</f>
        <v/>
      </c>
      <c r="P5356" s="24" t="str" cm="1">
        <f t="array" ref="P5356">IFERROR(IF($B5356=P$1, ($A5356+$C5356) - MAX(IF($B$2:$B5355=$B5356, $A$2:$A5355+$C$2:$C5355)), "")*24*60, "")</f>
        <v/>
      </c>
      <c r="Q5356" s="24" t="str" cm="1">
        <f t="array" ref="Q5356">IFERROR(IF($B5356=Q$1, ($A5356+$C5356) - MAX(IF($B$2:$B5355=$B5356, $A$2:$A5355+$C$2:$C5355)), "")*24*60, "")</f>
        <v/>
      </c>
    </row>
    <row r="5357" spans="1:17" x14ac:dyDescent="0.2">
      <c r="A5357" s="12">
        <f t="shared" ref="A5357:C5357" si="1251">A5356</f>
        <v>45983</v>
      </c>
      <c r="B5357" s="5" t="str">
        <f t="shared" si="1251"/>
        <v>Northern Cardinal</v>
      </c>
      <c r="C5357" s="6">
        <f t="shared" si="1251"/>
        <v>0.28194444444444444</v>
      </c>
      <c r="D5357" s="5"/>
      <c r="E5357" s="5"/>
      <c r="F5357" s="5" t="s">
        <v>8</v>
      </c>
      <c r="G5357" s="15" t="s">
        <v>9</v>
      </c>
      <c r="H5357" s="24">
        <f t="shared" si="1234"/>
        <v>0</v>
      </c>
      <c r="I5357" s="24" cm="1">
        <f t="array" ref="I5357">IFERROR(IF($B5357=I$1, ($A5357+$C5357) - MAX(IF($B$2:$B5356=$B5357, $A$2:$A5356+$C$2:$C5356)), "")*24*60, "")</f>
        <v>0</v>
      </c>
      <c r="J5357" s="24" t="str" cm="1">
        <f t="array" ref="J5357">IFERROR(IF($B5357=J$1, ($A5357+$C5357) - MAX(IF($B$2:$B5356=$B5357, $A$2:$A5356+$C$2:$C5356)), "")*24*60, "")</f>
        <v/>
      </c>
      <c r="K5357" s="24" t="str" cm="1">
        <f t="array" ref="K5357">IFERROR(IF($B5357=K$1, ($A5357+$C5357) - MAX(IF($B$2:$B5356=$B5357, $A$2:$A5356+$C$2:$C5356)), "")*24*60, "")</f>
        <v/>
      </c>
      <c r="L5357" s="24" t="str" cm="1">
        <f t="array" ref="L5357">IFERROR(IF($B5357=L$1, ($A5357+$C5357) - MAX(IF($B$2:$B5356=$B5357, $A$2:$A5356+$C$2:$C5356)), "")*24*60, "")</f>
        <v/>
      </c>
      <c r="M5357" s="24" t="str" cm="1">
        <f t="array" ref="M5357">IFERROR(IF($B5357=M$1, ($A5357+$C5357) - MAX(IF($B$2:$B5356=$B5357, $A$2:$A5356+$C$2:$C5356)), "")*24*60, "")</f>
        <v/>
      </c>
      <c r="N5357" s="24" t="str" cm="1">
        <f t="array" ref="N5357">IFERROR(IF($B5357=N$1, ($A5357+$C5357) - MAX(IF($B$2:$B5356=$B5357, $A$2:$A5356+$C$2:$C5356)), "")*24*60, "")</f>
        <v/>
      </c>
      <c r="O5357" s="24" t="str" cm="1">
        <f t="array" ref="O5357">IFERROR(IF($B5357=O$1, ($A5357+$C5357) - MAX(IF($B$2:$B5356=$B5357, $A$2:$A5356+$C$2:$C5356)), "")*24*60, "")</f>
        <v/>
      </c>
      <c r="P5357" s="24" t="str" cm="1">
        <f t="array" ref="P5357">IFERROR(IF($B5357=P$1, ($A5357+$C5357) - MAX(IF($B$2:$B5356=$B5357, $A$2:$A5356+$C$2:$C5356)), "")*24*60, "")</f>
        <v/>
      </c>
      <c r="Q5357" s="24" t="str" cm="1">
        <f t="array" ref="Q5357">IFERROR(IF($B5357=Q$1, ($A5357+$C5357) - MAX(IF($B$2:$B5356=$B5357, $A$2:$A5356+$C$2:$C5356)), "")*24*60, "")</f>
        <v/>
      </c>
    </row>
    <row r="5358" spans="1:17" x14ac:dyDescent="0.2">
      <c r="A5358" s="12">
        <f t="shared" ref="A5358:C5358" si="1252">A5357</f>
        <v>45983</v>
      </c>
      <c r="B5358" s="5" t="str">
        <f t="shared" si="1252"/>
        <v>Northern Cardinal</v>
      </c>
      <c r="C5358" s="6">
        <f t="shared" si="1252"/>
        <v>0.28194444444444444</v>
      </c>
      <c r="D5358" s="5"/>
      <c r="E5358" s="5"/>
      <c r="F5358" s="5" t="s">
        <v>8</v>
      </c>
      <c r="G5358" s="15" t="s">
        <v>9</v>
      </c>
      <c r="H5358" s="24">
        <f t="shared" si="1234"/>
        <v>0</v>
      </c>
      <c r="I5358" s="24" cm="1">
        <f t="array" ref="I5358">IFERROR(IF($B5358=I$1, ($A5358+$C5358) - MAX(IF($B$2:$B5357=$B5358, $A$2:$A5357+$C$2:$C5357)), "")*24*60, "")</f>
        <v>0</v>
      </c>
      <c r="J5358" s="24" t="str" cm="1">
        <f t="array" ref="J5358">IFERROR(IF($B5358=J$1, ($A5358+$C5358) - MAX(IF($B$2:$B5357=$B5358, $A$2:$A5357+$C$2:$C5357)), "")*24*60, "")</f>
        <v/>
      </c>
      <c r="K5358" s="24" t="str" cm="1">
        <f t="array" ref="K5358">IFERROR(IF($B5358=K$1, ($A5358+$C5358) - MAX(IF($B$2:$B5357=$B5358, $A$2:$A5357+$C$2:$C5357)), "")*24*60, "")</f>
        <v/>
      </c>
      <c r="L5358" s="24" t="str" cm="1">
        <f t="array" ref="L5358">IFERROR(IF($B5358=L$1, ($A5358+$C5358) - MAX(IF($B$2:$B5357=$B5358, $A$2:$A5357+$C$2:$C5357)), "")*24*60, "")</f>
        <v/>
      </c>
      <c r="M5358" s="24" t="str" cm="1">
        <f t="array" ref="M5358">IFERROR(IF($B5358=M$1, ($A5358+$C5358) - MAX(IF($B$2:$B5357=$B5358, $A$2:$A5357+$C$2:$C5357)), "")*24*60, "")</f>
        <v/>
      </c>
      <c r="N5358" s="24" t="str" cm="1">
        <f t="array" ref="N5358">IFERROR(IF($B5358=N$1, ($A5358+$C5358) - MAX(IF($B$2:$B5357=$B5358, $A$2:$A5357+$C$2:$C5357)), "")*24*60, "")</f>
        <v/>
      </c>
      <c r="O5358" s="24" t="str" cm="1">
        <f t="array" ref="O5358">IFERROR(IF($B5358=O$1, ($A5358+$C5358) - MAX(IF($B$2:$B5357=$B5358, $A$2:$A5357+$C$2:$C5357)), "")*24*60, "")</f>
        <v/>
      </c>
      <c r="P5358" s="24" t="str" cm="1">
        <f t="array" ref="P5358">IFERROR(IF($B5358=P$1, ($A5358+$C5358) - MAX(IF($B$2:$B5357=$B5358, $A$2:$A5357+$C$2:$C5357)), "")*24*60, "")</f>
        <v/>
      </c>
      <c r="Q5358" s="24" t="str" cm="1">
        <f t="array" ref="Q5358">IFERROR(IF($B5358=Q$1, ($A5358+$C5358) - MAX(IF($B$2:$B5357=$B5358, $A$2:$A5357+$C$2:$C5357)), "")*24*60, "")</f>
        <v/>
      </c>
    </row>
    <row r="5359" spans="1:17" x14ac:dyDescent="0.2">
      <c r="A5359" s="12">
        <f t="shared" ref="A5359:C5359" si="1253">A5358</f>
        <v>45983</v>
      </c>
      <c r="B5359" s="5" t="str">
        <f t="shared" si="1253"/>
        <v>Northern Cardinal</v>
      </c>
      <c r="C5359" s="6">
        <f t="shared" si="1253"/>
        <v>0.28194444444444444</v>
      </c>
      <c r="D5359" s="5"/>
      <c r="E5359" s="5"/>
      <c r="F5359" s="5" t="s">
        <v>8</v>
      </c>
      <c r="G5359" s="15" t="s">
        <v>9</v>
      </c>
      <c r="H5359" s="24">
        <f t="shared" si="1234"/>
        <v>0</v>
      </c>
      <c r="I5359" s="24" cm="1">
        <f t="array" ref="I5359">IFERROR(IF($B5359=I$1, ($A5359+$C5359) - MAX(IF($B$2:$B5358=$B5359, $A$2:$A5358+$C$2:$C5358)), "")*24*60, "")</f>
        <v>0</v>
      </c>
      <c r="J5359" s="24" t="str" cm="1">
        <f t="array" ref="J5359">IFERROR(IF($B5359=J$1, ($A5359+$C5359) - MAX(IF($B$2:$B5358=$B5359, $A$2:$A5358+$C$2:$C5358)), "")*24*60, "")</f>
        <v/>
      </c>
      <c r="K5359" s="24" t="str" cm="1">
        <f t="array" ref="K5359">IFERROR(IF($B5359=K$1, ($A5359+$C5359) - MAX(IF($B$2:$B5358=$B5359, $A$2:$A5358+$C$2:$C5358)), "")*24*60, "")</f>
        <v/>
      </c>
      <c r="L5359" s="24" t="str" cm="1">
        <f t="array" ref="L5359">IFERROR(IF($B5359=L$1, ($A5359+$C5359) - MAX(IF($B$2:$B5358=$B5359, $A$2:$A5358+$C$2:$C5358)), "")*24*60, "")</f>
        <v/>
      </c>
      <c r="M5359" s="24" t="str" cm="1">
        <f t="array" ref="M5359">IFERROR(IF($B5359=M$1, ($A5359+$C5359) - MAX(IF($B$2:$B5358=$B5359, $A$2:$A5358+$C$2:$C5358)), "")*24*60, "")</f>
        <v/>
      </c>
      <c r="N5359" s="24" t="str" cm="1">
        <f t="array" ref="N5359">IFERROR(IF($B5359=N$1, ($A5359+$C5359) - MAX(IF($B$2:$B5358=$B5359, $A$2:$A5358+$C$2:$C5358)), "")*24*60, "")</f>
        <v/>
      </c>
      <c r="O5359" s="24" t="str" cm="1">
        <f t="array" ref="O5359">IFERROR(IF($B5359=O$1, ($A5359+$C5359) - MAX(IF($B$2:$B5358=$B5359, $A$2:$A5358+$C$2:$C5358)), "")*24*60, "")</f>
        <v/>
      </c>
      <c r="P5359" s="24" t="str" cm="1">
        <f t="array" ref="P5359">IFERROR(IF($B5359=P$1, ($A5359+$C5359) - MAX(IF($B$2:$B5358=$B5359, $A$2:$A5358+$C$2:$C5358)), "")*24*60, "")</f>
        <v/>
      </c>
      <c r="Q5359" s="24" t="str" cm="1">
        <f t="array" ref="Q5359">IFERROR(IF($B5359=Q$1, ($A5359+$C5359) - MAX(IF($B$2:$B5358=$B5359, $A$2:$A5358+$C$2:$C5358)), "")*24*60, "")</f>
        <v/>
      </c>
    </row>
    <row r="5360" spans="1:17" x14ac:dyDescent="0.2">
      <c r="A5360" s="12">
        <f t="shared" ref="A5360:C5360" si="1254">A5359</f>
        <v>45983</v>
      </c>
      <c r="B5360" s="5" t="str">
        <f t="shared" si="1254"/>
        <v>Northern Cardinal</v>
      </c>
      <c r="C5360" s="6">
        <f t="shared" si="1254"/>
        <v>0.28194444444444444</v>
      </c>
      <c r="D5360" s="5"/>
      <c r="E5360" s="5"/>
      <c r="F5360" s="5" t="s">
        <v>8</v>
      </c>
      <c r="G5360" s="15" t="s">
        <v>9</v>
      </c>
      <c r="H5360" s="24">
        <f t="shared" si="1234"/>
        <v>0</v>
      </c>
      <c r="I5360" s="24" cm="1">
        <f t="array" ref="I5360">IFERROR(IF($B5360=I$1, ($A5360+$C5360) - MAX(IF($B$2:$B5359=$B5360, $A$2:$A5359+$C$2:$C5359)), "")*24*60, "")</f>
        <v>0</v>
      </c>
      <c r="J5360" s="24" t="str" cm="1">
        <f t="array" ref="J5360">IFERROR(IF($B5360=J$1, ($A5360+$C5360) - MAX(IF($B$2:$B5359=$B5360, $A$2:$A5359+$C$2:$C5359)), "")*24*60, "")</f>
        <v/>
      </c>
      <c r="K5360" s="24" t="str" cm="1">
        <f t="array" ref="K5360">IFERROR(IF($B5360=K$1, ($A5360+$C5360) - MAX(IF($B$2:$B5359=$B5360, $A$2:$A5359+$C$2:$C5359)), "")*24*60, "")</f>
        <v/>
      </c>
      <c r="L5360" s="24" t="str" cm="1">
        <f t="array" ref="L5360">IFERROR(IF($B5360=L$1, ($A5360+$C5360) - MAX(IF($B$2:$B5359=$B5360, $A$2:$A5359+$C$2:$C5359)), "")*24*60, "")</f>
        <v/>
      </c>
      <c r="M5360" s="24" t="str" cm="1">
        <f t="array" ref="M5360">IFERROR(IF($B5360=M$1, ($A5360+$C5360) - MAX(IF($B$2:$B5359=$B5360, $A$2:$A5359+$C$2:$C5359)), "")*24*60, "")</f>
        <v/>
      </c>
      <c r="N5360" s="24" t="str" cm="1">
        <f t="array" ref="N5360">IFERROR(IF($B5360=N$1, ($A5360+$C5360) - MAX(IF($B$2:$B5359=$B5360, $A$2:$A5359+$C$2:$C5359)), "")*24*60, "")</f>
        <v/>
      </c>
      <c r="O5360" s="24" t="str" cm="1">
        <f t="array" ref="O5360">IFERROR(IF($B5360=O$1, ($A5360+$C5360) - MAX(IF($B$2:$B5359=$B5360, $A$2:$A5359+$C$2:$C5359)), "")*24*60, "")</f>
        <v/>
      </c>
      <c r="P5360" s="24" t="str" cm="1">
        <f t="array" ref="P5360">IFERROR(IF($B5360=P$1, ($A5360+$C5360) - MAX(IF($B$2:$B5359=$B5360, $A$2:$A5359+$C$2:$C5359)), "")*24*60, "")</f>
        <v/>
      </c>
      <c r="Q5360" s="24" t="str" cm="1">
        <f t="array" ref="Q5360">IFERROR(IF($B5360=Q$1, ($A5360+$C5360) - MAX(IF($B$2:$B5359=$B5360, $A$2:$A5359+$C$2:$C5359)), "")*24*60, "")</f>
        <v/>
      </c>
    </row>
    <row r="5361" spans="1:17" x14ac:dyDescent="0.2">
      <c r="A5361" s="12">
        <f t="shared" ref="A5361:C5361" si="1255">A5360</f>
        <v>45983</v>
      </c>
      <c r="B5361" s="5" t="str">
        <f t="shared" si="1255"/>
        <v>Northern Cardinal</v>
      </c>
      <c r="C5361" s="6">
        <f t="shared" si="1255"/>
        <v>0.28194444444444444</v>
      </c>
      <c r="D5361" s="5"/>
      <c r="E5361" s="5"/>
      <c r="F5361" s="5" t="s">
        <v>8</v>
      </c>
      <c r="G5361" s="15" t="s">
        <v>9</v>
      </c>
      <c r="H5361" s="24">
        <f t="shared" si="1234"/>
        <v>0</v>
      </c>
      <c r="I5361" s="24" cm="1">
        <f t="array" ref="I5361">IFERROR(IF($B5361=I$1, ($A5361+$C5361) - MAX(IF($B$2:$B5360=$B5361, $A$2:$A5360+$C$2:$C5360)), "")*24*60, "")</f>
        <v>0</v>
      </c>
      <c r="J5361" s="24" t="str" cm="1">
        <f t="array" ref="J5361">IFERROR(IF($B5361=J$1, ($A5361+$C5361) - MAX(IF($B$2:$B5360=$B5361, $A$2:$A5360+$C$2:$C5360)), "")*24*60, "")</f>
        <v/>
      </c>
      <c r="K5361" s="24" t="str" cm="1">
        <f t="array" ref="K5361">IFERROR(IF($B5361=K$1, ($A5361+$C5361) - MAX(IF($B$2:$B5360=$B5361, $A$2:$A5360+$C$2:$C5360)), "")*24*60, "")</f>
        <v/>
      </c>
      <c r="L5361" s="24" t="str" cm="1">
        <f t="array" ref="L5361">IFERROR(IF($B5361=L$1, ($A5361+$C5361) - MAX(IF($B$2:$B5360=$B5361, $A$2:$A5360+$C$2:$C5360)), "")*24*60, "")</f>
        <v/>
      </c>
      <c r="M5361" s="24" t="str" cm="1">
        <f t="array" ref="M5361">IFERROR(IF($B5361=M$1, ($A5361+$C5361) - MAX(IF($B$2:$B5360=$B5361, $A$2:$A5360+$C$2:$C5360)), "")*24*60, "")</f>
        <v/>
      </c>
      <c r="N5361" s="24" t="str" cm="1">
        <f t="array" ref="N5361">IFERROR(IF($B5361=N$1, ($A5361+$C5361) - MAX(IF($B$2:$B5360=$B5361, $A$2:$A5360+$C$2:$C5360)), "")*24*60, "")</f>
        <v/>
      </c>
      <c r="O5361" s="24" t="str" cm="1">
        <f t="array" ref="O5361">IFERROR(IF($B5361=O$1, ($A5361+$C5361) - MAX(IF($B$2:$B5360=$B5361, $A$2:$A5360+$C$2:$C5360)), "")*24*60, "")</f>
        <v/>
      </c>
      <c r="P5361" s="24" t="str" cm="1">
        <f t="array" ref="P5361">IFERROR(IF($B5361=P$1, ($A5361+$C5361) - MAX(IF($B$2:$B5360=$B5361, $A$2:$A5360+$C$2:$C5360)), "")*24*60, "")</f>
        <v/>
      </c>
      <c r="Q5361" s="24" t="str" cm="1">
        <f t="array" ref="Q5361">IFERROR(IF($B5361=Q$1, ($A5361+$C5361) - MAX(IF($B$2:$B5360=$B5361, $A$2:$A5360+$C$2:$C5360)), "")*24*60, "")</f>
        <v/>
      </c>
    </row>
    <row r="5362" spans="1:17" x14ac:dyDescent="0.2">
      <c r="A5362" s="12">
        <f t="shared" ref="A5362:C5362" si="1256">A5361</f>
        <v>45983</v>
      </c>
      <c r="B5362" s="5" t="str">
        <f t="shared" si="1256"/>
        <v>Northern Cardinal</v>
      </c>
      <c r="C5362" s="6">
        <f t="shared" si="1256"/>
        <v>0.28194444444444444</v>
      </c>
      <c r="D5362" s="5"/>
      <c r="E5362" s="5"/>
      <c r="F5362" s="5" t="s">
        <v>8</v>
      </c>
      <c r="G5362" s="15" t="s">
        <v>9</v>
      </c>
      <c r="H5362" s="24">
        <f t="shared" si="1234"/>
        <v>0</v>
      </c>
      <c r="I5362" s="24" cm="1">
        <f t="array" ref="I5362">IFERROR(IF($B5362=I$1, ($A5362+$C5362) - MAX(IF($B$2:$B5361=$B5362, $A$2:$A5361+$C$2:$C5361)), "")*24*60, "")</f>
        <v>0</v>
      </c>
      <c r="J5362" s="24" t="str" cm="1">
        <f t="array" ref="J5362">IFERROR(IF($B5362=J$1, ($A5362+$C5362) - MAX(IF($B$2:$B5361=$B5362, $A$2:$A5361+$C$2:$C5361)), "")*24*60, "")</f>
        <v/>
      </c>
      <c r="K5362" s="24" t="str" cm="1">
        <f t="array" ref="K5362">IFERROR(IF($B5362=K$1, ($A5362+$C5362) - MAX(IF($B$2:$B5361=$B5362, $A$2:$A5361+$C$2:$C5361)), "")*24*60, "")</f>
        <v/>
      </c>
      <c r="L5362" s="24" t="str" cm="1">
        <f t="array" ref="L5362">IFERROR(IF($B5362=L$1, ($A5362+$C5362) - MAX(IF($B$2:$B5361=$B5362, $A$2:$A5361+$C$2:$C5361)), "")*24*60, "")</f>
        <v/>
      </c>
      <c r="M5362" s="24" t="str" cm="1">
        <f t="array" ref="M5362">IFERROR(IF($B5362=M$1, ($A5362+$C5362) - MAX(IF($B$2:$B5361=$B5362, $A$2:$A5361+$C$2:$C5361)), "")*24*60, "")</f>
        <v/>
      </c>
      <c r="N5362" s="24" t="str" cm="1">
        <f t="array" ref="N5362">IFERROR(IF($B5362=N$1, ($A5362+$C5362) - MAX(IF($B$2:$B5361=$B5362, $A$2:$A5361+$C$2:$C5361)), "")*24*60, "")</f>
        <v/>
      </c>
      <c r="O5362" s="24" t="str" cm="1">
        <f t="array" ref="O5362">IFERROR(IF($B5362=O$1, ($A5362+$C5362) - MAX(IF($B$2:$B5361=$B5362, $A$2:$A5361+$C$2:$C5361)), "")*24*60, "")</f>
        <v/>
      </c>
      <c r="P5362" s="24" t="str" cm="1">
        <f t="array" ref="P5362">IFERROR(IF($B5362=P$1, ($A5362+$C5362) - MAX(IF($B$2:$B5361=$B5362, $A$2:$A5361+$C$2:$C5361)), "")*24*60, "")</f>
        <v/>
      </c>
      <c r="Q5362" s="24" t="str" cm="1">
        <f t="array" ref="Q5362">IFERROR(IF($B5362=Q$1, ($A5362+$C5362) - MAX(IF($B$2:$B5361=$B5362, $A$2:$A5361+$C$2:$C5361)), "")*24*60, "")</f>
        <v/>
      </c>
    </row>
    <row r="5363" spans="1:17" x14ac:dyDescent="0.2">
      <c r="A5363" s="12">
        <f t="shared" ref="A5363:C5363" si="1257">A5362</f>
        <v>45983</v>
      </c>
      <c r="B5363" s="5" t="str">
        <f t="shared" si="1257"/>
        <v>Northern Cardinal</v>
      </c>
      <c r="C5363" s="6">
        <f t="shared" si="1257"/>
        <v>0.28194444444444444</v>
      </c>
      <c r="D5363" s="5"/>
      <c r="E5363" s="5"/>
      <c r="F5363" s="5" t="s">
        <v>8</v>
      </c>
      <c r="G5363" s="15" t="s">
        <v>9</v>
      </c>
      <c r="H5363" s="24">
        <f t="shared" si="1234"/>
        <v>0</v>
      </c>
      <c r="I5363" s="24" cm="1">
        <f t="array" ref="I5363">IFERROR(IF($B5363=I$1, ($A5363+$C5363) - MAX(IF($B$2:$B5362=$B5363, $A$2:$A5362+$C$2:$C5362)), "")*24*60, "")</f>
        <v>0</v>
      </c>
      <c r="J5363" s="24" t="str" cm="1">
        <f t="array" ref="J5363">IFERROR(IF($B5363=J$1, ($A5363+$C5363) - MAX(IF($B$2:$B5362=$B5363, $A$2:$A5362+$C$2:$C5362)), "")*24*60, "")</f>
        <v/>
      </c>
      <c r="K5363" s="24" t="str" cm="1">
        <f t="array" ref="K5363">IFERROR(IF($B5363=K$1, ($A5363+$C5363) - MAX(IF($B$2:$B5362=$B5363, $A$2:$A5362+$C$2:$C5362)), "")*24*60, "")</f>
        <v/>
      </c>
      <c r="L5363" s="24" t="str" cm="1">
        <f t="array" ref="L5363">IFERROR(IF($B5363=L$1, ($A5363+$C5363) - MAX(IF($B$2:$B5362=$B5363, $A$2:$A5362+$C$2:$C5362)), "")*24*60, "")</f>
        <v/>
      </c>
      <c r="M5363" s="24" t="str" cm="1">
        <f t="array" ref="M5363">IFERROR(IF($B5363=M$1, ($A5363+$C5363) - MAX(IF($B$2:$B5362=$B5363, $A$2:$A5362+$C$2:$C5362)), "")*24*60, "")</f>
        <v/>
      </c>
      <c r="N5363" s="24" t="str" cm="1">
        <f t="array" ref="N5363">IFERROR(IF($B5363=N$1, ($A5363+$C5363) - MAX(IF($B$2:$B5362=$B5363, $A$2:$A5362+$C$2:$C5362)), "")*24*60, "")</f>
        <v/>
      </c>
      <c r="O5363" s="24" t="str" cm="1">
        <f t="array" ref="O5363">IFERROR(IF($B5363=O$1, ($A5363+$C5363) - MAX(IF($B$2:$B5362=$B5363, $A$2:$A5362+$C$2:$C5362)), "")*24*60, "")</f>
        <v/>
      </c>
      <c r="P5363" s="24" t="str" cm="1">
        <f t="array" ref="P5363">IFERROR(IF($B5363=P$1, ($A5363+$C5363) - MAX(IF($B$2:$B5362=$B5363, $A$2:$A5362+$C$2:$C5362)), "")*24*60, "")</f>
        <v/>
      </c>
      <c r="Q5363" s="24" t="str" cm="1">
        <f t="array" ref="Q5363">IFERROR(IF($B5363=Q$1, ($A5363+$C5363) - MAX(IF($B$2:$B5362=$B5363, $A$2:$A5362+$C$2:$C5362)), "")*24*60, "")</f>
        <v/>
      </c>
    </row>
    <row r="5364" spans="1:17" x14ac:dyDescent="0.2">
      <c r="A5364" s="12">
        <f t="shared" ref="A5364:C5364" si="1258">A5363</f>
        <v>45983</v>
      </c>
      <c r="B5364" s="5" t="str">
        <f t="shared" si="1258"/>
        <v>Northern Cardinal</v>
      </c>
      <c r="C5364" s="6">
        <f t="shared" si="1258"/>
        <v>0.28194444444444444</v>
      </c>
      <c r="D5364" s="5"/>
      <c r="E5364" s="5"/>
      <c r="F5364" s="5" t="s">
        <v>8</v>
      </c>
      <c r="G5364" s="15" t="s">
        <v>9</v>
      </c>
      <c r="H5364" s="24">
        <f t="shared" si="1234"/>
        <v>0</v>
      </c>
      <c r="I5364" s="24" cm="1">
        <f t="array" ref="I5364">IFERROR(IF($B5364=I$1, ($A5364+$C5364) - MAX(IF($B$2:$B5363=$B5364, $A$2:$A5363+$C$2:$C5363)), "")*24*60, "")</f>
        <v>0</v>
      </c>
      <c r="J5364" s="24" t="str" cm="1">
        <f t="array" ref="J5364">IFERROR(IF($B5364=J$1, ($A5364+$C5364) - MAX(IF($B$2:$B5363=$B5364, $A$2:$A5363+$C$2:$C5363)), "")*24*60, "")</f>
        <v/>
      </c>
      <c r="K5364" s="24" t="str" cm="1">
        <f t="array" ref="K5364">IFERROR(IF($B5364=K$1, ($A5364+$C5364) - MAX(IF($B$2:$B5363=$B5364, $A$2:$A5363+$C$2:$C5363)), "")*24*60, "")</f>
        <v/>
      </c>
      <c r="L5364" s="24" t="str" cm="1">
        <f t="array" ref="L5364">IFERROR(IF($B5364=L$1, ($A5364+$C5364) - MAX(IF($B$2:$B5363=$B5364, $A$2:$A5363+$C$2:$C5363)), "")*24*60, "")</f>
        <v/>
      </c>
      <c r="M5364" s="24" t="str" cm="1">
        <f t="array" ref="M5364">IFERROR(IF($B5364=M$1, ($A5364+$C5364) - MAX(IF($B$2:$B5363=$B5364, $A$2:$A5363+$C$2:$C5363)), "")*24*60, "")</f>
        <v/>
      </c>
      <c r="N5364" s="24" t="str" cm="1">
        <f t="array" ref="N5364">IFERROR(IF($B5364=N$1, ($A5364+$C5364) - MAX(IF($B$2:$B5363=$B5364, $A$2:$A5363+$C$2:$C5363)), "")*24*60, "")</f>
        <v/>
      </c>
      <c r="O5364" s="24" t="str" cm="1">
        <f t="array" ref="O5364">IFERROR(IF($B5364=O$1, ($A5364+$C5364) - MAX(IF($B$2:$B5363=$B5364, $A$2:$A5363+$C$2:$C5363)), "")*24*60, "")</f>
        <v/>
      </c>
      <c r="P5364" s="24" t="str" cm="1">
        <f t="array" ref="P5364">IFERROR(IF($B5364=P$1, ($A5364+$C5364) - MAX(IF($B$2:$B5363=$B5364, $A$2:$A5363+$C$2:$C5363)), "")*24*60, "")</f>
        <v/>
      </c>
      <c r="Q5364" s="24" t="str" cm="1">
        <f t="array" ref="Q5364">IFERROR(IF($B5364=Q$1, ($A5364+$C5364) - MAX(IF($B$2:$B5363=$B5364, $A$2:$A5363+$C$2:$C5363)), "")*24*60, "")</f>
        <v/>
      </c>
    </row>
    <row r="5365" spans="1:17" x14ac:dyDescent="0.2">
      <c r="A5365" s="12">
        <f t="shared" ref="A5365:C5365" si="1259">A5364</f>
        <v>45983</v>
      </c>
      <c r="B5365" s="5" t="str">
        <f t="shared" si="1259"/>
        <v>Northern Cardinal</v>
      </c>
      <c r="C5365" s="6">
        <f t="shared" si="1259"/>
        <v>0.28194444444444444</v>
      </c>
      <c r="D5365" s="5"/>
      <c r="E5365" s="5"/>
      <c r="F5365" s="5" t="s">
        <v>8</v>
      </c>
      <c r="G5365" s="15" t="s">
        <v>9</v>
      </c>
      <c r="H5365" s="24">
        <f t="shared" si="1234"/>
        <v>0</v>
      </c>
      <c r="I5365" s="24" cm="1">
        <f t="array" ref="I5365">IFERROR(IF($B5365=I$1, ($A5365+$C5365) - MAX(IF($B$2:$B5364=$B5365, $A$2:$A5364+$C$2:$C5364)), "")*24*60, "")</f>
        <v>0</v>
      </c>
      <c r="J5365" s="24" t="str" cm="1">
        <f t="array" ref="J5365">IFERROR(IF($B5365=J$1, ($A5365+$C5365) - MAX(IF($B$2:$B5364=$B5365, $A$2:$A5364+$C$2:$C5364)), "")*24*60, "")</f>
        <v/>
      </c>
      <c r="K5365" s="24" t="str" cm="1">
        <f t="array" ref="K5365">IFERROR(IF($B5365=K$1, ($A5365+$C5365) - MAX(IF($B$2:$B5364=$B5365, $A$2:$A5364+$C$2:$C5364)), "")*24*60, "")</f>
        <v/>
      </c>
      <c r="L5365" s="24" t="str" cm="1">
        <f t="array" ref="L5365">IFERROR(IF($B5365=L$1, ($A5365+$C5365) - MAX(IF($B$2:$B5364=$B5365, $A$2:$A5364+$C$2:$C5364)), "")*24*60, "")</f>
        <v/>
      </c>
      <c r="M5365" s="24" t="str" cm="1">
        <f t="array" ref="M5365">IFERROR(IF($B5365=M$1, ($A5365+$C5365) - MAX(IF($B$2:$B5364=$B5365, $A$2:$A5364+$C$2:$C5364)), "")*24*60, "")</f>
        <v/>
      </c>
      <c r="N5365" s="24" t="str" cm="1">
        <f t="array" ref="N5365">IFERROR(IF($B5365=N$1, ($A5365+$C5365) - MAX(IF($B$2:$B5364=$B5365, $A$2:$A5364+$C$2:$C5364)), "")*24*60, "")</f>
        <v/>
      </c>
      <c r="O5365" s="24" t="str" cm="1">
        <f t="array" ref="O5365">IFERROR(IF($B5365=O$1, ($A5365+$C5365) - MAX(IF($B$2:$B5364=$B5365, $A$2:$A5364+$C$2:$C5364)), "")*24*60, "")</f>
        <v/>
      </c>
      <c r="P5365" s="24" t="str" cm="1">
        <f t="array" ref="P5365">IFERROR(IF($B5365=P$1, ($A5365+$C5365) - MAX(IF($B$2:$B5364=$B5365, $A$2:$A5364+$C$2:$C5364)), "")*24*60, "")</f>
        <v/>
      </c>
      <c r="Q5365" s="24" t="str" cm="1">
        <f t="array" ref="Q5365">IFERROR(IF($B5365=Q$1, ($A5365+$C5365) - MAX(IF($B$2:$B5364=$B5365, $A$2:$A5364+$C$2:$C5364)), "")*24*60, "")</f>
        <v/>
      </c>
    </row>
    <row r="5366" spans="1:17" x14ac:dyDescent="0.2">
      <c r="A5366" s="12">
        <f t="shared" ref="A5366:C5366" si="1260">A5365</f>
        <v>45983</v>
      </c>
      <c r="B5366" s="5" t="str">
        <f t="shared" si="1260"/>
        <v>Northern Cardinal</v>
      </c>
      <c r="C5366" s="6">
        <f t="shared" si="1260"/>
        <v>0.28194444444444444</v>
      </c>
      <c r="D5366" s="5"/>
      <c r="E5366" s="5"/>
      <c r="F5366" s="5" t="s">
        <v>8</v>
      </c>
      <c r="G5366" s="15" t="s">
        <v>9</v>
      </c>
      <c r="H5366" s="24">
        <f t="shared" si="1234"/>
        <v>0</v>
      </c>
      <c r="I5366" s="24" cm="1">
        <f t="array" ref="I5366">IFERROR(IF($B5366=I$1, ($A5366+$C5366) - MAX(IF($B$2:$B5365=$B5366, $A$2:$A5365+$C$2:$C5365)), "")*24*60, "")</f>
        <v>0</v>
      </c>
      <c r="J5366" s="24" t="str" cm="1">
        <f t="array" ref="J5366">IFERROR(IF($B5366=J$1, ($A5366+$C5366) - MAX(IF($B$2:$B5365=$B5366, $A$2:$A5365+$C$2:$C5365)), "")*24*60, "")</f>
        <v/>
      </c>
      <c r="K5366" s="24" t="str" cm="1">
        <f t="array" ref="K5366">IFERROR(IF($B5366=K$1, ($A5366+$C5366) - MAX(IF($B$2:$B5365=$B5366, $A$2:$A5365+$C$2:$C5365)), "")*24*60, "")</f>
        <v/>
      </c>
      <c r="L5366" s="24" t="str" cm="1">
        <f t="array" ref="L5366">IFERROR(IF($B5366=L$1, ($A5366+$C5366) - MAX(IF($B$2:$B5365=$B5366, $A$2:$A5365+$C$2:$C5365)), "")*24*60, "")</f>
        <v/>
      </c>
      <c r="M5366" s="24" t="str" cm="1">
        <f t="array" ref="M5366">IFERROR(IF($B5366=M$1, ($A5366+$C5366) - MAX(IF($B$2:$B5365=$B5366, $A$2:$A5365+$C$2:$C5365)), "")*24*60, "")</f>
        <v/>
      </c>
      <c r="N5366" s="24" t="str" cm="1">
        <f t="array" ref="N5366">IFERROR(IF($B5366=N$1, ($A5366+$C5366) - MAX(IF($B$2:$B5365=$B5366, $A$2:$A5365+$C$2:$C5365)), "")*24*60, "")</f>
        <v/>
      </c>
      <c r="O5366" s="24" t="str" cm="1">
        <f t="array" ref="O5366">IFERROR(IF($B5366=O$1, ($A5366+$C5366) - MAX(IF($B$2:$B5365=$B5366, $A$2:$A5365+$C$2:$C5365)), "")*24*60, "")</f>
        <v/>
      </c>
      <c r="P5366" s="24" t="str" cm="1">
        <f t="array" ref="P5366">IFERROR(IF($B5366=P$1, ($A5366+$C5366) - MAX(IF($B$2:$B5365=$B5366, $A$2:$A5365+$C$2:$C5365)), "")*24*60, "")</f>
        <v/>
      </c>
      <c r="Q5366" s="24" t="str" cm="1">
        <f t="array" ref="Q5366">IFERROR(IF($B5366=Q$1, ($A5366+$C5366) - MAX(IF($B$2:$B5365=$B5366, $A$2:$A5365+$C$2:$C5365)), "")*24*60, "")</f>
        <v/>
      </c>
    </row>
    <row r="5367" spans="1:17" x14ac:dyDescent="0.2">
      <c r="A5367" s="12">
        <f t="shared" ref="A5367:C5367" si="1261">A5366</f>
        <v>45983</v>
      </c>
      <c r="B5367" s="5" t="str">
        <f t="shared" si="1261"/>
        <v>Northern Cardinal</v>
      </c>
      <c r="C5367" s="6">
        <f t="shared" si="1261"/>
        <v>0.28194444444444444</v>
      </c>
      <c r="D5367" s="5"/>
      <c r="E5367" s="5"/>
      <c r="F5367" s="5" t="s">
        <v>8</v>
      </c>
      <c r="G5367" s="15" t="s">
        <v>9</v>
      </c>
      <c r="H5367" s="24">
        <f t="shared" si="1234"/>
        <v>0</v>
      </c>
      <c r="I5367" s="24" cm="1">
        <f t="array" ref="I5367">IFERROR(IF($B5367=I$1, ($A5367+$C5367) - MAX(IF($B$2:$B5366=$B5367, $A$2:$A5366+$C$2:$C5366)), "")*24*60, "")</f>
        <v>0</v>
      </c>
      <c r="J5367" s="24" t="str" cm="1">
        <f t="array" ref="J5367">IFERROR(IF($B5367=J$1, ($A5367+$C5367) - MAX(IF($B$2:$B5366=$B5367, $A$2:$A5366+$C$2:$C5366)), "")*24*60, "")</f>
        <v/>
      </c>
      <c r="K5367" s="24" t="str" cm="1">
        <f t="array" ref="K5367">IFERROR(IF($B5367=K$1, ($A5367+$C5367) - MAX(IF($B$2:$B5366=$B5367, $A$2:$A5366+$C$2:$C5366)), "")*24*60, "")</f>
        <v/>
      </c>
      <c r="L5367" s="24" t="str" cm="1">
        <f t="array" ref="L5367">IFERROR(IF($B5367=L$1, ($A5367+$C5367) - MAX(IF($B$2:$B5366=$B5367, $A$2:$A5366+$C$2:$C5366)), "")*24*60, "")</f>
        <v/>
      </c>
      <c r="M5367" s="24" t="str" cm="1">
        <f t="array" ref="M5367">IFERROR(IF($B5367=M$1, ($A5367+$C5367) - MAX(IF($B$2:$B5366=$B5367, $A$2:$A5366+$C$2:$C5366)), "")*24*60, "")</f>
        <v/>
      </c>
      <c r="N5367" s="24" t="str" cm="1">
        <f t="array" ref="N5367">IFERROR(IF($B5367=N$1, ($A5367+$C5367) - MAX(IF($B$2:$B5366=$B5367, $A$2:$A5366+$C$2:$C5366)), "")*24*60, "")</f>
        <v/>
      </c>
      <c r="O5367" s="24" t="str" cm="1">
        <f t="array" ref="O5367">IFERROR(IF($B5367=O$1, ($A5367+$C5367) - MAX(IF($B$2:$B5366=$B5367, $A$2:$A5366+$C$2:$C5366)), "")*24*60, "")</f>
        <v/>
      </c>
      <c r="P5367" s="24" t="str" cm="1">
        <f t="array" ref="P5367">IFERROR(IF($B5367=P$1, ($A5367+$C5367) - MAX(IF($B$2:$B5366=$B5367, $A$2:$A5366+$C$2:$C5366)), "")*24*60, "")</f>
        <v/>
      </c>
      <c r="Q5367" s="24" t="str" cm="1">
        <f t="array" ref="Q5367">IFERROR(IF($B5367=Q$1, ($A5367+$C5367) - MAX(IF($B$2:$B5366=$B5367, $A$2:$A5366+$C$2:$C5366)), "")*24*60, "")</f>
        <v/>
      </c>
    </row>
    <row r="5368" spans="1:17" x14ac:dyDescent="0.2">
      <c r="A5368" s="12">
        <f t="shared" ref="A5368:C5368" si="1262">A5367</f>
        <v>45983</v>
      </c>
      <c r="B5368" s="5" t="str">
        <f t="shared" si="1262"/>
        <v>Northern Cardinal</v>
      </c>
      <c r="C5368" s="6">
        <f t="shared" si="1262"/>
        <v>0.28194444444444444</v>
      </c>
      <c r="D5368" s="5"/>
      <c r="E5368" s="5"/>
      <c r="F5368" s="5" t="s">
        <v>8</v>
      </c>
      <c r="G5368" s="15" t="s">
        <v>9</v>
      </c>
      <c r="H5368" s="24">
        <f t="shared" si="1234"/>
        <v>0</v>
      </c>
      <c r="I5368" s="24" cm="1">
        <f t="array" ref="I5368">IFERROR(IF($B5368=I$1, ($A5368+$C5368) - MAX(IF($B$2:$B5367=$B5368, $A$2:$A5367+$C$2:$C5367)), "")*24*60, "")</f>
        <v>0</v>
      </c>
      <c r="J5368" s="24" t="str" cm="1">
        <f t="array" ref="J5368">IFERROR(IF($B5368=J$1, ($A5368+$C5368) - MAX(IF($B$2:$B5367=$B5368, $A$2:$A5367+$C$2:$C5367)), "")*24*60, "")</f>
        <v/>
      </c>
      <c r="K5368" s="24" t="str" cm="1">
        <f t="array" ref="K5368">IFERROR(IF($B5368=K$1, ($A5368+$C5368) - MAX(IF($B$2:$B5367=$B5368, $A$2:$A5367+$C$2:$C5367)), "")*24*60, "")</f>
        <v/>
      </c>
      <c r="L5368" s="24" t="str" cm="1">
        <f t="array" ref="L5368">IFERROR(IF($B5368=L$1, ($A5368+$C5368) - MAX(IF($B$2:$B5367=$B5368, $A$2:$A5367+$C$2:$C5367)), "")*24*60, "")</f>
        <v/>
      </c>
      <c r="M5368" s="24" t="str" cm="1">
        <f t="array" ref="M5368">IFERROR(IF($B5368=M$1, ($A5368+$C5368) - MAX(IF($B$2:$B5367=$B5368, $A$2:$A5367+$C$2:$C5367)), "")*24*60, "")</f>
        <v/>
      </c>
      <c r="N5368" s="24" t="str" cm="1">
        <f t="array" ref="N5368">IFERROR(IF($B5368=N$1, ($A5368+$C5368) - MAX(IF($B$2:$B5367=$B5368, $A$2:$A5367+$C$2:$C5367)), "")*24*60, "")</f>
        <v/>
      </c>
      <c r="O5368" s="24" t="str" cm="1">
        <f t="array" ref="O5368">IFERROR(IF($B5368=O$1, ($A5368+$C5368) - MAX(IF($B$2:$B5367=$B5368, $A$2:$A5367+$C$2:$C5367)), "")*24*60, "")</f>
        <v/>
      </c>
      <c r="P5368" s="24" t="str" cm="1">
        <f t="array" ref="P5368">IFERROR(IF($B5368=P$1, ($A5368+$C5368) - MAX(IF($B$2:$B5367=$B5368, $A$2:$A5367+$C$2:$C5367)), "")*24*60, "")</f>
        <v/>
      </c>
      <c r="Q5368" s="24" t="str" cm="1">
        <f t="array" ref="Q5368">IFERROR(IF($B5368=Q$1, ($A5368+$C5368) - MAX(IF($B$2:$B5367=$B5368, $A$2:$A5367+$C$2:$C5367)), "")*24*60, "")</f>
        <v/>
      </c>
    </row>
    <row r="5369" spans="1:17" x14ac:dyDescent="0.2">
      <c r="A5369" s="12">
        <f t="shared" ref="A5369:C5369" si="1263">A5368</f>
        <v>45983</v>
      </c>
      <c r="B5369" s="5" t="str">
        <f t="shared" si="1263"/>
        <v>Northern Cardinal</v>
      </c>
      <c r="C5369" s="6">
        <f t="shared" si="1263"/>
        <v>0.28194444444444444</v>
      </c>
      <c r="D5369" s="5"/>
      <c r="E5369" s="5"/>
      <c r="F5369" s="5" t="s">
        <v>8</v>
      </c>
      <c r="G5369" s="15" t="s">
        <v>9</v>
      </c>
      <c r="H5369" s="24">
        <f t="shared" si="1234"/>
        <v>0</v>
      </c>
      <c r="I5369" s="24" cm="1">
        <f t="array" ref="I5369">IFERROR(IF($B5369=I$1, ($A5369+$C5369) - MAX(IF($B$2:$B5368=$B5369, $A$2:$A5368+$C$2:$C5368)), "")*24*60, "")</f>
        <v>0</v>
      </c>
      <c r="J5369" s="24" t="str" cm="1">
        <f t="array" ref="J5369">IFERROR(IF($B5369=J$1, ($A5369+$C5369) - MAX(IF($B$2:$B5368=$B5369, $A$2:$A5368+$C$2:$C5368)), "")*24*60, "")</f>
        <v/>
      </c>
      <c r="K5369" s="24" t="str" cm="1">
        <f t="array" ref="K5369">IFERROR(IF($B5369=K$1, ($A5369+$C5369) - MAX(IF($B$2:$B5368=$B5369, $A$2:$A5368+$C$2:$C5368)), "")*24*60, "")</f>
        <v/>
      </c>
      <c r="L5369" s="24" t="str" cm="1">
        <f t="array" ref="L5369">IFERROR(IF($B5369=L$1, ($A5369+$C5369) - MAX(IF($B$2:$B5368=$B5369, $A$2:$A5368+$C$2:$C5368)), "")*24*60, "")</f>
        <v/>
      </c>
      <c r="M5369" s="24" t="str" cm="1">
        <f t="array" ref="M5369">IFERROR(IF($B5369=M$1, ($A5369+$C5369) - MAX(IF($B$2:$B5368=$B5369, $A$2:$A5368+$C$2:$C5368)), "")*24*60, "")</f>
        <v/>
      </c>
      <c r="N5369" s="24" t="str" cm="1">
        <f t="array" ref="N5369">IFERROR(IF($B5369=N$1, ($A5369+$C5369) - MAX(IF($B$2:$B5368=$B5369, $A$2:$A5368+$C$2:$C5368)), "")*24*60, "")</f>
        <v/>
      </c>
      <c r="O5369" s="24" t="str" cm="1">
        <f t="array" ref="O5369">IFERROR(IF($B5369=O$1, ($A5369+$C5369) - MAX(IF($B$2:$B5368=$B5369, $A$2:$A5368+$C$2:$C5368)), "")*24*60, "")</f>
        <v/>
      </c>
      <c r="P5369" s="24" t="str" cm="1">
        <f t="array" ref="P5369">IFERROR(IF($B5369=P$1, ($A5369+$C5369) - MAX(IF($B$2:$B5368=$B5369, $A$2:$A5368+$C$2:$C5368)), "")*24*60, "")</f>
        <v/>
      </c>
      <c r="Q5369" s="24" t="str" cm="1">
        <f t="array" ref="Q5369">IFERROR(IF($B5369=Q$1, ($A5369+$C5369) - MAX(IF($B$2:$B5368=$B5369, $A$2:$A5368+$C$2:$C5368)), "")*24*60, "")</f>
        <v/>
      </c>
    </row>
    <row r="5370" spans="1:17" x14ac:dyDescent="0.2">
      <c r="A5370" s="12">
        <f t="shared" ref="A5370:C5370" si="1264">A5369</f>
        <v>45983</v>
      </c>
      <c r="B5370" s="5" t="str">
        <f t="shared" si="1264"/>
        <v>Northern Cardinal</v>
      </c>
      <c r="C5370" s="6">
        <f t="shared" si="1264"/>
        <v>0.28194444444444444</v>
      </c>
      <c r="D5370" s="5"/>
      <c r="E5370" s="5"/>
      <c r="F5370" s="5" t="s">
        <v>8</v>
      </c>
      <c r="G5370" s="15" t="s">
        <v>9</v>
      </c>
      <c r="H5370" s="24">
        <f t="shared" si="1234"/>
        <v>0</v>
      </c>
      <c r="I5370" s="24" cm="1">
        <f t="array" ref="I5370">IFERROR(IF($B5370=I$1, ($A5370+$C5370) - MAX(IF($B$2:$B5369=$B5370, $A$2:$A5369+$C$2:$C5369)), "")*24*60, "")</f>
        <v>0</v>
      </c>
      <c r="J5370" s="24" t="str" cm="1">
        <f t="array" ref="J5370">IFERROR(IF($B5370=J$1, ($A5370+$C5370) - MAX(IF($B$2:$B5369=$B5370, $A$2:$A5369+$C$2:$C5369)), "")*24*60, "")</f>
        <v/>
      </c>
      <c r="K5370" s="24" t="str" cm="1">
        <f t="array" ref="K5370">IFERROR(IF($B5370=K$1, ($A5370+$C5370) - MAX(IF($B$2:$B5369=$B5370, $A$2:$A5369+$C$2:$C5369)), "")*24*60, "")</f>
        <v/>
      </c>
      <c r="L5370" s="24" t="str" cm="1">
        <f t="array" ref="L5370">IFERROR(IF($B5370=L$1, ($A5370+$C5370) - MAX(IF($B$2:$B5369=$B5370, $A$2:$A5369+$C$2:$C5369)), "")*24*60, "")</f>
        <v/>
      </c>
      <c r="M5370" s="24" t="str" cm="1">
        <f t="array" ref="M5370">IFERROR(IF($B5370=M$1, ($A5370+$C5370) - MAX(IF($B$2:$B5369=$B5370, $A$2:$A5369+$C$2:$C5369)), "")*24*60, "")</f>
        <v/>
      </c>
      <c r="N5370" s="24" t="str" cm="1">
        <f t="array" ref="N5370">IFERROR(IF($B5370=N$1, ($A5370+$C5370) - MAX(IF($B$2:$B5369=$B5370, $A$2:$A5369+$C$2:$C5369)), "")*24*60, "")</f>
        <v/>
      </c>
      <c r="O5370" s="24" t="str" cm="1">
        <f t="array" ref="O5370">IFERROR(IF($B5370=O$1, ($A5370+$C5370) - MAX(IF($B$2:$B5369=$B5370, $A$2:$A5369+$C$2:$C5369)), "")*24*60, "")</f>
        <v/>
      </c>
      <c r="P5370" s="24" t="str" cm="1">
        <f t="array" ref="P5370">IFERROR(IF($B5370=P$1, ($A5370+$C5370) - MAX(IF($B$2:$B5369=$B5370, $A$2:$A5369+$C$2:$C5369)), "")*24*60, "")</f>
        <v/>
      </c>
      <c r="Q5370" s="24" t="str" cm="1">
        <f t="array" ref="Q5370">IFERROR(IF($B5370=Q$1, ($A5370+$C5370) - MAX(IF($B$2:$B5369=$B5370, $A$2:$A5369+$C$2:$C5369)), "")*24*60, "")</f>
        <v/>
      </c>
    </row>
    <row r="5371" spans="1:17" x14ac:dyDescent="0.2">
      <c r="A5371" s="12">
        <f t="shared" ref="A5371:C5371" si="1265">A5370</f>
        <v>45983</v>
      </c>
      <c r="B5371" s="5" t="str">
        <f t="shared" si="1265"/>
        <v>Northern Cardinal</v>
      </c>
      <c r="C5371" s="6">
        <f t="shared" si="1265"/>
        <v>0.28194444444444444</v>
      </c>
      <c r="D5371" s="5"/>
      <c r="E5371" s="5"/>
      <c r="F5371" s="5" t="s">
        <v>8</v>
      </c>
      <c r="G5371" s="15" t="s">
        <v>9</v>
      </c>
      <c r="H5371" s="24">
        <f t="shared" si="1234"/>
        <v>0</v>
      </c>
      <c r="I5371" s="24" cm="1">
        <f t="array" ref="I5371">IFERROR(IF($B5371=I$1, ($A5371+$C5371) - MAX(IF($B$2:$B5370=$B5371, $A$2:$A5370+$C$2:$C5370)), "")*24*60, "")</f>
        <v>0</v>
      </c>
      <c r="J5371" s="24" t="str" cm="1">
        <f t="array" ref="J5371">IFERROR(IF($B5371=J$1, ($A5371+$C5371) - MAX(IF($B$2:$B5370=$B5371, $A$2:$A5370+$C$2:$C5370)), "")*24*60, "")</f>
        <v/>
      </c>
      <c r="K5371" s="24" t="str" cm="1">
        <f t="array" ref="K5371">IFERROR(IF($B5371=K$1, ($A5371+$C5371) - MAX(IF($B$2:$B5370=$B5371, $A$2:$A5370+$C$2:$C5370)), "")*24*60, "")</f>
        <v/>
      </c>
      <c r="L5371" s="24" t="str" cm="1">
        <f t="array" ref="L5371">IFERROR(IF($B5371=L$1, ($A5371+$C5371) - MAX(IF($B$2:$B5370=$B5371, $A$2:$A5370+$C$2:$C5370)), "")*24*60, "")</f>
        <v/>
      </c>
      <c r="M5371" s="24" t="str" cm="1">
        <f t="array" ref="M5371">IFERROR(IF($B5371=M$1, ($A5371+$C5371) - MAX(IF($B$2:$B5370=$B5371, $A$2:$A5370+$C$2:$C5370)), "")*24*60, "")</f>
        <v/>
      </c>
      <c r="N5371" s="24" t="str" cm="1">
        <f t="array" ref="N5371">IFERROR(IF($B5371=N$1, ($A5371+$C5371) - MAX(IF($B$2:$B5370=$B5371, $A$2:$A5370+$C$2:$C5370)), "")*24*60, "")</f>
        <v/>
      </c>
      <c r="O5371" s="24" t="str" cm="1">
        <f t="array" ref="O5371">IFERROR(IF($B5371=O$1, ($A5371+$C5371) - MAX(IF($B$2:$B5370=$B5371, $A$2:$A5370+$C$2:$C5370)), "")*24*60, "")</f>
        <v/>
      </c>
      <c r="P5371" s="24" t="str" cm="1">
        <f t="array" ref="P5371">IFERROR(IF($B5371=P$1, ($A5371+$C5371) - MAX(IF($B$2:$B5370=$B5371, $A$2:$A5370+$C$2:$C5370)), "")*24*60, "")</f>
        <v/>
      </c>
      <c r="Q5371" s="24" t="str" cm="1">
        <f t="array" ref="Q5371">IFERROR(IF($B5371=Q$1, ($A5371+$C5371) - MAX(IF($B$2:$B5370=$B5371, $A$2:$A5370+$C$2:$C5370)), "")*24*60, "")</f>
        <v/>
      </c>
    </row>
    <row r="5372" spans="1:17" x14ac:dyDescent="0.2">
      <c r="A5372" s="12">
        <f t="shared" ref="A5372:C5372" si="1266">A5371</f>
        <v>45983</v>
      </c>
      <c r="B5372" s="5" t="str">
        <f t="shared" si="1266"/>
        <v>Northern Cardinal</v>
      </c>
      <c r="C5372" s="6">
        <f t="shared" si="1266"/>
        <v>0.28194444444444444</v>
      </c>
      <c r="D5372" s="5"/>
      <c r="E5372" s="5"/>
      <c r="F5372" s="5" t="s">
        <v>8</v>
      </c>
      <c r="G5372" s="15" t="s">
        <v>9</v>
      </c>
      <c r="H5372" s="24">
        <f t="shared" si="1234"/>
        <v>0</v>
      </c>
      <c r="I5372" s="24" cm="1">
        <f t="array" ref="I5372">IFERROR(IF($B5372=I$1, ($A5372+$C5372) - MAX(IF($B$2:$B5371=$B5372, $A$2:$A5371+$C$2:$C5371)), "")*24*60, "")</f>
        <v>0</v>
      </c>
      <c r="J5372" s="24" t="str" cm="1">
        <f t="array" ref="J5372">IFERROR(IF($B5372=J$1, ($A5372+$C5372) - MAX(IF($B$2:$B5371=$B5372, $A$2:$A5371+$C$2:$C5371)), "")*24*60, "")</f>
        <v/>
      </c>
      <c r="K5372" s="24" t="str" cm="1">
        <f t="array" ref="K5372">IFERROR(IF($B5372=K$1, ($A5372+$C5372) - MAX(IF($B$2:$B5371=$B5372, $A$2:$A5371+$C$2:$C5371)), "")*24*60, "")</f>
        <v/>
      </c>
      <c r="L5372" s="24" t="str" cm="1">
        <f t="array" ref="L5372">IFERROR(IF($B5372=L$1, ($A5372+$C5372) - MAX(IF($B$2:$B5371=$B5372, $A$2:$A5371+$C$2:$C5371)), "")*24*60, "")</f>
        <v/>
      </c>
      <c r="M5372" s="24" t="str" cm="1">
        <f t="array" ref="M5372">IFERROR(IF($B5372=M$1, ($A5372+$C5372) - MAX(IF($B$2:$B5371=$B5372, $A$2:$A5371+$C$2:$C5371)), "")*24*60, "")</f>
        <v/>
      </c>
      <c r="N5372" s="24" t="str" cm="1">
        <f t="array" ref="N5372">IFERROR(IF($B5372=N$1, ($A5372+$C5372) - MAX(IF($B$2:$B5371=$B5372, $A$2:$A5371+$C$2:$C5371)), "")*24*60, "")</f>
        <v/>
      </c>
      <c r="O5372" s="24" t="str" cm="1">
        <f t="array" ref="O5372">IFERROR(IF($B5372=O$1, ($A5372+$C5372) - MAX(IF($B$2:$B5371=$B5372, $A$2:$A5371+$C$2:$C5371)), "")*24*60, "")</f>
        <v/>
      </c>
      <c r="P5372" s="24" t="str" cm="1">
        <f t="array" ref="P5372">IFERROR(IF($B5372=P$1, ($A5372+$C5372) - MAX(IF($B$2:$B5371=$B5372, $A$2:$A5371+$C$2:$C5371)), "")*24*60, "")</f>
        <v/>
      </c>
      <c r="Q5372" s="24" t="str" cm="1">
        <f t="array" ref="Q5372">IFERROR(IF($B5372=Q$1, ($A5372+$C5372) - MAX(IF($B$2:$B5371=$B5372, $A$2:$A5371+$C$2:$C5371)), "")*24*60, "")</f>
        <v/>
      </c>
    </row>
    <row r="5373" spans="1:17" x14ac:dyDescent="0.2">
      <c r="A5373" s="12">
        <f t="shared" ref="A5373:C5373" si="1267">A5372</f>
        <v>45983</v>
      </c>
      <c r="B5373" s="5" t="str">
        <f t="shared" si="1267"/>
        <v>Northern Cardinal</v>
      </c>
      <c r="C5373" s="6">
        <f t="shared" si="1267"/>
        <v>0.28194444444444444</v>
      </c>
      <c r="D5373" s="5"/>
      <c r="E5373" s="5"/>
      <c r="F5373" s="5" t="s">
        <v>8</v>
      </c>
      <c r="G5373" s="15" t="s">
        <v>9</v>
      </c>
      <c r="H5373" s="24">
        <f t="shared" si="1234"/>
        <v>0</v>
      </c>
      <c r="I5373" s="24" cm="1">
        <f t="array" ref="I5373">IFERROR(IF($B5373=I$1, ($A5373+$C5373) - MAX(IF($B$2:$B5372=$B5373, $A$2:$A5372+$C$2:$C5372)), "")*24*60, "")</f>
        <v>0</v>
      </c>
      <c r="J5373" s="24" t="str" cm="1">
        <f t="array" ref="J5373">IFERROR(IF($B5373=J$1, ($A5373+$C5373) - MAX(IF($B$2:$B5372=$B5373, $A$2:$A5372+$C$2:$C5372)), "")*24*60, "")</f>
        <v/>
      </c>
      <c r="K5373" s="24" t="str" cm="1">
        <f t="array" ref="K5373">IFERROR(IF($B5373=K$1, ($A5373+$C5373) - MAX(IF($B$2:$B5372=$B5373, $A$2:$A5372+$C$2:$C5372)), "")*24*60, "")</f>
        <v/>
      </c>
      <c r="L5373" s="24" t="str" cm="1">
        <f t="array" ref="L5373">IFERROR(IF($B5373=L$1, ($A5373+$C5373) - MAX(IF($B$2:$B5372=$B5373, $A$2:$A5372+$C$2:$C5372)), "")*24*60, "")</f>
        <v/>
      </c>
      <c r="M5373" s="24" t="str" cm="1">
        <f t="array" ref="M5373">IFERROR(IF($B5373=M$1, ($A5373+$C5373) - MAX(IF($B$2:$B5372=$B5373, $A$2:$A5372+$C$2:$C5372)), "")*24*60, "")</f>
        <v/>
      </c>
      <c r="N5373" s="24" t="str" cm="1">
        <f t="array" ref="N5373">IFERROR(IF($B5373=N$1, ($A5373+$C5373) - MAX(IF($B$2:$B5372=$B5373, $A$2:$A5372+$C$2:$C5372)), "")*24*60, "")</f>
        <v/>
      </c>
      <c r="O5373" s="24" t="str" cm="1">
        <f t="array" ref="O5373">IFERROR(IF($B5373=O$1, ($A5373+$C5373) - MAX(IF($B$2:$B5372=$B5373, $A$2:$A5372+$C$2:$C5372)), "")*24*60, "")</f>
        <v/>
      </c>
      <c r="P5373" s="24" t="str" cm="1">
        <f t="array" ref="P5373">IFERROR(IF($B5373=P$1, ($A5373+$C5373) - MAX(IF($B$2:$B5372=$B5373, $A$2:$A5372+$C$2:$C5372)), "")*24*60, "")</f>
        <v/>
      </c>
      <c r="Q5373" s="24" t="str" cm="1">
        <f t="array" ref="Q5373">IFERROR(IF($B5373=Q$1, ($A5373+$C5373) - MAX(IF($B$2:$B5372=$B5373, $A$2:$A5372+$C$2:$C5372)), "")*24*60, "")</f>
        <v/>
      </c>
    </row>
    <row r="5374" spans="1:17" x14ac:dyDescent="0.2">
      <c r="A5374" s="12">
        <f t="shared" ref="A5374:C5374" si="1268">A5373</f>
        <v>45983</v>
      </c>
      <c r="B5374" s="5" t="str">
        <f t="shared" si="1268"/>
        <v>Northern Cardinal</v>
      </c>
      <c r="C5374" s="6">
        <f t="shared" si="1268"/>
        <v>0.28194444444444444</v>
      </c>
      <c r="D5374" s="5"/>
      <c r="E5374" s="5"/>
      <c r="F5374" s="5" t="s">
        <v>8</v>
      </c>
      <c r="G5374" s="15" t="s">
        <v>9</v>
      </c>
      <c r="H5374" s="24">
        <f t="shared" si="1234"/>
        <v>0</v>
      </c>
      <c r="I5374" s="24" cm="1">
        <f t="array" ref="I5374">IFERROR(IF($B5374=I$1, ($A5374+$C5374) - MAX(IF($B$2:$B5373=$B5374, $A$2:$A5373+$C$2:$C5373)), "")*24*60, "")</f>
        <v>0</v>
      </c>
      <c r="J5374" s="24" t="str" cm="1">
        <f t="array" ref="J5374">IFERROR(IF($B5374=J$1, ($A5374+$C5374) - MAX(IF($B$2:$B5373=$B5374, $A$2:$A5373+$C$2:$C5373)), "")*24*60, "")</f>
        <v/>
      </c>
      <c r="K5374" s="24" t="str" cm="1">
        <f t="array" ref="K5374">IFERROR(IF($B5374=K$1, ($A5374+$C5374) - MAX(IF($B$2:$B5373=$B5374, $A$2:$A5373+$C$2:$C5373)), "")*24*60, "")</f>
        <v/>
      </c>
      <c r="L5374" s="24" t="str" cm="1">
        <f t="array" ref="L5374">IFERROR(IF($B5374=L$1, ($A5374+$C5374) - MAX(IF($B$2:$B5373=$B5374, $A$2:$A5373+$C$2:$C5373)), "")*24*60, "")</f>
        <v/>
      </c>
      <c r="M5374" s="24" t="str" cm="1">
        <f t="array" ref="M5374">IFERROR(IF($B5374=M$1, ($A5374+$C5374) - MAX(IF($B$2:$B5373=$B5374, $A$2:$A5373+$C$2:$C5373)), "")*24*60, "")</f>
        <v/>
      </c>
      <c r="N5374" s="24" t="str" cm="1">
        <f t="array" ref="N5374">IFERROR(IF($B5374=N$1, ($A5374+$C5374) - MAX(IF($B$2:$B5373=$B5374, $A$2:$A5373+$C$2:$C5373)), "")*24*60, "")</f>
        <v/>
      </c>
      <c r="O5374" s="24" t="str" cm="1">
        <f t="array" ref="O5374">IFERROR(IF($B5374=O$1, ($A5374+$C5374) - MAX(IF($B$2:$B5373=$B5374, $A$2:$A5373+$C$2:$C5373)), "")*24*60, "")</f>
        <v/>
      </c>
      <c r="P5374" s="24" t="str" cm="1">
        <f t="array" ref="P5374">IFERROR(IF($B5374=P$1, ($A5374+$C5374) - MAX(IF($B$2:$B5373=$B5374, $A$2:$A5373+$C$2:$C5373)), "")*24*60, "")</f>
        <v/>
      </c>
      <c r="Q5374" s="24" t="str" cm="1">
        <f t="array" ref="Q5374">IFERROR(IF($B5374=Q$1, ($A5374+$C5374) - MAX(IF($B$2:$B5373=$B5374, $A$2:$A5373+$C$2:$C5373)), "")*24*60, "")</f>
        <v/>
      </c>
    </row>
    <row r="5375" spans="1:17" x14ac:dyDescent="0.2">
      <c r="A5375" s="12">
        <f t="shared" ref="A5375:C5375" si="1269">A5374</f>
        <v>45983</v>
      </c>
      <c r="B5375" s="5" t="str">
        <f t="shared" si="1269"/>
        <v>Northern Cardinal</v>
      </c>
      <c r="C5375" s="6">
        <f t="shared" si="1269"/>
        <v>0.28194444444444444</v>
      </c>
      <c r="D5375" s="5"/>
      <c r="E5375" s="5"/>
      <c r="F5375" s="5" t="s">
        <v>8</v>
      </c>
      <c r="G5375" s="15" t="s">
        <v>9</v>
      </c>
      <c r="H5375" s="24">
        <f t="shared" si="1234"/>
        <v>0</v>
      </c>
      <c r="I5375" s="24" cm="1">
        <f t="array" ref="I5375">IFERROR(IF($B5375=I$1, ($A5375+$C5375) - MAX(IF($B$2:$B5374=$B5375, $A$2:$A5374+$C$2:$C5374)), "")*24*60, "")</f>
        <v>0</v>
      </c>
      <c r="J5375" s="24" t="str" cm="1">
        <f t="array" ref="J5375">IFERROR(IF($B5375=J$1, ($A5375+$C5375) - MAX(IF($B$2:$B5374=$B5375, $A$2:$A5374+$C$2:$C5374)), "")*24*60, "")</f>
        <v/>
      </c>
      <c r="K5375" s="24" t="str" cm="1">
        <f t="array" ref="K5375">IFERROR(IF($B5375=K$1, ($A5375+$C5375) - MAX(IF($B$2:$B5374=$B5375, $A$2:$A5374+$C$2:$C5374)), "")*24*60, "")</f>
        <v/>
      </c>
      <c r="L5375" s="24" t="str" cm="1">
        <f t="array" ref="L5375">IFERROR(IF($B5375=L$1, ($A5375+$C5375) - MAX(IF($B$2:$B5374=$B5375, $A$2:$A5374+$C$2:$C5374)), "")*24*60, "")</f>
        <v/>
      </c>
      <c r="M5375" s="24" t="str" cm="1">
        <f t="array" ref="M5375">IFERROR(IF($B5375=M$1, ($A5375+$C5375) - MAX(IF($B$2:$B5374=$B5375, $A$2:$A5374+$C$2:$C5374)), "")*24*60, "")</f>
        <v/>
      </c>
      <c r="N5375" s="24" t="str" cm="1">
        <f t="array" ref="N5375">IFERROR(IF($B5375=N$1, ($A5375+$C5375) - MAX(IF($B$2:$B5374=$B5375, $A$2:$A5374+$C$2:$C5374)), "")*24*60, "")</f>
        <v/>
      </c>
      <c r="O5375" s="24" t="str" cm="1">
        <f t="array" ref="O5375">IFERROR(IF($B5375=O$1, ($A5375+$C5375) - MAX(IF($B$2:$B5374=$B5375, $A$2:$A5374+$C$2:$C5374)), "")*24*60, "")</f>
        <v/>
      </c>
      <c r="P5375" s="24" t="str" cm="1">
        <f t="array" ref="P5375">IFERROR(IF($B5375=P$1, ($A5375+$C5375) - MAX(IF($B$2:$B5374=$B5375, $A$2:$A5374+$C$2:$C5374)), "")*24*60, "")</f>
        <v/>
      </c>
      <c r="Q5375" s="24" t="str" cm="1">
        <f t="array" ref="Q5375">IFERROR(IF($B5375=Q$1, ($A5375+$C5375) - MAX(IF($B$2:$B5374=$B5375, $A$2:$A5374+$C$2:$C5374)), "")*24*60, "")</f>
        <v/>
      </c>
    </row>
    <row r="5376" spans="1:17" x14ac:dyDescent="0.2">
      <c r="A5376" s="12">
        <f t="shared" ref="A5376:C5376" si="1270">A5375</f>
        <v>45983</v>
      </c>
      <c r="B5376" s="5" t="str">
        <f t="shared" si="1270"/>
        <v>Northern Cardinal</v>
      </c>
      <c r="C5376" s="6">
        <f t="shared" si="1270"/>
        <v>0.28194444444444444</v>
      </c>
      <c r="D5376" s="5"/>
      <c r="E5376" s="5"/>
      <c r="F5376" s="5" t="s">
        <v>8</v>
      </c>
      <c r="G5376" s="15" t="s">
        <v>9</v>
      </c>
      <c r="H5376" s="24">
        <f t="shared" si="1234"/>
        <v>0</v>
      </c>
      <c r="I5376" s="24" cm="1">
        <f t="array" ref="I5376">IFERROR(IF($B5376=I$1, ($A5376+$C5376) - MAX(IF($B$2:$B5375=$B5376, $A$2:$A5375+$C$2:$C5375)), "")*24*60, "")</f>
        <v>0</v>
      </c>
      <c r="J5376" s="24" t="str" cm="1">
        <f t="array" ref="J5376">IFERROR(IF($B5376=J$1, ($A5376+$C5376) - MAX(IF($B$2:$B5375=$B5376, $A$2:$A5375+$C$2:$C5375)), "")*24*60, "")</f>
        <v/>
      </c>
      <c r="K5376" s="24" t="str" cm="1">
        <f t="array" ref="K5376">IFERROR(IF($B5376=K$1, ($A5376+$C5376) - MAX(IF($B$2:$B5375=$B5376, $A$2:$A5375+$C$2:$C5375)), "")*24*60, "")</f>
        <v/>
      </c>
      <c r="L5376" s="24" t="str" cm="1">
        <f t="array" ref="L5376">IFERROR(IF($B5376=L$1, ($A5376+$C5376) - MAX(IF($B$2:$B5375=$B5376, $A$2:$A5375+$C$2:$C5375)), "")*24*60, "")</f>
        <v/>
      </c>
      <c r="M5376" s="24" t="str" cm="1">
        <f t="array" ref="M5376">IFERROR(IF($B5376=M$1, ($A5376+$C5376) - MAX(IF($B$2:$B5375=$B5376, $A$2:$A5375+$C$2:$C5375)), "")*24*60, "")</f>
        <v/>
      </c>
      <c r="N5376" s="24" t="str" cm="1">
        <f t="array" ref="N5376">IFERROR(IF($B5376=N$1, ($A5376+$C5376) - MAX(IF($B$2:$B5375=$B5376, $A$2:$A5375+$C$2:$C5375)), "")*24*60, "")</f>
        <v/>
      </c>
      <c r="O5376" s="24" t="str" cm="1">
        <f t="array" ref="O5376">IFERROR(IF($B5376=O$1, ($A5376+$C5376) - MAX(IF($B$2:$B5375=$B5376, $A$2:$A5375+$C$2:$C5375)), "")*24*60, "")</f>
        <v/>
      </c>
      <c r="P5376" s="24" t="str" cm="1">
        <f t="array" ref="P5376">IFERROR(IF($B5376=P$1, ($A5376+$C5376) - MAX(IF($B$2:$B5375=$B5376, $A$2:$A5375+$C$2:$C5375)), "")*24*60, "")</f>
        <v/>
      </c>
      <c r="Q5376" s="24" t="str" cm="1">
        <f t="array" ref="Q5376">IFERROR(IF($B5376=Q$1, ($A5376+$C5376) - MAX(IF($B$2:$B5375=$B5376, $A$2:$A5375+$C$2:$C5375)), "")*24*60, "")</f>
        <v/>
      </c>
    </row>
    <row r="5377" spans="1:17" x14ac:dyDescent="0.2">
      <c r="A5377" s="12">
        <f t="shared" ref="A5377:C5377" si="1271">A5376</f>
        <v>45983</v>
      </c>
      <c r="B5377" s="5" t="str">
        <f t="shared" si="1271"/>
        <v>Northern Cardinal</v>
      </c>
      <c r="C5377" s="6">
        <f t="shared" si="1271"/>
        <v>0.28194444444444444</v>
      </c>
      <c r="D5377" s="5"/>
      <c r="E5377" s="5"/>
      <c r="F5377" s="5" t="s">
        <v>8</v>
      </c>
      <c r="G5377" s="15" t="s">
        <v>9</v>
      </c>
      <c r="H5377" s="24">
        <f t="shared" si="1234"/>
        <v>0</v>
      </c>
      <c r="I5377" s="24" cm="1">
        <f t="array" ref="I5377">IFERROR(IF($B5377=I$1, ($A5377+$C5377) - MAX(IF($B$2:$B5376=$B5377, $A$2:$A5376+$C$2:$C5376)), "")*24*60, "")</f>
        <v>0</v>
      </c>
      <c r="J5377" s="24" t="str" cm="1">
        <f t="array" ref="J5377">IFERROR(IF($B5377=J$1, ($A5377+$C5377) - MAX(IF($B$2:$B5376=$B5377, $A$2:$A5376+$C$2:$C5376)), "")*24*60, "")</f>
        <v/>
      </c>
      <c r="K5377" s="24" t="str" cm="1">
        <f t="array" ref="K5377">IFERROR(IF($B5377=K$1, ($A5377+$C5377) - MAX(IF($B$2:$B5376=$B5377, $A$2:$A5376+$C$2:$C5376)), "")*24*60, "")</f>
        <v/>
      </c>
      <c r="L5377" s="24" t="str" cm="1">
        <f t="array" ref="L5377">IFERROR(IF($B5377=L$1, ($A5377+$C5377) - MAX(IF($B$2:$B5376=$B5377, $A$2:$A5376+$C$2:$C5376)), "")*24*60, "")</f>
        <v/>
      </c>
      <c r="M5377" s="24" t="str" cm="1">
        <f t="array" ref="M5377">IFERROR(IF($B5377=M$1, ($A5377+$C5377) - MAX(IF($B$2:$B5376=$B5377, $A$2:$A5376+$C$2:$C5376)), "")*24*60, "")</f>
        <v/>
      </c>
      <c r="N5377" s="24" t="str" cm="1">
        <f t="array" ref="N5377">IFERROR(IF($B5377=N$1, ($A5377+$C5377) - MAX(IF($B$2:$B5376=$B5377, $A$2:$A5376+$C$2:$C5376)), "")*24*60, "")</f>
        <v/>
      </c>
      <c r="O5377" s="24" t="str" cm="1">
        <f t="array" ref="O5377">IFERROR(IF($B5377=O$1, ($A5377+$C5377) - MAX(IF($B$2:$B5376=$B5377, $A$2:$A5376+$C$2:$C5376)), "")*24*60, "")</f>
        <v/>
      </c>
      <c r="P5377" s="24" t="str" cm="1">
        <f t="array" ref="P5377">IFERROR(IF($B5377=P$1, ($A5377+$C5377) - MAX(IF($B$2:$B5376=$B5377, $A$2:$A5376+$C$2:$C5376)), "")*24*60, "")</f>
        <v/>
      </c>
      <c r="Q5377" s="24" t="str" cm="1">
        <f t="array" ref="Q5377">IFERROR(IF($B5377=Q$1, ($A5377+$C5377) - MAX(IF($B$2:$B5376=$B5377, $A$2:$A5376+$C$2:$C5376)), "")*24*60, "")</f>
        <v/>
      </c>
    </row>
    <row r="5378" spans="1:17" x14ac:dyDescent="0.2">
      <c r="A5378" s="12">
        <f t="shared" ref="A5378:C5378" si="1272">A5377</f>
        <v>45983</v>
      </c>
      <c r="B5378" s="5" t="str">
        <f t="shared" si="1272"/>
        <v>Northern Cardinal</v>
      </c>
      <c r="C5378" s="6">
        <f t="shared" si="1272"/>
        <v>0.28194444444444444</v>
      </c>
      <c r="D5378" s="5"/>
      <c r="E5378" s="5"/>
      <c r="F5378" s="5" t="s">
        <v>8</v>
      </c>
      <c r="G5378" s="15" t="s">
        <v>9</v>
      </c>
      <c r="H5378" s="24">
        <f t="shared" si="1234"/>
        <v>0</v>
      </c>
      <c r="I5378" s="24" cm="1">
        <f t="array" ref="I5378">IFERROR(IF($B5378=I$1, ($A5378+$C5378) - MAX(IF($B$2:$B5377=$B5378, $A$2:$A5377+$C$2:$C5377)), "")*24*60, "")</f>
        <v>0</v>
      </c>
      <c r="J5378" s="24" t="str" cm="1">
        <f t="array" ref="J5378">IFERROR(IF($B5378=J$1, ($A5378+$C5378) - MAX(IF($B$2:$B5377=$B5378, $A$2:$A5377+$C$2:$C5377)), "")*24*60, "")</f>
        <v/>
      </c>
      <c r="K5378" s="24" t="str" cm="1">
        <f t="array" ref="K5378">IFERROR(IF($B5378=K$1, ($A5378+$C5378) - MAX(IF($B$2:$B5377=$B5378, $A$2:$A5377+$C$2:$C5377)), "")*24*60, "")</f>
        <v/>
      </c>
      <c r="L5378" s="24" t="str" cm="1">
        <f t="array" ref="L5378">IFERROR(IF($B5378=L$1, ($A5378+$C5378) - MAX(IF($B$2:$B5377=$B5378, $A$2:$A5377+$C$2:$C5377)), "")*24*60, "")</f>
        <v/>
      </c>
      <c r="M5378" s="24" t="str" cm="1">
        <f t="array" ref="M5378">IFERROR(IF($B5378=M$1, ($A5378+$C5378) - MAX(IF($B$2:$B5377=$B5378, $A$2:$A5377+$C$2:$C5377)), "")*24*60, "")</f>
        <v/>
      </c>
      <c r="N5378" s="24" t="str" cm="1">
        <f t="array" ref="N5378">IFERROR(IF($B5378=N$1, ($A5378+$C5378) - MAX(IF($B$2:$B5377=$B5378, $A$2:$A5377+$C$2:$C5377)), "")*24*60, "")</f>
        <v/>
      </c>
      <c r="O5378" s="24" t="str" cm="1">
        <f t="array" ref="O5378">IFERROR(IF($B5378=O$1, ($A5378+$C5378) - MAX(IF($B$2:$B5377=$B5378, $A$2:$A5377+$C$2:$C5377)), "")*24*60, "")</f>
        <v/>
      </c>
      <c r="P5378" s="24" t="str" cm="1">
        <f t="array" ref="P5378">IFERROR(IF($B5378=P$1, ($A5378+$C5378) - MAX(IF($B$2:$B5377=$B5378, $A$2:$A5377+$C$2:$C5377)), "")*24*60, "")</f>
        <v/>
      </c>
      <c r="Q5378" s="24" t="str" cm="1">
        <f t="array" ref="Q5378">IFERROR(IF($B5378=Q$1, ($A5378+$C5378) - MAX(IF($B$2:$B5377=$B5378, $A$2:$A5377+$C$2:$C5377)), "")*24*60, "")</f>
        <v/>
      </c>
    </row>
    <row r="5379" spans="1:17" x14ac:dyDescent="0.2">
      <c r="A5379" s="12">
        <f t="shared" ref="A5379:C5379" si="1273">A5378</f>
        <v>45983</v>
      </c>
      <c r="B5379" s="5" t="str">
        <f t="shared" si="1273"/>
        <v>Northern Cardinal</v>
      </c>
      <c r="C5379" s="6">
        <f t="shared" si="1273"/>
        <v>0.28194444444444444</v>
      </c>
      <c r="D5379" s="5"/>
      <c r="E5379" s="5"/>
      <c r="F5379" s="5" t="s">
        <v>8</v>
      </c>
      <c r="G5379" s="15" t="s">
        <v>9</v>
      </c>
      <c r="H5379" s="24">
        <f t="shared" si="1234"/>
        <v>0</v>
      </c>
      <c r="I5379" s="24" cm="1">
        <f t="array" ref="I5379">IFERROR(IF($B5379=I$1, ($A5379+$C5379) - MAX(IF($B$2:$B5378=$B5379, $A$2:$A5378+$C$2:$C5378)), "")*24*60, "")</f>
        <v>0</v>
      </c>
      <c r="J5379" s="24" t="str" cm="1">
        <f t="array" ref="J5379">IFERROR(IF($B5379=J$1, ($A5379+$C5379) - MAX(IF($B$2:$B5378=$B5379, $A$2:$A5378+$C$2:$C5378)), "")*24*60, "")</f>
        <v/>
      </c>
      <c r="K5379" s="24" t="str" cm="1">
        <f t="array" ref="K5379">IFERROR(IF($B5379=K$1, ($A5379+$C5379) - MAX(IF($B$2:$B5378=$B5379, $A$2:$A5378+$C$2:$C5378)), "")*24*60, "")</f>
        <v/>
      </c>
      <c r="L5379" s="24" t="str" cm="1">
        <f t="array" ref="L5379">IFERROR(IF($B5379=L$1, ($A5379+$C5379) - MAX(IF($B$2:$B5378=$B5379, $A$2:$A5378+$C$2:$C5378)), "")*24*60, "")</f>
        <v/>
      </c>
      <c r="M5379" s="24" t="str" cm="1">
        <f t="array" ref="M5379">IFERROR(IF($B5379=M$1, ($A5379+$C5379) - MAX(IF($B$2:$B5378=$B5379, $A$2:$A5378+$C$2:$C5378)), "")*24*60, "")</f>
        <v/>
      </c>
      <c r="N5379" s="24" t="str" cm="1">
        <f t="array" ref="N5379">IFERROR(IF($B5379=N$1, ($A5379+$C5379) - MAX(IF($B$2:$B5378=$B5379, $A$2:$A5378+$C$2:$C5378)), "")*24*60, "")</f>
        <v/>
      </c>
      <c r="O5379" s="24" t="str" cm="1">
        <f t="array" ref="O5379">IFERROR(IF($B5379=O$1, ($A5379+$C5379) - MAX(IF($B$2:$B5378=$B5379, $A$2:$A5378+$C$2:$C5378)), "")*24*60, "")</f>
        <v/>
      </c>
      <c r="P5379" s="24" t="str" cm="1">
        <f t="array" ref="P5379">IFERROR(IF($B5379=P$1, ($A5379+$C5379) - MAX(IF($B$2:$B5378=$B5379, $A$2:$A5378+$C$2:$C5378)), "")*24*60, "")</f>
        <v/>
      </c>
      <c r="Q5379" s="24" t="str" cm="1">
        <f t="array" ref="Q5379">IFERROR(IF($B5379=Q$1, ($A5379+$C5379) - MAX(IF($B$2:$B5378=$B5379, $A$2:$A5378+$C$2:$C5378)), "")*24*60, "")</f>
        <v/>
      </c>
    </row>
    <row r="5380" spans="1:17" x14ac:dyDescent="0.2">
      <c r="A5380" s="12">
        <f t="shared" ref="A5380:C5380" si="1274">A5379</f>
        <v>45983</v>
      </c>
      <c r="B5380" s="5" t="str">
        <f t="shared" si="1274"/>
        <v>Northern Cardinal</v>
      </c>
      <c r="C5380" s="6">
        <f t="shared" si="1274"/>
        <v>0.28194444444444444</v>
      </c>
      <c r="D5380" s="5"/>
      <c r="E5380" s="5"/>
      <c r="F5380" s="5" t="s">
        <v>8</v>
      </c>
      <c r="G5380" s="15" t="s">
        <v>9</v>
      </c>
      <c r="H5380" s="24">
        <f t="shared" si="1234"/>
        <v>0</v>
      </c>
      <c r="I5380" s="24" cm="1">
        <f t="array" ref="I5380">IFERROR(IF($B5380=I$1, ($A5380+$C5380) - MAX(IF($B$2:$B5379=$B5380, $A$2:$A5379+$C$2:$C5379)), "")*24*60, "")</f>
        <v>0</v>
      </c>
      <c r="J5380" s="24" t="str" cm="1">
        <f t="array" ref="J5380">IFERROR(IF($B5380=J$1, ($A5380+$C5380) - MAX(IF($B$2:$B5379=$B5380, $A$2:$A5379+$C$2:$C5379)), "")*24*60, "")</f>
        <v/>
      </c>
      <c r="K5380" s="24" t="str" cm="1">
        <f t="array" ref="K5380">IFERROR(IF($B5380=K$1, ($A5380+$C5380) - MAX(IF($B$2:$B5379=$B5380, $A$2:$A5379+$C$2:$C5379)), "")*24*60, "")</f>
        <v/>
      </c>
      <c r="L5380" s="24" t="str" cm="1">
        <f t="array" ref="L5380">IFERROR(IF($B5380=L$1, ($A5380+$C5380) - MAX(IF($B$2:$B5379=$B5380, $A$2:$A5379+$C$2:$C5379)), "")*24*60, "")</f>
        <v/>
      </c>
      <c r="M5380" s="24" t="str" cm="1">
        <f t="array" ref="M5380">IFERROR(IF($B5380=M$1, ($A5380+$C5380) - MAX(IF($B$2:$B5379=$B5380, $A$2:$A5379+$C$2:$C5379)), "")*24*60, "")</f>
        <v/>
      </c>
      <c r="N5380" s="24" t="str" cm="1">
        <f t="array" ref="N5380">IFERROR(IF($B5380=N$1, ($A5380+$C5380) - MAX(IF($B$2:$B5379=$B5380, $A$2:$A5379+$C$2:$C5379)), "")*24*60, "")</f>
        <v/>
      </c>
      <c r="O5380" s="24" t="str" cm="1">
        <f t="array" ref="O5380">IFERROR(IF($B5380=O$1, ($A5380+$C5380) - MAX(IF($B$2:$B5379=$B5380, $A$2:$A5379+$C$2:$C5379)), "")*24*60, "")</f>
        <v/>
      </c>
      <c r="P5380" s="24" t="str" cm="1">
        <f t="array" ref="P5380">IFERROR(IF($B5380=P$1, ($A5380+$C5380) - MAX(IF($B$2:$B5379=$B5380, $A$2:$A5379+$C$2:$C5379)), "")*24*60, "")</f>
        <v/>
      </c>
      <c r="Q5380" s="24" t="str" cm="1">
        <f t="array" ref="Q5380">IFERROR(IF($B5380=Q$1, ($A5380+$C5380) - MAX(IF($B$2:$B5379=$B5380, $A$2:$A5379+$C$2:$C5379)), "")*24*60, "")</f>
        <v/>
      </c>
    </row>
    <row r="5381" spans="1:17" x14ac:dyDescent="0.2">
      <c r="A5381" s="12">
        <f t="shared" ref="A5381:C5381" si="1275">A5380</f>
        <v>45983</v>
      </c>
      <c r="B5381" s="5" t="str">
        <f t="shared" si="1275"/>
        <v>Northern Cardinal</v>
      </c>
      <c r="C5381" s="6">
        <f t="shared" si="1275"/>
        <v>0.28194444444444444</v>
      </c>
      <c r="D5381" s="5"/>
      <c r="E5381" s="5"/>
      <c r="F5381" s="5" t="s">
        <v>8</v>
      </c>
      <c r="G5381" s="15" t="s">
        <v>9</v>
      </c>
      <c r="H5381" s="24">
        <f t="shared" si="1234"/>
        <v>0</v>
      </c>
      <c r="I5381" s="24" cm="1">
        <f t="array" ref="I5381">IFERROR(IF($B5381=I$1, ($A5381+$C5381) - MAX(IF($B$2:$B5380=$B5381, $A$2:$A5380+$C$2:$C5380)), "")*24*60, "")</f>
        <v>0</v>
      </c>
      <c r="J5381" s="24" t="str" cm="1">
        <f t="array" ref="J5381">IFERROR(IF($B5381=J$1, ($A5381+$C5381) - MAX(IF($B$2:$B5380=$B5381, $A$2:$A5380+$C$2:$C5380)), "")*24*60, "")</f>
        <v/>
      </c>
      <c r="K5381" s="24" t="str" cm="1">
        <f t="array" ref="K5381">IFERROR(IF($B5381=K$1, ($A5381+$C5381) - MAX(IF($B$2:$B5380=$B5381, $A$2:$A5380+$C$2:$C5380)), "")*24*60, "")</f>
        <v/>
      </c>
      <c r="L5381" s="24" t="str" cm="1">
        <f t="array" ref="L5381">IFERROR(IF($B5381=L$1, ($A5381+$C5381) - MAX(IF($B$2:$B5380=$B5381, $A$2:$A5380+$C$2:$C5380)), "")*24*60, "")</f>
        <v/>
      </c>
      <c r="M5381" s="24" t="str" cm="1">
        <f t="array" ref="M5381">IFERROR(IF($B5381=M$1, ($A5381+$C5381) - MAX(IF($B$2:$B5380=$B5381, $A$2:$A5380+$C$2:$C5380)), "")*24*60, "")</f>
        <v/>
      </c>
      <c r="N5381" s="24" t="str" cm="1">
        <f t="array" ref="N5381">IFERROR(IF($B5381=N$1, ($A5381+$C5381) - MAX(IF($B$2:$B5380=$B5381, $A$2:$A5380+$C$2:$C5380)), "")*24*60, "")</f>
        <v/>
      </c>
      <c r="O5381" s="24" t="str" cm="1">
        <f t="array" ref="O5381">IFERROR(IF($B5381=O$1, ($A5381+$C5381) - MAX(IF($B$2:$B5380=$B5381, $A$2:$A5380+$C$2:$C5380)), "")*24*60, "")</f>
        <v/>
      </c>
      <c r="P5381" s="24" t="str" cm="1">
        <f t="array" ref="P5381">IFERROR(IF($B5381=P$1, ($A5381+$C5381) - MAX(IF($B$2:$B5380=$B5381, $A$2:$A5380+$C$2:$C5380)), "")*24*60, "")</f>
        <v/>
      </c>
      <c r="Q5381" s="24" t="str" cm="1">
        <f t="array" ref="Q5381">IFERROR(IF($B5381=Q$1, ($A5381+$C5381) - MAX(IF($B$2:$B5380=$B5381, $A$2:$A5380+$C$2:$C5380)), "")*24*60, "")</f>
        <v/>
      </c>
    </row>
    <row r="5382" spans="1:17" x14ac:dyDescent="0.2">
      <c r="A5382" s="12">
        <f t="shared" ref="A5382:C5382" si="1276">A5381</f>
        <v>45983</v>
      </c>
      <c r="B5382" s="5" t="str">
        <f t="shared" si="1276"/>
        <v>Northern Cardinal</v>
      </c>
      <c r="C5382" s="6">
        <f t="shared" si="1276"/>
        <v>0.28194444444444444</v>
      </c>
      <c r="D5382" s="5"/>
      <c r="E5382" s="5"/>
      <c r="F5382" s="5" t="s">
        <v>8</v>
      </c>
      <c r="G5382" s="15" t="s">
        <v>9</v>
      </c>
      <c r="H5382" s="24">
        <f t="shared" si="1234"/>
        <v>0</v>
      </c>
      <c r="I5382" s="24" cm="1">
        <f t="array" ref="I5382">IFERROR(IF($B5382=I$1, ($A5382+$C5382) - MAX(IF($B$2:$B5381=$B5382, $A$2:$A5381+$C$2:$C5381)), "")*24*60, "")</f>
        <v>0</v>
      </c>
      <c r="J5382" s="24" t="str" cm="1">
        <f t="array" ref="J5382">IFERROR(IF($B5382=J$1, ($A5382+$C5382) - MAX(IF($B$2:$B5381=$B5382, $A$2:$A5381+$C$2:$C5381)), "")*24*60, "")</f>
        <v/>
      </c>
      <c r="K5382" s="24" t="str" cm="1">
        <f t="array" ref="K5382">IFERROR(IF($B5382=K$1, ($A5382+$C5382) - MAX(IF($B$2:$B5381=$B5382, $A$2:$A5381+$C$2:$C5381)), "")*24*60, "")</f>
        <v/>
      </c>
      <c r="L5382" s="24" t="str" cm="1">
        <f t="array" ref="L5382">IFERROR(IF($B5382=L$1, ($A5382+$C5382) - MAX(IF($B$2:$B5381=$B5382, $A$2:$A5381+$C$2:$C5381)), "")*24*60, "")</f>
        <v/>
      </c>
      <c r="M5382" s="24" t="str" cm="1">
        <f t="array" ref="M5382">IFERROR(IF($B5382=M$1, ($A5382+$C5382) - MAX(IF($B$2:$B5381=$B5382, $A$2:$A5381+$C$2:$C5381)), "")*24*60, "")</f>
        <v/>
      </c>
      <c r="N5382" s="24" t="str" cm="1">
        <f t="array" ref="N5382">IFERROR(IF($B5382=N$1, ($A5382+$C5382) - MAX(IF($B$2:$B5381=$B5382, $A$2:$A5381+$C$2:$C5381)), "")*24*60, "")</f>
        <v/>
      </c>
      <c r="O5382" s="24" t="str" cm="1">
        <f t="array" ref="O5382">IFERROR(IF($B5382=O$1, ($A5382+$C5382) - MAX(IF($B$2:$B5381=$B5382, $A$2:$A5381+$C$2:$C5381)), "")*24*60, "")</f>
        <v/>
      </c>
      <c r="P5382" s="24" t="str" cm="1">
        <f t="array" ref="P5382">IFERROR(IF($B5382=P$1, ($A5382+$C5382) - MAX(IF($B$2:$B5381=$B5382, $A$2:$A5381+$C$2:$C5381)), "")*24*60, "")</f>
        <v/>
      </c>
      <c r="Q5382" s="24" t="str" cm="1">
        <f t="array" ref="Q5382">IFERROR(IF($B5382=Q$1, ($A5382+$C5382) - MAX(IF($B$2:$B5381=$B5382, $A$2:$A5381+$C$2:$C5381)), "")*24*60, "")</f>
        <v/>
      </c>
    </row>
    <row r="5383" spans="1:17" x14ac:dyDescent="0.2">
      <c r="A5383" s="12">
        <f t="shared" ref="A5383:C5383" si="1277">A5382</f>
        <v>45983</v>
      </c>
      <c r="B5383" s="5" t="str">
        <f t="shared" si="1277"/>
        <v>Northern Cardinal</v>
      </c>
      <c r="C5383" s="6">
        <f t="shared" si="1277"/>
        <v>0.28194444444444444</v>
      </c>
      <c r="D5383" s="5"/>
      <c r="E5383" s="5"/>
      <c r="F5383" s="5" t="s">
        <v>8</v>
      </c>
      <c r="G5383" s="15" t="s">
        <v>9</v>
      </c>
      <c r="H5383" s="24">
        <f t="shared" si="1234"/>
        <v>0</v>
      </c>
      <c r="I5383" s="24" cm="1">
        <f t="array" ref="I5383">IFERROR(IF($B5383=I$1, ($A5383+$C5383) - MAX(IF($B$2:$B5382=$B5383, $A$2:$A5382+$C$2:$C5382)), "")*24*60, "")</f>
        <v>0</v>
      </c>
      <c r="J5383" s="24" t="str" cm="1">
        <f t="array" ref="J5383">IFERROR(IF($B5383=J$1, ($A5383+$C5383) - MAX(IF($B$2:$B5382=$B5383, $A$2:$A5382+$C$2:$C5382)), "")*24*60, "")</f>
        <v/>
      </c>
      <c r="K5383" s="24" t="str" cm="1">
        <f t="array" ref="K5383">IFERROR(IF($B5383=K$1, ($A5383+$C5383) - MAX(IF($B$2:$B5382=$B5383, $A$2:$A5382+$C$2:$C5382)), "")*24*60, "")</f>
        <v/>
      </c>
      <c r="L5383" s="24" t="str" cm="1">
        <f t="array" ref="L5383">IFERROR(IF($B5383=L$1, ($A5383+$C5383) - MAX(IF($B$2:$B5382=$B5383, $A$2:$A5382+$C$2:$C5382)), "")*24*60, "")</f>
        <v/>
      </c>
      <c r="M5383" s="24" t="str" cm="1">
        <f t="array" ref="M5383">IFERROR(IF($B5383=M$1, ($A5383+$C5383) - MAX(IF($B$2:$B5382=$B5383, $A$2:$A5382+$C$2:$C5382)), "")*24*60, "")</f>
        <v/>
      </c>
      <c r="N5383" s="24" t="str" cm="1">
        <f t="array" ref="N5383">IFERROR(IF($B5383=N$1, ($A5383+$C5383) - MAX(IF($B$2:$B5382=$B5383, $A$2:$A5382+$C$2:$C5382)), "")*24*60, "")</f>
        <v/>
      </c>
      <c r="O5383" s="24" t="str" cm="1">
        <f t="array" ref="O5383">IFERROR(IF($B5383=O$1, ($A5383+$C5383) - MAX(IF($B$2:$B5382=$B5383, $A$2:$A5382+$C$2:$C5382)), "")*24*60, "")</f>
        <v/>
      </c>
      <c r="P5383" s="24" t="str" cm="1">
        <f t="array" ref="P5383">IFERROR(IF($B5383=P$1, ($A5383+$C5383) - MAX(IF($B$2:$B5382=$B5383, $A$2:$A5382+$C$2:$C5382)), "")*24*60, "")</f>
        <v/>
      </c>
      <c r="Q5383" s="24" t="str" cm="1">
        <f t="array" ref="Q5383">IFERROR(IF($B5383=Q$1, ($A5383+$C5383) - MAX(IF($B$2:$B5382=$B5383, $A$2:$A5382+$C$2:$C5382)), "")*24*60, "")</f>
        <v/>
      </c>
    </row>
    <row r="5384" spans="1:17" x14ac:dyDescent="0.2">
      <c r="A5384" s="12">
        <f t="shared" ref="A5384:C5384" si="1278">A5383</f>
        <v>45983</v>
      </c>
      <c r="B5384" s="5" t="str">
        <f t="shared" si="1278"/>
        <v>Northern Cardinal</v>
      </c>
      <c r="C5384" s="6">
        <f t="shared" si="1278"/>
        <v>0.28194444444444444</v>
      </c>
      <c r="D5384" s="5"/>
      <c r="E5384" s="5"/>
      <c r="F5384" s="5" t="s">
        <v>8</v>
      </c>
      <c r="G5384" s="15" t="s">
        <v>9</v>
      </c>
      <c r="H5384" s="24">
        <f t="shared" si="1234"/>
        <v>0</v>
      </c>
      <c r="I5384" s="24" cm="1">
        <f t="array" ref="I5384">IFERROR(IF($B5384=I$1, ($A5384+$C5384) - MAX(IF($B$2:$B5383=$B5384, $A$2:$A5383+$C$2:$C5383)), "")*24*60, "")</f>
        <v>0</v>
      </c>
      <c r="J5384" s="24" t="str" cm="1">
        <f t="array" ref="J5384">IFERROR(IF($B5384=J$1, ($A5384+$C5384) - MAX(IF($B$2:$B5383=$B5384, $A$2:$A5383+$C$2:$C5383)), "")*24*60, "")</f>
        <v/>
      </c>
      <c r="K5384" s="24" t="str" cm="1">
        <f t="array" ref="K5384">IFERROR(IF($B5384=K$1, ($A5384+$C5384) - MAX(IF($B$2:$B5383=$B5384, $A$2:$A5383+$C$2:$C5383)), "")*24*60, "")</f>
        <v/>
      </c>
      <c r="L5384" s="24" t="str" cm="1">
        <f t="array" ref="L5384">IFERROR(IF($B5384=L$1, ($A5384+$C5384) - MAX(IF($B$2:$B5383=$B5384, $A$2:$A5383+$C$2:$C5383)), "")*24*60, "")</f>
        <v/>
      </c>
      <c r="M5384" s="24" t="str" cm="1">
        <f t="array" ref="M5384">IFERROR(IF($B5384=M$1, ($A5384+$C5384) - MAX(IF($B$2:$B5383=$B5384, $A$2:$A5383+$C$2:$C5383)), "")*24*60, "")</f>
        <v/>
      </c>
      <c r="N5384" s="24" t="str" cm="1">
        <f t="array" ref="N5384">IFERROR(IF($B5384=N$1, ($A5384+$C5384) - MAX(IF($B$2:$B5383=$B5384, $A$2:$A5383+$C$2:$C5383)), "")*24*60, "")</f>
        <v/>
      </c>
      <c r="O5384" s="24" t="str" cm="1">
        <f t="array" ref="O5384">IFERROR(IF($B5384=O$1, ($A5384+$C5384) - MAX(IF($B$2:$B5383=$B5384, $A$2:$A5383+$C$2:$C5383)), "")*24*60, "")</f>
        <v/>
      </c>
      <c r="P5384" s="24" t="str" cm="1">
        <f t="array" ref="P5384">IFERROR(IF($B5384=P$1, ($A5384+$C5384) - MAX(IF($B$2:$B5383=$B5384, $A$2:$A5383+$C$2:$C5383)), "")*24*60, "")</f>
        <v/>
      </c>
      <c r="Q5384" s="24" t="str" cm="1">
        <f t="array" ref="Q5384">IFERROR(IF($B5384=Q$1, ($A5384+$C5384) - MAX(IF($B$2:$B5383=$B5384, $A$2:$A5383+$C$2:$C5383)), "")*24*60, "")</f>
        <v/>
      </c>
    </row>
    <row r="5385" spans="1:17" x14ac:dyDescent="0.2">
      <c r="A5385" s="12">
        <f t="shared" ref="A5385:C5385" si="1279">A5384</f>
        <v>45983</v>
      </c>
      <c r="B5385" s="5" t="str">
        <f t="shared" si="1279"/>
        <v>Northern Cardinal</v>
      </c>
      <c r="C5385" s="6">
        <f t="shared" si="1279"/>
        <v>0.28194444444444444</v>
      </c>
      <c r="D5385" s="5"/>
      <c r="E5385" s="5"/>
      <c r="F5385" s="5" t="s">
        <v>8</v>
      </c>
      <c r="G5385" s="15" t="s">
        <v>9</v>
      </c>
      <c r="H5385" s="24">
        <f t="shared" si="1234"/>
        <v>0</v>
      </c>
      <c r="I5385" s="24" cm="1">
        <f t="array" ref="I5385">IFERROR(IF($B5385=I$1, ($A5385+$C5385) - MAX(IF($B$2:$B5384=$B5385, $A$2:$A5384+$C$2:$C5384)), "")*24*60, "")</f>
        <v>0</v>
      </c>
      <c r="J5385" s="24" t="str" cm="1">
        <f t="array" ref="J5385">IFERROR(IF($B5385=J$1, ($A5385+$C5385) - MAX(IF($B$2:$B5384=$B5385, $A$2:$A5384+$C$2:$C5384)), "")*24*60, "")</f>
        <v/>
      </c>
      <c r="K5385" s="24" t="str" cm="1">
        <f t="array" ref="K5385">IFERROR(IF($B5385=K$1, ($A5385+$C5385) - MAX(IF($B$2:$B5384=$B5385, $A$2:$A5384+$C$2:$C5384)), "")*24*60, "")</f>
        <v/>
      </c>
      <c r="L5385" s="24" t="str" cm="1">
        <f t="array" ref="L5385">IFERROR(IF($B5385=L$1, ($A5385+$C5385) - MAX(IF($B$2:$B5384=$B5385, $A$2:$A5384+$C$2:$C5384)), "")*24*60, "")</f>
        <v/>
      </c>
      <c r="M5385" s="24" t="str" cm="1">
        <f t="array" ref="M5385">IFERROR(IF($B5385=M$1, ($A5385+$C5385) - MAX(IF($B$2:$B5384=$B5385, $A$2:$A5384+$C$2:$C5384)), "")*24*60, "")</f>
        <v/>
      </c>
      <c r="N5385" s="24" t="str" cm="1">
        <f t="array" ref="N5385">IFERROR(IF($B5385=N$1, ($A5385+$C5385) - MAX(IF($B$2:$B5384=$B5385, $A$2:$A5384+$C$2:$C5384)), "")*24*60, "")</f>
        <v/>
      </c>
      <c r="O5385" s="24" t="str" cm="1">
        <f t="array" ref="O5385">IFERROR(IF($B5385=O$1, ($A5385+$C5385) - MAX(IF($B$2:$B5384=$B5385, $A$2:$A5384+$C$2:$C5384)), "")*24*60, "")</f>
        <v/>
      </c>
      <c r="P5385" s="24" t="str" cm="1">
        <f t="array" ref="P5385">IFERROR(IF($B5385=P$1, ($A5385+$C5385) - MAX(IF($B$2:$B5384=$B5385, $A$2:$A5384+$C$2:$C5384)), "")*24*60, "")</f>
        <v/>
      </c>
      <c r="Q5385" s="24" t="str" cm="1">
        <f t="array" ref="Q5385">IFERROR(IF($B5385=Q$1, ($A5385+$C5385) - MAX(IF($B$2:$B5384=$B5385, $A$2:$A5384+$C$2:$C5384)), "")*24*60, "")</f>
        <v/>
      </c>
    </row>
    <row r="5386" spans="1:17" x14ac:dyDescent="0.2">
      <c r="A5386" s="12">
        <f t="shared" ref="A5386:C5386" si="1280">A5385</f>
        <v>45983</v>
      </c>
      <c r="B5386" s="5" t="str">
        <f t="shared" si="1280"/>
        <v>Northern Cardinal</v>
      </c>
      <c r="C5386" s="6">
        <f t="shared" si="1280"/>
        <v>0.28194444444444444</v>
      </c>
      <c r="D5386" s="5"/>
      <c r="E5386" s="5"/>
      <c r="F5386" s="5" t="s">
        <v>8</v>
      </c>
      <c r="G5386" s="15" t="s">
        <v>9</v>
      </c>
      <c r="H5386" s="24">
        <f t="shared" si="1234"/>
        <v>0</v>
      </c>
      <c r="I5386" s="24" cm="1">
        <f t="array" ref="I5386">IFERROR(IF($B5386=I$1, ($A5386+$C5386) - MAX(IF($B$2:$B5385=$B5386, $A$2:$A5385+$C$2:$C5385)), "")*24*60, "")</f>
        <v>0</v>
      </c>
      <c r="J5386" s="24" t="str" cm="1">
        <f t="array" ref="J5386">IFERROR(IF($B5386=J$1, ($A5386+$C5386) - MAX(IF($B$2:$B5385=$B5386, $A$2:$A5385+$C$2:$C5385)), "")*24*60, "")</f>
        <v/>
      </c>
      <c r="K5386" s="24" t="str" cm="1">
        <f t="array" ref="K5386">IFERROR(IF($B5386=K$1, ($A5386+$C5386) - MAX(IF($B$2:$B5385=$B5386, $A$2:$A5385+$C$2:$C5385)), "")*24*60, "")</f>
        <v/>
      </c>
      <c r="L5386" s="24" t="str" cm="1">
        <f t="array" ref="L5386">IFERROR(IF($B5386=L$1, ($A5386+$C5386) - MAX(IF($B$2:$B5385=$B5386, $A$2:$A5385+$C$2:$C5385)), "")*24*60, "")</f>
        <v/>
      </c>
      <c r="M5386" s="24" t="str" cm="1">
        <f t="array" ref="M5386">IFERROR(IF($B5386=M$1, ($A5386+$C5386) - MAX(IF($B$2:$B5385=$B5386, $A$2:$A5385+$C$2:$C5385)), "")*24*60, "")</f>
        <v/>
      </c>
      <c r="N5386" s="24" t="str" cm="1">
        <f t="array" ref="N5386">IFERROR(IF($B5386=N$1, ($A5386+$C5386) - MAX(IF($B$2:$B5385=$B5386, $A$2:$A5385+$C$2:$C5385)), "")*24*60, "")</f>
        <v/>
      </c>
      <c r="O5386" s="24" t="str" cm="1">
        <f t="array" ref="O5386">IFERROR(IF($B5386=O$1, ($A5386+$C5386) - MAX(IF($B$2:$B5385=$B5386, $A$2:$A5385+$C$2:$C5385)), "")*24*60, "")</f>
        <v/>
      </c>
      <c r="P5386" s="24" t="str" cm="1">
        <f t="array" ref="P5386">IFERROR(IF($B5386=P$1, ($A5386+$C5386) - MAX(IF($B$2:$B5385=$B5386, $A$2:$A5385+$C$2:$C5385)), "")*24*60, "")</f>
        <v/>
      </c>
      <c r="Q5386" s="24" t="str" cm="1">
        <f t="array" ref="Q5386">IFERROR(IF($B5386=Q$1, ($A5386+$C5386) - MAX(IF($B$2:$B5385=$B5386, $A$2:$A5385+$C$2:$C5385)), "")*24*60, "")</f>
        <v/>
      </c>
    </row>
    <row r="5387" spans="1:17" x14ac:dyDescent="0.2">
      <c r="A5387" s="12">
        <f t="shared" ref="A5387:C5387" si="1281">A5386</f>
        <v>45983</v>
      </c>
      <c r="B5387" s="5" t="str">
        <f t="shared" si="1281"/>
        <v>Northern Cardinal</v>
      </c>
      <c r="C5387" s="6">
        <f t="shared" si="1281"/>
        <v>0.28194444444444444</v>
      </c>
      <c r="D5387" s="5"/>
      <c r="E5387" s="5"/>
      <c r="F5387" s="5" t="s">
        <v>8</v>
      </c>
      <c r="G5387" s="15" t="s">
        <v>9</v>
      </c>
      <c r="H5387" s="24">
        <f t="shared" si="1234"/>
        <v>0</v>
      </c>
      <c r="I5387" s="24" cm="1">
        <f t="array" ref="I5387">IFERROR(IF($B5387=I$1, ($A5387+$C5387) - MAX(IF($B$2:$B5386=$B5387, $A$2:$A5386+$C$2:$C5386)), "")*24*60, "")</f>
        <v>0</v>
      </c>
      <c r="J5387" s="24" t="str" cm="1">
        <f t="array" ref="J5387">IFERROR(IF($B5387=J$1, ($A5387+$C5387) - MAX(IF($B$2:$B5386=$B5387, $A$2:$A5386+$C$2:$C5386)), "")*24*60, "")</f>
        <v/>
      </c>
      <c r="K5387" s="24" t="str" cm="1">
        <f t="array" ref="K5387">IFERROR(IF($B5387=K$1, ($A5387+$C5387) - MAX(IF($B$2:$B5386=$B5387, $A$2:$A5386+$C$2:$C5386)), "")*24*60, "")</f>
        <v/>
      </c>
      <c r="L5387" s="24" t="str" cm="1">
        <f t="array" ref="L5387">IFERROR(IF($B5387=L$1, ($A5387+$C5387) - MAX(IF($B$2:$B5386=$B5387, $A$2:$A5386+$C$2:$C5386)), "")*24*60, "")</f>
        <v/>
      </c>
      <c r="M5387" s="24" t="str" cm="1">
        <f t="array" ref="M5387">IFERROR(IF($B5387=M$1, ($A5387+$C5387) - MAX(IF($B$2:$B5386=$B5387, $A$2:$A5386+$C$2:$C5386)), "")*24*60, "")</f>
        <v/>
      </c>
      <c r="N5387" s="24" t="str" cm="1">
        <f t="array" ref="N5387">IFERROR(IF($B5387=N$1, ($A5387+$C5387) - MAX(IF($B$2:$B5386=$B5387, $A$2:$A5386+$C$2:$C5386)), "")*24*60, "")</f>
        <v/>
      </c>
      <c r="O5387" s="24" t="str" cm="1">
        <f t="array" ref="O5387">IFERROR(IF($B5387=O$1, ($A5387+$C5387) - MAX(IF($B$2:$B5386=$B5387, $A$2:$A5386+$C$2:$C5386)), "")*24*60, "")</f>
        <v/>
      </c>
      <c r="P5387" s="24" t="str" cm="1">
        <f t="array" ref="P5387">IFERROR(IF($B5387=P$1, ($A5387+$C5387) - MAX(IF($B$2:$B5386=$B5387, $A$2:$A5386+$C$2:$C5386)), "")*24*60, "")</f>
        <v/>
      </c>
      <c r="Q5387" s="24" t="str" cm="1">
        <f t="array" ref="Q5387">IFERROR(IF($B5387=Q$1, ($A5387+$C5387) - MAX(IF($B$2:$B5386=$B5387, $A$2:$A5386+$C$2:$C5386)), "")*24*60, "")</f>
        <v/>
      </c>
    </row>
    <row r="5388" spans="1:17" x14ac:dyDescent="0.2">
      <c r="A5388" s="12">
        <f t="shared" ref="A5388:C5388" si="1282">A5387</f>
        <v>45983</v>
      </c>
      <c r="B5388" s="5" t="str">
        <f t="shared" si="1282"/>
        <v>Northern Cardinal</v>
      </c>
      <c r="C5388" s="6">
        <f t="shared" si="1282"/>
        <v>0.28194444444444444</v>
      </c>
      <c r="D5388" s="5"/>
      <c r="E5388" s="5"/>
      <c r="F5388" s="5" t="s">
        <v>8</v>
      </c>
      <c r="G5388" s="15" t="s">
        <v>9</v>
      </c>
      <c r="H5388" s="24">
        <f t="shared" si="1234"/>
        <v>0</v>
      </c>
      <c r="I5388" s="24" cm="1">
        <f t="array" ref="I5388">IFERROR(IF($B5388=I$1, ($A5388+$C5388) - MAX(IF($B$2:$B5387=$B5388, $A$2:$A5387+$C$2:$C5387)), "")*24*60, "")</f>
        <v>0</v>
      </c>
      <c r="J5388" s="24" t="str" cm="1">
        <f t="array" ref="J5388">IFERROR(IF($B5388=J$1, ($A5388+$C5388) - MAX(IF($B$2:$B5387=$B5388, $A$2:$A5387+$C$2:$C5387)), "")*24*60, "")</f>
        <v/>
      </c>
      <c r="K5388" s="24" t="str" cm="1">
        <f t="array" ref="K5388">IFERROR(IF($B5388=K$1, ($A5388+$C5388) - MAX(IF($B$2:$B5387=$B5388, $A$2:$A5387+$C$2:$C5387)), "")*24*60, "")</f>
        <v/>
      </c>
      <c r="L5388" s="24" t="str" cm="1">
        <f t="array" ref="L5388">IFERROR(IF($B5388=L$1, ($A5388+$C5388) - MAX(IF($B$2:$B5387=$B5388, $A$2:$A5387+$C$2:$C5387)), "")*24*60, "")</f>
        <v/>
      </c>
      <c r="M5388" s="24" t="str" cm="1">
        <f t="array" ref="M5388">IFERROR(IF($B5388=M$1, ($A5388+$C5388) - MAX(IF($B$2:$B5387=$B5388, $A$2:$A5387+$C$2:$C5387)), "")*24*60, "")</f>
        <v/>
      </c>
      <c r="N5388" s="24" t="str" cm="1">
        <f t="array" ref="N5388">IFERROR(IF($B5388=N$1, ($A5388+$C5388) - MAX(IF($B$2:$B5387=$B5388, $A$2:$A5387+$C$2:$C5387)), "")*24*60, "")</f>
        <v/>
      </c>
      <c r="O5388" s="24" t="str" cm="1">
        <f t="array" ref="O5388">IFERROR(IF($B5388=O$1, ($A5388+$C5388) - MAX(IF($B$2:$B5387=$B5388, $A$2:$A5387+$C$2:$C5387)), "")*24*60, "")</f>
        <v/>
      </c>
      <c r="P5388" s="24" t="str" cm="1">
        <f t="array" ref="P5388">IFERROR(IF($B5388=P$1, ($A5388+$C5388) - MAX(IF($B$2:$B5387=$B5388, $A$2:$A5387+$C$2:$C5387)), "")*24*60, "")</f>
        <v/>
      </c>
      <c r="Q5388" s="24" t="str" cm="1">
        <f t="array" ref="Q5388">IFERROR(IF($B5388=Q$1, ($A5388+$C5388) - MAX(IF($B$2:$B5387=$B5388, $A$2:$A5387+$C$2:$C5387)), "")*24*60, "")</f>
        <v/>
      </c>
    </row>
    <row r="5389" spans="1:17" x14ac:dyDescent="0.2">
      <c r="A5389" s="12">
        <f t="shared" ref="A5389:C5389" si="1283">A5388</f>
        <v>45983</v>
      </c>
      <c r="B5389" s="5" t="str">
        <f t="shared" si="1283"/>
        <v>Northern Cardinal</v>
      </c>
      <c r="C5389" s="6">
        <f t="shared" si="1283"/>
        <v>0.28194444444444444</v>
      </c>
      <c r="D5389" s="5"/>
      <c r="E5389" s="5"/>
      <c r="F5389" s="5" t="s">
        <v>8</v>
      </c>
      <c r="G5389" s="15" t="s">
        <v>9</v>
      </c>
      <c r="H5389" s="24">
        <f t="shared" si="1234"/>
        <v>0</v>
      </c>
      <c r="I5389" s="24" cm="1">
        <f t="array" ref="I5389">IFERROR(IF($B5389=I$1, ($A5389+$C5389) - MAX(IF($B$2:$B5388=$B5389, $A$2:$A5388+$C$2:$C5388)), "")*24*60, "")</f>
        <v>0</v>
      </c>
      <c r="J5389" s="24" t="str" cm="1">
        <f t="array" ref="J5389">IFERROR(IF($B5389=J$1, ($A5389+$C5389) - MAX(IF($B$2:$B5388=$B5389, $A$2:$A5388+$C$2:$C5388)), "")*24*60, "")</f>
        <v/>
      </c>
      <c r="K5389" s="24" t="str" cm="1">
        <f t="array" ref="K5389">IFERROR(IF($B5389=K$1, ($A5389+$C5389) - MAX(IF($B$2:$B5388=$B5389, $A$2:$A5388+$C$2:$C5388)), "")*24*60, "")</f>
        <v/>
      </c>
      <c r="L5389" s="24" t="str" cm="1">
        <f t="array" ref="L5389">IFERROR(IF($B5389=L$1, ($A5389+$C5389) - MAX(IF($B$2:$B5388=$B5389, $A$2:$A5388+$C$2:$C5388)), "")*24*60, "")</f>
        <v/>
      </c>
      <c r="M5389" s="24" t="str" cm="1">
        <f t="array" ref="M5389">IFERROR(IF($B5389=M$1, ($A5389+$C5389) - MAX(IF($B$2:$B5388=$B5389, $A$2:$A5388+$C$2:$C5388)), "")*24*60, "")</f>
        <v/>
      </c>
      <c r="N5389" s="24" t="str" cm="1">
        <f t="array" ref="N5389">IFERROR(IF($B5389=N$1, ($A5389+$C5389) - MAX(IF($B$2:$B5388=$B5389, $A$2:$A5388+$C$2:$C5388)), "")*24*60, "")</f>
        <v/>
      </c>
      <c r="O5389" s="24" t="str" cm="1">
        <f t="array" ref="O5389">IFERROR(IF($B5389=O$1, ($A5389+$C5389) - MAX(IF($B$2:$B5388=$B5389, $A$2:$A5388+$C$2:$C5388)), "")*24*60, "")</f>
        <v/>
      </c>
      <c r="P5389" s="24" t="str" cm="1">
        <f t="array" ref="P5389">IFERROR(IF($B5389=P$1, ($A5389+$C5389) - MAX(IF($B$2:$B5388=$B5389, $A$2:$A5388+$C$2:$C5388)), "")*24*60, "")</f>
        <v/>
      </c>
      <c r="Q5389" s="24" t="str" cm="1">
        <f t="array" ref="Q5389">IFERROR(IF($B5389=Q$1, ($A5389+$C5389) - MAX(IF($B$2:$B5388=$B5389, $A$2:$A5388+$C$2:$C5388)), "")*24*60, "")</f>
        <v/>
      </c>
    </row>
    <row r="5390" spans="1:17" x14ac:dyDescent="0.2">
      <c r="A5390" s="12">
        <f t="shared" ref="A5390:C5390" si="1284">A5389</f>
        <v>45983</v>
      </c>
      <c r="B5390" s="5" t="str">
        <f t="shared" si="1284"/>
        <v>Northern Cardinal</v>
      </c>
      <c r="C5390" s="6">
        <f t="shared" si="1284"/>
        <v>0.28194444444444444</v>
      </c>
      <c r="D5390" s="5"/>
      <c r="E5390" s="5"/>
      <c r="F5390" s="5" t="s">
        <v>8</v>
      </c>
      <c r="G5390" s="15" t="s">
        <v>9</v>
      </c>
      <c r="H5390" s="24">
        <f t="shared" si="1234"/>
        <v>0</v>
      </c>
      <c r="I5390" s="24" cm="1">
        <f t="array" ref="I5390">IFERROR(IF($B5390=I$1, ($A5390+$C5390) - MAX(IF($B$2:$B5389=$B5390, $A$2:$A5389+$C$2:$C5389)), "")*24*60, "")</f>
        <v>0</v>
      </c>
      <c r="J5390" s="24" t="str" cm="1">
        <f t="array" ref="J5390">IFERROR(IF($B5390=J$1, ($A5390+$C5390) - MAX(IF($B$2:$B5389=$B5390, $A$2:$A5389+$C$2:$C5389)), "")*24*60, "")</f>
        <v/>
      </c>
      <c r="K5390" s="24" t="str" cm="1">
        <f t="array" ref="K5390">IFERROR(IF($B5390=K$1, ($A5390+$C5390) - MAX(IF($B$2:$B5389=$B5390, $A$2:$A5389+$C$2:$C5389)), "")*24*60, "")</f>
        <v/>
      </c>
      <c r="L5390" s="24" t="str" cm="1">
        <f t="array" ref="L5390">IFERROR(IF($B5390=L$1, ($A5390+$C5390) - MAX(IF($B$2:$B5389=$B5390, $A$2:$A5389+$C$2:$C5389)), "")*24*60, "")</f>
        <v/>
      </c>
      <c r="M5390" s="24" t="str" cm="1">
        <f t="array" ref="M5390">IFERROR(IF($B5390=M$1, ($A5390+$C5390) - MAX(IF($B$2:$B5389=$B5390, $A$2:$A5389+$C$2:$C5389)), "")*24*60, "")</f>
        <v/>
      </c>
      <c r="N5390" s="24" t="str" cm="1">
        <f t="array" ref="N5390">IFERROR(IF($B5390=N$1, ($A5390+$C5390) - MAX(IF($B$2:$B5389=$B5390, $A$2:$A5389+$C$2:$C5389)), "")*24*60, "")</f>
        <v/>
      </c>
      <c r="O5390" s="24" t="str" cm="1">
        <f t="array" ref="O5390">IFERROR(IF($B5390=O$1, ($A5390+$C5390) - MAX(IF($B$2:$B5389=$B5390, $A$2:$A5389+$C$2:$C5389)), "")*24*60, "")</f>
        <v/>
      </c>
      <c r="P5390" s="24" t="str" cm="1">
        <f t="array" ref="P5390">IFERROR(IF($B5390=P$1, ($A5390+$C5390) - MAX(IF($B$2:$B5389=$B5390, $A$2:$A5389+$C$2:$C5389)), "")*24*60, "")</f>
        <v/>
      </c>
      <c r="Q5390" s="24" t="str" cm="1">
        <f t="array" ref="Q5390">IFERROR(IF($B5390=Q$1, ($A5390+$C5390) - MAX(IF($B$2:$B5389=$B5390, $A$2:$A5389+$C$2:$C5389)), "")*24*60, "")</f>
        <v/>
      </c>
    </row>
    <row r="5391" spans="1:17" x14ac:dyDescent="0.2">
      <c r="A5391" s="12">
        <f t="shared" ref="A5391:C5391" si="1285">A5390</f>
        <v>45983</v>
      </c>
      <c r="B5391" s="5" t="str">
        <f t="shared" si="1285"/>
        <v>Northern Cardinal</v>
      </c>
      <c r="C5391" s="6">
        <f t="shared" si="1285"/>
        <v>0.28194444444444444</v>
      </c>
      <c r="D5391" s="5"/>
      <c r="E5391" s="5"/>
      <c r="F5391" s="5" t="s">
        <v>8</v>
      </c>
      <c r="G5391" s="15" t="s">
        <v>9</v>
      </c>
      <c r="H5391" s="24">
        <f t="shared" si="1234"/>
        <v>0</v>
      </c>
      <c r="I5391" s="24" cm="1">
        <f t="array" ref="I5391">IFERROR(IF($B5391=I$1, ($A5391+$C5391) - MAX(IF($B$2:$B5390=$B5391, $A$2:$A5390+$C$2:$C5390)), "")*24*60, "")</f>
        <v>0</v>
      </c>
      <c r="J5391" s="24" t="str" cm="1">
        <f t="array" ref="J5391">IFERROR(IF($B5391=J$1, ($A5391+$C5391) - MAX(IF($B$2:$B5390=$B5391, $A$2:$A5390+$C$2:$C5390)), "")*24*60, "")</f>
        <v/>
      </c>
      <c r="K5391" s="24" t="str" cm="1">
        <f t="array" ref="K5391">IFERROR(IF($B5391=K$1, ($A5391+$C5391) - MAX(IF($B$2:$B5390=$B5391, $A$2:$A5390+$C$2:$C5390)), "")*24*60, "")</f>
        <v/>
      </c>
      <c r="L5391" s="24" t="str" cm="1">
        <f t="array" ref="L5391">IFERROR(IF($B5391=L$1, ($A5391+$C5391) - MAX(IF($B$2:$B5390=$B5391, $A$2:$A5390+$C$2:$C5390)), "")*24*60, "")</f>
        <v/>
      </c>
      <c r="M5391" s="24" t="str" cm="1">
        <f t="array" ref="M5391">IFERROR(IF($B5391=M$1, ($A5391+$C5391) - MAX(IF($B$2:$B5390=$B5391, $A$2:$A5390+$C$2:$C5390)), "")*24*60, "")</f>
        <v/>
      </c>
      <c r="N5391" s="24" t="str" cm="1">
        <f t="array" ref="N5391">IFERROR(IF($B5391=N$1, ($A5391+$C5391) - MAX(IF($B$2:$B5390=$B5391, $A$2:$A5390+$C$2:$C5390)), "")*24*60, "")</f>
        <v/>
      </c>
      <c r="O5391" s="24" t="str" cm="1">
        <f t="array" ref="O5391">IFERROR(IF($B5391=O$1, ($A5391+$C5391) - MAX(IF($B$2:$B5390=$B5391, $A$2:$A5390+$C$2:$C5390)), "")*24*60, "")</f>
        <v/>
      </c>
      <c r="P5391" s="24" t="str" cm="1">
        <f t="array" ref="P5391">IFERROR(IF($B5391=P$1, ($A5391+$C5391) - MAX(IF($B$2:$B5390=$B5391, $A$2:$A5390+$C$2:$C5390)), "")*24*60, "")</f>
        <v/>
      </c>
      <c r="Q5391" s="24" t="str" cm="1">
        <f t="array" ref="Q5391">IFERROR(IF($B5391=Q$1, ($A5391+$C5391) - MAX(IF($B$2:$B5390=$B5391, $A$2:$A5390+$C$2:$C5390)), "")*24*60, "")</f>
        <v/>
      </c>
    </row>
    <row r="5392" spans="1:17" x14ac:dyDescent="0.2">
      <c r="A5392" s="12">
        <f t="shared" ref="A5392:C5392" si="1286">A5391</f>
        <v>45983</v>
      </c>
      <c r="B5392" s="5" t="str">
        <f t="shared" si="1286"/>
        <v>Northern Cardinal</v>
      </c>
      <c r="C5392" s="6">
        <f t="shared" si="1286"/>
        <v>0.28194444444444444</v>
      </c>
      <c r="D5392" s="5"/>
      <c r="E5392" s="5"/>
      <c r="F5392" s="5" t="s">
        <v>8</v>
      </c>
      <c r="G5392" s="15" t="s">
        <v>9</v>
      </c>
      <c r="H5392" s="24">
        <f t="shared" si="1234"/>
        <v>0</v>
      </c>
      <c r="I5392" s="24" cm="1">
        <f t="array" ref="I5392">IFERROR(IF($B5392=I$1, ($A5392+$C5392) - MAX(IF($B$2:$B5391=$B5392, $A$2:$A5391+$C$2:$C5391)), "")*24*60, "")</f>
        <v>0</v>
      </c>
      <c r="J5392" s="24" t="str" cm="1">
        <f t="array" ref="J5392">IFERROR(IF($B5392=J$1, ($A5392+$C5392) - MAX(IF($B$2:$B5391=$B5392, $A$2:$A5391+$C$2:$C5391)), "")*24*60, "")</f>
        <v/>
      </c>
      <c r="K5392" s="24" t="str" cm="1">
        <f t="array" ref="K5392">IFERROR(IF($B5392=K$1, ($A5392+$C5392) - MAX(IF($B$2:$B5391=$B5392, $A$2:$A5391+$C$2:$C5391)), "")*24*60, "")</f>
        <v/>
      </c>
      <c r="L5392" s="24" t="str" cm="1">
        <f t="array" ref="L5392">IFERROR(IF($B5392=L$1, ($A5392+$C5392) - MAX(IF($B$2:$B5391=$B5392, $A$2:$A5391+$C$2:$C5391)), "")*24*60, "")</f>
        <v/>
      </c>
      <c r="M5392" s="24" t="str" cm="1">
        <f t="array" ref="M5392">IFERROR(IF($B5392=M$1, ($A5392+$C5392) - MAX(IF($B$2:$B5391=$B5392, $A$2:$A5391+$C$2:$C5391)), "")*24*60, "")</f>
        <v/>
      </c>
      <c r="N5392" s="24" t="str" cm="1">
        <f t="array" ref="N5392">IFERROR(IF($B5392=N$1, ($A5392+$C5392) - MAX(IF($B$2:$B5391=$B5392, $A$2:$A5391+$C$2:$C5391)), "")*24*60, "")</f>
        <v/>
      </c>
      <c r="O5392" s="24" t="str" cm="1">
        <f t="array" ref="O5392">IFERROR(IF($B5392=O$1, ($A5392+$C5392) - MAX(IF($B$2:$B5391=$B5392, $A$2:$A5391+$C$2:$C5391)), "")*24*60, "")</f>
        <v/>
      </c>
      <c r="P5392" s="24" t="str" cm="1">
        <f t="array" ref="P5392">IFERROR(IF($B5392=P$1, ($A5392+$C5392) - MAX(IF($B$2:$B5391=$B5392, $A$2:$A5391+$C$2:$C5391)), "")*24*60, "")</f>
        <v/>
      </c>
      <c r="Q5392" s="24" t="str" cm="1">
        <f t="array" ref="Q5392">IFERROR(IF($B5392=Q$1, ($A5392+$C5392) - MAX(IF($B$2:$B5391=$B5392, $A$2:$A5391+$C$2:$C5391)), "")*24*60, "")</f>
        <v/>
      </c>
    </row>
    <row r="5393" spans="1:17" x14ac:dyDescent="0.2">
      <c r="A5393" s="12">
        <f t="shared" ref="A5393:C5393" si="1287">A5392</f>
        <v>45983</v>
      </c>
      <c r="B5393" s="5" t="str">
        <f t="shared" si="1287"/>
        <v>Northern Cardinal</v>
      </c>
      <c r="C5393" s="6">
        <f t="shared" si="1287"/>
        <v>0.28194444444444444</v>
      </c>
      <c r="D5393" s="5"/>
      <c r="E5393" s="5"/>
      <c r="F5393" s="5" t="s">
        <v>8</v>
      </c>
      <c r="G5393" s="15" t="s">
        <v>9</v>
      </c>
      <c r="H5393" s="24">
        <f t="shared" si="1234"/>
        <v>0</v>
      </c>
      <c r="I5393" s="24" cm="1">
        <f t="array" ref="I5393">IFERROR(IF($B5393=I$1, ($A5393+$C5393) - MAX(IF($B$2:$B5392=$B5393, $A$2:$A5392+$C$2:$C5392)), "")*24*60, "")</f>
        <v>0</v>
      </c>
      <c r="J5393" s="24" t="str" cm="1">
        <f t="array" ref="J5393">IFERROR(IF($B5393=J$1, ($A5393+$C5393) - MAX(IF($B$2:$B5392=$B5393, $A$2:$A5392+$C$2:$C5392)), "")*24*60, "")</f>
        <v/>
      </c>
      <c r="K5393" s="24" t="str" cm="1">
        <f t="array" ref="K5393">IFERROR(IF($B5393=K$1, ($A5393+$C5393) - MAX(IF($B$2:$B5392=$B5393, $A$2:$A5392+$C$2:$C5392)), "")*24*60, "")</f>
        <v/>
      </c>
      <c r="L5393" s="24" t="str" cm="1">
        <f t="array" ref="L5393">IFERROR(IF($B5393=L$1, ($A5393+$C5393) - MAX(IF($B$2:$B5392=$B5393, $A$2:$A5392+$C$2:$C5392)), "")*24*60, "")</f>
        <v/>
      </c>
      <c r="M5393" s="24" t="str" cm="1">
        <f t="array" ref="M5393">IFERROR(IF($B5393=M$1, ($A5393+$C5393) - MAX(IF($B$2:$B5392=$B5393, $A$2:$A5392+$C$2:$C5392)), "")*24*60, "")</f>
        <v/>
      </c>
      <c r="N5393" s="24" t="str" cm="1">
        <f t="array" ref="N5393">IFERROR(IF($B5393=N$1, ($A5393+$C5393) - MAX(IF($B$2:$B5392=$B5393, $A$2:$A5392+$C$2:$C5392)), "")*24*60, "")</f>
        <v/>
      </c>
      <c r="O5393" s="24" t="str" cm="1">
        <f t="array" ref="O5393">IFERROR(IF($B5393=O$1, ($A5393+$C5393) - MAX(IF($B$2:$B5392=$B5393, $A$2:$A5392+$C$2:$C5392)), "")*24*60, "")</f>
        <v/>
      </c>
      <c r="P5393" s="24" t="str" cm="1">
        <f t="array" ref="P5393">IFERROR(IF($B5393=P$1, ($A5393+$C5393) - MAX(IF($B$2:$B5392=$B5393, $A$2:$A5392+$C$2:$C5392)), "")*24*60, "")</f>
        <v/>
      </c>
      <c r="Q5393" s="24" t="str" cm="1">
        <f t="array" ref="Q5393">IFERROR(IF($B5393=Q$1, ($A5393+$C5393) - MAX(IF($B$2:$B5392=$B5393, $A$2:$A5392+$C$2:$C5392)), "")*24*60, "")</f>
        <v/>
      </c>
    </row>
    <row r="5394" spans="1:17" x14ac:dyDescent="0.2">
      <c r="A5394" s="12">
        <f t="shared" ref="A5394:C5394" si="1288">A5393</f>
        <v>45983</v>
      </c>
      <c r="B5394" s="5" t="str">
        <f t="shared" si="1288"/>
        <v>Northern Cardinal</v>
      </c>
      <c r="C5394" s="6">
        <f t="shared" si="1288"/>
        <v>0.28194444444444444</v>
      </c>
      <c r="D5394" s="5"/>
      <c r="E5394" s="5"/>
      <c r="F5394" s="5" t="s">
        <v>8</v>
      </c>
      <c r="G5394" s="15" t="s">
        <v>9</v>
      </c>
      <c r="H5394" s="24">
        <f t="shared" si="1234"/>
        <v>0</v>
      </c>
      <c r="I5394" s="24" cm="1">
        <f t="array" ref="I5394">IFERROR(IF($B5394=I$1, ($A5394+$C5394) - MAX(IF($B$2:$B5393=$B5394, $A$2:$A5393+$C$2:$C5393)), "")*24*60, "")</f>
        <v>0</v>
      </c>
      <c r="J5394" s="24" t="str" cm="1">
        <f t="array" ref="J5394">IFERROR(IF($B5394=J$1, ($A5394+$C5394) - MAX(IF($B$2:$B5393=$B5394, $A$2:$A5393+$C$2:$C5393)), "")*24*60, "")</f>
        <v/>
      </c>
      <c r="K5394" s="24" t="str" cm="1">
        <f t="array" ref="K5394">IFERROR(IF($B5394=K$1, ($A5394+$C5394) - MAX(IF($B$2:$B5393=$B5394, $A$2:$A5393+$C$2:$C5393)), "")*24*60, "")</f>
        <v/>
      </c>
      <c r="L5394" s="24" t="str" cm="1">
        <f t="array" ref="L5394">IFERROR(IF($B5394=L$1, ($A5394+$C5394) - MAX(IF($B$2:$B5393=$B5394, $A$2:$A5393+$C$2:$C5393)), "")*24*60, "")</f>
        <v/>
      </c>
      <c r="M5394" s="24" t="str" cm="1">
        <f t="array" ref="M5394">IFERROR(IF($B5394=M$1, ($A5394+$C5394) - MAX(IF($B$2:$B5393=$B5394, $A$2:$A5393+$C$2:$C5393)), "")*24*60, "")</f>
        <v/>
      </c>
      <c r="N5394" s="24" t="str" cm="1">
        <f t="array" ref="N5394">IFERROR(IF($B5394=N$1, ($A5394+$C5394) - MAX(IF($B$2:$B5393=$B5394, $A$2:$A5393+$C$2:$C5393)), "")*24*60, "")</f>
        <v/>
      </c>
      <c r="O5394" s="24" t="str" cm="1">
        <f t="array" ref="O5394">IFERROR(IF($B5394=O$1, ($A5394+$C5394) - MAX(IF($B$2:$B5393=$B5394, $A$2:$A5393+$C$2:$C5393)), "")*24*60, "")</f>
        <v/>
      </c>
      <c r="P5394" s="24" t="str" cm="1">
        <f t="array" ref="P5394">IFERROR(IF($B5394=P$1, ($A5394+$C5394) - MAX(IF($B$2:$B5393=$B5394, $A$2:$A5393+$C$2:$C5393)), "")*24*60, "")</f>
        <v/>
      </c>
      <c r="Q5394" s="24" t="str" cm="1">
        <f t="array" ref="Q5394">IFERROR(IF($B5394=Q$1, ($A5394+$C5394) - MAX(IF($B$2:$B5393=$B5394, $A$2:$A5393+$C$2:$C5393)), "")*24*60, "")</f>
        <v/>
      </c>
    </row>
    <row r="5395" spans="1:17" x14ac:dyDescent="0.2">
      <c r="A5395" s="12">
        <f t="shared" ref="A5395:C5395" si="1289">A5394</f>
        <v>45983</v>
      </c>
      <c r="B5395" s="5" t="str">
        <f t="shared" si="1289"/>
        <v>Northern Cardinal</v>
      </c>
      <c r="C5395" s="6">
        <f t="shared" si="1289"/>
        <v>0.28194444444444444</v>
      </c>
      <c r="D5395" s="5"/>
      <c r="E5395" s="5"/>
      <c r="F5395" s="5" t="s">
        <v>8</v>
      </c>
      <c r="G5395" s="15" t="s">
        <v>9</v>
      </c>
      <c r="H5395" s="24">
        <f t="shared" si="1234"/>
        <v>0</v>
      </c>
      <c r="I5395" s="24" cm="1">
        <f t="array" ref="I5395">IFERROR(IF($B5395=I$1, ($A5395+$C5395) - MAX(IF($B$2:$B5394=$B5395, $A$2:$A5394+$C$2:$C5394)), "")*24*60, "")</f>
        <v>0</v>
      </c>
      <c r="J5395" s="24" t="str" cm="1">
        <f t="array" ref="J5395">IFERROR(IF($B5395=J$1, ($A5395+$C5395) - MAX(IF($B$2:$B5394=$B5395, $A$2:$A5394+$C$2:$C5394)), "")*24*60, "")</f>
        <v/>
      </c>
      <c r="K5395" s="24" t="str" cm="1">
        <f t="array" ref="K5395">IFERROR(IF($B5395=K$1, ($A5395+$C5395) - MAX(IF($B$2:$B5394=$B5395, $A$2:$A5394+$C$2:$C5394)), "")*24*60, "")</f>
        <v/>
      </c>
      <c r="L5395" s="24" t="str" cm="1">
        <f t="array" ref="L5395">IFERROR(IF($B5395=L$1, ($A5395+$C5395) - MAX(IF($B$2:$B5394=$B5395, $A$2:$A5394+$C$2:$C5394)), "")*24*60, "")</f>
        <v/>
      </c>
      <c r="M5395" s="24" t="str" cm="1">
        <f t="array" ref="M5395">IFERROR(IF($B5395=M$1, ($A5395+$C5395) - MAX(IF($B$2:$B5394=$B5395, $A$2:$A5394+$C$2:$C5394)), "")*24*60, "")</f>
        <v/>
      </c>
      <c r="N5395" s="24" t="str" cm="1">
        <f t="array" ref="N5395">IFERROR(IF($B5395=N$1, ($A5395+$C5395) - MAX(IF($B$2:$B5394=$B5395, $A$2:$A5394+$C$2:$C5394)), "")*24*60, "")</f>
        <v/>
      </c>
      <c r="O5395" s="24" t="str" cm="1">
        <f t="array" ref="O5395">IFERROR(IF($B5395=O$1, ($A5395+$C5395) - MAX(IF($B$2:$B5394=$B5395, $A$2:$A5394+$C$2:$C5394)), "")*24*60, "")</f>
        <v/>
      </c>
      <c r="P5395" s="24" t="str" cm="1">
        <f t="array" ref="P5395">IFERROR(IF($B5395=P$1, ($A5395+$C5395) - MAX(IF($B$2:$B5394=$B5395, $A$2:$A5394+$C$2:$C5394)), "")*24*60, "")</f>
        <v/>
      </c>
      <c r="Q5395" s="24" t="str" cm="1">
        <f t="array" ref="Q5395">IFERROR(IF($B5395=Q$1, ($A5395+$C5395) - MAX(IF($B$2:$B5394=$B5395, $A$2:$A5394+$C$2:$C5394)), "")*24*60, "")</f>
        <v/>
      </c>
    </row>
    <row r="5396" spans="1:17" x14ac:dyDescent="0.2">
      <c r="A5396" s="12">
        <f t="shared" ref="A5396:C5396" si="1290">A5395</f>
        <v>45983</v>
      </c>
      <c r="B5396" s="5" t="str">
        <f t="shared" si="1290"/>
        <v>Northern Cardinal</v>
      </c>
      <c r="C5396" s="6">
        <f t="shared" si="1290"/>
        <v>0.28194444444444444</v>
      </c>
      <c r="D5396" s="5"/>
      <c r="E5396" s="5"/>
      <c r="F5396" s="5" t="s">
        <v>8</v>
      </c>
      <c r="G5396" s="15" t="s">
        <v>9</v>
      </c>
      <c r="H5396" s="24">
        <f t="shared" si="1234"/>
        <v>0</v>
      </c>
      <c r="I5396" s="24" cm="1">
        <f t="array" ref="I5396">IFERROR(IF($B5396=I$1, ($A5396+$C5396) - MAX(IF($B$2:$B5395=$B5396, $A$2:$A5395+$C$2:$C5395)), "")*24*60, "")</f>
        <v>0</v>
      </c>
      <c r="J5396" s="24" t="str" cm="1">
        <f t="array" ref="J5396">IFERROR(IF($B5396=J$1, ($A5396+$C5396) - MAX(IF($B$2:$B5395=$B5396, $A$2:$A5395+$C$2:$C5395)), "")*24*60, "")</f>
        <v/>
      </c>
      <c r="K5396" s="24" t="str" cm="1">
        <f t="array" ref="K5396">IFERROR(IF($B5396=K$1, ($A5396+$C5396) - MAX(IF($B$2:$B5395=$B5396, $A$2:$A5395+$C$2:$C5395)), "")*24*60, "")</f>
        <v/>
      </c>
      <c r="L5396" s="24" t="str" cm="1">
        <f t="array" ref="L5396">IFERROR(IF($B5396=L$1, ($A5396+$C5396) - MAX(IF($B$2:$B5395=$B5396, $A$2:$A5395+$C$2:$C5395)), "")*24*60, "")</f>
        <v/>
      </c>
      <c r="M5396" s="24" t="str" cm="1">
        <f t="array" ref="M5396">IFERROR(IF($B5396=M$1, ($A5396+$C5396) - MAX(IF($B$2:$B5395=$B5396, $A$2:$A5395+$C$2:$C5395)), "")*24*60, "")</f>
        <v/>
      </c>
      <c r="N5396" s="24" t="str" cm="1">
        <f t="array" ref="N5396">IFERROR(IF($B5396=N$1, ($A5396+$C5396) - MAX(IF($B$2:$B5395=$B5396, $A$2:$A5395+$C$2:$C5395)), "")*24*60, "")</f>
        <v/>
      </c>
      <c r="O5396" s="24" t="str" cm="1">
        <f t="array" ref="O5396">IFERROR(IF($B5396=O$1, ($A5396+$C5396) - MAX(IF($B$2:$B5395=$B5396, $A$2:$A5395+$C$2:$C5395)), "")*24*60, "")</f>
        <v/>
      </c>
      <c r="P5396" s="24" t="str" cm="1">
        <f t="array" ref="P5396">IFERROR(IF($B5396=P$1, ($A5396+$C5396) - MAX(IF($B$2:$B5395=$B5396, $A$2:$A5395+$C$2:$C5395)), "")*24*60, "")</f>
        <v/>
      </c>
      <c r="Q5396" s="24" t="str" cm="1">
        <f t="array" ref="Q5396">IFERROR(IF($B5396=Q$1, ($A5396+$C5396) - MAX(IF($B$2:$B5395=$B5396, $A$2:$A5395+$C$2:$C5395)), "")*24*60, "")</f>
        <v/>
      </c>
    </row>
    <row r="5397" spans="1:17" x14ac:dyDescent="0.2">
      <c r="A5397" s="12">
        <f t="shared" ref="A5397:C5397" si="1291">A5396</f>
        <v>45983</v>
      </c>
      <c r="B5397" s="5" t="str">
        <f t="shared" si="1291"/>
        <v>Northern Cardinal</v>
      </c>
      <c r="C5397" s="6">
        <f t="shared" si="1291"/>
        <v>0.28194444444444444</v>
      </c>
      <c r="D5397" s="5"/>
      <c r="E5397" s="5"/>
      <c r="F5397" s="5" t="s">
        <v>8</v>
      </c>
      <c r="G5397" s="15" t="s">
        <v>9</v>
      </c>
      <c r="H5397" s="24">
        <f t="shared" si="1234"/>
        <v>0</v>
      </c>
      <c r="I5397" s="24" cm="1">
        <f t="array" ref="I5397">IFERROR(IF($B5397=I$1, ($A5397+$C5397) - MAX(IF($B$2:$B5396=$B5397, $A$2:$A5396+$C$2:$C5396)), "")*24*60, "")</f>
        <v>0</v>
      </c>
      <c r="J5397" s="24" t="str" cm="1">
        <f t="array" ref="J5397">IFERROR(IF($B5397=J$1, ($A5397+$C5397) - MAX(IF($B$2:$B5396=$B5397, $A$2:$A5396+$C$2:$C5396)), "")*24*60, "")</f>
        <v/>
      </c>
      <c r="K5397" s="24" t="str" cm="1">
        <f t="array" ref="K5397">IFERROR(IF($B5397=K$1, ($A5397+$C5397) - MAX(IF($B$2:$B5396=$B5397, $A$2:$A5396+$C$2:$C5396)), "")*24*60, "")</f>
        <v/>
      </c>
      <c r="L5397" s="24" t="str" cm="1">
        <f t="array" ref="L5397">IFERROR(IF($B5397=L$1, ($A5397+$C5397) - MAX(IF($B$2:$B5396=$B5397, $A$2:$A5396+$C$2:$C5396)), "")*24*60, "")</f>
        <v/>
      </c>
      <c r="M5397" s="24" t="str" cm="1">
        <f t="array" ref="M5397">IFERROR(IF($B5397=M$1, ($A5397+$C5397) - MAX(IF($B$2:$B5396=$B5397, $A$2:$A5396+$C$2:$C5396)), "")*24*60, "")</f>
        <v/>
      </c>
      <c r="N5397" s="24" t="str" cm="1">
        <f t="array" ref="N5397">IFERROR(IF($B5397=N$1, ($A5397+$C5397) - MAX(IF($B$2:$B5396=$B5397, $A$2:$A5396+$C$2:$C5396)), "")*24*60, "")</f>
        <v/>
      </c>
      <c r="O5397" s="24" t="str" cm="1">
        <f t="array" ref="O5397">IFERROR(IF($B5397=O$1, ($A5397+$C5397) - MAX(IF($B$2:$B5396=$B5397, $A$2:$A5396+$C$2:$C5396)), "")*24*60, "")</f>
        <v/>
      </c>
      <c r="P5397" s="24" t="str" cm="1">
        <f t="array" ref="P5397">IFERROR(IF($B5397=P$1, ($A5397+$C5397) - MAX(IF($B$2:$B5396=$B5397, $A$2:$A5396+$C$2:$C5396)), "")*24*60, "")</f>
        <v/>
      </c>
      <c r="Q5397" s="24" t="str" cm="1">
        <f t="array" ref="Q5397">IFERROR(IF($B5397=Q$1, ($A5397+$C5397) - MAX(IF($B$2:$B5396=$B5397, $A$2:$A5396+$C$2:$C5396)), "")*24*60, "")</f>
        <v/>
      </c>
    </row>
    <row r="5398" spans="1:17" x14ac:dyDescent="0.2">
      <c r="A5398" s="12">
        <f t="shared" ref="A5398:C5398" si="1292">A5397</f>
        <v>45983</v>
      </c>
      <c r="B5398" s="5" t="str">
        <f t="shared" si="1292"/>
        <v>Northern Cardinal</v>
      </c>
      <c r="C5398" s="6">
        <f t="shared" si="1292"/>
        <v>0.28194444444444444</v>
      </c>
      <c r="D5398" s="5"/>
      <c r="E5398" s="5"/>
      <c r="F5398" s="5" t="s">
        <v>8</v>
      </c>
      <c r="G5398" s="15" t="s">
        <v>9</v>
      </c>
      <c r="H5398" s="24">
        <f t="shared" si="1234"/>
        <v>0</v>
      </c>
      <c r="I5398" s="24" cm="1">
        <f t="array" ref="I5398">IFERROR(IF($B5398=I$1, ($A5398+$C5398) - MAX(IF($B$2:$B5397=$B5398, $A$2:$A5397+$C$2:$C5397)), "")*24*60, "")</f>
        <v>0</v>
      </c>
      <c r="J5398" s="24" t="str" cm="1">
        <f t="array" ref="J5398">IFERROR(IF($B5398=J$1, ($A5398+$C5398) - MAX(IF($B$2:$B5397=$B5398, $A$2:$A5397+$C$2:$C5397)), "")*24*60, "")</f>
        <v/>
      </c>
      <c r="K5398" s="24" t="str" cm="1">
        <f t="array" ref="K5398">IFERROR(IF($B5398=K$1, ($A5398+$C5398) - MAX(IF($B$2:$B5397=$B5398, $A$2:$A5397+$C$2:$C5397)), "")*24*60, "")</f>
        <v/>
      </c>
      <c r="L5398" s="24" t="str" cm="1">
        <f t="array" ref="L5398">IFERROR(IF($B5398=L$1, ($A5398+$C5398) - MAX(IF($B$2:$B5397=$B5398, $A$2:$A5397+$C$2:$C5397)), "")*24*60, "")</f>
        <v/>
      </c>
      <c r="M5398" s="24" t="str" cm="1">
        <f t="array" ref="M5398">IFERROR(IF($B5398=M$1, ($A5398+$C5398) - MAX(IF($B$2:$B5397=$B5398, $A$2:$A5397+$C$2:$C5397)), "")*24*60, "")</f>
        <v/>
      </c>
      <c r="N5398" s="24" t="str" cm="1">
        <f t="array" ref="N5398">IFERROR(IF($B5398=N$1, ($A5398+$C5398) - MAX(IF($B$2:$B5397=$B5398, $A$2:$A5397+$C$2:$C5397)), "")*24*60, "")</f>
        <v/>
      </c>
      <c r="O5398" s="24" t="str" cm="1">
        <f t="array" ref="O5398">IFERROR(IF($B5398=O$1, ($A5398+$C5398) - MAX(IF($B$2:$B5397=$B5398, $A$2:$A5397+$C$2:$C5397)), "")*24*60, "")</f>
        <v/>
      </c>
      <c r="P5398" s="24" t="str" cm="1">
        <f t="array" ref="P5398">IFERROR(IF($B5398=P$1, ($A5398+$C5398) - MAX(IF($B$2:$B5397=$B5398, $A$2:$A5397+$C$2:$C5397)), "")*24*60, "")</f>
        <v/>
      </c>
      <c r="Q5398" s="24" t="str" cm="1">
        <f t="array" ref="Q5398">IFERROR(IF($B5398=Q$1, ($A5398+$C5398) - MAX(IF($B$2:$B5397=$B5398, $A$2:$A5397+$C$2:$C5397)), "")*24*60, "")</f>
        <v/>
      </c>
    </row>
    <row r="5399" spans="1:17" x14ac:dyDescent="0.2">
      <c r="A5399" s="12">
        <f t="shared" ref="A5399:C5399" si="1293">A5398</f>
        <v>45983</v>
      </c>
      <c r="B5399" s="5" t="str">
        <f t="shared" si="1293"/>
        <v>Northern Cardinal</v>
      </c>
      <c r="C5399" s="6">
        <f t="shared" si="1293"/>
        <v>0.28194444444444444</v>
      </c>
      <c r="D5399" s="5"/>
      <c r="E5399" s="5"/>
      <c r="F5399" s="5" t="s">
        <v>8</v>
      </c>
      <c r="G5399" s="15" t="s">
        <v>9</v>
      </c>
      <c r="H5399" s="24">
        <f t="shared" si="1234"/>
        <v>0</v>
      </c>
      <c r="I5399" s="24" cm="1">
        <f t="array" ref="I5399">IFERROR(IF($B5399=I$1, ($A5399+$C5399) - MAX(IF($B$2:$B5398=$B5399, $A$2:$A5398+$C$2:$C5398)), "")*24*60, "")</f>
        <v>0</v>
      </c>
      <c r="J5399" s="24" t="str" cm="1">
        <f t="array" ref="J5399">IFERROR(IF($B5399=J$1, ($A5399+$C5399) - MAX(IF($B$2:$B5398=$B5399, $A$2:$A5398+$C$2:$C5398)), "")*24*60, "")</f>
        <v/>
      </c>
      <c r="K5399" s="24" t="str" cm="1">
        <f t="array" ref="K5399">IFERROR(IF($B5399=K$1, ($A5399+$C5399) - MAX(IF($B$2:$B5398=$B5399, $A$2:$A5398+$C$2:$C5398)), "")*24*60, "")</f>
        <v/>
      </c>
      <c r="L5399" s="24" t="str" cm="1">
        <f t="array" ref="L5399">IFERROR(IF($B5399=L$1, ($A5399+$C5399) - MAX(IF($B$2:$B5398=$B5399, $A$2:$A5398+$C$2:$C5398)), "")*24*60, "")</f>
        <v/>
      </c>
      <c r="M5399" s="24" t="str" cm="1">
        <f t="array" ref="M5399">IFERROR(IF($B5399=M$1, ($A5399+$C5399) - MAX(IF($B$2:$B5398=$B5399, $A$2:$A5398+$C$2:$C5398)), "")*24*60, "")</f>
        <v/>
      </c>
      <c r="N5399" s="24" t="str" cm="1">
        <f t="array" ref="N5399">IFERROR(IF($B5399=N$1, ($A5399+$C5399) - MAX(IF($B$2:$B5398=$B5399, $A$2:$A5398+$C$2:$C5398)), "")*24*60, "")</f>
        <v/>
      </c>
      <c r="O5399" s="24" t="str" cm="1">
        <f t="array" ref="O5399">IFERROR(IF($B5399=O$1, ($A5399+$C5399) - MAX(IF($B$2:$B5398=$B5399, $A$2:$A5398+$C$2:$C5398)), "")*24*60, "")</f>
        <v/>
      </c>
      <c r="P5399" s="24" t="str" cm="1">
        <f t="array" ref="P5399">IFERROR(IF($B5399=P$1, ($A5399+$C5399) - MAX(IF($B$2:$B5398=$B5399, $A$2:$A5398+$C$2:$C5398)), "")*24*60, "")</f>
        <v/>
      </c>
      <c r="Q5399" s="24" t="str" cm="1">
        <f t="array" ref="Q5399">IFERROR(IF($B5399=Q$1, ($A5399+$C5399) - MAX(IF($B$2:$B5398=$B5399, $A$2:$A5398+$C$2:$C5398)), "")*24*60, "")</f>
        <v/>
      </c>
    </row>
    <row r="5400" spans="1:17" x14ac:dyDescent="0.2">
      <c r="A5400" s="12">
        <f t="shared" ref="A5400:C5400" si="1294">A5399</f>
        <v>45983</v>
      </c>
      <c r="B5400" s="5" t="str">
        <f t="shared" si="1294"/>
        <v>Northern Cardinal</v>
      </c>
      <c r="C5400" s="6">
        <f t="shared" si="1294"/>
        <v>0.28194444444444444</v>
      </c>
      <c r="D5400" s="5"/>
      <c r="E5400" s="5"/>
      <c r="F5400" s="5" t="s">
        <v>8</v>
      </c>
      <c r="G5400" s="15" t="s">
        <v>9</v>
      </c>
      <c r="H5400" s="24">
        <f t="shared" si="1234"/>
        <v>0</v>
      </c>
      <c r="I5400" s="24" cm="1">
        <f t="array" ref="I5400">IFERROR(IF($B5400=I$1, ($A5400+$C5400) - MAX(IF($B$2:$B5399=$B5400, $A$2:$A5399+$C$2:$C5399)), "")*24*60, "")</f>
        <v>0</v>
      </c>
      <c r="J5400" s="24" t="str" cm="1">
        <f t="array" ref="J5400">IFERROR(IF($B5400=J$1, ($A5400+$C5400) - MAX(IF($B$2:$B5399=$B5400, $A$2:$A5399+$C$2:$C5399)), "")*24*60, "")</f>
        <v/>
      </c>
      <c r="K5400" s="24" t="str" cm="1">
        <f t="array" ref="K5400">IFERROR(IF($B5400=K$1, ($A5400+$C5400) - MAX(IF($B$2:$B5399=$B5400, $A$2:$A5399+$C$2:$C5399)), "")*24*60, "")</f>
        <v/>
      </c>
      <c r="L5400" s="24" t="str" cm="1">
        <f t="array" ref="L5400">IFERROR(IF($B5400=L$1, ($A5400+$C5400) - MAX(IF($B$2:$B5399=$B5400, $A$2:$A5399+$C$2:$C5399)), "")*24*60, "")</f>
        <v/>
      </c>
      <c r="M5400" s="24" t="str" cm="1">
        <f t="array" ref="M5400">IFERROR(IF($B5400=M$1, ($A5400+$C5400) - MAX(IF($B$2:$B5399=$B5400, $A$2:$A5399+$C$2:$C5399)), "")*24*60, "")</f>
        <v/>
      </c>
      <c r="N5400" s="24" t="str" cm="1">
        <f t="array" ref="N5400">IFERROR(IF($B5400=N$1, ($A5400+$C5400) - MAX(IF($B$2:$B5399=$B5400, $A$2:$A5399+$C$2:$C5399)), "")*24*60, "")</f>
        <v/>
      </c>
      <c r="O5400" s="24" t="str" cm="1">
        <f t="array" ref="O5400">IFERROR(IF($B5400=O$1, ($A5400+$C5400) - MAX(IF($B$2:$B5399=$B5400, $A$2:$A5399+$C$2:$C5399)), "")*24*60, "")</f>
        <v/>
      </c>
      <c r="P5400" s="24" t="str" cm="1">
        <f t="array" ref="P5400">IFERROR(IF($B5400=P$1, ($A5400+$C5400) - MAX(IF($B$2:$B5399=$B5400, $A$2:$A5399+$C$2:$C5399)), "")*24*60, "")</f>
        <v/>
      </c>
      <c r="Q5400" s="24" t="str" cm="1">
        <f t="array" ref="Q5400">IFERROR(IF($B5400=Q$1, ($A5400+$C5400) - MAX(IF($B$2:$B5399=$B5400, $A$2:$A5399+$C$2:$C5399)), "")*24*60, "")</f>
        <v/>
      </c>
    </row>
    <row r="5401" spans="1:17" x14ac:dyDescent="0.2">
      <c r="A5401" s="12">
        <f t="shared" ref="A5401:C5401" si="1295">A5400</f>
        <v>45983</v>
      </c>
      <c r="B5401" s="5" t="str">
        <f t="shared" si="1295"/>
        <v>Northern Cardinal</v>
      </c>
      <c r="C5401" s="6">
        <f t="shared" si="1295"/>
        <v>0.28194444444444444</v>
      </c>
      <c r="D5401" s="5"/>
      <c r="E5401" s="5"/>
      <c r="F5401" s="5" t="s">
        <v>8</v>
      </c>
      <c r="G5401" s="15" t="s">
        <v>9</v>
      </c>
      <c r="H5401" s="24">
        <f t="shared" si="1234"/>
        <v>0</v>
      </c>
      <c r="I5401" s="24" cm="1">
        <f t="array" ref="I5401">IFERROR(IF($B5401=I$1, ($A5401+$C5401) - MAX(IF($B$2:$B5400=$B5401, $A$2:$A5400+$C$2:$C5400)), "")*24*60, "")</f>
        <v>0</v>
      </c>
      <c r="J5401" s="24" t="str" cm="1">
        <f t="array" ref="J5401">IFERROR(IF($B5401=J$1, ($A5401+$C5401) - MAX(IF($B$2:$B5400=$B5401, $A$2:$A5400+$C$2:$C5400)), "")*24*60, "")</f>
        <v/>
      </c>
      <c r="K5401" s="24" t="str" cm="1">
        <f t="array" ref="K5401">IFERROR(IF($B5401=K$1, ($A5401+$C5401) - MAX(IF($B$2:$B5400=$B5401, $A$2:$A5400+$C$2:$C5400)), "")*24*60, "")</f>
        <v/>
      </c>
      <c r="L5401" s="24" t="str" cm="1">
        <f t="array" ref="L5401">IFERROR(IF($B5401=L$1, ($A5401+$C5401) - MAX(IF($B$2:$B5400=$B5401, $A$2:$A5400+$C$2:$C5400)), "")*24*60, "")</f>
        <v/>
      </c>
      <c r="M5401" s="24" t="str" cm="1">
        <f t="array" ref="M5401">IFERROR(IF($B5401=M$1, ($A5401+$C5401) - MAX(IF($B$2:$B5400=$B5401, $A$2:$A5400+$C$2:$C5400)), "")*24*60, "")</f>
        <v/>
      </c>
      <c r="N5401" s="24" t="str" cm="1">
        <f t="array" ref="N5401">IFERROR(IF($B5401=N$1, ($A5401+$C5401) - MAX(IF($B$2:$B5400=$B5401, $A$2:$A5400+$C$2:$C5400)), "")*24*60, "")</f>
        <v/>
      </c>
      <c r="O5401" s="24" t="str" cm="1">
        <f t="array" ref="O5401">IFERROR(IF($B5401=O$1, ($A5401+$C5401) - MAX(IF($B$2:$B5400=$B5401, $A$2:$A5400+$C$2:$C5400)), "")*24*60, "")</f>
        <v/>
      </c>
      <c r="P5401" s="24" t="str" cm="1">
        <f t="array" ref="P5401">IFERROR(IF($B5401=P$1, ($A5401+$C5401) - MAX(IF($B$2:$B5400=$B5401, $A$2:$A5400+$C$2:$C5400)), "")*24*60, "")</f>
        <v/>
      </c>
      <c r="Q5401" s="24" t="str" cm="1">
        <f t="array" ref="Q5401">IFERROR(IF($B5401=Q$1, ($A5401+$C5401) - MAX(IF($B$2:$B5400=$B5401, $A$2:$A5400+$C$2:$C5400)), "")*24*60, "")</f>
        <v/>
      </c>
    </row>
    <row r="5402" spans="1:17" x14ac:dyDescent="0.2">
      <c r="A5402" s="12">
        <f t="shared" ref="A5402:C5402" si="1296">A5401</f>
        <v>45983</v>
      </c>
      <c r="B5402" s="5" t="str">
        <f t="shared" si="1296"/>
        <v>Northern Cardinal</v>
      </c>
      <c r="C5402" s="6">
        <f t="shared" si="1296"/>
        <v>0.28194444444444444</v>
      </c>
      <c r="D5402" s="5"/>
      <c r="E5402" s="5"/>
      <c r="F5402" s="5" t="s">
        <v>8</v>
      </c>
      <c r="G5402" s="15" t="s">
        <v>9</v>
      </c>
      <c r="H5402" s="24">
        <f t="shared" si="1234"/>
        <v>0</v>
      </c>
      <c r="I5402" s="24" cm="1">
        <f t="array" ref="I5402">IFERROR(IF($B5402=I$1, ($A5402+$C5402) - MAX(IF($B$2:$B5401=$B5402, $A$2:$A5401+$C$2:$C5401)), "")*24*60, "")</f>
        <v>0</v>
      </c>
      <c r="J5402" s="24" t="str" cm="1">
        <f t="array" ref="J5402">IFERROR(IF($B5402=J$1, ($A5402+$C5402) - MAX(IF($B$2:$B5401=$B5402, $A$2:$A5401+$C$2:$C5401)), "")*24*60, "")</f>
        <v/>
      </c>
      <c r="K5402" s="24" t="str" cm="1">
        <f t="array" ref="K5402">IFERROR(IF($B5402=K$1, ($A5402+$C5402) - MAX(IF($B$2:$B5401=$B5402, $A$2:$A5401+$C$2:$C5401)), "")*24*60, "")</f>
        <v/>
      </c>
      <c r="L5402" s="24" t="str" cm="1">
        <f t="array" ref="L5402">IFERROR(IF($B5402=L$1, ($A5402+$C5402) - MAX(IF($B$2:$B5401=$B5402, $A$2:$A5401+$C$2:$C5401)), "")*24*60, "")</f>
        <v/>
      </c>
      <c r="M5402" s="24" t="str" cm="1">
        <f t="array" ref="M5402">IFERROR(IF($B5402=M$1, ($A5402+$C5402) - MAX(IF($B$2:$B5401=$B5402, $A$2:$A5401+$C$2:$C5401)), "")*24*60, "")</f>
        <v/>
      </c>
      <c r="N5402" s="24" t="str" cm="1">
        <f t="array" ref="N5402">IFERROR(IF($B5402=N$1, ($A5402+$C5402) - MAX(IF($B$2:$B5401=$B5402, $A$2:$A5401+$C$2:$C5401)), "")*24*60, "")</f>
        <v/>
      </c>
      <c r="O5402" s="24" t="str" cm="1">
        <f t="array" ref="O5402">IFERROR(IF($B5402=O$1, ($A5402+$C5402) - MAX(IF($B$2:$B5401=$B5402, $A$2:$A5401+$C$2:$C5401)), "")*24*60, "")</f>
        <v/>
      </c>
      <c r="P5402" s="24" t="str" cm="1">
        <f t="array" ref="P5402">IFERROR(IF($B5402=P$1, ($A5402+$C5402) - MAX(IF($B$2:$B5401=$B5402, $A$2:$A5401+$C$2:$C5401)), "")*24*60, "")</f>
        <v/>
      </c>
      <c r="Q5402" s="24" t="str" cm="1">
        <f t="array" ref="Q5402">IFERROR(IF($B5402=Q$1, ($A5402+$C5402) - MAX(IF($B$2:$B5401=$B5402, $A$2:$A5401+$C$2:$C5401)), "")*24*60, "")</f>
        <v/>
      </c>
    </row>
    <row r="5403" spans="1:17" x14ac:dyDescent="0.2">
      <c r="A5403" s="12">
        <f t="shared" ref="A5403:C5403" si="1297">A5402</f>
        <v>45983</v>
      </c>
      <c r="B5403" s="5" t="str">
        <f t="shared" si="1297"/>
        <v>Northern Cardinal</v>
      </c>
      <c r="C5403" s="6">
        <f t="shared" si="1297"/>
        <v>0.28194444444444444</v>
      </c>
      <c r="D5403" s="5"/>
      <c r="E5403" s="5"/>
      <c r="F5403" s="5" t="s">
        <v>8</v>
      </c>
      <c r="G5403" s="15" t="s">
        <v>9</v>
      </c>
      <c r="H5403" s="24">
        <f t="shared" si="1234"/>
        <v>0</v>
      </c>
      <c r="I5403" s="24" cm="1">
        <f t="array" ref="I5403">IFERROR(IF($B5403=I$1, ($A5403+$C5403) - MAX(IF($B$2:$B5402=$B5403, $A$2:$A5402+$C$2:$C5402)), "")*24*60, "")</f>
        <v>0</v>
      </c>
      <c r="J5403" s="24" t="str" cm="1">
        <f t="array" ref="J5403">IFERROR(IF($B5403=J$1, ($A5403+$C5403) - MAX(IF($B$2:$B5402=$B5403, $A$2:$A5402+$C$2:$C5402)), "")*24*60, "")</f>
        <v/>
      </c>
      <c r="K5403" s="24" t="str" cm="1">
        <f t="array" ref="K5403">IFERROR(IF($B5403=K$1, ($A5403+$C5403) - MAX(IF($B$2:$B5402=$B5403, $A$2:$A5402+$C$2:$C5402)), "")*24*60, "")</f>
        <v/>
      </c>
      <c r="L5403" s="24" t="str" cm="1">
        <f t="array" ref="L5403">IFERROR(IF($B5403=L$1, ($A5403+$C5403) - MAX(IF($B$2:$B5402=$B5403, $A$2:$A5402+$C$2:$C5402)), "")*24*60, "")</f>
        <v/>
      </c>
      <c r="M5403" s="24" t="str" cm="1">
        <f t="array" ref="M5403">IFERROR(IF($B5403=M$1, ($A5403+$C5403) - MAX(IF($B$2:$B5402=$B5403, $A$2:$A5402+$C$2:$C5402)), "")*24*60, "")</f>
        <v/>
      </c>
      <c r="N5403" s="24" t="str" cm="1">
        <f t="array" ref="N5403">IFERROR(IF($B5403=N$1, ($A5403+$C5403) - MAX(IF($B$2:$B5402=$B5403, $A$2:$A5402+$C$2:$C5402)), "")*24*60, "")</f>
        <v/>
      </c>
      <c r="O5403" s="24" t="str" cm="1">
        <f t="array" ref="O5403">IFERROR(IF($B5403=O$1, ($A5403+$C5403) - MAX(IF($B$2:$B5402=$B5403, $A$2:$A5402+$C$2:$C5402)), "")*24*60, "")</f>
        <v/>
      </c>
      <c r="P5403" s="24" t="str" cm="1">
        <f t="array" ref="P5403">IFERROR(IF($B5403=P$1, ($A5403+$C5403) - MAX(IF($B$2:$B5402=$B5403, $A$2:$A5402+$C$2:$C5402)), "")*24*60, "")</f>
        <v/>
      </c>
      <c r="Q5403" s="24" t="str" cm="1">
        <f t="array" ref="Q5403">IFERROR(IF($B5403=Q$1, ($A5403+$C5403) - MAX(IF($B$2:$B5402=$B5403, $A$2:$A5402+$C$2:$C5402)), "")*24*60, "")</f>
        <v/>
      </c>
    </row>
    <row r="5404" spans="1:17" x14ac:dyDescent="0.2">
      <c r="A5404" s="12">
        <f t="shared" ref="A5404:C5404" si="1298">A5403</f>
        <v>45983</v>
      </c>
      <c r="B5404" s="5" t="str">
        <f t="shared" si="1298"/>
        <v>Northern Cardinal</v>
      </c>
      <c r="C5404" s="6">
        <f t="shared" si="1298"/>
        <v>0.28194444444444444</v>
      </c>
      <c r="D5404" s="5"/>
      <c r="E5404" s="5"/>
      <c r="F5404" s="5" t="s">
        <v>8</v>
      </c>
      <c r="G5404" s="15" t="s">
        <v>9</v>
      </c>
      <c r="H5404" s="24">
        <f t="shared" ref="H5404:H5467" si="1299">IFERROR((($A5404+$C5404) - ($A5403+$C5403))*24*60, "")</f>
        <v>0</v>
      </c>
      <c r="I5404" s="24" cm="1">
        <f t="array" ref="I5404">IFERROR(IF($B5404=I$1, ($A5404+$C5404) - MAX(IF($B$2:$B5403=$B5404, $A$2:$A5403+$C$2:$C5403)), "")*24*60, "")</f>
        <v>0</v>
      </c>
      <c r="J5404" s="24" t="str" cm="1">
        <f t="array" ref="J5404">IFERROR(IF($B5404=J$1, ($A5404+$C5404) - MAX(IF($B$2:$B5403=$B5404, $A$2:$A5403+$C$2:$C5403)), "")*24*60, "")</f>
        <v/>
      </c>
      <c r="K5404" s="24" t="str" cm="1">
        <f t="array" ref="K5404">IFERROR(IF($B5404=K$1, ($A5404+$C5404) - MAX(IF($B$2:$B5403=$B5404, $A$2:$A5403+$C$2:$C5403)), "")*24*60, "")</f>
        <v/>
      </c>
      <c r="L5404" s="24" t="str" cm="1">
        <f t="array" ref="L5404">IFERROR(IF($B5404=L$1, ($A5404+$C5404) - MAX(IF($B$2:$B5403=$B5404, $A$2:$A5403+$C$2:$C5403)), "")*24*60, "")</f>
        <v/>
      </c>
      <c r="M5404" s="24" t="str" cm="1">
        <f t="array" ref="M5404">IFERROR(IF($B5404=M$1, ($A5404+$C5404) - MAX(IF($B$2:$B5403=$B5404, $A$2:$A5403+$C$2:$C5403)), "")*24*60, "")</f>
        <v/>
      </c>
      <c r="N5404" s="24" t="str" cm="1">
        <f t="array" ref="N5404">IFERROR(IF($B5404=N$1, ($A5404+$C5404) - MAX(IF($B$2:$B5403=$B5404, $A$2:$A5403+$C$2:$C5403)), "")*24*60, "")</f>
        <v/>
      </c>
      <c r="O5404" s="24" t="str" cm="1">
        <f t="array" ref="O5404">IFERROR(IF($B5404=O$1, ($A5404+$C5404) - MAX(IF($B$2:$B5403=$B5404, $A$2:$A5403+$C$2:$C5403)), "")*24*60, "")</f>
        <v/>
      </c>
      <c r="P5404" s="24" t="str" cm="1">
        <f t="array" ref="P5404">IFERROR(IF($B5404=P$1, ($A5404+$C5404) - MAX(IF($B$2:$B5403=$B5404, $A$2:$A5403+$C$2:$C5403)), "")*24*60, "")</f>
        <v/>
      </c>
      <c r="Q5404" s="24" t="str" cm="1">
        <f t="array" ref="Q5404">IFERROR(IF($B5404=Q$1, ($A5404+$C5404) - MAX(IF($B$2:$B5403=$B5404, $A$2:$A5403+$C$2:$C5403)), "")*24*60, "")</f>
        <v/>
      </c>
    </row>
    <row r="5405" spans="1:17" x14ac:dyDescent="0.2">
      <c r="A5405" s="12">
        <f t="shared" ref="A5405:C5405" si="1300">A5404</f>
        <v>45983</v>
      </c>
      <c r="B5405" s="5" t="str">
        <f t="shared" si="1300"/>
        <v>Northern Cardinal</v>
      </c>
      <c r="C5405" s="6">
        <f t="shared" si="1300"/>
        <v>0.28194444444444444</v>
      </c>
      <c r="D5405" s="5"/>
      <c r="E5405" s="5"/>
      <c r="F5405" s="5" t="s">
        <v>8</v>
      </c>
      <c r="G5405" s="15" t="s">
        <v>9</v>
      </c>
      <c r="H5405" s="24">
        <f t="shared" si="1299"/>
        <v>0</v>
      </c>
      <c r="I5405" s="24" cm="1">
        <f t="array" ref="I5405">IFERROR(IF($B5405=I$1, ($A5405+$C5405) - MAX(IF($B$2:$B5404=$B5405, $A$2:$A5404+$C$2:$C5404)), "")*24*60, "")</f>
        <v>0</v>
      </c>
      <c r="J5405" s="24" t="str" cm="1">
        <f t="array" ref="J5405">IFERROR(IF($B5405=J$1, ($A5405+$C5405) - MAX(IF($B$2:$B5404=$B5405, $A$2:$A5404+$C$2:$C5404)), "")*24*60, "")</f>
        <v/>
      </c>
      <c r="K5405" s="24" t="str" cm="1">
        <f t="array" ref="K5405">IFERROR(IF($B5405=K$1, ($A5405+$C5405) - MAX(IF($B$2:$B5404=$B5405, $A$2:$A5404+$C$2:$C5404)), "")*24*60, "")</f>
        <v/>
      </c>
      <c r="L5405" s="24" t="str" cm="1">
        <f t="array" ref="L5405">IFERROR(IF($B5405=L$1, ($A5405+$C5405) - MAX(IF($B$2:$B5404=$B5405, $A$2:$A5404+$C$2:$C5404)), "")*24*60, "")</f>
        <v/>
      </c>
      <c r="M5405" s="24" t="str" cm="1">
        <f t="array" ref="M5405">IFERROR(IF($B5405=M$1, ($A5405+$C5405) - MAX(IF($B$2:$B5404=$B5405, $A$2:$A5404+$C$2:$C5404)), "")*24*60, "")</f>
        <v/>
      </c>
      <c r="N5405" s="24" t="str" cm="1">
        <f t="array" ref="N5405">IFERROR(IF($B5405=N$1, ($A5405+$C5405) - MAX(IF($B$2:$B5404=$B5405, $A$2:$A5404+$C$2:$C5404)), "")*24*60, "")</f>
        <v/>
      </c>
      <c r="O5405" s="24" t="str" cm="1">
        <f t="array" ref="O5405">IFERROR(IF($B5405=O$1, ($A5405+$C5405) - MAX(IF($B$2:$B5404=$B5405, $A$2:$A5404+$C$2:$C5404)), "")*24*60, "")</f>
        <v/>
      </c>
      <c r="P5405" s="24" t="str" cm="1">
        <f t="array" ref="P5405">IFERROR(IF($B5405=P$1, ($A5405+$C5405) - MAX(IF($B$2:$B5404=$B5405, $A$2:$A5404+$C$2:$C5404)), "")*24*60, "")</f>
        <v/>
      </c>
      <c r="Q5405" s="24" t="str" cm="1">
        <f t="array" ref="Q5405">IFERROR(IF($B5405=Q$1, ($A5405+$C5405) - MAX(IF($B$2:$B5404=$B5405, $A$2:$A5404+$C$2:$C5404)), "")*24*60, "")</f>
        <v/>
      </c>
    </row>
    <row r="5406" spans="1:17" x14ac:dyDescent="0.2">
      <c r="A5406" s="12">
        <f t="shared" ref="A5406:C5406" si="1301">A5405</f>
        <v>45983</v>
      </c>
      <c r="B5406" s="5" t="str">
        <f t="shared" si="1301"/>
        <v>Northern Cardinal</v>
      </c>
      <c r="C5406" s="6">
        <f t="shared" si="1301"/>
        <v>0.28194444444444444</v>
      </c>
      <c r="D5406" s="5"/>
      <c r="E5406" s="5"/>
      <c r="F5406" s="5" t="s">
        <v>8</v>
      </c>
      <c r="G5406" s="15" t="s">
        <v>9</v>
      </c>
      <c r="H5406" s="24">
        <f t="shared" si="1299"/>
        <v>0</v>
      </c>
      <c r="I5406" s="24" cm="1">
        <f t="array" ref="I5406">IFERROR(IF($B5406=I$1, ($A5406+$C5406) - MAX(IF($B$2:$B5405=$B5406, $A$2:$A5405+$C$2:$C5405)), "")*24*60, "")</f>
        <v>0</v>
      </c>
      <c r="J5406" s="24" t="str" cm="1">
        <f t="array" ref="J5406">IFERROR(IF($B5406=J$1, ($A5406+$C5406) - MAX(IF($B$2:$B5405=$B5406, $A$2:$A5405+$C$2:$C5405)), "")*24*60, "")</f>
        <v/>
      </c>
      <c r="K5406" s="24" t="str" cm="1">
        <f t="array" ref="K5406">IFERROR(IF($B5406=K$1, ($A5406+$C5406) - MAX(IF($B$2:$B5405=$B5406, $A$2:$A5405+$C$2:$C5405)), "")*24*60, "")</f>
        <v/>
      </c>
      <c r="L5406" s="24" t="str" cm="1">
        <f t="array" ref="L5406">IFERROR(IF($B5406=L$1, ($A5406+$C5406) - MAX(IF($B$2:$B5405=$B5406, $A$2:$A5405+$C$2:$C5405)), "")*24*60, "")</f>
        <v/>
      </c>
      <c r="M5406" s="24" t="str" cm="1">
        <f t="array" ref="M5406">IFERROR(IF($B5406=M$1, ($A5406+$C5406) - MAX(IF($B$2:$B5405=$B5406, $A$2:$A5405+$C$2:$C5405)), "")*24*60, "")</f>
        <v/>
      </c>
      <c r="N5406" s="24" t="str" cm="1">
        <f t="array" ref="N5406">IFERROR(IF($B5406=N$1, ($A5406+$C5406) - MAX(IF($B$2:$B5405=$B5406, $A$2:$A5405+$C$2:$C5405)), "")*24*60, "")</f>
        <v/>
      </c>
      <c r="O5406" s="24" t="str" cm="1">
        <f t="array" ref="O5406">IFERROR(IF($B5406=O$1, ($A5406+$C5406) - MAX(IF($B$2:$B5405=$B5406, $A$2:$A5405+$C$2:$C5405)), "")*24*60, "")</f>
        <v/>
      </c>
      <c r="P5406" s="24" t="str" cm="1">
        <f t="array" ref="P5406">IFERROR(IF($B5406=P$1, ($A5406+$C5406) - MAX(IF($B$2:$B5405=$B5406, $A$2:$A5405+$C$2:$C5405)), "")*24*60, "")</f>
        <v/>
      </c>
      <c r="Q5406" s="24" t="str" cm="1">
        <f t="array" ref="Q5406">IFERROR(IF($B5406=Q$1, ($A5406+$C5406) - MAX(IF($B$2:$B5405=$B5406, $A$2:$A5405+$C$2:$C5405)), "")*24*60, "")</f>
        <v/>
      </c>
    </row>
    <row r="5407" spans="1:17" x14ac:dyDescent="0.2">
      <c r="A5407" s="12">
        <f t="shared" ref="A5407:C5407" si="1302">A5406</f>
        <v>45983</v>
      </c>
      <c r="B5407" s="5" t="str">
        <f t="shared" si="1302"/>
        <v>Northern Cardinal</v>
      </c>
      <c r="C5407" s="6">
        <f t="shared" si="1302"/>
        <v>0.28194444444444444</v>
      </c>
      <c r="D5407" s="5"/>
      <c r="E5407" s="5"/>
      <c r="F5407" s="5" t="s">
        <v>8</v>
      </c>
      <c r="G5407" s="15" t="s">
        <v>9</v>
      </c>
      <c r="H5407" s="24">
        <f t="shared" si="1299"/>
        <v>0</v>
      </c>
      <c r="I5407" s="24" cm="1">
        <f t="array" ref="I5407">IFERROR(IF($B5407=I$1, ($A5407+$C5407) - MAX(IF($B$2:$B5406=$B5407, $A$2:$A5406+$C$2:$C5406)), "")*24*60, "")</f>
        <v>0</v>
      </c>
      <c r="J5407" s="24" t="str" cm="1">
        <f t="array" ref="J5407">IFERROR(IF($B5407=J$1, ($A5407+$C5407) - MAX(IF($B$2:$B5406=$B5407, $A$2:$A5406+$C$2:$C5406)), "")*24*60, "")</f>
        <v/>
      </c>
      <c r="K5407" s="24" t="str" cm="1">
        <f t="array" ref="K5407">IFERROR(IF($B5407=K$1, ($A5407+$C5407) - MAX(IF($B$2:$B5406=$B5407, $A$2:$A5406+$C$2:$C5406)), "")*24*60, "")</f>
        <v/>
      </c>
      <c r="L5407" s="24" t="str" cm="1">
        <f t="array" ref="L5407">IFERROR(IF($B5407=L$1, ($A5407+$C5407) - MAX(IF($B$2:$B5406=$B5407, $A$2:$A5406+$C$2:$C5406)), "")*24*60, "")</f>
        <v/>
      </c>
      <c r="M5407" s="24" t="str" cm="1">
        <f t="array" ref="M5407">IFERROR(IF($B5407=M$1, ($A5407+$C5407) - MAX(IF($B$2:$B5406=$B5407, $A$2:$A5406+$C$2:$C5406)), "")*24*60, "")</f>
        <v/>
      </c>
      <c r="N5407" s="24" t="str" cm="1">
        <f t="array" ref="N5407">IFERROR(IF($B5407=N$1, ($A5407+$C5407) - MAX(IF($B$2:$B5406=$B5407, $A$2:$A5406+$C$2:$C5406)), "")*24*60, "")</f>
        <v/>
      </c>
      <c r="O5407" s="24" t="str" cm="1">
        <f t="array" ref="O5407">IFERROR(IF($B5407=O$1, ($A5407+$C5407) - MAX(IF($B$2:$B5406=$B5407, $A$2:$A5406+$C$2:$C5406)), "")*24*60, "")</f>
        <v/>
      </c>
      <c r="P5407" s="24" t="str" cm="1">
        <f t="array" ref="P5407">IFERROR(IF($B5407=P$1, ($A5407+$C5407) - MAX(IF($B$2:$B5406=$B5407, $A$2:$A5406+$C$2:$C5406)), "")*24*60, "")</f>
        <v/>
      </c>
      <c r="Q5407" s="24" t="str" cm="1">
        <f t="array" ref="Q5407">IFERROR(IF($B5407=Q$1, ($A5407+$C5407) - MAX(IF($B$2:$B5406=$B5407, $A$2:$A5406+$C$2:$C5406)), "")*24*60, "")</f>
        <v/>
      </c>
    </row>
    <row r="5408" spans="1:17" x14ac:dyDescent="0.2">
      <c r="A5408" s="12">
        <f t="shared" ref="A5408:C5408" si="1303">A5407</f>
        <v>45983</v>
      </c>
      <c r="B5408" s="5" t="str">
        <f t="shared" si="1303"/>
        <v>Northern Cardinal</v>
      </c>
      <c r="C5408" s="6">
        <f t="shared" si="1303"/>
        <v>0.28194444444444444</v>
      </c>
      <c r="D5408" s="5"/>
      <c r="E5408" s="5"/>
      <c r="F5408" s="5" t="s">
        <v>8</v>
      </c>
      <c r="G5408" s="15" t="s">
        <v>9</v>
      </c>
      <c r="H5408" s="24">
        <f t="shared" si="1299"/>
        <v>0</v>
      </c>
      <c r="I5408" s="24" cm="1">
        <f t="array" ref="I5408">IFERROR(IF($B5408=I$1, ($A5408+$C5408) - MAX(IF($B$2:$B5407=$B5408, $A$2:$A5407+$C$2:$C5407)), "")*24*60, "")</f>
        <v>0</v>
      </c>
      <c r="J5408" s="24" t="str" cm="1">
        <f t="array" ref="J5408">IFERROR(IF($B5408=J$1, ($A5408+$C5408) - MAX(IF($B$2:$B5407=$B5408, $A$2:$A5407+$C$2:$C5407)), "")*24*60, "")</f>
        <v/>
      </c>
      <c r="K5408" s="24" t="str" cm="1">
        <f t="array" ref="K5408">IFERROR(IF($B5408=K$1, ($A5408+$C5408) - MAX(IF($B$2:$B5407=$B5408, $A$2:$A5407+$C$2:$C5407)), "")*24*60, "")</f>
        <v/>
      </c>
      <c r="L5408" s="24" t="str" cm="1">
        <f t="array" ref="L5408">IFERROR(IF($B5408=L$1, ($A5408+$C5408) - MAX(IF($B$2:$B5407=$B5408, $A$2:$A5407+$C$2:$C5407)), "")*24*60, "")</f>
        <v/>
      </c>
      <c r="M5408" s="24" t="str" cm="1">
        <f t="array" ref="M5408">IFERROR(IF($B5408=M$1, ($A5408+$C5408) - MAX(IF($B$2:$B5407=$B5408, $A$2:$A5407+$C$2:$C5407)), "")*24*60, "")</f>
        <v/>
      </c>
      <c r="N5408" s="24" t="str" cm="1">
        <f t="array" ref="N5408">IFERROR(IF($B5408=N$1, ($A5408+$C5408) - MAX(IF($B$2:$B5407=$B5408, $A$2:$A5407+$C$2:$C5407)), "")*24*60, "")</f>
        <v/>
      </c>
      <c r="O5408" s="24" t="str" cm="1">
        <f t="array" ref="O5408">IFERROR(IF($B5408=O$1, ($A5408+$C5408) - MAX(IF($B$2:$B5407=$B5408, $A$2:$A5407+$C$2:$C5407)), "")*24*60, "")</f>
        <v/>
      </c>
      <c r="P5408" s="24" t="str" cm="1">
        <f t="array" ref="P5408">IFERROR(IF($B5408=P$1, ($A5408+$C5408) - MAX(IF($B$2:$B5407=$B5408, $A$2:$A5407+$C$2:$C5407)), "")*24*60, "")</f>
        <v/>
      </c>
      <c r="Q5408" s="24" t="str" cm="1">
        <f t="array" ref="Q5408">IFERROR(IF($B5408=Q$1, ($A5408+$C5408) - MAX(IF($B$2:$B5407=$B5408, $A$2:$A5407+$C$2:$C5407)), "")*24*60, "")</f>
        <v/>
      </c>
    </row>
    <row r="5409" spans="1:17" x14ac:dyDescent="0.2">
      <c r="A5409" s="12">
        <f t="shared" ref="A5409:C5409" si="1304">A5408</f>
        <v>45983</v>
      </c>
      <c r="B5409" s="5" t="str">
        <f t="shared" si="1304"/>
        <v>Northern Cardinal</v>
      </c>
      <c r="C5409" s="6">
        <f t="shared" si="1304"/>
        <v>0.28194444444444444</v>
      </c>
      <c r="D5409" s="5"/>
      <c r="E5409" s="5"/>
      <c r="F5409" s="5" t="s">
        <v>8</v>
      </c>
      <c r="G5409" s="15" t="s">
        <v>9</v>
      </c>
      <c r="H5409" s="24">
        <f t="shared" si="1299"/>
        <v>0</v>
      </c>
      <c r="I5409" s="24" cm="1">
        <f t="array" ref="I5409">IFERROR(IF($B5409=I$1, ($A5409+$C5409) - MAX(IF($B$2:$B5408=$B5409, $A$2:$A5408+$C$2:$C5408)), "")*24*60, "")</f>
        <v>0</v>
      </c>
      <c r="J5409" s="24" t="str" cm="1">
        <f t="array" ref="J5409">IFERROR(IF($B5409=J$1, ($A5409+$C5409) - MAX(IF($B$2:$B5408=$B5409, $A$2:$A5408+$C$2:$C5408)), "")*24*60, "")</f>
        <v/>
      </c>
      <c r="K5409" s="24" t="str" cm="1">
        <f t="array" ref="K5409">IFERROR(IF($B5409=K$1, ($A5409+$C5409) - MAX(IF($B$2:$B5408=$B5409, $A$2:$A5408+$C$2:$C5408)), "")*24*60, "")</f>
        <v/>
      </c>
      <c r="L5409" s="24" t="str" cm="1">
        <f t="array" ref="L5409">IFERROR(IF($B5409=L$1, ($A5409+$C5409) - MAX(IF($B$2:$B5408=$B5409, $A$2:$A5408+$C$2:$C5408)), "")*24*60, "")</f>
        <v/>
      </c>
      <c r="M5409" s="24" t="str" cm="1">
        <f t="array" ref="M5409">IFERROR(IF($B5409=M$1, ($A5409+$C5409) - MAX(IF($B$2:$B5408=$B5409, $A$2:$A5408+$C$2:$C5408)), "")*24*60, "")</f>
        <v/>
      </c>
      <c r="N5409" s="24" t="str" cm="1">
        <f t="array" ref="N5409">IFERROR(IF($B5409=N$1, ($A5409+$C5409) - MAX(IF($B$2:$B5408=$B5409, $A$2:$A5408+$C$2:$C5408)), "")*24*60, "")</f>
        <v/>
      </c>
      <c r="O5409" s="24" t="str" cm="1">
        <f t="array" ref="O5409">IFERROR(IF($B5409=O$1, ($A5409+$C5409) - MAX(IF($B$2:$B5408=$B5409, $A$2:$A5408+$C$2:$C5408)), "")*24*60, "")</f>
        <v/>
      </c>
      <c r="P5409" s="24" t="str" cm="1">
        <f t="array" ref="P5409">IFERROR(IF($B5409=P$1, ($A5409+$C5409) - MAX(IF($B$2:$B5408=$B5409, $A$2:$A5408+$C$2:$C5408)), "")*24*60, "")</f>
        <v/>
      </c>
      <c r="Q5409" s="24" t="str" cm="1">
        <f t="array" ref="Q5409">IFERROR(IF($B5409=Q$1, ($A5409+$C5409) - MAX(IF($B$2:$B5408=$B5409, $A$2:$A5408+$C$2:$C5408)), "")*24*60, "")</f>
        <v/>
      </c>
    </row>
    <row r="5410" spans="1:17" x14ac:dyDescent="0.2">
      <c r="A5410" s="12">
        <f t="shared" ref="A5410:C5410" si="1305">A5409</f>
        <v>45983</v>
      </c>
      <c r="B5410" s="5" t="str">
        <f t="shared" si="1305"/>
        <v>Northern Cardinal</v>
      </c>
      <c r="C5410" s="6">
        <f t="shared" si="1305"/>
        <v>0.28194444444444444</v>
      </c>
      <c r="D5410" s="5"/>
      <c r="E5410" s="5"/>
      <c r="F5410" s="5" t="s">
        <v>8</v>
      </c>
      <c r="G5410" s="15" t="s">
        <v>9</v>
      </c>
      <c r="H5410" s="24">
        <f t="shared" si="1299"/>
        <v>0</v>
      </c>
      <c r="I5410" s="24" cm="1">
        <f t="array" ref="I5410">IFERROR(IF($B5410=I$1, ($A5410+$C5410) - MAX(IF($B$2:$B5409=$B5410, $A$2:$A5409+$C$2:$C5409)), "")*24*60, "")</f>
        <v>0</v>
      </c>
      <c r="J5410" s="24" t="str" cm="1">
        <f t="array" ref="J5410">IFERROR(IF($B5410=J$1, ($A5410+$C5410) - MAX(IF($B$2:$B5409=$B5410, $A$2:$A5409+$C$2:$C5409)), "")*24*60, "")</f>
        <v/>
      </c>
      <c r="K5410" s="24" t="str" cm="1">
        <f t="array" ref="K5410">IFERROR(IF($B5410=K$1, ($A5410+$C5410) - MAX(IF($B$2:$B5409=$B5410, $A$2:$A5409+$C$2:$C5409)), "")*24*60, "")</f>
        <v/>
      </c>
      <c r="L5410" s="24" t="str" cm="1">
        <f t="array" ref="L5410">IFERROR(IF($B5410=L$1, ($A5410+$C5410) - MAX(IF($B$2:$B5409=$B5410, $A$2:$A5409+$C$2:$C5409)), "")*24*60, "")</f>
        <v/>
      </c>
      <c r="M5410" s="24" t="str" cm="1">
        <f t="array" ref="M5410">IFERROR(IF($B5410=M$1, ($A5410+$C5410) - MAX(IF($B$2:$B5409=$B5410, $A$2:$A5409+$C$2:$C5409)), "")*24*60, "")</f>
        <v/>
      </c>
      <c r="N5410" s="24" t="str" cm="1">
        <f t="array" ref="N5410">IFERROR(IF($B5410=N$1, ($A5410+$C5410) - MAX(IF($B$2:$B5409=$B5410, $A$2:$A5409+$C$2:$C5409)), "")*24*60, "")</f>
        <v/>
      </c>
      <c r="O5410" s="24" t="str" cm="1">
        <f t="array" ref="O5410">IFERROR(IF($B5410=O$1, ($A5410+$C5410) - MAX(IF($B$2:$B5409=$B5410, $A$2:$A5409+$C$2:$C5409)), "")*24*60, "")</f>
        <v/>
      </c>
      <c r="P5410" s="24" t="str" cm="1">
        <f t="array" ref="P5410">IFERROR(IF($B5410=P$1, ($A5410+$C5410) - MAX(IF($B$2:$B5409=$B5410, $A$2:$A5409+$C$2:$C5409)), "")*24*60, "")</f>
        <v/>
      </c>
      <c r="Q5410" s="24" t="str" cm="1">
        <f t="array" ref="Q5410">IFERROR(IF($B5410=Q$1, ($A5410+$C5410) - MAX(IF($B$2:$B5409=$B5410, $A$2:$A5409+$C$2:$C5409)), "")*24*60, "")</f>
        <v/>
      </c>
    </row>
    <row r="5411" spans="1:17" x14ac:dyDescent="0.2">
      <c r="A5411" s="12">
        <f t="shared" ref="A5411:C5411" si="1306">A5410</f>
        <v>45983</v>
      </c>
      <c r="B5411" s="5" t="str">
        <f t="shared" si="1306"/>
        <v>Northern Cardinal</v>
      </c>
      <c r="C5411" s="6">
        <f t="shared" si="1306"/>
        <v>0.28194444444444444</v>
      </c>
      <c r="D5411" s="5"/>
      <c r="E5411" s="5"/>
      <c r="F5411" s="5" t="s">
        <v>8</v>
      </c>
      <c r="G5411" s="15" t="s">
        <v>9</v>
      </c>
      <c r="H5411" s="24">
        <f t="shared" si="1299"/>
        <v>0</v>
      </c>
      <c r="I5411" s="24" cm="1">
        <f t="array" ref="I5411">IFERROR(IF($B5411=I$1, ($A5411+$C5411) - MAX(IF($B$2:$B5410=$B5411, $A$2:$A5410+$C$2:$C5410)), "")*24*60, "")</f>
        <v>0</v>
      </c>
      <c r="J5411" s="24" t="str" cm="1">
        <f t="array" ref="J5411">IFERROR(IF($B5411=J$1, ($A5411+$C5411) - MAX(IF($B$2:$B5410=$B5411, $A$2:$A5410+$C$2:$C5410)), "")*24*60, "")</f>
        <v/>
      </c>
      <c r="K5411" s="24" t="str" cm="1">
        <f t="array" ref="K5411">IFERROR(IF($B5411=K$1, ($A5411+$C5411) - MAX(IF($B$2:$B5410=$B5411, $A$2:$A5410+$C$2:$C5410)), "")*24*60, "")</f>
        <v/>
      </c>
      <c r="L5411" s="24" t="str" cm="1">
        <f t="array" ref="L5411">IFERROR(IF($B5411=L$1, ($A5411+$C5411) - MAX(IF($B$2:$B5410=$B5411, $A$2:$A5410+$C$2:$C5410)), "")*24*60, "")</f>
        <v/>
      </c>
      <c r="M5411" s="24" t="str" cm="1">
        <f t="array" ref="M5411">IFERROR(IF($B5411=M$1, ($A5411+$C5411) - MAX(IF($B$2:$B5410=$B5411, $A$2:$A5410+$C$2:$C5410)), "")*24*60, "")</f>
        <v/>
      </c>
      <c r="N5411" s="24" t="str" cm="1">
        <f t="array" ref="N5411">IFERROR(IF($B5411=N$1, ($A5411+$C5411) - MAX(IF($B$2:$B5410=$B5411, $A$2:$A5410+$C$2:$C5410)), "")*24*60, "")</f>
        <v/>
      </c>
      <c r="O5411" s="24" t="str" cm="1">
        <f t="array" ref="O5411">IFERROR(IF($B5411=O$1, ($A5411+$C5411) - MAX(IF($B$2:$B5410=$B5411, $A$2:$A5410+$C$2:$C5410)), "")*24*60, "")</f>
        <v/>
      </c>
      <c r="P5411" s="24" t="str" cm="1">
        <f t="array" ref="P5411">IFERROR(IF($B5411=P$1, ($A5411+$C5411) - MAX(IF($B$2:$B5410=$B5411, $A$2:$A5410+$C$2:$C5410)), "")*24*60, "")</f>
        <v/>
      </c>
      <c r="Q5411" s="24" t="str" cm="1">
        <f t="array" ref="Q5411">IFERROR(IF($B5411=Q$1, ($A5411+$C5411) - MAX(IF($B$2:$B5410=$B5411, $A$2:$A5410+$C$2:$C5410)), "")*24*60, "")</f>
        <v/>
      </c>
    </row>
    <row r="5412" spans="1:17" x14ac:dyDescent="0.2">
      <c r="A5412" s="12">
        <f t="shared" ref="A5412:C5412" si="1307">A5411</f>
        <v>45983</v>
      </c>
      <c r="B5412" s="5" t="str">
        <f t="shared" si="1307"/>
        <v>Northern Cardinal</v>
      </c>
      <c r="C5412" s="6">
        <f t="shared" si="1307"/>
        <v>0.28194444444444444</v>
      </c>
      <c r="D5412" s="5"/>
      <c r="E5412" s="5"/>
      <c r="F5412" s="5" t="s">
        <v>8</v>
      </c>
      <c r="G5412" s="15" t="s">
        <v>9</v>
      </c>
      <c r="H5412" s="24">
        <f t="shared" si="1299"/>
        <v>0</v>
      </c>
      <c r="I5412" s="24" cm="1">
        <f t="array" ref="I5412">IFERROR(IF($B5412=I$1, ($A5412+$C5412) - MAX(IF($B$2:$B5411=$B5412, $A$2:$A5411+$C$2:$C5411)), "")*24*60, "")</f>
        <v>0</v>
      </c>
      <c r="J5412" s="24" t="str" cm="1">
        <f t="array" ref="J5412">IFERROR(IF($B5412=J$1, ($A5412+$C5412) - MAX(IF($B$2:$B5411=$B5412, $A$2:$A5411+$C$2:$C5411)), "")*24*60, "")</f>
        <v/>
      </c>
      <c r="K5412" s="24" t="str" cm="1">
        <f t="array" ref="K5412">IFERROR(IF($B5412=K$1, ($A5412+$C5412) - MAX(IF($B$2:$B5411=$B5412, $A$2:$A5411+$C$2:$C5411)), "")*24*60, "")</f>
        <v/>
      </c>
      <c r="L5412" s="24" t="str" cm="1">
        <f t="array" ref="L5412">IFERROR(IF($B5412=L$1, ($A5412+$C5412) - MAX(IF($B$2:$B5411=$B5412, $A$2:$A5411+$C$2:$C5411)), "")*24*60, "")</f>
        <v/>
      </c>
      <c r="M5412" s="24" t="str" cm="1">
        <f t="array" ref="M5412">IFERROR(IF($B5412=M$1, ($A5412+$C5412) - MAX(IF($B$2:$B5411=$B5412, $A$2:$A5411+$C$2:$C5411)), "")*24*60, "")</f>
        <v/>
      </c>
      <c r="N5412" s="24" t="str" cm="1">
        <f t="array" ref="N5412">IFERROR(IF($B5412=N$1, ($A5412+$C5412) - MAX(IF($B$2:$B5411=$B5412, $A$2:$A5411+$C$2:$C5411)), "")*24*60, "")</f>
        <v/>
      </c>
      <c r="O5412" s="24" t="str" cm="1">
        <f t="array" ref="O5412">IFERROR(IF($B5412=O$1, ($A5412+$C5412) - MAX(IF($B$2:$B5411=$B5412, $A$2:$A5411+$C$2:$C5411)), "")*24*60, "")</f>
        <v/>
      </c>
      <c r="P5412" s="24" t="str" cm="1">
        <f t="array" ref="P5412">IFERROR(IF($B5412=P$1, ($A5412+$C5412) - MAX(IF($B$2:$B5411=$B5412, $A$2:$A5411+$C$2:$C5411)), "")*24*60, "")</f>
        <v/>
      </c>
      <c r="Q5412" s="24" t="str" cm="1">
        <f t="array" ref="Q5412">IFERROR(IF($B5412=Q$1, ($A5412+$C5412) - MAX(IF($B$2:$B5411=$B5412, $A$2:$A5411+$C$2:$C5411)), "")*24*60, "")</f>
        <v/>
      </c>
    </row>
    <row r="5413" spans="1:17" x14ac:dyDescent="0.2">
      <c r="A5413" s="12">
        <f t="shared" ref="A5413:C5413" si="1308">A5412</f>
        <v>45983</v>
      </c>
      <c r="B5413" s="5" t="str">
        <f t="shared" si="1308"/>
        <v>Northern Cardinal</v>
      </c>
      <c r="C5413" s="6">
        <f t="shared" si="1308"/>
        <v>0.28194444444444444</v>
      </c>
      <c r="D5413" s="5"/>
      <c r="E5413" s="5"/>
      <c r="F5413" s="5" t="s">
        <v>8</v>
      </c>
      <c r="G5413" s="15" t="s">
        <v>9</v>
      </c>
      <c r="H5413" s="24">
        <f t="shared" si="1299"/>
        <v>0</v>
      </c>
      <c r="I5413" s="24" cm="1">
        <f t="array" ref="I5413">IFERROR(IF($B5413=I$1, ($A5413+$C5413) - MAX(IF($B$2:$B5412=$B5413, $A$2:$A5412+$C$2:$C5412)), "")*24*60, "")</f>
        <v>0</v>
      </c>
      <c r="J5413" s="24" t="str" cm="1">
        <f t="array" ref="J5413">IFERROR(IF($B5413=J$1, ($A5413+$C5413) - MAX(IF($B$2:$B5412=$B5413, $A$2:$A5412+$C$2:$C5412)), "")*24*60, "")</f>
        <v/>
      </c>
      <c r="K5413" s="24" t="str" cm="1">
        <f t="array" ref="K5413">IFERROR(IF($B5413=K$1, ($A5413+$C5413) - MAX(IF($B$2:$B5412=$B5413, $A$2:$A5412+$C$2:$C5412)), "")*24*60, "")</f>
        <v/>
      </c>
      <c r="L5413" s="24" t="str" cm="1">
        <f t="array" ref="L5413">IFERROR(IF($B5413=L$1, ($A5413+$C5413) - MAX(IF($B$2:$B5412=$B5413, $A$2:$A5412+$C$2:$C5412)), "")*24*60, "")</f>
        <v/>
      </c>
      <c r="M5413" s="24" t="str" cm="1">
        <f t="array" ref="M5413">IFERROR(IF($B5413=M$1, ($A5413+$C5413) - MAX(IF($B$2:$B5412=$B5413, $A$2:$A5412+$C$2:$C5412)), "")*24*60, "")</f>
        <v/>
      </c>
      <c r="N5413" s="24" t="str" cm="1">
        <f t="array" ref="N5413">IFERROR(IF($B5413=N$1, ($A5413+$C5413) - MAX(IF($B$2:$B5412=$B5413, $A$2:$A5412+$C$2:$C5412)), "")*24*60, "")</f>
        <v/>
      </c>
      <c r="O5413" s="24" t="str" cm="1">
        <f t="array" ref="O5413">IFERROR(IF($B5413=O$1, ($A5413+$C5413) - MAX(IF($B$2:$B5412=$B5413, $A$2:$A5412+$C$2:$C5412)), "")*24*60, "")</f>
        <v/>
      </c>
      <c r="P5413" s="24" t="str" cm="1">
        <f t="array" ref="P5413">IFERROR(IF($B5413=P$1, ($A5413+$C5413) - MAX(IF($B$2:$B5412=$B5413, $A$2:$A5412+$C$2:$C5412)), "")*24*60, "")</f>
        <v/>
      </c>
      <c r="Q5413" s="24" t="str" cm="1">
        <f t="array" ref="Q5413">IFERROR(IF($B5413=Q$1, ($A5413+$C5413) - MAX(IF($B$2:$B5412=$B5413, $A$2:$A5412+$C$2:$C5412)), "")*24*60, "")</f>
        <v/>
      </c>
    </row>
    <row r="5414" spans="1:17" x14ac:dyDescent="0.2">
      <c r="A5414" s="12">
        <f t="shared" ref="A5414:C5414" si="1309">A5413</f>
        <v>45983</v>
      </c>
      <c r="B5414" s="5" t="str">
        <f t="shared" si="1309"/>
        <v>Northern Cardinal</v>
      </c>
      <c r="C5414" s="6">
        <f t="shared" si="1309"/>
        <v>0.28194444444444444</v>
      </c>
      <c r="D5414" s="5"/>
      <c r="E5414" s="5"/>
      <c r="F5414" s="5" t="s">
        <v>8</v>
      </c>
      <c r="G5414" s="15" t="s">
        <v>9</v>
      </c>
      <c r="H5414" s="24">
        <f t="shared" si="1299"/>
        <v>0</v>
      </c>
      <c r="I5414" s="24" cm="1">
        <f t="array" ref="I5414">IFERROR(IF($B5414=I$1, ($A5414+$C5414) - MAX(IF($B$2:$B5413=$B5414, $A$2:$A5413+$C$2:$C5413)), "")*24*60, "")</f>
        <v>0</v>
      </c>
      <c r="J5414" s="24" t="str" cm="1">
        <f t="array" ref="J5414">IFERROR(IF($B5414=J$1, ($A5414+$C5414) - MAX(IF($B$2:$B5413=$B5414, $A$2:$A5413+$C$2:$C5413)), "")*24*60, "")</f>
        <v/>
      </c>
      <c r="K5414" s="24" t="str" cm="1">
        <f t="array" ref="K5414">IFERROR(IF($B5414=K$1, ($A5414+$C5414) - MAX(IF($B$2:$B5413=$B5414, $A$2:$A5413+$C$2:$C5413)), "")*24*60, "")</f>
        <v/>
      </c>
      <c r="L5414" s="24" t="str" cm="1">
        <f t="array" ref="L5414">IFERROR(IF($B5414=L$1, ($A5414+$C5414) - MAX(IF($B$2:$B5413=$B5414, $A$2:$A5413+$C$2:$C5413)), "")*24*60, "")</f>
        <v/>
      </c>
      <c r="M5414" s="24" t="str" cm="1">
        <f t="array" ref="M5414">IFERROR(IF($B5414=M$1, ($A5414+$C5414) - MAX(IF($B$2:$B5413=$B5414, $A$2:$A5413+$C$2:$C5413)), "")*24*60, "")</f>
        <v/>
      </c>
      <c r="N5414" s="24" t="str" cm="1">
        <f t="array" ref="N5414">IFERROR(IF($B5414=N$1, ($A5414+$C5414) - MAX(IF($B$2:$B5413=$B5414, $A$2:$A5413+$C$2:$C5413)), "")*24*60, "")</f>
        <v/>
      </c>
      <c r="O5414" s="24" t="str" cm="1">
        <f t="array" ref="O5414">IFERROR(IF($B5414=O$1, ($A5414+$C5414) - MAX(IF($B$2:$B5413=$B5414, $A$2:$A5413+$C$2:$C5413)), "")*24*60, "")</f>
        <v/>
      </c>
      <c r="P5414" s="24" t="str" cm="1">
        <f t="array" ref="P5414">IFERROR(IF($B5414=P$1, ($A5414+$C5414) - MAX(IF($B$2:$B5413=$B5414, $A$2:$A5413+$C$2:$C5413)), "")*24*60, "")</f>
        <v/>
      </c>
      <c r="Q5414" s="24" t="str" cm="1">
        <f t="array" ref="Q5414">IFERROR(IF($B5414=Q$1, ($A5414+$C5414) - MAX(IF($B$2:$B5413=$B5414, $A$2:$A5413+$C$2:$C5413)), "")*24*60, "")</f>
        <v/>
      </c>
    </row>
    <row r="5415" spans="1:17" x14ac:dyDescent="0.2">
      <c r="A5415" s="12">
        <f t="shared" ref="A5415:C5415" si="1310">A5414</f>
        <v>45983</v>
      </c>
      <c r="B5415" s="5" t="str">
        <f t="shared" si="1310"/>
        <v>Northern Cardinal</v>
      </c>
      <c r="C5415" s="6">
        <f t="shared" si="1310"/>
        <v>0.28194444444444444</v>
      </c>
      <c r="D5415" s="5"/>
      <c r="E5415" s="5"/>
      <c r="F5415" s="5" t="s">
        <v>8</v>
      </c>
      <c r="G5415" s="15" t="s">
        <v>9</v>
      </c>
      <c r="H5415" s="24">
        <f t="shared" si="1299"/>
        <v>0</v>
      </c>
      <c r="I5415" s="24" cm="1">
        <f t="array" ref="I5415">IFERROR(IF($B5415=I$1, ($A5415+$C5415) - MAX(IF($B$2:$B5414=$B5415, $A$2:$A5414+$C$2:$C5414)), "")*24*60, "")</f>
        <v>0</v>
      </c>
      <c r="J5415" s="24" t="str" cm="1">
        <f t="array" ref="J5415">IFERROR(IF($B5415=J$1, ($A5415+$C5415) - MAX(IF($B$2:$B5414=$B5415, $A$2:$A5414+$C$2:$C5414)), "")*24*60, "")</f>
        <v/>
      </c>
      <c r="K5415" s="24" t="str" cm="1">
        <f t="array" ref="K5415">IFERROR(IF($B5415=K$1, ($A5415+$C5415) - MAX(IF($B$2:$B5414=$B5415, $A$2:$A5414+$C$2:$C5414)), "")*24*60, "")</f>
        <v/>
      </c>
      <c r="L5415" s="24" t="str" cm="1">
        <f t="array" ref="L5415">IFERROR(IF($B5415=L$1, ($A5415+$C5415) - MAX(IF($B$2:$B5414=$B5415, $A$2:$A5414+$C$2:$C5414)), "")*24*60, "")</f>
        <v/>
      </c>
      <c r="M5415" s="24" t="str" cm="1">
        <f t="array" ref="M5415">IFERROR(IF($B5415=M$1, ($A5415+$C5415) - MAX(IF($B$2:$B5414=$B5415, $A$2:$A5414+$C$2:$C5414)), "")*24*60, "")</f>
        <v/>
      </c>
      <c r="N5415" s="24" t="str" cm="1">
        <f t="array" ref="N5415">IFERROR(IF($B5415=N$1, ($A5415+$C5415) - MAX(IF($B$2:$B5414=$B5415, $A$2:$A5414+$C$2:$C5414)), "")*24*60, "")</f>
        <v/>
      </c>
      <c r="O5415" s="24" t="str" cm="1">
        <f t="array" ref="O5415">IFERROR(IF($B5415=O$1, ($A5415+$C5415) - MAX(IF($B$2:$B5414=$B5415, $A$2:$A5414+$C$2:$C5414)), "")*24*60, "")</f>
        <v/>
      </c>
      <c r="P5415" s="24" t="str" cm="1">
        <f t="array" ref="P5415">IFERROR(IF($B5415=P$1, ($A5415+$C5415) - MAX(IF($B$2:$B5414=$B5415, $A$2:$A5414+$C$2:$C5414)), "")*24*60, "")</f>
        <v/>
      </c>
      <c r="Q5415" s="24" t="str" cm="1">
        <f t="array" ref="Q5415">IFERROR(IF($B5415=Q$1, ($A5415+$C5415) - MAX(IF($B$2:$B5414=$B5415, $A$2:$A5414+$C$2:$C5414)), "")*24*60, "")</f>
        <v/>
      </c>
    </row>
    <row r="5416" spans="1:17" x14ac:dyDescent="0.2">
      <c r="A5416" s="12">
        <f t="shared" ref="A5416:C5416" si="1311">A5415</f>
        <v>45983</v>
      </c>
      <c r="B5416" s="5" t="str">
        <f t="shared" si="1311"/>
        <v>Northern Cardinal</v>
      </c>
      <c r="C5416" s="6">
        <f t="shared" si="1311"/>
        <v>0.28194444444444444</v>
      </c>
      <c r="D5416" s="5"/>
      <c r="E5416" s="5"/>
      <c r="F5416" s="5" t="s">
        <v>8</v>
      </c>
      <c r="G5416" s="15" t="s">
        <v>9</v>
      </c>
      <c r="H5416" s="24">
        <f t="shared" si="1299"/>
        <v>0</v>
      </c>
      <c r="I5416" s="24" cm="1">
        <f t="array" ref="I5416">IFERROR(IF($B5416=I$1, ($A5416+$C5416) - MAX(IF($B$2:$B5415=$B5416, $A$2:$A5415+$C$2:$C5415)), "")*24*60, "")</f>
        <v>0</v>
      </c>
      <c r="J5416" s="24" t="str" cm="1">
        <f t="array" ref="J5416">IFERROR(IF($B5416=J$1, ($A5416+$C5416) - MAX(IF($B$2:$B5415=$B5416, $A$2:$A5415+$C$2:$C5415)), "")*24*60, "")</f>
        <v/>
      </c>
      <c r="K5416" s="24" t="str" cm="1">
        <f t="array" ref="K5416">IFERROR(IF($B5416=K$1, ($A5416+$C5416) - MAX(IF($B$2:$B5415=$B5416, $A$2:$A5415+$C$2:$C5415)), "")*24*60, "")</f>
        <v/>
      </c>
      <c r="L5416" s="24" t="str" cm="1">
        <f t="array" ref="L5416">IFERROR(IF($B5416=L$1, ($A5416+$C5416) - MAX(IF($B$2:$B5415=$B5416, $A$2:$A5415+$C$2:$C5415)), "")*24*60, "")</f>
        <v/>
      </c>
      <c r="M5416" s="24" t="str" cm="1">
        <f t="array" ref="M5416">IFERROR(IF($B5416=M$1, ($A5416+$C5416) - MAX(IF($B$2:$B5415=$B5416, $A$2:$A5415+$C$2:$C5415)), "")*24*60, "")</f>
        <v/>
      </c>
      <c r="N5416" s="24" t="str" cm="1">
        <f t="array" ref="N5416">IFERROR(IF($B5416=N$1, ($A5416+$C5416) - MAX(IF($B$2:$B5415=$B5416, $A$2:$A5415+$C$2:$C5415)), "")*24*60, "")</f>
        <v/>
      </c>
      <c r="O5416" s="24" t="str" cm="1">
        <f t="array" ref="O5416">IFERROR(IF($B5416=O$1, ($A5416+$C5416) - MAX(IF($B$2:$B5415=$B5416, $A$2:$A5415+$C$2:$C5415)), "")*24*60, "")</f>
        <v/>
      </c>
      <c r="P5416" s="24" t="str" cm="1">
        <f t="array" ref="P5416">IFERROR(IF($B5416=P$1, ($A5416+$C5416) - MAX(IF($B$2:$B5415=$B5416, $A$2:$A5415+$C$2:$C5415)), "")*24*60, "")</f>
        <v/>
      </c>
      <c r="Q5416" s="24" t="str" cm="1">
        <f t="array" ref="Q5416">IFERROR(IF($B5416=Q$1, ($A5416+$C5416) - MAX(IF($B$2:$B5415=$B5416, $A$2:$A5415+$C$2:$C5415)), "")*24*60, "")</f>
        <v/>
      </c>
    </row>
    <row r="5417" spans="1:17" x14ac:dyDescent="0.2">
      <c r="A5417" s="12">
        <f t="shared" ref="A5417:C5417" si="1312">A5416</f>
        <v>45983</v>
      </c>
      <c r="B5417" s="5" t="str">
        <f t="shared" si="1312"/>
        <v>Northern Cardinal</v>
      </c>
      <c r="C5417" s="6">
        <f t="shared" si="1312"/>
        <v>0.28194444444444444</v>
      </c>
      <c r="D5417" s="5"/>
      <c r="E5417" s="5"/>
      <c r="F5417" s="5" t="s">
        <v>8</v>
      </c>
      <c r="G5417" s="15" t="s">
        <v>9</v>
      </c>
      <c r="H5417" s="24">
        <f t="shared" si="1299"/>
        <v>0</v>
      </c>
      <c r="I5417" s="24" cm="1">
        <f t="array" ref="I5417">IFERROR(IF($B5417=I$1, ($A5417+$C5417) - MAX(IF($B$2:$B5416=$B5417, $A$2:$A5416+$C$2:$C5416)), "")*24*60, "")</f>
        <v>0</v>
      </c>
      <c r="J5417" s="24" t="str" cm="1">
        <f t="array" ref="J5417">IFERROR(IF($B5417=J$1, ($A5417+$C5417) - MAX(IF($B$2:$B5416=$B5417, $A$2:$A5416+$C$2:$C5416)), "")*24*60, "")</f>
        <v/>
      </c>
      <c r="K5417" s="24" t="str" cm="1">
        <f t="array" ref="K5417">IFERROR(IF($B5417=K$1, ($A5417+$C5417) - MAX(IF($B$2:$B5416=$B5417, $A$2:$A5416+$C$2:$C5416)), "")*24*60, "")</f>
        <v/>
      </c>
      <c r="L5417" s="24" t="str" cm="1">
        <f t="array" ref="L5417">IFERROR(IF($B5417=L$1, ($A5417+$C5417) - MAX(IF($B$2:$B5416=$B5417, $A$2:$A5416+$C$2:$C5416)), "")*24*60, "")</f>
        <v/>
      </c>
      <c r="M5417" s="24" t="str" cm="1">
        <f t="array" ref="M5417">IFERROR(IF($B5417=M$1, ($A5417+$C5417) - MAX(IF($B$2:$B5416=$B5417, $A$2:$A5416+$C$2:$C5416)), "")*24*60, "")</f>
        <v/>
      </c>
      <c r="N5417" s="24" t="str" cm="1">
        <f t="array" ref="N5417">IFERROR(IF($B5417=N$1, ($A5417+$C5417) - MAX(IF($B$2:$B5416=$B5417, $A$2:$A5416+$C$2:$C5416)), "")*24*60, "")</f>
        <v/>
      </c>
      <c r="O5417" s="24" t="str" cm="1">
        <f t="array" ref="O5417">IFERROR(IF($B5417=O$1, ($A5417+$C5417) - MAX(IF($B$2:$B5416=$B5417, $A$2:$A5416+$C$2:$C5416)), "")*24*60, "")</f>
        <v/>
      </c>
      <c r="P5417" s="24" t="str" cm="1">
        <f t="array" ref="P5417">IFERROR(IF($B5417=P$1, ($A5417+$C5417) - MAX(IF($B$2:$B5416=$B5417, $A$2:$A5416+$C$2:$C5416)), "")*24*60, "")</f>
        <v/>
      </c>
      <c r="Q5417" s="24" t="str" cm="1">
        <f t="array" ref="Q5417">IFERROR(IF($B5417=Q$1, ($A5417+$C5417) - MAX(IF($B$2:$B5416=$B5417, $A$2:$A5416+$C$2:$C5416)), "")*24*60, "")</f>
        <v/>
      </c>
    </row>
    <row r="5418" spans="1:17" x14ac:dyDescent="0.2">
      <c r="A5418" s="12">
        <f t="shared" ref="A5418:C5418" si="1313">A5417</f>
        <v>45983</v>
      </c>
      <c r="B5418" s="5" t="str">
        <f t="shared" si="1313"/>
        <v>Northern Cardinal</v>
      </c>
      <c r="C5418" s="6">
        <f t="shared" si="1313"/>
        <v>0.28194444444444444</v>
      </c>
      <c r="D5418" s="5"/>
      <c r="E5418" s="5"/>
      <c r="F5418" s="5" t="s">
        <v>8</v>
      </c>
      <c r="G5418" s="15" t="s">
        <v>9</v>
      </c>
      <c r="H5418" s="24">
        <f t="shared" si="1299"/>
        <v>0</v>
      </c>
      <c r="I5418" s="24" cm="1">
        <f t="array" ref="I5418">IFERROR(IF($B5418=I$1, ($A5418+$C5418) - MAX(IF($B$2:$B5417=$B5418, $A$2:$A5417+$C$2:$C5417)), "")*24*60, "")</f>
        <v>0</v>
      </c>
      <c r="J5418" s="24" t="str" cm="1">
        <f t="array" ref="J5418">IFERROR(IF($B5418=J$1, ($A5418+$C5418) - MAX(IF($B$2:$B5417=$B5418, $A$2:$A5417+$C$2:$C5417)), "")*24*60, "")</f>
        <v/>
      </c>
      <c r="K5418" s="24" t="str" cm="1">
        <f t="array" ref="K5418">IFERROR(IF($B5418=K$1, ($A5418+$C5418) - MAX(IF($B$2:$B5417=$B5418, $A$2:$A5417+$C$2:$C5417)), "")*24*60, "")</f>
        <v/>
      </c>
      <c r="L5418" s="24" t="str" cm="1">
        <f t="array" ref="L5418">IFERROR(IF($B5418=L$1, ($A5418+$C5418) - MAX(IF($B$2:$B5417=$B5418, $A$2:$A5417+$C$2:$C5417)), "")*24*60, "")</f>
        <v/>
      </c>
      <c r="M5418" s="24" t="str" cm="1">
        <f t="array" ref="M5418">IFERROR(IF($B5418=M$1, ($A5418+$C5418) - MAX(IF($B$2:$B5417=$B5418, $A$2:$A5417+$C$2:$C5417)), "")*24*60, "")</f>
        <v/>
      </c>
      <c r="N5418" s="24" t="str" cm="1">
        <f t="array" ref="N5418">IFERROR(IF($B5418=N$1, ($A5418+$C5418) - MAX(IF($B$2:$B5417=$B5418, $A$2:$A5417+$C$2:$C5417)), "")*24*60, "")</f>
        <v/>
      </c>
      <c r="O5418" s="24" t="str" cm="1">
        <f t="array" ref="O5418">IFERROR(IF($B5418=O$1, ($A5418+$C5418) - MAX(IF($B$2:$B5417=$B5418, $A$2:$A5417+$C$2:$C5417)), "")*24*60, "")</f>
        <v/>
      </c>
      <c r="P5418" s="24" t="str" cm="1">
        <f t="array" ref="P5418">IFERROR(IF($B5418=P$1, ($A5418+$C5418) - MAX(IF($B$2:$B5417=$B5418, $A$2:$A5417+$C$2:$C5417)), "")*24*60, "")</f>
        <v/>
      </c>
      <c r="Q5418" s="24" t="str" cm="1">
        <f t="array" ref="Q5418">IFERROR(IF($B5418=Q$1, ($A5418+$C5418) - MAX(IF($B$2:$B5417=$B5418, $A$2:$A5417+$C$2:$C5417)), "")*24*60, "")</f>
        <v/>
      </c>
    </row>
    <row r="5419" spans="1:17" x14ac:dyDescent="0.2">
      <c r="A5419" s="12">
        <f t="shared" ref="A5419:C5419" si="1314">A5418</f>
        <v>45983</v>
      </c>
      <c r="B5419" s="5" t="str">
        <f t="shared" si="1314"/>
        <v>Northern Cardinal</v>
      </c>
      <c r="C5419" s="6">
        <f t="shared" si="1314"/>
        <v>0.28194444444444444</v>
      </c>
      <c r="D5419" s="5"/>
      <c r="E5419" s="5"/>
      <c r="F5419" s="5" t="s">
        <v>8</v>
      </c>
      <c r="G5419" s="15" t="s">
        <v>9</v>
      </c>
      <c r="H5419" s="24">
        <f t="shared" si="1299"/>
        <v>0</v>
      </c>
      <c r="I5419" s="24" cm="1">
        <f t="array" ref="I5419">IFERROR(IF($B5419=I$1, ($A5419+$C5419) - MAX(IF($B$2:$B5418=$B5419, $A$2:$A5418+$C$2:$C5418)), "")*24*60, "")</f>
        <v>0</v>
      </c>
      <c r="J5419" s="24" t="str" cm="1">
        <f t="array" ref="J5419">IFERROR(IF($B5419=J$1, ($A5419+$C5419) - MAX(IF($B$2:$B5418=$B5419, $A$2:$A5418+$C$2:$C5418)), "")*24*60, "")</f>
        <v/>
      </c>
      <c r="K5419" s="24" t="str" cm="1">
        <f t="array" ref="K5419">IFERROR(IF($B5419=K$1, ($A5419+$C5419) - MAX(IF($B$2:$B5418=$B5419, $A$2:$A5418+$C$2:$C5418)), "")*24*60, "")</f>
        <v/>
      </c>
      <c r="L5419" s="24" t="str" cm="1">
        <f t="array" ref="L5419">IFERROR(IF($B5419=L$1, ($A5419+$C5419) - MAX(IF($B$2:$B5418=$B5419, $A$2:$A5418+$C$2:$C5418)), "")*24*60, "")</f>
        <v/>
      </c>
      <c r="M5419" s="24" t="str" cm="1">
        <f t="array" ref="M5419">IFERROR(IF($B5419=M$1, ($A5419+$C5419) - MAX(IF($B$2:$B5418=$B5419, $A$2:$A5418+$C$2:$C5418)), "")*24*60, "")</f>
        <v/>
      </c>
      <c r="N5419" s="24" t="str" cm="1">
        <f t="array" ref="N5419">IFERROR(IF($B5419=N$1, ($A5419+$C5419) - MAX(IF($B$2:$B5418=$B5419, $A$2:$A5418+$C$2:$C5418)), "")*24*60, "")</f>
        <v/>
      </c>
      <c r="O5419" s="24" t="str" cm="1">
        <f t="array" ref="O5419">IFERROR(IF($B5419=O$1, ($A5419+$C5419) - MAX(IF($B$2:$B5418=$B5419, $A$2:$A5418+$C$2:$C5418)), "")*24*60, "")</f>
        <v/>
      </c>
      <c r="P5419" s="24" t="str" cm="1">
        <f t="array" ref="P5419">IFERROR(IF($B5419=P$1, ($A5419+$C5419) - MAX(IF($B$2:$B5418=$B5419, $A$2:$A5418+$C$2:$C5418)), "")*24*60, "")</f>
        <v/>
      </c>
      <c r="Q5419" s="24" t="str" cm="1">
        <f t="array" ref="Q5419">IFERROR(IF($B5419=Q$1, ($A5419+$C5419) - MAX(IF($B$2:$B5418=$B5419, $A$2:$A5418+$C$2:$C5418)), "")*24*60, "")</f>
        <v/>
      </c>
    </row>
    <row r="5420" spans="1:17" x14ac:dyDescent="0.2">
      <c r="A5420" s="12">
        <f t="shared" ref="A5420:C5420" si="1315">A5419</f>
        <v>45983</v>
      </c>
      <c r="B5420" s="5" t="str">
        <f t="shared" si="1315"/>
        <v>Northern Cardinal</v>
      </c>
      <c r="C5420" s="6">
        <f t="shared" si="1315"/>
        <v>0.28194444444444444</v>
      </c>
      <c r="D5420" s="5"/>
      <c r="E5420" s="5"/>
      <c r="F5420" s="5" t="s">
        <v>8</v>
      </c>
      <c r="G5420" s="15" t="s">
        <v>9</v>
      </c>
      <c r="H5420" s="24">
        <f t="shared" si="1299"/>
        <v>0</v>
      </c>
      <c r="I5420" s="24" cm="1">
        <f t="array" ref="I5420">IFERROR(IF($B5420=I$1, ($A5420+$C5420) - MAX(IF($B$2:$B5419=$B5420, $A$2:$A5419+$C$2:$C5419)), "")*24*60, "")</f>
        <v>0</v>
      </c>
      <c r="J5420" s="24" t="str" cm="1">
        <f t="array" ref="J5420">IFERROR(IF($B5420=J$1, ($A5420+$C5420) - MAX(IF($B$2:$B5419=$B5420, $A$2:$A5419+$C$2:$C5419)), "")*24*60, "")</f>
        <v/>
      </c>
      <c r="K5420" s="24" t="str" cm="1">
        <f t="array" ref="K5420">IFERROR(IF($B5420=K$1, ($A5420+$C5420) - MAX(IF($B$2:$B5419=$B5420, $A$2:$A5419+$C$2:$C5419)), "")*24*60, "")</f>
        <v/>
      </c>
      <c r="L5420" s="24" t="str" cm="1">
        <f t="array" ref="L5420">IFERROR(IF($B5420=L$1, ($A5420+$C5420) - MAX(IF($B$2:$B5419=$B5420, $A$2:$A5419+$C$2:$C5419)), "")*24*60, "")</f>
        <v/>
      </c>
      <c r="M5420" s="24" t="str" cm="1">
        <f t="array" ref="M5420">IFERROR(IF($B5420=M$1, ($A5420+$C5420) - MAX(IF($B$2:$B5419=$B5420, $A$2:$A5419+$C$2:$C5419)), "")*24*60, "")</f>
        <v/>
      </c>
      <c r="N5420" s="24" t="str" cm="1">
        <f t="array" ref="N5420">IFERROR(IF($B5420=N$1, ($A5420+$C5420) - MAX(IF($B$2:$B5419=$B5420, $A$2:$A5419+$C$2:$C5419)), "")*24*60, "")</f>
        <v/>
      </c>
      <c r="O5420" s="24" t="str" cm="1">
        <f t="array" ref="O5420">IFERROR(IF($B5420=O$1, ($A5420+$C5420) - MAX(IF($B$2:$B5419=$B5420, $A$2:$A5419+$C$2:$C5419)), "")*24*60, "")</f>
        <v/>
      </c>
      <c r="P5420" s="24" t="str" cm="1">
        <f t="array" ref="P5420">IFERROR(IF($B5420=P$1, ($A5420+$C5420) - MAX(IF($B$2:$B5419=$B5420, $A$2:$A5419+$C$2:$C5419)), "")*24*60, "")</f>
        <v/>
      </c>
      <c r="Q5420" s="24" t="str" cm="1">
        <f t="array" ref="Q5420">IFERROR(IF($B5420=Q$1, ($A5420+$C5420) - MAX(IF($B$2:$B5419=$B5420, $A$2:$A5419+$C$2:$C5419)), "")*24*60, "")</f>
        <v/>
      </c>
    </row>
    <row r="5421" spans="1:17" x14ac:dyDescent="0.2">
      <c r="A5421" s="12">
        <f t="shared" ref="A5421:C5421" si="1316">A5420</f>
        <v>45983</v>
      </c>
      <c r="B5421" s="5" t="str">
        <f t="shared" si="1316"/>
        <v>Northern Cardinal</v>
      </c>
      <c r="C5421" s="6">
        <f t="shared" si="1316"/>
        <v>0.28194444444444444</v>
      </c>
      <c r="D5421" s="5"/>
      <c r="E5421" s="5"/>
      <c r="F5421" s="5" t="s">
        <v>8</v>
      </c>
      <c r="G5421" s="15" t="s">
        <v>9</v>
      </c>
      <c r="H5421" s="24">
        <f t="shared" si="1299"/>
        <v>0</v>
      </c>
      <c r="I5421" s="24" cm="1">
        <f t="array" ref="I5421">IFERROR(IF($B5421=I$1, ($A5421+$C5421) - MAX(IF($B$2:$B5420=$B5421, $A$2:$A5420+$C$2:$C5420)), "")*24*60, "")</f>
        <v>0</v>
      </c>
      <c r="J5421" s="24" t="str" cm="1">
        <f t="array" ref="J5421">IFERROR(IF($B5421=J$1, ($A5421+$C5421) - MAX(IF($B$2:$B5420=$B5421, $A$2:$A5420+$C$2:$C5420)), "")*24*60, "")</f>
        <v/>
      </c>
      <c r="K5421" s="24" t="str" cm="1">
        <f t="array" ref="K5421">IFERROR(IF($B5421=K$1, ($A5421+$C5421) - MAX(IF($B$2:$B5420=$B5421, $A$2:$A5420+$C$2:$C5420)), "")*24*60, "")</f>
        <v/>
      </c>
      <c r="L5421" s="24" t="str" cm="1">
        <f t="array" ref="L5421">IFERROR(IF($B5421=L$1, ($A5421+$C5421) - MAX(IF($B$2:$B5420=$B5421, $A$2:$A5420+$C$2:$C5420)), "")*24*60, "")</f>
        <v/>
      </c>
      <c r="M5421" s="24" t="str" cm="1">
        <f t="array" ref="M5421">IFERROR(IF($B5421=M$1, ($A5421+$C5421) - MAX(IF($B$2:$B5420=$B5421, $A$2:$A5420+$C$2:$C5420)), "")*24*60, "")</f>
        <v/>
      </c>
      <c r="N5421" s="24" t="str" cm="1">
        <f t="array" ref="N5421">IFERROR(IF($B5421=N$1, ($A5421+$C5421) - MAX(IF($B$2:$B5420=$B5421, $A$2:$A5420+$C$2:$C5420)), "")*24*60, "")</f>
        <v/>
      </c>
      <c r="O5421" s="24" t="str" cm="1">
        <f t="array" ref="O5421">IFERROR(IF($B5421=O$1, ($A5421+$C5421) - MAX(IF($B$2:$B5420=$B5421, $A$2:$A5420+$C$2:$C5420)), "")*24*60, "")</f>
        <v/>
      </c>
      <c r="P5421" s="24" t="str" cm="1">
        <f t="array" ref="P5421">IFERROR(IF($B5421=P$1, ($A5421+$C5421) - MAX(IF($B$2:$B5420=$B5421, $A$2:$A5420+$C$2:$C5420)), "")*24*60, "")</f>
        <v/>
      </c>
      <c r="Q5421" s="24" t="str" cm="1">
        <f t="array" ref="Q5421">IFERROR(IF($B5421=Q$1, ($A5421+$C5421) - MAX(IF($B$2:$B5420=$B5421, $A$2:$A5420+$C$2:$C5420)), "")*24*60, "")</f>
        <v/>
      </c>
    </row>
    <row r="5422" spans="1:17" x14ac:dyDescent="0.2">
      <c r="A5422" s="12">
        <f t="shared" ref="A5422:C5422" si="1317">A5421</f>
        <v>45983</v>
      </c>
      <c r="B5422" s="5" t="str">
        <f t="shared" si="1317"/>
        <v>Northern Cardinal</v>
      </c>
      <c r="C5422" s="6">
        <f t="shared" si="1317"/>
        <v>0.28194444444444444</v>
      </c>
      <c r="D5422" s="5"/>
      <c r="E5422" s="5"/>
      <c r="F5422" s="5" t="s">
        <v>8</v>
      </c>
      <c r="G5422" s="15" t="s">
        <v>9</v>
      </c>
      <c r="H5422" s="24">
        <f t="shared" si="1299"/>
        <v>0</v>
      </c>
      <c r="I5422" s="24" cm="1">
        <f t="array" ref="I5422">IFERROR(IF($B5422=I$1, ($A5422+$C5422) - MAX(IF($B$2:$B5421=$B5422, $A$2:$A5421+$C$2:$C5421)), "")*24*60, "")</f>
        <v>0</v>
      </c>
      <c r="J5422" s="24" t="str" cm="1">
        <f t="array" ref="J5422">IFERROR(IF($B5422=J$1, ($A5422+$C5422) - MAX(IF($B$2:$B5421=$B5422, $A$2:$A5421+$C$2:$C5421)), "")*24*60, "")</f>
        <v/>
      </c>
      <c r="K5422" s="24" t="str" cm="1">
        <f t="array" ref="K5422">IFERROR(IF($B5422=K$1, ($A5422+$C5422) - MAX(IF($B$2:$B5421=$B5422, $A$2:$A5421+$C$2:$C5421)), "")*24*60, "")</f>
        <v/>
      </c>
      <c r="L5422" s="24" t="str" cm="1">
        <f t="array" ref="L5422">IFERROR(IF($B5422=L$1, ($A5422+$C5422) - MAX(IF($B$2:$B5421=$B5422, $A$2:$A5421+$C$2:$C5421)), "")*24*60, "")</f>
        <v/>
      </c>
      <c r="M5422" s="24" t="str" cm="1">
        <f t="array" ref="M5422">IFERROR(IF($B5422=M$1, ($A5422+$C5422) - MAX(IF($B$2:$B5421=$B5422, $A$2:$A5421+$C$2:$C5421)), "")*24*60, "")</f>
        <v/>
      </c>
      <c r="N5422" s="24" t="str" cm="1">
        <f t="array" ref="N5422">IFERROR(IF($B5422=N$1, ($A5422+$C5422) - MAX(IF($B$2:$B5421=$B5422, $A$2:$A5421+$C$2:$C5421)), "")*24*60, "")</f>
        <v/>
      </c>
      <c r="O5422" s="24" t="str" cm="1">
        <f t="array" ref="O5422">IFERROR(IF($B5422=O$1, ($A5422+$C5422) - MAX(IF($B$2:$B5421=$B5422, $A$2:$A5421+$C$2:$C5421)), "")*24*60, "")</f>
        <v/>
      </c>
      <c r="P5422" s="24" t="str" cm="1">
        <f t="array" ref="P5422">IFERROR(IF($B5422=P$1, ($A5422+$C5422) - MAX(IF($B$2:$B5421=$B5422, $A$2:$A5421+$C$2:$C5421)), "")*24*60, "")</f>
        <v/>
      </c>
      <c r="Q5422" s="24" t="str" cm="1">
        <f t="array" ref="Q5422">IFERROR(IF($B5422=Q$1, ($A5422+$C5422) - MAX(IF($B$2:$B5421=$B5422, $A$2:$A5421+$C$2:$C5421)), "")*24*60, "")</f>
        <v/>
      </c>
    </row>
    <row r="5423" spans="1:17" x14ac:dyDescent="0.2">
      <c r="A5423" s="12">
        <f t="shared" ref="A5423:C5423" si="1318">A5422</f>
        <v>45983</v>
      </c>
      <c r="B5423" s="5" t="str">
        <f t="shared" si="1318"/>
        <v>Northern Cardinal</v>
      </c>
      <c r="C5423" s="6">
        <f t="shared" si="1318"/>
        <v>0.28194444444444444</v>
      </c>
      <c r="D5423" s="5"/>
      <c r="E5423" s="5"/>
      <c r="F5423" s="5" t="s">
        <v>8</v>
      </c>
      <c r="G5423" s="15" t="s">
        <v>9</v>
      </c>
      <c r="H5423" s="24">
        <f t="shared" si="1299"/>
        <v>0</v>
      </c>
      <c r="I5423" s="24" cm="1">
        <f t="array" ref="I5423">IFERROR(IF($B5423=I$1, ($A5423+$C5423) - MAX(IF($B$2:$B5422=$B5423, $A$2:$A5422+$C$2:$C5422)), "")*24*60, "")</f>
        <v>0</v>
      </c>
      <c r="J5423" s="24" t="str" cm="1">
        <f t="array" ref="J5423">IFERROR(IF($B5423=J$1, ($A5423+$C5423) - MAX(IF($B$2:$B5422=$B5423, $A$2:$A5422+$C$2:$C5422)), "")*24*60, "")</f>
        <v/>
      </c>
      <c r="K5423" s="24" t="str" cm="1">
        <f t="array" ref="K5423">IFERROR(IF($B5423=K$1, ($A5423+$C5423) - MAX(IF($B$2:$B5422=$B5423, $A$2:$A5422+$C$2:$C5422)), "")*24*60, "")</f>
        <v/>
      </c>
      <c r="L5423" s="24" t="str" cm="1">
        <f t="array" ref="L5423">IFERROR(IF($B5423=L$1, ($A5423+$C5423) - MAX(IF($B$2:$B5422=$B5423, $A$2:$A5422+$C$2:$C5422)), "")*24*60, "")</f>
        <v/>
      </c>
      <c r="M5423" s="24" t="str" cm="1">
        <f t="array" ref="M5423">IFERROR(IF($B5423=M$1, ($A5423+$C5423) - MAX(IF($B$2:$B5422=$B5423, $A$2:$A5422+$C$2:$C5422)), "")*24*60, "")</f>
        <v/>
      </c>
      <c r="N5423" s="24" t="str" cm="1">
        <f t="array" ref="N5423">IFERROR(IF($B5423=N$1, ($A5423+$C5423) - MAX(IF($B$2:$B5422=$B5423, $A$2:$A5422+$C$2:$C5422)), "")*24*60, "")</f>
        <v/>
      </c>
      <c r="O5423" s="24" t="str" cm="1">
        <f t="array" ref="O5423">IFERROR(IF($B5423=O$1, ($A5423+$C5423) - MAX(IF($B$2:$B5422=$B5423, $A$2:$A5422+$C$2:$C5422)), "")*24*60, "")</f>
        <v/>
      </c>
      <c r="P5423" s="24" t="str" cm="1">
        <f t="array" ref="P5423">IFERROR(IF($B5423=P$1, ($A5423+$C5423) - MAX(IF($B$2:$B5422=$B5423, $A$2:$A5422+$C$2:$C5422)), "")*24*60, "")</f>
        <v/>
      </c>
      <c r="Q5423" s="24" t="str" cm="1">
        <f t="array" ref="Q5423">IFERROR(IF($B5423=Q$1, ($A5423+$C5423) - MAX(IF($B$2:$B5422=$B5423, $A$2:$A5422+$C$2:$C5422)), "")*24*60, "")</f>
        <v/>
      </c>
    </row>
    <row r="5424" spans="1:17" x14ac:dyDescent="0.2">
      <c r="A5424" s="12">
        <f t="shared" ref="A5424:C5424" si="1319">A5423</f>
        <v>45983</v>
      </c>
      <c r="B5424" s="5" t="str">
        <f t="shared" si="1319"/>
        <v>Northern Cardinal</v>
      </c>
      <c r="C5424" s="6">
        <f t="shared" si="1319"/>
        <v>0.28194444444444444</v>
      </c>
      <c r="D5424" s="5"/>
      <c r="E5424" s="5"/>
      <c r="F5424" s="5" t="s">
        <v>8</v>
      </c>
      <c r="G5424" s="15" t="s">
        <v>9</v>
      </c>
      <c r="H5424" s="24">
        <f t="shared" si="1299"/>
        <v>0</v>
      </c>
      <c r="I5424" s="24" cm="1">
        <f t="array" ref="I5424">IFERROR(IF($B5424=I$1, ($A5424+$C5424) - MAX(IF($B$2:$B5423=$B5424, $A$2:$A5423+$C$2:$C5423)), "")*24*60, "")</f>
        <v>0</v>
      </c>
      <c r="J5424" s="24" t="str" cm="1">
        <f t="array" ref="J5424">IFERROR(IF($B5424=J$1, ($A5424+$C5424) - MAX(IF($B$2:$B5423=$B5424, $A$2:$A5423+$C$2:$C5423)), "")*24*60, "")</f>
        <v/>
      </c>
      <c r="K5424" s="24" t="str" cm="1">
        <f t="array" ref="K5424">IFERROR(IF($B5424=K$1, ($A5424+$C5424) - MAX(IF($B$2:$B5423=$B5424, $A$2:$A5423+$C$2:$C5423)), "")*24*60, "")</f>
        <v/>
      </c>
      <c r="L5424" s="24" t="str" cm="1">
        <f t="array" ref="L5424">IFERROR(IF($B5424=L$1, ($A5424+$C5424) - MAX(IF($B$2:$B5423=$B5424, $A$2:$A5423+$C$2:$C5423)), "")*24*60, "")</f>
        <v/>
      </c>
      <c r="M5424" s="24" t="str" cm="1">
        <f t="array" ref="M5424">IFERROR(IF($B5424=M$1, ($A5424+$C5424) - MAX(IF($B$2:$B5423=$B5424, $A$2:$A5423+$C$2:$C5423)), "")*24*60, "")</f>
        <v/>
      </c>
      <c r="N5424" s="24" t="str" cm="1">
        <f t="array" ref="N5424">IFERROR(IF($B5424=N$1, ($A5424+$C5424) - MAX(IF($B$2:$B5423=$B5424, $A$2:$A5423+$C$2:$C5423)), "")*24*60, "")</f>
        <v/>
      </c>
      <c r="O5424" s="24" t="str" cm="1">
        <f t="array" ref="O5424">IFERROR(IF($B5424=O$1, ($A5424+$C5424) - MAX(IF($B$2:$B5423=$B5424, $A$2:$A5423+$C$2:$C5423)), "")*24*60, "")</f>
        <v/>
      </c>
      <c r="P5424" s="24" t="str" cm="1">
        <f t="array" ref="P5424">IFERROR(IF($B5424=P$1, ($A5424+$C5424) - MAX(IF($B$2:$B5423=$B5424, $A$2:$A5423+$C$2:$C5423)), "")*24*60, "")</f>
        <v/>
      </c>
      <c r="Q5424" s="24" t="str" cm="1">
        <f t="array" ref="Q5424">IFERROR(IF($B5424=Q$1, ($A5424+$C5424) - MAX(IF($B$2:$B5423=$B5424, $A$2:$A5423+$C$2:$C5423)), "")*24*60, "")</f>
        <v/>
      </c>
    </row>
    <row r="5425" spans="1:17" x14ac:dyDescent="0.2">
      <c r="A5425" s="12">
        <f t="shared" ref="A5425:C5425" si="1320">A5424</f>
        <v>45983</v>
      </c>
      <c r="B5425" s="5" t="str">
        <f t="shared" si="1320"/>
        <v>Northern Cardinal</v>
      </c>
      <c r="C5425" s="6">
        <f t="shared" si="1320"/>
        <v>0.28194444444444444</v>
      </c>
      <c r="D5425" s="5"/>
      <c r="E5425" s="5"/>
      <c r="F5425" s="5" t="s">
        <v>8</v>
      </c>
      <c r="G5425" s="15" t="s">
        <v>9</v>
      </c>
      <c r="H5425" s="24">
        <f t="shared" si="1299"/>
        <v>0</v>
      </c>
      <c r="I5425" s="24" cm="1">
        <f t="array" ref="I5425">IFERROR(IF($B5425=I$1, ($A5425+$C5425) - MAX(IF($B$2:$B5424=$B5425, $A$2:$A5424+$C$2:$C5424)), "")*24*60, "")</f>
        <v>0</v>
      </c>
      <c r="J5425" s="24" t="str" cm="1">
        <f t="array" ref="J5425">IFERROR(IF($B5425=J$1, ($A5425+$C5425) - MAX(IF($B$2:$B5424=$B5425, $A$2:$A5424+$C$2:$C5424)), "")*24*60, "")</f>
        <v/>
      </c>
      <c r="K5425" s="24" t="str" cm="1">
        <f t="array" ref="K5425">IFERROR(IF($B5425=K$1, ($A5425+$C5425) - MAX(IF($B$2:$B5424=$B5425, $A$2:$A5424+$C$2:$C5424)), "")*24*60, "")</f>
        <v/>
      </c>
      <c r="L5425" s="24" t="str" cm="1">
        <f t="array" ref="L5425">IFERROR(IF($B5425=L$1, ($A5425+$C5425) - MAX(IF($B$2:$B5424=$B5425, $A$2:$A5424+$C$2:$C5424)), "")*24*60, "")</f>
        <v/>
      </c>
      <c r="M5425" s="24" t="str" cm="1">
        <f t="array" ref="M5425">IFERROR(IF($B5425=M$1, ($A5425+$C5425) - MAX(IF($B$2:$B5424=$B5425, $A$2:$A5424+$C$2:$C5424)), "")*24*60, "")</f>
        <v/>
      </c>
      <c r="N5425" s="24" t="str" cm="1">
        <f t="array" ref="N5425">IFERROR(IF($B5425=N$1, ($A5425+$C5425) - MAX(IF($B$2:$B5424=$B5425, $A$2:$A5424+$C$2:$C5424)), "")*24*60, "")</f>
        <v/>
      </c>
      <c r="O5425" s="24" t="str" cm="1">
        <f t="array" ref="O5425">IFERROR(IF($B5425=O$1, ($A5425+$C5425) - MAX(IF($B$2:$B5424=$B5425, $A$2:$A5424+$C$2:$C5424)), "")*24*60, "")</f>
        <v/>
      </c>
      <c r="P5425" s="24" t="str" cm="1">
        <f t="array" ref="P5425">IFERROR(IF($B5425=P$1, ($A5425+$C5425) - MAX(IF($B$2:$B5424=$B5425, $A$2:$A5424+$C$2:$C5424)), "")*24*60, "")</f>
        <v/>
      </c>
      <c r="Q5425" s="24" t="str" cm="1">
        <f t="array" ref="Q5425">IFERROR(IF($B5425=Q$1, ($A5425+$C5425) - MAX(IF($B$2:$B5424=$B5425, $A$2:$A5424+$C$2:$C5424)), "")*24*60, "")</f>
        <v/>
      </c>
    </row>
    <row r="5426" spans="1:17" x14ac:dyDescent="0.2">
      <c r="A5426" s="12">
        <f t="shared" ref="A5426:C5426" si="1321">A5425</f>
        <v>45983</v>
      </c>
      <c r="B5426" s="5" t="str">
        <f t="shared" si="1321"/>
        <v>Northern Cardinal</v>
      </c>
      <c r="C5426" s="6">
        <f t="shared" si="1321"/>
        <v>0.28194444444444444</v>
      </c>
      <c r="D5426" s="5"/>
      <c r="E5426" s="5"/>
      <c r="F5426" s="5" t="s">
        <v>8</v>
      </c>
      <c r="G5426" s="15" t="s">
        <v>9</v>
      </c>
      <c r="H5426" s="24">
        <f t="shared" si="1299"/>
        <v>0</v>
      </c>
      <c r="I5426" s="24" cm="1">
        <f t="array" ref="I5426">IFERROR(IF($B5426=I$1, ($A5426+$C5426) - MAX(IF($B$2:$B5425=$B5426, $A$2:$A5425+$C$2:$C5425)), "")*24*60, "")</f>
        <v>0</v>
      </c>
      <c r="J5426" s="24" t="str" cm="1">
        <f t="array" ref="J5426">IFERROR(IF($B5426=J$1, ($A5426+$C5426) - MAX(IF($B$2:$B5425=$B5426, $A$2:$A5425+$C$2:$C5425)), "")*24*60, "")</f>
        <v/>
      </c>
      <c r="K5426" s="24" t="str" cm="1">
        <f t="array" ref="K5426">IFERROR(IF($B5426=K$1, ($A5426+$C5426) - MAX(IF($B$2:$B5425=$B5426, $A$2:$A5425+$C$2:$C5425)), "")*24*60, "")</f>
        <v/>
      </c>
      <c r="L5426" s="24" t="str" cm="1">
        <f t="array" ref="L5426">IFERROR(IF($B5426=L$1, ($A5426+$C5426) - MAX(IF($B$2:$B5425=$B5426, $A$2:$A5425+$C$2:$C5425)), "")*24*60, "")</f>
        <v/>
      </c>
      <c r="M5426" s="24" t="str" cm="1">
        <f t="array" ref="M5426">IFERROR(IF($B5426=M$1, ($A5426+$C5426) - MAX(IF($B$2:$B5425=$B5426, $A$2:$A5425+$C$2:$C5425)), "")*24*60, "")</f>
        <v/>
      </c>
      <c r="N5426" s="24" t="str" cm="1">
        <f t="array" ref="N5426">IFERROR(IF($B5426=N$1, ($A5426+$C5426) - MAX(IF($B$2:$B5425=$B5426, $A$2:$A5425+$C$2:$C5425)), "")*24*60, "")</f>
        <v/>
      </c>
      <c r="O5426" s="24" t="str" cm="1">
        <f t="array" ref="O5426">IFERROR(IF($B5426=O$1, ($A5426+$C5426) - MAX(IF($B$2:$B5425=$B5426, $A$2:$A5425+$C$2:$C5425)), "")*24*60, "")</f>
        <v/>
      </c>
      <c r="P5426" s="24" t="str" cm="1">
        <f t="array" ref="P5426">IFERROR(IF($B5426=P$1, ($A5426+$C5426) - MAX(IF($B$2:$B5425=$B5426, $A$2:$A5425+$C$2:$C5425)), "")*24*60, "")</f>
        <v/>
      </c>
      <c r="Q5426" s="24" t="str" cm="1">
        <f t="array" ref="Q5426">IFERROR(IF($B5426=Q$1, ($A5426+$C5426) - MAX(IF($B$2:$B5425=$B5426, $A$2:$A5425+$C$2:$C5425)), "")*24*60, "")</f>
        <v/>
      </c>
    </row>
    <row r="5427" spans="1:17" x14ac:dyDescent="0.2">
      <c r="A5427" s="12">
        <f t="shared" ref="A5427:C5427" si="1322">A5426</f>
        <v>45983</v>
      </c>
      <c r="B5427" s="5" t="str">
        <f t="shared" si="1322"/>
        <v>Northern Cardinal</v>
      </c>
      <c r="C5427" s="6">
        <f t="shared" si="1322"/>
        <v>0.28194444444444444</v>
      </c>
      <c r="D5427" s="5"/>
      <c r="E5427" s="5"/>
      <c r="F5427" s="5" t="s">
        <v>8</v>
      </c>
      <c r="G5427" s="15" t="s">
        <v>9</v>
      </c>
      <c r="H5427" s="24">
        <f t="shared" si="1299"/>
        <v>0</v>
      </c>
      <c r="I5427" s="24" cm="1">
        <f t="array" ref="I5427">IFERROR(IF($B5427=I$1, ($A5427+$C5427) - MAX(IF($B$2:$B5426=$B5427, $A$2:$A5426+$C$2:$C5426)), "")*24*60, "")</f>
        <v>0</v>
      </c>
      <c r="J5427" s="24" t="str" cm="1">
        <f t="array" ref="J5427">IFERROR(IF($B5427=J$1, ($A5427+$C5427) - MAX(IF($B$2:$B5426=$B5427, $A$2:$A5426+$C$2:$C5426)), "")*24*60, "")</f>
        <v/>
      </c>
      <c r="K5427" s="24" t="str" cm="1">
        <f t="array" ref="K5427">IFERROR(IF($B5427=K$1, ($A5427+$C5427) - MAX(IF($B$2:$B5426=$B5427, $A$2:$A5426+$C$2:$C5426)), "")*24*60, "")</f>
        <v/>
      </c>
      <c r="L5427" s="24" t="str" cm="1">
        <f t="array" ref="L5427">IFERROR(IF($B5427=L$1, ($A5427+$C5427) - MAX(IF($B$2:$B5426=$B5427, $A$2:$A5426+$C$2:$C5426)), "")*24*60, "")</f>
        <v/>
      </c>
      <c r="M5427" s="24" t="str" cm="1">
        <f t="array" ref="M5427">IFERROR(IF($B5427=M$1, ($A5427+$C5427) - MAX(IF($B$2:$B5426=$B5427, $A$2:$A5426+$C$2:$C5426)), "")*24*60, "")</f>
        <v/>
      </c>
      <c r="N5427" s="24" t="str" cm="1">
        <f t="array" ref="N5427">IFERROR(IF($B5427=N$1, ($A5427+$C5427) - MAX(IF($B$2:$B5426=$B5427, $A$2:$A5426+$C$2:$C5426)), "")*24*60, "")</f>
        <v/>
      </c>
      <c r="O5427" s="24" t="str" cm="1">
        <f t="array" ref="O5427">IFERROR(IF($B5427=O$1, ($A5427+$C5427) - MAX(IF($B$2:$B5426=$B5427, $A$2:$A5426+$C$2:$C5426)), "")*24*60, "")</f>
        <v/>
      </c>
      <c r="P5427" s="24" t="str" cm="1">
        <f t="array" ref="P5427">IFERROR(IF($B5427=P$1, ($A5427+$C5427) - MAX(IF($B$2:$B5426=$B5427, $A$2:$A5426+$C$2:$C5426)), "")*24*60, "")</f>
        <v/>
      </c>
      <c r="Q5427" s="24" t="str" cm="1">
        <f t="array" ref="Q5427">IFERROR(IF($B5427=Q$1, ($A5427+$C5427) - MAX(IF($B$2:$B5426=$B5427, $A$2:$A5426+$C$2:$C5426)), "")*24*60, "")</f>
        <v/>
      </c>
    </row>
    <row r="5428" spans="1:17" x14ac:dyDescent="0.2">
      <c r="A5428" s="12">
        <f t="shared" ref="A5428:C5428" si="1323">A5427</f>
        <v>45983</v>
      </c>
      <c r="B5428" s="5" t="str">
        <f t="shared" si="1323"/>
        <v>Northern Cardinal</v>
      </c>
      <c r="C5428" s="6">
        <f t="shared" si="1323"/>
        <v>0.28194444444444444</v>
      </c>
      <c r="D5428" s="5"/>
      <c r="E5428" s="5"/>
      <c r="F5428" s="5" t="s">
        <v>8</v>
      </c>
      <c r="G5428" s="15" t="s">
        <v>9</v>
      </c>
      <c r="H5428" s="24">
        <f t="shared" si="1299"/>
        <v>0</v>
      </c>
      <c r="I5428" s="24" cm="1">
        <f t="array" ref="I5428">IFERROR(IF($B5428=I$1, ($A5428+$C5428) - MAX(IF($B$2:$B5427=$B5428, $A$2:$A5427+$C$2:$C5427)), "")*24*60, "")</f>
        <v>0</v>
      </c>
      <c r="J5428" s="24" t="str" cm="1">
        <f t="array" ref="J5428">IFERROR(IF($B5428=J$1, ($A5428+$C5428) - MAX(IF($B$2:$B5427=$B5428, $A$2:$A5427+$C$2:$C5427)), "")*24*60, "")</f>
        <v/>
      </c>
      <c r="K5428" s="24" t="str" cm="1">
        <f t="array" ref="K5428">IFERROR(IF($B5428=K$1, ($A5428+$C5428) - MAX(IF($B$2:$B5427=$B5428, $A$2:$A5427+$C$2:$C5427)), "")*24*60, "")</f>
        <v/>
      </c>
      <c r="L5428" s="24" t="str" cm="1">
        <f t="array" ref="L5428">IFERROR(IF($B5428=L$1, ($A5428+$C5428) - MAX(IF($B$2:$B5427=$B5428, $A$2:$A5427+$C$2:$C5427)), "")*24*60, "")</f>
        <v/>
      </c>
      <c r="M5428" s="24" t="str" cm="1">
        <f t="array" ref="M5428">IFERROR(IF($B5428=M$1, ($A5428+$C5428) - MAX(IF($B$2:$B5427=$B5428, $A$2:$A5427+$C$2:$C5427)), "")*24*60, "")</f>
        <v/>
      </c>
      <c r="N5428" s="24" t="str" cm="1">
        <f t="array" ref="N5428">IFERROR(IF($B5428=N$1, ($A5428+$C5428) - MAX(IF($B$2:$B5427=$B5428, $A$2:$A5427+$C$2:$C5427)), "")*24*60, "")</f>
        <v/>
      </c>
      <c r="O5428" s="24" t="str" cm="1">
        <f t="array" ref="O5428">IFERROR(IF($B5428=O$1, ($A5428+$C5428) - MAX(IF($B$2:$B5427=$B5428, $A$2:$A5427+$C$2:$C5427)), "")*24*60, "")</f>
        <v/>
      </c>
      <c r="P5428" s="24" t="str" cm="1">
        <f t="array" ref="P5428">IFERROR(IF($B5428=P$1, ($A5428+$C5428) - MAX(IF($B$2:$B5427=$B5428, $A$2:$A5427+$C$2:$C5427)), "")*24*60, "")</f>
        <v/>
      </c>
      <c r="Q5428" s="24" t="str" cm="1">
        <f t="array" ref="Q5428">IFERROR(IF($B5428=Q$1, ($A5428+$C5428) - MAX(IF($B$2:$B5427=$B5428, $A$2:$A5427+$C$2:$C5427)), "")*24*60, "")</f>
        <v/>
      </c>
    </row>
    <row r="5429" spans="1:17" x14ac:dyDescent="0.2">
      <c r="A5429" s="12">
        <f t="shared" ref="A5429:C5429" si="1324">A5428</f>
        <v>45983</v>
      </c>
      <c r="B5429" s="5" t="str">
        <f t="shared" si="1324"/>
        <v>Northern Cardinal</v>
      </c>
      <c r="C5429" s="6">
        <f t="shared" si="1324"/>
        <v>0.28194444444444444</v>
      </c>
      <c r="D5429" s="5"/>
      <c r="E5429" s="5"/>
      <c r="F5429" s="5" t="s">
        <v>8</v>
      </c>
      <c r="G5429" s="15" t="s">
        <v>9</v>
      </c>
      <c r="H5429" s="24">
        <f t="shared" si="1299"/>
        <v>0</v>
      </c>
      <c r="I5429" s="24" cm="1">
        <f t="array" ref="I5429">IFERROR(IF($B5429=I$1, ($A5429+$C5429) - MAX(IF($B$2:$B5428=$B5429, $A$2:$A5428+$C$2:$C5428)), "")*24*60, "")</f>
        <v>0</v>
      </c>
      <c r="J5429" s="24" t="str" cm="1">
        <f t="array" ref="J5429">IFERROR(IF($B5429=J$1, ($A5429+$C5429) - MAX(IF($B$2:$B5428=$B5429, $A$2:$A5428+$C$2:$C5428)), "")*24*60, "")</f>
        <v/>
      </c>
      <c r="K5429" s="24" t="str" cm="1">
        <f t="array" ref="K5429">IFERROR(IF($B5429=K$1, ($A5429+$C5429) - MAX(IF($B$2:$B5428=$B5429, $A$2:$A5428+$C$2:$C5428)), "")*24*60, "")</f>
        <v/>
      </c>
      <c r="L5429" s="24" t="str" cm="1">
        <f t="array" ref="L5429">IFERROR(IF($B5429=L$1, ($A5429+$C5429) - MAX(IF($B$2:$B5428=$B5429, $A$2:$A5428+$C$2:$C5428)), "")*24*60, "")</f>
        <v/>
      </c>
      <c r="M5429" s="24" t="str" cm="1">
        <f t="array" ref="M5429">IFERROR(IF($B5429=M$1, ($A5429+$C5429) - MAX(IF($B$2:$B5428=$B5429, $A$2:$A5428+$C$2:$C5428)), "")*24*60, "")</f>
        <v/>
      </c>
      <c r="N5429" s="24" t="str" cm="1">
        <f t="array" ref="N5429">IFERROR(IF($B5429=N$1, ($A5429+$C5429) - MAX(IF($B$2:$B5428=$B5429, $A$2:$A5428+$C$2:$C5428)), "")*24*60, "")</f>
        <v/>
      </c>
      <c r="O5429" s="24" t="str" cm="1">
        <f t="array" ref="O5429">IFERROR(IF($B5429=O$1, ($A5429+$C5429) - MAX(IF($B$2:$B5428=$B5429, $A$2:$A5428+$C$2:$C5428)), "")*24*60, "")</f>
        <v/>
      </c>
      <c r="P5429" s="24" t="str" cm="1">
        <f t="array" ref="P5429">IFERROR(IF($B5429=P$1, ($A5429+$C5429) - MAX(IF($B$2:$B5428=$B5429, $A$2:$A5428+$C$2:$C5428)), "")*24*60, "")</f>
        <v/>
      </c>
      <c r="Q5429" s="24" t="str" cm="1">
        <f t="array" ref="Q5429">IFERROR(IF($B5429=Q$1, ($A5429+$C5429) - MAX(IF($B$2:$B5428=$B5429, $A$2:$A5428+$C$2:$C5428)), "")*24*60, "")</f>
        <v/>
      </c>
    </row>
    <row r="5430" spans="1:17" x14ac:dyDescent="0.2">
      <c r="A5430" s="12">
        <f t="shared" ref="A5430:C5430" si="1325">A5429</f>
        <v>45983</v>
      </c>
      <c r="B5430" s="5" t="str">
        <f t="shared" si="1325"/>
        <v>Northern Cardinal</v>
      </c>
      <c r="C5430" s="6">
        <f t="shared" si="1325"/>
        <v>0.28194444444444444</v>
      </c>
      <c r="D5430" s="5"/>
      <c r="E5430" s="5"/>
      <c r="F5430" s="5" t="s">
        <v>8</v>
      </c>
      <c r="G5430" s="15" t="s">
        <v>9</v>
      </c>
      <c r="H5430" s="24">
        <f t="shared" si="1299"/>
        <v>0</v>
      </c>
      <c r="I5430" s="24" cm="1">
        <f t="array" ref="I5430">IFERROR(IF($B5430=I$1, ($A5430+$C5430) - MAX(IF($B$2:$B5429=$B5430, $A$2:$A5429+$C$2:$C5429)), "")*24*60, "")</f>
        <v>0</v>
      </c>
      <c r="J5430" s="24" t="str" cm="1">
        <f t="array" ref="J5430">IFERROR(IF($B5430=J$1, ($A5430+$C5430) - MAX(IF($B$2:$B5429=$B5430, $A$2:$A5429+$C$2:$C5429)), "")*24*60, "")</f>
        <v/>
      </c>
      <c r="K5430" s="24" t="str" cm="1">
        <f t="array" ref="K5430">IFERROR(IF($B5430=K$1, ($A5430+$C5430) - MAX(IF($B$2:$B5429=$B5430, $A$2:$A5429+$C$2:$C5429)), "")*24*60, "")</f>
        <v/>
      </c>
      <c r="L5430" s="24" t="str" cm="1">
        <f t="array" ref="L5430">IFERROR(IF($B5430=L$1, ($A5430+$C5430) - MAX(IF($B$2:$B5429=$B5430, $A$2:$A5429+$C$2:$C5429)), "")*24*60, "")</f>
        <v/>
      </c>
      <c r="M5430" s="24" t="str" cm="1">
        <f t="array" ref="M5430">IFERROR(IF($B5430=M$1, ($A5430+$C5430) - MAX(IF($B$2:$B5429=$B5430, $A$2:$A5429+$C$2:$C5429)), "")*24*60, "")</f>
        <v/>
      </c>
      <c r="N5430" s="24" t="str" cm="1">
        <f t="array" ref="N5430">IFERROR(IF($B5430=N$1, ($A5430+$C5430) - MAX(IF($B$2:$B5429=$B5430, $A$2:$A5429+$C$2:$C5429)), "")*24*60, "")</f>
        <v/>
      </c>
      <c r="O5430" s="24" t="str" cm="1">
        <f t="array" ref="O5430">IFERROR(IF($B5430=O$1, ($A5430+$C5430) - MAX(IF($B$2:$B5429=$B5430, $A$2:$A5429+$C$2:$C5429)), "")*24*60, "")</f>
        <v/>
      </c>
      <c r="P5430" s="24" t="str" cm="1">
        <f t="array" ref="P5430">IFERROR(IF($B5430=P$1, ($A5430+$C5430) - MAX(IF($B$2:$B5429=$B5430, $A$2:$A5429+$C$2:$C5429)), "")*24*60, "")</f>
        <v/>
      </c>
      <c r="Q5430" s="24" t="str" cm="1">
        <f t="array" ref="Q5430">IFERROR(IF($B5430=Q$1, ($A5430+$C5430) - MAX(IF($B$2:$B5429=$B5430, $A$2:$A5429+$C$2:$C5429)), "")*24*60, "")</f>
        <v/>
      </c>
    </row>
    <row r="5431" spans="1:17" x14ac:dyDescent="0.2">
      <c r="A5431" s="12">
        <f t="shared" ref="A5431:C5431" si="1326">A5430</f>
        <v>45983</v>
      </c>
      <c r="B5431" s="5" t="str">
        <f t="shared" si="1326"/>
        <v>Northern Cardinal</v>
      </c>
      <c r="C5431" s="6">
        <f t="shared" si="1326"/>
        <v>0.28194444444444444</v>
      </c>
      <c r="D5431" s="5"/>
      <c r="E5431" s="5"/>
      <c r="F5431" s="5" t="s">
        <v>8</v>
      </c>
      <c r="G5431" s="15" t="s">
        <v>9</v>
      </c>
      <c r="H5431" s="24">
        <f t="shared" si="1299"/>
        <v>0</v>
      </c>
      <c r="I5431" s="24" cm="1">
        <f t="array" ref="I5431">IFERROR(IF($B5431=I$1, ($A5431+$C5431) - MAX(IF($B$2:$B5430=$B5431, $A$2:$A5430+$C$2:$C5430)), "")*24*60, "")</f>
        <v>0</v>
      </c>
      <c r="J5431" s="24" t="str" cm="1">
        <f t="array" ref="J5431">IFERROR(IF($B5431=J$1, ($A5431+$C5431) - MAX(IF($B$2:$B5430=$B5431, $A$2:$A5430+$C$2:$C5430)), "")*24*60, "")</f>
        <v/>
      </c>
      <c r="K5431" s="24" t="str" cm="1">
        <f t="array" ref="K5431">IFERROR(IF($B5431=K$1, ($A5431+$C5431) - MAX(IF($B$2:$B5430=$B5431, $A$2:$A5430+$C$2:$C5430)), "")*24*60, "")</f>
        <v/>
      </c>
      <c r="L5431" s="24" t="str" cm="1">
        <f t="array" ref="L5431">IFERROR(IF($B5431=L$1, ($A5431+$C5431) - MAX(IF($B$2:$B5430=$B5431, $A$2:$A5430+$C$2:$C5430)), "")*24*60, "")</f>
        <v/>
      </c>
      <c r="M5431" s="24" t="str" cm="1">
        <f t="array" ref="M5431">IFERROR(IF($B5431=M$1, ($A5431+$C5431) - MAX(IF($B$2:$B5430=$B5431, $A$2:$A5430+$C$2:$C5430)), "")*24*60, "")</f>
        <v/>
      </c>
      <c r="N5431" s="24" t="str" cm="1">
        <f t="array" ref="N5431">IFERROR(IF($B5431=N$1, ($A5431+$C5431) - MAX(IF($B$2:$B5430=$B5431, $A$2:$A5430+$C$2:$C5430)), "")*24*60, "")</f>
        <v/>
      </c>
      <c r="O5431" s="24" t="str" cm="1">
        <f t="array" ref="O5431">IFERROR(IF($B5431=O$1, ($A5431+$C5431) - MAX(IF($B$2:$B5430=$B5431, $A$2:$A5430+$C$2:$C5430)), "")*24*60, "")</f>
        <v/>
      </c>
      <c r="P5431" s="24" t="str" cm="1">
        <f t="array" ref="P5431">IFERROR(IF($B5431=P$1, ($A5431+$C5431) - MAX(IF($B$2:$B5430=$B5431, $A$2:$A5430+$C$2:$C5430)), "")*24*60, "")</f>
        <v/>
      </c>
      <c r="Q5431" s="24" t="str" cm="1">
        <f t="array" ref="Q5431">IFERROR(IF($B5431=Q$1, ($A5431+$C5431) - MAX(IF($B$2:$B5430=$B5431, $A$2:$A5430+$C$2:$C5430)), "")*24*60, "")</f>
        <v/>
      </c>
    </row>
    <row r="5432" spans="1:17" x14ac:dyDescent="0.2">
      <c r="A5432" s="12">
        <f t="shared" ref="A5432:C5432" si="1327">A5431</f>
        <v>45983</v>
      </c>
      <c r="B5432" s="5" t="str">
        <f t="shared" si="1327"/>
        <v>Northern Cardinal</v>
      </c>
      <c r="C5432" s="6">
        <f t="shared" si="1327"/>
        <v>0.28194444444444444</v>
      </c>
      <c r="D5432" s="5"/>
      <c r="E5432" s="5"/>
      <c r="F5432" s="5" t="s">
        <v>8</v>
      </c>
      <c r="G5432" s="15" t="s">
        <v>9</v>
      </c>
      <c r="H5432" s="24">
        <f t="shared" si="1299"/>
        <v>0</v>
      </c>
      <c r="I5432" s="24" cm="1">
        <f t="array" ref="I5432">IFERROR(IF($B5432=I$1, ($A5432+$C5432) - MAX(IF($B$2:$B5431=$B5432, $A$2:$A5431+$C$2:$C5431)), "")*24*60, "")</f>
        <v>0</v>
      </c>
      <c r="J5432" s="24" t="str" cm="1">
        <f t="array" ref="J5432">IFERROR(IF($B5432=J$1, ($A5432+$C5432) - MAX(IF($B$2:$B5431=$B5432, $A$2:$A5431+$C$2:$C5431)), "")*24*60, "")</f>
        <v/>
      </c>
      <c r="K5432" s="24" t="str" cm="1">
        <f t="array" ref="K5432">IFERROR(IF($B5432=K$1, ($A5432+$C5432) - MAX(IF($B$2:$B5431=$B5432, $A$2:$A5431+$C$2:$C5431)), "")*24*60, "")</f>
        <v/>
      </c>
      <c r="L5432" s="24" t="str" cm="1">
        <f t="array" ref="L5432">IFERROR(IF($B5432=L$1, ($A5432+$C5432) - MAX(IF($B$2:$B5431=$B5432, $A$2:$A5431+$C$2:$C5431)), "")*24*60, "")</f>
        <v/>
      </c>
      <c r="M5432" s="24" t="str" cm="1">
        <f t="array" ref="M5432">IFERROR(IF($B5432=M$1, ($A5432+$C5432) - MAX(IF($B$2:$B5431=$B5432, $A$2:$A5431+$C$2:$C5431)), "")*24*60, "")</f>
        <v/>
      </c>
      <c r="N5432" s="24" t="str" cm="1">
        <f t="array" ref="N5432">IFERROR(IF($B5432=N$1, ($A5432+$C5432) - MAX(IF($B$2:$B5431=$B5432, $A$2:$A5431+$C$2:$C5431)), "")*24*60, "")</f>
        <v/>
      </c>
      <c r="O5432" s="24" t="str" cm="1">
        <f t="array" ref="O5432">IFERROR(IF($B5432=O$1, ($A5432+$C5432) - MAX(IF($B$2:$B5431=$B5432, $A$2:$A5431+$C$2:$C5431)), "")*24*60, "")</f>
        <v/>
      </c>
      <c r="P5432" s="24" t="str" cm="1">
        <f t="array" ref="P5432">IFERROR(IF($B5432=P$1, ($A5432+$C5432) - MAX(IF($B$2:$B5431=$B5432, $A$2:$A5431+$C$2:$C5431)), "")*24*60, "")</f>
        <v/>
      </c>
      <c r="Q5432" s="24" t="str" cm="1">
        <f t="array" ref="Q5432">IFERROR(IF($B5432=Q$1, ($A5432+$C5432) - MAX(IF($B$2:$B5431=$B5432, $A$2:$A5431+$C$2:$C5431)), "")*24*60, "")</f>
        <v/>
      </c>
    </row>
    <row r="5433" spans="1:17" x14ac:dyDescent="0.2">
      <c r="A5433" s="12">
        <f t="shared" ref="A5433:C5433" si="1328">A5432</f>
        <v>45983</v>
      </c>
      <c r="B5433" s="5" t="str">
        <f t="shared" si="1328"/>
        <v>Northern Cardinal</v>
      </c>
      <c r="C5433" s="6">
        <f t="shared" si="1328"/>
        <v>0.28194444444444444</v>
      </c>
      <c r="D5433" s="5"/>
      <c r="E5433" s="5"/>
      <c r="F5433" s="5" t="s">
        <v>8</v>
      </c>
      <c r="G5433" s="15" t="s">
        <v>9</v>
      </c>
      <c r="H5433" s="24">
        <f t="shared" si="1299"/>
        <v>0</v>
      </c>
      <c r="I5433" s="24" cm="1">
        <f t="array" ref="I5433">IFERROR(IF($B5433=I$1, ($A5433+$C5433) - MAX(IF($B$2:$B5432=$B5433, $A$2:$A5432+$C$2:$C5432)), "")*24*60, "")</f>
        <v>0</v>
      </c>
      <c r="J5433" s="24" t="str" cm="1">
        <f t="array" ref="J5433">IFERROR(IF($B5433=J$1, ($A5433+$C5433) - MAX(IF($B$2:$B5432=$B5433, $A$2:$A5432+$C$2:$C5432)), "")*24*60, "")</f>
        <v/>
      </c>
      <c r="K5433" s="24" t="str" cm="1">
        <f t="array" ref="K5433">IFERROR(IF($B5433=K$1, ($A5433+$C5433) - MAX(IF($B$2:$B5432=$B5433, $A$2:$A5432+$C$2:$C5432)), "")*24*60, "")</f>
        <v/>
      </c>
      <c r="L5433" s="24" t="str" cm="1">
        <f t="array" ref="L5433">IFERROR(IF($B5433=L$1, ($A5433+$C5433) - MAX(IF($B$2:$B5432=$B5433, $A$2:$A5432+$C$2:$C5432)), "")*24*60, "")</f>
        <v/>
      </c>
      <c r="M5433" s="24" t="str" cm="1">
        <f t="array" ref="M5433">IFERROR(IF($B5433=M$1, ($A5433+$C5433) - MAX(IF($B$2:$B5432=$B5433, $A$2:$A5432+$C$2:$C5432)), "")*24*60, "")</f>
        <v/>
      </c>
      <c r="N5433" s="24" t="str" cm="1">
        <f t="array" ref="N5433">IFERROR(IF($B5433=N$1, ($A5433+$C5433) - MAX(IF($B$2:$B5432=$B5433, $A$2:$A5432+$C$2:$C5432)), "")*24*60, "")</f>
        <v/>
      </c>
      <c r="O5433" s="24" t="str" cm="1">
        <f t="array" ref="O5433">IFERROR(IF($B5433=O$1, ($A5433+$C5433) - MAX(IF($B$2:$B5432=$B5433, $A$2:$A5432+$C$2:$C5432)), "")*24*60, "")</f>
        <v/>
      </c>
      <c r="P5433" s="24" t="str" cm="1">
        <f t="array" ref="P5433">IFERROR(IF($B5433=P$1, ($A5433+$C5433) - MAX(IF($B$2:$B5432=$B5433, $A$2:$A5432+$C$2:$C5432)), "")*24*60, "")</f>
        <v/>
      </c>
      <c r="Q5433" s="24" t="str" cm="1">
        <f t="array" ref="Q5433">IFERROR(IF($B5433=Q$1, ($A5433+$C5433) - MAX(IF($B$2:$B5432=$B5433, $A$2:$A5432+$C$2:$C5432)), "")*24*60, "")</f>
        <v/>
      </c>
    </row>
    <row r="5434" spans="1:17" x14ac:dyDescent="0.2">
      <c r="A5434" s="12">
        <f t="shared" ref="A5434:C5434" si="1329">A5433</f>
        <v>45983</v>
      </c>
      <c r="B5434" s="5" t="str">
        <f t="shared" si="1329"/>
        <v>Northern Cardinal</v>
      </c>
      <c r="C5434" s="6">
        <f t="shared" si="1329"/>
        <v>0.28194444444444444</v>
      </c>
      <c r="D5434" s="5"/>
      <c r="E5434" s="5"/>
      <c r="F5434" s="5" t="s">
        <v>8</v>
      </c>
      <c r="G5434" s="15" t="s">
        <v>9</v>
      </c>
      <c r="H5434" s="24">
        <f t="shared" si="1299"/>
        <v>0</v>
      </c>
      <c r="I5434" s="24" cm="1">
        <f t="array" ref="I5434">IFERROR(IF($B5434=I$1, ($A5434+$C5434) - MAX(IF($B$2:$B5433=$B5434, $A$2:$A5433+$C$2:$C5433)), "")*24*60, "")</f>
        <v>0</v>
      </c>
      <c r="J5434" s="24" t="str" cm="1">
        <f t="array" ref="J5434">IFERROR(IF($B5434=J$1, ($A5434+$C5434) - MAX(IF($B$2:$B5433=$B5434, $A$2:$A5433+$C$2:$C5433)), "")*24*60, "")</f>
        <v/>
      </c>
      <c r="K5434" s="24" t="str" cm="1">
        <f t="array" ref="K5434">IFERROR(IF($B5434=K$1, ($A5434+$C5434) - MAX(IF($B$2:$B5433=$B5434, $A$2:$A5433+$C$2:$C5433)), "")*24*60, "")</f>
        <v/>
      </c>
      <c r="L5434" s="24" t="str" cm="1">
        <f t="array" ref="L5434">IFERROR(IF($B5434=L$1, ($A5434+$C5434) - MAX(IF($B$2:$B5433=$B5434, $A$2:$A5433+$C$2:$C5433)), "")*24*60, "")</f>
        <v/>
      </c>
      <c r="M5434" s="24" t="str" cm="1">
        <f t="array" ref="M5434">IFERROR(IF($B5434=M$1, ($A5434+$C5434) - MAX(IF($B$2:$B5433=$B5434, $A$2:$A5433+$C$2:$C5433)), "")*24*60, "")</f>
        <v/>
      </c>
      <c r="N5434" s="24" t="str" cm="1">
        <f t="array" ref="N5434">IFERROR(IF($B5434=N$1, ($A5434+$C5434) - MAX(IF($B$2:$B5433=$B5434, $A$2:$A5433+$C$2:$C5433)), "")*24*60, "")</f>
        <v/>
      </c>
      <c r="O5434" s="24" t="str" cm="1">
        <f t="array" ref="O5434">IFERROR(IF($B5434=O$1, ($A5434+$C5434) - MAX(IF($B$2:$B5433=$B5434, $A$2:$A5433+$C$2:$C5433)), "")*24*60, "")</f>
        <v/>
      </c>
      <c r="P5434" s="24" t="str" cm="1">
        <f t="array" ref="P5434">IFERROR(IF($B5434=P$1, ($A5434+$C5434) - MAX(IF($B$2:$B5433=$B5434, $A$2:$A5433+$C$2:$C5433)), "")*24*60, "")</f>
        <v/>
      </c>
      <c r="Q5434" s="24" t="str" cm="1">
        <f t="array" ref="Q5434">IFERROR(IF($B5434=Q$1, ($A5434+$C5434) - MAX(IF($B$2:$B5433=$B5434, $A$2:$A5433+$C$2:$C5433)), "")*24*60, "")</f>
        <v/>
      </c>
    </row>
    <row r="5435" spans="1:17" x14ac:dyDescent="0.2">
      <c r="A5435" s="12">
        <f t="shared" ref="A5435:C5435" si="1330">A5434</f>
        <v>45983</v>
      </c>
      <c r="B5435" s="5" t="str">
        <f t="shared" si="1330"/>
        <v>Northern Cardinal</v>
      </c>
      <c r="C5435" s="6">
        <f t="shared" si="1330"/>
        <v>0.28194444444444444</v>
      </c>
      <c r="D5435" s="5"/>
      <c r="E5435" s="5"/>
      <c r="F5435" s="5" t="s">
        <v>8</v>
      </c>
      <c r="G5435" s="15" t="s">
        <v>9</v>
      </c>
      <c r="H5435" s="24">
        <f t="shared" si="1299"/>
        <v>0</v>
      </c>
      <c r="I5435" s="24" cm="1">
        <f t="array" ref="I5435">IFERROR(IF($B5435=I$1, ($A5435+$C5435) - MAX(IF($B$2:$B5434=$B5435, $A$2:$A5434+$C$2:$C5434)), "")*24*60, "")</f>
        <v>0</v>
      </c>
      <c r="J5435" s="24" t="str" cm="1">
        <f t="array" ref="J5435">IFERROR(IF($B5435=J$1, ($A5435+$C5435) - MAX(IF($B$2:$B5434=$B5435, $A$2:$A5434+$C$2:$C5434)), "")*24*60, "")</f>
        <v/>
      </c>
      <c r="K5435" s="24" t="str" cm="1">
        <f t="array" ref="K5435">IFERROR(IF($B5435=K$1, ($A5435+$C5435) - MAX(IF($B$2:$B5434=$B5435, $A$2:$A5434+$C$2:$C5434)), "")*24*60, "")</f>
        <v/>
      </c>
      <c r="L5435" s="24" t="str" cm="1">
        <f t="array" ref="L5435">IFERROR(IF($B5435=L$1, ($A5435+$C5435) - MAX(IF($B$2:$B5434=$B5435, $A$2:$A5434+$C$2:$C5434)), "")*24*60, "")</f>
        <v/>
      </c>
      <c r="M5435" s="24" t="str" cm="1">
        <f t="array" ref="M5435">IFERROR(IF($B5435=M$1, ($A5435+$C5435) - MAX(IF($B$2:$B5434=$B5435, $A$2:$A5434+$C$2:$C5434)), "")*24*60, "")</f>
        <v/>
      </c>
      <c r="N5435" s="24" t="str" cm="1">
        <f t="array" ref="N5435">IFERROR(IF($B5435=N$1, ($A5435+$C5435) - MAX(IF($B$2:$B5434=$B5435, $A$2:$A5434+$C$2:$C5434)), "")*24*60, "")</f>
        <v/>
      </c>
      <c r="O5435" s="24" t="str" cm="1">
        <f t="array" ref="O5435">IFERROR(IF($B5435=O$1, ($A5435+$C5435) - MAX(IF($B$2:$B5434=$B5435, $A$2:$A5434+$C$2:$C5434)), "")*24*60, "")</f>
        <v/>
      </c>
      <c r="P5435" s="24" t="str" cm="1">
        <f t="array" ref="P5435">IFERROR(IF($B5435=P$1, ($A5435+$C5435) - MAX(IF($B$2:$B5434=$B5435, $A$2:$A5434+$C$2:$C5434)), "")*24*60, "")</f>
        <v/>
      </c>
      <c r="Q5435" s="24" t="str" cm="1">
        <f t="array" ref="Q5435">IFERROR(IF($B5435=Q$1, ($A5435+$C5435) - MAX(IF($B$2:$B5434=$B5435, $A$2:$A5434+$C$2:$C5434)), "")*24*60, "")</f>
        <v/>
      </c>
    </row>
    <row r="5436" spans="1:17" x14ac:dyDescent="0.2">
      <c r="A5436" s="12">
        <f t="shared" ref="A5436:C5436" si="1331">A5435</f>
        <v>45983</v>
      </c>
      <c r="B5436" s="5" t="str">
        <f t="shared" si="1331"/>
        <v>Northern Cardinal</v>
      </c>
      <c r="C5436" s="6">
        <f t="shared" si="1331"/>
        <v>0.28194444444444444</v>
      </c>
      <c r="D5436" s="5"/>
      <c r="E5436" s="5"/>
      <c r="F5436" s="5" t="s">
        <v>8</v>
      </c>
      <c r="G5436" s="15" t="s">
        <v>9</v>
      </c>
      <c r="H5436" s="24">
        <f t="shared" si="1299"/>
        <v>0</v>
      </c>
      <c r="I5436" s="24" cm="1">
        <f t="array" ref="I5436">IFERROR(IF($B5436=I$1, ($A5436+$C5436) - MAX(IF($B$2:$B5435=$B5436, $A$2:$A5435+$C$2:$C5435)), "")*24*60, "")</f>
        <v>0</v>
      </c>
      <c r="J5436" s="24" t="str" cm="1">
        <f t="array" ref="J5436">IFERROR(IF($B5436=J$1, ($A5436+$C5436) - MAX(IF($B$2:$B5435=$B5436, $A$2:$A5435+$C$2:$C5435)), "")*24*60, "")</f>
        <v/>
      </c>
      <c r="K5436" s="24" t="str" cm="1">
        <f t="array" ref="K5436">IFERROR(IF($B5436=K$1, ($A5436+$C5436) - MAX(IF($B$2:$B5435=$B5436, $A$2:$A5435+$C$2:$C5435)), "")*24*60, "")</f>
        <v/>
      </c>
      <c r="L5436" s="24" t="str" cm="1">
        <f t="array" ref="L5436">IFERROR(IF($B5436=L$1, ($A5436+$C5436) - MAX(IF($B$2:$B5435=$B5436, $A$2:$A5435+$C$2:$C5435)), "")*24*60, "")</f>
        <v/>
      </c>
      <c r="M5436" s="24" t="str" cm="1">
        <f t="array" ref="M5436">IFERROR(IF($B5436=M$1, ($A5436+$C5436) - MAX(IF($B$2:$B5435=$B5436, $A$2:$A5435+$C$2:$C5435)), "")*24*60, "")</f>
        <v/>
      </c>
      <c r="N5436" s="24" t="str" cm="1">
        <f t="array" ref="N5436">IFERROR(IF($B5436=N$1, ($A5436+$C5436) - MAX(IF($B$2:$B5435=$B5436, $A$2:$A5435+$C$2:$C5435)), "")*24*60, "")</f>
        <v/>
      </c>
      <c r="O5436" s="24" t="str" cm="1">
        <f t="array" ref="O5436">IFERROR(IF($B5436=O$1, ($A5436+$C5436) - MAX(IF($B$2:$B5435=$B5436, $A$2:$A5435+$C$2:$C5435)), "")*24*60, "")</f>
        <v/>
      </c>
      <c r="P5436" s="24" t="str" cm="1">
        <f t="array" ref="P5436">IFERROR(IF($B5436=P$1, ($A5436+$C5436) - MAX(IF($B$2:$B5435=$B5436, $A$2:$A5435+$C$2:$C5435)), "")*24*60, "")</f>
        <v/>
      </c>
      <c r="Q5436" s="24" t="str" cm="1">
        <f t="array" ref="Q5436">IFERROR(IF($B5436=Q$1, ($A5436+$C5436) - MAX(IF($B$2:$B5435=$B5436, $A$2:$A5435+$C$2:$C5435)), "")*24*60, "")</f>
        <v/>
      </c>
    </row>
    <row r="5437" spans="1:17" x14ac:dyDescent="0.2">
      <c r="A5437" s="12">
        <f t="shared" ref="A5437:C5437" si="1332">A5436</f>
        <v>45983</v>
      </c>
      <c r="B5437" s="5" t="str">
        <f t="shared" si="1332"/>
        <v>Northern Cardinal</v>
      </c>
      <c r="C5437" s="6">
        <f t="shared" si="1332"/>
        <v>0.28194444444444444</v>
      </c>
      <c r="D5437" s="5"/>
      <c r="E5437" s="5"/>
      <c r="F5437" s="5" t="s">
        <v>8</v>
      </c>
      <c r="G5437" s="15" t="s">
        <v>9</v>
      </c>
      <c r="H5437" s="24">
        <f t="shared" si="1299"/>
        <v>0</v>
      </c>
      <c r="I5437" s="24" cm="1">
        <f t="array" ref="I5437">IFERROR(IF($B5437=I$1, ($A5437+$C5437) - MAX(IF($B$2:$B5436=$B5437, $A$2:$A5436+$C$2:$C5436)), "")*24*60, "")</f>
        <v>0</v>
      </c>
      <c r="J5437" s="24" t="str" cm="1">
        <f t="array" ref="J5437">IFERROR(IF($B5437=J$1, ($A5437+$C5437) - MAX(IF($B$2:$B5436=$B5437, $A$2:$A5436+$C$2:$C5436)), "")*24*60, "")</f>
        <v/>
      </c>
      <c r="K5437" s="24" t="str" cm="1">
        <f t="array" ref="K5437">IFERROR(IF($B5437=K$1, ($A5437+$C5437) - MAX(IF($B$2:$B5436=$B5437, $A$2:$A5436+$C$2:$C5436)), "")*24*60, "")</f>
        <v/>
      </c>
      <c r="L5437" s="24" t="str" cm="1">
        <f t="array" ref="L5437">IFERROR(IF($B5437=L$1, ($A5437+$C5437) - MAX(IF($B$2:$B5436=$B5437, $A$2:$A5436+$C$2:$C5436)), "")*24*60, "")</f>
        <v/>
      </c>
      <c r="M5437" s="24" t="str" cm="1">
        <f t="array" ref="M5437">IFERROR(IF($B5437=M$1, ($A5437+$C5437) - MAX(IF($B$2:$B5436=$B5437, $A$2:$A5436+$C$2:$C5436)), "")*24*60, "")</f>
        <v/>
      </c>
      <c r="N5437" s="24" t="str" cm="1">
        <f t="array" ref="N5437">IFERROR(IF($B5437=N$1, ($A5437+$C5437) - MAX(IF($B$2:$B5436=$B5437, $A$2:$A5436+$C$2:$C5436)), "")*24*60, "")</f>
        <v/>
      </c>
      <c r="O5437" s="24" t="str" cm="1">
        <f t="array" ref="O5437">IFERROR(IF($B5437=O$1, ($A5437+$C5437) - MAX(IF($B$2:$B5436=$B5437, $A$2:$A5436+$C$2:$C5436)), "")*24*60, "")</f>
        <v/>
      </c>
      <c r="P5437" s="24" t="str" cm="1">
        <f t="array" ref="P5437">IFERROR(IF($B5437=P$1, ($A5437+$C5437) - MAX(IF($B$2:$B5436=$B5437, $A$2:$A5436+$C$2:$C5436)), "")*24*60, "")</f>
        <v/>
      </c>
      <c r="Q5437" s="24" t="str" cm="1">
        <f t="array" ref="Q5437">IFERROR(IF($B5437=Q$1, ($A5437+$C5437) - MAX(IF($B$2:$B5436=$B5437, $A$2:$A5436+$C$2:$C5436)), "")*24*60, "")</f>
        <v/>
      </c>
    </row>
    <row r="5438" spans="1:17" x14ac:dyDescent="0.2">
      <c r="A5438" s="12">
        <f t="shared" ref="A5438:C5438" si="1333">A5437</f>
        <v>45983</v>
      </c>
      <c r="B5438" s="5" t="str">
        <f t="shared" si="1333"/>
        <v>Northern Cardinal</v>
      </c>
      <c r="C5438" s="6">
        <f t="shared" si="1333"/>
        <v>0.28194444444444444</v>
      </c>
      <c r="D5438" s="5"/>
      <c r="E5438" s="5"/>
      <c r="F5438" s="5" t="s">
        <v>8</v>
      </c>
      <c r="G5438" s="15" t="s">
        <v>9</v>
      </c>
      <c r="H5438" s="24">
        <f t="shared" si="1299"/>
        <v>0</v>
      </c>
      <c r="I5438" s="24" cm="1">
        <f t="array" ref="I5438">IFERROR(IF($B5438=I$1, ($A5438+$C5438) - MAX(IF($B$2:$B5437=$B5438, $A$2:$A5437+$C$2:$C5437)), "")*24*60, "")</f>
        <v>0</v>
      </c>
      <c r="J5438" s="24" t="str" cm="1">
        <f t="array" ref="J5438">IFERROR(IF($B5438=J$1, ($A5438+$C5438) - MAX(IF($B$2:$B5437=$B5438, $A$2:$A5437+$C$2:$C5437)), "")*24*60, "")</f>
        <v/>
      </c>
      <c r="K5438" s="24" t="str" cm="1">
        <f t="array" ref="K5438">IFERROR(IF($B5438=K$1, ($A5438+$C5438) - MAX(IF($B$2:$B5437=$B5438, $A$2:$A5437+$C$2:$C5437)), "")*24*60, "")</f>
        <v/>
      </c>
      <c r="L5438" s="24" t="str" cm="1">
        <f t="array" ref="L5438">IFERROR(IF($B5438=L$1, ($A5438+$C5438) - MAX(IF($B$2:$B5437=$B5438, $A$2:$A5437+$C$2:$C5437)), "")*24*60, "")</f>
        <v/>
      </c>
      <c r="M5438" s="24" t="str" cm="1">
        <f t="array" ref="M5438">IFERROR(IF($B5438=M$1, ($A5438+$C5438) - MAX(IF($B$2:$B5437=$B5438, $A$2:$A5437+$C$2:$C5437)), "")*24*60, "")</f>
        <v/>
      </c>
      <c r="N5438" s="24" t="str" cm="1">
        <f t="array" ref="N5438">IFERROR(IF($B5438=N$1, ($A5438+$C5438) - MAX(IF($B$2:$B5437=$B5438, $A$2:$A5437+$C$2:$C5437)), "")*24*60, "")</f>
        <v/>
      </c>
      <c r="O5438" s="24" t="str" cm="1">
        <f t="array" ref="O5438">IFERROR(IF($B5438=O$1, ($A5438+$C5438) - MAX(IF($B$2:$B5437=$B5438, $A$2:$A5437+$C$2:$C5437)), "")*24*60, "")</f>
        <v/>
      </c>
      <c r="P5438" s="24" t="str" cm="1">
        <f t="array" ref="P5438">IFERROR(IF($B5438=P$1, ($A5438+$C5438) - MAX(IF($B$2:$B5437=$B5438, $A$2:$A5437+$C$2:$C5437)), "")*24*60, "")</f>
        <v/>
      </c>
      <c r="Q5438" s="24" t="str" cm="1">
        <f t="array" ref="Q5438">IFERROR(IF($B5438=Q$1, ($A5438+$C5438) - MAX(IF($B$2:$B5437=$B5438, $A$2:$A5437+$C$2:$C5437)), "")*24*60, "")</f>
        <v/>
      </c>
    </row>
    <row r="5439" spans="1:17" x14ac:dyDescent="0.2">
      <c r="A5439" s="12">
        <f t="shared" ref="A5439:C5439" si="1334">A5438</f>
        <v>45983</v>
      </c>
      <c r="B5439" s="5" t="str">
        <f t="shared" si="1334"/>
        <v>Northern Cardinal</v>
      </c>
      <c r="C5439" s="6">
        <f t="shared" si="1334"/>
        <v>0.28194444444444444</v>
      </c>
      <c r="D5439" s="5"/>
      <c r="E5439" s="5"/>
      <c r="F5439" s="5" t="s">
        <v>8</v>
      </c>
      <c r="G5439" s="15" t="s">
        <v>9</v>
      </c>
      <c r="H5439" s="24">
        <f t="shared" si="1299"/>
        <v>0</v>
      </c>
      <c r="I5439" s="24" cm="1">
        <f t="array" ref="I5439">IFERROR(IF($B5439=I$1, ($A5439+$C5439) - MAX(IF($B$2:$B5438=$B5439, $A$2:$A5438+$C$2:$C5438)), "")*24*60, "")</f>
        <v>0</v>
      </c>
      <c r="J5439" s="24" t="str" cm="1">
        <f t="array" ref="J5439">IFERROR(IF($B5439=J$1, ($A5439+$C5439) - MAX(IF($B$2:$B5438=$B5439, $A$2:$A5438+$C$2:$C5438)), "")*24*60, "")</f>
        <v/>
      </c>
      <c r="K5439" s="24" t="str" cm="1">
        <f t="array" ref="K5439">IFERROR(IF($B5439=K$1, ($A5439+$C5439) - MAX(IF($B$2:$B5438=$B5439, $A$2:$A5438+$C$2:$C5438)), "")*24*60, "")</f>
        <v/>
      </c>
      <c r="L5439" s="24" t="str" cm="1">
        <f t="array" ref="L5439">IFERROR(IF($B5439=L$1, ($A5439+$C5439) - MAX(IF($B$2:$B5438=$B5439, $A$2:$A5438+$C$2:$C5438)), "")*24*60, "")</f>
        <v/>
      </c>
      <c r="M5439" s="24" t="str" cm="1">
        <f t="array" ref="M5439">IFERROR(IF($B5439=M$1, ($A5439+$C5439) - MAX(IF($B$2:$B5438=$B5439, $A$2:$A5438+$C$2:$C5438)), "")*24*60, "")</f>
        <v/>
      </c>
      <c r="N5439" s="24" t="str" cm="1">
        <f t="array" ref="N5439">IFERROR(IF($B5439=N$1, ($A5439+$C5439) - MAX(IF($B$2:$B5438=$B5439, $A$2:$A5438+$C$2:$C5438)), "")*24*60, "")</f>
        <v/>
      </c>
      <c r="O5439" s="24" t="str" cm="1">
        <f t="array" ref="O5439">IFERROR(IF($B5439=O$1, ($A5439+$C5439) - MAX(IF($B$2:$B5438=$B5439, $A$2:$A5438+$C$2:$C5438)), "")*24*60, "")</f>
        <v/>
      </c>
      <c r="P5439" s="24" t="str" cm="1">
        <f t="array" ref="P5439">IFERROR(IF($B5439=P$1, ($A5439+$C5439) - MAX(IF($B$2:$B5438=$B5439, $A$2:$A5438+$C$2:$C5438)), "")*24*60, "")</f>
        <v/>
      </c>
      <c r="Q5439" s="24" t="str" cm="1">
        <f t="array" ref="Q5439">IFERROR(IF($B5439=Q$1, ($A5439+$C5439) - MAX(IF($B$2:$B5438=$B5439, $A$2:$A5438+$C$2:$C5438)), "")*24*60, "")</f>
        <v/>
      </c>
    </row>
    <row r="5440" spans="1:17" x14ac:dyDescent="0.2">
      <c r="A5440" s="12">
        <f t="shared" ref="A5440:C5440" si="1335">A5439</f>
        <v>45983</v>
      </c>
      <c r="B5440" s="5" t="str">
        <f t="shared" si="1335"/>
        <v>Northern Cardinal</v>
      </c>
      <c r="C5440" s="6">
        <f t="shared" si="1335"/>
        <v>0.28194444444444444</v>
      </c>
      <c r="D5440" s="5"/>
      <c r="E5440" s="5"/>
      <c r="F5440" s="5" t="s">
        <v>8</v>
      </c>
      <c r="G5440" s="15" t="s">
        <v>9</v>
      </c>
      <c r="H5440" s="24">
        <f t="shared" si="1299"/>
        <v>0</v>
      </c>
      <c r="I5440" s="24" cm="1">
        <f t="array" ref="I5440">IFERROR(IF($B5440=I$1, ($A5440+$C5440) - MAX(IF($B$2:$B5439=$B5440, $A$2:$A5439+$C$2:$C5439)), "")*24*60, "")</f>
        <v>0</v>
      </c>
      <c r="J5440" s="24" t="str" cm="1">
        <f t="array" ref="J5440">IFERROR(IF($B5440=J$1, ($A5440+$C5440) - MAX(IF($B$2:$B5439=$B5440, $A$2:$A5439+$C$2:$C5439)), "")*24*60, "")</f>
        <v/>
      </c>
      <c r="K5440" s="24" t="str" cm="1">
        <f t="array" ref="K5440">IFERROR(IF($B5440=K$1, ($A5440+$C5440) - MAX(IF($B$2:$B5439=$B5440, $A$2:$A5439+$C$2:$C5439)), "")*24*60, "")</f>
        <v/>
      </c>
      <c r="L5440" s="24" t="str" cm="1">
        <f t="array" ref="L5440">IFERROR(IF($B5440=L$1, ($A5440+$C5440) - MAX(IF($B$2:$B5439=$B5440, $A$2:$A5439+$C$2:$C5439)), "")*24*60, "")</f>
        <v/>
      </c>
      <c r="M5440" s="24" t="str" cm="1">
        <f t="array" ref="M5440">IFERROR(IF($B5440=M$1, ($A5440+$C5440) - MAX(IF($B$2:$B5439=$B5440, $A$2:$A5439+$C$2:$C5439)), "")*24*60, "")</f>
        <v/>
      </c>
      <c r="N5440" s="24" t="str" cm="1">
        <f t="array" ref="N5440">IFERROR(IF($B5440=N$1, ($A5440+$C5440) - MAX(IF($B$2:$B5439=$B5440, $A$2:$A5439+$C$2:$C5439)), "")*24*60, "")</f>
        <v/>
      </c>
      <c r="O5440" s="24" t="str" cm="1">
        <f t="array" ref="O5440">IFERROR(IF($B5440=O$1, ($A5440+$C5440) - MAX(IF($B$2:$B5439=$B5440, $A$2:$A5439+$C$2:$C5439)), "")*24*60, "")</f>
        <v/>
      </c>
      <c r="P5440" s="24" t="str" cm="1">
        <f t="array" ref="P5440">IFERROR(IF($B5440=P$1, ($A5440+$C5440) - MAX(IF($B$2:$B5439=$B5440, $A$2:$A5439+$C$2:$C5439)), "")*24*60, "")</f>
        <v/>
      </c>
      <c r="Q5440" s="24" t="str" cm="1">
        <f t="array" ref="Q5440">IFERROR(IF($B5440=Q$1, ($A5440+$C5440) - MAX(IF($B$2:$B5439=$B5440, $A$2:$A5439+$C$2:$C5439)), "")*24*60, "")</f>
        <v/>
      </c>
    </row>
    <row r="5441" spans="1:17" x14ac:dyDescent="0.2">
      <c r="A5441" s="12">
        <f t="shared" ref="A5441:C5441" si="1336">A5440</f>
        <v>45983</v>
      </c>
      <c r="B5441" s="5" t="str">
        <f t="shared" si="1336"/>
        <v>Northern Cardinal</v>
      </c>
      <c r="C5441" s="6">
        <f t="shared" si="1336"/>
        <v>0.28194444444444444</v>
      </c>
      <c r="D5441" s="5"/>
      <c r="E5441" s="5"/>
      <c r="F5441" s="5" t="s">
        <v>8</v>
      </c>
      <c r="G5441" s="15" t="s">
        <v>9</v>
      </c>
      <c r="H5441" s="24">
        <f t="shared" si="1299"/>
        <v>0</v>
      </c>
      <c r="I5441" s="24" cm="1">
        <f t="array" ref="I5441">IFERROR(IF($B5441=I$1, ($A5441+$C5441) - MAX(IF($B$2:$B5440=$B5441, $A$2:$A5440+$C$2:$C5440)), "")*24*60, "")</f>
        <v>0</v>
      </c>
      <c r="J5441" s="24" t="str" cm="1">
        <f t="array" ref="J5441">IFERROR(IF($B5441=J$1, ($A5441+$C5441) - MAX(IF($B$2:$B5440=$B5441, $A$2:$A5440+$C$2:$C5440)), "")*24*60, "")</f>
        <v/>
      </c>
      <c r="K5441" s="24" t="str" cm="1">
        <f t="array" ref="K5441">IFERROR(IF($B5441=K$1, ($A5441+$C5441) - MAX(IF($B$2:$B5440=$B5441, $A$2:$A5440+$C$2:$C5440)), "")*24*60, "")</f>
        <v/>
      </c>
      <c r="L5441" s="24" t="str" cm="1">
        <f t="array" ref="L5441">IFERROR(IF($B5441=L$1, ($A5441+$C5441) - MAX(IF($B$2:$B5440=$B5441, $A$2:$A5440+$C$2:$C5440)), "")*24*60, "")</f>
        <v/>
      </c>
      <c r="M5441" s="24" t="str" cm="1">
        <f t="array" ref="M5441">IFERROR(IF($B5441=M$1, ($A5441+$C5441) - MAX(IF($B$2:$B5440=$B5441, $A$2:$A5440+$C$2:$C5440)), "")*24*60, "")</f>
        <v/>
      </c>
      <c r="N5441" s="24" t="str" cm="1">
        <f t="array" ref="N5441">IFERROR(IF($B5441=N$1, ($A5441+$C5441) - MAX(IF($B$2:$B5440=$B5441, $A$2:$A5440+$C$2:$C5440)), "")*24*60, "")</f>
        <v/>
      </c>
      <c r="O5441" s="24" t="str" cm="1">
        <f t="array" ref="O5441">IFERROR(IF($B5441=O$1, ($A5441+$C5441) - MAX(IF($B$2:$B5440=$B5441, $A$2:$A5440+$C$2:$C5440)), "")*24*60, "")</f>
        <v/>
      </c>
      <c r="P5441" s="24" t="str" cm="1">
        <f t="array" ref="P5441">IFERROR(IF($B5441=P$1, ($A5441+$C5441) - MAX(IF($B$2:$B5440=$B5441, $A$2:$A5440+$C$2:$C5440)), "")*24*60, "")</f>
        <v/>
      </c>
      <c r="Q5441" s="24" t="str" cm="1">
        <f t="array" ref="Q5441">IFERROR(IF($B5441=Q$1, ($A5441+$C5441) - MAX(IF($B$2:$B5440=$B5441, $A$2:$A5440+$C$2:$C5440)), "")*24*60, "")</f>
        <v/>
      </c>
    </row>
    <row r="5442" spans="1:17" x14ac:dyDescent="0.2">
      <c r="A5442" s="12">
        <f t="shared" ref="A5442:C5442" si="1337">A5441</f>
        <v>45983</v>
      </c>
      <c r="B5442" s="5" t="str">
        <f t="shared" si="1337"/>
        <v>Northern Cardinal</v>
      </c>
      <c r="C5442" s="6">
        <f t="shared" si="1337"/>
        <v>0.28194444444444444</v>
      </c>
      <c r="D5442" s="5"/>
      <c r="E5442" s="5"/>
      <c r="F5442" s="5" t="s">
        <v>8</v>
      </c>
      <c r="G5442" s="15" t="s">
        <v>9</v>
      </c>
      <c r="H5442" s="24">
        <f t="shared" si="1299"/>
        <v>0</v>
      </c>
      <c r="I5442" s="24" cm="1">
        <f t="array" ref="I5442">IFERROR(IF($B5442=I$1, ($A5442+$C5442) - MAX(IF($B$2:$B5441=$B5442, $A$2:$A5441+$C$2:$C5441)), "")*24*60, "")</f>
        <v>0</v>
      </c>
      <c r="J5442" s="24" t="str" cm="1">
        <f t="array" ref="J5442">IFERROR(IF($B5442=J$1, ($A5442+$C5442) - MAX(IF($B$2:$B5441=$B5442, $A$2:$A5441+$C$2:$C5441)), "")*24*60, "")</f>
        <v/>
      </c>
      <c r="K5442" s="24" t="str" cm="1">
        <f t="array" ref="K5442">IFERROR(IF($B5442=K$1, ($A5442+$C5442) - MAX(IF($B$2:$B5441=$B5442, $A$2:$A5441+$C$2:$C5441)), "")*24*60, "")</f>
        <v/>
      </c>
      <c r="L5442" s="24" t="str" cm="1">
        <f t="array" ref="L5442">IFERROR(IF($B5442=L$1, ($A5442+$C5442) - MAX(IF($B$2:$B5441=$B5442, $A$2:$A5441+$C$2:$C5441)), "")*24*60, "")</f>
        <v/>
      </c>
      <c r="M5442" s="24" t="str" cm="1">
        <f t="array" ref="M5442">IFERROR(IF($B5442=M$1, ($A5442+$C5442) - MAX(IF($B$2:$B5441=$B5442, $A$2:$A5441+$C$2:$C5441)), "")*24*60, "")</f>
        <v/>
      </c>
      <c r="N5442" s="24" t="str" cm="1">
        <f t="array" ref="N5442">IFERROR(IF($B5442=N$1, ($A5442+$C5442) - MAX(IF($B$2:$B5441=$B5442, $A$2:$A5441+$C$2:$C5441)), "")*24*60, "")</f>
        <v/>
      </c>
      <c r="O5442" s="24" t="str" cm="1">
        <f t="array" ref="O5442">IFERROR(IF($B5442=O$1, ($A5442+$C5442) - MAX(IF($B$2:$B5441=$B5442, $A$2:$A5441+$C$2:$C5441)), "")*24*60, "")</f>
        <v/>
      </c>
      <c r="P5442" s="24" t="str" cm="1">
        <f t="array" ref="P5442">IFERROR(IF($B5442=P$1, ($A5442+$C5442) - MAX(IF($B$2:$B5441=$B5442, $A$2:$A5441+$C$2:$C5441)), "")*24*60, "")</f>
        <v/>
      </c>
      <c r="Q5442" s="24" t="str" cm="1">
        <f t="array" ref="Q5442">IFERROR(IF($B5442=Q$1, ($A5442+$C5442) - MAX(IF($B$2:$B5441=$B5442, $A$2:$A5441+$C$2:$C5441)), "")*24*60, "")</f>
        <v/>
      </c>
    </row>
    <row r="5443" spans="1:17" x14ac:dyDescent="0.2">
      <c r="A5443" s="12">
        <f t="shared" ref="A5443:C5443" si="1338">A5442</f>
        <v>45983</v>
      </c>
      <c r="B5443" s="5" t="str">
        <f t="shared" si="1338"/>
        <v>Northern Cardinal</v>
      </c>
      <c r="C5443" s="6">
        <f t="shared" si="1338"/>
        <v>0.28194444444444444</v>
      </c>
      <c r="D5443" s="5"/>
      <c r="E5443" s="5"/>
      <c r="F5443" s="5" t="s">
        <v>8</v>
      </c>
      <c r="G5443" s="15" t="s">
        <v>9</v>
      </c>
      <c r="H5443" s="24">
        <f t="shared" si="1299"/>
        <v>0</v>
      </c>
      <c r="I5443" s="24" cm="1">
        <f t="array" ref="I5443">IFERROR(IF($B5443=I$1, ($A5443+$C5443) - MAX(IF($B$2:$B5442=$B5443, $A$2:$A5442+$C$2:$C5442)), "")*24*60, "")</f>
        <v>0</v>
      </c>
      <c r="J5443" s="24" t="str" cm="1">
        <f t="array" ref="J5443">IFERROR(IF($B5443=J$1, ($A5443+$C5443) - MAX(IF($B$2:$B5442=$B5443, $A$2:$A5442+$C$2:$C5442)), "")*24*60, "")</f>
        <v/>
      </c>
      <c r="K5443" s="24" t="str" cm="1">
        <f t="array" ref="K5443">IFERROR(IF($B5443=K$1, ($A5443+$C5443) - MAX(IF($B$2:$B5442=$B5443, $A$2:$A5442+$C$2:$C5442)), "")*24*60, "")</f>
        <v/>
      </c>
      <c r="L5443" s="24" t="str" cm="1">
        <f t="array" ref="L5443">IFERROR(IF($B5443=L$1, ($A5443+$C5443) - MAX(IF($B$2:$B5442=$B5443, $A$2:$A5442+$C$2:$C5442)), "")*24*60, "")</f>
        <v/>
      </c>
      <c r="M5443" s="24" t="str" cm="1">
        <f t="array" ref="M5443">IFERROR(IF($B5443=M$1, ($A5443+$C5443) - MAX(IF($B$2:$B5442=$B5443, $A$2:$A5442+$C$2:$C5442)), "")*24*60, "")</f>
        <v/>
      </c>
      <c r="N5443" s="24" t="str" cm="1">
        <f t="array" ref="N5443">IFERROR(IF($B5443=N$1, ($A5443+$C5443) - MAX(IF($B$2:$B5442=$B5443, $A$2:$A5442+$C$2:$C5442)), "")*24*60, "")</f>
        <v/>
      </c>
      <c r="O5443" s="24" t="str" cm="1">
        <f t="array" ref="O5443">IFERROR(IF($B5443=O$1, ($A5443+$C5443) - MAX(IF($B$2:$B5442=$B5443, $A$2:$A5442+$C$2:$C5442)), "")*24*60, "")</f>
        <v/>
      </c>
      <c r="P5443" s="24" t="str" cm="1">
        <f t="array" ref="P5443">IFERROR(IF($B5443=P$1, ($A5443+$C5443) - MAX(IF($B$2:$B5442=$B5443, $A$2:$A5442+$C$2:$C5442)), "")*24*60, "")</f>
        <v/>
      </c>
      <c r="Q5443" s="24" t="str" cm="1">
        <f t="array" ref="Q5443">IFERROR(IF($B5443=Q$1, ($A5443+$C5443) - MAX(IF($B$2:$B5442=$B5443, $A$2:$A5442+$C$2:$C5442)), "")*24*60, "")</f>
        <v/>
      </c>
    </row>
    <row r="5444" spans="1:17" x14ac:dyDescent="0.2">
      <c r="A5444" s="12">
        <f t="shared" ref="A5444:C5444" si="1339">A5443</f>
        <v>45983</v>
      </c>
      <c r="B5444" s="5" t="str">
        <f t="shared" si="1339"/>
        <v>Northern Cardinal</v>
      </c>
      <c r="C5444" s="6">
        <f t="shared" si="1339"/>
        <v>0.28194444444444444</v>
      </c>
      <c r="D5444" s="5"/>
      <c r="E5444" s="5"/>
      <c r="F5444" s="5" t="s">
        <v>8</v>
      </c>
      <c r="G5444" s="15" t="s">
        <v>9</v>
      </c>
      <c r="H5444" s="24">
        <f t="shared" si="1299"/>
        <v>0</v>
      </c>
      <c r="I5444" s="24" cm="1">
        <f t="array" ref="I5444">IFERROR(IF($B5444=I$1, ($A5444+$C5444) - MAX(IF($B$2:$B5443=$B5444, $A$2:$A5443+$C$2:$C5443)), "")*24*60, "")</f>
        <v>0</v>
      </c>
      <c r="J5444" s="24" t="str" cm="1">
        <f t="array" ref="J5444">IFERROR(IF($B5444=J$1, ($A5444+$C5444) - MAX(IF($B$2:$B5443=$B5444, $A$2:$A5443+$C$2:$C5443)), "")*24*60, "")</f>
        <v/>
      </c>
      <c r="K5444" s="24" t="str" cm="1">
        <f t="array" ref="K5444">IFERROR(IF($B5444=K$1, ($A5444+$C5444) - MAX(IF($B$2:$B5443=$B5444, $A$2:$A5443+$C$2:$C5443)), "")*24*60, "")</f>
        <v/>
      </c>
      <c r="L5444" s="24" t="str" cm="1">
        <f t="array" ref="L5444">IFERROR(IF($B5444=L$1, ($A5444+$C5444) - MAX(IF($B$2:$B5443=$B5444, $A$2:$A5443+$C$2:$C5443)), "")*24*60, "")</f>
        <v/>
      </c>
      <c r="M5444" s="24" t="str" cm="1">
        <f t="array" ref="M5444">IFERROR(IF($B5444=M$1, ($A5444+$C5444) - MAX(IF($B$2:$B5443=$B5444, $A$2:$A5443+$C$2:$C5443)), "")*24*60, "")</f>
        <v/>
      </c>
      <c r="N5444" s="24" t="str" cm="1">
        <f t="array" ref="N5444">IFERROR(IF($B5444=N$1, ($A5444+$C5444) - MAX(IF($B$2:$B5443=$B5444, $A$2:$A5443+$C$2:$C5443)), "")*24*60, "")</f>
        <v/>
      </c>
      <c r="O5444" s="24" t="str" cm="1">
        <f t="array" ref="O5444">IFERROR(IF($B5444=O$1, ($A5444+$C5444) - MAX(IF($B$2:$B5443=$B5444, $A$2:$A5443+$C$2:$C5443)), "")*24*60, "")</f>
        <v/>
      </c>
      <c r="P5444" s="24" t="str" cm="1">
        <f t="array" ref="P5444">IFERROR(IF($B5444=P$1, ($A5444+$C5444) - MAX(IF($B$2:$B5443=$B5444, $A$2:$A5443+$C$2:$C5443)), "")*24*60, "")</f>
        <v/>
      </c>
      <c r="Q5444" s="24" t="str" cm="1">
        <f t="array" ref="Q5444">IFERROR(IF($B5444=Q$1, ($A5444+$C5444) - MAX(IF($B$2:$B5443=$B5444, $A$2:$A5443+$C$2:$C5443)), "")*24*60, "")</f>
        <v/>
      </c>
    </row>
    <row r="5445" spans="1:17" x14ac:dyDescent="0.2">
      <c r="A5445" s="12">
        <f t="shared" ref="A5445:C5445" si="1340">A5444</f>
        <v>45983</v>
      </c>
      <c r="B5445" s="5" t="str">
        <f t="shared" si="1340"/>
        <v>Northern Cardinal</v>
      </c>
      <c r="C5445" s="6">
        <f t="shared" si="1340"/>
        <v>0.28194444444444444</v>
      </c>
      <c r="D5445" s="5"/>
      <c r="E5445" s="5"/>
      <c r="F5445" s="5" t="s">
        <v>8</v>
      </c>
      <c r="G5445" s="15" t="s">
        <v>9</v>
      </c>
      <c r="H5445" s="24">
        <f t="shared" si="1299"/>
        <v>0</v>
      </c>
      <c r="I5445" s="24" cm="1">
        <f t="array" ref="I5445">IFERROR(IF($B5445=I$1, ($A5445+$C5445) - MAX(IF($B$2:$B5444=$B5445, $A$2:$A5444+$C$2:$C5444)), "")*24*60, "")</f>
        <v>0</v>
      </c>
      <c r="J5445" s="24" t="str" cm="1">
        <f t="array" ref="J5445">IFERROR(IF($B5445=J$1, ($A5445+$C5445) - MAX(IF($B$2:$B5444=$B5445, $A$2:$A5444+$C$2:$C5444)), "")*24*60, "")</f>
        <v/>
      </c>
      <c r="K5445" s="24" t="str" cm="1">
        <f t="array" ref="K5445">IFERROR(IF($B5445=K$1, ($A5445+$C5445) - MAX(IF($B$2:$B5444=$B5445, $A$2:$A5444+$C$2:$C5444)), "")*24*60, "")</f>
        <v/>
      </c>
      <c r="L5445" s="24" t="str" cm="1">
        <f t="array" ref="L5445">IFERROR(IF($B5445=L$1, ($A5445+$C5445) - MAX(IF($B$2:$B5444=$B5445, $A$2:$A5444+$C$2:$C5444)), "")*24*60, "")</f>
        <v/>
      </c>
      <c r="M5445" s="24" t="str" cm="1">
        <f t="array" ref="M5445">IFERROR(IF($B5445=M$1, ($A5445+$C5445) - MAX(IF($B$2:$B5444=$B5445, $A$2:$A5444+$C$2:$C5444)), "")*24*60, "")</f>
        <v/>
      </c>
      <c r="N5445" s="24" t="str" cm="1">
        <f t="array" ref="N5445">IFERROR(IF($B5445=N$1, ($A5445+$C5445) - MAX(IF($B$2:$B5444=$B5445, $A$2:$A5444+$C$2:$C5444)), "")*24*60, "")</f>
        <v/>
      </c>
      <c r="O5445" s="24" t="str" cm="1">
        <f t="array" ref="O5445">IFERROR(IF($B5445=O$1, ($A5445+$C5445) - MAX(IF($B$2:$B5444=$B5445, $A$2:$A5444+$C$2:$C5444)), "")*24*60, "")</f>
        <v/>
      </c>
      <c r="P5445" s="24" t="str" cm="1">
        <f t="array" ref="P5445">IFERROR(IF($B5445=P$1, ($A5445+$C5445) - MAX(IF($B$2:$B5444=$B5445, $A$2:$A5444+$C$2:$C5444)), "")*24*60, "")</f>
        <v/>
      </c>
      <c r="Q5445" s="24" t="str" cm="1">
        <f t="array" ref="Q5445">IFERROR(IF($B5445=Q$1, ($A5445+$C5445) - MAX(IF($B$2:$B5444=$B5445, $A$2:$A5444+$C$2:$C5444)), "")*24*60, "")</f>
        <v/>
      </c>
    </row>
    <row r="5446" spans="1:17" x14ac:dyDescent="0.2">
      <c r="A5446" s="12">
        <f t="shared" ref="A5446:C5446" si="1341">A5445</f>
        <v>45983</v>
      </c>
      <c r="B5446" s="5" t="str">
        <f t="shared" si="1341"/>
        <v>Northern Cardinal</v>
      </c>
      <c r="C5446" s="6">
        <f t="shared" si="1341"/>
        <v>0.28194444444444444</v>
      </c>
      <c r="D5446" s="5"/>
      <c r="E5446" s="5"/>
      <c r="F5446" s="5" t="s">
        <v>8</v>
      </c>
      <c r="G5446" s="15" t="s">
        <v>9</v>
      </c>
      <c r="H5446" s="24">
        <f t="shared" si="1299"/>
        <v>0</v>
      </c>
      <c r="I5446" s="24" cm="1">
        <f t="array" ref="I5446">IFERROR(IF($B5446=I$1, ($A5446+$C5446) - MAX(IF($B$2:$B5445=$B5446, $A$2:$A5445+$C$2:$C5445)), "")*24*60, "")</f>
        <v>0</v>
      </c>
      <c r="J5446" s="24" t="str" cm="1">
        <f t="array" ref="J5446">IFERROR(IF($B5446=J$1, ($A5446+$C5446) - MAX(IF($B$2:$B5445=$B5446, $A$2:$A5445+$C$2:$C5445)), "")*24*60, "")</f>
        <v/>
      </c>
      <c r="K5446" s="24" t="str" cm="1">
        <f t="array" ref="K5446">IFERROR(IF($B5446=K$1, ($A5446+$C5446) - MAX(IF($B$2:$B5445=$B5446, $A$2:$A5445+$C$2:$C5445)), "")*24*60, "")</f>
        <v/>
      </c>
      <c r="L5446" s="24" t="str" cm="1">
        <f t="array" ref="L5446">IFERROR(IF($B5446=L$1, ($A5446+$C5446) - MAX(IF($B$2:$B5445=$B5446, $A$2:$A5445+$C$2:$C5445)), "")*24*60, "")</f>
        <v/>
      </c>
      <c r="M5446" s="24" t="str" cm="1">
        <f t="array" ref="M5446">IFERROR(IF($B5446=M$1, ($A5446+$C5446) - MAX(IF($B$2:$B5445=$B5446, $A$2:$A5445+$C$2:$C5445)), "")*24*60, "")</f>
        <v/>
      </c>
      <c r="N5446" s="24" t="str" cm="1">
        <f t="array" ref="N5446">IFERROR(IF($B5446=N$1, ($A5446+$C5446) - MAX(IF($B$2:$B5445=$B5446, $A$2:$A5445+$C$2:$C5445)), "")*24*60, "")</f>
        <v/>
      </c>
      <c r="O5446" s="24" t="str" cm="1">
        <f t="array" ref="O5446">IFERROR(IF($B5446=O$1, ($A5446+$C5446) - MAX(IF($B$2:$B5445=$B5446, $A$2:$A5445+$C$2:$C5445)), "")*24*60, "")</f>
        <v/>
      </c>
      <c r="P5446" s="24" t="str" cm="1">
        <f t="array" ref="P5446">IFERROR(IF($B5446=P$1, ($A5446+$C5446) - MAX(IF($B$2:$B5445=$B5446, $A$2:$A5445+$C$2:$C5445)), "")*24*60, "")</f>
        <v/>
      </c>
      <c r="Q5446" s="24" t="str" cm="1">
        <f t="array" ref="Q5446">IFERROR(IF($B5446=Q$1, ($A5446+$C5446) - MAX(IF($B$2:$B5445=$B5446, $A$2:$A5445+$C$2:$C5445)), "")*24*60, "")</f>
        <v/>
      </c>
    </row>
    <row r="5447" spans="1:17" x14ac:dyDescent="0.2">
      <c r="A5447" s="12">
        <f t="shared" ref="A5447:C5447" si="1342">A5446</f>
        <v>45983</v>
      </c>
      <c r="B5447" s="5" t="str">
        <f t="shared" si="1342"/>
        <v>Northern Cardinal</v>
      </c>
      <c r="C5447" s="6">
        <f t="shared" si="1342"/>
        <v>0.28194444444444444</v>
      </c>
      <c r="D5447" s="5"/>
      <c r="E5447" s="5"/>
      <c r="F5447" s="5" t="s">
        <v>8</v>
      </c>
      <c r="G5447" s="15" t="s">
        <v>9</v>
      </c>
      <c r="H5447" s="24">
        <f t="shared" si="1299"/>
        <v>0</v>
      </c>
      <c r="I5447" s="24" cm="1">
        <f t="array" ref="I5447">IFERROR(IF($B5447=I$1, ($A5447+$C5447) - MAX(IF($B$2:$B5446=$B5447, $A$2:$A5446+$C$2:$C5446)), "")*24*60, "")</f>
        <v>0</v>
      </c>
      <c r="J5447" s="24" t="str" cm="1">
        <f t="array" ref="J5447">IFERROR(IF($B5447=J$1, ($A5447+$C5447) - MAX(IF($B$2:$B5446=$B5447, $A$2:$A5446+$C$2:$C5446)), "")*24*60, "")</f>
        <v/>
      </c>
      <c r="K5447" s="24" t="str" cm="1">
        <f t="array" ref="K5447">IFERROR(IF($B5447=K$1, ($A5447+$C5447) - MAX(IF($B$2:$B5446=$B5447, $A$2:$A5446+$C$2:$C5446)), "")*24*60, "")</f>
        <v/>
      </c>
      <c r="L5447" s="24" t="str" cm="1">
        <f t="array" ref="L5447">IFERROR(IF($B5447=L$1, ($A5447+$C5447) - MAX(IF($B$2:$B5446=$B5447, $A$2:$A5446+$C$2:$C5446)), "")*24*60, "")</f>
        <v/>
      </c>
      <c r="M5447" s="24" t="str" cm="1">
        <f t="array" ref="M5447">IFERROR(IF($B5447=M$1, ($A5447+$C5447) - MAX(IF($B$2:$B5446=$B5447, $A$2:$A5446+$C$2:$C5446)), "")*24*60, "")</f>
        <v/>
      </c>
      <c r="N5447" s="24" t="str" cm="1">
        <f t="array" ref="N5447">IFERROR(IF($B5447=N$1, ($A5447+$C5447) - MAX(IF($B$2:$B5446=$B5447, $A$2:$A5446+$C$2:$C5446)), "")*24*60, "")</f>
        <v/>
      </c>
      <c r="O5447" s="24" t="str" cm="1">
        <f t="array" ref="O5447">IFERROR(IF($B5447=O$1, ($A5447+$C5447) - MAX(IF($B$2:$B5446=$B5447, $A$2:$A5446+$C$2:$C5446)), "")*24*60, "")</f>
        <v/>
      </c>
      <c r="P5447" s="24" t="str" cm="1">
        <f t="array" ref="P5447">IFERROR(IF($B5447=P$1, ($A5447+$C5447) - MAX(IF($B$2:$B5446=$B5447, $A$2:$A5446+$C$2:$C5446)), "")*24*60, "")</f>
        <v/>
      </c>
      <c r="Q5447" s="24" t="str" cm="1">
        <f t="array" ref="Q5447">IFERROR(IF($B5447=Q$1, ($A5447+$C5447) - MAX(IF($B$2:$B5446=$B5447, $A$2:$A5446+$C$2:$C5446)), "")*24*60, "")</f>
        <v/>
      </c>
    </row>
    <row r="5448" spans="1:17" x14ac:dyDescent="0.2">
      <c r="A5448" s="12">
        <f t="shared" ref="A5448:C5448" si="1343">A5447</f>
        <v>45983</v>
      </c>
      <c r="B5448" s="5" t="str">
        <f t="shared" si="1343"/>
        <v>Northern Cardinal</v>
      </c>
      <c r="C5448" s="6">
        <f t="shared" si="1343"/>
        <v>0.28194444444444444</v>
      </c>
      <c r="D5448" s="5"/>
      <c r="E5448" s="5"/>
      <c r="F5448" s="5" t="s">
        <v>8</v>
      </c>
      <c r="G5448" s="15" t="s">
        <v>9</v>
      </c>
      <c r="H5448" s="24">
        <f t="shared" si="1299"/>
        <v>0</v>
      </c>
      <c r="I5448" s="24" cm="1">
        <f t="array" ref="I5448">IFERROR(IF($B5448=I$1, ($A5448+$C5448) - MAX(IF($B$2:$B5447=$B5448, $A$2:$A5447+$C$2:$C5447)), "")*24*60, "")</f>
        <v>0</v>
      </c>
      <c r="J5448" s="24" t="str" cm="1">
        <f t="array" ref="J5448">IFERROR(IF($B5448=J$1, ($A5448+$C5448) - MAX(IF($B$2:$B5447=$B5448, $A$2:$A5447+$C$2:$C5447)), "")*24*60, "")</f>
        <v/>
      </c>
      <c r="K5448" s="24" t="str" cm="1">
        <f t="array" ref="K5448">IFERROR(IF($B5448=K$1, ($A5448+$C5448) - MAX(IF($B$2:$B5447=$B5448, $A$2:$A5447+$C$2:$C5447)), "")*24*60, "")</f>
        <v/>
      </c>
      <c r="L5448" s="24" t="str" cm="1">
        <f t="array" ref="L5448">IFERROR(IF($B5448=L$1, ($A5448+$C5448) - MAX(IF($B$2:$B5447=$B5448, $A$2:$A5447+$C$2:$C5447)), "")*24*60, "")</f>
        <v/>
      </c>
      <c r="M5448" s="24" t="str" cm="1">
        <f t="array" ref="M5448">IFERROR(IF($B5448=M$1, ($A5448+$C5448) - MAX(IF($B$2:$B5447=$B5448, $A$2:$A5447+$C$2:$C5447)), "")*24*60, "")</f>
        <v/>
      </c>
      <c r="N5448" s="24" t="str" cm="1">
        <f t="array" ref="N5448">IFERROR(IF($B5448=N$1, ($A5448+$C5448) - MAX(IF($B$2:$B5447=$B5448, $A$2:$A5447+$C$2:$C5447)), "")*24*60, "")</f>
        <v/>
      </c>
      <c r="O5448" s="24" t="str" cm="1">
        <f t="array" ref="O5448">IFERROR(IF($B5448=O$1, ($A5448+$C5448) - MAX(IF($B$2:$B5447=$B5448, $A$2:$A5447+$C$2:$C5447)), "")*24*60, "")</f>
        <v/>
      </c>
      <c r="P5448" s="24" t="str" cm="1">
        <f t="array" ref="P5448">IFERROR(IF($B5448=P$1, ($A5448+$C5448) - MAX(IF($B$2:$B5447=$B5448, $A$2:$A5447+$C$2:$C5447)), "")*24*60, "")</f>
        <v/>
      </c>
      <c r="Q5448" s="24" t="str" cm="1">
        <f t="array" ref="Q5448">IFERROR(IF($B5448=Q$1, ($A5448+$C5448) - MAX(IF($B$2:$B5447=$B5448, $A$2:$A5447+$C$2:$C5447)), "")*24*60, "")</f>
        <v/>
      </c>
    </row>
    <row r="5449" spans="1:17" x14ac:dyDescent="0.2">
      <c r="A5449" s="12">
        <f t="shared" ref="A5449:C5449" si="1344">A5448</f>
        <v>45983</v>
      </c>
      <c r="B5449" s="5" t="str">
        <f t="shared" si="1344"/>
        <v>Northern Cardinal</v>
      </c>
      <c r="C5449" s="6">
        <f t="shared" si="1344"/>
        <v>0.28194444444444444</v>
      </c>
      <c r="D5449" s="5"/>
      <c r="E5449" s="5"/>
      <c r="F5449" s="5" t="s">
        <v>8</v>
      </c>
      <c r="G5449" s="15" t="s">
        <v>9</v>
      </c>
      <c r="H5449" s="24">
        <f t="shared" si="1299"/>
        <v>0</v>
      </c>
      <c r="I5449" s="24" cm="1">
        <f t="array" ref="I5449">IFERROR(IF($B5449=I$1, ($A5449+$C5449) - MAX(IF($B$2:$B5448=$B5449, $A$2:$A5448+$C$2:$C5448)), "")*24*60, "")</f>
        <v>0</v>
      </c>
      <c r="J5449" s="24" t="str" cm="1">
        <f t="array" ref="J5449">IFERROR(IF($B5449=J$1, ($A5449+$C5449) - MAX(IF($B$2:$B5448=$B5449, $A$2:$A5448+$C$2:$C5448)), "")*24*60, "")</f>
        <v/>
      </c>
      <c r="K5449" s="24" t="str" cm="1">
        <f t="array" ref="K5449">IFERROR(IF($B5449=K$1, ($A5449+$C5449) - MAX(IF($B$2:$B5448=$B5449, $A$2:$A5448+$C$2:$C5448)), "")*24*60, "")</f>
        <v/>
      </c>
      <c r="L5449" s="24" t="str" cm="1">
        <f t="array" ref="L5449">IFERROR(IF($B5449=L$1, ($A5449+$C5449) - MAX(IF($B$2:$B5448=$B5449, $A$2:$A5448+$C$2:$C5448)), "")*24*60, "")</f>
        <v/>
      </c>
      <c r="M5449" s="24" t="str" cm="1">
        <f t="array" ref="M5449">IFERROR(IF($B5449=M$1, ($A5449+$C5449) - MAX(IF($B$2:$B5448=$B5449, $A$2:$A5448+$C$2:$C5448)), "")*24*60, "")</f>
        <v/>
      </c>
      <c r="N5449" s="24" t="str" cm="1">
        <f t="array" ref="N5449">IFERROR(IF($B5449=N$1, ($A5449+$C5449) - MAX(IF($B$2:$B5448=$B5449, $A$2:$A5448+$C$2:$C5448)), "")*24*60, "")</f>
        <v/>
      </c>
      <c r="O5449" s="24" t="str" cm="1">
        <f t="array" ref="O5449">IFERROR(IF($B5449=O$1, ($A5449+$C5449) - MAX(IF($B$2:$B5448=$B5449, $A$2:$A5448+$C$2:$C5448)), "")*24*60, "")</f>
        <v/>
      </c>
      <c r="P5449" s="24" t="str" cm="1">
        <f t="array" ref="P5449">IFERROR(IF($B5449=P$1, ($A5449+$C5449) - MAX(IF($B$2:$B5448=$B5449, $A$2:$A5448+$C$2:$C5448)), "")*24*60, "")</f>
        <v/>
      </c>
      <c r="Q5449" s="24" t="str" cm="1">
        <f t="array" ref="Q5449">IFERROR(IF($B5449=Q$1, ($A5449+$C5449) - MAX(IF($B$2:$B5448=$B5449, $A$2:$A5448+$C$2:$C5448)), "")*24*60, "")</f>
        <v/>
      </c>
    </row>
    <row r="5450" spans="1:17" x14ac:dyDescent="0.2">
      <c r="A5450" s="12">
        <f t="shared" ref="A5450:C5450" si="1345">A5449</f>
        <v>45983</v>
      </c>
      <c r="B5450" s="5" t="str">
        <f t="shared" si="1345"/>
        <v>Northern Cardinal</v>
      </c>
      <c r="C5450" s="6">
        <f t="shared" si="1345"/>
        <v>0.28194444444444444</v>
      </c>
      <c r="D5450" s="5"/>
      <c r="E5450" s="5"/>
      <c r="F5450" s="5" t="s">
        <v>8</v>
      </c>
      <c r="G5450" s="15" t="s">
        <v>9</v>
      </c>
      <c r="H5450" s="24">
        <f t="shared" si="1299"/>
        <v>0</v>
      </c>
      <c r="I5450" s="24" cm="1">
        <f t="array" ref="I5450">IFERROR(IF($B5450=I$1, ($A5450+$C5450) - MAX(IF($B$2:$B5449=$B5450, $A$2:$A5449+$C$2:$C5449)), "")*24*60, "")</f>
        <v>0</v>
      </c>
      <c r="J5450" s="24" t="str" cm="1">
        <f t="array" ref="J5450">IFERROR(IF($B5450=J$1, ($A5450+$C5450) - MAX(IF($B$2:$B5449=$B5450, $A$2:$A5449+$C$2:$C5449)), "")*24*60, "")</f>
        <v/>
      </c>
      <c r="K5450" s="24" t="str" cm="1">
        <f t="array" ref="K5450">IFERROR(IF($B5450=K$1, ($A5450+$C5450) - MAX(IF($B$2:$B5449=$B5450, $A$2:$A5449+$C$2:$C5449)), "")*24*60, "")</f>
        <v/>
      </c>
      <c r="L5450" s="24" t="str" cm="1">
        <f t="array" ref="L5450">IFERROR(IF($B5450=L$1, ($A5450+$C5450) - MAX(IF($B$2:$B5449=$B5450, $A$2:$A5449+$C$2:$C5449)), "")*24*60, "")</f>
        <v/>
      </c>
      <c r="M5450" s="24" t="str" cm="1">
        <f t="array" ref="M5450">IFERROR(IF($B5450=M$1, ($A5450+$C5450) - MAX(IF($B$2:$B5449=$B5450, $A$2:$A5449+$C$2:$C5449)), "")*24*60, "")</f>
        <v/>
      </c>
      <c r="N5450" s="24" t="str" cm="1">
        <f t="array" ref="N5450">IFERROR(IF($B5450=N$1, ($A5450+$C5450) - MAX(IF($B$2:$B5449=$B5450, $A$2:$A5449+$C$2:$C5449)), "")*24*60, "")</f>
        <v/>
      </c>
      <c r="O5450" s="24" t="str" cm="1">
        <f t="array" ref="O5450">IFERROR(IF($B5450=O$1, ($A5450+$C5450) - MAX(IF($B$2:$B5449=$B5450, $A$2:$A5449+$C$2:$C5449)), "")*24*60, "")</f>
        <v/>
      </c>
      <c r="P5450" s="24" t="str" cm="1">
        <f t="array" ref="P5450">IFERROR(IF($B5450=P$1, ($A5450+$C5450) - MAX(IF($B$2:$B5449=$B5450, $A$2:$A5449+$C$2:$C5449)), "")*24*60, "")</f>
        <v/>
      </c>
      <c r="Q5450" s="24" t="str" cm="1">
        <f t="array" ref="Q5450">IFERROR(IF($B5450=Q$1, ($A5450+$C5450) - MAX(IF($B$2:$B5449=$B5450, $A$2:$A5449+$C$2:$C5449)), "")*24*60, "")</f>
        <v/>
      </c>
    </row>
    <row r="5451" spans="1:17" x14ac:dyDescent="0.2">
      <c r="A5451" s="12">
        <f t="shared" ref="A5451:C5451" si="1346">A5450</f>
        <v>45983</v>
      </c>
      <c r="B5451" s="5" t="str">
        <f t="shared" si="1346"/>
        <v>Northern Cardinal</v>
      </c>
      <c r="C5451" s="6">
        <f t="shared" si="1346"/>
        <v>0.28194444444444444</v>
      </c>
      <c r="D5451" s="5"/>
      <c r="E5451" s="5"/>
      <c r="F5451" s="5" t="s">
        <v>8</v>
      </c>
      <c r="G5451" s="15" t="s">
        <v>9</v>
      </c>
      <c r="H5451" s="24">
        <f t="shared" si="1299"/>
        <v>0</v>
      </c>
      <c r="I5451" s="24" cm="1">
        <f t="array" ref="I5451">IFERROR(IF($B5451=I$1, ($A5451+$C5451) - MAX(IF($B$2:$B5450=$B5451, $A$2:$A5450+$C$2:$C5450)), "")*24*60, "")</f>
        <v>0</v>
      </c>
      <c r="J5451" s="24" t="str" cm="1">
        <f t="array" ref="J5451">IFERROR(IF($B5451=J$1, ($A5451+$C5451) - MAX(IF($B$2:$B5450=$B5451, $A$2:$A5450+$C$2:$C5450)), "")*24*60, "")</f>
        <v/>
      </c>
      <c r="K5451" s="24" t="str" cm="1">
        <f t="array" ref="K5451">IFERROR(IF($B5451=K$1, ($A5451+$C5451) - MAX(IF($B$2:$B5450=$B5451, $A$2:$A5450+$C$2:$C5450)), "")*24*60, "")</f>
        <v/>
      </c>
      <c r="L5451" s="24" t="str" cm="1">
        <f t="array" ref="L5451">IFERROR(IF($B5451=L$1, ($A5451+$C5451) - MAX(IF($B$2:$B5450=$B5451, $A$2:$A5450+$C$2:$C5450)), "")*24*60, "")</f>
        <v/>
      </c>
      <c r="M5451" s="24" t="str" cm="1">
        <f t="array" ref="M5451">IFERROR(IF($B5451=M$1, ($A5451+$C5451) - MAX(IF($B$2:$B5450=$B5451, $A$2:$A5450+$C$2:$C5450)), "")*24*60, "")</f>
        <v/>
      </c>
      <c r="N5451" s="24" t="str" cm="1">
        <f t="array" ref="N5451">IFERROR(IF($B5451=N$1, ($A5451+$C5451) - MAX(IF($B$2:$B5450=$B5451, $A$2:$A5450+$C$2:$C5450)), "")*24*60, "")</f>
        <v/>
      </c>
      <c r="O5451" s="24" t="str" cm="1">
        <f t="array" ref="O5451">IFERROR(IF($B5451=O$1, ($A5451+$C5451) - MAX(IF($B$2:$B5450=$B5451, $A$2:$A5450+$C$2:$C5450)), "")*24*60, "")</f>
        <v/>
      </c>
      <c r="P5451" s="24" t="str" cm="1">
        <f t="array" ref="P5451">IFERROR(IF($B5451=P$1, ($A5451+$C5451) - MAX(IF($B$2:$B5450=$B5451, $A$2:$A5450+$C$2:$C5450)), "")*24*60, "")</f>
        <v/>
      </c>
      <c r="Q5451" s="24" t="str" cm="1">
        <f t="array" ref="Q5451">IFERROR(IF($B5451=Q$1, ($A5451+$C5451) - MAX(IF($B$2:$B5450=$B5451, $A$2:$A5450+$C$2:$C5450)), "")*24*60, "")</f>
        <v/>
      </c>
    </row>
    <row r="5452" spans="1:17" x14ac:dyDescent="0.2">
      <c r="A5452" s="12">
        <f t="shared" ref="A5452:C5452" si="1347">A5451</f>
        <v>45983</v>
      </c>
      <c r="B5452" s="5" t="str">
        <f t="shared" si="1347"/>
        <v>Northern Cardinal</v>
      </c>
      <c r="C5452" s="6">
        <f t="shared" si="1347"/>
        <v>0.28194444444444444</v>
      </c>
      <c r="D5452" s="5"/>
      <c r="E5452" s="5"/>
      <c r="F5452" s="5" t="s">
        <v>8</v>
      </c>
      <c r="G5452" s="15" t="s">
        <v>9</v>
      </c>
      <c r="H5452" s="24">
        <f t="shared" si="1299"/>
        <v>0</v>
      </c>
      <c r="I5452" s="24" cm="1">
        <f t="array" ref="I5452">IFERROR(IF($B5452=I$1, ($A5452+$C5452) - MAX(IF($B$2:$B5451=$B5452, $A$2:$A5451+$C$2:$C5451)), "")*24*60, "")</f>
        <v>0</v>
      </c>
      <c r="J5452" s="24" t="str" cm="1">
        <f t="array" ref="J5452">IFERROR(IF($B5452=J$1, ($A5452+$C5452) - MAX(IF($B$2:$B5451=$B5452, $A$2:$A5451+$C$2:$C5451)), "")*24*60, "")</f>
        <v/>
      </c>
      <c r="K5452" s="24" t="str" cm="1">
        <f t="array" ref="K5452">IFERROR(IF($B5452=K$1, ($A5452+$C5452) - MAX(IF($B$2:$B5451=$B5452, $A$2:$A5451+$C$2:$C5451)), "")*24*60, "")</f>
        <v/>
      </c>
      <c r="L5452" s="24" t="str" cm="1">
        <f t="array" ref="L5452">IFERROR(IF($B5452=L$1, ($A5452+$C5452) - MAX(IF($B$2:$B5451=$B5452, $A$2:$A5451+$C$2:$C5451)), "")*24*60, "")</f>
        <v/>
      </c>
      <c r="M5452" s="24" t="str" cm="1">
        <f t="array" ref="M5452">IFERROR(IF($B5452=M$1, ($A5452+$C5452) - MAX(IF($B$2:$B5451=$B5452, $A$2:$A5451+$C$2:$C5451)), "")*24*60, "")</f>
        <v/>
      </c>
      <c r="N5452" s="24" t="str" cm="1">
        <f t="array" ref="N5452">IFERROR(IF($B5452=N$1, ($A5452+$C5452) - MAX(IF($B$2:$B5451=$B5452, $A$2:$A5451+$C$2:$C5451)), "")*24*60, "")</f>
        <v/>
      </c>
      <c r="O5452" s="24" t="str" cm="1">
        <f t="array" ref="O5452">IFERROR(IF($B5452=O$1, ($A5452+$C5452) - MAX(IF($B$2:$B5451=$B5452, $A$2:$A5451+$C$2:$C5451)), "")*24*60, "")</f>
        <v/>
      </c>
      <c r="P5452" s="24" t="str" cm="1">
        <f t="array" ref="P5452">IFERROR(IF($B5452=P$1, ($A5452+$C5452) - MAX(IF($B$2:$B5451=$B5452, $A$2:$A5451+$C$2:$C5451)), "")*24*60, "")</f>
        <v/>
      </c>
      <c r="Q5452" s="24" t="str" cm="1">
        <f t="array" ref="Q5452">IFERROR(IF($B5452=Q$1, ($A5452+$C5452) - MAX(IF($B$2:$B5451=$B5452, $A$2:$A5451+$C$2:$C5451)), "")*24*60, "")</f>
        <v/>
      </c>
    </row>
    <row r="5453" spans="1:17" x14ac:dyDescent="0.2">
      <c r="A5453" s="12">
        <f t="shared" ref="A5453:C5453" si="1348">A5452</f>
        <v>45983</v>
      </c>
      <c r="B5453" s="5" t="str">
        <f t="shared" si="1348"/>
        <v>Northern Cardinal</v>
      </c>
      <c r="C5453" s="6">
        <f t="shared" si="1348"/>
        <v>0.28194444444444444</v>
      </c>
      <c r="D5453" s="5"/>
      <c r="E5453" s="5"/>
      <c r="F5453" s="5" t="s">
        <v>8</v>
      </c>
      <c r="G5453" s="15" t="s">
        <v>9</v>
      </c>
      <c r="H5453" s="24">
        <f t="shared" si="1299"/>
        <v>0</v>
      </c>
      <c r="I5453" s="24" cm="1">
        <f t="array" ref="I5453">IFERROR(IF($B5453=I$1, ($A5453+$C5453) - MAX(IF($B$2:$B5452=$B5453, $A$2:$A5452+$C$2:$C5452)), "")*24*60, "")</f>
        <v>0</v>
      </c>
      <c r="J5453" s="24" t="str" cm="1">
        <f t="array" ref="J5453">IFERROR(IF($B5453=J$1, ($A5453+$C5453) - MAX(IF($B$2:$B5452=$B5453, $A$2:$A5452+$C$2:$C5452)), "")*24*60, "")</f>
        <v/>
      </c>
      <c r="K5453" s="24" t="str" cm="1">
        <f t="array" ref="K5453">IFERROR(IF($B5453=K$1, ($A5453+$C5453) - MAX(IF($B$2:$B5452=$B5453, $A$2:$A5452+$C$2:$C5452)), "")*24*60, "")</f>
        <v/>
      </c>
      <c r="L5453" s="24" t="str" cm="1">
        <f t="array" ref="L5453">IFERROR(IF($B5453=L$1, ($A5453+$C5453) - MAX(IF($B$2:$B5452=$B5453, $A$2:$A5452+$C$2:$C5452)), "")*24*60, "")</f>
        <v/>
      </c>
      <c r="M5453" s="24" t="str" cm="1">
        <f t="array" ref="M5453">IFERROR(IF($B5453=M$1, ($A5453+$C5453) - MAX(IF($B$2:$B5452=$B5453, $A$2:$A5452+$C$2:$C5452)), "")*24*60, "")</f>
        <v/>
      </c>
      <c r="N5453" s="24" t="str" cm="1">
        <f t="array" ref="N5453">IFERROR(IF($B5453=N$1, ($A5453+$C5453) - MAX(IF($B$2:$B5452=$B5453, $A$2:$A5452+$C$2:$C5452)), "")*24*60, "")</f>
        <v/>
      </c>
      <c r="O5453" s="24" t="str" cm="1">
        <f t="array" ref="O5453">IFERROR(IF($B5453=O$1, ($A5453+$C5453) - MAX(IF($B$2:$B5452=$B5453, $A$2:$A5452+$C$2:$C5452)), "")*24*60, "")</f>
        <v/>
      </c>
      <c r="P5453" s="24" t="str" cm="1">
        <f t="array" ref="P5453">IFERROR(IF($B5453=P$1, ($A5453+$C5453) - MAX(IF($B$2:$B5452=$B5453, $A$2:$A5452+$C$2:$C5452)), "")*24*60, "")</f>
        <v/>
      </c>
      <c r="Q5453" s="24" t="str" cm="1">
        <f t="array" ref="Q5453">IFERROR(IF($B5453=Q$1, ($A5453+$C5453) - MAX(IF($B$2:$B5452=$B5453, $A$2:$A5452+$C$2:$C5452)), "")*24*60, "")</f>
        <v/>
      </c>
    </row>
    <row r="5454" spans="1:17" x14ac:dyDescent="0.2">
      <c r="A5454" s="12">
        <f t="shared" ref="A5454:C5454" si="1349">A5453</f>
        <v>45983</v>
      </c>
      <c r="B5454" s="5" t="str">
        <f t="shared" si="1349"/>
        <v>Northern Cardinal</v>
      </c>
      <c r="C5454" s="6">
        <f t="shared" si="1349"/>
        <v>0.28194444444444444</v>
      </c>
      <c r="D5454" s="5"/>
      <c r="E5454" s="5"/>
      <c r="F5454" s="5" t="s">
        <v>8</v>
      </c>
      <c r="G5454" s="15" t="s">
        <v>9</v>
      </c>
      <c r="H5454" s="24">
        <f t="shared" si="1299"/>
        <v>0</v>
      </c>
      <c r="I5454" s="24" cm="1">
        <f t="array" ref="I5454">IFERROR(IF($B5454=I$1, ($A5454+$C5454) - MAX(IF($B$2:$B5453=$B5454, $A$2:$A5453+$C$2:$C5453)), "")*24*60, "")</f>
        <v>0</v>
      </c>
      <c r="J5454" s="24" t="str" cm="1">
        <f t="array" ref="J5454">IFERROR(IF($B5454=J$1, ($A5454+$C5454) - MAX(IF($B$2:$B5453=$B5454, $A$2:$A5453+$C$2:$C5453)), "")*24*60, "")</f>
        <v/>
      </c>
      <c r="K5454" s="24" t="str" cm="1">
        <f t="array" ref="K5454">IFERROR(IF($B5454=K$1, ($A5454+$C5454) - MAX(IF($B$2:$B5453=$B5454, $A$2:$A5453+$C$2:$C5453)), "")*24*60, "")</f>
        <v/>
      </c>
      <c r="L5454" s="24" t="str" cm="1">
        <f t="array" ref="L5454">IFERROR(IF($B5454=L$1, ($A5454+$C5454) - MAX(IF($B$2:$B5453=$B5454, $A$2:$A5453+$C$2:$C5453)), "")*24*60, "")</f>
        <v/>
      </c>
      <c r="M5454" s="24" t="str" cm="1">
        <f t="array" ref="M5454">IFERROR(IF($B5454=M$1, ($A5454+$C5454) - MAX(IF($B$2:$B5453=$B5454, $A$2:$A5453+$C$2:$C5453)), "")*24*60, "")</f>
        <v/>
      </c>
      <c r="N5454" s="24" t="str" cm="1">
        <f t="array" ref="N5454">IFERROR(IF($B5454=N$1, ($A5454+$C5454) - MAX(IF($B$2:$B5453=$B5454, $A$2:$A5453+$C$2:$C5453)), "")*24*60, "")</f>
        <v/>
      </c>
      <c r="O5454" s="24" t="str" cm="1">
        <f t="array" ref="O5454">IFERROR(IF($B5454=O$1, ($A5454+$C5454) - MAX(IF($B$2:$B5453=$B5454, $A$2:$A5453+$C$2:$C5453)), "")*24*60, "")</f>
        <v/>
      </c>
      <c r="P5454" s="24" t="str" cm="1">
        <f t="array" ref="P5454">IFERROR(IF($B5454=P$1, ($A5454+$C5454) - MAX(IF($B$2:$B5453=$B5454, $A$2:$A5453+$C$2:$C5453)), "")*24*60, "")</f>
        <v/>
      </c>
      <c r="Q5454" s="24" t="str" cm="1">
        <f t="array" ref="Q5454">IFERROR(IF($B5454=Q$1, ($A5454+$C5454) - MAX(IF($B$2:$B5453=$B5454, $A$2:$A5453+$C$2:$C5453)), "")*24*60, "")</f>
        <v/>
      </c>
    </row>
    <row r="5455" spans="1:17" x14ac:dyDescent="0.2">
      <c r="A5455" s="12">
        <f t="shared" ref="A5455:C5455" si="1350">A5454</f>
        <v>45983</v>
      </c>
      <c r="B5455" s="5" t="str">
        <f t="shared" si="1350"/>
        <v>Northern Cardinal</v>
      </c>
      <c r="C5455" s="6">
        <f t="shared" si="1350"/>
        <v>0.28194444444444444</v>
      </c>
      <c r="D5455" s="5"/>
      <c r="E5455" s="5"/>
      <c r="F5455" s="5" t="s">
        <v>8</v>
      </c>
      <c r="G5455" s="15" t="s">
        <v>9</v>
      </c>
      <c r="H5455" s="24">
        <f t="shared" si="1299"/>
        <v>0</v>
      </c>
      <c r="I5455" s="24" cm="1">
        <f t="array" ref="I5455">IFERROR(IF($B5455=I$1, ($A5455+$C5455) - MAX(IF($B$2:$B5454=$B5455, $A$2:$A5454+$C$2:$C5454)), "")*24*60, "")</f>
        <v>0</v>
      </c>
      <c r="J5455" s="24" t="str" cm="1">
        <f t="array" ref="J5455">IFERROR(IF($B5455=J$1, ($A5455+$C5455) - MAX(IF($B$2:$B5454=$B5455, $A$2:$A5454+$C$2:$C5454)), "")*24*60, "")</f>
        <v/>
      </c>
      <c r="K5455" s="24" t="str" cm="1">
        <f t="array" ref="K5455">IFERROR(IF($B5455=K$1, ($A5455+$C5455) - MAX(IF($B$2:$B5454=$B5455, $A$2:$A5454+$C$2:$C5454)), "")*24*60, "")</f>
        <v/>
      </c>
      <c r="L5455" s="24" t="str" cm="1">
        <f t="array" ref="L5455">IFERROR(IF($B5455=L$1, ($A5455+$C5455) - MAX(IF($B$2:$B5454=$B5455, $A$2:$A5454+$C$2:$C5454)), "")*24*60, "")</f>
        <v/>
      </c>
      <c r="M5455" s="24" t="str" cm="1">
        <f t="array" ref="M5455">IFERROR(IF($B5455=M$1, ($A5455+$C5455) - MAX(IF($B$2:$B5454=$B5455, $A$2:$A5454+$C$2:$C5454)), "")*24*60, "")</f>
        <v/>
      </c>
      <c r="N5455" s="24" t="str" cm="1">
        <f t="array" ref="N5455">IFERROR(IF($B5455=N$1, ($A5455+$C5455) - MAX(IF($B$2:$B5454=$B5455, $A$2:$A5454+$C$2:$C5454)), "")*24*60, "")</f>
        <v/>
      </c>
      <c r="O5455" s="24" t="str" cm="1">
        <f t="array" ref="O5455">IFERROR(IF($B5455=O$1, ($A5455+$C5455) - MAX(IF($B$2:$B5454=$B5455, $A$2:$A5454+$C$2:$C5454)), "")*24*60, "")</f>
        <v/>
      </c>
      <c r="P5455" s="24" t="str" cm="1">
        <f t="array" ref="P5455">IFERROR(IF($B5455=P$1, ($A5455+$C5455) - MAX(IF($B$2:$B5454=$B5455, $A$2:$A5454+$C$2:$C5454)), "")*24*60, "")</f>
        <v/>
      </c>
      <c r="Q5455" s="24" t="str" cm="1">
        <f t="array" ref="Q5455">IFERROR(IF($B5455=Q$1, ($A5455+$C5455) - MAX(IF($B$2:$B5454=$B5455, $A$2:$A5454+$C$2:$C5454)), "")*24*60, "")</f>
        <v/>
      </c>
    </row>
    <row r="5456" spans="1:17" x14ac:dyDescent="0.2">
      <c r="A5456" s="12">
        <f t="shared" ref="A5456:C5456" si="1351">A5455</f>
        <v>45983</v>
      </c>
      <c r="B5456" s="5" t="str">
        <f t="shared" si="1351"/>
        <v>Northern Cardinal</v>
      </c>
      <c r="C5456" s="6">
        <f t="shared" si="1351"/>
        <v>0.28194444444444444</v>
      </c>
      <c r="D5456" s="5"/>
      <c r="E5456" s="5"/>
      <c r="F5456" s="5" t="s">
        <v>8</v>
      </c>
      <c r="G5456" s="15" t="s">
        <v>9</v>
      </c>
      <c r="H5456" s="24">
        <f t="shared" si="1299"/>
        <v>0</v>
      </c>
      <c r="I5456" s="24" cm="1">
        <f t="array" ref="I5456">IFERROR(IF($B5456=I$1, ($A5456+$C5456) - MAX(IF($B$2:$B5455=$B5456, $A$2:$A5455+$C$2:$C5455)), "")*24*60, "")</f>
        <v>0</v>
      </c>
      <c r="J5456" s="24" t="str" cm="1">
        <f t="array" ref="J5456">IFERROR(IF($B5456=J$1, ($A5456+$C5456) - MAX(IF($B$2:$B5455=$B5456, $A$2:$A5455+$C$2:$C5455)), "")*24*60, "")</f>
        <v/>
      </c>
      <c r="K5456" s="24" t="str" cm="1">
        <f t="array" ref="K5456">IFERROR(IF($B5456=K$1, ($A5456+$C5456) - MAX(IF($B$2:$B5455=$B5456, $A$2:$A5455+$C$2:$C5455)), "")*24*60, "")</f>
        <v/>
      </c>
      <c r="L5456" s="24" t="str" cm="1">
        <f t="array" ref="L5456">IFERROR(IF($B5456=L$1, ($A5456+$C5456) - MAX(IF($B$2:$B5455=$B5456, $A$2:$A5455+$C$2:$C5455)), "")*24*60, "")</f>
        <v/>
      </c>
      <c r="M5456" s="24" t="str" cm="1">
        <f t="array" ref="M5456">IFERROR(IF($B5456=M$1, ($A5456+$C5456) - MAX(IF($B$2:$B5455=$B5456, $A$2:$A5455+$C$2:$C5455)), "")*24*60, "")</f>
        <v/>
      </c>
      <c r="N5456" s="24" t="str" cm="1">
        <f t="array" ref="N5456">IFERROR(IF($B5456=N$1, ($A5456+$C5456) - MAX(IF($B$2:$B5455=$B5456, $A$2:$A5455+$C$2:$C5455)), "")*24*60, "")</f>
        <v/>
      </c>
      <c r="O5456" s="24" t="str" cm="1">
        <f t="array" ref="O5456">IFERROR(IF($B5456=O$1, ($A5456+$C5456) - MAX(IF($B$2:$B5455=$B5456, $A$2:$A5455+$C$2:$C5455)), "")*24*60, "")</f>
        <v/>
      </c>
      <c r="P5456" s="24" t="str" cm="1">
        <f t="array" ref="P5456">IFERROR(IF($B5456=P$1, ($A5456+$C5456) - MAX(IF($B$2:$B5455=$B5456, $A$2:$A5455+$C$2:$C5455)), "")*24*60, "")</f>
        <v/>
      </c>
      <c r="Q5456" s="24" t="str" cm="1">
        <f t="array" ref="Q5456">IFERROR(IF($B5456=Q$1, ($A5456+$C5456) - MAX(IF($B$2:$B5455=$B5456, $A$2:$A5455+$C$2:$C5455)), "")*24*60, "")</f>
        <v/>
      </c>
    </row>
    <row r="5457" spans="1:17" x14ac:dyDescent="0.2">
      <c r="A5457" s="12">
        <f t="shared" ref="A5457:C5457" si="1352">A5456</f>
        <v>45983</v>
      </c>
      <c r="B5457" s="5" t="str">
        <f t="shared" si="1352"/>
        <v>Northern Cardinal</v>
      </c>
      <c r="C5457" s="6">
        <f t="shared" si="1352"/>
        <v>0.28194444444444444</v>
      </c>
      <c r="D5457" s="5"/>
      <c r="E5457" s="5"/>
      <c r="F5457" s="5" t="s">
        <v>8</v>
      </c>
      <c r="G5457" s="15" t="s">
        <v>9</v>
      </c>
      <c r="H5457" s="24">
        <f t="shared" si="1299"/>
        <v>0</v>
      </c>
      <c r="I5457" s="24" cm="1">
        <f t="array" ref="I5457">IFERROR(IF($B5457=I$1, ($A5457+$C5457) - MAX(IF($B$2:$B5456=$B5457, $A$2:$A5456+$C$2:$C5456)), "")*24*60, "")</f>
        <v>0</v>
      </c>
      <c r="J5457" s="24" t="str" cm="1">
        <f t="array" ref="J5457">IFERROR(IF($B5457=J$1, ($A5457+$C5457) - MAX(IF($B$2:$B5456=$B5457, $A$2:$A5456+$C$2:$C5456)), "")*24*60, "")</f>
        <v/>
      </c>
      <c r="K5457" s="24" t="str" cm="1">
        <f t="array" ref="K5457">IFERROR(IF($B5457=K$1, ($A5457+$C5457) - MAX(IF($B$2:$B5456=$B5457, $A$2:$A5456+$C$2:$C5456)), "")*24*60, "")</f>
        <v/>
      </c>
      <c r="L5457" s="24" t="str" cm="1">
        <f t="array" ref="L5457">IFERROR(IF($B5457=L$1, ($A5457+$C5457) - MAX(IF($B$2:$B5456=$B5457, $A$2:$A5456+$C$2:$C5456)), "")*24*60, "")</f>
        <v/>
      </c>
      <c r="M5457" s="24" t="str" cm="1">
        <f t="array" ref="M5457">IFERROR(IF($B5457=M$1, ($A5457+$C5457) - MAX(IF($B$2:$B5456=$B5457, $A$2:$A5456+$C$2:$C5456)), "")*24*60, "")</f>
        <v/>
      </c>
      <c r="N5457" s="24" t="str" cm="1">
        <f t="array" ref="N5457">IFERROR(IF($B5457=N$1, ($A5457+$C5457) - MAX(IF($B$2:$B5456=$B5457, $A$2:$A5456+$C$2:$C5456)), "")*24*60, "")</f>
        <v/>
      </c>
      <c r="O5457" s="24" t="str" cm="1">
        <f t="array" ref="O5457">IFERROR(IF($B5457=O$1, ($A5457+$C5457) - MAX(IF($B$2:$B5456=$B5457, $A$2:$A5456+$C$2:$C5456)), "")*24*60, "")</f>
        <v/>
      </c>
      <c r="P5457" s="24" t="str" cm="1">
        <f t="array" ref="P5457">IFERROR(IF($B5457=P$1, ($A5457+$C5457) - MAX(IF($B$2:$B5456=$B5457, $A$2:$A5456+$C$2:$C5456)), "")*24*60, "")</f>
        <v/>
      </c>
      <c r="Q5457" s="24" t="str" cm="1">
        <f t="array" ref="Q5457">IFERROR(IF($B5457=Q$1, ($A5457+$C5457) - MAX(IF($B$2:$B5456=$B5457, $A$2:$A5456+$C$2:$C5456)), "")*24*60, "")</f>
        <v/>
      </c>
    </row>
    <row r="5458" spans="1:17" x14ac:dyDescent="0.2">
      <c r="A5458" s="12">
        <f t="shared" ref="A5458:C5458" si="1353">A5457</f>
        <v>45983</v>
      </c>
      <c r="B5458" s="5" t="str">
        <f t="shared" si="1353"/>
        <v>Northern Cardinal</v>
      </c>
      <c r="C5458" s="6">
        <f t="shared" si="1353"/>
        <v>0.28194444444444444</v>
      </c>
      <c r="D5458" s="5"/>
      <c r="E5458" s="5"/>
      <c r="F5458" s="5" t="s">
        <v>8</v>
      </c>
      <c r="G5458" s="15" t="s">
        <v>9</v>
      </c>
      <c r="H5458" s="24">
        <f t="shared" si="1299"/>
        <v>0</v>
      </c>
      <c r="I5458" s="24" cm="1">
        <f t="array" ref="I5458">IFERROR(IF($B5458=I$1, ($A5458+$C5458) - MAX(IF($B$2:$B5457=$B5458, $A$2:$A5457+$C$2:$C5457)), "")*24*60, "")</f>
        <v>0</v>
      </c>
      <c r="J5458" s="24" t="str" cm="1">
        <f t="array" ref="J5458">IFERROR(IF($B5458=J$1, ($A5458+$C5458) - MAX(IF($B$2:$B5457=$B5458, $A$2:$A5457+$C$2:$C5457)), "")*24*60, "")</f>
        <v/>
      </c>
      <c r="K5458" s="24" t="str" cm="1">
        <f t="array" ref="K5458">IFERROR(IF($B5458=K$1, ($A5458+$C5458) - MAX(IF($B$2:$B5457=$B5458, $A$2:$A5457+$C$2:$C5457)), "")*24*60, "")</f>
        <v/>
      </c>
      <c r="L5458" s="24" t="str" cm="1">
        <f t="array" ref="L5458">IFERROR(IF($B5458=L$1, ($A5458+$C5458) - MAX(IF($B$2:$B5457=$B5458, $A$2:$A5457+$C$2:$C5457)), "")*24*60, "")</f>
        <v/>
      </c>
      <c r="M5458" s="24" t="str" cm="1">
        <f t="array" ref="M5458">IFERROR(IF($B5458=M$1, ($A5458+$C5458) - MAX(IF($B$2:$B5457=$B5458, $A$2:$A5457+$C$2:$C5457)), "")*24*60, "")</f>
        <v/>
      </c>
      <c r="N5458" s="24" t="str" cm="1">
        <f t="array" ref="N5458">IFERROR(IF($B5458=N$1, ($A5458+$C5458) - MAX(IF($B$2:$B5457=$B5458, $A$2:$A5457+$C$2:$C5457)), "")*24*60, "")</f>
        <v/>
      </c>
      <c r="O5458" s="24" t="str" cm="1">
        <f t="array" ref="O5458">IFERROR(IF($B5458=O$1, ($A5458+$C5458) - MAX(IF($B$2:$B5457=$B5458, $A$2:$A5457+$C$2:$C5457)), "")*24*60, "")</f>
        <v/>
      </c>
      <c r="P5458" s="24" t="str" cm="1">
        <f t="array" ref="P5458">IFERROR(IF($B5458=P$1, ($A5458+$C5458) - MAX(IF($B$2:$B5457=$B5458, $A$2:$A5457+$C$2:$C5457)), "")*24*60, "")</f>
        <v/>
      </c>
      <c r="Q5458" s="24" t="str" cm="1">
        <f t="array" ref="Q5458">IFERROR(IF($B5458=Q$1, ($A5458+$C5458) - MAX(IF($B$2:$B5457=$B5458, $A$2:$A5457+$C$2:$C5457)), "")*24*60, "")</f>
        <v/>
      </c>
    </row>
    <row r="5459" spans="1:17" x14ac:dyDescent="0.2">
      <c r="A5459" s="12">
        <f t="shared" ref="A5459:C5459" si="1354">A5458</f>
        <v>45983</v>
      </c>
      <c r="B5459" s="5" t="str">
        <f t="shared" si="1354"/>
        <v>Northern Cardinal</v>
      </c>
      <c r="C5459" s="6">
        <f t="shared" si="1354"/>
        <v>0.28194444444444444</v>
      </c>
      <c r="D5459" s="5"/>
      <c r="E5459" s="5"/>
      <c r="F5459" s="5" t="s">
        <v>8</v>
      </c>
      <c r="G5459" s="15" t="s">
        <v>9</v>
      </c>
      <c r="H5459" s="24">
        <f t="shared" si="1299"/>
        <v>0</v>
      </c>
      <c r="I5459" s="24" cm="1">
        <f t="array" ref="I5459">IFERROR(IF($B5459=I$1, ($A5459+$C5459) - MAX(IF($B$2:$B5458=$B5459, $A$2:$A5458+$C$2:$C5458)), "")*24*60, "")</f>
        <v>0</v>
      </c>
      <c r="J5459" s="24" t="str" cm="1">
        <f t="array" ref="J5459">IFERROR(IF($B5459=J$1, ($A5459+$C5459) - MAX(IF($B$2:$B5458=$B5459, $A$2:$A5458+$C$2:$C5458)), "")*24*60, "")</f>
        <v/>
      </c>
      <c r="K5459" s="24" t="str" cm="1">
        <f t="array" ref="K5459">IFERROR(IF($B5459=K$1, ($A5459+$C5459) - MAX(IF($B$2:$B5458=$B5459, $A$2:$A5458+$C$2:$C5458)), "")*24*60, "")</f>
        <v/>
      </c>
      <c r="L5459" s="24" t="str" cm="1">
        <f t="array" ref="L5459">IFERROR(IF($B5459=L$1, ($A5459+$C5459) - MAX(IF($B$2:$B5458=$B5459, $A$2:$A5458+$C$2:$C5458)), "")*24*60, "")</f>
        <v/>
      </c>
      <c r="M5459" s="24" t="str" cm="1">
        <f t="array" ref="M5459">IFERROR(IF($B5459=M$1, ($A5459+$C5459) - MAX(IF($B$2:$B5458=$B5459, $A$2:$A5458+$C$2:$C5458)), "")*24*60, "")</f>
        <v/>
      </c>
      <c r="N5459" s="24" t="str" cm="1">
        <f t="array" ref="N5459">IFERROR(IF($B5459=N$1, ($A5459+$C5459) - MAX(IF($B$2:$B5458=$B5459, $A$2:$A5458+$C$2:$C5458)), "")*24*60, "")</f>
        <v/>
      </c>
      <c r="O5459" s="24" t="str" cm="1">
        <f t="array" ref="O5459">IFERROR(IF($B5459=O$1, ($A5459+$C5459) - MAX(IF($B$2:$B5458=$B5459, $A$2:$A5458+$C$2:$C5458)), "")*24*60, "")</f>
        <v/>
      </c>
      <c r="P5459" s="24" t="str" cm="1">
        <f t="array" ref="P5459">IFERROR(IF($B5459=P$1, ($A5459+$C5459) - MAX(IF($B$2:$B5458=$B5459, $A$2:$A5458+$C$2:$C5458)), "")*24*60, "")</f>
        <v/>
      </c>
      <c r="Q5459" s="24" t="str" cm="1">
        <f t="array" ref="Q5459">IFERROR(IF($B5459=Q$1, ($A5459+$C5459) - MAX(IF($B$2:$B5458=$B5459, $A$2:$A5458+$C$2:$C5458)), "")*24*60, "")</f>
        <v/>
      </c>
    </row>
    <row r="5460" spans="1:17" x14ac:dyDescent="0.2">
      <c r="A5460" s="12">
        <f t="shared" ref="A5460:C5460" si="1355">A5459</f>
        <v>45983</v>
      </c>
      <c r="B5460" s="5" t="str">
        <f t="shared" si="1355"/>
        <v>Northern Cardinal</v>
      </c>
      <c r="C5460" s="6">
        <f t="shared" si="1355"/>
        <v>0.28194444444444444</v>
      </c>
      <c r="D5460" s="5"/>
      <c r="E5460" s="5"/>
      <c r="F5460" s="5" t="s">
        <v>8</v>
      </c>
      <c r="G5460" s="15" t="s">
        <v>9</v>
      </c>
      <c r="H5460" s="24">
        <f t="shared" si="1299"/>
        <v>0</v>
      </c>
      <c r="I5460" s="24" cm="1">
        <f t="array" ref="I5460">IFERROR(IF($B5460=I$1, ($A5460+$C5460) - MAX(IF($B$2:$B5459=$B5460, $A$2:$A5459+$C$2:$C5459)), "")*24*60, "")</f>
        <v>0</v>
      </c>
      <c r="J5460" s="24" t="str" cm="1">
        <f t="array" ref="J5460">IFERROR(IF($B5460=J$1, ($A5460+$C5460) - MAX(IF($B$2:$B5459=$B5460, $A$2:$A5459+$C$2:$C5459)), "")*24*60, "")</f>
        <v/>
      </c>
      <c r="K5460" s="24" t="str" cm="1">
        <f t="array" ref="K5460">IFERROR(IF($B5460=K$1, ($A5460+$C5460) - MAX(IF($B$2:$B5459=$B5460, $A$2:$A5459+$C$2:$C5459)), "")*24*60, "")</f>
        <v/>
      </c>
      <c r="L5460" s="24" t="str" cm="1">
        <f t="array" ref="L5460">IFERROR(IF($B5460=L$1, ($A5460+$C5460) - MAX(IF($B$2:$B5459=$B5460, $A$2:$A5459+$C$2:$C5459)), "")*24*60, "")</f>
        <v/>
      </c>
      <c r="M5460" s="24" t="str" cm="1">
        <f t="array" ref="M5460">IFERROR(IF($B5460=M$1, ($A5460+$C5460) - MAX(IF($B$2:$B5459=$B5460, $A$2:$A5459+$C$2:$C5459)), "")*24*60, "")</f>
        <v/>
      </c>
      <c r="N5460" s="24" t="str" cm="1">
        <f t="array" ref="N5460">IFERROR(IF($B5460=N$1, ($A5460+$C5460) - MAX(IF($B$2:$B5459=$B5460, $A$2:$A5459+$C$2:$C5459)), "")*24*60, "")</f>
        <v/>
      </c>
      <c r="O5460" s="24" t="str" cm="1">
        <f t="array" ref="O5460">IFERROR(IF($B5460=O$1, ($A5460+$C5460) - MAX(IF($B$2:$B5459=$B5460, $A$2:$A5459+$C$2:$C5459)), "")*24*60, "")</f>
        <v/>
      </c>
      <c r="P5460" s="24" t="str" cm="1">
        <f t="array" ref="P5460">IFERROR(IF($B5460=P$1, ($A5460+$C5460) - MAX(IF($B$2:$B5459=$B5460, $A$2:$A5459+$C$2:$C5459)), "")*24*60, "")</f>
        <v/>
      </c>
      <c r="Q5460" s="24" t="str" cm="1">
        <f t="array" ref="Q5460">IFERROR(IF($B5460=Q$1, ($A5460+$C5460) - MAX(IF($B$2:$B5459=$B5460, $A$2:$A5459+$C$2:$C5459)), "")*24*60, "")</f>
        <v/>
      </c>
    </row>
    <row r="5461" spans="1:17" x14ac:dyDescent="0.2">
      <c r="A5461" s="12">
        <f t="shared" ref="A5461:C5461" si="1356">A5460</f>
        <v>45983</v>
      </c>
      <c r="B5461" s="5" t="str">
        <f t="shared" si="1356"/>
        <v>Northern Cardinal</v>
      </c>
      <c r="C5461" s="6">
        <f t="shared" si="1356"/>
        <v>0.28194444444444444</v>
      </c>
      <c r="D5461" s="5"/>
      <c r="E5461" s="5"/>
      <c r="F5461" s="5" t="s">
        <v>8</v>
      </c>
      <c r="G5461" s="15" t="s">
        <v>9</v>
      </c>
      <c r="H5461" s="24">
        <f t="shared" si="1299"/>
        <v>0</v>
      </c>
      <c r="I5461" s="24" cm="1">
        <f t="array" ref="I5461">IFERROR(IF($B5461=I$1, ($A5461+$C5461) - MAX(IF($B$2:$B5460=$B5461, $A$2:$A5460+$C$2:$C5460)), "")*24*60, "")</f>
        <v>0</v>
      </c>
      <c r="J5461" s="24" t="str" cm="1">
        <f t="array" ref="J5461">IFERROR(IF($B5461=J$1, ($A5461+$C5461) - MAX(IF($B$2:$B5460=$B5461, $A$2:$A5460+$C$2:$C5460)), "")*24*60, "")</f>
        <v/>
      </c>
      <c r="K5461" s="24" t="str" cm="1">
        <f t="array" ref="K5461">IFERROR(IF($B5461=K$1, ($A5461+$C5461) - MAX(IF($B$2:$B5460=$B5461, $A$2:$A5460+$C$2:$C5460)), "")*24*60, "")</f>
        <v/>
      </c>
      <c r="L5461" s="24" t="str" cm="1">
        <f t="array" ref="L5461">IFERROR(IF($B5461=L$1, ($A5461+$C5461) - MAX(IF($B$2:$B5460=$B5461, $A$2:$A5460+$C$2:$C5460)), "")*24*60, "")</f>
        <v/>
      </c>
      <c r="M5461" s="24" t="str" cm="1">
        <f t="array" ref="M5461">IFERROR(IF($B5461=M$1, ($A5461+$C5461) - MAX(IF($B$2:$B5460=$B5461, $A$2:$A5460+$C$2:$C5460)), "")*24*60, "")</f>
        <v/>
      </c>
      <c r="N5461" s="24" t="str" cm="1">
        <f t="array" ref="N5461">IFERROR(IF($B5461=N$1, ($A5461+$C5461) - MAX(IF($B$2:$B5460=$B5461, $A$2:$A5460+$C$2:$C5460)), "")*24*60, "")</f>
        <v/>
      </c>
      <c r="O5461" s="24" t="str" cm="1">
        <f t="array" ref="O5461">IFERROR(IF($B5461=O$1, ($A5461+$C5461) - MAX(IF($B$2:$B5460=$B5461, $A$2:$A5460+$C$2:$C5460)), "")*24*60, "")</f>
        <v/>
      </c>
      <c r="P5461" s="24" t="str" cm="1">
        <f t="array" ref="P5461">IFERROR(IF($B5461=P$1, ($A5461+$C5461) - MAX(IF($B$2:$B5460=$B5461, $A$2:$A5460+$C$2:$C5460)), "")*24*60, "")</f>
        <v/>
      </c>
      <c r="Q5461" s="24" t="str" cm="1">
        <f t="array" ref="Q5461">IFERROR(IF($B5461=Q$1, ($A5461+$C5461) - MAX(IF($B$2:$B5460=$B5461, $A$2:$A5460+$C$2:$C5460)), "")*24*60, "")</f>
        <v/>
      </c>
    </row>
    <row r="5462" spans="1:17" x14ac:dyDescent="0.2">
      <c r="A5462" s="12">
        <f t="shared" ref="A5462:C5462" si="1357">A5461</f>
        <v>45983</v>
      </c>
      <c r="B5462" s="5" t="str">
        <f t="shared" si="1357"/>
        <v>Northern Cardinal</v>
      </c>
      <c r="C5462" s="6">
        <f t="shared" si="1357"/>
        <v>0.28194444444444444</v>
      </c>
      <c r="D5462" s="5"/>
      <c r="E5462" s="5"/>
      <c r="F5462" s="5" t="s">
        <v>8</v>
      </c>
      <c r="G5462" s="15" t="s">
        <v>9</v>
      </c>
      <c r="H5462" s="24">
        <f t="shared" si="1299"/>
        <v>0</v>
      </c>
      <c r="I5462" s="24" cm="1">
        <f t="array" ref="I5462">IFERROR(IF($B5462=I$1, ($A5462+$C5462) - MAX(IF($B$2:$B5461=$B5462, $A$2:$A5461+$C$2:$C5461)), "")*24*60, "")</f>
        <v>0</v>
      </c>
      <c r="J5462" s="24" t="str" cm="1">
        <f t="array" ref="J5462">IFERROR(IF($B5462=J$1, ($A5462+$C5462) - MAX(IF($B$2:$B5461=$B5462, $A$2:$A5461+$C$2:$C5461)), "")*24*60, "")</f>
        <v/>
      </c>
      <c r="K5462" s="24" t="str" cm="1">
        <f t="array" ref="K5462">IFERROR(IF($B5462=K$1, ($A5462+$C5462) - MAX(IF($B$2:$B5461=$B5462, $A$2:$A5461+$C$2:$C5461)), "")*24*60, "")</f>
        <v/>
      </c>
      <c r="L5462" s="24" t="str" cm="1">
        <f t="array" ref="L5462">IFERROR(IF($B5462=L$1, ($A5462+$C5462) - MAX(IF($B$2:$B5461=$B5462, $A$2:$A5461+$C$2:$C5461)), "")*24*60, "")</f>
        <v/>
      </c>
      <c r="M5462" s="24" t="str" cm="1">
        <f t="array" ref="M5462">IFERROR(IF($B5462=M$1, ($A5462+$C5462) - MAX(IF($B$2:$B5461=$B5462, $A$2:$A5461+$C$2:$C5461)), "")*24*60, "")</f>
        <v/>
      </c>
      <c r="N5462" s="24" t="str" cm="1">
        <f t="array" ref="N5462">IFERROR(IF($B5462=N$1, ($A5462+$C5462) - MAX(IF($B$2:$B5461=$B5462, $A$2:$A5461+$C$2:$C5461)), "")*24*60, "")</f>
        <v/>
      </c>
      <c r="O5462" s="24" t="str" cm="1">
        <f t="array" ref="O5462">IFERROR(IF($B5462=O$1, ($A5462+$C5462) - MAX(IF($B$2:$B5461=$B5462, $A$2:$A5461+$C$2:$C5461)), "")*24*60, "")</f>
        <v/>
      </c>
      <c r="P5462" s="24" t="str" cm="1">
        <f t="array" ref="P5462">IFERROR(IF($B5462=P$1, ($A5462+$C5462) - MAX(IF($B$2:$B5461=$B5462, $A$2:$A5461+$C$2:$C5461)), "")*24*60, "")</f>
        <v/>
      </c>
      <c r="Q5462" s="24" t="str" cm="1">
        <f t="array" ref="Q5462">IFERROR(IF($B5462=Q$1, ($A5462+$C5462) - MAX(IF($B$2:$B5461=$B5462, $A$2:$A5461+$C$2:$C5461)), "")*24*60, "")</f>
        <v/>
      </c>
    </row>
    <row r="5463" spans="1:17" x14ac:dyDescent="0.2">
      <c r="A5463" s="12">
        <f t="shared" ref="A5463:C5463" si="1358">A5462</f>
        <v>45983</v>
      </c>
      <c r="B5463" s="5" t="str">
        <f t="shared" si="1358"/>
        <v>Northern Cardinal</v>
      </c>
      <c r="C5463" s="6">
        <f t="shared" si="1358"/>
        <v>0.28194444444444444</v>
      </c>
      <c r="D5463" s="5"/>
      <c r="E5463" s="5"/>
      <c r="F5463" s="5" t="s">
        <v>8</v>
      </c>
      <c r="G5463" s="15" t="s">
        <v>9</v>
      </c>
      <c r="H5463" s="24">
        <f t="shared" si="1299"/>
        <v>0</v>
      </c>
      <c r="I5463" s="24" cm="1">
        <f t="array" ref="I5463">IFERROR(IF($B5463=I$1, ($A5463+$C5463) - MAX(IF($B$2:$B5462=$B5463, $A$2:$A5462+$C$2:$C5462)), "")*24*60, "")</f>
        <v>0</v>
      </c>
      <c r="J5463" s="24" t="str" cm="1">
        <f t="array" ref="J5463">IFERROR(IF($B5463=J$1, ($A5463+$C5463) - MAX(IF($B$2:$B5462=$B5463, $A$2:$A5462+$C$2:$C5462)), "")*24*60, "")</f>
        <v/>
      </c>
      <c r="K5463" s="24" t="str" cm="1">
        <f t="array" ref="K5463">IFERROR(IF($B5463=K$1, ($A5463+$C5463) - MAX(IF($B$2:$B5462=$B5463, $A$2:$A5462+$C$2:$C5462)), "")*24*60, "")</f>
        <v/>
      </c>
      <c r="L5463" s="24" t="str" cm="1">
        <f t="array" ref="L5463">IFERROR(IF($B5463=L$1, ($A5463+$C5463) - MAX(IF($B$2:$B5462=$B5463, $A$2:$A5462+$C$2:$C5462)), "")*24*60, "")</f>
        <v/>
      </c>
      <c r="M5463" s="24" t="str" cm="1">
        <f t="array" ref="M5463">IFERROR(IF($B5463=M$1, ($A5463+$C5463) - MAX(IF($B$2:$B5462=$B5463, $A$2:$A5462+$C$2:$C5462)), "")*24*60, "")</f>
        <v/>
      </c>
      <c r="N5463" s="24" t="str" cm="1">
        <f t="array" ref="N5463">IFERROR(IF($B5463=N$1, ($A5463+$C5463) - MAX(IF($B$2:$B5462=$B5463, $A$2:$A5462+$C$2:$C5462)), "")*24*60, "")</f>
        <v/>
      </c>
      <c r="O5463" s="24" t="str" cm="1">
        <f t="array" ref="O5463">IFERROR(IF($B5463=O$1, ($A5463+$C5463) - MAX(IF($B$2:$B5462=$B5463, $A$2:$A5462+$C$2:$C5462)), "")*24*60, "")</f>
        <v/>
      </c>
      <c r="P5463" s="24" t="str" cm="1">
        <f t="array" ref="P5463">IFERROR(IF($B5463=P$1, ($A5463+$C5463) - MAX(IF($B$2:$B5462=$B5463, $A$2:$A5462+$C$2:$C5462)), "")*24*60, "")</f>
        <v/>
      </c>
      <c r="Q5463" s="24" t="str" cm="1">
        <f t="array" ref="Q5463">IFERROR(IF($B5463=Q$1, ($A5463+$C5463) - MAX(IF($B$2:$B5462=$B5463, $A$2:$A5462+$C$2:$C5462)), "")*24*60, "")</f>
        <v/>
      </c>
    </row>
    <row r="5464" spans="1:17" x14ac:dyDescent="0.2">
      <c r="A5464" s="12">
        <f t="shared" ref="A5464:C5464" si="1359">A5463</f>
        <v>45983</v>
      </c>
      <c r="B5464" s="5" t="str">
        <f t="shared" si="1359"/>
        <v>Northern Cardinal</v>
      </c>
      <c r="C5464" s="6">
        <f t="shared" si="1359"/>
        <v>0.28194444444444444</v>
      </c>
      <c r="D5464" s="5"/>
      <c r="E5464" s="5"/>
      <c r="F5464" s="5" t="s">
        <v>8</v>
      </c>
      <c r="G5464" s="15" t="s">
        <v>9</v>
      </c>
      <c r="H5464" s="24">
        <f t="shared" si="1299"/>
        <v>0</v>
      </c>
      <c r="I5464" s="24" cm="1">
        <f t="array" ref="I5464">IFERROR(IF($B5464=I$1, ($A5464+$C5464) - MAX(IF($B$2:$B5463=$B5464, $A$2:$A5463+$C$2:$C5463)), "")*24*60, "")</f>
        <v>0</v>
      </c>
      <c r="J5464" s="24" t="str" cm="1">
        <f t="array" ref="J5464">IFERROR(IF($B5464=J$1, ($A5464+$C5464) - MAX(IF($B$2:$B5463=$B5464, $A$2:$A5463+$C$2:$C5463)), "")*24*60, "")</f>
        <v/>
      </c>
      <c r="K5464" s="24" t="str" cm="1">
        <f t="array" ref="K5464">IFERROR(IF($B5464=K$1, ($A5464+$C5464) - MAX(IF($B$2:$B5463=$B5464, $A$2:$A5463+$C$2:$C5463)), "")*24*60, "")</f>
        <v/>
      </c>
      <c r="L5464" s="24" t="str" cm="1">
        <f t="array" ref="L5464">IFERROR(IF($B5464=L$1, ($A5464+$C5464) - MAX(IF($B$2:$B5463=$B5464, $A$2:$A5463+$C$2:$C5463)), "")*24*60, "")</f>
        <v/>
      </c>
      <c r="M5464" s="24" t="str" cm="1">
        <f t="array" ref="M5464">IFERROR(IF($B5464=M$1, ($A5464+$C5464) - MAX(IF($B$2:$B5463=$B5464, $A$2:$A5463+$C$2:$C5463)), "")*24*60, "")</f>
        <v/>
      </c>
      <c r="N5464" s="24" t="str" cm="1">
        <f t="array" ref="N5464">IFERROR(IF($B5464=N$1, ($A5464+$C5464) - MAX(IF($B$2:$B5463=$B5464, $A$2:$A5463+$C$2:$C5463)), "")*24*60, "")</f>
        <v/>
      </c>
      <c r="O5464" s="24" t="str" cm="1">
        <f t="array" ref="O5464">IFERROR(IF($B5464=O$1, ($A5464+$C5464) - MAX(IF($B$2:$B5463=$B5464, $A$2:$A5463+$C$2:$C5463)), "")*24*60, "")</f>
        <v/>
      </c>
      <c r="P5464" s="24" t="str" cm="1">
        <f t="array" ref="P5464">IFERROR(IF($B5464=P$1, ($A5464+$C5464) - MAX(IF($B$2:$B5463=$B5464, $A$2:$A5463+$C$2:$C5463)), "")*24*60, "")</f>
        <v/>
      </c>
      <c r="Q5464" s="24" t="str" cm="1">
        <f t="array" ref="Q5464">IFERROR(IF($B5464=Q$1, ($A5464+$C5464) - MAX(IF($B$2:$B5463=$B5464, $A$2:$A5463+$C$2:$C5463)), "")*24*60, "")</f>
        <v/>
      </c>
    </row>
    <row r="5465" spans="1:17" x14ac:dyDescent="0.2">
      <c r="A5465" s="12">
        <f t="shared" ref="A5465:C5465" si="1360">A5464</f>
        <v>45983</v>
      </c>
      <c r="B5465" s="5" t="str">
        <f t="shared" si="1360"/>
        <v>Northern Cardinal</v>
      </c>
      <c r="C5465" s="6">
        <f t="shared" si="1360"/>
        <v>0.28194444444444444</v>
      </c>
      <c r="D5465" s="5"/>
      <c r="E5465" s="5"/>
      <c r="F5465" s="5" t="s">
        <v>8</v>
      </c>
      <c r="G5465" s="15" t="s">
        <v>9</v>
      </c>
      <c r="H5465" s="24">
        <f t="shared" si="1299"/>
        <v>0</v>
      </c>
      <c r="I5465" s="24" cm="1">
        <f t="array" ref="I5465">IFERROR(IF($B5465=I$1, ($A5465+$C5465) - MAX(IF($B$2:$B5464=$B5465, $A$2:$A5464+$C$2:$C5464)), "")*24*60, "")</f>
        <v>0</v>
      </c>
      <c r="J5465" s="24" t="str" cm="1">
        <f t="array" ref="J5465">IFERROR(IF($B5465=J$1, ($A5465+$C5465) - MAX(IF($B$2:$B5464=$B5465, $A$2:$A5464+$C$2:$C5464)), "")*24*60, "")</f>
        <v/>
      </c>
      <c r="K5465" s="24" t="str" cm="1">
        <f t="array" ref="K5465">IFERROR(IF($B5465=K$1, ($A5465+$C5465) - MAX(IF($B$2:$B5464=$B5465, $A$2:$A5464+$C$2:$C5464)), "")*24*60, "")</f>
        <v/>
      </c>
      <c r="L5465" s="24" t="str" cm="1">
        <f t="array" ref="L5465">IFERROR(IF($B5465=L$1, ($A5465+$C5465) - MAX(IF($B$2:$B5464=$B5465, $A$2:$A5464+$C$2:$C5464)), "")*24*60, "")</f>
        <v/>
      </c>
      <c r="M5465" s="24" t="str" cm="1">
        <f t="array" ref="M5465">IFERROR(IF($B5465=M$1, ($A5465+$C5465) - MAX(IF($B$2:$B5464=$B5465, $A$2:$A5464+$C$2:$C5464)), "")*24*60, "")</f>
        <v/>
      </c>
      <c r="N5465" s="24" t="str" cm="1">
        <f t="array" ref="N5465">IFERROR(IF($B5465=N$1, ($A5465+$C5465) - MAX(IF($B$2:$B5464=$B5465, $A$2:$A5464+$C$2:$C5464)), "")*24*60, "")</f>
        <v/>
      </c>
      <c r="O5465" s="24" t="str" cm="1">
        <f t="array" ref="O5465">IFERROR(IF($B5465=O$1, ($A5465+$C5465) - MAX(IF($B$2:$B5464=$B5465, $A$2:$A5464+$C$2:$C5464)), "")*24*60, "")</f>
        <v/>
      </c>
      <c r="P5465" s="24" t="str" cm="1">
        <f t="array" ref="P5465">IFERROR(IF($B5465=P$1, ($A5465+$C5465) - MAX(IF($B$2:$B5464=$B5465, $A$2:$A5464+$C$2:$C5464)), "")*24*60, "")</f>
        <v/>
      </c>
      <c r="Q5465" s="24" t="str" cm="1">
        <f t="array" ref="Q5465">IFERROR(IF($B5465=Q$1, ($A5465+$C5465) - MAX(IF($B$2:$B5464=$B5465, $A$2:$A5464+$C$2:$C5464)), "")*24*60, "")</f>
        <v/>
      </c>
    </row>
    <row r="5466" spans="1:17" x14ac:dyDescent="0.2">
      <c r="A5466" s="12">
        <f t="shared" ref="A5466:C5466" si="1361">A5465</f>
        <v>45983</v>
      </c>
      <c r="B5466" s="5" t="str">
        <f t="shared" si="1361"/>
        <v>Northern Cardinal</v>
      </c>
      <c r="C5466" s="6">
        <f t="shared" si="1361"/>
        <v>0.28194444444444444</v>
      </c>
      <c r="D5466" s="5"/>
      <c r="E5466" s="5"/>
      <c r="F5466" s="5" t="s">
        <v>8</v>
      </c>
      <c r="G5466" s="15" t="s">
        <v>9</v>
      </c>
      <c r="H5466" s="24">
        <f t="shared" si="1299"/>
        <v>0</v>
      </c>
      <c r="I5466" s="24" cm="1">
        <f t="array" ref="I5466">IFERROR(IF($B5466=I$1, ($A5466+$C5466) - MAX(IF($B$2:$B5465=$B5466, $A$2:$A5465+$C$2:$C5465)), "")*24*60, "")</f>
        <v>0</v>
      </c>
      <c r="J5466" s="24" t="str" cm="1">
        <f t="array" ref="J5466">IFERROR(IF($B5466=J$1, ($A5466+$C5466) - MAX(IF($B$2:$B5465=$B5466, $A$2:$A5465+$C$2:$C5465)), "")*24*60, "")</f>
        <v/>
      </c>
      <c r="K5466" s="24" t="str" cm="1">
        <f t="array" ref="K5466">IFERROR(IF($B5466=K$1, ($A5466+$C5466) - MAX(IF($B$2:$B5465=$B5466, $A$2:$A5465+$C$2:$C5465)), "")*24*60, "")</f>
        <v/>
      </c>
      <c r="L5466" s="24" t="str" cm="1">
        <f t="array" ref="L5466">IFERROR(IF($B5466=L$1, ($A5466+$C5466) - MAX(IF($B$2:$B5465=$B5466, $A$2:$A5465+$C$2:$C5465)), "")*24*60, "")</f>
        <v/>
      </c>
      <c r="M5466" s="24" t="str" cm="1">
        <f t="array" ref="M5466">IFERROR(IF($B5466=M$1, ($A5466+$C5466) - MAX(IF($B$2:$B5465=$B5466, $A$2:$A5465+$C$2:$C5465)), "")*24*60, "")</f>
        <v/>
      </c>
      <c r="N5466" s="24" t="str" cm="1">
        <f t="array" ref="N5466">IFERROR(IF($B5466=N$1, ($A5466+$C5466) - MAX(IF($B$2:$B5465=$B5466, $A$2:$A5465+$C$2:$C5465)), "")*24*60, "")</f>
        <v/>
      </c>
      <c r="O5466" s="24" t="str" cm="1">
        <f t="array" ref="O5466">IFERROR(IF($B5466=O$1, ($A5466+$C5466) - MAX(IF($B$2:$B5465=$B5466, $A$2:$A5465+$C$2:$C5465)), "")*24*60, "")</f>
        <v/>
      </c>
      <c r="P5466" s="24" t="str" cm="1">
        <f t="array" ref="P5466">IFERROR(IF($B5466=P$1, ($A5466+$C5466) - MAX(IF($B$2:$B5465=$B5466, $A$2:$A5465+$C$2:$C5465)), "")*24*60, "")</f>
        <v/>
      </c>
      <c r="Q5466" s="24" t="str" cm="1">
        <f t="array" ref="Q5466">IFERROR(IF($B5466=Q$1, ($A5466+$C5466) - MAX(IF($B$2:$B5465=$B5466, $A$2:$A5465+$C$2:$C5465)), "")*24*60, "")</f>
        <v/>
      </c>
    </row>
    <row r="5467" spans="1:17" x14ac:dyDescent="0.2">
      <c r="A5467" s="12">
        <f t="shared" ref="A5467:C5467" si="1362">A5466</f>
        <v>45983</v>
      </c>
      <c r="B5467" s="5" t="str">
        <f t="shared" si="1362"/>
        <v>Northern Cardinal</v>
      </c>
      <c r="C5467" s="6">
        <f t="shared" si="1362"/>
        <v>0.28194444444444444</v>
      </c>
      <c r="D5467" s="5"/>
      <c r="E5467" s="5"/>
      <c r="F5467" s="5" t="s">
        <v>8</v>
      </c>
      <c r="G5467" s="15" t="s">
        <v>9</v>
      </c>
      <c r="H5467" s="24">
        <f t="shared" si="1299"/>
        <v>0</v>
      </c>
      <c r="I5467" s="24" cm="1">
        <f t="array" ref="I5467">IFERROR(IF($B5467=I$1, ($A5467+$C5467) - MAX(IF($B$2:$B5466=$B5467, $A$2:$A5466+$C$2:$C5466)), "")*24*60, "")</f>
        <v>0</v>
      </c>
      <c r="J5467" s="24" t="str" cm="1">
        <f t="array" ref="J5467">IFERROR(IF($B5467=J$1, ($A5467+$C5467) - MAX(IF($B$2:$B5466=$B5467, $A$2:$A5466+$C$2:$C5466)), "")*24*60, "")</f>
        <v/>
      </c>
      <c r="K5467" s="24" t="str" cm="1">
        <f t="array" ref="K5467">IFERROR(IF($B5467=K$1, ($A5467+$C5467) - MAX(IF($B$2:$B5466=$B5467, $A$2:$A5466+$C$2:$C5466)), "")*24*60, "")</f>
        <v/>
      </c>
      <c r="L5467" s="24" t="str" cm="1">
        <f t="array" ref="L5467">IFERROR(IF($B5467=L$1, ($A5467+$C5467) - MAX(IF($B$2:$B5466=$B5467, $A$2:$A5466+$C$2:$C5466)), "")*24*60, "")</f>
        <v/>
      </c>
      <c r="M5467" s="24" t="str" cm="1">
        <f t="array" ref="M5467">IFERROR(IF($B5467=M$1, ($A5467+$C5467) - MAX(IF($B$2:$B5466=$B5467, $A$2:$A5466+$C$2:$C5466)), "")*24*60, "")</f>
        <v/>
      </c>
      <c r="N5467" s="24" t="str" cm="1">
        <f t="array" ref="N5467">IFERROR(IF($B5467=N$1, ($A5467+$C5467) - MAX(IF($B$2:$B5466=$B5467, $A$2:$A5466+$C$2:$C5466)), "")*24*60, "")</f>
        <v/>
      </c>
      <c r="O5467" s="24" t="str" cm="1">
        <f t="array" ref="O5467">IFERROR(IF($B5467=O$1, ($A5467+$C5467) - MAX(IF($B$2:$B5466=$B5467, $A$2:$A5466+$C$2:$C5466)), "")*24*60, "")</f>
        <v/>
      </c>
      <c r="P5467" s="24" t="str" cm="1">
        <f t="array" ref="P5467">IFERROR(IF($B5467=P$1, ($A5467+$C5467) - MAX(IF($B$2:$B5466=$B5467, $A$2:$A5466+$C$2:$C5466)), "")*24*60, "")</f>
        <v/>
      </c>
      <c r="Q5467" s="24" t="str" cm="1">
        <f t="array" ref="Q5467">IFERROR(IF($B5467=Q$1, ($A5467+$C5467) - MAX(IF($B$2:$B5466=$B5467, $A$2:$A5466+$C$2:$C5466)), "")*24*60, "")</f>
        <v/>
      </c>
    </row>
    <row r="5468" spans="1:17" x14ac:dyDescent="0.2">
      <c r="A5468" s="12">
        <f t="shared" ref="A5468:C5468" si="1363">A5467</f>
        <v>45983</v>
      </c>
      <c r="B5468" s="5" t="str">
        <f t="shared" si="1363"/>
        <v>Northern Cardinal</v>
      </c>
      <c r="C5468" s="6">
        <f t="shared" si="1363"/>
        <v>0.28194444444444444</v>
      </c>
      <c r="D5468" s="5"/>
      <c r="E5468" s="5"/>
      <c r="F5468" s="5" t="s">
        <v>8</v>
      </c>
      <c r="G5468" s="15" t="s">
        <v>9</v>
      </c>
      <c r="H5468" s="24">
        <f t="shared" ref="H5468:H5531" si="1364">IFERROR((($A5468+$C5468) - ($A5467+$C5467))*24*60, "")</f>
        <v>0</v>
      </c>
      <c r="I5468" s="24" cm="1">
        <f t="array" ref="I5468">IFERROR(IF($B5468=I$1, ($A5468+$C5468) - MAX(IF($B$2:$B5467=$B5468, $A$2:$A5467+$C$2:$C5467)), "")*24*60, "")</f>
        <v>0</v>
      </c>
      <c r="J5468" s="24" t="str" cm="1">
        <f t="array" ref="J5468">IFERROR(IF($B5468=J$1, ($A5468+$C5468) - MAX(IF($B$2:$B5467=$B5468, $A$2:$A5467+$C$2:$C5467)), "")*24*60, "")</f>
        <v/>
      </c>
      <c r="K5468" s="24" t="str" cm="1">
        <f t="array" ref="K5468">IFERROR(IF($B5468=K$1, ($A5468+$C5468) - MAX(IF($B$2:$B5467=$B5468, $A$2:$A5467+$C$2:$C5467)), "")*24*60, "")</f>
        <v/>
      </c>
      <c r="L5468" s="24" t="str" cm="1">
        <f t="array" ref="L5468">IFERROR(IF($B5468=L$1, ($A5468+$C5468) - MAX(IF($B$2:$B5467=$B5468, $A$2:$A5467+$C$2:$C5467)), "")*24*60, "")</f>
        <v/>
      </c>
      <c r="M5468" s="24" t="str" cm="1">
        <f t="array" ref="M5468">IFERROR(IF($B5468=M$1, ($A5468+$C5468) - MAX(IF($B$2:$B5467=$B5468, $A$2:$A5467+$C$2:$C5467)), "")*24*60, "")</f>
        <v/>
      </c>
      <c r="N5468" s="24" t="str" cm="1">
        <f t="array" ref="N5468">IFERROR(IF($B5468=N$1, ($A5468+$C5468) - MAX(IF($B$2:$B5467=$B5468, $A$2:$A5467+$C$2:$C5467)), "")*24*60, "")</f>
        <v/>
      </c>
      <c r="O5468" s="24" t="str" cm="1">
        <f t="array" ref="O5468">IFERROR(IF($B5468=O$1, ($A5468+$C5468) - MAX(IF($B$2:$B5467=$B5468, $A$2:$A5467+$C$2:$C5467)), "")*24*60, "")</f>
        <v/>
      </c>
      <c r="P5468" s="24" t="str" cm="1">
        <f t="array" ref="P5468">IFERROR(IF($B5468=P$1, ($A5468+$C5468) - MAX(IF($B$2:$B5467=$B5468, $A$2:$A5467+$C$2:$C5467)), "")*24*60, "")</f>
        <v/>
      </c>
      <c r="Q5468" s="24" t="str" cm="1">
        <f t="array" ref="Q5468">IFERROR(IF($B5468=Q$1, ($A5468+$C5468) - MAX(IF($B$2:$B5467=$B5468, $A$2:$A5467+$C$2:$C5467)), "")*24*60, "")</f>
        <v/>
      </c>
    </row>
    <row r="5469" spans="1:17" x14ac:dyDescent="0.2">
      <c r="A5469" s="12">
        <f t="shared" ref="A5469:C5469" si="1365">A5468</f>
        <v>45983</v>
      </c>
      <c r="B5469" s="5" t="str">
        <f t="shared" si="1365"/>
        <v>Northern Cardinal</v>
      </c>
      <c r="C5469" s="6">
        <f t="shared" si="1365"/>
        <v>0.28194444444444444</v>
      </c>
      <c r="D5469" s="5"/>
      <c r="E5469" s="5"/>
      <c r="F5469" s="5" t="s">
        <v>8</v>
      </c>
      <c r="G5469" s="15" t="s">
        <v>9</v>
      </c>
      <c r="H5469" s="24">
        <f t="shared" si="1364"/>
        <v>0</v>
      </c>
      <c r="I5469" s="24" cm="1">
        <f t="array" ref="I5469">IFERROR(IF($B5469=I$1, ($A5469+$C5469) - MAX(IF($B$2:$B5468=$B5469, $A$2:$A5468+$C$2:$C5468)), "")*24*60, "")</f>
        <v>0</v>
      </c>
      <c r="J5469" s="24" t="str" cm="1">
        <f t="array" ref="J5469">IFERROR(IF($B5469=J$1, ($A5469+$C5469) - MAX(IF($B$2:$B5468=$B5469, $A$2:$A5468+$C$2:$C5468)), "")*24*60, "")</f>
        <v/>
      </c>
      <c r="K5469" s="24" t="str" cm="1">
        <f t="array" ref="K5469">IFERROR(IF($B5469=K$1, ($A5469+$C5469) - MAX(IF($B$2:$B5468=$B5469, $A$2:$A5468+$C$2:$C5468)), "")*24*60, "")</f>
        <v/>
      </c>
      <c r="L5469" s="24" t="str" cm="1">
        <f t="array" ref="L5469">IFERROR(IF($B5469=L$1, ($A5469+$C5469) - MAX(IF($B$2:$B5468=$B5469, $A$2:$A5468+$C$2:$C5468)), "")*24*60, "")</f>
        <v/>
      </c>
      <c r="M5469" s="24" t="str" cm="1">
        <f t="array" ref="M5469">IFERROR(IF($B5469=M$1, ($A5469+$C5469) - MAX(IF($B$2:$B5468=$B5469, $A$2:$A5468+$C$2:$C5468)), "")*24*60, "")</f>
        <v/>
      </c>
      <c r="N5469" s="24" t="str" cm="1">
        <f t="array" ref="N5469">IFERROR(IF($B5469=N$1, ($A5469+$C5469) - MAX(IF($B$2:$B5468=$B5469, $A$2:$A5468+$C$2:$C5468)), "")*24*60, "")</f>
        <v/>
      </c>
      <c r="O5469" s="24" t="str" cm="1">
        <f t="array" ref="O5469">IFERROR(IF($B5469=O$1, ($A5469+$C5469) - MAX(IF($B$2:$B5468=$B5469, $A$2:$A5468+$C$2:$C5468)), "")*24*60, "")</f>
        <v/>
      </c>
      <c r="P5469" s="24" t="str" cm="1">
        <f t="array" ref="P5469">IFERROR(IF($B5469=P$1, ($A5469+$C5469) - MAX(IF($B$2:$B5468=$B5469, $A$2:$A5468+$C$2:$C5468)), "")*24*60, "")</f>
        <v/>
      </c>
      <c r="Q5469" s="24" t="str" cm="1">
        <f t="array" ref="Q5469">IFERROR(IF($B5469=Q$1, ($A5469+$C5469) - MAX(IF($B$2:$B5468=$B5469, $A$2:$A5468+$C$2:$C5468)), "")*24*60, "")</f>
        <v/>
      </c>
    </row>
    <row r="5470" spans="1:17" x14ac:dyDescent="0.2">
      <c r="A5470" s="12">
        <f t="shared" ref="A5470:C5470" si="1366">A5469</f>
        <v>45983</v>
      </c>
      <c r="B5470" s="5" t="str">
        <f t="shared" si="1366"/>
        <v>Northern Cardinal</v>
      </c>
      <c r="C5470" s="6">
        <f t="shared" si="1366"/>
        <v>0.28194444444444444</v>
      </c>
      <c r="D5470" s="5"/>
      <c r="E5470" s="5"/>
      <c r="F5470" s="5" t="s">
        <v>8</v>
      </c>
      <c r="G5470" s="15" t="s">
        <v>9</v>
      </c>
      <c r="H5470" s="24">
        <f t="shared" si="1364"/>
        <v>0</v>
      </c>
      <c r="I5470" s="24" cm="1">
        <f t="array" ref="I5470">IFERROR(IF($B5470=I$1, ($A5470+$C5470) - MAX(IF($B$2:$B5469=$B5470, $A$2:$A5469+$C$2:$C5469)), "")*24*60, "")</f>
        <v>0</v>
      </c>
      <c r="J5470" s="24" t="str" cm="1">
        <f t="array" ref="J5470">IFERROR(IF($B5470=J$1, ($A5470+$C5470) - MAX(IF($B$2:$B5469=$B5470, $A$2:$A5469+$C$2:$C5469)), "")*24*60, "")</f>
        <v/>
      </c>
      <c r="K5470" s="24" t="str" cm="1">
        <f t="array" ref="K5470">IFERROR(IF($B5470=K$1, ($A5470+$C5470) - MAX(IF($B$2:$B5469=$B5470, $A$2:$A5469+$C$2:$C5469)), "")*24*60, "")</f>
        <v/>
      </c>
      <c r="L5470" s="24" t="str" cm="1">
        <f t="array" ref="L5470">IFERROR(IF($B5470=L$1, ($A5470+$C5470) - MAX(IF($B$2:$B5469=$B5470, $A$2:$A5469+$C$2:$C5469)), "")*24*60, "")</f>
        <v/>
      </c>
      <c r="M5470" s="24" t="str" cm="1">
        <f t="array" ref="M5470">IFERROR(IF($B5470=M$1, ($A5470+$C5470) - MAX(IF($B$2:$B5469=$B5470, $A$2:$A5469+$C$2:$C5469)), "")*24*60, "")</f>
        <v/>
      </c>
      <c r="N5470" s="24" t="str" cm="1">
        <f t="array" ref="N5470">IFERROR(IF($B5470=N$1, ($A5470+$C5470) - MAX(IF($B$2:$B5469=$B5470, $A$2:$A5469+$C$2:$C5469)), "")*24*60, "")</f>
        <v/>
      </c>
      <c r="O5470" s="24" t="str" cm="1">
        <f t="array" ref="O5470">IFERROR(IF($B5470=O$1, ($A5470+$C5470) - MAX(IF($B$2:$B5469=$B5470, $A$2:$A5469+$C$2:$C5469)), "")*24*60, "")</f>
        <v/>
      </c>
      <c r="P5470" s="24" t="str" cm="1">
        <f t="array" ref="P5470">IFERROR(IF($B5470=P$1, ($A5470+$C5470) - MAX(IF($B$2:$B5469=$B5470, $A$2:$A5469+$C$2:$C5469)), "")*24*60, "")</f>
        <v/>
      </c>
      <c r="Q5470" s="24" t="str" cm="1">
        <f t="array" ref="Q5470">IFERROR(IF($B5470=Q$1, ($A5470+$C5470) - MAX(IF($B$2:$B5469=$B5470, $A$2:$A5469+$C$2:$C5469)), "")*24*60, "")</f>
        <v/>
      </c>
    </row>
    <row r="5471" spans="1:17" x14ac:dyDescent="0.2">
      <c r="A5471" s="12">
        <f t="shared" ref="A5471:C5471" si="1367">A5470</f>
        <v>45983</v>
      </c>
      <c r="B5471" s="5" t="str">
        <f t="shared" si="1367"/>
        <v>Northern Cardinal</v>
      </c>
      <c r="C5471" s="6">
        <f t="shared" si="1367"/>
        <v>0.28194444444444444</v>
      </c>
      <c r="D5471" s="5"/>
      <c r="E5471" s="5"/>
      <c r="F5471" s="5" t="s">
        <v>8</v>
      </c>
      <c r="G5471" s="15" t="s">
        <v>9</v>
      </c>
      <c r="H5471" s="24">
        <f t="shared" si="1364"/>
        <v>0</v>
      </c>
      <c r="I5471" s="24" cm="1">
        <f t="array" ref="I5471">IFERROR(IF($B5471=I$1, ($A5471+$C5471) - MAX(IF($B$2:$B5470=$B5471, $A$2:$A5470+$C$2:$C5470)), "")*24*60, "")</f>
        <v>0</v>
      </c>
      <c r="J5471" s="24" t="str" cm="1">
        <f t="array" ref="J5471">IFERROR(IF($B5471=J$1, ($A5471+$C5471) - MAX(IF($B$2:$B5470=$B5471, $A$2:$A5470+$C$2:$C5470)), "")*24*60, "")</f>
        <v/>
      </c>
      <c r="K5471" s="24" t="str" cm="1">
        <f t="array" ref="K5471">IFERROR(IF($B5471=K$1, ($A5471+$C5471) - MAX(IF($B$2:$B5470=$B5471, $A$2:$A5470+$C$2:$C5470)), "")*24*60, "")</f>
        <v/>
      </c>
      <c r="L5471" s="24" t="str" cm="1">
        <f t="array" ref="L5471">IFERROR(IF($B5471=L$1, ($A5471+$C5471) - MAX(IF($B$2:$B5470=$B5471, $A$2:$A5470+$C$2:$C5470)), "")*24*60, "")</f>
        <v/>
      </c>
      <c r="M5471" s="24" t="str" cm="1">
        <f t="array" ref="M5471">IFERROR(IF($B5471=M$1, ($A5471+$C5471) - MAX(IF($B$2:$B5470=$B5471, $A$2:$A5470+$C$2:$C5470)), "")*24*60, "")</f>
        <v/>
      </c>
      <c r="N5471" s="24" t="str" cm="1">
        <f t="array" ref="N5471">IFERROR(IF($B5471=N$1, ($A5471+$C5471) - MAX(IF($B$2:$B5470=$B5471, $A$2:$A5470+$C$2:$C5470)), "")*24*60, "")</f>
        <v/>
      </c>
      <c r="O5471" s="24" t="str" cm="1">
        <f t="array" ref="O5471">IFERROR(IF($B5471=O$1, ($A5471+$C5471) - MAX(IF($B$2:$B5470=$B5471, $A$2:$A5470+$C$2:$C5470)), "")*24*60, "")</f>
        <v/>
      </c>
      <c r="P5471" s="24" t="str" cm="1">
        <f t="array" ref="P5471">IFERROR(IF($B5471=P$1, ($A5471+$C5471) - MAX(IF($B$2:$B5470=$B5471, $A$2:$A5470+$C$2:$C5470)), "")*24*60, "")</f>
        <v/>
      </c>
      <c r="Q5471" s="24" t="str" cm="1">
        <f t="array" ref="Q5471">IFERROR(IF($B5471=Q$1, ($A5471+$C5471) - MAX(IF($B$2:$B5470=$B5471, $A$2:$A5470+$C$2:$C5470)), "")*24*60, "")</f>
        <v/>
      </c>
    </row>
    <row r="5472" spans="1:17" x14ac:dyDescent="0.2">
      <c r="A5472" s="12">
        <f t="shared" ref="A5472:C5472" si="1368">A5471</f>
        <v>45983</v>
      </c>
      <c r="B5472" s="5" t="str">
        <f t="shared" si="1368"/>
        <v>Northern Cardinal</v>
      </c>
      <c r="C5472" s="6">
        <f t="shared" si="1368"/>
        <v>0.28194444444444444</v>
      </c>
      <c r="D5472" s="5"/>
      <c r="E5472" s="5"/>
      <c r="F5472" s="5" t="s">
        <v>8</v>
      </c>
      <c r="G5472" s="15" t="s">
        <v>9</v>
      </c>
      <c r="H5472" s="24">
        <f t="shared" si="1364"/>
        <v>0</v>
      </c>
      <c r="I5472" s="24" cm="1">
        <f t="array" ref="I5472">IFERROR(IF($B5472=I$1, ($A5472+$C5472) - MAX(IF($B$2:$B5471=$B5472, $A$2:$A5471+$C$2:$C5471)), "")*24*60, "")</f>
        <v>0</v>
      </c>
      <c r="J5472" s="24" t="str" cm="1">
        <f t="array" ref="J5472">IFERROR(IF($B5472=J$1, ($A5472+$C5472) - MAX(IF($B$2:$B5471=$B5472, $A$2:$A5471+$C$2:$C5471)), "")*24*60, "")</f>
        <v/>
      </c>
      <c r="K5472" s="24" t="str" cm="1">
        <f t="array" ref="K5472">IFERROR(IF($B5472=K$1, ($A5472+$C5472) - MAX(IF($B$2:$B5471=$B5472, $A$2:$A5471+$C$2:$C5471)), "")*24*60, "")</f>
        <v/>
      </c>
      <c r="L5472" s="24" t="str" cm="1">
        <f t="array" ref="L5472">IFERROR(IF($B5472=L$1, ($A5472+$C5472) - MAX(IF($B$2:$B5471=$B5472, $A$2:$A5471+$C$2:$C5471)), "")*24*60, "")</f>
        <v/>
      </c>
      <c r="M5472" s="24" t="str" cm="1">
        <f t="array" ref="M5472">IFERROR(IF($B5472=M$1, ($A5472+$C5472) - MAX(IF($B$2:$B5471=$B5472, $A$2:$A5471+$C$2:$C5471)), "")*24*60, "")</f>
        <v/>
      </c>
      <c r="N5472" s="24" t="str" cm="1">
        <f t="array" ref="N5472">IFERROR(IF($B5472=N$1, ($A5472+$C5472) - MAX(IF($B$2:$B5471=$B5472, $A$2:$A5471+$C$2:$C5471)), "")*24*60, "")</f>
        <v/>
      </c>
      <c r="O5472" s="24" t="str" cm="1">
        <f t="array" ref="O5472">IFERROR(IF($B5472=O$1, ($A5472+$C5472) - MAX(IF($B$2:$B5471=$B5472, $A$2:$A5471+$C$2:$C5471)), "")*24*60, "")</f>
        <v/>
      </c>
      <c r="P5472" s="24" t="str" cm="1">
        <f t="array" ref="P5472">IFERROR(IF($B5472=P$1, ($A5472+$C5472) - MAX(IF($B$2:$B5471=$B5472, $A$2:$A5471+$C$2:$C5471)), "")*24*60, "")</f>
        <v/>
      </c>
      <c r="Q5472" s="24" t="str" cm="1">
        <f t="array" ref="Q5472">IFERROR(IF($B5472=Q$1, ($A5472+$C5472) - MAX(IF($B$2:$B5471=$B5472, $A$2:$A5471+$C$2:$C5471)), "")*24*60, "")</f>
        <v/>
      </c>
    </row>
    <row r="5473" spans="1:17" x14ac:dyDescent="0.2">
      <c r="A5473" s="12">
        <f t="shared" ref="A5473:C5473" si="1369">A5472</f>
        <v>45983</v>
      </c>
      <c r="B5473" s="5" t="str">
        <f t="shared" si="1369"/>
        <v>Northern Cardinal</v>
      </c>
      <c r="C5473" s="6">
        <f t="shared" si="1369"/>
        <v>0.28194444444444444</v>
      </c>
      <c r="D5473" s="5"/>
      <c r="E5473" s="5"/>
      <c r="F5473" s="5" t="s">
        <v>8</v>
      </c>
      <c r="G5473" s="15" t="s">
        <v>9</v>
      </c>
      <c r="H5473" s="24">
        <f t="shared" si="1364"/>
        <v>0</v>
      </c>
      <c r="I5473" s="24" cm="1">
        <f t="array" ref="I5473">IFERROR(IF($B5473=I$1, ($A5473+$C5473) - MAX(IF($B$2:$B5472=$B5473, $A$2:$A5472+$C$2:$C5472)), "")*24*60, "")</f>
        <v>0</v>
      </c>
      <c r="J5473" s="24" t="str" cm="1">
        <f t="array" ref="J5473">IFERROR(IF($B5473=J$1, ($A5473+$C5473) - MAX(IF($B$2:$B5472=$B5473, $A$2:$A5472+$C$2:$C5472)), "")*24*60, "")</f>
        <v/>
      </c>
      <c r="K5473" s="24" t="str" cm="1">
        <f t="array" ref="K5473">IFERROR(IF($B5473=K$1, ($A5473+$C5473) - MAX(IF($B$2:$B5472=$B5473, $A$2:$A5472+$C$2:$C5472)), "")*24*60, "")</f>
        <v/>
      </c>
      <c r="L5473" s="24" t="str" cm="1">
        <f t="array" ref="L5473">IFERROR(IF($B5473=L$1, ($A5473+$C5473) - MAX(IF($B$2:$B5472=$B5473, $A$2:$A5472+$C$2:$C5472)), "")*24*60, "")</f>
        <v/>
      </c>
      <c r="M5473" s="24" t="str" cm="1">
        <f t="array" ref="M5473">IFERROR(IF($B5473=M$1, ($A5473+$C5473) - MAX(IF($B$2:$B5472=$B5473, $A$2:$A5472+$C$2:$C5472)), "")*24*60, "")</f>
        <v/>
      </c>
      <c r="N5473" s="24" t="str" cm="1">
        <f t="array" ref="N5473">IFERROR(IF($B5473=N$1, ($A5473+$C5473) - MAX(IF($B$2:$B5472=$B5473, $A$2:$A5472+$C$2:$C5472)), "")*24*60, "")</f>
        <v/>
      </c>
      <c r="O5473" s="24" t="str" cm="1">
        <f t="array" ref="O5473">IFERROR(IF($B5473=O$1, ($A5473+$C5473) - MAX(IF($B$2:$B5472=$B5473, $A$2:$A5472+$C$2:$C5472)), "")*24*60, "")</f>
        <v/>
      </c>
      <c r="P5473" s="24" t="str" cm="1">
        <f t="array" ref="P5473">IFERROR(IF($B5473=P$1, ($A5473+$C5473) - MAX(IF($B$2:$B5472=$B5473, $A$2:$A5472+$C$2:$C5472)), "")*24*60, "")</f>
        <v/>
      </c>
      <c r="Q5473" s="24" t="str" cm="1">
        <f t="array" ref="Q5473">IFERROR(IF($B5473=Q$1, ($A5473+$C5473) - MAX(IF($B$2:$B5472=$B5473, $A$2:$A5472+$C$2:$C5472)), "")*24*60, "")</f>
        <v/>
      </c>
    </row>
    <row r="5474" spans="1:17" x14ac:dyDescent="0.2">
      <c r="A5474" s="12">
        <f t="shared" ref="A5474:C5474" si="1370">A5473</f>
        <v>45983</v>
      </c>
      <c r="B5474" s="5" t="str">
        <f t="shared" si="1370"/>
        <v>Northern Cardinal</v>
      </c>
      <c r="C5474" s="6">
        <f t="shared" si="1370"/>
        <v>0.28194444444444444</v>
      </c>
      <c r="D5474" s="5"/>
      <c r="E5474" s="5"/>
      <c r="F5474" s="5" t="s">
        <v>8</v>
      </c>
      <c r="G5474" s="15" t="s">
        <v>9</v>
      </c>
      <c r="H5474" s="24">
        <f t="shared" si="1364"/>
        <v>0</v>
      </c>
      <c r="I5474" s="24" cm="1">
        <f t="array" ref="I5474">IFERROR(IF($B5474=I$1, ($A5474+$C5474) - MAX(IF($B$2:$B5473=$B5474, $A$2:$A5473+$C$2:$C5473)), "")*24*60, "")</f>
        <v>0</v>
      </c>
      <c r="J5474" s="24" t="str" cm="1">
        <f t="array" ref="J5474">IFERROR(IF($B5474=J$1, ($A5474+$C5474) - MAX(IF($B$2:$B5473=$B5474, $A$2:$A5473+$C$2:$C5473)), "")*24*60, "")</f>
        <v/>
      </c>
      <c r="K5474" s="24" t="str" cm="1">
        <f t="array" ref="K5474">IFERROR(IF($B5474=K$1, ($A5474+$C5474) - MAX(IF($B$2:$B5473=$B5474, $A$2:$A5473+$C$2:$C5473)), "")*24*60, "")</f>
        <v/>
      </c>
      <c r="L5474" s="24" t="str" cm="1">
        <f t="array" ref="L5474">IFERROR(IF($B5474=L$1, ($A5474+$C5474) - MAX(IF($B$2:$B5473=$B5474, $A$2:$A5473+$C$2:$C5473)), "")*24*60, "")</f>
        <v/>
      </c>
      <c r="M5474" s="24" t="str" cm="1">
        <f t="array" ref="M5474">IFERROR(IF($B5474=M$1, ($A5474+$C5474) - MAX(IF($B$2:$B5473=$B5474, $A$2:$A5473+$C$2:$C5473)), "")*24*60, "")</f>
        <v/>
      </c>
      <c r="N5474" s="24" t="str" cm="1">
        <f t="array" ref="N5474">IFERROR(IF($B5474=N$1, ($A5474+$C5474) - MAX(IF($B$2:$B5473=$B5474, $A$2:$A5473+$C$2:$C5473)), "")*24*60, "")</f>
        <v/>
      </c>
      <c r="O5474" s="24" t="str" cm="1">
        <f t="array" ref="O5474">IFERROR(IF($B5474=O$1, ($A5474+$C5474) - MAX(IF($B$2:$B5473=$B5474, $A$2:$A5473+$C$2:$C5473)), "")*24*60, "")</f>
        <v/>
      </c>
      <c r="P5474" s="24" t="str" cm="1">
        <f t="array" ref="P5474">IFERROR(IF($B5474=P$1, ($A5474+$C5474) - MAX(IF($B$2:$B5473=$B5474, $A$2:$A5473+$C$2:$C5473)), "")*24*60, "")</f>
        <v/>
      </c>
      <c r="Q5474" s="24" t="str" cm="1">
        <f t="array" ref="Q5474">IFERROR(IF($B5474=Q$1, ($A5474+$C5474) - MAX(IF($B$2:$B5473=$B5474, $A$2:$A5473+$C$2:$C5473)), "")*24*60, "")</f>
        <v/>
      </c>
    </row>
    <row r="5475" spans="1:17" x14ac:dyDescent="0.2">
      <c r="A5475" s="12">
        <f t="shared" ref="A5475:C5475" si="1371">A5474</f>
        <v>45983</v>
      </c>
      <c r="B5475" s="5" t="str">
        <f t="shared" si="1371"/>
        <v>Northern Cardinal</v>
      </c>
      <c r="C5475" s="6">
        <f t="shared" si="1371"/>
        <v>0.28194444444444444</v>
      </c>
      <c r="D5475" s="5"/>
      <c r="E5475" s="5"/>
      <c r="F5475" s="5" t="s">
        <v>8</v>
      </c>
      <c r="G5475" s="15" t="s">
        <v>9</v>
      </c>
      <c r="H5475" s="24">
        <f t="shared" si="1364"/>
        <v>0</v>
      </c>
      <c r="I5475" s="24" cm="1">
        <f t="array" ref="I5475">IFERROR(IF($B5475=I$1, ($A5475+$C5475) - MAX(IF($B$2:$B5474=$B5475, $A$2:$A5474+$C$2:$C5474)), "")*24*60, "")</f>
        <v>0</v>
      </c>
      <c r="J5475" s="24" t="str" cm="1">
        <f t="array" ref="J5475">IFERROR(IF($B5475=J$1, ($A5475+$C5475) - MAX(IF($B$2:$B5474=$B5475, $A$2:$A5474+$C$2:$C5474)), "")*24*60, "")</f>
        <v/>
      </c>
      <c r="K5475" s="24" t="str" cm="1">
        <f t="array" ref="K5475">IFERROR(IF($B5475=K$1, ($A5475+$C5475) - MAX(IF($B$2:$B5474=$B5475, $A$2:$A5474+$C$2:$C5474)), "")*24*60, "")</f>
        <v/>
      </c>
      <c r="L5475" s="24" t="str" cm="1">
        <f t="array" ref="L5475">IFERROR(IF($B5475=L$1, ($A5475+$C5475) - MAX(IF($B$2:$B5474=$B5475, $A$2:$A5474+$C$2:$C5474)), "")*24*60, "")</f>
        <v/>
      </c>
      <c r="M5475" s="24" t="str" cm="1">
        <f t="array" ref="M5475">IFERROR(IF($B5475=M$1, ($A5475+$C5475) - MAX(IF($B$2:$B5474=$B5475, $A$2:$A5474+$C$2:$C5474)), "")*24*60, "")</f>
        <v/>
      </c>
      <c r="N5475" s="24" t="str" cm="1">
        <f t="array" ref="N5475">IFERROR(IF($B5475=N$1, ($A5475+$C5475) - MAX(IF($B$2:$B5474=$B5475, $A$2:$A5474+$C$2:$C5474)), "")*24*60, "")</f>
        <v/>
      </c>
      <c r="O5475" s="24" t="str" cm="1">
        <f t="array" ref="O5475">IFERROR(IF($B5475=O$1, ($A5475+$C5475) - MAX(IF($B$2:$B5474=$B5475, $A$2:$A5474+$C$2:$C5474)), "")*24*60, "")</f>
        <v/>
      </c>
      <c r="P5475" s="24" t="str" cm="1">
        <f t="array" ref="P5475">IFERROR(IF($B5475=P$1, ($A5475+$C5475) - MAX(IF($B$2:$B5474=$B5475, $A$2:$A5474+$C$2:$C5474)), "")*24*60, "")</f>
        <v/>
      </c>
      <c r="Q5475" s="24" t="str" cm="1">
        <f t="array" ref="Q5475">IFERROR(IF($B5475=Q$1, ($A5475+$C5475) - MAX(IF($B$2:$B5474=$B5475, $A$2:$A5474+$C$2:$C5474)), "")*24*60, "")</f>
        <v/>
      </c>
    </row>
    <row r="5476" spans="1:17" x14ac:dyDescent="0.2">
      <c r="A5476" s="12">
        <f t="shared" ref="A5476:C5476" si="1372">A5475</f>
        <v>45983</v>
      </c>
      <c r="B5476" s="5" t="str">
        <f t="shared" si="1372"/>
        <v>Northern Cardinal</v>
      </c>
      <c r="C5476" s="6">
        <f t="shared" si="1372"/>
        <v>0.28194444444444444</v>
      </c>
      <c r="D5476" s="5"/>
      <c r="E5476" s="5"/>
      <c r="F5476" s="5" t="s">
        <v>8</v>
      </c>
      <c r="G5476" s="15" t="s">
        <v>9</v>
      </c>
      <c r="H5476" s="24">
        <f t="shared" si="1364"/>
        <v>0</v>
      </c>
      <c r="I5476" s="24" cm="1">
        <f t="array" ref="I5476">IFERROR(IF($B5476=I$1, ($A5476+$C5476) - MAX(IF($B$2:$B5475=$B5476, $A$2:$A5475+$C$2:$C5475)), "")*24*60, "")</f>
        <v>0</v>
      </c>
      <c r="J5476" s="24" t="str" cm="1">
        <f t="array" ref="J5476">IFERROR(IF($B5476=J$1, ($A5476+$C5476) - MAX(IF($B$2:$B5475=$B5476, $A$2:$A5475+$C$2:$C5475)), "")*24*60, "")</f>
        <v/>
      </c>
      <c r="K5476" s="24" t="str" cm="1">
        <f t="array" ref="K5476">IFERROR(IF($B5476=K$1, ($A5476+$C5476) - MAX(IF($B$2:$B5475=$B5476, $A$2:$A5475+$C$2:$C5475)), "")*24*60, "")</f>
        <v/>
      </c>
      <c r="L5476" s="24" t="str" cm="1">
        <f t="array" ref="L5476">IFERROR(IF($B5476=L$1, ($A5476+$C5476) - MAX(IF($B$2:$B5475=$B5476, $A$2:$A5475+$C$2:$C5475)), "")*24*60, "")</f>
        <v/>
      </c>
      <c r="M5476" s="24" t="str" cm="1">
        <f t="array" ref="M5476">IFERROR(IF($B5476=M$1, ($A5476+$C5476) - MAX(IF($B$2:$B5475=$B5476, $A$2:$A5475+$C$2:$C5475)), "")*24*60, "")</f>
        <v/>
      </c>
      <c r="N5476" s="24" t="str" cm="1">
        <f t="array" ref="N5476">IFERROR(IF($B5476=N$1, ($A5476+$C5476) - MAX(IF($B$2:$B5475=$B5476, $A$2:$A5475+$C$2:$C5475)), "")*24*60, "")</f>
        <v/>
      </c>
      <c r="O5476" s="24" t="str" cm="1">
        <f t="array" ref="O5476">IFERROR(IF($B5476=O$1, ($A5476+$C5476) - MAX(IF($B$2:$B5475=$B5476, $A$2:$A5475+$C$2:$C5475)), "")*24*60, "")</f>
        <v/>
      </c>
      <c r="P5476" s="24" t="str" cm="1">
        <f t="array" ref="P5476">IFERROR(IF($B5476=P$1, ($A5476+$C5476) - MAX(IF($B$2:$B5475=$B5476, $A$2:$A5475+$C$2:$C5475)), "")*24*60, "")</f>
        <v/>
      </c>
      <c r="Q5476" s="24" t="str" cm="1">
        <f t="array" ref="Q5476">IFERROR(IF($B5476=Q$1, ($A5476+$C5476) - MAX(IF($B$2:$B5475=$B5476, $A$2:$A5475+$C$2:$C5475)), "")*24*60, "")</f>
        <v/>
      </c>
    </row>
    <row r="5477" spans="1:17" x14ac:dyDescent="0.2">
      <c r="A5477" s="12">
        <f t="shared" ref="A5477:C5477" si="1373">A5476</f>
        <v>45983</v>
      </c>
      <c r="B5477" s="5" t="str">
        <f t="shared" si="1373"/>
        <v>Northern Cardinal</v>
      </c>
      <c r="C5477" s="6">
        <f t="shared" si="1373"/>
        <v>0.28194444444444444</v>
      </c>
      <c r="D5477" s="5"/>
      <c r="E5477" s="5"/>
      <c r="F5477" s="5" t="s">
        <v>8</v>
      </c>
      <c r="G5477" s="15" t="s">
        <v>9</v>
      </c>
      <c r="H5477" s="24">
        <f t="shared" si="1364"/>
        <v>0</v>
      </c>
      <c r="I5477" s="24" cm="1">
        <f t="array" ref="I5477">IFERROR(IF($B5477=I$1, ($A5477+$C5477) - MAX(IF($B$2:$B5476=$B5477, $A$2:$A5476+$C$2:$C5476)), "")*24*60, "")</f>
        <v>0</v>
      </c>
      <c r="J5477" s="24" t="str" cm="1">
        <f t="array" ref="J5477">IFERROR(IF($B5477=J$1, ($A5477+$C5477) - MAX(IF($B$2:$B5476=$B5477, $A$2:$A5476+$C$2:$C5476)), "")*24*60, "")</f>
        <v/>
      </c>
      <c r="K5477" s="24" t="str" cm="1">
        <f t="array" ref="K5477">IFERROR(IF($B5477=K$1, ($A5477+$C5477) - MAX(IF($B$2:$B5476=$B5477, $A$2:$A5476+$C$2:$C5476)), "")*24*60, "")</f>
        <v/>
      </c>
      <c r="L5477" s="24" t="str" cm="1">
        <f t="array" ref="L5477">IFERROR(IF($B5477=L$1, ($A5477+$C5477) - MAX(IF($B$2:$B5476=$B5477, $A$2:$A5476+$C$2:$C5476)), "")*24*60, "")</f>
        <v/>
      </c>
      <c r="M5477" s="24" t="str" cm="1">
        <f t="array" ref="M5477">IFERROR(IF($B5477=M$1, ($A5477+$C5477) - MAX(IF($B$2:$B5476=$B5477, $A$2:$A5476+$C$2:$C5476)), "")*24*60, "")</f>
        <v/>
      </c>
      <c r="N5477" s="24" t="str" cm="1">
        <f t="array" ref="N5477">IFERROR(IF($B5477=N$1, ($A5477+$C5477) - MAX(IF($B$2:$B5476=$B5477, $A$2:$A5476+$C$2:$C5476)), "")*24*60, "")</f>
        <v/>
      </c>
      <c r="O5477" s="24" t="str" cm="1">
        <f t="array" ref="O5477">IFERROR(IF($B5477=O$1, ($A5477+$C5477) - MAX(IF($B$2:$B5476=$B5477, $A$2:$A5476+$C$2:$C5476)), "")*24*60, "")</f>
        <v/>
      </c>
      <c r="P5477" s="24" t="str" cm="1">
        <f t="array" ref="P5477">IFERROR(IF($B5477=P$1, ($A5477+$C5477) - MAX(IF($B$2:$B5476=$B5477, $A$2:$A5476+$C$2:$C5476)), "")*24*60, "")</f>
        <v/>
      </c>
      <c r="Q5477" s="24" t="str" cm="1">
        <f t="array" ref="Q5477">IFERROR(IF($B5477=Q$1, ($A5477+$C5477) - MAX(IF($B$2:$B5476=$B5477, $A$2:$A5476+$C$2:$C5476)), "")*24*60, "")</f>
        <v/>
      </c>
    </row>
    <row r="5478" spans="1:17" x14ac:dyDescent="0.2">
      <c r="A5478" s="12">
        <f t="shared" ref="A5478:C5478" si="1374">A5477</f>
        <v>45983</v>
      </c>
      <c r="B5478" s="5" t="str">
        <f t="shared" si="1374"/>
        <v>Northern Cardinal</v>
      </c>
      <c r="C5478" s="6">
        <f t="shared" si="1374"/>
        <v>0.28194444444444444</v>
      </c>
      <c r="D5478" s="5"/>
      <c r="E5478" s="5"/>
      <c r="F5478" s="5" t="s">
        <v>8</v>
      </c>
      <c r="G5478" s="15" t="s">
        <v>9</v>
      </c>
      <c r="H5478" s="24">
        <f t="shared" si="1364"/>
        <v>0</v>
      </c>
      <c r="I5478" s="24" cm="1">
        <f t="array" ref="I5478">IFERROR(IF($B5478=I$1, ($A5478+$C5478) - MAX(IF($B$2:$B5477=$B5478, $A$2:$A5477+$C$2:$C5477)), "")*24*60, "")</f>
        <v>0</v>
      </c>
      <c r="J5478" s="24" t="str" cm="1">
        <f t="array" ref="J5478">IFERROR(IF($B5478=J$1, ($A5478+$C5478) - MAX(IF($B$2:$B5477=$B5478, $A$2:$A5477+$C$2:$C5477)), "")*24*60, "")</f>
        <v/>
      </c>
      <c r="K5478" s="24" t="str" cm="1">
        <f t="array" ref="K5478">IFERROR(IF($B5478=K$1, ($A5478+$C5478) - MAX(IF($B$2:$B5477=$B5478, $A$2:$A5477+$C$2:$C5477)), "")*24*60, "")</f>
        <v/>
      </c>
      <c r="L5478" s="24" t="str" cm="1">
        <f t="array" ref="L5478">IFERROR(IF($B5478=L$1, ($A5478+$C5478) - MAX(IF($B$2:$B5477=$B5478, $A$2:$A5477+$C$2:$C5477)), "")*24*60, "")</f>
        <v/>
      </c>
      <c r="M5478" s="24" t="str" cm="1">
        <f t="array" ref="M5478">IFERROR(IF($B5478=M$1, ($A5478+$C5478) - MAX(IF($B$2:$B5477=$B5478, $A$2:$A5477+$C$2:$C5477)), "")*24*60, "")</f>
        <v/>
      </c>
      <c r="N5478" s="24" t="str" cm="1">
        <f t="array" ref="N5478">IFERROR(IF($B5478=N$1, ($A5478+$C5478) - MAX(IF($B$2:$B5477=$B5478, $A$2:$A5477+$C$2:$C5477)), "")*24*60, "")</f>
        <v/>
      </c>
      <c r="O5478" s="24" t="str" cm="1">
        <f t="array" ref="O5478">IFERROR(IF($B5478=O$1, ($A5478+$C5478) - MAX(IF($B$2:$B5477=$B5478, $A$2:$A5477+$C$2:$C5477)), "")*24*60, "")</f>
        <v/>
      </c>
      <c r="P5478" s="24" t="str" cm="1">
        <f t="array" ref="P5478">IFERROR(IF($B5478=P$1, ($A5478+$C5478) - MAX(IF($B$2:$B5477=$B5478, $A$2:$A5477+$C$2:$C5477)), "")*24*60, "")</f>
        <v/>
      </c>
      <c r="Q5478" s="24" t="str" cm="1">
        <f t="array" ref="Q5478">IFERROR(IF($B5478=Q$1, ($A5478+$C5478) - MAX(IF($B$2:$B5477=$B5478, $A$2:$A5477+$C$2:$C5477)), "")*24*60, "")</f>
        <v/>
      </c>
    </row>
    <row r="5479" spans="1:17" x14ac:dyDescent="0.2">
      <c r="A5479" s="12">
        <f t="shared" ref="A5479:C5479" si="1375">A5478</f>
        <v>45983</v>
      </c>
      <c r="B5479" s="5" t="str">
        <f t="shared" si="1375"/>
        <v>Northern Cardinal</v>
      </c>
      <c r="C5479" s="6">
        <f t="shared" si="1375"/>
        <v>0.28194444444444444</v>
      </c>
      <c r="D5479" s="5"/>
      <c r="E5479" s="5"/>
      <c r="F5479" s="5" t="s">
        <v>8</v>
      </c>
      <c r="G5479" s="15" t="s">
        <v>9</v>
      </c>
      <c r="H5479" s="24">
        <f t="shared" si="1364"/>
        <v>0</v>
      </c>
      <c r="I5479" s="24" cm="1">
        <f t="array" ref="I5479">IFERROR(IF($B5479=I$1, ($A5479+$C5479) - MAX(IF($B$2:$B5478=$B5479, $A$2:$A5478+$C$2:$C5478)), "")*24*60, "")</f>
        <v>0</v>
      </c>
      <c r="J5479" s="24" t="str" cm="1">
        <f t="array" ref="J5479">IFERROR(IF($B5479=J$1, ($A5479+$C5479) - MAX(IF($B$2:$B5478=$B5479, $A$2:$A5478+$C$2:$C5478)), "")*24*60, "")</f>
        <v/>
      </c>
      <c r="K5479" s="24" t="str" cm="1">
        <f t="array" ref="K5479">IFERROR(IF($B5479=K$1, ($A5479+$C5479) - MAX(IF($B$2:$B5478=$B5479, $A$2:$A5478+$C$2:$C5478)), "")*24*60, "")</f>
        <v/>
      </c>
      <c r="L5479" s="24" t="str" cm="1">
        <f t="array" ref="L5479">IFERROR(IF($B5479=L$1, ($A5479+$C5479) - MAX(IF($B$2:$B5478=$B5479, $A$2:$A5478+$C$2:$C5478)), "")*24*60, "")</f>
        <v/>
      </c>
      <c r="M5479" s="24" t="str" cm="1">
        <f t="array" ref="M5479">IFERROR(IF($B5479=M$1, ($A5479+$C5479) - MAX(IF($B$2:$B5478=$B5479, $A$2:$A5478+$C$2:$C5478)), "")*24*60, "")</f>
        <v/>
      </c>
      <c r="N5479" s="24" t="str" cm="1">
        <f t="array" ref="N5479">IFERROR(IF($B5479=N$1, ($A5479+$C5479) - MAX(IF($B$2:$B5478=$B5479, $A$2:$A5478+$C$2:$C5478)), "")*24*60, "")</f>
        <v/>
      </c>
      <c r="O5479" s="24" t="str" cm="1">
        <f t="array" ref="O5479">IFERROR(IF($B5479=O$1, ($A5479+$C5479) - MAX(IF($B$2:$B5478=$B5479, $A$2:$A5478+$C$2:$C5478)), "")*24*60, "")</f>
        <v/>
      </c>
      <c r="P5479" s="24" t="str" cm="1">
        <f t="array" ref="P5479">IFERROR(IF($B5479=P$1, ($A5479+$C5479) - MAX(IF($B$2:$B5478=$B5479, $A$2:$A5478+$C$2:$C5478)), "")*24*60, "")</f>
        <v/>
      </c>
      <c r="Q5479" s="24" t="str" cm="1">
        <f t="array" ref="Q5479">IFERROR(IF($B5479=Q$1, ($A5479+$C5479) - MAX(IF($B$2:$B5478=$B5479, $A$2:$A5478+$C$2:$C5478)), "")*24*60, "")</f>
        <v/>
      </c>
    </row>
    <row r="5480" spans="1:17" x14ac:dyDescent="0.2">
      <c r="A5480" s="12">
        <f t="shared" ref="A5480:C5480" si="1376">A5479</f>
        <v>45983</v>
      </c>
      <c r="B5480" s="5" t="str">
        <f t="shared" si="1376"/>
        <v>Northern Cardinal</v>
      </c>
      <c r="C5480" s="6">
        <f t="shared" si="1376"/>
        <v>0.28194444444444444</v>
      </c>
      <c r="D5480" s="5"/>
      <c r="E5480" s="5"/>
      <c r="F5480" s="5" t="s">
        <v>8</v>
      </c>
      <c r="G5480" s="15" t="s">
        <v>9</v>
      </c>
      <c r="H5480" s="24">
        <f t="shared" si="1364"/>
        <v>0</v>
      </c>
      <c r="I5480" s="24" cm="1">
        <f t="array" ref="I5480">IFERROR(IF($B5480=I$1, ($A5480+$C5480) - MAX(IF($B$2:$B5479=$B5480, $A$2:$A5479+$C$2:$C5479)), "")*24*60, "")</f>
        <v>0</v>
      </c>
      <c r="J5480" s="24" t="str" cm="1">
        <f t="array" ref="J5480">IFERROR(IF($B5480=J$1, ($A5480+$C5480) - MAX(IF($B$2:$B5479=$B5480, $A$2:$A5479+$C$2:$C5479)), "")*24*60, "")</f>
        <v/>
      </c>
      <c r="K5480" s="24" t="str" cm="1">
        <f t="array" ref="K5480">IFERROR(IF($B5480=K$1, ($A5480+$C5480) - MAX(IF($B$2:$B5479=$B5480, $A$2:$A5479+$C$2:$C5479)), "")*24*60, "")</f>
        <v/>
      </c>
      <c r="L5480" s="24" t="str" cm="1">
        <f t="array" ref="L5480">IFERROR(IF($B5480=L$1, ($A5480+$C5480) - MAX(IF($B$2:$B5479=$B5480, $A$2:$A5479+$C$2:$C5479)), "")*24*60, "")</f>
        <v/>
      </c>
      <c r="M5480" s="24" t="str" cm="1">
        <f t="array" ref="M5480">IFERROR(IF($B5480=M$1, ($A5480+$C5480) - MAX(IF($B$2:$B5479=$B5480, $A$2:$A5479+$C$2:$C5479)), "")*24*60, "")</f>
        <v/>
      </c>
      <c r="N5480" s="24" t="str" cm="1">
        <f t="array" ref="N5480">IFERROR(IF($B5480=N$1, ($A5480+$C5480) - MAX(IF($B$2:$B5479=$B5480, $A$2:$A5479+$C$2:$C5479)), "")*24*60, "")</f>
        <v/>
      </c>
      <c r="O5480" s="24" t="str" cm="1">
        <f t="array" ref="O5480">IFERROR(IF($B5480=O$1, ($A5480+$C5480) - MAX(IF($B$2:$B5479=$B5480, $A$2:$A5479+$C$2:$C5479)), "")*24*60, "")</f>
        <v/>
      </c>
      <c r="P5480" s="24" t="str" cm="1">
        <f t="array" ref="P5480">IFERROR(IF($B5480=P$1, ($A5480+$C5480) - MAX(IF($B$2:$B5479=$B5480, $A$2:$A5479+$C$2:$C5479)), "")*24*60, "")</f>
        <v/>
      </c>
      <c r="Q5480" s="24" t="str" cm="1">
        <f t="array" ref="Q5480">IFERROR(IF($B5480=Q$1, ($A5480+$C5480) - MAX(IF($B$2:$B5479=$B5480, $A$2:$A5479+$C$2:$C5479)), "")*24*60, "")</f>
        <v/>
      </c>
    </row>
    <row r="5481" spans="1:17" x14ac:dyDescent="0.2">
      <c r="A5481" s="12">
        <f t="shared" ref="A5481:C5481" si="1377">A5480</f>
        <v>45983</v>
      </c>
      <c r="B5481" s="5" t="str">
        <f t="shared" si="1377"/>
        <v>Northern Cardinal</v>
      </c>
      <c r="C5481" s="6">
        <f t="shared" si="1377"/>
        <v>0.28194444444444444</v>
      </c>
      <c r="D5481" s="5"/>
      <c r="E5481" s="5"/>
      <c r="F5481" s="5" t="s">
        <v>8</v>
      </c>
      <c r="G5481" s="15" t="s">
        <v>9</v>
      </c>
      <c r="H5481" s="24">
        <f t="shared" si="1364"/>
        <v>0</v>
      </c>
      <c r="I5481" s="24" cm="1">
        <f t="array" ref="I5481">IFERROR(IF($B5481=I$1, ($A5481+$C5481) - MAX(IF($B$2:$B5480=$B5481, $A$2:$A5480+$C$2:$C5480)), "")*24*60, "")</f>
        <v>0</v>
      </c>
      <c r="J5481" s="24" t="str" cm="1">
        <f t="array" ref="J5481">IFERROR(IF($B5481=J$1, ($A5481+$C5481) - MAX(IF($B$2:$B5480=$B5481, $A$2:$A5480+$C$2:$C5480)), "")*24*60, "")</f>
        <v/>
      </c>
      <c r="K5481" s="24" t="str" cm="1">
        <f t="array" ref="K5481">IFERROR(IF($B5481=K$1, ($A5481+$C5481) - MAX(IF($B$2:$B5480=$B5481, $A$2:$A5480+$C$2:$C5480)), "")*24*60, "")</f>
        <v/>
      </c>
      <c r="L5481" s="24" t="str" cm="1">
        <f t="array" ref="L5481">IFERROR(IF($B5481=L$1, ($A5481+$C5481) - MAX(IF($B$2:$B5480=$B5481, $A$2:$A5480+$C$2:$C5480)), "")*24*60, "")</f>
        <v/>
      </c>
      <c r="M5481" s="24" t="str" cm="1">
        <f t="array" ref="M5481">IFERROR(IF($B5481=M$1, ($A5481+$C5481) - MAX(IF($B$2:$B5480=$B5481, $A$2:$A5480+$C$2:$C5480)), "")*24*60, "")</f>
        <v/>
      </c>
      <c r="N5481" s="24" t="str" cm="1">
        <f t="array" ref="N5481">IFERROR(IF($B5481=N$1, ($A5481+$C5481) - MAX(IF($B$2:$B5480=$B5481, $A$2:$A5480+$C$2:$C5480)), "")*24*60, "")</f>
        <v/>
      </c>
      <c r="O5481" s="24" t="str" cm="1">
        <f t="array" ref="O5481">IFERROR(IF($B5481=O$1, ($A5481+$C5481) - MAX(IF($B$2:$B5480=$B5481, $A$2:$A5480+$C$2:$C5480)), "")*24*60, "")</f>
        <v/>
      </c>
      <c r="P5481" s="24" t="str" cm="1">
        <f t="array" ref="P5481">IFERROR(IF($B5481=P$1, ($A5481+$C5481) - MAX(IF($B$2:$B5480=$B5481, $A$2:$A5480+$C$2:$C5480)), "")*24*60, "")</f>
        <v/>
      </c>
      <c r="Q5481" s="24" t="str" cm="1">
        <f t="array" ref="Q5481">IFERROR(IF($B5481=Q$1, ($A5481+$C5481) - MAX(IF($B$2:$B5480=$B5481, $A$2:$A5480+$C$2:$C5480)), "")*24*60, "")</f>
        <v/>
      </c>
    </row>
    <row r="5482" spans="1:17" x14ac:dyDescent="0.2">
      <c r="A5482" s="12">
        <f t="shared" ref="A5482:C5482" si="1378">A5481</f>
        <v>45983</v>
      </c>
      <c r="B5482" s="5" t="str">
        <f t="shared" si="1378"/>
        <v>Northern Cardinal</v>
      </c>
      <c r="C5482" s="6">
        <f t="shared" si="1378"/>
        <v>0.28194444444444444</v>
      </c>
      <c r="D5482" s="5"/>
      <c r="E5482" s="5"/>
      <c r="F5482" s="5" t="s">
        <v>8</v>
      </c>
      <c r="G5482" s="15" t="s">
        <v>9</v>
      </c>
      <c r="H5482" s="24">
        <f t="shared" si="1364"/>
        <v>0</v>
      </c>
      <c r="I5482" s="24" cm="1">
        <f t="array" ref="I5482">IFERROR(IF($B5482=I$1, ($A5482+$C5482) - MAX(IF($B$2:$B5481=$B5482, $A$2:$A5481+$C$2:$C5481)), "")*24*60, "")</f>
        <v>0</v>
      </c>
      <c r="J5482" s="24" t="str" cm="1">
        <f t="array" ref="J5482">IFERROR(IF($B5482=J$1, ($A5482+$C5482) - MAX(IF($B$2:$B5481=$B5482, $A$2:$A5481+$C$2:$C5481)), "")*24*60, "")</f>
        <v/>
      </c>
      <c r="K5482" s="24" t="str" cm="1">
        <f t="array" ref="K5482">IFERROR(IF($B5482=K$1, ($A5482+$C5482) - MAX(IF($B$2:$B5481=$B5482, $A$2:$A5481+$C$2:$C5481)), "")*24*60, "")</f>
        <v/>
      </c>
      <c r="L5482" s="24" t="str" cm="1">
        <f t="array" ref="L5482">IFERROR(IF($B5482=L$1, ($A5482+$C5482) - MAX(IF($B$2:$B5481=$B5482, $A$2:$A5481+$C$2:$C5481)), "")*24*60, "")</f>
        <v/>
      </c>
      <c r="M5482" s="24" t="str" cm="1">
        <f t="array" ref="M5482">IFERROR(IF($B5482=M$1, ($A5482+$C5482) - MAX(IF($B$2:$B5481=$B5482, $A$2:$A5481+$C$2:$C5481)), "")*24*60, "")</f>
        <v/>
      </c>
      <c r="N5482" s="24" t="str" cm="1">
        <f t="array" ref="N5482">IFERROR(IF($B5482=N$1, ($A5482+$C5482) - MAX(IF($B$2:$B5481=$B5482, $A$2:$A5481+$C$2:$C5481)), "")*24*60, "")</f>
        <v/>
      </c>
      <c r="O5482" s="24" t="str" cm="1">
        <f t="array" ref="O5482">IFERROR(IF($B5482=O$1, ($A5482+$C5482) - MAX(IF($B$2:$B5481=$B5482, $A$2:$A5481+$C$2:$C5481)), "")*24*60, "")</f>
        <v/>
      </c>
      <c r="P5482" s="24" t="str" cm="1">
        <f t="array" ref="P5482">IFERROR(IF($B5482=P$1, ($A5482+$C5482) - MAX(IF($B$2:$B5481=$B5482, $A$2:$A5481+$C$2:$C5481)), "")*24*60, "")</f>
        <v/>
      </c>
      <c r="Q5482" s="24" t="str" cm="1">
        <f t="array" ref="Q5482">IFERROR(IF($B5482=Q$1, ($A5482+$C5482) - MAX(IF($B$2:$B5481=$B5482, $A$2:$A5481+$C$2:$C5481)), "")*24*60, "")</f>
        <v/>
      </c>
    </row>
    <row r="5483" spans="1:17" x14ac:dyDescent="0.2">
      <c r="A5483" s="12">
        <f t="shared" ref="A5483:C5483" si="1379">A5482</f>
        <v>45983</v>
      </c>
      <c r="B5483" s="5" t="str">
        <f t="shared" si="1379"/>
        <v>Northern Cardinal</v>
      </c>
      <c r="C5483" s="6">
        <f t="shared" si="1379"/>
        <v>0.28194444444444444</v>
      </c>
      <c r="D5483" s="5"/>
      <c r="E5483" s="5"/>
      <c r="F5483" s="5" t="s">
        <v>8</v>
      </c>
      <c r="G5483" s="15" t="s">
        <v>9</v>
      </c>
      <c r="H5483" s="24">
        <f t="shared" si="1364"/>
        <v>0</v>
      </c>
      <c r="I5483" s="24" cm="1">
        <f t="array" ref="I5483">IFERROR(IF($B5483=I$1, ($A5483+$C5483) - MAX(IF($B$2:$B5482=$B5483, $A$2:$A5482+$C$2:$C5482)), "")*24*60, "")</f>
        <v>0</v>
      </c>
      <c r="J5483" s="24" t="str" cm="1">
        <f t="array" ref="J5483">IFERROR(IF($B5483=J$1, ($A5483+$C5483) - MAX(IF($B$2:$B5482=$B5483, $A$2:$A5482+$C$2:$C5482)), "")*24*60, "")</f>
        <v/>
      </c>
      <c r="K5483" s="24" t="str" cm="1">
        <f t="array" ref="K5483">IFERROR(IF($B5483=K$1, ($A5483+$C5483) - MAX(IF($B$2:$B5482=$B5483, $A$2:$A5482+$C$2:$C5482)), "")*24*60, "")</f>
        <v/>
      </c>
      <c r="L5483" s="24" t="str" cm="1">
        <f t="array" ref="L5483">IFERROR(IF($B5483=L$1, ($A5483+$C5483) - MAX(IF($B$2:$B5482=$B5483, $A$2:$A5482+$C$2:$C5482)), "")*24*60, "")</f>
        <v/>
      </c>
      <c r="M5483" s="24" t="str" cm="1">
        <f t="array" ref="M5483">IFERROR(IF($B5483=M$1, ($A5483+$C5483) - MAX(IF($B$2:$B5482=$B5483, $A$2:$A5482+$C$2:$C5482)), "")*24*60, "")</f>
        <v/>
      </c>
      <c r="N5483" s="24" t="str" cm="1">
        <f t="array" ref="N5483">IFERROR(IF($B5483=N$1, ($A5483+$C5483) - MAX(IF($B$2:$B5482=$B5483, $A$2:$A5482+$C$2:$C5482)), "")*24*60, "")</f>
        <v/>
      </c>
      <c r="O5483" s="24" t="str" cm="1">
        <f t="array" ref="O5483">IFERROR(IF($B5483=O$1, ($A5483+$C5483) - MAX(IF($B$2:$B5482=$B5483, $A$2:$A5482+$C$2:$C5482)), "")*24*60, "")</f>
        <v/>
      </c>
      <c r="P5483" s="24" t="str" cm="1">
        <f t="array" ref="P5483">IFERROR(IF($B5483=P$1, ($A5483+$C5483) - MAX(IF($B$2:$B5482=$B5483, $A$2:$A5482+$C$2:$C5482)), "")*24*60, "")</f>
        <v/>
      </c>
      <c r="Q5483" s="24" t="str" cm="1">
        <f t="array" ref="Q5483">IFERROR(IF($B5483=Q$1, ($A5483+$C5483) - MAX(IF($B$2:$B5482=$B5483, $A$2:$A5482+$C$2:$C5482)), "")*24*60, "")</f>
        <v/>
      </c>
    </row>
    <row r="5484" spans="1:17" x14ac:dyDescent="0.2">
      <c r="A5484" s="12">
        <f t="shared" ref="A5484:C5484" si="1380">A5483</f>
        <v>45983</v>
      </c>
      <c r="B5484" s="5" t="str">
        <f t="shared" si="1380"/>
        <v>Northern Cardinal</v>
      </c>
      <c r="C5484" s="6">
        <f t="shared" si="1380"/>
        <v>0.28194444444444444</v>
      </c>
      <c r="D5484" s="5"/>
      <c r="E5484" s="5"/>
      <c r="F5484" s="5" t="s">
        <v>8</v>
      </c>
      <c r="G5484" s="15" t="s">
        <v>9</v>
      </c>
      <c r="H5484" s="24">
        <f t="shared" si="1364"/>
        <v>0</v>
      </c>
      <c r="I5484" s="24" cm="1">
        <f t="array" ref="I5484">IFERROR(IF($B5484=I$1, ($A5484+$C5484) - MAX(IF($B$2:$B5483=$B5484, $A$2:$A5483+$C$2:$C5483)), "")*24*60, "")</f>
        <v>0</v>
      </c>
      <c r="J5484" s="24" t="str" cm="1">
        <f t="array" ref="J5484">IFERROR(IF($B5484=J$1, ($A5484+$C5484) - MAX(IF($B$2:$B5483=$B5484, $A$2:$A5483+$C$2:$C5483)), "")*24*60, "")</f>
        <v/>
      </c>
      <c r="K5484" s="24" t="str" cm="1">
        <f t="array" ref="K5484">IFERROR(IF($B5484=K$1, ($A5484+$C5484) - MAX(IF($B$2:$B5483=$B5484, $A$2:$A5483+$C$2:$C5483)), "")*24*60, "")</f>
        <v/>
      </c>
      <c r="L5484" s="24" t="str" cm="1">
        <f t="array" ref="L5484">IFERROR(IF($B5484=L$1, ($A5484+$C5484) - MAX(IF($B$2:$B5483=$B5484, $A$2:$A5483+$C$2:$C5483)), "")*24*60, "")</f>
        <v/>
      </c>
      <c r="M5484" s="24" t="str" cm="1">
        <f t="array" ref="M5484">IFERROR(IF($B5484=M$1, ($A5484+$C5484) - MAX(IF($B$2:$B5483=$B5484, $A$2:$A5483+$C$2:$C5483)), "")*24*60, "")</f>
        <v/>
      </c>
      <c r="N5484" s="24" t="str" cm="1">
        <f t="array" ref="N5484">IFERROR(IF($B5484=N$1, ($A5484+$C5484) - MAX(IF($B$2:$B5483=$B5484, $A$2:$A5483+$C$2:$C5483)), "")*24*60, "")</f>
        <v/>
      </c>
      <c r="O5484" s="24" t="str" cm="1">
        <f t="array" ref="O5484">IFERROR(IF($B5484=O$1, ($A5484+$C5484) - MAX(IF($B$2:$B5483=$B5484, $A$2:$A5483+$C$2:$C5483)), "")*24*60, "")</f>
        <v/>
      </c>
      <c r="P5484" s="24" t="str" cm="1">
        <f t="array" ref="P5484">IFERROR(IF($B5484=P$1, ($A5484+$C5484) - MAX(IF($B$2:$B5483=$B5484, $A$2:$A5483+$C$2:$C5483)), "")*24*60, "")</f>
        <v/>
      </c>
      <c r="Q5484" s="24" t="str" cm="1">
        <f t="array" ref="Q5484">IFERROR(IF($B5484=Q$1, ($A5484+$C5484) - MAX(IF($B$2:$B5483=$B5484, $A$2:$A5483+$C$2:$C5483)), "")*24*60, "")</f>
        <v/>
      </c>
    </row>
    <row r="5485" spans="1:17" x14ac:dyDescent="0.2">
      <c r="A5485" s="12">
        <f t="shared" ref="A5485:C5485" si="1381">A5484</f>
        <v>45983</v>
      </c>
      <c r="B5485" s="5" t="str">
        <f t="shared" si="1381"/>
        <v>Northern Cardinal</v>
      </c>
      <c r="C5485" s="6">
        <f t="shared" si="1381"/>
        <v>0.28194444444444444</v>
      </c>
      <c r="D5485" s="5"/>
      <c r="E5485" s="5"/>
      <c r="F5485" s="5" t="s">
        <v>8</v>
      </c>
      <c r="G5485" s="15" t="s">
        <v>9</v>
      </c>
      <c r="H5485" s="24">
        <f t="shared" si="1364"/>
        <v>0</v>
      </c>
      <c r="I5485" s="24" cm="1">
        <f t="array" ref="I5485">IFERROR(IF($B5485=I$1, ($A5485+$C5485) - MAX(IF($B$2:$B5484=$B5485, $A$2:$A5484+$C$2:$C5484)), "")*24*60, "")</f>
        <v>0</v>
      </c>
      <c r="J5485" s="24" t="str" cm="1">
        <f t="array" ref="J5485">IFERROR(IF($B5485=J$1, ($A5485+$C5485) - MAX(IF($B$2:$B5484=$B5485, $A$2:$A5484+$C$2:$C5484)), "")*24*60, "")</f>
        <v/>
      </c>
      <c r="K5485" s="24" t="str" cm="1">
        <f t="array" ref="K5485">IFERROR(IF($B5485=K$1, ($A5485+$C5485) - MAX(IF($B$2:$B5484=$B5485, $A$2:$A5484+$C$2:$C5484)), "")*24*60, "")</f>
        <v/>
      </c>
      <c r="L5485" s="24" t="str" cm="1">
        <f t="array" ref="L5485">IFERROR(IF($B5485=L$1, ($A5485+$C5485) - MAX(IF($B$2:$B5484=$B5485, $A$2:$A5484+$C$2:$C5484)), "")*24*60, "")</f>
        <v/>
      </c>
      <c r="M5485" s="24" t="str" cm="1">
        <f t="array" ref="M5485">IFERROR(IF($B5485=M$1, ($A5485+$C5485) - MAX(IF($B$2:$B5484=$B5485, $A$2:$A5484+$C$2:$C5484)), "")*24*60, "")</f>
        <v/>
      </c>
      <c r="N5485" s="24" t="str" cm="1">
        <f t="array" ref="N5485">IFERROR(IF($B5485=N$1, ($A5485+$C5485) - MAX(IF($B$2:$B5484=$B5485, $A$2:$A5484+$C$2:$C5484)), "")*24*60, "")</f>
        <v/>
      </c>
      <c r="O5485" s="24" t="str" cm="1">
        <f t="array" ref="O5485">IFERROR(IF($B5485=O$1, ($A5485+$C5485) - MAX(IF($B$2:$B5484=$B5485, $A$2:$A5484+$C$2:$C5484)), "")*24*60, "")</f>
        <v/>
      </c>
      <c r="P5485" s="24" t="str" cm="1">
        <f t="array" ref="P5485">IFERROR(IF($B5485=P$1, ($A5485+$C5485) - MAX(IF($B$2:$B5484=$B5485, $A$2:$A5484+$C$2:$C5484)), "")*24*60, "")</f>
        <v/>
      </c>
      <c r="Q5485" s="24" t="str" cm="1">
        <f t="array" ref="Q5485">IFERROR(IF($B5485=Q$1, ($A5485+$C5485) - MAX(IF($B$2:$B5484=$B5485, $A$2:$A5484+$C$2:$C5484)), "")*24*60, "")</f>
        <v/>
      </c>
    </row>
    <row r="5486" spans="1:17" x14ac:dyDescent="0.2">
      <c r="A5486" s="12">
        <f t="shared" ref="A5486:C5486" si="1382">A5485</f>
        <v>45983</v>
      </c>
      <c r="B5486" s="5" t="str">
        <f t="shared" si="1382"/>
        <v>Northern Cardinal</v>
      </c>
      <c r="C5486" s="6">
        <f t="shared" si="1382"/>
        <v>0.28194444444444444</v>
      </c>
      <c r="D5486" s="5"/>
      <c r="E5486" s="5"/>
      <c r="F5486" s="5" t="s">
        <v>8</v>
      </c>
      <c r="G5486" s="15" t="s">
        <v>9</v>
      </c>
      <c r="H5486" s="24">
        <f t="shared" si="1364"/>
        <v>0</v>
      </c>
      <c r="I5486" s="24" cm="1">
        <f t="array" ref="I5486">IFERROR(IF($B5486=I$1, ($A5486+$C5486) - MAX(IF($B$2:$B5485=$B5486, $A$2:$A5485+$C$2:$C5485)), "")*24*60, "")</f>
        <v>0</v>
      </c>
      <c r="J5486" s="24" t="str" cm="1">
        <f t="array" ref="J5486">IFERROR(IF($B5486=J$1, ($A5486+$C5486) - MAX(IF($B$2:$B5485=$B5486, $A$2:$A5485+$C$2:$C5485)), "")*24*60, "")</f>
        <v/>
      </c>
      <c r="K5486" s="24" t="str" cm="1">
        <f t="array" ref="K5486">IFERROR(IF($B5486=K$1, ($A5486+$C5486) - MAX(IF($B$2:$B5485=$B5486, $A$2:$A5485+$C$2:$C5485)), "")*24*60, "")</f>
        <v/>
      </c>
      <c r="L5486" s="24" t="str" cm="1">
        <f t="array" ref="L5486">IFERROR(IF($B5486=L$1, ($A5486+$C5486) - MAX(IF($B$2:$B5485=$B5486, $A$2:$A5485+$C$2:$C5485)), "")*24*60, "")</f>
        <v/>
      </c>
      <c r="M5486" s="24" t="str" cm="1">
        <f t="array" ref="M5486">IFERROR(IF($B5486=M$1, ($A5486+$C5486) - MAX(IF($B$2:$B5485=$B5486, $A$2:$A5485+$C$2:$C5485)), "")*24*60, "")</f>
        <v/>
      </c>
      <c r="N5486" s="24" t="str" cm="1">
        <f t="array" ref="N5486">IFERROR(IF($B5486=N$1, ($A5486+$C5486) - MAX(IF($B$2:$B5485=$B5486, $A$2:$A5485+$C$2:$C5485)), "")*24*60, "")</f>
        <v/>
      </c>
      <c r="O5486" s="24" t="str" cm="1">
        <f t="array" ref="O5486">IFERROR(IF($B5486=O$1, ($A5486+$C5486) - MAX(IF($B$2:$B5485=$B5486, $A$2:$A5485+$C$2:$C5485)), "")*24*60, "")</f>
        <v/>
      </c>
      <c r="P5486" s="24" t="str" cm="1">
        <f t="array" ref="P5486">IFERROR(IF($B5486=P$1, ($A5486+$C5486) - MAX(IF($B$2:$B5485=$B5486, $A$2:$A5485+$C$2:$C5485)), "")*24*60, "")</f>
        <v/>
      </c>
      <c r="Q5486" s="24" t="str" cm="1">
        <f t="array" ref="Q5486">IFERROR(IF($B5486=Q$1, ($A5486+$C5486) - MAX(IF($B$2:$B5485=$B5486, $A$2:$A5485+$C$2:$C5485)), "")*24*60, "")</f>
        <v/>
      </c>
    </row>
    <row r="5487" spans="1:17" x14ac:dyDescent="0.2">
      <c r="A5487" s="12">
        <f t="shared" ref="A5487:C5487" si="1383">A5486</f>
        <v>45983</v>
      </c>
      <c r="B5487" s="5" t="str">
        <f t="shared" si="1383"/>
        <v>Northern Cardinal</v>
      </c>
      <c r="C5487" s="6">
        <f t="shared" si="1383"/>
        <v>0.28194444444444444</v>
      </c>
      <c r="D5487" s="5"/>
      <c r="E5487" s="5"/>
      <c r="F5487" s="5" t="s">
        <v>8</v>
      </c>
      <c r="G5487" s="15" t="s">
        <v>9</v>
      </c>
      <c r="H5487" s="24">
        <f t="shared" si="1364"/>
        <v>0</v>
      </c>
      <c r="I5487" s="24" cm="1">
        <f t="array" ref="I5487">IFERROR(IF($B5487=I$1, ($A5487+$C5487) - MAX(IF($B$2:$B5486=$B5487, $A$2:$A5486+$C$2:$C5486)), "")*24*60, "")</f>
        <v>0</v>
      </c>
      <c r="J5487" s="24" t="str" cm="1">
        <f t="array" ref="J5487">IFERROR(IF($B5487=J$1, ($A5487+$C5487) - MAX(IF($B$2:$B5486=$B5487, $A$2:$A5486+$C$2:$C5486)), "")*24*60, "")</f>
        <v/>
      </c>
      <c r="K5487" s="24" t="str" cm="1">
        <f t="array" ref="K5487">IFERROR(IF($B5487=K$1, ($A5487+$C5487) - MAX(IF($B$2:$B5486=$B5487, $A$2:$A5486+$C$2:$C5486)), "")*24*60, "")</f>
        <v/>
      </c>
      <c r="L5487" s="24" t="str" cm="1">
        <f t="array" ref="L5487">IFERROR(IF($B5487=L$1, ($A5487+$C5487) - MAX(IF($B$2:$B5486=$B5487, $A$2:$A5486+$C$2:$C5486)), "")*24*60, "")</f>
        <v/>
      </c>
      <c r="M5487" s="24" t="str" cm="1">
        <f t="array" ref="M5487">IFERROR(IF($B5487=M$1, ($A5487+$C5487) - MAX(IF($B$2:$B5486=$B5487, $A$2:$A5486+$C$2:$C5486)), "")*24*60, "")</f>
        <v/>
      </c>
      <c r="N5487" s="24" t="str" cm="1">
        <f t="array" ref="N5487">IFERROR(IF($B5487=N$1, ($A5487+$C5487) - MAX(IF($B$2:$B5486=$B5487, $A$2:$A5486+$C$2:$C5486)), "")*24*60, "")</f>
        <v/>
      </c>
      <c r="O5487" s="24" t="str" cm="1">
        <f t="array" ref="O5487">IFERROR(IF($B5487=O$1, ($A5487+$C5487) - MAX(IF($B$2:$B5486=$B5487, $A$2:$A5486+$C$2:$C5486)), "")*24*60, "")</f>
        <v/>
      </c>
      <c r="P5487" s="24" t="str" cm="1">
        <f t="array" ref="P5487">IFERROR(IF($B5487=P$1, ($A5487+$C5487) - MAX(IF($B$2:$B5486=$B5487, $A$2:$A5486+$C$2:$C5486)), "")*24*60, "")</f>
        <v/>
      </c>
      <c r="Q5487" s="24" t="str" cm="1">
        <f t="array" ref="Q5487">IFERROR(IF($B5487=Q$1, ($A5487+$C5487) - MAX(IF($B$2:$B5486=$B5487, $A$2:$A5486+$C$2:$C5486)), "")*24*60, "")</f>
        <v/>
      </c>
    </row>
    <row r="5488" spans="1:17" x14ac:dyDescent="0.2">
      <c r="A5488" s="12">
        <f t="shared" ref="A5488:C5488" si="1384">A5487</f>
        <v>45983</v>
      </c>
      <c r="B5488" s="5" t="str">
        <f t="shared" si="1384"/>
        <v>Northern Cardinal</v>
      </c>
      <c r="C5488" s="6">
        <f t="shared" si="1384"/>
        <v>0.28194444444444444</v>
      </c>
      <c r="D5488" s="5"/>
      <c r="E5488" s="5"/>
      <c r="F5488" s="5" t="s">
        <v>8</v>
      </c>
      <c r="G5488" s="15" t="s">
        <v>9</v>
      </c>
      <c r="H5488" s="24">
        <f t="shared" si="1364"/>
        <v>0</v>
      </c>
      <c r="I5488" s="24" cm="1">
        <f t="array" ref="I5488">IFERROR(IF($B5488=I$1, ($A5488+$C5488) - MAX(IF($B$2:$B5487=$B5488, $A$2:$A5487+$C$2:$C5487)), "")*24*60, "")</f>
        <v>0</v>
      </c>
      <c r="J5488" s="24" t="str" cm="1">
        <f t="array" ref="J5488">IFERROR(IF($B5488=J$1, ($A5488+$C5488) - MAX(IF($B$2:$B5487=$B5488, $A$2:$A5487+$C$2:$C5487)), "")*24*60, "")</f>
        <v/>
      </c>
      <c r="K5488" s="24" t="str" cm="1">
        <f t="array" ref="K5488">IFERROR(IF($B5488=K$1, ($A5488+$C5488) - MAX(IF($B$2:$B5487=$B5488, $A$2:$A5487+$C$2:$C5487)), "")*24*60, "")</f>
        <v/>
      </c>
      <c r="L5488" s="24" t="str" cm="1">
        <f t="array" ref="L5488">IFERROR(IF($B5488=L$1, ($A5488+$C5488) - MAX(IF($B$2:$B5487=$B5488, $A$2:$A5487+$C$2:$C5487)), "")*24*60, "")</f>
        <v/>
      </c>
      <c r="M5488" s="24" t="str" cm="1">
        <f t="array" ref="M5488">IFERROR(IF($B5488=M$1, ($A5488+$C5488) - MAX(IF($B$2:$B5487=$B5488, $A$2:$A5487+$C$2:$C5487)), "")*24*60, "")</f>
        <v/>
      </c>
      <c r="N5488" s="24" t="str" cm="1">
        <f t="array" ref="N5488">IFERROR(IF($B5488=N$1, ($A5488+$C5488) - MAX(IF($B$2:$B5487=$B5488, $A$2:$A5487+$C$2:$C5487)), "")*24*60, "")</f>
        <v/>
      </c>
      <c r="O5488" s="24" t="str" cm="1">
        <f t="array" ref="O5488">IFERROR(IF($B5488=O$1, ($A5488+$C5488) - MAX(IF($B$2:$B5487=$B5488, $A$2:$A5487+$C$2:$C5487)), "")*24*60, "")</f>
        <v/>
      </c>
      <c r="P5488" s="24" t="str" cm="1">
        <f t="array" ref="P5488">IFERROR(IF($B5488=P$1, ($A5488+$C5488) - MAX(IF($B$2:$B5487=$B5488, $A$2:$A5487+$C$2:$C5487)), "")*24*60, "")</f>
        <v/>
      </c>
      <c r="Q5488" s="24" t="str" cm="1">
        <f t="array" ref="Q5488">IFERROR(IF($B5488=Q$1, ($A5488+$C5488) - MAX(IF($B$2:$B5487=$B5488, $A$2:$A5487+$C$2:$C5487)), "")*24*60, "")</f>
        <v/>
      </c>
    </row>
    <row r="5489" spans="1:17" x14ac:dyDescent="0.2">
      <c r="A5489" s="12">
        <f t="shared" ref="A5489:C5489" si="1385">A5488</f>
        <v>45983</v>
      </c>
      <c r="B5489" s="5" t="str">
        <f t="shared" si="1385"/>
        <v>Northern Cardinal</v>
      </c>
      <c r="C5489" s="6">
        <f t="shared" si="1385"/>
        <v>0.28194444444444444</v>
      </c>
      <c r="D5489" s="5"/>
      <c r="E5489" s="5"/>
      <c r="F5489" s="5" t="s">
        <v>8</v>
      </c>
      <c r="G5489" s="15" t="s">
        <v>9</v>
      </c>
      <c r="H5489" s="24">
        <f t="shared" si="1364"/>
        <v>0</v>
      </c>
      <c r="I5489" s="24" cm="1">
        <f t="array" ref="I5489">IFERROR(IF($B5489=I$1, ($A5489+$C5489) - MAX(IF($B$2:$B5488=$B5489, $A$2:$A5488+$C$2:$C5488)), "")*24*60, "")</f>
        <v>0</v>
      </c>
      <c r="J5489" s="24" t="str" cm="1">
        <f t="array" ref="J5489">IFERROR(IF($B5489=J$1, ($A5489+$C5489) - MAX(IF($B$2:$B5488=$B5489, $A$2:$A5488+$C$2:$C5488)), "")*24*60, "")</f>
        <v/>
      </c>
      <c r="K5489" s="24" t="str" cm="1">
        <f t="array" ref="K5489">IFERROR(IF($B5489=K$1, ($A5489+$C5489) - MAX(IF($B$2:$B5488=$B5489, $A$2:$A5488+$C$2:$C5488)), "")*24*60, "")</f>
        <v/>
      </c>
      <c r="L5489" s="24" t="str" cm="1">
        <f t="array" ref="L5489">IFERROR(IF($B5489=L$1, ($A5489+$C5489) - MAX(IF($B$2:$B5488=$B5489, $A$2:$A5488+$C$2:$C5488)), "")*24*60, "")</f>
        <v/>
      </c>
      <c r="M5489" s="24" t="str" cm="1">
        <f t="array" ref="M5489">IFERROR(IF($B5489=M$1, ($A5489+$C5489) - MAX(IF($B$2:$B5488=$B5489, $A$2:$A5488+$C$2:$C5488)), "")*24*60, "")</f>
        <v/>
      </c>
      <c r="N5489" s="24" t="str" cm="1">
        <f t="array" ref="N5489">IFERROR(IF($B5489=N$1, ($A5489+$C5489) - MAX(IF($B$2:$B5488=$B5489, $A$2:$A5488+$C$2:$C5488)), "")*24*60, "")</f>
        <v/>
      </c>
      <c r="O5489" s="24" t="str" cm="1">
        <f t="array" ref="O5489">IFERROR(IF($B5489=O$1, ($A5489+$C5489) - MAX(IF($B$2:$B5488=$B5489, $A$2:$A5488+$C$2:$C5488)), "")*24*60, "")</f>
        <v/>
      </c>
      <c r="P5489" s="24" t="str" cm="1">
        <f t="array" ref="P5489">IFERROR(IF($B5489=P$1, ($A5489+$C5489) - MAX(IF($B$2:$B5488=$B5489, $A$2:$A5488+$C$2:$C5488)), "")*24*60, "")</f>
        <v/>
      </c>
      <c r="Q5489" s="24" t="str" cm="1">
        <f t="array" ref="Q5489">IFERROR(IF($B5489=Q$1, ($A5489+$C5489) - MAX(IF($B$2:$B5488=$B5489, $A$2:$A5488+$C$2:$C5488)), "")*24*60, "")</f>
        <v/>
      </c>
    </row>
    <row r="5490" spans="1:17" x14ac:dyDescent="0.2">
      <c r="A5490" s="12">
        <f t="shared" ref="A5490:C5490" si="1386">A5489</f>
        <v>45983</v>
      </c>
      <c r="B5490" s="5" t="str">
        <f t="shared" si="1386"/>
        <v>Northern Cardinal</v>
      </c>
      <c r="C5490" s="6">
        <f t="shared" si="1386"/>
        <v>0.28194444444444444</v>
      </c>
      <c r="D5490" s="5"/>
      <c r="E5490" s="5"/>
      <c r="F5490" s="5" t="s">
        <v>8</v>
      </c>
      <c r="G5490" s="15" t="s">
        <v>9</v>
      </c>
      <c r="H5490" s="24">
        <f t="shared" si="1364"/>
        <v>0</v>
      </c>
      <c r="I5490" s="24" cm="1">
        <f t="array" ref="I5490">IFERROR(IF($B5490=I$1, ($A5490+$C5490) - MAX(IF($B$2:$B5489=$B5490, $A$2:$A5489+$C$2:$C5489)), "")*24*60, "")</f>
        <v>0</v>
      </c>
      <c r="J5490" s="24" t="str" cm="1">
        <f t="array" ref="J5490">IFERROR(IF($B5490=J$1, ($A5490+$C5490) - MAX(IF($B$2:$B5489=$B5490, $A$2:$A5489+$C$2:$C5489)), "")*24*60, "")</f>
        <v/>
      </c>
      <c r="K5490" s="24" t="str" cm="1">
        <f t="array" ref="K5490">IFERROR(IF($B5490=K$1, ($A5490+$C5490) - MAX(IF($B$2:$B5489=$B5490, $A$2:$A5489+$C$2:$C5489)), "")*24*60, "")</f>
        <v/>
      </c>
      <c r="L5490" s="24" t="str" cm="1">
        <f t="array" ref="L5490">IFERROR(IF($B5490=L$1, ($A5490+$C5490) - MAX(IF($B$2:$B5489=$B5490, $A$2:$A5489+$C$2:$C5489)), "")*24*60, "")</f>
        <v/>
      </c>
      <c r="M5490" s="24" t="str" cm="1">
        <f t="array" ref="M5490">IFERROR(IF($B5490=M$1, ($A5490+$C5490) - MAX(IF($B$2:$B5489=$B5490, $A$2:$A5489+$C$2:$C5489)), "")*24*60, "")</f>
        <v/>
      </c>
      <c r="N5490" s="24" t="str" cm="1">
        <f t="array" ref="N5490">IFERROR(IF($B5490=N$1, ($A5490+$C5490) - MAX(IF($B$2:$B5489=$B5490, $A$2:$A5489+$C$2:$C5489)), "")*24*60, "")</f>
        <v/>
      </c>
      <c r="O5490" s="24" t="str" cm="1">
        <f t="array" ref="O5490">IFERROR(IF($B5490=O$1, ($A5490+$C5490) - MAX(IF($B$2:$B5489=$B5490, $A$2:$A5489+$C$2:$C5489)), "")*24*60, "")</f>
        <v/>
      </c>
      <c r="P5490" s="24" t="str" cm="1">
        <f t="array" ref="P5490">IFERROR(IF($B5490=P$1, ($A5490+$C5490) - MAX(IF($B$2:$B5489=$B5490, $A$2:$A5489+$C$2:$C5489)), "")*24*60, "")</f>
        <v/>
      </c>
      <c r="Q5490" s="24" t="str" cm="1">
        <f t="array" ref="Q5490">IFERROR(IF($B5490=Q$1, ($A5490+$C5490) - MAX(IF($B$2:$B5489=$B5490, $A$2:$A5489+$C$2:$C5489)), "")*24*60, "")</f>
        <v/>
      </c>
    </row>
    <row r="5491" spans="1:17" x14ac:dyDescent="0.2">
      <c r="A5491" s="12">
        <f t="shared" ref="A5491:C5491" si="1387">A5490</f>
        <v>45983</v>
      </c>
      <c r="B5491" s="5" t="str">
        <f t="shared" si="1387"/>
        <v>Northern Cardinal</v>
      </c>
      <c r="C5491" s="6">
        <f t="shared" si="1387"/>
        <v>0.28194444444444444</v>
      </c>
      <c r="D5491" s="5"/>
      <c r="E5491" s="5"/>
      <c r="F5491" s="5" t="s">
        <v>8</v>
      </c>
      <c r="G5491" s="15" t="s">
        <v>9</v>
      </c>
      <c r="H5491" s="24">
        <f t="shared" si="1364"/>
        <v>0</v>
      </c>
      <c r="I5491" s="24" cm="1">
        <f t="array" ref="I5491">IFERROR(IF($B5491=I$1, ($A5491+$C5491) - MAX(IF($B$2:$B5490=$B5491, $A$2:$A5490+$C$2:$C5490)), "")*24*60, "")</f>
        <v>0</v>
      </c>
      <c r="J5491" s="24" t="str" cm="1">
        <f t="array" ref="J5491">IFERROR(IF($B5491=J$1, ($A5491+$C5491) - MAX(IF($B$2:$B5490=$B5491, $A$2:$A5490+$C$2:$C5490)), "")*24*60, "")</f>
        <v/>
      </c>
      <c r="K5491" s="24" t="str" cm="1">
        <f t="array" ref="K5491">IFERROR(IF($B5491=K$1, ($A5491+$C5491) - MAX(IF($B$2:$B5490=$B5491, $A$2:$A5490+$C$2:$C5490)), "")*24*60, "")</f>
        <v/>
      </c>
      <c r="L5491" s="24" t="str" cm="1">
        <f t="array" ref="L5491">IFERROR(IF($B5491=L$1, ($A5491+$C5491) - MAX(IF($B$2:$B5490=$B5491, $A$2:$A5490+$C$2:$C5490)), "")*24*60, "")</f>
        <v/>
      </c>
      <c r="M5491" s="24" t="str" cm="1">
        <f t="array" ref="M5491">IFERROR(IF($B5491=M$1, ($A5491+$C5491) - MAX(IF($B$2:$B5490=$B5491, $A$2:$A5490+$C$2:$C5490)), "")*24*60, "")</f>
        <v/>
      </c>
      <c r="N5491" s="24" t="str" cm="1">
        <f t="array" ref="N5491">IFERROR(IF($B5491=N$1, ($A5491+$C5491) - MAX(IF($B$2:$B5490=$B5491, $A$2:$A5490+$C$2:$C5490)), "")*24*60, "")</f>
        <v/>
      </c>
      <c r="O5491" s="24" t="str" cm="1">
        <f t="array" ref="O5491">IFERROR(IF($B5491=O$1, ($A5491+$C5491) - MAX(IF($B$2:$B5490=$B5491, $A$2:$A5490+$C$2:$C5490)), "")*24*60, "")</f>
        <v/>
      </c>
      <c r="P5491" s="24" t="str" cm="1">
        <f t="array" ref="P5491">IFERROR(IF($B5491=P$1, ($A5491+$C5491) - MAX(IF($B$2:$B5490=$B5491, $A$2:$A5490+$C$2:$C5490)), "")*24*60, "")</f>
        <v/>
      </c>
      <c r="Q5491" s="24" t="str" cm="1">
        <f t="array" ref="Q5491">IFERROR(IF($B5491=Q$1, ($A5491+$C5491) - MAX(IF($B$2:$B5490=$B5491, $A$2:$A5490+$C$2:$C5490)), "")*24*60, "")</f>
        <v/>
      </c>
    </row>
    <row r="5492" spans="1:17" x14ac:dyDescent="0.2">
      <c r="A5492" s="12">
        <f t="shared" ref="A5492:C5492" si="1388">A5491</f>
        <v>45983</v>
      </c>
      <c r="B5492" s="5" t="str">
        <f t="shared" si="1388"/>
        <v>Northern Cardinal</v>
      </c>
      <c r="C5492" s="6">
        <f t="shared" si="1388"/>
        <v>0.28194444444444444</v>
      </c>
      <c r="D5492" s="5"/>
      <c r="E5492" s="5"/>
      <c r="F5492" s="5" t="s">
        <v>8</v>
      </c>
      <c r="G5492" s="15" t="s">
        <v>9</v>
      </c>
      <c r="H5492" s="24">
        <f t="shared" si="1364"/>
        <v>0</v>
      </c>
      <c r="I5492" s="24" cm="1">
        <f t="array" ref="I5492">IFERROR(IF($B5492=I$1, ($A5492+$C5492) - MAX(IF($B$2:$B5491=$B5492, $A$2:$A5491+$C$2:$C5491)), "")*24*60, "")</f>
        <v>0</v>
      </c>
      <c r="J5492" s="24" t="str" cm="1">
        <f t="array" ref="J5492">IFERROR(IF($B5492=J$1, ($A5492+$C5492) - MAX(IF($B$2:$B5491=$B5492, $A$2:$A5491+$C$2:$C5491)), "")*24*60, "")</f>
        <v/>
      </c>
      <c r="K5492" s="24" t="str" cm="1">
        <f t="array" ref="K5492">IFERROR(IF($B5492=K$1, ($A5492+$C5492) - MAX(IF($B$2:$B5491=$B5492, $A$2:$A5491+$C$2:$C5491)), "")*24*60, "")</f>
        <v/>
      </c>
      <c r="L5492" s="24" t="str" cm="1">
        <f t="array" ref="L5492">IFERROR(IF($B5492=L$1, ($A5492+$C5492) - MAX(IF($B$2:$B5491=$B5492, $A$2:$A5491+$C$2:$C5491)), "")*24*60, "")</f>
        <v/>
      </c>
      <c r="M5492" s="24" t="str" cm="1">
        <f t="array" ref="M5492">IFERROR(IF($B5492=M$1, ($A5492+$C5492) - MAX(IF($B$2:$B5491=$B5492, $A$2:$A5491+$C$2:$C5491)), "")*24*60, "")</f>
        <v/>
      </c>
      <c r="N5492" s="24" t="str" cm="1">
        <f t="array" ref="N5492">IFERROR(IF($B5492=N$1, ($A5492+$C5492) - MAX(IF($B$2:$B5491=$B5492, $A$2:$A5491+$C$2:$C5491)), "")*24*60, "")</f>
        <v/>
      </c>
      <c r="O5492" s="24" t="str" cm="1">
        <f t="array" ref="O5492">IFERROR(IF($B5492=O$1, ($A5492+$C5492) - MAX(IF($B$2:$B5491=$B5492, $A$2:$A5491+$C$2:$C5491)), "")*24*60, "")</f>
        <v/>
      </c>
      <c r="P5492" s="24" t="str" cm="1">
        <f t="array" ref="P5492">IFERROR(IF($B5492=P$1, ($A5492+$C5492) - MAX(IF($B$2:$B5491=$B5492, $A$2:$A5491+$C$2:$C5491)), "")*24*60, "")</f>
        <v/>
      </c>
      <c r="Q5492" s="24" t="str" cm="1">
        <f t="array" ref="Q5492">IFERROR(IF($B5492=Q$1, ($A5492+$C5492) - MAX(IF($B$2:$B5491=$B5492, $A$2:$A5491+$C$2:$C5491)), "")*24*60, "")</f>
        <v/>
      </c>
    </row>
    <row r="5493" spans="1:17" x14ac:dyDescent="0.2">
      <c r="A5493" s="12">
        <f t="shared" ref="A5493:C5493" si="1389">A5492</f>
        <v>45983</v>
      </c>
      <c r="B5493" s="5" t="str">
        <f t="shared" si="1389"/>
        <v>Northern Cardinal</v>
      </c>
      <c r="C5493" s="6">
        <f t="shared" si="1389"/>
        <v>0.28194444444444444</v>
      </c>
      <c r="D5493" s="5"/>
      <c r="E5493" s="5"/>
      <c r="F5493" s="5" t="s">
        <v>8</v>
      </c>
      <c r="G5493" s="15" t="s">
        <v>9</v>
      </c>
      <c r="H5493" s="24">
        <f t="shared" si="1364"/>
        <v>0</v>
      </c>
      <c r="I5493" s="24" cm="1">
        <f t="array" ref="I5493">IFERROR(IF($B5493=I$1, ($A5493+$C5493) - MAX(IF($B$2:$B5492=$B5493, $A$2:$A5492+$C$2:$C5492)), "")*24*60, "")</f>
        <v>0</v>
      </c>
      <c r="J5493" s="24" t="str" cm="1">
        <f t="array" ref="J5493">IFERROR(IF($B5493=J$1, ($A5493+$C5493) - MAX(IF($B$2:$B5492=$B5493, $A$2:$A5492+$C$2:$C5492)), "")*24*60, "")</f>
        <v/>
      </c>
      <c r="K5493" s="24" t="str" cm="1">
        <f t="array" ref="K5493">IFERROR(IF($B5493=K$1, ($A5493+$C5493) - MAX(IF($B$2:$B5492=$B5493, $A$2:$A5492+$C$2:$C5492)), "")*24*60, "")</f>
        <v/>
      </c>
      <c r="L5493" s="24" t="str" cm="1">
        <f t="array" ref="L5493">IFERROR(IF($B5493=L$1, ($A5493+$C5493) - MAX(IF($B$2:$B5492=$B5493, $A$2:$A5492+$C$2:$C5492)), "")*24*60, "")</f>
        <v/>
      </c>
      <c r="M5493" s="24" t="str" cm="1">
        <f t="array" ref="M5493">IFERROR(IF($B5493=M$1, ($A5493+$C5493) - MAX(IF($B$2:$B5492=$B5493, $A$2:$A5492+$C$2:$C5492)), "")*24*60, "")</f>
        <v/>
      </c>
      <c r="N5493" s="24" t="str" cm="1">
        <f t="array" ref="N5493">IFERROR(IF($B5493=N$1, ($A5493+$C5493) - MAX(IF($B$2:$B5492=$B5493, $A$2:$A5492+$C$2:$C5492)), "")*24*60, "")</f>
        <v/>
      </c>
      <c r="O5493" s="24" t="str" cm="1">
        <f t="array" ref="O5493">IFERROR(IF($B5493=O$1, ($A5493+$C5493) - MAX(IF($B$2:$B5492=$B5493, $A$2:$A5492+$C$2:$C5492)), "")*24*60, "")</f>
        <v/>
      </c>
      <c r="P5493" s="24" t="str" cm="1">
        <f t="array" ref="P5493">IFERROR(IF($B5493=P$1, ($A5493+$C5493) - MAX(IF($B$2:$B5492=$B5493, $A$2:$A5492+$C$2:$C5492)), "")*24*60, "")</f>
        <v/>
      </c>
      <c r="Q5493" s="24" t="str" cm="1">
        <f t="array" ref="Q5493">IFERROR(IF($B5493=Q$1, ($A5493+$C5493) - MAX(IF($B$2:$B5492=$B5493, $A$2:$A5492+$C$2:$C5492)), "")*24*60, "")</f>
        <v/>
      </c>
    </row>
    <row r="5494" spans="1:17" x14ac:dyDescent="0.2">
      <c r="A5494" s="12">
        <f t="shared" ref="A5494:C5494" si="1390">A5493</f>
        <v>45983</v>
      </c>
      <c r="B5494" s="5" t="str">
        <f t="shared" si="1390"/>
        <v>Northern Cardinal</v>
      </c>
      <c r="C5494" s="6">
        <f t="shared" si="1390"/>
        <v>0.28194444444444444</v>
      </c>
      <c r="D5494" s="5"/>
      <c r="E5494" s="5"/>
      <c r="F5494" s="5" t="s">
        <v>8</v>
      </c>
      <c r="G5494" s="15" t="s">
        <v>9</v>
      </c>
      <c r="H5494" s="24">
        <f t="shared" si="1364"/>
        <v>0</v>
      </c>
      <c r="I5494" s="24" cm="1">
        <f t="array" ref="I5494">IFERROR(IF($B5494=I$1, ($A5494+$C5494) - MAX(IF($B$2:$B5493=$B5494, $A$2:$A5493+$C$2:$C5493)), "")*24*60, "")</f>
        <v>0</v>
      </c>
      <c r="J5494" s="24" t="str" cm="1">
        <f t="array" ref="J5494">IFERROR(IF($B5494=J$1, ($A5494+$C5494) - MAX(IF($B$2:$B5493=$B5494, $A$2:$A5493+$C$2:$C5493)), "")*24*60, "")</f>
        <v/>
      </c>
      <c r="K5494" s="24" t="str" cm="1">
        <f t="array" ref="K5494">IFERROR(IF($B5494=K$1, ($A5494+$C5494) - MAX(IF($B$2:$B5493=$B5494, $A$2:$A5493+$C$2:$C5493)), "")*24*60, "")</f>
        <v/>
      </c>
      <c r="L5494" s="24" t="str" cm="1">
        <f t="array" ref="L5494">IFERROR(IF($B5494=L$1, ($A5494+$C5494) - MAX(IF($B$2:$B5493=$B5494, $A$2:$A5493+$C$2:$C5493)), "")*24*60, "")</f>
        <v/>
      </c>
      <c r="M5494" s="24" t="str" cm="1">
        <f t="array" ref="M5494">IFERROR(IF($B5494=M$1, ($A5494+$C5494) - MAX(IF($B$2:$B5493=$B5494, $A$2:$A5493+$C$2:$C5493)), "")*24*60, "")</f>
        <v/>
      </c>
      <c r="N5494" s="24" t="str" cm="1">
        <f t="array" ref="N5494">IFERROR(IF($B5494=N$1, ($A5494+$C5494) - MAX(IF($B$2:$B5493=$B5494, $A$2:$A5493+$C$2:$C5493)), "")*24*60, "")</f>
        <v/>
      </c>
      <c r="O5494" s="24" t="str" cm="1">
        <f t="array" ref="O5494">IFERROR(IF($B5494=O$1, ($A5494+$C5494) - MAX(IF($B$2:$B5493=$B5494, $A$2:$A5493+$C$2:$C5493)), "")*24*60, "")</f>
        <v/>
      </c>
      <c r="P5494" s="24" t="str" cm="1">
        <f t="array" ref="P5494">IFERROR(IF($B5494=P$1, ($A5494+$C5494) - MAX(IF($B$2:$B5493=$B5494, $A$2:$A5493+$C$2:$C5493)), "")*24*60, "")</f>
        <v/>
      </c>
      <c r="Q5494" s="24" t="str" cm="1">
        <f t="array" ref="Q5494">IFERROR(IF($B5494=Q$1, ($A5494+$C5494) - MAX(IF($B$2:$B5493=$B5494, $A$2:$A5493+$C$2:$C5493)), "")*24*60, "")</f>
        <v/>
      </c>
    </row>
    <row r="5495" spans="1:17" x14ac:dyDescent="0.2">
      <c r="A5495" s="12">
        <f t="shared" ref="A5495:C5495" si="1391">A5494</f>
        <v>45983</v>
      </c>
      <c r="B5495" s="5" t="str">
        <f t="shared" si="1391"/>
        <v>Northern Cardinal</v>
      </c>
      <c r="C5495" s="6">
        <f t="shared" si="1391"/>
        <v>0.28194444444444444</v>
      </c>
      <c r="D5495" s="5"/>
      <c r="E5495" s="5"/>
      <c r="F5495" s="5" t="s">
        <v>8</v>
      </c>
      <c r="G5495" s="15" t="s">
        <v>9</v>
      </c>
      <c r="H5495" s="24">
        <f t="shared" si="1364"/>
        <v>0</v>
      </c>
      <c r="I5495" s="24" cm="1">
        <f t="array" ref="I5495">IFERROR(IF($B5495=I$1, ($A5495+$C5495) - MAX(IF($B$2:$B5494=$B5495, $A$2:$A5494+$C$2:$C5494)), "")*24*60, "")</f>
        <v>0</v>
      </c>
      <c r="J5495" s="24" t="str" cm="1">
        <f t="array" ref="J5495">IFERROR(IF($B5495=J$1, ($A5495+$C5495) - MAX(IF($B$2:$B5494=$B5495, $A$2:$A5494+$C$2:$C5494)), "")*24*60, "")</f>
        <v/>
      </c>
      <c r="K5495" s="24" t="str" cm="1">
        <f t="array" ref="K5495">IFERROR(IF($B5495=K$1, ($A5495+$C5495) - MAX(IF($B$2:$B5494=$B5495, $A$2:$A5494+$C$2:$C5494)), "")*24*60, "")</f>
        <v/>
      </c>
      <c r="L5495" s="24" t="str" cm="1">
        <f t="array" ref="L5495">IFERROR(IF($B5495=L$1, ($A5495+$C5495) - MAX(IF($B$2:$B5494=$B5495, $A$2:$A5494+$C$2:$C5494)), "")*24*60, "")</f>
        <v/>
      </c>
      <c r="M5495" s="24" t="str" cm="1">
        <f t="array" ref="M5495">IFERROR(IF($B5495=M$1, ($A5495+$C5495) - MAX(IF($B$2:$B5494=$B5495, $A$2:$A5494+$C$2:$C5494)), "")*24*60, "")</f>
        <v/>
      </c>
      <c r="N5495" s="24" t="str" cm="1">
        <f t="array" ref="N5495">IFERROR(IF($B5495=N$1, ($A5495+$C5495) - MAX(IF($B$2:$B5494=$B5495, $A$2:$A5494+$C$2:$C5494)), "")*24*60, "")</f>
        <v/>
      </c>
      <c r="O5495" s="24" t="str" cm="1">
        <f t="array" ref="O5495">IFERROR(IF($B5495=O$1, ($A5495+$C5495) - MAX(IF($B$2:$B5494=$B5495, $A$2:$A5494+$C$2:$C5494)), "")*24*60, "")</f>
        <v/>
      </c>
      <c r="P5495" s="24" t="str" cm="1">
        <f t="array" ref="P5495">IFERROR(IF($B5495=P$1, ($A5495+$C5495) - MAX(IF($B$2:$B5494=$B5495, $A$2:$A5494+$C$2:$C5494)), "")*24*60, "")</f>
        <v/>
      </c>
      <c r="Q5495" s="24" t="str" cm="1">
        <f t="array" ref="Q5495">IFERROR(IF($B5495=Q$1, ($A5495+$C5495) - MAX(IF($B$2:$B5494=$B5495, $A$2:$A5494+$C$2:$C5494)), "")*24*60, "")</f>
        <v/>
      </c>
    </row>
    <row r="5496" spans="1:17" x14ac:dyDescent="0.2">
      <c r="A5496" s="12">
        <f t="shared" ref="A5496:C5496" si="1392">A5495</f>
        <v>45983</v>
      </c>
      <c r="B5496" s="5" t="str">
        <f t="shared" si="1392"/>
        <v>Northern Cardinal</v>
      </c>
      <c r="C5496" s="6">
        <f t="shared" si="1392"/>
        <v>0.28194444444444444</v>
      </c>
      <c r="D5496" s="5"/>
      <c r="E5496" s="5"/>
      <c r="F5496" s="5" t="s">
        <v>8</v>
      </c>
      <c r="G5496" s="15" t="s">
        <v>9</v>
      </c>
      <c r="H5496" s="24">
        <f t="shared" si="1364"/>
        <v>0</v>
      </c>
      <c r="I5496" s="24" cm="1">
        <f t="array" ref="I5496">IFERROR(IF($B5496=I$1, ($A5496+$C5496) - MAX(IF($B$2:$B5495=$B5496, $A$2:$A5495+$C$2:$C5495)), "")*24*60, "")</f>
        <v>0</v>
      </c>
      <c r="J5496" s="24" t="str" cm="1">
        <f t="array" ref="J5496">IFERROR(IF($B5496=J$1, ($A5496+$C5496) - MAX(IF($B$2:$B5495=$B5496, $A$2:$A5495+$C$2:$C5495)), "")*24*60, "")</f>
        <v/>
      </c>
      <c r="K5496" s="24" t="str" cm="1">
        <f t="array" ref="K5496">IFERROR(IF($B5496=K$1, ($A5496+$C5496) - MAX(IF($B$2:$B5495=$B5496, $A$2:$A5495+$C$2:$C5495)), "")*24*60, "")</f>
        <v/>
      </c>
      <c r="L5496" s="24" t="str" cm="1">
        <f t="array" ref="L5496">IFERROR(IF($B5496=L$1, ($A5496+$C5496) - MAX(IF($B$2:$B5495=$B5496, $A$2:$A5495+$C$2:$C5495)), "")*24*60, "")</f>
        <v/>
      </c>
      <c r="M5496" s="24" t="str" cm="1">
        <f t="array" ref="M5496">IFERROR(IF($B5496=M$1, ($A5496+$C5496) - MAX(IF($B$2:$B5495=$B5496, $A$2:$A5495+$C$2:$C5495)), "")*24*60, "")</f>
        <v/>
      </c>
      <c r="N5496" s="24" t="str" cm="1">
        <f t="array" ref="N5496">IFERROR(IF($B5496=N$1, ($A5496+$C5496) - MAX(IF($B$2:$B5495=$B5496, $A$2:$A5495+$C$2:$C5495)), "")*24*60, "")</f>
        <v/>
      </c>
      <c r="O5496" s="24" t="str" cm="1">
        <f t="array" ref="O5496">IFERROR(IF($B5496=O$1, ($A5496+$C5496) - MAX(IF($B$2:$B5495=$B5496, $A$2:$A5495+$C$2:$C5495)), "")*24*60, "")</f>
        <v/>
      </c>
      <c r="P5496" s="24" t="str" cm="1">
        <f t="array" ref="P5496">IFERROR(IF($B5496=P$1, ($A5496+$C5496) - MAX(IF($B$2:$B5495=$B5496, $A$2:$A5495+$C$2:$C5495)), "")*24*60, "")</f>
        <v/>
      </c>
      <c r="Q5496" s="24" t="str" cm="1">
        <f t="array" ref="Q5496">IFERROR(IF($B5496=Q$1, ($A5496+$C5496) - MAX(IF($B$2:$B5495=$B5496, $A$2:$A5495+$C$2:$C5495)), "")*24*60, "")</f>
        <v/>
      </c>
    </row>
    <row r="5497" spans="1:17" x14ac:dyDescent="0.2">
      <c r="A5497" s="12">
        <f t="shared" ref="A5497:C5497" si="1393">A5496</f>
        <v>45983</v>
      </c>
      <c r="B5497" s="5" t="str">
        <f t="shared" si="1393"/>
        <v>Northern Cardinal</v>
      </c>
      <c r="C5497" s="6">
        <f t="shared" si="1393"/>
        <v>0.28194444444444444</v>
      </c>
      <c r="D5497" s="5"/>
      <c r="E5497" s="5"/>
      <c r="F5497" s="5" t="s">
        <v>8</v>
      </c>
      <c r="G5497" s="15" t="s">
        <v>9</v>
      </c>
      <c r="H5497" s="24">
        <f t="shared" si="1364"/>
        <v>0</v>
      </c>
      <c r="I5497" s="24" cm="1">
        <f t="array" ref="I5497">IFERROR(IF($B5497=I$1, ($A5497+$C5497) - MAX(IF($B$2:$B5496=$B5497, $A$2:$A5496+$C$2:$C5496)), "")*24*60, "")</f>
        <v>0</v>
      </c>
      <c r="J5497" s="24" t="str" cm="1">
        <f t="array" ref="J5497">IFERROR(IF($B5497=J$1, ($A5497+$C5497) - MAX(IF($B$2:$B5496=$B5497, $A$2:$A5496+$C$2:$C5496)), "")*24*60, "")</f>
        <v/>
      </c>
      <c r="K5497" s="24" t="str" cm="1">
        <f t="array" ref="K5497">IFERROR(IF($B5497=K$1, ($A5497+$C5497) - MAX(IF($B$2:$B5496=$B5497, $A$2:$A5496+$C$2:$C5496)), "")*24*60, "")</f>
        <v/>
      </c>
      <c r="L5497" s="24" t="str" cm="1">
        <f t="array" ref="L5497">IFERROR(IF($B5497=L$1, ($A5497+$C5497) - MAX(IF($B$2:$B5496=$B5497, $A$2:$A5496+$C$2:$C5496)), "")*24*60, "")</f>
        <v/>
      </c>
      <c r="M5497" s="24" t="str" cm="1">
        <f t="array" ref="M5497">IFERROR(IF($B5497=M$1, ($A5497+$C5497) - MAX(IF($B$2:$B5496=$B5497, $A$2:$A5496+$C$2:$C5496)), "")*24*60, "")</f>
        <v/>
      </c>
      <c r="N5497" s="24" t="str" cm="1">
        <f t="array" ref="N5497">IFERROR(IF($B5497=N$1, ($A5497+$C5497) - MAX(IF($B$2:$B5496=$B5497, $A$2:$A5496+$C$2:$C5496)), "")*24*60, "")</f>
        <v/>
      </c>
      <c r="O5497" s="24" t="str" cm="1">
        <f t="array" ref="O5497">IFERROR(IF($B5497=O$1, ($A5497+$C5497) - MAX(IF($B$2:$B5496=$B5497, $A$2:$A5496+$C$2:$C5496)), "")*24*60, "")</f>
        <v/>
      </c>
      <c r="P5497" s="24" t="str" cm="1">
        <f t="array" ref="P5497">IFERROR(IF($B5497=P$1, ($A5497+$C5497) - MAX(IF($B$2:$B5496=$B5497, $A$2:$A5496+$C$2:$C5496)), "")*24*60, "")</f>
        <v/>
      </c>
      <c r="Q5497" s="24" t="str" cm="1">
        <f t="array" ref="Q5497">IFERROR(IF($B5497=Q$1, ($A5497+$C5497) - MAX(IF($B$2:$B5496=$B5497, $A$2:$A5496+$C$2:$C5496)), "")*24*60, "")</f>
        <v/>
      </c>
    </row>
    <row r="5498" spans="1:17" x14ac:dyDescent="0.2">
      <c r="A5498" s="12">
        <f t="shared" ref="A5498:C5498" si="1394">A5497</f>
        <v>45983</v>
      </c>
      <c r="B5498" s="5" t="str">
        <f t="shared" si="1394"/>
        <v>Northern Cardinal</v>
      </c>
      <c r="C5498" s="6">
        <f t="shared" si="1394"/>
        <v>0.28194444444444444</v>
      </c>
      <c r="D5498" s="5"/>
      <c r="E5498" s="5"/>
      <c r="F5498" s="5" t="s">
        <v>8</v>
      </c>
      <c r="G5498" s="15" t="s">
        <v>9</v>
      </c>
      <c r="H5498" s="24">
        <f t="shared" si="1364"/>
        <v>0</v>
      </c>
      <c r="I5498" s="24" cm="1">
        <f t="array" ref="I5498">IFERROR(IF($B5498=I$1, ($A5498+$C5498) - MAX(IF($B$2:$B5497=$B5498, $A$2:$A5497+$C$2:$C5497)), "")*24*60, "")</f>
        <v>0</v>
      </c>
      <c r="J5498" s="24" t="str" cm="1">
        <f t="array" ref="J5498">IFERROR(IF($B5498=J$1, ($A5498+$C5498) - MAX(IF($B$2:$B5497=$B5498, $A$2:$A5497+$C$2:$C5497)), "")*24*60, "")</f>
        <v/>
      </c>
      <c r="K5498" s="24" t="str" cm="1">
        <f t="array" ref="K5498">IFERROR(IF($B5498=K$1, ($A5498+$C5498) - MAX(IF($B$2:$B5497=$B5498, $A$2:$A5497+$C$2:$C5497)), "")*24*60, "")</f>
        <v/>
      </c>
      <c r="L5498" s="24" t="str" cm="1">
        <f t="array" ref="L5498">IFERROR(IF($B5498=L$1, ($A5498+$C5498) - MAX(IF($B$2:$B5497=$B5498, $A$2:$A5497+$C$2:$C5497)), "")*24*60, "")</f>
        <v/>
      </c>
      <c r="M5498" s="24" t="str" cm="1">
        <f t="array" ref="M5498">IFERROR(IF($B5498=M$1, ($A5498+$C5498) - MAX(IF($B$2:$B5497=$B5498, $A$2:$A5497+$C$2:$C5497)), "")*24*60, "")</f>
        <v/>
      </c>
      <c r="N5498" s="24" t="str" cm="1">
        <f t="array" ref="N5498">IFERROR(IF($B5498=N$1, ($A5498+$C5498) - MAX(IF($B$2:$B5497=$B5498, $A$2:$A5497+$C$2:$C5497)), "")*24*60, "")</f>
        <v/>
      </c>
      <c r="O5498" s="24" t="str" cm="1">
        <f t="array" ref="O5498">IFERROR(IF($B5498=O$1, ($A5498+$C5498) - MAX(IF($B$2:$B5497=$B5498, $A$2:$A5497+$C$2:$C5497)), "")*24*60, "")</f>
        <v/>
      </c>
      <c r="P5498" s="24" t="str" cm="1">
        <f t="array" ref="P5498">IFERROR(IF($B5498=P$1, ($A5498+$C5498) - MAX(IF($B$2:$B5497=$B5498, $A$2:$A5497+$C$2:$C5497)), "")*24*60, "")</f>
        <v/>
      </c>
      <c r="Q5498" s="24" t="str" cm="1">
        <f t="array" ref="Q5498">IFERROR(IF($B5498=Q$1, ($A5498+$C5498) - MAX(IF($B$2:$B5497=$B5498, $A$2:$A5497+$C$2:$C5497)), "")*24*60, "")</f>
        <v/>
      </c>
    </row>
    <row r="5499" spans="1:17" x14ac:dyDescent="0.2">
      <c r="A5499" s="12">
        <f t="shared" ref="A5499:C5499" si="1395">A5498</f>
        <v>45983</v>
      </c>
      <c r="B5499" s="5" t="str">
        <f t="shared" si="1395"/>
        <v>Northern Cardinal</v>
      </c>
      <c r="C5499" s="6">
        <f t="shared" si="1395"/>
        <v>0.28194444444444444</v>
      </c>
      <c r="D5499" s="5"/>
      <c r="E5499" s="5"/>
      <c r="F5499" s="5" t="s">
        <v>8</v>
      </c>
      <c r="G5499" s="15" t="s">
        <v>9</v>
      </c>
      <c r="H5499" s="24">
        <f t="shared" si="1364"/>
        <v>0</v>
      </c>
      <c r="I5499" s="24" cm="1">
        <f t="array" ref="I5499">IFERROR(IF($B5499=I$1, ($A5499+$C5499) - MAX(IF($B$2:$B5498=$B5499, $A$2:$A5498+$C$2:$C5498)), "")*24*60, "")</f>
        <v>0</v>
      </c>
      <c r="J5499" s="24" t="str" cm="1">
        <f t="array" ref="J5499">IFERROR(IF($B5499=J$1, ($A5499+$C5499) - MAX(IF($B$2:$B5498=$B5499, $A$2:$A5498+$C$2:$C5498)), "")*24*60, "")</f>
        <v/>
      </c>
      <c r="K5499" s="24" t="str" cm="1">
        <f t="array" ref="K5499">IFERROR(IF($B5499=K$1, ($A5499+$C5499) - MAX(IF($B$2:$B5498=$B5499, $A$2:$A5498+$C$2:$C5498)), "")*24*60, "")</f>
        <v/>
      </c>
      <c r="L5499" s="24" t="str" cm="1">
        <f t="array" ref="L5499">IFERROR(IF($B5499=L$1, ($A5499+$C5499) - MAX(IF($B$2:$B5498=$B5499, $A$2:$A5498+$C$2:$C5498)), "")*24*60, "")</f>
        <v/>
      </c>
      <c r="M5499" s="24" t="str" cm="1">
        <f t="array" ref="M5499">IFERROR(IF($B5499=M$1, ($A5499+$C5499) - MAX(IF($B$2:$B5498=$B5499, $A$2:$A5498+$C$2:$C5498)), "")*24*60, "")</f>
        <v/>
      </c>
      <c r="N5499" s="24" t="str" cm="1">
        <f t="array" ref="N5499">IFERROR(IF($B5499=N$1, ($A5499+$C5499) - MAX(IF($B$2:$B5498=$B5499, $A$2:$A5498+$C$2:$C5498)), "")*24*60, "")</f>
        <v/>
      </c>
      <c r="O5499" s="24" t="str" cm="1">
        <f t="array" ref="O5499">IFERROR(IF($B5499=O$1, ($A5499+$C5499) - MAX(IF($B$2:$B5498=$B5499, $A$2:$A5498+$C$2:$C5498)), "")*24*60, "")</f>
        <v/>
      </c>
      <c r="P5499" s="24" t="str" cm="1">
        <f t="array" ref="P5499">IFERROR(IF($B5499=P$1, ($A5499+$C5499) - MAX(IF($B$2:$B5498=$B5499, $A$2:$A5498+$C$2:$C5498)), "")*24*60, "")</f>
        <v/>
      </c>
      <c r="Q5499" s="24" t="str" cm="1">
        <f t="array" ref="Q5499">IFERROR(IF($B5499=Q$1, ($A5499+$C5499) - MAX(IF($B$2:$B5498=$B5499, $A$2:$A5498+$C$2:$C5498)), "")*24*60, "")</f>
        <v/>
      </c>
    </row>
    <row r="5500" spans="1:17" x14ac:dyDescent="0.2">
      <c r="A5500" s="12">
        <f t="shared" ref="A5500:C5500" si="1396">A5499</f>
        <v>45983</v>
      </c>
      <c r="B5500" s="5" t="str">
        <f t="shared" si="1396"/>
        <v>Northern Cardinal</v>
      </c>
      <c r="C5500" s="6">
        <f t="shared" si="1396"/>
        <v>0.28194444444444444</v>
      </c>
      <c r="D5500" s="5"/>
      <c r="E5500" s="5"/>
      <c r="F5500" s="5" t="s">
        <v>8</v>
      </c>
      <c r="G5500" s="15" t="s">
        <v>9</v>
      </c>
      <c r="H5500" s="24">
        <f t="shared" si="1364"/>
        <v>0</v>
      </c>
      <c r="I5500" s="24" cm="1">
        <f t="array" ref="I5500">IFERROR(IF($B5500=I$1, ($A5500+$C5500) - MAX(IF($B$2:$B5499=$B5500, $A$2:$A5499+$C$2:$C5499)), "")*24*60, "")</f>
        <v>0</v>
      </c>
      <c r="J5500" s="24" t="str" cm="1">
        <f t="array" ref="J5500">IFERROR(IF($B5500=J$1, ($A5500+$C5500) - MAX(IF($B$2:$B5499=$B5500, $A$2:$A5499+$C$2:$C5499)), "")*24*60, "")</f>
        <v/>
      </c>
      <c r="K5500" s="24" t="str" cm="1">
        <f t="array" ref="K5500">IFERROR(IF($B5500=K$1, ($A5500+$C5500) - MAX(IF($B$2:$B5499=$B5500, $A$2:$A5499+$C$2:$C5499)), "")*24*60, "")</f>
        <v/>
      </c>
      <c r="L5500" s="24" t="str" cm="1">
        <f t="array" ref="L5500">IFERROR(IF($B5500=L$1, ($A5500+$C5500) - MAX(IF($B$2:$B5499=$B5500, $A$2:$A5499+$C$2:$C5499)), "")*24*60, "")</f>
        <v/>
      </c>
      <c r="M5500" s="24" t="str" cm="1">
        <f t="array" ref="M5500">IFERROR(IF($B5500=M$1, ($A5500+$C5500) - MAX(IF($B$2:$B5499=$B5500, $A$2:$A5499+$C$2:$C5499)), "")*24*60, "")</f>
        <v/>
      </c>
      <c r="N5500" s="24" t="str" cm="1">
        <f t="array" ref="N5500">IFERROR(IF($B5500=N$1, ($A5500+$C5500) - MAX(IF($B$2:$B5499=$B5500, $A$2:$A5499+$C$2:$C5499)), "")*24*60, "")</f>
        <v/>
      </c>
      <c r="O5500" s="24" t="str" cm="1">
        <f t="array" ref="O5500">IFERROR(IF($B5500=O$1, ($A5500+$C5500) - MAX(IF($B$2:$B5499=$B5500, $A$2:$A5499+$C$2:$C5499)), "")*24*60, "")</f>
        <v/>
      </c>
      <c r="P5500" s="24" t="str" cm="1">
        <f t="array" ref="P5500">IFERROR(IF($B5500=P$1, ($A5500+$C5500) - MAX(IF($B$2:$B5499=$B5500, $A$2:$A5499+$C$2:$C5499)), "")*24*60, "")</f>
        <v/>
      </c>
      <c r="Q5500" s="24" t="str" cm="1">
        <f t="array" ref="Q5500">IFERROR(IF($B5500=Q$1, ($A5500+$C5500) - MAX(IF($B$2:$B5499=$B5500, $A$2:$A5499+$C$2:$C5499)), "")*24*60, "")</f>
        <v/>
      </c>
    </row>
    <row r="5501" spans="1:17" x14ac:dyDescent="0.2">
      <c r="A5501" s="12">
        <f t="shared" ref="A5501:C5501" si="1397">A5500</f>
        <v>45983</v>
      </c>
      <c r="B5501" s="5" t="str">
        <f t="shared" si="1397"/>
        <v>Northern Cardinal</v>
      </c>
      <c r="C5501" s="6">
        <f t="shared" si="1397"/>
        <v>0.28194444444444444</v>
      </c>
      <c r="D5501" s="5"/>
      <c r="E5501" s="5"/>
      <c r="F5501" s="5" t="s">
        <v>8</v>
      </c>
      <c r="G5501" s="15" t="s">
        <v>9</v>
      </c>
      <c r="H5501" s="24">
        <f t="shared" si="1364"/>
        <v>0</v>
      </c>
      <c r="I5501" s="24" cm="1">
        <f t="array" ref="I5501">IFERROR(IF($B5501=I$1, ($A5501+$C5501) - MAX(IF($B$2:$B5500=$B5501, $A$2:$A5500+$C$2:$C5500)), "")*24*60, "")</f>
        <v>0</v>
      </c>
      <c r="J5501" s="24" t="str" cm="1">
        <f t="array" ref="J5501">IFERROR(IF($B5501=J$1, ($A5501+$C5501) - MAX(IF($B$2:$B5500=$B5501, $A$2:$A5500+$C$2:$C5500)), "")*24*60, "")</f>
        <v/>
      </c>
      <c r="K5501" s="24" t="str" cm="1">
        <f t="array" ref="K5501">IFERROR(IF($B5501=K$1, ($A5501+$C5501) - MAX(IF($B$2:$B5500=$B5501, $A$2:$A5500+$C$2:$C5500)), "")*24*60, "")</f>
        <v/>
      </c>
      <c r="L5501" s="24" t="str" cm="1">
        <f t="array" ref="L5501">IFERROR(IF($B5501=L$1, ($A5501+$C5501) - MAX(IF($B$2:$B5500=$B5501, $A$2:$A5500+$C$2:$C5500)), "")*24*60, "")</f>
        <v/>
      </c>
      <c r="M5501" s="24" t="str" cm="1">
        <f t="array" ref="M5501">IFERROR(IF($B5501=M$1, ($A5501+$C5501) - MAX(IF($B$2:$B5500=$B5501, $A$2:$A5500+$C$2:$C5500)), "")*24*60, "")</f>
        <v/>
      </c>
      <c r="N5501" s="24" t="str" cm="1">
        <f t="array" ref="N5501">IFERROR(IF($B5501=N$1, ($A5501+$C5501) - MAX(IF($B$2:$B5500=$B5501, $A$2:$A5500+$C$2:$C5500)), "")*24*60, "")</f>
        <v/>
      </c>
      <c r="O5501" s="24" t="str" cm="1">
        <f t="array" ref="O5501">IFERROR(IF($B5501=O$1, ($A5501+$C5501) - MAX(IF($B$2:$B5500=$B5501, $A$2:$A5500+$C$2:$C5500)), "")*24*60, "")</f>
        <v/>
      </c>
      <c r="P5501" s="24" t="str" cm="1">
        <f t="array" ref="P5501">IFERROR(IF($B5501=P$1, ($A5501+$C5501) - MAX(IF($B$2:$B5500=$B5501, $A$2:$A5500+$C$2:$C5500)), "")*24*60, "")</f>
        <v/>
      </c>
      <c r="Q5501" s="24" t="str" cm="1">
        <f t="array" ref="Q5501">IFERROR(IF($B5501=Q$1, ($A5501+$C5501) - MAX(IF($B$2:$B5500=$B5501, $A$2:$A5500+$C$2:$C5500)), "")*24*60, "")</f>
        <v/>
      </c>
    </row>
    <row r="5502" spans="1:17" x14ac:dyDescent="0.2">
      <c r="A5502" s="12">
        <f t="shared" ref="A5502:C5502" si="1398">A5501</f>
        <v>45983</v>
      </c>
      <c r="B5502" s="5" t="str">
        <f t="shared" si="1398"/>
        <v>Northern Cardinal</v>
      </c>
      <c r="C5502" s="6">
        <f t="shared" si="1398"/>
        <v>0.28194444444444444</v>
      </c>
      <c r="D5502" s="5"/>
      <c r="E5502" s="5"/>
      <c r="F5502" s="5" t="s">
        <v>8</v>
      </c>
      <c r="G5502" s="15" t="s">
        <v>9</v>
      </c>
      <c r="H5502" s="24">
        <f t="shared" si="1364"/>
        <v>0</v>
      </c>
      <c r="I5502" s="24" cm="1">
        <f t="array" ref="I5502">IFERROR(IF($B5502=I$1, ($A5502+$C5502) - MAX(IF($B$2:$B5501=$B5502, $A$2:$A5501+$C$2:$C5501)), "")*24*60, "")</f>
        <v>0</v>
      </c>
      <c r="J5502" s="24" t="str" cm="1">
        <f t="array" ref="J5502">IFERROR(IF($B5502=J$1, ($A5502+$C5502) - MAX(IF($B$2:$B5501=$B5502, $A$2:$A5501+$C$2:$C5501)), "")*24*60, "")</f>
        <v/>
      </c>
      <c r="K5502" s="24" t="str" cm="1">
        <f t="array" ref="K5502">IFERROR(IF($B5502=K$1, ($A5502+$C5502) - MAX(IF($B$2:$B5501=$B5502, $A$2:$A5501+$C$2:$C5501)), "")*24*60, "")</f>
        <v/>
      </c>
      <c r="L5502" s="24" t="str" cm="1">
        <f t="array" ref="L5502">IFERROR(IF($B5502=L$1, ($A5502+$C5502) - MAX(IF($B$2:$B5501=$B5502, $A$2:$A5501+$C$2:$C5501)), "")*24*60, "")</f>
        <v/>
      </c>
      <c r="M5502" s="24" t="str" cm="1">
        <f t="array" ref="M5502">IFERROR(IF($B5502=M$1, ($A5502+$C5502) - MAX(IF($B$2:$B5501=$B5502, $A$2:$A5501+$C$2:$C5501)), "")*24*60, "")</f>
        <v/>
      </c>
      <c r="N5502" s="24" t="str" cm="1">
        <f t="array" ref="N5502">IFERROR(IF($B5502=N$1, ($A5502+$C5502) - MAX(IF($B$2:$B5501=$B5502, $A$2:$A5501+$C$2:$C5501)), "")*24*60, "")</f>
        <v/>
      </c>
      <c r="O5502" s="24" t="str" cm="1">
        <f t="array" ref="O5502">IFERROR(IF($B5502=O$1, ($A5502+$C5502) - MAX(IF($B$2:$B5501=$B5502, $A$2:$A5501+$C$2:$C5501)), "")*24*60, "")</f>
        <v/>
      </c>
      <c r="P5502" s="24" t="str" cm="1">
        <f t="array" ref="P5502">IFERROR(IF($B5502=P$1, ($A5502+$C5502) - MAX(IF($B$2:$B5501=$B5502, $A$2:$A5501+$C$2:$C5501)), "")*24*60, "")</f>
        <v/>
      </c>
      <c r="Q5502" s="24" t="str" cm="1">
        <f t="array" ref="Q5502">IFERROR(IF($B5502=Q$1, ($A5502+$C5502) - MAX(IF($B$2:$B5501=$B5502, $A$2:$A5501+$C$2:$C5501)), "")*24*60, "")</f>
        <v/>
      </c>
    </row>
    <row r="5503" spans="1:17" x14ac:dyDescent="0.2">
      <c r="A5503" s="12">
        <f t="shared" ref="A5503:C5503" si="1399">A5502</f>
        <v>45983</v>
      </c>
      <c r="B5503" s="5" t="str">
        <f t="shared" si="1399"/>
        <v>Northern Cardinal</v>
      </c>
      <c r="C5503" s="6">
        <f t="shared" si="1399"/>
        <v>0.28194444444444444</v>
      </c>
      <c r="D5503" s="5"/>
      <c r="E5503" s="5"/>
      <c r="F5503" s="5" t="s">
        <v>8</v>
      </c>
      <c r="G5503" s="15" t="s">
        <v>9</v>
      </c>
      <c r="H5503" s="24">
        <f t="shared" si="1364"/>
        <v>0</v>
      </c>
      <c r="I5503" s="24" cm="1">
        <f t="array" ref="I5503">IFERROR(IF($B5503=I$1, ($A5503+$C5503) - MAX(IF($B$2:$B5502=$B5503, $A$2:$A5502+$C$2:$C5502)), "")*24*60, "")</f>
        <v>0</v>
      </c>
      <c r="J5503" s="24" t="str" cm="1">
        <f t="array" ref="J5503">IFERROR(IF($B5503=J$1, ($A5503+$C5503) - MAX(IF($B$2:$B5502=$B5503, $A$2:$A5502+$C$2:$C5502)), "")*24*60, "")</f>
        <v/>
      </c>
      <c r="K5503" s="24" t="str" cm="1">
        <f t="array" ref="K5503">IFERROR(IF($B5503=K$1, ($A5503+$C5503) - MAX(IF($B$2:$B5502=$B5503, $A$2:$A5502+$C$2:$C5502)), "")*24*60, "")</f>
        <v/>
      </c>
      <c r="L5503" s="24" t="str" cm="1">
        <f t="array" ref="L5503">IFERROR(IF($B5503=L$1, ($A5503+$C5503) - MAX(IF($B$2:$B5502=$B5503, $A$2:$A5502+$C$2:$C5502)), "")*24*60, "")</f>
        <v/>
      </c>
      <c r="M5503" s="24" t="str" cm="1">
        <f t="array" ref="M5503">IFERROR(IF($B5503=M$1, ($A5503+$C5503) - MAX(IF($B$2:$B5502=$B5503, $A$2:$A5502+$C$2:$C5502)), "")*24*60, "")</f>
        <v/>
      </c>
      <c r="N5503" s="24" t="str" cm="1">
        <f t="array" ref="N5503">IFERROR(IF($B5503=N$1, ($A5503+$C5503) - MAX(IF($B$2:$B5502=$B5503, $A$2:$A5502+$C$2:$C5502)), "")*24*60, "")</f>
        <v/>
      </c>
      <c r="O5503" s="24" t="str" cm="1">
        <f t="array" ref="O5503">IFERROR(IF($B5503=O$1, ($A5503+$C5503) - MAX(IF($B$2:$B5502=$B5503, $A$2:$A5502+$C$2:$C5502)), "")*24*60, "")</f>
        <v/>
      </c>
      <c r="P5503" s="24" t="str" cm="1">
        <f t="array" ref="P5503">IFERROR(IF($B5503=P$1, ($A5503+$C5503) - MAX(IF($B$2:$B5502=$B5503, $A$2:$A5502+$C$2:$C5502)), "")*24*60, "")</f>
        <v/>
      </c>
      <c r="Q5503" s="24" t="str" cm="1">
        <f t="array" ref="Q5503">IFERROR(IF($B5503=Q$1, ($A5503+$C5503) - MAX(IF($B$2:$B5502=$B5503, $A$2:$A5502+$C$2:$C5502)), "")*24*60, "")</f>
        <v/>
      </c>
    </row>
    <row r="5504" spans="1:17" x14ac:dyDescent="0.2">
      <c r="A5504" s="12">
        <f t="shared" ref="A5504:C5504" si="1400">A5503</f>
        <v>45983</v>
      </c>
      <c r="B5504" s="5" t="str">
        <f t="shared" si="1400"/>
        <v>Northern Cardinal</v>
      </c>
      <c r="C5504" s="6">
        <f t="shared" si="1400"/>
        <v>0.28194444444444444</v>
      </c>
      <c r="D5504" s="5"/>
      <c r="E5504" s="5"/>
      <c r="F5504" s="5" t="s">
        <v>8</v>
      </c>
      <c r="G5504" s="15" t="s">
        <v>9</v>
      </c>
      <c r="H5504" s="24">
        <f t="shared" si="1364"/>
        <v>0</v>
      </c>
      <c r="I5504" s="24" cm="1">
        <f t="array" ref="I5504">IFERROR(IF($B5504=I$1, ($A5504+$C5504) - MAX(IF($B$2:$B5503=$B5504, $A$2:$A5503+$C$2:$C5503)), "")*24*60, "")</f>
        <v>0</v>
      </c>
      <c r="J5504" s="24" t="str" cm="1">
        <f t="array" ref="J5504">IFERROR(IF($B5504=J$1, ($A5504+$C5504) - MAX(IF($B$2:$B5503=$B5504, $A$2:$A5503+$C$2:$C5503)), "")*24*60, "")</f>
        <v/>
      </c>
      <c r="K5504" s="24" t="str" cm="1">
        <f t="array" ref="K5504">IFERROR(IF($B5504=K$1, ($A5504+$C5504) - MAX(IF($B$2:$B5503=$B5504, $A$2:$A5503+$C$2:$C5503)), "")*24*60, "")</f>
        <v/>
      </c>
      <c r="L5504" s="24" t="str" cm="1">
        <f t="array" ref="L5504">IFERROR(IF($B5504=L$1, ($A5504+$C5504) - MAX(IF($B$2:$B5503=$B5504, $A$2:$A5503+$C$2:$C5503)), "")*24*60, "")</f>
        <v/>
      </c>
      <c r="M5504" s="24" t="str" cm="1">
        <f t="array" ref="M5504">IFERROR(IF($B5504=M$1, ($A5504+$C5504) - MAX(IF($B$2:$B5503=$B5504, $A$2:$A5503+$C$2:$C5503)), "")*24*60, "")</f>
        <v/>
      </c>
      <c r="N5504" s="24" t="str" cm="1">
        <f t="array" ref="N5504">IFERROR(IF($B5504=N$1, ($A5504+$C5504) - MAX(IF($B$2:$B5503=$B5504, $A$2:$A5503+$C$2:$C5503)), "")*24*60, "")</f>
        <v/>
      </c>
      <c r="O5504" s="24" t="str" cm="1">
        <f t="array" ref="O5504">IFERROR(IF($B5504=O$1, ($A5504+$C5504) - MAX(IF($B$2:$B5503=$B5504, $A$2:$A5503+$C$2:$C5503)), "")*24*60, "")</f>
        <v/>
      </c>
      <c r="P5504" s="24" t="str" cm="1">
        <f t="array" ref="P5504">IFERROR(IF($B5504=P$1, ($A5504+$C5504) - MAX(IF($B$2:$B5503=$B5504, $A$2:$A5503+$C$2:$C5503)), "")*24*60, "")</f>
        <v/>
      </c>
      <c r="Q5504" s="24" t="str" cm="1">
        <f t="array" ref="Q5504">IFERROR(IF($B5504=Q$1, ($A5504+$C5504) - MAX(IF($B$2:$B5503=$B5504, $A$2:$A5503+$C$2:$C5503)), "")*24*60, "")</f>
        <v/>
      </c>
    </row>
    <row r="5505" spans="1:17" x14ac:dyDescent="0.2">
      <c r="A5505" s="12">
        <f t="shared" ref="A5505:C5505" si="1401">A5504</f>
        <v>45983</v>
      </c>
      <c r="B5505" s="5" t="str">
        <f t="shared" si="1401"/>
        <v>Northern Cardinal</v>
      </c>
      <c r="C5505" s="6">
        <f t="shared" si="1401"/>
        <v>0.28194444444444444</v>
      </c>
      <c r="D5505" s="5"/>
      <c r="E5505" s="5"/>
      <c r="F5505" s="5" t="s">
        <v>8</v>
      </c>
      <c r="G5505" s="15" t="s">
        <v>9</v>
      </c>
      <c r="H5505" s="24">
        <f t="shared" si="1364"/>
        <v>0</v>
      </c>
      <c r="I5505" s="24" cm="1">
        <f t="array" ref="I5505">IFERROR(IF($B5505=I$1, ($A5505+$C5505) - MAX(IF($B$2:$B5504=$B5505, $A$2:$A5504+$C$2:$C5504)), "")*24*60, "")</f>
        <v>0</v>
      </c>
      <c r="J5505" s="24" t="str" cm="1">
        <f t="array" ref="J5505">IFERROR(IF($B5505=J$1, ($A5505+$C5505) - MAX(IF($B$2:$B5504=$B5505, $A$2:$A5504+$C$2:$C5504)), "")*24*60, "")</f>
        <v/>
      </c>
      <c r="K5505" s="24" t="str" cm="1">
        <f t="array" ref="K5505">IFERROR(IF($B5505=K$1, ($A5505+$C5505) - MAX(IF($B$2:$B5504=$B5505, $A$2:$A5504+$C$2:$C5504)), "")*24*60, "")</f>
        <v/>
      </c>
      <c r="L5505" s="24" t="str" cm="1">
        <f t="array" ref="L5505">IFERROR(IF($B5505=L$1, ($A5505+$C5505) - MAX(IF($B$2:$B5504=$B5505, $A$2:$A5504+$C$2:$C5504)), "")*24*60, "")</f>
        <v/>
      </c>
      <c r="M5505" s="24" t="str" cm="1">
        <f t="array" ref="M5505">IFERROR(IF($B5505=M$1, ($A5505+$C5505) - MAX(IF($B$2:$B5504=$B5505, $A$2:$A5504+$C$2:$C5504)), "")*24*60, "")</f>
        <v/>
      </c>
      <c r="N5505" s="24" t="str" cm="1">
        <f t="array" ref="N5505">IFERROR(IF($B5505=N$1, ($A5505+$C5505) - MAX(IF($B$2:$B5504=$B5505, $A$2:$A5504+$C$2:$C5504)), "")*24*60, "")</f>
        <v/>
      </c>
      <c r="O5505" s="24" t="str" cm="1">
        <f t="array" ref="O5505">IFERROR(IF($B5505=O$1, ($A5505+$C5505) - MAX(IF($B$2:$B5504=$B5505, $A$2:$A5504+$C$2:$C5504)), "")*24*60, "")</f>
        <v/>
      </c>
      <c r="P5505" s="24" t="str" cm="1">
        <f t="array" ref="P5505">IFERROR(IF($B5505=P$1, ($A5505+$C5505) - MAX(IF($B$2:$B5504=$B5505, $A$2:$A5504+$C$2:$C5504)), "")*24*60, "")</f>
        <v/>
      </c>
      <c r="Q5505" s="24" t="str" cm="1">
        <f t="array" ref="Q5505">IFERROR(IF($B5505=Q$1, ($A5505+$C5505) - MAX(IF($B$2:$B5504=$B5505, $A$2:$A5504+$C$2:$C5504)), "")*24*60, "")</f>
        <v/>
      </c>
    </row>
    <row r="5506" spans="1:17" x14ac:dyDescent="0.2">
      <c r="A5506" s="12">
        <f t="shared" ref="A5506:C5506" si="1402">A5505</f>
        <v>45983</v>
      </c>
      <c r="B5506" s="5" t="str">
        <f t="shared" si="1402"/>
        <v>Northern Cardinal</v>
      </c>
      <c r="C5506" s="6">
        <f t="shared" si="1402"/>
        <v>0.28194444444444444</v>
      </c>
      <c r="D5506" s="5"/>
      <c r="E5506" s="5"/>
      <c r="F5506" s="5" t="s">
        <v>8</v>
      </c>
      <c r="G5506" s="15" t="s">
        <v>9</v>
      </c>
      <c r="H5506" s="24">
        <f t="shared" si="1364"/>
        <v>0</v>
      </c>
      <c r="I5506" s="24" cm="1">
        <f t="array" ref="I5506">IFERROR(IF($B5506=I$1, ($A5506+$C5506) - MAX(IF($B$2:$B5505=$B5506, $A$2:$A5505+$C$2:$C5505)), "")*24*60, "")</f>
        <v>0</v>
      </c>
      <c r="J5506" s="24" t="str" cm="1">
        <f t="array" ref="J5506">IFERROR(IF($B5506=J$1, ($A5506+$C5506) - MAX(IF($B$2:$B5505=$B5506, $A$2:$A5505+$C$2:$C5505)), "")*24*60, "")</f>
        <v/>
      </c>
      <c r="K5506" s="24" t="str" cm="1">
        <f t="array" ref="K5506">IFERROR(IF($B5506=K$1, ($A5506+$C5506) - MAX(IF($B$2:$B5505=$B5506, $A$2:$A5505+$C$2:$C5505)), "")*24*60, "")</f>
        <v/>
      </c>
      <c r="L5506" s="24" t="str" cm="1">
        <f t="array" ref="L5506">IFERROR(IF($B5506=L$1, ($A5506+$C5506) - MAX(IF($B$2:$B5505=$B5506, $A$2:$A5505+$C$2:$C5505)), "")*24*60, "")</f>
        <v/>
      </c>
      <c r="M5506" s="24" t="str" cm="1">
        <f t="array" ref="M5506">IFERROR(IF($B5506=M$1, ($A5506+$C5506) - MAX(IF($B$2:$B5505=$B5506, $A$2:$A5505+$C$2:$C5505)), "")*24*60, "")</f>
        <v/>
      </c>
      <c r="N5506" s="24" t="str" cm="1">
        <f t="array" ref="N5506">IFERROR(IF($B5506=N$1, ($A5506+$C5506) - MAX(IF($B$2:$B5505=$B5506, $A$2:$A5505+$C$2:$C5505)), "")*24*60, "")</f>
        <v/>
      </c>
      <c r="O5506" s="24" t="str" cm="1">
        <f t="array" ref="O5506">IFERROR(IF($B5506=O$1, ($A5506+$C5506) - MAX(IF($B$2:$B5505=$B5506, $A$2:$A5505+$C$2:$C5505)), "")*24*60, "")</f>
        <v/>
      </c>
      <c r="P5506" s="24" t="str" cm="1">
        <f t="array" ref="P5506">IFERROR(IF($B5506=P$1, ($A5506+$C5506) - MAX(IF($B$2:$B5505=$B5506, $A$2:$A5505+$C$2:$C5505)), "")*24*60, "")</f>
        <v/>
      </c>
      <c r="Q5506" s="24" t="str" cm="1">
        <f t="array" ref="Q5506">IFERROR(IF($B5506=Q$1, ($A5506+$C5506) - MAX(IF($B$2:$B5505=$B5506, $A$2:$A5505+$C$2:$C5505)), "")*24*60, "")</f>
        <v/>
      </c>
    </row>
    <row r="5507" spans="1:17" x14ac:dyDescent="0.2">
      <c r="A5507" s="12">
        <f t="shared" ref="A5507:C5507" si="1403">A5506</f>
        <v>45983</v>
      </c>
      <c r="B5507" s="5" t="str">
        <f t="shared" si="1403"/>
        <v>Northern Cardinal</v>
      </c>
      <c r="C5507" s="6">
        <f t="shared" si="1403"/>
        <v>0.28194444444444444</v>
      </c>
      <c r="D5507" s="5"/>
      <c r="E5507" s="5"/>
      <c r="F5507" s="5" t="s">
        <v>8</v>
      </c>
      <c r="G5507" s="15" t="s">
        <v>9</v>
      </c>
      <c r="H5507" s="24">
        <f t="shared" si="1364"/>
        <v>0</v>
      </c>
      <c r="I5507" s="24" cm="1">
        <f t="array" ref="I5507">IFERROR(IF($B5507=I$1, ($A5507+$C5507) - MAX(IF($B$2:$B5506=$B5507, $A$2:$A5506+$C$2:$C5506)), "")*24*60, "")</f>
        <v>0</v>
      </c>
      <c r="J5507" s="24" t="str" cm="1">
        <f t="array" ref="J5507">IFERROR(IF($B5507=J$1, ($A5507+$C5507) - MAX(IF($B$2:$B5506=$B5507, $A$2:$A5506+$C$2:$C5506)), "")*24*60, "")</f>
        <v/>
      </c>
      <c r="K5507" s="24" t="str" cm="1">
        <f t="array" ref="K5507">IFERROR(IF($B5507=K$1, ($A5507+$C5507) - MAX(IF($B$2:$B5506=$B5507, $A$2:$A5506+$C$2:$C5506)), "")*24*60, "")</f>
        <v/>
      </c>
      <c r="L5507" s="24" t="str" cm="1">
        <f t="array" ref="L5507">IFERROR(IF($B5507=L$1, ($A5507+$C5507) - MAX(IF($B$2:$B5506=$B5507, $A$2:$A5506+$C$2:$C5506)), "")*24*60, "")</f>
        <v/>
      </c>
      <c r="M5507" s="24" t="str" cm="1">
        <f t="array" ref="M5507">IFERROR(IF($B5507=M$1, ($A5507+$C5507) - MAX(IF($B$2:$B5506=$B5507, $A$2:$A5506+$C$2:$C5506)), "")*24*60, "")</f>
        <v/>
      </c>
      <c r="N5507" s="24" t="str" cm="1">
        <f t="array" ref="N5507">IFERROR(IF($B5507=N$1, ($A5507+$C5507) - MAX(IF($B$2:$B5506=$B5507, $A$2:$A5506+$C$2:$C5506)), "")*24*60, "")</f>
        <v/>
      </c>
      <c r="O5507" s="24" t="str" cm="1">
        <f t="array" ref="O5507">IFERROR(IF($B5507=O$1, ($A5507+$C5507) - MAX(IF($B$2:$B5506=$B5507, $A$2:$A5506+$C$2:$C5506)), "")*24*60, "")</f>
        <v/>
      </c>
      <c r="P5507" s="24" t="str" cm="1">
        <f t="array" ref="P5507">IFERROR(IF($B5507=P$1, ($A5507+$C5507) - MAX(IF($B$2:$B5506=$B5507, $A$2:$A5506+$C$2:$C5506)), "")*24*60, "")</f>
        <v/>
      </c>
      <c r="Q5507" s="24" t="str" cm="1">
        <f t="array" ref="Q5507">IFERROR(IF($B5507=Q$1, ($A5507+$C5507) - MAX(IF($B$2:$B5506=$B5507, $A$2:$A5506+$C$2:$C5506)), "")*24*60, "")</f>
        <v/>
      </c>
    </row>
    <row r="5508" spans="1:17" x14ac:dyDescent="0.2">
      <c r="A5508" s="12">
        <f t="shared" ref="A5508:C5508" si="1404">A5507</f>
        <v>45983</v>
      </c>
      <c r="B5508" s="5" t="str">
        <f t="shared" si="1404"/>
        <v>Northern Cardinal</v>
      </c>
      <c r="C5508" s="6">
        <f t="shared" si="1404"/>
        <v>0.28194444444444444</v>
      </c>
      <c r="D5508" s="5"/>
      <c r="E5508" s="5"/>
      <c r="F5508" s="5" t="s">
        <v>8</v>
      </c>
      <c r="G5508" s="15" t="s">
        <v>9</v>
      </c>
      <c r="H5508" s="24">
        <f t="shared" si="1364"/>
        <v>0</v>
      </c>
      <c r="I5508" s="24" cm="1">
        <f t="array" ref="I5508">IFERROR(IF($B5508=I$1, ($A5508+$C5508) - MAX(IF($B$2:$B5507=$B5508, $A$2:$A5507+$C$2:$C5507)), "")*24*60, "")</f>
        <v>0</v>
      </c>
      <c r="J5508" s="24" t="str" cm="1">
        <f t="array" ref="J5508">IFERROR(IF($B5508=J$1, ($A5508+$C5508) - MAX(IF($B$2:$B5507=$B5508, $A$2:$A5507+$C$2:$C5507)), "")*24*60, "")</f>
        <v/>
      </c>
      <c r="K5508" s="24" t="str" cm="1">
        <f t="array" ref="K5508">IFERROR(IF($B5508=K$1, ($A5508+$C5508) - MAX(IF($B$2:$B5507=$B5508, $A$2:$A5507+$C$2:$C5507)), "")*24*60, "")</f>
        <v/>
      </c>
      <c r="L5508" s="24" t="str" cm="1">
        <f t="array" ref="L5508">IFERROR(IF($B5508=L$1, ($A5508+$C5508) - MAX(IF($B$2:$B5507=$B5508, $A$2:$A5507+$C$2:$C5507)), "")*24*60, "")</f>
        <v/>
      </c>
      <c r="M5508" s="24" t="str" cm="1">
        <f t="array" ref="M5508">IFERROR(IF($B5508=M$1, ($A5508+$C5508) - MAX(IF($B$2:$B5507=$B5508, $A$2:$A5507+$C$2:$C5507)), "")*24*60, "")</f>
        <v/>
      </c>
      <c r="N5508" s="24" t="str" cm="1">
        <f t="array" ref="N5508">IFERROR(IF($B5508=N$1, ($A5508+$C5508) - MAX(IF($B$2:$B5507=$B5508, $A$2:$A5507+$C$2:$C5507)), "")*24*60, "")</f>
        <v/>
      </c>
      <c r="O5508" s="24" t="str" cm="1">
        <f t="array" ref="O5508">IFERROR(IF($B5508=O$1, ($A5508+$C5508) - MAX(IF($B$2:$B5507=$B5508, $A$2:$A5507+$C$2:$C5507)), "")*24*60, "")</f>
        <v/>
      </c>
      <c r="P5508" s="24" t="str" cm="1">
        <f t="array" ref="P5508">IFERROR(IF($B5508=P$1, ($A5508+$C5508) - MAX(IF($B$2:$B5507=$B5508, $A$2:$A5507+$C$2:$C5507)), "")*24*60, "")</f>
        <v/>
      </c>
      <c r="Q5508" s="24" t="str" cm="1">
        <f t="array" ref="Q5508">IFERROR(IF($B5508=Q$1, ($A5508+$C5508) - MAX(IF($B$2:$B5507=$B5508, $A$2:$A5507+$C$2:$C5507)), "")*24*60, "")</f>
        <v/>
      </c>
    </row>
    <row r="5509" spans="1:17" x14ac:dyDescent="0.2">
      <c r="A5509" s="12">
        <f t="shared" ref="A5509:C5509" si="1405">A5508</f>
        <v>45983</v>
      </c>
      <c r="B5509" s="5" t="str">
        <f t="shared" si="1405"/>
        <v>Northern Cardinal</v>
      </c>
      <c r="C5509" s="6">
        <f t="shared" si="1405"/>
        <v>0.28194444444444444</v>
      </c>
      <c r="D5509" s="5"/>
      <c r="E5509" s="5"/>
      <c r="F5509" s="5" t="s">
        <v>8</v>
      </c>
      <c r="G5509" s="15" t="s">
        <v>9</v>
      </c>
      <c r="H5509" s="24">
        <f t="shared" si="1364"/>
        <v>0</v>
      </c>
      <c r="I5509" s="24" cm="1">
        <f t="array" ref="I5509">IFERROR(IF($B5509=I$1, ($A5509+$C5509) - MAX(IF($B$2:$B5508=$B5509, $A$2:$A5508+$C$2:$C5508)), "")*24*60, "")</f>
        <v>0</v>
      </c>
      <c r="J5509" s="24" t="str" cm="1">
        <f t="array" ref="J5509">IFERROR(IF($B5509=J$1, ($A5509+$C5509) - MAX(IF($B$2:$B5508=$B5509, $A$2:$A5508+$C$2:$C5508)), "")*24*60, "")</f>
        <v/>
      </c>
      <c r="K5509" s="24" t="str" cm="1">
        <f t="array" ref="K5509">IFERROR(IF($B5509=K$1, ($A5509+$C5509) - MAX(IF($B$2:$B5508=$B5509, $A$2:$A5508+$C$2:$C5508)), "")*24*60, "")</f>
        <v/>
      </c>
      <c r="L5509" s="24" t="str" cm="1">
        <f t="array" ref="L5509">IFERROR(IF($B5509=L$1, ($A5509+$C5509) - MAX(IF($B$2:$B5508=$B5509, $A$2:$A5508+$C$2:$C5508)), "")*24*60, "")</f>
        <v/>
      </c>
      <c r="M5509" s="24" t="str" cm="1">
        <f t="array" ref="M5509">IFERROR(IF($B5509=M$1, ($A5509+$C5509) - MAX(IF($B$2:$B5508=$B5509, $A$2:$A5508+$C$2:$C5508)), "")*24*60, "")</f>
        <v/>
      </c>
      <c r="N5509" s="24" t="str" cm="1">
        <f t="array" ref="N5509">IFERROR(IF($B5509=N$1, ($A5509+$C5509) - MAX(IF($B$2:$B5508=$B5509, $A$2:$A5508+$C$2:$C5508)), "")*24*60, "")</f>
        <v/>
      </c>
      <c r="O5509" s="24" t="str" cm="1">
        <f t="array" ref="O5509">IFERROR(IF($B5509=O$1, ($A5509+$C5509) - MAX(IF($B$2:$B5508=$B5509, $A$2:$A5508+$C$2:$C5508)), "")*24*60, "")</f>
        <v/>
      </c>
      <c r="P5509" s="24" t="str" cm="1">
        <f t="array" ref="P5509">IFERROR(IF($B5509=P$1, ($A5509+$C5509) - MAX(IF($B$2:$B5508=$B5509, $A$2:$A5508+$C$2:$C5508)), "")*24*60, "")</f>
        <v/>
      </c>
      <c r="Q5509" s="24" t="str" cm="1">
        <f t="array" ref="Q5509">IFERROR(IF($B5509=Q$1, ($A5509+$C5509) - MAX(IF($B$2:$B5508=$B5509, $A$2:$A5508+$C$2:$C5508)), "")*24*60, "")</f>
        <v/>
      </c>
    </row>
    <row r="5510" spans="1:17" x14ac:dyDescent="0.2">
      <c r="A5510" s="12">
        <f t="shared" ref="A5510:C5510" si="1406">A5509</f>
        <v>45983</v>
      </c>
      <c r="B5510" s="5" t="str">
        <f t="shared" si="1406"/>
        <v>Northern Cardinal</v>
      </c>
      <c r="C5510" s="6">
        <f t="shared" si="1406"/>
        <v>0.28194444444444444</v>
      </c>
      <c r="D5510" s="5"/>
      <c r="E5510" s="5"/>
      <c r="F5510" s="5" t="s">
        <v>8</v>
      </c>
      <c r="G5510" s="15" t="s">
        <v>9</v>
      </c>
      <c r="H5510" s="24">
        <f t="shared" si="1364"/>
        <v>0</v>
      </c>
      <c r="I5510" s="24" cm="1">
        <f t="array" ref="I5510">IFERROR(IF($B5510=I$1, ($A5510+$C5510) - MAX(IF($B$2:$B5509=$B5510, $A$2:$A5509+$C$2:$C5509)), "")*24*60, "")</f>
        <v>0</v>
      </c>
      <c r="J5510" s="24" t="str" cm="1">
        <f t="array" ref="J5510">IFERROR(IF($B5510=J$1, ($A5510+$C5510) - MAX(IF($B$2:$B5509=$B5510, $A$2:$A5509+$C$2:$C5509)), "")*24*60, "")</f>
        <v/>
      </c>
      <c r="K5510" s="24" t="str" cm="1">
        <f t="array" ref="K5510">IFERROR(IF($B5510=K$1, ($A5510+$C5510) - MAX(IF($B$2:$B5509=$B5510, $A$2:$A5509+$C$2:$C5509)), "")*24*60, "")</f>
        <v/>
      </c>
      <c r="L5510" s="24" t="str" cm="1">
        <f t="array" ref="L5510">IFERROR(IF($B5510=L$1, ($A5510+$C5510) - MAX(IF($B$2:$B5509=$B5510, $A$2:$A5509+$C$2:$C5509)), "")*24*60, "")</f>
        <v/>
      </c>
      <c r="M5510" s="24" t="str" cm="1">
        <f t="array" ref="M5510">IFERROR(IF($B5510=M$1, ($A5510+$C5510) - MAX(IF($B$2:$B5509=$B5510, $A$2:$A5509+$C$2:$C5509)), "")*24*60, "")</f>
        <v/>
      </c>
      <c r="N5510" s="24" t="str" cm="1">
        <f t="array" ref="N5510">IFERROR(IF($B5510=N$1, ($A5510+$C5510) - MAX(IF($B$2:$B5509=$B5510, $A$2:$A5509+$C$2:$C5509)), "")*24*60, "")</f>
        <v/>
      </c>
      <c r="O5510" s="24" t="str" cm="1">
        <f t="array" ref="O5510">IFERROR(IF($B5510=O$1, ($A5510+$C5510) - MAX(IF($B$2:$B5509=$B5510, $A$2:$A5509+$C$2:$C5509)), "")*24*60, "")</f>
        <v/>
      </c>
      <c r="P5510" s="24" t="str" cm="1">
        <f t="array" ref="P5510">IFERROR(IF($B5510=P$1, ($A5510+$C5510) - MAX(IF($B$2:$B5509=$B5510, $A$2:$A5509+$C$2:$C5509)), "")*24*60, "")</f>
        <v/>
      </c>
      <c r="Q5510" s="24" t="str" cm="1">
        <f t="array" ref="Q5510">IFERROR(IF($B5510=Q$1, ($A5510+$C5510) - MAX(IF($B$2:$B5509=$B5510, $A$2:$A5509+$C$2:$C5509)), "")*24*60, "")</f>
        <v/>
      </c>
    </row>
    <row r="5511" spans="1:17" x14ac:dyDescent="0.2">
      <c r="A5511" s="12">
        <f t="shared" ref="A5511:C5511" si="1407">A5510</f>
        <v>45983</v>
      </c>
      <c r="B5511" s="5" t="str">
        <f t="shared" si="1407"/>
        <v>Northern Cardinal</v>
      </c>
      <c r="C5511" s="6">
        <f t="shared" si="1407"/>
        <v>0.28194444444444444</v>
      </c>
      <c r="D5511" s="5"/>
      <c r="E5511" s="5"/>
      <c r="F5511" s="5" t="s">
        <v>8</v>
      </c>
      <c r="G5511" s="15" t="s">
        <v>9</v>
      </c>
      <c r="H5511" s="24">
        <f t="shared" si="1364"/>
        <v>0</v>
      </c>
      <c r="I5511" s="24" cm="1">
        <f t="array" ref="I5511">IFERROR(IF($B5511=I$1, ($A5511+$C5511) - MAX(IF($B$2:$B5510=$B5511, $A$2:$A5510+$C$2:$C5510)), "")*24*60, "")</f>
        <v>0</v>
      </c>
      <c r="J5511" s="24" t="str" cm="1">
        <f t="array" ref="J5511">IFERROR(IF($B5511=J$1, ($A5511+$C5511) - MAX(IF($B$2:$B5510=$B5511, $A$2:$A5510+$C$2:$C5510)), "")*24*60, "")</f>
        <v/>
      </c>
      <c r="K5511" s="24" t="str" cm="1">
        <f t="array" ref="K5511">IFERROR(IF($B5511=K$1, ($A5511+$C5511) - MAX(IF($B$2:$B5510=$B5511, $A$2:$A5510+$C$2:$C5510)), "")*24*60, "")</f>
        <v/>
      </c>
      <c r="L5511" s="24" t="str" cm="1">
        <f t="array" ref="L5511">IFERROR(IF($B5511=L$1, ($A5511+$C5511) - MAX(IF($B$2:$B5510=$B5511, $A$2:$A5510+$C$2:$C5510)), "")*24*60, "")</f>
        <v/>
      </c>
      <c r="M5511" s="24" t="str" cm="1">
        <f t="array" ref="M5511">IFERROR(IF($B5511=M$1, ($A5511+$C5511) - MAX(IF($B$2:$B5510=$B5511, $A$2:$A5510+$C$2:$C5510)), "")*24*60, "")</f>
        <v/>
      </c>
      <c r="N5511" s="24" t="str" cm="1">
        <f t="array" ref="N5511">IFERROR(IF($B5511=N$1, ($A5511+$C5511) - MAX(IF($B$2:$B5510=$B5511, $A$2:$A5510+$C$2:$C5510)), "")*24*60, "")</f>
        <v/>
      </c>
      <c r="O5511" s="24" t="str" cm="1">
        <f t="array" ref="O5511">IFERROR(IF($B5511=O$1, ($A5511+$C5511) - MAX(IF($B$2:$B5510=$B5511, $A$2:$A5510+$C$2:$C5510)), "")*24*60, "")</f>
        <v/>
      </c>
      <c r="P5511" s="24" t="str" cm="1">
        <f t="array" ref="P5511">IFERROR(IF($B5511=P$1, ($A5511+$C5511) - MAX(IF($B$2:$B5510=$B5511, $A$2:$A5510+$C$2:$C5510)), "")*24*60, "")</f>
        <v/>
      </c>
      <c r="Q5511" s="24" t="str" cm="1">
        <f t="array" ref="Q5511">IFERROR(IF($B5511=Q$1, ($A5511+$C5511) - MAX(IF($B$2:$B5510=$B5511, $A$2:$A5510+$C$2:$C5510)), "")*24*60, "")</f>
        <v/>
      </c>
    </row>
    <row r="5512" spans="1:17" x14ac:dyDescent="0.2">
      <c r="A5512" s="12">
        <f t="shared" ref="A5512:C5512" si="1408">A5511</f>
        <v>45983</v>
      </c>
      <c r="B5512" s="5" t="str">
        <f t="shared" si="1408"/>
        <v>Northern Cardinal</v>
      </c>
      <c r="C5512" s="6">
        <f t="shared" si="1408"/>
        <v>0.28194444444444444</v>
      </c>
      <c r="D5512" s="5"/>
      <c r="E5512" s="5"/>
      <c r="F5512" s="5" t="s">
        <v>8</v>
      </c>
      <c r="G5512" s="15" t="s">
        <v>9</v>
      </c>
      <c r="H5512" s="24">
        <f t="shared" si="1364"/>
        <v>0</v>
      </c>
      <c r="I5512" s="24" cm="1">
        <f t="array" ref="I5512">IFERROR(IF($B5512=I$1, ($A5512+$C5512) - MAX(IF($B$2:$B5511=$B5512, $A$2:$A5511+$C$2:$C5511)), "")*24*60, "")</f>
        <v>0</v>
      </c>
      <c r="J5512" s="24" t="str" cm="1">
        <f t="array" ref="J5512">IFERROR(IF($B5512=J$1, ($A5512+$C5512) - MAX(IF($B$2:$B5511=$B5512, $A$2:$A5511+$C$2:$C5511)), "")*24*60, "")</f>
        <v/>
      </c>
      <c r="K5512" s="24" t="str" cm="1">
        <f t="array" ref="K5512">IFERROR(IF($B5512=K$1, ($A5512+$C5512) - MAX(IF($B$2:$B5511=$B5512, $A$2:$A5511+$C$2:$C5511)), "")*24*60, "")</f>
        <v/>
      </c>
      <c r="L5512" s="24" t="str" cm="1">
        <f t="array" ref="L5512">IFERROR(IF($B5512=L$1, ($A5512+$C5512) - MAX(IF($B$2:$B5511=$B5512, $A$2:$A5511+$C$2:$C5511)), "")*24*60, "")</f>
        <v/>
      </c>
      <c r="M5512" s="24" t="str" cm="1">
        <f t="array" ref="M5512">IFERROR(IF($B5512=M$1, ($A5512+$C5512) - MAX(IF($B$2:$B5511=$B5512, $A$2:$A5511+$C$2:$C5511)), "")*24*60, "")</f>
        <v/>
      </c>
      <c r="N5512" s="24" t="str" cm="1">
        <f t="array" ref="N5512">IFERROR(IF($B5512=N$1, ($A5512+$C5512) - MAX(IF($B$2:$B5511=$B5512, $A$2:$A5511+$C$2:$C5511)), "")*24*60, "")</f>
        <v/>
      </c>
      <c r="O5512" s="24" t="str" cm="1">
        <f t="array" ref="O5512">IFERROR(IF($B5512=O$1, ($A5512+$C5512) - MAX(IF($B$2:$B5511=$B5512, $A$2:$A5511+$C$2:$C5511)), "")*24*60, "")</f>
        <v/>
      </c>
      <c r="P5512" s="24" t="str" cm="1">
        <f t="array" ref="P5512">IFERROR(IF($B5512=P$1, ($A5512+$C5512) - MAX(IF($B$2:$B5511=$B5512, $A$2:$A5511+$C$2:$C5511)), "")*24*60, "")</f>
        <v/>
      </c>
      <c r="Q5512" s="24" t="str" cm="1">
        <f t="array" ref="Q5512">IFERROR(IF($B5512=Q$1, ($A5512+$C5512) - MAX(IF($B$2:$B5511=$B5512, $A$2:$A5511+$C$2:$C5511)), "")*24*60, "")</f>
        <v/>
      </c>
    </row>
    <row r="5513" spans="1:17" x14ac:dyDescent="0.2">
      <c r="A5513" s="12">
        <f t="shared" ref="A5513:C5513" si="1409">A5512</f>
        <v>45983</v>
      </c>
      <c r="B5513" s="5" t="str">
        <f t="shared" si="1409"/>
        <v>Northern Cardinal</v>
      </c>
      <c r="C5513" s="6">
        <f t="shared" si="1409"/>
        <v>0.28194444444444444</v>
      </c>
      <c r="D5513" s="5"/>
      <c r="E5513" s="5"/>
      <c r="F5513" s="5" t="s">
        <v>8</v>
      </c>
      <c r="G5513" s="15" t="s">
        <v>9</v>
      </c>
      <c r="H5513" s="24">
        <f t="shared" si="1364"/>
        <v>0</v>
      </c>
      <c r="I5513" s="24" cm="1">
        <f t="array" ref="I5513">IFERROR(IF($B5513=I$1, ($A5513+$C5513) - MAX(IF($B$2:$B5512=$B5513, $A$2:$A5512+$C$2:$C5512)), "")*24*60, "")</f>
        <v>0</v>
      </c>
      <c r="J5513" s="24" t="str" cm="1">
        <f t="array" ref="J5513">IFERROR(IF($B5513=J$1, ($A5513+$C5513) - MAX(IF($B$2:$B5512=$B5513, $A$2:$A5512+$C$2:$C5512)), "")*24*60, "")</f>
        <v/>
      </c>
      <c r="K5513" s="24" t="str" cm="1">
        <f t="array" ref="K5513">IFERROR(IF($B5513=K$1, ($A5513+$C5513) - MAX(IF($B$2:$B5512=$B5513, $A$2:$A5512+$C$2:$C5512)), "")*24*60, "")</f>
        <v/>
      </c>
      <c r="L5513" s="24" t="str" cm="1">
        <f t="array" ref="L5513">IFERROR(IF($B5513=L$1, ($A5513+$C5513) - MAX(IF($B$2:$B5512=$B5513, $A$2:$A5512+$C$2:$C5512)), "")*24*60, "")</f>
        <v/>
      </c>
      <c r="M5513" s="24" t="str" cm="1">
        <f t="array" ref="M5513">IFERROR(IF($B5513=M$1, ($A5513+$C5513) - MAX(IF($B$2:$B5512=$B5513, $A$2:$A5512+$C$2:$C5512)), "")*24*60, "")</f>
        <v/>
      </c>
      <c r="N5513" s="24" t="str" cm="1">
        <f t="array" ref="N5513">IFERROR(IF($B5513=N$1, ($A5513+$C5513) - MAX(IF($B$2:$B5512=$B5513, $A$2:$A5512+$C$2:$C5512)), "")*24*60, "")</f>
        <v/>
      </c>
      <c r="O5513" s="24" t="str" cm="1">
        <f t="array" ref="O5513">IFERROR(IF($B5513=O$1, ($A5513+$C5513) - MAX(IF($B$2:$B5512=$B5513, $A$2:$A5512+$C$2:$C5512)), "")*24*60, "")</f>
        <v/>
      </c>
      <c r="P5513" s="24" t="str" cm="1">
        <f t="array" ref="P5513">IFERROR(IF($B5513=P$1, ($A5513+$C5513) - MAX(IF($B$2:$B5512=$B5513, $A$2:$A5512+$C$2:$C5512)), "")*24*60, "")</f>
        <v/>
      </c>
      <c r="Q5513" s="24" t="str" cm="1">
        <f t="array" ref="Q5513">IFERROR(IF($B5513=Q$1, ($A5513+$C5513) - MAX(IF($B$2:$B5512=$B5513, $A$2:$A5512+$C$2:$C5512)), "")*24*60, "")</f>
        <v/>
      </c>
    </row>
    <row r="5514" spans="1:17" x14ac:dyDescent="0.2">
      <c r="A5514" s="12">
        <f t="shared" ref="A5514:C5514" si="1410">A5513</f>
        <v>45983</v>
      </c>
      <c r="B5514" s="5" t="str">
        <f t="shared" si="1410"/>
        <v>Northern Cardinal</v>
      </c>
      <c r="C5514" s="6">
        <f t="shared" si="1410"/>
        <v>0.28194444444444444</v>
      </c>
      <c r="D5514" s="5"/>
      <c r="E5514" s="5"/>
      <c r="F5514" s="5" t="s">
        <v>8</v>
      </c>
      <c r="G5514" s="15" t="s">
        <v>9</v>
      </c>
      <c r="H5514" s="24">
        <f t="shared" si="1364"/>
        <v>0</v>
      </c>
      <c r="I5514" s="24" cm="1">
        <f t="array" ref="I5514">IFERROR(IF($B5514=I$1, ($A5514+$C5514) - MAX(IF($B$2:$B5513=$B5514, $A$2:$A5513+$C$2:$C5513)), "")*24*60, "")</f>
        <v>0</v>
      </c>
      <c r="J5514" s="24" t="str" cm="1">
        <f t="array" ref="J5514">IFERROR(IF($B5514=J$1, ($A5514+$C5514) - MAX(IF($B$2:$B5513=$B5514, $A$2:$A5513+$C$2:$C5513)), "")*24*60, "")</f>
        <v/>
      </c>
      <c r="K5514" s="24" t="str" cm="1">
        <f t="array" ref="K5514">IFERROR(IF($B5514=K$1, ($A5514+$C5514) - MAX(IF($B$2:$B5513=$B5514, $A$2:$A5513+$C$2:$C5513)), "")*24*60, "")</f>
        <v/>
      </c>
      <c r="L5514" s="24" t="str" cm="1">
        <f t="array" ref="L5514">IFERROR(IF($B5514=L$1, ($A5514+$C5514) - MAX(IF($B$2:$B5513=$B5514, $A$2:$A5513+$C$2:$C5513)), "")*24*60, "")</f>
        <v/>
      </c>
      <c r="M5514" s="24" t="str" cm="1">
        <f t="array" ref="M5514">IFERROR(IF($B5514=M$1, ($A5514+$C5514) - MAX(IF($B$2:$B5513=$B5514, $A$2:$A5513+$C$2:$C5513)), "")*24*60, "")</f>
        <v/>
      </c>
      <c r="N5514" s="24" t="str" cm="1">
        <f t="array" ref="N5514">IFERROR(IF($B5514=N$1, ($A5514+$C5514) - MAX(IF($B$2:$B5513=$B5514, $A$2:$A5513+$C$2:$C5513)), "")*24*60, "")</f>
        <v/>
      </c>
      <c r="O5514" s="24" t="str" cm="1">
        <f t="array" ref="O5514">IFERROR(IF($B5514=O$1, ($A5514+$C5514) - MAX(IF($B$2:$B5513=$B5514, $A$2:$A5513+$C$2:$C5513)), "")*24*60, "")</f>
        <v/>
      </c>
      <c r="P5514" s="24" t="str" cm="1">
        <f t="array" ref="P5514">IFERROR(IF($B5514=P$1, ($A5514+$C5514) - MAX(IF($B$2:$B5513=$B5514, $A$2:$A5513+$C$2:$C5513)), "")*24*60, "")</f>
        <v/>
      </c>
      <c r="Q5514" s="24" t="str" cm="1">
        <f t="array" ref="Q5514">IFERROR(IF($B5514=Q$1, ($A5514+$C5514) - MAX(IF($B$2:$B5513=$B5514, $A$2:$A5513+$C$2:$C5513)), "")*24*60, "")</f>
        <v/>
      </c>
    </row>
    <row r="5515" spans="1:17" x14ac:dyDescent="0.2">
      <c r="A5515" s="12">
        <f t="shared" ref="A5515:C5515" si="1411">A5514</f>
        <v>45983</v>
      </c>
      <c r="B5515" s="5" t="str">
        <f t="shared" si="1411"/>
        <v>Northern Cardinal</v>
      </c>
      <c r="C5515" s="6">
        <f t="shared" si="1411"/>
        <v>0.28194444444444444</v>
      </c>
      <c r="D5515" s="5"/>
      <c r="E5515" s="5"/>
      <c r="F5515" s="5" t="s">
        <v>8</v>
      </c>
      <c r="G5515" s="15" t="s">
        <v>9</v>
      </c>
      <c r="H5515" s="24">
        <f t="shared" si="1364"/>
        <v>0</v>
      </c>
      <c r="I5515" s="24" cm="1">
        <f t="array" ref="I5515">IFERROR(IF($B5515=I$1, ($A5515+$C5515) - MAX(IF($B$2:$B5514=$B5515, $A$2:$A5514+$C$2:$C5514)), "")*24*60, "")</f>
        <v>0</v>
      </c>
      <c r="J5515" s="24" t="str" cm="1">
        <f t="array" ref="J5515">IFERROR(IF($B5515=J$1, ($A5515+$C5515) - MAX(IF($B$2:$B5514=$B5515, $A$2:$A5514+$C$2:$C5514)), "")*24*60, "")</f>
        <v/>
      </c>
      <c r="K5515" s="24" t="str" cm="1">
        <f t="array" ref="K5515">IFERROR(IF($B5515=K$1, ($A5515+$C5515) - MAX(IF($B$2:$B5514=$B5515, $A$2:$A5514+$C$2:$C5514)), "")*24*60, "")</f>
        <v/>
      </c>
      <c r="L5515" s="24" t="str" cm="1">
        <f t="array" ref="L5515">IFERROR(IF($B5515=L$1, ($A5515+$C5515) - MAX(IF($B$2:$B5514=$B5515, $A$2:$A5514+$C$2:$C5514)), "")*24*60, "")</f>
        <v/>
      </c>
      <c r="M5515" s="24" t="str" cm="1">
        <f t="array" ref="M5515">IFERROR(IF($B5515=M$1, ($A5515+$C5515) - MAX(IF($B$2:$B5514=$B5515, $A$2:$A5514+$C$2:$C5514)), "")*24*60, "")</f>
        <v/>
      </c>
      <c r="N5515" s="24" t="str" cm="1">
        <f t="array" ref="N5515">IFERROR(IF($B5515=N$1, ($A5515+$C5515) - MAX(IF($B$2:$B5514=$B5515, $A$2:$A5514+$C$2:$C5514)), "")*24*60, "")</f>
        <v/>
      </c>
      <c r="O5515" s="24" t="str" cm="1">
        <f t="array" ref="O5515">IFERROR(IF($B5515=O$1, ($A5515+$C5515) - MAX(IF($B$2:$B5514=$B5515, $A$2:$A5514+$C$2:$C5514)), "")*24*60, "")</f>
        <v/>
      </c>
      <c r="P5515" s="24" t="str" cm="1">
        <f t="array" ref="P5515">IFERROR(IF($B5515=P$1, ($A5515+$C5515) - MAX(IF($B$2:$B5514=$B5515, $A$2:$A5514+$C$2:$C5514)), "")*24*60, "")</f>
        <v/>
      </c>
      <c r="Q5515" s="24" t="str" cm="1">
        <f t="array" ref="Q5515">IFERROR(IF($B5515=Q$1, ($A5515+$C5515) - MAX(IF($B$2:$B5514=$B5515, $A$2:$A5514+$C$2:$C5514)), "")*24*60, "")</f>
        <v/>
      </c>
    </row>
    <row r="5516" spans="1:17" x14ac:dyDescent="0.2">
      <c r="A5516" s="12">
        <f t="shared" ref="A5516:C5516" si="1412">A5515</f>
        <v>45983</v>
      </c>
      <c r="B5516" s="5" t="str">
        <f t="shared" si="1412"/>
        <v>Northern Cardinal</v>
      </c>
      <c r="C5516" s="6">
        <f t="shared" si="1412"/>
        <v>0.28194444444444444</v>
      </c>
      <c r="D5516" s="5"/>
      <c r="E5516" s="5"/>
      <c r="F5516" s="5" t="s">
        <v>8</v>
      </c>
      <c r="G5516" s="15" t="s">
        <v>9</v>
      </c>
      <c r="H5516" s="24">
        <f t="shared" si="1364"/>
        <v>0</v>
      </c>
      <c r="I5516" s="24" cm="1">
        <f t="array" ref="I5516">IFERROR(IF($B5516=I$1, ($A5516+$C5516) - MAX(IF($B$2:$B5515=$B5516, $A$2:$A5515+$C$2:$C5515)), "")*24*60, "")</f>
        <v>0</v>
      </c>
      <c r="J5516" s="24" t="str" cm="1">
        <f t="array" ref="J5516">IFERROR(IF($B5516=J$1, ($A5516+$C5516) - MAX(IF($B$2:$B5515=$B5516, $A$2:$A5515+$C$2:$C5515)), "")*24*60, "")</f>
        <v/>
      </c>
      <c r="K5516" s="24" t="str" cm="1">
        <f t="array" ref="K5516">IFERROR(IF($B5516=K$1, ($A5516+$C5516) - MAX(IF($B$2:$B5515=$B5516, $A$2:$A5515+$C$2:$C5515)), "")*24*60, "")</f>
        <v/>
      </c>
      <c r="L5516" s="24" t="str" cm="1">
        <f t="array" ref="L5516">IFERROR(IF($B5516=L$1, ($A5516+$C5516) - MAX(IF($B$2:$B5515=$B5516, $A$2:$A5515+$C$2:$C5515)), "")*24*60, "")</f>
        <v/>
      </c>
      <c r="M5516" s="24" t="str" cm="1">
        <f t="array" ref="M5516">IFERROR(IF($B5516=M$1, ($A5516+$C5516) - MAX(IF($B$2:$B5515=$B5516, $A$2:$A5515+$C$2:$C5515)), "")*24*60, "")</f>
        <v/>
      </c>
      <c r="N5516" s="24" t="str" cm="1">
        <f t="array" ref="N5516">IFERROR(IF($B5516=N$1, ($A5516+$C5516) - MAX(IF($B$2:$B5515=$B5516, $A$2:$A5515+$C$2:$C5515)), "")*24*60, "")</f>
        <v/>
      </c>
      <c r="O5516" s="24" t="str" cm="1">
        <f t="array" ref="O5516">IFERROR(IF($B5516=O$1, ($A5516+$C5516) - MAX(IF($B$2:$B5515=$B5516, $A$2:$A5515+$C$2:$C5515)), "")*24*60, "")</f>
        <v/>
      </c>
      <c r="P5516" s="24" t="str" cm="1">
        <f t="array" ref="P5516">IFERROR(IF($B5516=P$1, ($A5516+$C5516) - MAX(IF($B$2:$B5515=$B5516, $A$2:$A5515+$C$2:$C5515)), "")*24*60, "")</f>
        <v/>
      </c>
      <c r="Q5516" s="24" t="str" cm="1">
        <f t="array" ref="Q5516">IFERROR(IF($B5516=Q$1, ($A5516+$C5516) - MAX(IF($B$2:$B5515=$B5516, $A$2:$A5515+$C$2:$C5515)), "")*24*60, "")</f>
        <v/>
      </c>
    </row>
    <row r="5517" spans="1:17" x14ac:dyDescent="0.2">
      <c r="A5517" s="12">
        <f t="shared" ref="A5517:C5517" si="1413">A5516</f>
        <v>45983</v>
      </c>
      <c r="B5517" s="5" t="str">
        <f t="shared" si="1413"/>
        <v>Northern Cardinal</v>
      </c>
      <c r="C5517" s="6">
        <f t="shared" si="1413"/>
        <v>0.28194444444444444</v>
      </c>
      <c r="D5517" s="5"/>
      <c r="E5517" s="5"/>
      <c r="F5517" s="5" t="s">
        <v>8</v>
      </c>
      <c r="G5517" s="15" t="s">
        <v>9</v>
      </c>
      <c r="H5517" s="24">
        <f t="shared" si="1364"/>
        <v>0</v>
      </c>
      <c r="I5517" s="24" cm="1">
        <f t="array" ref="I5517">IFERROR(IF($B5517=I$1, ($A5517+$C5517) - MAX(IF($B$2:$B5516=$B5517, $A$2:$A5516+$C$2:$C5516)), "")*24*60, "")</f>
        <v>0</v>
      </c>
      <c r="J5517" s="24" t="str" cm="1">
        <f t="array" ref="J5517">IFERROR(IF($B5517=J$1, ($A5517+$C5517) - MAX(IF($B$2:$B5516=$B5517, $A$2:$A5516+$C$2:$C5516)), "")*24*60, "")</f>
        <v/>
      </c>
      <c r="K5517" s="24" t="str" cm="1">
        <f t="array" ref="K5517">IFERROR(IF($B5517=K$1, ($A5517+$C5517) - MAX(IF($B$2:$B5516=$B5517, $A$2:$A5516+$C$2:$C5516)), "")*24*60, "")</f>
        <v/>
      </c>
      <c r="L5517" s="24" t="str" cm="1">
        <f t="array" ref="L5517">IFERROR(IF($B5517=L$1, ($A5517+$C5517) - MAX(IF($B$2:$B5516=$B5517, $A$2:$A5516+$C$2:$C5516)), "")*24*60, "")</f>
        <v/>
      </c>
      <c r="M5517" s="24" t="str" cm="1">
        <f t="array" ref="M5517">IFERROR(IF($B5517=M$1, ($A5517+$C5517) - MAX(IF($B$2:$B5516=$B5517, $A$2:$A5516+$C$2:$C5516)), "")*24*60, "")</f>
        <v/>
      </c>
      <c r="N5517" s="24" t="str" cm="1">
        <f t="array" ref="N5517">IFERROR(IF($B5517=N$1, ($A5517+$C5517) - MAX(IF($B$2:$B5516=$B5517, $A$2:$A5516+$C$2:$C5516)), "")*24*60, "")</f>
        <v/>
      </c>
      <c r="O5517" s="24" t="str" cm="1">
        <f t="array" ref="O5517">IFERROR(IF($B5517=O$1, ($A5517+$C5517) - MAX(IF($B$2:$B5516=$B5517, $A$2:$A5516+$C$2:$C5516)), "")*24*60, "")</f>
        <v/>
      </c>
      <c r="P5517" s="24" t="str" cm="1">
        <f t="array" ref="P5517">IFERROR(IF($B5517=P$1, ($A5517+$C5517) - MAX(IF($B$2:$B5516=$B5517, $A$2:$A5516+$C$2:$C5516)), "")*24*60, "")</f>
        <v/>
      </c>
      <c r="Q5517" s="24" t="str" cm="1">
        <f t="array" ref="Q5517">IFERROR(IF($B5517=Q$1, ($A5517+$C5517) - MAX(IF($B$2:$B5516=$B5517, $A$2:$A5516+$C$2:$C5516)), "")*24*60, "")</f>
        <v/>
      </c>
    </row>
    <row r="5518" spans="1:17" x14ac:dyDescent="0.2">
      <c r="A5518" s="12">
        <f t="shared" ref="A5518:C5518" si="1414">A5517</f>
        <v>45983</v>
      </c>
      <c r="B5518" s="5" t="str">
        <f t="shared" si="1414"/>
        <v>Northern Cardinal</v>
      </c>
      <c r="C5518" s="6">
        <f t="shared" si="1414"/>
        <v>0.28194444444444444</v>
      </c>
      <c r="D5518" s="5"/>
      <c r="E5518" s="5"/>
      <c r="F5518" s="5" t="s">
        <v>8</v>
      </c>
      <c r="G5518" s="15" t="s">
        <v>9</v>
      </c>
      <c r="H5518" s="24">
        <f t="shared" si="1364"/>
        <v>0</v>
      </c>
      <c r="I5518" s="24" cm="1">
        <f t="array" ref="I5518">IFERROR(IF($B5518=I$1, ($A5518+$C5518) - MAX(IF($B$2:$B5517=$B5518, $A$2:$A5517+$C$2:$C5517)), "")*24*60, "")</f>
        <v>0</v>
      </c>
      <c r="J5518" s="24" t="str" cm="1">
        <f t="array" ref="J5518">IFERROR(IF($B5518=J$1, ($A5518+$C5518) - MAX(IF($B$2:$B5517=$B5518, $A$2:$A5517+$C$2:$C5517)), "")*24*60, "")</f>
        <v/>
      </c>
      <c r="K5518" s="24" t="str" cm="1">
        <f t="array" ref="K5518">IFERROR(IF($B5518=K$1, ($A5518+$C5518) - MAX(IF($B$2:$B5517=$B5518, $A$2:$A5517+$C$2:$C5517)), "")*24*60, "")</f>
        <v/>
      </c>
      <c r="L5518" s="24" t="str" cm="1">
        <f t="array" ref="L5518">IFERROR(IF($B5518=L$1, ($A5518+$C5518) - MAX(IF($B$2:$B5517=$B5518, $A$2:$A5517+$C$2:$C5517)), "")*24*60, "")</f>
        <v/>
      </c>
      <c r="M5518" s="24" t="str" cm="1">
        <f t="array" ref="M5518">IFERROR(IF($B5518=M$1, ($A5518+$C5518) - MAX(IF($B$2:$B5517=$B5518, $A$2:$A5517+$C$2:$C5517)), "")*24*60, "")</f>
        <v/>
      </c>
      <c r="N5518" s="24" t="str" cm="1">
        <f t="array" ref="N5518">IFERROR(IF($B5518=N$1, ($A5518+$C5518) - MAX(IF($B$2:$B5517=$B5518, $A$2:$A5517+$C$2:$C5517)), "")*24*60, "")</f>
        <v/>
      </c>
      <c r="O5518" s="24" t="str" cm="1">
        <f t="array" ref="O5518">IFERROR(IF($B5518=O$1, ($A5518+$C5518) - MAX(IF($B$2:$B5517=$B5518, $A$2:$A5517+$C$2:$C5517)), "")*24*60, "")</f>
        <v/>
      </c>
      <c r="P5518" s="24" t="str" cm="1">
        <f t="array" ref="P5518">IFERROR(IF($B5518=P$1, ($A5518+$C5518) - MAX(IF($B$2:$B5517=$B5518, $A$2:$A5517+$C$2:$C5517)), "")*24*60, "")</f>
        <v/>
      </c>
      <c r="Q5518" s="24" t="str" cm="1">
        <f t="array" ref="Q5518">IFERROR(IF($B5518=Q$1, ($A5518+$C5518) - MAX(IF($B$2:$B5517=$B5518, $A$2:$A5517+$C$2:$C5517)), "")*24*60, "")</f>
        <v/>
      </c>
    </row>
    <row r="5519" spans="1:17" x14ac:dyDescent="0.2">
      <c r="A5519" s="12">
        <f t="shared" ref="A5519:C5519" si="1415">A5518</f>
        <v>45983</v>
      </c>
      <c r="B5519" s="5" t="str">
        <f t="shared" si="1415"/>
        <v>Northern Cardinal</v>
      </c>
      <c r="C5519" s="6">
        <f t="shared" si="1415"/>
        <v>0.28194444444444444</v>
      </c>
      <c r="D5519" s="5"/>
      <c r="E5519" s="5"/>
      <c r="F5519" s="5" t="s">
        <v>8</v>
      </c>
      <c r="G5519" s="15" t="s">
        <v>9</v>
      </c>
      <c r="H5519" s="24">
        <f t="shared" si="1364"/>
        <v>0</v>
      </c>
      <c r="I5519" s="24" cm="1">
        <f t="array" ref="I5519">IFERROR(IF($B5519=I$1, ($A5519+$C5519) - MAX(IF($B$2:$B5518=$B5519, $A$2:$A5518+$C$2:$C5518)), "")*24*60, "")</f>
        <v>0</v>
      </c>
      <c r="J5519" s="24" t="str" cm="1">
        <f t="array" ref="J5519">IFERROR(IF($B5519=J$1, ($A5519+$C5519) - MAX(IF($B$2:$B5518=$B5519, $A$2:$A5518+$C$2:$C5518)), "")*24*60, "")</f>
        <v/>
      </c>
      <c r="K5519" s="24" t="str" cm="1">
        <f t="array" ref="K5519">IFERROR(IF($B5519=K$1, ($A5519+$C5519) - MAX(IF($B$2:$B5518=$B5519, $A$2:$A5518+$C$2:$C5518)), "")*24*60, "")</f>
        <v/>
      </c>
      <c r="L5519" s="24" t="str" cm="1">
        <f t="array" ref="L5519">IFERROR(IF($B5519=L$1, ($A5519+$C5519) - MAX(IF($B$2:$B5518=$B5519, $A$2:$A5518+$C$2:$C5518)), "")*24*60, "")</f>
        <v/>
      </c>
      <c r="M5519" s="24" t="str" cm="1">
        <f t="array" ref="M5519">IFERROR(IF($B5519=M$1, ($A5519+$C5519) - MAX(IF($B$2:$B5518=$B5519, $A$2:$A5518+$C$2:$C5518)), "")*24*60, "")</f>
        <v/>
      </c>
      <c r="N5519" s="24" t="str" cm="1">
        <f t="array" ref="N5519">IFERROR(IF($B5519=N$1, ($A5519+$C5519) - MAX(IF($B$2:$B5518=$B5519, $A$2:$A5518+$C$2:$C5518)), "")*24*60, "")</f>
        <v/>
      </c>
      <c r="O5519" s="24" t="str" cm="1">
        <f t="array" ref="O5519">IFERROR(IF($B5519=O$1, ($A5519+$C5519) - MAX(IF($B$2:$B5518=$B5519, $A$2:$A5518+$C$2:$C5518)), "")*24*60, "")</f>
        <v/>
      </c>
      <c r="P5519" s="24" t="str" cm="1">
        <f t="array" ref="P5519">IFERROR(IF($B5519=P$1, ($A5519+$C5519) - MAX(IF($B$2:$B5518=$B5519, $A$2:$A5518+$C$2:$C5518)), "")*24*60, "")</f>
        <v/>
      </c>
      <c r="Q5519" s="24" t="str" cm="1">
        <f t="array" ref="Q5519">IFERROR(IF($B5519=Q$1, ($A5519+$C5519) - MAX(IF($B$2:$B5518=$B5519, $A$2:$A5518+$C$2:$C5518)), "")*24*60, "")</f>
        <v/>
      </c>
    </row>
    <row r="5520" spans="1:17" x14ac:dyDescent="0.2">
      <c r="A5520" s="12">
        <f t="shared" ref="A5520:C5520" si="1416">A5519</f>
        <v>45983</v>
      </c>
      <c r="B5520" s="5" t="str">
        <f t="shared" si="1416"/>
        <v>Northern Cardinal</v>
      </c>
      <c r="C5520" s="6">
        <f t="shared" si="1416"/>
        <v>0.28194444444444444</v>
      </c>
      <c r="D5520" s="5"/>
      <c r="E5520" s="5"/>
      <c r="F5520" s="5" t="s">
        <v>8</v>
      </c>
      <c r="G5520" s="15" t="s">
        <v>9</v>
      </c>
      <c r="H5520" s="24">
        <f t="shared" si="1364"/>
        <v>0</v>
      </c>
      <c r="I5520" s="24" cm="1">
        <f t="array" ref="I5520">IFERROR(IF($B5520=I$1, ($A5520+$C5520) - MAX(IF($B$2:$B5519=$B5520, $A$2:$A5519+$C$2:$C5519)), "")*24*60, "")</f>
        <v>0</v>
      </c>
      <c r="J5520" s="24" t="str" cm="1">
        <f t="array" ref="J5520">IFERROR(IF($B5520=J$1, ($A5520+$C5520) - MAX(IF($B$2:$B5519=$B5520, $A$2:$A5519+$C$2:$C5519)), "")*24*60, "")</f>
        <v/>
      </c>
      <c r="K5520" s="24" t="str" cm="1">
        <f t="array" ref="K5520">IFERROR(IF($B5520=K$1, ($A5520+$C5520) - MAX(IF($B$2:$B5519=$B5520, $A$2:$A5519+$C$2:$C5519)), "")*24*60, "")</f>
        <v/>
      </c>
      <c r="L5520" s="24" t="str" cm="1">
        <f t="array" ref="L5520">IFERROR(IF($B5520=L$1, ($A5520+$C5520) - MAX(IF($B$2:$B5519=$B5520, $A$2:$A5519+$C$2:$C5519)), "")*24*60, "")</f>
        <v/>
      </c>
      <c r="M5520" s="24" t="str" cm="1">
        <f t="array" ref="M5520">IFERROR(IF($B5520=M$1, ($A5520+$C5520) - MAX(IF($B$2:$B5519=$B5520, $A$2:$A5519+$C$2:$C5519)), "")*24*60, "")</f>
        <v/>
      </c>
      <c r="N5520" s="24" t="str" cm="1">
        <f t="array" ref="N5520">IFERROR(IF($B5520=N$1, ($A5520+$C5520) - MAX(IF($B$2:$B5519=$B5520, $A$2:$A5519+$C$2:$C5519)), "")*24*60, "")</f>
        <v/>
      </c>
      <c r="O5520" s="24" t="str" cm="1">
        <f t="array" ref="O5520">IFERROR(IF($B5520=O$1, ($A5520+$C5520) - MAX(IF($B$2:$B5519=$B5520, $A$2:$A5519+$C$2:$C5519)), "")*24*60, "")</f>
        <v/>
      </c>
      <c r="P5520" s="24" t="str" cm="1">
        <f t="array" ref="P5520">IFERROR(IF($B5520=P$1, ($A5520+$C5520) - MAX(IF($B$2:$B5519=$B5520, $A$2:$A5519+$C$2:$C5519)), "")*24*60, "")</f>
        <v/>
      </c>
      <c r="Q5520" s="24" t="str" cm="1">
        <f t="array" ref="Q5520">IFERROR(IF($B5520=Q$1, ($A5520+$C5520) - MAX(IF($B$2:$B5519=$B5520, $A$2:$A5519+$C$2:$C5519)), "")*24*60, "")</f>
        <v/>
      </c>
    </row>
    <row r="5521" spans="1:17" x14ac:dyDescent="0.2">
      <c r="A5521" s="12">
        <f t="shared" ref="A5521:C5521" si="1417">A5520</f>
        <v>45983</v>
      </c>
      <c r="B5521" s="5" t="str">
        <f t="shared" si="1417"/>
        <v>Northern Cardinal</v>
      </c>
      <c r="C5521" s="6">
        <f t="shared" si="1417"/>
        <v>0.28194444444444444</v>
      </c>
      <c r="D5521" s="5"/>
      <c r="E5521" s="5"/>
      <c r="F5521" s="5" t="s">
        <v>8</v>
      </c>
      <c r="G5521" s="15" t="s">
        <v>9</v>
      </c>
      <c r="H5521" s="24">
        <f t="shared" si="1364"/>
        <v>0</v>
      </c>
      <c r="I5521" s="24" cm="1">
        <f t="array" ref="I5521">IFERROR(IF($B5521=I$1, ($A5521+$C5521) - MAX(IF($B$2:$B5520=$B5521, $A$2:$A5520+$C$2:$C5520)), "")*24*60, "")</f>
        <v>0</v>
      </c>
      <c r="J5521" s="24" t="str" cm="1">
        <f t="array" ref="J5521">IFERROR(IF($B5521=J$1, ($A5521+$C5521) - MAX(IF($B$2:$B5520=$B5521, $A$2:$A5520+$C$2:$C5520)), "")*24*60, "")</f>
        <v/>
      </c>
      <c r="K5521" s="24" t="str" cm="1">
        <f t="array" ref="K5521">IFERROR(IF($B5521=K$1, ($A5521+$C5521) - MAX(IF($B$2:$B5520=$B5521, $A$2:$A5520+$C$2:$C5520)), "")*24*60, "")</f>
        <v/>
      </c>
      <c r="L5521" s="24" t="str" cm="1">
        <f t="array" ref="L5521">IFERROR(IF($B5521=L$1, ($A5521+$C5521) - MAX(IF($B$2:$B5520=$B5521, $A$2:$A5520+$C$2:$C5520)), "")*24*60, "")</f>
        <v/>
      </c>
      <c r="M5521" s="24" t="str" cm="1">
        <f t="array" ref="M5521">IFERROR(IF($B5521=M$1, ($A5521+$C5521) - MAX(IF($B$2:$B5520=$B5521, $A$2:$A5520+$C$2:$C5520)), "")*24*60, "")</f>
        <v/>
      </c>
      <c r="N5521" s="24" t="str" cm="1">
        <f t="array" ref="N5521">IFERROR(IF($B5521=N$1, ($A5521+$C5521) - MAX(IF($B$2:$B5520=$B5521, $A$2:$A5520+$C$2:$C5520)), "")*24*60, "")</f>
        <v/>
      </c>
      <c r="O5521" s="24" t="str" cm="1">
        <f t="array" ref="O5521">IFERROR(IF($B5521=O$1, ($A5521+$C5521) - MAX(IF($B$2:$B5520=$B5521, $A$2:$A5520+$C$2:$C5520)), "")*24*60, "")</f>
        <v/>
      </c>
      <c r="P5521" s="24" t="str" cm="1">
        <f t="array" ref="P5521">IFERROR(IF($B5521=P$1, ($A5521+$C5521) - MAX(IF($B$2:$B5520=$B5521, $A$2:$A5520+$C$2:$C5520)), "")*24*60, "")</f>
        <v/>
      </c>
      <c r="Q5521" s="24" t="str" cm="1">
        <f t="array" ref="Q5521">IFERROR(IF($B5521=Q$1, ($A5521+$C5521) - MAX(IF($B$2:$B5520=$B5521, $A$2:$A5520+$C$2:$C5520)), "")*24*60, "")</f>
        <v/>
      </c>
    </row>
    <row r="5522" spans="1:17" x14ac:dyDescent="0.2">
      <c r="A5522" s="12">
        <f t="shared" ref="A5522:C5522" si="1418">A5521</f>
        <v>45983</v>
      </c>
      <c r="B5522" s="5" t="str">
        <f t="shared" si="1418"/>
        <v>Northern Cardinal</v>
      </c>
      <c r="C5522" s="6">
        <f t="shared" si="1418"/>
        <v>0.28194444444444444</v>
      </c>
      <c r="D5522" s="5"/>
      <c r="E5522" s="5"/>
      <c r="F5522" s="5" t="s">
        <v>8</v>
      </c>
      <c r="G5522" s="15" t="s">
        <v>9</v>
      </c>
      <c r="H5522" s="24">
        <f t="shared" si="1364"/>
        <v>0</v>
      </c>
      <c r="I5522" s="24" cm="1">
        <f t="array" ref="I5522">IFERROR(IF($B5522=I$1, ($A5522+$C5522) - MAX(IF($B$2:$B5521=$B5522, $A$2:$A5521+$C$2:$C5521)), "")*24*60, "")</f>
        <v>0</v>
      </c>
      <c r="J5522" s="24" t="str" cm="1">
        <f t="array" ref="J5522">IFERROR(IF($B5522=J$1, ($A5522+$C5522) - MAX(IF($B$2:$B5521=$B5522, $A$2:$A5521+$C$2:$C5521)), "")*24*60, "")</f>
        <v/>
      </c>
      <c r="K5522" s="24" t="str" cm="1">
        <f t="array" ref="K5522">IFERROR(IF($B5522=K$1, ($A5522+$C5522) - MAX(IF($B$2:$B5521=$B5522, $A$2:$A5521+$C$2:$C5521)), "")*24*60, "")</f>
        <v/>
      </c>
      <c r="L5522" s="24" t="str" cm="1">
        <f t="array" ref="L5522">IFERROR(IF($B5522=L$1, ($A5522+$C5522) - MAX(IF($B$2:$B5521=$B5522, $A$2:$A5521+$C$2:$C5521)), "")*24*60, "")</f>
        <v/>
      </c>
      <c r="M5522" s="24" t="str" cm="1">
        <f t="array" ref="M5522">IFERROR(IF($B5522=M$1, ($A5522+$C5522) - MAX(IF($B$2:$B5521=$B5522, $A$2:$A5521+$C$2:$C5521)), "")*24*60, "")</f>
        <v/>
      </c>
      <c r="N5522" s="24" t="str" cm="1">
        <f t="array" ref="N5522">IFERROR(IF($B5522=N$1, ($A5522+$C5522) - MAX(IF($B$2:$B5521=$B5522, $A$2:$A5521+$C$2:$C5521)), "")*24*60, "")</f>
        <v/>
      </c>
      <c r="O5522" s="24" t="str" cm="1">
        <f t="array" ref="O5522">IFERROR(IF($B5522=O$1, ($A5522+$C5522) - MAX(IF($B$2:$B5521=$B5522, $A$2:$A5521+$C$2:$C5521)), "")*24*60, "")</f>
        <v/>
      </c>
      <c r="P5522" s="24" t="str" cm="1">
        <f t="array" ref="P5522">IFERROR(IF($B5522=P$1, ($A5522+$C5522) - MAX(IF($B$2:$B5521=$B5522, $A$2:$A5521+$C$2:$C5521)), "")*24*60, "")</f>
        <v/>
      </c>
      <c r="Q5522" s="24" t="str" cm="1">
        <f t="array" ref="Q5522">IFERROR(IF($B5522=Q$1, ($A5522+$C5522) - MAX(IF($B$2:$B5521=$B5522, $A$2:$A5521+$C$2:$C5521)), "")*24*60, "")</f>
        <v/>
      </c>
    </row>
    <row r="5523" spans="1:17" x14ac:dyDescent="0.2">
      <c r="A5523" s="12">
        <f t="shared" ref="A5523:C5523" si="1419">A5522</f>
        <v>45983</v>
      </c>
      <c r="B5523" s="5" t="str">
        <f t="shared" si="1419"/>
        <v>Northern Cardinal</v>
      </c>
      <c r="C5523" s="6">
        <f t="shared" si="1419"/>
        <v>0.28194444444444444</v>
      </c>
      <c r="D5523" s="5"/>
      <c r="E5523" s="5"/>
      <c r="F5523" s="5" t="s">
        <v>8</v>
      </c>
      <c r="G5523" s="15" t="s">
        <v>9</v>
      </c>
      <c r="H5523" s="24">
        <f t="shared" si="1364"/>
        <v>0</v>
      </c>
      <c r="I5523" s="24" cm="1">
        <f t="array" ref="I5523">IFERROR(IF($B5523=I$1, ($A5523+$C5523) - MAX(IF($B$2:$B5522=$B5523, $A$2:$A5522+$C$2:$C5522)), "")*24*60, "")</f>
        <v>0</v>
      </c>
      <c r="J5523" s="24" t="str" cm="1">
        <f t="array" ref="J5523">IFERROR(IF($B5523=J$1, ($A5523+$C5523) - MAX(IF($B$2:$B5522=$B5523, $A$2:$A5522+$C$2:$C5522)), "")*24*60, "")</f>
        <v/>
      </c>
      <c r="K5523" s="24" t="str" cm="1">
        <f t="array" ref="K5523">IFERROR(IF($B5523=K$1, ($A5523+$C5523) - MAX(IF($B$2:$B5522=$B5523, $A$2:$A5522+$C$2:$C5522)), "")*24*60, "")</f>
        <v/>
      </c>
      <c r="L5523" s="24" t="str" cm="1">
        <f t="array" ref="L5523">IFERROR(IF($B5523=L$1, ($A5523+$C5523) - MAX(IF($B$2:$B5522=$B5523, $A$2:$A5522+$C$2:$C5522)), "")*24*60, "")</f>
        <v/>
      </c>
      <c r="M5523" s="24" t="str" cm="1">
        <f t="array" ref="M5523">IFERROR(IF($B5523=M$1, ($A5523+$C5523) - MAX(IF($B$2:$B5522=$B5523, $A$2:$A5522+$C$2:$C5522)), "")*24*60, "")</f>
        <v/>
      </c>
      <c r="N5523" s="24" t="str" cm="1">
        <f t="array" ref="N5523">IFERROR(IF($B5523=N$1, ($A5523+$C5523) - MAX(IF($B$2:$B5522=$B5523, $A$2:$A5522+$C$2:$C5522)), "")*24*60, "")</f>
        <v/>
      </c>
      <c r="O5523" s="24" t="str" cm="1">
        <f t="array" ref="O5523">IFERROR(IF($B5523=O$1, ($A5523+$C5523) - MAX(IF($B$2:$B5522=$B5523, $A$2:$A5522+$C$2:$C5522)), "")*24*60, "")</f>
        <v/>
      </c>
      <c r="P5523" s="24" t="str" cm="1">
        <f t="array" ref="P5523">IFERROR(IF($B5523=P$1, ($A5523+$C5523) - MAX(IF($B$2:$B5522=$B5523, $A$2:$A5522+$C$2:$C5522)), "")*24*60, "")</f>
        <v/>
      </c>
      <c r="Q5523" s="24" t="str" cm="1">
        <f t="array" ref="Q5523">IFERROR(IF($B5523=Q$1, ($A5523+$C5523) - MAX(IF($B$2:$B5522=$B5523, $A$2:$A5522+$C$2:$C5522)), "")*24*60, "")</f>
        <v/>
      </c>
    </row>
    <row r="5524" spans="1:17" x14ac:dyDescent="0.2">
      <c r="A5524" s="12">
        <f t="shared" ref="A5524:C5524" si="1420">A5523</f>
        <v>45983</v>
      </c>
      <c r="B5524" s="5" t="str">
        <f t="shared" si="1420"/>
        <v>Northern Cardinal</v>
      </c>
      <c r="C5524" s="6">
        <f t="shared" si="1420"/>
        <v>0.28194444444444444</v>
      </c>
      <c r="D5524" s="5"/>
      <c r="E5524" s="5"/>
      <c r="F5524" s="5" t="s">
        <v>8</v>
      </c>
      <c r="G5524" s="15" t="s">
        <v>9</v>
      </c>
      <c r="H5524" s="24">
        <f t="shared" si="1364"/>
        <v>0</v>
      </c>
      <c r="I5524" s="24" cm="1">
        <f t="array" ref="I5524">IFERROR(IF($B5524=I$1, ($A5524+$C5524) - MAX(IF($B$2:$B5523=$B5524, $A$2:$A5523+$C$2:$C5523)), "")*24*60, "")</f>
        <v>0</v>
      </c>
      <c r="J5524" s="24" t="str" cm="1">
        <f t="array" ref="J5524">IFERROR(IF($B5524=J$1, ($A5524+$C5524) - MAX(IF($B$2:$B5523=$B5524, $A$2:$A5523+$C$2:$C5523)), "")*24*60, "")</f>
        <v/>
      </c>
      <c r="K5524" s="24" t="str" cm="1">
        <f t="array" ref="K5524">IFERROR(IF($B5524=K$1, ($A5524+$C5524) - MAX(IF($B$2:$B5523=$B5524, $A$2:$A5523+$C$2:$C5523)), "")*24*60, "")</f>
        <v/>
      </c>
      <c r="L5524" s="24" t="str" cm="1">
        <f t="array" ref="L5524">IFERROR(IF($B5524=L$1, ($A5524+$C5524) - MAX(IF($B$2:$B5523=$B5524, $A$2:$A5523+$C$2:$C5523)), "")*24*60, "")</f>
        <v/>
      </c>
      <c r="M5524" s="24" t="str" cm="1">
        <f t="array" ref="M5524">IFERROR(IF($B5524=M$1, ($A5524+$C5524) - MAX(IF($B$2:$B5523=$B5524, $A$2:$A5523+$C$2:$C5523)), "")*24*60, "")</f>
        <v/>
      </c>
      <c r="N5524" s="24" t="str" cm="1">
        <f t="array" ref="N5524">IFERROR(IF($B5524=N$1, ($A5524+$C5524) - MAX(IF($B$2:$B5523=$B5524, $A$2:$A5523+$C$2:$C5523)), "")*24*60, "")</f>
        <v/>
      </c>
      <c r="O5524" s="24" t="str" cm="1">
        <f t="array" ref="O5524">IFERROR(IF($B5524=O$1, ($A5524+$C5524) - MAX(IF($B$2:$B5523=$B5524, $A$2:$A5523+$C$2:$C5523)), "")*24*60, "")</f>
        <v/>
      </c>
      <c r="P5524" s="24" t="str" cm="1">
        <f t="array" ref="P5524">IFERROR(IF($B5524=P$1, ($A5524+$C5524) - MAX(IF($B$2:$B5523=$B5524, $A$2:$A5523+$C$2:$C5523)), "")*24*60, "")</f>
        <v/>
      </c>
      <c r="Q5524" s="24" t="str" cm="1">
        <f t="array" ref="Q5524">IFERROR(IF($B5524=Q$1, ($A5524+$C5524) - MAX(IF($B$2:$B5523=$B5524, $A$2:$A5523+$C$2:$C5523)), "")*24*60, "")</f>
        <v/>
      </c>
    </row>
    <row r="5525" spans="1:17" x14ac:dyDescent="0.2">
      <c r="A5525" s="12">
        <f t="shared" ref="A5525:C5525" si="1421">A5524</f>
        <v>45983</v>
      </c>
      <c r="B5525" s="5" t="str">
        <f t="shared" si="1421"/>
        <v>Northern Cardinal</v>
      </c>
      <c r="C5525" s="6">
        <f t="shared" si="1421"/>
        <v>0.28194444444444444</v>
      </c>
      <c r="D5525" s="5"/>
      <c r="E5525" s="5"/>
      <c r="F5525" s="5" t="s">
        <v>8</v>
      </c>
      <c r="G5525" s="15" t="s">
        <v>9</v>
      </c>
      <c r="H5525" s="24">
        <f t="shared" si="1364"/>
        <v>0</v>
      </c>
      <c r="I5525" s="24" cm="1">
        <f t="array" ref="I5525">IFERROR(IF($B5525=I$1, ($A5525+$C5525) - MAX(IF($B$2:$B5524=$B5525, $A$2:$A5524+$C$2:$C5524)), "")*24*60, "")</f>
        <v>0</v>
      </c>
      <c r="J5525" s="24" t="str" cm="1">
        <f t="array" ref="J5525">IFERROR(IF($B5525=J$1, ($A5525+$C5525) - MAX(IF($B$2:$B5524=$B5525, $A$2:$A5524+$C$2:$C5524)), "")*24*60, "")</f>
        <v/>
      </c>
      <c r="K5525" s="24" t="str" cm="1">
        <f t="array" ref="K5525">IFERROR(IF($B5525=K$1, ($A5525+$C5525) - MAX(IF($B$2:$B5524=$B5525, $A$2:$A5524+$C$2:$C5524)), "")*24*60, "")</f>
        <v/>
      </c>
      <c r="L5525" s="24" t="str" cm="1">
        <f t="array" ref="L5525">IFERROR(IF($B5525=L$1, ($A5525+$C5525) - MAX(IF($B$2:$B5524=$B5525, $A$2:$A5524+$C$2:$C5524)), "")*24*60, "")</f>
        <v/>
      </c>
      <c r="M5525" s="24" t="str" cm="1">
        <f t="array" ref="M5525">IFERROR(IF($B5525=M$1, ($A5525+$C5525) - MAX(IF($B$2:$B5524=$B5525, $A$2:$A5524+$C$2:$C5524)), "")*24*60, "")</f>
        <v/>
      </c>
      <c r="N5525" s="24" t="str" cm="1">
        <f t="array" ref="N5525">IFERROR(IF($B5525=N$1, ($A5525+$C5525) - MAX(IF($B$2:$B5524=$B5525, $A$2:$A5524+$C$2:$C5524)), "")*24*60, "")</f>
        <v/>
      </c>
      <c r="O5525" s="24" t="str" cm="1">
        <f t="array" ref="O5525">IFERROR(IF($B5525=O$1, ($A5525+$C5525) - MAX(IF($B$2:$B5524=$B5525, $A$2:$A5524+$C$2:$C5524)), "")*24*60, "")</f>
        <v/>
      </c>
      <c r="P5525" s="24" t="str" cm="1">
        <f t="array" ref="P5525">IFERROR(IF($B5525=P$1, ($A5525+$C5525) - MAX(IF($B$2:$B5524=$B5525, $A$2:$A5524+$C$2:$C5524)), "")*24*60, "")</f>
        <v/>
      </c>
      <c r="Q5525" s="24" t="str" cm="1">
        <f t="array" ref="Q5525">IFERROR(IF($B5525=Q$1, ($A5525+$C5525) - MAX(IF($B$2:$B5524=$B5525, $A$2:$A5524+$C$2:$C5524)), "")*24*60, "")</f>
        <v/>
      </c>
    </row>
    <row r="5526" spans="1:17" x14ac:dyDescent="0.2">
      <c r="A5526" s="12">
        <f t="shared" ref="A5526:C5526" si="1422">A5525</f>
        <v>45983</v>
      </c>
      <c r="B5526" s="5" t="str">
        <f t="shared" si="1422"/>
        <v>Northern Cardinal</v>
      </c>
      <c r="C5526" s="6">
        <f t="shared" si="1422"/>
        <v>0.28194444444444444</v>
      </c>
      <c r="D5526" s="5"/>
      <c r="E5526" s="5"/>
      <c r="F5526" s="5" t="s">
        <v>8</v>
      </c>
      <c r="G5526" s="15" t="s">
        <v>9</v>
      </c>
      <c r="H5526" s="24">
        <f t="shared" si="1364"/>
        <v>0</v>
      </c>
      <c r="I5526" s="24" cm="1">
        <f t="array" ref="I5526">IFERROR(IF($B5526=I$1, ($A5526+$C5526) - MAX(IF($B$2:$B5525=$B5526, $A$2:$A5525+$C$2:$C5525)), "")*24*60, "")</f>
        <v>0</v>
      </c>
      <c r="J5526" s="24" t="str" cm="1">
        <f t="array" ref="J5526">IFERROR(IF($B5526=J$1, ($A5526+$C5526) - MAX(IF($B$2:$B5525=$B5526, $A$2:$A5525+$C$2:$C5525)), "")*24*60, "")</f>
        <v/>
      </c>
      <c r="K5526" s="24" t="str" cm="1">
        <f t="array" ref="K5526">IFERROR(IF($B5526=K$1, ($A5526+$C5526) - MAX(IF($B$2:$B5525=$B5526, $A$2:$A5525+$C$2:$C5525)), "")*24*60, "")</f>
        <v/>
      </c>
      <c r="L5526" s="24" t="str" cm="1">
        <f t="array" ref="L5526">IFERROR(IF($B5526=L$1, ($A5526+$C5526) - MAX(IF($B$2:$B5525=$B5526, $A$2:$A5525+$C$2:$C5525)), "")*24*60, "")</f>
        <v/>
      </c>
      <c r="M5526" s="24" t="str" cm="1">
        <f t="array" ref="M5526">IFERROR(IF($B5526=M$1, ($A5526+$C5526) - MAX(IF($B$2:$B5525=$B5526, $A$2:$A5525+$C$2:$C5525)), "")*24*60, "")</f>
        <v/>
      </c>
      <c r="N5526" s="24" t="str" cm="1">
        <f t="array" ref="N5526">IFERROR(IF($B5526=N$1, ($A5526+$C5526) - MAX(IF($B$2:$B5525=$B5526, $A$2:$A5525+$C$2:$C5525)), "")*24*60, "")</f>
        <v/>
      </c>
      <c r="O5526" s="24" t="str" cm="1">
        <f t="array" ref="O5526">IFERROR(IF($B5526=O$1, ($A5526+$C5526) - MAX(IF($B$2:$B5525=$B5526, $A$2:$A5525+$C$2:$C5525)), "")*24*60, "")</f>
        <v/>
      </c>
      <c r="P5526" s="24" t="str" cm="1">
        <f t="array" ref="P5526">IFERROR(IF($B5526=P$1, ($A5526+$C5526) - MAX(IF($B$2:$B5525=$B5526, $A$2:$A5525+$C$2:$C5525)), "")*24*60, "")</f>
        <v/>
      </c>
      <c r="Q5526" s="24" t="str" cm="1">
        <f t="array" ref="Q5526">IFERROR(IF($B5526=Q$1, ($A5526+$C5526) - MAX(IF($B$2:$B5525=$B5526, $A$2:$A5525+$C$2:$C5525)), "")*24*60, "")</f>
        <v/>
      </c>
    </row>
    <row r="5527" spans="1:17" x14ac:dyDescent="0.2">
      <c r="A5527" s="12">
        <f t="shared" ref="A5527:C5527" si="1423">A5526</f>
        <v>45983</v>
      </c>
      <c r="B5527" s="5" t="str">
        <f t="shared" si="1423"/>
        <v>Northern Cardinal</v>
      </c>
      <c r="C5527" s="6">
        <f t="shared" si="1423"/>
        <v>0.28194444444444444</v>
      </c>
      <c r="D5527" s="5"/>
      <c r="E5527" s="5"/>
      <c r="F5527" s="5" t="s">
        <v>8</v>
      </c>
      <c r="G5527" s="15" t="s">
        <v>9</v>
      </c>
      <c r="H5527" s="24">
        <f t="shared" si="1364"/>
        <v>0</v>
      </c>
      <c r="I5527" s="24" cm="1">
        <f t="array" ref="I5527">IFERROR(IF($B5527=I$1, ($A5527+$C5527) - MAX(IF($B$2:$B5526=$B5527, $A$2:$A5526+$C$2:$C5526)), "")*24*60, "")</f>
        <v>0</v>
      </c>
      <c r="J5527" s="24" t="str" cm="1">
        <f t="array" ref="J5527">IFERROR(IF($B5527=J$1, ($A5527+$C5527) - MAX(IF($B$2:$B5526=$B5527, $A$2:$A5526+$C$2:$C5526)), "")*24*60, "")</f>
        <v/>
      </c>
      <c r="K5527" s="24" t="str" cm="1">
        <f t="array" ref="K5527">IFERROR(IF($B5527=K$1, ($A5527+$C5527) - MAX(IF($B$2:$B5526=$B5527, $A$2:$A5526+$C$2:$C5526)), "")*24*60, "")</f>
        <v/>
      </c>
      <c r="L5527" s="24" t="str" cm="1">
        <f t="array" ref="L5527">IFERROR(IF($B5527=L$1, ($A5527+$C5527) - MAX(IF($B$2:$B5526=$B5527, $A$2:$A5526+$C$2:$C5526)), "")*24*60, "")</f>
        <v/>
      </c>
      <c r="M5527" s="24" t="str" cm="1">
        <f t="array" ref="M5527">IFERROR(IF($B5527=M$1, ($A5527+$C5527) - MAX(IF($B$2:$B5526=$B5527, $A$2:$A5526+$C$2:$C5526)), "")*24*60, "")</f>
        <v/>
      </c>
      <c r="N5527" s="24" t="str" cm="1">
        <f t="array" ref="N5527">IFERROR(IF($B5527=N$1, ($A5527+$C5527) - MAX(IF($B$2:$B5526=$B5527, $A$2:$A5526+$C$2:$C5526)), "")*24*60, "")</f>
        <v/>
      </c>
      <c r="O5527" s="24" t="str" cm="1">
        <f t="array" ref="O5527">IFERROR(IF($B5527=O$1, ($A5527+$C5527) - MAX(IF($B$2:$B5526=$B5527, $A$2:$A5526+$C$2:$C5526)), "")*24*60, "")</f>
        <v/>
      </c>
      <c r="P5527" s="24" t="str" cm="1">
        <f t="array" ref="P5527">IFERROR(IF($B5527=P$1, ($A5527+$C5527) - MAX(IF($B$2:$B5526=$B5527, $A$2:$A5526+$C$2:$C5526)), "")*24*60, "")</f>
        <v/>
      </c>
      <c r="Q5527" s="24" t="str" cm="1">
        <f t="array" ref="Q5527">IFERROR(IF($B5527=Q$1, ($A5527+$C5527) - MAX(IF($B$2:$B5526=$B5527, $A$2:$A5526+$C$2:$C5526)), "")*24*60, "")</f>
        <v/>
      </c>
    </row>
    <row r="5528" spans="1:17" x14ac:dyDescent="0.2">
      <c r="A5528" s="12">
        <f t="shared" ref="A5528:C5528" si="1424">A5527</f>
        <v>45983</v>
      </c>
      <c r="B5528" s="5" t="str">
        <f t="shared" si="1424"/>
        <v>Northern Cardinal</v>
      </c>
      <c r="C5528" s="6">
        <f t="shared" si="1424"/>
        <v>0.28194444444444444</v>
      </c>
      <c r="D5528" s="5"/>
      <c r="E5528" s="5"/>
      <c r="F5528" s="5" t="s">
        <v>8</v>
      </c>
      <c r="G5528" s="15" t="s">
        <v>9</v>
      </c>
      <c r="H5528" s="24">
        <f t="shared" si="1364"/>
        <v>0</v>
      </c>
      <c r="I5528" s="24" cm="1">
        <f t="array" ref="I5528">IFERROR(IF($B5528=I$1, ($A5528+$C5528) - MAX(IF($B$2:$B5527=$B5528, $A$2:$A5527+$C$2:$C5527)), "")*24*60, "")</f>
        <v>0</v>
      </c>
      <c r="J5528" s="24" t="str" cm="1">
        <f t="array" ref="J5528">IFERROR(IF($B5528=J$1, ($A5528+$C5528) - MAX(IF($B$2:$B5527=$B5528, $A$2:$A5527+$C$2:$C5527)), "")*24*60, "")</f>
        <v/>
      </c>
      <c r="K5528" s="24" t="str" cm="1">
        <f t="array" ref="K5528">IFERROR(IF($B5528=K$1, ($A5528+$C5528) - MAX(IF($B$2:$B5527=$B5528, $A$2:$A5527+$C$2:$C5527)), "")*24*60, "")</f>
        <v/>
      </c>
      <c r="L5528" s="24" t="str" cm="1">
        <f t="array" ref="L5528">IFERROR(IF($B5528=L$1, ($A5528+$C5528) - MAX(IF($B$2:$B5527=$B5528, $A$2:$A5527+$C$2:$C5527)), "")*24*60, "")</f>
        <v/>
      </c>
      <c r="M5528" s="24" t="str" cm="1">
        <f t="array" ref="M5528">IFERROR(IF($B5528=M$1, ($A5528+$C5528) - MAX(IF($B$2:$B5527=$B5528, $A$2:$A5527+$C$2:$C5527)), "")*24*60, "")</f>
        <v/>
      </c>
      <c r="N5528" s="24" t="str" cm="1">
        <f t="array" ref="N5528">IFERROR(IF($B5528=N$1, ($A5528+$C5528) - MAX(IF($B$2:$B5527=$B5528, $A$2:$A5527+$C$2:$C5527)), "")*24*60, "")</f>
        <v/>
      </c>
      <c r="O5528" s="24" t="str" cm="1">
        <f t="array" ref="O5528">IFERROR(IF($B5528=O$1, ($A5528+$C5528) - MAX(IF($B$2:$B5527=$B5528, $A$2:$A5527+$C$2:$C5527)), "")*24*60, "")</f>
        <v/>
      </c>
      <c r="P5528" s="24" t="str" cm="1">
        <f t="array" ref="P5528">IFERROR(IF($B5528=P$1, ($A5528+$C5528) - MAX(IF($B$2:$B5527=$B5528, $A$2:$A5527+$C$2:$C5527)), "")*24*60, "")</f>
        <v/>
      </c>
      <c r="Q5528" s="24" t="str" cm="1">
        <f t="array" ref="Q5528">IFERROR(IF($B5528=Q$1, ($A5528+$C5528) - MAX(IF($B$2:$B5527=$B5528, $A$2:$A5527+$C$2:$C5527)), "")*24*60, "")</f>
        <v/>
      </c>
    </row>
    <row r="5529" spans="1:17" x14ac:dyDescent="0.2">
      <c r="A5529" s="12">
        <f t="shared" ref="A5529:C5529" si="1425">A5528</f>
        <v>45983</v>
      </c>
      <c r="B5529" s="5" t="str">
        <f t="shared" si="1425"/>
        <v>Northern Cardinal</v>
      </c>
      <c r="C5529" s="6">
        <f t="shared" si="1425"/>
        <v>0.28194444444444444</v>
      </c>
      <c r="D5529" s="5"/>
      <c r="E5529" s="5"/>
      <c r="F5529" s="5" t="s">
        <v>8</v>
      </c>
      <c r="G5529" s="15" t="s">
        <v>9</v>
      </c>
      <c r="H5529" s="24">
        <f t="shared" si="1364"/>
        <v>0</v>
      </c>
      <c r="I5529" s="24" cm="1">
        <f t="array" ref="I5529">IFERROR(IF($B5529=I$1, ($A5529+$C5529) - MAX(IF($B$2:$B5528=$B5529, $A$2:$A5528+$C$2:$C5528)), "")*24*60, "")</f>
        <v>0</v>
      </c>
      <c r="J5529" s="24" t="str" cm="1">
        <f t="array" ref="J5529">IFERROR(IF($B5529=J$1, ($A5529+$C5529) - MAX(IF($B$2:$B5528=$B5529, $A$2:$A5528+$C$2:$C5528)), "")*24*60, "")</f>
        <v/>
      </c>
      <c r="K5529" s="24" t="str" cm="1">
        <f t="array" ref="K5529">IFERROR(IF($B5529=K$1, ($A5529+$C5529) - MAX(IF($B$2:$B5528=$B5529, $A$2:$A5528+$C$2:$C5528)), "")*24*60, "")</f>
        <v/>
      </c>
      <c r="L5529" s="24" t="str" cm="1">
        <f t="array" ref="L5529">IFERROR(IF($B5529=L$1, ($A5529+$C5529) - MAX(IF($B$2:$B5528=$B5529, $A$2:$A5528+$C$2:$C5528)), "")*24*60, "")</f>
        <v/>
      </c>
      <c r="M5529" s="24" t="str" cm="1">
        <f t="array" ref="M5529">IFERROR(IF($B5529=M$1, ($A5529+$C5529) - MAX(IF($B$2:$B5528=$B5529, $A$2:$A5528+$C$2:$C5528)), "")*24*60, "")</f>
        <v/>
      </c>
      <c r="N5529" s="24" t="str" cm="1">
        <f t="array" ref="N5529">IFERROR(IF($B5529=N$1, ($A5529+$C5529) - MAX(IF($B$2:$B5528=$B5529, $A$2:$A5528+$C$2:$C5528)), "")*24*60, "")</f>
        <v/>
      </c>
      <c r="O5529" s="24" t="str" cm="1">
        <f t="array" ref="O5529">IFERROR(IF($B5529=O$1, ($A5529+$C5529) - MAX(IF($B$2:$B5528=$B5529, $A$2:$A5528+$C$2:$C5528)), "")*24*60, "")</f>
        <v/>
      </c>
      <c r="P5529" s="24" t="str" cm="1">
        <f t="array" ref="P5529">IFERROR(IF($B5529=P$1, ($A5529+$C5529) - MAX(IF($B$2:$B5528=$B5529, $A$2:$A5528+$C$2:$C5528)), "")*24*60, "")</f>
        <v/>
      </c>
      <c r="Q5529" s="24" t="str" cm="1">
        <f t="array" ref="Q5529">IFERROR(IF($B5529=Q$1, ($A5529+$C5529) - MAX(IF($B$2:$B5528=$B5529, $A$2:$A5528+$C$2:$C5528)), "")*24*60, "")</f>
        <v/>
      </c>
    </row>
    <row r="5530" spans="1:17" x14ac:dyDescent="0.2">
      <c r="A5530" s="12">
        <f t="shared" ref="A5530:C5530" si="1426">A5529</f>
        <v>45983</v>
      </c>
      <c r="B5530" s="5" t="str">
        <f t="shared" si="1426"/>
        <v>Northern Cardinal</v>
      </c>
      <c r="C5530" s="6">
        <f t="shared" si="1426"/>
        <v>0.28194444444444444</v>
      </c>
      <c r="D5530" s="5"/>
      <c r="E5530" s="5"/>
      <c r="F5530" s="5" t="s">
        <v>8</v>
      </c>
      <c r="G5530" s="15" t="s">
        <v>9</v>
      </c>
      <c r="H5530" s="24">
        <f t="shared" si="1364"/>
        <v>0</v>
      </c>
      <c r="I5530" s="24" cm="1">
        <f t="array" ref="I5530">IFERROR(IF($B5530=I$1, ($A5530+$C5530) - MAX(IF($B$2:$B5529=$B5530, $A$2:$A5529+$C$2:$C5529)), "")*24*60, "")</f>
        <v>0</v>
      </c>
      <c r="J5530" s="24" t="str" cm="1">
        <f t="array" ref="J5530">IFERROR(IF($B5530=J$1, ($A5530+$C5530) - MAX(IF($B$2:$B5529=$B5530, $A$2:$A5529+$C$2:$C5529)), "")*24*60, "")</f>
        <v/>
      </c>
      <c r="K5530" s="24" t="str" cm="1">
        <f t="array" ref="K5530">IFERROR(IF($B5530=K$1, ($A5530+$C5530) - MAX(IF($B$2:$B5529=$B5530, $A$2:$A5529+$C$2:$C5529)), "")*24*60, "")</f>
        <v/>
      </c>
      <c r="L5530" s="24" t="str" cm="1">
        <f t="array" ref="L5530">IFERROR(IF($B5530=L$1, ($A5530+$C5530) - MAX(IF($B$2:$B5529=$B5530, $A$2:$A5529+$C$2:$C5529)), "")*24*60, "")</f>
        <v/>
      </c>
      <c r="M5530" s="24" t="str" cm="1">
        <f t="array" ref="M5530">IFERROR(IF($B5530=M$1, ($A5530+$C5530) - MAX(IF($B$2:$B5529=$B5530, $A$2:$A5529+$C$2:$C5529)), "")*24*60, "")</f>
        <v/>
      </c>
      <c r="N5530" s="24" t="str" cm="1">
        <f t="array" ref="N5530">IFERROR(IF($B5530=N$1, ($A5530+$C5530) - MAX(IF($B$2:$B5529=$B5530, $A$2:$A5529+$C$2:$C5529)), "")*24*60, "")</f>
        <v/>
      </c>
      <c r="O5530" s="24" t="str" cm="1">
        <f t="array" ref="O5530">IFERROR(IF($B5530=O$1, ($A5530+$C5530) - MAX(IF($B$2:$B5529=$B5530, $A$2:$A5529+$C$2:$C5529)), "")*24*60, "")</f>
        <v/>
      </c>
      <c r="P5530" s="24" t="str" cm="1">
        <f t="array" ref="P5530">IFERROR(IF($B5530=P$1, ($A5530+$C5530) - MAX(IF($B$2:$B5529=$B5530, $A$2:$A5529+$C$2:$C5529)), "")*24*60, "")</f>
        <v/>
      </c>
      <c r="Q5530" s="24" t="str" cm="1">
        <f t="array" ref="Q5530">IFERROR(IF($B5530=Q$1, ($A5530+$C5530) - MAX(IF($B$2:$B5529=$B5530, $A$2:$A5529+$C$2:$C5529)), "")*24*60, "")</f>
        <v/>
      </c>
    </row>
    <row r="5531" spans="1:17" x14ac:dyDescent="0.2">
      <c r="A5531" s="12">
        <f t="shared" ref="A5531:C5531" si="1427">A5530</f>
        <v>45983</v>
      </c>
      <c r="B5531" s="5" t="str">
        <f t="shared" si="1427"/>
        <v>Northern Cardinal</v>
      </c>
      <c r="C5531" s="6">
        <f t="shared" si="1427"/>
        <v>0.28194444444444444</v>
      </c>
      <c r="D5531" s="5"/>
      <c r="E5531" s="5"/>
      <c r="F5531" s="5" t="s">
        <v>8</v>
      </c>
      <c r="G5531" s="15" t="s">
        <v>9</v>
      </c>
      <c r="H5531" s="24">
        <f t="shared" si="1364"/>
        <v>0</v>
      </c>
      <c r="I5531" s="24" cm="1">
        <f t="array" ref="I5531">IFERROR(IF($B5531=I$1, ($A5531+$C5531) - MAX(IF($B$2:$B5530=$B5531, $A$2:$A5530+$C$2:$C5530)), "")*24*60, "")</f>
        <v>0</v>
      </c>
      <c r="J5531" s="24" t="str" cm="1">
        <f t="array" ref="J5531">IFERROR(IF($B5531=J$1, ($A5531+$C5531) - MAX(IF($B$2:$B5530=$B5531, $A$2:$A5530+$C$2:$C5530)), "")*24*60, "")</f>
        <v/>
      </c>
      <c r="K5531" s="24" t="str" cm="1">
        <f t="array" ref="K5531">IFERROR(IF($B5531=K$1, ($A5531+$C5531) - MAX(IF($B$2:$B5530=$B5531, $A$2:$A5530+$C$2:$C5530)), "")*24*60, "")</f>
        <v/>
      </c>
      <c r="L5531" s="24" t="str" cm="1">
        <f t="array" ref="L5531">IFERROR(IF($B5531=L$1, ($A5531+$C5531) - MAX(IF($B$2:$B5530=$B5531, $A$2:$A5530+$C$2:$C5530)), "")*24*60, "")</f>
        <v/>
      </c>
      <c r="M5531" s="24" t="str" cm="1">
        <f t="array" ref="M5531">IFERROR(IF($B5531=M$1, ($A5531+$C5531) - MAX(IF($B$2:$B5530=$B5531, $A$2:$A5530+$C$2:$C5530)), "")*24*60, "")</f>
        <v/>
      </c>
      <c r="N5531" s="24" t="str" cm="1">
        <f t="array" ref="N5531">IFERROR(IF($B5531=N$1, ($A5531+$C5531) - MAX(IF($B$2:$B5530=$B5531, $A$2:$A5530+$C$2:$C5530)), "")*24*60, "")</f>
        <v/>
      </c>
      <c r="O5531" s="24" t="str" cm="1">
        <f t="array" ref="O5531">IFERROR(IF($B5531=O$1, ($A5531+$C5531) - MAX(IF($B$2:$B5530=$B5531, $A$2:$A5530+$C$2:$C5530)), "")*24*60, "")</f>
        <v/>
      </c>
      <c r="P5531" s="24" t="str" cm="1">
        <f t="array" ref="P5531">IFERROR(IF($B5531=P$1, ($A5531+$C5531) - MAX(IF($B$2:$B5530=$B5531, $A$2:$A5530+$C$2:$C5530)), "")*24*60, "")</f>
        <v/>
      </c>
      <c r="Q5531" s="24" t="str" cm="1">
        <f t="array" ref="Q5531">IFERROR(IF($B5531=Q$1, ($A5531+$C5531) - MAX(IF($B$2:$B5530=$B5531, $A$2:$A5530+$C$2:$C5530)), "")*24*60, "")</f>
        <v/>
      </c>
    </row>
    <row r="5532" spans="1:17" x14ac:dyDescent="0.2">
      <c r="A5532" s="12">
        <f t="shared" ref="A5532:C5532" si="1428">A5531</f>
        <v>45983</v>
      </c>
      <c r="B5532" s="5" t="str">
        <f t="shared" si="1428"/>
        <v>Northern Cardinal</v>
      </c>
      <c r="C5532" s="6">
        <f t="shared" si="1428"/>
        <v>0.28194444444444444</v>
      </c>
      <c r="D5532" s="5"/>
      <c r="E5532" s="5"/>
      <c r="F5532" s="5" t="s">
        <v>8</v>
      </c>
      <c r="G5532" s="15" t="s">
        <v>9</v>
      </c>
      <c r="H5532" s="24">
        <f t="shared" ref="H5532:H5568" si="1429">IFERROR((($A5532+$C5532) - ($A5531+$C5531))*24*60, "")</f>
        <v>0</v>
      </c>
      <c r="I5532" s="24" cm="1">
        <f t="array" ref="I5532">IFERROR(IF($B5532=I$1, ($A5532+$C5532) - MAX(IF($B$2:$B5531=$B5532, $A$2:$A5531+$C$2:$C5531)), "")*24*60, "")</f>
        <v>0</v>
      </c>
      <c r="J5532" s="24" t="str" cm="1">
        <f t="array" ref="J5532">IFERROR(IF($B5532=J$1, ($A5532+$C5532) - MAX(IF($B$2:$B5531=$B5532, $A$2:$A5531+$C$2:$C5531)), "")*24*60, "")</f>
        <v/>
      </c>
      <c r="K5532" s="24" t="str" cm="1">
        <f t="array" ref="K5532">IFERROR(IF($B5532=K$1, ($A5532+$C5532) - MAX(IF($B$2:$B5531=$B5532, $A$2:$A5531+$C$2:$C5531)), "")*24*60, "")</f>
        <v/>
      </c>
      <c r="L5532" s="24" t="str" cm="1">
        <f t="array" ref="L5532">IFERROR(IF($B5532=L$1, ($A5532+$C5532) - MAX(IF($B$2:$B5531=$B5532, $A$2:$A5531+$C$2:$C5531)), "")*24*60, "")</f>
        <v/>
      </c>
      <c r="M5532" s="24" t="str" cm="1">
        <f t="array" ref="M5532">IFERROR(IF($B5532=M$1, ($A5532+$C5532) - MAX(IF($B$2:$B5531=$B5532, $A$2:$A5531+$C$2:$C5531)), "")*24*60, "")</f>
        <v/>
      </c>
      <c r="N5532" s="24" t="str" cm="1">
        <f t="array" ref="N5532">IFERROR(IF($B5532=N$1, ($A5532+$C5532) - MAX(IF($B$2:$B5531=$B5532, $A$2:$A5531+$C$2:$C5531)), "")*24*60, "")</f>
        <v/>
      </c>
      <c r="O5532" s="24" t="str" cm="1">
        <f t="array" ref="O5532">IFERROR(IF($B5532=O$1, ($A5532+$C5532) - MAX(IF($B$2:$B5531=$B5532, $A$2:$A5531+$C$2:$C5531)), "")*24*60, "")</f>
        <v/>
      </c>
      <c r="P5532" s="24" t="str" cm="1">
        <f t="array" ref="P5532">IFERROR(IF($B5532=P$1, ($A5532+$C5532) - MAX(IF($B$2:$B5531=$B5532, $A$2:$A5531+$C$2:$C5531)), "")*24*60, "")</f>
        <v/>
      </c>
      <c r="Q5532" s="24" t="str" cm="1">
        <f t="array" ref="Q5532">IFERROR(IF($B5532=Q$1, ($A5532+$C5532) - MAX(IF($B$2:$B5531=$B5532, $A$2:$A5531+$C$2:$C5531)), "")*24*60, "")</f>
        <v/>
      </c>
    </row>
    <row r="5533" spans="1:17" x14ac:dyDescent="0.2">
      <c r="A5533" s="12">
        <f t="shared" ref="A5533:C5533" si="1430">A5532</f>
        <v>45983</v>
      </c>
      <c r="B5533" s="5" t="str">
        <f t="shared" si="1430"/>
        <v>Northern Cardinal</v>
      </c>
      <c r="C5533" s="6">
        <f t="shared" si="1430"/>
        <v>0.28194444444444444</v>
      </c>
      <c r="D5533" s="5"/>
      <c r="E5533" s="5"/>
      <c r="F5533" s="5" t="s">
        <v>8</v>
      </c>
      <c r="G5533" s="15" t="s">
        <v>9</v>
      </c>
      <c r="H5533" s="24">
        <f t="shared" si="1429"/>
        <v>0</v>
      </c>
      <c r="I5533" s="24" cm="1">
        <f t="array" ref="I5533">IFERROR(IF($B5533=I$1, ($A5533+$C5533) - MAX(IF($B$2:$B5532=$B5533, $A$2:$A5532+$C$2:$C5532)), "")*24*60, "")</f>
        <v>0</v>
      </c>
      <c r="J5533" s="24" t="str" cm="1">
        <f t="array" ref="J5533">IFERROR(IF($B5533=J$1, ($A5533+$C5533) - MAX(IF($B$2:$B5532=$B5533, $A$2:$A5532+$C$2:$C5532)), "")*24*60, "")</f>
        <v/>
      </c>
      <c r="K5533" s="24" t="str" cm="1">
        <f t="array" ref="K5533">IFERROR(IF($B5533=K$1, ($A5533+$C5533) - MAX(IF($B$2:$B5532=$B5533, $A$2:$A5532+$C$2:$C5532)), "")*24*60, "")</f>
        <v/>
      </c>
      <c r="L5533" s="24" t="str" cm="1">
        <f t="array" ref="L5533">IFERROR(IF($B5533=L$1, ($A5533+$C5533) - MAX(IF($B$2:$B5532=$B5533, $A$2:$A5532+$C$2:$C5532)), "")*24*60, "")</f>
        <v/>
      </c>
      <c r="M5533" s="24" t="str" cm="1">
        <f t="array" ref="M5533">IFERROR(IF($B5533=M$1, ($A5533+$C5533) - MAX(IF($B$2:$B5532=$B5533, $A$2:$A5532+$C$2:$C5532)), "")*24*60, "")</f>
        <v/>
      </c>
      <c r="N5533" s="24" t="str" cm="1">
        <f t="array" ref="N5533">IFERROR(IF($B5533=N$1, ($A5533+$C5533) - MAX(IF($B$2:$B5532=$B5533, $A$2:$A5532+$C$2:$C5532)), "")*24*60, "")</f>
        <v/>
      </c>
      <c r="O5533" s="24" t="str" cm="1">
        <f t="array" ref="O5533">IFERROR(IF($B5533=O$1, ($A5533+$C5533) - MAX(IF($B$2:$B5532=$B5533, $A$2:$A5532+$C$2:$C5532)), "")*24*60, "")</f>
        <v/>
      </c>
      <c r="P5533" s="24" t="str" cm="1">
        <f t="array" ref="P5533">IFERROR(IF($B5533=P$1, ($A5533+$C5533) - MAX(IF($B$2:$B5532=$B5533, $A$2:$A5532+$C$2:$C5532)), "")*24*60, "")</f>
        <v/>
      </c>
      <c r="Q5533" s="24" t="str" cm="1">
        <f t="array" ref="Q5533">IFERROR(IF($B5533=Q$1, ($A5533+$C5533) - MAX(IF($B$2:$B5532=$B5533, $A$2:$A5532+$C$2:$C5532)), "")*24*60, "")</f>
        <v/>
      </c>
    </row>
    <row r="5534" spans="1:17" x14ac:dyDescent="0.2">
      <c r="A5534" s="12">
        <f t="shared" ref="A5534:C5534" si="1431">A5533</f>
        <v>45983</v>
      </c>
      <c r="B5534" s="5" t="str">
        <f t="shared" si="1431"/>
        <v>Northern Cardinal</v>
      </c>
      <c r="C5534" s="6">
        <f t="shared" si="1431"/>
        <v>0.28194444444444444</v>
      </c>
      <c r="D5534" s="5"/>
      <c r="E5534" s="5"/>
      <c r="F5534" s="5" t="s">
        <v>8</v>
      </c>
      <c r="G5534" s="15" t="s">
        <v>9</v>
      </c>
      <c r="H5534" s="24">
        <f t="shared" si="1429"/>
        <v>0</v>
      </c>
      <c r="I5534" s="24" cm="1">
        <f t="array" ref="I5534">IFERROR(IF($B5534=I$1, ($A5534+$C5534) - MAX(IF($B$2:$B5533=$B5534, $A$2:$A5533+$C$2:$C5533)), "")*24*60, "")</f>
        <v>0</v>
      </c>
      <c r="J5534" s="24" t="str" cm="1">
        <f t="array" ref="J5534">IFERROR(IF($B5534=J$1, ($A5534+$C5534) - MAX(IF($B$2:$B5533=$B5534, $A$2:$A5533+$C$2:$C5533)), "")*24*60, "")</f>
        <v/>
      </c>
      <c r="K5534" s="24" t="str" cm="1">
        <f t="array" ref="K5534">IFERROR(IF($B5534=K$1, ($A5534+$C5534) - MAX(IF($B$2:$B5533=$B5534, $A$2:$A5533+$C$2:$C5533)), "")*24*60, "")</f>
        <v/>
      </c>
      <c r="L5534" s="24" t="str" cm="1">
        <f t="array" ref="L5534">IFERROR(IF($B5534=L$1, ($A5534+$C5534) - MAX(IF($B$2:$B5533=$B5534, $A$2:$A5533+$C$2:$C5533)), "")*24*60, "")</f>
        <v/>
      </c>
      <c r="M5534" s="24" t="str" cm="1">
        <f t="array" ref="M5534">IFERROR(IF($B5534=M$1, ($A5534+$C5534) - MAX(IF($B$2:$B5533=$B5534, $A$2:$A5533+$C$2:$C5533)), "")*24*60, "")</f>
        <v/>
      </c>
      <c r="N5534" s="24" t="str" cm="1">
        <f t="array" ref="N5534">IFERROR(IF($B5534=N$1, ($A5534+$C5534) - MAX(IF($B$2:$B5533=$B5534, $A$2:$A5533+$C$2:$C5533)), "")*24*60, "")</f>
        <v/>
      </c>
      <c r="O5534" s="24" t="str" cm="1">
        <f t="array" ref="O5534">IFERROR(IF($B5534=O$1, ($A5534+$C5534) - MAX(IF($B$2:$B5533=$B5534, $A$2:$A5533+$C$2:$C5533)), "")*24*60, "")</f>
        <v/>
      </c>
      <c r="P5534" s="24" t="str" cm="1">
        <f t="array" ref="P5534">IFERROR(IF($B5534=P$1, ($A5534+$C5534) - MAX(IF($B$2:$B5533=$B5534, $A$2:$A5533+$C$2:$C5533)), "")*24*60, "")</f>
        <v/>
      </c>
      <c r="Q5534" s="24" t="str" cm="1">
        <f t="array" ref="Q5534">IFERROR(IF($B5534=Q$1, ($A5534+$C5534) - MAX(IF($B$2:$B5533=$B5534, $A$2:$A5533+$C$2:$C5533)), "")*24*60, "")</f>
        <v/>
      </c>
    </row>
    <row r="5535" spans="1:17" x14ac:dyDescent="0.2">
      <c r="A5535" s="12">
        <f t="shared" ref="A5535:C5535" si="1432">A5534</f>
        <v>45983</v>
      </c>
      <c r="B5535" s="5" t="str">
        <f t="shared" si="1432"/>
        <v>Northern Cardinal</v>
      </c>
      <c r="C5535" s="6">
        <f t="shared" si="1432"/>
        <v>0.28194444444444444</v>
      </c>
      <c r="D5535" s="5"/>
      <c r="E5535" s="5"/>
      <c r="F5535" s="5" t="s">
        <v>8</v>
      </c>
      <c r="G5535" s="15" t="s">
        <v>9</v>
      </c>
      <c r="H5535" s="24">
        <f t="shared" si="1429"/>
        <v>0</v>
      </c>
      <c r="I5535" s="24" cm="1">
        <f t="array" ref="I5535">IFERROR(IF($B5535=I$1, ($A5535+$C5535) - MAX(IF($B$2:$B5534=$B5535, $A$2:$A5534+$C$2:$C5534)), "")*24*60, "")</f>
        <v>0</v>
      </c>
      <c r="J5535" s="24" t="str" cm="1">
        <f t="array" ref="J5535">IFERROR(IF($B5535=J$1, ($A5535+$C5535) - MAX(IF($B$2:$B5534=$B5535, $A$2:$A5534+$C$2:$C5534)), "")*24*60, "")</f>
        <v/>
      </c>
      <c r="K5535" s="24" t="str" cm="1">
        <f t="array" ref="K5535">IFERROR(IF($B5535=K$1, ($A5535+$C5535) - MAX(IF($B$2:$B5534=$B5535, $A$2:$A5534+$C$2:$C5534)), "")*24*60, "")</f>
        <v/>
      </c>
      <c r="L5535" s="24" t="str" cm="1">
        <f t="array" ref="L5535">IFERROR(IF($B5535=L$1, ($A5535+$C5535) - MAX(IF($B$2:$B5534=$B5535, $A$2:$A5534+$C$2:$C5534)), "")*24*60, "")</f>
        <v/>
      </c>
      <c r="M5535" s="24" t="str" cm="1">
        <f t="array" ref="M5535">IFERROR(IF($B5535=M$1, ($A5535+$C5535) - MAX(IF($B$2:$B5534=$B5535, $A$2:$A5534+$C$2:$C5534)), "")*24*60, "")</f>
        <v/>
      </c>
      <c r="N5535" s="24" t="str" cm="1">
        <f t="array" ref="N5535">IFERROR(IF($B5535=N$1, ($A5535+$C5535) - MAX(IF($B$2:$B5534=$B5535, $A$2:$A5534+$C$2:$C5534)), "")*24*60, "")</f>
        <v/>
      </c>
      <c r="O5535" s="24" t="str" cm="1">
        <f t="array" ref="O5535">IFERROR(IF($B5535=O$1, ($A5535+$C5535) - MAX(IF($B$2:$B5534=$B5535, $A$2:$A5534+$C$2:$C5534)), "")*24*60, "")</f>
        <v/>
      </c>
      <c r="P5535" s="24" t="str" cm="1">
        <f t="array" ref="P5535">IFERROR(IF($B5535=P$1, ($A5535+$C5535) - MAX(IF($B$2:$B5534=$B5535, $A$2:$A5534+$C$2:$C5534)), "")*24*60, "")</f>
        <v/>
      </c>
      <c r="Q5535" s="24" t="str" cm="1">
        <f t="array" ref="Q5535">IFERROR(IF($B5535=Q$1, ($A5535+$C5535) - MAX(IF($B$2:$B5534=$B5535, $A$2:$A5534+$C$2:$C5534)), "")*24*60, "")</f>
        <v/>
      </c>
    </row>
    <row r="5536" spans="1:17" x14ac:dyDescent="0.2">
      <c r="A5536" s="12">
        <f t="shared" ref="A5536:C5536" si="1433">A5535</f>
        <v>45983</v>
      </c>
      <c r="B5536" s="5" t="str">
        <f t="shared" si="1433"/>
        <v>Northern Cardinal</v>
      </c>
      <c r="C5536" s="6">
        <f t="shared" si="1433"/>
        <v>0.28194444444444444</v>
      </c>
      <c r="D5536" s="5"/>
      <c r="E5536" s="5"/>
      <c r="F5536" s="5" t="s">
        <v>8</v>
      </c>
      <c r="G5536" s="15" t="s">
        <v>9</v>
      </c>
      <c r="H5536" s="24">
        <f t="shared" si="1429"/>
        <v>0</v>
      </c>
      <c r="I5536" s="24" cm="1">
        <f t="array" ref="I5536">IFERROR(IF($B5536=I$1, ($A5536+$C5536) - MAX(IF($B$2:$B5535=$B5536, $A$2:$A5535+$C$2:$C5535)), "")*24*60, "")</f>
        <v>0</v>
      </c>
      <c r="J5536" s="24" t="str" cm="1">
        <f t="array" ref="J5536">IFERROR(IF($B5536=J$1, ($A5536+$C5536) - MAX(IF($B$2:$B5535=$B5536, $A$2:$A5535+$C$2:$C5535)), "")*24*60, "")</f>
        <v/>
      </c>
      <c r="K5536" s="24" t="str" cm="1">
        <f t="array" ref="K5536">IFERROR(IF($B5536=K$1, ($A5536+$C5536) - MAX(IF($B$2:$B5535=$B5536, $A$2:$A5535+$C$2:$C5535)), "")*24*60, "")</f>
        <v/>
      </c>
      <c r="L5536" s="24" t="str" cm="1">
        <f t="array" ref="L5536">IFERROR(IF($B5536=L$1, ($A5536+$C5536) - MAX(IF($B$2:$B5535=$B5536, $A$2:$A5535+$C$2:$C5535)), "")*24*60, "")</f>
        <v/>
      </c>
      <c r="M5536" s="24" t="str" cm="1">
        <f t="array" ref="M5536">IFERROR(IF($B5536=M$1, ($A5536+$C5536) - MAX(IF($B$2:$B5535=$B5536, $A$2:$A5535+$C$2:$C5535)), "")*24*60, "")</f>
        <v/>
      </c>
      <c r="N5536" s="24" t="str" cm="1">
        <f t="array" ref="N5536">IFERROR(IF($B5536=N$1, ($A5536+$C5536) - MAX(IF($B$2:$B5535=$B5536, $A$2:$A5535+$C$2:$C5535)), "")*24*60, "")</f>
        <v/>
      </c>
      <c r="O5536" s="24" t="str" cm="1">
        <f t="array" ref="O5536">IFERROR(IF($B5536=O$1, ($A5536+$C5536) - MAX(IF($B$2:$B5535=$B5536, $A$2:$A5535+$C$2:$C5535)), "")*24*60, "")</f>
        <v/>
      </c>
      <c r="P5536" s="24" t="str" cm="1">
        <f t="array" ref="P5536">IFERROR(IF($B5536=P$1, ($A5536+$C5536) - MAX(IF($B$2:$B5535=$B5536, $A$2:$A5535+$C$2:$C5535)), "")*24*60, "")</f>
        <v/>
      </c>
      <c r="Q5536" s="24" t="str" cm="1">
        <f t="array" ref="Q5536">IFERROR(IF($B5536=Q$1, ($A5536+$C5536) - MAX(IF($B$2:$B5535=$B5536, $A$2:$A5535+$C$2:$C5535)), "")*24*60, "")</f>
        <v/>
      </c>
    </row>
    <row r="5537" spans="1:17" x14ac:dyDescent="0.2">
      <c r="A5537" s="12">
        <f t="shared" ref="A5537:C5537" si="1434">A5536</f>
        <v>45983</v>
      </c>
      <c r="B5537" s="5" t="str">
        <f t="shared" si="1434"/>
        <v>Northern Cardinal</v>
      </c>
      <c r="C5537" s="6">
        <f t="shared" si="1434"/>
        <v>0.28194444444444444</v>
      </c>
      <c r="D5537" s="5"/>
      <c r="E5537" s="5"/>
      <c r="F5537" s="5" t="s">
        <v>8</v>
      </c>
      <c r="G5537" s="15" t="s">
        <v>9</v>
      </c>
      <c r="H5537" s="24">
        <f t="shared" si="1429"/>
        <v>0</v>
      </c>
      <c r="I5537" s="24" cm="1">
        <f t="array" ref="I5537">IFERROR(IF($B5537=I$1, ($A5537+$C5537) - MAX(IF($B$2:$B5536=$B5537, $A$2:$A5536+$C$2:$C5536)), "")*24*60, "")</f>
        <v>0</v>
      </c>
      <c r="J5537" s="24" t="str" cm="1">
        <f t="array" ref="J5537">IFERROR(IF($B5537=J$1, ($A5537+$C5537) - MAX(IF($B$2:$B5536=$B5537, $A$2:$A5536+$C$2:$C5536)), "")*24*60, "")</f>
        <v/>
      </c>
      <c r="K5537" s="24" t="str" cm="1">
        <f t="array" ref="K5537">IFERROR(IF($B5537=K$1, ($A5537+$C5537) - MAX(IF($B$2:$B5536=$B5537, $A$2:$A5536+$C$2:$C5536)), "")*24*60, "")</f>
        <v/>
      </c>
      <c r="L5537" s="24" t="str" cm="1">
        <f t="array" ref="L5537">IFERROR(IF($B5537=L$1, ($A5537+$C5537) - MAX(IF($B$2:$B5536=$B5537, $A$2:$A5536+$C$2:$C5536)), "")*24*60, "")</f>
        <v/>
      </c>
      <c r="M5537" s="24" t="str" cm="1">
        <f t="array" ref="M5537">IFERROR(IF($B5537=M$1, ($A5537+$C5537) - MAX(IF($B$2:$B5536=$B5537, $A$2:$A5536+$C$2:$C5536)), "")*24*60, "")</f>
        <v/>
      </c>
      <c r="N5537" s="24" t="str" cm="1">
        <f t="array" ref="N5537">IFERROR(IF($B5537=N$1, ($A5537+$C5537) - MAX(IF($B$2:$B5536=$B5537, $A$2:$A5536+$C$2:$C5536)), "")*24*60, "")</f>
        <v/>
      </c>
      <c r="O5537" s="24" t="str" cm="1">
        <f t="array" ref="O5537">IFERROR(IF($B5537=O$1, ($A5537+$C5537) - MAX(IF($B$2:$B5536=$B5537, $A$2:$A5536+$C$2:$C5536)), "")*24*60, "")</f>
        <v/>
      </c>
      <c r="P5537" s="24" t="str" cm="1">
        <f t="array" ref="P5537">IFERROR(IF($B5537=P$1, ($A5537+$C5537) - MAX(IF($B$2:$B5536=$B5537, $A$2:$A5536+$C$2:$C5536)), "")*24*60, "")</f>
        <v/>
      </c>
      <c r="Q5537" s="24" t="str" cm="1">
        <f t="array" ref="Q5537">IFERROR(IF($B5537=Q$1, ($A5537+$C5537) - MAX(IF($B$2:$B5536=$B5537, $A$2:$A5536+$C$2:$C5536)), "")*24*60, "")</f>
        <v/>
      </c>
    </row>
    <row r="5538" spans="1:17" x14ac:dyDescent="0.2">
      <c r="A5538" s="12">
        <f t="shared" ref="A5538:C5538" si="1435">A5537</f>
        <v>45983</v>
      </c>
      <c r="B5538" s="5" t="str">
        <f t="shared" si="1435"/>
        <v>Northern Cardinal</v>
      </c>
      <c r="C5538" s="6">
        <f t="shared" si="1435"/>
        <v>0.28194444444444444</v>
      </c>
      <c r="D5538" s="5"/>
      <c r="E5538" s="5"/>
      <c r="F5538" s="5" t="s">
        <v>8</v>
      </c>
      <c r="G5538" s="15" t="s">
        <v>9</v>
      </c>
      <c r="H5538" s="24">
        <f t="shared" si="1429"/>
        <v>0</v>
      </c>
      <c r="I5538" s="24" cm="1">
        <f t="array" ref="I5538">IFERROR(IF($B5538=I$1, ($A5538+$C5538) - MAX(IF($B$2:$B5537=$B5538, $A$2:$A5537+$C$2:$C5537)), "")*24*60, "")</f>
        <v>0</v>
      </c>
      <c r="J5538" s="24" t="str" cm="1">
        <f t="array" ref="J5538">IFERROR(IF($B5538=J$1, ($A5538+$C5538) - MAX(IF($B$2:$B5537=$B5538, $A$2:$A5537+$C$2:$C5537)), "")*24*60, "")</f>
        <v/>
      </c>
      <c r="K5538" s="24" t="str" cm="1">
        <f t="array" ref="K5538">IFERROR(IF($B5538=K$1, ($A5538+$C5538) - MAX(IF($B$2:$B5537=$B5538, $A$2:$A5537+$C$2:$C5537)), "")*24*60, "")</f>
        <v/>
      </c>
      <c r="L5538" s="24" t="str" cm="1">
        <f t="array" ref="L5538">IFERROR(IF($B5538=L$1, ($A5538+$C5538) - MAX(IF($B$2:$B5537=$B5538, $A$2:$A5537+$C$2:$C5537)), "")*24*60, "")</f>
        <v/>
      </c>
      <c r="M5538" s="24" t="str" cm="1">
        <f t="array" ref="M5538">IFERROR(IF($B5538=M$1, ($A5538+$C5538) - MAX(IF($B$2:$B5537=$B5538, $A$2:$A5537+$C$2:$C5537)), "")*24*60, "")</f>
        <v/>
      </c>
      <c r="N5538" s="24" t="str" cm="1">
        <f t="array" ref="N5538">IFERROR(IF($B5538=N$1, ($A5538+$C5538) - MAX(IF($B$2:$B5537=$B5538, $A$2:$A5537+$C$2:$C5537)), "")*24*60, "")</f>
        <v/>
      </c>
      <c r="O5538" s="24" t="str" cm="1">
        <f t="array" ref="O5538">IFERROR(IF($B5538=O$1, ($A5538+$C5538) - MAX(IF($B$2:$B5537=$B5538, $A$2:$A5537+$C$2:$C5537)), "")*24*60, "")</f>
        <v/>
      </c>
      <c r="P5538" s="24" t="str" cm="1">
        <f t="array" ref="P5538">IFERROR(IF($B5538=P$1, ($A5538+$C5538) - MAX(IF($B$2:$B5537=$B5538, $A$2:$A5537+$C$2:$C5537)), "")*24*60, "")</f>
        <v/>
      </c>
      <c r="Q5538" s="24" t="str" cm="1">
        <f t="array" ref="Q5538">IFERROR(IF($B5538=Q$1, ($A5538+$C5538) - MAX(IF($B$2:$B5537=$B5538, $A$2:$A5537+$C$2:$C5537)), "")*24*60, "")</f>
        <v/>
      </c>
    </row>
    <row r="5539" spans="1:17" x14ac:dyDescent="0.2">
      <c r="A5539" s="12">
        <f t="shared" ref="A5539:C5539" si="1436">A5538</f>
        <v>45983</v>
      </c>
      <c r="B5539" s="5" t="str">
        <f t="shared" si="1436"/>
        <v>Northern Cardinal</v>
      </c>
      <c r="C5539" s="6">
        <f t="shared" si="1436"/>
        <v>0.28194444444444444</v>
      </c>
      <c r="D5539" s="5"/>
      <c r="E5539" s="5"/>
      <c r="F5539" s="5" t="s">
        <v>8</v>
      </c>
      <c r="G5539" s="15" t="s">
        <v>9</v>
      </c>
      <c r="H5539" s="24">
        <f t="shared" si="1429"/>
        <v>0</v>
      </c>
      <c r="I5539" s="24" cm="1">
        <f t="array" ref="I5539">IFERROR(IF($B5539=I$1, ($A5539+$C5539) - MAX(IF($B$2:$B5538=$B5539, $A$2:$A5538+$C$2:$C5538)), "")*24*60, "")</f>
        <v>0</v>
      </c>
      <c r="J5539" s="24" t="str" cm="1">
        <f t="array" ref="J5539">IFERROR(IF($B5539=J$1, ($A5539+$C5539) - MAX(IF($B$2:$B5538=$B5539, $A$2:$A5538+$C$2:$C5538)), "")*24*60, "")</f>
        <v/>
      </c>
      <c r="K5539" s="24" t="str" cm="1">
        <f t="array" ref="K5539">IFERROR(IF($B5539=K$1, ($A5539+$C5539) - MAX(IF($B$2:$B5538=$B5539, $A$2:$A5538+$C$2:$C5538)), "")*24*60, "")</f>
        <v/>
      </c>
      <c r="L5539" s="24" t="str" cm="1">
        <f t="array" ref="L5539">IFERROR(IF($B5539=L$1, ($A5539+$C5539) - MAX(IF($B$2:$B5538=$B5539, $A$2:$A5538+$C$2:$C5538)), "")*24*60, "")</f>
        <v/>
      </c>
      <c r="M5539" s="24" t="str" cm="1">
        <f t="array" ref="M5539">IFERROR(IF($B5539=M$1, ($A5539+$C5539) - MAX(IF($B$2:$B5538=$B5539, $A$2:$A5538+$C$2:$C5538)), "")*24*60, "")</f>
        <v/>
      </c>
      <c r="N5539" s="24" t="str" cm="1">
        <f t="array" ref="N5539">IFERROR(IF($B5539=N$1, ($A5539+$C5539) - MAX(IF($B$2:$B5538=$B5539, $A$2:$A5538+$C$2:$C5538)), "")*24*60, "")</f>
        <v/>
      </c>
      <c r="O5539" s="24" t="str" cm="1">
        <f t="array" ref="O5539">IFERROR(IF($B5539=O$1, ($A5539+$C5539) - MAX(IF($B$2:$B5538=$B5539, $A$2:$A5538+$C$2:$C5538)), "")*24*60, "")</f>
        <v/>
      </c>
      <c r="P5539" s="24" t="str" cm="1">
        <f t="array" ref="P5539">IFERROR(IF($B5539=P$1, ($A5539+$C5539) - MAX(IF($B$2:$B5538=$B5539, $A$2:$A5538+$C$2:$C5538)), "")*24*60, "")</f>
        <v/>
      </c>
      <c r="Q5539" s="24" t="str" cm="1">
        <f t="array" ref="Q5539">IFERROR(IF($B5539=Q$1, ($A5539+$C5539) - MAX(IF($B$2:$B5538=$B5539, $A$2:$A5538+$C$2:$C5538)), "")*24*60, "")</f>
        <v/>
      </c>
    </row>
    <row r="5540" spans="1:17" x14ac:dyDescent="0.2">
      <c r="A5540" s="12">
        <f t="shared" ref="A5540:C5540" si="1437">A5539</f>
        <v>45983</v>
      </c>
      <c r="B5540" s="5" t="str">
        <f t="shared" si="1437"/>
        <v>Northern Cardinal</v>
      </c>
      <c r="C5540" s="6">
        <f t="shared" si="1437"/>
        <v>0.28194444444444444</v>
      </c>
      <c r="D5540" s="5"/>
      <c r="E5540" s="5"/>
      <c r="F5540" s="5" t="s">
        <v>8</v>
      </c>
      <c r="G5540" s="15" t="s">
        <v>9</v>
      </c>
      <c r="H5540" s="24">
        <f t="shared" si="1429"/>
        <v>0</v>
      </c>
      <c r="I5540" s="24" cm="1">
        <f t="array" ref="I5540">IFERROR(IF($B5540=I$1, ($A5540+$C5540) - MAX(IF($B$2:$B5539=$B5540, $A$2:$A5539+$C$2:$C5539)), "")*24*60, "")</f>
        <v>0</v>
      </c>
      <c r="J5540" s="24" t="str" cm="1">
        <f t="array" ref="J5540">IFERROR(IF($B5540=J$1, ($A5540+$C5540) - MAX(IF($B$2:$B5539=$B5540, $A$2:$A5539+$C$2:$C5539)), "")*24*60, "")</f>
        <v/>
      </c>
      <c r="K5540" s="24" t="str" cm="1">
        <f t="array" ref="K5540">IFERROR(IF($B5540=K$1, ($A5540+$C5540) - MAX(IF($B$2:$B5539=$B5540, $A$2:$A5539+$C$2:$C5539)), "")*24*60, "")</f>
        <v/>
      </c>
      <c r="L5540" s="24" t="str" cm="1">
        <f t="array" ref="L5540">IFERROR(IF($B5540=L$1, ($A5540+$C5540) - MAX(IF($B$2:$B5539=$B5540, $A$2:$A5539+$C$2:$C5539)), "")*24*60, "")</f>
        <v/>
      </c>
      <c r="M5540" s="24" t="str" cm="1">
        <f t="array" ref="M5540">IFERROR(IF($B5540=M$1, ($A5540+$C5540) - MAX(IF($B$2:$B5539=$B5540, $A$2:$A5539+$C$2:$C5539)), "")*24*60, "")</f>
        <v/>
      </c>
      <c r="N5540" s="24" t="str" cm="1">
        <f t="array" ref="N5540">IFERROR(IF($B5540=N$1, ($A5540+$C5540) - MAX(IF($B$2:$B5539=$B5540, $A$2:$A5539+$C$2:$C5539)), "")*24*60, "")</f>
        <v/>
      </c>
      <c r="O5540" s="24" t="str" cm="1">
        <f t="array" ref="O5540">IFERROR(IF($B5540=O$1, ($A5540+$C5540) - MAX(IF($B$2:$B5539=$B5540, $A$2:$A5539+$C$2:$C5539)), "")*24*60, "")</f>
        <v/>
      </c>
      <c r="P5540" s="24" t="str" cm="1">
        <f t="array" ref="P5540">IFERROR(IF($B5540=P$1, ($A5540+$C5540) - MAX(IF($B$2:$B5539=$B5540, $A$2:$A5539+$C$2:$C5539)), "")*24*60, "")</f>
        <v/>
      </c>
      <c r="Q5540" s="24" t="str" cm="1">
        <f t="array" ref="Q5540">IFERROR(IF($B5540=Q$1, ($A5540+$C5540) - MAX(IF($B$2:$B5539=$B5540, $A$2:$A5539+$C$2:$C5539)), "")*24*60, "")</f>
        <v/>
      </c>
    </row>
    <row r="5541" spans="1:17" x14ac:dyDescent="0.2">
      <c r="A5541" s="12">
        <f t="shared" ref="A5541:C5541" si="1438">A5540</f>
        <v>45983</v>
      </c>
      <c r="B5541" s="5" t="str">
        <f t="shared" si="1438"/>
        <v>Northern Cardinal</v>
      </c>
      <c r="C5541" s="6">
        <f t="shared" si="1438"/>
        <v>0.28194444444444444</v>
      </c>
      <c r="D5541" s="5"/>
      <c r="E5541" s="5"/>
      <c r="F5541" s="5" t="s">
        <v>8</v>
      </c>
      <c r="G5541" s="15" t="s">
        <v>9</v>
      </c>
      <c r="H5541" s="24">
        <f t="shared" si="1429"/>
        <v>0</v>
      </c>
      <c r="I5541" s="24" cm="1">
        <f t="array" ref="I5541">IFERROR(IF($B5541=I$1, ($A5541+$C5541) - MAX(IF($B$2:$B5540=$B5541, $A$2:$A5540+$C$2:$C5540)), "")*24*60, "")</f>
        <v>0</v>
      </c>
      <c r="J5541" s="24" t="str" cm="1">
        <f t="array" ref="J5541">IFERROR(IF($B5541=J$1, ($A5541+$C5541) - MAX(IF($B$2:$B5540=$B5541, $A$2:$A5540+$C$2:$C5540)), "")*24*60, "")</f>
        <v/>
      </c>
      <c r="K5541" s="24" t="str" cm="1">
        <f t="array" ref="K5541">IFERROR(IF($B5541=K$1, ($A5541+$C5541) - MAX(IF($B$2:$B5540=$B5541, $A$2:$A5540+$C$2:$C5540)), "")*24*60, "")</f>
        <v/>
      </c>
      <c r="L5541" s="24" t="str" cm="1">
        <f t="array" ref="L5541">IFERROR(IF($B5541=L$1, ($A5541+$C5541) - MAX(IF($B$2:$B5540=$B5541, $A$2:$A5540+$C$2:$C5540)), "")*24*60, "")</f>
        <v/>
      </c>
      <c r="M5541" s="24" t="str" cm="1">
        <f t="array" ref="M5541">IFERROR(IF($B5541=M$1, ($A5541+$C5541) - MAX(IF($B$2:$B5540=$B5541, $A$2:$A5540+$C$2:$C5540)), "")*24*60, "")</f>
        <v/>
      </c>
      <c r="N5541" s="24" t="str" cm="1">
        <f t="array" ref="N5541">IFERROR(IF($B5541=N$1, ($A5541+$C5541) - MAX(IF($B$2:$B5540=$B5541, $A$2:$A5540+$C$2:$C5540)), "")*24*60, "")</f>
        <v/>
      </c>
      <c r="O5541" s="24" t="str" cm="1">
        <f t="array" ref="O5541">IFERROR(IF($B5541=O$1, ($A5541+$C5541) - MAX(IF($B$2:$B5540=$B5541, $A$2:$A5540+$C$2:$C5540)), "")*24*60, "")</f>
        <v/>
      </c>
      <c r="P5541" s="24" t="str" cm="1">
        <f t="array" ref="P5541">IFERROR(IF($B5541=P$1, ($A5541+$C5541) - MAX(IF($B$2:$B5540=$B5541, $A$2:$A5540+$C$2:$C5540)), "")*24*60, "")</f>
        <v/>
      </c>
      <c r="Q5541" s="24" t="str" cm="1">
        <f t="array" ref="Q5541">IFERROR(IF($B5541=Q$1, ($A5541+$C5541) - MAX(IF($B$2:$B5540=$B5541, $A$2:$A5540+$C$2:$C5540)), "")*24*60, "")</f>
        <v/>
      </c>
    </row>
    <row r="5542" spans="1:17" x14ac:dyDescent="0.2">
      <c r="A5542" s="12">
        <f t="shared" ref="A5542:C5542" si="1439">A5541</f>
        <v>45983</v>
      </c>
      <c r="B5542" s="5" t="str">
        <f t="shared" si="1439"/>
        <v>Northern Cardinal</v>
      </c>
      <c r="C5542" s="6">
        <f t="shared" si="1439"/>
        <v>0.28194444444444444</v>
      </c>
      <c r="D5542" s="5"/>
      <c r="E5542" s="5"/>
      <c r="F5542" s="5" t="s">
        <v>8</v>
      </c>
      <c r="G5542" s="15" t="s">
        <v>9</v>
      </c>
      <c r="H5542" s="24">
        <f t="shared" si="1429"/>
        <v>0</v>
      </c>
      <c r="I5542" s="24" cm="1">
        <f t="array" ref="I5542">IFERROR(IF($B5542=I$1, ($A5542+$C5542) - MAX(IF($B$2:$B5541=$B5542, $A$2:$A5541+$C$2:$C5541)), "")*24*60, "")</f>
        <v>0</v>
      </c>
      <c r="J5542" s="24" t="str" cm="1">
        <f t="array" ref="J5542">IFERROR(IF($B5542=J$1, ($A5542+$C5542) - MAX(IF($B$2:$B5541=$B5542, $A$2:$A5541+$C$2:$C5541)), "")*24*60, "")</f>
        <v/>
      </c>
      <c r="K5542" s="24" t="str" cm="1">
        <f t="array" ref="K5542">IFERROR(IF($B5542=K$1, ($A5542+$C5542) - MAX(IF($B$2:$B5541=$B5542, $A$2:$A5541+$C$2:$C5541)), "")*24*60, "")</f>
        <v/>
      </c>
      <c r="L5542" s="24" t="str" cm="1">
        <f t="array" ref="L5542">IFERROR(IF($B5542=L$1, ($A5542+$C5542) - MAX(IF($B$2:$B5541=$B5542, $A$2:$A5541+$C$2:$C5541)), "")*24*60, "")</f>
        <v/>
      </c>
      <c r="M5542" s="24" t="str" cm="1">
        <f t="array" ref="M5542">IFERROR(IF($B5542=M$1, ($A5542+$C5542) - MAX(IF($B$2:$B5541=$B5542, $A$2:$A5541+$C$2:$C5541)), "")*24*60, "")</f>
        <v/>
      </c>
      <c r="N5542" s="24" t="str" cm="1">
        <f t="array" ref="N5542">IFERROR(IF($B5542=N$1, ($A5542+$C5542) - MAX(IF($B$2:$B5541=$B5542, $A$2:$A5541+$C$2:$C5541)), "")*24*60, "")</f>
        <v/>
      </c>
      <c r="O5542" s="24" t="str" cm="1">
        <f t="array" ref="O5542">IFERROR(IF($B5542=O$1, ($A5542+$C5542) - MAX(IF($B$2:$B5541=$B5542, $A$2:$A5541+$C$2:$C5541)), "")*24*60, "")</f>
        <v/>
      </c>
      <c r="P5542" s="24" t="str" cm="1">
        <f t="array" ref="P5542">IFERROR(IF($B5542=P$1, ($A5542+$C5542) - MAX(IF($B$2:$B5541=$B5542, $A$2:$A5541+$C$2:$C5541)), "")*24*60, "")</f>
        <v/>
      </c>
      <c r="Q5542" s="24" t="str" cm="1">
        <f t="array" ref="Q5542">IFERROR(IF($B5542=Q$1, ($A5542+$C5542) - MAX(IF($B$2:$B5541=$B5542, $A$2:$A5541+$C$2:$C5541)), "")*24*60, "")</f>
        <v/>
      </c>
    </row>
    <row r="5543" spans="1:17" x14ac:dyDescent="0.2">
      <c r="A5543" s="12">
        <f t="shared" ref="A5543:C5543" si="1440">A5542</f>
        <v>45983</v>
      </c>
      <c r="B5543" s="5" t="str">
        <f t="shared" si="1440"/>
        <v>Northern Cardinal</v>
      </c>
      <c r="C5543" s="6">
        <f t="shared" si="1440"/>
        <v>0.28194444444444444</v>
      </c>
      <c r="D5543" s="5"/>
      <c r="E5543" s="5"/>
      <c r="F5543" s="5" t="s">
        <v>8</v>
      </c>
      <c r="G5543" s="15" t="s">
        <v>9</v>
      </c>
      <c r="H5543" s="24">
        <f t="shared" si="1429"/>
        <v>0</v>
      </c>
      <c r="I5543" s="24" cm="1">
        <f t="array" ref="I5543">IFERROR(IF($B5543=I$1, ($A5543+$C5543) - MAX(IF($B$2:$B5542=$B5543, $A$2:$A5542+$C$2:$C5542)), "")*24*60, "")</f>
        <v>0</v>
      </c>
      <c r="J5543" s="24" t="str" cm="1">
        <f t="array" ref="J5543">IFERROR(IF($B5543=J$1, ($A5543+$C5543) - MAX(IF($B$2:$B5542=$B5543, $A$2:$A5542+$C$2:$C5542)), "")*24*60, "")</f>
        <v/>
      </c>
      <c r="K5543" s="24" t="str" cm="1">
        <f t="array" ref="K5543">IFERROR(IF($B5543=K$1, ($A5543+$C5543) - MAX(IF($B$2:$B5542=$B5543, $A$2:$A5542+$C$2:$C5542)), "")*24*60, "")</f>
        <v/>
      </c>
      <c r="L5543" s="24" t="str" cm="1">
        <f t="array" ref="L5543">IFERROR(IF($B5543=L$1, ($A5543+$C5543) - MAX(IF($B$2:$B5542=$B5543, $A$2:$A5542+$C$2:$C5542)), "")*24*60, "")</f>
        <v/>
      </c>
      <c r="M5543" s="24" t="str" cm="1">
        <f t="array" ref="M5543">IFERROR(IF($B5543=M$1, ($A5543+$C5543) - MAX(IF($B$2:$B5542=$B5543, $A$2:$A5542+$C$2:$C5542)), "")*24*60, "")</f>
        <v/>
      </c>
      <c r="N5543" s="24" t="str" cm="1">
        <f t="array" ref="N5543">IFERROR(IF($B5543=N$1, ($A5543+$C5543) - MAX(IF($B$2:$B5542=$B5543, $A$2:$A5542+$C$2:$C5542)), "")*24*60, "")</f>
        <v/>
      </c>
      <c r="O5543" s="24" t="str" cm="1">
        <f t="array" ref="O5543">IFERROR(IF($B5543=O$1, ($A5543+$C5543) - MAX(IF($B$2:$B5542=$B5543, $A$2:$A5542+$C$2:$C5542)), "")*24*60, "")</f>
        <v/>
      </c>
      <c r="P5543" s="24" t="str" cm="1">
        <f t="array" ref="P5543">IFERROR(IF($B5543=P$1, ($A5543+$C5543) - MAX(IF($B$2:$B5542=$B5543, $A$2:$A5542+$C$2:$C5542)), "")*24*60, "")</f>
        <v/>
      </c>
      <c r="Q5543" s="24" t="str" cm="1">
        <f t="array" ref="Q5543">IFERROR(IF($B5543=Q$1, ($A5543+$C5543) - MAX(IF($B$2:$B5542=$B5543, $A$2:$A5542+$C$2:$C5542)), "")*24*60, "")</f>
        <v/>
      </c>
    </row>
    <row r="5544" spans="1:17" x14ac:dyDescent="0.2">
      <c r="A5544" s="12">
        <f t="shared" ref="A5544:C5544" si="1441">A5543</f>
        <v>45983</v>
      </c>
      <c r="B5544" s="5" t="str">
        <f t="shared" si="1441"/>
        <v>Northern Cardinal</v>
      </c>
      <c r="C5544" s="6">
        <f t="shared" si="1441"/>
        <v>0.28194444444444444</v>
      </c>
      <c r="D5544" s="5"/>
      <c r="E5544" s="5"/>
      <c r="F5544" s="5" t="s">
        <v>8</v>
      </c>
      <c r="G5544" s="15" t="s">
        <v>9</v>
      </c>
      <c r="H5544" s="24">
        <f t="shared" si="1429"/>
        <v>0</v>
      </c>
      <c r="I5544" s="24" cm="1">
        <f t="array" ref="I5544">IFERROR(IF($B5544=I$1, ($A5544+$C5544) - MAX(IF($B$2:$B5543=$B5544, $A$2:$A5543+$C$2:$C5543)), "")*24*60, "")</f>
        <v>0</v>
      </c>
      <c r="J5544" s="24" t="str" cm="1">
        <f t="array" ref="J5544">IFERROR(IF($B5544=J$1, ($A5544+$C5544) - MAX(IF($B$2:$B5543=$B5544, $A$2:$A5543+$C$2:$C5543)), "")*24*60, "")</f>
        <v/>
      </c>
      <c r="K5544" s="24" t="str" cm="1">
        <f t="array" ref="K5544">IFERROR(IF($B5544=K$1, ($A5544+$C5544) - MAX(IF($B$2:$B5543=$B5544, $A$2:$A5543+$C$2:$C5543)), "")*24*60, "")</f>
        <v/>
      </c>
      <c r="L5544" s="24" t="str" cm="1">
        <f t="array" ref="L5544">IFERROR(IF($B5544=L$1, ($A5544+$C5544) - MAX(IF($B$2:$B5543=$B5544, $A$2:$A5543+$C$2:$C5543)), "")*24*60, "")</f>
        <v/>
      </c>
      <c r="M5544" s="24" t="str" cm="1">
        <f t="array" ref="M5544">IFERROR(IF($B5544=M$1, ($A5544+$C5544) - MAX(IF($B$2:$B5543=$B5544, $A$2:$A5543+$C$2:$C5543)), "")*24*60, "")</f>
        <v/>
      </c>
      <c r="N5544" s="24" t="str" cm="1">
        <f t="array" ref="N5544">IFERROR(IF($B5544=N$1, ($A5544+$C5544) - MAX(IF($B$2:$B5543=$B5544, $A$2:$A5543+$C$2:$C5543)), "")*24*60, "")</f>
        <v/>
      </c>
      <c r="O5544" s="24" t="str" cm="1">
        <f t="array" ref="O5544">IFERROR(IF($B5544=O$1, ($A5544+$C5544) - MAX(IF($B$2:$B5543=$B5544, $A$2:$A5543+$C$2:$C5543)), "")*24*60, "")</f>
        <v/>
      </c>
      <c r="P5544" s="24" t="str" cm="1">
        <f t="array" ref="P5544">IFERROR(IF($B5544=P$1, ($A5544+$C5544) - MAX(IF($B$2:$B5543=$B5544, $A$2:$A5543+$C$2:$C5543)), "")*24*60, "")</f>
        <v/>
      </c>
      <c r="Q5544" s="24" t="str" cm="1">
        <f t="array" ref="Q5544">IFERROR(IF($B5544=Q$1, ($A5544+$C5544) - MAX(IF($B$2:$B5543=$B5544, $A$2:$A5543+$C$2:$C5543)), "")*24*60, "")</f>
        <v/>
      </c>
    </row>
    <row r="5545" spans="1:17" x14ac:dyDescent="0.2">
      <c r="A5545" s="12">
        <f t="shared" ref="A5545:C5545" si="1442">A5544</f>
        <v>45983</v>
      </c>
      <c r="B5545" s="5" t="str">
        <f t="shared" si="1442"/>
        <v>Northern Cardinal</v>
      </c>
      <c r="C5545" s="6">
        <f t="shared" si="1442"/>
        <v>0.28194444444444444</v>
      </c>
      <c r="D5545" s="5"/>
      <c r="E5545" s="5"/>
      <c r="F5545" s="5" t="s">
        <v>8</v>
      </c>
      <c r="G5545" s="15" t="s">
        <v>9</v>
      </c>
      <c r="H5545" s="24">
        <f t="shared" si="1429"/>
        <v>0</v>
      </c>
      <c r="I5545" s="24" cm="1">
        <f t="array" ref="I5545">IFERROR(IF($B5545=I$1, ($A5545+$C5545) - MAX(IF($B$2:$B5544=$B5545, $A$2:$A5544+$C$2:$C5544)), "")*24*60, "")</f>
        <v>0</v>
      </c>
      <c r="J5545" s="24" t="str" cm="1">
        <f t="array" ref="J5545">IFERROR(IF($B5545=J$1, ($A5545+$C5545) - MAX(IF($B$2:$B5544=$B5545, $A$2:$A5544+$C$2:$C5544)), "")*24*60, "")</f>
        <v/>
      </c>
      <c r="K5545" s="24" t="str" cm="1">
        <f t="array" ref="K5545">IFERROR(IF($B5545=K$1, ($A5545+$C5545) - MAX(IF($B$2:$B5544=$B5545, $A$2:$A5544+$C$2:$C5544)), "")*24*60, "")</f>
        <v/>
      </c>
      <c r="L5545" s="24" t="str" cm="1">
        <f t="array" ref="L5545">IFERROR(IF($B5545=L$1, ($A5545+$C5545) - MAX(IF($B$2:$B5544=$B5545, $A$2:$A5544+$C$2:$C5544)), "")*24*60, "")</f>
        <v/>
      </c>
      <c r="M5545" s="24" t="str" cm="1">
        <f t="array" ref="M5545">IFERROR(IF($B5545=M$1, ($A5545+$C5545) - MAX(IF($B$2:$B5544=$B5545, $A$2:$A5544+$C$2:$C5544)), "")*24*60, "")</f>
        <v/>
      </c>
      <c r="N5545" s="24" t="str" cm="1">
        <f t="array" ref="N5545">IFERROR(IF($B5545=N$1, ($A5545+$C5545) - MAX(IF($B$2:$B5544=$B5545, $A$2:$A5544+$C$2:$C5544)), "")*24*60, "")</f>
        <v/>
      </c>
      <c r="O5545" s="24" t="str" cm="1">
        <f t="array" ref="O5545">IFERROR(IF($B5545=O$1, ($A5545+$C5545) - MAX(IF($B$2:$B5544=$B5545, $A$2:$A5544+$C$2:$C5544)), "")*24*60, "")</f>
        <v/>
      </c>
      <c r="P5545" s="24" t="str" cm="1">
        <f t="array" ref="P5545">IFERROR(IF($B5545=P$1, ($A5545+$C5545) - MAX(IF($B$2:$B5544=$B5545, $A$2:$A5544+$C$2:$C5544)), "")*24*60, "")</f>
        <v/>
      </c>
      <c r="Q5545" s="24" t="str" cm="1">
        <f t="array" ref="Q5545">IFERROR(IF($B5545=Q$1, ($A5545+$C5545) - MAX(IF($B$2:$B5544=$B5545, $A$2:$A5544+$C$2:$C5544)), "")*24*60, "")</f>
        <v/>
      </c>
    </row>
    <row r="5546" spans="1:17" x14ac:dyDescent="0.2">
      <c r="A5546" s="12">
        <f t="shared" ref="A5546:C5546" si="1443">A5545</f>
        <v>45983</v>
      </c>
      <c r="B5546" s="5" t="str">
        <f t="shared" si="1443"/>
        <v>Northern Cardinal</v>
      </c>
      <c r="C5546" s="6">
        <f t="shared" si="1443"/>
        <v>0.28194444444444444</v>
      </c>
      <c r="D5546" s="5"/>
      <c r="E5546" s="5"/>
      <c r="F5546" s="5" t="s">
        <v>8</v>
      </c>
      <c r="G5546" s="15" t="s">
        <v>9</v>
      </c>
      <c r="H5546" s="24">
        <f t="shared" si="1429"/>
        <v>0</v>
      </c>
      <c r="I5546" s="24" cm="1">
        <f t="array" ref="I5546">IFERROR(IF($B5546=I$1, ($A5546+$C5546) - MAX(IF($B$2:$B5545=$B5546, $A$2:$A5545+$C$2:$C5545)), "")*24*60, "")</f>
        <v>0</v>
      </c>
      <c r="J5546" s="24" t="str" cm="1">
        <f t="array" ref="J5546">IFERROR(IF($B5546=J$1, ($A5546+$C5546) - MAX(IF($B$2:$B5545=$B5546, $A$2:$A5545+$C$2:$C5545)), "")*24*60, "")</f>
        <v/>
      </c>
      <c r="K5546" s="24" t="str" cm="1">
        <f t="array" ref="K5546">IFERROR(IF($B5546=K$1, ($A5546+$C5546) - MAX(IF($B$2:$B5545=$B5546, $A$2:$A5545+$C$2:$C5545)), "")*24*60, "")</f>
        <v/>
      </c>
      <c r="L5546" s="24" t="str" cm="1">
        <f t="array" ref="L5546">IFERROR(IF($B5546=L$1, ($A5546+$C5546) - MAX(IF($B$2:$B5545=$B5546, $A$2:$A5545+$C$2:$C5545)), "")*24*60, "")</f>
        <v/>
      </c>
      <c r="M5546" s="24" t="str" cm="1">
        <f t="array" ref="M5546">IFERROR(IF($B5546=M$1, ($A5546+$C5546) - MAX(IF($B$2:$B5545=$B5546, $A$2:$A5545+$C$2:$C5545)), "")*24*60, "")</f>
        <v/>
      </c>
      <c r="N5546" s="24" t="str" cm="1">
        <f t="array" ref="N5546">IFERROR(IF($B5546=N$1, ($A5546+$C5546) - MAX(IF($B$2:$B5545=$B5546, $A$2:$A5545+$C$2:$C5545)), "")*24*60, "")</f>
        <v/>
      </c>
      <c r="O5546" s="24" t="str" cm="1">
        <f t="array" ref="O5546">IFERROR(IF($B5546=O$1, ($A5546+$C5546) - MAX(IF($B$2:$B5545=$B5546, $A$2:$A5545+$C$2:$C5545)), "")*24*60, "")</f>
        <v/>
      </c>
      <c r="P5546" s="24" t="str" cm="1">
        <f t="array" ref="P5546">IFERROR(IF($B5546=P$1, ($A5546+$C5546) - MAX(IF($B$2:$B5545=$B5546, $A$2:$A5545+$C$2:$C5545)), "")*24*60, "")</f>
        <v/>
      </c>
      <c r="Q5546" s="24" t="str" cm="1">
        <f t="array" ref="Q5546">IFERROR(IF($B5546=Q$1, ($A5546+$C5546) - MAX(IF($B$2:$B5545=$B5546, $A$2:$A5545+$C$2:$C5545)), "")*24*60, "")</f>
        <v/>
      </c>
    </row>
    <row r="5547" spans="1:17" x14ac:dyDescent="0.2">
      <c r="A5547" s="12">
        <f t="shared" ref="A5547:C5547" si="1444">A5546</f>
        <v>45983</v>
      </c>
      <c r="B5547" s="5" t="str">
        <f t="shared" si="1444"/>
        <v>Northern Cardinal</v>
      </c>
      <c r="C5547" s="6">
        <f t="shared" si="1444"/>
        <v>0.28194444444444444</v>
      </c>
      <c r="D5547" s="5"/>
      <c r="E5547" s="5"/>
      <c r="F5547" s="5" t="s">
        <v>8</v>
      </c>
      <c r="G5547" s="15" t="s">
        <v>9</v>
      </c>
      <c r="H5547" s="24">
        <f t="shared" si="1429"/>
        <v>0</v>
      </c>
      <c r="I5547" s="24" cm="1">
        <f t="array" ref="I5547">IFERROR(IF($B5547=I$1, ($A5547+$C5547) - MAX(IF($B$2:$B5546=$B5547, $A$2:$A5546+$C$2:$C5546)), "")*24*60, "")</f>
        <v>0</v>
      </c>
      <c r="J5547" s="24" t="str" cm="1">
        <f t="array" ref="J5547">IFERROR(IF($B5547=J$1, ($A5547+$C5547) - MAX(IF($B$2:$B5546=$B5547, $A$2:$A5546+$C$2:$C5546)), "")*24*60, "")</f>
        <v/>
      </c>
      <c r="K5547" s="24" t="str" cm="1">
        <f t="array" ref="K5547">IFERROR(IF($B5547=K$1, ($A5547+$C5547) - MAX(IF($B$2:$B5546=$B5547, $A$2:$A5546+$C$2:$C5546)), "")*24*60, "")</f>
        <v/>
      </c>
      <c r="L5547" s="24" t="str" cm="1">
        <f t="array" ref="L5547">IFERROR(IF($B5547=L$1, ($A5547+$C5547) - MAX(IF($B$2:$B5546=$B5547, $A$2:$A5546+$C$2:$C5546)), "")*24*60, "")</f>
        <v/>
      </c>
      <c r="M5547" s="24" t="str" cm="1">
        <f t="array" ref="M5547">IFERROR(IF($B5547=M$1, ($A5547+$C5547) - MAX(IF($B$2:$B5546=$B5547, $A$2:$A5546+$C$2:$C5546)), "")*24*60, "")</f>
        <v/>
      </c>
      <c r="N5547" s="24" t="str" cm="1">
        <f t="array" ref="N5547">IFERROR(IF($B5547=N$1, ($A5547+$C5547) - MAX(IF($B$2:$B5546=$B5547, $A$2:$A5546+$C$2:$C5546)), "")*24*60, "")</f>
        <v/>
      </c>
      <c r="O5547" s="24" t="str" cm="1">
        <f t="array" ref="O5547">IFERROR(IF($B5547=O$1, ($A5547+$C5547) - MAX(IF($B$2:$B5546=$B5547, $A$2:$A5546+$C$2:$C5546)), "")*24*60, "")</f>
        <v/>
      </c>
      <c r="P5547" s="24" t="str" cm="1">
        <f t="array" ref="P5547">IFERROR(IF($B5547=P$1, ($A5547+$C5547) - MAX(IF($B$2:$B5546=$B5547, $A$2:$A5546+$C$2:$C5546)), "")*24*60, "")</f>
        <v/>
      </c>
      <c r="Q5547" s="24" t="str" cm="1">
        <f t="array" ref="Q5547">IFERROR(IF($B5547=Q$1, ($A5547+$C5547) - MAX(IF($B$2:$B5546=$B5547, $A$2:$A5546+$C$2:$C5546)), "")*24*60, "")</f>
        <v/>
      </c>
    </row>
    <row r="5548" spans="1:17" x14ac:dyDescent="0.2">
      <c r="A5548" s="12">
        <f t="shared" ref="A5548:C5548" si="1445">A5547</f>
        <v>45983</v>
      </c>
      <c r="B5548" s="5" t="str">
        <f t="shared" si="1445"/>
        <v>Northern Cardinal</v>
      </c>
      <c r="C5548" s="6">
        <f t="shared" si="1445"/>
        <v>0.28194444444444444</v>
      </c>
      <c r="D5548" s="5"/>
      <c r="E5548" s="5"/>
      <c r="F5548" s="5" t="s">
        <v>8</v>
      </c>
      <c r="G5548" s="15" t="s">
        <v>9</v>
      </c>
      <c r="H5548" s="24">
        <f t="shared" si="1429"/>
        <v>0</v>
      </c>
      <c r="I5548" s="24" cm="1">
        <f t="array" ref="I5548">IFERROR(IF($B5548=I$1, ($A5548+$C5548) - MAX(IF($B$2:$B5547=$B5548, $A$2:$A5547+$C$2:$C5547)), "")*24*60, "")</f>
        <v>0</v>
      </c>
      <c r="J5548" s="24" t="str" cm="1">
        <f t="array" ref="J5548">IFERROR(IF($B5548=J$1, ($A5548+$C5548) - MAX(IF($B$2:$B5547=$B5548, $A$2:$A5547+$C$2:$C5547)), "")*24*60, "")</f>
        <v/>
      </c>
      <c r="K5548" s="24" t="str" cm="1">
        <f t="array" ref="K5548">IFERROR(IF($B5548=K$1, ($A5548+$C5548) - MAX(IF($B$2:$B5547=$B5548, $A$2:$A5547+$C$2:$C5547)), "")*24*60, "")</f>
        <v/>
      </c>
      <c r="L5548" s="24" t="str" cm="1">
        <f t="array" ref="L5548">IFERROR(IF($B5548=L$1, ($A5548+$C5548) - MAX(IF($B$2:$B5547=$B5548, $A$2:$A5547+$C$2:$C5547)), "")*24*60, "")</f>
        <v/>
      </c>
      <c r="M5548" s="24" t="str" cm="1">
        <f t="array" ref="M5548">IFERROR(IF($B5548=M$1, ($A5548+$C5548) - MAX(IF($B$2:$B5547=$B5548, $A$2:$A5547+$C$2:$C5547)), "")*24*60, "")</f>
        <v/>
      </c>
      <c r="N5548" s="24" t="str" cm="1">
        <f t="array" ref="N5548">IFERROR(IF($B5548=N$1, ($A5548+$C5548) - MAX(IF($B$2:$B5547=$B5548, $A$2:$A5547+$C$2:$C5547)), "")*24*60, "")</f>
        <v/>
      </c>
      <c r="O5548" s="24" t="str" cm="1">
        <f t="array" ref="O5548">IFERROR(IF($B5548=O$1, ($A5548+$C5548) - MAX(IF($B$2:$B5547=$B5548, $A$2:$A5547+$C$2:$C5547)), "")*24*60, "")</f>
        <v/>
      </c>
      <c r="P5548" s="24" t="str" cm="1">
        <f t="array" ref="P5548">IFERROR(IF($B5548=P$1, ($A5548+$C5548) - MAX(IF($B$2:$B5547=$B5548, $A$2:$A5547+$C$2:$C5547)), "")*24*60, "")</f>
        <v/>
      </c>
      <c r="Q5548" s="24" t="str" cm="1">
        <f t="array" ref="Q5548">IFERROR(IF($B5548=Q$1, ($A5548+$C5548) - MAX(IF($B$2:$B5547=$B5548, $A$2:$A5547+$C$2:$C5547)), "")*24*60, "")</f>
        <v/>
      </c>
    </row>
    <row r="5549" spans="1:17" x14ac:dyDescent="0.2">
      <c r="A5549" s="12">
        <f t="shared" ref="A5549:C5549" si="1446">A5548</f>
        <v>45983</v>
      </c>
      <c r="B5549" s="5" t="str">
        <f t="shared" si="1446"/>
        <v>Northern Cardinal</v>
      </c>
      <c r="C5549" s="6">
        <f t="shared" si="1446"/>
        <v>0.28194444444444444</v>
      </c>
      <c r="D5549" s="5"/>
      <c r="E5549" s="5"/>
      <c r="F5549" s="5" t="s">
        <v>8</v>
      </c>
      <c r="G5549" s="15" t="s">
        <v>9</v>
      </c>
      <c r="H5549" s="24">
        <f t="shared" si="1429"/>
        <v>0</v>
      </c>
      <c r="I5549" s="24" cm="1">
        <f t="array" ref="I5549">IFERROR(IF($B5549=I$1, ($A5549+$C5549) - MAX(IF($B$2:$B5548=$B5549, $A$2:$A5548+$C$2:$C5548)), "")*24*60, "")</f>
        <v>0</v>
      </c>
      <c r="J5549" s="24" t="str" cm="1">
        <f t="array" ref="J5549">IFERROR(IF($B5549=J$1, ($A5549+$C5549) - MAX(IF($B$2:$B5548=$B5549, $A$2:$A5548+$C$2:$C5548)), "")*24*60, "")</f>
        <v/>
      </c>
      <c r="K5549" s="24" t="str" cm="1">
        <f t="array" ref="K5549">IFERROR(IF($B5549=K$1, ($A5549+$C5549) - MAX(IF($B$2:$B5548=$B5549, $A$2:$A5548+$C$2:$C5548)), "")*24*60, "")</f>
        <v/>
      </c>
      <c r="L5549" s="24" t="str" cm="1">
        <f t="array" ref="L5549">IFERROR(IF($B5549=L$1, ($A5549+$C5549) - MAX(IF($B$2:$B5548=$B5549, $A$2:$A5548+$C$2:$C5548)), "")*24*60, "")</f>
        <v/>
      </c>
      <c r="M5549" s="24" t="str" cm="1">
        <f t="array" ref="M5549">IFERROR(IF($B5549=M$1, ($A5549+$C5549) - MAX(IF($B$2:$B5548=$B5549, $A$2:$A5548+$C$2:$C5548)), "")*24*60, "")</f>
        <v/>
      </c>
      <c r="N5549" s="24" t="str" cm="1">
        <f t="array" ref="N5549">IFERROR(IF($B5549=N$1, ($A5549+$C5549) - MAX(IF($B$2:$B5548=$B5549, $A$2:$A5548+$C$2:$C5548)), "")*24*60, "")</f>
        <v/>
      </c>
      <c r="O5549" s="24" t="str" cm="1">
        <f t="array" ref="O5549">IFERROR(IF($B5549=O$1, ($A5549+$C5549) - MAX(IF($B$2:$B5548=$B5549, $A$2:$A5548+$C$2:$C5548)), "")*24*60, "")</f>
        <v/>
      </c>
      <c r="P5549" s="24" t="str" cm="1">
        <f t="array" ref="P5549">IFERROR(IF($B5549=P$1, ($A5549+$C5549) - MAX(IF($B$2:$B5548=$B5549, $A$2:$A5548+$C$2:$C5548)), "")*24*60, "")</f>
        <v/>
      </c>
      <c r="Q5549" s="24" t="str" cm="1">
        <f t="array" ref="Q5549">IFERROR(IF($B5549=Q$1, ($A5549+$C5549) - MAX(IF($B$2:$B5548=$B5549, $A$2:$A5548+$C$2:$C5548)), "")*24*60, "")</f>
        <v/>
      </c>
    </row>
    <row r="5550" spans="1:17" x14ac:dyDescent="0.2">
      <c r="A5550" s="12">
        <f t="shared" ref="A5550:C5550" si="1447">A5549</f>
        <v>45983</v>
      </c>
      <c r="B5550" s="5" t="str">
        <f t="shared" si="1447"/>
        <v>Northern Cardinal</v>
      </c>
      <c r="C5550" s="6">
        <f t="shared" si="1447"/>
        <v>0.28194444444444444</v>
      </c>
      <c r="D5550" s="5"/>
      <c r="E5550" s="5"/>
      <c r="F5550" s="5" t="s">
        <v>8</v>
      </c>
      <c r="G5550" s="15" t="s">
        <v>9</v>
      </c>
      <c r="H5550" s="24">
        <f t="shared" si="1429"/>
        <v>0</v>
      </c>
      <c r="I5550" s="24" cm="1">
        <f t="array" ref="I5550">IFERROR(IF($B5550=I$1, ($A5550+$C5550) - MAX(IF($B$2:$B5549=$B5550, $A$2:$A5549+$C$2:$C5549)), "")*24*60, "")</f>
        <v>0</v>
      </c>
      <c r="J5550" s="24" t="str" cm="1">
        <f t="array" ref="J5550">IFERROR(IF($B5550=J$1, ($A5550+$C5550) - MAX(IF($B$2:$B5549=$B5550, $A$2:$A5549+$C$2:$C5549)), "")*24*60, "")</f>
        <v/>
      </c>
      <c r="K5550" s="24" t="str" cm="1">
        <f t="array" ref="K5550">IFERROR(IF($B5550=K$1, ($A5550+$C5550) - MAX(IF($B$2:$B5549=$B5550, $A$2:$A5549+$C$2:$C5549)), "")*24*60, "")</f>
        <v/>
      </c>
      <c r="L5550" s="24" t="str" cm="1">
        <f t="array" ref="L5550">IFERROR(IF($B5550=L$1, ($A5550+$C5550) - MAX(IF($B$2:$B5549=$B5550, $A$2:$A5549+$C$2:$C5549)), "")*24*60, "")</f>
        <v/>
      </c>
      <c r="M5550" s="24" t="str" cm="1">
        <f t="array" ref="M5550">IFERROR(IF($B5550=M$1, ($A5550+$C5550) - MAX(IF($B$2:$B5549=$B5550, $A$2:$A5549+$C$2:$C5549)), "")*24*60, "")</f>
        <v/>
      </c>
      <c r="N5550" s="24" t="str" cm="1">
        <f t="array" ref="N5550">IFERROR(IF($B5550=N$1, ($A5550+$C5550) - MAX(IF($B$2:$B5549=$B5550, $A$2:$A5549+$C$2:$C5549)), "")*24*60, "")</f>
        <v/>
      </c>
      <c r="O5550" s="24" t="str" cm="1">
        <f t="array" ref="O5550">IFERROR(IF($B5550=O$1, ($A5550+$C5550) - MAX(IF($B$2:$B5549=$B5550, $A$2:$A5549+$C$2:$C5549)), "")*24*60, "")</f>
        <v/>
      </c>
      <c r="P5550" s="24" t="str" cm="1">
        <f t="array" ref="P5550">IFERROR(IF($B5550=P$1, ($A5550+$C5550) - MAX(IF($B$2:$B5549=$B5550, $A$2:$A5549+$C$2:$C5549)), "")*24*60, "")</f>
        <v/>
      </c>
      <c r="Q5550" s="24" t="str" cm="1">
        <f t="array" ref="Q5550">IFERROR(IF($B5550=Q$1, ($A5550+$C5550) - MAX(IF($B$2:$B5549=$B5550, $A$2:$A5549+$C$2:$C5549)), "")*24*60, "")</f>
        <v/>
      </c>
    </row>
    <row r="5551" spans="1:17" x14ac:dyDescent="0.2">
      <c r="A5551" s="12">
        <f t="shared" ref="A5551:C5551" si="1448">A5550</f>
        <v>45983</v>
      </c>
      <c r="B5551" s="5" t="str">
        <f t="shared" si="1448"/>
        <v>Northern Cardinal</v>
      </c>
      <c r="C5551" s="6">
        <f t="shared" si="1448"/>
        <v>0.28194444444444444</v>
      </c>
      <c r="D5551" s="5"/>
      <c r="E5551" s="5"/>
      <c r="F5551" s="5" t="s">
        <v>8</v>
      </c>
      <c r="G5551" s="15" t="s">
        <v>9</v>
      </c>
      <c r="H5551" s="24">
        <f t="shared" si="1429"/>
        <v>0</v>
      </c>
      <c r="I5551" s="24" cm="1">
        <f t="array" ref="I5551">IFERROR(IF($B5551=I$1, ($A5551+$C5551) - MAX(IF($B$2:$B5550=$B5551, $A$2:$A5550+$C$2:$C5550)), "")*24*60, "")</f>
        <v>0</v>
      </c>
      <c r="J5551" s="24" t="str" cm="1">
        <f t="array" ref="J5551">IFERROR(IF($B5551=J$1, ($A5551+$C5551) - MAX(IF($B$2:$B5550=$B5551, $A$2:$A5550+$C$2:$C5550)), "")*24*60, "")</f>
        <v/>
      </c>
      <c r="K5551" s="24" t="str" cm="1">
        <f t="array" ref="K5551">IFERROR(IF($B5551=K$1, ($A5551+$C5551) - MAX(IF($B$2:$B5550=$B5551, $A$2:$A5550+$C$2:$C5550)), "")*24*60, "")</f>
        <v/>
      </c>
      <c r="L5551" s="24" t="str" cm="1">
        <f t="array" ref="L5551">IFERROR(IF($B5551=L$1, ($A5551+$C5551) - MAX(IF($B$2:$B5550=$B5551, $A$2:$A5550+$C$2:$C5550)), "")*24*60, "")</f>
        <v/>
      </c>
      <c r="M5551" s="24" t="str" cm="1">
        <f t="array" ref="M5551">IFERROR(IF($B5551=M$1, ($A5551+$C5551) - MAX(IF($B$2:$B5550=$B5551, $A$2:$A5550+$C$2:$C5550)), "")*24*60, "")</f>
        <v/>
      </c>
      <c r="N5551" s="24" t="str" cm="1">
        <f t="array" ref="N5551">IFERROR(IF($B5551=N$1, ($A5551+$C5551) - MAX(IF($B$2:$B5550=$B5551, $A$2:$A5550+$C$2:$C5550)), "")*24*60, "")</f>
        <v/>
      </c>
      <c r="O5551" s="24" t="str" cm="1">
        <f t="array" ref="O5551">IFERROR(IF($B5551=O$1, ($A5551+$C5551) - MAX(IF($B$2:$B5550=$B5551, $A$2:$A5550+$C$2:$C5550)), "")*24*60, "")</f>
        <v/>
      </c>
      <c r="P5551" s="24" t="str" cm="1">
        <f t="array" ref="P5551">IFERROR(IF($B5551=P$1, ($A5551+$C5551) - MAX(IF($B$2:$B5550=$B5551, $A$2:$A5550+$C$2:$C5550)), "")*24*60, "")</f>
        <v/>
      </c>
      <c r="Q5551" s="24" t="str" cm="1">
        <f t="array" ref="Q5551">IFERROR(IF($B5551=Q$1, ($A5551+$C5551) - MAX(IF($B$2:$B5550=$B5551, $A$2:$A5550+$C$2:$C5550)), "")*24*60, "")</f>
        <v/>
      </c>
    </row>
    <row r="5552" spans="1:17" x14ac:dyDescent="0.2">
      <c r="A5552" s="12">
        <f t="shared" ref="A5552:C5552" si="1449">A5551</f>
        <v>45983</v>
      </c>
      <c r="B5552" s="5" t="str">
        <f t="shared" si="1449"/>
        <v>Northern Cardinal</v>
      </c>
      <c r="C5552" s="6">
        <f t="shared" si="1449"/>
        <v>0.28194444444444444</v>
      </c>
      <c r="D5552" s="5"/>
      <c r="E5552" s="5"/>
      <c r="F5552" s="5" t="s">
        <v>8</v>
      </c>
      <c r="G5552" s="15" t="s">
        <v>9</v>
      </c>
      <c r="H5552" s="24">
        <f t="shared" si="1429"/>
        <v>0</v>
      </c>
      <c r="I5552" s="24" cm="1">
        <f t="array" ref="I5552">IFERROR(IF($B5552=I$1, ($A5552+$C5552) - MAX(IF($B$2:$B5551=$B5552, $A$2:$A5551+$C$2:$C5551)), "")*24*60, "")</f>
        <v>0</v>
      </c>
      <c r="J5552" s="24" t="str" cm="1">
        <f t="array" ref="J5552">IFERROR(IF($B5552=J$1, ($A5552+$C5552) - MAX(IF($B$2:$B5551=$B5552, $A$2:$A5551+$C$2:$C5551)), "")*24*60, "")</f>
        <v/>
      </c>
      <c r="K5552" s="24" t="str" cm="1">
        <f t="array" ref="K5552">IFERROR(IF($B5552=K$1, ($A5552+$C5552) - MAX(IF($B$2:$B5551=$B5552, $A$2:$A5551+$C$2:$C5551)), "")*24*60, "")</f>
        <v/>
      </c>
      <c r="L5552" s="24" t="str" cm="1">
        <f t="array" ref="L5552">IFERROR(IF($B5552=L$1, ($A5552+$C5552) - MAX(IF($B$2:$B5551=$B5552, $A$2:$A5551+$C$2:$C5551)), "")*24*60, "")</f>
        <v/>
      </c>
      <c r="M5552" s="24" t="str" cm="1">
        <f t="array" ref="M5552">IFERROR(IF($B5552=M$1, ($A5552+$C5552) - MAX(IF($B$2:$B5551=$B5552, $A$2:$A5551+$C$2:$C5551)), "")*24*60, "")</f>
        <v/>
      </c>
      <c r="N5552" s="24" t="str" cm="1">
        <f t="array" ref="N5552">IFERROR(IF($B5552=N$1, ($A5552+$C5552) - MAX(IF($B$2:$B5551=$B5552, $A$2:$A5551+$C$2:$C5551)), "")*24*60, "")</f>
        <v/>
      </c>
      <c r="O5552" s="24" t="str" cm="1">
        <f t="array" ref="O5552">IFERROR(IF($B5552=O$1, ($A5552+$C5552) - MAX(IF($B$2:$B5551=$B5552, $A$2:$A5551+$C$2:$C5551)), "")*24*60, "")</f>
        <v/>
      </c>
      <c r="P5552" s="24" t="str" cm="1">
        <f t="array" ref="P5552">IFERROR(IF($B5552=P$1, ($A5552+$C5552) - MAX(IF($B$2:$B5551=$B5552, $A$2:$A5551+$C$2:$C5551)), "")*24*60, "")</f>
        <v/>
      </c>
      <c r="Q5552" s="24" t="str" cm="1">
        <f t="array" ref="Q5552">IFERROR(IF($B5552=Q$1, ($A5552+$C5552) - MAX(IF($B$2:$B5551=$B5552, $A$2:$A5551+$C$2:$C5551)), "")*24*60, "")</f>
        <v/>
      </c>
    </row>
    <row r="5553" spans="1:17" x14ac:dyDescent="0.2">
      <c r="A5553" s="12">
        <f t="shared" ref="A5553:C5553" si="1450">A5552</f>
        <v>45983</v>
      </c>
      <c r="B5553" s="5" t="str">
        <f t="shared" si="1450"/>
        <v>Northern Cardinal</v>
      </c>
      <c r="C5553" s="6">
        <f t="shared" si="1450"/>
        <v>0.28194444444444444</v>
      </c>
      <c r="D5553" s="5"/>
      <c r="E5553" s="5"/>
      <c r="F5553" s="5" t="s">
        <v>8</v>
      </c>
      <c r="G5553" s="15" t="s">
        <v>9</v>
      </c>
      <c r="H5553" s="24">
        <f t="shared" si="1429"/>
        <v>0</v>
      </c>
      <c r="I5553" s="24" cm="1">
        <f t="array" ref="I5553">IFERROR(IF($B5553=I$1, ($A5553+$C5553) - MAX(IF($B$2:$B5552=$B5553, $A$2:$A5552+$C$2:$C5552)), "")*24*60, "")</f>
        <v>0</v>
      </c>
      <c r="J5553" s="24" t="str" cm="1">
        <f t="array" ref="J5553">IFERROR(IF($B5553=J$1, ($A5553+$C5553) - MAX(IF($B$2:$B5552=$B5553, $A$2:$A5552+$C$2:$C5552)), "")*24*60, "")</f>
        <v/>
      </c>
      <c r="K5553" s="24" t="str" cm="1">
        <f t="array" ref="K5553">IFERROR(IF($B5553=K$1, ($A5553+$C5553) - MAX(IF($B$2:$B5552=$B5553, $A$2:$A5552+$C$2:$C5552)), "")*24*60, "")</f>
        <v/>
      </c>
      <c r="L5553" s="24" t="str" cm="1">
        <f t="array" ref="L5553">IFERROR(IF($B5553=L$1, ($A5553+$C5553) - MAX(IF($B$2:$B5552=$B5553, $A$2:$A5552+$C$2:$C5552)), "")*24*60, "")</f>
        <v/>
      </c>
      <c r="M5553" s="24" t="str" cm="1">
        <f t="array" ref="M5553">IFERROR(IF($B5553=M$1, ($A5553+$C5553) - MAX(IF($B$2:$B5552=$B5553, $A$2:$A5552+$C$2:$C5552)), "")*24*60, "")</f>
        <v/>
      </c>
      <c r="N5553" s="24" t="str" cm="1">
        <f t="array" ref="N5553">IFERROR(IF($B5553=N$1, ($A5553+$C5553) - MAX(IF($B$2:$B5552=$B5553, $A$2:$A5552+$C$2:$C5552)), "")*24*60, "")</f>
        <v/>
      </c>
      <c r="O5553" s="24" t="str" cm="1">
        <f t="array" ref="O5553">IFERROR(IF($B5553=O$1, ($A5553+$C5553) - MAX(IF($B$2:$B5552=$B5553, $A$2:$A5552+$C$2:$C5552)), "")*24*60, "")</f>
        <v/>
      </c>
      <c r="P5553" s="24" t="str" cm="1">
        <f t="array" ref="P5553">IFERROR(IF($B5553=P$1, ($A5553+$C5553) - MAX(IF($B$2:$B5552=$B5553, $A$2:$A5552+$C$2:$C5552)), "")*24*60, "")</f>
        <v/>
      </c>
      <c r="Q5553" s="24" t="str" cm="1">
        <f t="array" ref="Q5553">IFERROR(IF($B5553=Q$1, ($A5553+$C5553) - MAX(IF($B$2:$B5552=$B5553, $A$2:$A5552+$C$2:$C5552)), "")*24*60, "")</f>
        <v/>
      </c>
    </row>
    <row r="5554" spans="1:17" x14ac:dyDescent="0.2">
      <c r="A5554" s="12">
        <f t="shared" ref="A5554:C5554" si="1451">A5553</f>
        <v>45983</v>
      </c>
      <c r="B5554" s="5" t="str">
        <f t="shared" si="1451"/>
        <v>Northern Cardinal</v>
      </c>
      <c r="C5554" s="6">
        <f t="shared" si="1451"/>
        <v>0.28194444444444444</v>
      </c>
      <c r="D5554" s="5"/>
      <c r="E5554" s="5"/>
      <c r="F5554" s="5" t="s">
        <v>8</v>
      </c>
      <c r="G5554" s="15" t="s">
        <v>9</v>
      </c>
      <c r="H5554" s="24">
        <f t="shared" si="1429"/>
        <v>0</v>
      </c>
      <c r="I5554" s="24" cm="1">
        <f t="array" ref="I5554">IFERROR(IF($B5554=I$1, ($A5554+$C5554) - MAX(IF($B$2:$B5553=$B5554, $A$2:$A5553+$C$2:$C5553)), "")*24*60, "")</f>
        <v>0</v>
      </c>
      <c r="J5554" s="24" t="str" cm="1">
        <f t="array" ref="J5554">IFERROR(IF($B5554=J$1, ($A5554+$C5554) - MAX(IF($B$2:$B5553=$B5554, $A$2:$A5553+$C$2:$C5553)), "")*24*60, "")</f>
        <v/>
      </c>
      <c r="K5554" s="24" t="str" cm="1">
        <f t="array" ref="K5554">IFERROR(IF($B5554=K$1, ($A5554+$C5554) - MAX(IF($B$2:$B5553=$B5554, $A$2:$A5553+$C$2:$C5553)), "")*24*60, "")</f>
        <v/>
      </c>
      <c r="L5554" s="24" t="str" cm="1">
        <f t="array" ref="L5554">IFERROR(IF($B5554=L$1, ($A5554+$C5554) - MAX(IF($B$2:$B5553=$B5554, $A$2:$A5553+$C$2:$C5553)), "")*24*60, "")</f>
        <v/>
      </c>
      <c r="M5554" s="24" t="str" cm="1">
        <f t="array" ref="M5554">IFERROR(IF($B5554=M$1, ($A5554+$C5554) - MAX(IF($B$2:$B5553=$B5554, $A$2:$A5553+$C$2:$C5553)), "")*24*60, "")</f>
        <v/>
      </c>
      <c r="N5554" s="24" t="str" cm="1">
        <f t="array" ref="N5554">IFERROR(IF($B5554=N$1, ($A5554+$C5554) - MAX(IF($B$2:$B5553=$B5554, $A$2:$A5553+$C$2:$C5553)), "")*24*60, "")</f>
        <v/>
      </c>
      <c r="O5554" s="24" t="str" cm="1">
        <f t="array" ref="O5554">IFERROR(IF($B5554=O$1, ($A5554+$C5554) - MAX(IF($B$2:$B5553=$B5554, $A$2:$A5553+$C$2:$C5553)), "")*24*60, "")</f>
        <v/>
      </c>
      <c r="P5554" s="24" t="str" cm="1">
        <f t="array" ref="P5554">IFERROR(IF($B5554=P$1, ($A5554+$C5554) - MAX(IF($B$2:$B5553=$B5554, $A$2:$A5553+$C$2:$C5553)), "")*24*60, "")</f>
        <v/>
      </c>
      <c r="Q5554" s="24" t="str" cm="1">
        <f t="array" ref="Q5554">IFERROR(IF($B5554=Q$1, ($A5554+$C5554) - MAX(IF($B$2:$B5553=$B5554, $A$2:$A5553+$C$2:$C5553)), "")*24*60, "")</f>
        <v/>
      </c>
    </row>
    <row r="5555" spans="1:17" x14ac:dyDescent="0.2">
      <c r="A5555" s="12">
        <f t="shared" ref="A5555:C5555" si="1452">A5554</f>
        <v>45983</v>
      </c>
      <c r="B5555" s="5" t="str">
        <f t="shared" si="1452"/>
        <v>Northern Cardinal</v>
      </c>
      <c r="C5555" s="6">
        <f t="shared" si="1452"/>
        <v>0.28194444444444444</v>
      </c>
      <c r="D5555" s="5"/>
      <c r="E5555" s="5"/>
      <c r="F5555" s="5" t="s">
        <v>8</v>
      </c>
      <c r="G5555" s="15" t="s">
        <v>9</v>
      </c>
      <c r="H5555" s="24">
        <f t="shared" si="1429"/>
        <v>0</v>
      </c>
      <c r="I5555" s="24" cm="1">
        <f t="array" ref="I5555">IFERROR(IF($B5555=I$1, ($A5555+$C5555) - MAX(IF($B$2:$B5554=$B5555, $A$2:$A5554+$C$2:$C5554)), "")*24*60, "")</f>
        <v>0</v>
      </c>
      <c r="J5555" s="24" t="str" cm="1">
        <f t="array" ref="J5555">IFERROR(IF($B5555=J$1, ($A5555+$C5555) - MAX(IF($B$2:$B5554=$B5555, $A$2:$A5554+$C$2:$C5554)), "")*24*60, "")</f>
        <v/>
      </c>
      <c r="K5555" s="24" t="str" cm="1">
        <f t="array" ref="K5555">IFERROR(IF($B5555=K$1, ($A5555+$C5555) - MAX(IF($B$2:$B5554=$B5555, $A$2:$A5554+$C$2:$C5554)), "")*24*60, "")</f>
        <v/>
      </c>
      <c r="L5555" s="24" t="str" cm="1">
        <f t="array" ref="L5555">IFERROR(IF($B5555=L$1, ($A5555+$C5555) - MAX(IF($B$2:$B5554=$B5555, $A$2:$A5554+$C$2:$C5554)), "")*24*60, "")</f>
        <v/>
      </c>
      <c r="M5555" s="24" t="str" cm="1">
        <f t="array" ref="M5555">IFERROR(IF($B5555=M$1, ($A5555+$C5555) - MAX(IF($B$2:$B5554=$B5555, $A$2:$A5554+$C$2:$C5554)), "")*24*60, "")</f>
        <v/>
      </c>
      <c r="N5555" s="24" t="str" cm="1">
        <f t="array" ref="N5555">IFERROR(IF($B5555=N$1, ($A5555+$C5555) - MAX(IF($B$2:$B5554=$B5555, $A$2:$A5554+$C$2:$C5554)), "")*24*60, "")</f>
        <v/>
      </c>
      <c r="O5555" s="24" t="str" cm="1">
        <f t="array" ref="O5555">IFERROR(IF($B5555=O$1, ($A5555+$C5555) - MAX(IF($B$2:$B5554=$B5555, $A$2:$A5554+$C$2:$C5554)), "")*24*60, "")</f>
        <v/>
      </c>
      <c r="P5555" s="24" t="str" cm="1">
        <f t="array" ref="P5555">IFERROR(IF($B5555=P$1, ($A5555+$C5555) - MAX(IF($B$2:$B5554=$B5555, $A$2:$A5554+$C$2:$C5554)), "")*24*60, "")</f>
        <v/>
      </c>
      <c r="Q5555" s="24" t="str" cm="1">
        <f t="array" ref="Q5555">IFERROR(IF($B5555=Q$1, ($A5555+$C5555) - MAX(IF($B$2:$B5554=$B5555, $A$2:$A5554+$C$2:$C5554)), "")*24*60, "")</f>
        <v/>
      </c>
    </row>
    <row r="5556" spans="1:17" x14ac:dyDescent="0.2">
      <c r="A5556" s="12">
        <f t="shared" ref="A5556:C5556" si="1453">A5555</f>
        <v>45983</v>
      </c>
      <c r="B5556" s="5" t="str">
        <f t="shared" si="1453"/>
        <v>Northern Cardinal</v>
      </c>
      <c r="C5556" s="6">
        <f t="shared" si="1453"/>
        <v>0.28194444444444444</v>
      </c>
      <c r="D5556" s="5"/>
      <c r="E5556" s="5"/>
      <c r="F5556" s="5" t="s">
        <v>8</v>
      </c>
      <c r="G5556" s="15" t="s">
        <v>9</v>
      </c>
      <c r="H5556" s="24">
        <f t="shared" si="1429"/>
        <v>0</v>
      </c>
      <c r="I5556" s="24" cm="1">
        <f t="array" ref="I5556">IFERROR(IF($B5556=I$1, ($A5556+$C5556) - MAX(IF($B$2:$B5555=$B5556, $A$2:$A5555+$C$2:$C5555)), "")*24*60, "")</f>
        <v>0</v>
      </c>
      <c r="J5556" s="24" t="str" cm="1">
        <f t="array" ref="J5556">IFERROR(IF($B5556=J$1, ($A5556+$C5556) - MAX(IF($B$2:$B5555=$B5556, $A$2:$A5555+$C$2:$C5555)), "")*24*60, "")</f>
        <v/>
      </c>
      <c r="K5556" s="24" t="str" cm="1">
        <f t="array" ref="K5556">IFERROR(IF($B5556=K$1, ($A5556+$C5556) - MAX(IF($B$2:$B5555=$B5556, $A$2:$A5555+$C$2:$C5555)), "")*24*60, "")</f>
        <v/>
      </c>
      <c r="L5556" s="24" t="str" cm="1">
        <f t="array" ref="L5556">IFERROR(IF($B5556=L$1, ($A5556+$C5556) - MAX(IF($B$2:$B5555=$B5556, $A$2:$A5555+$C$2:$C5555)), "")*24*60, "")</f>
        <v/>
      </c>
      <c r="M5556" s="24" t="str" cm="1">
        <f t="array" ref="M5556">IFERROR(IF($B5556=M$1, ($A5556+$C5556) - MAX(IF($B$2:$B5555=$B5556, $A$2:$A5555+$C$2:$C5555)), "")*24*60, "")</f>
        <v/>
      </c>
      <c r="N5556" s="24" t="str" cm="1">
        <f t="array" ref="N5556">IFERROR(IF($B5556=N$1, ($A5556+$C5556) - MAX(IF($B$2:$B5555=$B5556, $A$2:$A5555+$C$2:$C5555)), "")*24*60, "")</f>
        <v/>
      </c>
      <c r="O5556" s="24" t="str" cm="1">
        <f t="array" ref="O5556">IFERROR(IF($B5556=O$1, ($A5556+$C5556) - MAX(IF($B$2:$B5555=$B5556, $A$2:$A5555+$C$2:$C5555)), "")*24*60, "")</f>
        <v/>
      </c>
      <c r="P5556" s="24" t="str" cm="1">
        <f t="array" ref="P5556">IFERROR(IF($B5556=P$1, ($A5556+$C5556) - MAX(IF($B$2:$B5555=$B5556, $A$2:$A5555+$C$2:$C5555)), "")*24*60, "")</f>
        <v/>
      </c>
      <c r="Q5556" s="24" t="str" cm="1">
        <f t="array" ref="Q5556">IFERROR(IF($B5556=Q$1, ($A5556+$C5556) - MAX(IF($B$2:$B5555=$B5556, $A$2:$A5555+$C$2:$C5555)), "")*24*60, "")</f>
        <v/>
      </c>
    </row>
    <row r="5557" spans="1:17" x14ac:dyDescent="0.2">
      <c r="A5557" s="12">
        <f t="shared" ref="A5557:C5557" si="1454">A5556</f>
        <v>45983</v>
      </c>
      <c r="B5557" s="5" t="str">
        <f t="shared" si="1454"/>
        <v>Northern Cardinal</v>
      </c>
      <c r="C5557" s="6">
        <f t="shared" si="1454"/>
        <v>0.28194444444444444</v>
      </c>
      <c r="D5557" s="5"/>
      <c r="E5557" s="5"/>
      <c r="F5557" s="5" t="s">
        <v>8</v>
      </c>
      <c r="G5557" s="15" t="s">
        <v>9</v>
      </c>
      <c r="H5557" s="24">
        <f t="shared" si="1429"/>
        <v>0</v>
      </c>
      <c r="I5557" s="24" cm="1">
        <f t="array" ref="I5557">IFERROR(IF($B5557=I$1, ($A5557+$C5557) - MAX(IF($B$2:$B5556=$B5557, $A$2:$A5556+$C$2:$C5556)), "")*24*60, "")</f>
        <v>0</v>
      </c>
      <c r="J5557" s="24" t="str" cm="1">
        <f t="array" ref="J5557">IFERROR(IF($B5557=J$1, ($A5557+$C5557) - MAX(IF($B$2:$B5556=$B5557, $A$2:$A5556+$C$2:$C5556)), "")*24*60, "")</f>
        <v/>
      </c>
      <c r="K5557" s="24" t="str" cm="1">
        <f t="array" ref="K5557">IFERROR(IF($B5557=K$1, ($A5557+$C5557) - MAX(IF($B$2:$B5556=$B5557, $A$2:$A5556+$C$2:$C5556)), "")*24*60, "")</f>
        <v/>
      </c>
      <c r="L5557" s="24" t="str" cm="1">
        <f t="array" ref="L5557">IFERROR(IF($B5557=L$1, ($A5557+$C5557) - MAX(IF($B$2:$B5556=$B5557, $A$2:$A5556+$C$2:$C5556)), "")*24*60, "")</f>
        <v/>
      </c>
      <c r="M5557" s="24" t="str" cm="1">
        <f t="array" ref="M5557">IFERROR(IF($B5557=M$1, ($A5557+$C5557) - MAX(IF($B$2:$B5556=$B5557, $A$2:$A5556+$C$2:$C5556)), "")*24*60, "")</f>
        <v/>
      </c>
      <c r="N5557" s="24" t="str" cm="1">
        <f t="array" ref="N5557">IFERROR(IF($B5557=N$1, ($A5557+$C5557) - MAX(IF($B$2:$B5556=$B5557, $A$2:$A5556+$C$2:$C5556)), "")*24*60, "")</f>
        <v/>
      </c>
      <c r="O5557" s="24" t="str" cm="1">
        <f t="array" ref="O5557">IFERROR(IF($B5557=O$1, ($A5557+$C5557) - MAX(IF($B$2:$B5556=$B5557, $A$2:$A5556+$C$2:$C5556)), "")*24*60, "")</f>
        <v/>
      </c>
      <c r="P5557" s="24" t="str" cm="1">
        <f t="array" ref="P5557">IFERROR(IF($B5557=P$1, ($A5557+$C5557) - MAX(IF($B$2:$B5556=$B5557, $A$2:$A5556+$C$2:$C5556)), "")*24*60, "")</f>
        <v/>
      </c>
      <c r="Q5557" s="24" t="str" cm="1">
        <f t="array" ref="Q5557">IFERROR(IF($B5557=Q$1, ($A5557+$C5557) - MAX(IF($B$2:$B5556=$B5557, $A$2:$A5556+$C$2:$C5556)), "")*24*60, "")</f>
        <v/>
      </c>
    </row>
    <row r="5558" spans="1:17" x14ac:dyDescent="0.2">
      <c r="A5558" s="12">
        <f t="shared" ref="A5558:C5558" si="1455">A5557</f>
        <v>45983</v>
      </c>
      <c r="B5558" s="5" t="str">
        <f t="shared" si="1455"/>
        <v>Northern Cardinal</v>
      </c>
      <c r="C5558" s="6">
        <f t="shared" si="1455"/>
        <v>0.28194444444444444</v>
      </c>
      <c r="D5558" s="5"/>
      <c r="E5558" s="5"/>
      <c r="F5558" s="5" t="s">
        <v>8</v>
      </c>
      <c r="G5558" s="15" t="s">
        <v>9</v>
      </c>
      <c r="H5558" s="24">
        <f t="shared" si="1429"/>
        <v>0</v>
      </c>
      <c r="I5558" s="24" cm="1">
        <f t="array" ref="I5558">IFERROR(IF($B5558=I$1, ($A5558+$C5558) - MAX(IF($B$2:$B5557=$B5558, $A$2:$A5557+$C$2:$C5557)), "")*24*60, "")</f>
        <v>0</v>
      </c>
      <c r="J5558" s="24" t="str" cm="1">
        <f t="array" ref="J5558">IFERROR(IF($B5558=J$1, ($A5558+$C5558) - MAX(IF($B$2:$B5557=$B5558, $A$2:$A5557+$C$2:$C5557)), "")*24*60, "")</f>
        <v/>
      </c>
      <c r="K5558" s="24" t="str" cm="1">
        <f t="array" ref="K5558">IFERROR(IF($B5558=K$1, ($A5558+$C5558) - MAX(IF($B$2:$B5557=$B5558, $A$2:$A5557+$C$2:$C5557)), "")*24*60, "")</f>
        <v/>
      </c>
      <c r="L5558" s="24" t="str" cm="1">
        <f t="array" ref="L5558">IFERROR(IF($B5558=L$1, ($A5558+$C5558) - MAX(IF($B$2:$B5557=$B5558, $A$2:$A5557+$C$2:$C5557)), "")*24*60, "")</f>
        <v/>
      </c>
      <c r="M5558" s="24" t="str" cm="1">
        <f t="array" ref="M5558">IFERROR(IF($B5558=M$1, ($A5558+$C5558) - MAX(IF($B$2:$B5557=$B5558, $A$2:$A5557+$C$2:$C5557)), "")*24*60, "")</f>
        <v/>
      </c>
      <c r="N5558" s="24" t="str" cm="1">
        <f t="array" ref="N5558">IFERROR(IF($B5558=N$1, ($A5558+$C5558) - MAX(IF($B$2:$B5557=$B5558, $A$2:$A5557+$C$2:$C5557)), "")*24*60, "")</f>
        <v/>
      </c>
      <c r="O5558" s="24" t="str" cm="1">
        <f t="array" ref="O5558">IFERROR(IF($B5558=O$1, ($A5558+$C5558) - MAX(IF($B$2:$B5557=$B5558, $A$2:$A5557+$C$2:$C5557)), "")*24*60, "")</f>
        <v/>
      </c>
      <c r="P5558" s="24" t="str" cm="1">
        <f t="array" ref="P5558">IFERROR(IF($B5558=P$1, ($A5558+$C5558) - MAX(IF($B$2:$B5557=$B5558, $A$2:$A5557+$C$2:$C5557)), "")*24*60, "")</f>
        <v/>
      </c>
      <c r="Q5558" s="24" t="str" cm="1">
        <f t="array" ref="Q5558">IFERROR(IF($B5558=Q$1, ($A5558+$C5558) - MAX(IF($B$2:$B5557=$B5558, $A$2:$A5557+$C$2:$C5557)), "")*24*60, "")</f>
        <v/>
      </c>
    </row>
    <row r="5559" spans="1:17" x14ac:dyDescent="0.2">
      <c r="A5559" s="12">
        <f t="shared" ref="A5559:C5559" si="1456">A5558</f>
        <v>45983</v>
      </c>
      <c r="B5559" s="5" t="str">
        <f t="shared" si="1456"/>
        <v>Northern Cardinal</v>
      </c>
      <c r="C5559" s="6">
        <f t="shared" si="1456"/>
        <v>0.28194444444444444</v>
      </c>
      <c r="D5559" s="5"/>
      <c r="E5559" s="5"/>
      <c r="F5559" s="5" t="s">
        <v>8</v>
      </c>
      <c r="G5559" s="15" t="s">
        <v>9</v>
      </c>
      <c r="H5559" s="24">
        <f t="shared" si="1429"/>
        <v>0</v>
      </c>
      <c r="I5559" s="24" cm="1">
        <f t="array" ref="I5559">IFERROR(IF($B5559=I$1, ($A5559+$C5559) - MAX(IF($B$2:$B5558=$B5559, $A$2:$A5558+$C$2:$C5558)), "")*24*60, "")</f>
        <v>0</v>
      </c>
      <c r="J5559" s="24" t="str" cm="1">
        <f t="array" ref="J5559">IFERROR(IF($B5559=J$1, ($A5559+$C5559) - MAX(IF($B$2:$B5558=$B5559, $A$2:$A5558+$C$2:$C5558)), "")*24*60, "")</f>
        <v/>
      </c>
      <c r="K5559" s="24" t="str" cm="1">
        <f t="array" ref="K5559">IFERROR(IF($B5559=K$1, ($A5559+$C5559) - MAX(IF($B$2:$B5558=$B5559, $A$2:$A5558+$C$2:$C5558)), "")*24*60, "")</f>
        <v/>
      </c>
      <c r="L5559" s="24" t="str" cm="1">
        <f t="array" ref="L5559">IFERROR(IF($B5559=L$1, ($A5559+$C5559) - MAX(IF($B$2:$B5558=$B5559, $A$2:$A5558+$C$2:$C5558)), "")*24*60, "")</f>
        <v/>
      </c>
      <c r="M5559" s="24" t="str" cm="1">
        <f t="array" ref="M5559">IFERROR(IF($B5559=M$1, ($A5559+$C5559) - MAX(IF($B$2:$B5558=$B5559, $A$2:$A5558+$C$2:$C5558)), "")*24*60, "")</f>
        <v/>
      </c>
      <c r="N5559" s="24" t="str" cm="1">
        <f t="array" ref="N5559">IFERROR(IF($B5559=N$1, ($A5559+$C5559) - MAX(IF($B$2:$B5558=$B5559, $A$2:$A5558+$C$2:$C5558)), "")*24*60, "")</f>
        <v/>
      </c>
      <c r="O5559" s="24" t="str" cm="1">
        <f t="array" ref="O5559">IFERROR(IF($B5559=O$1, ($A5559+$C5559) - MAX(IF($B$2:$B5558=$B5559, $A$2:$A5558+$C$2:$C5558)), "")*24*60, "")</f>
        <v/>
      </c>
      <c r="P5559" s="24" t="str" cm="1">
        <f t="array" ref="P5559">IFERROR(IF($B5559=P$1, ($A5559+$C5559) - MAX(IF($B$2:$B5558=$B5559, $A$2:$A5558+$C$2:$C5558)), "")*24*60, "")</f>
        <v/>
      </c>
      <c r="Q5559" s="24" t="str" cm="1">
        <f t="array" ref="Q5559">IFERROR(IF($B5559=Q$1, ($A5559+$C5559) - MAX(IF($B$2:$B5558=$B5559, $A$2:$A5558+$C$2:$C5558)), "")*24*60, "")</f>
        <v/>
      </c>
    </row>
    <row r="5560" spans="1:17" x14ac:dyDescent="0.2">
      <c r="A5560" s="12">
        <f t="shared" ref="A5560:C5560" si="1457">A5559</f>
        <v>45983</v>
      </c>
      <c r="B5560" s="5" t="str">
        <f t="shared" si="1457"/>
        <v>Northern Cardinal</v>
      </c>
      <c r="C5560" s="6">
        <f t="shared" si="1457"/>
        <v>0.28194444444444444</v>
      </c>
      <c r="D5560" s="5"/>
      <c r="E5560" s="5"/>
      <c r="F5560" s="5" t="s">
        <v>8</v>
      </c>
      <c r="G5560" s="15" t="s">
        <v>9</v>
      </c>
      <c r="H5560" s="24">
        <f t="shared" si="1429"/>
        <v>0</v>
      </c>
      <c r="I5560" s="24" cm="1">
        <f t="array" ref="I5560">IFERROR(IF($B5560=I$1, ($A5560+$C5560) - MAX(IF($B$2:$B5559=$B5560, $A$2:$A5559+$C$2:$C5559)), "")*24*60, "")</f>
        <v>0</v>
      </c>
      <c r="J5560" s="24" t="str" cm="1">
        <f t="array" ref="J5560">IFERROR(IF($B5560=J$1, ($A5560+$C5560) - MAX(IF($B$2:$B5559=$B5560, $A$2:$A5559+$C$2:$C5559)), "")*24*60, "")</f>
        <v/>
      </c>
      <c r="K5560" s="24" t="str" cm="1">
        <f t="array" ref="K5560">IFERROR(IF($B5560=K$1, ($A5560+$C5560) - MAX(IF($B$2:$B5559=$B5560, $A$2:$A5559+$C$2:$C5559)), "")*24*60, "")</f>
        <v/>
      </c>
      <c r="L5560" s="24" t="str" cm="1">
        <f t="array" ref="L5560">IFERROR(IF($B5560=L$1, ($A5560+$C5560) - MAX(IF($B$2:$B5559=$B5560, $A$2:$A5559+$C$2:$C5559)), "")*24*60, "")</f>
        <v/>
      </c>
      <c r="M5560" s="24" t="str" cm="1">
        <f t="array" ref="M5560">IFERROR(IF($B5560=M$1, ($A5560+$C5560) - MAX(IF($B$2:$B5559=$B5560, $A$2:$A5559+$C$2:$C5559)), "")*24*60, "")</f>
        <v/>
      </c>
      <c r="N5560" s="24" t="str" cm="1">
        <f t="array" ref="N5560">IFERROR(IF($B5560=N$1, ($A5560+$C5560) - MAX(IF($B$2:$B5559=$B5560, $A$2:$A5559+$C$2:$C5559)), "")*24*60, "")</f>
        <v/>
      </c>
      <c r="O5560" s="24" t="str" cm="1">
        <f t="array" ref="O5560">IFERROR(IF($B5560=O$1, ($A5560+$C5560) - MAX(IF($B$2:$B5559=$B5560, $A$2:$A5559+$C$2:$C5559)), "")*24*60, "")</f>
        <v/>
      </c>
      <c r="P5560" s="24" t="str" cm="1">
        <f t="array" ref="P5560">IFERROR(IF($B5560=P$1, ($A5560+$C5560) - MAX(IF($B$2:$B5559=$B5560, $A$2:$A5559+$C$2:$C5559)), "")*24*60, "")</f>
        <v/>
      </c>
      <c r="Q5560" s="24" t="str" cm="1">
        <f t="array" ref="Q5560">IFERROR(IF($B5560=Q$1, ($A5560+$C5560) - MAX(IF($B$2:$B5559=$B5560, $A$2:$A5559+$C$2:$C5559)), "")*24*60, "")</f>
        <v/>
      </c>
    </row>
    <row r="5561" spans="1:17" x14ac:dyDescent="0.2">
      <c r="A5561" s="12">
        <f t="shared" ref="A5561:C5561" si="1458">A5560</f>
        <v>45983</v>
      </c>
      <c r="B5561" s="5" t="str">
        <f t="shared" si="1458"/>
        <v>Northern Cardinal</v>
      </c>
      <c r="C5561" s="6">
        <f t="shared" si="1458"/>
        <v>0.28194444444444444</v>
      </c>
      <c r="D5561" s="5"/>
      <c r="E5561" s="5"/>
      <c r="F5561" s="5" t="s">
        <v>8</v>
      </c>
      <c r="G5561" s="15" t="s">
        <v>9</v>
      </c>
      <c r="H5561" s="24">
        <f t="shared" si="1429"/>
        <v>0</v>
      </c>
      <c r="I5561" s="24" cm="1">
        <f t="array" ref="I5561">IFERROR(IF($B5561=I$1, ($A5561+$C5561) - MAX(IF($B$2:$B5560=$B5561, $A$2:$A5560+$C$2:$C5560)), "")*24*60, "")</f>
        <v>0</v>
      </c>
      <c r="J5561" s="24" t="str" cm="1">
        <f t="array" ref="J5561">IFERROR(IF($B5561=J$1, ($A5561+$C5561) - MAX(IF($B$2:$B5560=$B5561, $A$2:$A5560+$C$2:$C5560)), "")*24*60, "")</f>
        <v/>
      </c>
      <c r="K5561" s="24" t="str" cm="1">
        <f t="array" ref="K5561">IFERROR(IF($B5561=K$1, ($A5561+$C5561) - MAX(IF($B$2:$B5560=$B5561, $A$2:$A5560+$C$2:$C5560)), "")*24*60, "")</f>
        <v/>
      </c>
      <c r="L5561" s="24" t="str" cm="1">
        <f t="array" ref="L5561">IFERROR(IF($B5561=L$1, ($A5561+$C5561) - MAX(IF($B$2:$B5560=$B5561, $A$2:$A5560+$C$2:$C5560)), "")*24*60, "")</f>
        <v/>
      </c>
      <c r="M5561" s="24" t="str" cm="1">
        <f t="array" ref="M5561">IFERROR(IF($B5561=M$1, ($A5561+$C5561) - MAX(IF($B$2:$B5560=$B5561, $A$2:$A5560+$C$2:$C5560)), "")*24*60, "")</f>
        <v/>
      </c>
      <c r="N5561" s="24" t="str" cm="1">
        <f t="array" ref="N5561">IFERROR(IF($B5561=N$1, ($A5561+$C5561) - MAX(IF($B$2:$B5560=$B5561, $A$2:$A5560+$C$2:$C5560)), "")*24*60, "")</f>
        <v/>
      </c>
      <c r="O5561" s="24" t="str" cm="1">
        <f t="array" ref="O5561">IFERROR(IF($B5561=O$1, ($A5561+$C5561) - MAX(IF($B$2:$B5560=$B5561, $A$2:$A5560+$C$2:$C5560)), "")*24*60, "")</f>
        <v/>
      </c>
      <c r="P5561" s="24" t="str" cm="1">
        <f t="array" ref="P5561">IFERROR(IF($B5561=P$1, ($A5561+$C5561) - MAX(IF($B$2:$B5560=$B5561, $A$2:$A5560+$C$2:$C5560)), "")*24*60, "")</f>
        <v/>
      </c>
      <c r="Q5561" s="24" t="str" cm="1">
        <f t="array" ref="Q5561">IFERROR(IF($B5561=Q$1, ($A5561+$C5561) - MAX(IF($B$2:$B5560=$B5561, $A$2:$A5560+$C$2:$C5560)), "")*24*60, "")</f>
        <v/>
      </c>
    </row>
    <row r="5562" spans="1:17" x14ac:dyDescent="0.2">
      <c r="A5562" s="12">
        <f t="shared" ref="A5562:C5562" si="1459">A5561</f>
        <v>45983</v>
      </c>
      <c r="B5562" s="5" t="str">
        <f t="shared" si="1459"/>
        <v>Northern Cardinal</v>
      </c>
      <c r="C5562" s="6">
        <f t="shared" si="1459"/>
        <v>0.28194444444444444</v>
      </c>
      <c r="D5562" s="5"/>
      <c r="E5562" s="5"/>
      <c r="F5562" s="5" t="s">
        <v>8</v>
      </c>
      <c r="G5562" s="15" t="s">
        <v>9</v>
      </c>
      <c r="H5562" s="24">
        <f t="shared" si="1429"/>
        <v>0</v>
      </c>
      <c r="I5562" s="24" cm="1">
        <f t="array" ref="I5562">IFERROR(IF($B5562=I$1, ($A5562+$C5562) - MAX(IF($B$2:$B5561=$B5562, $A$2:$A5561+$C$2:$C5561)), "")*24*60, "")</f>
        <v>0</v>
      </c>
      <c r="J5562" s="24" t="str" cm="1">
        <f t="array" ref="J5562">IFERROR(IF($B5562=J$1, ($A5562+$C5562) - MAX(IF($B$2:$B5561=$B5562, $A$2:$A5561+$C$2:$C5561)), "")*24*60, "")</f>
        <v/>
      </c>
      <c r="K5562" s="24" t="str" cm="1">
        <f t="array" ref="K5562">IFERROR(IF($B5562=K$1, ($A5562+$C5562) - MAX(IF($B$2:$B5561=$B5562, $A$2:$A5561+$C$2:$C5561)), "")*24*60, "")</f>
        <v/>
      </c>
      <c r="L5562" s="24" t="str" cm="1">
        <f t="array" ref="L5562">IFERROR(IF($B5562=L$1, ($A5562+$C5562) - MAX(IF($B$2:$B5561=$B5562, $A$2:$A5561+$C$2:$C5561)), "")*24*60, "")</f>
        <v/>
      </c>
      <c r="M5562" s="24" t="str" cm="1">
        <f t="array" ref="M5562">IFERROR(IF($B5562=M$1, ($A5562+$C5562) - MAX(IF($B$2:$B5561=$B5562, $A$2:$A5561+$C$2:$C5561)), "")*24*60, "")</f>
        <v/>
      </c>
      <c r="N5562" s="24" t="str" cm="1">
        <f t="array" ref="N5562">IFERROR(IF($B5562=N$1, ($A5562+$C5562) - MAX(IF($B$2:$B5561=$B5562, $A$2:$A5561+$C$2:$C5561)), "")*24*60, "")</f>
        <v/>
      </c>
      <c r="O5562" s="24" t="str" cm="1">
        <f t="array" ref="O5562">IFERROR(IF($B5562=O$1, ($A5562+$C5562) - MAX(IF($B$2:$B5561=$B5562, $A$2:$A5561+$C$2:$C5561)), "")*24*60, "")</f>
        <v/>
      </c>
      <c r="P5562" s="24" t="str" cm="1">
        <f t="array" ref="P5562">IFERROR(IF($B5562=P$1, ($A5562+$C5562) - MAX(IF($B$2:$B5561=$B5562, $A$2:$A5561+$C$2:$C5561)), "")*24*60, "")</f>
        <v/>
      </c>
      <c r="Q5562" s="24" t="str" cm="1">
        <f t="array" ref="Q5562">IFERROR(IF($B5562=Q$1, ($A5562+$C5562) - MAX(IF($B$2:$B5561=$B5562, $A$2:$A5561+$C$2:$C5561)), "")*24*60, "")</f>
        <v/>
      </c>
    </row>
    <row r="5563" spans="1:17" x14ac:dyDescent="0.2">
      <c r="A5563" s="12">
        <f t="shared" ref="A5563:C5563" si="1460">A5562</f>
        <v>45983</v>
      </c>
      <c r="B5563" s="5" t="str">
        <f t="shared" si="1460"/>
        <v>Northern Cardinal</v>
      </c>
      <c r="C5563" s="6">
        <f t="shared" si="1460"/>
        <v>0.28194444444444444</v>
      </c>
      <c r="D5563" s="5"/>
      <c r="E5563" s="5"/>
      <c r="F5563" s="5" t="s">
        <v>8</v>
      </c>
      <c r="G5563" s="15" t="s">
        <v>9</v>
      </c>
      <c r="H5563" s="24">
        <f t="shared" si="1429"/>
        <v>0</v>
      </c>
      <c r="I5563" s="24" cm="1">
        <f t="array" ref="I5563">IFERROR(IF($B5563=I$1, ($A5563+$C5563) - MAX(IF($B$2:$B5562=$B5563, $A$2:$A5562+$C$2:$C5562)), "")*24*60, "")</f>
        <v>0</v>
      </c>
      <c r="J5563" s="24" t="str" cm="1">
        <f t="array" ref="J5563">IFERROR(IF($B5563=J$1, ($A5563+$C5563) - MAX(IF($B$2:$B5562=$B5563, $A$2:$A5562+$C$2:$C5562)), "")*24*60, "")</f>
        <v/>
      </c>
      <c r="K5563" s="24" t="str" cm="1">
        <f t="array" ref="K5563">IFERROR(IF($B5563=K$1, ($A5563+$C5563) - MAX(IF($B$2:$B5562=$B5563, $A$2:$A5562+$C$2:$C5562)), "")*24*60, "")</f>
        <v/>
      </c>
      <c r="L5563" s="24" t="str" cm="1">
        <f t="array" ref="L5563">IFERROR(IF($B5563=L$1, ($A5563+$C5563) - MAX(IF($B$2:$B5562=$B5563, $A$2:$A5562+$C$2:$C5562)), "")*24*60, "")</f>
        <v/>
      </c>
      <c r="M5563" s="24" t="str" cm="1">
        <f t="array" ref="M5563">IFERROR(IF($B5563=M$1, ($A5563+$C5563) - MAX(IF($B$2:$B5562=$B5563, $A$2:$A5562+$C$2:$C5562)), "")*24*60, "")</f>
        <v/>
      </c>
      <c r="N5563" s="24" t="str" cm="1">
        <f t="array" ref="N5563">IFERROR(IF($B5563=N$1, ($A5563+$C5563) - MAX(IF($B$2:$B5562=$B5563, $A$2:$A5562+$C$2:$C5562)), "")*24*60, "")</f>
        <v/>
      </c>
      <c r="O5563" s="24" t="str" cm="1">
        <f t="array" ref="O5563">IFERROR(IF($B5563=O$1, ($A5563+$C5563) - MAX(IF($B$2:$B5562=$B5563, $A$2:$A5562+$C$2:$C5562)), "")*24*60, "")</f>
        <v/>
      </c>
      <c r="P5563" s="24" t="str" cm="1">
        <f t="array" ref="P5563">IFERROR(IF($B5563=P$1, ($A5563+$C5563) - MAX(IF($B$2:$B5562=$B5563, $A$2:$A5562+$C$2:$C5562)), "")*24*60, "")</f>
        <v/>
      </c>
      <c r="Q5563" s="24" t="str" cm="1">
        <f t="array" ref="Q5563">IFERROR(IF($B5563=Q$1, ($A5563+$C5563) - MAX(IF($B$2:$B5562=$B5563, $A$2:$A5562+$C$2:$C5562)), "")*24*60, "")</f>
        <v/>
      </c>
    </row>
    <row r="5564" spans="1:17" x14ac:dyDescent="0.2">
      <c r="A5564" s="12">
        <f t="shared" ref="A5564:C5564" si="1461">A5563</f>
        <v>45983</v>
      </c>
      <c r="B5564" s="5" t="str">
        <f t="shared" si="1461"/>
        <v>Northern Cardinal</v>
      </c>
      <c r="C5564" s="6">
        <f t="shared" si="1461"/>
        <v>0.28194444444444444</v>
      </c>
      <c r="D5564" s="5"/>
      <c r="E5564" s="5"/>
      <c r="F5564" s="5" t="s">
        <v>8</v>
      </c>
      <c r="G5564" s="15" t="s">
        <v>9</v>
      </c>
      <c r="H5564" s="24">
        <f t="shared" si="1429"/>
        <v>0</v>
      </c>
      <c r="I5564" s="24" cm="1">
        <f t="array" ref="I5564">IFERROR(IF($B5564=I$1, ($A5564+$C5564) - MAX(IF($B$2:$B5563=$B5564, $A$2:$A5563+$C$2:$C5563)), "")*24*60, "")</f>
        <v>0</v>
      </c>
      <c r="J5564" s="24" t="str" cm="1">
        <f t="array" ref="J5564">IFERROR(IF($B5564=J$1, ($A5564+$C5564) - MAX(IF($B$2:$B5563=$B5564, $A$2:$A5563+$C$2:$C5563)), "")*24*60, "")</f>
        <v/>
      </c>
      <c r="K5564" s="24" t="str" cm="1">
        <f t="array" ref="K5564">IFERROR(IF($B5564=K$1, ($A5564+$C5564) - MAX(IF($B$2:$B5563=$B5564, $A$2:$A5563+$C$2:$C5563)), "")*24*60, "")</f>
        <v/>
      </c>
      <c r="L5564" s="24" t="str" cm="1">
        <f t="array" ref="L5564">IFERROR(IF($B5564=L$1, ($A5564+$C5564) - MAX(IF($B$2:$B5563=$B5564, $A$2:$A5563+$C$2:$C5563)), "")*24*60, "")</f>
        <v/>
      </c>
      <c r="M5564" s="24" t="str" cm="1">
        <f t="array" ref="M5564">IFERROR(IF($B5564=M$1, ($A5564+$C5564) - MAX(IF($B$2:$B5563=$B5564, $A$2:$A5563+$C$2:$C5563)), "")*24*60, "")</f>
        <v/>
      </c>
      <c r="N5564" s="24" t="str" cm="1">
        <f t="array" ref="N5564">IFERROR(IF($B5564=N$1, ($A5564+$C5564) - MAX(IF($B$2:$B5563=$B5564, $A$2:$A5563+$C$2:$C5563)), "")*24*60, "")</f>
        <v/>
      </c>
      <c r="O5564" s="24" t="str" cm="1">
        <f t="array" ref="O5564">IFERROR(IF($B5564=O$1, ($A5564+$C5564) - MAX(IF($B$2:$B5563=$B5564, $A$2:$A5563+$C$2:$C5563)), "")*24*60, "")</f>
        <v/>
      </c>
      <c r="P5564" s="24" t="str" cm="1">
        <f t="array" ref="P5564">IFERROR(IF($B5564=P$1, ($A5564+$C5564) - MAX(IF($B$2:$B5563=$B5564, $A$2:$A5563+$C$2:$C5563)), "")*24*60, "")</f>
        <v/>
      </c>
      <c r="Q5564" s="24" t="str" cm="1">
        <f t="array" ref="Q5564">IFERROR(IF($B5564=Q$1, ($A5564+$C5564) - MAX(IF($B$2:$B5563=$B5564, $A$2:$A5563+$C$2:$C5563)), "")*24*60, "")</f>
        <v/>
      </c>
    </row>
    <row r="5565" spans="1:17" x14ac:dyDescent="0.2">
      <c r="A5565" s="12">
        <f t="shared" ref="A5565:C5565" si="1462">A5564</f>
        <v>45983</v>
      </c>
      <c r="B5565" s="5" t="str">
        <f t="shared" si="1462"/>
        <v>Northern Cardinal</v>
      </c>
      <c r="C5565" s="6">
        <f t="shared" si="1462"/>
        <v>0.28194444444444444</v>
      </c>
      <c r="D5565" s="5"/>
      <c r="E5565" s="5"/>
      <c r="F5565" s="5" t="s">
        <v>8</v>
      </c>
      <c r="G5565" s="15" t="s">
        <v>9</v>
      </c>
      <c r="H5565" s="24">
        <f t="shared" si="1429"/>
        <v>0</v>
      </c>
      <c r="I5565" s="24" cm="1">
        <f t="array" ref="I5565">IFERROR(IF($B5565=I$1, ($A5565+$C5565) - MAX(IF($B$2:$B5564=$B5565, $A$2:$A5564+$C$2:$C5564)), "")*24*60, "")</f>
        <v>0</v>
      </c>
      <c r="J5565" s="24" t="str" cm="1">
        <f t="array" ref="J5565">IFERROR(IF($B5565=J$1, ($A5565+$C5565) - MAX(IF($B$2:$B5564=$B5565, $A$2:$A5564+$C$2:$C5564)), "")*24*60, "")</f>
        <v/>
      </c>
      <c r="K5565" s="24" t="str" cm="1">
        <f t="array" ref="K5565">IFERROR(IF($B5565=K$1, ($A5565+$C5565) - MAX(IF($B$2:$B5564=$B5565, $A$2:$A5564+$C$2:$C5564)), "")*24*60, "")</f>
        <v/>
      </c>
      <c r="L5565" s="24" t="str" cm="1">
        <f t="array" ref="L5565">IFERROR(IF($B5565=L$1, ($A5565+$C5565) - MAX(IF($B$2:$B5564=$B5565, $A$2:$A5564+$C$2:$C5564)), "")*24*60, "")</f>
        <v/>
      </c>
      <c r="M5565" s="24" t="str" cm="1">
        <f t="array" ref="M5565">IFERROR(IF($B5565=M$1, ($A5565+$C5565) - MAX(IF($B$2:$B5564=$B5565, $A$2:$A5564+$C$2:$C5564)), "")*24*60, "")</f>
        <v/>
      </c>
      <c r="N5565" s="24" t="str" cm="1">
        <f t="array" ref="N5565">IFERROR(IF($B5565=N$1, ($A5565+$C5565) - MAX(IF($B$2:$B5564=$B5565, $A$2:$A5564+$C$2:$C5564)), "")*24*60, "")</f>
        <v/>
      </c>
      <c r="O5565" s="24" t="str" cm="1">
        <f t="array" ref="O5565">IFERROR(IF($B5565=O$1, ($A5565+$C5565) - MAX(IF($B$2:$B5564=$B5565, $A$2:$A5564+$C$2:$C5564)), "")*24*60, "")</f>
        <v/>
      </c>
      <c r="P5565" s="24" t="str" cm="1">
        <f t="array" ref="P5565">IFERROR(IF($B5565=P$1, ($A5565+$C5565) - MAX(IF($B$2:$B5564=$B5565, $A$2:$A5564+$C$2:$C5564)), "")*24*60, "")</f>
        <v/>
      </c>
      <c r="Q5565" s="24" t="str" cm="1">
        <f t="array" ref="Q5565">IFERROR(IF($B5565=Q$1, ($A5565+$C5565) - MAX(IF($B$2:$B5564=$B5565, $A$2:$A5564+$C$2:$C5564)), "")*24*60, "")</f>
        <v/>
      </c>
    </row>
    <row r="5566" spans="1:17" x14ac:dyDescent="0.2">
      <c r="A5566" s="12">
        <f t="shared" ref="A5566:C5566" si="1463">A5565</f>
        <v>45983</v>
      </c>
      <c r="B5566" s="5" t="str">
        <f t="shared" si="1463"/>
        <v>Northern Cardinal</v>
      </c>
      <c r="C5566" s="6">
        <f t="shared" si="1463"/>
        <v>0.28194444444444444</v>
      </c>
      <c r="D5566" s="5"/>
      <c r="E5566" s="5"/>
      <c r="F5566" s="5" t="s">
        <v>8</v>
      </c>
      <c r="G5566" s="15" t="s">
        <v>9</v>
      </c>
      <c r="H5566" s="24">
        <f t="shared" si="1429"/>
        <v>0</v>
      </c>
      <c r="I5566" s="24" cm="1">
        <f t="array" ref="I5566">IFERROR(IF($B5566=I$1, ($A5566+$C5566) - MAX(IF($B$2:$B5565=$B5566, $A$2:$A5565+$C$2:$C5565)), "")*24*60, "")</f>
        <v>0</v>
      </c>
      <c r="J5566" s="24" t="str" cm="1">
        <f t="array" ref="J5566">IFERROR(IF($B5566=J$1, ($A5566+$C5566) - MAX(IF($B$2:$B5565=$B5566, $A$2:$A5565+$C$2:$C5565)), "")*24*60, "")</f>
        <v/>
      </c>
      <c r="K5566" s="24" t="str" cm="1">
        <f t="array" ref="K5566">IFERROR(IF($B5566=K$1, ($A5566+$C5566) - MAX(IF($B$2:$B5565=$B5566, $A$2:$A5565+$C$2:$C5565)), "")*24*60, "")</f>
        <v/>
      </c>
      <c r="L5566" s="24" t="str" cm="1">
        <f t="array" ref="L5566">IFERROR(IF($B5566=L$1, ($A5566+$C5566) - MAX(IF($B$2:$B5565=$B5566, $A$2:$A5565+$C$2:$C5565)), "")*24*60, "")</f>
        <v/>
      </c>
      <c r="M5566" s="24" t="str" cm="1">
        <f t="array" ref="M5566">IFERROR(IF($B5566=M$1, ($A5566+$C5566) - MAX(IF($B$2:$B5565=$B5566, $A$2:$A5565+$C$2:$C5565)), "")*24*60, "")</f>
        <v/>
      </c>
      <c r="N5566" s="24" t="str" cm="1">
        <f t="array" ref="N5566">IFERROR(IF($B5566=N$1, ($A5566+$C5566) - MAX(IF($B$2:$B5565=$B5566, $A$2:$A5565+$C$2:$C5565)), "")*24*60, "")</f>
        <v/>
      </c>
      <c r="O5566" s="24" t="str" cm="1">
        <f t="array" ref="O5566">IFERROR(IF($B5566=O$1, ($A5566+$C5566) - MAX(IF($B$2:$B5565=$B5566, $A$2:$A5565+$C$2:$C5565)), "")*24*60, "")</f>
        <v/>
      </c>
      <c r="P5566" s="24" t="str" cm="1">
        <f t="array" ref="P5566">IFERROR(IF($B5566=P$1, ($A5566+$C5566) - MAX(IF($B$2:$B5565=$B5566, $A$2:$A5565+$C$2:$C5565)), "")*24*60, "")</f>
        <v/>
      </c>
      <c r="Q5566" s="24" t="str" cm="1">
        <f t="array" ref="Q5566">IFERROR(IF($B5566=Q$1, ($A5566+$C5566) - MAX(IF($B$2:$B5565=$B5566, $A$2:$A5565+$C$2:$C5565)), "")*24*60, "")</f>
        <v/>
      </c>
    </row>
    <row r="5567" spans="1:17" x14ac:dyDescent="0.2">
      <c r="A5567" s="12">
        <f t="shared" ref="A5567:C5567" si="1464">A5566</f>
        <v>45983</v>
      </c>
      <c r="B5567" s="5" t="str">
        <f t="shared" si="1464"/>
        <v>Northern Cardinal</v>
      </c>
      <c r="C5567" s="6">
        <f t="shared" si="1464"/>
        <v>0.28194444444444444</v>
      </c>
      <c r="D5567" s="5"/>
      <c r="E5567" s="5"/>
      <c r="F5567" s="5" t="s">
        <v>8</v>
      </c>
      <c r="G5567" s="15" t="s">
        <v>9</v>
      </c>
      <c r="H5567" s="24">
        <f t="shared" si="1429"/>
        <v>0</v>
      </c>
      <c r="I5567" s="24" cm="1">
        <f t="array" ref="I5567">IFERROR(IF($B5567=I$1, ($A5567+$C5567) - MAX(IF($B$2:$B5566=$B5567, $A$2:$A5566+$C$2:$C5566)), "")*24*60, "")</f>
        <v>0</v>
      </c>
      <c r="J5567" s="24" t="str" cm="1">
        <f t="array" ref="J5567">IFERROR(IF($B5567=J$1, ($A5567+$C5567) - MAX(IF($B$2:$B5566=$B5567, $A$2:$A5566+$C$2:$C5566)), "")*24*60, "")</f>
        <v/>
      </c>
      <c r="K5567" s="24" t="str" cm="1">
        <f t="array" ref="K5567">IFERROR(IF($B5567=K$1, ($A5567+$C5567) - MAX(IF($B$2:$B5566=$B5567, $A$2:$A5566+$C$2:$C5566)), "")*24*60, "")</f>
        <v/>
      </c>
      <c r="L5567" s="24" t="str" cm="1">
        <f t="array" ref="L5567">IFERROR(IF($B5567=L$1, ($A5567+$C5567) - MAX(IF($B$2:$B5566=$B5567, $A$2:$A5566+$C$2:$C5566)), "")*24*60, "")</f>
        <v/>
      </c>
      <c r="M5567" s="24" t="str" cm="1">
        <f t="array" ref="M5567">IFERROR(IF($B5567=M$1, ($A5567+$C5567) - MAX(IF($B$2:$B5566=$B5567, $A$2:$A5566+$C$2:$C5566)), "")*24*60, "")</f>
        <v/>
      </c>
      <c r="N5567" s="24" t="str" cm="1">
        <f t="array" ref="N5567">IFERROR(IF($B5567=N$1, ($A5567+$C5567) - MAX(IF($B$2:$B5566=$B5567, $A$2:$A5566+$C$2:$C5566)), "")*24*60, "")</f>
        <v/>
      </c>
      <c r="O5567" s="24" t="str" cm="1">
        <f t="array" ref="O5567">IFERROR(IF($B5567=O$1, ($A5567+$C5567) - MAX(IF($B$2:$B5566=$B5567, $A$2:$A5566+$C$2:$C5566)), "")*24*60, "")</f>
        <v/>
      </c>
      <c r="P5567" s="24" t="str" cm="1">
        <f t="array" ref="P5567">IFERROR(IF($B5567=P$1, ($A5567+$C5567) - MAX(IF($B$2:$B5566=$B5567, $A$2:$A5566+$C$2:$C5566)), "")*24*60, "")</f>
        <v/>
      </c>
      <c r="Q5567" s="24" t="str" cm="1">
        <f t="array" ref="Q5567">IFERROR(IF($B5567=Q$1, ($A5567+$C5567) - MAX(IF($B$2:$B5566=$B5567, $A$2:$A5566+$C$2:$C5566)), "")*24*60, "")</f>
        <v/>
      </c>
    </row>
    <row r="5568" spans="1:17" x14ac:dyDescent="0.2">
      <c r="A5568" s="12">
        <f t="shared" ref="A5568:C5568" si="1465">A5567</f>
        <v>45983</v>
      </c>
      <c r="B5568" s="5" t="str">
        <f t="shared" si="1465"/>
        <v>Northern Cardinal</v>
      </c>
      <c r="C5568" s="6">
        <f t="shared" si="1465"/>
        <v>0.28194444444444444</v>
      </c>
      <c r="D5568" s="5"/>
      <c r="E5568" s="5"/>
      <c r="F5568" s="5" t="s">
        <v>8</v>
      </c>
      <c r="G5568" s="15" t="s">
        <v>9</v>
      </c>
      <c r="H5568" s="24">
        <f t="shared" si="1429"/>
        <v>0</v>
      </c>
      <c r="I5568" s="24" cm="1">
        <f t="array" ref="I5568">IFERROR(IF($B5568=I$1, ($A5568+$C5568) - MAX(IF($B$2:$B5567=$B5568, $A$2:$A5567+$C$2:$C5567)), "")*24*60, "")</f>
        <v>0</v>
      </c>
      <c r="J5568" s="24" t="str" cm="1">
        <f t="array" ref="J5568">IFERROR(IF($B5568=J$1, ($A5568+$C5568) - MAX(IF($B$2:$B5567=$B5568, $A$2:$A5567+$C$2:$C5567)), "")*24*60, "")</f>
        <v/>
      </c>
      <c r="K5568" s="24" t="str" cm="1">
        <f t="array" ref="K5568">IFERROR(IF($B5568=K$1, ($A5568+$C5568) - MAX(IF($B$2:$B5567=$B5568, $A$2:$A5567+$C$2:$C5567)), "")*24*60, "")</f>
        <v/>
      </c>
      <c r="L5568" s="24" t="str" cm="1">
        <f t="array" ref="L5568">IFERROR(IF($B5568=L$1, ($A5568+$C5568) - MAX(IF($B$2:$B5567=$B5568, $A$2:$A5567+$C$2:$C5567)), "")*24*60, "")</f>
        <v/>
      </c>
      <c r="M5568" s="24" t="str" cm="1">
        <f t="array" ref="M5568">IFERROR(IF($B5568=M$1, ($A5568+$C5568) - MAX(IF($B$2:$B5567=$B5568, $A$2:$A5567+$C$2:$C5567)), "")*24*60, "")</f>
        <v/>
      </c>
      <c r="N5568" s="24" t="str" cm="1">
        <f t="array" ref="N5568">IFERROR(IF($B5568=N$1, ($A5568+$C5568) - MAX(IF($B$2:$B5567=$B5568, $A$2:$A5567+$C$2:$C5567)), "")*24*60, "")</f>
        <v/>
      </c>
      <c r="O5568" s="24" t="str" cm="1">
        <f t="array" ref="O5568">IFERROR(IF($B5568=O$1, ($A5568+$C5568) - MAX(IF($B$2:$B5567=$B5568, $A$2:$A5567+$C$2:$C5567)), "")*24*60, "")</f>
        <v/>
      </c>
      <c r="P5568" s="24" t="str" cm="1">
        <f t="array" ref="P5568">IFERROR(IF($B5568=P$1, ($A5568+$C5568) - MAX(IF($B$2:$B5567=$B5568, $A$2:$A5567+$C$2:$C5567)), "")*24*60, "")</f>
        <v/>
      </c>
      <c r="Q5568" s="24" t="str" cm="1">
        <f t="array" ref="Q5568">IFERROR(IF($B5568=Q$1, ($A5568+$C5568) - MAX(IF($B$2:$B5567=$B5568, $A$2:$A5567+$C$2:$C5567)),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82"/>
  <sheetViews>
    <sheetView zoomScale="120" zoomScaleNormal="120" workbookViewId="0">
      <pane ySplit="1" topLeftCell="A153" activePane="bottomLeft" state="frozen"/>
      <selection pane="bottomLeft" activeCell="C179" sqref="C17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10">
        <v>45982</v>
      </c>
      <c r="B182" s="11" t="s">
        <v>10</v>
      </c>
      <c r="C182" s="11">
        <f>COUNTIFS(RawData!$B:$B, $B182, RawData!$A:$A, DailySummaries!$A182)</f>
        <v>19</v>
      </c>
      <c r="D182" s="11">
        <f>SUMIFS(RawData!$D:$D,RawData!$B:$B,$B182,RawData!$A:$A,DailySummaries!$A182)+1</f>
        <v>23</v>
      </c>
      <c r="E182" s="11">
        <f>SUMIFS(RawData!$E:$E,RawData!$B:$B,$B182,RawData!$A:$A,DailySummaries!$A182)+1</f>
        <v>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2025-11-22T13:54:31Z</dcterms:modified>
</cp:coreProperties>
</file>
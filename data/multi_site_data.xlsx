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51441E89-7477-AB4E-806A-420850CB0D56}" xr6:coauthVersionLast="47" xr6:coauthVersionMax="47" xr10:uidLastSave="{00000000-0000-0000-0000-000000000000}"/>
  <bookViews>
    <workbookView xWindow="7900" yWindow="500" windowWidth="25700" windowHeight="194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3" i="2" l="1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6" i="1" s="1"/>
  <c r="F4507" i="1" s="1"/>
  <c r="F4508" i="1" s="1"/>
  <c r="F4509" i="1" s="1"/>
  <c r="F4510" i="1" s="1"/>
  <c r="F4511" i="1" s="1"/>
  <c r="F4512" i="1" s="1"/>
  <c r="F4513" i="1" s="1"/>
  <c r="F4514" i="1" s="1"/>
  <c r="F4515" i="1" s="1"/>
  <c r="F4516" i="1" s="1"/>
  <c r="F4517" i="1" s="1"/>
  <c r="F4518" i="1" s="1"/>
  <c r="F4519" i="1" s="1"/>
  <c r="F4520" i="1" s="1"/>
  <c r="F4521" i="1" s="1"/>
  <c r="F4522" i="1" s="1"/>
  <c r="F4523" i="1" s="1"/>
  <c r="F4524" i="1" s="1"/>
  <c r="F4525" i="1" s="1"/>
  <c r="F4526" i="1" s="1"/>
  <c r="F4527" i="1" s="1"/>
  <c r="F4528" i="1" s="1"/>
  <c r="F4529" i="1" s="1"/>
  <c r="F4530" i="1" s="1"/>
  <c r="F4531" i="1" s="1"/>
  <c r="F4532" i="1" s="1"/>
  <c r="F4533" i="1" s="1"/>
  <c r="F4534" i="1" s="1"/>
  <c r="F4535" i="1" s="1"/>
  <c r="F4536" i="1" s="1"/>
  <c r="F4537" i="1" s="1"/>
  <c r="F4538" i="1" s="1"/>
  <c r="F4539" i="1" s="1"/>
  <c r="F4540" i="1" s="1"/>
  <c r="F4541" i="1" s="1"/>
  <c r="F4542" i="1" s="1"/>
  <c r="F4543" i="1" s="1"/>
  <c r="F4544" i="1" s="1"/>
  <c r="F4545" i="1" s="1"/>
  <c r="F4546" i="1" s="1"/>
  <c r="F4547" i="1" s="1"/>
  <c r="F4548" i="1" s="1"/>
  <c r="F4549" i="1" s="1"/>
  <c r="F4550" i="1" s="1"/>
  <c r="F4551" i="1" s="1"/>
  <c r="F4552" i="1" s="1"/>
  <c r="F4553" i="1" s="1"/>
  <c r="F4554" i="1" s="1"/>
  <c r="F4555" i="1" s="1"/>
  <c r="F4556" i="1" s="1"/>
  <c r="F4557" i="1" s="1"/>
  <c r="F4558" i="1" s="1"/>
  <c r="F4559" i="1" s="1"/>
  <c r="F4560" i="1" s="1"/>
  <c r="F4561" i="1" s="1"/>
  <c r="F4562" i="1" s="1"/>
  <c r="F4563" i="1" s="1"/>
  <c r="F4564" i="1" s="1"/>
  <c r="F4565" i="1" s="1"/>
  <c r="F4566" i="1" s="1"/>
  <c r="F4567" i="1" s="1"/>
  <c r="F4568" i="1" s="1"/>
  <c r="F4569" i="1" s="1"/>
  <c r="F4570" i="1" s="1"/>
  <c r="F4571" i="1" s="1"/>
  <c r="F4572" i="1" s="1"/>
  <c r="F4573" i="1" s="1"/>
  <c r="F4574" i="1" s="1"/>
  <c r="F4575" i="1" s="1"/>
  <c r="F4576" i="1" s="1"/>
  <c r="F4577" i="1" s="1"/>
  <c r="F4578" i="1" s="1"/>
  <c r="F4579" i="1" s="1"/>
  <c r="F4580" i="1" s="1"/>
  <c r="F4581" i="1" s="1"/>
  <c r="F4582" i="1" s="1"/>
  <c r="F4583" i="1" s="1"/>
  <c r="F4584" i="1" s="1"/>
  <c r="F4585" i="1" s="1"/>
  <c r="F4586" i="1" s="1"/>
  <c r="F4587" i="1" s="1"/>
  <c r="F4588" i="1" s="1"/>
  <c r="F4589" i="1" s="1"/>
  <c r="F4590" i="1" s="1"/>
  <c r="F4591" i="1" s="1"/>
  <c r="F4592" i="1" s="1"/>
  <c r="F4593" i="1" s="1"/>
  <c r="F4594" i="1" s="1"/>
  <c r="F4595" i="1" s="1"/>
  <c r="F4596" i="1" s="1"/>
  <c r="F4597" i="1" s="1"/>
  <c r="F4598" i="1" s="1"/>
  <c r="F4599" i="1" s="1"/>
  <c r="F4600" i="1" s="1"/>
  <c r="F4601" i="1" s="1"/>
  <c r="F4602" i="1" s="1"/>
  <c r="F4603" i="1" s="1"/>
  <c r="F4604" i="1" s="1"/>
  <c r="F4605" i="1" s="1"/>
  <c r="F4606" i="1" s="1"/>
  <c r="F4607" i="1" s="1"/>
  <c r="F4608" i="1" s="1"/>
  <c r="F4609" i="1" s="1"/>
  <c r="F4610" i="1" s="1"/>
  <c r="F4611" i="1" s="1"/>
  <c r="F4612" i="1" s="1"/>
  <c r="F4613" i="1" s="1"/>
  <c r="F4614" i="1" s="1"/>
  <c r="F4615" i="1" s="1"/>
  <c r="F4616" i="1" s="1"/>
  <c r="F4617" i="1" s="1"/>
  <c r="F4618" i="1" s="1"/>
  <c r="F4619" i="1" s="1"/>
  <c r="F4620" i="1" s="1"/>
  <c r="F4621" i="1" s="1"/>
  <c r="F4622" i="1" s="1"/>
  <c r="F4623" i="1" s="1"/>
  <c r="F4624" i="1" s="1"/>
  <c r="F4625" i="1" s="1"/>
  <c r="F4626" i="1" s="1"/>
  <c r="F4627" i="1" s="1"/>
  <c r="F4628" i="1" s="1"/>
  <c r="F4629" i="1" s="1"/>
  <c r="F4630" i="1" s="1"/>
  <c r="F4631" i="1" s="1"/>
  <c r="F4632" i="1" s="1"/>
  <c r="F4633" i="1" s="1"/>
  <c r="F4634" i="1" s="1"/>
  <c r="F4635" i="1" s="1"/>
  <c r="F4636" i="1" s="1"/>
  <c r="F4637" i="1" s="1"/>
  <c r="F4638" i="1" s="1"/>
  <c r="F4639" i="1" s="1"/>
  <c r="F4640" i="1" s="1"/>
  <c r="F4641" i="1" s="1"/>
  <c r="F4642" i="1" s="1"/>
  <c r="F4643" i="1" s="1"/>
  <c r="F4644" i="1" s="1"/>
  <c r="F4645" i="1" s="1"/>
  <c r="F4646" i="1" s="1"/>
  <c r="F4647" i="1" s="1"/>
  <c r="F4648" i="1" s="1"/>
  <c r="F4649" i="1" s="1"/>
  <c r="F4650" i="1" s="1"/>
  <c r="F4651" i="1" s="1"/>
  <c r="F4652" i="1" s="1"/>
  <c r="F4653" i="1" s="1"/>
  <c r="F4654" i="1" s="1"/>
  <c r="F4655" i="1" s="1"/>
  <c r="F4656" i="1" s="1"/>
  <c r="F4657" i="1" s="1"/>
  <c r="F4658" i="1" s="1"/>
  <c r="F4659" i="1" s="1"/>
  <c r="F4660" i="1" s="1"/>
  <c r="F4661" i="1" s="1"/>
  <c r="F4662" i="1" s="1"/>
  <c r="F4663" i="1" s="1"/>
  <c r="F4664" i="1" s="1"/>
  <c r="F4665" i="1" s="1"/>
  <c r="F4666" i="1" s="1"/>
  <c r="F4667" i="1" s="1"/>
  <c r="F4668" i="1" s="1"/>
  <c r="F4669" i="1" s="1"/>
  <c r="F4670" i="1" s="1"/>
  <c r="F4671" i="1" s="1"/>
  <c r="F4672" i="1" s="1"/>
  <c r="F4673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6" i="1" s="1"/>
  <c r="G4507" i="1" s="1"/>
  <c r="G4508" i="1" s="1"/>
  <c r="G4509" i="1" s="1"/>
  <c r="G4510" i="1" s="1"/>
  <c r="G4511" i="1" s="1"/>
  <c r="G4512" i="1" s="1"/>
  <c r="G4513" i="1" s="1"/>
  <c r="G4514" i="1" s="1"/>
  <c r="G4515" i="1" s="1"/>
  <c r="G4516" i="1" s="1"/>
  <c r="G4517" i="1" s="1"/>
  <c r="G4518" i="1" s="1"/>
  <c r="G4519" i="1" s="1"/>
  <c r="G4520" i="1" s="1"/>
  <c r="G4521" i="1" s="1"/>
  <c r="G4522" i="1" s="1"/>
  <c r="G4523" i="1" s="1"/>
  <c r="G4524" i="1" s="1"/>
  <c r="G4525" i="1" s="1"/>
  <c r="G4526" i="1" s="1"/>
  <c r="G4527" i="1" s="1"/>
  <c r="G4528" i="1" s="1"/>
  <c r="G4529" i="1" s="1"/>
  <c r="G4530" i="1" s="1"/>
  <c r="G4531" i="1" s="1"/>
  <c r="G4532" i="1" s="1"/>
  <c r="G4533" i="1" s="1"/>
  <c r="G4534" i="1" s="1"/>
  <c r="G4535" i="1" s="1"/>
  <c r="G4536" i="1" s="1"/>
  <c r="G4537" i="1" s="1"/>
  <c r="G4538" i="1" s="1"/>
  <c r="G4539" i="1" s="1"/>
  <c r="G4540" i="1" s="1"/>
  <c r="G4541" i="1" s="1"/>
  <c r="G4542" i="1" s="1"/>
  <c r="G4543" i="1" s="1"/>
  <c r="G4544" i="1" s="1"/>
  <c r="G4545" i="1" s="1"/>
  <c r="G4546" i="1" s="1"/>
  <c r="G4547" i="1" s="1"/>
  <c r="G4548" i="1" s="1"/>
  <c r="G4549" i="1" s="1"/>
  <c r="G4550" i="1" s="1"/>
  <c r="G4551" i="1" s="1"/>
  <c r="G4552" i="1" s="1"/>
  <c r="G4553" i="1" s="1"/>
  <c r="G4554" i="1" s="1"/>
  <c r="G4555" i="1" s="1"/>
  <c r="G4556" i="1" s="1"/>
  <c r="G4557" i="1" s="1"/>
  <c r="G4558" i="1" s="1"/>
  <c r="G4559" i="1" s="1"/>
  <c r="G4560" i="1" s="1"/>
  <c r="G4561" i="1" s="1"/>
  <c r="G4562" i="1" s="1"/>
  <c r="G4563" i="1" s="1"/>
  <c r="G4564" i="1" s="1"/>
  <c r="G4565" i="1" s="1"/>
  <c r="G4566" i="1" s="1"/>
  <c r="G4567" i="1" s="1"/>
  <c r="G4568" i="1" s="1"/>
  <c r="G4569" i="1" s="1"/>
  <c r="G4570" i="1" s="1"/>
  <c r="G4571" i="1" s="1"/>
  <c r="G4572" i="1" s="1"/>
  <c r="G4573" i="1" s="1"/>
  <c r="G4574" i="1" s="1"/>
  <c r="G4575" i="1" s="1"/>
  <c r="G4576" i="1" s="1"/>
  <c r="G4577" i="1" s="1"/>
  <c r="G4578" i="1" s="1"/>
  <c r="G4579" i="1" s="1"/>
  <c r="G4580" i="1" s="1"/>
  <c r="G4581" i="1" s="1"/>
  <c r="G4582" i="1" s="1"/>
  <c r="G4583" i="1" s="1"/>
  <c r="G4584" i="1" s="1"/>
  <c r="G4585" i="1" s="1"/>
  <c r="G4586" i="1" s="1"/>
  <c r="G4587" i="1" s="1"/>
  <c r="G4588" i="1" s="1"/>
  <c r="G4589" i="1" s="1"/>
  <c r="G4590" i="1" s="1"/>
  <c r="G4591" i="1" s="1"/>
  <c r="G4592" i="1" s="1"/>
  <c r="G4593" i="1" s="1"/>
  <c r="G4594" i="1" s="1"/>
  <c r="G4595" i="1" s="1"/>
  <c r="G4596" i="1" s="1"/>
  <c r="G4597" i="1" s="1"/>
  <c r="G4598" i="1" s="1"/>
  <c r="G4599" i="1" s="1"/>
  <c r="G4600" i="1" s="1"/>
  <c r="G4601" i="1" s="1"/>
  <c r="G4602" i="1" s="1"/>
  <c r="G4603" i="1" s="1"/>
  <c r="G4604" i="1" s="1"/>
  <c r="G4605" i="1" s="1"/>
  <c r="G4606" i="1" s="1"/>
  <c r="G4607" i="1" s="1"/>
  <c r="G4608" i="1" s="1"/>
  <c r="G4609" i="1" s="1"/>
  <c r="G4610" i="1" s="1"/>
  <c r="G4611" i="1" s="1"/>
  <c r="G4612" i="1" s="1"/>
  <c r="G4613" i="1" s="1"/>
  <c r="G4614" i="1" s="1"/>
  <c r="G4615" i="1" s="1"/>
  <c r="G4616" i="1" s="1"/>
  <c r="G4617" i="1" s="1"/>
  <c r="G4618" i="1" s="1"/>
  <c r="G4619" i="1" s="1"/>
  <c r="G4620" i="1" s="1"/>
  <c r="G4621" i="1" s="1"/>
  <c r="G4622" i="1" s="1"/>
  <c r="G4623" i="1" s="1"/>
  <c r="G4624" i="1" s="1"/>
  <c r="G4625" i="1" s="1"/>
  <c r="G4626" i="1" s="1"/>
  <c r="G4627" i="1" s="1"/>
  <c r="G4628" i="1" s="1"/>
  <c r="G4629" i="1" s="1"/>
  <c r="G4630" i="1" s="1"/>
  <c r="G4631" i="1" s="1"/>
  <c r="G4632" i="1" s="1"/>
  <c r="G4633" i="1" s="1"/>
  <c r="G4634" i="1" s="1"/>
  <c r="G4635" i="1" s="1"/>
  <c r="G4636" i="1" s="1"/>
  <c r="G4637" i="1" s="1"/>
  <c r="G4638" i="1" s="1"/>
  <c r="G4639" i="1" s="1"/>
  <c r="G4640" i="1" s="1"/>
  <c r="G4641" i="1" s="1"/>
  <c r="G4642" i="1" s="1"/>
  <c r="G4643" i="1" s="1"/>
  <c r="G4644" i="1" s="1"/>
  <c r="G4645" i="1" s="1"/>
  <c r="G4646" i="1" s="1"/>
  <c r="G4647" i="1" s="1"/>
  <c r="G4648" i="1" s="1"/>
  <c r="G4649" i="1" s="1"/>
  <c r="G4650" i="1" s="1"/>
  <c r="G4651" i="1" s="1"/>
  <c r="G4652" i="1" s="1"/>
  <c r="G4653" i="1" s="1"/>
  <c r="G4654" i="1" s="1"/>
  <c r="G4655" i="1" s="1"/>
  <c r="G4656" i="1" s="1"/>
  <c r="G4657" i="1" s="1"/>
  <c r="G4658" i="1" s="1"/>
  <c r="G4659" i="1" s="1"/>
  <c r="G4660" i="1" s="1"/>
  <c r="G4661" i="1" s="1"/>
  <c r="G4662" i="1" s="1"/>
  <c r="G4663" i="1" s="1"/>
  <c r="G4664" i="1" s="1"/>
  <c r="G4665" i="1" s="1"/>
  <c r="G4666" i="1" s="1"/>
  <c r="G4667" i="1" s="1"/>
  <c r="G4668" i="1" s="1"/>
  <c r="G4669" i="1" s="1"/>
  <c r="G4670" i="1" s="1"/>
  <c r="G4671" i="1" s="1"/>
  <c r="G4672" i="1" s="1"/>
  <c r="G4673" i="1" s="1"/>
  <c r="C3629" i="1"/>
  <c r="C3616" i="1"/>
  <c r="A3523" i="1"/>
  <c r="J3523" i="1" a="1"/>
  <c r="J3523" i="1" s="1"/>
  <c r="F3523" i="1"/>
  <c r="F3524" i="1" s="1"/>
  <c r="G3523" i="1"/>
  <c r="I3523" i="1" a="1"/>
  <c r="I3523" i="1" s="1"/>
  <c r="K3523" i="1" a="1"/>
  <c r="K3523" i="1" s="1"/>
  <c r="L3523" i="1" a="1"/>
  <c r="L3523" i="1" s="1"/>
  <c r="M3523" i="1" a="1"/>
  <c r="M3523" i="1" s="1"/>
  <c r="P3523" i="1" a="1"/>
  <c r="P3523" i="1"/>
  <c r="A3524" i="1"/>
  <c r="B3524" i="1"/>
  <c r="B3525" i="1" s="1"/>
  <c r="G3524" i="1"/>
  <c r="G3525" i="1" s="1"/>
  <c r="I3524" i="1" a="1"/>
  <c r="I3524" i="1" s="1"/>
  <c r="L3524" i="1" a="1"/>
  <c r="L3524" i="1" s="1"/>
  <c r="M3524" i="1" a="1"/>
  <c r="M3524" i="1" s="1"/>
  <c r="N3524" i="1" a="1"/>
  <c r="N3524" i="1" s="1"/>
  <c r="A3525" i="1"/>
  <c r="F3525" i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A3526" i="1"/>
  <c r="G3526" i="1"/>
  <c r="G3527" i="1"/>
  <c r="G3528" i="1" s="1"/>
  <c r="G3529" i="1" s="1"/>
  <c r="G3530" i="1" s="1"/>
  <c r="G3531" i="1" s="1"/>
  <c r="G3532" i="1" s="1"/>
  <c r="G3533" i="1" s="1"/>
  <c r="G3534" i="1"/>
  <c r="G3535" i="1" s="1"/>
  <c r="G3536" i="1" s="1"/>
  <c r="G3537" i="1" s="1"/>
  <c r="G3538" i="1" s="1"/>
  <c r="G3539" i="1" s="1"/>
  <c r="G3540" i="1" s="1"/>
  <c r="G3541" i="1" s="1"/>
  <c r="G3542" i="1" s="1"/>
  <c r="G3543" i="1"/>
  <c r="G3544" i="1" s="1"/>
  <c r="G3545" i="1" s="1"/>
  <c r="G3546" i="1" s="1"/>
  <c r="G3547" i="1" s="1"/>
  <c r="G3548" i="1" s="1"/>
  <c r="G3549" i="1" s="1"/>
  <c r="G3550" i="1"/>
  <c r="G3551" i="1" s="1"/>
  <c r="G3552" i="1" s="1"/>
  <c r="G3553" i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C3382" i="1"/>
  <c r="A3251" i="1"/>
  <c r="B3251" i="1"/>
  <c r="J3251" i="1" s="1" a="1"/>
  <c r="J3251" i="1" s="1"/>
  <c r="C3251" i="1"/>
  <c r="F3251" i="1"/>
  <c r="G3251" i="1"/>
  <c r="H3251" i="1"/>
  <c r="M3251" i="1" a="1"/>
  <c r="M3251" i="1" s="1"/>
  <c r="A3252" i="1"/>
  <c r="B3252" i="1"/>
  <c r="F3252" i="1"/>
  <c r="G3252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383" i="1" s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F3253" i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G3253" i="1"/>
  <c r="G3254" i="1"/>
  <c r="G3255" i="1" s="1"/>
  <c r="G3256" i="1" s="1"/>
  <c r="G3257" i="1" s="1"/>
  <c r="G3258" i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/>
  <c r="G3316" i="1" s="1"/>
  <c r="G3317" i="1"/>
  <c r="G3318" i="1" s="1"/>
  <c r="G3319" i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F3248" i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9" i="1" s="1"/>
  <c r="F3250" i="1" s="1"/>
  <c r="A50" i="2"/>
  <c r="A51" i="2" s="1"/>
  <c r="A49" i="2"/>
  <c r="A114" i="2" l="1"/>
  <c r="I3525" i="1" a="1"/>
  <c r="I3525" i="1" s="1"/>
  <c r="N3525" i="1" a="1"/>
  <c r="N3525" i="1" s="1"/>
  <c r="K3525" i="1" a="1"/>
  <c r="K3525" i="1" s="1"/>
  <c r="M3525" i="1" a="1"/>
  <c r="M3525" i="1" s="1"/>
  <c r="C3524" i="1"/>
  <c r="H3523" i="1"/>
  <c r="O3523" i="1" a="1"/>
  <c r="O3523" i="1" s="1"/>
  <c r="A3527" i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H3252" i="1"/>
  <c r="K3252" i="1" a="1"/>
  <c r="K3252" i="1" s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B3253" i="1"/>
  <c r="J3252" i="1" a="1"/>
  <c r="J3252" i="1" s="1"/>
  <c r="N3252" i="1" a="1"/>
  <c r="N3252" i="1" s="1"/>
  <c r="I3251" i="1" a="1"/>
  <c r="I3251" i="1" s="1"/>
  <c r="A3253" i="1"/>
  <c r="P3251" i="1" a="1"/>
  <c r="P3251" i="1" s="1"/>
  <c r="L3251" i="1" a="1"/>
  <c r="L3251" i="1" s="1"/>
  <c r="O3251" i="1" a="1"/>
  <c r="O3251" i="1" s="1"/>
  <c r="K3251" i="1" a="1"/>
  <c r="K3251" i="1" s="1"/>
  <c r="N3251" i="1" a="1"/>
  <c r="N3251" i="1" s="1"/>
  <c r="A52" i="2"/>
  <c r="A53" i="2" s="1"/>
  <c r="A115" i="2" l="1"/>
  <c r="P3526" i="1" a="1"/>
  <c r="P3526" i="1" s="1"/>
  <c r="L3526" i="1" a="1"/>
  <c r="L3526" i="1" s="1"/>
  <c r="K3526" i="1" a="1"/>
  <c r="K3526" i="1" s="1"/>
  <c r="N3526" i="1" a="1"/>
  <c r="N3526" i="1" s="1"/>
  <c r="H3524" i="1"/>
  <c r="J3527" i="1" a="1"/>
  <c r="J3527" i="1" s="1"/>
  <c r="N3527" i="1" a="1"/>
  <c r="N3527" i="1" s="1"/>
  <c r="L3527" i="1" a="1"/>
  <c r="L3527" i="1" s="1"/>
  <c r="P3527" i="1" a="1"/>
  <c r="P3527" i="1" s="1"/>
  <c r="M3527" i="1" a="1"/>
  <c r="M3527" i="1" s="1"/>
  <c r="K3527" i="1" a="1"/>
  <c r="K3527" i="1" s="1"/>
  <c r="A3528" i="1"/>
  <c r="L3253" i="1" a="1"/>
  <c r="L3253" i="1" s="1"/>
  <c r="P3253" i="1" a="1"/>
  <c r="P3253" i="1" s="1"/>
  <c r="I3253" i="1" a="1"/>
  <c r="I3253" i="1" s="1"/>
  <c r="M3253" i="1" a="1"/>
  <c r="M3253" i="1" s="1"/>
  <c r="B3254" i="1"/>
  <c r="J3253" i="1" a="1"/>
  <c r="J3253" i="1" s="1"/>
  <c r="N3253" i="1" a="1"/>
  <c r="N3253" i="1" s="1"/>
  <c r="K3253" i="1" a="1"/>
  <c r="K3253" i="1" s="1"/>
  <c r="O3253" i="1" a="1"/>
  <c r="O3253" i="1" s="1"/>
  <c r="H3253" i="1"/>
  <c r="A3254" i="1"/>
  <c r="B3165" i="1"/>
  <c r="A117" i="2" l="1"/>
  <c r="I3526" i="1" a="1"/>
  <c r="I3526" i="1" s="1"/>
  <c r="H3525" i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A3529" i="1"/>
  <c r="I3254" i="1" a="1"/>
  <c r="I3254" i="1" s="1"/>
  <c r="M3254" i="1" a="1"/>
  <c r="M3254" i="1" s="1"/>
  <c r="B3255" i="1"/>
  <c r="J3254" i="1" a="1"/>
  <c r="J3254" i="1" s="1"/>
  <c r="N3254" i="1" a="1"/>
  <c r="N3254" i="1" s="1"/>
  <c r="K3254" i="1" a="1"/>
  <c r="K3254" i="1" s="1"/>
  <c r="O3254" i="1" a="1"/>
  <c r="O3254" i="1" s="1"/>
  <c r="L3254" i="1" a="1"/>
  <c r="L3254" i="1" s="1"/>
  <c r="P3254" i="1" a="1"/>
  <c r="P3254" i="1" s="1"/>
  <c r="A3255" i="1"/>
  <c r="H3254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H3526" i="1"/>
  <c r="O3526" i="1" a="1"/>
  <c r="O3526" i="1" s="1"/>
  <c r="A3530" i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J3255" i="1" a="1"/>
  <c r="J3255" i="1" s="1"/>
  <c r="N3255" i="1" a="1"/>
  <c r="N3255" i="1" s="1"/>
  <c r="K3255" i="1" a="1"/>
  <c r="K3255" i="1" s="1"/>
  <c r="O3255" i="1" a="1"/>
  <c r="O3255" i="1" s="1"/>
  <c r="L3255" i="1" a="1"/>
  <c r="L3255" i="1" s="1"/>
  <c r="P3255" i="1" a="1"/>
  <c r="P3255" i="1" s="1"/>
  <c r="I3255" i="1" a="1"/>
  <c r="I3255" i="1" s="1"/>
  <c r="M3255" i="1" a="1"/>
  <c r="M3255" i="1" s="1"/>
  <c r="B3256" i="1"/>
  <c r="H3255" i="1"/>
  <c r="A3256" i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I3166" i="1" s="1" a="1"/>
  <c r="I3166" i="1" s="1"/>
  <c r="H3165" i="1"/>
  <c r="A119" i="2" l="1"/>
  <c r="H3527" i="1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A3531" i="1"/>
  <c r="H3256" i="1"/>
  <c r="A3257" i="1"/>
  <c r="K3256" i="1" a="1"/>
  <c r="K3256" i="1" s="1"/>
  <c r="O3256" i="1" a="1"/>
  <c r="O3256" i="1" s="1"/>
  <c r="L3256" i="1" a="1"/>
  <c r="L3256" i="1" s="1"/>
  <c r="P3256" i="1" a="1"/>
  <c r="P3256" i="1" s="1"/>
  <c r="I3256" i="1" a="1"/>
  <c r="I3256" i="1" s="1"/>
  <c r="M3256" i="1" a="1"/>
  <c r="M3256" i="1" s="1"/>
  <c r="B3257" i="1"/>
  <c r="J3256" i="1" a="1"/>
  <c r="J3256" i="1" s="1"/>
  <c r="N3256" i="1" a="1"/>
  <c r="N3256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H3528" i="1"/>
  <c r="O3528" i="1" a="1"/>
  <c r="O3528" i="1" s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A3532" i="1"/>
  <c r="H3257" i="1"/>
  <c r="A3258" i="1"/>
  <c r="L3257" i="1" a="1"/>
  <c r="L3257" i="1" s="1"/>
  <c r="P3257" i="1" a="1"/>
  <c r="P3257" i="1" s="1"/>
  <c r="I3257" i="1" a="1"/>
  <c r="I3257" i="1" s="1"/>
  <c r="M3257" i="1" a="1"/>
  <c r="M3257" i="1" s="1"/>
  <c r="B3258" i="1"/>
  <c r="J3257" i="1" a="1"/>
  <c r="J3257" i="1" s="1"/>
  <c r="N3257" i="1" a="1"/>
  <c r="N3257" i="1" s="1"/>
  <c r="K3257" i="1" a="1"/>
  <c r="K3257" i="1" s="1"/>
  <c r="O3257" i="1" a="1"/>
  <c r="O3257" i="1" s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H3529" i="1"/>
  <c r="O3529" i="1" a="1"/>
  <c r="O3529" i="1" s="1"/>
  <c r="A3533" i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I3258" i="1" a="1"/>
  <c r="I3258" i="1" s="1"/>
  <c r="M3258" i="1" a="1"/>
  <c r="M3258" i="1" s="1"/>
  <c r="B3259" i="1"/>
  <c r="J3258" i="1" a="1"/>
  <c r="J3258" i="1" s="1"/>
  <c r="N3258" i="1" a="1"/>
  <c r="N3258" i="1" s="1"/>
  <c r="K3258" i="1" a="1"/>
  <c r="K3258" i="1" s="1"/>
  <c r="O3258" i="1" a="1"/>
  <c r="O3258" i="1" s="1"/>
  <c r="P3258" i="1" a="1"/>
  <c r="P3258" i="1" s="1"/>
  <c r="L3258" i="1" a="1"/>
  <c r="L3258" i="1" s="1"/>
  <c r="A3259" i="1"/>
  <c r="H3258" i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H3530" i="1"/>
  <c r="O3530" i="1" a="1"/>
  <c r="O3530" i="1" s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A3534" i="1"/>
  <c r="J3259" i="1" a="1"/>
  <c r="J3259" i="1" s="1"/>
  <c r="N3259" i="1" a="1"/>
  <c r="N3259" i="1" s="1"/>
  <c r="K3259" i="1" a="1"/>
  <c r="K3259" i="1" s="1"/>
  <c r="O3259" i="1" a="1"/>
  <c r="O3259" i="1" s="1"/>
  <c r="L3259" i="1" a="1"/>
  <c r="L3259" i="1" s="1"/>
  <c r="P3259" i="1" a="1"/>
  <c r="P3259" i="1" s="1"/>
  <c r="B3260" i="1"/>
  <c r="I3259" i="1" a="1"/>
  <c r="I3259" i="1" s="1"/>
  <c r="M3259" i="1" a="1"/>
  <c r="M3259" i="1" s="1"/>
  <c r="H3259" i="1"/>
  <c r="A3260" i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O3531" i="1" a="1"/>
  <c r="O3531" i="1" s="1"/>
  <c r="H3531" i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A3535" i="1"/>
  <c r="H3260" i="1"/>
  <c r="A3261" i="1"/>
  <c r="K3260" i="1" a="1"/>
  <c r="K3260" i="1" s="1"/>
  <c r="O3260" i="1" a="1"/>
  <c r="O3260" i="1" s="1"/>
  <c r="L3260" i="1" a="1"/>
  <c r="L3260" i="1" s="1"/>
  <c r="P3260" i="1" a="1"/>
  <c r="P3260" i="1" s="1"/>
  <c r="I3260" i="1" a="1"/>
  <c r="I3260" i="1" s="1"/>
  <c r="M3260" i="1" a="1"/>
  <c r="M3260" i="1" s="1"/>
  <c r="B3261" i="1"/>
  <c r="J3260" i="1" a="1"/>
  <c r="J3260" i="1" s="1"/>
  <c r="N3260" i="1" a="1"/>
  <c r="N3260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O3532" i="1" a="1"/>
  <c r="O3532" i="1" s="1"/>
  <c r="H3532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A3536" i="1"/>
  <c r="H3261" i="1"/>
  <c r="A3262" i="1"/>
  <c r="L3261" i="1" a="1"/>
  <c r="L3261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K3261" i="1" a="1"/>
  <c r="K3261" i="1" s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O3533" i="1" a="1"/>
  <c r="O3533" i="1" s="1"/>
  <c r="H3533" i="1"/>
  <c r="A3537" i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A3263" i="1"/>
  <c r="H3262" i="1"/>
  <c r="I3262" i="1" a="1"/>
  <c r="I3262" i="1" s="1"/>
  <c r="M3262" i="1" a="1"/>
  <c r="M3262" i="1" s="1"/>
  <c r="B3263" i="1"/>
  <c r="J3262" i="1" a="1"/>
  <c r="J3262" i="1" s="1"/>
  <c r="N3262" i="1" a="1"/>
  <c r="N3262" i="1" s="1"/>
  <c r="K3262" i="1" a="1"/>
  <c r="K3262" i="1" s="1"/>
  <c r="O3262" i="1" a="1"/>
  <c r="O3262" i="1" s="1"/>
  <c r="L3262" i="1" a="1"/>
  <c r="L3262" i="1" s="1"/>
  <c r="P3262" i="1" a="1"/>
  <c r="P3262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O3534" i="1" a="1"/>
  <c r="O3534" i="1" s="1"/>
  <c r="H3534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A3538" i="1"/>
  <c r="J3263" i="1" a="1"/>
  <c r="J3263" i="1" s="1"/>
  <c r="N3263" i="1" a="1"/>
  <c r="N3263" i="1" s="1"/>
  <c r="K3263" i="1" a="1"/>
  <c r="K3263" i="1" s="1"/>
  <c r="O3263" i="1" a="1"/>
  <c r="O3263" i="1" s="1"/>
  <c r="L3263" i="1" a="1"/>
  <c r="L3263" i="1" s="1"/>
  <c r="P3263" i="1" a="1"/>
  <c r="P3263" i="1" s="1"/>
  <c r="I3263" i="1" a="1"/>
  <c r="I3263" i="1" s="1"/>
  <c r="M3263" i="1" a="1"/>
  <c r="M3263" i="1" s="1"/>
  <c r="H3263" i="1"/>
  <c r="A3264" i="1"/>
  <c r="J3174" i="1" a="1"/>
  <c r="J3174" i="1" s="1"/>
  <c r="K3174" i="1" a="1"/>
  <c r="K3174" i="1" s="1"/>
  <c r="M3174" i="1" a="1"/>
  <c r="M3174" i="1" s="1"/>
  <c r="B3175" i="1"/>
  <c r="N3174" i="1" a="1"/>
  <c r="N3174" i="1" s="1"/>
  <c r="I3174" i="1" a="1"/>
  <c r="I3174" i="1" s="1"/>
  <c r="O3174" i="1" a="1"/>
  <c r="O3174" i="1" s="1"/>
  <c r="L3174" i="1" a="1"/>
  <c r="L3174" i="1" s="1"/>
  <c r="P3174" i="1" a="1"/>
  <c r="P3174" i="1" s="1"/>
  <c r="A3174" i="1"/>
  <c r="H3173" i="1"/>
  <c r="I3535" i="1" l="1" a="1"/>
  <c r="I3535" i="1" s="1"/>
  <c r="L3535" i="1" a="1"/>
  <c r="L3535" i="1" s="1"/>
  <c r="H3535" i="1"/>
  <c r="O3535" i="1" a="1"/>
  <c r="O3535" i="1" s="1"/>
  <c r="A3539" i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H3264" i="1"/>
  <c r="A3265" i="1"/>
  <c r="K3264" i="1" a="1"/>
  <c r="K3264" i="1" s="1"/>
  <c r="O3264" i="1" a="1"/>
  <c r="O3264" i="1" s="1"/>
  <c r="L3264" i="1" a="1"/>
  <c r="L3264" i="1" s="1"/>
  <c r="P3264" i="1" a="1"/>
  <c r="P3264" i="1" s="1"/>
  <c r="I3264" i="1" a="1"/>
  <c r="I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H3536" i="1"/>
  <c r="O3536" i="1" a="1"/>
  <c r="O3536" i="1" s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A3540" i="1"/>
  <c r="H3265" i="1"/>
  <c r="A3266" i="1"/>
  <c r="L3265" i="1" a="1"/>
  <c r="L3265" i="1" s="1"/>
  <c r="P3265" i="1" a="1"/>
  <c r="P3265" i="1" s="1"/>
  <c r="I3265" i="1" a="1"/>
  <c r="I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H3537" i="1"/>
  <c r="O3537" i="1" a="1"/>
  <c r="O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A3541" i="1"/>
  <c r="I3266" i="1" a="1"/>
  <c r="I3266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A3267" i="1"/>
  <c r="H3266" i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O3538" i="1" a="1"/>
  <c r="O3538" i="1" s="1"/>
  <c r="H3538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A3542" i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I3267" i="1" a="1"/>
  <c r="I3267" i="1" s="1"/>
  <c r="H3267" i="1"/>
  <c r="A3268" i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H3539" i="1"/>
  <c r="O3539" i="1" a="1"/>
  <c r="O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A3543" i="1"/>
  <c r="K3268" i="1" a="1"/>
  <c r="K3268" i="1" s="1"/>
  <c r="O3268" i="1" a="1"/>
  <c r="O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H3268" i="1"/>
  <c r="A3269" i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O3540" i="1" a="1"/>
  <c r="O3540" i="1" s="1"/>
  <c r="H3540" i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A3544" i="1"/>
  <c r="H3269" i="1"/>
  <c r="A3270" i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O3269" i="1" a="1"/>
  <c r="O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H3541" i="1"/>
  <c r="O3541" i="1" a="1"/>
  <c r="O3541" i="1" s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A3545" i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O3270" i="1" a="1"/>
  <c r="O3270" i="1" s="1"/>
  <c r="L3270" i="1" a="1"/>
  <c r="L3270" i="1" s="1"/>
  <c r="P3270" i="1" a="1"/>
  <c r="P3270" i="1" s="1"/>
  <c r="A3271" i="1"/>
  <c r="H3270" i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H3542" i="1"/>
  <c r="O3542" i="1" a="1"/>
  <c r="O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A3546" i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I3271" i="1" a="1"/>
  <c r="I3271" i="1" s="1"/>
  <c r="M3271" i="1" a="1"/>
  <c r="M3271" i="1" s="1"/>
  <c r="H3271" i="1"/>
  <c r="A3272" i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H3543" i="1"/>
  <c r="O3543" i="1" a="1"/>
  <c r="O3543" i="1" s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A3547" i="1"/>
  <c r="K3272" i="1" a="1"/>
  <c r="K3272" i="1" s="1"/>
  <c r="O3272" i="1" a="1"/>
  <c r="O3272" i="1" s="1"/>
  <c r="L3272" i="1" a="1"/>
  <c r="L3272" i="1" s="1"/>
  <c r="P3272" i="1" a="1"/>
  <c r="P3272" i="1" s="1"/>
  <c r="I3272" i="1" a="1"/>
  <c r="I3272" i="1" s="1"/>
  <c r="M3272" i="1" a="1"/>
  <c r="M3272" i="1" s="1"/>
  <c r="B3273" i="1"/>
  <c r="J3272" i="1" a="1"/>
  <c r="J3272" i="1" s="1"/>
  <c r="N3272" i="1" a="1"/>
  <c r="N3272" i="1" s="1"/>
  <c r="H3272" i="1"/>
  <c r="A3273" i="1"/>
  <c r="A3183" i="1"/>
  <c r="H3182" i="1"/>
  <c r="K3183" i="1" a="1"/>
  <c r="K3183" i="1" s="1"/>
  <c r="O3183" i="1" a="1"/>
  <c r="O3183" i="1" s="1"/>
  <c r="N3183" i="1" a="1"/>
  <c r="N3183" i="1" s="1"/>
  <c r="I3183" i="1" a="1"/>
  <c r="I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O3544" i="1" a="1"/>
  <c r="O3544" i="1" s="1"/>
  <c r="H3544" i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A3548" i="1"/>
  <c r="L3273" i="1" a="1"/>
  <c r="L3273" i="1" s="1"/>
  <c r="P3273" i="1" a="1"/>
  <c r="P3273" i="1" s="1"/>
  <c r="I3273" i="1" a="1"/>
  <c r="I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H3273" i="1"/>
  <c r="A3274" i="1"/>
  <c r="J3184" i="1" a="1"/>
  <c r="J3184" i="1" s="1"/>
  <c r="N3184" i="1" a="1"/>
  <c r="N3184" i="1" s="1"/>
  <c r="K3184" i="1" a="1"/>
  <c r="K3184" i="1" s="1"/>
  <c r="O3184" i="1" a="1"/>
  <c r="O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I3545" i="1" l="1" a="1"/>
  <c r="I3545" i="1" s="1"/>
  <c r="L3545" i="1" a="1"/>
  <c r="L3545" i="1" s="1"/>
  <c r="C3546" i="1"/>
  <c r="H3545" i="1"/>
  <c r="O3545" i="1" a="1"/>
  <c r="O3545" i="1" s="1"/>
  <c r="A3549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I3274" i="1" a="1"/>
  <c r="I3274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A3275" i="1"/>
  <c r="H3274" i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H3546" i="1"/>
  <c r="O3546" i="1" a="1"/>
  <c r="O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A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I3275" i="1" a="1"/>
  <c r="I3275" i="1" s="1"/>
  <c r="M3275" i="1" a="1"/>
  <c r="M3275" i="1" s="1"/>
  <c r="H3275" i="1"/>
  <c r="A3276" i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H3547" i="1"/>
  <c r="O3547" i="1" a="1"/>
  <c r="O3547" i="1" s="1"/>
  <c r="A3551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I3276" i="1" a="1"/>
  <c r="I3276" i="1" s="1"/>
  <c r="M3276" i="1" a="1"/>
  <c r="M3276" i="1" s="1"/>
  <c r="J3276" i="1" a="1"/>
  <c r="J3276" i="1" s="1"/>
  <c r="N3276" i="1" a="1"/>
  <c r="N3276" i="1" s="1"/>
  <c r="H3276" i="1"/>
  <c r="A3277" i="1"/>
  <c r="M3187" i="1" a="1"/>
  <c r="M3187" i="1" s="1"/>
  <c r="B3188" i="1"/>
  <c r="P3187" i="1" a="1"/>
  <c r="P3187" i="1" s="1"/>
  <c r="K3187" i="1" a="1"/>
  <c r="K3187" i="1" s="1"/>
  <c r="L3187" i="1" a="1"/>
  <c r="L3187" i="1" s="1"/>
  <c r="O3187" i="1" a="1"/>
  <c r="O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I3548" i="1" l="1" a="1"/>
  <c r="I3548" i="1" s="1"/>
  <c r="L3548" i="1" a="1"/>
  <c r="L3548" i="1" s="1"/>
  <c r="O3548" i="1" a="1"/>
  <c r="O3548" i="1" s="1"/>
  <c r="H3548" i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A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O3277" i="1" a="1"/>
  <c r="O3277" i="1" s="1"/>
  <c r="P3277" i="1" a="1"/>
  <c r="P3277" i="1" s="1"/>
  <c r="L3277" i="1" a="1"/>
  <c r="L3277" i="1" s="1"/>
  <c r="H3277" i="1"/>
  <c r="A3278" i="1"/>
  <c r="H3187" i="1"/>
  <c r="A3188" i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O3188" i="1" a="1"/>
  <c r="O3188" i="1" s="1"/>
  <c r="K3188" i="1" a="1"/>
  <c r="K3188" i="1" s="1"/>
  <c r="I3549" i="1" l="1" a="1"/>
  <c r="I3549" i="1" s="1"/>
  <c r="L3549" i="1" a="1"/>
  <c r="L3549" i="1" s="1"/>
  <c r="C3550" i="1"/>
  <c r="O3549" i="1" a="1"/>
  <c r="O3549" i="1" s="1"/>
  <c r="H3549" i="1"/>
  <c r="A3553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H3278" i="1"/>
  <c r="A3279" i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O3278" i="1" a="1"/>
  <c r="O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O3189" i="1" a="1"/>
  <c r="O3189" i="1" s="1"/>
  <c r="K3189" i="1" a="1"/>
  <c r="K3189" i="1" s="1"/>
  <c r="M3189" i="1" a="1"/>
  <c r="M3189" i="1" s="1"/>
  <c r="I3550" i="1" l="1" a="1"/>
  <c r="I3550" i="1" s="1"/>
  <c r="L3550" i="1" a="1"/>
  <c r="L3550" i="1" s="1"/>
  <c r="H3550" i="1"/>
  <c r="O3550" i="1" a="1"/>
  <c r="O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A3554" i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O3279" i="1" a="1"/>
  <c r="O3279" i="1" s="1"/>
  <c r="P3279" i="1" a="1"/>
  <c r="P3279" i="1" s="1"/>
  <c r="J3279" i="1" a="1"/>
  <c r="J3279" i="1" s="1"/>
  <c r="H3279" i="1"/>
  <c r="A3280" i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I3551" i="1" l="1" a="1"/>
  <c r="I3551" i="1" s="1"/>
  <c r="L3551" i="1" a="1"/>
  <c r="L3551" i="1" s="1"/>
  <c r="C3552" i="1"/>
  <c r="H3551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A3555" i="1"/>
  <c r="H3280" i="1"/>
  <c r="A3281" i="1"/>
  <c r="B3281" i="1"/>
  <c r="M3280" i="1" a="1"/>
  <c r="M3280" i="1" s="1"/>
  <c r="N3280" i="1" a="1"/>
  <c r="N3280" i="1" s="1"/>
  <c r="I3280" i="1" a="1"/>
  <c r="I3280" i="1" s="1"/>
  <c r="O3280" i="1" a="1"/>
  <c r="O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O3191" i="1" a="1"/>
  <c r="O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I3552" i="1" l="1" a="1"/>
  <c r="I3552" i="1" s="1"/>
  <c r="L3552" i="1" a="1"/>
  <c r="L3552" i="1" s="1"/>
  <c r="H3552" i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A3556" i="1"/>
  <c r="B3282" i="1"/>
  <c r="O3281" i="1" a="1"/>
  <c r="O3281" i="1" s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281" i="1"/>
  <c r="A3282" i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O3192" i="1" a="1"/>
  <c r="O3192" i="1" s="1"/>
  <c r="L3192" i="1" a="1"/>
  <c r="L3192" i="1" s="1"/>
  <c r="P3192" i="1" a="1"/>
  <c r="P3192" i="1" s="1"/>
  <c r="M3192" i="1" a="1"/>
  <c r="M3192" i="1" s="1"/>
  <c r="B3193" i="1"/>
  <c r="I3553" i="1" l="1" a="1"/>
  <c r="I3553" i="1" s="1"/>
  <c r="L3553" i="1" a="1"/>
  <c r="L3553" i="1" s="1"/>
  <c r="O3553" i="1" a="1"/>
  <c r="O3553" i="1" s="1"/>
  <c r="H3553" i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A3557" i="1"/>
  <c r="H3282" i="1"/>
  <c r="A3283" i="1"/>
  <c r="J3282" i="1" a="1"/>
  <c r="J3282" i="1" s="1"/>
  <c r="N3282" i="1" a="1"/>
  <c r="N3282" i="1" s="1"/>
  <c r="L3282" i="1" a="1"/>
  <c r="L3282" i="1" s="1"/>
  <c r="P3282" i="1" a="1"/>
  <c r="P3282" i="1" s="1"/>
  <c r="O3282" i="1" a="1"/>
  <c r="O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I3554" i="1" l="1" a="1"/>
  <c r="I3554" i="1" s="1"/>
  <c r="L3554" i="1" a="1"/>
  <c r="L3554" i="1" s="1"/>
  <c r="C3555" i="1"/>
  <c r="O3554" i="1" a="1"/>
  <c r="O3554" i="1" s="1"/>
  <c r="H3554" i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A3558" i="1"/>
  <c r="K3283" i="1" a="1"/>
  <c r="K3283" i="1" s="1"/>
  <c r="O3283" i="1" a="1"/>
  <c r="O3283" i="1" s="1"/>
  <c r="I3283" i="1" a="1"/>
  <c r="I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283" i="1"/>
  <c r="A3284" i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I3555" i="1" l="1" a="1"/>
  <c r="I3555" i="1" s="1"/>
  <c r="L3555" i="1" a="1"/>
  <c r="L3555" i="1" s="1"/>
  <c r="O3555" i="1" a="1"/>
  <c r="O3555" i="1" s="1"/>
  <c r="H3555" i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A3559" i="1"/>
  <c r="L3284" i="1" a="1"/>
  <c r="L3284" i="1" s="1"/>
  <c r="P3284" i="1" a="1"/>
  <c r="P3284" i="1" s="1"/>
  <c r="B3285" i="1"/>
  <c r="J3284" i="1" a="1"/>
  <c r="J3284" i="1" s="1"/>
  <c r="N3284" i="1" a="1"/>
  <c r="N3284" i="1" s="1"/>
  <c r="I3284" i="1" a="1"/>
  <c r="I3284" i="1" s="1"/>
  <c r="K3284" i="1" a="1"/>
  <c r="K3284" i="1" s="1"/>
  <c r="M3284" i="1" a="1"/>
  <c r="M3284" i="1" s="1"/>
  <c r="O3284" i="1" a="1"/>
  <c r="O3284" i="1" s="1"/>
  <c r="H3284" i="1"/>
  <c r="A3285" i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O3195" i="1" a="1"/>
  <c r="O3195" i="1" s="1"/>
  <c r="P3195" i="1" a="1"/>
  <c r="P3195" i="1" s="1"/>
  <c r="J3195" i="1" a="1"/>
  <c r="J3195" i="1" s="1"/>
  <c r="K3195" i="1" a="1"/>
  <c r="K3195" i="1" s="1"/>
  <c r="I3556" i="1" l="1" a="1"/>
  <c r="I3556" i="1" s="1"/>
  <c r="L3556" i="1" a="1"/>
  <c r="L3556" i="1" s="1"/>
  <c r="C3557" i="1"/>
  <c r="H3556" i="1"/>
  <c r="O3556" i="1" a="1"/>
  <c r="O3556" i="1" s="1"/>
  <c r="A3560" i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A3286" i="1"/>
  <c r="H3285" i="1"/>
  <c r="I3285" i="1" a="1"/>
  <c r="I3285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I3557" i="1" l="1" a="1"/>
  <c r="I3557" i="1" s="1"/>
  <c r="L3557" i="1" a="1"/>
  <c r="L3557" i="1" s="1"/>
  <c r="C3558" i="1"/>
  <c r="O3557" i="1" a="1"/>
  <c r="O3557" i="1" s="1"/>
  <c r="H3557" i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A3561" i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I3286" i="1" a="1"/>
  <c r="I3286" i="1" s="1"/>
  <c r="P3286" i="1" a="1"/>
  <c r="P3286" i="1" s="1"/>
  <c r="A3287" i="1"/>
  <c r="H3286" i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I3558" i="1" l="1" a="1"/>
  <c r="I3558" i="1" s="1"/>
  <c r="L3558" i="1" a="1"/>
  <c r="L3558" i="1" s="1"/>
  <c r="H3558" i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A3562" i="1"/>
  <c r="K3287" i="1" a="1"/>
  <c r="K3287" i="1" s="1"/>
  <c r="O3287" i="1" a="1"/>
  <c r="O3287" i="1" s="1"/>
  <c r="L3287" i="1" a="1"/>
  <c r="L3287" i="1" s="1"/>
  <c r="M3287" i="1" a="1"/>
  <c r="M3287" i="1" s="1"/>
  <c r="I3287" i="1" a="1"/>
  <c r="I3287" i="1" s="1"/>
  <c r="P3287" i="1" a="1"/>
  <c r="P3287" i="1" s="1"/>
  <c r="J3287" i="1" a="1"/>
  <c r="J3287" i="1" s="1"/>
  <c r="B3288" i="1"/>
  <c r="N3287" i="1" a="1"/>
  <c r="N3287" i="1" s="1"/>
  <c r="H3287" i="1"/>
  <c r="A3288" i="1"/>
  <c r="H3197" i="1"/>
  <c r="A3198" i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O3198" i="1" a="1"/>
  <c r="O3198" i="1" s="1"/>
  <c r="P3198" i="1" a="1"/>
  <c r="P3198" i="1" s="1"/>
  <c r="L3198" i="1" a="1"/>
  <c r="L3198" i="1" s="1"/>
  <c r="B3199" i="1"/>
  <c r="I3559" i="1" l="1" a="1"/>
  <c r="I3559" i="1" s="1"/>
  <c r="L3559" i="1" a="1"/>
  <c r="L3559" i="1" s="1"/>
  <c r="O3559" i="1" a="1"/>
  <c r="O3559" i="1" s="1"/>
  <c r="H3559" i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A3563" i="1"/>
  <c r="L3288" i="1" a="1"/>
  <c r="L3288" i="1" s="1"/>
  <c r="P3288" i="1" a="1"/>
  <c r="P3288" i="1" s="1"/>
  <c r="B3289" i="1"/>
  <c r="N3288" i="1" a="1"/>
  <c r="N3288" i="1" s="1"/>
  <c r="I3288" i="1" a="1"/>
  <c r="I3288" i="1" s="1"/>
  <c r="O3288" i="1" a="1"/>
  <c r="O3288" i="1" s="1"/>
  <c r="K3288" i="1" a="1"/>
  <c r="K3288" i="1" s="1"/>
  <c r="M3288" i="1" a="1"/>
  <c r="M3288" i="1" s="1"/>
  <c r="J3288" i="1" a="1"/>
  <c r="J3288" i="1" s="1"/>
  <c r="H3288" i="1"/>
  <c r="A3289" i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I3560" i="1" l="1" a="1"/>
  <c r="I3560" i="1" s="1"/>
  <c r="L3560" i="1" a="1"/>
  <c r="L3560" i="1" s="1"/>
  <c r="C3561" i="1"/>
  <c r="O3560" i="1" a="1"/>
  <c r="O3560" i="1" s="1"/>
  <c r="H3560" i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A3564" i="1"/>
  <c r="A3290" i="1"/>
  <c r="H3289" i="1"/>
  <c r="I3289" i="1" a="1"/>
  <c r="I3289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O3200" i="1" a="1"/>
  <c r="O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I3561" i="1" l="1" a="1"/>
  <c r="I3561" i="1" s="1"/>
  <c r="L3561" i="1" a="1"/>
  <c r="L3561" i="1" s="1"/>
  <c r="O3561" i="1" a="1"/>
  <c r="O3561" i="1" s="1"/>
  <c r="H3561" i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A3565" i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I3290" i="1" a="1"/>
  <c r="I3290" i="1" s="1"/>
  <c r="P3290" i="1" a="1"/>
  <c r="P3290" i="1" s="1"/>
  <c r="M3290" i="1" a="1"/>
  <c r="M3290" i="1" s="1"/>
  <c r="A3291" i="1"/>
  <c r="H3290" i="1"/>
  <c r="L3201" i="1" a="1"/>
  <c r="L3201" i="1" s="1"/>
  <c r="B3202" i="1"/>
  <c r="N3201" i="1" a="1"/>
  <c r="N3201" i="1" s="1"/>
  <c r="O3201" i="1" a="1"/>
  <c r="O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I3562" i="1" l="1" a="1"/>
  <c r="I3562" i="1" s="1"/>
  <c r="L3562" i="1" a="1"/>
  <c r="L3562" i="1" s="1"/>
  <c r="C3563" i="1"/>
  <c r="H3562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A3566" i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I3291" i="1" a="1"/>
  <c r="I3291" i="1" s="1"/>
  <c r="H3291" i="1"/>
  <c r="A3292" i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I3563" i="1" l="1" a="1"/>
  <c r="I3563" i="1" s="1"/>
  <c r="L3563" i="1" a="1"/>
  <c r="L3563" i="1" s="1"/>
  <c r="C3564" i="1"/>
  <c r="O3563" i="1" a="1"/>
  <c r="O3563" i="1" s="1"/>
  <c r="H3563" i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A3567" i="1"/>
  <c r="L3292" i="1" a="1"/>
  <c r="L3292" i="1" s="1"/>
  <c r="P3292" i="1" a="1"/>
  <c r="P3292" i="1" s="1"/>
  <c r="B3293" i="1"/>
  <c r="I3292" i="1" a="1"/>
  <c r="I3292" i="1" s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H3292" i="1"/>
  <c r="A3293" i="1"/>
  <c r="J3203" i="1" a="1"/>
  <c r="J3203" i="1" s="1"/>
  <c r="O3203" i="1" a="1"/>
  <c r="O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I3564" i="1" l="1" a="1"/>
  <c r="I3564" i="1" s="1"/>
  <c r="L3564" i="1" a="1"/>
  <c r="L3564" i="1" s="1"/>
  <c r="O3564" i="1" a="1"/>
  <c r="O3564" i="1" s="1"/>
  <c r="H3564" i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A3568" i="1"/>
  <c r="A3294" i="1"/>
  <c r="H3293" i="1"/>
  <c r="I3293" i="1" a="1"/>
  <c r="I3293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O3204" i="1" a="1"/>
  <c r="O3204" i="1" s="1"/>
  <c r="P3204" i="1" a="1"/>
  <c r="P3204" i="1" s="1"/>
  <c r="H3203" i="1"/>
  <c r="A3204" i="1"/>
  <c r="I3204" i="1" s="1" a="1"/>
  <c r="I3204" i="1" s="1"/>
  <c r="I3565" i="1" l="1" a="1"/>
  <c r="I3565" i="1" s="1"/>
  <c r="L3565" i="1" a="1"/>
  <c r="L3565" i="1" s="1"/>
  <c r="C3566" i="1"/>
  <c r="O3565" i="1" a="1"/>
  <c r="O3565" i="1" s="1"/>
  <c r="H3565" i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A3569" i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I3294" i="1" a="1"/>
  <c r="I3294" i="1" s="1"/>
  <c r="P3294" i="1" a="1"/>
  <c r="P3294" i="1" s="1"/>
  <c r="K3294" i="1" a="1"/>
  <c r="K3294" i="1" s="1"/>
  <c r="H3294" i="1"/>
  <c r="A3295" i="1"/>
  <c r="B3206" i="1"/>
  <c r="M3205" i="1" a="1"/>
  <c r="M3205" i="1" s="1"/>
  <c r="J3205" i="1" a="1"/>
  <c r="J3205" i="1" s="1"/>
  <c r="O3205" i="1" a="1"/>
  <c r="O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H3204" i="1"/>
  <c r="I3566" i="1" l="1" a="1"/>
  <c r="I3566" i="1" s="1"/>
  <c r="L3566" i="1" a="1"/>
  <c r="L3566" i="1" s="1"/>
  <c r="O3566" i="1" a="1"/>
  <c r="O3566" i="1" s="1"/>
  <c r="H3566" i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A3570" i="1"/>
  <c r="K3295" i="1" a="1"/>
  <c r="K3295" i="1" s="1"/>
  <c r="O3295" i="1" a="1"/>
  <c r="O3295" i="1" s="1"/>
  <c r="N3295" i="1" a="1"/>
  <c r="N3295" i="1" s="1"/>
  <c r="I3295" i="1" a="1"/>
  <c r="I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95" i="1"/>
  <c r="A3296" i="1"/>
  <c r="H3205" i="1"/>
  <c r="A3206" i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O3206" i="1" a="1"/>
  <c r="O3206" i="1" s="1"/>
  <c r="I3206" i="1" a="1"/>
  <c r="I3206" i="1" s="1"/>
  <c r="I3567" i="1" l="1" a="1"/>
  <c r="I3567" i="1" s="1"/>
  <c r="L3567" i="1" a="1"/>
  <c r="L3567" i="1" s="1"/>
  <c r="C3568" i="1"/>
  <c r="H3567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A3571" i="1"/>
  <c r="L3296" i="1" a="1"/>
  <c r="L3296" i="1" s="1"/>
  <c r="P3296" i="1" a="1"/>
  <c r="P3296" i="1" s="1"/>
  <c r="B3297" i="1"/>
  <c r="I3296" i="1" a="1"/>
  <c r="I3296" i="1" s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H3296" i="1"/>
  <c r="A3297" i="1"/>
  <c r="A3207" i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O3207" i="1" a="1"/>
  <c r="O3207" i="1" s="1"/>
  <c r="P3207" i="1" a="1"/>
  <c r="P3207" i="1" s="1"/>
  <c r="K3207" i="1" a="1"/>
  <c r="K3207" i="1" s="1"/>
  <c r="L3207" i="1" a="1"/>
  <c r="L3207" i="1" s="1"/>
  <c r="I3568" i="1" l="1" a="1"/>
  <c r="I3568" i="1" s="1"/>
  <c r="L3568" i="1" a="1"/>
  <c r="L3568" i="1" s="1"/>
  <c r="O3568" i="1" a="1"/>
  <c r="O3568" i="1" s="1"/>
  <c r="H3568" i="1"/>
  <c r="A3572" i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H3297" i="1"/>
  <c r="I3297" i="1" a="1"/>
  <c r="I3297" i="1" s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I3569" i="1" l="1" a="1"/>
  <c r="I3569" i="1" s="1"/>
  <c r="L3569" i="1" a="1"/>
  <c r="L3569" i="1" s="1"/>
  <c r="C3570" i="1"/>
  <c r="O3569" i="1" a="1"/>
  <c r="O3569" i="1" s="1"/>
  <c r="H3569" i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I3298" i="1" a="1"/>
  <c r="I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H3298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I3570" i="1" l="1" a="1"/>
  <c r="I3570" i="1" s="1"/>
  <c r="L3570" i="1" a="1"/>
  <c r="L3570" i="1" s="1"/>
  <c r="C3571" i="1"/>
  <c r="O3570" i="1" a="1"/>
  <c r="O3570" i="1" s="1"/>
  <c r="H3570" i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I3299" i="1" a="1"/>
  <c r="I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O3210" i="1" s="1" a="1"/>
  <c r="O3210" i="1" s="1"/>
  <c r="H3209" i="1"/>
  <c r="I3571" i="1" l="1" a="1"/>
  <c r="I3571" i="1" s="1"/>
  <c r="L3571" i="1" a="1"/>
  <c r="L3571" i="1" s="1"/>
  <c r="O3571" i="1" a="1"/>
  <c r="O3571" i="1" s="1"/>
  <c r="H3571" i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O3300" i="1" a="1"/>
  <c r="O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I3211" i="1" s="1" a="1"/>
  <c r="I3211" i="1" s="1"/>
  <c r="H3210" i="1"/>
  <c r="A4439" i="1" l="1"/>
  <c r="I3572" i="1" a="1"/>
  <c r="I3572" i="1" s="1"/>
  <c r="L3572" i="1" a="1"/>
  <c r="L3572" i="1" s="1"/>
  <c r="O3572" i="1" a="1"/>
  <c r="O3572" i="1" s="1"/>
  <c r="H3572" i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O3301" i="1" a="1"/>
  <c r="O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I3212" i="1" s="1" a="1"/>
  <c r="I3212" i="1" s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J4438" i="1" l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L3573" i="1" a="1"/>
  <c r="L3573" i="1" s="1"/>
  <c r="O3573" i="1" a="1"/>
  <c r="O3573" i="1" s="1"/>
  <c r="H3573" i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O3302" i="1" a="1"/>
  <c r="O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s="1" a="1"/>
  <c r="I3213" i="1" s="1"/>
  <c r="K4439" i="1" l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L3574" i="1" a="1"/>
  <c r="L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O3303" i="1" a="1"/>
  <c r="O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O3214" i="1" a="1"/>
  <c r="O3214" i="1" s="1"/>
  <c r="N3214" i="1" a="1"/>
  <c r="N3214" i="1" s="1"/>
  <c r="H3213" i="1"/>
  <c r="A3214" i="1"/>
  <c r="I3214" i="1" s="1" a="1"/>
  <c r="I3214" i="1" s="1"/>
  <c r="O3213" i="1" a="1"/>
  <c r="O3213" i="1" s="1"/>
  <c r="A4442" i="1" l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L3575" i="1" a="1"/>
  <c r="L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O3304" i="1" a="1"/>
  <c r="O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O3215" i="1" a="1"/>
  <c r="O3215" i="1" s="1"/>
  <c r="P3215" i="1" a="1"/>
  <c r="P3215" i="1" s="1"/>
  <c r="L3215" i="1" a="1"/>
  <c r="L3215" i="1" s="1"/>
  <c r="M3215" i="1" a="1"/>
  <c r="M3215" i="1" s="1"/>
  <c r="A3215" i="1"/>
  <c r="I3215" i="1" s="1" a="1"/>
  <c r="I3215" i="1" s="1"/>
  <c r="H3214" i="1"/>
  <c r="M4441" i="1" l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L3576" i="1" a="1"/>
  <c r="L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O3305" i="1" a="1"/>
  <c r="O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L3577" i="1" a="1"/>
  <c r="L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O3306" i="1" a="1"/>
  <c r="O3306" i="1" s="1"/>
  <c r="H3306" i="1"/>
  <c r="A3307" i="1"/>
  <c r="B3218" i="1"/>
  <c r="K3217" i="1" a="1"/>
  <c r="K3217" i="1" s="1"/>
  <c r="O3217" i="1" a="1"/>
  <c r="O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I3217" i="1" s="1" a="1"/>
  <c r="I3217" i="1" s="1"/>
  <c r="H3216" i="1"/>
  <c r="O3216" i="1" a="1"/>
  <c r="O3216" i="1" s="1"/>
  <c r="K4443" i="1" l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L3578" i="1" a="1"/>
  <c r="L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O3307" i="1" a="1"/>
  <c r="O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O3218" i="1" s="1" a="1"/>
  <c r="O3218" i="1" s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L4444" i="1" l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O3579" i="1" a="1"/>
  <c r="O3579" i="1" s="1"/>
  <c r="H3579" i="1"/>
  <c r="P3582" i="1" a="1"/>
  <c r="P3582" i="1" s="1"/>
  <c r="M3582" i="1" a="1"/>
  <c r="M3582" i="1" s="1"/>
  <c r="B3583" i="1"/>
  <c r="N3582" i="1" a="1"/>
  <c r="N3582" i="1" s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O3308" i="1" a="1"/>
  <c r="O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O3580" i="1" a="1"/>
  <c r="O3580" i="1" s="1"/>
  <c r="M3583" i="1" a="1"/>
  <c r="M3583" i="1" s="1"/>
  <c r="K3583" i="1" a="1"/>
  <c r="K3583" i="1" s="1"/>
  <c r="P3583" i="1" a="1"/>
  <c r="P3583" i="1" s="1"/>
  <c r="J3583" i="1" a="1"/>
  <c r="J3583" i="1" s="1"/>
  <c r="N3583" i="1" a="1"/>
  <c r="N3583" i="1" s="1"/>
  <c r="B3584" i="1"/>
  <c r="A3584" i="1"/>
  <c r="H3309" i="1"/>
  <c r="A3310" i="1"/>
  <c r="K3309" i="1" a="1"/>
  <c r="K3309" i="1" s="1"/>
  <c r="O3309" i="1" a="1"/>
  <c r="O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I3220" i="1" s="1" a="1"/>
  <c r="I3220" i="1" s="1"/>
  <c r="H3219" i="1"/>
  <c r="J4446" i="1" l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O3581" i="1" a="1"/>
  <c r="O3581" i="1" s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O3310" i="1" a="1"/>
  <c r="O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I3221" i="1" s="1" a="1"/>
  <c r="I3221" i="1" s="1"/>
  <c r="O3220" i="1" a="1"/>
  <c r="O3220" i="1" s="1"/>
  <c r="L4447" i="1" l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O3311" i="1" a="1"/>
  <c r="O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s="1" a="1"/>
  <c r="I3222" i="1" s="1"/>
  <c r="A4450" i="1" l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N3584" i="1" s="1" a="1"/>
  <c r="N3584" i="1" s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O3312" i="1" a="1"/>
  <c r="O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O3223" i="1" s="1" a="1"/>
  <c r="O3223" i="1" s="1"/>
  <c r="H3222" i="1"/>
  <c r="M4449" i="1" l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N3585" i="1" a="1"/>
  <c r="N3585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O3313" i="1" a="1"/>
  <c r="O3313" i="1" s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O3224" i="1" a="1"/>
  <c r="O3224" i="1" s="1"/>
  <c r="K3224" i="1" a="1"/>
  <c r="K3224" i="1" s="1"/>
  <c r="L3224" i="1" a="1"/>
  <c r="L3224" i="1" s="1"/>
  <c r="B3225" i="1"/>
  <c r="H3223" i="1"/>
  <c r="A3224" i="1"/>
  <c r="I3224" i="1" s="1" a="1"/>
  <c r="I3224" i="1" s="1"/>
  <c r="J4450" i="1" l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O3314" i="1" a="1"/>
  <c r="O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O3225" i="1" a="1"/>
  <c r="O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P4451" i="1" l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O3586" i="1" a="1"/>
  <c r="O3586" i="1" s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O3315" i="1" a="1"/>
  <c r="O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O3587" i="1" a="1"/>
  <c r="O3587" i="1" s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O3316" i="1" a="1"/>
  <c r="O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O3227" i="1" a="1"/>
  <c r="O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M4453" i="1" l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O3588" i="1" a="1"/>
  <c r="O3588" i="1" s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L3317" i="1" a="1"/>
  <c r="L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s="1" a="1"/>
  <c r="O3228" i="1" s="1"/>
  <c r="A4456" i="1" l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O3589" i="1" a="1"/>
  <c r="O3589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I3318" i="1" a="1"/>
  <c r="I3318" i="1" s="1"/>
  <c r="O3318" i="1" a="1"/>
  <c r="O3318" i="1" s="1"/>
  <c r="A3319" i="1"/>
  <c r="H3318" i="1"/>
  <c r="H3228" i="1"/>
  <c r="A3229" i="1"/>
  <c r="L3229" i="1" a="1"/>
  <c r="L3229" i="1" s="1"/>
  <c r="B3230" i="1"/>
  <c r="O3229" i="1" a="1"/>
  <c r="O3229" i="1" s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J4455" i="1" l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L3590" i="1" a="1"/>
  <c r="L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I3319" i="1" a="1"/>
  <c r="I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O3230" i="1" a="1"/>
  <c r="O3230" i="1" s="1"/>
  <c r="H3229" i="1"/>
  <c r="A3230" i="1"/>
  <c r="I3230" i="1" s="1" a="1"/>
  <c r="I3230" i="1" s="1"/>
  <c r="B4457" i="1" l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I3591" i="1" a="1"/>
  <c r="I3591" i="1" s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I3320" i="1" a="1"/>
  <c r="I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I3231" i="1" s="1" a="1"/>
  <c r="I3231" i="1" s="1"/>
  <c r="H3230" i="1"/>
  <c r="A4459" i="1" l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I3592" i="1" a="1"/>
  <c r="I3592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I3321" i="1" a="1"/>
  <c r="I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I3232" i="1" s="1" a="1"/>
  <c r="I3232" i="1" s="1"/>
  <c r="M3232" i="1" a="1"/>
  <c r="M3232" i="1" s="1"/>
  <c r="J3232" i="1" a="1"/>
  <c r="J3232" i="1" s="1"/>
  <c r="N3232" i="1" a="1"/>
  <c r="N3232" i="1" s="1"/>
  <c r="O3232" i="1" a="1"/>
  <c r="O3232" i="1" s="1"/>
  <c r="K3232" i="1" a="1"/>
  <c r="K3232" i="1" s="1"/>
  <c r="P3232" i="1" a="1"/>
  <c r="P3232" i="1" s="1"/>
  <c r="L3232" i="1" a="1"/>
  <c r="L3232" i="1" s="1"/>
  <c r="B3233" i="1"/>
  <c r="A4460" i="1" l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I3593" i="1" a="1"/>
  <c r="I3593" i="1" s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I3322" i="1" a="1"/>
  <c r="I3322" i="1" s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O3233" i="1" a="1"/>
  <c r="O3233" i="1" s="1"/>
  <c r="J3233" i="1" a="1"/>
  <c r="J3233" i="1" s="1"/>
  <c r="K3233" i="1" a="1"/>
  <c r="K3233" i="1" s="1"/>
  <c r="L3233" i="1" a="1"/>
  <c r="L3233" i="1" s="1"/>
  <c r="M3233" i="1" a="1"/>
  <c r="M3233" i="1" s="1"/>
  <c r="A4461" i="1" l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I3594" i="1" a="1"/>
  <c r="I3594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I3323" i="1" a="1"/>
  <c r="I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s="1" a="1"/>
  <c r="I3234" i="1" s="1"/>
  <c r="B4461" i="1" l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I3595" i="1" a="1"/>
  <c r="I3595" i="1" s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L3324" i="1" a="1"/>
  <c r="L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I3596" i="1" a="1"/>
  <c r="I3596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L3325" i="1" a="1"/>
  <c r="L3325" i="1" s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K3236" i="1" a="1"/>
  <c r="K3236" i="1" s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I3236" i="1" s="1" a="1"/>
  <c r="I3236" i="1" s="1"/>
  <c r="O3235" i="1" a="1"/>
  <c r="O3235" i="1" s="1"/>
  <c r="L4462" i="1" l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I3597" i="1" a="1"/>
  <c r="I3597" i="1" s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L3326" i="1" a="1"/>
  <c r="L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I3237" i="1" s="1" a="1"/>
  <c r="I3237" i="1" s="1"/>
  <c r="H3236" i="1"/>
  <c r="A4465" i="1" l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I3598" i="1" a="1"/>
  <c r="I3598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L3327" i="1" a="1"/>
  <c r="L3327" i="1" s="1"/>
  <c r="N3327" i="1" a="1"/>
  <c r="N3327" i="1" s="1"/>
  <c r="L3238" i="1" a="1"/>
  <c r="L3238" i="1" s="1"/>
  <c r="M3238" i="1" a="1"/>
  <c r="M3238" i="1" s="1"/>
  <c r="J3238" i="1" a="1"/>
  <c r="J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I3238" i="1" s="1" a="1"/>
  <c r="I3238" i="1" s="1"/>
  <c r="O3237" i="1" a="1"/>
  <c r="O3237" i="1" s="1"/>
  <c r="B4465" i="1" l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I3599" i="1" a="1"/>
  <c r="I3599" i="1" s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L3328" i="1" a="1"/>
  <c r="L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I3600" i="1" a="1"/>
  <c r="I3600" i="1" s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O3329" i="1" a="1"/>
  <c r="O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O3240" i="1" s="1" a="1"/>
  <c r="O3240" i="1" s="1"/>
  <c r="H3239" i="1"/>
  <c r="J4466" i="1" l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I3601" i="1" a="1"/>
  <c r="I3601" i="1" s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O3330" i="1" a="1"/>
  <c r="O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O3602" i="1" a="1"/>
  <c r="O3602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O3331" i="1" a="1"/>
  <c r="O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I3242" i="1" s="1" a="1"/>
  <c r="I3242" i="1" s="1"/>
  <c r="H3241" i="1"/>
  <c r="B4469" i="1" l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O3603" i="1" a="1"/>
  <c r="O3603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O3332" i="1" a="1"/>
  <c r="O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O3243" i="1" a="1"/>
  <c r="O3243" i="1" s="1"/>
  <c r="J3243" i="1" a="1"/>
  <c r="J3243" i="1" s="1"/>
  <c r="P3243" i="1" a="1"/>
  <c r="P3243" i="1" s="1"/>
  <c r="L3243" i="1" a="1"/>
  <c r="L3243" i="1" s="1"/>
  <c r="H3242" i="1"/>
  <c r="A3243" i="1"/>
  <c r="I3243" i="1" s="1" a="1"/>
  <c r="I3243" i="1" s="1"/>
  <c r="O3242" i="1" a="1"/>
  <c r="O3242" i="1" s="1"/>
  <c r="A4471" i="1" l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O3604" i="1" a="1"/>
  <c r="O3604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O3333" i="1" a="1"/>
  <c r="O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O3244" i="1" a="1"/>
  <c r="O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B4471" i="1" l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O3605" i="1" a="1"/>
  <c r="O3605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O3334" i="1" a="1"/>
  <c r="O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O3606" i="1" a="1"/>
  <c r="O3606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O3335" i="1" a="1"/>
  <c r="O3335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O3607" i="1" a="1"/>
  <c r="O3607" i="1" s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O3336" i="1" a="1"/>
  <c r="O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O3247" i="1" s="1" a="1"/>
  <c r="O3247" i="1" s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A4475" i="1" l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O3608" i="1" a="1"/>
  <c r="O3608" i="1" s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O3337" i="1" a="1"/>
  <c r="O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I3248" i="1" s="1" a="1"/>
  <c r="I3248" i="1" s="1"/>
  <c r="H3247" i="1"/>
  <c r="J4474" i="1" l="1" a="1"/>
  <c r="J4474" i="1" s="1"/>
  <c r="P4474" i="1" a="1"/>
  <c r="P4474" i="1" s="1"/>
  <c r="B4475" i="1"/>
  <c r="L4474" i="1" a="1"/>
  <c r="L4474" i="1" s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O3609" i="1" a="1"/>
  <c r="O3609" i="1" s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O3338" i="1" a="1"/>
  <c r="O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J3249" i="1" a="1"/>
  <c r="J3249" i="1" s="1"/>
  <c r="K3249" i="1" a="1"/>
  <c r="K3249" i="1" s="1"/>
  <c r="N3249" i="1" a="1"/>
  <c r="N3249" i="1" s="1"/>
  <c r="P3249" i="1" a="1"/>
  <c r="P3249" i="1" s="1"/>
  <c r="A3249" i="1"/>
  <c r="I3249" i="1" s="1" a="1"/>
  <c r="I3249" i="1" s="1"/>
  <c r="H3248" i="1"/>
  <c r="J4475" i="1" l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O3610" i="1" a="1"/>
  <c r="O3610" i="1" s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O3339" i="1" a="1"/>
  <c r="O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H3249" i="1"/>
  <c r="O3249" i="1" a="1"/>
  <c r="O3249" i="1" s="1"/>
  <c r="B4477" i="1" l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O3611" i="1" a="1"/>
  <c r="O3611" i="1" s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O3340" i="1" a="1"/>
  <c r="O3340" i="1" s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A4479" i="1" l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O3612" i="1" a="1"/>
  <c r="O3612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O3341" i="1" a="1"/>
  <c r="O3341" i="1" s="1"/>
  <c r="P3341" i="1" a="1"/>
  <c r="P3341" i="1" s="1"/>
  <c r="K3341" i="1" a="1"/>
  <c r="K3341" i="1" s="1"/>
  <c r="L3341" i="1" a="1"/>
  <c r="L3341" i="1" s="1"/>
  <c r="A4480" i="1" l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O3613" i="1" a="1"/>
  <c r="O3613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O3342" i="1" a="1"/>
  <c r="O3342" i="1" s="1"/>
  <c r="I3342" i="1" a="1"/>
  <c r="I3342" i="1" s="1"/>
  <c r="J3342" i="1" a="1"/>
  <c r="J3342" i="1" s="1"/>
  <c r="A3343" i="1"/>
  <c r="H3342" i="1"/>
  <c r="P4479" i="1" l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O3614" i="1" a="1"/>
  <c r="O3614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O3343" i="1" a="1"/>
  <c r="O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P4480" i="1" l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O3615" i="1" a="1"/>
  <c r="O3615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O3344" i="1" a="1"/>
  <c r="O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M4481" i="1" l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O3616" i="1" a="1"/>
  <c r="O3616" i="1" s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O3345" i="1" a="1"/>
  <c r="O3345" i="1" s="1"/>
  <c r="B3346" i="1"/>
  <c r="J3345" i="1" a="1"/>
  <c r="J3345" i="1" s="1"/>
  <c r="K3345" i="1" a="1"/>
  <c r="K3345" i="1" s="1"/>
  <c r="H3345" i="1"/>
  <c r="A3346" i="1"/>
  <c r="J4482" i="1" l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O3617" i="1" a="1"/>
  <c r="O3617" i="1" s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O3346" i="1" a="1"/>
  <c r="O3346" i="1" s="1"/>
  <c r="P3346" i="1" a="1"/>
  <c r="P3346" i="1" s="1"/>
  <c r="H3346" i="1"/>
  <c r="A3347" i="1"/>
  <c r="A4485" i="1" l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O3618" i="1" a="1"/>
  <c r="O3618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O3347" i="1" a="1"/>
  <c r="O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P4484" i="1" l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O3619" i="1" a="1"/>
  <c r="O3619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O3348" i="1" a="1"/>
  <c r="O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M4485" i="1" l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O3620" i="1" a="1"/>
  <c r="O3620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O3349" i="1" a="1"/>
  <c r="O3349" i="1" s="1"/>
  <c r="J3349" i="1" a="1"/>
  <c r="J3349" i="1" s="1"/>
  <c r="K3349" i="1" a="1"/>
  <c r="K3349" i="1" s="1"/>
  <c r="M3349" i="1" a="1"/>
  <c r="M3349" i="1" s="1"/>
  <c r="H3349" i="1"/>
  <c r="A3350" i="1"/>
  <c r="J4486" i="1" l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O3621" i="1" a="1"/>
  <c r="O3621" i="1" s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I3350" i="1" a="1"/>
  <c r="I3350" i="1" s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J4487" i="1" l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O3622" i="1" a="1"/>
  <c r="O3622" i="1" s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I3351" i="1" a="1"/>
  <c r="I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P4488" i="1" l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O3623" i="1" a="1"/>
  <c r="O3623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I3352" i="1" a="1"/>
  <c r="I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624" i="1" l="1" a="1"/>
  <c r="I3624" i="1" s="1"/>
  <c r="L3624" i="1" a="1"/>
  <c r="L3624" i="1" s="1"/>
  <c r="N3625" i="1" a="1"/>
  <c r="N3625" i="1" s="1"/>
  <c r="O3624" i="1" a="1"/>
  <c r="O3624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I3353" i="1" a="1"/>
  <c r="I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625" i="1" l="1" a="1"/>
  <c r="I3625" i="1" s="1"/>
  <c r="L3625" i="1" a="1"/>
  <c r="L3625" i="1" s="1"/>
  <c r="N3626" i="1" a="1"/>
  <c r="N3626" i="1" s="1"/>
  <c r="O3625" i="1" a="1"/>
  <c r="O3625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I3354" i="1" a="1"/>
  <c r="I3354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626" i="1" l="1" a="1"/>
  <c r="I3626" i="1" s="1"/>
  <c r="L3626" i="1" a="1"/>
  <c r="L3626" i="1" s="1"/>
  <c r="C3627" i="1"/>
  <c r="N3627" i="1" s="1" a="1"/>
  <c r="N3627" i="1" s="1"/>
  <c r="H3626" i="1"/>
  <c r="O3626" i="1" a="1"/>
  <c r="O3626" i="1" s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I3355" i="1" a="1"/>
  <c r="I3355" i="1" s="1"/>
  <c r="O3355" i="1" a="1"/>
  <c r="O3355" i="1" s="1"/>
  <c r="K3355" i="1" a="1"/>
  <c r="K3355" i="1" s="1"/>
  <c r="P3355" i="1" a="1"/>
  <c r="P3355" i="1" s="1"/>
  <c r="L3355" i="1" a="1"/>
  <c r="L3355" i="1" s="1"/>
  <c r="I3627" i="1" l="1" a="1"/>
  <c r="I3627" i="1" s="1"/>
  <c r="L3627" i="1" a="1"/>
  <c r="L3627" i="1" s="1"/>
  <c r="N3628" i="1" a="1"/>
  <c r="N3628" i="1" s="1"/>
  <c r="H3627" i="1"/>
  <c r="O3627" i="1" a="1"/>
  <c r="O3627" i="1" s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I3356" i="1" a="1"/>
  <c r="I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I3628" i="1" l="1" a="1"/>
  <c r="I3628" i="1" s="1"/>
  <c r="L3628" i="1" a="1"/>
  <c r="L3628" i="1" s="1"/>
  <c r="N3629" i="1" a="1"/>
  <c r="N3629" i="1" s="1"/>
  <c r="H3628" i="1"/>
  <c r="O3628" i="1" a="1"/>
  <c r="O3628" i="1" s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O3357" i="1" a="1"/>
  <c r="O3357" i="1" s="1"/>
  <c r="K3357" i="1" a="1"/>
  <c r="K3357" i="1" s="1"/>
  <c r="I3629" i="1" l="1" a="1"/>
  <c r="I3629" i="1" s="1"/>
  <c r="L3629" i="1" a="1"/>
  <c r="L3629" i="1" s="1"/>
  <c r="N3630" i="1" a="1"/>
  <c r="N3630" i="1" s="1"/>
  <c r="H3629" i="1"/>
  <c r="O3629" i="1" a="1"/>
  <c r="O3629" i="1" s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O3358" i="1" a="1"/>
  <c r="O3358" i="1" s="1"/>
  <c r="K3358" i="1" a="1"/>
  <c r="K3358" i="1" s="1"/>
  <c r="P3358" i="1" a="1"/>
  <c r="P3358" i="1" s="1"/>
  <c r="H3358" i="1"/>
  <c r="A3359" i="1"/>
  <c r="I3630" i="1" l="1" a="1"/>
  <c r="I3630" i="1" s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O3359" i="1" a="1"/>
  <c r="O3359" i="1" s="1"/>
  <c r="P3359" i="1" a="1"/>
  <c r="P3359" i="1" s="1"/>
  <c r="K3359" i="1" a="1"/>
  <c r="K3359" i="1" s="1"/>
  <c r="I3631" i="1" l="1" a="1"/>
  <c r="I3631" i="1" s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O3360" i="1" a="1"/>
  <c r="O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632" i="1" l="1" a="1"/>
  <c r="I3632" i="1" s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O3361" i="1" a="1"/>
  <c r="O3361" i="1" s="1"/>
  <c r="J3361" i="1" a="1"/>
  <c r="J3361" i="1" s="1"/>
  <c r="A3362" i="1"/>
  <c r="H3361" i="1"/>
  <c r="I3633" i="1" l="1" a="1"/>
  <c r="I3633" i="1" s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O3362" i="1" a="1"/>
  <c r="O3362" i="1" s="1"/>
  <c r="H3362" i="1"/>
  <c r="A3363" i="1"/>
  <c r="I3634" i="1" l="1" a="1"/>
  <c r="I3634" i="1" s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O3363" i="1" a="1"/>
  <c r="O3363" i="1" s="1"/>
  <c r="A3364" i="1"/>
  <c r="H3363" i="1"/>
  <c r="I3635" i="1" l="1" a="1"/>
  <c r="I3635" i="1" s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O3364" i="1" a="1"/>
  <c r="O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I3636" i="1" l="1" a="1"/>
  <c r="I363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O3365" i="1" a="1"/>
  <c r="O3365" i="1" s="1"/>
  <c r="L3365" i="1" a="1"/>
  <c r="L3365" i="1" s="1"/>
  <c r="P3365" i="1" a="1"/>
  <c r="P3365" i="1" s="1"/>
  <c r="A3366" i="1"/>
  <c r="H3365" i="1"/>
  <c r="I3637" i="1" l="1" a="1"/>
  <c r="I3637" i="1" s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O3366" i="1" a="1"/>
  <c r="O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I3638" i="1" l="1" a="1"/>
  <c r="I3638" i="1" s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O3367" i="1" a="1"/>
  <c r="O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D114" i="2" l="1"/>
  <c r="I3639" i="1" a="1"/>
  <c r="I3639" i="1" s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O3368" i="1" a="1"/>
  <c r="O3368" i="1" s="1"/>
  <c r="H3368" i="1"/>
  <c r="A3369" i="1"/>
  <c r="D125" i="2" l="1"/>
  <c r="D128" i="2"/>
  <c r="D123" i="2"/>
  <c r="D119" i="2"/>
  <c r="B4506" i="1"/>
  <c r="A4507" i="1"/>
  <c r="I3640" i="1" a="1"/>
  <c r="I3640" i="1" s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O3369" i="1" a="1"/>
  <c r="O3369" i="1" s="1"/>
  <c r="L3369" i="1" a="1"/>
  <c r="L3369" i="1" s="1"/>
  <c r="P3369" i="1" a="1"/>
  <c r="P3369" i="1" s="1"/>
  <c r="A3370" i="1"/>
  <c r="H3369" i="1"/>
  <c r="C130" i="2" l="1"/>
  <c r="D130" i="2"/>
  <c r="E130" i="2"/>
  <c r="C131" i="2"/>
  <c r="D131" i="2"/>
  <c r="E131" i="2"/>
  <c r="C132" i="2"/>
  <c r="E132" i="2"/>
  <c r="D132" i="2"/>
  <c r="D118" i="2"/>
  <c r="D120" i="2"/>
  <c r="E120" i="2"/>
  <c r="C129" i="2"/>
  <c r="E129" i="2"/>
  <c r="D124" i="2"/>
  <c r="C124" i="2"/>
  <c r="C119" i="2"/>
  <c r="E123" i="2"/>
  <c r="C118" i="2"/>
  <c r="E115" i="2"/>
  <c r="E124" i="2"/>
  <c r="C120" i="2"/>
  <c r="E118" i="2"/>
  <c r="D115" i="2"/>
  <c r="C126" i="2"/>
  <c r="C128" i="2"/>
  <c r="C114" i="2"/>
  <c r="E119" i="2"/>
  <c r="E125" i="2"/>
  <c r="C125" i="2"/>
  <c r="E128" i="2"/>
  <c r="D126" i="2"/>
  <c r="C123" i="2"/>
  <c r="E126" i="2"/>
  <c r="D129" i="2"/>
  <c r="E114" i="2"/>
  <c r="C115" i="2"/>
  <c r="J4506" i="1" a="1"/>
  <c r="J4506" i="1" s="1"/>
  <c r="P4506" i="1" a="1"/>
  <c r="P4506" i="1" s="1"/>
  <c r="B4507" i="1"/>
  <c r="M4506" i="1" a="1"/>
  <c r="M4506" i="1" s="1"/>
  <c r="A4508" i="1"/>
  <c r="I3641" i="1" a="1"/>
  <c r="I3641" i="1" s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O3370" i="1" a="1"/>
  <c r="O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J4507" i="1" l="1" a="1"/>
  <c r="J4507" i="1" s="1"/>
  <c r="M4507" i="1" a="1"/>
  <c r="M4507" i="1" s="1"/>
  <c r="P4507" i="1" a="1"/>
  <c r="P4507" i="1" s="1"/>
  <c r="B4508" i="1"/>
  <c r="A4509" i="1"/>
  <c r="I3642" i="1" a="1"/>
  <c r="I3642" i="1" s="1"/>
  <c r="L3642" i="1" a="1"/>
  <c r="L3642" i="1" s="1"/>
  <c r="N3643" i="1" a="1"/>
  <c r="N3643" i="1" s="1"/>
  <c r="H3642" i="1"/>
  <c r="O3642" i="1" a="1"/>
  <c r="O3642" i="1" s="1"/>
  <c r="K3371" i="1" a="1"/>
  <c r="K3371" i="1" s="1"/>
  <c r="O3371" i="1" a="1"/>
  <c r="O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A4510" i="1" l="1"/>
  <c r="P4508" i="1" a="1"/>
  <c r="P4508" i="1" s="1"/>
  <c r="M4508" i="1" a="1"/>
  <c r="M4508" i="1" s="1"/>
  <c r="B4509" i="1"/>
  <c r="J4508" i="1" a="1"/>
  <c r="J4508" i="1" s="1"/>
  <c r="I3643" i="1" a="1"/>
  <c r="I3643" i="1" s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O3372" i="1" a="1"/>
  <c r="O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M4509" i="1" l="1" a="1"/>
  <c r="M4509" i="1" s="1"/>
  <c r="P4509" i="1" a="1"/>
  <c r="P4509" i="1" s="1"/>
  <c r="J4509" i="1" a="1"/>
  <c r="J4509" i="1" s="1"/>
  <c r="B4510" i="1"/>
  <c r="A4511" i="1"/>
  <c r="I3373" i="1" a="1"/>
  <c r="I3373" i="1" s="1"/>
  <c r="M3373" i="1" a="1"/>
  <c r="M3373" i="1" s="1"/>
  <c r="B3374" i="1"/>
  <c r="J3373" i="1" a="1"/>
  <c r="J3373" i="1" s="1"/>
  <c r="O3373" i="1" a="1"/>
  <c r="O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A4512" i="1" l="1"/>
  <c r="J4510" i="1" a="1"/>
  <c r="J4510" i="1" s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O3374" i="1" a="1"/>
  <c r="O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P4511" i="1" l="1" a="1"/>
  <c r="P4511" i="1" s="1"/>
  <c r="M4511" i="1" a="1"/>
  <c r="M4511" i="1" s="1"/>
  <c r="B4512" i="1"/>
  <c r="J4511" i="1" a="1"/>
  <c r="J4511" i="1" s="1"/>
  <c r="A4513" i="1"/>
  <c r="K3375" i="1" a="1"/>
  <c r="K3375" i="1" s="1"/>
  <c r="O3375" i="1" a="1"/>
  <c r="O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P4512" i="1" l="1" a="1"/>
  <c r="P4512" i="1" s="1"/>
  <c r="J4512" i="1" a="1"/>
  <c r="J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O3376" i="1" a="1"/>
  <c r="O3376" i="1" s="1"/>
  <c r="M3376" i="1" a="1"/>
  <c r="M3376" i="1" s="1"/>
  <c r="B3377" i="1"/>
  <c r="K3376" i="1" a="1"/>
  <c r="K3376" i="1" s="1"/>
  <c r="H3376" i="1"/>
  <c r="A3377" i="1"/>
  <c r="A4515" i="1" l="1"/>
  <c r="M4513" i="1" a="1"/>
  <c r="M4513" i="1" s="1"/>
  <c r="B4514" i="1"/>
  <c r="J4513" i="1" a="1"/>
  <c r="J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O3377" i="1" a="1"/>
  <c r="O3377" i="1" s="1"/>
  <c r="L3377" i="1" a="1"/>
  <c r="L3377" i="1" s="1"/>
  <c r="P3377" i="1" a="1"/>
  <c r="P3377" i="1" s="1"/>
  <c r="K3377" i="1" a="1"/>
  <c r="K3377" i="1" s="1"/>
  <c r="A3378" i="1"/>
  <c r="H3377" i="1"/>
  <c r="J4514" i="1" l="1" a="1"/>
  <c r="J4514" i="1" s="1"/>
  <c r="P4514" i="1" a="1"/>
  <c r="P4514" i="1" s="1"/>
  <c r="M4514" i="1" a="1"/>
  <c r="M4514" i="1" s="1"/>
  <c r="B4515" i="1"/>
  <c r="A4516" i="1"/>
  <c r="J3378" i="1" a="1"/>
  <c r="J3378" i="1" s="1"/>
  <c r="N3378" i="1" a="1"/>
  <c r="N3378" i="1" s="1"/>
  <c r="B3379" i="1"/>
  <c r="M3378" i="1" a="1"/>
  <c r="M3378" i="1" s="1"/>
  <c r="I3378" i="1" a="1"/>
  <c r="I3378" i="1" s="1"/>
  <c r="O3378" i="1" a="1"/>
  <c r="O3378" i="1" s="1"/>
  <c r="L3378" i="1" a="1"/>
  <c r="L3378" i="1" s="1"/>
  <c r="P3378" i="1" a="1"/>
  <c r="P3378" i="1" s="1"/>
  <c r="K3378" i="1" a="1"/>
  <c r="K3378" i="1" s="1"/>
  <c r="H3378" i="1"/>
  <c r="A3379" i="1"/>
  <c r="A4517" i="1" l="1"/>
  <c r="M4515" i="1" a="1"/>
  <c r="M4515" i="1" s="1"/>
  <c r="B4516" i="1"/>
  <c r="P4515" i="1" a="1"/>
  <c r="P4515" i="1" s="1"/>
  <c r="J4515" i="1" a="1"/>
  <c r="J4515" i="1" s="1"/>
  <c r="H3379" i="1"/>
  <c r="A3380" i="1"/>
  <c r="K3379" i="1" a="1"/>
  <c r="K3379" i="1" s="1"/>
  <c r="O3379" i="1" a="1"/>
  <c r="O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J4516" i="1" l="1" a="1"/>
  <c r="J4516" i="1" s="1"/>
  <c r="P4516" i="1" a="1"/>
  <c r="P4516" i="1" s="1"/>
  <c r="M4516" i="1" a="1"/>
  <c r="M4516" i="1" s="1"/>
  <c r="B4517" i="1"/>
  <c r="A4518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O3380" i="1" a="1"/>
  <c r="O3380" i="1" s="1"/>
  <c r="J3380" i="1" a="1"/>
  <c r="J3380" i="1" s="1"/>
  <c r="H3380" i="1"/>
  <c r="A3381" i="1"/>
  <c r="J4517" i="1" l="1" a="1"/>
  <c r="J4517" i="1" s="1"/>
  <c r="B4518" i="1"/>
  <c r="M4517" i="1" a="1"/>
  <c r="M4517" i="1" s="1"/>
  <c r="P4517" i="1" a="1"/>
  <c r="P4517" i="1" s="1"/>
  <c r="A4519" i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O3381" i="1" a="1"/>
  <c r="O3381" i="1" s="1"/>
  <c r="P3381" i="1" a="1"/>
  <c r="P3381" i="1" s="1"/>
  <c r="J3381" i="1" a="1"/>
  <c r="J3381" i="1" s="1"/>
  <c r="B4519" i="1" l="1"/>
  <c r="P4518" i="1" a="1"/>
  <c r="P4518" i="1" s="1"/>
  <c r="J4518" i="1" a="1"/>
  <c r="J4518" i="1" s="1"/>
  <c r="M4518" i="1" a="1"/>
  <c r="M4518" i="1" s="1"/>
  <c r="A4520" i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O3382" i="1" a="1"/>
  <c r="O3382" i="1" s="1"/>
  <c r="I3382" i="1" a="1"/>
  <c r="I3382" i="1" s="1"/>
  <c r="B3383" i="1"/>
  <c r="A3383" i="1"/>
  <c r="H3382" i="1"/>
  <c r="A4521" i="1" l="1"/>
  <c r="J4519" i="1" a="1"/>
  <c r="J4519" i="1" s="1"/>
  <c r="P4519" i="1" a="1"/>
  <c r="P4519" i="1" s="1"/>
  <c r="B4520" i="1"/>
  <c r="M4519" i="1" a="1"/>
  <c r="M4519" i="1" s="1"/>
  <c r="A3384" i="1"/>
  <c r="H3383" i="1"/>
  <c r="K3383" i="1" a="1"/>
  <c r="K3383" i="1" s="1"/>
  <c r="O3383" i="1" a="1"/>
  <c r="O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M4520" i="1" l="1" a="1"/>
  <c r="M4520" i="1" s="1"/>
  <c r="B4521" i="1"/>
  <c r="J4520" i="1" a="1"/>
  <c r="J4520" i="1" s="1"/>
  <c r="P4520" i="1" a="1"/>
  <c r="P4520" i="1" s="1"/>
  <c r="A4522" i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J3384" i="1" a="1"/>
  <c r="J3384" i="1" s="1"/>
  <c r="K3384" i="1" a="1"/>
  <c r="K3384" i="1" s="1"/>
  <c r="N3384" i="1" a="1"/>
  <c r="N3384" i="1" s="1"/>
  <c r="A3385" i="1"/>
  <c r="H3384" i="1"/>
  <c r="A4523" i="1" l="1"/>
  <c r="P4521" i="1" a="1"/>
  <c r="P4521" i="1" s="1"/>
  <c r="B4522" i="1"/>
  <c r="J4521" i="1" a="1"/>
  <c r="J4521" i="1" s="1"/>
  <c r="M4521" i="1" a="1"/>
  <c r="M4521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A4524" i="1" l="1"/>
  <c r="B4523" i="1"/>
  <c r="M4522" i="1" a="1"/>
  <c r="M4522" i="1" s="1"/>
  <c r="J4522" i="1" a="1"/>
  <c r="J4522" i="1" s="1"/>
  <c r="P4522" i="1" a="1"/>
  <c r="P4522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P4523" i="1" l="1" a="1"/>
  <c r="P4523" i="1" s="1"/>
  <c r="B4524" i="1"/>
  <c r="J4523" i="1" a="1"/>
  <c r="J4523" i="1" s="1"/>
  <c r="M4523" i="1" a="1"/>
  <c r="M4523" i="1" s="1"/>
  <c r="A4525" i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J4524" i="1" l="1" a="1"/>
  <c r="J4524" i="1" s="1"/>
  <c r="M4524" i="1" a="1"/>
  <c r="M4524" i="1" s="1"/>
  <c r="P4524" i="1" a="1"/>
  <c r="P4524" i="1" s="1"/>
  <c r="B4525" i="1"/>
  <c r="A4526" i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M4525" i="1" l="1" a="1"/>
  <c r="M4525" i="1" s="1"/>
  <c r="B4526" i="1"/>
  <c r="J4525" i="1" a="1"/>
  <c r="J4525" i="1" s="1"/>
  <c r="P4525" i="1" a="1"/>
  <c r="P4525" i="1" s="1"/>
  <c r="A4527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B4527" i="1" l="1"/>
  <c r="P4526" i="1" a="1"/>
  <c r="P4526" i="1" s="1"/>
  <c r="M4526" i="1" a="1"/>
  <c r="M4526" i="1" s="1"/>
  <c r="J4526" i="1" a="1"/>
  <c r="J4526" i="1" s="1"/>
  <c r="A4528" i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A4529" i="1" l="1"/>
  <c r="M4527" i="1" a="1"/>
  <c r="M4527" i="1" s="1"/>
  <c r="B4528" i="1"/>
  <c r="P4527" i="1" a="1"/>
  <c r="P4527" i="1" s="1"/>
  <c r="J4527" i="1" a="1"/>
  <c r="J4527" i="1" s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P4528" i="1" l="1" a="1"/>
  <c r="P4528" i="1" s="1"/>
  <c r="M4528" i="1" a="1"/>
  <c r="M4528" i="1" s="1"/>
  <c r="J4528" i="1" a="1"/>
  <c r="J4528" i="1" s="1"/>
  <c r="B4529" i="1"/>
  <c r="A4530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A4531" i="1" l="1"/>
  <c r="J4529" i="1" a="1"/>
  <c r="J4529" i="1" s="1"/>
  <c r="P4529" i="1" a="1"/>
  <c r="P4529" i="1" s="1"/>
  <c r="B4530" i="1"/>
  <c r="M4529" i="1" a="1"/>
  <c r="M4529" i="1" s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B4531" i="1" l="1"/>
  <c r="M4530" i="1" a="1"/>
  <c r="M4530" i="1" s="1"/>
  <c r="P4530" i="1" a="1"/>
  <c r="P4530" i="1" s="1"/>
  <c r="J4530" i="1" a="1"/>
  <c r="J4530" i="1" s="1"/>
  <c r="A4532" i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A4533" i="1" l="1"/>
  <c r="J4531" i="1" a="1"/>
  <c r="J4531" i="1" s="1"/>
  <c r="P4531" i="1" a="1"/>
  <c r="P4531" i="1" s="1"/>
  <c r="B4532" i="1"/>
  <c r="M4531" i="1" a="1"/>
  <c r="M4531" i="1" s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A4534" i="1" l="1"/>
  <c r="M4532" i="1" a="1"/>
  <c r="M4532" i="1" s="1"/>
  <c r="B4533" i="1"/>
  <c r="J4532" i="1" a="1"/>
  <c r="J4532" i="1" s="1"/>
  <c r="P4532" i="1" a="1"/>
  <c r="P4532" i="1" s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3" i="1" l="1" a="1"/>
  <c r="M4533" i="1" s="1"/>
  <c r="P4533" i="1" a="1"/>
  <c r="P4533" i="1" s="1"/>
  <c r="B4534" i="1"/>
  <c r="J4533" i="1" a="1"/>
  <c r="J4533" i="1" s="1"/>
  <c r="A4535" i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4535" i="1" l="1"/>
  <c r="M4534" i="1" a="1"/>
  <c r="M4534" i="1" s="1"/>
  <c r="P4534" i="1" a="1"/>
  <c r="P4534" i="1" s="1"/>
  <c r="J4534" i="1" a="1"/>
  <c r="J4534" i="1" s="1"/>
  <c r="A4536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A4537" i="1" l="1"/>
  <c r="B4536" i="1"/>
  <c r="M4535" i="1" a="1"/>
  <c r="M4535" i="1" s="1"/>
  <c r="P4535" i="1" a="1"/>
  <c r="P4535" i="1" s="1"/>
  <c r="J4535" i="1" a="1"/>
  <c r="J4535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J4536" i="1" l="1" a="1"/>
  <c r="J4536" i="1" s="1"/>
  <c r="B4537" i="1"/>
  <c r="M4536" i="1" a="1"/>
  <c r="M4536" i="1" s="1"/>
  <c r="P4536" i="1" a="1"/>
  <c r="P4536" i="1" s="1"/>
  <c r="A4538" i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M4537" i="1" l="1" a="1"/>
  <c r="M4537" i="1" s="1"/>
  <c r="B4538" i="1"/>
  <c r="P4537" i="1" a="1"/>
  <c r="P4537" i="1" s="1"/>
  <c r="J4537" i="1" a="1"/>
  <c r="J4537" i="1" s="1"/>
  <c r="A4539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4540" i="1" l="1"/>
  <c r="B4539" i="1"/>
  <c r="J4538" i="1" a="1"/>
  <c r="J4538" i="1" s="1"/>
  <c r="P4538" i="1" a="1"/>
  <c r="P4538" i="1" s="1"/>
  <c r="M4538" i="1" a="1"/>
  <c r="M4538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J4539" i="1" l="1" a="1"/>
  <c r="J4539" i="1" s="1"/>
  <c r="P4539" i="1" a="1"/>
  <c r="P4539" i="1" s="1"/>
  <c r="M4539" i="1" a="1"/>
  <c r="M4539" i="1" s="1"/>
  <c r="B4540" i="1"/>
  <c r="A4541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4542" i="1" l="1"/>
  <c r="J4540" i="1" a="1"/>
  <c r="J4540" i="1" s="1"/>
  <c r="P4540" i="1" a="1"/>
  <c r="P4540" i="1" s="1"/>
  <c r="M4540" i="1" a="1"/>
  <c r="M4540" i="1" s="1"/>
  <c r="B4541" i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J4541" i="1" l="1" a="1"/>
  <c r="J4541" i="1" s="1"/>
  <c r="M4541" i="1" a="1"/>
  <c r="M4541" i="1" s="1"/>
  <c r="P4541" i="1" a="1"/>
  <c r="P4541" i="1" s="1"/>
  <c r="B4542" i="1"/>
  <c r="A4543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4544" i="1" l="1"/>
  <c r="B4543" i="1"/>
  <c r="M4542" i="1" a="1"/>
  <c r="M4542" i="1" s="1"/>
  <c r="J4542" i="1" a="1"/>
  <c r="J4542" i="1" s="1"/>
  <c r="P4542" i="1" a="1"/>
  <c r="P4542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B4544" i="1" l="1"/>
  <c r="M4543" i="1" a="1"/>
  <c r="M4543" i="1" s="1"/>
  <c r="J4543" i="1" a="1"/>
  <c r="J4543" i="1" s="1"/>
  <c r="P4543" i="1" a="1"/>
  <c r="P4543" i="1" s="1"/>
  <c r="A4545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B4545" i="1" l="1"/>
  <c r="M4544" i="1" a="1"/>
  <c r="M4544" i="1" s="1"/>
  <c r="J4544" i="1" a="1"/>
  <c r="J4544" i="1" s="1"/>
  <c r="P4544" i="1" a="1"/>
  <c r="P4544" i="1" s="1"/>
  <c r="A4546" i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A4547" i="1" l="1"/>
  <c r="P4545" i="1" a="1"/>
  <c r="P4545" i="1" s="1"/>
  <c r="B4546" i="1"/>
  <c r="M4545" i="1" a="1"/>
  <c r="M4545" i="1" s="1"/>
  <c r="J4545" i="1" a="1"/>
  <c r="J4545" i="1" s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B4547" i="1" l="1"/>
  <c r="J4546" i="1" a="1"/>
  <c r="J4546" i="1" s="1"/>
  <c r="P4546" i="1" a="1"/>
  <c r="P4546" i="1" s="1"/>
  <c r="M4546" i="1" a="1"/>
  <c r="M4546" i="1" s="1"/>
  <c r="A4548" i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4549" i="1" l="1"/>
  <c r="J4547" i="1" a="1"/>
  <c r="J4547" i="1" s="1"/>
  <c r="P4547" i="1" a="1"/>
  <c r="P4547" i="1" s="1"/>
  <c r="B4548" i="1"/>
  <c r="M4547" i="1" a="1"/>
  <c r="M4547" i="1" s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J4548" i="1" l="1" a="1"/>
  <c r="J4548" i="1" s="1"/>
  <c r="P4548" i="1" a="1"/>
  <c r="P4548" i="1" s="1"/>
  <c r="B4549" i="1"/>
  <c r="M4548" i="1" a="1"/>
  <c r="M4548" i="1" s="1"/>
  <c r="A4550" i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J4549" i="1" l="1" a="1"/>
  <c r="J4549" i="1" s="1"/>
  <c r="P4549" i="1" a="1"/>
  <c r="P4549" i="1" s="1"/>
  <c r="B4550" i="1"/>
  <c r="M4549" i="1" a="1"/>
  <c r="M4549" i="1" s="1"/>
  <c r="A4551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B4551" i="1" l="1"/>
  <c r="P4550" i="1" a="1"/>
  <c r="P4550" i="1" s="1"/>
  <c r="J4550" i="1" a="1"/>
  <c r="J4550" i="1" s="1"/>
  <c r="M4550" i="1" a="1"/>
  <c r="M4550" i="1" s="1"/>
  <c r="A4552" i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4553" i="1" l="1"/>
  <c r="M4551" i="1" a="1"/>
  <c r="M4551" i="1" s="1"/>
  <c r="J4551" i="1" a="1"/>
  <c r="J4551" i="1" s="1"/>
  <c r="P4551" i="1" a="1"/>
  <c r="P4551" i="1" s="1"/>
  <c r="B4552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M4552" i="1" l="1" a="1"/>
  <c r="M4552" i="1" s="1"/>
  <c r="P4552" i="1" a="1"/>
  <c r="P4552" i="1" s="1"/>
  <c r="B4553" i="1"/>
  <c r="J4552" i="1" a="1"/>
  <c r="J4552" i="1" s="1"/>
  <c r="A4554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B4554" i="1" l="1"/>
  <c r="M4553" i="1" a="1"/>
  <c r="M4553" i="1" s="1"/>
  <c r="P4553" i="1" a="1"/>
  <c r="P4553" i="1" s="1"/>
  <c r="J4553" i="1" a="1"/>
  <c r="J4553" i="1" s="1"/>
  <c r="A4555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4556" i="1" l="1"/>
  <c r="B4555" i="1"/>
  <c r="M4554" i="1" a="1"/>
  <c r="M4554" i="1" s="1"/>
  <c r="P4554" i="1" a="1"/>
  <c r="P4554" i="1" s="1"/>
  <c r="J4554" i="1" a="1"/>
  <c r="J4554" i="1" s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P4555" i="1" l="1" a="1"/>
  <c r="P4555" i="1" s="1"/>
  <c r="B4556" i="1"/>
  <c r="M4555" i="1" a="1"/>
  <c r="M4555" i="1" s="1"/>
  <c r="J4555" i="1" a="1"/>
  <c r="J4555" i="1" s="1"/>
  <c r="A4557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4558" i="1" l="1"/>
  <c r="P4556" i="1" a="1"/>
  <c r="P4556" i="1" s="1"/>
  <c r="B4557" i="1"/>
  <c r="M4556" i="1" a="1"/>
  <c r="M4556" i="1" s="1"/>
  <c r="J4556" i="1" a="1"/>
  <c r="J4556" i="1" s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J4557" i="1" l="1" a="1"/>
  <c r="J4557" i="1" s="1"/>
  <c r="P4557" i="1" a="1"/>
  <c r="P4557" i="1" s="1"/>
  <c r="B4558" i="1"/>
  <c r="M4557" i="1" a="1"/>
  <c r="M4557" i="1" s="1"/>
  <c r="A4559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4559" i="1" l="1"/>
  <c r="J4558" i="1" a="1"/>
  <c r="J4558" i="1" s="1"/>
  <c r="P4558" i="1" a="1"/>
  <c r="P4558" i="1" s="1"/>
  <c r="M4558" i="1" a="1"/>
  <c r="M4558" i="1" s="1"/>
  <c r="A4560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4561" i="1" l="1"/>
  <c r="M4559" i="1" a="1"/>
  <c r="M4559" i="1" s="1"/>
  <c r="B4560" i="1"/>
  <c r="J4559" i="1" a="1"/>
  <c r="J4559" i="1" s="1"/>
  <c r="P4559" i="1" a="1"/>
  <c r="P4559" i="1" s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P4560" i="1" l="1" a="1"/>
  <c r="P4560" i="1" s="1"/>
  <c r="J4560" i="1" a="1"/>
  <c r="J4560" i="1" s="1"/>
  <c r="M4560" i="1" a="1"/>
  <c r="M4560" i="1" s="1"/>
  <c r="B4561" i="1"/>
  <c r="A4562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A4563" i="1" l="1"/>
  <c r="M4561" i="1" a="1"/>
  <c r="M4561" i="1" s="1"/>
  <c r="J4561" i="1" a="1"/>
  <c r="J4561" i="1" s="1"/>
  <c r="B4562" i="1"/>
  <c r="P4561" i="1" a="1"/>
  <c r="P4561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B4563" i="1" l="1"/>
  <c r="M4562" i="1" a="1"/>
  <c r="M4562" i="1" s="1"/>
  <c r="P4562" i="1" a="1"/>
  <c r="P4562" i="1" s="1"/>
  <c r="J4562" i="1" a="1"/>
  <c r="J4562" i="1" s="1"/>
  <c r="A4564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4565" i="1" l="1"/>
  <c r="J4563" i="1" a="1"/>
  <c r="J4563" i="1" s="1"/>
  <c r="B4564" i="1"/>
  <c r="M4563" i="1" a="1"/>
  <c r="M4563" i="1" s="1"/>
  <c r="P4563" i="1" a="1"/>
  <c r="P4563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M4564" i="1" l="1" a="1"/>
  <c r="M4564" i="1" s="1"/>
  <c r="B4565" i="1"/>
  <c r="J4564" i="1" a="1"/>
  <c r="J4564" i="1" s="1"/>
  <c r="P4564" i="1" a="1"/>
  <c r="P4564" i="1" s="1"/>
  <c r="A4566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4567" i="1" l="1"/>
  <c r="P4565" i="1" a="1"/>
  <c r="P4565" i="1" s="1"/>
  <c r="B4566" i="1"/>
  <c r="J4565" i="1" a="1"/>
  <c r="J4565" i="1" s="1"/>
  <c r="M4565" i="1" a="1"/>
  <c r="M4565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B4567" i="1" l="1"/>
  <c r="P4566" i="1" a="1"/>
  <c r="P4566" i="1" s="1"/>
  <c r="M4566" i="1" a="1"/>
  <c r="M4566" i="1" s="1"/>
  <c r="J4566" i="1" a="1"/>
  <c r="J4566" i="1" s="1"/>
  <c r="A4568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4569" i="1" l="1"/>
  <c r="J4567" i="1" a="1"/>
  <c r="J4567" i="1" s="1"/>
  <c r="P4567" i="1" a="1"/>
  <c r="P4567" i="1" s="1"/>
  <c r="M4567" i="1" a="1"/>
  <c r="M4567" i="1" s="1"/>
  <c r="B4568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J4568" i="1" l="1" a="1"/>
  <c r="J4568" i="1" s="1"/>
  <c r="P4568" i="1" a="1"/>
  <c r="P4568" i="1" s="1"/>
  <c r="B4569" i="1"/>
  <c r="M4568" i="1" a="1"/>
  <c r="M4568" i="1" s="1"/>
  <c r="A4570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M4569" i="1" l="1" a="1"/>
  <c r="M4569" i="1" s="1"/>
  <c r="B4570" i="1"/>
  <c r="J4569" i="1" a="1"/>
  <c r="J4569" i="1" s="1"/>
  <c r="P4569" i="1" a="1"/>
  <c r="P4569" i="1" s="1"/>
  <c r="A4571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A4572" i="1" l="1"/>
  <c r="B4571" i="1"/>
  <c r="M4570" i="1" a="1"/>
  <c r="M4570" i="1" s="1"/>
  <c r="P4570" i="1" a="1"/>
  <c r="P4570" i="1" s="1"/>
  <c r="J4570" i="1" a="1"/>
  <c r="J4570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B4572" i="1" l="1"/>
  <c r="M4571" i="1" a="1"/>
  <c r="M4571" i="1" s="1"/>
  <c r="J4571" i="1" a="1"/>
  <c r="J4571" i="1" s="1"/>
  <c r="P4571" i="1" a="1"/>
  <c r="P4571" i="1" s="1"/>
  <c r="A4573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4574" i="1" l="1"/>
  <c r="B4573" i="1"/>
  <c r="M4572" i="1" a="1"/>
  <c r="M4572" i="1" s="1"/>
  <c r="P4572" i="1" a="1"/>
  <c r="P4572" i="1" s="1"/>
  <c r="J4572" i="1" a="1"/>
  <c r="J4572" i="1" s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J4573" i="1" l="1" a="1"/>
  <c r="J4573" i="1" s="1"/>
  <c r="B4574" i="1"/>
  <c r="M4573" i="1" a="1"/>
  <c r="M4573" i="1" s="1"/>
  <c r="P4573" i="1" a="1"/>
  <c r="P4573" i="1" s="1"/>
  <c r="A4575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B4575" i="1" l="1"/>
  <c r="P4574" i="1" a="1"/>
  <c r="P4574" i="1" s="1"/>
  <c r="J4574" i="1" a="1"/>
  <c r="J4574" i="1" s="1"/>
  <c r="M4574" i="1" a="1"/>
  <c r="M4574" i="1" s="1"/>
  <c r="A4576" i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4577" i="1" l="1"/>
  <c r="J4575" i="1" a="1"/>
  <c r="J4575" i="1" s="1"/>
  <c r="P4575" i="1" a="1"/>
  <c r="P4575" i="1" s="1"/>
  <c r="B4576" i="1"/>
  <c r="M4575" i="1" a="1"/>
  <c r="M4575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J4576" i="1" l="1" a="1"/>
  <c r="J4576" i="1" s="1"/>
  <c r="P4576" i="1" a="1"/>
  <c r="P4576" i="1" s="1"/>
  <c r="M4576" i="1" a="1"/>
  <c r="M4576" i="1" s="1"/>
  <c r="B4577" i="1"/>
  <c r="A4578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P4577" i="1" l="1" a="1"/>
  <c r="P4577" i="1" s="1"/>
  <c r="J4577" i="1" a="1"/>
  <c r="J4577" i="1" s="1"/>
  <c r="M4577" i="1" a="1"/>
  <c r="M4577" i="1" s="1"/>
  <c r="B4578" i="1"/>
  <c r="A4579" i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A4580" i="1" l="1"/>
  <c r="B4579" i="1"/>
  <c r="J4578" i="1" a="1"/>
  <c r="J4578" i="1" s="1"/>
  <c r="P4578" i="1" a="1"/>
  <c r="P4578" i="1" s="1"/>
  <c r="M4578" i="1" a="1"/>
  <c r="M4578" i="1" s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M4579" i="1" l="1" a="1"/>
  <c r="M4579" i="1" s="1"/>
  <c r="P4579" i="1" a="1"/>
  <c r="P4579" i="1" s="1"/>
  <c r="B4580" i="1"/>
  <c r="J4579" i="1" a="1"/>
  <c r="J4579" i="1" s="1"/>
  <c r="A4581" i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B4581" i="1" l="1"/>
  <c r="P4580" i="1" a="1"/>
  <c r="P4580" i="1" s="1"/>
  <c r="J4580" i="1" a="1"/>
  <c r="J4580" i="1" s="1"/>
  <c r="M4580" i="1" a="1"/>
  <c r="M4580" i="1" s="1"/>
  <c r="A4582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4583" i="1" l="1"/>
  <c r="J4581" i="1" a="1"/>
  <c r="J4581" i="1" s="1"/>
  <c r="M4581" i="1" a="1"/>
  <c r="M4581" i="1" s="1"/>
  <c r="P4581" i="1" a="1"/>
  <c r="P4581" i="1" s="1"/>
  <c r="B4582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M4582" i="1" l="1" a="1"/>
  <c r="M4582" i="1" s="1"/>
  <c r="B4583" i="1"/>
  <c r="P4582" i="1" a="1"/>
  <c r="P4582" i="1" s="1"/>
  <c r="J4582" i="1" a="1"/>
  <c r="J4582" i="1" s="1"/>
  <c r="A4584" i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A4585" i="1" l="1"/>
  <c r="P4583" i="1" a="1"/>
  <c r="P4583" i="1" s="1"/>
  <c r="M4583" i="1" a="1"/>
  <c r="M4583" i="1" s="1"/>
  <c r="B4584" i="1"/>
  <c r="J4583" i="1" a="1"/>
  <c r="J4583" i="1" s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B4585" i="1" l="1"/>
  <c r="M4584" i="1" a="1"/>
  <c r="M4584" i="1" s="1"/>
  <c r="J4584" i="1" a="1"/>
  <c r="J4584" i="1" s="1"/>
  <c r="P4584" i="1" a="1"/>
  <c r="P4584" i="1" s="1"/>
  <c r="A4586" i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A4587" i="1" l="1"/>
  <c r="P4585" i="1" a="1"/>
  <c r="P4585" i="1" s="1"/>
  <c r="M4585" i="1" a="1"/>
  <c r="M4585" i="1" s="1"/>
  <c r="J4585" i="1" a="1"/>
  <c r="J4585" i="1" s="1"/>
  <c r="B4586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J4586" i="1" l="1" a="1"/>
  <c r="J4586" i="1" s="1"/>
  <c r="B4587" i="1"/>
  <c r="M4586" i="1" a="1"/>
  <c r="M4586" i="1" s="1"/>
  <c r="P4586" i="1" a="1"/>
  <c r="P4586" i="1" s="1"/>
  <c r="A4588" i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M4587" i="1" l="1" a="1"/>
  <c r="M4587" i="1" s="1"/>
  <c r="B4588" i="1"/>
  <c r="J4587" i="1" a="1"/>
  <c r="J4587" i="1" s="1"/>
  <c r="P4587" i="1" a="1"/>
  <c r="P4587" i="1" s="1"/>
  <c r="A4589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4590" i="1" l="1"/>
  <c r="B4589" i="1"/>
  <c r="P4588" i="1" a="1"/>
  <c r="P4588" i="1" s="1"/>
  <c r="J4588" i="1" a="1"/>
  <c r="J4588" i="1" s="1"/>
  <c r="M4588" i="1" a="1"/>
  <c r="M4588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M4589" i="1" l="1" a="1"/>
  <c r="M4589" i="1" s="1"/>
  <c r="B4590" i="1"/>
  <c r="J4589" i="1" a="1"/>
  <c r="J4589" i="1" s="1"/>
  <c r="P4589" i="1" a="1"/>
  <c r="P4589" i="1" s="1"/>
  <c r="A4591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4592" i="1" l="1"/>
  <c r="P4590" i="1" a="1"/>
  <c r="P4590" i="1" s="1"/>
  <c r="B4591" i="1"/>
  <c r="M4590" i="1" a="1"/>
  <c r="M4590" i="1" s="1"/>
  <c r="J4590" i="1" a="1"/>
  <c r="J4590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B4592" i="1" l="1"/>
  <c r="M4591" i="1" a="1"/>
  <c r="M4591" i="1" s="1"/>
  <c r="J4591" i="1" a="1"/>
  <c r="J4591" i="1" s="1"/>
  <c r="P4591" i="1" a="1"/>
  <c r="P4591" i="1" s="1"/>
  <c r="A4593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B4593" i="1" l="1"/>
  <c r="P4592" i="1" a="1"/>
  <c r="P4592" i="1" s="1"/>
  <c r="M4592" i="1" a="1"/>
  <c r="M4592" i="1" s="1"/>
  <c r="J4592" i="1" a="1"/>
  <c r="J4592" i="1" s="1"/>
  <c r="A4594" i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4595" i="1" l="1"/>
  <c r="J4593" i="1" a="1"/>
  <c r="J4593" i="1" s="1"/>
  <c r="P4593" i="1" a="1"/>
  <c r="P4593" i="1" s="1"/>
  <c r="B4594" i="1"/>
  <c r="M4593" i="1" a="1"/>
  <c r="M4593" i="1" s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M4594" i="1" l="1" a="1"/>
  <c r="M4594" i="1" s="1"/>
  <c r="B4595" i="1"/>
  <c r="J4594" i="1" a="1"/>
  <c r="J4594" i="1" s="1"/>
  <c r="P4594" i="1" a="1"/>
  <c r="P4594" i="1" s="1"/>
  <c r="A4596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J4595" i="1" l="1" a="1"/>
  <c r="J4595" i="1" s="1"/>
  <c r="P4595" i="1" a="1"/>
  <c r="P4595" i="1" s="1"/>
  <c r="B4596" i="1"/>
  <c r="M4595" i="1" a="1"/>
  <c r="M4595" i="1" s="1"/>
  <c r="A4597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8" i="1" l="1"/>
  <c r="B4597" i="1"/>
  <c r="J4596" i="1" a="1"/>
  <c r="J4596" i="1" s="1"/>
  <c r="P4596" i="1" a="1"/>
  <c r="P4596" i="1" s="1"/>
  <c r="M4596" i="1" a="1"/>
  <c r="M4596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J4597" i="1" l="1" a="1"/>
  <c r="J4597" i="1" s="1"/>
  <c r="P4597" i="1" a="1"/>
  <c r="P4597" i="1" s="1"/>
  <c r="B4598" i="1"/>
  <c r="M4597" i="1" a="1"/>
  <c r="M4597" i="1" s="1"/>
  <c r="A4599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J4598" i="1" l="1" a="1"/>
  <c r="J4598" i="1" s="1"/>
  <c r="M4598" i="1" a="1"/>
  <c r="M4598" i="1" s="1"/>
  <c r="B4599" i="1"/>
  <c r="P4598" i="1" a="1"/>
  <c r="P4598" i="1" s="1"/>
  <c r="A4600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599" i="1" l="1" a="1"/>
  <c r="M4599" i="1" s="1"/>
  <c r="B4600" i="1"/>
  <c r="J4599" i="1" a="1"/>
  <c r="J4599" i="1" s="1"/>
  <c r="P4599" i="1" a="1"/>
  <c r="P4599" i="1" s="1"/>
  <c r="A4601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2" i="1" l="1"/>
  <c r="B4601" i="1"/>
  <c r="M4600" i="1" a="1"/>
  <c r="M4600" i="1" s="1"/>
  <c r="J4600" i="1" a="1"/>
  <c r="J4600" i="1" s="1"/>
  <c r="P4600" i="1" a="1"/>
  <c r="P4600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2" i="1" l="1"/>
  <c r="M4601" i="1" a="1"/>
  <c r="M4601" i="1" s="1"/>
  <c r="P4601" i="1" a="1"/>
  <c r="P4601" i="1" s="1"/>
  <c r="J4601" i="1" a="1"/>
  <c r="J4601" i="1" s="1"/>
  <c r="A4603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2" i="1" l="1" a="1"/>
  <c r="P4602" i="1" s="1"/>
  <c r="B4603" i="1"/>
  <c r="M4602" i="1" a="1"/>
  <c r="M4602" i="1" s="1"/>
  <c r="J4602" i="1" a="1"/>
  <c r="J4602" i="1" s="1"/>
  <c r="A4604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J4603" i="1" l="1" a="1"/>
  <c r="J4603" i="1" s="1"/>
  <c r="P4603" i="1" a="1"/>
  <c r="P4603" i="1" s="1"/>
  <c r="B4604" i="1"/>
  <c r="M4603" i="1" a="1"/>
  <c r="M4603" i="1" s="1"/>
  <c r="A4605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B4605" i="1" l="1"/>
  <c r="J4604" i="1" a="1"/>
  <c r="J4604" i="1" s="1"/>
  <c r="P4604" i="1" a="1"/>
  <c r="P4604" i="1" s="1"/>
  <c r="M4604" i="1" a="1"/>
  <c r="M4604" i="1" s="1"/>
  <c r="A4606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7" i="1" l="1"/>
  <c r="J4605" i="1" a="1"/>
  <c r="J4605" i="1" s="1"/>
  <c r="P4605" i="1" a="1"/>
  <c r="P4605" i="1" s="1"/>
  <c r="B4606" i="1"/>
  <c r="M4605" i="1" a="1"/>
  <c r="M4605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8" i="1" l="1"/>
  <c r="J4606" i="1" a="1"/>
  <c r="J4606" i="1" s="1"/>
  <c r="P4606" i="1" a="1"/>
  <c r="P4606" i="1" s="1"/>
  <c r="M4606" i="1" a="1"/>
  <c r="M4606" i="1" s="1"/>
  <c r="B4607" i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09" i="1" l="1"/>
  <c r="P4607" i="1" a="1"/>
  <c r="P4607" i="1" s="1"/>
  <c r="J4607" i="1" a="1"/>
  <c r="J4607" i="1" s="1"/>
  <c r="M4607" i="1" a="1"/>
  <c r="M4607" i="1" s="1"/>
  <c r="B4608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0" i="1" l="1"/>
  <c r="B4609" i="1"/>
  <c r="J4608" i="1" a="1"/>
  <c r="J4608" i="1" s="1"/>
  <c r="M4608" i="1" a="1"/>
  <c r="M4608" i="1" s="1"/>
  <c r="P4608" i="1" a="1"/>
  <c r="P4608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B4610" i="1" l="1"/>
  <c r="M4609" i="1" a="1"/>
  <c r="M4609" i="1" s="1"/>
  <c r="P4609" i="1" a="1"/>
  <c r="P4609" i="1" s="1"/>
  <c r="J4609" i="1" a="1"/>
  <c r="J4609" i="1" s="1"/>
  <c r="A4611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2" i="1" l="1"/>
  <c r="B4611" i="1"/>
  <c r="M4610" i="1" a="1"/>
  <c r="M4610" i="1" s="1"/>
  <c r="P4610" i="1" a="1"/>
  <c r="P4610" i="1" s="1"/>
  <c r="J4610" i="1" a="1"/>
  <c r="J4610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1" i="1" l="1" a="1"/>
  <c r="P4611" i="1" s="1"/>
  <c r="B4612" i="1"/>
  <c r="M4611" i="1" a="1"/>
  <c r="M4611" i="1" s="1"/>
  <c r="J4611" i="1" a="1"/>
  <c r="J4611" i="1" s="1"/>
  <c r="A4613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3" i="1" l="1"/>
  <c r="P4612" i="1" a="1"/>
  <c r="P4612" i="1" s="1"/>
  <c r="J4612" i="1" a="1"/>
  <c r="J4612" i="1" s="1"/>
  <c r="M4612" i="1" a="1"/>
  <c r="M4612" i="1" s="1"/>
  <c r="A4614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5" i="1" l="1"/>
  <c r="J4613" i="1" a="1"/>
  <c r="J4613" i="1" s="1"/>
  <c r="P4613" i="1" a="1"/>
  <c r="P4613" i="1" s="1"/>
  <c r="M4613" i="1" a="1"/>
  <c r="M4613" i="1" s="1"/>
  <c r="B4614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J4614" i="1" l="1" a="1"/>
  <c r="J4614" i="1" s="1"/>
  <c r="P4614" i="1" a="1"/>
  <c r="P4614" i="1" s="1"/>
  <c r="M4614" i="1" a="1"/>
  <c r="M4614" i="1" s="1"/>
  <c r="B4615" i="1"/>
  <c r="A4616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7" i="1" l="1"/>
  <c r="J4615" i="1" a="1"/>
  <c r="J4615" i="1" s="1"/>
  <c r="P4615" i="1" a="1"/>
  <c r="P4615" i="1" s="1"/>
  <c r="M4615" i="1" a="1"/>
  <c r="M4615" i="1" s="1"/>
  <c r="B4616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B4617" i="1" l="1"/>
  <c r="M4616" i="1" a="1"/>
  <c r="M4616" i="1" s="1"/>
  <c r="J4616" i="1" a="1"/>
  <c r="J4616" i="1" s="1"/>
  <c r="P4616" i="1" a="1"/>
  <c r="P4616" i="1" s="1"/>
  <c r="A4618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19" i="1" l="1"/>
  <c r="P4617" i="1" a="1"/>
  <c r="P4617" i="1" s="1"/>
  <c r="M4617" i="1" a="1"/>
  <c r="M4617" i="1" s="1"/>
  <c r="B4618" i="1"/>
  <c r="J4617" i="1" a="1"/>
  <c r="J4617" i="1" s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B4619" i="1" l="1"/>
  <c r="M4618" i="1" a="1"/>
  <c r="M4618" i="1" s="1"/>
  <c r="J4618" i="1" a="1"/>
  <c r="J4618" i="1" s="1"/>
  <c r="P4618" i="1" a="1"/>
  <c r="P4618" i="1" s="1"/>
  <c r="A4620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1" i="1" l="1"/>
  <c r="B4620" i="1"/>
  <c r="M4619" i="1" a="1"/>
  <c r="M4619" i="1" s="1"/>
  <c r="P4619" i="1" a="1"/>
  <c r="P4619" i="1" s="1"/>
  <c r="J4619" i="1" a="1"/>
  <c r="J4619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B4621" i="1" l="1"/>
  <c r="M4620" i="1" a="1"/>
  <c r="M4620" i="1" s="1"/>
  <c r="P4620" i="1" a="1"/>
  <c r="P4620" i="1" s="1"/>
  <c r="J4620" i="1" a="1"/>
  <c r="J4620" i="1" s="1"/>
  <c r="A4622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3" i="1" l="1"/>
  <c r="M4621" i="1" a="1"/>
  <c r="M4621" i="1" s="1"/>
  <c r="B4622" i="1"/>
  <c r="P4621" i="1" a="1"/>
  <c r="P4621" i="1" s="1"/>
  <c r="J4621" i="1" a="1"/>
  <c r="J4621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2" i="1" l="1" a="1"/>
  <c r="P4622" i="1" s="1"/>
  <c r="J4622" i="1" a="1"/>
  <c r="J4622" i="1" s="1"/>
  <c r="B4623" i="1"/>
  <c r="M4622" i="1" a="1"/>
  <c r="M4622" i="1" s="1"/>
  <c r="A4624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4" i="1" l="1"/>
  <c r="J4623" i="1" a="1"/>
  <c r="J4623" i="1" s="1"/>
  <c r="P4623" i="1" a="1"/>
  <c r="P4623" i="1" s="1"/>
  <c r="M4623" i="1" a="1"/>
  <c r="M4623" i="1" s="1"/>
  <c r="A4625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6" i="1" l="1"/>
  <c r="B4625" i="1"/>
  <c r="M4624" i="1" a="1"/>
  <c r="M4624" i="1" s="1"/>
  <c r="P4624" i="1" a="1"/>
  <c r="P4624" i="1" s="1"/>
  <c r="J4624" i="1" a="1"/>
  <c r="J4624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5" i="1" l="1" a="1"/>
  <c r="P4625" i="1" s="1"/>
  <c r="M4625" i="1" a="1"/>
  <c r="M4625" i="1" s="1"/>
  <c r="B4626" i="1"/>
  <c r="J4625" i="1" a="1"/>
  <c r="J4625" i="1" s="1"/>
  <c r="A4627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J4626" i="1" l="1" a="1"/>
  <c r="J4626" i="1" s="1"/>
  <c r="P4626" i="1" a="1"/>
  <c r="P4626" i="1" s="1"/>
  <c r="M4626" i="1" a="1"/>
  <c r="M4626" i="1" s="1"/>
  <c r="B4627" i="1"/>
  <c r="A4628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29" i="1" l="1"/>
  <c r="B4628" i="1"/>
  <c r="P4627" i="1" a="1"/>
  <c r="P4627" i="1" s="1"/>
  <c r="J4627" i="1" a="1"/>
  <c r="J4627" i="1" s="1"/>
  <c r="M4627" i="1" a="1"/>
  <c r="M4627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J4628" i="1" l="1" a="1"/>
  <c r="J4628" i="1" s="1"/>
  <c r="B4629" i="1"/>
  <c r="M4628" i="1" a="1"/>
  <c r="M4628" i="1" s="1"/>
  <c r="P4628" i="1" a="1"/>
  <c r="P4628" i="1" s="1"/>
  <c r="A4630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0" i="1" l="1"/>
  <c r="M4629" i="1" a="1"/>
  <c r="M4629" i="1" s="1"/>
  <c r="J4629" i="1" a="1"/>
  <c r="J4629" i="1" s="1"/>
  <c r="P4629" i="1" a="1"/>
  <c r="P4629" i="1" s="1"/>
  <c r="A4631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2" i="1" l="1"/>
  <c r="M4630" i="1" a="1"/>
  <c r="M4630" i="1" s="1"/>
  <c r="P4630" i="1" a="1"/>
  <c r="P4630" i="1" s="1"/>
  <c r="B4631" i="1"/>
  <c r="J4630" i="1" a="1"/>
  <c r="J4630" i="1" s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3" i="1" l="1"/>
  <c r="B4632" i="1"/>
  <c r="M4631" i="1" a="1"/>
  <c r="M4631" i="1" s="1"/>
  <c r="J4631" i="1" a="1"/>
  <c r="J4631" i="1" s="1"/>
  <c r="P4631" i="1" a="1"/>
  <c r="P4631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2" i="1" l="1" a="1"/>
  <c r="P4632" i="1" s="1"/>
  <c r="J4632" i="1" a="1"/>
  <c r="J4632" i="1" s="1"/>
  <c r="B4633" i="1"/>
  <c r="M4632" i="1" a="1"/>
  <c r="M4632" i="1" s="1"/>
  <c r="A4634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J4633" i="1" l="1" a="1"/>
  <c r="J4633" i="1" s="1"/>
  <c r="B4634" i="1"/>
  <c r="M4633" i="1" a="1"/>
  <c r="M4633" i="1" s="1"/>
  <c r="P4633" i="1" a="1"/>
  <c r="P4633" i="1" s="1"/>
  <c r="A4635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4" i="1" l="1" a="1"/>
  <c r="M4634" i="1" s="1"/>
  <c r="B4635" i="1"/>
  <c r="P4634" i="1" a="1"/>
  <c r="P4634" i="1" s="1"/>
  <c r="J4634" i="1" a="1"/>
  <c r="J4634" i="1" s="1"/>
  <c r="A4636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7" i="1" l="1"/>
  <c r="B4636" i="1"/>
  <c r="M4635" i="1" a="1"/>
  <c r="M4635" i="1" s="1"/>
  <c r="P4635" i="1" a="1"/>
  <c r="P4635" i="1" s="1"/>
  <c r="J4635" i="1" a="1"/>
  <c r="J4635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6" i="1" l="1" a="1"/>
  <c r="M4636" i="1" s="1"/>
  <c r="B4637" i="1"/>
  <c r="J4636" i="1" a="1"/>
  <c r="J4636" i="1" s="1"/>
  <c r="P4636" i="1" a="1"/>
  <c r="P4636" i="1" s="1"/>
  <c r="A4638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39" i="1" l="1"/>
  <c r="P4637" i="1" a="1"/>
  <c r="P4637" i="1" s="1"/>
  <c r="J4637" i="1" a="1"/>
  <c r="J4637" i="1" s="1"/>
  <c r="B4638" i="1"/>
  <c r="M4637" i="1" a="1"/>
  <c r="M4637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0" i="1" l="1"/>
  <c r="J4638" i="1" a="1"/>
  <c r="J4638" i="1" s="1"/>
  <c r="P4638" i="1" a="1"/>
  <c r="P4638" i="1" s="1"/>
  <c r="B4639" i="1"/>
  <c r="M4638" i="1" a="1"/>
  <c r="M4638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B4640" i="1" l="1"/>
  <c r="M4639" i="1" a="1"/>
  <c r="M4639" i="1" s="1"/>
  <c r="P4639" i="1" a="1"/>
  <c r="P4639" i="1" s="1"/>
  <c r="J4639" i="1" a="1"/>
  <c r="J4639" i="1" s="1"/>
  <c r="A4641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2" i="1" l="1"/>
  <c r="J4640" i="1" a="1"/>
  <c r="J4640" i="1" s="1"/>
  <c r="M4640" i="1" a="1"/>
  <c r="M4640" i="1" s="1"/>
  <c r="P4640" i="1" a="1"/>
  <c r="P4640" i="1" s="1"/>
  <c r="B4641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1" i="1" l="1" a="1"/>
  <c r="M4641" i="1" s="1"/>
  <c r="B4642" i="1"/>
  <c r="J4641" i="1" a="1"/>
  <c r="J4641" i="1" s="1"/>
  <c r="P4641" i="1" a="1"/>
  <c r="P4641" i="1" s="1"/>
  <c r="A4643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4" i="1" l="1"/>
  <c r="P4642" i="1" a="1"/>
  <c r="P4642" i="1" s="1"/>
  <c r="J4642" i="1" a="1"/>
  <c r="J4642" i="1" s="1"/>
  <c r="B4643" i="1"/>
  <c r="M4642" i="1" a="1"/>
  <c r="M4642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4" i="1" l="1"/>
  <c r="J4643" i="1" a="1"/>
  <c r="J4643" i="1" s="1"/>
  <c r="P4643" i="1" a="1"/>
  <c r="P4643" i="1" s="1"/>
  <c r="M4643" i="1" a="1"/>
  <c r="M4643" i="1" s="1"/>
  <c r="A4645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6" i="1" l="1"/>
  <c r="B4645" i="1"/>
  <c r="M4644" i="1" a="1"/>
  <c r="M4644" i="1" s="1"/>
  <c r="J4644" i="1" a="1"/>
  <c r="J4644" i="1" s="1"/>
  <c r="P4644" i="1" a="1"/>
  <c r="P4644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4645" i="1" l="1" a="1"/>
  <c r="J4645" i="1" s="1"/>
  <c r="M4645" i="1" a="1"/>
  <c r="M4645" i="1" s="1"/>
  <c r="P4645" i="1" a="1"/>
  <c r="P4645" i="1" s="1"/>
  <c r="B4646" i="1"/>
  <c r="A4647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4646" i="1" l="1" a="1"/>
  <c r="M4646" i="1" s="1"/>
  <c r="B4647" i="1"/>
  <c r="J4646" i="1" a="1"/>
  <c r="J4646" i="1" s="1"/>
  <c r="P4646" i="1" a="1"/>
  <c r="P4646" i="1" s="1"/>
  <c r="A4648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B4648" i="1" l="1"/>
  <c r="P4647" i="1" a="1"/>
  <c r="P4647" i="1" s="1"/>
  <c r="J4647" i="1" a="1"/>
  <c r="J4647" i="1" s="1"/>
  <c r="M4647" i="1" a="1"/>
  <c r="M4647" i="1" s="1"/>
  <c r="A4649" i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4650" i="1" l="1"/>
  <c r="J4648" i="1" a="1"/>
  <c r="J4648" i="1" s="1"/>
  <c r="P4648" i="1" a="1"/>
  <c r="P4648" i="1" s="1"/>
  <c r="B4649" i="1"/>
  <c r="M4648" i="1" a="1"/>
  <c r="M4648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4650" i="1" l="1"/>
  <c r="M4649" i="1" a="1"/>
  <c r="M4649" i="1" s="1"/>
  <c r="P4649" i="1" a="1"/>
  <c r="P4649" i="1" s="1"/>
  <c r="J4649" i="1" a="1"/>
  <c r="J4649" i="1" s="1"/>
  <c r="A4651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4652" i="1" l="1"/>
  <c r="J4650" i="1" a="1"/>
  <c r="J4650" i="1" s="1"/>
  <c r="M4650" i="1" a="1"/>
  <c r="M4650" i="1" s="1"/>
  <c r="B4651" i="1"/>
  <c r="P4650" i="1" a="1"/>
  <c r="P4650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B4652" i="1" l="1"/>
  <c r="M4651" i="1" a="1"/>
  <c r="M4651" i="1" s="1"/>
  <c r="J4651" i="1" a="1"/>
  <c r="J4651" i="1" s="1"/>
  <c r="P4651" i="1" a="1"/>
  <c r="P4651" i="1" s="1"/>
  <c r="A4653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4654" i="1" l="1"/>
  <c r="P4652" i="1" a="1"/>
  <c r="P4652" i="1" s="1"/>
  <c r="J4652" i="1" a="1"/>
  <c r="J4652" i="1" s="1"/>
  <c r="B4653" i="1"/>
  <c r="M4652" i="1" a="1"/>
  <c r="M4652" i="1" s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J4653" i="1" l="1" a="1"/>
  <c r="J4653" i="1" s="1"/>
  <c r="P4653" i="1" a="1"/>
  <c r="P4653" i="1" s="1"/>
  <c r="B4654" i="1"/>
  <c r="M4653" i="1" a="1"/>
  <c r="M4653" i="1" s="1"/>
  <c r="A4655" i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P4654" i="1" l="1" a="1"/>
  <c r="P4654" i="1" s="1"/>
  <c r="B4655" i="1"/>
  <c r="M4654" i="1" a="1"/>
  <c r="M4654" i="1" s="1"/>
  <c r="J4654" i="1" a="1"/>
  <c r="J4654" i="1" s="1"/>
  <c r="A4656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A4657" i="1" l="1"/>
  <c r="B4656" i="1"/>
  <c r="J4655" i="1" a="1"/>
  <c r="J4655" i="1" s="1"/>
  <c r="M4655" i="1" a="1"/>
  <c r="M4655" i="1" s="1"/>
  <c r="P4655" i="1" a="1"/>
  <c r="P4655" i="1" s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M4656" i="1" l="1" a="1"/>
  <c r="M4656" i="1" s="1"/>
  <c r="B4657" i="1"/>
  <c r="J4656" i="1" a="1"/>
  <c r="J4656" i="1" s="1"/>
  <c r="P4656" i="1" a="1"/>
  <c r="P4656" i="1" s="1"/>
  <c r="A4658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A4659" i="1" l="1"/>
  <c r="P4657" i="1" a="1"/>
  <c r="P4657" i="1" s="1"/>
  <c r="J4657" i="1" a="1"/>
  <c r="J4657" i="1" s="1"/>
  <c r="B4658" i="1"/>
  <c r="M4657" i="1" a="1"/>
  <c r="M4657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H3521" i="1"/>
  <c r="J4658" i="1" l="1" a="1"/>
  <c r="J4658" i="1" s="1"/>
  <c r="P4658" i="1" a="1"/>
  <c r="P4658" i="1" s="1"/>
  <c r="B4659" i="1"/>
  <c r="M4658" i="1" a="1"/>
  <c r="M4658" i="1" s="1"/>
  <c r="A4660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B4660" i="1" l="1"/>
  <c r="P4659" i="1" a="1"/>
  <c r="P4659" i="1" s="1"/>
  <c r="J4659" i="1" a="1"/>
  <c r="J4659" i="1" s="1"/>
  <c r="M4659" i="1" a="1"/>
  <c r="M4659" i="1" s="1"/>
  <c r="A4661" i="1"/>
  <c r="A4662" i="1" l="1"/>
  <c r="M4660" i="1" a="1"/>
  <c r="M4660" i="1" s="1"/>
  <c r="J4660" i="1" a="1"/>
  <c r="J4660" i="1" s="1"/>
  <c r="P4660" i="1" a="1"/>
  <c r="P4660" i="1" s="1"/>
  <c r="B4661" i="1"/>
  <c r="M4661" i="1" l="1" a="1"/>
  <c r="M4661" i="1" s="1"/>
  <c r="J4661" i="1" a="1"/>
  <c r="J4661" i="1" s="1"/>
  <c r="B4662" i="1"/>
  <c r="P4661" i="1" a="1"/>
  <c r="P4661" i="1" s="1"/>
  <c r="A4663" i="1"/>
  <c r="B4663" i="1" l="1"/>
  <c r="M4662" i="1" a="1"/>
  <c r="M4662" i="1" s="1"/>
  <c r="P4662" i="1" a="1"/>
  <c r="P4662" i="1" s="1"/>
  <c r="J4662" i="1" a="1"/>
  <c r="J4662" i="1" s="1"/>
  <c r="A4664" i="1"/>
  <c r="A4665" i="1" l="1"/>
  <c r="B4664" i="1"/>
  <c r="M4663" i="1" a="1"/>
  <c r="M4663" i="1" s="1"/>
  <c r="P4663" i="1" a="1"/>
  <c r="P4663" i="1" s="1"/>
  <c r="J4663" i="1" a="1"/>
  <c r="J4663" i="1" s="1"/>
  <c r="P4664" i="1" l="1" a="1"/>
  <c r="P4664" i="1" s="1"/>
  <c r="B4665" i="1"/>
  <c r="M4664" i="1" a="1"/>
  <c r="M4664" i="1" s="1"/>
  <c r="J4664" i="1" a="1"/>
  <c r="J4664" i="1" s="1"/>
  <c r="A4666" i="1"/>
  <c r="P4665" i="1" l="1" a="1"/>
  <c r="P4665" i="1" s="1"/>
  <c r="B4666" i="1"/>
  <c r="M4665" i="1" a="1"/>
  <c r="M4665" i="1" s="1"/>
  <c r="J4665" i="1" a="1"/>
  <c r="J4665" i="1" s="1"/>
  <c r="A4667" i="1"/>
  <c r="A4668" i="1" l="1"/>
  <c r="J4666" i="1" a="1"/>
  <c r="J4666" i="1" s="1"/>
  <c r="P4666" i="1" a="1"/>
  <c r="P4666" i="1" s="1"/>
  <c r="M4666" i="1" a="1"/>
  <c r="M4666" i="1" s="1"/>
  <c r="B4667" i="1"/>
  <c r="A4669" i="1" l="1"/>
  <c r="B4668" i="1"/>
  <c r="M4667" i="1" a="1"/>
  <c r="M4667" i="1" s="1"/>
  <c r="J4667" i="1" a="1"/>
  <c r="J4667" i="1" s="1"/>
  <c r="P4667" i="1" a="1"/>
  <c r="P4667" i="1" s="1"/>
  <c r="P4668" i="1" l="1" a="1"/>
  <c r="P4668" i="1" s="1"/>
  <c r="M4668" i="1" a="1"/>
  <c r="M4668" i="1" s="1"/>
  <c r="B4669" i="1"/>
  <c r="J4668" i="1" a="1"/>
  <c r="J4668" i="1" s="1"/>
  <c r="A4670" i="1"/>
  <c r="J4669" i="1" l="1" a="1"/>
  <c r="J4669" i="1" s="1"/>
  <c r="P4669" i="1" a="1"/>
  <c r="P4669" i="1" s="1"/>
  <c r="B4670" i="1"/>
  <c r="M4669" i="1" a="1"/>
  <c r="M4669" i="1" s="1"/>
  <c r="A4671" i="1"/>
  <c r="B4671" i="1" l="1"/>
  <c r="M4670" i="1" a="1"/>
  <c r="M4670" i="1" s="1"/>
  <c r="J4670" i="1" a="1"/>
  <c r="J4670" i="1" s="1"/>
  <c r="P4670" i="1" a="1"/>
  <c r="P4670" i="1" s="1"/>
  <c r="A4672" i="1"/>
  <c r="A4673" i="1" l="1"/>
  <c r="B4672" i="1"/>
  <c r="P4671" i="1" a="1"/>
  <c r="P4671" i="1" s="1"/>
  <c r="J4671" i="1" a="1"/>
  <c r="J4671" i="1" s="1"/>
  <c r="M4671" i="1" a="1"/>
  <c r="M4671" i="1" s="1"/>
  <c r="E127" i="2" l="1"/>
  <c r="D113" i="2"/>
  <c r="D117" i="2"/>
  <c r="C122" i="2"/>
  <c r="D122" i="2"/>
  <c r="E113" i="2"/>
  <c r="C113" i="2"/>
  <c r="C117" i="2"/>
  <c r="E117" i="2"/>
  <c r="C127" i="2"/>
  <c r="E122" i="2"/>
  <c r="D127" i="2"/>
  <c r="C112" i="2"/>
  <c r="C121" i="2"/>
  <c r="E112" i="2"/>
  <c r="D112" i="2"/>
  <c r="D116" i="2"/>
  <c r="D121" i="2"/>
  <c r="E121" i="2"/>
  <c r="E116" i="2"/>
  <c r="C116" i="2"/>
  <c r="M4672" i="1" a="1"/>
  <c r="M4672" i="1" s="1"/>
  <c r="B4673" i="1"/>
  <c r="J4672" i="1" a="1"/>
  <c r="J4672" i="1" s="1"/>
  <c r="P4672" i="1" a="1"/>
  <c r="P4672" i="1" s="1"/>
  <c r="P4673" i="1" l="1" a="1"/>
  <c r="P4673" i="1" s="1"/>
  <c r="M4673" i="1" a="1"/>
  <c r="M4673" i="1" s="1"/>
  <c r="J4673" i="1" a="1"/>
  <c r="J4673" i="1" s="1"/>
  <c r="D107" i="2" l="1"/>
  <c r="E67" i="2"/>
  <c r="C13" i="2"/>
  <c r="D55" i="2"/>
  <c r="C62" i="2"/>
  <c r="D109" i="2"/>
  <c r="D111" i="2"/>
  <c r="D23" i="2"/>
  <c r="E64" i="2"/>
  <c r="C90" i="2"/>
  <c r="C76" i="2"/>
  <c r="C12" i="2"/>
  <c r="C71" i="2"/>
  <c r="D67" i="2"/>
  <c r="D83" i="2"/>
  <c r="E82" i="2"/>
  <c r="C91" i="2"/>
  <c r="C68" i="2"/>
  <c r="C21" i="2"/>
  <c r="E20" i="2"/>
  <c r="C5" i="2"/>
  <c r="E70" i="2"/>
  <c r="C57" i="2"/>
  <c r="C25" i="2"/>
  <c r="E76" i="2"/>
  <c r="C39" i="2"/>
  <c r="D90" i="2"/>
  <c r="D26" i="2"/>
  <c r="D3" i="2"/>
  <c r="E57" i="2"/>
  <c r="D82" i="2"/>
  <c r="D30" i="2"/>
  <c r="C40" i="2"/>
  <c r="D50" i="2"/>
  <c r="D36" i="2"/>
  <c r="E6" i="2"/>
  <c r="D24" i="2"/>
  <c r="C9" i="2"/>
  <c r="E44" i="2"/>
  <c r="E37" i="2"/>
  <c r="E92" i="2"/>
  <c r="C59" i="2"/>
  <c r="E13" i="2"/>
  <c r="D52" i="2"/>
  <c r="D6" i="2"/>
  <c r="C19" i="2"/>
  <c r="D47" i="2"/>
  <c r="C79" i="2"/>
  <c r="E32" i="2"/>
  <c r="C34" i="2"/>
  <c r="C61" i="2"/>
  <c r="D19" i="2"/>
  <c r="C6" i="2"/>
  <c r="E66" i="2"/>
  <c r="C56" i="2"/>
  <c r="D108" i="2"/>
  <c r="D70" i="2"/>
  <c r="C72" i="2"/>
  <c r="C95" i="2"/>
  <c r="E33" i="2"/>
  <c r="E35" i="2"/>
  <c r="D10" i="2"/>
  <c r="E80" i="2"/>
  <c r="C4" i="2"/>
  <c r="E49" i="2"/>
  <c r="E100" i="2"/>
  <c r="E83" i="2"/>
  <c r="C80" i="2"/>
  <c r="E16" i="2"/>
  <c r="E50" i="2"/>
  <c r="C75" i="2"/>
  <c r="D69" i="2"/>
  <c r="C81" i="2"/>
  <c r="C33" i="2"/>
  <c r="C55" i="2"/>
  <c r="C44" i="2"/>
  <c r="C36" i="2"/>
  <c r="D81" i="2"/>
  <c r="D91" i="2"/>
  <c r="C11" i="2"/>
  <c r="E54" i="2"/>
  <c r="D42" i="2"/>
  <c r="C105" i="2"/>
  <c r="C20" i="2"/>
  <c r="C30" i="2"/>
  <c r="E59" i="2"/>
  <c r="E55" i="2"/>
  <c r="E10" i="2"/>
  <c r="C14" i="2"/>
  <c r="C66" i="2"/>
  <c r="D54" i="2"/>
  <c r="E23" i="2"/>
  <c r="C85" i="2"/>
  <c r="E30" i="2"/>
  <c r="E79" i="2"/>
  <c r="C46" i="2"/>
  <c r="E46" i="2"/>
  <c r="C65" i="2"/>
  <c r="C77" i="2"/>
  <c r="E91" i="2"/>
  <c r="E89" i="2"/>
  <c r="D28" i="2"/>
  <c r="D39" i="2"/>
  <c r="E31" i="2"/>
  <c r="C2" i="2"/>
  <c r="E39" i="2"/>
  <c r="E86" i="2"/>
  <c r="D86" i="2"/>
  <c r="C15" i="2"/>
  <c r="E47" i="2"/>
  <c r="C31" i="2"/>
  <c r="C24" i="2"/>
  <c r="D44" i="2"/>
  <c r="C3" i="2"/>
  <c r="C8" i="2"/>
  <c r="E85" i="2"/>
  <c r="D29" i="2"/>
  <c r="C67" i="2"/>
  <c r="D88" i="2"/>
  <c r="C93" i="2"/>
  <c r="E34" i="2"/>
  <c r="E45" i="2"/>
  <c r="E19" i="2"/>
  <c r="C52" i="2"/>
  <c r="E43" i="2"/>
  <c r="D49" i="2"/>
  <c r="D71" i="2"/>
  <c r="E21" i="2"/>
  <c r="E62" i="2"/>
  <c r="C106" i="2"/>
  <c r="C32" i="2"/>
  <c r="C28" i="2"/>
  <c r="E48" i="2"/>
  <c r="C53" i="2"/>
  <c r="D25" i="2"/>
  <c r="C78" i="2"/>
  <c r="C58" i="2"/>
  <c r="C10" i="2"/>
  <c r="C45" i="2"/>
  <c r="C23" i="2"/>
  <c r="C38" i="2"/>
  <c r="E2" i="2"/>
  <c r="D12" i="2"/>
  <c r="E90" i="2"/>
  <c r="D37" i="2"/>
  <c r="C16" i="2"/>
  <c r="E56" i="2"/>
  <c r="C18" i="2"/>
  <c r="C29" i="2"/>
  <c r="E105" i="2"/>
  <c r="E71" i="2"/>
  <c r="E88" i="2"/>
  <c r="D72" i="2"/>
  <c r="E4" i="2"/>
  <c r="D16" i="2"/>
  <c r="C41" i="2"/>
  <c r="C104" i="2"/>
  <c r="E77" i="2"/>
  <c r="C64" i="2"/>
  <c r="E25" i="2"/>
  <c r="C103" i="2"/>
  <c r="E5" i="2"/>
  <c r="D57" i="2"/>
  <c r="E95" i="2"/>
  <c r="E12" i="2"/>
  <c r="E38" i="2"/>
  <c r="E52" i="2"/>
  <c r="E63" i="2"/>
  <c r="D93" i="2"/>
  <c r="E14" i="2"/>
  <c r="E68" i="2"/>
  <c r="D32" i="2"/>
  <c r="E8" i="2"/>
  <c r="E97" i="2"/>
  <c r="E69" i="2"/>
  <c r="C17" i="2"/>
  <c r="C63" i="2"/>
  <c r="C89" i="2"/>
  <c r="D20" i="2"/>
  <c r="E65" i="2"/>
  <c r="D13" i="2"/>
  <c r="C26" i="2"/>
  <c r="E28" i="2"/>
  <c r="E74" i="2"/>
  <c r="D41" i="2"/>
  <c r="C88" i="2"/>
  <c r="E87" i="2"/>
  <c r="C37" i="2"/>
  <c r="C97" i="2"/>
  <c r="C7" i="2"/>
  <c r="E11" i="2"/>
  <c r="E36" i="2"/>
  <c r="C43" i="2"/>
  <c r="C98" i="2"/>
  <c r="E26" i="2"/>
  <c r="E104" i="2"/>
  <c r="E51" i="2"/>
  <c r="E15" i="2"/>
  <c r="E73" i="2"/>
  <c r="C48" i="2"/>
  <c r="D51" i="2"/>
  <c r="C99" i="2"/>
  <c r="C102" i="2"/>
  <c r="C84" i="2"/>
  <c r="E84" i="2"/>
  <c r="D68" i="2"/>
  <c r="C101" i="2"/>
  <c r="C73" i="2"/>
  <c r="E102" i="2"/>
  <c r="C54" i="2"/>
  <c r="C96" i="2"/>
  <c r="C27" i="2"/>
  <c r="D43" i="2"/>
  <c r="E106" i="2"/>
  <c r="D95" i="2"/>
  <c r="E103" i="2"/>
  <c r="D18" i="2"/>
  <c r="E94" i="2"/>
  <c r="E96" i="2"/>
  <c r="E27" i="2"/>
  <c r="E98" i="2"/>
  <c r="C69" i="2"/>
  <c r="E78" i="2"/>
  <c r="E18" i="2"/>
  <c r="E101" i="2"/>
  <c r="E99" i="2"/>
  <c r="E40" i="2"/>
  <c r="C74" i="2"/>
  <c r="C47" i="2"/>
  <c r="C51" i="2"/>
  <c r="E22" i="2"/>
  <c r="E72" i="2"/>
  <c r="C100" i="2"/>
  <c r="D66" i="2"/>
  <c r="C86" i="2"/>
  <c r="D35" i="2"/>
  <c r="D78" i="2"/>
  <c r="D7" i="2"/>
  <c r="E9" i="2"/>
  <c r="D11" i="2"/>
  <c r="E42" i="2"/>
  <c r="E81" i="2"/>
  <c r="C42" i="2"/>
  <c r="E29" i="2"/>
  <c r="C94" i="2"/>
  <c r="E93" i="2"/>
  <c r="C22" i="2"/>
  <c r="D61" i="2"/>
  <c r="E75" i="2"/>
  <c r="D8" i="2"/>
  <c r="D45" i="2"/>
  <c r="D38" i="2"/>
  <c r="D56" i="2"/>
  <c r="D64" i="2"/>
  <c r="D60" i="2"/>
  <c r="D101" i="2"/>
  <c r="D31" i="2"/>
  <c r="D100" i="2"/>
  <c r="E24" i="2"/>
  <c r="D65" i="2"/>
  <c r="D104" i="2"/>
  <c r="D79" i="2"/>
  <c r="D22" i="2"/>
  <c r="D9" i="2"/>
  <c r="D84" i="2"/>
  <c r="D98" i="2"/>
  <c r="D53" i="2"/>
  <c r="E109" i="2"/>
  <c r="D103" i="2"/>
  <c r="D106" i="2"/>
  <c r="E53" i="2"/>
  <c r="D89" i="2"/>
  <c r="C107" i="2"/>
  <c r="E3" i="2"/>
  <c r="D63" i="2"/>
  <c r="C70" i="2"/>
  <c r="E110" i="2"/>
  <c r="C111" i="2"/>
  <c r="D40" i="2"/>
  <c r="C49" i="2"/>
  <c r="D76" i="2"/>
  <c r="D97" i="2"/>
  <c r="E17" i="2"/>
  <c r="D15" i="2"/>
  <c r="C82" i="2"/>
  <c r="E7" i="2"/>
  <c r="E60" i="2"/>
  <c r="D94" i="2"/>
  <c r="D14" i="2"/>
  <c r="D75" i="2"/>
  <c r="C60" i="2"/>
  <c r="D80" i="2"/>
  <c r="C92" i="2"/>
  <c r="E108" i="2"/>
  <c r="E61" i="2"/>
  <c r="D85" i="2"/>
  <c r="D105" i="2"/>
  <c r="D62" i="2"/>
  <c r="E107" i="2"/>
  <c r="D33" i="2"/>
  <c r="C50" i="2"/>
  <c r="D21" i="2"/>
  <c r="D4" i="2"/>
  <c r="D48" i="2"/>
  <c r="C83" i="2"/>
  <c r="E41" i="2"/>
  <c r="D99" i="2"/>
  <c r="D110" i="2"/>
  <c r="D96" i="2"/>
  <c r="D73" i="2"/>
  <c r="C108" i="2"/>
  <c r="D17" i="2"/>
  <c r="D59" i="2"/>
  <c r="E111" i="2"/>
  <c r="D87" i="2"/>
  <c r="E58" i="2"/>
  <c r="C87" i="2"/>
  <c r="D2" i="2"/>
  <c r="C35" i="2"/>
  <c r="D77" i="2"/>
  <c r="C110" i="2"/>
  <c r="D74" i="2"/>
  <c r="C109" i="2"/>
  <c r="D27" i="2"/>
  <c r="D5" i="2"/>
  <c r="D58" i="2"/>
  <c r="D92" i="2"/>
  <c r="D46" i="2"/>
  <c r="D34" i="2"/>
  <c r="D102" i="2"/>
  <c r="I4438" i="1" l="1" a="1"/>
  <c r="I4438" i="1" s="1"/>
  <c r="C4439" i="1" l="1"/>
  <c r="H4438" i="1"/>
  <c r="O4438" i="1" a="1"/>
  <c r="O4438" i="1" s="1"/>
  <c r="I4439" i="1" l="1" a="1"/>
  <c r="I4439" i="1" s="1"/>
  <c r="C4440" i="1"/>
  <c r="I4440" i="1" s="1" a="1"/>
  <c r="I4440" i="1" s="1"/>
  <c r="H4439" i="1"/>
  <c r="O4439" i="1" a="1"/>
  <c r="O4439" i="1" s="1"/>
  <c r="C4441" i="1" l="1"/>
  <c r="H4440" i="1"/>
  <c r="O4440" i="1" a="1"/>
  <c r="O4440" i="1" s="1"/>
  <c r="I4441" i="1" l="1" a="1"/>
  <c r="I4441" i="1" s="1"/>
  <c r="I4442" i="1" a="1"/>
  <c r="I4442" i="1" s="1"/>
  <c r="H4441" i="1"/>
  <c r="O4441" i="1" a="1"/>
  <c r="O4441" i="1" s="1"/>
  <c r="C4443" i="1" l="1"/>
  <c r="H4442" i="1"/>
  <c r="O4442" i="1" a="1"/>
  <c r="O4442" i="1" s="1"/>
  <c r="I4443" i="1" l="1" a="1"/>
  <c r="I4443" i="1" s="1"/>
  <c r="K4447" i="1" a="1"/>
  <c r="K4447" i="1" s="1"/>
  <c r="I4444" i="1" a="1"/>
  <c r="I4444" i="1" s="1"/>
  <c r="H4443" i="1"/>
  <c r="O4443" i="1" a="1"/>
  <c r="O4443" i="1" s="1"/>
  <c r="I4445" i="1" l="1" a="1"/>
  <c r="I4445" i="1" s="1"/>
  <c r="H4444" i="1"/>
  <c r="O4444" i="1" a="1"/>
  <c r="O4444" i="1" s="1"/>
  <c r="I4446" i="1" l="1" a="1"/>
  <c r="I4446" i="1" s="1"/>
  <c r="H4445" i="1"/>
  <c r="O4445" i="1" a="1"/>
  <c r="O4445" i="1" s="1"/>
  <c r="I4447" i="1" l="1" a="1"/>
  <c r="I4447" i="1" s="1"/>
  <c r="H4446" i="1"/>
  <c r="O4446" i="1" a="1"/>
  <c r="O4446" i="1" s="1"/>
  <c r="C4448" i="1" l="1"/>
  <c r="H4447" i="1"/>
  <c r="O4447" i="1" a="1"/>
  <c r="O4447" i="1" s="1"/>
  <c r="I4448" i="1" l="1" a="1"/>
  <c r="I4448" i="1" s="1"/>
  <c r="K4448" i="1" a="1"/>
  <c r="K4448" i="1" s="1"/>
  <c r="C4449" i="1"/>
  <c r="H4448" i="1"/>
  <c r="O4448" i="1" a="1"/>
  <c r="O4448" i="1" s="1"/>
  <c r="I4449" i="1" l="1" a="1"/>
  <c r="I4449" i="1" s="1"/>
  <c r="K4449" i="1" a="1"/>
  <c r="K4449" i="1" s="1"/>
  <c r="C4450" i="1"/>
  <c r="H4449" i="1"/>
  <c r="O4449" i="1" a="1"/>
  <c r="O4449" i="1" s="1"/>
  <c r="I4450" i="1" l="1" a="1"/>
  <c r="I4450" i="1" s="1"/>
  <c r="K4450" i="1" a="1"/>
  <c r="K4450" i="1" s="1"/>
  <c r="H4450" i="1"/>
  <c r="O4450" i="1" a="1"/>
  <c r="O4450" i="1" s="1"/>
  <c r="I4451" i="1" l="1" a="1"/>
  <c r="I4451" i="1" s="1"/>
  <c r="K4451" i="1" a="1"/>
  <c r="K4451" i="1" s="1"/>
  <c r="H4451" i="1"/>
  <c r="O4451" i="1" a="1"/>
  <c r="O4451" i="1" s="1"/>
  <c r="I4452" i="1" l="1" a="1"/>
  <c r="I4452" i="1" s="1"/>
  <c r="K4452" i="1" a="1"/>
  <c r="K4452" i="1" s="1"/>
  <c r="C4453" i="1"/>
  <c r="H4452" i="1"/>
  <c r="O4452" i="1" a="1"/>
  <c r="O4452" i="1" s="1"/>
  <c r="I4453" i="1" l="1" a="1"/>
  <c r="I4453" i="1" s="1"/>
  <c r="K4453" i="1" a="1"/>
  <c r="K4453" i="1" s="1"/>
  <c r="H4453" i="1"/>
  <c r="O4453" i="1" a="1"/>
  <c r="O4453" i="1" s="1"/>
  <c r="I4454" i="1" l="1" a="1"/>
  <c r="I4454" i="1" s="1"/>
  <c r="K4454" i="1" a="1"/>
  <c r="K4454" i="1" s="1"/>
  <c r="H4454" i="1"/>
  <c r="O4454" i="1" a="1"/>
  <c r="O4454" i="1" s="1"/>
  <c r="I4455" i="1" l="1" a="1"/>
  <c r="I4455" i="1" s="1"/>
  <c r="K4455" i="1" a="1"/>
  <c r="K4455" i="1" s="1"/>
  <c r="C4456" i="1"/>
  <c r="H4455" i="1"/>
  <c r="O4455" i="1" a="1"/>
  <c r="O4455" i="1" s="1"/>
  <c r="I4456" i="1" l="1" a="1"/>
  <c r="I4456" i="1" s="1"/>
  <c r="K4456" i="1" a="1"/>
  <c r="K4456" i="1" s="1"/>
  <c r="H4456" i="1"/>
  <c r="O4456" i="1" a="1"/>
  <c r="O4456" i="1" s="1"/>
  <c r="I4457" i="1" l="1" a="1"/>
  <c r="I4457" i="1" s="1"/>
  <c r="K4457" i="1" a="1"/>
  <c r="K4457" i="1" s="1"/>
  <c r="H4457" i="1"/>
  <c r="O4457" i="1" a="1"/>
  <c r="O4457" i="1" s="1"/>
  <c r="I4458" i="1" l="1" a="1"/>
  <c r="I4458" i="1" s="1"/>
  <c r="K4458" i="1" a="1"/>
  <c r="K4458" i="1" s="1"/>
  <c r="C4459" i="1"/>
  <c r="H4458" i="1"/>
  <c r="O4458" i="1" a="1"/>
  <c r="O4458" i="1" s="1"/>
  <c r="I4459" i="1" l="1" a="1"/>
  <c r="I4459" i="1" s="1"/>
  <c r="K4459" i="1" a="1"/>
  <c r="K4459" i="1" s="1"/>
  <c r="H4459" i="1"/>
  <c r="O4459" i="1" a="1"/>
  <c r="O4459" i="1" s="1"/>
  <c r="I4460" i="1" l="1" a="1"/>
  <c r="I4460" i="1" s="1"/>
  <c r="K4460" i="1" a="1"/>
  <c r="K4460" i="1" s="1"/>
  <c r="C4461" i="1"/>
  <c r="H4460" i="1"/>
  <c r="O4460" i="1" a="1"/>
  <c r="O4460" i="1" s="1"/>
  <c r="I4461" i="1" l="1" a="1"/>
  <c r="I4461" i="1" s="1"/>
  <c r="K4461" i="1" a="1"/>
  <c r="K4461" i="1" s="1"/>
  <c r="H4461" i="1"/>
  <c r="O4461" i="1" a="1"/>
  <c r="O4461" i="1" s="1"/>
  <c r="I4462" i="1" l="1" a="1"/>
  <c r="I4462" i="1" s="1"/>
  <c r="K4462" i="1" a="1"/>
  <c r="K4462" i="1" s="1"/>
  <c r="C4463" i="1"/>
  <c r="H4462" i="1"/>
  <c r="O4462" i="1" a="1"/>
  <c r="O4462" i="1" s="1"/>
  <c r="I4463" i="1" l="1" a="1"/>
  <c r="I4463" i="1" s="1"/>
  <c r="K4463" i="1" a="1"/>
  <c r="K4463" i="1" s="1"/>
  <c r="C4464" i="1"/>
  <c r="H4463" i="1"/>
  <c r="O4463" i="1" a="1"/>
  <c r="O4463" i="1" s="1"/>
  <c r="I4464" i="1" l="1" a="1"/>
  <c r="I4464" i="1" s="1"/>
  <c r="K4464" i="1" a="1"/>
  <c r="K4464" i="1" s="1"/>
  <c r="H4464" i="1"/>
  <c r="O4464" i="1" a="1"/>
  <c r="O4464" i="1" s="1"/>
  <c r="I4465" i="1" l="1" a="1"/>
  <c r="I4465" i="1" s="1"/>
  <c r="K4465" i="1" a="1"/>
  <c r="K4465" i="1" s="1"/>
  <c r="C4466" i="1"/>
  <c r="H4465" i="1"/>
  <c r="O4465" i="1" a="1"/>
  <c r="O4465" i="1" s="1"/>
  <c r="I4466" i="1" l="1" a="1"/>
  <c r="I4466" i="1" s="1"/>
  <c r="K4466" i="1" a="1"/>
  <c r="K4466" i="1" s="1"/>
  <c r="H4466" i="1"/>
  <c r="O4466" i="1" a="1"/>
  <c r="O4466" i="1" s="1"/>
  <c r="I4467" i="1" l="1" a="1"/>
  <c r="I4467" i="1" s="1"/>
  <c r="K4467" i="1" a="1"/>
  <c r="K4467" i="1" s="1"/>
  <c r="C4468" i="1"/>
  <c r="H4467" i="1"/>
  <c r="O4467" i="1" a="1"/>
  <c r="O4467" i="1" s="1"/>
  <c r="I4468" i="1" l="1" a="1"/>
  <c r="I4468" i="1" s="1"/>
  <c r="K4468" i="1" a="1"/>
  <c r="K4468" i="1" s="1"/>
  <c r="H4468" i="1"/>
  <c r="O4468" i="1" a="1"/>
  <c r="O4468" i="1" s="1"/>
  <c r="I4469" i="1" l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I4472" i="1" l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L4475" i="1" s="1" a="1"/>
  <c r="L4475" i="1" s="1"/>
  <c r="H4474" i="1"/>
  <c r="O4474" i="1" a="1"/>
  <c r="O4474" i="1" s="1"/>
  <c r="I4475" i="1" l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L4478" i="1" s="1" a="1"/>
  <c r="L4478" i="1" s="1"/>
  <c r="H4477" i="1"/>
  <c r="O4477" i="1" a="1"/>
  <c r="O4477" i="1" s="1"/>
  <c r="I4478" i="1" l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L4482" i="1" s="1" a="1"/>
  <c r="L4482" i="1" s="1"/>
  <c r="H4481" i="1"/>
  <c r="O4481" i="1" a="1"/>
  <c r="O4481" i="1" s="1"/>
  <c r="I4482" i="1" l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L4485" i="1" s="1" a="1"/>
  <c r="L4485" i="1" s="1"/>
  <c r="H4484" i="1"/>
  <c r="O4484" i="1" a="1"/>
  <c r="O4484" i="1" s="1"/>
  <c r="I4485" i="1" l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6" i="1" l="1" a="1"/>
  <c r="L4506" i="1" s="1"/>
  <c r="N4506" i="1" a="1"/>
  <c r="N4506" i="1" s="1"/>
  <c r="I4506" i="1" a="1"/>
  <c r="I4506" i="1" s="1"/>
  <c r="K4506" i="1" a="1"/>
  <c r="K4506" i="1" s="1"/>
  <c r="C4507" i="1"/>
  <c r="H4506" i="1"/>
  <c r="O4506" i="1" a="1"/>
  <c r="O4506" i="1" s="1"/>
  <c r="L4507" i="1" l="1" a="1"/>
  <c r="L4507" i="1" s="1"/>
  <c r="N4507" i="1" a="1"/>
  <c r="N4507" i="1" s="1"/>
  <c r="I4507" i="1" a="1"/>
  <c r="I4507" i="1" s="1"/>
  <c r="K4507" i="1" a="1"/>
  <c r="K4507" i="1" s="1"/>
  <c r="C4508" i="1"/>
  <c r="H4507" i="1"/>
  <c r="O4507" i="1" a="1"/>
  <c r="O4507" i="1" s="1"/>
  <c r="L4508" i="1" l="1" a="1"/>
  <c r="L4508" i="1" s="1"/>
  <c r="N4508" i="1" a="1"/>
  <c r="N4508" i="1" s="1"/>
  <c r="I4508" i="1" a="1"/>
  <c r="I4508" i="1" s="1"/>
  <c r="K4508" i="1" a="1"/>
  <c r="K4508" i="1" s="1"/>
  <c r="C4509" i="1"/>
  <c r="H4508" i="1"/>
  <c r="O4508" i="1" a="1"/>
  <c r="O4508" i="1" s="1"/>
  <c r="L4509" i="1" l="1" a="1"/>
  <c r="L4509" i="1" s="1"/>
  <c r="N4509" i="1" a="1"/>
  <c r="N4509" i="1" s="1"/>
  <c r="I4509" i="1" a="1"/>
  <c r="I4509" i="1" s="1"/>
  <c r="K4509" i="1" a="1"/>
  <c r="K4509" i="1" s="1"/>
  <c r="C4510" i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C4511" i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C4512" i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C4513" i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C4514" i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C4515" i="1"/>
  <c r="H4514" i="1"/>
  <c r="O4514" i="1" a="1"/>
  <c r="O4514" i="1" s="1"/>
  <c r="L4515" i="1" l="1" a="1"/>
  <c r="L4515" i="1" s="1"/>
  <c r="N4515" i="1" a="1"/>
  <c r="N4515" i="1" s="1"/>
  <c r="I4515" i="1" a="1"/>
  <c r="I4515" i="1" s="1"/>
  <c r="K4515" i="1" a="1"/>
  <c r="K4515" i="1" s="1"/>
  <c r="C4516" i="1"/>
  <c r="H4515" i="1"/>
  <c r="O4515" i="1" a="1"/>
  <c r="O4515" i="1" s="1"/>
  <c r="L4516" i="1" l="1" a="1"/>
  <c r="L4516" i="1" s="1"/>
  <c r="N4516" i="1" a="1"/>
  <c r="N4516" i="1" s="1"/>
  <c r="I4516" i="1" a="1"/>
  <c r="I4516" i="1" s="1"/>
  <c r="K4516" i="1" a="1"/>
  <c r="K4516" i="1" s="1"/>
  <c r="C4517" i="1"/>
  <c r="H4516" i="1"/>
  <c r="O4516" i="1" a="1"/>
  <c r="O4516" i="1" s="1"/>
  <c r="L4517" i="1" l="1" a="1"/>
  <c r="L4517" i="1" s="1"/>
  <c r="N4517" i="1" a="1"/>
  <c r="N4517" i="1" s="1"/>
  <c r="I4517" i="1" a="1"/>
  <c r="I4517" i="1" s="1"/>
  <c r="K4517" i="1" a="1"/>
  <c r="K4517" i="1" s="1"/>
  <c r="C4518" i="1"/>
  <c r="H4517" i="1"/>
  <c r="O4517" i="1" a="1"/>
  <c r="O4517" i="1" s="1"/>
  <c r="L4518" i="1" l="1" a="1"/>
  <c r="L4518" i="1" s="1"/>
  <c r="N4518" i="1" a="1"/>
  <c r="N4518" i="1" s="1"/>
  <c r="I4518" i="1" a="1"/>
  <c r="I4518" i="1" s="1"/>
  <c r="K4518" i="1" a="1"/>
  <c r="K4518" i="1" s="1"/>
  <c r="C4519" i="1"/>
  <c r="H4518" i="1"/>
  <c r="O4518" i="1" a="1"/>
  <c r="O4518" i="1" s="1"/>
  <c r="L4519" i="1" l="1" a="1"/>
  <c r="L4519" i="1" s="1"/>
  <c r="N4519" i="1" a="1"/>
  <c r="N4519" i="1" s="1"/>
  <c r="I4519" i="1" a="1"/>
  <c r="I4519" i="1" s="1"/>
  <c r="K4519" i="1" a="1"/>
  <c r="K4519" i="1" s="1"/>
  <c r="C4520" i="1"/>
  <c r="H4519" i="1"/>
  <c r="O4519" i="1" a="1"/>
  <c r="O4519" i="1" s="1"/>
  <c r="L4520" i="1" l="1" a="1"/>
  <c r="L4520" i="1" s="1"/>
  <c r="N4520" i="1" a="1"/>
  <c r="N4520" i="1" s="1"/>
  <c r="I4520" i="1" a="1"/>
  <c r="I4520" i="1" s="1"/>
  <c r="K4520" i="1" a="1"/>
  <c r="K4520" i="1" s="1"/>
  <c r="C4521" i="1"/>
  <c r="H4520" i="1"/>
  <c r="O4520" i="1" a="1"/>
  <c r="O4520" i="1" s="1"/>
  <c r="L4521" i="1" l="1" a="1"/>
  <c r="L4521" i="1" s="1"/>
  <c r="N4521" i="1" a="1"/>
  <c r="N4521" i="1" s="1"/>
  <c r="I4521" i="1" a="1"/>
  <c r="I4521" i="1" s="1"/>
  <c r="K4521" i="1" a="1"/>
  <c r="K4521" i="1" s="1"/>
  <c r="C4522" i="1"/>
  <c r="H4521" i="1"/>
  <c r="O4521" i="1" a="1"/>
  <c r="O4521" i="1" s="1"/>
  <c r="L4522" i="1" l="1" a="1"/>
  <c r="L4522" i="1" s="1"/>
  <c r="N4522" i="1" a="1"/>
  <c r="N4522" i="1" s="1"/>
  <c r="I4522" i="1" a="1"/>
  <c r="I4522" i="1" s="1"/>
  <c r="K4522" i="1" a="1"/>
  <c r="K4522" i="1" s="1"/>
  <c r="C4523" i="1"/>
  <c r="H4522" i="1"/>
  <c r="O4522" i="1" a="1"/>
  <c r="O4522" i="1" s="1"/>
  <c r="L4523" i="1" l="1" a="1"/>
  <c r="L4523" i="1" s="1"/>
  <c r="N4523" i="1" a="1"/>
  <c r="N4523" i="1" s="1"/>
  <c r="I4523" i="1" a="1"/>
  <c r="I4523" i="1" s="1"/>
  <c r="K4523" i="1" a="1"/>
  <c r="K4523" i="1" s="1"/>
  <c r="C4524" i="1"/>
  <c r="H4523" i="1"/>
  <c r="O4523" i="1" a="1"/>
  <c r="O4523" i="1" s="1"/>
  <c r="L4524" i="1" l="1" a="1"/>
  <c r="L4524" i="1" s="1"/>
  <c r="N4524" i="1" a="1"/>
  <c r="N4524" i="1" s="1"/>
  <c r="I4524" i="1" a="1"/>
  <c r="I4524" i="1" s="1"/>
  <c r="K4524" i="1" a="1"/>
  <c r="K4524" i="1" s="1"/>
  <c r="C4525" i="1"/>
  <c r="H4524" i="1"/>
  <c r="O4524" i="1" a="1"/>
  <c r="O4524" i="1" s="1"/>
  <c r="L4525" i="1" l="1" a="1"/>
  <c r="L4525" i="1" s="1"/>
  <c r="N4525" i="1" a="1"/>
  <c r="N4525" i="1" s="1"/>
  <c r="I4525" i="1" a="1"/>
  <c r="I4525" i="1" s="1"/>
  <c r="K4525" i="1" a="1"/>
  <c r="K4525" i="1" s="1"/>
  <c r="C4526" i="1"/>
  <c r="H4525" i="1"/>
  <c r="O4525" i="1" a="1"/>
  <c r="O4525" i="1" s="1"/>
  <c r="L4526" i="1" l="1" a="1"/>
  <c r="L4526" i="1" s="1"/>
  <c r="N4526" i="1" a="1"/>
  <c r="N4526" i="1" s="1"/>
  <c r="I4526" i="1" a="1"/>
  <c r="I4526" i="1" s="1"/>
  <c r="K4526" i="1" a="1"/>
  <c r="K4526" i="1" s="1"/>
  <c r="C4527" i="1"/>
  <c r="H4526" i="1"/>
  <c r="O4526" i="1" a="1"/>
  <c r="O4526" i="1" s="1"/>
  <c r="L4527" i="1" l="1" a="1"/>
  <c r="L4527" i="1" s="1"/>
  <c r="N4527" i="1" a="1"/>
  <c r="N4527" i="1" s="1"/>
  <c r="I4527" i="1" a="1"/>
  <c r="I4527" i="1" s="1"/>
  <c r="K4527" i="1" a="1"/>
  <c r="K4527" i="1" s="1"/>
  <c r="C4528" i="1"/>
  <c r="H4527" i="1"/>
  <c r="O4527" i="1" a="1"/>
  <c r="O4527" i="1" s="1"/>
  <c r="L4528" i="1" l="1" a="1"/>
  <c r="L4528" i="1" s="1"/>
  <c r="N4528" i="1" a="1"/>
  <c r="N4528" i="1" s="1"/>
  <c r="I4528" i="1" a="1"/>
  <c r="I4528" i="1" s="1"/>
  <c r="K4528" i="1" a="1"/>
  <c r="K4528" i="1" s="1"/>
  <c r="C4529" i="1"/>
  <c r="H4528" i="1"/>
  <c r="O4528" i="1" a="1"/>
  <c r="O4528" i="1" s="1"/>
  <c r="L4529" i="1" l="1" a="1"/>
  <c r="L4529" i="1" s="1"/>
  <c r="N4529" i="1" a="1"/>
  <c r="N4529" i="1" s="1"/>
  <c r="I4529" i="1" a="1"/>
  <c r="I4529" i="1" s="1"/>
  <c r="K4529" i="1" a="1"/>
  <c r="K4529" i="1" s="1"/>
  <c r="C4530" i="1"/>
  <c r="H4529" i="1"/>
  <c r="O4529" i="1" a="1"/>
  <c r="O4529" i="1" s="1"/>
  <c r="L4530" i="1" l="1" a="1"/>
  <c r="L4530" i="1" s="1"/>
  <c r="N4530" i="1" a="1"/>
  <c r="N4530" i="1" s="1"/>
  <c r="I4530" i="1" a="1"/>
  <c r="I4530" i="1" s="1"/>
  <c r="K4530" i="1" a="1"/>
  <c r="K4530" i="1" s="1"/>
  <c r="C4531" i="1"/>
  <c r="H4530" i="1"/>
  <c r="O4530" i="1" a="1"/>
  <c r="O4530" i="1" s="1"/>
  <c r="L4531" i="1" l="1" a="1"/>
  <c r="L4531" i="1" s="1"/>
  <c r="N4531" i="1" a="1"/>
  <c r="N4531" i="1" s="1"/>
  <c r="I4531" i="1" a="1"/>
  <c r="I4531" i="1" s="1"/>
  <c r="K4531" i="1" a="1"/>
  <c r="K4531" i="1" s="1"/>
  <c r="C4532" i="1"/>
  <c r="H4531" i="1"/>
  <c r="O4531" i="1" a="1"/>
  <c r="O4531" i="1" s="1"/>
  <c r="L4532" i="1" l="1" a="1"/>
  <c r="L4532" i="1" s="1"/>
  <c r="N4532" i="1" a="1"/>
  <c r="N4532" i="1" s="1"/>
  <c r="I4532" i="1" a="1"/>
  <c r="I4532" i="1" s="1"/>
  <c r="K4532" i="1" a="1"/>
  <c r="K4532" i="1" s="1"/>
  <c r="C4533" i="1"/>
  <c r="H4532" i="1"/>
  <c r="O4532" i="1" a="1"/>
  <c r="O4532" i="1" s="1"/>
  <c r="L4533" i="1" l="1" a="1"/>
  <c r="L4533" i="1" s="1"/>
  <c r="N4533" i="1" a="1"/>
  <c r="N4533" i="1" s="1"/>
  <c r="I4533" i="1" a="1"/>
  <c r="I4533" i="1" s="1"/>
  <c r="K4533" i="1" a="1"/>
  <c r="K4533" i="1" s="1"/>
  <c r="C4534" i="1"/>
  <c r="H4533" i="1"/>
  <c r="O4533" i="1" a="1"/>
  <c r="O4533" i="1" s="1"/>
  <c r="L4534" i="1" l="1" a="1"/>
  <c r="L4534" i="1" s="1"/>
  <c r="N4534" i="1" a="1"/>
  <c r="N4534" i="1" s="1"/>
  <c r="I4534" i="1" a="1"/>
  <c r="I4534" i="1" s="1"/>
  <c r="K4534" i="1" a="1"/>
  <c r="K4534" i="1" s="1"/>
  <c r="C4535" i="1"/>
  <c r="H4534" i="1"/>
  <c r="O4534" i="1" a="1"/>
  <c r="O4534" i="1" s="1"/>
  <c r="L4535" i="1" l="1" a="1"/>
  <c r="L4535" i="1" s="1"/>
  <c r="N4535" i="1" a="1"/>
  <c r="N4535" i="1" s="1"/>
  <c r="I4535" i="1" a="1"/>
  <c r="I4535" i="1" s="1"/>
  <c r="K4535" i="1" a="1"/>
  <c r="K4535" i="1" s="1"/>
  <c r="C4536" i="1"/>
  <c r="H4535" i="1"/>
  <c r="O4535" i="1" a="1"/>
  <c r="O4535" i="1" s="1"/>
  <c r="L4536" i="1" l="1" a="1"/>
  <c r="L4536" i="1" s="1"/>
  <c r="N4536" i="1" a="1"/>
  <c r="N4536" i="1" s="1"/>
  <c r="I4536" i="1" a="1"/>
  <c r="I4536" i="1" s="1"/>
  <c r="K4536" i="1" a="1"/>
  <c r="K4536" i="1" s="1"/>
  <c r="C4537" i="1"/>
  <c r="H4536" i="1"/>
  <c r="O4536" i="1" a="1"/>
  <c r="O4536" i="1" s="1"/>
  <c r="L4537" i="1" l="1" a="1"/>
  <c r="L4537" i="1" s="1"/>
  <c r="N4537" i="1" a="1"/>
  <c r="N4537" i="1" s="1"/>
  <c r="I4537" i="1" a="1"/>
  <c r="I4537" i="1" s="1"/>
  <c r="K4537" i="1" a="1"/>
  <c r="K4537" i="1" s="1"/>
  <c r="C4538" i="1"/>
  <c r="H4537" i="1"/>
  <c r="O4537" i="1" a="1"/>
  <c r="O4537" i="1" s="1"/>
  <c r="L4538" i="1" l="1" a="1"/>
  <c r="L4538" i="1" s="1"/>
  <c r="N4538" i="1" a="1"/>
  <c r="N4538" i="1" s="1"/>
  <c r="I4538" i="1" a="1"/>
  <c r="I4538" i="1" s="1"/>
  <c r="K4538" i="1" a="1"/>
  <c r="K4538" i="1" s="1"/>
  <c r="C4539" i="1"/>
  <c r="H4538" i="1"/>
  <c r="O4538" i="1" a="1"/>
  <c r="O4538" i="1" s="1"/>
  <c r="L4539" i="1" l="1" a="1"/>
  <c r="L4539" i="1" s="1"/>
  <c r="N4539" i="1" a="1"/>
  <c r="N4539" i="1" s="1"/>
  <c r="I4539" i="1" a="1"/>
  <c r="I4539" i="1" s="1"/>
  <c r="K4539" i="1" a="1"/>
  <c r="K4539" i="1" s="1"/>
  <c r="C4540" i="1"/>
  <c r="H4539" i="1"/>
  <c r="O4539" i="1" a="1"/>
  <c r="O4539" i="1" s="1"/>
  <c r="L4540" i="1" l="1" a="1"/>
  <c r="L4540" i="1" s="1"/>
  <c r="N4540" i="1" a="1"/>
  <c r="N4540" i="1" s="1"/>
  <c r="I4540" i="1" a="1"/>
  <c r="I4540" i="1" s="1"/>
  <c r="K4540" i="1" a="1"/>
  <c r="K4540" i="1" s="1"/>
  <c r="C4541" i="1"/>
  <c r="H4540" i="1"/>
  <c r="O4540" i="1" a="1"/>
  <c r="O4540" i="1" s="1"/>
  <c r="L4541" i="1" l="1" a="1"/>
  <c r="L4541" i="1" s="1"/>
  <c r="N4541" i="1" a="1"/>
  <c r="N4541" i="1" s="1"/>
  <c r="I4541" i="1" a="1"/>
  <c r="I4541" i="1" s="1"/>
  <c r="K4541" i="1" a="1"/>
  <c r="K4541" i="1" s="1"/>
  <c r="C4542" i="1"/>
  <c r="H4541" i="1"/>
  <c r="O4541" i="1" a="1"/>
  <c r="O4541" i="1" s="1"/>
  <c r="L4542" i="1" l="1" a="1"/>
  <c r="L4542" i="1" s="1"/>
  <c r="N4542" i="1" a="1"/>
  <c r="N4542" i="1" s="1"/>
  <c r="I4542" i="1" a="1"/>
  <c r="I4542" i="1" s="1"/>
  <c r="K4542" i="1" a="1"/>
  <c r="K4542" i="1" s="1"/>
  <c r="C4543" i="1"/>
  <c r="H4542" i="1"/>
  <c r="O4542" i="1" a="1"/>
  <c r="O4542" i="1" s="1"/>
  <c r="L4543" i="1" l="1" a="1"/>
  <c r="L4543" i="1" s="1"/>
  <c r="N4543" i="1" a="1"/>
  <c r="N4543" i="1" s="1"/>
  <c r="I4543" i="1" a="1"/>
  <c r="I4543" i="1" s="1"/>
  <c r="K4543" i="1" a="1"/>
  <c r="K4543" i="1" s="1"/>
  <c r="C4544" i="1"/>
  <c r="H4543" i="1"/>
  <c r="O4543" i="1" a="1"/>
  <c r="O4543" i="1" s="1"/>
  <c r="L4544" i="1" l="1" a="1"/>
  <c r="L4544" i="1" s="1"/>
  <c r="N4544" i="1" a="1"/>
  <c r="N4544" i="1" s="1"/>
  <c r="I4544" i="1" a="1"/>
  <c r="I4544" i="1" s="1"/>
  <c r="K4544" i="1" a="1"/>
  <c r="K4544" i="1" s="1"/>
  <c r="C4545" i="1"/>
  <c r="H4544" i="1"/>
  <c r="O4544" i="1" a="1"/>
  <c r="O4544" i="1" s="1"/>
  <c r="L4545" i="1" l="1" a="1"/>
  <c r="L4545" i="1" s="1"/>
  <c r="N4545" i="1" a="1"/>
  <c r="N4545" i="1" s="1"/>
  <c r="I4545" i="1" a="1"/>
  <c r="I4545" i="1" s="1"/>
  <c r="K4545" i="1" a="1"/>
  <c r="K4545" i="1" s="1"/>
  <c r="C4546" i="1"/>
  <c r="H4545" i="1"/>
  <c r="O4545" i="1" a="1"/>
  <c r="O4545" i="1" s="1"/>
  <c r="L4546" i="1" l="1" a="1"/>
  <c r="L4546" i="1" s="1"/>
  <c r="N4546" i="1" a="1"/>
  <c r="N4546" i="1" s="1"/>
  <c r="I4546" i="1" a="1"/>
  <c r="I4546" i="1" s="1"/>
  <c r="K4546" i="1" a="1"/>
  <c r="K4546" i="1" s="1"/>
  <c r="C4547" i="1"/>
  <c r="H4546" i="1"/>
  <c r="O4546" i="1" a="1"/>
  <c r="O4546" i="1" s="1"/>
  <c r="L4547" i="1" l="1" a="1"/>
  <c r="L4547" i="1" s="1"/>
  <c r="N4547" i="1" a="1"/>
  <c r="N4547" i="1" s="1"/>
  <c r="I4547" i="1" a="1"/>
  <c r="I4547" i="1" s="1"/>
  <c r="K4547" i="1" a="1"/>
  <c r="K4547" i="1" s="1"/>
  <c r="C4548" i="1"/>
  <c r="H4547" i="1"/>
  <c r="O4547" i="1" a="1"/>
  <c r="O4547" i="1" s="1"/>
  <c r="L4548" i="1" l="1" a="1"/>
  <c r="L4548" i="1" s="1"/>
  <c r="N4548" i="1" a="1"/>
  <c r="N4548" i="1" s="1"/>
  <c r="I4548" i="1" a="1"/>
  <c r="I4548" i="1" s="1"/>
  <c r="K4548" i="1" a="1"/>
  <c r="K4548" i="1" s="1"/>
  <c r="C4549" i="1"/>
  <c r="H4548" i="1"/>
  <c r="O4548" i="1" a="1"/>
  <c r="O4548" i="1" s="1"/>
  <c r="L4549" i="1" l="1" a="1"/>
  <c r="L4549" i="1" s="1"/>
  <c r="N4549" i="1" a="1"/>
  <c r="N4549" i="1" s="1"/>
  <c r="I4549" i="1" a="1"/>
  <c r="I4549" i="1" s="1"/>
  <c r="K4549" i="1" a="1"/>
  <c r="K4549" i="1" s="1"/>
  <c r="C4550" i="1"/>
  <c r="H4549" i="1"/>
  <c r="O4549" i="1" a="1"/>
  <c r="O4549" i="1" s="1"/>
  <c r="L4550" i="1" l="1" a="1"/>
  <c r="L4550" i="1" s="1"/>
  <c r="N4550" i="1" a="1"/>
  <c r="N4550" i="1" s="1"/>
  <c r="I4550" i="1" a="1"/>
  <c r="I4550" i="1" s="1"/>
  <c r="K4550" i="1" a="1"/>
  <c r="K4550" i="1" s="1"/>
  <c r="C4551" i="1"/>
  <c r="H4550" i="1"/>
  <c r="O4550" i="1" a="1"/>
  <c r="O4550" i="1" s="1"/>
  <c r="L4551" i="1" l="1" a="1"/>
  <c r="L4551" i="1" s="1"/>
  <c r="N4551" i="1" a="1"/>
  <c r="N4551" i="1" s="1"/>
  <c r="I4551" i="1" a="1"/>
  <c r="I4551" i="1" s="1"/>
  <c r="K4551" i="1" a="1"/>
  <c r="K4551" i="1" s="1"/>
  <c r="C4552" i="1"/>
  <c r="H4551" i="1"/>
  <c r="O4551" i="1" a="1"/>
  <c r="O4551" i="1" s="1"/>
  <c r="L4552" i="1" l="1" a="1"/>
  <c r="L4552" i="1" s="1"/>
  <c r="N4552" i="1" a="1"/>
  <c r="N4552" i="1" s="1"/>
  <c r="I4552" i="1" a="1"/>
  <c r="I4552" i="1" s="1"/>
  <c r="K4552" i="1" a="1"/>
  <c r="K4552" i="1" s="1"/>
  <c r="C4553" i="1"/>
  <c r="H4552" i="1"/>
  <c r="O4552" i="1" a="1"/>
  <c r="O4552" i="1" s="1"/>
  <c r="L4553" i="1" l="1" a="1"/>
  <c r="L4553" i="1" s="1"/>
  <c r="N4553" i="1" a="1"/>
  <c r="N4553" i="1" s="1"/>
  <c r="I4553" i="1" a="1"/>
  <c r="I4553" i="1" s="1"/>
  <c r="K4553" i="1" a="1"/>
  <c r="K4553" i="1" s="1"/>
  <c r="C4554" i="1"/>
  <c r="H4553" i="1"/>
  <c r="O4553" i="1" a="1"/>
  <c r="O4553" i="1" s="1"/>
  <c r="L4554" i="1" l="1" a="1"/>
  <c r="L4554" i="1" s="1"/>
  <c r="N4554" i="1" a="1"/>
  <c r="N4554" i="1" s="1"/>
  <c r="I4554" i="1" a="1"/>
  <c r="I4554" i="1" s="1"/>
  <c r="K4554" i="1" a="1"/>
  <c r="K4554" i="1" s="1"/>
  <c r="C4555" i="1"/>
  <c r="H4554" i="1"/>
  <c r="O4554" i="1" a="1"/>
  <c r="O4554" i="1" s="1"/>
  <c r="L4555" i="1" l="1" a="1"/>
  <c r="L4555" i="1" s="1"/>
  <c r="N4555" i="1" a="1"/>
  <c r="N4555" i="1" s="1"/>
  <c r="I4555" i="1" a="1"/>
  <c r="I4555" i="1" s="1"/>
  <c r="K4555" i="1" a="1"/>
  <c r="K4555" i="1" s="1"/>
  <c r="C4556" i="1"/>
  <c r="H4555" i="1"/>
  <c r="O4555" i="1" a="1"/>
  <c r="O4555" i="1" s="1"/>
  <c r="L4556" i="1" l="1" a="1"/>
  <c r="L4556" i="1" s="1"/>
  <c r="N4556" i="1" a="1"/>
  <c r="N4556" i="1" s="1"/>
  <c r="I4556" i="1" a="1"/>
  <c r="I4556" i="1" s="1"/>
  <c r="K4556" i="1" a="1"/>
  <c r="K4556" i="1" s="1"/>
  <c r="C4557" i="1"/>
  <c r="H4556" i="1"/>
  <c r="O4556" i="1" a="1"/>
  <c r="O4556" i="1" s="1"/>
  <c r="L4557" i="1" l="1" a="1"/>
  <c r="L4557" i="1" s="1"/>
  <c r="N4557" i="1" a="1"/>
  <c r="N4557" i="1" s="1"/>
  <c r="I4557" i="1" a="1"/>
  <c r="I4557" i="1" s="1"/>
  <c r="K4557" i="1" a="1"/>
  <c r="K4557" i="1" s="1"/>
  <c r="C4558" i="1"/>
  <c r="H4557" i="1"/>
  <c r="O4557" i="1" a="1"/>
  <c r="O4557" i="1" s="1"/>
  <c r="L4558" i="1" l="1" a="1"/>
  <c r="L4558" i="1" s="1"/>
  <c r="N4558" i="1" a="1"/>
  <c r="N4558" i="1" s="1"/>
  <c r="I4558" i="1" a="1"/>
  <c r="I4558" i="1" s="1"/>
  <c r="K4558" i="1" a="1"/>
  <c r="K4558" i="1" s="1"/>
  <c r="C4559" i="1"/>
  <c r="H4558" i="1"/>
  <c r="O4558" i="1" a="1"/>
  <c r="O4558" i="1" s="1"/>
  <c r="L4559" i="1" l="1" a="1"/>
  <c r="L4559" i="1" s="1"/>
  <c r="N4559" i="1" a="1"/>
  <c r="N4559" i="1" s="1"/>
  <c r="I4559" i="1" a="1"/>
  <c r="I4559" i="1" s="1"/>
  <c r="K4559" i="1" a="1"/>
  <c r="K4559" i="1" s="1"/>
  <c r="C4560" i="1"/>
  <c r="H4559" i="1"/>
  <c r="O4559" i="1" a="1"/>
  <c r="O4559" i="1" s="1"/>
  <c r="L4560" i="1" l="1" a="1"/>
  <c r="L4560" i="1" s="1"/>
  <c r="N4560" i="1" a="1"/>
  <c r="N4560" i="1" s="1"/>
  <c r="I4560" i="1" a="1"/>
  <c r="I4560" i="1" s="1"/>
  <c r="K4560" i="1" a="1"/>
  <c r="K4560" i="1" s="1"/>
  <c r="C4561" i="1"/>
  <c r="H4560" i="1"/>
  <c r="O4560" i="1" a="1"/>
  <c r="O4560" i="1" s="1"/>
  <c r="L4561" i="1" l="1" a="1"/>
  <c r="L4561" i="1" s="1"/>
  <c r="N4561" i="1" a="1"/>
  <c r="N4561" i="1" s="1"/>
  <c r="I4561" i="1" a="1"/>
  <c r="I4561" i="1" s="1"/>
  <c r="K4561" i="1" a="1"/>
  <c r="K4561" i="1" s="1"/>
  <c r="C4562" i="1"/>
  <c r="H4561" i="1"/>
  <c r="O4561" i="1" a="1"/>
  <c r="O4561" i="1" s="1"/>
  <c r="L4562" i="1" l="1" a="1"/>
  <c r="L4562" i="1" s="1"/>
  <c r="N4562" i="1" a="1"/>
  <c r="N4562" i="1" s="1"/>
  <c r="I4562" i="1" a="1"/>
  <c r="I4562" i="1" s="1"/>
  <c r="K4562" i="1" a="1"/>
  <c r="K4562" i="1" s="1"/>
  <c r="C4563" i="1"/>
  <c r="H4562" i="1"/>
  <c r="O4562" i="1" a="1"/>
  <c r="O4562" i="1" s="1"/>
  <c r="L4563" i="1" l="1" a="1"/>
  <c r="L4563" i="1" s="1"/>
  <c r="N4563" i="1" a="1"/>
  <c r="N4563" i="1" s="1"/>
  <c r="I4563" i="1" a="1"/>
  <c r="I4563" i="1" s="1"/>
  <c r="K4563" i="1" a="1"/>
  <c r="K4563" i="1" s="1"/>
  <c r="C4564" i="1"/>
  <c r="H4563" i="1"/>
  <c r="O4563" i="1" a="1"/>
  <c r="O4563" i="1" s="1"/>
  <c r="L4564" i="1" l="1" a="1"/>
  <c r="L4564" i="1" s="1"/>
  <c r="N4564" i="1" a="1"/>
  <c r="N4564" i="1" s="1"/>
  <c r="I4564" i="1" a="1"/>
  <c r="I4564" i="1" s="1"/>
  <c r="K4564" i="1" a="1"/>
  <c r="K4564" i="1" s="1"/>
  <c r="C4565" i="1"/>
  <c r="H4564" i="1"/>
  <c r="O4564" i="1" a="1"/>
  <c r="O4564" i="1" s="1"/>
  <c r="L4565" i="1" l="1" a="1"/>
  <c r="L4565" i="1" s="1"/>
  <c r="N4565" i="1" a="1"/>
  <c r="N4565" i="1" s="1"/>
  <c r="I4565" i="1" a="1"/>
  <c r="I4565" i="1" s="1"/>
  <c r="K4565" i="1" a="1"/>
  <c r="K4565" i="1" s="1"/>
  <c r="C4566" i="1"/>
  <c r="H4565" i="1"/>
  <c r="O4565" i="1" a="1"/>
  <c r="O4565" i="1" s="1"/>
  <c r="L4566" i="1" l="1" a="1"/>
  <c r="L4566" i="1" s="1"/>
  <c r="N4566" i="1" a="1"/>
  <c r="N4566" i="1" s="1"/>
  <c r="I4566" i="1" a="1"/>
  <c r="I4566" i="1" s="1"/>
  <c r="K4566" i="1" a="1"/>
  <c r="K4566" i="1" s="1"/>
  <c r="C4567" i="1"/>
  <c r="H4566" i="1"/>
  <c r="O4566" i="1" a="1"/>
  <c r="O4566" i="1" s="1"/>
  <c r="L4567" i="1" l="1" a="1"/>
  <c r="L4567" i="1" s="1"/>
  <c r="N4567" i="1" a="1"/>
  <c r="N4567" i="1" s="1"/>
  <c r="I4567" i="1" a="1"/>
  <c r="I4567" i="1" s="1"/>
  <c r="K4567" i="1" a="1"/>
  <c r="K4567" i="1" s="1"/>
  <c r="C4568" i="1"/>
  <c r="H4567" i="1"/>
  <c r="O4567" i="1" a="1"/>
  <c r="O4567" i="1" s="1"/>
  <c r="L4568" i="1" l="1" a="1"/>
  <c r="L4568" i="1" s="1"/>
  <c r="N4568" i="1" a="1"/>
  <c r="N4568" i="1" s="1"/>
  <c r="I4568" i="1" a="1"/>
  <c r="I4568" i="1" s="1"/>
  <c r="K4568" i="1" a="1"/>
  <c r="K4568" i="1" s="1"/>
  <c r="C4569" i="1"/>
  <c r="H4568" i="1"/>
  <c r="O4568" i="1" a="1"/>
  <c r="O4568" i="1" s="1"/>
  <c r="L4569" i="1" l="1" a="1"/>
  <c r="L4569" i="1" s="1"/>
  <c r="N4569" i="1" a="1"/>
  <c r="N4569" i="1" s="1"/>
  <c r="I4569" i="1" a="1"/>
  <c r="I4569" i="1" s="1"/>
  <c r="K4569" i="1" a="1"/>
  <c r="K4569" i="1" s="1"/>
  <c r="C4570" i="1"/>
  <c r="H4569" i="1"/>
  <c r="O4569" i="1" a="1"/>
  <c r="O4569" i="1" s="1"/>
  <c r="L4570" i="1" l="1" a="1"/>
  <c r="L4570" i="1" s="1"/>
  <c r="N4570" i="1" a="1"/>
  <c r="N4570" i="1" s="1"/>
  <c r="I4570" i="1" a="1"/>
  <c r="I4570" i="1" s="1"/>
  <c r="K4570" i="1" a="1"/>
  <c r="K4570" i="1" s="1"/>
  <c r="C4571" i="1"/>
  <c r="H4570" i="1"/>
  <c r="O4570" i="1" a="1"/>
  <c r="O4570" i="1" s="1"/>
  <c r="L4571" i="1" l="1" a="1"/>
  <c r="L4571" i="1" s="1"/>
  <c r="N4571" i="1" a="1"/>
  <c r="N4571" i="1" s="1"/>
  <c r="I4571" i="1" a="1"/>
  <c r="I4571" i="1" s="1"/>
  <c r="K4571" i="1" a="1"/>
  <c r="K4571" i="1" s="1"/>
  <c r="C4572" i="1"/>
  <c r="H4571" i="1"/>
  <c r="O4571" i="1" a="1"/>
  <c r="O4571" i="1" s="1"/>
  <c r="L4572" i="1" l="1" a="1"/>
  <c r="L4572" i="1" s="1"/>
  <c r="N4572" i="1" a="1"/>
  <c r="N4572" i="1" s="1"/>
  <c r="I4572" i="1" a="1"/>
  <c r="I4572" i="1" s="1"/>
  <c r="K4572" i="1" a="1"/>
  <c r="K4572" i="1" s="1"/>
  <c r="C4573" i="1"/>
  <c r="H4572" i="1"/>
  <c r="O4572" i="1" a="1"/>
  <c r="O4572" i="1" s="1"/>
  <c r="L4573" i="1" l="1" a="1"/>
  <c r="L4573" i="1" s="1"/>
  <c r="N4573" i="1" a="1"/>
  <c r="N4573" i="1" s="1"/>
  <c r="I4573" i="1" a="1"/>
  <c r="I4573" i="1" s="1"/>
  <c r="K4573" i="1" a="1"/>
  <c r="K4573" i="1" s="1"/>
  <c r="C4574" i="1"/>
  <c r="H4573" i="1"/>
  <c r="O4573" i="1" a="1"/>
  <c r="O4573" i="1" s="1"/>
  <c r="L4574" i="1" l="1" a="1"/>
  <c r="L4574" i="1" s="1"/>
  <c r="N4574" i="1" a="1"/>
  <c r="N4574" i="1" s="1"/>
  <c r="I4574" i="1" a="1"/>
  <c r="I4574" i="1" s="1"/>
  <c r="K4574" i="1" a="1"/>
  <c r="K4574" i="1" s="1"/>
  <c r="C4575" i="1"/>
  <c r="H4574" i="1"/>
  <c r="O4574" i="1" a="1"/>
  <c r="O4574" i="1" s="1"/>
  <c r="L4575" i="1" l="1" a="1"/>
  <c r="L4575" i="1" s="1"/>
  <c r="N4575" i="1" a="1"/>
  <c r="N4575" i="1" s="1"/>
  <c r="I4575" i="1" a="1"/>
  <c r="I4575" i="1" s="1"/>
  <c r="K4575" i="1" a="1"/>
  <c r="K4575" i="1" s="1"/>
  <c r="C4576" i="1"/>
  <c r="H4575" i="1"/>
  <c r="O4575" i="1" a="1"/>
  <c r="O4575" i="1" s="1"/>
  <c r="L4576" i="1" l="1" a="1"/>
  <c r="L4576" i="1" s="1"/>
  <c r="N4576" i="1" a="1"/>
  <c r="N4576" i="1" s="1"/>
  <c r="I4576" i="1" a="1"/>
  <c r="I4576" i="1" s="1"/>
  <c r="K4576" i="1" a="1"/>
  <c r="K4576" i="1" s="1"/>
  <c r="C4577" i="1"/>
  <c r="H4576" i="1"/>
  <c r="O4576" i="1" a="1"/>
  <c r="O4576" i="1" s="1"/>
  <c r="L4577" i="1" l="1" a="1"/>
  <c r="L4577" i="1" s="1"/>
  <c r="N4577" i="1" a="1"/>
  <c r="N4577" i="1" s="1"/>
  <c r="I4577" i="1" a="1"/>
  <c r="I4577" i="1" s="1"/>
  <c r="K4577" i="1" a="1"/>
  <c r="K4577" i="1" s="1"/>
  <c r="C4578" i="1"/>
  <c r="H4577" i="1"/>
  <c r="O4577" i="1" a="1"/>
  <c r="O4577" i="1" s="1"/>
  <c r="L4578" i="1" l="1" a="1"/>
  <c r="L4578" i="1" s="1"/>
  <c r="N4578" i="1" a="1"/>
  <c r="N4578" i="1" s="1"/>
  <c r="I4578" i="1" a="1"/>
  <c r="I4578" i="1" s="1"/>
  <c r="K4578" i="1" a="1"/>
  <c r="K4578" i="1" s="1"/>
  <c r="C4579" i="1"/>
  <c r="H4578" i="1"/>
  <c r="O4578" i="1" a="1"/>
  <c r="O4578" i="1" s="1"/>
  <c r="L4579" i="1" l="1" a="1"/>
  <c r="L4579" i="1" s="1"/>
  <c r="N4579" i="1" a="1"/>
  <c r="N4579" i="1" s="1"/>
  <c r="I4579" i="1" a="1"/>
  <c r="I4579" i="1" s="1"/>
  <c r="K4579" i="1" a="1"/>
  <c r="K4579" i="1" s="1"/>
  <c r="C4580" i="1"/>
  <c r="H4579" i="1"/>
  <c r="O4579" i="1" a="1"/>
  <c r="O4579" i="1" s="1"/>
  <c r="L4580" i="1" l="1" a="1"/>
  <c r="L4580" i="1" s="1"/>
  <c r="N4580" i="1" a="1"/>
  <c r="N4580" i="1" s="1"/>
  <c r="I4580" i="1" a="1"/>
  <c r="I4580" i="1" s="1"/>
  <c r="K4580" i="1" a="1"/>
  <c r="K4580" i="1" s="1"/>
  <c r="C4581" i="1"/>
  <c r="H4580" i="1"/>
  <c r="O4580" i="1" a="1"/>
  <c r="O4580" i="1" s="1"/>
  <c r="L4581" i="1" l="1" a="1"/>
  <c r="L4581" i="1" s="1"/>
  <c r="N4581" i="1" a="1"/>
  <c r="N4581" i="1" s="1"/>
  <c r="I4581" i="1" a="1"/>
  <c r="I4581" i="1" s="1"/>
  <c r="K4581" i="1" a="1"/>
  <c r="K4581" i="1" s="1"/>
  <c r="C4582" i="1"/>
  <c r="H4581" i="1"/>
  <c r="O4581" i="1" a="1"/>
  <c r="O4581" i="1" s="1"/>
  <c r="L4582" i="1" l="1" a="1"/>
  <c r="L4582" i="1" s="1"/>
  <c r="N4582" i="1" a="1"/>
  <c r="N4582" i="1" s="1"/>
  <c r="I4582" i="1" a="1"/>
  <c r="I4582" i="1" s="1"/>
  <c r="K4582" i="1" a="1"/>
  <c r="K4582" i="1" s="1"/>
  <c r="C4583" i="1"/>
  <c r="H4582" i="1"/>
  <c r="O4582" i="1" a="1"/>
  <c r="O4582" i="1" s="1"/>
  <c r="L4583" i="1" l="1" a="1"/>
  <c r="L4583" i="1" s="1"/>
  <c r="N4583" i="1" a="1"/>
  <c r="N4583" i="1" s="1"/>
  <c r="I4583" i="1" a="1"/>
  <c r="I4583" i="1" s="1"/>
  <c r="K4583" i="1" a="1"/>
  <c r="K4583" i="1" s="1"/>
  <c r="C4584" i="1"/>
  <c r="H4583" i="1"/>
  <c r="O4583" i="1" a="1"/>
  <c r="O4583" i="1" s="1"/>
  <c r="L4584" i="1" l="1" a="1"/>
  <c r="L4584" i="1" s="1"/>
  <c r="N4584" i="1" a="1"/>
  <c r="N4584" i="1" s="1"/>
  <c r="I4584" i="1" a="1"/>
  <c r="I4584" i="1" s="1"/>
  <c r="K4584" i="1" a="1"/>
  <c r="K4584" i="1" s="1"/>
  <c r="C4585" i="1"/>
  <c r="H4584" i="1"/>
  <c r="O4584" i="1" a="1"/>
  <c r="O4584" i="1" s="1"/>
  <c r="L4585" i="1" l="1" a="1"/>
  <c r="L4585" i="1" s="1"/>
  <c r="N4585" i="1" a="1"/>
  <c r="N4585" i="1" s="1"/>
  <c r="I4585" i="1" a="1"/>
  <c r="I4585" i="1" s="1"/>
  <c r="K4585" i="1" a="1"/>
  <c r="K4585" i="1" s="1"/>
  <c r="C4586" i="1"/>
  <c r="H4585" i="1"/>
  <c r="O4585" i="1" a="1"/>
  <c r="O4585" i="1" s="1"/>
  <c r="L4586" i="1" l="1" a="1"/>
  <c r="L4586" i="1" s="1"/>
  <c r="N4586" i="1" a="1"/>
  <c r="N4586" i="1" s="1"/>
  <c r="I4586" i="1" a="1"/>
  <c r="I4586" i="1" s="1"/>
  <c r="K4586" i="1" a="1"/>
  <c r="K4586" i="1" s="1"/>
  <c r="C4587" i="1"/>
  <c r="H4586" i="1"/>
  <c r="O4586" i="1" a="1"/>
  <c r="O4586" i="1" s="1"/>
  <c r="L4587" i="1" l="1" a="1"/>
  <c r="L4587" i="1" s="1"/>
  <c r="N4587" i="1" a="1"/>
  <c r="N4587" i="1" s="1"/>
  <c r="I4587" i="1" a="1"/>
  <c r="I4587" i="1" s="1"/>
  <c r="K4587" i="1" a="1"/>
  <c r="K4587" i="1" s="1"/>
  <c r="C4588" i="1"/>
  <c r="H4587" i="1"/>
  <c r="O4587" i="1" a="1"/>
  <c r="O4587" i="1" s="1"/>
  <c r="L4588" i="1" l="1" a="1"/>
  <c r="L4588" i="1" s="1"/>
  <c r="N4588" i="1" a="1"/>
  <c r="N4588" i="1" s="1"/>
  <c r="I4588" i="1" a="1"/>
  <c r="I4588" i="1" s="1"/>
  <c r="K4588" i="1" a="1"/>
  <c r="K4588" i="1" s="1"/>
  <c r="C4589" i="1"/>
  <c r="H4588" i="1"/>
  <c r="O4588" i="1" a="1"/>
  <c r="O4588" i="1" s="1"/>
  <c r="L4589" i="1" l="1" a="1"/>
  <c r="L4589" i="1" s="1"/>
  <c r="N4589" i="1" a="1"/>
  <c r="N4589" i="1" s="1"/>
  <c r="I4589" i="1" a="1"/>
  <c r="I4589" i="1" s="1"/>
  <c r="K4589" i="1" a="1"/>
  <c r="K4589" i="1" s="1"/>
  <c r="C4590" i="1"/>
  <c r="H4589" i="1"/>
  <c r="O4589" i="1" a="1"/>
  <c r="O4589" i="1" s="1"/>
  <c r="L4590" i="1" l="1" a="1"/>
  <c r="L4590" i="1" s="1"/>
  <c r="N4590" i="1" a="1"/>
  <c r="N4590" i="1" s="1"/>
  <c r="I4590" i="1" a="1"/>
  <c r="I4590" i="1" s="1"/>
  <c r="K4590" i="1" a="1"/>
  <c r="K4590" i="1" s="1"/>
  <c r="C4591" i="1"/>
  <c r="H4590" i="1"/>
  <c r="O4590" i="1" a="1"/>
  <c r="O4590" i="1" s="1"/>
  <c r="L4591" i="1" l="1" a="1"/>
  <c r="L4591" i="1" s="1"/>
  <c r="N4591" i="1" a="1"/>
  <c r="N4591" i="1" s="1"/>
  <c r="I4591" i="1" a="1"/>
  <c r="I4591" i="1" s="1"/>
  <c r="K4591" i="1" a="1"/>
  <c r="K4591" i="1" s="1"/>
  <c r="C4592" i="1"/>
  <c r="H4591" i="1"/>
  <c r="O4591" i="1" a="1"/>
  <c r="O4591" i="1" s="1"/>
  <c r="L4592" i="1" l="1" a="1"/>
  <c r="L4592" i="1" s="1"/>
  <c r="N4592" i="1" a="1"/>
  <c r="N4592" i="1" s="1"/>
  <c r="I4592" i="1" a="1"/>
  <c r="I4592" i="1" s="1"/>
  <c r="K4592" i="1" a="1"/>
  <c r="K4592" i="1" s="1"/>
  <c r="C4593" i="1"/>
  <c r="H4592" i="1"/>
  <c r="O4592" i="1" a="1"/>
  <c r="O4592" i="1" s="1"/>
  <c r="L4593" i="1" l="1" a="1"/>
  <c r="L4593" i="1" s="1"/>
  <c r="N4593" i="1" a="1"/>
  <c r="N4593" i="1" s="1"/>
  <c r="I4593" i="1" a="1"/>
  <c r="I4593" i="1" s="1"/>
  <c r="K4593" i="1" a="1"/>
  <c r="K4593" i="1" s="1"/>
  <c r="C4594" i="1"/>
  <c r="H4593" i="1"/>
  <c r="O4593" i="1" a="1"/>
  <c r="O4593" i="1" s="1"/>
  <c r="L4594" i="1" l="1" a="1"/>
  <c r="L4594" i="1" s="1"/>
  <c r="N4594" i="1" a="1"/>
  <c r="N4594" i="1" s="1"/>
  <c r="I4594" i="1" a="1"/>
  <c r="I4594" i="1" s="1"/>
  <c r="K4594" i="1" a="1"/>
  <c r="K4594" i="1" s="1"/>
  <c r="C4595" i="1"/>
  <c r="H4594" i="1"/>
  <c r="O4594" i="1" a="1"/>
  <c r="O4594" i="1" s="1"/>
  <c r="L4595" i="1" l="1" a="1"/>
  <c r="L4595" i="1" s="1"/>
  <c r="N4595" i="1" a="1"/>
  <c r="N4595" i="1" s="1"/>
  <c r="I4595" i="1" a="1"/>
  <c r="I4595" i="1" s="1"/>
  <c r="K4595" i="1" a="1"/>
  <c r="K4595" i="1" s="1"/>
  <c r="C4596" i="1"/>
  <c r="H4595" i="1"/>
  <c r="O4595" i="1" a="1"/>
  <c r="O4595" i="1" s="1"/>
  <c r="L4596" i="1" l="1" a="1"/>
  <c r="L4596" i="1" s="1"/>
  <c r="N4596" i="1" a="1"/>
  <c r="N4596" i="1" s="1"/>
  <c r="I4596" i="1" a="1"/>
  <c r="I4596" i="1" s="1"/>
  <c r="K4596" i="1" a="1"/>
  <c r="K4596" i="1" s="1"/>
  <c r="C4597" i="1"/>
  <c r="H4596" i="1"/>
  <c r="O4596" i="1" a="1"/>
  <c r="O4596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C4599" i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C4601" i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C4604" i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C4607" i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C4608" i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C4609" i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C4610" i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C4611" i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C4612" i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C4613" i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C4614" i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C4615" i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C4616" i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C4617" i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C4618" i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C4619" i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C4620" i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C4623" i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C4625" i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C4627" i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C4628" i="1"/>
  <c r="H4627" i="1"/>
  <c r="O4627" i="1" a="1"/>
  <c r="O4627" i="1" s="1"/>
  <c r="L4628" i="1" l="1" a="1"/>
  <c r="L4628" i="1" s="1"/>
  <c r="N4628" i="1" a="1"/>
  <c r="N4628" i="1" s="1"/>
  <c r="I4628" i="1" a="1"/>
  <c r="I4628" i="1" s="1"/>
  <c r="K4628" i="1" a="1"/>
  <c r="K4628" i="1" s="1"/>
  <c r="C4629" i="1"/>
  <c r="H4628" i="1"/>
  <c r="O4628" i="1" a="1"/>
  <c r="O4628" i="1" s="1"/>
  <c r="L4629" i="1" l="1" a="1"/>
  <c r="L4629" i="1" s="1"/>
  <c r="N4629" i="1" a="1"/>
  <c r="N4629" i="1" s="1"/>
  <c r="I4629" i="1" a="1"/>
  <c r="I4629" i="1" s="1"/>
  <c r="K4629" i="1" a="1"/>
  <c r="K4629" i="1" s="1"/>
  <c r="C4630" i="1"/>
  <c r="H4629" i="1"/>
  <c r="O4629" i="1" a="1"/>
  <c r="O4629" i="1" s="1"/>
  <c r="L4630" i="1" l="1" a="1"/>
  <c r="L4630" i="1" s="1"/>
  <c r="N4630" i="1" a="1"/>
  <c r="N4630" i="1" s="1"/>
  <c r="I4630" i="1" a="1"/>
  <c r="I4630" i="1" s="1"/>
  <c r="K4630" i="1" a="1"/>
  <c r="K4630" i="1" s="1"/>
  <c r="C4631" i="1"/>
  <c r="H4630" i="1"/>
  <c r="O4630" i="1" a="1"/>
  <c r="O4630" i="1" s="1"/>
  <c r="L4631" i="1" l="1" a="1"/>
  <c r="L4631" i="1" s="1"/>
  <c r="N4631" i="1" a="1"/>
  <c r="N4631" i="1" s="1"/>
  <c r="I4631" i="1" a="1"/>
  <c r="I4631" i="1" s="1"/>
  <c r="K4631" i="1" a="1"/>
  <c r="K4631" i="1" s="1"/>
  <c r="C4632" i="1"/>
  <c r="H4631" i="1"/>
  <c r="O4631" i="1" a="1"/>
  <c r="O4631" i="1" s="1"/>
  <c r="L4632" i="1" l="1" a="1"/>
  <c r="L4632" i="1" s="1"/>
  <c r="N4632" i="1" a="1"/>
  <c r="N4632" i="1" s="1"/>
  <c r="I4632" i="1" a="1"/>
  <c r="I4632" i="1" s="1"/>
  <c r="K4632" i="1" a="1"/>
  <c r="K4632" i="1" s="1"/>
  <c r="C4633" i="1"/>
  <c r="H4632" i="1"/>
  <c r="O4632" i="1" a="1"/>
  <c r="O4632" i="1" s="1"/>
  <c r="L4633" i="1" l="1" a="1"/>
  <c r="L4633" i="1" s="1"/>
  <c r="N4633" i="1" a="1"/>
  <c r="N4633" i="1" s="1"/>
  <c r="I4633" i="1" a="1"/>
  <c r="I4633" i="1" s="1"/>
  <c r="K4633" i="1" a="1"/>
  <c r="K4633" i="1" s="1"/>
  <c r="C4634" i="1"/>
  <c r="H4633" i="1"/>
  <c r="O4633" i="1" a="1"/>
  <c r="O4633" i="1" s="1"/>
  <c r="L4634" i="1" l="1" a="1"/>
  <c r="L4634" i="1" s="1"/>
  <c r="N4634" i="1" a="1"/>
  <c r="N4634" i="1" s="1"/>
  <c r="I4634" i="1" a="1"/>
  <c r="I4634" i="1" s="1"/>
  <c r="K4634" i="1" a="1"/>
  <c r="K4634" i="1" s="1"/>
  <c r="C4635" i="1"/>
  <c r="H4634" i="1"/>
  <c r="O4634" i="1" a="1"/>
  <c r="O4634" i="1" s="1"/>
  <c r="L4635" i="1" l="1" a="1"/>
  <c r="L4635" i="1" s="1"/>
  <c r="N4635" i="1" a="1"/>
  <c r="N4635" i="1" s="1"/>
  <c r="I4635" i="1" a="1"/>
  <c r="I4635" i="1" s="1"/>
  <c r="K4635" i="1" a="1"/>
  <c r="K4635" i="1" s="1"/>
  <c r="C4636" i="1"/>
  <c r="H4635" i="1"/>
  <c r="O4635" i="1" a="1"/>
  <c r="O4635" i="1" s="1"/>
  <c r="L4636" i="1" l="1" a="1"/>
  <c r="L4636" i="1" s="1"/>
  <c r="N4636" i="1" a="1"/>
  <c r="N4636" i="1" s="1"/>
  <c r="I4636" i="1" a="1"/>
  <c r="I4636" i="1" s="1"/>
  <c r="K4636" i="1" a="1"/>
  <c r="K4636" i="1" s="1"/>
  <c r="C4637" i="1"/>
  <c r="H4636" i="1"/>
  <c r="O4636" i="1" a="1"/>
  <c r="O4636" i="1" s="1"/>
  <c r="L4637" i="1" l="1" a="1"/>
  <c r="L4637" i="1" s="1"/>
  <c r="N4637" i="1" a="1"/>
  <c r="N4637" i="1" s="1"/>
  <c r="I4637" i="1" a="1"/>
  <c r="I4637" i="1" s="1"/>
  <c r="K4637" i="1" a="1"/>
  <c r="K4637" i="1" s="1"/>
  <c r="C4638" i="1"/>
  <c r="H4637" i="1"/>
  <c r="O4637" i="1" a="1"/>
  <c r="O4637" i="1" s="1"/>
  <c r="L4638" i="1" l="1" a="1"/>
  <c r="L4638" i="1" s="1"/>
  <c r="N4638" i="1" a="1"/>
  <c r="N4638" i="1" s="1"/>
  <c r="I4638" i="1" a="1"/>
  <c r="I4638" i="1" s="1"/>
  <c r="K4638" i="1" a="1"/>
  <c r="K4638" i="1" s="1"/>
  <c r="C4639" i="1"/>
  <c r="H4638" i="1"/>
  <c r="O4638" i="1" a="1"/>
  <c r="O4638" i="1" s="1"/>
  <c r="L4639" i="1" l="1" a="1"/>
  <c r="L4639" i="1" s="1"/>
  <c r="N4639" i="1" a="1"/>
  <c r="N4639" i="1" s="1"/>
  <c r="I4639" i="1" a="1"/>
  <c r="I4639" i="1" s="1"/>
  <c r="K4639" i="1" a="1"/>
  <c r="K4639" i="1" s="1"/>
  <c r="C4640" i="1"/>
  <c r="H4639" i="1"/>
  <c r="O4639" i="1" a="1"/>
  <c r="O4639" i="1" s="1"/>
  <c r="L4640" i="1" l="1" a="1"/>
  <c r="L4640" i="1" s="1"/>
  <c r="N4640" i="1" a="1"/>
  <c r="N4640" i="1" s="1"/>
  <c r="I4640" i="1" a="1"/>
  <c r="I4640" i="1" s="1"/>
  <c r="K4640" i="1" a="1"/>
  <c r="K4640" i="1" s="1"/>
  <c r="C4641" i="1"/>
  <c r="H4640" i="1"/>
  <c r="O4640" i="1" a="1"/>
  <c r="O4640" i="1" s="1"/>
  <c r="L4641" i="1" l="1" a="1"/>
  <c r="L4641" i="1" s="1"/>
  <c r="N4641" i="1" a="1"/>
  <c r="N4641" i="1" s="1"/>
  <c r="I4641" i="1" a="1"/>
  <c r="I4641" i="1" s="1"/>
  <c r="K4641" i="1" a="1"/>
  <c r="K4641" i="1" s="1"/>
  <c r="C4642" i="1"/>
  <c r="H4641" i="1"/>
  <c r="O4641" i="1" a="1"/>
  <c r="O4641" i="1" s="1"/>
  <c r="L4642" i="1" l="1" a="1"/>
  <c r="L4642" i="1" s="1"/>
  <c r="N4642" i="1" a="1"/>
  <c r="N4642" i="1" s="1"/>
  <c r="I4642" i="1" a="1"/>
  <c r="I4642" i="1" s="1"/>
  <c r="K4642" i="1" a="1"/>
  <c r="K4642" i="1" s="1"/>
  <c r="C4643" i="1"/>
  <c r="H4642" i="1"/>
  <c r="O4642" i="1" a="1"/>
  <c r="O4642" i="1" s="1"/>
  <c r="L4643" i="1" l="1" a="1"/>
  <c r="L4643" i="1" s="1"/>
  <c r="N4643" i="1" a="1"/>
  <c r="N4643" i="1" s="1"/>
  <c r="I4643" i="1" a="1"/>
  <c r="I4643" i="1" s="1"/>
  <c r="K4643" i="1" a="1"/>
  <c r="K4643" i="1" s="1"/>
  <c r="C4644" i="1"/>
  <c r="H4643" i="1"/>
  <c r="O4643" i="1" a="1"/>
  <c r="O4643" i="1" s="1"/>
  <c r="L4644" i="1" l="1" a="1"/>
  <c r="L4644" i="1" s="1"/>
  <c r="N4644" i="1" a="1"/>
  <c r="N4644" i="1" s="1"/>
  <c r="I4644" i="1" a="1"/>
  <c r="I4644" i="1" s="1"/>
  <c r="K4644" i="1" a="1"/>
  <c r="K4644" i="1" s="1"/>
  <c r="C4645" i="1"/>
  <c r="H4644" i="1"/>
  <c r="O4644" i="1" a="1"/>
  <c r="O4644" i="1" s="1"/>
  <c r="L4645" i="1" l="1" a="1"/>
  <c r="L4645" i="1" s="1"/>
  <c r="N4645" i="1" a="1"/>
  <c r="N4645" i="1" s="1"/>
  <c r="I4645" i="1" a="1"/>
  <c r="I4645" i="1" s="1"/>
  <c r="K4645" i="1" a="1"/>
  <c r="K4645" i="1" s="1"/>
  <c r="C4646" i="1"/>
  <c r="H4645" i="1"/>
  <c r="O4645" i="1" a="1"/>
  <c r="O4645" i="1" s="1"/>
  <c r="L4646" i="1" l="1" a="1"/>
  <c r="L4646" i="1" s="1"/>
  <c r="N4646" i="1" a="1"/>
  <c r="N4646" i="1" s="1"/>
  <c r="I4646" i="1" a="1"/>
  <c r="I4646" i="1" s="1"/>
  <c r="K4646" i="1" a="1"/>
  <c r="K4646" i="1" s="1"/>
  <c r="C4647" i="1"/>
  <c r="H4646" i="1"/>
  <c r="O4646" i="1" a="1"/>
  <c r="O4646" i="1" s="1"/>
  <c r="L4647" i="1" l="1" a="1"/>
  <c r="L4647" i="1" s="1"/>
  <c r="N4647" i="1" a="1"/>
  <c r="N4647" i="1" s="1"/>
  <c r="I4647" i="1" a="1"/>
  <c r="I4647" i="1" s="1"/>
  <c r="K4647" i="1" a="1"/>
  <c r="K4647" i="1" s="1"/>
  <c r="C4648" i="1"/>
  <c r="H4647" i="1"/>
  <c r="O4647" i="1" a="1"/>
  <c r="O4647" i="1" s="1"/>
  <c r="L4648" i="1" l="1" a="1"/>
  <c r="L4648" i="1" s="1"/>
  <c r="N4648" i="1" a="1"/>
  <c r="N4648" i="1" s="1"/>
  <c r="I4648" i="1" a="1"/>
  <c r="I4648" i="1" s="1"/>
  <c r="K4648" i="1" a="1"/>
  <c r="K4648" i="1" s="1"/>
  <c r="C4649" i="1"/>
  <c r="H4648" i="1"/>
  <c r="O4648" i="1" a="1"/>
  <c r="O4648" i="1" s="1"/>
  <c r="L4649" i="1" l="1" a="1"/>
  <c r="L4649" i="1" s="1"/>
  <c r="N4649" i="1" a="1"/>
  <c r="N4649" i="1" s="1"/>
  <c r="I4649" i="1" a="1"/>
  <c r="I4649" i="1" s="1"/>
  <c r="K4649" i="1" a="1"/>
  <c r="K4649" i="1" s="1"/>
  <c r="C4650" i="1"/>
  <c r="H4649" i="1"/>
  <c r="O4649" i="1" a="1"/>
  <c r="O4649" i="1" s="1"/>
  <c r="L4650" i="1" l="1" a="1"/>
  <c r="L4650" i="1" s="1"/>
  <c r="N4650" i="1" a="1"/>
  <c r="N4650" i="1" s="1"/>
  <c r="I4650" i="1" a="1"/>
  <c r="I4650" i="1" s="1"/>
  <c r="K4650" i="1" a="1"/>
  <c r="K4650" i="1" s="1"/>
  <c r="C4651" i="1"/>
  <c r="H4650" i="1"/>
  <c r="O4650" i="1" a="1"/>
  <c r="O4650" i="1" s="1"/>
  <c r="L4651" i="1" l="1" a="1"/>
  <c r="L4651" i="1" s="1"/>
  <c r="N4651" i="1" a="1"/>
  <c r="N4651" i="1" s="1"/>
  <c r="I4651" i="1" a="1"/>
  <c r="I4651" i="1" s="1"/>
  <c r="K4651" i="1" a="1"/>
  <c r="K4651" i="1" s="1"/>
  <c r="C4652" i="1"/>
  <c r="H4651" i="1"/>
  <c r="O4651" i="1" a="1"/>
  <c r="O4651" i="1" s="1"/>
  <c r="L4652" i="1" l="1" a="1"/>
  <c r="L4652" i="1" s="1"/>
  <c r="N4652" i="1" a="1"/>
  <c r="N4652" i="1" s="1"/>
  <c r="I4652" i="1" a="1"/>
  <c r="I4652" i="1" s="1"/>
  <c r="K4652" i="1" a="1"/>
  <c r="K4652" i="1" s="1"/>
  <c r="C4653" i="1"/>
  <c r="H4652" i="1"/>
  <c r="O4652" i="1" a="1"/>
  <c r="O4652" i="1" s="1"/>
  <c r="L4653" i="1" l="1" a="1"/>
  <c r="L4653" i="1" s="1"/>
  <c r="N4653" i="1" a="1"/>
  <c r="N4653" i="1" s="1"/>
  <c r="I4653" i="1" a="1"/>
  <c r="I4653" i="1" s="1"/>
  <c r="K4653" i="1" a="1"/>
  <c r="K4653" i="1" s="1"/>
  <c r="C4654" i="1"/>
  <c r="H4653" i="1"/>
  <c r="O4653" i="1" a="1"/>
  <c r="O4653" i="1" s="1"/>
  <c r="L4654" i="1" l="1" a="1"/>
  <c r="L4654" i="1" s="1"/>
  <c r="N4654" i="1" a="1"/>
  <c r="N4654" i="1" s="1"/>
  <c r="I4654" i="1" a="1"/>
  <c r="I4654" i="1" s="1"/>
  <c r="K4654" i="1" a="1"/>
  <c r="K4654" i="1" s="1"/>
  <c r="C4655" i="1"/>
  <c r="H4654" i="1"/>
  <c r="O4654" i="1" a="1"/>
  <c r="O4654" i="1" s="1"/>
  <c r="L4655" i="1" l="1" a="1"/>
  <c r="L4655" i="1" s="1"/>
  <c r="N4655" i="1" a="1"/>
  <c r="N4655" i="1" s="1"/>
  <c r="I4655" i="1" a="1"/>
  <c r="I4655" i="1" s="1"/>
  <c r="K4655" i="1" a="1"/>
  <c r="K4655" i="1" s="1"/>
  <c r="C4656" i="1"/>
  <c r="H4655" i="1"/>
  <c r="O4655" i="1" a="1"/>
  <c r="O4655" i="1" s="1"/>
  <c r="L4656" i="1" l="1" a="1"/>
  <c r="L4656" i="1" s="1"/>
  <c r="N4656" i="1" a="1"/>
  <c r="N4656" i="1" s="1"/>
  <c r="I4656" i="1" a="1"/>
  <c r="I4656" i="1" s="1"/>
  <c r="K4656" i="1" a="1"/>
  <c r="K4656" i="1" s="1"/>
  <c r="C4657" i="1"/>
  <c r="H4656" i="1"/>
  <c r="O4656" i="1" a="1"/>
  <c r="O4656" i="1" s="1"/>
  <c r="L4657" i="1" l="1" a="1"/>
  <c r="L4657" i="1" s="1"/>
  <c r="N4657" i="1" a="1"/>
  <c r="N4657" i="1" s="1"/>
  <c r="I4657" i="1" a="1"/>
  <c r="I4657" i="1" s="1"/>
  <c r="K4657" i="1" a="1"/>
  <c r="K4657" i="1" s="1"/>
  <c r="C4658" i="1"/>
  <c r="H4657" i="1"/>
  <c r="O4657" i="1" a="1"/>
  <c r="O4657" i="1" s="1"/>
  <c r="L4658" i="1" l="1" a="1"/>
  <c r="L4658" i="1" s="1"/>
  <c r="N4658" i="1" a="1"/>
  <c r="N4658" i="1" s="1"/>
  <c r="I4658" i="1" a="1"/>
  <c r="I4658" i="1" s="1"/>
  <c r="K4658" i="1" a="1"/>
  <c r="K4658" i="1" s="1"/>
  <c r="C4659" i="1"/>
  <c r="H4658" i="1"/>
  <c r="O4658" i="1" a="1"/>
  <c r="O4658" i="1" s="1"/>
  <c r="L4659" i="1" l="1" a="1"/>
  <c r="L4659" i="1" s="1"/>
  <c r="N4659" i="1" a="1"/>
  <c r="N4659" i="1" s="1"/>
  <c r="I4659" i="1" a="1"/>
  <c r="I4659" i="1" s="1"/>
  <c r="K4659" i="1" a="1"/>
  <c r="K4659" i="1" s="1"/>
  <c r="C4660" i="1"/>
  <c r="H4659" i="1"/>
  <c r="O4659" i="1" a="1"/>
  <c r="O4659" i="1" s="1"/>
  <c r="L4660" i="1" l="1" a="1"/>
  <c r="L4660" i="1" s="1"/>
  <c r="N4660" i="1" a="1"/>
  <c r="N4660" i="1" s="1"/>
  <c r="I4660" i="1" a="1"/>
  <c r="I4660" i="1" s="1"/>
  <c r="K4660" i="1" a="1"/>
  <c r="K4660" i="1" s="1"/>
  <c r="C4661" i="1"/>
  <c r="H4660" i="1"/>
  <c r="O4660" i="1" a="1"/>
  <c r="O4660" i="1" s="1"/>
  <c r="L4661" i="1" l="1" a="1"/>
  <c r="L4661" i="1" s="1"/>
  <c r="N4661" i="1" a="1"/>
  <c r="N4661" i="1" s="1"/>
  <c r="I4661" i="1" a="1"/>
  <c r="I4661" i="1" s="1"/>
  <c r="K4661" i="1" a="1"/>
  <c r="K4661" i="1" s="1"/>
  <c r="C4662" i="1"/>
  <c r="H4661" i="1"/>
  <c r="O4661" i="1" a="1"/>
  <c r="O4661" i="1" s="1"/>
  <c r="L4662" i="1" l="1" a="1"/>
  <c r="L4662" i="1" s="1"/>
  <c r="N4662" i="1" a="1"/>
  <c r="N4662" i="1" s="1"/>
  <c r="I4662" i="1" a="1"/>
  <c r="I4662" i="1" s="1"/>
  <c r="K4662" i="1" a="1"/>
  <c r="K4662" i="1" s="1"/>
  <c r="C4663" i="1"/>
  <c r="H4662" i="1"/>
  <c r="O4662" i="1" a="1"/>
  <c r="O4662" i="1" s="1"/>
  <c r="L4663" i="1" l="1" a="1"/>
  <c r="L4663" i="1" s="1"/>
  <c r="N4663" i="1" a="1"/>
  <c r="N4663" i="1" s="1"/>
  <c r="I4663" i="1" a="1"/>
  <c r="I4663" i="1" s="1"/>
  <c r="K4663" i="1" a="1"/>
  <c r="K4663" i="1" s="1"/>
  <c r="C4664" i="1"/>
  <c r="H4663" i="1"/>
  <c r="O4663" i="1" a="1"/>
  <c r="O4663" i="1" s="1"/>
  <c r="L4664" i="1" l="1" a="1"/>
  <c r="L4664" i="1" s="1"/>
  <c r="N4664" i="1" a="1"/>
  <c r="N4664" i="1" s="1"/>
  <c r="I4664" i="1" a="1"/>
  <c r="I4664" i="1" s="1"/>
  <c r="K4664" i="1" a="1"/>
  <c r="K4664" i="1" s="1"/>
  <c r="C4665" i="1"/>
  <c r="H4664" i="1"/>
  <c r="O4664" i="1" a="1"/>
  <c r="O4664" i="1" s="1"/>
  <c r="L4665" i="1" l="1" a="1"/>
  <c r="L4665" i="1" s="1"/>
  <c r="N4665" i="1" a="1"/>
  <c r="N4665" i="1" s="1"/>
  <c r="I4665" i="1" a="1"/>
  <c r="I4665" i="1" s="1"/>
  <c r="K4665" i="1" a="1"/>
  <c r="K4665" i="1" s="1"/>
  <c r="C4666" i="1"/>
  <c r="H4665" i="1"/>
  <c r="O4665" i="1" a="1"/>
  <c r="O4665" i="1" s="1"/>
  <c r="L4666" i="1" l="1" a="1"/>
  <c r="L4666" i="1" s="1"/>
  <c r="N4666" i="1" a="1"/>
  <c r="N4666" i="1" s="1"/>
  <c r="I4666" i="1" a="1"/>
  <c r="I4666" i="1" s="1"/>
  <c r="K4666" i="1" a="1"/>
  <c r="K4666" i="1" s="1"/>
  <c r="C4667" i="1"/>
  <c r="H4666" i="1"/>
  <c r="O4666" i="1" a="1"/>
  <c r="O4666" i="1" s="1"/>
  <c r="L4667" i="1" l="1" a="1"/>
  <c r="L4667" i="1" s="1"/>
  <c r="N4667" i="1" a="1"/>
  <c r="N4667" i="1" s="1"/>
  <c r="I4667" i="1" a="1"/>
  <c r="I4667" i="1" s="1"/>
  <c r="K4667" i="1" a="1"/>
  <c r="K4667" i="1" s="1"/>
  <c r="C4668" i="1"/>
  <c r="H4667" i="1"/>
  <c r="O4667" i="1" a="1"/>
  <c r="O4667" i="1" s="1"/>
  <c r="L4668" i="1" l="1" a="1"/>
  <c r="L4668" i="1" s="1"/>
  <c r="N4668" i="1" a="1"/>
  <c r="N4668" i="1" s="1"/>
  <c r="I4668" i="1" a="1"/>
  <c r="I4668" i="1" s="1"/>
  <c r="K4668" i="1" a="1"/>
  <c r="K4668" i="1" s="1"/>
  <c r="C4669" i="1"/>
  <c r="H4668" i="1"/>
  <c r="O4668" i="1" a="1"/>
  <c r="O4668" i="1" s="1"/>
  <c r="L4669" i="1" l="1" a="1"/>
  <c r="L4669" i="1" s="1"/>
  <c r="N4669" i="1" a="1"/>
  <c r="N4669" i="1" s="1"/>
  <c r="I4669" i="1" a="1"/>
  <c r="I4669" i="1" s="1"/>
  <c r="K4669" i="1" a="1"/>
  <c r="K4669" i="1" s="1"/>
  <c r="C4670" i="1"/>
  <c r="H4669" i="1"/>
  <c r="O4669" i="1" a="1"/>
  <c r="O4669" i="1" s="1"/>
  <c r="L4670" i="1" l="1" a="1"/>
  <c r="L4670" i="1" s="1"/>
  <c r="N4670" i="1" a="1"/>
  <c r="N4670" i="1" s="1"/>
  <c r="I4670" i="1" a="1"/>
  <c r="I4670" i="1" s="1"/>
  <c r="K4670" i="1" a="1"/>
  <c r="K4670" i="1" s="1"/>
  <c r="C4671" i="1"/>
  <c r="H4670" i="1"/>
  <c r="O4670" i="1" a="1"/>
  <c r="O4670" i="1" s="1"/>
  <c r="L4671" i="1" l="1" a="1"/>
  <c r="L4671" i="1" s="1"/>
  <c r="N4671" i="1" a="1"/>
  <c r="N4671" i="1" s="1"/>
  <c r="I4671" i="1" a="1"/>
  <c r="I4671" i="1" s="1"/>
  <c r="K4671" i="1" a="1"/>
  <c r="K4671" i="1" s="1"/>
  <c r="C4672" i="1"/>
  <c r="H4671" i="1"/>
  <c r="O4671" i="1" a="1"/>
  <c r="O4671" i="1" s="1"/>
  <c r="L4672" i="1" l="1" a="1"/>
  <c r="L4672" i="1" s="1"/>
  <c r="N4672" i="1" a="1"/>
  <c r="N4672" i="1" s="1"/>
  <c r="I4672" i="1" a="1"/>
  <c r="I4672" i="1" s="1"/>
  <c r="K4672" i="1" a="1"/>
  <c r="K4672" i="1" s="1"/>
  <c r="C4673" i="1"/>
  <c r="H4672" i="1"/>
  <c r="O4672" i="1" a="1"/>
  <c r="O4672" i="1" s="1"/>
  <c r="L4673" i="1" l="1" a="1"/>
  <c r="L4673" i="1" s="1"/>
  <c r="N4673" i="1" a="1"/>
  <c r="N4673" i="1" s="1"/>
  <c r="I4673" i="1" a="1"/>
  <c r="I4673" i="1" s="1"/>
  <c r="K4673" i="1" a="1"/>
  <c r="K4673" i="1" s="1"/>
  <c r="H4673" i="1"/>
  <c r="O4673" i="1" a="1"/>
  <c r="O467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<sst xmlns="http://schemas.openxmlformats.org/spreadsheetml/2006/main" count="39960" uniqueCount="23">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</sst>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P4673"/>
  <sheetViews>
    <sheetView zoomScaleNormal="100" workbookViewId="0">
      <pane ySplit="1" topLeftCell="A4505" activePane="bottomLeft" state="frozen"/>
      <selection pane="bottomLeft" activeCell="D4506" sqref="D4506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20.83203125" style="2" bestFit="1" customWidth="1"/>
    <col min="7" max="7" width="18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6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</row>
    <row r="2" spans="1:16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6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6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6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6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6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6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6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6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6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6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6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6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6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6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7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tr">
        <f t="shared" ref="A4506:C4506" si="1062">B4505</f>
        <v>Mourning Dove</v>
      </c>
      <c r="C4506" s="6">
        <v>0.29166666666666669</v>
      </c>
      <c r="D4506" s="5"/>
      <c r="E4506" s="5"/>
      <c r="F4506" s="5" t="str">
        <f t="shared" ref="F4506:G4506" si="1063">F4505</f>
        <v>None</v>
      </c>
      <c r="G4506" s="15" t="str">
        <f t="shared" si="1063"/>
        <v>None</v>
      </c>
      <c r="H4506" s="24">
        <f t="shared" si="961"/>
        <v>1056.9999999983702</v>
      </c>
      <c r="I4506" s="24" t="str" cm="1">
        <f t="array" ref="I4506">IFERROR(IF($B4506=I$1, ($A4506+$C4506) - MAX(IF($B$2:$B4505=$B4506, $A$2:$A4505+$C$2:$C4505)), "")*24*60, "")</f>
        <v/>
      </c>
      <c r="J4506" s="24" t="str" cm="1">
        <f t="array" ref="J4506">IFERROR(IF($B4506=J$1, ($A4506+$C4506) - MAX(IF($B$2:$B4505=$B4506, $A$2:$A4505+$C$2:$C4505)), "")*24*60, "")</f>
        <v/>
      </c>
      <c r="K4506" s="24" t="str" cm="1">
        <f t="array" ref="K4506">IFERROR(IF($B4506=K$1, ($A4506+$C4506) - MAX(IF($B$2:$B4505=$B4506, $A$2:$A4505+$C$2:$C4505)), "")*24*60, "")</f>
        <v/>
      </c>
      <c r="L4506" s="24" t="str" cm="1">
        <f t="array" ref="L4506">IFERROR(IF($B4506=L$1, ($A4506+$C4506) - MAX(IF($B$2:$B4505=$B4506, $A$2:$A4505+$C$2:$C4505)), "")*24*60, "")</f>
        <v/>
      </c>
      <c r="M4506" s="24" t="str" cm="1">
        <f t="array" ref="M4506">IFERROR(IF($B4506=M$1, ($A4506+$C4506) - MAX(IF($B$2:$B4505=$B4506, $A$2:$A4505+$C$2:$C4505)), "")*24*60, "")</f>
        <v/>
      </c>
      <c r="N4506" s="24" t="str" cm="1">
        <f t="array" ref="N4506">IFERROR(IF($B4506=N$1, ($A4506+$C4506) - MAX(IF($B$2:$B4505=$B4506, $A$2:$A4505+$C$2:$C4505)), "")*24*60, "")</f>
        <v/>
      </c>
      <c r="O4506" s="24" cm="1">
        <f t="array" ref="O4506">IFERROR(IF($B4506=O$1, ($A4506+$C4506) - MAX(IF($B$2:$B4505=$B4506, $A$2:$A4505+$C$2:$C4505)), "")*24*60, "")</f>
        <v>1056.9999999983702</v>
      </c>
      <c r="P4506" s="24" t="str" cm="1">
        <f t="array" ref="P4506">IFERROR(IF($B4506=P$1, ($A4506+$C4506) - MAX(IF($B$2:$B4505=$B4506, $A$2:$A4505+$C$2:$C4505)), "")*24*60, "")</f>
        <v/>
      </c>
    </row>
    <row r="4507" spans="1:16" x14ac:dyDescent="0.2">
      <c r="A4507" s="12">
        <f t="shared" ref="A4507:C4507" si="1064">A4506</f>
        <v>45965</v>
      </c>
      <c r="B4507" s="5" t="str">
        <f t="shared" si="1064"/>
        <v>Mourning Dove</v>
      </c>
      <c r="C4507" s="6">
        <f t="shared" si="1064"/>
        <v>0.29166666666666669</v>
      </c>
      <c r="D4507" s="5"/>
      <c r="E4507" s="5"/>
      <c r="F4507" s="5" t="str">
        <f t="shared" ref="F4507:G4507" si="1065">F4506</f>
        <v>None</v>
      </c>
      <c r="G4507" s="15" t="str">
        <f t="shared" si="1065"/>
        <v>None</v>
      </c>
      <c r="H4507" s="24">
        <f t="shared" si="961"/>
        <v>0</v>
      </c>
      <c r="I4507" s="24" t="str" cm="1">
        <f t="array" ref="I4507">IFERROR(IF($B4507=I$1, ($A4507+$C4507) - MAX(IF($B$2:$B4506=$B4507, $A$2:$A4506+$C$2:$C4506)), "")*24*60, "")</f>
        <v/>
      </c>
      <c r="J4507" s="24" t="str" cm="1">
        <f t="array" ref="J4507">IFERROR(IF($B4507=J$1, ($A4507+$C4507) - MAX(IF($B$2:$B4506=$B4507, $A$2:$A4506+$C$2:$C4506)), "")*24*60, "")</f>
        <v/>
      </c>
      <c r="K4507" s="24" t="str" cm="1">
        <f t="array" ref="K4507">IFERROR(IF($B4507=K$1, ($A4507+$C4507) - MAX(IF($B$2:$B4506=$B4507, $A$2:$A4506+$C$2:$C4506)), "")*24*60, "")</f>
        <v/>
      </c>
      <c r="L4507" s="24" t="str" cm="1">
        <f t="array" ref="L4507">IFERROR(IF($B4507=L$1, ($A4507+$C4507) - MAX(IF($B$2:$B4506=$B4507, $A$2:$A4506+$C$2:$C4506)), "")*24*60, "")</f>
        <v/>
      </c>
      <c r="M4507" s="24" t="str" cm="1">
        <f t="array" ref="M4507">IFERROR(IF($B4507=M$1, ($A4507+$C4507) - MAX(IF($B$2:$B4506=$B4507, $A$2:$A4506+$C$2:$C4506)), "")*24*60, "")</f>
        <v/>
      </c>
      <c r="N4507" s="24" t="str" cm="1">
        <f t="array" ref="N4507">IFERROR(IF($B4507=N$1, ($A4507+$C4507) - MAX(IF($B$2:$B4506=$B4507, $A$2:$A4506+$C$2:$C4506)), "")*24*60, "")</f>
        <v/>
      </c>
      <c r="O4507" s="24" cm="1">
        <f t="array" ref="O4507">IFERROR(IF($B4507=O$1, ($A4507+$C4507) - MAX(IF($B$2:$B4506=$B4507, $A$2:$A4506+$C$2:$C4506)), "")*24*60, "")</f>
        <v>0</v>
      </c>
      <c r="P4507" s="24" t="str" cm="1">
        <f t="array" ref="P4507">IFERROR(IF($B4507=P$1, ($A4507+$C4507) - MAX(IF($B$2:$B4506=$B4507, $A$2:$A4506+$C$2:$C4506)), "")*24*60, "")</f>
        <v/>
      </c>
    </row>
    <row r="4508" spans="1:16" x14ac:dyDescent="0.2">
      <c r="A4508" s="12">
        <f t="shared" ref="A4508:C4508" si="1066">A4507</f>
        <v>45965</v>
      </c>
      <c r="B4508" s="5" t="str">
        <f t="shared" si="1066"/>
        <v>Mourning Dove</v>
      </c>
      <c r="C4508" s="6">
        <f t="shared" si="1066"/>
        <v>0.29166666666666669</v>
      </c>
      <c r="D4508" s="5"/>
      <c r="E4508" s="5"/>
      <c r="F4508" s="5" t="str">
        <f t="shared" ref="F4508:G4508" si="1067">F4507</f>
        <v>None</v>
      </c>
      <c r="G4508" s="15" t="str">
        <f t="shared" si="1067"/>
        <v>None</v>
      </c>
      <c r="H4508" s="24">
        <f t="shared" si="961"/>
        <v>0</v>
      </c>
      <c r="I4508" s="24" t="str" cm="1">
        <f t="array" ref="I4508">IFERROR(IF($B4508=I$1, ($A4508+$C4508) - MAX(IF($B$2:$B4507=$B4508, $A$2:$A4507+$C$2:$C4507)), "")*24*60, "")</f>
        <v/>
      </c>
      <c r="J4508" s="24" t="str" cm="1">
        <f t="array" ref="J4508">IFERROR(IF($B4508=J$1, ($A4508+$C4508) - MAX(IF($B$2:$B4507=$B4508, $A$2:$A4507+$C$2:$C4507)), "")*24*60, "")</f>
        <v/>
      </c>
      <c r="K4508" s="24" t="str" cm="1">
        <f t="array" ref="K4508">IFERROR(IF($B4508=K$1, ($A4508+$C4508) - MAX(IF($B$2:$B4507=$B4508, $A$2:$A4507+$C$2:$C4507)), "")*24*60, "")</f>
        <v/>
      </c>
      <c r="L4508" s="24" t="str" cm="1">
        <f t="array" ref="L4508">IFERROR(IF($B4508=L$1, ($A4508+$C4508) - MAX(IF($B$2:$B4507=$B4508, $A$2:$A4507+$C$2:$C4507)), "")*24*60, "")</f>
        <v/>
      </c>
      <c r="M4508" s="24" t="str" cm="1">
        <f t="array" ref="M4508">IFERROR(IF($B4508=M$1, ($A4508+$C4508) - MAX(IF($B$2:$B4507=$B4508, $A$2:$A4507+$C$2:$C4507)), "")*24*60, "")</f>
        <v/>
      </c>
      <c r="N4508" s="24" t="str" cm="1">
        <f t="array" ref="N4508">IFERROR(IF($B4508=N$1, ($A4508+$C4508) - MAX(IF($B$2:$B4507=$B4508, $A$2:$A4507+$C$2:$C4507)), "")*24*60, "")</f>
        <v/>
      </c>
      <c r="O4508" s="24" cm="1">
        <f t="array" ref="O4508">IFERROR(IF($B4508=O$1, ($A4508+$C4508) - MAX(IF($B$2:$B4507=$B4508, $A$2:$A4507+$C$2:$C4507)), "")*24*60, "")</f>
        <v>0</v>
      </c>
      <c r="P4508" s="24" t="str" cm="1">
        <f t="array" ref="P4508">IFERROR(IF($B4508=P$1, ($A4508+$C4508) - MAX(IF($B$2:$B4507=$B4508, $A$2:$A4507+$C$2:$C4507)), "")*24*60, "")</f>
        <v/>
      </c>
    </row>
    <row r="4509" spans="1:16" x14ac:dyDescent="0.2">
      <c r="A4509" s="12">
        <f t="shared" ref="A4509:C4509" si="1068">A4508</f>
        <v>45965</v>
      </c>
      <c r="B4509" s="5" t="str">
        <f t="shared" si="1068"/>
        <v>Mourning Dove</v>
      </c>
      <c r="C4509" s="6">
        <f t="shared" si="1068"/>
        <v>0.29166666666666669</v>
      </c>
      <c r="D4509" s="5"/>
      <c r="E4509" s="5"/>
      <c r="F4509" s="5" t="str">
        <f t="shared" ref="F4509:G4509" si="1069">F4508</f>
        <v>None</v>
      </c>
      <c r="G4509" s="15" t="str">
        <f t="shared" si="1069"/>
        <v>None</v>
      </c>
      <c r="H4509" s="24">
        <f t="shared" si="961"/>
        <v>0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t="str" cm="1">
        <f t="array" ref="K4509">IFERROR(IF($B4509=K$1, ($A4509+$C4509) - MAX(IF($B$2:$B4508=$B4509, $A$2:$A4508+$C$2:$C4508)), "")*24*60, "")</f>
        <v/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cm="1">
        <f t="array" ref="O4509">IFERROR(IF($B4509=O$1, ($A4509+$C4509) - MAX(IF($B$2:$B4508=$B4509, $A$2:$A4508+$C$2:$C4508)), "")*24*60, "")</f>
        <v>0</v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:C4510" si="1070">A4509</f>
        <v>45965</v>
      </c>
      <c r="B4510" s="5" t="str">
        <f t="shared" si="1070"/>
        <v>Mourning Dove</v>
      </c>
      <c r="C4510" s="6">
        <f t="shared" si="1070"/>
        <v>0.29166666666666669</v>
      </c>
      <c r="D4510" s="5"/>
      <c r="E4510" s="5"/>
      <c r="F4510" s="5" t="str">
        <f t="shared" ref="F4510:G4510" si="1071">F4509</f>
        <v>None</v>
      </c>
      <c r="G4510" s="15" t="str">
        <f t="shared" si="1071"/>
        <v>None</v>
      </c>
      <c r="H4510" s="24">
        <f t="shared" si="961"/>
        <v>0</v>
      </c>
      <c r="I4510" s="24" t="str" cm="1">
        <f t="array" ref="I4510">IFERROR(IF($B4510=I$1, ($A4510+$C4510) - MAX(IF($B$2:$B4509=$B4510, $A$2:$A4509+$C$2:$C4509)), "")*24*60, "")</f>
        <v/>
      </c>
      <c r="J4510" s="24" t="str" cm="1">
        <f t="array" ref="J4510">IFERROR(IF($B4510=J$1, ($A4510+$C4510) - MAX(IF($B$2:$B4509=$B4510, $A$2:$A4509+$C$2:$C4509)), "")*24*60, "")</f>
        <v/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cm="1">
        <f t="array" ref="O4510">IFERROR(IF($B4510=O$1, ($A4510+$C4510) - MAX(IF($B$2:$B4509=$B4510, $A$2:$A4509+$C$2:$C4509)), "")*24*60, "")</f>
        <v>0</v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C4511" si="1072">A4510</f>
        <v>45965</v>
      </c>
      <c r="B4511" s="5" t="str">
        <f t="shared" si="1072"/>
        <v>Mourning Dove</v>
      </c>
      <c r="C4511" s="6">
        <f t="shared" si="1072"/>
        <v>0.29166666666666669</v>
      </c>
      <c r="D4511" s="5"/>
      <c r="E4511" s="5"/>
      <c r="F4511" s="5" t="str">
        <f t="shared" ref="F4511:G4511" si="1073">F4510</f>
        <v>None</v>
      </c>
      <c r="G4511" s="15" t="str">
        <f t="shared" si="1073"/>
        <v>None</v>
      </c>
      <c r="H4511" s="24">
        <f t="shared" si="961"/>
        <v>0</v>
      </c>
      <c r="I4511" s="24" t="str" cm="1">
        <f t="array" ref="I4511">IFERROR(IF($B4511=I$1, ($A4511+$C4511) - MAX(IF($B$2:$B4510=$B4511, $A$2:$A4510+$C$2:$C4510)), "")*24*60, "")</f>
        <v/>
      </c>
      <c r="J4511" s="24" t="str" cm="1">
        <f t="array" ref="J4511">IFERROR(IF($B4511=J$1, ($A4511+$C4511) - MAX(IF($B$2:$B4510=$B4511, $A$2:$A4510+$C$2:$C4510)), "")*24*60, "")</f>
        <v/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cm="1">
        <f t="array" ref="O4511">IFERROR(IF($B4511=O$1, ($A4511+$C4511) - MAX(IF($B$2:$B4510=$B4511, $A$2:$A4510+$C$2:$C4510)), "")*24*60, "")</f>
        <v>0</v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:C4512" si="1074">A4511</f>
        <v>45965</v>
      </c>
      <c r="B4512" s="5" t="str">
        <f t="shared" si="1074"/>
        <v>Mourning Dove</v>
      </c>
      <c r="C4512" s="6">
        <f t="shared" si="1074"/>
        <v>0.29166666666666669</v>
      </c>
      <c r="D4512" s="5"/>
      <c r="E4512" s="5"/>
      <c r="F4512" s="5" t="str">
        <f t="shared" ref="F4512:G4512" si="1075">F4511</f>
        <v>None</v>
      </c>
      <c r="G4512" s="15" t="str">
        <f t="shared" si="1075"/>
        <v>None</v>
      </c>
      <c r="H4512" s="24">
        <f t="shared" si="961"/>
        <v>0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t="str" cm="1">
        <f t="array" ref="L4512">IFERROR(IF($B4512=L$1, ($A4512+$C4512) - MAX(IF($B$2:$B4511=$B4512, $A$2:$A4511+$C$2:$C4511)), "")*24*60, "")</f>
        <v/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cm="1">
        <f t="array" ref="O4512">IFERROR(IF($B4512=O$1, ($A4512+$C4512) - MAX(IF($B$2:$B4511=$B4512, $A$2:$A4511+$C$2:$C4511)), "")*24*60, "")</f>
        <v>0</v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C4513" si="1076">A4512</f>
        <v>45965</v>
      </c>
      <c r="B4513" s="5" t="str">
        <f t="shared" si="1076"/>
        <v>Mourning Dove</v>
      </c>
      <c r="C4513" s="6">
        <f t="shared" si="1076"/>
        <v>0.29166666666666669</v>
      </c>
      <c r="D4513" s="5"/>
      <c r="E4513" s="5"/>
      <c r="F4513" s="5" t="str">
        <f t="shared" ref="F4513:G4513" si="1077">F4512</f>
        <v>None</v>
      </c>
      <c r="G4513" s="15" t="str">
        <f t="shared" si="1077"/>
        <v>None</v>
      </c>
      <c r="H4513" s="24">
        <f t="shared" si="961"/>
        <v>0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t="str" cm="1">
        <f t="array" ref="L4513">IFERROR(IF($B4513=L$1, ($A4513+$C4513) - MAX(IF($B$2:$B4512=$B4513, $A$2:$A4512+$C$2:$C4512)), "")*24*60, "")</f>
        <v/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cm="1">
        <f t="array" ref="O4513">IFERROR(IF($B4513=O$1, ($A4513+$C4513) - MAX(IF($B$2:$B4512=$B4513, $A$2:$A4512+$C$2:$C4512)), "")*24*60, "")</f>
        <v>0</v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2">
        <f t="shared" ref="A4514:C4514" si="1078">A4513</f>
        <v>45965</v>
      </c>
      <c r="B4514" s="5" t="str">
        <f t="shared" si="1078"/>
        <v>Mourning Dove</v>
      </c>
      <c r="C4514" s="6">
        <f t="shared" si="1078"/>
        <v>0.29166666666666669</v>
      </c>
      <c r="D4514" s="5"/>
      <c r="E4514" s="5"/>
      <c r="F4514" s="5" t="str">
        <f t="shared" ref="F4514:G4514" si="1079">F4513</f>
        <v>None</v>
      </c>
      <c r="G4514" s="15" t="str">
        <f t="shared" si="1079"/>
        <v>None</v>
      </c>
      <c r="H4514" s="24">
        <f t="shared" si="961"/>
        <v>0</v>
      </c>
      <c r="I4514" s="24" t="str" cm="1">
        <f t="array" ref="I4514">IFERROR(IF($B4514=I$1, ($A4514+$C4514) - MAX(IF($B$2:$B4513=$B4514, $A$2:$A4513+$C$2:$C4513)), "")*24*60, "")</f>
        <v/>
      </c>
      <c r="J4514" s="24" t="str" cm="1">
        <f t="array" ref="J4514">IFERROR(IF($B4514=J$1, ($A4514+$C4514) - MAX(IF($B$2:$B4513=$B4514, $A$2:$A4513+$C$2:$C4513)), "")*24*60, "")</f>
        <v/>
      </c>
      <c r="K4514" s="24" t="str" cm="1">
        <f t="array" ref="K4514">IFERROR(IF($B4514=K$1, ($A4514+$C4514) - MAX(IF($B$2:$B4513=$B4514, $A$2:$A4513+$C$2:$C4513)), "")*24*60, "")</f>
        <v/>
      </c>
      <c r="L4514" s="24" t="str" cm="1">
        <f t="array" ref="L4514">IFERROR(IF($B4514=L$1, ($A4514+$C4514) - MAX(IF($B$2:$B4513=$B4514, $A$2:$A4513+$C$2:$C4513)), "")*24*60, "")</f>
        <v/>
      </c>
      <c r="M4514" s="24" t="str" cm="1">
        <f t="array" ref="M4514">IFERROR(IF($B4514=M$1, ($A4514+$C4514) - MAX(IF($B$2:$B4513=$B4514, $A$2:$A4513+$C$2:$C4513)), "")*24*60, "")</f>
        <v/>
      </c>
      <c r="N4514" s="24" t="str" cm="1">
        <f t="array" ref="N4514">IFERROR(IF($B4514=N$1, ($A4514+$C4514) - MAX(IF($B$2:$B4513=$B4514, $A$2:$A4513+$C$2:$C4513)), "")*24*60, "")</f>
        <v/>
      </c>
      <c r="O4514" s="24" cm="1">
        <f t="array" ref="O4514">IFERROR(IF($B4514=O$1, ($A4514+$C4514) - MAX(IF($B$2:$B4513=$B4514, $A$2:$A4513+$C$2:$C4513)), "")*24*60, "")</f>
        <v>0</v>
      </c>
      <c r="P4514" s="24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f t="shared" ref="A4515:C4515" si="1080">A4514</f>
        <v>45965</v>
      </c>
      <c r="B4515" s="5" t="str">
        <f t="shared" si="1080"/>
        <v>Mourning Dove</v>
      </c>
      <c r="C4515" s="6">
        <f t="shared" si="1080"/>
        <v>0.29166666666666669</v>
      </c>
      <c r="D4515" s="5"/>
      <c r="E4515" s="5"/>
      <c r="F4515" s="5" t="str">
        <f t="shared" ref="F4515:G4515" si="1081">F4514</f>
        <v>None</v>
      </c>
      <c r="G4515" s="15" t="str">
        <f t="shared" si="1081"/>
        <v>None</v>
      </c>
      <c r="H4515" s="24">
        <f t="shared" si="961"/>
        <v>0</v>
      </c>
      <c r="I4515" s="24" t="str" cm="1">
        <f t="array" ref="I4515">IFERROR(IF($B4515=I$1, ($A4515+$C4515) - MAX(IF($B$2:$B4514=$B4515, $A$2:$A4514+$C$2:$C4514)), "")*24*60, "")</f>
        <v/>
      </c>
      <c r="J4515" s="24" t="str" cm="1">
        <f t="array" ref="J4515">IFERROR(IF($B4515=J$1, ($A4515+$C4515) - MAX(IF($B$2:$B4514=$B4515, $A$2:$A4514+$C$2:$C4514)), "")*24*60, "")</f>
        <v/>
      </c>
      <c r="K4515" s="24" t="str" cm="1">
        <f t="array" ref="K4515">IFERROR(IF($B4515=K$1, ($A4515+$C4515) - MAX(IF($B$2:$B4514=$B4515, $A$2:$A4514+$C$2:$C4514)), "")*24*60, "")</f>
        <v/>
      </c>
      <c r="L4515" s="24" t="str" cm="1">
        <f t="array" ref="L4515">IFERROR(IF($B4515=L$1, ($A4515+$C4515) - MAX(IF($B$2:$B4514=$B4515, $A$2:$A4514+$C$2:$C4514)), "")*24*60, "")</f>
        <v/>
      </c>
      <c r="M4515" s="24" t="str" cm="1">
        <f t="array" ref="M4515">IFERROR(IF($B4515=M$1, ($A4515+$C4515) - MAX(IF($B$2:$B4514=$B4515, $A$2:$A4514+$C$2:$C4514)), "")*24*60, "")</f>
        <v/>
      </c>
      <c r="N4515" s="24" t="str" cm="1">
        <f t="array" ref="N4515">IFERROR(IF($B4515=N$1, ($A4515+$C4515) - MAX(IF($B$2:$B4514=$B4515, $A$2:$A4514+$C$2:$C4514)), "")*24*60, "")</f>
        <v/>
      </c>
      <c r="O4515" s="24" cm="1">
        <f t="array" ref="O4515">IFERROR(IF($B4515=O$1, ($A4515+$C4515) - MAX(IF($B$2:$B4514=$B4515, $A$2:$A4514+$C$2:$C4514)), "")*24*60, "")</f>
        <v>0</v>
      </c>
      <c r="P4515" s="24" t="str" cm="1">
        <f t="array" ref="P4515">IFERROR(IF($B4515=P$1, ($A4515+$C4515) - MAX(IF($B$2:$B4514=$B4515, $A$2:$A4514+$C$2:$C4514)), "")*24*60, "")</f>
        <v/>
      </c>
    </row>
    <row r="4516" spans="1:16" x14ac:dyDescent="0.2">
      <c r="A4516" s="12">
        <f t="shared" ref="A4516:C4516" si="1082">A4515</f>
        <v>45965</v>
      </c>
      <c r="B4516" s="5" t="str">
        <f t="shared" si="1082"/>
        <v>Mourning Dove</v>
      </c>
      <c r="C4516" s="6">
        <f t="shared" si="1082"/>
        <v>0.29166666666666669</v>
      </c>
      <c r="D4516" s="5"/>
      <c r="E4516" s="5"/>
      <c r="F4516" s="5" t="str">
        <f t="shared" ref="F4516:G4516" si="1083">F4515</f>
        <v>None</v>
      </c>
      <c r="G4516" s="15" t="str">
        <f t="shared" si="1083"/>
        <v>None</v>
      </c>
      <c r="H4516" s="24">
        <f t="shared" si="961"/>
        <v>0</v>
      </c>
      <c r="I4516" s="24" t="str" cm="1">
        <f t="array" ref="I4516">IFERROR(IF($B4516=I$1, ($A4516+$C4516) - MAX(IF($B$2:$B4515=$B4516, $A$2:$A4515+$C$2:$C4515)), "")*24*60, "")</f>
        <v/>
      </c>
      <c r="J4516" s="24" t="str" cm="1">
        <f t="array" ref="J4516">IFERROR(IF($B4516=J$1, ($A4516+$C4516) - MAX(IF($B$2:$B4515=$B4516, $A$2:$A4515+$C$2:$C4515)), "")*24*60, "")</f>
        <v/>
      </c>
      <c r="K4516" s="24" t="str" cm="1">
        <f t="array" ref="K4516">IFERROR(IF($B4516=K$1, ($A4516+$C4516) - MAX(IF($B$2:$B4515=$B4516, $A$2:$A4515+$C$2:$C4515)), "")*24*60, "")</f>
        <v/>
      </c>
      <c r="L4516" s="24" t="str" cm="1">
        <f t="array" ref="L4516">IFERROR(IF($B4516=L$1, ($A4516+$C4516) - MAX(IF($B$2:$B4515=$B4516, $A$2:$A4515+$C$2:$C4515)), "")*24*60, "")</f>
        <v/>
      </c>
      <c r="M4516" s="24" t="str" cm="1">
        <f t="array" ref="M4516">IFERROR(IF($B4516=M$1, ($A4516+$C4516) - MAX(IF($B$2:$B4515=$B4516, $A$2:$A4515+$C$2:$C4515)), "")*24*60, "")</f>
        <v/>
      </c>
      <c r="N4516" s="24" t="str" cm="1">
        <f t="array" ref="N4516">IFERROR(IF($B4516=N$1, ($A4516+$C4516) - MAX(IF($B$2:$B4515=$B4516, $A$2:$A4515+$C$2:$C4515)), "")*24*60, "")</f>
        <v/>
      </c>
      <c r="O4516" s="24" cm="1">
        <f t="array" ref="O4516">IFERROR(IF($B4516=O$1, ($A4516+$C4516) - MAX(IF($B$2:$B4515=$B4516, $A$2:$A4515+$C$2:$C4515)), "")*24*60, "")</f>
        <v>0</v>
      </c>
      <c r="P4516" s="24" t="str" cm="1">
        <f t="array" ref="P4516">IFERROR(IF($B4516=P$1, ($A4516+$C4516) - MAX(IF($B$2:$B4515=$B4516, $A$2:$A4515+$C$2:$C4515)), "")*24*60, "")</f>
        <v/>
      </c>
    </row>
    <row r="4517" spans="1:16" x14ac:dyDescent="0.2">
      <c r="A4517" s="12">
        <f t="shared" ref="A4517:C4517" si="1084">A4516</f>
        <v>45965</v>
      </c>
      <c r="B4517" s="5" t="str">
        <f t="shared" si="1084"/>
        <v>Mourning Dove</v>
      </c>
      <c r="C4517" s="6">
        <f t="shared" si="1084"/>
        <v>0.29166666666666669</v>
      </c>
      <c r="D4517" s="5"/>
      <c r="E4517" s="5"/>
      <c r="F4517" s="5" t="str">
        <f t="shared" ref="F4517:G4517" si="1085">F4516</f>
        <v>None</v>
      </c>
      <c r="G4517" s="15" t="str">
        <f t="shared" si="1085"/>
        <v>None</v>
      </c>
      <c r="H4517" s="24">
        <f t="shared" si="961"/>
        <v>0</v>
      </c>
      <c r="I4517" s="24" t="str" cm="1">
        <f t="array" ref="I4517">IFERROR(IF($B4517=I$1, ($A4517+$C4517) - MAX(IF($B$2:$B4516=$B4517, $A$2:$A4516+$C$2:$C4516)), "")*24*60, "")</f>
        <v/>
      </c>
      <c r="J4517" s="24" t="str" cm="1">
        <f t="array" ref="J4517">IFERROR(IF($B4517=J$1, ($A4517+$C4517) - MAX(IF($B$2:$B4516=$B4517, $A$2:$A4516+$C$2:$C4516)), "")*24*60, "")</f>
        <v/>
      </c>
      <c r="K4517" s="24" t="str" cm="1">
        <f t="array" ref="K4517">IFERROR(IF($B4517=K$1, ($A4517+$C4517) - MAX(IF($B$2:$B4516=$B4517, $A$2:$A4516+$C$2:$C4516)), "")*24*60, "")</f>
        <v/>
      </c>
      <c r="L4517" s="24" t="str" cm="1">
        <f t="array" ref="L4517">IFERROR(IF($B4517=L$1, ($A4517+$C4517) - MAX(IF($B$2:$B4516=$B4517, $A$2:$A4516+$C$2:$C4516)), "")*24*60, "")</f>
        <v/>
      </c>
      <c r="M4517" s="24" t="str" cm="1">
        <f t="array" ref="M4517">IFERROR(IF($B4517=M$1, ($A4517+$C4517) - MAX(IF($B$2:$B4516=$B4517, $A$2:$A4516+$C$2:$C4516)), "")*24*60, "")</f>
        <v/>
      </c>
      <c r="N4517" s="24" t="str" cm="1">
        <f t="array" ref="N4517">IFERROR(IF($B4517=N$1, ($A4517+$C4517) - MAX(IF($B$2:$B4516=$B4517, $A$2:$A4516+$C$2:$C4516)), "")*24*60, "")</f>
        <v/>
      </c>
      <c r="O4517" s="24" cm="1">
        <f t="array" ref="O4517">IFERROR(IF($B4517=O$1, ($A4517+$C4517) - MAX(IF($B$2:$B4516=$B4517, $A$2:$A4516+$C$2:$C4516)), "")*24*60, "")</f>
        <v>0</v>
      </c>
      <c r="P4517" s="24" t="str" cm="1">
        <f t="array" ref="P4517">IFERROR(IF($B4517=P$1, ($A4517+$C4517) - MAX(IF($B$2:$B4516=$B4517, $A$2:$A4516+$C$2:$C4516)), "")*24*60, "")</f>
        <v/>
      </c>
    </row>
    <row r="4518" spans="1:16" x14ac:dyDescent="0.2">
      <c r="A4518" s="12">
        <f t="shared" ref="A4518:C4518" si="1086">A4517</f>
        <v>45965</v>
      </c>
      <c r="B4518" s="5" t="str">
        <f t="shared" si="1086"/>
        <v>Mourning Dove</v>
      </c>
      <c r="C4518" s="6">
        <f t="shared" si="1086"/>
        <v>0.29166666666666669</v>
      </c>
      <c r="D4518" s="5"/>
      <c r="E4518" s="5"/>
      <c r="F4518" s="5" t="str">
        <f t="shared" ref="F4518:G4518" si="1087">F4517</f>
        <v>None</v>
      </c>
      <c r="G4518" s="15" t="str">
        <f t="shared" si="1087"/>
        <v>None</v>
      </c>
      <c r="H4518" s="24">
        <f t="shared" si="961"/>
        <v>0</v>
      </c>
      <c r="I4518" s="24" t="str" cm="1">
        <f t="array" ref="I4518">IFERROR(IF($B4518=I$1, ($A4518+$C4518) - MAX(IF($B$2:$B4517=$B4518, $A$2:$A4517+$C$2:$C4517)), "")*24*60, "")</f>
        <v/>
      </c>
      <c r="J4518" s="24" t="str" cm="1">
        <f t="array" ref="J4518">IFERROR(IF($B4518=J$1, ($A4518+$C4518) - MAX(IF($B$2:$B4517=$B4518, $A$2:$A4517+$C$2:$C4517)), "")*24*60, "")</f>
        <v/>
      </c>
      <c r="K4518" s="24" t="str" cm="1">
        <f t="array" ref="K4518">IFERROR(IF($B4518=K$1, ($A4518+$C4518) - MAX(IF($B$2:$B4517=$B4518, $A$2:$A4517+$C$2:$C4517)), "")*24*60, "")</f>
        <v/>
      </c>
      <c r="L4518" s="24" t="str" cm="1">
        <f t="array" ref="L4518">IFERROR(IF($B4518=L$1, ($A4518+$C4518) - MAX(IF($B$2:$B4517=$B4518, $A$2:$A4517+$C$2:$C4517)), "")*24*60, "")</f>
        <v/>
      </c>
      <c r="M4518" s="24" t="str" cm="1">
        <f t="array" ref="M4518">IFERROR(IF($B4518=M$1, ($A4518+$C4518) - MAX(IF($B$2:$B4517=$B4518, $A$2:$A4517+$C$2:$C4517)), "")*24*60, "")</f>
        <v/>
      </c>
      <c r="N4518" s="24" t="str" cm="1">
        <f t="array" ref="N4518">IFERROR(IF($B4518=N$1, ($A4518+$C4518) - MAX(IF($B$2:$B4517=$B4518, $A$2:$A4517+$C$2:$C4517)), "")*24*60, "")</f>
        <v/>
      </c>
      <c r="O4518" s="24" cm="1">
        <f t="array" ref="O4518">IFERROR(IF($B4518=O$1, ($A4518+$C4518) - MAX(IF($B$2:$B4517=$B4518, $A$2:$A4517+$C$2:$C4517)), "")*24*60, "")</f>
        <v>0</v>
      </c>
      <c r="P4518" s="24" t="str" cm="1">
        <f t="array" ref="P4518">IFERROR(IF($B4518=P$1, ($A4518+$C4518) - MAX(IF($B$2:$B4517=$B4518, $A$2:$A4517+$C$2:$C4517)), "")*24*60, "")</f>
        <v/>
      </c>
    </row>
    <row r="4519" spans="1:16" x14ac:dyDescent="0.2">
      <c r="A4519" s="12">
        <f t="shared" ref="A4519:C4519" si="1088">A4518</f>
        <v>45965</v>
      </c>
      <c r="B4519" s="5" t="str">
        <f t="shared" si="1088"/>
        <v>Mourning Dove</v>
      </c>
      <c r="C4519" s="6">
        <f t="shared" si="1088"/>
        <v>0.29166666666666669</v>
      </c>
      <c r="D4519" s="5"/>
      <c r="E4519" s="5"/>
      <c r="F4519" s="5" t="str">
        <f t="shared" ref="F4519:G4519" si="1089">F4518</f>
        <v>None</v>
      </c>
      <c r="G4519" s="15" t="str">
        <f t="shared" si="1089"/>
        <v>None</v>
      </c>
      <c r="H4519" s="24">
        <f t="shared" si="961"/>
        <v>0</v>
      </c>
      <c r="I4519" s="24" t="str" cm="1">
        <f t="array" ref="I4519">IFERROR(IF($B4519=I$1, ($A4519+$C4519) - MAX(IF($B$2:$B4518=$B4519, $A$2:$A4518+$C$2:$C4518)), "")*24*60, "")</f>
        <v/>
      </c>
      <c r="J4519" s="24" t="str" cm="1">
        <f t="array" ref="J4519">IFERROR(IF($B4519=J$1, ($A4519+$C4519) - MAX(IF($B$2:$B4518=$B4519, $A$2:$A4518+$C$2:$C4518)), "")*24*60, "")</f>
        <v/>
      </c>
      <c r="K4519" s="24" t="str" cm="1">
        <f t="array" ref="K4519">IFERROR(IF($B4519=K$1, ($A4519+$C4519) - MAX(IF($B$2:$B4518=$B4519, $A$2:$A4518+$C$2:$C4518)), "")*24*60, "")</f>
        <v/>
      </c>
      <c r="L4519" s="24" t="str" cm="1">
        <f t="array" ref="L4519">IFERROR(IF($B4519=L$1, ($A4519+$C4519) - MAX(IF($B$2:$B4518=$B4519, $A$2:$A4518+$C$2:$C4518)), "")*24*60, "")</f>
        <v/>
      </c>
      <c r="M4519" s="24" t="str" cm="1">
        <f t="array" ref="M4519">IFERROR(IF($B4519=M$1, ($A4519+$C4519) - MAX(IF($B$2:$B4518=$B4519, $A$2:$A4518+$C$2:$C4518)), "")*24*60, "")</f>
        <v/>
      </c>
      <c r="N4519" s="24" t="str" cm="1">
        <f t="array" ref="N4519">IFERROR(IF($B4519=N$1, ($A4519+$C4519) - MAX(IF($B$2:$B4518=$B4519, $A$2:$A4518+$C$2:$C4518)), "")*24*60, "")</f>
        <v/>
      </c>
      <c r="O4519" s="24" cm="1">
        <f t="array" ref="O4519">IFERROR(IF($B4519=O$1, ($A4519+$C4519) - MAX(IF($B$2:$B4518=$B4519, $A$2:$A4518+$C$2:$C4518)), "")*24*60, "")</f>
        <v>0</v>
      </c>
      <c r="P4519" s="24" t="str" cm="1">
        <f t="array" ref="P4519">IFERROR(IF($B4519=P$1, ($A4519+$C4519) - MAX(IF($B$2:$B4518=$B4519, $A$2:$A4518+$C$2:$C4518)), "")*24*60, "")</f>
        <v/>
      </c>
    </row>
    <row r="4520" spans="1:16" x14ac:dyDescent="0.2">
      <c r="A4520" s="12">
        <f t="shared" ref="A4520:C4520" si="1090">A4519</f>
        <v>45965</v>
      </c>
      <c r="B4520" s="5" t="str">
        <f t="shared" si="1090"/>
        <v>Mourning Dove</v>
      </c>
      <c r="C4520" s="6">
        <f t="shared" si="1090"/>
        <v>0.29166666666666669</v>
      </c>
      <c r="D4520" s="5"/>
      <c r="E4520" s="5"/>
      <c r="F4520" s="5" t="str">
        <f t="shared" ref="F4520:G4520" si="1091">F4519</f>
        <v>None</v>
      </c>
      <c r="G4520" s="15" t="str">
        <f t="shared" si="1091"/>
        <v>None</v>
      </c>
      <c r="H4520" s="24">
        <f t="shared" si="961"/>
        <v>0</v>
      </c>
      <c r="I4520" s="24" t="str" cm="1">
        <f t="array" ref="I4520">IFERROR(IF($B4520=I$1, ($A4520+$C4520) - MAX(IF($B$2:$B4519=$B4520, $A$2:$A4519+$C$2:$C4519)), "")*24*60, "")</f>
        <v/>
      </c>
      <c r="J4520" s="24" t="str" cm="1">
        <f t="array" ref="J4520">IFERROR(IF($B4520=J$1, ($A4520+$C4520) - MAX(IF($B$2:$B4519=$B4520, $A$2:$A4519+$C$2:$C4519)), "")*24*60, "")</f>
        <v/>
      </c>
      <c r="K4520" s="24" t="str" cm="1">
        <f t="array" ref="K4520">IFERROR(IF($B4520=K$1, ($A4520+$C4520) - MAX(IF($B$2:$B4519=$B4520, $A$2:$A4519+$C$2:$C4519)), "")*24*60, "")</f>
        <v/>
      </c>
      <c r="L4520" s="24" t="str" cm="1">
        <f t="array" ref="L4520">IFERROR(IF($B4520=L$1, ($A4520+$C4520) - MAX(IF($B$2:$B4519=$B4520, $A$2:$A4519+$C$2:$C4519)), "")*24*60, "")</f>
        <v/>
      </c>
      <c r="M4520" s="24" t="str" cm="1">
        <f t="array" ref="M4520">IFERROR(IF($B4520=M$1, ($A4520+$C4520) - MAX(IF($B$2:$B4519=$B4520, $A$2:$A4519+$C$2:$C4519)), "")*24*60, "")</f>
        <v/>
      </c>
      <c r="N4520" s="24" t="str" cm="1">
        <f t="array" ref="N4520">IFERROR(IF($B4520=N$1, ($A4520+$C4520) - MAX(IF($B$2:$B4519=$B4520, $A$2:$A4519+$C$2:$C4519)), "")*24*60, "")</f>
        <v/>
      </c>
      <c r="O4520" s="24" cm="1">
        <f t="array" ref="O4520">IFERROR(IF($B4520=O$1, ($A4520+$C4520) - MAX(IF($B$2:$B4519=$B4520, $A$2:$A4519+$C$2:$C4519)), "")*24*60, "")</f>
        <v>0</v>
      </c>
      <c r="P4520" s="24" t="str" cm="1">
        <f t="array" ref="P4520">IFERROR(IF($B4520=P$1, ($A4520+$C4520) - MAX(IF($B$2:$B4519=$B4520, $A$2:$A4519+$C$2:$C4519)), "")*24*60, "")</f>
        <v/>
      </c>
    </row>
    <row r="4521" spans="1:16" x14ac:dyDescent="0.2">
      <c r="A4521" s="12">
        <f t="shared" ref="A4521:C4521" si="1092">A4520</f>
        <v>45965</v>
      </c>
      <c r="B4521" s="5" t="str">
        <f t="shared" si="1092"/>
        <v>Mourning Dove</v>
      </c>
      <c r="C4521" s="6">
        <f t="shared" si="1092"/>
        <v>0.29166666666666669</v>
      </c>
      <c r="D4521" s="5"/>
      <c r="E4521" s="5"/>
      <c r="F4521" s="5" t="str">
        <f t="shared" ref="F4521:G4521" si="1093">F4520</f>
        <v>None</v>
      </c>
      <c r="G4521" s="15" t="str">
        <f t="shared" si="1093"/>
        <v>None</v>
      </c>
      <c r="H4521" s="24">
        <f t="shared" si="961"/>
        <v>0</v>
      </c>
      <c r="I4521" s="24" t="str" cm="1">
        <f t="array" ref="I4521">IFERROR(IF($B4521=I$1, ($A4521+$C4521) - MAX(IF($B$2:$B4520=$B4521, $A$2:$A4520+$C$2:$C4520)), "")*24*60, "")</f>
        <v/>
      </c>
      <c r="J4521" s="24" t="str" cm="1">
        <f t="array" ref="J4521">IFERROR(IF($B4521=J$1, ($A4521+$C4521) - MAX(IF($B$2:$B4520=$B4521, $A$2:$A4520+$C$2:$C4520)), "")*24*60, "")</f>
        <v/>
      </c>
      <c r="K4521" s="24" t="str" cm="1">
        <f t="array" ref="K4521">IFERROR(IF($B4521=K$1, ($A4521+$C4521) - MAX(IF($B$2:$B4520=$B4521, $A$2:$A4520+$C$2:$C4520)), "")*24*60, "")</f>
        <v/>
      </c>
      <c r="L4521" s="24" t="str" cm="1">
        <f t="array" ref="L4521">IFERROR(IF($B4521=L$1, ($A4521+$C4521) - MAX(IF($B$2:$B4520=$B4521, $A$2:$A4520+$C$2:$C4520)), "")*24*60, "")</f>
        <v/>
      </c>
      <c r="M4521" s="24" t="str" cm="1">
        <f t="array" ref="M4521">IFERROR(IF($B4521=M$1, ($A4521+$C4521) - MAX(IF($B$2:$B4520=$B4521, $A$2:$A4520+$C$2:$C4520)), "")*24*60, "")</f>
        <v/>
      </c>
      <c r="N4521" s="24" t="str" cm="1">
        <f t="array" ref="N4521">IFERROR(IF($B4521=N$1, ($A4521+$C4521) - MAX(IF($B$2:$B4520=$B4521, $A$2:$A4520+$C$2:$C4520)), "")*24*60, "")</f>
        <v/>
      </c>
      <c r="O4521" s="24" cm="1">
        <f t="array" ref="O4521">IFERROR(IF($B4521=O$1, ($A4521+$C4521) - MAX(IF($B$2:$B4520=$B4521, $A$2:$A4520+$C$2:$C4520)), "")*24*60, "")</f>
        <v>0</v>
      </c>
      <c r="P4521" s="24" t="str" cm="1">
        <f t="array" ref="P4521">IFERROR(IF($B4521=P$1, ($A4521+$C4521) - MAX(IF($B$2:$B4520=$B4521, $A$2:$A4520+$C$2:$C4520)), "")*24*60, "")</f>
        <v/>
      </c>
    </row>
    <row r="4522" spans="1:16" x14ac:dyDescent="0.2">
      <c r="A4522" s="12">
        <f t="shared" ref="A4522:C4522" si="1094">A4521</f>
        <v>45965</v>
      </c>
      <c r="B4522" s="5" t="str">
        <f t="shared" si="1094"/>
        <v>Mourning Dove</v>
      </c>
      <c r="C4522" s="6">
        <f t="shared" si="1094"/>
        <v>0.29166666666666669</v>
      </c>
      <c r="D4522" s="5"/>
      <c r="E4522" s="5"/>
      <c r="F4522" s="5" t="str">
        <f t="shared" ref="F4522:G4522" si="1095">F4521</f>
        <v>None</v>
      </c>
      <c r="G4522" s="15" t="str">
        <f t="shared" si="1095"/>
        <v>None</v>
      </c>
      <c r="H4522" s="24">
        <f t="shared" si="961"/>
        <v>0</v>
      </c>
      <c r="I4522" s="24" t="str" cm="1">
        <f t="array" ref="I4522">IFERROR(IF($B4522=I$1, ($A4522+$C4522) - MAX(IF($B$2:$B4521=$B4522, $A$2:$A4521+$C$2:$C4521)), "")*24*60, "")</f>
        <v/>
      </c>
      <c r="J4522" s="24" t="str" cm="1">
        <f t="array" ref="J4522">IFERROR(IF($B4522=J$1, ($A4522+$C4522) - MAX(IF($B$2:$B4521=$B4522, $A$2:$A4521+$C$2:$C4521)), "")*24*60, "")</f>
        <v/>
      </c>
      <c r="K4522" s="24" t="str" cm="1">
        <f t="array" ref="K4522">IFERROR(IF($B4522=K$1, ($A4522+$C4522) - MAX(IF($B$2:$B4521=$B4522, $A$2:$A4521+$C$2:$C4521)), "")*24*60, "")</f>
        <v/>
      </c>
      <c r="L4522" s="24" t="str" cm="1">
        <f t="array" ref="L4522">IFERROR(IF($B4522=L$1, ($A4522+$C4522) - MAX(IF($B$2:$B4521=$B4522, $A$2:$A4521+$C$2:$C4521)), "")*24*60, "")</f>
        <v/>
      </c>
      <c r="M4522" s="24" t="str" cm="1">
        <f t="array" ref="M4522">IFERROR(IF($B4522=M$1, ($A4522+$C4522) - MAX(IF($B$2:$B4521=$B4522, $A$2:$A4521+$C$2:$C4521)), "")*24*60, "")</f>
        <v/>
      </c>
      <c r="N4522" s="24" t="str" cm="1">
        <f t="array" ref="N4522">IFERROR(IF($B4522=N$1, ($A4522+$C4522) - MAX(IF($B$2:$B4521=$B4522, $A$2:$A4521+$C$2:$C4521)), "")*24*60, "")</f>
        <v/>
      </c>
      <c r="O4522" s="24" cm="1">
        <f t="array" ref="O4522">IFERROR(IF($B4522=O$1, ($A4522+$C4522) - MAX(IF($B$2:$B4521=$B4522, $A$2:$A4521+$C$2:$C4521)), "")*24*60, "")</f>
        <v>0</v>
      </c>
      <c r="P4522" s="24" t="str" cm="1">
        <f t="array" ref="P4522">IFERROR(IF($B4522=P$1, ($A4522+$C4522) - MAX(IF($B$2:$B4521=$B4522, $A$2:$A4521+$C$2:$C4521)), "")*24*60, "")</f>
        <v/>
      </c>
    </row>
    <row r="4523" spans="1:16" x14ac:dyDescent="0.2">
      <c r="A4523" s="12">
        <f t="shared" ref="A4523:C4523" si="1096">A4522</f>
        <v>45965</v>
      </c>
      <c r="B4523" s="5" t="str">
        <f t="shared" si="1096"/>
        <v>Mourning Dove</v>
      </c>
      <c r="C4523" s="6">
        <f t="shared" si="1096"/>
        <v>0.29166666666666669</v>
      </c>
      <c r="D4523" s="5"/>
      <c r="E4523" s="5"/>
      <c r="F4523" s="5" t="str">
        <f t="shared" ref="F4523:G4523" si="1097">F4522</f>
        <v>None</v>
      </c>
      <c r="G4523" s="15" t="str">
        <f t="shared" si="1097"/>
        <v>None</v>
      </c>
      <c r="H4523" s="24">
        <f t="shared" si="961"/>
        <v>0</v>
      </c>
      <c r="I4523" s="24" t="str" cm="1">
        <f t="array" ref="I4523">IFERROR(IF($B4523=I$1, ($A4523+$C4523) - MAX(IF($B$2:$B4522=$B4523, $A$2:$A4522+$C$2:$C4522)), "")*24*60, "")</f>
        <v/>
      </c>
      <c r="J4523" s="24" t="str" cm="1">
        <f t="array" ref="J4523">IFERROR(IF($B4523=J$1, ($A4523+$C4523) - MAX(IF($B$2:$B4522=$B4523, $A$2:$A4522+$C$2:$C4522)), "")*24*60, "")</f>
        <v/>
      </c>
      <c r="K4523" s="24" t="str" cm="1">
        <f t="array" ref="K4523">IFERROR(IF($B4523=K$1, ($A4523+$C4523) - MAX(IF($B$2:$B4522=$B4523, $A$2:$A4522+$C$2:$C4522)), "")*24*60, "")</f>
        <v/>
      </c>
      <c r="L4523" s="24" t="str" cm="1">
        <f t="array" ref="L4523">IFERROR(IF($B4523=L$1, ($A4523+$C4523) - MAX(IF($B$2:$B4522=$B4523, $A$2:$A4522+$C$2:$C4522)), "")*24*60, "")</f>
        <v/>
      </c>
      <c r="M4523" s="24" t="str" cm="1">
        <f t="array" ref="M4523">IFERROR(IF($B4523=M$1, ($A4523+$C4523) - MAX(IF($B$2:$B4522=$B4523, $A$2:$A4522+$C$2:$C4522)), "")*24*60, "")</f>
        <v/>
      </c>
      <c r="N4523" s="24" t="str" cm="1">
        <f t="array" ref="N4523">IFERROR(IF($B4523=N$1, ($A4523+$C4523) - MAX(IF($B$2:$B4522=$B4523, $A$2:$A4522+$C$2:$C4522)), "")*24*60, "")</f>
        <v/>
      </c>
      <c r="O4523" s="24" cm="1">
        <f t="array" ref="O4523">IFERROR(IF($B4523=O$1, ($A4523+$C4523) - MAX(IF($B$2:$B4522=$B4523, $A$2:$A4522+$C$2:$C4522)), "")*24*60, "")</f>
        <v>0</v>
      </c>
      <c r="P4523" s="24" t="str" cm="1">
        <f t="array" ref="P4523">IFERROR(IF($B4523=P$1, ($A4523+$C4523) - MAX(IF($B$2:$B4522=$B4523, $A$2:$A4522+$C$2:$C4522)), "")*24*60, "")</f>
        <v/>
      </c>
    </row>
    <row r="4524" spans="1:16" x14ac:dyDescent="0.2">
      <c r="A4524" s="12">
        <f t="shared" ref="A4524:C4524" si="1098">A4523</f>
        <v>45965</v>
      </c>
      <c r="B4524" s="5" t="str">
        <f t="shared" si="1098"/>
        <v>Mourning Dove</v>
      </c>
      <c r="C4524" s="6">
        <f t="shared" si="1098"/>
        <v>0.29166666666666669</v>
      </c>
      <c r="D4524" s="5"/>
      <c r="E4524" s="5"/>
      <c r="F4524" s="5" t="str">
        <f t="shared" ref="F4524:G4524" si="1099">F4523</f>
        <v>None</v>
      </c>
      <c r="G4524" s="15" t="str">
        <f t="shared" si="1099"/>
        <v>None</v>
      </c>
      <c r="H4524" s="24">
        <f t="shared" si="961"/>
        <v>0</v>
      </c>
      <c r="I4524" s="24" t="str" cm="1">
        <f t="array" ref="I4524">IFERROR(IF($B4524=I$1, ($A4524+$C4524) - MAX(IF($B$2:$B4523=$B4524, $A$2:$A4523+$C$2:$C4523)), "")*24*60, "")</f>
        <v/>
      </c>
      <c r="J4524" s="24" t="str" cm="1">
        <f t="array" ref="J4524">IFERROR(IF($B4524=J$1, ($A4524+$C4524) - MAX(IF($B$2:$B4523=$B4524, $A$2:$A4523+$C$2:$C4523)), "")*24*60, "")</f>
        <v/>
      </c>
      <c r="K4524" s="24" t="str" cm="1">
        <f t="array" ref="K4524">IFERROR(IF($B4524=K$1, ($A4524+$C4524) - MAX(IF($B$2:$B4523=$B4524, $A$2:$A4523+$C$2:$C4523)), "")*24*60, "")</f>
        <v/>
      </c>
      <c r="L4524" s="24" t="str" cm="1">
        <f t="array" ref="L4524">IFERROR(IF($B4524=L$1, ($A4524+$C4524) - MAX(IF($B$2:$B4523=$B4524, $A$2:$A4523+$C$2:$C4523)), "")*24*60, "")</f>
        <v/>
      </c>
      <c r="M4524" s="24" t="str" cm="1">
        <f t="array" ref="M4524">IFERROR(IF($B4524=M$1, ($A4524+$C4524) - MAX(IF($B$2:$B4523=$B4524, $A$2:$A4523+$C$2:$C4523)), "")*24*60, "")</f>
        <v/>
      </c>
      <c r="N4524" s="24" t="str" cm="1">
        <f t="array" ref="N4524">IFERROR(IF($B4524=N$1, ($A4524+$C4524) - MAX(IF($B$2:$B4523=$B4524, $A$2:$A4523+$C$2:$C4523)), "")*24*60, "")</f>
        <v/>
      </c>
      <c r="O4524" s="24" cm="1">
        <f t="array" ref="O4524">IFERROR(IF($B4524=O$1, ($A4524+$C4524) - MAX(IF($B$2:$B4523=$B4524, $A$2:$A4523+$C$2:$C4523)), "")*24*60, "")</f>
        <v>0</v>
      </c>
      <c r="P4524" s="24" t="str" cm="1">
        <f t="array" ref="P4524">IFERROR(IF($B4524=P$1, ($A4524+$C4524) - MAX(IF($B$2:$B4523=$B4524, $A$2:$A4523+$C$2:$C4523)), "")*24*60, "")</f>
        <v/>
      </c>
    </row>
    <row r="4525" spans="1:16" x14ac:dyDescent="0.2">
      <c r="A4525" s="12">
        <f t="shared" ref="A4525:C4525" si="1100">A4524</f>
        <v>45965</v>
      </c>
      <c r="B4525" s="5" t="str">
        <f t="shared" si="1100"/>
        <v>Mourning Dove</v>
      </c>
      <c r="C4525" s="6">
        <f t="shared" si="1100"/>
        <v>0.29166666666666669</v>
      </c>
      <c r="D4525" s="5"/>
      <c r="E4525" s="5"/>
      <c r="F4525" s="5" t="str">
        <f t="shared" ref="F4525:G4525" si="1101">F4524</f>
        <v>None</v>
      </c>
      <c r="G4525" s="15" t="str">
        <f t="shared" si="1101"/>
        <v>None</v>
      </c>
      <c r="H4525" s="24">
        <f t="shared" si="961"/>
        <v>0</v>
      </c>
      <c r="I4525" s="24" t="str" cm="1">
        <f t="array" ref="I4525">IFERROR(IF($B4525=I$1, ($A4525+$C4525) - MAX(IF($B$2:$B4524=$B4525, $A$2:$A4524+$C$2:$C4524)), "")*24*60, "")</f>
        <v/>
      </c>
      <c r="J4525" s="24" t="str" cm="1">
        <f t="array" ref="J4525">IFERROR(IF($B4525=J$1, ($A4525+$C4525) - MAX(IF($B$2:$B4524=$B4525, $A$2:$A4524+$C$2:$C4524)), "")*24*60, "")</f>
        <v/>
      </c>
      <c r="K4525" s="24" t="str" cm="1">
        <f t="array" ref="K4525">IFERROR(IF($B4525=K$1, ($A4525+$C4525) - MAX(IF($B$2:$B4524=$B4525, $A$2:$A4524+$C$2:$C4524)), "")*24*60, "")</f>
        <v/>
      </c>
      <c r="L4525" s="24" t="str" cm="1">
        <f t="array" ref="L4525">IFERROR(IF($B4525=L$1, ($A4525+$C4525) - MAX(IF($B$2:$B4524=$B4525, $A$2:$A4524+$C$2:$C4524)), "")*24*60, "")</f>
        <v/>
      </c>
      <c r="M4525" s="24" t="str" cm="1">
        <f t="array" ref="M4525">IFERROR(IF($B4525=M$1, ($A4525+$C4525) - MAX(IF($B$2:$B4524=$B4525, $A$2:$A4524+$C$2:$C4524)), "")*24*60, "")</f>
        <v/>
      </c>
      <c r="N4525" s="24" t="str" cm="1">
        <f t="array" ref="N4525">IFERROR(IF($B4525=N$1, ($A4525+$C4525) - MAX(IF($B$2:$B4524=$B4525, $A$2:$A4524+$C$2:$C4524)), "")*24*60, "")</f>
        <v/>
      </c>
      <c r="O4525" s="24" cm="1">
        <f t="array" ref="O4525">IFERROR(IF($B4525=O$1, ($A4525+$C4525) - MAX(IF($B$2:$B4524=$B4525, $A$2:$A4524+$C$2:$C4524)), "")*24*60, "")</f>
        <v>0</v>
      </c>
      <c r="P4525" s="24" t="str" cm="1">
        <f t="array" ref="P4525">IFERROR(IF($B4525=P$1, ($A4525+$C4525) - MAX(IF($B$2:$B4524=$B4525, $A$2:$A4524+$C$2:$C4524)), "")*24*60, "")</f>
        <v/>
      </c>
    </row>
    <row r="4526" spans="1:16" x14ac:dyDescent="0.2">
      <c r="A4526" s="12">
        <f t="shared" ref="A4526:C4526" si="1102">A4525</f>
        <v>45965</v>
      </c>
      <c r="B4526" s="5" t="str">
        <f t="shared" si="1102"/>
        <v>Mourning Dove</v>
      </c>
      <c r="C4526" s="6">
        <f t="shared" si="1102"/>
        <v>0.29166666666666669</v>
      </c>
      <c r="D4526" s="5"/>
      <c r="E4526" s="5"/>
      <c r="F4526" s="5" t="str">
        <f t="shared" ref="F4526:G4526" si="1103">F4525</f>
        <v>None</v>
      </c>
      <c r="G4526" s="15" t="str">
        <f t="shared" si="1103"/>
        <v>None</v>
      </c>
      <c r="H4526" s="24">
        <f t="shared" si="961"/>
        <v>0</v>
      </c>
      <c r="I4526" s="24" t="str" cm="1">
        <f t="array" ref="I4526">IFERROR(IF($B4526=I$1, ($A4526+$C4526) - MAX(IF($B$2:$B4525=$B4526, $A$2:$A4525+$C$2:$C4525)), "")*24*60, "")</f>
        <v/>
      </c>
      <c r="J4526" s="24" t="str" cm="1">
        <f t="array" ref="J4526">IFERROR(IF($B4526=J$1, ($A4526+$C4526) - MAX(IF($B$2:$B4525=$B4526, $A$2:$A4525+$C$2:$C4525)), "")*24*60, "")</f>
        <v/>
      </c>
      <c r="K4526" s="24" t="str" cm="1">
        <f t="array" ref="K4526">IFERROR(IF($B4526=K$1, ($A4526+$C4526) - MAX(IF($B$2:$B4525=$B4526, $A$2:$A4525+$C$2:$C4525)), "")*24*60, "")</f>
        <v/>
      </c>
      <c r="L4526" s="24" t="str" cm="1">
        <f t="array" ref="L4526">IFERROR(IF($B4526=L$1, ($A4526+$C4526) - MAX(IF($B$2:$B4525=$B4526, $A$2:$A4525+$C$2:$C4525)), "")*24*60, "")</f>
        <v/>
      </c>
      <c r="M4526" s="24" t="str" cm="1">
        <f t="array" ref="M4526">IFERROR(IF($B4526=M$1, ($A4526+$C4526) - MAX(IF($B$2:$B4525=$B4526, $A$2:$A4525+$C$2:$C4525)), "")*24*60, "")</f>
        <v/>
      </c>
      <c r="N4526" s="24" t="str" cm="1">
        <f t="array" ref="N4526">IFERROR(IF($B4526=N$1, ($A4526+$C4526) - MAX(IF($B$2:$B4525=$B4526, $A$2:$A4525+$C$2:$C4525)), "")*24*60, "")</f>
        <v/>
      </c>
      <c r="O4526" s="24" cm="1">
        <f t="array" ref="O4526">IFERROR(IF($B4526=O$1, ($A4526+$C4526) - MAX(IF($B$2:$B4525=$B4526, $A$2:$A4525+$C$2:$C4525)), "")*24*60, "")</f>
        <v>0</v>
      </c>
      <c r="P4526" s="24" t="str" cm="1">
        <f t="array" ref="P4526">IFERROR(IF($B4526=P$1, ($A4526+$C4526) - MAX(IF($B$2:$B4525=$B4526, $A$2:$A4525+$C$2:$C4525)), "")*24*60, "")</f>
        <v/>
      </c>
    </row>
    <row r="4527" spans="1:16" x14ac:dyDescent="0.2">
      <c r="A4527" s="12">
        <f t="shared" ref="A4527:C4527" si="1104">A4526</f>
        <v>45965</v>
      </c>
      <c r="B4527" s="5" t="str">
        <f t="shared" si="1104"/>
        <v>Mourning Dove</v>
      </c>
      <c r="C4527" s="6">
        <f t="shared" si="1104"/>
        <v>0.29166666666666669</v>
      </c>
      <c r="D4527" s="5"/>
      <c r="E4527" s="5"/>
      <c r="F4527" s="5" t="str">
        <f t="shared" ref="F4527:G4527" si="1105">F4526</f>
        <v>None</v>
      </c>
      <c r="G4527" s="15" t="str">
        <f t="shared" si="1105"/>
        <v>None</v>
      </c>
      <c r="H4527" s="24">
        <f t="shared" si="961"/>
        <v>0</v>
      </c>
      <c r="I4527" s="24" t="str" cm="1">
        <f t="array" ref="I4527">IFERROR(IF($B4527=I$1, ($A4527+$C4527) - MAX(IF($B$2:$B4526=$B4527, $A$2:$A4526+$C$2:$C4526)), "")*24*60, "")</f>
        <v/>
      </c>
      <c r="J4527" s="24" t="str" cm="1">
        <f t="array" ref="J4527">IFERROR(IF($B4527=J$1, ($A4527+$C4527) - MAX(IF($B$2:$B4526=$B4527, $A$2:$A4526+$C$2:$C4526)), "")*24*60, "")</f>
        <v/>
      </c>
      <c r="K4527" s="24" t="str" cm="1">
        <f t="array" ref="K4527">IFERROR(IF($B4527=K$1, ($A4527+$C4527) - MAX(IF($B$2:$B4526=$B4527, $A$2:$A4526+$C$2:$C4526)), "")*24*60, "")</f>
        <v/>
      </c>
      <c r="L4527" s="24" t="str" cm="1">
        <f t="array" ref="L4527">IFERROR(IF($B4527=L$1, ($A4527+$C4527) - MAX(IF($B$2:$B4526=$B4527, $A$2:$A4526+$C$2:$C4526)), "")*24*60, "")</f>
        <v/>
      </c>
      <c r="M4527" s="24" t="str" cm="1">
        <f t="array" ref="M4527">IFERROR(IF($B4527=M$1, ($A4527+$C4527) - MAX(IF($B$2:$B4526=$B4527, $A$2:$A4526+$C$2:$C4526)), "")*24*60, "")</f>
        <v/>
      </c>
      <c r="N4527" s="24" t="str" cm="1">
        <f t="array" ref="N4527">IFERROR(IF($B4527=N$1, ($A4527+$C4527) - MAX(IF($B$2:$B4526=$B4527, $A$2:$A4526+$C$2:$C4526)), "")*24*60, "")</f>
        <v/>
      </c>
      <c r="O4527" s="24" cm="1">
        <f t="array" ref="O4527">IFERROR(IF($B4527=O$1, ($A4527+$C4527) - MAX(IF($B$2:$B4526=$B4527, $A$2:$A4526+$C$2:$C4526)), "")*24*60, "")</f>
        <v>0</v>
      </c>
      <c r="P4527" s="24" t="str" cm="1">
        <f t="array" ref="P4527">IFERROR(IF($B4527=P$1, ($A4527+$C4527) - MAX(IF($B$2:$B4526=$B4527, $A$2:$A4526+$C$2:$C4526)), "")*24*60, "")</f>
        <v/>
      </c>
    </row>
    <row r="4528" spans="1:16" x14ac:dyDescent="0.2">
      <c r="A4528" s="12">
        <f t="shared" ref="A4528:C4528" si="1106">A4527</f>
        <v>45965</v>
      </c>
      <c r="B4528" s="5" t="str">
        <f t="shared" si="1106"/>
        <v>Mourning Dove</v>
      </c>
      <c r="C4528" s="6">
        <f t="shared" si="1106"/>
        <v>0.29166666666666669</v>
      </c>
      <c r="D4528" s="5"/>
      <c r="E4528" s="5"/>
      <c r="F4528" s="5" t="str">
        <f t="shared" ref="F4528:G4528" si="1107">F4527</f>
        <v>None</v>
      </c>
      <c r="G4528" s="15" t="str">
        <f t="shared" si="1107"/>
        <v>None</v>
      </c>
      <c r="H4528" s="24">
        <f t="shared" si="961"/>
        <v>0</v>
      </c>
      <c r="I4528" s="24" t="str" cm="1">
        <f t="array" ref="I4528">IFERROR(IF($B4528=I$1, ($A4528+$C4528) - MAX(IF($B$2:$B4527=$B4528, $A$2:$A4527+$C$2:$C4527)), "")*24*60, "")</f>
        <v/>
      </c>
      <c r="J4528" s="24" t="str" cm="1">
        <f t="array" ref="J4528">IFERROR(IF($B4528=J$1, ($A4528+$C4528) - MAX(IF($B$2:$B4527=$B4528, $A$2:$A4527+$C$2:$C4527)), "")*24*60, "")</f>
        <v/>
      </c>
      <c r="K4528" s="24" t="str" cm="1">
        <f t="array" ref="K4528">IFERROR(IF($B4528=K$1, ($A4528+$C4528) - MAX(IF($B$2:$B4527=$B4528, $A$2:$A4527+$C$2:$C4527)), "")*24*60, "")</f>
        <v/>
      </c>
      <c r="L4528" s="24" t="str" cm="1">
        <f t="array" ref="L4528">IFERROR(IF($B4528=L$1, ($A4528+$C4528) - MAX(IF($B$2:$B4527=$B4528, $A$2:$A4527+$C$2:$C4527)), "")*24*60, "")</f>
        <v/>
      </c>
      <c r="M4528" s="24" t="str" cm="1">
        <f t="array" ref="M4528">IFERROR(IF($B4528=M$1, ($A4528+$C4528) - MAX(IF($B$2:$B4527=$B4528, $A$2:$A4527+$C$2:$C4527)), "")*24*60, "")</f>
        <v/>
      </c>
      <c r="N4528" s="24" t="str" cm="1">
        <f t="array" ref="N4528">IFERROR(IF($B4528=N$1, ($A4528+$C4528) - MAX(IF($B$2:$B4527=$B4528, $A$2:$A4527+$C$2:$C4527)), "")*24*60, "")</f>
        <v/>
      </c>
      <c r="O4528" s="24" cm="1">
        <f t="array" ref="O4528">IFERROR(IF($B4528=O$1, ($A4528+$C4528) - MAX(IF($B$2:$B4527=$B4528, $A$2:$A4527+$C$2:$C4527)), "")*24*60, "")</f>
        <v>0</v>
      </c>
      <c r="P4528" s="24" t="str" cm="1">
        <f t="array" ref="P4528">IFERROR(IF($B4528=P$1, ($A4528+$C4528) - MAX(IF($B$2:$B4527=$B4528, $A$2:$A4527+$C$2:$C4527)), "")*24*60, "")</f>
        <v/>
      </c>
    </row>
    <row r="4529" spans="1:16" x14ac:dyDescent="0.2">
      <c r="A4529" s="12">
        <f t="shared" ref="A4529:C4529" si="1108">A4528</f>
        <v>45965</v>
      </c>
      <c r="B4529" s="5" t="str">
        <f t="shared" si="1108"/>
        <v>Mourning Dove</v>
      </c>
      <c r="C4529" s="6">
        <f t="shared" si="1108"/>
        <v>0.29166666666666669</v>
      </c>
      <c r="D4529" s="5"/>
      <c r="E4529" s="5"/>
      <c r="F4529" s="5" t="str">
        <f t="shared" ref="F4529:G4529" si="1109">F4528</f>
        <v>None</v>
      </c>
      <c r="G4529" s="15" t="str">
        <f t="shared" si="1109"/>
        <v>None</v>
      </c>
      <c r="H4529" s="24">
        <f t="shared" si="961"/>
        <v>0</v>
      </c>
      <c r="I4529" s="24" t="str" cm="1">
        <f t="array" ref="I4529">IFERROR(IF($B4529=I$1, ($A4529+$C4529) - MAX(IF($B$2:$B4528=$B4529, $A$2:$A4528+$C$2:$C4528)), "")*24*60, "")</f>
        <v/>
      </c>
      <c r="J4529" s="24" t="str" cm="1">
        <f t="array" ref="J4529">IFERROR(IF($B4529=J$1, ($A4529+$C4529) - MAX(IF($B$2:$B4528=$B4529, $A$2:$A4528+$C$2:$C4528)), "")*24*60, "")</f>
        <v/>
      </c>
      <c r="K4529" s="24" t="str" cm="1">
        <f t="array" ref="K4529">IFERROR(IF($B4529=K$1, ($A4529+$C4529) - MAX(IF($B$2:$B4528=$B4529, $A$2:$A4528+$C$2:$C4528)), "")*24*60, "")</f>
        <v/>
      </c>
      <c r="L4529" s="24" t="str" cm="1">
        <f t="array" ref="L4529">IFERROR(IF($B4529=L$1, ($A4529+$C4529) - MAX(IF($B$2:$B4528=$B4529, $A$2:$A4528+$C$2:$C4528)), "")*24*60, "")</f>
        <v/>
      </c>
      <c r="M4529" s="24" t="str" cm="1">
        <f t="array" ref="M4529">IFERROR(IF($B4529=M$1, ($A4529+$C4529) - MAX(IF($B$2:$B4528=$B4529, $A$2:$A4528+$C$2:$C4528)), "")*24*60, "")</f>
        <v/>
      </c>
      <c r="N4529" s="24" t="str" cm="1">
        <f t="array" ref="N4529">IFERROR(IF($B4529=N$1, ($A4529+$C4529) - MAX(IF($B$2:$B4528=$B4529, $A$2:$A4528+$C$2:$C4528)), "")*24*60, "")</f>
        <v/>
      </c>
      <c r="O4529" s="24" cm="1">
        <f t="array" ref="O4529">IFERROR(IF($B4529=O$1, ($A4529+$C4529) - MAX(IF($B$2:$B4528=$B4529, $A$2:$A4528+$C$2:$C4528)), "")*24*60, "")</f>
        <v>0</v>
      </c>
      <c r="P4529" s="24" t="str" cm="1">
        <f t="array" ref="P4529">IFERROR(IF($B4529=P$1, ($A4529+$C4529) - MAX(IF($B$2:$B4528=$B4529, $A$2:$A4528+$C$2:$C4528)), "")*24*60, "")</f>
        <v/>
      </c>
    </row>
    <row r="4530" spans="1:16" x14ac:dyDescent="0.2">
      <c r="A4530" s="12">
        <f t="shared" ref="A4530:C4530" si="1110">A4529</f>
        <v>45965</v>
      </c>
      <c r="B4530" s="5" t="str">
        <f t="shared" si="1110"/>
        <v>Mourning Dove</v>
      </c>
      <c r="C4530" s="6">
        <f t="shared" si="1110"/>
        <v>0.29166666666666669</v>
      </c>
      <c r="D4530" s="5"/>
      <c r="E4530" s="5"/>
      <c r="F4530" s="5" t="str">
        <f t="shared" ref="F4530:G4530" si="1111">F4529</f>
        <v>None</v>
      </c>
      <c r="G4530" s="15" t="str">
        <f t="shared" si="1111"/>
        <v>None</v>
      </c>
      <c r="H4530" s="24">
        <f t="shared" si="961"/>
        <v>0</v>
      </c>
      <c r="I4530" s="24" t="str" cm="1">
        <f t="array" ref="I4530">IFERROR(IF($B4530=I$1, ($A4530+$C4530) - MAX(IF($B$2:$B4529=$B4530, $A$2:$A4529+$C$2:$C4529)), "")*24*60, "")</f>
        <v/>
      </c>
      <c r="J4530" s="24" t="str" cm="1">
        <f t="array" ref="J4530">IFERROR(IF($B4530=J$1, ($A4530+$C4530) - MAX(IF($B$2:$B4529=$B4530, $A$2:$A4529+$C$2:$C4529)), "")*24*60, "")</f>
        <v/>
      </c>
      <c r="K4530" s="24" t="str" cm="1">
        <f t="array" ref="K4530">IFERROR(IF($B4530=K$1, ($A4530+$C4530) - MAX(IF($B$2:$B4529=$B4530, $A$2:$A4529+$C$2:$C4529)), "")*24*60, "")</f>
        <v/>
      </c>
      <c r="L4530" s="24" t="str" cm="1">
        <f t="array" ref="L4530">IFERROR(IF($B4530=L$1, ($A4530+$C4530) - MAX(IF($B$2:$B4529=$B4530, $A$2:$A4529+$C$2:$C4529)), "")*24*60, "")</f>
        <v/>
      </c>
      <c r="M4530" s="24" t="str" cm="1">
        <f t="array" ref="M4530">IFERROR(IF($B4530=M$1, ($A4530+$C4530) - MAX(IF($B$2:$B4529=$B4530, $A$2:$A4529+$C$2:$C4529)), "")*24*60, "")</f>
        <v/>
      </c>
      <c r="N4530" s="24" t="str" cm="1">
        <f t="array" ref="N4530">IFERROR(IF($B4530=N$1, ($A4530+$C4530) - MAX(IF($B$2:$B4529=$B4530, $A$2:$A4529+$C$2:$C4529)), "")*24*60, "")</f>
        <v/>
      </c>
      <c r="O4530" s="24" cm="1">
        <f t="array" ref="O4530">IFERROR(IF($B4530=O$1, ($A4530+$C4530) - MAX(IF($B$2:$B4529=$B4530, $A$2:$A4529+$C$2:$C4529)), "")*24*60, "")</f>
        <v>0</v>
      </c>
      <c r="P4530" s="24" t="str" cm="1">
        <f t="array" ref="P4530">IFERROR(IF($B4530=P$1, ($A4530+$C4530) - MAX(IF($B$2:$B4529=$B4530, $A$2:$A4529+$C$2:$C4529)), "")*24*60, "")</f>
        <v/>
      </c>
    </row>
    <row r="4531" spans="1:16" x14ac:dyDescent="0.2">
      <c r="A4531" s="12">
        <f t="shared" ref="A4531:C4531" si="1112">A4530</f>
        <v>45965</v>
      </c>
      <c r="B4531" s="5" t="str">
        <f t="shared" si="1112"/>
        <v>Mourning Dove</v>
      </c>
      <c r="C4531" s="6">
        <f t="shared" si="1112"/>
        <v>0.29166666666666669</v>
      </c>
      <c r="D4531" s="5"/>
      <c r="E4531" s="5"/>
      <c r="F4531" s="5" t="str">
        <f t="shared" ref="F4531:G4531" si="1113">F4530</f>
        <v>None</v>
      </c>
      <c r="G4531" s="15" t="str">
        <f t="shared" si="1113"/>
        <v>None</v>
      </c>
      <c r="H4531" s="24">
        <f t="shared" si="961"/>
        <v>0</v>
      </c>
      <c r="I4531" s="24" t="str" cm="1">
        <f t="array" ref="I4531">IFERROR(IF($B4531=I$1, ($A4531+$C4531) - MAX(IF($B$2:$B4530=$B4531, $A$2:$A4530+$C$2:$C4530)), "")*24*60, "")</f>
        <v/>
      </c>
      <c r="J4531" s="24" t="str" cm="1">
        <f t="array" ref="J4531">IFERROR(IF($B4531=J$1, ($A4531+$C4531) - MAX(IF($B$2:$B4530=$B4531, $A$2:$A4530+$C$2:$C4530)), "")*24*60, "")</f>
        <v/>
      </c>
      <c r="K4531" s="24" t="str" cm="1">
        <f t="array" ref="K4531">IFERROR(IF($B4531=K$1, ($A4531+$C4531) - MAX(IF($B$2:$B4530=$B4531, $A$2:$A4530+$C$2:$C4530)), "")*24*60, "")</f>
        <v/>
      </c>
      <c r="L4531" s="24" t="str" cm="1">
        <f t="array" ref="L4531">IFERROR(IF($B4531=L$1, ($A4531+$C4531) - MAX(IF($B$2:$B4530=$B4531, $A$2:$A4530+$C$2:$C4530)), "")*24*60, "")</f>
        <v/>
      </c>
      <c r="M4531" s="24" t="str" cm="1">
        <f t="array" ref="M4531">IFERROR(IF($B4531=M$1, ($A4531+$C4531) - MAX(IF($B$2:$B4530=$B4531, $A$2:$A4530+$C$2:$C4530)), "")*24*60, "")</f>
        <v/>
      </c>
      <c r="N4531" s="24" t="str" cm="1">
        <f t="array" ref="N4531">IFERROR(IF($B4531=N$1, ($A4531+$C4531) - MAX(IF($B$2:$B4530=$B4531, $A$2:$A4530+$C$2:$C4530)), "")*24*60, "")</f>
        <v/>
      </c>
      <c r="O4531" s="24" cm="1">
        <f t="array" ref="O4531">IFERROR(IF($B4531=O$1, ($A4531+$C4531) - MAX(IF($B$2:$B4530=$B4531, $A$2:$A4530+$C$2:$C4530)), "")*24*60, "")</f>
        <v>0</v>
      </c>
      <c r="P4531" s="24" t="str" cm="1">
        <f t="array" ref="P4531">IFERROR(IF($B4531=P$1, ($A4531+$C4531) - MAX(IF($B$2:$B4530=$B4531, $A$2:$A4530+$C$2:$C4530)), "")*24*60, "")</f>
        <v/>
      </c>
    </row>
    <row r="4532" spans="1:16" x14ac:dyDescent="0.2">
      <c r="A4532" s="12">
        <f t="shared" ref="A4532:C4532" si="1114">A4531</f>
        <v>45965</v>
      </c>
      <c r="B4532" s="5" t="str">
        <f t="shared" si="1114"/>
        <v>Mourning Dove</v>
      </c>
      <c r="C4532" s="6">
        <f t="shared" si="1114"/>
        <v>0.29166666666666669</v>
      </c>
      <c r="D4532" s="5"/>
      <c r="E4532" s="5"/>
      <c r="F4532" s="5" t="str">
        <f t="shared" ref="F4532:G4532" si="1115">F4531</f>
        <v>None</v>
      </c>
      <c r="G4532" s="15" t="str">
        <f t="shared" si="1115"/>
        <v>None</v>
      </c>
      <c r="H4532" s="24">
        <f t="shared" si="961"/>
        <v>0</v>
      </c>
      <c r="I4532" s="24" t="str" cm="1">
        <f t="array" ref="I4532">IFERROR(IF($B4532=I$1, ($A4532+$C4532) - MAX(IF($B$2:$B4531=$B4532, $A$2:$A4531+$C$2:$C4531)), "")*24*60, "")</f>
        <v/>
      </c>
      <c r="J4532" s="24" t="str" cm="1">
        <f t="array" ref="J4532">IFERROR(IF($B4532=J$1, ($A4532+$C4532) - MAX(IF($B$2:$B4531=$B4532, $A$2:$A4531+$C$2:$C4531)), "")*24*60, "")</f>
        <v/>
      </c>
      <c r="K4532" s="24" t="str" cm="1">
        <f t="array" ref="K4532">IFERROR(IF($B4532=K$1, ($A4532+$C4532) - MAX(IF($B$2:$B4531=$B4532, $A$2:$A4531+$C$2:$C4531)), "")*24*60, "")</f>
        <v/>
      </c>
      <c r="L4532" s="24" t="str" cm="1">
        <f t="array" ref="L4532">IFERROR(IF($B4532=L$1, ($A4532+$C4532) - MAX(IF($B$2:$B4531=$B4532, $A$2:$A4531+$C$2:$C4531)), "")*24*60, "")</f>
        <v/>
      </c>
      <c r="M4532" s="24" t="str" cm="1">
        <f t="array" ref="M4532">IFERROR(IF($B4532=M$1, ($A4532+$C4532) - MAX(IF($B$2:$B4531=$B4532, $A$2:$A4531+$C$2:$C4531)), "")*24*60, "")</f>
        <v/>
      </c>
      <c r="N4532" s="24" t="str" cm="1">
        <f t="array" ref="N4532">IFERROR(IF($B4532=N$1, ($A4532+$C4532) - MAX(IF($B$2:$B4531=$B4532, $A$2:$A4531+$C$2:$C4531)), "")*24*60, "")</f>
        <v/>
      </c>
      <c r="O4532" s="24" cm="1">
        <f t="array" ref="O4532">IFERROR(IF($B4532=O$1, ($A4532+$C4532) - MAX(IF($B$2:$B4531=$B4532, $A$2:$A4531+$C$2:$C4531)), "")*24*60, "")</f>
        <v>0</v>
      </c>
      <c r="P4532" s="24" t="str" cm="1">
        <f t="array" ref="P4532">IFERROR(IF($B4532=P$1, ($A4532+$C4532) - MAX(IF($B$2:$B4531=$B4532, $A$2:$A4531+$C$2:$C4531)), "")*24*60, "")</f>
        <v/>
      </c>
    </row>
    <row r="4533" spans="1:16" x14ac:dyDescent="0.2">
      <c r="A4533" s="12">
        <f t="shared" ref="A4533:C4533" si="1116">A4532</f>
        <v>45965</v>
      </c>
      <c r="B4533" s="5" t="str">
        <f t="shared" si="1116"/>
        <v>Mourning Dove</v>
      </c>
      <c r="C4533" s="6">
        <f t="shared" si="1116"/>
        <v>0.29166666666666669</v>
      </c>
      <c r="D4533" s="5"/>
      <c r="E4533" s="5"/>
      <c r="F4533" s="5" t="str">
        <f t="shared" ref="F4533:G4533" si="1117">F4532</f>
        <v>None</v>
      </c>
      <c r="G4533" s="15" t="str">
        <f t="shared" si="1117"/>
        <v>None</v>
      </c>
      <c r="H4533" s="24">
        <f t="shared" si="961"/>
        <v>0</v>
      </c>
      <c r="I4533" s="24" t="str" cm="1">
        <f t="array" ref="I4533">IFERROR(IF($B4533=I$1, ($A4533+$C4533) - MAX(IF($B$2:$B4532=$B4533, $A$2:$A4532+$C$2:$C4532)), "")*24*60, "")</f>
        <v/>
      </c>
      <c r="J4533" s="24" t="str" cm="1">
        <f t="array" ref="J4533">IFERROR(IF($B4533=J$1, ($A4533+$C4533) - MAX(IF($B$2:$B4532=$B4533, $A$2:$A4532+$C$2:$C4532)), "")*24*60, "")</f>
        <v/>
      </c>
      <c r="K4533" s="24" t="str" cm="1">
        <f t="array" ref="K4533">IFERROR(IF($B4533=K$1, ($A4533+$C4533) - MAX(IF($B$2:$B4532=$B4533, $A$2:$A4532+$C$2:$C4532)), "")*24*60, "")</f>
        <v/>
      </c>
      <c r="L4533" s="24" t="str" cm="1">
        <f t="array" ref="L4533">IFERROR(IF($B4533=L$1, ($A4533+$C4533) - MAX(IF($B$2:$B4532=$B4533, $A$2:$A4532+$C$2:$C4532)), "")*24*60, "")</f>
        <v/>
      </c>
      <c r="M4533" s="24" t="str" cm="1">
        <f t="array" ref="M4533">IFERROR(IF($B4533=M$1, ($A4533+$C4533) - MAX(IF($B$2:$B4532=$B4533, $A$2:$A4532+$C$2:$C4532)), "")*24*60, "")</f>
        <v/>
      </c>
      <c r="N4533" s="24" t="str" cm="1">
        <f t="array" ref="N4533">IFERROR(IF($B4533=N$1, ($A4533+$C4533) - MAX(IF($B$2:$B4532=$B4533, $A$2:$A4532+$C$2:$C4532)), "")*24*60, "")</f>
        <v/>
      </c>
      <c r="O4533" s="24" cm="1">
        <f t="array" ref="O4533">IFERROR(IF($B4533=O$1, ($A4533+$C4533) - MAX(IF($B$2:$B4532=$B4533, $A$2:$A4532+$C$2:$C4532)), "")*24*60, "")</f>
        <v>0</v>
      </c>
      <c r="P4533" s="24" t="str" cm="1">
        <f t="array" ref="P4533">IFERROR(IF($B4533=P$1, ($A4533+$C4533) - MAX(IF($B$2:$B4532=$B4533, $A$2:$A4532+$C$2:$C4532)), "")*24*60, "")</f>
        <v/>
      </c>
    </row>
    <row r="4534" spans="1:16" x14ac:dyDescent="0.2">
      <c r="A4534" s="12">
        <f t="shared" ref="A4534:C4534" si="1118">A4533</f>
        <v>45965</v>
      </c>
      <c r="B4534" s="5" t="str">
        <f t="shared" si="1118"/>
        <v>Mourning Dove</v>
      </c>
      <c r="C4534" s="6">
        <f t="shared" si="1118"/>
        <v>0.29166666666666669</v>
      </c>
      <c r="D4534" s="5"/>
      <c r="E4534" s="5"/>
      <c r="F4534" s="5" t="str">
        <f t="shared" ref="F4534:G4534" si="1119">F4533</f>
        <v>None</v>
      </c>
      <c r="G4534" s="15" t="str">
        <f t="shared" si="1119"/>
        <v>None</v>
      </c>
      <c r="H4534" s="24">
        <f t="shared" si="961"/>
        <v>0</v>
      </c>
      <c r="I4534" s="24" t="str" cm="1">
        <f t="array" ref="I4534">IFERROR(IF($B4534=I$1, ($A4534+$C4534) - MAX(IF($B$2:$B4533=$B4534, $A$2:$A4533+$C$2:$C4533)), "")*24*60, "")</f>
        <v/>
      </c>
      <c r="J4534" s="24" t="str" cm="1">
        <f t="array" ref="J4534">IFERROR(IF($B4534=J$1, ($A4534+$C4534) - MAX(IF($B$2:$B4533=$B4534, $A$2:$A4533+$C$2:$C4533)), "")*24*60, "")</f>
        <v/>
      </c>
      <c r="K4534" s="24" t="str" cm="1">
        <f t="array" ref="K4534">IFERROR(IF($B4534=K$1, ($A4534+$C4534) - MAX(IF($B$2:$B4533=$B4534, $A$2:$A4533+$C$2:$C4533)), "")*24*60, "")</f>
        <v/>
      </c>
      <c r="L4534" s="24" t="str" cm="1">
        <f t="array" ref="L4534">IFERROR(IF($B4534=L$1, ($A4534+$C4534) - MAX(IF($B$2:$B4533=$B4534, $A$2:$A4533+$C$2:$C4533)), "")*24*60, "")</f>
        <v/>
      </c>
      <c r="M4534" s="24" t="str" cm="1">
        <f t="array" ref="M4534">IFERROR(IF($B4534=M$1, ($A4534+$C4534) - MAX(IF($B$2:$B4533=$B4534, $A$2:$A4533+$C$2:$C4533)), "")*24*60, "")</f>
        <v/>
      </c>
      <c r="N4534" s="24" t="str" cm="1">
        <f t="array" ref="N4534">IFERROR(IF($B4534=N$1, ($A4534+$C4534) - MAX(IF($B$2:$B4533=$B4534, $A$2:$A4533+$C$2:$C4533)), "")*24*60, "")</f>
        <v/>
      </c>
      <c r="O4534" s="24" cm="1">
        <f t="array" ref="O4534">IFERROR(IF($B4534=O$1, ($A4534+$C4534) - MAX(IF($B$2:$B4533=$B4534, $A$2:$A4533+$C$2:$C4533)), "")*24*60, "")</f>
        <v>0</v>
      </c>
      <c r="P4534" s="24" t="str" cm="1">
        <f t="array" ref="P4534">IFERROR(IF($B4534=P$1, ($A4534+$C4534) - MAX(IF($B$2:$B4533=$B4534, $A$2:$A4533+$C$2:$C4533)), "")*24*60, "")</f>
        <v/>
      </c>
    </row>
    <row r="4535" spans="1:16" x14ac:dyDescent="0.2">
      <c r="A4535" s="12">
        <f t="shared" ref="A4535:C4535" si="1120">A4534</f>
        <v>45965</v>
      </c>
      <c r="B4535" s="5" t="str">
        <f t="shared" si="1120"/>
        <v>Mourning Dove</v>
      </c>
      <c r="C4535" s="6">
        <f t="shared" si="1120"/>
        <v>0.29166666666666669</v>
      </c>
      <c r="D4535" s="5"/>
      <c r="E4535" s="5"/>
      <c r="F4535" s="5" t="str">
        <f t="shared" ref="F4535:G4535" si="1121">F4534</f>
        <v>None</v>
      </c>
      <c r="G4535" s="15" t="str">
        <f t="shared" si="1121"/>
        <v>None</v>
      </c>
      <c r="H4535" s="24">
        <f t="shared" si="961"/>
        <v>0</v>
      </c>
      <c r="I4535" s="24" t="str" cm="1">
        <f t="array" ref="I4535">IFERROR(IF($B4535=I$1, ($A4535+$C4535) - MAX(IF($B$2:$B4534=$B4535, $A$2:$A4534+$C$2:$C4534)), "")*24*60, "")</f>
        <v/>
      </c>
      <c r="J4535" s="24" t="str" cm="1">
        <f t="array" ref="J4535">IFERROR(IF($B4535=J$1, ($A4535+$C4535) - MAX(IF($B$2:$B4534=$B4535, $A$2:$A4534+$C$2:$C4534)), "")*24*60, "")</f>
        <v/>
      </c>
      <c r="K4535" s="24" t="str" cm="1">
        <f t="array" ref="K4535">IFERROR(IF($B4535=K$1, ($A4535+$C4535) - MAX(IF($B$2:$B4534=$B4535, $A$2:$A4534+$C$2:$C4534)), "")*24*60, "")</f>
        <v/>
      </c>
      <c r="L4535" s="24" t="str" cm="1">
        <f t="array" ref="L4535">IFERROR(IF($B4535=L$1, ($A4535+$C4535) - MAX(IF($B$2:$B4534=$B4535, $A$2:$A4534+$C$2:$C4534)), "")*24*60, "")</f>
        <v/>
      </c>
      <c r="M4535" s="24" t="str" cm="1">
        <f t="array" ref="M4535">IFERROR(IF($B4535=M$1, ($A4535+$C4535) - MAX(IF($B$2:$B4534=$B4535, $A$2:$A4534+$C$2:$C4534)), "")*24*60, "")</f>
        <v/>
      </c>
      <c r="N4535" s="24" t="str" cm="1">
        <f t="array" ref="N4535">IFERROR(IF($B4535=N$1, ($A4535+$C4535) - MAX(IF($B$2:$B4534=$B4535, $A$2:$A4534+$C$2:$C4534)), "")*24*60, "")</f>
        <v/>
      </c>
      <c r="O4535" s="24" cm="1">
        <f t="array" ref="O4535">IFERROR(IF($B4535=O$1, ($A4535+$C4535) - MAX(IF($B$2:$B4534=$B4535, $A$2:$A4534+$C$2:$C4534)), "")*24*60, "")</f>
        <v>0</v>
      </c>
      <c r="P4535" s="24" t="str" cm="1">
        <f t="array" ref="P4535">IFERROR(IF($B4535=P$1, ($A4535+$C4535) - MAX(IF($B$2:$B4534=$B4535, $A$2:$A4534+$C$2:$C4534)), "")*24*60, "")</f>
        <v/>
      </c>
    </row>
    <row r="4536" spans="1:16" x14ac:dyDescent="0.2">
      <c r="A4536" s="12">
        <f t="shared" ref="A4536:C4536" si="1122">A4535</f>
        <v>45965</v>
      </c>
      <c r="B4536" s="5" t="str">
        <f t="shared" si="1122"/>
        <v>Mourning Dove</v>
      </c>
      <c r="C4536" s="6">
        <f t="shared" si="1122"/>
        <v>0.29166666666666669</v>
      </c>
      <c r="D4536" s="5"/>
      <c r="E4536" s="5"/>
      <c r="F4536" s="5" t="str">
        <f t="shared" ref="F4536:G4536" si="1123">F4535</f>
        <v>None</v>
      </c>
      <c r="G4536" s="15" t="str">
        <f t="shared" si="1123"/>
        <v>None</v>
      </c>
      <c r="H4536" s="24">
        <f t="shared" si="961"/>
        <v>0</v>
      </c>
      <c r="I4536" s="24" t="str" cm="1">
        <f t="array" ref="I4536">IFERROR(IF($B4536=I$1, ($A4536+$C4536) - MAX(IF($B$2:$B4535=$B4536, $A$2:$A4535+$C$2:$C4535)), "")*24*60, "")</f>
        <v/>
      </c>
      <c r="J4536" s="24" t="str" cm="1">
        <f t="array" ref="J4536">IFERROR(IF($B4536=J$1, ($A4536+$C4536) - MAX(IF($B$2:$B4535=$B4536, $A$2:$A4535+$C$2:$C4535)), "")*24*60, "")</f>
        <v/>
      </c>
      <c r="K4536" s="24" t="str" cm="1">
        <f t="array" ref="K4536">IFERROR(IF($B4536=K$1, ($A4536+$C4536) - MAX(IF($B$2:$B4535=$B4536, $A$2:$A4535+$C$2:$C4535)), "")*24*60, "")</f>
        <v/>
      </c>
      <c r="L4536" s="24" t="str" cm="1">
        <f t="array" ref="L4536">IFERROR(IF($B4536=L$1, ($A4536+$C4536) - MAX(IF($B$2:$B4535=$B4536, $A$2:$A4535+$C$2:$C4535)), "")*24*60, "")</f>
        <v/>
      </c>
      <c r="M4536" s="24" t="str" cm="1">
        <f t="array" ref="M4536">IFERROR(IF($B4536=M$1, ($A4536+$C4536) - MAX(IF($B$2:$B4535=$B4536, $A$2:$A4535+$C$2:$C4535)), "")*24*60, "")</f>
        <v/>
      </c>
      <c r="N4536" s="24" t="str" cm="1">
        <f t="array" ref="N4536">IFERROR(IF($B4536=N$1, ($A4536+$C4536) - MAX(IF($B$2:$B4535=$B4536, $A$2:$A4535+$C$2:$C4535)), "")*24*60, "")</f>
        <v/>
      </c>
      <c r="O4536" s="24" cm="1">
        <f t="array" ref="O4536">IFERROR(IF($B4536=O$1, ($A4536+$C4536) - MAX(IF($B$2:$B4535=$B4536, $A$2:$A4535+$C$2:$C4535)), "")*24*60, "")</f>
        <v>0</v>
      </c>
      <c r="P4536" s="24" t="str" cm="1">
        <f t="array" ref="P4536">IFERROR(IF($B4536=P$1, ($A4536+$C4536) - MAX(IF($B$2:$B4535=$B4536, $A$2:$A4535+$C$2:$C4535)), "")*24*60, "")</f>
        <v/>
      </c>
    </row>
    <row r="4537" spans="1:16" x14ac:dyDescent="0.2">
      <c r="A4537" s="12">
        <f t="shared" ref="A4537:C4537" si="1124">A4536</f>
        <v>45965</v>
      </c>
      <c r="B4537" s="5" t="str">
        <f t="shared" si="1124"/>
        <v>Mourning Dove</v>
      </c>
      <c r="C4537" s="6">
        <f t="shared" si="1124"/>
        <v>0.29166666666666669</v>
      </c>
      <c r="D4537" s="5"/>
      <c r="E4537" s="5"/>
      <c r="F4537" s="5" t="str">
        <f t="shared" ref="F4537:G4537" si="1125">F4536</f>
        <v>None</v>
      </c>
      <c r="G4537" s="15" t="str">
        <f t="shared" si="1125"/>
        <v>None</v>
      </c>
      <c r="H4537" s="24">
        <f t="shared" si="961"/>
        <v>0</v>
      </c>
      <c r="I4537" s="24" t="str" cm="1">
        <f t="array" ref="I4537">IFERROR(IF($B4537=I$1, ($A4537+$C4537) - MAX(IF($B$2:$B4536=$B4537, $A$2:$A4536+$C$2:$C4536)), "")*24*60, "")</f>
        <v/>
      </c>
      <c r="J4537" s="24" t="str" cm="1">
        <f t="array" ref="J4537">IFERROR(IF($B4537=J$1, ($A4537+$C4537) - MAX(IF($B$2:$B4536=$B4537, $A$2:$A4536+$C$2:$C4536)), "")*24*60, "")</f>
        <v/>
      </c>
      <c r="K4537" s="24" t="str" cm="1">
        <f t="array" ref="K4537">IFERROR(IF($B4537=K$1, ($A4537+$C4537) - MAX(IF($B$2:$B4536=$B4537, $A$2:$A4536+$C$2:$C4536)), "")*24*60, "")</f>
        <v/>
      </c>
      <c r="L4537" s="24" t="str" cm="1">
        <f t="array" ref="L4537">IFERROR(IF($B4537=L$1, ($A4537+$C4537) - MAX(IF($B$2:$B4536=$B4537, $A$2:$A4536+$C$2:$C4536)), "")*24*60, "")</f>
        <v/>
      </c>
      <c r="M4537" s="24" t="str" cm="1">
        <f t="array" ref="M4537">IFERROR(IF($B4537=M$1, ($A4537+$C4537) - MAX(IF($B$2:$B4536=$B4537, $A$2:$A4536+$C$2:$C4536)), "")*24*60, "")</f>
        <v/>
      </c>
      <c r="N4537" s="24" t="str" cm="1">
        <f t="array" ref="N4537">IFERROR(IF($B4537=N$1, ($A4537+$C4537) - MAX(IF($B$2:$B4536=$B4537, $A$2:$A4536+$C$2:$C4536)), "")*24*60, "")</f>
        <v/>
      </c>
      <c r="O4537" s="24" cm="1">
        <f t="array" ref="O4537">IFERROR(IF($B4537=O$1, ($A4537+$C4537) - MAX(IF($B$2:$B4536=$B4537, $A$2:$A4536+$C$2:$C4536)), "")*24*60, "")</f>
        <v>0</v>
      </c>
      <c r="P4537" s="24" t="str" cm="1">
        <f t="array" ref="P4537">IFERROR(IF($B4537=P$1, ($A4537+$C4537) - MAX(IF($B$2:$B4536=$B4537, $A$2:$A4536+$C$2:$C4536)), "")*24*60, "")</f>
        <v/>
      </c>
    </row>
    <row r="4538" spans="1:16" x14ac:dyDescent="0.2">
      <c r="A4538" s="12">
        <f t="shared" ref="A4538:C4538" si="1126">A4537</f>
        <v>45965</v>
      </c>
      <c r="B4538" s="5" t="str">
        <f t="shared" si="1126"/>
        <v>Mourning Dove</v>
      </c>
      <c r="C4538" s="6">
        <f t="shared" si="1126"/>
        <v>0.29166666666666669</v>
      </c>
      <c r="D4538" s="5"/>
      <c r="E4538" s="5"/>
      <c r="F4538" s="5" t="str">
        <f t="shared" ref="F4538:G4538" si="1127">F4537</f>
        <v>None</v>
      </c>
      <c r="G4538" s="15" t="str">
        <f t="shared" si="1127"/>
        <v>None</v>
      </c>
      <c r="H4538" s="24">
        <f t="shared" si="961"/>
        <v>0</v>
      </c>
      <c r="I4538" s="24" t="str" cm="1">
        <f t="array" ref="I4538">IFERROR(IF($B4538=I$1, ($A4538+$C4538) - MAX(IF($B$2:$B4537=$B4538, $A$2:$A4537+$C$2:$C4537)), "")*24*60, "")</f>
        <v/>
      </c>
      <c r="J4538" s="24" t="str" cm="1">
        <f t="array" ref="J4538">IFERROR(IF($B4538=J$1, ($A4538+$C4538) - MAX(IF($B$2:$B4537=$B4538, $A$2:$A4537+$C$2:$C4537)), "")*24*60, "")</f>
        <v/>
      </c>
      <c r="K4538" s="24" t="str" cm="1">
        <f t="array" ref="K4538">IFERROR(IF($B4538=K$1, ($A4538+$C4538) - MAX(IF($B$2:$B4537=$B4538, $A$2:$A4537+$C$2:$C4537)), "")*24*60, "")</f>
        <v/>
      </c>
      <c r="L4538" s="24" t="str" cm="1">
        <f t="array" ref="L4538">IFERROR(IF($B4538=L$1, ($A4538+$C4538) - MAX(IF($B$2:$B4537=$B4538, $A$2:$A4537+$C$2:$C4537)), "")*24*60, "")</f>
        <v/>
      </c>
      <c r="M4538" s="24" t="str" cm="1">
        <f t="array" ref="M4538">IFERROR(IF($B4538=M$1, ($A4538+$C4538) - MAX(IF($B$2:$B4537=$B4538, $A$2:$A4537+$C$2:$C4537)), "")*24*60, "")</f>
        <v/>
      </c>
      <c r="N4538" s="24" t="str" cm="1">
        <f t="array" ref="N4538">IFERROR(IF($B4538=N$1, ($A4538+$C4538) - MAX(IF($B$2:$B4537=$B4538, $A$2:$A4537+$C$2:$C4537)), "")*24*60, "")</f>
        <v/>
      </c>
      <c r="O4538" s="24" cm="1">
        <f t="array" ref="O4538">IFERROR(IF($B4538=O$1, ($A4538+$C4538) - MAX(IF($B$2:$B4537=$B4538, $A$2:$A4537+$C$2:$C4537)), "")*24*60, "")</f>
        <v>0</v>
      </c>
      <c r="P4538" s="24" t="str" cm="1">
        <f t="array" ref="P4538">IFERROR(IF($B4538=P$1, ($A4538+$C4538) - MAX(IF($B$2:$B4537=$B4538, $A$2:$A4537+$C$2:$C4537)), "")*24*60, "")</f>
        <v/>
      </c>
    </row>
    <row r="4539" spans="1:16" x14ac:dyDescent="0.2">
      <c r="A4539" s="12">
        <f t="shared" ref="A4539:C4539" si="1128">A4538</f>
        <v>45965</v>
      </c>
      <c r="B4539" s="5" t="str">
        <f t="shared" si="1128"/>
        <v>Mourning Dove</v>
      </c>
      <c r="C4539" s="6">
        <f t="shared" si="1128"/>
        <v>0.29166666666666669</v>
      </c>
      <c r="D4539" s="5"/>
      <c r="E4539" s="5"/>
      <c r="F4539" s="5" t="str">
        <f t="shared" ref="F4539:G4539" si="1129">F4538</f>
        <v>None</v>
      </c>
      <c r="G4539" s="15" t="str">
        <f t="shared" si="1129"/>
        <v>None</v>
      </c>
      <c r="H4539" s="24">
        <f t="shared" si="961"/>
        <v>0</v>
      </c>
      <c r="I4539" s="24" t="str" cm="1">
        <f t="array" ref="I4539">IFERROR(IF($B4539=I$1, ($A4539+$C4539) - MAX(IF($B$2:$B4538=$B4539, $A$2:$A4538+$C$2:$C4538)), "")*24*60, "")</f>
        <v/>
      </c>
      <c r="J4539" s="24" t="str" cm="1">
        <f t="array" ref="J4539">IFERROR(IF($B4539=J$1, ($A4539+$C4539) - MAX(IF($B$2:$B4538=$B4539, $A$2:$A4538+$C$2:$C4538)), "")*24*60, "")</f>
        <v/>
      </c>
      <c r="K4539" s="24" t="str" cm="1">
        <f t="array" ref="K4539">IFERROR(IF($B4539=K$1, ($A4539+$C4539) - MAX(IF($B$2:$B4538=$B4539, $A$2:$A4538+$C$2:$C4538)), "")*24*60, "")</f>
        <v/>
      </c>
      <c r="L4539" s="24" t="str" cm="1">
        <f t="array" ref="L4539">IFERROR(IF($B4539=L$1, ($A4539+$C4539) - MAX(IF($B$2:$B4538=$B4539, $A$2:$A4538+$C$2:$C4538)), "")*24*60, "")</f>
        <v/>
      </c>
      <c r="M4539" s="24" t="str" cm="1">
        <f t="array" ref="M4539">IFERROR(IF($B4539=M$1, ($A4539+$C4539) - MAX(IF($B$2:$B4538=$B4539, $A$2:$A4538+$C$2:$C4538)), "")*24*60, "")</f>
        <v/>
      </c>
      <c r="N4539" s="24" t="str" cm="1">
        <f t="array" ref="N4539">IFERROR(IF($B4539=N$1, ($A4539+$C4539) - MAX(IF($B$2:$B4538=$B4539, $A$2:$A4538+$C$2:$C4538)), "")*24*60, "")</f>
        <v/>
      </c>
      <c r="O4539" s="24" cm="1">
        <f t="array" ref="O4539">IFERROR(IF($B4539=O$1, ($A4539+$C4539) - MAX(IF($B$2:$B4538=$B4539, $A$2:$A4538+$C$2:$C4538)), "")*24*60, "")</f>
        <v>0</v>
      </c>
      <c r="P4539" s="24" t="str" cm="1">
        <f t="array" ref="P4539">IFERROR(IF($B4539=P$1, ($A4539+$C4539) - MAX(IF($B$2:$B4538=$B4539, $A$2:$A4538+$C$2:$C4538)), "")*24*60, "")</f>
        <v/>
      </c>
    </row>
    <row r="4540" spans="1:16" x14ac:dyDescent="0.2">
      <c r="A4540" s="12">
        <f t="shared" ref="A4540:C4540" si="1130">A4539</f>
        <v>45965</v>
      </c>
      <c r="B4540" s="5" t="str">
        <f t="shared" si="1130"/>
        <v>Mourning Dove</v>
      </c>
      <c r="C4540" s="6">
        <f t="shared" si="1130"/>
        <v>0.29166666666666669</v>
      </c>
      <c r="D4540" s="5"/>
      <c r="E4540" s="5"/>
      <c r="F4540" s="5" t="str">
        <f t="shared" ref="F4540:G4540" si="1131">F4539</f>
        <v>None</v>
      </c>
      <c r="G4540" s="15" t="str">
        <f t="shared" si="1131"/>
        <v>None</v>
      </c>
      <c r="H4540" s="24">
        <f t="shared" si="961"/>
        <v>0</v>
      </c>
      <c r="I4540" s="24" t="str" cm="1">
        <f t="array" ref="I4540">IFERROR(IF($B4540=I$1, ($A4540+$C4540) - MAX(IF($B$2:$B4539=$B4540, $A$2:$A4539+$C$2:$C4539)), "")*24*60, "")</f>
        <v/>
      </c>
      <c r="J4540" s="24" t="str" cm="1">
        <f t="array" ref="J4540">IFERROR(IF($B4540=J$1, ($A4540+$C4540) - MAX(IF($B$2:$B4539=$B4540, $A$2:$A4539+$C$2:$C4539)), "")*24*60, "")</f>
        <v/>
      </c>
      <c r="K4540" s="24" t="str" cm="1">
        <f t="array" ref="K4540">IFERROR(IF($B4540=K$1, ($A4540+$C4540) - MAX(IF($B$2:$B4539=$B4540, $A$2:$A4539+$C$2:$C4539)), "")*24*60, "")</f>
        <v/>
      </c>
      <c r="L4540" s="24" t="str" cm="1">
        <f t="array" ref="L4540">IFERROR(IF($B4540=L$1, ($A4540+$C4540) - MAX(IF($B$2:$B4539=$B4540, $A$2:$A4539+$C$2:$C4539)), "")*24*60, "")</f>
        <v/>
      </c>
      <c r="M4540" s="24" t="str" cm="1">
        <f t="array" ref="M4540">IFERROR(IF($B4540=M$1, ($A4540+$C4540) - MAX(IF($B$2:$B4539=$B4540, $A$2:$A4539+$C$2:$C4539)), "")*24*60, "")</f>
        <v/>
      </c>
      <c r="N4540" s="24" t="str" cm="1">
        <f t="array" ref="N4540">IFERROR(IF($B4540=N$1, ($A4540+$C4540) - MAX(IF($B$2:$B4539=$B4540, $A$2:$A4539+$C$2:$C4539)), "")*24*60, "")</f>
        <v/>
      </c>
      <c r="O4540" s="24" cm="1">
        <f t="array" ref="O4540">IFERROR(IF($B4540=O$1, ($A4540+$C4540) - MAX(IF($B$2:$B4539=$B4540, $A$2:$A4539+$C$2:$C4539)), "")*24*60, "")</f>
        <v>0</v>
      </c>
      <c r="P4540" s="24" t="str" cm="1">
        <f t="array" ref="P4540">IFERROR(IF($B4540=P$1, ($A4540+$C4540) - MAX(IF($B$2:$B4539=$B4540, $A$2:$A4539+$C$2:$C4539)), "")*24*60, "")</f>
        <v/>
      </c>
    </row>
    <row r="4541" spans="1:16" x14ac:dyDescent="0.2">
      <c r="A4541" s="12">
        <f t="shared" ref="A4541:C4541" si="1132">A4540</f>
        <v>45965</v>
      </c>
      <c r="B4541" s="5" t="str">
        <f t="shared" si="1132"/>
        <v>Mourning Dove</v>
      </c>
      <c r="C4541" s="6">
        <f t="shared" si="1132"/>
        <v>0.29166666666666669</v>
      </c>
      <c r="D4541" s="5"/>
      <c r="E4541" s="5"/>
      <c r="F4541" s="5" t="str">
        <f t="shared" ref="F4541:G4541" si="1133">F4540</f>
        <v>None</v>
      </c>
      <c r="G4541" s="15" t="str">
        <f t="shared" si="1133"/>
        <v>None</v>
      </c>
      <c r="H4541" s="24">
        <f t="shared" si="961"/>
        <v>0</v>
      </c>
      <c r="I4541" s="24" t="str" cm="1">
        <f t="array" ref="I4541">IFERROR(IF($B4541=I$1, ($A4541+$C4541) - MAX(IF($B$2:$B4540=$B4541, $A$2:$A4540+$C$2:$C4540)), "")*24*60, "")</f>
        <v/>
      </c>
      <c r="J4541" s="24" t="str" cm="1">
        <f t="array" ref="J4541">IFERROR(IF($B4541=J$1, ($A4541+$C4541) - MAX(IF($B$2:$B4540=$B4541, $A$2:$A4540+$C$2:$C4540)), "")*24*60, "")</f>
        <v/>
      </c>
      <c r="K4541" s="24" t="str" cm="1">
        <f t="array" ref="K4541">IFERROR(IF($B4541=K$1, ($A4541+$C4541) - MAX(IF($B$2:$B4540=$B4541, $A$2:$A4540+$C$2:$C4540)), "")*24*60, "")</f>
        <v/>
      </c>
      <c r="L4541" s="24" t="str" cm="1">
        <f t="array" ref="L4541">IFERROR(IF($B4541=L$1, ($A4541+$C4541) - MAX(IF($B$2:$B4540=$B4541, $A$2:$A4540+$C$2:$C4540)), "")*24*60, "")</f>
        <v/>
      </c>
      <c r="M4541" s="24" t="str" cm="1">
        <f t="array" ref="M4541">IFERROR(IF($B4541=M$1, ($A4541+$C4541) - MAX(IF($B$2:$B4540=$B4541, $A$2:$A4540+$C$2:$C4540)), "")*24*60, "")</f>
        <v/>
      </c>
      <c r="N4541" s="24" t="str" cm="1">
        <f t="array" ref="N4541">IFERROR(IF($B4541=N$1, ($A4541+$C4541) - MAX(IF($B$2:$B4540=$B4541, $A$2:$A4540+$C$2:$C4540)), "")*24*60, "")</f>
        <v/>
      </c>
      <c r="O4541" s="24" cm="1">
        <f t="array" ref="O4541">IFERROR(IF($B4541=O$1, ($A4541+$C4541) - MAX(IF($B$2:$B4540=$B4541, $A$2:$A4540+$C$2:$C4540)), "")*24*60, "")</f>
        <v>0</v>
      </c>
      <c r="P4541" s="24" t="str" cm="1">
        <f t="array" ref="P4541">IFERROR(IF($B4541=P$1, ($A4541+$C4541) - MAX(IF($B$2:$B4540=$B4541, $A$2:$A4540+$C$2:$C4540)), "")*24*60, "")</f>
        <v/>
      </c>
    </row>
    <row r="4542" spans="1:16" x14ac:dyDescent="0.2">
      <c r="A4542" s="12">
        <f t="shared" ref="A4542:C4542" si="1134">A4541</f>
        <v>45965</v>
      </c>
      <c r="B4542" s="5" t="str">
        <f t="shared" si="1134"/>
        <v>Mourning Dove</v>
      </c>
      <c r="C4542" s="6">
        <f t="shared" si="1134"/>
        <v>0.29166666666666669</v>
      </c>
      <c r="D4542" s="5"/>
      <c r="E4542" s="5"/>
      <c r="F4542" s="5" t="str">
        <f t="shared" ref="F4542:G4542" si="1135">F4541</f>
        <v>None</v>
      </c>
      <c r="G4542" s="15" t="str">
        <f t="shared" si="1135"/>
        <v>None</v>
      </c>
      <c r="H4542" s="24">
        <f t="shared" si="961"/>
        <v>0</v>
      </c>
      <c r="I4542" s="24" t="str" cm="1">
        <f t="array" ref="I4542">IFERROR(IF($B4542=I$1, ($A4542+$C4542) - MAX(IF($B$2:$B4541=$B4542, $A$2:$A4541+$C$2:$C4541)), "")*24*60, "")</f>
        <v/>
      </c>
      <c r="J4542" s="24" t="str" cm="1">
        <f t="array" ref="J4542">IFERROR(IF($B4542=J$1, ($A4542+$C4542) - MAX(IF($B$2:$B4541=$B4542, $A$2:$A4541+$C$2:$C4541)), "")*24*60, "")</f>
        <v/>
      </c>
      <c r="K4542" s="24" t="str" cm="1">
        <f t="array" ref="K4542">IFERROR(IF($B4542=K$1, ($A4542+$C4542) - MAX(IF($B$2:$B4541=$B4542, $A$2:$A4541+$C$2:$C4541)), "")*24*60, "")</f>
        <v/>
      </c>
      <c r="L4542" s="24" t="str" cm="1">
        <f t="array" ref="L4542">IFERROR(IF($B4542=L$1, ($A4542+$C4542) - MAX(IF($B$2:$B4541=$B4542, $A$2:$A4541+$C$2:$C4541)), "")*24*60, "")</f>
        <v/>
      </c>
      <c r="M4542" s="24" t="str" cm="1">
        <f t="array" ref="M4542">IFERROR(IF($B4542=M$1, ($A4542+$C4542) - MAX(IF($B$2:$B4541=$B4542, $A$2:$A4541+$C$2:$C4541)), "")*24*60, "")</f>
        <v/>
      </c>
      <c r="N4542" s="24" t="str" cm="1">
        <f t="array" ref="N4542">IFERROR(IF($B4542=N$1, ($A4542+$C4542) - MAX(IF($B$2:$B4541=$B4542, $A$2:$A4541+$C$2:$C4541)), "")*24*60, "")</f>
        <v/>
      </c>
      <c r="O4542" s="24" cm="1">
        <f t="array" ref="O4542">IFERROR(IF($B4542=O$1, ($A4542+$C4542) - MAX(IF($B$2:$B4541=$B4542, $A$2:$A4541+$C$2:$C4541)), "")*24*60, "")</f>
        <v>0</v>
      </c>
      <c r="P4542" s="24" t="str" cm="1">
        <f t="array" ref="P4542">IFERROR(IF($B4542=P$1, ($A4542+$C4542) - MAX(IF($B$2:$B4541=$B4542, $A$2:$A4541+$C$2:$C4541)), "")*24*60, "")</f>
        <v/>
      </c>
    </row>
    <row r="4543" spans="1:16" x14ac:dyDescent="0.2">
      <c r="A4543" s="12">
        <f t="shared" ref="A4543:C4543" si="1136">A4542</f>
        <v>45965</v>
      </c>
      <c r="B4543" s="5" t="str">
        <f t="shared" si="1136"/>
        <v>Mourning Dove</v>
      </c>
      <c r="C4543" s="6">
        <f t="shared" si="1136"/>
        <v>0.29166666666666669</v>
      </c>
      <c r="D4543" s="5"/>
      <c r="E4543" s="5"/>
      <c r="F4543" s="5" t="str">
        <f t="shared" ref="F4543:G4543" si="1137">F4542</f>
        <v>None</v>
      </c>
      <c r="G4543" s="15" t="str">
        <f t="shared" si="1137"/>
        <v>None</v>
      </c>
      <c r="H4543" s="24">
        <f t="shared" si="961"/>
        <v>0</v>
      </c>
      <c r="I4543" s="24" t="str" cm="1">
        <f t="array" ref="I4543">IFERROR(IF($B4543=I$1, ($A4543+$C4543) - MAX(IF($B$2:$B4542=$B4543, $A$2:$A4542+$C$2:$C4542)), "")*24*60, "")</f>
        <v/>
      </c>
      <c r="J4543" s="24" t="str" cm="1">
        <f t="array" ref="J4543">IFERROR(IF($B4543=J$1, ($A4543+$C4543) - MAX(IF($B$2:$B4542=$B4543, $A$2:$A4542+$C$2:$C4542)), "")*24*60, "")</f>
        <v/>
      </c>
      <c r="K4543" s="24" t="str" cm="1">
        <f t="array" ref="K4543">IFERROR(IF($B4543=K$1, ($A4543+$C4543) - MAX(IF($B$2:$B4542=$B4543, $A$2:$A4542+$C$2:$C4542)), "")*24*60, "")</f>
        <v/>
      </c>
      <c r="L4543" s="24" t="str" cm="1">
        <f t="array" ref="L4543">IFERROR(IF($B4543=L$1, ($A4543+$C4543) - MAX(IF($B$2:$B4542=$B4543, $A$2:$A4542+$C$2:$C4542)), "")*24*60, "")</f>
        <v/>
      </c>
      <c r="M4543" s="24" t="str" cm="1">
        <f t="array" ref="M4543">IFERROR(IF($B4543=M$1, ($A4543+$C4543) - MAX(IF($B$2:$B4542=$B4543, $A$2:$A4542+$C$2:$C4542)), "")*24*60, "")</f>
        <v/>
      </c>
      <c r="N4543" s="24" t="str" cm="1">
        <f t="array" ref="N4543">IFERROR(IF($B4543=N$1, ($A4543+$C4543) - MAX(IF($B$2:$B4542=$B4543, $A$2:$A4542+$C$2:$C4542)), "")*24*60, "")</f>
        <v/>
      </c>
      <c r="O4543" s="24" cm="1">
        <f t="array" ref="O4543">IFERROR(IF($B4543=O$1, ($A4543+$C4543) - MAX(IF($B$2:$B4542=$B4543, $A$2:$A4542+$C$2:$C4542)), "")*24*60, "")</f>
        <v>0</v>
      </c>
      <c r="P4543" s="24" t="str" cm="1">
        <f t="array" ref="P4543">IFERROR(IF($B4543=P$1, ($A4543+$C4543) - MAX(IF($B$2:$B4542=$B4543, $A$2:$A4542+$C$2:$C4542)), "")*24*60, "")</f>
        <v/>
      </c>
    </row>
    <row r="4544" spans="1:16" x14ac:dyDescent="0.2">
      <c r="A4544" s="12">
        <f t="shared" ref="A4544:C4544" si="1138">A4543</f>
        <v>45965</v>
      </c>
      <c r="B4544" s="5" t="str">
        <f t="shared" si="1138"/>
        <v>Mourning Dove</v>
      </c>
      <c r="C4544" s="6">
        <f t="shared" si="1138"/>
        <v>0.29166666666666669</v>
      </c>
      <c r="D4544" s="5"/>
      <c r="E4544" s="5"/>
      <c r="F4544" s="5" t="str">
        <f t="shared" ref="F4544:G4544" si="1139">F4543</f>
        <v>None</v>
      </c>
      <c r="G4544" s="15" t="str">
        <f t="shared" si="1139"/>
        <v>None</v>
      </c>
      <c r="H4544" s="24">
        <f t="shared" si="961"/>
        <v>0</v>
      </c>
      <c r="I4544" s="24" t="str" cm="1">
        <f t="array" ref="I4544">IFERROR(IF($B4544=I$1, ($A4544+$C4544) - MAX(IF($B$2:$B4543=$B4544, $A$2:$A4543+$C$2:$C4543)), "")*24*60, "")</f>
        <v/>
      </c>
      <c r="J4544" s="24" t="str" cm="1">
        <f t="array" ref="J4544">IFERROR(IF($B4544=J$1, ($A4544+$C4544) - MAX(IF($B$2:$B4543=$B4544, $A$2:$A4543+$C$2:$C4543)), "")*24*60, "")</f>
        <v/>
      </c>
      <c r="K4544" s="24" t="str" cm="1">
        <f t="array" ref="K4544">IFERROR(IF($B4544=K$1, ($A4544+$C4544) - MAX(IF($B$2:$B4543=$B4544, $A$2:$A4543+$C$2:$C4543)), "")*24*60, "")</f>
        <v/>
      </c>
      <c r="L4544" s="24" t="str" cm="1">
        <f t="array" ref="L4544">IFERROR(IF($B4544=L$1, ($A4544+$C4544) - MAX(IF($B$2:$B4543=$B4544, $A$2:$A4543+$C$2:$C4543)), "")*24*60, "")</f>
        <v/>
      </c>
      <c r="M4544" s="24" t="str" cm="1">
        <f t="array" ref="M4544">IFERROR(IF($B4544=M$1, ($A4544+$C4544) - MAX(IF($B$2:$B4543=$B4544, $A$2:$A4543+$C$2:$C4543)), "")*24*60, "")</f>
        <v/>
      </c>
      <c r="N4544" s="24" t="str" cm="1">
        <f t="array" ref="N4544">IFERROR(IF($B4544=N$1, ($A4544+$C4544) - MAX(IF($B$2:$B4543=$B4544, $A$2:$A4543+$C$2:$C4543)), "")*24*60, "")</f>
        <v/>
      </c>
      <c r="O4544" s="24" cm="1">
        <f t="array" ref="O4544">IFERROR(IF($B4544=O$1, ($A4544+$C4544) - MAX(IF($B$2:$B4543=$B4544, $A$2:$A4543+$C$2:$C4543)), "")*24*60, "")</f>
        <v>0</v>
      </c>
      <c r="P4544" s="24" t="str" cm="1">
        <f t="array" ref="P4544">IFERROR(IF($B4544=P$1, ($A4544+$C4544) - MAX(IF($B$2:$B4543=$B4544, $A$2:$A4543+$C$2:$C4543)), "")*24*60, "")</f>
        <v/>
      </c>
    </row>
    <row r="4545" spans="1:16" x14ac:dyDescent="0.2">
      <c r="A4545" s="12">
        <f t="shared" ref="A4545:C4545" si="1140">A4544</f>
        <v>45965</v>
      </c>
      <c r="B4545" s="5" t="str">
        <f t="shared" si="1140"/>
        <v>Mourning Dove</v>
      </c>
      <c r="C4545" s="6">
        <f t="shared" si="1140"/>
        <v>0.29166666666666669</v>
      </c>
      <c r="D4545" s="5"/>
      <c r="E4545" s="5"/>
      <c r="F4545" s="5" t="str">
        <f t="shared" ref="F4545:G4545" si="1141">F4544</f>
        <v>None</v>
      </c>
      <c r="G4545" s="15" t="str">
        <f t="shared" si="1141"/>
        <v>None</v>
      </c>
      <c r="H4545" s="24">
        <f t="shared" si="961"/>
        <v>0</v>
      </c>
      <c r="I4545" s="24" t="str" cm="1">
        <f t="array" ref="I4545">IFERROR(IF($B4545=I$1, ($A4545+$C4545) - MAX(IF($B$2:$B4544=$B4545, $A$2:$A4544+$C$2:$C4544)), "")*24*60, "")</f>
        <v/>
      </c>
      <c r="J4545" s="24" t="str" cm="1">
        <f t="array" ref="J4545">IFERROR(IF($B4545=J$1, ($A4545+$C4545) - MAX(IF($B$2:$B4544=$B4545, $A$2:$A4544+$C$2:$C4544)), "")*24*60, "")</f>
        <v/>
      </c>
      <c r="K4545" s="24" t="str" cm="1">
        <f t="array" ref="K4545">IFERROR(IF($B4545=K$1, ($A4545+$C4545) - MAX(IF($B$2:$B4544=$B4545, $A$2:$A4544+$C$2:$C4544)), "")*24*60, "")</f>
        <v/>
      </c>
      <c r="L4545" s="24" t="str" cm="1">
        <f t="array" ref="L4545">IFERROR(IF($B4545=L$1, ($A4545+$C4545) - MAX(IF($B$2:$B4544=$B4545, $A$2:$A4544+$C$2:$C4544)), "")*24*60, "")</f>
        <v/>
      </c>
      <c r="M4545" s="24" t="str" cm="1">
        <f t="array" ref="M4545">IFERROR(IF($B4545=M$1, ($A4545+$C4545) - MAX(IF($B$2:$B4544=$B4545, $A$2:$A4544+$C$2:$C4544)), "")*24*60, "")</f>
        <v/>
      </c>
      <c r="N4545" s="24" t="str" cm="1">
        <f t="array" ref="N4545">IFERROR(IF($B4545=N$1, ($A4545+$C4545) - MAX(IF($B$2:$B4544=$B4545, $A$2:$A4544+$C$2:$C4544)), "")*24*60, "")</f>
        <v/>
      </c>
      <c r="O4545" s="24" cm="1">
        <f t="array" ref="O4545">IFERROR(IF($B4545=O$1, ($A4545+$C4545) - MAX(IF($B$2:$B4544=$B4545, $A$2:$A4544+$C$2:$C4544)), "")*24*60, "")</f>
        <v>0</v>
      </c>
      <c r="P4545" s="24" t="str" cm="1">
        <f t="array" ref="P4545">IFERROR(IF($B4545=P$1, ($A4545+$C4545) - MAX(IF($B$2:$B4544=$B4545, $A$2:$A4544+$C$2:$C4544)), "")*24*60, "")</f>
        <v/>
      </c>
    </row>
    <row r="4546" spans="1:16" x14ac:dyDescent="0.2">
      <c r="A4546" s="12">
        <f t="shared" ref="A4546:C4546" si="1142">A4545</f>
        <v>45965</v>
      </c>
      <c r="B4546" s="5" t="str">
        <f t="shared" si="1142"/>
        <v>Mourning Dove</v>
      </c>
      <c r="C4546" s="6">
        <f t="shared" si="1142"/>
        <v>0.29166666666666669</v>
      </c>
      <c r="D4546" s="5"/>
      <c r="E4546" s="5"/>
      <c r="F4546" s="5" t="str">
        <f t="shared" ref="F4546:G4546" si="1143">F4545</f>
        <v>None</v>
      </c>
      <c r="G4546" s="15" t="str">
        <f t="shared" si="1143"/>
        <v>None</v>
      </c>
      <c r="H4546" s="24">
        <f t="shared" si="961"/>
        <v>0</v>
      </c>
      <c r="I4546" s="24" t="str" cm="1">
        <f t="array" ref="I4546">IFERROR(IF($B4546=I$1, ($A4546+$C4546) - MAX(IF($B$2:$B4545=$B4546, $A$2:$A4545+$C$2:$C4545)), "")*24*60, "")</f>
        <v/>
      </c>
      <c r="J4546" s="24" t="str" cm="1">
        <f t="array" ref="J4546">IFERROR(IF($B4546=J$1, ($A4546+$C4546) - MAX(IF($B$2:$B4545=$B4546, $A$2:$A4545+$C$2:$C4545)), "")*24*60, "")</f>
        <v/>
      </c>
      <c r="K4546" s="24" t="str" cm="1">
        <f t="array" ref="K4546">IFERROR(IF($B4546=K$1, ($A4546+$C4546) - MAX(IF($B$2:$B4545=$B4546, $A$2:$A4545+$C$2:$C4545)), "")*24*60, "")</f>
        <v/>
      </c>
      <c r="L4546" s="24" t="str" cm="1">
        <f t="array" ref="L4546">IFERROR(IF($B4546=L$1, ($A4546+$C4546) - MAX(IF($B$2:$B4545=$B4546, $A$2:$A4545+$C$2:$C4545)), "")*24*60, "")</f>
        <v/>
      </c>
      <c r="M4546" s="24" t="str" cm="1">
        <f t="array" ref="M4546">IFERROR(IF($B4546=M$1, ($A4546+$C4546) - MAX(IF($B$2:$B4545=$B4546, $A$2:$A4545+$C$2:$C4545)), "")*24*60, "")</f>
        <v/>
      </c>
      <c r="N4546" s="24" t="str" cm="1">
        <f t="array" ref="N4546">IFERROR(IF($B4546=N$1, ($A4546+$C4546) - MAX(IF($B$2:$B4545=$B4546, $A$2:$A4545+$C$2:$C4545)), "")*24*60, "")</f>
        <v/>
      </c>
      <c r="O4546" s="24" cm="1">
        <f t="array" ref="O4546">IFERROR(IF($B4546=O$1, ($A4546+$C4546) - MAX(IF($B$2:$B4545=$B4546, $A$2:$A4545+$C$2:$C4545)), "")*24*60, "")</f>
        <v>0</v>
      </c>
      <c r="P4546" s="24" t="str" cm="1">
        <f t="array" ref="P4546">IFERROR(IF($B4546=P$1, ($A4546+$C4546) - MAX(IF($B$2:$B4545=$B4546, $A$2:$A4545+$C$2:$C4545)), "")*24*60, "")</f>
        <v/>
      </c>
    </row>
    <row r="4547" spans="1:16" x14ac:dyDescent="0.2">
      <c r="A4547" s="12">
        <f t="shared" ref="A4547:C4547" si="1144">A4546</f>
        <v>45965</v>
      </c>
      <c r="B4547" s="5" t="str">
        <f t="shared" si="1144"/>
        <v>Mourning Dove</v>
      </c>
      <c r="C4547" s="6">
        <f t="shared" si="1144"/>
        <v>0.29166666666666669</v>
      </c>
      <c r="D4547" s="5"/>
      <c r="E4547" s="5"/>
      <c r="F4547" s="5" t="str">
        <f t="shared" ref="F4547:G4547" si="1145">F4546</f>
        <v>None</v>
      </c>
      <c r="G4547" s="15" t="str">
        <f t="shared" si="1145"/>
        <v>None</v>
      </c>
      <c r="H4547" s="24">
        <f t="shared" si="961"/>
        <v>0</v>
      </c>
      <c r="I4547" s="24" t="str" cm="1">
        <f t="array" ref="I4547">IFERROR(IF($B4547=I$1, ($A4547+$C4547) - MAX(IF($B$2:$B4546=$B4547, $A$2:$A4546+$C$2:$C4546)), "")*24*60, "")</f>
        <v/>
      </c>
      <c r="J4547" s="24" t="str" cm="1">
        <f t="array" ref="J4547">IFERROR(IF($B4547=J$1, ($A4547+$C4547) - MAX(IF($B$2:$B4546=$B4547, $A$2:$A4546+$C$2:$C4546)), "")*24*60, "")</f>
        <v/>
      </c>
      <c r="K4547" s="24" t="str" cm="1">
        <f t="array" ref="K4547">IFERROR(IF($B4547=K$1, ($A4547+$C4547) - MAX(IF($B$2:$B4546=$B4547, $A$2:$A4546+$C$2:$C4546)), "")*24*60, "")</f>
        <v/>
      </c>
      <c r="L4547" s="24" t="str" cm="1">
        <f t="array" ref="L4547">IFERROR(IF($B4547=L$1, ($A4547+$C4547) - MAX(IF($B$2:$B4546=$B4547, $A$2:$A4546+$C$2:$C4546)), "")*24*60, "")</f>
        <v/>
      </c>
      <c r="M4547" s="24" t="str" cm="1">
        <f t="array" ref="M4547">IFERROR(IF($B4547=M$1, ($A4547+$C4547) - MAX(IF($B$2:$B4546=$B4547, $A$2:$A4546+$C$2:$C4546)), "")*24*60, "")</f>
        <v/>
      </c>
      <c r="N4547" s="24" t="str" cm="1">
        <f t="array" ref="N4547">IFERROR(IF($B4547=N$1, ($A4547+$C4547) - MAX(IF($B$2:$B4546=$B4547, $A$2:$A4546+$C$2:$C4546)), "")*24*60, "")</f>
        <v/>
      </c>
      <c r="O4547" s="24" cm="1">
        <f t="array" ref="O4547">IFERROR(IF($B4547=O$1, ($A4547+$C4547) - MAX(IF($B$2:$B4546=$B4547, $A$2:$A4546+$C$2:$C4546)), "")*24*60, "")</f>
        <v>0</v>
      </c>
      <c r="P4547" s="24" t="str" cm="1">
        <f t="array" ref="P4547">IFERROR(IF($B4547=P$1, ($A4547+$C4547) - MAX(IF($B$2:$B4546=$B4547, $A$2:$A4546+$C$2:$C4546)), "")*24*60, "")</f>
        <v/>
      </c>
    </row>
    <row r="4548" spans="1:16" x14ac:dyDescent="0.2">
      <c r="A4548" s="12">
        <f t="shared" ref="A4548:C4548" si="1146">A4547</f>
        <v>45965</v>
      </c>
      <c r="B4548" s="5" t="str">
        <f t="shared" si="1146"/>
        <v>Mourning Dove</v>
      </c>
      <c r="C4548" s="6">
        <f t="shared" si="1146"/>
        <v>0.29166666666666669</v>
      </c>
      <c r="D4548" s="5"/>
      <c r="E4548" s="5"/>
      <c r="F4548" s="5" t="str">
        <f t="shared" ref="F4548:G4548" si="1147">F4547</f>
        <v>None</v>
      </c>
      <c r="G4548" s="15" t="str">
        <f t="shared" si="1147"/>
        <v>None</v>
      </c>
      <c r="H4548" s="24">
        <f t="shared" si="961"/>
        <v>0</v>
      </c>
      <c r="I4548" s="24" t="str" cm="1">
        <f t="array" ref="I4548">IFERROR(IF($B4548=I$1, ($A4548+$C4548) - MAX(IF($B$2:$B4547=$B4548, $A$2:$A4547+$C$2:$C4547)), "")*24*60, "")</f>
        <v/>
      </c>
      <c r="J4548" s="24" t="str" cm="1">
        <f t="array" ref="J4548">IFERROR(IF($B4548=J$1, ($A4548+$C4548) - MAX(IF($B$2:$B4547=$B4548, $A$2:$A4547+$C$2:$C4547)), "")*24*60, "")</f>
        <v/>
      </c>
      <c r="K4548" s="24" t="str" cm="1">
        <f t="array" ref="K4548">IFERROR(IF($B4548=K$1, ($A4548+$C4548) - MAX(IF($B$2:$B4547=$B4548, $A$2:$A4547+$C$2:$C4547)), "")*24*60, "")</f>
        <v/>
      </c>
      <c r="L4548" s="24" t="str" cm="1">
        <f t="array" ref="L4548">IFERROR(IF($B4548=L$1, ($A4548+$C4548) - MAX(IF($B$2:$B4547=$B4548, $A$2:$A4547+$C$2:$C4547)), "")*24*60, "")</f>
        <v/>
      </c>
      <c r="M4548" s="24" t="str" cm="1">
        <f t="array" ref="M4548">IFERROR(IF($B4548=M$1, ($A4548+$C4548) - MAX(IF($B$2:$B4547=$B4548, $A$2:$A4547+$C$2:$C4547)), "")*24*60, "")</f>
        <v/>
      </c>
      <c r="N4548" s="24" t="str" cm="1">
        <f t="array" ref="N4548">IFERROR(IF($B4548=N$1, ($A4548+$C4548) - MAX(IF($B$2:$B4547=$B4548, $A$2:$A4547+$C$2:$C4547)), "")*24*60, "")</f>
        <v/>
      </c>
      <c r="O4548" s="24" cm="1">
        <f t="array" ref="O4548">IFERROR(IF($B4548=O$1, ($A4548+$C4548) - MAX(IF($B$2:$B4547=$B4548, $A$2:$A4547+$C$2:$C4547)), "")*24*60, "")</f>
        <v>0</v>
      </c>
      <c r="P4548" s="24" t="str" cm="1">
        <f t="array" ref="P4548">IFERROR(IF($B4548=P$1, ($A4548+$C4548) - MAX(IF($B$2:$B4547=$B4548, $A$2:$A4547+$C$2:$C4547)), "")*24*60, "")</f>
        <v/>
      </c>
    </row>
    <row r="4549" spans="1:16" x14ac:dyDescent="0.2">
      <c r="A4549" s="12">
        <f t="shared" ref="A4549:C4549" si="1148">A4548</f>
        <v>45965</v>
      </c>
      <c r="B4549" s="5" t="str">
        <f t="shared" si="1148"/>
        <v>Mourning Dove</v>
      </c>
      <c r="C4549" s="6">
        <f t="shared" si="1148"/>
        <v>0.29166666666666669</v>
      </c>
      <c r="D4549" s="5"/>
      <c r="E4549" s="5"/>
      <c r="F4549" s="5" t="str">
        <f t="shared" ref="F4549:G4549" si="1149">F4548</f>
        <v>None</v>
      </c>
      <c r="G4549" s="15" t="str">
        <f t="shared" si="1149"/>
        <v>None</v>
      </c>
      <c r="H4549" s="24">
        <f t="shared" si="961"/>
        <v>0</v>
      </c>
      <c r="I4549" s="24" t="str" cm="1">
        <f t="array" ref="I4549">IFERROR(IF($B4549=I$1, ($A4549+$C4549) - MAX(IF($B$2:$B4548=$B4549, $A$2:$A4548+$C$2:$C4548)), "")*24*60, "")</f>
        <v/>
      </c>
      <c r="J4549" s="24" t="str" cm="1">
        <f t="array" ref="J4549">IFERROR(IF($B4549=J$1, ($A4549+$C4549) - MAX(IF($B$2:$B4548=$B4549, $A$2:$A4548+$C$2:$C4548)), "")*24*60, "")</f>
        <v/>
      </c>
      <c r="K4549" s="24" t="str" cm="1">
        <f t="array" ref="K4549">IFERROR(IF($B4549=K$1, ($A4549+$C4549) - MAX(IF($B$2:$B4548=$B4549, $A$2:$A4548+$C$2:$C4548)), "")*24*60, "")</f>
        <v/>
      </c>
      <c r="L4549" s="24" t="str" cm="1">
        <f t="array" ref="L4549">IFERROR(IF($B4549=L$1, ($A4549+$C4549) - MAX(IF($B$2:$B4548=$B4549, $A$2:$A4548+$C$2:$C4548)), "")*24*60, "")</f>
        <v/>
      </c>
      <c r="M4549" s="24" t="str" cm="1">
        <f t="array" ref="M4549">IFERROR(IF($B4549=M$1, ($A4549+$C4549) - MAX(IF($B$2:$B4548=$B4549, $A$2:$A4548+$C$2:$C4548)), "")*24*60, "")</f>
        <v/>
      </c>
      <c r="N4549" s="24" t="str" cm="1">
        <f t="array" ref="N4549">IFERROR(IF($B4549=N$1, ($A4549+$C4549) - MAX(IF($B$2:$B4548=$B4549, $A$2:$A4548+$C$2:$C4548)), "")*24*60, "")</f>
        <v/>
      </c>
      <c r="O4549" s="24" cm="1">
        <f t="array" ref="O4549">IFERROR(IF($B4549=O$1, ($A4549+$C4549) - MAX(IF($B$2:$B4548=$B4549, $A$2:$A4548+$C$2:$C4548)), "")*24*60, "")</f>
        <v>0</v>
      </c>
      <c r="P4549" s="24" t="str" cm="1">
        <f t="array" ref="P4549">IFERROR(IF($B4549=P$1, ($A4549+$C4549) - MAX(IF($B$2:$B4548=$B4549, $A$2:$A4548+$C$2:$C4548)), "")*24*60, "")</f>
        <v/>
      </c>
    </row>
    <row r="4550" spans="1:16" x14ac:dyDescent="0.2">
      <c r="A4550" s="12">
        <f t="shared" ref="A4550:C4550" si="1150">A4549</f>
        <v>45965</v>
      </c>
      <c r="B4550" s="5" t="str">
        <f t="shared" si="1150"/>
        <v>Mourning Dove</v>
      </c>
      <c r="C4550" s="6">
        <f t="shared" si="1150"/>
        <v>0.29166666666666669</v>
      </c>
      <c r="D4550" s="5"/>
      <c r="E4550" s="5"/>
      <c r="F4550" s="5" t="str">
        <f t="shared" ref="F4550:G4550" si="1151">F4549</f>
        <v>None</v>
      </c>
      <c r="G4550" s="15" t="str">
        <f t="shared" si="1151"/>
        <v>None</v>
      </c>
      <c r="H4550" s="24">
        <f t="shared" si="961"/>
        <v>0</v>
      </c>
      <c r="I4550" s="24" t="str" cm="1">
        <f t="array" ref="I4550">IFERROR(IF($B4550=I$1, ($A4550+$C4550) - MAX(IF($B$2:$B4549=$B4550, $A$2:$A4549+$C$2:$C4549)), "")*24*60, "")</f>
        <v/>
      </c>
      <c r="J4550" s="24" t="str" cm="1">
        <f t="array" ref="J4550">IFERROR(IF($B4550=J$1, ($A4550+$C4550) - MAX(IF($B$2:$B4549=$B4550, $A$2:$A4549+$C$2:$C4549)), "")*24*60, "")</f>
        <v/>
      </c>
      <c r="K4550" s="24" t="str" cm="1">
        <f t="array" ref="K4550">IFERROR(IF($B4550=K$1, ($A4550+$C4550) - MAX(IF($B$2:$B4549=$B4550, $A$2:$A4549+$C$2:$C4549)), "")*24*60, "")</f>
        <v/>
      </c>
      <c r="L4550" s="24" t="str" cm="1">
        <f t="array" ref="L4550">IFERROR(IF($B4550=L$1, ($A4550+$C4550) - MAX(IF($B$2:$B4549=$B4550, $A$2:$A4549+$C$2:$C4549)), "")*24*60, "")</f>
        <v/>
      </c>
      <c r="M4550" s="24" t="str" cm="1">
        <f t="array" ref="M4550">IFERROR(IF($B4550=M$1, ($A4550+$C4550) - MAX(IF($B$2:$B4549=$B4550, $A$2:$A4549+$C$2:$C4549)), "")*24*60, "")</f>
        <v/>
      </c>
      <c r="N4550" s="24" t="str" cm="1">
        <f t="array" ref="N4550">IFERROR(IF($B4550=N$1, ($A4550+$C4550) - MAX(IF($B$2:$B4549=$B4550, $A$2:$A4549+$C$2:$C4549)), "")*24*60, "")</f>
        <v/>
      </c>
      <c r="O4550" s="24" cm="1">
        <f t="array" ref="O4550">IFERROR(IF($B4550=O$1, ($A4550+$C4550) - MAX(IF($B$2:$B4549=$B4550, $A$2:$A4549+$C$2:$C4549)), "")*24*60, "")</f>
        <v>0</v>
      </c>
      <c r="P4550" s="24" t="str" cm="1">
        <f t="array" ref="P4550">IFERROR(IF($B4550=P$1, ($A4550+$C4550) - MAX(IF($B$2:$B4549=$B4550, $A$2:$A4549+$C$2:$C4549)), "")*24*60, "")</f>
        <v/>
      </c>
    </row>
    <row r="4551" spans="1:16" x14ac:dyDescent="0.2">
      <c r="A4551" s="12">
        <f t="shared" ref="A4551:C4551" si="1152">A4550</f>
        <v>45965</v>
      </c>
      <c r="B4551" s="5" t="str">
        <f t="shared" si="1152"/>
        <v>Mourning Dove</v>
      </c>
      <c r="C4551" s="6">
        <f t="shared" si="1152"/>
        <v>0.29166666666666669</v>
      </c>
      <c r="D4551" s="5"/>
      <c r="E4551" s="5"/>
      <c r="F4551" s="5" t="str">
        <f t="shared" ref="F4551:G4551" si="1153">F4550</f>
        <v>None</v>
      </c>
      <c r="G4551" s="15" t="str">
        <f t="shared" si="1153"/>
        <v>None</v>
      </c>
      <c r="H4551" s="24">
        <f t="shared" si="961"/>
        <v>0</v>
      </c>
      <c r="I4551" s="24" t="str" cm="1">
        <f t="array" ref="I4551">IFERROR(IF($B4551=I$1, ($A4551+$C4551) - MAX(IF($B$2:$B4550=$B4551, $A$2:$A4550+$C$2:$C4550)), "")*24*60, "")</f>
        <v/>
      </c>
      <c r="J4551" s="24" t="str" cm="1">
        <f t="array" ref="J4551">IFERROR(IF($B4551=J$1, ($A4551+$C4551) - MAX(IF($B$2:$B4550=$B4551, $A$2:$A4550+$C$2:$C4550)), "")*24*60, "")</f>
        <v/>
      </c>
      <c r="K4551" s="24" t="str" cm="1">
        <f t="array" ref="K4551">IFERROR(IF($B4551=K$1, ($A4551+$C4551) - MAX(IF($B$2:$B4550=$B4551, $A$2:$A4550+$C$2:$C4550)), "")*24*60, "")</f>
        <v/>
      </c>
      <c r="L4551" s="24" t="str" cm="1">
        <f t="array" ref="L4551">IFERROR(IF($B4551=L$1, ($A4551+$C4551) - MAX(IF($B$2:$B4550=$B4551, $A$2:$A4550+$C$2:$C4550)), "")*24*60, "")</f>
        <v/>
      </c>
      <c r="M4551" s="24" t="str" cm="1">
        <f t="array" ref="M4551">IFERROR(IF($B4551=M$1, ($A4551+$C4551) - MAX(IF($B$2:$B4550=$B4551, $A$2:$A4550+$C$2:$C4550)), "")*24*60, "")</f>
        <v/>
      </c>
      <c r="N4551" s="24" t="str" cm="1">
        <f t="array" ref="N4551">IFERROR(IF($B4551=N$1, ($A4551+$C4551) - MAX(IF($B$2:$B4550=$B4551, $A$2:$A4550+$C$2:$C4550)), "")*24*60, "")</f>
        <v/>
      </c>
      <c r="O4551" s="24" cm="1">
        <f t="array" ref="O4551">IFERROR(IF($B4551=O$1, ($A4551+$C4551) - MAX(IF($B$2:$B4550=$B4551, $A$2:$A4550+$C$2:$C4550)), "")*24*60, "")</f>
        <v>0</v>
      </c>
      <c r="P4551" s="24" t="str" cm="1">
        <f t="array" ref="P4551">IFERROR(IF($B4551=P$1, ($A4551+$C4551) - MAX(IF($B$2:$B4550=$B4551, $A$2:$A4550+$C$2:$C4550)), "")*24*60, "")</f>
        <v/>
      </c>
    </row>
    <row r="4552" spans="1:16" x14ac:dyDescent="0.2">
      <c r="A4552" s="12">
        <f t="shared" ref="A4552:C4552" si="1154">A4551</f>
        <v>45965</v>
      </c>
      <c r="B4552" s="5" t="str">
        <f t="shared" si="1154"/>
        <v>Mourning Dove</v>
      </c>
      <c r="C4552" s="6">
        <f t="shared" si="1154"/>
        <v>0.29166666666666669</v>
      </c>
      <c r="D4552" s="5"/>
      <c r="E4552" s="5"/>
      <c r="F4552" s="5" t="str">
        <f t="shared" ref="F4552:G4552" si="1155">F4551</f>
        <v>None</v>
      </c>
      <c r="G4552" s="15" t="str">
        <f t="shared" si="1155"/>
        <v>None</v>
      </c>
      <c r="H4552" s="24">
        <f t="shared" si="961"/>
        <v>0</v>
      </c>
      <c r="I4552" s="24" t="str" cm="1">
        <f t="array" ref="I4552">IFERROR(IF($B4552=I$1, ($A4552+$C4552) - MAX(IF($B$2:$B4551=$B4552, $A$2:$A4551+$C$2:$C4551)), "")*24*60, "")</f>
        <v/>
      </c>
      <c r="J4552" s="24" t="str" cm="1">
        <f t="array" ref="J4552">IFERROR(IF($B4552=J$1, ($A4552+$C4552) - MAX(IF($B$2:$B4551=$B4552, $A$2:$A4551+$C$2:$C4551)), "")*24*60, "")</f>
        <v/>
      </c>
      <c r="K4552" s="24" t="str" cm="1">
        <f t="array" ref="K4552">IFERROR(IF($B4552=K$1, ($A4552+$C4552) - MAX(IF($B$2:$B4551=$B4552, $A$2:$A4551+$C$2:$C4551)), "")*24*60, "")</f>
        <v/>
      </c>
      <c r="L4552" s="24" t="str" cm="1">
        <f t="array" ref="L4552">IFERROR(IF($B4552=L$1, ($A4552+$C4552) - MAX(IF($B$2:$B4551=$B4552, $A$2:$A4551+$C$2:$C4551)), "")*24*60, "")</f>
        <v/>
      </c>
      <c r="M4552" s="24" t="str" cm="1">
        <f t="array" ref="M4552">IFERROR(IF($B4552=M$1, ($A4552+$C4552) - MAX(IF($B$2:$B4551=$B4552, $A$2:$A4551+$C$2:$C4551)), "")*24*60, "")</f>
        <v/>
      </c>
      <c r="N4552" s="24" t="str" cm="1">
        <f t="array" ref="N4552">IFERROR(IF($B4552=N$1, ($A4552+$C4552) - MAX(IF($B$2:$B4551=$B4552, $A$2:$A4551+$C$2:$C4551)), "")*24*60, "")</f>
        <v/>
      </c>
      <c r="O4552" s="24" cm="1">
        <f t="array" ref="O4552">IFERROR(IF($B4552=O$1, ($A4552+$C4552) - MAX(IF($B$2:$B4551=$B4552, $A$2:$A4551+$C$2:$C4551)), "")*24*60, "")</f>
        <v>0</v>
      </c>
      <c r="P4552" s="24" t="str" cm="1">
        <f t="array" ref="P4552">IFERROR(IF($B4552=P$1, ($A4552+$C4552) - MAX(IF($B$2:$B4551=$B4552, $A$2:$A4551+$C$2:$C4551)), "")*24*60, "")</f>
        <v/>
      </c>
    </row>
    <row r="4553" spans="1:16" x14ac:dyDescent="0.2">
      <c r="A4553" s="12">
        <f t="shared" ref="A4553:C4553" si="1156">A4552</f>
        <v>45965</v>
      </c>
      <c r="B4553" s="5" t="str">
        <f t="shared" si="1156"/>
        <v>Mourning Dove</v>
      </c>
      <c r="C4553" s="6">
        <f t="shared" si="1156"/>
        <v>0.29166666666666669</v>
      </c>
      <c r="D4553" s="5"/>
      <c r="E4553" s="5"/>
      <c r="F4553" s="5" t="str">
        <f t="shared" ref="F4553:G4553" si="1157">F4552</f>
        <v>None</v>
      </c>
      <c r="G4553" s="15" t="str">
        <f t="shared" si="1157"/>
        <v>None</v>
      </c>
      <c r="H4553" s="24">
        <f t="shared" si="961"/>
        <v>0</v>
      </c>
      <c r="I4553" s="24" t="str" cm="1">
        <f t="array" ref="I4553">IFERROR(IF($B4553=I$1, ($A4553+$C4553) - MAX(IF($B$2:$B4552=$B4553, $A$2:$A4552+$C$2:$C4552)), "")*24*60, "")</f>
        <v/>
      </c>
      <c r="J4553" s="24" t="str" cm="1">
        <f t="array" ref="J4553">IFERROR(IF($B4553=J$1, ($A4553+$C4553) - MAX(IF($B$2:$B4552=$B4553, $A$2:$A4552+$C$2:$C4552)), "")*24*60, "")</f>
        <v/>
      </c>
      <c r="K4553" s="24" t="str" cm="1">
        <f t="array" ref="K4553">IFERROR(IF($B4553=K$1, ($A4553+$C4553) - MAX(IF($B$2:$B4552=$B4553, $A$2:$A4552+$C$2:$C4552)), "")*24*60, "")</f>
        <v/>
      </c>
      <c r="L4553" s="24" t="str" cm="1">
        <f t="array" ref="L4553">IFERROR(IF($B4553=L$1, ($A4553+$C4553) - MAX(IF($B$2:$B4552=$B4553, $A$2:$A4552+$C$2:$C4552)), "")*24*60, "")</f>
        <v/>
      </c>
      <c r="M4553" s="24" t="str" cm="1">
        <f t="array" ref="M4553">IFERROR(IF($B4553=M$1, ($A4553+$C4553) - MAX(IF($B$2:$B4552=$B4553, $A$2:$A4552+$C$2:$C4552)), "")*24*60, "")</f>
        <v/>
      </c>
      <c r="N4553" s="24" t="str" cm="1">
        <f t="array" ref="N4553">IFERROR(IF($B4553=N$1, ($A4553+$C4553) - MAX(IF($B$2:$B4552=$B4553, $A$2:$A4552+$C$2:$C4552)), "")*24*60, "")</f>
        <v/>
      </c>
      <c r="O4553" s="24" cm="1">
        <f t="array" ref="O4553">IFERROR(IF($B4553=O$1, ($A4553+$C4553) - MAX(IF($B$2:$B4552=$B4553, $A$2:$A4552+$C$2:$C4552)), "")*24*60, "")</f>
        <v>0</v>
      </c>
      <c r="P4553" s="24" t="str" cm="1">
        <f t="array" ref="P4553">IFERROR(IF($B4553=P$1, ($A4553+$C4553) - MAX(IF($B$2:$B4552=$B4553, $A$2:$A4552+$C$2:$C4552)), "")*24*60, "")</f>
        <v/>
      </c>
    </row>
    <row r="4554" spans="1:16" x14ac:dyDescent="0.2">
      <c r="A4554" s="12">
        <f t="shared" ref="A4554:C4554" si="1158">A4553</f>
        <v>45965</v>
      </c>
      <c r="B4554" s="5" t="str">
        <f t="shared" si="1158"/>
        <v>Mourning Dove</v>
      </c>
      <c r="C4554" s="6">
        <f t="shared" si="1158"/>
        <v>0.29166666666666669</v>
      </c>
      <c r="D4554" s="5"/>
      <c r="E4554" s="5"/>
      <c r="F4554" s="5" t="str">
        <f t="shared" ref="F4554:G4554" si="1159">F4553</f>
        <v>None</v>
      </c>
      <c r="G4554" s="15" t="str">
        <f t="shared" si="1159"/>
        <v>None</v>
      </c>
      <c r="H4554" s="24">
        <f t="shared" si="961"/>
        <v>0</v>
      </c>
      <c r="I4554" s="24" t="str" cm="1">
        <f t="array" ref="I4554">IFERROR(IF($B4554=I$1, ($A4554+$C4554) - MAX(IF($B$2:$B4553=$B4554, $A$2:$A4553+$C$2:$C4553)), "")*24*60, "")</f>
        <v/>
      </c>
      <c r="J4554" s="24" t="str" cm="1">
        <f t="array" ref="J4554">IFERROR(IF($B4554=J$1, ($A4554+$C4554) - MAX(IF($B$2:$B4553=$B4554, $A$2:$A4553+$C$2:$C4553)), "")*24*60, "")</f>
        <v/>
      </c>
      <c r="K4554" s="24" t="str" cm="1">
        <f t="array" ref="K4554">IFERROR(IF($B4554=K$1, ($A4554+$C4554) - MAX(IF($B$2:$B4553=$B4554, $A$2:$A4553+$C$2:$C4553)), "")*24*60, "")</f>
        <v/>
      </c>
      <c r="L4554" s="24" t="str" cm="1">
        <f t="array" ref="L4554">IFERROR(IF($B4554=L$1, ($A4554+$C4554) - MAX(IF($B$2:$B4553=$B4554, $A$2:$A4553+$C$2:$C4553)), "")*24*60, "")</f>
        <v/>
      </c>
      <c r="M4554" s="24" t="str" cm="1">
        <f t="array" ref="M4554">IFERROR(IF($B4554=M$1, ($A4554+$C4554) - MAX(IF($B$2:$B4553=$B4554, $A$2:$A4553+$C$2:$C4553)), "")*24*60, "")</f>
        <v/>
      </c>
      <c r="N4554" s="24" t="str" cm="1">
        <f t="array" ref="N4554">IFERROR(IF($B4554=N$1, ($A4554+$C4554) - MAX(IF($B$2:$B4553=$B4554, $A$2:$A4553+$C$2:$C4553)), "")*24*60, "")</f>
        <v/>
      </c>
      <c r="O4554" s="24" cm="1">
        <f t="array" ref="O4554">IFERROR(IF($B4554=O$1, ($A4554+$C4554) - MAX(IF($B$2:$B4553=$B4554, $A$2:$A4553+$C$2:$C4553)), "")*24*60, "")</f>
        <v>0</v>
      </c>
      <c r="P4554" s="24" t="str" cm="1">
        <f t="array" ref="P4554">IFERROR(IF($B4554=P$1, ($A4554+$C4554) - MAX(IF($B$2:$B4553=$B4554, $A$2:$A4553+$C$2:$C4553)), "")*24*60, "")</f>
        <v/>
      </c>
    </row>
    <row r="4555" spans="1:16" x14ac:dyDescent="0.2">
      <c r="A4555" s="12">
        <f t="shared" ref="A4555:C4555" si="1160">A4554</f>
        <v>45965</v>
      </c>
      <c r="B4555" s="5" t="str">
        <f t="shared" si="1160"/>
        <v>Mourning Dove</v>
      </c>
      <c r="C4555" s="6">
        <f t="shared" si="1160"/>
        <v>0.29166666666666669</v>
      </c>
      <c r="D4555" s="5"/>
      <c r="E4555" s="5"/>
      <c r="F4555" s="5" t="str">
        <f t="shared" ref="F4555:G4555" si="1161">F4554</f>
        <v>None</v>
      </c>
      <c r="G4555" s="15" t="str">
        <f t="shared" si="1161"/>
        <v>None</v>
      </c>
      <c r="H4555" s="24">
        <f t="shared" si="961"/>
        <v>0</v>
      </c>
      <c r="I4555" s="24" t="str" cm="1">
        <f t="array" ref="I4555">IFERROR(IF($B4555=I$1, ($A4555+$C4555) - MAX(IF($B$2:$B4554=$B4555, $A$2:$A4554+$C$2:$C4554)), "")*24*60, "")</f>
        <v/>
      </c>
      <c r="J4555" s="24" t="str" cm="1">
        <f t="array" ref="J4555">IFERROR(IF($B4555=J$1, ($A4555+$C4555) - MAX(IF($B$2:$B4554=$B4555, $A$2:$A4554+$C$2:$C4554)), "")*24*60, "")</f>
        <v/>
      </c>
      <c r="K4555" s="24" t="str" cm="1">
        <f t="array" ref="K4555">IFERROR(IF($B4555=K$1, ($A4555+$C4555) - MAX(IF($B$2:$B4554=$B4555, $A$2:$A4554+$C$2:$C4554)), "")*24*60, "")</f>
        <v/>
      </c>
      <c r="L4555" s="24" t="str" cm="1">
        <f t="array" ref="L4555">IFERROR(IF($B4555=L$1, ($A4555+$C4555) - MAX(IF($B$2:$B4554=$B4555, $A$2:$A4554+$C$2:$C4554)), "")*24*60, "")</f>
        <v/>
      </c>
      <c r="M4555" s="24" t="str" cm="1">
        <f t="array" ref="M4555">IFERROR(IF($B4555=M$1, ($A4555+$C4555) - MAX(IF($B$2:$B4554=$B4555, $A$2:$A4554+$C$2:$C4554)), "")*24*60, "")</f>
        <v/>
      </c>
      <c r="N4555" s="24" t="str" cm="1">
        <f t="array" ref="N4555">IFERROR(IF($B4555=N$1, ($A4555+$C4555) - MAX(IF($B$2:$B4554=$B4555, $A$2:$A4554+$C$2:$C4554)), "")*24*60, "")</f>
        <v/>
      </c>
      <c r="O4555" s="24" cm="1">
        <f t="array" ref="O4555">IFERROR(IF($B4555=O$1, ($A4555+$C4555) - MAX(IF($B$2:$B4554=$B4555, $A$2:$A4554+$C$2:$C4554)), "")*24*60, "")</f>
        <v>0</v>
      </c>
      <c r="P4555" s="24" t="str" cm="1">
        <f t="array" ref="P4555">IFERROR(IF($B4555=P$1, ($A4555+$C4555) - MAX(IF($B$2:$B4554=$B4555, $A$2:$A4554+$C$2:$C4554)), "")*24*60, "")</f>
        <v/>
      </c>
    </row>
    <row r="4556" spans="1:16" x14ac:dyDescent="0.2">
      <c r="A4556" s="12">
        <f t="shared" ref="A4556:C4556" si="1162">A4555</f>
        <v>45965</v>
      </c>
      <c r="B4556" s="5" t="str">
        <f t="shared" si="1162"/>
        <v>Mourning Dove</v>
      </c>
      <c r="C4556" s="6">
        <f t="shared" si="1162"/>
        <v>0.29166666666666669</v>
      </c>
      <c r="D4556" s="5"/>
      <c r="E4556" s="5"/>
      <c r="F4556" s="5" t="str">
        <f t="shared" ref="F4556:G4556" si="1163">F4555</f>
        <v>None</v>
      </c>
      <c r="G4556" s="15" t="str">
        <f t="shared" si="1163"/>
        <v>None</v>
      </c>
      <c r="H4556" s="24">
        <f t="shared" si="961"/>
        <v>0</v>
      </c>
      <c r="I4556" s="24" t="str" cm="1">
        <f t="array" ref="I4556">IFERROR(IF($B4556=I$1, ($A4556+$C4556) - MAX(IF($B$2:$B4555=$B4556, $A$2:$A4555+$C$2:$C4555)), "")*24*60, "")</f>
        <v/>
      </c>
      <c r="J4556" s="24" t="str" cm="1">
        <f t="array" ref="J4556">IFERROR(IF($B4556=J$1, ($A4556+$C4556) - MAX(IF($B$2:$B4555=$B4556, $A$2:$A4555+$C$2:$C4555)), "")*24*60, "")</f>
        <v/>
      </c>
      <c r="K4556" s="24" t="str" cm="1">
        <f t="array" ref="K4556">IFERROR(IF($B4556=K$1, ($A4556+$C4556) - MAX(IF($B$2:$B4555=$B4556, $A$2:$A4555+$C$2:$C4555)), "")*24*60, "")</f>
        <v/>
      </c>
      <c r="L4556" s="24" t="str" cm="1">
        <f t="array" ref="L4556">IFERROR(IF($B4556=L$1, ($A4556+$C4556) - MAX(IF($B$2:$B4555=$B4556, $A$2:$A4555+$C$2:$C4555)), "")*24*60, "")</f>
        <v/>
      </c>
      <c r="M4556" s="24" t="str" cm="1">
        <f t="array" ref="M4556">IFERROR(IF($B4556=M$1, ($A4556+$C4556) - MAX(IF($B$2:$B4555=$B4556, $A$2:$A4555+$C$2:$C4555)), "")*24*60, "")</f>
        <v/>
      </c>
      <c r="N4556" s="24" t="str" cm="1">
        <f t="array" ref="N4556">IFERROR(IF($B4556=N$1, ($A4556+$C4556) - MAX(IF($B$2:$B4555=$B4556, $A$2:$A4555+$C$2:$C4555)), "")*24*60, "")</f>
        <v/>
      </c>
      <c r="O4556" s="24" cm="1">
        <f t="array" ref="O4556">IFERROR(IF($B4556=O$1, ($A4556+$C4556) - MAX(IF($B$2:$B4555=$B4556, $A$2:$A4555+$C$2:$C4555)), "")*24*60, "")</f>
        <v>0</v>
      </c>
      <c r="P4556" s="24" t="str" cm="1">
        <f t="array" ref="P4556">IFERROR(IF($B4556=P$1, ($A4556+$C4556) - MAX(IF($B$2:$B4555=$B4556, $A$2:$A4555+$C$2:$C4555)), "")*24*60, "")</f>
        <v/>
      </c>
    </row>
    <row r="4557" spans="1:16" x14ac:dyDescent="0.2">
      <c r="A4557" s="12">
        <f t="shared" ref="A4557:C4557" si="1164">A4556</f>
        <v>45965</v>
      </c>
      <c r="B4557" s="5" t="str">
        <f t="shared" si="1164"/>
        <v>Mourning Dove</v>
      </c>
      <c r="C4557" s="6">
        <f t="shared" si="1164"/>
        <v>0.29166666666666669</v>
      </c>
      <c r="D4557" s="5"/>
      <c r="E4557" s="5"/>
      <c r="F4557" s="5" t="str">
        <f t="shared" ref="F4557:G4557" si="1165">F4556</f>
        <v>None</v>
      </c>
      <c r="G4557" s="15" t="str">
        <f t="shared" si="1165"/>
        <v>None</v>
      </c>
      <c r="H4557" s="24">
        <f t="shared" si="961"/>
        <v>0</v>
      </c>
      <c r="I4557" s="24" t="str" cm="1">
        <f t="array" ref="I4557">IFERROR(IF($B4557=I$1, ($A4557+$C4557) - MAX(IF($B$2:$B4556=$B4557, $A$2:$A4556+$C$2:$C4556)), "")*24*60, "")</f>
        <v/>
      </c>
      <c r="J4557" s="24" t="str" cm="1">
        <f t="array" ref="J4557">IFERROR(IF($B4557=J$1, ($A4557+$C4557) - MAX(IF($B$2:$B4556=$B4557, $A$2:$A4556+$C$2:$C4556)), "")*24*60, "")</f>
        <v/>
      </c>
      <c r="K4557" s="24" t="str" cm="1">
        <f t="array" ref="K4557">IFERROR(IF($B4557=K$1, ($A4557+$C4557) - MAX(IF($B$2:$B4556=$B4557, $A$2:$A4556+$C$2:$C4556)), "")*24*60, "")</f>
        <v/>
      </c>
      <c r="L4557" s="24" t="str" cm="1">
        <f t="array" ref="L4557">IFERROR(IF($B4557=L$1, ($A4557+$C4557) - MAX(IF($B$2:$B4556=$B4557, $A$2:$A4556+$C$2:$C4556)), "")*24*60, "")</f>
        <v/>
      </c>
      <c r="M4557" s="24" t="str" cm="1">
        <f t="array" ref="M4557">IFERROR(IF($B4557=M$1, ($A4557+$C4557) - MAX(IF($B$2:$B4556=$B4557, $A$2:$A4556+$C$2:$C4556)), "")*24*60, "")</f>
        <v/>
      </c>
      <c r="N4557" s="24" t="str" cm="1">
        <f t="array" ref="N4557">IFERROR(IF($B4557=N$1, ($A4557+$C4557) - MAX(IF($B$2:$B4556=$B4557, $A$2:$A4556+$C$2:$C4556)), "")*24*60, "")</f>
        <v/>
      </c>
      <c r="O4557" s="24" cm="1">
        <f t="array" ref="O4557">IFERROR(IF($B4557=O$1, ($A4557+$C4557) - MAX(IF($B$2:$B4556=$B4557, $A$2:$A4556+$C$2:$C4556)), "")*24*60, "")</f>
        <v>0</v>
      </c>
      <c r="P4557" s="24" t="str" cm="1">
        <f t="array" ref="P4557">IFERROR(IF($B4557=P$1, ($A4557+$C4557) - MAX(IF($B$2:$B4556=$B4557, $A$2:$A4556+$C$2:$C4556)), "")*24*60, "")</f>
        <v/>
      </c>
    </row>
    <row r="4558" spans="1:16" x14ac:dyDescent="0.2">
      <c r="A4558" s="12">
        <f t="shared" ref="A4558:C4558" si="1166">A4557</f>
        <v>45965</v>
      </c>
      <c r="B4558" s="5" t="str">
        <f t="shared" si="1166"/>
        <v>Mourning Dove</v>
      </c>
      <c r="C4558" s="6">
        <f t="shared" si="1166"/>
        <v>0.29166666666666669</v>
      </c>
      <c r="D4558" s="5"/>
      <c r="E4558" s="5"/>
      <c r="F4558" s="5" t="str">
        <f t="shared" ref="F4558:G4558" si="1167">F4557</f>
        <v>None</v>
      </c>
      <c r="G4558" s="15" t="str">
        <f t="shared" si="1167"/>
        <v>None</v>
      </c>
      <c r="H4558" s="24">
        <f t="shared" si="961"/>
        <v>0</v>
      </c>
      <c r="I4558" s="24" t="str" cm="1">
        <f t="array" ref="I4558">IFERROR(IF($B4558=I$1, ($A4558+$C4558) - MAX(IF($B$2:$B4557=$B4558, $A$2:$A4557+$C$2:$C4557)), "")*24*60, "")</f>
        <v/>
      </c>
      <c r="J4558" s="24" t="str" cm="1">
        <f t="array" ref="J4558">IFERROR(IF($B4558=J$1, ($A4558+$C4558) - MAX(IF($B$2:$B4557=$B4558, $A$2:$A4557+$C$2:$C4557)), "")*24*60, "")</f>
        <v/>
      </c>
      <c r="K4558" s="24" t="str" cm="1">
        <f t="array" ref="K4558">IFERROR(IF($B4558=K$1, ($A4558+$C4558) - MAX(IF($B$2:$B4557=$B4558, $A$2:$A4557+$C$2:$C4557)), "")*24*60, "")</f>
        <v/>
      </c>
      <c r="L4558" s="24" t="str" cm="1">
        <f t="array" ref="L4558">IFERROR(IF($B4558=L$1, ($A4558+$C4558) - MAX(IF($B$2:$B4557=$B4558, $A$2:$A4557+$C$2:$C4557)), "")*24*60, "")</f>
        <v/>
      </c>
      <c r="M4558" s="24" t="str" cm="1">
        <f t="array" ref="M4558">IFERROR(IF($B4558=M$1, ($A4558+$C4558) - MAX(IF($B$2:$B4557=$B4558, $A$2:$A4557+$C$2:$C4557)), "")*24*60, "")</f>
        <v/>
      </c>
      <c r="N4558" s="24" t="str" cm="1">
        <f t="array" ref="N4558">IFERROR(IF($B4558=N$1, ($A4558+$C4558) - MAX(IF($B$2:$B4557=$B4558, $A$2:$A4557+$C$2:$C4557)), "")*24*60, "")</f>
        <v/>
      </c>
      <c r="O4558" s="24" cm="1">
        <f t="array" ref="O4558">IFERROR(IF($B4558=O$1, ($A4558+$C4558) - MAX(IF($B$2:$B4557=$B4558, $A$2:$A4557+$C$2:$C4557)), "")*24*60, "")</f>
        <v>0</v>
      </c>
      <c r="P4558" s="24" t="str" cm="1">
        <f t="array" ref="P4558">IFERROR(IF($B4558=P$1, ($A4558+$C4558) - MAX(IF($B$2:$B4557=$B4558, $A$2:$A4557+$C$2:$C4557)), "")*24*60, "")</f>
        <v/>
      </c>
    </row>
    <row r="4559" spans="1:16" x14ac:dyDescent="0.2">
      <c r="A4559" s="12">
        <f t="shared" ref="A4559:C4559" si="1168">A4558</f>
        <v>45965</v>
      </c>
      <c r="B4559" s="5" t="str">
        <f t="shared" si="1168"/>
        <v>Mourning Dove</v>
      </c>
      <c r="C4559" s="6">
        <f t="shared" si="1168"/>
        <v>0.29166666666666669</v>
      </c>
      <c r="D4559" s="5"/>
      <c r="E4559" s="5"/>
      <c r="F4559" s="5" t="str">
        <f t="shared" ref="F4559:G4559" si="1169">F4558</f>
        <v>None</v>
      </c>
      <c r="G4559" s="15" t="str">
        <f t="shared" si="1169"/>
        <v>None</v>
      </c>
      <c r="H4559" s="24">
        <f t="shared" si="961"/>
        <v>0</v>
      </c>
      <c r="I4559" s="24" t="str" cm="1">
        <f t="array" ref="I4559">IFERROR(IF($B4559=I$1, ($A4559+$C4559) - MAX(IF($B$2:$B4558=$B4559, $A$2:$A4558+$C$2:$C4558)), "")*24*60, "")</f>
        <v/>
      </c>
      <c r="J4559" s="24" t="str" cm="1">
        <f t="array" ref="J4559">IFERROR(IF($B4559=J$1, ($A4559+$C4559) - MAX(IF($B$2:$B4558=$B4559, $A$2:$A4558+$C$2:$C4558)), "")*24*60, "")</f>
        <v/>
      </c>
      <c r="K4559" s="24" t="str" cm="1">
        <f t="array" ref="K4559">IFERROR(IF($B4559=K$1, ($A4559+$C4559) - MAX(IF($B$2:$B4558=$B4559, $A$2:$A4558+$C$2:$C4558)), "")*24*60, "")</f>
        <v/>
      </c>
      <c r="L4559" s="24" t="str" cm="1">
        <f t="array" ref="L4559">IFERROR(IF($B4559=L$1, ($A4559+$C4559) - MAX(IF($B$2:$B4558=$B4559, $A$2:$A4558+$C$2:$C4558)), "")*24*60, "")</f>
        <v/>
      </c>
      <c r="M4559" s="24" t="str" cm="1">
        <f t="array" ref="M4559">IFERROR(IF($B4559=M$1, ($A4559+$C4559) - MAX(IF($B$2:$B4558=$B4559, $A$2:$A4558+$C$2:$C4558)), "")*24*60, "")</f>
        <v/>
      </c>
      <c r="N4559" s="24" t="str" cm="1">
        <f t="array" ref="N4559">IFERROR(IF($B4559=N$1, ($A4559+$C4559) - MAX(IF($B$2:$B4558=$B4559, $A$2:$A4558+$C$2:$C4558)), "")*24*60, "")</f>
        <v/>
      </c>
      <c r="O4559" s="24" cm="1">
        <f t="array" ref="O4559">IFERROR(IF($B4559=O$1, ($A4559+$C4559) - MAX(IF($B$2:$B4558=$B4559, $A$2:$A4558+$C$2:$C4558)), "")*24*60, "")</f>
        <v>0</v>
      </c>
      <c r="P4559" s="24" t="str" cm="1">
        <f t="array" ref="P4559">IFERROR(IF($B4559=P$1, ($A4559+$C4559) - MAX(IF($B$2:$B4558=$B4559, $A$2:$A4558+$C$2:$C4558)), "")*24*60, "")</f>
        <v/>
      </c>
    </row>
    <row r="4560" spans="1:16" x14ac:dyDescent="0.2">
      <c r="A4560" s="12">
        <f t="shared" ref="A4560:C4560" si="1170">A4559</f>
        <v>45965</v>
      </c>
      <c r="B4560" s="5" t="str">
        <f t="shared" si="1170"/>
        <v>Mourning Dove</v>
      </c>
      <c r="C4560" s="6">
        <f t="shared" si="1170"/>
        <v>0.29166666666666669</v>
      </c>
      <c r="D4560" s="5"/>
      <c r="E4560" s="5"/>
      <c r="F4560" s="5" t="str">
        <f t="shared" ref="F4560:G4560" si="1171">F4559</f>
        <v>None</v>
      </c>
      <c r="G4560" s="15" t="str">
        <f t="shared" si="1171"/>
        <v>None</v>
      </c>
      <c r="H4560" s="24">
        <f t="shared" si="961"/>
        <v>0</v>
      </c>
      <c r="I4560" s="24" t="str" cm="1">
        <f t="array" ref="I4560">IFERROR(IF($B4560=I$1, ($A4560+$C4560) - MAX(IF($B$2:$B4559=$B4560, $A$2:$A4559+$C$2:$C4559)), "")*24*60, "")</f>
        <v/>
      </c>
      <c r="J4560" s="24" t="str" cm="1">
        <f t="array" ref="J4560">IFERROR(IF($B4560=J$1, ($A4560+$C4560) - MAX(IF($B$2:$B4559=$B4560, $A$2:$A4559+$C$2:$C4559)), "")*24*60, "")</f>
        <v/>
      </c>
      <c r="K4560" s="24" t="str" cm="1">
        <f t="array" ref="K4560">IFERROR(IF($B4560=K$1, ($A4560+$C4560) - MAX(IF($B$2:$B4559=$B4560, $A$2:$A4559+$C$2:$C4559)), "")*24*60, "")</f>
        <v/>
      </c>
      <c r="L4560" s="24" t="str" cm="1">
        <f t="array" ref="L4560">IFERROR(IF($B4560=L$1, ($A4560+$C4560) - MAX(IF($B$2:$B4559=$B4560, $A$2:$A4559+$C$2:$C4559)), "")*24*60, "")</f>
        <v/>
      </c>
      <c r="M4560" s="24" t="str" cm="1">
        <f t="array" ref="M4560">IFERROR(IF($B4560=M$1, ($A4560+$C4560) - MAX(IF($B$2:$B4559=$B4560, $A$2:$A4559+$C$2:$C4559)), "")*24*60, "")</f>
        <v/>
      </c>
      <c r="N4560" s="24" t="str" cm="1">
        <f t="array" ref="N4560">IFERROR(IF($B4560=N$1, ($A4560+$C4560) - MAX(IF($B$2:$B4559=$B4560, $A$2:$A4559+$C$2:$C4559)), "")*24*60, "")</f>
        <v/>
      </c>
      <c r="O4560" s="24" cm="1">
        <f t="array" ref="O4560">IFERROR(IF($B4560=O$1, ($A4560+$C4560) - MAX(IF($B$2:$B4559=$B4560, $A$2:$A4559+$C$2:$C4559)), "")*24*60, "")</f>
        <v>0</v>
      </c>
      <c r="P4560" s="24" t="str" cm="1">
        <f t="array" ref="P4560">IFERROR(IF($B4560=P$1, ($A4560+$C4560) - MAX(IF($B$2:$B4559=$B4560, $A$2:$A4559+$C$2:$C4559)), "")*24*60, "")</f>
        <v/>
      </c>
    </row>
    <row r="4561" spans="1:16" x14ac:dyDescent="0.2">
      <c r="A4561" s="12">
        <f t="shared" ref="A4561:C4561" si="1172">A4560</f>
        <v>45965</v>
      </c>
      <c r="B4561" s="5" t="str">
        <f t="shared" si="1172"/>
        <v>Mourning Dove</v>
      </c>
      <c r="C4561" s="6">
        <f t="shared" si="1172"/>
        <v>0.29166666666666669</v>
      </c>
      <c r="D4561" s="5"/>
      <c r="E4561" s="5"/>
      <c r="F4561" s="5" t="str">
        <f t="shared" ref="F4561:G4561" si="1173">F4560</f>
        <v>None</v>
      </c>
      <c r="G4561" s="15" t="str">
        <f t="shared" si="1173"/>
        <v>None</v>
      </c>
      <c r="H4561" s="24">
        <f t="shared" si="961"/>
        <v>0</v>
      </c>
      <c r="I4561" s="24" t="str" cm="1">
        <f t="array" ref="I4561">IFERROR(IF($B4561=I$1, ($A4561+$C4561) - MAX(IF($B$2:$B4560=$B4561, $A$2:$A4560+$C$2:$C4560)), "")*24*60, "")</f>
        <v/>
      </c>
      <c r="J4561" s="24" t="str" cm="1">
        <f t="array" ref="J4561">IFERROR(IF($B4561=J$1, ($A4561+$C4561) - MAX(IF($B$2:$B4560=$B4561, $A$2:$A4560+$C$2:$C4560)), "")*24*60, "")</f>
        <v/>
      </c>
      <c r="K4561" s="24" t="str" cm="1">
        <f t="array" ref="K4561">IFERROR(IF($B4561=K$1, ($A4561+$C4561) - MAX(IF($B$2:$B4560=$B4561, $A$2:$A4560+$C$2:$C4560)), "")*24*60, "")</f>
        <v/>
      </c>
      <c r="L4561" s="24" t="str" cm="1">
        <f t="array" ref="L4561">IFERROR(IF($B4561=L$1, ($A4561+$C4561) - MAX(IF($B$2:$B4560=$B4561, $A$2:$A4560+$C$2:$C4560)), "")*24*60, "")</f>
        <v/>
      </c>
      <c r="M4561" s="24" t="str" cm="1">
        <f t="array" ref="M4561">IFERROR(IF($B4561=M$1, ($A4561+$C4561) - MAX(IF($B$2:$B4560=$B4561, $A$2:$A4560+$C$2:$C4560)), "")*24*60, "")</f>
        <v/>
      </c>
      <c r="N4561" s="24" t="str" cm="1">
        <f t="array" ref="N4561">IFERROR(IF($B4561=N$1, ($A4561+$C4561) - MAX(IF($B$2:$B4560=$B4561, $A$2:$A4560+$C$2:$C4560)), "")*24*60, "")</f>
        <v/>
      </c>
      <c r="O4561" s="24" cm="1">
        <f t="array" ref="O4561">IFERROR(IF($B4561=O$1, ($A4561+$C4561) - MAX(IF($B$2:$B4560=$B4561, $A$2:$A4560+$C$2:$C4560)), "")*24*60, "")</f>
        <v>0</v>
      </c>
      <c r="P4561" s="24" t="str" cm="1">
        <f t="array" ref="P4561">IFERROR(IF($B4561=P$1, ($A4561+$C4561) - MAX(IF($B$2:$B4560=$B4561, $A$2:$A4560+$C$2:$C4560)), "")*24*60, "")</f>
        <v/>
      </c>
    </row>
    <row r="4562" spans="1:16" x14ac:dyDescent="0.2">
      <c r="A4562" s="12">
        <f t="shared" ref="A4562:C4562" si="1174">A4561</f>
        <v>45965</v>
      </c>
      <c r="B4562" s="5" t="str">
        <f t="shared" si="1174"/>
        <v>Mourning Dove</v>
      </c>
      <c r="C4562" s="6">
        <f t="shared" si="1174"/>
        <v>0.29166666666666669</v>
      </c>
      <c r="D4562" s="5"/>
      <c r="E4562" s="5"/>
      <c r="F4562" s="5" t="str">
        <f t="shared" ref="F4562:G4562" si="1175">F4561</f>
        <v>None</v>
      </c>
      <c r="G4562" s="15" t="str">
        <f t="shared" si="1175"/>
        <v>None</v>
      </c>
      <c r="H4562" s="24">
        <f t="shared" si="961"/>
        <v>0</v>
      </c>
      <c r="I4562" s="24" t="str" cm="1">
        <f t="array" ref="I4562">IFERROR(IF($B4562=I$1, ($A4562+$C4562) - MAX(IF($B$2:$B4561=$B4562, $A$2:$A4561+$C$2:$C4561)), "")*24*60, "")</f>
        <v/>
      </c>
      <c r="J4562" s="24" t="str" cm="1">
        <f t="array" ref="J4562">IFERROR(IF($B4562=J$1, ($A4562+$C4562) - MAX(IF($B$2:$B4561=$B4562, $A$2:$A4561+$C$2:$C4561)), "")*24*60, "")</f>
        <v/>
      </c>
      <c r="K4562" s="24" t="str" cm="1">
        <f t="array" ref="K4562">IFERROR(IF($B4562=K$1, ($A4562+$C4562) - MAX(IF($B$2:$B4561=$B4562, $A$2:$A4561+$C$2:$C4561)), "")*24*60, "")</f>
        <v/>
      </c>
      <c r="L4562" s="24" t="str" cm="1">
        <f t="array" ref="L4562">IFERROR(IF($B4562=L$1, ($A4562+$C4562) - MAX(IF($B$2:$B4561=$B4562, $A$2:$A4561+$C$2:$C4561)), "")*24*60, "")</f>
        <v/>
      </c>
      <c r="M4562" s="24" t="str" cm="1">
        <f t="array" ref="M4562">IFERROR(IF($B4562=M$1, ($A4562+$C4562) - MAX(IF($B$2:$B4561=$B4562, $A$2:$A4561+$C$2:$C4561)), "")*24*60, "")</f>
        <v/>
      </c>
      <c r="N4562" s="24" t="str" cm="1">
        <f t="array" ref="N4562">IFERROR(IF($B4562=N$1, ($A4562+$C4562) - MAX(IF($B$2:$B4561=$B4562, $A$2:$A4561+$C$2:$C4561)), "")*24*60, "")</f>
        <v/>
      </c>
      <c r="O4562" s="24" cm="1">
        <f t="array" ref="O4562">IFERROR(IF($B4562=O$1, ($A4562+$C4562) - MAX(IF($B$2:$B4561=$B4562, $A$2:$A4561+$C$2:$C4561)), "")*24*60, "")</f>
        <v>0</v>
      </c>
      <c r="P4562" s="24" t="str" cm="1">
        <f t="array" ref="P4562">IFERROR(IF($B4562=P$1, ($A4562+$C4562) - MAX(IF($B$2:$B4561=$B4562, $A$2:$A4561+$C$2:$C4561)), "")*24*60, "")</f>
        <v/>
      </c>
    </row>
    <row r="4563" spans="1:16" x14ac:dyDescent="0.2">
      <c r="A4563" s="12">
        <f t="shared" ref="A4563:C4563" si="1176">A4562</f>
        <v>45965</v>
      </c>
      <c r="B4563" s="5" t="str">
        <f t="shared" si="1176"/>
        <v>Mourning Dove</v>
      </c>
      <c r="C4563" s="6">
        <f t="shared" si="1176"/>
        <v>0.29166666666666669</v>
      </c>
      <c r="D4563" s="5"/>
      <c r="E4563" s="5"/>
      <c r="F4563" s="5" t="str">
        <f t="shared" ref="F4563:G4563" si="1177">F4562</f>
        <v>None</v>
      </c>
      <c r="G4563" s="15" t="str">
        <f t="shared" si="1177"/>
        <v>None</v>
      </c>
      <c r="H4563" s="24">
        <f t="shared" si="961"/>
        <v>0</v>
      </c>
      <c r="I4563" s="24" t="str" cm="1">
        <f t="array" ref="I4563">IFERROR(IF($B4563=I$1, ($A4563+$C4563) - MAX(IF($B$2:$B4562=$B4563, $A$2:$A4562+$C$2:$C4562)), "")*24*60, "")</f>
        <v/>
      </c>
      <c r="J4563" s="24" t="str" cm="1">
        <f t="array" ref="J4563">IFERROR(IF($B4563=J$1, ($A4563+$C4563) - MAX(IF($B$2:$B4562=$B4563, $A$2:$A4562+$C$2:$C4562)), "")*24*60, "")</f>
        <v/>
      </c>
      <c r="K4563" s="24" t="str" cm="1">
        <f t="array" ref="K4563">IFERROR(IF($B4563=K$1, ($A4563+$C4563) - MAX(IF($B$2:$B4562=$B4563, $A$2:$A4562+$C$2:$C4562)), "")*24*60, "")</f>
        <v/>
      </c>
      <c r="L4563" s="24" t="str" cm="1">
        <f t="array" ref="L4563">IFERROR(IF($B4563=L$1, ($A4563+$C4563) - MAX(IF($B$2:$B4562=$B4563, $A$2:$A4562+$C$2:$C4562)), "")*24*60, "")</f>
        <v/>
      </c>
      <c r="M4563" s="24" t="str" cm="1">
        <f t="array" ref="M4563">IFERROR(IF($B4563=M$1, ($A4563+$C4563) - MAX(IF($B$2:$B4562=$B4563, $A$2:$A4562+$C$2:$C4562)), "")*24*60, "")</f>
        <v/>
      </c>
      <c r="N4563" s="24" t="str" cm="1">
        <f t="array" ref="N4563">IFERROR(IF($B4563=N$1, ($A4563+$C4563) - MAX(IF($B$2:$B4562=$B4563, $A$2:$A4562+$C$2:$C4562)), "")*24*60, "")</f>
        <v/>
      </c>
      <c r="O4563" s="24" cm="1">
        <f t="array" ref="O4563">IFERROR(IF($B4563=O$1, ($A4563+$C4563) - MAX(IF($B$2:$B4562=$B4563, $A$2:$A4562+$C$2:$C4562)), "")*24*60, "")</f>
        <v>0</v>
      </c>
      <c r="P4563" s="24" t="str" cm="1">
        <f t="array" ref="P4563">IFERROR(IF($B4563=P$1, ($A4563+$C4563) - MAX(IF($B$2:$B4562=$B4563, $A$2:$A4562+$C$2:$C4562)), "")*24*60, "")</f>
        <v/>
      </c>
    </row>
    <row r="4564" spans="1:16" x14ac:dyDescent="0.2">
      <c r="A4564" s="12">
        <f t="shared" ref="A4564:C4564" si="1178">A4563</f>
        <v>45965</v>
      </c>
      <c r="B4564" s="5" t="str">
        <f t="shared" si="1178"/>
        <v>Mourning Dove</v>
      </c>
      <c r="C4564" s="6">
        <f t="shared" si="1178"/>
        <v>0.29166666666666669</v>
      </c>
      <c r="D4564" s="5"/>
      <c r="E4564" s="5"/>
      <c r="F4564" s="5" t="str">
        <f t="shared" ref="F4564:G4564" si="1179">F4563</f>
        <v>None</v>
      </c>
      <c r="G4564" s="15" t="str">
        <f t="shared" si="1179"/>
        <v>None</v>
      </c>
      <c r="H4564" s="24">
        <f t="shared" si="961"/>
        <v>0</v>
      </c>
      <c r="I4564" s="24" t="str" cm="1">
        <f t="array" ref="I4564">IFERROR(IF($B4564=I$1, ($A4564+$C4564) - MAX(IF($B$2:$B4563=$B4564, $A$2:$A4563+$C$2:$C4563)), "")*24*60, "")</f>
        <v/>
      </c>
      <c r="J4564" s="24" t="str" cm="1">
        <f t="array" ref="J4564">IFERROR(IF($B4564=J$1, ($A4564+$C4564) - MAX(IF($B$2:$B4563=$B4564, $A$2:$A4563+$C$2:$C4563)), "")*24*60, "")</f>
        <v/>
      </c>
      <c r="K4564" s="24" t="str" cm="1">
        <f t="array" ref="K4564">IFERROR(IF($B4564=K$1, ($A4564+$C4564) - MAX(IF($B$2:$B4563=$B4564, $A$2:$A4563+$C$2:$C4563)), "")*24*60, "")</f>
        <v/>
      </c>
      <c r="L4564" s="24" t="str" cm="1">
        <f t="array" ref="L4564">IFERROR(IF($B4564=L$1, ($A4564+$C4564) - MAX(IF($B$2:$B4563=$B4564, $A$2:$A4563+$C$2:$C4563)), "")*24*60, "")</f>
        <v/>
      </c>
      <c r="M4564" s="24" t="str" cm="1">
        <f t="array" ref="M4564">IFERROR(IF($B4564=M$1, ($A4564+$C4564) - MAX(IF($B$2:$B4563=$B4564, $A$2:$A4563+$C$2:$C4563)), "")*24*60, "")</f>
        <v/>
      </c>
      <c r="N4564" s="24" t="str" cm="1">
        <f t="array" ref="N4564">IFERROR(IF($B4564=N$1, ($A4564+$C4564) - MAX(IF($B$2:$B4563=$B4564, $A$2:$A4563+$C$2:$C4563)), "")*24*60, "")</f>
        <v/>
      </c>
      <c r="O4564" s="24" cm="1">
        <f t="array" ref="O4564">IFERROR(IF($B4564=O$1, ($A4564+$C4564) - MAX(IF($B$2:$B4563=$B4564, $A$2:$A4563+$C$2:$C4563)), "")*24*60, "")</f>
        <v>0</v>
      </c>
      <c r="P4564" s="24" t="str" cm="1">
        <f t="array" ref="P4564">IFERROR(IF($B4564=P$1, ($A4564+$C4564) - MAX(IF($B$2:$B4563=$B4564, $A$2:$A4563+$C$2:$C4563)), "")*24*60, "")</f>
        <v/>
      </c>
    </row>
    <row r="4565" spans="1:16" x14ac:dyDescent="0.2">
      <c r="A4565" s="12">
        <f t="shared" ref="A4565:C4565" si="1180">A4564</f>
        <v>45965</v>
      </c>
      <c r="B4565" s="5" t="str">
        <f t="shared" si="1180"/>
        <v>Mourning Dove</v>
      </c>
      <c r="C4565" s="6">
        <f t="shared" si="1180"/>
        <v>0.29166666666666669</v>
      </c>
      <c r="D4565" s="5"/>
      <c r="E4565" s="5"/>
      <c r="F4565" s="5" t="str">
        <f t="shared" ref="F4565:G4565" si="1181">F4564</f>
        <v>None</v>
      </c>
      <c r="G4565" s="15" t="str">
        <f t="shared" si="1181"/>
        <v>None</v>
      </c>
      <c r="H4565" s="24">
        <f t="shared" si="961"/>
        <v>0</v>
      </c>
      <c r="I4565" s="24" t="str" cm="1">
        <f t="array" ref="I4565">IFERROR(IF($B4565=I$1, ($A4565+$C4565) - MAX(IF($B$2:$B4564=$B4565, $A$2:$A4564+$C$2:$C4564)), "")*24*60, "")</f>
        <v/>
      </c>
      <c r="J4565" s="24" t="str" cm="1">
        <f t="array" ref="J4565">IFERROR(IF($B4565=J$1, ($A4565+$C4565) - MAX(IF($B$2:$B4564=$B4565, $A$2:$A4564+$C$2:$C4564)), "")*24*60, "")</f>
        <v/>
      </c>
      <c r="K4565" s="24" t="str" cm="1">
        <f t="array" ref="K4565">IFERROR(IF($B4565=K$1, ($A4565+$C4565) - MAX(IF($B$2:$B4564=$B4565, $A$2:$A4564+$C$2:$C4564)), "")*24*60, "")</f>
        <v/>
      </c>
      <c r="L4565" s="24" t="str" cm="1">
        <f t="array" ref="L4565">IFERROR(IF($B4565=L$1, ($A4565+$C4565) - MAX(IF($B$2:$B4564=$B4565, $A$2:$A4564+$C$2:$C4564)), "")*24*60, "")</f>
        <v/>
      </c>
      <c r="M4565" s="24" t="str" cm="1">
        <f t="array" ref="M4565">IFERROR(IF($B4565=M$1, ($A4565+$C4565) - MAX(IF($B$2:$B4564=$B4565, $A$2:$A4564+$C$2:$C4564)), "")*24*60, "")</f>
        <v/>
      </c>
      <c r="N4565" s="24" t="str" cm="1">
        <f t="array" ref="N4565">IFERROR(IF($B4565=N$1, ($A4565+$C4565) - MAX(IF($B$2:$B4564=$B4565, $A$2:$A4564+$C$2:$C4564)), "")*24*60, "")</f>
        <v/>
      </c>
      <c r="O4565" s="24" cm="1">
        <f t="array" ref="O4565">IFERROR(IF($B4565=O$1, ($A4565+$C4565) - MAX(IF($B$2:$B4564=$B4565, $A$2:$A4564+$C$2:$C4564)), "")*24*60, "")</f>
        <v>0</v>
      </c>
      <c r="P4565" s="24" t="str" cm="1">
        <f t="array" ref="P4565">IFERROR(IF($B4565=P$1, ($A4565+$C4565) - MAX(IF($B$2:$B4564=$B4565, $A$2:$A4564+$C$2:$C4564)), "")*24*60, "")</f>
        <v/>
      </c>
    </row>
    <row r="4566" spans="1:16" x14ac:dyDescent="0.2">
      <c r="A4566" s="12">
        <f t="shared" ref="A4566:C4566" si="1182">A4565</f>
        <v>45965</v>
      </c>
      <c r="B4566" s="5" t="str">
        <f t="shared" si="1182"/>
        <v>Mourning Dove</v>
      </c>
      <c r="C4566" s="6">
        <f t="shared" si="1182"/>
        <v>0.29166666666666669</v>
      </c>
      <c r="D4566" s="5"/>
      <c r="E4566" s="5"/>
      <c r="F4566" s="5" t="str">
        <f t="shared" ref="F4566:G4566" si="1183">F4565</f>
        <v>None</v>
      </c>
      <c r="G4566" s="15" t="str">
        <f t="shared" si="1183"/>
        <v>None</v>
      </c>
      <c r="H4566" s="24">
        <f t="shared" si="961"/>
        <v>0</v>
      </c>
      <c r="I4566" s="24" t="str" cm="1">
        <f t="array" ref="I4566">IFERROR(IF($B4566=I$1, ($A4566+$C4566) - MAX(IF($B$2:$B4565=$B4566, $A$2:$A4565+$C$2:$C4565)), "")*24*60, "")</f>
        <v/>
      </c>
      <c r="J4566" s="24" t="str" cm="1">
        <f t="array" ref="J4566">IFERROR(IF($B4566=J$1, ($A4566+$C4566) - MAX(IF($B$2:$B4565=$B4566, $A$2:$A4565+$C$2:$C4565)), "")*24*60, "")</f>
        <v/>
      </c>
      <c r="K4566" s="24" t="str" cm="1">
        <f t="array" ref="K4566">IFERROR(IF($B4566=K$1, ($A4566+$C4566) - MAX(IF($B$2:$B4565=$B4566, $A$2:$A4565+$C$2:$C4565)), "")*24*60, "")</f>
        <v/>
      </c>
      <c r="L4566" s="24" t="str" cm="1">
        <f t="array" ref="L4566">IFERROR(IF($B4566=L$1, ($A4566+$C4566) - MAX(IF($B$2:$B4565=$B4566, $A$2:$A4565+$C$2:$C4565)), "")*24*60, "")</f>
        <v/>
      </c>
      <c r="M4566" s="24" t="str" cm="1">
        <f t="array" ref="M4566">IFERROR(IF($B4566=M$1, ($A4566+$C4566) - MAX(IF($B$2:$B4565=$B4566, $A$2:$A4565+$C$2:$C4565)), "")*24*60, "")</f>
        <v/>
      </c>
      <c r="N4566" s="24" t="str" cm="1">
        <f t="array" ref="N4566">IFERROR(IF($B4566=N$1, ($A4566+$C4566) - MAX(IF($B$2:$B4565=$B4566, $A$2:$A4565+$C$2:$C4565)), "")*24*60, "")</f>
        <v/>
      </c>
      <c r="O4566" s="24" cm="1">
        <f t="array" ref="O4566">IFERROR(IF($B4566=O$1, ($A4566+$C4566) - MAX(IF($B$2:$B4565=$B4566, $A$2:$A4565+$C$2:$C4565)), "")*24*60, "")</f>
        <v>0</v>
      </c>
      <c r="P4566" s="24" t="str" cm="1">
        <f t="array" ref="P4566">IFERROR(IF($B4566=P$1, ($A4566+$C4566) - MAX(IF($B$2:$B4565=$B4566, $A$2:$A4565+$C$2:$C4565)), "")*24*60, "")</f>
        <v/>
      </c>
    </row>
    <row r="4567" spans="1:16" x14ac:dyDescent="0.2">
      <c r="A4567" s="12">
        <f t="shared" ref="A4567:C4567" si="1184">A4566</f>
        <v>45965</v>
      </c>
      <c r="B4567" s="5" t="str">
        <f t="shared" si="1184"/>
        <v>Mourning Dove</v>
      </c>
      <c r="C4567" s="6">
        <f t="shared" si="1184"/>
        <v>0.29166666666666669</v>
      </c>
      <c r="D4567" s="5"/>
      <c r="E4567" s="5"/>
      <c r="F4567" s="5" t="str">
        <f t="shared" ref="F4567:G4567" si="1185">F4566</f>
        <v>None</v>
      </c>
      <c r="G4567" s="15" t="str">
        <f t="shared" si="1185"/>
        <v>None</v>
      </c>
      <c r="H4567" s="24">
        <f t="shared" si="961"/>
        <v>0</v>
      </c>
      <c r="I4567" s="24" t="str" cm="1">
        <f t="array" ref="I4567">IFERROR(IF($B4567=I$1, ($A4567+$C4567) - MAX(IF($B$2:$B4566=$B4567, $A$2:$A4566+$C$2:$C4566)), "")*24*60, "")</f>
        <v/>
      </c>
      <c r="J4567" s="24" t="str" cm="1">
        <f t="array" ref="J4567">IFERROR(IF($B4567=J$1, ($A4567+$C4567) - MAX(IF($B$2:$B4566=$B4567, $A$2:$A4566+$C$2:$C4566)), "")*24*60, "")</f>
        <v/>
      </c>
      <c r="K4567" s="24" t="str" cm="1">
        <f t="array" ref="K4567">IFERROR(IF($B4567=K$1, ($A4567+$C4567) - MAX(IF($B$2:$B4566=$B4567, $A$2:$A4566+$C$2:$C4566)), "")*24*60, "")</f>
        <v/>
      </c>
      <c r="L4567" s="24" t="str" cm="1">
        <f t="array" ref="L4567">IFERROR(IF($B4567=L$1, ($A4567+$C4567) - MAX(IF($B$2:$B4566=$B4567, $A$2:$A4566+$C$2:$C4566)), "")*24*60, "")</f>
        <v/>
      </c>
      <c r="M4567" s="24" t="str" cm="1">
        <f t="array" ref="M4567">IFERROR(IF($B4567=M$1, ($A4567+$C4567) - MAX(IF($B$2:$B4566=$B4567, $A$2:$A4566+$C$2:$C4566)), "")*24*60, "")</f>
        <v/>
      </c>
      <c r="N4567" s="24" t="str" cm="1">
        <f t="array" ref="N4567">IFERROR(IF($B4567=N$1, ($A4567+$C4567) - MAX(IF($B$2:$B4566=$B4567, $A$2:$A4566+$C$2:$C4566)), "")*24*60, "")</f>
        <v/>
      </c>
      <c r="O4567" s="24" cm="1">
        <f t="array" ref="O4567">IFERROR(IF($B4567=O$1, ($A4567+$C4567) - MAX(IF($B$2:$B4566=$B4567, $A$2:$A4566+$C$2:$C4566)), "")*24*60, "")</f>
        <v>0</v>
      </c>
      <c r="P4567" s="24" t="str" cm="1">
        <f t="array" ref="P4567">IFERROR(IF($B4567=P$1, ($A4567+$C4567) - MAX(IF($B$2:$B4566=$B4567, $A$2:$A4566+$C$2:$C4566)), "")*24*60, "")</f>
        <v/>
      </c>
    </row>
    <row r="4568" spans="1:16" x14ac:dyDescent="0.2">
      <c r="A4568" s="12">
        <f t="shared" ref="A4568:C4568" si="1186">A4567</f>
        <v>45965</v>
      </c>
      <c r="B4568" s="5" t="str">
        <f t="shared" si="1186"/>
        <v>Mourning Dove</v>
      </c>
      <c r="C4568" s="6">
        <f t="shared" si="1186"/>
        <v>0.29166666666666669</v>
      </c>
      <c r="D4568" s="5"/>
      <c r="E4568" s="5"/>
      <c r="F4568" s="5" t="str">
        <f t="shared" ref="F4568:G4568" si="1187">F4567</f>
        <v>None</v>
      </c>
      <c r="G4568" s="15" t="str">
        <f t="shared" si="1187"/>
        <v>None</v>
      </c>
      <c r="H4568" s="24">
        <f t="shared" si="961"/>
        <v>0</v>
      </c>
      <c r="I4568" s="24" t="str" cm="1">
        <f t="array" ref="I4568">IFERROR(IF($B4568=I$1, ($A4568+$C4568) - MAX(IF($B$2:$B4567=$B4568, $A$2:$A4567+$C$2:$C4567)), "")*24*60, "")</f>
        <v/>
      </c>
      <c r="J4568" s="24" t="str" cm="1">
        <f t="array" ref="J4568">IFERROR(IF($B4568=J$1, ($A4568+$C4568) - MAX(IF($B$2:$B4567=$B4568, $A$2:$A4567+$C$2:$C4567)), "")*24*60, "")</f>
        <v/>
      </c>
      <c r="K4568" s="24" t="str" cm="1">
        <f t="array" ref="K4568">IFERROR(IF($B4568=K$1, ($A4568+$C4568) - MAX(IF($B$2:$B4567=$B4568, $A$2:$A4567+$C$2:$C4567)), "")*24*60, "")</f>
        <v/>
      </c>
      <c r="L4568" s="24" t="str" cm="1">
        <f t="array" ref="L4568">IFERROR(IF($B4568=L$1, ($A4568+$C4568) - MAX(IF($B$2:$B4567=$B4568, $A$2:$A4567+$C$2:$C4567)), "")*24*60, "")</f>
        <v/>
      </c>
      <c r="M4568" s="24" t="str" cm="1">
        <f t="array" ref="M4568">IFERROR(IF($B4568=M$1, ($A4568+$C4568) - MAX(IF($B$2:$B4567=$B4568, $A$2:$A4567+$C$2:$C4567)), "")*24*60, "")</f>
        <v/>
      </c>
      <c r="N4568" s="24" t="str" cm="1">
        <f t="array" ref="N4568">IFERROR(IF($B4568=N$1, ($A4568+$C4568) - MAX(IF($B$2:$B4567=$B4568, $A$2:$A4567+$C$2:$C4567)), "")*24*60, "")</f>
        <v/>
      </c>
      <c r="O4568" s="24" cm="1">
        <f t="array" ref="O4568">IFERROR(IF($B4568=O$1, ($A4568+$C4568) - MAX(IF($B$2:$B4567=$B4568, $A$2:$A4567+$C$2:$C4567)), "")*24*60, "")</f>
        <v>0</v>
      </c>
      <c r="P4568" s="24" t="str" cm="1">
        <f t="array" ref="P4568">IFERROR(IF($B4568=P$1, ($A4568+$C4568) - MAX(IF($B$2:$B4567=$B4568, $A$2:$A4567+$C$2:$C4567)), "")*24*60, "")</f>
        <v/>
      </c>
    </row>
    <row r="4569" spans="1:16" x14ac:dyDescent="0.2">
      <c r="A4569" s="12">
        <f t="shared" ref="A4569:C4569" si="1188">A4568</f>
        <v>45965</v>
      </c>
      <c r="B4569" s="5" t="str">
        <f t="shared" si="1188"/>
        <v>Mourning Dove</v>
      </c>
      <c r="C4569" s="6">
        <f t="shared" si="1188"/>
        <v>0.29166666666666669</v>
      </c>
      <c r="D4569" s="5"/>
      <c r="E4569" s="5"/>
      <c r="F4569" s="5" t="str">
        <f t="shared" ref="F4569:G4569" si="1189">F4568</f>
        <v>None</v>
      </c>
      <c r="G4569" s="15" t="str">
        <f t="shared" si="1189"/>
        <v>None</v>
      </c>
      <c r="H4569" s="24">
        <f t="shared" si="961"/>
        <v>0</v>
      </c>
      <c r="I4569" s="24" t="str" cm="1">
        <f t="array" ref="I4569">IFERROR(IF($B4569=I$1, ($A4569+$C4569) - MAX(IF($B$2:$B4568=$B4569, $A$2:$A4568+$C$2:$C4568)), "")*24*60, "")</f>
        <v/>
      </c>
      <c r="J4569" s="24" t="str" cm="1">
        <f t="array" ref="J4569">IFERROR(IF($B4569=J$1, ($A4569+$C4569) - MAX(IF($B$2:$B4568=$B4569, $A$2:$A4568+$C$2:$C4568)), "")*24*60, "")</f>
        <v/>
      </c>
      <c r="K4569" s="24" t="str" cm="1">
        <f t="array" ref="K4569">IFERROR(IF($B4569=K$1, ($A4569+$C4569) - MAX(IF($B$2:$B4568=$B4569, $A$2:$A4568+$C$2:$C4568)), "")*24*60, "")</f>
        <v/>
      </c>
      <c r="L4569" s="24" t="str" cm="1">
        <f t="array" ref="L4569">IFERROR(IF($B4569=L$1, ($A4569+$C4569) - MAX(IF($B$2:$B4568=$B4569, $A$2:$A4568+$C$2:$C4568)), "")*24*60, "")</f>
        <v/>
      </c>
      <c r="M4569" s="24" t="str" cm="1">
        <f t="array" ref="M4569">IFERROR(IF($B4569=M$1, ($A4569+$C4569) - MAX(IF($B$2:$B4568=$B4569, $A$2:$A4568+$C$2:$C4568)), "")*24*60, "")</f>
        <v/>
      </c>
      <c r="N4569" s="24" t="str" cm="1">
        <f t="array" ref="N4569">IFERROR(IF($B4569=N$1, ($A4569+$C4569) - MAX(IF($B$2:$B4568=$B4569, $A$2:$A4568+$C$2:$C4568)), "")*24*60, "")</f>
        <v/>
      </c>
      <c r="O4569" s="24" cm="1">
        <f t="array" ref="O4569">IFERROR(IF($B4569=O$1, ($A4569+$C4569) - MAX(IF($B$2:$B4568=$B4569, $A$2:$A4568+$C$2:$C4568)), "")*24*60, "")</f>
        <v>0</v>
      </c>
      <c r="P4569" s="24" t="str" cm="1">
        <f t="array" ref="P4569">IFERROR(IF($B4569=P$1, ($A4569+$C4569) - MAX(IF($B$2:$B4568=$B4569, $A$2:$A4568+$C$2:$C4568)), "")*24*60, "")</f>
        <v/>
      </c>
    </row>
    <row r="4570" spans="1:16" x14ac:dyDescent="0.2">
      <c r="A4570" s="12">
        <f t="shared" ref="A4570:C4570" si="1190">A4569</f>
        <v>45965</v>
      </c>
      <c r="B4570" s="5" t="str">
        <f t="shared" si="1190"/>
        <v>Mourning Dove</v>
      </c>
      <c r="C4570" s="6">
        <f t="shared" si="1190"/>
        <v>0.29166666666666669</v>
      </c>
      <c r="D4570" s="5"/>
      <c r="E4570" s="5"/>
      <c r="F4570" s="5" t="str">
        <f t="shared" ref="F4570:G4570" si="1191">F4569</f>
        <v>None</v>
      </c>
      <c r="G4570" s="15" t="str">
        <f t="shared" si="1191"/>
        <v>None</v>
      </c>
      <c r="H4570" s="24">
        <f t="shared" si="961"/>
        <v>0</v>
      </c>
      <c r="I4570" s="24" t="str" cm="1">
        <f t="array" ref="I4570">IFERROR(IF($B4570=I$1, ($A4570+$C4570) - MAX(IF($B$2:$B4569=$B4570, $A$2:$A4569+$C$2:$C4569)), "")*24*60, "")</f>
        <v/>
      </c>
      <c r="J4570" s="24" t="str" cm="1">
        <f t="array" ref="J4570">IFERROR(IF($B4570=J$1, ($A4570+$C4570) - MAX(IF($B$2:$B4569=$B4570, $A$2:$A4569+$C$2:$C4569)), "")*24*60, "")</f>
        <v/>
      </c>
      <c r="K4570" s="24" t="str" cm="1">
        <f t="array" ref="K4570">IFERROR(IF($B4570=K$1, ($A4570+$C4570) - MAX(IF($B$2:$B4569=$B4570, $A$2:$A4569+$C$2:$C4569)), "")*24*60, "")</f>
        <v/>
      </c>
      <c r="L4570" s="24" t="str" cm="1">
        <f t="array" ref="L4570">IFERROR(IF($B4570=L$1, ($A4570+$C4570) - MAX(IF($B$2:$B4569=$B4570, $A$2:$A4569+$C$2:$C4569)), "")*24*60, "")</f>
        <v/>
      </c>
      <c r="M4570" s="24" t="str" cm="1">
        <f t="array" ref="M4570">IFERROR(IF($B4570=M$1, ($A4570+$C4570) - MAX(IF($B$2:$B4569=$B4570, $A$2:$A4569+$C$2:$C4569)), "")*24*60, "")</f>
        <v/>
      </c>
      <c r="N4570" s="24" t="str" cm="1">
        <f t="array" ref="N4570">IFERROR(IF($B4570=N$1, ($A4570+$C4570) - MAX(IF($B$2:$B4569=$B4570, $A$2:$A4569+$C$2:$C4569)), "")*24*60, "")</f>
        <v/>
      </c>
      <c r="O4570" s="24" cm="1">
        <f t="array" ref="O4570">IFERROR(IF($B4570=O$1, ($A4570+$C4570) - MAX(IF($B$2:$B4569=$B4570, $A$2:$A4569+$C$2:$C4569)), "")*24*60, "")</f>
        <v>0</v>
      </c>
      <c r="P4570" s="24" t="str" cm="1">
        <f t="array" ref="P4570">IFERROR(IF($B4570=P$1, ($A4570+$C4570) - MAX(IF($B$2:$B4569=$B4570, $A$2:$A4569+$C$2:$C4569)), "")*24*60, "")</f>
        <v/>
      </c>
    </row>
    <row r="4571" spans="1:16" x14ac:dyDescent="0.2">
      <c r="A4571" s="12">
        <f t="shared" ref="A4571:C4571" si="1192">A4570</f>
        <v>45965</v>
      </c>
      <c r="B4571" s="5" t="str">
        <f t="shared" si="1192"/>
        <v>Mourning Dove</v>
      </c>
      <c r="C4571" s="6">
        <f t="shared" si="1192"/>
        <v>0.29166666666666669</v>
      </c>
      <c r="D4571" s="5"/>
      <c r="E4571" s="5"/>
      <c r="F4571" s="5" t="str">
        <f t="shared" ref="F4571:G4571" si="1193">F4570</f>
        <v>None</v>
      </c>
      <c r="G4571" s="15" t="str">
        <f t="shared" si="1193"/>
        <v>None</v>
      </c>
      <c r="H4571" s="24">
        <f t="shared" si="961"/>
        <v>0</v>
      </c>
      <c r="I4571" s="24" t="str" cm="1">
        <f t="array" ref="I4571">IFERROR(IF($B4571=I$1, ($A4571+$C4571) - MAX(IF($B$2:$B4570=$B4571, $A$2:$A4570+$C$2:$C4570)), "")*24*60, "")</f>
        <v/>
      </c>
      <c r="J4571" s="24" t="str" cm="1">
        <f t="array" ref="J4571">IFERROR(IF($B4571=J$1, ($A4571+$C4571) - MAX(IF($B$2:$B4570=$B4571, $A$2:$A4570+$C$2:$C4570)), "")*24*60, "")</f>
        <v/>
      </c>
      <c r="K4571" s="24" t="str" cm="1">
        <f t="array" ref="K4571">IFERROR(IF($B4571=K$1, ($A4571+$C4571) - MAX(IF($B$2:$B4570=$B4571, $A$2:$A4570+$C$2:$C4570)), "")*24*60, "")</f>
        <v/>
      </c>
      <c r="L4571" s="24" t="str" cm="1">
        <f t="array" ref="L4571">IFERROR(IF($B4571=L$1, ($A4571+$C4571) - MAX(IF($B$2:$B4570=$B4571, $A$2:$A4570+$C$2:$C4570)), "")*24*60, "")</f>
        <v/>
      </c>
      <c r="M4571" s="24" t="str" cm="1">
        <f t="array" ref="M4571">IFERROR(IF($B4571=M$1, ($A4571+$C4571) - MAX(IF($B$2:$B4570=$B4571, $A$2:$A4570+$C$2:$C4570)), "")*24*60, "")</f>
        <v/>
      </c>
      <c r="N4571" s="24" t="str" cm="1">
        <f t="array" ref="N4571">IFERROR(IF($B4571=N$1, ($A4571+$C4571) - MAX(IF($B$2:$B4570=$B4571, $A$2:$A4570+$C$2:$C4570)), "")*24*60, "")</f>
        <v/>
      </c>
      <c r="O4571" s="24" cm="1">
        <f t="array" ref="O4571">IFERROR(IF($B4571=O$1, ($A4571+$C4571) - MAX(IF($B$2:$B4570=$B4571, $A$2:$A4570+$C$2:$C4570)), "")*24*60, "")</f>
        <v>0</v>
      </c>
      <c r="P4571" s="24" t="str" cm="1">
        <f t="array" ref="P4571">IFERROR(IF($B4571=P$1, ($A4571+$C4571) - MAX(IF($B$2:$B4570=$B4571, $A$2:$A4570+$C$2:$C4570)), "")*24*60, "")</f>
        <v/>
      </c>
    </row>
    <row r="4572" spans="1:16" x14ac:dyDescent="0.2">
      <c r="A4572" s="12">
        <f t="shared" ref="A4572:C4572" si="1194">A4571</f>
        <v>45965</v>
      </c>
      <c r="B4572" s="5" t="str">
        <f t="shared" si="1194"/>
        <v>Mourning Dove</v>
      </c>
      <c r="C4572" s="6">
        <f t="shared" si="1194"/>
        <v>0.29166666666666669</v>
      </c>
      <c r="D4572" s="5"/>
      <c r="E4572" s="5"/>
      <c r="F4572" s="5" t="str">
        <f t="shared" ref="F4572:G4572" si="1195">F4571</f>
        <v>None</v>
      </c>
      <c r="G4572" s="15" t="str">
        <f t="shared" si="1195"/>
        <v>None</v>
      </c>
      <c r="H4572" s="24">
        <f t="shared" si="961"/>
        <v>0</v>
      </c>
      <c r="I4572" s="24" t="str" cm="1">
        <f t="array" ref="I4572">IFERROR(IF($B4572=I$1, ($A4572+$C4572) - MAX(IF($B$2:$B4571=$B4572, $A$2:$A4571+$C$2:$C4571)), "")*24*60, "")</f>
        <v/>
      </c>
      <c r="J4572" s="24" t="str" cm="1">
        <f t="array" ref="J4572">IFERROR(IF($B4572=J$1, ($A4572+$C4572) - MAX(IF($B$2:$B4571=$B4572, $A$2:$A4571+$C$2:$C4571)), "")*24*60, "")</f>
        <v/>
      </c>
      <c r="K4572" s="24" t="str" cm="1">
        <f t="array" ref="K4572">IFERROR(IF($B4572=K$1, ($A4572+$C4572) - MAX(IF($B$2:$B4571=$B4572, $A$2:$A4571+$C$2:$C4571)), "")*24*60, "")</f>
        <v/>
      </c>
      <c r="L4572" s="24" t="str" cm="1">
        <f t="array" ref="L4572">IFERROR(IF($B4572=L$1, ($A4572+$C4572) - MAX(IF($B$2:$B4571=$B4572, $A$2:$A4571+$C$2:$C4571)), "")*24*60, "")</f>
        <v/>
      </c>
      <c r="M4572" s="24" t="str" cm="1">
        <f t="array" ref="M4572">IFERROR(IF($B4572=M$1, ($A4572+$C4572) - MAX(IF($B$2:$B4571=$B4572, $A$2:$A4571+$C$2:$C4571)), "")*24*60, "")</f>
        <v/>
      </c>
      <c r="N4572" s="24" t="str" cm="1">
        <f t="array" ref="N4572">IFERROR(IF($B4572=N$1, ($A4572+$C4572) - MAX(IF($B$2:$B4571=$B4572, $A$2:$A4571+$C$2:$C4571)), "")*24*60, "")</f>
        <v/>
      </c>
      <c r="O4572" s="24" cm="1">
        <f t="array" ref="O4572">IFERROR(IF($B4572=O$1, ($A4572+$C4572) - MAX(IF($B$2:$B4571=$B4572, $A$2:$A4571+$C$2:$C4571)), "")*24*60, "")</f>
        <v>0</v>
      </c>
      <c r="P4572" s="24" t="str" cm="1">
        <f t="array" ref="P4572">IFERROR(IF($B4572=P$1, ($A4572+$C4572) - MAX(IF($B$2:$B4571=$B4572, $A$2:$A4571+$C$2:$C4571)), "")*24*60, "")</f>
        <v/>
      </c>
    </row>
    <row r="4573" spans="1:16" x14ac:dyDescent="0.2">
      <c r="A4573" s="12">
        <f t="shared" ref="A4573:C4573" si="1196">A4572</f>
        <v>45965</v>
      </c>
      <c r="B4573" s="5" t="str">
        <f t="shared" si="1196"/>
        <v>Mourning Dove</v>
      </c>
      <c r="C4573" s="6">
        <f t="shared" si="1196"/>
        <v>0.29166666666666669</v>
      </c>
      <c r="D4573" s="5"/>
      <c r="E4573" s="5"/>
      <c r="F4573" s="5" t="str">
        <f t="shared" ref="F4573:G4573" si="1197">F4572</f>
        <v>None</v>
      </c>
      <c r="G4573" s="15" t="str">
        <f t="shared" si="1197"/>
        <v>None</v>
      </c>
      <c r="H4573" s="24">
        <f t="shared" si="961"/>
        <v>0</v>
      </c>
      <c r="I4573" s="24" t="str" cm="1">
        <f t="array" ref="I4573">IFERROR(IF($B4573=I$1, ($A4573+$C4573) - MAX(IF($B$2:$B4572=$B4573, $A$2:$A4572+$C$2:$C4572)), "")*24*60, "")</f>
        <v/>
      </c>
      <c r="J4573" s="24" t="str" cm="1">
        <f t="array" ref="J4573">IFERROR(IF($B4573=J$1, ($A4573+$C4573) - MAX(IF($B$2:$B4572=$B4573, $A$2:$A4572+$C$2:$C4572)), "")*24*60, "")</f>
        <v/>
      </c>
      <c r="K4573" s="24" t="str" cm="1">
        <f t="array" ref="K4573">IFERROR(IF($B4573=K$1, ($A4573+$C4573) - MAX(IF($B$2:$B4572=$B4573, $A$2:$A4572+$C$2:$C4572)), "")*24*60, "")</f>
        <v/>
      </c>
      <c r="L4573" s="24" t="str" cm="1">
        <f t="array" ref="L4573">IFERROR(IF($B4573=L$1, ($A4573+$C4573) - MAX(IF($B$2:$B4572=$B4573, $A$2:$A4572+$C$2:$C4572)), "")*24*60, "")</f>
        <v/>
      </c>
      <c r="M4573" s="24" t="str" cm="1">
        <f t="array" ref="M4573">IFERROR(IF($B4573=M$1, ($A4573+$C4573) - MAX(IF($B$2:$B4572=$B4573, $A$2:$A4572+$C$2:$C4572)), "")*24*60, "")</f>
        <v/>
      </c>
      <c r="N4573" s="24" t="str" cm="1">
        <f t="array" ref="N4573">IFERROR(IF($B4573=N$1, ($A4573+$C4573) - MAX(IF($B$2:$B4572=$B4573, $A$2:$A4572+$C$2:$C4572)), "")*24*60, "")</f>
        <v/>
      </c>
      <c r="O4573" s="24" cm="1">
        <f t="array" ref="O4573">IFERROR(IF($B4573=O$1, ($A4573+$C4573) - MAX(IF($B$2:$B4572=$B4573, $A$2:$A4572+$C$2:$C4572)), "")*24*60, "")</f>
        <v>0</v>
      </c>
      <c r="P4573" s="24" t="str" cm="1">
        <f t="array" ref="P4573">IFERROR(IF($B4573=P$1, ($A4573+$C4573) - MAX(IF($B$2:$B4572=$B4573, $A$2:$A4572+$C$2:$C4572)), "")*24*60, "")</f>
        <v/>
      </c>
    </row>
    <row r="4574" spans="1:16" x14ac:dyDescent="0.2">
      <c r="A4574" s="12">
        <f t="shared" ref="A4574:C4574" si="1198">A4573</f>
        <v>45965</v>
      </c>
      <c r="B4574" s="5" t="str">
        <f t="shared" si="1198"/>
        <v>Mourning Dove</v>
      </c>
      <c r="C4574" s="6">
        <f t="shared" si="1198"/>
        <v>0.29166666666666669</v>
      </c>
      <c r="D4574" s="5"/>
      <c r="E4574" s="5"/>
      <c r="F4574" s="5" t="str">
        <f t="shared" ref="F4574:G4574" si="1199">F4573</f>
        <v>None</v>
      </c>
      <c r="G4574" s="15" t="str">
        <f t="shared" si="1199"/>
        <v>None</v>
      </c>
      <c r="H4574" s="24">
        <f t="shared" si="961"/>
        <v>0</v>
      </c>
      <c r="I4574" s="24" t="str" cm="1">
        <f t="array" ref="I4574">IFERROR(IF($B4574=I$1, ($A4574+$C4574) - MAX(IF($B$2:$B4573=$B4574, $A$2:$A4573+$C$2:$C4573)), "")*24*60, "")</f>
        <v/>
      </c>
      <c r="J4574" s="24" t="str" cm="1">
        <f t="array" ref="J4574">IFERROR(IF($B4574=J$1, ($A4574+$C4574) - MAX(IF($B$2:$B4573=$B4574, $A$2:$A4573+$C$2:$C4573)), "")*24*60, "")</f>
        <v/>
      </c>
      <c r="K4574" s="24" t="str" cm="1">
        <f t="array" ref="K4574">IFERROR(IF($B4574=K$1, ($A4574+$C4574) - MAX(IF($B$2:$B4573=$B4574, $A$2:$A4573+$C$2:$C4573)), "")*24*60, "")</f>
        <v/>
      </c>
      <c r="L4574" s="24" t="str" cm="1">
        <f t="array" ref="L4574">IFERROR(IF($B4574=L$1, ($A4574+$C4574) - MAX(IF($B$2:$B4573=$B4574, $A$2:$A4573+$C$2:$C4573)), "")*24*60, "")</f>
        <v/>
      </c>
      <c r="M4574" s="24" t="str" cm="1">
        <f t="array" ref="M4574">IFERROR(IF($B4574=M$1, ($A4574+$C4574) - MAX(IF($B$2:$B4573=$B4574, $A$2:$A4573+$C$2:$C4573)), "")*24*60, "")</f>
        <v/>
      </c>
      <c r="N4574" s="24" t="str" cm="1">
        <f t="array" ref="N4574">IFERROR(IF($B4574=N$1, ($A4574+$C4574) - MAX(IF($B$2:$B4573=$B4574, $A$2:$A4573+$C$2:$C4573)), "")*24*60, "")</f>
        <v/>
      </c>
      <c r="O4574" s="24" cm="1">
        <f t="array" ref="O4574">IFERROR(IF($B4574=O$1, ($A4574+$C4574) - MAX(IF($B$2:$B4573=$B4574, $A$2:$A4573+$C$2:$C4573)), "")*24*60, "")</f>
        <v>0</v>
      </c>
      <c r="P4574" s="24" t="str" cm="1">
        <f t="array" ref="P4574">IFERROR(IF($B4574=P$1, ($A4574+$C4574) - MAX(IF($B$2:$B4573=$B4574, $A$2:$A4573+$C$2:$C4573)), "")*24*60, "")</f>
        <v/>
      </c>
    </row>
    <row r="4575" spans="1:16" x14ac:dyDescent="0.2">
      <c r="A4575" s="12">
        <f t="shared" ref="A4575:C4575" si="1200">A4574</f>
        <v>45965</v>
      </c>
      <c r="B4575" s="5" t="str">
        <f t="shared" si="1200"/>
        <v>Mourning Dove</v>
      </c>
      <c r="C4575" s="6">
        <f t="shared" si="1200"/>
        <v>0.29166666666666669</v>
      </c>
      <c r="D4575" s="5"/>
      <c r="E4575" s="5"/>
      <c r="F4575" s="5" t="str">
        <f t="shared" ref="F4575:G4575" si="1201">F4574</f>
        <v>None</v>
      </c>
      <c r="G4575" s="15" t="str">
        <f t="shared" si="1201"/>
        <v>None</v>
      </c>
      <c r="H4575" s="24">
        <f t="shared" si="961"/>
        <v>0</v>
      </c>
      <c r="I4575" s="24" t="str" cm="1">
        <f t="array" ref="I4575">IFERROR(IF($B4575=I$1, ($A4575+$C4575) - MAX(IF($B$2:$B4574=$B4575, $A$2:$A4574+$C$2:$C4574)), "")*24*60, "")</f>
        <v/>
      </c>
      <c r="J4575" s="24" t="str" cm="1">
        <f t="array" ref="J4575">IFERROR(IF($B4575=J$1, ($A4575+$C4575) - MAX(IF($B$2:$B4574=$B4575, $A$2:$A4574+$C$2:$C4574)), "")*24*60, "")</f>
        <v/>
      </c>
      <c r="K4575" s="24" t="str" cm="1">
        <f t="array" ref="K4575">IFERROR(IF($B4575=K$1, ($A4575+$C4575) - MAX(IF($B$2:$B4574=$B4575, $A$2:$A4574+$C$2:$C4574)), "")*24*60, "")</f>
        <v/>
      </c>
      <c r="L4575" s="24" t="str" cm="1">
        <f t="array" ref="L4575">IFERROR(IF($B4575=L$1, ($A4575+$C4575) - MAX(IF($B$2:$B4574=$B4575, $A$2:$A4574+$C$2:$C4574)), "")*24*60, "")</f>
        <v/>
      </c>
      <c r="M4575" s="24" t="str" cm="1">
        <f t="array" ref="M4575">IFERROR(IF($B4575=M$1, ($A4575+$C4575) - MAX(IF($B$2:$B4574=$B4575, $A$2:$A4574+$C$2:$C4574)), "")*24*60, "")</f>
        <v/>
      </c>
      <c r="N4575" s="24" t="str" cm="1">
        <f t="array" ref="N4575">IFERROR(IF($B4575=N$1, ($A4575+$C4575) - MAX(IF($B$2:$B4574=$B4575, $A$2:$A4574+$C$2:$C4574)), "")*24*60, "")</f>
        <v/>
      </c>
      <c r="O4575" s="24" cm="1">
        <f t="array" ref="O4575">IFERROR(IF($B4575=O$1, ($A4575+$C4575) - MAX(IF($B$2:$B4574=$B4575, $A$2:$A4574+$C$2:$C4574)), "")*24*60, "")</f>
        <v>0</v>
      </c>
      <c r="P4575" s="24" t="str" cm="1">
        <f t="array" ref="P4575">IFERROR(IF($B4575=P$1, ($A4575+$C4575) - MAX(IF($B$2:$B4574=$B4575, $A$2:$A4574+$C$2:$C4574)), "")*24*60, "")</f>
        <v/>
      </c>
    </row>
    <row r="4576" spans="1:16" x14ac:dyDescent="0.2">
      <c r="A4576" s="12">
        <f t="shared" ref="A4576:C4576" si="1202">A4575</f>
        <v>45965</v>
      </c>
      <c r="B4576" s="5" t="str">
        <f t="shared" si="1202"/>
        <v>Mourning Dove</v>
      </c>
      <c r="C4576" s="6">
        <f t="shared" si="1202"/>
        <v>0.29166666666666669</v>
      </c>
      <c r="D4576" s="5"/>
      <c r="E4576" s="5"/>
      <c r="F4576" s="5" t="str">
        <f t="shared" ref="F4576:G4576" si="1203">F4575</f>
        <v>None</v>
      </c>
      <c r="G4576" s="15" t="str">
        <f t="shared" si="1203"/>
        <v>None</v>
      </c>
      <c r="H4576" s="24">
        <f t="shared" si="961"/>
        <v>0</v>
      </c>
      <c r="I4576" s="24" t="str" cm="1">
        <f t="array" ref="I4576">IFERROR(IF($B4576=I$1, ($A4576+$C4576) - MAX(IF($B$2:$B4575=$B4576, $A$2:$A4575+$C$2:$C4575)), "")*24*60, "")</f>
        <v/>
      </c>
      <c r="J4576" s="24" t="str" cm="1">
        <f t="array" ref="J4576">IFERROR(IF($B4576=J$1, ($A4576+$C4576) - MAX(IF($B$2:$B4575=$B4576, $A$2:$A4575+$C$2:$C4575)), "")*24*60, "")</f>
        <v/>
      </c>
      <c r="K4576" s="24" t="str" cm="1">
        <f t="array" ref="K4576">IFERROR(IF($B4576=K$1, ($A4576+$C4576) - MAX(IF($B$2:$B4575=$B4576, $A$2:$A4575+$C$2:$C4575)), "")*24*60, "")</f>
        <v/>
      </c>
      <c r="L4576" s="24" t="str" cm="1">
        <f t="array" ref="L4576">IFERROR(IF($B4576=L$1, ($A4576+$C4576) - MAX(IF($B$2:$B4575=$B4576, $A$2:$A4575+$C$2:$C4575)), "")*24*60, "")</f>
        <v/>
      </c>
      <c r="M4576" s="24" t="str" cm="1">
        <f t="array" ref="M4576">IFERROR(IF($B4576=M$1, ($A4576+$C4576) - MAX(IF($B$2:$B4575=$B4576, $A$2:$A4575+$C$2:$C4575)), "")*24*60, "")</f>
        <v/>
      </c>
      <c r="N4576" s="24" t="str" cm="1">
        <f t="array" ref="N4576">IFERROR(IF($B4576=N$1, ($A4576+$C4576) - MAX(IF($B$2:$B4575=$B4576, $A$2:$A4575+$C$2:$C4575)), "")*24*60, "")</f>
        <v/>
      </c>
      <c r="O4576" s="24" cm="1">
        <f t="array" ref="O4576">IFERROR(IF($B4576=O$1, ($A4576+$C4576) - MAX(IF($B$2:$B4575=$B4576, $A$2:$A4575+$C$2:$C4575)), "")*24*60, "")</f>
        <v>0</v>
      </c>
      <c r="P4576" s="24" t="str" cm="1">
        <f t="array" ref="P4576">IFERROR(IF($B4576=P$1, ($A4576+$C4576) - MAX(IF($B$2:$B4575=$B4576, $A$2:$A4575+$C$2:$C4575)), "")*24*60, "")</f>
        <v/>
      </c>
    </row>
    <row r="4577" spans="1:16" x14ac:dyDescent="0.2">
      <c r="A4577" s="12">
        <f t="shared" ref="A4577:C4577" si="1204">A4576</f>
        <v>45965</v>
      </c>
      <c r="B4577" s="5" t="str">
        <f t="shared" si="1204"/>
        <v>Mourning Dove</v>
      </c>
      <c r="C4577" s="6">
        <f t="shared" si="1204"/>
        <v>0.29166666666666669</v>
      </c>
      <c r="D4577" s="5"/>
      <c r="E4577" s="5"/>
      <c r="F4577" s="5" t="str">
        <f t="shared" ref="F4577:G4577" si="1205">F4576</f>
        <v>None</v>
      </c>
      <c r="G4577" s="15" t="str">
        <f t="shared" si="1205"/>
        <v>None</v>
      </c>
      <c r="H4577" s="24">
        <f t="shared" si="961"/>
        <v>0</v>
      </c>
      <c r="I4577" s="24" t="str" cm="1">
        <f t="array" ref="I4577">IFERROR(IF($B4577=I$1, ($A4577+$C4577) - MAX(IF($B$2:$B4576=$B4577, $A$2:$A4576+$C$2:$C4576)), "")*24*60, "")</f>
        <v/>
      </c>
      <c r="J4577" s="24" t="str" cm="1">
        <f t="array" ref="J4577">IFERROR(IF($B4577=J$1, ($A4577+$C4577) - MAX(IF($B$2:$B4576=$B4577, $A$2:$A4576+$C$2:$C4576)), "")*24*60, "")</f>
        <v/>
      </c>
      <c r="K4577" s="24" t="str" cm="1">
        <f t="array" ref="K4577">IFERROR(IF($B4577=K$1, ($A4577+$C4577) - MAX(IF($B$2:$B4576=$B4577, $A$2:$A4576+$C$2:$C4576)), "")*24*60, "")</f>
        <v/>
      </c>
      <c r="L4577" s="24" t="str" cm="1">
        <f t="array" ref="L4577">IFERROR(IF($B4577=L$1, ($A4577+$C4577) - MAX(IF($B$2:$B4576=$B4577, $A$2:$A4576+$C$2:$C4576)), "")*24*60, "")</f>
        <v/>
      </c>
      <c r="M4577" s="24" t="str" cm="1">
        <f t="array" ref="M4577">IFERROR(IF($B4577=M$1, ($A4577+$C4577) - MAX(IF($B$2:$B4576=$B4577, $A$2:$A4576+$C$2:$C4576)), "")*24*60, "")</f>
        <v/>
      </c>
      <c r="N4577" s="24" t="str" cm="1">
        <f t="array" ref="N4577">IFERROR(IF($B4577=N$1, ($A4577+$C4577) - MAX(IF($B$2:$B4576=$B4577, $A$2:$A4576+$C$2:$C4576)), "")*24*60, "")</f>
        <v/>
      </c>
      <c r="O4577" s="24" cm="1">
        <f t="array" ref="O4577">IFERROR(IF($B4577=O$1, ($A4577+$C4577) - MAX(IF($B$2:$B4576=$B4577, $A$2:$A4576+$C$2:$C4576)), "")*24*60, "")</f>
        <v>0</v>
      </c>
      <c r="P4577" s="24" t="str" cm="1">
        <f t="array" ref="P4577">IFERROR(IF($B4577=P$1, ($A4577+$C4577) - MAX(IF($B$2:$B4576=$B4577, $A$2:$A4576+$C$2:$C4576)), "")*24*60, "")</f>
        <v/>
      </c>
    </row>
    <row r="4578" spans="1:16" x14ac:dyDescent="0.2">
      <c r="A4578" s="12">
        <f t="shared" ref="A4578:C4578" si="1206">A4577</f>
        <v>45965</v>
      </c>
      <c r="B4578" s="5" t="str">
        <f t="shared" si="1206"/>
        <v>Mourning Dove</v>
      </c>
      <c r="C4578" s="6">
        <f t="shared" si="1206"/>
        <v>0.29166666666666669</v>
      </c>
      <c r="D4578" s="5"/>
      <c r="E4578" s="5"/>
      <c r="F4578" s="5" t="str">
        <f t="shared" ref="F4578:G4578" si="1207">F4577</f>
        <v>None</v>
      </c>
      <c r="G4578" s="15" t="str">
        <f t="shared" si="1207"/>
        <v>None</v>
      </c>
      <c r="H4578" s="24">
        <f t="shared" si="961"/>
        <v>0</v>
      </c>
      <c r="I4578" s="24" t="str" cm="1">
        <f t="array" ref="I4578">IFERROR(IF($B4578=I$1, ($A4578+$C4578) - MAX(IF($B$2:$B4577=$B4578, $A$2:$A4577+$C$2:$C4577)), "")*24*60, "")</f>
        <v/>
      </c>
      <c r="J4578" s="24" t="str" cm="1">
        <f t="array" ref="J4578">IFERROR(IF($B4578=J$1, ($A4578+$C4578) - MAX(IF($B$2:$B4577=$B4578, $A$2:$A4577+$C$2:$C4577)), "")*24*60, "")</f>
        <v/>
      </c>
      <c r="K4578" s="24" t="str" cm="1">
        <f t="array" ref="K4578">IFERROR(IF($B4578=K$1, ($A4578+$C4578) - MAX(IF($B$2:$B4577=$B4578, $A$2:$A4577+$C$2:$C4577)), "")*24*60, "")</f>
        <v/>
      </c>
      <c r="L4578" s="24" t="str" cm="1">
        <f t="array" ref="L4578">IFERROR(IF($B4578=L$1, ($A4578+$C4578) - MAX(IF($B$2:$B4577=$B4578, $A$2:$A4577+$C$2:$C4577)), "")*24*60, "")</f>
        <v/>
      </c>
      <c r="M4578" s="24" t="str" cm="1">
        <f t="array" ref="M4578">IFERROR(IF($B4578=M$1, ($A4578+$C4578) - MAX(IF($B$2:$B4577=$B4578, $A$2:$A4577+$C$2:$C4577)), "")*24*60, "")</f>
        <v/>
      </c>
      <c r="N4578" s="24" t="str" cm="1">
        <f t="array" ref="N4578">IFERROR(IF($B4578=N$1, ($A4578+$C4578) - MAX(IF($B$2:$B4577=$B4578, $A$2:$A4577+$C$2:$C4577)), "")*24*60, "")</f>
        <v/>
      </c>
      <c r="O4578" s="24" cm="1">
        <f t="array" ref="O4578">IFERROR(IF($B4578=O$1, ($A4578+$C4578) - MAX(IF($B$2:$B4577=$B4578, $A$2:$A4577+$C$2:$C4577)), "")*24*60, "")</f>
        <v>0</v>
      </c>
      <c r="P4578" s="24" t="str" cm="1">
        <f t="array" ref="P4578">IFERROR(IF($B4578=P$1, ($A4578+$C4578) - MAX(IF($B$2:$B4577=$B4578, $A$2:$A4577+$C$2:$C4577)), "")*24*60, "")</f>
        <v/>
      </c>
    </row>
    <row r="4579" spans="1:16" x14ac:dyDescent="0.2">
      <c r="A4579" s="12">
        <f t="shared" ref="A4579:C4579" si="1208">A4578</f>
        <v>45965</v>
      </c>
      <c r="B4579" s="5" t="str">
        <f t="shared" si="1208"/>
        <v>Mourning Dove</v>
      </c>
      <c r="C4579" s="6">
        <f t="shared" si="1208"/>
        <v>0.29166666666666669</v>
      </c>
      <c r="D4579" s="5"/>
      <c r="E4579" s="5"/>
      <c r="F4579" s="5" t="str">
        <f t="shared" ref="F4579:G4579" si="1209">F4578</f>
        <v>None</v>
      </c>
      <c r="G4579" s="15" t="str">
        <f t="shared" si="1209"/>
        <v>None</v>
      </c>
      <c r="H4579" s="24">
        <f t="shared" si="961"/>
        <v>0</v>
      </c>
      <c r="I4579" s="24" t="str" cm="1">
        <f t="array" ref="I4579">IFERROR(IF($B4579=I$1, ($A4579+$C4579) - MAX(IF($B$2:$B4578=$B4579, $A$2:$A4578+$C$2:$C4578)), "")*24*60, "")</f>
        <v/>
      </c>
      <c r="J4579" s="24" t="str" cm="1">
        <f t="array" ref="J4579">IFERROR(IF($B4579=J$1, ($A4579+$C4579) - MAX(IF($B$2:$B4578=$B4579, $A$2:$A4578+$C$2:$C4578)), "")*24*60, "")</f>
        <v/>
      </c>
      <c r="K4579" s="24" t="str" cm="1">
        <f t="array" ref="K4579">IFERROR(IF($B4579=K$1, ($A4579+$C4579) - MAX(IF($B$2:$B4578=$B4579, $A$2:$A4578+$C$2:$C4578)), "")*24*60, "")</f>
        <v/>
      </c>
      <c r="L4579" s="24" t="str" cm="1">
        <f t="array" ref="L4579">IFERROR(IF($B4579=L$1, ($A4579+$C4579) - MAX(IF($B$2:$B4578=$B4579, $A$2:$A4578+$C$2:$C4578)), "")*24*60, "")</f>
        <v/>
      </c>
      <c r="M4579" s="24" t="str" cm="1">
        <f t="array" ref="M4579">IFERROR(IF($B4579=M$1, ($A4579+$C4579) - MAX(IF($B$2:$B4578=$B4579, $A$2:$A4578+$C$2:$C4578)), "")*24*60, "")</f>
        <v/>
      </c>
      <c r="N4579" s="24" t="str" cm="1">
        <f t="array" ref="N4579">IFERROR(IF($B4579=N$1, ($A4579+$C4579) - MAX(IF($B$2:$B4578=$B4579, $A$2:$A4578+$C$2:$C4578)), "")*24*60, "")</f>
        <v/>
      </c>
      <c r="O4579" s="24" cm="1">
        <f t="array" ref="O4579">IFERROR(IF($B4579=O$1, ($A4579+$C4579) - MAX(IF($B$2:$B4578=$B4579, $A$2:$A4578+$C$2:$C4578)), "")*24*60, "")</f>
        <v>0</v>
      </c>
      <c r="P4579" s="24" t="str" cm="1">
        <f t="array" ref="P4579">IFERROR(IF($B4579=P$1, ($A4579+$C4579) - MAX(IF($B$2:$B4578=$B4579, $A$2:$A4578+$C$2:$C4578)), "")*24*60, "")</f>
        <v/>
      </c>
    </row>
    <row r="4580" spans="1:16" x14ac:dyDescent="0.2">
      <c r="A4580" s="12">
        <f t="shared" ref="A4580:C4580" si="1210">A4579</f>
        <v>45965</v>
      </c>
      <c r="B4580" s="5" t="str">
        <f t="shared" si="1210"/>
        <v>Mourning Dove</v>
      </c>
      <c r="C4580" s="6">
        <f t="shared" si="1210"/>
        <v>0.29166666666666669</v>
      </c>
      <c r="D4580" s="5"/>
      <c r="E4580" s="5"/>
      <c r="F4580" s="5" t="str">
        <f t="shared" ref="F4580:G4580" si="1211">F4579</f>
        <v>None</v>
      </c>
      <c r="G4580" s="15" t="str">
        <f t="shared" si="1211"/>
        <v>None</v>
      </c>
      <c r="H4580" s="24">
        <f t="shared" si="961"/>
        <v>0</v>
      </c>
      <c r="I4580" s="24" t="str" cm="1">
        <f t="array" ref="I4580">IFERROR(IF($B4580=I$1, ($A4580+$C4580) - MAX(IF($B$2:$B4579=$B4580, $A$2:$A4579+$C$2:$C4579)), "")*24*60, "")</f>
        <v/>
      </c>
      <c r="J4580" s="24" t="str" cm="1">
        <f t="array" ref="J4580">IFERROR(IF($B4580=J$1, ($A4580+$C4580) - MAX(IF($B$2:$B4579=$B4580, $A$2:$A4579+$C$2:$C4579)), "")*24*60, "")</f>
        <v/>
      </c>
      <c r="K4580" s="24" t="str" cm="1">
        <f t="array" ref="K4580">IFERROR(IF($B4580=K$1, ($A4580+$C4580) - MAX(IF($B$2:$B4579=$B4580, $A$2:$A4579+$C$2:$C4579)), "")*24*60, "")</f>
        <v/>
      </c>
      <c r="L4580" s="24" t="str" cm="1">
        <f t="array" ref="L4580">IFERROR(IF($B4580=L$1, ($A4580+$C4580) - MAX(IF($B$2:$B4579=$B4580, $A$2:$A4579+$C$2:$C4579)), "")*24*60, "")</f>
        <v/>
      </c>
      <c r="M4580" s="24" t="str" cm="1">
        <f t="array" ref="M4580">IFERROR(IF($B4580=M$1, ($A4580+$C4580) - MAX(IF($B$2:$B4579=$B4580, $A$2:$A4579+$C$2:$C4579)), "")*24*60, "")</f>
        <v/>
      </c>
      <c r="N4580" s="24" t="str" cm="1">
        <f t="array" ref="N4580">IFERROR(IF($B4580=N$1, ($A4580+$C4580) - MAX(IF($B$2:$B4579=$B4580, $A$2:$A4579+$C$2:$C4579)), "")*24*60, "")</f>
        <v/>
      </c>
      <c r="O4580" s="24" cm="1">
        <f t="array" ref="O4580">IFERROR(IF($B4580=O$1, ($A4580+$C4580) - MAX(IF($B$2:$B4579=$B4580, $A$2:$A4579+$C$2:$C4579)), "")*24*60, "")</f>
        <v>0</v>
      </c>
      <c r="P4580" s="24" t="str" cm="1">
        <f t="array" ref="P4580">IFERROR(IF($B4580=P$1, ($A4580+$C4580) - MAX(IF($B$2:$B4579=$B4580, $A$2:$A4579+$C$2:$C4579)), "")*24*60, "")</f>
        <v/>
      </c>
    </row>
    <row r="4581" spans="1:16" x14ac:dyDescent="0.2">
      <c r="A4581" s="12">
        <f t="shared" ref="A4581:C4581" si="1212">A4580</f>
        <v>45965</v>
      </c>
      <c r="B4581" s="5" t="str">
        <f t="shared" si="1212"/>
        <v>Mourning Dove</v>
      </c>
      <c r="C4581" s="6">
        <f t="shared" si="1212"/>
        <v>0.29166666666666669</v>
      </c>
      <c r="D4581" s="5"/>
      <c r="E4581" s="5"/>
      <c r="F4581" s="5" t="str">
        <f t="shared" ref="F4581:G4581" si="1213">F4580</f>
        <v>None</v>
      </c>
      <c r="G4581" s="15" t="str">
        <f t="shared" si="1213"/>
        <v>None</v>
      </c>
      <c r="H4581" s="24">
        <f t="shared" si="961"/>
        <v>0</v>
      </c>
      <c r="I4581" s="24" t="str" cm="1">
        <f t="array" ref="I4581">IFERROR(IF($B4581=I$1, ($A4581+$C4581) - MAX(IF($B$2:$B4580=$B4581, $A$2:$A4580+$C$2:$C4580)), "")*24*60, "")</f>
        <v/>
      </c>
      <c r="J4581" s="24" t="str" cm="1">
        <f t="array" ref="J4581">IFERROR(IF($B4581=J$1, ($A4581+$C4581) - MAX(IF($B$2:$B4580=$B4581, $A$2:$A4580+$C$2:$C4580)), "")*24*60, "")</f>
        <v/>
      </c>
      <c r="K4581" s="24" t="str" cm="1">
        <f t="array" ref="K4581">IFERROR(IF($B4581=K$1, ($A4581+$C4581) - MAX(IF($B$2:$B4580=$B4581, $A$2:$A4580+$C$2:$C4580)), "")*24*60, "")</f>
        <v/>
      </c>
      <c r="L4581" s="24" t="str" cm="1">
        <f t="array" ref="L4581">IFERROR(IF($B4581=L$1, ($A4581+$C4581) - MAX(IF($B$2:$B4580=$B4581, $A$2:$A4580+$C$2:$C4580)), "")*24*60, "")</f>
        <v/>
      </c>
      <c r="M4581" s="24" t="str" cm="1">
        <f t="array" ref="M4581">IFERROR(IF($B4581=M$1, ($A4581+$C4581) - MAX(IF($B$2:$B4580=$B4581, $A$2:$A4580+$C$2:$C4580)), "")*24*60, "")</f>
        <v/>
      </c>
      <c r="N4581" s="24" t="str" cm="1">
        <f t="array" ref="N4581">IFERROR(IF($B4581=N$1, ($A4581+$C4581) - MAX(IF($B$2:$B4580=$B4581, $A$2:$A4580+$C$2:$C4580)), "")*24*60, "")</f>
        <v/>
      </c>
      <c r="O4581" s="24" cm="1">
        <f t="array" ref="O4581">IFERROR(IF($B4581=O$1, ($A4581+$C4581) - MAX(IF($B$2:$B4580=$B4581, $A$2:$A4580+$C$2:$C4580)), "")*24*60, "")</f>
        <v>0</v>
      </c>
      <c r="P4581" s="24" t="str" cm="1">
        <f t="array" ref="P4581">IFERROR(IF($B4581=P$1, ($A4581+$C4581) - MAX(IF($B$2:$B4580=$B4581, $A$2:$A4580+$C$2:$C4580)), "")*24*60, "")</f>
        <v/>
      </c>
    </row>
    <row r="4582" spans="1:16" x14ac:dyDescent="0.2">
      <c r="A4582" s="12">
        <f t="shared" ref="A4582:C4582" si="1214">A4581</f>
        <v>45965</v>
      </c>
      <c r="B4582" s="5" t="str">
        <f t="shared" si="1214"/>
        <v>Mourning Dove</v>
      </c>
      <c r="C4582" s="6">
        <f t="shared" si="1214"/>
        <v>0.29166666666666669</v>
      </c>
      <c r="D4582" s="5"/>
      <c r="E4582" s="5"/>
      <c r="F4582" s="5" t="str">
        <f t="shared" ref="F4582:G4582" si="1215">F4581</f>
        <v>None</v>
      </c>
      <c r="G4582" s="15" t="str">
        <f t="shared" si="1215"/>
        <v>None</v>
      </c>
      <c r="H4582" s="24">
        <f t="shared" si="961"/>
        <v>0</v>
      </c>
      <c r="I4582" s="24" t="str" cm="1">
        <f t="array" ref="I4582">IFERROR(IF($B4582=I$1, ($A4582+$C4582) - MAX(IF($B$2:$B4581=$B4582, $A$2:$A4581+$C$2:$C4581)), "")*24*60, "")</f>
        <v/>
      </c>
      <c r="J4582" s="24" t="str" cm="1">
        <f t="array" ref="J4582">IFERROR(IF($B4582=J$1, ($A4582+$C4582) - MAX(IF($B$2:$B4581=$B4582, $A$2:$A4581+$C$2:$C4581)), "")*24*60, "")</f>
        <v/>
      </c>
      <c r="K4582" s="24" t="str" cm="1">
        <f t="array" ref="K4582">IFERROR(IF($B4582=K$1, ($A4582+$C4582) - MAX(IF($B$2:$B4581=$B4582, $A$2:$A4581+$C$2:$C4581)), "")*24*60, "")</f>
        <v/>
      </c>
      <c r="L4582" s="24" t="str" cm="1">
        <f t="array" ref="L4582">IFERROR(IF($B4582=L$1, ($A4582+$C4582) - MAX(IF($B$2:$B4581=$B4582, $A$2:$A4581+$C$2:$C4581)), "")*24*60, "")</f>
        <v/>
      </c>
      <c r="M4582" s="24" t="str" cm="1">
        <f t="array" ref="M4582">IFERROR(IF($B4582=M$1, ($A4582+$C4582) - MAX(IF($B$2:$B4581=$B4582, $A$2:$A4581+$C$2:$C4581)), "")*24*60, "")</f>
        <v/>
      </c>
      <c r="N4582" s="24" t="str" cm="1">
        <f t="array" ref="N4582">IFERROR(IF($B4582=N$1, ($A4582+$C4582) - MAX(IF($B$2:$B4581=$B4582, $A$2:$A4581+$C$2:$C4581)), "")*24*60, "")</f>
        <v/>
      </c>
      <c r="O4582" s="24" cm="1">
        <f t="array" ref="O4582">IFERROR(IF($B4582=O$1, ($A4582+$C4582) - MAX(IF($B$2:$B4581=$B4582, $A$2:$A4581+$C$2:$C4581)), "")*24*60, "")</f>
        <v>0</v>
      </c>
      <c r="P4582" s="24" t="str" cm="1">
        <f t="array" ref="P4582">IFERROR(IF($B4582=P$1, ($A4582+$C4582) - MAX(IF($B$2:$B4581=$B4582, $A$2:$A4581+$C$2:$C4581)), "")*24*60, "")</f>
        <v/>
      </c>
    </row>
    <row r="4583" spans="1:16" x14ac:dyDescent="0.2">
      <c r="A4583" s="12">
        <f t="shared" ref="A4583:C4583" si="1216">A4582</f>
        <v>45965</v>
      </c>
      <c r="B4583" s="5" t="str">
        <f t="shared" si="1216"/>
        <v>Mourning Dove</v>
      </c>
      <c r="C4583" s="6">
        <f t="shared" si="1216"/>
        <v>0.29166666666666669</v>
      </c>
      <c r="D4583" s="5"/>
      <c r="E4583" s="5"/>
      <c r="F4583" s="5" t="str">
        <f t="shared" ref="F4583:G4583" si="1217">F4582</f>
        <v>None</v>
      </c>
      <c r="G4583" s="15" t="str">
        <f t="shared" si="1217"/>
        <v>None</v>
      </c>
      <c r="H4583" s="24">
        <f t="shared" si="961"/>
        <v>0</v>
      </c>
      <c r="I4583" s="24" t="str" cm="1">
        <f t="array" ref="I4583">IFERROR(IF($B4583=I$1, ($A4583+$C4583) - MAX(IF($B$2:$B4582=$B4583, $A$2:$A4582+$C$2:$C4582)), "")*24*60, "")</f>
        <v/>
      </c>
      <c r="J4583" s="24" t="str" cm="1">
        <f t="array" ref="J4583">IFERROR(IF($B4583=J$1, ($A4583+$C4583) - MAX(IF($B$2:$B4582=$B4583, $A$2:$A4582+$C$2:$C4582)), "")*24*60, "")</f>
        <v/>
      </c>
      <c r="K4583" s="24" t="str" cm="1">
        <f t="array" ref="K4583">IFERROR(IF($B4583=K$1, ($A4583+$C4583) - MAX(IF($B$2:$B4582=$B4583, $A$2:$A4582+$C$2:$C4582)), "")*24*60, "")</f>
        <v/>
      </c>
      <c r="L4583" s="24" t="str" cm="1">
        <f t="array" ref="L4583">IFERROR(IF($B4583=L$1, ($A4583+$C4583) - MAX(IF($B$2:$B4582=$B4583, $A$2:$A4582+$C$2:$C4582)), "")*24*60, "")</f>
        <v/>
      </c>
      <c r="M4583" s="24" t="str" cm="1">
        <f t="array" ref="M4583">IFERROR(IF($B4583=M$1, ($A4583+$C4583) - MAX(IF($B$2:$B4582=$B4583, $A$2:$A4582+$C$2:$C4582)), "")*24*60, "")</f>
        <v/>
      </c>
      <c r="N4583" s="24" t="str" cm="1">
        <f t="array" ref="N4583">IFERROR(IF($B4583=N$1, ($A4583+$C4583) - MAX(IF($B$2:$B4582=$B4583, $A$2:$A4582+$C$2:$C4582)), "")*24*60, "")</f>
        <v/>
      </c>
      <c r="O4583" s="24" cm="1">
        <f t="array" ref="O4583">IFERROR(IF($B4583=O$1, ($A4583+$C4583) - MAX(IF($B$2:$B4582=$B4583, $A$2:$A4582+$C$2:$C4582)), "")*24*60, "")</f>
        <v>0</v>
      </c>
      <c r="P4583" s="24" t="str" cm="1">
        <f t="array" ref="P4583">IFERROR(IF($B4583=P$1, ($A4583+$C4583) - MAX(IF($B$2:$B4582=$B4583, $A$2:$A4582+$C$2:$C4582)), "")*24*60, "")</f>
        <v/>
      </c>
    </row>
    <row r="4584" spans="1:16" x14ac:dyDescent="0.2">
      <c r="A4584" s="12">
        <f t="shared" ref="A4584:C4584" si="1218">A4583</f>
        <v>45965</v>
      </c>
      <c r="B4584" s="5" t="str">
        <f t="shared" si="1218"/>
        <v>Mourning Dove</v>
      </c>
      <c r="C4584" s="6">
        <f t="shared" si="1218"/>
        <v>0.29166666666666669</v>
      </c>
      <c r="D4584" s="5"/>
      <c r="E4584" s="5"/>
      <c r="F4584" s="5" t="str">
        <f t="shared" ref="F4584:G4584" si="1219">F4583</f>
        <v>None</v>
      </c>
      <c r="G4584" s="15" t="str">
        <f t="shared" si="1219"/>
        <v>None</v>
      </c>
      <c r="H4584" s="24">
        <f t="shared" si="961"/>
        <v>0</v>
      </c>
      <c r="I4584" s="24" t="str" cm="1">
        <f t="array" ref="I4584">IFERROR(IF($B4584=I$1, ($A4584+$C4584) - MAX(IF($B$2:$B4583=$B4584, $A$2:$A4583+$C$2:$C4583)), "")*24*60, "")</f>
        <v/>
      </c>
      <c r="J4584" s="24" t="str" cm="1">
        <f t="array" ref="J4584">IFERROR(IF($B4584=J$1, ($A4584+$C4584) - MAX(IF($B$2:$B4583=$B4584, $A$2:$A4583+$C$2:$C4583)), "")*24*60, "")</f>
        <v/>
      </c>
      <c r="K4584" s="24" t="str" cm="1">
        <f t="array" ref="K4584">IFERROR(IF($B4584=K$1, ($A4584+$C4584) - MAX(IF($B$2:$B4583=$B4584, $A$2:$A4583+$C$2:$C4583)), "")*24*60, "")</f>
        <v/>
      </c>
      <c r="L4584" s="24" t="str" cm="1">
        <f t="array" ref="L4584">IFERROR(IF($B4584=L$1, ($A4584+$C4584) - MAX(IF($B$2:$B4583=$B4584, $A$2:$A4583+$C$2:$C4583)), "")*24*60, "")</f>
        <v/>
      </c>
      <c r="M4584" s="24" t="str" cm="1">
        <f t="array" ref="M4584">IFERROR(IF($B4584=M$1, ($A4584+$C4584) - MAX(IF($B$2:$B4583=$B4584, $A$2:$A4583+$C$2:$C4583)), "")*24*60, "")</f>
        <v/>
      </c>
      <c r="N4584" s="24" t="str" cm="1">
        <f t="array" ref="N4584">IFERROR(IF($B4584=N$1, ($A4584+$C4584) - MAX(IF($B$2:$B4583=$B4584, $A$2:$A4583+$C$2:$C4583)), "")*24*60, "")</f>
        <v/>
      </c>
      <c r="O4584" s="24" cm="1">
        <f t="array" ref="O4584">IFERROR(IF($B4584=O$1, ($A4584+$C4584) - MAX(IF($B$2:$B4583=$B4584, $A$2:$A4583+$C$2:$C4583)), "")*24*60, "")</f>
        <v>0</v>
      </c>
      <c r="P4584" s="24" t="str" cm="1">
        <f t="array" ref="P4584">IFERROR(IF($B4584=P$1, ($A4584+$C4584) - MAX(IF($B$2:$B4583=$B4584, $A$2:$A4583+$C$2:$C4583)), "")*24*60, "")</f>
        <v/>
      </c>
    </row>
    <row r="4585" spans="1:16" x14ac:dyDescent="0.2">
      <c r="A4585" s="12">
        <f t="shared" ref="A4585:C4585" si="1220">A4584</f>
        <v>45965</v>
      </c>
      <c r="B4585" s="5" t="str">
        <f t="shared" si="1220"/>
        <v>Mourning Dove</v>
      </c>
      <c r="C4585" s="6">
        <f t="shared" si="1220"/>
        <v>0.29166666666666669</v>
      </c>
      <c r="D4585" s="5"/>
      <c r="E4585" s="5"/>
      <c r="F4585" s="5" t="str">
        <f t="shared" ref="F4585:G4585" si="1221">F4584</f>
        <v>None</v>
      </c>
      <c r="G4585" s="15" t="str">
        <f t="shared" si="1221"/>
        <v>None</v>
      </c>
      <c r="H4585" s="24">
        <f t="shared" si="961"/>
        <v>0</v>
      </c>
      <c r="I4585" s="24" t="str" cm="1">
        <f t="array" ref="I4585">IFERROR(IF($B4585=I$1, ($A4585+$C4585) - MAX(IF($B$2:$B4584=$B4585, $A$2:$A4584+$C$2:$C4584)), "")*24*60, "")</f>
        <v/>
      </c>
      <c r="J4585" s="24" t="str" cm="1">
        <f t="array" ref="J4585">IFERROR(IF($B4585=J$1, ($A4585+$C4585) - MAX(IF($B$2:$B4584=$B4585, $A$2:$A4584+$C$2:$C4584)), "")*24*60, "")</f>
        <v/>
      </c>
      <c r="K4585" s="24" t="str" cm="1">
        <f t="array" ref="K4585">IFERROR(IF($B4585=K$1, ($A4585+$C4585) - MAX(IF($B$2:$B4584=$B4585, $A$2:$A4584+$C$2:$C4584)), "")*24*60, "")</f>
        <v/>
      </c>
      <c r="L4585" s="24" t="str" cm="1">
        <f t="array" ref="L4585">IFERROR(IF($B4585=L$1, ($A4585+$C4585) - MAX(IF($B$2:$B4584=$B4585, $A$2:$A4584+$C$2:$C4584)), "")*24*60, "")</f>
        <v/>
      </c>
      <c r="M4585" s="24" t="str" cm="1">
        <f t="array" ref="M4585">IFERROR(IF($B4585=M$1, ($A4585+$C4585) - MAX(IF($B$2:$B4584=$B4585, $A$2:$A4584+$C$2:$C4584)), "")*24*60, "")</f>
        <v/>
      </c>
      <c r="N4585" s="24" t="str" cm="1">
        <f t="array" ref="N4585">IFERROR(IF($B4585=N$1, ($A4585+$C4585) - MAX(IF($B$2:$B4584=$B4585, $A$2:$A4584+$C$2:$C4584)), "")*24*60, "")</f>
        <v/>
      </c>
      <c r="O4585" s="24" cm="1">
        <f t="array" ref="O4585">IFERROR(IF($B4585=O$1, ($A4585+$C4585) - MAX(IF($B$2:$B4584=$B4585, $A$2:$A4584+$C$2:$C4584)), "")*24*60, "")</f>
        <v>0</v>
      </c>
      <c r="P4585" s="24" t="str" cm="1">
        <f t="array" ref="P4585">IFERROR(IF($B4585=P$1, ($A4585+$C4585) - MAX(IF($B$2:$B4584=$B4585, $A$2:$A4584+$C$2:$C4584)), "")*24*60, "")</f>
        <v/>
      </c>
    </row>
    <row r="4586" spans="1:16" x14ac:dyDescent="0.2">
      <c r="A4586" s="12">
        <f t="shared" ref="A4586:C4586" si="1222">A4585</f>
        <v>45965</v>
      </c>
      <c r="B4586" s="5" t="str">
        <f t="shared" si="1222"/>
        <v>Mourning Dove</v>
      </c>
      <c r="C4586" s="6">
        <f t="shared" si="1222"/>
        <v>0.29166666666666669</v>
      </c>
      <c r="D4586" s="5"/>
      <c r="E4586" s="5"/>
      <c r="F4586" s="5" t="str">
        <f t="shared" ref="F4586:G4586" si="1223">F4585</f>
        <v>None</v>
      </c>
      <c r="G4586" s="15" t="str">
        <f t="shared" si="1223"/>
        <v>None</v>
      </c>
      <c r="H4586" s="24">
        <f t="shared" si="961"/>
        <v>0</v>
      </c>
      <c r="I4586" s="24" t="str" cm="1">
        <f t="array" ref="I4586">IFERROR(IF($B4586=I$1, ($A4586+$C4586) - MAX(IF($B$2:$B4585=$B4586, $A$2:$A4585+$C$2:$C4585)), "")*24*60, "")</f>
        <v/>
      </c>
      <c r="J4586" s="24" t="str" cm="1">
        <f t="array" ref="J4586">IFERROR(IF($B4586=J$1, ($A4586+$C4586) - MAX(IF($B$2:$B4585=$B4586, $A$2:$A4585+$C$2:$C4585)), "")*24*60, "")</f>
        <v/>
      </c>
      <c r="K4586" s="24" t="str" cm="1">
        <f t="array" ref="K4586">IFERROR(IF($B4586=K$1, ($A4586+$C4586) - MAX(IF($B$2:$B4585=$B4586, $A$2:$A4585+$C$2:$C4585)), "")*24*60, "")</f>
        <v/>
      </c>
      <c r="L4586" s="24" t="str" cm="1">
        <f t="array" ref="L4586">IFERROR(IF($B4586=L$1, ($A4586+$C4586) - MAX(IF($B$2:$B4585=$B4586, $A$2:$A4585+$C$2:$C4585)), "")*24*60, "")</f>
        <v/>
      </c>
      <c r="M4586" s="24" t="str" cm="1">
        <f t="array" ref="M4586">IFERROR(IF($B4586=M$1, ($A4586+$C4586) - MAX(IF($B$2:$B4585=$B4586, $A$2:$A4585+$C$2:$C4585)), "")*24*60, "")</f>
        <v/>
      </c>
      <c r="N4586" s="24" t="str" cm="1">
        <f t="array" ref="N4586">IFERROR(IF($B4586=N$1, ($A4586+$C4586) - MAX(IF($B$2:$B4585=$B4586, $A$2:$A4585+$C$2:$C4585)), "")*24*60, "")</f>
        <v/>
      </c>
      <c r="O4586" s="24" cm="1">
        <f t="array" ref="O4586">IFERROR(IF($B4586=O$1, ($A4586+$C4586) - MAX(IF($B$2:$B4585=$B4586, $A$2:$A4585+$C$2:$C4585)), "")*24*60, "")</f>
        <v>0</v>
      </c>
      <c r="P4586" s="24" t="str" cm="1">
        <f t="array" ref="P4586">IFERROR(IF($B4586=P$1, ($A4586+$C4586) - MAX(IF($B$2:$B4585=$B4586, $A$2:$A4585+$C$2:$C4585)), "")*24*60, "")</f>
        <v/>
      </c>
    </row>
    <row r="4587" spans="1:16" x14ac:dyDescent="0.2">
      <c r="A4587" s="12">
        <f t="shared" ref="A4587:C4587" si="1224">A4586</f>
        <v>45965</v>
      </c>
      <c r="B4587" s="5" t="str">
        <f t="shared" si="1224"/>
        <v>Mourning Dove</v>
      </c>
      <c r="C4587" s="6">
        <f t="shared" si="1224"/>
        <v>0.29166666666666669</v>
      </c>
      <c r="D4587" s="5"/>
      <c r="E4587" s="5"/>
      <c r="F4587" s="5" t="str">
        <f t="shared" ref="F4587:G4587" si="1225">F4586</f>
        <v>None</v>
      </c>
      <c r="G4587" s="15" t="str">
        <f t="shared" si="1225"/>
        <v>None</v>
      </c>
      <c r="H4587" s="24">
        <f t="shared" si="961"/>
        <v>0</v>
      </c>
      <c r="I4587" s="24" t="str" cm="1">
        <f t="array" ref="I4587">IFERROR(IF($B4587=I$1, ($A4587+$C4587) - MAX(IF($B$2:$B4586=$B4587, $A$2:$A4586+$C$2:$C4586)), "")*24*60, "")</f>
        <v/>
      </c>
      <c r="J4587" s="24" t="str" cm="1">
        <f t="array" ref="J4587">IFERROR(IF($B4587=J$1, ($A4587+$C4587) - MAX(IF($B$2:$B4586=$B4587, $A$2:$A4586+$C$2:$C4586)), "")*24*60, "")</f>
        <v/>
      </c>
      <c r="K4587" s="24" t="str" cm="1">
        <f t="array" ref="K4587">IFERROR(IF($B4587=K$1, ($A4587+$C4587) - MAX(IF($B$2:$B4586=$B4587, $A$2:$A4586+$C$2:$C4586)), "")*24*60, "")</f>
        <v/>
      </c>
      <c r="L4587" s="24" t="str" cm="1">
        <f t="array" ref="L4587">IFERROR(IF($B4587=L$1, ($A4587+$C4587) - MAX(IF($B$2:$B4586=$B4587, $A$2:$A4586+$C$2:$C4586)), "")*24*60, "")</f>
        <v/>
      </c>
      <c r="M4587" s="24" t="str" cm="1">
        <f t="array" ref="M4587">IFERROR(IF($B4587=M$1, ($A4587+$C4587) - MAX(IF($B$2:$B4586=$B4587, $A$2:$A4586+$C$2:$C4586)), "")*24*60, "")</f>
        <v/>
      </c>
      <c r="N4587" s="24" t="str" cm="1">
        <f t="array" ref="N4587">IFERROR(IF($B4587=N$1, ($A4587+$C4587) - MAX(IF($B$2:$B4586=$B4587, $A$2:$A4586+$C$2:$C4586)), "")*24*60, "")</f>
        <v/>
      </c>
      <c r="O4587" s="24" cm="1">
        <f t="array" ref="O4587">IFERROR(IF($B4587=O$1, ($A4587+$C4587) - MAX(IF($B$2:$B4586=$B4587, $A$2:$A4586+$C$2:$C4586)), "")*24*60, "")</f>
        <v>0</v>
      </c>
      <c r="P4587" s="24" t="str" cm="1">
        <f t="array" ref="P4587">IFERROR(IF($B4587=P$1, ($A4587+$C4587) - MAX(IF($B$2:$B4586=$B4587, $A$2:$A4586+$C$2:$C4586)), "")*24*60, "")</f>
        <v/>
      </c>
    </row>
    <row r="4588" spans="1:16" x14ac:dyDescent="0.2">
      <c r="A4588" s="12">
        <f t="shared" ref="A4588:C4588" si="1226">A4587</f>
        <v>45965</v>
      </c>
      <c r="B4588" s="5" t="str">
        <f t="shared" si="1226"/>
        <v>Mourning Dove</v>
      </c>
      <c r="C4588" s="6">
        <f t="shared" si="1226"/>
        <v>0.29166666666666669</v>
      </c>
      <c r="D4588" s="5"/>
      <c r="E4588" s="5"/>
      <c r="F4588" s="5" t="str">
        <f t="shared" ref="F4588:G4588" si="1227">F4587</f>
        <v>None</v>
      </c>
      <c r="G4588" s="15" t="str">
        <f t="shared" si="1227"/>
        <v>None</v>
      </c>
      <c r="H4588" s="24">
        <f t="shared" si="961"/>
        <v>0</v>
      </c>
      <c r="I4588" s="24" t="str" cm="1">
        <f t="array" ref="I4588">IFERROR(IF($B4588=I$1, ($A4588+$C4588) - MAX(IF($B$2:$B4587=$B4588, $A$2:$A4587+$C$2:$C4587)), "")*24*60, "")</f>
        <v/>
      </c>
      <c r="J4588" s="24" t="str" cm="1">
        <f t="array" ref="J4588">IFERROR(IF($B4588=J$1, ($A4588+$C4588) - MAX(IF($B$2:$B4587=$B4588, $A$2:$A4587+$C$2:$C4587)), "")*24*60, "")</f>
        <v/>
      </c>
      <c r="K4588" s="24" t="str" cm="1">
        <f t="array" ref="K4588">IFERROR(IF($B4588=K$1, ($A4588+$C4588) - MAX(IF($B$2:$B4587=$B4588, $A$2:$A4587+$C$2:$C4587)), "")*24*60, "")</f>
        <v/>
      </c>
      <c r="L4588" s="24" t="str" cm="1">
        <f t="array" ref="L4588">IFERROR(IF($B4588=L$1, ($A4588+$C4588) - MAX(IF($B$2:$B4587=$B4588, $A$2:$A4587+$C$2:$C4587)), "")*24*60, "")</f>
        <v/>
      </c>
      <c r="M4588" s="24" t="str" cm="1">
        <f t="array" ref="M4588">IFERROR(IF($B4588=M$1, ($A4588+$C4588) - MAX(IF($B$2:$B4587=$B4588, $A$2:$A4587+$C$2:$C4587)), "")*24*60, "")</f>
        <v/>
      </c>
      <c r="N4588" s="24" t="str" cm="1">
        <f t="array" ref="N4588">IFERROR(IF($B4588=N$1, ($A4588+$C4588) - MAX(IF($B$2:$B4587=$B4588, $A$2:$A4587+$C$2:$C4587)), "")*24*60, "")</f>
        <v/>
      </c>
      <c r="O4588" s="24" cm="1">
        <f t="array" ref="O4588">IFERROR(IF($B4588=O$1, ($A4588+$C4588) - MAX(IF($B$2:$B4587=$B4588, $A$2:$A4587+$C$2:$C4587)), "")*24*60, "")</f>
        <v>0</v>
      </c>
      <c r="P4588" s="24" t="str" cm="1">
        <f t="array" ref="P4588">IFERROR(IF($B4588=P$1, ($A4588+$C4588) - MAX(IF($B$2:$B4587=$B4588, $A$2:$A4587+$C$2:$C4587)), "")*24*60, "")</f>
        <v/>
      </c>
    </row>
    <row r="4589" spans="1:16" x14ac:dyDescent="0.2">
      <c r="A4589" s="12">
        <f t="shared" ref="A4589:C4589" si="1228">A4588</f>
        <v>45965</v>
      </c>
      <c r="B4589" s="5" t="str">
        <f t="shared" si="1228"/>
        <v>Mourning Dove</v>
      </c>
      <c r="C4589" s="6">
        <f t="shared" si="1228"/>
        <v>0.29166666666666669</v>
      </c>
      <c r="D4589" s="5"/>
      <c r="E4589" s="5"/>
      <c r="F4589" s="5" t="str">
        <f t="shared" ref="F4589:G4589" si="1229">F4588</f>
        <v>None</v>
      </c>
      <c r="G4589" s="15" t="str">
        <f t="shared" si="1229"/>
        <v>None</v>
      </c>
      <c r="H4589" s="24">
        <f t="shared" si="961"/>
        <v>0</v>
      </c>
      <c r="I4589" s="24" t="str" cm="1">
        <f t="array" ref="I4589">IFERROR(IF($B4589=I$1, ($A4589+$C4589) - MAX(IF($B$2:$B4588=$B4589, $A$2:$A4588+$C$2:$C4588)), "")*24*60, "")</f>
        <v/>
      </c>
      <c r="J4589" s="24" t="str" cm="1">
        <f t="array" ref="J4589">IFERROR(IF($B4589=J$1, ($A4589+$C4589) - MAX(IF($B$2:$B4588=$B4589, $A$2:$A4588+$C$2:$C4588)), "")*24*60, "")</f>
        <v/>
      </c>
      <c r="K4589" s="24" t="str" cm="1">
        <f t="array" ref="K4589">IFERROR(IF($B4589=K$1, ($A4589+$C4589) - MAX(IF($B$2:$B4588=$B4589, $A$2:$A4588+$C$2:$C4588)), "")*24*60, "")</f>
        <v/>
      </c>
      <c r="L4589" s="24" t="str" cm="1">
        <f t="array" ref="L4589">IFERROR(IF($B4589=L$1, ($A4589+$C4589) - MAX(IF($B$2:$B4588=$B4589, $A$2:$A4588+$C$2:$C4588)), "")*24*60, "")</f>
        <v/>
      </c>
      <c r="M4589" s="24" t="str" cm="1">
        <f t="array" ref="M4589">IFERROR(IF($B4589=M$1, ($A4589+$C4589) - MAX(IF($B$2:$B4588=$B4589, $A$2:$A4588+$C$2:$C4588)), "")*24*60, "")</f>
        <v/>
      </c>
      <c r="N4589" s="24" t="str" cm="1">
        <f t="array" ref="N4589">IFERROR(IF($B4589=N$1, ($A4589+$C4589) - MAX(IF($B$2:$B4588=$B4589, $A$2:$A4588+$C$2:$C4588)), "")*24*60, "")</f>
        <v/>
      </c>
      <c r="O4589" s="24" cm="1">
        <f t="array" ref="O4589">IFERROR(IF($B4589=O$1, ($A4589+$C4589) - MAX(IF($B$2:$B4588=$B4589, $A$2:$A4588+$C$2:$C4588)), "")*24*60, "")</f>
        <v>0</v>
      </c>
      <c r="P4589" s="24" t="str" cm="1">
        <f t="array" ref="P4589">IFERROR(IF($B4589=P$1, ($A4589+$C4589) - MAX(IF($B$2:$B4588=$B4589, $A$2:$A4588+$C$2:$C4588)), "")*24*60, "")</f>
        <v/>
      </c>
    </row>
    <row r="4590" spans="1:16" x14ac:dyDescent="0.2">
      <c r="A4590" s="12">
        <f t="shared" ref="A4590:C4590" si="1230">A4589</f>
        <v>45965</v>
      </c>
      <c r="B4590" s="5" t="str">
        <f t="shared" si="1230"/>
        <v>Mourning Dove</v>
      </c>
      <c r="C4590" s="6">
        <f t="shared" si="1230"/>
        <v>0.29166666666666669</v>
      </c>
      <c r="D4590" s="5"/>
      <c r="E4590" s="5"/>
      <c r="F4590" s="5" t="str">
        <f t="shared" ref="F4590:G4590" si="1231">F4589</f>
        <v>None</v>
      </c>
      <c r="G4590" s="15" t="str">
        <f t="shared" si="1231"/>
        <v>None</v>
      </c>
      <c r="H4590" s="24">
        <f t="shared" si="961"/>
        <v>0</v>
      </c>
      <c r="I4590" s="24" t="str" cm="1">
        <f t="array" ref="I4590">IFERROR(IF($B4590=I$1, ($A4590+$C4590) - MAX(IF($B$2:$B4589=$B4590, $A$2:$A4589+$C$2:$C4589)), "")*24*60, "")</f>
        <v/>
      </c>
      <c r="J4590" s="24" t="str" cm="1">
        <f t="array" ref="J4590">IFERROR(IF($B4590=J$1, ($A4590+$C4590) - MAX(IF($B$2:$B4589=$B4590, $A$2:$A4589+$C$2:$C4589)), "")*24*60, "")</f>
        <v/>
      </c>
      <c r="K4590" s="24" t="str" cm="1">
        <f t="array" ref="K4590">IFERROR(IF($B4590=K$1, ($A4590+$C4590) - MAX(IF($B$2:$B4589=$B4590, $A$2:$A4589+$C$2:$C4589)), "")*24*60, "")</f>
        <v/>
      </c>
      <c r="L4590" s="24" t="str" cm="1">
        <f t="array" ref="L4590">IFERROR(IF($B4590=L$1, ($A4590+$C4590) - MAX(IF($B$2:$B4589=$B4590, $A$2:$A4589+$C$2:$C4589)), "")*24*60, "")</f>
        <v/>
      </c>
      <c r="M4590" s="24" t="str" cm="1">
        <f t="array" ref="M4590">IFERROR(IF($B4590=M$1, ($A4590+$C4590) - MAX(IF($B$2:$B4589=$B4590, $A$2:$A4589+$C$2:$C4589)), "")*24*60, "")</f>
        <v/>
      </c>
      <c r="N4590" s="24" t="str" cm="1">
        <f t="array" ref="N4590">IFERROR(IF($B4590=N$1, ($A4590+$C4590) - MAX(IF($B$2:$B4589=$B4590, $A$2:$A4589+$C$2:$C4589)), "")*24*60, "")</f>
        <v/>
      </c>
      <c r="O4590" s="24" cm="1">
        <f t="array" ref="O4590">IFERROR(IF($B4590=O$1, ($A4590+$C4590) - MAX(IF($B$2:$B4589=$B4590, $A$2:$A4589+$C$2:$C4589)), "")*24*60, "")</f>
        <v>0</v>
      </c>
      <c r="P4590" s="24" t="str" cm="1">
        <f t="array" ref="P4590">IFERROR(IF($B4590=P$1, ($A4590+$C4590) - MAX(IF($B$2:$B4589=$B4590, $A$2:$A4589+$C$2:$C4589)), "")*24*60, "")</f>
        <v/>
      </c>
    </row>
    <row r="4591" spans="1:16" x14ac:dyDescent="0.2">
      <c r="A4591" s="12">
        <f t="shared" ref="A4591:C4591" si="1232">A4590</f>
        <v>45965</v>
      </c>
      <c r="B4591" s="5" t="str">
        <f t="shared" si="1232"/>
        <v>Mourning Dove</v>
      </c>
      <c r="C4591" s="6">
        <f t="shared" si="1232"/>
        <v>0.29166666666666669</v>
      </c>
      <c r="D4591" s="5"/>
      <c r="E4591" s="5"/>
      <c r="F4591" s="5" t="str">
        <f t="shared" ref="F4591:G4591" si="1233">F4590</f>
        <v>None</v>
      </c>
      <c r="G4591" s="15" t="str">
        <f t="shared" si="1233"/>
        <v>None</v>
      </c>
      <c r="H4591" s="24">
        <f t="shared" si="961"/>
        <v>0</v>
      </c>
      <c r="I4591" s="24" t="str" cm="1">
        <f t="array" ref="I4591">IFERROR(IF($B4591=I$1, ($A4591+$C4591) - MAX(IF($B$2:$B4590=$B4591, $A$2:$A4590+$C$2:$C4590)), "")*24*60, "")</f>
        <v/>
      </c>
      <c r="J4591" s="24" t="str" cm="1">
        <f t="array" ref="J4591">IFERROR(IF($B4591=J$1, ($A4591+$C4591) - MAX(IF($B$2:$B4590=$B4591, $A$2:$A4590+$C$2:$C4590)), "")*24*60, "")</f>
        <v/>
      </c>
      <c r="K4591" s="24" t="str" cm="1">
        <f t="array" ref="K4591">IFERROR(IF($B4591=K$1, ($A4591+$C4591) - MAX(IF($B$2:$B4590=$B4591, $A$2:$A4590+$C$2:$C4590)), "")*24*60, "")</f>
        <v/>
      </c>
      <c r="L4591" s="24" t="str" cm="1">
        <f t="array" ref="L4591">IFERROR(IF($B4591=L$1, ($A4591+$C4591) - MAX(IF($B$2:$B4590=$B4591, $A$2:$A4590+$C$2:$C4590)), "")*24*60, "")</f>
        <v/>
      </c>
      <c r="M4591" s="24" t="str" cm="1">
        <f t="array" ref="M4591">IFERROR(IF($B4591=M$1, ($A4591+$C4591) - MAX(IF($B$2:$B4590=$B4591, $A$2:$A4590+$C$2:$C4590)), "")*24*60, "")</f>
        <v/>
      </c>
      <c r="N4591" s="24" t="str" cm="1">
        <f t="array" ref="N4591">IFERROR(IF($B4591=N$1, ($A4591+$C4591) - MAX(IF($B$2:$B4590=$B4591, $A$2:$A4590+$C$2:$C4590)), "")*24*60, "")</f>
        <v/>
      </c>
      <c r="O4591" s="24" cm="1">
        <f t="array" ref="O4591">IFERROR(IF($B4591=O$1, ($A4591+$C4591) - MAX(IF($B$2:$B4590=$B4591, $A$2:$A4590+$C$2:$C4590)), "")*24*60, "")</f>
        <v>0</v>
      </c>
      <c r="P4591" s="24" t="str" cm="1">
        <f t="array" ref="P4591">IFERROR(IF($B4591=P$1, ($A4591+$C4591) - MAX(IF($B$2:$B4590=$B4591, $A$2:$A4590+$C$2:$C4590)), "")*24*60, "")</f>
        <v/>
      </c>
    </row>
    <row r="4592" spans="1:16" x14ac:dyDescent="0.2">
      <c r="A4592" s="12">
        <f t="shared" ref="A4592:C4592" si="1234">A4591</f>
        <v>45965</v>
      </c>
      <c r="B4592" s="5" t="str">
        <f t="shared" si="1234"/>
        <v>Mourning Dove</v>
      </c>
      <c r="C4592" s="6">
        <f t="shared" si="1234"/>
        <v>0.29166666666666669</v>
      </c>
      <c r="D4592" s="5"/>
      <c r="E4592" s="5"/>
      <c r="F4592" s="5" t="str">
        <f t="shared" ref="F4592:G4592" si="1235">F4591</f>
        <v>None</v>
      </c>
      <c r="G4592" s="15" t="str">
        <f t="shared" si="1235"/>
        <v>None</v>
      </c>
      <c r="H4592" s="24">
        <f t="shared" si="961"/>
        <v>0</v>
      </c>
      <c r="I4592" s="24" t="str" cm="1">
        <f t="array" ref="I4592">IFERROR(IF($B4592=I$1, ($A4592+$C4592) - MAX(IF($B$2:$B4591=$B4592, $A$2:$A4591+$C$2:$C4591)), "")*24*60, "")</f>
        <v/>
      </c>
      <c r="J4592" s="24" t="str" cm="1">
        <f t="array" ref="J4592">IFERROR(IF($B4592=J$1, ($A4592+$C4592) - MAX(IF($B$2:$B4591=$B4592, $A$2:$A4591+$C$2:$C4591)), "")*24*60, "")</f>
        <v/>
      </c>
      <c r="K4592" s="24" t="str" cm="1">
        <f t="array" ref="K4592">IFERROR(IF($B4592=K$1, ($A4592+$C4592) - MAX(IF($B$2:$B4591=$B4592, $A$2:$A4591+$C$2:$C4591)), "")*24*60, "")</f>
        <v/>
      </c>
      <c r="L4592" s="24" t="str" cm="1">
        <f t="array" ref="L4592">IFERROR(IF($B4592=L$1, ($A4592+$C4592) - MAX(IF($B$2:$B4591=$B4592, $A$2:$A4591+$C$2:$C4591)), "")*24*60, "")</f>
        <v/>
      </c>
      <c r="M4592" s="24" t="str" cm="1">
        <f t="array" ref="M4592">IFERROR(IF($B4592=M$1, ($A4592+$C4592) - MAX(IF($B$2:$B4591=$B4592, $A$2:$A4591+$C$2:$C4591)), "")*24*60, "")</f>
        <v/>
      </c>
      <c r="N4592" s="24" t="str" cm="1">
        <f t="array" ref="N4592">IFERROR(IF($B4592=N$1, ($A4592+$C4592) - MAX(IF($B$2:$B4591=$B4592, $A$2:$A4591+$C$2:$C4591)), "")*24*60, "")</f>
        <v/>
      </c>
      <c r="O4592" s="24" cm="1">
        <f t="array" ref="O4592">IFERROR(IF($B4592=O$1, ($A4592+$C4592) - MAX(IF($B$2:$B4591=$B4592, $A$2:$A4591+$C$2:$C4591)), "")*24*60, "")</f>
        <v>0</v>
      </c>
      <c r="P4592" s="24" t="str" cm="1">
        <f t="array" ref="P4592">IFERROR(IF($B4592=P$1, ($A4592+$C4592) - MAX(IF($B$2:$B4591=$B4592, $A$2:$A4591+$C$2:$C4591)), "")*24*60, "")</f>
        <v/>
      </c>
    </row>
    <row r="4593" spans="1:16" x14ac:dyDescent="0.2">
      <c r="A4593" s="12">
        <f t="shared" ref="A4593:C4593" si="1236">A4592</f>
        <v>45965</v>
      </c>
      <c r="B4593" s="5" t="str">
        <f t="shared" si="1236"/>
        <v>Mourning Dove</v>
      </c>
      <c r="C4593" s="6">
        <f t="shared" si="1236"/>
        <v>0.29166666666666669</v>
      </c>
      <c r="D4593" s="5"/>
      <c r="E4593" s="5"/>
      <c r="F4593" s="5" t="str">
        <f t="shared" ref="F4593:G4593" si="1237">F4592</f>
        <v>None</v>
      </c>
      <c r="G4593" s="15" t="str">
        <f t="shared" si="1237"/>
        <v>None</v>
      </c>
      <c r="H4593" s="24">
        <f t="shared" si="961"/>
        <v>0</v>
      </c>
      <c r="I4593" s="24" t="str" cm="1">
        <f t="array" ref="I4593">IFERROR(IF($B4593=I$1, ($A4593+$C4593) - MAX(IF($B$2:$B4592=$B4593, $A$2:$A4592+$C$2:$C4592)), "")*24*60, "")</f>
        <v/>
      </c>
      <c r="J4593" s="24" t="str" cm="1">
        <f t="array" ref="J4593">IFERROR(IF($B4593=J$1, ($A4593+$C4593) - MAX(IF($B$2:$B4592=$B4593, $A$2:$A4592+$C$2:$C4592)), "")*24*60, "")</f>
        <v/>
      </c>
      <c r="K4593" s="24" t="str" cm="1">
        <f t="array" ref="K4593">IFERROR(IF($B4593=K$1, ($A4593+$C4593) - MAX(IF($B$2:$B4592=$B4593, $A$2:$A4592+$C$2:$C4592)), "")*24*60, "")</f>
        <v/>
      </c>
      <c r="L4593" s="24" t="str" cm="1">
        <f t="array" ref="L4593">IFERROR(IF($B4593=L$1, ($A4593+$C4593) - MAX(IF($B$2:$B4592=$B4593, $A$2:$A4592+$C$2:$C4592)), "")*24*60, "")</f>
        <v/>
      </c>
      <c r="M4593" s="24" t="str" cm="1">
        <f t="array" ref="M4593">IFERROR(IF($B4593=M$1, ($A4593+$C4593) - MAX(IF($B$2:$B4592=$B4593, $A$2:$A4592+$C$2:$C4592)), "")*24*60, "")</f>
        <v/>
      </c>
      <c r="N4593" s="24" t="str" cm="1">
        <f t="array" ref="N4593">IFERROR(IF($B4593=N$1, ($A4593+$C4593) - MAX(IF($B$2:$B4592=$B4593, $A$2:$A4592+$C$2:$C4592)), "")*24*60, "")</f>
        <v/>
      </c>
      <c r="O4593" s="24" cm="1">
        <f t="array" ref="O4593">IFERROR(IF($B4593=O$1, ($A4593+$C4593) - MAX(IF($B$2:$B4592=$B4593, $A$2:$A4592+$C$2:$C4592)), "")*24*60, "")</f>
        <v>0</v>
      </c>
      <c r="P4593" s="24" t="str" cm="1">
        <f t="array" ref="P4593">IFERROR(IF($B4593=P$1, ($A4593+$C4593) - MAX(IF($B$2:$B4592=$B4593, $A$2:$A4592+$C$2:$C4592)), "")*24*60, "")</f>
        <v/>
      </c>
    </row>
    <row r="4594" spans="1:16" x14ac:dyDescent="0.2">
      <c r="A4594" s="12">
        <f t="shared" ref="A4594:C4594" si="1238">A4593</f>
        <v>45965</v>
      </c>
      <c r="B4594" s="5" t="str">
        <f t="shared" si="1238"/>
        <v>Mourning Dove</v>
      </c>
      <c r="C4594" s="6">
        <f t="shared" si="1238"/>
        <v>0.29166666666666669</v>
      </c>
      <c r="D4594" s="5"/>
      <c r="E4594" s="5"/>
      <c r="F4594" s="5" t="str">
        <f t="shared" ref="F4594:G4594" si="1239">F4593</f>
        <v>None</v>
      </c>
      <c r="G4594" s="15" t="str">
        <f t="shared" si="1239"/>
        <v>None</v>
      </c>
      <c r="H4594" s="24">
        <f t="shared" si="961"/>
        <v>0</v>
      </c>
      <c r="I4594" s="24" t="str" cm="1">
        <f t="array" ref="I4594">IFERROR(IF($B4594=I$1, ($A4594+$C4594) - MAX(IF($B$2:$B4593=$B4594, $A$2:$A4593+$C$2:$C4593)), "")*24*60, "")</f>
        <v/>
      </c>
      <c r="J4594" s="24" t="str" cm="1">
        <f t="array" ref="J4594">IFERROR(IF($B4594=J$1, ($A4594+$C4594) - MAX(IF($B$2:$B4593=$B4594, $A$2:$A4593+$C$2:$C4593)), "")*24*60, "")</f>
        <v/>
      </c>
      <c r="K4594" s="24" t="str" cm="1">
        <f t="array" ref="K4594">IFERROR(IF($B4594=K$1, ($A4594+$C4594) - MAX(IF($B$2:$B4593=$B4594, $A$2:$A4593+$C$2:$C4593)), "")*24*60, "")</f>
        <v/>
      </c>
      <c r="L4594" s="24" t="str" cm="1">
        <f t="array" ref="L4594">IFERROR(IF($B4594=L$1, ($A4594+$C4594) - MAX(IF($B$2:$B4593=$B4594, $A$2:$A4593+$C$2:$C4593)), "")*24*60, "")</f>
        <v/>
      </c>
      <c r="M4594" s="24" t="str" cm="1">
        <f t="array" ref="M4594">IFERROR(IF($B4594=M$1, ($A4594+$C4594) - MAX(IF($B$2:$B4593=$B4594, $A$2:$A4593+$C$2:$C4593)), "")*24*60, "")</f>
        <v/>
      </c>
      <c r="N4594" s="24" t="str" cm="1">
        <f t="array" ref="N4594">IFERROR(IF($B4594=N$1, ($A4594+$C4594) - MAX(IF($B$2:$B4593=$B4594, $A$2:$A4593+$C$2:$C4593)), "")*24*60, "")</f>
        <v/>
      </c>
      <c r="O4594" s="24" cm="1">
        <f t="array" ref="O4594">IFERROR(IF($B4594=O$1, ($A4594+$C4594) - MAX(IF($B$2:$B4593=$B4594, $A$2:$A4593+$C$2:$C4593)), "")*24*60, "")</f>
        <v>0</v>
      </c>
      <c r="P4594" s="24" t="str" cm="1">
        <f t="array" ref="P4594">IFERROR(IF($B4594=P$1, ($A4594+$C4594) - MAX(IF($B$2:$B4593=$B4594, $A$2:$A4593+$C$2:$C4593)), "")*24*60, "")</f>
        <v/>
      </c>
    </row>
    <row r="4595" spans="1:16" x14ac:dyDescent="0.2">
      <c r="A4595" s="12">
        <f t="shared" ref="A4595:C4595" si="1240">A4594</f>
        <v>45965</v>
      </c>
      <c r="B4595" s="5" t="str">
        <f t="shared" si="1240"/>
        <v>Mourning Dove</v>
      </c>
      <c r="C4595" s="6">
        <f t="shared" si="1240"/>
        <v>0.29166666666666669</v>
      </c>
      <c r="D4595" s="5"/>
      <c r="E4595" s="5"/>
      <c r="F4595" s="5" t="str">
        <f t="shared" ref="F4595:G4595" si="1241">F4594</f>
        <v>None</v>
      </c>
      <c r="G4595" s="15" t="str">
        <f t="shared" si="1241"/>
        <v>None</v>
      </c>
      <c r="H4595" s="24">
        <f t="shared" si="961"/>
        <v>0</v>
      </c>
      <c r="I4595" s="24" t="str" cm="1">
        <f t="array" ref="I4595">IFERROR(IF($B4595=I$1, ($A4595+$C4595) - MAX(IF($B$2:$B4594=$B4595, $A$2:$A4594+$C$2:$C4594)), "")*24*60, "")</f>
        <v/>
      </c>
      <c r="J4595" s="24" t="str" cm="1">
        <f t="array" ref="J4595">IFERROR(IF($B4595=J$1, ($A4595+$C4595) - MAX(IF($B$2:$B4594=$B4595, $A$2:$A4594+$C$2:$C4594)), "")*24*60, "")</f>
        <v/>
      </c>
      <c r="K4595" s="24" t="str" cm="1">
        <f t="array" ref="K4595">IFERROR(IF($B4595=K$1, ($A4595+$C4595) - MAX(IF($B$2:$B4594=$B4595, $A$2:$A4594+$C$2:$C4594)), "")*24*60, "")</f>
        <v/>
      </c>
      <c r="L4595" s="24" t="str" cm="1">
        <f t="array" ref="L4595">IFERROR(IF($B4595=L$1, ($A4595+$C4595) - MAX(IF($B$2:$B4594=$B4595, $A$2:$A4594+$C$2:$C4594)), "")*24*60, "")</f>
        <v/>
      </c>
      <c r="M4595" s="24" t="str" cm="1">
        <f t="array" ref="M4595">IFERROR(IF($B4595=M$1, ($A4595+$C4595) - MAX(IF($B$2:$B4594=$B4595, $A$2:$A4594+$C$2:$C4594)), "")*24*60, "")</f>
        <v/>
      </c>
      <c r="N4595" s="24" t="str" cm="1">
        <f t="array" ref="N4595">IFERROR(IF($B4595=N$1, ($A4595+$C4595) - MAX(IF($B$2:$B4594=$B4595, $A$2:$A4594+$C$2:$C4594)), "")*24*60, "")</f>
        <v/>
      </c>
      <c r="O4595" s="24" cm="1">
        <f t="array" ref="O4595">IFERROR(IF($B4595=O$1, ($A4595+$C4595) - MAX(IF($B$2:$B4594=$B4595, $A$2:$A4594+$C$2:$C4594)), "")*24*60, "")</f>
        <v>0</v>
      </c>
      <c r="P4595" s="24" t="str" cm="1">
        <f t="array" ref="P4595">IFERROR(IF($B4595=P$1, ($A4595+$C4595) - MAX(IF($B$2:$B4594=$B4595, $A$2:$A4594+$C$2:$C4594)), "")*24*60, "")</f>
        <v/>
      </c>
    </row>
    <row r="4596" spans="1:16" x14ac:dyDescent="0.2">
      <c r="A4596" s="12">
        <f t="shared" ref="A4596:C4596" si="1242">A4595</f>
        <v>45965</v>
      </c>
      <c r="B4596" s="5" t="str">
        <f t="shared" si="1242"/>
        <v>Mourning Dove</v>
      </c>
      <c r="C4596" s="6">
        <f t="shared" si="1242"/>
        <v>0.29166666666666669</v>
      </c>
      <c r="D4596" s="5"/>
      <c r="E4596" s="5"/>
      <c r="F4596" s="5" t="str">
        <f t="shared" ref="F4596:G4596" si="1243">F4595</f>
        <v>None</v>
      </c>
      <c r="G4596" s="15" t="str">
        <f t="shared" si="1243"/>
        <v>None</v>
      </c>
      <c r="H4596" s="24">
        <f t="shared" si="961"/>
        <v>0</v>
      </c>
      <c r="I4596" s="24" t="str" cm="1">
        <f t="array" ref="I4596">IFERROR(IF($B4596=I$1, ($A4596+$C4596) - MAX(IF($B$2:$B4595=$B4596, $A$2:$A4595+$C$2:$C4595)), "")*24*60, "")</f>
        <v/>
      </c>
      <c r="J4596" s="24" t="str" cm="1">
        <f t="array" ref="J4596">IFERROR(IF($B4596=J$1, ($A4596+$C4596) - MAX(IF($B$2:$B4595=$B4596, $A$2:$A4595+$C$2:$C4595)), "")*24*60, "")</f>
        <v/>
      </c>
      <c r="K4596" s="24" t="str" cm="1">
        <f t="array" ref="K4596">IFERROR(IF($B4596=K$1, ($A4596+$C4596) - MAX(IF($B$2:$B4595=$B4596, $A$2:$A4595+$C$2:$C4595)), "")*24*60, "")</f>
        <v/>
      </c>
      <c r="L4596" s="24" t="str" cm="1">
        <f t="array" ref="L4596">IFERROR(IF($B4596=L$1, ($A4596+$C4596) - MAX(IF($B$2:$B4595=$B4596, $A$2:$A4595+$C$2:$C4595)), "")*24*60, "")</f>
        <v/>
      </c>
      <c r="M4596" s="24" t="str" cm="1">
        <f t="array" ref="M4596">IFERROR(IF($B4596=M$1, ($A4596+$C4596) - MAX(IF($B$2:$B4595=$B4596, $A$2:$A4595+$C$2:$C4595)), "")*24*60, "")</f>
        <v/>
      </c>
      <c r="N4596" s="24" t="str" cm="1">
        <f t="array" ref="N4596">IFERROR(IF($B4596=N$1, ($A4596+$C4596) - MAX(IF($B$2:$B4595=$B4596, $A$2:$A4595+$C$2:$C4595)), "")*24*60, "")</f>
        <v/>
      </c>
      <c r="O4596" s="24" cm="1">
        <f t="array" ref="O4596">IFERROR(IF($B4596=O$1, ($A4596+$C4596) - MAX(IF($B$2:$B4595=$B4596, $A$2:$A4595+$C$2:$C4595)), "")*24*60, "")</f>
        <v>0</v>
      </c>
      <c r="P4596" s="24" t="str" cm="1">
        <f t="array" ref="P4596">IFERROR(IF($B4596=P$1, ($A4596+$C4596) - MAX(IF($B$2:$B4595=$B4596, $A$2:$A4595+$C$2:$C4595)), "")*24*60, "")</f>
        <v/>
      </c>
    </row>
    <row r="4597" spans="1:16" x14ac:dyDescent="0.2">
      <c r="A4597" s="12">
        <f t="shared" ref="A4597:C4597" si="1244">A4596</f>
        <v>45965</v>
      </c>
      <c r="B4597" s="5" t="str">
        <f t="shared" si="1244"/>
        <v>Mourning Dove</v>
      </c>
      <c r="C4597" s="6">
        <f t="shared" si="1244"/>
        <v>0.29166666666666669</v>
      </c>
      <c r="D4597" s="5"/>
      <c r="E4597" s="5"/>
      <c r="F4597" s="5" t="str">
        <f t="shared" ref="F4597:G4597" si="1245">F4596</f>
        <v>None</v>
      </c>
      <c r="G4597" s="15" t="str">
        <f t="shared" si="1245"/>
        <v>None</v>
      </c>
      <c r="H4597" s="24">
        <f t="shared" si="961"/>
        <v>0</v>
      </c>
      <c r="I4597" s="24" t="str" cm="1">
        <f t="array" ref="I4597">IFERROR(IF($B4597=I$1, ($A4597+$C4597) - MAX(IF($B$2:$B4596=$B4597, $A$2:$A4596+$C$2:$C4596)), "")*24*60, "")</f>
        <v/>
      </c>
      <c r="J4597" s="24" t="str" cm="1">
        <f t="array" ref="J4597">IFERROR(IF($B4597=J$1, ($A4597+$C4597) - MAX(IF($B$2:$B4596=$B4597, $A$2:$A4596+$C$2:$C4596)), "")*24*60, "")</f>
        <v/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cm="1">
        <f t="array" ref="O4597">IFERROR(IF($B4597=O$1, ($A4597+$C4597) - MAX(IF($B$2:$B4596=$B4597, $A$2:$A4596+$C$2:$C4596)), "")*24*60, "")</f>
        <v>0</v>
      </c>
      <c r="P4597" s="24" t="str" cm="1">
        <f t="array" ref="P4597">IFERROR(IF($B4597=P$1, ($A4597+$C4597) - MAX(IF($B$2:$B4596=$B4597, $A$2:$A4596+$C$2:$C4596)), "")*24*60, "")</f>
        <v/>
      </c>
    </row>
    <row r="4598" spans="1:16" x14ac:dyDescent="0.2">
      <c r="A4598" s="12">
        <f t="shared" ref="A4598:C4598" si="1246">A4597</f>
        <v>45965</v>
      </c>
      <c r="B4598" s="5" t="str">
        <f t="shared" si="1246"/>
        <v>Mourning Dove</v>
      </c>
      <c r="C4598" s="6">
        <f t="shared" si="1246"/>
        <v>0.29166666666666669</v>
      </c>
      <c r="D4598" s="5"/>
      <c r="E4598" s="5"/>
      <c r="F4598" s="5" t="str">
        <f t="shared" ref="F4598:G4598" si="1247">F4597</f>
        <v>None</v>
      </c>
      <c r="G4598" s="15" t="str">
        <f t="shared" si="1247"/>
        <v>None</v>
      </c>
      <c r="H4598" s="24">
        <f t="shared" ref="H4598:H4661" si="1248">IFERROR((($A4598+$C4598) - ($A4597+$C4597))*24*60, "")</f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t="str" cm="1">
        <f t="array" ref="K4598">IFERROR(IF($B4598=K$1, ($A4598+$C4598) - MAX(IF($B$2:$B4597=$B4598, $A$2:$A4597+$C$2:$C4597)), "")*24*60, "")</f>
        <v/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cm="1">
        <f t="array" ref="O4598">IFERROR(IF($B4598=O$1, ($A4598+$C4598) - MAX(IF($B$2:$B4597=$B4598, $A$2:$A4597+$C$2:$C4597)), "")*24*60, "")</f>
        <v>0</v>
      </c>
      <c r="P4598" s="24" t="str" cm="1">
        <f t="array" ref="P4598">IFERROR(IF($B4598=P$1, ($A4598+$C4598) - MAX(IF($B$2:$B4597=$B4598, $A$2:$A4597+$C$2:$C4597)), "")*24*60, "")</f>
        <v/>
      </c>
    </row>
    <row r="4599" spans="1:16" x14ac:dyDescent="0.2">
      <c r="A4599" s="12">
        <f t="shared" ref="A4599:C4599" si="1249">A4598</f>
        <v>45965</v>
      </c>
      <c r="B4599" s="5" t="str">
        <f t="shared" si="1249"/>
        <v>Mourning Dove</v>
      </c>
      <c r="C4599" s="6">
        <f t="shared" si="1249"/>
        <v>0.29166666666666669</v>
      </c>
      <c r="D4599" s="5"/>
      <c r="E4599" s="5"/>
      <c r="F4599" s="5" t="str">
        <f t="shared" ref="F4599:G4599" si="1250">F4598</f>
        <v>None</v>
      </c>
      <c r="G4599" s="15" t="str">
        <f t="shared" si="1250"/>
        <v>None</v>
      </c>
      <c r="H4599" s="24">
        <f t="shared" si="1248"/>
        <v>0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t="str" cm="1">
        <f t="array" ref="K4599">IFERROR(IF($B4599=K$1, ($A4599+$C4599) - MAX(IF($B$2:$B4598=$B4599, $A$2:$A4598+$C$2:$C4598)), "")*24*60, "")</f>
        <v/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cm="1">
        <f t="array" ref="O4599">IFERROR(IF($B4599=O$1, ($A4599+$C4599) - MAX(IF($B$2:$B4598=$B4599, $A$2:$A4598+$C$2:$C4598)), "")*24*60, "")</f>
        <v>0</v>
      </c>
      <c r="P4599" s="24" t="str" cm="1">
        <f t="array" ref="P4599">IFERROR(IF($B4599=P$1, ($A4599+$C4599) - MAX(IF($B$2:$B4598=$B4599, $A$2:$A4598+$C$2:$C4598)), "")*24*60, "")</f>
        <v/>
      </c>
    </row>
    <row r="4600" spans="1:16" x14ac:dyDescent="0.2">
      <c r="A4600" s="12">
        <f t="shared" ref="A4600:C4600" si="1251">A4599</f>
        <v>45965</v>
      </c>
      <c r="B4600" s="5" t="str">
        <f t="shared" si="1251"/>
        <v>Mourning Dove</v>
      </c>
      <c r="C4600" s="6">
        <f t="shared" si="1251"/>
        <v>0.29166666666666669</v>
      </c>
      <c r="D4600" s="5"/>
      <c r="E4600" s="5"/>
      <c r="F4600" s="5" t="str">
        <f t="shared" ref="F4600:G4600" si="1252">F4599</f>
        <v>None</v>
      </c>
      <c r="G4600" s="15" t="str">
        <f t="shared" si="1252"/>
        <v>None</v>
      </c>
      <c r="H4600" s="24">
        <f t="shared" si="1248"/>
        <v>0</v>
      </c>
      <c r="I4600" s="24" t="str" cm="1">
        <f t="array" ref="I4600">IFERROR(IF($B4600=I$1, ($A4600+$C4600) - MAX(IF($B$2:$B4599=$B4600, $A$2:$A4599+$C$2:$C4599)), "")*24*60, "")</f>
        <v/>
      </c>
      <c r="J4600" s="24" t="str" cm="1">
        <f t="array" ref="J4600">IFERROR(IF($B4600=J$1, ($A4600+$C4600) - MAX(IF($B$2:$B4599=$B4600, $A$2:$A4599+$C$2:$C4599)), "")*24*60, "")</f>
        <v/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cm="1">
        <f t="array" ref="O4600">IFERROR(IF($B4600=O$1, ($A4600+$C4600) - MAX(IF($B$2:$B4599=$B4600, $A$2:$A4599+$C$2:$C4599)), "")*24*60, "")</f>
        <v>0</v>
      </c>
      <c r="P4600" s="24" t="str" cm="1">
        <f t="array" ref="P4600">IFERROR(IF($B4600=P$1, ($A4600+$C4600) - MAX(IF($B$2:$B4599=$B4600, $A$2:$A4599+$C$2:$C4599)), "")*24*60, "")</f>
        <v/>
      </c>
    </row>
    <row r="4601" spans="1:16" x14ac:dyDescent="0.2">
      <c r="A4601" s="12">
        <f t="shared" ref="A4601:C4601" si="1253">A4600</f>
        <v>45965</v>
      </c>
      <c r="B4601" s="5" t="str">
        <f t="shared" si="1253"/>
        <v>Mourning Dove</v>
      </c>
      <c r="C4601" s="6">
        <f t="shared" si="1253"/>
        <v>0.29166666666666669</v>
      </c>
      <c r="D4601" s="5"/>
      <c r="E4601" s="5"/>
      <c r="F4601" s="5" t="str">
        <f t="shared" ref="F4601:G4601" si="1254">F4600</f>
        <v>None</v>
      </c>
      <c r="G4601" s="15" t="str">
        <f t="shared" si="1254"/>
        <v>None</v>
      </c>
      <c r="H4601" s="24">
        <f t="shared" si="1248"/>
        <v>0</v>
      </c>
      <c r="I4601" s="24" t="str" cm="1">
        <f t="array" ref="I4601">IFERROR(IF($B4601=I$1, ($A4601+$C4601) - MAX(IF($B$2:$B4600=$B4601, $A$2:$A4600+$C$2:$C4600)), "")*24*60, "")</f>
        <v/>
      </c>
      <c r="J4601" s="24" t="str" cm="1">
        <f t="array" ref="J4601">IFERROR(IF($B4601=J$1, ($A4601+$C4601) - MAX(IF($B$2:$B4600=$B4601, $A$2:$A4600+$C$2:$C4600)), "")*24*60, "")</f>
        <v/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cm="1">
        <f t="array" ref="O4601">IFERROR(IF($B4601=O$1, ($A4601+$C4601) - MAX(IF($B$2:$B4600=$B4601, $A$2:$A4600+$C$2:$C4600)), "")*24*60, "")</f>
        <v>0</v>
      </c>
      <c r="P4601" s="24" t="str" cm="1">
        <f t="array" ref="P4601">IFERROR(IF($B4601=P$1, ($A4601+$C4601) - MAX(IF($B$2:$B4600=$B4601, $A$2:$A4600+$C$2:$C4600)), "")*24*60, "")</f>
        <v/>
      </c>
    </row>
    <row r="4602" spans="1:16" x14ac:dyDescent="0.2">
      <c r="A4602" s="12">
        <f t="shared" ref="A4602:C4602" si="1255">A4601</f>
        <v>45965</v>
      </c>
      <c r="B4602" s="5" t="str">
        <f t="shared" si="1255"/>
        <v>Mourning Dove</v>
      </c>
      <c r="C4602" s="6">
        <f t="shared" si="1255"/>
        <v>0.29166666666666669</v>
      </c>
      <c r="D4602" s="5"/>
      <c r="E4602" s="5"/>
      <c r="F4602" s="5" t="str">
        <f t="shared" ref="F4602:G4602" si="1256">F4601</f>
        <v>None</v>
      </c>
      <c r="G4602" s="15" t="str">
        <f t="shared" si="1256"/>
        <v>None</v>
      </c>
      <c r="H4602" s="24">
        <f t="shared" si="1248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t="str" cm="1">
        <f t="array" ref="K4602">IFERROR(IF($B4602=K$1, ($A4602+$C4602) - MAX(IF($B$2:$B4601=$B4602, $A$2:$A4601+$C$2:$C4601)), "")*24*60, "")</f>
        <v/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cm="1">
        <f t="array" ref="O4602">IFERROR(IF($B4602=O$1, ($A4602+$C4602) - MAX(IF($B$2:$B4601=$B4602, $A$2:$A4601+$C$2:$C4601)), "")*24*60, "")</f>
        <v>0</v>
      </c>
      <c r="P4602" s="24" t="str" cm="1">
        <f t="array" ref="P4602">IFERROR(IF($B4602=P$1, ($A4602+$C4602) - MAX(IF($B$2:$B4601=$B4602, $A$2:$A4601+$C$2:$C4601)), "")*24*60, "")</f>
        <v/>
      </c>
    </row>
    <row r="4603" spans="1:16" x14ac:dyDescent="0.2">
      <c r="A4603" s="12">
        <f t="shared" ref="A4603:C4603" si="1257">A4602</f>
        <v>45965</v>
      </c>
      <c r="B4603" s="5" t="str">
        <f t="shared" si="1257"/>
        <v>Mourning Dove</v>
      </c>
      <c r="C4603" s="6">
        <f t="shared" si="1257"/>
        <v>0.29166666666666669</v>
      </c>
      <c r="D4603" s="5"/>
      <c r="E4603" s="5"/>
      <c r="F4603" s="5" t="str">
        <f t="shared" ref="F4603:G4603" si="1258">F4602</f>
        <v>None</v>
      </c>
      <c r="G4603" s="15" t="str">
        <f t="shared" si="1258"/>
        <v>None</v>
      </c>
      <c r="H4603" s="24">
        <f t="shared" si="1248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t="str" cm="1">
        <f t="array" ref="K4603">IFERROR(IF($B4603=K$1, ($A4603+$C4603) - MAX(IF($B$2:$B4602=$B4603, $A$2:$A4602+$C$2:$C4602)), "")*24*60, "")</f>
        <v/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cm="1">
        <f t="array" ref="O4603">IFERROR(IF($B4603=O$1, ($A4603+$C4603) - MAX(IF($B$2:$B4602=$B4603, $A$2:$A4602+$C$2:$C4602)), "")*24*60, "")</f>
        <v>0</v>
      </c>
      <c r="P4603" s="24" t="str" cm="1">
        <f t="array" ref="P4603">IFERROR(IF($B4603=P$1, ($A4603+$C4603) - MAX(IF($B$2:$B4602=$B4603, $A$2:$A4602+$C$2:$C4602)), "")*24*60, "")</f>
        <v/>
      </c>
    </row>
    <row r="4604" spans="1:16" x14ac:dyDescent="0.2">
      <c r="A4604" s="12">
        <f t="shared" ref="A4604:C4604" si="1259">A4603</f>
        <v>45965</v>
      </c>
      <c r="B4604" s="5" t="str">
        <f t="shared" si="1259"/>
        <v>Mourning Dove</v>
      </c>
      <c r="C4604" s="6">
        <f t="shared" si="1259"/>
        <v>0.29166666666666669</v>
      </c>
      <c r="D4604" s="5"/>
      <c r="E4604" s="5"/>
      <c r="F4604" s="5" t="str">
        <f t="shared" ref="F4604:G4604" si="1260">F4603</f>
        <v>None</v>
      </c>
      <c r="G4604" s="15" t="str">
        <f t="shared" si="1260"/>
        <v>None</v>
      </c>
      <c r="H4604" s="24">
        <f t="shared" si="1248"/>
        <v>0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t="str" cm="1">
        <f t="array" ref="K4604">IFERROR(IF($B4604=K$1, ($A4604+$C4604) - MAX(IF($B$2:$B4603=$B4604, $A$2:$A4603+$C$2:$C4603)), "")*24*60, "")</f>
        <v/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cm="1">
        <f t="array" ref="O4604">IFERROR(IF($B4604=O$1, ($A4604+$C4604) - MAX(IF($B$2:$B4603=$B4604, $A$2:$A4603+$C$2:$C4603)), "")*24*60, "")</f>
        <v>0</v>
      </c>
      <c r="P4604" s="24" t="str" cm="1">
        <f t="array" ref="P4604">IFERROR(IF($B4604=P$1, ($A4604+$C4604) - MAX(IF($B$2:$B4603=$B4604, $A$2:$A4603+$C$2:$C4603)), "")*24*60, "")</f>
        <v/>
      </c>
    </row>
    <row r="4605" spans="1:16" x14ac:dyDescent="0.2">
      <c r="A4605" s="12">
        <f t="shared" ref="A4605:C4605" si="1261">A4604</f>
        <v>45965</v>
      </c>
      <c r="B4605" s="5" t="str">
        <f t="shared" si="1261"/>
        <v>Mourning Dove</v>
      </c>
      <c r="C4605" s="6">
        <f t="shared" si="1261"/>
        <v>0.29166666666666669</v>
      </c>
      <c r="D4605" s="5"/>
      <c r="E4605" s="5"/>
      <c r="F4605" s="5" t="str">
        <f t="shared" ref="F4605:G4605" si="1262">F4604</f>
        <v>None</v>
      </c>
      <c r="G4605" s="15" t="str">
        <f t="shared" si="1262"/>
        <v>None</v>
      </c>
      <c r="H4605" s="24">
        <f t="shared" si="1248"/>
        <v>0</v>
      </c>
      <c r="I4605" s="24" t="str" cm="1">
        <f t="array" ref="I4605">IFERROR(IF($B4605=I$1, ($A4605+$C4605) - MAX(IF($B$2:$B4604=$B4605, $A$2:$A4604+$C$2:$C4604)), "")*24*60, "")</f>
        <v/>
      </c>
      <c r="J4605" s="24" t="str" cm="1">
        <f t="array" ref="J4605">IFERROR(IF($B4605=J$1, ($A4605+$C4605) - MAX(IF($B$2:$B4604=$B4605, $A$2:$A4604+$C$2:$C4604)), "")*24*60, "")</f>
        <v/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cm="1">
        <f t="array" ref="O4605">IFERROR(IF($B4605=O$1, ($A4605+$C4605) - MAX(IF($B$2:$B4604=$B4605, $A$2:$A4604+$C$2:$C4604)), "")*24*60, "")</f>
        <v>0</v>
      </c>
      <c r="P4605" s="24" t="str" cm="1">
        <f t="array" ref="P4605">IFERROR(IF($B4605=P$1, ($A4605+$C4605) - MAX(IF($B$2:$B4604=$B4605, $A$2:$A4604+$C$2:$C4604)), "")*24*60, "")</f>
        <v/>
      </c>
    </row>
    <row r="4606" spans="1:16" x14ac:dyDescent="0.2">
      <c r="A4606" s="12">
        <f t="shared" ref="A4606:C4606" si="1263">A4605</f>
        <v>45965</v>
      </c>
      <c r="B4606" s="5" t="str">
        <f t="shared" si="1263"/>
        <v>Mourning Dove</v>
      </c>
      <c r="C4606" s="6">
        <f t="shared" si="1263"/>
        <v>0.29166666666666669</v>
      </c>
      <c r="D4606" s="5"/>
      <c r="E4606" s="5"/>
      <c r="F4606" s="5" t="str">
        <f t="shared" ref="F4606:G4606" si="1264">F4605</f>
        <v>None</v>
      </c>
      <c r="G4606" s="15" t="str">
        <f t="shared" si="1264"/>
        <v>None</v>
      </c>
      <c r="H4606" s="24">
        <f t="shared" si="1248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t="str" cm="1">
        <f t="array" ref="K4606">IFERROR(IF($B4606=K$1, ($A4606+$C4606) - MAX(IF($B$2:$B4605=$B4606, $A$2:$A4605+$C$2:$C4605)), "")*24*60, "")</f>
        <v/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cm="1">
        <f t="array" ref="O4606">IFERROR(IF($B4606=O$1, ($A4606+$C4606) - MAX(IF($B$2:$B4605=$B4606, $A$2:$A4605+$C$2:$C4605)), "")*24*60, "")</f>
        <v>0</v>
      </c>
      <c r="P4606" s="24" t="str" cm="1">
        <f t="array" ref="P4606">IFERROR(IF($B4606=P$1, ($A4606+$C4606) - MAX(IF($B$2:$B4605=$B4606, $A$2:$A4605+$C$2:$C4605)), "")*24*60, "")</f>
        <v/>
      </c>
    </row>
    <row r="4607" spans="1:16" x14ac:dyDescent="0.2">
      <c r="A4607" s="12">
        <f t="shared" ref="A4607:C4607" si="1265">A4606</f>
        <v>45965</v>
      </c>
      <c r="B4607" s="5" t="str">
        <f t="shared" si="1265"/>
        <v>Mourning Dove</v>
      </c>
      <c r="C4607" s="6">
        <f t="shared" si="1265"/>
        <v>0.29166666666666669</v>
      </c>
      <c r="D4607" s="5"/>
      <c r="E4607" s="5"/>
      <c r="F4607" s="5" t="str">
        <f t="shared" ref="F4607:G4607" si="1266">F4606</f>
        <v>None</v>
      </c>
      <c r="G4607" s="15" t="str">
        <f t="shared" si="1266"/>
        <v>None</v>
      </c>
      <c r="H4607" s="24">
        <f t="shared" si="1248"/>
        <v>0</v>
      </c>
      <c r="I4607" s="24" t="str" cm="1">
        <f t="array" ref="I4607">IFERROR(IF($B4607=I$1, ($A4607+$C4607) - MAX(IF($B$2:$B4606=$B4607, $A$2:$A4606+$C$2:$C4606)), "")*24*60, "")</f>
        <v/>
      </c>
      <c r="J4607" s="24" t="str" cm="1">
        <f t="array" ref="J4607">IFERROR(IF($B4607=J$1, ($A4607+$C4607) - MAX(IF($B$2:$B4606=$B4607, $A$2:$A4606+$C$2:$C4606)), "")*24*60, "")</f>
        <v/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cm="1">
        <f t="array" ref="O4607">IFERROR(IF($B4607=O$1, ($A4607+$C4607) - MAX(IF($B$2:$B4606=$B4607, $A$2:$A4606+$C$2:$C4606)), "")*24*60, "")</f>
        <v>0</v>
      </c>
      <c r="P4607" s="24" t="str" cm="1">
        <f t="array" ref="P4607">IFERROR(IF($B4607=P$1, ($A4607+$C4607) - MAX(IF($B$2:$B4606=$B4607, $A$2:$A4606+$C$2:$C4606)), "")*24*60, "")</f>
        <v/>
      </c>
    </row>
    <row r="4608" spans="1:16" x14ac:dyDescent="0.2">
      <c r="A4608" s="12">
        <f t="shared" ref="A4608:C4608" si="1267">A4607</f>
        <v>45965</v>
      </c>
      <c r="B4608" s="5" t="str">
        <f t="shared" si="1267"/>
        <v>Mourning Dove</v>
      </c>
      <c r="C4608" s="6">
        <f t="shared" si="1267"/>
        <v>0.29166666666666669</v>
      </c>
      <c r="D4608" s="5"/>
      <c r="E4608" s="5"/>
      <c r="F4608" s="5" t="str">
        <f t="shared" ref="F4608:G4608" si="1268">F4607</f>
        <v>None</v>
      </c>
      <c r="G4608" s="15" t="str">
        <f t="shared" si="1268"/>
        <v>None</v>
      </c>
      <c r="H4608" s="24">
        <f t="shared" si="1248"/>
        <v>0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cm="1">
        <f t="array" ref="O4608">IFERROR(IF($B4608=O$1, ($A4608+$C4608) - MAX(IF($B$2:$B4607=$B4608, $A$2:$A4607+$C$2:$C4607)), "")*24*60, "")</f>
        <v>0</v>
      </c>
      <c r="P4608" s="24" t="str" cm="1">
        <f t="array" ref="P4608">IFERROR(IF($B4608=P$1, ($A4608+$C4608) - MAX(IF($B$2:$B4607=$B4608, $A$2:$A4607+$C$2:$C4607)), "")*24*60, "")</f>
        <v/>
      </c>
    </row>
    <row r="4609" spans="1:16" x14ac:dyDescent="0.2">
      <c r="A4609" s="12">
        <f t="shared" ref="A4609:C4609" si="1269">A4608</f>
        <v>45965</v>
      </c>
      <c r="B4609" s="5" t="str">
        <f t="shared" si="1269"/>
        <v>Mourning Dove</v>
      </c>
      <c r="C4609" s="6">
        <f t="shared" si="1269"/>
        <v>0.29166666666666669</v>
      </c>
      <c r="D4609" s="5"/>
      <c r="E4609" s="5"/>
      <c r="F4609" s="5" t="str">
        <f t="shared" ref="F4609:G4609" si="1270">F4608</f>
        <v>None</v>
      </c>
      <c r="G4609" s="15" t="str">
        <f t="shared" si="1270"/>
        <v>None</v>
      </c>
      <c r="H4609" s="24">
        <f t="shared" si="1248"/>
        <v>0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cm="1">
        <f t="array" ref="O4609">IFERROR(IF($B4609=O$1, ($A4609+$C4609) - MAX(IF($B$2:$B4608=$B4609, $A$2:$A4608+$C$2:$C4608)), "")*24*60, "")</f>
        <v>0</v>
      </c>
      <c r="P4609" s="24" t="str" cm="1">
        <f t="array" ref="P4609">IFERROR(IF($B4609=P$1, ($A4609+$C4609) - MAX(IF($B$2:$B4608=$B4609, $A$2:$A4608+$C$2:$C4608)), "")*24*60, "")</f>
        <v/>
      </c>
    </row>
    <row r="4610" spans="1:16" x14ac:dyDescent="0.2">
      <c r="A4610" s="12">
        <f t="shared" ref="A4610:C4610" si="1271">A4609</f>
        <v>45965</v>
      </c>
      <c r="B4610" s="5" t="str">
        <f t="shared" si="1271"/>
        <v>Mourning Dove</v>
      </c>
      <c r="C4610" s="6">
        <f t="shared" si="1271"/>
        <v>0.29166666666666669</v>
      </c>
      <c r="D4610" s="5"/>
      <c r="E4610" s="5"/>
      <c r="F4610" s="5" t="str">
        <f t="shared" ref="F4610:G4610" si="1272">F4609</f>
        <v>None</v>
      </c>
      <c r="G4610" s="15" t="str">
        <f t="shared" si="1272"/>
        <v>None</v>
      </c>
      <c r="H4610" s="24">
        <f t="shared" si="1248"/>
        <v>0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t="str" cm="1">
        <f t="array" ref="L4610">IFERROR(IF($B4610=L$1, ($A4610+$C4610) - MAX(IF($B$2:$B4609=$B4610, $A$2:$A4609+$C$2:$C4609)), "")*24*60, "")</f>
        <v/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cm="1">
        <f t="array" ref="O4610">IFERROR(IF($B4610=O$1, ($A4610+$C4610) - MAX(IF($B$2:$B4609=$B4610, $A$2:$A4609+$C$2:$C4609)), "")*24*60, "")</f>
        <v>0</v>
      </c>
      <c r="P4610" s="24" t="str" cm="1">
        <f t="array" ref="P4610">IFERROR(IF($B4610=P$1, ($A4610+$C4610) - MAX(IF($B$2:$B4609=$B4610, $A$2:$A4609+$C$2:$C4609)), "")*24*60, "")</f>
        <v/>
      </c>
    </row>
    <row r="4611" spans="1:16" x14ac:dyDescent="0.2">
      <c r="A4611" s="12">
        <f t="shared" ref="A4611:C4611" si="1273">A4610</f>
        <v>45965</v>
      </c>
      <c r="B4611" s="5" t="str">
        <f t="shared" si="1273"/>
        <v>Mourning Dove</v>
      </c>
      <c r="C4611" s="6">
        <f t="shared" si="1273"/>
        <v>0.29166666666666669</v>
      </c>
      <c r="D4611" s="5"/>
      <c r="E4611" s="5"/>
      <c r="F4611" s="5" t="str">
        <f t="shared" ref="F4611:G4611" si="1274">F4610</f>
        <v>None</v>
      </c>
      <c r="G4611" s="15" t="str">
        <f t="shared" si="1274"/>
        <v>None</v>
      </c>
      <c r="H4611" s="24">
        <f t="shared" si="1248"/>
        <v>0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0</v>
      </c>
      <c r="P4611" s="24" t="str" cm="1">
        <f t="array" ref="P4611">IFERROR(IF($B4611=P$1, ($A4611+$C4611) - MAX(IF($B$2:$B4610=$B4611, $A$2:$A4610+$C$2:$C4610)), "")*24*60, "")</f>
        <v/>
      </c>
    </row>
    <row r="4612" spans="1:16" x14ac:dyDescent="0.2">
      <c r="A4612" s="12">
        <f t="shared" ref="A4612:C4612" si="1275">A4611</f>
        <v>45965</v>
      </c>
      <c r="B4612" s="5" t="str">
        <f t="shared" si="1275"/>
        <v>Mourning Dove</v>
      </c>
      <c r="C4612" s="6">
        <f t="shared" si="1275"/>
        <v>0.29166666666666669</v>
      </c>
      <c r="D4612" s="5"/>
      <c r="E4612" s="5"/>
      <c r="F4612" s="5" t="str">
        <f t="shared" ref="F4612:G4612" si="1276">F4611</f>
        <v>None</v>
      </c>
      <c r="G4612" s="15" t="str">
        <f t="shared" si="1276"/>
        <v>None</v>
      </c>
      <c r="H4612" s="24">
        <f t="shared" si="1248"/>
        <v>0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0</v>
      </c>
      <c r="P4612" s="24" t="str" cm="1">
        <f t="array" ref="P4612">IFERROR(IF($B4612=P$1, ($A4612+$C4612) - MAX(IF($B$2:$B4611=$B4612, $A$2:$A4611+$C$2:$C4611)), "")*24*60, "")</f>
        <v/>
      </c>
    </row>
    <row r="4613" spans="1:16" x14ac:dyDescent="0.2">
      <c r="A4613" s="12">
        <f t="shared" ref="A4613:C4613" si="1277">A4612</f>
        <v>45965</v>
      </c>
      <c r="B4613" s="5" t="str">
        <f t="shared" si="1277"/>
        <v>Mourning Dove</v>
      </c>
      <c r="C4613" s="6">
        <f t="shared" si="1277"/>
        <v>0.29166666666666669</v>
      </c>
      <c r="D4613" s="5"/>
      <c r="E4613" s="5"/>
      <c r="F4613" s="5" t="str">
        <f t="shared" ref="F4613:G4613" si="1278">F4612</f>
        <v>None</v>
      </c>
      <c r="G4613" s="15" t="str">
        <f t="shared" si="1278"/>
        <v>None</v>
      </c>
      <c r="H4613" s="24">
        <f t="shared" si="1248"/>
        <v>0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0</v>
      </c>
      <c r="P4613" s="24" t="str" cm="1">
        <f t="array" ref="P4613">IFERROR(IF($B4613=P$1, ($A4613+$C4613) - MAX(IF($B$2:$B4612=$B4613, $A$2:$A4612+$C$2:$C4612)), "")*24*60, "")</f>
        <v/>
      </c>
    </row>
    <row r="4614" spans="1:16" x14ac:dyDescent="0.2">
      <c r="A4614" s="12">
        <f t="shared" ref="A4614:C4614" si="1279">A4613</f>
        <v>45965</v>
      </c>
      <c r="B4614" s="5" t="str">
        <f t="shared" si="1279"/>
        <v>Mourning Dove</v>
      </c>
      <c r="C4614" s="6">
        <f t="shared" si="1279"/>
        <v>0.29166666666666669</v>
      </c>
      <c r="D4614" s="5"/>
      <c r="E4614" s="5"/>
      <c r="F4614" s="5" t="str">
        <f t="shared" ref="F4614:G4614" si="1280">F4613</f>
        <v>None</v>
      </c>
      <c r="G4614" s="15" t="str">
        <f t="shared" si="1280"/>
        <v>None</v>
      </c>
      <c r="H4614" s="24">
        <f t="shared" si="1248"/>
        <v>0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0</v>
      </c>
      <c r="P4614" s="24" t="str" cm="1">
        <f t="array" ref="P4614">IFERROR(IF($B4614=P$1, ($A4614+$C4614) - MAX(IF($B$2:$B4613=$B4614, $A$2:$A4613+$C$2:$C4613)), "")*24*60, "")</f>
        <v/>
      </c>
    </row>
    <row r="4615" spans="1:16" x14ac:dyDescent="0.2">
      <c r="A4615" s="12">
        <f t="shared" ref="A4615:C4615" si="1281">A4614</f>
        <v>45965</v>
      </c>
      <c r="B4615" s="5" t="str">
        <f t="shared" si="1281"/>
        <v>Mourning Dove</v>
      </c>
      <c r="C4615" s="6">
        <f t="shared" si="1281"/>
        <v>0.29166666666666669</v>
      </c>
      <c r="D4615" s="5"/>
      <c r="E4615" s="5"/>
      <c r="F4615" s="5" t="str">
        <f t="shared" ref="F4615:G4615" si="1282">F4614</f>
        <v>None</v>
      </c>
      <c r="G4615" s="15" t="str">
        <f t="shared" si="1282"/>
        <v>None</v>
      </c>
      <c r="H4615" s="24">
        <f t="shared" si="1248"/>
        <v>0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0</v>
      </c>
      <c r="P4615" s="24" t="str" cm="1">
        <f t="array" ref="P4615">IFERROR(IF($B4615=P$1, ($A4615+$C4615) - MAX(IF($B$2:$B4614=$B4615, $A$2:$A4614+$C$2:$C4614)), "")*24*60, "")</f>
        <v/>
      </c>
    </row>
    <row r="4616" spans="1:16" x14ac:dyDescent="0.2">
      <c r="A4616" s="12">
        <f t="shared" ref="A4616:C4616" si="1283">A4615</f>
        <v>45965</v>
      </c>
      <c r="B4616" s="5" t="str">
        <f t="shared" si="1283"/>
        <v>Mourning Dove</v>
      </c>
      <c r="C4616" s="6">
        <f t="shared" si="1283"/>
        <v>0.29166666666666669</v>
      </c>
      <c r="D4616" s="5"/>
      <c r="E4616" s="5"/>
      <c r="F4616" s="5" t="str">
        <f t="shared" ref="F4616:G4616" si="1284">F4615</f>
        <v>None</v>
      </c>
      <c r="G4616" s="15" t="str">
        <f t="shared" si="1284"/>
        <v>None</v>
      </c>
      <c r="H4616" s="24">
        <f t="shared" si="1248"/>
        <v>0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0</v>
      </c>
      <c r="P4616" s="24" t="str" cm="1">
        <f t="array" ref="P4616">IFERROR(IF($B4616=P$1, ($A4616+$C4616) - MAX(IF($B$2:$B4615=$B4616, $A$2:$A4615+$C$2:$C4615)), "")*24*60, "")</f>
        <v/>
      </c>
    </row>
    <row r="4617" spans="1:16" x14ac:dyDescent="0.2">
      <c r="A4617" s="12">
        <f t="shared" ref="A4617:C4617" si="1285">A4616</f>
        <v>45965</v>
      </c>
      <c r="B4617" s="5" t="str">
        <f t="shared" si="1285"/>
        <v>Mourning Dove</v>
      </c>
      <c r="C4617" s="6">
        <f t="shared" si="1285"/>
        <v>0.29166666666666669</v>
      </c>
      <c r="D4617" s="5"/>
      <c r="E4617" s="5"/>
      <c r="F4617" s="5" t="str">
        <f t="shared" ref="F4617:G4617" si="1286">F4616</f>
        <v>None</v>
      </c>
      <c r="G4617" s="15" t="str">
        <f t="shared" si="1286"/>
        <v>None</v>
      </c>
      <c r="H4617" s="24">
        <f t="shared" si="1248"/>
        <v>0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0</v>
      </c>
      <c r="P4617" s="24" t="str" cm="1">
        <f t="array" ref="P4617">IFERROR(IF($B4617=P$1, ($A4617+$C4617) - MAX(IF($B$2:$B4616=$B4617, $A$2:$A4616+$C$2:$C4616)), "")*24*60, "")</f>
        <v/>
      </c>
    </row>
    <row r="4618" spans="1:16" x14ac:dyDescent="0.2">
      <c r="A4618" s="12">
        <f t="shared" ref="A4618:C4618" si="1287">A4617</f>
        <v>45965</v>
      </c>
      <c r="B4618" s="5" t="str">
        <f t="shared" si="1287"/>
        <v>Mourning Dove</v>
      </c>
      <c r="C4618" s="6">
        <f t="shared" si="1287"/>
        <v>0.29166666666666669</v>
      </c>
      <c r="D4618" s="5"/>
      <c r="E4618" s="5"/>
      <c r="F4618" s="5" t="str">
        <f t="shared" ref="F4618:G4618" si="1288">F4617</f>
        <v>None</v>
      </c>
      <c r="G4618" s="15" t="str">
        <f t="shared" si="1288"/>
        <v>None</v>
      </c>
      <c r="H4618" s="24">
        <f t="shared" si="1248"/>
        <v>0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t="str" cm="1">
        <f t="array" ref="L4618">IFERROR(IF($B4618=L$1, ($A4618+$C4618) - MAX(IF($B$2:$B4617=$B4618, $A$2:$A4617+$C$2:$C4617)), "")*24*60, "")</f>
        <v/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cm="1">
        <f t="array" ref="O4618">IFERROR(IF($B4618=O$1, ($A4618+$C4618) - MAX(IF($B$2:$B4617=$B4618, $A$2:$A4617+$C$2:$C4617)), "")*24*60, "")</f>
        <v>0</v>
      </c>
      <c r="P4618" s="24" t="str" cm="1">
        <f t="array" ref="P4618">IFERROR(IF($B4618=P$1, ($A4618+$C4618) - MAX(IF($B$2:$B4617=$B4618, $A$2:$A4617+$C$2:$C4617)), "")*24*60, "")</f>
        <v/>
      </c>
    </row>
    <row r="4619" spans="1:16" x14ac:dyDescent="0.2">
      <c r="A4619" s="12">
        <f t="shared" ref="A4619:C4619" si="1289">A4618</f>
        <v>45965</v>
      </c>
      <c r="B4619" s="5" t="str">
        <f t="shared" si="1289"/>
        <v>Mourning Dove</v>
      </c>
      <c r="C4619" s="6">
        <f t="shared" si="1289"/>
        <v>0.29166666666666669</v>
      </c>
      <c r="D4619" s="5"/>
      <c r="E4619" s="5"/>
      <c r="F4619" s="5" t="str">
        <f t="shared" ref="F4619:G4619" si="1290">F4618</f>
        <v>None</v>
      </c>
      <c r="G4619" s="15" t="str">
        <f t="shared" si="1290"/>
        <v>None</v>
      </c>
      <c r="H4619" s="24">
        <f t="shared" si="1248"/>
        <v>0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t="str" cm="1">
        <f t="array" ref="L4619">IFERROR(IF($B4619=L$1, ($A4619+$C4619) - MAX(IF($B$2:$B4618=$B4619, $A$2:$A4618+$C$2:$C4618)), "")*24*60, "")</f>
        <v/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cm="1">
        <f t="array" ref="O4619">IFERROR(IF($B4619=O$1, ($A4619+$C4619) - MAX(IF($B$2:$B4618=$B4619, $A$2:$A4618+$C$2:$C4618)), "")*24*60, "")</f>
        <v>0</v>
      </c>
      <c r="P4619" s="24" t="str" cm="1">
        <f t="array" ref="P4619">IFERROR(IF($B4619=P$1, ($A4619+$C4619) - MAX(IF($B$2:$B4618=$B4619, $A$2:$A4618+$C$2:$C4618)), "")*24*60, "")</f>
        <v/>
      </c>
    </row>
    <row r="4620" spans="1:16" x14ac:dyDescent="0.2">
      <c r="A4620" s="12">
        <f t="shared" ref="A4620:C4620" si="1291">A4619</f>
        <v>45965</v>
      </c>
      <c r="B4620" s="5" t="str">
        <f t="shared" si="1291"/>
        <v>Mourning Dove</v>
      </c>
      <c r="C4620" s="6">
        <f t="shared" si="1291"/>
        <v>0.29166666666666669</v>
      </c>
      <c r="D4620" s="5"/>
      <c r="E4620" s="5"/>
      <c r="F4620" s="5" t="str">
        <f t="shared" ref="F4620:G4620" si="1292">F4619</f>
        <v>None</v>
      </c>
      <c r="G4620" s="15" t="str">
        <f t="shared" si="1292"/>
        <v>None</v>
      </c>
      <c r="H4620" s="24">
        <f t="shared" si="1248"/>
        <v>0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0</v>
      </c>
      <c r="P4620" s="24" t="str" cm="1">
        <f t="array" ref="P4620">IFERROR(IF($B4620=P$1, ($A4620+$C4620) - MAX(IF($B$2:$B4619=$B4620, $A$2:$A4619+$C$2:$C4619)), "")*24*60, "")</f>
        <v/>
      </c>
    </row>
    <row r="4621" spans="1:16" x14ac:dyDescent="0.2">
      <c r="A4621" s="12">
        <f t="shared" ref="A4621:C4621" si="1293">A4620</f>
        <v>45965</v>
      </c>
      <c r="B4621" s="5" t="str">
        <f t="shared" si="1293"/>
        <v>Mourning Dove</v>
      </c>
      <c r="C4621" s="6">
        <f t="shared" si="1293"/>
        <v>0.29166666666666669</v>
      </c>
      <c r="D4621" s="5"/>
      <c r="E4621" s="5"/>
      <c r="F4621" s="5" t="str">
        <f t="shared" ref="F4621:G4621" si="1294">F4620</f>
        <v>None</v>
      </c>
      <c r="G4621" s="15" t="str">
        <f t="shared" si="1294"/>
        <v>None</v>
      </c>
      <c r="H4621" s="24">
        <f t="shared" si="1248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t="str" cm="1">
        <f t="array" ref="L4621">IFERROR(IF($B4621=L$1, ($A4621+$C4621) - MAX(IF($B$2:$B4620=$B4621, $A$2:$A4620+$C$2:$C4620)), "")*24*60, "")</f>
        <v/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cm="1">
        <f t="array" ref="O4621">IFERROR(IF($B4621=O$1, ($A4621+$C4621) - MAX(IF($B$2:$B4620=$B4621, $A$2:$A4620+$C$2:$C4620)), "")*24*60, "")</f>
        <v>0</v>
      </c>
      <c r="P4621" s="24" t="str" cm="1">
        <f t="array" ref="P4621">IFERROR(IF($B4621=P$1, ($A4621+$C4621) - MAX(IF($B$2:$B4620=$B4621, $A$2:$A4620+$C$2:$C4620)), "")*24*60, "")</f>
        <v/>
      </c>
    </row>
    <row r="4622" spans="1:16" x14ac:dyDescent="0.2">
      <c r="A4622" s="12">
        <f t="shared" ref="A4622:C4622" si="1295">A4621</f>
        <v>45965</v>
      </c>
      <c r="B4622" s="5" t="str">
        <f t="shared" si="1295"/>
        <v>Mourning Dove</v>
      </c>
      <c r="C4622" s="6">
        <f t="shared" si="1295"/>
        <v>0.29166666666666669</v>
      </c>
      <c r="D4622" s="5"/>
      <c r="E4622" s="5"/>
      <c r="F4622" s="5" t="str">
        <f t="shared" ref="F4622:G4622" si="1296">F4621</f>
        <v>None</v>
      </c>
      <c r="G4622" s="15" t="str">
        <f t="shared" si="1296"/>
        <v>None</v>
      </c>
      <c r="H4622" s="24">
        <f t="shared" si="1248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</row>
    <row r="4623" spans="1:16" x14ac:dyDescent="0.2">
      <c r="A4623" s="12">
        <f t="shared" ref="A4623:C4623" si="1297">A4622</f>
        <v>45965</v>
      </c>
      <c r="B4623" s="5" t="str">
        <f t="shared" si="1297"/>
        <v>Mourning Dove</v>
      </c>
      <c r="C4623" s="6">
        <f t="shared" si="1297"/>
        <v>0.29166666666666669</v>
      </c>
      <c r="D4623" s="5"/>
      <c r="E4623" s="5"/>
      <c r="F4623" s="5" t="str">
        <f t="shared" ref="F4623:G4623" si="1298">F4622</f>
        <v>None</v>
      </c>
      <c r="G4623" s="15" t="str">
        <f t="shared" si="1298"/>
        <v>None</v>
      </c>
      <c r="H4623" s="24">
        <f t="shared" si="1248"/>
        <v>0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0</v>
      </c>
      <c r="P4623" s="24" t="str" cm="1">
        <f t="array" ref="P4623">IFERROR(IF($B4623=P$1, ($A4623+$C4623) - MAX(IF($B$2:$B4622=$B4623, $A$2:$A4622+$C$2:$C4622)), "")*24*60, "")</f>
        <v/>
      </c>
    </row>
    <row r="4624" spans="1:16" x14ac:dyDescent="0.2">
      <c r="A4624" s="12">
        <f t="shared" ref="A4624:C4624" si="1299">A4623</f>
        <v>45965</v>
      </c>
      <c r="B4624" s="5" t="str">
        <f t="shared" si="1299"/>
        <v>Mourning Dove</v>
      </c>
      <c r="C4624" s="6">
        <f t="shared" si="1299"/>
        <v>0.29166666666666669</v>
      </c>
      <c r="D4624" s="5"/>
      <c r="E4624" s="5"/>
      <c r="F4624" s="5" t="str">
        <f t="shared" ref="F4624:G4624" si="1300">F4623</f>
        <v>None</v>
      </c>
      <c r="G4624" s="15" t="str">
        <f t="shared" si="1300"/>
        <v>None</v>
      </c>
      <c r="H4624" s="24">
        <f t="shared" si="1248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</row>
    <row r="4625" spans="1:16" x14ac:dyDescent="0.2">
      <c r="A4625" s="12">
        <f t="shared" ref="A4625:C4625" si="1301">A4624</f>
        <v>45965</v>
      </c>
      <c r="B4625" s="5" t="str">
        <f t="shared" si="1301"/>
        <v>Mourning Dove</v>
      </c>
      <c r="C4625" s="6">
        <f t="shared" si="1301"/>
        <v>0.29166666666666669</v>
      </c>
      <c r="D4625" s="5"/>
      <c r="E4625" s="5"/>
      <c r="F4625" s="5" t="str">
        <f t="shared" ref="F4625:G4625" si="1302">F4624</f>
        <v>None</v>
      </c>
      <c r="G4625" s="15" t="str">
        <f t="shared" si="1302"/>
        <v>None</v>
      </c>
      <c r="H4625" s="24">
        <f t="shared" si="1248"/>
        <v>0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0</v>
      </c>
      <c r="P4625" s="24" t="str" cm="1">
        <f t="array" ref="P4625">IFERROR(IF($B4625=P$1, ($A4625+$C4625) - MAX(IF($B$2:$B4624=$B4625, $A$2:$A4624+$C$2:$C4624)), "")*24*60, "")</f>
        <v/>
      </c>
    </row>
    <row r="4626" spans="1:16" x14ac:dyDescent="0.2">
      <c r="A4626" s="12">
        <f t="shared" ref="A4626:C4626" si="1303">A4625</f>
        <v>45965</v>
      </c>
      <c r="B4626" s="5" t="str">
        <f t="shared" si="1303"/>
        <v>Mourning Dove</v>
      </c>
      <c r="C4626" s="6">
        <f t="shared" si="1303"/>
        <v>0.29166666666666669</v>
      </c>
      <c r="D4626" s="5"/>
      <c r="E4626" s="5"/>
      <c r="F4626" s="5" t="str">
        <f t="shared" ref="F4626:G4626" si="1304">F4625</f>
        <v>None</v>
      </c>
      <c r="G4626" s="15" t="str">
        <f t="shared" si="1304"/>
        <v>None</v>
      </c>
      <c r="H4626" s="24">
        <f t="shared" si="1248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</row>
    <row r="4627" spans="1:16" x14ac:dyDescent="0.2">
      <c r="A4627" s="12">
        <f t="shared" ref="A4627:C4627" si="1305">A4626</f>
        <v>45965</v>
      </c>
      <c r="B4627" s="5" t="str">
        <f t="shared" si="1305"/>
        <v>Mourning Dove</v>
      </c>
      <c r="C4627" s="6">
        <f t="shared" si="1305"/>
        <v>0.29166666666666669</v>
      </c>
      <c r="D4627" s="5"/>
      <c r="E4627" s="5"/>
      <c r="F4627" s="5" t="str">
        <f t="shared" ref="F4627:G4627" si="1306">F4626</f>
        <v>None</v>
      </c>
      <c r="G4627" s="15" t="str">
        <f t="shared" si="1306"/>
        <v>None</v>
      </c>
      <c r="H4627" s="24">
        <f t="shared" si="1248"/>
        <v>0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</v>
      </c>
      <c r="P4627" s="24" t="str" cm="1">
        <f t="array" ref="P4627">IFERROR(IF($B4627=P$1, ($A4627+$C4627) - MAX(IF($B$2:$B4626=$B4627, $A$2:$A4626+$C$2:$C4626)), "")*24*60, "")</f>
        <v/>
      </c>
    </row>
    <row r="4628" spans="1:16" x14ac:dyDescent="0.2">
      <c r="A4628" s="12">
        <f t="shared" ref="A4628:C4628" si="1307">A4627</f>
        <v>45965</v>
      </c>
      <c r="B4628" s="5" t="str">
        <f t="shared" si="1307"/>
        <v>Mourning Dove</v>
      </c>
      <c r="C4628" s="6">
        <f t="shared" si="1307"/>
        <v>0.29166666666666669</v>
      </c>
      <c r="D4628" s="5"/>
      <c r="E4628" s="5"/>
      <c r="F4628" s="5" t="str">
        <f t="shared" ref="F4628:G4628" si="1308">F4627</f>
        <v>None</v>
      </c>
      <c r="G4628" s="15" t="str">
        <f t="shared" si="1308"/>
        <v>None</v>
      </c>
      <c r="H4628" s="24">
        <f t="shared" si="1248"/>
        <v>0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0</v>
      </c>
      <c r="P4628" s="24" t="str" cm="1">
        <f t="array" ref="P4628">IFERROR(IF($B4628=P$1, ($A4628+$C4628) - MAX(IF($B$2:$B4627=$B4628, $A$2:$A4627+$C$2:$C4627)), "")*24*60, "")</f>
        <v/>
      </c>
    </row>
    <row r="4629" spans="1:16" x14ac:dyDescent="0.2">
      <c r="A4629" s="12">
        <f t="shared" ref="A4629:C4629" si="1309">A4628</f>
        <v>45965</v>
      </c>
      <c r="B4629" s="5" t="str">
        <f t="shared" si="1309"/>
        <v>Mourning Dove</v>
      </c>
      <c r="C4629" s="6">
        <f t="shared" si="1309"/>
        <v>0.29166666666666669</v>
      </c>
      <c r="D4629" s="5"/>
      <c r="E4629" s="5"/>
      <c r="F4629" s="5" t="str">
        <f t="shared" ref="F4629:G4629" si="1310">F4628</f>
        <v>None</v>
      </c>
      <c r="G4629" s="15" t="str">
        <f t="shared" si="1310"/>
        <v>None</v>
      </c>
      <c r="H4629" s="24">
        <f t="shared" si="1248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t="str" cm="1">
        <f t="array" ref="L4629">IFERROR(IF($B4629=L$1, ($A4629+$C4629) - MAX(IF($B$2:$B4628=$B4629, $A$2:$A4628+$C$2:$C4628)), "")*24*60, "")</f>
        <v/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cm="1">
        <f t="array" ref="O4629">IFERROR(IF($B4629=O$1, ($A4629+$C4629) - MAX(IF($B$2:$B4628=$B4629, $A$2:$A4628+$C$2:$C4628)), "")*24*60, "")</f>
        <v>0</v>
      </c>
      <c r="P4629" s="24" t="str" cm="1">
        <f t="array" ref="P4629">IFERROR(IF($B4629=P$1, ($A4629+$C4629) - MAX(IF($B$2:$B4628=$B4629, $A$2:$A4628+$C$2:$C4628)), "")*24*60, "")</f>
        <v/>
      </c>
    </row>
    <row r="4630" spans="1:16" x14ac:dyDescent="0.2">
      <c r="A4630" s="12">
        <f t="shared" ref="A4630:C4630" si="1311">A4629</f>
        <v>45965</v>
      </c>
      <c r="B4630" s="5" t="str">
        <f t="shared" si="1311"/>
        <v>Mourning Dove</v>
      </c>
      <c r="C4630" s="6">
        <f t="shared" si="1311"/>
        <v>0.29166666666666669</v>
      </c>
      <c r="D4630" s="5"/>
      <c r="E4630" s="5"/>
      <c r="F4630" s="5" t="str">
        <f t="shared" ref="F4630:G4630" si="1312">F4629</f>
        <v>None</v>
      </c>
      <c r="G4630" s="15" t="str">
        <f t="shared" si="1312"/>
        <v>None</v>
      </c>
      <c r="H4630" s="24">
        <f t="shared" si="1248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</row>
    <row r="4631" spans="1:16" x14ac:dyDescent="0.2">
      <c r="A4631" s="12">
        <f t="shared" ref="A4631:C4631" si="1313">A4630</f>
        <v>45965</v>
      </c>
      <c r="B4631" s="5" t="str">
        <f t="shared" si="1313"/>
        <v>Mourning Dove</v>
      </c>
      <c r="C4631" s="6">
        <f t="shared" si="1313"/>
        <v>0.29166666666666669</v>
      </c>
      <c r="D4631" s="5"/>
      <c r="E4631" s="5"/>
      <c r="F4631" s="5" t="str">
        <f t="shared" ref="F4631:G4631" si="1314">F4630</f>
        <v>None</v>
      </c>
      <c r="G4631" s="15" t="str">
        <f t="shared" si="1314"/>
        <v>None</v>
      </c>
      <c r="H4631" s="24">
        <f t="shared" si="1248"/>
        <v>0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0</v>
      </c>
      <c r="P4631" s="24" t="str" cm="1">
        <f t="array" ref="P4631">IFERROR(IF($B4631=P$1, ($A4631+$C4631) - MAX(IF($B$2:$B4630=$B4631, $A$2:$A4630+$C$2:$C4630)), "")*24*60, "")</f>
        <v/>
      </c>
    </row>
    <row r="4632" spans="1:16" x14ac:dyDescent="0.2">
      <c r="A4632" s="12">
        <f t="shared" ref="A4632:C4632" si="1315">A4631</f>
        <v>45965</v>
      </c>
      <c r="B4632" s="5" t="str">
        <f t="shared" si="1315"/>
        <v>Mourning Dove</v>
      </c>
      <c r="C4632" s="6">
        <f t="shared" si="1315"/>
        <v>0.29166666666666669</v>
      </c>
      <c r="D4632" s="5"/>
      <c r="E4632" s="5"/>
      <c r="F4632" s="5" t="str">
        <f t="shared" ref="F4632:G4632" si="1316">F4631</f>
        <v>None</v>
      </c>
      <c r="G4632" s="15" t="str">
        <f t="shared" si="1316"/>
        <v>None</v>
      </c>
      <c r="H4632" s="24">
        <f t="shared" si="1248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</row>
    <row r="4633" spans="1:16" x14ac:dyDescent="0.2">
      <c r="A4633" s="12">
        <f t="shared" ref="A4633:C4633" si="1317">A4632</f>
        <v>45965</v>
      </c>
      <c r="B4633" s="5" t="str">
        <f t="shared" si="1317"/>
        <v>Mourning Dove</v>
      </c>
      <c r="C4633" s="6">
        <f t="shared" si="1317"/>
        <v>0.29166666666666669</v>
      </c>
      <c r="D4633" s="5"/>
      <c r="E4633" s="5"/>
      <c r="F4633" s="5" t="str">
        <f t="shared" ref="F4633:G4633" si="1318">F4632</f>
        <v>None</v>
      </c>
      <c r="G4633" s="15" t="str">
        <f t="shared" si="1318"/>
        <v>None</v>
      </c>
      <c r="H4633" s="24">
        <f t="shared" si="1248"/>
        <v>0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</v>
      </c>
      <c r="P4633" s="24" t="str" cm="1">
        <f t="array" ref="P4633">IFERROR(IF($B4633=P$1, ($A4633+$C4633) - MAX(IF($B$2:$B4632=$B4633, $A$2:$A4632+$C$2:$C4632)), "")*24*60, "")</f>
        <v/>
      </c>
    </row>
    <row r="4634" spans="1:16" x14ac:dyDescent="0.2">
      <c r="A4634" s="12">
        <f t="shared" ref="A4634:C4634" si="1319">A4633</f>
        <v>45965</v>
      </c>
      <c r="B4634" s="5" t="str">
        <f t="shared" si="1319"/>
        <v>Mourning Dove</v>
      </c>
      <c r="C4634" s="6">
        <f t="shared" si="1319"/>
        <v>0.29166666666666669</v>
      </c>
      <c r="D4634" s="5"/>
      <c r="E4634" s="5"/>
      <c r="F4634" s="5" t="str">
        <f t="shared" ref="F4634:G4634" si="1320">F4633</f>
        <v>None</v>
      </c>
      <c r="G4634" s="15" t="str">
        <f t="shared" si="1320"/>
        <v>None</v>
      </c>
      <c r="H4634" s="24">
        <f t="shared" si="1248"/>
        <v>0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0</v>
      </c>
      <c r="P4634" s="24" t="str" cm="1">
        <f t="array" ref="P4634">IFERROR(IF($B4634=P$1, ($A4634+$C4634) - MAX(IF($B$2:$B4633=$B4634, $A$2:$A4633+$C$2:$C4633)), "")*24*60, "")</f>
        <v/>
      </c>
    </row>
    <row r="4635" spans="1:16" x14ac:dyDescent="0.2">
      <c r="A4635" s="12">
        <f t="shared" ref="A4635:C4635" si="1321">A4634</f>
        <v>45965</v>
      </c>
      <c r="B4635" s="5" t="str">
        <f t="shared" si="1321"/>
        <v>Mourning Dove</v>
      </c>
      <c r="C4635" s="6">
        <f t="shared" si="1321"/>
        <v>0.29166666666666669</v>
      </c>
      <c r="D4635" s="5"/>
      <c r="E4635" s="5"/>
      <c r="F4635" s="5" t="str">
        <f t="shared" ref="F4635:G4635" si="1322">F4634</f>
        <v>None</v>
      </c>
      <c r="G4635" s="15" t="str">
        <f t="shared" si="1322"/>
        <v>None</v>
      </c>
      <c r="H4635" s="24">
        <f t="shared" si="1248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</row>
    <row r="4636" spans="1:16" x14ac:dyDescent="0.2">
      <c r="A4636" s="12">
        <f t="shared" ref="A4636:C4636" si="1323">A4635</f>
        <v>45965</v>
      </c>
      <c r="B4636" s="5" t="str">
        <f t="shared" si="1323"/>
        <v>Mourning Dove</v>
      </c>
      <c r="C4636" s="6">
        <f t="shared" si="1323"/>
        <v>0.29166666666666669</v>
      </c>
      <c r="D4636" s="5"/>
      <c r="E4636" s="5"/>
      <c r="F4636" s="5" t="str">
        <f t="shared" ref="F4636:G4636" si="1324">F4635</f>
        <v>None</v>
      </c>
      <c r="G4636" s="15" t="str">
        <f t="shared" si="1324"/>
        <v>None</v>
      </c>
      <c r="H4636" s="24">
        <f t="shared" si="1248"/>
        <v>0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0</v>
      </c>
      <c r="P4636" s="24" t="str" cm="1">
        <f t="array" ref="P4636">IFERROR(IF($B4636=P$1, ($A4636+$C4636) - MAX(IF($B$2:$B4635=$B4636, $A$2:$A4635+$C$2:$C4635)), "")*24*60, "")</f>
        <v/>
      </c>
    </row>
    <row r="4637" spans="1:16" x14ac:dyDescent="0.2">
      <c r="A4637" s="12">
        <f t="shared" ref="A4637:C4637" si="1325">A4636</f>
        <v>45965</v>
      </c>
      <c r="B4637" s="5" t="str">
        <f t="shared" si="1325"/>
        <v>Mourning Dove</v>
      </c>
      <c r="C4637" s="6">
        <f t="shared" si="1325"/>
        <v>0.29166666666666669</v>
      </c>
      <c r="D4637" s="5"/>
      <c r="E4637" s="5"/>
      <c r="F4637" s="5" t="str">
        <f t="shared" ref="F4637:G4637" si="1326">F4636</f>
        <v>None</v>
      </c>
      <c r="G4637" s="15" t="str">
        <f t="shared" si="1326"/>
        <v>None</v>
      </c>
      <c r="H4637" s="24">
        <f t="shared" si="1248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</row>
    <row r="4638" spans="1:16" x14ac:dyDescent="0.2">
      <c r="A4638" s="12">
        <f t="shared" ref="A4638:C4638" si="1327">A4637</f>
        <v>45965</v>
      </c>
      <c r="B4638" s="5" t="str">
        <f t="shared" si="1327"/>
        <v>Mourning Dove</v>
      </c>
      <c r="C4638" s="6">
        <f t="shared" si="1327"/>
        <v>0.29166666666666669</v>
      </c>
      <c r="D4638" s="5"/>
      <c r="E4638" s="5"/>
      <c r="F4638" s="5" t="str">
        <f t="shared" ref="F4638:G4638" si="1328">F4637</f>
        <v>None</v>
      </c>
      <c r="G4638" s="15" t="str">
        <f t="shared" si="1328"/>
        <v>None</v>
      </c>
      <c r="H4638" s="24">
        <f t="shared" si="1248"/>
        <v>0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</v>
      </c>
      <c r="P4638" s="24" t="str" cm="1">
        <f t="array" ref="P4638">IFERROR(IF($B4638=P$1, ($A4638+$C4638) - MAX(IF($B$2:$B4637=$B4638, $A$2:$A4637+$C$2:$C4637)), "")*24*60, "")</f>
        <v/>
      </c>
    </row>
    <row r="4639" spans="1:16" x14ac:dyDescent="0.2">
      <c r="A4639" s="12">
        <f t="shared" ref="A4639:C4639" si="1329">A4638</f>
        <v>45965</v>
      </c>
      <c r="B4639" s="5" t="str">
        <f t="shared" si="1329"/>
        <v>Mourning Dove</v>
      </c>
      <c r="C4639" s="6">
        <f t="shared" si="1329"/>
        <v>0.29166666666666669</v>
      </c>
      <c r="D4639" s="5"/>
      <c r="E4639" s="5"/>
      <c r="F4639" s="5" t="str">
        <f t="shared" ref="F4639:G4639" si="1330">F4638</f>
        <v>None</v>
      </c>
      <c r="G4639" s="15" t="str">
        <f t="shared" si="1330"/>
        <v>None</v>
      </c>
      <c r="H4639" s="24">
        <f t="shared" si="1248"/>
        <v>0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cm="1">
        <f t="array" ref="O4639">IFERROR(IF($B4639=O$1, ($A4639+$C4639) - MAX(IF($B$2:$B4638=$B4639, $A$2:$A4638+$C$2:$C4638)), "")*24*60, "")</f>
        <v>0</v>
      </c>
      <c r="P4639" s="24" t="str" cm="1">
        <f t="array" ref="P4639">IFERROR(IF($B4639=P$1, ($A4639+$C4639) - MAX(IF($B$2:$B4638=$B4639, $A$2:$A4638+$C$2:$C4638)), "")*24*60, "")</f>
        <v/>
      </c>
    </row>
    <row r="4640" spans="1:16" x14ac:dyDescent="0.2">
      <c r="A4640" s="12">
        <f t="shared" ref="A4640:C4640" si="1331">A4639</f>
        <v>45965</v>
      </c>
      <c r="B4640" s="5" t="str">
        <f t="shared" si="1331"/>
        <v>Mourning Dove</v>
      </c>
      <c r="C4640" s="6">
        <f t="shared" si="1331"/>
        <v>0.29166666666666669</v>
      </c>
      <c r="D4640" s="5"/>
      <c r="E4640" s="5"/>
      <c r="F4640" s="5" t="str">
        <f t="shared" ref="F4640:G4640" si="1332">F4639</f>
        <v>None</v>
      </c>
      <c r="G4640" s="15" t="str">
        <f t="shared" si="1332"/>
        <v>None</v>
      </c>
      <c r="H4640" s="24">
        <f t="shared" si="1248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0</v>
      </c>
      <c r="P4640" s="24" t="str" cm="1">
        <f t="array" ref="P4640">IFERROR(IF($B4640=P$1, ($A4640+$C4640) - MAX(IF($B$2:$B4639=$B4640, $A$2:$A4639+$C$2:$C4639)), "")*24*60, "")</f>
        <v/>
      </c>
    </row>
    <row r="4641" spans="1:16" x14ac:dyDescent="0.2">
      <c r="A4641" s="12">
        <f t="shared" ref="A4641:C4641" si="1333">A4640</f>
        <v>45965</v>
      </c>
      <c r="B4641" s="5" t="str">
        <f t="shared" si="1333"/>
        <v>Mourning Dove</v>
      </c>
      <c r="C4641" s="6">
        <f t="shared" si="1333"/>
        <v>0.29166666666666669</v>
      </c>
      <c r="D4641" s="5"/>
      <c r="E4641" s="5"/>
      <c r="F4641" s="5" t="str">
        <f t="shared" ref="F4641:G4641" si="1334">F4640</f>
        <v>None</v>
      </c>
      <c r="G4641" s="15" t="str">
        <f t="shared" si="1334"/>
        <v>None</v>
      </c>
      <c r="H4641" s="24">
        <f t="shared" si="1248"/>
        <v>0</v>
      </c>
      <c r="I4641" s="24" t="str" cm="1">
        <f t="array" ref="I4641">IFERROR(IF($B4641=I$1, ($A4641+$C4641) - MAX(IF($B$2:$B4640=$B4641, $A$2:$A4640+$C$2:$C4640)), "")*24*60, "")</f>
        <v/>
      </c>
      <c r="J4641" s="24" t="str" cm="1">
        <f t="array" ref="J4641">IFERROR(IF($B4641=J$1, ($A4641+$C4641) - MAX(IF($B$2:$B4640=$B4641, $A$2:$A4640+$C$2:$C4640)), "")*24*60, "")</f>
        <v/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cm="1">
        <f t="array" ref="O4641">IFERROR(IF($B4641=O$1, ($A4641+$C4641) - MAX(IF($B$2:$B4640=$B4641, $A$2:$A4640+$C$2:$C4640)), "")*24*60, "")</f>
        <v>0</v>
      </c>
      <c r="P4641" s="24" t="str" cm="1">
        <f t="array" ref="P4641">IFERROR(IF($B4641=P$1, ($A4641+$C4641) - MAX(IF($B$2:$B4640=$B4641, $A$2:$A4640+$C$2:$C4640)), "")*24*60, "")</f>
        <v/>
      </c>
    </row>
    <row r="4642" spans="1:16" x14ac:dyDescent="0.2">
      <c r="A4642" s="12">
        <f t="shared" ref="A4642:C4642" si="1335">A4641</f>
        <v>45965</v>
      </c>
      <c r="B4642" s="5" t="str">
        <f t="shared" si="1335"/>
        <v>Mourning Dove</v>
      </c>
      <c r="C4642" s="6">
        <f t="shared" si="1335"/>
        <v>0.29166666666666669</v>
      </c>
      <c r="D4642" s="5"/>
      <c r="E4642" s="5"/>
      <c r="F4642" s="5" t="str">
        <f t="shared" ref="F4642:G4642" si="1336">F4641</f>
        <v>None</v>
      </c>
      <c r="G4642" s="15" t="str">
        <f t="shared" si="1336"/>
        <v>None</v>
      </c>
      <c r="H4642" s="24">
        <f t="shared" si="1248"/>
        <v>0</v>
      </c>
      <c r="I4642" s="24" t="str" cm="1">
        <f t="array" ref="I4642">IFERROR(IF($B4642=I$1, ($A4642+$C4642) - MAX(IF($B$2:$B4641=$B4642, $A$2:$A4641+$C$2:$C4641)), "")*24*60, "")</f>
        <v/>
      </c>
      <c r="J4642" s="24" t="str" cm="1">
        <f t="array" ref="J4642">IFERROR(IF($B4642=J$1, ($A4642+$C4642) - MAX(IF($B$2:$B4641=$B4642, $A$2:$A4641+$C$2:$C4641)), "")*24*60, "")</f>
        <v/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cm="1">
        <f t="array" ref="O4642">IFERROR(IF($B4642=O$1, ($A4642+$C4642) - MAX(IF($B$2:$B4641=$B4642, $A$2:$A4641+$C$2:$C4641)), "")*24*60, "")</f>
        <v>0</v>
      </c>
      <c r="P4642" s="24" t="str" cm="1">
        <f t="array" ref="P4642">IFERROR(IF($B4642=P$1, ($A4642+$C4642) - MAX(IF($B$2:$B4641=$B4642, $A$2:$A4641+$C$2:$C4641)), "")*24*60, "")</f>
        <v/>
      </c>
    </row>
    <row r="4643" spans="1:16" x14ac:dyDescent="0.2">
      <c r="A4643" s="12">
        <f t="shared" ref="A4643:C4643" si="1337">A4642</f>
        <v>45965</v>
      </c>
      <c r="B4643" s="5" t="str">
        <f t="shared" si="1337"/>
        <v>Mourning Dove</v>
      </c>
      <c r="C4643" s="6">
        <f t="shared" si="1337"/>
        <v>0.29166666666666669</v>
      </c>
      <c r="D4643" s="5"/>
      <c r="E4643" s="5"/>
      <c r="F4643" s="5" t="str">
        <f t="shared" ref="F4643:G4643" si="1338">F4642</f>
        <v>None</v>
      </c>
      <c r="G4643" s="15" t="str">
        <f t="shared" si="1338"/>
        <v>None</v>
      </c>
      <c r="H4643" s="24">
        <f t="shared" si="1248"/>
        <v>0</v>
      </c>
      <c r="I4643" s="24" t="str" cm="1">
        <f t="array" ref="I4643">IFERROR(IF($B4643=I$1, ($A4643+$C4643) - MAX(IF($B$2:$B4642=$B4643, $A$2:$A4642+$C$2:$C4642)), "")*24*60, "")</f>
        <v/>
      </c>
      <c r="J4643" s="24" t="str" cm="1">
        <f t="array" ref="J4643">IFERROR(IF($B4643=J$1, ($A4643+$C4643) - MAX(IF($B$2:$B4642=$B4643, $A$2:$A4642+$C$2:$C4642)), "")*24*60, "")</f>
        <v/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cm="1">
        <f t="array" ref="O4643">IFERROR(IF($B4643=O$1, ($A4643+$C4643) - MAX(IF($B$2:$B4642=$B4643, $A$2:$A4642+$C$2:$C4642)), "")*24*60, "")</f>
        <v>0</v>
      </c>
      <c r="P4643" s="24" t="str" cm="1">
        <f t="array" ref="P4643">IFERROR(IF($B4643=P$1, ($A4643+$C4643) - MAX(IF($B$2:$B4642=$B4643, $A$2:$A4642+$C$2:$C4642)), "")*24*60, "")</f>
        <v/>
      </c>
    </row>
    <row r="4644" spans="1:16" x14ac:dyDescent="0.2">
      <c r="A4644" s="12">
        <f t="shared" ref="A4644:C4644" si="1339">A4643</f>
        <v>45965</v>
      </c>
      <c r="B4644" s="5" t="str">
        <f t="shared" si="1339"/>
        <v>Mourning Dove</v>
      </c>
      <c r="C4644" s="6">
        <f t="shared" si="1339"/>
        <v>0.29166666666666669</v>
      </c>
      <c r="D4644" s="5"/>
      <c r="E4644" s="5"/>
      <c r="F4644" s="5" t="str">
        <f t="shared" ref="F4644:G4644" si="1340">F4643</f>
        <v>None</v>
      </c>
      <c r="G4644" s="15" t="str">
        <f t="shared" si="1340"/>
        <v>None</v>
      </c>
      <c r="H4644" s="24">
        <f t="shared" si="1248"/>
        <v>0</v>
      </c>
      <c r="I4644" s="24" t="str" cm="1">
        <f t="array" ref="I4644">IFERROR(IF($B4644=I$1, ($A4644+$C4644) - MAX(IF($B$2:$B4643=$B4644, $A$2:$A4643+$C$2:$C4643)), "")*24*60, "")</f>
        <v/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cm="1">
        <f t="array" ref="O4644">IFERROR(IF($B4644=O$1, ($A4644+$C4644) - MAX(IF($B$2:$B4643=$B4644, $A$2:$A4643+$C$2:$C4643)), "")*24*60, "")</f>
        <v>0</v>
      </c>
      <c r="P4644" s="24" t="str" cm="1">
        <f t="array" ref="P4644">IFERROR(IF($B4644=P$1, ($A4644+$C4644) - MAX(IF($B$2:$B4643=$B4644, $A$2:$A4643+$C$2:$C4643)), "")*24*60, "")</f>
        <v/>
      </c>
    </row>
    <row r="4645" spans="1:16" x14ac:dyDescent="0.2">
      <c r="A4645" s="12">
        <f t="shared" ref="A4645:C4645" si="1341">A4644</f>
        <v>45965</v>
      </c>
      <c r="B4645" s="5" t="str">
        <f t="shared" si="1341"/>
        <v>Mourning Dove</v>
      </c>
      <c r="C4645" s="6">
        <f t="shared" si="1341"/>
        <v>0.29166666666666669</v>
      </c>
      <c r="D4645" s="5"/>
      <c r="E4645" s="5"/>
      <c r="F4645" s="5" t="str">
        <f t="shared" ref="F4645:G4645" si="1342">F4644</f>
        <v>None</v>
      </c>
      <c r="G4645" s="15" t="str">
        <f t="shared" si="1342"/>
        <v>None</v>
      </c>
      <c r="H4645" s="24">
        <f t="shared" si="1248"/>
        <v>0</v>
      </c>
      <c r="I4645" s="24" t="str" cm="1">
        <f t="array" ref="I4645">IFERROR(IF($B4645=I$1, ($A4645+$C4645) - MAX(IF($B$2:$B4644=$B4645, $A$2:$A4644+$C$2:$C4644)), "")*24*60, "")</f>
        <v/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cm="1">
        <f t="array" ref="O4645">IFERROR(IF($B4645=O$1, ($A4645+$C4645) - MAX(IF($B$2:$B4644=$B4645, $A$2:$A4644+$C$2:$C4644)), "")*24*60, "")</f>
        <v>0</v>
      </c>
      <c r="P4645" s="24" t="str" cm="1">
        <f t="array" ref="P4645">IFERROR(IF($B4645=P$1, ($A4645+$C4645) - MAX(IF($B$2:$B4644=$B4645, $A$2:$A4644+$C$2:$C4644)), "")*24*60, "")</f>
        <v/>
      </c>
    </row>
    <row r="4646" spans="1:16" x14ac:dyDescent="0.2">
      <c r="A4646" s="12">
        <f t="shared" ref="A4646:C4646" si="1343">A4645</f>
        <v>45965</v>
      </c>
      <c r="B4646" s="5" t="str">
        <f t="shared" si="1343"/>
        <v>Mourning Dove</v>
      </c>
      <c r="C4646" s="6">
        <f t="shared" si="1343"/>
        <v>0.29166666666666669</v>
      </c>
      <c r="D4646" s="5"/>
      <c r="E4646" s="5"/>
      <c r="F4646" s="5" t="str">
        <f t="shared" ref="F4646:G4646" si="1344">F4645</f>
        <v>None</v>
      </c>
      <c r="G4646" s="15" t="str">
        <f t="shared" si="1344"/>
        <v>None</v>
      </c>
      <c r="H4646" s="24">
        <f t="shared" si="1248"/>
        <v>0</v>
      </c>
      <c r="I4646" s="24" t="str" cm="1">
        <f t="array" ref="I4646">IFERROR(IF($B4646=I$1, ($A4646+$C4646) - MAX(IF($B$2:$B4645=$B4646, $A$2:$A4645+$C$2:$C4645)), "")*24*60, "")</f>
        <v/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cm="1">
        <f t="array" ref="O4646">IFERROR(IF($B4646=O$1, ($A4646+$C4646) - MAX(IF($B$2:$B4645=$B4646, $A$2:$A4645+$C$2:$C4645)), "")*24*60, "")</f>
        <v>0</v>
      </c>
      <c r="P4646" s="24" t="str" cm="1">
        <f t="array" ref="P4646">IFERROR(IF($B4646=P$1, ($A4646+$C4646) - MAX(IF($B$2:$B4645=$B4646, $A$2:$A4645+$C$2:$C4645)), "")*24*60, "")</f>
        <v/>
      </c>
    </row>
    <row r="4647" spans="1:16" x14ac:dyDescent="0.2">
      <c r="A4647" s="12">
        <f t="shared" ref="A4647:C4647" si="1345">A4646</f>
        <v>45965</v>
      </c>
      <c r="B4647" s="5" t="str">
        <f t="shared" si="1345"/>
        <v>Mourning Dove</v>
      </c>
      <c r="C4647" s="6">
        <f t="shared" si="1345"/>
        <v>0.29166666666666669</v>
      </c>
      <c r="D4647" s="5"/>
      <c r="E4647" s="5"/>
      <c r="F4647" s="5" t="str">
        <f t="shared" ref="F4647:G4647" si="1346">F4646</f>
        <v>None</v>
      </c>
      <c r="G4647" s="15" t="str">
        <f t="shared" si="1346"/>
        <v>None</v>
      </c>
      <c r="H4647" s="24">
        <f t="shared" si="1248"/>
        <v>0</v>
      </c>
      <c r="I4647" s="24" t="str" cm="1">
        <f t="array" ref="I4647">IFERROR(IF($B4647=I$1, ($A4647+$C4647) - MAX(IF($B$2:$B4646=$B4647, $A$2:$A4646+$C$2:$C4646)), "")*24*60, "")</f>
        <v/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cm="1">
        <f t="array" ref="O4647">IFERROR(IF($B4647=O$1, ($A4647+$C4647) - MAX(IF($B$2:$B4646=$B4647, $A$2:$A4646+$C$2:$C4646)), "")*24*60, "")</f>
        <v>0</v>
      </c>
      <c r="P4647" s="24" t="str" cm="1">
        <f t="array" ref="P4647">IFERROR(IF($B4647=P$1, ($A4647+$C4647) - MAX(IF($B$2:$B4646=$B4647, $A$2:$A4646+$C$2:$C4646)), "")*24*60, "")</f>
        <v/>
      </c>
    </row>
    <row r="4648" spans="1:16" x14ac:dyDescent="0.2">
      <c r="A4648" s="12">
        <f t="shared" ref="A4648:C4648" si="1347">A4647</f>
        <v>45965</v>
      </c>
      <c r="B4648" s="5" t="str">
        <f t="shared" si="1347"/>
        <v>Mourning Dove</v>
      </c>
      <c r="C4648" s="6">
        <f t="shared" si="1347"/>
        <v>0.29166666666666669</v>
      </c>
      <c r="D4648" s="5"/>
      <c r="E4648" s="5"/>
      <c r="F4648" s="5" t="str">
        <f t="shared" ref="F4648:G4648" si="1348">F4647</f>
        <v>None</v>
      </c>
      <c r="G4648" s="15" t="str">
        <f t="shared" si="1348"/>
        <v>None</v>
      </c>
      <c r="H4648" s="24">
        <f t="shared" si="1248"/>
        <v>0</v>
      </c>
      <c r="I4648" s="24" t="str" cm="1">
        <f t="array" ref="I4648">IFERROR(IF($B4648=I$1, ($A4648+$C4648) - MAX(IF($B$2:$B4647=$B4648, $A$2:$A4647+$C$2:$C4647)), "")*24*60, "")</f>
        <v/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cm="1">
        <f t="array" ref="O4648">IFERROR(IF($B4648=O$1, ($A4648+$C4648) - MAX(IF($B$2:$B4647=$B4648, $A$2:$A4647+$C$2:$C4647)), "")*24*60, "")</f>
        <v>0</v>
      </c>
      <c r="P4648" s="24" t="str" cm="1">
        <f t="array" ref="P4648">IFERROR(IF($B4648=P$1, ($A4648+$C4648) - MAX(IF($B$2:$B4647=$B4648, $A$2:$A4647+$C$2:$C4647)), "")*24*60, "")</f>
        <v/>
      </c>
    </row>
    <row r="4649" spans="1:16" x14ac:dyDescent="0.2">
      <c r="A4649" s="12">
        <f t="shared" ref="A4649:C4649" si="1349">A4648</f>
        <v>45965</v>
      </c>
      <c r="B4649" s="5" t="str">
        <f t="shared" si="1349"/>
        <v>Mourning Dove</v>
      </c>
      <c r="C4649" s="6">
        <f t="shared" si="1349"/>
        <v>0.29166666666666669</v>
      </c>
      <c r="D4649" s="5"/>
      <c r="E4649" s="5"/>
      <c r="F4649" s="5" t="str">
        <f t="shared" ref="F4649:G4649" si="1350">F4648</f>
        <v>None</v>
      </c>
      <c r="G4649" s="15" t="str">
        <f t="shared" si="1350"/>
        <v>None</v>
      </c>
      <c r="H4649" s="24">
        <f t="shared" si="1248"/>
        <v>0</v>
      </c>
      <c r="I4649" s="24" t="str" cm="1">
        <f t="array" ref="I4649">IFERROR(IF($B4649=I$1, ($A4649+$C4649) - MAX(IF($B$2:$B4648=$B4649, $A$2:$A4648+$C$2:$C4648)), "")*24*60, "")</f>
        <v/>
      </c>
      <c r="J4649" s="24" t="str" cm="1">
        <f t="array" ref="J4649">IFERROR(IF($B4649=J$1, ($A4649+$C4649) - MAX(IF($B$2:$B4648=$B4649, $A$2:$A4648+$C$2:$C4648)), "")*24*60, "")</f>
        <v/>
      </c>
      <c r="K4649" s="24" t="str" cm="1">
        <f t="array" ref="K4649">IFERROR(IF($B4649=K$1, ($A4649+$C4649) - MAX(IF($B$2:$B4648=$B4649, $A$2:$A4648+$C$2:$C4648)), "")*24*60, "")</f>
        <v/>
      </c>
      <c r="L4649" s="24" t="str" cm="1">
        <f t="array" ref="L4649">IFERROR(IF($B4649=L$1, ($A4649+$C4649) - MAX(IF($B$2:$B4648=$B4649, $A$2:$A4648+$C$2:$C4648)), "")*24*60, "")</f>
        <v/>
      </c>
      <c r="M4649" s="24" t="str" cm="1">
        <f t="array" ref="M4649">IFERROR(IF($B4649=M$1, ($A4649+$C4649) - MAX(IF($B$2:$B4648=$B4649, $A$2:$A4648+$C$2:$C4648)), "")*24*60, "")</f>
        <v/>
      </c>
      <c r="N4649" s="24" t="str" cm="1">
        <f t="array" ref="N4649">IFERROR(IF($B4649=N$1, ($A4649+$C4649) - MAX(IF($B$2:$B4648=$B4649, $A$2:$A4648+$C$2:$C4648)), "")*24*60, "")</f>
        <v/>
      </c>
      <c r="O4649" s="24" cm="1">
        <f t="array" ref="O4649">IFERROR(IF($B4649=O$1, ($A4649+$C4649) - MAX(IF($B$2:$B4648=$B4649, $A$2:$A4648+$C$2:$C4648)), "")*24*60, "")</f>
        <v>0</v>
      </c>
      <c r="P4649" s="24" t="str" cm="1">
        <f t="array" ref="P4649">IFERROR(IF($B4649=P$1, ($A4649+$C4649) - MAX(IF($B$2:$B4648=$B4649, $A$2:$A4648+$C$2:$C4648)), "")*24*60, "")</f>
        <v/>
      </c>
    </row>
    <row r="4650" spans="1:16" x14ac:dyDescent="0.2">
      <c r="A4650" s="12">
        <f t="shared" ref="A4650:C4650" si="1351">A4649</f>
        <v>45965</v>
      </c>
      <c r="B4650" s="5" t="str">
        <f t="shared" si="1351"/>
        <v>Mourning Dove</v>
      </c>
      <c r="C4650" s="6">
        <f t="shared" si="1351"/>
        <v>0.29166666666666669</v>
      </c>
      <c r="D4650" s="5"/>
      <c r="E4650" s="5"/>
      <c r="F4650" s="5" t="str">
        <f t="shared" ref="F4650:G4650" si="1352">F4649</f>
        <v>None</v>
      </c>
      <c r="G4650" s="15" t="str">
        <f t="shared" si="1352"/>
        <v>None</v>
      </c>
      <c r="H4650" s="24">
        <f t="shared" si="1248"/>
        <v>0</v>
      </c>
      <c r="I4650" s="24" t="str" cm="1">
        <f t="array" ref="I4650">IFERROR(IF($B4650=I$1, ($A4650+$C4650) - MAX(IF($B$2:$B4649=$B4650, $A$2:$A4649+$C$2:$C4649)), "")*24*60, "")</f>
        <v/>
      </c>
      <c r="J4650" s="24" t="str" cm="1">
        <f t="array" ref="J4650">IFERROR(IF($B4650=J$1, ($A4650+$C4650) - MAX(IF($B$2:$B4649=$B4650, $A$2:$A4649+$C$2:$C4649)), "")*24*60, "")</f>
        <v/>
      </c>
      <c r="K4650" s="24" t="str" cm="1">
        <f t="array" ref="K4650">IFERROR(IF($B4650=K$1, ($A4650+$C4650) - MAX(IF($B$2:$B4649=$B4650, $A$2:$A4649+$C$2:$C4649)), "")*24*60, "")</f>
        <v/>
      </c>
      <c r="L4650" s="24" t="str" cm="1">
        <f t="array" ref="L4650">IFERROR(IF($B4650=L$1, ($A4650+$C4650) - MAX(IF($B$2:$B4649=$B4650, $A$2:$A4649+$C$2:$C4649)), "")*24*60, "")</f>
        <v/>
      </c>
      <c r="M4650" s="24" t="str" cm="1">
        <f t="array" ref="M4650">IFERROR(IF($B4650=M$1, ($A4650+$C4650) - MAX(IF($B$2:$B4649=$B4650, $A$2:$A4649+$C$2:$C4649)), "")*24*60, "")</f>
        <v/>
      </c>
      <c r="N4650" s="24" t="str" cm="1">
        <f t="array" ref="N4650">IFERROR(IF($B4650=N$1, ($A4650+$C4650) - MAX(IF($B$2:$B4649=$B4650, $A$2:$A4649+$C$2:$C4649)), "")*24*60, "")</f>
        <v/>
      </c>
      <c r="O4650" s="24" cm="1">
        <f t="array" ref="O4650">IFERROR(IF($B4650=O$1, ($A4650+$C4650) - MAX(IF($B$2:$B4649=$B4650, $A$2:$A4649+$C$2:$C4649)), "")*24*60, "")</f>
        <v>0</v>
      </c>
      <c r="P4650" s="24" t="str" cm="1">
        <f t="array" ref="P4650">IFERROR(IF($B4650=P$1, ($A4650+$C4650) - MAX(IF($B$2:$B4649=$B4650, $A$2:$A4649+$C$2:$C4649)), "")*24*60, "")</f>
        <v/>
      </c>
    </row>
    <row r="4651" spans="1:16" x14ac:dyDescent="0.2">
      <c r="A4651" s="12">
        <f t="shared" ref="A4651:C4651" si="1353">A4650</f>
        <v>45965</v>
      </c>
      <c r="B4651" s="5" t="str">
        <f t="shared" si="1353"/>
        <v>Mourning Dove</v>
      </c>
      <c r="C4651" s="6">
        <f t="shared" si="1353"/>
        <v>0.29166666666666669</v>
      </c>
      <c r="D4651" s="5"/>
      <c r="E4651" s="5"/>
      <c r="F4651" s="5" t="str">
        <f t="shared" ref="F4651:G4651" si="1354">F4650</f>
        <v>None</v>
      </c>
      <c r="G4651" s="15" t="str">
        <f t="shared" si="1354"/>
        <v>None</v>
      </c>
      <c r="H4651" s="24">
        <f t="shared" si="1248"/>
        <v>0</v>
      </c>
      <c r="I4651" s="24" t="str" cm="1">
        <f t="array" ref="I4651">IFERROR(IF($B4651=I$1, ($A4651+$C4651) - MAX(IF($B$2:$B4650=$B4651, $A$2:$A4650+$C$2:$C4650)), "")*24*60, "")</f>
        <v/>
      </c>
      <c r="J4651" s="24" t="str" cm="1">
        <f t="array" ref="J4651">IFERROR(IF($B4651=J$1, ($A4651+$C4651) - MAX(IF($B$2:$B4650=$B4651, $A$2:$A4650+$C$2:$C4650)), "")*24*60, "")</f>
        <v/>
      </c>
      <c r="K4651" s="24" t="str" cm="1">
        <f t="array" ref="K4651">IFERROR(IF($B4651=K$1, ($A4651+$C4651) - MAX(IF($B$2:$B4650=$B4651, $A$2:$A4650+$C$2:$C4650)), "")*24*60, "")</f>
        <v/>
      </c>
      <c r="L4651" s="24" t="str" cm="1">
        <f t="array" ref="L4651">IFERROR(IF($B4651=L$1, ($A4651+$C4651) - MAX(IF($B$2:$B4650=$B4651, $A$2:$A4650+$C$2:$C4650)), "")*24*60, "")</f>
        <v/>
      </c>
      <c r="M4651" s="24" t="str" cm="1">
        <f t="array" ref="M4651">IFERROR(IF($B4651=M$1, ($A4651+$C4651) - MAX(IF($B$2:$B4650=$B4651, $A$2:$A4650+$C$2:$C4650)), "")*24*60, "")</f>
        <v/>
      </c>
      <c r="N4651" s="24" t="str" cm="1">
        <f t="array" ref="N4651">IFERROR(IF($B4651=N$1, ($A4651+$C4651) - MAX(IF($B$2:$B4650=$B4651, $A$2:$A4650+$C$2:$C4650)), "")*24*60, "")</f>
        <v/>
      </c>
      <c r="O4651" s="24" cm="1">
        <f t="array" ref="O4651">IFERROR(IF($B4651=O$1, ($A4651+$C4651) - MAX(IF($B$2:$B4650=$B4651, $A$2:$A4650+$C$2:$C4650)), "")*24*60, "")</f>
        <v>0</v>
      </c>
      <c r="P4651" s="24" t="str" cm="1">
        <f t="array" ref="P4651">IFERROR(IF($B4651=P$1, ($A4651+$C4651) - MAX(IF($B$2:$B4650=$B4651, $A$2:$A4650+$C$2:$C4650)), "")*24*60, "")</f>
        <v/>
      </c>
    </row>
    <row r="4652" spans="1:16" x14ac:dyDescent="0.2">
      <c r="A4652" s="12">
        <f t="shared" ref="A4652:C4652" si="1355">A4651</f>
        <v>45965</v>
      </c>
      <c r="B4652" s="5" t="str">
        <f t="shared" si="1355"/>
        <v>Mourning Dove</v>
      </c>
      <c r="C4652" s="6">
        <f t="shared" si="1355"/>
        <v>0.29166666666666669</v>
      </c>
      <c r="D4652" s="5"/>
      <c r="E4652" s="5"/>
      <c r="F4652" s="5" t="str">
        <f t="shared" ref="F4652:G4652" si="1356">F4651</f>
        <v>None</v>
      </c>
      <c r="G4652" s="15" t="str">
        <f t="shared" si="1356"/>
        <v>None</v>
      </c>
      <c r="H4652" s="24">
        <f t="shared" si="1248"/>
        <v>0</v>
      </c>
      <c r="I4652" s="24" t="str" cm="1">
        <f t="array" ref="I4652">IFERROR(IF($B4652=I$1, ($A4652+$C4652) - MAX(IF($B$2:$B4651=$B4652, $A$2:$A4651+$C$2:$C4651)), "")*24*60, "")</f>
        <v/>
      </c>
      <c r="J4652" s="24" t="str" cm="1">
        <f t="array" ref="J4652">IFERROR(IF($B4652=J$1, ($A4652+$C4652) - MAX(IF($B$2:$B4651=$B4652, $A$2:$A4651+$C$2:$C4651)), "")*24*60, "")</f>
        <v/>
      </c>
      <c r="K4652" s="24" t="str" cm="1">
        <f t="array" ref="K4652">IFERROR(IF($B4652=K$1, ($A4652+$C4652) - MAX(IF($B$2:$B4651=$B4652, $A$2:$A4651+$C$2:$C4651)), "")*24*60, "")</f>
        <v/>
      </c>
      <c r="L4652" s="24" t="str" cm="1">
        <f t="array" ref="L4652">IFERROR(IF($B4652=L$1, ($A4652+$C4652) - MAX(IF($B$2:$B4651=$B4652, $A$2:$A4651+$C$2:$C4651)), "")*24*60, "")</f>
        <v/>
      </c>
      <c r="M4652" s="24" t="str" cm="1">
        <f t="array" ref="M4652">IFERROR(IF($B4652=M$1, ($A4652+$C4652) - MAX(IF($B$2:$B4651=$B4652, $A$2:$A4651+$C$2:$C4651)), "")*24*60, "")</f>
        <v/>
      </c>
      <c r="N4652" s="24" t="str" cm="1">
        <f t="array" ref="N4652">IFERROR(IF($B4652=N$1, ($A4652+$C4652) - MAX(IF($B$2:$B4651=$B4652, $A$2:$A4651+$C$2:$C4651)), "")*24*60, "")</f>
        <v/>
      </c>
      <c r="O4652" s="24" cm="1">
        <f t="array" ref="O4652">IFERROR(IF($B4652=O$1, ($A4652+$C4652) - MAX(IF($B$2:$B4651=$B4652, $A$2:$A4651+$C$2:$C4651)), "")*24*60, "")</f>
        <v>0</v>
      </c>
      <c r="P4652" s="24" t="str" cm="1">
        <f t="array" ref="P4652">IFERROR(IF($B4652=P$1, ($A4652+$C4652) - MAX(IF($B$2:$B4651=$B4652, $A$2:$A4651+$C$2:$C4651)), "")*24*60, "")</f>
        <v/>
      </c>
    </row>
    <row r="4653" spans="1:16" x14ac:dyDescent="0.2">
      <c r="A4653" s="12">
        <f t="shared" ref="A4653:C4653" si="1357">A4652</f>
        <v>45965</v>
      </c>
      <c r="B4653" s="5" t="str">
        <f t="shared" si="1357"/>
        <v>Mourning Dove</v>
      </c>
      <c r="C4653" s="6">
        <f t="shared" si="1357"/>
        <v>0.29166666666666669</v>
      </c>
      <c r="D4653" s="5"/>
      <c r="E4653" s="5"/>
      <c r="F4653" s="5" t="str">
        <f t="shared" ref="F4653:G4653" si="1358">F4652</f>
        <v>None</v>
      </c>
      <c r="G4653" s="15" t="str">
        <f t="shared" si="1358"/>
        <v>None</v>
      </c>
      <c r="H4653" s="24">
        <f t="shared" si="1248"/>
        <v>0</v>
      </c>
      <c r="I4653" s="24" t="str" cm="1">
        <f t="array" ref="I4653">IFERROR(IF($B4653=I$1, ($A4653+$C4653) - MAX(IF($B$2:$B4652=$B4653, $A$2:$A4652+$C$2:$C4652)), "")*24*60, "")</f>
        <v/>
      </c>
      <c r="J4653" s="24" t="str" cm="1">
        <f t="array" ref="J4653">IFERROR(IF($B4653=J$1, ($A4653+$C4653) - MAX(IF($B$2:$B4652=$B4653, $A$2:$A4652+$C$2:$C4652)), "")*24*60, "")</f>
        <v/>
      </c>
      <c r="K4653" s="24" t="str" cm="1">
        <f t="array" ref="K4653">IFERROR(IF($B4653=K$1, ($A4653+$C4653) - MAX(IF($B$2:$B4652=$B4653, $A$2:$A4652+$C$2:$C4652)), "")*24*60, "")</f>
        <v/>
      </c>
      <c r="L4653" s="24" t="str" cm="1">
        <f t="array" ref="L4653">IFERROR(IF($B4653=L$1, ($A4653+$C4653) - MAX(IF($B$2:$B4652=$B4653, $A$2:$A4652+$C$2:$C4652)), "")*24*60, "")</f>
        <v/>
      </c>
      <c r="M4653" s="24" t="str" cm="1">
        <f t="array" ref="M4653">IFERROR(IF($B4653=M$1, ($A4653+$C4653) - MAX(IF($B$2:$B4652=$B4653, $A$2:$A4652+$C$2:$C4652)), "")*24*60, "")</f>
        <v/>
      </c>
      <c r="N4653" s="24" t="str" cm="1">
        <f t="array" ref="N4653">IFERROR(IF($B4653=N$1, ($A4653+$C4653) - MAX(IF($B$2:$B4652=$B4653, $A$2:$A4652+$C$2:$C4652)), "")*24*60, "")</f>
        <v/>
      </c>
      <c r="O4653" s="24" cm="1">
        <f t="array" ref="O4653">IFERROR(IF($B4653=O$1, ($A4653+$C4653) - MAX(IF($B$2:$B4652=$B4653, $A$2:$A4652+$C$2:$C4652)), "")*24*60, "")</f>
        <v>0</v>
      </c>
      <c r="P4653" s="24" t="str" cm="1">
        <f t="array" ref="P4653">IFERROR(IF($B4653=P$1, ($A4653+$C4653) - MAX(IF($B$2:$B4652=$B4653, $A$2:$A4652+$C$2:$C4652)), "")*24*60, "")</f>
        <v/>
      </c>
    </row>
    <row r="4654" spans="1:16" x14ac:dyDescent="0.2">
      <c r="A4654" s="12">
        <f t="shared" ref="A4654:C4654" si="1359">A4653</f>
        <v>45965</v>
      </c>
      <c r="B4654" s="5" t="str">
        <f t="shared" si="1359"/>
        <v>Mourning Dove</v>
      </c>
      <c r="C4654" s="6">
        <f t="shared" si="1359"/>
        <v>0.29166666666666669</v>
      </c>
      <c r="D4654" s="5"/>
      <c r="E4654" s="5"/>
      <c r="F4654" s="5" t="str">
        <f t="shared" ref="F4654:G4654" si="1360">F4653</f>
        <v>None</v>
      </c>
      <c r="G4654" s="15" t="str">
        <f t="shared" si="1360"/>
        <v>None</v>
      </c>
      <c r="H4654" s="24">
        <f t="shared" si="1248"/>
        <v>0</v>
      </c>
      <c r="I4654" s="24" t="str" cm="1">
        <f t="array" ref="I4654">IFERROR(IF($B4654=I$1, ($A4654+$C4654) - MAX(IF($B$2:$B4653=$B4654, $A$2:$A4653+$C$2:$C4653)), "")*24*60, "")</f>
        <v/>
      </c>
      <c r="J4654" s="24" t="str" cm="1">
        <f t="array" ref="J4654">IFERROR(IF($B4654=J$1, ($A4654+$C4654) - MAX(IF($B$2:$B4653=$B4654, $A$2:$A4653+$C$2:$C4653)), "")*24*60, "")</f>
        <v/>
      </c>
      <c r="K4654" s="24" t="str" cm="1">
        <f t="array" ref="K4654">IFERROR(IF($B4654=K$1, ($A4654+$C4654) - MAX(IF($B$2:$B4653=$B4654, $A$2:$A4653+$C$2:$C4653)), "")*24*60, "")</f>
        <v/>
      </c>
      <c r="L4654" s="24" t="str" cm="1">
        <f t="array" ref="L4654">IFERROR(IF($B4654=L$1, ($A4654+$C4654) - MAX(IF($B$2:$B4653=$B4654, $A$2:$A4653+$C$2:$C4653)), "")*24*60, "")</f>
        <v/>
      </c>
      <c r="M4654" s="24" t="str" cm="1">
        <f t="array" ref="M4654">IFERROR(IF($B4654=M$1, ($A4654+$C4654) - MAX(IF($B$2:$B4653=$B4654, $A$2:$A4653+$C$2:$C4653)), "")*24*60, "")</f>
        <v/>
      </c>
      <c r="N4654" s="24" t="str" cm="1">
        <f t="array" ref="N4654">IFERROR(IF($B4654=N$1, ($A4654+$C4654) - MAX(IF($B$2:$B4653=$B4654, $A$2:$A4653+$C$2:$C4653)), "")*24*60, "")</f>
        <v/>
      </c>
      <c r="O4654" s="24" cm="1">
        <f t="array" ref="O4654">IFERROR(IF($B4654=O$1, ($A4654+$C4654) - MAX(IF($B$2:$B4653=$B4654, $A$2:$A4653+$C$2:$C4653)), "")*24*60, "")</f>
        <v>0</v>
      </c>
      <c r="P4654" s="24" t="str" cm="1">
        <f t="array" ref="P4654">IFERROR(IF($B4654=P$1, ($A4654+$C4654) - MAX(IF($B$2:$B4653=$B4654, $A$2:$A4653+$C$2:$C4653)), "")*24*60, "")</f>
        <v/>
      </c>
    </row>
    <row r="4655" spans="1:16" x14ac:dyDescent="0.2">
      <c r="A4655" s="12">
        <f t="shared" ref="A4655:C4655" si="1361">A4654</f>
        <v>45965</v>
      </c>
      <c r="B4655" s="5" t="str">
        <f t="shared" si="1361"/>
        <v>Mourning Dove</v>
      </c>
      <c r="C4655" s="6">
        <f t="shared" si="1361"/>
        <v>0.29166666666666669</v>
      </c>
      <c r="D4655" s="5"/>
      <c r="E4655" s="5"/>
      <c r="F4655" s="5" t="str">
        <f t="shared" ref="F4655:G4655" si="1362">F4654</f>
        <v>None</v>
      </c>
      <c r="G4655" s="15" t="str">
        <f t="shared" si="1362"/>
        <v>None</v>
      </c>
      <c r="H4655" s="24">
        <f t="shared" si="1248"/>
        <v>0</v>
      </c>
      <c r="I4655" s="24" t="str" cm="1">
        <f t="array" ref="I4655">IFERROR(IF($B4655=I$1, ($A4655+$C4655) - MAX(IF($B$2:$B4654=$B4655, $A$2:$A4654+$C$2:$C4654)), "")*24*60, "")</f>
        <v/>
      </c>
      <c r="J4655" s="24" t="str" cm="1">
        <f t="array" ref="J4655">IFERROR(IF($B4655=J$1, ($A4655+$C4655) - MAX(IF($B$2:$B4654=$B4655, $A$2:$A4654+$C$2:$C4654)), "")*24*60, "")</f>
        <v/>
      </c>
      <c r="K4655" s="24" t="str" cm="1">
        <f t="array" ref="K4655">IFERROR(IF($B4655=K$1, ($A4655+$C4655) - MAX(IF($B$2:$B4654=$B4655, $A$2:$A4654+$C$2:$C4654)), "")*24*60, "")</f>
        <v/>
      </c>
      <c r="L4655" s="24" t="str" cm="1">
        <f t="array" ref="L4655">IFERROR(IF($B4655=L$1, ($A4655+$C4655) - MAX(IF($B$2:$B4654=$B4655, $A$2:$A4654+$C$2:$C4654)), "")*24*60, "")</f>
        <v/>
      </c>
      <c r="M4655" s="24" t="str" cm="1">
        <f t="array" ref="M4655">IFERROR(IF($B4655=M$1, ($A4655+$C4655) - MAX(IF($B$2:$B4654=$B4655, $A$2:$A4654+$C$2:$C4654)), "")*24*60, "")</f>
        <v/>
      </c>
      <c r="N4655" s="24" t="str" cm="1">
        <f t="array" ref="N4655">IFERROR(IF($B4655=N$1, ($A4655+$C4655) - MAX(IF($B$2:$B4654=$B4655, $A$2:$A4654+$C$2:$C4654)), "")*24*60, "")</f>
        <v/>
      </c>
      <c r="O4655" s="24" cm="1">
        <f t="array" ref="O4655">IFERROR(IF($B4655=O$1, ($A4655+$C4655) - MAX(IF($B$2:$B4654=$B4655, $A$2:$A4654+$C$2:$C4654)), "")*24*60, "")</f>
        <v>0</v>
      </c>
      <c r="P4655" s="24" t="str" cm="1">
        <f t="array" ref="P4655">IFERROR(IF($B4655=P$1, ($A4655+$C4655) - MAX(IF($B$2:$B4654=$B4655, $A$2:$A4654+$C$2:$C4654)), "")*24*60, "")</f>
        <v/>
      </c>
    </row>
    <row r="4656" spans="1:16" x14ac:dyDescent="0.2">
      <c r="A4656" s="12">
        <f t="shared" ref="A4656:C4656" si="1363">A4655</f>
        <v>45965</v>
      </c>
      <c r="B4656" s="5" t="str">
        <f t="shared" si="1363"/>
        <v>Mourning Dove</v>
      </c>
      <c r="C4656" s="6">
        <f t="shared" si="1363"/>
        <v>0.29166666666666669</v>
      </c>
      <c r="D4656" s="5"/>
      <c r="E4656" s="5"/>
      <c r="F4656" s="5" t="str">
        <f t="shared" ref="F4656:G4656" si="1364">F4655</f>
        <v>None</v>
      </c>
      <c r="G4656" s="15" t="str">
        <f t="shared" si="1364"/>
        <v>None</v>
      </c>
      <c r="H4656" s="24">
        <f t="shared" si="1248"/>
        <v>0</v>
      </c>
      <c r="I4656" s="24" t="str" cm="1">
        <f t="array" ref="I4656">IFERROR(IF($B4656=I$1, ($A4656+$C4656) - MAX(IF($B$2:$B4655=$B4656, $A$2:$A4655+$C$2:$C4655)), "")*24*60, "")</f>
        <v/>
      </c>
      <c r="J4656" s="24" t="str" cm="1">
        <f t="array" ref="J4656">IFERROR(IF($B4656=J$1, ($A4656+$C4656) - MAX(IF($B$2:$B4655=$B4656, $A$2:$A4655+$C$2:$C4655)), "")*24*60, "")</f>
        <v/>
      </c>
      <c r="K4656" s="24" t="str" cm="1">
        <f t="array" ref="K4656">IFERROR(IF($B4656=K$1, ($A4656+$C4656) - MAX(IF($B$2:$B4655=$B4656, $A$2:$A4655+$C$2:$C4655)), "")*24*60, "")</f>
        <v/>
      </c>
      <c r="L4656" s="24" t="str" cm="1">
        <f t="array" ref="L4656">IFERROR(IF($B4656=L$1, ($A4656+$C4656) - MAX(IF($B$2:$B4655=$B4656, $A$2:$A4655+$C$2:$C4655)), "")*24*60, "")</f>
        <v/>
      </c>
      <c r="M4656" s="24" t="str" cm="1">
        <f t="array" ref="M4656">IFERROR(IF($B4656=M$1, ($A4656+$C4656) - MAX(IF($B$2:$B4655=$B4656, $A$2:$A4655+$C$2:$C4655)), "")*24*60, "")</f>
        <v/>
      </c>
      <c r="N4656" s="24" t="str" cm="1">
        <f t="array" ref="N4656">IFERROR(IF($B4656=N$1, ($A4656+$C4656) - MAX(IF($B$2:$B4655=$B4656, $A$2:$A4655+$C$2:$C4655)), "")*24*60, "")</f>
        <v/>
      </c>
      <c r="O4656" s="24" cm="1">
        <f t="array" ref="O4656">IFERROR(IF($B4656=O$1, ($A4656+$C4656) - MAX(IF($B$2:$B4655=$B4656, $A$2:$A4655+$C$2:$C4655)), "")*24*60, "")</f>
        <v>0</v>
      </c>
      <c r="P4656" s="24" t="str" cm="1">
        <f t="array" ref="P4656">IFERROR(IF($B4656=P$1, ($A4656+$C4656) - MAX(IF($B$2:$B4655=$B4656, $A$2:$A4655+$C$2:$C4655)), "")*24*60, "")</f>
        <v/>
      </c>
    </row>
    <row r="4657" spans="1:16" x14ac:dyDescent="0.2">
      <c r="A4657" s="12">
        <f t="shared" ref="A4657:C4657" si="1365">A4656</f>
        <v>45965</v>
      </c>
      <c r="B4657" s="5" t="str">
        <f t="shared" si="1365"/>
        <v>Mourning Dove</v>
      </c>
      <c r="C4657" s="6">
        <f t="shared" si="1365"/>
        <v>0.29166666666666669</v>
      </c>
      <c r="D4657" s="5"/>
      <c r="E4657" s="5"/>
      <c r="F4657" s="5" t="str">
        <f t="shared" ref="F4657:G4657" si="1366">F4656</f>
        <v>None</v>
      </c>
      <c r="G4657" s="15" t="str">
        <f t="shared" si="1366"/>
        <v>None</v>
      </c>
      <c r="H4657" s="24">
        <f t="shared" si="1248"/>
        <v>0</v>
      </c>
      <c r="I4657" s="24" t="str" cm="1">
        <f t="array" ref="I4657">IFERROR(IF($B4657=I$1, ($A4657+$C4657) - MAX(IF($B$2:$B4656=$B4657, $A$2:$A4656+$C$2:$C4656)), "")*24*60, "")</f>
        <v/>
      </c>
      <c r="J4657" s="24" t="str" cm="1">
        <f t="array" ref="J4657">IFERROR(IF($B4657=J$1, ($A4657+$C4657) - MAX(IF($B$2:$B4656=$B4657, $A$2:$A4656+$C$2:$C4656)), "")*24*60, "")</f>
        <v/>
      </c>
      <c r="K4657" s="24" t="str" cm="1">
        <f t="array" ref="K4657">IFERROR(IF($B4657=K$1, ($A4657+$C4657) - MAX(IF($B$2:$B4656=$B4657, $A$2:$A4656+$C$2:$C4656)), "")*24*60, "")</f>
        <v/>
      </c>
      <c r="L4657" s="24" t="str" cm="1">
        <f t="array" ref="L4657">IFERROR(IF($B4657=L$1, ($A4657+$C4657) - MAX(IF($B$2:$B4656=$B4657, $A$2:$A4656+$C$2:$C4656)), "")*24*60, "")</f>
        <v/>
      </c>
      <c r="M4657" s="24" t="str" cm="1">
        <f t="array" ref="M4657">IFERROR(IF($B4657=M$1, ($A4657+$C4657) - MAX(IF($B$2:$B4656=$B4657, $A$2:$A4656+$C$2:$C4656)), "")*24*60, "")</f>
        <v/>
      </c>
      <c r="N4657" s="24" t="str" cm="1">
        <f t="array" ref="N4657">IFERROR(IF($B4657=N$1, ($A4657+$C4657) - MAX(IF($B$2:$B4656=$B4657, $A$2:$A4656+$C$2:$C4656)), "")*24*60, "")</f>
        <v/>
      </c>
      <c r="O4657" s="24" cm="1">
        <f t="array" ref="O4657">IFERROR(IF($B4657=O$1, ($A4657+$C4657) - MAX(IF($B$2:$B4656=$B4657, $A$2:$A4656+$C$2:$C4656)), "")*24*60, "")</f>
        <v>0</v>
      </c>
      <c r="P4657" s="24" t="str" cm="1">
        <f t="array" ref="P4657">IFERROR(IF($B4657=P$1, ($A4657+$C4657) - MAX(IF($B$2:$B4656=$B4657, $A$2:$A4656+$C$2:$C4656)), "")*24*60, "")</f>
        <v/>
      </c>
    </row>
    <row r="4658" spans="1:16" x14ac:dyDescent="0.2">
      <c r="A4658" s="12">
        <f t="shared" ref="A4658:C4658" si="1367">A4657</f>
        <v>45965</v>
      </c>
      <c r="B4658" s="5" t="str">
        <f t="shared" si="1367"/>
        <v>Mourning Dove</v>
      </c>
      <c r="C4658" s="6">
        <f t="shared" si="1367"/>
        <v>0.29166666666666669</v>
      </c>
      <c r="D4658" s="5"/>
      <c r="E4658" s="5"/>
      <c r="F4658" s="5" t="str">
        <f t="shared" ref="F4658:G4658" si="1368">F4657</f>
        <v>None</v>
      </c>
      <c r="G4658" s="15" t="str">
        <f t="shared" si="1368"/>
        <v>None</v>
      </c>
      <c r="H4658" s="24">
        <f t="shared" si="1248"/>
        <v>0</v>
      </c>
      <c r="I4658" s="24" t="str" cm="1">
        <f t="array" ref="I4658">IFERROR(IF($B4658=I$1, ($A4658+$C4658) - MAX(IF($B$2:$B4657=$B4658, $A$2:$A4657+$C$2:$C4657)), "")*24*60, "")</f>
        <v/>
      </c>
      <c r="J4658" s="24" t="str" cm="1">
        <f t="array" ref="J4658">IFERROR(IF($B4658=J$1, ($A4658+$C4658) - MAX(IF($B$2:$B4657=$B4658, $A$2:$A4657+$C$2:$C4657)), "")*24*60, "")</f>
        <v/>
      </c>
      <c r="K4658" s="24" t="str" cm="1">
        <f t="array" ref="K4658">IFERROR(IF($B4658=K$1, ($A4658+$C4658) - MAX(IF($B$2:$B4657=$B4658, $A$2:$A4657+$C$2:$C4657)), "")*24*60, "")</f>
        <v/>
      </c>
      <c r="L4658" s="24" t="str" cm="1">
        <f t="array" ref="L4658">IFERROR(IF($B4658=L$1, ($A4658+$C4658) - MAX(IF($B$2:$B4657=$B4658, $A$2:$A4657+$C$2:$C4657)), "")*24*60, "")</f>
        <v/>
      </c>
      <c r="M4658" s="24" t="str" cm="1">
        <f t="array" ref="M4658">IFERROR(IF($B4658=M$1, ($A4658+$C4658) - MAX(IF($B$2:$B4657=$B4658, $A$2:$A4657+$C$2:$C4657)), "")*24*60, "")</f>
        <v/>
      </c>
      <c r="N4658" s="24" t="str" cm="1">
        <f t="array" ref="N4658">IFERROR(IF($B4658=N$1, ($A4658+$C4658) - MAX(IF($B$2:$B4657=$B4658, $A$2:$A4657+$C$2:$C4657)), "")*24*60, "")</f>
        <v/>
      </c>
      <c r="O4658" s="24" cm="1">
        <f t="array" ref="O4658">IFERROR(IF($B4658=O$1, ($A4658+$C4658) - MAX(IF($B$2:$B4657=$B4658, $A$2:$A4657+$C$2:$C4657)), "")*24*60, "")</f>
        <v>0</v>
      </c>
      <c r="P4658" s="24" t="str" cm="1">
        <f t="array" ref="P4658">IFERROR(IF($B4658=P$1, ($A4658+$C4658) - MAX(IF($B$2:$B4657=$B4658, $A$2:$A4657+$C$2:$C4657)), "")*24*60, "")</f>
        <v/>
      </c>
    </row>
    <row r="4659" spans="1:16" x14ac:dyDescent="0.2">
      <c r="A4659" s="12">
        <f t="shared" ref="A4659:C4659" si="1369">A4658</f>
        <v>45965</v>
      </c>
      <c r="B4659" s="5" t="str">
        <f t="shared" si="1369"/>
        <v>Mourning Dove</v>
      </c>
      <c r="C4659" s="6">
        <f t="shared" si="1369"/>
        <v>0.29166666666666669</v>
      </c>
      <c r="D4659" s="5"/>
      <c r="E4659" s="5"/>
      <c r="F4659" s="5" t="str">
        <f t="shared" ref="F4659:G4659" si="1370">F4658</f>
        <v>None</v>
      </c>
      <c r="G4659" s="15" t="str">
        <f t="shared" si="1370"/>
        <v>None</v>
      </c>
      <c r="H4659" s="24">
        <f t="shared" si="1248"/>
        <v>0</v>
      </c>
      <c r="I4659" s="24" t="str" cm="1">
        <f t="array" ref="I4659">IFERROR(IF($B4659=I$1, ($A4659+$C4659) - MAX(IF($B$2:$B4658=$B4659, $A$2:$A4658+$C$2:$C4658)), "")*24*60, "")</f>
        <v/>
      </c>
      <c r="J4659" s="24" t="str" cm="1">
        <f t="array" ref="J4659">IFERROR(IF($B4659=J$1, ($A4659+$C4659) - MAX(IF($B$2:$B4658=$B4659, $A$2:$A4658+$C$2:$C4658)), "")*24*60, "")</f>
        <v/>
      </c>
      <c r="K4659" s="24" t="str" cm="1">
        <f t="array" ref="K4659">IFERROR(IF($B4659=K$1, ($A4659+$C4659) - MAX(IF($B$2:$B4658=$B4659, $A$2:$A4658+$C$2:$C4658)), "")*24*60, "")</f>
        <v/>
      </c>
      <c r="L4659" s="24" t="str" cm="1">
        <f t="array" ref="L4659">IFERROR(IF($B4659=L$1, ($A4659+$C4659) - MAX(IF($B$2:$B4658=$B4659, $A$2:$A4658+$C$2:$C4658)), "")*24*60, "")</f>
        <v/>
      </c>
      <c r="M4659" s="24" t="str" cm="1">
        <f t="array" ref="M4659">IFERROR(IF($B4659=M$1, ($A4659+$C4659) - MAX(IF($B$2:$B4658=$B4659, $A$2:$A4658+$C$2:$C4658)), "")*24*60, "")</f>
        <v/>
      </c>
      <c r="N4659" s="24" t="str" cm="1">
        <f t="array" ref="N4659">IFERROR(IF($B4659=N$1, ($A4659+$C4659) - MAX(IF($B$2:$B4658=$B4659, $A$2:$A4658+$C$2:$C4658)), "")*24*60, "")</f>
        <v/>
      </c>
      <c r="O4659" s="24" cm="1">
        <f t="array" ref="O4659">IFERROR(IF($B4659=O$1, ($A4659+$C4659) - MAX(IF($B$2:$B4658=$B4659, $A$2:$A4658+$C$2:$C4658)), "")*24*60, "")</f>
        <v>0</v>
      </c>
      <c r="P4659" s="24" t="str" cm="1">
        <f t="array" ref="P4659">IFERROR(IF($B4659=P$1, ($A4659+$C4659) - MAX(IF($B$2:$B4658=$B4659, $A$2:$A4658+$C$2:$C4658)), "")*24*60, "")</f>
        <v/>
      </c>
    </row>
    <row r="4660" spans="1:16" x14ac:dyDescent="0.2">
      <c r="A4660" s="12">
        <f t="shared" ref="A4660:C4660" si="1371">A4659</f>
        <v>45965</v>
      </c>
      <c r="B4660" s="5" t="str">
        <f t="shared" si="1371"/>
        <v>Mourning Dove</v>
      </c>
      <c r="C4660" s="6">
        <f t="shared" si="1371"/>
        <v>0.29166666666666669</v>
      </c>
      <c r="D4660" s="5"/>
      <c r="E4660" s="5"/>
      <c r="F4660" s="5" t="str">
        <f t="shared" ref="F4660:G4660" si="1372">F4659</f>
        <v>None</v>
      </c>
      <c r="G4660" s="15" t="str">
        <f t="shared" si="1372"/>
        <v>None</v>
      </c>
      <c r="H4660" s="24">
        <f t="shared" si="1248"/>
        <v>0</v>
      </c>
      <c r="I4660" s="24" t="str" cm="1">
        <f t="array" ref="I4660">IFERROR(IF($B4660=I$1, ($A4660+$C4660) - MAX(IF($B$2:$B4659=$B4660, $A$2:$A4659+$C$2:$C4659)), "")*24*60, "")</f>
        <v/>
      </c>
      <c r="J4660" s="24" t="str" cm="1">
        <f t="array" ref="J4660">IFERROR(IF($B4660=J$1, ($A4660+$C4660) - MAX(IF($B$2:$B4659=$B4660, $A$2:$A4659+$C$2:$C4659)), "")*24*60, "")</f>
        <v/>
      </c>
      <c r="K4660" s="24" t="str" cm="1">
        <f t="array" ref="K4660">IFERROR(IF($B4660=K$1, ($A4660+$C4660) - MAX(IF($B$2:$B4659=$B4660, $A$2:$A4659+$C$2:$C4659)), "")*24*60, "")</f>
        <v/>
      </c>
      <c r="L4660" s="24" t="str" cm="1">
        <f t="array" ref="L4660">IFERROR(IF($B4660=L$1, ($A4660+$C4660) - MAX(IF($B$2:$B4659=$B4660, $A$2:$A4659+$C$2:$C4659)), "")*24*60, "")</f>
        <v/>
      </c>
      <c r="M4660" s="24" t="str" cm="1">
        <f t="array" ref="M4660">IFERROR(IF($B4660=M$1, ($A4660+$C4660) - MAX(IF($B$2:$B4659=$B4660, $A$2:$A4659+$C$2:$C4659)), "")*24*60, "")</f>
        <v/>
      </c>
      <c r="N4660" s="24" t="str" cm="1">
        <f t="array" ref="N4660">IFERROR(IF($B4660=N$1, ($A4660+$C4660) - MAX(IF($B$2:$B4659=$B4660, $A$2:$A4659+$C$2:$C4659)), "")*24*60, "")</f>
        <v/>
      </c>
      <c r="O4660" s="24" cm="1">
        <f t="array" ref="O4660">IFERROR(IF($B4660=O$1, ($A4660+$C4660) - MAX(IF($B$2:$B4659=$B4660, $A$2:$A4659+$C$2:$C4659)), "")*24*60, "")</f>
        <v>0</v>
      </c>
      <c r="P4660" s="24" t="str" cm="1">
        <f t="array" ref="P4660">IFERROR(IF($B4660=P$1, ($A4660+$C4660) - MAX(IF($B$2:$B4659=$B4660, $A$2:$A4659+$C$2:$C4659)), "")*24*60, "")</f>
        <v/>
      </c>
    </row>
    <row r="4661" spans="1:16" x14ac:dyDescent="0.2">
      <c r="A4661" s="12">
        <f t="shared" ref="A4661:C4661" si="1373">A4660</f>
        <v>45965</v>
      </c>
      <c r="B4661" s="5" t="str">
        <f t="shared" si="1373"/>
        <v>Mourning Dove</v>
      </c>
      <c r="C4661" s="6">
        <f t="shared" si="1373"/>
        <v>0.29166666666666669</v>
      </c>
      <c r="D4661" s="5"/>
      <c r="E4661" s="5"/>
      <c r="F4661" s="5" t="str">
        <f t="shared" ref="F4661:G4661" si="1374">F4660</f>
        <v>None</v>
      </c>
      <c r="G4661" s="15" t="str">
        <f t="shared" si="1374"/>
        <v>None</v>
      </c>
      <c r="H4661" s="24">
        <f t="shared" si="1248"/>
        <v>0</v>
      </c>
      <c r="I4661" s="24" t="str" cm="1">
        <f t="array" ref="I4661">IFERROR(IF($B4661=I$1, ($A4661+$C4661) - MAX(IF($B$2:$B4660=$B4661, $A$2:$A4660+$C$2:$C4660)), "")*24*60, "")</f>
        <v/>
      </c>
      <c r="J4661" s="24" t="str" cm="1">
        <f t="array" ref="J4661">IFERROR(IF($B4661=J$1, ($A4661+$C4661) - MAX(IF($B$2:$B4660=$B4661, $A$2:$A4660+$C$2:$C4660)), "")*24*60, "")</f>
        <v/>
      </c>
      <c r="K4661" s="24" t="str" cm="1">
        <f t="array" ref="K4661">IFERROR(IF($B4661=K$1, ($A4661+$C4661) - MAX(IF($B$2:$B4660=$B4661, $A$2:$A4660+$C$2:$C4660)), "")*24*60, "")</f>
        <v/>
      </c>
      <c r="L4661" s="24" t="str" cm="1">
        <f t="array" ref="L4661">IFERROR(IF($B4661=L$1, ($A4661+$C4661) - MAX(IF($B$2:$B4660=$B4661, $A$2:$A4660+$C$2:$C4660)), "")*24*60, "")</f>
        <v/>
      </c>
      <c r="M4661" s="24" t="str" cm="1">
        <f t="array" ref="M4661">IFERROR(IF($B4661=M$1, ($A4661+$C4661) - MAX(IF($B$2:$B4660=$B4661, $A$2:$A4660+$C$2:$C4660)), "")*24*60, "")</f>
        <v/>
      </c>
      <c r="N4661" s="24" t="str" cm="1">
        <f t="array" ref="N4661">IFERROR(IF($B4661=N$1, ($A4661+$C4661) - MAX(IF($B$2:$B4660=$B4661, $A$2:$A4660+$C$2:$C4660)), "")*24*60, "")</f>
        <v/>
      </c>
      <c r="O4661" s="24" cm="1">
        <f t="array" ref="O4661">IFERROR(IF($B4661=O$1, ($A4661+$C4661) - MAX(IF($B$2:$B4660=$B4661, $A$2:$A4660+$C$2:$C4660)), "")*24*60, "")</f>
        <v>0</v>
      </c>
      <c r="P4661" s="24" t="str" cm="1">
        <f t="array" ref="P4661">IFERROR(IF($B4661=P$1, ($A4661+$C4661) - MAX(IF($B$2:$B4660=$B4661, $A$2:$A4660+$C$2:$C4660)), "")*24*60, "")</f>
        <v/>
      </c>
    </row>
    <row r="4662" spans="1:16" x14ac:dyDescent="0.2">
      <c r="A4662" s="12">
        <f t="shared" ref="A4662:C4662" si="1375">A4661</f>
        <v>45965</v>
      </c>
      <c r="B4662" s="5" t="str">
        <f t="shared" si="1375"/>
        <v>Mourning Dove</v>
      </c>
      <c r="C4662" s="6">
        <f t="shared" si="1375"/>
        <v>0.29166666666666669</v>
      </c>
      <c r="D4662" s="5"/>
      <c r="E4662" s="5"/>
      <c r="F4662" s="5" t="str">
        <f t="shared" ref="F4662:G4662" si="1376">F4661</f>
        <v>None</v>
      </c>
      <c r="G4662" s="15" t="str">
        <f t="shared" si="1376"/>
        <v>None</v>
      </c>
      <c r="H4662" s="24">
        <f t="shared" ref="H4662:H4673" si="1377">IFERROR((($A4662+$C4662) - ($A4661+$C4661))*24*60, "")</f>
        <v>0</v>
      </c>
      <c r="I4662" s="24" t="str" cm="1">
        <f t="array" ref="I4662">IFERROR(IF($B4662=I$1, ($A4662+$C4662) - MAX(IF($B$2:$B4661=$B4662, $A$2:$A4661+$C$2:$C4661)), "")*24*60, "")</f>
        <v/>
      </c>
      <c r="J4662" s="24" t="str" cm="1">
        <f t="array" ref="J4662">IFERROR(IF($B4662=J$1, ($A4662+$C4662) - MAX(IF($B$2:$B4661=$B4662, $A$2:$A4661+$C$2:$C4661)), "")*24*60, "")</f>
        <v/>
      </c>
      <c r="K4662" s="24" t="str" cm="1">
        <f t="array" ref="K4662">IFERROR(IF($B4662=K$1, ($A4662+$C4662) - MAX(IF($B$2:$B4661=$B4662, $A$2:$A4661+$C$2:$C4661)), "")*24*60, "")</f>
        <v/>
      </c>
      <c r="L4662" s="24" t="str" cm="1">
        <f t="array" ref="L4662">IFERROR(IF($B4662=L$1, ($A4662+$C4662) - MAX(IF($B$2:$B4661=$B4662, $A$2:$A4661+$C$2:$C4661)), "")*24*60, "")</f>
        <v/>
      </c>
      <c r="M4662" s="24" t="str" cm="1">
        <f t="array" ref="M4662">IFERROR(IF($B4662=M$1, ($A4662+$C4662) - MAX(IF($B$2:$B4661=$B4662, $A$2:$A4661+$C$2:$C4661)), "")*24*60, "")</f>
        <v/>
      </c>
      <c r="N4662" s="24" t="str" cm="1">
        <f t="array" ref="N4662">IFERROR(IF($B4662=N$1, ($A4662+$C4662) - MAX(IF($B$2:$B4661=$B4662, $A$2:$A4661+$C$2:$C4661)), "")*24*60, "")</f>
        <v/>
      </c>
      <c r="O4662" s="24" cm="1">
        <f t="array" ref="O4662">IFERROR(IF($B4662=O$1, ($A4662+$C4662) - MAX(IF($B$2:$B4661=$B4662, $A$2:$A4661+$C$2:$C4661)), "")*24*60, "")</f>
        <v>0</v>
      </c>
      <c r="P4662" s="24" t="str" cm="1">
        <f t="array" ref="P4662">IFERROR(IF($B4662=P$1, ($A4662+$C4662) - MAX(IF($B$2:$B4661=$B4662, $A$2:$A4661+$C$2:$C4661)), "")*24*60, "")</f>
        <v/>
      </c>
    </row>
    <row r="4663" spans="1:16" x14ac:dyDescent="0.2">
      <c r="A4663" s="12">
        <f t="shared" ref="A4663:C4663" si="1378">A4662</f>
        <v>45965</v>
      </c>
      <c r="B4663" s="5" t="str">
        <f t="shared" si="1378"/>
        <v>Mourning Dove</v>
      </c>
      <c r="C4663" s="6">
        <f t="shared" si="1378"/>
        <v>0.29166666666666669</v>
      </c>
      <c r="D4663" s="5"/>
      <c r="E4663" s="5"/>
      <c r="F4663" s="5" t="str">
        <f t="shared" ref="F4663:G4663" si="1379">F4662</f>
        <v>None</v>
      </c>
      <c r="G4663" s="15" t="str">
        <f t="shared" si="1379"/>
        <v>None</v>
      </c>
      <c r="H4663" s="24">
        <f t="shared" si="1377"/>
        <v>0</v>
      </c>
      <c r="I4663" s="24" t="str" cm="1">
        <f t="array" ref="I4663">IFERROR(IF($B4663=I$1, ($A4663+$C4663) - MAX(IF($B$2:$B4662=$B4663, $A$2:$A4662+$C$2:$C4662)), "")*24*60, "")</f>
        <v/>
      </c>
      <c r="J4663" s="24" t="str" cm="1">
        <f t="array" ref="J4663">IFERROR(IF($B4663=J$1, ($A4663+$C4663) - MAX(IF($B$2:$B4662=$B4663, $A$2:$A4662+$C$2:$C4662)), "")*24*60, "")</f>
        <v/>
      </c>
      <c r="K4663" s="24" t="str" cm="1">
        <f t="array" ref="K4663">IFERROR(IF($B4663=K$1, ($A4663+$C4663) - MAX(IF($B$2:$B4662=$B4663, $A$2:$A4662+$C$2:$C4662)), "")*24*60, "")</f>
        <v/>
      </c>
      <c r="L4663" s="24" t="str" cm="1">
        <f t="array" ref="L4663">IFERROR(IF($B4663=L$1, ($A4663+$C4663) - MAX(IF($B$2:$B4662=$B4663, $A$2:$A4662+$C$2:$C4662)), "")*24*60, "")</f>
        <v/>
      </c>
      <c r="M4663" s="24" t="str" cm="1">
        <f t="array" ref="M4663">IFERROR(IF($B4663=M$1, ($A4663+$C4663) - MAX(IF($B$2:$B4662=$B4663, $A$2:$A4662+$C$2:$C4662)), "")*24*60, "")</f>
        <v/>
      </c>
      <c r="N4663" s="24" t="str" cm="1">
        <f t="array" ref="N4663">IFERROR(IF($B4663=N$1, ($A4663+$C4663) - MAX(IF($B$2:$B4662=$B4663, $A$2:$A4662+$C$2:$C4662)), "")*24*60, "")</f>
        <v/>
      </c>
      <c r="O4663" s="24" cm="1">
        <f t="array" ref="O4663">IFERROR(IF($B4663=O$1, ($A4663+$C4663) - MAX(IF($B$2:$B4662=$B4663, $A$2:$A4662+$C$2:$C4662)), "")*24*60, "")</f>
        <v>0</v>
      </c>
      <c r="P4663" s="24" t="str" cm="1">
        <f t="array" ref="P4663">IFERROR(IF($B4663=P$1, ($A4663+$C4663) - MAX(IF($B$2:$B4662=$B4663, $A$2:$A4662+$C$2:$C4662)), "")*24*60, "")</f>
        <v/>
      </c>
    </row>
    <row r="4664" spans="1:16" x14ac:dyDescent="0.2">
      <c r="A4664" s="12">
        <f t="shared" ref="A4664:C4664" si="1380">A4663</f>
        <v>45965</v>
      </c>
      <c r="B4664" s="5" t="str">
        <f t="shared" si="1380"/>
        <v>Mourning Dove</v>
      </c>
      <c r="C4664" s="6">
        <f t="shared" si="1380"/>
        <v>0.29166666666666669</v>
      </c>
      <c r="D4664" s="5"/>
      <c r="E4664" s="5"/>
      <c r="F4664" s="5" t="str">
        <f t="shared" ref="F4664:G4664" si="1381">F4663</f>
        <v>None</v>
      </c>
      <c r="G4664" s="15" t="str">
        <f t="shared" si="1381"/>
        <v>None</v>
      </c>
      <c r="H4664" s="24">
        <f t="shared" si="1377"/>
        <v>0</v>
      </c>
      <c r="I4664" s="24" t="str" cm="1">
        <f t="array" ref="I4664">IFERROR(IF($B4664=I$1, ($A4664+$C4664) - MAX(IF($B$2:$B4663=$B4664, $A$2:$A4663+$C$2:$C4663)), "")*24*60, "")</f>
        <v/>
      </c>
      <c r="J4664" s="24" t="str" cm="1">
        <f t="array" ref="J4664">IFERROR(IF($B4664=J$1, ($A4664+$C4664) - MAX(IF($B$2:$B4663=$B4664, $A$2:$A4663+$C$2:$C4663)), "")*24*60, "")</f>
        <v/>
      </c>
      <c r="K4664" s="24" t="str" cm="1">
        <f t="array" ref="K4664">IFERROR(IF($B4664=K$1, ($A4664+$C4664) - MAX(IF($B$2:$B4663=$B4664, $A$2:$A4663+$C$2:$C4663)), "")*24*60, "")</f>
        <v/>
      </c>
      <c r="L4664" s="24" t="str" cm="1">
        <f t="array" ref="L4664">IFERROR(IF($B4664=L$1, ($A4664+$C4664) - MAX(IF($B$2:$B4663=$B4664, $A$2:$A4663+$C$2:$C4663)), "")*24*60, "")</f>
        <v/>
      </c>
      <c r="M4664" s="24" t="str" cm="1">
        <f t="array" ref="M4664">IFERROR(IF($B4664=M$1, ($A4664+$C4664) - MAX(IF($B$2:$B4663=$B4664, $A$2:$A4663+$C$2:$C4663)), "")*24*60, "")</f>
        <v/>
      </c>
      <c r="N4664" s="24" t="str" cm="1">
        <f t="array" ref="N4664">IFERROR(IF($B4664=N$1, ($A4664+$C4664) - MAX(IF($B$2:$B4663=$B4664, $A$2:$A4663+$C$2:$C4663)), "")*24*60, "")</f>
        <v/>
      </c>
      <c r="O4664" s="24" cm="1">
        <f t="array" ref="O4664">IFERROR(IF($B4664=O$1, ($A4664+$C4664) - MAX(IF($B$2:$B4663=$B4664, $A$2:$A4663+$C$2:$C4663)), "")*24*60, "")</f>
        <v>0</v>
      </c>
      <c r="P4664" s="24" t="str" cm="1">
        <f t="array" ref="P4664">IFERROR(IF($B4664=P$1, ($A4664+$C4664) - MAX(IF($B$2:$B4663=$B4664, $A$2:$A4663+$C$2:$C4663)), "")*24*60, "")</f>
        <v/>
      </c>
    </row>
    <row r="4665" spans="1:16" x14ac:dyDescent="0.2">
      <c r="A4665" s="12">
        <f t="shared" ref="A4665:C4665" si="1382">A4664</f>
        <v>45965</v>
      </c>
      <c r="B4665" s="5" t="str">
        <f t="shared" si="1382"/>
        <v>Mourning Dove</v>
      </c>
      <c r="C4665" s="6">
        <f t="shared" si="1382"/>
        <v>0.29166666666666669</v>
      </c>
      <c r="D4665" s="5"/>
      <c r="E4665" s="5"/>
      <c r="F4665" s="5" t="str">
        <f t="shared" ref="F4665:G4665" si="1383">F4664</f>
        <v>None</v>
      </c>
      <c r="G4665" s="15" t="str">
        <f t="shared" si="1383"/>
        <v>None</v>
      </c>
      <c r="H4665" s="24">
        <f t="shared" si="1377"/>
        <v>0</v>
      </c>
      <c r="I4665" s="24" t="str" cm="1">
        <f t="array" ref="I4665">IFERROR(IF($B4665=I$1, ($A4665+$C4665) - MAX(IF($B$2:$B4664=$B4665, $A$2:$A4664+$C$2:$C4664)), "")*24*60, "")</f>
        <v/>
      </c>
      <c r="J4665" s="24" t="str" cm="1">
        <f t="array" ref="J4665">IFERROR(IF($B4665=J$1, ($A4665+$C4665) - MAX(IF($B$2:$B4664=$B4665, $A$2:$A4664+$C$2:$C4664)), "")*24*60, "")</f>
        <v/>
      </c>
      <c r="K4665" s="24" t="str" cm="1">
        <f t="array" ref="K4665">IFERROR(IF($B4665=K$1, ($A4665+$C4665) - MAX(IF($B$2:$B4664=$B4665, $A$2:$A4664+$C$2:$C4664)), "")*24*60, "")</f>
        <v/>
      </c>
      <c r="L4665" s="24" t="str" cm="1">
        <f t="array" ref="L4665">IFERROR(IF($B4665=L$1, ($A4665+$C4665) - MAX(IF($B$2:$B4664=$B4665, $A$2:$A4664+$C$2:$C4664)), "")*24*60, "")</f>
        <v/>
      </c>
      <c r="M4665" s="24" t="str" cm="1">
        <f t="array" ref="M4665">IFERROR(IF($B4665=M$1, ($A4665+$C4665) - MAX(IF($B$2:$B4664=$B4665, $A$2:$A4664+$C$2:$C4664)), "")*24*60, "")</f>
        <v/>
      </c>
      <c r="N4665" s="24" t="str" cm="1">
        <f t="array" ref="N4665">IFERROR(IF($B4665=N$1, ($A4665+$C4665) - MAX(IF($B$2:$B4664=$B4665, $A$2:$A4664+$C$2:$C4664)), "")*24*60, "")</f>
        <v/>
      </c>
      <c r="O4665" s="24" cm="1">
        <f t="array" ref="O4665">IFERROR(IF($B4665=O$1, ($A4665+$C4665) - MAX(IF($B$2:$B4664=$B4665, $A$2:$A4664+$C$2:$C4664)), "")*24*60, "")</f>
        <v>0</v>
      </c>
      <c r="P4665" s="24" t="str" cm="1">
        <f t="array" ref="P4665">IFERROR(IF($B4665=P$1, ($A4665+$C4665) - MAX(IF($B$2:$B4664=$B4665, $A$2:$A4664+$C$2:$C4664)), "")*24*60, "")</f>
        <v/>
      </c>
    </row>
    <row r="4666" spans="1:16" x14ac:dyDescent="0.2">
      <c r="A4666" s="12">
        <f t="shared" ref="A4666:C4666" si="1384">A4665</f>
        <v>45965</v>
      </c>
      <c r="B4666" s="5" t="str">
        <f t="shared" si="1384"/>
        <v>Mourning Dove</v>
      </c>
      <c r="C4666" s="6">
        <f t="shared" si="1384"/>
        <v>0.29166666666666669</v>
      </c>
      <c r="D4666" s="5"/>
      <c r="E4666" s="5"/>
      <c r="F4666" s="5" t="str">
        <f t="shared" ref="F4666:G4666" si="1385">F4665</f>
        <v>None</v>
      </c>
      <c r="G4666" s="15" t="str">
        <f t="shared" si="1385"/>
        <v>None</v>
      </c>
      <c r="H4666" s="24">
        <f t="shared" si="1377"/>
        <v>0</v>
      </c>
      <c r="I4666" s="24" t="str" cm="1">
        <f t="array" ref="I4666">IFERROR(IF($B4666=I$1, ($A4666+$C4666) - MAX(IF($B$2:$B4665=$B4666, $A$2:$A4665+$C$2:$C4665)), "")*24*60, "")</f>
        <v/>
      </c>
      <c r="J4666" s="24" t="str" cm="1">
        <f t="array" ref="J4666">IFERROR(IF($B4666=J$1, ($A4666+$C4666) - MAX(IF($B$2:$B4665=$B4666, $A$2:$A4665+$C$2:$C4665)), "")*24*60, "")</f>
        <v/>
      </c>
      <c r="K4666" s="24" t="str" cm="1">
        <f t="array" ref="K4666">IFERROR(IF($B4666=K$1, ($A4666+$C4666) - MAX(IF($B$2:$B4665=$B4666, $A$2:$A4665+$C$2:$C4665)), "")*24*60, "")</f>
        <v/>
      </c>
      <c r="L4666" s="24" t="str" cm="1">
        <f t="array" ref="L4666">IFERROR(IF($B4666=L$1, ($A4666+$C4666) - MAX(IF($B$2:$B4665=$B4666, $A$2:$A4665+$C$2:$C4665)), "")*24*60, "")</f>
        <v/>
      </c>
      <c r="M4666" s="24" t="str" cm="1">
        <f t="array" ref="M4666">IFERROR(IF($B4666=M$1, ($A4666+$C4666) - MAX(IF($B$2:$B4665=$B4666, $A$2:$A4665+$C$2:$C4665)), "")*24*60, "")</f>
        <v/>
      </c>
      <c r="N4666" s="24" t="str" cm="1">
        <f t="array" ref="N4666">IFERROR(IF($B4666=N$1, ($A4666+$C4666) - MAX(IF($B$2:$B4665=$B4666, $A$2:$A4665+$C$2:$C4665)), "")*24*60, "")</f>
        <v/>
      </c>
      <c r="O4666" s="24" cm="1">
        <f t="array" ref="O4666">IFERROR(IF($B4666=O$1, ($A4666+$C4666) - MAX(IF($B$2:$B4665=$B4666, $A$2:$A4665+$C$2:$C4665)), "")*24*60, "")</f>
        <v>0</v>
      </c>
      <c r="P4666" s="24" t="str" cm="1">
        <f t="array" ref="P4666">IFERROR(IF($B4666=P$1, ($A4666+$C4666) - MAX(IF($B$2:$B4665=$B4666, $A$2:$A4665+$C$2:$C4665)), "")*24*60, "")</f>
        <v/>
      </c>
    </row>
    <row r="4667" spans="1:16" x14ac:dyDescent="0.2">
      <c r="A4667" s="12">
        <f t="shared" ref="A4667:C4667" si="1386">A4666</f>
        <v>45965</v>
      </c>
      <c r="B4667" s="5" t="str">
        <f t="shared" si="1386"/>
        <v>Mourning Dove</v>
      </c>
      <c r="C4667" s="6">
        <f t="shared" si="1386"/>
        <v>0.29166666666666669</v>
      </c>
      <c r="D4667" s="5"/>
      <c r="E4667" s="5"/>
      <c r="F4667" s="5" t="str">
        <f t="shared" ref="F4667:G4667" si="1387">F4666</f>
        <v>None</v>
      </c>
      <c r="G4667" s="15" t="str">
        <f t="shared" si="1387"/>
        <v>None</v>
      </c>
      <c r="H4667" s="24">
        <f t="shared" si="1377"/>
        <v>0</v>
      </c>
      <c r="I4667" s="24" t="str" cm="1">
        <f t="array" ref="I4667">IFERROR(IF($B4667=I$1, ($A4667+$C4667) - MAX(IF($B$2:$B4666=$B4667, $A$2:$A4666+$C$2:$C4666)), "")*24*60, "")</f>
        <v/>
      </c>
      <c r="J4667" s="24" t="str" cm="1">
        <f t="array" ref="J4667">IFERROR(IF($B4667=J$1, ($A4667+$C4667) - MAX(IF($B$2:$B4666=$B4667, $A$2:$A4666+$C$2:$C4666)), "")*24*60, "")</f>
        <v/>
      </c>
      <c r="K4667" s="24" t="str" cm="1">
        <f t="array" ref="K4667">IFERROR(IF($B4667=K$1, ($A4667+$C4667) - MAX(IF($B$2:$B4666=$B4667, $A$2:$A4666+$C$2:$C4666)), "")*24*60, "")</f>
        <v/>
      </c>
      <c r="L4667" s="24" t="str" cm="1">
        <f t="array" ref="L4667">IFERROR(IF($B4667=L$1, ($A4667+$C4667) - MAX(IF($B$2:$B4666=$B4667, $A$2:$A4666+$C$2:$C4666)), "")*24*60, "")</f>
        <v/>
      </c>
      <c r="M4667" s="24" t="str" cm="1">
        <f t="array" ref="M4667">IFERROR(IF($B4667=M$1, ($A4667+$C4667) - MAX(IF($B$2:$B4666=$B4667, $A$2:$A4666+$C$2:$C4666)), "")*24*60, "")</f>
        <v/>
      </c>
      <c r="N4667" s="24" t="str" cm="1">
        <f t="array" ref="N4667">IFERROR(IF($B4667=N$1, ($A4667+$C4667) - MAX(IF($B$2:$B4666=$B4667, $A$2:$A4666+$C$2:$C4666)), "")*24*60, "")</f>
        <v/>
      </c>
      <c r="O4667" s="24" cm="1">
        <f t="array" ref="O4667">IFERROR(IF($B4667=O$1, ($A4667+$C4667) - MAX(IF($B$2:$B4666=$B4667, $A$2:$A4666+$C$2:$C4666)), "")*24*60, "")</f>
        <v>0</v>
      </c>
      <c r="P4667" s="24" t="str" cm="1">
        <f t="array" ref="P4667">IFERROR(IF($B4667=P$1, ($A4667+$C4667) - MAX(IF($B$2:$B4666=$B4667, $A$2:$A4666+$C$2:$C4666)), "")*24*60, "")</f>
        <v/>
      </c>
    </row>
    <row r="4668" spans="1:16" x14ac:dyDescent="0.2">
      <c r="A4668" s="12">
        <f t="shared" ref="A4668:C4668" si="1388">A4667</f>
        <v>45965</v>
      </c>
      <c r="B4668" s="5" t="str">
        <f t="shared" si="1388"/>
        <v>Mourning Dove</v>
      </c>
      <c r="C4668" s="6">
        <f t="shared" si="1388"/>
        <v>0.29166666666666669</v>
      </c>
      <c r="D4668" s="5"/>
      <c r="E4668" s="5"/>
      <c r="F4668" s="5" t="str">
        <f t="shared" ref="F4668:G4668" si="1389">F4667</f>
        <v>None</v>
      </c>
      <c r="G4668" s="15" t="str">
        <f t="shared" si="1389"/>
        <v>None</v>
      </c>
      <c r="H4668" s="24">
        <f t="shared" si="1377"/>
        <v>0</v>
      </c>
      <c r="I4668" s="24" t="str" cm="1">
        <f t="array" ref="I4668">IFERROR(IF($B4668=I$1, ($A4668+$C4668) - MAX(IF($B$2:$B4667=$B4668, $A$2:$A4667+$C$2:$C4667)), "")*24*60, "")</f>
        <v/>
      </c>
      <c r="J4668" s="24" t="str" cm="1">
        <f t="array" ref="J4668">IFERROR(IF($B4668=J$1, ($A4668+$C4668) - MAX(IF($B$2:$B4667=$B4668, $A$2:$A4667+$C$2:$C4667)), "")*24*60, "")</f>
        <v/>
      </c>
      <c r="K4668" s="24" t="str" cm="1">
        <f t="array" ref="K4668">IFERROR(IF($B4668=K$1, ($A4668+$C4668) - MAX(IF($B$2:$B4667=$B4668, $A$2:$A4667+$C$2:$C4667)), "")*24*60, "")</f>
        <v/>
      </c>
      <c r="L4668" s="24" t="str" cm="1">
        <f t="array" ref="L4668">IFERROR(IF($B4668=L$1, ($A4668+$C4668) - MAX(IF($B$2:$B4667=$B4668, $A$2:$A4667+$C$2:$C4667)), "")*24*60, "")</f>
        <v/>
      </c>
      <c r="M4668" s="24" t="str" cm="1">
        <f t="array" ref="M4668">IFERROR(IF($B4668=M$1, ($A4668+$C4668) - MAX(IF($B$2:$B4667=$B4668, $A$2:$A4667+$C$2:$C4667)), "")*24*60, "")</f>
        <v/>
      </c>
      <c r="N4668" s="24" t="str" cm="1">
        <f t="array" ref="N4668">IFERROR(IF($B4668=N$1, ($A4668+$C4668) - MAX(IF($B$2:$B4667=$B4668, $A$2:$A4667+$C$2:$C4667)), "")*24*60, "")</f>
        <v/>
      </c>
      <c r="O4668" s="24" cm="1">
        <f t="array" ref="O4668">IFERROR(IF($B4668=O$1, ($A4668+$C4668) - MAX(IF($B$2:$B4667=$B4668, $A$2:$A4667+$C$2:$C4667)), "")*24*60, "")</f>
        <v>0</v>
      </c>
      <c r="P4668" s="24" t="str" cm="1">
        <f t="array" ref="P4668">IFERROR(IF($B4668=P$1, ($A4668+$C4668) - MAX(IF($B$2:$B4667=$B4668, $A$2:$A4667+$C$2:$C4667)), "")*24*60, "")</f>
        <v/>
      </c>
    </row>
    <row r="4669" spans="1:16" x14ac:dyDescent="0.2">
      <c r="A4669" s="12">
        <f t="shared" ref="A4669:C4669" si="1390">A4668</f>
        <v>45965</v>
      </c>
      <c r="B4669" s="5" t="str">
        <f t="shared" si="1390"/>
        <v>Mourning Dove</v>
      </c>
      <c r="C4669" s="6">
        <f t="shared" si="1390"/>
        <v>0.29166666666666669</v>
      </c>
      <c r="D4669" s="5"/>
      <c r="E4669" s="5"/>
      <c r="F4669" s="5" t="str">
        <f t="shared" ref="F4669:G4669" si="1391">F4668</f>
        <v>None</v>
      </c>
      <c r="G4669" s="15" t="str">
        <f t="shared" si="1391"/>
        <v>None</v>
      </c>
      <c r="H4669" s="24">
        <f t="shared" si="1377"/>
        <v>0</v>
      </c>
      <c r="I4669" s="24" t="str" cm="1">
        <f t="array" ref="I4669">IFERROR(IF($B4669=I$1, ($A4669+$C4669) - MAX(IF($B$2:$B4668=$B4669, $A$2:$A4668+$C$2:$C4668)), "")*24*60, "")</f>
        <v/>
      </c>
      <c r="J4669" s="24" t="str" cm="1">
        <f t="array" ref="J4669">IFERROR(IF($B4669=J$1, ($A4669+$C4669) - MAX(IF($B$2:$B4668=$B4669, $A$2:$A4668+$C$2:$C4668)), "")*24*60, "")</f>
        <v/>
      </c>
      <c r="K4669" s="24" t="str" cm="1">
        <f t="array" ref="K4669">IFERROR(IF($B4669=K$1, ($A4669+$C4669) - MAX(IF($B$2:$B4668=$B4669, $A$2:$A4668+$C$2:$C4668)), "")*24*60, "")</f>
        <v/>
      </c>
      <c r="L4669" s="24" t="str" cm="1">
        <f t="array" ref="L4669">IFERROR(IF($B4669=L$1, ($A4669+$C4669) - MAX(IF($B$2:$B4668=$B4669, $A$2:$A4668+$C$2:$C4668)), "")*24*60, "")</f>
        <v/>
      </c>
      <c r="M4669" s="24" t="str" cm="1">
        <f t="array" ref="M4669">IFERROR(IF($B4669=M$1, ($A4669+$C4669) - MAX(IF($B$2:$B4668=$B4669, $A$2:$A4668+$C$2:$C4668)), "")*24*60, "")</f>
        <v/>
      </c>
      <c r="N4669" s="24" t="str" cm="1">
        <f t="array" ref="N4669">IFERROR(IF($B4669=N$1, ($A4669+$C4669) - MAX(IF($B$2:$B4668=$B4669, $A$2:$A4668+$C$2:$C4668)), "")*24*60, "")</f>
        <v/>
      </c>
      <c r="O4669" s="24" cm="1">
        <f t="array" ref="O4669">IFERROR(IF($B4669=O$1, ($A4669+$C4669) - MAX(IF($B$2:$B4668=$B4669, $A$2:$A4668+$C$2:$C4668)), "")*24*60, "")</f>
        <v>0</v>
      </c>
      <c r="P4669" s="24" t="str" cm="1">
        <f t="array" ref="P4669">IFERROR(IF($B4669=P$1, ($A4669+$C4669) - MAX(IF($B$2:$B4668=$B4669, $A$2:$A4668+$C$2:$C4668)), "")*24*60, "")</f>
        <v/>
      </c>
    </row>
    <row r="4670" spans="1:16" x14ac:dyDescent="0.2">
      <c r="A4670" s="12">
        <f t="shared" ref="A4670:C4670" si="1392">A4669</f>
        <v>45965</v>
      </c>
      <c r="B4670" s="5" t="str">
        <f t="shared" si="1392"/>
        <v>Mourning Dove</v>
      </c>
      <c r="C4670" s="6">
        <f t="shared" si="1392"/>
        <v>0.29166666666666669</v>
      </c>
      <c r="D4670" s="5"/>
      <c r="E4670" s="5"/>
      <c r="F4670" s="5" t="str">
        <f t="shared" ref="F4670:G4670" si="1393">F4669</f>
        <v>None</v>
      </c>
      <c r="G4670" s="15" t="str">
        <f t="shared" si="1393"/>
        <v>None</v>
      </c>
      <c r="H4670" s="24">
        <f t="shared" si="1377"/>
        <v>0</v>
      </c>
      <c r="I4670" s="24" t="str" cm="1">
        <f t="array" ref="I4670">IFERROR(IF($B4670=I$1, ($A4670+$C4670) - MAX(IF($B$2:$B4669=$B4670, $A$2:$A4669+$C$2:$C4669)), "")*24*60, "")</f>
        <v/>
      </c>
      <c r="J4670" s="24" t="str" cm="1">
        <f t="array" ref="J4670">IFERROR(IF($B4670=J$1, ($A4670+$C4670) - MAX(IF($B$2:$B4669=$B4670, $A$2:$A4669+$C$2:$C4669)), "")*24*60, "")</f>
        <v/>
      </c>
      <c r="K4670" s="24" t="str" cm="1">
        <f t="array" ref="K4670">IFERROR(IF($B4670=K$1, ($A4670+$C4670) - MAX(IF($B$2:$B4669=$B4670, $A$2:$A4669+$C$2:$C4669)), "")*24*60, "")</f>
        <v/>
      </c>
      <c r="L4670" s="24" t="str" cm="1">
        <f t="array" ref="L4670">IFERROR(IF($B4670=L$1, ($A4670+$C4670) - MAX(IF($B$2:$B4669=$B4670, $A$2:$A4669+$C$2:$C4669)), "")*24*60, "")</f>
        <v/>
      </c>
      <c r="M4670" s="24" t="str" cm="1">
        <f t="array" ref="M4670">IFERROR(IF($B4670=M$1, ($A4670+$C4670) - MAX(IF($B$2:$B4669=$B4670, $A$2:$A4669+$C$2:$C4669)), "")*24*60, "")</f>
        <v/>
      </c>
      <c r="N4670" s="24" t="str" cm="1">
        <f t="array" ref="N4670">IFERROR(IF($B4670=N$1, ($A4670+$C4670) - MAX(IF($B$2:$B4669=$B4670, $A$2:$A4669+$C$2:$C4669)), "")*24*60, "")</f>
        <v/>
      </c>
      <c r="O4670" s="24" cm="1">
        <f t="array" ref="O4670">IFERROR(IF($B4670=O$1, ($A4670+$C4670) - MAX(IF($B$2:$B4669=$B4670, $A$2:$A4669+$C$2:$C4669)), "")*24*60, "")</f>
        <v>0</v>
      </c>
      <c r="P4670" s="24" t="str" cm="1">
        <f t="array" ref="P4670">IFERROR(IF($B4670=P$1, ($A4670+$C4670) - MAX(IF($B$2:$B4669=$B4670, $A$2:$A4669+$C$2:$C4669)), "")*24*60, "")</f>
        <v/>
      </c>
    </row>
    <row r="4671" spans="1:16" x14ac:dyDescent="0.2">
      <c r="A4671" s="12">
        <f t="shared" ref="A4671:C4671" si="1394">A4670</f>
        <v>45965</v>
      </c>
      <c r="B4671" s="5" t="str">
        <f t="shared" si="1394"/>
        <v>Mourning Dove</v>
      </c>
      <c r="C4671" s="6">
        <f t="shared" si="1394"/>
        <v>0.29166666666666669</v>
      </c>
      <c r="D4671" s="5"/>
      <c r="E4671" s="5"/>
      <c r="F4671" s="5" t="str">
        <f t="shared" ref="F4671:G4671" si="1395">F4670</f>
        <v>None</v>
      </c>
      <c r="G4671" s="15" t="str">
        <f t="shared" si="1395"/>
        <v>None</v>
      </c>
      <c r="H4671" s="24">
        <f t="shared" si="1377"/>
        <v>0</v>
      </c>
      <c r="I4671" s="24" t="str" cm="1">
        <f t="array" ref="I4671">IFERROR(IF($B4671=I$1, ($A4671+$C4671) - MAX(IF($B$2:$B4670=$B4671, $A$2:$A4670+$C$2:$C4670)), "")*24*60, "")</f>
        <v/>
      </c>
      <c r="J4671" s="24" t="str" cm="1">
        <f t="array" ref="J4671">IFERROR(IF($B4671=J$1, ($A4671+$C4671) - MAX(IF($B$2:$B4670=$B4671, $A$2:$A4670+$C$2:$C4670)), "")*24*60, "")</f>
        <v/>
      </c>
      <c r="K4671" s="24" t="str" cm="1">
        <f t="array" ref="K4671">IFERROR(IF($B4671=K$1, ($A4671+$C4671) - MAX(IF($B$2:$B4670=$B4671, $A$2:$A4670+$C$2:$C4670)), "")*24*60, "")</f>
        <v/>
      </c>
      <c r="L4671" s="24" t="str" cm="1">
        <f t="array" ref="L4671">IFERROR(IF($B4671=L$1, ($A4671+$C4671) - MAX(IF($B$2:$B4670=$B4671, $A$2:$A4670+$C$2:$C4670)), "")*24*60, "")</f>
        <v/>
      </c>
      <c r="M4671" s="24" t="str" cm="1">
        <f t="array" ref="M4671">IFERROR(IF($B4671=M$1, ($A4671+$C4671) - MAX(IF($B$2:$B4670=$B4671, $A$2:$A4670+$C$2:$C4670)), "")*24*60, "")</f>
        <v/>
      </c>
      <c r="N4671" s="24" t="str" cm="1">
        <f t="array" ref="N4671">IFERROR(IF($B4671=N$1, ($A4671+$C4671) - MAX(IF($B$2:$B4670=$B4671, $A$2:$A4670+$C$2:$C4670)), "")*24*60, "")</f>
        <v/>
      </c>
      <c r="O4671" s="24" cm="1">
        <f t="array" ref="O4671">IFERROR(IF($B4671=O$1, ($A4671+$C4671) - MAX(IF($B$2:$B4670=$B4671, $A$2:$A4670+$C$2:$C4670)), "")*24*60, "")</f>
        <v>0</v>
      </c>
      <c r="P4671" s="24" t="str" cm="1">
        <f t="array" ref="P4671">IFERROR(IF($B4671=P$1, ($A4671+$C4671) - MAX(IF($B$2:$B4670=$B4671, $A$2:$A4670+$C$2:$C4670)), "")*24*60, "")</f>
        <v/>
      </c>
    </row>
    <row r="4672" spans="1:16" x14ac:dyDescent="0.2">
      <c r="A4672" s="12">
        <f t="shared" ref="A4672:C4672" si="1396">A4671</f>
        <v>45965</v>
      </c>
      <c r="B4672" s="5" t="str">
        <f t="shared" si="1396"/>
        <v>Mourning Dove</v>
      </c>
      <c r="C4672" s="6">
        <f t="shared" si="1396"/>
        <v>0.29166666666666669</v>
      </c>
      <c r="D4672" s="5"/>
      <c r="E4672" s="5"/>
      <c r="F4672" s="5" t="str">
        <f t="shared" ref="F4672:G4672" si="1397">F4671</f>
        <v>None</v>
      </c>
      <c r="G4672" s="15" t="str">
        <f t="shared" si="1397"/>
        <v>None</v>
      </c>
      <c r="H4672" s="24">
        <f t="shared" si="1377"/>
        <v>0</v>
      </c>
      <c r="I4672" s="24" t="str" cm="1">
        <f t="array" ref="I4672">IFERROR(IF($B4672=I$1, ($A4672+$C4672) - MAX(IF($B$2:$B4671=$B4672, $A$2:$A4671+$C$2:$C4671)), "")*24*60, "")</f>
        <v/>
      </c>
      <c r="J4672" s="24" t="str" cm="1">
        <f t="array" ref="J4672">IFERROR(IF($B4672=J$1, ($A4672+$C4672) - MAX(IF($B$2:$B4671=$B4672, $A$2:$A4671+$C$2:$C4671)), "")*24*60, "")</f>
        <v/>
      </c>
      <c r="K4672" s="24" t="str" cm="1">
        <f t="array" ref="K4672">IFERROR(IF($B4672=K$1, ($A4672+$C4672) - MAX(IF($B$2:$B4671=$B4672, $A$2:$A4671+$C$2:$C4671)), "")*24*60, "")</f>
        <v/>
      </c>
      <c r="L4672" s="24" t="str" cm="1">
        <f t="array" ref="L4672">IFERROR(IF($B4672=L$1, ($A4672+$C4672) - MAX(IF($B$2:$B4671=$B4672, $A$2:$A4671+$C$2:$C4671)), "")*24*60, "")</f>
        <v/>
      </c>
      <c r="M4672" s="24" t="str" cm="1">
        <f t="array" ref="M4672">IFERROR(IF($B4672=M$1, ($A4672+$C4672) - MAX(IF($B$2:$B4671=$B4672, $A$2:$A4671+$C$2:$C4671)), "")*24*60, "")</f>
        <v/>
      </c>
      <c r="N4672" s="24" t="str" cm="1">
        <f t="array" ref="N4672">IFERROR(IF($B4672=N$1, ($A4672+$C4672) - MAX(IF($B$2:$B4671=$B4672, $A$2:$A4671+$C$2:$C4671)), "")*24*60, "")</f>
        <v/>
      </c>
      <c r="O4672" s="24" cm="1">
        <f t="array" ref="O4672">IFERROR(IF($B4672=O$1, ($A4672+$C4672) - MAX(IF($B$2:$B4671=$B4672, $A$2:$A4671+$C$2:$C4671)), "")*24*60, "")</f>
        <v>0</v>
      </c>
      <c r="P4672" s="24" t="str" cm="1">
        <f t="array" ref="P4672">IFERROR(IF($B4672=P$1, ($A4672+$C4672) - MAX(IF($B$2:$B4671=$B4672, $A$2:$A4671+$C$2:$C4671)), "")*24*60, "")</f>
        <v/>
      </c>
    </row>
    <row r="4673" spans="1:16" x14ac:dyDescent="0.2">
      <c r="A4673" s="12">
        <f t="shared" ref="A4673:C4673" si="1398">A4672</f>
        <v>45965</v>
      </c>
      <c r="B4673" s="5" t="str">
        <f t="shared" si="1398"/>
        <v>Mourning Dove</v>
      </c>
      <c r="C4673" s="6">
        <f t="shared" si="1398"/>
        <v>0.29166666666666669</v>
      </c>
      <c r="D4673" s="5"/>
      <c r="E4673" s="5"/>
      <c r="F4673" s="5" t="str">
        <f t="shared" ref="F4673:G4673" si="1399">F4672</f>
        <v>None</v>
      </c>
      <c r="G4673" s="15" t="str">
        <f t="shared" si="1399"/>
        <v>None</v>
      </c>
      <c r="H4673" s="24">
        <f t="shared" si="1377"/>
        <v>0</v>
      </c>
      <c r="I4673" s="24" t="str" cm="1">
        <f t="array" ref="I4673">IFERROR(IF($B4673=I$1, ($A4673+$C4673) - MAX(IF($B$2:$B4672=$B4673, $A$2:$A4672+$C$2:$C4672)), "")*24*60, "")</f>
        <v/>
      </c>
      <c r="J4673" s="24" t="str" cm="1">
        <f t="array" ref="J4673">IFERROR(IF($B4673=J$1, ($A4673+$C4673) - MAX(IF($B$2:$B4672=$B4673, $A$2:$A4672+$C$2:$C4672)), "")*24*60, "")</f>
        <v/>
      </c>
      <c r="K4673" s="24" t="str" cm="1">
        <f t="array" ref="K4673">IFERROR(IF($B4673=K$1, ($A4673+$C4673) - MAX(IF($B$2:$B4672=$B4673, $A$2:$A4672+$C$2:$C4672)), "")*24*60, "")</f>
        <v/>
      </c>
      <c r="L4673" s="24" t="str" cm="1">
        <f t="array" ref="L4673">IFERROR(IF($B4673=L$1, ($A4673+$C4673) - MAX(IF($B$2:$B4672=$B4673, $A$2:$A4672+$C$2:$C4672)), "")*24*60, "")</f>
        <v/>
      </c>
      <c r="M4673" s="24" t="str" cm="1">
        <f t="array" ref="M4673">IFERROR(IF($B4673=M$1, ($A4673+$C4673) - MAX(IF($B$2:$B4672=$B4673, $A$2:$A4672+$C$2:$C4672)), "")*24*60, "")</f>
        <v/>
      </c>
      <c r="N4673" s="24" t="str" cm="1">
        <f t="array" ref="N4673">IFERROR(IF($B4673=N$1, ($A4673+$C4673) - MAX(IF($B$2:$B4672=$B4673, $A$2:$A4672+$C$2:$C4672)), "")*24*60, "")</f>
        <v/>
      </c>
      <c r="O4673" s="24" cm="1">
        <f t="array" ref="O4673">IFERROR(IF($B4673=O$1, ($A4673+$C4673) - MAX(IF($B$2:$B4672=$B4673, $A$2:$A4672+$C$2:$C4672)), "")*24*60, "")</f>
        <v>0</v>
      </c>
      <c r="P4673" s="24" t="str" cm="1">
        <f t="array" ref="P4673">IFERROR(IF($B4673=P$1, ($A4673+$C4673) - MAX(IF($B$2:$B4672=$B4673, $A$2:$A4672+$C$2:$C4672)),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32"/>
  <sheetViews>
    <sheetView tabSelected="1" zoomScale="120" zoomScaleNormal="120" workbookViewId="0">
      <pane ySplit="1" topLeftCell="A114" activePane="bottomLeft" state="frozen"/>
      <selection pane="bottomLeft" activeCell="A130" sqref="A130:E132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10">
        <v>45964</v>
      </c>
      <c r="B132" s="11" t="s">
        <v>18</v>
      </c>
      <c r="C132" s="11">
        <f>COUNTIFS(RawData!$B:$B, $B132, RawData!$A:$A, DailySummaries!$A132)</f>
        <v>1</v>
      </c>
      <c r="D132" s="11">
        <f>SUMIFS(RawData!$D:$D,RawData!$B:$B,$B132,RawData!$A:$A,DailySummaries!$A132)+1</f>
        <v>2</v>
      </c>
      <c r="E132" s="11">
        <f>SUMIFS(RawData!$E:$E,RawData!$B:$B,$B132,RawData!$A:$A,DailySummaries!$A132)+1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2025-11-04T10:23:54Z</dcterms:modified>
</cp:coreProperties>
</file>
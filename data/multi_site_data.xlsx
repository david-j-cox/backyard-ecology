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89D1F0C3-8400-4B4D-9464-E56E40633313}" xr6:coauthVersionLast="47" xr6:coauthVersionMax="47" xr10:uidLastSave="{00000000-0000-0000-0000-000000000000}"/>
  <bookViews>
    <workbookView xWindow="6660" yWindow="500" windowWidth="26940" windowHeight="194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3" i="2" l="1"/>
  <c r="D173" i="2"/>
  <c r="E173" i="2"/>
  <c r="C174" i="2"/>
  <c r="D174" i="2"/>
  <c r="E174" i="2"/>
  <c r="C175" i="2"/>
  <c r="D175" i="2"/>
  <c r="E175" i="2"/>
  <c r="C176" i="2"/>
  <c r="D176" i="2"/>
  <c r="E176" i="2"/>
  <c r="C177" i="2"/>
  <c r="D177" i="2"/>
  <c r="E177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A5086" i="1" l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5087" i="1" l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A5088" i="1" l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A5089" i="1" l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A5090" i="1" l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5091" i="1" l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5092" i="1" l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A5093" i="1" l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A5094" i="1" l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A5095" i="1" l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5096" i="1" l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5097" i="1" l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A5098" i="1" l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A5099" i="1" l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5100" i="1" l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A5101" i="1" l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5102" i="1" l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A5103" i="1" l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5104" i="1" l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A5105" i="1" l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A5106" i="1" l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A5107" i="1" l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5108" i="1" l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5109" i="1" l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A5110" i="1" l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5111" i="1" l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5112" i="1" l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A5113" i="1" l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5114" i="1" l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5115" i="1" l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5116" i="1" l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5117" i="1" l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A5118" i="1" l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5119" i="1" l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5120" i="1" l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A5121" i="1" l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5122" i="1" l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5123" i="1" l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5124" i="1" l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A5125" i="1" l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5126" i="1" l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5127" i="1" l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A5128" i="1" l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A5129" i="1" l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5130" i="1" l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5131" i="1" l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5132" i="1" l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5133" i="1" l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5134" i="1" l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5135" i="1" l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5136" i="1" l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5137" i="1" l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5138" i="1" l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A5139" i="1" l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5140" i="1" l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A5141" i="1" l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5142" i="1" l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5143" i="1" l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5144" i="1" l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P4649" i="1" l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3514" i="1" l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3515" i="1" l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P3515" i="1" l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O3516" i="1" l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3517" i="1" l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3518" i="1" l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3519" i="1" l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3520" i="1" l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3521" i="1" l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A3526" i="1" l="1"/>
  <c r="I3525" i="1" a="1"/>
  <c r="I3525" i="1" s="1"/>
  <c r="H3525" i="1"/>
  <c r="A3527" i="1" l="1"/>
  <c r="L3526" i="1" a="1"/>
  <c r="L3526" i="1" s="1"/>
  <c r="H3526" i="1"/>
  <c r="L3527" i="1" l="1" a="1"/>
  <c r="L3527" i="1" s="1"/>
  <c r="A3528" i="1"/>
  <c r="H3527" i="1"/>
  <c r="A3529" i="1" l="1"/>
  <c r="O3528" i="1" a="1"/>
  <c r="O3528" i="1" s="1"/>
  <c r="H3528" i="1"/>
  <c r="A3530" i="1" l="1"/>
  <c r="H3529" i="1"/>
  <c r="O3529" i="1" a="1"/>
  <c r="O3529" i="1" s="1"/>
  <c r="A3531" i="1" l="1"/>
  <c r="H3530" i="1"/>
  <c r="O3530" i="1" a="1"/>
  <c r="O3530" i="1" s="1"/>
  <c r="A3532" i="1" l="1"/>
  <c r="H3531" i="1"/>
  <c r="O3531" i="1" a="1"/>
  <c r="O3531" i="1" s="1"/>
  <c r="A3533" i="1" l="1"/>
  <c r="O3532" i="1" a="1"/>
  <c r="O3532" i="1" s="1"/>
  <c r="H3532" i="1"/>
  <c r="A3534" i="1" l="1"/>
  <c r="H3533" i="1"/>
  <c r="O3533" i="1" a="1"/>
  <c r="O3533" i="1" s="1"/>
  <c r="A3535" i="1" l="1"/>
  <c r="O3534" i="1" a="1"/>
  <c r="O3534" i="1" s="1"/>
  <c r="H3534" i="1"/>
  <c r="A3536" i="1" l="1"/>
  <c r="H3535" i="1"/>
  <c r="O3535" i="1" a="1"/>
  <c r="O3535" i="1" s="1"/>
  <c r="A3537" i="1" l="1"/>
  <c r="H3536" i="1"/>
  <c r="O3536" i="1" a="1"/>
  <c r="O3536" i="1" s="1"/>
  <c r="A3538" i="1" l="1"/>
  <c r="H3537" i="1"/>
  <c r="O3537" i="1" a="1"/>
  <c r="O3537" i="1" s="1"/>
  <c r="A3539" i="1" l="1"/>
  <c r="O3538" i="1" a="1"/>
  <c r="O3538" i="1" s="1"/>
  <c r="H3538" i="1"/>
  <c r="A3540" i="1" l="1"/>
  <c r="H3539" i="1"/>
  <c r="O3539" i="1" a="1"/>
  <c r="O3539" i="1" s="1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D139" i="2" l="1"/>
  <c r="E162" i="2" l="1"/>
  <c r="C158" i="2"/>
  <c r="E105" i="2"/>
  <c r="D136" i="2"/>
  <c r="C86" i="2"/>
  <c r="D22" i="2"/>
  <c r="E160" i="2"/>
  <c r="D100" i="2"/>
  <c r="E155" i="2"/>
  <c r="D151" i="2"/>
  <c r="E131" i="2"/>
  <c r="D150" i="2"/>
  <c r="C154" i="2"/>
  <c r="C60" i="2"/>
  <c r="C149" i="2"/>
  <c r="D154" i="2"/>
  <c r="E48" i="2"/>
  <c r="E91" i="2"/>
  <c r="D160" i="2"/>
  <c r="D105" i="2"/>
  <c r="E157" i="2"/>
  <c r="D86" i="2"/>
  <c r="D131" i="2"/>
  <c r="C136" i="2"/>
  <c r="C76" i="2"/>
  <c r="D161" i="2"/>
  <c r="E153" i="2"/>
  <c r="C129" i="2"/>
  <c r="C131" i="2"/>
  <c r="D119" i="2"/>
  <c r="C115" i="2"/>
  <c r="C45" i="2"/>
  <c r="E119" i="2"/>
  <c r="E79" i="2"/>
  <c r="D56" i="2"/>
  <c r="D40" i="2"/>
  <c r="E65" i="2"/>
  <c r="D76" i="2"/>
  <c r="C71" i="2"/>
  <c r="C124" i="2" l="1"/>
  <c r="E139" i="2"/>
  <c r="E35" i="2"/>
  <c r="E145" i="2"/>
  <c r="D142" i="2"/>
  <c r="E124" i="2"/>
  <c r="C114" i="2"/>
  <c r="D152" i="2"/>
  <c r="E156" i="2"/>
  <c r="E146" i="2"/>
  <c r="E148" i="2"/>
  <c r="C127" i="2"/>
  <c r="C151" i="2"/>
  <c r="E161" i="2"/>
  <c r="E141" i="2"/>
  <c r="E24" i="2"/>
  <c r="C135" i="2"/>
  <c r="C161" i="2"/>
  <c r="D143" i="2"/>
  <c r="D146" i="2"/>
  <c r="C50" i="2"/>
  <c r="E144" i="2"/>
  <c r="D118" i="2"/>
  <c r="C152" i="2"/>
  <c r="E56" i="2"/>
  <c r="C137" i="2"/>
  <c r="E150" i="2"/>
  <c r="D92" i="2" l="1"/>
  <c r="C156" i="2"/>
  <c r="E13" i="2"/>
  <c r="E149" i="2"/>
  <c r="D120" i="2"/>
  <c r="E114" i="2"/>
  <c r="E57" i="2"/>
  <c r="D101" i="2"/>
  <c r="D30" i="2"/>
  <c r="D132" i="2"/>
  <c r="C90" i="2"/>
  <c r="C125" i="2"/>
  <c r="E137" i="2"/>
  <c r="C128" i="2"/>
  <c r="D155" i="2"/>
  <c r="C145" i="2"/>
  <c r="E33" i="2"/>
  <c r="E143" i="2"/>
  <c r="C88" i="2"/>
  <c r="C36" i="2"/>
  <c r="C21" i="2"/>
  <c r="C123" i="2"/>
  <c r="E14" i="2"/>
  <c r="E99" i="2"/>
  <c r="C132" i="2"/>
  <c r="E123" i="2"/>
  <c r="C23" i="2"/>
  <c r="D147" i="2"/>
  <c r="C144" i="2"/>
  <c r="E159" i="2"/>
  <c r="E135" i="2"/>
  <c r="D145" i="2" l="1"/>
  <c r="C24" i="2"/>
  <c r="E77" i="2"/>
  <c r="E38" i="2"/>
  <c r="C138" i="2"/>
  <c r="E120" i="2"/>
  <c r="E47" i="2"/>
  <c r="E109" i="2"/>
  <c r="E95" i="2"/>
  <c r="C58" i="2"/>
  <c r="E74" i="2"/>
  <c r="E25" i="2"/>
  <c r="C64" i="2"/>
  <c r="E132" i="2"/>
  <c r="E87" i="2"/>
  <c r="D68" i="2"/>
  <c r="D58" i="2"/>
  <c r="E7" i="2"/>
  <c r="C32" i="2"/>
  <c r="C117" i="2"/>
  <c r="E61" i="2"/>
  <c r="E36" i="2"/>
  <c r="C111" i="2"/>
  <c r="E63" i="2"/>
  <c r="E103" i="2"/>
  <c r="E8" i="2"/>
  <c r="C5" i="2"/>
  <c r="E39" i="2"/>
  <c r="E88" i="2"/>
  <c r="D108" i="2"/>
  <c r="D114" i="2" l="1"/>
  <c r="E72" i="2"/>
  <c r="C15" i="2"/>
  <c r="E125" i="2"/>
  <c r="E102" i="2"/>
  <c r="C98" i="2"/>
  <c r="D16" i="2"/>
  <c r="D72" i="2"/>
  <c r="D48" i="2"/>
  <c r="C133" i="2"/>
  <c r="E130" i="2"/>
  <c r="C16" i="2"/>
  <c r="D49" i="2"/>
  <c r="C94" i="2"/>
  <c r="E85" i="2"/>
  <c r="E69" i="2"/>
  <c r="C143" i="2"/>
  <c r="C72" i="2"/>
  <c r="C122" i="2"/>
  <c r="E58" i="2"/>
  <c r="E51" i="2"/>
  <c r="C30" i="2"/>
  <c r="C83" i="2"/>
  <c r="E26" i="2"/>
  <c r="E41" i="2"/>
  <c r="E92" i="2"/>
  <c r="C57" i="2"/>
  <c r="D38" i="2"/>
  <c r="C87" i="2"/>
  <c r="D12" i="2"/>
  <c r="E46" i="2"/>
  <c r="C38" i="2"/>
  <c r="C19" i="2"/>
  <c r="D107" i="2"/>
  <c r="C59" i="2"/>
  <c r="C82" i="2"/>
  <c r="E122" i="2"/>
  <c r="C75" i="2" l="1"/>
  <c r="E32" i="2"/>
  <c r="E23" i="2"/>
  <c r="C42" i="2"/>
  <c r="E142" i="2"/>
  <c r="C41" i="2"/>
  <c r="E12" i="2"/>
  <c r="E66" i="2"/>
  <c r="C26" i="2"/>
  <c r="C118" i="2"/>
  <c r="E34" i="2"/>
  <c r="E64" i="2"/>
  <c r="C85" i="2"/>
  <c r="E49" i="2"/>
  <c r="C25" i="2"/>
  <c r="C14" i="2"/>
  <c r="E53" i="2"/>
  <c r="C109" i="2"/>
  <c r="C49" i="2"/>
  <c r="C95" i="2"/>
  <c r="C31" i="2"/>
  <c r="E16" i="2"/>
  <c r="E83" i="2"/>
  <c r="C44" i="2"/>
  <c r="C106" i="2"/>
  <c r="E82" i="2"/>
  <c r="C33" i="2"/>
  <c r="E5" i="2"/>
  <c r="E42" i="2"/>
  <c r="C84" i="2"/>
  <c r="C67" i="2"/>
  <c r="E21" i="2"/>
  <c r="C39" i="2"/>
  <c r="C34" i="2" l="1"/>
  <c r="C126" i="2"/>
  <c r="C47" i="2"/>
  <c r="E31" i="2"/>
  <c r="C78" i="2"/>
  <c r="E78" i="2"/>
  <c r="E147" i="2"/>
  <c r="E113" i="2"/>
  <c r="C3" i="2"/>
  <c r="C142" i="2"/>
  <c r="C140" i="2"/>
  <c r="D133" i="2"/>
  <c r="C62" i="2"/>
  <c r="C104" i="2"/>
  <c r="E70" i="2"/>
  <c r="C28" i="2"/>
  <c r="E116" i="2"/>
  <c r="C134" i="2"/>
  <c r="C51" i="2"/>
  <c r="E17" i="2"/>
  <c r="E2" i="2"/>
  <c r="E10" i="2"/>
  <c r="E133" i="2"/>
  <c r="C96" i="2"/>
  <c r="C8" i="2" l="1"/>
  <c r="C141" i="2"/>
  <c r="E104" i="2"/>
  <c r="E54" i="2"/>
  <c r="E96" i="2"/>
  <c r="E75" i="2"/>
  <c r="D6" i="2"/>
  <c r="C4" i="2"/>
  <c r="C13" i="2"/>
  <c r="E37" i="2"/>
  <c r="E19" i="2"/>
  <c r="E106" i="2"/>
  <c r="D4" i="2"/>
  <c r="D74" i="2"/>
  <c r="D117" i="2"/>
  <c r="E67" i="2"/>
  <c r="E55" i="2"/>
  <c r="E111" i="2"/>
  <c r="D134" i="2"/>
  <c r="E6" i="2"/>
  <c r="C37" i="2"/>
  <c r="D43" i="2"/>
  <c r="C66" i="2"/>
  <c r="D18" i="2"/>
  <c r="D84" i="2"/>
  <c r="C6" i="2"/>
  <c r="E101" i="2"/>
  <c r="E22" i="2"/>
  <c r="C70" i="2"/>
  <c r="D127" i="2"/>
  <c r="C7" i="2"/>
  <c r="E62" i="2"/>
  <c r="C101" i="2"/>
  <c r="C77" i="2"/>
  <c r="E134" i="2"/>
  <c r="E28" i="2"/>
  <c r="C79" i="2"/>
  <c r="C55" i="2"/>
  <c r="C46" i="2"/>
  <c r="C130" i="2" l="1"/>
  <c r="E30" i="2"/>
  <c r="D121" i="2"/>
  <c r="D95" i="2"/>
  <c r="C92" i="2"/>
  <c r="D73" i="2"/>
  <c r="D138" i="2"/>
  <c r="E90" i="2"/>
  <c r="D77" i="2"/>
  <c r="D15" i="2"/>
  <c r="E117" i="2"/>
  <c r="C9" i="2"/>
  <c r="E59" i="2"/>
  <c r="E107" i="2"/>
  <c r="C17" i="2"/>
  <c r="D83" i="2"/>
  <c r="E9" i="2"/>
  <c r="E44" i="2"/>
  <c r="C53" i="2"/>
  <c r="C18" i="2"/>
  <c r="C103" i="2"/>
  <c r="E68" i="2"/>
  <c r="E15" i="2"/>
  <c r="D32" i="2"/>
  <c r="D78" i="2"/>
  <c r="C10" i="2" l="1"/>
  <c r="E98" i="2"/>
  <c r="E81" i="2"/>
  <c r="C163" i="2"/>
  <c r="C56" i="2"/>
  <c r="D61" i="2"/>
  <c r="C112" i="2"/>
  <c r="C65" i="2"/>
  <c r="D24" i="2"/>
  <c r="C97" i="2"/>
  <c r="E167" i="2"/>
  <c r="E168" i="2"/>
  <c r="D104" i="2"/>
  <c r="C168" i="2"/>
  <c r="E43" i="2"/>
  <c r="C43" i="2"/>
  <c r="D163" i="2"/>
  <c r="C52" i="2"/>
  <c r="C54" i="2"/>
  <c r="D2" i="2"/>
  <c r="E60" i="2"/>
  <c r="D110" i="2"/>
  <c r="C165" i="2"/>
  <c r="C61" i="2"/>
  <c r="C89" i="2"/>
  <c r="C68" i="2"/>
  <c r="D167" i="2"/>
  <c r="E93" i="2"/>
  <c r="D124" i="2"/>
  <c r="E115" i="2"/>
  <c r="D166" i="2"/>
  <c r="D81" i="2"/>
  <c r="C164" i="2"/>
  <c r="E121" i="2"/>
  <c r="D103" i="2"/>
  <c r="C20" i="2"/>
  <c r="C121" i="2"/>
  <c r="D50" i="2"/>
  <c r="C12" i="2"/>
  <c r="D164" i="2"/>
  <c r="D165" i="2"/>
  <c r="C2" i="2"/>
  <c r="D116" i="2"/>
  <c r="D80" i="2" l="1"/>
  <c r="D140" i="2"/>
  <c r="E20" i="2"/>
  <c r="C113" i="2"/>
  <c r="D71" i="2"/>
  <c r="C22" i="2"/>
  <c r="C73" i="2"/>
  <c r="C116" i="2"/>
  <c r="C69" i="2"/>
  <c r="D65" i="2"/>
  <c r="D69" i="2"/>
  <c r="E163" i="2"/>
  <c r="C81" i="2"/>
  <c r="E151" i="2"/>
  <c r="C105" i="2"/>
  <c r="C100" i="2"/>
  <c r="E3" i="2"/>
  <c r="E18" i="2"/>
  <c r="D93" i="2"/>
  <c r="D63" i="2"/>
  <c r="C48" i="2"/>
  <c r="E108" i="2"/>
  <c r="D113" i="2"/>
  <c r="E52" i="2"/>
  <c r="E127" i="2"/>
  <c r="D27" i="2"/>
  <c r="D54" i="2"/>
  <c r="C107" i="2"/>
  <c r="D59" i="2"/>
  <c r="E80" i="2"/>
  <c r="D122" i="2"/>
  <c r="C102" i="2"/>
  <c r="E97" i="2" l="1"/>
  <c r="D53" i="2"/>
  <c r="E126" i="2"/>
  <c r="E165" i="2"/>
  <c r="D7" i="2"/>
  <c r="D153" i="2"/>
  <c r="D28" i="2"/>
  <c r="E76" i="2"/>
  <c r="C27" i="2"/>
  <c r="C29" i="2"/>
  <c r="D62" i="2"/>
  <c r="D3" i="2"/>
  <c r="D90" i="2"/>
  <c r="D13" i="2"/>
  <c r="E140" i="2"/>
  <c r="C93" i="2"/>
  <c r="D42" i="2"/>
  <c r="D88" i="2"/>
  <c r="D17" i="2"/>
  <c r="D34" i="2"/>
  <c r="D52" i="2"/>
  <c r="C167" i="2"/>
  <c r="D41" i="2"/>
  <c r="D137" i="2"/>
  <c r="D168" i="2"/>
  <c r="E73" i="2"/>
  <c r="D96" i="2"/>
  <c r="D26" i="2"/>
  <c r="D9" i="2"/>
  <c r="D19" i="2"/>
  <c r="D31" i="2"/>
  <c r="E164" i="2"/>
  <c r="E29" i="2"/>
  <c r="D128" i="2"/>
  <c r="D123" i="2"/>
  <c r="D21" i="2"/>
  <c r="D75" i="2"/>
  <c r="D5" i="2"/>
  <c r="E166" i="2"/>
  <c r="D98" i="2"/>
  <c r="D162" i="2"/>
  <c r="E84" i="2"/>
  <c r="E89" i="2" l="1"/>
  <c r="D47" i="2"/>
  <c r="D57" i="2"/>
  <c r="D70" i="2"/>
  <c r="D125" i="2"/>
  <c r="D85" i="2"/>
  <c r="D99" i="2"/>
  <c r="D10" i="2"/>
  <c r="D156" i="2"/>
  <c r="D55" i="2"/>
  <c r="D14" i="2"/>
  <c r="D67" i="2"/>
  <c r="D51" i="2"/>
  <c r="D23" i="2"/>
  <c r="D64" i="2"/>
  <c r="D37" i="2"/>
  <c r="D106" i="2"/>
  <c r="D46" i="2"/>
  <c r="D109" i="2"/>
  <c r="D144" i="2"/>
  <c r="D36" i="2"/>
  <c r="D149" i="2" l="1"/>
  <c r="C110" i="2"/>
  <c r="C11" i="2"/>
  <c r="E154" i="2"/>
  <c r="D158" i="2"/>
  <c r="C139" i="2"/>
  <c r="E27" i="2"/>
  <c r="E100" i="2"/>
  <c r="C40" i="2"/>
  <c r="E40" i="2"/>
  <c r="C146" i="2"/>
  <c r="E112" i="2"/>
  <c r="E11" i="2"/>
  <c r="E71" i="2"/>
  <c r="C80" i="2"/>
  <c r="D126" i="2"/>
  <c r="D97" i="2"/>
  <c r="C166" i="2"/>
  <c r="D60" i="2"/>
  <c r="D129" i="2"/>
  <c r="D45" i="2"/>
  <c r="E138" i="2"/>
  <c r="D91" i="2"/>
  <c r="D35" i="2"/>
  <c r="D11" i="2"/>
  <c r="E4" i="2"/>
  <c r="E94" i="2"/>
  <c r="E50" i="2"/>
  <c r="C108" i="2"/>
  <c r="C74" i="2"/>
  <c r="C63" i="2"/>
  <c r="P5085" i="1" l="1" a="1"/>
  <c r="P5085" i="1" s="1"/>
  <c r="N5085" i="1" a="1"/>
  <c r="N5085" i="1" s="1"/>
  <c r="B5086" i="1"/>
  <c r="M5085" i="1" a="1"/>
  <c r="M5085" i="1" s="1"/>
  <c r="Q5085" i="1" a="1"/>
  <c r="Q5085" i="1" s="1"/>
  <c r="C35" i="2" l="1"/>
  <c r="E169" i="2"/>
  <c r="C169" i="2"/>
  <c r="E129" i="2"/>
  <c r="C162" i="2"/>
  <c r="C153" i="2"/>
  <c r="D157" i="2"/>
  <c r="D172" i="2"/>
  <c r="E171" i="2"/>
  <c r="E45" i="2"/>
  <c r="C120" i="2"/>
  <c r="C159" i="2"/>
  <c r="E158" i="2"/>
  <c r="C170" i="2"/>
  <c r="D169" i="2"/>
  <c r="D135" i="2"/>
  <c r="C155" i="2"/>
  <c r="D29" i="2"/>
  <c r="E136" i="2"/>
  <c r="E172" i="2"/>
  <c r="C172" i="2"/>
  <c r="C91" i="2"/>
  <c r="E118" i="2"/>
  <c r="D20" i="2"/>
  <c r="D170" i="2"/>
  <c r="E170" i="2"/>
  <c r="E110" i="2"/>
  <c r="C148" i="2"/>
  <c r="C157" i="2"/>
  <c r="E152" i="2"/>
  <c r="C119" i="2"/>
  <c r="C171" i="2"/>
  <c r="C160" i="2"/>
  <c r="E86" i="2"/>
  <c r="C147" i="2"/>
  <c r="D159" i="2"/>
  <c r="D115" i="2"/>
  <c r="D171" i="2"/>
  <c r="D79" i="2"/>
  <c r="C150" i="2"/>
  <c r="C99" i="2"/>
  <c r="D141" i="2"/>
  <c r="E128" i="2"/>
  <c r="B5087" i="1"/>
  <c r="Q5086" i="1" a="1"/>
  <c r="Q5086" i="1" s="1"/>
  <c r="M5086" i="1" a="1"/>
  <c r="M5086" i="1" s="1"/>
  <c r="N5086" i="1" a="1"/>
  <c r="N5086" i="1" s="1"/>
  <c r="P5086" i="1" a="1"/>
  <c r="P5086" i="1" s="1"/>
  <c r="M5087" i="1" l="1" a="1"/>
  <c r="M5087" i="1" s="1"/>
  <c r="Q5087" i="1" a="1"/>
  <c r="Q5087" i="1" s="1"/>
  <c r="B5088" i="1"/>
  <c r="N5087" i="1" a="1"/>
  <c r="N5087" i="1" s="1"/>
  <c r="P5087" i="1" a="1"/>
  <c r="P5087" i="1" s="1"/>
  <c r="N5088" i="1" l="1" a="1"/>
  <c r="N5088" i="1" s="1"/>
  <c r="P5088" i="1" a="1"/>
  <c r="P5088" i="1" s="1"/>
  <c r="Q5088" i="1" a="1"/>
  <c r="Q5088" i="1" s="1"/>
  <c r="B5089" i="1"/>
  <c r="M5088" i="1" a="1"/>
  <c r="M5088" i="1" s="1"/>
  <c r="N5089" i="1" l="1" a="1"/>
  <c r="N5089" i="1" s="1"/>
  <c r="M5089" i="1" a="1"/>
  <c r="M5089" i="1" s="1"/>
  <c r="Q5089" i="1" a="1"/>
  <c r="Q5089" i="1" s="1"/>
  <c r="B5090" i="1"/>
  <c r="P5089" i="1" a="1"/>
  <c r="P5089" i="1" s="1"/>
  <c r="B5091" i="1" l="1"/>
  <c r="P5090" i="1" a="1"/>
  <c r="P5090" i="1" s="1"/>
  <c r="M5090" i="1" a="1"/>
  <c r="M5090" i="1" s="1"/>
  <c r="Q5090" i="1" a="1"/>
  <c r="Q5090" i="1" s="1"/>
  <c r="N5090" i="1" a="1"/>
  <c r="N5090" i="1" s="1"/>
  <c r="N5091" i="1" l="1" a="1"/>
  <c r="N5091" i="1" s="1"/>
  <c r="P5091" i="1" a="1"/>
  <c r="P5091" i="1" s="1"/>
  <c r="M5091" i="1" a="1"/>
  <c r="M5091" i="1" s="1"/>
  <c r="B5092" i="1"/>
  <c r="Q5091" i="1" a="1"/>
  <c r="Q5091" i="1" s="1"/>
  <c r="M5092" i="1" l="1" a="1"/>
  <c r="M5092" i="1" s="1"/>
  <c r="Q5092" i="1" a="1"/>
  <c r="Q5092" i="1" s="1"/>
  <c r="P5092" i="1" a="1"/>
  <c r="P5092" i="1" s="1"/>
  <c r="B5093" i="1"/>
  <c r="N5092" i="1" a="1"/>
  <c r="N5092" i="1" s="1"/>
  <c r="M5093" i="1" l="1" a="1"/>
  <c r="M5093" i="1" s="1"/>
  <c r="P5093" i="1" a="1"/>
  <c r="P5093" i="1" s="1"/>
  <c r="Q5093" i="1" a="1"/>
  <c r="Q5093" i="1" s="1"/>
  <c r="N5093" i="1" a="1"/>
  <c r="N5093" i="1" s="1"/>
  <c r="B5094" i="1"/>
  <c r="P5094" i="1" l="1" a="1"/>
  <c r="P5094" i="1" s="1"/>
  <c r="Q5094" i="1" a="1"/>
  <c r="Q5094" i="1" s="1"/>
  <c r="M5094" i="1" a="1"/>
  <c r="M5094" i="1" s="1"/>
  <c r="B5095" i="1"/>
  <c r="N5094" i="1" a="1"/>
  <c r="N5094" i="1" s="1"/>
  <c r="B5096" i="1" l="1"/>
  <c r="P5095" i="1" a="1"/>
  <c r="P5095" i="1" s="1"/>
  <c r="N5095" i="1" a="1"/>
  <c r="N5095" i="1" s="1"/>
  <c r="M5095" i="1" a="1"/>
  <c r="M5095" i="1" s="1"/>
  <c r="Q5095" i="1" a="1"/>
  <c r="Q5095" i="1" s="1"/>
  <c r="M5096" i="1" l="1" a="1"/>
  <c r="M5096" i="1" s="1"/>
  <c r="Q5096" i="1" a="1"/>
  <c r="Q5096" i="1" s="1"/>
  <c r="P5096" i="1" a="1"/>
  <c r="P5096" i="1" s="1"/>
  <c r="B5097" i="1"/>
  <c r="N5096" i="1" a="1"/>
  <c r="N5096" i="1" s="1"/>
  <c r="P5097" i="1" l="1" a="1"/>
  <c r="P5097" i="1" s="1"/>
  <c r="Q5097" i="1" a="1"/>
  <c r="Q5097" i="1" s="1"/>
  <c r="N5097" i="1" a="1"/>
  <c r="N5097" i="1" s="1"/>
  <c r="B5098" i="1"/>
  <c r="M5097" i="1" a="1"/>
  <c r="M5097" i="1" s="1"/>
  <c r="B5099" i="1" l="1"/>
  <c r="N5098" i="1" a="1"/>
  <c r="N5098" i="1" s="1"/>
  <c r="P5098" i="1" a="1"/>
  <c r="P5098" i="1" s="1"/>
  <c r="M5098" i="1" a="1"/>
  <c r="M5098" i="1" s="1"/>
  <c r="Q5098" i="1" a="1"/>
  <c r="Q5098" i="1" s="1"/>
  <c r="M5099" i="1" l="1" a="1"/>
  <c r="M5099" i="1" s="1"/>
  <c r="P5099" i="1" a="1"/>
  <c r="P5099" i="1" s="1"/>
  <c r="B5100" i="1"/>
  <c r="N5099" i="1" a="1"/>
  <c r="N5099" i="1" s="1"/>
  <c r="Q5099" i="1" a="1"/>
  <c r="Q5099" i="1" s="1"/>
  <c r="Q5100" i="1" l="1" a="1"/>
  <c r="Q5100" i="1" s="1"/>
  <c r="N5100" i="1" a="1"/>
  <c r="N5100" i="1" s="1"/>
  <c r="M5100" i="1" a="1"/>
  <c r="M5100" i="1" s="1"/>
  <c r="B5101" i="1"/>
  <c r="P5100" i="1" a="1"/>
  <c r="P5100" i="1" s="1"/>
  <c r="B5102" i="1" l="1"/>
  <c r="N5101" i="1" a="1"/>
  <c r="N5101" i="1" s="1"/>
  <c r="P5101" i="1" a="1"/>
  <c r="P5101" i="1" s="1"/>
  <c r="M5101" i="1" a="1"/>
  <c r="M5101" i="1" s="1"/>
  <c r="Q5101" i="1" a="1"/>
  <c r="Q5101" i="1" s="1"/>
  <c r="B5103" i="1" l="1"/>
  <c r="M5102" i="1" a="1"/>
  <c r="M5102" i="1" s="1"/>
  <c r="P5102" i="1" a="1"/>
  <c r="P5102" i="1" s="1"/>
  <c r="Q5102" i="1" a="1"/>
  <c r="Q5102" i="1" s="1"/>
  <c r="N5102" i="1" a="1"/>
  <c r="N5102" i="1" s="1"/>
  <c r="K5085" i="1" l="1" a="1"/>
  <c r="K5085" i="1" s="1"/>
  <c r="J5085" i="1" a="1"/>
  <c r="J5085" i="1" s="1"/>
  <c r="L5085" i="1" a="1"/>
  <c r="L5085" i="1" s="1"/>
  <c r="I5085" i="1" a="1"/>
  <c r="I5085" i="1" s="1"/>
  <c r="P5103" i="1" a="1"/>
  <c r="P5103" i="1" s="1"/>
  <c r="N5103" i="1" a="1"/>
  <c r="N5103" i="1" s="1"/>
  <c r="Q5103" i="1" a="1"/>
  <c r="Q5103" i="1" s="1"/>
  <c r="B5104" i="1"/>
  <c r="M5103" i="1" a="1"/>
  <c r="M5103" i="1" s="1"/>
  <c r="C5086" i="1"/>
  <c r="H5085" i="1"/>
  <c r="O5085" i="1" a="1"/>
  <c r="O5085" i="1" s="1"/>
  <c r="K5086" i="1" l="1" a="1"/>
  <c r="K5086" i="1" s="1"/>
  <c r="J5086" i="1" a="1"/>
  <c r="J5086" i="1" s="1"/>
  <c r="L5086" i="1" a="1"/>
  <c r="L5086" i="1" s="1"/>
  <c r="I5086" i="1" a="1"/>
  <c r="I5086" i="1" s="1"/>
  <c r="N5104" i="1" a="1"/>
  <c r="N5104" i="1" s="1"/>
  <c r="P5104" i="1" a="1"/>
  <c r="P5104" i="1" s="1"/>
  <c r="B5105" i="1"/>
  <c r="M5104" i="1" a="1"/>
  <c r="M5104" i="1" s="1"/>
  <c r="Q5104" i="1" a="1"/>
  <c r="Q5104" i="1" s="1"/>
  <c r="C5087" i="1"/>
  <c r="H5086" i="1"/>
  <c r="O5086" i="1" a="1"/>
  <c r="O5086" i="1" s="1"/>
  <c r="K5087" i="1" l="1" a="1"/>
  <c r="K5087" i="1" s="1"/>
  <c r="J5087" i="1" a="1"/>
  <c r="J5087" i="1" s="1"/>
  <c r="L5087" i="1" a="1"/>
  <c r="L5087" i="1" s="1"/>
  <c r="I5087" i="1" a="1"/>
  <c r="I5087" i="1" s="1"/>
  <c r="N5105" i="1" a="1"/>
  <c r="N5105" i="1" s="1"/>
  <c r="P5105" i="1" a="1"/>
  <c r="P5105" i="1" s="1"/>
  <c r="Q5105" i="1" a="1"/>
  <c r="Q5105" i="1" s="1"/>
  <c r="B5106" i="1"/>
  <c r="M5105" i="1" a="1"/>
  <c r="M5105" i="1" s="1"/>
  <c r="C5088" i="1"/>
  <c r="H5087" i="1"/>
  <c r="O5087" i="1" a="1"/>
  <c r="O5087" i="1" s="1"/>
  <c r="K5088" i="1" l="1" a="1"/>
  <c r="K5088" i="1" s="1"/>
  <c r="J5088" i="1" a="1"/>
  <c r="J5088" i="1" s="1"/>
  <c r="D130" i="2"/>
  <c r="D44" i="2"/>
  <c r="D148" i="2"/>
  <c r="D66" i="2"/>
  <c r="D8" i="2"/>
  <c r="D39" i="2"/>
  <c r="D112" i="2"/>
  <c r="D89" i="2"/>
  <c r="D82" i="2"/>
  <c r="D94" i="2"/>
  <c r="D111" i="2"/>
  <c r="D102" i="2"/>
  <c r="D87" i="2"/>
  <c r="D25" i="2"/>
  <c r="D33" i="2"/>
  <c r="L5088" i="1" a="1"/>
  <c r="L5088" i="1" s="1"/>
  <c r="I5088" i="1" a="1"/>
  <c r="I5088" i="1" s="1"/>
  <c r="M5106" i="1" a="1"/>
  <c r="M5106" i="1" s="1"/>
  <c r="P5106" i="1" a="1"/>
  <c r="P5106" i="1" s="1"/>
  <c r="N5106" i="1" a="1"/>
  <c r="N5106" i="1" s="1"/>
  <c r="B5107" i="1"/>
  <c r="Q5106" i="1" a="1"/>
  <c r="Q5106" i="1" s="1"/>
  <c r="C5089" i="1"/>
  <c r="H5088" i="1"/>
  <c r="O5088" i="1" a="1"/>
  <c r="O5088" i="1" s="1"/>
  <c r="K5089" i="1" l="1" a="1"/>
  <c r="K5089" i="1" s="1"/>
  <c r="J5089" i="1" a="1"/>
  <c r="J5089" i="1" s="1"/>
  <c r="L5089" i="1" a="1"/>
  <c r="L5089" i="1" s="1"/>
  <c r="I5089" i="1" a="1"/>
  <c r="I5089" i="1" s="1"/>
  <c r="B5108" i="1"/>
  <c r="M5107" i="1" a="1"/>
  <c r="M5107" i="1" s="1"/>
  <c r="N5107" i="1" a="1"/>
  <c r="N5107" i="1" s="1"/>
  <c r="Q5107" i="1" a="1"/>
  <c r="Q5107" i="1" s="1"/>
  <c r="P5107" i="1" a="1"/>
  <c r="P5107" i="1" s="1"/>
  <c r="C5090" i="1"/>
  <c r="H5089" i="1"/>
  <c r="O5089" i="1" a="1"/>
  <c r="O5089" i="1" s="1"/>
  <c r="K5090" i="1" l="1" a="1"/>
  <c r="K5090" i="1" s="1"/>
  <c r="J5090" i="1" a="1"/>
  <c r="J5090" i="1" s="1"/>
  <c r="L5090" i="1" a="1"/>
  <c r="L5090" i="1" s="1"/>
  <c r="I5090" i="1" a="1"/>
  <c r="I5090" i="1" s="1"/>
  <c r="B5109" i="1"/>
  <c r="M5108" i="1" a="1"/>
  <c r="M5108" i="1" s="1"/>
  <c r="P5108" i="1" a="1"/>
  <c r="P5108" i="1" s="1"/>
  <c r="Q5108" i="1" a="1"/>
  <c r="Q5108" i="1" s="1"/>
  <c r="N5108" i="1" a="1"/>
  <c r="N5108" i="1" s="1"/>
  <c r="C5091" i="1"/>
  <c r="H5090" i="1"/>
  <c r="O5090" i="1" a="1"/>
  <c r="O5090" i="1" s="1"/>
  <c r="K5091" i="1" l="1" a="1"/>
  <c r="K5091" i="1" s="1"/>
  <c r="J5091" i="1" a="1"/>
  <c r="J5091" i="1" s="1"/>
  <c r="L5091" i="1" a="1"/>
  <c r="L5091" i="1" s="1"/>
  <c r="I5091" i="1" a="1"/>
  <c r="I5091" i="1" s="1"/>
  <c r="B5110" i="1"/>
  <c r="M5109" i="1" a="1"/>
  <c r="M5109" i="1" s="1"/>
  <c r="N5109" i="1" a="1"/>
  <c r="N5109" i="1" s="1"/>
  <c r="P5109" i="1" a="1"/>
  <c r="P5109" i="1" s="1"/>
  <c r="Q5109" i="1" a="1"/>
  <c r="Q5109" i="1" s="1"/>
  <c r="C5092" i="1"/>
  <c r="H5091" i="1"/>
  <c r="O5091" i="1" a="1"/>
  <c r="O5091" i="1" s="1"/>
  <c r="K5092" i="1" l="1" a="1"/>
  <c r="K5092" i="1" s="1"/>
  <c r="J5092" i="1" a="1"/>
  <c r="J5092" i="1" s="1"/>
  <c r="L5092" i="1" a="1"/>
  <c r="L5092" i="1" s="1"/>
  <c r="I5092" i="1" a="1"/>
  <c r="I5092" i="1" s="1"/>
  <c r="Q5110" i="1" a="1"/>
  <c r="Q5110" i="1" s="1"/>
  <c r="B5111" i="1"/>
  <c r="N5110" i="1" a="1"/>
  <c r="N5110" i="1" s="1"/>
  <c r="P5110" i="1" a="1"/>
  <c r="P5110" i="1" s="1"/>
  <c r="M5110" i="1" a="1"/>
  <c r="M5110" i="1" s="1"/>
  <c r="C5093" i="1"/>
  <c r="H5092" i="1"/>
  <c r="O5092" i="1" a="1"/>
  <c r="O5092" i="1" s="1"/>
  <c r="K5093" i="1" l="1" a="1"/>
  <c r="K5093" i="1" s="1"/>
  <c r="J5093" i="1" a="1"/>
  <c r="J5093" i="1" s="1"/>
  <c r="L5093" i="1" a="1"/>
  <c r="L5093" i="1" s="1"/>
  <c r="I5093" i="1" a="1"/>
  <c r="I5093" i="1" s="1"/>
  <c r="B5112" i="1"/>
  <c r="Q5111" i="1" a="1"/>
  <c r="Q5111" i="1" s="1"/>
  <c r="P5111" i="1" a="1"/>
  <c r="P5111" i="1" s="1"/>
  <c r="N5111" i="1" a="1"/>
  <c r="N5111" i="1" s="1"/>
  <c r="M5111" i="1" a="1"/>
  <c r="M5111" i="1" s="1"/>
  <c r="C5094" i="1"/>
  <c r="H5093" i="1"/>
  <c r="O5093" i="1" a="1"/>
  <c r="O5093" i="1" s="1"/>
  <c r="K5094" i="1" l="1" a="1"/>
  <c r="K5094" i="1" s="1"/>
  <c r="J5094" i="1" a="1"/>
  <c r="J5094" i="1" s="1"/>
  <c r="L5094" i="1" a="1"/>
  <c r="L5094" i="1" s="1"/>
  <c r="I5094" i="1" a="1"/>
  <c r="I5094" i="1" s="1"/>
  <c r="B5113" i="1"/>
  <c r="P5112" i="1" a="1"/>
  <c r="P5112" i="1" s="1"/>
  <c r="M5112" i="1" a="1"/>
  <c r="M5112" i="1" s="1"/>
  <c r="Q5112" i="1" a="1"/>
  <c r="Q5112" i="1" s="1"/>
  <c r="N5112" i="1" a="1"/>
  <c r="N5112" i="1" s="1"/>
  <c r="C5095" i="1"/>
  <c r="H5094" i="1"/>
  <c r="O5094" i="1" a="1"/>
  <c r="O5094" i="1" s="1"/>
  <c r="K5095" i="1" l="1" a="1"/>
  <c r="K5095" i="1" s="1"/>
  <c r="J5095" i="1" a="1"/>
  <c r="J5095" i="1" s="1"/>
  <c r="L5095" i="1" a="1"/>
  <c r="L5095" i="1" s="1"/>
  <c r="I5095" i="1" a="1"/>
  <c r="I5095" i="1" s="1"/>
  <c r="B5114" i="1"/>
  <c r="P5113" i="1" a="1"/>
  <c r="P5113" i="1" s="1"/>
  <c r="N5113" i="1" a="1"/>
  <c r="N5113" i="1" s="1"/>
  <c r="Q5113" i="1" a="1"/>
  <c r="Q5113" i="1" s="1"/>
  <c r="M5113" i="1" a="1"/>
  <c r="M5113" i="1" s="1"/>
  <c r="C5096" i="1"/>
  <c r="H5095" i="1"/>
  <c r="O5095" i="1" a="1"/>
  <c r="O5095" i="1" s="1"/>
  <c r="K5096" i="1" l="1" a="1"/>
  <c r="K5096" i="1" s="1"/>
  <c r="J5096" i="1" a="1"/>
  <c r="J5096" i="1" s="1"/>
  <c r="L5096" i="1" a="1"/>
  <c r="L5096" i="1" s="1"/>
  <c r="I5096" i="1" a="1"/>
  <c r="I5096" i="1" s="1"/>
  <c r="Q5114" i="1" a="1"/>
  <c r="Q5114" i="1" s="1"/>
  <c r="N5114" i="1" a="1"/>
  <c r="N5114" i="1" s="1"/>
  <c r="P5114" i="1" a="1"/>
  <c r="P5114" i="1" s="1"/>
  <c r="M5114" i="1" a="1"/>
  <c r="M5114" i="1" s="1"/>
  <c r="B5115" i="1"/>
  <c r="C5097" i="1"/>
  <c r="H5096" i="1"/>
  <c r="O5096" i="1" a="1"/>
  <c r="O5096" i="1" s="1"/>
  <c r="K5097" i="1" l="1" a="1"/>
  <c r="K5097" i="1" s="1"/>
  <c r="J5097" i="1" a="1"/>
  <c r="J5097" i="1" s="1"/>
  <c r="L5097" i="1" a="1"/>
  <c r="L5097" i="1" s="1"/>
  <c r="I5097" i="1" a="1"/>
  <c r="I5097" i="1" s="1"/>
  <c r="N5115" i="1" a="1"/>
  <c r="N5115" i="1" s="1"/>
  <c r="Q5115" i="1" a="1"/>
  <c r="Q5115" i="1" s="1"/>
  <c r="B5116" i="1"/>
  <c r="P5115" i="1" a="1"/>
  <c r="P5115" i="1" s="1"/>
  <c r="M5115" i="1" a="1"/>
  <c r="M5115" i="1" s="1"/>
  <c r="C5098" i="1"/>
  <c r="H5097" i="1"/>
  <c r="O5097" i="1" a="1"/>
  <c r="O5097" i="1" s="1"/>
  <c r="K5098" i="1" l="1" a="1"/>
  <c r="K5098" i="1" s="1"/>
  <c r="J5098" i="1" a="1"/>
  <c r="J5098" i="1" s="1"/>
  <c r="L5098" i="1" a="1"/>
  <c r="L5098" i="1" s="1"/>
  <c r="I5098" i="1" a="1"/>
  <c r="I5098" i="1" s="1"/>
  <c r="B5117" i="1"/>
  <c r="M5116" i="1" a="1"/>
  <c r="M5116" i="1" s="1"/>
  <c r="P5116" i="1" a="1"/>
  <c r="P5116" i="1" s="1"/>
  <c r="N5116" i="1" a="1"/>
  <c r="N5116" i="1" s="1"/>
  <c r="Q5116" i="1" a="1"/>
  <c r="Q5116" i="1" s="1"/>
  <c r="C5099" i="1"/>
  <c r="H5098" i="1"/>
  <c r="O5098" i="1" a="1"/>
  <c r="O5098" i="1" s="1"/>
  <c r="K5099" i="1" l="1" a="1"/>
  <c r="K5099" i="1" s="1"/>
  <c r="J5099" i="1" a="1"/>
  <c r="J5099" i="1" s="1"/>
  <c r="L5099" i="1" a="1"/>
  <c r="L5099" i="1" s="1"/>
  <c r="I5099" i="1" a="1"/>
  <c r="I5099" i="1" s="1"/>
  <c r="N5117" i="1" a="1"/>
  <c r="N5117" i="1" s="1"/>
  <c r="Q5117" i="1" a="1"/>
  <c r="Q5117" i="1" s="1"/>
  <c r="M5117" i="1" a="1"/>
  <c r="M5117" i="1" s="1"/>
  <c r="B5118" i="1"/>
  <c r="P5117" i="1" a="1"/>
  <c r="P5117" i="1" s="1"/>
  <c r="C5100" i="1"/>
  <c r="H5099" i="1"/>
  <c r="O5099" i="1" a="1"/>
  <c r="O5099" i="1" s="1"/>
  <c r="K5100" i="1" l="1" a="1"/>
  <c r="K5100" i="1" s="1"/>
  <c r="J5100" i="1" a="1"/>
  <c r="J5100" i="1" s="1"/>
  <c r="L5100" i="1" a="1"/>
  <c r="L5100" i="1" s="1"/>
  <c r="I5100" i="1" a="1"/>
  <c r="I5100" i="1" s="1"/>
  <c r="B5119" i="1"/>
  <c r="M5118" i="1" a="1"/>
  <c r="M5118" i="1" s="1"/>
  <c r="Q5118" i="1" a="1"/>
  <c r="Q5118" i="1" s="1"/>
  <c r="N5118" i="1" a="1"/>
  <c r="N5118" i="1" s="1"/>
  <c r="P5118" i="1" a="1"/>
  <c r="P5118" i="1" s="1"/>
  <c r="C5101" i="1"/>
  <c r="H5100" i="1"/>
  <c r="O5100" i="1" a="1"/>
  <c r="O5100" i="1" s="1"/>
  <c r="K5101" i="1" l="1" a="1"/>
  <c r="K5101" i="1" s="1"/>
  <c r="J5101" i="1" a="1"/>
  <c r="J5101" i="1" s="1"/>
  <c r="L5101" i="1" a="1"/>
  <c r="L5101" i="1" s="1"/>
  <c r="I5101" i="1" a="1"/>
  <c r="I5101" i="1" s="1"/>
  <c r="B5120" i="1"/>
  <c r="P5119" i="1" a="1"/>
  <c r="P5119" i="1" s="1"/>
  <c r="N5119" i="1" a="1"/>
  <c r="N5119" i="1" s="1"/>
  <c r="Q5119" i="1" a="1"/>
  <c r="Q5119" i="1" s="1"/>
  <c r="M5119" i="1" a="1"/>
  <c r="M5119" i="1" s="1"/>
  <c r="C5102" i="1"/>
  <c r="H5101" i="1"/>
  <c r="O5101" i="1" a="1"/>
  <c r="O5101" i="1" s="1"/>
  <c r="K5102" i="1" l="1" a="1"/>
  <c r="K5102" i="1" s="1"/>
  <c r="J5102" i="1" a="1"/>
  <c r="J5102" i="1" s="1"/>
  <c r="L5102" i="1" a="1"/>
  <c r="L5102" i="1" s="1"/>
  <c r="I5102" i="1" a="1"/>
  <c r="I5102" i="1" s="1"/>
  <c r="M5120" i="1" a="1"/>
  <c r="M5120" i="1" s="1"/>
  <c r="Q5120" i="1" a="1"/>
  <c r="Q5120" i="1" s="1"/>
  <c r="P5120" i="1" a="1"/>
  <c r="P5120" i="1" s="1"/>
  <c r="B5121" i="1"/>
  <c r="N5120" i="1" a="1"/>
  <c r="N5120" i="1" s="1"/>
  <c r="C5103" i="1"/>
  <c r="H5102" i="1"/>
  <c r="O5102" i="1" a="1"/>
  <c r="O5102" i="1" s="1"/>
  <c r="K5103" i="1" l="1" a="1"/>
  <c r="K5103" i="1" s="1"/>
  <c r="J5103" i="1" a="1"/>
  <c r="J5103" i="1" s="1"/>
  <c r="L5103" i="1" a="1"/>
  <c r="L5103" i="1" s="1"/>
  <c r="I5103" i="1" a="1"/>
  <c r="I5103" i="1" s="1"/>
  <c r="M5121" i="1" a="1"/>
  <c r="M5121" i="1" s="1"/>
  <c r="Q5121" i="1" a="1"/>
  <c r="Q5121" i="1" s="1"/>
  <c r="P5121" i="1" a="1"/>
  <c r="P5121" i="1" s="1"/>
  <c r="N5121" i="1" a="1"/>
  <c r="N5121" i="1" s="1"/>
  <c r="B5122" i="1"/>
  <c r="C5104" i="1"/>
  <c r="H5103" i="1"/>
  <c r="O5103" i="1" a="1"/>
  <c r="O5103" i="1" s="1"/>
  <c r="K5104" i="1" l="1" a="1"/>
  <c r="K5104" i="1" s="1"/>
  <c r="J5104" i="1" a="1"/>
  <c r="J5104" i="1" s="1"/>
  <c r="L5104" i="1" a="1"/>
  <c r="L5104" i="1" s="1"/>
  <c r="I5104" i="1" a="1"/>
  <c r="I5104" i="1" s="1"/>
  <c r="B5123" i="1"/>
  <c r="N5122" i="1" a="1"/>
  <c r="N5122" i="1" s="1"/>
  <c r="M5122" i="1" a="1"/>
  <c r="M5122" i="1" s="1"/>
  <c r="P5122" i="1" a="1"/>
  <c r="P5122" i="1" s="1"/>
  <c r="Q5122" i="1" a="1"/>
  <c r="Q5122" i="1" s="1"/>
  <c r="C5105" i="1"/>
  <c r="H5104" i="1"/>
  <c r="O5104" i="1" a="1"/>
  <c r="O5104" i="1" s="1"/>
  <c r="K5105" i="1" l="1" a="1"/>
  <c r="K5105" i="1" s="1"/>
  <c r="J5105" i="1" a="1"/>
  <c r="J5105" i="1" s="1"/>
  <c r="L5105" i="1" a="1"/>
  <c r="L5105" i="1" s="1"/>
  <c r="I5105" i="1" a="1"/>
  <c r="I5105" i="1" s="1"/>
  <c r="Q5123" i="1" a="1"/>
  <c r="Q5123" i="1" s="1"/>
  <c r="B5124" i="1"/>
  <c r="N5123" i="1" a="1"/>
  <c r="N5123" i="1" s="1"/>
  <c r="P5123" i="1" a="1"/>
  <c r="P5123" i="1" s="1"/>
  <c r="M5123" i="1" a="1"/>
  <c r="M5123" i="1" s="1"/>
  <c r="C5106" i="1"/>
  <c r="H5105" i="1"/>
  <c r="O5105" i="1" a="1"/>
  <c r="O5105" i="1" s="1"/>
  <c r="K5106" i="1" l="1" a="1"/>
  <c r="K5106" i="1" s="1"/>
  <c r="J5106" i="1" a="1"/>
  <c r="J5106" i="1" s="1"/>
  <c r="L5106" i="1" a="1"/>
  <c r="L5106" i="1" s="1"/>
  <c r="I5106" i="1" a="1"/>
  <c r="I5106" i="1" s="1"/>
  <c r="B5125" i="1"/>
  <c r="M5124" i="1" a="1"/>
  <c r="M5124" i="1" s="1"/>
  <c r="Q5124" i="1" a="1"/>
  <c r="Q5124" i="1" s="1"/>
  <c r="P5124" i="1" a="1"/>
  <c r="P5124" i="1" s="1"/>
  <c r="N5124" i="1" a="1"/>
  <c r="N5124" i="1" s="1"/>
  <c r="C5107" i="1"/>
  <c r="H5106" i="1"/>
  <c r="O5106" i="1" a="1"/>
  <c r="O5106" i="1" s="1"/>
  <c r="K5107" i="1" l="1" a="1"/>
  <c r="K5107" i="1" s="1"/>
  <c r="J5107" i="1" a="1"/>
  <c r="J5107" i="1" s="1"/>
  <c r="L5107" i="1" a="1"/>
  <c r="L5107" i="1" s="1"/>
  <c r="I5107" i="1" a="1"/>
  <c r="I5107" i="1" s="1"/>
  <c r="B5126" i="1"/>
  <c r="Q5125" i="1" a="1"/>
  <c r="Q5125" i="1" s="1"/>
  <c r="N5125" i="1" a="1"/>
  <c r="N5125" i="1" s="1"/>
  <c r="M5125" i="1" a="1"/>
  <c r="M5125" i="1" s="1"/>
  <c r="P5125" i="1" a="1"/>
  <c r="P5125" i="1" s="1"/>
  <c r="C5108" i="1"/>
  <c r="H5107" i="1"/>
  <c r="O5107" i="1" a="1"/>
  <c r="O5107" i="1" s="1"/>
  <c r="K5108" i="1" l="1" a="1"/>
  <c r="K5108" i="1" s="1"/>
  <c r="J5108" i="1" a="1"/>
  <c r="J5108" i="1" s="1"/>
  <c r="L5108" i="1" a="1"/>
  <c r="L5108" i="1" s="1"/>
  <c r="I5108" i="1" a="1"/>
  <c r="I5108" i="1" s="1"/>
  <c r="M5126" i="1" a="1"/>
  <c r="M5126" i="1" s="1"/>
  <c r="B5127" i="1"/>
  <c r="N5126" i="1" a="1"/>
  <c r="N5126" i="1" s="1"/>
  <c r="Q5126" i="1" a="1"/>
  <c r="Q5126" i="1" s="1"/>
  <c r="P5126" i="1" a="1"/>
  <c r="P5126" i="1" s="1"/>
  <c r="C5109" i="1"/>
  <c r="H5108" i="1"/>
  <c r="O5108" i="1" a="1"/>
  <c r="O5108" i="1" s="1"/>
  <c r="K5109" i="1" l="1" a="1"/>
  <c r="K5109" i="1" s="1"/>
  <c r="J5109" i="1" a="1"/>
  <c r="J5109" i="1" s="1"/>
  <c r="L5109" i="1" a="1"/>
  <c r="L5109" i="1" s="1"/>
  <c r="I5109" i="1" a="1"/>
  <c r="I5109" i="1" s="1"/>
  <c r="N5127" i="1" a="1"/>
  <c r="N5127" i="1" s="1"/>
  <c r="B5128" i="1"/>
  <c r="P5127" i="1" a="1"/>
  <c r="P5127" i="1" s="1"/>
  <c r="M5127" i="1" a="1"/>
  <c r="M5127" i="1" s="1"/>
  <c r="Q5127" i="1" a="1"/>
  <c r="Q5127" i="1" s="1"/>
  <c r="C5110" i="1"/>
  <c r="H5109" i="1"/>
  <c r="O5109" i="1" a="1"/>
  <c r="O5109" i="1" s="1"/>
  <c r="K5110" i="1" l="1" a="1"/>
  <c r="K5110" i="1" s="1"/>
  <c r="J5110" i="1" a="1"/>
  <c r="J5110" i="1" s="1"/>
  <c r="L5110" i="1" a="1"/>
  <c r="L5110" i="1" s="1"/>
  <c r="I5110" i="1" a="1"/>
  <c r="I5110" i="1" s="1"/>
  <c r="B5129" i="1"/>
  <c r="M5128" i="1" a="1"/>
  <c r="M5128" i="1" s="1"/>
  <c r="N5128" i="1" a="1"/>
  <c r="N5128" i="1" s="1"/>
  <c r="Q5128" i="1" a="1"/>
  <c r="Q5128" i="1" s="1"/>
  <c r="P5128" i="1" a="1"/>
  <c r="P5128" i="1" s="1"/>
  <c r="C5111" i="1"/>
  <c r="H5110" i="1"/>
  <c r="O5110" i="1" a="1"/>
  <c r="O5110" i="1" s="1"/>
  <c r="K5111" i="1" l="1" a="1"/>
  <c r="K5111" i="1" s="1"/>
  <c r="J5111" i="1" a="1"/>
  <c r="J5111" i="1" s="1"/>
  <c r="L5111" i="1" a="1"/>
  <c r="L5111" i="1" s="1"/>
  <c r="I5111" i="1" a="1"/>
  <c r="I5111" i="1" s="1"/>
  <c r="P5129" i="1" a="1"/>
  <c r="P5129" i="1" s="1"/>
  <c r="Q5129" i="1" a="1"/>
  <c r="Q5129" i="1" s="1"/>
  <c r="M5129" i="1" a="1"/>
  <c r="M5129" i="1" s="1"/>
  <c r="N5129" i="1" a="1"/>
  <c r="N5129" i="1" s="1"/>
  <c r="B5130" i="1"/>
  <c r="C5112" i="1"/>
  <c r="H5111" i="1"/>
  <c r="O5111" i="1" a="1"/>
  <c r="O5111" i="1" s="1"/>
  <c r="K5112" i="1" l="1" a="1"/>
  <c r="K5112" i="1" s="1"/>
  <c r="J5112" i="1" a="1"/>
  <c r="J5112" i="1" s="1"/>
  <c r="L5112" i="1" a="1"/>
  <c r="L5112" i="1" s="1"/>
  <c r="I5112" i="1" a="1"/>
  <c r="I5112" i="1" s="1"/>
  <c r="Q5130" i="1" a="1"/>
  <c r="Q5130" i="1" s="1"/>
  <c r="B5131" i="1"/>
  <c r="P5130" i="1" a="1"/>
  <c r="P5130" i="1" s="1"/>
  <c r="N5130" i="1" a="1"/>
  <c r="N5130" i="1" s="1"/>
  <c r="M5130" i="1" a="1"/>
  <c r="M5130" i="1" s="1"/>
  <c r="C5113" i="1"/>
  <c r="H5112" i="1"/>
  <c r="O5112" i="1" a="1"/>
  <c r="O5112" i="1" s="1"/>
  <c r="K5113" i="1" l="1" a="1"/>
  <c r="K5113" i="1" s="1"/>
  <c r="J5113" i="1" a="1"/>
  <c r="J5113" i="1" s="1"/>
  <c r="L5113" i="1" a="1"/>
  <c r="L5113" i="1" s="1"/>
  <c r="I5113" i="1" a="1"/>
  <c r="I5113" i="1" s="1"/>
  <c r="P5131" i="1" a="1"/>
  <c r="P5131" i="1" s="1"/>
  <c r="B5132" i="1"/>
  <c r="M5131" i="1" a="1"/>
  <c r="M5131" i="1" s="1"/>
  <c r="Q5131" i="1" a="1"/>
  <c r="Q5131" i="1" s="1"/>
  <c r="N5131" i="1" a="1"/>
  <c r="N5131" i="1" s="1"/>
  <c r="C5114" i="1"/>
  <c r="H5113" i="1"/>
  <c r="O5113" i="1" a="1"/>
  <c r="O5113" i="1" s="1"/>
  <c r="K5114" i="1" l="1" a="1"/>
  <c r="K5114" i="1" s="1"/>
  <c r="J5114" i="1" a="1"/>
  <c r="J5114" i="1" s="1"/>
  <c r="L5114" i="1" a="1"/>
  <c r="L5114" i="1" s="1"/>
  <c r="I5114" i="1" a="1"/>
  <c r="I5114" i="1" s="1"/>
  <c r="Q5132" i="1" a="1"/>
  <c r="Q5132" i="1" s="1"/>
  <c r="P5132" i="1" a="1"/>
  <c r="P5132" i="1" s="1"/>
  <c r="B5133" i="1"/>
  <c r="M5132" i="1" a="1"/>
  <c r="M5132" i="1" s="1"/>
  <c r="N5132" i="1" a="1"/>
  <c r="N5132" i="1" s="1"/>
  <c r="C5115" i="1"/>
  <c r="H5114" i="1"/>
  <c r="O5114" i="1" a="1"/>
  <c r="O5114" i="1" s="1"/>
  <c r="K5115" i="1" l="1" a="1"/>
  <c r="K5115" i="1" s="1"/>
  <c r="J5115" i="1" a="1"/>
  <c r="J5115" i="1" s="1"/>
  <c r="L5115" i="1" a="1"/>
  <c r="L5115" i="1" s="1"/>
  <c r="I5115" i="1" a="1"/>
  <c r="I5115" i="1" s="1"/>
  <c r="B5134" i="1"/>
  <c r="N5133" i="1" a="1"/>
  <c r="N5133" i="1" s="1"/>
  <c r="M5133" i="1" a="1"/>
  <c r="M5133" i="1" s="1"/>
  <c r="Q5133" i="1" a="1"/>
  <c r="Q5133" i="1" s="1"/>
  <c r="P5133" i="1" a="1"/>
  <c r="P5133" i="1" s="1"/>
  <c r="C5116" i="1"/>
  <c r="H5115" i="1"/>
  <c r="O5115" i="1" a="1"/>
  <c r="O5115" i="1" s="1"/>
  <c r="K5116" i="1" l="1" a="1"/>
  <c r="K5116" i="1" s="1"/>
  <c r="J5116" i="1" a="1"/>
  <c r="J5116" i="1" s="1"/>
  <c r="L5116" i="1" a="1"/>
  <c r="L5116" i="1" s="1"/>
  <c r="I5116" i="1" a="1"/>
  <c r="I5116" i="1" s="1"/>
  <c r="Q5134" i="1" a="1"/>
  <c r="Q5134" i="1" s="1"/>
  <c r="N5134" i="1" a="1"/>
  <c r="N5134" i="1" s="1"/>
  <c r="B5135" i="1"/>
  <c r="P5134" i="1" a="1"/>
  <c r="P5134" i="1" s="1"/>
  <c r="M5134" i="1" a="1"/>
  <c r="M5134" i="1" s="1"/>
  <c r="C5117" i="1"/>
  <c r="H5116" i="1"/>
  <c r="O5116" i="1" a="1"/>
  <c r="O5116" i="1" s="1"/>
  <c r="K5117" i="1" l="1" a="1"/>
  <c r="K5117" i="1" s="1"/>
  <c r="J5117" i="1" a="1"/>
  <c r="J5117" i="1" s="1"/>
  <c r="L5117" i="1" a="1"/>
  <c r="L5117" i="1" s="1"/>
  <c r="I5117" i="1" a="1"/>
  <c r="I5117" i="1" s="1"/>
  <c r="N5135" i="1" a="1"/>
  <c r="N5135" i="1" s="1"/>
  <c r="Q5135" i="1" a="1"/>
  <c r="Q5135" i="1" s="1"/>
  <c r="B5136" i="1"/>
  <c r="P5135" i="1" a="1"/>
  <c r="P5135" i="1" s="1"/>
  <c r="M5135" i="1" a="1"/>
  <c r="M5135" i="1" s="1"/>
  <c r="C5118" i="1"/>
  <c r="H5117" i="1"/>
  <c r="O5117" i="1" a="1"/>
  <c r="O5117" i="1" s="1"/>
  <c r="K5118" i="1" l="1" a="1"/>
  <c r="K5118" i="1" s="1"/>
  <c r="J5118" i="1" a="1"/>
  <c r="J5118" i="1" s="1"/>
  <c r="L5118" i="1" a="1"/>
  <c r="L5118" i="1" s="1"/>
  <c r="I5118" i="1" a="1"/>
  <c r="I5118" i="1" s="1"/>
  <c r="P5136" i="1" a="1"/>
  <c r="P5136" i="1" s="1"/>
  <c r="B5137" i="1"/>
  <c r="M5136" i="1" a="1"/>
  <c r="M5136" i="1" s="1"/>
  <c r="Q5136" i="1" a="1"/>
  <c r="Q5136" i="1" s="1"/>
  <c r="N5136" i="1" a="1"/>
  <c r="N5136" i="1" s="1"/>
  <c r="C5119" i="1"/>
  <c r="H5118" i="1"/>
  <c r="O5118" i="1" a="1"/>
  <c r="O5118" i="1" s="1"/>
  <c r="K5119" i="1" l="1" a="1"/>
  <c r="K5119" i="1" s="1"/>
  <c r="J5119" i="1" a="1"/>
  <c r="J5119" i="1" s="1"/>
  <c r="L5119" i="1" a="1"/>
  <c r="L5119" i="1" s="1"/>
  <c r="I5119" i="1" a="1"/>
  <c r="I5119" i="1" s="1"/>
  <c r="B5138" i="1"/>
  <c r="P5137" i="1" a="1"/>
  <c r="P5137" i="1" s="1"/>
  <c r="Q5137" i="1" a="1"/>
  <c r="Q5137" i="1" s="1"/>
  <c r="M5137" i="1" a="1"/>
  <c r="M5137" i="1" s="1"/>
  <c r="N5137" i="1" a="1"/>
  <c r="N5137" i="1" s="1"/>
  <c r="C5120" i="1"/>
  <c r="H5119" i="1"/>
  <c r="O5119" i="1" a="1"/>
  <c r="O5119" i="1" s="1"/>
  <c r="K5120" i="1" l="1" a="1"/>
  <c r="K5120" i="1" s="1"/>
  <c r="J5120" i="1" a="1"/>
  <c r="J5120" i="1" s="1"/>
  <c r="L5120" i="1" a="1"/>
  <c r="L5120" i="1" s="1"/>
  <c r="I5120" i="1" a="1"/>
  <c r="I5120" i="1" s="1"/>
  <c r="Q5138" i="1" a="1"/>
  <c r="Q5138" i="1" s="1"/>
  <c r="M5138" i="1" a="1"/>
  <c r="M5138" i="1" s="1"/>
  <c r="B5139" i="1"/>
  <c r="P5138" i="1" a="1"/>
  <c r="P5138" i="1" s="1"/>
  <c r="N5138" i="1" a="1"/>
  <c r="N5138" i="1" s="1"/>
  <c r="C5121" i="1"/>
  <c r="H5120" i="1"/>
  <c r="O5120" i="1" a="1"/>
  <c r="O5120" i="1" s="1"/>
  <c r="K5121" i="1" l="1" a="1"/>
  <c r="K5121" i="1" s="1"/>
  <c r="J5121" i="1" a="1"/>
  <c r="J5121" i="1" s="1"/>
  <c r="L5121" i="1" a="1"/>
  <c r="L5121" i="1" s="1"/>
  <c r="I5121" i="1" a="1"/>
  <c r="I5121" i="1" s="1"/>
  <c r="Q5139" i="1" a="1"/>
  <c r="Q5139" i="1" s="1"/>
  <c r="P5139" i="1" a="1"/>
  <c r="P5139" i="1" s="1"/>
  <c r="M5139" i="1" a="1"/>
  <c r="M5139" i="1" s="1"/>
  <c r="B5140" i="1"/>
  <c r="N5139" i="1" a="1"/>
  <c r="N5139" i="1" s="1"/>
  <c r="C5122" i="1"/>
  <c r="H5121" i="1"/>
  <c r="O5121" i="1" a="1"/>
  <c r="O5121" i="1" s="1"/>
  <c r="K5122" i="1" l="1" a="1"/>
  <c r="K5122" i="1" s="1"/>
  <c r="J5122" i="1" a="1"/>
  <c r="J5122" i="1" s="1"/>
  <c r="L5122" i="1" a="1"/>
  <c r="L5122" i="1" s="1"/>
  <c r="I5122" i="1" a="1"/>
  <c r="I5122" i="1" s="1"/>
  <c r="P5140" i="1" a="1"/>
  <c r="P5140" i="1" s="1"/>
  <c r="B5141" i="1"/>
  <c r="M5140" i="1" a="1"/>
  <c r="M5140" i="1" s="1"/>
  <c r="N5140" i="1" a="1"/>
  <c r="N5140" i="1" s="1"/>
  <c r="Q5140" i="1" a="1"/>
  <c r="Q5140" i="1" s="1"/>
  <c r="C5123" i="1"/>
  <c r="H5122" i="1"/>
  <c r="O5122" i="1" a="1"/>
  <c r="O5122" i="1" s="1"/>
  <c r="K5123" i="1" l="1" a="1"/>
  <c r="K5123" i="1" s="1"/>
  <c r="J5123" i="1" a="1"/>
  <c r="J5123" i="1" s="1"/>
  <c r="L5123" i="1" a="1"/>
  <c r="L5123" i="1" s="1"/>
  <c r="I5123" i="1" a="1"/>
  <c r="I5123" i="1" s="1"/>
  <c r="P5141" i="1" a="1"/>
  <c r="P5141" i="1" s="1"/>
  <c r="N5141" i="1" a="1"/>
  <c r="N5141" i="1" s="1"/>
  <c r="Q5141" i="1" a="1"/>
  <c r="Q5141" i="1" s="1"/>
  <c r="B5142" i="1"/>
  <c r="M5141" i="1" a="1"/>
  <c r="M5141" i="1" s="1"/>
  <c r="C5124" i="1"/>
  <c r="H5123" i="1"/>
  <c r="O5123" i="1" a="1"/>
  <c r="O5123" i="1" s="1"/>
  <c r="K5124" i="1" l="1" a="1"/>
  <c r="K5124" i="1" s="1"/>
  <c r="J5124" i="1" a="1"/>
  <c r="J5124" i="1" s="1"/>
  <c r="L5124" i="1" a="1"/>
  <c r="L5124" i="1" s="1"/>
  <c r="I5124" i="1" a="1"/>
  <c r="I5124" i="1" s="1"/>
  <c r="B5143" i="1"/>
  <c r="M5142" i="1" a="1"/>
  <c r="M5142" i="1" s="1"/>
  <c r="N5142" i="1" a="1"/>
  <c r="N5142" i="1" s="1"/>
  <c r="P5142" i="1" a="1"/>
  <c r="P5142" i="1" s="1"/>
  <c r="Q5142" i="1" a="1"/>
  <c r="Q5142" i="1" s="1"/>
  <c r="C5125" i="1"/>
  <c r="H5124" i="1"/>
  <c r="O5124" i="1" a="1"/>
  <c r="O5124" i="1" s="1"/>
  <c r="K5125" i="1" l="1" a="1"/>
  <c r="K5125" i="1" s="1"/>
  <c r="J5125" i="1" a="1"/>
  <c r="J5125" i="1" s="1"/>
  <c r="L5125" i="1" a="1"/>
  <c r="L5125" i="1" s="1"/>
  <c r="I5125" i="1" a="1"/>
  <c r="I5125" i="1" s="1"/>
  <c r="M5143" i="1" a="1"/>
  <c r="M5143" i="1" s="1"/>
  <c r="B5144" i="1"/>
  <c r="P5143" i="1" a="1"/>
  <c r="P5143" i="1" s="1"/>
  <c r="Q5143" i="1" a="1"/>
  <c r="Q5143" i="1" s="1"/>
  <c r="N5143" i="1" a="1"/>
  <c r="N5143" i="1" s="1"/>
  <c r="C5126" i="1"/>
  <c r="H5125" i="1"/>
  <c r="O5125" i="1" a="1"/>
  <c r="O5125" i="1" s="1"/>
  <c r="K5126" i="1" l="1" a="1"/>
  <c r="K5126" i="1" s="1"/>
  <c r="J5126" i="1" a="1"/>
  <c r="J5126" i="1" s="1"/>
  <c r="L5126" i="1" a="1"/>
  <c r="L5126" i="1" s="1"/>
  <c r="I5126" i="1" a="1"/>
  <c r="I5126" i="1" s="1"/>
  <c r="M5144" i="1" a="1"/>
  <c r="M5144" i="1" s="1"/>
  <c r="Q5144" i="1" a="1"/>
  <c r="Q5144" i="1" s="1"/>
  <c r="N5144" i="1" a="1"/>
  <c r="N5144" i="1" s="1"/>
  <c r="P5144" i="1" a="1"/>
  <c r="P5144" i="1" s="1"/>
  <c r="C5127" i="1"/>
  <c r="H5126" i="1"/>
  <c r="O5126" i="1" a="1"/>
  <c r="O5126" i="1" s="1"/>
  <c r="K5127" i="1" l="1" a="1"/>
  <c r="K5127" i="1" s="1"/>
  <c r="J5127" i="1" a="1"/>
  <c r="J5127" i="1" s="1"/>
  <c r="L5127" i="1" a="1"/>
  <c r="L5127" i="1" s="1"/>
  <c r="I5127" i="1" a="1"/>
  <c r="I5127" i="1" s="1"/>
  <c r="C5128" i="1"/>
  <c r="H5127" i="1"/>
  <c r="O5127" i="1" a="1"/>
  <c r="O5127" i="1" s="1"/>
  <c r="K5128" i="1" l="1" a="1"/>
  <c r="K5128" i="1" s="1"/>
  <c r="J5128" i="1" a="1"/>
  <c r="J5128" i="1" s="1"/>
  <c r="L5128" i="1" a="1"/>
  <c r="L5128" i="1" s="1"/>
  <c r="I5128" i="1" a="1"/>
  <c r="I5128" i="1" s="1"/>
  <c r="C5129" i="1"/>
  <c r="H5128" i="1"/>
  <c r="O5128" i="1" a="1"/>
  <c r="O5128" i="1" s="1"/>
  <c r="K5129" i="1" l="1" a="1"/>
  <c r="K5129" i="1" s="1"/>
  <c r="J5129" i="1" a="1"/>
  <c r="J5129" i="1" s="1"/>
  <c r="L5129" i="1" a="1"/>
  <c r="L5129" i="1" s="1"/>
  <c r="I5129" i="1" a="1"/>
  <c r="I5129" i="1" s="1"/>
  <c r="C5130" i="1"/>
  <c r="H5129" i="1"/>
  <c r="O5129" i="1" a="1"/>
  <c r="O5129" i="1" s="1"/>
  <c r="K5130" i="1" l="1" a="1"/>
  <c r="K5130" i="1" s="1"/>
  <c r="J5130" i="1" a="1"/>
  <c r="J5130" i="1" s="1"/>
  <c r="L5130" i="1" a="1"/>
  <c r="L5130" i="1" s="1"/>
  <c r="I5130" i="1" a="1"/>
  <c r="I5130" i="1" s="1"/>
  <c r="C5131" i="1"/>
  <c r="H5130" i="1"/>
  <c r="O5130" i="1" a="1"/>
  <c r="O5130" i="1" s="1"/>
  <c r="K5131" i="1" l="1" a="1"/>
  <c r="K5131" i="1" s="1"/>
  <c r="J5131" i="1" a="1"/>
  <c r="J5131" i="1" s="1"/>
  <c r="L5131" i="1" a="1"/>
  <c r="L5131" i="1" s="1"/>
  <c r="I5131" i="1" a="1"/>
  <c r="I5131" i="1" s="1"/>
  <c r="C5132" i="1"/>
  <c r="H5131" i="1"/>
  <c r="O5131" i="1" a="1"/>
  <c r="O5131" i="1" s="1"/>
  <c r="K5132" i="1" l="1" a="1"/>
  <c r="K5132" i="1" s="1"/>
  <c r="J5132" i="1" a="1"/>
  <c r="J5132" i="1" s="1"/>
  <c r="L5132" i="1" a="1"/>
  <c r="L5132" i="1" s="1"/>
  <c r="I5132" i="1" a="1"/>
  <c r="I5132" i="1" s="1"/>
  <c r="C5133" i="1"/>
  <c r="H5132" i="1"/>
  <c r="O5132" i="1" a="1"/>
  <c r="O5132" i="1" s="1"/>
  <c r="K5133" i="1" l="1" a="1"/>
  <c r="K5133" i="1" s="1"/>
  <c r="J5133" i="1" a="1"/>
  <c r="J5133" i="1" s="1"/>
  <c r="L5133" i="1" a="1"/>
  <c r="L5133" i="1" s="1"/>
  <c r="I5133" i="1" a="1"/>
  <c r="I5133" i="1" s="1"/>
  <c r="C5134" i="1"/>
  <c r="H5133" i="1"/>
  <c r="O5133" i="1" a="1"/>
  <c r="O5133" i="1" s="1"/>
  <c r="K5134" i="1" l="1" a="1"/>
  <c r="K5134" i="1" s="1"/>
  <c r="J5134" i="1" a="1"/>
  <c r="J5134" i="1" s="1"/>
  <c r="L5134" i="1" a="1"/>
  <c r="L5134" i="1" s="1"/>
  <c r="I5134" i="1" a="1"/>
  <c r="I5134" i="1" s="1"/>
  <c r="C5135" i="1"/>
  <c r="H5134" i="1"/>
  <c r="O5134" i="1" a="1"/>
  <c r="O5134" i="1" s="1"/>
  <c r="K5135" i="1" l="1" a="1"/>
  <c r="K5135" i="1" s="1"/>
  <c r="J5135" i="1" a="1"/>
  <c r="J5135" i="1" s="1"/>
  <c r="L5135" i="1" a="1"/>
  <c r="L5135" i="1" s="1"/>
  <c r="I5135" i="1" a="1"/>
  <c r="I5135" i="1" s="1"/>
  <c r="C5136" i="1"/>
  <c r="H5135" i="1"/>
  <c r="O5135" i="1" a="1"/>
  <c r="O5135" i="1" s="1"/>
  <c r="K5136" i="1" l="1" a="1"/>
  <c r="K5136" i="1" s="1"/>
  <c r="J5136" i="1" a="1"/>
  <c r="J5136" i="1" s="1"/>
  <c r="L5136" i="1" a="1"/>
  <c r="L5136" i="1" s="1"/>
  <c r="I5136" i="1" a="1"/>
  <c r="I5136" i="1" s="1"/>
  <c r="C5137" i="1"/>
  <c r="H5136" i="1"/>
  <c r="O5136" i="1" a="1"/>
  <c r="O5136" i="1" s="1"/>
  <c r="K5137" i="1" l="1" a="1"/>
  <c r="K5137" i="1" s="1"/>
  <c r="J5137" i="1" a="1"/>
  <c r="J5137" i="1" s="1"/>
  <c r="L5137" i="1" a="1"/>
  <c r="L5137" i="1" s="1"/>
  <c r="I5137" i="1" a="1"/>
  <c r="I5137" i="1" s="1"/>
  <c r="C5138" i="1"/>
  <c r="H5137" i="1"/>
  <c r="O5137" i="1" a="1"/>
  <c r="O5137" i="1" s="1"/>
  <c r="K5138" i="1" l="1" a="1"/>
  <c r="K5138" i="1" s="1"/>
  <c r="J5138" i="1" a="1"/>
  <c r="J5138" i="1" s="1"/>
  <c r="L5138" i="1" a="1"/>
  <c r="L5138" i="1" s="1"/>
  <c r="I5138" i="1" a="1"/>
  <c r="I5138" i="1" s="1"/>
  <c r="C5139" i="1"/>
  <c r="H5138" i="1"/>
  <c r="O5138" i="1" a="1"/>
  <c r="O5138" i="1" s="1"/>
  <c r="K5139" i="1" l="1" a="1"/>
  <c r="K5139" i="1" s="1"/>
  <c r="J5139" i="1" a="1"/>
  <c r="J5139" i="1" s="1"/>
  <c r="L5139" i="1" a="1"/>
  <c r="L5139" i="1" s="1"/>
  <c r="I5139" i="1" a="1"/>
  <c r="I5139" i="1" s="1"/>
  <c r="C5140" i="1"/>
  <c r="H5139" i="1"/>
  <c r="O5139" i="1" a="1"/>
  <c r="O5139" i="1" s="1"/>
  <c r="K5140" i="1" l="1" a="1"/>
  <c r="K5140" i="1" s="1"/>
  <c r="J5140" i="1" a="1"/>
  <c r="J5140" i="1" s="1"/>
  <c r="L5140" i="1" a="1"/>
  <c r="L5140" i="1" s="1"/>
  <c r="I5140" i="1" a="1"/>
  <c r="I5140" i="1" s="1"/>
  <c r="C5141" i="1"/>
  <c r="H5140" i="1"/>
  <c r="O5140" i="1" a="1"/>
  <c r="O5140" i="1" s="1"/>
  <c r="K5141" i="1" l="1" a="1"/>
  <c r="K5141" i="1" s="1"/>
  <c r="J5141" i="1" a="1"/>
  <c r="J5141" i="1" s="1"/>
  <c r="L5141" i="1" a="1"/>
  <c r="L5141" i="1" s="1"/>
  <c r="I5141" i="1" a="1"/>
  <c r="I5141" i="1" s="1"/>
  <c r="C5142" i="1"/>
  <c r="H5141" i="1"/>
  <c r="O5141" i="1" a="1"/>
  <c r="O5141" i="1" s="1"/>
  <c r="K5142" i="1" l="1" a="1"/>
  <c r="K5142" i="1" s="1"/>
  <c r="J5142" i="1" a="1"/>
  <c r="J5142" i="1" s="1"/>
  <c r="L5142" i="1" a="1"/>
  <c r="L5142" i="1" s="1"/>
  <c r="I5142" i="1" a="1"/>
  <c r="I5142" i="1" s="1"/>
  <c r="C5143" i="1"/>
  <c r="H5142" i="1"/>
  <c r="O5142" i="1" a="1"/>
  <c r="O5142" i="1" s="1"/>
  <c r="K5143" i="1" l="1" a="1"/>
  <c r="K5143" i="1" s="1"/>
  <c r="J5143" i="1" a="1"/>
  <c r="J5143" i="1" s="1"/>
  <c r="L5143" i="1" a="1"/>
  <c r="L5143" i="1" s="1"/>
  <c r="I5143" i="1" a="1"/>
  <c r="I5143" i="1" s="1"/>
  <c r="C5144" i="1"/>
  <c r="H5143" i="1"/>
  <c r="O5143" i="1" a="1"/>
  <c r="O5143" i="1" s="1"/>
  <c r="K5144" i="1" l="1" a="1"/>
  <c r="K5144" i="1" s="1"/>
  <c r="J5144" i="1" a="1"/>
  <c r="J5144" i="1" s="1"/>
  <c r="L5144" i="1" a="1"/>
  <c r="L5144" i="1" s="1"/>
  <c r="I5144" i="1" a="1"/>
  <c r="I5144" i="1" s="1"/>
  <c r="H5144" i="1"/>
  <c r="O5144" i="1" a="1"/>
  <c r="O514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<sst xmlns="http://schemas.openxmlformats.org/spreadsheetml/2006/main" count="45940" uniqueCount="24">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</sst>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Q5144"/>
  <sheetViews>
    <sheetView tabSelected="1" zoomScaleNormal="100" workbookViewId="0">
      <pane ySplit="1" topLeftCell="A5084" activePane="bottomLeft" state="frozen"/>
      <selection pane="bottomLeft" activeCell="D5085" sqref="D508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7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</row>
    <row r="2" spans="1:17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7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7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7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7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7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7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7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7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7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7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7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7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7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7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20</v>
      </c>
      <c r="C5085" s="6">
        <v>0.38750000000000001</v>
      </c>
      <c r="D5085" s="5"/>
      <c r="E5085" s="5"/>
      <c r="F5085" s="5" t="s">
        <v>8</v>
      </c>
      <c r="G5085" s="15" t="s">
        <v>9</v>
      </c>
      <c r="H5085" s="24">
        <f t="shared" ref="H5012:H5144" si="1128">IFERROR((($A5085+$C5085) - ($A5084+$C5084))*24*60, "")</f>
        <v>931.99999999953434</v>
      </c>
      <c r="I5085" s="24" t="str" cm="1">
        <f t="array" ref="I5085">IFERROR(IF($B5085=I$1, ($A5085+$C5085) - MAX(IF($B$2:$B5084=$B5085, $A$2:$A5084+$C$2:$C5084)), "")*24*60, "")</f>
        <v/>
      </c>
      <c r="J5085" s="24" t="str" cm="1">
        <f t="array" ref="J5085">IFERROR(IF($B5085=J$1, ($A5085+$C5085) - MAX(IF($B$2:$B5084=$B5085, $A$2:$A5084+$C$2:$C5084)), "")*24*60, "")</f>
        <v/>
      </c>
      <c r="K5085" s="24" t="str" cm="1">
        <f t="array" ref="K5085">IFERROR(IF($B5085=K$1, ($A5085+$C5085) - MAX(IF($B$2:$B5084=$B5085, $A$2:$A5084+$C$2:$C5084)), "")*24*60, "")</f>
        <v/>
      </c>
      <c r="L5085" s="24" t="str" cm="1">
        <f t="array" ref="L5085">IFERROR(IF($B5085=L$1, ($A5085+$C5085) - MAX(IF($B$2:$B5084=$B5085, $A$2:$A5084+$C$2:$C5084)), "")*24*60, "")</f>
        <v/>
      </c>
      <c r="M5085" s="24" t="str" cm="1">
        <f t="array" ref="M5085">IFERROR(IF($B5085=M$1, ($A5085+$C5085) - MAX(IF($B$2:$B5084=$B5085, $A$2:$A5084+$C$2:$C5084)), "")*24*60, "")</f>
        <v/>
      </c>
      <c r="N5085" s="24" t="str" cm="1">
        <f t="array" ref="N5085">IFERROR(IF($B5085=N$1, ($A5085+$C5085) - MAX(IF($B$2:$B5084=$B5085, $A$2:$A5084+$C$2:$C5084)), "")*24*60, "")</f>
        <v/>
      </c>
      <c r="O5085" s="24" cm="1">
        <f t="array" ref="O5085">IFERROR(IF($B5085=O$1, ($A5085+$C5085) - MAX(IF($B$2:$B5084=$B5085, $A$2:$A5084+$C$2:$C5084)), "")*24*60, "")</f>
        <v>1113.9999999955762</v>
      </c>
      <c r="P5085" s="24" t="str" cm="1">
        <f t="array" ref="P5085">IFERROR(IF($B5085=P$1, ($A5085+$C5085) - MAX(IF($B$2:$B5084=$B5085, $A$2:$A5084+$C$2:$C5084)), "")*24*60, "")</f>
        <v/>
      </c>
      <c r="Q5085" s="24" t="str" cm="1">
        <f t="array" ref="Q5085">IFERROR(IF($B5085=Q$1, ($A5085+$C5085) - MAX(IF($B$2:$B5084=$B5085, $A$2:$A5084+$C$2:$C5084)), "")*24*60, "")</f>
        <v/>
      </c>
    </row>
    <row r="5086" spans="1:17" x14ac:dyDescent="0.2">
      <c r="A5086" s="12">
        <f t="shared" ref="A5086:C5086" si="1129">A5085</f>
        <v>45982</v>
      </c>
      <c r="B5086" s="5" t="str">
        <f t="shared" si="1129"/>
        <v>Mourning Dove</v>
      </c>
      <c r="C5086" s="6">
        <f t="shared" si="1129"/>
        <v>0.38750000000000001</v>
      </c>
      <c r="D5086" s="5"/>
      <c r="E5086" s="5"/>
      <c r="F5086" s="5" t="s">
        <v>8</v>
      </c>
      <c r="G5086" s="15" t="s">
        <v>9</v>
      </c>
      <c r="H5086" s="24">
        <f t="shared" si="1128"/>
        <v>0</v>
      </c>
      <c r="I5086" s="24" t="str" cm="1">
        <f t="array" ref="I5086">IFERROR(IF($B5086=I$1, ($A5086+$C5086) - MAX(IF($B$2:$B5085=$B5086, $A$2:$A5085+$C$2:$C5085)), "")*24*60, "")</f>
        <v/>
      </c>
      <c r="J5086" s="24" t="str" cm="1">
        <f t="array" ref="J5086">IFERROR(IF($B5086=J$1, ($A5086+$C5086) - MAX(IF($B$2:$B5085=$B5086, $A$2:$A5085+$C$2:$C5085)), "")*24*60, "")</f>
        <v/>
      </c>
      <c r="K5086" s="24" t="str" cm="1">
        <f t="array" ref="K5086">IFERROR(IF($B5086=K$1, ($A5086+$C5086) - MAX(IF($B$2:$B5085=$B5086, $A$2:$A5085+$C$2:$C5085)), "")*24*60, "")</f>
        <v/>
      </c>
      <c r="L5086" s="24" t="str" cm="1">
        <f t="array" ref="L5086">IFERROR(IF($B5086=L$1, ($A5086+$C5086) - MAX(IF($B$2:$B5085=$B5086, $A$2:$A5085+$C$2:$C5085)), "")*24*60, "")</f>
        <v/>
      </c>
      <c r="M5086" s="24" t="str" cm="1">
        <f t="array" ref="M5086">IFERROR(IF($B5086=M$1, ($A5086+$C5086) - MAX(IF($B$2:$B5085=$B5086, $A$2:$A5085+$C$2:$C5085)), "")*24*60, "")</f>
        <v/>
      </c>
      <c r="N5086" s="24" t="str" cm="1">
        <f t="array" ref="N5086">IFERROR(IF($B5086=N$1, ($A5086+$C5086) - MAX(IF($B$2:$B5085=$B5086, $A$2:$A5085+$C$2:$C5085)), "")*24*60, "")</f>
        <v/>
      </c>
      <c r="O5086" s="24" cm="1">
        <f t="array" ref="O5086">IFERROR(IF($B5086=O$1, ($A5086+$C5086) - MAX(IF($B$2:$B5085=$B5086, $A$2:$A5085+$C$2:$C5085)), "")*24*60, "")</f>
        <v>0</v>
      </c>
      <c r="P5086" s="24" t="str" cm="1">
        <f t="array" ref="P5086">IFERROR(IF($B5086=P$1, ($A5086+$C5086) - MAX(IF($B$2:$B5085=$B5086, $A$2:$A5085+$C$2:$C5085)), "")*24*60, "")</f>
        <v/>
      </c>
      <c r="Q5086" s="24" t="str" cm="1">
        <f t="array" ref="Q5086">IFERROR(IF($B5086=Q$1, ($A5086+$C5086) - MAX(IF($B$2:$B5085=$B5086, $A$2:$A5085+$C$2:$C5085)), "")*24*60, "")</f>
        <v/>
      </c>
    </row>
    <row r="5087" spans="1:17" x14ac:dyDescent="0.2">
      <c r="A5087" s="12">
        <f t="shared" ref="A5087:C5087" si="1130">A5086</f>
        <v>45982</v>
      </c>
      <c r="B5087" s="5" t="str">
        <f t="shared" si="1130"/>
        <v>Mourning Dove</v>
      </c>
      <c r="C5087" s="6">
        <f t="shared" si="1130"/>
        <v>0.38750000000000001</v>
      </c>
      <c r="D5087" s="5"/>
      <c r="E5087" s="5"/>
      <c r="F5087" s="5" t="s">
        <v>8</v>
      </c>
      <c r="G5087" s="15" t="s">
        <v>9</v>
      </c>
      <c r="H5087" s="24">
        <f t="shared" si="1128"/>
        <v>0</v>
      </c>
      <c r="I5087" s="24" t="str" cm="1">
        <f t="array" ref="I5087">IFERROR(IF($B5087=I$1, ($A5087+$C5087) - MAX(IF($B$2:$B5086=$B5087, $A$2:$A5086+$C$2:$C5086)), "")*24*60, "")</f>
        <v/>
      </c>
      <c r="J5087" s="24" t="str" cm="1">
        <f t="array" ref="J5087">IFERROR(IF($B5087=J$1, ($A5087+$C5087) - MAX(IF($B$2:$B5086=$B5087, $A$2:$A5086+$C$2:$C5086)), "")*24*60, "")</f>
        <v/>
      </c>
      <c r="K5087" s="24" t="str" cm="1">
        <f t="array" ref="K5087">IFERROR(IF($B5087=K$1, ($A5087+$C5087) - MAX(IF($B$2:$B5086=$B5087, $A$2:$A5086+$C$2:$C5086)), "")*24*60, "")</f>
        <v/>
      </c>
      <c r="L5087" s="24" t="str" cm="1">
        <f t="array" ref="L5087">IFERROR(IF($B5087=L$1, ($A5087+$C5087) - MAX(IF($B$2:$B5086=$B5087, $A$2:$A5086+$C$2:$C5086)), "")*24*60, "")</f>
        <v/>
      </c>
      <c r="M5087" s="24" t="str" cm="1">
        <f t="array" ref="M5087">IFERROR(IF($B5087=M$1, ($A5087+$C5087) - MAX(IF($B$2:$B5086=$B5087, $A$2:$A5086+$C$2:$C5086)), "")*24*60, "")</f>
        <v/>
      </c>
      <c r="N5087" s="24" t="str" cm="1">
        <f t="array" ref="N5087">IFERROR(IF($B5087=N$1, ($A5087+$C5087) - MAX(IF($B$2:$B5086=$B5087, $A$2:$A5086+$C$2:$C5086)), "")*24*60, "")</f>
        <v/>
      </c>
      <c r="O5087" s="24" cm="1">
        <f t="array" ref="O5087">IFERROR(IF($B5087=O$1, ($A5087+$C5087) - MAX(IF($B$2:$B5086=$B5087, $A$2:$A5086+$C$2:$C5086)), "")*24*60, "")</f>
        <v>0</v>
      </c>
      <c r="P5087" s="24" t="str" cm="1">
        <f t="array" ref="P5087">IFERROR(IF($B5087=P$1, ($A5087+$C5087) - MAX(IF($B$2:$B5086=$B5087, $A$2:$A5086+$C$2:$C5086)), "")*24*60, "")</f>
        <v/>
      </c>
      <c r="Q5087" s="24" t="str" cm="1">
        <f t="array" ref="Q5087">IFERROR(IF($B5087=Q$1, ($A5087+$C5087) - MAX(IF($B$2:$B5086=$B5087, $A$2:$A5086+$C$2:$C5086)), "")*24*60, "")</f>
        <v/>
      </c>
    </row>
    <row r="5088" spans="1:17" x14ac:dyDescent="0.2">
      <c r="A5088" s="12">
        <f t="shared" ref="A5088:C5088" si="1131">A5087</f>
        <v>45982</v>
      </c>
      <c r="B5088" s="5" t="str">
        <f t="shared" si="1131"/>
        <v>Mourning Dove</v>
      </c>
      <c r="C5088" s="6">
        <f t="shared" si="1131"/>
        <v>0.38750000000000001</v>
      </c>
      <c r="D5088" s="5"/>
      <c r="E5088" s="5"/>
      <c r="F5088" s="5" t="s">
        <v>8</v>
      </c>
      <c r="G5088" s="15" t="s">
        <v>9</v>
      </c>
      <c r="H5088" s="24">
        <f t="shared" si="1128"/>
        <v>0</v>
      </c>
      <c r="I5088" s="24" t="str" cm="1">
        <f t="array" ref="I5088">IFERROR(IF($B5088=I$1, ($A5088+$C5088) - MAX(IF($B$2:$B5087=$B5088, $A$2:$A5087+$C$2:$C5087)), "")*24*60, "")</f>
        <v/>
      </c>
      <c r="J5088" s="24" t="str" cm="1">
        <f t="array" ref="J5088">IFERROR(IF($B5088=J$1, ($A5088+$C5088) - MAX(IF($B$2:$B5087=$B5088, $A$2:$A5087+$C$2:$C5087)), "")*24*60, "")</f>
        <v/>
      </c>
      <c r="K5088" s="24" t="str" cm="1">
        <f t="array" ref="K5088">IFERROR(IF($B5088=K$1, ($A5088+$C5088) - MAX(IF($B$2:$B5087=$B5088, $A$2:$A5087+$C$2:$C5087)), "")*24*60, "")</f>
        <v/>
      </c>
      <c r="L5088" s="24" t="str" cm="1">
        <f t="array" ref="L5088">IFERROR(IF($B5088=L$1, ($A5088+$C5088) - MAX(IF($B$2:$B5087=$B5088, $A$2:$A5087+$C$2:$C5087)), "")*24*60, "")</f>
        <v/>
      </c>
      <c r="M5088" s="24" t="str" cm="1">
        <f t="array" ref="M5088">IFERROR(IF($B5088=M$1, ($A5088+$C5088) - MAX(IF($B$2:$B5087=$B5088, $A$2:$A5087+$C$2:$C5087)), "")*24*60, "")</f>
        <v/>
      </c>
      <c r="N5088" s="24" t="str" cm="1">
        <f t="array" ref="N5088">IFERROR(IF($B5088=N$1, ($A5088+$C5088) - MAX(IF($B$2:$B5087=$B5088, $A$2:$A5087+$C$2:$C5087)), "")*24*60, "")</f>
        <v/>
      </c>
      <c r="O5088" s="24" cm="1">
        <f t="array" ref="O5088">IFERROR(IF($B5088=O$1, ($A5088+$C5088) - MAX(IF($B$2:$B5087=$B5088, $A$2:$A5087+$C$2:$C5087)), "")*24*60, "")</f>
        <v>0</v>
      </c>
      <c r="P5088" s="24" t="str" cm="1">
        <f t="array" ref="P5088">IFERROR(IF($B5088=P$1, ($A5088+$C5088) - MAX(IF($B$2:$B5087=$B5088, $A$2:$A5087+$C$2:$C5087)), "")*24*60, "")</f>
        <v/>
      </c>
      <c r="Q5088" s="24" t="str" cm="1">
        <f t="array" ref="Q5088">IFERROR(IF($B5088=Q$1, ($A5088+$C5088) - MAX(IF($B$2:$B5087=$B5088, $A$2:$A5087+$C$2:$C5087)), "")*24*60, "")</f>
        <v/>
      </c>
    </row>
    <row r="5089" spans="1:17" x14ac:dyDescent="0.2">
      <c r="A5089" s="12">
        <f t="shared" ref="A5089:C5089" si="1132">A5088</f>
        <v>45982</v>
      </c>
      <c r="B5089" s="5" t="str">
        <f t="shared" si="1132"/>
        <v>Mourning Dove</v>
      </c>
      <c r="C5089" s="6">
        <f t="shared" si="1132"/>
        <v>0.38750000000000001</v>
      </c>
      <c r="D5089" s="5"/>
      <c r="E5089" s="5"/>
      <c r="F5089" s="5" t="s">
        <v>8</v>
      </c>
      <c r="G5089" s="15" t="s">
        <v>9</v>
      </c>
      <c r="H5089" s="24">
        <f t="shared" si="1128"/>
        <v>0</v>
      </c>
      <c r="I5089" s="24" t="str" cm="1">
        <f t="array" ref="I5089">IFERROR(IF($B5089=I$1, ($A5089+$C5089) - MAX(IF($B$2:$B5088=$B5089, $A$2:$A5088+$C$2:$C5088)), "")*24*60, "")</f>
        <v/>
      </c>
      <c r="J5089" s="24" t="str" cm="1">
        <f t="array" ref="J5089">IFERROR(IF($B5089=J$1, ($A5089+$C5089) - MAX(IF($B$2:$B5088=$B5089, $A$2:$A5088+$C$2:$C5088)), "")*24*60, "")</f>
        <v/>
      </c>
      <c r="K5089" s="24" t="str" cm="1">
        <f t="array" ref="K5089">IFERROR(IF($B5089=K$1, ($A5089+$C5089) - MAX(IF($B$2:$B5088=$B5089, $A$2:$A5088+$C$2:$C5088)), "")*24*60, "")</f>
        <v/>
      </c>
      <c r="L5089" s="24" t="str" cm="1">
        <f t="array" ref="L5089">IFERROR(IF($B5089=L$1, ($A5089+$C5089) - MAX(IF($B$2:$B5088=$B5089, $A$2:$A5088+$C$2:$C5088)), "")*24*60, "")</f>
        <v/>
      </c>
      <c r="M5089" s="24" t="str" cm="1">
        <f t="array" ref="M5089">IFERROR(IF($B5089=M$1, ($A5089+$C5089) - MAX(IF($B$2:$B5088=$B5089, $A$2:$A5088+$C$2:$C5088)), "")*24*60, "")</f>
        <v/>
      </c>
      <c r="N5089" s="24" t="str" cm="1">
        <f t="array" ref="N5089">IFERROR(IF($B5089=N$1, ($A5089+$C5089) - MAX(IF($B$2:$B5088=$B5089, $A$2:$A5088+$C$2:$C5088)), "")*24*60, "")</f>
        <v/>
      </c>
      <c r="O5089" s="24" cm="1">
        <f t="array" ref="O5089">IFERROR(IF($B5089=O$1, ($A5089+$C5089) - MAX(IF($B$2:$B5088=$B5089, $A$2:$A5088+$C$2:$C5088)), "")*24*60, "")</f>
        <v>0</v>
      </c>
      <c r="P5089" s="24" t="str" cm="1">
        <f t="array" ref="P5089">IFERROR(IF($B5089=P$1, ($A5089+$C5089) - MAX(IF($B$2:$B5088=$B5089, $A$2:$A5088+$C$2:$C5088)), "")*24*60, "")</f>
        <v/>
      </c>
      <c r="Q5089" s="24" t="str" cm="1">
        <f t="array" ref="Q5089">IFERROR(IF($B5089=Q$1, ($A5089+$C5089) - MAX(IF($B$2:$B5088=$B5089, $A$2:$A5088+$C$2:$C5088)), "")*24*60, "")</f>
        <v/>
      </c>
    </row>
    <row r="5090" spans="1:17" x14ac:dyDescent="0.2">
      <c r="A5090" s="12">
        <f t="shared" ref="A5090:C5090" si="1133">A5089</f>
        <v>45982</v>
      </c>
      <c r="B5090" s="5" t="str">
        <f t="shared" si="1133"/>
        <v>Mourning Dove</v>
      </c>
      <c r="C5090" s="6">
        <f t="shared" si="1133"/>
        <v>0.38750000000000001</v>
      </c>
      <c r="D5090" s="5"/>
      <c r="E5090" s="5"/>
      <c r="F5090" s="5" t="s">
        <v>8</v>
      </c>
      <c r="G5090" s="15" t="s">
        <v>9</v>
      </c>
      <c r="H5090" s="24">
        <f t="shared" si="1128"/>
        <v>0</v>
      </c>
      <c r="I5090" s="24" t="str" cm="1">
        <f t="array" ref="I5090">IFERROR(IF($B5090=I$1, ($A5090+$C5090) - MAX(IF($B$2:$B5089=$B5090, $A$2:$A5089+$C$2:$C5089)), "")*24*60, "")</f>
        <v/>
      </c>
      <c r="J5090" s="24" t="str" cm="1">
        <f t="array" ref="J5090">IFERROR(IF($B5090=J$1, ($A5090+$C5090) - MAX(IF($B$2:$B5089=$B5090, $A$2:$A5089+$C$2:$C5089)), "")*24*60, "")</f>
        <v/>
      </c>
      <c r="K5090" s="24" t="str" cm="1">
        <f t="array" ref="K5090">IFERROR(IF($B5090=K$1, ($A5090+$C5090) - MAX(IF($B$2:$B5089=$B5090, $A$2:$A5089+$C$2:$C5089)), "")*24*60, "")</f>
        <v/>
      </c>
      <c r="L5090" s="24" t="str" cm="1">
        <f t="array" ref="L5090">IFERROR(IF($B5090=L$1, ($A5090+$C5090) - MAX(IF($B$2:$B5089=$B5090, $A$2:$A5089+$C$2:$C5089)), "")*24*60, "")</f>
        <v/>
      </c>
      <c r="M5090" s="24" t="str" cm="1">
        <f t="array" ref="M5090">IFERROR(IF($B5090=M$1, ($A5090+$C5090) - MAX(IF($B$2:$B5089=$B5090, $A$2:$A5089+$C$2:$C5089)), "")*24*60, "")</f>
        <v/>
      </c>
      <c r="N5090" s="24" t="str" cm="1">
        <f t="array" ref="N5090">IFERROR(IF($B5090=N$1, ($A5090+$C5090) - MAX(IF($B$2:$B5089=$B5090, $A$2:$A5089+$C$2:$C5089)), "")*24*60, "")</f>
        <v/>
      </c>
      <c r="O5090" s="24" cm="1">
        <f t="array" ref="O5090">IFERROR(IF($B5090=O$1, ($A5090+$C5090) - MAX(IF($B$2:$B5089=$B5090, $A$2:$A5089+$C$2:$C5089)), "")*24*60, "")</f>
        <v>0</v>
      </c>
      <c r="P5090" s="24" t="str" cm="1">
        <f t="array" ref="P5090">IFERROR(IF($B5090=P$1, ($A5090+$C5090) - MAX(IF($B$2:$B5089=$B5090, $A$2:$A5089+$C$2:$C5089)), "")*24*60, "")</f>
        <v/>
      </c>
      <c r="Q5090" s="24" t="str" cm="1">
        <f t="array" ref="Q5090">IFERROR(IF($B5090=Q$1, ($A5090+$C5090) - MAX(IF($B$2:$B5089=$B5090, $A$2:$A5089+$C$2:$C5089)), "")*24*60, "")</f>
        <v/>
      </c>
    </row>
    <row r="5091" spans="1:17" x14ac:dyDescent="0.2">
      <c r="A5091" s="12">
        <f t="shared" ref="A5091:C5091" si="1134">A5090</f>
        <v>45982</v>
      </c>
      <c r="B5091" s="5" t="str">
        <f t="shared" si="1134"/>
        <v>Mourning Dove</v>
      </c>
      <c r="C5091" s="6">
        <f t="shared" si="1134"/>
        <v>0.38750000000000001</v>
      </c>
      <c r="D5091" s="5"/>
      <c r="E5091" s="5"/>
      <c r="F5091" s="5" t="s">
        <v>8</v>
      </c>
      <c r="G5091" s="15" t="s">
        <v>9</v>
      </c>
      <c r="H5091" s="24">
        <f t="shared" si="1128"/>
        <v>0</v>
      </c>
      <c r="I5091" s="24" t="str" cm="1">
        <f t="array" ref="I5091">IFERROR(IF($B5091=I$1, ($A5091+$C5091) - MAX(IF($B$2:$B5090=$B5091, $A$2:$A5090+$C$2:$C5090)), "")*24*60, "")</f>
        <v/>
      </c>
      <c r="J5091" s="24" t="str" cm="1">
        <f t="array" ref="J5091">IFERROR(IF($B5091=J$1, ($A5091+$C5091) - MAX(IF($B$2:$B5090=$B5091, $A$2:$A5090+$C$2:$C5090)), "")*24*60, "")</f>
        <v/>
      </c>
      <c r="K5091" s="24" t="str" cm="1">
        <f t="array" ref="K5091">IFERROR(IF($B5091=K$1, ($A5091+$C5091) - MAX(IF($B$2:$B5090=$B5091, $A$2:$A5090+$C$2:$C5090)), "")*24*60, "")</f>
        <v/>
      </c>
      <c r="L5091" s="24" t="str" cm="1">
        <f t="array" ref="L5091">IFERROR(IF($B5091=L$1, ($A5091+$C5091) - MAX(IF($B$2:$B5090=$B5091, $A$2:$A5090+$C$2:$C5090)), "")*24*60, "")</f>
        <v/>
      </c>
      <c r="M5091" s="24" t="str" cm="1">
        <f t="array" ref="M5091">IFERROR(IF($B5091=M$1, ($A5091+$C5091) - MAX(IF($B$2:$B5090=$B5091, $A$2:$A5090+$C$2:$C5090)), "")*24*60, "")</f>
        <v/>
      </c>
      <c r="N5091" s="24" t="str" cm="1">
        <f t="array" ref="N5091">IFERROR(IF($B5091=N$1, ($A5091+$C5091) - MAX(IF($B$2:$B5090=$B5091, $A$2:$A5090+$C$2:$C5090)), "")*24*60, "")</f>
        <v/>
      </c>
      <c r="O5091" s="24" cm="1">
        <f t="array" ref="O5091">IFERROR(IF($B5091=O$1, ($A5091+$C5091) - MAX(IF($B$2:$B5090=$B5091, $A$2:$A5090+$C$2:$C5090)), "")*24*60, "")</f>
        <v>0</v>
      </c>
      <c r="P5091" s="24" t="str" cm="1">
        <f t="array" ref="P5091">IFERROR(IF($B5091=P$1, ($A5091+$C5091) - MAX(IF($B$2:$B5090=$B5091, $A$2:$A5090+$C$2:$C5090)), "")*24*60, "")</f>
        <v/>
      </c>
      <c r="Q5091" s="24" t="str" cm="1">
        <f t="array" ref="Q5091">IFERROR(IF($B5091=Q$1, ($A5091+$C5091) - MAX(IF($B$2:$B5090=$B5091, $A$2:$A5090+$C$2:$C5090)), "")*24*60, "")</f>
        <v/>
      </c>
    </row>
    <row r="5092" spans="1:17" x14ac:dyDescent="0.2">
      <c r="A5092" s="12">
        <f t="shared" ref="A5092:C5092" si="1135">A5091</f>
        <v>45982</v>
      </c>
      <c r="B5092" s="5" t="str">
        <f t="shared" si="1135"/>
        <v>Mourning Dove</v>
      </c>
      <c r="C5092" s="6">
        <f t="shared" si="1135"/>
        <v>0.38750000000000001</v>
      </c>
      <c r="D5092" s="5"/>
      <c r="E5092" s="5"/>
      <c r="F5092" s="5" t="s">
        <v>8</v>
      </c>
      <c r="G5092" s="15" t="s">
        <v>9</v>
      </c>
      <c r="H5092" s="24">
        <f t="shared" si="1128"/>
        <v>0</v>
      </c>
      <c r="I5092" s="24" t="str" cm="1">
        <f t="array" ref="I5092">IFERROR(IF($B5092=I$1, ($A5092+$C5092) - MAX(IF($B$2:$B5091=$B5092, $A$2:$A5091+$C$2:$C5091)), "")*24*60, "")</f>
        <v/>
      </c>
      <c r="J5092" s="24" t="str" cm="1">
        <f t="array" ref="J5092">IFERROR(IF($B5092=J$1, ($A5092+$C5092) - MAX(IF($B$2:$B5091=$B5092, $A$2:$A5091+$C$2:$C5091)), "")*24*60, "")</f>
        <v/>
      </c>
      <c r="K5092" s="24" t="str" cm="1">
        <f t="array" ref="K5092">IFERROR(IF($B5092=K$1, ($A5092+$C5092) - MAX(IF($B$2:$B5091=$B5092, $A$2:$A5091+$C$2:$C5091)), "")*24*60, "")</f>
        <v/>
      </c>
      <c r="L5092" s="24" t="str" cm="1">
        <f t="array" ref="L5092">IFERROR(IF($B5092=L$1, ($A5092+$C5092) - MAX(IF($B$2:$B5091=$B5092, $A$2:$A5091+$C$2:$C5091)), "")*24*60, "")</f>
        <v/>
      </c>
      <c r="M5092" s="24" t="str" cm="1">
        <f t="array" ref="M5092">IFERROR(IF($B5092=M$1, ($A5092+$C5092) - MAX(IF($B$2:$B5091=$B5092, $A$2:$A5091+$C$2:$C5091)), "")*24*60, "")</f>
        <v/>
      </c>
      <c r="N5092" s="24" t="str" cm="1">
        <f t="array" ref="N5092">IFERROR(IF($B5092=N$1, ($A5092+$C5092) - MAX(IF($B$2:$B5091=$B5092, $A$2:$A5091+$C$2:$C5091)), "")*24*60, "")</f>
        <v/>
      </c>
      <c r="O5092" s="24" cm="1">
        <f t="array" ref="O5092">IFERROR(IF($B5092=O$1, ($A5092+$C5092) - MAX(IF($B$2:$B5091=$B5092, $A$2:$A5091+$C$2:$C5091)), "")*24*60, "")</f>
        <v>0</v>
      </c>
      <c r="P5092" s="24" t="str" cm="1">
        <f t="array" ref="P5092">IFERROR(IF($B5092=P$1, ($A5092+$C5092) - MAX(IF($B$2:$B5091=$B5092, $A$2:$A5091+$C$2:$C5091)), "")*24*60, "")</f>
        <v/>
      </c>
      <c r="Q5092" s="24" t="str" cm="1">
        <f t="array" ref="Q5092">IFERROR(IF($B5092=Q$1, ($A5092+$C5092) - MAX(IF($B$2:$B5091=$B5092, $A$2:$A5091+$C$2:$C5091)), "")*24*60, "")</f>
        <v/>
      </c>
    </row>
    <row r="5093" spans="1:17" x14ac:dyDescent="0.2">
      <c r="A5093" s="12">
        <f t="shared" ref="A5093:C5093" si="1136">A5092</f>
        <v>45982</v>
      </c>
      <c r="B5093" s="5" t="str">
        <f t="shared" si="1136"/>
        <v>Mourning Dove</v>
      </c>
      <c r="C5093" s="6">
        <f t="shared" si="1136"/>
        <v>0.38750000000000001</v>
      </c>
      <c r="D5093" s="5"/>
      <c r="E5093" s="5"/>
      <c r="F5093" s="5" t="s">
        <v>8</v>
      </c>
      <c r="G5093" s="15" t="s">
        <v>9</v>
      </c>
      <c r="H5093" s="24">
        <f t="shared" si="1128"/>
        <v>0</v>
      </c>
      <c r="I5093" s="24" t="str" cm="1">
        <f t="array" ref="I5093">IFERROR(IF($B5093=I$1, ($A5093+$C5093) - MAX(IF($B$2:$B5092=$B5093, $A$2:$A5092+$C$2:$C5092)), "")*24*60, "")</f>
        <v/>
      </c>
      <c r="J5093" s="24" t="str" cm="1">
        <f t="array" ref="J5093">IFERROR(IF($B5093=J$1, ($A5093+$C5093) - MAX(IF($B$2:$B5092=$B5093, $A$2:$A5092+$C$2:$C5092)), "")*24*60, "")</f>
        <v/>
      </c>
      <c r="K5093" s="24" t="str" cm="1">
        <f t="array" ref="K5093">IFERROR(IF($B5093=K$1, ($A5093+$C5093) - MAX(IF($B$2:$B5092=$B5093, $A$2:$A5092+$C$2:$C5092)), "")*24*60, "")</f>
        <v/>
      </c>
      <c r="L5093" s="24" t="str" cm="1">
        <f t="array" ref="L5093">IFERROR(IF($B5093=L$1, ($A5093+$C5093) - MAX(IF($B$2:$B5092=$B5093, $A$2:$A5092+$C$2:$C5092)), "")*24*60, "")</f>
        <v/>
      </c>
      <c r="M5093" s="24" t="str" cm="1">
        <f t="array" ref="M5093">IFERROR(IF($B5093=M$1, ($A5093+$C5093) - MAX(IF($B$2:$B5092=$B5093, $A$2:$A5092+$C$2:$C5092)), "")*24*60, "")</f>
        <v/>
      </c>
      <c r="N5093" s="24" t="str" cm="1">
        <f t="array" ref="N5093">IFERROR(IF($B5093=N$1, ($A5093+$C5093) - MAX(IF($B$2:$B5092=$B5093, $A$2:$A5092+$C$2:$C5092)), "")*24*60, "")</f>
        <v/>
      </c>
      <c r="O5093" s="24" cm="1">
        <f t="array" ref="O5093">IFERROR(IF($B5093=O$1, ($A5093+$C5093) - MAX(IF($B$2:$B5092=$B5093, $A$2:$A5092+$C$2:$C5092)), "")*24*60, "")</f>
        <v>0</v>
      </c>
      <c r="P5093" s="24" t="str" cm="1">
        <f t="array" ref="P5093">IFERROR(IF($B5093=P$1, ($A5093+$C5093) - MAX(IF($B$2:$B5092=$B5093, $A$2:$A5092+$C$2:$C5092)), "")*24*60, "")</f>
        <v/>
      </c>
      <c r="Q5093" s="24" t="str" cm="1">
        <f t="array" ref="Q5093">IFERROR(IF($B5093=Q$1, ($A5093+$C5093) - MAX(IF($B$2:$B5092=$B5093, $A$2:$A5092+$C$2:$C5092)), "")*24*60, "")</f>
        <v/>
      </c>
    </row>
    <row r="5094" spans="1:17" x14ac:dyDescent="0.2">
      <c r="A5094" s="12">
        <f t="shared" ref="A5094:C5094" si="1137">A5093</f>
        <v>45982</v>
      </c>
      <c r="B5094" s="5" t="str">
        <f t="shared" si="1137"/>
        <v>Mourning Dove</v>
      </c>
      <c r="C5094" s="6">
        <f t="shared" si="1137"/>
        <v>0.38750000000000001</v>
      </c>
      <c r="D5094" s="5"/>
      <c r="E5094" s="5"/>
      <c r="F5094" s="5" t="s">
        <v>8</v>
      </c>
      <c r="G5094" s="15" t="s">
        <v>9</v>
      </c>
      <c r="H5094" s="24">
        <f t="shared" si="1128"/>
        <v>0</v>
      </c>
      <c r="I5094" s="24" t="str" cm="1">
        <f t="array" ref="I5094">IFERROR(IF($B5094=I$1, ($A5094+$C5094) - MAX(IF($B$2:$B5093=$B5094, $A$2:$A5093+$C$2:$C5093)), "")*24*60, "")</f>
        <v/>
      </c>
      <c r="J5094" s="24" t="str" cm="1">
        <f t="array" ref="J5094">IFERROR(IF($B5094=J$1, ($A5094+$C5094) - MAX(IF($B$2:$B5093=$B5094, $A$2:$A5093+$C$2:$C5093)), "")*24*60, "")</f>
        <v/>
      </c>
      <c r="K5094" s="24" t="str" cm="1">
        <f t="array" ref="K5094">IFERROR(IF($B5094=K$1, ($A5094+$C5094) - MAX(IF($B$2:$B5093=$B5094, $A$2:$A5093+$C$2:$C5093)), "")*24*60, "")</f>
        <v/>
      </c>
      <c r="L5094" s="24" t="str" cm="1">
        <f t="array" ref="L5094">IFERROR(IF($B5094=L$1, ($A5094+$C5094) - MAX(IF($B$2:$B5093=$B5094, $A$2:$A5093+$C$2:$C5093)), "")*24*60, "")</f>
        <v/>
      </c>
      <c r="M5094" s="24" t="str" cm="1">
        <f t="array" ref="M5094">IFERROR(IF($B5094=M$1, ($A5094+$C5094) - MAX(IF($B$2:$B5093=$B5094, $A$2:$A5093+$C$2:$C5093)), "")*24*60, "")</f>
        <v/>
      </c>
      <c r="N5094" s="24" t="str" cm="1">
        <f t="array" ref="N5094">IFERROR(IF($B5094=N$1, ($A5094+$C5094) - MAX(IF($B$2:$B5093=$B5094, $A$2:$A5093+$C$2:$C5093)), "")*24*60, "")</f>
        <v/>
      </c>
      <c r="O5094" s="24" cm="1">
        <f t="array" ref="O5094">IFERROR(IF($B5094=O$1, ($A5094+$C5094) - MAX(IF($B$2:$B5093=$B5094, $A$2:$A5093+$C$2:$C5093)), "")*24*60, "")</f>
        <v>0</v>
      </c>
      <c r="P5094" s="24" t="str" cm="1">
        <f t="array" ref="P5094">IFERROR(IF($B5094=P$1, ($A5094+$C5094) - MAX(IF($B$2:$B5093=$B5094, $A$2:$A5093+$C$2:$C5093)), "")*24*60, "")</f>
        <v/>
      </c>
      <c r="Q5094" s="24" t="str" cm="1">
        <f t="array" ref="Q5094">IFERROR(IF($B5094=Q$1, ($A5094+$C5094) - MAX(IF($B$2:$B5093=$B5094, $A$2:$A5093+$C$2:$C5093)), "")*24*60, "")</f>
        <v/>
      </c>
    </row>
    <row r="5095" spans="1:17" x14ac:dyDescent="0.2">
      <c r="A5095" s="12">
        <f t="shared" ref="A5095:C5095" si="1138">A5094</f>
        <v>45982</v>
      </c>
      <c r="B5095" s="5" t="str">
        <f t="shared" si="1138"/>
        <v>Mourning Dove</v>
      </c>
      <c r="C5095" s="6">
        <f t="shared" si="1138"/>
        <v>0.38750000000000001</v>
      </c>
      <c r="D5095" s="5"/>
      <c r="E5095" s="5"/>
      <c r="F5095" s="5" t="s">
        <v>8</v>
      </c>
      <c r="G5095" s="15" t="s">
        <v>9</v>
      </c>
      <c r="H5095" s="24">
        <f t="shared" si="1128"/>
        <v>0</v>
      </c>
      <c r="I5095" s="24" t="str" cm="1">
        <f t="array" ref="I5095">IFERROR(IF($B5095=I$1, ($A5095+$C5095) - MAX(IF($B$2:$B5094=$B5095, $A$2:$A5094+$C$2:$C5094)), "")*24*60, "")</f>
        <v/>
      </c>
      <c r="J5095" s="24" t="str" cm="1">
        <f t="array" ref="J5095">IFERROR(IF($B5095=J$1, ($A5095+$C5095) - MAX(IF($B$2:$B5094=$B5095, $A$2:$A5094+$C$2:$C5094)), "")*24*60, "")</f>
        <v/>
      </c>
      <c r="K5095" s="24" t="str" cm="1">
        <f t="array" ref="K5095">IFERROR(IF($B5095=K$1, ($A5095+$C5095) - MAX(IF($B$2:$B5094=$B5095, $A$2:$A5094+$C$2:$C5094)), "")*24*60, "")</f>
        <v/>
      </c>
      <c r="L5095" s="24" t="str" cm="1">
        <f t="array" ref="L5095">IFERROR(IF($B5095=L$1, ($A5095+$C5095) - MAX(IF($B$2:$B5094=$B5095, $A$2:$A5094+$C$2:$C5094)), "")*24*60, "")</f>
        <v/>
      </c>
      <c r="M5095" s="24" t="str" cm="1">
        <f t="array" ref="M5095">IFERROR(IF($B5095=M$1, ($A5095+$C5095) - MAX(IF($B$2:$B5094=$B5095, $A$2:$A5094+$C$2:$C5094)), "")*24*60, "")</f>
        <v/>
      </c>
      <c r="N5095" s="24" t="str" cm="1">
        <f t="array" ref="N5095">IFERROR(IF($B5095=N$1, ($A5095+$C5095) - MAX(IF($B$2:$B5094=$B5095, $A$2:$A5094+$C$2:$C5094)), "")*24*60, "")</f>
        <v/>
      </c>
      <c r="O5095" s="24" cm="1">
        <f t="array" ref="O5095">IFERROR(IF($B5095=O$1, ($A5095+$C5095) - MAX(IF($B$2:$B5094=$B5095, $A$2:$A5094+$C$2:$C5094)), "")*24*60, "")</f>
        <v>0</v>
      </c>
      <c r="P5095" s="24" t="str" cm="1">
        <f t="array" ref="P5095">IFERROR(IF($B5095=P$1, ($A5095+$C5095) - MAX(IF($B$2:$B5094=$B5095, $A$2:$A5094+$C$2:$C5094)), "")*24*60, "")</f>
        <v/>
      </c>
      <c r="Q5095" s="24" t="str" cm="1">
        <f t="array" ref="Q5095">IFERROR(IF($B5095=Q$1, ($A5095+$C5095) - MAX(IF($B$2:$B5094=$B5095, $A$2:$A5094+$C$2:$C5094)), "")*24*60, "")</f>
        <v/>
      </c>
    </row>
    <row r="5096" spans="1:17" x14ac:dyDescent="0.2">
      <c r="A5096" s="12">
        <f t="shared" ref="A5096:C5096" si="1139">A5095</f>
        <v>45982</v>
      </c>
      <c r="B5096" s="5" t="str">
        <f t="shared" si="1139"/>
        <v>Mourning Dove</v>
      </c>
      <c r="C5096" s="6">
        <f t="shared" si="1139"/>
        <v>0.38750000000000001</v>
      </c>
      <c r="D5096" s="5"/>
      <c r="E5096" s="5"/>
      <c r="F5096" s="5" t="s">
        <v>8</v>
      </c>
      <c r="G5096" s="15" t="s">
        <v>9</v>
      </c>
      <c r="H5096" s="24">
        <f t="shared" si="1128"/>
        <v>0</v>
      </c>
      <c r="I5096" s="24" t="str" cm="1">
        <f t="array" ref="I5096">IFERROR(IF($B5096=I$1, ($A5096+$C5096) - MAX(IF($B$2:$B5095=$B5096, $A$2:$A5095+$C$2:$C5095)), "")*24*60, "")</f>
        <v/>
      </c>
      <c r="J5096" s="24" t="str" cm="1">
        <f t="array" ref="J5096">IFERROR(IF($B5096=J$1, ($A5096+$C5096) - MAX(IF($B$2:$B5095=$B5096, $A$2:$A5095+$C$2:$C5095)), "")*24*60, "")</f>
        <v/>
      </c>
      <c r="K5096" s="24" t="str" cm="1">
        <f t="array" ref="K5096">IFERROR(IF($B5096=K$1, ($A5096+$C5096) - MAX(IF($B$2:$B5095=$B5096, $A$2:$A5095+$C$2:$C5095)), "")*24*60, "")</f>
        <v/>
      </c>
      <c r="L5096" s="24" t="str" cm="1">
        <f t="array" ref="L5096">IFERROR(IF($B5096=L$1, ($A5096+$C5096) - MAX(IF($B$2:$B5095=$B5096, $A$2:$A5095+$C$2:$C5095)), "")*24*60, "")</f>
        <v/>
      </c>
      <c r="M5096" s="24" t="str" cm="1">
        <f t="array" ref="M5096">IFERROR(IF($B5096=M$1, ($A5096+$C5096) - MAX(IF($B$2:$B5095=$B5096, $A$2:$A5095+$C$2:$C5095)), "")*24*60, "")</f>
        <v/>
      </c>
      <c r="N5096" s="24" t="str" cm="1">
        <f t="array" ref="N5096">IFERROR(IF($B5096=N$1, ($A5096+$C5096) - MAX(IF($B$2:$B5095=$B5096, $A$2:$A5095+$C$2:$C5095)), "")*24*60, "")</f>
        <v/>
      </c>
      <c r="O5096" s="24" cm="1">
        <f t="array" ref="O5096">IFERROR(IF($B5096=O$1, ($A5096+$C5096) - MAX(IF($B$2:$B5095=$B5096, $A$2:$A5095+$C$2:$C5095)), "")*24*60, "")</f>
        <v>0</v>
      </c>
      <c r="P5096" s="24" t="str" cm="1">
        <f t="array" ref="P5096">IFERROR(IF($B5096=P$1, ($A5096+$C5096) - MAX(IF($B$2:$B5095=$B5096, $A$2:$A5095+$C$2:$C5095)), "")*24*60, "")</f>
        <v/>
      </c>
      <c r="Q5096" s="24" t="str" cm="1">
        <f t="array" ref="Q5096">IFERROR(IF($B5096=Q$1, ($A5096+$C5096) - MAX(IF($B$2:$B5095=$B5096, $A$2:$A5095+$C$2:$C5095)), "")*24*60, "")</f>
        <v/>
      </c>
    </row>
    <row r="5097" spans="1:17" x14ac:dyDescent="0.2">
      <c r="A5097" s="12">
        <f t="shared" ref="A5097:C5097" si="1140">A5096</f>
        <v>45982</v>
      </c>
      <c r="B5097" s="5" t="str">
        <f t="shared" si="1140"/>
        <v>Mourning Dove</v>
      </c>
      <c r="C5097" s="6">
        <f t="shared" si="1140"/>
        <v>0.38750000000000001</v>
      </c>
      <c r="D5097" s="5"/>
      <c r="E5097" s="5"/>
      <c r="F5097" s="5" t="s">
        <v>8</v>
      </c>
      <c r="G5097" s="15" t="s">
        <v>9</v>
      </c>
      <c r="H5097" s="24">
        <f t="shared" si="1128"/>
        <v>0</v>
      </c>
      <c r="I5097" s="24" t="str" cm="1">
        <f t="array" ref="I5097">IFERROR(IF($B5097=I$1, ($A5097+$C5097) - MAX(IF($B$2:$B5096=$B5097, $A$2:$A5096+$C$2:$C5096)), "")*24*60, "")</f>
        <v/>
      </c>
      <c r="J5097" s="24" t="str" cm="1">
        <f t="array" ref="J5097">IFERROR(IF($B5097=J$1, ($A5097+$C5097) - MAX(IF($B$2:$B5096=$B5097, $A$2:$A5096+$C$2:$C5096)), "")*24*60, "")</f>
        <v/>
      </c>
      <c r="K5097" s="24" t="str" cm="1">
        <f t="array" ref="K5097">IFERROR(IF($B5097=K$1, ($A5097+$C5097) - MAX(IF($B$2:$B5096=$B5097, $A$2:$A5096+$C$2:$C5096)), "")*24*60, "")</f>
        <v/>
      </c>
      <c r="L5097" s="24" t="str" cm="1">
        <f t="array" ref="L5097">IFERROR(IF($B5097=L$1, ($A5097+$C5097) - MAX(IF($B$2:$B5096=$B5097, $A$2:$A5096+$C$2:$C5096)), "")*24*60, "")</f>
        <v/>
      </c>
      <c r="M5097" s="24" t="str" cm="1">
        <f t="array" ref="M5097">IFERROR(IF($B5097=M$1, ($A5097+$C5097) - MAX(IF($B$2:$B5096=$B5097, $A$2:$A5096+$C$2:$C5096)), "")*24*60, "")</f>
        <v/>
      </c>
      <c r="N5097" s="24" t="str" cm="1">
        <f t="array" ref="N5097">IFERROR(IF($B5097=N$1, ($A5097+$C5097) - MAX(IF($B$2:$B5096=$B5097, $A$2:$A5096+$C$2:$C5096)), "")*24*60, "")</f>
        <v/>
      </c>
      <c r="O5097" s="24" cm="1">
        <f t="array" ref="O5097">IFERROR(IF($B5097=O$1, ($A5097+$C5097) - MAX(IF($B$2:$B5096=$B5097, $A$2:$A5096+$C$2:$C5096)), "")*24*60, "")</f>
        <v>0</v>
      </c>
      <c r="P5097" s="24" t="str" cm="1">
        <f t="array" ref="P5097">IFERROR(IF($B5097=P$1, ($A5097+$C5097) - MAX(IF($B$2:$B5096=$B5097, $A$2:$A5096+$C$2:$C5096)), "")*24*60, "")</f>
        <v/>
      </c>
      <c r="Q5097" s="24" t="str" cm="1">
        <f t="array" ref="Q5097">IFERROR(IF($B5097=Q$1, ($A5097+$C5097) - MAX(IF($B$2:$B5096=$B5097, $A$2:$A5096+$C$2:$C5096)), "")*24*60, "")</f>
        <v/>
      </c>
    </row>
    <row r="5098" spans="1:17" x14ac:dyDescent="0.2">
      <c r="A5098" s="12">
        <f t="shared" ref="A5098:C5098" si="1141">A5097</f>
        <v>45982</v>
      </c>
      <c r="B5098" s="5" t="str">
        <f t="shared" si="1141"/>
        <v>Mourning Dove</v>
      </c>
      <c r="C5098" s="6">
        <f t="shared" si="1141"/>
        <v>0.38750000000000001</v>
      </c>
      <c r="D5098" s="5"/>
      <c r="E5098" s="5"/>
      <c r="F5098" s="5" t="s">
        <v>8</v>
      </c>
      <c r="G5098" s="15" t="s">
        <v>9</v>
      </c>
      <c r="H5098" s="24">
        <f t="shared" si="1128"/>
        <v>0</v>
      </c>
      <c r="I5098" s="24" t="str" cm="1">
        <f t="array" ref="I5098">IFERROR(IF($B5098=I$1, ($A5098+$C5098) - MAX(IF($B$2:$B5097=$B5098, $A$2:$A5097+$C$2:$C5097)), "")*24*60, "")</f>
        <v/>
      </c>
      <c r="J5098" s="24" t="str" cm="1">
        <f t="array" ref="J5098">IFERROR(IF($B5098=J$1, ($A5098+$C5098) - MAX(IF($B$2:$B5097=$B5098, $A$2:$A5097+$C$2:$C5097)), "")*24*60, "")</f>
        <v/>
      </c>
      <c r="K5098" s="24" t="str" cm="1">
        <f t="array" ref="K5098">IFERROR(IF($B5098=K$1, ($A5098+$C5098) - MAX(IF($B$2:$B5097=$B5098, $A$2:$A5097+$C$2:$C5097)), "")*24*60, "")</f>
        <v/>
      </c>
      <c r="L5098" s="24" t="str" cm="1">
        <f t="array" ref="L5098">IFERROR(IF($B5098=L$1, ($A5098+$C5098) - MAX(IF($B$2:$B5097=$B5098, $A$2:$A5097+$C$2:$C5097)), "")*24*60, "")</f>
        <v/>
      </c>
      <c r="M5098" s="24" t="str" cm="1">
        <f t="array" ref="M5098">IFERROR(IF($B5098=M$1, ($A5098+$C5098) - MAX(IF($B$2:$B5097=$B5098, $A$2:$A5097+$C$2:$C5097)), "")*24*60, "")</f>
        <v/>
      </c>
      <c r="N5098" s="24" t="str" cm="1">
        <f t="array" ref="N5098">IFERROR(IF($B5098=N$1, ($A5098+$C5098) - MAX(IF($B$2:$B5097=$B5098, $A$2:$A5097+$C$2:$C5097)), "")*24*60, "")</f>
        <v/>
      </c>
      <c r="O5098" s="24" cm="1">
        <f t="array" ref="O5098">IFERROR(IF($B5098=O$1, ($A5098+$C5098) - MAX(IF($B$2:$B5097=$B5098, $A$2:$A5097+$C$2:$C5097)), "")*24*60, "")</f>
        <v>0</v>
      </c>
      <c r="P5098" s="24" t="str" cm="1">
        <f t="array" ref="P5098">IFERROR(IF($B5098=P$1, ($A5098+$C5098) - MAX(IF($B$2:$B5097=$B5098, $A$2:$A5097+$C$2:$C5097)), "")*24*60, "")</f>
        <v/>
      </c>
      <c r="Q5098" s="24" t="str" cm="1">
        <f t="array" ref="Q5098">IFERROR(IF($B5098=Q$1, ($A5098+$C5098) - MAX(IF($B$2:$B5097=$B5098, $A$2:$A5097+$C$2:$C5097)), "")*24*60, "")</f>
        <v/>
      </c>
    </row>
    <row r="5099" spans="1:17" x14ac:dyDescent="0.2">
      <c r="A5099" s="12">
        <f t="shared" ref="A5099:C5099" si="1142">A5098</f>
        <v>45982</v>
      </c>
      <c r="B5099" s="5" t="str">
        <f t="shared" si="1142"/>
        <v>Mourning Dove</v>
      </c>
      <c r="C5099" s="6">
        <f t="shared" si="1142"/>
        <v>0.38750000000000001</v>
      </c>
      <c r="D5099" s="5"/>
      <c r="E5099" s="5"/>
      <c r="F5099" s="5" t="s">
        <v>8</v>
      </c>
      <c r="G5099" s="15" t="s">
        <v>9</v>
      </c>
      <c r="H5099" s="24">
        <f t="shared" si="1128"/>
        <v>0</v>
      </c>
      <c r="I5099" s="24" t="str" cm="1">
        <f t="array" ref="I5099">IFERROR(IF($B5099=I$1, ($A5099+$C5099) - MAX(IF($B$2:$B5098=$B5099, $A$2:$A5098+$C$2:$C5098)), "")*24*60, "")</f>
        <v/>
      </c>
      <c r="J5099" s="24" t="str" cm="1">
        <f t="array" ref="J5099">IFERROR(IF($B5099=J$1, ($A5099+$C5099) - MAX(IF($B$2:$B5098=$B5099, $A$2:$A5098+$C$2:$C5098)), "")*24*60, "")</f>
        <v/>
      </c>
      <c r="K5099" s="24" t="str" cm="1">
        <f t="array" ref="K5099">IFERROR(IF($B5099=K$1, ($A5099+$C5099) - MAX(IF($B$2:$B5098=$B5099, $A$2:$A5098+$C$2:$C5098)), "")*24*60, "")</f>
        <v/>
      </c>
      <c r="L5099" s="24" t="str" cm="1">
        <f t="array" ref="L5099">IFERROR(IF($B5099=L$1, ($A5099+$C5099) - MAX(IF($B$2:$B5098=$B5099, $A$2:$A5098+$C$2:$C5098)), "")*24*60, "")</f>
        <v/>
      </c>
      <c r="M5099" s="24" t="str" cm="1">
        <f t="array" ref="M5099">IFERROR(IF($B5099=M$1, ($A5099+$C5099) - MAX(IF($B$2:$B5098=$B5099, $A$2:$A5098+$C$2:$C5098)), "")*24*60, "")</f>
        <v/>
      </c>
      <c r="N5099" s="24" t="str" cm="1">
        <f t="array" ref="N5099">IFERROR(IF($B5099=N$1, ($A5099+$C5099) - MAX(IF($B$2:$B5098=$B5099, $A$2:$A5098+$C$2:$C5098)), "")*24*60, "")</f>
        <v/>
      </c>
      <c r="O5099" s="24" cm="1">
        <f t="array" ref="O5099">IFERROR(IF($B5099=O$1, ($A5099+$C5099) - MAX(IF($B$2:$B5098=$B5099, $A$2:$A5098+$C$2:$C5098)), "")*24*60, "")</f>
        <v>0</v>
      </c>
      <c r="P5099" s="24" t="str" cm="1">
        <f t="array" ref="P5099">IFERROR(IF($B5099=P$1, ($A5099+$C5099) - MAX(IF($B$2:$B5098=$B5099, $A$2:$A5098+$C$2:$C5098)), "")*24*60, "")</f>
        <v/>
      </c>
      <c r="Q5099" s="24" t="str" cm="1">
        <f t="array" ref="Q5099">IFERROR(IF($B5099=Q$1, ($A5099+$C5099) - MAX(IF($B$2:$B5098=$B5099, $A$2:$A5098+$C$2:$C5098)), "")*24*60, "")</f>
        <v/>
      </c>
    </row>
    <row r="5100" spans="1:17" x14ac:dyDescent="0.2">
      <c r="A5100" s="12">
        <f t="shared" ref="A5100:C5100" si="1143">A5099</f>
        <v>45982</v>
      </c>
      <c r="B5100" s="5" t="str">
        <f t="shared" si="1143"/>
        <v>Mourning Dove</v>
      </c>
      <c r="C5100" s="6">
        <f t="shared" si="1143"/>
        <v>0.38750000000000001</v>
      </c>
      <c r="D5100" s="5"/>
      <c r="E5100" s="5"/>
      <c r="F5100" s="5" t="s">
        <v>8</v>
      </c>
      <c r="G5100" s="15" t="s">
        <v>9</v>
      </c>
      <c r="H5100" s="24">
        <f t="shared" si="1128"/>
        <v>0</v>
      </c>
      <c r="I5100" s="24" t="str" cm="1">
        <f t="array" ref="I5100">IFERROR(IF($B5100=I$1, ($A5100+$C5100) - MAX(IF($B$2:$B5099=$B5100, $A$2:$A5099+$C$2:$C5099)), "")*24*60, "")</f>
        <v/>
      </c>
      <c r="J5100" s="24" t="str" cm="1">
        <f t="array" ref="J5100">IFERROR(IF($B5100=J$1, ($A5100+$C5100) - MAX(IF($B$2:$B5099=$B5100, $A$2:$A5099+$C$2:$C5099)), "")*24*60, "")</f>
        <v/>
      </c>
      <c r="K5100" s="24" t="str" cm="1">
        <f t="array" ref="K5100">IFERROR(IF($B5100=K$1, ($A5100+$C5100) - MAX(IF($B$2:$B5099=$B5100, $A$2:$A5099+$C$2:$C5099)), "")*24*60, "")</f>
        <v/>
      </c>
      <c r="L5100" s="24" t="str" cm="1">
        <f t="array" ref="L5100">IFERROR(IF($B5100=L$1, ($A5100+$C5100) - MAX(IF($B$2:$B5099=$B5100, $A$2:$A5099+$C$2:$C5099)), "")*24*60, "")</f>
        <v/>
      </c>
      <c r="M5100" s="24" t="str" cm="1">
        <f t="array" ref="M5100">IFERROR(IF($B5100=M$1, ($A5100+$C5100) - MAX(IF($B$2:$B5099=$B5100, $A$2:$A5099+$C$2:$C5099)), "")*24*60, "")</f>
        <v/>
      </c>
      <c r="N5100" s="24" t="str" cm="1">
        <f t="array" ref="N5100">IFERROR(IF($B5100=N$1, ($A5100+$C5100) - MAX(IF($B$2:$B5099=$B5100, $A$2:$A5099+$C$2:$C5099)), "")*24*60, "")</f>
        <v/>
      </c>
      <c r="O5100" s="24" cm="1">
        <f t="array" ref="O5100">IFERROR(IF($B5100=O$1, ($A5100+$C5100) - MAX(IF($B$2:$B5099=$B5100, $A$2:$A5099+$C$2:$C5099)), "")*24*60, "")</f>
        <v>0</v>
      </c>
      <c r="P5100" s="24" t="str" cm="1">
        <f t="array" ref="P5100">IFERROR(IF($B5100=P$1, ($A5100+$C5100) - MAX(IF($B$2:$B5099=$B5100, $A$2:$A5099+$C$2:$C5099)), "")*24*60, "")</f>
        <v/>
      </c>
      <c r="Q5100" s="24" t="str" cm="1">
        <f t="array" ref="Q5100">IFERROR(IF($B5100=Q$1, ($A5100+$C5100) - MAX(IF($B$2:$B5099=$B5100, $A$2:$A5099+$C$2:$C5099)), "")*24*60, "")</f>
        <v/>
      </c>
    </row>
    <row r="5101" spans="1:17" x14ac:dyDescent="0.2">
      <c r="A5101" s="12">
        <f t="shared" ref="A5101:C5101" si="1144">A5100</f>
        <v>45982</v>
      </c>
      <c r="B5101" s="5" t="str">
        <f t="shared" si="1144"/>
        <v>Mourning Dove</v>
      </c>
      <c r="C5101" s="6">
        <f t="shared" si="1144"/>
        <v>0.38750000000000001</v>
      </c>
      <c r="D5101" s="5"/>
      <c r="E5101" s="5"/>
      <c r="F5101" s="5" t="s">
        <v>8</v>
      </c>
      <c r="G5101" s="15" t="s">
        <v>9</v>
      </c>
      <c r="H5101" s="24">
        <f t="shared" si="1128"/>
        <v>0</v>
      </c>
      <c r="I5101" s="24" t="str" cm="1">
        <f t="array" ref="I5101">IFERROR(IF($B5101=I$1, ($A5101+$C5101) - MAX(IF($B$2:$B5100=$B5101, $A$2:$A5100+$C$2:$C5100)), "")*24*60, "")</f>
        <v/>
      </c>
      <c r="J5101" s="24" t="str" cm="1">
        <f t="array" ref="J5101">IFERROR(IF($B5101=J$1, ($A5101+$C5101) - MAX(IF($B$2:$B5100=$B5101, $A$2:$A5100+$C$2:$C5100)), "")*24*60, "")</f>
        <v/>
      </c>
      <c r="K5101" s="24" t="str" cm="1">
        <f t="array" ref="K5101">IFERROR(IF($B5101=K$1, ($A5101+$C5101) - MAX(IF($B$2:$B5100=$B5101, $A$2:$A5100+$C$2:$C5100)), "")*24*60, "")</f>
        <v/>
      </c>
      <c r="L5101" s="24" t="str" cm="1">
        <f t="array" ref="L5101">IFERROR(IF($B5101=L$1, ($A5101+$C5101) - MAX(IF($B$2:$B5100=$B5101, $A$2:$A5100+$C$2:$C5100)), "")*24*60, "")</f>
        <v/>
      </c>
      <c r="M5101" s="24" t="str" cm="1">
        <f t="array" ref="M5101">IFERROR(IF($B5101=M$1, ($A5101+$C5101) - MAX(IF($B$2:$B5100=$B5101, $A$2:$A5100+$C$2:$C5100)), "")*24*60, "")</f>
        <v/>
      </c>
      <c r="N5101" s="24" t="str" cm="1">
        <f t="array" ref="N5101">IFERROR(IF($B5101=N$1, ($A5101+$C5101) - MAX(IF($B$2:$B5100=$B5101, $A$2:$A5100+$C$2:$C5100)), "")*24*60, "")</f>
        <v/>
      </c>
      <c r="O5101" s="24" cm="1">
        <f t="array" ref="O5101">IFERROR(IF($B5101=O$1, ($A5101+$C5101) - MAX(IF($B$2:$B5100=$B5101, $A$2:$A5100+$C$2:$C5100)), "")*24*60, "")</f>
        <v>0</v>
      </c>
      <c r="P5101" s="24" t="str" cm="1">
        <f t="array" ref="P5101">IFERROR(IF($B5101=P$1, ($A5101+$C5101) - MAX(IF($B$2:$B5100=$B5101, $A$2:$A5100+$C$2:$C5100)), "")*24*60, "")</f>
        <v/>
      </c>
      <c r="Q5101" s="24" t="str" cm="1">
        <f t="array" ref="Q5101">IFERROR(IF($B5101=Q$1, ($A5101+$C5101) - MAX(IF($B$2:$B5100=$B5101, $A$2:$A5100+$C$2:$C5100)), "")*24*60, "")</f>
        <v/>
      </c>
    </row>
    <row r="5102" spans="1:17" x14ac:dyDescent="0.2">
      <c r="A5102" s="12">
        <f t="shared" ref="A5102:C5102" si="1145">A5101</f>
        <v>45982</v>
      </c>
      <c r="B5102" s="5" t="str">
        <f t="shared" si="1145"/>
        <v>Mourning Dove</v>
      </c>
      <c r="C5102" s="6">
        <f t="shared" si="1145"/>
        <v>0.38750000000000001</v>
      </c>
      <c r="D5102" s="5"/>
      <c r="E5102" s="5"/>
      <c r="F5102" s="5" t="s">
        <v>8</v>
      </c>
      <c r="G5102" s="15" t="s">
        <v>9</v>
      </c>
      <c r="H5102" s="24">
        <f t="shared" si="1128"/>
        <v>0</v>
      </c>
      <c r="I5102" s="24" t="str" cm="1">
        <f t="array" ref="I5102">IFERROR(IF($B5102=I$1, ($A5102+$C5102) - MAX(IF($B$2:$B5101=$B5102, $A$2:$A5101+$C$2:$C5101)), "")*24*60, "")</f>
        <v/>
      </c>
      <c r="J5102" s="24" t="str" cm="1">
        <f t="array" ref="J5102">IFERROR(IF($B5102=J$1, ($A5102+$C5102) - MAX(IF($B$2:$B5101=$B5102, $A$2:$A5101+$C$2:$C5101)), "")*24*60, "")</f>
        <v/>
      </c>
      <c r="K5102" s="24" t="str" cm="1">
        <f t="array" ref="K5102">IFERROR(IF($B5102=K$1, ($A5102+$C5102) - MAX(IF($B$2:$B5101=$B5102, $A$2:$A5101+$C$2:$C5101)), "")*24*60, "")</f>
        <v/>
      </c>
      <c r="L5102" s="24" t="str" cm="1">
        <f t="array" ref="L5102">IFERROR(IF($B5102=L$1, ($A5102+$C5102) - MAX(IF($B$2:$B5101=$B5102, $A$2:$A5101+$C$2:$C5101)), "")*24*60, "")</f>
        <v/>
      </c>
      <c r="M5102" s="24" t="str" cm="1">
        <f t="array" ref="M5102">IFERROR(IF($B5102=M$1, ($A5102+$C5102) - MAX(IF($B$2:$B5101=$B5102, $A$2:$A5101+$C$2:$C5101)), "")*24*60, "")</f>
        <v/>
      </c>
      <c r="N5102" s="24" t="str" cm="1">
        <f t="array" ref="N5102">IFERROR(IF($B5102=N$1, ($A5102+$C5102) - MAX(IF($B$2:$B5101=$B5102, $A$2:$A5101+$C$2:$C5101)), "")*24*60, "")</f>
        <v/>
      </c>
      <c r="O5102" s="24" cm="1">
        <f t="array" ref="O5102">IFERROR(IF($B5102=O$1, ($A5102+$C5102) - MAX(IF($B$2:$B5101=$B5102, $A$2:$A5101+$C$2:$C5101)), "")*24*60, "")</f>
        <v>0</v>
      </c>
      <c r="P5102" s="24" t="str" cm="1">
        <f t="array" ref="P5102">IFERROR(IF($B5102=P$1, ($A5102+$C5102) - MAX(IF($B$2:$B5101=$B5102, $A$2:$A5101+$C$2:$C5101)), "")*24*60, "")</f>
        <v/>
      </c>
      <c r="Q5102" s="24" t="str" cm="1">
        <f t="array" ref="Q5102">IFERROR(IF($B5102=Q$1, ($A5102+$C5102) - MAX(IF($B$2:$B5101=$B5102, $A$2:$A5101+$C$2:$C5101)), "")*24*60, "")</f>
        <v/>
      </c>
    </row>
    <row r="5103" spans="1:17" x14ac:dyDescent="0.2">
      <c r="A5103" s="12">
        <f t="shared" ref="A5103:C5103" si="1146">A5102</f>
        <v>45982</v>
      </c>
      <c r="B5103" s="5" t="str">
        <f t="shared" si="1146"/>
        <v>Mourning Dove</v>
      </c>
      <c r="C5103" s="6">
        <f t="shared" si="1146"/>
        <v>0.38750000000000001</v>
      </c>
      <c r="D5103" s="5"/>
      <c r="E5103" s="5"/>
      <c r="F5103" s="5" t="s">
        <v>8</v>
      </c>
      <c r="G5103" s="15" t="s">
        <v>9</v>
      </c>
      <c r="H5103" s="24">
        <f t="shared" si="1128"/>
        <v>0</v>
      </c>
      <c r="I5103" s="24" t="str" cm="1">
        <f t="array" ref="I5103">IFERROR(IF($B5103=I$1, ($A5103+$C5103) - MAX(IF($B$2:$B5102=$B5103, $A$2:$A5102+$C$2:$C5102)), "")*24*60, "")</f>
        <v/>
      </c>
      <c r="J5103" s="24" t="str" cm="1">
        <f t="array" ref="J5103">IFERROR(IF($B5103=J$1, ($A5103+$C5103) - MAX(IF($B$2:$B5102=$B5103, $A$2:$A5102+$C$2:$C5102)), "")*24*60, "")</f>
        <v/>
      </c>
      <c r="K5103" s="24" t="str" cm="1">
        <f t="array" ref="K5103">IFERROR(IF($B5103=K$1, ($A5103+$C5103) - MAX(IF($B$2:$B5102=$B5103, $A$2:$A5102+$C$2:$C5102)), "")*24*60, "")</f>
        <v/>
      </c>
      <c r="L5103" s="24" t="str" cm="1">
        <f t="array" ref="L5103">IFERROR(IF($B5103=L$1, ($A5103+$C5103) - MAX(IF($B$2:$B5102=$B5103, $A$2:$A5102+$C$2:$C5102)), "")*24*60, "")</f>
        <v/>
      </c>
      <c r="M5103" s="24" t="str" cm="1">
        <f t="array" ref="M5103">IFERROR(IF($B5103=M$1, ($A5103+$C5103) - MAX(IF($B$2:$B5102=$B5103, $A$2:$A5102+$C$2:$C5102)), "")*24*60, "")</f>
        <v/>
      </c>
      <c r="N5103" s="24" t="str" cm="1">
        <f t="array" ref="N5103">IFERROR(IF($B5103=N$1, ($A5103+$C5103) - MAX(IF($B$2:$B5102=$B5103, $A$2:$A5102+$C$2:$C5102)), "")*24*60, "")</f>
        <v/>
      </c>
      <c r="O5103" s="24" cm="1">
        <f t="array" ref="O5103">IFERROR(IF($B5103=O$1, ($A5103+$C5103) - MAX(IF($B$2:$B5102=$B5103, $A$2:$A5102+$C$2:$C5102)), "")*24*60, "")</f>
        <v>0</v>
      </c>
      <c r="P5103" s="24" t="str" cm="1">
        <f t="array" ref="P5103">IFERROR(IF($B5103=P$1, ($A5103+$C5103) - MAX(IF($B$2:$B5102=$B5103, $A$2:$A5102+$C$2:$C5102)), "")*24*60, "")</f>
        <v/>
      </c>
      <c r="Q5103" s="24" t="str" cm="1">
        <f t="array" ref="Q5103">IFERROR(IF($B5103=Q$1, ($A5103+$C5103) - MAX(IF($B$2:$B5102=$B5103, $A$2:$A5102+$C$2:$C5102)), "")*24*60, "")</f>
        <v/>
      </c>
    </row>
    <row r="5104" spans="1:17" x14ac:dyDescent="0.2">
      <c r="A5104" s="12">
        <f t="shared" ref="A5104:C5104" si="1147">A5103</f>
        <v>45982</v>
      </c>
      <c r="B5104" s="5" t="str">
        <f t="shared" si="1147"/>
        <v>Mourning Dove</v>
      </c>
      <c r="C5104" s="6">
        <f t="shared" si="1147"/>
        <v>0.38750000000000001</v>
      </c>
      <c r="D5104" s="5"/>
      <c r="E5104" s="5"/>
      <c r="F5104" s="5" t="s">
        <v>8</v>
      </c>
      <c r="G5104" s="15" t="s">
        <v>9</v>
      </c>
      <c r="H5104" s="24">
        <f t="shared" si="1128"/>
        <v>0</v>
      </c>
      <c r="I5104" s="24" t="str" cm="1">
        <f t="array" ref="I5104">IFERROR(IF($B5104=I$1, ($A5104+$C5104) - MAX(IF($B$2:$B5103=$B5104, $A$2:$A5103+$C$2:$C5103)), "")*24*60, "")</f>
        <v/>
      </c>
      <c r="J5104" s="24" t="str" cm="1">
        <f t="array" ref="J5104">IFERROR(IF($B5104=J$1, ($A5104+$C5104) - MAX(IF($B$2:$B5103=$B5104, $A$2:$A5103+$C$2:$C5103)), "")*24*60, "")</f>
        <v/>
      </c>
      <c r="K5104" s="24" t="str" cm="1">
        <f t="array" ref="K5104">IFERROR(IF($B5104=K$1, ($A5104+$C5104) - MAX(IF($B$2:$B5103=$B5104, $A$2:$A5103+$C$2:$C5103)), "")*24*60, "")</f>
        <v/>
      </c>
      <c r="L5104" s="24" t="str" cm="1">
        <f t="array" ref="L5104">IFERROR(IF($B5104=L$1, ($A5104+$C5104) - MAX(IF($B$2:$B5103=$B5104, $A$2:$A5103+$C$2:$C5103)), "")*24*60, "")</f>
        <v/>
      </c>
      <c r="M5104" s="24" t="str" cm="1">
        <f t="array" ref="M5104">IFERROR(IF($B5104=M$1, ($A5104+$C5104) - MAX(IF($B$2:$B5103=$B5104, $A$2:$A5103+$C$2:$C5103)), "")*24*60, "")</f>
        <v/>
      </c>
      <c r="N5104" s="24" t="str" cm="1">
        <f t="array" ref="N5104">IFERROR(IF($B5104=N$1, ($A5104+$C5104) - MAX(IF($B$2:$B5103=$B5104, $A$2:$A5103+$C$2:$C5103)), "")*24*60, "")</f>
        <v/>
      </c>
      <c r="O5104" s="24" cm="1">
        <f t="array" ref="O5104">IFERROR(IF($B5104=O$1, ($A5104+$C5104) - MAX(IF($B$2:$B5103=$B5104, $A$2:$A5103+$C$2:$C5103)), "")*24*60, "")</f>
        <v>0</v>
      </c>
      <c r="P5104" s="24" t="str" cm="1">
        <f t="array" ref="P5104">IFERROR(IF($B5104=P$1, ($A5104+$C5104) - MAX(IF($B$2:$B5103=$B5104, $A$2:$A5103+$C$2:$C5103)), "")*24*60, "")</f>
        <v/>
      </c>
      <c r="Q5104" s="24" t="str" cm="1">
        <f t="array" ref="Q5104">IFERROR(IF($B5104=Q$1, ($A5104+$C5104) - MAX(IF($B$2:$B5103=$B5104, $A$2:$A5103+$C$2:$C5103)), "")*24*60, "")</f>
        <v/>
      </c>
    </row>
    <row r="5105" spans="1:17" x14ac:dyDescent="0.2">
      <c r="A5105" s="12">
        <f t="shared" ref="A5105:C5105" si="1148">A5104</f>
        <v>45982</v>
      </c>
      <c r="B5105" s="5" t="str">
        <f t="shared" si="1148"/>
        <v>Mourning Dove</v>
      </c>
      <c r="C5105" s="6">
        <f t="shared" si="1148"/>
        <v>0.38750000000000001</v>
      </c>
      <c r="D5105" s="5"/>
      <c r="E5105" s="5"/>
      <c r="F5105" s="5" t="s">
        <v>8</v>
      </c>
      <c r="G5105" s="15" t="s">
        <v>9</v>
      </c>
      <c r="H5105" s="24">
        <f t="shared" si="1128"/>
        <v>0</v>
      </c>
      <c r="I5105" s="24" t="str" cm="1">
        <f t="array" ref="I5105">IFERROR(IF($B5105=I$1, ($A5105+$C5105) - MAX(IF($B$2:$B5104=$B5105, $A$2:$A5104+$C$2:$C5104)), "")*24*60, "")</f>
        <v/>
      </c>
      <c r="J5105" s="24" t="str" cm="1">
        <f t="array" ref="J5105">IFERROR(IF($B5105=J$1, ($A5105+$C5105) - MAX(IF($B$2:$B5104=$B5105, $A$2:$A5104+$C$2:$C5104)), "")*24*60, "")</f>
        <v/>
      </c>
      <c r="K5105" s="24" t="str" cm="1">
        <f t="array" ref="K5105">IFERROR(IF($B5105=K$1, ($A5105+$C5105) - MAX(IF($B$2:$B5104=$B5105, $A$2:$A5104+$C$2:$C5104)), "")*24*60, "")</f>
        <v/>
      </c>
      <c r="L5105" s="24" t="str" cm="1">
        <f t="array" ref="L5105">IFERROR(IF($B5105=L$1, ($A5105+$C5105) - MAX(IF($B$2:$B5104=$B5105, $A$2:$A5104+$C$2:$C5104)), "")*24*60, "")</f>
        <v/>
      </c>
      <c r="M5105" s="24" t="str" cm="1">
        <f t="array" ref="M5105">IFERROR(IF($B5105=M$1, ($A5105+$C5105) - MAX(IF($B$2:$B5104=$B5105, $A$2:$A5104+$C$2:$C5104)), "")*24*60, "")</f>
        <v/>
      </c>
      <c r="N5105" s="24" t="str" cm="1">
        <f t="array" ref="N5105">IFERROR(IF($B5105=N$1, ($A5105+$C5105) - MAX(IF($B$2:$B5104=$B5105, $A$2:$A5104+$C$2:$C5104)), "")*24*60, "")</f>
        <v/>
      </c>
      <c r="O5105" s="24" cm="1">
        <f t="array" ref="O5105">IFERROR(IF($B5105=O$1, ($A5105+$C5105) - MAX(IF($B$2:$B5104=$B5105, $A$2:$A5104+$C$2:$C5104)), "")*24*60, "")</f>
        <v>0</v>
      </c>
      <c r="P5105" s="24" t="str" cm="1">
        <f t="array" ref="P5105">IFERROR(IF($B5105=P$1, ($A5105+$C5105) - MAX(IF($B$2:$B5104=$B5105, $A$2:$A5104+$C$2:$C5104)), "")*24*60, "")</f>
        <v/>
      </c>
      <c r="Q5105" s="24" t="str" cm="1">
        <f t="array" ref="Q5105">IFERROR(IF($B5105=Q$1, ($A5105+$C5105) - MAX(IF($B$2:$B5104=$B5105, $A$2:$A5104+$C$2:$C5104)), "")*24*60, "")</f>
        <v/>
      </c>
    </row>
    <row r="5106" spans="1:17" x14ac:dyDescent="0.2">
      <c r="A5106" s="12">
        <f t="shared" ref="A5106:C5106" si="1149">A5105</f>
        <v>45982</v>
      </c>
      <c r="B5106" s="5" t="str">
        <f t="shared" si="1149"/>
        <v>Mourning Dove</v>
      </c>
      <c r="C5106" s="6">
        <f t="shared" si="1149"/>
        <v>0.38750000000000001</v>
      </c>
      <c r="D5106" s="5"/>
      <c r="E5106" s="5"/>
      <c r="F5106" s="5" t="s">
        <v>8</v>
      </c>
      <c r="G5106" s="15" t="s">
        <v>9</v>
      </c>
      <c r="H5106" s="24">
        <f t="shared" si="1128"/>
        <v>0</v>
      </c>
      <c r="I5106" s="24" t="str" cm="1">
        <f t="array" ref="I5106">IFERROR(IF($B5106=I$1, ($A5106+$C5106) - MAX(IF($B$2:$B5105=$B5106, $A$2:$A5105+$C$2:$C5105)), "")*24*60, "")</f>
        <v/>
      </c>
      <c r="J5106" s="24" t="str" cm="1">
        <f t="array" ref="J5106">IFERROR(IF($B5106=J$1, ($A5106+$C5106) - MAX(IF($B$2:$B5105=$B5106, $A$2:$A5105+$C$2:$C5105)), "")*24*60, "")</f>
        <v/>
      </c>
      <c r="K5106" s="24" t="str" cm="1">
        <f t="array" ref="K5106">IFERROR(IF($B5106=K$1, ($A5106+$C5106) - MAX(IF($B$2:$B5105=$B5106, $A$2:$A5105+$C$2:$C5105)), "")*24*60, "")</f>
        <v/>
      </c>
      <c r="L5106" s="24" t="str" cm="1">
        <f t="array" ref="L5106">IFERROR(IF($B5106=L$1, ($A5106+$C5106) - MAX(IF($B$2:$B5105=$B5106, $A$2:$A5105+$C$2:$C5105)), "")*24*60, "")</f>
        <v/>
      </c>
      <c r="M5106" s="24" t="str" cm="1">
        <f t="array" ref="M5106">IFERROR(IF($B5106=M$1, ($A5106+$C5106) - MAX(IF($B$2:$B5105=$B5106, $A$2:$A5105+$C$2:$C5105)), "")*24*60, "")</f>
        <v/>
      </c>
      <c r="N5106" s="24" t="str" cm="1">
        <f t="array" ref="N5106">IFERROR(IF($B5106=N$1, ($A5106+$C5106) - MAX(IF($B$2:$B5105=$B5106, $A$2:$A5105+$C$2:$C5105)), "")*24*60, "")</f>
        <v/>
      </c>
      <c r="O5106" s="24" cm="1">
        <f t="array" ref="O5106">IFERROR(IF($B5106=O$1, ($A5106+$C5106) - MAX(IF($B$2:$B5105=$B5106, $A$2:$A5105+$C$2:$C5105)), "")*24*60, "")</f>
        <v>0</v>
      </c>
      <c r="P5106" s="24" t="str" cm="1">
        <f t="array" ref="P5106">IFERROR(IF($B5106=P$1, ($A5106+$C5106) - MAX(IF($B$2:$B5105=$B5106, $A$2:$A5105+$C$2:$C5105)), "")*24*60, "")</f>
        <v/>
      </c>
      <c r="Q5106" s="24" t="str" cm="1">
        <f t="array" ref="Q5106">IFERROR(IF($B5106=Q$1, ($A5106+$C5106) - MAX(IF($B$2:$B5105=$B5106, $A$2:$A5105+$C$2:$C5105)), "")*24*60, "")</f>
        <v/>
      </c>
    </row>
    <row r="5107" spans="1:17" x14ac:dyDescent="0.2">
      <c r="A5107" s="12">
        <f t="shared" ref="A5107:C5107" si="1150">A5106</f>
        <v>45982</v>
      </c>
      <c r="B5107" s="5" t="str">
        <f t="shared" si="1150"/>
        <v>Mourning Dove</v>
      </c>
      <c r="C5107" s="6">
        <f t="shared" si="1150"/>
        <v>0.38750000000000001</v>
      </c>
      <c r="D5107" s="5"/>
      <c r="E5107" s="5"/>
      <c r="F5107" s="5" t="s">
        <v>8</v>
      </c>
      <c r="G5107" s="15" t="s">
        <v>9</v>
      </c>
      <c r="H5107" s="24">
        <f t="shared" si="1128"/>
        <v>0</v>
      </c>
      <c r="I5107" s="24" t="str" cm="1">
        <f t="array" ref="I5107">IFERROR(IF($B5107=I$1, ($A5107+$C5107) - MAX(IF($B$2:$B5106=$B5107, $A$2:$A5106+$C$2:$C5106)), "")*24*60, "")</f>
        <v/>
      </c>
      <c r="J5107" s="24" t="str" cm="1">
        <f t="array" ref="J5107">IFERROR(IF($B5107=J$1, ($A5107+$C5107) - MAX(IF($B$2:$B5106=$B5107, $A$2:$A5106+$C$2:$C5106)), "")*24*60, "")</f>
        <v/>
      </c>
      <c r="K5107" s="24" t="str" cm="1">
        <f t="array" ref="K5107">IFERROR(IF($B5107=K$1, ($A5107+$C5107) - MAX(IF($B$2:$B5106=$B5107, $A$2:$A5106+$C$2:$C5106)), "")*24*60, "")</f>
        <v/>
      </c>
      <c r="L5107" s="24" t="str" cm="1">
        <f t="array" ref="L5107">IFERROR(IF($B5107=L$1, ($A5107+$C5107) - MAX(IF($B$2:$B5106=$B5107, $A$2:$A5106+$C$2:$C5106)), "")*24*60, "")</f>
        <v/>
      </c>
      <c r="M5107" s="24" t="str" cm="1">
        <f t="array" ref="M5107">IFERROR(IF($B5107=M$1, ($A5107+$C5107) - MAX(IF($B$2:$B5106=$B5107, $A$2:$A5106+$C$2:$C5106)), "")*24*60, "")</f>
        <v/>
      </c>
      <c r="N5107" s="24" t="str" cm="1">
        <f t="array" ref="N5107">IFERROR(IF($B5107=N$1, ($A5107+$C5107) - MAX(IF($B$2:$B5106=$B5107, $A$2:$A5106+$C$2:$C5106)), "")*24*60, "")</f>
        <v/>
      </c>
      <c r="O5107" s="24" cm="1">
        <f t="array" ref="O5107">IFERROR(IF($B5107=O$1, ($A5107+$C5107) - MAX(IF($B$2:$B5106=$B5107, $A$2:$A5106+$C$2:$C5106)), "")*24*60, "")</f>
        <v>0</v>
      </c>
      <c r="P5107" s="24" t="str" cm="1">
        <f t="array" ref="P5107">IFERROR(IF($B5107=P$1, ($A5107+$C5107) - MAX(IF($B$2:$B5106=$B5107, $A$2:$A5106+$C$2:$C5106)), "")*24*60, "")</f>
        <v/>
      </c>
      <c r="Q5107" s="24" t="str" cm="1">
        <f t="array" ref="Q5107">IFERROR(IF($B5107=Q$1, ($A5107+$C5107) - MAX(IF($B$2:$B5106=$B5107, $A$2:$A5106+$C$2:$C5106)), "")*24*60, "")</f>
        <v/>
      </c>
    </row>
    <row r="5108" spans="1:17" x14ac:dyDescent="0.2">
      <c r="A5108" s="12">
        <f t="shared" ref="A5108:C5108" si="1151">A5107</f>
        <v>45982</v>
      </c>
      <c r="B5108" s="5" t="str">
        <f t="shared" si="1151"/>
        <v>Mourning Dove</v>
      </c>
      <c r="C5108" s="6">
        <f t="shared" si="1151"/>
        <v>0.38750000000000001</v>
      </c>
      <c r="D5108" s="5"/>
      <c r="E5108" s="5"/>
      <c r="F5108" s="5" t="s">
        <v>8</v>
      </c>
      <c r="G5108" s="15" t="s">
        <v>9</v>
      </c>
      <c r="H5108" s="24">
        <f t="shared" si="1128"/>
        <v>0</v>
      </c>
      <c r="I5108" s="24" t="str" cm="1">
        <f t="array" ref="I5108">IFERROR(IF($B5108=I$1, ($A5108+$C5108) - MAX(IF($B$2:$B5107=$B5108, $A$2:$A5107+$C$2:$C5107)), "")*24*60, "")</f>
        <v/>
      </c>
      <c r="J5108" s="24" t="str" cm="1">
        <f t="array" ref="J5108">IFERROR(IF($B5108=J$1, ($A5108+$C5108) - MAX(IF($B$2:$B5107=$B5108, $A$2:$A5107+$C$2:$C5107)), "")*24*60, "")</f>
        <v/>
      </c>
      <c r="K5108" s="24" t="str" cm="1">
        <f t="array" ref="K5108">IFERROR(IF($B5108=K$1, ($A5108+$C5108) - MAX(IF($B$2:$B5107=$B5108, $A$2:$A5107+$C$2:$C5107)), "")*24*60, "")</f>
        <v/>
      </c>
      <c r="L5108" s="24" t="str" cm="1">
        <f t="array" ref="L5108">IFERROR(IF($B5108=L$1, ($A5108+$C5108) - MAX(IF($B$2:$B5107=$B5108, $A$2:$A5107+$C$2:$C5107)), "")*24*60, "")</f>
        <v/>
      </c>
      <c r="M5108" s="24" t="str" cm="1">
        <f t="array" ref="M5108">IFERROR(IF($B5108=M$1, ($A5108+$C5108) - MAX(IF($B$2:$B5107=$B5108, $A$2:$A5107+$C$2:$C5107)), "")*24*60, "")</f>
        <v/>
      </c>
      <c r="N5108" s="24" t="str" cm="1">
        <f t="array" ref="N5108">IFERROR(IF($B5108=N$1, ($A5108+$C5108) - MAX(IF($B$2:$B5107=$B5108, $A$2:$A5107+$C$2:$C5107)), "")*24*60, "")</f>
        <v/>
      </c>
      <c r="O5108" s="24" cm="1">
        <f t="array" ref="O5108">IFERROR(IF($B5108=O$1, ($A5108+$C5108) - MAX(IF($B$2:$B5107=$B5108, $A$2:$A5107+$C$2:$C5107)), "")*24*60, "")</f>
        <v>0</v>
      </c>
      <c r="P5108" s="24" t="str" cm="1">
        <f t="array" ref="P5108">IFERROR(IF($B5108=P$1, ($A5108+$C5108) - MAX(IF($B$2:$B5107=$B5108, $A$2:$A5107+$C$2:$C5107)), "")*24*60, "")</f>
        <v/>
      </c>
      <c r="Q5108" s="24" t="str" cm="1">
        <f t="array" ref="Q5108">IFERROR(IF($B5108=Q$1, ($A5108+$C5108) - MAX(IF($B$2:$B5107=$B5108, $A$2:$A5107+$C$2:$C5107)), "")*24*60, "")</f>
        <v/>
      </c>
    </row>
    <row r="5109" spans="1:17" x14ac:dyDescent="0.2">
      <c r="A5109" s="12">
        <f t="shared" ref="A5109:C5109" si="1152">A5108</f>
        <v>45982</v>
      </c>
      <c r="B5109" s="5" t="str">
        <f t="shared" si="1152"/>
        <v>Mourning Dove</v>
      </c>
      <c r="C5109" s="6">
        <f t="shared" si="1152"/>
        <v>0.38750000000000001</v>
      </c>
      <c r="D5109" s="5"/>
      <c r="E5109" s="5"/>
      <c r="F5109" s="5" t="s">
        <v>8</v>
      </c>
      <c r="G5109" s="15" t="s">
        <v>9</v>
      </c>
      <c r="H5109" s="24">
        <f t="shared" si="1128"/>
        <v>0</v>
      </c>
      <c r="I5109" s="24" t="str" cm="1">
        <f t="array" ref="I5109">IFERROR(IF($B5109=I$1, ($A5109+$C5109) - MAX(IF($B$2:$B5108=$B5109, $A$2:$A5108+$C$2:$C5108)), "")*24*60, "")</f>
        <v/>
      </c>
      <c r="J5109" s="24" t="str" cm="1">
        <f t="array" ref="J5109">IFERROR(IF($B5109=J$1, ($A5109+$C5109) - MAX(IF($B$2:$B5108=$B5109, $A$2:$A5108+$C$2:$C5108)), "")*24*60, "")</f>
        <v/>
      </c>
      <c r="K5109" s="24" t="str" cm="1">
        <f t="array" ref="K5109">IFERROR(IF($B5109=K$1, ($A5109+$C5109) - MAX(IF($B$2:$B5108=$B5109, $A$2:$A5108+$C$2:$C5108)), "")*24*60, "")</f>
        <v/>
      </c>
      <c r="L5109" s="24" t="str" cm="1">
        <f t="array" ref="L5109">IFERROR(IF($B5109=L$1, ($A5109+$C5109) - MAX(IF($B$2:$B5108=$B5109, $A$2:$A5108+$C$2:$C5108)), "")*24*60, "")</f>
        <v/>
      </c>
      <c r="M5109" s="24" t="str" cm="1">
        <f t="array" ref="M5109">IFERROR(IF($B5109=M$1, ($A5109+$C5109) - MAX(IF($B$2:$B5108=$B5109, $A$2:$A5108+$C$2:$C5108)), "")*24*60, "")</f>
        <v/>
      </c>
      <c r="N5109" s="24" t="str" cm="1">
        <f t="array" ref="N5109">IFERROR(IF($B5109=N$1, ($A5109+$C5109) - MAX(IF($B$2:$B5108=$B5109, $A$2:$A5108+$C$2:$C5108)), "")*24*60, "")</f>
        <v/>
      </c>
      <c r="O5109" s="24" cm="1">
        <f t="array" ref="O5109">IFERROR(IF($B5109=O$1, ($A5109+$C5109) - MAX(IF($B$2:$B5108=$B5109, $A$2:$A5108+$C$2:$C5108)), "")*24*60, "")</f>
        <v>0</v>
      </c>
      <c r="P5109" s="24" t="str" cm="1">
        <f t="array" ref="P5109">IFERROR(IF($B5109=P$1, ($A5109+$C5109) - MAX(IF($B$2:$B5108=$B5109, $A$2:$A5108+$C$2:$C5108)), "")*24*60, "")</f>
        <v/>
      </c>
      <c r="Q5109" s="24" t="str" cm="1">
        <f t="array" ref="Q5109">IFERROR(IF($B5109=Q$1, ($A5109+$C5109) - MAX(IF($B$2:$B5108=$B5109, $A$2:$A5108+$C$2:$C5108)), "")*24*60, "")</f>
        <v/>
      </c>
    </row>
    <row r="5110" spans="1:17" x14ac:dyDescent="0.2">
      <c r="A5110" s="12">
        <f t="shared" ref="A5110:C5110" si="1153">A5109</f>
        <v>45982</v>
      </c>
      <c r="B5110" s="5" t="str">
        <f t="shared" si="1153"/>
        <v>Mourning Dove</v>
      </c>
      <c r="C5110" s="6">
        <f t="shared" si="1153"/>
        <v>0.38750000000000001</v>
      </c>
      <c r="D5110" s="5"/>
      <c r="E5110" s="5"/>
      <c r="F5110" s="5" t="s">
        <v>8</v>
      </c>
      <c r="G5110" s="15" t="s">
        <v>9</v>
      </c>
      <c r="H5110" s="24">
        <f t="shared" si="1128"/>
        <v>0</v>
      </c>
      <c r="I5110" s="24" t="str" cm="1">
        <f t="array" ref="I5110">IFERROR(IF($B5110=I$1, ($A5110+$C5110) - MAX(IF($B$2:$B5109=$B5110, $A$2:$A5109+$C$2:$C5109)), "")*24*60, "")</f>
        <v/>
      </c>
      <c r="J5110" s="24" t="str" cm="1">
        <f t="array" ref="J5110">IFERROR(IF($B5110=J$1, ($A5110+$C5110) - MAX(IF($B$2:$B5109=$B5110, $A$2:$A5109+$C$2:$C5109)), "")*24*60, "")</f>
        <v/>
      </c>
      <c r="K5110" s="24" t="str" cm="1">
        <f t="array" ref="K5110">IFERROR(IF($B5110=K$1, ($A5110+$C5110) - MAX(IF($B$2:$B5109=$B5110, $A$2:$A5109+$C$2:$C5109)), "")*24*60, "")</f>
        <v/>
      </c>
      <c r="L5110" s="24" t="str" cm="1">
        <f t="array" ref="L5110">IFERROR(IF($B5110=L$1, ($A5110+$C5110) - MAX(IF($B$2:$B5109=$B5110, $A$2:$A5109+$C$2:$C5109)), "")*24*60, "")</f>
        <v/>
      </c>
      <c r="M5110" s="24" t="str" cm="1">
        <f t="array" ref="M5110">IFERROR(IF($B5110=M$1, ($A5110+$C5110) - MAX(IF($B$2:$B5109=$B5110, $A$2:$A5109+$C$2:$C5109)), "")*24*60, "")</f>
        <v/>
      </c>
      <c r="N5110" s="24" t="str" cm="1">
        <f t="array" ref="N5110">IFERROR(IF($B5110=N$1, ($A5110+$C5110) - MAX(IF($B$2:$B5109=$B5110, $A$2:$A5109+$C$2:$C5109)), "")*24*60, "")</f>
        <v/>
      </c>
      <c r="O5110" s="24" cm="1">
        <f t="array" ref="O5110">IFERROR(IF($B5110=O$1, ($A5110+$C5110) - MAX(IF($B$2:$B5109=$B5110, $A$2:$A5109+$C$2:$C5109)), "")*24*60, "")</f>
        <v>0</v>
      </c>
      <c r="P5110" s="24" t="str" cm="1">
        <f t="array" ref="P5110">IFERROR(IF($B5110=P$1, ($A5110+$C5110) - MAX(IF($B$2:$B5109=$B5110, $A$2:$A5109+$C$2:$C5109)), "")*24*60, "")</f>
        <v/>
      </c>
      <c r="Q5110" s="24" t="str" cm="1">
        <f t="array" ref="Q5110">IFERROR(IF($B5110=Q$1, ($A5110+$C5110) - MAX(IF($B$2:$B5109=$B5110, $A$2:$A5109+$C$2:$C5109)), "")*24*60, "")</f>
        <v/>
      </c>
    </row>
    <row r="5111" spans="1:17" x14ac:dyDescent="0.2">
      <c r="A5111" s="12">
        <f t="shared" ref="A5111:C5111" si="1154">A5110</f>
        <v>45982</v>
      </c>
      <c r="B5111" s="5" t="str">
        <f t="shared" si="1154"/>
        <v>Mourning Dove</v>
      </c>
      <c r="C5111" s="6">
        <f t="shared" si="1154"/>
        <v>0.38750000000000001</v>
      </c>
      <c r="D5111" s="5"/>
      <c r="E5111" s="5"/>
      <c r="F5111" s="5" t="s">
        <v>8</v>
      </c>
      <c r="G5111" s="15" t="s">
        <v>9</v>
      </c>
      <c r="H5111" s="24">
        <f t="shared" si="1128"/>
        <v>0</v>
      </c>
      <c r="I5111" s="24" t="str" cm="1">
        <f t="array" ref="I5111">IFERROR(IF($B5111=I$1, ($A5111+$C5111) - MAX(IF($B$2:$B5110=$B5111, $A$2:$A5110+$C$2:$C5110)), "")*24*60, "")</f>
        <v/>
      </c>
      <c r="J5111" s="24" t="str" cm="1">
        <f t="array" ref="J5111">IFERROR(IF($B5111=J$1, ($A5111+$C5111) - MAX(IF($B$2:$B5110=$B5111, $A$2:$A5110+$C$2:$C5110)), "")*24*60, "")</f>
        <v/>
      </c>
      <c r="K5111" s="24" t="str" cm="1">
        <f t="array" ref="K5111">IFERROR(IF($B5111=K$1, ($A5111+$C5111) - MAX(IF($B$2:$B5110=$B5111, $A$2:$A5110+$C$2:$C5110)), "")*24*60, "")</f>
        <v/>
      </c>
      <c r="L5111" s="24" t="str" cm="1">
        <f t="array" ref="L5111">IFERROR(IF($B5111=L$1, ($A5111+$C5111) - MAX(IF($B$2:$B5110=$B5111, $A$2:$A5110+$C$2:$C5110)), "")*24*60, "")</f>
        <v/>
      </c>
      <c r="M5111" s="24" t="str" cm="1">
        <f t="array" ref="M5111">IFERROR(IF($B5111=M$1, ($A5111+$C5111) - MAX(IF($B$2:$B5110=$B5111, $A$2:$A5110+$C$2:$C5110)), "")*24*60, "")</f>
        <v/>
      </c>
      <c r="N5111" s="24" t="str" cm="1">
        <f t="array" ref="N5111">IFERROR(IF($B5111=N$1, ($A5111+$C5111) - MAX(IF($B$2:$B5110=$B5111, $A$2:$A5110+$C$2:$C5110)), "")*24*60, "")</f>
        <v/>
      </c>
      <c r="O5111" s="24" cm="1">
        <f t="array" ref="O5111">IFERROR(IF($B5111=O$1, ($A5111+$C5111) - MAX(IF($B$2:$B5110=$B5111, $A$2:$A5110+$C$2:$C5110)), "")*24*60, "")</f>
        <v>0</v>
      </c>
      <c r="P5111" s="24" t="str" cm="1">
        <f t="array" ref="P5111">IFERROR(IF($B5111=P$1, ($A5111+$C5111) - MAX(IF($B$2:$B5110=$B5111, $A$2:$A5110+$C$2:$C5110)), "")*24*60, "")</f>
        <v/>
      </c>
      <c r="Q5111" s="24" t="str" cm="1">
        <f t="array" ref="Q5111">IFERROR(IF($B5111=Q$1, ($A5111+$C5111) - MAX(IF($B$2:$B5110=$B5111, $A$2:$A5110+$C$2:$C5110)), "")*24*60, "")</f>
        <v/>
      </c>
    </row>
    <row r="5112" spans="1:17" x14ac:dyDescent="0.2">
      <c r="A5112" s="12">
        <f t="shared" ref="A5112:C5112" si="1155">A5111</f>
        <v>45982</v>
      </c>
      <c r="B5112" s="5" t="str">
        <f t="shared" si="1155"/>
        <v>Mourning Dove</v>
      </c>
      <c r="C5112" s="6">
        <f t="shared" si="1155"/>
        <v>0.38750000000000001</v>
      </c>
      <c r="D5112" s="5"/>
      <c r="E5112" s="5"/>
      <c r="F5112" s="5" t="s">
        <v>8</v>
      </c>
      <c r="G5112" s="15" t="s">
        <v>9</v>
      </c>
      <c r="H5112" s="24">
        <f t="shared" si="1128"/>
        <v>0</v>
      </c>
      <c r="I5112" s="24" t="str" cm="1">
        <f t="array" ref="I5112">IFERROR(IF($B5112=I$1, ($A5112+$C5112) - MAX(IF($B$2:$B5111=$B5112, $A$2:$A5111+$C$2:$C5111)), "")*24*60, "")</f>
        <v/>
      </c>
      <c r="J5112" s="24" t="str" cm="1">
        <f t="array" ref="J5112">IFERROR(IF($B5112=J$1, ($A5112+$C5112) - MAX(IF($B$2:$B5111=$B5112, $A$2:$A5111+$C$2:$C5111)), "")*24*60, "")</f>
        <v/>
      </c>
      <c r="K5112" s="24" t="str" cm="1">
        <f t="array" ref="K5112">IFERROR(IF($B5112=K$1, ($A5112+$C5112) - MAX(IF($B$2:$B5111=$B5112, $A$2:$A5111+$C$2:$C5111)), "")*24*60, "")</f>
        <v/>
      </c>
      <c r="L5112" s="24" t="str" cm="1">
        <f t="array" ref="L5112">IFERROR(IF($B5112=L$1, ($A5112+$C5112) - MAX(IF($B$2:$B5111=$B5112, $A$2:$A5111+$C$2:$C5111)), "")*24*60, "")</f>
        <v/>
      </c>
      <c r="M5112" s="24" t="str" cm="1">
        <f t="array" ref="M5112">IFERROR(IF($B5112=M$1, ($A5112+$C5112) - MAX(IF($B$2:$B5111=$B5112, $A$2:$A5111+$C$2:$C5111)), "")*24*60, "")</f>
        <v/>
      </c>
      <c r="N5112" s="24" t="str" cm="1">
        <f t="array" ref="N5112">IFERROR(IF($B5112=N$1, ($A5112+$C5112) - MAX(IF($B$2:$B5111=$B5112, $A$2:$A5111+$C$2:$C5111)), "")*24*60, "")</f>
        <v/>
      </c>
      <c r="O5112" s="24" cm="1">
        <f t="array" ref="O5112">IFERROR(IF($B5112=O$1, ($A5112+$C5112) - MAX(IF($B$2:$B5111=$B5112, $A$2:$A5111+$C$2:$C5111)), "")*24*60, "")</f>
        <v>0</v>
      </c>
      <c r="P5112" s="24" t="str" cm="1">
        <f t="array" ref="P5112">IFERROR(IF($B5112=P$1, ($A5112+$C5112) - MAX(IF($B$2:$B5111=$B5112, $A$2:$A5111+$C$2:$C5111)), "")*24*60, "")</f>
        <v/>
      </c>
      <c r="Q5112" s="24" t="str" cm="1">
        <f t="array" ref="Q5112">IFERROR(IF($B5112=Q$1, ($A5112+$C5112) - MAX(IF($B$2:$B5111=$B5112, $A$2:$A5111+$C$2:$C5111)), "")*24*60, "")</f>
        <v/>
      </c>
    </row>
    <row r="5113" spans="1:17" x14ac:dyDescent="0.2">
      <c r="A5113" s="12">
        <f t="shared" ref="A5113:C5113" si="1156">A5112</f>
        <v>45982</v>
      </c>
      <c r="B5113" s="5" t="str">
        <f t="shared" si="1156"/>
        <v>Mourning Dove</v>
      </c>
      <c r="C5113" s="6">
        <f t="shared" si="1156"/>
        <v>0.38750000000000001</v>
      </c>
      <c r="D5113" s="5"/>
      <c r="E5113" s="5"/>
      <c r="F5113" s="5" t="s">
        <v>8</v>
      </c>
      <c r="G5113" s="15" t="s">
        <v>9</v>
      </c>
      <c r="H5113" s="24">
        <f t="shared" si="1128"/>
        <v>0</v>
      </c>
      <c r="I5113" s="24" t="str" cm="1">
        <f t="array" ref="I5113">IFERROR(IF($B5113=I$1, ($A5113+$C5113) - MAX(IF($B$2:$B5112=$B5113, $A$2:$A5112+$C$2:$C5112)), "")*24*60, "")</f>
        <v/>
      </c>
      <c r="J5113" s="24" t="str" cm="1">
        <f t="array" ref="J5113">IFERROR(IF($B5113=J$1, ($A5113+$C5113) - MAX(IF($B$2:$B5112=$B5113, $A$2:$A5112+$C$2:$C5112)), "")*24*60, "")</f>
        <v/>
      </c>
      <c r="K5113" s="24" t="str" cm="1">
        <f t="array" ref="K5113">IFERROR(IF($B5113=K$1, ($A5113+$C5113) - MAX(IF($B$2:$B5112=$B5113, $A$2:$A5112+$C$2:$C5112)), "")*24*60, "")</f>
        <v/>
      </c>
      <c r="L5113" s="24" t="str" cm="1">
        <f t="array" ref="L5113">IFERROR(IF($B5113=L$1, ($A5113+$C5113) - MAX(IF($B$2:$B5112=$B5113, $A$2:$A5112+$C$2:$C5112)), "")*24*60, "")</f>
        <v/>
      </c>
      <c r="M5113" s="24" t="str" cm="1">
        <f t="array" ref="M5113">IFERROR(IF($B5113=M$1, ($A5113+$C5113) - MAX(IF($B$2:$B5112=$B5113, $A$2:$A5112+$C$2:$C5112)), "")*24*60, "")</f>
        <v/>
      </c>
      <c r="N5113" s="24" t="str" cm="1">
        <f t="array" ref="N5113">IFERROR(IF($B5113=N$1, ($A5113+$C5113) - MAX(IF($B$2:$B5112=$B5113, $A$2:$A5112+$C$2:$C5112)), "")*24*60, "")</f>
        <v/>
      </c>
      <c r="O5113" s="24" cm="1">
        <f t="array" ref="O5113">IFERROR(IF($B5113=O$1, ($A5113+$C5113) - MAX(IF($B$2:$B5112=$B5113, $A$2:$A5112+$C$2:$C5112)), "")*24*60, "")</f>
        <v>0</v>
      </c>
      <c r="P5113" s="24" t="str" cm="1">
        <f t="array" ref="P5113">IFERROR(IF($B5113=P$1, ($A5113+$C5113) - MAX(IF($B$2:$B5112=$B5113, $A$2:$A5112+$C$2:$C5112)), "")*24*60, "")</f>
        <v/>
      </c>
      <c r="Q5113" s="24" t="str" cm="1">
        <f t="array" ref="Q5113">IFERROR(IF($B5113=Q$1, ($A5113+$C5113) - MAX(IF($B$2:$B5112=$B5113, $A$2:$A5112+$C$2:$C5112)), "")*24*60, "")</f>
        <v/>
      </c>
    </row>
    <row r="5114" spans="1:17" x14ac:dyDescent="0.2">
      <c r="A5114" s="12">
        <f t="shared" ref="A5114:C5114" si="1157">A5113</f>
        <v>45982</v>
      </c>
      <c r="B5114" s="5" t="str">
        <f t="shared" si="1157"/>
        <v>Mourning Dove</v>
      </c>
      <c r="C5114" s="6">
        <f t="shared" si="1157"/>
        <v>0.38750000000000001</v>
      </c>
      <c r="D5114" s="5"/>
      <c r="E5114" s="5"/>
      <c r="F5114" s="5" t="s">
        <v>8</v>
      </c>
      <c r="G5114" s="15" t="s">
        <v>9</v>
      </c>
      <c r="H5114" s="24">
        <f t="shared" si="1128"/>
        <v>0</v>
      </c>
      <c r="I5114" s="24" t="str" cm="1">
        <f t="array" ref="I5114">IFERROR(IF($B5114=I$1, ($A5114+$C5114) - MAX(IF($B$2:$B5113=$B5114, $A$2:$A5113+$C$2:$C5113)), "")*24*60, "")</f>
        <v/>
      </c>
      <c r="J5114" s="24" t="str" cm="1">
        <f t="array" ref="J5114">IFERROR(IF($B5114=J$1, ($A5114+$C5114) - MAX(IF($B$2:$B5113=$B5114, $A$2:$A5113+$C$2:$C5113)), "")*24*60, "")</f>
        <v/>
      </c>
      <c r="K5114" s="24" t="str" cm="1">
        <f t="array" ref="K5114">IFERROR(IF($B5114=K$1, ($A5114+$C5114) - MAX(IF($B$2:$B5113=$B5114, $A$2:$A5113+$C$2:$C5113)), "")*24*60, "")</f>
        <v/>
      </c>
      <c r="L5114" s="24" t="str" cm="1">
        <f t="array" ref="L5114">IFERROR(IF($B5114=L$1, ($A5114+$C5114) - MAX(IF($B$2:$B5113=$B5114, $A$2:$A5113+$C$2:$C5113)), "")*24*60, "")</f>
        <v/>
      </c>
      <c r="M5114" s="24" t="str" cm="1">
        <f t="array" ref="M5114">IFERROR(IF($B5114=M$1, ($A5114+$C5114) - MAX(IF($B$2:$B5113=$B5114, $A$2:$A5113+$C$2:$C5113)), "")*24*60, "")</f>
        <v/>
      </c>
      <c r="N5114" s="24" t="str" cm="1">
        <f t="array" ref="N5114">IFERROR(IF($B5114=N$1, ($A5114+$C5114) - MAX(IF($B$2:$B5113=$B5114, $A$2:$A5113+$C$2:$C5113)), "")*24*60, "")</f>
        <v/>
      </c>
      <c r="O5114" s="24" cm="1">
        <f t="array" ref="O5114">IFERROR(IF($B5114=O$1, ($A5114+$C5114) - MAX(IF($B$2:$B5113=$B5114, $A$2:$A5113+$C$2:$C5113)), "")*24*60, "")</f>
        <v>0</v>
      </c>
      <c r="P5114" s="24" t="str" cm="1">
        <f t="array" ref="P5114">IFERROR(IF($B5114=P$1, ($A5114+$C5114) - MAX(IF($B$2:$B5113=$B5114, $A$2:$A5113+$C$2:$C5113)), "")*24*60, "")</f>
        <v/>
      </c>
      <c r="Q5114" s="24" t="str" cm="1">
        <f t="array" ref="Q5114">IFERROR(IF($B5114=Q$1, ($A5114+$C5114) - MAX(IF($B$2:$B5113=$B5114, $A$2:$A5113+$C$2:$C5113)), "")*24*60, "")</f>
        <v/>
      </c>
    </row>
    <row r="5115" spans="1:17" x14ac:dyDescent="0.2">
      <c r="A5115" s="12">
        <f t="shared" ref="A5115:C5115" si="1158">A5114</f>
        <v>45982</v>
      </c>
      <c r="B5115" s="5" t="str">
        <f t="shared" si="1158"/>
        <v>Mourning Dove</v>
      </c>
      <c r="C5115" s="6">
        <f t="shared" si="1158"/>
        <v>0.38750000000000001</v>
      </c>
      <c r="D5115" s="5"/>
      <c r="E5115" s="5"/>
      <c r="F5115" s="5" t="s">
        <v>8</v>
      </c>
      <c r="G5115" s="15" t="s">
        <v>9</v>
      </c>
      <c r="H5115" s="24">
        <f t="shared" si="1128"/>
        <v>0</v>
      </c>
      <c r="I5115" s="24" t="str" cm="1">
        <f t="array" ref="I5115">IFERROR(IF($B5115=I$1, ($A5115+$C5115) - MAX(IF($B$2:$B5114=$B5115, $A$2:$A5114+$C$2:$C5114)), "")*24*60, "")</f>
        <v/>
      </c>
      <c r="J5115" s="24" t="str" cm="1">
        <f t="array" ref="J5115">IFERROR(IF($B5115=J$1, ($A5115+$C5115) - MAX(IF($B$2:$B5114=$B5115, $A$2:$A5114+$C$2:$C5114)), "")*24*60, "")</f>
        <v/>
      </c>
      <c r="K5115" s="24" t="str" cm="1">
        <f t="array" ref="K5115">IFERROR(IF($B5115=K$1, ($A5115+$C5115) - MAX(IF($B$2:$B5114=$B5115, $A$2:$A5114+$C$2:$C5114)), "")*24*60, "")</f>
        <v/>
      </c>
      <c r="L5115" s="24" t="str" cm="1">
        <f t="array" ref="L5115">IFERROR(IF($B5115=L$1, ($A5115+$C5115) - MAX(IF($B$2:$B5114=$B5115, $A$2:$A5114+$C$2:$C5114)), "")*24*60, "")</f>
        <v/>
      </c>
      <c r="M5115" s="24" t="str" cm="1">
        <f t="array" ref="M5115">IFERROR(IF($B5115=M$1, ($A5115+$C5115) - MAX(IF($B$2:$B5114=$B5115, $A$2:$A5114+$C$2:$C5114)), "")*24*60, "")</f>
        <v/>
      </c>
      <c r="N5115" s="24" t="str" cm="1">
        <f t="array" ref="N5115">IFERROR(IF($B5115=N$1, ($A5115+$C5115) - MAX(IF($B$2:$B5114=$B5115, $A$2:$A5114+$C$2:$C5114)), "")*24*60, "")</f>
        <v/>
      </c>
      <c r="O5115" s="24" cm="1">
        <f t="array" ref="O5115">IFERROR(IF($B5115=O$1, ($A5115+$C5115) - MAX(IF($B$2:$B5114=$B5115, $A$2:$A5114+$C$2:$C5114)), "")*24*60, "")</f>
        <v>0</v>
      </c>
      <c r="P5115" s="24" t="str" cm="1">
        <f t="array" ref="P5115">IFERROR(IF($B5115=P$1, ($A5115+$C5115) - MAX(IF($B$2:$B5114=$B5115, $A$2:$A5114+$C$2:$C5114)), "")*24*60, "")</f>
        <v/>
      </c>
      <c r="Q5115" s="24" t="str" cm="1">
        <f t="array" ref="Q5115">IFERROR(IF($B5115=Q$1, ($A5115+$C5115) - MAX(IF($B$2:$B5114=$B5115, $A$2:$A5114+$C$2:$C5114)), "")*24*60, "")</f>
        <v/>
      </c>
    </row>
    <row r="5116" spans="1:17" x14ac:dyDescent="0.2">
      <c r="A5116" s="12">
        <f t="shared" ref="A5116:C5116" si="1159">A5115</f>
        <v>45982</v>
      </c>
      <c r="B5116" s="5" t="str">
        <f t="shared" si="1159"/>
        <v>Mourning Dove</v>
      </c>
      <c r="C5116" s="6">
        <f t="shared" si="1159"/>
        <v>0.38750000000000001</v>
      </c>
      <c r="D5116" s="5"/>
      <c r="E5116" s="5"/>
      <c r="F5116" s="5" t="s">
        <v>8</v>
      </c>
      <c r="G5116" s="15" t="s">
        <v>9</v>
      </c>
      <c r="H5116" s="24">
        <f t="shared" si="1128"/>
        <v>0</v>
      </c>
      <c r="I5116" s="24" t="str" cm="1">
        <f t="array" ref="I5116">IFERROR(IF($B5116=I$1, ($A5116+$C5116) - MAX(IF($B$2:$B5115=$B5116, $A$2:$A5115+$C$2:$C5115)), "")*24*60, "")</f>
        <v/>
      </c>
      <c r="J5116" s="24" t="str" cm="1">
        <f t="array" ref="J5116">IFERROR(IF($B5116=J$1, ($A5116+$C5116) - MAX(IF($B$2:$B5115=$B5116, $A$2:$A5115+$C$2:$C5115)), "")*24*60, "")</f>
        <v/>
      </c>
      <c r="K5116" s="24" t="str" cm="1">
        <f t="array" ref="K5116">IFERROR(IF($B5116=K$1, ($A5116+$C5116) - MAX(IF($B$2:$B5115=$B5116, $A$2:$A5115+$C$2:$C5115)), "")*24*60, "")</f>
        <v/>
      </c>
      <c r="L5116" s="24" t="str" cm="1">
        <f t="array" ref="L5116">IFERROR(IF($B5116=L$1, ($A5116+$C5116) - MAX(IF($B$2:$B5115=$B5116, $A$2:$A5115+$C$2:$C5115)), "")*24*60, "")</f>
        <v/>
      </c>
      <c r="M5116" s="24" t="str" cm="1">
        <f t="array" ref="M5116">IFERROR(IF($B5116=M$1, ($A5116+$C5116) - MAX(IF($B$2:$B5115=$B5116, $A$2:$A5115+$C$2:$C5115)), "")*24*60, "")</f>
        <v/>
      </c>
      <c r="N5116" s="24" t="str" cm="1">
        <f t="array" ref="N5116">IFERROR(IF($B5116=N$1, ($A5116+$C5116) - MAX(IF($B$2:$B5115=$B5116, $A$2:$A5115+$C$2:$C5115)), "")*24*60, "")</f>
        <v/>
      </c>
      <c r="O5116" s="24" cm="1">
        <f t="array" ref="O5116">IFERROR(IF($B5116=O$1, ($A5116+$C5116) - MAX(IF($B$2:$B5115=$B5116, $A$2:$A5115+$C$2:$C5115)), "")*24*60, "")</f>
        <v>0</v>
      </c>
      <c r="P5116" s="24" t="str" cm="1">
        <f t="array" ref="P5116">IFERROR(IF($B5116=P$1, ($A5116+$C5116) - MAX(IF($B$2:$B5115=$B5116, $A$2:$A5115+$C$2:$C5115)), "")*24*60, "")</f>
        <v/>
      </c>
      <c r="Q5116" s="24" t="str" cm="1">
        <f t="array" ref="Q5116">IFERROR(IF($B5116=Q$1, ($A5116+$C5116) - MAX(IF($B$2:$B5115=$B5116, $A$2:$A5115+$C$2:$C5115)), "")*24*60, "")</f>
        <v/>
      </c>
    </row>
    <row r="5117" spans="1:17" x14ac:dyDescent="0.2">
      <c r="A5117" s="12">
        <f t="shared" ref="A5117:C5117" si="1160">A5116</f>
        <v>45982</v>
      </c>
      <c r="B5117" s="5" t="str">
        <f t="shared" si="1160"/>
        <v>Mourning Dove</v>
      </c>
      <c r="C5117" s="6">
        <f t="shared" si="1160"/>
        <v>0.38750000000000001</v>
      </c>
      <c r="D5117" s="5"/>
      <c r="E5117" s="5"/>
      <c r="F5117" s="5" t="s">
        <v>8</v>
      </c>
      <c r="G5117" s="15" t="s">
        <v>9</v>
      </c>
      <c r="H5117" s="24">
        <f t="shared" si="1128"/>
        <v>0</v>
      </c>
      <c r="I5117" s="24" t="str" cm="1">
        <f t="array" ref="I5117">IFERROR(IF($B5117=I$1, ($A5117+$C5117) - MAX(IF($B$2:$B5116=$B5117, $A$2:$A5116+$C$2:$C5116)), "")*24*60, "")</f>
        <v/>
      </c>
      <c r="J5117" s="24" t="str" cm="1">
        <f t="array" ref="J5117">IFERROR(IF($B5117=J$1, ($A5117+$C5117) - MAX(IF($B$2:$B5116=$B5117, $A$2:$A5116+$C$2:$C5116)), "")*24*60, "")</f>
        <v/>
      </c>
      <c r="K5117" s="24" t="str" cm="1">
        <f t="array" ref="K5117">IFERROR(IF($B5117=K$1, ($A5117+$C5117) - MAX(IF($B$2:$B5116=$B5117, $A$2:$A5116+$C$2:$C5116)), "")*24*60, "")</f>
        <v/>
      </c>
      <c r="L5117" s="24" t="str" cm="1">
        <f t="array" ref="L5117">IFERROR(IF($B5117=L$1, ($A5117+$C5117) - MAX(IF($B$2:$B5116=$B5117, $A$2:$A5116+$C$2:$C5116)), "")*24*60, "")</f>
        <v/>
      </c>
      <c r="M5117" s="24" t="str" cm="1">
        <f t="array" ref="M5117">IFERROR(IF($B5117=M$1, ($A5117+$C5117) - MAX(IF($B$2:$B5116=$B5117, $A$2:$A5116+$C$2:$C5116)), "")*24*60, "")</f>
        <v/>
      </c>
      <c r="N5117" s="24" t="str" cm="1">
        <f t="array" ref="N5117">IFERROR(IF($B5117=N$1, ($A5117+$C5117) - MAX(IF($B$2:$B5116=$B5117, $A$2:$A5116+$C$2:$C5116)), "")*24*60, "")</f>
        <v/>
      </c>
      <c r="O5117" s="24" cm="1">
        <f t="array" ref="O5117">IFERROR(IF($B5117=O$1, ($A5117+$C5117) - MAX(IF($B$2:$B5116=$B5117, $A$2:$A5116+$C$2:$C5116)), "")*24*60, "")</f>
        <v>0</v>
      </c>
      <c r="P5117" s="24" t="str" cm="1">
        <f t="array" ref="P5117">IFERROR(IF($B5117=P$1, ($A5117+$C5117) - MAX(IF($B$2:$B5116=$B5117, $A$2:$A5116+$C$2:$C5116)), "")*24*60, "")</f>
        <v/>
      </c>
      <c r="Q5117" s="24" t="str" cm="1">
        <f t="array" ref="Q5117">IFERROR(IF($B5117=Q$1, ($A5117+$C5117) - MAX(IF($B$2:$B5116=$B5117, $A$2:$A5116+$C$2:$C5116)), "")*24*60, "")</f>
        <v/>
      </c>
    </row>
    <row r="5118" spans="1:17" x14ac:dyDescent="0.2">
      <c r="A5118" s="12">
        <f t="shared" ref="A5118:C5118" si="1161">A5117</f>
        <v>45982</v>
      </c>
      <c r="B5118" s="5" t="str">
        <f t="shared" si="1161"/>
        <v>Mourning Dove</v>
      </c>
      <c r="C5118" s="6">
        <f t="shared" si="1161"/>
        <v>0.38750000000000001</v>
      </c>
      <c r="D5118" s="5"/>
      <c r="E5118" s="5"/>
      <c r="F5118" s="5" t="s">
        <v>8</v>
      </c>
      <c r="G5118" s="15" t="s">
        <v>9</v>
      </c>
      <c r="H5118" s="24">
        <f t="shared" si="1128"/>
        <v>0</v>
      </c>
      <c r="I5118" s="24" t="str" cm="1">
        <f t="array" ref="I5118">IFERROR(IF($B5118=I$1, ($A5118+$C5118) - MAX(IF($B$2:$B5117=$B5118, $A$2:$A5117+$C$2:$C5117)), "")*24*60, "")</f>
        <v/>
      </c>
      <c r="J5118" s="24" t="str" cm="1">
        <f t="array" ref="J5118">IFERROR(IF($B5118=J$1, ($A5118+$C5118) - MAX(IF($B$2:$B5117=$B5118, $A$2:$A5117+$C$2:$C5117)), "")*24*60, "")</f>
        <v/>
      </c>
      <c r="K5118" s="24" t="str" cm="1">
        <f t="array" ref="K5118">IFERROR(IF($B5118=K$1, ($A5118+$C5118) - MAX(IF($B$2:$B5117=$B5118, $A$2:$A5117+$C$2:$C5117)), "")*24*60, "")</f>
        <v/>
      </c>
      <c r="L5118" s="24" t="str" cm="1">
        <f t="array" ref="L5118">IFERROR(IF($B5118=L$1, ($A5118+$C5118) - MAX(IF($B$2:$B5117=$B5118, $A$2:$A5117+$C$2:$C5117)), "")*24*60, "")</f>
        <v/>
      </c>
      <c r="M5118" s="24" t="str" cm="1">
        <f t="array" ref="M5118">IFERROR(IF($B5118=M$1, ($A5118+$C5118) - MAX(IF($B$2:$B5117=$B5118, $A$2:$A5117+$C$2:$C5117)), "")*24*60, "")</f>
        <v/>
      </c>
      <c r="N5118" s="24" t="str" cm="1">
        <f t="array" ref="N5118">IFERROR(IF($B5118=N$1, ($A5118+$C5118) - MAX(IF($B$2:$B5117=$B5118, $A$2:$A5117+$C$2:$C5117)), "")*24*60, "")</f>
        <v/>
      </c>
      <c r="O5118" s="24" cm="1">
        <f t="array" ref="O5118">IFERROR(IF($B5118=O$1, ($A5118+$C5118) - MAX(IF($B$2:$B5117=$B5118, $A$2:$A5117+$C$2:$C5117)), "")*24*60, "")</f>
        <v>0</v>
      </c>
      <c r="P5118" s="24" t="str" cm="1">
        <f t="array" ref="P5118">IFERROR(IF($B5118=P$1, ($A5118+$C5118) - MAX(IF($B$2:$B5117=$B5118, $A$2:$A5117+$C$2:$C5117)), "")*24*60, "")</f>
        <v/>
      </c>
      <c r="Q5118" s="24" t="str" cm="1">
        <f t="array" ref="Q5118">IFERROR(IF($B5118=Q$1, ($A5118+$C5118) - MAX(IF($B$2:$B5117=$B5118, $A$2:$A5117+$C$2:$C5117)), "")*24*60, "")</f>
        <v/>
      </c>
    </row>
    <row r="5119" spans="1:17" x14ac:dyDescent="0.2">
      <c r="A5119" s="12">
        <f t="shared" ref="A5119:C5119" si="1162">A5118</f>
        <v>45982</v>
      </c>
      <c r="B5119" s="5" t="str">
        <f t="shared" si="1162"/>
        <v>Mourning Dove</v>
      </c>
      <c r="C5119" s="6">
        <f t="shared" si="1162"/>
        <v>0.38750000000000001</v>
      </c>
      <c r="D5119" s="5"/>
      <c r="E5119" s="5"/>
      <c r="F5119" s="5" t="s">
        <v>8</v>
      </c>
      <c r="G5119" s="15" t="s">
        <v>9</v>
      </c>
      <c r="H5119" s="24">
        <f t="shared" si="1128"/>
        <v>0</v>
      </c>
      <c r="I5119" s="24" t="str" cm="1">
        <f t="array" ref="I5119">IFERROR(IF($B5119=I$1, ($A5119+$C5119) - MAX(IF($B$2:$B5118=$B5119, $A$2:$A5118+$C$2:$C5118)), "")*24*60, "")</f>
        <v/>
      </c>
      <c r="J5119" s="24" t="str" cm="1">
        <f t="array" ref="J5119">IFERROR(IF($B5119=J$1, ($A5119+$C5119) - MAX(IF($B$2:$B5118=$B5119, $A$2:$A5118+$C$2:$C5118)), "")*24*60, "")</f>
        <v/>
      </c>
      <c r="K5119" s="24" t="str" cm="1">
        <f t="array" ref="K5119">IFERROR(IF($B5119=K$1, ($A5119+$C5119) - MAX(IF($B$2:$B5118=$B5119, $A$2:$A5118+$C$2:$C5118)), "")*24*60, "")</f>
        <v/>
      </c>
      <c r="L5119" s="24" t="str" cm="1">
        <f t="array" ref="L5119">IFERROR(IF($B5119=L$1, ($A5119+$C5119) - MAX(IF($B$2:$B5118=$B5119, $A$2:$A5118+$C$2:$C5118)), "")*24*60, "")</f>
        <v/>
      </c>
      <c r="M5119" s="24" t="str" cm="1">
        <f t="array" ref="M5119">IFERROR(IF($B5119=M$1, ($A5119+$C5119) - MAX(IF($B$2:$B5118=$B5119, $A$2:$A5118+$C$2:$C5118)), "")*24*60, "")</f>
        <v/>
      </c>
      <c r="N5119" s="24" t="str" cm="1">
        <f t="array" ref="N5119">IFERROR(IF($B5119=N$1, ($A5119+$C5119) - MAX(IF($B$2:$B5118=$B5119, $A$2:$A5118+$C$2:$C5118)), "")*24*60, "")</f>
        <v/>
      </c>
      <c r="O5119" s="24" cm="1">
        <f t="array" ref="O5119">IFERROR(IF($B5119=O$1, ($A5119+$C5119) - MAX(IF($B$2:$B5118=$B5119, $A$2:$A5118+$C$2:$C5118)), "")*24*60, "")</f>
        <v>0</v>
      </c>
      <c r="P5119" s="24" t="str" cm="1">
        <f t="array" ref="P5119">IFERROR(IF($B5119=P$1, ($A5119+$C5119) - MAX(IF($B$2:$B5118=$B5119, $A$2:$A5118+$C$2:$C5118)), "")*24*60, "")</f>
        <v/>
      </c>
      <c r="Q5119" s="24" t="str" cm="1">
        <f t="array" ref="Q5119">IFERROR(IF($B5119=Q$1, ($A5119+$C5119) - MAX(IF($B$2:$B5118=$B5119, $A$2:$A5118+$C$2:$C5118)), "")*24*60, "")</f>
        <v/>
      </c>
    </row>
    <row r="5120" spans="1:17" x14ac:dyDescent="0.2">
      <c r="A5120" s="12">
        <f t="shared" ref="A5120:C5120" si="1163">A5119</f>
        <v>45982</v>
      </c>
      <c r="B5120" s="5" t="str">
        <f t="shared" si="1163"/>
        <v>Mourning Dove</v>
      </c>
      <c r="C5120" s="6">
        <f t="shared" si="1163"/>
        <v>0.38750000000000001</v>
      </c>
      <c r="D5120" s="5"/>
      <c r="E5120" s="5"/>
      <c r="F5120" s="5" t="s">
        <v>8</v>
      </c>
      <c r="G5120" s="15" t="s">
        <v>9</v>
      </c>
      <c r="H5120" s="24">
        <f t="shared" si="1128"/>
        <v>0</v>
      </c>
      <c r="I5120" s="24" t="str" cm="1">
        <f t="array" ref="I5120">IFERROR(IF($B5120=I$1, ($A5120+$C5120) - MAX(IF($B$2:$B5119=$B5120, $A$2:$A5119+$C$2:$C5119)), "")*24*60, "")</f>
        <v/>
      </c>
      <c r="J5120" s="24" t="str" cm="1">
        <f t="array" ref="J5120">IFERROR(IF($B5120=J$1, ($A5120+$C5120) - MAX(IF($B$2:$B5119=$B5120, $A$2:$A5119+$C$2:$C5119)), "")*24*60, "")</f>
        <v/>
      </c>
      <c r="K5120" s="24" t="str" cm="1">
        <f t="array" ref="K5120">IFERROR(IF($B5120=K$1, ($A5120+$C5120) - MAX(IF($B$2:$B5119=$B5120, $A$2:$A5119+$C$2:$C5119)), "")*24*60, "")</f>
        <v/>
      </c>
      <c r="L5120" s="24" t="str" cm="1">
        <f t="array" ref="L5120">IFERROR(IF($B5120=L$1, ($A5120+$C5120) - MAX(IF($B$2:$B5119=$B5120, $A$2:$A5119+$C$2:$C5119)), "")*24*60, "")</f>
        <v/>
      </c>
      <c r="M5120" s="24" t="str" cm="1">
        <f t="array" ref="M5120">IFERROR(IF($B5120=M$1, ($A5120+$C5120) - MAX(IF($B$2:$B5119=$B5120, $A$2:$A5119+$C$2:$C5119)), "")*24*60, "")</f>
        <v/>
      </c>
      <c r="N5120" s="24" t="str" cm="1">
        <f t="array" ref="N5120">IFERROR(IF($B5120=N$1, ($A5120+$C5120) - MAX(IF($B$2:$B5119=$B5120, $A$2:$A5119+$C$2:$C5119)), "")*24*60, "")</f>
        <v/>
      </c>
      <c r="O5120" s="24" cm="1">
        <f t="array" ref="O5120">IFERROR(IF($B5120=O$1, ($A5120+$C5120) - MAX(IF($B$2:$B5119=$B5120, $A$2:$A5119+$C$2:$C5119)), "")*24*60, "")</f>
        <v>0</v>
      </c>
      <c r="P5120" s="24" t="str" cm="1">
        <f t="array" ref="P5120">IFERROR(IF($B5120=P$1, ($A5120+$C5120) - MAX(IF($B$2:$B5119=$B5120, $A$2:$A5119+$C$2:$C5119)), "")*24*60, "")</f>
        <v/>
      </c>
      <c r="Q5120" s="24" t="str" cm="1">
        <f t="array" ref="Q5120">IFERROR(IF($B5120=Q$1, ($A5120+$C5120) - MAX(IF($B$2:$B5119=$B5120, $A$2:$A5119+$C$2:$C5119)), "")*24*60, "")</f>
        <v/>
      </c>
    </row>
    <row r="5121" spans="1:17" x14ac:dyDescent="0.2">
      <c r="A5121" s="12">
        <f t="shared" ref="A5121:C5121" si="1164">A5120</f>
        <v>45982</v>
      </c>
      <c r="B5121" s="5" t="str">
        <f t="shared" si="1164"/>
        <v>Mourning Dove</v>
      </c>
      <c r="C5121" s="6">
        <f t="shared" si="1164"/>
        <v>0.38750000000000001</v>
      </c>
      <c r="D5121" s="5"/>
      <c r="E5121" s="5"/>
      <c r="F5121" s="5" t="s">
        <v>8</v>
      </c>
      <c r="G5121" s="15" t="s">
        <v>9</v>
      </c>
      <c r="H5121" s="24">
        <f t="shared" si="1128"/>
        <v>0</v>
      </c>
      <c r="I5121" s="24" t="str" cm="1">
        <f t="array" ref="I5121">IFERROR(IF($B5121=I$1, ($A5121+$C5121) - MAX(IF($B$2:$B5120=$B5121, $A$2:$A5120+$C$2:$C5120)), "")*24*60, "")</f>
        <v/>
      </c>
      <c r="J5121" s="24" t="str" cm="1">
        <f t="array" ref="J5121">IFERROR(IF($B5121=J$1, ($A5121+$C5121) - MAX(IF($B$2:$B5120=$B5121, $A$2:$A5120+$C$2:$C5120)), "")*24*60, "")</f>
        <v/>
      </c>
      <c r="K5121" s="24" t="str" cm="1">
        <f t="array" ref="K5121">IFERROR(IF($B5121=K$1, ($A5121+$C5121) - MAX(IF($B$2:$B5120=$B5121, $A$2:$A5120+$C$2:$C5120)), "")*24*60, "")</f>
        <v/>
      </c>
      <c r="L5121" s="24" t="str" cm="1">
        <f t="array" ref="L5121">IFERROR(IF($B5121=L$1, ($A5121+$C5121) - MAX(IF($B$2:$B5120=$B5121, $A$2:$A5120+$C$2:$C5120)), "")*24*60, "")</f>
        <v/>
      </c>
      <c r="M5121" s="24" t="str" cm="1">
        <f t="array" ref="M5121">IFERROR(IF($B5121=M$1, ($A5121+$C5121) - MAX(IF($B$2:$B5120=$B5121, $A$2:$A5120+$C$2:$C5120)), "")*24*60, "")</f>
        <v/>
      </c>
      <c r="N5121" s="24" t="str" cm="1">
        <f t="array" ref="N5121">IFERROR(IF($B5121=N$1, ($A5121+$C5121) - MAX(IF($B$2:$B5120=$B5121, $A$2:$A5120+$C$2:$C5120)), "")*24*60, "")</f>
        <v/>
      </c>
      <c r="O5121" s="24" cm="1">
        <f t="array" ref="O5121">IFERROR(IF($B5121=O$1, ($A5121+$C5121) - MAX(IF($B$2:$B5120=$B5121, $A$2:$A5120+$C$2:$C5120)), "")*24*60, "")</f>
        <v>0</v>
      </c>
      <c r="P5121" s="24" t="str" cm="1">
        <f t="array" ref="P5121">IFERROR(IF($B5121=P$1, ($A5121+$C5121) - MAX(IF($B$2:$B5120=$B5121, $A$2:$A5120+$C$2:$C5120)), "")*24*60, "")</f>
        <v/>
      </c>
      <c r="Q5121" s="24" t="str" cm="1">
        <f t="array" ref="Q5121">IFERROR(IF($B5121=Q$1, ($A5121+$C5121) - MAX(IF($B$2:$B5120=$B5121, $A$2:$A5120+$C$2:$C5120)), "")*24*60, "")</f>
        <v/>
      </c>
    </row>
    <row r="5122" spans="1:17" x14ac:dyDescent="0.2">
      <c r="A5122" s="12">
        <f t="shared" ref="A5122:C5122" si="1165">A5121</f>
        <v>45982</v>
      </c>
      <c r="B5122" s="5" t="str">
        <f t="shared" si="1165"/>
        <v>Mourning Dove</v>
      </c>
      <c r="C5122" s="6">
        <f t="shared" si="1165"/>
        <v>0.38750000000000001</v>
      </c>
      <c r="D5122" s="5"/>
      <c r="E5122" s="5"/>
      <c r="F5122" s="5" t="s">
        <v>8</v>
      </c>
      <c r="G5122" s="15" t="s">
        <v>9</v>
      </c>
      <c r="H5122" s="24">
        <f t="shared" si="1128"/>
        <v>0</v>
      </c>
      <c r="I5122" s="24" t="str" cm="1">
        <f t="array" ref="I5122">IFERROR(IF($B5122=I$1, ($A5122+$C5122) - MAX(IF($B$2:$B5121=$B5122, $A$2:$A5121+$C$2:$C5121)), "")*24*60, "")</f>
        <v/>
      </c>
      <c r="J5122" s="24" t="str" cm="1">
        <f t="array" ref="J5122">IFERROR(IF($B5122=J$1, ($A5122+$C5122) - MAX(IF($B$2:$B5121=$B5122, $A$2:$A5121+$C$2:$C5121)), "")*24*60, "")</f>
        <v/>
      </c>
      <c r="K5122" s="24" t="str" cm="1">
        <f t="array" ref="K5122">IFERROR(IF($B5122=K$1, ($A5122+$C5122) - MAX(IF($B$2:$B5121=$B5122, $A$2:$A5121+$C$2:$C5121)), "")*24*60, "")</f>
        <v/>
      </c>
      <c r="L5122" s="24" t="str" cm="1">
        <f t="array" ref="L5122">IFERROR(IF($B5122=L$1, ($A5122+$C5122) - MAX(IF($B$2:$B5121=$B5122, $A$2:$A5121+$C$2:$C5121)), "")*24*60, "")</f>
        <v/>
      </c>
      <c r="M5122" s="24" t="str" cm="1">
        <f t="array" ref="M5122">IFERROR(IF($B5122=M$1, ($A5122+$C5122) - MAX(IF($B$2:$B5121=$B5122, $A$2:$A5121+$C$2:$C5121)), "")*24*60, "")</f>
        <v/>
      </c>
      <c r="N5122" s="24" t="str" cm="1">
        <f t="array" ref="N5122">IFERROR(IF($B5122=N$1, ($A5122+$C5122) - MAX(IF($B$2:$B5121=$B5122, $A$2:$A5121+$C$2:$C5121)), "")*24*60, "")</f>
        <v/>
      </c>
      <c r="O5122" s="24" cm="1">
        <f t="array" ref="O5122">IFERROR(IF($B5122=O$1, ($A5122+$C5122) - MAX(IF($B$2:$B5121=$B5122, $A$2:$A5121+$C$2:$C5121)), "")*24*60, "")</f>
        <v>0</v>
      </c>
      <c r="P5122" s="24" t="str" cm="1">
        <f t="array" ref="P5122">IFERROR(IF($B5122=P$1, ($A5122+$C5122) - MAX(IF($B$2:$B5121=$B5122, $A$2:$A5121+$C$2:$C5121)), "")*24*60, "")</f>
        <v/>
      </c>
      <c r="Q5122" s="24" t="str" cm="1">
        <f t="array" ref="Q5122">IFERROR(IF($B5122=Q$1, ($A5122+$C5122) - MAX(IF($B$2:$B5121=$B5122, $A$2:$A5121+$C$2:$C5121)), "")*24*60, "")</f>
        <v/>
      </c>
    </row>
    <row r="5123" spans="1:17" x14ac:dyDescent="0.2">
      <c r="A5123" s="12">
        <f t="shared" ref="A5123:C5123" si="1166">A5122</f>
        <v>45982</v>
      </c>
      <c r="B5123" s="5" t="str">
        <f t="shared" si="1166"/>
        <v>Mourning Dove</v>
      </c>
      <c r="C5123" s="6">
        <f t="shared" si="1166"/>
        <v>0.38750000000000001</v>
      </c>
      <c r="D5123" s="5"/>
      <c r="E5123" s="5"/>
      <c r="F5123" s="5" t="s">
        <v>8</v>
      </c>
      <c r="G5123" s="15" t="s">
        <v>9</v>
      </c>
      <c r="H5123" s="24">
        <f t="shared" si="1128"/>
        <v>0</v>
      </c>
      <c r="I5123" s="24" t="str" cm="1">
        <f t="array" ref="I5123">IFERROR(IF($B5123=I$1, ($A5123+$C5123) - MAX(IF($B$2:$B5122=$B5123, $A$2:$A5122+$C$2:$C5122)), "")*24*60, "")</f>
        <v/>
      </c>
      <c r="J5123" s="24" t="str" cm="1">
        <f t="array" ref="J5123">IFERROR(IF($B5123=J$1, ($A5123+$C5123) - MAX(IF($B$2:$B5122=$B5123, $A$2:$A5122+$C$2:$C5122)), "")*24*60, "")</f>
        <v/>
      </c>
      <c r="K5123" s="24" t="str" cm="1">
        <f t="array" ref="K5123">IFERROR(IF($B5123=K$1, ($A5123+$C5123) - MAX(IF($B$2:$B5122=$B5123, $A$2:$A5122+$C$2:$C5122)), "")*24*60, "")</f>
        <v/>
      </c>
      <c r="L5123" s="24" t="str" cm="1">
        <f t="array" ref="L5123">IFERROR(IF($B5123=L$1, ($A5123+$C5123) - MAX(IF($B$2:$B5122=$B5123, $A$2:$A5122+$C$2:$C5122)), "")*24*60, "")</f>
        <v/>
      </c>
      <c r="M5123" s="24" t="str" cm="1">
        <f t="array" ref="M5123">IFERROR(IF($B5123=M$1, ($A5123+$C5123) - MAX(IF($B$2:$B5122=$B5123, $A$2:$A5122+$C$2:$C5122)), "")*24*60, "")</f>
        <v/>
      </c>
      <c r="N5123" s="24" t="str" cm="1">
        <f t="array" ref="N5123">IFERROR(IF($B5123=N$1, ($A5123+$C5123) - MAX(IF($B$2:$B5122=$B5123, $A$2:$A5122+$C$2:$C5122)), "")*24*60, "")</f>
        <v/>
      </c>
      <c r="O5123" s="24" cm="1">
        <f t="array" ref="O5123">IFERROR(IF($B5123=O$1, ($A5123+$C5123) - MAX(IF($B$2:$B5122=$B5123, $A$2:$A5122+$C$2:$C5122)), "")*24*60, "")</f>
        <v>0</v>
      </c>
      <c r="P5123" s="24" t="str" cm="1">
        <f t="array" ref="P5123">IFERROR(IF($B5123=P$1, ($A5123+$C5123) - MAX(IF($B$2:$B5122=$B5123, $A$2:$A5122+$C$2:$C5122)), "")*24*60, "")</f>
        <v/>
      </c>
      <c r="Q5123" s="24" t="str" cm="1">
        <f t="array" ref="Q5123">IFERROR(IF($B5123=Q$1, ($A5123+$C5123) - MAX(IF($B$2:$B5122=$B5123, $A$2:$A5122+$C$2:$C5122)), "")*24*60, "")</f>
        <v/>
      </c>
    </row>
    <row r="5124" spans="1:17" x14ac:dyDescent="0.2">
      <c r="A5124" s="12">
        <f t="shared" ref="A5124:C5124" si="1167">A5123</f>
        <v>45982</v>
      </c>
      <c r="B5124" s="5" t="str">
        <f t="shared" si="1167"/>
        <v>Mourning Dove</v>
      </c>
      <c r="C5124" s="6">
        <f t="shared" si="1167"/>
        <v>0.38750000000000001</v>
      </c>
      <c r="D5124" s="5"/>
      <c r="E5124" s="5"/>
      <c r="F5124" s="5" t="s">
        <v>8</v>
      </c>
      <c r="G5124" s="15" t="s">
        <v>9</v>
      </c>
      <c r="H5124" s="24">
        <f t="shared" si="1128"/>
        <v>0</v>
      </c>
      <c r="I5124" s="24" t="str" cm="1">
        <f t="array" ref="I5124">IFERROR(IF($B5124=I$1, ($A5124+$C5124) - MAX(IF($B$2:$B5123=$B5124, $A$2:$A5123+$C$2:$C5123)), "")*24*60, "")</f>
        <v/>
      </c>
      <c r="J5124" s="24" t="str" cm="1">
        <f t="array" ref="J5124">IFERROR(IF($B5124=J$1, ($A5124+$C5124) - MAX(IF($B$2:$B5123=$B5124, $A$2:$A5123+$C$2:$C5123)), "")*24*60, "")</f>
        <v/>
      </c>
      <c r="K5124" s="24" t="str" cm="1">
        <f t="array" ref="K5124">IFERROR(IF($B5124=K$1, ($A5124+$C5124) - MAX(IF($B$2:$B5123=$B5124, $A$2:$A5123+$C$2:$C5123)), "")*24*60, "")</f>
        <v/>
      </c>
      <c r="L5124" s="24" t="str" cm="1">
        <f t="array" ref="L5124">IFERROR(IF($B5124=L$1, ($A5124+$C5124) - MAX(IF($B$2:$B5123=$B5124, $A$2:$A5123+$C$2:$C5123)), "")*24*60, "")</f>
        <v/>
      </c>
      <c r="M5124" s="24" t="str" cm="1">
        <f t="array" ref="M5124">IFERROR(IF($B5124=M$1, ($A5124+$C5124) - MAX(IF($B$2:$B5123=$B5124, $A$2:$A5123+$C$2:$C5123)), "")*24*60, "")</f>
        <v/>
      </c>
      <c r="N5124" s="24" t="str" cm="1">
        <f t="array" ref="N5124">IFERROR(IF($B5124=N$1, ($A5124+$C5124) - MAX(IF($B$2:$B5123=$B5124, $A$2:$A5123+$C$2:$C5123)), "")*24*60, "")</f>
        <v/>
      </c>
      <c r="O5124" s="24" cm="1">
        <f t="array" ref="O5124">IFERROR(IF($B5124=O$1, ($A5124+$C5124) - MAX(IF($B$2:$B5123=$B5124, $A$2:$A5123+$C$2:$C5123)), "")*24*60, "")</f>
        <v>0</v>
      </c>
      <c r="P5124" s="24" t="str" cm="1">
        <f t="array" ref="P5124">IFERROR(IF($B5124=P$1, ($A5124+$C5124) - MAX(IF($B$2:$B5123=$B5124, $A$2:$A5123+$C$2:$C5123)), "")*24*60, "")</f>
        <v/>
      </c>
      <c r="Q5124" s="24" t="str" cm="1">
        <f t="array" ref="Q5124">IFERROR(IF($B5124=Q$1, ($A5124+$C5124) - MAX(IF($B$2:$B5123=$B5124, $A$2:$A5123+$C$2:$C5123)), "")*24*60, "")</f>
        <v/>
      </c>
    </row>
    <row r="5125" spans="1:17" x14ac:dyDescent="0.2">
      <c r="A5125" s="12">
        <f t="shared" ref="A5125:C5125" si="1168">A5124</f>
        <v>45982</v>
      </c>
      <c r="B5125" s="5" t="str">
        <f t="shared" si="1168"/>
        <v>Mourning Dove</v>
      </c>
      <c r="C5125" s="6">
        <f t="shared" si="1168"/>
        <v>0.38750000000000001</v>
      </c>
      <c r="D5125" s="5"/>
      <c r="E5125" s="5"/>
      <c r="F5125" s="5" t="s">
        <v>8</v>
      </c>
      <c r="G5125" s="15" t="s">
        <v>9</v>
      </c>
      <c r="H5125" s="24">
        <f t="shared" si="1128"/>
        <v>0</v>
      </c>
      <c r="I5125" s="24" t="str" cm="1">
        <f t="array" ref="I5125">IFERROR(IF($B5125=I$1, ($A5125+$C5125) - MAX(IF($B$2:$B5124=$B5125, $A$2:$A5124+$C$2:$C5124)), "")*24*60, "")</f>
        <v/>
      </c>
      <c r="J5125" s="24" t="str" cm="1">
        <f t="array" ref="J5125">IFERROR(IF($B5125=J$1, ($A5125+$C5125) - MAX(IF($B$2:$B5124=$B5125, $A$2:$A5124+$C$2:$C5124)), "")*24*60, "")</f>
        <v/>
      </c>
      <c r="K5125" s="24" t="str" cm="1">
        <f t="array" ref="K5125">IFERROR(IF($B5125=K$1, ($A5125+$C5125) - MAX(IF($B$2:$B5124=$B5125, $A$2:$A5124+$C$2:$C5124)), "")*24*60, "")</f>
        <v/>
      </c>
      <c r="L5125" s="24" t="str" cm="1">
        <f t="array" ref="L5125">IFERROR(IF($B5125=L$1, ($A5125+$C5125) - MAX(IF($B$2:$B5124=$B5125, $A$2:$A5124+$C$2:$C5124)), "")*24*60, "")</f>
        <v/>
      </c>
      <c r="M5125" s="24" t="str" cm="1">
        <f t="array" ref="M5125">IFERROR(IF($B5125=M$1, ($A5125+$C5125) - MAX(IF($B$2:$B5124=$B5125, $A$2:$A5124+$C$2:$C5124)), "")*24*60, "")</f>
        <v/>
      </c>
      <c r="N5125" s="24" t="str" cm="1">
        <f t="array" ref="N5125">IFERROR(IF($B5125=N$1, ($A5125+$C5125) - MAX(IF($B$2:$B5124=$B5125, $A$2:$A5124+$C$2:$C5124)), "")*24*60, "")</f>
        <v/>
      </c>
      <c r="O5125" s="24" cm="1">
        <f t="array" ref="O5125">IFERROR(IF($B5125=O$1, ($A5125+$C5125) - MAX(IF($B$2:$B5124=$B5125, $A$2:$A5124+$C$2:$C5124)), "")*24*60, "")</f>
        <v>0</v>
      </c>
      <c r="P5125" s="24" t="str" cm="1">
        <f t="array" ref="P5125">IFERROR(IF($B5125=P$1, ($A5125+$C5125) - MAX(IF($B$2:$B5124=$B5125, $A$2:$A5124+$C$2:$C5124)), "")*24*60, "")</f>
        <v/>
      </c>
      <c r="Q5125" s="24" t="str" cm="1">
        <f t="array" ref="Q5125">IFERROR(IF($B5125=Q$1, ($A5125+$C5125) - MAX(IF($B$2:$B5124=$B5125, $A$2:$A5124+$C$2:$C5124)), "")*24*60, "")</f>
        <v/>
      </c>
    </row>
    <row r="5126" spans="1:17" x14ac:dyDescent="0.2">
      <c r="A5126" s="12">
        <f t="shared" ref="A5126:C5126" si="1169">A5125</f>
        <v>45982</v>
      </c>
      <c r="B5126" s="5" t="str">
        <f t="shared" si="1169"/>
        <v>Mourning Dove</v>
      </c>
      <c r="C5126" s="6">
        <f t="shared" si="1169"/>
        <v>0.38750000000000001</v>
      </c>
      <c r="D5126" s="5"/>
      <c r="E5126" s="5"/>
      <c r="F5126" s="5" t="s">
        <v>8</v>
      </c>
      <c r="G5126" s="15" t="s">
        <v>9</v>
      </c>
      <c r="H5126" s="24">
        <f t="shared" si="1128"/>
        <v>0</v>
      </c>
      <c r="I5126" s="24" t="str" cm="1">
        <f t="array" ref="I5126">IFERROR(IF($B5126=I$1, ($A5126+$C5126) - MAX(IF($B$2:$B5125=$B5126, $A$2:$A5125+$C$2:$C5125)), "")*24*60, "")</f>
        <v/>
      </c>
      <c r="J5126" s="24" t="str" cm="1">
        <f t="array" ref="J5126">IFERROR(IF($B5126=J$1, ($A5126+$C5126) - MAX(IF($B$2:$B5125=$B5126, $A$2:$A5125+$C$2:$C5125)), "")*24*60, "")</f>
        <v/>
      </c>
      <c r="K5126" s="24" t="str" cm="1">
        <f t="array" ref="K5126">IFERROR(IF($B5126=K$1, ($A5126+$C5126) - MAX(IF($B$2:$B5125=$B5126, $A$2:$A5125+$C$2:$C5125)), "")*24*60, "")</f>
        <v/>
      </c>
      <c r="L5126" s="24" t="str" cm="1">
        <f t="array" ref="L5126">IFERROR(IF($B5126=L$1, ($A5126+$C5126) - MAX(IF($B$2:$B5125=$B5126, $A$2:$A5125+$C$2:$C5125)), "")*24*60, "")</f>
        <v/>
      </c>
      <c r="M5126" s="24" t="str" cm="1">
        <f t="array" ref="M5126">IFERROR(IF($B5126=M$1, ($A5126+$C5126) - MAX(IF($B$2:$B5125=$B5126, $A$2:$A5125+$C$2:$C5125)), "")*24*60, "")</f>
        <v/>
      </c>
      <c r="N5126" s="24" t="str" cm="1">
        <f t="array" ref="N5126">IFERROR(IF($B5126=N$1, ($A5126+$C5126) - MAX(IF($B$2:$B5125=$B5126, $A$2:$A5125+$C$2:$C5125)), "")*24*60, "")</f>
        <v/>
      </c>
      <c r="O5126" s="24" cm="1">
        <f t="array" ref="O5126">IFERROR(IF($B5126=O$1, ($A5126+$C5126) - MAX(IF($B$2:$B5125=$B5126, $A$2:$A5125+$C$2:$C5125)), "")*24*60, "")</f>
        <v>0</v>
      </c>
      <c r="P5126" s="24" t="str" cm="1">
        <f t="array" ref="P5126">IFERROR(IF($B5126=P$1, ($A5126+$C5126) - MAX(IF($B$2:$B5125=$B5126, $A$2:$A5125+$C$2:$C5125)), "")*24*60, "")</f>
        <v/>
      </c>
      <c r="Q5126" s="24" t="str" cm="1">
        <f t="array" ref="Q5126">IFERROR(IF($B5126=Q$1, ($A5126+$C5126) - MAX(IF($B$2:$B5125=$B5126, $A$2:$A5125+$C$2:$C5125)), "")*24*60, "")</f>
        <v/>
      </c>
    </row>
    <row r="5127" spans="1:17" x14ac:dyDescent="0.2">
      <c r="A5127" s="12">
        <f t="shared" ref="A5127:C5127" si="1170">A5126</f>
        <v>45982</v>
      </c>
      <c r="B5127" s="5" t="str">
        <f t="shared" si="1170"/>
        <v>Mourning Dove</v>
      </c>
      <c r="C5127" s="6">
        <f t="shared" si="1170"/>
        <v>0.38750000000000001</v>
      </c>
      <c r="D5127" s="5"/>
      <c r="E5127" s="5"/>
      <c r="F5127" s="5" t="s">
        <v>8</v>
      </c>
      <c r="G5127" s="15" t="s">
        <v>9</v>
      </c>
      <c r="H5127" s="24">
        <f t="shared" si="1128"/>
        <v>0</v>
      </c>
      <c r="I5127" s="24" t="str" cm="1">
        <f t="array" ref="I5127">IFERROR(IF($B5127=I$1, ($A5127+$C5127) - MAX(IF($B$2:$B5126=$B5127, $A$2:$A5126+$C$2:$C5126)), "")*24*60, "")</f>
        <v/>
      </c>
      <c r="J5127" s="24" t="str" cm="1">
        <f t="array" ref="J5127">IFERROR(IF($B5127=J$1, ($A5127+$C5127) - MAX(IF($B$2:$B5126=$B5127, $A$2:$A5126+$C$2:$C5126)), "")*24*60, "")</f>
        <v/>
      </c>
      <c r="K5127" s="24" t="str" cm="1">
        <f t="array" ref="K5127">IFERROR(IF($B5127=K$1, ($A5127+$C5127) - MAX(IF($B$2:$B5126=$B5127, $A$2:$A5126+$C$2:$C5126)), "")*24*60, "")</f>
        <v/>
      </c>
      <c r="L5127" s="24" t="str" cm="1">
        <f t="array" ref="L5127">IFERROR(IF($B5127=L$1, ($A5127+$C5127) - MAX(IF($B$2:$B5126=$B5127, $A$2:$A5126+$C$2:$C5126)), "")*24*60, "")</f>
        <v/>
      </c>
      <c r="M5127" s="24" t="str" cm="1">
        <f t="array" ref="M5127">IFERROR(IF($B5127=M$1, ($A5127+$C5127) - MAX(IF($B$2:$B5126=$B5127, $A$2:$A5126+$C$2:$C5126)), "")*24*60, "")</f>
        <v/>
      </c>
      <c r="N5127" s="24" t="str" cm="1">
        <f t="array" ref="N5127">IFERROR(IF($B5127=N$1, ($A5127+$C5127) - MAX(IF($B$2:$B5126=$B5127, $A$2:$A5126+$C$2:$C5126)), "")*24*60, "")</f>
        <v/>
      </c>
      <c r="O5127" s="24" cm="1">
        <f t="array" ref="O5127">IFERROR(IF($B5127=O$1, ($A5127+$C5127) - MAX(IF($B$2:$B5126=$B5127, $A$2:$A5126+$C$2:$C5126)), "")*24*60, "")</f>
        <v>0</v>
      </c>
      <c r="P5127" s="24" t="str" cm="1">
        <f t="array" ref="P5127">IFERROR(IF($B5127=P$1, ($A5127+$C5127) - MAX(IF($B$2:$B5126=$B5127, $A$2:$A5126+$C$2:$C5126)), "")*24*60, "")</f>
        <v/>
      </c>
      <c r="Q5127" s="24" t="str" cm="1">
        <f t="array" ref="Q5127">IFERROR(IF($B5127=Q$1, ($A5127+$C5127) - MAX(IF($B$2:$B5126=$B5127, $A$2:$A5126+$C$2:$C5126)), "")*24*60, "")</f>
        <v/>
      </c>
    </row>
    <row r="5128" spans="1:17" x14ac:dyDescent="0.2">
      <c r="A5128" s="12">
        <f t="shared" ref="A5128:C5128" si="1171">A5127</f>
        <v>45982</v>
      </c>
      <c r="B5128" s="5" t="str">
        <f t="shared" si="1171"/>
        <v>Mourning Dove</v>
      </c>
      <c r="C5128" s="6">
        <f t="shared" si="1171"/>
        <v>0.38750000000000001</v>
      </c>
      <c r="D5128" s="5"/>
      <c r="E5128" s="5"/>
      <c r="F5128" s="5" t="s">
        <v>8</v>
      </c>
      <c r="G5128" s="15" t="s">
        <v>9</v>
      </c>
      <c r="H5128" s="24">
        <f t="shared" si="1128"/>
        <v>0</v>
      </c>
      <c r="I5128" s="24" t="str" cm="1">
        <f t="array" ref="I5128">IFERROR(IF($B5128=I$1, ($A5128+$C5128) - MAX(IF($B$2:$B5127=$B5128, $A$2:$A5127+$C$2:$C5127)), "")*24*60, "")</f>
        <v/>
      </c>
      <c r="J5128" s="24" t="str" cm="1">
        <f t="array" ref="J5128">IFERROR(IF($B5128=J$1, ($A5128+$C5128) - MAX(IF($B$2:$B5127=$B5128, $A$2:$A5127+$C$2:$C5127)), "")*24*60, "")</f>
        <v/>
      </c>
      <c r="K5128" s="24" t="str" cm="1">
        <f t="array" ref="K5128">IFERROR(IF($B5128=K$1, ($A5128+$C5128) - MAX(IF($B$2:$B5127=$B5128, $A$2:$A5127+$C$2:$C5127)), "")*24*60, "")</f>
        <v/>
      </c>
      <c r="L5128" s="24" t="str" cm="1">
        <f t="array" ref="L5128">IFERROR(IF($B5128=L$1, ($A5128+$C5128) - MAX(IF($B$2:$B5127=$B5128, $A$2:$A5127+$C$2:$C5127)), "")*24*60, "")</f>
        <v/>
      </c>
      <c r="M5128" s="24" t="str" cm="1">
        <f t="array" ref="M5128">IFERROR(IF($B5128=M$1, ($A5128+$C5128) - MAX(IF($B$2:$B5127=$B5128, $A$2:$A5127+$C$2:$C5127)), "")*24*60, "")</f>
        <v/>
      </c>
      <c r="N5128" s="24" t="str" cm="1">
        <f t="array" ref="N5128">IFERROR(IF($B5128=N$1, ($A5128+$C5128) - MAX(IF($B$2:$B5127=$B5128, $A$2:$A5127+$C$2:$C5127)), "")*24*60, "")</f>
        <v/>
      </c>
      <c r="O5128" s="24" cm="1">
        <f t="array" ref="O5128">IFERROR(IF($B5128=O$1, ($A5128+$C5128) - MAX(IF($B$2:$B5127=$B5128, $A$2:$A5127+$C$2:$C5127)), "")*24*60, "")</f>
        <v>0</v>
      </c>
      <c r="P5128" s="24" t="str" cm="1">
        <f t="array" ref="P5128">IFERROR(IF($B5128=P$1, ($A5128+$C5128) - MAX(IF($B$2:$B5127=$B5128, $A$2:$A5127+$C$2:$C5127)), "")*24*60, "")</f>
        <v/>
      </c>
      <c r="Q5128" s="24" t="str" cm="1">
        <f t="array" ref="Q5128">IFERROR(IF($B5128=Q$1, ($A5128+$C5128) - MAX(IF($B$2:$B5127=$B5128, $A$2:$A5127+$C$2:$C5127)), "")*24*60, "")</f>
        <v/>
      </c>
    </row>
    <row r="5129" spans="1:17" x14ac:dyDescent="0.2">
      <c r="A5129" s="12">
        <f t="shared" ref="A5129:C5129" si="1172">A5128</f>
        <v>45982</v>
      </c>
      <c r="B5129" s="5" t="str">
        <f t="shared" si="1172"/>
        <v>Mourning Dove</v>
      </c>
      <c r="C5129" s="6">
        <f t="shared" si="1172"/>
        <v>0.38750000000000001</v>
      </c>
      <c r="D5129" s="5"/>
      <c r="E5129" s="5"/>
      <c r="F5129" s="5" t="s">
        <v>8</v>
      </c>
      <c r="G5129" s="15" t="s">
        <v>9</v>
      </c>
      <c r="H5129" s="24">
        <f t="shared" si="1128"/>
        <v>0</v>
      </c>
      <c r="I5129" s="24" t="str" cm="1">
        <f t="array" ref="I5129">IFERROR(IF($B5129=I$1, ($A5129+$C5129) - MAX(IF($B$2:$B5128=$B5129, $A$2:$A5128+$C$2:$C5128)), "")*24*60, "")</f>
        <v/>
      </c>
      <c r="J5129" s="24" t="str" cm="1">
        <f t="array" ref="J5129">IFERROR(IF($B5129=J$1, ($A5129+$C5129) - MAX(IF($B$2:$B5128=$B5129, $A$2:$A5128+$C$2:$C5128)), "")*24*60, "")</f>
        <v/>
      </c>
      <c r="K5129" s="24" t="str" cm="1">
        <f t="array" ref="K5129">IFERROR(IF($B5129=K$1, ($A5129+$C5129) - MAX(IF($B$2:$B5128=$B5129, $A$2:$A5128+$C$2:$C5128)), "")*24*60, "")</f>
        <v/>
      </c>
      <c r="L5129" s="24" t="str" cm="1">
        <f t="array" ref="L5129">IFERROR(IF($B5129=L$1, ($A5129+$C5129) - MAX(IF($B$2:$B5128=$B5129, $A$2:$A5128+$C$2:$C5128)), "")*24*60, "")</f>
        <v/>
      </c>
      <c r="M5129" s="24" t="str" cm="1">
        <f t="array" ref="M5129">IFERROR(IF($B5129=M$1, ($A5129+$C5129) - MAX(IF($B$2:$B5128=$B5129, $A$2:$A5128+$C$2:$C5128)), "")*24*60, "")</f>
        <v/>
      </c>
      <c r="N5129" s="24" t="str" cm="1">
        <f t="array" ref="N5129">IFERROR(IF($B5129=N$1, ($A5129+$C5129) - MAX(IF($B$2:$B5128=$B5129, $A$2:$A5128+$C$2:$C5128)), "")*24*60, "")</f>
        <v/>
      </c>
      <c r="O5129" s="24" cm="1">
        <f t="array" ref="O5129">IFERROR(IF($B5129=O$1, ($A5129+$C5129) - MAX(IF($B$2:$B5128=$B5129, $A$2:$A5128+$C$2:$C5128)), "")*24*60, "")</f>
        <v>0</v>
      </c>
      <c r="P5129" s="24" t="str" cm="1">
        <f t="array" ref="P5129">IFERROR(IF($B5129=P$1, ($A5129+$C5129) - MAX(IF($B$2:$B5128=$B5129, $A$2:$A5128+$C$2:$C5128)), "")*24*60, "")</f>
        <v/>
      </c>
      <c r="Q5129" s="24" t="str" cm="1">
        <f t="array" ref="Q5129">IFERROR(IF($B5129=Q$1, ($A5129+$C5129) - MAX(IF($B$2:$B5128=$B5129, $A$2:$A5128+$C$2:$C5128)), "")*24*60, "")</f>
        <v/>
      </c>
    </row>
    <row r="5130" spans="1:17" x14ac:dyDescent="0.2">
      <c r="A5130" s="12">
        <f t="shared" ref="A5130:C5130" si="1173">A5129</f>
        <v>45982</v>
      </c>
      <c r="B5130" s="5" t="str">
        <f t="shared" si="1173"/>
        <v>Mourning Dove</v>
      </c>
      <c r="C5130" s="6">
        <f t="shared" si="1173"/>
        <v>0.38750000000000001</v>
      </c>
      <c r="D5130" s="5"/>
      <c r="E5130" s="5"/>
      <c r="F5130" s="5" t="s">
        <v>8</v>
      </c>
      <c r="G5130" s="15" t="s">
        <v>9</v>
      </c>
      <c r="H5130" s="24">
        <f t="shared" si="1128"/>
        <v>0</v>
      </c>
      <c r="I5130" s="24" t="str" cm="1">
        <f t="array" ref="I5130">IFERROR(IF($B5130=I$1, ($A5130+$C5130) - MAX(IF($B$2:$B5129=$B5130, $A$2:$A5129+$C$2:$C5129)), "")*24*60, "")</f>
        <v/>
      </c>
      <c r="J5130" s="24" t="str" cm="1">
        <f t="array" ref="J5130">IFERROR(IF($B5130=J$1, ($A5130+$C5130) - MAX(IF($B$2:$B5129=$B5130, $A$2:$A5129+$C$2:$C5129)), "")*24*60, "")</f>
        <v/>
      </c>
      <c r="K5130" s="24" t="str" cm="1">
        <f t="array" ref="K5130">IFERROR(IF($B5130=K$1, ($A5130+$C5130) - MAX(IF($B$2:$B5129=$B5130, $A$2:$A5129+$C$2:$C5129)), "")*24*60, "")</f>
        <v/>
      </c>
      <c r="L5130" s="24" t="str" cm="1">
        <f t="array" ref="L5130">IFERROR(IF($B5130=L$1, ($A5130+$C5130) - MAX(IF($B$2:$B5129=$B5130, $A$2:$A5129+$C$2:$C5129)), "")*24*60, "")</f>
        <v/>
      </c>
      <c r="M5130" s="24" t="str" cm="1">
        <f t="array" ref="M5130">IFERROR(IF($B5130=M$1, ($A5130+$C5130) - MAX(IF($B$2:$B5129=$B5130, $A$2:$A5129+$C$2:$C5129)), "")*24*60, "")</f>
        <v/>
      </c>
      <c r="N5130" s="24" t="str" cm="1">
        <f t="array" ref="N5130">IFERROR(IF($B5130=N$1, ($A5130+$C5130) - MAX(IF($B$2:$B5129=$B5130, $A$2:$A5129+$C$2:$C5129)), "")*24*60, "")</f>
        <v/>
      </c>
      <c r="O5130" s="24" cm="1">
        <f t="array" ref="O5130">IFERROR(IF($B5130=O$1, ($A5130+$C5130) - MAX(IF($B$2:$B5129=$B5130, $A$2:$A5129+$C$2:$C5129)), "")*24*60, "")</f>
        <v>0</v>
      </c>
      <c r="P5130" s="24" t="str" cm="1">
        <f t="array" ref="P5130">IFERROR(IF($B5130=P$1, ($A5130+$C5130) - MAX(IF($B$2:$B5129=$B5130, $A$2:$A5129+$C$2:$C5129)), "")*24*60, "")</f>
        <v/>
      </c>
      <c r="Q5130" s="24" t="str" cm="1">
        <f t="array" ref="Q5130">IFERROR(IF($B5130=Q$1, ($A5130+$C5130) - MAX(IF($B$2:$B5129=$B5130, $A$2:$A5129+$C$2:$C5129)), "")*24*60, "")</f>
        <v/>
      </c>
    </row>
    <row r="5131" spans="1:17" x14ac:dyDescent="0.2">
      <c r="A5131" s="12">
        <f t="shared" ref="A5131:C5131" si="1174">A5130</f>
        <v>45982</v>
      </c>
      <c r="B5131" s="5" t="str">
        <f t="shared" si="1174"/>
        <v>Mourning Dove</v>
      </c>
      <c r="C5131" s="6">
        <f t="shared" si="1174"/>
        <v>0.38750000000000001</v>
      </c>
      <c r="D5131" s="5"/>
      <c r="E5131" s="5"/>
      <c r="F5131" s="5" t="s">
        <v>8</v>
      </c>
      <c r="G5131" s="15" t="s">
        <v>9</v>
      </c>
      <c r="H5131" s="24">
        <f t="shared" si="1128"/>
        <v>0</v>
      </c>
      <c r="I5131" s="24" t="str" cm="1">
        <f t="array" ref="I5131">IFERROR(IF($B5131=I$1, ($A5131+$C5131) - MAX(IF($B$2:$B5130=$B5131, $A$2:$A5130+$C$2:$C5130)), "")*24*60, "")</f>
        <v/>
      </c>
      <c r="J5131" s="24" t="str" cm="1">
        <f t="array" ref="J5131">IFERROR(IF($B5131=J$1, ($A5131+$C5131) - MAX(IF($B$2:$B5130=$B5131, $A$2:$A5130+$C$2:$C5130)), "")*24*60, "")</f>
        <v/>
      </c>
      <c r="K5131" s="24" t="str" cm="1">
        <f t="array" ref="K5131">IFERROR(IF($B5131=K$1, ($A5131+$C5131) - MAX(IF($B$2:$B5130=$B5131, $A$2:$A5130+$C$2:$C5130)), "")*24*60, "")</f>
        <v/>
      </c>
      <c r="L5131" s="24" t="str" cm="1">
        <f t="array" ref="L5131">IFERROR(IF($B5131=L$1, ($A5131+$C5131) - MAX(IF($B$2:$B5130=$B5131, $A$2:$A5130+$C$2:$C5130)), "")*24*60, "")</f>
        <v/>
      </c>
      <c r="M5131" s="24" t="str" cm="1">
        <f t="array" ref="M5131">IFERROR(IF($B5131=M$1, ($A5131+$C5131) - MAX(IF($B$2:$B5130=$B5131, $A$2:$A5130+$C$2:$C5130)), "")*24*60, "")</f>
        <v/>
      </c>
      <c r="N5131" s="24" t="str" cm="1">
        <f t="array" ref="N5131">IFERROR(IF($B5131=N$1, ($A5131+$C5131) - MAX(IF($B$2:$B5130=$B5131, $A$2:$A5130+$C$2:$C5130)), "")*24*60, "")</f>
        <v/>
      </c>
      <c r="O5131" s="24" cm="1">
        <f t="array" ref="O5131">IFERROR(IF($B5131=O$1, ($A5131+$C5131) - MAX(IF($B$2:$B5130=$B5131, $A$2:$A5130+$C$2:$C5130)), "")*24*60, "")</f>
        <v>0</v>
      </c>
      <c r="P5131" s="24" t="str" cm="1">
        <f t="array" ref="P5131">IFERROR(IF($B5131=P$1, ($A5131+$C5131) - MAX(IF($B$2:$B5130=$B5131, $A$2:$A5130+$C$2:$C5130)), "")*24*60, "")</f>
        <v/>
      </c>
      <c r="Q5131" s="24" t="str" cm="1">
        <f t="array" ref="Q5131">IFERROR(IF($B5131=Q$1, ($A5131+$C5131) - MAX(IF($B$2:$B5130=$B5131, $A$2:$A5130+$C$2:$C5130)), "")*24*60, "")</f>
        <v/>
      </c>
    </row>
    <row r="5132" spans="1:17" x14ac:dyDescent="0.2">
      <c r="A5132" s="12">
        <f t="shared" ref="A5132:C5132" si="1175">A5131</f>
        <v>45982</v>
      </c>
      <c r="B5132" s="5" t="str">
        <f t="shared" si="1175"/>
        <v>Mourning Dove</v>
      </c>
      <c r="C5132" s="6">
        <f t="shared" si="1175"/>
        <v>0.38750000000000001</v>
      </c>
      <c r="D5132" s="5"/>
      <c r="E5132" s="5"/>
      <c r="F5132" s="5" t="s">
        <v>8</v>
      </c>
      <c r="G5132" s="15" t="s">
        <v>9</v>
      </c>
      <c r="H5132" s="24">
        <f t="shared" si="1128"/>
        <v>0</v>
      </c>
      <c r="I5132" s="24" t="str" cm="1">
        <f t="array" ref="I5132">IFERROR(IF($B5132=I$1, ($A5132+$C5132) - MAX(IF($B$2:$B5131=$B5132, $A$2:$A5131+$C$2:$C5131)), "")*24*60, "")</f>
        <v/>
      </c>
      <c r="J5132" s="24" t="str" cm="1">
        <f t="array" ref="J5132">IFERROR(IF($B5132=J$1, ($A5132+$C5132) - MAX(IF($B$2:$B5131=$B5132, $A$2:$A5131+$C$2:$C5131)), "")*24*60, "")</f>
        <v/>
      </c>
      <c r="K5132" s="24" t="str" cm="1">
        <f t="array" ref="K5132">IFERROR(IF($B5132=K$1, ($A5132+$C5132) - MAX(IF($B$2:$B5131=$B5132, $A$2:$A5131+$C$2:$C5131)), "")*24*60, "")</f>
        <v/>
      </c>
      <c r="L5132" s="24" t="str" cm="1">
        <f t="array" ref="L5132">IFERROR(IF($B5132=L$1, ($A5132+$C5132) - MAX(IF($B$2:$B5131=$B5132, $A$2:$A5131+$C$2:$C5131)), "")*24*60, "")</f>
        <v/>
      </c>
      <c r="M5132" s="24" t="str" cm="1">
        <f t="array" ref="M5132">IFERROR(IF($B5132=M$1, ($A5132+$C5132) - MAX(IF($B$2:$B5131=$B5132, $A$2:$A5131+$C$2:$C5131)), "")*24*60, "")</f>
        <v/>
      </c>
      <c r="N5132" s="24" t="str" cm="1">
        <f t="array" ref="N5132">IFERROR(IF($B5132=N$1, ($A5132+$C5132) - MAX(IF($B$2:$B5131=$B5132, $A$2:$A5131+$C$2:$C5131)), "")*24*60, "")</f>
        <v/>
      </c>
      <c r="O5132" s="24" cm="1">
        <f t="array" ref="O5132">IFERROR(IF($B5132=O$1, ($A5132+$C5132) - MAX(IF($B$2:$B5131=$B5132, $A$2:$A5131+$C$2:$C5131)), "")*24*60, "")</f>
        <v>0</v>
      </c>
      <c r="P5132" s="24" t="str" cm="1">
        <f t="array" ref="P5132">IFERROR(IF($B5132=P$1, ($A5132+$C5132) - MAX(IF($B$2:$B5131=$B5132, $A$2:$A5131+$C$2:$C5131)), "")*24*60, "")</f>
        <v/>
      </c>
      <c r="Q5132" s="24" t="str" cm="1">
        <f t="array" ref="Q5132">IFERROR(IF($B5132=Q$1, ($A5132+$C5132) - MAX(IF($B$2:$B5131=$B5132, $A$2:$A5131+$C$2:$C5131)), "")*24*60, "")</f>
        <v/>
      </c>
    </row>
    <row r="5133" spans="1:17" x14ac:dyDescent="0.2">
      <c r="A5133" s="12">
        <f t="shared" ref="A5133:C5133" si="1176">A5132</f>
        <v>45982</v>
      </c>
      <c r="B5133" s="5" t="str">
        <f t="shared" si="1176"/>
        <v>Mourning Dove</v>
      </c>
      <c r="C5133" s="6">
        <f t="shared" si="1176"/>
        <v>0.38750000000000001</v>
      </c>
      <c r="D5133" s="5"/>
      <c r="E5133" s="5"/>
      <c r="F5133" s="5" t="s">
        <v>8</v>
      </c>
      <c r="G5133" s="15" t="s">
        <v>9</v>
      </c>
      <c r="H5133" s="24">
        <f t="shared" si="1128"/>
        <v>0</v>
      </c>
      <c r="I5133" s="24" t="str" cm="1">
        <f t="array" ref="I5133">IFERROR(IF($B5133=I$1, ($A5133+$C5133) - MAX(IF($B$2:$B5132=$B5133, $A$2:$A5132+$C$2:$C5132)), "")*24*60, "")</f>
        <v/>
      </c>
      <c r="J5133" s="24" t="str" cm="1">
        <f t="array" ref="J5133">IFERROR(IF($B5133=J$1, ($A5133+$C5133) - MAX(IF($B$2:$B5132=$B5133, $A$2:$A5132+$C$2:$C5132)), "")*24*60, "")</f>
        <v/>
      </c>
      <c r="K5133" s="24" t="str" cm="1">
        <f t="array" ref="K5133">IFERROR(IF($B5133=K$1, ($A5133+$C5133) - MAX(IF($B$2:$B5132=$B5133, $A$2:$A5132+$C$2:$C5132)), "")*24*60, "")</f>
        <v/>
      </c>
      <c r="L5133" s="24" t="str" cm="1">
        <f t="array" ref="L5133">IFERROR(IF($B5133=L$1, ($A5133+$C5133) - MAX(IF($B$2:$B5132=$B5133, $A$2:$A5132+$C$2:$C5132)), "")*24*60, "")</f>
        <v/>
      </c>
      <c r="M5133" s="24" t="str" cm="1">
        <f t="array" ref="M5133">IFERROR(IF($B5133=M$1, ($A5133+$C5133) - MAX(IF($B$2:$B5132=$B5133, $A$2:$A5132+$C$2:$C5132)), "")*24*60, "")</f>
        <v/>
      </c>
      <c r="N5133" s="24" t="str" cm="1">
        <f t="array" ref="N5133">IFERROR(IF($B5133=N$1, ($A5133+$C5133) - MAX(IF($B$2:$B5132=$B5133, $A$2:$A5132+$C$2:$C5132)), "")*24*60, "")</f>
        <v/>
      </c>
      <c r="O5133" s="24" cm="1">
        <f t="array" ref="O5133">IFERROR(IF($B5133=O$1, ($A5133+$C5133) - MAX(IF($B$2:$B5132=$B5133, $A$2:$A5132+$C$2:$C5132)), "")*24*60, "")</f>
        <v>0</v>
      </c>
      <c r="P5133" s="24" t="str" cm="1">
        <f t="array" ref="P5133">IFERROR(IF($B5133=P$1, ($A5133+$C5133) - MAX(IF($B$2:$B5132=$B5133, $A$2:$A5132+$C$2:$C5132)), "")*24*60, "")</f>
        <v/>
      </c>
      <c r="Q5133" s="24" t="str" cm="1">
        <f t="array" ref="Q5133">IFERROR(IF($B5133=Q$1, ($A5133+$C5133) - MAX(IF($B$2:$B5132=$B5133, $A$2:$A5132+$C$2:$C5132)), "")*24*60, "")</f>
        <v/>
      </c>
    </row>
    <row r="5134" spans="1:17" x14ac:dyDescent="0.2">
      <c r="A5134" s="12">
        <f t="shared" ref="A5134:C5134" si="1177">A5133</f>
        <v>45982</v>
      </c>
      <c r="B5134" s="5" t="str">
        <f t="shared" si="1177"/>
        <v>Mourning Dove</v>
      </c>
      <c r="C5134" s="6">
        <f t="shared" si="1177"/>
        <v>0.38750000000000001</v>
      </c>
      <c r="D5134" s="5"/>
      <c r="E5134" s="5"/>
      <c r="F5134" s="5" t="s">
        <v>8</v>
      </c>
      <c r="G5134" s="15" t="s">
        <v>9</v>
      </c>
      <c r="H5134" s="24">
        <f t="shared" si="1128"/>
        <v>0</v>
      </c>
      <c r="I5134" s="24" t="str" cm="1">
        <f t="array" ref="I5134">IFERROR(IF($B5134=I$1, ($A5134+$C5134) - MAX(IF($B$2:$B5133=$B5134, $A$2:$A5133+$C$2:$C5133)), "")*24*60, "")</f>
        <v/>
      </c>
      <c r="J5134" s="24" t="str" cm="1">
        <f t="array" ref="J5134">IFERROR(IF($B5134=J$1, ($A5134+$C5134) - MAX(IF($B$2:$B5133=$B5134, $A$2:$A5133+$C$2:$C5133)), "")*24*60, "")</f>
        <v/>
      </c>
      <c r="K5134" s="24" t="str" cm="1">
        <f t="array" ref="K5134">IFERROR(IF($B5134=K$1, ($A5134+$C5134) - MAX(IF($B$2:$B5133=$B5134, $A$2:$A5133+$C$2:$C5133)), "")*24*60, "")</f>
        <v/>
      </c>
      <c r="L5134" s="24" t="str" cm="1">
        <f t="array" ref="L5134">IFERROR(IF($B5134=L$1, ($A5134+$C5134) - MAX(IF($B$2:$B5133=$B5134, $A$2:$A5133+$C$2:$C5133)), "")*24*60, "")</f>
        <v/>
      </c>
      <c r="M5134" s="24" t="str" cm="1">
        <f t="array" ref="M5134">IFERROR(IF($B5134=M$1, ($A5134+$C5134) - MAX(IF($B$2:$B5133=$B5134, $A$2:$A5133+$C$2:$C5133)), "")*24*60, "")</f>
        <v/>
      </c>
      <c r="N5134" s="24" t="str" cm="1">
        <f t="array" ref="N5134">IFERROR(IF($B5134=N$1, ($A5134+$C5134) - MAX(IF($B$2:$B5133=$B5134, $A$2:$A5133+$C$2:$C5133)), "")*24*60, "")</f>
        <v/>
      </c>
      <c r="O5134" s="24" cm="1">
        <f t="array" ref="O5134">IFERROR(IF($B5134=O$1, ($A5134+$C5134) - MAX(IF($B$2:$B5133=$B5134, $A$2:$A5133+$C$2:$C5133)), "")*24*60, "")</f>
        <v>0</v>
      </c>
      <c r="P5134" s="24" t="str" cm="1">
        <f t="array" ref="P5134">IFERROR(IF($B5134=P$1, ($A5134+$C5134) - MAX(IF($B$2:$B5133=$B5134, $A$2:$A5133+$C$2:$C5133)), "")*24*60, "")</f>
        <v/>
      </c>
      <c r="Q5134" s="24" t="str" cm="1">
        <f t="array" ref="Q5134">IFERROR(IF($B5134=Q$1, ($A5134+$C5134) - MAX(IF($B$2:$B5133=$B5134, $A$2:$A5133+$C$2:$C5133)), "")*24*60, "")</f>
        <v/>
      </c>
    </row>
    <row r="5135" spans="1:17" x14ac:dyDescent="0.2">
      <c r="A5135" s="12">
        <f t="shared" ref="A5135:C5135" si="1178">A5134</f>
        <v>45982</v>
      </c>
      <c r="B5135" s="5" t="str">
        <f t="shared" si="1178"/>
        <v>Mourning Dove</v>
      </c>
      <c r="C5135" s="6">
        <f t="shared" si="1178"/>
        <v>0.38750000000000001</v>
      </c>
      <c r="D5135" s="5"/>
      <c r="E5135" s="5"/>
      <c r="F5135" s="5" t="s">
        <v>8</v>
      </c>
      <c r="G5135" s="15" t="s">
        <v>9</v>
      </c>
      <c r="H5135" s="24">
        <f t="shared" si="1128"/>
        <v>0</v>
      </c>
      <c r="I5135" s="24" t="str" cm="1">
        <f t="array" ref="I5135">IFERROR(IF($B5135=I$1, ($A5135+$C5135) - MAX(IF($B$2:$B5134=$B5135, $A$2:$A5134+$C$2:$C5134)), "")*24*60, "")</f>
        <v/>
      </c>
      <c r="J5135" s="24" t="str" cm="1">
        <f t="array" ref="J5135">IFERROR(IF($B5135=J$1, ($A5135+$C5135) - MAX(IF($B$2:$B5134=$B5135, $A$2:$A5134+$C$2:$C5134)), "")*24*60, "")</f>
        <v/>
      </c>
      <c r="K5135" s="24" t="str" cm="1">
        <f t="array" ref="K5135">IFERROR(IF($B5135=K$1, ($A5135+$C5135) - MAX(IF($B$2:$B5134=$B5135, $A$2:$A5134+$C$2:$C5134)), "")*24*60, "")</f>
        <v/>
      </c>
      <c r="L5135" s="24" t="str" cm="1">
        <f t="array" ref="L5135">IFERROR(IF($B5135=L$1, ($A5135+$C5135) - MAX(IF($B$2:$B5134=$B5135, $A$2:$A5134+$C$2:$C5134)), "")*24*60, "")</f>
        <v/>
      </c>
      <c r="M5135" s="24" t="str" cm="1">
        <f t="array" ref="M5135">IFERROR(IF($B5135=M$1, ($A5135+$C5135) - MAX(IF($B$2:$B5134=$B5135, $A$2:$A5134+$C$2:$C5134)), "")*24*60, "")</f>
        <v/>
      </c>
      <c r="N5135" s="24" t="str" cm="1">
        <f t="array" ref="N5135">IFERROR(IF($B5135=N$1, ($A5135+$C5135) - MAX(IF($B$2:$B5134=$B5135, $A$2:$A5134+$C$2:$C5134)), "")*24*60, "")</f>
        <v/>
      </c>
      <c r="O5135" s="24" cm="1">
        <f t="array" ref="O5135">IFERROR(IF($B5135=O$1, ($A5135+$C5135) - MAX(IF($B$2:$B5134=$B5135, $A$2:$A5134+$C$2:$C5134)), "")*24*60, "")</f>
        <v>0</v>
      </c>
      <c r="P5135" s="24" t="str" cm="1">
        <f t="array" ref="P5135">IFERROR(IF($B5135=P$1, ($A5135+$C5135) - MAX(IF($B$2:$B5134=$B5135, $A$2:$A5134+$C$2:$C5134)), "")*24*60, "")</f>
        <v/>
      </c>
      <c r="Q5135" s="24" t="str" cm="1">
        <f t="array" ref="Q5135">IFERROR(IF($B5135=Q$1, ($A5135+$C5135) - MAX(IF($B$2:$B5134=$B5135, $A$2:$A5134+$C$2:$C5134)), "")*24*60, "")</f>
        <v/>
      </c>
    </row>
    <row r="5136" spans="1:17" x14ac:dyDescent="0.2">
      <c r="A5136" s="12">
        <f t="shared" ref="A5136:C5136" si="1179">A5135</f>
        <v>45982</v>
      </c>
      <c r="B5136" s="5" t="str">
        <f t="shared" si="1179"/>
        <v>Mourning Dove</v>
      </c>
      <c r="C5136" s="6">
        <f t="shared" si="1179"/>
        <v>0.38750000000000001</v>
      </c>
      <c r="D5136" s="5"/>
      <c r="E5136" s="5"/>
      <c r="F5136" s="5" t="s">
        <v>8</v>
      </c>
      <c r="G5136" s="15" t="s">
        <v>9</v>
      </c>
      <c r="H5136" s="24">
        <f t="shared" si="1128"/>
        <v>0</v>
      </c>
      <c r="I5136" s="24" t="str" cm="1">
        <f t="array" ref="I5136">IFERROR(IF($B5136=I$1, ($A5136+$C5136) - MAX(IF($B$2:$B5135=$B5136, $A$2:$A5135+$C$2:$C5135)), "")*24*60, "")</f>
        <v/>
      </c>
      <c r="J5136" s="24" t="str" cm="1">
        <f t="array" ref="J5136">IFERROR(IF($B5136=J$1, ($A5136+$C5136) - MAX(IF($B$2:$B5135=$B5136, $A$2:$A5135+$C$2:$C5135)), "")*24*60, "")</f>
        <v/>
      </c>
      <c r="K5136" s="24" t="str" cm="1">
        <f t="array" ref="K5136">IFERROR(IF($B5136=K$1, ($A5136+$C5136) - MAX(IF($B$2:$B5135=$B5136, $A$2:$A5135+$C$2:$C5135)), "")*24*60, "")</f>
        <v/>
      </c>
      <c r="L5136" s="24" t="str" cm="1">
        <f t="array" ref="L5136">IFERROR(IF($B5136=L$1, ($A5136+$C5136) - MAX(IF($B$2:$B5135=$B5136, $A$2:$A5135+$C$2:$C5135)), "")*24*60, "")</f>
        <v/>
      </c>
      <c r="M5136" s="24" t="str" cm="1">
        <f t="array" ref="M5136">IFERROR(IF($B5136=M$1, ($A5136+$C5136) - MAX(IF($B$2:$B5135=$B5136, $A$2:$A5135+$C$2:$C5135)), "")*24*60, "")</f>
        <v/>
      </c>
      <c r="N5136" s="24" t="str" cm="1">
        <f t="array" ref="N5136">IFERROR(IF($B5136=N$1, ($A5136+$C5136) - MAX(IF($B$2:$B5135=$B5136, $A$2:$A5135+$C$2:$C5135)), "")*24*60, "")</f>
        <v/>
      </c>
      <c r="O5136" s="24" cm="1">
        <f t="array" ref="O5136">IFERROR(IF($B5136=O$1, ($A5136+$C5136) - MAX(IF($B$2:$B5135=$B5136, $A$2:$A5135+$C$2:$C5135)), "")*24*60, "")</f>
        <v>0</v>
      </c>
      <c r="P5136" s="24" t="str" cm="1">
        <f t="array" ref="P5136">IFERROR(IF($B5136=P$1, ($A5136+$C5136) - MAX(IF($B$2:$B5135=$B5136, $A$2:$A5135+$C$2:$C5135)), "")*24*60, "")</f>
        <v/>
      </c>
      <c r="Q5136" s="24" t="str" cm="1">
        <f t="array" ref="Q5136">IFERROR(IF($B5136=Q$1, ($A5136+$C5136) - MAX(IF($B$2:$B5135=$B5136, $A$2:$A5135+$C$2:$C5135)), "")*24*60, "")</f>
        <v/>
      </c>
    </row>
    <row r="5137" spans="1:17" x14ac:dyDescent="0.2">
      <c r="A5137" s="12">
        <f t="shared" ref="A5137:C5137" si="1180">A5136</f>
        <v>45982</v>
      </c>
      <c r="B5137" s="5" t="str">
        <f t="shared" si="1180"/>
        <v>Mourning Dove</v>
      </c>
      <c r="C5137" s="6">
        <f t="shared" si="1180"/>
        <v>0.38750000000000001</v>
      </c>
      <c r="D5137" s="5"/>
      <c r="E5137" s="5"/>
      <c r="F5137" s="5" t="s">
        <v>8</v>
      </c>
      <c r="G5137" s="15" t="s">
        <v>9</v>
      </c>
      <c r="H5137" s="24">
        <f t="shared" si="1128"/>
        <v>0</v>
      </c>
      <c r="I5137" s="24" t="str" cm="1">
        <f t="array" ref="I5137">IFERROR(IF($B5137=I$1, ($A5137+$C5137) - MAX(IF($B$2:$B5136=$B5137, $A$2:$A5136+$C$2:$C5136)), "")*24*60, "")</f>
        <v/>
      </c>
      <c r="J5137" s="24" t="str" cm="1">
        <f t="array" ref="J5137">IFERROR(IF($B5137=J$1, ($A5137+$C5137) - MAX(IF($B$2:$B5136=$B5137, $A$2:$A5136+$C$2:$C5136)), "")*24*60, "")</f>
        <v/>
      </c>
      <c r="K5137" s="24" t="str" cm="1">
        <f t="array" ref="K5137">IFERROR(IF($B5137=K$1, ($A5137+$C5137) - MAX(IF($B$2:$B5136=$B5137, $A$2:$A5136+$C$2:$C5136)), "")*24*60, "")</f>
        <v/>
      </c>
      <c r="L5137" s="24" t="str" cm="1">
        <f t="array" ref="L5137">IFERROR(IF($B5137=L$1, ($A5137+$C5137) - MAX(IF($B$2:$B5136=$B5137, $A$2:$A5136+$C$2:$C5136)), "")*24*60, "")</f>
        <v/>
      </c>
      <c r="M5137" s="24" t="str" cm="1">
        <f t="array" ref="M5137">IFERROR(IF($B5137=M$1, ($A5137+$C5137) - MAX(IF($B$2:$B5136=$B5137, $A$2:$A5136+$C$2:$C5136)), "")*24*60, "")</f>
        <v/>
      </c>
      <c r="N5137" s="24" t="str" cm="1">
        <f t="array" ref="N5137">IFERROR(IF($B5137=N$1, ($A5137+$C5137) - MAX(IF($B$2:$B5136=$B5137, $A$2:$A5136+$C$2:$C5136)), "")*24*60, "")</f>
        <v/>
      </c>
      <c r="O5137" s="24" cm="1">
        <f t="array" ref="O5137">IFERROR(IF($B5137=O$1, ($A5137+$C5137) - MAX(IF($B$2:$B5136=$B5137, $A$2:$A5136+$C$2:$C5136)), "")*24*60, "")</f>
        <v>0</v>
      </c>
      <c r="P5137" s="24" t="str" cm="1">
        <f t="array" ref="P5137">IFERROR(IF($B5137=P$1, ($A5137+$C5137) - MAX(IF($B$2:$B5136=$B5137, $A$2:$A5136+$C$2:$C5136)), "")*24*60, "")</f>
        <v/>
      </c>
      <c r="Q5137" s="24" t="str" cm="1">
        <f t="array" ref="Q5137">IFERROR(IF($B5137=Q$1, ($A5137+$C5137) - MAX(IF($B$2:$B5136=$B5137, $A$2:$A5136+$C$2:$C5136)), "")*24*60, "")</f>
        <v/>
      </c>
    </row>
    <row r="5138" spans="1:17" x14ac:dyDescent="0.2">
      <c r="A5138" s="12">
        <f t="shared" ref="A5138:C5138" si="1181">A5137</f>
        <v>45982</v>
      </c>
      <c r="B5138" s="5" t="str">
        <f t="shared" si="1181"/>
        <v>Mourning Dove</v>
      </c>
      <c r="C5138" s="6">
        <f t="shared" si="1181"/>
        <v>0.38750000000000001</v>
      </c>
      <c r="D5138" s="5"/>
      <c r="E5138" s="5"/>
      <c r="F5138" s="5" t="s">
        <v>8</v>
      </c>
      <c r="G5138" s="15" t="s">
        <v>9</v>
      </c>
      <c r="H5138" s="24">
        <f t="shared" si="1128"/>
        <v>0</v>
      </c>
      <c r="I5138" s="24" t="str" cm="1">
        <f t="array" ref="I5138">IFERROR(IF($B5138=I$1, ($A5138+$C5138) - MAX(IF($B$2:$B5137=$B5138, $A$2:$A5137+$C$2:$C5137)), "")*24*60, "")</f>
        <v/>
      </c>
      <c r="J5138" s="24" t="str" cm="1">
        <f t="array" ref="J5138">IFERROR(IF($B5138=J$1, ($A5138+$C5138) - MAX(IF($B$2:$B5137=$B5138, $A$2:$A5137+$C$2:$C5137)), "")*24*60, "")</f>
        <v/>
      </c>
      <c r="K5138" s="24" t="str" cm="1">
        <f t="array" ref="K5138">IFERROR(IF($B5138=K$1, ($A5138+$C5138) - MAX(IF($B$2:$B5137=$B5138, $A$2:$A5137+$C$2:$C5137)), "")*24*60, "")</f>
        <v/>
      </c>
      <c r="L5138" s="24" t="str" cm="1">
        <f t="array" ref="L5138">IFERROR(IF($B5138=L$1, ($A5138+$C5138) - MAX(IF($B$2:$B5137=$B5138, $A$2:$A5137+$C$2:$C5137)), "")*24*60, "")</f>
        <v/>
      </c>
      <c r="M5138" s="24" t="str" cm="1">
        <f t="array" ref="M5138">IFERROR(IF($B5138=M$1, ($A5138+$C5138) - MAX(IF($B$2:$B5137=$B5138, $A$2:$A5137+$C$2:$C5137)), "")*24*60, "")</f>
        <v/>
      </c>
      <c r="N5138" s="24" t="str" cm="1">
        <f t="array" ref="N5138">IFERROR(IF($B5138=N$1, ($A5138+$C5138) - MAX(IF($B$2:$B5137=$B5138, $A$2:$A5137+$C$2:$C5137)), "")*24*60, "")</f>
        <v/>
      </c>
      <c r="O5138" s="24" cm="1">
        <f t="array" ref="O5138">IFERROR(IF($B5138=O$1, ($A5138+$C5138) - MAX(IF($B$2:$B5137=$B5138, $A$2:$A5137+$C$2:$C5137)), "")*24*60, "")</f>
        <v>0</v>
      </c>
      <c r="P5138" s="24" t="str" cm="1">
        <f t="array" ref="P5138">IFERROR(IF($B5138=P$1, ($A5138+$C5138) - MAX(IF($B$2:$B5137=$B5138, $A$2:$A5137+$C$2:$C5137)), "")*24*60, "")</f>
        <v/>
      </c>
      <c r="Q5138" s="24" t="str" cm="1">
        <f t="array" ref="Q5138">IFERROR(IF($B5138=Q$1, ($A5138+$C5138) - MAX(IF($B$2:$B5137=$B5138, $A$2:$A5137+$C$2:$C5137)), "")*24*60, "")</f>
        <v/>
      </c>
    </row>
    <row r="5139" spans="1:17" x14ac:dyDescent="0.2">
      <c r="A5139" s="12">
        <f t="shared" ref="A5139:C5139" si="1182">A5138</f>
        <v>45982</v>
      </c>
      <c r="B5139" s="5" t="str">
        <f t="shared" si="1182"/>
        <v>Mourning Dove</v>
      </c>
      <c r="C5139" s="6">
        <f t="shared" si="1182"/>
        <v>0.38750000000000001</v>
      </c>
      <c r="D5139" s="5"/>
      <c r="E5139" s="5"/>
      <c r="F5139" s="5" t="s">
        <v>8</v>
      </c>
      <c r="G5139" s="15" t="s">
        <v>9</v>
      </c>
      <c r="H5139" s="24">
        <f t="shared" si="1128"/>
        <v>0</v>
      </c>
      <c r="I5139" s="24" t="str" cm="1">
        <f t="array" ref="I5139">IFERROR(IF($B5139=I$1, ($A5139+$C5139) - MAX(IF($B$2:$B5138=$B5139, $A$2:$A5138+$C$2:$C5138)), "")*24*60, "")</f>
        <v/>
      </c>
      <c r="J5139" s="24" t="str" cm="1">
        <f t="array" ref="J5139">IFERROR(IF($B5139=J$1, ($A5139+$C5139) - MAX(IF($B$2:$B5138=$B5139, $A$2:$A5138+$C$2:$C5138)), "")*24*60, "")</f>
        <v/>
      </c>
      <c r="K5139" s="24" t="str" cm="1">
        <f t="array" ref="K5139">IFERROR(IF($B5139=K$1, ($A5139+$C5139) - MAX(IF($B$2:$B5138=$B5139, $A$2:$A5138+$C$2:$C5138)), "")*24*60, "")</f>
        <v/>
      </c>
      <c r="L5139" s="24" t="str" cm="1">
        <f t="array" ref="L5139">IFERROR(IF($B5139=L$1, ($A5139+$C5139) - MAX(IF($B$2:$B5138=$B5139, $A$2:$A5138+$C$2:$C5138)), "")*24*60, "")</f>
        <v/>
      </c>
      <c r="M5139" s="24" t="str" cm="1">
        <f t="array" ref="M5139">IFERROR(IF($B5139=M$1, ($A5139+$C5139) - MAX(IF($B$2:$B5138=$B5139, $A$2:$A5138+$C$2:$C5138)), "")*24*60, "")</f>
        <v/>
      </c>
      <c r="N5139" s="24" t="str" cm="1">
        <f t="array" ref="N5139">IFERROR(IF($B5139=N$1, ($A5139+$C5139) - MAX(IF($B$2:$B5138=$B5139, $A$2:$A5138+$C$2:$C5138)), "")*24*60, "")</f>
        <v/>
      </c>
      <c r="O5139" s="24" cm="1">
        <f t="array" ref="O5139">IFERROR(IF($B5139=O$1, ($A5139+$C5139) - MAX(IF($B$2:$B5138=$B5139, $A$2:$A5138+$C$2:$C5138)), "")*24*60, "")</f>
        <v>0</v>
      </c>
      <c r="P5139" s="24" t="str" cm="1">
        <f t="array" ref="P5139">IFERROR(IF($B5139=P$1, ($A5139+$C5139) - MAX(IF($B$2:$B5138=$B5139, $A$2:$A5138+$C$2:$C5138)), "")*24*60, "")</f>
        <v/>
      </c>
      <c r="Q5139" s="24" t="str" cm="1">
        <f t="array" ref="Q5139">IFERROR(IF($B5139=Q$1, ($A5139+$C5139) - MAX(IF($B$2:$B5138=$B5139, $A$2:$A5138+$C$2:$C5138)), "")*24*60, "")</f>
        <v/>
      </c>
    </row>
    <row r="5140" spans="1:17" x14ac:dyDescent="0.2">
      <c r="A5140" s="12">
        <f t="shared" ref="A5140:C5140" si="1183">A5139</f>
        <v>45982</v>
      </c>
      <c r="B5140" s="5" t="str">
        <f t="shared" si="1183"/>
        <v>Mourning Dove</v>
      </c>
      <c r="C5140" s="6">
        <f t="shared" si="1183"/>
        <v>0.38750000000000001</v>
      </c>
      <c r="D5140" s="5"/>
      <c r="E5140" s="5"/>
      <c r="F5140" s="5" t="s">
        <v>8</v>
      </c>
      <c r="G5140" s="15" t="s">
        <v>9</v>
      </c>
      <c r="H5140" s="24">
        <f t="shared" si="1128"/>
        <v>0</v>
      </c>
      <c r="I5140" s="24" t="str" cm="1">
        <f t="array" ref="I5140">IFERROR(IF($B5140=I$1, ($A5140+$C5140) - MAX(IF($B$2:$B5139=$B5140, $A$2:$A5139+$C$2:$C5139)), "")*24*60, "")</f>
        <v/>
      </c>
      <c r="J5140" s="24" t="str" cm="1">
        <f t="array" ref="J5140">IFERROR(IF($B5140=J$1, ($A5140+$C5140) - MAX(IF($B$2:$B5139=$B5140, $A$2:$A5139+$C$2:$C5139)), "")*24*60, "")</f>
        <v/>
      </c>
      <c r="K5140" s="24" t="str" cm="1">
        <f t="array" ref="K5140">IFERROR(IF($B5140=K$1, ($A5140+$C5140) - MAX(IF($B$2:$B5139=$B5140, $A$2:$A5139+$C$2:$C5139)), "")*24*60, "")</f>
        <v/>
      </c>
      <c r="L5140" s="24" t="str" cm="1">
        <f t="array" ref="L5140">IFERROR(IF($B5140=L$1, ($A5140+$C5140) - MAX(IF($B$2:$B5139=$B5140, $A$2:$A5139+$C$2:$C5139)), "")*24*60, "")</f>
        <v/>
      </c>
      <c r="M5140" s="24" t="str" cm="1">
        <f t="array" ref="M5140">IFERROR(IF($B5140=M$1, ($A5140+$C5140) - MAX(IF($B$2:$B5139=$B5140, $A$2:$A5139+$C$2:$C5139)), "")*24*60, "")</f>
        <v/>
      </c>
      <c r="N5140" s="24" t="str" cm="1">
        <f t="array" ref="N5140">IFERROR(IF($B5140=N$1, ($A5140+$C5140) - MAX(IF($B$2:$B5139=$B5140, $A$2:$A5139+$C$2:$C5139)), "")*24*60, "")</f>
        <v/>
      </c>
      <c r="O5140" s="24" cm="1">
        <f t="array" ref="O5140">IFERROR(IF($B5140=O$1, ($A5140+$C5140) - MAX(IF($B$2:$B5139=$B5140, $A$2:$A5139+$C$2:$C5139)), "")*24*60, "")</f>
        <v>0</v>
      </c>
      <c r="P5140" s="24" t="str" cm="1">
        <f t="array" ref="P5140">IFERROR(IF($B5140=P$1, ($A5140+$C5140) - MAX(IF($B$2:$B5139=$B5140, $A$2:$A5139+$C$2:$C5139)), "")*24*60, "")</f>
        <v/>
      </c>
      <c r="Q5140" s="24" t="str" cm="1">
        <f t="array" ref="Q5140">IFERROR(IF($B5140=Q$1, ($A5140+$C5140) - MAX(IF($B$2:$B5139=$B5140, $A$2:$A5139+$C$2:$C5139)), "")*24*60, "")</f>
        <v/>
      </c>
    </row>
    <row r="5141" spans="1:17" x14ac:dyDescent="0.2">
      <c r="A5141" s="12">
        <f t="shared" ref="A5141:C5141" si="1184">A5140</f>
        <v>45982</v>
      </c>
      <c r="B5141" s="5" t="str">
        <f t="shared" si="1184"/>
        <v>Mourning Dove</v>
      </c>
      <c r="C5141" s="6">
        <f t="shared" si="1184"/>
        <v>0.38750000000000001</v>
      </c>
      <c r="D5141" s="5"/>
      <c r="E5141" s="5"/>
      <c r="F5141" s="5" t="s">
        <v>8</v>
      </c>
      <c r="G5141" s="15" t="s">
        <v>9</v>
      </c>
      <c r="H5141" s="24">
        <f t="shared" si="1128"/>
        <v>0</v>
      </c>
      <c r="I5141" s="24" t="str" cm="1">
        <f t="array" ref="I5141">IFERROR(IF($B5141=I$1, ($A5141+$C5141) - MAX(IF($B$2:$B5140=$B5141, $A$2:$A5140+$C$2:$C5140)), "")*24*60, "")</f>
        <v/>
      </c>
      <c r="J5141" s="24" t="str" cm="1">
        <f t="array" ref="J5141">IFERROR(IF($B5141=J$1, ($A5141+$C5141) - MAX(IF($B$2:$B5140=$B5141, $A$2:$A5140+$C$2:$C5140)), "")*24*60, "")</f>
        <v/>
      </c>
      <c r="K5141" s="24" t="str" cm="1">
        <f t="array" ref="K5141">IFERROR(IF($B5141=K$1, ($A5141+$C5141) - MAX(IF($B$2:$B5140=$B5141, $A$2:$A5140+$C$2:$C5140)), "")*24*60, "")</f>
        <v/>
      </c>
      <c r="L5141" s="24" t="str" cm="1">
        <f t="array" ref="L5141">IFERROR(IF($B5141=L$1, ($A5141+$C5141) - MAX(IF($B$2:$B5140=$B5141, $A$2:$A5140+$C$2:$C5140)), "")*24*60, "")</f>
        <v/>
      </c>
      <c r="M5141" s="24" t="str" cm="1">
        <f t="array" ref="M5141">IFERROR(IF($B5141=M$1, ($A5141+$C5141) - MAX(IF($B$2:$B5140=$B5141, $A$2:$A5140+$C$2:$C5140)), "")*24*60, "")</f>
        <v/>
      </c>
      <c r="N5141" s="24" t="str" cm="1">
        <f t="array" ref="N5141">IFERROR(IF($B5141=N$1, ($A5141+$C5141) - MAX(IF($B$2:$B5140=$B5141, $A$2:$A5140+$C$2:$C5140)), "")*24*60, "")</f>
        <v/>
      </c>
      <c r="O5141" s="24" cm="1">
        <f t="array" ref="O5141">IFERROR(IF($B5141=O$1, ($A5141+$C5141) - MAX(IF($B$2:$B5140=$B5141, $A$2:$A5140+$C$2:$C5140)), "")*24*60, "")</f>
        <v>0</v>
      </c>
      <c r="P5141" s="24" t="str" cm="1">
        <f t="array" ref="P5141">IFERROR(IF($B5141=P$1, ($A5141+$C5141) - MAX(IF($B$2:$B5140=$B5141, $A$2:$A5140+$C$2:$C5140)), "")*24*60, "")</f>
        <v/>
      </c>
      <c r="Q5141" s="24" t="str" cm="1">
        <f t="array" ref="Q5141">IFERROR(IF($B5141=Q$1, ($A5141+$C5141) - MAX(IF($B$2:$B5140=$B5141, $A$2:$A5140+$C$2:$C5140)), "")*24*60, "")</f>
        <v/>
      </c>
    </row>
    <row r="5142" spans="1:17" x14ac:dyDescent="0.2">
      <c r="A5142" s="12">
        <f t="shared" ref="A5142:C5142" si="1185">A5141</f>
        <v>45982</v>
      </c>
      <c r="B5142" s="5" t="str">
        <f t="shared" si="1185"/>
        <v>Mourning Dove</v>
      </c>
      <c r="C5142" s="6">
        <f t="shared" si="1185"/>
        <v>0.38750000000000001</v>
      </c>
      <c r="D5142" s="5"/>
      <c r="E5142" s="5"/>
      <c r="F5142" s="5" t="s">
        <v>8</v>
      </c>
      <c r="G5142" s="15" t="s">
        <v>9</v>
      </c>
      <c r="H5142" s="24">
        <f t="shared" si="1128"/>
        <v>0</v>
      </c>
      <c r="I5142" s="24" t="str" cm="1">
        <f t="array" ref="I5142">IFERROR(IF($B5142=I$1, ($A5142+$C5142) - MAX(IF($B$2:$B5141=$B5142, $A$2:$A5141+$C$2:$C5141)), "")*24*60, "")</f>
        <v/>
      </c>
      <c r="J5142" s="24" t="str" cm="1">
        <f t="array" ref="J5142">IFERROR(IF($B5142=J$1, ($A5142+$C5142) - MAX(IF($B$2:$B5141=$B5142, $A$2:$A5141+$C$2:$C5141)), "")*24*60, "")</f>
        <v/>
      </c>
      <c r="K5142" s="24" t="str" cm="1">
        <f t="array" ref="K5142">IFERROR(IF($B5142=K$1, ($A5142+$C5142) - MAX(IF($B$2:$B5141=$B5142, $A$2:$A5141+$C$2:$C5141)), "")*24*60, "")</f>
        <v/>
      </c>
      <c r="L5142" s="24" t="str" cm="1">
        <f t="array" ref="L5142">IFERROR(IF($B5142=L$1, ($A5142+$C5142) - MAX(IF($B$2:$B5141=$B5142, $A$2:$A5141+$C$2:$C5141)), "")*24*60, "")</f>
        <v/>
      </c>
      <c r="M5142" s="24" t="str" cm="1">
        <f t="array" ref="M5142">IFERROR(IF($B5142=M$1, ($A5142+$C5142) - MAX(IF($B$2:$B5141=$B5142, $A$2:$A5141+$C$2:$C5141)), "")*24*60, "")</f>
        <v/>
      </c>
      <c r="N5142" s="24" t="str" cm="1">
        <f t="array" ref="N5142">IFERROR(IF($B5142=N$1, ($A5142+$C5142) - MAX(IF($B$2:$B5141=$B5142, $A$2:$A5141+$C$2:$C5141)), "")*24*60, "")</f>
        <v/>
      </c>
      <c r="O5142" s="24" cm="1">
        <f t="array" ref="O5142">IFERROR(IF($B5142=O$1, ($A5142+$C5142) - MAX(IF($B$2:$B5141=$B5142, $A$2:$A5141+$C$2:$C5141)), "")*24*60, "")</f>
        <v>0</v>
      </c>
      <c r="P5142" s="24" t="str" cm="1">
        <f t="array" ref="P5142">IFERROR(IF($B5142=P$1, ($A5142+$C5142) - MAX(IF($B$2:$B5141=$B5142, $A$2:$A5141+$C$2:$C5141)), "")*24*60, "")</f>
        <v/>
      </c>
      <c r="Q5142" s="24" t="str" cm="1">
        <f t="array" ref="Q5142">IFERROR(IF($B5142=Q$1, ($A5142+$C5142) - MAX(IF($B$2:$B5141=$B5142, $A$2:$A5141+$C$2:$C5141)), "")*24*60, "")</f>
        <v/>
      </c>
    </row>
    <row r="5143" spans="1:17" x14ac:dyDescent="0.2">
      <c r="A5143" s="12">
        <f t="shared" ref="A5143:C5143" si="1186">A5142</f>
        <v>45982</v>
      </c>
      <c r="B5143" s="5" t="str">
        <f t="shared" si="1186"/>
        <v>Mourning Dove</v>
      </c>
      <c r="C5143" s="6">
        <f t="shared" si="1186"/>
        <v>0.38750000000000001</v>
      </c>
      <c r="D5143" s="5"/>
      <c r="E5143" s="5"/>
      <c r="F5143" s="5" t="s">
        <v>8</v>
      </c>
      <c r="G5143" s="15" t="s">
        <v>9</v>
      </c>
      <c r="H5143" s="24">
        <f t="shared" si="1128"/>
        <v>0</v>
      </c>
      <c r="I5143" s="24" t="str" cm="1">
        <f t="array" ref="I5143">IFERROR(IF($B5143=I$1, ($A5143+$C5143) - MAX(IF($B$2:$B5142=$B5143, $A$2:$A5142+$C$2:$C5142)), "")*24*60, "")</f>
        <v/>
      </c>
      <c r="J5143" s="24" t="str" cm="1">
        <f t="array" ref="J5143">IFERROR(IF($B5143=J$1, ($A5143+$C5143) - MAX(IF($B$2:$B5142=$B5143, $A$2:$A5142+$C$2:$C5142)), "")*24*60, "")</f>
        <v/>
      </c>
      <c r="K5143" s="24" t="str" cm="1">
        <f t="array" ref="K5143">IFERROR(IF($B5143=K$1, ($A5143+$C5143) - MAX(IF($B$2:$B5142=$B5143, $A$2:$A5142+$C$2:$C5142)), "")*24*60, "")</f>
        <v/>
      </c>
      <c r="L5143" s="24" t="str" cm="1">
        <f t="array" ref="L5143">IFERROR(IF($B5143=L$1, ($A5143+$C5143) - MAX(IF($B$2:$B5142=$B5143, $A$2:$A5142+$C$2:$C5142)), "")*24*60, "")</f>
        <v/>
      </c>
      <c r="M5143" s="24" t="str" cm="1">
        <f t="array" ref="M5143">IFERROR(IF($B5143=M$1, ($A5143+$C5143) - MAX(IF($B$2:$B5142=$B5143, $A$2:$A5142+$C$2:$C5142)), "")*24*60, "")</f>
        <v/>
      </c>
      <c r="N5143" s="24" t="str" cm="1">
        <f t="array" ref="N5143">IFERROR(IF($B5143=N$1, ($A5143+$C5143) - MAX(IF($B$2:$B5142=$B5143, $A$2:$A5142+$C$2:$C5142)), "")*24*60, "")</f>
        <v/>
      </c>
      <c r="O5143" s="24" cm="1">
        <f t="array" ref="O5143">IFERROR(IF($B5143=O$1, ($A5143+$C5143) - MAX(IF($B$2:$B5142=$B5143, $A$2:$A5142+$C$2:$C5142)), "")*24*60, "")</f>
        <v>0</v>
      </c>
      <c r="P5143" s="24" t="str" cm="1">
        <f t="array" ref="P5143">IFERROR(IF($B5143=P$1, ($A5143+$C5143) - MAX(IF($B$2:$B5142=$B5143, $A$2:$A5142+$C$2:$C5142)), "")*24*60, "")</f>
        <v/>
      </c>
      <c r="Q5143" s="24" t="str" cm="1">
        <f t="array" ref="Q5143">IFERROR(IF($B5143=Q$1, ($A5143+$C5143) - MAX(IF($B$2:$B5142=$B5143, $A$2:$A5142+$C$2:$C5142)), "")*24*60, "")</f>
        <v/>
      </c>
    </row>
    <row r="5144" spans="1:17" x14ac:dyDescent="0.2">
      <c r="A5144" s="12">
        <f t="shared" ref="A5144:C5144" si="1187">A5143</f>
        <v>45982</v>
      </c>
      <c r="B5144" s="5" t="str">
        <f t="shared" si="1187"/>
        <v>Mourning Dove</v>
      </c>
      <c r="C5144" s="6">
        <f t="shared" si="1187"/>
        <v>0.38750000000000001</v>
      </c>
      <c r="D5144" s="5"/>
      <c r="E5144" s="5"/>
      <c r="F5144" s="5" t="s">
        <v>8</v>
      </c>
      <c r="G5144" s="15" t="s">
        <v>9</v>
      </c>
      <c r="H5144" s="24">
        <f t="shared" si="1128"/>
        <v>0</v>
      </c>
      <c r="I5144" s="24" t="str" cm="1">
        <f t="array" ref="I5144">IFERROR(IF($B5144=I$1, ($A5144+$C5144) - MAX(IF($B$2:$B5143=$B5144, $A$2:$A5143+$C$2:$C5143)), "")*24*60, "")</f>
        <v/>
      </c>
      <c r="J5144" s="24" t="str" cm="1">
        <f t="array" ref="J5144">IFERROR(IF($B5144=J$1, ($A5144+$C5144) - MAX(IF($B$2:$B5143=$B5144, $A$2:$A5143+$C$2:$C5143)), "")*24*60, "")</f>
        <v/>
      </c>
      <c r="K5144" s="24" t="str" cm="1">
        <f t="array" ref="K5144">IFERROR(IF($B5144=K$1, ($A5144+$C5144) - MAX(IF($B$2:$B5143=$B5144, $A$2:$A5143+$C$2:$C5143)), "")*24*60, "")</f>
        <v/>
      </c>
      <c r="L5144" s="24" t="str" cm="1">
        <f t="array" ref="L5144">IFERROR(IF($B5144=L$1, ($A5144+$C5144) - MAX(IF($B$2:$B5143=$B5144, $A$2:$A5143+$C$2:$C5143)), "")*24*60, "")</f>
        <v/>
      </c>
      <c r="M5144" s="24" t="str" cm="1">
        <f t="array" ref="M5144">IFERROR(IF($B5144=M$1, ($A5144+$C5144) - MAX(IF($B$2:$B5143=$B5144, $A$2:$A5143+$C$2:$C5143)), "")*24*60, "")</f>
        <v/>
      </c>
      <c r="N5144" s="24" t="str" cm="1">
        <f t="array" ref="N5144">IFERROR(IF($B5144=N$1, ($A5144+$C5144) - MAX(IF($B$2:$B5143=$B5144, $A$2:$A5143+$C$2:$C5143)), "")*24*60, "")</f>
        <v/>
      </c>
      <c r="O5144" s="24" cm="1">
        <f t="array" ref="O5144">IFERROR(IF($B5144=O$1, ($A5144+$C5144) - MAX(IF($B$2:$B5143=$B5144, $A$2:$A5143+$C$2:$C5143)), "")*24*60, "")</f>
        <v>0</v>
      </c>
      <c r="P5144" s="24" t="str" cm="1">
        <f t="array" ref="P5144">IFERROR(IF($B5144=P$1, ($A5144+$C5144) - MAX(IF($B$2:$B5143=$B5144, $A$2:$A5143+$C$2:$C5143)), "")*24*60, "")</f>
        <v/>
      </c>
      <c r="Q5144" s="24" t="str" cm="1">
        <f t="array" ref="Q5144">IFERROR(IF($B5144=Q$1, ($A5144+$C5144) - MAX(IF($B$2:$B5143=$B5144, $A$2:$A5143+$C$2:$C5143)),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77"/>
  <sheetViews>
    <sheetView zoomScale="120" zoomScaleNormal="120" workbookViewId="0">
      <pane ySplit="1" topLeftCell="A153" activePane="bottomLeft" state="frozen"/>
      <selection pane="bottomLeft" activeCell="A178" sqref="A17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10">
        <v>45981</v>
      </c>
      <c r="B177" s="11" t="s">
        <v>10</v>
      </c>
      <c r="C177" s="11">
        <f>COUNTIFS(RawData!$B:$B, $B177, RawData!$A:$A, DailySummaries!$A177)</f>
        <v>4</v>
      </c>
      <c r="D177" s="11">
        <f>SUMIFS(RawData!$D:$D,RawData!$B:$B,$B177,RawData!$A:$A,DailySummaries!$A177)+1</f>
        <v>4</v>
      </c>
      <c r="E177" s="11">
        <f>SUMIFS(RawData!$E:$E,RawData!$B:$B,$B177,RawData!$A:$A,DailySummaries!$A177)+1</f>
        <v>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2025-11-21T10:29:44Z</dcterms:modified>
</cp:coreProperties>
</file>
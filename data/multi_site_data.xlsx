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2AA4C49C-1F30-7040-B7D6-70BCA79725B5}" xr6:coauthVersionLast="47" xr6:coauthVersionMax="47" xr10:uidLastSave="{00000000-0000-0000-0000-000000000000}"/>
  <bookViews>
    <workbookView xWindow="3360" yWindow="500" windowWidth="30240" windowHeight="1940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3" i="2" l="1"/>
  <c r="D153" i="2"/>
  <c r="E153" i="2"/>
  <c r="C154" i="2"/>
  <c r="D154" i="2"/>
  <c r="E154" i="2"/>
  <c r="C155" i="2"/>
  <c r="D155" i="2"/>
  <c r="E155" i="2"/>
  <c r="C156" i="2"/>
  <c r="D156" i="2"/>
  <c r="E156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3441" i="1" l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H3444" i="1" l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3446" i="1" l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3446" i="1" l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3447" i="1" l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3448" i="1" l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3449" i="1" l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3450" i="1" l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3451" i="1" l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3452" i="1" l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3454" i="1" l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3454" i="1" l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3455" i="1" l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I3456" i="1" l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3458" i="1" l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3458" i="1" l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B4597" i="1" l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B4598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B4600" i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B4602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B4605" i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6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B4607" i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B4608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B4610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1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8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20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B4621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2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B4629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B4630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B4639" i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B4640" i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1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B4644" i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A4650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1" i="1" l="1"/>
  <c r="P4649" i="1" a="1"/>
  <c r="P4649" i="1" s="1"/>
  <c r="B4650" i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1" i="1" l="1"/>
  <c r="M4650" i="1" a="1"/>
  <c r="M4650" i="1" s="1"/>
  <c r="P4650" i="1" a="1"/>
  <c r="P4650" i="1" s="1"/>
  <c r="A4652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3" i="1" l="1"/>
  <c r="M4651" i="1" a="1"/>
  <c r="M4651" i="1" s="1"/>
  <c r="B4652" i="1"/>
  <c r="P4651" i="1" a="1"/>
  <c r="P4651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3" i="1" l="1"/>
  <c r="M4652" i="1" a="1"/>
  <c r="M4652" i="1" s="1"/>
  <c r="P4652" i="1" a="1"/>
  <c r="P4652" i="1" s="1"/>
  <c r="A4654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5" i="1" l="1"/>
  <c r="P4653" i="1" a="1"/>
  <c r="P4653" i="1" s="1"/>
  <c r="B4654" i="1"/>
  <c r="M4653" i="1" a="1"/>
  <c r="M4653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4" i="1" l="1" a="1"/>
  <c r="P4654" i="1" s="1"/>
  <c r="B4655" i="1"/>
  <c r="M4654" i="1" a="1"/>
  <c r="M4654" i="1" s="1"/>
  <c r="A4656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5" i="1" l="1" a="1"/>
  <c r="P4655" i="1" s="1"/>
  <c r="B4656" i="1"/>
  <c r="M4655" i="1" a="1"/>
  <c r="M4655" i="1" s="1"/>
  <c r="A4657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8" i="1" l="1"/>
  <c r="B4657" i="1"/>
  <c r="M4656" i="1" a="1"/>
  <c r="M4656" i="1" s="1"/>
  <c r="P4656" i="1" a="1"/>
  <c r="P4656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7" i="1" l="1" a="1"/>
  <c r="M4657" i="1" s="1"/>
  <c r="B4658" i="1"/>
  <c r="P4657" i="1" a="1"/>
  <c r="P4657" i="1" s="1"/>
  <c r="A4659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60" i="1" l="1"/>
  <c r="P4658" i="1" a="1"/>
  <c r="P4658" i="1" s="1"/>
  <c r="B4659" i="1"/>
  <c r="M4658" i="1" a="1"/>
  <c r="M4658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P4659" i="1" a="1"/>
  <c r="P4659" i="1" s="1"/>
  <c r="B4660" i="1"/>
  <c r="M4659" i="1" a="1"/>
  <c r="M4659" i="1" s="1"/>
  <c r="A4661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B4661" i="1"/>
  <c r="P4660" i="1" a="1"/>
  <c r="P4660" i="1" s="1"/>
  <c r="M4660" i="1" a="1"/>
  <c r="M4660" i="1" s="1"/>
  <c r="A4662" i="1"/>
  <c r="A3526" i="1" l="1"/>
  <c r="I3525" i="1" a="1"/>
  <c r="I3525" i="1" s="1"/>
  <c r="H3525" i="1"/>
  <c r="A4663" i="1"/>
  <c r="M4661" i="1" a="1"/>
  <c r="M4661" i="1" s="1"/>
  <c r="P4661" i="1" a="1"/>
  <c r="P4661" i="1" s="1"/>
  <c r="B4662" i="1"/>
  <c r="A3527" i="1" l="1"/>
  <c r="L3526" i="1" a="1"/>
  <c r="L3526" i="1" s="1"/>
  <c r="H3526" i="1"/>
  <c r="M4662" i="1" a="1"/>
  <c r="M4662" i="1" s="1"/>
  <c r="B4663" i="1"/>
  <c r="P4662" i="1" a="1"/>
  <c r="P4662" i="1" s="1"/>
  <c r="A4664" i="1"/>
  <c r="L3527" i="1" l="1" a="1"/>
  <c r="L3527" i="1" s="1"/>
  <c r="A3528" i="1"/>
  <c r="H3527" i="1"/>
  <c r="B4664" i="1"/>
  <c r="M4663" i="1" a="1"/>
  <c r="M4663" i="1" s="1"/>
  <c r="P4663" i="1" a="1"/>
  <c r="P4663" i="1" s="1"/>
  <c r="A4665" i="1"/>
  <c r="A3529" i="1" l="1"/>
  <c r="O3528" i="1" a="1"/>
  <c r="O3528" i="1" s="1"/>
  <c r="H3528" i="1"/>
  <c r="A4666" i="1"/>
  <c r="B4665" i="1"/>
  <c r="M4664" i="1" a="1"/>
  <c r="M4664" i="1" s="1"/>
  <c r="P4664" i="1" a="1"/>
  <c r="P4664" i="1" s="1"/>
  <c r="A3530" i="1" l="1"/>
  <c r="H3529" i="1"/>
  <c r="O3529" i="1" a="1"/>
  <c r="O3529" i="1" s="1"/>
  <c r="P4665" i="1" a="1"/>
  <c r="P4665" i="1" s="1"/>
  <c r="B4666" i="1"/>
  <c r="M4665" i="1" a="1"/>
  <c r="M4665" i="1" s="1"/>
  <c r="A4667" i="1"/>
  <c r="A3531" i="1" l="1"/>
  <c r="H3530" i="1"/>
  <c r="O3530" i="1" a="1"/>
  <c r="O3530" i="1" s="1"/>
  <c r="P4666" i="1" a="1"/>
  <c r="P4666" i="1" s="1"/>
  <c r="B4667" i="1"/>
  <c r="M4666" i="1" a="1"/>
  <c r="M4666" i="1" s="1"/>
  <c r="A4668" i="1"/>
  <c r="A3532" i="1" l="1"/>
  <c r="H3531" i="1"/>
  <c r="O3531" i="1" a="1"/>
  <c r="O3531" i="1" s="1"/>
  <c r="A4669" i="1"/>
  <c r="P4667" i="1" a="1"/>
  <c r="P4667" i="1" s="1"/>
  <c r="M4667" i="1" a="1"/>
  <c r="M4667" i="1" s="1"/>
  <c r="B4668" i="1"/>
  <c r="A3533" i="1" l="1"/>
  <c r="O3532" i="1" a="1"/>
  <c r="O3532" i="1" s="1"/>
  <c r="H3532" i="1"/>
  <c r="A4670" i="1"/>
  <c r="B4669" i="1"/>
  <c r="M4668" i="1" a="1"/>
  <c r="M4668" i="1" s="1"/>
  <c r="P4668" i="1" a="1"/>
  <c r="P4668" i="1" s="1"/>
  <c r="A3534" i="1" l="1"/>
  <c r="H3533" i="1"/>
  <c r="O3533" i="1" a="1"/>
  <c r="O3533" i="1" s="1"/>
  <c r="P4669" i="1" a="1"/>
  <c r="P4669" i="1" s="1"/>
  <c r="M4669" i="1" a="1"/>
  <c r="M4669" i="1" s="1"/>
  <c r="B4670" i="1"/>
  <c r="A4671" i="1"/>
  <c r="A3535" i="1" l="1"/>
  <c r="O3534" i="1" a="1"/>
  <c r="O3534" i="1" s="1"/>
  <c r="H3534" i="1"/>
  <c r="P4670" i="1" a="1"/>
  <c r="P4670" i="1" s="1"/>
  <c r="B4671" i="1"/>
  <c r="M4670" i="1" a="1"/>
  <c r="M4670" i="1" s="1"/>
  <c r="A4672" i="1"/>
  <c r="A3536" i="1" l="1"/>
  <c r="H3535" i="1"/>
  <c r="O3535" i="1" a="1"/>
  <c r="O3535" i="1" s="1"/>
  <c r="B4672" i="1"/>
  <c r="M4671" i="1" a="1"/>
  <c r="M4671" i="1" s="1"/>
  <c r="P4671" i="1" a="1"/>
  <c r="P4671" i="1" s="1"/>
  <c r="A4673" i="1"/>
  <c r="A3537" i="1" l="1"/>
  <c r="H3536" i="1"/>
  <c r="O3536" i="1" a="1"/>
  <c r="O3536" i="1" s="1"/>
  <c r="A4674" i="1"/>
  <c r="B4673" i="1"/>
  <c r="P4672" i="1" a="1"/>
  <c r="P4672" i="1" s="1"/>
  <c r="M4672" i="1" a="1"/>
  <c r="M4672" i="1" s="1"/>
  <c r="C152" i="2" l="1"/>
  <c r="E148" i="2"/>
  <c r="A3538" i="1"/>
  <c r="H3537" i="1"/>
  <c r="O3537" i="1" a="1"/>
  <c r="O3537" i="1" s="1"/>
  <c r="M4673" i="1" a="1"/>
  <c r="M4673" i="1" s="1"/>
  <c r="B4674" i="1"/>
  <c r="D152" i="2" s="1"/>
  <c r="P4673" i="1" a="1"/>
  <c r="P4673" i="1" s="1"/>
  <c r="E142" i="2" l="1"/>
  <c r="D148" i="2"/>
  <c r="E152" i="2"/>
  <c r="E147" i="2"/>
  <c r="D150" i="2"/>
  <c r="C150" i="2"/>
  <c r="E150" i="2"/>
  <c r="D151" i="2"/>
  <c r="E151" i="2"/>
  <c r="C151" i="2"/>
  <c r="D142" i="2"/>
  <c r="C142" i="2"/>
  <c r="C147" i="2"/>
  <c r="D147" i="2"/>
  <c r="D149" i="2"/>
  <c r="C149" i="2"/>
  <c r="E149" i="2"/>
  <c r="C146" i="2"/>
  <c r="C148" i="2"/>
  <c r="E146" i="2"/>
  <c r="D146" i="2"/>
  <c r="D143" i="2"/>
  <c r="D144" i="2"/>
  <c r="C144" i="2"/>
  <c r="E145" i="2"/>
  <c r="D145" i="2"/>
  <c r="C145" i="2"/>
  <c r="E144" i="2"/>
  <c r="E143" i="2"/>
  <c r="C143" i="2"/>
  <c r="C139" i="2"/>
  <c r="E139" i="2"/>
  <c r="E141" i="2"/>
  <c r="D139" i="2"/>
  <c r="C141" i="2"/>
  <c r="D141" i="2"/>
  <c r="D119" i="2"/>
  <c r="D118" i="2"/>
  <c r="C125" i="2"/>
  <c r="C118" i="2"/>
  <c r="E128" i="2"/>
  <c r="C135" i="2"/>
  <c r="C120" i="2"/>
  <c r="D132" i="2"/>
  <c r="E115" i="2"/>
  <c r="E135" i="2"/>
  <c r="D128" i="2"/>
  <c r="E132" i="2"/>
  <c r="D129" i="2"/>
  <c r="E136" i="2"/>
  <c r="D123" i="2"/>
  <c r="E119" i="2"/>
  <c r="E129" i="2"/>
  <c r="C129" i="2"/>
  <c r="C132" i="2"/>
  <c r="E123" i="2"/>
  <c r="D124" i="2"/>
  <c r="D131" i="2"/>
  <c r="D120" i="2"/>
  <c r="D114" i="2"/>
  <c r="D137" i="2"/>
  <c r="C115" i="2"/>
  <c r="D125" i="2"/>
  <c r="E114" i="2"/>
  <c r="C137" i="2"/>
  <c r="D115" i="2"/>
  <c r="E131" i="2"/>
  <c r="C119" i="2"/>
  <c r="C128" i="2"/>
  <c r="E125" i="2"/>
  <c r="E137" i="2"/>
  <c r="C124" i="2"/>
  <c r="E118" i="2"/>
  <c r="C131" i="2"/>
  <c r="C136" i="2"/>
  <c r="D135" i="2"/>
  <c r="E124" i="2"/>
  <c r="C123" i="2"/>
  <c r="D136" i="2"/>
  <c r="C114" i="2"/>
  <c r="A3539" i="1"/>
  <c r="O3538" i="1" a="1"/>
  <c r="O3538" i="1" s="1"/>
  <c r="H3538" i="1"/>
  <c r="E120" i="2"/>
  <c r="P4674" i="1" a="1"/>
  <c r="P4674" i="1" s="1"/>
  <c r="M4674" i="1" a="1"/>
  <c r="M4674" i="1" s="1"/>
  <c r="A3540" i="1" l="1"/>
  <c r="H3539" i="1"/>
  <c r="O3539" i="1" a="1"/>
  <c r="O3539" i="1" s="1"/>
  <c r="E67" i="2"/>
  <c r="C13" i="2"/>
  <c r="D55" i="2"/>
  <c r="C62" i="2"/>
  <c r="D109" i="2"/>
  <c r="D111" i="2"/>
  <c r="D23" i="2"/>
  <c r="E64" i="2"/>
  <c r="C90" i="2"/>
  <c r="C76" i="2"/>
  <c r="C71" i="2"/>
  <c r="D67" i="2"/>
  <c r="D83" i="2"/>
  <c r="E82" i="2"/>
  <c r="C91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E13" i="2"/>
  <c r="D6" i="2"/>
  <c r="C19" i="2"/>
  <c r="D47" i="2"/>
  <c r="C79" i="2"/>
  <c r="E32" i="2"/>
  <c r="C34" i="2"/>
  <c r="D19" i="2"/>
  <c r="C6" i="2"/>
  <c r="E66" i="2"/>
  <c r="C56" i="2"/>
  <c r="D70" i="2"/>
  <c r="C72" i="2"/>
  <c r="C95" i="2"/>
  <c r="E35" i="2"/>
  <c r="D10" i="2"/>
  <c r="E80" i="2"/>
  <c r="E49" i="2"/>
  <c r="E100" i="2"/>
  <c r="E83" i="2"/>
  <c r="C80" i="2"/>
  <c r="E16" i="2"/>
  <c r="E50" i="2"/>
  <c r="C75" i="2"/>
  <c r="C55" i="2"/>
  <c r="C44" i="2"/>
  <c r="C36" i="2"/>
  <c r="D91" i="2"/>
  <c r="C11" i="2"/>
  <c r="D42" i="2"/>
  <c r="C105" i="2"/>
  <c r="C20" i="2"/>
  <c r="C30" i="2"/>
  <c r="E55" i="2"/>
  <c r="E10" i="2"/>
  <c r="C14" i="2"/>
  <c r="C66" i="2"/>
  <c r="E23" i="2"/>
  <c r="C85" i="2"/>
  <c r="E30" i="2"/>
  <c r="E79" i="2"/>
  <c r="C46" i="2"/>
  <c r="E46" i="2"/>
  <c r="C65" i="2"/>
  <c r="E91" i="2"/>
  <c r="D28" i="2"/>
  <c r="D39" i="2"/>
  <c r="E31" i="2"/>
  <c r="E39" i="2"/>
  <c r="E86" i="2"/>
  <c r="D86" i="2"/>
  <c r="E47" i="2"/>
  <c r="C31" i="2"/>
  <c r="C24" i="2"/>
  <c r="D44" i="2"/>
  <c r="C3" i="2"/>
  <c r="E85" i="2"/>
  <c r="D29" i="2"/>
  <c r="C67" i="2"/>
  <c r="D88" i="2"/>
  <c r="E34" i="2"/>
  <c r="E45" i="2"/>
  <c r="E19" i="2"/>
  <c r="D49" i="2"/>
  <c r="D71" i="2"/>
  <c r="E21" i="2"/>
  <c r="E62" i="2"/>
  <c r="C106" i="2"/>
  <c r="C32" i="2"/>
  <c r="C28" i="2"/>
  <c r="C53" i="2"/>
  <c r="D25" i="2"/>
  <c r="C10" i="2"/>
  <c r="C45" i="2"/>
  <c r="C23" i="2"/>
  <c r="E90" i="2"/>
  <c r="D37" i="2"/>
  <c r="C16" i="2"/>
  <c r="E56" i="2"/>
  <c r="C29" i="2"/>
  <c r="E105" i="2"/>
  <c r="E71" i="2"/>
  <c r="E88" i="2"/>
  <c r="D72" i="2"/>
  <c r="D16" i="2"/>
  <c r="C41" i="2"/>
  <c r="C64" i="2"/>
  <c r="E25" i="2"/>
  <c r="E5" i="2"/>
  <c r="D57" i="2"/>
  <c r="E95" i="2"/>
  <c r="E14" i="2"/>
  <c r="D32" i="2"/>
  <c r="C17" i="2"/>
  <c r="D20" i="2"/>
  <c r="E65" i="2"/>
  <c r="D13" i="2"/>
  <c r="C26" i="2"/>
  <c r="E28" i="2"/>
  <c r="D41" i="2"/>
  <c r="C88" i="2"/>
  <c r="C37" i="2"/>
  <c r="C7" i="2"/>
  <c r="E11" i="2"/>
  <c r="E36" i="2"/>
  <c r="E26" i="2"/>
  <c r="E51" i="2"/>
  <c r="D51" i="2"/>
  <c r="C99" i="2"/>
  <c r="C101" i="2"/>
  <c r="C96" i="2"/>
  <c r="E106" i="2"/>
  <c r="D95" i="2"/>
  <c r="E96" i="2"/>
  <c r="E101" i="2"/>
  <c r="E99" i="2"/>
  <c r="E40" i="2"/>
  <c r="C47" i="2"/>
  <c r="C51" i="2"/>
  <c r="E72" i="2"/>
  <c r="C100" i="2"/>
  <c r="D66" i="2"/>
  <c r="C86" i="2"/>
  <c r="D35" i="2"/>
  <c r="D7" i="2"/>
  <c r="E9" i="2"/>
  <c r="D11" i="2"/>
  <c r="E42" i="2"/>
  <c r="C42" i="2"/>
  <c r="E29" i="2"/>
  <c r="E75" i="2"/>
  <c r="D45" i="2"/>
  <c r="D56" i="2"/>
  <c r="D64" i="2"/>
  <c r="D60" i="2"/>
  <c r="D101" i="2"/>
  <c r="D31" i="2"/>
  <c r="D100" i="2"/>
  <c r="E24" i="2"/>
  <c r="D65" i="2"/>
  <c r="D79" i="2"/>
  <c r="D9" i="2"/>
  <c r="D53" i="2"/>
  <c r="E109" i="2"/>
  <c r="D106" i="2"/>
  <c r="E53" i="2"/>
  <c r="E3" i="2"/>
  <c r="C70" i="2"/>
  <c r="E110" i="2"/>
  <c r="C111" i="2"/>
  <c r="D40" i="2"/>
  <c r="C49" i="2"/>
  <c r="D76" i="2"/>
  <c r="E17" i="2"/>
  <c r="C82" i="2"/>
  <c r="E7" i="2"/>
  <c r="E60" i="2"/>
  <c r="D14" i="2"/>
  <c r="D75" i="2"/>
  <c r="C60" i="2"/>
  <c r="D80" i="2"/>
  <c r="C92" i="2"/>
  <c r="D85" i="2"/>
  <c r="D105" i="2"/>
  <c r="D62" i="2"/>
  <c r="C50" i="2"/>
  <c r="D21" i="2"/>
  <c r="C83" i="2"/>
  <c r="E41" i="2"/>
  <c r="D99" i="2"/>
  <c r="D110" i="2"/>
  <c r="D96" i="2"/>
  <c r="D17" i="2"/>
  <c r="E111" i="2"/>
  <c r="C35" i="2"/>
  <c r="C110" i="2"/>
  <c r="C109" i="2"/>
  <c r="D5" i="2"/>
  <c r="D92" i="2"/>
  <c r="D46" i="2"/>
  <c r="D34" i="2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D140" i="2"/>
  <c r="E130" i="2"/>
  <c r="E140" i="2"/>
  <c r="C130" i="2"/>
  <c r="C58" i="2"/>
  <c r="D127" i="2"/>
  <c r="D130" i="2"/>
  <c r="C113" i="2"/>
  <c r="C122" i="2"/>
  <c r="E87" i="2"/>
  <c r="E117" i="2"/>
  <c r="D81" i="2"/>
  <c r="E122" i="2"/>
  <c r="C127" i="2"/>
  <c r="C140" i="2"/>
  <c r="D117" i="2"/>
  <c r="E104" i="2"/>
  <c r="E127" i="2"/>
  <c r="D113" i="2"/>
  <c r="D122" i="2"/>
  <c r="D52" i="2"/>
  <c r="D68" i="2"/>
  <c r="C117" i="2"/>
  <c r="C52" i="2"/>
  <c r="D102" i="2"/>
  <c r="E113" i="2"/>
  <c r="D73" i="2"/>
  <c r="E108" i="2"/>
  <c r="C87" i="2"/>
  <c r="D77" i="2"/>
  <c r="E73" i="2"/>
  <c r="D58" i="2"/>
  <c r="D104" i="2"/>
  <c r="E81" i="2"/>
  <c r="C77" i="2"/>
  <c r="C102" i="2"/>
  <c r="E52" i="2"/>
  <c r="E97" i="2"/>
  <c r="E102" i="2"/>
  <c r="E77" i="2"/>
  <c r="C81" i="2"/>
  <c r="C61" i="2"/>
  <c r="E58" i="2"/>
  <c r="C68" i="2"/>
  <c r="C73" i="2"/>
  <c r="E93" i="2"/>
  <c r="D97" i="2"/>
  <c r="D61" i="2"/>
  <c r="E68" i="2"/>
  <c r="D87" i="2"/>
  <c r="D93" i="2"/>
  <c r="C93" i="2"/>
  <c r="E61" i="2"/>
  <c r="C108" i="2"/>
  <c r="D108" i="2"/>
  <c r="C104" i="2"/>
  <c r="C97" i="2"/>
  <c r="C138" i="2"/>
  <c r="E138" i="2"/>
  <c r="D138" i="2"/>
  <c r="C89" i="2"/>
  <c r="C63" i="2"/>
  <c r="E59" i="2"/>
  <c r="E69" i="2"/>
  <c r="E98" i="2"/>
  <c r="D59" i="2"/>
  <c r="C12" i="2"/>
  <c r="E126" i="2"/>
  <c r="E38" i="2"/>
  <c r="C94" i="2"/>
  <c r="C48" i="2"/>
  <c r="D27" i="2"/>
  <c r="C2" i="2"/>
  <c r="D48" i="2"/>
  <c r="C103" i="2"/>
  <c r="E33" i="2"/>
  <c r="D134" i="2"/>
  <c r="C15" i="2"/>
  <c r="E112" i="2"/>
  <c r="D121" i="2"/>
  <c r="C33" i="2"/>
  <c r="C121" i="2"/>
  <c r="D2" i="2"/>
  <c r="C78" i="2"/>
  <c r="E116" i="2"/>
  <c r="C8" i="2"/>
  <c r="D15" i="2"/>
  <c r="D38" i="2"/>
  <c r="C69" i="2"/>
  <c r="D33" i="2"/>
  <c r="D8" i="2"/>
  <c r="E94" i="2"/>
  <c r="C107" i="2"/>
  <c r="E103" i="2"/>
  <c r="C59" i="2"/>
  <c r="D74" i="2"/>
  <c r="C27" i="2"/>
  <c r="D112" i="2"/>
  <c r="E12" i="2"/>
  <c r="D12" i="2"/>
  <c r="D116" i="2"/>
  <c r="C38" i="2"/>
  <c r="D54" i="2"/>
  <c r="D98" i="2"/>
  <c r="E133" i="2"/>
  <c r="D133" i="2"/>
  <c r="E15" i="2"/>
  <c r="E121" i="2"/>
  <c r="E78" i="2"/>
  <c r="D63" i="2"/>
  <c r="E107" i="2"/>
  <c r="E22" i="2"/>
  <c r="E84" i="2"/>
  <c r="C18" i="2"/>
  <c r="C133" i="2"/>
  <c r="E27" i="2"/>
  <c r="C126" i="2"/>
  <c r="D94" i="2"/>
  <c r="E8" i="2"/>
  <c r="C98" i="2"/>
  <c r="E63" i="2"/>
  <c r="C84" i="2"/>
  <c r="D4" i="2"/>
  <c r="E2" i="2"/>
  <c r="E134" i="2"/>
  <c r="C54" i="2"/>
  <c r="D84" i="2"/>
  <c r="C112" i="2"/>
  <c r="D22" i="2"/>
  <c r="C4" i="2"/>
  <c r="E43" i="2"/>
  <c r="E18" i="2"/>
  <c r="D78" i="2"/>
  <c r="C22" i="2"/>
  <c r="C134" i="2"/>
  <c r="D107" i="2"/>
  <c r="D103" i="2"/>
  <c r="E54" i="2"/>
  <c r="C43" i="2"/>
  <c r="E4" i="2"/>
  <c r="C116" i="2"/>
  <c r="D69" i="2"/>
  <c r="E74" i="2"/>
  <c r="E48" i="2"/>
  <c r="D89" i="2"/>
  <c r="D43" i="2"/>
  <c r="D126" i="2"/>
  <c r="C74" i="2"/>
  <c r="E89" i="2"/>
  <c r="D18" i="2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J4599" i="1" s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J4601" i="1" s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J4604" i="1" s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J4607" i="1" s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J4608" i="1" s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J4609" i="1" s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J4610" i="1" s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J4611" i="1" s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J4612" i="1" s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J4613" i="1" s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J4614" i="1" s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J4615" i="1" s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J4616" i="1" s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J4617" i="1" s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J4618" i="1" s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J4619" i="1" s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J4620" i="1" s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J4623" i="1" s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J4625" i="1" s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J4627" i="1" s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J4628" i="1" s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J4631" i="1" s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J4632" i="1" s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J4633" i="1" s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J4634" i="1" s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J4636" i="1" s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J4638" i="1" s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J4639" i="1" s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J4642" i="1" s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J4643" i="1" s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J4644" i="1" s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J4645" i="1" s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J4646" i="1" s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J4648" i="1" s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J4650" i="1" s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C4674" i="1"/>
  <c r="J4674" i="1" s="1" a="1"/>
  <c r="J4674" i="1" s="1"/>
  <c r="H4673" i="1"/>
  <c r="O4673" i="1" a="1"/>
  <c r="O4673" i="1" s="1"/>
  <c r="L4674" i="1" l="1" a="1"/>
  <c r="L4674" i="1" s="1"/>
  <c r="N4674" i="1" a="1"/>
  <c r="N4674" i="1" s="1"/>
  <c r="I4674" i="1" a="1"/>
  <c r="I4674" i="1" s="1"/>
  <c r="K4674" i="1" a="1"/>
  <c r="K4674" i="1" s="1"/>
  <c r="H4674" i="1"/>
  <c r="O4674" i="1" a="1"/>
  <c r="O467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<sst xmlns="http://schemas.openxmlformats.org/spreadsheetml/2006/main" count="40994" uniqueCount="24">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</sst>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4"/>
  <sheetViews>
    <sheetView tabSelected="1" zoomScaleNormal="100" workbookViewId="0">
      <pane ySplit="1" topLeftCell="A4596" activePane="bottomLeft" state="frozen"/>
      <selection pane="bottomLeft" activeCell="D4597" sqref="D4597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6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6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6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6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6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6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6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6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6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6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</row>
    <row r="4539" spans="1:16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</row>
    <row r="4540" spans="1:16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</row>
    <row r="4541" spans="1:16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</row>
    <row r="4542" spans="1:16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</row>
    <row r="4543" spans="1:16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</row>
    <row r="4544" spans="1:16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</row>
    <row r="4545" spans="1:16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</row>
    <row r="4546" spans="1:16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</row>
    <row r="4547" spans="1:16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</row>
    <row r="4548" spans="1:16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</row>
    <row r="4549" spans="1:16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</row>
    <row r="4550" spans="1:16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</row>
    <row r="4551" spans="1:16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</row>
    <row r="4552" spans="1:16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</row>
    <row r="4553" spans="1:16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</row>
    <row r="4554" spans="1:16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</row>
    <row r="4555" spans="1:16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</row>
    <row r="4556" spans="1:16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</row>
    <row r="4557" spans="1:16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</row>
    <row r="4558" spans="1:16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</row>
    <row r="4559" spans="1:16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</row>
    <row r="4560" spans="1:16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</row>
    <row r="4561" spans="1:16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</row>
    <row r="4562" spans="1:16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</row>
    <row r="4563" spans="1:16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</row>
    <row r="4564" spans="1:16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</row>
    <row r="4565" spans="1:16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</row>
    <row r="4566" spans="1:16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</row>
    <row r="4567" spans="1:16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</row>
    <row r="4568" spans="1:16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</row>
    <row r="4569" spans="1:16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</row>
    <row r="4570" spans="1:16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</row>
    <row r="4571" spans="1:16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</row>
    <row r="4572" spans="1:16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</row>
    <row r="4573" spans="1:16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</row>
    <row r="4574" spans="1:16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</row>
    <row r="4575" spans="1:16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</row>
    <row r="4576" spans="1:16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</row>
    <row r="4577" spans="1:16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</row>
    <row r="4578" spans="1:16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</row>
    <row r="4579" spans="1:16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</row>
    <row r="4580" spans="1:16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</row>
    <row r="4581" spans="1:16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</row>
    <row r="4582" spans="1:16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</row>
    <row r="4583" spans="1:16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</row>
    <row r="4584" spans="1:16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</row>
    <row r="4585" spans="1:16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</row>
    <row r="4586" spans="1:16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</row>
    <row r="4587" spans="1:16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</row>
    <row r="4588" spans="1:16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</row>
    <row r="4589" spans="1:16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</row>
    <row r="4590" spans="1:16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</row>
    <row r="4591" spans="1:16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</row>
    <row r="4592" spans="1:16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</row>
    <row r="4593" spans="1:16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</row>
    <row r="4594" spans="1:16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</row>
    <row r="4595" spans="1:16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</row>
    <row r="4596" spans="1:16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</row>
    <row r="4597" spans="1:16" x14ac:dyDescent="0.2">
      <c r="A4597" s="12">
        <v>45978</v>
      </c>
      <c r="B4597" s="5" t="str">
        <f t="shared" ref="A4597:C4597" si="1075">B4596</f>
        <v>Carolina Wren</v>
      </c>
      <c r="C4597" s="6">
        <v>0.29166666666666669</v>
      </c>
      <c r="D4597" s="5"/>
      <c r="E4597" s="5"/>
      <c r="F4597" s="5" t="s">
        <v>8</v>
      </c>
      <c r="G4597" s="15" t="s">
        <v>9</v>
      </c>
      <c r="H4597" s="24">
        <f t="shared" si="961"/>
        <v>984.99999999417923</v>
      </c>
      <c r="I4597" s="24" t="str" cm="1">
        <f t="array" ref="I4597">IFERROR(IF($B4597=I$1, ($A4597+$C4597) - MAX(IF($B$2:$B4596=$B4597, $A$2:$A4596+$C$2:$C4596)), "")*24*60, "")</f>
        <v/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cm="1">
        <f t="array" ref="L4597">IFERROR(IF($B4597=L$1, ($A4597+$C4597) - MAX(IF($B$2:$B4596=$B4597, $A$2:$A4596+$C$2:$C4596)), "")*24*60, "")</f>
        <v>984.99999999417923</v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076">A4597</f>
        <v>45978</v>
      </c>
      <c r="B4598" s="5" t="str">
        <f t="shared" si="1076"/>
        <v>Carolina Wren</v>
      </c>
      <c r="C4598" s="6">
        <f t="shared" si="1076"/>
        <v>0.29166666666666669</v>
      </c>
      <c r="D4598" s="5"/>
      <c r="E4598" s="5"/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cm="1">
        <f t="array" ref="L4598">IFERROR(IF($B4598=L$1, ($A4598+$C4598) - MAX(IF($B$2:$B4597=$B4598, $A$2:$A4597+$C$2:$C4597)), "")*24*60, "")</f>
        <v>0</v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077">A4598</f>
        <v>45978</v>
      </c>
      <c r="B4599" s="5" t="str">
        <f t="shared" si="1077"/>
        <v>Carolina Wren</v>
      </c>
      <c r="C4599" s="6">
        <f t="shared" si="1077"/>
        <v>0.29166666666666669</v>
      </c>
      <c r="D4599" s="5"/>
      <c r="E4599" s="5"/>
      <c r="F4599" s="5" t="s">
        <v>8</v>
      </c>
      <c r="G4599" s="15" t="s">
        <v>9</v>
      </c>
      <c r="H4599" s="24">
        <f t="shared" ref="H4599:H4662" si="1078">IFERROR((($A4599+$C4599) - ($A4598+$C4598))*24*60, "")</f>
        <v>0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cm="1">
        <f t="array" ref="L4599">IFERROR(IF($B4599=L$1, ($A4599+$C4599) - MAX(IF($B$2:$B4598=$B4599, $A$2:$A4598+$C$2:$C4598)), "")*24*60, "")</f>
        <v>0</v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079">A4599</f>
        <v>45978</v>
      </c>
      <c r="B4600" s="5" t="str">
        <f t="shared" si="1079"/>
        <v>Carolina Wren</v>
      </c>
      <c r="C4600" s="6">
        <f t="shared" si="1079"/>
        <v>0.29166666666666669</v>
      </c>
      <c r="D4600" s="5"/>
      <c r="E4600" s="5"/>
      <c r="F4600" s="5" t="s">
        <v>8</v>
      </c>
      <c r="G4600" s="15" t="s">
        <v>9</v>
      </c>
      <c r="H4600" s="24">
        <f t="shared" si="1078"/>
        <v>0</v>
      </c>
      <c r="I4600" s="24" t="str" cm="1">
        <f t="array" ref="I4600">IFERROR(IF($B4600=I$1, ($A4600+$C4600) - MAX(IF($B$2:$B4599=$B4600, $A$2:$A4599+$C$2:$C4599)), "")*24*60, "")</f>
        <v/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cm="1">
        <f t="array" ref="L4600">IFERROR(IF($B4600=L$1, ($A4600+$C4600) - MAX(IF($B$2:$B4599=$B4600, $A$2:$A4599+$C$2:$C4599)), "")*24*60, "")</f>
        <v>0</v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080">A4600</f>
        <v>45978</v>
      </c>
      <c r="B4601" s="5" t="str">
        <f t="shared" si="1080"/>
        <v>Carolina Wren</v>
      </c>
      <c r="C4601" s="6">
        <f t="shared" si="1080"/>
        <v>0.29166666666666669</v>
      </c>
      <c r="D4601" s="5"/>
      <c r="E4601" s="5"/>
      <c r="F4601" s="5" t="s">
        <v>8</v>
      </c>
      <c r="G4601" s="15" t="s">
        <v>9</v>
      </c>
      <c r="H4601" s="24">
        <f t="shared" si="1078"/>
        <v>0</v>
      </c>
      <c r="I4601" s="24" t="str" cm="1">
        <f t="array" ref="I4601">IFERROR(IF($B4601=I$1, ($A4601+$C4601) - MAX(IF($B$2:$B4600=$B4601, $A$2:$A4600+$C$2:$C4600)), "")*24*60, "")</f>
        <v/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cm="1">
        <f t="array" ref="L4601">IFERROR(IF($B4601=L$1, ($A4601+$C4601) - MAX(IF($B$2:$B4600=$B4601, $A$2:$A4600+$C$2:$C4600)), "")*24*60, "")</f>
        <v>0</v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081">A4601</f>
        <v>45978</v>
      </c>
      <c r="B4602" s="5" t="str">
        <f t="shared" si="1081"/>
        <v>Carolina Wren</v>
      </c>
      <c r="C4602" s="6">
        <f t="shared" si="1081"/>
        <v>0.29166666666666669</v>
      </c>
      <c r="D4602" s="5"/>
      <c r="E4602" s="5"/>
      <c r="F4602" s="5" t="s">
        <v>8</v>
      </c>
      <c r="G4602" s="15" t="s">
        <v>9</v>
      </c>
      <c r="H4602" s="24">
        <f t="shared" si="1078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cm="1">
        <f t="array" ref="L4602">IFERROR(IF($B4602=L$1, ($A4602+$C4602) - MAX(IF($B$2:$B4601=$B4602, $A$2:$A4601+$C$2:$C4601)), "")*24*60, "")</f>
        <v>0</v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082">A4602</f>
        <v>45978</v>
      </c>
      <c r="B4603" s="5" t="str">
        <f t="shared" si="1082"/>
        <v>Carolina Wren</v>
      </c>
      <c r="C4603" s="6">
        <f t="shared" si="1082"/>
        <v>0.29166666666666669</v>
      </c>
      <c r="D4603" s="5"/>
      <c r="E4603" s="5"/>
      <c r="F4603" s="5" t="s">
        <v>8</v>
      </c>
      <c r="G4603" s="15" t="s">
        <v>9</v>
      </c>
      <c r="H4603" s="24">
        <f t="shared" si="1078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cm="1">
        <f t="array" ref="L4603">IFERROR(IF($B4603=L$1, ($A4603+$C4603) - MAX(IF($B$2:$B4602=$B4603, $A$2:$A4602+$C$2:$C4602)), "")*24*60, "")</f>
        <v>0</v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083">A4603</f>
        <v>45978</v>
      </c>
      <c r="B4604" s="5" t="str">
        <f t="shared" si="1083"/>
        <v>Carolina Wren</v>
      </c>
      <c r="C4604" s="6">
        <f t="shared" si="1083"/>
        <v>0.29166666666666669</v>
      </c>
      <c r="D4604" s="5"/>
      <c r="E4604" s="5"/>
      <c r="F4604" s="5" t="s">
        <v>8</v>
      </c>
      <c r="G4604" s="15" t="s">
        <v>9</v>
      </c>
      <c r="H4604" s="24">
        <f t="shared" si="1078"/>
        <v>0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cm="1">
        <f t="array" ref="L4604">IFERROR(IF($B4604=L$1, ($A4604+$C4604) - MAX(IF($B$2:$B4603=$B4604, $A$2:$A4603+$C$2:$C4603)), "")*24*60, "")</f>
        <v>0</v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084">A4604</f>
        <v>45978</v>
      </c>
      <c r="B4605" s="5" t="str">
        <f t="shared" si="1084"/>
        <v>Carolina Wren</v>
      </c>
      <c r="C4605" s="6">
        <f t="shared" si="1084"/>
        <v>0.29166666666666669</v>
      </c>
      <c r="D4605" s="5"/>
      <c r="E4605" s="5"/>
      <c r="F4605" s="5" t="s">
        <v>8</v>
      </c>
      <c r="G4605" s="15" t="s">
        <v>9</v>
      </c>
      <c r="H4605" s="24">
        <f t="shared" si="1078"/>
        <v>0</v>
      </c>
      <c r="I4605" s="24" t="str" cm="1">
        <f t="array" ref="I4605">IFERROR(IF($B4605=I$1, ($A4605+$C4605) - MAX(IF($B$2:$B4604=$B4605, $A$2:$A4604+$C$2:$C4604)), "")*24*60, "")</f>
        <v/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cm="1">
        <f t="array" ref="L4605">IFERROR(IF($B4605=L$1, ($A4605+$C4605) - MAX(IF($B$2:$B4604=$B4605, $A$2:$A4604+$C$2:$C4604)), "")*24*60, "")</f>
        <v>0</v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085">A4605</f>
        <v>45978</v>
      </c>
      <c r="B4606" s="5" t="str">
        <f t="shared" si="1085"/>
        <v>Carolina Wren</v>
      </c>
      <c r="C4606" s="6">
        <f t="shared" si="1085"/>
        <v>0.29166666666666669</v>
      </c>
      <c r="D4606" s="5"/>
      <c r="E4606" s="5"/>
      <c r="F4606" s="5" t="s">
        <v>8</v>
      </c>
      <c r="G4606" s="15" t="s">
        <v>9</v>
      </c>
      <c r="H4606" s="24">
        <f t="shared" si="1078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cm="1">
        <f t="array" ref="L4606">IFERROR(IF($B4606=L$1, ($A4606+$C4606) - MAX(IF($B$2:$B4605=$B4606, $A$2:$A4605+$C$2:$C4605)), "")*24*60, "")</f>
        <v>0</v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086">A4606</f>
        <v>45978</v>
      </c>
      <c r="B4607" s="5" t="str">
        <f t="shared" si="1086"/>
        <v>Carolina Wren</v>
      </c>
      <c r="C4607" s="6">
        <f t="shared" si="1086"/>
        <v>0.29166666666666669</v>
      </c>
      <c r="D4607" s="5"/>
      <c r="E4607" s="5"/>
      <c r="F4607" s="5" t="s">
        <v>8</v>
      </c>
      <c r="G4607" s="15" t="s">
        <v>9</v>
      </c>
      <c r="H4607" s="24">
        <f t="shared" si="1078"/>
        <v>0</v>
      </c>
      <c r="I4607" s="24" t="str" cm="1">
        <f t="array" ref="I4607">IFERROR(IF($B4607=I$1, ($A4607+$C4607) - MAX(IF($B$2:$B4606=$B4607, $A$2:$A4606+$C$2:$C4606)), "")*24*60, "")</f>
        <v/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cm="1">
        <f t="array" ref="L4607">IFERROR(IF($B4607=L$1, ($A4607+$C4607) - MAX(IF($B$2:$B4606=$B4607, $A$2:$A4606+$C$2:$C4606)), "")*24*60, "")</f>
        <v>0</v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087">A4607</f>
        <v>45978</v>
      </c>
      <c r="B4608" s="5" t="str">
        <f t="shared" si="1087"/>
        <v>Carolina Wren</v>
      </c>
      <c r="C4608" s="6">
        <f t="shared" si="1087"/>
        <v>0.29166666666666669</v>
      </c>
      <c r="D4608" s="5"/>
      <c r="E4608" s="5"/>
      <c r="F4608" s="5" t="s">
        <v>8</v>
      </c>
      <c r="G4608" s="15" t="s">
        <v>9</v>
      </c>
      <c r="H4608" s="24">
        <f t="shared" si="1078"/>
        <v>0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cm="1">
        <f t="array" ref="L4608">IFERROR(IF($B4608=L$1, ($A4608+$C4608) - MAX(IF($B$2:$B4607=$B4608, $A$2:$A4607+$C$2:$C4607)), "")*24*60, "")</f>
        <v>0</v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088">A4608</f>
        <v>45978</v>
      </c>
      <c r="B4609" s="5" t="str">
        <f t="shared" si="1088"/>
        <v>Carolina Wren</v>
      </c>
      <c r="C4609" s="6">
        <f t="shared" si="1088"/>
        <v>0.29166666666666669</v>
      </c>
      <c r="D4609" s="5"/>
      <c r="E4609" s="5"/>
      <c r="F4609" s="5" t="s">
        <v>8</v>
      </c>
      <c r="G4609" s="15" t="s">
        <v>9</v>
      </c>
      <c r="H4609" s="24">
        <f t="shared" si="1078"/>
        <v>0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cm="1">
        <f t="array" ref="L4609">IFERROR(IF($B4609=L$1, ($A4609+$C4609) - MAX(IF($B$2:$B4608=$B4609, $A$2:$A4608+$C$2:$C4608)), "")*24*60, "")</f>
        <v>0</v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089">A4609</f>
        <v>45978</v>
      </c>
      <c r="B4610" s="5" t="str">
        <f t="shared" si="1089"/>
        <v>Carolina Wren</v>
      </c>
      <c r="C4610" s="6">
        <f t="shared" si="1089"/>
        <v>0.29166666666666669</v>
      </c>
      <c r="D4610" s="5"/>
      <c r="E4610" s="5"/>
      <c r="F4610" s="5" t="s">
        <v>8</v>
      </c>
      <c r="G4610" s="15" t="s">
        <v>9</v>
      </c>
      <c r="H4610" s="24">
        <f t="shared" si="1078"/>
        <v>0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0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090">A4610</f>
        <v>45978</v>
      </c>
      <c r="B4611" s="5" t="str">
        <f t="shared" si="1090"/>
        <v>Carolina Wren</v>
      </c>
      <c r="C4611" s="6">
        <f t="shared" si="1090"/>
        <v>0.29166666666666669</v>
      </c>
      <c r="D4611" s="5"/>
      <c r="E4611" s="5"/>
      <c r="F4611" s="5" t="s">
        <v>8</v>
      </c>
      <c r="G4611" s="15" t="s">
        <v>9</v>
      </c>
      <c r="H4611" s="24">
        <f t="shared" si="1078"/>
        <v>0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cm="1">
        <f t="array" ref="L4611">IFERROR(IF($B4611=L$1, ($A4611+$C4611) - MAX(IF($B$2:$B4610=$B4611, $A$2:$A4610+$C$2:$C4610)), "")*24*60, "")</f>
        <v>0</v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t="str" cm="1">
        <f t="array" ref="O4611">IFERROR(IF($B4611=O$1, ($A4611+$C4611) - MAX(IF($B$2:$B4610=$B4611, $A$2:$A4610+$C$2:$C4610)), "")*24*60, "")</f>
        <v/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091">A4611</f>
        <v>45978</v>
      </c>
      <c r="B4612" s="5" t="str">
        <f t="shared" si="1091"/>
        <v>Carolina Wren</v>
      </c>
      <c r="C4612" s="6">
        <f t="shared" si="1091"/>
        <v>0.29166666666666669</v>
      </c>
      <c r="D4612" s="5"/>
      <c r="E4612" s="5"/>
      <c r="F4612" s="5" t="s">
        <v>8</v>
      </c>
      <c r="G4612" s="15" t="s">
        <v>9</v>
      </c>
      <c r="H4612" s="24">
        <f t="shared" si="1078"/>
        <v>0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cm="1">
        <f t="array" ref="L4612">IFERROR(IF($B4612=L$1, ($A4612+$C4612) - MAX(IF($B$2:$B4611=$B4612, $A$2:$A4611+$C$2:$C4611)), "")*24*60, "")</f>
        <v>0</v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t="str" cm="1">
        <f t="array" ref="O4612">IFERROR(IF($B4612=O$1, ($A4612+$C4612) - MAX(IF($B$2:$B4611=$B4612, $A$2:$A4611+$C$2:$C4611)), "")*24*60, "")</f>
        <v/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092">A4612</f>
        <v>45978</v>
      </c>
      <c r="B4613" s="5" t="str">
        <f t="shared" si="1092"/>
        <v>Carolina Wren</v>
      </c>
      <c r="C4613" s="6">
        <f t="shared" si="1092"/>
        <v>0.29166666666666669</v>
      </c>
      <c r="D4613" s="5"/>
      <c r="E4613" s="5"/>
      <c r="F4613" s="5" t="s">
        <v>8</v>
      </c>
      <c r="G4613" s="15" t="s">
        <v>9</v>
      </c>
      <c r="H4613" s="24">
        <f t="shared" si="1078"/>
        <v>0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cm="1">
        <f t="array" ref="L4613">IFERROR(IF($B4613=L$1, ($A4613+$C4613) - MAX(IF($B$2:$B4612=$B4613, $A$2:$A4612+$C$2:$C4612)), "")*24*60, "")</f>
        <v>0</v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t="str" cm="1">
        <f t="array" ref="O4613">IFERROR(IF($B4613=O$1, ($A4613+$C4613) - MAX(IF($B$2:$B4612=$B4613, $A$2:$A4612+$C$2:$C4612)), "")*24*60, "")</f>
        <v/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093">A4613</f>
        <v>45978</v>
      </c>
      <c r="B4614" s="5" t="str">
        <f t="shared" si="1093"/>
        <v>Carolina Wren</v>
      </c>
      <c r="C4614" s="6">
        <f t="shared" si="1093"/>
        <v>0.29166666666666669</v>
      </c>
      <c r="D4614" s="5"/>
      <c r="E4614" s="5"/>
      <c r="F4614" s="5" t="s">
        <v>8</v>
      </c>
      <c r="G4614" s="15" t="s">
        <v>9</v>
      </c>
      <c r="H4614" s="24">
        <f t="shared" si="1078"/>
        <v>0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cm="1">
        <f t="array" ref="L4614">IFERROR(IF($B4614=L$1, ($A4614+$C4614) - MAX(IF($B$2:$B4613=$B4614, $A$2:$A4613+$C$2:$C4613)), "")*24*60, "")</f>
        <v>0</v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t="str" cm="1">
        <f t="array" ref="O4614">IFERROR(IF($B4614=O$1, ($A4614+$C4614) - MAX(IF($B$2:$B4613=$B4614, $A$2:$A4613+$C$2:$C4613)), "")*24*60, "")</f>
        <v/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094">A4614</f>
        <v>45978</v>
      </c>
      <c r="B4615" s="5" t="str">
        <f t="shared" si="1094"/>
        <v>Carolina Wren</v>
      </c>
      <c r="C4615" s="6">
        <f t="shared" si="1094"/>
        <v>0.29166666666666669</v>
      </c>
      <c r="D4615" s="5"/>
      <c r="E4615" s="5"/>
      <c r="F4615" s="5" t="s">
        <v>8</v>
      </c>
      <c r="G4615" s="15" t="s">
        <v>9</v>
      </c>
      <c r="H4615" s="24">
        <f t="shared" si="1078"/>
        <v>0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cm="1">
        <f t="array" ref="L4615">IFERROR(IF($B4615=L$1, ($A4615+$C4615) - MAX(IF($B$2:$B4614=$B4615, $A$2:$A4614+$C$2:$C4614)), "")*24*60, "")</f>
        <v>0</v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t="str" cm="1">
        <f t="array" ref="O4615">IFERROR(IF($B4615=O$1, ($A4615+$C4615) - MAX(IF($B$2:$B4614=$B4615, $A$2:$A4614+$C$2:$C4614)), "")*24*60, "")</f>
        <v/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095">A4615</f>
        <v>45978</v>
      </c>
      <c r="B4616" s="5" t="str">
        <f t="shared" si="1095"/>
        <v>Carolina Wren</v>
      </c>
      <c r="C4616" s="6">
        <f t="shared" si="1095"/>
        <v>0.29166666666666669</v>
      </c>
      <c r="D4616" s="5"/>
      <c r="E4616" s="5"/>
      <c r="F4616" s="5" t="s">
        <v>8</v>
      </c>
      <c r="G4616" s="15" t="s">
        <v>9</v>
      </c>
      <c r="H4616" s="24">
        <f t="shared" si="1078"/>
        <v>0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cm="1">
        <f t="array" ref="L4616">IFERROR(IF($B4616=L$1, ($A4616+$C4616) - MAX(IF($B$2:$B4615=$B4616, $A$2:$A4615+$C$2:$C4615)), "")*24*60, "")</f>
        <v>0</v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t="str" cm="1">
        <f t="array" ref="O4616">IFERROR(IF($B4616=O$1, ($A4616+$C4616) - MAX(IF($B$2:$B4615=$B4616, $A$2:$A4615+$C$2:$C4615)), "")*24*60, "")</f>
        <v/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096">A4616</f>
        <v>45978</v>
      </c>
      <c r="B4617" s="5" t="str">
        <f t="shared" si="1096"/>
        <v>Carolina Wren</v>
      </c>
      <c r="C4617" s="6">
        <f t="shared" si="1096"/>
        <v>0.29166666666666669</v>
      </c>
      <c r="D4617" s="5"/>
      <c r="E4617" s="5"/>
      <c r="F4617" s="5" t="s">
        <v>8</v>
      </c>
      <c r="G4617" s="15" t="s">
        <v>9</v>
      </c>
      <c r="H4617" s="24">
        <f t="shared" si="1078"/>
        <v>0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cm="1">
        <f t="array" ref="L4617">IFERROR(IF($B4617=L$1, ($A4617+$C4617) - MAX(IF($B$2:$B4616=$B4617, $A$2:$A4616+$C$2:$C4616)), "")*24*60, "")</f>
        <v>0</v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t="str" cm="1">
        <f t="array" ref="O4617">IFERROR(IF($B4617=O$1, ($A4617+$C4617) - MAX(IF($B$2:$B4616=$B4617, $A$2:$A4616+$C$2:$C4616)), "")*24*60, "")</f>
        <v/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097">A4617</f>
        <v>45978</v>
      </c>
      <c r="B4618" s="5" t="str">
        <f t="shared" si="1097"/>
        <v>Carolina Wren</v>
      </c>
      <c r="C4618" s="6">
        <f t="shared" si="1097"/>
        <v>0.29166666666666669</v>
      </c>
      <c r="D4618" s="5"/>
      <c r="E4618" s="5"/>
      <c r="F4618" s="5" t="s">
        <v>8</v>
      </c>
      <c r="G4618" s="15" t="s">
        <v>9</v>
      </c>
      <c r="H4618" s="24">
        <f t="shared" si="1078"/>
        <v>0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0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098">A4618</f>
        <v>45978</v>
      </c>
      <c r="B4619" s="5" t="str">
        <f t="shared" si="1098"/>
        <v>Carolina Wren</v>
      </c>
      <c r="C4619" s="6">
        <f t="shared" si="1098"/>
        <v>0.29166666666666669</v>
      </c>
      <c r="D4619" s="5"/>
      <c r="E4619" s="5"/>
      <c r="F4619" s="5" t="s">
        <v>8</v>
      </c>
      <c r="G4619" s="15" t="s">
        <v>9</v>
      </c>
      <c r="H4619" s="24">
        <f t="shared" si="1078"/>
        <v>0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0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099">A4619</f>
        <v>45978</v>
      </c>
      <c r="B4620" s="5" t="str">
        <f t="shared" si="1099"/>
        <v>Carolina Wren</v>
      </c>
      <c r="C4620" s="6">
        <f t="shared" si="1099"/>
        <v>0.29166666666666669</v>
      </c>
      <c r="D4620" s="5"/>
      <c r="E4620" s="5"/>
      <c r="F4620" s="5" t="s">
        <v>8</v>
      </c>
      <c r="G4620" s="15" t="s">
        <v>9</v>
      </c>
      <c r="H4620" s="24">
        <f t="shared" si="1078"/>
        <v>0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cm="1">
        <f t="array" ref="L4620">IFERROR(IF($B4620=L$1, ($A4620+$C4620) - MAX(IF($B$2:$B4619=$B4620, $A$2:$A4619+$C$2:$C4619)), "")*24*60, "")</f>
        <v>0</v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t="str" cm="1">
        <f t="array" ref="O4620">IFERROR(IF($B4620=O$1, ($A4620+$C4620) - MAX(IF($B$2:$B4619=$B4620, $A$2:$A4619+$C$2:$C4619)), "")*24*60, "")</f>
        <v/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100">A4620</f>
        <v>45978</v>
      </c>
      <c r="B4621" s="5" t="str">
        <f t="shared" si="1100"/>
        <v>Carolina Wren</v>
      </c>
      <c r="C4621" s="6">
        <f t="shared" si="1100"/>
        <v>0.29166666666666669</v>
      </c>
      <c r="D4621" s="5"/>
      <c r="E4621" s="5"/>
      <c r="F4621" s="5" t="s">
        <v>8</v>
      </c>
      <c r="G4621" s="15" t="s">
        <v>9</v>
      </c>
      <c r="H4621" s="24">
        <f t="shared" si="1078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0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101">A4621</f>
        <v>45978</v>
      </c>
      <c r="B4622" s="5" t="str">
        <f t="shared" si="1101"/>
        <v>Carolina Wren</v>
      </c>
      <c r="C4622" s="6">
        <f t="shared" si="1101"/>
        <v>0.29166666666666669</v>
      </c>
      <c r="D4622" s="5"/>
      <c r="E4622" s="5"/>
      <c r="F4622" s="5" t="s">
        <v>8</v>
      </c>
      <c r="G4622" s="15" t="s">
        <v>9</v>
      </c>
      <c r="H4622" s="24">
        <f t="shared" si="1078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cm="1">
        <f t="array" ref="L4622">IFERROR(IF($B4622=L$1, ($A4622+$C4622) - MAX(IF($B$2:$B4621=$B4622, $A$2:$A4621+$C$2:$C4621)), "")*24*60, "")</f>
        <v>0</v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t="str" cm="1">
        <f t="array" ref="O4622">IFERROR(IF($B4622=O$1, ($A4622+$C4622) - MAX(IF($B$2:$B4621=$B4622, $A$2:$A4621+$C$2:$C4621)), "")*24*60, "")</f>
        <v/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102">A4622</f>
        <v>45978</v>
      </c>
      <c r="B4623" s="5" t="str">
        <f t="shared" si="1102"/>
        <v>Carolina Wren</v>
      </c>
      <c r="C4623" s="6">
        <f t="shared" si="1102"/>
        <v>0.29166666666666669</v>
      </c>
      <c r="D4623" s="5"/>
      <c r="E4623" s="5"/>
      <c r="F4623" s="5" t="s">
        <v>8</v>
      </c>
      <c r="G4623" s="15" t="s">
        <v>9</v>
      </c>
      <c r="H4623" s="24">
        <f t="shared" si="1078"/>
        <v>0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cm="1">
        <f t="array" ref="L4623">IFERROR(IF($B4623=L$1, ($A4623+$C4623) - MAX(IF($B$2:$B4622=$B4623, $A$2:$A4622+$C$2:$C4622)), "")*24*60, "")</f>
        <v>0</v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t="str" cm="1">
        <f t="array" ref="O4623">IFERROR(IF($B4623=O$1, ($A4623+$C4623) - MAX(IF($B$2:$B4622=$B4623, $A$2:$A4622+$C$2:$C4622)), "")*24*60, "")</f>
        <v/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103">A4623</f>
        <v>45978</v>
      </c>
      <c r="B4624" s="5" t="str">
        <f t="shared" si="1103"/>
        <v>Carolina Wren</v>
      </c>
      <c r="C4624" s="6">
        <f t="shared" si="1103"/>
        <v>0.29166666666666669</v>
      </c>
      <c r="D4624" s="5"/>
      <c r="E4624" s="5"/>
      <c r="F4624" s="5" t="s">
        <v>8</v>
      </c>
      <c r="G4624" s="15" t="s">
        <v>9</v>
      </c>
      <c r="H4624" s="24">
        <f t="shared" si="1078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cm="1">
        <f t="array" ref="L4624">IFERROR(IF($B4624=L$1, ($A4624+$C4624) - MAX(IF($B$2:$B4623=$B4624, $A$2:$A4623+$C$2:$C4623)), "")*24*60, "")</f>
        <v>0</v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t="str" cm="1">
        <f t="array" ref="O4624">IFERROR(IF($B4624=O$1, ($A4624+$C4624) - MAX(IF($B$2:$B4623=$B4624, $A$2:$A4623+$C$2:$C4623)), "")*24*60, "")</f>
        <v/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104">A4624</f>
        <v>45978</v>
      </c>
      <c r="B4625" s="5" t="str">
        <f t="shared" si="1104"/>
        <v>Carolina Wren</v>
      </c>
      <c r="C4625" s="6">
        <f t="shared" si="1104"/>
        <v>0.29166666666666669</v>
      </c>
      <c r="D4625" s="5"/>
      <c r="E4625" s="5"/>
      <c r="F4625" s="5" t="s">
        <v>8</v>
      </c>
      <c r="G4625" s="15" t="s">
        <v>9</v>
      </c>
      <c r="H4625" s="24">
        <f t="shared" si="1078"/>
        <v>0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cm="1">
        <f t="array" ref="L4625">IFERROR(IF($B4625=L$1, ($A4625+$C4625) - MAX(IF($B$2:$B4624=$B4625, $A$2:$A4624+$C$2:$C4624)), "")*24*60, "")</f>
        <v>0</v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t="str" cm="1">
        <f t="array" ref="O4625">IFERROR(IF($B4625=O$1, ($A4625+$C4625) - MAX(IF($B$2:$B4624=$B4625, $A$2:$A4624+$C$2:$C4624)), "")*24*60, "")</f>
        <v/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105">A4625</f>
        <v>45978</v>
      </c>
      <c r="B4626" s="5" t="str">
        <f t="shared" si="1105"/>
        <v>Carolina Wren</v>
      </c>
      <c r="C4626" s="6">
        <f t="shared" si="1105"/>
        <v>0.29166666666666669</v>
      </c>
      <c r="D4626" s="5"/>
      <c r="E4626" s="5"/>
      <c r="F4626" s="5" t="s">
        <v>8</v>
      </c>
      <c r="G4626" s="15" t="s">
        <v>9</v>
      </c>
      <c r="H4626" s="24">
        <f t="shared" si="1078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cm="1">
        <f t="array" ref="L4626">IFERROR(IF($B4626=L$1, ($A4626+$C4626) - MAX(IF($B$2:$B4625=$B4626, $A$2:$A4625+$C$2:$C4625)), "")*24*60, "")</f>
        <v>0</v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t="str" cm="1">
        <f t="array" ref="O4626">IFERROR(IF($B4626=O$1, ($A4626+$C4626) - MAX(IF($B$2:$B4625=$B4626, $A$2:$A4625+$C$2:$C4625)), "")*24*60, "")</f>
        <v/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106">A4626</f>
        <v>45978</v>
      </c>
      <c r="B4627" s="5" t="str">
        <f t="shared" si="1106"/>
        <v>Carolina Wren</v>
      </c>
      <c r="C4627" s="6">
        <f t="shared" si="1106"/>
        <v>0.29166666666666669</v>
      </c>
      <c r="D4627" s="5"/>
      <c r="E4627" s="5"/>
      <c r="F4627" s="5" t="s">
        <v>8</v>
      </c>
      <c r="G4627" s="15" t="s">
        <v>9</v>
      </c>
      <c r="H4627" s="24">
        <f t="shared" si="1078"/>
        <v>0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cm="1">
        <f t="array" ref="L4627">IFERROR(IF($B4627=L$1, ($A4627+$C4627) - MAX(IF($B$2:$B4626=$B4627, $A$2:$A4626+$C$2:$C4626)), "")*24*60, "")</f>
        <v>0</v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t="str" cm="1">
        <f t="array" ref="O4627">IFERROR(IF($B4627=O$1, ($A4627+$C4627) - MAX(IF($B$2:$B4626=$B4627, $A$2:$A4626+$C$2:$C4626)), "")*24*60, "")</f>
        <v/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107">A4627</f>
        <v>45978</v>
      </c>
      <c r="B4628" s="5" t="str">
        <f t="shared" si="1107"/>
        <v>Carolina Wren</v>
      </c>
      <c r="C4628" s="6">
        <f t="shared" si="1107"/>
        <v>0.29166666666666669</v>
      </c>
      <c r="D4628" s="5"/>
      <c r="E4628" s="5"/>
      <c r="F4628" s="5" t="s">
        <v>8</v>
      </c>
      <c r="G4628" s="15" t="s">
        <v>9</v>
      </c>
      <c r="H4628" s="24">
        <f t="shared" si="1078"/>
        <v>0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cm="1">
        <f t="array" ref="L4628">IFERROR(IF($B4628=L$1, ($A4628+$C4628) - MAX(IF($B$2:$B4627=$B4628, $A$2:$A4627+$C$2:$C4627)), "")*24*60, "")</f>
        <v>0</v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t="str" cm="1">
        <f t="array" ref="O4628">IFERROR(IF($B4628=O$1, ($A4628+$C4628) - MAX(IF($B$2:$B4627=$B4628, $A$2:$A4627+$C$2:$C4627)), "")*24*60, "")</f>
        <v/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108">A4628</f>
        <v>45978</v>
      </c>
      <c r="B4629" s="5" t="str">
        <f t="shared" si="1108"/>
        <v>Carolina Wren</v>
      </c>
      <c r="C4629" s="6">
        <f t="shared" si="1108"/>
        <v>0.29166666666666669</v>
      </c>
      <c r="D4629" s="5"/>
      <c r="E4629" s="5"/>
      <c r="F4629" s="5" t="s">
        <v>8</v>
      </c>
      <c r="G4629" s="15" t="s">
        <v>9</v>
      </c>
      <c r="H4629" s="24">
        <f t="shared" si="1078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0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109">A4629</f>
        <v>45978</v>
      </c>
      <c r="B4630" s="5" t="str">
        <f t="shared" si="1109"/>
        <v>Carolina Wren</v>
      </c>
      <c r="C4630" s="6">
        <f t="shared" si="1109"/>
        <v>0.29166666666666669</v>
      </c>
      <c r="D4630" s="5"/>
      <c r="E4630" s="5"/>
      <c r="F4630" s="5" t="s">
        <v>8</v>
      </c>
      <c r="G4630" s="15" t="s">
        <v>9</v>
      </c>
      <c r="H4630" s="24">
        <f t="shared" si="1078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cm="1">
        <f t="array" ref="L4630">IFERROR(IF($B4630=L$1, ($A4630+$C4630) - MAX(IF($B$2:$B4629=$B4630, $A$2:$A4629+$C$2:$C4629)), "")*24*60, "")</f>
        <v>0</v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t="str" cm="1">
        <f t="array" ref="O4630">IFERROR(IF($B4630=O$1, ($A4630+$C4630) - MAX(IF($B$2:$B4629=$B4630, $A$2:$A4629+$C$2:$C4629)), "")*24*60, "")</f>
        <v/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110">A4630</f>
        <v>45978</v>
      </c>
      <c r="B4631" s="5" t="str">
        <f t="shared" si="1110"/>
        <v>Carolina Wren</v>
      </c>
      <c r="C4631" s="6">
        <f t="shared" si="1110"/>
        <v>0.29166666666666669</v>
      </c>
      <c r="D4631" s="5"/>
      <c r="E4631" s="5"/>
      <c r="F4631" s="5" t="s">
        <v>8</v>
      </c>
      <c r="G4631" s="15" t="s">
        <v>9</v>
      </c>
      <c r="H4631" s="24">
        <f t="shared" si="1078"/>
        <v>0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cm="1">
        <f t="array" ref="L4631">IFERROR(IF($B4631=L$1, ($A4631+$C4631) - MAX(IF($B$2:$B4630=$B4631, $A$2:$A4630+$C$2:$C4630)), "")*24*60, "")</f>
        <v>0</v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t="str" cm="1">
        <f t="array" ref="O4631">IFERROR(IF($B4631=O$1, ($A4631+$C4631) - MAX(IF($B$2:$B4630=$B4631, $A$2:$A4630+$C$2:$C4630)), "")*24*60, "")</f>
        <v/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111">A4631</f>
        <v>45978</v>
      </c>
      <c r="B4632" s="5" t="str">
        <f t="shared" si="1111"/>
        <v>Carolina Wren</v>
      </c>
      <c r="C4632" s="6">
        <f t="shared" si="1111"/>
        <v>0.29166666666666669</v>
      </c>
      <c r="D4632" s="5"/>
      <c r="E4632" s="5"/>
      <c r="F4632" s="5" t="s">
        <v>8</v>
      </c>
      <c r="G4632" s="15" t="s">
        <v>9</v>
      </c>
      <c r="H4632" s="24">
        <f t="shared" si="1078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cm="1">
        <f t="array" ref="L4632">IFERROR(IF($B4632=L$1, ($A4632+$C4632) - MAX(IF($B$2:$B4631=$B4632, $A$2:$A4631+$C$2:$C4631)), "")*24*60, "")</f>
        <v>0</v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t="str" cm="1">
        <f t="array" ref="O4632">IFERROR(IF($B4632=O$1, ($A4632+$C4632) - MAX(IF($B$2:$B4631=$B4632, $A$2:$A4631+$C$2:$C4631)), "")*24*60, "")</f>
        <v/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112">A4632</f>
        <v>45978</v>
      </c>
      <c r="B4633" s="5" t="str">
        <f t="shared" si="1112"/>
        <v>Carolina Wren</v>
      </c>
      <c r="C4633" s="6">
        <f t="shared" si="1112"/>
        <v>0.29166666666666669</v>
      </c>
      <c r="D4633" s="5"/>
      <c r="E4633" s="5"/>
      <c r="F4633" s="5" t="s">
        <v>8</v>
      </c>
      <c r="G4633" s="15" t="s">
        <v>9</v>
      </c>
      <c r="H4633" s="24">
        <f t="shared" si="1078"/>
        <v>0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cm="1">
        <f t="array" ref="L4633">IFERROR(IF($B4633=L$1, ($A4633+$C4633) - MAX(IF($B$2:$B4632=$B4633, $A$2:$A4632+$C$2:$C4632)), "")*24*60, "")</f>
        <v>0</v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t="str" cm="1">
        <f t="array" ref="O4633">IFERROR(IF($B4633=O$1, ($A4633+$C4633) - MAX(IF($B$2:$B4632=$B4633, $A$2:$A4632+$C$2:$C4632)), "")*24*60, "")</f>
        <v/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113">A4633</f>
        <v>45978</v>
      </c>
      <c r="B4634" s="5" t="str">
        <f t="shared" si="1113"/>
        <v>Carolina Wren</v>
      </c>
      <c r="C4634" s="6">
        <f t="shared" si="1113"/>
        <v>0.29166666666666669</v>
      </c>
      <c r="D4634" s="5"/>
      <c r="E4634" s="5"/>
      <c r="F4634" s="5" t="s">
        <v>8</v>
      </c>
      <c r="G4634" s="15" t="s">
        <v>9</v>
      </c>
      <c r="H4634" s="24">
        <f t="shared" si="1078"/>
        <v>0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cm="1">
        <f t="array" ref="L4634">IFERROR(IF($B4634=L$1, ($A4634+$C4634) - MAX(IF($B$2:$B4633=$B4634, $A$2:$A4633+$C$2:$C4633)), "")*24*60, "")</f>
        <v>0</v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t="str" cm="1">
        <f t="array" ref="O4634">IFERROR(IF($B4634=O$1, ($A4634+$C4634) - MAX(IF($B$2:$B4633=$B4634, $A$2:$A4633+$C$2:$C4633)), "")*24*60, "")</f>
        <v/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114">A4634</f>
        <v>45978</v>
      </c>
      <c r="B4635" s="5" t="str">
        <f t="shared" si="1114"/>
        <v>Carolina Wren</v>
      </c>
      <c r="C4635" s="6">
        <f t="shared" si="1114"/>
        <v>0.29166666666666669</v>
      </c>
      <c r="D4635" s="5"/>
      <c r="E4635" s="5"/>
      <c r="F4635" s="5" t="s">
        <v>8</v>
      </c>
      <c r="G4635" s="15" t="s">
        <v>9</v>
      </c>
      <c r="H4635" s="24">
        <f t="shared" si="1078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cm="1">
        <f t="array" ref="L4635">IFERROR(IF($B4635=L$1, ($A4635+$C4635) - MAX(IF($B$2:$B4634=$B4635, $A$2:$A4634+$C$2:$C4634)), "")*24*60, "")</f>
        <v>0</v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t="str" cm="1">
        <f t="array" ref="O4635">IFERROR(IF($B4635=O$1, ($A4635+$C4635) - MAX(IF($B$2:$B4634=$B4635, $A$2:$A4634+$C$2:$C4634)), "")*24*60, "")</f>
        <v/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115">A4635</f>
        <v>45978</v>
      </c>
      <c r="B4636" s="5" t="str">
        <f t="shared" si="1115"/>
        <v>Carolina Wren</v>
      </c>
      <c r="C4636" s="6">
        <f t="shared" si="1115"/>
        <v>0.29166666666666669</v>
      </c>
      <c r="D4636" s="5"/>
      <c r="E4636" s="5"/>
      <c r="F4636" s="5" t="s">
        <v>8</v>
      </c>
      <c r="G4636" s="15" t="s">
        <v>9</v>
      </c>
      <c r="H4636" s="24">
        <f t="shared" si="1078"/>
        <v>0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cm="1">
        <f t="array" ref="L4636">IFERROR(IF($B4636=L$1, ($A4636+$C4636) - MAX(IF($B$2:$B4635=$B4636, $A$2:$A4635+$C$2:$C4635)), "")*24*60, "")</f>
        <v>0</v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t="str" cm="1">
        <f t="array" ref="O4636">IFERROR(IF($B4636=O$1, ($A4636+$C4636) - MAX(IF($B$2:$B4635=$B4636, $A$2:$A4635+$C$2:$C4635)), "")*24*60, "")</f>
        <v/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116">A4636</f>
        <v>45978</v>
      </c>
      <c r="B4637" s="5" t="str">
        <f t="shared" si="1116"/>
        <v>Carolina Wren</v>
      </c>
      <c r="C4637" s="6">
        <f t="shared" si="1116"/>
        <v>0.29166666666666669</v>
      </c>
      <c r="D4637" s="5"/>
      <c r="E4637" s="5"/>
      <c r="F4637" s="5" t="s">
        <v>8</v>
      </c>
      <c r="G4637" s="15" t="s">
        <v>9</v>
      </c>
      <c r="H4637" s="24">
        <f t="shared" si="1078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cm="1">
        <f t="array" ref="L4637">IFERROR(IF($B4637=L$1, ($A4637+$C4637) - MAX(IF($B$2:$B4636=$B4637, $A$2:$A4636+$C$2:$C4636)), "")*24*60, "")</f>
        <v>0</v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t="str" cm="1">
        <f t="array" ref="O4637">IFERROR(IF($B4637=O$1, ($A4637+$C4637) - MAX(IF($B$2:$B4636=$B4637, $A$2:$A4636+$C$2:$C4636)), "")*24*60, "")</f>
        <v/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117">A4637</f>
        <v>45978</v>
      </c>
      <c r="B4638" s="5" t="str">
        <f t="shared" si="1117"/>
        <v>Carolina Wren</v>
      </c>
      <c r="C4638" s="6">
        <f t="shared" si="1117"/>
        <v>0.29166666666666669</v>
      </c>
      <c r="D4638" s="5"/>
      <c r="E4638" s="5"/>
      <c r="F4638" s="5" t="s">
        <v>8</v>
      </c>
      <c r="G4638" s="15" t="s">
        <v>9</v>
      </c>
      <c r="H4638" s="24">
        <f t="shared" si="1078"/>
        <v>0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cm="1">
        <f t="array" ref="L4638">IFERROR(IF($B4638=L$1, ($A4638+$C4638) - MAX(IF($B$2:$B4637=$B4638, $A$2:$A4637+$C$2:$C4637)), "")*24*60, "")</f>
        <v>0</v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t="str" cm="1">
        <f t="array" ref="O4638">IFERROR(IF($B4638=O$1, ($A4638+$C4638) - MAX(IF($B$2:$B4637=$B4638, $A$2:$A4637+$C$2:$C4637)), "")*24*60, "")</f>
        <v/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118">A4638</f>
        <v>45978</v>
      </c>
      <c r="B4639" s="5" t="str">
        <f t="shared" si="1118"/>
        <v>Carolina Wren</v>
      </c>
      <c r="C4639" s="6">
        <f t="shared" si="1118"/>
        <v>0.29166666666666669</v>
      </c>
      <c r="D4639" s="5"/>
      <c r="E4639" s="5"/>
      <c r="F4639" s="5" t="s">
        <v>8</v>
      </c>
      <c r="G4639" s="15" t="s">
        <v>9</v>
      </c>
      <c r="H4639" s="24">
        <f t="shared" si="1078"/>
        <v>0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cm="1">
        <f t="array" ref="L4639">IFERROR(IF($B4639=L$1, ($A4639+$C4639) - MAX(IF($B$2:$B4638=$B4639, $A$2:$A4638+$C$2:$C4638)), "")*24*60, "")</f>
        <v>0</v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119">A4639</f>
        <v>45978</v>
      </c>
      <c r="B4640" s="5" t="str">
        <f t="shared" si="1119"/>
        <v>Carolina Wren</v>
      </c>
      <c r="C4640" s="6">
        <f t="shared" si="1119"/>
        <v>0.29166666666666669</v>
      </c>
      <c r="D4640" s="5"/>
      <c r="E4640" s="5"/>
      <c r="F4640" s="5" t="s">
        <v>8</v>
      </c>
      <c r="G4640" s="15" t="s">
        <v>9</v>
      </c>
      <c r="H4640" s="24">
        <f t="shared" si="1078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cm="1">
        <f t="array" ref="L4640">IFERROR(IF($B4640=L$1, ($A4640+$C4640) - MAX(IF($B$2:$B4639=$B4640, $A$2:$A4639+$C$2:$C4639)), "")*24*60, "")</f>
        <v>0</v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t="str" cm="1">
        <f t="array" ref="O4640">IFERROR(IF($B4640=O$1, ($A4640+$C4640) - MAX(IF($B$2:$B4639=$B4640, $A$2:$A4639+$C$2:$C4639)), "")*24*60, "")</f>
        <v/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120">A4640</f>
        <v>45978</v>
      </c>
      <c r="B4641" s="5" t="str">
        <f t="shared" si="1120"/>
        <v>Carolina Wren</v>
      </c>
      <c r="C4641" s="6">
        <f t="shared" si="1120"/>
        <v>0.29166666666666669</v>
      </c>
      <c r="D4641" s="5"/>
      <c r="E4641" s="5"/>
      <c r="F4641" s="5" t="s">
        <v>8</v>
      </c>
      <c r="G4641" s="15" t="s">
        <v>9</v>
      </c>
      <c r="H4641" s="24">
        <f t="shared" si="1078"/>
        <v>0</v>
      </c>
      <c r="I4641" s="24" t="str" cm="1">
        <f t="array" ref="I4641">IFERROR(IF($B4641=I$1, ($A4641+$C4641) - MAX(IF($B$2:$B4640=$B4641, $A$2:$A4640+$C$2:$C4640)), "")*24*60, "")</f>
        <v/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cm="1">
        <f t="array" ref="L4641">IFERROR(IF($B4641=L$1, ($A4641+$C4641) - MAX(IF($B$2:$B4640=$B4641, $A$2:$A4640+$C$2:$C4640)), "")*24*60, "")</f>
        <v>0</v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121">A4641</f>
        <v>45978</v>
      </c>
      <c r="B4642" s="5" t="str">
        <f t="shared" si="1121"/>
        <v>Carolina Wren</v>
      </c>
      <c r="C4642" s="6">
        <f t="shared" si="1121"/>
        <v>0.29166666666666669</v>
      </c>
      <c r="D4642" s="5"/>
      <c r="E4642" s="5"/>
      <c r="F4642" s="5" t="s">
        <v>8</v>
      </c>
      <c r="G4642" s="15" t="s">
        <v>9</v>
      </c>
      <c r="H4642" s="24">
        <f t="shared" si="1078"/>
        <v>0</v>
      </c>
      <c r="I4642" s="24" t="str" cm="1">
        <f t="array" ref="I4642">IFERROR(IF($B4642=I$1, ($A4642+$C4642) - MAX(IF($B$2:$B4641=$B4642, $A$2:$A4641+$C$2:$C4641)), "")*24*60, "")</f>
        <v/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cm="1">
        <f t="array" ref="L4642">IFERROR(IF($B4642=L$1, ($A4642+$C4642) - MAX(IF($B$2:$B4641=$B4642, $A$2:$A4641+$C$2:$C4641)), "")*24*60, "")</f>
        <v>0</v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122">A4642</f>
        <v>45978</v>
      </c>
      <c r="B4643" s="5" t="str">
        <f t="shared" si="1122"/>
        <v>Carolina Wren</v>
      </c>
      <c r="C4643" s="6">
        <f t="shared" si="1122"/>
        <v>0.29166666666666669</v>
      </c>
      <c r="D4643" s="5"/>
      <c r="E4643" s="5"/>
      <c r="F4643" s="5" t="s">
        <v>8</v>
      </c>
      <c r="G4643" s="15" t="s">
        <v>9</v>
      </c>
      <c r="H4643" s="24">
        <f t="shared" si="1078"/>
        <v>0</v>
      </c>
      <c r="I4643" s="24" t="str" cm="1">
        <f t="array" ref="I4643">IFERROR(IF($B4643=I$1, ($A4643+$C4643) - MAX(IF($B$2:$B4642=$B4643, $A$2:$A4642+$C$2:$C4642)), "")*24*60, "")</f>
        <v/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cm="1">
        <f t="array" ref="L4643">IFERROR(IF($B4643=L$1, ($A4643+$C4643) - MAX(IF($B$2:$B4642=$B4643, $A$2:$A4642+$C$2:$C4642)), "")*24*60, "")</f>
        <v>0</v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123">A4643</f>
        <v>45978</v>
      </c>
      <c r="B4644" s="5" t="str">
        <f t="shared" si="1123"/>
        <v>Carolina Wren</v>
      </c>
      <c r="C4644" s="6">
        <f t="shared" si="1123"/>
        <v>0.29166666666666669</v>
      </c>
      <c r="D4644" s="5"/>
      <c r="E4644" s="5"/>
      <c r="F4644" s="5" t="s">
        <v>8</v>
      </c>
      <c r="G4644" s="15" t="s">
        <v>9</v>
      </c>
      <c r="H4644" s="24">
        <f t="shared" si="1078"/>
        <v>0</v>
      </c>
      <c r="I4644" s="24" t="str" cm="1">
        <f t="array" ref="I4644">IFERROR(IF($B4644=I$1, ($A4644+$C4644) - MAX(IF($B$2:$B4643=$B4644, $A$2:$A4643+$C$2:$C4643)), "")*24*60, "")</f>
        <v/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cm="1">
        <f t="array" ref="L4644">IFERROR(IF($B4644=L$1, ($A4644+$C4644) - MAX(IF($B$2:$B4643=$B4644, $A$2:$A4643+$C$2:$C4643)), "")*24*60, "")</f>
        <v>0</v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124">A4644</f>
        <v>45978</v>
      </c>
      <c r="B4645" s="5" t="str">
        <f t="shared" si="1124"/>
        <v>Carolina Wren</v>
      </c>
      <c r="C4645" s="6">
        <f t="shared" si="1124"/>
        <v>0.29166666666666669</v>
      </c>
      <c r="D4645" s="5"/>
      <c r="E4645" s="5"/>
      <c r="F4645" s="5" t="s">
        <v>8</v>
      </c>
      <c r="G4645" s="15" t="s">
        <v>9</v>
      </c>
      <c r="H4645" s="24">
        <f t="shared" si="1078"/>
        <v>0</v>
      </c>
      <c r="I4645" s="24" t="str" cm="1">
        <f t="array" ref="I4645">IFERROR(IF($B4645=I$1, ($A4645+$C4645) - MAX(IF($B$2:$B4644=$B4645, $A$2:$A4644+$C$2:$C4644)), "")*24*60, "")</f>
        <v/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cm="1">
        <f t="array" ref="L4645">IFERROR(IF($B4645=L$1, ($A4645+$C4645) - MAX(IF($B$2:$B4644=$B4645, $A$2:$A4644+$C$2:$C4644)), "")*24*60, "")</f>
        <v>0</v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125">A4645</f>
        <v>45978</v>
      </c>
      <c r="B4646" s="5" t="str">
        <f t="shared" si="1125"/>
        <v>Carolina Wren</v>
      </c>
      <c r="C4646" s="6">
        <f t="shared" si="1125"/>
        <v>0.29166666666666669</v>
      </c>
      <c r="D4646" s="5"/>
      <c r="E4646" s="5"/>
      <c r="F4646" s="5" t="s">
        <v>8</v>
      </c>
      <c r="G4646" s="15" t="s">
        <v>9</v>
      </c>
      <c r="H4646" s="24">
        <f t="shared" si="1078"/>
        <v>0</v>
      </c>
      <c r="I4646" s="24" t="str" cm="1">
        <f t="array" ref="I4646">IFERROR(IF($B4646=I$1, ($A4646+$C4646) - MAX(IF($B$2:$B4645=$B4646, $A$2:$A4645+$C$2:$C4645)), "")*24*60, "")</f>
        <v/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cm="1">
        <f t="array" ref="L4646">IFERROR(IF($B4646=L$1, ($A4646+$C4646) - MAX(IF($B$2:$B4645=$B4646, $A$2:$A4645+$C$2:$C4645)), "")*24*60, "")</f>
        <v>0</v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126">A4646</f>
        <v>45978</v>
      </c>
      <c r="B4647" s="5" t="str">
        <f t="shared" si="1126"/>
        <v>Carolina Wren</v>
      </c>
      <c r="C4647" s="6">
        <f t="shared" si="1126"/>
        <v>0.29166666666666669</v>
      </c>
      <c r="D4647" s="5"/>
      <c r="E4647" s="5"/>
      <c r="F4647" s="5" t="s">
        <v>8</v>
      </c>
      <c r="G4647" s="15" t="s">
        <v>9</v>
      </c>
      <c r="H4647" s="24">
        <f t="shared" si="1078"/>
        <v>0</v>
      </c>
      <c r="I4647" s="24" t="str" cm="1">
        <f t="array" ref="I4647">IFERROR(IF($B4647=I$1, ($A4647+$C4647) - MAX(IF($B$2:$B4646=$B4647, $A$2:$A4646+$C$2:$C4646)), "")*24*60, "")</f>
        <v/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cm="1">
        <f t="array" ref="L4647">IFERROR(IF($B4647=L$1, ($A4647+$C4647) - MAX(IF($B$2:$B4646=$B4647, $A$2:$A4646+$C$2:$C4646)), "")*24*60, "")</f>
        <v>0</v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127">A4647</f>
        <v>45978</v>
      </c>
      <c r="B4648" s="5" t="str">
        <f t="shared" si="1127"/>
        <v>Carolina Wren</v>
      </c>
      <c r="C4648" s="6">
        <f t="shared" si="1127"/>
        <v>0.29166666666666669</v>
      </c>
      <c r="D4648" s="5"/>
      <c r="E4648" s="5"/>
      <c r="F4648" s="5" t="s">
        <v>8</v>
      </c>
      <c r="G4648" s="15" t="s">
        <v>9</v>
      </c>
      <c r="H4648" s="24">
        <f t="shared" si="1078"/>
        <v>0</v>
      </c>
      <c r="I4648" s="24" t="str" cm="1">
        <f t="array" ref="I4648">IFERROR(IF($B4648=I$1, ($A4648+$C4648) - MAX(IF($B$2:$B4647=$B4648, $A$2:$A4647+$C$2:$C4647)), "")*24*60, "")</f>
        <v/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cm="1">
        <f t="array" ref="L4648">IFERROR(IF($B4648=L$1, ($A4648+$C4648) - MAX(IF($B$2:$B4647=$B4648, $A$2:$A4647+$C$2:$C4647)), "")*24*60, "")</f>
        <v>0</v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128">A4648</f>
        <v>45978</v>
      </c>
      <c r="B4649" s="5" t="str">
        <f t="shared" si="1128"/>
        <v>Carolina Wren</v>
      </c>
      <c r="C4649" s="6">
        <f t="shared" si="1128"/>
        <v>0.29166666666666669</v>
      </c>
      <c r="D4649" s="5"/>
      <c r="E4649" s="5"/>
      <c r="F4649" s="5" t="s">
        <v>8</v>
      </c>
      <c r="G4649" s="15" t="s">
        <v>9</v>
      </c>
      <c r="H4649" s="24">
        <f t="shared" si="1078"/>
        <v>0</v>
      </c>
      <c r="I4649" s="24" t="str" cm="1">
        <f t="array" ref="I4649">IFERROR(IF($B4649=I$1, ($A4649+$C4649) - MAX(IF($B$2:$B4648=$B4649, $A$2:$A4648+$C$2:$C4648)), "")*24*60, "")</f>
        <v/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cm="1">
        <f t="array" ref="L4649">IFERROR(IF($B4649=L$1, ($A4649+$C4649) - MAX(IF($B$2:$B4648=$B4649, $A$2:$A4648+$C$2:$C4648)), "")*24*60, "")</f>
        <v>0</v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t="str" cm="1">
        <f t="array" ref="O4649">IFERROR(IF($B4649=O$1, ($A4649+$C4649) - MAX(IF($B$2:$B4648=$B4649, $A$2:$A4648+$C$2:$C4648)), "")*24*60, "")</f>
        <v/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129">A4649</f>
        <v>45978</v>
      </c>
      <c r="B4650" s="5" t="str">
        <f t="shared" si="1129"/>
        <v>Carolina Wren</v>
      </c>
      <c r="C4650" s="6">
        <f t="shared" si="1129"/>
        <v>0.29166666666666669</v>
      </c>
      <c r="D4650" s="5"/>
      <c r="E4650" s="5"/>
      <c r="F4650" s="5" t="s">
        <v>8</v>
      </c>
      <c r="G4650" s="15" t="s">
        <v>9</v>
      </c>
      <c r="H4650" s="24">
        <f t="shared" si="1078"/>
        <v>0</v>
      </c>
      <c r="I4650" s="24" t="str" cm="1">
        <f t="array" ref="I4650">IFERROR(IF($B4650=I$1, ($A4650+$C4650) - MAX(IF($B$2:$B4649=$B4650, $A$2:$A4649+$C$2:$C4649)), "")*24*60, "")</f>
        <v/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cm="1">
        <f t="array" ref="L4650">IFERROR(IF($B4650=L$1, ($A4650+$C4650) - MAX(IF($B$2:$B4649=$B4650, $A$2:$A4649+$C$2:$C4649)), "")*24*60, "")</f>
        <v>0</v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130">A4650</f>
        <v>45978</v>
      </c>
      <c r="B4651" s="5" t="str">
        <f t="shared" si="1130"/>
        <v>Carolina Wren</v>
      </c>
      <c r="C4651" s="6">
        <f t="shared" si="1130"/>
        <v>0.29166666666666669</v>
      </c>
      <c r="D4651" s="5"/>
      <c r="E4651" s="5"/>
      <c r="F4651" s="5" t="s">
        <v>8</v>
      </c>
      <c r="G4651" s="15" t="s">
        <v>9</v>
      </c>
      <c r="H4651" s="24">
        <f t="shared" si="1078"/>
        <v>0</v>
      </c>
      <c r="I4651" s="24" t="str" cm="1">
        <f t="array" ref="I4651">IFERROR(IF($B4651=I$1, ($A4651+$C4651) - MAX(IF($B$2:$B4650=$B4651, $A$2:$A4650+$C$2:$C4650)), "")*24*60, "")</f>
        <v/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cm="1">
        <f t="array" ref="L4651">IFERROR(IF($B4651=L$1, ($A4651+$C4651) - MAX(IF($B$2:$B4650=$B4651, $A$2:$A4650+$C$2:$C4650)), "")*24*60, "")</f>
        <v>0</v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131">A4651</f>
        <v>45978</v>
      </c>
      <c r="B4652" s="5" t="str">
        <f t="shared" si="1131"/>
        <v>Carolina Wren</v>
      </c>
      <c r="C4652" s="6">
        <f t="shared" si="1131"/>
        <v>0.29166666666666669</v>
      </c>
      <c r="D4652" s="5"/>
      <c r="E4652" s="5"/>
      <c r="F4652" s="5" t="s">
        <v>8</v>
      </c>
      <c r="G4652" s="15" t="s">
        <v>9</v>
      </c>
      <c r="H4652" s="24">
        <f t="shared" si="1078"/>
        <v>0</v>
      </c>
      <c r="I4652" s="24" t="str" cm="1">
        <f t="array" ref="I4652">IFERROR(IF($B4652=I$1, ($A4652+$C4652) - MAX(IF($B$2:$B4651=$B4652, $A$2:$A4651+$C$2:$C4651)), "")*24*60, "")</f>
        <v/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cm="1">
        <f t="array" ref="L4652">IFERROR(IF($B4652=L$1, ($A4652+$C4652) - MAX(IF($B$2:$B4651=$B4652, $A$2:$A4651+$C$2:$C4651)), "")*24*60, "")</f>
        <v>0</v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132">A4652</f>
        <v>45978</v>
      </c>
      <c r="B4653" s="5" t="str">
        <f t="shared" si="1132"/>
        <v>Carolina Wren</v>
      </c>
      <c r="C4653" s="6">
        <f t="shared" si="1132"/>
        <v>0.29166666666666669</v>
      </c>
      <c r="D4653" s="5"/>
      <c r="E4653" s="5"/>
      <c r="F4653" s="5" t="s">
        <v>8</v>
      </c>
      <c r="G4653" s="15" t="s">
        <v>9</v>
      </c>
      <c r="H4653" s="24">
        <f t="shared" si="1078"/>
        <v>0</v>
      </c>
      <c r="I4653" s="24" t="str" cm="1">
        <f t="array" ref="I4653">IFERROR(IF($B4653=I$1, ($A4653+$C4653) - MAX(IF($B$2:$B4652=$B4653, $A$2:$A4652+$C$2:$C4652)), "")*24*60, "")</f>
        <v/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cm="1">
        <f t="array" ref="L4653">IFERROR(IF($B4653=L$1, ($A4653+$C4653) - MAX(IF($B$2:$B4652=$B4653, $A$2:$A4652+$C$2:$C4652)), "")*24*60, "")</f>
        <v>0</v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133">A4653</f>
        <v>45978</v>
      </c>
      <c r="B4654" s="5" t="str">
        <f t="shared" si="1133"/>
        <v>Carolina Wren</v>
      </c>
      <c r="C4654" s="6">
        <f t="shared" si="1133"/>
        <v>0.29166666666666669</v>
      </c>
      <c r="D4654" s="5"/>
      <c r="E4654" s="5"/>
      <c r="F4654" s="5" t="s">
        <v>8</v>
      </c>
      <c r="G4654" s="15" t="s">
        <v>9</v>
      </c>
      <c r="H4654" s="24">
        <f t="shared" si="1078"/>
        <v>0</v>
      </c>
      <c r="I4654" s="24" t="str" cm="1">
        <f t="array" ref="I4654">IFERROR(IF($B4654=I$1, ($A4654+$C4654) - MAX(IF($B$2:$B4653=$B4654, $A$2:$A4653+$C$2:$C4653)), "")*24*60, "")</f>
        <v/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cm="1">
        <f t="array" ref="L4654">IFERROR(IF($B4654=L$1, ($A4654+$C4654) - MAX(IF($B$2:$B4653=$B4654, $A$2:$A4653+$C$2:$C4653)), "")*24*60, "")</f>
        <v>0</v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134">A4654</f>
        <v>45978</v>
      </c>
      <c r="B4655" s="5" t="str">
        <f t="shared" si="1134"/>
        <v>Carolina Wren</v>
      </c>
      <c r="C4655" s="6">
        <f t="shared" si="1134"/>
        <v>0.29166666666666669</v>
      </c>
      <c r="D4655" s="5"/>
      <c r="E4655" s="5"/>
      <c r="F4655" s="5" t="s">
        <v>8</v>
      </c>
      <c r="G4655" s="15" t="s">
        <v>9</v>
      </c>
      <c r="H4655" s="24">
        <f t="shared" si="1078"/>
        <v>0</v>
      </c>
      <c r="I4655" s="24" t="str" cm="1">
        <f t="array" ref="I4655">IFERROR(IF($B4655=I$1, ($A4655+$C4655) - MAX(IF($B$2:$B4654=$B4655, $A$2:$A4654+$C$2:$C4654)), "")*24*60, "")</f>
        <v/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cm="1">
        <f t="array" ref="L4655">IFERROR(IF($B4655=L$1, ($A4655+$C4655) - MAX(IF($B$2:$B4654=$B4655, $A$2:$A4654+$C$2:$C4654)), "")*24*60, "")</f>
        <v>0</v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135">A4655</f>
        <v>45978</v>
      </c>
      <c r="B4656" s="5" t="str">
        <f t="shared" si="1135"/>
        <v>Carolina Wren</v>
      </c>
      <c r="C4656" s="6">
        <f t="shared" si="1135"/>
        <v>0.29166666666666669</v>
      </c>
      <c r="D4656" s="5"/>
      <c r="E4656" s="5"/>
      <c r="F4656" s="5" t="s">
        <v>8</v>
      </c>
      <c r="G4656" s="15" t="s">
        <v>9</v>
      </c>
      <c r="H4656" s="24">
        <f t="shared" si="1078"/>
        <v>0</v>
      </c>
      <c r="I4656" s="24" t="str" cm="1">
        <f t="array" ref="I4656">IFERROR(IF($B4656=I$1, ($A4656+$C4656) - MAX(IF($B$2:$B4655=$B4656, $A$2:$A4655+$C$2:$C4655)), "")*24*60, "")</f>
        <v/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cm="1">
        <f t="array" ref="L4656">IFERROR(IF($B4656=L$1, ($A4656+$C4656) - MAX(IF($B$2:$B4655=$B4656, $A$2:$A4655+$C$2:$C4655)), "")*24*60, "")</f>
        <v>0</v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136">A4656</f>
        <v>45978</v>
      </c>
      <c r="B4657" s="5" t="str">
        <f t="shared" si="1136"/>
        <v>Carolina Wren</v>
      </c>
      <c r="C4657" s="6">
        <f t="shared" si="1136"/>
        <v>0.29166666666666669</v>
      </c>
      <c r="D4657" s="5"/>
      <c r="E4657" s="5"/>
      <c r="F4657" s="5" t="s">
        <v>8</v>
      </c>
      <c r="G4657" s="15" t="s">
        <v>9</v>
      </c>
      <c r="H4657" s="24">
        <f t="shared" si="1078"/>
        <v>0</v>
      </c>
      <c r="I4657" s="24" t="str" cm="1">
        <f t="array" ref="I4657">IFERROR(IF($B4657=I$1, ($A4657+$C4657) - MAX(IF($B$2:$B4656=$B4657, $A$2:$A4656+$C$2:$C4656)), "")*24*60, "")</f>
        <v/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cm="1">
        <f t="array" ref="L4657">IFERROR(IF($B4657=L$1, ($A4657+$C4657) - MAX(IF($B$2:$B4656=$B4657, $A$2:$A4656+$C$2:$C4656)), "")*24*60, "")</f>
        <v>0</v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137">A4657</f>
        <v>45978</v>
      </c>
      <c r="B4658" s="5" t="str">
        <f t="shared" si="1137"/>
        <v>Carolina Wren</v>
      </c>
      <c r="C4658" s="6">
        <f t="shared" si="1137"/>
        <v>0.29166666666666669</v>
      </c>
      <c r="D4658" s="5"/>
      <c r="E4658" s="5"/>
      <c r="F4658" s="5" t="s">
        <v>8</v>
      </c>
      <c r="G4658" s="15" t="s">
        <v>9</v>
      </c>
      <c r="H4658" s="24">
        <f t="shared" si="1078"/>
        <v>0</v>
      </c>
      <c r="I4658" s="24" t="str" cm="1">
        <f t="array" ref="I4658">IFERROR(IF($B4658=I$1, ($A4658+$C4658) - MAX(IF($B$2:$B4657=$B4658, $A$2:$A4657+$C$2:$C4657)), "")*24*60, "")</f>
        <v/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cm="1">
        <f t="array" ref="L4658">IFERROR(IF($B4658=L$1, ($A4658+$C4658) - MAX(IF($B$2:$B4657=$B4658, $A$2:$A4657+$C$2:$C4657)), "")*24*60, "")</f>
        <v>0</v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138">A4658</f>
        <v>45978</v>
      </c>
      <c r="B4659" s="5" t="str">
        <f t="shared" si="1138"/>
        <v>Carolina Wren</v>
      </c>
      <c r="C4659" s="6">
        <f t="shared" si="1138"/>
        <v>0.29166666666666669</v>
      </c>
      <c r="D4659" s="5"/>
      <c r="E4659" s="5"/>
      <c r="F4659" s="5" t="s">
        <v>8</v>
      </c>
      <c r="G4659" s="15" t="s">
        <v>9</v>
      </c>
      <c r="H4659" s="24">
        <f t="shared" si="1078"/>
        <v>0</v>
      </c>
      <c r="I4659" s="24" t="str" cm="1">
        <f t="array" ref="I4659">IFERROR(IF($B4659=I$1, ($A4659+$C4659) - MAX(IF($B$2:$B4658=$B4659, $A$2:$A4658+$C$2:$C4658)), "")*24*60, "")</f>
        <v/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cm="1">
        <f t="array" ref="L4659">IFERROR(IF($B4659=L$1, ($A4659+$C4659) - MAX(IF($B$2:$B4658=$B4659, $A$2:$A4658+$C$2:$C4658)), "")*24*60, "")</f>
        <v>0</v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139">A4659</f>
        <v>45978</v>
      </c>
      <c r="B4660" s="5" t="str">
        <f t="shared" si="1139"/>
        <v>Carolina Wren</v>
      </c>
      <c r="C4660" s="6">
        <f t="shared" si="1139"/>
        <v>0.29166666666666669</v>
      </c>
      <c r="D4660" s="5"/>
      <c r="E4660" s="5"/>
      <c r="F4660" s="5" t="s">
        <v>8</v>
      </c>
      <c r="G4660" s="15" t="s">
        <v>9</v>
      </c>
      <c r="H4660" s="24">
        <f t="shared" si="1078"/>
        <v>0</v>
      </c>
      <c r="I4660" s="24" t="str" cm="1">
        <f t="array" ref="I4660">IFERROR(IF($B4660=I$1, ($A4660+$C4660) - MAX(IF($B$2:$B4659=$B4660, $A$2:$A4659+$C$2:$C4659)), "")*24*60, "")</f>
        <v/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cm="1">
        <f t="array" ref="L4660">IFERROR(IF($B4660=L$1, ($A4660+$C4660) - MAX(IF($B$2:$B4659=$B4660, $A$2:$A4659+$C$2:$C4659)), "")*24*60, "")</f>
        <v>0</v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140">A4660</f>
        <v>45978</v>
      </c>
      <c r="B4661" s="5" t="str">
        <f t="shared" si="1140"/>
        <v>Carolina Wren</v>
      </c>
      <c r="C4661" s="6">
        <f t="shared" si="1140"/>
        <v>0.29166666666666669</v>
      </c>
      <c r="D4661" s="5"/>
      <c r="E4661" s="5"/>
      <c r="F4661" s="5" t="s">
        <v>8</v>
      </c>
      <c r="G4661" s="15" t="s">
        <v>9</v>
      </c>
      <c r="H4661" s="24">
        <f t="shared" si="1078"/>
        <v>0</v>
      </c>
      <c r="I4661" s="24" t="str" cm="1">
        <f t="array" ref="I4661">IFERROR(IF($B4661=I$1, ($A4661+$C4661) - MAX(IF($B$2:$B4660=$B4661, $A$2:$A4660+$C$2:$C4660)), "")*24*60, "")</f>
        <v/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cm="1">
        <f t="array" ref="L4661">IFERROR(IF($B4661=L$1, ($A4661+$C4661) - MAX(IF($B$2:$B4660=$B4661, $A$2:$A4660+$C$2:$C4660)), "")*24*60, "")</f>
        <v>0</v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141">A4661</f>
        <v>45978</v>
      </c>
      <c r="B4662" s="5" t="str">
        <f t="shared" si="1141"/>
        <v>Carolina Wren</v>
      </c>
      <c r="C4662" s="6">
        <f t="shared" si="1141"/>
        <v>0.29166666666666669</v>
      </c>
      <c r="D4662" s="5"/>
      <c r="E4662" s="5"/>
      <c r="F4662" s="5" t="s">
        <v>8</v>
      </c>
      <c r="G4662" s="15" t="s">
        <v>9</v>
      </c>
      <c r="H4662" s="24">
        <f t="shared" si="1078"/>
        <v>0</v>
      </c>
      <c r="I4662" s="24" t="str" cm="1">
        <f t="array" ref="I4662">IFERROR(IF($B4662=I$1, ($A4662+$C4662) - MAX(IF($B$2:$B4661=$B4662, $A$2:$A4661+$C$2:$C4661)), "")*24*60, "")</f>
        <v/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cm="1">
        <f t="array" ref="L4662">IFERROR(IF($B4662=L$1, ($A4662+$C4662) - MAX(IF($B$2:$B4661=$B4662, $A$2:$A4661+$C$2:$C4661)), "")*24*60, "")</f>
        <v>0</v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142">A4662</f>
        <v>45978</v>
      </c>
      <c r="B4663" s="5" t="str">
        <f t="shared" si="1142"/>
        <v>Carolina Wren</v>
      </c>
      <c r="C4663" s="6">
        <f t="shared" si="1142"/>
        <v>0.29166666666666669</v>
      </c>
      <c r="D4663" s="5"/>
      <c r="E4663" s="5"/>
      <c r="F4663" s="5" t="s">
        <v>8</v>
      </c>
      <c r="G4663" s="15" t="s">
        <v>9</v>
      </c>
      <c r="H4663" s="24">
        <f t="shared" ref="H4663:H4674" si="1143">IFERROR((($A4663+$C4663) - ($A4662+$C4662))*24*60, "")</f>
        <v>0</v>
      </c>
      <c r="I4663" s="24" t="str" cm="1">
        <f t="array" ref="I4663">IFERROR(IF($B4663=I$1, ($A4663+$C4663) - MAX(IF($B$2:$B4662=$B4663, $A$2:$A4662+$C$2:$C4662)), "")*24*60, "")</f>
        <v/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cm="1">
        <f t="array" ref="L4663">IFERROR(IF($B4663=L$1, ($A4663+$C4663) - MAX(IF($B$2:$B4662=$B4663, $A$2:$A4662+$C$2:$C4662)), "")*24*60, "")</f>
        <v>0</v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144">A4663</f>
        <v>45978</v>
      </c>
      <c r="B4664" s="5" t="str">
        <f t="shared" si="1144"/>
        <v>Carolina Wren</v>
      </c>
      <c r="C4664" s="6">
        <f t="shared" si="1144"/>
        <v>0.29166666666666669</v>
      </c>
      <c r="D4664" s="5"/>
      <c r="E4664" s="5"/>
      <c r="F4664" s="5" t="s">
        <v>8</v>
      </c>
      <c r="G4664" s="15" t="s">
        <v>9</v>
      </c>
      <c r="H4664" s="24">
        <f t="shared" si="1143"/>
        <v>0</v>
      </c>
      <c r="I4664" s="24" t="str" cm="1">
        <f t="array" ref="I4664">IFERROR(IF($B4664=I$1, ($A4664+$C4664) - MAX(IF($B$2:$B4663=$B4664, $A$2:$A4663+$C$2:$C4663)), "")*24*60, "")</f>
        <v/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cm="1">
        <f t="array" ref="L4664">IFERROR(IF($B4664=L$1, ($A4664+$C4664) - MAX(IF($B$2:$B4663=$B4664, $A$2:$A4663+$C$2:$C4663)), "")*24*60, "")</f>
        <v>0</v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145">A4664</f>
        <v>45978</v>
      </c>
      <c r="B4665" s="5" t="str">
        <f t="shared" si="1145"/>
        <v>Carolina Wren</v>
      </c>
      <c r="C4665" s="6">
        <f t="shared" si="1145"/>
        <v>0.29166666666666669</v>
      </c>
      <c r="D4665" s="5"/>
      <c r="E4665" s="5"/>
      <c r="F4665" s="5" t="s">
        <v>8</v>
      </c>
      <c r="G4665" s="15" t="s">
        <v>9</v>
      </c>
      <c r="H4665" s="24">
        <f t="shared" si="1143"/>
        <v>0</v>
      </c>
      <c r="I4665" s="24" t="str" cm="1">
        <f t="array" ref="I4665">IFERROR(IF($B4665=I$1, ($A4665+$C4665) - MAX(IF($B$2:$B4664=$B4665, $A$2:$A4664+$C$2:$C4664)), "")*24*60, "")</f>
        <v/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cm="1">
        <f t="array" ref="L4665">IFERROR(IF($B4665=L$1, ($A4665+$C4665) - MAX(IF($B$2:$B4664=$B4665, $A$2:$A4664+$C$2:$C4664)), "")*24*60, "")</f>
        <v>0</v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146">A4665</f>
        <v>45978</v>
      </c>
      <c r="B4666" s="5" t="str">
        <f t="shared" si="1146"/>
        <v>Carolina Wren</v>
      </c>
      <c r="C4666" s="6">
        <f t="shared" si="1146"/>
        <v>0.29166666666666669</v>
      </c>
      <c r="D4666" s="5"/>
      <c r="E4666" s="5"/>
      <c r="F4666" s="5" t="s">
        <v>8</v>
      </c>
      <c r="G4666" s="15" t="s">
        <v>9</v>
      </c>
      <c r="H4666" s="24">
        <f t="shared" si="1143"/>
        <v>0</v>
      </c>
      <c r="I4666" s="24" t="str" cm="1">
        <f t="array" ref="I4666">IFERROR(IF($B4666=I$1, ($A4666+$C4666) - MAX(IF($B$2:$B4665=$B4666, $A$2:$A4665+$C$2:$C4665)), "")*24*60, "")</f>
        <v/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cm="1">
        <f t="array" ref="L4666">IFERROR(IF($B4666=L$1, ($A4666+$C4666) - MAX(IF($B$2:$B4665=$B4666, $A$2:$A4665+$C$2:$C4665)), "")*24*60, "")</f>
        <v>0</v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147">A4666</f>
        <v>45978</v>
      </c>
      <c r="B4667" s="5" t="str">
        <f t="shared" si="1147"/>
        <v>Carolina Wren</v>
      </c>
      <c r="C4667" s="6">
        <f t="shared" si="1147"/>
        <v>0.29166666666666669</v>
      </c>
      <c r="D4667" s="5"/>
      <c r="E4667" s="5"/>
      <c r="F4667" s="5" t="s">
        <v>8</v>
      </c>
      <c r="G4667" s="15" t="s">
        <v>9</v>
      </c>
      <c r="H4667" s="24">
        <f t="shared" si="1143"/>
        <v>0</v>
      </c>
      <c r="I4667" s="24" t="str" cm="1">
        <f t="array" ref="I4667">IFERROR(IF($B4667=I$1, ($A4667+$C4667) - MAX(IF($B$2:$B4666=$B4667, $A$2:$A4666+$C$2:$C4666)), "")*24*60, "")</f>
        <v/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cm="1">
        <f t="array" ref="L4667">IFERROR(IF($B4667=L$1, ($A4667+$C4667) - MAX(IF($B$2:$B4666=$B4667, $A$2:$A4666+$C$2:$C4666)), "")*24*60, "")</f>
        <v>0</v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148">A4667</f>
        <v>45978</v>
      </c>
      <c r="B4668" s="5" t="str">
        <f t="shared" si="1148"/>
        <v>Carolina Wren</v>
      </c>
      <c r="C4668" s="6">
        <f t="shared" si="1148"/>
        <v>0.29166666666666669</v>
      </c>
      <c r="D4668" s="5"/>
      <c r="E4668" s="5"/>
      <c r="F4668" s="5" t="s">
        <v>8</v>
      </c>
      <c r="G4668" s="15" t="s">
        <v>9</v>
      </c>
      <c r="H4668" s="24">
        <f t="shared" si="1143"/>
        <v>0</v>
      </c>
      <c r="I4668" s="24" t="str" cm="1">
        <f t="array" ref="I4668">IFERROR(IF($B4668=I$1, ($A4668+$C4668) - MAX(IF($B$2:$B4667=$B4668, $A$2:$A4667+$C$2:$C4667)), "")*24*60, "")</f>
        <v/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cm="1">
        <f t="array" ref="L4668">IFERROR(IF($B4668=L$1, ($A4668+$C4668) - MAX(IF($B$2:$B4667=$B4668, $A$2:$A4667+$C$2:$C4667)), "")*24*60, "")</f>
        <v>0</v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149">A4668</f>
        <v>45978</v>
      </c>
      <c r="B4669" s="5" t="str">
        <f t="shared" si="1149"/>
        <v>Carolina Wren</v>
      </c>
      <c r="C4669" s="6">
        <f t="shared" si="1149"/>
        <v>0.29166666666666669</v>
      </c>
      <c r="D4669" s="5"/>
      <c r="E4669" s="5"/>
      <c r="F4669" s="5" t="s">
        <v>8</v>
      </c>
      <c r="G4669" s="15" t="s">
        <v>9</v>
      </c>
      <c r="H4669" s="24">
        <f t="shared" si="1143"/>
        <v>0</v>
      </c>
      <c r="I4669" s="24" t="str" cm="1">
        <f t="array" ref="I4669">IFERROR(IF($B4669=I$1, ($A4669+$C4669) - MAX(IF($B$2:$B4668=$B4669, $A$2:$A4668+$C$2:$C4668)), "")*24*60, "")</f>
        <v/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cm="1">
        <f t="array" ref="L4669">IFERROR(IF($B4669=L$1, ($A4669+$C4669) - MAX(IF($B$2:$B4668=$B4669, $A$2:$A4668+$C$2:$C4668)), "")*24*60, "")</f>
        <v>0</v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150">A4669</f>
        <v>45978</v>
      </c>
      <c r="B4670" s="5" t="str">
        <f t="shared" si="1150"/>
        <v>Carolina Wren</v>
      </c>
      <c r="C4670" s="6">
        <f t="shared" si="1150"/>
        <v>0.29166666666666669</v>
      </c>
      <c r="D4670" s="5"/>
      <c r="E4670" s="5"/>
      <c r="F4670" s="5" t="s">
        <v>8</v>
      </c>
      <c r="G4670" s="15" t="s">
        <v>9</v>
      </c>
      <c r="H4670" s="24">
        <f t="shared" si="1143"/>
        <v>0</v>
      </c>
      <c r="I4670" s="24" t="str" cm="1">
        <f t="array" ref="I4670">IFERROR(IF($B4670=I$1, ($A4670+$C4670) - MAX(IF($B$2:$B4669=$B4670, $A$2:$A4669+$C$2:$C4669)), "")*24*60, "")</f>
        <v/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cm="1">
        <f t="array" ref="L4670">IFERROR(IF($B4670=L$1, ($A4670+$C4670) - MAX(IF($B$2:$B4669=$B4670, $A$2:$A4669+$C$2:$C4669)), "")*24*60, "")</f>
        <v>0</v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151">A4670</f>
        <v>45978</v>
      </c>
      <c r="B4671" s="5" t="str">
        <f t="shared" si="1151"/>
        <v>Carolina Wren</v>
      </c>
      <c r="C4671" s="6">
        <f t="shared" si="1151"/>
        <v>0.29166666666666669</v>
      </c>
      <c r="D4671" s="5"/>
      <c r="E4671" s="5"/>
      <c r="F4671" s="5" t="s">
        <v>8</v>
      </c>
      <c r="G4671" s="15" t="s">
        <v>9</v>
      </c>
      <c r="H4671" s="24">
        <f t="shared" si="1143"/>
        <v>0</v>
      </c>
      <c r="I4671" s="24" t="str" cm="1">
        <f t="array" ref="I4671">IFERROR(IF($B4671=I$1, ($A4671+$C4671) - MAX(IF($B$2:$B4670=$B4671, $A$2:$A4670+$C$2:$C4670)), "")*24*60, "")</f>
        <v/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cm="1">
        <f t="array" ref="L4671">IFERROR(IF($B4671=L$1, ($A4671+$C4671) - MAX(IF($B$2:$B4670=$B4671, $A$2:$A4670+$C$2:$C4670)), "")*24*60, "")</f>
        <v>0</v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152">A4671</f>
        <v>45978</v>
      </c>
      <c r="B4672" s="5" t="str">
        <f t="shared" si="1152"/>
        <v>Carolina Wren</v>
      </c>
      <c r="C4672" s="6">
        <f t="shared" si="1152"/>
        <v>0.29166666666666669</v>
      </c>
      <c r="D4672" s="5"/>
      <c r="E4672" s="5"/>
      <c r="F4672" s="5" t="s">
        <v>8</v>
      </c>
      <c r="G4672" s="15" t="s">
        <v>9</v>
      </c>
      <c r="H4672" s="24">
        <f t="shared" si="1143"/>
        <v>0</v>
      </c>
      <c r="I4672" s="24" t="str" cm="1">
        <f t="array" ref="I4672">IFERROR(IF($B4672=I$1, ($A4672+$C4672) - MAX(IF($B$2:$B4671=$B4672, $A$2:$A4671+$C$2:$C4671)), "")*24*60, "")</f>
        <v/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cm="1">
        <f t="array" ref="L4672">IFERROR(IF($B4672=L$1, ($A4672+$C4672) - MAX(IF($B$2:$B4671=$B4672, $A$2:$A4671+$C$2:$C4671)), "")*24*60, "")</f>
        <v>0</v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153">A4672</f>
        <v>45978</v>
      </c>
      <c r="B4673" s="5" t="str">
        <f t="shared" si="1153"/>
        <v>Carolina Wren</v>
      </c>
      <c r="C4673" s="6">
        <f t="shared" si="1153"/>
        <v>0.29166666666666669</v>
      </c>
      <c r="D4673" s="5"/>
      <c r="E4673" s="5"/>
      <c r="F4673" s="5" t="s">
        <v>8</v>
      </c>
      <c r="G4673" s="15" t="s">
        <v>9</v>
      </c>
      <c r="H4673" s="24">
        <f t="shared" si="1143"/>
        <v>0</v>
      </c>
      <c r="I4673" s="24" t="str" cm="1">
        <f t="array" ref="I4673">IFERROR(IF($B4673=I$1, ($A4673+$C4673) - MAX(IF($B$2:$B4672=$B4673, $A$2:$A4672+$C$2:$C4672)), "")*24*60, "")</f>
        <v/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cm="1">
        <f t="array" ref="L4673">IFERROR(IF($B4673=L$1, ($A4673+$C4673) - MAX(IF($B$2:$B4672=$B4673, $A$2:$A4672+$C$2:$C4672)), "")*24*60, "")</f>
        <v>0</v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</row>
    <row r="4674" spans="1:16" x14ac:dyDescent="0.2">
      <c r="A4674" s="12">
        <f t="shared" ref="A4674:C4674" si="1154">A4673</f>
        <v>45978</v>
      </c>
      <c r="B4674" s="5" t="str">
        <f t="shared" si="1154"/>
        <v>Carolina Wren</v>
      </c>
      <c r="C4674" s="6">
        <f t="shared" si="1154"/>
        <v>0.29166666666666669</v>
      </c>
      <c r="D4674" s="5"/>
      <c r="E4674" s="5"/>
      <c r="F4674" s="5" t="s">
        <v>8</v>
      </c>
      <c r="G4674" s="15" t="s">
        <v>9</v>
      </c>
      <c r="H4674" s="24">
        <f t="shared" si="1143"/>
        <v>0</v>
      </c>
      <c r="I4674" s="24" t="str" cm="1">
        <f t="array" ref="I4674">IFERROR(IF($B4674=I$1, ($A4674+$C4674) - MAX(IF($B$2:$B4673=$B4674, $A$2:$A4673+$C$2:$C4673)), "")*24*60, "")</f>
        <v/>
      </c>
      <c r="J4674" s="24" t="str" cm="1">
        <f t="array" ref="J4674">IFERROR(IF($B4674=J$1, ($A4674+$C4674) - MAX(IF($B$2:$B4673=$B4674, $A$2:$A4673+$C$2:$C4673)), "")*24*60, "")</f>
        <v/>
      </c>
      <c r="K4674" s="24" t="str" cm="1">
        <f t="array" ref="K4674">IFERROR(IF($B4674=K$1, ($A4674+$C4674) - MAX(IF($B$2:$B4673=$B4674, $A$2:$A4673+$C$2:$C4673)), "")*24*60, "")</f>
        <v/>
      </c>
      <c r="L4674" s="24" cm="1">
        <f t="array" ref="L4674">IFERROR(IF($B4674=L$1, ($A4674+$C4674) - MAX(IF($B$2:$B4673=$B4674, $A$2:$A4673+$C$2:$C4673)), "")*24*60, "")</f>
        <v>0</v>
      </c>
      <c r="M4674" s="24" t="str" cm="1">
        <f t="array" ref="M4674">IFERROR(IF($B4674=M$1, ($A4674+$C4674) - MAX(IF($B$2:$B4673=$B4674, $A$2:$A4673+$C$2:$C4673)), "")*24*60, "")</f>
        <v/>
      </c>
      <c r="N4674" s="24" t="str" cm="1">
        <f t="array" ref="N4674">IFERROR(IF($B4674=N$1, ($A4674+$C4674) - MAX(IF($B$2:$B4673=$B4674, $A$2:$A4673+$C$2:$C4673)), "")*24*60, "")</f>
        <v/>
      </c>
      <c r="O4674" s="24" t="str" cm="1">
        <f t="array" ref="O4674">IFERROR(IF($B4674=O$1, ($A4674+$C4674) - MAX(IF($B$2:$B4673=$B4674, $A$2:$A4673+$C$2:$C4673)), "")*24*60, "")</f>
        <v/>
      </c>
      <c r="P4674" s="24" t="str" cm="1">
        <f t="array" ref="P4674">IFERROR(IF($B4674=P$1, ($A4674+$C4674) - MAX(IF($B$2:$B4673=$B4674, $A$2:$A4673+$C$2:$C4673)),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56"/>
  <sheetViews>
    <sheetView zoomScale="120" zoomScaleNormal="120" workbookViewId="0">
      <pane ySplit="1" topLeftCell="A132" activePane="bottomLeft" state="frozen"/>
      <selection pane="bottomLeft" activeCell="A157" sqref="A157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44">
        <v>45977</v>
      </c>
      <c r="B153" s="45" t="s">
        <v>14</v>
      </c>
      <c r="C153" s="45">
        <f>COUNTIFS(RawData!$B:$B, $B153, RawData!$A:$A, DailySummaries!$A153)</f>
        <v>21</v>
      </c>
      <c r="D153" s="45">
        <f>SUMIFS(RawData!$D:$D,RawData!$B:$B,$B153,RawData!$A:$A,DailySummaries!$A153)+1</f>
        <v>30</v>
      </c>
      <c r="E153" s="45">
        <f>SUMIFS(RawData!$E:$E,RawData!$B:$B,$B153,RawData!$A:$A,DailySummaries!$A153)+1</f>
        <v>3</v>
      </c>
    </row>
    <row r="154" spans="1:5" x14ac:dyDescent="0.25">
      <c r="A154" s="44">
        <v>45977</v>
      </c>
      <c r="B154" s="45" t="s">
        <v>16</v>
      </c>
      <c r="C154" s="45">
        <f>COUNTIFS(RawData!$B:$B, $B154, RawData!$A:$A, DailySummaries!$A154)</f>
        <v>4</v>
      </c>
      <c r="D154" s="45">
        <f>SUMIFS(RawData!$D:$D,RawData!$B:$B,$B154,RawData!$A:$A,DailySummaries!$A154)+1</f>
        <v>9</v>
      </c>
      <c r="E154" s="45">
        <f>SUMIFS(RawData!$E:$E,RawData!$B:$B,$B154,RawData!$A:$A,DailySummaries!$A154)+1</f>
        <v>19</v>
      </c>
    </row>
    <row r="155" spans="1:5" x14ac:dyDescent="0.25">
      <c r="A155" s="44">
        <v>45977</v>
      </c>
      <c r="B155" s="45" t="s">
        <v>10</v>
      </c>
      <c r="C155" s="45">
        <f>COUNTIFS(RawData!$B:$B, $B155, RawData!$A:$A, DailySummaries!$A155)</f>
        <v>23</v>
      </c>
      <c r="D155" s="45">
        <f>SUMIFS(RawData!$D:$D,RawData!$B:$B,$B155,RawData!$A:$A,DailySummaries!$A155)+1</f>
        <v>30</v>
      </c>
      <c r="E155" s="45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2025-11-17T10:16:16Z</dcterms:modified>
</cp:coreProperties>
</file>
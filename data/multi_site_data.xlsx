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21B4B931-33A9-D149-8377-EF8E933EC9A6}" xr6:coauthVersionLast="47" xr6:coauthVersionMax="47" xr10:uidLastSave="{00000000-0000-0000-0000-000000000000}"/>
  <bookViews>
    <workbookView xWindow="5820" yWindow="620" windowWidth="2778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1" i="2" l="1"/>
  <c r="D191" i="2"/>
  <c r="E191" i="2"/>
  <c r="C192" i="2"/>
  <c r="D192" i="2"/>
  <c r="E192" i="2"/>
  <c r="C193" i="2"/>
  <c r="D193" i="2"/>
  <c r="E193" i="2"/>
  <c r="C194" i="2"/>
  <c r="D194" i="2"/>
  <c r="E194" i="2"/>
  <c r="C195" i="2"/>
  <c r="D195" i="2"/>
  <c r="E195" i="2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A5596" i="1" l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A5597" i="1" l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A5598" i="1" l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A5599" i="1" l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A5600" i="1" l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A5601" i="1" l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A5602" i="1" l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A5603" i="1" l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A5604" i="1" l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A5605" i="1" l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A5606" i="1" l="1"/>
  <c r="L3557" i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A5607" i="1" l="1"/>
  <c r="L3558" i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A5608" i="1" l="1"/>
  <c r="L3559" i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A5609" i="1" l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A5610" i="1" l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A5611" i="1" l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A5612" i="1" l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A5613" i="1" l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A5614" i="1" l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A5615" i="1" l="1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A5616" i="1" l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A5617" i="1" l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A5618" i="1" l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A5619" i="1" l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A5620" i="1" l="1"/>
  <c r="O3210" i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A5621" i="1" l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A5622" i="1" l="1"/>
  <c r="I3212" i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A5623" i="1" l="1"/>
  <c r="I3213" i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A5624" i="1" l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A5625" i="1" l="1"/>
  <c r="I3215" i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A5626" i="1" l="1"/>
  <c r="J4442" i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A5627" i="1" l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A5628" i="1" l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A5629" i="1" l="1"/>
  <c r="M4445" i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A5630" i="1" l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A5631" i="1" l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A5632" i="1" l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A5633" i="1" l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A5634" i="1" l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A5635" i="1" l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A5636" i="1" l="1"/>
  <c r="L4452" i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A5637" i="1" l="1"/>
  <c r="O3227" i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A5638" i="1" l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A5639" i="1" l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A5640" i="1" l="1"/>
  <c r="O3230" i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A5641" i="1" l="1"/>
  <c r="I3231" i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A5642" i="1" l="1"/>
  <c r="I3232" i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A5643" i="1" l="1"/>
  <c r="O3233" i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A5644" i="1" l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5645" i="1" l="1"/>
  <c r="A4463" i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A5646" i="1" l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A5647" i="1" l="1"/>
  <c r="I3237" i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A5648" i="1" l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5649" i="1" l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A5650" i="1" l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A5651" i="1" l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A5652" i="1" l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A5653" i="1" l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A5654" i="1" l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5655" i="1" l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A5656" i="1" l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A5657" i="1" l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A5658" i="1" l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A5659" i="1" l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5660" i="1" l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A5661" i="1" l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A5662" i="1" l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5663" i="1" l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A5664" i="1" l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A5665" i="1" l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A5666" i="1" l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A5667" i="1" l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A5668" i="1" l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A5669" i="1" l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A5670" i="1" l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A5671" i="1" l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A5672" i="1" l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A5673" i="1" l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A5674" i="1" l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A5675" i="1" l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A5676" i="1" l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A5677" i="1" l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5678" i="1" l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5679" i="1" l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A5680" i="1" l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A5681" i="1" l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A5682" i="1" l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5683" i="1" l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A5684" i="1" l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A5685" i="1" l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A5686" i="1" l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A5687" i="1" l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A5688" i="1" l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A5689" i="1" l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5690" i="1" l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A5691" i="1" l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A5692" i="1" l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A5693" i="1" l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A5694" i="1" l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A5695" i="1" l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A5696" i="1" l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5697" i="1" l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A5698" i="1" l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A5699" i="1" l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5700" i="1" l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A5701" i="1" l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A5702" i="1" l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5703" i="1" l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A5704" i="1" l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A5705" i="1" l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A5706" i="1" l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A5707" i="1" l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5708" i="1" l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A5709" i="1" l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A5710" i="1" l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A5711" i="1" l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A5712" i="1" l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A5713" i="1" l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A5714" i="1" l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A5715" i="1" l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A5716" i="1" l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A5717" i="1" l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A5718" i="1" l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A5719" i="1" l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A5720" i="1" l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A5721" i="1" l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5722" i="1" l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A5723" i="1" l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5724" i="1" l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A5725" i="1" l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5726" i="1" l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A5727" i="1" l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A5728" i="1" l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A5729" i="1" l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A5730" i="1" l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5731" i="1" l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A5732" i="1" l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A5733" i="1" l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A5734" i="1" l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5735" i="1" l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A5736" i="1" l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A5737" i="1" l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5738" i="1" l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A5739" i="1" l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5740" i="1" l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A5741" i="1" l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A5742" i="1" l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5743" i="1" l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A5744" i="1" l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A5745" i="1" l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A5746" i="1" l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5747" i="1" l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A5748" i="1" l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5749" i="1" l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A5750" i="1" l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5751" i="1" l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A5752" i="1" l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A5753" i="1" l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5754" i="1" l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5755" i="1" l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5756" i="1" l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A5757" i="1" l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A5758" i="1" l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5759" i="1" l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A5760" i="1" l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A5761" i="1" l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A5762" i="1" l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A5763" i="1" l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A5764" i="1" l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5765" i="1" l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A5766" i="1" l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A5767" i="1" l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5768" i="1" l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A5769" i="1" l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A5770" i="1" l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A5771" i="1" l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5772" i="1" l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A5773" i="1" l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5774" i="1" l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A5775" i="1" l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A5776" i="1" l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5777" i="1" l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A5778" i="1" l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A5779" i="1" l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5780" i="1" l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A5781" i="1" l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A5782" i="1" l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A5783" i="1" l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5784" i="1" l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A5785" i="1" l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A5786" i="1" l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A5787" i="1" l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A5788" i="1" l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5789" i="1" l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5790" i="1" l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5791" i="1" l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5792" i="1" l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A5793" i="1" l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5794" i="1" l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A5795" i="1" l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5796" i="1" l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5797" i="1" l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A5798" i="1" l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5799" i="1" l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A5800" i="1" l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5801" i="1" l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A5802" i="1" l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5803" i="1" l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A5804" i="1" l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5805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A5806" i="1" l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A5807" i="1" l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5808" i="1" l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A5809" i="1" l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A5810" i="1" l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5811" i="1" l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A5812" i="1" l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A5813" i="1" l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5814" i="1" l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5815" i="1" l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A5816" i="1" l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5817" i="1" l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A5818" i="1" l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5819" i="1" l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A5820" i="1" l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5821" i="1" l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5822" i="1" l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A5823" i="1" l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5824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A5825" i="1" l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5826" i="1" l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A5827" i="1" l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5828" i="1" l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A5829" i="1" l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A5830" i="1" l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5831" i="1" l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5832" i="1" l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A5833" i="1" l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5834" i="1" l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5835" i="1" l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5836" i="1" l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5837" i="1" l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A5838" i="1" l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5839" i="1" l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A5840" i="1" l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5841" i="1" l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A5842" i="1" l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5843" i="1" l="1"/>
  <c r="A3525" i="1"/>
  <c r="I3524" i="1" a="1"/>
  <c r="I3524" i="1" s="1"/>
  <c r="H3524" i="1"/>
  <c r="A5844" i="1" l="1"/>
  <c r="A3526" i="1"/>
  <c r="I3525" i="1" a="1"/>
  <c r="I3525" i="1" s="1"/>
  <c r="H3525" i="1"/>
  <c r="A5845" i="1" l="1"/>
  <c r="A3527" i="1"/>
  <c r="L3526" i="1" a="1"/>
  <c r="L3526" i="1" s="1"/>
  <c r="H3526" i="1"/>
  <c r="A5846" i="1" l="1"/>
  <c r="L3527" i="1" a="1"/>
  <c r="L3527" i="1" s="1"/>
  <c r="A3528" i="1"/>
  <c r="H3527" i="1"/>
  <c r="A5847" i="1" l="1"/>
  <c r="A3529" i="1"/>
  <c r="O3528" i="1" a="1"/>
  <c r="O3528" i="1" s="1"/>
  <c r="H3528" i="1"/>
  <c r="A5848" i="1" l="1"/>
  <c r="A3530" i="1"/>
  <c r="H3529" i="1"/>
  <c r="O3529" i="1" a="1"/>
  <c r="O3529" i="1" s="1"/>
  <c r="A5849" i="1" l="1"/>
  <c r="A3531" i="1"/>
  <c r="H3530" i="1"/>
  <c r="O3530" i="1" a="1"/>
  <c r="O3530" i="1" s="1"/>
  <c r="A5850" i="1" l="1"/>
  <c r="A3532" i="1"/>
  <c r="H3531" i="1"/>
  <c r="O3531" i="1" a="1"/>
  <c r="O3531" i="1" s="1"/>
  <c r="A5851" i="1" l="1"/>
  <c r="A3533" i="1"/>
  <c r="O3532" i="1" a="1"/>
  <c r="O3532" i="1" s="1"/>
  <c r="H3532" i="1"/>
  <c r="A5852" i="1" l="1"/>
  <c r="A3534" i="1"/>
  <c r="H3533" i="1"/>
  <c r="O3533" i="1" a="1"/>
  <c r="O3533" i="1" s="1"/>
  <c r="A5853" i="1" l="1"/>
  <c r="A3535" i="1"/>
  <c r="O3534" i="1" a="1"/>
  <c r="O3534" i="1" s="1"/>
  <c r="H3534" i="1"/>
  <c r="A5854" i="1" l="1"/>
  <c r="A3536" i="1"/>
  <c r="H3535" i="1"/>
  <c r="O3535" i="1" a="1"/>
  <c r="O3535" i="1" s="1"/>
  <c r="A5855" i="1" l="1"/>
  <c r="A3537" i="1"/>
  <c r="H3536" i="1"/>
  <c r="O3536" i="1" a="1"/>
  <c r="O3536" i="1" s="1"/>
  <c r="A5856" i="1" l="1"/>
  <c r="A3538" i="1"/>
  <c r="H3537" i="1"/>
  <c r="O3537" i="1" a="1"/>
  <c r="O3537" i="1" s="1"/>
  <c r="A5857" i="1" l="1"/>
  <c r="A3539" i="1"/>
  <c r="O3538" i="1" a="1"/>
  <c r="O3538" i="1" s="1"/>
  <c r="H3538" i="1"/>
  <c r="A5858" i="1" l="1"/>
  <c r="A3540" i="1"/>
  <c r="H3539" i="1"/>
  <c r="O3539" i="1" a="1"/>
  <c r="O3539" i="1" s="1"/>
  <c r="A5859" i="1" l="1"/>
  <c r="A3541" i="1"/>
  <c r="O3540" i="1" a="1"/>
  <c r="O3540" i="1" s="1"/>
  <c r="H3540" i="1"/>
  <c r="I4438" i="1" a="1"/>
  <c r="I4438" i="1" s="1"/>
  <c r="A3542" i="1" l="1"/>
  <c r="H3541" i="1"/>
  <c r="O3541" i="1" a="1"/>
  <c r="O3541" i="1" s="1"/>
  <c r="C4439" i="1"/>
  <c r="H4438" i="1"/>
  <c r="A3543" i="1" l="1"/>
  <c r="H3542" i="1"/>
  <c r="O3542" i="1" a="1"/>
  <c r="O3542" i="1" s="1"/>
  <c r="I4439" i="1" a="1"/>
  <c r="I4439" i="1" s="1"/>
  <c r="C4440" i="1"/>
  <c r="I4440" i="1" s="1" a="1"/>
  <c r="I4440" i="1" s="1"/>
  <c r="H4439" i="1"/>
  <c r="A3544" i="1" l="1"/>
  <c r="H3543" i="1"/>
  <c r="O3543" i="1" a="1"/>
  <c r="O3543" i="1" s="1"/>
  <c r="C4441" i="1"/>
  <c r="H4440" i="1"/>
  <c r="A3545" i="1" l="1"/>
  <c r="O3544" i="1" a="1"/>
  <c r="O3544" i="1" s="1"/>
  <c r="H3544" i="1"/>
  <c r="I4441" i="1" a="1"/>
  <c r="I4441" i="1" s="1"/>
  <c r="I4442" i="1" a="1"/>
  <c r="I4442" i="1" s="1"/>
  <c r="H4441" i="1"/>
  <c r="A3546" i="1" l="1"/>
  <c r="O3545" i="1" a="1"/>
  <c r="O3545" i="1" s="1"/>
  <c r="H3545" i="1"/>
  <c r="C4443" i="1"/>
  <c r="H4442" i="1"/>
  <c r="A3547" i="1" l="1"/>
  <c r="H3546" i="1"/>
  <c r="O3546" i="1" a="1"/>
  <c r="O3546" i="1" s="1"/>
  <c r="I4443" i="1" a="1"/>
  <c r="I4443" i="1" s="1"/>
  <c r="I4444" i="1" a="1"/>
  <c r="I4444" i="1" s="1"/>
  <c r="H4443" i="1"/>
  <c r="A3548" i="1" l="1"/>
  <c r="H3547" i="1"/>
  <c r="O3547" i="1" a="1"/>
  <c r="O3547" i="1" s="1"/>
  <c r="I4445" i="1" a="1"/>
  <c r="I4445" i="1" s="1"/>
  <c r="H4444" i="1"/>
  <c r="A3549" i="1" l="1"/>
  <c r="O3548" i="1" a="1"/>
  <c r="O3548" i="1" s="1"/>
  <c r="H3548" i="1"/>
  <c r="I4446" i="1" a="1"/>
  <c r="I4446" i="1" s="1"/>
  <c r="H4445" i="1"/>
  <c r="A3550" i="1" l="1"/>
  <c r="O3549" i="1" a="1"/>
  <c r="O3549" i="1" s="1"/>
  <c r="H3549" i="1"/>
  <c r="I4447" i="1" a="1"/>
  <c r="I4447" i="1" s="1"/>
  <c r="H4446" i="1"/>
  <c r="A3551" i="1" l="1"/>
  <c r="H3550" i="1"/>
  <c r="O3550" i="1" a="1"/>
  <c r="O3550" i="1" s="1"/>
  <c r="C4448" i="1"/>
  <c r="H4447" i="1"/>
  <c r="O4447" i="1" a="1"/>
  <c r="O4447" i="1" s="1"/>
  <c r="A3552" i="1" l="1"/>
  <c r="I3551" i="1" a="1"/>
  <c r="I3551" i="1" s="1"/>
  <c r="H3551" i="1"/>
  <c r="I4448" i="1" a="1"/>
  <c r="I4448" i="1" s="1"/>
  <c r="C4449" i="1"/>
  <c r="H4448" i="1"/>
  <c r="O4448" i="1" a="1"/>
  <c r="O4448" i="1" s="1"/>
  <c r="A3553" i="1" l="1"/>
  <c r="I3552" i="1" a="1"/>
  <c r="I3552" i="1" s="1"/>
  <c r="H3552" i="1"/>
  <c r="I4449" i="1" a="1"/>
  <c r="I4449" i="1" s="1"/>
  <c r="C4450" i="1"/>
  <c r="H4449" i="1"/>
  <c r="O4449" i="1" a="1"/>
  <c r="O4449" i="1" s="1"/>
  <c r="A3554" i="1" l="1"/>
  <c r="I3553" i="1" a="1"/>
  <c r="I3553" i="1" s="1"/>
  <c r="H3553" i="1"/>
  <c r="I4450" i="1" a="1"/>
  <c r="I4450" i="1" s="1"/>
  <c r="H4450" i="1"/>
  <c r="O4450" i="1" a="1"/>
  <c r="O4450" i="1" s="1"/>
  <c r="A3555" i="1" l="1"/>
  <c r="I3554" i="1" a="1"/>
  <c r="I3554" i="1" s="1"/>
  <c r="H3554" i="1"/>
  <c r="I4451" i="1" a="1"/>
  <c r="I4451" i="1" s="1"/>
  <c r="K4451" i="1" a="1"/>
  <c r="K4451" i="1" s="1"/>
  <c r="H4451" i="1"/>
  <c r="A3556" i="1" l="1"/>
  <c r="I3555" i="1" a="1"/>
  <c r="I3555" i="1" s="1"/>
  <c r="H3555" i="1"/>
  <c r="I4452" i="1" a="1"/>
  <c r="I4452" i="1" s="1"/>
  <c r="K4452" i="1" a="1"/>
  <c r="K4452" i="1" s="1"/>
  <c r="C4453" i="1"/>
  <c r="H4452" i="1"/>
  <c r="A3557" i="1" l="1"/>
  <c r="I3556" i="1" a="1"/>
  <c r="I3556" i="1" s="1"/>
  <c r="H3556" i="1"/>
  <c r="I4453" i="1" a="1"/>
  <c r="I4453" i="1" s="1"/>
  <c r="K4453" i="1" a="1"/>
  <c r="K4453" i="1" s="1"/>
  <c r="H4453" i="1"/>
  <c r="A3558" i="1" l="1"/>
  <c r="I3557" i="1" a="1"/>
  <c r="I3557" i="1" s="1"/>
  <c r="H3557" i="1"/>
  <c r="I4454" i="1" a="1"/>
  <c r="I4454" i="1" s="1"/>
  <c r="K4454" i="1" a="1"/>
  <c r="K4454" i="1" s="1"/>
  <c r="H4454" i="1"/>
  <c r="A3559" i="1" l="1"/>
  <c r="I3558" i="1" a="1"/>
  <c r="I3558" i="1" s="1"/>
  <c r="H3558" i="1"/>
  <c r="I4455" i="1" a="1"/>
  <c r="I4455" i="1" s="1"/>
  <c r="K4455" i="1" a="1"/>
  <c r="K4455" i="1" s="1"/>
  <c r="C4456" i="1"/>
  <c r="H4455" i="1"/>
  <c r="A3560" i="1" l="1"/>
  <c r="I3559" i="1" a="1"/>
  <c r="I3559" i="1" s="1"/>
  <c r="H3559" i="1"/>
  <c r="I4456" i="1" a="1"/>
  <c r="I4456" i="1" s="1"/>
  <c r="K4456" i="1" a="1"/>
  <c r="K4456" i="1" s="1"/>
  <c r="H4456" i="1"/>
  <c r="A3561" i="1" l="1"/>
  <c r="I3560" i="1" a="1"/>
  <c r="I3560" i="1" s="1"/>
  <c r="H3560" i="1"/>
  <c r="I4457" i="1" a="1"/>
  <c r="I4457" i="1" s="1"/>
  <c r="K4457" i="1" a="1"/>
  <c r="K4457" i="1" s="1"/>
  <c r="H4457" i="1"/>
  <c r="A3562" i="1" l="1"/>
  <c r="I3561" i="1" a="1"/>
  <c r="I3561" i="1" s="1"/>
  <c r="H3561" i="1"/>
  <c r="I4458" i="1" a="1"/>
  <c r="I4458" i="1" s="1"/>
  <c r="K4458" i="1" a="1"/>
  <c r="K4458" i="1" s="1"/>
  <c r="C4459" i="1"/>
  <c r="H4458" i="1"/>
  <c r="A3563" i="1" l="1"/>
  <c r="I3562" i="1" a="1"/>
  <c r="I3562" i="1" s="1"/>
  <c r="H3562" i="1"/>
  <c r="I4459" i="1" a="1"/>
  <c r="I4459" i="1" s="1"/>
  <c r="K4459" i="1" a="1"/>
  <c r="K4459" i="1" s="1"/>
  <c r="H4459" i="1"/>
  <c r="A3564" i="1" l="1"/>
  <c r="I3563" i="1" a="1"/>
  <c r="I3563" i="1" s="1"/>
  <c r="H3563" i="1"/>
  <c r="I4460" i="1" a="1"/>
  <c r="I4460" i="1" s="1"/>
  <c r="K4460" i="1" a="1"/>
  <c r="K4460" i="1" s="1"/>
  <c r="C4461" i="1"/>
  <c r="H4460" i="1"/>
  <c r="A3565" i="1" l="1"/>
  <c r="I3564" i="1" a="1"/>
  <c r="I3564" i="1" s="1"/>
  <c r="H3564" i="1"/>
  <c r="I4461" i="1" a="1"/>
  <c r="I4461" i="1" s="1"/>
  <c r="K4461" i="1" a="1"/>
  <c r="K4461" i="1" s="1"/>
  <c r="H4461" i="1"/>
  <c r="A3566" i="1" l="1"/>
  <c r="I3565" i="1" a="1"/>
  <c r="I3565" i="1" s="1"/>
  <c r="H3565" i="1"/>
  <c r="I4462" i="1" a="1"/>
  <c r="I4462" i="1" s="1"/>
  <c r="K4462" i="1" a="1"/>
  <c r="K4462" i="1" s="1"/>
  <c r="C4463" i="1"/>
  <c r="H4462" i="1"/>
  <c r="A3567" i="1" l="1"/>
  <c r="I3566" i="1" a="1"/>
  <c r="I3566" i="1" s="1"/>
  <c r="H3566" i="1"/>
  <c r="I4463" i="1" a="1"/>
  <c r="I4463" i="1" s="1"/>
  <c r="K4463" i="1" a="1"/>
  <c r="K4463" i="1" s="1"/>
  <c r="C4464" i="1"/>
  <c r="H4463" i="1"/>
  <c r="A3568" i="1" l="1"/>
  <c r="I3567" i="1" a="1"/>
  <c r="I3567" i="1" s="1"/>
  <c r="H3567" i="1"/>
  <c r="I4464" i="1" a="1"/>
  <c r="I4464" i="1" s="1"/>
  <c r="K4464" i="1" a="1"/>
  <c r="K4464" i="1" s="1"/>
  <c r="H4464" i="1"/>
  <c r="A3569" i="1" l="1"/>
  <c r="I3568" i="1" a="1"/>
  <c r="I3568" i="1" s="1"/>
  <c r="H3568" i="1"/>
  <c r="I4465" i="1" a="1"/>
  <c r="I4465" i="1" s="1"/>
  <c r="K4465" i="1" a="1"/>
  <c r="K4465" i="1" s="1"/>
  <c r="C4466" i="1"/>
  <c r="H4465" i="1"/>
  <c r="A3570" i="1" l="1"/>
  <c r="I3569" i="1" a="1"/>
  <c r="I3569" i="1" s="1"/>
  <c r="H3569" i="1"/>
  <c r="I4466" i="1" a="1"/>
  <c r="I4466" i="1" s="1"/>
  <c r="K4466" i="1" a="1"/>
  <c r="K4466" i="1" s="1"/>
  <c r="H4466" i="1"/>
  <c r="A3571" i="1" l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L4629" i="1" l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L4638" i="1" l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E168" i="2" l="1"/>
  <c r="E88" i="2" l="1"/>
  <c r="E63" i="2"/>
  <c r="E77" i="2"/>
  <c r="E61" i="2"/>
  <c r="E38" i="2"/>
  <c r="E47" i="2"/>
  <c r="E87" i="2"/>
  <c r="E39" i="2"/>
  <c r="E7" i="2"/>
  <c r="E120" i="2"/>
  <c r="E25" i="2"/>
  <c r="E8" i="2"/>
  <c r="E132" i="2"/>
  <c r="E95" i="2"/>
  <c r="E36" i="2"/>
  <c r="E74" i="2"/>
  <c r="E103" i="2"/>
  <c r="E109" i="2"/>
  <c r="E72" i="2"/>
  <c r="E26" i="2"/>
  <c r="E69" i="2"/>
  <c r="E46" i="2"/>
  <c r="E102" i="2"/>
  <c r="E41" i="2"/>
  <c r="E92" i="2"/>
  <c r="E51" i="2"/>
  <c r="E85" i="2"/>
  <c r="E151" i="2" l="1"/>
  <c r="D27" i="2"/>
  <c r="E126" i="2"/>
  <c r="C61" i="2"/>
  <c r="D81" i="2"/>
  <c r="D80" i="2"/>
  <c r="E149" i="2"/>
  <c r="E18" i="2"/>
  <c r="E114" i="2"/>
  <c r="E73" i="2"/>
  <c r="E121" i="2"/>
  <c r="D137" i="2"/>
  <c r="C81" i="2"/>
  <c r="D54" i="2"/>
  <c r="C128" i="2"/>
  <c r="D104" i="2"/>
  <c r="D147" i="2"/>
  <c r="C43" i="2"/>
  <c r="E89" i="2"/>
  <c r="C27" i="2"/>
  <c r="C71" i="2"/>
  <c r="D132" i="2"/>
  <c r="E52" i="2"/>
  <c r="E144" i="2"/>
  <c r="D100" i="2"/>
  <c r="E164" i="2"/>
  <c r="C97" i="2"/>
  <c r="D140" i="2"/>
  <c r="C23" i="2"/>
  <c r="E35" i="2"/>
  <c r="C124" i="2"/>
  <c r="E14" i="2"/>
  <c r="E123" i="2"/>
  <c r="D92" i="2"/>
  <c r="C161" i="2"/>
  <c r="C163" i="2"/>
  <c r="E99" i="2"/>
  <c r="E148" i="2"/>
  <c r="C135" i="2"/>
  <c r="C167" i="2"/>
  <c r="D55" i="2"/>
  <c r="C132" i="2"/>
  <c r="C69" i="2"/>
  <c r="E97" i="2"/>
  <c r="E108" i="2"/>
  <c r="C9" i="2"/>
  <c r="C22" i="2" l="1"/>
  <c r="C183" i="2"/>
  <c r="E185" i="2"/>
  <c r="C184" i="2"/>
  <c r="C185" i="2"/>
  <c r="D183" i="2"/>
  <c r="E186" i="2"/>
  <c r="E187" i="2"/>
  <c r="C186" i="2"/>
  <c r="D189" i="2"/>
  <c r="D190" i="2"/>
  <c r="E188" i="2"/>
  <c r="D184" i="2"/>
  <c r="E190" i="2"/>
  <c r="C188" i="2"/>
  <c r="E183" i="2"/>
  <c r="C187" i="2"/>
  <c r="D185" i="2"/>
  <c r="D186" i="2"/>
  <c r="E184" i="2"/>
  <c r="C189" i="2"/>
  <c r="D187" i="2"/>
  <c r="C190" i="2"/>
  <c r="E189" i="2" l="1"/>
  <c r="D188" i="2"/>
  <c r="C36" i="2"/>
  <c r="E3" i="2"/>
  <c r="E76" i="2"/>
  <c r="E84" i="2"/>
  <c r="D103" i="2"/>
  <c r="D101" i="2"/>
  <c r="E166" i="2"/>
  <c r="D98" i="2"/>
  <c r="D151" i="2"/>
  <c r="C93" i="2"/>
  <c r="E137" i="2"/>
  <c r="D52" i="2"/>
  <c r="C123" i="2"/>
  <c r="E140" i="2"/>
  <c r="D5" i="2"/>
  <c r="E79" i="2" l="1"/>
  <c r="E165" i="2"/>
  <c r="D154" i="2"/>
  <c r="E29" i="2"/>
  <c r="C144" i="2"/>
  <c r="C151" i="2"/>
  <c r="C137" i="2"/>
  <c r="E156" i="2"/>
  <c r="D71" i="2"/>
  <c r="D146" i="2"/>
  <c r="E159" i="2"/>
  <c r="E150" i="2"/>
  <c r="E145" i="2"/>
  <c r="C50" i="2"/>
  <c r="E124" i="2"/>
  <c r="C90" i="2"/>
  <c r="C45" i="2"/>
  <c r="C156" i="2"/>
  <c r="E135" i="2"/>
  <c r="D118" i="2"/>
  <c r="D155" i="2"/>
  <c r="D30" i="2"/>
  <c r="E161" i="2"/>
  <c r="E143" i="2"/>
  <c r="C114" i="2"/>
  <c r="C136" i="2"/>
  <c r="C125" i="2"/>
  <c r="E163" i="2"/>
  <c r="D120" i="2"/>
  <c r="E139" i="2"/>
  <c r="E141" i="2"/>
  <c r="C105" i="2"/>
  <c r="E24" i="2"/>
  <c r="D152" i="2"/>
  <c r="E57" i="2"/>
  <c r="C127" i="2"/>
  <c r="E13" i="2"/>
  <c r="E56" i="2" l="1"/>
  <c r="C21" i="2"/>
  <c r="D111" i="2"/>
  <c r="D66" i="2"/>
  <c r="D39" i="2"/>
  <c r="D44" i="2"/>
  <c r="D94" i="2"/>
  <c r="D58" i="2"/>
  <c r="D8" i="2"/>
  <c r="D25" i="2"/>
  <c r="D130" i="2"/>
  <c r="D87" i="2"/>
  <c r="D112" i="2"/>
  <c r="D148" i="2"/>
  <c r="D82" i="2"/>
  <c r="D102" i="2"/>
  <c r="D108" i="2"/>
  <c r="D33" i="2"/>
  <c r="D89" i="2" l="1"/>
  <c r="D68" i="2"/>
  <c r="C122" i="2"/>
  <c r="C152" i="2"/>
  <c r="D142" i="2"/>
  <c r="C64" i="2"/>
  <c r="D72" i="2"/>
  <c r="C32" i="2"/>
  <c r="C87" i="2"/>
  <c r="C88" i="2"/>
  <c r="C38" i="2"/>
  <c r="D12" i="2"/>
  <c r="C94" i="2"/>
  <c r="C15" i="2"/>
  <c r="C83" i="2"/>
  <c r="C5" i="2"/>
  <c r="E33" i="2"/>
  <c r="C133" i="2"/>
  <c r="E146" i="2"/>
  <c r="C30" i="2"/>
  <c r="C58" i="2"/>
  <c r="D143" i="2"/>
  <c r="C143" i="2"/>
  <c r="C19" i="2"/>
  <c r="D16" i="2"/>
  <c r="C145" i="2"/>
  <c r="C24" i="2"/>
  <c r="D145" i="2"/>
  <c r="E122" i="2" l="1"/>
  <c r="C117" i="2"/>
  <c r="C176" i="2"/>
  <c r="C84" i="2"/>
  <c r="C95" i="2"/>
  <c r="C175" i="2"/>
  <c r="C106" i="2"/>
  <c r="C138" i="2"/>
  <c r="E119" i="2"/>
  <c r="C67" i="2"/>
  <c r="C63" i="2"/>
  <c r="E125" i="2"/>
  <c r="C57" i="2"/>
  <c r="E175" i="2"/>
  <c r="E82" i="2"/>
  <c r="C33" i="2"/>
  <c r="E5" i="2"/>
  <c r="C149" i="2"/>
  <c r="E53" i="2"/>
  <c r="C31" i="2"/>
  <c r="C49" i="2"/>
  <c r="C60" i="2"/>
  <c r="C82" i="2"/>
  <c r="C110" i="2"/>
  <c r="C155" i="2"/>
  <c r="E49" i="2"/>
  <c r="E91" i="2"/>
  <c r="C80" i="2"/>
  <c r="E48" i="2"/>
  <c r="C42" i="2"/>
  <c r="C76" i="2"/>
  <c r="C75" i="2"/>
  <c r="C98" i="2"/>
  <c r="C11" i="2"/>
  <c r="C118" i="2"/>
  <c r="C148" i="2"/>
  <c r="C72" i="2"/>
  <c r="C85" i="2"/>
  <c r="E152" i="2"/>
  <c r="C40" i="2"/>
  <c r="C173" i="2"/>
  <c r="E16" i="2"/>
  <c r="C59" i="2"/>
  <c r="E105" i="2"/>
  <c r="C44" i="2"/>
  <c r="C99" i="2"/>
  <c r="E32" i="2"/>
  <c r="E42" i="2"/>
  <c r="E64" i="2"/>
  <c r="C111" i="2" l="1"/>
  <c r="C115" i="2"/>
  <c r="C170" i="2"/>
  <c r="C26" i="2"/>
  <c r="E23" i="2"/>
  <c r="C154" i="2"/>
  <c r="C172" i="2"/>
  <c r="E158" i="2"/>
  <c r="D97" i="2"/>
  <c r="E83" i="2"/>
  <c r="C25" i="2"/>
  <c r="E160" i="2"/>
  <c r="E170" i="2"/>
  <c r="D20" i="2"/>
  <c r="E58" i="2"/>
  <c r="C14" i="2"/>
  <c r="E86" i="2"/>
  <c r="D161" i="2"/>
  <c r="D22" i="2"/>
  <c r="E118" i="2"/>
  <c r="E177" i="2"/>
  <c r="E174" i="2"/>
  <c r="D115" i="2"/>
  <c r="C177" i="2"/>
  <c r="E136" i="2"/>
  <c r="E131" i="2"/>
  <c r="E142" i="2"/>
  <c r="E45" i="2"/>
  <c r="E153" i="2"/>
  <c r="C171" i="2"/>
  <c r="C35" i="2"/>
  <c r="C86" i="2"/>
  <c r="E173" i="2"/>
  <c r="D129" i="2"/>
  <c r="C158" i="2"/>
  <c r="D158" i="2"/>
  <c r="E40" i="2"/>
  <c r="E71" i="2"/>
  <c r="E176" i="2"/>
  <c r="E130" i="2"/>
  <c r="E157" i="2"/>
  <c r="C153" i="2"/>
  <c r="D176" i="2"/>
  <c r="D157" i="2"/>
  <c r="C16" i="2"/>
  <c r="C74" i="2"/>
  <c r="E162" i="2"/>
  <c r="C159" i="2"/>
  <c r="C162" i="2" l="1"/>
  <c r="C109" i="2"/>
  <c r="D170" i="2"/>
  <c r="E34" i="2"/>
  <c r="C166" i="2"/>
  <c r="D180" i="2"/>
  <c r="D29" i="2"/>
  <c r="C157" i="2"/>
  <c r="C182" i="2"/>
  <c r="E4" i="2"/>
  <c r="C169" i="2"/>
  <c r="C179" i="2"/>
  <c r="E181" i="2"/>
  <c r="E129" i="2"/>
  <c r="E94" i="2"/>
  <c r="E155" i="2"/>
  <c r="D160" i="2"/>
  <c r="D173" i="2"/>
  <c r="E100" i="2"/>
  <c r="E180" i="2"/>
  <c r="E154" i="2"/>
  <c r="C150" i="2"/>
  <c r="C181" i="2"/>
  <c r="D172" i="2"/>
  <c r="D119" i="2"/>
  <c r="D171" i="2"/>
  <c r="C180" i="2"/>
  <c r="D178" i="2"/>
  <c r="D149" i="2"/>
  <c r="D159" i="2"/>
  <c r="D79" i="2"/>
  <c r="C120" i="2"/>
  <c r="D141" i="2"/>
  <c r="E179" i="2"/>
  <c r="D179" i="2"/>
  <c r="D131" i="2"/>
  <c r="E182" i="2"/>
  <c r="D175" i="2"/>
  <c r="E169" i="2"/>
  <c r="E138" i="2"/>
  <c r="C146" i="2"/>
  <c r="D174" i="2"/>
  <c r="C139" i="2"/>
  <c r="C91" i="2"/>
  <c r="E110" i="2"/>
  <c r="E11" i="2"/>
  <c r="C178" i="2"/>
  <c r="C119" i="2" l="1"/>
  <c r="D107" i="2"/>
  <c r="D56" i="2"/>
  <c r="D49" i="2"/>
  <c r="D150" i="2"/>
  <c r="D48" i="2"/>
  <c r="D76" i="2"/>
  <c r="D38" i="2"/>
  <c r="D47" i="2"/>
  <c r="D114" i="2"/>
  <c r="D60" i="2"/>
  <c r="D40" i="2"/>
  <c r="D57" i="2"/>
  <c r="D135" i="2"/>
  <c r="D105" i="2"/>
  <c r="D35" i="2"/>
  <c r="D139" i="2"/>
  <c r="D36" i="2"/>
  <c r="D91" i="2"/>
  <c r="E178" i="2"/>
  <c r="D136" i="2"/>
  <c r="E171" i="2"/>
  <c r="D182" i="2"/>
  <c r="E50" i="2"/>
  <c r="C147" i="2"/>
  <c r="E128" i="2"/>
  <c r="E112" i="2"/>
  <c r="E65" i="2"/>
  <c r="D177" i="2"/>
  <c r="D169" i="2"/>
  <c r="E172" i="2"/>
  <c r="D181" i="2"/>
  <c r="D45" i="2" l="1"/>
  <c r="D90" i="2"/>
  <c r="D19" i="2"/>
  <c r="D67" i="2"/>
  <c r="D88" i="2"/>
  <c r="D62" i="2"/>
  <c r="D106" i="2"/>
  <c r="D10" i="2"/>
  <c r="D144" i="2"/>
  <c r="D21" i="2"/>
  <c r="D75" i="2"/>
  <c r="D63" i="2"/>
  <c r="D162" i="2"/>
  <c r="D51" i="2"/>
  <c r="D156" i="2"/>
  <c r="D125" i="2"/>
  <c r="D64" i="2"/>
  <c r="D41" i="2"/>
  <c r="D23" i="2"/>
  <c r="D7" i="2"/>
  <c r="D37" i="2"/>
  <c r="D128" i="2"/>
  <c r="D9" i="2"/>
  <c r="D99" i="2"/>
  <c r="D109" i="2"/>
  <c r="D70" i="2" l="1"/>
  <c r="D31" i="2"/>
  <c r="D17" i="2"/>
  <c r="D34" i="2"/>
  <c r="D96" i="2"/>
  <c r="D13" i="2"/>
  <c r="D126" i="2"/>
  <c r="D153" i="2"/>
  <c r="D85" i="2"/>
  <c r="D14" i="2"/>
  <c r="C160" i="2"/>
  <c r="C48" i="2"/>
  <c r="C131" i="2"/>
  <c r="E104" i="2"/>
  <c r="E31" i="2"/>
  <c r="C129" i="2"/>
  <c r="C6" i="2"/>
  <c r="D43" i="2"/>
  <c r="D117" i="2"/>
  <c r="D86" i="2"/>
  <c r="D77" i="2"/>
  <c r="E106" i="2"/>
  <c r="E19" i="2"/>
  <c r="C46" i="2"/>
  <c r="D32" i="2"/>
  <c r="C51" i="2"/>
  <c r="E67" i="2"/>
  <c r="C126" i="2"/>
  <c r="E101" i="2"/>
  <c r="E21" i="2"/>
  <c r="E10" i="2"/>
  <c r="C77" i="2"/>
  <c r="C142" i="2"/>
  <c r="C174" i="2"/>
  <c r="C101" i="2"/>
  <c r="D134" i="2"/>
  <c r="E133" i="2"/>
  <c r="E37" i="2"/>
  <c r="D11" i="2"/>
  <c r="E22" i="2"/>
  <c r="D6" i="2"/>
  <c r="E116" i="2"/>
  <c r="C130" i="2"/>
  <c r="C4" i="2"/>
  <c r="E2" i="2"/>
  <c r="E62" i="2"/>
  <c r="E27" i="2"/>
  <c r="C78" i="2"/>
  <c r="E68" i="2" l="1"/>
  <c r="C41" i="2"/>
  <c r="E6" i="2"/>
  <c r="C37" i="2"/>
  <c r="C55" i="2"/>
  <c r="C7" i="2"/>
  <c r="C108" i="2"/>
  <c r="C62" i="2"/>
  <c r="C34" i="2"/>
  <c r="C13" i="2"/>
  <c r="E17" i="2"/>
  <c r="E66" i="2"/>
  <c r="E9" i="2"/>
  <c r="C140" i="2"/>
  <c r="E70" i="2"/>
  <c r="C104" i="2"/>
  <c r="E111" i="2"/>
  <c r="E90" i="2"/>
  <c r="E44" i="2"/>
  <c r="C103" i="2"/>
  <c r="E55" i="2"/>
  <c r="C39" i="2"/>
  <c r="E54" i="2"/>
  <c r="C165" i="2"/>
  <c r="C66" i="2"/>
  <c r="C3" i="2"/>
  <c r="E12" i="2"/>
  <c r="E107" i="2"/>
  <c r="E113" i="2"/>
  <c r="E147" i="2"/>
  <c r="C96" i="2"/>
  <c r="C18" i="2"/>
  <c r="E30" i="2"/>
  <c r="C56" i="2" l="1"/>
  <c r="C141" i="2"/>
  <c r="C17" i="2"/>
  <c r="C28" i="2"/>
  <c r="E127" i="2"/>
  <c r="C79" i="2"/>
  <c r="C52" i="2"/>
  <c r="E93" i="2"/>
  <c r="C54" i="2"/>
  <c r="C89" i="2"/>
  <c r="C68" i="2"/>
  <c r="E80" i="2"/>
  <c r="E75" i="2"/>
  <c r="E15" i="2"/>
  <c r="E98" i="2"/>
  <c r="C12" i="2"/>
  <c r="C134" i="2"/>
  <c r="C53" i="2"/>
  <c r="E81" i="2"/>
  <c r="D18" i="2"/>
  <c r="E78" i="2"/>
  <c r="E96" i="2"/>
  <c r="C29" i="2"/>
  <c r="E115" i="2"/>
  <c r="C47" i="2"/>
  <c r="E59" i="2"/>
  <c r="C92" i="2"/>
  <c r="E134" i="2"/>
  <c r="C112" i="2"/>
  <c r="B5595" i="1" l="1"/>
  <c r="E28" i="2" l="1"/>
  <c r="D124" i="2"/>
  <c r="D166" i="2"/>
  <c r="C10" i="2"/>
  <c r="D122" i="2"/>
  <c r="D163" i="2"/>
  <c r="D69" i="2"/>
  <c r="D24" i="2"/>
  <c r="E43" i="2"/>
  <c r="C102" i="2"/>
  <c r="D4" i="2"/>
  <c r="D65" i="2"/>
  <c r="D168" i="2"/>
  <c r="D28" i="2"/>
  <c r="C8" i="2"/>
  <c r="C121" i="2"/>
  <c r="D42" i="2"/>
  <c r="C73" i="2"/>
  <c r="D123" i="2"/>
  <c r="E167" i="2"/>
  <c r="C70" i="2"/>
  <c r="D83" i="2"/>
  <c r="C116" i="2"/>
  <c r="C2" i="2"/>
  <c r="E20" i="2"/>
  <c r="C20" i="2"/>
  <c r="C100" i="2"/>
  <c r="D46" i="2"/>
  <c r="E60" i="2"/>
  <c r="C164" i="2"/>
  <c r="D59" i="2"/>
  <c r="D53" i="2"/>
  <c r="D116" i="2"/>
  <c r="D3" i="2"/>
  <c r="C113" i="2"/>
  <c r="C65" i="2"/>
  <c r="C168" i="2"/>
  <c r="D95" i="2"/>
  <c r="C107" i="2"/>
  <c r="D26" i="2"/>
  <c r="E117" i="2"/>
  <c r="D93" i="2"/>
  <c r="B5596" i="1"/>
  <c r="R5595" i="1" a="1"/>
  <c r="R5595" i="1" s="1"/>
  <c r="M5595" i="1" a="1"/>
  <c r="M5595" i="1" s="1"/>
  <c r="Q5595" i="1" a="1"/>
  <c r="Q5595" i="1" s="1"/>
  <c r="L5595" i="1" a="1"/>
  <c r="L5595" i="1" s="1"/>
  <c r="P5595" i="1" a="1"/>
  <c r="P5595" i="1" s="1"/>
  <c r="N5595" i="1" a="1"/>
  <c r="N5595" i="1" s="1"/>
  <c r="S5595" i="1" a="1"/>
  <c r="S5595" i="1" s="1"/>
  <c r="S5596" i="1" l="1" a="1"/>
  <c r="S5596" i="1" s="1"/>
  <c r="L5596" i="1" a="1"/>
  <c r="L5596" i="1" s="1"/>
  <c r="B5597" i="1"/>
  <c r="M5596" i="1" a="1"/>
  <c r="M5596" i="1" s="1"/>
  <c r="P5596" i="1" a="1"/>
  <c r="P5596" i="1" s="1"/>
  <c r="N5596" i="1" a="1"/>
  <c r="N5596" i="1" s="1"/>
  <c r="Q5596" i="1" a="1"/>
  <c r="Q5596" i="1" s="1"/>
  <c r="R5596" i="1" a="1"/>
  <c r="R5596" i="1" s="1"/>
  <c r="Q5597" i="1" l="1" a="1"/>
  <c r="Q5597" i="1" s="1"/>
  <c r="B5598" i="1"/>
  <c r="R5597" i="1" a="1"/>
  <c r="R5597" i="1" s="1"/>
  <c r="P5597" i="1" a="1"/>
  <c r="P5597" i="1" s="1"/>
  <c r="S5597" i="1" a="1"/>
  <c r="S5597" i="1" s="1"/>
  <c r="M5597" i="1" a="1"/>
  <c r="M5597" i="1" s="1"/>
  <c r="L5597" i="1" a="1"/>
  <c r="L5597" i="1" s="1"/>
  <c r="N5597" i="1" a="1"/>
  <c r="N5597" i="1" s="1"/>
  <c r="S5598" i="1" l="1" a="1"/>
  <c r="S5598" i="1" s="1"/>
  <c r="Q5598" i="1" a="1"/>
  <c r="Q5598" i="1" s="1"/>
  <c r="B5599" i="1"/>
  <c r="L5598" i="1" a="1"/>
  <c r="L5598" i="1" s="1"/>
  <c r="R5598" i="1" a="1"/>
  <c r="R5598" i="1" s="1"/>
  <c r="M5598" i="1" a="1"/>
  <c r="M5598" i="1" s="1"/>
  <c r="P5598" i="1" a="1"/>
  <c r="P5598" i="1" s="1"/>
  <c r="N5598" i="1" a="1"/>
  <c r="N5598" i="1" s="1"/>
  <c r="R5599" i="1" l="1" a="1"/>
  <c r="R5599" i="1" s="1"/>
  <c r="B5600" i="1"/>
  <c r="N5599" i="1" a="1"/>
  <c r="N5599" i="1" s="1"/>
  <c r="M5599" i="1" a="1"/>
  <c r="M5599" i="1" s="1"/>
  <c r="S5599" i="1" a="1"/>
  <c r="S5599" i="1" s="1"/>
  <c r="Q5599" i="1" a="1"/>
  <c r="Q5599" i="1" s="1"/>
  <c r="L5599" i="1" a="1"/>
  <c r="L5599" i="1" s="1"/>
  <c r="P5599" i="1" a="1"/>
  <c r="P5599" i="1" s="1"/>
  <c r="L5600" i="1" l="1" a="1"/>
  <c r="L5600" i="1" s="1"/>
  <c r="M5600" i="1" a="1"/>
  <c r="M5600" i="1" s="1"/>
  <c r="P5600" i="1" a="1"/>
  <c r="P5600" i="1" s="1"/>
  <c r="N5600" i="1" a="1"/>
  <c r="N5600" i="1" s="1"/>
  <c r="Q5600" i="1" a="1"/>
  <c r="Q5600" i="1" s="1"/>
  <c r="R5600" i="1" a="1"/>
  <c r="R5600" i="1" s="1"/>
  <c r="S5600" i="1" a="1"/>
  <c r="S5600" i="1" s="1"/>
  <c r="B5601" i="1"/>
  <c r="R5601" i="1" l="1" a="1"/>
  <c r="R5601" i="1" s="1"/>
  <c r="M5601" i="1" a="1"/>
  <c r="M5601" i="1" s="1"/>
  <c r="L5601" i="1" a="1"/>
  <c r="L5601" i="1" s="1"/>
  <c r="S5601" i="1" a="1"/>
  <c r="S5601" i="1" s="1"/>
  <c r="B5602" i="1"/>
  <c r="P5601" i="1" a="1"/>
  <c r="P5601" i="1" s="1"/>
  <c r="Q5601" i="1" a="1"/>
  <c r="Q5601" i="1" s="1"/>
  <c r="N5601" i="1" a="1"/>
  <c r="N5601" i="1" s="1"/>
  <c r="B5603" i="1" l="1"/>
  <c r="L5602" i="1" a="1"/>
  <c r="L5602" i="1" s="1"/>
  <c r="M5602" i="1" a="1"/>
  <c r="M5602" i="1" s="1"/>
  <c r="N5602" i="1" a="1"/>
  <c r="N5602" i="1" s="1"/>
  <c r="R5602" i="1" a="1"/>
  <c r="R5602" i="1" s="1"/>
  <c r="P5602" i="1" a="1"/>
  <c r="P5602" i="1" s="1"/>
  <c r="S5602" i="1" a="1"/>
  <c r="S5602" i="1" s="1"/>
  <c r="Q5602" i="1" a="1"/>
  <c r="Q5602" i="1" s="1"/>
  <c r="P5603" i="1" l="1" a="1"/>
  <c r="P5603" i="1" s="1"/>
  <c r="R5603" i="1" a="1"/>
  <c r="R5603" i="1" s="1"/>
  <c r="B5604" i="1"/>
  <c r="M5603" i="1" a="1"/>
  <c r="M5603" i="1" s="1"/>
  <c r="L5603" i="1" a="1"/>
  <c r="L5603" i="1" s="1"/>
  <c r="Q5603" i="1" a="1"/>
  <c r="Q5603" i="1" s="1"/>
  <c r="S5603" i="1" a="1"/>
  <c r="S5603" i="1" s="1"/>
  <c r="N5603" i="1" a="1"/>
  <c r="N5603" i="1" s="1"/>
  <c r="L5604" i="1" l="1" a="1"/>
  <c r="L5604" i="1" s="1"/>
  <c r="S5604" i="1" a="1"/>
  <c r="S5604" i="1" s="1"/>
  <c r="P5604" i="1" a="1"/>
  <c r="P5604" i="1" s="1"/>
  <c r="B5605" i="1"/>
  <c r="N5604" i="1" a="1"/>
  <c r="N5604" i="1" s="1"/>
  <c r="M5604" i="1" a="1"/>
  <c r="M5604" i="1" s="1"/>
  <c r="Q5604" i="1" a="1"/>
  <c r="Q5604" i="1" s="1"/>
  <c r="R5604" i="1" a="1"/>
  <c r="R5604" i="1" s="1"/>
  <c r="N5605" i="1" l="1" a="1"/>
  <c r="N5605" i="1" s="1"/>
  <c r="P5605" i="1" a="1"/>
  <c r="P5605" i="1" s="1"/>
  <c r="L5605" i="1" a="1"/>
  <c r="L5605" i="1" s="1"/>
  <c r="B5606" i="1"/>
  <c r="R5605" i="1" a="1"/>
  <c r="R5605" i="1" s="1"/>
  <c r="S5605" i="1" a="1"/>
  <c r="S5605" i="1" s="1"/>
  <c r="Q5605" i="1" a="1"/>
  <c r="Q5605" i="1" s="1"/>
  <c r="M5605" i="1" a="1"/>
  <c r="M5605" i="1" s="1"/>
  <c r="B5607" i="1" l="1"/>
  <c r="R5606" i="1" a="1"/>
  <c r="R5606" i="1" s="1"/>
  <c r="L5606" i="1" a="1"/>
  <c r="L5606" i="1" s="1"/>
  <c r="N5606" i="1" a="1"/>
  <c r="N5606" i="1" s="1"/>
  <c r="S5606" i="1" a="1"/>
  <c r="S5606" i="1" s="1"/>
  <c r="M5606" i="1" a="1"/>
  <c r="M5606" i="1" s="1"/>
  <c r="P5606" i="1" a="1"/>
  <c r="P5606" i="1" s="1"/>
  <c r="Q5606" i="1" a="1"/>
  <c r="Q5606" i="1" s="1"/>
  <c r="L5607" i="1" l="1" a="1"/>
  <c r="L5607" i="1" s="1"/>
  <c r="B5608" i="1"/>
  <c r="S5607" i="1" a="1"/>
  <c r="S5607" i="1" s="1"/>
  <c r="Q5607" i="1" a="1"/>
  <c r="Q5607" i="1" s="1"/>
  <c r="N5607" i="1" a="1"/>
  <c r="N5607" i="1" s="1"/>
  <c r="M5607" i="1" a="1"/>
  <c r="M5607" i="1" s="1"/>
  <c r="R5607" i="1" a="1"/>
  <c r="R5607" i="1" s="1"/>
  <c r="P5607" i="1" a="1"/>
  <c r="P5607" i="1" s="1"/>
  <c r="N5608" i="1" l="1" a="1"/>
  <c r="N5608" i="1" s="1"/>
  <c r="S5608" i="1" a="1"/>
  <c r="S5608" i="1" s="1"/>
  <c r="B5609" i="1"/>
  <c r="Q5608" i="1" a="1"/>
  <c r="Q5608" i="1" s="1"/>
  <c r="P5608" i="1" a="1"/>
  <c r="P5608" i="1" s="1"/>
  <c r="L5608" i="1" a="1"/>
  <c r="L5608" i="1" s="1"/>
  <c r="R5608" i="1" a="1"/>
  <c r="R5608" i="1" s="1"/>
  <c r="M5608" i="1" a="1"/>
  <c r="M5608" i="1" s="1"/>
  <c r="B5610" i="1" l="1"/>
  <c r="P5609" i="1" a="1"/>
  <c r="P5609" i="1" s="1"/>
  <c r="L5609" i="1" a="1"/>
  <c r="L5609" i="1" s="1"/>
  <c r="N5609" i="1" a="1"/>
  <c r="N5609" i="1" s="1"/>
  <c r="Q5609" i="1" a="1"/>
  <c r="Q5609" i="1" s="1"/>
  <c r="R5609" i="1" a="1"/>
  <c r="R5609" i="1" s="1"/>
  <c r="M5609" i="1" a="1"/>
  <c r="M5609" i="1" s="1"/>
  <c r="S5609" i="1" a="1"/>
  <c r="S5609" i="1" s="1"/>
  <c r="S5610" i="1" l="1" a="1"/>
  <c r="S5610" i="1" s="1"/>
  <c r="B5611" i="1"/>
  <c r="M5610" i="1" a="1"/>
  <c r="M5610" i="1" s="1"/>
  <c r="L5610" i="1" a="1"/>
  <c r="L5610" i="1" s="1"/>
  <c r="P5610" i="1" a="1"/>
  <c r="P5610" i="1" s="1"/>
  <c r="R5610" i="1" a="1"/>
  <c r="R5610" i="1" s="1"/>
  <c r="Q5610" i="1" a="1"/>
  <c r="Q5610" i="1" s="1"/>
  <c r="N5610" i="1" a="1"/>
  <c r="N5610" i="1" s="1"/>
  <c r="R5611" i="1" l="1" a="1"/>
  <c r="R5611" i="1" s="1"/>
  <c r="L5611" i="1" a="1"/>
  <c r="L5611" i="1" s="1"/>
  <c r="S5611" i="1" a="1"/>
  <c r="S5611" i="1" s="1"/>
  <c r="P5611" i="1" a="1"/>
  <c r="P5611" i="1" s="1"/>
  <c r="N5611" i="1" a="1"/>
  <c r="N5611" i="1" s="1"/>
  <c r="M5611" i="1" a="1"/>
  <c r="M5611" i="1" s="1"/>
  <c r="B5612" i="1"/>
  <c r="Q5611" i="1" a="1"/>
  <c r="Q5611" i="1" s="1"/>
  <c r="M5612" i="1" l="1" a="1"/>
  <c r="M5612" i="1" s="1"/>
  <c r="S5612" i="1" a="1"/>
  <c r="S5612" i="1" s="1"/>
  <c r="Q5612" i="1" a="1"/>
  <c r="Q5612" i="1" s="1"/>
  <c r="L5612" i="1" a="1"/>
  <c r="L5612" i="1" s="1"/>
  <c r="R5612" i="1" a="1"/>
  <c r="R5612" i="1" s="1"/>
  <c r="P5612" i="1" a="1"/>
  <c r="P5612" i="1" s="1"/>
  <c r="N5612" i="1" a="1"/>
  <c r="N5612" i="1" s="1"/>
  <c r="B5613" i="1"/>
  <c r="O5595" i="1" l="1" a="1"/>
  <c r="O5595" i="1" s="1"/>
  <c r="M5613" i="1" a="1"/>
  <c r="M5613" i="1" s="1"/>
  <c r="N5613" i="1" a="1"/>
  <c r="N5613" i="1" s="1"/>
  <c r="R5613" i="1" a="1"/>
  <c r="R5613" i="1" s="1"/>
  <c r="P5613" i="1" a="1"/>
  <c r="P5613" i="1" s="1"/>
  <c r="B5614" i="1"/>
  <c r="S5613" i="1" a="1"/>
  <c r="S5613" i="1" s="1"/>
  <c r="L5613" i="1" a="1"/>
  <c r="L5613" i="1" s="1"/>
  <c r="Q5613" i="1" a="1"/>
  <c r="Q5613" i="1" s="1"/>
  <c r="I5595" i="1" l="1" a="1"/>
  <c r="I5595" i="1" s="1"/>
  <c r="K5595" i="1" a="1"/>
  <c r="K5595" i="1" s="1"/>
  <c r="C5596" i="1"/>
  <c r="O5596" i="1" s="1" a="1"/>
  <c r="O5596" i="1" s="1"/>
  <c r="H5595" i="1"/>
  <c r="J5595" i="1" a="1"/>
  <c r="J5595" i="1" s="1"/>
  <c r="B5615" i="1"/>
  <c r="M5614" i="1" a="1"/>
  <c r="M5614" i="1" s="1"/>
  <c r="P5614" i="1" a="1"/>
  <c r="P5614" i="1" s="1"/>
  <c r="Q5614" i="1" a="1"/>
  <c r="Q5614" i="1" s="1"/>
  <c r="L5614" i="1" a="1"/>
  <c r="L5614" i="1" s="1"/>
  <c r="N5614" i="1" a="1"/>
  <c r="N5614" i="1" s="1"/>
  <c r="R5614" i="1" a="1"/>
  <c r="R5614" i="1" s="1"/>
  <c r="S5614" i="1" a="1"/>
  <c r="S5614" i="1" s="1"/>
  <c r="I5596" i="1" l="1" a="1"/>
  <c r="I5596" i="1" s="1"/>
  <c r="K5596" i="1" a="1"/>
  <c r="K5596" i="1" s="1"/>
  <c r="C5597" i="1"/>
  <c r="O5597" i="1" s="1" a="1"/>
  <c r="O5597" i="1" s="1"/>
  <c r="H5596" i="1"/>
  <c r="J5596" i="1" a="1"/>
  <c r="J5596" i="1" s="1"/>
  <c r="L5615" i="1" a="1"/>
  <c r="L5615" i="1" s="1"/>
  <c r="P5615" i="1" a="1"/>
  <c r="P5615" i="1" s="1"/>
  <c r="B5616" i="1"/>
  <c r="M5615" i="1" a="1"/>
  <c r="M5615" i="1" s="1"/>
  <c r="Q5615" i="1" a="1"/>
  <c r="Q5615" i="1" s="1"/>
  <c r="R5615" i="1" a="1"/>
  <c r="R5615" i="1" s="1"/>
  <c r="N5615" i="1" a="1"/>
  <c r="N5615" i="1" s="1"/>
  <c r="S5615" i="1" a="1"/>
  <c r="S5615" i="1" s="1"/>
  <c r="I5597" i="1" l="1" a="1"/>
  <c r="I5597" i="1" s="1"/>
  <c r="K5597" i="1" a="1"/>
  <c r="K5597" i="1" s="1"/>
  <c r="C5598" i="1"/>
  <c r="O5598" i="1" s="1" a="1"/>
  <c r="O5598" i="1" s="1"/>
  <c r="H5597" i="1"/>
  <c r="J5597" i="1" a="1"/>
  <c r="J5597" i="1" s="1"/>
  <c r="Q5616" i="1" a="1"/>
  <c r="Q5616" i="1" s="1"/>
  <c r="N5616" i="1" a="1"/>
  <c r="N5616" i="1" s="1"/>
  <c r="R5616" i="1" a="1"/>
  <c r="R5616" i="1" s="1"/>
  <c r="S5616" i="1" a="1"/>
  <c r="S5616" i="1" s="1"/>
  <c r="M5616" i="1" a="1"/>
  <c r="M5616" i="1" s="1"/>
  <c r="P5616" i="1" a="1"/>
  <c r="P5616" i="1" s="1"/>
  <c r="B5617" i="1"/>
  <c r="L5616" i="1" a="1"/>
  <c r="L5616" i="1" s="1"/>
  <c r="I5598" i="1" l="1" a="1"/>
  <c r="I5598" i="1" s="1"/>
  <c r="K5598" i="1" a="1"/>
  <c r="K5598" i="1" s="1"/>
  <c r="C5599" i="1"/>
  <c r="O5599" i="1" s="1" a="1"/>
  <c r="O5599" i="1" s="1"/>
  <c r="H5598" i="1"/>
  <c r="J5598" i="1" a="1"/>
  <c r="J5598" i="1" s="1"/>
  <c r="N5617" i="1" a="1"/>
  <c r="N5617" i="1" s="1"/>
  <c r="R5617" i="1" a="1"/>
  <c r="R5617" i="1" s="1"/>
  <c r="P5617" i="1" a="1"/>
  <c r="P5617" i="1" s="1"/>
  <c r="Q5617" i="1" a="1"/>
  <c r="Q5617" i="1" s="1"/>
  <c r="S5617" i="1" a="1"/>
  <c r="S5617" i="1" s="1"/>
  <c r="M5617" i="1" a="1"/>
  <c r="M5617" i="1" s="1"/>
  <c r="B5618" i="1"/>
  <c r="L5617" i="1" a="1"/>
  <c r="L5617" i="1" s="1"/>
  <c r="I5599" i="1" l="1" a="1"/>
  <c r="I5599" i="1" s="1"/>
  <c r="K5599" i="1" a="1"/>
  <c r="K5599" i="1" s="1"/>
  <c r="C5600" i="1"/>
  <c r="O5600" i="1" s="1" a="1"/>
  <c r="O5600" i="1" s="1"/>
  <c r="H5599" i="1"/>
  <c r="J5599" i="1" a="1"/>
  <c r="J5599" i="1" s="1"/>
  <c r="P5618" i="1" a="1"/>
  <c r="P5618" i="1" s="1"/>
  <c r="L5618" i="1" a="1"/>
  <c r="L5618" i="1" s="1"/>
  <c r="M5618" i="1" a="1"/>
  <c r="M5618" i="1" s="1"/>
  <c r="Q5618" i="1" a="1"/>
  <c r="Q5618" i="1" s="1"/>
  <c r="S5618" i="1" a="1"/>
  <c r="S5618" i="1" s="1"/>
  <c r="N5618" i="1" a="1"/>
  <c r="N5618" i="1" s="1"/>
  <c r="R5618" i="1" a="1"/>
  <c r="R5618" i="1" s="1"/>
  <c r="B5619" i="1"/>
  <c r="I5600" i="1" l="1" a="1"/>
  <c r="I5600" i="1" s="1"/>
  <c r="K5600" i="1" a="1"/>
  <c r="K5600" i="1" s="1"/>
  <c r="C5601" i="1"/>
  <c r="O5601" i="1" s="1" a="1"/>
  <c r="O5601" i="1" s="1"/>
  <c r="H5600" i="1"/>
  <c r="J5600" i="1" a="1"/>
  <c r="J5600" i="1" s="1"/>
  <c r="L5619" i="1" a="1"/>
  <c r="L5619" i="1" s="1"/>
  <c r="R5619" i="1" a="1"/>
  <c r="R5619" i="1" s="1"/>
  <c r="B5620" i="1"/>
  <c r="M5619" i="1" a="1"/>
  <c r="M5619" i="1" s="1"/>
  <c r="N5619" i="1" a="1"/>
  <c r="N5619" i="1" s="1"/>
  <c r="P5619" i="1" a="1"/>
  <c r="P5619" i="1" s="1"/>
  <c r="Q5619" i="1" a="1"/>
  <c r="Q5619" i="1" s="1"/>
  <c r="S5619" i="1" a="1"/>
  <c r="S5619" i="1" s="1"/>
  <c r="I5601" i="1" l="1" a="1"/>
  <c r="I5601" i="1" s="1"/>
  <c r="K5601" i="1" a="1"/>
  <c r="K5601" i="1" s="1"/>
  <c r="C5602" i="1"/>
  <c r="O5602" i="1" s="1" a="1"/>
  <c r="O5602" i="1" s="1"/>
  <c r="H5601" i="1"/>
  <c r="J5601" i="1" a="1"/>
  <c r="J5601" i="1" s="1"/>
  <c r="M5620" i="1" a="1"/>
  <c r="M5620" i="1" s="1"/>
  <c r="N5620" i="1" a="1"/>
  <c r="N5620" i="1" s="1"/>
  <c r="Q5620" i="1" a="1"/>
  <c r="Q5620" i="1" s="1"/>
  <c r="R5620" i="1" a="1"/>
  <c r="R5620" i="1" s="1"/>
  <c r="B5621" i="1"/>
  <c r="S5620" i="1" a="1"/>
  <c r="S5620" i="1" s="1"/>
  <c r="L5620" i="1" a="1"/>
  <c r="L5620" i="1" s="1"/>
  <c r="P5620" i="1" a="1"/>
  <c r="P5620" i="1" s="1"/>
  <c r="I5602" i="1" l="1" a="1"/>
  <c r="I5602" i="1" s="1"/>
  <c r="K5602" i="1" a="1"/>
  <c r="K5602" i="1" s="1"/>
  <c r="C5603" i="1"/>
  <c r="O5603" i="1" s="1" a="1"/>
  <c r="O5603" i="1" s="1"/>
  <c r="H5602" i="1"/>
  <c r="J5602" i="1" a="1"/>
  <c r="J5602" i="1" s="1"/>
  <c r="M5621" i="1" a="1"/>
  <c r="M5621" i="1" s="1"/>
  <c r="S5621" i="1" a="1"/>
  <c r="S5621" i="1" s="1"/>
  <c r="L5621" i="1" a="1"/>
  <c r="L5621" i="1" s="1"/>
  <c r="N5621" i="1" a="1"/>
  <c r="N5621" i="1" s="1"/>
  <c r="Q5621" i="1" a="1"/>
  <c r="Q5621" i="1" s="1"/>
  <c r="R5621" i="1" a="1"/>
  <c r="R5621" i="1" s="1"/>
  <c r="P5621" i="1" a="1"/>
  <c r="P5621" i="1" s="1"/>
  <c r="B5622" i="1"/>
  <c r="I5603" i="1" l="1" a="1"/>
  <c r="I5603" i="1" s="1"/>
  <c r="K5603" i="1" a="1"/>
  <c r="K5603" i="1" s="1"/>
  <c r="C5604" i="1"/>
  <c r="O5604" i="1" s="1" a="1"/>
  <c r="O5604" i="1" s="1"/>
  <c r="H5603" i="1"/>
  <c r="J5603" i="1" a="1"/>
  <c r="J5603" i="1" s="1"/>
  <c r="N5622" i="1" a="1"/>
  <c r="N5622" i="1" s="1"/>
  <c r="M5622" i="1" a="1"/>
  <c r="M5622" i="1" s="1"/>
  <c r="S5622" i="1" a="1"/>
  <c r="S5622" i="1" s="1"/>
  <c r="Q5622" i="1" a="1"/>
  <c r="Q5622" i="1" s="1"/>
  <c r="P5622" i="1" a="1"/>
  <c r="P5622" i="1" s="1"/>
  <c r="B5623" i="1"/>
  <c r="L5622" i="1" a="1"/>
  <c r="L5622" i="1" s="1"/>
  <c r="R5622" i="1" a="1"/>
  <c r="R5622" i="1" s="1"/>
  <c r="I5604" i="1" l="1" a="1"/>
  <c r="I5604" i="1" s="1"/>
  <c r="K5604" i="1" a="1"/>
  <c r="K5604" i="1" s="1"/>
  <c r="C5605" i="1"/>
  <c r="O5605" i="1" s="1" a="1"/>
  <c r="O5605" i="1" s="1"/>
  <c r="H5604" i="1"/>
  <c r="J5604" i="1" a="1"/>
  <c r="J5604" i="1" s="1"/>
  <c r="L5623" i="1" a="1"/>
  <c r="L5623" i="1" s="1"/>
  <c r="N5623" i="1" a="1"/>
  <c r="N5623" i="1" s="1"/>
  <c r="B5624" i="1"/>
  <c r="Q5623" i="1" a="1"/>
  <c r="Q5623" i="1" s="1"/>
  <c r="M5623" i="1" a="1"/>
  <c r="M5623" i="1" s="1"/>
  <c r="S5623" i="1" a="1"/>
  <c r="S5623" i="1" s="1"/>
  <c r="P5623" i="1" a="1"/>
  <c r="P5623" i="1" s="1"/>
  <c r="R5623" i="1" a="1"/>
  <c r="R5623" i="1" s="1"/>
  <c r="I5605" i="1" l="1" a="1"/>
  <c r="I5605" i="1" s="1"/>
  <c r="K5605" i="1" a="1"/>
  <c r="K5605" i="1" s="1"/>
  <c r="C5606" i="1"/>
  <c r="O5606" i="1" s="1" a="1"/>
  <c r="O5606" i="1" s="1"/>
  <c r="H5605" i="1"/>
  <c r="J5605" i="1" a="1"/>
  <c r="J5605" i="1" s="1"/>
  <c r="Q5624" i="1" a="1"/>
  <c r="Q5624" i="1" s="1"/>
  <c r="S5624" i="1" a="1"/>
  <c r="S5624" i="1" s="1"/>
  <c r="N5624" i="1" a="1"/>
  <c r="N5624" i="1" s="1"/>
  <c r="R5624" i="1" a="1"/>
  <c r="R5624" i="1" s="1"/>
  <c r="P5624" i="1" a="1"/>
  <c r="P5624" i="1" s="1"/>
  <c r="L5624" i="1" a="1"/>
  <c r="L5624" i="1" s="1"/>
  <c r="B5625" i="1"/>
  <c r="M5624" i="1" a="1"/>
  <c r="M5624" i="1" s="1"/>
  <c r="I5606" i="1" l="1" a="1"/>
  <c r="I5606" i="1" s="1"/>
  <c r="K5606" i="1" a="1"/>
  <c r="K5606" i="1" s="1"/>
  <c r="C5607" i="1"/>
  <c r="O5607" i="1" s="1" a="1"/>
  <c r="O5607" i="1" s="1"/>
  <c r="H5606" i="1"/>
  <c r="J5606" i="1" a="1"/>
  <c r="J5606" i="1" s="1"/>
  <c r="M5625" i="1" a="1"/>
  <c r="M5625" i="1" s="1"/>
  <c r="B5626" i="1"/>
  <c r="Q5625" i="1" a="1"/>
  <c r="Q5625" i="1" s="1"/>
  <c r="L5625" i="1" a="1"/>
  <c r="L5625" i="1" s="1"/>
  <c r="N5625" i="1" a="1"/>
  <c r="N5625" i="1" s="1"/>
  <c r="R5625" i="1" a="1"/>
  <c r="R5625" i="1" s="1"/>
  <c r="S5625" i="1" a="1"/>
  <c r="S5625" i="1" s="1"/>
  <c r="P5625" i="1" a="1"/>
  <c r="P5625" i="1" s="1"/>
  <c r="I5607" i="1" l="1" a="1"/>
  <c r="I5607" i="1" s="1"/>
  <c r="K5607" i="1" a="1"/>
  <c r="K5607" i="1" s="1"/>
  <c r="C5608" i="1"/>
  <c r="O5608" i="1" s="1" a="1"/>
  <c r="O5608" i="1" s="1"/>
  <c r="H5607" i="1"/>
  <c r="J5607" i="1" a="1"/>
  <c r="J5607" i="1" s="1"/>
  <c r="M5626" i="1" a="1"/>
  <c r="M5626" i="1" s="1"/>
  <c r="P5626" i="1" a="1"/>
  <c r="P5626" i="1" s="1"/>
  <c r="R5626" i="1" a="1"/>
  <c r="R5626" i="1" s="1"/>
  <c r="N5626" i="1" a="1"/>
  <c r="N5626" i="1" s="1"/>
  <c r="Q5626" i="1" a="1"/>
  <c r="Q5626" i="1" s="1"/>
  <c r="L5626" i="1" a="1"/>
  <c r="L5626" i="1" s="1"/>
  <c r="S5626" i="1" a="1"/>
  <c r="S5626" i="1" s="1"/>
  <c r="B5627" i="1"/>
  <c r="I5608" i="1" l="1" a="1"/>
  <c r="I5608" i="1" s="1"/>
  <c r="K5608" i="1" a="1"/>
  <c r="K5608" i="1" s="1"/>
  <c r="C5609" i="1"/>
  <c r="O5609" i="1" s="1" a="1"/>
  <c r="O5609" i="1" s="1"/>
  <c r="H5608" i="1"/>
  <c r="J5608" i="1" a="1"/>
  <c r="J5608" i="1" s="1"/>
  <c r="L5627" i="1" a="1"/>
  <c r="L5627" i="1" s="1"/>
  <c r="N5627" i="1" a="1"/>
  <c r="N5627" i="1" s="1"/>
  <c r="Q5627" i="1" a="1"/>
  <c r="Q5627" i="1" s="1"/>
  <c r="R5627" i="1" a="1"/>
  <c r="R5627" i="1" s="1"/>
  <c r="P5627" i="1" a="1"/>
  <c r="P5627" i="1" s="1"/>
  <c r="S5627" i="1" a="1"/>
  <c r="S5627" i="1" s="1"/>
  <c r="B5628" i="1"/>
  <c r="M5627" i="1" a="1"/>
  <c r="M5627" i="1" s="1"/>
  <c r="I5609" i="1" l="1" a="1"/>
  <c r="I5609" i="1" s="1"/>
  <c r="K5609" i="1" a="1"/>
  <c r="K5609" i="1" s="1"/>
  <c r="C5610" i="1"/>
  <c r="O5610" i="1" s="1" a="1"/>
  <c r="O5610" i="1" s="1"/>
  <c r="H5609" i="1"/>
  <c r="J5609" i="1" a="1"/>
  <c r="J5609" i="1" s="1"/>
  <c r="N5628" i="1" a="1"/>
  <c r="N5628" i="1" s="1"/>
  <c r="S5628" i="1" a="1"/>
  <c r="S5628" i="1" s="1"/>
  <c r="M5628" i="1" a="1"/>
  <c r="M5628" i="1" s="1"/>
  <c r="L5628" i="1" a="1"/>
  <c r="L5628" i="1" s="1"/>
  <c r="P5628" i="1" a="1"/>
  <c r="P5628" i="1" s="1"/>
  <c r="Q5628" i="1" a="1"/>
  <c r="Q5628" i="1" s="1"/>
  <c r="B5629" i="1"/>
  <c r="R5628" i="1" a="1"/>
  <c r="R5628" i="1" s="1"/>
  <c r="I5610" i="1" l="1" a="1"/>
  <c r="I5610" i="1" s="1"/>
  <c r="K5610" i="1" a="1"/>
  <c r="K5610" i="1" s="1"/>
  <c r="C5611" i="1"/>
  <c r="O5611" i="1" s="1" a="1"/>
  <c r="O5611" i="1" s="1"/>
  <c r="H5610" i="1"/>
  <c r="J5610" i="1" a="1"/>
  <c r="J5610" i="1" s="1"/>
  <c r="B5630" i="1"/>
  <c r="R5629" i="1" a="1"/>
  <c r="R5629" i="1" s="1"/>
  <c r="M5629" i="1" a="1"/>
  <c r="M5629" i="1" s="1"/>
  <c r="Q5629" i="1" a="1"/>
  <c r="Q5629" i="1" s="1"/>
  <c r="N5629" i="1" a="1"/>
  <c r="N5629" i="1" s="1"/>
  <c r="L5629" i="1" a="1"/>
  <c r="L5629" i="1" s="1"/>
  <c r="S5629" i="1" a="1"/>
  <c r="S5629" i="1" s="1"/>
  <c r="P5629" i="1" a="1"/>
  <c r="P5629" i="1" s="1"/>
  <c r="I5611" i="1" l="1" a="1"/>
  <c r="I5611" i="1" s="1"/>
  <c r="K5611" i="1" a="1"/>
  <c r="K5611" i="1" s="1"/>
  <c r="C5612" i="1"/>
  <c r="O5612" i="1" s="1" a="1"/>
  <c r="O5612" i="1" s="1"/>
  <c r="H5611" i="1"/>
  <c r="J5611" i="1" a="1"/>
  <c r="J5611" i="1" s="1"/>
  <c r="B5631" i="1"/>
  <c r="Q5630" i="1" a="1"/>
  <c r="Q5630" i="1" s="1"/>
  <c r="S5630" i="1" a="1"/>
  <c r="S5630" i="1" s="1"/>
  <c r="M5630" i="1" a="1"/>
  <c r="M5630" i="1" s="1"/>
  <c r="L5630" i="1" a="1"/>
  <c r="L5630" i="1" s="1"/>
  <c r="N5630" i="1" a="1"/>
  <c r="N5630" i="1" s="1"/>
  <c r="R5630" i="1" a="1"/>
  <c r="R5630" i="1" s="1"/>
  <c r="P5630" i="1" a="1"/>
  <c r="P5630" i="1" s="1"/>
  <c r="I5612" i="1" l="1" a="1"/>
  <c r="I5612" i="1" s="1"/>
  <c r="K5612" i="1" a="1"/>
  <c r="K5612" i="1" s="1"/>
  <c r="C5613" i="1"/>
  <c r="O5613" i="1" s="1" a="1"/>
  <c r="O5613" i="1" s="1"/>
  <c r="H5612" i="1"/>
  <c r="J5612" i="1" a="1"/>
  <c r="J5612" i="1" s="1"/>
  <c r="L5631" i="1" a="1"/>
  <c r="L5631" i="1" s="1"/>
  <c r="N5631" i="1" a="1"/>
  <c r="N5631" i="1" s="1"/>
  <c r="R5631" i="1" a="1"/>
  <c r="R5631" i="1" s="1"/>
  <c r="Q5631" i="1" a="1"/>
  <c r="Q5631" i="1" s="1"/>
  <c r="P5631" i="1" a="1"/>
  <c r="P5631" i="1" s="1"/>
  <c r="S5631" i="1" a="1"/>
  <c r="S5631" i="1" s="1"/>
  <c r="B5632" i="1"/>
  <c r="M5631" i="1" a="1"/>
  <c r="M5631" i="1" s="1"/>
  <c r="I5613" i="1" l="1" a="1"/>
  <c r="I5613" i="1" s="1"/>
  <c r="K5613" i="1" a="1"/>
  <c r="K5613" i="1" s="1"/>
  <c r="C5614" i="1"/>
  <c r="O5614" i="1" s="1" a="1"/>
  <c r="O5614" i="1" s="1"/>
  <c r="H5613" i="1"/>
  <c r="J5613" i="1" a="1"/>
  <c r="J5613" i="1" s="1"/>
  <c r="Q5632" i="1" a="1"/>
  <c r="Q5632" i="1" s="1"/>
  <c r="S5632" i="1" a="1"/>
  <c r="S5632" i="1" s="1"/>
  <c r="P5632" i="1" a="1"/>
  <c r="P5632" i="1" s="1"/>
  <c r="L5632" i="1" a="1"/>
  <c r="L5632" i="1" s="1"/>
  <c r="M5632" i="1" a="1"/>
  <c r="M5632" i="1" s="1"/>
  <c r="R5632" i="1" a="1"/>
  <c r="R5632" i="1" s="1"/>
  <c r="N5632" i="1" a="1"/>
  <c r="N5632" i="1" s="1"/>
  <c r="B5633" i="1"/>
  <c r="I5614" i="1" l="1" a="1"/>
  <c r="I5614" i="1" s="1"/>
  <c r="K5614" i="1" a="1"/>
  <c r="K5614" i="1" s="1"/>
  <c r="C5615" i="1"/>
  <c r="O5615" i="1" s="1" a="1"/>
  <c r="O5615" i="1" s="1"/>
  <c r="H5614" i="1"/>
  <c r="J5614" i="1" a="1"/>
  <c r="J5614" i="1" s="1"/>
  <c r="B5634" i="1"/>
  <c r="R5633" i="1" a="1"/>
  <c r="R5633" i="1" s="1"/>
  <c r="P5633" i="1" a="1"/>
  <c r="P5633" i="1" s="1"/>
  <c r="M5633" i="1" a="1"/>
  <c r="M5633" i="1" s="1"/>
  <c r="S5633" i="1" a="1"/>
  <c r="S5633" i="1" s="1"/>
  <c r="N5633" i="1" a="1"/>
  <c r="N5633" i="1" s="1"/>
  <c r="L5633" i="1" a="1"/>
  <c r="L5633" i="1" s="1"/>
  <c r="Q5633" i="1" a="1"/>
  <c r="Q5633" i="1" s="1"/>
  <c r="I5615" i="1" l="1" a="1"/>
  <c r="I5615" i="1" s="1"/>
  <c r="K5615" i="1" a="1"/>
  <c r="K5615" i="1" s="1"/>
  <c r="C5616" i="1"/>
  <c r="O5616" i="1" s="1" a="1"/>
  <c r="O5616" i="1" s="1"/>
  <c r="H5615" i="1"/>
  <c r="J5615" i="1" a="1"/>
  <c r="J5615" i="1" s="1"/>
  <c r="S5634" i="1" a="1"/>
  <c r="S5634" i="1" s="1"/>
  <c r="M5634" i="1" a="1"/>
  <c r="M5634" i="1" s="1"/>
  <c r="L5634" i="1" a="1"/>
  <c r="L5634" i="1" s="1"/>
  <c r="P5634" i="1" a="1"/>
  <c r="P5634" i="1" s="1"/>
  <c r="N5634" i="1" a="1"/>
  <c r="N5634" i="1" s="1"/>
  <c r="B5635" i="1"/>
  <c r="Q5634" i="1" a="1"/>
  <c r="Q5634" i="1" s="1"/>
  <c r="R5634" i="1" a="1"/>
  <c r="R5634" i="1" s="1"/>
  <c r="I5616" i="1" l="1" a="1"/>
  <c r="I5616" i="1" s="1"/>
  <c r="K5616" i="1" a="1"/>
  <c r="K5616" i="1" s="1"/>
  <c r="C5617" i="1"/>
  <c r="O5617" i="1" s="1" a="1"/>
  <c r="O5617" i="1" s="1"/>
  <c r="H5616" i="1"/>
  <c r="J5616" i="1" a="1"/>
  <c r="J5616" i="1" s="1"/>
  <c r="L5635" i="1" a="1"/>
  <c r="L5635" i="1" s="1"/>
  <c r="Q5635" i="1" a="1"/>
  <c r="Q5635" i="1" s="1"/>
  <c r="M5635" i="1" a="1"/>
  <c r="M5635" i="1" s="1"/>
  <c r="N5635" i="1" a="1"/>
  <c r="N5635" i="1" s="1"/>
  <c r="S5635" i="1" a="1"/>
  <c r="S5635" i="1" s="1"/>
  <c r="P5635" i="1" a="1"/>
  <c r="P5635" i="1" s="1"/>
  <c r="B5636" i="1"/>
  <c r="R5635" i="1" a="1"/>
  <c r="R5635" i="1" s="1"/>
  <c r="I5617" i="1" l="1" a="1"/>
  <c r="I5617" i="1" s="1"/>
  <c r="K5617" i="1" a="1"/>
  <c r="K5617" i="1" s="1"/>
  <c r="C5618" i="1"/>
  <c r="O5618" i="1" s="1" a="1"/>
  <c r="O5618" i="1" s="1"/>
  <c r="H5617" i="1"/>
  <c r="J5617" i="1" a="1"/>
  <c r="J5617" i="1" s="1"/>
  <c r="R5636" i="1" a="1"/>
  <c r="R5636" i="1" s="1"/>
  <c r="S5636" i="1" a="1"/>
  <c r="S5636" i="1" s="1"/>
  <c r="M5636" i="1" a="1"/>
  <c r="M5636" i="1" s="1"/>
  <c r="Q5636" i="1" a="1"/>
  <c r="Q5636" i="1" s="1"/>
  <c r="P5636" i="1" a="1"/>
  <c r="P5636" i="1" s="1"/>
  <c r="B5637" i="1"/>
  <c r="N5636" i="1" a="1"/>
  <c r="N5636" i="1" s="1"/>
  <c r="L5636" i="1" a="1"/>
  <c r="L5636" i="1" s="1"/>
  <c r="I5618" i="1" l="1" a="1"/>
  <c r="I5618" i="1" s="1"/>
  <c r="K5618" i="1" a="1"/>
  <c r="K5618" i="1" s="1"/>
  <c r="C5619" i="1"/>
  <c r="O5619" i="1" s="1" a="1"/>
  <c r="O5619" i="1" s="1"/>
  <c r="H5618" i="1"/>
  <c r="J5618" i="1" a="1"/>
  <c r="J5618" i="1" s="1"/>
  <c r="Q5637" i="1" a="1"/>
  <c r="Q5637" i="1" s="1"/>
  <c r="N5637" i="1" a="1"/>
  <c r="N5637" i="1" s="1"/>
  <c r="R5637" i="1" a="1"/>
  <c r="R5637" i="1" s="1"/>
  <c r="M5637" i="1" a="1"/>
  <c r="M5637" i="1" s="1"/>
  <c r="B5638" i="1"/>
  <c r="S5637" i="1" a="1"/>
  <c r="S5637" i="1" s="1"/>
  <c r="P5637" i="1" a="1"/>
  <c r="P5637" i="1" s="1"/>
  <c r="L5637" i="1" a="1"/>
  <c r="L5637" i="1" s="1"/>
  <c r="I5619" i="1" l="1" a="1"/>
  <c r="I5619" i="1" s="1"/>
  <c r="K5619" i="1" a="1"/>
  <c r="K5619" i="1" s="1"/>
  <c r="C5620" i="1"/>
  <c r="O5620" i="1" s="1" a="1"/>
  <c r="O5620" i="1" s="1"/>
  <c r="H5619" i="1"/>
  <c r="J5619" i="1" a="1"/>
  <c r="J5619" i="1" s="1"/>
  <c r="L5638" i="1" a="1"/>
  <c r="L5638" i="1" s="1"/>
  <c r="S5638" i="1" a="1"/>
  <c r="S5638" i="1" s="1"/>
  <c r="N5638" i="1" a="1"/>
  <c r="N5638" i="1" s="1"/>
  <c r="B5639" i="1"/>
  <c r="R5638" i="1" a="1"/>
  <c r="R5638" i="1" s="1"/>
  <c r="M5638" i="1" a="1"/>
  <c r="M5638" i="1" s="1"/>
  <c r="Q5638" i="1" a="1"/>
  <c r="Q5638" i="1" s="1"/>
  <c r="P5638" i="1" a="1"/>
  <c r="P5638" i="1" s="1"/>
  <c r="I5620" i="1" l="1" a="1"/>
  <c r="I5620" i="1" s="1"/>
  <c r="K5620" i="1" a="1"/>
  <c r="K5620" i="1" s="1"/>
  <c r="C5621" i="1"/>
  <c r="O5621" i="1" s="1" a="1"/>
  <c r="O5621" i="1" s="1"/>
  <c r="H5620" i="1"/>
  <c r="J5620" i="1" a="1"/>
  <c r="J5620" i="1" s="1"/>
  <c r="Q5639" i="1" a="1"/>
  <c r="Q5639" i="1" s="1"/>
  <c r="R5639" i="1" a="1"/>
  <c r="R5639" i="1" s="1"/>
  <c r="L5639" i="1" a="1"/>
  <c r="L5639" i="1" s="1"/>
  <c r="N5639" i="1" a="1"/>
  <c r="N5639" i="1" s="1"/>
  <c r="S5639" i="1" a="1"/>
  <c r="S5639" i="1" s="1"/>
  <c r="P5639" i="1" a="1"/>
  <c r="P5639" i="1" s="1"/>
  <c r="B5640" i="1"/>
  <c r="M5639" i="1" a="1"/>
  <c r="M5639" i="1" s="1"/>
  <c r="I5621" i="1" l="1" a="1"/>
  <c r="I5621" i="1" s="1"/>
  <c r="K5621" i="1" a="1"/>
  <c r="K5621" i="1" s="1"/>
  <c r="C5622" i="1"/>
  <c r="O5622" i="1" s="1" a="1"/>
  <c r="O5622" i="1" s="1"/>
  <c r="H5621" i="1"/>
  <c r="J5621" i="1" a="1"/>
  <c r="J5621" i="1" s="1"/>
  <c r="M5640" i="1" a="1"/>
  <c r="M5640" i="1" s="1"/>
  <c r="R5640" i="1" a="1"/>
  <c r="R5640" i="1" s="1"/>
  <c r="S5640" i="1" a="1"/>
  <c r="S5640" i="1" s="1"/>
  <c r="P5640" i="1" a="1"/>
  <c r="P5640" i="1" s="1"/>
  <c r="N5640" i="1" a="1"/>
  <c r="N5640" i="1" s="1"/>
  <c r="Q5640" i="1" a="1"/>
  <c r="Q5640" i="1" s="1"/>
  <c r="B5641" i="1"/>
  <c r="L5640" i="1" a="1"/>
  <c r="L5640" i="1" s="1"/>
  <c r="I5622" i="1" l="1" a="1"/>
  <c r="I5622" i="1" s="1"/>
  <c r="K5622" i="1" a="1"/>
  <c r="K5622" i="1" s="1"/>
  <c r="C5623" i="1"/>
  <c r="O5623" i="1" s="1" a="1"/>
  <c r="O5623" i="1" s="1"/>
  <c r="H5622" i="1"/>
  <c r="J5622" i="1" a="1"/>
  <c r="J5622" i="1" s="1"/>
  <c r="M5641" i="1" a="1"/>
  <c r="M5641" i="1" s="1"/>
  <c r="Q5641" i="1" a="1"/>
  <c r="Q5641" i="1" s="1"/>
  <c r="N5641" i="1" a="1"/>
  <c r="N5641" i="1" s="1"/>
  <c r="S5641" i="1" a="1"/>
  <c r="S5641" i="1" s="1"/>
  <c r="L5641" i="1" a="1"/>
  <c r="L5641" i="1" s="1"/>
  <c r="B5642" i="1"/>
  <c r="P5641" i="1" a="1"/>
  <c r="P5641" i="1" s="1"/>
  <c r="R5641" i="1" a="1"/>
  <c r="R5641" i="1" s="1"/>
  <c r="I5623" i="1" l="1" a="1"/>
  <c r="I5623" i="1" s="1"/>
  <c r="K5623" i="1" a="1"/>
  <c r="K5623" i="1" s="1"/>
  <c r="C5624" i="1"/>
  <c r="O5624" i="1" s="1" a="1"/>
  <c r="O5624" i="1" s="1"/>
  <c r="H5623" i="1"/>
  <c r="J5623" i="1" a="1"/>
  <c r="J5623" i="1" s="1"/>
  <c r="L5642" i="1" a="1"/>
  <c r="L5642" i="1" s="1"/>
  <c r="S5642" i="1" a="1"/>
  <c r="S5642" i="1" s="1"/>
  <c r="P5642" i="1" a="1"/>
  <c r="P5642" i="1" s="1"/>
  <c r="R5642" i="1" a="1"/>
  <c r="R5642" i="1" s="1"/>
  <c r="B5643" i="1"/>
  <c r="M5642" i="1" a="1"/>
  <c r="M5642" i="1" s="1"/>
  <c r="Q5642" i="1" a="1"/>
  <c r="Q5642" i="1" s="1"/>
  <c r="N5642" i="1" a="1"/>
  <c r="N5642" i="1" s="1"/>
  <c r="I5624" i="1" l="1" a="1"/>
  <c r="I5624" i="1" s="1"/>
  <c r="K5624" i="1" a="1"/>
  <c r="K5624" i="1" s="1"/>
  <c r="C5625" i="1"/>
  <c r="O5625" i="1" s="1" a="1"/>
  <c r="O5625" i="1" s="1"/>
  <c r="H5624" i="1"/>
  <c r="J5624" i="1" a="1"/>
  <c r="J5624" i="1" s="1"/>
  <c r="B5644" i="1"/>
  <c r="L5643" i="1" a="1"/>
  <c r="L5643" i="1" s="1"/>
  <c r="M5643" i="1" a="1"/>
  <c r="M5643" i="1" s="1"/>
  <c r="P5643" i="1" a="1"/>
  <c r="P5643" i="1" s="1"/>
  <c r="Q5643" i="1" a="1"/>
  <c r="Q5643" i="1" s="1"/>
  <c r="S5643" i="1" a="1"/>
  <c r="S5643" i="1" s="1"/>
  <c r="N5643" i="1" a="1"/>
  <c r="N5643" i="1" s="1"/>
  <c r="R5643" i="1" a="1"/>
  <c r="R5643" i="1" s="1"/>
  <c r="I5625" i="1" l="1" a="1"/>
  <c r="I5625" i="1" s="1"/>
  <c r="K5625" i="1" a="1"/>
  <c r="K5625" i="1" s="1"/>
  <c r="C5626" i="1"/>
  <c r="O5626" i="1" s="1" a="1"/>
  <c r="O5626" i="1" s="1"/>
  <c r="H5625" i="1"/>
  <c r="J5625" i="1" a="1"/>
  <c r="J5625" i="1" s="1"/>
  <c r="P5644" i="1" a="1"/>
  <c r="P5644" i="1" s="1"/>
  <c r="M5644" i="1" a="1"/>
  <c r="M5644" i="1" s="1"/>
  <c r="S5644" i="1" a="1"/>
  <c r="S5644" i="1" s="1"/>
  <c r="L5644" i="1" a="1"/>
  <c r="L5644" i="1" s="1"/>
  <c r="N5644" i="1" a="1"/>
  <c r="N5644" i="1" s="1"/>
  <c r="B5645" i="1"/>
  <c r="Q5644" i="1" a="1"/>
  <c r="Q5644" i="1" s="1"/>
  <c r="R5644" i="1" a="1"/>
  <c r="R5644" i="1" s="1"/>
  <c r="I5626" i="1" l="1" a="1"/>
  <c r="I5626" i="1" s="1"/>
  <c r="K5626" i="1" a="1"/>
  <c r="K5626" i="1" s="1"/>
  <c r="C5627" i="1"/>
  <c r="O5627" i="1" s="1" a="1"/>
  <c r="O5627" i="1" s="1"/>
  <c r="H5626" i="1"/>
  <c r="J5626" i="1" a="1"/>
  <c r="J5626" i="1" s="1"/>
  <c r="N5645" i="1" a="1"/>
  <c r="N5645" i="1" s="1"/>
  <c r="S5645" i="1" a="1"/>
  <c r="S5645" i="1" s="1"/>
  <c r="P5645" i="1" a="1"/>
  <c r="P5645" i="1" s="1"/>
  <c r="R5645" i="1" a="1"/>
  <c r="R5645" i="1" s="1"/>
  <c r="L5645" i="1" a="1"/>
  <c r="L5645" i="1" s="1"/>
  <c r="B5646" i="1"/>
  <c r="M5645" i="1" a="1"/>
  <c r="M5645" i="1" s="1"/>
  <c r="Q5645" i="1" a="1"/>
  <c r="Q5645" i="1" s="1"/>
  <c r="I5627" i="1" l="1" a="1"/>
  <c r="I5627" i="1" s="1"/>
  <c r="K5627" i="1" a="1"/>
  <c r="K5627" i="1" s="1"/>
  <c r="C5628" i="1"/>
  <c r="O5628" i="1" s="1" a="1"/>
  <c r="O5628" i="1" s="1"/>
  <c r="H5627" i="1"/>
  <c r="J5627" i="1" a="1"/>
  <c r="J5627" i="1" s="1"/>
  <c r="Q5646" i="1" a="1"/>
  <c r="Q5646" i="1" s="1"/>
  <c r="B5647" i="1"/>
  <c r="R5646" i="1" a="1"/>
  <c r="R5646" i="1" s="1"/>
  <c r="S5646" i="1" a="1"/>
  <c r="S5646" i="1" s="1"/>
  <c r="P5646" i="1" a="1"/>
  <c r="P5646" i="1" s="1"/>
  <c r="N5646" i="1" a="1"/>
  <c r="N5646" i="1" s="1"/>
  <c r="L5646" i="1" a="1"/>
  <c r="L5646" i="1" s="1"/>
  <c r="M5646" i="1" a="1"/>
  <c r="M5646" i="1" s="1"/>
  <c r="I5628" i="1" l="1" a="1"/>
  <c r="I5628" i="1" s="1"/>
  <c r="K5628" i="1" a="1"/>
  <c r="K5628" i="1" s="1"/>
  <c r="C5629" i="1"/>
  <c r="O5629" i="1" s="1" a="1"/>
  <c r="O5629" i="1" s="1"/>
  <c r="H5628" i="1"/>
  <c r="J5628" i="1" a="1"/>
  <c r="J5628" i="1" s="1"/>
  <c r="R5647" i="1" a="1"/>
  <c r="R5647" i="1" s="1"/>
  <c r="B5648" i="1"/>
  <c r="L5647" i="1" a="1"/>
  <c r="L5647" i="1" s="1"/>
  <c r="P5647" i="1" a="1"/>
  <c r="P5647" i="1" s="1"/>
  <c r="S5647" i="1" a="1"/>
  <c r="S5647" i="1" s="1"/>
  <c r="Q5647" i="1" a="1"/>
  <c r="Q5647" i="1" s="1"/>
  <c r="N5647" i="1" a="1"/>
  <c r="N5647" i="1" s="1"/>
  <c r="M5647" i="1" a="1"/>
  <c r="M5647" i="1" s="1"/>
  <c r="I5629" i="1" l="1" a="1"/>
  <c r="I5629" i="1" s="1"/>
  <c r="K5629" i="1" a="1"/>
  <c r="K5629" i="1" s="1"/>
  <c r="C5630" i="1"/>
  <c r="O5630" i="1" s="1" a="1"/>
  <c r="O5630" i="1" s="1"/>
  <c r="H5629" i="1"/>
  <c r="J5629" i="1" a="1"/>
  <c r="J5629" i="1" s="1"/>
  <c r="L5648" i="1" a="1"/>
  <c r="L5648" i="1" s="1"/>
  <c r="R5648" i="1" a="1"/>
  <c r="R5648" i="1" s="1"/>
  <c r="B5649" i="1"/>
  <c r="N5648" i="1" a="1"/>
  <c r="N5648" i="1" s="1"/>
  <c r="S5648" i="1" a="1"/>
  <c r="S5648" i="1" s="1"/>
  <c r="P5648" i="1" a="1"/>
  <c r="P5648" i="1" s="1"/>
  <c r="M5648" i="1" a="1"/>
  <c r="M5648" i="1" s="1"/>
  <c r="Q5648" i="1" a="1"/>
  <c r="Q5648" i="1" s="1"/>
  <c r="I5630" i="1" l="1" a="1"/>
  <c r="I5630" i="1" s="1"/>
  <c r="K5630" i="1" a="1"/>
  <c r="K5630" i="1" s="1"/>
  <c r="C5631" i="1"/>
  <c r="O5631" i="1" s="1" a="1"/>
  <c r="O5631" i="1" s="1"/>
  <c r="H5630" i="1"/>
  <c r="J5630" i="1" a="1"/>
  <c r="J5630" i="1" s="1"/>
  <c r="Q5649" i="1" a="1"/>
  <c r="Q5649" i="1" s="1"/>
  <c r="S5649" i="1" a="1"/>
  <c r="S5649" i="1" s="1"/>
  <c r="N5649" i="1" a="1"/>
  <c r="N5649" i="1" s="1"/>
  <c r="B5650" i="1"/>
  <c r="R5649" i="1" a="1"/>
  <c r="R5649" i="1" s="1"/>
  <c r="M5649" i="1" a="1"/>
  <c r="M5649" i="1" s="1"/>
  <c r="L5649" i="1" a="1"/>
  <c r="L5649" i="1" s="1"/>
  <c r="P5649" i="1" a="1"/>
  <c r="P5649" i="1" s="1"/>
  <c r="I5631" i="1" l="1" a="1"/>
  <c r="I5631" i="1" s="1"/>
  <c r="K5631" i="1" a="1"/>
  <c r="K5631" i="1" s="1"/>
  <c r="C5632" i="1"/>
  <c r="O5632" i="1" s="1" a="1"/>
  <c r="O5632" i="1" s="1"/>
  <c r="H5631" i="1"/>
  <c r="J5631" i="1" a="1"/>
  <c r="J5631" i="1" s="1"/>
  <c r="N5650" i="1" a="1"/>
  <c r="N5650" i="1" s="1"/>
  <c r="B5651" i="1"/>
  <c r="L5650" i="1" a="1"/>
  <c r="L5650" i="1" s="1"/>
  <c r="M5650" i="1" a="1"/>
  <c r="M5650" i="1" s="1"/>
  <c r="Q5650" i="1" a="1"/>
  <c r="Q5650" i="1" s="1"/>
  <c r="S5650" i="1" a="1"/>
  <c r="S5650" i="1" s="1"/>
  <c r="R5650" i="1" a="1"/>
  <c r="R5650" i="1" s="1"/>
  <c r="P5650" i="1" a="1"/>
  <c r="P5650" i="1" s="1"/>
  <c r="I5632" i="1" l="1" a="1"/>
  <c r="I5632" i="1" s="1"/>
  <c r="K5632" i="1" a="1"/>
  <c r="K5632" i="1" s="1"/>
  <c r="C5633" i="1"/>
  <c r="O5633" i="1" s="1" a="1"/>
  <c r="O5633" i="1" s="1"/>
  <c r="H5632" i="1"/>
  <c r="J5632" i="1" a="1"/>
  <c r="J5632" i="1" s="1"/>
  <c r="B5652" i="1"/>
  <c r="M5651" i="1" a="1"/>
  <c r="M5651" i="1" s="1"/>
  <c r="L5651" i="1" a="1"/>
  <c r="L5651" i="1" s="1"/>
  <c r="R5651" i="1" a="1"/>
  <c r="R5651" i="1" s="1"/>
  <c r="S5651" i="1" a="1"/>
  <c r="S5651" i="1" s="1"/>
  <c r="Q5651" i="1" a="1"/>
  <c r="Q5651" i="1" s="1"/>
  <c r="P5651" i="1" a="1"/>
  <c r="P5651" i="1" s="1"/>
  <c r="N5651" i="1" a="1"/>
  <c r="N5651" i="1" s="1"/>
  <c r="I5633" i="1" l="1" a="1"/>
  <c r="I5633" i="1" s="1"/>
  <c r="K5633" i="1" a="1"/>
  <c r="K5633" i="1" s="1"/>
  <c r="C5634" i="1"/>
  <c r="O5634" i="1" s="1" a="1"/>
  <c r="O5634" i="1" s="1"/>
  <c r="H5633" i="1"/>
  <c r="J5633" i="1" a="1"/>
  <c r="J5633" i="1" s="1"/>
  <c r="R5652" i="1" a="1"/>
  <c r="R5652" i="1" s="1"/>
  <c r="S5652" i="1" a="1"/>
  <c r="S5652" i="1" s="1"/>
  <c r="M5652" i="1" a="1"/>
  <c r="M5652" i="1" s="1"/>
  <c r="N5652" i="1" a="1"/>
  <c r="N5652" i="1" s="1"/>
  <c r="L5652" i="1" a="1"/>
  <c r="L5652" i="1" s="1"/>
  <c r="Q5652" i="1" a="1"/>
  <c r="Q5652" i="1" s="1"/>
  <c r="P5652" i="1" a="1"/>
  <c r="P5652" i="1" s="1"/>
  <c r="B5653" i="1"/>
  <c r="I5634" i="1" l="1" a="1"/>
  <c r="I5634" i="1" s="1"/>
  <c r="K5634" i="1" a="1"/>
  <c r="K5634" i="1" s="1"/>
  <c r="C5635" i="1"/>
  <c r="O5635" i="1" s="1" a="1"/>
  <c r="O5635" i="1" s="1"/>
  <c r="H5634" i="1"/>
  <c r="J5634" i="1" a="1"/>
  <c r="J5634" i="1" s="1"/>
  <c r="M5653" i="1" a="1"/>
  <c r="M5653" i="1" s="1"/>
  <c r="S5653" i="1" a="1"/>
  <c r="S5653" i="1" s="1"/>
  <c r="B5654" i="1"/>
  <c r="P5653" i="1" a="1"/>
  <c r="P5653" i="1" s="1"/>
  <c r="L5653" i="1" a="1"/>
  <c r="L5653" i="1" s="1"/>
  <c r="Q5653" i="1" a="1"/>
  <c r="Q5653" i="1" s="1"/>
  <c r="R5653" i="1" a="1"/>
  <c r="R5653" i="1" s="1"/>
  <c r="N5653" i="1" a="1"/>
  <c r="N5653" i="1" s="1"/>
  <c r="I5635" i="1" l="1" a="1"/>
  <c r="I5635" i="1" s="1"/>
  <c r="K5635" i="1" a="1"/>
  <c r="K5635" i="1" s="1"/>
  <c r="C5636" i="1"/>
  <c r="O5636" i="1" s="1" a="1"/>
  <c r="O5636" i="1" s="1"/>
  <c r="H5635" i="1"/>
  <c r="J5635" i="1" a="1"/>
  <c r="J5635" i="1" s="1"/>
  <c r="S5654" i="1" a="1"/>
  <c r="S5654" i="1" s="1"/>
  <c r="L5654" i="1" a="1"/>
  <c r="L5654" i="1" s="1"/>
  <c r="N5654" i="1" a="1"/>
  <c r="N5654" i="1" s="1"/>
  <c r="M5654" i="1" a="1"/>
  <c r="M5654" i="1" s="1"/>
  <c r="Q5654" i="1" a="1"/>
  <c r="Q5654" i="1" s="1"/>
  <c r="B5655" i="1"/>
  <c r="R5654" i="1" a="1"/>
  <c r="R5654" i="1" s="1"/>
  <c r="P5654" i="1" a="1"/>
  <c r="P5654" i="1" s="1"/>
  <c r="I5636" i="1" l="1" a="1"/>
  <c r="I5636" i="1" s="1"/>
  <c r="K5636" i="1" a="1"/>
  <c r="K5636" i="1" s="1"/>
  <c r="C5637" i="1"/>
  <c r="O5637" i="1" s="1" a="1"/>
  <c r="O5637" i="1" s="1"/>
  <c r="H5636" i="1"/>
  <c r="J5636" i="1" a="1"/>
  <c r="J5636" i="1" s="1"/>
  <c r="B5656" i="1"/>
  <c r="S5655" i="1" a="1"/>
  <c r="S5655" i="1" s="1"/>
  <c r="M5655" i="1" a="1"/>
  <c r="M5655" i="1" s="1"/>
  <c r="Q5655" i="1" a="1"/>
  <c r="Q5655" i="1" s="1"/>
  <c r="N5655" i="1" a="1"/>
  <c r="N5655" i="1" s="1"/>
  <c r="R5655" i="1" a="1"/>
  <c r="R5655" i="1" s="1"/>
  <c r="L5655" i="1" a="1"/>
  <c r="L5655" i="1" s="1"/>
  <c r="P5655" i="1" a="1"/>
  <c r="P5655" i="1" s="1"/>
  <c r="I5637" i="1" l="1" a="1"/>
  <c r="I5637" i="1" s="1"/>
  <c r="K5637" i="1" a="1"/>
  <c r="K5637" i="1" s="1"/>
  <c r="C5638" i="1"/>
  <c r="O5638" i="1" s="1" a="1"/>
  <c r="O5638" i="1" s="1"/>
  <c r="H5637" i="1"/>
  <c r="J5637" i="1" a="1"/>
  <c r="J5637" i="1" s="1"/>
  <c r="N5656" i="1" a="1"/>
  <c r="N5656" i="1" s="1"/>
  <c r="L5656" i="1" a="1"/>
  <c r="L5656" i="1" s="1"/>
  <c r="P5656" i="1" a="1"/>
  <c r="P5656" i="1" s="1"/>
  <c r="R5656" i="1" a="1"/>
  <c r="R5656" i="1" s="1"/>
  <c r="M5656" i="1" a="1"/>
  <c r="M5656" i="1" s="1"/>
  <c r="Q5656" i="1" a="1"/>
  <c r="Q5656" i="1" s="1"/>
  <c r="B5657" i="1"/>
  <c r="S5656" i="1" a="1"/>
  <c r="S5656" i="1" s="1"/>
  <c r="I5638" i="1" l="1" a="1"/>
  <c r="I5638" i="1" s="1"/>
  <c r="K5638" i="1" a="1"/>
  <c r="K5638" i="1" s="1"/>
  <c r="C5639" i="1"/>
  <c r="O5639" i="1" s="1" a="1"/>
  <c r="O5639" i="1" s="1"/>
  <c r="H5638" i="1"/>
  <c r="J5638" i="1" a="1"/>
  <c r="J5638" i="1" s="1"/>
  <c r="L5657" i="1" a="1"/>
  <c r="L5657" i="1" s="1"/>
  <c r="M5657" i="1" a="1"/>
  <c r="M5657" i="1" s="1"/>
  <c r="S5657" i="1" a="1"/>
  <c r="S5657" i="1" s="1"/>
  <c r="N5657" i="1" a="1"/>
  <c r="N5657" i="1" s="1"/>
  <c r="B5658" i="1"/>
  <c r="P5657" i="1" a="1"/>
  <c r="P5657" i="1" s="1"/>
  <c r="Q5657" i="1" a="1"/>
  <c r="Q5657" i="1" s="1"/>
  <c r="R5657" i="1" a="1"/>
  <c r="R5657" i="1" s="1"/>
  <c r="I5639" i="1" l="1" a="1"/>
  <c r="I5639" i="1" s="1"/>
  <c r="K5639" i="1" a="1"/>
  <c r="K5639" i="1" s="1"/>
  <c r="C5640" i="1"/>
  <c r="O5640" i="1" s="1" a="1"/>
  <c r="O5640" i="1" s="1"/>
  <c r="H5639" i="1"/>
  <c r="J5639" i="1" a="1"/>
  <c r="J5639" i="1" s="1"/>
  <c r="Q5658" i="1" a="1"/>
  <c r="Q5658" i="1" s="1"/>
  <c r="N5658" i="1" a="1"/>
  <c r="N5658" i="1" s="1"/>
  <c r="R5658" i="1" a="1"/>
  <c r="R5658" i="1" s="1"/>
  <c r="L5658" i="1" a="1"/>
  <c r="L5658" i="1" s="1"/>
  <c r="M5658" i="1" a="1"/>
  <c r="M5658" i="1" s="1"/>
  <c r="S5658" i="1" a="1"/>
  <c r="S5658" i="1" s="1"/>
  <c r="B5659" i="1"/>
  <c r="P5658" i="1" a="1"/>
  <c r="P5658" i="1" s="1"/>
  <c r="I5640" i="1" l="1" a="1"/>
  <c r="I5640" i="1" s="1"/>
  <c r="K5640" i="1" a="1"/>
  <c r="K5640" i="1" s="1"/>
  <c r="C5641" i="1"/>
  <c r="O5641" i="1" s="1" a="1"/>
  <c r="O5641" i="1" s="1"/>
  <c r="H5640" i="1"/>
  <c r="J5640" i="1" a="1"/>
  <c r="J5640" i="1" s="1"/>
  <c r="B5660" i="1"/>
  <c r="P5659" i="1" a="1"/>
  <c r="P5659" i="1" s="1"/>
  <c r="M5659" i="1" a="1"/>
  <c r="M5659" i="1" s="1"/>
  <c r="Q5659" i="1" a="1"/>
  <c r="Q5659" i="1" s="1"/>
  <c r="N5659" i="1" a="1"/>
  <c r="N5659" i="1" s="1"/>
  <c r="L5659" i="1" a="1"/>
  <c r="L5659" i="1" s="1"/>
  <c r="R5659" i="1" a="1"/>
  <c r="R5659" i="1" s="1"/>
  <c r="S5659" i="1" a="1"/>
  <c r="S5659" i="1" s="1"/>
  <c r="I5641" i="1" l="1" a="1"/>
  <c r="I5641" i="1" s="1"/>
  <c r="K5641" i="1" a="1"/>
  <c r="K5641" i="1" s="1"/>
  <c r="C5642" i="1"/>
  <c r="O5642" i="1" s="1" a="1"/>
  <c r="O5642" i="1" s="1"/>
  <c r="H5641" i="1"/>
  <c r="J5641" i="1" a="1"/>
  <c r="J5641" i="1" s="1"/>
  <c r="N5660" i="1" a="1"/>
  <c r="N5660" i="1" s="1"/>
  <c r="L5660" i="1" a="1"/>
  <c r="L5660" i="1" s="1"/>
  <c r="B5661" i="1"/>
  <c r="Q5660" i="1" a="1"/>
  <c r="Q5660" i="1" s="1"/>
  <c r="S5660" i="1" a="1"/>
  <c r="S5660" i="1" s="1"/>
  <c r="P5660" i="1" a="1"/>
  <c r="P5660" i="1" s="1"/>
  <c r="R5660" i="1" a="1"/>
  <c r="R5660" i="1" s="1"/>
  <c r="M5660" i="1" a="1"/>
  <c r="M5660" i="1" s="1"/>
  <c r="I5642" i="1" l="1" a="1"/>
  <c r="I5642" i="1" s="1"/>
  <c r="K5642" i="1" a="1"/>
  <c r="K5642" i="1" s="1"/>
  <c r="C5643" i="1"/>
  <c r="O5643" i="1" s="1" a="1"/>
  <c r="O5643" i="1" s="1"/>
  <c r="H5642" i="1"/>
  <c r="J5642" i="1" a="1"/>
  <c r="J5642" i="1" s="1"/>
  <c r="B5662" i="1"/>
  <c r="P5661" i="1" a="1"/>
  <c r="P5661" i="1" s="1"/>
  <c r="M5661" i="1" a="1"/>
  <c r="M5661" i="1" s="1"/>
  <c r="S5661" i="1" a="1"/>
  <c r="S5661" i="1" s="1"/>
  <c r="Q5661" i="1" a="1"/>
  <c r="Q5661" i="1" s="1"/>
  <c r="L5661" i="1" a="1"/>
  <c r="L5661" i="1" s="1"/>
  <c r="R5661" i="1" a="1"/>
  <c r="R5661" i="1" s="1"/>
  <c r="N5661" i="1" a="1"/>
  <c r="N5661" i="1" s="1"/>
  <c r="I5643" i="1" l="1" a="1"/>
  <c r="I5643" i="1" s="1"/>
  <c r="K5643" i="1" a="1"/>
  <c r="K5643" i="1" s="1"/>
  <c r="C5644" i="1"/>
  <c r="O5644" i="1" s="1" a="1"/>
  <c r="O5644" i="1" s="1"/>
  <c r="H5643" i="1"/>
  <c r="J5643" i="1" a="1"/>
  <c r="J5643" i="1" s="1"/>
  <c r="M5662" i="1" a="1"/>
  <c r="M5662" i="1" s="1"/>
  <c r="R5662" i="1" a="1"/>
  <c r="R5662" i="1" s="1"/>
  <c r="P5662" i="1" a="1"/>
  <c r="P5662" i="1" s="1"/>
  <c r="L5662" i="1" a="1"/>
  <c r="L5662" i="1" s="1"/>
  <c r="N5662" i="1" a="1"/>
  <c r="N5662" i="1" s="1"/>
  <c r="B5663" i="1"/>
  <c r="Q5662" i="1" a="1"/>
  <c r="Q5662" i="1" s="1"/>
  <c r="S5662" i="1" a="1"/>
  <c r="S5662" i="1" s="1"/>
  <c r="I5644" i="1" l="1" a="1"/>
  <c r="I5644" i="1" s="1"/>
  <c r="K5644" i="1" a="1"/>
  <c r="K5644" i="1" s="1"/>
  <c r="C5645" i="1"/>
  <c r="O5645" i="1" s="1" a="1"/>
  <c r="O5645" i="1" s="1"/>
  <c r="H5644" i="1"/>
  <c r="J5644" i="1" a="1"/>
  <c r="J5644" i="1" s="1"/>
  <c r="B5664" i="1"/>
  <c r="L5663" i="1" a="1"/>
  <c r="L5663" i="1" s="1"/>
  <c r="S5663" i="1" a="1"/>
  <c r="S5663" i="1" s="1"/>
  <c r="N5663" i="1" a="1"/>
  <c r="N5663" i="1" s="1"/>
  <c r="Q5663" i="1" a="1"/>
  <c r="Q5663" i="1" s="1"/>
  <c r="M5663" i="1" a="1"/>
  <c r="M5663" i="1" s="1"/>
  <c r="P5663" i="1" a="1"/>
  <c r="P5663" i="1" s="1"/>
  <c r="R5663" i="1" a="1"/>
  <c r="R5663" i="1" s="1"/>
  <c r="I5645" i="1" l="1" a="1"/>
  <c r="I5645" i="1" s="1"/>
  <c r="K5645" i="1" a="1"/>
  <c r="K5645" i="1" s="1"/>
  <c r="C5646" i="1"/>
  <c r="O5646" i="1" s="1" a="1"/>
  <c r="O5646" i="1" s="1"/>
  <c r="H5645" i="1"/>
  <c r="J5645" i="1" a="1"/>
  <c r="J5645" i="1" s="1"/>
  <c r="L5664" i="1" a="1"/>
  <c r="L5664" i="1" s="1"/>
  <c r="M5664" i="1" a="1"/>
  <c r="M5664" i="1" s="1"/>
  <c r="N5664" i="1" a="1"/>
  <c r="N5664" i="1" s="1"/>
  <c r="B5665" i="1"/>
  <c r="Q5664" i="1" a="1"/>
  <c r="Q5664" i="1" s="1"/>
  <c r="R5664" i="1" a="1"/>
  <c r="R5664" i="1" s="1"/>
  <c r="P5664" i="1" a="1"/>
  <c r="P5664" i="1" s="1"/>
  <c r="S5664" i="1" a="1"/>
  <c r="S5664" i="1" s="1"/>
  <c r="I5646" i="1" l="1" a="1"/>
  <c r="I5646" i="1" s="1"/>
  <c r="K5646" i="1" a="1"/>
  <c r="K5646" i="1" s="1"/>
  <c r="C5647" i="1"/>
  <c r="O5647" i="1" s="1" a="1"/>
  <c r="O5647" i="1" s="1"/>
  <c r="H5646" i="1"/>
  <c r="J5646" i="1" a="1"/>
  <c r="J5646" i="1" s="1"/>
  <c r="Q5665" i="1" a="1"/>
  <c r="Q5665" i="1" s="1"/>
  <c r="L5665" i="1" a="1"/>
  <c r="L5665" i="1" s="1"/>
  <c r="S5665" i="1" a="1"/>
  <c r="S5665" i="1" s="1"/>
  <c r="R5665" i="1" a="1"/>
  <c r="R5665" i="1" s="1"/>
  <c r="N5665" i="1" a="1"/>
  <c r="N5665" i="1" s="1"/>
  <c r="M5665" i="1" a="1"/>
  <c r="M5665" i="1" s="1"/>
  <c r="B5666" i="1"/>
  <c r="P5665" i="1" a="1"/>
  <c r="P5665" i="1" s="1"/>
  <c r="I5647" i="1" l="1" a="1"/>
  <c r="I5647" i="1" s="1"/>
  <c r="K5647" i="1" a="1"/>
  <c r="K5647" i="1" s="1"/>
  <c r="C5648" i="1"/>
  <c r="O5648" i="1" s="1" a="1"/>
  <c r="O5648" i="1" s="1"/>
  <c r="H5647" i="1"/>
  <c r="J5647" i="1" a="1"/>
  <c r="J5647" i="1" s="1"/>
  <c r="Q5666" i="1" a="1"/>
  <c r="Q5666" i="1" s="1"/>
  <c r="L5666" i="1" a="1"/>
  <c r="L5666" i="1" s="1"/>
  <c r="S5666" i="1" a="1"/>
  <c r="S5666" i="1" s="1"/>
  <c r="B5667" i="1"/>
  <c r="P5666" i="1" a="1"/>
  <c r="P5666" i="1" s="1"/>
  <c r="N5666" i="1" a="1"/>
  <c r="N5666" i="1" s="1"/>
  <c r="R5666" i="1" a="1"/>
  <c r="R5666" i="1" s="1"/>
  <c r="M5666" i="1" a="1"/>
  <c r="M5666" i="1" s="1"/>
  <c r="I5648" i="1" l="1" a="1"/>
  <c r="I5648" i="1" s="1"/>
  <c r="K5648" i="1" a="1"/>
  <c r="K5648" i="1" s="1"/>
  <c r="C5649" i="1"/>
  <c r="O5649" i="1" s="1" a="1"/>
  <c r="O5649" i="1" s="1"/>
  <c r="H5648" i="1"/>
  <c r="J5648" i="1" a="1"/>
  <c r="J5648" i="1" s="1"/>
  <c r="B5668" i="1"/>
  <c r="M5667" i="1" a="1"/>
  <c r="M5667" i="1" s="1"/>
  <c r="Q5667" i="1" a="1"/>
  <c r="Q5667" i="1" s="1"/>
  <c r="S5667" i="1" a="1"/>
  <c r="S5667" i="1" s="1"/>
  <c r="P5667" i="1" a="1"/>
  <c r="P5667" i="1" s="1"/>
  <c r="R5667" i="1" a="1"/>
  <c r="R5667" i="1" s="1"/>
  <c r="L5667" i="1" a="1"/>
  <c r="L5667" i="1" s="1"/>
  <c r="N5667" i="1" a="1"/>
  <c r="N5667" i="1" s="1"/>
  <c r="I5649" i="1" l="1" a="1"/>
  <c r="I5649" i="1" s="1"/>
  <c r="K5649" i="1" a="1"/>
  <c r="K5649" i="1" s="1"/>
  <c r="C5650" i="1"/>
  <c r="O5650" i="1" s="1" a="1"/>
  <c r="O5650" i="1" s="1"/>
  <c r="H5649" i="1"/>
  <c r="J5649" i="1" a="1"/>
  <c r="J5649" i="1" s="1"/>
  <c r="N5668" i="1" a="1"/>
  <c r="N5668" i="1" s="1"/>
  <c r="L5668" i="1" a="1"/>
  <c r="L5668" i="1" s="1"/>
  <c r="Q5668" i="1" a="1"/>
  <c r="Q5668" i="1" s="1"/>
  <c r="S5668" i="1" a="1"/>
  <c r="S5668" i="1" s="1"/>
  <c r="B5669" i="1"/>
  <c r="P5668" i="1" a="1"/>
  <c r="P5668" i="1" s="1"/>
  <c r="R5668" i="1" a="1"/>
  <c r="R5668" i="1" s="1"/>
  <c r="M5668" i="1" a="1"/>
  <c r="M5668" i="1" s="1"/>
  <c r="I5650" i="1" l="1" a="1"/>
  <c r="I5650" i="1" s="1"/>
  <c r="K5650" i="1" a="1"/>
  <c r="K5650" i="1" s="1"/>
  <c r="C5651" i="1"/>
  <c r="O5651" i="1" s="1" a="1"/>
  <c r="O5651" i="1" s="1"/>
  <c r="H5650" i="1"/>
  <c r="J5650" i="1" a="1"/>
  <c r="J5650" i="1" s="1"/>
  <c r="N5669" i="1" a="1"/>
  <c r="N5669" i="1" s="1"/>
  <c r="B5670" i="1"/>
  <c r="Q5669" i="1" a="1"/>
  <c r="Q5669" i="1" s="1"/>
  <c r="R5669" i="1" a="1"/>
  <c r="R5669" i="1" s="1"/>
  <c r="P5669" i="1" a="1"/>
  <c r="P5669" i="1" s="1"/>
  <c r="S5669" i="1" a="1"/>
  <c r="S5669" i="1" s="1"/>
  <c r="M5669" i="1" a="1"/>
  <c r="M5669" i="1" s="1"/>
  <c r="L5669" i="1" a="1"/>
  <c r="L5669" i="1" s="1"/>
  <c r="I5651" i="1" l="1" a="1"/>
  <c r="I5651" i="1" s="1"/>
  <c r="K5651" i="1" a="1"/>
  <c r="K5651" i="1" s="1"/>
  <c r="C5652" i="1"/>
  <c r="O5652" i="1" s="1" a="1"/>
  <c r="O5652" i="1" s="1"/>
  <c r="H5651" i="1"/>
  <c r="J5651" i="1" a="1"/>
  <c r="J5651" i="1" s="1"/>
  <c r="L5670" i="1" a="1"/>
  <c r="L5670" i="1" s="1"/>
  <c r="B5671" i="1"/>
  <c r="Q5670" i="1" a="1"/>
  <c r="Q5670" i="1" s="1"/>
  <c r="S5670" i="1" a="1"/>
  <c r="S5670" i="1" s="1"/>
  <c r="M5670" i="1" a="1"/>
  <c r="M5670" i="1" s="1"/>
  <c r="N5670" i="1" a="1"/>
  <c r="N5670" i="1" s="1"/>
  <c r="R5670" i="1" a="1"/>
  <c r="R5670" i="1" s="1"/>
  <c r="P5670" i="1" a="1"/>
  <c r="P5670" i="1" s="1"/>
  <c r="I5652" i="1" l="1" a="1"/>
  <c r="I5652" i="1" s="1"/>
  <c r="K5652" i="1" a="1"/>
  <c r="K5652" i="1" s="1"/>
  <c r="C5653" i="1"/>
  <c r="O5653" i="1" s="1" a="1"/>
  <c r="O5653" i="1" s="1"/>
  <c r="H5652" i="1"/>
  <c r="J5652" i="1" a="1"/>
  <c r="J5652" i="1" s="1"/>
  <c r="B5672" i="1"/>
  <c r="R5671" i="1" a="1"/>
  <c r="R5671" i="1" s="1"/>
  <c r="L5671" i="1" a="1"/>
  <c r="L5671" i="1" s="1"/>
  <c r="M5671" i="1" a="1"/>
  <c r="M5671" i="1" s="1"/>
  <c r="S5671" i="1" a="1"/>
  <c r="S5671" i="1" s="1"/>
  <c r="Q5671" i="1" a="1"/>
  <c r="Q5671" i="1" s="1"/>
  <c r="N5671" i="1" a="1"/>
  <c r="N5671" i="1" s="1"/>
  <c r="P5671" i="1" a="1"/>
  <c r="P5671" i="1" s="1"/>
  <c r="I5653" i="1" l="1" a="1"/>
  <c r="I5653" i="1" s="1"/>
  <c r="K5653" i="1" a="1"/>
  <c r="K5653" i="1" s="1"/>
  <c r="C5654" i="1"/>
  <c r="O5654" i="1" s="1" a="1"/>
  <c r="O5654" i="1" s="1"/>
  <c r="H5653" i="1"/>
  <c r="J5653" i="1" a="1"/>
  <c r="J5653" i="1" s="1"/>
  <c r="M5672" i="1" a="1"/>
  <c r="M5672" i="1" s="1"/>
  <c r="N5672" i="1" a="1"/>
  <c r="N5672" i="1" s="1"/>
  <c r="S5672" i="1" a="1"/>
  <c r="S5672" i="1" s="1"/>
  <c r="B5673" i="1"/>
  <c r="R5672" i="1" a="1"/>
  <c r="R5672" i="1" s="1"/>
  <c r="L5672" i="1" a="1"/>
  <c r="L5672" i="1" s="1"/>
  <c r="P5672" i="1" a="1"/>
  <c r="P5672" i="1" s="1"/>
  <c r="Q5672" i="1" a="1"/>
  <c r="Q5672" i="1" s="1"/>
  <c r="I5654" i="1" l="1" a="1"/>
  <c r="I5654" i="1" s="1"/>
  <c r="K5654" i="1" a="1"/>
  <c r="K5654" i="1" s="1"/>
  <c r="C5655" i="1"/>
  <c r="O5655" i="1" s="1" a="1"/>
  <c r="O5655" i="1" s="1"/>
  <c r="H5654" i="1"/>
  <c r="J5654" i="1" a="1"/>
  <c r="J5654" i="1" s="1"/>
  <c r="Q5673" i="1" a="1"/>
  <c r="Q5673" i="1" s="1"/>
  <c r="S5673" i="1" a="1"/>
  <c r="S5673" i="1" s="1"/>
  <c r="N5673" i="1" a="1"/>
  <c r="N5673" i="1" s="1"/>
  <c r="B5674" i="1"/>
  <c r="L5673" i="1" a="1"/>
  <c r="L5673" i="1" s="1"/>
  <c r="M5673" i="1" a="1"/>
  <c r="M5673" i="1" s="1"/>
  <c r="R5673" i="1" a="1"/>
  <c r="R5673" i="1" s="1"/>
  <c r="P5673" i="1" a="1"/>
  <c r="P5673" i="1" s="1"/>
  <c r="I5655" i="1" l="1" a="1"/>
  <c r="I5655" i="1" s="1"/>
  <c r="K5655" i="1" a="1"/>
  <c r="K5655" i="1" s="1"/>
  <c r="C5656" i="1"/>
  <c r="O5656" i="1" s="1" a="1"/>
  <c r="O5656" i="1" s="1"/>
  <c r="H5655" i="1"/>
  <c r="J5655" i="1" a="1"/>
  <c r="J5655" i="1" s="1"/>
  <c r="B5675" i="1"/>
  <c r="P5674" i="1" a="1"/>
  <c r="P5674" i="1" s="1"/>
  <c r="R5674" i="1" a="1"/>
  <c r="R5674" i="1" s="1"/>
  <c r="Q5674" i="1" a="1"/>
  <c r="Q5674" i="1" s="1"/>
  <c r="N5674" i="1" a="1"/>
  <c r="N5674" i="1" s="1"/>
  <c r="L5674" i="1" a="1"/>
  <c r="L5674" i="1" s="1"/>
  <c r="S5674" i="1" a="1"/>
  <c r="S5674" i="1" s="1"/>
  <c r="M5674" i="1" a="1"/>
  <c r="M5674" i="1" s="1"/>
  <c r="I5656" i="1" l="1" a="1"/>
  <c r="I5656" i="1" s="1"/>
  <c r="K5656" i="1" a="1"/>
  <c r="K5656" i="1" s="1"/>
  <c r="C5657" i="1"/>
  <c r="O5657" i="1" s="1" a="1"/>
  <c r="O5657" i="1" s="1"/>
  <c r="H5656" i="1"/>
  <c r="J5656" i="1" a="1"/>
  <c r="J5656" i="1" s="1"/>
  <c r="N5675" i="1" a="1"/>
  <c r="N5675" i="1" s="1"/>
  <c r="B5676" i="1"/>
  <c r="M5675" i="1" a="1"/>
  <c r="M5675" i="1" s="1"/>
  <c r="Q5675" i="1" a="1"/>
  <c r="Q5675" i="1" s="1"/>
  <c r="R5675" i="1" a="1"/>
  <c r="R5675" i="1" s="1"/>
  <c r="P5675" i="1" a="1"/>
  <c r="P5675" i="1" s="1"/>
  <c r="S5675" i="1" a="1"/>
  <c r="S5675" i="1" s="1"/>
  <c r="L5675" i="1" a="1"/>
  <c r="L5675" i="1" s="1"/>
  <c r="I5657" i="1" l="1" a="1"/>
  <c r="I5657" i="1" s="1"/>
  <c r="K5657" i="1" a="1"/>
  <c r="K5657" i="1" s="1"/>
  <c r="C5658" i="1"/>
  <c r="O5658" i="1" s="1" a="1"/>
  <c r="O5658" i="1" s="1"/>
  <c r="H5657" i="1"/>
  <c r="J5657" i="1" a="1"/>
  <c r="J5657" i="1" s="1"/>
  <c r="L5676" i="1" a="1"/>
  <c r="L5676" i="1" s="1"/>
  <c r="B5677" i="1"/>
  <c r="Q5676" i="1" a="1"/>
  <c r="Q5676" i="1" s="1"/>
  <c r="S5676" i="1" a="1"/>
  <c r="S5676" i="1" s="1"/>
  <c r="N5676" i="1" a="1"/>
  <c r="N5676" i="1" s="1"/>
  <c r="P5676" i="1" a="1"/>
  <c r="P5676" i="1" s="1"/>
  <c r="R5676" i="1" a="1"/>
  <c r="R5676" i="1" s="1"/>
  <c r="M5676" i="1" a="1"/>
  <c r="M5676" i="1" s="1"/>
  <c r="I5658" i="1" l="1" a="1"/>
  <c r="I5658" i="1" s="1"/>
  <c r="K5658" i="1" a="1"/>
  <c r="K5658" i="1" s="1"/>
  <c r="C5659" i="1"/>
  <c r="O5659" i="1" s="1" a="1"/>
  <c r="O5659" i="1" s="1"/>
  <c r="H5658" i="1"/>
  <c r="J5658" i="1" a="1"/>
  <c r="J5658" i="1" s="1"/>
  <c r="N5677" i="1" a="1"/>
  <c r="N5677" i="1" s="1"/>
  <c r="B5678" i="1"/>
  <c r="S5677" i="1" a="1"/>
  <c r="S5677" i="1" s="1"/>
  <c r="Q5677" i="1" a="1"/>
  <c r="Q5677" i="1" s="1"/>
  <c r="L5677" i="1" a="1"/>
  <c r="L5677" i="1" s="1"/>
  <c r="R5677" i="1" a="1"/>
  <c r="R5677" i="1" s="1"/>
  <c r="P5677" i="1" a="1"/>
  <c r="P5677" i="1" s="1"/>
  <c r="M5677" i="1" a="1"/>
  <c r="M5677" i="1" s="1"/>
  <c r="I5659" i="1" l="1" a="1"/>
  <c r="I5659" i="1" s="1"/>
  <c r="K5659" i="1" a="1"/>
  <c r="K5659" i="1" s="1"/>
  <c r="C5660" i="1"/>
  <c r="O5660" i="1" s="1" a="1"/>
  <c r="O5660" i="1" s="1"/>
  <c r="H5659" i="1"/>
  <c r="J5659" i="1" a="1"/>
  <c r="J5659" i="1" s="1"/>
  <c r="Q5678" i="1" a="1"/>
  <c r="Q5678" i="1" s="1"/>
  <c r="L5678" i="1" a="1"/>
  <c r="L5678" i="1" s="1"/>
  <c r="N5678" i="1" a="1"/>
  <c r="N5678" i="1" s="1"/>
  <c r="S5678" i="1" a="1"/>
  <c r="S5678" i="1" s="1"/>
  <c r="R5678" i="1" a="1"/>
  <c r="R5678" i="1" s="1"/>
  <c r="M5678" i="1" a="1"/>
  <c r="M5678" i="1" s="1"/>
  <c r="B5679" i="1"/>
  <c r="P5678" i="1" a="1"/>
  <c r="P5678" i="1" s="1"/>
  <c r="I5660" i="1" l="1" a="1"/>
  <c r="I5660" i="1" s="1"/>
  <c r="K5660" i="1" a="1"/>
  <c r="K5660" i="1" s="1"/>
  <c r="C5661" i="1"/>
  <c r="O5661" i="1" s="1" a="1"/>
  <c r="O5661" i="1" s="1"/>
  <c r="H5660" i="1"/>
  <c r="J5660" i="1" a="1"/>
  <c r="J5660" i="1" s="1"/>
  <c r="L5679" i="1" a="1"/>
  <c r="L5679" i="1" s="1"/>
  <c r="N5679" i="1" a="1"/>
  <c r="N5679" i="1" s="1"/>
  <c r="P5679" i="1" a="1"/>
  <c r="P5679" i="1" s="1"/>
  <c r="B5680" i="1"/>
  <c r="Q5679" i="1" a="1"/>
  <c r="Q5679" i="1" s="1"/>
  <c r="M5679" i="1" a="1"/>
  <c r="M5679" i="1" s="1"/>
  <c r="R5679" i="1" a="1"/>
  <c r="R5679" i="1" s="1"/>
  <c r="S5679" i="1" a="1"/>
  <c r="S5679" i="1" s="1"/>
  <c r="I5661" i="1" l="1" a="1"/>
  <c r="I5661" i="1" s="1"/>
  <c r="K5661" i="1" a="1"/>
  <c r="K5661" i="1" s="1"/>
  <c r="C5662" i="1"/>
  <c r="O5662" i="1" s="1" a="1"/>
  <c r="O5662" i="1" s="1"/>
  <c r="H5661" i="1"/>
  <c r="J5661" i="1" a="1"/>
  <c r="J5661" i="1" s="1"/>
  <c r="L5680" i="1" a="1"/>
  <c r="L5680" i="1" s="1"/>
  <c r="S5680" i="1" a="1"/>
  <c r="S5680" i="1" s="1"/>
  <c r="R5680" i="1" a="1"/>
  <c r="R5680" i="1" s="1"/>
  <c r="B5681" i="1"/>
  <c r="Q5680" i="1" a="1"/>
  <c r="Q5680" i="1" s="1"/>
  <c r="M5680" i="1" a="1"/>
  <c r="M5680" i="1" s="1"/>
  <c r="N5680" i="1" a="1"/>
  <c r="N5680" i="1" s="1"/>
  <c r="P5680" i="1" a="1"/>
  <c r="P5680" i="1" s="1"/>
  <c r="I5662" i="1" l="1" a="1"/>
  <c r="I5662" i="1" s="1"/>
  <c r="K5662" i="1" a="1"/>
  <c r="K5662" i="1" s="1"/>
  <c r="C5663" i="1"/>
  <c r="O5663" i="1" s="1" a="1"/>
  <c r="O5663" i="1" s="1"/>
  <c r="H5662" i="1"/>
  <c r="J5662" i="1" a="1"/>
  <c r="J5662" i="1" s="1"/>
  <c r="S5681" i="1" a="1"/>
  <c r="S5681" i="1" s="1"/>
  <c r="B5682" i="1"/>
  <c r="N5681" i="1" a="1"/>
  <c r="N5681" i="1" s="1"/>
  <c r="L5681" i="1" a="1"/>
  <c r="L5681" i="1" s="1"/>
  <c r="M5681" i="1" a="1"/>
  <c r="M5681" i="1" s="1"/>
  <c r="R5681" i="1" a="1"/>
  <c r="R5681" i="1" s="1"/>
  <c r="P5681" i="1" a="1"/>
  <c r="P5681" i="1" s="1"/>
  <c r="Q5681" i="1" a="1"/>
  <c r="Q5681" i="1" s="1"/>
  <c r="I5663" i="1" l="1" a="1"/>
  <c r="I5663" i="1" s="1"/>
  <c r="K5663" i="1" a="1"/>
  <c r="K5663" i="1" s="1"/>
  <c r="C5664" i="1"/>
  <c r="O5664" i="1" s="1" a="1"/>
  <c r="O5664" i="1" s="1"/>
  <c r="H5663" i="1"/>
  <c r="J5663" i="1" a="1"/>
  <c r="J5663" i="1" s="1"/>
  <c r="P5682" i="1" a="1"/>
  <c r="P5682" i="1" s="1"/>
  <c r="S5682" i="1" a="1"/>
  <c r="S5682" i="1" s="1"/>
  <c r="L5682" i="1" a="1"/>
  <c r="L5682" i="1" s="1"/>
  <c r="Q5682" i="1" a="1"/>
  <c r="Q5682" i="1" s="1"/>
  <c r="R5682" i="1" a="1"/>
  <c r="R5682" i="1" s="1"/>
  <c r="N5682" i="1" a="1"/>
  <c r="N5682" i="1" s="1"/>
  <c r="B5683" i="1"/>
  <c r="M5682" i="1" a="1"/>
  <c r="M5682" i="1" s="1"/>
  <c r="I5664" i="1" l="1" a="1"/>
  <c r="I5664" i="1" s="1"/>
  <c r="K5664" i="1" a="1"/>
  <c r="K5664" i="1" s="1"/>
  <c r="C5665" i="1"/>
  <c r="O5665" i="1" s="1" a="1"/>
  <c r="O5665" i="1" s="1"/>
  <c r="H5664" i="1"/>
  <c r="J5664" i="1" a="1"/>
  <c r="J5664" i="1" s="1"/>
  <c r="N5683" i="1" a="1"/>
  <c r="N5683" i="1" s="1"/>
  <c r="B5684" i="1"/>
  <c r="S5683" i="1" a="1"/>
  <c r="S5683" i="1" s="1"/>
  <c r="L5683" i="1" a="1"/>
  <c r="L5683" i="1" s="1"/>
  <c r="M5683" i="1" a="1"/>
  <c r="M5683" i="1" s="1"/>
  <c r="P5683" i="1" a="1"/>
  <c r="P5683" i="1" s="1"/>
  <c r="R5683" i="1" a="1"/>
  <c r="R5683" i="1" s="1"/>
  <c r="Q5683" i="1" a="1"/>
  <c r="Q5683" i="1" s="1"/>
  <c r="I5665" i="1" l="1" a="1"/>
  <c r="I5665" i="1" s="1"/>
  <c r="K5665" i="1" a="1"/>
  <c r="K5665" i="1" s="1"/>
  <c r="C5666" i="1"/>
  <c r="O5666" i="1" s="1" a="1"/>
  <c r="O5666" i="1" s="1"/>
  <c r="H5665" i="1"/>
  <c r="J5665" i="1" a="1"/>
  <c r="J5665" i="1" s="1"/>
  <c r="M5684" i="1" a="1"/>
  <c r="M5684" i="1" s="1"/>
  <c r="P5684" i="1" a="1"/>
  <c r="P5684" i="1" s="1"/>
  <c r="R5684" i="1" a="1"/>
  <c r="R5684" i="1" s="1"/>
  <c r="N5684" i="1" a="1"/>
  <c r="N5684" i="1" s="1"/>
  <c r="L5684" i="1" a="1"/>
  <c r="L5684" i="1" s="1"/>
  <c r="B5685" i="1"/>
  <c r="Q5684" i="1" a="1"/>
  <c r="Q5684" i="1" s="1"/>
  <c r="S5684" i="1" a="1"/>
  <c r="S5684" i="1" s="1"/>
  <c r="I5666" i="1" l="1" a="1"/>
  <c r="I5666" i="1" s="1"/>
  <c r="K5666" i="1" a="1"/>
  <c r="K5666" i="1" s="1"/>
  <c r="C5667" i="1"/>
  <c r="O5667" i="1" s="1" a="1"/>
  <c r="O5667" i="1" s="1"/>
  <c r="H5666" i="1"/>
  <c r="J5666" i="1" a="1"/>
  <c r="J5666" i="1" s="1"/>
  <c r="B5686" i="1"/>
  <c r="R5685" i="1" a="1"/>
  <c r="R5685" i="1" s="1"/>
  <c r="N5685" i="1" a="1"/>
  <c r="N5685" i="1" s="1"/>
  <c r="Q5685" i="1" a="1"/>
  <c r="Q5685" i="1" s="1"/>
  <c r="P5685" i="1" a="1"/>
  <c r="P5685" i="1" s="1"/>
  <c r="L5685" i="1" a="1"/>
  <c r="L5685" i="1" s="1"/>
  <c r="M5685" i="1" a="1"/>
  <c r="M5685" i="1" s="1"/>
  <c r="S5685" i="1" a="1"/>
  <c r="S5685" i="1" s="1"/>
  <c r="I5667" i="1" l="1" a="1"/>
  <c r="I5667" i="1" s="1"/>
  <c r="K5667" i="1" a="1"/>
  <c r="K5667" i="1" s="1"/>
  <c r="C5668" i="1"/>
  <c r="O5668" i="1" s="1" a="1"/>
  <c r="O5668" i="1" s="1"/>
  <c r="H5667" i="1"/>
  <c r="J5667" i="1" a="1"/>
  <c r="J5667" i="1" s="1"/>
  <c r="P5686" i="1" a="1"/>
  <c r="P5686" i="1" s="1"/>
  <c r="L5686" i="1" a="1"/>
  <c r="L5686" i="1" s="1"/>
  <c r="Q5686" i="1" a="1"/>
  <c r="Q5686" i="1" s="1"/>
  <c r="S5686" i="1" a="1"/>
  <c r="S5686" i="1" s="1"/>
  <c r="M5686" i="1" a="1"/>
  <c r="M5686" i="1" s="1"/>
  <c r="N5686" i="1" a="1"/>
  <c r="N5686" i="1" s="1"/>
  <c r="R5686" i="1" a="1"/>
  <c r="R5686" i="1" s="1"/>
  <c r="B5687" i="1"/>
  <c r="I5668" i="1" l="1" a="1"/>
  <c r="I5668" i="1" s="1"/>
  <c r="K5668" i="1" a="1"/>
  <c r="K5668" i="1" s="1"/>
  <c r="C5669" i="1"/>
  <c r="O5669" i="1" s="1" a="1"/>
  <c r="O5669" i="1" s="1"/>
  <c r="H5668" i="1"/>
  <c r="J5668" i="1" a="1"/>
  <c r="J5668" i="1" s="1"/>
  <c r="B5688" i="1"/>
  <c r="R5687" i="1" a="1"/>
  <c r="R5687" i="1" s="1"/>
  <c r="N5687" i="1" a="1"/>
  <c r="N5687" i="1" s="1"/>
  <c r="P5687" i="1" a="1"/>
  <c r="P5687" i="1" s="1"/>
  <c r="Q5687" i="1" a="1"/>
  <c r="Q5687" i="1" s="1"/>
  <c r="S5687" i="1" a="1"/>
  <c r="S5687" i="1" s="1"/>
  <c r="L5687" i="1" a="1"/>
  <c r="L5687" i="1" s="1"/>
  <c r="M5687" i="1" a="1"/>
  <c r="M5687" i="1" s="1"/>
  <c r="I5669" i="1" l="1" a="1"/>
  <c r="I5669" i="1" s="1"/>
  <c r="K5669" i="1" a="1"/>
  <c r="K5669" i="1" s="1"/>
  <c r="C5670" i="1"/>
  <c r="O5670" i="1" s="1" a="1"/>
  <c r="O5670" i="1" s="1"/>
  <c r="H5669" i="1"/>
  <c r="J5669" i="1" a="1"/>
  <c r="J5669" i="1" s="1"/>
  <c r="N5688" i="1" a="1"/>
  <c r="N5688" i="1" s="1"/>
  <c r="R5688" i="1" a="1"/>
  <c r="R5688" i="1" s="1"/>
  <c r="S5688" i="1" a="1"/>
  <c r="S5688" i="1" s="1"/>
  <c r="B5689" i="1"/>
  <c r="L5688" i="1" a="1"/>
  <c r="L5688" i="1" s="1"/>
  <c r="Q5688" i="1" a="1"/>
  <c r="Q5688" i="1" s="1"/>
  <c r="M5688" i="1" a="1"/>
  <c r="M5688" i="1" s="1"/>
  <c r="P5688" i="1" a="1"/>
  <c r="P5688" i="1" s="1"/>
  <c r="I5670" i="1" l="1" a="1"/>
  <c r="I5670" i="1" s="1"/>
  <c r="K5670" i="1" a="1"/>
  <c r="K5670" i="1" s="1"/>
  <c r="C5671" i="1"/>
  <c r="O5671" i="1" s="1" a="1"/>
  <c r="O5671" i="1" s="1"/>
  <c r="H5670" i="1"/>
  <c r="J5670" i="1" a="1"/>
  <c r="J5670" i="1" s="1"/>
  <c r="L5689" i="1" a="1"/>
  <c r="L5689" i="1" s="1"/>
  <c r="Q5689" i="1" a="1"/>
  <c r="Q5689" i="1" s="1"/>
  <c r="R5689" i="1" a="1"/>
  <c r="R5689" i="1" s="1"/>
  <c r="M5689" i="1" a="1"/>
  <c r="M5689" i="1" s="1"/>
  <c r="B5690" i="1"/>
  <c r="N5689" i="1" a="1"/>
  <c r="N5689" i="1" s="1"/>
  <c r="P5689" i="1" a="1"/>
  <c r="P5689" i="1" s="1"/>
  <c r="S5689" i="1" a="1"/>
  <c r="S5689" i="1" s="1"/>
  <c r="I5671" i="1" l="1" a="1"/>
  <c r="I5671" i="1" s="1"/>
  <c r="K5671" i="1" a="1"/>
  <c r="K5671" i="1" s="1"/>
  <c r="C5672" i="1"/>
  <c r="O5672" i="1" s="1" a="1"/>
  <c r="O5672" i="1" s="1"/>
  <c r="H5671" i="1"/>
  <c r="J5671" i="1" a="1"/>
  <c r="J5671" i="1" s="1"/>
  <c r="S5690" i="1" a="1"/>
  <c r="S5690" i="1" s="1"/>
  <c r="Q5690" i="1" a="1"/>
  <c r="Q5690" i="1" s="1"/>
  <c r="L5690" i="1" a="1"/>
  <c r="L5690" i="1" s="1"/>
  <c r="M5690" i="1" a="1"/>
  <c r="M5690" i="1" s="1"/>
  <c r="R5690" i="1" a="1"/>
  <c r="R5690" i="1" s="1"/>
  <c r="B5691" i="1"/>
  <c r="P5690" i="1" a="1"/>
  <c r="P5690" i="1" s="1"/>
  <c r="N5690" i="1" a="1"/>
  <c r="N5690" i="1" s="1"/>
  <c r="I5672" i="1" l="1" a="1"/>
  <c r="I5672" i="1" s="1"/>
  <c r="K5672" i="1" a="1"/>
  <c r="K5672" i="1" s="1"/>
  <c r="C5673" i="1"/>
  <c r="O5673" i="1" s="1" a="1"/>
  <c r="O5673" i="1" s="1"/>
  <c r="H5672" i="1"/>
  <c r="J5672" i="1" a="1"/>
  <c r="J5672" i="1" s="1"/>
  <c r="P5691" i="1" a="1"/>
  <c r="P5691" i="1" s="1"/>
  <c r="Q5691" i="1" a="1"/>
  <c r="Q5691" i="1" s="1"/>
  <c r="S5691" i="1" a="1"/>
  <c r="S5691" i="1" s="1"/>
  <c r="M5691" i="1" a="1"/>
  <c r="M5691" i="1" s="1"/>
  <c r="R5691" i="1" a="1"/>
  <c r="R5691" i="1" s="1"/>
  <c r="L5691" i="1" a="1"/>
  <c r="L5691" i="1" s="1"/>
  <c r="B5692" i="1"/>
  <c r="N5691" i="1" a="1"/>
  <c r="N5691" i="1" s="1"/>
  <c r="I5673" i="1" l="1" a="1"/>
  <c r="I5673" i="1" s="1"/>
  <c r="K5673" i="1" a="1"/>
  <c r="K5673" i="1" s="1"/>
  <c r="C5674" i="1"/>
  <c r="O5674" i="1" s="1" a="1"/>
  <c r="O5674" i="1" s="1"/>
  <c r="H5673" i="1"/>
  <c r="J5673" i="1" a="1"/>
  <c r="J5673" i="1" s="1"/>
  <c r="R5692" i="1" a="1"/>
  <c r="R5692" i="1" s="1"/>
  <c r="M5692" i="1" a="1"/>
  <c r="M5692" i="1" s="1"/>
  <c r="N5692" i="1" a="1"/>
  <c r="N5692" i="1" s="1"/>
  <c r="B5693" i="1"/>
  <c r="S5692" i="1" a="1"/>
  <c r="S5692" i="1" s="1"/>
  <c r="P5692" i="1" a="1"/>
  <c r="P5692" i="1" s="1"/>
  <c r="Q5692" i="1" a="1"/>
  <c r="Q5692" i="1" s="1"/>
  <c r="L5692" i="1" a="1"/>
  <c r="L5692" i="1" s="1"/>
  <c r="I5674" i="1" l="1" a="1"/>
  <c r="I5674" i="1" s="1"/>
  <c r="K5674" i="1" a="1"/>
  <c r="K5674" i="1" s="1"/>
  <c r="C5675" i="1"/>
  <c r="O5675" i="1" s="1" a="1"/>
  <c r="O5675" i="1" s="1"/>
  <c r="H5674" i="1"/>
  <c r="J5674" i="1" a="1"/>
  <c r="J5674" i="1" s="1"/>
  <c r="M5693" i="1" a="1"/>
  <c r="M5693" i="1" s="1"/>
  <c r="S5693" i="1" a="1"/>
  <c r="S5693" i="1" s="1"/>
  <c r="N5693" i="1" a="1"/>
  <c r="N5693" i="1" s="1"/>
  <c r="P5693" i="1" a="1"/>
  <c r="P5693" i="1" s="1"/>
  <c r="L5693" i="1" a="1"/>
  <c r="L5693" i="1" s="1"/>
  <c r="B5694" i="1"/>
  <c r="Q5693" i="1" a="1"/>
  <c r="Q5693" i="1" s="1"/>
  <c r="R5693" i="1" a="1"/>
  <c r="R5693" i="1" s="1"/>
  <c r="I5675" i="1" l="1" a="1"/>
  <c r="I5675" i="1" s="1"/>
  <c r="K5675" i="1" a="1"/>
  <c r="K5675" i="1" s="1"/>
  <c r="C5676" i="1"/>
  <c r="O5676" i="1" s="1" a="1"/>
  <c r="O5676" i="1" s="1"/>
  <c r="H5675" i="1"/>
  <c r="J5675" i="1" a="1"/>
  <c r="J5675" i="1" s="1"/>
  <c r="R5694" i="1" a="1"/>
  <c r="R5694" i="1" s="1"/>
  <c r="P5694" i="1" a="1"/>
  <c r="P5694" i="1" s="1"/>
  <c r="M5694" i="1" a="1"/>
  <c r="M5694" i="1" s="1"/>
  <c r="N5694" i="1" a="1"/>
  <c r="N5694" i="1" s="1"/>
  <c r="Q5694" i="1" a="1"/>
  <c r="Q5694" i="1" s="1"/>
  <c r="L5694" i="1" a="1"/>
  <c r="L5694" i="1" s="1"/>
  <c r="B5695" i="1"/>
  <c r="S5694" i="1" a="1"/>
  <c r="S5694" i="1" s="1"/>
  <c r="I5676" i="1" l="1" a="1"/>
  <c r="I5676" i="1" s="1"/>
  <c r="K5676" i="1" a="1"/>
  <c r="K5676" i="1" s="1"/>
  <c r="C5677" i="1"/>
  <c r="O5677" i="1" s="1" a="1"/>
  <c r="O5677" i="1" s="1"/>
  <c r="H5676" i="1"/>
  <c r="J5676" i="1" a="1"/>
  <c r="J5676" i="1" s="1"/>
  <c r="B5696" i="1"/>
  <c r="P5695" i="1" a="1"/>
  <c r="P5695" i="1" s="1"/>
  <c r="R5695" i="1" a="1"/>
  <c r="R5695" i="1" s="1"/>
  <c r="L5695" i="1" a="1"/>
  <c r="L5695" i="1" s="1"/>
  <c r="M5695" i="1" a="1"/>
  <c r="M5695" i="1" s="1"/>
  <c r="Q5695" i="1" a="1"/>
  <c r="Q5695" i="1" s="1"/>
  <c r="S5695" i="1" a="1"/>
  <c r="S5695" i="1" s="1"/>
  <c r="N5695" i="1" a="1"/>
  <c r="N5695" i="1" s="1"/>
  <c r="I5677" i="1" l="1" a="1"/>
  <c r="I5677" i="1" s="1"/>
  <c r="K5677" i="1" a="1"/>
  <c r="K5677" i="1" s="1"/>
  <c r="C5678" i="1"/>
  <c r="O5678" i="1" s="1" a="1"/>
  <c r="O5678" i="1" s="1"/>
  <c r="H5677" i="1"/>
  <c r="J5677" i="1" a="1"/>
  <c r="J5677" i="1" s="1"/>
  <c r="M5696" i="1" a="1"/>
  <c r="M5696" i="1" s="1"/>
  <c r="S5696" i="1" a="1"/>
  <c r="S5696" i="1" s="1"/>
  <c r="N5696" i="1" a="1"/>
  <c r="N5696" i="1" s="1"/>
  <c r="P5696" i="1" a="1"/>
  <c r="P5696" i="1" s="1"/>
  <c r="R5696" i="1" a="1"/>
  <c r="R5696" i="1" s="1"/>
  <c r="L5696" i="1" a="1"/>
  <c r="L5696" i="1" s="1"/>
  <c r="Q5696" i="1" a="1"/>
  <c r="Q5696" i="1" s="1"/>
  <c r="B5697" i="1"/>
  <c r="I5678" i="1" l="1" a="1"/>
  <c r="I5678" i="1" s="1"/>
  <c r="K5678" i="1" a="1"/>
  <c r="K5678" i="1" s="1"/>
  <c r="C5679" i="1"/>
  <c r="O5679" i="1" s="1" a="1"/>
  <c r="O5679" i="1" s="1"/>
  <c r="H5678" i="1"/>
  <c r="J5678" i="1" a="1"/>
  <c r="J5678" i="1" s="1"/>
  <c r="M5697" i="1" a="1"/>
  <c r="M5697" i="1" s="1"/>
  <c r="Q5697" i="1" a="1"/>
  <c r="Q5697" i="1" s="1"/>
  <c r="N5697" i="1" a="1"/>
  <c r="N5697" i="1" s="1"/>
  <c r="B5698" i="1"/>
  <c r="P5697" i="1" a="1"/>
  <c r="P5697" i="1" s="1"/>
  <c r="R5697" i="1" a="1"/>
  <c r="R5697" i="1" s="1"/>
  <c r="L5697" i="1" a="1"/>
  <c r="L5697" i="1" s="1"/>
  <c r="S5697" i="1" a="1"/>
  <c r="S5697" i="1" s="1"/>
  <c r="I5679" i="1" l="1" a="1"/>
  <c r="I5679" i="1" s="1"/>
  <c r="K5679" i="1" a="1"/>
  <c r="K5679" i="1" s="1"/>
  <c r="C5680" i="1"/>
  <c r="O5680" i="1" s="1" a="1"/>
  <c r="O5680" i="1" s="1"/>
  <c r="H5679" i="1"/>
  <c r="J5679" i="1" a="1"/>
  <c r="J5679" i="1" s="1"/>
  <c r="B5699" i="1"/>
  <c r="P5698" i="1" a="1"/>
  <c r="P5698" i="1" s="1"/>
  <c r="S5698" i="1" a="1"/>
  <c r="S5698" i="1" s="1"/>
  <c r="N5698" i="1" a="1"/>
  <c r="N5698" i="1" s="1"/>
  <c r="Q5698" i="1" a="1"/>
  <c r="Q5698" i="1" s="1"/>
  <c r="R5698" i="1" a="1"/>
  <c r="R5698" i="1" s="1"/>
  <c r="M5698" i="1" a="1"/>
  <c r="M5698" i="1" s="1"/>
  <c r="L5698" i="1" a="1"/>
  <c r="L5698" i="1" s="1"/>
  <c r="I5680" i="1" l="1" a="1"/>
  <c r="I5680" i="1" s="1"/>
  <c r="K5680" i="1" a="1"/>
  <c r="K5680" i="1" s="1"/>
  <c r="C5681" i="1"/>
  <c r="O5681" i="1" s="1" a="1"/>
  <c r="O5681" i="1" s="1"/>
  <c r="H5680" i="1"/>
  <c r="J5680" i="1" a="1"/>
  <c r="J5680" i="1" s="1"/>
  <c r="L5699" i="1" a="1"/>
  <c r="L5699" i="1" s="1"/>
  <c r="R5699" i="1" a="1"/>
  <c r="R5699" i="1" s="1"/>
  <c r="B5700" i="1"/>
  <c r="M5699" i="1" a="1"/>
  <c r="M5699" i="1" s="1"/>
  <c r="S5699" i="1" a="1"/>
  <c r="S5699" i="1" s="1"/>
  <c r="P5699" i="1" a="1"/>
  <c r="P5699" i="1" s="1"/>
  <c r="Q5699" i="1" a="1"/>
  <c r="Q5699" i="1" s="1"/>
  <c r="N5699" i="1" a="1"/>
  <c r="N5699" i="1" s="1"/>
  <c r="I5681" i="1" l="1" a="1"/>
  <c r="I5681" i="1" s="1"/>
  <c r="K5681" i="1" a="1"/>
  <c r="K5681" i="1" s="1"/>
  <c r="C5682" i="1"/>
  <c r="O5682" i="1" s="1" a="1"/>
  <c r="O5682" i="1" s="1"/>
  <c r="H5681" i="1"/>
  <c r="J5681" i="1" a="1"/>
  <c r="J5681" i="1" s="1"/>
  <c r="Q5700" i="1" a="1"/>
  <c r="Q5700" i="1" s="1"/>
  <c r="R5700" i="1" a="1"/>
  <c r="R5700" i="1" s="1"/>
  <c r="N5700" i="1" a="1"/>
  <c r="N5700" i="1" s="1"/>
  <c r="M5700" i="1" a="1"/>
  <c r="M5700" i="1" s="1"/>
  <c r="B5701" i="1"/>
  <c r="P5700" i="1" a="1"/>
  <c r="P5700" i="1" s="1"/>
  <c r="L5700" i="1" a="1"/>
  <c r="L5700" i="1" s="1"/>
  <c r="S5700" i="1" a="1"/>
  <c r="S5700" i="1" s="1"/>
  <c r="I5682" i="1" l="1" a="1"/>
  <c r="I5682" i="1" s="1"/>
  <c r="K5682" i="1" a="1"/>
  <c r="K5682" i="1" s="1"/>
  <c r="C5683" i="1"/>
  <c r="O5683" i="1" s="1" a="1"/>
  <c r="O5683" i="1" s="1"/>
  <c r="H5682" i="1"/>
  <c r="J5682" i="1" a="1"/>
  <c r="J5682" i="1" s="1"/>
  <c r="S5701" i="1" a="1"/>
  <c r="S5701" i="1" s="1"/>
  <c r="P5701" i="1" a="1"/>
  <c r="P5701" i="1" s="1"/>
  <c r="N5701" i="1" a="1"/>
  <c r="N5701" i="1" s="1"/>
  <c r="B5702" i="1"/>
  <c r="L5701" i="1" a="1"/>
  <c r="L5701" i="1" s="1"/>
  <c r="Q5701" i="1" a="1"/>
  <c r="Q5701" i="1" s="1"/>
  <c r="M5701" i="1" a="1"/>
  <c r="M5701" i="1" s="1"/>
  <c r="R5701" i="1" a="1"/>
  <c r="R5701" i="1" s="1"/>
  <c r="I5683" i="1" l="1" a="1"/>
  <c r="I5683" i="1" s="1"/>
  <c r="K5683" i="1" a="1"/>
  <c r="K5683" i="1" s="1"/>
  <c r="C5684" i="1"/>
  <c r="O5684" i="1" s="1" a="1"/>
  <c r="O5684" i="1" s="1"/>
  <c r="H5683" i="1"/>
  <c r="J5683" i="1" a="1"/>
  <c r="J5683" i="1" s="1"/>
  <c r="L5702" i="1" a="1"/>
  <c r="L5702" i="1" s="1"/>
  <c r="M5702" i="1" a="1"/>
  <c r="M5702" i="1" s="1"/>
  <c r="N5702" i="1" a="1"/>
  <c r="N5702" i="1" s="1"/>
  <c r="B5703" i="1"/>
  <c r="Q5702" i="1" a="1"/>
  <c r="Q5702" i="1" s="1"/>
  <c r="S5702" i="1" a="1"/>
  <c r="S5702" i="1" s="1"/>
  <c r="P5702" i="1" a="1"/>
  <c r="P5702" i="1" s="1"/>
  <c r="R5702" i="1" a="1"/>
  <c r="R5702" i="1" s="1"/>
  <c r="I5684" i="1" l="1" a="1"/>
  <c r="I5684" i="1" s="1"/>
  <c r="K5684" i="1" a="1"/>
  <c r="K5684" i="1" s="1"/>
  <c r="C5685" i="1"/>
  <c r="O5685" i="1" s="1" a="1"/>
  <c r="O5685" i="1" s="1"/>
  <c r="H5684" i="1"/>
  <c r="J5684" i="1" a="1"/>
  <c r="J5684" i="1" s="1"/>
  <c r="B5704" i="1"/>
  <c r="M5703" i="1" a="1"/>
  <c r="M5703" i="1" s="1"/>
  <c r="Q5703" i="1" a="1"/>
  <c r="Q5703" i="1" s="1"/>
  <c r="L5703" i="1" a="1"/>
  <c r="L5703" i="1" s="1"/>
  <c r="P5703" i="1" a="1"/>
  <c r="P5703" i="1" s="1"/>
  <c r="R5703" i="1" a="1"/>
  <c r="R5703" i="1" s="1"/>
  <c r="N5703" i="1" a="1"/>
  <c r="N5703" i="1" s="1"/>
  <c r="S5703" i="1" a="1"/>
  <c r="S5703" i="1" s="1"/>
  <c r="I5685" i="1" l="1" a="1"/>
  <c r="I5685" i="1" s="1"/>
  <c r="K5685" i="1" a="1"/>
  <c r="K5685" i="1" s="1"/>
  <c r="C5686" i="1"/>
  <c r="O5686" i="1" s="1" a="1"/>
  <c r="O5686" i="1" s="1"/>
  <c r="H5685" i="1"/>
  <c r="J5685" i="1" a="1"/>
  <c r="J5685" i="1" s="1"/>
  <c r="N5704" i="1" a="1"/>
  <c r="N5704" i="1" s="1"/>
  <c r="S5704" i="1" a="1"/>
  <c r="S5704" i="1" s="1"/>
  <c r="L5704" i="1" a="1"/>
  <c r="L5704" i="1" s="1"/>
  <c r="B5705" i="1"/>
  <c r="Q5704" i="1" a="1"/>
  <c r="Q5704" i="1" s="1"/>
  <c r="R5704" i="1" a="1"/>
  <c r="R5704" i="1" s="1"/>
  <c r="M5704" i="1" a="1"/>
  <c r="M5704" i="1" s="1"/>
  <c r="P5704" i="1" a="1"/>
  <c r="P5704" i="1" s="1"/>
  <c r="I5686" i="1" l="1" a="1"/>
  <c r="I5686" i="1" s="1"/>
  <c r="K5686" i="1" a="1"/>
  <c r="K5686" i="1" s="1"/>
  <c r="C5687" i="1"/>
  <c r="O5687" i="1" s="1" a="1"/>
  <c r="O5687" i="1" s="1"/>
  <c r="H5686" i="1"/>
  <c r="J5686" i="1" a="1"/>
  <c r="J5686" i="1" s="1"/>
  <c r="N5705" i="1" a="1"/>
  <c r="N5705" i="1" s="1"/>
  <c r="L5705" i="1" a="1"/>
  <c r="L5705" i="1" s="1"/>
  <c r="Q5705" i="1" a="1"/>
  <c r="Q5705" i="1" s="1"/>
  <c r="P5705" i="1" a="1"/>
  <c r="P5705" i="1" s="1"/>
  <c r="M5705" i="1" a="1"/>
  <c r="M5705" i="1" s="1"/>
  <c r="B5706" i="1"/>
  <c r="R5705" i="1" a="1"/>
  <c r="R5705" i="1" s="1"/>
  <c r="S5705" i="1" a="1"/>
  <c r="S5705" i="1" s="1"/>
  <c r="I5687" i="1" l="1" a="1"/>
  <c r="I5687" i="1" s="1"/>
  <c r="K5687" i="1" a="1"/>
  <c r="K5687" i="1" s="1"/>
  <c r="C5688" i="1"/>
  <c r="O5688" i="1" s="1" a="1"/>
  <c r="O5688" i="1" s="1"/>
  <c r="H5687" i="1"/>
  <c r="J5687" i="1" a="1"/>
  <c r="J5687" i="1" s="1"/>
  <c r="P5706" i="1" a="1"/>
  <c r="P5706" i="1" s="1"/>
  <c r="L5706" i="1" a="1"/>
  <c r="L5706" i="1" s="1"/>
  <c r="N5706" i="1" a="1"/>
  <c r="N5706" i="1" s="1"/>
  <c r="M5706" i="1" a="1"/>
  <c r="M5706" i="1" s="1"/>
  <c r="B5707" i="1"/>
  <c r="Q5706" i="1" a="1"/>
  <c r="Q5706" i="1" s="1"/>
  <c r="S5706" i="1" a="1"/>
  <c r="S5706" i="1" s="1"/>
  <c r="R5706" i="1" a="1"/>
  <c r="R5706" i="1" s="1"/>
  <c r="I5688" i="1" l="1" a="1"/>
  <c r="I5688" i="1" s="1"/>
  <c r="K5688" i="1" a="1"/>
  <c r="K5688" i="1" s="1"/>
  <c r="C5689" i="1"/>
  <c r="O5689" i="1" s="1" a="1"/>
  <c r="O5689" i="1" s="1"/>
  <c r="H5688" i="1"/>
  <c r="J5688" i="1" a="1"/>
  <c r="J5688" i="1" s="1"/>
  <c r="B5708" i="1"/>
  <c r="N5707" i="1" a="1"/>
  <c r="N5707" i="1" s="1"/>
  <c r="M5707" i="1" a="1"/>
  <c r="M5707" i="1" s="1"/>
  <c r="S5707" i="1" a="1"/>
  <c r="S5707" i="1" s="1"/>
  <c r="P5707" i="1" a="1"/>
  <c r="P5707" i="1" s="1"/>
  <c r="L5707" i="1" a="1"/>
  <c r="L5707" i="1" s="1"/>
  <c r="Q5707" i="1" a="1"/>
  <c r="Q5707" i="1" s="1"/>
  <c r="R5707" i="1" a="1"/>
  <c r="R5707" i="1" s="1"/>
  <c r="I5689" i="1" l="1" a="1"/>
  <c r="I5689" i="1" s="1"/>
  <c r="K5689" i="1" a="1"/>
  <c r="K5689" i="1" s="1"/>
  <c r="C5690" i="1"/>
  <c r="O5690" i="1" s="1" a="1"/>
  <c r="O5690" i="1" s="1"/>
  <c r="H5689" i="1"/>
  <c r="J5689" i="1" a="1"/>
  <c r="J5689" i="1" s="1"/>
  <c r="L5708" i="1" a="1"/>
  <c r="L5708" i="1" s="1"/>
  <c r="Q5708" i="1" a="1"/>
  <c r="Q5708" i="1" s="1"/>
  <c r="M5708" i="1" a="1"/>
  <c r="M5708" i="1" s="1"/>
  <c r="S5708" i="1" a="1"/>
  <c r="S5708" i="1" s="1"/>
  <c r="N5708" i="1" a="1"/>
  <c r="N5708" i="1" s="1"/>
  <c r="P5708" i="1" a="1"/>
  <c r="P5708" i="1" s="1"/>
  <c r="B5709" i="1"/>
  <c r="R5708" i="1" a="1"/>
  <c r="R5708" i="1" s="1"/>
  <c r="I5690" i="1" l="1" a="1"/>
  <c r="I5690" i="1" s="1"/>
  <c r="K5690" i="1" a="1"/>
  <c r="K5690" i="1" s="1"/>
  <c r="C5691" i="1"/>
  <c r="O5691" i="1" s="1" a="1"/>
  <c r="O5691" i="1" s="1"/>
  <c r="H5690" i="1"/>
  <c r="J5690" i="1" a="1"/>
  <c r="J5690" i="1" s="1"/>
  <c r="N5709" i="1" a="1"/>
  <c r="N5709" i="1" s="1"/>
  <c r="P5709" i="1" a="1"/>
  <c r="P5709" i="1" s="1"/>
  <c r="S5709" i="1" a="1"/>
  <c r="S5709" i="1" s="1"/>
  <c r="B5710" i="1"/>
  <c r="L5709" i="1" a="1"/>
  <c r="L5709" i="1" s="1"/>
  <c r="Q5709" i="1" a="1"/>
  <c r="Q5709" i="1" s="1"/>
  <c r="R5709" i="1" a="1"/>
  <c r="R5709" i="1" s="1"/>
  <c r="M5709" i="1" a="1"/>
  <c r="M5709" i="1" s="1"/>
  <c r="I5691" i="1" l="1" a="1"/>
  <c r="I5691" i="1" s="1"/>
  <c r="K5691" i="1" a="1"/>
  <c r="K5691" i="1" s="1"/>
  <c r="C5692" i="1"/>
  <c r="O5692" i="1" s="1" a="1"/>
  <c r="O5692" i="1" s="1"/>
  <c r="H5691" i="1"/>
  <c r="J5691" i="1" a="1"/>
  <c r="J5691" i="1" s="1"/>
  <c r="N5710" i="1" a="1"/>
  <c r="N5710" i="1" s="1"/>
  <c r="P5710" i="1" a="1"/>
  <c r="P5710" i="1" s="1"/>
  <c r="B5711" i="1"/>
  <c r="S5710" i="1" a="1"/>
  <c r="S5710" i="1" s="1"/>
  <c r="L5710" i="1" a="1"/>
  <c r="L5710" i="1" s="1"/>
  <c r="Q5710" i="1" a="1"/>
  <c r="Q5710" i="1" s="1"/>
  <c r="M5710" i="1" a="1"/>
  <c r="M5710" i="1" s="1"/>
  <c r="R5710" i="1" a="1"/>
  <c r="R5710" i="1" s="1"/>
  <c r="I5692" i="1" l="1" a="1"/>
  <c r="I5692" i="1" s="1"/>
  <c r="K5692" i="1" a="1"/>
  <c r="K5692" i="1" s="1"/>
  <c r="C5693" i="1"/>
  <c r="O5693" i="1" s="1" a="1"/>
  <c r="O5693" i="1" s="1"/>
  <c r="H5692" i="1"/>
  <c r="J5692" i="1" a="1"/>
  <c r="J5692" i="1" s="1"/>
  <c r="B5712" i="1"/>
  <c r="S5711" i="1" a="1"/>
  <c r="S5711" i="1" s="1"/>
  <c r="L5711" i="1" a="1"/>
  <c r="L5711" i="1" s="1"/>
  <c r="Q5711" i="1" a="1"/>
  <c r="Q5711" i="1" s="1"/>
  <c r="M5711" i="1" a="1"/>
  <c r="M5711" i="1" s="1"/>
  <c r="R5711" i="1" a="1"/>
  <c r="R5711" i="1" s="1"/>
  <c r="N5711" i="1" a="1"/>
  <c r="N5711" i="1" s="1"/>
  <c r="P5711" i="1" a="1"/>
  <c r="P5711" i="1" s="1"/>
  <c r="I5693" i="1" l="1" a="1"/>
  <c r="I5693" i="1" s="1"/>
  <c r="K5693" i="1" a="1"/>
  <c r="K5693" i="1" s="1"/>
  <c r="C5694" i="1"/>
  <c r="O5694" i="1" s="1" a="1"/>
  <c r="O5694" i="1" s="1"/>
  <c r="H5693" i="1"/>
  <c r="J5693" i="1" a="1"/>
  <c r="J5693" i="1" s="1"/>
  <c r="M5712" i="1" a="1"/>
  <c r="M5712" i="1" s="1"/>
  <c r="P5712" i="1" a="1"/>
  <c r="P5712" i="1" s="1"/>
  <c r="B5713" i="1"/>
  <c r="R5712" i="1" a="1"/>
  <c r="R5712" i="1" s="1"/>
  <c r="L5712" i="1" a="1"/>
  <c r="L5712" i="1" s="1"/>
  <c r="N5712" i="1" a="1"/>
  <c r="N5712" i="1" s="1"/>
  <c r="Q5712" i="1" a="1"/>
  <c r="Q5712" i="1" s="1"/>
  <c r="S5712" i="1" a="1"/>
  <c r="S5712" i="1" s="1"/>
  <c r="I5694" i="1" l="1" a="1"/>
  <c r="I5694" i="1" s="1"/>
  <c r="K5694" i="1" a="1"/>
  <c r="K5694" i="1" s="1"/>
  <c r="C5695" i="1"/>
  <c r="O5695" i="1" s="1" a="1"/>
  <c r="O5695" i="1" s="1"/>
  <c r="H5694" i="1"/>
  <c r="J5694" i="1" a="1"/>
  <c r="J5694" i="1" s="1"/>
  <c r="P5713" i="1" a="1"/>
  <c r="P5713" i="1" s="1"/>
  <c r="B5714" i="1"/>
  <c r="R5713" i="1" a="1"/>
  <c r="R5713" i="1" s="1"/>
  <c r="L5713" i="1" a="1"/>
  <c r="L5713" i="1" s="1"/>
  <c r="M5713" i="1" a="1"/>
  <c r="M5713" i="1" s="1"/>
  <c r="S5713" i="1" a="1"/>
  <c r="S5713" i="1" s="1"/>
  <c r="Q5713" i="1" a="1"/>
  <c r="Q5713" i="1" s="1"/>
  <c r="N5713" i="1" a="1"/>
  <c r="N5713" i="1" s="1"/>
  <c r="I5695" i="1" l="1" a="1"/>
  <c r="I5695" i="1" s="1"/>
  <c r="K5695" i="1" a="1"/>
  <c r="K5695" i="1" s="1"/>
  <c r="C5696" i="1"/>
  <c r="O5696" i="1" s="1" a="1"/>
  <c r="O5696" i="1" s="1"/>
  <c r="H5695" i="1"/>
  <c r="J5695" i="1" a="1"/>
  <c r="J5695" i="1" s="1"/>
  <c r="S5714" i="1" a="1"/>
  <c r="S5714" i="1" s="1"/>
  <c r="M5714" i="1" a="1"/>
  <c r="M5714" i="1" s="1"/>
  <c r="N5714" i="1" a="1"/>
  <c r="N5714" i="1" s="1"/>
  <c r="R5714" i="1" a="1"/>
  <c r="R5714" i="1" s="1"/>
  <c r="P5714" i="1" a="1"/>
  <c r="P5714" i="1" s="1"/>
  <c r="B5715" i="1"/>
  <c r="L5714" i="1" a="1"/>
  <c r="L5714" i="1" s="1"/>
  <c r="Q5714" i="1" a="1"/>
  <c r="Q5714" i="1" s="1"/>
  <c r="I5696" i="1" l="1" a="1"/>
  <c r="I5696" i="1" s="1"/>
  <c r="K5696" i="1" a="1"/>
  <c r="K5696" i="1" s="1"/>
  <c r="C5697" i="1"/>
  <c r="O5697" i="1" s="1" a="1"/>
  <c r="O5697" i="1" s="1"/>
  <c r="H5696" i="1"/>
  <c r="J5696" i="1" a="1"/>
  <c r="J5696" i="1" s="1"/>
  <c r="B5716" i="1"/>
  <c r="R5715" i="1" a="1"/>
  <c r="R5715" i="1" s="1"/>
  <c r="Q5715" i="1" a="1"/>
  <c r="Q5715" i="1" s="1"/>
  <c r="N5715" i="1" a="1"/>
  <c r="N5715" i="1" s="1"/>
  <c r="S5715" i="1" a="1"/>
  <c r="S5715" i="1" s="1"/>
  <c r="M5715" i="1" a="1"/>
  <c r="M5715" i="1" s="1"/>
  <c r="L5715" i="1" a="1"/>
  <c r="L5715" i="1" s="1"/>
  <c r="P5715" i="1" a="1"/>
  <c r="P5715" i="1" s="1"/>
  <c r="I5697" i="1" l="1" a="1"/>
  <c r="I5697" i="1" s="1"/>
  <c r="K5697" i="1" a="1"/>
  <c r="K5697" i="1" s="1"/>
  <c r="C5698" i="1"/>
  <c r="O5698" i="1" s="1" a="1"/>
  <c r="O5698" i="1" s="1"/>
  <c r="H5697" i="1"/>
  <c r="J5697" i="1" a="1"/>
  <c r="J5697" i="1" s="1"/>
  <c r="R5716" i="1" a="1"/>
  <c r="R5716" i="1" s="1"/>
  <c r="N5716" i="1" a="1"/>
  <c r="N5716" i="1" s="1"/>
  <c r="P5716" i="1" a="1"/>
  <c r="P5716" i="1" s="1"/>
  <c r="S5716" i="1" a="1"/>
  <c r="S5716" i="1" s="1"/>
  <c r="B5717" i="1"/>
  <c r="Q5716" i="1" a="1"/>
  <c r="Q5716" i="1" s="1"/>
  <c r="M5716" i="1" a="1"/>
  <c r="M5716" i="1" s="1"/>
  <c r="L5716" i="1" a="1"/>
  <c r="L5716" i="1" s="1"/>
  <c r="I5698" i="1" l="1" a="1"/>
  <c r="I5698" i="1" s="1"/>
  <c r="K5698" i="1" a="1"/>
  <c r="K5698" i="1" s="1"/>
  <c r="C5699" i="1"/>
  <c r="O5699" i="1" s="1" a="1"/>
  <c r="O5699" i="1" s="1"/>
  <c r="H5698" i="1"/>
  <c r="J5698" i="1" a="1"/>
  <c r="J5698" i="1" s="1"/>
  <c r="L5717" i="1" a="1"/>
  <c r="L5717" i="1" s="1"/>
  <c r="Q5717" i="1" a="1"/>
  <c r="Q5717" i="1" s="1"/>
  <c r="M5717" i="1" a="1"/>
  <c r="M5717" i="1" s="1"/>
  <c r="B5718" i="1"/>
  <c r="P5717" i="1" a="1"/>
  <c r="P5717" i="1" s="1"/>
  <c r="R5717" i="1" a="1"/>
  <c r="R5717" i="1" s="1"/>
  <c r="S5717" i="1" a="1"/>
  <c r="S5717" i="1" s="1"/>
  <c r="N5717" i="1" a="1"/>
  <c r="N5717" i="1" s="1"/>
  <c r="I5699" i="1" l="1" a="1"/>
  <c r="I5699" i="1" s="1"/>
  <c r="K5699" i="1" a="1"/>
  <c r="K5699" i="1" s="1"/>
  <c r="C5700" i="1"/>
  <c r="O5700" i="1" s="1" a="1"/>
  <c r="O5700" i="1" s="1"/>
  <c r="H5699" i="1"/>
  <c r="J5699" i="1" a="1"/>
  <c r="J5699" i="1" s="1"/>
  <c r="Q5718" i="1" a="1"/>
  <c r="Q5718" i="1" s="1"/>
  <c r="L5718" i="1" a="1"/>
  <c r="L5718" i="1" s="1"/>
  <c r="M5718" i="1" a="1"/>
  <c r="M5718" i="1" s="1"/>
  <c r="P5718" i="1" a="1"/>
  <c r="P5718" i="1" s="1"/>
  <c r="R5718" i="1" a="1"/>
  <c r="R5718" i="1" s="1"/>
  <c r="S5718" i="1" a="1"/>
  <c r="S5718" i="1" s="1"/>
  <c r="B5719" i="1"/>
  <c r="N5718" i="1" a="1"/>
  <c r="N5718" i="1" s="1"/>
  <c r="I5700" i="1" l="1" a="1"/>
  <c r="I5700" i="1" s="1"/>
  <c r="K5700" i="1" a="1"/>
  <c r="K5700" i="1" s="1"/>
  <c r="C5701" i="1"/>
  <c r="O5701" i="1" s="1" a="1"/>
  <c r="O5701" i="1" s="1"/>
  <c r="H5700" i="1"/>
  <c r="J5700" i="1" a="1"/>
  <c r="J5700" i="1" s="1"/>
  <c r="B5720" i="1"/>
  <c r="L5719" i="1" a="1"/>
  <c r="L5719" i="1" s="1"/>
  <c r="M5719" i="1" a="1"/>
  <c r="M5719" i="1" s="1"/>
  <c r="R5719" i="1" a="1"/>
  <c r="R5719" i="1" s="1"/>
  <c r="N5719" i="1" a="1"/>
  <c r="N5719" i="1" s="1"/>
  <c r="Q5719" i="1" a="1"/>
  <c r="Q5719" i="1" s="1"/>
  <c r="S5719" i="1" a="1"/>
  <c r="S5719" i="1" s="1"/>
  <c r="P5719" i="1" a="1"/>
  <c r="P5719" i="1" s="1"/>
  <c r="I5701" i="1" l="1" a="1"/>
  <c r="I5701" i="1" s="1"/>
  <c r="K5701" i="1" a="1"/>
  <c r="K5701" i="1" s="1"/>
  <c r="C5702" i="1"/>
  <c r="O5702" i="1" s="1" a="1"/>
  <c r="O5702" i="1" s="1"/>
  <c r="H5701" i="1"/>
  <c r="J5701" i="1" a="1"/>
  <c r="J5701" i="1" s="1"/>
  <c r="N5720" i="1" a="1"/>
  <c r="N5720" i="1" s="1"/>
  <c r="M5720" i="1" a="1"/>
  <c r="M5720" i="1" s="1"/>
  <c r="P5720" i="1" a="1"/>
  <c r="P5720" i="1" s="1"/>
  <c r="B5721" i="1"/>
  <c r="Q5720" i="1" a="1"/>
  <c r="Q5720" i="1" s="1"/>
  <c r="S5720" i="1" a="1"/>
  <c r="S5720" i="1" s="1"/>
  <c r="R5720" i="1" a="1"/>
  <c r="R5720" i="1" s="1"/>
  <c r="L5720" i="1" a="1"/>
  <c r="L5720" i="1" s="1"/>
  <c r="I5702" i="1" l="1" a="1"/>
  <c r="I5702" i="1" s="1"/>
  <c r="K5702" i="1" a="1"/>
  <c r="K5702" i="1" s="1"/>
  <c r="C5703" i="1"/>
  <c r="O5703" i="1" s="1" a="1"/>
  <c r="O5703" i="1" s="1"/>
  <c r="H5702" i="1"/>
  <c r="J5702" i="1" a="1"/>
  <c r="J5702" i="1" s="1"/>
  <c r="L5721" i="1" a="1"/>
  <c r="L5721" i="1" s="1"/>
  <c r="P5721" i="1" a="1"/>
  <c r="P5721" i="1" s="1"/>
  <c r="S5721" i="1" a="1"/>
  <c r="S5721" i="1" s="1"/>
  <c r="Q5721" i="1" a="1"/>
  <c r="Q5721" i="1" s="1"/>
  <c r="M5721" i="1" a="1"/>
  <c r="M5721" i="1" s="1"/>
  <c r="N5721" i="1" a="1"/>
  <c r="N5721" i="1" s="1"/>
  <c r="R5721" i="1" a="1"/>
  <c r="R5721" i="1" s="1"/>
  <c r="B5722" i="1"/>
  <c r="I5703" i="1" l="1" a="1"/>
  <c r="I5703" i="1" s="1"/>
  <c r="K5703" i="1" a="1"/>
  <c r="K5703" i="1" s="1"/>
  <c r="C5704" i="1"/>
  <c r="O5704" i="1" s="1" a="1"/>
  <c r="O5704" i="1" s="1"/>
  <c r="H5703" i="1"/>
  <c r="J5703" i="1" a="1"/>
  <c r="J5703" i="1" s="1"/>
  <c r="N5722" i="1" a="1"/>
  <c r="N5722" i="1" s="1"/>
  <c r="P5722" i="1" a="1"/>
  <c r="P5722" i="1" s="1"/>
  <c r="S5722" i="1" a="1"/>
  <c r="S5722" i="1" s="1"/>
  <c r="B5723" i="1"/>
  <c r="L5722" i="1" a="1"/>
  <c r="L5722" i="1" s="1"/>
  <c r="Q5722" i="1" a="1"/>
  <c r="Q5722" i="1" s="1"/>
  <c r="M5722" i="1" a="1"/>
  <c r="M5722" i="1" s="1"/>
  <c r="R5722" i="1" a="1"/>
  <c r="R5722" i="1" s="1"/>
  <c r="I5704" i="1" l="1" a="1"/>
  <c r="I5704" i="1" s="1"/>
  <c r="K5704" i="1" a="1"/>
  <c r="K5704" i="1" s="1"/>
  <c r="C5705" i="1"/>
  <c r="O5705" i="1" s="1" a="1"/>
  <c r="O5705" i="1" s="1"/>
  <c r="H5704" i="1"/>
  <c r="J5704" i="1" a="1"/>
  <c r="J5704" i="1" s="1"/>
  <c r="B5724" i="1"/>
  <c r="P5723" i="1" a="1"/>
  <c r="P5723" i="1" s="1"/>
  <c r="L5723" i="1" a="1"/>
  <c r="L5723" i="1" s="1"/>
  <c r="Q5723" i="1" a="1"/>
  <c r="Q5723" i="1" s="1"/>
  <c r="R5723" i="1" a="1"/>
  <c r="R5723" i="1" s="1"/>
  <c r="M5723" i="1" a="1"/>
  <c r="M5723" i="1" s="1"/>
  <c r="N5723" i="1" a="1"/>
  <c r="N5723" i="1" s="1"/>
  <c r="S5723" i="1" a="1"/>
  <c r="S5723" i="1" s="1"/>
  <c r="I5705" i="1" l="1" a="1"/>
  <c r="I5705" i="1" s="1"/>
  <c r="K5705" i="1" a="1"/>
  <c r="K5705" i="1" s="1"/>
  <c r="C5706" i="1"/>
  <c r="O5706" i="1" s="1" a="1"/>
  <c r="O5706" i="1" s="1"/>
  <c r="H5705" i="1"/>
  <c r="J5705" i="1" a="1"/>
  <c r="J5705" i="1" s="1"/>
  <c r="B5725" i="1"/>
  <c r="Q5724" i="1" a="1"/>
  <c r="Q5724" i="1" s="1"/>
  <c r="M5724" i="1" a="1"/>
  <c r="M5724" i="1" s="1"/>
  <c r="L5724" i="1" a="1"/>
  <c r="L5724" i="1" s="1"/>
  <c r="N5724" i="1" a="1"/>
  <c r="N5724" i="1" s="1"/>
  <c r="R5724" i="1" a="1"/>
  <c r="R5724" i="1" s="1"/>
  <c r="S5724" i="1" a="1"/>
  <c r="S5724" i="1" s="1"/>
  <c r="P5724" i="1" a="1"/>
  <c r="P5724" i="1" s="1"/>
  <c r="I5706" i="1" l="1" a="1"/>
  <c r="I5706" i="1" s="1"/>
  <c r="K5706" i="1" a="1"/>
  <c r="K5706" i="1" s="1"/>
  <c r="C5707" i="1"/>
  <c r="O5707" i="1" s="1" a="1"/>
  <c r="O5707" i="1" s="1"/>
  <c r="H5706" i="1"/>
  <c r="J5706" i="1" a="1"/>
  <c r="J5706" i="1" s="1"/>
  <c r="M5725" i="1" a="1"/>
  <c r="M5725" i="1" s="1"/>
  <c r="L5725" i="1" a="1"/>
  <c r="L5725" i="1" s="1"/>
  <c r="R5725" i="1" a="1"/>
  <c r="R5725" i="1" s="1"/>
  <c r="N5725" i="1" a="1"/>
  <c r="N5725" i="1" s="1"/>
  <c r="B5726" i="1"/>
  <c r="S5725" i="1" a="1"/>
  <c r="S5725" i="1" s="1"/>
  <c r="Q5725" i="1" a="1"/>
  <c r="Q5725" i="1" s="1"/>
  <c r="P5725" i="1" a="1"/>
  <c r="P5725" i="1" s="1"/>
  <c r="I5707" i="1" l="1" a="1"/>
  <c r="I5707" i="1" s="1"/>
  <c r="K5707" i="1" a="1"/>
  <c r="K5707" i="1" s="1"/>
  <c r="C5708" i="1"/>
  <c r="O5708" i="1" s="1" a="1"/>
  <c r="O5708" i="1" s="1"/>
  <c r="H5707" i="1"/>
  <c r="J5707" i="1" a="1"/>
  <c r="J5707" i="1" s="1"/>
  <c r="Q5726" i="1" a="1"/>
  <c r="Q5726" i="1" s="1"/>
  <c r="R5726" i="1" a="1"/>
  <c r="R5726" i="1" s="1"/>
  <c r="L5726" i="1" a="1"/>
  <c r="L5726" i="1" s="1"/>
  <c r="N5726" i="1" a="1"/>
  <c r="N5726" i="1" s="1"/>
  <c r="P5726" i="1" a="1"/>
  <c r="P5726" i="1" s="1"/>
  <c r="B5727" i="1"/>
  <c r="S5726" i="1" a="1"/>
  <c r="S5726" i="1" s="1"/>
  <c r="M5726" i="1" a="1"/>
  <c r="M5726" i="1" s="1"/>
  <c r="I5708" i="1" l="1" a="1"/>
  <c r="I5708" i="1" s="1"/>
  <c r="K5708" i="1" a="1"/>
  <c r="K5708" i="1" s="1"/>
  <c r="C5709" i="1"/>
  <c r="O5709" i="1" s="1" a="1"/>
  <c r="O5709" i="1" s="1"/>
  <c r="H5708" i="1"/>
  <c r="J5708" i="1" a="1"/>
  <c r="J5708" i="1" s="1"/>
  <c r="B5728" i="1"/>
  <c r="M5727" i="1" a="1"/>
  <c r="M5727" i="1" s="1"/>
  <c r="P5727" i="1" a="1"/>
  <c r="P5727" i="1" s="1"/>
  <c r="S5727" i="1" a="1"/>
  <c r="S5727" i="1" s="1"/>
  <c r="Q5727" i="1" a="1"/>
  <c r="Q5727" i="1" s="1"/>
  <c r="R5727" i="1" a="1"/>
  <c r="R5727" i="1" s="1"/>
  <c r="L5727" i="1" a="1"/>
  <c r="L5727" i="1" s="1"/>
  <c r="N5727" i="1" a="1"/>
  <c r="N5727" i="1" s="1"/>
  <c r="I5709" i="1" l="1" a="1"/>
  <c r="I5709" i="1" s="1"/>
  <c r="K5709" i="1" a="1"/>
  <c r="K5709" i="1" s="1"/>
  <c r="C5710" i="1"/>
  <c r="O5710" i="1" s="1" a="1"/>
  <c r="O5710" i="1" s="1"/>
  <c r="H5709" i="1"/>
  <c r="J5709" i="1" a="1"/>
  <c r="J5709" i="1" s="1"/>
  <c r="Q5728" i="1" a="1"/>
  <c r="Q5728" i="1" s="1"/>
  <c r="R5728" i="1" a="1"/>
  <c r="R5728" i="1" s="1"/>
  <c r="P5728" i="1" a="1"/>
  <c r="P5728" i="1" s="1"/>
  <c r="S5728" i="1" a="1"/>
  <c r="S5728" i="1" s="1"/>
  <c r="B5729" i="1"/>
  <c r="L5728" i="1" a="1"/>
  <c r="L5728" i="1" s="1"/>
  <c r="N5728" i="1" a="1"/>
  <c r="N5728" i="1" s="1"/>
  <c r="M5728" i="1" a="1"/>
  <c r="M5728" i="1" s="1"/>
  <c r="I5710" i="1" l="1" a="1"/>
  <c r="I5710" i="1" s="1"/>
  <c r="K5710" i="1" a="1"/>
  <c r="K5710" i="1" s="1"/>
  <c r="C5711" i="1"/>
  <c r="O5711" i="1" s="1" a="1"/>
  <c r="O5711" i="1" s="1"/>
  <c r="H5710" i="1"/>
  <c r="J5710" i="1" a="1"/>
  <c r="J5710" i="1" s="1"/>
  <c r="P5729" i="1" a="1"/>
  <c r="P5729" i="1" s="1"/>
  <c r="S5729" i="1" a="1"/>
  <c r="S5729" i="1" s="1"/>
  <c r="L5729" i="1" a="1"/>
  <c r="L5729" i="1" s="1"/>
  <c r="M5729" i="1" a="1"/>
  <c r="M5729" i="1" s="1"/>
  <c r="Q5729" i="1" a="1"/>
  <c r="Q5729" i="1" s="1"/>
  <c r="N5729" i="1" a="1"/>
  <c r="N5729" i="1" s="1"/>
  <c r="R5729" i="1" a="1"/>
  <c r="R5729" i="1" s="1"/>
  <c r="B5730" i="1"/>
  <c r="I5711" i="1" l="1" a="1"/>
  <c r="I5711" i="1" s="1"/>
  <c r="K5711" i="1" a="1"/>
  <c r="K5711" i="1" s="1"/>
  <c r="C5712" i="1"/>
  <c r="O5712" i="1" s="1" a="1"/>
  <c r="O5712" i="1" s="1"/>
  <c r="H5711" i="1"/>
  <c r="J5711" i="1" a="1"/>
  <c r="J5711" i="1" s="1"/>
  <c r="L5730" i="1" a="1"/>
  <c r="L5730" i="1" s="1"/>
  <c r="N5730" i="1" a="1"/>
  <c r="N5730" i="1" s="1"/>
  <c r="Q5730" i="1" a="1"/>
  <c r="Q5730" i="1" s="1"/>
  <c r="M5730" i="1" a="1"/>
  <c r="M5730" i="1" s="1"/>
  <c r="B5731" i="1"/>
  <c r="P5730" i="1" a="1"/>
  <c r="P5730" i="1" s="1"/>
  <c r="S5730" i="1" a="1"/>
  <c r="S5730" i="1" s="1"/>
  <c r="R5730" i="1" a="1"/>
  <c r="R5730" i="1" s="1"/>
  <c r="I5712" i="1" l="1" a="1"/>
  <c r="I5712" i="1" s="1"/>
  <c r="K5712" i="1" a="1"/>
  <c r="K5712" i="1" s="1"/>
  <c r="C5713" i="1"/>
  <c r="O5713" i="1" s="1" a="1"/>
  <c r="O5713" i="1" s="1"/>
  <c r="H5712" i="1"/>
  <c r="J5712" i="1" a="1"/>
  <c r="J5712" i="1" s="1"/>
  <c r="B5732" i="1"/>
  <c r="P5731" i="1" a="1"/>
  <c r="P5731" i="1" s="1"/>
  <c r="R5731" i="1" a="1"/>
  <c r="R5731" i="1" s="1"/>
  <c r="N5731" i="1" a="1"/>
  <c r="N5731" i="1" s="1"/>
  <c r="S5731" i="1" a="1"/>
  <c r="S5731" i="1" s="1"/>
  <c r="M5731" i="1" a="1"/>
  <c r="M5731" i="1" s="1"/>
  <c r="Q5731" i="1" a="1"/>
  <c r="Q5731" i="1" s="1"/>
  <c r="L5731" i="1" a="1"/>
  <c r="L5731" i="1" s="1"/>
  <c r="I5713" i="1" l="1" a="1"/>
  <c r="I5713" i="1" s="1"/>
  <c r="K5713" i="1" a="1"/>
  <c r="K5713" i="1" s="1"/>
  <c r="C5714" i="1"/>
  <c r="O5714" i="1" s="1" a="1"/>
  <c r="O5714" i="1" s="1"/>
  <c r="H5713" i="1"/>
  <c r="J5713" i="1" a="1"/>
  <c r="J5713" i="1" s="1"/>
  <c r="M5732" i="1" a="1"/>
  <c r="M5732" i="1" s="1"/>
  <c r="P5732" i="1" a="1"/>
  <c r="P5732" i="1" s="1"/>
  <c r="R5732" i="1" a="1"/>
  <c r="R5732" i="1" s="1"/>
  <c r="N5732" i="1" a="1"/>
  <c r="N5732" i="1" s="1"/>
  <c r="L5732" i="1" a="1"/>
  <c r="L5732" i="1" s="1"/>
  <c r="Q5732" i="1" a="1"/>
  <c r="Q5732" i="1" s="1"/>
  <c r="B5733" i="1"/>
  <c r="S5732" i="1" a="1"/>
  <c r="S5732" i="1" s="1"/>
  <c r="I5714" i="1" l="1" a="1"/>
  <c r="I5714" i="1" s="1"/>
  <c r="K5714" i="1" a="1"/>
  <c r="K5714" i="1" s="1"/>
  <c r="C5715" i="1"/>
  <c r="O5715" i="1" s="1" a="1"/>
  <c r="O5715" i="1" s="1"/>
  <c r="H5714" i="1"/>
  <c r="J5714" i="1" a="1"/>
  <c r="J5714" i="1" s="1"/>
  <c r="N5733" i="1" a="1"/>
  <c r="N5733" i="1" s="1"/>
  <c r="L5733" i="1" a="1"/>
  <c r="L5733" i="1" s="1"/>
  <c r="R5733" i="1" a="1"/>
  <c r="R5733" i="1" s="1"/>
  <c r="B5734" i="1"/>
  <c r="S5733" i="1" a="1"/>
  <c r="S5733" i="1" s="1"/>
  <c r="M5733" i="1" a="1"/>
  <c r="M5733" i="1" s="1"/>
  <c r="P5733" i="1" a="1"/>
  <c r="P5733" i="1" s="1"/>
  <c r="Q5733" i="1" a="1"/>
  <c r="Q5733" i="1" s="1"/>
  <c r="I5715" i="1" l="1" a="1"/>
  <c r="I5715" i="1" s="1"/>
  <c r="K5715" i="1" a="1"/>
  <c r="K5715" i="1" s="1"/>
  <c r="C5716" i="1"/>
  <c r="O5716" i="1" s="1" a="1"/>
  <c r="O5716" i="1" s="1"/>
  <c r="H5715" i="1"/>
  <c r="J5715" i="1" a="1"/>
  <c r="J5715" i="1" s="1"/>
  <c r="S5734" i="1" a="1"/>
  <c r="S5734" i="1" s="1"/>
  <c r="N5734" i="1" a="1"/>
  <c r="N5734" i="1" s="1"/>
  <c r="B5735" i="1"/>
  <c r="Q5734" i="1" a="1"/>
  <c r="Q5734" i="1" s="1"/>
  <c r="R5734" i="1" a="1"/>
  <c r="R5734" i="1" s="1"/>
  <c r="L5734" i="1" a="1"/>
  <c r="L5734" i="1" s="1"/>
  <c r="P5734" i="1" a="1"/>
  <c r="P5734" i="1" s="1"/>
  <c r="M5734" i="1" a="1"/>
  <c r="M5734" i="1" s="1"/>
  <c r="I5716" i="1" l="1" a="1"/>
  <c r="I5716" i="1" s="1"/>
  <c r="K5716" i="1" a="1"/>
  <c r="K5716" i="1" s="1"/>
  <c r="C5717" i="1"/>
  <c r="O5717" i="1" s="1" a="1"/>
  <c r="O5717" i="1" s="1"/>
  <c r="H5716" i="1"/>
  <c r="J5716" i="1" a="1"/>
  <c r="J5716" i="1" s="1"/>
  <c r="B5736" i="1"/>
  <c r="S5735" i="1" a="1"/>
  <c r="S5735" i="1" s="1"/>
  <c r="L5735" i="1" a="1"/>
  <c r="L5735" i="1" s="1"/>
  <c r="R5735" i="1" a="1"/>
  <c r="R5735" i="1" s="1"/>
  <c r="N5735" i="1" a="1"/>
  <c r="N5735" i="1" s="1"/>
  <c r="P5735" i="1" a="1"/>
  <c r="P5735" i="1" s="1"/>
  <c r="Q5735" i="1" a="1"/>
  <c r="Q5735" i="1" s="1"/>
  <c r="M5735" i="1" a="1"/>
  <c r="M5735" i="1" s="1"/>
  <c r="I5717" i="1" l="1" a="1"/>
  <c r="I5717" i="1" s="1"/>
  <c r="K5717" i="1" a="1"/>
  <c r="K5717" i="1" s="1"/>
  <c r="C5718" i="1"/>
  <c r="O5718" i="1" s="1" a="1"/>
  <c r="O5718" i="1" s="1"/>
  <c r="H5717" i="1"/>
  <c r="J5717" i="1" a="1"/>
  <c r="J5717" i="1" s="1"/>
  <c r="B5737" i="1"/>
  <c r="L5736" i="1" a="1"/>
  <c r="L5736" i="1" s="1"/>
  <c r="Q5736" i="1" a="1"/>
  <c r="Q5736" i="1" s="1"/>
  <c r="M5736" i="1" a="1"/>
  <c r="M5736" i="1" s="1"/>
  <c r="P5736" i="1" a="1"/>
  <c r="P5736" i="1" s="1"/>
  <c r="R5736" i="1" a="1"/>
  <c r="R5736" i="1" s="1"/>
  <c r="S5736" i="1" a="1"/>
  <c r="S5736" i="1" s="1"/>
  <c r="N5736" i="1" a="1"/>
  <c r="N5736" i="1" s="1"/>
  <c r="I5718" i="1" l="1" a="1"/>
  <c r="I5718" i="1" s="1"/>
  <c r="K5718" i="1" a="1"/>
  <c r="K5718" i="1" s="1"/>
  <c r="C5719" i="1"/>
  <c r="O5719" i="1" s="1" a="1"/>
  <c r="O5719" i="1" s="1"/>
  <c r="H5718" i="1"/>
  <c r="J5718" i="1" a="1"/>
  <c r="J5718" i="1" s="1"/>
  <c r="Q5737" i="1" a="1"/>
  <c r="Q5737" i="1" s="1"/>
  <c r="L5737" i="1" a="1"/>
  <c r="L5737" i="1" s="1"/>
  <c r="S5737" i="1" a="1"/>
  <c r="S5737" i="1" s="1"/>
  <c r="M5737" i="1" a="1"/>
  <c r="M5737" i="1" s="1"/>
  <c r="R5737" i="1" a="1"/>
  <c r="R5737" i="1" s="1"/>
  <c r="N5737" i="1" a="1"/>
  <c r="N5737" i="1" s="1"/>
  <c r="B5738" i="1"/>
  <c r="P5737" i="1" a="1"/>
  <c r="P5737" i="1" s="1"/>
  <c r="I5719" i="1" l="1" a="1"/>
  <c r="I5719" i="1" s="1"/>
  <c r="K5719" i="1" a="1"/>
  <c r="K5719" i="1" s="1"/>
  <c r="C5720" i="1"/>
  <c r="O5720" i="1" s="1" a="1"/>
  <c r="O5720" i="1" s="1"/>
  <c r="H5719" i="1"/>
  <c r="J5719" i="1" a="1"/>
  <c r="J5719" i="1" s="1"/>
  <c r="M5738" i="1" a="1"/>
  <c r="M5738" i="1" s="1"/>
  <c r="Q5738" i="1" a="1"/>
  <c r="Q5738" i="1" s="1"/>
  <c r="L5738" i="1" a="1"/>
  <c r="L5738" i="1" s="1"/>
  <c r="P5738" i="1" a="1"/>
  <c r="P5738" i="1" s="1"/>
  <c r="R5738" i="1" a="1"/>
  <c r="R5738" i="1" s="1"/>
  <c r="B5739" i="1"/>
  <c r="N5738" i="1" a="1"/>
  <c r="N5738" i="1" s="1"/>
  <c r="S5738" i="1" a="1"/>
  <c r="S5738" i="1" s="1"/>
  <c r="I5720" i="1" l="1" a="1"/>
  <c r="I5720" i="1" s="1"/>
  <c r="K5720" i="1" a="1"/>
  <c r="K5720" i="1" s="1"/>
  <c r="C5721" i="1"/>
  <c r="O5721" i="1" s="1" a="1"/>
  <c r="O5721" i="1" s="1"/>
  <c r="H5720" i="1"/>
  <c r="J5720" i="1" a="1"/>
  <c r="J5720" i="1" s="1"/>
  <c r="Q5739" i="1" a="1"/>
  <c r="Q5739" i="1" s="1"/>
  <c r="B5740" i="1"/>
  <c r="N5739" i="1" a="1"/>
  <c r="N5739" i="1" s="1"/>
  <c r="L5739" i="1" a="1"/>
  <c r="L5739" i="1" s="1"/>
  <c r="M5739" i="1" a="1"/>
  <c r="M5739" i="1" s="1"/>
  <c r="P5739" i="1" a="1"/>
  <c r="P5739" i="1" s="1"/>
  <c r="R5739" i="1" a="1"/>
  <c r="R5739" i="1" s="1"/>
  <c r="S5739" i="1" a="1"/>
  <c r="S5739" i="1" s="1"/>
  <c r="I5721" i="1" l="1" a="1"/>
  <c r="I5721" i="1" s="1"/>
  <c r="K5721" i="1" a="1"/>
  <c r="K5721" i="1" s="1"/>
  <c r="C5722" i="1"/>
  <c r="O5722" i="1" s="1" a="1"/>
  <c r="O5722" i="1" s="1"/>
  <c r="H5721" i="1"/>
  <c r="J5721" i="1" a="1"/>
  <c r="J5721" i="1" s="1"/>
  <c r="M5740" i="1" a="1"/>
  <c r="M5740" i="1" s="1"/>
  <c r="S5740" i="1" a="1"/>
  <c r="S5740" i="1" s="1"/>
  <c r="N5740" i="1" a="1"/>
  <c r="N5740" i="1" s="1"/>
  <c r="Q5740" i="1" a="1"/>
  <c r="Q5740" i="1" s="1"/>
  <c r="P5740" i="1" a="1"/>
  <c r="P5740" i="1" s="1"/>
  <c r="B5741" i="1"/>
  <c r="R5740" i="1" a="1"/>
  <c r="R5740" i="1" s="1"/>
  <c r="L5740" i="1" a="1"/>
  <c r="L5740" i="1" s="1"/>
  <c r="I5722" i="1" l="1" a="1"/>
  <c r="I5722" i="1" s="1"/>
  <c r="K5722" i="1" a="1"/>
  <c r="K5722" i="1" s="1"/>
  <c r="C5723" i="1"/>
  <c r="O5723" i="1" s="1" a="1"/>
  <c r="O5723" i="1" s="1"/>
  <c r="H5722" i="1"/>
  <c r="J5722" i="1" a="1"/>
  <c r="J5722" i="1" s="1"/>
  <c r="P5741" i="1" a="1"/>
  <c r="P5741" i="1" s="1"/>
  <c r="S5741" i="1" a="1"/>
  <c r="S5741" i="1" s="1"/>
  <c r="L5741" i="1" a="1"/>
  <c r="L5741" i="1" s="1"/>
  <c r="R5741" i="1" a="1"/>
  <c r="R5741" i="1" s="1"/>
  <c r="M5741" i="1" a="1"/>
  <c r="M5741" i="1" s="1"/>
  <c r="B5742" i="1"/>
  <c r="Q5741" i="1" a="1"/>
  <c r="Q5741" i="1" s="1"/>
  <c r="N5741" i="1" a="1"/>
  <c r="N5741" i="1" s="1"/>
  <c r="I5723" i="1" l="1" a="1"/>
  <c r="I5723" i="1" s="1"/>
  <c r="K5723" i="1" a="1"/>
  <c r="K5723" i="1" s="1"/>
  <c r="C5724" i="1"/>
  <c r="O5724" i="1" s="1" a="1"/>
  <c r="O5724" i="1" s="1"/>
  <c r="H5723" i="1"/>
  <c r="J5723" i="1" a="1"/>
  <c r="J5723" i="1" s="1"/>
  <c r="P5742" i="1" a="1"/>
  <c r="P5742" i="1" s="1"/>
  <c r="B5743" i="1"/>
  <c r="R5742" i="1" a="1"/>
  <c r="R5742" i="1" s="1"/>
  <c r="M5742" i="1" a="1"/>
  <c r="M5742" i="1" s="1"/>
  <c r="L5742" i="1" a="1"/>
  <c r="L5742" i="1" s="1"/>
  <c r="N5742" i="1" a="1"/>
  <c r="N5742" i="1" s="1"/>
  <c r="Q5742" i="1" a="1"/>
  <c r="Q5742" i="1" s="1"/>
  <c r="S5742" i="1" a="1"/>
  <c r="S5742" i="1" s="1"/>
  <c r="I5724" i="1" l="1" a="1"/>
  <c r="I5724" i="1" s="1"/>
  <c r="K5724" i="1" a="1"/>
  <c r="K5724" i="1" s="1"/>
  <c r="C5725" i="1"/>
  <c r="O5725" i="1" s="1" a="1"/>
  <c r="O5725" i="1" s="1"/>
  <c r="H5724" i="1"/>
  <c r="J5724" i="1" a="1"/>
  <c r="J5724" i="1" s="1"/>
  <c r="B5744" i="1"/>
  <c r="S5743" i="1" a="1"/>
  <c r="S5743" i="1" s="1"/>
  <c r="Q5743" i="1" a="1"/>
  <c r="Q5743" i="1" s="1"/>
  <c r="N5743" i="1" a="1"/>
  <c r="N5743" i="1" s="1"/>
  <c r="R5743" i="1" a="1"/>
  <c r="R5743" i="1" s="1"/>
  <c r="P5743" i="1" a="1"/>
  <c r="P5743" i="1" s="1"/>
  <c r="L5743" i="1" a="1"/>
  <c r="L5743" i="1" s="1"/>
  <c r="M5743" i="1" a="1"/>
  <c r="M5743" i="1" s="1"/>
  <c r="I5725" i="1" l="1" a="1"/>
  <c r="I5725" i="1" s="1"/>
  <c r="K5725" i="1" a="1"/>
  <c r="K5725" i="1" s="1"/>
  <c r="C5726" i="1"/>
  <c r="O5726" i="1" s="1" a="1"/>
  <c r="O5726" i="1" s="1"/>
  <c r="H5725" i="1"/>
  <c r="J5725" i="1" a="1"/>
  <c r="J5725" i="1" s="1"/>
  <c r="L5744" i="1" a="1"/>
  <c r="L5744" i="1" s="1"/>
  <c r="M5744" i="1" a="1"/>
  <c r="M5744" i="1" s="1"/>
  <c r="R5744" i="1" a="1"/>
  <c r="R5744" i="1" s="1"/>
  <c r="S5744" i="1" a="1"/>
  <c r="S5744" i="1" s="1"/>
  <c r="B5745" i="1"/>
  <c r="Q5744" i="1" a="1"/>
  <c r="Q5744" i="1" s="1"/>
  <c r="N5744" i="1" a="1"/>
  <c r="N5744" i="1" s="1"/>
  <c r="P5744" i="1" a="1"/>
  <c r="P5744" i="1" s="1"/>
  <c r="I5726" i="1" l="1" a="1"/>
  <c r="I5726" i="1" s="1"/>
  <c r="K5726" i="1" a="1"/>
  <c r="K5726" i="1" s="1"/>
  <c r="C5727" i="1"/>
  <c r="O5727" i="1" s="1" a="1"/>
  <c r="O5727" i="1" s="1"/>
  <c r="H5726" i="1"/>
  <c r="J5726" i="1" a="1"/>
  <c r="J5726" i="1" s="1"/>
  <c r="B5746" i="1"/>
  <c r="L5745" i="1" a="1"/>
  <c r="L5745" i="1" s="1"/>
  <c r="P5745" i="1" a="1"/>
  <c r="P5745" i="1" s="1"/>
  <c r="N5745" i="1" a="1"/>
  <c r="N5745" i="1" s="1"/>
  <c r="R5745" i="1" a="1"/>
  <c r="R5745" i="1" s="1"/>
  <c r="Q5745" i="1" a="1"/>
  <c r="Q5745" i="1" s="1"/>
  <c r="M5745" i="1" a="1"/>
  <c r="M5745" i="1" s="1"/>
  <c r="S5745" i="1" a="1"/>
  <c r="S5745" i="1" s="1"/>
  <c r="I5727" i="1" l="1" a="1"/>
  <c r="I5727" i="1" s="1"/>
  <c r="K5727" i="1" a="1"/>
  <c r="K5727" i="1" s="1"/>
  <c r="C5728" i="1"/>
  <c r="O5728" i="1" s="1" a="1"/>
  <c r="O5728" i="1" s="1"/>
  <c r="H5727" i="1"/>
  <c r="J5727" i="1" a="1"/>
  <c r="J5727" i="1" s="1"/>
  <c r="P5746" i="1" a="1"/>
  <c r="P5746" i="1" s="1"/>
  <c r="Q5746" i="1" a="1"/>
  <c r="Q5746" i="1" s="1"/>
  <c r="S5746" i="1" a="1"/>
  <c r="S5746" i="1" s="1"/>
  <c r="M5746" i="1" a="1"/>
  <c r="M5746" i="1" s="1"/>
  <c r="N5746" i="1" a="1"/>
  <c r="N5746" i="1" s="1"/>
  <c r="R5746" i="1" a="1"/>
  <c r="R5746" i="1" s="1"/>
  <c r="L5746" i="1" a="1"/>
  <c r="L5746" i="1" s="1"/>
  <c r="B5747" i="1"/>
  <c r="I5728" i="1" l="1" a="1"/>
  <c r="I5728" i="1" s="1"/>
  <c r="K5728" i="1" a="1"/>
  <c r="K5728" i="1" s="1"/>
  <c r="C5729" i="1"/>
  <c r="O5729" i="1" s="1" a="1"/>
  <c r="O5729" i="1" s="1"/>
  <c r="H5728" i="1"/>
  <c r="J5728" i="1" a="1"/>
  <c r="J5728" i="1" s="1"/>
  <c r="B5748" i="1"/>
  <c r="L5747" i="1" a="1"/>
  <c r="L5747" i="1" s="1"/>
  <c r="P5747" i="1" a="1"/>
  <c r="P5747" i="1" s="1"/>
  <c r="M5747" i="1" a="1"/>
  <c r="M5747" i="1" s="1"/>
  <c r="Q5747" i="1" a="1"/>
  <c r="Q5747" i="1" s="1"/>
  <c r="R5747" i="1" a="1"/>
  <c r="R5747" i="1" s="1"/>
  <c r="N5747" i="1" a="1"/>
  <c r="N5747" i="1" s="1"/>
  <c r="S5747" i="1" a="1"/>
  <c r="S5747" i="1" s="1"/>
  <c r="I5729" i="1" l="1" a="1"/>
  <c r="I5729" i="1" s="1"/>
  <c r="K5729" i="1" a="1"/>
  <c r="K5729" i="1" s="1"/>
  <c r="C5730" i="1"/>
  <c r="O5730" i="1" s="1" a="1"/>
  <c r="O5730" i="1" s="1"/>
  <c r="H5729" i="1"/>
  <c r="J5729" i="1" a="1"/>
  <c r="J5729" i="1" s="1"/>
  <c r="Q5748" i="1" a="1"/>
  <c r="Q5748" i="1" s="1"/>
  <c r="P5748" i="1" a="1"/>
  <c r="P5748" i="1" s="1"/>
  <c r="B5749" i="1"/>
  <c r="R5748" i="1" a="1"/>
  <c r="R5748" i="1" s="1"/>
  <c r="S5748" i="1" a="1"/>
  <c r="S5748" i="1" s="1"/>
  <c r="M5748" i="1" a="1"/>
  <c r="M5748" i="1" s="1"/>
  <c r="N5748" i="1" a="1"/>
  <c r="N5748" i="1" s="1"/>
  <c r="L5748" i="1" a="1"/>
  <c r="L5748" i="1" s="1"/>
  <c r="I5730" i="1" l="1" a="1"/>
  <c r="I5730" i="1" s="1"/>
  <c r="K5730" i="1" a="1"/>
  <c r="K5730" i="1" s="1"/>
  <c r="C5731" i="1"/>
  <c r="O5731" i="1" s="1" a="1"/>
  <c r="O5731" i="1" s="1"/>
  <c r="H5730" i="1"/>
  <c r="J5730" i="1" a="1"/>
  <c r="J5730" i="1" s="1"/>
  <c r="L5749" i="1" a="1"/>
  <c r="L5749" i="1" s="1"/>
  <c r="R5749" i="1" a="1"/>
  <c r="R5749" i="1" s="1"/>
  <c r="Q5749" i="1" a="1"/>
  <c r="Q5749" i="1" s="1"/>
  <c r="B5750" i="1"/>
  <c r="N5749" i="1" a="1"/>
  <c r="N5749" i="1" s="1"/>
  <c r="M5749" i="1" a="1"/>
  <c r="M5749" i="1" s="1"/>
  <c r="P5749" i="1" a="1"/>
  <c r="P5749" i="1" s="1"/>
  <c r="S5749" i="1" a="1"/>
  <c r="S5749" i="1" s="1"/>
  <c r="I5731" i="1" l="1" a="1"/>
  <c r="I5731" i="1" s="1"/>
  <c r="K5731" i="1" a="1"/>
  <c r="K5731" i="1" s="1"/>
  <c r="C5732" i="1"/>
  <c r="O5732" i="1" s="1" a="1"/>
  <c r="O5732" i="1" s="1"/>
  <c r="H5731" i="1"/>
  <c r="J5731" i="1" a="1"/>
  <c r="J5731" i="1" s="1"/>
  <c r="Q5750" i="1" a="1"/>
  <c r="Q5750" i="1" s="1"/>
  <c r="M5750" i="1" a="1"/>
  <c r="M5750" i="1" s="1"/>
  <c r="N5750" i="1" a="1"/>
  <c r="N5750" i="1" s="1"/>
  <c r="S5750" i="1" a="1"/>
  <c r="S5750" i="1" s="1"/>
  <c r="L5750" i="1" a="1"/>
  <c r="L5750" i="1" s="1"/>
  <c r="B5751" i="1"/>
  <c r="P5750" i="1" a="1"/>
  <c r="P5750" i="1" s="1"/>
  <c r="R5750" i="1" a="1"/>
  <c r="R5750" i="1" s="1"/>
  <c r="I5732" i="1" l="1" a="1"/>
  <c r="I5732" i="1" s="1"/>
  <c r="K5732" i="1" a="1"/>
  <c r="K5732" i="1" s="1"/>
  <c r="C5733" i="1"/>
  <c r="O5733" i="1" s="1" a="1"/>
  <c r="O5733" i="1" s="1"/>
  <c r="H5732" i="1"/>
  <c r="J5732" i="1" a="1"/>
  <c r="J5732" i="1" s="1"/>
  <c r="B5752" i="1"/>
  <c r="R5751" i="1" a="1"/>
  <c r="R5751" i="1" s="1"/>
  <c r="P5751" i="1" a="1"/>
  <c r="P5751" i="1" s="1"/>
  <c r="Q5751" i="1" a="1"/>
  <c r="Q5751" i="1" s="1"/>
  <c r="N5751" i="1" a="1"/>
  <c r="N5751" i="1" s="1"/>
  <c r="L5751" i="1" a="1"/>
  <c r="L5751" i="1" s="1"/>
  <c r="M5751" i="1" a="1"/>
  <c r="M5751" i="1" s="1"/>
  <c r="S5751" i="1" a="1"/>
  <c r="S5751" i="1" s="1"/>
  <c r="I5733" i="1" l="1" a="1"/>
  <c r="I5733" i="1" s="1"/>
  <c r="K5733" i="1" a="1"/>
  <c r="K5733" i="1" s="1"/>
  <c r="C5734" i="1"/>
  <c r="O5734" i="1" s="1" a="1"/>
  <c r="O5734" i="1" s="1"/>
  <c r="H5733" i="1"/>
  <c r="J5733" i="1" a="1"/>
  <c r="J5733" i="1" s="1"/>
  <c r="L5752" i="1" a="1"/>
  <c r="L5752" i="1" s="1"/>
  <c r="Q5752" i="1" a="1"/>
  <c r="Q5752" i="1" s="1"/>
  <c r="N5752" i="1" a="1"/>
  <c r="N5752" i="1" s="1"/>
  <c r="M5752" i="1" a="1"/>
  <c r="M5752" i="1" s="1"/>
  <c r="R5752" i="1" a="1"/>
  <c r="R5752" i="1" s="1"/>
  <c r="B5753" i="1"/>
  <c r="S5752" i="1" a="1"/>
  <c r="S5752" i="1" s="1"/>
  <c r="P5752" i="1" a="1"/>
  <c r="P5752" i="1" s="1"/>
  <c r="I5734" i="1" l="1" a="1"/>
  <c r="I5734" i="1" s="1"/>
  <c r="K5734" i="1" a="1"/>
  <c r="K5734" i="1" s="1"/>
  <c r="C5735" i="1"/>
  <c r="O5735" i="1" s="1" a="1"/>
  <c r="O5735" i="1" s="1"/>
  <c r="H5734" i="1"/>
  <c r="J5734" i="1" a="1"/>
  <c r="J5734" i="1" s="1"/>
  <c r="L5753" i="1" a="1"/>
  <c r="L5753" i="1" s="1"/>
  <c r="P5753" i="1" a="1"/>
  <c r="P5753" i="1" s="1"/>
  <c r="M5753" i="1" a="1"/>
  <c r="M5753" i="1" s="1"/>
  <c r="Q5753" i="1" a="1"/>
  <c r="Q5753" i="1" s="1"/>
  <c r="R5753" i="1" a="1"/>
  <c r="R5753" i="1" s="1"/>
  <c r="S5753" i="1" a="1"/>
  <c r="S5753" i="1" s="1"/>
  <c r="N5753" i="1" a="1"/>
  <c r="N5753" i="1" s="1"/>
  <c r="B5754" i="1"/>
  <c r="I5735" i="1" l="1" a="1"/>
  <c r="I5735" i="1" s="1"/>
  <c r="K5735" i="1" a="1"/>
  <c r="K5735" i="1" s="1"/>
  <c r="C5736" i="1"/>
  <c r="O5736" i="1" s="1" a="1"/>
  <c r="O5736" i="1" s="1"/>
  <c r="H5735" i="1"/>
  <c r="J5735" i="1" a="1"/>
  <c r="J5735" i="1" s="1"/>
  <c r="M5754" i="1" a="1"/>
  <c r="M5754" i="1" s="1"/>
  <c r="S5754" i="1" a="1"/>
  <c r="S5754" i="1" s="1"/>
  <c r="P5754" i="1" a="1"/>
  <c r="P5754" i="1" s="1"/>
  <c r="L5754" i="1" a="1"/>
  <c r="L5754" i="1" s="1"/>
  <c r="Q5754" i="1" a="1"/>
  <c r="Q5754" i="1" s="1"/>
  <c r="N5754" i="1" a="1"/>
  <c r="N5754" i="1" s="1"/>
  <c r="B5755" i="1"/>
  <c r="R5754" i="1" a="1"/>
  <c r="R5754" i="1" s="1"/>
  <c r="I5736" i="1" l="1" a="1"/>
  <c r="I5736" i="1" s="1"/>
  <c r="K5736" i="1" a="1"/>
  <c r="K5736" i="1" s="1"/>
  <c r="C5737" i="1"/>
  <c r="O5737" i="1" s="1" a="1"/>
  <c r="O5737" i="1" s="1"/>
  <c r="H5736" i="1"/>
  <c r="J5736" i="1" a="1"/>
  <c r="J5736" i="1" s="1"/>
  <c r="S5755" i="1" a="1"/>
  <c r="S5755" i="1" s="1"/>
  <c r="B5756" i="1"/>
  <c r="P5755" i="1" a="1"/>
  <c r="P5755" i="1" s="1"/>
  <c r="L5755" i="1" a="1"/>
  <c r="L5755" i="1" s="1"/>
  <c r="M5755" i="1" a="1"/>
  <c r="M5755" i="1" s="1"/>
  <c r="R5755" i="1" a="1"/>
  <c r="R5755" i="1" s="1"/>
  <c r="Q5755" i="1" a="1"/>
  <c r="Q5755" i="1" s="1"/>
  <c r="N5755" i="1" a="1"/>
  <c r="N5755" i="1" s="1"/>
  <c r="I5737" i="1" l="1" a="1"/>
  <c r="I5737" i="1" s="1"/>
  <c r="K5737" i="1" a="1"/>
  <c r="K5737" i="1" s="1"/>
  <c r="C5738" i="1"/>
  <c r="O5738" i="1" s="1" a="1"/>
  <c r="O5738" i="1" s="1"/>
  <c r="H5737" i="1"/>
  <c r="J5737" i="1" a="1"/>
  <c r="J5737" i="1" s="1"/>
  <c r="Q5756" i="1" a="1"/>
  <c r="Q5756" i="1" s="1"/>
  <c r="R5756" i="1" a="1"/>
  <c r="R5756" i="1" s="1"/>
  <c r="N5756" i="1" a="1"/>
  <c r="N5756" i="1" s="1"/>
  <c r="B5757" i="1"/>
  <c r="M5756" i="1" a="1"/>
  <c r="M5756" i="1" s="1"/>
  <c r="S5756" i="1" a="1"/>
  <c r="S5756" i="1" s="1"/>
  <c r="P5756" i="1" a="1"/>
  <c r="P5756" i="1" s="1"/>
  <c r="L5756" i="1" a="1"/>
  <c r="L5756" i="1" s="1"/>
  <c r="I5738" i="1" l="1" a="1"/>
  <c r="I5738" i="1" s="1"/>
  <c r="K5738" i="1" a="1"/>
  <c r="K5738" i="1" s="1"/>
  <c r="C5739" i="1"/>
  <c r="O5739" i="1" s="1" a="1"/>
  <c r="O5739" i="1" s="1"/>
  <c r="H5738" i="1"/>
  <c r="J5738" i="1" a="1"/>
  <c r="J5738" i="1" s="1"/>
  <c r="M5757" i="1" a="1"/>
  <c r="M5757" i="1" s="1"/>
  <c r="P5757" i="1" a="1"/>
  <c r="P5757" i="1" s="1"/>
  <c r="Q5757" i="1" a="1"/>
  <c r="Q5757" i="1" s="1"/>
  <c r="L5757" i="1" a="1"/>
  <c r="L5757" i="1" s="1"/>
  <c r="B5758" i="1"/>
  <c r="R5757" i="1" a="1"/>
  <c r="R5757" i="1" s="1"/>
  <c r="S5757" i="1" a="1"/>
  <c r="S5757" i="1" s="1"/>
  <c r="N5757" i="1" a="1"/>
  <c r="N5757" i="1" s="1"/>
  <c r="I5739" i="1" l="1" a="1"/>
  <c r="I5739" i="1" s="1"/>
  <c r="K5739" i="1" a="1"/>
  <c r="K5739" i="1" s="1"/>
  <c r="C5740" i="1"/>
  <c r="O5740" i="1" s="1" a="1"/>
  <c r="O5740" i="1" s="1"/>
  <c r="H5739" i="1"/>
  <c r="J5739" i="1" a="1"/>
  <c r="J5739" i="1" s="1"/>
  <c r="S5758" i="1" a="1"/>
  <c r="S5758" i="1" s="1"/>
  <c r="B5759" i="1"/>
  <c r="M5758" i="1" a="1"/>
  <c r="M5758" i="1" s="1"/>
  <c r="Q5758" i="1" a="1"/>
  <c r="Q5758" i="1" s="1"/>
  <c r="N5758" i="1" a="1"/>
  <c r="N5758" i="1" s="1"/>
  <c r="P5758" i="1" a="1"/>
  <c r="P5758" i="1" s="1"/>
  <c r="L5758" i="1" a="1"/>
  <c r="L5758" i="1" s="1"/>
  <c r="R5758" i="1" a="1"/>
  <c r="R5758" i="1" s="1"/>
  <c r="I5740" i="1" l="1" a="1"/>
  <c r="I5740" i="1" s="1"/>
  <c r="K5740" i="1" a="1"/>
  <c r="K5740" i="1" s="1"/>
  <c r="C5741" i="1"/>
  <c r="O5741" i="1" s="1" a="1"/>
  <c r="O5741" i="1" s="1"/>
  <c r="H5740" i="1"/>
  <c r="J5740" i="1" a="1"/>
  <c r="J5740" i="1" s="1"/>
  <c r="N5759" i="1" a="1"/>
  <c r="N5759" i="1" s="1"/>
  <c r="B5760" i="1"/>
  <c r="Q5759" i="1" a="1"/>
  <c r="Q5759" i="1" s="1"/>
  <c r="S5759" i="1" a="1"/>
  <c r="S5759" i="1" s="1"/>
  <c r="L5759" i="1" a="1"/>
  <c r="L5759" i="1" s="1"/>
  <c r="P5759" i="1" a="1"/>
  <c r="P5759" i="1" s="1"/>
  <c r="M5759" i="1" a="1"/>
  <c r="M5759" i="1" s="1"/>
  <c r="R5759" i="1" a="1"/>
  <c r="R5759" i="1" s="1"/>
  <c r="I5741" i="1" l="1" a="1"/>
  <c r="I5741" i="1" s="1"/>
  <c r="K5741" i="1" a="1"/>
  <c r="K5741" i="1" s="1"/>
  <c r="C5742" i="1"/>
  <c r="O5742" i="1" s="1" a="1"/>
  <c r="O5742" i="1" s="1"/>
  <c r="H5741" i="1"/>
  <c r="J5741" i="1" a="1"/>
  <c r="J5741" i="1" s="1"/>
  <c r="R5760" i="1" a="1"/>
  <c r="R5760" i="1" s="1"/>
  <c r="S5760" i="1" a="1"/>
  <c r="S5760" i="1" s="1"/>
  <c r="P5760" i="1" a="1"/>
  <c r="P5760" i="1" s="1"/>
  <c r="N5760" i="1" a="1"/>
  <c r="N5760" i="1" s="1"/>
  <c r="B5761" i="1"/>
  <c r="L5760" i="1" a="1"/>
  <c r="L5760" i="1" s="1"/>
  <c r="Q5760" i="1" a="1"/>
  <c r="Q5760" i="1" s="1"/>
  <c r="M5760" i="1" a="1"/>
  <c r="M5760" i="1" s="1"/>
  <c r="I5742" i="1" l="1" a="1"/>
  <c r="I5742" i="1" s="1"/>
  <c r="K5742" i="1" a="1"/>
  <c r="K5742" i="1" s="1"/>
  <c r="C5743" i="1"/>
  <c r="O5743" i="1" s="1" a="1"/>
  <c r="O5743" i="1" s="1"/>
  <c r="H5742" i="1"/>
  <c r="J5742" i="1" a="1"/>
  <c r="J5742" i="1" s="1"/>
  <c r="R5761" i="1" a="1"/>
  <c r="R5761" i="1" s="1"/>
  <c r="P5761" i="1" a="1"/>
  <c r="P5761" i="1" s="1"/>
  <c r="B5762" i="1"/>
  <c r="L5761" i="1" a="1"/>
  <c r="L5761" i="1" s="1"/>
  <c r="Q5761" i="1" a="1"/>
  <c r="Q5761" i="1" s="1"/>
  <c r="M5761" i="1" a="1"/>
  <c r="M5761" i="1" s="1"/>
  <c r="S5761" i="1" a="1"/>
  <c r="S5761" i="1" s="1"/>
  <c r="N5761" i="1" a="1"/>
  <c r="N5761" i="1" s="1"/>
  <c r="I5743" i="1" l="1" a="1"/>
  <c r="I5743" i="1" s="1"/>
  <c r="K5743" i="1" a="1"/>
  <c r="K5743" i="1" s="1"/>
  <c r="C5744" i="1"/>
  <c r="O5744" i="1" s="1" a="1"/>
  <c r="O5744" i="1" s="1"/>
  <c r="H5743" i="1"/>
  <c r="J5743" i="1" a="1"/>
  <c r="J5743" i="1" s="1"/>
  <c r="L5762" i="1" a="1"/>
  <c r="L5762" i="1" s="1"/>
  <c r="P5762" i="1" a="1"/>
  <c r="P5762" i="1" s="1"/>
  <c r="Q5762" i="1" a="1"/>
  <c r="Q5762" i="1" s="1"/>
  <c r="B5763" i="1"/>
  <c r="M5762" i="1" a="1"/>
  <c r="M5762" i="1" s="1"/>
  <c r="R5762" i="1" a="1"/>
  <c r="R5762" i="1" s="1"/>
  <c r="N5762" i="1" a="1"/>
  <c r="N5762" i="1" s="1"/>
  <c r="S5762" i="1" a="1"/>
  <c r="S5762" i="1" s="1"/>
  <c r="I5744" i="1" l="1" a="1"/>
  <c r="I5744" i="1" s="1"/>
  <c r="K5744" i="1" a="1"/>
  <c r="K5744" i="1" s="1"/>
  <c r="C5745" i="1"/>
  <c r="O5745" i="1" s="1" a="1"/>
  <c r="O5745" i="1" s="1"/>
  <c r="H5744" i="1"/>
  <c r="J5744" i="1" a="1"/>
  <c r="J5744" i="1" s="1"/>
  <c r="S5763" i="1" a="1"/>
  <c r="S5763" i="1" s="1"/>
  <c r="B5764" i="1"/>
  <c r="P5763" i="1" a="1"/>
  <c r="P5763" i="1" s="1"/>
  <c r="Q5763" i="1" a="1"/>
  <c r="Q5763" i="1" s="1"/>
  <c r="R5763" i="1" a="1"/>
  <c r="R5763" i="1" s="1"/>
  <c r="N5763" i="1" a="1"/>
  <c r="N5763" i="1" s="1"/>
  <c r="M5763" i="1" a="1"/>
  <c r="M5763" i="1" s="1"/>
  <c r="L5763" i="1" a="1"/>
  <c r="L5763" i="1" s="1"/>
  <c r="I5745" i="1" l="1" a="1"/>
  <c r="I5745" i="1" s="1"/>
  <c r="K5745" i="1" a="1"/>
  <c r="K5745" i="1" s="1"/>
  <c r="C5746" i="1"/>
  <c r="O5746" i="1" s="1" a="1"/>
  <c r="O5746" i="1" s="1"/>
  <c r="H5745" i="1"/>
  <c r="J5745" i="1" a="1"/>
  <c r="J5745" i="1" s="1"/>
  <c r="P5764" i="1" a="1"/>
  <c r="P5764" i="1" s="1"/>
  <c r="B5765" i="1"/>
  <c r="R5764" i="1" a="1"/>
  <c r="R5764" i="1" s="1"/>
  <c r="N5764" i="1" a="1"/>
  <c r="N5764" i="1" s="1"/>
  <c r="Q5764" i="1" a="1"/>
  <c r="Q5764" i="1" s="1"/>
  <c r="L5764" i="1" a="1"/>
  <c r="L5764" i="1" s="1"/>
  <c r="M5764" i="1" a="1"/>
  <c r="M5764" i="1" s="1"/>
  <c r="S5764" i="1" a="1"/>
  <c r="S5764" i="1" s="1"/>
  <c r="I5746" i="1" l="1" a="1"/>
  <c r="I5746" i="1" s="1"/>
  <c r="K5746" i="1" a="1"/>
  <c r="K5746" i="1" s="1"/>
  <c r="C5747" i="1"/>
  <c r="O5747" i="1" s="1" a="1"/>
  <c r="O5747" i="1" s="1"/>
  <c r="H5746" i="1"/>
  <c r="J5746" i="1" a="1"/>
  <c r="J5746" i="1" s="1"/>
  <c r="N5765" i="1" a="1"/>
  <c r="N5765" i="1" s="1"/>
  <c r="M5765" i="1" a="1"/>
  <c r="M5765" i="1" s="1"/>
  <c r="Q5765" i="1" a="1"/>
  <c r="Q5765" i="1" s="1"/>
  <c r="R5765" i="1" a="1"/>
  <c r="R5765" i="1" s="1"/>
  <c r="P5765" i="1" a="1"/>
  <c r="P5765" i="1" s="1"/>
  <c r="B5766" i="1"/>
  <c r="S5765" i="1" a="1"/>
  <c r="S5765" i="1" s="1"/>
  <c r="L5765" i="1" a="1"/>
  <c r="L5765" i="1" s="1"/>
  <c r="I5747" i="1" l="1" a="1"/>
  <c r="I5747" i="1" s="1"/>
  <c r="K5747" i="1" a="1"/>
  <c r="K5747" i="1" s="1"/>
  <c r="C5748" i="1"/>
  <c r="O5748" i="1" s="1" a="1"/>
  <c r="O5748" i="1" s="1"/>
  <c r="H5747" i="1"/>
  <c r="J5747" i="1" a="1"/>
  <c r="J5747" i="1" s="1"/>
  <c r="M5766" i="1" a="1"/>
  <c r="M5766" i="1" s="1"/>
  <c r="N5766" i="1" a="1"/>
  <c r="N5766" i="1" s="1"/>
  <c r="R5766" i="1" a="1"/>
  <c r="R5766" i="1" s="1"/>
  <c r="B5767" i="1"/>
  <c r="L5766" i="1" a="1"/>
  <c r="L5766" i="1" s="1"/>
  <c r="Q5766" i="1" a="1"/>
  <c r="Q5766" i="1" s="1"/>
  <c r="S5766" i="1" a="1"/>
  <c r="S5766" i="1" s="1"/>
  <c r="P5766" i="1" a="1"/>
  <c r="P5766" i="1" s="1"/>
  <c r="I5748" i="1" l="1" a="1"/>
  <c r="I5748" i="1" s="1"/>
  <c r="K5748" i="1" a="1"/>
  <c r="K5748" i="1" s="1"/>
  <c r="C5749" i="1"/>
  <c r="O5749" i="1" s="1" a="1"/>
  <c r="O5749" i="1" s="1"/>
  <c r="H5748" i="1"/>
  <c r="J5748" i="1" a="1"/>
  <c r="J5748" i="1" s="1"/>
  <c r="S5767" i="1" a="1"/>
  <c r="S5767" i="1" s="1"/>
  <c r="B5768" i="1"/>
  <c r="Q5767" i="1" a="1"/>
  <c r="Q5767" i="1" s="1"/>
  <c r="L5767" i="1" a="1"/>
  <c r="L5767" i="1" s="1"/>
  <c r="P5767" i="1" a="1"/>
  <c r="P5767" i="1" s="1"/>
  <c r="R5767" i="1" a="1"/>
  <c r="R5767" i="1" s="1"/>
  <c r="M5767" i="1" a="1"/>
  <c r="M5767" i="1" s="1"/>
  <c r="N5767" i="1" a="1"/>
  <c r="N5767" i="1" s="1"/>
  <c r="I5749" i="1" l="1" a="1"/>
  <c r="I5749" i="1" s="1"/>
  <c r="K5749" i="1" a="1"/>
  <c r="K5749" i="1" s="1"/>
  <c r="C5750" i="1"/>
  <c r="O5750" i="1" s="1" a="1"/>
  <c r="O5750" i="1" s="1"/>
  <c r="H5749" i="1"/>
  <c r="J5749" i="1" a="1"/>
  <c r="J5749" i="1" s="1"/>
  <c r="P5768" i="1" a="1"/>
  <c r="P5768" i="1" s="1"/>
  <c r="B5769" i="1"/>
  <c r="Q5768" i="1" a="1"/>
  <c r="Q5768" i="1" s="1"/>
  <c r="N5768" i="1" a="1"/>
  <c r="N5768" i="1" s="1"/>
  <c r="R5768" i="1" a="1"/>
  <c r="R5768" i="1" s="1"/>
  <c r="S5768" i="1" a="1"/>
  <c r="S5768" i="1" s="1"/>
  <c r="M5768" i="1" a="1"/>
  <c r="M5768" i="1" s="1"/>
  <c r="L5768" i="1" a="1"/>
  <c r="L5768" i="1" s="1"/>
  <c r="I5750" i="1" l="1" a="1"/>
  <c r="I5750" i="1" s="1"/>
  <c r="K5750" i="1" a="1"/>
  <c r="K5750" i="1" s="1"/>
  <c r="C5751" i="1"/>
  <c r="O5751" i="1" s="1" a="1"/>
  <c r="O5751" i="1" s="1"/>
  <c r="H5750" i="1"/>
  <c r="J5750" i="1" a="1"/>
  <c r="J5750" i="1" s="1"/>
  <c r="Q5769" i="1" a="1"/>
  <c r="Q5769" i="1" s="1"/>
  <c r="S5769" i="1" a="1"/>
  <c r="S5769" i="1" s="1"/>
  <c r="P5769" i="1" a="1"/>
  <c r="P5769" i="1" s="1"/>
  <c r="R5769" i="1" a="1"/>
  <c r="R5769" i="1" s="1"/>
  <c r="L5769" i="1" a="1"/>
  <c r="L5769" i="1" s="1"/>
  <c r="N5769" i="1" a="1"/>
  <c r="N5769" i="1" s="1"/>
  <c r="B5770" i="1"/>
  <c r="M5769" i="1" a="1"/>
  <c r="M5769" i="1" s="1"/>
  <c r="I5751" i="1" l="1" a="1"/>
  <c r="I5751" i="1" s="1"/>
  <c r="K5751" i="1" a="1"/>
  <c r="K5751" i="1" s="1"/>
  <c r="C5752" i="1"/>
  <c r="O5752" i="1" s="1" a="1"/>
  <c r="O5752" i="1" s="1"/>
  <c r="H5751" i="1"/>
  <c r="J5751" i="1" a="1"/>
  <c r="J5751" i="1" s="1"/>
  <c r="M5770" i="1" a="1"/>
  <c r="M5770" i="1" s="1"/>
  <c r="B5771" i="1"/>
  <c r="S5770" i="1" a="1"/>
  <c r="S5770" i="1" s="1"/>
  <c r="P5770" i="1" a="1"/>
  <c r="P5770" i="1" s="1"/>
  <c r="N5770" i="1" a="1"/>
  <c r="N5770" i="1" s="1"/>
  <c r="Q5770" i="1" a="1"/>
  <c r="Q5770" i="1" s="1"/>
  <c r="R5770" i="1" a="1"/>
  <c r="R5770" i="1" s="1"/>
  <c r="L5770" i="1" a="1"/>
  <c r="L5770" i="1" s="1"/>
  <c r="I5752" i="1" l="1" a="1"/>
  <c r="I5752" i="1" s="1"/>
  <c r="K5752" i="1" a="1"/>
  <c r="K5752" i="1" s="1"/>
  <c r="C5753" i="1"/>
  <c r="O5753" i="1" s="1" a="1"/>
  <c r="O5753" i="1" s="1"/>
  <c r="H5752" i="1"/>
  <c r="J5752" i="1" a="1"/>
  <c r="J5752" i="1" s="1"/>
  <c r="L5771" i="1" a="1"/>
  <c r="L5771" i="1" s="1"/>
  <c r="M5771" i="1" a="1"/>
  <c r="M5771" i="1" s="1"/>
  <c r="B5772" i="1"/>
  <c r="Q5771" i="1" a="1"/>
  <c r="Q5771" i="1" s="1"/>
  <c r="N5771" i="1" a="1"/>
  <c r="N5771" i="1" s="1"/>
  <c r="S5771" i="1" a="1"/>
  <c r="S5771" i="1" s="1"/>
  <c r="P5771" i="1" a="1"/>
  <c r="P5771" i="1" s="1"/>
  <c r="R5771" i="1" a="1"/>
  <c r="R5771" i="1" s="1"/>
  <c r="I5753" i="1" l="1" a="1"/>
  <c r="I5753" i="1" s="1"/>
  <c r="K5753" i="1" a="1"/>
  <c r="K5753" i="1" s="1"/>
  <c r="C5754" i="1"/>
  <c r="O5754" i="1" s="1" a="1"/>
  <c r="O5754" i="1" s="1"/>
  <c r="H5753" i="1"/>
  <c r="J5753" i="1" a="1"/>
  <c r="J5753" i="1" s="1"/>
  <c r="L5772" i="1" a="1"/>
  <c r="L5772" i="1" s="1"/>
  <c r="R5772" i="1" a="1"/>
  <c r="R5772" i="1" s="1"/>
  <c r="B5773" i="1"/>
  <c r="S5772" i="1" a="1"/>
  <c r="S5772" i="1" s="1"/>
  <c r="Q5772" i="1" a="1"/>
  <c r="Q5772" i="1" s="1"/>
  <c r="P5772" i="1" a="1"/>
  <c r="P5772" i="1" s="1"/>
  <c r="M5772" i="1" a="1"/>
  <c r="M5772" i="1" s="1"/>
  <c r="N5772" i="1" a="1"/>
  <c r="N5772" i="1" s="1"/>
  <c r="I5754" i="1" l="1" a="1"/>
  <c r="I5754" i="1" s="1"/>
  <c r="K5754" i="1" a="1"/>
  <c r="K5754" i="1" s="1"/>
  <c r="C5755" i="1"/>
  <c r="O5755" i="1" s="1" a="1"/>
  <c r="O5755" i="1" s="1"/>
  <c r="H5754" i="1"/>
  <c r="J5754" i="1" a="1"/>
  <c r="J5754" i="1" s="1"/>
  <c r="Q5773" i="1" a="1"/>
  <c r="Q5773" i="1" s="1"/>
  <c r="R5773" i="1" a="1"/>
  <c r="R5773" i="1" s="1"/>
  <c r="S5773" i="1" a="1"/>
  <c r="S5773" i="1" s="1"/>
  <c r="B5774" i="1"/>
  <c r="L5773" i="1" a="1"/>
  <c r="L5773" i="1" s="1"/>
  <c r="N5773" i="1" a="1"/>
  <c r="N5773" i="1" s="1"/>
  <c r="P5773" i="1" a="1"/>
  <c r="P5773" i="1" s="1"/>
  <c r="M5773" i="1" a="1"/>
  <c r="M5773" i="1" s="1"/>
  <c r="I5755" i="1" l="1" a="1"/>
  <c r="I5755" i="1" s="1"/>
  <c r="K5755" i="1" a="1"/>
  <c r="K5755" i="1" s="1"/>
  <c r="C5756" i="1"/>
  <c r="O5756" i="1" s="1" a="1"/>
  <c r="O5756" i="1" s="1"/>
  <c r="H5755" i="1"/>
  <c r="J5755" i="1" a="1"/>
  <c r="J5755" i="1" s="1"/>
  <c r="Q5774" i="1" a="1"/>
  <c r="Q5774" i="1" s="1"/>
  <c r="L5774" i="1" a="1"/>
  <c r="L5774" i="1" s="1"/>
  <c r="R5774" i="1" a="1"/>
  <c r="R5774" i="1" s="1"/>
  <c r="M5774" i="1" a="1"/>
  <c r="M5774" i="1" s="1"/>
  <c r="B5775" i="1"/>
  <c r="S5774" i="1" a="1"/>
  <c r="S5774" i="1" s="1"/>
  <c r="N5774" i="1" a="1"/>
  <c r="N5774" i="1" s="1"/>
  <c r="P5774" i="1" a="1"/>
  <c r="P5774" i="1" s="1"/>
  <c r="I5756" i="1" l="1" a="1"/>
  <c r="I5756" i="1" s="1"/>
  <c r="K5756" i="1" a="1"/>
  <c r="K5756" i="1" s="1"/>
  <c r="C5757" i="1"/>
  <c r="O5757" i="1" s="1" a="1"/>
  <c r="O5757" i="1" s="1"/>
  <c r="H5756" i="1"/>
  <c r="J5756" i="1" a="1"/>
  <c r="J5756" i="1" s="1"/>
  <c r="P5775" i="1" a="1"/>
  <c r="P5775" i="1" s="1"/>
  <c r="L5775" i="1" a="1"/>
  <c r="L5775" i="1" s="1"/>
  <c r="M5775" i="1" a="1"/>
  <c r="M5775" i="1" s="1"/>
  <c r="S5775" i="1" a="1"/>
  <c r="S5775" i="1" s="1"/>
  <c r="Q5775" i="1" a="1"/>
  <c r="Q5775" i="1" s="1"/>
  <c r="B5776" i="1"/>
  <c r="R5775" i="1" a="1"/>
  <c r="R5775" i="1" s="1"/>
  <c r="N5775" i="1" a="1"/>
  <c r="N5775" i="1" s="1"/>
  <c r="I5757" i="1" l="1" a="1"/>
  <c r="I5757" i="1" s="1"/>
  <c r="K5757" i="1" a="1"/>
  <c r="K5757" i="1" s="1"/>
  <c r="C5758" i="1"/>
  <c r="O5758" i="1" s="1" a="1"/>
  <c r="O5758" i="1" s="1"/>
  <c r="H5757" i="1"/>
  <c r="J5757" i="1" a="1"/>
  <c r="J5757" i="1" s="1"/>
  <c r="L5776" i="1" a="1"/>
  <c r="L5776" i="1" s="1"/>
  <c r="P5776" i="1" a="1"/>
  <c r="P5776" i="1" s="1"/>
  <c r="R5776" i="1" a="1"/>
  <c r="R5776" i="1" s="1"/>
  <c r="B5777" i="1"/>
  <c r="N5776" i="1" a="1"/>
  <c r="N5776" i="1" s="1"/>
  <c r="M5776" i="1" a="1"/>
  <c r="M5776" i="1" s="1"/>
  <c r="Q5776" i="1" a="1"/>
  <c r="Q5776" i="1" s="1"/>
  <c r="S5776" i="1" a="1"/>
  <c r="S5776" i="1" s="1"/>
  <c r="I5758" i="1" l="1" a="1"/>
  <c r="I5758" i="1" s="1"/>
  <c r="K5758" i="1" a="1"/>
  <c r="K5758" i="1" s="1"/>
  <c r="C5759" i="1"/>
  <c r="O5759" i="1" s="1" a="1"/>
  <c r="O5759" i="1" s="1"/>
  <c r="H5758" i="1"/>
  <c r="J5758" i="1" a="1"/>
  <c r="J5758" i="1" s="1"/>
  <c r="Q5777" i="1" a="1"/>
  <c r="Q5777" i="1" s="1"/>
  <c r="R5777" i="1" a="1"/>
  <c r="R5777" i="1" s="1"/>
  <c r="S5777" i="1" a="1"/>
  <c r="S5777" i="1" s="1"/>
  <c r="B5778" i="1"/>
  <c r="L5777" i="1" a="1"/>
  <c r="L5777" i="1" s="1"/>
  <c r="N5777" i="1" a="1"/>
  <c r="N5777" i="1" s="1"/>
  <c r="P5777" i="1" a="1"/>
  <c r="P5777" i="1" s="1"/>
  <c r="M5777" i="1" a="1"/>
  <c r="M5777" i="1" s="1"/>
  <c r="I5759" i="1" l="1" a="1"/>
  <c r="I5759" i="1" s="1"/>
  <c r="K5759" i="1" a="1"/>
  <c r="K5759" i="1" s="1"/>
  <c r="C5760" i="1"/>
  <c r="O5760" i="1" s="1" a="1"/>
  <c r="O5760" i="1" s="1"/>
  <c r="H5759" i="1"/>
  <c r="J5759" i="1" a="1"/>
  <c r="J5759" i="1" s="1"/>
  <c r="Q5778" i="1" a="1"/>
  <c r="Q5778" i="1" s="1"/>
  <c r="L5778" i="1" a="1"/>
  <c r="L5778" i="1" s="1"/>
  <c r="M5778" i="1" a="1"/>
  <c r="M5778" i="1" s="1"/>
  <c r="B5779" i="1"/>
  <c r="S5778" i="1" a="1"/>
  <c r="S5778" i="1" s="1"/>
  <c r="N5778" i="1" a="1"/>
  <c r="N5778" i="1" s="1"/>
  <c r="R5778" i="1" a="1"/>
  <c r="R5778" i="1" s="1"/>
  <c r="P5778" i="1" a="1"/>
  <c r="P5778" i="1" s="1"/>
  <c r="I5760" i="1" l="1" a="1"/>
  <c r="I5760" i="1" s="1"/>
  <c r="K5760" i="1" a="1"/>
  <c r="K5760" i="1" s="1"/>
  <c r="C5761" i="1"/>
  <c r="O5761" i="1" s="1" a="1"/>
  <c r="O5761" i="1" s="1"/>
  <c r="H5760" i="1"/>
  <c r="J5760" i="1" a="1"/>
  <c r="J5760" i="1" s="1"/>
  <c r="P5779" i="1" a="1"/>
  <c r="P5779" i="1" s="1"/>
  <c r="M5779" i="1" a="1"/>
  <c r="M5779" i="1" s="1"/>
  <c r="Q5779" i="1" a="1"/>
  <c r="Q5779" i="1" s="1"/>
  <c r="L5779" i="1" a="1"/>
  <c r="L5779" i="1" s="1"/>
  <c r="S5779" i="1" a="1"/>
  <c r="S5779" i="1" s="1"/>
  <c r="N5779" i="1" a="1"/>
  <c r="N5779" i="1" s="1"/>
  <c r="R5779" i="1" a="1"/>
  <c r="R5779" i="1" s="1"/>
  <c r="B5780" i="1"/>
  <c r="I5761" i="1" l="1" a="1"/>
  <c r="I5761" i="1" s="1"/>
  <c r="K5761" i="1" a="1"/>
  <c r="K5761" i="1" s="1"/>
  <c r="C5762" i="1"/>
  <c r="O5762" i="1" s="1" a="1"/>
  <c r="O5762" i="1" s="1"/>
  <c r="H5761" i="1"/>
  <c r="J5761" i="1" a="1"/>
  <c r="J5761" i="1" s="1"/>
  <c r="L5780" i="1" a="1"/>
  <c r="L5780" i="1" s="1"/>
  <c r="R5780" i="1" a="1"/>
  <c r="R5780" i="1" s="1"/>
  <c r="B5781" i="1"/>
  <c r="S5780" i="1" a="1"/>
  <c r="S5780" i="1" s="1"/>
  <c r="N5780" i="1" a="1"/>
  <c r="N5780" i="1" s="1"/>
  <c r="Q5780" i="1" a="1"/>
  <c r="Q5780" i="1" s="1"/>
  <c r="P5780" i="1" a="1"/>
  <c r="P5780" i="1" s="1"/>
  <c r="M5780" i="1" a="1"/>
  <c r="M5780" i="1" s="1"/>
  <c r="I5762" i="1" l="1" a="1"/>
  <c r="I5762" i="1" s="1"/>
  <c r="K5762" i="1" a="1"/>
  <c r="K5762" i="1" s="1"/>
  <c r="C5763" i="1"/>
  <c r="O5763" i="1" s="1" a="1"/>
  <c r="O5763" i="1" s="1"/>
  <c r="H5762" i="1"/>
  <c r="J5762" i="1" a="1"/>
  <c r="J5762" i="1" s="1"/>
  <c r="Q5781" i="1" a="1"/>
  <c r="Q5781" i="1" s="1"/>
  <c r="R5781" i="1" a="1"/>
  <c r="R5781" i="1" s="1"/>
  <c r="M5781" i="1" a="1"/>
  <c r="M5781" i="1" s="1"/>
  <c r="L5781" i="1" a="1"/>
  <c r="L5781" i="1" s="1"/>
  <c r="P5781" i="1" a="1"/>
  <c r="P5781" i="1" s="1"/>
  <c r="N5781" i="1" a="1"/>
  <c r="N5781" i="1" s="1"/>
  <c r="S5781" i="1" a="1"/>
  <c r="S5781" i="1" s="1"/>
  <c r="B5782" i="1"/>
  <c r="I5763" i="1" l="1" a="1"/>
  <c r="I5763" i="1" s="1"/>
  <c r="K5763" i="1" a="1"/>
  <c r="K5763" i="1" s="1"/>
  <c r="C5764" i="1"/>
  <c r="O5764" i="1" s="1" a="1"/>
  <c r="O5764" i="1" s="1"/>
  <c r="H5763" i="1"/>
  <c r="J5763" i="1" a="1"/>
  <c r="J5763" i="1" s="1"/>
  <c r="B5783" i="1"/>
  <c r="P5782" i="1" a="1"/>
  <c r="P5782" i="1" s="1"/>
  <c r="N5782" i="1" a="1"/>
  <c r="N5782" i="1" s="1"/>
  <c r="Q5782" i="1" a="1"/>
  <c r="Q5782" i="1" s="1"/>
  <c r="R5782" i="1" a="1"/>
  <c r="R5782" i="1" s="1"/>
  <c r="L5782" i="1" a="1"/>
  <c r="L5782" i="1" s="1"/>
  <c r="M5782" i="1" a="1"/>
  <c r="M5782" i="1" s="1"/>
  <c r="S5782" i="1" a="1"/>
  <c r="S5782" i="1" s="1"/>
  <c r="I5764" i="1" l="1" a="1"/>
  <c r="I5764" i="1" s="1"/>
  <c r="K5764" i="1" a="1"/>
  <c r="K5764" i="1" s="1"/>
  <c r="C5765" i="1"/>
  <c r="O5765" i="1" s="1" a="1"/>
  <c r="O5765" i="1" s="1"/>
  <c r="H5764" i="1"/>
  <c r="J5764" i="1" a="1"/>
  <c r="J5764" i="1" s="1"/>
  <c r="B5784" i="1"/>
  <c r="P5783" i="1" a="1"/>
  <c r="P5783" i="1" s="1"/>
  <c r="M5783" i="1" a="1"/>
  <c r="M5783" i="1" s="1"/>
  <c r="Q5783" i="1" a="1"/>
  <c r="Q5783" i="1" s="1"/>
  <c r="L5783" i="1" a="1"/>
  <c r="L5783" i="1" s="1"/>
  <c r="S5783" i="1" a="1"/>
  <c r="S5783" i="1" s="1"/>
  <c r="N5783" i="1" a="1"/>
  <c r="N5783" i="1" s="1"/>
  <c r="R5783" i="1" a="1"/>
  <c r="R5783" i="1" s="1"/>
  <c r="I5765" i="1" l="1" a="1"/>
  <c r="I5765" i="1" s="1"/>
  <c r="K5765" i="1" a="1"/>
  <c r="K5765" i="1" s="1"/>
  <c r="C5766" i="1"/>
  <c r="O5766" i="1" s="1" a="1"/>
  <c r="O5766" i="1" s="1"/>
  <c r="H5765" i="1"/>
  <c r="J5765" i="1" a="1"/>
  <c r="J5765" i="1" s="1"/>
  <c r="L5784" i="1" a="1"/>
  <c r="L5784" i="1" s="1"/>
  <c r="B5785" i="1"/>
  <c r="Q5784" i="1" a="1"/>
  <c r="Q5784" i="1" s="1"/>
  <c r="P5784" i="1" a="1"/>
  <c r="P5784" i="1" s="1"/>
  <c r="M5784" i="1" a="1"/>
  <c r="M5784" i="1" s="1"/>
  <c r="R5784" i="1" a="1"/>
  <c r="R5784" i="1" s="1"/>
  <c r="N5784" i="1" a="1"/>
  <c r="N5784" i="1" s="1"/>
  <c r="S5784" i="1" a="1"/>
  <c r="S5784" i="1" s="1"/>
  <c r="I5766" i="1" l="1" a="1"/>
  <c r="I5766" i="1" s="1"/>
  <c r="K5766" i="1" a="1"/>
  <c r="K5766" i="1" s="1"/>
  <c r="C5767" i="1"/>
  <c r="O5767" i="1" s="1" a="1"/>
  <c r="O5767" i="1" s="1"/>
  <c r="H5766" i="1"/>
  <c r="J5766" i="1" a="1"/>
  <c r="J5766" i="1" s="1"/>
  <c r="Q5785" i="1" a="1"/>
  <c r="Q5785" i="1" s="1"/>
  <c r="R5785" i="1" a="1"/>
  <c r="R5785" i="1" s="1"/>
  <c r="S5785" i="1" a="1"/>
  <c r="S5785" i="1" s="1"/>
  <c r="P5785" i="1" a="1"/>
  <c r="P5785" i="1" s="1"/>
  <c r="L5785" i="1" a="1"/>
  <c r="L5785" i="1" s="1"/>
  <c r="M5785" i="1" a="1"/>
  <c r="M5785" i="1" s="1"/>
  <c r="N5785" i="1" a="1"/>
  <c r="N5785" i="1" s="1"/>
  <c r="B5786" i="1"/>
  <c r="I5767" i="1" l="1" a="1"/>
  <c r="I5767" i="1" s="1"/>
  <c r="K5767" i="1" a="1"/>
  <c r="K5767" i="1" s="1"/>
  <c r="C5768" i="1"/>
  <c r="O5768" i="1" s="1" a="1"/>
  <c r="O5768" i="1" s="1"/>
  <c r="H5767" i="1"/>
  <c r="J5767" i="1" a="1"/>
  <c r="J5767" i="1" s="1"/>
  <c r="N5786" i="1" a="1"/>
  <c r="N5786" i="1" s="1"/>
  <c r="R5786" i="1" a="1"/>
  <c r="R5786" i="1" s="1"/>
  <c r="M5786" i="1" a="1"/>
  <c r="M5786" i="1" s="1"/>
  <c r="S5786" i="1" a="1"/>
  <c r="S5786" i="1" s="1"/>
  <c r="B5787" i="1"/>
  <c r="P5786" i="1" a="1"/>
  <c r="P5786" i="1" s="1"/>
  <c r="L5786" i="1" a="1"/>
  <c r="L5786" i="1" s="1"/>
  <c r="Q5786" i="1" a="1"/>
  <c r="Q5786" i="1" s="1"/>
  <c r="I5768" i="1" l="1" a="1"/>
  <c r="I5768" i="1" s="1"/>
  <c r="K5768" i="1" a="1"/>
  <c r="K5768" i="1" s="1"/>
  <c r="C5769" i="1"/>
  <c r="O5769" i="1" s="1" a="1"/>
  <c r="O5769" i="1" s="1"/>
  <c r="H5768" i="1"/>
  <c r="J5768" i="1" a="1"/>
  <c r="J5768" i="1" s="1"/>
  <c r="S5787" i="1" a="1"/>
  <c r="S5787" i="1" s="1"/>
  <c r="Q5787" i="1" a="1"/>
  <c r="Q5787" i="1" s="1"/>
  <c r="B5788" i="1"/>
  <c r="L5787" i="1" a="1"/>
  <c r="L5787" i="1" s="1"/>
  <c r="R5787" i="1" a="1"/>
  <c r="R5787" i="1" s="1"/>
  <c r="M5787" i="1" a="1"/>
  <c r="M5787" i="1" s="1"/>
  <c r="P5787" i="1" a="1"/>
  <c r="P5787" i="1" s="1"/>
  <c r="N5787" i="1" a="1"/>
  <c r="N5787" i="1" s="1"/>
  <c r="I5769" i="1" l="1" a="1"/>
  <c r="I5769" i="1" s="1"/>
  <c r="K5769" i="1" a="1"/>
  <c r="K5769" i="1" s="1"/>
  <c r="C5770" i="1"/>
  <c r="O5770" i="1" s="1" a="1"/>
  <c r="O5770" i="1" s="1"/>
  <c r="H5769" i="1"/>
  <c r="J5769" i="1" a="1"/>
  <c r="J5769" i="1" s="1"/>
  <c r="L5788" i="1" a="1"/>
  <c r="L5788" i="1" s="1"/>
  <c r="M5788" i="1" a="1"/>
  <c r="M5788" i="1" s="1"/>
  <c r="Q5788" i="1" a="1"/>
  <c r="Q5788" i="1" s="1"/>
  <c r="B5789" i="1"/>
  <c r="R5788" i="1" a="1"/>
  <c r="R5788" i="1" s="1"/>
  <c r="N5788" i="1" a="1"/>
  <c r="N5788" i="1" s="1"/>
  <c r="P5788" i="1" a="1"/>
  <c r="P5788" i="1" s="1"/>
  <c r="S5788" i="1" a="1"/>
  <c r="S5788" i="1" s="1"/>
  <c r="I5770" i="1" l="1" a="1"/>
  <c r="I5770" i="1" s="1"/>
  <c r="K5770" i="1" a="1"/>
  <c r="K5770" i="1" s="1"/>
  <c r="C5771" i="1"/>
  <c r="O5771" i="1" s="1" a="1"/>
  <c r="O5771" i="1" s="1"/>
  <c r="H5770" i="1"/>
  <c r="J5770" i="1" a="1"/>
  <c r="J5770" i="1" s="1"/>
  <c r="R5789" i="1" a="1"/>
  <c r="R5789" i="1" s="1"/>
  <c r="B5790" i="1"/>
  <c r="L5789" i="1" a="1"/>
  <c r="L5789" i="1" s="1"/>
  <c r="M5789" i="1" a="1"/>
  <c r="M5789" i="1" s="1"/>
  <c r="P5789" i="1" a="1"/>
  <c r="P5789" i="1" s="1"/>
  <c r="S5789" i="1" a="1"/>
  <c r="S5789" i="1" s="1"/>
  <c r="N5789" i="1" a="1"/>
  <c r="N5789" i="1" s="1"/>
  <c r="Q5789" i="1" a="1"/>
  <c r="Q5789" i="1" s="1"/>
  <c r="I5771" i="1" l="1" a="1"/>
  <c r="I5771" i="1" s="1"/>
  <c r="K5771" i="1" a="1"/>
  <c r="K5771" i="1" s="1"/>
  <c r="C5772" i="1"/>
  <c r="O5772" i="1" s="1" a="1"/>
  <c r="O5772" i="1" s="1"/>
  <c r="H5771" i="1"/>
  <c r="J5771" i="1" a="1"/>
  <c r="J5771" i="1" s="1"/>
  <c r="M5790" i="1" a="1"/>
  <c r="M5790" i="1" s="1"/>
  <c r="R5790" i="1" a="1"/>
  <c r="R5790" i="1" s="1"/>
  <c r="L5790" i="1" a="1"/>
  <c r="L5790" i="1" s="1"/>
  <c r="S5790" i="1" a="1"/>
  <c r="S5790" i="1" s="1"/>
  <c r="N5790" i="1" a="1"/>
  <c r="N5790" i="1" s="1"/>
  <c r="Q5790" i="1" a="1"/>
  <c r="Q5790" i="1" s="1"/>
  <c r="B5791" i="1"/>
  <c r="P5790" i="1" a="1"/>
  <c r="P5790" i="1" s="1"/>
  <c r="I5772" i="1" l="1" a="1"/>
  <c r="I5772" i="1" s="1"/>
  <c r="K5772" i="1" a="1"/>
  <c r="K5772" i="1" s="1"/>
  <c r="C5773" i="1"/>
  <c r="O5773" i="1" s="1" a="1"/>
  <c r="O5773" i="1" s="1"/>
  <c r="H5772" i="1"/>
  <c r="J5772" i="1" a="1"/>
  <c r="J5772" i="1" s="1"/>
  <c r="M5791" i="1" a="1"/>
  <c r="M5791" i="1" s="1"/>
  <c r="P5791" i="1" a="1"/>
  <c r="P5791" i="1" s="1"/>
  <c r="R5791" i="1" a="1"/>
  <c r="R5791" i="1" s="1"/>
  <c r="S5791" i="1" a="1"/>
  <c r="S5791" i="1" s="1"/>
  <c r="Q5791" i="1" a="1"/>
  <c r="Q5791" i="1" s="1"/>
  <c r="N5791" i="1" a="1"/>
  <c r="N5791" i="1" s="1"/>
  <c r="L5791" i="1" a="1"/>
  <c r="L5791" i="1" s="1"/>
  <c r="B5792" i="1"/>
  <c r="I5773" i="1" l="1" a="1"/>
  <c r="I5773" i="1" s="1"/>
  <c r="K5773" i="1" a="1"/>
  <c r="K5773" i="1" s="1"/>
  <c r="C5774" i="1"/>
  <c r="O5774" i="1" s="1" a="1"/>
  <c r="O5774" i="1" s="1"/>
  <c r="H5773" i="1"/>
  <c r="J5773" i="1" a="1"/>
  <c r="J5773" i="1" s="1"/>
  <c r="L5792" i="1" a="1"/>
  <c r="L5792" i="1" s="1"/>
  <c r="S5792" i="1" a="1"/>
  <c r="S5792" i="1" s="1"/>
  <c r="M5792" i="1" a="1"/>
  <c r="M5792" i="1" s="1"/>
  <c r="B5793" i="1"/>
  <c r="N5792" i="1" a="1"/>
  <c r="N5792" i="1" s="1"/>
  <c r="Q5792" i="1" a="1"/>
  <c r="Q5792" i="1" s="1"/>
  <c r="P5792" i="1" a="1"/>
  <c r="P5792" i="1" s="1"/>
  <c r="R5792" i="1" a="1"/>
  <c r="R5792" i="1" s="1"/>
  <c r="I5774" i="1" l="1" a="1"/>
  <c r="I5774" i="1" s="1"/>
  <c r="K5774" i="1" a="1"/>
  <c r="K5774" i="1" s="1"/>
  <c r="C5775" i="1"/>
  <c r="O5775" i="1" s="1" a="1"/>
  <c r="O5775" i="1" s="1"/>
  <c r="H5774" i="1"/>
  <c r="J5774" i="1" a="1"/>
  <c r="J5774" i="1" s="1"/>
  <c r="R5793" i="1" a="1"/>
  <c r="R5793" i="1" s="1"/>
  <c r="P5793" i="1" a="1"/>
  <c r="P5793" i="1" s="1"/>
  <c r="Q5793" i="1" a="1"/>
  <c r="Q5793" i="1" s="1"/>
  <c r="M5793" i="1" a="1"/>
  <c r="M5793" i="1" s="1"/>
  <c r="N5793" i="1" a="1"/>
  <c r="N5793" i="1" s="1"/>
  <c r="S5793" i="1" a="1"/>
  <c r="S5793" i="1" s="1"/>
  <c r="L5793" i="1" a="1"/>
  <c r="L5793" i="1" s="1"/>
  <c r="B5794" i="1"/>
  <c r="I5775" i="1" l="1" a="1"/>
  <c r="I5775" i="1" s="1"/>
  <c r="K5775" i="1" a="1"/>
  <c r="K5775" i="1" s="1"/>
  <c r="C5776" i="1"/>
  <c r="O5776" i="1" s="1" a="1"/>
  <c r="O5776" i="1" s="1"/>
  <c r="H5775" i="1"/>
  <c r="J5775" i="1" a="1"/>
  <c r="J5775" i="1" s="1"/>
  <c r="L5794" i="1" a="1"/>
  <c r="L5794" i="1" s="1"/>
  <c r="N5794" i="1" a="1"/>
  <c r="N5794" i="1" s="1"/>
  <c r="P5794" i="1" a="1"/>
  <c r="P5794" i="1" s="1"/>
  <c r="R5794" i="1" a="1"/>
  <c r="R5794" i="1" s="1"/>
  <c r="S5794" i="1" a="1"/>
  <c r="S5794" i="1" s="1"/>
  <c r="B5795" i="1"/>
  <c r="Q5794" i="1" a="1"/>
  <c r="Q5794" i="1" s="1"/>
  <c r="M5794" i="1" a="1"/>
  <c r="M5794" i="1" s="1"/>
  <c r="I5776" i="1" l="1" a="1"/>
  <c r="I5776" i="1" s="1"/>
  <c r="K5776" i="1" a="1"/>
  <c r="K5776" i="1" s="1"/>
  <c r="C5777" i="1"/>
  <c r="O5777" i="1" s="1" a="1"/>
  <c r="O5777" i="1" s="1"/>
  <c r="H5776" i="1"/>
  <c r="J5776" i="1" a="1"/>
  <c r="J5776" i="1" s="1"/>
  <c r="R5795" i="1" a="1"/>
  <c r="R5795" i="1" s="1"/>
  <c r="B5796" i="1"/>
  <c r="Q5795" i="1" a="1"/>
  <c r="Q5795" i="1" s="1"/>
  <c r="P5795" i="1" a="1"/>
  <c r="P5795" i="1" s="1"/>
  <c r="S5795" i="1" a="1"/>
  <c r="S5795" i="1" s="1"/>
  <c r="M5795" i="1" a="1"/>
  <c r="M5795" i="1" s="1"/>
  <c r="L5795" i="1" a="1"/>
  <c r="L5795" i="1" s="1"/>
  <c r="N5795" i="1" a="1"/>
  <c r="N5795" i="1" s="1"/>
  <c r="I5777" i="1" l="1" a="1"/>
  <c r="I5777" i="1" s="1"/>
  <c r="K5777" i="1" a="1"/>
  <c r="K5777" i="1" s="1"/>
  <c r="C5778" i="1"/>
  <c r="O5778" i="1" s="1" a="1"/>
  <c r="O5778" i="1" s="1"/>
  <c r="H5777" i="1"/>
  <c r="J5777" i="1" a="1"/>
  <c r="J5777" i="1" s="1"/>
  <c r="B5797" i="1"/>
  <c r="L5796" i="1" a="1"/>
  <c r="L5796" i="1" s="1"/>
  <c r="N5796" i="1" a="1"/>
  <c r="N5796" i="1" s="1"/>
  <c r="P5796" i="1" a="1"/>
  <c r="P5796" i="1" s="1"/>
  <c r="R5796" i="1" a="1"/>
  <c r="R5796" i="1" s="1"/>
  <c r="M5796" i="1" a="1"/>
  <c r="M5796" i="1" s="1"/>
  <c r="Q5796" i="1" a="1"/>
  <c r="Q5796" i="1" s="1"/>
  <c r="S5796" i="1" a="1"/>
  <c r="S5796" i="1" s="1"/>
  <c r="I5778" i="1" l="1" a="1"/>
  <c r="I5778" i="1" s="1"/>
  <c r="K5778" i="1" a="1"/>
  <c r="K5778" i="1" s="1"/>
  <c r="C5779" i="1"/>
  <c r="O5779" i="1" s="1" a="1"/>
  <c r="O5779" i="1" s="1"/>
  <c r="H5778" i="1"/>
  <c r="J5778" i="1" a="1"/>
  <c r="J5778" i="1" s="1"/>
  <c r="R5797" i="1" a="1"/>
  <c r="R5797" i="1" s="1"/>
  <c r="S5797" i="1" a="1"/>
  <c r="S5797" i="1" s="1"/>
  <c r="M5797" i="1" a="1"/>
  <c r="M5797" i="1" s="1"/>
  <c r="P5797" i="1" a="1"/>
  <c r="P5797" i="1" s="1"/>
  <c r="B5798" i="1"/>
  <c r="N5797" i="1" a="1"/>
  <c r="N5797" i="1" s="1"/>
  <c r="L5797" i="1" a="1"/>
  <c r="L5797" i="1" s="1"/>
  <c r="Q5797" i="1" a="1"/>
  <c r="Q5797" i="1" s="1"/>
  <c r="I5779" i="1" l="1" a="1"/>
  <c r="I5779" i="1" s="1"/>
  <c r="K5779" i="1" a="1"/>
  <c r="K5779" i="1" s="1"/>
  <c r="C5780" i="1"/>
  <c r="O5780" i="1" s="1" a="1"/>
  <c r="O5780" i="1" s="1"/>
  <c r="H5779" i="1"/>
  <c r="J5779" i="1" a="1"/>
  <c r="J5779" i="1" s="1"/>
  <c r="Q5798" i="1" a="1"/>
  <c r="Q5798" i="1" s="1"/>
  <c r="M5798" i="1" a="1"/>
  <c r="M5798" i="1" s="1"/>
  <c r="N5798" i="1" a="1"/>
  <c r="N5798" i="1" s="1"/>
  <c r="R5798" i="1" a="1"/>
  <c r="R5798" i="1" s="1"/>
  <c r="S5798" i="1" a="1"/>
  <c r="S5798" i="1" s="1"/>
  <c r="P5798" i="1" a="1"/>
  <c r="P5798" i="1" s="1"/>
  <c r="B5799" i="1"/>
  <c r="L5798" i="1" a="1"/>
  <c r="L5798" i="1" s="1"/>
  <c r="I5780" i="1" l="1" a="1"/>
  <c r="I5780" i="1" s="1"/>
  <c r="K5780" i="1" a="1"/>
  <c r="K5780" i="1" s="1"/>
  <c r="C5781" i="1"/>
  <c r="O5781" i="1" s="1" a="1"/>
  <c r="O5781" i="1" s="1"/>
  <c r="H5780" i="1"/>
  <c r="J5780" i="1" a="1"/>
  <c r="J5780" i="1" s="1"/>
  <c r="Q5799" i="1" a="1"/>
  <c r="Q5799" i="1" s="1"/>
  <c r="P5799" i="1" a="1"/>
  <c r="P5799" i="1" s="1"/>
  <c r="L5799" i="1" a="1"/>
  <c r="L5799" i="1" s="1"/>
  <c r="R5799" i="1" a="1"/>
  <c r="R5799" i="1" s="1"/>
  <c r="B5800" i="1"/>
  <c r="M5799" i="1" a="1"/>
  <c r="M5799" i="1" s="1"/>
  <c r="S5799" i="1" a="1"/>
  <c r="S5799" i="1" s="1"/>
  <c r="N5799" i="1" a="1"/>
  <c r="N5799" i="1" s="1"/>
  <c r="I5781" i="1" l="1" a="1"/>
  <c r="I5781" i="1" s="1"/>
  <c r="K5781" i="1" a="1"/>
  <c r="K5781" i="1" s="1"/>
  <c r="C5782" i="1"/>
  <c r="O5782" i="1" s="1" a="1"/>
  <c r="O5782" i="1" s="1"/>
  <c r="H5781" i="1"/>
  <c r="J5781" i="1" a="1"/>
  <c r="J5781" i="1" s="1"/>
  <c r="S5800" i="1" a="1"/>
  <c r="S5800" i="1" s="1"/>
  <c r="L5800" i="1" a="1"/>
  <c r="L5800" i="1" s="1"/>
  <c r="Q5800" i="1" a="1"/>
  <c r="Q5800" i="1" s="1"/>
  <c r="M5800" i="1" a="1"/>
  <c r="M5800" i="1" s="1"/>
  <c r="B5801" i="1"/>
  <c r="N5800" i="1" a="1"/>
  <c r="N5800" i="1" s="1"/>
  <c r="P5800" i="1" a="1"/>
  <c r="P5800" i="1" s="1"/>
  <c r="R5800" i="1" a="1"/>
  <c r="R5800" i="1" s="1"/>
  <c r="I5782" i="1" l="1" a="1"/>
  <c r="I5782" i="1" s="1"/>
  <c r="K5782" i="1" a="1"/>
  <c r="K5782" i="1" s="1"/>
  <c r="C5783" i="1"/>
  <c r="O5783" i="1" s="1" a="1"/>
  <c r="O5783" i="1" s="1"/>
  <c r="H5782" i="1"/>
  <c r="J5782" i="1" a="1"/>
  <c r="J5782" i="1" s="1"/>
  <c r="M5801" i="1" a="1"/>
  <c r="M5801" i="1" s="1"/>
  <c r="P5801" i="1" a="1"/>
  <c r="P5801" i="1" s="1"/>
  <c r="S5801" i="1" a="1"/>
  <c r="S5801" i="1" s="1"/>
  <c r="Q5801" i="1" a="1"/>
  <c r="Q5801" i="1" s="1"/>
  <c r="R5801" i="1" a="1"/>
  <c r="R5801" i="1" s="1"/>
  <c r="B5802" i="1"/>
  <c r="N5801" i="1" a="1"/>
  <c r="N5801" i="1" s="1"/>
  <c r="L5801" i="1" a="1"/>
  <c r="L5801" i="1" s="1"/>
  <c r="I5783" i="1" l="1" a="1"/>
  <c r="I5783" i="1" s="1"/>
  <c r="K5783" i="1" a="1"/>
  <c r="K5783" i="1" s="1"/>
  <c r="C5784" i="1"/>
  <c r="O5784" i="1" s="1" a="1"/>
  <c r="O5784" i="1" s="1"/>
  <c r="H5783" i="1"/>
  <c r="J5783" i="1" a="1"/>
  <c r="J5783" i="1" s="1"/>
  <c r="Q5802" i="1" a="1"/>
  <c r="Q5802" i="1" s="1"/>
  <c r="L5802" i="1" a="1"/>
  <c r="L5802" i="1" s="1"/>
  <c r="N5802" i="1" a="1"/>
  <c r="N5802" i="1" s="1"/>
  <c r="R5802" i="1" a="1"/>
  <c r="R5802" i="1" s="1"/>
  <c r="P5802" i="1" a="1"/>
  <c r="P5802" i="1" s="1"/>
  <c r="S5802" i="1" a="1"/>
  <c r="S5802" i="1" s="1"/>
  <c r="M5802" i="1" a="1"/>
  <c r="M5802" i="1" s="1"/>
  <c r="B5803" i="1"/>
  <c r="I5784" i="1" l="1" a="1"/>
  <c r="I5784" i="1" s="1"/>
  <c r="K5784" i="1" a="1"/>
  <c r="K5784" i="1" s="1"/>
  <c r="C5785" i="1"/>
  <c r="O5785" i="1" s="1" a="1"/>
  <c r="O5785" i="1" s="1"/>
  <c r="H5784" i="1"/>
  <c r="J5784" i="1" a="1"/>
  <c r="J5784" i="1" s="1"/>
  <c r="R5803" i="1" a="1"/>
  <c r="R5803" i="1" s="1"/>
  <c r="L5803" i="1" a="1"/>
  <c r="L5803" i="1" s="1"/>
  <c r="Q5803" i="1" a="1"/>
  <c r="Q5803" i="1" s="1"/>
  <c r="M5803" i="1" a="1"/>
  <c r="M5803" i="1" s="1"/>
  <c r="S5803" i="1" a="1"/>
  <c r="S5803" i="1" s="1"/>
  <c r="N5803" i="1" a="1"/>
  <c r="N5803" i="1" s="1"/>
  <c r="P5803" i="1" a="1"/>
  <c r="P5803" i="1" s="1"/>
  <c r="B5804" i="1"/>
  <c r="I5785" i="1" l="1" a="1"/>
  <c r="I5785" i="1" s="1"/>
  <c r="K5785" i="1" a="1"/>
  <c r="K5785" i="1" s="1"/>
  <c r="C5786" i="1"/>
  <c r="O5786" i="1" s="1" a="1"/>
  <c r="O5786" i="1" s="1"/>
  <c r="H5785" i="1"/>
  <c r="J5785" i="1" a="1"/>
  <c r="J5785" i="1" s="1"/>
  <c r="S5804" i="1" a="1"/>
  <c r="S5804" i="1" s="1"/>
  <c r="N5804" i="1" a="1"/>
  <c r="N5804" i="1" s="1"/>
  <c r="L5804" i="1" a="1"/>
  <c r="L5804" i="1" s="1"/>
  <c r="B5805" i="1"/>
  <c r="R5804" i="1" a="1"/>
  <c r="R5804" i="1" s="1"/>
  <c r="M5804" i="1" a="1"/>
  <c r="M5804" i="1" s="1"/>
  <c r="P5804" i="1" a="1"/>
  <c r="P5804" i="1" s="1"/>
  <c r="Q5804" i="1" a="1"/>
  <c r="Q5804" i="1" s="1"/>
  <c r="I5786" i="1" l="1" a="1"/>
  <c r="I5786" i="1" s="1"/>
  <c r="K5786" i="1" a="1"/>
  <c r="K5786" i="1" s="1"/>
  <c r="C5787" i="1"/>
  <c r="O5787" i="1" s="1" a="1"/>
  <c r="O5787" i="1" s="1"/>
  <c r="H5786" i="1"/>
  <c r="J5786" i="1" a="1"/>
  <c r="J5786" i="1" s="1"/>
  <c r="B5806" i="1"/>
  <c r="R5805" i="1" a="1"/>
  <c r="R5805" i="1" s="1"/>
  <c r="M5805" i="1" a="1"/>
  <c r="M5805" i="1" s="1"/>
  <c r="P5805" i="1" a="1"/>
  <c r="P5805" i="1" s="1"/>
  <c r="S5805" i="1" a="1"/>
  <c r="S5805" i="1" s="1"/>
  <c r="L5805" i="1" a="1"/>
  <c r="L5805" i="1" s="1"/>
  <c r="Q5805" i="1" a="1"/>
  <c r="Q5805" i="1" s="1"/>
  <c r="N5805" i="1" a="1"/>
  <c r="N5805" i="1" s="1"/>
  <c r="I5787" i="1" l="1" a="1"/>
  <c r="I5787" i="1" s="1"/>
  <c r="K5787" i="1" a="1"/>
  <c r="K5787" i="1" s="1"/>
  <c r="C5788" i="1"/>
  <c r="O5788" i="1" s="1" a="1"/>
  <c r="O5788" i="1" s="1"/>
  <c r="H5787" i="1"/>
  <c r="J5787" i="1" a="1"/>
  <c r="J5787" i="1" s="1"/>
  <c r="R5806" i="1" a="1"/>
  <c r="R5806" i="1" s="1"/>
  <c r="P5806" i="1" a="1"/>
  <c r="P5806" i="1" s="1"/>
  <c r="L5806" i="1" a="1"/>
  <c r="L5806" i="1" s="1"/>
  <c r="S5806" i="1" a="1"/>
  <c r="S5806" i="1" s="1"/>
  <c r="N5806" i="1" a="1"/>
  <c r="N5806" i="1" s="1"/>
  <c r="B5807" i="1"/>
  <c r="Q5806" i="1" a="1"/>
  <c r="Q5806" i="1" s="1"/>
  <c r="M5806" i="1" a="1"/>
  <c r="M5806" i="1" s="1"/>
  <c r="I5788" i="1" l="1" a="1"/>
  <c r="I5788" i="1" s="1"/>
  <c r="K5788" i="1" a="1"/>
  <c r="K5788" i="1" s="1"/>
  <c r="C5789" i="1"/>
  <c r="O5789" i="1" s="1" a="1"/>
  <c r="O5789" i="1" s="1"/>
  <c r="H5788" i="1"/>
  <c r="J5788" i="1" a="1"/>
  <c r="J5788" i="1" s="1"/>
  <c r="L5807" i="1" a="1"/>
  <c r="L5807" i="1" s="1"/>
  <c r="M5807" i="1" a="1"/>
  <c r="M5807" i="1" s="1"/>
  <c r="Q5807" i="1" a="1"/>
  <c r="Q5807" i="1" s="1"/>
  <c r="R5807" i="1" a="1"/>
  <c r="R5807" i="1" s="1"/>
  <c r="N5807" i="1" a="1"/>
  <c r="N5807" i="1" s="1"/>
  <c r="S5807" i="1" a="1"/>
  <c r="S5807" i="1" s="1"/>
  <c r="P5807" i="1" a="1"/>
  <c r="P5807" i="1" s="1"/>
  <c r="B5808" i="1"/>
  <c r="I5789" i="1" l="1" a="1"/>
  <c r="I5789" i="1" s="1"/>
  <c r="K5789" i="1" a="1"/>
  <c r="K5789" i="1" s="1"/>
  <c r="C5790" i="1"/>
  <c r="O5790" i="1" s="1" a="1"/>
  <c r="O5790" i="1" s="1"/>
  <c r="H5789" i="1"/>
  <c r="J5789" i="1" a="1"/>
  <c r="J5789" i="1" s="1"/>
  <c r="L5808" i="1" a="1"/>
  <c r="L5808" i="1" s="1"/>
  <c r="N5808" i="1" a="1"/>
  <c r="N5808" i="1" s="1"/>
  <c r="R5808" i="1" a="1"/>
  <c r="R5808" i="1" s="1"/>
  <c r="B5809" i="1"/>
  <c r="P5808" i="1" a="1"/>
  <c r="P5808" i="1" s="1"/>
  <c r="M5808" i="1" a="1"/>
  <c r="M5808" i="1" s="1"/>
  <c r="S5808" i="1" a="1"/>
  <c r="S5808" i="1" s="1"/>
  <c r="Q5808" i="1" a="1"/>
  <c r="Q5808" i="1" s="1"/>
  <c r="I5790" i="1" l="1" a="1"/>
  <c r="I5790" i="1" s="1"/>
  <c r="K5790" i="1" a="1"/>
  <c r="K5790" i="1" s="1"/>
  <c r="C5791" i="1"/>
  <c r="O5791" i="1" s="1" a="1"/>
  <c r="O5791" i="1" s="1"/>
  <c r="H5790" i="1"/>
  <c r="J5790" i="1" a="1"/>
  <c r="J5790" i="1" s="1"/>
  <c r="B5810" i="1"/>
  <c r="L5809" i="1" a="1"/>
  <c r="L5809" i="1" s="1"/>
  <c r="S5809" i="1" a="1"/>
  <c r="S5809" i="1" s="1"/>
  <c r="R5809" i="1" a="1"/>
  <c r="R5809" i="1" s="1"/>
  <c r="P5809" i="1" a="1"/>
  <c r="P5809" i="1" s="1"/>
  <c r="Q5809" i="1" a="1"/>
  <c r="Q5809" i="1" s="1"/>
  <c r="M5809" i="1" a="1"/>
  <c r="M5809" i="1" s="1"/>
  <c r="N5809" i="1" a="1"/>
  <c r="N5809" i="1" s="1"/>
  <c r="I5791" i="1" l="1" a="1"/>
  <c r="I5791" i="1" s="1"/>
  <c r="K5791" i="1" a="1"/>
  <c r="K5791" i="1" s="1"/>
  <c r="C5792" i="1"/>
  <c r="O5792" i="1" s="1" a="1"/>
  <c r="O5792" i="1" s="1"/>
  <c r="H5791" i="1"/>
  <c r="J5791" i="1" a="1"/>
  <c r="J5791" i="1" s="1"/>
  <c r="Q5810" i="1" a="1"/>
  <c r="Q5810" i="1" s="1"/>
  <c r="R5810" i="1" a="1"/>
  <c r="R5810" i="1" s="1"/>
  <c r="M5810" i="1" a="1"/>
  <c r="M5810" i="1" s="1"/>
  <c r="S5810" i="1" a="1"/>
  <c r="S5810" i="1" s="1"/>
  <c r="B5811" i="1"/>
  <c r="L5810" i="1" a="1"/>
  <c r="L5810" i="1" s="1"/>
  <c r="N5810" i="1" a="1"/>
  <c r="N5810" i="1" s="1"/>
  <c r="P5810" i="1" a="1"/>
  <c r="P5810" i="1" s="1"/>
  <c r="I5792" i="1" l="1" a="1"/>
  <c r="I5792" i="1" s="1"/>
  <c r="K5792" i="1" a="1"/>
  <c r="K5792" i="1" s="1"/>
  <c r="C5793" i="1"/>
  <c r="O5793" i="1" s="1" a="1"/>
  <c r="O5793" i="1" s="1"/>
  <c r="H5792" i="1"/>
  <c r="J5792" i="1" a="1"/>
  <c r="J5792" i="1" s="1"/>
  <c r="Q5811" i="1" a="1"/>
  <c r="Q5811" i="1" s="1"/>
  <c r="P5811" i="1" a="1"/>
  <c r="P5811" i="1" s="1"/>
  <c r="B5812" i="1"/>
  <c r="S5811" i="1" a="1"/>
  <c r="S5811" i="1" s="1"/>
  <c r="M5811" i="1" a="1"/>
  <c r="M5811" i="1" s="1"/>
  <c r="L5811" i="1" a="1"/>
  <c r="L5811" i="1" s="1"/>
  <c r="N5811" i="1" a="1"/>
  <c r="N5811" i="1" s="1"/>
  <c r="R5811" i="1" a="1"/>
  <c r="R5811" i="1" s="1"/>
  <c r="I5793" i="1" l="1" a="1"/>
  <c r="I5793" i="1" s="1"/>
  <c r="K5793" i="1" a="1"/>
  <c r="K5793" i="1" s="1"/>
  <c r="C5794" i="1"/>
  <c r="O5794" i="1" s="1" a="1"/>
  <c r="O5794" i="1" s="1"/>
  <c r="H5793" i="1"/>
  <c r="J5793" i="1" a="1"/>
  <c r="J5793" i="1" s="1"/>
  <c r="L5812" i="1" a="1"/>
  <c r="L5812" i="1" s="1"/>
  <c r="P5812" i="1" a="1"/>
  <c r="P5812" i="1" s="1"/>
  <c r="S5812" i="1" a="1"/>
  <c r="S5812" i="1" s="1"/>
  <c r="B5813" i="1"/>
  <c r="M5812" i="1" a="1"/>
  <c r="M5812" i="1" s="1"/>
  <c r="R5812" i="1" a="1"/>
  <c r="R5812" i="1" s="1"/>
  <c r="N5812" i="1" a="1"/>
  <c r="N5812" i="1" s="1"/>
  <c r="Q5812" i="1" a="1"/>
  <c r="Q5812" i="1" s="1"/>
  <c r="I5794" i="1" l="1" a="1"/>
  <c r="I5794" i="1" s="1"/>
  <c r="K5794" i="1" a="1"/>
  <c r="K5794" i="1" s="1"/>
  <c r="C5795" i="1"/>
  <c r="O5795" i="1" s="1" a="1"/>
  <c r="O5795" i="1" s="1"/>
  <c r="H5794" i="1"/>
  <c r="J5794" i="1" a="1"/>
  <c r="J5794" i="1" s="1"/>
  <c r="B5814" i="1"/>
  <c r="P5813" i="1" a="1"/>
  <c r="P5813" i="1" s="1"/>
  <c r="Q5813" i="1" a="1"/>
  <c r="Q5813" i="1" s="1"/>
  <c r="L5813" i="1" a="1"/>
  <c r="L5813" i="1" s="1"/>
  <c r="S5813" i="1" a="1"/>
  <c r="S5813" i="1" s="1"/>
  <c r="M5813" i="1" a="1"/>
  <c r="M5813" i="1" s="1"/>
  <c r="R5813" i="1" a="1"/>
  <c r="R5813" i="1" s="1"/>
  <c r="N5813" i="1" a="1"/>
  <c r="N5813" i="1" s="1"/>
  <c r="I5795" i="1" l="1" a="1"/>
  <c r="I5795" i="1" s="1"/>
  <c r="K5795" i="1" a="1"/>
  <c r="K5795" i="1" s="1"/>
  <c r="C5796" i="1"/>
  <c r="O5796" i="1" s="1" a="1"/>
  <c r="O5796" i="1" s="1"/>
  <c r="H5795" i="1"/>
  <c r="J5795" i="1" a="1"/>
  <c r="J5795" i="1" s="1"/>
  <c r="P5814" i="1" a="1"/>
  <c r="P5814" i="1" s="1"/>
  <c r="Q5814" i="1" a="1"/>
  <c r="Q5814" i="1" s="1"/>
  <c r="M5814" i="1" a="1"/>
  <c r="M5814" i="1" s="1"/>
  <c r="S5814" i="1" a="1"/>
  <c r="S5814" i="1" s="1"/>
  <c r="L5814" i="1" a="1"/>
  <c r="L5814" i="1" s="1"/>
  <c r="N5814" i="1" a="1"/>
  <c r="N5814" i="1" s="1"/>
  <c r="R5814" i="1" a="1"/>
  <c r="R5814" i="1" s="1"/>
  <c r="B5815" i="1"/>
  <c r="I5796" i="1" l="1" a="1"/>
  <c r="I5796" i="1" s="1"/>
  <c r="K5796" i="1" a="1"/>
  <c r="K5796" i="1" s="1"/>
  <c r="C5797" i="1"/>
  <c r="O5797" i="1" s="1" a="1"/>
  <c r="O5797" i="1" s="1"/>
  <c r="H5796" i="1"/>
  <c r="J5796" i="1" a="1"/>
  <c r="J5796" i="1" s="1"/>
  <c r="B5816" i="1"/>
  <c r="Q5815" i="1" a="1"/>
  <c r="Q5815" i="1" s="1"/>
  <c r="L5815" i="1" a="1"/>
  <c r="L5815" i="1" s="1"/>
  <c r="R5815" i="1" a="1"/>
  <c r="R5815" i="1" s="1"/>
  <c r="N5815" i="1" a="1"/>
  <c r="N5815" i="1" s="1"/>
  <c r="M5815" i="1" a="1"/>
  <c r="M5815" i="1" s="1"/>
  <c r="P5815" i="1" a="1"/>
  <c r="P5815" i="1" s="1"/>
  <c r="S5815" i="1" a="1"/>
  <c r="S5815" i="1" s="1"/>
  <c r="I5797" i="1" l="1" a="1"/>
  <c r="I5797" i="1" s="1"/>
  <c r="K5797" i="1" a="1"/>
  <c r="K5797" i="1" s="1"/>
  <c r="C5798" i="1"/>
  <c r="O5798" i="1" s="1" a="1"/>
  <c r="O5798" i="1" s="1"/>
  <c r="H5797" i="1"/>
  <c r="J5797" i="1" a="1"/>
  <c r="J5797" i="1" s="1"/>
  <c r="L5816" i="1" a="1"/>
  <c r="L5816" i="1" s="1"/>
  <c r="B5817" i="1"/>
  <c r="M5816" i="1" a="1"/>
  <c r="M5816" i="1" s="1"/>
  <c r="P5816" i="1" a="1"/>
  <c r="P5816" i="1" s="1"/>
  <c r="N5816" i="1" a="1"/>
  <c r="N5816" i="1" s="1"/>
  <c r="S5816" i="1" a="1"/>
  <c r="S5816" i="1" s="1"/>
  <c r="Q5816" i="1" a="1"/>
  <c r="Q5816" i="1" s="1"/>
  <c r="R5816" i="1" a="1"/>
  <c r="R5816" i="1" s="1"/>
  <c r="I5798" i="1" l="1" a="1"/>
  <c r="I5798" i="1" s="1"/>
  <c r="K5798" i="1" a="1"/>
  <c r="K5798" i="1" s="1"/>
  <c r="C5799" i="1"/>
  <c r="O5799" i="1" s="1" a="1"/>
  <c r="O5799" i="1" s="1"/>
  <c r="H5798" i="1"/>
  <c r="J5798" i="1" a="1"/>
  <c r="J5798" i="1" s="1"/>
  <c r="R5817" i="1" a="1"/>
  <c r="R5817" i="1" s="1"/>
  <c r="N5817" i="1" a="1"/>
  <c r="N5817" i="1" s="1"/>
  <c r="P5817" i="1" a="1"/>
  <c r="P5817" i="1" s="1"/>
  <c r="L5817" i="1" a="1"/>
  <c r="L5817" i="1" s="1"/>
  <c r="M5817" i="1" a="1"/>
  <c r="M5817" i="1" s="1"/>
  <c r="S5817" i="1" a="1"/>
  <c r="S5817" i="1" s="1"/>
  <c r="Q5817" i="1" a="1"/>
  <c r="Q5817" i="1" s="1"/>
  <c r="B5818" i="1"/>
  <c r="I5799" i="1" l="1" a="1"/>
  <c r="I5799" i="1" s="1"/>
  <c r="K5799" i="1" a="1"/>
  <c r="K5799" i="1" s="1"/>
  <c r="C5800" i="1"/>
  <c r="O5800" i="1" s="1" a="1"/>
  <c r="O5800" i="1" s="1"/>
  <c r="H5799" i="1"/>
  <c r="J5799" i="1" a="1"/>
  <c r="J5799" i="1" s="1"/>
  <c r="M5818" i="1" a="1"/>
  <c r="M5818" i="1" s="1"/>
  <c r="S5818" i="1" a="1"/>
  <c r="S5818" i="1" s="1"/>
  <c r="R5818" i="1" a="1"/>
  <c r="R5818" i="1" s="1"/>
  <c r="P5818" i="1" a="1"/>
  <c r="P5818" i="1" s="1"/>
  <c r="N5818" i="1" a="1"/>
  <c r="N5818" i="1" s="1"/>
  <c r="L5818" i="1" a="1"/>
  <c r="L5818" i="1" s="1"/>
  <c r="B5819" i="1"/>
  <c r="Q5818" i="1" a="1"/>
  <c r="Q5818" i="1" s="1"/>
  <c r="I5800" i="1" l="1" a="1"/>
  <c r="I5800" i="1" s="1"/>
  <c r="K5800" i="1" a="1"/>
  <c r="K5800" i="1" s="1"/>
  <c r="C5801" i="1"/>
  <c r="O5801" i="1" s="1" a="1"/>
  <c r="O5801" i="1" s="1"/>
  <c r="H5800" i="1"/>
  <c r="J5800" i="1" a="1"/>
  <c r="J5800" i="1" s="1"/>
  <c r="B5820" i="1"/>
  <c r="L5819" i="1" a="1"/>
  <c r="L5819" i="1" s="1"/>
  <c r="N5819" i="1" a="1"/>
  <c r="N5819" i="1" s="1"/>
  <c r="S5819" i="1" a="1"/>
  <c r="S5819" i="1" s="1"/>
  <c r="R5819" i="1" a="1"/>
  <c r="R5819" i="1" s="1"/>
  <c r="Q5819" i="1" a="1"/>
  <c r="Q5819" i="1" s="1"/>
  <c r="M5819" i="1" a="1"/>
  <c r="M5819" i="1" s="1"/>
  <c r="P5819" i="1" a="1"/>
  <c r="P5819" i="1" s="1"/>
  <c r="I5801" i="1" l="1" a="1"/>
  <c r="I5801" i="1" s="1"/>
  <c r="K5801" i="1" a="1"/>
  <c r="K5801" i="1" s="1"/>
  <c r="C5802" i="1"/>
  <c r="O5802" i="1" s="1" a="1"/>
  <c r="O5802" i="1" s="1"/>
  <c r="H5801" i="1"/>
  <c r="J5801" i="1" a="1"/>
  <c r="J5801" i="1" s="1"/>
  <c r="L5820" i="1" a="1"/>
  <c r="L5820" i="1" s="1"/>
  <c r="N5820" i="1" a="1"/>
  <c r="N5820" i="1" s="1"/>
  <c r="S5820" i="1" a="1"/>
  <c r="S5820" i="1" s="1"/>
  <c r="M5820" i="1" a="1"/>
  <c r="M5820" i="1" s="1"/>
  <c r="P5820" i="1" a="1"/>
  <c r="P5820" i="1" s="1"/>
  <c r="R5820" i="1" a="1"/>
  <c r="R5820" i="1" s="1"/>
  <c r="Q5820" i="1" a="1"/>
  <c r="Q5820" i="1" s="1"/>
  <c r="B5821" i="1"/>
  <c r="I5802" i="1" l="1" a="1"/>
  <c r="I5802" i="1" s="1"/>
  <c r="K5802" i="1" a="1"/>
  <c r="K5802" i="1" s="1"/>
  <c r="C5803" i="1"/>
  <c r="O5803" i="1" s="1" a="1"/>
  <c r="O5803" i="1" s="1"/>
  <c r="H5802" i="1"/>
  <c r="J5802" i="1" a="1"/>
  <c r="J5802" i="1" s="1"/>
  <c r="B5822" i="1"/>
  <c r="P5821" i="1" a="1"/>
  <c r="P5821" i="1" s="1"/>
  <c r="S5821" i="1" a="1"/>
  <c r="S5821" i="1" s="1"/>
  <c r="Q5821" i="1" a="1"/>
  <c r="Q5821" i="1" s="1"/>
  <c r="N5821" i="1" a="1"/>
  <c r="N5821" i="1" s="1"/>
  <c r="L5821" i="1" a="1"/>
  <c r="L5821" i="1" s="1"/>
  <c r="M5821" i="1" a="1"/>
  <c r="M5821" i="1" s="1"/>
  <c r="R5821" i="1" a="1"/>
  <c r="R5821" i="1" s="1"/>
  <c r="I5803" i="1" l="1" a="1"/>
  <c r="I5803" i="1" s="1"/>
  <c r="K5803" i="1" a="1"/>
  <c r="K5803" i="1" s="1"/>
  <c r="C5804" i="1"/>
  <c r="O5804" i="1" s="1" a="1"/>
  <c r="O5804" i="1" s="1"/>
  <c r="H5803" i="1"/>
  <c r="J5803" i="1" a="1"/>
  <c r="J5803" i="1" s="1"/>
  <c r="M5822" i="1" a="1"/>
  <c r="M5822" i="1" s="1"/>
  <c r="S5822" i="1" a="1"/>
  <c r="S5822" i="1" s="1"/>
  <c r="P5822" i="1" a="1"/>
  <c r="P5822" i="1" s="1"/>
  <c r="N5822" i="1" a="1"/>
  <c r="N5822" i="1" s="1"/>
  <c r="B5823" i="1"/>
  <c r="R5822" i="1" a="1"/>
  <c r="R5822" i="1" s="1"/>
  <c r="L5822" i="1" a="1"/>
  <c r="L5822" i="1" s="1"/>
  <c r="Q5822" i="1" a="1"/>
  <c r="Q5822" i="1" s="1"/>
  <c r="I5804" i="1" l="1" a="1"/>
  <c r="I5804" i="1" s="1"/>
  <c r="K5804" i="1" a="1"/>
  <c r="K5804" i="1" s="1"/>
  <c r="C5805" i="1"/>
  <c r="O5805" i="1" s="1" a="1"/>
  <c r="O5805" i="1" s="1"/>
  <c r="H5804" i="1"/>
  <c r="J5804" i="1" a="1"/>
  <c r="J5804" i="1" s="1"/>
  <c r="P5823" i="1" a="1"/>
  <c r="P5823" i="1" s="1"/>
  <c r="L5823" i="1" a="1"/>
  <c r="L5823" i="1" s="1"/>
  <c r="R5823" i="1" a="1"/>
  <c r="R5823" i="1" s="1"/>
  <c r="N5823" i="1" a="1"/>
  <c r="N5823" i="1" s="1"/>
  <c r="B5824" i="1"/>
  <c r="S5823" i="1" a="1"/>
  <c r="S5823" i="1" s="1"/>
  <c r="Q5823" i="1" a="1"/>
  <c r="Q5823" i="1" s="1"/>
  <c r="M5823" i="1" a="1"/>
  <c r="M5823" i="1" s="1"/>
  <c r="I5805" i="1" l="1" a="1"/>
  <c r="I5805" i="1" s="1"/>
  <c r="K5805" i="1" a="1"/>
  <c r="K5805" i="1" s="1"/>
  <c r="C5806" i="1"/>
  <c r="O5806" i="1" s="1" a="1"/>
  <c r="O5806" i="1" s="1"/>
  <c r="H5805" i="1"/>
  <c r="J5805" i="1" a="1"/>
  <c r="J5805" i="1" s="1"/>
  <c r="N5824" i="1" a="1"/>
  <c r="N5824" i="1" s="1"/>
  <c r="B5825" i="1"/>
  <c r="P5824" i="1" a="1"/>
  <c r="P5824" i="1" s="1"/>
  <c r="S5824" i="1" a="1"/>
  <c r="S5824" i="1" s="1"/>
  <c r="L5824" i="1" a="1"/>
  <c r="L5824" i="1" s="1"/>
  <c r="Q5824" i="1" a="1"/>
  <c r="Q5824" i="1" s="1"/>
  <c r="M5824" i="1" a="1"/>
  <c r="M5824" i="1" s="1"/>
  <c r="R5824" i="1" a="1"/>
  <c r="R5824" i="1" s="1"/>
  <c r="I5806" i="1" l="1" a="1"/>
  <c r="I5806" i="1" s="1"/>
  <c r="K5806" i="1" a="1"/>
  <c r="K5806" i="1" s="1"/>
  <c r="C5807" i="1"/>
  <c r="O5807" i="1" s="1" a="1"/>
  <c r="O5807" i="1" s="1"/>
  <c r="H5806" i="1"/>
  <c r="J5806" i="1" a="1"/>
  <c r="J5806" i="1" s="1"/>
  <c r="M5825" i="1" a="1"/>
  <c r="M5825" i="1" s="1"/>
  <c r="B5826" i="1"/>
  <c r="R5825" i="1" a="1"/>
  <c r="R5825" i="1" s="1"/>
  <c r="N5825" i="1" a="1"/>
  <c r="N5825" i="1" s="1"/>
  <c r="L5825" i="1" a="1"/>
  <c r="L5825" i="1" s="1"/>
  <c r="S5825" i="1" a="1"/>
  <c r="S5825" i="1" s="1"/>
  <c r="Q5825" i="1" a="1"/>
  <c r="Q5825" i="1" s="1"/>
  <c r="P5825" i="1" a="1"/>
  <c r="P5825" i="1" s="1"/>
  <c r="I5807" i="1" l="1" a="1"/>
  <c r="I5807" i="1" s="1"/>
  <c r="K5807" i="1" a="1"/>
  <c r="K5807" i="1" s="1"/>
  <c r="C5808" i="1"/>
  <c r="O5808" i="1" s="1" a="1"/>
  <c r="O5808" i="1" s="1"/>
  <c r="H5807" i="1"/>
  <c r="J5807" i="1" a="1"/>
  <c r="J5807" i="1" s="1"/>
  <c r="S5826" i="1" a="1"/>
  <c r="S5826" i="1" s="1"/>
  <c r="P5826" i="1" a="1"/>
  <c r="P5826" i="1" s="1"/>
  <c r="Q5826" i="1" a="1"/>
  <c r="Q5826" i="1" s="1"/>
  <c r="N5826" i="1" a="1"/>
  <c r="N5826" i="1" s="1"/>
  <c r="L5826" i="1" a="1"/>
  <c r="L5826" i="1" s="1"/>
  <c r="R5826" i="1" a="1"/>
  <c r="R5826" i="1" s="1"/>
  <c r="M5826" i="1" a="1"/>
  <c r="M5826" i="1" s="1"/>
  <c r="B5827" i="1"/>
  <c r="I5808" i="1" l="1" a="1"/>
  <c r="I5808" i="1" s="1"/>
  <c r="K5808" i="1" a="1"/>
  <c r="K5808" i="1" s="1"/>
  <c r="C5809" i="1"/>
  <c r="O5809" i="1" s="1" a="1"/>
  <c r="O5809" i="1" s="1"/>
  <c r="H5808" i="1"/>
  <c r="J5808" i="1" a="1"/>
  <c r="J5808" i="1" s="1"/>
  <c r="L5827" i="1" a="1"/>
  <c r="L5827" i="1" s="1"/>
  <c r="R5827" i="1" a="1"/>
  <c r="R5827" i="1" s="1"/>
  <c r="B5828" i="1"/>
  <c r="M5827" i="1" a="1"/>
  <c r="M5827" i="1" s="1"/>
  <c r="N5827" i="1" a="1"/>
  <c r="N5827" i="1" s="1"/>
  <c r="P5827" i="1" a="1"/>
  <c r="P5827" i="1" s="1"/>
  <c r="S5827" i="1" a="1"/>
  <c r="S5827" i="1" s="1"/>
  <c r="Q5827" i="1" a="1"/>
  <c r="Q5827" i="1" s="1"/>
  <c r="I5809" i="1" l="1" a="1"/>
  <c r="I5809" i="1" s="1"/>
  <c r="K5809" i="1" a="1"/>
  <c r="K5809" i="1" s="1"/>
  <c r="C5810" i="1"/>
  <c r="O5810" i="1" s="1" a="1"/>
  <c r="O5810" i="1" s="1"/>
  <c r="H5809" i="1"/>
  <c r="J5809" i="1" a="1"/>
  <c r="J5809" i="1" s="1"/>
  <c r="Q5828" i="1" a="1"/>
  <c r="Q5828" i="1" s="1"/>
  <c r="R5828" i="1" a="1"/>
  <c r="R5828" i="1" s="1"/>
  <c r="S5828" i="1" a="1"/>
  <c r="S5828" i="1" s="1"/>
  <c r="L5828" i="1" a="1"/>
  <c r="L5828" i="1" s="1"/>
  <c r="P5828" i="1" a="1"/>
  <c r="P5828" i="1" s="1"/>
  <c r="M5828" i="1" a="1"/>
  <c r="M5828" i="1" s="1"/>
  <c r="N5828" i="1" a="1"/>
  <c r="N5828" i="1" s="1"/>
  <c r="B5829" i="1"/>
  <c r="D167" i="2" l="1"/>
  <c r="I5810" i="1" a="1"/>
  <c r="I5810" i="1" s="1"/>
  <c r="K5810" i="1" a="1"/>
  <c r="K5810" i="1" s="1"/>
  <c r="C5811" i="1"/>
  <c r="O5811" i="1" s="1" a="1"/>
  <c r="O5811" i="1" s="1"/>
  <c r="H5810" i="1"/>
  <c r="J5810" i="1" a="1"/>
  <c r="J5810" i="1" s="1"/>
  <c r="N5829" i="1" a="1"/>
  <c r="N5829" i="1" s="1"/>
  <c r="R5829" i="1" a="1"/>
  <c r="R5829" i="1" s="1"/>
  <c r="M5829" i="1" a="1"/>
  <c r="M5829" i="1" s="1"/>
  <c r="Q5829" i="1" a="1"/>
  <c r="Q5829" i="1" s="1"/>
  <c r="L5829" i="1" a="1"/>
  <c r="L5829" i="1" s="1"/>
  <c r="B5830" i="1"/>
  <c r="D84" i="2" s="1"/>
  <c r="P5829" i="1" a="1"/>
  <c r="P5829" i="1" s="1"/>
  <c r="S5829" i="1" a="1"/>
  <c r="S5829" i="1" s="1"/>
  <c r="D164" i="2" l="1"/>
  <c r="D127" i="2"/>
  <c r="D15" i="2"/>
  <c r="D2" i="2"/>
  <c r="D110" i="2"/>
  <c r="D165" i="2"/>
  <c r="D113" i="2"/>
  <c r="D133" i="2"/>
  <c r="D78" i="2"/>
  <c r="D121" i="2"/>
  <c r="D74" i="2"/>
  <c r="I5811" i="1" a="1"/>
  <c r="I5811" i="1" s="1"/>
  <c r="K5811" i="1" a="1"/>
  <c r="K5811" i="1" s="1"/>
  <c r="C5812" i="1"/>
  <c r="O5812" i="1" s="1" a="1"/>
  <c r="O5812" i="1" s="1"/>
  <c r="H5811" i="1"/>
  <c r="J5811" i="1" a="1"/>
  <c r="J5811" i="1" s="1"/>
  <c r="S5830" i="1" a="1"/>
  <c r="S5830" i="1" s="1"/>
  <c r="M5830" i="1" a="1"/>
  <c r="M5830" i="1" s="1"/>
  <c r="P5830" i="1" a="1"/>
  <c r="P5830" i="1" s="1"/>
  <c r="B5831" i="1"/>
  <c r="L5830" i="1" a="1"/>
  <c r="L5830" i="1" s="1"/>
  <c r="Q5830" i="1" a="1"/>
  <c r="Q5830" i="1" s="1"/>
  <c r="N5830" i="1" a="1"/>
  <c r="N5830" i="1" s="1"/>
  <c r="R5830" i="1" a="1"/>
  <c r="R5830" i="1" s="1"/>
  <c r="D61" i="2" l="1"/>
  <c r="D73" i="2"/>
  <c r="D138" i="2"/>
  <c r="D50" i="2"/>
  <c r="I5812" i="1" a="1"/>
  <c r="I5812" i="1" s="1"/>
  <c r="K5812" i="1" a="1"/>
  <c r="K5812" i="1" s="1"/>
  <c r="C5813" i="1"/>
  <c r="O5813" i="1" s="1" a="1"/>
  <c r="O5813" i="1" s="1"/>
  <c r="H5812" i="1"/>
  <c r="J5812" i="1" a="1"/>
  <c r="J5812" i="1" s="1"/>
  <c r="L5831" i="1" a="1"/>
  <c r="L5831" i="1" s="1"/>
  <c r="R5831" i="1" a="1"/>
  <c r="R5831" i="1" s="1"/>
  <c r="B5832" i="1"/>
  <c r="S5831" i="1" a="1"/>
  <c r="S5831" i="1" s="1"/>
  <c r="M5831" i="1" a="1"/>
  <c r="M5831" i="1" s="1"/>
  <c r="Q5831" i="1" a="1"/>
  <c r="Q5831" i="1" s="1"/>
  <c r="P5831" i="1" a="1"/>
  <c r="P5831" i="1" s="1"/>
  <c r="N5831" i="1" a="1"/>
  <c r="N5831" i="1" s="1"/>
  <c r="I5813" i="1" l="1" a="1"/>
  <c r="I5813" i="1" s="1"/>
  <c r="K5813" i="1" a="1"/>
  <c r="K5813" i="1" s="1"/>
  <c r="C5814" i="1"/>
  <c r="O5814" i="1" s="1" a="1"/>
  <c r="O5814" i="1" s="1"/>
  <c r="H5813" i="1"/>
  <c r="J5813" i="1" a="1"/>
  <c r="J5813" i="1" s="1"/>
  <c r="S5832" i="1" a="1"/>
  <c r="S5832" i="1" s="1"/>
  <c r="L5832" i="1" a="1"/>
  <c r="L5832" i="1" s="1"/>
  <c r="B5833" i="1"/>
  <c r="M5832" i="1" a="1"/>
  <c r="M5832" i="1" s="1"/>
  <c r="Q5832" i="1" a="1"/>
  <c r="Q5832" i="1" s="1"/>
  <c r="N5832" i="1" a="1"/>
  <c r="N5832" i="1" s="1"/>
  <c r="R5832" i="1" a="1"/>
  <c r="R5832" i="1" s="1"/>
  <c r="P5832" i="1" a="1"/>
  <c r="P5832" i="1" s="1"/>
  <c r="I5814" i="1" l="1" a="1"/>
  <c r="I5814" i="1" s="1"/>
  <c r="K5814" i="1" a="1"/>
  <c r="K5814" i="1" s="1"/>
  <c r="C5815" i="1"/>
  <c r="O5815" i="1" s="1" a="1"/>
  <c r="O5815" i="1" s="1"/>
  <c r="H5814" i="1"/>
  <c r="J5814" i="1" a="1"/>
  <c r="J5814" i="1" s="1"/>
  <c r="M5833" i="1" a="1"/>
  <c r="M5833" i="1" s="1"/>
  <c r="N5833" i="1" a="1"/>
  <c r="N5833" i="1" s="1"/>
  <c r="B5834" i="1"/>
  <c r="R5833" i="1" a="1"/>
  <c r="R5833" i="1" s="1"/>
  <c r="Q5833" i="1" a="1"/>
  <c r="Q5833" i="1" s="1"/>
  <c r="S5833" i="1" a="1"/>
  <c r="S5833" i="1" s="1"/>
  <c r="L5833" i="1" a="1"/>
  <c r="L5833" i="1" s="1"/>
  <c r="P5833" i="1" a="1"/>
  <c r="P5833" i="1" s="1"/>
  <c r="I5815" i="1" l="1" a="1"/>
  <c r="I5815" i="1" s="1"/>
  <c r="K5815" i="1" a="1"/>
  <c r="K5815" i="1" s="1"/>
  <c r="C5816" i="1"/>
  <c r="O5816" i="1" s="1" a="1"/>
  <c r="O5816" i="1" s="1"/>
  <c r="H5815" i="1"/>
  <c r="J5815" i="1" a="1"/>
  <c r="J5815" i="1" s="1"/>
  <c r="S5834" i="1" a="1"/>
  <c r="S5834" i="1" s="1"/>
  <c r="M5834" i="1" a="1"/>
  <c r="M5834" i="1" s="1"/>
  <c r="B5835" i="1"/>
  <c r="Q5834" i="1" a="1"/>
  <c r="Q5834" i="1" s="1"/>
  <c r="N5834" i="1" a="1"/>
  <c r="N5834" i="1" s="1"/>
  <c r="P5834" i="1" a="1"/>
  <c r="P5834" i="1" s="1"/>
  <c r="L5834" i="1" a="1"/>
  <c r="L5834" i="1" s="1"/>
  <c r="R5834" i="1" a="1"/>
  <c r="R5834" i="1" s="1"/>
  <c r="I5816" i="1" l="1" a="1"/>
  <c r="I5816" i="1" s="1"/>
  <c r="K5816" i="1" a="1"/>
  <c r="K5816" i="1" s="1"/>
  <c r="C5817" i="1"/>
  <c r="O5817" i="1" s="1" a="1"/>
  <c r="O5817" i="1" s="1"/>
  <c r="H5816" i="1"/>
  <c r="J5816" i="1" a="1"/>
  <c r="J5816" i="1" s="1"/>
  <c r="L5835" i="1" a="1"/>
  <c r="L5835" i="1" s="1"/>
  <c r="R5835" i="1" a="1"/>
  <c r="R5835" i="1" s="1"/>
  <c r="S5835" i="1" a="1"/>
  <c r="S5835" i="1" s="1"/>
  <c r="B5836" i="1"/>
  <c r="M5835" i="1" a="1"/>
  <c r="M5835" i="1" s="1"/>
  <c r="P5835" i="1" a="1"/>
  <c r="P5835" i="1" s="1"/>
  <c r="Q5835" i="1" a="1"/>
  <c r="Q5835" i="1" s="1"/>
  <c r="N5835" i="1" a="1"/>
  <c r="N5835" i="1" s="1"/>
  <c r="I5817" i="1" l="1" a="1"/>
  <c r="I5817" i="1" s="1"/>
  <c r="K5817" i="1" a="1"/>
  <c r="K5817" i="1" s="1"/>
  <c r="C5818" i="1"/>
  <c r="O5818" i="1" s="1" a="1"/>
  <c r="O5818" i="1" s="1"/>
  <c r="H5817" i="1"/>
  <c r="J5817" i="1" a="1"/>
  <c r="J5817" i="1" s="1"/>
  <c r="Q5836" i="1" a="1"/>
  <c r="Q5836" i="1" s="1"/>
  <c r="N5836" i="1" a="1"/>
  <c r="N5836" i="1" s="1"/>
  <c r="S5836" i="1" a="1"/>
  <c r="S5836" i="1" s="1"/>
  <c r="R5836" i="1" a="1"/>
  <c r="R5836" i="1" s="1"/>
  <c r="P5836" i="1" a="1"/>
  <c r="P5836" i="1" s="1"/>
  <c r="M5836" i="1" a="1"/>
  <c r="M5836" i="1" s="1"/>
  <c r="L5836" i="1" a="1"/>
  <c r="L5836" i="1" s="1"/>
  <c r="B5837" i="1"/>
  <c r="I5818" i="1" l="1" a="1"/>
  <c r="I5818" i="1" s="1"/>
  <c r="K5818" i="1" a="1"/>
  <c r="K5818" i="1" s="1"/>
  <c r="C5819" i="1"/>
  <c r="O5819" i="1" s="1" a="1"/>
  <c r="O5819" i="1" s="1"/>
  <c r="H5818" i="1"/>
  <c r="J5818" i="1" a="1"/>
  <c r="J5818" i="1" s="1"/>
  <c r="M5837" i="1" a="1"/>
  <c r="M5837" i="1" s="1"/>
  <c r="R5837" i="1" a="1"/>
  <c r="R5837" i="1" s="1"/>
  <c r="L5837" i="1" a="1"/>
  <c r="L5837" i="1" s="1"/>
  <c r="N5837" i="1" a="1"/>
  <c r="N5837" i="1" s="1"/>
  <c r="B5838" i="1"/>
  <c r="Q5837" i="1" a="1"/>
  <c r="Q5837" i="1" s="1"/>
  <c r="S5837" i="1" a="1"/>
  <c r="S5837" i="1" s="1"/>
  <c r="P5837" i="1" a="1"/>
  <c r="P5837" i="1" s="1"/>
  <c r="I5819" i="1" l="1" a="1"/>
  <c r="I5819" i="1" s="1"/>
  <c r="K5819" i="1" a="1"/>
  <c r="K5819" i="1" s="1"/>
  <c r="C5820" i="1"/>
  <c r="O5820" i="1" s="1" a="1"/>
  <c r="O5820" i="1" s="1"/>
  <c r="H5819" i="1"/>
  <c r="J5819" i="1" a="1"/>
  <c r="J5819" i="1" s="1"/>
  <c r="B5839" i="1"/>
  <c r="L5838" i="1" a="1"/>
  <c r="L5838" i="1" s="1"/>
  <c r="P5838" i="1" a="1"/>
  <c r="P5838" i="1" s="1"/>
  <c r="S5838" i="1" a="1"/>
  <c r="S5838" i="1" s="1"/>
  <c r="M5838" i="1" a="1"/>
  <c r="M5838" i="1" s="1"/>
  <c r="Q5838" i="1" a="1"/>
  <c r="Q5838" i="1" s="1"/>
  <c r="N5838" i="1" a="1"/>
  <c r="N5838" i="1" s="1"/>
  <c r="R5838" i="1" a="1"/>
  <c r="R5838" i="1" s="1"/>
  <c r="I5820" i="1" l="1" a="1"/>
  <c r="I5820" i="1" s="1"/>
  <c r="K5820" i="1" a="1"/>
  <c r="K5820" i="1" s="1"/>
  <c r="C5821" i="1"/>
  <c r="O5821" i="1" s="1" a="1"/>
  <c r="O5821" i="1" s="1"/>
  <c r="H5820" i="1"/>
  <c r="J5820" i="1" a="1"/>
  <c r="J5820" i="1" s="1"/>
  <c r="L5839" i="1" a="1"/>
  <c r="L5839" i="1" s="1"/>
  <c r="R5839" i="1" a="1"/>
  <c r="R5839" i="1" s="1"/>
  <c r="B5840" i="1"/>
  <c r="P5839" i="1" a="1"/>
  <c r="P5839" i="1" s="1"/>
  <c r="S5839" i="1" a="1"/>
  <c r="S5839" i="1" s="1"/>
  <c r="M5839" i="1" a="1"/>
  <c r="M5839" i="1" s="1"/>
  <c r="Q5839" i="1" a="1"/>
  <c r="Q5839" i="1" s="1"/>
  <c r="N5839" i="1" a="1"/>
  <c r="N5839" i="1" s="1"/>
  <c r="I5821" i="1" l="1" a="1"/>
  <c r="I5821" i="1" s="1"/>
  <c r="K5821" i="1" a="1"/>
  <c r="K5821" i="1" s="1"/>
  <c r="C5822" i="1"/>
  <c r="O5822" i="1" s="1" a="1"/>
  <c r="O5822" i="1" s="1"/>
  <c r="H5821" i="1"/>
  <c r="J5821" i="1" a="1"/>
  <c r="J5821" i="1" s="1"/>
  <c r="Q5840" i="1" a="1"/>
  <c r="Q5840" i="1" s="1"/>
  <c r="R5840" i="1" a="1"/>
  <c r="R5840" i="1" s="1"/>
  <c r="N5840" i="1" a="1"/>
  <c r="N5840" i="1" s="1"/>
  <c r="B5841" i="1"/>
  <c r="M5840" i="1" a="1"/>
  <c r="M5840" i="1" s="1"/>
  <c r="S5840" i="1" a="1"/>
  <c r="S5840" i="1" s="1"/>
  <c r="L5840" i="1" a="1"/>
  <c r="L5840" i="1" s="1"/>
  <c r="P5840" i="1" a="1"/>
  <c r="P5840" i="1" s="1"/>
  <c r="I5822" i="1" l="1" a="1"/>
  <c r="I5822" i="1" s="1"/>
  <c r="K5822" i="1" a="1"/>
  <c r="K5822" i="1" s="1"/>
  <c r="C5823" i="1"/>
  <c r="O5823" i="1" s="1" a="1"/>
  <c r="O5823" i="1" s="1"/>
  <c r="H5822" i="1"/>
  <c r="J5822" i="1" a="1"/>
  <c r="J5822" i="1" s="1"/>
  <c r="M5841" i="1" a="1"/>
  <c r="M5841" i="1" s="1"/>
  <c r="Q5841" i="1" a="1"/>
  <c r="Q5841" i="1" s="1"/>
  <c r="R5841" i="1" a="1"/>
  <c r="R5841" i="1" s="1"/>
  <c r="B5842" i="1"/>
  <c r="S5841" i="1" a="1"/>
  <c r="S5841" i="1" s="1"/>
  <c r="P5841" i="1" a="1"/>
  <c r="P5841" i="1" s="1"/>
  <c r="N5841" i="1" a="1"/>
  <c r="N5841" i="1" s="1"/>
  <c r="L5841" i="1" a="1"/>
  <c r="L5841" i="1" s="1"/>
  <c r="I5823" i="1" l="1" a="1"/>
  <c r="I5823" i="1" s="1"/>
  <c r="K5823" i="1" a="1"/>
  <c r="K5823" i="1" s="1"/>
  <c r="C5824" i="1"/>
  <c r="O5824" i="1" s="1" a="1"/>
  <c r="O5824" i="1" s="1"/>
  <c r="H5823" i="1"/>
  <c r="J5823" i="1" a="1"/>
  <c r="J5823" i="1" s="1"/>
  <c r="S5842" i="1" a="1"/>
  <c r="S5842" i="1" s="1"/>
  <c r="B5843" i="1"/>
  <c r="L5842" i="1" a="1"/>
  <c r="L5842" i="1" s="1"/>
  <c r="P5842" i="1" a="1"/>
  <c r="P5842" i="1" s="1"/>
  <c r="M5842" i="1" a="1"/>
  <c r="M5842" i="1" s="1"/>
  <c r="Q5842" i="1" a="1"/>
  <c r="Q5842" i="1" s="1"/>
  <c r="N5842" i="1" a="1"/>
  <c r="N5842" i="1" s="1"/>
  <c r="R5842" i="1" a="1"/>
  <c r="R5842" i="1" s="1"/>
  <c r="I5824" i="1" l="1" a="1"/>
  <c r="I5824" i="1" s="1"/>
  <c r="K5824" i="1" a="1"/>
  <c r="K5824" i="1" s="1"/>
  <c r="C5825" i="1"/>
  <c r="O5825" i="1" s="1" a="1"/>
  <c r="O5825" i="1" s="1"/>
  <c r="H5824" i="1"/>
  <c r="J5824" i="1" a="1"/>
  <c r="J5824" i="1" s="1"/>
  <c r="L5843" i="1" a="1"/>
  <c r="L5843" i="1" s="1"/>
  <c r="R5843" i="1" a="1"/>
  <c r="R5843" i="1" s="1"/>
  <c r="P5843" i="1" a="1"/>
  <c r="P5843" i="1" s="1"/>
  <c r="S5843" i="1" a="1"/>
  <c r="S5843" i="1" s="1"/>
  <c r="B5844" i="1"/>
  <c r="M5843" i="1" a="1"/>
  <c r="M5843" i="1" s="1"/>
  <c r="Q5843" i="1" a="1"/>
  <c r="Q5843" i="1" s="1"/>
  <c r="N5843" i="1" a="1"/>
  <c r="N5843" i="1" s="1"/>
  <c r="I5825" i="1" l="1" a="1"/>
  <c r="I5825" i="1" s="1"/>
  <c r="K5825" i="1" a="1"/>
  <c r="K5825" i="1" s="1"/>
  <c r="C5826" i="1"/>
  <c r="O5826" i="1" s="1" a="1"/>
  <c r="O5826" i="1" s="1"/>
  <c r="H5825" i="1"/>
  <c r="J5825" i="1" a="1"/>
  <c r="J5825" i="1" s="1"/>
  <c r="Q5844" i="1" a="1"/>
  <c r="Q5844" i="1" s="1"/>
  <c r="R5844" i="1" a="1"/>
  <c r="R5844" i="1" s="1"/>
  <c r="S5844" i="1" a="1"/>
  <c r="S5844" i="1" s="1"/>
  <c r="N5844" i="1" a="1"/>
  <c r="N5844" i="1" s="1"/>
  <c r="L5844" i="1" a="1"/>
  <c r="L5844" i="1" s="1"/>
  <c r="P5844" i="1" a="1"/>
  <c r="P5844" i="1" s="1"/>
  <c r="B5845" i="1"/>
  <c r="M5844" i="1" a="1"/>
  <c r="M5844" i="1" s="1"/>
  <c r="I5826" i="1" l="1" a="1"/>
  <c r="I5826" i="1" s="1"/>
  <c r="K5826" i="1" a="1"/>
  <c r="K5826" i="1" s="1"/>
  <c r="C5827" i="1"/>
  <c r="O5827" i="1" s="1" a="1"/>
  <c r="O5827" i="1" s="1"/>
  <c r="H5826" i="1"/>
  <c r="J5826" i="1" a="1"/>
  <c r="J5826" i="1" s="1"/>
  <c r="Q5845" i="1" a="1"/>
  <c r="Q5845" i="1" s="1"/>
  <c r="B5846" i="1"/>
  <c r="R5845" i="1" a="1"/>
  <c r="R5845" i="1" s="1"/>
  <c r="L5845" i="1" a="1"/>
  <c r="L5845" i="1" s="1"/>
  <c r="N5845" i="1" a="1"/>
  <c r="N5845" i="1" s="1"/>
  <c r="M5845" i="1" a="1"/>
  <c r="M5845" i="1" s="1"/>
  <c r="S5845" i="1" a="1"/>
  <c r="S5845" i="1" s="1"/>
  <c r="P5845" i="1" a="1"/>
  <c r="P5845" i="1" s="1"/>
  <c r="I5827" i="1" l="1" a="1"/>
  <c r="I5827" i="1" s="1"/>
  <c r="K5827" i="1" a="1"/>
  <c r="K5827" i="1" s="1"/>
  <c r="C5828" i="1"/>
  <c r="O5828" i="1" s="1" a="1"/>
  <c r="O5828" i="1" s="1"/>
  <c r="H5827" i="1"/>
  <c r="J5827" i="1" a="1"/>
  <c r="J5827" i="1" s="1"/>
  <c r="L5846" i="1" a="1"/>
  <c r="L5846" i="1" s="1"/>
  <c r="B5847" i="1"/>
  <c r="R5846" i="1" a="1"/>
  <c r="R5846" i="1" s="1"/>
  <c r="S5846" i="1" a="1"/>
  <c r="S5846" i="1" s="1"/>
  <c r="M5846" i="1" a="1"/>
  <c r="M5846" i="1" s="1"/>
  <c r="P5846" i="1" a="1"/>
  <c r="P5846" i="1" s="1"/>
  <c r="Q5846" i="1" a="1"/>
  <c r="Q5846" i="1" s="1"/>
  <c r="N5846" i="1" a="1"/>
  <c r="N5846" i="1" s="1"/>
  <c r="I5828" i="1" l="1" a="1"/>
  <c r="I5828" i="1" s="1"/>
  <c r="K5828" i="1" a="1"/>
  <c r="K5828" i="1" s="1"/>
  <c r="C5829" i="1"/>
  <c r="O5829" i="1" s="1" a="1"/>
  <c r="O5829" i="1" s="1"/>
  <c r="H5828" i="1"/>
  <c r="J5828" i="1" a="1"/>
  <c r="J5828" i="1" s="1"/>
  <c r="L5847" i="1" a="1"/>
  <c r="L5847" i="1" s="1"/>
  <c r="B5848" i="1"/>
  <c r="S5847" i="1" a="1"/>
  <c r="S5847" i="1" s="1"/>
  <c r="M5847" i="1" a="1"/>
  <c r="M5847" i="1" s="1"/>
  <c r="P5847" i="1" a="1"/>
  <c r="P5847" i="1" s="1"/>
  <c r="R5847" i="1" a="1"/>
  <c r="R5847" i="1" s="1"/>
  <c r="Q5847" i="1" a="1"/>
  <c r="Q5847" i="1" s="1"/>
  <c r="N5847" i="1" a="1"/>
  <c r="N5847" i="1" s="1"/>
  <c r="I5829" i="1" l="1" a="1"/>
  <c r="I5829" i="1" s="1"/>
  <c r="K5829" i="1" a="1"/>
  <c r="K5829" i="1" s="1"/>
  <c r="C5830" i="1"/>
  <c r="O5830" i="1" s="1" a="1"/>
  <c r="O5830" i="1" s="1"/>
  <c r="H5829" i="1"/>
  <c r="J5829" i="1" a="1"/>
  <c r="J5829" i="1" s="1"/>
  <c r="R5848" i="1" a="1"/>
  <c r="R5848" i="1" s="1"/>
  <c r="N5848" i="1" a="1"/>
  <c r="N5848" i="1" s="1"/>
  <c r="S5848" i="1" a="1"/>
  <c r="S5848" i="1" s="1"/>
  <c r="M5848" i="1" a="1"/>
  <c r="M5848" i="1" s="1"/>
  <c r="P5848" i="1" a="1"/>
  <c r="P5848" i="1" s="1"/>
  <c r="Q5848" i="1" a="1"/>
  <c r="Q5848" i="1" s="1"/>
  <c r="L5848" i="1" a="1"/>
  <c r="L5848" i="1" s="1"/>
  <c r="B5849" i="1"/>
  <c r="I5830" i="1" l="1" a="1"/>
  <c r="I5830" i="1" s="1"/>
  <c r="K5830" i="1" a="1"/>
  <c r="K5830" i="1" s="1"/>
  <c r="C5831" i="1"/>
  <c r="O5831" i="1" s="1" a="1"/>
  <c r="O5831" i="1" s="1"/>
  <c r="H5830" i="1"/>
  <c r="J5830" i="1" a="1"/>
  <c r="J5830" i="1" s="1"/>
  <c r="B5850" i="1"/>
  <c r="M5849" i="1" a="1"/>
  <c r="M5849" i="1" s="1"/>
  <c r="R5849" i="1" a="1"/>
  <c r="R5849" i="1" s="1"/>
  <c r="Q5849" i="1" a="1"/>
  <c r="Q5849" i="1" s="1"/>
  <c r="P5849" i="1" a="1"/>
  <c r="P5849" i="1" s="1"/>
  <c r="N5849" i="1" a="1"/>
  <c r="N5849" i="1" s="1"/>
  <c r="S5849" i="1" a="1"/>
  <c r="S5849" i="1" s="1"/>
  <c r="L5849" i="1" a="1"/>
  <c r="L5849" i="1" s="1"/>
  <c r="I5831" i="1" l="1" a="1"/>
  <c r="I5831" i="1" s="1"/>
  <c r="K5831" i="1" a="1"/>
  <c r="K5831" i="1" s="1"/>
  <c r="C5832" i="1"/>
  <c r="O5832" i="1" s="1" a="1"/>
  <c r="O5832" i="1" s="1"/>
  <c r="H5831" i="1"/>
  <c r="J5831" i="1" a="1"/>
  <c r="J5831" i="1" s="1"/>
  <c r="B5851" i="1"/>
  <c r="M5850" i="1" a="1"/>
  <c r="M5850" i="1" s="1"/>
  <c r="Q5850" i="1" a="1"/>
  <c r="Q5850" i="1" s="1"/>
  <c r="L5850" i="1" a="1"/>
  <c r="L5850" i="1" s="1"/>
  <c r="S5850" i="1" a="1"/>
  <c r="S5850" i="1" s="1"/>
  <c r="R5850" i="1" a="1"/>
  <c r="R5850" i="1" s="1"/>
  <c r="P5850" i="1" a="1"/>
  <c r="P5850" i="1" s="1"/>
  <c r="N5850" i="1" a="1"/>
  <c r="N5850" i="1" s="1"/>
  <c r="I5832" i="1" l="1" a="1"/>
  <c r="I5832" i="1" s="1"/>
  <c r="K5832" i="1" a="1"/>
  <c r="K5832" i="1" s="1"/>
  <c r="C5833" i="1"/>
  <c r="O5833" i="1" s="1" a="1"/>
  <c r="O5833" i="1" s="1"/>
  <c r="H5832" i="1"/>
  <c r="J5832" i="1" a="1"/>
  <c r="J5832" i="1" s="1"/>
  <c r="R5851" i="1" a="1"/>
  <c r="R5851" i="1" s="1"/>
  <c r="L5851" i="1" a="1"/>
  <c r="L5851" i="1" s="1"/>
  <c r="P5851" i="1" a="1"/>
  <c r="P5851" i="1" s="1"/>
  <c r="B5852" i="1"/>
  <c r="N5851" i="1" a="1"/>
  <c r="N5851" i="1" s="1"/>
  <c r="S5851" i="1" a="1"/>
  <c r="S5851" i="1" s="1"/>
  <c r="Q5851" i="1" a="1"/>
  <c r="Q5851" i="1" s="1"/>
  <c r="M5851" i="1" a="1"/>
  <c r="M5851" i="1" s="1"/>
  <c r="I5833" i="1" l="1" a="1"/>
  <c r="I5833" i="1" s="1"/>
  <c r="K5833" i="1" a="1"/>
  <c r="K5833" i="1" s="1"/>
  <c r="C5834" i="1"/>
  <c r="O5834" i="1" s="1" a="1"/>
  <c r="O5834" i="1" s="1"/>
  <c r="H5833" i="1"/>
  <c r="J5833" i="1" a="1"/>
  <c r="J5833" i="1" s="1"/>
  <c r="Q5852" i="1" a="1"/>
  <c r="Q5852" i="1" s="1"/>
  <c r="S5852" i="1" a="1"/>
  <c r="S5852" i="1" s="1"/>
  <c r="L5852" i="1" a="1"/>
  <c r="L5852" i="1" s="1"/>
  <c r="P5852" i="1" a="1"/>
  <c r="P5852" i="1" s="1"/>
  <c r="B5853" i="1"/>
  <c r="R5852" i="1" a="1"/>
  <c r="R5852" i="1" s="1"/>
  <c r="M5852" i="1" a="1"/>
  <c r="M5852" i="1" s="1"/>
  <c r="N5852" i="1" a="1"/>
  <c r="N5852" i="1" s="1"/>
  <c r="I5834" i="1" l="1" a="1"/>
  <c r="I5834" i="1" s="1"/>
  <c r="K5834" i="1" a="1"/>
  <c r="K5834" i="1" s="1"/>
  <c r="C5835" i="1"/>
  <c r="O5835" i="1" s="1" a="1"/>
  <c r="O5835" i="1" s="1"/>
  <c r="H5834" i="1"/>
  <c r="J5834" i="1" a="1"/>
  <c r="J5834" i="1" s="1"/>
  <c r="P5853" i="1" a="1"/>
  <c r="P5853" i="1" s="1"/>
  <c r="L5853" i="1" a="1"/>
  <c r="L5853" i="1" s="1"/>
  <c r="N5853" i="1" a="1"/>
  <c r="N5853" i="1" s="1"/>
  <c r="B5854" i="1"/>
  <c r="M5853" i="1" a="1"/>
  <c r="M5853" i="1" s="1"/>
  <c r="Q5853" i="1" a="1"/>
  <c r="Q5853" i="1" s="1"/>
  <c r="R5853" i="1" a="1"/>
  <c r="R5853" i="1" s="1"/>
  <c r="S5853" i="1" a="1"/>
  <c r="S5853" i="1" s="1"/>
  <c r="I5835" i="1" l="1" a="1"/>
  <c r="I5835" i="1" s="1"/>
  <c r="K5835" i="1" a="1"/>
  <c r="K5835" i="1" s="1"/>
  <c r="C5836" i="1"/>
  <c r="O5836" i="1" s="1" a="1"/>
  <c r="O5836" i="1" s="1"/>
  <c r="H5835" i="1"/>
  <c r="J5835" i="1" a="1"/>
  <c r="J5835" i="1" s="1"/>
  <c r="P5854" i="1" a="1"/>
  <c r="P5854" i="1" s="1"/>
  <c r="L5854" i="1" a="1"/>
  <c r="L5854" i="1" s="1"/>
  <c r="Q5854" i="1" a="1"/>
  <c r="Q5854" i="1" s="1"/>
  <c r="N5854" i="1" a="1"/>
  <c r="N5854" i="1" s="1"/>
  <c r="M5854" i="1" a="1"/>
  <c r="M5854" i="1" s="1"/>
  <c r="B5855" i="1"/>
  <c r="R5854" i="1" a="1"/>
  <c r="R5854" i="1" s="1"/>
  <c r="S5854" i="1" a="1"/>
  <c r="S5854" i="1" s="1"/>
  <c r="I5836" i="1" l="1" a="1"/>
  <c r="I5836" i="1" s="1"/>
  <c r="K5836" i="1" a="1"/>
  <c r="K5836" i="1" s="1"/>
  <c r="C5837" i="1"/>
  <c r="O5837" i="1" s="1" a="1"/>
  <c r="O5837" i="1" s="1"/>
  <c r="H5836" i="1"/>
  <c r="J5836" i="1" a="1"/>
  <c r="J5836" i="1" s="1"/>
  <c r="L5855" i="1" a="1"/>
  <c r="L5855" i="1" s="1"/>
  <c r="N5855" i="1" a="1"/>
  <c r="N5855" i="1" s="1"/>
  <c r="P5855" i="1" a="1"/>
  <c r="P5855" i="1" s="1"/>
  <c r="S5855" i="1" a="1"/>
  <c r="S5855" i="1" s="1"/>
  <c r="B5856" i="1"/>
  <c r="Q5855" i="1" a="1"/>
  <c r="Q5855" i="1" s="1"/>
  <c r="R5855" i="1" a="1"/>
  <c r="R5855" i="1" s="1"/>
  <c r="M5855" i="1" a="1"/>
  <c r="M5855" i="1" s="1"/>
  <c r="I5837" i="1" l="1" a="1"/>
  <c r="I5837" i="1" s="1"/>
  <c r="K5837" i="1" a="1"/>
  <c r="K5837" i="1" s="1"/>
  <c r="C5838" i="1"/>
  <c r="O5838" i="1" s="1" a="1"/>
  <c r="O5838" i="1" s="1"/>
  <c r="H5837" i="1"/>
  <c r="J5837" i="1" a="1"/>
  <c r="J5837" i="1" s="1"/>
  <c r="M5856" i="1" a="1"/>
  <c r="M5856" i="1" s="1"/>
  <c r="N5856" i="1" a="1"/>
  <c r="N5856" i="1" s="1"/>
  <c r="S5856" i="1" a="1"/>
  <c r="S5856" i="1" s="1"/>
  <c r="L5856" i="1" a="1"/>
  <c r="L5856" i="1" s="1"/>
  <c r="Q5856" i="1" a="1"/>
  <c r="Q5856" i="1" s="1"/>
  <c r="P5856" i="1" a="1"/>
  <c r="P5856" i="1" s="1"/>
  <c r="R5856" i="1" a="1"/>
  <c r="R5856" i="1" s="1"/>
  <c r="B5857" i="1"/>
  <c r="I5838" i="1" l="1" a="1"/>
  <c r="I5838" i="1" s="1"/>
  <c r="K5838" i="1" a="1"/>
  <c r="K5838" i="1" s="1"/>
  <c r="C5839" i="1"/>
  <c r="O5839" i="1" s="1" a="1"/>
  <c r="O5839" i="1" s="1"/>
  <c r="H5838" i="1"/>
  <c r="J5838" i="1" a="1"/>
  <c r="J5838" i="1" s="1"/>
  <c r="P5857" i="1" a="1"/>
  <c r="P5857" i="1" s="1"/>
  <c r="N5857" i="1" a="1"/>
  <c r="N5857" i="1" s="1"/>
  <c r="M5857" i="1" a="1"/>
  <c r="M5857" i="1" s="1"/>
  <c r="B5858" i="1"/>
  <c r="L5857" i="1" a="1"/>
  <c r="L5857" i="1" s="1"/>
  <c r="S5857" i="1" a="1"/>
  <c r="S5857" i="1" s="1"/>
  <c r="R5857" i="1" a="1"/>
  <c r="R5857" i="1" s="1"/>
  <c r="Q5857" i="1" a="1"/>
  <c r="Q5857" i="1" s="1"/>
  <c r="I5839" i="1" l="1" a="1"/>
  <c r="I5839" i="1" s="1"/>
  <c r="K5839" i="1" a="1"/>
  <c r="K5839" i="1" s="1"/>
  <c r="C5840" i="1"/>
  <c r="O5840" i="1" s="1" a="1"/>
  <c r="O5840" i="1" s="1"/>
  <c r="H5839" i="1"/>
  <c r="J5839" i="1" a="1"/>
  <c r="J5839" i="1" s="1"/>
  <c r="L5858" i="1" a="1"/>
  <c r="L5858" i="1" s="1"/>
  <c r="B5859" i="1"/>
  <c r="S5858" i="1" a="1"/>
  <c r="S5858" i="1" s="1"/>
  <c r="M5858" i="1" a="1"/>
  <c r="M5858" i="1" s="1"/>
  <c r="P5858" i="1" a="1"/>
  <c r="P5858" i="1" s="1"/>
  <c r="R5858" i="1" a="1"/>
  <c r="R5858" i="1" s="1"/>
  <c r="N5858" i="1" a="1"/>
  <c r="N5858" i="1" s="1"/>
  <c r="Q5858" i="1" a="1"/>
  <c r="Q5858" i="1" s="1"/>
  <c r="I5840" i="1" l="1" a="1"/>
  <c r="I5840" i="1" s="1"/>
  <c r="K5840" i="1" a="1"/>
  <c r="K5840" i="1" s="1"/>
  <c r="C5841" i="1"/>
  <c r="O5841" i="1" s="1" a="1"/>
  <c r="O5841" i="1" s="1"/>
  <c r="H5840" i="1"/>
  <c r="J5840" i="1" a="1"/>
  <c r="J5840" i="1" s="1"/>
  <c r="L5859" i="1" a="1"/>
  <c r="L5859" i="1" s="1"/>
  <c r="S5859" i="1" a="1"/>
  <c r="S5859" i="1" s="1"/>
  <c r="P5859" i="1" a="1"/>
  <c r="P5859" i="1" s="1"/>
  <c r="M5859" i="1" a="1"/>
  <c r="M5859" i="1" s="1"/>
  <c r="R5859" i="1" a="1"/>
  <c r="R5859" i="1" s="1"/>
  <c r="N5859" i="1" a="1"/>
  <c r="N5859" i="1" s="1"/>
  <c r="Q5859" i="1" a="1"/>
  <c r="Q5859" i="1" s="1"/>
  <c r="I5841" i="1" l="1" a="1"/>
  <c r="I5841" i="1" s="1"/>
  <c r="K5841" i="1" a="1"/>
  <c r="K5841" i="1" s="1"/>
  <c r="C5842" i="1"/>
  <c r="O5842" i="1" s="1" a="1"/>
  <c r="O5842" i="1" s="1"/>
  <c r="H5841" i="1"/>
  <c r="J5841" i="1" a="1"/>
  <c r="J5841" i="1" s="1"/>
  <c r="I5842" i="1" l="1" a="1"/>
  <c r="I5842" i="1" s="1"/>
  <c r="K5842" i="1" a="1"/>
  <c r="K5842" i="1" s="1"/>
  <c r="C5843" i="1"/>
  <c r="O5843" i="1" s="1" a="1"/>
  <c r="O5843" i="1" s="1"/>
  <c r="H5842" i="1"/>
  <c r="J5842" i="1" a="1"/>
  <c r="J5842" i="1" s="1"/>
  <c r="I5843" i="1" l="1" a="1"/>
  <c r="I5843" i="1" s="1"/>
  <c r="K5843" i="1" a="1"/>
  <c r="K5843" i="1" s="1"/>
  <c r="C5844" i="1"/>
  <c r="O5844" i="1" s="1" a="1"/>
  <c r="O5844" i="1" s="1"/>
  <c r="H5843" i="1"/>
  <c r="J5843" i="1" a="1"/>
  <c r="J5843" i="1" s="1"/>
  <c r="I5844" i="1" l="1" a="1"/>
  <c r="I5844" i="1" s="1"/>
  <c r="K5844" i="1" a="1"/>
  <c r="K5844" i="1" s="1"/>
  <c r="C5845" i="1"/>
  <c r="O5845" i="1" s="1" a="1"/>
  <c r="O5845" i="1" s="1"/>
  <c r="H5844" i="1"/>
  <c r="J5844" i="1" a="1"/>
  <c r="J5844" i="1" s="1"/>
  <c r="I5845" i="1" l="1" a="1"/>
  <c r="I5845" i="1" s="1"/>
  <c r="K5845" i="1" a="1"/>
  <c r="K5845" i="1" s="1"/>
  <c r="C5846" i="1"/>
  <c r="O5846" i="1" s="1" a="1"/>
  <c r="O5846" i="1" s="1"/>
  <c r="H5845" i="1"/>
  <c r="J5845" i="1" a="1"/>
  <c r="J5845" i="1" s="1"/>
  <c r="I5846" i="1" l="1" a="1"/>
  <c r="I5846" i="1" s="1"/>
  <c r="K5846" i="1" a="1"/>
  <c r="K5846" i="1" s="1"/>
  <c r="C5847" i="1"/>
  <c r="O5847" i="1" s="1" a="1"/>
  <c r="O5847" i="1" s="1"/>
  <c r="H5846" i="1"/>
  <c r="J5846" i="1" a="1"/>
  <c r="J5846" i="1" s="1"/>
  <c r="I5847" i="1" l="1" a="1"/>
  <c r="I5847" i="1" s="1"/>
  <c r="K5847" i="1" a="1"/>
  <c r="K5847" i="1" s="1"/>
  <c r="C5848" i="1"/>
  <c r="O5848" i="1" s="1" a="1"/>
  <c r="O5848" i="1" s="1"/>
  <c r="H5847" i="1"/>
  <c r="J5847" i="1" a="1"/>
  <c r="J5847" i="1" s="1"/>
  <c r="I5848" i="1" l="1" a="1"/>
  <c r="I5848" i="1" s="1"/>
  <c r="K5848" i="1" a="1"/>
  <c r="K5848" i="1" s="1"/>
  <c r="C5849" i="1"/>
  <c r="O5849" i="1" s="1" a="1"/>
  <c r="O5849" i="1" s="1"/>
  <c r="H5848" i="1"/>
  <c r="J5848" i="1" a="1"/>
  <c r="J5848" i="1" s="1"/>
  <c r="I5849" i="1" l="1" a="1"/>
  <c r="I5849" i="1" s="1"/>
  <c r="K5849" i="1" a="1"/>
  <c r="K5849" i="1" s="1"/>
  <c r="C5850" i="1"/>
  <c r="O5850" i="1" s="1" a="1"/>
  <c r="O5850" i="1" s="1"/>
  <c r="H5849" i="1"/>
  <c r="J5849" i="1" a="1"/>
  <c r="J5849" i="1" s="1"/>
  <c r="I5850" i="1" l="1" a="1"/>
  <c r="I5850" i="1" s="1"/>
  <c r="K5850" i="1" a="1"/>
  <c r="K5850" i="1" s="1"/>
  <c r="C5851" i="1"/>
  <c r="O5851" i="1" s="1" a="1"/>
  <c r="O5851" i="1" s="1"/>
  <c r="H5850" i="1"/>
  <c r="J5850" i="1" a="1"/>
  <c r="J5850" i="1" s="1"/>
  <c r="I5851" i="1" l="1" a="1"/>
  <c r="I5851" i="1" s="1"/>
  <c r="K5851" i="1" a="1"/>
  <c r="K5851" i="1" s="1"/>
  <c r="C5852" i="1"/>
  <c r="O5852" i="1" s="1" a="1"/>
  <c r="O5852" i="1" s="1"/>
  <c r="H5851" i="1"/>
  <c r="J5851" i="1" a="1"/>
  <c r="J5851" i="1" s="1"/>
  <c r="I5852" i="1" l="1" a="1"/>
  <c r="I5852" i="1" s="1"/>
  <c r="K5852" i="1" a="1"/>
  <c r="K5852" i="1" s="1"/>
  <c r="C5853" i="1"/>
  <c r="O5853" i="1" s="1" a="1"/>
  <c r="O5853" i="1" s="1"/>
  <c r="H5852" i="1"/>
  <c r="J5852" i="1" a="1"/>
  <c r="J5852" i="1" s="1"/>
  <c r="I5853" i="1" l="1" a="1"/>
  <c r="I5853" i="1" s="1"/>
  <c r="K5853" i="1" a="1"/>
  <c r="K5853" i="1" s="1"/>
  <c r="C5854" i="1"/>
  <c r="O5854" i="1" s="1" a="1"/>
  <c r="O5854" i="1" s="1"/>
  <c r="H5853" i="1"/>
  <c r="J5853" i="1" a="1"/>
  <c r="J5853" i="1" s="1"/>
  <c r="I5854" i="1" l="1" a="1"/>
  <c r="I5854" i="1" s="1"/>
  <c r="K5854" i="1" a="1"/>
  <c r="K5854" i="1" s="1"/>
  <c r="C5855" i="1"/>
  <c r="O5855" i="1" s="1" a="1"/>
  <c r="O5855" i="1" s="1"/>
  <c r="H5854" i="1"/>
  <c r="J5854" i="1" a="1"/>
  <c r="J5854" i="1" s="1"/>
  <c r="I5855" i="1" l="1" a="1"/>
  <c r="I5855" i="1" s="1"/>
  <c r="K5855" i="1" a="1"/>
  <c r="K5855" i="1" s="1"/>
  <c r="C5856" i="1"/>
  <c r="O5856" i="1" s="1" a="1"/>
  <c r="O5856" i="1" s="1"/>
  <c r="H5855" i="1"/>
  <c r="J5855" i="1" a="1"/>
  <c r="J5855" i="1" s="1"/>
  <c r="I5856" i="1" l="1" a="1"/>
  <c r="I5856" i="1" s="1"/>
  <c r="K5856" i="1" a="1"/>
  <c r="K5856" i="1" s="1"/>
  <c r="C5857" i="1"/>
  <c r="O5857" i="1" s="1" a="1"/>
  <c r="O5857" i="1" s="1"/>
  <c r="H5856" i="1"/>
  <c r="J5856" i="1" a="1"/>
  <c r="J5856" i="1" s="1"/>
  <c r="I5857" i="1" l="1" a="1"/>
  <c r="I5857" i="1" s="1"/>
  <c r="K5857" i="1" a="1"/>
  <c r="K5857" i="1" s="1"/>
  <c r="C5858" i="1"/>
  <c r="O5858" i="1" s="1" a="1"/>
  <c r="O5858" i="1" s="1"/>
  <c r="H5857" i="1"/>
  <c r="J5857" i="1" a="1"/>
  <c r="J5857" i="1" s="1"/>
  <c r="I5858" i="1" l="1" a="1"/>
  <c r="I5858" i="1" s="1"/>
  <c r="K5858" i="1" a="1"/>
  <c r="K5858" i="1" s="1"/>
  <c r="C5859" i="1"/>
  <c r="O5859" i="1" s="1" a="1"/>
  <c r="O5859" i="1" s="1"/>
  <c r="H5858" i="1"/>
  <c r="J5858" i="1" a="1"/>
  <c r="J5858" i="1" s="1"/>
  <c r="I5859" i="1" l="1" a="1"/>
  <c r="I5859" i="1" s="1"/>
  <c r="K5859" i="1" a="1"/>
  <c r="K5859" i="1" s="1"/>
  <c r="H5859" i="1"/>
  <c r="J5859" i="1" a="1"/>
  <c r="J585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<sst xmlns="http://schemas.openxmlformats.org/spreadsheetml/2006/main" count="52621" uniqueCount="26">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</sst>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5859"/>
  <sheetViews>
    <sheetView zoomScale="90" zoomScaleNormal="90" workbookViewId="0">
      <pane ySplit="1" topLeftCell="A5594" activePane="bottomLeft" state="frozen"/>
      <selection pane="bottomLeft" activeCell="D5595" sqref="D5595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tr">
        <f t="shared" ref="A5595:C5595" si="1128">B5594</f>
        <v>Northern Cardinal</v>
      </c>
      <c r="C5595" s="6">
        <v>0.29166666666666669</v>
      </c>
      <c r="D5595" s="5"/>
      <c r="E5595" s="5"/>
      <c r="F5595" s="5" t="s">
        <v>8</v>
      </c>
      <c r="G5595" s="15" t="s">
        <v>9</v>
      </c>
      <c r="H5595" s="24">
        <f t="shared" ref="H5532:H5786" si="1129">IFERROR((($A5595+$C5595) - ($A5594+$C5594))*24*60, "")</f>
        <v>795.99999999627471</v>
      </c>
      <c r="I5595" s="24" cm="1">
        <f t="array" ref="I5595">IFERROR(IF($B5595=I$1, ($A5595+$C5595) - MAX(IF($B$2:$B5594=$B5595, $A$2:$A5594+$C$2:$C5594)), "")*24*60, "")</f>
        <v>795.99999999627471</v>
      </c>
      <c r="J5595" s="24" t="str" cm="1">
        <f t="array" ref="J5595">IFERROR(IF($B5595=J$1, ($A5595+$C5595) - MAX(IF($B$2:$B5594=$B5595, $A$2:$A5594+$C$2:$C5594)), "")*24*60, "")</f>
        <v/>
      </c>
      <c r="K5595" s="24" t="str" cm="1">
        <f t="array" ref="K5595">IFERROR(IF($B5595=K$1, ($A5595+$C5595) - MAX(IF($B$2:$B5594=$B5595, $A$2:$A5594+$C$2:$C5594)), "")*24*60, "")</f>
        <v/>
      </c>
      <c r="L5595" s="24" t="str" cm="1">
        <f t="array" ref="L5595">IFERROR(IF($B5595=L$1, ($A5595+$C5595) - MAX(IF($B$2:$B5594=$B5595, $A$2:$A5594+$C$2:$C5594)), "")*24*60, "")</f>
        <v/>
      </c>
      <c r="M5595" s="24" t="str" cm="1">
        <f t="array" ref="M5595">IFERROR(IF($B5595=M$1, ($A5595+$C5595) - MAX(IF($B$2:$B5594=$B5595, $A$2:$A5594+$C$2:$C5594)), "")*24*60, "")</f>
        <v/>
      </c>
      <c r="N5595" s="24" t="str" cm="1">
        <f t="array" ref="N5595">IFERROR(IF($B5595=N$1, ($A5595+$C5595) - MAX(IF($B$2:$B5594=$B5595, $A$2:$A5594+$C$2:$C5594)), "")*24*60, "")</f>
        <v/>
      </c>
      <c r="O5595" s="24" t="str" cm="1">
        <f t="array" ref="O5595">IFERROR(IF($B5595=O$1, ($A5595+$C5595) - MAX(IF($B$2:$B5594=$B5595, $A$2:$A5594+$C$2:$C5594)), "")*24*60, "")</f>
        <v/>
      </c>
      <c r="P5595" s="24" t="str" cm="1">
        <f t="array" ref="P5595">IFERROR(IF($B5595=P$1, ($A5595+$C5595) - MAX(IF($B$2:$B5594=$B5595, $A$2:$A5594+$C$2:$C5594)), "")*24*60, "")</f>
        <v/>
      </c>
      <c r="Q5595" s="24" t="str" cm="1">
        <f t="array" ref="Q5595">IFERROR(IF($B5595=Q$1, ($A5595+$C5595) - MAX(IF($B$2:$B5594=$B5595, $A$2:$A5594+$C$2:$C5594)), "")*24*60, "")</f>
        <v/>
      </c>
      <c r="R5595" s="24" t="str" cm="1">
        <f t="array" ref="R5595">IFERROR(IF($B5595=R$1, ($A5595+$C5595) - MAX(IF($B$2:$B5594=$B5595, $A$2:$A5594+$C$2:$C5594)), "")*24*60, "")</f>
        <v/>
      </c>
      <c r="S5595" s="24" t="str" cm="1">
        <f t="array" ref="S5595">IFERROR(IF($B5595=S$1, ($A5595+$C5595) - MAX(IF($B$2:$B5594=$B5595, $A$2:$A5594+$C$2:$C5594)), "")*24*60, "")</f>
        <v/>
      </c>
    </row>
    <row r="5596" spans="1:19" x14ac:dyDescent="0.2">
      <c r="A5596" s="12">
        <f t="shared" ref="A5596:C5596" si="1130">A5595</f>
        <v>45985</v>
      </c>
      <c r="B5596" s="5" t="str">
        <f t="shared" si="1130"/>
        <v>Northern Cardinal</v>
      </c>
      <c r="C5596" s="6">
        <f t="shared" si="1130"/>
        <v>0.29166666666666669</v>
      </c>
      <c r="D5596" s="5"/>
      <c r="E5596" s="5"/>
      <c r="F5596" s="5" t="s">
        <v>8</v>
      </c>
      <c r="G5596" s="15" t="s">
        <v>9</v>
      </c>
      <c r="H5596" s="24">
        <f t="shared" si="1129"/>
        <v>0</v>
      </c>
      <c r="I5596" s="24" cm="1">
        <f t="array" ref="I5596">IFERROR(IF($B5596=I$1, ($A5596+$C5596) - MAX(IF($B$2:$B5595=$B5596, $A$2:$A5595+$C$2:$C5595)), "")*24*60, "")</f>
        <v>0</v>
      </c>
      <c r="J5596" s="24" t="str" cm="1">
        <f t="array" ref="J5596">IFERROR(IF($B5596=J$1, ($A5596+$C5596) - MAX(IF($B$2:$B5595=$B5596, $A$2:$A5595+$C$2:$C5595)), "")*24*60, "")</f>
        <v/>
      </c>
      <c r="K5596" s="24" t="str" cm="1">
        <f t="array" ref="K5596">IFERROR(IF($B5596=K$1, ($A5596+$C5596) - MAX(IF($B$2:$B5595=$B5596, $A$2:$A5595+$C$2:$C5595)), "")*24*60, "")</f>
        <v/>
      </c>
      <c r="L5596" s="24" t="str" cm="1">
        <f t="array" ref="L5596">IFERROR(IF($B5596=L$1, ($A5596+$C5596) - MAX(IF($B$2:$B5595=$B5596, $A$2:$A5595+$C$2:$C5595)), "")*24*60, "")</f>
        <v/>
      </c>
      <c r="M5596" s="24" t="str" cm="1">
        <f t="array" ref="M5596">IFERROR(IF($B5596=M$1, ($A5596+$C5596) - MAX(IF($B$2:$B5595=$B5596, $A$2:$A5595+$C$2:$C5595)), "")*24*60, "")</f>
        <v/>
      </c>
      <c r="N5596" s="24" t="str" cm="1">
        <f t="array" ref="N5596">IFERROR(IF($B5596=N$1, ($A5596+$C5596) - MAX(IF($B$2:$B5595=$B5596, $A$2:$A5595+$C$2:$C5595)), "")*24*60, "")</f>
        <v/>
      </c>
      <c r="O5596" s="24" t="str" cm="1">
        <f t="array" ref="O5596">IFERROR(IF($B5596=O$1, ($A5596+$C5596) - MAX(IF($B$2:$B5595=$B5596, $A$2:$A5595+$C$2:$C5595)), "")*24*60, "")</f>
        <v/>
      </c>
      <c r="P5596" s="24" t="str" cm="1">
        <f t="array" ref="P5596">IFERROR(IF($B5596=P$1, ($A5596+$C5596) - MAX(IF($B$2:$B5595=$B5596, $A$2:$A5595+$C$2:$C5595)), "")*24*60, "")</f>
        <v/>
      </c>
      <c r="Q5596" s="24" t="str" cm="1">
        <f t="array" ref="Q5596">IFERROR(IF($B5596=Q$1, ($A5596+$C5596) - MAX(IF($B$2:$B5595=$B5596, $A$2:$A5595+$C$2:$C5595)), "")*24*60, "")</f>
        <v/>
      </c>
      <c r="R5596" s="24" t="str" cm="1">
        <f t="array" ref="R5596">IFERROR(IF($B5596=R$1, ($A5596+$C5596) - MAX(IF($B$2:$B5595=$B5596, $A$2:$A5595+$C$2:$C5595)), "")*24*60, "")</f>
        <v/>
      </c>
      <c r="S5596" s="24" t="str" cm="1">
        <f t="array" ref="S5596">IFERROR(IF($B5596=S$1, ($A5596+$C5596) - MAX(IF($B$2:$B5595=$B5596, $A$2:$A5595+$C$2:$C5595)), "")*24*60, "")</f>
        <v/>
      </c>
    </row>
    <row r="5597" spans="1:19" x14ac:dyDescent="0.2">
      <c r="A5597" s="12">
        <f t="shared" ref="A5597:C5597" si="1131">A5596</f>
        <v>45985</v>
      </c>
      <c r="B5597" s="5" t="str">
        <f t="shared" si="1131"/>
        <v>Northern Cardinal</v>
      </c>
      <c r="C5597" s="6">
        <f t="shared" si="1131"/>
        <v>0.29166666666666669</v>
      </c>
      <c r="D5597" s="5"/>
      <c r="E5597" s="5"/>
      <c r="F5597" s="5" t="s">
        <v>8</v>
      </c>
      <c r="G5597" s="15" t="s">
        <v>9</v>
      </c>
      <c r="H5597" s="24">
        <f t="shared" si="1129"/>
        <v>0</v>
      </c>
      <c r="I5597" s="24" cm="1">
        <f t="array" ref="I5597">IFERROR(IF($B5597=I$1, ($A5597+$C5597) - MAX(IF($B$2:$B5596=$B5597, $A$2:$A5596+$C$2:$C5596)), "")*24*60, "")</f>
        <v>0</v>
      </c>
      <c r="J5597" s="24" t="str" cm="1">
        <f t="array" ref="J5597">IFERROR(IF($B5597=J$1, ($A5597+$C5597) - MAX(IF($B$2:$B5596=$B5597, $A$2:$A5596+$C$2:$C5596)), "")*24*60, "")</f>
        <v/>
      </c>
      <c r="K5597" s="24" t="str" cm="1">
        <f t="array" ref="K5597">IFERROR(IF($B5597=K$1, ($A5597+$C5597) - MAX(IF($B$2:$B5596=$B5597, $A$2:$A5596+$C$2:$C5596)), "")*24*60, "")</f>
        <v/>
      </c>
      <c r="L5597" s="24" t="str" cm="1">
        <f t="array" ref="L5597">IFERROR(IF($B5597=L$1, ($A5597+$C5597) - MAX(IF($B$2:$B5596=$B5597, $A$2:$A5596+$C$2:$C5596)), "")*24*60, "")</f>
        <v/>
      </c>
      <c r="M5597" s="24" t="str" cm="1">
        <f t="array" ref="M5597">IFERROR(IF($B5597=M$1, ($A5597+$C5597) - MAX(IF($B$2:$B5596=$B5597, $A$2:$A5596+$C$2:$C5596)), "")*24*60, "")</f>
        <v/>
      </c>
      <c r="N5597" s="24" t="str" cm="1">
        <f t="array" ref="N5597">IFERROR(IF($B5597=N$1, ($A5597+$C5597) - MAX(IF($B$2:$B5596=$B5597, $A$2:$A5596+$C$2:$C5596)), "")*24*60, "")</f>
        <v/>
      </c>
      <c r="O5597" s="24" t="str" cm="1">
        <f t="array" ref="O5597">IFERROR(IF($B5597=O$1, ($A5597+$C5597) - MAX(IF($B$2:$B5596=$B5597, $A$2:$A5596+$C$2:$C5596)), "")*24*60, "")</f>
        <v/>
      </c>
      <c r="P5597" s="24" t="str" cm="1">
        <f t="array" ref="P5597">IFERROR(IF($B5597=P$1, ($A5597+$C5597) - MAX(IF($B$2:$B5596=$B5597, $A$2:$A5596+$C$2:$C5596)), "")*24*60, "")</f>
        <v/>
      </c>
      <c r="Q5597" s="24" t="str" cm="1">
        <f t="array" ref="Q5597">IFERROR(IF($B5597=Q$1, ($A5597+$C5597) - MAX(IF($B$2:$B5596=$B5597, $A$2:$A5596+$C$2:$C5596)), "")*24*60, "")</f>
        <v/>
      </c>
      <c r="R5597" s="24" t="str" cm="1">
        <f t="array" ref="R5597">IFERROR(IF($B5597=R$1, ($A5597+$C5597) - MAX(IF($B$2:$B5596=$B5597, $A$2:$A5596+$C$2:$C5596)), "")*24*60, "")</f>
        <v/>
      </c>
      <c r="S5597" s="24" t="str" cm="1">
        <f t="array" ref="S5597">IFERROR(IF($B5597=S$1, ($A5597+$C5597) - MAX(IF($B$2:$B5596=$B5597, $A$2:$A5596+$C$2:$C5596)), "")*24*60, "")</f>
        <v/>
      </c>
    </row>
    <row r="5598" spans="1:19" x14ac:dyDescent="0.2">
      <c r="A5598" s="12">
        <f t="shared" ref="A5598:C5598" si="1132">A5597</f>
        <v>45985</v>
      </c>
      <c r="B5598" s="5" t="str">
        <f t="shared" si="1132"/>
        <v>Northern Cardinal</v>
      </c>
      <c r="C5598" s="6">
        <f t="shared" si="1132"/>
        <v>0.29166666666666669</v>
      </c>
      <c r="D5598" s="5"/>
      <c r="E5598" s="5"/>
      <c r="F5598" s="5" t="s">
        <v>8</v>
      </c>
      <c r="G5598" s="15" t="s">
        <v>9</v>
      </c>
      <c r="H5598" s="24">
        <f t="shared" si="1129"/>
        <v>0</v>
      </c>
      <c r="I5598" s="24" cm="1">
        <f t="array" ref="I5598">IFERROR(IF($B5598=I$1, ($A5598+$C5598) - MAX(IF($B$2:$B5597=$B5598, $A$2:$A5597+$C$2:$C5597)), "")*24*60, "")</f>
        <v>0</v>
      </c>
      <c r="J5598" s="24" t="str" cm="1">
        <f t="array" ref="J5598">IFERROR(IF($B5598=J$1, ($A5598+$C5598) - MAX(IF($B$2:$B5597=$B5598, $A$2:$A5597+$C$2:$C5597)), "")*24*60, "")</f>
        <v/>
      </c>
      <c r="K5598" s="24" t="str" cm="1">
        <f t="array" ref="K5598">IFERROR(IF($B5598=K$1, ($A5598+$C5598) - MAX(IF($B$2:$B5597=$B5598, $A$2:$A5597+$C$2:$C5597)), "")*24*60, "")</f>
        <v/>
      </c>
      <c r="L5598" s="24" t="str" cm="1">
        <f t="array" ref="L5598">IFERROR(IF($B5598=L$1, ($A5598+$C5598) - MAX(IF($B$2:$B5597=$B5598, $A$2:$A5597+$C$2:$C5597)), "")*24*60, "")</f>
        <v/>
      </c>
      <c r="M5598" s="24" t="str" cm="1">
        <f t="array" ref="M5598">IFERROR(IF($B5598=M$1, ($A5598+$C5598) - MAX(IF($B$2:$B5597=$B5598, $A$2:$A5597+$C$2:$C5597)), "")*24*60, "")</f>
        <v/>
      </c>
      <c r="N5598" s="24" t="str" cm="1">
        <f t="array" ref="N5598">IFERROR(IF($B5598=N$1, ($A5598+$C5598) - MAX(IF($B$2:$B5597=$B5598, $A$2:$A5597+$C$2:$C5597)), "")*24*60, "")</f>
        <v/>
      </c>
      <c r="O5598" s="24" t="str" cm="1">
        <f t="array" ref="O5598">IFERROR(IF($B5598=O$1, ($A5598+$C5598) - MAX(IF($B$2:$B5597=$B5598, $A$2:$A5597+$C$2:$C5597)), "")*24*60, "")</f>
        <v/>
      </c>
      <c r="P5598" s="24" t="str" cm="1">
        <f t="array" ref="P5598">IFERROR(IF($B5598=P$1, ($A5598+$C5598) - MAX(IF($B$2:$B5597=$B5598, $A$2:$A5597+$C$2:$C5597)), "")*24*60, "")</f>
        <v/>
      </c>
      <c r="Q5598" s="24" t="str" cm="1">
        <f t="array" ref="Q5598">IFERROR(IF($B5598=Q$1, ($A5598+$C5598) - MAX(IF($B$2:$B5597=$B5598, $A$2:$A5597+$C$2:$C5597)), "")*24*60, "")</f>
        <v/>
      </c>
      <c r="R5598" s="24" t="str" cm="1">
        <f t="array" ref="R5598">IFERROR(IF($B5598=R$1, ($A5598+$C5598) - MAX(IF($B$2:$B5597=$B5598, $A$2:$A5597+$C$2:$C5597)), "")*24*60, "")</f>
        <v/>
      </c>
      <c r="S5598" s="24" t="str" cm="1">
        <f t="array" ref="S5598">IFERROR(IF($B5598=S$1, ($A5598+$C5598) - MAX(IF($B$2:$B5597=$B5598, $A$2:$A5597+$C$2:$C5597)), "")*24*60, "")</f>
        <v/>
      </c>
    </row>
    <row r="5599" spans="1:19" x14ac:dyDescent="0.2">
      <c r="A5599" s="12">
        <f t="shared" ref="A5599:C5599" si="1133">A5598</f>
        <v>45985</v>
      </c>
      <c r="B5599" s="5" t="str">
        <f t="shared" si="1133"/>
        <v>Northern Cardinal</v>
      </c>
      <c r="C5599" s="6">
        <f t="shared" si="1133"/>
        <v>0.29166666666666669</v>
      </c>
      <c r="D5599" s="5"/>
      <c r="E5599" s="5"/>
      <c r="F5599" s="5" t="s">
        <v>8</v>
      </c>
      <c r="G5599" s="15" t="s">
        <v>9</v>
      </c>
      <c r="H5599" s="24">
        <f t="shared" si="1129"/>
        <v>0</v>
      </c>
      <c r="I5599" s="24" cm="1">
        <f t="array" ref="I5599">IFERROR(IF($B5599=I$1, ($A5599+$C5599) - MAX(IF($B$2:$B5598=$B5599, $A$2:$A5598+$C$2:$C5598)), "")*24*60, "")</f>
        <v>0</v>
      </c>
      <c r="J5599" s="24" t="str" cm="1">
        <f t="array" ref="J5599">IFERROR(IF($B5599=J$1, ($A5599+$C5599) - MAX(IF($B$2:$B5598=$B5599, $A$2:$A5598+$C$2:$C5598)), "")*24*60, "")</f>
        <v/>
      </c>
      <c r="K5599" s="24" t="str" cm="1">
        <f t="array" ref="K5599">IFERROR(IF($B5599=K$1, ($A5599+$C5599) - MAX(IF($B$2:$B5598=$B5599, $A$2:$A5598+$C$2:$C5598)), "")*24*60, "")</f>
        <v/>
      </c>
      <c r="L5599" s="24" t="str" cm="1">
        <f t="array" ref="L5599">IFERROR(IF($B5599=L$1, ($A5599+$C5599) - MAX(IF($B$2:$B5598=$B5599, $A$2:$A5598+$C$2:$C5598)), "")*24*60, "")</f>
        <v/>
      </c>
      <c r="M5599" s="24" t="str" cm="1">
        <f t="array" ref="M5599">IFERROR(IF($B5599=M$1, ($A5599+$C5599) - MAX(IF($B$2:$B5598=$B5599, $A$2:$A5598+$C$2:$C5598)), "")*24*60, "")</f>
        <v/>
      </c>
      <c r="N5599" s="24" t="str" cm="1">
        <f t="array" ref="N5599">IFERROR(IF($B5599=N$1, ($A5599+$C5599) - MAX(IF($B$2:$B5598=$B5599, $A$2:$A5598+$C$2:$C5598)), "")*24*60, "")</f>
        <v/>
      </c>
      <c r="O5599" s="24" t="str" cm="1">
        <f t="array" ref="O5599">IFERROR(IF($B5599=O$1, ($A5599+$C5599) - MAX(IF($B$2:$B5598=$B5599, $A$2:$A5598+$C$2:$C5598)), "")*24*60, "")</f>
        <v/>
      </c>
      <c r="P5599" s="24" t="str" cm="1">
        <f t="array" ref="P5599">IFERROR(IF($B5599=P$1, ($A5599+$C5599) - MAX(IF($B$2:$B5598=$B5599, $A$2:$A5598+$C$2:$C5598)), "")*24*60, "")</f>
        <v/>
      </c>
      <c r="Q5599" s="24" t="str" cm="1">
        <f t="array" ref="Q5599">IFERROR(IF($B5599=Q$1, ($A5599+$C5599) - MAX(IF($B$2:$B5598=$B5599, $A$2:$A5598+$C$2:$C5598)), "")*24*60, "")</f>
        <v/>
      </c>
      <c r="R5599" s="24" t="str" cm="1">
        <f t="array" ref="R5599">IFERROR(IF($B5599=R$1, ($A5599+$C5599) - MAX(IF($B$2:$B5598=$B5599, $A$2:$A5598+$C$2:$C5598)), "")*24*60, "")</f>
        <v/>
      </c>
      <c r="S5599" s="24" t="str" cm="1">
        <f t="array" ref="S5599">IFERROR(IF($B5599=S$1, ($A5599+$C5599) - MAX(IF($B$2:$B5598=$B5599, $A$2:$A5598+$C$2:$C5598)), "")*24*60, "")</f>
        <v/>
      </c>
    </row>
    <row r="5600" spans="1:19" x14ac:dyDescent="0.2">
      <c r="A5600" s="12">
        <f t="shared" ref="A5600:C5600" si="1134">A5599</f>
        <v>45985</v>
      </c>
      <c r="B5600" s="5" t="str">
        <f t="shared" si="1134"/>
        <v>Northern Cardinal</v>
      </c>
      <c r="C5600" s="6">
        <f t="shared" si="1134"/>
        <v>0.29166666666666669</v>
      </c>
      <c r="D5600" s="5"/>
      <c r="E5600" s="5"/>
      <c r="F5600" s="5" t="s">
        <v>8</v>
      </c>
      <c r="G5600" s="15" t="s">
        <v>9</v>
      </c>
      <c r="H5600" s="24">
        <f t="shared" si="1129"/>
        <v>0</v>
      </c>
      <c r="I5600" s="24" cm="1">
        <f t="array" ref="I5600">IFERROR(IF($B5600=I$1, ($A5600+$C5600) - MAX(IF($B$2:$B5599=$B5600, $A$2:$A5599+$C$2:$C5599)), "")*24*60, "")</f>
        <v>0</v>
      </c>
      <c r="J5600" s="24" t="str" cm="1">
        <f t="array" ref="J5600">IFERROR(IF($B5600=J$1, ($A5600+$C5600) - MAX(IF($B$2:$B5599=$B5600, $A$2:$A5599+$C$2:$C5599)), "")*24*60, "")</f>
        <v/>
      </c>
      <c r="K5600" s="24" t="str" cm="1">
        <f t="array" ref="K5600">IFERROR(IF($B5600=K$1, ($A5600+$C5600) - MAX(IF($B$2:$B5599=$B5600, $A$2:$A5599+$C$2:$C5599)), "")*24*60, "")</f>
        <v/>
      </c>
      <c r="L5600" s="24" t="str" cm="1">
        <f t="array" ref="L5600">IFERROR(IF($B5600=L$1, ($A5600+$C5600) - MAX(IF($B$2:$B5599=$B5600, $A$2:$A5599+$C$2:$C5599)), "")*24*60, "")</f>
        <v/>
      </c>
      <c r="M5600" s="24" t="str" cm="1">
        <f t="array" ref="M5600">IFERROR(IF($B5600=M$1, ($A5600+$C5600) - MAX(IF($B$2:$B5599=$B5600, $A$2:$A5599+$C$2:$C5599)), "")*24*60, "")</f>
        <v/>
      </c>
      <c r="N5600" s="24" t="str" cm="1">
        <f t="array" ref="N5600">IFERROR(IF($B5600=N$1, ($A5600+$C5600) - MAX(IF($B$2:$B5599=$B5600, $A$2:$A5599+$C$2:$C5599)), "")*24*60, "")</f>
        <v/>
      </c>
      <c r="O5600" s="24" t="str" cm="1">
        <f t="array" ref="O5600">IFERROR(IF($B5600=O$1, ($A5600+$C5600) - MAX(IF($B$2:$B5599=$B5600, $A$2:$A5599+$C$2:$C5599)), "")*24*60, "")</f>
        <v/>
      </c>
      <c r="P5600" s="24" t="str" cm="1">
        <f t="array" ref="P5600">IFERROR(IF($B5600=P$1, ($A5600+$C5600) - MAX(IF($B$2:$B5599=$B5600, $A$2:$A5599+$C$2:$C5599)), "")*24*60, "")</f>
        <v/>
      </c>
      <c r="Q5600" s="24" t="str" cm="1">
        <f t="array" ref="Q5600">IFERROR(IF($B5600=Q$1, ($A5600+$C5600) - MAX(IF($B$2:$B5599=$B5600, $A$2:$A5599+$C$2:$C5599)), "")*24*60, "")</f>
        <v/>
      </c>
      <c r="R5600" s="24" t="str" cm="1">
        <f t="array" ref="R5600">IFERROR(IF($B5600=R$1, ($A5600+$C5600) - MAX(IF($B$2:$B5599=$B5600, $A$2:$A5599+$C$2:$C5599)), "")*24*60, "")</f>
        <v/>
      </c>
      <c r="S5600" s="24" t="str" cm="1">
        <f t="array" ref="S5600">IFERROR(IF($B5600=S$1, ($A5600+$C5600) - MAX(IF($B$2:$B5599=$B5600, $A$2:$A5599+$C$2:$C5599)), "")*24*60, "")</f>
        <v/>
      </c>
    </row>
    <row r="5601" spans="1:19" x14ac:dyDescent="0.2">
      <c r="A5601" s="12">
        <f t="shared" ref="A5601:C5601" si="1135">A5600</f>
        <v>45985</v>
      </c>
      <c r="B5601" s="5" t="str">
        <f t="shared" si="1135"/>
        <v>Northern Cardinal</v>
      </c>
      <c r="C5601" s="6">
        <f t="shared" si="1135"/>
        <v>0.29166666666666669</v>
      </c>
      <c r="D5601" s="5"/>
      <c r="E5601" s="5"/>
      <c r="F5601" s="5" t="s">
        <v>8</v>
      </c>
      <c r="G5601" s="15" t="s">
        <v>9</v>
      </c>
      <c r="H5601" s="24">
        <f t="shared" si="1129"/>
        <v>0</v>
      </c>
      <c r="I5601" s="24" cm="1">
        <f t="array" ref="I5601">IFERROR(IF($B5601=I$1, ($A5601+$C5601) - MAX(IF($B$2:$B5600=$B5601, $A$2:$A5600+$C$2:$C5600)), "")*24*60, "")</f>
        <v>0</v>
      </c>
      <c r="J5601" s="24" t="str" cm="1">
        <f t="array" ref="J5601">IFERROR(IF($B5601=J$1, ($A5601+$C5601) - MAX(IF($B$2:$B5600=$B5601, $A$2:$A5600+$C$2:$C5600)), "")*24*60, "")</f>
        <v/>
      </c>
      <c r="K5601" s="24" t="str" cm="1">
        <f t="array" ref="K5601">IFERROR(IF($B5601=K$1, ($A5601+$C5601) - MAX(IF($B$2:$B5600=$B5601, $A$2:$A5600+$C$2:$C5600)), "")*24*60, "")</f>
        <v/>
      </c>
      <c r="L5601" s="24" t="str" cm="1">
        <f t="array" ref="L5601">IFERROR(IF($B5601=L$1, ($A5601+$C5601) - MAX(IF($B$2:$B5600=$B5601, $A$2:$A5600+$C$2:$C5600)), "")*24*60, "")</f>
        <v/>
      </c>
      <c r="M5601" s="24" t="str" cm="1">
        <f t="array" ref="M5601">IFERROR(IF($B5601=M$1, ($A5601+$C5601) - MAX(IF($B$2:$B5600=$B5601, $A$2:$A5600+$C$2:$C5600)), "")*24*60, "")</f>
        <v/>
      </c>
      <c r="N5601" s="24" t="str" cm="1">
        <f t="array" ref="N5601">IFERROR(IF($B5601=N$1, ($A5601+$C5601) - MAX(IF($B$2:$B5600=$B5601, $A$2:$A5600+$C$2:$C5600)), "")*24*60, "")</f>
        <v/>
      </c>
      <c r="O5601" s="24" t="str" cm="1">
        <f t="array" ref="O5601">IFERROR(IF($B5601=O$1, ($A5601+$C5601) - MAX(IF($B$2:$B5600=$B5601, $A$2:$A5600+$C$2:$C5600)), "")*24*60, "")</f>
        <v/>
      </c>
      <c r="P5601" s="24" t="str" cm="1">
        <f t="array" ref="P5601">IFERROR(IF($B5601=P$1, ($A5601+$C5601) - MAX(IF($B$2:$B5600=$B5601, $A$2:$A5600+$C$2:$C5600)), "")*24*60, "")</f>
        <v/>
      </c>
      <c r="Q5601" s="24" t="str" cm="1">
        <f t="array" ref="Q5601">IFERROR(IF($B5601=Q$1, ($A5601+$C5601) - MAX(IF($B$2:$B5600=$B5601, $A$2:$A5600+$C$2:$C5600)), "")*24*60, "")</f>
        <v/>
      </c>
      <c r="R5601" s="24" t="str" cm="1">
        <f t="array" ref="R5601">IFERROR(IF($B5601=R$1, ($A5601+$C5601) - MAX(IF($B$2:$B5600=$B5601, $A$2:$A5600+$C$2:$C5600)), "")*24*60, "")</f>
        <v/>
      </c>
      <c r="S5601" s="24" t="str" cm="1">
        <f t="array" ref="S5601">IFERROR(IF($B5601=S$1, ($A5601+$C5601) - MAX(IF($B$2:$B5600=$B5601, $A$2:$A5600+$C$2:$C5600)), "")*24*60, "")</f>
        <v/>
      </c>
    </row>
    <row r="5602" spans="1:19" x14ac:dyDescent="0.2">
      <c r="A5602" s="12">
        <f t="shared" ref="A5602:C5602" si="1136">A5601</f>
        <v>45985</v>
      </c>
      <c r="B5602" s="5" t="str">
        <f t="shared" si="1136"/>
        <v>Northern Cardinal</v>
      </c>
      <c r="C5602" s="6">
        <f t="shared" si="1136"/>
        <v>0.29166666666666669</v>
      </c>
      <c r="D5602" s="5"/>
      <c r="E5602" s="5"/>
      <c r="F5602" s="5" t="s">
        <v>8</v>
      </c>
      <c r="G5602" s="15" t="s">
        <v>9</v>
      </c>
      <c r="H5602" s="24">
        <f t="shared" si="1129"/>
        <v>0</v>
      </c>
      <c r="I5602" s="24" cm="1">
        <f t="array" ref="I5602">IFERROR(IF($B5602=I$1, ($A5602+$C5602) - MAX(IF($B$2:$B5601=$B5602, $A$2:$A5601+$C$2:$C5601)), "")*24*60, "")</f>
        <v>0</v>
      </c>
      <c r="J5602" s="24" t="str" cm="1">
        <f t="array" ref="J5602">IFERROR(IF($B5602=J$1, ($A5602+$C5602) - MAX(IF($B$2:$B5601=$B5602, $A$2:$A5601+$C$2:$C5601)), "")*24*60, "")</f>
        <v/>
      </c>
      <c r="K5602" s="24" t="str" cm="1">
        <f t="array" ref="K5602">IFERROR(IF($B5602=K$1, ($A5602+$C5602) - MAX(IF($B$2:$B5601=$B5602, $A$2:$A5601+$C$2:$C5601)), "")*24*60, "")</f>
        <v/>
      </c>
      <c r="L5602" s="24" t="str" cm="1">
        <f t="array" ref="L5602">IFERROR(IF($B5602=L$1, ($A5602+$C5602) - MAX(IF($B$2:$B5601=$B5602, $A$2:$A5601+$C$2:$C5601)), "")*24*60, "")</f>
        <v/>
      </c>
      <c r="M5602" s="24" t="str" cm="1">
        <f t="array" ref="M5602">IFERROR(IF($B5602=M$1, ($A5602+$C5602) - MAX(IF($B$2:$B5601=$B5602, $A$2:$A5601+$C$2:$C5601)), "")*24*60, "")</f>
        <v/>
      </c>
      <c r="N5602" s="24" t="str" cm="1">
        <f t="array" ref="N5602">IFERROR(IF($B5602=N$1, ($A5602+$C5602) - MAX(IF($B$2:$B5601=$B5602, $A$2:$A5601+$C$2:$C5601)), "")*24*60, "")</f>
        <v/>
      </c>
      <c r="O5602" s="24" t="str" cm="1">
        <f t="array" ref="O5602">IFERROR(IF($B5602=O$1, ($A5602+$C5602) - MAX(IF($B$2:$B5601=$B5602, $A$2:$A5601+$C$2:$C5601)), "")*24*60, "")</f>
        <v/>
      </c>
      <c r="P5602" s="24" t="str" cm="1">
        <f t="array" ref="P5602">IFERROR(IF($B5602=P$1, ($A5602+$C5602) - MAX(IF($B$2:$B5601=$B5602, $A$2:$A5601+$C$2:$C5601)), "")*24*60, "")</f>
        <v/>
      </c>
      <c r="Q5602" s="24" t="str" cm="1">
        <f t="array" ref="Q5602">IFERROR(IF($B5602=Q$1, ($A5602+$C5602) - MAX(IF($B$2:$B5601=$B5602, $A$2:$A5601+$C$2:$C5601)), "")*24*60, "")</f>
        <v/>
      </c>
      <c r="R5602" s="24" t="str" cm="1">
        <f t="array" ref="R5602">IFERROR(IF($B5602=R$1, ($A5602+$C5602) - MAX(IF($B$2:$B5601=$B5602, $A$2:$A5601+$C$2:$C5601)), "")*24*60, "")</f>
        <v/>
      </c>
      <c r="S5602" s="24" t="str" cm="1">
        <f t="array" ref="S5602">IFERROR(IF($B5602=S$1, ($A5602+$C5602) - MAX(IF($B$2:$B5601=$B5602, $A$2:$A5601+$C$2:$C5601)), "")*24*60, "")</f>
        <v/>
      </c>
    </row>
    <row r="5603" spans="1:19" x14ac:dyDescent="0.2">
      <c r="A5603" s="12">
        <f t="shared" ref="A5603:C5603" si="1137">A5602</f>
        <v>45985</v>
      </c>
      <c r="B5603" s="5" t="str">
        <f t="shared" si="1137"/>
        <v>Northern Cardinal</v>
      </c>
      <c r="C5603" s="6">
        <f t="shared" si="1137"/>
        <v>0.29166666666666669</v>
      </c>
      <c r="D5603" s="5"/>
      <c r="E5603" s="5"/>
      <c r="F5603" s="5" t="s">
        <v>8</v>
      </c>
      <c r="G5603" s="15" t="s">
        <v>9</v>
      </c>
      <c r="H5603" s="24">
        <f t="shared" si="1129"/>
        <v>0</v>
      </c>
      <c r="I5603" s="24" cm="1">
        <f t="array" ref="I5603">IFERROR(IF($B5603=I$1, ($A5603+$C5603) - MAX(IF($B$2:$B5602=$B5603, $A$2:$A5602+$C$2:$C5602)), "")*24*60, "")</f>
        <v>0</v>
      </c>
      <c r="J5603" s="24" t="str" cm="1">
        <f t="array" ref="J5603">IFERROR(IF($B5603=J$1, ($A5603+$C5603) - MAX(IF($B$2:$B5602=$B5603, $A$2:$A5602+$C$2:$C5602)), "")*24*60, "")</f>
        <v/>
      </c>
      <c r="K5603" s="24" t="str" cm="1">
        <f t="array" ref="K5603">IFERROR(IF($B5603=K$1, ($A5603+$C5603) - MAX(IF($B$2:$B5602=$B5603, $A$2:$A5602+$C$2:$C5602)), "")*24*60, "")</f>
        <v/>
      </c>
      <c r="L5603" s="24" t="str" cm="1">
        <f t="array" ref="L5603">IFERROR(IF($B5603=L$1, ($A5603+$C5603) - MAX(IF($B$2:$B5602=$B5603, $A$2:$A5602+$C$2:$C5602)), "")*24*60, "")</f>
        <v/>
      </c>
      <c r="M5603" s="24" t="str" cm="1">
        <f t="array" ref="M5603">IFERROR(IF($B5603=M$1, ($A5603+$C5603) - MAX(IF($B$2:$B5602=$B5603, $A$2:$A5602+$C$2:$C5602)), "")*24*60, "")</f>
        <v/>
      </c>
      <c r="N5603" s="24" t="str" cm="1">
        <f t="array" ref="N5603">IFERROR(IF($B5603=N$1, ($A5603+$C5603) - MAX(IF($B$2:$B5602=$B5603, $A$2:$A5602+$C$2:$C5602)), "")*24*60, "")</f>
        <v/>
      </c>
      <c r="O5603" s="24" t="str" cm="1">
        <f t="array" ref="O5603">IFERROR(IF($B5603=O$1, ($A5603+$C5603) - MAX(IF($B$2:$B5602=$B5603, $A$2:$A5602+$C$2:$C5602)), "")*24*60, "")</f>
        <v/>
      </c>
      <c r="P5603" s="24" t="str" cm="1">
        <f t="array" ref="P5603">IFERROR(IF($B5603=P$1, ($A5603+$C5603) - MAX(IF($B$2:$B5602=$B5603, $A$2:$A5602+$C$2:$C5602)), "")*24*60, "")</f>
        <v/>
      </c>
      <c r="Q5603" s="24" t="str" cm="1">
        <f t="array" ref="Q5603">IFERROR(IF($B5603=Q$1, ($A5603+$C5603) - MAX(IF($B$2:$B5602=$B5603, $A$2:$A5602+$C$2:$C5602)), "")*24*60, "")</f>
        <v/>
      </c>
      <c r="R5603" s="24" t="str" cm="1">
        <f t="array" ref="R5603">IFERROR(IF($B5603=R$1, ($A5603+$C5603) - MAX(IF($B$2:$B5602=$B5603, $A$2:$A5602+$C$2:$C5602)), "")*24*60, "")</f>
        <v/>
      </c>
      <c r="S5603" s="24" t="str" cm="1">
        <f t="array" ref="S5603">IFERROR(IF($B5603=S$1, ($A5603+$C5603) - MAX(IF($B$2:$B5602=$B5603, $A$2:$A5602+$C$2:$C5602)), "")*24*60, "")</f>
        <v/>
      </c>
    </row>
    <row r="5604" spans="1:19" x14ac:dyDescent="0.2">
      <c r="A5604" s="12">
        <f t="shared" ref="A5604:C5604" si="1138">A5603</f>
        <v>45985</v>
      </c>
      <c r="B5604" s="5" t="str">
        <f t="shared" si="1138"/>
        <v>Northern Cardinal</v>
      </c>
      <c r="C5604" s="6">
        <f t="shared" si="1138"/>
        <v>0.29166666666666669</v>
      </c>
      <c r="D5604" s="5"/>
      <c r="E5604" s="5"/>
      <c r="F5604" s="5" t="s">
        <v>8</v>
      </c>
      <c r="G5604" s="15" t="s">
        <v>9</v>
      </c>
      <c r="H5604" s="24">
        <f t="shared" si="1129"/>
        <v>0</v>
      </c>
      <c r="I5604" s="24" cm="1">
        <f t="array" ref="I5604">IFERROR(IF($B5604=I$1, ($A5604+$C5604) - MAX(IF($B$2:$B5603=$B5604, $A$2:$A5603+$C$2:$C5603)), "")*24*60, "")</f>
        <v>0</v>
      </c>
      <c r="J5604" s="24" t="str" cm="1">
        <f t="array" ref="J5604">IFERROR(IF($B5604=J$1, ($A5604+$C5604) - MAX(IF($B$2:$B5603=$B5604, $A$2:$A5603+$C$2:$C5603)), "")*24*60, "")</f>
        <v/>
      </c>
      <c r="K5604" s="24" t="str" cm="1">
        <f t="array" ref="K5604">IFERROR(IF($B5604=K$1, ($A5604+$C5604) - MAX(IF($B$2:$B5603=$B5604, $A$2:$A5603+$C$2:$C5603)), "")*24*60, "")</f>
        <v/>
      </c>
      <c r="L5604" s="24" t="str" cm="1">
        <f t="array" ref="L5604">IFERROR(IF($B5604=L$1, ($A5604+$C5604) - MAX(IF($B$2:$B5603=$B5604, $A$2:$A5603+$C$2:$C5603)), "")*24*60, "")</f>
        <v/>
      </c>
      <c r="M5604" s="24" t="str" cm="1">
        <f t="array" ref="M5604">IFERROR(IF($B5604=M$1, ($A5604+$C5604) - MAX(IF($B$2:$B5603=$B5604, $A$2:$A5603+$C$2:$C5603)), "")*24*60, "")</f>
        <v/>
      </c>
      <c r="N5604" s="24" t="str" cm="1">
        <f t="array" ref="N5604">IFERROR(IF($B5604=N$1, ($A5604+$C5604) - MAX(IF($B$2:$B5603=$B5604, $A$2:$A5603+$C$2:$C5603)), "")*24*60, "")</f>
        <v/>
      </c>
      <c r="O5604" s="24" t="str" cm="1">
        <f t="array" ref="O5604">IFERROR(IF($B5604=O$1, ($A5604+$C5604) - MAX(IF($B$2:$B5603=$B5604, $A$2:$A5603+$C$2:$C5603)), "")*24*60, "")</f>
        <v/>
      </c>
      <c r="P5604" s="24" t="str" cm="1">
        <f t="array" ref="P5604">IFERROR(IF($B5604=P$1, ($A5604+$C5604) - MAX(IF($B$2:$B5603=$B5604, $A$2:$A5603+$C$2:$C5603)), "")*24*60, "")</f>
        <v/>
      </c>
      <c r="Q5604" s="24" t="str" cm="1">
        <f t="array" ref="Q5604">IFERROR(IF($B5604=Q$1, ($A5604+$C5604) - MAX(IF($B$2:$B5603=$B5604, $A$2:$A5603+$C$2:$C5603)), "")*24*60, "")</f>
        <v/>
      </c>
      <c r="R5604" s="24" t="str" cm="1">
        <f t="array" ref="R5604">IFERROR(IF($B5604=R$1, ($A5604+$C5604) - MAX(IF($B$2:$B5603=$B5604, $A$2:$A5603+$C$2:$C5603)), "")*24*60, "")</f>
        <v/>
      </c>
      <c r="S5604" s="24" t="str" cm="1">
        <f t="array" ref="S5604">IFERROR(IF($B5604=S$1, ($A5604+$C5604) - MAX(IF($B$2:$B5603=$B5604, $A$2:$A5603+$C$2:$C5603)), "")*24*60, "")</f>
        <v/>
      </c>
    </row>
    <row r="5605" spans="1:19" x14ac:dyDescent="0.2">
      <c r="A5605" s="12">
        <f t="shared" ref="A5605:C5605" si="1139">A5604</f>
        <v>45985</v>
      </c>
      <c r="B5605" s="5" t="str">
        <f t="shared" si="1139"/>
        <v>Northern Cardinal</v>
      </c>
      <c r="C5605" s="6">
        <f t="shared" si="1139"/>
        <v>0.29166666666666669</v>
      </c>
      <c r="D5605" s="5"/>
      <c r="E5605" s="5"/>
      <c r="F5605" s="5" t="s">
        <v>8</v>
      </c>
      <c r="G5605" s="15" t="s">
        <v>9</v>
      </c>
      <c r="H5605" s="24">
        <f t="shared" si="1129"/>
        <v>0</v>
      </c>
      <c r="I5605" s="24" cm="1">
        <f t="array" ref="I5605">IFERROR(IF($B5605=I$1, ($A5605+$C5605) - MAX(IF($B$2:$B5604=$B5605, $A$2:$A5604+$C$2:$C5604)), "")*24*60, "")</f>
        <v>0</v>
      </c>
      <c r="J5605" s="24" t="str" cm="1">
        <f t="array" ref="J5605">IFERROR(IF($B5605=J$1, ($A5605+$C5605) - MAX(IF($B$2:$B5604=$B5605, $A$2:$A5604+$C$2:$C5604)), "")*24*60, "")</f>
        <v/>
      </c>
      <c r="K5605" s="24" t="str" cm="1">
        <f t="array" ref="K5605">IFERROR(IF($B5605=K$1, ($A5605+$C5605) - MAX(IF($B$2:$B5604=$B5605, $A$2:$A5604+$C$2:$C5604)), "")*24*60, "")</f>
        <v/>
      </c>
      <c r="L5605" s="24" t="str" cm="1">
        <f t="array" ref="L5605">IFERROR(IF($B5605=L$1, ($A5605+$C5605) - MAX(IF($B$2:$B5604=$B5605, $A$2:$A5604+$C$2:$C5604)), "")*24*60, "")</f>
        <v/>
      </c>
      <c r="M5605" s="24" t="str" cm="1">
        <f t="array" ref="M5605">IFERROR(IF($B5605=M$1, ($A5605+$C5605) - MAX(IF($B$2:$B5604=$B5605, $A$2:$A5604+$C$2:$C5604)), "")*24*60, "")</f>
        <v/>
      </c>
      <c r="N5605" s="24" t="str" cm="1">
        <f t="array" ref="N5605">IFERROR(IF($B5605=N$1, ($A5605+$C5605) - MAX(IF($B$2:$B5604=$B5605, $A$2:$A5604+$C$2:$C5604)), "")*24*60, "")</f>
        <v/>
      </c>
      <c r="O5605" s="24" t="str" cm="1">
        <f t="array" ref="O5605">IFERROR(IF($B5605=O$1, ($A5605+$C5605) - MAX(IF($B$2:$B5604=$B5605, $A$2:$A5604+$C$2:$C5604)), "")*24*60, "")</f>
        <v/>
      </c>
      <c r="P5605" s="24" t="str" cm="1">
        <f t="array" ref="P5605">IFERROR(IF($B5605=P$1, ($A5605+$C5605) - MAX(IF($B$2:$B5604=$B5605, $A$2:$A5604+$C$2:$C5604)), "")*24*60, "")</f>
        <v/>
      </c>
      <c r="Q5605" s="24" t="str" cm="1">
        <f t="array" ref="Q5605">IFERROR(IF($B5605=Q$1, ($A5605+$C5605) - MAX(IF($B$2:$B5604=$B5605, $A$2:$A5604+$C$2:$C5604)), "")*24*60, "")</f>
        <v/>
      </c>
      <c r="R5605" s="24" t="str" cm="1">
        <f t="array" ref="R5605">IFERROR(IF($B5605=R$1, ($A5605+$C5605) - MAX(IF($B$2:$B5604=$B5605, $A$2:$A5604+$C$2:$C5604)), "")*24*60, "")</f>
        <v/>
      </c>
      <c r="S5605" s="24" t="str" cm="1">
        <f t="array" ref="S5605">IFERROR(IF($B5605=S$1, ($A5605+$C5605) - MAX(IF($B$2:$B5604=$B5605, $A$2:$A5604+$C$2:$C5604)), "")*24*60, "")</f>
        <v/>
      </c>
    </row>
    <row r="5606" spans="1:19" x14ac:dyDescent="0.2">
      <c r="A5606" s="12">
        <f t="shared" ref="A5606:C5606" si="1140">A5605</f>
        <v>45985</v>
      </c>
      <c r="B5606" s="5" t="str">
        <f t="shared" si="1140"/>
        <v>Northern Cardinal</v>
      </c>
      <c r="C5606" s="6">
        <f t="shared" si="1140"/>
        <v>0.29166666666666669</v>
      </c>
      <c r="D5606" s="5"/>
      <c r="E5606" s="5"/>
      <c r="F5606" s="5" t="s">
        <v>8</v>
      </c>
      <c r="G5606" s="15" t="s">
        <v>9</v>
      </c>
      <c r="H5606" s="24">
        <f t="shared" si="1129"/>
        <v>0</v>
      </c>
      <c r="I5606" s="24" cm="1">
        <f t="array" ref="I5606">IFERROR(IF($B5606=I$1, ($A5606+$C5606) - MAX(IF($B$2:$B5605=$B5606, $A$2:$A5605+$C$2:$C5605)), "")*24*60, "")</f>
        <v>0</v>
      </c>
      <c r="J5606" s="24" t="str" cm="1">
        <f t="array" ref="J5606">IFERROR(IF($B5606=J$1, ($A5606+$C5606) - MAX(IF($B$2:$B5605=$B5606, $A$2:$A5605+$C$2:$C5605)), "")*24*60, "")</f>
        <v/>
      </c>
      <c r="K5606" s="24" t="str" cm="1">
        <f t="array" ref="K5606">IFERROR(IF($B5606=K$1, ($A5606+$C5606) - MAX(IF($B$2:$B5605=$B5606, $A$2:$A5605+$C$2:$C5605)), "")*24*60, "")</f>
        <v/>
      </c>
      <c r="L5606" s="24" t="str" cm="1">
        <f t="array" ref="L5606">IFERROR(IF($B5606=L$1, ($A5606+$C5606) - MAX(IF($B$2:$B5605=$B5606, $A$2:$A5605+$C$2:$C5605)), "")*24*60, "")</f>
        <v/>
      </c>
      <c r="M5606" s="24" t="str" cm="1">
        <f t="array" ref="M5606">IFERROR(IF($B5606=M$1, ($A5606+$C5606) - MAX(IF($B$2:$B5605=$B5606, $A$2:$A5605+$C$2:$C5605)), "")*24*60, "")</f>
        <v/>
      </c>
      <c r="N5606" s="24" t="str" cm="1">
        <f t="array" ref="N5606">IFERROR(IF($B5606=N$1, ($A5606+$C5606) - MAX(IF($B$2:$B5605=$B5606, $A$2:$A5605+$C$2:$C5605)), "")*24*60, "")</f>
        <v/>
      </c>
      <c r="O5606" s="24" t="str" cm="1">
        <f t="array" ref="O5606">IFERROR(IF($B5606=O$1, ($A5606+$C5606) - MAX(IF($B$2:$B5605=$B5606, $A$2:$A5605+$C$2:$C5605)), "")*24*60, "")</f>
        <v/>
      </c>
      <c r="P5606" s="24" t="str" cm="1">
        <f t="array" ref="P5606">IFERROR(IF($B5606=P$1, ($A5606+$C5606) - MAX(IF($B$2:$B5605=$B5606, $A$2:$A5605+$C$2:$C5605)), "")*24*60, "")</f>
        <v/>
      </c>
      <c r="Q5606" s="24" t="str" cm="1">
        <f t="array" ref="Q5606">IFERROR(IF($B5606=Q$1, ($A5606+$C5606) - MAX(IF($B$2:$B5605=$B5606, $A$2:$A5605+$C$2:$C5605)), "")*24*60, "")</f>
        <v/>
      </c>
      <c r="R5606" s="24" t="str" cm="1">
        <f t="array" ref="R5606">IFERROR(IF($B5606=R$1, ($A5606+$C5606) - MAX(IF($B$2:$B5605=$B5606, $A$2:$A5605+$C$2:$C5605)), "")*24*60, "")</f>
        <v/>
      </c>
      <c r="S5606" s="24" t="str" cm="1">
        <f t="array" ref="S5606">IFERROR(IF($B5606=S$1, ($A5606+$C5606) - MAX(IF($B$2:$B5605=$B5606, $A$2:$A5605+$C$2:$C5605)), "")*24*60, "")</f>
        <v/>
      </c>
    </row>
    <row r="5607" spans="1:19" x14ac:dyDescent="0.2">
      <c r="A5607" s="12">
        <f t="shared" ref="A5607:C5607" si="1141">A5606</f>
        <v>45985</v>
      </c>
      <c r="B5607" s="5" t="str">
        <f t="shared" si="1141"/>
        <v>Northern Cardinal</v>
      </c>
      <c r="C5607" s="6">
        <f t="shared" si="1141"/>
        <v>0.29166666666666669</v>
      </c>
      <c r="D5607" s="5"/>
      <c r="E5607" s="5"/>
      <c r="F5607" s="5" t="s">
        <v>8</v>
      </c>
      <c r="G5607" s="15" t="s">
        <v>9</v>
      </c>
      <c r="H5607" s="24">
        <f t="shared" si="1129"/>
        <v>0</v>
      </c>
      <c r="I5607" s="24" cm="1">
        <f t="array" ref="I5607">IFERROR(IF($B5607=I$1, ($A5607+$C5607) - MAX(IF($B$2:$B5606=$B5607, $A$2:$A5606+$C$2:$C5606)), "")*24*60, "")</f>
        <v>0</v>
      </c>
      <c r="J5607" s="24" t="str" cm="1">
        <f t="array" ref="J5607">IFERROR(IF($B5607=J$1, ($A5607+$C5607) - MAX(IF($B$2:$B5606=$B5607, $A$2:$A5606+$C$2:$C5606)), "")*24*60, "")</f>
        <v/>
      </c>
      <c r="K5607" s="24" t="str" cm="1">
        <f t="array" ref="K5607">IFERROR(IF($B5607=K$1, ($A5607+$C5607) - MAX(IF($B$2:$B5606=$B5607, $A$2:$A5606+$C$2:$C5606)), "")*24*60, "")</f>
        <v/>
      </c>
      <c r="L5607" s="24" t="str" cm="1">
        <f t="array" ref="L5607">IFERROR(IF($B5607=L$1, ($A5607+$C5607) - MAX(IF($B$2:$B5606=$B5607, $A$2:$A5606+$C$2:$C5606)), "")*24*60, "")</f>
        <v/>
      </c>
      <c r="M5607" s="24" t="str" cm="1">
        <f t="array" ref="M5607">IFERROR(IF($B5607=M$1, ($A5607+$C5607) - MAX(IF($B$2:$B5606=$B5607, $A$2:$A5606+$C$2:$C5606)), "")*24*60, "")</f>
        <v/>
      </c>
      <c r="N5607" s="24" t="str" cm="1">
        <f t="array" ref="N5607">IFERROR(IF($B5607=N$1, ($A5607+$C5607) - MAX(IF($B$2:$B5606=$B5607, $A$2:$A5606+$C$2:$C5606)), "")*24*60, "")</f>
        <v/>
      </c>
      <c r="O5607" s="24" t="str" cm="1">
        <f t="array" ref="O5607">IFERROR(IF($B5607=O$1, ($A5607+$C5607) - MAX(IF($B$2:$B5606=$B5607, $A$2:$A5606+$C$2:$C5606)), "")*24*60, "")</f>
        <v/>
      </c>
      <c r="P5607" s="24" t="str" cm="1">
        <f t="array" ref="P5607">IFERROR(IF($B5607=P$1, ($A5607+$C5607) - MAX(IF($B$2:$B5606=$B5607, $A$2:$A5606+$C$2:$C5606)), "")*24*60, "")</f>
        <v/>
      </c>
      <c r="Q5607" s="24" t="str" cm="1">
        <f t="array" ref="Q5607">IFERROR(IF($B5607=Q$1, ($A5607+$C5607) - MAX(IF($B$2:$B5606=$B5607, $A$2:$A5606+$C$2:$C5606)), "")*24*60, "")</f>
        <v/>
      </c>
      <c r="R5607" s="24" t="str" cm="1">
        <f t="array" ref="R5607">IFERROR(IF($B5607=R$1, ($A5607+$C5607) - MAX(IF($B$2:$B5606=$B5607, $A$2:$A5606+$C$2:$C5606)), "")*24*60, "")</f>
        <v/>
      </c>
      <c r="S5607" s="24" t="str" cm="1">
        <f t="array" ref="S5607">IFERROR(IF($B5607=S$1, ($A5607+$C5607) - MAX(IF($B$2:$B5606=$B5607, $A$2:$A5606+$C$2:$C5606)), "")*24*60, "")</f>
        <v/>
      </c>
    </row>
    <row r="5608" spans="1:19" x14ac:dyDescent="0.2">
      <c r="A5608" s="12">
        <f t="shared" ref="A5608:C5608" si="1142">A5607</f>
        <v>45985</v>
      </c>
      <c r="B5608" s="5" t="str">
        <f t="shared" si="1142"/>
        <v>Northern Cardinal</v>
      </c>
      <c r="C5608" s="6">
        <f t="shared" si="1142"/>
        <v>0.29166666666666669</v>
      </c>
      <c r="D5608" s="5"/>
      <c r="E5608" s="5"/>
      <c r="F5608" s="5" t="s">
        <v>8</v>
      </c>
      <c r="G5608" s="15" t="s">
        <v>9</v>
      </c>
      <c r="H5608" s="24">
        <f t="shared" si="1129"/>
        <v>0</v>
      </c>
      <c r="I5608" s="24" cm="1">
        <f t="array" ref="I5608">IFERROR(IF($B5608=I$1, ($A5608+$C5608) - MAX(IF($B$2:$B5607=$B5608, $A$2:$A5607+$C$2:$C5607)), "")*24*60, "")</f>
        <v>0</v>
      </c>
      <c r="J5608" s="24" t="str" cm="1">
        <f t="array" ref="J5608">IFERROR(IF($B5608=J$1, ($A5608+$C5608) - MAX(IF($B$2:$B5607=$B5608, $A$2:$A5607+$C$2:$C5607)), "")*24*60, "")</f>
        <v/>
      </c>
      <c r="K5608" s="24" t="str" cm="1">
        <f t="array" ref="K5608">IFERROR(IF($B5608=K$1, ($A5608+$C5608) - MAX(IF($B$2:$B5607=$B5608, $A$2:$A5607+$C$2:$C5607)), "")*24*60, "")</f>
        <v/>
      </c>
      <c r="L5608" s="24" t="str" cm="1">
        <f t="array" ref="L5608">IFERROR(IF($B5608=L$1, ($A5608+$C5608) - MAX(IF($B$2:$B5607=$B5608, $A$2:$A5607+$C$2:$C5607)), "")*24*60, "")</f>
        <v/>
      </c>
      <c r="M5608" s="24" t="str" cm="1">
        <f t="array" ref="M5608">IFERROR(IF($B5608=M$1, ($A5608+$C5608) - MAX(IF($B$2:$B5607=$B5608, $A$2:$A5607+$C$2:$C5607)), "")*24*60, "")</f>
        <v/>
      </c>
      <c r="N5608" s="24" t="str" cm="1">
        <f t="array" ref="N5608">IFERROR(IF($B5608=N$1, ($A5608+$C5608) - MAX(IF($B$2:$B5607=$B5608, $A$2:$A5607+$C$2:$C5607)), "")*24*60, "")</f>
        <v/>
      </c>
      <c r="O5608" s="24" t="str" cm="1">
        <f t="array" ref="O5608">IFERROR(IF($B5608=O$1, ($A5608+$C5608) - MAX(IF($B$2:$B5607=$B5608, $A$2:$A5607+$C$2:$C5607)), "")*24*60, "")</f>
        <v/>
      </c>
      <c r="P5608" s="24" t="str" cm="1">
        <f t="array" ref="P5608">IFERROR(IF($B5608=P$1, ($A5608+$C5608) - MAX(IF($B$2:$B5607=$B5608, $A$2:$A5607+$C$2:$C5607)), "")*24*60, "")</f>
        <v/>
      </c>
      <c r="Q5608" s="24" t="str" cm="1">
        <f t="array" ref="Q5608">IFERROR(IF($B5608=Q$1, ($A5608+$C5608) - MAX(IF($B$2:$B5607=$B5608, $A$2:$A5607+$C$2:$C5607)), "")*24*60, "")</f>
        <v/>
      </c>
      <c r="R5608" s="24" t="str" cm="1">
        <f t="array" ref="R5608">IFERROR(IF($B5608=R$1, ($A5608+$C5608) - MAX(IF($B$2:$B5607=$B5608, $A$2:$A5607+$C$2:$C5607)), "")*24*60, "")</f>
        <v/>
      </c>
      <c r="S5608" s="24" t="str" cm="1">
        <f t="array" ref="S5608">IFERROR(IF($B5608=S$1, ($A5608+$C5608) - MAX(IF($B$2:$B5607=$B5608, $A$2:$A5607+$C$2:$C5607)), "")*24*60, "")</f>
        <v/>
      </c>
    </row>
    <row r="5609" spans="1:19" x14ac:dyDescent="0.2">
      <c r="A5609" s="12">
        <f t="shared" ref="A5609:C5609" si="1143">A5608</f>
        <v>45985</v>
      </c>
      <c r="B5609" s="5" t="str">
        <f t="shared" si="1143"/>
        <v>Northern Cardinal</v>
      </c>
      <c r="C5609" s="6">
        <f t="shared" si="1143"/>
        <v>0.29166666666666669</v>
      </c>
      <c r="D5609" s="5"/>
      <c r="E5609" s="5"/>
      <c r="F5609" s="5" t="s">
        <v>8</v>
      </c>
      <c r="G5609" s="15" t="s">
        <v>9</v>
      </c>
      <c r="H5609" s="24">
        <f t="shared" si="1129"/>
        <v>0</v>
      </c>
      <c r="I5609" s="24" cm="1">
        <f t="array" ref="I5609">IFERROR(IF($B5609=I$1, ($A5609+$C5609) - MAX(IF($B$2:$B5608=$B5609, $A$2:$A5608+$C$2:$C5608)), "")*24*60, "")</f>
        <v>0</v>
      </c>
      <c r="J5609" s="24" t="str" cm="1">
        <f t="array" ref="J5609">IFERROR(IF($B5609=J$1, ($A5609+$C5609) - MAX(IF($B$2:$B5608=$B5609, $A$2:$A5608+$C$2:$C5608)), "")*24*60, "")</f>
        <v/>
      </c>
      <c r="K5609" s="24" t="str" cm="1">
        <f t="array" ref="K5609">IFERROR(IF($B5609=K$1, ($A5609+$C5609) - MAX(IF($B$2:$B5608=$B5609, $A$2:$A5608+$C$2:$C5608)), "")*24*60, "")</f>
        <v/>
      </c>
      <c r="L5609" s="24" t="str" cm="1">
        <f t="array" ref="L5609">IFERROR(IF($B5609=L$1, ($A5609+$C5609) - MAX(IF($B$2:$B5608=$B5609, $A$2:$A5608+$C$2:$C5608)), "")*24*60, "")</f>
        <v/>
      </c>
      <c r="M5609" s="24" t="str" cm="1">
        <f t="array" ref="M5609">IFERROR(IF($B5609=M$1, ($A5609+$C5609) - MAX(IF($B$2:$B5608=$B5609, $A$2:$A5608+$C$2:$C5608)), "")*24*60, "")</f>
        <v/>
      </c>
      <c r="N5609" s="24" t="str" cm="1">
        <f t="array" ref="N5609">IFERROR(IF($B5609=N$1, ($A5609+$C5609) - MAX(IF($B$2:$B5608=$B5609, $A$2:$A5608+$C$2:$C5608)), "")*24*60, "")</f>
        <v/>
      </c>
      <c r="O5609" s="24" t="str" cm="1">
        <f t="array" ref="O5609">IFERROR(IF($B5609=O$1, ($A5609+$C5609) - MAX(IF($B$2:$B5608=$B5609, $A$2:$A5608+$C$2:$C5608)), "")*24*60, "")</f>
        <v/>
      </c>
      <c r="P5609" s="24" t="str" cm="1">
        <f t="array" ref="P5609">IFERROR(IF($B5609=P$1, ($A5609+$C5609) - MAX(IF($B$2:$B5608=$B5609, $A$2:$A5608+$C$2:$C5608)), "")*24*60, "")</f>
        <v/>
      </c>
      <c r="Q5609" s="24" t="str" cm="1">
        <f t="array" ref="Q5609">IFERROR(IF($B5609=Q$1, ($A5609+$C5609) - MAX(IF($B$2:$B5608=$B5609, $A$2:$A5608+$C$2:$C5608)), "")*24*60, "")</f>
        <v/>
      </c>
      <c r="R5609" s="24" t="str" cm="1">
        <f t="array" ref="R5609">IFERROR(IF($B5609=R$1, ($A5609+$C5609) - MAX(IF($B$2:$B5608=$B5609, $A$2:$A5608+$C$2:$C5608)), "")*24*60, "")</f>
        <v/>
      </c>
      <c r="S5609" s="24" t="str" cm="1">
        <f t="array" ref="S5609">IFERROR(IF($B5609=S$1, ($A5609+$C5609) - MAX(IF($B$2:$B5608=$B5609, $A$2:$A5608+$C$2:$C5608)), "")*24*60, "")</f>
        <v/>
      </c>
    </row>
    <row r="5610" spans="1:19" x14ac:dyDescent="0.2">
      <c r="A5610" s="12">
        <f t="shared" ref="A5610:C5610" si="1144">A5609</f>
        <v>45985</v>
      </c>
      <c r="B5610" s="5" t="str">
        <f t="shared" si="1144"/>
        <v>Northern Cardinal</v>
      </c>
      <c r="C5610" s="6">
        <f t="shared" si="1144"/>
        <v>0.29166666666666669</v>
      </c>
      <c r="D5610" s="5"/>
      <c r="E5610" s="5"/>
      <c r="F5610" s="5" t="s">
        <v>8</v>
      </c>
      <c r="G5610" s="15" t="s">
        <v>9</v>
      </c>
      <c r="H5610" s="24">
        <f t="shared" si="1129"/>
        <v>0</v>
      </c>
      <c r="I5610" s="24" cm="1">
        <f t="array" ref="I5610">IFERROR(IF($B5610=I$1, ($A5610+$C5610) - MAX(IF($B$2:$B5609=$B5610, $A$2:$A5609+$C$2:$C5609)), "")*24*60, "")</f>
        <v>0</v>
      </c>
      <c r="J5610" s="24" t="str" cm="1">
        <f t="array" ref="J5610">IFERROR(IF($B5610=J$1, ($A5610+$C5610) - MAX(IF($B$2:$B5609=$B5610, $A$2:$A5609+$C$2:$C5609)), "")*24*60, "")</f>
        <v/>
      </c>
      <c r="K5610" s="24" t="str" cm="1">
        <f t="array" ref="K5610">IFERROR(IF($B5610=K$1, ($A5610+$C5610) - MAX(IF($B$2:$B5609=$B5610, $A$2:$A5609+$C$2:$C5609)), "")*24*60, "")</f>
        <v/>
      </c>
      <c r="L5610" s="24" t="str" cm="1">
        <f t="array" ref="L5610">IFERROR(IF($B5610=L$1, ($A5610+$C5610) - MAX(IF($B$2:$B5609=$B5610, $A$2:$A5609+$C$2:$C5609)), "")*24*60, "")</f>
        <v/>
      </c>
      <c r="M5610" s="24" t="str" cm="1">
        <f t="array" ref="M5610">IFERROR(IF($B5610=M$1, ($A5610+$C5610) - MAX(IF($B$2:$B5609=$B5610, $A$2:$A5609+$C$2:$C5609)), "")*24*60, "")</f>
        <v/>
      </c>
      <c r="N5610" s="24" t="str" cm="1">
        <f t="array" ref="N5610">IFERROR(IF($B5610=N$1, ($A5610+$C5610) - MAX(IF($B$2:$B5609=$B5610, $A$2:$A5609+$C$2:$C5609)), "")*24*60, "")</f>
        <v/>
      </c>
      <c r="O5610" s="24" t="str" cm="1">
        <f t="array" ref="O5610">IFERROR(IF($B5610=O$1, ($A5610+$C5610) - MAX(IF($B$2:$B5609=$B5610, $A$2:$A5609+$C$2:$C5609)), "")*24*60, "")</f>
        <v/>
      </c>
      <c r="P5610" s="24" t="str" cm="1">
        <f t="array" ref="P5610">IFERROR(IF($B5610=P$1, ($A5610+$C5610) - MAX(IF($B$2:$B5609=$B5610, $A$2:$A5609+$C$2:$C5609)), "")*24*60, "")</f>
        <v/>
      </c>
      <c r="Q5610" s="24" t="str" cm="1">
        <f t="array" ref="Q5610">IFERROR(IF($B5610=Q$1, ($A5610+$C5610) - MAX(IF($B$2:$B5609=$B5610, $A$2:$A5609+$C$2:$C5609)), "")*24*60, "")</f>
        <v/>
      </c>
      <c r="R5610" s="24" t="str" cm="1">
        <f t="array" ref="R5610">IFERROR(IF($B5610=R$1, ($A5610+$C5610) - MAX(IF($B$2:$B5609=$B5610, $A$2:$A5609+$C$2:$C5609)), "")*24*60, "")</f>
        <v/>
      </c>
      <c r="S5610" s="24" t="str" cm="1">
        <f t="array" ref="S5610">IFERROR(IF($B5610=S$1, ($A5610+$C5610) - MAX(IF($B$2:$B5609=$B5610, $A$2:$A5609+$C$2:$C5609)), "")*24*60, "")</f>
        <v/>
      </c>
    </row>
    <row r="5611" spans="1:19" x14ac:dyDescent="0.2">
      <c r="A5611" s="12">
        <f t="shared" ref="A5611:C5611" si="1145">A5610</f>
        <v>45985</v>
      </c>
      <c r="B5611" s="5" t="str">
        <f t="shared" si="1145"/>
        <v>Northern Cardinal</v>
      </c>
      <c r="C5611" s="6">
        <f t="shared" si="1145"/>
        <v>0.29166666666666669</v>
      </c>
      <c r="D5611" s="5"/>
      <c r="E5611" s="5"/>
      <c r="F5611" s="5" t="s">
        <v>8</v>
      </c>
      <c r="G5611" s="15" t="s">
        <v>9</v>
      </c>
      <c r="H5611" s="24">
        <f t="shared" si="1129"/>
        <v>0</v>
      </c>
      <c r="I5611" s="24" cm="1">
        <f t="array" ref="I5611">IFERROR(IF($B5611=I$1, ($A5611+$C5611) - MAX(IF($B$2:$B5610=$B5611, $A$2:$A5610+$C$2:$C5610)), "")*24*60, "")</f>
        <v>0</v>
      </c>
      <c r="J5611" s="24" t="str" cm="1">
        <f t="array" ref="J5611">IFERROR(IF($B5611=J$1, ($A5611+$C5611) - MAX(IF($B$2:$B5610=$B5611, $A$2:$A5610+$C$2:$C5610)), "")*24*60, "")</f>
        <v/>
      </c>
      <c r="K5611" s="24" t="str" cm="1">
        <f t="array" ref="K5611">IFERROR(IF($B5611=K$1, ($A5611+$C5611) - MAX(IF($B$2:$B5610=$B5611, $A$2:$A5610+$C$2:$C5610)), "")*24*60, "")</f>
        <v/>
      </c>
      <c r="L5611" s="24" t="str" cm="1">
        <f t="array" ref="L5611">IFERROR(IF($B5611=L$1, ($A5611+$C5611) - MAX(IF($B$2:$B5610=$B5611, $A$2:$A5610+$C$2:$C5610)), "")*24*60, "")</f>
        <v/>
      </c>
      <c r="M5611" s="24" t="str" cm="1">
        <f t="array" ref="M5611">IFERROR(IF($B5611=M$1, ($A5611+$C5611) - MAX(IF($B$2:$B5610=$B5611, $A$2:$A5610+$C$2:$C5610)), "")*24*60, "")</f>
        <v/>
      </c>
      <c r="N5611" s="24" t="str" cm="1">
        <f t="array" ref="N5611">IFERROR(IF($B5611=N$1, ($A5611+$C5611) - MAX(IF($B$2:$B5610=$B5611, $A$2:$A5610+$C$2:$C5610)), "")*24*60, "")</f>
        <v/>
      </c>
      <c r="O5611" s="24" t="str" cm="1">
        <f t="array" ref="O5611">IFERROR(IF($B5611=O$1, ($A5611+$C5611) - MAX(IF($B$2:$B5610=$B5611, $A$2:$A5610+$C$2:$C5610)), "")*24*60, "")</f>
        <v/>
      </c>
      <c r="P5611" s="24" t="str" cm="1">
        <f t="array" ref="P5611">IFERROR(IF($B5611=P$1, ($A5611+$C5611) - MAX(IF($B$2:$B5610=$B5611, $A$2:$A5610+$C$2:$C5610)), "")*24*60, "")</f>
        <v/>
      </c>
      <c r="Q5611" s="24" t="str" cm="1">
        <f t="array" ref="Q5611">IFERROR(IF($B5611=Q$1, ($A5611+$C5611) - MAX(IF($B$2:$B5610=$B5611, $A$2:$A5610+$C$2:$C5610)), "")*24*60, "")</f>
        <v/>
      </c>
      <c r="R5611" s="24" t="str" cm="1">
        <f t="array" ref="R5611">IFERROR(IF($B5611=R$1, ($A5611+$C5611) - MAX(IF($B$2:$B5610=$B5611, $A$2:$A5610+$C$2:$C5610)), "")*24*60, "")</f>
        <v/>
      </c>
      <c r="S5611" s="24" t="str" cm="1">
        <f t="array" ref="S5611">IFERROR(IF($B5611=S$1, ($A5611+$C5611) - MAX(IF($B$2:$B5610=$B5611, $A$2:$A5610+$C$2:$C5610)), "")*24*60, "")</f>
        <v/>
      </c>
    </row>
    <row r="5612" spans="1:19" x14ac:dyDescent="0.2">
      <c r="A5612" s="12">
        <f t="shared" ref="A5612:C5612" si="1146">A5611</f>
        <v>45985</v>
      </c>
      <c r="B5612" s="5" t="str">
        <f t="shared" si="1146"/>
        <v>Northern Cardinal</v>
      </c>
      <c r="C5612" s="6">
        <f t="shared" si="1146"/>
        <v>0.29166666666666669</v>
      </c>
      <c r="D5612" s="5"/>
      <c r="E5612" s="5"/>
      <c r="F5612" s="5" t="s">
        <v>8</v>
      </c>
      <c r="G5612" s="15" t="s">
        <v>9</v>
      </c>
      <c r="H5612" s="24">
        <f t="shared" si="1129"/>
        <v>0</v>
      </c>
      <c r="I5612" s="24" cm="1">
        <f t="array" ref="I5612">IFERROR(IF($B5612=I$1, ($A5612+$C5612) - MAX(IF($B$2:$B5611=$B5612, $A$2:$A5611+$C$2:$C5611)), "")*24*60, "")</f>
        <v>0</v>
      </c>
      <c r="J5612" s="24" t="str" cm="1">
        <f t="array" ref="J5612">IFERROR(IF($B5612=J$1, ($A5612+$C5612) - MAX(IF($B$2:$B5611=$B5612, $A$2:$A5611+$C$2:$C5611)), "")*24*60, "")</f>
        <v/>
      </c>
      <c r="K5612" s="24" t="str" cm="1">
        <f t="array" ref="K5612">IFERROR(IF($B5612=K$1, ($A5612+$C5612) - MAX(IF($B$2:$B5611=$B5612, $A$2:$A5611+$C$2:$C5611)), "")*24*60, "")</f>
        <v/>
      </c>
      <c r="L5612" s="24" t="str" cm="1">
        <f t="array" ref="L5612">IFERROR(IF($B5612=L$1, ($A5612+$C5612) - MAX(IF($B$2:$B5611=$B5612, $A$2:$A5611+$C$2:$C5611)), "")*24*60, "")</f>
        <v/>
      </c>
      <c r="M5612" s="24" t="str" cm="1">
        <f t="array" ref="M5612">IFERROR(IF($B5612=M$1, ($A5612+$C5612) - MAX(IF($B$2:$B5611=$B5612, $A$2:$A5611+$C$2:$C5611)), "")*24*60, "")</f>
        <v/>
      </c>
      <c r="N5612" s="24" t="str" cm="1">
        <f t="array" ref="N5612">IFERROR(IF($B5612=N$1, ($A5612+$C5612) - MAX(IF($B$2:$B5611=$B5612, $A$2:$A5611+$C$2:$C5611)), "")*24*60, "")</f>
        <v/>
      </c>
      <c r="O5612" s="24" t="str" cm="1">
        <f t="array" ref="O5612">IFERROR(IF($B5612=O$1, ($A5612+$C5612) - MAX(IF($B$2:$B5611=$B5612, $A$2:$A5611+$C$2:$C5611)), "")*24*60, "")</f>
        <v/>
      </c>
      <c r="P5612" s="24" t="str" cm="1">
        <f t="array" ref="P5612">IFERROR(IF($B5612=P$1, ($A5612+$C5612) - MAX(IF($B$2:$B5611=$B5612, $A$2:$A5611+$C$2:$C5611)), "")*24*60, "")</f>
        <v/>
      </c>
      <c r="Q5612" s="24" t="str" cm="1">
        <f t="array" ref="Q5612">IFERROR(IF($B5612=Q$1, ($A5612+$C5612) - MAX(IF($B$2:$B5611=$B5612, $A$2:$A5611+$C$2:$C5611)), "")*24*60, "")</f>
        <v/>
      </c>
      <c r="R5612" s="24" t="str" cm="1">
        <f t="array" ref="R5612">IFERROR(IF($B5612=R$1, ($A5612+$C5612) - MAX(IF($B$2:$B5611=$B5612, $A$2:$A5611+$C$2:$C5611)), "")*24*60, "")</f>
        <v/>
      </c>
      <c r="S5612" s="24" t="str" cm="1">
        <f t="array" ref="S5612">IFERROR(IF($B5612=S$1, ($A5612+$C5612) - MAX(IF($B$2:$B5611=$B5612, $A$2:$A5611+$C$2:$C5611)), "")*24*60, "")</f>
        <v/>
      </c>
    </row>
    <row r="5613" spans="1:19" x14ac:dyDescent="0.2">
      <c r="A5613" s="12">
        <f t="shared" ref="A5613:C5613" si="1147">A5612</f>
        <v>45985</v>
      </c>
      <c r="B5613" s="5" t="str">
        <f t="shared" si="1147"/>
        <v>Northern Cardinal</v>
      </c>
      <c r="C5613" s="6">
        <f t="shared" si="1147"/>
        <v>0.29166666666666669</v>
      </c>
      <c r="D5613" s="5"/>
      <c r="E5613" s="5"/>
      <c r="F5613" s="5" t="s">
        <v>8</v>
      </c>
      <c r="G5613" s="15" t="s">
        <v>9</v>
      </c>
      <c r="H5613" s="24">
        <f t="shared" si="1129"/>
        <v>0</v>
      </c>
      <c r="I5613" s="24" cm="1">
        <f t="array" ref="I5613">IFERROR(IF($B5613=I$1, ($A5613+$C5613) - MAX(IF($B$2:$B5612=$B5613, $A$2:$A5612+$C$2:$C5612)), "")*24*60, "")</f>
        <v>0</v>
      </c>
      <c r="J5613" s="24" t="str" cm="1">
        <f t="array" ref="J5613">IFERROR(IF($B5613=J$1, ($A5613+$C5613) - MAX(IF($B$2:$B5612=$B5613, $A$2:$A5612+$C$2:$C5612)), "")*24*60, "")</f>
        <v/>
      </c>
      <c r="K5613" s="24" t="str" cm="1">
        <f t="array" ref="K5613">IFERROR(IF($B5613=K$1, ($A5613+$C5613) - MAX(IF($B$2:$B5612=$B5613, $A$2:$A5612+$C$2:$C5612)), "")*24*60, "")</f>
        <v/>
      </c>
      <c r="L5613" s="24" t="str" cm="1">
        <f t="array" ref="L5613">IFERROR(IF($B5613=L$1, ($A5613+$C5613) - MAX(IF($B$2:$B5612=$B5613, $A$2:$A5612+$C$2:$C5612)), "")*24*60, "")</f>
        <v/>
      </c>
      <c r="M5613" s="24" t="str" cm="1">
        <f t="array" ref="M5613">IFERROR(IF($B5613=M$1, ($A5613+$C5613) - MAX(IF($B$2:$B5612=$B5613, $A$2:$A5612+$C$2:$C5612)), "")*24*60, "")</f>
        <v/>
      </c>
      <c r="N5613" s="24" t="str" cm="1">
        <f t="array" ref="N5613">IFERROR(IF($B5613=N$1, ($A5613+$C5613) - MAX(IF($B$2:$B5612=$B5613, $A$2:$A5612+$C$2:$C5612)), "")*24*60, "")</f>
        <v/>
      </c>
      <c r="O5613" s="24" t="str" cm="1">
        <f t="array" ref="O5613">IFERROR(IF($B5613=O$1, ($A5613+$C5613) - MAX(IF($B$2:$B5612=$B5613, $A$2:$A5612+$C$2:$C5612)), "")*24*60, "")</f>
        <v/>
      </c>
      <c r="P5613" s="24" t="str" cm="1">
        <f t="array" ref="P5613">IFERROR(IF($B5613=P$1, ($A5613+$C5613) - MAX(IF($B$2:$B5612=$B5613, $A$2:$A5612+$C$2:$C5612)), "")*24*60, "")</f>
        <v/>
      </c>
      <c r="Q5613" s="24" t="str" cm="1">
        <f t="array" ref="Q5613">IFERROR(IF($B5613=Q$1, ($A5613+$C5613) - MAX(IF($B$2:$B5612=$B5613, $A$2:$A5612+$C$2:$C5612)), "")*24*60, "")</f>
        <v/>
      </c>
      <c r="R5613" s="24" t="str" cm="1">
        <f t="array" ref="R5613">IFERROR(IF($B5613=R$1, ($A5613+$C5613) - MAX(IF($B$2:$B5612=$B5613, $A$2:$A5612+$C$2:$C5612)), "")*24*60, "")</f>
        <v/>
      </c>
      <c r="S5613" s="24" t="str" cm="1">
        <f t="array" ref="S5613">IFERROR(IF($B5613=S$1, ($A5613+$C5613) - MAX(IF($B$2:$B5612=$B5613, $A$2:$A5612+$C$2:$C5612)), "")*24*60, "")</f>
        <v/>
      </c>
    </row>
    <row r="5614" spans="1:19" x14ac:dyDescent="0.2">
      <c r="A5614" s="12">
        <f t="shared" ref="A5614:C5614" si="1148">A5613</f>
        <v>45985</v>
      </c>
      <c r="B5614" s="5" t="str">
        <f t="shared" si="1148"/>
        <v>Northern Cardinal</v>
      </c>
      <c r="C5614" s="6">
        <f t="shared" si="1148"/>
        <v>0.29166666666666669</v>
      </c>
      <c r="D5614" s="5"/>
      <c r="E5614" s="5"/>
      <c r="F5614" s="5" t="s">
        <v>8</v>
      </c>
      <c r="G5614" s="15" t="s">
        <v>9</v>
      </c>
      <c r="H5614" s="24">
        <f t="shared" si="1129"/>
        <v>0</v>
      </c>
      <c r="I5614" s="24" cm="1">
        <f t="array" ref="I5614">IFERROR(IF($B5614=I$1, ($A5614+$C5614) - MAX(IF($B$2:$B5613=$B5614, $A$2:$A5613+$C$2:$C5613)), "")*24*60, "")</f>
        <v>0</v>
      </c>
      <c r="J5614" s="24" t="str" cm="1">
        <f t="array" ref="J5614">IFERROR(IF($B5614=J$1, ($A5614+$C5614) - MAX(IF($B$2:$B5613=$B5614, $A$2:$A5613+$C$2:$C5613)), "")*24*60, "")</f>
        <v/>
      </c>
      <c r="K5614" s="24" t="str" cm="1">
        <f t="array" ref="K5614">IFERROR(IF($B5614=K$1, ($A5614+$C5614) - MAX(IF($B$2:$B5613=$B5614, $A$2:$A5613+$C$2:$C5613)), "")*24*60, "")</f>
        <v/>
      </c>
      <c r="L5614" s="24" t="str" cm="1">
        <f t="array" ref="L5614">IFERROR(IF($B5614=L$1, ($A5614+$C5614) - MAX(IF($B$2:$B5613=$B5614, $A$2:$A5613+$C$2:$C5613)), "")*24*60, "")</f>
        <v/>
      </c>
      <c r="M5614" s="24" t="str" cm="1">
        <f t="array" ref="M5614">IFERROR(IF($B5614=M$1, ($A5614+$C5614) - MAX(IF($B$2:$B5613=$B5614, $A$2:$A5613+$C$2:$C5613)), "")*24*60, "")</f>
        <v/>
      </c>
      <c r="N5614" s="24" t="str" cm="1">
        <f t="array" ref="N5614">IFERROR(IF($B5614=N$1, ($A5614+$C5614) - MAX(IF($B$2:$B5613=$B5614, $A$2:$A5613+$C$2:$C5613)), "")*24*60, "")</f>
        <v/>
      </c>
      <c r="O5614" s="24" t="str" cm="1">
        <f t="array" ref="O5614">IFERROR(IF($B5614=O$1, ($A5614+$C5614) - MAX(IF($B$2:$B5613=$B5614, $A$2:$A5613+$C$2:$C5613)), "")*24*60, "")</f>
        <v/>
      </c>
      <c r="P5614" s="24" t="str" cm="1">
        <f t="array" ref="P5614">IFERROR(IF($B5614=P$1, ($A5614+$C5614) - MAX(IF($B$2:$B5613=$B5614, $A$2:$A5613+$C$2:$C5613)), "")*24*60, "")</f>
        <v/>
      </c>
      <c r="Q5614" s="24" t="str" cm="1">
        <f t="array" ref="Q5614">IFERROR(IF($B5614=Q$1, ($A5614+$C5614) - MAX(IF($B$2:$B5613=$B5614, $A$2:$A5613+$C$2:$C5613)), "")*24*60, "")</f>
        <v/>
      </c>
      <c r="R5614" s="24" t="str" cm="1">
        <f t="array" ref="R5614">IFERROR(IF($B5614=R$1, ($A5614+$C5614) - MAX(IF($B$2:$B5613=$B5614, $A$2:$A5613+$C$2:$C5613)), "")*24*60, "")</f>
        <v/>
      </c>
      <c r="S5614" s="24" t="str" cm="1">
        <f t="array" ref="S5614">IFERROR(IF($B5614=S$1, ($A5614+$C5614) - MAX(IF($B$2:$B5613=$B5614, $A$2:$A5613+$C$2:$C5613)), "")*24*60, "")</f>
        <v/>
      </c>
    </row>
    <row r="5615" spans="1:19" x14ac:dyDescent="0.2">
      <c r="A5615" s="12">
        <f t="shared" ref="A5615:C5615" si="1149">A5614</f>
        <v>45985</v>
      </c>
      <c r="B5615" s="5" t="str">
        <f t="shared" si="1149"/>
        <v>Northern Cardinal</v>
      </c>
      <c r="C5615" s="6">
        <f t="shared" si="1149"/>
        <v>0.29166666666666669</v>
      </c>
      <c r="D5615" s="5"/>
      <c r="E5615" s="5"/>
      <c r="F5615" s="5" t="s">
        <v>8</v>
      </c>
      <c r="G5615" s="15" t="s">
        <v>9</v>
      </c>
      <c r="H5615" s="24">
        <f t="shared" si="1129"/>
        <v>0</v>
      </c>
      <c r="I5615" s="24" cm="1">
        <f t="array" ref="I5615">IFERROR(IF($B5615=I$1, ($A5615+$C5615) - MAX(IF($B$2:$B5614=$B5615, $A$2:$A5614+$C$2:$C5614)), "")*24*60, "")</f>
        <v>0</v>
      </c>
      <c r="J5615" s="24" t="str" cm="1">
        <f t="array" ref="J5615">IFERROR(IF($B5615=J$1, ($A5615+$C5615) - MAX(IF($B$2:$B5614=$B5615, $A$2:$A5614+$C$2:$C5614)), "")*24*60, "")</f>
        <v/>
      </c>
      <c r="K5615" s="24" t="str" cm="1">
        <f t="array" ref="K5615">IFERROR(IF($B5615=K$1, ($A5615+$C5615) - MAX(IF($B$2:$B5614=$B5615, $A$2:$A5614+$C$2:$C5614)), "")*24*60, "")</f>
        <v/>
      </c>
      <c r="L5615" s="24" t="str" cm="1">
        <f t="array" ref="L5615">IFERROR(IF($B5615=L$1, ($A5615+$C5615) - MAX(IF($B$2:$B5614=$B5615, $A$2:$A5614+$C$2:$C5614)), "")*24*60, "")</f>
        <v/>
      </c>
      <c r="M5615" s="24" t="str" cm="1">
        <f t="array" ref="M5615">IFERROR(IF($B5615=M$1, ($A5615+$C5615) - MAX(IF($B$2:$B5614=$B5615, $A$2:$A5614+$C$2:$C5614)), "")*24*60, "")</f>
        <v/>
      </c>
      <c r="N5615" s="24" t="str" cm="1">
        <f t="array" ref="N5615">IFERROR(IF($B5615=N$1, ($A5615+$C5615) - MAX(IF($B$2:$B5614=$B5615, $A$2:$A5614+$C$2:$C5614)), "")*24*60, "")</f>
        <v/>
      </c>
      <c r="O5615" s="24" t="str" cm="1">
        <f t="array" ref="O5615">IFERROR(IF($B5615=O$1, ($A5615+$C5615) - MAX(IF($B$2:$B5614=$B5615, $A$2:$A5614+$C$2:$C5614)), "")*24*60, "")</f>
        <v/>
      </c>
      <c r="P5615" s="24" t="str" cm="1">
        <f t="array" ref="P5615">IFERROR(IF($B5615=P$1, ($A5615+$C5615) - MAX(IF($B$2:$B5614=$B5615, $A$2:$A5614+$C$2:$C5614)), "")*24*60, "")</f>
        <v/>
      </c>
      <c r="Q5615" s="24" t="str" cm="1">
        <f t="array" ref="Q5615">IFERROR(IF($B5615=Q$1, ($A5615+$C5615) - MAX(IF($B$2:$B5614=$B5615, $A$2:$A5614+$C$2:$C5614)), "")*24*60, "")</f>
        <v/>
      </c>
      <c r="R5615" s="24" t="str" cm="1">
        <f t="array" ref="R5615">IFERROR(IF($B5615=R$1, ($A5615+$C5615) - MAX(IF($B$2:$B5614=$B5615, $A$2:$A5614+$C$2:$C5614)), "")*24*60, "")</f>
        <v/>
      </c>
      <c r="S5615" s="24" t="str" cm="1">
        <f t="array" ref="S5615">IFERROR(IF($B5615=S$1, ($A5615+$C5615) - MAX(IF($B$2:$B5614=$B5615, $A$2:$A5614+$C$2:$C5614)), "")*24*60, "")</f>
        <v/>
      </c>
    </row>
    <row r="5616" spans="1:19" x14ac:dyDescent="0.2">
      <c r="A5616" s="12">
        <f t="shared" ref="A5616:C5616" si="1150">A5615</f>
        <v>45985</v>
      </c>
      <c r="B5616" s="5" t="str">
        <f t="shared" si="1150"/>
        <v>Northern Cardinal</v>
      </c>
      <c r="C5616" s="6">
        <f t="shared" si="1150"/>
        <v>0.29166666666666669</v>
      </c>
      <c r="D5616" s="5"/>
      <c r="E5616" s="5"/>
      <c r="F5616" s="5" t="s">
        <v>8</v>
      </c>
      <c r="G5616" s="15" t="s">
        <v>9</v>
      </c>
      <c r="H5616" s="24">
        <f t="shared" si="1129"/>
        <v>0</v>
      </c>
      <c r="I5616" s="24" cm="1">
        <f t="array" ref="I5616">IFERROR(IF($B5616=I$1, ($A5616+$C5616) - MAX(IF($B$2:$B5615=$B5616, $A$2:$A5615+$C$2:$C5615)), "")*24*60, "")</f>
        <v>0</v>
      </c>
      <c r="J5616" s="24" t="str" cm="1">
        <f t="array" ref="J5616">IFERROR(IF($B5616=J$1, ($A5616+$C5616) - MAX(IF($B$2:$B5615=$B5616, $A$2:$A5615+$C$2:$C5615)), "")*24*60, "")</f>
        <v/>
      </c>
      <c r="K5616" s="24" t="str" cm="1">
        <f t="array" ref="K5616">IFERROR(IF($B5616=K$1, ($A5616+$C5616) - MAX(IF($B$2:$B5615=$B5616, $A$2:$A5615+$C$2:$C5615)), "")*24*60, "")</f>
        <v/>
      </c>
      <c r="L5616" s="24" t="str" cm="1">
        <f t="array" ref="L5616">IFERROR(IF($B5616=L$1, ($A5616+$C5616) - MAX(IF($B$2:$B5615=$B5616, $A$2:$A5615+$C$2:$C5615)), "")*24*60, "")</f>
        <v/>
      </c>
      <c r="M5616" s="24" t="str" cm="1">
        <f t="array" ref="M5616">IFERROR(IF($B5616=M$1, ($A5616+$C5616) - MAX(IF($B$2:$B5615=$B5616, $A$2:$A5615+$C$2:$C5615)), "")*24*60, "")</f>
        <v/>
      </c>
      <c r="N5616" s="24" t="str" cm="1">
        <f t="array" ref="N5616">IFERROR(IF($B5616=N$1, ($A5616+$C5616) - MAX(IF($B$2:$B5615=$B5616, $A$2:$A5615+$C$2:$C5615)), "")*24*60, "")</f>
        <v/>
      </c>
      <c r="O5616" s="24" t="str" cm="1">
        <f t="array" ref="O5616">IFERROR(IF($B5616=O$1, ($A5616+$C5616) - MAX(IF($B$2:$B5615=$B5616, $A$2:$A5615+$C$2:$C5615)), "")*24*60, "")</f>
        <v/>
      </c>
      <c r="P5616" s="24" t="str" cm="1">
        <f t="array" ref="P5616">IFERROR(IF($B5616=P$1, ($A5616+$C5616) - MAX(IF($B$2:$B5615=$B5616, $A$2:$A5615+$C$2:$C5615)), "")*24*60, "")</f>
        <v/>
      </c>
      <c r="Q5616" s="24" t="str" cm="1">
        <f t="array" ref="Q5616">IFERROR(IF($B5616=Q$1, ($A5616+$C5616) - MAX(IF($B$2:$B5615=$B5616, $A$2:$A5615+$C$2:$C5615)), "")*24*60, "")</f>
        <v/>
      </c>
      <c r="R5616" s="24" t="str" cm="1">
        <f t="array" ref="R5616">IFERROR(IF($B5616=R$1, ($A5616+$C5616) - MAX(IF($B$2:$B5615=$B5616, $A$2:$A5615+$C$2:$C5615)), "")*24*60, "")</f>
        <v/>
      </c>
      <c r="S5616" s="24" t="str" cm="1">
        <f t="array" ref="S5616">IFERROR(IF($B5616=S$1, ($A5616+$C5616) - MAX(IF($B$2:$B5615=$B5616, $A$2:$A5615+$C$2:$C5615)), "")*24*60, "")</f>
        <v/>
      </c>
    </row>
    <row r="5617" spans="1:19" x14ac:dyDescent="0.2">
      <c r="A5617" s="12">
        <f t="shared" ref="A5617:C5617" si="1151">A5616</f>
        <v>45985</v>
      </c>
      <c r="B5617" s="5" t="str">
        <f t="shared" si="1151"/>
        <v>Northern Cardinal</v>
      </c>
      <c r="C5617" s="6">
        <f t="shared" si="1151"/>
        <v>0.29166666666666669</v>
      </c>
      <c r="D5617" s="5"/>
      <c r="E5617" s="5"/>
      <c r="F5617" s="5" t="s">
        <v>8</v>
      </c>
      <c r="G5617" s="15" t="s">
        <v>9</v>
      </c>
      <c r="H5617" s="24">
        <f t="shared" si="1129"/>
        <v>0</v>
      </c>
      <c r="I5617" s="24" cm="1">
        <f t="array" ref="I5617">IFERROR(IF($B5617=I$1, ($A5617+$C5617) - MAX(IF($B$2:$B5616=$B5617, $A$2:$A5616+$C$2:$C5616)), "")*24*60, "")</f>
        <v>0</v>
      </c>
      <c r="J5617" s="24" t="str" cm="1">
        <f t="array" ref="J5617">IFERROR(IF($B5617=J$1, ($A5617+$C5617) - MAX(IF($B$2:$B5616=$B5617, $A$2:$A5616+$C$2:$C5616)), "")*24*60, "")</f>
        <v/>
      </c>
      <c r="K5617" s="24" t="str" cm="1">
        <f t="array" ref="K5617">IFERROR(IF($B5617=K$1, ($A5617+$C5617) - MAX(IF($B$2:$B5616=$B5617, $A$2:$A5616+$C$2:$C5616)), "")*24*60, "")</f>
        <v/>
      </c>
      <c r="L5617" s="24" t="str" cm="1">
        <f t="array" ref="L5617">IFERROR(IF($B5617=L$1, ($A5617+$C5617) - MAX(IF($B$2:$B5616=$B5617, $A$2:$A5616+$C$2:$C5616)), "")*24*60, "")</f>
        <v/>
      </c>
      <c r="M5617" s="24" t="str" cm="1">
        <f t="array" ref="M5617">IFERROR(IF($B5617=M$1, ($A5617+$C5617) - MAX(IF($B$2:$B5616=$B5617, $A$2:$A5616+$C$2:$C5616)), "")*24*60, "")</f>
        <v/>
      </c>
      <c r="N5617" s="24" t="str" cm="1">
        <f t="array" ref="N5617">IFERROR(IF($B5617=N$1, ($A5617+$C5617) - MAX(IF($B$2:$B5616=$B5617, $A$2:$A5616+$C$2:$C5616)), "")*24*60, "")</f>
        <v/>
      </c>
      <c r="O5617" s="24" t="str" cm="1">
        <f t="array" ref="O5617">IFERROR(IF($B5617=O$1, ($A5617+$C5617) - MAX(IF($B$2:$B5616=$B5617, $A$2:$A5616+$C$2:$C5616)), "")*24*60, "")</f>
        <v/>
      </c>
      <c r="P5617" s="24" t="str" cm="1">
        <f t="array" ref="P5617">IFERROR(IF($B5617=P$1, ($A5617+$C5617) - MAX(IF($B$2:$B5616=$B5617, $A$2:$A5616+$C$2:$C5616)), "")*24*60, "")</f>
        <v/>
      </c>
      <c r="Q5617" s="24" t="str" cm="1">
        <f t="array" ref="Q5617">IFERROR(IF($B5617=Q$1, ($A5617+$C5617) - MAX(IF($B$2:$B5616=$B5617, $A$2:$A5616+$C$2:$C5616)), "")*24*60, "")</f>
        <v/>
      </c>
      <c r="R5617" s="24" t="str" cm="1">
        <f t="array" ref="R5617">IFERROR(IF($B5617=R$1, ($A5617+$C5617) - MAX(IF($B$2:$B5616=$B5617, $A$2:$A5616+$C$2:$C5616)), "")*24*60, "")</f>
        <v/>
      </c>
      <c r="S5617" s="24" t="str" cm="1">
        <f t="array" ref="S5617">IFERROR(IF($B5617=S$1, ($A5617+$C5617) - MAX(IF($B$2:$B5616=$B5617, $A$2:$A5616+$C$2:$C5616)), "")*24*60, "")</f>
        <v/>
      </c>
    </row>
    <row r="5618" spans="1:19" x14ac:dyDescent="0.2">
      <c r="A5618" s="12">
        <f t="shared" ref="A5618:C5618" si="1152">A5617</f>
        <v>45985</v>
      </c>
      <c r="B5618" s="5" t="str">
        <f t="shared" si="1152"/>
        <v>Northern Cardinal</v>
      </c>
      <c r="C5618" s="6">
        <f t="shared" si="1152"/>
        <v>0.29166666666666669</v>
      </c>
      <c r="D5618" s="5"/>
      <c r="E5618" s="5"/>
      <c r="F5618" s="5" t="s">
        <v>8</v>
      </c>
      <c r="G5618" s="15" t="s">
        <v>9</v>
      </c>
      <c r="H5618" s="24">
        <f t="shared" si="1129"/>
        <v>0</v>
      </c>
      <c r="I5618" s="24" cm="1">
        <f t="array" ref="I5618">IFERROR(IF($B5618=I$1, ($A5618+$C5618) - MAX(IF($B$2:$B5617=$B5618, $A$2:$A5617+$C$2:$C5617)), "")*24*60, "")</f>
        <v>0</v>
      </c>
      <c r="J5618" s="24" t="str" cm="1">
        <f t="array" ref="J5618">IFERROR(IF($B5618=J$1, ($A5618+$C5618) - MAX(IF($B$2:$B5617=$B5618, $A$2:$A5617+$C$2:$C5617)), "")*24*60, "")</f>
        <v/>
      </c>
      <c r="K5618" s="24" t="str" cm="1">
        <f t="array" ref="K5618">IFERROR(IF($B5618=K$1, ($A5618+$C5618) - MAX(IF($B$2:$B5617=$B5618, $A$2:$A5617+$C$2:$C5617)), "")*24*60, "")</f>
        <v/>
      </c>
      <c r="L5618" s="24" t="str" cm="1">
        <f t="array" ref="L5618">IFERROR(IF($B5618=L$1, ($A5618+$C5618) - MAX(IF($B$2:$B5617=$B5618, $A$2:$A5617+$C$2:$C5617)), "")*24*60, "")</f>
        <v/>
      </c>
      <c r="M5618" s="24" t="str" cm="1">
        <f t="array" ref="M5618">IFERROR(IF($B5618=M$1, ($A5618+$C5618) - MAX(IF($B$2:$B5617=$B5618, $A$2:$A5617+$C$2:$C5617)), "")*24*60, "")</f>
        <v/>
      </c>
      <c r="N5618" s="24" t="str" cm="1">
        <f t="array" ref="N5618">IFERROR(IF($B5618=N$1, ($A5618+$C5618) - MAX(IF($B$2:$B5617=$B5618, $A$2:$A5617+$C$2:$C5617)), "")*24*60, "")</f>
        <v/>
      </c>
      <c r="O5618" s="24" t="str" cm="1">
        <f t="array" ref="O5618">IFERROR(IF($B5618=O$1, ($A5618+$C5618) - MAX(IF($B$2:$B5617=$B5618, $A$2:$A5617+$C$2:$C5617)), "")*24*60, "")</f>
        <v/>
      </c>
      <c r="P5618" s="24" t="str" cm="1">
        <f t="array" ref="P5618">IFERROR(IF($B5618=P$1, ($A5618+$C5618) - MAX(IF($B$2:$B5617=$B5618, $A$2:$A5617+$C$2:$C5617)), "")*24*60, "")</f>
        <v/>
      </c>
      <c r="Q5618" s="24" t="str" cm="1">
        <f t="array" ref="Q5618">IFERROR(IF($B5618=Q$1, ($A5618+$C5618) - MAX(IF($B$2:$B5617=$B5618, $A$2:$A5617+$C$2:$C5617)), "")*24*60, "")</f>
        <v/>
      </c>
      <c r="R5618" s="24" t="str" cm="1">
        <f t="array" ref="R5618">IFERROR(IF($B5618=R$1, ($A5618+$C5618) - MAX(IF($B$2:$B5617=$B5618, $A$2:$A5617+$C$2:$C5617)), "")*24*60, "")</f>
        <v/>
      </c>
      <c r="S5618" s="24" t="str" cm="1">
        <f t="array" ref="S5618">IFERROR(IF($B5618=S$1, ($A5618+$C5618) - MAX(IF($B$2:$B5617=$B5618, $A$2:$A5617+$C$2:$C5617)), "")*24*60, "")</f>
        <v/>
      </c>
    </row>
    <row r="5619" spans="1:19" x14ac:dyDescent="0.2">
      <c r="A5619" s="12">
        <f t="shared" ref="A5619:C5619" si="1153">A5618</f>
        <v>45985</v>
      </c>
      <c r="B5619" s="5" t="str">
        <f t="shared" si="1153"/>
        <v>Northern Cardinal</v>
      </c>
      <c r="C5619" s="6">
        <f t="shared" si="1153"/>
        <v>0.29166666666666669</v>
      </c>
      <c r="D5619" s="5"/>
      <c r="E5619" s="5"/>
      <c r="F5619" s="5" t="s">
        <v>8</v>
      </c>
      <c r="G5619" s="15" t="s">
        <v>9</v>
      </c>
      <c r="H5619" s="24">
        <f t="shared" si="1129"/>
        <v>0</v>
      </c>
      <c r="I5619" s="24" cm="1">
        <f t="array" ref="I5619">IFERROR(IF($B5619=I$1, ($A5619+$C5619) - MAX(IF($B$2:$B5618=$B5619, $A$2:$A5618+$C$2:$C5618)), "")*24*60, "")</f>
        <v>0</v>
      </c>
      <c r="J5619" s="24" t="str" cm="1">
        <f t="array" ref="J5619">IFERROR(IF($B5619=J$1, ($A5619+$C5619) - MAX(IF($B$2:$B5618=$B5619, $A$2:$A5618+$C$2:$C5618)), "")*24*60, "")</f>
        <v/>
      </c>
      <c r="K5619" s="24" t="str" cm="1">
        <f t="array" ref="K5619">IFERROR(IF($B5619=K$1, ($A5619+$C5619) - MAX(IF($B$2:$B5618=$B5619, $A$2:$A5618+$C$2:$C5618)), "")*24*60, "")</f>
        <v/>
      </c>
      <c r="L5619" s="24" t="str" cm="1">
        <f t="array" ref="L5619">IFERROR(IF($B5619=L$1, ($A5619+$C5619) - MAX(IF($B$2:$B5618=$B5619, $A$2:$A5618+$C$2:$C5618)), "")*24*60, "")</f>
        <v/>
      </c>
      <c r="M5619" s="24" t="str" cm="1">
        <f t="array" ref="M5619">IFERROR(IF($B5619=M$1, ($A5619+$C5619) - MAX(IF($B$2:$B5618=$B5619, $A$2:$A5618+$C$2:$C5618)), "")*24*60, "")</f>
        <v/>
      </c>
      <c r="N5619" s="24" t="str" cm="1">
        <f t="array" ref="N5619">IFERROR(IF($B5619=N$1, ($A5619+$C5619) - MAX(IF($B$2:$B5618=$B5619, $A$2:$A5618+$C$2:$C5618)), "")*24*60, "")</f>
        <v/>
      </c>
      <c r="O5619" s="24" t="str" cm="1">
        <f t="array" ref="O5619">IFERROR(IF($B5619=O$1, ($A5619+$C5619) - MAX(IF($B$2:$B5618=$B5619, $A$2:$A5618+$C$2:$C5618)), "")*24*60, "")</f>
        <v/>
      </c>
      <c r="P5619" s="24" t="str" cm="1">
        <f t="array" ref="P5619">IFERROR(IF($B5619=P$1, ($A5619+$C5619) - MAX(IF($B$2:$B5618=$B5619, $A$2:$A5618+$C$2:$C5618)), "")*24*60, "")</f>
        <v/>
      </c>
      <c r="Q5619" s="24" t="str" cm="1">
        <f t="array" ref="Q5619">IFERROR(IF($B5619=Q$1, ($A5619+$C5619) - MAX(IF($B$2:$B5618=$B5619, $A$2:$A5618+$C$2:$C5618)), "")*24*60, "")</f>
        <v/>
      </c>
      <c r="R5619" s="24" t="str" cm="1">
        <f t="array" ref="R5619">IFERROR(IF($B5619=R$1, ($A5619+$C5619) - MAX(IF($B$2:$B5618=$B5619, $A$2:$A5618+$C$2:$C5618)), "")*24*60, "")</f>
        <v/>
      </c>
      <c r="S5619" s="24" t="str" cm="1">
        <f t="array" ref="S5619">IFERROR(IF($B5619=S$1, ($A5619+$C5619) - MAX(IF($B$2:$B5618=$B5619, $A$2:$A5618+$C$2:$C5618)), "")*24*60, "")</f>
        <v/>
      </c>
    </row>
    <row r="5620" spans="1:19" x14ac:dyDescent="0.2">
      <c r="A5620" s="12">
        <f t="shared" ref="A5620:C5620" si="1154">A5619</f>
        <v>45985</v>
      </c>
      <c r="B5620" s="5" t="str">
        <f t="shared" si="1154"/>
        <v>Northern Cardinal</v>
      </c>
      <c r="C5620" s="6">
        <f t="shared" si="1154"/>
        <v>0.29166666666666669</v>
      </c>
      <c r="D5620" s="5"/>
      <c r="E5620" s="5"/>
      <c r="F5620" s="5" t="s">
        <v>8</v>
      </c>
      <c r="G5620" s="15" t="s">
        <v>9</v>
      </c>
      <c r="H5620" s="24">
        <f t="shared" si="1129"/>
        <v>0</v>
      </c>
      <c r="I5620" s="24" cm="1">
        <f t="array" ref="I5620">IFERROR(IF($B5620=I$1, ($A5620+$C5620) - MAX(IF($B$2:$B5619=$B5620, $A$2:$A5619+$C$2:$C5619)), "")*24*60, "")</f>
        <v>0</v>
      </c>
      <c r="J5620" s="24" t="str" cm="1">
        <f t="array" ref="J5620">IFERROR(IF($B5620=J$1, ($A5620+$C5620) - MAX(IF($B$2:$B5619=$B5620, $A$2:$A5619+$C$2:$C5619)), "")*24*60, "")</f>
        <v/>
      </c>
      <c r="K5620" s="24" t="str" cm="1">
        <f t="array" ref="K5620">IFERROR(IF($B5620=K$1, ($A5620+$C5620) - MAX(IF($B$2:$B5619=$B5620, $A$2:$A5619+$C$2:$C5619)), "")*24*60, "")</f>
        <v/>
      </c>
      <c r="L5620" s="24" t="str" cm="1">
        <f t="array" ref="L5620">IFERROR(IF($B5620=L$1, ($A5620+$C5620) - MAX(IF($B$2:$B5619=$B5620, $A$2:$A5619+$C$2:$C5619)), "")*24*60, "")</f>
        <v/>
      </c>
      <c r="M5620" s="24" t="str" cm="1">
        <f t="array" ref="M5620">IFERROR(IF($B5620=M$1, ($A5620+$C5620) - MAX(IF($B$2:$B5619=$B5620, $A$2:$A5619+$C$2:$C5619)), "")*24*60, "")</f>
        <v/>
      </c>
      <c r="N5620" s="24" t="str" cm="1">
        <f t="array" ref="N5620">IFERROR(IF($B5620=N$1, ($A5620+$C5620) - MAX(IF($B$2:$B5619=$B5620, $A$2:$A5619+$C$2:$C5619)), "")*24*60, "")</f>
        <v/>
      </c>
      <c r="O5620" s="24" t="str" cm="1">
        <f t="array" ref="O5620">IFERROR(IF($B5620=O$1, ($A5620+$C5620) - MAX(IF($B$2:$B5619=$B5620, $A$2:$A5619+$C$2:$C5619)), "")*24*60, "")</f>
        <v/>
      </c>
      <c r="P5620" s="24" t="str" cm="1">
        <f t="array" ref="P5620">IFERROR(IF($B5620=P$1, ($A5620+$C5620) - MAX(IF($B$2:$B5619=$B5620, $A$2:$A5619+$C$2:$C5619)), "")*24*60, "")</f>
        <v/>
      </c>
      <c r="Q5620" s="24" t="str" cm="1">
        <f t="array" ref="Q5620">IFERROR(IF($B5620=Q$1, ($A5620+$C5620) - MAX(IF($B$2:$B5619=$B5620, $A$2:$A5619+$C$2:$C5619)), "")*24*60, "")</f>
        <v/>
      </c>
      <c r="R5620" s="24" t="str" cm="1">
        <f t="array" ref="R5620">IFERROR(IF($B5620=R$1, ($A5620+$C5620) - MAX(IF($B$2:$B5619=$B5620, $A$2:$A5619+$C$2:$C5619)), "")*24*60, "")</f>
        <v/>
      </c>
      <c r="S5620" s="24" t="str" cm="1">
        <f t="array" ref="S5620">IFERROR(IF($B5620=S$1, ($A5620+$C5620) - MAX(IF($B$2:$B5619=$B5620, $A$2:$A5619+$C$2:$C5619)), "")*24*60, "")</f>
        <v/>
      </c>
    </row>
    <row r="5621" spans="1:19" x14ac:dyDescent="0.2">
      <c r="A5621" s="12">
        <f t="shared" ref="A5621:C5621" si="1155">A5620</f>
        <v>45985</v>
      </c>
      <c r="B5621" s="5" t="str">
        <f t="shared" si="1155"/>
        <v>Northern Cardinal</v>
      </c>
      <c r="C5621" s="6">
        <f t="shared" si="1155"/>
        <v>0.29166666666666669</v>
      </c>
      <c r="D5621" s="5"/>
      <c r="E5621" s="5"/>
      <c r="F5621" s="5" t="s">
        <v>8</v>
      </c>
      <c r="G5621" s="15" t="s">
        <v>9</v>
      </c>
      <c r="H5621" s="24">
        <f t="shared" si="1129"/>
        <v>0</v>
      </c>
      <c r="I5621" s="24" cm="1">
        <f t="array" ref="I5621">IFERROR(IF($B5621=I$1, ($A5621+$C5621) - MAX(IF($B$2:$B5620=$B5621, $A$2:$A5620+$C$2:$C5620)), "")*24*60, "")</f>
        <v>0</v>
      </c>
      <c r="J5621" s="24" t="str" cm="1">
        <f t="array" ref="J5621">IFERROR(IF($B5621=J$1, ($A5621+$C5621) - MAX(IF($B$2:$B5620=$B5621, $A$2:$A5620+$C$2:$C5620)), "")*24*60, "")</f>
        <v/>
      </c>
      <c r="K5621" s="24" t="str" cm="1">
        <f t="array" ref="K5621">IFERROR(IF($B5621=K$1, ($A5621+$C5621) - MAX(IF($B$2:$B5620=$B5621, $A$2:$A5620+$C$2:$C5620)), "")*24*60, "")</f>
        <v/>
      </c>
      <c r="L5621" s="24" t="str" cm="1">
        <f t="array" ref="L5621">IFERROR(IF($B5621=L$1, ($A5621+$C5621) - MAX(IF($B$2:$B5620=$B5621, $A$2:$A5620+$C$2:$C5620)), "")*24*60, "")</f>
        <v/>
      </c>
      <c r="M5621" s="24" t="str" cm="1">
        <f t="array" ref="M5621">IFERROR(IF($B5621=M$1, ($A5621+$C5621) - MAX(IF($B$2:$B5620=$B5621, $A$2:$A5620+$C$2:$C5620)), "")*24*60, "")</f>
        <v/>
      </c>
      <c r="N5621" s="24" t="str" cm="1">
        <f t="array" ref="N5621">IFERROR(IF($B5621=N$1, ($A5621+$C5621) - MAX(IF($B$2:$B5620=$B5621, $A$2:$A5620+$C$2:$C5620)), "")*24*60, "")</f>
        <v/>
      </c>
      <c r="O5621" s="24" t="str" cm="1">
        <f t="array" ref="O5621">IFERROR(IF($B5621=O$1, ($A5621+$C5621) - MAX(IF($B$2:$B5620=$B5621, $A$2:$A5620+$C$2:$C5620)), "")*24*60, "")</f>
        <v/>
      </c>
      <c r="P5621" s="24" t="str" cm="1">
        <f t="array" ref="P5621">IFERROR(IF($B5621=P$1, ($A5621+$C5621) - MAX(IF($B$2:$B5620=$B5621, $A$2:$A5620+$C$2:$C5620)), "")*24*60, "")</f>
        <v/>
      </c>
      <c r="Q5621" s="24" t="str" cm="1">
        <f t="array" ref="Q5621">IFERROR(IF($B5621=Q$1, ($A5621+$C5621) - MAX(IF($B$2:$B5620=$B5621, $A$2:$A5620+$C$2:$C5620)), "")*24*60, "")</f>
        <v/>
      </c>
      <c r="R5621" s="24" t="str" cm="1">
        <f t="array" ref="R5621">IFERROR(IF($B5621=R$1, ($A5621+$C5621) - MAX(IF($B$2:$B5620=$B5621, $A$2:$A5620+$C$2:$C5620)), "")*24*60, "")</f>
        <v/>
      </c>
      <c r="S5621" s="24" t="str" cm="1">
        <f t="array" ref="S5621">IFERROR(IF($B5621=S$1, ($A5621+$C5621) - MAX(IF($B$2:$B5620=$B5621, $A$2:$A5620+$C$2:$C5620)), "")*24*60, "")</f>
        <v/>
      </c>
    </row>
    <row r="5622" spans="1:19" x14ac:dyDescent="0.2">
      <c r="A5622" s="12">
        <f t="shared" ref="A5622:C5622" si="1156">A5621</f>
        <v>45985</v>
      </c>
      <c r="B5622" s="5" t="str">
        <f t="shared" si="1156"/>
        <v>Northern Cardinal</v>
      </c>
      <c r="C5622" s="6">
        <f t="shared" si="1156"/>
        <v>0.29166666666666669</v>
      </c>
      <c r="D5622" s="5"/>
      <c r="E5622" s="5"/>
      <c r="F5622" s="5" t="s">
        <v>8</v>
      </c>
      <c r="G5622" s="15" t="s">
        <v>9</v>
      </c>
      <c r="H5622" s="24">
        <f t="shared" si="1129"/>
        <v>0</v>
      </c>
      <c r="I5622" s="24" cm="1">
        <f t="array" ref="I5622">IFERROR(IF($B5622=I$1, ($A5622+$C5622) - MAX(IF($B$2:$B5621=$B5622, $A$2:$A5621+$C$2:$C5621)), "")*24*60, "")</f>
        <v>0</v>
      </c>
      <c r="J5622" s="24" t="str" cm="1">
        <f t="array" ref="J5622">IFERROR(IF($B5622=J$1, ($A5622+$C5622) - MAX(IF($B$2:$B5621=$B5622, $A$2:$A5621+$C$2:$C5621)), "")*24*60, "")</f>
        <v/>
      </c>
      <c r="K5622" s="24" t="str" cm="1">
        <f t="array" ref="K5622">IFERROR(IF($B5622=K$1, ($A5622+$C5622) - MAX(IF($B$2:$B5621=$B5622, $A$2:$A5621+$C$2:$C5621)), "")*24*60, "")</f>
        <v/>
      </c>
      <c r="L5622" s="24" t="str" cm="1">
        <f t="array" ref="L5622">IFERROR(IF($B5622=L$1, ($A5622+$C5622) - MAX(IF($B$2:$B5621=$B5622, $A$2:$A5621+$C$2:$C5621)), "")*24*60, "")</f>
        <v/>
      </c>
      <c r="M5622" s="24" t="str" cm="1">
        <f t="array" ref="M5622">IFERROR(IF($B5622=M$1, ($A5622+$C5622) - MAX(IF($B$2:$B5621=$B5622, $A$2:$A5621+$C$2:$C5621)), "")*24*60, "")</f>
        <v/>
      </c>
      <c r="N5622" s="24" t="str" cm="1">
        <f t="array" ref="N5622">IFERROR(IF($B5622=N$1, ($A5622+$C5622) - MAX(IF($B$2:$B5621=$B5622, $A$2:$A5621+$C$2:$C5621)), "")*24*60, "")</f>
        <v/>
      </c>
      <c r="O5622" s="24" t="str" cm="1">
        <f t="array" ref="O5622">IFERROR(IF($B5622=O$1, ($A5622+$C5622) - MAX(IF($B$2:$B5621=$B5622, $A$2:$A5621+$C$2:$C5621)), "")*24*60, "")</f>
        <v/>
      </c>
      <c r="P5622" s="24" t="str" cm="1">
        <f t="array" ref="P5622">IFERROR(IF($B5622=P$1, ($A5622+$C5622) - MAX(IF($B$2:$B5621=$B5622, $A$2:$A5621+$C$2:$C5621)), "")*24*60, "")</f>
        <v/>
      </c>
      <c r="Q5622" s="24" t="str" cm="1">
        <f t="array" ref="Q5622">IFERROR(IF($B5622=Q$1, ($A5622+$C5622) - MAX(IF($B$2:$B5621=$B5622, $A$2:$A5621+$C$2:$C5621)), "")*24*60, "")</f>
        <v/>
      </c>
      <c r="R5622" s="24" t="str" cm="1">
        <f t="array" ref="R5622">IFERROR(IF($B5622=R$1, ($A5622+$C5622) - MAX(IF($B$2:$B5621=$B5622, $A$2:$A5621+$C$2:$C5621)), "")*24*60, "")</f>
        <v/>
      </c>
      <c r="S5622" s="24" t="str" cm="1">
        <f t="array" ref="S5622">IFERROR(IF($B5622=S$1, ($A5622+$C5622) - MAX(IF($B$2:$B5621=$B5622, $A$2:$A5621+$C$2:$C5621)), "")*24*60, "")</f>
        <v/>
      </c>
    </row>
    <row r="5623" spans="1:19" x14ac:dyDescent="0.2">
      <c r="A5623" s="12">
        <f t="shared" ref="A5623:C5623" si="1157">A5622</f>
        <v>45985</v>
      </c>
      <c r="B5623" s="5" t="str">
        <f t="shared" si="1157"/>
        <v>Northern Cardinal</v>
      </c>
      <c r="C5623" s="6">
        <f t="shared" si="1157"/>
        <v>0.29166666666666669</v>
      </c>
      <c r="D5623" s="5"/>
      <c r="E5623" s="5"/>
      <c r="F5623" s="5" t="s">
        <v>8</v>
      </c>
      <c r="G5623" s="15" t="s">
        <v>9</v>
      </c>
      <c r="H5623" s="24">
        <f t="shared" si="1129"/>
        <v>0</v>
      </c>
      <c r="I5623" s="24" cm="1">
        <f t="array" ref="I5623">IFERROR(IF($B5623=I$1, ($A5623+$C5623) - MAX(IF($B$2:$B5622=$B5623, $A$2:$A5622+$C$2:$C5622)), "")*24*60, "")</f>
        <v>0</v>
      </c>
      <c r="J5623" s="24" t="str" cm="1">
        <f t="array" ref="J5623">IFERROR(IF($B5623=J$1, ($A5623+$C5623) - MAX(IF($B$2:$B5622=$B5623, $A$2:$A5622+$C$2:$C5622)), "")*24*60, "")</f>
        <v/>
      </c>
      <c r="K5623" s="24" t="str" cm="1">
        <f t="array" ref="K5623">IFERROR(IF($B5623=K$1, ($A5623+$C5623) - MAX(IF($B$2:$B5622=$B5623, $A$2:$A5622+$C$2:$C5622)), "")*24*60, "")</f>
        <v/>
      </c>
      <c r="L5623" s="24" t="str" cm="1">
        <f t="array" ref="L5623">IFERROR(IF($B5623=L$1, ($A5623+$C5623) - MAX(IF($B$2:$B5622=$B5623, $A$2:$A5622+$C$2:$C5622)), "")*24*60, "")</f>
        <v/>
      </c>
      <c r="M5623" s="24" t="str" cm="1">
        <f t="array" ref="M5623">IFERROR(IF($B5623=M$1, ($A5623+$C5623) - MAX(IF($B$2:$B5622=$B5623, $A$2:$A5622+$C$2:$C5622)), "")*24*60, "")</f>
        <v/>
      </c>
      <c r="N5623" s="24" t="str" cm="1">
        <f t="array" ref="N5623">IFERROR(IF($B5623=N$1, ($A5623+$C5623) - MAX(IF($B$2:$B5622=$B5623, $A$2:$A5622+$C$2:$C5622)), "")*24*60, "")</f>
        <v/>
      </c>
      <c r="O5623" s="24" t="str" cm="1">
        <f t="array" ref="O5623">IFERROR(IF($B5623=O$1, ($A5623+$C5623) - MAX(IF($B$2:$B5622=$B5623, $A$2:$A5622+$C$2:$C5622)), "")*24*60, "")</f>
        <v/>
      </c>
      <c r="P5623" s="24" t="str" cm="1">
        <f t="array" ref="P5623">IFERROR(IF($B5623=P$1, ($A5623+$C5623) - MAX(IF($B$2:$B5622=$B5623, $A$2:$A5622+$C$2:$C5622)), "")*24*60, "")</f>
        <v/>
      </c>
      <c r="Q5623" s="24" t="str" cm="1">
        <f t="array" ref="Q5623">IFERROR(IF($B5623=Q$1, ($A5623+$C5623) - MAX(IF($B$2:$B5622=$B5623, $A$2:$A5622+$C$2:$C5622)), "")*24*60, "")</f>
        <v/>
      </c>
      <c r="R5623" s="24" t="str" cm="1">
        <f t="array" ref="R5623">IFERROR(IF($B5623=R$1, ($A5623+$C5623) - MAX(IF($B$2:$B5622=$B5623, $A$2:$A5622+$C$2:$C5622)), "")*24*60, "")</f>
        <v/>
      </c>
      <c r="S5623" s="24" t="str" cm="1">
        <f t="array" ref="S5623">IFERROR(IF($B5623=S$1, ($A5623+$C5623) - MAX(IF($B$2:$B5622=$B5623, $A$2:$A5622+$C$2:$C5622)), "")*24*60, "")</f>
        <v/>
      </c>
    </row>
    <row r="5624" spans="1:19" x14ac:dyDescent="0.2">
      <c r="A5624" s="12">
        <f t="shared" ref="A5624:C5624" si="1158">A5623</f>
        <v>45985</v>
      </c>
      <c r="B5624" s="5" t="str">
        <f t="shared" si="1158"/>
        <v>Northern Cardinal</v>
      </c>
      <c r="C5624" s="6">
        <f t="shared" si="1158"/>
        <v>0.29166666666666669</v>
      </c>
      <c r="D5624" s="5"/>
      <c r="E5624" s="5"/>
      <c r="F5624" s="5" t="s">
        <v>8</v>
      </c>
      <c r="G5624" s="15" t="s">
        <v>9</v>
      </c>
      <c r="H5624" s="24">
        <f t="shared" si="1129"/>
        <v>0</v>
      </c>
      <c r="I5624" s="24" cm="1">
        <f t="array" ref="I5624">IFERROR(IF($B5624=I$1, ($A5624+$C5624) - MAX(IF($B$2:$B5623=$B5624, $A$2:$A5623+$C$2:$C5623)), "")*24*60, "")</f>
        <v>0</v>
      </c>
      <c r="J5624" s="24" t="str" cm="1">
        <f t="array" ref="J5624">IFERROR(IF($B5624=J$1, ($A5624+$C5624) - MAX(IF($B$2:$B5623=$B5624, $A$2:$A5623+$C$2:$C5623)), "")*24*60, "")</f>
        <v/>
      </c>
      <c r="K5624" s="24" t="str" cm="1">
        <f t="array" ref="K5624">IFERROR(IF($B5624=K$1, ($A5624+$C5624) - MAX(IF($B$2:$B5623=$B5624, $A$2:$A5623+$C$2:$C5623)), "")*24*60, "")</f>
        <v/>
      </c>
      <c r="L5624" s="24" t="str" cm="1">
        <f t="array" ref="L5624">IFERROR(IF($B5624=L$1, ($A5624+$C5624) - MAX(IF($B$2:$B5623=$B5624, $A$2:$A5623+$C$2:$C5623)), "")*24*60, "")</f>
        <v/>
      </c>
      <c r="M5624" s="24" t="str" cm="1">
        <f t="array" ref="M5624">IFERROR(IF($B5624=M$1, ($A5624+$C5624) - MAX(IF($B$2:$B5623=$B5624, $A$2:$A5623+$C$2:$C5623)), "")*24*60, "")</f>
        <v/>
      </c>
      <c r="N5624" s="24" t="str" cm="1">
        <f t="array" ref="N5624">IFERROR(IF($B5624=N$1, ($A5624+$C5624) - MAX(IF($B$2:$B5623=$B5624, $A$2:$A5623+$C$2:$C5623)), "")*24*60, "")</f>
        <v/>
      </c>
      <c r="O5624" s="24" t="str" cm="1">
        <f t="array" ref="O5624">IFERROR(IF($B5624=O$1, ($A5624+$C5624) - MAX(IF($B$2:$B5623=$B5624, $A$2:$A5623+$C$2:$C5623)), "")*24*60, "")</f>
        <v/>
      </c>
      <c r="P5624" s="24" t="str" cm="1">
        <f t="array" ref="P5624">IFERROR(IF($B5624=P$1, ($A5624+$C5624) - MAX(IF($B$2:$B5623=$B5624, $A$2:$A5623+$C$2:$C5623)), "")*24*60, "")</f>
        <v/>
      </c>
      <c r="Q5624" s="24" t="str" cm="1">
        <f t="array" ref="Q5624">IFERROR(IF($B5624=Q$1, ($A5624+$C5624) - MAX(IF($B$2:$B5623=$B5624, $A$2:$A5623+$C$2:$C5623)), "")*24*60, "")</f>
        <v/>
      </c>
      <c r="R5624" s="24" t="str" cm="1">
        <f t="array" ref="R5624">IFERROR(IF($B5624=R$1, ($A5624+$C5624) - MAX(IF($B$2:$B5623=$B5624, $A$2:$A5623+$C$2:$C5623)), "")*24*60, "")</f>
        <v/>
      </c>
      <c r="S5624" s="24" t="str" cm="1">
        <f t="array" ref="S5624">IFERROR(IF($B5624=S$1, ($A5624+$C5624) - MAX(IF($B$2:$B5623=$B5624, $A$2:$A5623+$C$2:$C5623)), "")*24*60, "")</f>
        <v/>
      </c>
    </row>
    <row r="5625" spans="1:19" x14ac:dyDescent="0.2">
      <c r="A5625" s="12">
        <f t="shared" ref="A5625:C5625" si="1159">A5624</f>
        <v>45985</v>
      </c>
      <c r="B5625" s="5" t="str">
        <f t="shared" si="1159"/>
        <v>Northern Cardinal</v>
      </c>
      <c r="C5625" s="6">
        <f t="shared" si="1159"/>
        <v>0.29166666666666669</v>
      </c>
      <c r="D5625" s="5"/>
      <c r="E5625" s="5"/>
      <c r="F5625" s="5" t="s">
        <v>8</v>
      </c>
      <c r="G5625" s="15" t="s">
        <v>9</v>
      </c>
      <c r="H5625" s="24">
        <f t="shared" si="1129"/>
        <v>0</v>
      </c>
      <c r="I5625" s="24" cm="1">
        <f t="array" ref="I5625">IFERROR(IF($B5625=I$1, ($A5625+$C5625) - MAX(IF($B$2:$B5624=$B5625, $A$2:$A5624+$C$2:$C5624)), "")*24*60, "")</f>
        <v>0</v>
      </c>
      <c r="J5625" s="24" t="str" cm="1">
        <f t="array" ref="J5625">IFERROR(IF($B5625=J$1, ($A5625+$C5625) - MAX(IF($B$2:$B5624=$B5625, $A$2:$A5624+$C$2:$C5624)), "")*24*60, "")</f>
        <v/>
      </c>
      <c r="K5625" s="24" t="str" cm="1">
        <f t="array" ref="K5625">IFERROR(IF($B5625=K$1, ($A5625+$C5625) - MAX(IF($B$2:$B5624=$B5625, $A$2:$A5624+$C$2:$C5624)), "")*24*60, "")</f>
        <v/>
      </c>
      <c r="L5625" s="24" t="str" cm="1">
        <f t="array" ref="L5625">IFERROR(IF($B5625=L$1, ($A5625+$C5625) - MAX(IF($B$2:$B5624=$B5625, $A$2:$A5624+$C$2:$C5624)), "")*24*60, "")</f>
        <v/>
      </c>
      <c r="M5625" s="24" t="str" cm="1">
        <f t="array" ref="M5625">IFERROR(IF($B5625=M$1, ($A5625+$C5625) - MAX(IF($B$2:$B5624=$B5625, $A$2:$A5624+$C$2:$C5624)), "")*24*60, "")</f>
        <v/>
      </c>
      <c r="N5625" s="24" t="str" cm="1">
        <f t="array" ref="N5625">IFERROR(IF($B5625=N$1, ($A5625+$C5625) - MAX(IF($B$2:$B5624=$B5625, $A$2:$A5624+$C$2:$C5624)), "")*24*60, "")</f>
        <v/>
      </c>
      <c r="O5625" s="24" t="str" cm="1">
        <f t="array" ref="O5625">IFERROR(IF($B5625=O$1, ($A5625+$C5625) - MAX(IF($B$2:$B5624=$B5625, $A$2:$A5624+$C$2:$C5624)), "")*24*60, "")</f>
        <v/>
      </c>
      <c r="P5625" s="24" t="str" cm="1">
        <f t="array" ref="P5625">IFERROR(IF($B5625=P$1, ($A5625+$C5625) - MAX(IF($B$2:$B5624=$B5625, $A$2:$A5624+$C$2:$C5624)), "")*24*60, "")</f>
        <v/>
      </c>
      <c r="Q5625" s="24" t="str" cm="1">
        <f t="array" ref="Q5625">IFERROR(IF($B5625=Q$1, ($A5625+$C5625) - MAX(IF($B$2:$B5624=$B5625, $A$2:$A5624+$C$2:$C5624)), "")*24*60, "")</f>
        <v/>
      </c>
      <c r="R5625" s="24" t="str" cm="1">
        <f t="array" ref="R5625">IFERROR(IF($B5625=R$1, ($A5625+$C5625) - MAX(IF($B$2:$B5624=$B5625, $A$2:$A5624+$C$2:$C5624)), "")*24*60, "")</f>
        <v/>
      </c>
      <c r="S5625" s="24" t="str" cm="1">
        <f t="array" ref="S5625">IFERROR(IF($B5625=S$1, ($A5625+$C5625) - MAX(IF($B$2:$B5624=$B5625, $A$2:$A5624+$C$2:$C5624)), "")*24*60, "")</f>
        <v/>
      </c>
    </row>
    <row r="5626" spans="1:19" x14ac:dyDescent="0.2">
      <c r="A5626" s="12">
        <f t="shared" ref="A5626:C5626" si="1160">A5625</f>
        <v>45985</v>
      </c>
      <c r="B5626" s="5" t="str">
        <f t="shared" si="1160"/>
        <v>Northern Cardinal</v>
      </c>
      <c r="C5626" s="6">
        <f t="shared" si="1160"/>
        <v>0.29166666666666669</v>
      </c>
      <c r="D5626" s="5"/>
      <c r="E5626" s="5"/>
      <c r="F5626" s="5" t="s">
        <v>8</v>
      </c>
      <c r="G5626" s="15" t="s">
        <v>9</v>
      </c>
      <c r="H5626" s="24">
        <f t="shared" si="1129"/>
        <v>0</v>
      </c>
      <c r="I5626" s="24" cm="1">
        <f t="array" ref="I5626">IFERROR(IF($B5626=I$1, ($A5626+$C5626) - MAX(IF($B$2:$B5625=$B5626, $A$2:$A5625+$C$2:$C5625)), "")*24*60, "")</f>
        <v>0</v>
      </c>
      <c r="J5626" s="24" t="str" cm="1">
        <f t="array" ref="J5626">IFERROR(IF($B5626=J$1, ($A5626+$C5626) - MAX(IF($B$2:$B5625=$B5626, $A$2:$A5625+$C$2:$C5625)), "")*24*60, "")</f>
        <v/>
      </c>
      <c r="K5626" s="24" t="str" cm="1">
        <f t="array" ref="K5626">IFERROR(IF($B5626=K$1, ($A5626+$C5626) - MAX(IF($B$2:$B5625=$B5626, $A$2:$A5625+$C$2:$C5625)), "")*24*60, "")</f>
        <v/>
      </c>
      <c r="L5626" s="24" t="str" cm="1">
        <f t="array" ref="L5626">IFERROR(IF($B5626=L$1, ($A5626+$C5626) - MAX(IF($B$2:$B5625=$B5626, $A$2:$A5625+$C$2:$C5625)), "")*24*60, "")</f>
        <v/>
      </c>
      <c r="M5626" s="24" t="str" cm="1">
        <f t="array" ref="M5626">IFERROR(IF($B5626=M$1, ($A5626+$C5626) - MAX(IF($B$2:$B5625=$B5626, $A$2:$A5625+$C$2:$C5625)), "")*24*60, "")</f>
        <v/>
      </c>
      <c r="N5626" s="24" t="str" cm="1">
        <f t="array" ref="N5626">IFERROR(IF($B5626=N$1, ($A5626+$C5626) - MAX(IF($B$2:$B5625=$B5626, $A$2:$A5625+$C$2:$C5625)), "")*24*60, "")</f>
        <v/>
      </c>
      <c r="O5626" s="24" t="str" cm="1">
        <f t="array" ref="O5626">IFERROR(IF($B5626=O$1, ($A5626+$C5626) - MAX(IF($B$2:$B5625=$B5626, $A$2:$A5625+$C$2:$C5625)), "")*24*60, "")</f>
        <v/>
      </c>
      <c r="P5626" s="24" t="str" cm="1">
        <f t="array" ref="P5626">IFERROR(IF($B5626=P$1, ($A5626+$C5626) - MAX(IF($B$2:$B5625=$B5626, $A$2:$A5625+$C$2:$C5625)), "")*24*60, "")</f>
        <v/>
      </c>
      <c r="Q5626" s="24" t="str" cm="1">
        <f t="array" ref="Q5626">IFERROR(IF($B5626=Q$1, ($A5626+$C5626) - MAX(IF($B$2:$B5625=$B5626, $A$2:$A5625+$C$2:$C5625)), "")*24*60, "")</f>
        <v/>
      </c>
      <c r="R5626" s="24" t="str" cm="1">
        <f t="array" ref="R5626">IFERROR(IF($B5626=R$1, ($A5626+$C5626) - MAX(IF($B$2:$B5625=$B5626, $A$2:$A5625+$C$2:$C5625)), "")*24*60, "")</f>
        <v/>
      </c>
      <c r="S5626" s="24" t="str" cm="1">
        <f t="array" ref="S5626">IFERROR(IF($B5626=S$1, ($A5626+$C5626) - MAX(IF($B$2:$B5625=$B5626, $A$2:$A5625+$C$2:$C5625)), "")*24*60, "")</f>
        <v/>
      </c>
    </row>
    <row r="5627" spans="1:19" x14ac:dyDescent="0.2">
      <c r="A5627" s="12">
        <f t="shared" ref="A5627:C5627" si="1161">A5626</f>
        <v>45985</v>
      </c>
      <c r="B5627" s="5" t="str">
        <f t="shared" si="1161"/>
        <v>Northern Cardinal</v>
      </c>
      <c r="C5627" s="6">
        <f t="shared" si="1161"/>
        <v>0.29166666666666669</v>
      </c>
      <c r="D5627" s="5"/>
      <c r="E5627" s="5"/>
      <c r="F5627" s="5" t="s">
        <v>8</v>
      </c>
      <c r="G5627" s="15" t="s">
        <v>9</v>
      </c>
      <c r="H5627" s="24">
        <f t="shared" si="1129"/>
        <v>0</v>
      </c>
      <c r="I5627" s="24" cm="1">
        <f t="array" ref="I5627">IFERROR(IF($B5627=I$1, ($A5627+$C5627) - MAX(IF($B$2:$B5626=$B5627, $A$2:$A5626+$C$2:$C5626)), "")*24*60, "")</f>
        <v>0</v>
      </c>
      <c r="J5627" s="24" t="str" cm="1">
        <f t="array" ref="J5627">IFERROR(IF($B5627=J$1, ($A5627+$C5627) - MAX(IF($B$2:$B5626=$B5627, $A$2:$A5626+$C$2:$C5626)), "")*24*60, "")</f>
        <v/>
      </c>
      <c r="K5627" s="24" t="str" cm="1">
        <f t="array" ref="K5627">IFERROR(IF($B5627=K$1, ($A5627+$C5627) - MAX(IF($B$2:$B5626=$B5627, $A$2:$A5626+$C$2:$C5626)), "")*24*60, "")</f>
        <v/>
      </c>
      <c r="L5627" s="24" t="str" cm="1">
        <f t="array" ref="L5627">IFERROR(IF($B5627=L$1, ($A5627+$C5627) - MAX(IF($B$2:$B5626=$B5627, $A$2:$A5626+$C$2:$C5626)), "")*24*60, "")</f>
        <v/>
      </c>
      <c r="M5627" s="24" t="str" cm="1">
        <f t="array" ref="M5627">IFERROR(IF($B5627=M$1, ($A5627+$C5627) - MAX(IF($B$2:$B5626=$B5627, $A$2:$A5626+$C$2:$C5626)), "")*24*60, "")</f>
        <v/>
      </c>
      <c r="N5627" s="24" t="str" cm="1">
        <f t="array" ref="N5627">IFERROR(IF($B5627=N$1, ($A5627+$C5627) - MAX(IF($B$2:$B5626=$B5627, $A$2:$A5626+$C$2:$C5626)), "")*24*60, "")</f>
        <v/>
      </c>
      <c r="O5627" s="24" t="str" cm="1">
        <f t="array" ref="O5627">IFERROR(IF($B5627=O$1, ($A5627+$C5627) - MAX(IF($B$2:$B5626=$B5627, $A$2:$A5626+$C$2:$C5626)), "")*24*60, "")</f>
        <v/>
      </c>
      <c r="P5627" s="24" t="str" cm="1">
        <f t="array" ref="P5627">IFERROR(IF($B5627=P$1, ($A5627+$C5627) - MAX(IF($B$2:$B5626=$B5627, $A$2:$A5626+$C$2:$C5626)), "")*24*60, "")</f>
        <v/>
      </c>
      <c r="Q5627" s="24" t="str" cm="1">
        <f t="array" ref="Q5627">IFERROR(IF($B5627=Q$1, ($A5627+$C5627) - MAX(IF($B$2:$B5626=$B5627, $A$2:$A5626+$C$2:$C5626)), "")*24*60, "")</f>
        <v/>
      </c>
      <c r="R5627" s="24" t="str" cm="1">
        <f t="array" ref="R5627">IFERROR(IF($B5627=R$1, ($A5627+$C5627) - MAX(IF($B$2:$B5626=$B5627, $A$2:$A5626+$C$2:$C5626)), "")*24*60, "")</f>
        <v/>
      </c>
      <c r="S5627" s="24" t="str" cm="1">
        <f t="array" ref="S5627">IFERROR(IF($B5627=S$1, ($A5627+$C5627) - MAX(IF($B$2:$B5626=$B5627, $A$2:$A5626+$C$2:$C5626)), "")*24*60, "")</f>
        <v/>
      </c>
    </row>
    <row r="5628" spans="1:19" x14ac:dyDescent="0.2">
      <c r="A5628" s="12">
        <f t="shared" ref="A5628:C5628" si="1162">A5627</f>
        <v>45985</v>
      </c>
      <c r="B5628" s="5" t="str">
        <f t="shared" si="1162"/>
        <v>Northern Cardinal</v>
      </c>
      <c r="C5628" s="6">
        <f t="shared" si="1162"/>
        <v>0.29166666666666669</v>
      </c>
      <c r="D5628" s="5"/>
      <c r="E5628" s="5"/>
      <c r="F5628" s="5" t="s">
        <v>8</v>
      </c>
      <c r="G5628" s="15" t="s">
        <v>9</v>
      </c>
      <c r="H5628" s="24">
        <f t="shared" si="1129"/>
        <v>0</v>
      </c>
      <c r="I5628" s="24" cm="1">
        <f t="array" ref="I5628">IFERROR(IF($B5628=I$1, ($A5628+$C5628) - MAX(IF($B$2:$B5627=$B5628, $A$2:$A5627+$C$2:$C5627)), "")*24*60, "")</f>
        <v>0</v>
      </c>
      <c r="J5628" s="24" t="str" cm="1">
        <f t="array" ref="J5628">IFERROR(IF($B5628=J$1, ($A5628+$C5628) - MAX(IF($B$2:$B5627=$B5628, $A$2:$A5627+$C$2:$C5627)), "")*24*60, "")</f>
        <v/>
      </c>
      <c r="K5628" s="24" t="str" cm="1">
        <f t="array" ref="K5628">IFERROR(IF($B5628=K$1, ($A5628+$C5628) - MAX(IF($B$2:$B5627=$B5628, $A$2:$A5627+$C$2:$C5627)), "")*24*60, "")</f>
        <v/>
      </c>
      <c r="L5628" s="24" t="str" cm="1">
        <f t="array" ref="L5628">IFERROR(IF($B5628=L$1, ($A5628+$C5628) - MAX(IF($B$2:$B5627=$B5628, $A$2:$A5627+$C$2:$C5627)), "")*24*60, "")</f>
        <v/>
      </c>
      <c r="M5628" s="24" t="str" cm="1">
        <f t="array" ref="M5628">IFERROR(IF($B5628=M$1, ($A5628+$C5628) - MAX(IF($B$2:$B5627=$B5628, $A$2:$A5627+$C$2:$C5627)), "")*24*60, "")</f>
        <v/>
      </c>
      <c r="N5628" s="24" t="str" cm="1">
        <f t="array" ref="N5628">IFERROR(IF($B5628=N$1, ($A5628+$C5628) - MAX(IF($B$2:$B5627=$B5628, $A$2:$A5627+$C$2:$C5627)), "")*24*60, "")</f>
        <v/>
      </c>
      <c r="O5628" s="24" t="str" cm="1">
        <f t="array" ref="O5628">IFERROR(IF($B5628=O$1, ($A5628+$C5628) - MAX(IF($B$2:$B5627=$B5628, $A$2:$A5627+$C$2:$C5627)), "")*24*60, "")</f>
        <v/>
      </c>
      <c r="P5628" s="24" t="str" cm="1">
        <f t="array" ref="P5628">IFERROR(IF($B5628=P$1, ($A5628+$C5628) - MAX(IF($B$2:$B5627=$B5628, $A$2:$A5627+$C$2:$C5627)), "")*24*60, "")</f>
        <v/>
      </c>
      <c r="Q5628" s="24" t="str" cm="1">
        <f t="array" ref="Q5628">IFERROR(IF($B5628=Q$1, ($A5628+$C5628) - MAX(IF($B$2:$B5627=$B5628, $A$2:$A5627+$C$2:$C5627)), "")*24*60, "")</f>
        <v/>
      </c>
      <c r="R5628" s="24" t="str" cm="1">
        <f t="array" ref="R5628">IFERROR(IF($B5628=R$1, ($A5628+$C5628) - MAX(IF($B$2:$B5627=$B5628, $A$2:$A5627+$C$2:$C5627)), "")*24*60, "")</f>
        <v/>
      </c>
      <c r="S5628" s="24" t="str" cm="1">
        <f t="array" ref="S5628">IFERROR(IF($B5628=S$1, ($A5628+$C5628) - MAX(IF($B$2:$B5627=$B5628, $A$2:$A5627+$C$2:$C5627)), "")*24*60, "")</f>
        <v/>
      </c>
    </row>
    <row r="5629" spans="1:19" x14ac:dyDescent="0.2">
      <c r="A5629" s="12">
        <f t="shared" ref="A5629:C5629" si="1163">A5628</f>
        <v>45985</v>
      </c>
      <c r="B5629" s="5" t="str">
        <f t="shared" si="1163"/>
        <v>Northern Cardinal</v>
      </c>
      <c r="C5629" s="6">
        <f t="shared" si="1163"/>
        <v>0.29166666666666669</v>
      </c>
      <c r="D5629" s="5"/>
      <c r="E5629" s="5"/>
      <c r="F5629" s="5" t="s">
        <v>8</v>
      </c>
      <c r="G5629" s="15" t="s">
        <v>9</v>
      </c>
      <c r="H5629" s="24">
        <f t="shared" si="1129"/>
        <v>0</v>
      </c>
      <c r="I5629" s="24" cm="1">
        <f t="array" ref="I5629">IFERROR(IF($B5629=I$1, ($A5629+$C5629) - MAX(IF($B$2:$B5628=$B5629, $A$2:$A5628+$C$2:$C5628)), "")*24*60, "")</f>
        <v>0</v>
      </c>
      <c r="J5629" s="24" t="str" cm="1">
        <f t="array" ref="J5629">IFERROR(IF($B5629=J$1, ($A5629+$C5629) - MAX(IF($B$2:$B5628=$B5629, $A$2:$A5628+$C$2:$C5628)), "")*24*60, "")</f>
        <v/>
      </c>
      <c r="K5629" s="24" t="str" cm="1">
        <f t="array" ref="K5629">IFERROR(IF($B5629=K$1, ($A5629+$C5629) - MAX(IF($B$2:$B5628=$B5629, $A$2:$A5628+$C$2:$C5628)), "")*24*60, "")</f>
        <v/>
      </c>
      <c r="L5629" s="24" t="str" cm="1">
        <f t="array" ref="L5629">IFERROR(IF($B5629=L$1, ($A5629+$C5629) - MAX(IF($B$2:$B5628=$B5629, $A$2:$A5628+$C$2:$C5628)), "")*24*60, "")</f>
        <v/>
      </c>
      <c r="M5629" s="24" t="str" cm="1">
        <f t="array" ref="M5629">IFERROR(IF($B5629=M$1, ($A5629+$C5629) - MAX(IF($B$2:$B5628=$B5629, $A$2:$A5628+$C$2:$C5628)), "")*24*60, "")</f>
        <v/>
      </c>
      <c r="N5629" s="24" t="str" cm="1">
        <f t="array" ref="N5629">IFERROR(IF($B5629=N$1, ($A5629+$C5629) - MAX(IF($B$2:$B5628=$B5629, $A$2:$A5628+$C$2:$C5628)), "")*24*60, "")</f>
        <v/>
      </c>
      <c r="O5629" s="24" t="str" cm="1">
        <f t="array" ref="O5629">IFERROR(IF($B5629=O$1, ($A5629+$C5629) - MAX(IF($B$2:$B5628=$B5629, $A$2:$A5628+$C$2:$C5628)), "")*24*60, "")</f>
        <v/>
      </c>
      <c r="P5629" s="24" t="str" cm="1">
        <f t="array" ref="P5629">IFERROR(IF($B5629=P$1, ($A5629+$C5629) - MAX(IF($B$2:$B5628=$B5629, $A$2:$A5628+$C$2:$C5628)), "")*24*60, "")</f>
        <v/>
      </c>
      <c r="Q5629" s="24" t="str" cm="1">
        <f t="array" ref="Q5629">IFERROR(IF($B5629=Q$1, ($A5629+$C5629) - MAX(IF($B$2:$B5628=$B5629, $A$2:$A5628+$C$2:$C5628)), "")*24*60, "")</f>
        <v/>
      </c>
      <c r="R5629" s="24" t="str" cm="1">
        <f t="array" ref="R5629">IFERROR(IF($B5629=R$1, ($A5629+$C5629) - MAX(IF($B$2:$B5628=$B5629, $A$2:$A5628+$C$2:$C5628)), "")*24*60, "")</f>
        <v/>
      </c>
      <c r="S5629" s="24" t="str" cm="1">
        <f t="array" ref="S5629">IFERROR(IF($B5629=S$1, ($A5629+$C5629) - MAX(IF($B$2:$B5628=$B5629, $A$2:$A5628+$C$2:$C5628)), "")*24*60, "")</f>
        <v/>
      </c>
    </row>
    <row r="5630" spans="1:19" x14ac:dyDescent="0.2">
      <c r="A5630" s="12">
        <f t="shared" ref="A5630:C5630" si="1164">A5629</f>
        <v>45985</v>
      </c>
      <c r="B5630" s="5" t="str">
        <f t="shared" si="1164"/>
        <v>Northern Cardinal</v>
      </c>
      <c r="C5630" s="6">
        <f t="shared" si="1164"/>
        <v>0.29166666666666669</v>
      </c>
      <c r="D5630" s="5"/>
      <c r="E5630" s="5"/>
      <c r="F5630" s="5" t="s">
        <v>8</v>
      </c>
      <c r="G5630" s="15" t="s">
        <v>9</v>
      </c>
      <c r="H5630" s="24">
        <f t="shared" si="1129"/>
        <v>0</v>
      </c>
      <c r="I5630" s="24" cm="1">
        <f t="array" ref="I5630">IFERROR(IF($B5630=I$1, ($A5630+$C5630) - MAX(IF($B$2:$B5629=$B5630, $A$2:$A5629+$C$2:$C5629)), "")*24*60, "")</f>
        <v>0</v>
      </c>
      <c r="J5630" s="24" t="str" cm="1">
        <f t="array" ref="J5630">IFERROR(IF($B5630=J$1, ($A5630+$C5630) - MAX(IF($B$2:$B5629=$B5630, $A$2:$A5629+$C$2:$C5629)), "")*24*60, "")</f>
        <v/>
      </c>
      <c r="K5630" s="24" t="str" cm="1">
        <f t="array" ref="K5630">IFERROR(IF($B5630=K$1, ($A5630+$C5630) - MAX(IF($B$2:$B5629=$B5630, $A$2:$A5629+$C$2:$C5629)), "")*24*60, "")</f>
        <v/>
      </c>
      <c r="L5630" s="24" t="str" cm="1">
        <f t="array" ref="L5630">IFERROR(IF($B5630=L$1, ($A5630+$C5630) - MAX(IF($B$2:$B5629=$B5630, $A$2:$A5629+$C$2:$C5629)), "")*24*60, "")</f>
        <v/>
      </c>
      <c r="M5630" s="24" t="str" cm="1">
        <f t="array" ref="M5630">IFERROR(IF($B5630=M$1, ($A5630+$C5630) - MAX(IF($B$2:$B5629=$B5630, $A$2:$A5629+$C$2:$C5629)), "")*24*60, "")</f>
        <v/>
      </c>
      <c r="N5630" s="24" t="str" cm="1">
        <f t="array" ref="N5630">IFERROR(IF($B5630=N$1, ($A5630+$C5630) - MAX(IF($B$2:$B5629=$B5630, $A$2:$A5629+$C$2:$C5629)), "")*24*60, "")</f>
        <v/>
      </c>
      <c r="O5630" s="24" t="str" cm="1">
        <f t="array" ref="O5630">IFERROR(IF($B5630=O$1, ($A5630+$C5630) - MAX(IF($B$2:$B5629=$B5630, $A$2:$A5629+$C$2:$C5629)), "")*24*60, "")</f>
        <v/>
      </c>
      <c r="P5630" s="24" t="str" cm="1">
        <f t="array" ref="P5630">IFERROR(IF($B5630=P$1, ($A5630+$C5630) - MAX(IF($B$2:$B5629=$B5630, $A$2:$A5629+$C$2:$C5629)), "")*24*60, "")</f>
        <v/>
      </c>
      <c r="Q5630" s="24" t="str" cm="1">
        <f t="array" ref="Q5630">IFERROR(IF($B5630=Q$1, ($A5630+$C5630) - MAX(IF($B$2:$B5629=$B5630, $A$2:$A5629+$C$2:$C5629)), "")*24*60, "")</f>
        <v/>
      </c>
      <c r="R5630" s="24" t="str" cm="1">
        <f t="array" ref="R5630">IFERROR(IF($B5630=R$1, ($A5630+$C5630) - MAX(IF($B$2:$B5629=$B5630, $A$2:$A5629+$C$2:$C5629)), "")*24*60, "")</f>
        <v/>
      </c>
      <c r="S5630" s="24" t="str" cm="1">
        <f t="array" ref="S5630">IFERROR(IF($B5630=S$1, ($A5630+$C5630) - MAX(IF($B$2:$B5629=$B5630, $A$2:$A5629+$C$2:$C5629)), "")*24*60, "")</f>
        <v/>
      </c>
    </row>
    <row r="5631" spans="1:19" x14ac:dyDescent="0.2">
      <c r="A5631" s="12">
        <f t="shared" ref="A5631:C5631" si="1165">A5630</f>
        <v>45985</v>
      </c>
      <c r="B5631" s="5" t="str">
        <f t="shared" si="1165"/>
        <v>Northern Cardinal</v>
      </c>
      <c r="C5631" s="6">
        <f t="shared" si="1165"/>
        <v>0.29166666666666669</v>
      </c>
      <c r="D5631" s="5"/>
      <c r="E5631" s="5"/>
      <c r="F5631" s="5" t="s">
        <v>8</v>
      </c>
      <c r="G5631" s="15" t="s">
        <v>9</v>
      </c>
      <c r="H5631" s="24">
        <f t="shared" si="1129"/>
        <v>0</v>
      </c>
      <c r="I5631" s="24" cm="1">
        <f t="array" ref="I5631">IFERROR(IF($B5631=I$1, ($A5631+$C5631) - MAX(IF($B$2:$B5630=$B5631, $A$2:$A5630+$C$2:$C5630)), "")*24*60, "")</f>
        <v>0</v>
      </c>
      <c r="J5631" s="24" t="str" cm="1">
        <f t="array" ref="J5631">IFERROR(IF($B5631=J$1, ($A5631+$C5631) - MAX(IF($B$2:$B5630=$B5631, $A$2:$A5630+$C$2:$C5630)), "")*24*60, "")</f>
        <v/>
      </c>
      <c r="K5631" s="24" t="str" cm="1">
        <f t="array" ref="K5631">IFERROR(IF($B5631=K$1, ($A5631+$C5631) - MAX(IF($B$2:$B5630=$B5631, $A$2:$A5630+$C$2:$C5630)), "")*24*60, "")</f>
        <v/>
      </c>
      <c r="L5631" s="24" t="str" cm="1">
        <f t="array" ref="L5631">IFERROR(IF($B5631=L$1, ($A5631+$C5631) - MAX(IF($B$2:$B5630=$B5631, $A$2:$A5630+$C$2:$C5630)), "")*24*60, "")</f>
        <v/>
      </c>
      <c r="M5631" s="24" t="str" cm="1">
        <f t="array" ref="M5631">IFERROR(IF($B5631=M$1, ($A5631+$C5631) - MAX(IF($B$2:$B5630=$B5631, $A$2:$A5630+$C$2:$C5630)), "")*24*60, "")</f>
        <v/>
      </c>
      <c r="N5631" s="24" t="str" cm="1">
        <f t="array" ref="N5631">IFERROR(IF($B5631=N$1, ($A5631+$C5631) - MAX(IF($B$2:$B5630=$B5631, $A$2:$A5630+$C$2:$C5630)), "")*24*60, "")</f>
        <v/>
      </c>
      <c r="O5631" s="24" t="str" cm="1">
        <f t="array" ref="O5631">IFERROR(IF($B5631=O$1, ($A5631+$C5631) - MAX(IF($B$2:$B5630=$B5631, $A$2:$A5630+$C$2:$C5630)), "")*24*60, "")</f>
        <v/>
      </c>
      <c r="P5631" s="24" t="str" cm="1">
        <f t="array" ref="P5631">IFERROR(IF($B5631=P$1, ($A5631+$C5631) - MAX(IF($B$2:$B5630=$B5631, $A$2:$A5630+$C$2:$C5630)), "")*24*60, "")</f>
        <v/>
      </c>
      <c r="Q5631" s="24" t="str" cm="1">
        <f t="array" ref="Q5631">IFERROR(IF($B5631=Q$1, ($A5631+$C5631) - MAX(IF($B$2:$B5630=$B5631, $A$2:$A5630+$C$2:$C5630)), "")*24*60, "")</f>
        <v/>
      </c>
      <c r="R5631" s="24" t="str" cm="1">
        <f t="array" ref="R5631">IFERROR(IF($B5631=R$1, ($A5631+$C5631) - MAX(IF($B$2:$B5630=$B5631, $A$2:$A5630+$C$2:$C5630)), "")*24*60, "")</f>
        <v/>
      </c>
      <c r="S5631" s="24" t="str" cm="1">
        <f t="array" ref="S5631">IFERROR(IF($B5631=S$1, ($A5631+$C5631) - MAX(IF($B$2:$B5630=$B5631, $A$2:$A5630+$C$2:$C5630)), "")*24*60, "")</f>
        <v/>
      </c>
    </row>
    <row r="5632" spans="1:19" x14ac:dyDescent="0.2">
      <c r="A5632" s="12">
        <f t="shared" ref="A5632:C5632" si="1166">A5631</f>
        <v>45985</v>
      </c>
      <c r="B5632" s="5" t="str">
        <f t="shared" si="1166"/>
        <v>Northern Cardinal</v>
      </c>
      <c r="C5632" s="6">
        <f t="shared" si="1166"/>
        <v>0.29166666666666669</v>
      </c>
      <c r="D5632" s="5"/>
      <c r="E5632" s="5"/>
      <c r="F5632" s="5" t="s">
        <v>8</v>
      </c>
      <c r="G5632" s="15" t="s">
        <v>9</v>
      </c>
      <c r="H5632" s="24">
        <f t="shared" si="1129"/>
        <v>0</v>
      </c>
      <c r="I5632" s="24" cm="1">
        <f t="array" ref="I5632">IFERROR(IF($B5632=I$1, ($A5632+$C5632) - MAX(IF($B$2:$B5631=$B5632, $A$2:$A5631+$C$2:$C5631)), "")*24*60, "")</f>
        <v>0</v>
      </c>
      <c r="J5632" s="24" t="str" cm="1">
        <f t="array" ref="J5632">IFERROR(IF($B5632=J$1, ($A5632+$C5632) - MAX(IF($B$2:$B5631=$B5632, $A$2:$A5631+$C$2:$C5631)), "")*24*60, "")</f>
        <v/>
      </c>
      <c r="K5632" s="24" t="str" cm="1">
        <f t="array" ref="K5632">IFERROR(IF($B5632=K$1, ($A5632+$C5632) - MAX(IF($B$2:$B5631=$B5632, $A$2:$A5631+$C$2:$C5631)), "")*24*60, "")</f>
        <v/>
      </c>
      <c r="L5632" s="24" t="str" cm="1">
        <f t="array" ref="L5632">IFERROR(IF($B5632=L$1, ($A5632+$C5632) - MAX(IF($B$2:$B5631=$B5632, $A$2:$A5631+$C$2:$C5631)), "")*24*60, "")</f>
        <v/>
      </c>
      <c r="M5632" s="24" t="str" cm="1">
        <f t="array" ref="M5632">IFERROR(IF($B5632=M$1, ($A5632+$C5632) - MAX(IF($B$2:$B5631=$B5632, $A$2:$A5631+$C$2:$C5631)), "")*24*60, "")</f>
        <v/>
      </c>
      <c r="N5632" s="24" t="str" cm="1">
        <f t="array" ref="N5632">IFERROR(IF($B5632=N$1, ($A5632+$C5632) - MAX(IF($B$2:$B5631=$B5632, $A$2:$A5631+$C$2:$C5631)), "")*24*60, "")</f>
        <v/>
      </c>
      <c r="O5632" s="24" t="str" cm="1">
        <f t="array" ref="O5632">IFERROR(IF($B5632=O$1, ($A5632+$C5632) - MAX(IF($B$2:$B5631=$B5632, $A$2:$A5631+$C$2:$C5631)), "")*24*60, "")</f>
        <v/>
      </c>
      <c r="P5632" s="24" t="str" cm="1">
        <f t="array" ref="P5632">IFERROR(IF($B5632=P$1, ($A5632+$C5632) - MAX(IF($B$2:$B5631=$B5632, $A$2:$A5631+$C$2:$C5631)), "")*24*60, "")</f>
        <v/>
      </c>
      <c r="Q5632" s="24" t="str" cm="1">
        <f t="array" ref="Q5632">IFERROR(IF($B5632=Q$1, ($A5632+$C5632) - MAX(IF($B$2:$B5631=$B5632, $A$2:$A5631+$C$2:$C5631)), "")*24*60, "")</f>
        <v/>
      </c>
      <c r="R5632" s="24" t="str" cm="1">
        <f t="array" ref="R5632">IFERROR(IF($B5632=R$1, ($A5632+$C5632) - MAX(IF($B$2:$B5631=$B5632, $A$2:$A5631+$C$2:$C5631)), "")*24*60, "")</f>
        <v/>
      </c>
      <c r="S5632" s="24" t="str" cm="1">
        <f t="array" ref="S5632">IFERROR(IF($B5632=S$1, ($A5632+$C5632) - MAX(IF($B$2:$B5631=$B5632, $A$2:$A5631+$C$2:$C5631)), "")*24*60, "")</f>
        <v/>
      </c>
    </row>
    <row r="5633" spans="1:19" x14ac:dyDescent="0.2">
      <c r="A5633" s="12">
        <f t="shared" ref="A5633:C5633" si="1167">A5632</f>
        <v>45985</v>
      </c>
      <c r="B5633" s="5" t="str">
        <f t="shared" si="1167"/>
        <v>Northern Cardinal</v>
      </c>
      <c r="C5633" s="6">
        <f t="shared" si="1167"/>
        <v>0.29166666666666669</v>
      </c>
      <c r="D5633" s="5"/>
      <c r="E5633" s="5"/>
      <c r="F5633" s="5" t="s">
        <v>8</v>
      </c>
      <c r="G5633" s="15" t="s">
        <v>9</v>
      </c>
      <c r="H5633" s="24">
        <f t="shared" si="1129"/>
        <v>0</v>
      </c>
      <c r="I5633" s="24" cm="1">
        <f t="array" ref="I5633">IFERROR(IF($B5633=I$1, ($A5633+$C5633) - MAX(IF($B$2:$B5632=$B5633, $A$2:$A5632+$C$2:$C5632)), "")*24*60, "")</f>
        <v>0</v>
      </c>
      <c r="J5633" s="24" t="str" cm="1">
        <f t="array" ref="J5633">IFERROR(IF($B5633=J$1, ($A5633+$C5633) - MAX(IF($B$2:$B5632=$B5633, $A$2:$A5632+$C$2:$C5632)), "")*24*60, "")</f>
        <v/>
      </c>
      <c r="K5633" s="24" t="str" cm="1">
        <f t="array" ref="K5633">IFERROR(IF($B5633=K$1, ($A5633+$C5633) - MAX(IF($B$2:$B5632=$B5633, $A$2:$A5632+$C$2:$C5632)), "")*24*60, "")</f>
        <v/>
      </c>
      <c r="L5633" s="24" t="str" cm="1">
        <f t="array" ref="L5633">IFERROR(IF($B5633=L$1, ($A5633+$C5633) - MAX(IF($B$2:$B5632=$B5633, $A$2:$A5632+$C$2:$C5632)), "")*24*60, "")</f>
        <v/>
      </c>
      <c r="M5633" s="24" t="str" cm="1">
        <f t="array" ref="M5633">IFERROR(IF($B5633=M$1, ($A5633+$C5633) - MAX(IF($B$2:$B5632=$B5633, $A$2:$A5632+$C$2:$C5632)), "")*24*60, "")</f>
        <v/>
      </c>
      <c r="N5633" s="24" t="str" cm="1">
        <f t="array" ref="N5633">IFERROR(IF($B5633=N$1, ($A5633+$C5633) - MAX(IF($B$2:$B5632=$B5633, $A$2:$A5632+$C$2:$C5632)), "")*24*60, "")</f>
        <v/>
      </c>
      <c r="O5633" s="24" t="str" cm="1">
        <f t="array" ref="O5633">IFERROR(IF($B5633=O$1, ($A5633+$C5633) - MAX(IF($B$2:$B5632=$B5633, $A$2:$A5632+$C$2:$C5632)), "")*24*60, "")</f>
        <v/>
      </c>
      <c r="P5633" s="24" t="str" cm="1">
        <f t="array" ref="P5633">IFERROR(IF($B5633=P$1, ($A5633+$C5633) - MAX(IF($B$2:$B5632=$B5633, $A$2:$A5632+$C$2:$C5632)), "")*24*60, "")</f>
        <v/>
      </c>
      <c r="Q5633" s="24" t="str" cm="1">
        <f t="array" ref="Q5633">IFERROR(IF($B5633=Q$1, ($A5633+$C5633) - MAX(IF($B$2:$B5632=$B5633, $A$2:$A5632+$C$2:$C5632)), "")*24*60, "")</f>
        <v/>
      </c>
      <c r="R5633" s="24" t="str" cm="1">
        <f t="array" ref="R5633">IFERROR(IF($B5633=R$1, ($A5633+$C5633) - MAX(IF($B$2:$B5632=$B5633, $A$2:$A5632+$C$2:$C5632)), "")*24*60, "")</f>
        <v/>
      </c>
      <c r="S5633" s="24" t="str" cm="1">
        <f t="array" ref="S5633">IFERROR(IF($B5633=S$1, ($A5633+$C5633) - MAX(IF($B$2:$B5632=$B5633, $A$2:$A5632+$C$2:$C5632)), "")*24*60, "")</f>
        <v/>
      </c>
    </row>
    <row r="5634" spans="1:19" x14ac:dyDescent="0.2">
      <c r="A5634" s="12">
        <f t="shared" ref="A5634:C5634" si="1168">A5633</f>
        <v>45985</v>
      </c>
      <c r="B5634" s="5" t="str">
        <f t="shared" si="1168"/>
        <v>Northern Cardinal</v>
      </c>
      <c r="C5634" s="6">
        <f t="shared" si="1168"/>
        <v>0.29166666666666669</v>
      </c>
      <c r="D5634" s="5"/>
      <c r="E5634" s="5"/>
      <c r="F5634" s="5" t="s">
        <v>8</v>
      </c>
      <c r="G5634" s="15" t="s">
        <v>9</v>
      </c>
      <c r="H5634" s="24">
        <f t="shared" si="1129"/>
        <v>0</v>
      </c>
      <c r="I5634" s="24" cm="1">
        <f t="array" ref="I5634">IFERROR(IF($B5634=I$1, ($A5634+$C5634) - MAX(IF($B$2:$B5633=$B5634, $A$2:$A5633+$C$2:$C5633)), "")*24*60, "")</f>
        <v>0</v>
      </c>
      <c r="J5634" s="24" t="str" cm="1">
        <f t="array" ref="J5634">IFERROR(IF($B5634=J$1, ($A5634+$C5634) - MAX(IF($B$2:$B5633=$B5634, $A$2:$A5633+$C$2:$C5633)), "")*24*60, "")</f>
        <v/>
      </c>
      <c r="K5634" s="24" t="str" cm="1">
        <f t="array" ref="K5634">IFERROR(IF($B5634=K$1, ($A5634+$C5634) - MAX(IF($B$2:$B5633=$B5634, $A$2:$A5633+$C$2:$C5633)), "")*24*60, "")</f>
        <v/>
      </c>
      <c r="L5634" s="24" t="str" cm="1">
        <f t="array" ref="L5634">IFERROR(IF($B5634=L$1, ($A5634+$C5634) - MAX(IF($B$2:$B5633=$B5634, $A$2:$A5633+$C$2:$C5633)), "")*24*60, "")</f>
        <v/>
      </c>
      <c r="M5634" s="24" t="str" cm="1">
        <f t="array" ref="M5634">IFERROR(IF($B5634=M$1, ($A5634+$C5634) - MAX(IF($B$2:$B5633=$B5634, $A$2:$A5633+$C$2:$C5633)), "")*24*60, "")</f>
        <v/>
      </c>
      <c r="N5634" s="24" t="str" cm="1">
        <f t="array" ref="N5634">IFERROR(IF($B5634=N$1, ($A5634+$C5634) - MAX(IF($B$2:$B5633=$B5634, $A$2:$A5633+$C$2:$C5633)), "")*24*60, "")</f>
        <v/>
      </c>
      <c r="O5634" s="24" t="str" cm="1">
        <f t="array" ref="O5634">IFERROR(IF($B5634=O$1, ($A5634+$C5634) - MAX(IF($B$2:$B5633=$B5634, $A$2:$A5633+$C$2:$C5633)), "")*24*60, "")</f>
        <v/>
      </c>
      <c r="P5634" s="24" t="str" cm="1">
        <f t="array" ref="P5634">IFERROR(IF($B5634=P$1, ($A5634+$C5634) - MAX(IF($B$2:$B5633=$B5634, $A$2:$A5633+$C$2:$C5633)), "")*24*60, "")</f>
        <v/>
      </c>
      <c r="Q5634" s="24" t="str" cm="1">
        <f t="array" ref="Q5634">IFERROR(IF($B5634=Q$1, ($A5634+$C5634) - MAX(IF($B$2:$B5633=$B5634, $A$2:$A5633+$C$2:$C5633)), "")*24*60, "")</f>
        <v/>
      </c>
      <c r="R5634" s="24" t="str" cm="1">
        <f t="array" ref="R5634">IFERROR(IF($B5634=R$1, ($A5634+$C5634) - MAX(IF($B$2:$B5633=$B5634, $A$2:$A5633+$C$2:$C5633)), "")*24*60, "")</f>
        <v/>
      </c>
      <c r="S5634" s="24" t="str" cm="1">
        <f t="array" ref="S5634">IFERROR(IF($B5634=S$1, ($A5634+$C5634) - MAX(IF($B$2:$B5633=$B5634, $A$2:$A5633+$C$2:$C5633)), "")*24*60, "")</f>
        <v/>
      </c>
    </row>
    <row r="5635" spans="1:19" x14ac:dyDescent="0.2">
      <c r="A5635" s="12">
        <f t="shared" ref="A5635:C5635" si="1169">A5634</f>
        <v>45985</v>
      </c>
      <c r="B5635" s="5" t="str">
        <f t="shared" si="1169"/>
        <v>Northern Cardinal</v>
      </c>
      <c r="C5635" s="6">
        <f t="shared" si="1169"/>
        <v>0.29166666666666669</v>
      </c>
      <c r="D5635" s="5"/>
      <c r="E5635" s="5"/>
      <c r="F5635" s="5" t="s">
        <v>8</v>
      </c>
      <c r="G5635" s="15" t="s">
        <v>9</v>
      </c>
      <c r="H5635" s="24">
        <f t="shared" si="1129"/>
        <v>0</v>
      </c>
      <c r="I5635" s="24" cm="1">
        <f t="array" ref="I5635">IFERROR(IF($B5635=I$1, ($A5635+$C5635) - MAX(IF($B$2:$B5634=$B5635, $A$2:$A5634+$C$2:$C5634)), "")*24*60, "")</f>
        <v>0</v>
      </c>
      <c r="J5635" s="24" t="str" cm="1">
        <f t="array" ref="J5635">IFERROR(IF($B5635=J$1, ($A5635+$C5635) - MAX(IF($B$2:$B5634=$B5635, $A$2:$A5634+$C$2:$C5634)), "")*24*60, "")</f>
        <v/>
      </c>
      <c r="K5635" s="24" t="str" cm="1">
        <f t="array" ref="K5635">IFERROR(IF($B5635=K$1, ($A5635+$C5635) - MAX(IF($B$2:$B5634=$B5635, $A$2:$A5634+$C$2:$C5634)), "")*24*60, "")</f>
        <v/>
      </c>
      <c r="L5635" s="24" t="str" cm="1">
        <f t="array" ref="L5635">IFERROR(IF($B5635=L$1, ($A5635+$C5635) - MAX(IF($B$2:$B5634=$B5635, $A$2:$A5634+$C$2:$C5634)), "")*24*60, "")</f>
        <v/>
      </c>
      <c r="M5635" s="24" t="str" cm="1">
        <f t="array" ref="M5635">IFERROR(IF($B5635=M$1, ($A5635+$C5635) - MAX(IF($B$2:$B5634=$B5635, $A$2:$A5634+$C$2:$C5634)), "")*24*60, "")</f>
        <v/>
      </c>
      <c r="N5635" s="24" t="str" cm="1">
        <f t="array" ref="N5635">IFERROR(IF($B5635=N$1, ($A5635+$C5635) - MAX(IF($B$2:$B5634=$B5635, $A$2:$A5634+$C$2:$C5634)), "")*24*60, "")</f>
        <v/>
      </c>
      <c r="O5635" s="24" t="str" cm="1">
        <f t="array" ref="O5635">IFERROR(IF($B5635=O$1, ($A5635+$C5635) - MAX(IF($B$2:$B5634=$B5635, $A$2:$A5634+$C$2:$C5634)), "")*24*60, "")</f>
        <v/>
      </c>
      <c r="P5635" s="24" t="str" cm="1">
        <f t="array" ref="P5635">IFERROR(IF($B5635=P$1, ($A5635+$C5635) - MAX(IF($B$2:$B5634=$B5635, $A$2:$A5634+$C$2:$C5634)), "")*24*60, "")</f>
        <v/>
      </c>
      <c r="Q5635" s="24" t="str" cm="1">
        <f t="array" ref="Q5635">IFERROR(IF($B5635=Q$1, ($A5635+$C5635) - MAX(IF($B$2:$B5634=$B5635, $A$2:$A5634+$C$2:$C5634)), "")*24*60, "")</f>
        <v/>
      </c>
      <c r="R5635" s="24" t="str" cm="1">
        <f t="array" ref="R5635">IFERROR(IF($B5635=R$1, ($A5635+$C5635) - MAX(IF($B$2:$B5634=$B5635, $A$2:$A5634+$C$2:$C5634)), "")*24*60, "")</f>
        <v/>
      </c>
      <c r="S5635" s="24" t="str" cm="1">
        <f t="array" ref="S5635">IFERROR(IF($B5635=S$1, ($A5635+$C5635) - MAX(IF($B$2:$B5634=$B5635, $A$2:$A5634+$C$2:$C5634)), "")*24*60, "")</f>
        <v/>
      </c>
    </row>
    <row r="5636" spans="1:19" x14ac:dyDescent="0.2">
      <c r="A5636" s="12">
        <f t="shared" ref="A5636:C5636" si="1170">A5635</f>
        <v>45985</v>
      </c>
      <c r="B5636" s="5" t="str">
        <f t="shared" si="1170"/>
        <v>Northern Cardinal</v>
      </c>
      <c r="C5636" s="6">
        <f t="shared" si="1170"/>
        <v>0.29166666666666669</v>
      </c>
      <c r="D5636" s="5"/>
      <c r="E5636" s="5"/>
      <c r="F5636" s="5" t="s">
        <v>8</v>
      </c>
      <c r="G5636" s="15" t="s">
        <v>9</v>
      </c>
      <c r="H5636" s="24">
        <f t="shared" si="1129"/>
        <v>0</v>
      </c>
      <c r="I5636" s="24" cm="1">
        <f t="array" ref="I5636">IFERROR(IF($B5636=I$1, ($A5636+$C5636) - MAX(IF($B$2:$B5635=$B5636, $A$2:$A5635+$C$2:$C5635)), "")*24*60, "")</f>
        <v>0</v>
      </c>
      <c r="J5636" s="24" t="str" cm="1">
        <f t="array" ref="J5636">IFERROR(IF($B5636=J$1, ($A5636+$C5636) - MAX(IF($B$2:$B5635=$B5636, $A$2:$A5635+$C$2:$C5635)), "")*24*60, "")</f>
        <v/>
      </c>
      <c r="K5636" s="24" t="str" cm="1">
        <f t="array" ref="K5636">IFERROR(IF($B5636=K$1, ($A5636+$C5636) - MAX(IF($B$2:$B5635=$B5636, $A$2:$A5635+$C$2:$C5635)), "")*24*60, "")</f>
        <v/>
      </c>
      <c r="L5636" s="24" t="str" cm="1">
        <f t="array" ref="L5636">IFERROR(IF($B5636=L$1, ($A5636+$C5636) - MAX(IF($B$2:$B5635=$B5636, $A$2:$A5635+$C$2:$C5635)), "")*24*60, "")</f>
        <v/>
      </c>
      <c r="M5636" s="24" t="str" cm="1">
        <f t="array" ref="M5636">IFERROR(IF($B5636=M$1, ($A5636+$C5636) - MAX(IF($B$2:$B5635=$B5636, $A$2:$A5635+$C$2:$C5635)), "")*24*60, "")</f>
        <v/>
      </c>
      <c r="N5636" s="24" t="str" cm="1">
        <f t="array" ref="N5636">IFERROR(IF($B5636=N$1, ($A5636+$C5636) - MAX(IF($B$2:$B5635=$B5636, $A$2:$A5635+$C$2:$C5635)), "")*24*60, "")</f>
        <v/>
      </c>
      <c r="O5636" s="24" t="str" cm="1">
        <f t="array" ref="O5636">IFERROR(IF($B5636=O$1, ($A5636+$C5636) - MAX(IF($B$2:$B5635=$B5636, $A$2:$A5635+$C$2:$C5635)), "")*24*60, "")</f>
        <v/>
      </c>
      <c r="P5636" s="24" t="str" cm="1">
        <f t="array" ref="P5636">IFERROR(IF($B5636=P$1, ($A5636+$C5636) - MAX(IF($B$2:$B5635=$B5636, $A$2:$A5635+$C$2:$C5635)), "")*24*60, "")</f>
        <v/>
      </c>
      <c r="Q5636" s="24" t="str" cm="1">
        <f t="array" ref="Q5636">IFERROR(IF($B5636=Q$1, ($A5636+$C5636) - MAX(IF($B$2:$B5635=$B5636, $A$2:$A5635+$C$2:$C5635)), "")*24*60, "")</f>
        <v/>
      </c>
      <c r="R5636" s="24" t="str" cm="1">
        <f t="array" ref="R5636">IFERROR(IF($B5636=R$1, ($A5636+$C5636) - MAX(IF($B$2:$B5635=$B5636, $A$2:$A5635+$C$2:$C5635)), "")*24*60, "")</f>
        <v/>
      </c>
      <c r="S5636" s="24" t="str" cm="1">
        <f t="array" ref="S5636">IFERROR(IF($B5636=S$1, ($A5636+$C5636) - MAX(IF($B$2:$B5635=$B5636, $A$2:$A5635+$C$2:$C5635)), "")*24*60, "")</f>
        <v/>
      </c>
    </row>
    <row r="5637" spans="1:19" x14ac:dyDescent="0.2">
      <c r="A5637" s="12">
        <f t="shared" ref="A5637:C5637" si="1171">A5636</f>
        <v>45985</v>
      </c>
      <c r="B5637" s="5" t="str">
        <f t="shared" si="1171"/>
        <v>Northern Cardinal</v>
      </c>
      <c r="C5637" s="6">
        <f t="shared" si="1171"/>
        <v>0.29166666666666669</v>
      </c>
      <c r="D5637" s="5"/>
      <c r="E5637" s="5"/>
      <c r="F5637" s="5" t="s">
        <v>8</v>
      </c>
      <c r="G5637" s="15" t="s">
        <v>9</v>
      </c>
      <c r="H5637" s="24">
        <f t="shared" si="1129"/>
        <v>0</v>
      </c>
      <c r="I5637" s="24" cm="1">
        <f t="array" ref="I5637">IFERROR(IF($B5637=I$1, ($A5637+$C5637) - MAX(IF($B$2:$B5636=$B5637, $A$2:$A5636+$C$2:$C5636)), "")*24*60, "")</f>
        <v>0</v>
      </c>
      <c r="J5637" s="24" t="str" cm="1">
        <f t="array" ref="J5637">IFERROR(IF($B5637=J$1, ($A5637+$C5637) - MAX(IF($B$2:$B5636=$B5637, $A$2:$A5636+$C$2:$C5636)), "")*24*60, "")</f>
        <v/>
      </c>
      <c r="K5637" s="24" t="str" cm="1">
        <f t="array" ref="K5637">IFERROR(IF($B5637=K$1, ($A5637+$C5637) - MAX(IF($B$2:$B5636=$B5637, $A$2:$A5636+$C$2:$C5636)), "")*24*60, "")</f>
        <v/>
      </c>
      <c r="L5637" s="24" t="str" cm="1">
        <f t="array" ref="L5637">IFERROR(IF($B5637=L$1, ($A5637+$C5637) - MAX(IF($B$2:$B5636=$B5637, $A$2:$A5636+$C$2:$C5636)), "")*24*60, "")</f>
        <v/>
      </c>
      <c r="M5637" s="24" t="str" cm="1">
        <f t="array" ref="M5637">IFERROR(IF($B5637=M$1, ($A5637+$C5637) - MAX(IF($B$2:$B5636=$B5637, $A$2:$A5636+$C$2:$C5636)), "")*24*60, "")</f>
        <v/>
      </c>
      <c r="N5637" s="24" t="str" cm="1">
        <f t="array" ref="N5637">IFERROR(IF($B5637=N$1, ($A5637+$C5637) - MAX(IF($B$2:$B5636=$B5637, $A$2:$A5636+$C$2:$C5636)), "")*24*60, "")</f>
        <v/>
      </c>
      <c r="O5637" s="24" t="str" cm="1">
        <f t="array" ref="O5637">IFERROR(IF($B5637=O$1, ($A5637+$C5637) - MAX(IF($B$2:$B5636=$B5637, $A$2:$A5636+$C$2:$C5636)), "")*24*60, "")</f>
        <v/>
      </c>
      <c r="P5637" s="24" t="str" cm="1">
        <f t="array" ref="P5637">IFERROR(IF($B5637=P$1, ($A5637+$C5637) - MAX(IF($B$2:$B5636=$B5637, $A$2:$A5636+$C$2:$C5636)), "")*24*60, "")</f>
        <v/>
      </c>
      <c r="Q5637" s="24" t="str" cm="1">
        <f t="array" ref="Q5637">IFERROR(IF($B5637=Q$1, ($A5637+$C5637) - MAX(IF($B$2:$B5636=$B5637, $A$2:$A5636+$C$2:$C5636)), "")*24*60, "")</f>
        <v/>
      </c>
      <c r="R5637" s="24" t="str" cm="1">
        <f t="array" ref="R5637">IFERROR(IF($B5637=R$1, ($A5637+$C5637) - MAX(IF($B$2:$B5636=$B5637, $A$2:$A5636+$C$2:$C5636)), "")*24*60, "")</f>
        <v/>
      </c>
      <c r="S5637" s="24" t="str" cm="1">
        <f t="array" ref="S5637">IFERROR(IF($B5637=S$1, ($A5637+$C5637) - MAX(IF($B$2:$B5636=$B5637, $A$2:$A5636+$C$2:$C5636)), "")*24*60, "")</f>
        <v/>
      </c>
    </row>
    <row r="5638" spans="1:19" x14ac:dyDescent="0.2">
      <c r="A5638" s="12">
        <f t="shared" ref="A5638:C5638" si="1172">A5637</f>
        <v>45985</v>
      </c>
      <c r="B5638" s="5" t="str">
        <f t="shared" si="1172"/>
        <v>Northern Cardinal</v>
      </c>
      <c r="C5638" s="6">
        <f t="shared" si="1172"/>
        <v>0.29166666666666669</v>
      </c>
      <c r="D5638" s="5"/>
      <c r="E5638" s="5"/>
      <c r="F5638" s="5" t="s">
        <v>8</v>
      </c>
      <c r="G5638" s="15" t="s">
        <v>9</v>
      </c>
      <c r="H5638" s="24">
        <f t="shared" si="1129"/>
        <v>0</v>
      </c>
      <c r="I5638" s="24" cm="1">
        <f t="array" ref="I5638">IFERROR(IF($B5638=I$1, ($A5638+$C5638) - MAX(IF($B$2:$B5637=$B5638, $A$2:$A5637+$C$2:$C5637)), "")*24*60, "")</f>
        <v>0</v>
      </c>
      <c r="J5638" s="24" t="str" cm="1">
        <f t="array" ref="J5638">IFERROR(IF($B5638=J$1, ($A5638+$C5638) - MAX(IF($B$2:$B5637=$B5638, $A$2:$A5637+$C$2:$C5637)), "")*24*60, "")</f>
        <v/>
      </c>
      <c r="K5638" s="24" t="str" cm="1">
        <f t="array" ref="K5638">IFERROR(IF($B5638=K$1, ($A5638+$C5638) - MAX(IF($B$2:$B5637=$B5638, $A$2:$A5637+$C$2:$C5637)), "")*24*60, "")</f>
        <v/>
      </c>
      <c r="L5638" s="24" t="str" cm="1">
        <f t="array" ref="L5638">IFERROR(IF($B5638=L$1, ($A5638+$C5638) - MAX(IF($B$2:$B5637=$B5638, $A$2:$A5637+$C$2:$C5637)), "")*24*60, "")</f>
        <v/>
      </c>
      <c r="M5638" s="24" t="str" cm="1">
        <f t="array" ref="M5638">IFERROR(IF($B5638=M$1, ($A5638+$C5638) - MAX(IF($B$2:$B5637=$B5638, $A$2:$A5637+$C$2:$C5637)), "")*24*60, "")</f>
        <v/>
      </c>
      <c r="N5638" s="24" t="str" cm="1">
        <f t="array" ref="N5638">IFERROR(IF($B5638=N$1, ($A5638+$C5638) - MAX(IF($B$2:$B5637=$B5638, $A$2:$A5637+$C$2:$C5637)), "")*24*60, "")</f>
        <v/>
      </c>
      <c r="O5638" s="24" t="str" cm="1">
        <f t="array" ref="O5638">IFERROR(IF($B5638=O$1, ($A5638+$C5638) - MAX(IF($B$2:$B5637=$B5638, $A$2:$A5637+$C$2:$C5637)), "")*24*60, "")</f>
        <v/>
      </c>
      <c r="P5638" s="24" t="str" cm="1">
        <f t="array" ref="P5638">IFERROR(IF($B5638=P$1, ($A5638+$C5638) - MAX(IF($B$2:$B5637=$B5638, $A$2:$A5637+$C$2:$C5637)), "")*24*60, "")</f>
        <v/>
      </c>
      <c r="Q5638" s="24" t="str" cm="1">
        <f t="array" ref="Q5638">IFERROR(IF($B5638=Q$1, ($A5638+$C5638) - MAX(IF($B$2:$B5637=$B5638, $A$2:$A5637+$C$2:$C5637)), "")*24*60, "")</f>
        <v/>
      </c>
      <c r="R5638" s="24" t="str" cm="1">
        <f t="array" ref="R5638">IFERROR(IF($B5638=R$1, ($A5638+$C5638) - MAX(IF($B$2:$B5637=$B5638, $A$2:$A5637+$C$2:$C5637)), "")*24*60, "")</f>
        <v/>
      </c>
      <c r="S5638" s="24" t="str" cm="1">
        <f t="array" ref="S5638">IFERROR(IF($B5638=S$1, ($A5638+$C5638) - MAX(IF($B$2:$B5637=$B5638, $A$2:$A5637+$C$2:$C5637)), "")*24*60, "")</f>
        <v/>
      </c>
    </row>
    <row r="5639" spans="1:19" x14ac:dyDescent="0.2">
      <c r="A5639" s="12">
        <f t="shared" ref="A5639:C5639" si="1173">A5638</f>
        <v>45985</v>
      </c>
      <c r="B5639" s="5" t="str">
        <f t="shared" si="1173"/>
        <v>Northern Cardinal</v>
      </c>
      <c r="C5639" s="6">
        <f t="shared" si="1173"/>
        <v>0.29166666666666669</v>
      </c>
      <c r="D5639" s="5"/>
      <c r="E5639" s="5"/>
      <c r="F5639" s="5" t="s">
        <v>8</v>
      </c>
      <c r="G5639" s="15" t="s">
        <v>9</v>
      </c>
      <c r="H5639" s="24">
        <f t="shared" si="1129"/>
        <v>0</v>
      </c>
      <c r="I5639" s="24" cm="1">
        <f t="array" ref="I5639">IFERROR(IF($B5639=I$1, ($A5639+$C5639) - MAX(IF($B$2:$B5638=$B5639, $A$2:$A5638+$C$2:$C5638)), "")*24*60, "")</f>
        <v>0</v>
      </c>
      <c r="J5639" s="24" t="str" cm="1">
        <f t="array" ref="J5639">IFERROR(IF($B5639=J$1, ($A5639+$C5639) - MAX(IF($B$2:$B5638=$B5639, $A$2:$A5638+$C$2:$C5638)), "")*24*60, "")</f>
        <v/>
      </c>
      <c r="K5639" s="24" t="str" cm="1">
        <f t="array" ref="K5639">IFERROR(IF($B5639=K$1, ($A5639+$C5639) - MAX(IF($B$2:$B5638=$B5639, $A$2:$A5638+$C$2:$C5638)), "")*24*60, "")</f>
        <v/>
      </c>
      <c r="L5639" s="24" t="str" cm="1">
        <f t="array" ref="L5639">IFERROR(IF($B5639=L$1, ($A5639+$C5639) - MAX(IF($B$2:$B5638=$B5639, $A$2:$A5638+$C$2:$C5638)), "")*24*60, "")</f>
        <v/>
      </c>
      <c r="M5639" s="24" t="str" cm="1">
        <f t="array" ref="M5639">IFERROR(IF($B5639=M$1, ($A5639+$C5639) - MAX(IF($B$2:$B5638=$B5639, $A$2:$A5638+$C$2:$C5638)), "")*24*60, "")</f>
        <v/>
      </c>
      <c r="N5639" s="24" t="str" cm="1">
        <f t="array" ref="N5639">IFERROR(IF($B5639=N$1, ($A5639+$C5639) - MAX(IF($B$2:$B5638=$B5639, $A$2:$A5638+$C$2:$C5638)), "")*24*60, "")</f>
        <v/>
      </c>
      <c r="O5639" s="24" t="str" cm="1">
        <f t="array" ref="O5639">IFERROR(IF($B5639=O$1, ($A5639+$C5639) - MAX(IF($B$2:$B5638=$B5639, $A$2:$A5638+$C$2:$C5638)), "")*24*60, "")</f>
        <v/>
      </c>
      <c r="P5639" s="24" t="str" cm="1">
        <f t="array" ref="P5639">IFERROR(IF($B5639=P$1, ($A5639+$C5639) - MAX(IF($B$2:$B5638=$B5639, $A$2:$A5638+$C$2:$C5638)), "")*24*60, "")</f>
        <v/>
      </c>
      <c r="Q5639" s="24" t="str" cm="1">
        <f t="array" ref="Q5639">IFERROR(IF($B5639=Q$1, ($A5639+$C5639) - MAX(IF($B$2:$B5638=$B5639, $A$2:$A5638+$C$2:$C5638)), "")*24*60, "")</f>
        <v/>
      </c>
      <c r="R5639" s="24" t="str" cm="1">
        <f t="array" ref="R5639">IFERROR(IF($B5639=R$1, ($A5639+$C5639) - MAX(IF($B$2:$B5638=$B5639, $A$2:$A5638+$C$2:$C5638)), "")*24*60, "")</f>
        <v/>
      </c>
      <c r="S5639" s="24" t="str" cm="1">
        <f t="array" ref="S5639">IFERROR(IF($B5639=S$1, ($A5639+$C5639) - MAX(IF($B$2:$B5638=$B5639, $A$2:$A5638+$C$2:$C5638)), "")*24*60, "")</f>
        <v/>
      </c>
    </row>
    <row r="5640" spans="1:19" x14ac:dyDescent="0.2">
      <c r="A5640" s="12">
        <f t="shared" ref="A5640:C5640" si="1174">A5639</f>
        <v>45985</v>
      </c>
      <c r="B5640" s="5" t="str">
        <f t="shared" si="1174"/>
        <v>Northern Cardinal</v>
      </c>
      <c r="C5640" s="6">
        <f t="shared" si="1174"/>
        <v>0.29166666666666669</v>
      </c>
      <c r="D5640" s="5"/>
      <c r="E5640" s="5"/>
      <c r="F5640" s="5" t="s">
        <v>8</v>
      </c>
      <c r="G5640" s="15" t="s">
        <v>9</v>
      </c>
      <c r="H5640" s="24">
        <f t="shared" si="1129"/>
        <v>0</v>
      </c>
      <c r="I5640" s="24" cm="1">
        <f t="array" ref="I5640">IFERROR(IF($B5640=I$1, ($A5640+$C5640) - MAX(IF($B$2:$B5639=$B5640, $A$2:$A5639+$C$2:$C5639)), "")*24*60, "")</f>
        <v>0</v>
      </c>
      <c r="J5640" s="24" t="str" cm="1">
        <f t="array" ref="J5640">IFERROR(IF($B5640=J$1, ($A5640+$C5640) - MAX(IF($B$2:$B5639=$B5640, $A$2:$A5639+$C$2:$C5639)), "")*24*60, "")</f>
        <v/>
      </c>
      <c r="K5640" s="24" t="str" cm="1">
        <f t="array" ref="K5640">IFERROR(IF($B5640=K$1, ($A5640+$C5640) - MAX(IF($B$2:$B5639=$B5640, $A$2:$A5639+$C$2:$C5639)), "")*24*60, "")</f>
        <v/>
      </c>
      <c r="L5640" s="24" t="str" cm="1">
        <f t="array" ref="L5640">IFERROR(IF($B5640=L$1, ($A5640+$C5640) - MAX(IF($B$2:$B5639=$B5640, $A$2:$A5639+$C$2:$C5639)), "")*24*60, "")</f>
        <v/>
      </c>
      <c r="M5640" s="24" t="str" cm="1">
        <f t="array" ref="M5640">IFERROR(IF($B5640=M$1, ($A5640+$C5640) - MAX(IF($B$2:$B5639=$B5640, $A$2:$A5639+$C$2:$C5639)), "")*24*60, "")</f>
        <v/>
      </c>
      <c r="N5640" s="24" t="str" cm="1">
        <f t="array" ref="N5640">IFERROR(IF($B5640=N$1, ($A5640+$C5640) - MAX(IF($B$2:$B5639=$B5640, $A$2:$A5639+$C$2:$C5639)), "")*24*60, "")</f>
        <v/>
      </c>
      <c r="O5640" s="24" t="str" cm="1">
        <f t="array" ref="O5640">IFERROR(IF($B5640=O$1, ($A5640+$C5640) - MAX(IF($B$2:$B5639=$B5640, $A$2:$A5639+$C$2:$C5639)), "")*24*60, "")</f>
        <v/>
      </c>
      <c r="P5640" s="24" t="str" cm="1">
        <f t="array" ref="P5640">IFERROR(IF($B5640=P$1, ($A5640+$C5640) - MAX(IF($B$2:$B5639=$B5640, $A$2:$A5639+$C$2:$C5639)), "")*24*60, "")</f>
        <v/>
      </c>
      <c r="Q5640" s="24" t="str" cm="1">
        <f t="array" ref="Q5640">IFERROR(IF($B5640=Q$1, ($A5640+$C5640) - MAX(IF($B$2:$B5639=$B5640, $A$2:$A5639+$C$2:$C5639)), "")*24*60, "")</f>
        <v/>
      </c>
      <c r="R5640" s="24" t="str" cm="1">
        <f t="array" ref="R5640">IFERROR(IF($B5640=R$1, ($A5640+$C5640) - MAX(IF($B$2:$B5639=$B5640, $A$2:$A5639+$C$2:$C5639)), "")*24*60, "")</f>
        <v/>
      </c>
      <c r="S5640" s="24" t="str" cm="1">
        <f t="array" ref="S5640">IFERROR(IF($B5640=S$1, ($A5640+$C5640) - MAX(IF($B$2:$B5639=$B5640, $A$2:$A5639+$C$2:$C5639)), "")*24*60, "")</f>
        <v/>
      </c>
    </row>
    <row r="5641" spans="1:19" x14ac:dyDescent="0.2">
      <c r="A5641" s="12">
        <f t="shared" ref="A5641:C5641" si="1175">A5640</f>
        <v>45985</v>
      </c>
      <c r="B5641" s="5" t="str">
        <f t="shared" si="1175"/>
        <v>Northern Cardinal</v>
      </c>
      <c r="C5641" s="6">
        <f t="shared" si="1175"/>
        <v>0.29166666666666669</v>
      </c>
      <c r="D5641" s="5"/>
      <c r="E5641" s="5"/>
      <c r="F5641" s="5" t="s">
        <v>8</v>
      </c>
      <c r="G5641" s="15" t="s">
        <v>9</v>
      </c>
      <c r="H5641" s="24">
        <f t="shared" si="1129"/>
        <v>0</v>
      </c>
      <c r="I5641" s="24" cm="1">
        <f t="array" ref="I5641">IFERROR(IF($B5641=I$1, ($A5641+$C5641) - MAX(IF($B$2:$B5640=$B5641, $A$2:$A5640+$C$2:$C5640)), "")*24*60, "")</f>
        <v>0</v>
      </c>
      <c r="J5641" s="24" t="str" cm="1">
        <f t="array" ref="J5641">IFERROR(IF($B5641=J$1, ($A5641+$C5641) - MAX(IF($B$2:$B5640=$B5641, $A$2:$A5640+$C$2:$C5640)), "")*24*60, "")</f>
        <v/>
      </c>
      <c r="K5641" s="24" t="str" cm="1">
        <f t="array" ref="K5641">IFERROR(IF($B5641=K$1, ($A5641+$C5641) - MAX(IF($B$2:$B5640=$B5641, $A$2:$A5640+$C$2:$C5640)), "")*24*60, "")</f>
        <v/>
      </c>
      <c r="L5641" s="24" t="str" cm="1">
        <f t="array" ref="L5641">IFERROR(IF($B5641=L$1, ($A5641+$C5641) - MAX(IF($B$2:$B5640=$B5641, $A$2:$A5640+$C$2:$C5640)), "")*24*60, "")</f>
        <v/>
      </c>
      <c r="M5641" s="24" t="str" cm="1">
        <f t="array" ref="M5641">IFERROR(IF($B5641=M$1, ($A5641+$C5641) - MAX(IF($B$2:$B5640=$B5641, $A$2:$A5640+$C$2:$C5640)), "")*24*60, "")</f>
        <v/>
      </c>
      <c r="N5641" s="24" t="str" cm="1">
        <f t="array" ref="N5641">IFERROR(IF($B5641=N$1, ($A5641+$C5641) - MAX(IF($B$2:$B5640=$B5641, $A$2:$A5640+$C$2:$C5640)), "")*24*60, "")</f>
        <v/>
      </c>
      <c r="O5641" s="24" t="str" cm="1">
        <f t="array" ref="O5641">IFERROR(IF($B5641=O$1, ($A5641+$C5641) - MAX(IF($B$2:$B5640=$B5641, $A$2:$A5640+$C$2:$C5640)), "")*24*60, "")</f>
        <v/>
      </c>
      <c r="P5641" s="24" t="str" cm="1">
        <f t="array" ref="P5641">IFERROR(IF($B5641=P$1, ($A5641+$C5641) - MAX(IF($B$2:$B5640=$B5641, $A$2:$A5640+$C$2:$C5640)), "")*24*60, "")</f>
        <v/>
      </c>
      <c r="Q5641" s="24" t="str" cm="1">
        <f t="array" ref="Q5641">IFERROR(IF($B5641=Q$1, ($A5641+$C5641) - MAX(IF($B$2:$B5640=$B5641, $A$2:$A5640+$C$2:$C5640)), "")*24*60, "")</f>
        <v/>
      </c>
      <c r="R5641" s="24" t="str" cm="1">
        <f t="array" ref="R5641">IFERROR(IF($B5641=R$1, ($A5641+$C5641) - MAX(IF($B$2:$B5640=$B5641, $A$2:$A5640+$C$2:$C5640)), "")*24*60, "")</f>
        <v/>
      </c>
      <c r="S5641" s="24" t="str" cm="1">
        <f t="array" ref="S5641">IFERROR(IF($B5641=S$1, ($A5641+$C5641) - MAX(IF($B$2:$B5640=$B5641, $A$2:$A5640+$C$2:$C5640)), "")*24*60, "")</f>
        <v/>
      </c>
    </row>
    <row r="5642" spans="1:19" x14ac:dyDescent="0.2">
      <c r="A5642" s="12">
        <f t="shared" ref="A5642:C5642" si="1176">A5641</f>
        <v>45985</v>
      </c>
      <c r="B5642" s="5" t="str">
        <f t="shared" si="1176"/>
        <v>Northern Cardinal</v>
      </c>
      <c r="C5642" s="6">
        <f t="shared" si="1176"/>
        <v>0.29166666666666669</v>
      </c>
      <c r="D5642" s="5"/>
      <c r="E5642" s="5"/>
      <c r="F5642" s="5" t="s">
        <v>8</v>
      </c>
      <c r="G5642" s="15" t="s">
        <v>9</v>
      </c>
      <c r="H5642" s="24">
        <f t="shared" si="1129"/>
        <v>0</v>
      </c>
      <c r="I5642" s="24" cm="1">
        <f t="array" ref="I5642">IFERROR(IF($B5642=I$1, ($A5642+$C5642) - MAX(IF($B$2:$B5641=$B5642, $A$2:$A5641+$C$2:$C5641)), "")*24*60, "")</f>
        <v>0</v>
      </c>
      <c r="J5642" s="24" t="str" cm="1">
        <f t="array" ref="J5642">IFERROR(IF($B5642=J$1, ($A5642+$C5642) - MAX(IF($B$2:$B5641=$B5642, $A$2:$A5641+$C$2:$C5641)), "")*24*60, "")</f>
        <v/>
      </c>
      <c r="K5642" s="24" t="str" cm="1">
        <f t="array" ref="K5642">IFERROR(IF($B5642=K$1, ($A5642+$C5642) - MAX(IF($B$2:$B5641=$B5642, $A$2:$A5641+$C$2:$C5641)), "")*24*60, "")</f>
        <v/>
      </c>
      <c r="L5642" s="24" t="str" cm="1">
        <f t="array" ref="L5642">IFERROR(IF($B5642=L$1, ($A5642+$C5642) - MAX(IF($B$2:$B5641=$B5642, $A$2:$A5641+$C$2:$C5641)), "")*24*60, "")</f>
        <v/>
      </c>
      <c r="M5642" s="24" t="str" cm="1">
        <f t="array" ref="M5642">IFERROR(IF($B5642=M$1, ($A5642+$C5642) - MAX(IF($B$2:$B5641=$B5642, $A$2:$A5641+$C$2:$C5641)), "")*24*60, "")</f>
        <v/>
      </c>
      <c r="N5642" s="24" t="str" cm="1">
        <f t="array" ref="N5642">IFERROR(IF($B5642=N$1, ($A5642+$C5642) - MAX(IF($B$2:$B5641=$B5642, $A$2:$A5641+$C$2:$C5641)), "")*24*60, "")</f>
        <v/>
      </c>
      <c r="O5642" s="24" t="str" cm="1">
        <f t="array" ref="O5642">IFERROR(IF($B5642=O$1, ($A5642+$C5642) - MAX(IF($B$2:$B5641=$B5642, $A$2:$A5641+$C$2:$C5641)), "")*24*60, "")</f>
        <v/>
      </c>
      <c r="P5642" s="24" t="str" cm="1">
        <f t="array" ref="P5642">IFERROR(IF($B5642=P$1, ($A5642+$C5642) - MAX(IF($B$2:$B5641=$B5642, $A$2:$A5641+$C$2:$C5641)), "")*24*60, "")</f>
        <v/>
      </c>
      <c r="Q5642" s="24" t="str" cm="1">
        <f t="array" ref="Q5642">IFERROR(IF($B5642=Q$1, ($A5642+$C5642) - MAX(IF($B$2:$B5641=$B5642, $A$2:$A5641+$C$2:$C5641)), "")*24*60, "")</f>
        <v/>
      </c>
      <c r="R5642" s="24" t="str" cm="1">
        <f t="array" ref="R5642">IFERROR(IF($B5642=R$1, ($A5642+$C5642) - MAX(IF($B$2:$B5641=$B5642, $A$2:$A5641+$C$2:$C5641)), "")*24*60, "")</f>
        <v/>
      </c>
      <c r="S5642" s="24" t="str" cm="1">
        <f t="array" ref="S5642">IFERROR(IF($B5642=S$1, ($A5642+$C5642) - MAX(IF($B$2:$B5641=$B5642, $A$2:$A5641+$C$2:$C5641)), "")*24*60, "")</f>
        <v/>
      </c>
    </row>
    <row r="5643" spans="1:19" x14ac:dyDescent="0.2">
      <c r="A5643" s="12">
        <f t="shared" ref="A5643:C5643" si="1177">A5642</f>
        <v>45985</v>
      </c>
      <c r="B5643" s="5" t="str">
        <f t="shared" si="1177"/>
        <v>Northern Cardinal</v>
      </c>
      <c r="C5643" s="6">
        <f t="shared" si="1177"/>
        <v>0.29166666666666669</v>
      </c>
      <c r="D5643" s="5"/>
      <c r="E5643" s="5"/>
      <c r="F5643" s="5" t="s">
        <v>8</v>
      </c>
      <c r="G5643" s="15" t="s">
        <v>9</v>
      </c>
      <c r="H5643" s="24">
        <f t="shared" si="1129"/>
        <v>0</v>
      </c>
      <c r="I5643" s="24" cm="1">
        <f t="array" ref="I5643">IFERROR(IF($B5643=I$1, ($A5643+$C5643) - MAX(IF($B$2:$B5642=$B5643, $A$2:$A5642+$C$2:$C5642)), "")*24*60, "")</f>
        <v>0</v>
      </c>
      <c r="J5643" s="24" t="str" cm="1">
        <f t="array" ref="J5643">IFERROR(IF($B5643=J$1, ($A5643+$C5643) - MAX(IF($B$2:$B5642=$B5643, $A$2:$A5642+$C$2:$C5642)), "")*24*60, "")</f>
        <v/>
      </c>
      <c r="K5643" s="24" t="str" cm="1">
        <f t="array" ref="K5643">IFERROR(IF($B5643=K$1, ($A5643+$C5643) - MAX(IF($B$2:$B5642=$B5643, $A$2:$A5642+$C$2:$C5642)), "")*24*60, "")</f>
        <v/>
      </c>
      <c r="L5643" s="24" t="str" cm="1">
        <f t="array" ref="L5643">IFERROR(IF($B5643=L$1, ($A5643+$C5643) - MAX(IF($B$2:$B5642=$B5643, $A$2:$A5642+$C$2:$C5642)), "")*24*60, "")</f>
        <v/>
      </c>
      <c r="M5643" s="24" t="str" cm="1">
        <f t="array" ref="M5643">IFERROR(IF($B5643=M$1, ($A5643+$C5643) - MAX(IF($B$2:$B5642=$B5643, $A$2:$A5642+$C$2:$C5642)), "")*24*60, "")</f>
        <v/>
      </c>
      <c r="N5643" s="24" t="str" cm="1">
        <f t="array" ref="N5643">IFERROR(IF($B5643=N$1, ($A5643+$C5643) - MAX(IF($B$2:$B5642=$B5643, $A$2:$A5642+$C$2:$C5642)), "")*24*60, "")</f>
        <v/>
      </c>
      <c r="O5643" s="24" t="str" cm="1">
        <f t="array" ref="O5643">IFERROR(IF($B5643=O$1, ($A5643+$C5643) - MAX(IF($B$2:$B5642=$B5643, $A$2:$A5642+$C$2:$C5642)), "")*24*60, "")</f>
        <v/>
      </c>
      <c r="P5643" s="24" t="str" cm="1">
        <f t="array" ref="P5643">IFERROR(IF($B5643=P$1, ($A5643+$C5643) - MAX(IF($B$2:$B5642=$B5643, $A$2:$A5642+$C$2:$C5642)), "")*24*60, "")</f>
        <v/>
      </c>
      <c r="Q5643" s="24" t="str" cm="1">
        <f t="array" ref="Q5643">IFERROR(IF($B5643=Q$1, ($A5643+$C5643) - MAX(IF($B$2:$B5642=$B5643, $A$2:$A5642+$C$2:$C5642)), "")*24*60, "")</f>
        <v/>
      </c>
      <c r="R5643" s="24" t="str" cm="1">
        <f t="array" ref="R5643">IFERROR(IF($B5643=R$1, ($A5643+$C5643) - MAX(IF($B$2:$B5642=$B5643, $A$2:$A5642+$C$2:$C5642)), "")*24*60, "")</f>
        <v/>
      </c>
      <c r="S5643" s="24" t="str" cm="1">
        <f t="array" ref="S5643">IFERROR(IF($B5643=S$1, ($A5643+$C5643) - MAX(IF($B$2:$B5642=$B5643, $A$2:$A5642+$C$2:$C5642)), "")*24*60, "")</f>
        <v/>
      </c>
    </row>
    <row r="5644" spans="1:19" x14ac:dyDescent="0.2">
      <c r="A5644" s="12">
        <f t="shared" ref="A5644:C5644" si="1178">A5643</f>
        <v>45985</v>
      </c>
      <c r="B5644" s="5" t="str">
        <f t="shared" si="1178"/>
        <v>Northern Cardinal</v>
      </c>
      <c r="C5644" s="6">
        <f t="shared" si="1178"/>
        <v>0.29166666666666669</v>
      </c>
      <c r="D5644" s="5"/>
      <c r="E5644" s="5"/>
      <c r="F5644" s="5" t="s">
        <v>8</v>
      </c>
      <c r="G5644" s="15" t="s">
        <v>9</v>
      </c>
      <c r="H5644" s="24">
        <f t="shared" si="1129"/>
        <v>0</v>
      </c>
      <c r="I5644" s="24" cm="1">
        <f t="array" ref="I5644">IFERROR(IF($B5644=I$1, ($A5644+$C5644) - MAX(IF($B$2:$B5643=$B5644, $A$2:$A5643+$C$2:$C5643)), "")*24*60, "")</f>
        <v>0</v>
      </c>
      <c r="J5644" s="24" t="str" cm="1">
        <f t="array" ref="J5644">IFERROR(IF($B5644=J$1, ($A5644+$C5644) - MAX(IF($B$2:$B5643=$B5644, $A$2:$A5643+$C$2:$C5643)), "")*24*60, "")</f>
        <v/>
      </c>
      <c r="K5644" s="24" t="str" cm="1">
        <f t="array" ref="K5644">IFERROR(IF($B5644=K$1, ($A5644+$C5644) - MAX(IF($B$2:$B5643=$B5644, $A$2:$A5643+$C$2:$C5643)), "")*24*60, "")</f>
        <v/>
      </c>
      <c r="L5644" s="24" t="str" cm="1">
        <f t="array" ref="L5644">IFERROR(IF($B5644=L$1, ($A5644+$C5644) - MAX(IF($B$2:$B5643=$B5644, $A$2:$A5643+$C$2:$C5643)), "")*24*60, "")</f>
        <v/>
      </c>
      <c r="M5644" s="24" t="str" cm="1">
        <f t="array" ref="M5644">IFERROR(IF($B5644=M$1, ($A5644+$C5644) - MAX(IF($B$2:$B5643=$B5644, $A$2:$A5643+$C$2:$C5643)), "")*24*60, "")</f>
        <v/>
      </c>
      <c r="N5644" s="24" t="str" cm="1">
        <f t="array" ref="N5644">IFERROR(IF($B5644=N$1, ($A5644+$C5644) - MAX(IF($B$2:$B5643=$B5644, $A$2:$A5643+$C$2:$C5643)), "")*24*60, "")</f>
        <v/>
      </c>
      <c r="O5644" s="24" t="str" cm="1">
        <f t="array" ref="O5644">IFERROR(IF($B5644=O$1, ($A5644+$C5644) - MAX(IF($B$2:$B5643=$B5644, $A$2:$A5643+$C$2:$C5643)), "")*24*60, "")</f>
        <v/>
      </c>
      <c r="P5644" s="24" t="str" cm="1">
        <f t="array" ref="P5644">IFERROR(IF($B5644=P$1, ($A5644+$C5644) - MAX(IF($B$2:$B5643=$B5644, $A$2:$A5643+$C$2:$C5643)), "")*24*60, "")</f>
        <v/>
      </c>
      <c r="Q5644" s="24" t="str" cm="1">
        <f t="array" ref="Q5644">IFERROR(IF($B5644=Q$1, ($A5644+$C5644) - MAX(IF($B$2:$B5643=$B5644, $A$2:$A5643+$C$2:$C5643)), "")*24*60, "")</f>
        <v/>
      </c>
      <c r="R5644" s="24" t="str" cm="1">
        <f t="array" ref="R5644">IFERROR(IF($B5644=R$1, ($A5644+$C5644) - MAX(IF($B$2:$B5643=$B5644, $A$2:$A5643+$C$2:$C5643)), "")*24*60, "")</f>
        <v/>
      </c>
      <c r="S5644" s="24" t="str" cm="1">
        <f t="array" ref="S5644">IFERROR(IF($B5644=S$1, ($A5644+$C5644) - MAX(IF($B$2:$B5643=$B5644, $A$2:$A5643+$C$2:$C5643)), "")*24*60, "")</f>
        <v/>
      </c>
    </row>
    <row r="5645" spans="1:19" x14ac:dyDescent="0.2">
      <c r="A5645" s="12">
        <f t="shared" ref="A5645:C5645" si="1179">A5644</f>
        <v>45985</v>
      </c>
      <c r="B5645" s="5" t="str">
        <f t="shared" si="1179"/>
        <v>Northern Cardinal</v>
      </c>
      <c r="C5645" s="6">
        <f t="shared" si="1179"/>
        <v>0.29166666666666669</v>
      </c>
      <c r="D5645" s="5"/>
      <c r="E5645" s="5"/>
      <c r="F5645" s="5" t="s">
        <v>8</v>
      </c>
      <c r="G5645" s="15" t="s">
        <v>9</v>
      </c>
      <c r="H5645" s="24">
        <f t="shared" si="1129"/>
        <v>0</v>
      </c>
      <c r="I5645" s="24" cm="1">
        <f t="array" ref="I5645">IFERROR(IF($B5645=I$1, ($A5645+$C5645) - MAX(IF($B$2:$B5644=$B5645, $A$2:$A5644+$C$2:$C5644)), "")*24*60, "")</f>
        <v>0</v>
      </c>
      <c r="J5645" s="24" t="str" cm="1">
        <f t="array" ref="J5645">IFERROR(IF($B5645=J$1, ($A5645+$C5645) - MAX(IF($B$2:$B5644=$B5645, $A$2:$A5644+$C$2:$C5644)), "")*24*60, "")</f>
        <v/>
      </c>
      <c r="K5645" s="24" t="str" cm="1">
        <f t="array" ref="K5645">IFERROR(IF($B5645=K$1, ($A5645+$C5645) - MAX(IF($B$2:$B5644=$B5645, $A$2:$A5644+$C$2:$C5644)), "")*24*60, "")</f>
        <v/>
      </c>
      <c r="L5645" s="24" t="str" cm="1">
        <f t="array" ref="L5645">IFERROR(IF($B5645=L$1, ($A5645+$C5645) - MAX(IF($B$2:$B5644=$B5645, $A$2:$A5644+$C$2:$C5644)), "")*24*60, "")</f>
        <v/>
      </c>
      <c r="M5645" s="24" t="str" cm="1">
        <f t="array" ref="M5645">IFERROR(IF($B5645=M$1, ($A5645+$C5645) - MAX(IF($B$2:$B5644=$B5645, $A$2:$A5644+$C$2:$C5644)), "")*24*60, "")</f>
        <v/>
      </c>
      <c r="N5645" s="24" t="str" cm="1">
        <f t="array" ref="N5645">IFERROR(IF($B5645=N$1, ($A5645+$C5645) - MAX(IF($B$2:$B5644=$B5645, $A$2:$A5644+$C$2:$C5644)), "")*24*60, "")</f>
        <v/>
      </c>
      <c r="O5645" s="24" t="str" cm="1">
        <f t="array" ref="O5645">IFERROR(IF($B5645=O$1, ($A5645+$C5645) - MAX(IF($B$2:$B5644=$B5645, $A$2:$A5644+$C$2:$C5644)), "")*24*60, "")</f>
        <v/>
      </c>
      <c r="P5645" s="24" t="str" cm="1">
        <f t="array" ref="P5645">IFERROR(IF($B5645=P$1, ($A5645+$C5645) - MAX(IF($B$2:$B5644=$B5645, $A$2:$A5644+$C$2:$C5644)), "")*24*60, "")</f>
        <v/>
      </c>
      <c r="Q5645" s="24" t="str" cm="1">
        <f t="array" ref="Q5645">IFERROR(IF($B5645=Q$1, ($A5645+$C5645) - MAX(IF($B$2:$B5644=$B5645, $A$2:$A5644+$C$2:$C5644)), "")*24*60, "")</f>
        <v/>
      </c>
      <c r="R5645" s="24" t="str" cm="1">
        <f t="array" ref="R5645">IFERROR(IF($B5645=R$1, ($A5645+$C5645) - MAX(IF($B$2:$B5644=$B5645, $A$2:$A5644+$C$2:$C5644)), "")*24*60, "")</f>
        <v/>
      </c>
      <c r="S5645" s="24" t="str" cm="1">
        <f t="array" ref="S5645">IFERROR(IF($B5645=S$1, ($A5645+$C5645) - MAX(IF($B$2:$B5644=$B5645, $A$2:$A5644+$C$2:$C5644)), "")*24*60, "")</f>
        <v/>
      </c>
    </row>
    <row r="5646" spans="1:19" x14ac:dyDescent="0.2">
      <c r="A5646" s="12">
        <f t="shared" ref="A5646:C5646" si="1180">A5645</f>
        <v>45985</v>
      </c>
      <c r="B5646" s="5" t="str">
        <f t="shared" si="1180"/>
        <v>Northern Cardinal</v>
      </c>
      <c r="C5646" s="6">
        <f t="shared" si="1180"/>
        <v>0.29166666666666669</v>
      </c>
      <c r="D5646" s="5"/>
      <c r="E5646" s="5"/>
      <c r="F5646" s="5" t="s">
        <v>8</v>
      </c>
      <c r="G5646" s="15" t="s">
        <v>9</v>
      </c>
      <c r="H5646" s="24">
        <f t="shared" si="1129"/>
        <v>0</v>
      </c>
      <c r="I5646" s="24" cm="1">
        <f t="array" ref="I5646">IFERROR(IF($B5646=I$1, ($A5646+$C5646) - MAX(IF($B$2:$B5645=$B5646, $A$2:$A5645+$C$2:$C5645)), "")*24*60, "")</f>
        <v>0</v>
      </c>
      <c r="J5646" s="24" t="str" cm="1">
        <f t="array" ref="J5646">IFERROR(IF($B5646=J$1, ($A5646+$C5646) - MAX(IF($B$2:$B5645=$B5646, $A$2:$A5645+$C$2:$C5645)), "")*24*60, "")</f>
        <v/>
      </c>
      <c r="K5646" s="24" t="str" cm="1">
        <f t="array" ref="K5646">IFERROR(IF($B5646=K$1, ($A5646+$C5646) - MAX(IF($B$2:$B5645=$B5646, $A$2:$A5645+$C$2:$C5645)), "")*24*60, "")</f>
        <v/>
      </c>
      <c r="L5646" s="24" t="str" cm="1">
        <f t="array" ref="L5646">IFERROR(IF($B5646=L$1, ($A5646+$C5646) - MAX(IF($B$2:$B5645=$B5646, $A$2:$A5645+$C$2:$C5645)), "")*24*60, "")</f>
        <v/>
      </c>
      <c r="M5646" s="24" t="str" cm="1">
        <f t="array" ref="M5646">IFERROR(IF($B5646=M$1, ($A5646+$C5646) - MAX(IF($B$2:$B5645=$B5646, $A$2:$A5645+$C$2:$C5645)), "")*24*60, "")</f>
        <v/>
      </c>
      <c r="N5646" s="24" t="str" cm="1">
        <f t="array" ref="N5646">IFERROR(IF($B5646=N$1, ($A5646+$C5646) - MAX(IF($B$2:$B5645=$B5646, $A$2:$A5645+$C$2:$C5645)), "")*24*60, "")</f>
        <v/>
      </c>
      <c r="O5646" s="24" t="str" cm="1">
        <f t="array" ref="O5646">IFERROR(IF($B5646=O$1, ($A5646+$C5646) - MAX(IF($B$2:$B5645=$B5646, $A$2:$A5645+$C$2:$C5645)), "")*24*60, "")</f>
        <v/>
      </c>
      <c r="P5646" s="24" t="str" cm="1">
        <f t="array" ref="P5646">IFERROR(IF($B5646=P$1, ($A5646+$C5646) - MAX(IF($B$2:$B5645=$B5646, $A$2:$A5645+$C$2:$C5645)), "")*24*60, "")</f>
        <v/>
      </c>
      <c r="Q5646" s="24" t="str" cm="1">
        <f t="array" ref="Q5646">IFERROR(IF($B5646=Q$1, ($A5646+$C5646) - MAX(IF($B$2:$B5645=$B5646, $A$2:$A5645+$C$2:$C5645)), "")*24*60, "")</f>
        <v/>
      </c>
      <c r="R5646" s="24" t="str" cm="1">
        <f t="array" ref="R5646">IFERROR(IF($B5646=R$1, ($A5646+$C5646) - MAX(IF($B$2:$B5645=$B5646, $A$2:$A5645+$C$2:$C5645)), "")*24*60, "")</f>
        <v/>
      </c>
      <c r="S5646" s="24" t="str" cm="1">
        <f t="array" ref="S5646">IFERROR(IF($B5646=S$1, ($A5646+$C5646) - MAX(IF($B$2:$B5645=$B5646, $A$2:$A5645+$C$2:$C5645)), "")*24*60, "")</f>
        <v/>
      </c>
    </row>
    <row r="5647" spans="1:19" x14ac:dyDescent="0.2">
      <c r="A5647" s="12">
        <f t="shared" ref="A5647:C5647" si="1181">A5646</f>
        <v>45985</v>
      </c>
      <c r="B5647" s="5" t="str">
        <f t="shared" si="1181"/>
        <v>Northern Cardinal</v>
      </c>
      <c r="C5647" s="6">
        <f t="shared" si="1181"/>
        <v>0.29166666666666669</v>
      </c>
      <c r="D5647" s="5"/>
      <c r="E5647" s="5"/>
      <c r="F5647" s="5" t="s">
        <v>8</v>
      </c>
      <c r="G5647" s="15" t="s">
        <v>9</v>
      </c>
      <c r="H5647" s="24">
        <f t="shared" si="1129"/>
        <v>0</v>
      </c>
      <c r="I5647" s="24" cm="1">
        <f t="array" ref="I5647">IFERROR(IF($B5647=I$1, ($A5647+$C5647) - MAX(IF($B$2:$B5646=$B5647, $A$2:$A5646+$C$2:$C5646)), "")*24*60, "")</f>
        <v>0</v>
      </c>
      <c r="J5647" s="24" t="str" cm="1">
        <f t="array" ref="J5647">IFERROR(IF($B5647=J$1, ($A5647+$C5647) - MAX(IF($B$2:$B5646=$B5647, $A$2:$A5646+$C$2:$C5646)), "")*24*60, "")</f>
        <v/>
      </c>
      <c r="K5647" s="24" t="str" cm="1">
        <f t="array" ref="K5647">IFERROR(IF($B5647=K$1, ($A5647+$C5647) - MAX(IF($B$2:$B5646=$B5647, $A$2:$A5646+$C$2:$C5646)), "")*24*60, "")</f>
        <v/>
      </c>
      <c r="L5647" s="24" t="str" cm="1">
        <f t="array" ref="L5647">IFERROR(IF($B5647=L$1, ($A5647+$C5647) - MAX(IF($B$2:$B5646=$B5647, $A$2:$A5646+$C$2:$C5646)), "")*24*60, "")</f>
        <v/>
      </c>
      <c r="M5647" s="24" t="str" cm="1">
        <f t="array" ref="M5647">IFERROR(IF($B5647=M$1, ($A5647+$C5647) - MAX(IF($B$2:$B5646=$B5647, $A$2:$A5646+$C$2:$C5646)), "")*24*60, "")</f>
        <v/>
      </c>
      <c r="N5647" s="24" t="str" cm="1">
        <f t="array" ref="N5647">IFERROR(IF($B5647=N$1, ($A5647+$C5647) - MAX(IF($B$2:$B5646=$B5647, $A$2:$A5646+$C$2:$C5646)), "")*24*60, "")</f>
        <v/>
      </c>
      <c r="O5647" s="24" t="str" cm="1">
        <f t="array" ref="O5647">IFERROR(IF($B5647=O$1, ($A5647+$C5647) - MAX(IF($B$2:$B5646=$B5647, $A$2:$A5646+$C$2:$C5646)), "")*24*60, "")</f>
        <v/>
      </c>
      <c r="P5647" s="24" t="str" cm="1">
        <f t="array" ref="P5647">IFERROR(IF($B5647=P$1, ($A5647+$C5647) - MAX(IF($B$2:$B5646=$B5647, $A$2:$A5646+$C$2:$C5646)), "")*24*60, "")</f>
        <v/>
      </c>
      <c r="Q5647" s="24" t="str" cm="1">
        <f t="array" ref="Q5647">IFERROR(IF($B5647=Q$1, ($A5647+$C5647) - MAX(IF($B$2:$B5646=$B5647, $A$2:$A5646+$C$2:$C5646)), "")*24*60, "")</f>
        <v/>
      </c>
      <c r="R5647" s="24" t="str" cm="1">
        <f t="array" ref="R5647">IFERROR(IF($B5647=R$1, ($A5647+$C5647) - MAX(IF($B$2:$B5646=$B5647, $A$2:$A5646+$C$2:$C5646)), "")*24*60, "")</f>
        <v/>
      </c>
      <c r="S5647" s="24" t="str" cm="1">
        <f t="array" ref="S5647">IFERROR(IF($B5647=S$1, ($A5647+$C5647) - MAX(IF($B$2:$B5646=$B5647, $A$2:$A5646+$C$2:$C5646)), "")*24*60, "")</f>
        <v/>
      </c>
    </row>
    <row r="5648" spans="1:19" x14ac:dyDescent="0.2">
      <c r="A5648" s="12">
        <f t="shared" ref="A5648:C5648" si="1182">A5647</f>
        <v>45985</v>
      </c>
      <c r="B5648" s="5" t="str">
        <f t="shared" si="1182"/>
        <v>Northern Cardinal</v>
      </c>
      <c r="C5648" s="6">
        <f t="shared" si="1182"/>
        <v>0.29166666666666669</v>
      </c>
      <c r="D5648" s="5"/>
      <c r="E5648" s="5"/>
      <c r="F5648" s="5" t="s">
        <v>8</v>
      </c>
      <c r="G5648" s="15" t="s">
        <v>9</v>
      </c>
      <c r="H5648" s="24">
        <f t="shared" si="1129"/>
        <v>0</v>
      </c>
      <c r="I5648" s="24" cm="1">
        <f t="array" ref="I5648">IFERROR(IF($B5648=I$1, ($A5648+$C5648) - MAX(IF($B$2:$B5647=$B5648, $A$2:$A5647+$C$2:$C5647)), "")*24*60, "")</f>
        <v>0</v>
      </c>
      <c r="J5648" s="24" t="str" cm="1">
        <f t="array" ref="J5648">IFERROR(IF($B5648=J$1, ($A5648+$C5648) - MAX(IF($B$2:$B5647=$B5648, $A$2:$A5647+$C$2:$C5647)), "")*24*60, "")</f>
        <v/>
      </c>
      <c r="K5648" s="24" t="str" cm="1">
        <f t="array" ref="K5648">IFERROR(IF($B5648=K$1, ($A5648+$C5648) - MAX(IF($B$2:$B5647=$B5648, $A$2:$A5647+$C$2:$C5647)), "")*24*60, "")</f>
        <v/>
      </c>
      <c r="L5648" s="24" t="str" cm="1">
        <f t="array" ref="L5648">IFERROR(IF($B5648=L$1, ($A5648+$C5648) - MAX(IF($B$2:$B5647=$B5648, $A$2:$A5647+$C$2:$C5647)), "")*24*60, "")</f>
        <v/>
      </c>
      <c r="M5648" s="24" t="str" cm="1">
        <f t="array" ref="M5648">IFERROR(IF($B5648=M$1, ($A5648+$C5648) - MAX(IF($B$2:$B5647=$B5648, $A$2:$A5647+$C$2:$C5647)), "")*24*60, "")</f>
        <v/>
      </c>
      <c r="N5648" s="24" t="str" cm="1">
        <f t="array" ref="N5648">IFERROR(IF($B5648=N$1, ($A5648+$C5648) - MAX(IF($B$2:$B5647=$B5648, $A$2:$A5647+$C$2:$C5647)), "")*24*60, "")</f>
        <v/>
      </c>
      <c r="O5648" s="24" t="str" cm="1">
        <f t="array" ref="O5648">IFERROR(IF($B5648=O$1, ($A5648+$C5648) - MAX(IF($B$2:$B5647=$B5648, $A$2:$A5647+$C$2:$C5647)), "")*24*60, "")</f>
        <v/>
      </c>
      <c r="P5648" s="24" t="str" cm="1">
        <f t="array" ref="P5648">IFERROR(IF($B5648=P$1, ($A5648+$C5648) - MAX(IF($B$2:$B5647=$B5648, $A$2:$A5647+$C$2:$C5647)), "")*24*60, "")</f>
        <v/>
      </c>
      <c r="Q5648" s="24" t="str" cm="1">
        <f t="array" ref="Q5648">IFERROR(IF($B5648=Q$1, ($A5648+$C5648) - MAX(IF($B$2:$B5647=$B5648, $A$2:$A5647+$C$2:$C5647)), "")*24*60, "")</f>
        <v/>
      </c>
      <c r="R5648" s="24" t="str" cm="1">
        <f t="array" ref="R5648">IFERROR(IF($B5648=R$1, ($A5648+$C5648) - MAX(IF($B$2:$B5647=$B5648, $A$2:$A5647+$C$2:$C5647)), "")*24*60, "")</f>
        <v/>
      </c>
      <c r="S5648" s="24" t="str" cm="1">
        <f t="array" ref="S5648">IFERROR(IF($B5648=S$1, ($A5648+$C5648) - MAX(IF($B$2:$B5647=$B5648, $A$2:$A5647+$C$2:$C5647)), "")*24*60, "")</f>
        <v/>
      </c>
    </row>
    <row r="5649" spans="1:19" x14ac:dyDescent="0.2">
      <c r="A5649" s="12">
        <f t="shared" ref="A5649:C5649" si="1183">A5648</f>
        <v>45985</v>
      </c>
      <c r="B5649" s="5" t="str">
        <f t="shared" si="1183"/>
        <v>Northern Cardinal</v>
      </c>
      <c r="C5649" s="6">
        <f t="shared" si="1183"/>
        <v>0.29166666666666669</v>
      </c>
      <c r="D5649" s="5"/>
      <c r="E5649" s="5"/>
      <c r="F5649" s="5" t="s">
        <v>8</v>
      </c>
      <c r="G5649" s="15" t="s">
        <v>9</v>
      </c>
      <c r="H5649" s="24">
        <f t="shared" si="1129"/>
        <v>0</v>
      </c>
      <c r="I5649" s="24" cm="1">
        <f t="array" ref="I5649">IFERROR(IF($B5649=I$1, ($A5649+$C5649) - MAX(IF($B$2:$B5648=$B5649, $A$2:$A5648+$C$2:$C5648)), "")*24*60, "")</f>
        <v>0</v>
      </c>
      <c r="J5649" s="24" t="str" cm="1">
        <f t="array" ref="J5649">IFERROR(IF($B5649=J$1, ($A5649+$C5649) - MAX(IF($B$2:$B5648=$B5649, $A$2:$A5648+$C$2:$C5648)), "")*24*60, "")</f>
        <v/>
      </c>
      <c r="K5649" s="24" t="str" cm="1">
        <f t="array" ref="K5649">IFERROR(IF($B5649=K$1, ($A5649+$C5649) - MAX(IF($B$2:$B5648=$B5649, $A$2:$A5648+$C$2:$C5648)), "")*24*60, "")</f>
        <v/>
      </c>
      <c r="L5649" s="24" t="str" cm="1">
        <f t="array" ref="L5649">IFERROR(IF($B5649=L$1, ($A5649+$C5649) - MAX(IF($B$2:$B5648=$B5649, $A$2:$A5648+$C$2:$C5648)), "")*24*60, "")</f>
        <v/>
      </c>
      <c r="M5649" s="24" t="str" cm="1">
        <f t="array" ref="M5649">IFERROR(IF($B5649=M$1, ($A5649+$C5649) - MAX(IF($B$2:$B5648=$B5649, $A$2:$A5648+$C$2:$C5648)), "")*24*60, "")</f>
        <v/>
      </c>
      <c r="N5649" s="24" t="str" cm="1">
        <f t="array" ref="N5649">IFERROR(IF($B5649=N$1, ($A5649+$C5649) - MAX(IF($B$2:$B5648=$B5649, $A$2:$A5648+$C$2:$C5648)), "")*24*60, "")</f>
        <v/>
      </c>
      <c r="O5649" s="24" t="str" cm="1">
        <f t="array" ref="O5649">IFERROR(IF($B5649=O$1, ($A5649+$C5649) - MAX(IF($B$2:$B5648=$B5649, $A$2:$A5648+$C$2:$C5648)), "")*24*60, "")</f>
        <v/>
      </c>
      <c r="P5649" s="24" t="str" cm="1">
        <f t="array" ref="P5649">IFERROR(IF($B5649=P$1, ($A5649+$C5649) - MAX(IF($B$2:$B5648=$B5649, $A$2:$A5648+$C$2:$C5648)), "")*24*60, "")</f>
        <v/>
      </c>
      <c r="Q5649" s="24" t="str" cm="1">
        <f t="array" ref="Q5649">IFERROR(IF($B5649=Q$1, ($A5649+$C5649) - MAX(IF($B$2:$B5648=$B5649, $A$2:$A5648+$C$2:$C5648)), "")*24*60, "")</f>
        <v/>
      </c>
      <c r="R5649" s="24" t="str" cm="1">
        <f t="array" ref="R5649">IFERROR(IF($B5649=R$1, ($A5649+$C5649) - MAX(IF($B$2:$B5648=$B5649, $A$2:$A5648+$C$2:$C5648)), "")*24*60, "")</f>
        <v/>
      </c>
      <c r="S5649" s="24" t="str" cm="1">
        <f t="array" ref="S5649">IFERROR(IF($B5649=S$1, ($A5649+$C5649) - MAX(IF($B$2:$B5648=$B5649, $A$2:$A5648+$C$2:$C5648)), "")*24*60, "")</f>
        <v/>
      </c>
    </row>
    <row r="5650" spans="1:19" x14ac:dyDescent="0.2">
      <c r="A5650" s="12">
        <f t="shared" ref="A5650:C5650" si="1184">A5649</f>
        <v>45985</v>
      </c>
      <c r="B5650" s="5" t="str">
        <f t="shared" si="1184"/>
        <v>Northern Cardinal</v>
      </c>
      <c r="C5650" s="6">
        <f t="shared" si="1184"/>
        <v>0.29166666666666669</v>
      </c>
      <c r="D5650" s="5"/>
      <c r="E5650" s="5"/>
      <c r="F5650" s="5" t="s">
        <v>8</v>
      </c>
      <c r="G5650" s="15" t="s">
        <v>9</v>
      </c>
      <c r="H5650" s="24">
        <f t="shared" si="1129"/>
        <v>0</v>
      </c>
      <c r="I5650" s="24" cm="1">
        <f t="array" ref="I5650">IFERROR(IF($B5650=I$1, ($A5650+$C5650) - MAX(IF($B$2:$B5649=$B5650, $A$2:$A5649+$C$2:$C5649)), "")*24*60, "")</f>
        <v>0</v>
      </c>
      <c r="J5650" s="24" t="str" cm="1">
        <f t="array" ref="J5650">IFERROR(IF($B5650=J$1, ($A5650+$C5650) - MAX(IF($B$2:$B5649=$B5650, $A$2:$A5649+$C$2:$C5649)), "")*24*60, "")</f>
        <v/>
      </c>
      <c r="K5650" s="24" t="str" cm="1">
        <f t="array" ref="K5650">IFERROR(IF($B5650=K$1, ($A5650+$C5650) - MAX(IF($B$2:$B5649=$B5650, $A$2:$A5649+$C$2:$C5649)), "")*24*60, "")</f>
        <v/>
      </c>
      <c r="L5650" s="24" t="str" cm="1">
        <f t="array" ref="L5650">IFERROR(IF($B5650=L$1, ($A5650+$C5650) - MAX(IF($B$2:$B5649=$B5650, $A$2:$A5649+$C$2:$C5649)), "")*24*60, "")</f>
        <v/>
      </c>
      <c r="M5650" s="24" t="str" cm="1">
        <f t="array" ref="M5650">IFERROR(IF($B5650=M$1, ($A5650+$C5650) - MAX(IF($B$2:$B5649=$B5650, $A$2:$A5649+$C$2:$C5649)), "")*24*60, "")</f>
        <v/>
      </c>
      <c r="N5650" s="24" t="str" cm="1">
        <f t="array" ref="N5650">IFERROR(IF($B5650=N$1, ($A5650+$C5650) - MAX(IF($B$2:$B5649=$B5650, $A$2:$A5649+$C$2:$C5649)), "")*24*60, "")</f>
        <v/>
      </c>
      <c r="O5650" s="24" t="str" cm="1">
        <f t="array" ref="O5650">IFERROR(IF($B5650=O$1, ($A5650+$C5650) - MAX(IF($B$2:$B5649=$B5650, $A$2:$A5649+$C$2:$C5649)), "")*24*60, "")</f>
        <v/>
      </c>
      <c r="P5650" s="24" t="str" cm="1">
        <f t="array" ref="P5650">IFERROR(IF($B5650=P$1, ($A5650+$C5650) - MAX(IF($B$2:$B5649=$B5650, $A$2:$A5649+$C$2:$C5649)), "")*24*60, "")</f>
        <v/>
      </c>
      <c r="Q5650" s="24" t="str" cm="1">
        <f t="array" ref="Q5650">IFERROR(IF($B5650=Q$1, ($A5650+$C5650) - MAX(IF($B$2:$B5649=$B5650, $A$2:$A5649+$C$2:$C5649)), "")*24*60, "")</f>
        <v/>
      </c>
      <c r="R5650" s="24" t="str" cm="1">
        <f t="array" ref="R5650">IFERROR(IF($B5650=R$1, ($A5650+$C5650) - MAX(IF($B$2:$B5649=$B5650, $A$2:$A5649+$C$2:$C5649)), "")*24*60, "")</f>
        <v/>
      </c>
      <c r="S5650" s="24" t="str" cm="1">
        <f t="array" ref="S5650">IFERROR(IF($B5650=S$1, ($A5650+$C5650) - MAX(IF($B$2:$B5649=$B5650, $A$2:$A5649+$C$2:$C5649)), "")*24*60, "")</f>
        <v/>
      </c>
    </row>
    <row r="5651" spans="1:19" x14ac:dyDescent="0.2">
      <c r="A5651" s="12">
        <f t="shared" ref="A5651:C5651" si="1185">A5650</f>
        <v>45985</v>
      </c>
      <c r="B5651" s="5" t="str">
        <f t="shared" si="1185"/>
        <v>Northern Cardinal</v>
      </c>
      <c r="C5651" s="6">
        <f t="shared" si="1185"/>
        <v>0.29166666666666669</v>
      </c>
      <c r="D5651" s="5"/>
      <c r="E5651" s="5"/>
      <c r="F5651" s="5" t="s">
        <v>8</v>
      </c>
      <c r="G5651" s="15" t="s">
        <v>9</v>
      </c>
      <c r="H5651" s="24">
        <f t="shared" si="1129"/>
        <v>0</v>
      </c>
      <c r="I5651" s="24" cm="1">
        <f t="array" ref="I5651">IFERROR(IF($B5651=I$1, ($A5651+$C5651) - MAX(IF($B$2:$B5650=$B5651, $A$2:$A5650+$C$2:$C5650)), "")*24*60, "")</f>
        <v>0</v>
      </c>
      <c r="J5651" s="24" t="str" cm="1">
        <f t="array" ref="J5651">IFERROR(IF($B5651=J$1, ($A5651+$C5651) - MAX(IF($B$2:$B5650=$B5651, $A$2:$A5650+$C$2:$C5650)), "")*24*60, "")</f>
        <v/>
      </c>
      <c r="K5651" s="24" t="str" cm="1">
        <f t="array" ref="K5651">IFERROR(IF($B5651=K$1, ($A5651+$C5651) - MAX(IF($B$2:$B5650=$B5651, $A$2:$A5650+$C$2:$C5650)), "")*24*60, "")</f>
        <v/>
      </c>
      <c r="L5651" s="24" t="str" cm="1">
        <f t="array" ref="L5651">IFERROR(IF($B5651=L$1, ($A5651+$C5651) - MAX(IF($B$2:$B5650=$B5651, $A$2:$A5650+$C$2:$C5650)), "")*24*60, "")</f>
        <v/>
      </c>
      <c r="M5651" s="24" t="str" cm="1">
        <f t="array" ref="M5651">IFERROR(IF($B5651=M$1, ($A5651+$C5651) - MAX(IF($B$2:$B5650=$B5651, $A$2:$A5650+$C$2:$C5650)), "")*24*60, "")</f>
        <v/>
      </c>
      <c r="N5651" s="24" t="str" cm="1">
        <f t="array" ref="N5651">IFERROR(IF($B5651=N$1, ($A5651+$C5651) - MAX(IF($B$2:$B5650=$B5651, $A$2:$A5650+$C$2:$C5650)), "")*24*60, "")</f>
        <v/>
      </c>
      <c r="O5651" s="24" t="str" cm="1">
        <f t="array" ref="O5651">IFERROR(IF($B5651=O$1, ($A5651+$C5651) - MAX(IF($B$2:$B5650=$B5651, $A$2:$A5650+$C$2:$C5650)), "")*24*60, "")</f>
        <v/>
      </c>
      <c r="P5651" s="24" t="str" cm="1">
        <f t="array" ref="P5651">IFERROR(IF($B5651=P$1, ($A5651+$C5651) - MAX(IF($B$2:$B5650=$B5651, $A$2:$A5650+$C$2:$C5650)), "")*24*60, "")</f>
        <v/>
      </c>
      <c r="Q5651" s="24" t="str" cm="1">
        <f t="array" ref="Q5651">IFERROR(IF($B5651=Q$1, ($A5651+$C5651) - MAX(IF($B$2:$B5650=$B5651, $A$2:$A5650+$C$2:$C5650)), "")*24*60, "")</f>
        <v/>
      </c>
      <c r="R5651" s="24" t="str" cm="1">
        <f t="array" ref="R5651">IFERROR(IF($B5651=R$1, ($A5651+$C5651) - MAX(IF($B$2:$B5650=$B5651, $A$2:$A5650+$C$2:$C5650)), "")*24*60, "")</f>
        <v/>
      </c>
      <c r="S5651" s="24" t="str" cm="1">
        <f t="array" ref="S5651">IFERROR(IF($B5651=S$1, ($A5651+$C5651) - MAX(IF($B$2:$B5650=$B5651, $A$2:$A5650+$C$2:$C5650)), "")*24*60, "")</f>
        <v/>
      </c>
    </row>
    <row r="5652" spans="1:19" x14ac:dyDescent="0.2">
      <c r="A5652" s="12">
        <f t="shared" ref="A5652:C5652" si="1186">A5651</f>
        <v>45985</v>
      </c>
      <c r="B5652" s="5" t="str">
        <f t="shared" si="1186"/>
        <v>Northern Cardinal</v>
      </c>
      <c r="C5652" s="6">
        <f t="shared" si="1186"/>
        <v>0.29166666666666669</v>
      </c>
      <c r="D5652" s="5"/>
      <c r="E5652" s="5"/>
      <c r="F5652" s="5" t="s">
        <v>8</v>
      </c>
      <c r="G5652" s="15" t="s">
        <v>9</v>
      </c>
      <c r="H5652" s="24">
        <f t="shared" si="1129"/>
        <v>0</v>
      </c>
      <c r="I5652" s="24" cm="1">
        <f t="array" ref="I5652">IFERROR(IF($B5652=I$1, ($A5652+$C5652) - MAX(IF($B$2:$B5651=$B5652, $A$2:$A5651+$C$2:$C5651)), "")*24*60, "")</f>
        <v>0</v>
      </c>
      <c r="J5652" s="24" t="str" cm="1">
        <f t="array" ref="J5652">IFERROR(IF($B5652=J$1, ($A5652+$C5652) - MAX(IF($B$2:$B5651=$B5652, $A$2:$A5651+$C$2:$C5651)), "")*24*60, "")</f>
        <v/>
      </c>
      <c r="K5652" s="24" t="str" cm="1">
        <f t="array" ref="K5652">IFERROR(IF($B5652=K$1, ($A5652+$C5652) - MAX(IF($B$2:$B5651=$B5652, $A$2:$A5651+$C$2:$C5651)), "")*24*60, "")</f>
        <v/>
      </c>
      <c r="L5652" s="24" t="str" cm="1">
        <f t="array" ref="L5652">IFERROR(IF($B5652=L$1, ($A5652+$C5652) - MAX(IF($B$2:$B5651=$B5652, $A$2:$A5651+$C$2:$C5651)), "")*24*60, "")</f>
        <v/>
      </c>
      <c r="M5652" s="24" t="str" cm="1">
        <f t="array" ref="M5652">IFERROR(IF($B5652=M$1, ($A5652+$C5652) - MAX(IF($B$2:$B5651=$B5652, $A$2:$A5651+$C$2:$C5651)), "")*24*60, "")</f>
        <v/>
      </c>
      <c r="N5652" s="24" t="str" cm="1">
        <f t="array" ref="N5652">IFERROR(IF($B5652=N$1, ($A5652+$C5652) - MAX(IF($B$2:$B5651=$B5652, $A$2:$A5651+$C$2:$C5651)), "")*24*60, "")</f>
        <v/>
      </c>
      <c r="O5652" s="24" t="str" cm="1">
        <f t="array" ref="O5652">IFERROR(IF($B5652=O$1, ($A5652+$C5652) - MAX(IF($B$2:$B5651=$B5652, $A$2:$A5651+$C$2:$C5651)), "")*24*60, "")</f>
        <v/>
      </c>
      <c r="P5652" s="24" t="str" cm="1">
        <f t="array" ref="P5652">IFERROR(IF($B5652=P$1, ($A5652+$C5652) - MAX(IF($B$2:$B5651=$B5652, $A$2:$A5651+$C$2:$C5651)), "")*24*60, "")</f>
        <v/>
      </c>
      <c r="Q5652" s="24" t="str" cm="1">
        <f t="array" ref="Q5652">IFERROR(IF($B5652=Q$1, ($A5652+$C5652) - MAX(IF($B$2:$B5651=$B5652, $A$2:$A5651+$C$2:$C5651)), "")*24*60, "")</f>
        <v/>
      </c>
      <c r="R5652" s="24" t="str" cm="1">
        <f t="array" ref="R5652">IFERROR(IF($B5652=R$1, ($A5652+$C5652) - MAX(IF($B$2:$B5651=$B5652, $A$2:$A5651+$C$2:$C5651)), "")*24*60, "")</f>
        <v/>
      </c>
      <c r="S5652" s="24" t="str" cm="1">
        <f t="array" ref="S5652">IFERROR(IF($B5652=S$1, ($A5652+$C5652) - MAX(IF($B$2:$B5651=$B5652, $A$2:$A5651+$C$2:$C5651)), "")*24*60, "")</f>
        <v/>
      </c>
    </row>
    <row r="5653" spans="1:19" x14ac:dyDescent="0.2">
      <c r="A5653" s="12">
        <f t="shared" ref="A5653:C5653" si="1187">A5652</f>
        <v>45985</v>
      </c>
      <c r="B5653" s="5" t="str">
        <f t="shared" si="1187"/>
        <v>Northern Cardinal</v>
      </c>
      <c r="C5653" s="6">
        <f t="shared" si="1187"/>
        <v>0.29166666666666669</v>
      </c>
      <c r="D5653" s="5"/>
      <c r="E5653" s="5"/>
      <c r="F5653" s="5" t="s">
        <v>8</v>
      </c>
      <c r="G5653" s="15" t="s">
        <v>9</v>
      </c>
      <c r="H5653" s="24">
        <f t="shared" si="1129"/>
        <v>0</v>
      </c>
      <c r="I5653" s="24" cm="1">
        <f t="array" ref="I5653">IFERROR(IF($B5653=I$1, ($A5653+$C5653) - MAX(IF($B$2:$B5652=$B5653, $A$2:$A5652+$C$2:$C5652)), "")*24*60, "")</f>
        <v>0</v>
      </c>
      <c r="J5653" s="24" t="str" cm="1">
        <f t="array" ref="J5653">IFERROR(IF($B5653=J$1, ($A5653+$C5653) - MAX(IF($B$2:$B5652=$B5653, $A$2:$A5652+$C$2:$C5652)), "")*24*60, "")</f>
        <v/>
      </c>
      <c r="K5653" s="24" t="str" cm="1">
        <f t="array" ref="K5653">IFERROR(IF($B5653=K$1, ($A5653+$C5653) - MAX(IF($B$2:$B5652=$B5653, $A$2:$A5652+$C$2:$C5652)), "")*24*60, "")</f>
        <v/>
      </c>
      <c r="L5653" s="24" t="str" cm="1">
        <f t="array" ref="L5653">IFERROR(IF($B5653=L$1, ($A5653+$C5653) - MAX(IF($B$2:$B5652=$B5653, $A$2:$A5652+$C$2:$C5652)), "")*24*60, "")</f>
        <v/>
      </c>
      <c r="M5653" s="24" t="str" cm="1">
        <f t="array" ref="M5653">IFERROR(IF($B5653=M$1, ($A5653+$C5653) - MAX(IF($B$2:$B5652=$B5653, $A$2:$A5652+$C$2:$C5652)), "")*24*60, "")</f>
        <v/>
      </c>
      <c r="N5653" s="24" t="str" cm="1">
        <f t="array" ref="N5653">IFERROR(IF($B5653=N$1, ($A5653+$C5653) - MAX(IF($B$2:$B5652=$B5653, $A$2:$A5652+$C$2:$C5652)), "")*24*60, "")</f>
        <v/>
      </c>
      <c r="O5653" s="24" t="str" cm="1">
        <f t="array" ref="O5653">IFERROR(IF($B5653=O$1, ($A5653+$C5653) - MAX(IF($B$2:$B5652=$B5653, $A$2:$A5652+$C$2:$C5652)), "")*24*60, "")</f>
        <v/>
      </c>
      <c r="P5653" s="24" t="str" cm="1">
        <f t="array" ref="P5653">IFERROR(IF($B5653=P$1, ($A5653+$C5653) - MAX(IF($B$2:$B5652=$B5653, $A$2:$A5652+$C$2:$C5652)), "")*24*60, "")</f>
        <v/>
      </c>
      <c r="Q5653" s="24" t="str" cm="1">
        <f t="array" ref="Q5653">IFERROR(IF($B5653=Q$1, ($A5653+$C5653) - MAX(IF($B$2:$B5652=$B5653, $A$2:$A5652+$C$2:$C5652)), "")*24*60, "")</f>
        <v/>
      </c>
      <c r="R5653" s="24" t="str" cm="1">
        <f t="array" ref="R5653">IFERROR(IF($B5653=R$1, ($A5653+$C5653) - MAX(IF($B$2:$B5652=$B5653, $A$2:$A5652+$C$2:$C5652)), "")*24*60, "")</f>
        <v/>
      </c>
      <c r="S5653" s="24" t="str" cm="1">
        <f t="array" ref="S5653">IFERROR(IF($B5653=S$1, ($A5653+$C5653) - MAX(IF($B$2:$B5652=$B5653, $A$2:$A5652+$C$2:$C5652)), "")*24*60, "")</f>
        <v/>
      </c>
    </row>
    <row r="5654" spans="1:19" x14ac:dyDescent="0.2">
      <c r="A5654" s="12">
        <f t="shared" ref="A5654:C5654" si="1188">A5653</f>
        <v>45985</v>
      </c>
      <c r="B5654" s="5" t="str">
        <f t="shared" si="1188"/>
        <v>Northern Cardinal</v>
      </c>
      <c r="C5654" s="6">
        <f t="shared" si="1188"/>
        <v>0.29166666666666669</v>
      </c>
      <c r="D5654" s="5"/>
      <c r="E5654" s="5"/>
      <c r="F5654" s="5" t="s">
        <v>8</v>
      </c>
      <c r="G5654" s="15" t="s">
        <v>9</v>
      </c>
      <c r="H5654" s="24">
        <f t="shared" si="1129"/>
        <v>0</v>
      </c>
      <c r="I5654" s="24" cm="1">
        <f t="array" ref="I5654">IFERROR(IF($B5654=I$1, ($A5654+$C5654) - MAX(IF($B$2:$B5653=$B5654, $A$2:$A5653+$C$2:$C5653)), "")*24*60, "")</f>
        <v>0</v>
      </c>
      <c r="J5654" s="24" t="str" cm="1">
        <f t="array" ref="J5654">IFERROR(IF($B5654=J$1, ($A5654+$C5654) - MAX(IF($B$2:$B5653=$B5654, $A$2:$A5653+$C$2:$C5653)), "")*24*60, "")</f>
        <v/>
      </c>
      <c r="K5654" s="24" t="str" cm="1">
        <f t="array" ref="K5654">IFERROR(IF($B5654=K$1, ($A5654+$C5654) - MAX(IF($B$2:$B5653=$B5654, $A$2:$A5653+$C$2:$C5653)), "")*24*60, "")</f>
        <v/>
      </c>
      <c r="L5654" s="24" t="str" cm="1">
        <f t="array" ref="L5654">IFERROR(IF($B5654=L$1, ($A5654+$C5654) - MAX(IF($B$2:$B5653=$B5654, $A$2:$A5653+$C$2:$C5653)), "")*24*60, "")</f>
        <v/>
      </c>
      <c r="M5654" s="24" t="str" cm="1">
        <f t="array" ref="M5654">IFERROR(IF($B5654=M$1, ($A5654+$C5654) - MAX(IF($B$2:$B5653=$B5654, $A$2:$A5653+$C$2:$C5653)), "")*24*60, "")</f>
        <v/>
      </c>
      <c r="N5654" s="24" t="str" cm="1">
        <f t="array" ref="N5654">IFERROR(IF($B5654=N$1, ($A5654+$C5654) - MAX(IF($B$2:$B5653=$B5654, $A$2:$A5653+$C$2:$C5653)), "")*24*60, "")</f>
        <v/>
      </c>
      <c r="O5654" s="24" t="str" cm="1">
        <f t="array" ref="O5654">IFERROR(IF($B5654=O$1, ($A5654+$C5654) - MAX(IF($B$2:$B5653=$B5654, $A$2:$A5653+$C$2:$C5653)), "")*24*60, "")</f>
        <v/>
      </c>
      <c r="P5654" s="24" t="str" cm="1">
        <f t="array" ref="P5654">IFERROR(IF($B5654=P$1, ($A5654+$C5654) - MAX(IF($B$2:$B5653=$B5654, $A$2:$A5653+$C$2:$C5653)), "")*24*60, "")</f>
        <v/>
      </c>
      <c r="Q5654" s="24" t="str" cm="1">
        <f t="array" ref="Q5654">IFERROR(IF($B5654=Q$1, ($A5654+$C5654) - MAX(IF($B$2:$B5653=$B5654, $A$2:$A5653+$C$2:$C5653)), "")*24*60, "")</f>
        <v/>
      </c>
      <c r="R5654" s="24" t="str" cm="1">
        <f t="array" ref="R5654">IFERROR(IF($B5654=R$1, ($A5654+$C5654) - MAX(IF($B$2:$B5653=$B5654, $A$2:$A5653+$C$2:$C5653)), "")*24*60, "")</f>
        <v/>
      </c>
      <c r="S5654" s="24" t="str" cm="1">
        <f t="array" ref="S5654">IFERROR(IF($B5654=S$1, ($A5654+$C5654) - MAX(IF($B$2:$B5653=$B5654, $A$2:$A5653+$C$2:$C5653)), "")*24*60, "")</f>
        <v/>
      </c>
    </row>
    <row r="5655" spans="1:19" x14ac:dyDescent="0.2">
      <c r="A5655" s="12">
        <f t="shared" ref="A5655:C5655" si="1189">A5654</f>
        <v>45985</v>
      </c>
      <c r="B5655" s="5" t="str">
        <f t="shared" si="1189"/>
        <v>Northern Cardinal</v>
      </c>
      <c r="C5655" s="6">
        <f t="shared" si="1189"/>
        <v>0.29166666666666669</v>
      </c>
      <c r="D5655" s="5"/>
      <c r="E5655" s="5"/>
      <c r="F5655" s="5" t="s">
        <v>8</v>
      </c>
      <c r="G5655" s="15" t="s">
        <v>9</v>
      </c>
      <c r="H5655" s="24">
        <f t="shared" si="1129"/>
        <v>0</v>
      </c>
      <c r="I5655" s="24" cm="1">
        <f t="array" ref="I5655">IFERROR(IF($B5655=I$1, ($A5655+$C5655) - MAX(IF($B$2:$B5654=$B5655, $A$2:$A5654+$C$2:$C5654)), "")*24*60, "")</f>
        <v>0</v>
      </c>
      <c r="J5655" s="24" t="str" cm="1">
        <f t="array" ref="J5655">IFERROR(IF($B5655=J$1, ($A5655+$C5655) - MAX(IF($B$2:$B5654=$B5655, $A$2:$A5654+$C$2:$C5654)), "")*24*60, "")</f>
        <v/>
      </c>
      <c r="K5655" s="24" t="str" cm="1">
        <f t="array" ref="K5655">IFERROR(IF($B5655=K$1, ($A5655+$C5655) - MAX(IF($B$2:$B5654=$B5655, $A$2:$A5654+$C$2:$C5654)), "")*24*60, "")</f>
        <v/>
      </c>
      <c r="L5655" s="24" t="str" cm="1">
        <f t="array" ref="L5655">IFERROR(IF($B5655=L$1, ($A5655+$C5655) - MAX(IF($B$2:$B5654=$B5655, $A$2:$A5654+$C$2:$C5654)), "")*24*60, "")</f>
        <v/>
      </c>
      <c r="M5655" s="24" t="str" cm="1">
        <f t="array" ref="M5655">IFERROR(IF($B5655=M$1, ($A5655+$C5655) - MAX(IF($B$2:$B5654=$B5655, $A$2:$A5654+$C$2:$C5654)), "")*24*60, "")</f>
        <v/>
      </c>
      <c r="N5655" s="24" t="str" cm="1">
        <f t="array" ref="N5655">IFERROR(IF($B5655=N$1, ($A5655+$C5655) - MAX(IF($B$2:$B5654=$B5655, $A$2:$A5654+$C$2:$C5654)), "")*24*60, "")</f>
        <v/>
      </c>
      <c r="O5655" s="24" t="str" cm="1">
        <f t="array" ref="O5655">IFERROR(IF($B5655=O$1, ($A5655+$C5655) - MAX(IF($B$2:$B5654=$B5655, $A$2:$A5654+$C$2:$C5654)), "")*24*60, "")</f>
        <v/>
      </c>
      <c r="P5655" s="24" t="str" cm="1">
        <f t="array" ref="P5655">IFERROR(IF($B5655=P$1, ($A5655+$C5655) - MAX(IF($B$2:$B5654=$B5655, $A$2:$A5654+$C$2:$C5654)), "")*24*60, "")</f>
        <v/>
      </c>
      <c r="Q5655" s="24" t="str" cm="1">
        <f t="array" ref="Q5655">IFERROR(IF($B5655=Q$1, ($A5655+$C5655) - MAX(IF($B$2:$B5654=$B5655, $A$2:$A5654+$C$2:$C5654)), "")*24*60, "")</f>
        <v/>
      </c>
      <c r="R5655" s="24" t="str" cm="1">
        <f t="array" ref="R5655">IFERROR(IF($B5655=R$1, ($A5655+$C5655) - MAX(IF($B$2:$B5654=$B5655, $A$2:$A5654+$C$2:$C5654)), "")*24*60, "")</f>
        <v/>
      </c>
      <c r="S5655" s="24" t="str" cm="1">
        <f t="array" ref="S5655">IFERROR(IF($B5655=S$1, ($A5655+$C5655) - MAX(IF($B$2:$B5654=$B5655, $A$2:$A5654+$C$2:$C5654)), "")*24*60, "")</f>
        <v/>
      </c>
    </row>
    <row r="5656" spans="1:19" x14ac:dyDescent="0.2">
      <c r="A5656" s="12">
        <f t="shared" ref="A5656:C5656" si="1190">A5655</f>
        <v>45985</v>
      </c>
      <c r="B5656" s="5" t="str">
        <f t="shared" si="1190"/>
        <v>Northern Cardinal</v>
      </c>
      <c r="C5656" s="6">
        <f t="shared" si="1190"/>
        <v>0.29166666666666669</v>
      </c>
      <c r="D5656" s="5"/>
      <c r="E5656" s="5"/>
      <c r="F5656" s="5" t="s">
        <v>8</v>
      </c>
      <c r="G5656" s="15" t="s">
        <v>9</v>
      </c>
      <c r="H5656" s="24">
        <f t="shared" si="1129"/>
        <v>0</v>
      </c>
      <c r="I5656" s="24" cm="1">
        <f t="array" ref="I5656">IFERROR(IF($B5656=I$1, ($A5656+$C5656) - MAX(IF($B$2:$B5655=$B5656, $A$2:$A5655+$C$2:$C5655)), "")*24*60, "")</f>
        <v>0</v>
      </c>
      <c r="J5656" s="24" t="str" cm="1">
        <f t="array" ref="J5656">IFERROR(IF($B5656=J$1, ($A5656+$C5656) - MAX(IF($B$2:$B5655=$B5656, $A$2:$A5655+$C$2:$C5655)), "")*24*60, "")</f>
        <v/>
      </c>
      <c r="K5656" s="24" t="str" cm="1">
        <f t="array" ref="K5656">IFERROR(IF($B5656=K$1, ($A5656+$C5656) - MAX(IF($B$2:$B5655=$B5656, $A$2:$A5655+$C$2:$C5655)), "")*24*60, "")</f>
        <v/>
      </c>
      <c r="L5656" s="24" t="str" cm="1">
        <f t="array" ref="L5656">IFERROR(IF($B5656=L$1, ($A5656+$C5656) - MAX(IF($B$2:$B5655=$B5656, $A$2:$A5655+$C$2:$C5655)), "")*24*60, "")</f>
        <v/>
      </c>
      <c r="M5656" s="24" t="str" cm="1">
        <f t="array" ref="M5656">IFERROR(IF($B5656=M$1, ($A5656+$C5656) - MAX(IF($B$2:$B5655=$B5656, $A$2:$A5655+$C$2:$C5655)), "")*24*60, "")</f>
        <v/>
      </c>
      <c r="N5656" s="24" t="str" cm="1">
        <f t="array" ref="N5656">IFERROR(IF($B5656=N$1, ($A5656+$C5656) - MAX(IF($B$2:$B5655=$B5656, $A$2:$A5655+$C$2:$C5655)), "")*24*60, "")</f>
        <v/>
      </c>
      <c r="O5656" s="24" t="str" cm="1">
        <f t="array" ref="O5656">IFERROR(IF($B5656=O$1, ($A5656+$C5656) - MAX(IF($B$2:$B5655=$B5656, $A$2:$A5655+$C$2:$C5655)), "")*24*60, "")</f>
        <v/>
      </c>
      <c r="P5656" s="24" t="str" cm="1">
        <f t="array" ref="P5656">IFERROR(IF($B5656=P$1, ($A5656+$C5656) - MAX(IF($B$2:$B5655=$B5656, $A$2:$A5655+$C$2:$C5655)), "")*24*60, "")</f>
        <v/>
      </c>
      <c r="Q5656" s="24" t="str" cm="1">
        <f t="array" ref="Q5656">IFERROR(IF($B5656=Q$1, ($A5656+$C5656) - MAX(IF($B$2:$B5655=$B5656, $A$2:$A5655+$C$2:$C5655)), "")*24*60, "")</f>
        <v/>
      </c>
      <c r="R5656" s="24" t="str" cm="1">
        <f t="array" ref="R5656">IFERROR(IF($B5656=R$1, ($A5656+$C5656) - MAX(IF($B$2:$B5655=$B5656, $A$2:$A5655+$C$2:$C5655)), "")*24*60, "")</f>
        <v/>
      </c>
      <c r="S5656" s="24" t="str" cm="1">
        <f t="array" ref="S5656">IFERROR(IF($B5656=S$1, ($A5656+$C5656) - MAX(IF($B$2:$B5655=$B5656, $A$2:$A5655+$C$2:$C5655)), "")*24*60, "")</f>
        <v/>
      </c>
    </row>
    <row r="5657" spans="1:19" x14ac:dyDescent="0.2">
      <c r="A5657" s="12">
        <f t="shared" ref="A5657:C5657" si="1191">A5656</f>
        <v>45985</v>
      </c>
      <c r="B5657" s="5" t="str">
        <f t="shared" si="1191"/>
        <v>Northern Cardinal</v>
      </c>
      <c r="C5657" s="6">
        <f t="shared" si="1191"/>
        <v>0.29166666666666669</v>
      </c>
      <c r="D5657" s="5"/>
      <c r="E5657" s="5"/>
      <c r="F5657" s="5" t="s">
        <v>8</v>
      </c>
      <c r="G5657" s="15" t="s">
        <v>9</v>
      </c>
      <c r="H5657" s="24">
        <f t="shared" si="1129"/>
        <v>0</v>
      </c>
      <c r="I5657" s="24" cm="1">
        <f t="array" ref="I5657">IFERROR(IF($B5657=I$1, ($A5657+$C5657) - MAX(IF($B$2:$B5656=$B5657, $A$2:$A5656+$C$2:$C5656)), "")*24*60, "")</f>
        <v>0</v>
      </c>
      <c r="J5657" s="24" t="str" cm="1">
        <f t="array" ref="J5657">IFERROR(IF($B5657=J$1, ($A5657+$C5657) - MAX(IF($B$2:$B5656=$B5657, $A$2:$A5656+$C$2:$C5656)), "")*24*60, "")</f>
        <v/>
      </c>
      <c r="K5657" s="24" t="str" cm="1">
        <f t="array" ref="K5657">IFERROR(IF($B5657=K$1, ($A5657+$C5657) - MAX(IF($B$2:$B5656=$B5657, $A$2:$A5656+$C$2:$C5656)), "")*24*60, "")</f>
        <v/>
      </c>
      <c r="L5657" s="24" t="str" cm="1">
        <f t="array" ref="L5657">IFERROR(IF($B5657=L$1, ($A5657+$C5657) - MAX(IF($B$2:$B5656=$B5657, $A$2:$A5656+$C$2:$C5656)), "")*24*60, "")</f>
        <v/>
      </c>
      <c r="M5657" s="24" t="str" cm="1">
        <f t="array" ref="M5657">IFERROR(IF($B5657=M$1, ($A5657+$C5657) - MAX(IF($B$2:$B5656=$B5657, $A$2:$A5656+$C$2:$C5656)), "")*24*60, "")</f>
        <v/>
      </c>
      <c r="N5657" s="24" t="str" cm="1">
        <f t="array" ref="N5657">IFERROR(IF($B5657=N$1, ($A5657+$C5657) - MAX(IF($B$2:$B5656=$B5657, $A$2:$A5656+$C$2:$C5656)), "")*24*60, "")</f>
        <v/>
      </c>
      <c r="O5657" s="24" t="str" cm="1">
        <f t="array" ref="O5657">IFERROR(IF($B5657=O$1, ($A5657+$C5657) - MAX(IF($B$2:$B5656=$B5657, $A$2:$A5656+$C$2:$C5656)), "")*24*60, "")</f>
        <v/>
      </c>
      <c r="P5657" s="24" t="str" cm="1">
        <f t="array" ref="P5657">IFERROR(IF($B5657=P$1, ($A5657+$C5657) - MAX(IF($B$2:$B5656=$B5657, $A$2:$A5656+$C$2:$C5656)), "")*24*60, "")</f>
        <v/>
      </c>
      <c r="Q5657" s="24" t="str" cm="1">
        <f t="array" ref="Q5657">IFERROR(IF($B5657=Q$1, ($A5657+$C5657) - MAX(IF($B$2:$B5656=$B5657, $A$2:$A5656+$C$2:$C5656)), "")*24*60, "")</f>
        <v/>
      </c>
      <c r="R5657" s="24" t="str" cm="1">
        <f t="array" ref="R5657">IFERROR(IF($B5657=R$1, ($A5657+$C5657) - MAX(IF($B$2:$B5656=$B5657, $A$2:$A5656+$C$2:$C5656)), "")*24*60, "")</f>
        <v/>
      </c>
      <c r="S5657" s="24" t="str" cm="1">
        <f t="array" ref="S5657">IFERROR(IF($B5657=S$1, ($A5657+$C5657) - MAX(IF($B$2:$B5656=$B5657, $A$2:$A5656+$C$2:$C5656)), "")*24*60, "")</f>
        <v/>
      </c>
    </row>
    <row r="5658" spans="1:19" x14ac:dyDescent="0.2">
      <c r="A5658" s="12">
        <f t="shared" ref="A5658:C5658" si="1192">A5657</f>
        <v>45985</v>
      </c>
      <c r="B5658" s="5" t="str">
        <f t="shared" si="1192"/>
        <v>Northern Cardinal</v>
      </c>
      <c r="C5658" s="6">
        <f t="shared" si="1192"/>
        <v>0.29166666666666669</v>
      </c>
      <c r="D5658" s="5"/>
      <c r="E5658" s="5"/>
      <c r="F5658" s="5" t="s">
        <v>8</v>
      </c>
      <c r="G5658" s="15" t="s">
        <v>9</v>
      </c>
      <c r="H5658" s="24">
        <f t="shared" si="1129"/>
        <v>0</v>
      </c>
      <c r="I5658" s="24" cm="1">
        <f t="array" ref="I5658">IFERROR(IF($B5658=I$1, ($A5658+$C5658) - MAX(IF($B$2:$B5657=$B5658, $A$2:$A5657+$C$2:$C5657)), "")*24*60, "")</f>
        <v>0</v>
      </c>
      <c r="J5658" s="24" t="str" cm="1">
        <f t="array" ref="J5658">IFERROR(IF($B5658=J$1, ($A5658+$C5658) - MAX(IF($B$2:$B5657=$B5658, $A$2:$A5657+$C$2:$C5657)), "")*24*60, "")</f>
        <v/>
      </c>
      <c r="K5658" s="24" t="str" cm="1">
        <f t="array" ref="K5658">IFERROR(IF($B5658=K$1, ($A5658+$C5658) - MAX(IF($B$2:$B5657=$B5658, $A$2:$A5657+$C$2:$C5657)), "")*24*60, "")</f>
        <v/>
      </c>
      <c r="L5658" s="24" t="str" cm="1">
        <f t="array" ref="L5658">IFERROR(IF($B5658=L$1, ($A5658+$C5658) - MAX(IF($B$2:$B5657=$B5658, $A$2:$A5657+$C$2:$C5657)), "")*24*60, "")</f>
        <v/>
      </c>
      <c r="M5658" s="24" t="str" cm="1">
        <f t="array" ref="M5658">IFERROR(IF($B5658=M$1, ($A5658+$C5658) - MAX(IF($B$2:$B5657=$B5658, $A$2:$A5657+$C$2:$C5657)), "")*24*60, "")</f>
        <v/>
      </c>
      <c r="N5658" s="24" t="str" cm="1">
        <f t="array" ref="N5658">IFERROR(IF($B5658=N$1, ($A5658+$C5658) - MAX(IF($B$2:$B5657=$B5658, $A$2:$A5657+$C$2:$C5657)), "")*24*60, "")</f>
        <v/>
      </c>
      <c r="O5658" s="24" t="str" cm="1">
        <f t="array" ref="O5658">IFERROR(IF($B5658=O$1, ($A5658+$C5658) - MAX(IF($B$2:$B5657=$B5658, $A$2:$A5657+$C$2:$C5657)), "")*24*60, "")</f>
        <v/>
      </c>
      <c r="P5658" s="24" t="str" cm="1">
        <f t="array" ref="P5658">IFERROR(IF($B5658=P$1, ($A5658+$C5658) - MAX(IF($B$2:$B5657=$B5658, $A$2:$A5657+$C$2:$C5657)), "")*24*60, "")</f>
        <v/>
      </c>
      <c r="Q5658" s="24" t="str" cm="1">
        <f t="array" ref="Q5658">IFERROR(IF($B5658=Q$1, ($A5658+$C5658) - MAX(IF($B$2:$B5657=$B5658, $A$2:$A5657+$C$2:$C5657)), "")*24*60, "")</f>
        <v/>
      </c>
      <c r="R5658" s="24" t="str" cm="1">
        <f t="array" ref="R5658">IFERROR(IF($B5658=R$1, ($A5658+$C5658) - MAX(IF($B$2:$B5657=$B5658, $A$2:$A5657+$C$2:$C5657)), "")*24*60, "")</f>
        <v/>
      </c>
      <c r="S5658" s="24" t="str" cm="1">
        <f t="array" ref="S5658">IFERROR(IF($B5658=S$1, ($A5658+$C5658) - MAX(IF($B$2:$B5657=$B5658, $A$2:$A5657+$C$2:$C5657)), "")*24*60, "")</f>
        <v/>
      </c>
    </row>
    <row r="5659" spans="1:19" x14ac:dyDescent="0.2">
      <c r="A5659" s="12">
        <f t="shared" ref="A5659:C5659" si="1193">A5658</f>
        <v>45985</v>
      </c>
      <c r="B5659" s="5" t="str">
        <f t="shared" si="1193"/>
        <v>Northern Cardinal</v>
      </c>
      <c r="C5659" s="6">
        <f t="shared" si="1193"/>
        <v>0.29166666666666669</v>
      </c>
      <c r="D5659" s="5"/>
      <c r="E5659" s="5"/>
      <c r="F5659" s="5" t="s">
        <v>8</v>
      </c>
      <c r="G5659" s="15" t="s">
        <v>9</v>
      </c>
      <c r="H5659" s="24">
        <f t="shared" si="1129"/>
        <v>0</v>
      </c>
      <c r="I5659" s="24" cm="1">
        <f t="array" ref="I5659">IFERROR(IF($B5659=I$1, ($A5659+$C5659) - MAX(IF($B$2:$B5658=$B5659, $A$2:$A5658+$C$2:$C5658)), "")*24*60, "")</f>
        <v>0</v>
      </c>
      <c r="J5659" s="24" t="str" cm="1">
        <f t="array" ref="J5659">IFERROR(IF($B5659=J$1, ($A5659+$C5659) - MAX(IF($B$2:$B5658=$B5659, $A$2:$A5658+$C$2:$C5658)), "")*24*60, "")</f>
        <v/>
      </c>
      <c r="K5659" s="24" t="str" cm="1">
        <f t="array" ref="K5659">IFERROR(IF($B5659=K$1, ($A5659+$C5659) - MAX(IF($B$2:$B5658=$B5659, $A$2:$A5658+$C$2:$C5658)), "")*24*60, "")</f>
        <v/>
      </c>
      <c r="L5659" s="24" t="str" cm="1">
        <f t="array" ref="L5659">IFERROR(IF($B5659=L$1, ($A5659+$C5659) - MAX(IF($B$2:$B5658=$B5659, $A$2:$A5658+$C$2:$C5658)), "")*24*60, "")</f>
        <v/>
      </c>
      <c r="M5659" s="24" t="str" cm="1">
        <f t="array" ref="M5659">IFERROR(IF($B5659=M$1, ($A5659+$C5659) - MAX(IF($B$2:$B5658=$B5659, $A$2:$A5658+$C$2:$C5658)), "")*24*60, "")</f>
        <v/>
      </c>
      <c r="N5659" s="24" t="str" cm="1">
        <f t="array" ref="N5659">IFERROR(IF($B5659=N$1, ($A5659+$C5659) - MAX(IF($B$2:$B5658=$B5659, $A$2:$A5658+$C$2:$C5658)), "")*24*60, "")</f>
        <v/>
      </c>
      <c r="O5659" s="24" t="str" cm="1">
        <f t="array" ref="O5659">IFERROR(IF($B5659=O$1, ($A5659+$C5659) - MAX(IF($B$2:$B5658=$B5659, $A$2:$A5658+$C$2:$C5658)), "")*24*60, "")</f>
        <v/>
      </c>
      <c r="P5659" s="24" t="str" cm="1">
        <f t="array" ref="P5659">IFERROR(IF($B5659=P$1, ($A5659+$C5659) - MAX(IF($B$2:$B5658=$B5659, $A$2:$A5658+$C$2:$C5658)), "")*24*60, "")</f>
        <v/>
      </c>
      <c r="Q5659" s="24" t="str" cm="1">
        <f t="array" ref="Q5659">IFERROR(IF($B5659=Q$1, ($A5659+$C5659) - MAX(IF($B$2:$B5658=$B5659, $A$2:$A5658+$C$2:$C5658)), "")*24*60, "")</f>
        <v/>
      </c>
      <c r="R5659" s="24" t="str" cm="1">
        <f t="array" ref="R5659">IFERROR(IF($B5659=R$1, ($A5659+$C5659) - MAX(IF($B$2:$B5658=$B5659, $A$2:$A5658+$C$2:$C5658)), "")*24*60, "")</f>
        <v/>
      </c>
      <c r="S5659" s="24" t="str" cm="1">
        <f t="array" ref="S5659">IFERROR(IF($B5659=S$1, ($A5659+$C5659) - MAX(IF($B$2:$B5658=$B5659, $A$2:$A5658+$C$2:$C5658)), "")*24*60, "")</f>
        <v/>
      </c>
    </row>
    <row r="5660" spans="1:19" x14ac:dyDescent="0.2">
      <c r="A5660" s="12">
        <f t="shared" ref="A5660:C5660" si="1194">A5659</f>
        <v>45985</v>
      </c>
      <c r="B5660" s="5" t="str">
        <f t="shared" si="1194"/>
        <v>Northern Cardinal</v>
      </c>
      <c r="C5660" s="6">
        <f t="shared" si="1194"/>
        <v>0.29166666666666669</v>
      </c>
      <c r="D5660" s="5"/>
      <c r="E5660" s="5"/>
      <c r="F5660" s="5" t="s">
        <v>8</v>
      </c>
      <c r="G5660" s="15" t="s">
        <v>9</v>
      </c>
      <c r="H5660" s="24">
        <f t="shared" si="1129"/>
        <v>0</v>
      </c>
      <c r="I5660" s="24" cm="1">
        <f t="array" ref="I5660">IFERROR(IF($B5660=I$1, ($A5660+$C5660) - MAX(IF($B$2:$B5659=$B5660, $A$2:$A5659+$C$2:$C5659)), "")*24*60, "")</f>
        <v>0</v>
      </c>
      <c r="J5660" s="24" t="str" cm="1">
        <f t="array" ref="J5660">IFERROR(IF($B5660=J$1, ($A5660+$C5660) - MAX(IF($B$2:$B5659=$B5660, $A$2:$A5659+$C$2:$C5659)), "")*24*60, "")</f>
        <v/>
      </c>
      <c r="K5660" s="24" t="str" cm="1">
        <f t="array" ref="K5660">IFERROR(IF($B5660=K$1, ($A5660+$C5660) - MAX(IF($B$2:$B5659=$B5660, $A$2:$A5659+$C$2:$C5659)), "")*24*60, "")</f>
        <v/>
      </c>
      <c r="L5660" s="24" t="str" cm="1">
        <f t="array" ref="L5660">IFERROR(IF($B5660=L$1, ($A5660+$C5660) - MAX(IF($B$2:$B5659=$B5660, $A$2:$A5659+$C$2:$C5659)), "")*24*60, "")</f>
        <v/>
      </c>
      <c r="M5660" s="24" t="str" cm="1">
        <f t="array" ref="M5660">IFERROR(IF($B5660=M$1, ($A5660+$C5660) - MAX(IF($B$2:$B5659=$B5660, $A$2:$A5659+$C$2:$C5659)), "")*24*60, "")</f>
        <v/>
      </c>
      <c r="N5660" s="24" t="str" cm="1">
        <f t="array" ref="N5660">IFERROR(IF($B5660=N$1, ($A5660+$C5660) - MAX(IF($B$2:$B5659=$B5660, $A$2:$A5659+$C$2:$C5659)), "")*24*60, "")</f>
        <v/>
      </c>
      <c r="O5660" s="24" t="str" cm="1">
        <f t="array" ref="O5660">IFERROR(IF($B5660=O$1, ($A5660+$C5660) - MAX(IF($B$2:$B5659=$B5660, $A$2:$A5659+$C$2:$C5659)), "")*24*60, "")</f>
        <v/>
      </c>
      <c r="P5660" s="24" t="str" cm="1">
        <f t="array" ref="P5660">IFERROR(IF($B5660=P$1, ($A5660+$C5660) - MAX(IF($B$2:$B5659=$B5660, $A$2:$A5659+$C$2:$C5659)), "")*24*60, "")</f>
        <v/>
      </c>
      <c r="Q5660" s="24" t="str" cm="1">
        <f t="array" ref="Q5660">IFERROR(IF($B5660=Q$1, ($A5660+$C5660) - MAX(IF($B$2:$B5659=$B5660, $A$2:$A5659+$C$2:$C5659)), "")*24*60, "")</f>
        <v/>
      </c>
      <c r="R5660" s="24" t="str" cm="1">
        <f t="array" ref="R5660">IFERROR(IF($B5660=R$1, ($A5660+$C5660) - MAX(IF($B$2:$B5659=$B5660, $A$2:$A5659+$C$2:$C5659)), "")*24*60, "")</f>
        <v/>
      </c>
      <c r="S5660" s="24" t="str" cm="1">
        <f t="array" ref="S5660">IFERROR(IF($B5660=S$1, ($A5660+$C5660) - MAX(IF($B$2:$B5659=$B5660, $A$2:$A5659+$C$2:$C5659)), "")*24*60, "")</f>
        <v/>
      </c>
    </row>
    <row r="5661" spans="1:19" x14ac:dyDescent="0.2">
      <c r="A5661" s="12">
        <f t="shared" ref="A5661:C5661" si="1195">A5660</f>
        <v>45985</v>
      </c>
      <c r="B5661" s="5" t="str">
        <f t="shared" si="1195"/>
        <v>Northern Cardinal</v>
      </c>
      <c r="C5661" s="6">
        <f t="shared" si="1195"/>
        <v>0.29166666666666669</v>
      </c>
      <c r="D5661" s="5"/>
      <c r="E5661" s="5"/>
      <c r="F5661" s="5" t="s">
        <v>8</v>
      </c>
      <c r="G5661" s="15" t="s">
        <v>9</v>
      </c>
      <c r="H5661" s="24">
        <f t="shared" si="1129"/>
        <v>0</v>
      </c>
      <c r="I5661" s="24" cm="1">
        <f t="array" ref="I5661">IFERROR(IF($B5661=I$1, ($A5661+$C5661) - MAX(IF($B$2:$B5660=$B5661, $A$2:$A5660+$C$2:$C5660)), "")*24*60, "")</f>
        <v>0</v>
      </c>
      <c r="J5661" s="24" t="str" cm="1">
        <f t="array" ref="J5661">IFERROR(IF($B5661=J$1, ($A5661+$C5661) - MAX(IF($B$2:$B5660=$B5661, $A$2:$A5660+$C$2:$C5660)), "")*24*60, "")</f>
        <v/>
      </c>
      <c r="K5661" s="24" t="str" cm="1">
        <f t="array" ref="K5661">IFERROR(IF($B5661=K$1, ($A5661+$C5661) - MAX(IF($B$2:$B5660=$B5661, $A$2:$A5660+$C$2:$C5660)), "")*24*60, "")</f>
        <v/>
      </c>
      <c r="L5661" s="24" t="str" cm="1">
        <f t="array" ref="L5661">IFERROR(IF($B5661=L$1, ($A5661+$C5661) - MAX(IF($B$2:$B5660=$B5661, $A$2:$A5660+$C$2:$C5660)), "")*24*60, "")</f>
        <v/>
      </c>
      <c r="M5661" s="24" t="str" cm="1">
        <f t="array" ref="M5661">IFERROR(IF($B5661=M$1, ($A5661+$C5661) - MAX(IF($B$2:$B5660=$B5661, $A$2:$A5660+$C$2:$C5660)), "")*24*60, "")</f>
        <v/>
      </c>
      <c r="N5661" s="24" t="str" cm="1">
        <f t="array" ref="N5661">IFERROR(IF($B5661=N$1, ($A5661+$C5661) - MAX(IF($B$2:$B5660=$B5661, $A$2:$A5660+$C$2:$C5660)), "")*24*60, "")</f>
        <v/>
      </c>
      <c r="O5661" s="24" t="str" cm="1">
        <f t="array" ref="O5661">IFERROR(IF($B5661=O$1, ($A5661+$C5661) - MAX(IF($B$2:$B5660=$B5661, $A$2:$A5660+$C$2:$C5660)), "")*24*60, "")</f>
        <v/>
      </c>
      <c r="P5661" s="24" t="str" cm="1">
        <f t="array" ref="P5661">IFERROR(IF($B5661=P$1, ($A5661+$C5661) - MAX(IF($B$2:$B5660=$B5661, $A$2:$A5660+$C$2:$C5660)), "")*24*60, "")</f>
        <v/>
      </c>
      <c r="Q5661" s="24" t="str" cm="1">
        <f t="array" ref="Q5661">IFERROR(IF($B5661=Q$1, ($A5661+$C5661) - MAX(IF($B$2:$B5660=$B5661, $A$2:$A5660+$C$2:$C5660)), "")*24*60, "")</f>
        <v/>
      </c>
      <c r="R5661" s="24" t="str" cm="1">
        <f t="array" ref="R5661">IFERROR(IF($B5661=R$1, ($A5661+$C5661) - MAX(IF($B$2:$B5660=$B5661, $A$2:$A5660+$C$2:$C5660)), "")*24*60, "")</f>
        <v/>
      </c>
      <c r="S5661" s="24" t="str" cm="1">
        <f t="array" ref="S5661">IFERROR(IF($B5661=S$1, ($A5661+$C5661) - MAX(IF($B$2:$B5660=$B5661, $A$2:$A5660+$C$2:$C5660)), "")*24*60, "")</f>
        <v/>
      </c>
    </row>
    <row r="5662" spans="1:19" x14ac:dyDescent="0.2">
      <c r="A5662" s="12">
        <f t="shared" ref="A5662:C5662" si="1196">A5661</f>
        <v>45985</v>
      </c>
      <c r="B5662" s="5" t="str">
        <f t="shared" si="1196"/>
        <v>Northern Cardinal</v>
      </c>
      <c r="C5662" s="6">
        <f t="shared" si="1196"/>
        <v>0.29166666666666669</v>
      </c>
      <c r="D5662" s="5"/>
      <c r="E5662" s="5"/>
      <c r="F5662" s="5" t="s">
        <v>8</v>
      </c>
      <c r="G5662" s="15" t="s">
        <v>9</v>
      </c>
      <c r="H5662" s="24">
        <f t="shared" si="1129"/>
        <v>0</v>
      </c>
      <c r="I5662" s="24" cm="1">
        <f t="array" ref="I5662">IFERROR(IF($B5662=I$1, ($A5662+$C5662) - MAX(IF($B$2:$B5661=$B5662, $A$2:$A5661+$C$2:$C5661)), "")*24*60, "")</f>
        <v>0</v>
      </c>
      <c r="J5662" s="24" t="str" cm="1">
        <f t="array" ref="J5662">IFERROR(IF($B5662=J$1, ($A5662+$C5662) - MAX(IF($B$2:$B5661=$B5662, $A$2:$A5661+$C$2:$C5661)), "")*24*60, "")</f>
        <v/>
      </c>
      <c r="K5662" s="24" t="str" cm="1">
        <f t="array" ref="K5662">IFERROR(IF($B5662=K$1, ($A5662+$C5662) - MAX(IF($B$2:$B5661=$B5662, $A$2:$A5661+$C$2:$C5661)), "")*24*60, "")</f>
        <v/>
      </c>
      <c r="L5662" s="24" t="str" cm="1">
        <f t="array" ref="L5662">IFERROR(IF($B5662=L$1, ($A5662+$C5662) - MAX(IF($B$2:$B5661=$B5662, $A$2:$A5661+$C$2:$C5661)), "")*24*60, "")</f>
        <v/>
      </c>
      <c r="M5662" s="24" t="str" cm="1">
        <f t="array" ref="M5662">IFERROR(IF($B5662=M$1, ($A5662+$C5662) - MAX(IF($B$2:$B5661=$B5662, $A$2:$A5661+$C$2:$C5661)), "")*24*60, "")</f>
        <v/>
      </c>
      <c r="N5662" s="24" t="str" cm="1">
        <f t="array" ref="N5662">IFERROR(IF($B5662=N$1, ($A5662+$C5662) - MAX(IF($B$2:$B5661=$B5662, $A$2:$A5661+$C$2:$C5661)), "")*24*60, "")</f>
        <v/>
      </c>
      <c r="O5662" s="24" t="str" cm="1">
        <f t="array" ref="O5662">IFERROR(IF($B5662=O$1, ($A5662+$C5662) - MAX(IF($B$2:$B5661=$B5662, $A$2:$A5661+$C$2:$C5661)), "")*24*60, "")</f>
        <v/>
      </c>
      <c r="P5662" s="24" t="str" cm="1">
        <f t="array" ref="P5662">IFERROR(IF($B5662=P$1, ($A5662+$C5662) - MAX(IF($B$2:$B5661=$B5662, $A$2:$A5661+$C$2:$C5661)), "")*24*60, "")</f>
        <v/>
      </c>
      <c r="Q5662" s="24" t="str" cm="1">
        <f t="array" ref="Q5662">IFERROR(IF($B5662=Q$1, ($A5662+$C5662) - MAX(IF($B$2:$B5661=$B5662, $A$2:$A5661+$C$2:$C5661)), "")*24*60, "")</f>
        <v/>
      </c>
      <c r="R5662" s="24" t="str" cm="1">
        <f t="array" ref="R5662">IFERROR(IF($B5662=R$1, ($A5662+$C5662) - MAX(IF($B$2:$B5661=$B5662, $A$2:$A5661+$C$2:$C5661)), "")*24*60, "")</f>
        <v/>
      </c>
      <c r="S5662" s="24" t="str" cm="1">
        <f t="array" ref="S5662">IFERROR(IF($B5662=S$1, ($A5662+$C5662) - MAX(IF($B$2:$B5661=$B5662, $A$2:$A5661+$C$2:$C5661)), "")*24*60, "")</f>
        <v/>
      </c>
    </row>
    <row r="5663" spans="1:19" x14ac:dyDescent="0.2">
      <c r="A5663" s="12">
        <f t="shared" ref="A5663:C5663" si="1197">A5662</f>
        <v>45985</v>
      </c>
      <c r="B5663" s="5" t="str">
        <f t="shared" si="1197"/>
        <v>Northern Cardinal</v>
      </c>
      <c r="C5663" s="6">
        <f t="shared" si="1197"/>
        <v>0.29166666666666669</v>
      </c>
      <c r="D5663" s="5"/>
      <c r="E5663" s="5"/>
      <c r="F5663" s="5" t="s">
        <v>8</v>
      </c>
      <c r="G5663" s="15" t="s">
        <v>9</v>
      </c>
      <c r="H5663" s="24">
        <f t="shared" si="1129"/>
        <v>0</v>
      </c>
      <c r="I5663" s="24" cm="1">
        <f t="array" ref="I5663">IFERROR(IF($B5663=I$1, ($A5663+$C5663) - MAX(IF($B$2:$B5662=$B5663, $A$2:$A5662+$C$2:$C5662)), "")*24*60, "")</f>
        <v>0</v>
      </c>
      <c r="J5663" s="24" t="str" cm="1">
        <f t="array" ref="J5663">IFERROR(IF($B5663=J$1, ($A5663+$C5663) - MAX(IF($B$2:$B5662=$B5663, $A$2:$A5662+$C$2:$C5662)), "")*24*60, "")</f>
        <v/>
      </c>
      <c r="K5663" s="24" t="str" cm="1">
        <f t="array" ref="K5663">IFERROR(IF($B5663=K$1, ($A5663+$C5663) - MAX(IF($B$2:$B5662=$B5663, $A$2:$A5662+$C$2:$C5662)), "")*24*60, "")</f>
        <v/>
      </c>
      <c r="L5663" s="24" t="str" cm="1">
        <f t="array" ref="L5663">IFERROR(IF($B5663=L$1, ($A5663+$C5663) - MAX(IF($B$2:$B5662=$B5663, $A$2:$A5662+$C$2:$C5662)), "")*24*60, "")</f>
        <v/>
      </c>
      <c r="M5663" s="24" t="str" cm="1">
        <f t="array" ref="M5663">IFERROR(IF($B5663=M$1, ($A5663+$C5663) - MAX(IF($B$2:$B5662=$B5663, $A$2:$A5662+$C$2:$C5662)), "")*24*60, "")</f>
        <v/>
      </c>
      <c r="N5663" s="24" t="str" cm="1">
        <f t="array" ref="N5663">IFERROR(IF($B5663=N$1, ($A5663+$C5663) - MAX(IF($B$2:$B5662=$B5663, $A$2:$A5662+$C$2:$C5662)), "")*24*60, "")</f>
        <v/>
      </c>
      <c r="O5663" s="24" t="str" cm="1">
        <f t="array" ref="O5663">IFERROR(IF($B5663=O$1, ($A5663+$C5663) - MAX(IF($B$2:$B5662=$B5663, $A$2:$A5662+$C$2:$C5662)), "")*24*60, "")</f>
        <v/>
      </c>
      <c r="P5663" s="24" t="str" cm="1">
        <f t="array" ref="P5663">IFERROR(IF($B5663=P$1, ($A5663+$C5663) - MAX(IF($B$2:$B5662=$B5663, $A$2:$A5662+$C$2:$C5662)), "")*24*60, "")</f>
        <v/>
      </c>
      <c r="Q5663" s="24" t="str" cm="1">
        <f t="array" ref="Q5663">IFERROR(IF($B5663=Q$1, ($A5663+$C5663) - MAX(IF($B$2:$B5662=$B5663, $A$2:$A5662+$C$2:$C5662)), "")*24*60, "")</f>
        <v/>
      </c>
      <c r="R5663" s="24" t="str" cm="1">
        <f t="array" ref="R5663">IFERROR(IF($B5663=R$1, ($A5663+$C5663) - MAX(IF($B$2:$B5662=$B5663, $A$2:$A5662+$C$2:$C5662)), "")*24*60, "")</f>
        <v/>
      </c>
      <c r="S5663" s="24" t="str" cm="1">
        <f t="array" ref="S5663">IFERROR(IF($B5663=S$1, ($A5663+$C5663) - MAX(IF($B$2:$B5662=$B5663, $A$2:$A5662+$C$2:$C5662)), "")*24*60, "")</f>
        <v/>
      </c>
    </row>
    <row r="5664" spans="1:19" x14ac:dyDescent="0.2">
      <c r="A5664" s="12">
        <f t="shared" ref="A5664:C5664" si="1198">A5663</f>
        <v>45985</v>
      </c>
      <c r="B5664" s="5" t="str">
        <f t="shared" si="1198"/>
        <v>Northern Cardinal</v>
      </c>
      <c r="C5664" s="6">
        <f t="shared" si="1198"/>
        <v>0.29166666666666669</v>
      </c>
      <c r="D5664" s="5"/>
      <c r="E5664" s="5"/>
      <c r="F5664" s="5" t="s">
        <v>8</v>
      </c>
      <c r="G5664" s="15" t="s">
        <v>9</v>
      </c>
      <c r="H5664" s="24">
        <f t="shared" si="1129"/>
        <v>0</v>
      </c>
      <c r="I5664" s="24" cm="1">
        <f t="array" ref="I5664">IFERROR(IF($B5664=I$1, ($A5664+$C5664) - MAX(IF($B$2:$B5663=$B5664, $A$2:$A5663+$C$2:$C5663)), "")*24*60, "")</f>
        <v>0</v>
      </c>
      <c r="J5664" s="24" t="str" cm="1">
        <f t="array" ref="J5664">IFERROR(IF($B5664=J$1, ($A5664+$C5664) - MAX(IF($B$2:$B5663=$B5664, $A$2:$A5663+$C$2:$C5663)), "")*24*60, "")</f>
        <v/>
      </c>
      <c r="K5664" s="24" t="str" cm="1">
        <f t="array" ref="K5664">IFERROR(IF($B5664=K$1, ($A5664+$C5664) - MAX(IF($B$2:$B5663=$B5664, $A$2:$A5663+$C$2:$C5663)), "")*24*60, "")</f>
        <v/>
      </c>
      <c r="L5664" s="24" t="str" cm="1">
        <f t="array" ref="L5664">IFERROR(IF($B5664=L$1, ($A5664+$C5664) - MAX(IF($B$2:$B5663=$B5664, $A$2:$A5663+$C$2:$C5663)), "")*24*60, "")</f>
        <v/>
      </c>
      <c r="M5664" s="24" t="str" cm="1">
        <f t="array" ref="M5664">IFERROR(IF($B5664=M$1, ($A5664+$C5664) - MAX(IF($B$2:$B5663=$B5664, $A$2:$A5663+$C$2:$C5663)), "")*24*60, "")</f>
        <v/>
      </c>
      <c r="N5664" s="24" t="str" cm="1">
        <f t="array" ref="N5664">IFERROR(IF($B5664=N$1, ($A5664+$C5664) - MAX(IF($B$2:$B5663=$B5664, $A$2:$A5663+$C$2:$C5663)), "")*24*60, "")</f>
        <v/>
      </c>
      <c r="O5664" s="24" t="str" cm="1">
        <f t="array" ref="O5664">IFERROR(IF($B5664=O$1, ($A5664+$C5664) - MAX(IF($B$2:$B5663=$B5664, $A$2:$A5663+$C$2:$C5663)), "")*24*60, "")</f>
        <v/>
      </c>
      <c r="P5664" s="24" t="str" cm="1">
        <f t="array" ref="P5664">IFERROR(IF($B5664=P$1, ($A5664+$C5664) - MAX(IF($B$2:$B5663=$B5664, $A$2:$A5663+$C$2:$C5663)), "")*24*60, "")</f>
        <v/>
      </c>
      <c r="Q5664" s="24" t="str" cm="1">
        <f t="array" ref="Q5664">IFERROR(IF($B5664=Q$1, ($A5664+$C5664) - MAX(IF($B$2:$B5663=$B5664, $A$2:$A5663+$C$2:$C5663)), "")*24*60, "")</f>
        <v/>
      </c>
      <c r="R5664" s="24" t="str" cm="1">
        <f t="array" ref="R5664">IFERROR(IF($B5664=R$1, ($A5664+$C5664) - MAX(IF($B$2:$B5663=$B5664, $A$2:$A5663+$C$2:$C5663)), "")*24*60, "")</f>
        <v/>
      </c>
      <c r="S5664" s="24" t="str" cm="1">
        <f t="array" ref="S5664">IFERROR(IF($B5664=S$1, ($A5664+$C5664) - MAX(IF($B$2:$B5663=$B5664, $A$2:$A5663+$C$2:$C5663)), "")*24*60, "")</f>
        <v/>
      </c>
    </row>
    <row r="5665" spans="1:19" x14ac:dyDescent="0.2">
      <c r="A5665" s="12">
        <f t="shared" ref="A5665:C5665" si="1199">A5664</f>
        <v>45985</v>
      </c>
      <c r="B5665" s="5" t="str">
        <f t="shared" si="1199"/>
        <v>Northern Cardinal</v>
      </c>
      <c r="C5665" s="6">
        <f t="shared" si="1199"/>
        <v>0.29166666666666669</v>
      </c>
      <c r="D5665" s="5"/>
      <c r="E5665" s="5"/>
      <c r="F5665" s="5" t="s">
        <v>8</v>
      </c>
      <c r="G5665" s="15" t="s">
        <v>9</v>
      </c>
      <c r="H5665" s="24">
        <f t="shared" si="1129"/>
        <v>0</v>
      </c>
      <c r="I5665" s="24" cm="1">
        <f t="array" ref="I5665">IFERROR(IF($B5665=I$1, ($A5665+$C5665) - MAX(IF($B$2:$B5664=$B5665, $A$2:$A5664+$C$2:$C5664)), "")*24*60, "")</f>
        <v>0</v>
      </c>
      <c r="J5665" s="24" t="str" cm="1">
        <f t="array" ref="J5665">IFERROR(IF($B5665=J$1, ($A5665+$C5665) - MAX(IF($B$2:$B5664=$B5665, $A$2:$A5664+$C$2:$C5664)), "")*24*60, "")</f>
        <v/>
      </c>
      <c r="K5665" s="24" t="str" cm="1">
        <f t="array" ref="K5665">IFERROR(IF($B5665=K$1, ($A5665+$C5665) - MAX(IF($B$2:$B5664=$B5665, $A$2:$A5664+$C$2:$C5664)), "")*24*60, "")</f>
        <v/>
      </c>
      <c r="L5665" s="24" t="str" cm="1">
        <f t="array" ref="L5665">IFERROR(IF($B5665=L$1, ($A5665+$C5665) - MAX(IF($B$2:$B5664=$B5665, $A$2:$A5664+$C$2:$C5664)), "")*24*60, "")</f>
        <v/>
      </c>
      <c r="M5665" s="24" t="str" cm="1">
        <f t="array" ref="M5665">IFERROR(IF($B5665=M$1, ($A5665+$C5665) - MAX(IF($B$2:$B5664=$B5665, $A$2:$A5664+$C$2:$C5664)), "")*24*60, "")</f>
        <v/>
      </c>
      <c r="N5665" s="24" t="str" cm="1">
        <f t="array" ref="N5665">IFERROR(IF($B5665=N$1, ($A5665+$C5665) - MAX(IF($B$2:$B5664=$B5665, $A$2:$A5664+$C$2:$C5664)), "")*24*60, "")</f>
        <v/>
      </c>
      <c r="O5665" s="24" t="str" cm="1">
        <f t="array" ref="O5665">IFERROR(IF($B5665=O$1, ($A5665+$C5665) - MAX(IF($B$2:$B5664=$B5665, $A$2:$A5664+$C$2:$C5664)), "")*24*60, "")</f>
        <v/>
      </c>
      <c r="P5665" s="24" t="str" cm="1">
        <f t="array" ref="P5665">IFERROR(IF($B5665=P$1, ($A5665+$C5665) - MAX(IF($B$2:$B5664=$B5665, $A$2:$A5664+$C$2:$C5664)), "")*24*60, "")</f>
        <v/>
      </c>
      <c r="Q5665" s="24" t="str" cm="1">
        <f t="array" ref="Q5665">IFERROR(IF($B5665=Q$1, ($A5665+$C5665) - MAX(IF($B$2:$B5664=$B5665, $A$2:$A5664+$C$2:$C5664)), "")*24*60, "")</f>
        <v/>
      </c>
      <c r="R5665" s="24" t="str" cm="1">
        <f t="array" ref="R5665">IFERROR(IF($B5665=R$1, ($A5665+$C5665) - MAX(IF($B$2:$B5664=$B5665, $A$2:$A5664+$C$2:$C5664)), "")*24*60, "")</f>
        <v/>
      </c>
      <c r="S5665" s="24" t="str" cm="1">
        <f t="array" ref="S5665">IFERROR(IF($B5665=S$1, ($A5665+$C5665) - MAX(IF($B$2:$B5664=$B5665, $A$2:$A5664+$C$2:$C5664)), "")*24*60, "")</f>
        <v/>
      </c>
    </row>
    <row r="5666" spans="1:19" x14ac:dyDescent="0.2">
      <c r="A5666" s="12">
        <f t="shared" ref="A5666:C5666" si="1200">A5665</f>
        <v>45985</v>
      </c>
      <c r="B5666" s="5" t="str">
        <f t="shared" si="1200"/>
        <v>Northern Cardinal</v>
      </c>
      <c r="C5666" s="6">
        <f t="shared" si="1200"/>
        <v>0.29166666666666669</v>
      </c>
      <c r="D5666" s="5"/>
      <c r="E5666" s="5"/>
      <c r="F5666" s="5" t="s">
        <v>8</v>
      </c>
      <c r="G5666" s="15" t="s">
        <v>9</v>
      </c>
      <c r="H5666" s="24">
        <f t="shared" si="1129"/>
        <v>0</v>
      </c>
      <c r="I5666" s="24" cm="1">
        <f t="array" ref="I5666">IFERROR(IF($B5666=I$1, ($A5666+$C5666) - MAX(IF($B$2:$B5665=$B5666, $A$2:$A5665+$C$2:$C5665)), "")*24*60, "")</f>
        <v>0</v>
      </c>
      <c r="J5666" s="24" t="str" cm="1">
        <f t="array" ref="J5666">IFERROR(IF($B5666=J$1, ($A5666+$C5666) - MAX(IF($B$2:$B5665=$B5666, $A$2:$A5665+$C$2:$C5665)), "")*24*60, "")</f>
        <v/>
      </c>
      <c r="K5666" s="24" t="str" cm="1">
        <f t="array" ref="K5666">IFERROR(IF($B5666=K$1, ($A5666+$C5666) - MAX(IF($B$2:$B5665=$B5666, $A$2:$A5665+$C$2:$C5665)), "")*24*60, "")</f>
        <v/>
      </c>
      <c r="L5666" s="24" t="str" cm="1">
        <f t="array" ref="L5666">IFERROR(IF($B5666=L$1, ($A5666+$C5666) - MAX(IF($B$2:$B5665=$B5666, $A$2:$A5665+$C$2:$C5665)), "")*24*60, "")</f>
        <v/>
      </c>
      <c r="M5666" s="24" t="str" cm="1">
        <f t="array" ref="M5666">IFERROR(IF($B5666=M$1, ($A5666+$C5666) - MAX(IF($B$2:$B5665=$B5666, $A$2:$A5665+$C$2:$C5665)), "")*24*60, "")</f>
        <v/>
      </c>
      <c r="N5666" s="24" t="str" cm="1">
        <f t="array" ref="N5666">IFERROR(IF($B5666=N$1, ($A5666+$C5666) - MAX(IF($B$2:$B5665=$B5666, $A$2:$A5665+$C$2:$C5665)), "")*24*60, "")</f>
        <v/>
      </c>
      <c r="O5666" s="24" t="str" cm="1">
        <f t="array" ref="O5666">IFERROR(IF($B5666=O$1, ($A5666+$C5666) - MAX(IF($B$2:$B5665=$B5666, $A$2:$A5665+$C$2:$C5665)), "")*24*60, "")</f>
        <v/>
      </c>
      <c r="P5666" s="24" t="str" cm="1">
        <f t="array" ref="P5666">IFERROR(IF($B5666=P$1, ($A5666+$C5666) - MAX(IF($B$2:$B5665=$B5666, $A$2:$A5665+$C$2:$C5665)), "")*24*60, "")</f>
        <v/>
      </c>
      <c r="Q5666" s="24" t="str" cm="1">
        <f t="array" ref="Q5666">IFERROR(IF($B5666=Q$1, ($A5666+$C5666) - MAX(IF($B$2:$B5665=$B5666, $A$2:$A5665+$C$2:$C5665)), "")*24*60, "")</f>
        <v/>
      </c>
      <c r="R5666" s="24" t="str" cm="1">
        <f t="array" ref="R5666">IFERROR(IF($B5666=R$1, ($A5666+$C5666) - MAX(IF($B$2:$B5665=$B5666, $A$2:$A5665+$C$2:$C5665)), "")*24*60, "")</f>
        <v/>
      </c>
      <c r="S5666" s="24" t="str" cm="1">
        <f t="array" ref="S5666">IFERROR(IF($B5666=S$1, ($A5666+$C5666) - MAX(IF($B$2:$B5665=$B5666, $A$2:$A5665+$C$2:$C5665)), "")*24*60, "")</f>
        <v/>
      </c>
    </row>
    <row r="5667" spans="1:19" x14ac:dyDescent="0.2">
      <c r="A5667" s="12">
        <f t="shared" ref="A5667:C5667" si="1201">A5666</f>
        <v>45985</v>
      </c>
      <c r="B5667" s="5" t="str">
        <f t="shared" si="1201"/>
        <v>Northern Cardinal</v>
      </c>
      <c r="C5667" s="6">
        <f t="shared" si="1201"/>
        <v>0.29166666666666669</v>
      </c>
      <c r="D5667" s="5"/>
      <c r="E5667" s="5"/>
      <c r="F5667" s="5" t="s">
        <v>8</v>
      </c>
      <c r="G5667" s="15" t="s">
        <v>9</v>
      </c>
      <c r="H5667" s="24">
        <f t="shared" si="1129"/>
        <v>0</v>
      </c>
      <c r="I5667" s="24" cm="1">
        <f t="array" ref="I5667">IFERROR(IF($B5667=I$1, ($A5667+$C5667) - MAX(IF($B$2:$B5666=$B5667, $A$2:$A5666+$C$2:$C5666)), "")*24*60, "")</f>
        <v>0</v>
      </c>
      <c r="J5667" s="24" t="str" cm="1">
        <f t="array" ref="J5667">IFERROR(IF($B5667=J$1, ($A5667+$C5667) - MAX(IF($B$2:$B5666=$B5667, $A$2:$A5666+$C$2:$C5666)), "")*24*60, "")</f>
        <v/>
      </c>
      <c r="K5667" s="24" t="str" cm="1">
        <f t="array" ref="K5667">IFERROR(IF($B5667=K$1, ($A5667+$C5667) - MAX(IF($B$2:$B5666=$B5667, $A$2:$A5666+$C$2:$C5666)), "")*24*60, "")</f>
        <v/>
      </c>
      <c r="L5667" s="24" t="str" cm="1">
        <f t="array" ref="L5667">IFERROR(IF($B5667=L$1, ($A5667+$C5667) - MAX(IF($B$2:$B5666=$B5667, $A$2:$A5666+$C$2:$C5666)), "")*24*60, "")</f>
        <v/>
      </c>
      <c r="M5667" s="24" t="str" cm="1">
        <f t="array" ref="M5667">IFERROR(IF($B5667=M$1, ($A5667+$C5667) - MAX(IF($B$2:$B5666=$B5667, $A$2:$A5666+$C$2:$C5666)), "")*24*60, "")</f>
        <v/>
      </c>
      <c r="N5667" s="24" t="str" cm="1">
        <f t="array" ref="N5667">IFERROR(IF($B5667=N$1, ($A5667+$C5667) - MAX(IF($B$2:$B5666=$B5667, $A$2:$A5666+$C$2:$C5666)), "")*24*60, "")</f>
        <v/>
      </c>
      <c r="O5667" s="24" t="str" cm="1">
        <f t="array" ref="O5667">IFERROR(IF($B5667=O$1, ($A5667+$C5667) - MAX(IF($B$2:$B5666=$B5667, $A$2:$A5666+$C$2:$C5666)), "")*24*60, "")</f>
        <v/>
      </c>
      <c r="P5667" s="24" t="str" cm="1">
        <f t="array" ref="P5667">IFERROR(IF($B5667=P$1, ($A5667+$C5667) - MAX(IF($B$2:$B5666=$B5667, $A$2:$A5666+$C$2:$C5666)), "")*24*60, "")</f>
        <v/>
      </c>
      <c r="Q5667" s="24" t="str" cm="1">
        <f t="array" ref="Q5667">IFERROR(IF($B5667=Q$1, ($A5667+$C5667) - MAX(IF($B$2:$B5666=$B5667, $A$2:$A5666+$C$2:$C5666)), "")*24*60, "")</f>
        <v/>
      </c>
      <c r="R5667" s="24" t="str" cm="1">
        <f t="array" ref="R5667">IFERROR(IF($B5667=R$1, ($A5667+$C5667) - MAX(IF($B$2:$B5666=$B5667, $A$2:$A5666+$C$2:$C5666)), "")*24*60, "")</f>
        <v/>
      </c>
      <c r="S5667" s="24" t="str" cm="1">
        <f t="array" ref="S5667">IFERROR(IF($B5667=S$1, ($A5667+$C5667) - MAX(IF($B$2:$B5666=$B5667, $A$2:$A5666+$C$2:$C5666)), "")*24*60, "")</f>
        <v/>
      </c>
    </row>
    <row r="5668" spans="1:19" x14ac:dyDescent="0.2">
      <c r="A5668" s="12">
        <f t="shared" ref="A5668:C5668" si="1202">A5667</f>
        <v>45985</v>
      </c>
      <c r="B5668" s="5" t="str">
        <f t="shared" si="1202"/>
        <v>Northern Cardinal</v>
      </c>
      <c r="C5668" s="6">
        <f t="shared" si="1202"/>
        <v>0.29166666666666669</v>
      </c>
      <c r="D5668" s="5"/>
      <c r="E5668" s="5"/>
      <c r="F5668" s="5" t="s">
        <v>8</v>
      </c>
      <c r="G5668" s="15" t="s">
        <v>9</v>
      </c>
      <c r="H5668" s="24">
        <f t="shared" si="1129"/>
        <v>0</v>
      </c>
      <c r="I5668" s="24" cm="1">
        <f t="array" ref="I5668">IFERROR(IF($B5668=I$1, ($A5668+$C5668) - MAX(IF($B$2:$B5667=$B5668, $A$2:$A5667+$C$2:$C5667)), "")*24*60, "")</f>
        <v>0</v>
      </c>
      <c r="J5668" s="24" t="str" cm="1">
        <f t="array" ref="J5668">IFERROR(IF($B5668=J$1, ($A5668+$C5668) - MAX(IF($B$2:$B5667=$B5668, $A$2:$A5667+$C$2:$C5667)), "")*24*60, "")</f>
        <v/>
      </c>
      <c r="K5668" s="24" t="str" cm="1">
        <f t="array" ref="K5668">IFERROR(IF($B5668=K$1, ($A5668+$C5668) - MAX(IF($B$2:$B5667=$B5668, $A$2:$A5667+$C$2:$C5667)), "")*24*60, "")</f>
        <v/>
      </c>
      <c r="L5668" s="24" t="str" cm="1">
        <f t="array" ref="L5668">IFERROR(IF($B5668=L$1, ($A5668+$C5668) - MAX(IF($B$2:$B5667=$B5668, $A$2:$A5667+$C$2:$C5667)), "")*24*60, "")</f>
        <v/>
      </c>
      <c r="M5668" s="24" t="str" cm="1">
        <f t="array" ref="M5668">IFERROR(IF($B5668=M$1, ($A5668+$C5668) - MAX(IF($B$2:$B5667=$B5668, $A$2:$A5667+$C$2:$C5667)), "")*24*60, "")</f>
        <v/>
      </c>
      <c r="N5668" s="24" t="str" cm="1">
        <f t="array" ref="N5668">IFERROR(IF($B5668=N$1, ($A5668+$C5668) - MAX(IF($B$2:$B5667=$B5668, $A$2:$A5667+$C$2:$C5667)), "")*24*60, "")</f>
        <v/>
      </c>
      <c r="O5668" s="24" t="str" cm="1">
        <f t="array" ref="O5668">IFERROR(IF($B5668=O$1, ($A5668+$C5668) - MAX(IF($B$2:$B5667=$B5668, $A$2:$A5667+$C$2:$C5667)), "")*24*60, "")</f>
        <v/>
      </c>
      <c r="P5668" s="24" t="str" cm="1">
        <f t="array" ref="P5668">IFERROR(IF($B5668=P$1, ($A5668+$C5668) - MAX(IF($B$2:$B5667=$B5668, $A$2:$A5667+$C$2:$C5667)), "")*24*60, "")</f>
        <v/>
      </c>
      <c r="Q5668" s="24" t="str" cm="1">
        <f t="array" ref="Q5668">IFERROR(IF($B5668=Q$1, ($A5668+$C5668) - MAX(IF($B$2:$B5667=$B5668, $A$2:$A5667+$C$2:$C5667)), "")*24*60, "")</f>
        <v/>
      </c>
      <c r="R5668" s="24" t="str" cm="1">
        <f t="array" ref="R5668">IFERROR(IF($B5668=R$1, ($A5668+$C5668) - MAX(IF($B$2:$B5667=$B5668, $A$2:$A5667+$C$2:$C5667)), "")*24*60, "")</f>
        <v/>
      </c>
      <c r="S5668" s="24" t="str" cm="1">
        <f t="array" ref="S5668">IFERROR(IF($B5668=S$1, ($A5668+$C5668) - MAX(IF($B$2:$B5667=$B5668, $A$2:$A5667+$C$2:$C5667)), "")*24*60, "")</f>
        <v/>
      </c>
    </row>
    <row r="5669" spans="1:19" x14ac:dyDescent="0.2">
      <c r="A5669" s="12">
        <f t="shared" ref="A5669:C5669" si="1203">A5668</f>
        <v>45985</v>
      </c>
      <c r="B5669" s="5" t="str">
        <f t="shared" si="1203"/>
        <v>Northern Cardinal</v>
      </c>
      <c r="C5669" s="6">
        <f t="shared" si="1203"/>
        <v>0.29166666666666669</v>
      </c>
      <c r="D5669" s="5"/>
      <c r="E5669" s="5"/>
      <c r="F5669" s="5" t="s">
        <v>8</v>
      </c>
      <c r="G5669" s="15" t="s">
        <v>9</v>
      </c>
      <c r="H5669" s="24">
        <f t="shared" si="1129"/>
        <v>0</v>
      </c>
      <c r="I5669" s="24" cm="1">
        <f t="array" ref="I5669">IFERROR(IF($B5669=I$1, ($A5669+$C5669) - MAX(IF($B$2:$B5668=$B5669, $A$2:$A5668+$C$2:$C5668)), "")*24*60, "")</f>
        <v>0</v>
      </c>
      <c r="J5669" s="24" t="str" cm="1">
        <f t="array" ref="J5669">IFERROR(IF($B5669=J$1, ($A5669+$C5669) - MAX(IF($B$2:$B5668=$B5669, $A$2:$A5668+$C$2:$C5668)), "")*24*60, "")</f>
        <v/>
      </c>
      <c r="K5669" s="24" t="str" cm="1">
        <f t="array" ref="K5669">IFERROR(IF($B5669=K$1, ($A5669+$C5669) - MAX(IF($B$2:$B5668=$B5669, $A$2:$A5668+$C$2:$C5668)), "")*24*60, "")</f>
        <v/>
      </c>
      <c r="L5669" s="24" t="str" cm="1">
        <f t="array" ref="L5669">IFERROR(IF($B5669=L$1, ($A5669+$C5669) - MAX(IF($B$2:$B5668=$B5669, $A$2:$A5668+$C$2:$C5668)), "")*24*60, "")</f>
        <v/>
      </c>
      <c r="M5669" s="24" t="str" cm="1">
        <f t="array" ref="M5669">IFERROR(IF($B5669=M$1, ($A5669+$C5669) - MAX(IF($B$2:$B5668=$B5669, $A$2:$A5668+$C$2:$C5668)), "")*24*60, "")</f>
        <v/>
      </c>
      <c r="N5669" s="24" t="str" cm="1">
        <f t="array" ref="N5669">IFERROR(IF($B5669=N$1, ($A5669+$C5669) - MAX(IF($B$2:$B5668=$B5669, $A$2:$A5668+$C$2:$C5668)), "")*24*60, "")</f>
        <v/>
      </c>
      <c r="O5669" s="24" t="str" cm="1">
        <f t="array" ref="O5669">IFERROR(IF($B5669=O$1, ($A5669+$C5669) - MAX(IF($B$2:$B5668=$B5669, $A$2:$A5668+$C$2:$C5668)), "")*24*60, "")</f>
        <v/>
      </c>
      <c r="P5669" s="24" t="str" cm="1">
        <f t="array" ref="P5669">IFERROR(IF($B5669=P$1, ($A5669+$C5669) - MAX(IF($B$2:$B5668=$B5669, $A$2:$A5668+$C$2:$C5668)), "")*24*60, "")</f>
        <v/>
      </c>
      <c r="Q5669" s="24" t="str" cm="1">
        <f t="array" ref="Q5669">IFERROR(IF($B5669=Q$1, ($A5669+$C5669) - MAX(IF($B$2:$B5668=$B5669, $A$2:$A5668+$C$2:$C5668)), "")*24*60, "")</f>
        <v/>
      </c>
      <c r="R5669" s="24" t="str" cm="1">
        <f t="array" ref="R5669">IFERROR(IF($B5669=R$1, ($A5669+$C5669) - MAX(IF($B$2:$B5668=$B5669, $A$2:$A5668+$C$2:$C5668)), "")*24*60, "")</f>
        <v/>
      </c>
      <c r="S5669" s="24" t="str" cm="1">
        <f t="array" ref="S5669">IFERROR(IF($B5669=S$1, ($A5669+$C5669) - MAX(IF($B$2:$B5668=$B5669, $A$2:$A5668+$C$2:$C5668)), "")*24*60, "")</f>
        <v/>
      </c>
    </row>
    <row r="5670" spans="1:19" x14ac:dyDescent="0.2">
      <c r="A5670" s="12">
        <f t="shared" ref="A5670:C5670" si="1204">A5669</f>
        <v>45985</v>
      </c>
      <c r="B5670" s="5" t="str">
        <f t="shared" si="1204"/>
        <v>Northern Cardinal</v>
      </c>
      <c r="C5670" s="6">
        <f t="shared" si="1204"/>
        <v>0.29166666666666669</v>
      </c>
      <c r="D5670" s="5"/>
      <c r="E5670" s="5"/>
      <c r="F5670" s="5" t="s">
        <v>8</v>
      </c>
      <c r="G5670" s="15" t="s">
        <v>9</v>
      </c>
      <c r="H5670" s="24">
        <f t="shared" si="1129"/>
        <v>0</v>
      </c>
      <c r="I5670" s="24" cm="1">
        <f t="array" ref="I5670">IFERROR(IF($B5670=I$1, ($A5670+$C5670) - MAX(IF($B$2:$B5669=$B5670, $A$2:$A5669+$C$2:$C5669)), "")*24*60, "")</f>
        <v>0</v>
      </c>
      <c r="J5670" s="24" t="str" cm="1">
        <f t="array" ref="J5670">IFERROR(IF($B5670=J$1, ($A5670+$C5670) - MAX(IF($B$2:$B5669=$B5670, $A$2:$A5669+$C$2:$C5669)), "")*24*60, "")</f>
        <v/>
      </c>
      <c r="K5670" s="24" t="str" cm="1">
        <f t="array" ref="K5670">IFERROR(IF($B5670=K$1, ($A5670+$C5670) - MAX(IF($B$2:$B5669=$B5670, $A$2:$A5669+$C$2:$C5669)), "")*24*60, "")</f>
        <v/>
      </c>
      <c r="L5670" s="24" t="str" cm="1">
        <f t="array" ref="L5670">IFERROR(IF($B5670=L$1, ($A5670+$C5670) - MAX(IF($B$2:$B5669=$B5670, $A$2:$A5669+$C$2:$C5669)), "")*24*60, "")</f>
        <v/>
      </c>
      <c r="M5670" s="24" t="str" cm="1">
        <f t="array" ref="M5670">IFERROR(IF($B5670=M$1, ($A5670+$C5670) - MAX(IF($B$2:$B5669=$B5670, $A$2:$A5669+$C$2:$C5669)), "")*24*60, "")</f>
        <v/>
      </c>
      <c r="N5670" s="24" t="str" cm="1">
        <f t="array" ref="N5670">IFERROR(IF($B5670=N$1, ($A5670+$C5670) - MAX(IF($B$2:$B5669=$B5670, $A$2:$A5669+$C$2:$C5669)), "")*24*60, "")</f>
        <v/>
      </c>
      <c r="O5670" s="24" t="str" cm="1">
        <f t="array" ref="O5670">IFERROR(IF($B5670=O$1, ($A5670+$C5670) - MAX(IF($B$2:$B5669=$B5670, $A$2:$A5669+$C$2:$C5669)), "")*24*60, "")</f>
        <v/>
      </c>
      <c r="P5670" s="24" t="str" cm="1">
        <f t="array" ref="P5670">IFERROR(IF($B5670=P$1, ($A5670+$C5670) - MAX(IF($B$2:$B5669=$B5670, $A$2:$A5669+$C$2:$C5669)), "")*24*60, "")</f>
        <v/>
      </c>
      <c r="Q5670" s="24" t="str" cm="1">
        <f t="array" ref="Q5670">IFERROR(IF($B5670=Q$1, ($A5670+$C5670) - MAX(IF($B$2:$B5669=$B5670, $A$2:$A5669+$C$2:$C5669)), "")*24*60, "")</f>
        <v/>
      </c>
      <c r="R5670" s="24" t="str" cm="1">
        <f t="array" ref="R5670">IFERROR(IF($B5670=R$1, ($A5670+$C5670) - MAX(IF($B$2:$B5669=$B5670, $A$2:$A5669+$C$2:$C5669)), "")*24*60, "")</f>
        <v/>
      </c>
      <c r="S5670" s="24" t="str" cm="1">
        <f t="array" ref="S5670">IFERROR(IF($B5670=S$1, ($A5670+$C5670) - MAX(IF($B$2:$B5669=$B5670, $A$2:$A5669+$C$2:$C5669)), "")*24*60, "")</f>
        <v/>
      </c>
    </row>
    <row r="5671" spans="1:19" x14ac:dyDescent="0.2">
      <c r="A5671" s="12">
        <f t="shared" ref="A5671:C5671" si="1205">A5670</f>
        <v>45985</v>
      </c>
      <c r="B5671" s="5" t="str">
        <f t="shared" si="1205"/>
        <v>Northern Cardinal</v>
      </c>
      <c r="C5671" s="6">
        <f t="shared" si="1205"/>
        <v>0.29166666666666669</v>
      </c>
      <c r="D5671" s="5"/>
      <c r="E5671" s="5"/>
      <c r="F5671" s="5" t="s">
        <v>8</v>
      </c>
      <c r="G5671" s="15" t="s">
        <v>9</v>
      </c>
      <c r="H5671" s="24">
        <f t="shared" si="1129"/>
        <v>0</v>
      </c>
      <c r="I5671" s="24" cm="1">
        <f t="array" ref="I5671">IFERROR(IF($B5671=I$1, ($A5671+$C5671) - MAX(IF($B$2:$B5670=$B5671, $A$2:$A5670+$C$2:$C5670)), "")*24*60, "")</f>
        <v>0</v>
      </c>
      <c r="J5671" s="24" t="str" cm="1">
        <f t="array" ref="J5671">IFERROR(IF($B5671=J$1, ($A5671+$C5671) - MAX(IF($B$2:$B5670=$B5671, $A$2:$A5670+$C$2:$C5670)), "")*24*60, "")</f>
        <v/>
      </c>
      <c r="K5671" s="24" t="str" cm="1">
        <f t="array" ref="K5671">IFERROR(IF($B5671=K$1, ($A5671+$C5671) - MAX(IF($B$2:$B5670=$B5671, $A$2:$A5670+$C$2:$C5670)), "")*24*60, "")</f>
        <v/>
      </c>
      <c r="L5671" s="24" t="str" cm="1">
        <f t="array" ref="L5671">IFERROR(IF($B5671=L$1, ($A5671+$C5671) - MAX(IF($B$2:$B5670=$B5671, $A$2:$A5670+$C$2:$C5670)), "")*24*60, "")</f>
        <v/>
      </c>
      <c r="M5671" s="24" t="str" cm="1">
        <f t="array" ref="M5671">IFERROR(IF($B5671=M$1, ($A5671+$C5671) - MAX(IF($B$2:$B5670=$B5671, $A$2:$A5670+$C$2:$C5670)), "")*24*60, "")</f>
        <v/>
      </c>
      <c r="N5671" s="24" t="str" cm="1">
        <f t="array" ref="N5671">IFERROR(IF($B5671=N$1, ($A5671+$C5671) - MAX(IF($B$2:$B5670=$B5671, $A$2:$A5670+$C$2:$C5670)), "")*24*60, "")</f>
        <v/>
      </c>
      <c r="O5671" s="24" t="str" cm="1">
        <f t="array" ref="O5671">IFERROR(IF($B5671=O$1, ($A5671+$C5671) - MAX(IF($B$2:$B5670=$B5671, $A$2:$A5670+$C$2:$C5670)), "")*24*60, "")</f>
        <v/>
      </c>
      <c r="P5671" s="24" t="str" cm="1">
        <f t="array" ref="P5671">IFERROR(IF($B5671=P$1, ($A5671+$C5671) - MAX(IF($B$2:$B5670=$B5671, $A$2:$A5670+$C$2:$C5670)), "")*24*60, "")</f>
        <v/>
      </c>
      <c r="Q5671" s="24" t="str" cm="1">
        <f t="array" ref="Q5671">IFERROR(IF($B5671=Q$1, ($A5671+$C5671) - MAX(IF($B$2:$B5670=$B5671, $A$2:$A5670+$C$2:$C5670)), "")*24*60, "")</f>
        <v/>
      </c>
      <c r="R5671" s="24" t="str" cm="1">
        <f t="array" ref="R5671">IFERROR(IF($B5671=R$1, ($A5671+$C5671) - MAX(IF($B$2:$B5670=$B5671, $A$2:$A5670+$C$2:$C5670)), "")*24*60, "")</f>
        <v/>
      </c>
      <c r="S5671" s="24" t="str" cm="1">
        <f t="array" ref="S5671">IFERROR(IF($B5671=S$1, ($A5671+$C5671) - MAX(IF($B$2:$B5670=$B5671, $A$2:$A5670+$C$2:$C5670)), "")*24*60, "")</f>
        <v/>
      </c>
    </row>
    <row r="5672" spans="1:19" x14ac:dyDescent="0.2">
      <c r="A5672" s="12">
        <f t="shared" ref="A5672:C5672" si="1206">A5671</f>
        <v>45985</v>
      </c>
      <c r="B5672" s="5" t="str">
        <f t="shared" si="1206"/>
        <v>Northern Cardinal</v>
      </c>
      <c r="C5672" s="6">
        <f t="shared" si="1206"/>
        <v>0.29166666666666669</v>
      </c>
      <c r="D5672" s="5"/>
      <c r="E5672" s="5"/>
      <c r="F5672" s="5" t="s">
        <v>8</v>
      </c>
      <c r="G5672" s="15" t="s">
        <v>9</v>
      </c>
      <c r="H5672" s="24">
        <f t="shared" si="1129"/>
        <v>0</v>
      </c>
      <c r="I5672" s="24" cm="1">
        <f t="array" ref="I5672">IFERROR(IF($B5672=I$1, ($A5672+$C5672) - MAX(IF($B$2:$B5671=$B5672, $A$2:$A5671+$C$2:$C5671)), "")*24*60, "")</f>
        <v>0</v>
      </c>
      <c r="J5672" s="24" t="str" cm="1">
        <f t="array" ref="J5672">IFERROR(IF($B5672=J$1, ($A5672+$C5672) - MAX(IF($B$2:$B5671=$B5672, $A$2:$A5671+$C$2:$C5671)), "")*24*60, "")</f>
        <v/>
      </c>
      <c r="K5672" s="24" t="str" cm="1">
        <f t="array" ref="K5672">IFERROR(IF($B5672=K$1, ($A5672+$C5672) - MAX(IF($B$2:$B5671=$B5672, $A$2:$A5671+$C$2:$C5671)), "")*24*60, "")</f>
        <v/>
      </c>
      <c r="L5672" s="24" t="str" cm="1">
        <f t="array" ref="L5672">IFERROR(IF($B5672=L$1, ($A5672+$C5672) - MAX(IF($B$2:$B5671=$B5672, $A$2:$A5671+$C$2:$C5671)), "")*24*60, "")</f>
        <v/>
      </c>
      <c r="M5672" s="24" t="str" cm="1">
        <f t="array" ref="M5672">IFERROR(IF($B5672=M$1, ($A5672+$C5672) - MAX(IF($B$2:$B5671=$B5672, $A$2:$A5671+$C$2:$C5671)), "")*24*60, "")</f>
        <v/>
      </c>
      <c r="N5672" s="24" t="str" cm="1">
        <f t="array" ref="N5672">IFERROR(IF($B5672=N$1, ($A5672+$C5672) - MAX(IF($B$2:$B5671=$B5672, $A$2:$A5671+$C$2:$C5671)), "")*24*60, "")</f>
        <v/>
      </c>
      <c r="O5672" s="24" t="str" cm="1">
        <f t="array" ref="O5672">IFERROR(IF($B5672=O$1, ($A5672+$C5672) - MAX(IF($B$2:$B5671=$B5672, $A$2:$A5671+$C$2:$C5671)), "")*24*60, "")</f>
        <v/>
      </c>
      <c r="P5672" s="24" t="str" cm="1">
        <f t="array" ref="P5672">IFERROR(IF($B5672=P$1, ($A5672+$C5672) - MAX(IF($B$2:$B5671=$B5672, $A$2:$A5671+$C$2:$C5671)), "")*24*60, "")</f>
        <v/>
      </c>
      <c r="Q5672" s="24" t="str" cm="1">
        <f t="array" ref="Q5672">IFERROR(IF($B5672=Q$1, ($A5672+$C5672) - MAX(IF($B$2:$B5671=$B5672, $A$2:$A5671+$C$2:$C5671)), "")*24*60, "")</f>
        <v/>
      </c>
      <c r="R5672" s="24" t="str" cm="1">
        <f t="array" ref="R5672">IFERROR(IF($B5672=R$1, ($A5672+$C5672) - MAX(IF($B$2:$B5671=$B5672, $A$2:$A5671+$C$2:$C5671)), "")*24*60, "")</f>
        <v/>
      </c>
      <c r="S5672" s="24" t="str" cm="1">
        <f t="array" ref="S5672">IFERROR(IF($B5672=S$1, ($A5672+$C5672) - MAX(IF($B$2:$B5671=$B5672, $A$2:$A5671+$C$2:$C5671)), "")*24*60, "")</f>
        <v/>
      </c>
    </row>
    <row r="5673" spans="1:19" x14ac:dyDescent="0.2">
      <c r="A5673" s="12">
        <f t="shared" ref="A5673:C5673" si="1207">A5672</f>
        <v>45985</v>
      </c>
      <c r="B5673" s="5" t="str">
        <f t="shared" si="1207"/>
        <v>Northern Cardinal</v>
      </c>
      <c r="C5673" s="6">
        <f t="shared" si="1207"/>
        <v>0.29166666666666669</v>
      </c>
      <c r="D5673" s="5"/>
      <c r="E5673" s="5"/>
      <c r="F5673" s="5" t="s">
        <v>8</v>
      </c>
      <c r="G5673" s="15" t="s">
        <v>9</v>
      </c>
      <c r="H5673" s="24">
        <f t="shared" si="1129"/>
        <v>0</v>
      </c>
      <c r="I5673" s="24" cm="1">
        <f t="array" ref="I5673">IFERROR(IF($B5673=I$1, ($A5673+$C5673) - MAX(IF($B$2:$B5672=$B5673, $A$2:$A5672+$C$2:$C5672)), "")*24*60, "")</f>
        <v>0</v>
      </c>
      <c r="J5673" s="24" t="str" cm="1">
        <f t="array" ref="J5673">IFERROR(IF($B5673=J$1, ($A5673+$C5673) - MAX(IF($B$2:$B5672=$B5673, $A$2:$A5672+$C$2:$C5672)), "")*24*60, "")</f>
        <v/>
      </c>
      <c r="K5673" s="24" t="str" cm="1">
        <f t="array" ref="K5673">IFERROR(IF($B5673=K$1, ($A5673+$C5673) - MAX(IF($B$2:$B5672=$B5673, $A$2:$A5672+$C$2:$C5672)), "")*24*60, "")</f>
        <v/>
      </c>
      <c r="L5673" s="24" t="str" cm="1">
        <f t="array" ref="L5673">IFERROR(IF($B5673=L$1, ($A5673+$C5673) - MAX(IF($B$2:$B5672=$B5673, $A$2:$A5672+$C$2:$C5672)), "")*24*60, "")</f>
        <v/>
      </c>
      <c r="M5673" s="24" t="str" cm="1">
        <f t="array" ref="M5673">IFERROR(IF($B5673=M$1, ($A5673+$C5673) - MAX(IF($B$2:$B5672=$B5673, $A$2:$A5672+$C$2:$C5672)), "")*24*60, "")</f>
        <v/>
      </c>
      <c r="N5673" s="24" t="str" cm="1">
        <f t="array" ref="N5673">IFERROR(IF($B5673=N$1, ($A5673+$C5673) - MAX(IF($B$2:$B5672=$B5673, $A$2:$A5672+$C$2:$C5672)), "")*24*60, "")</f>
        <v/>
      </c>
      <c r="O5673" s="24" t="str" cm="1">
        <f t="array" ref="O5673">IFERROR(IF($B5673=O$1, ($A5673+$C5673) - MAX(IF($B$2:$B5672=$B5673, $A$2:$A5672+$C$2:$C5672)), "")*24*60, "")</f>
        <v/>
      </c>
      <c r="P5673" s="24" t="str" cm="1">
        <f t="array" ref="P5673">IFERROR(IF($B5673=P$1, ($A5673+$C5673) - MAX(IF($B$2:$B5672=$B5673, $A$2:$A5672+$C$2:$C5672)), "")*24*60, "")</f>
        <v/>
      </c>
      <c r="Q5673" s="24" t="str" cm="1">
        <f t="array" ref="Q5673">IFERROR(IF($B5673=Q$1, ($A5673+$C5673) - MAX(IF($B$2:$B5672=$B5673, $A$2:$A5672+$C$2:$C5672)), "")*24*60, "")</f>
        <v/>
      </c>
      <c r="R5673" s="24" t="str" cm="1">
        <f t="array" ref="R5673">IFERROR(IF($B5673=R$1, ($A5673+$C5673) - MAX(IF($B$2:$B5672=$B5673, $A$2:$A5672+$C$2:$C5672)), "")*24*60, "")</f>
        <v/>
      </c>
      <c r="S5673" s="24" t="str" cm="1">
        <f t="array" ref="S5673">IFERROR(IF($B5673=S$1, ($A5673+$C5673) - MAX(IF($B$2:$B5672=$B5673, $A$2:$A5672+$C$2:$C5672)), "")*24*60, "")</f>
        <v/>
      </c>
    </row>
    <row r="5674" spans="1:19" x14ac:dyDescent="0.2">
      <c r="A5674" s="12">
        <f t="shared" ref="A5674:C5674" si="1208">A5673</f>
        <v>45985</v>
      </c>
      <c r="B5674" s="5" t="str">
        <f t="shared" si="1208"/>
        <v>Northern Cardinal</v>
      </c>
      <c r="C5674" s="6">
        <f t="shared" si="1208"/>
        <v>0.29166666666666669</v>
      </c>
      <c r="D5674" s="5"/>
      <c r="E5674" s="5"/>
      <c r="F5674" s="5" t="s">
        <v>8</v>
      </c>
      <c r="G5674" s="15" t="s">
        <v>9</v>
      </c>
      <c r="H5674" s="24">
        <f t="shared" si="1129"/>
        <v>0</v>
      </c>
      <c r="I5674" s="24" cm="1">
        <f t="array" ref="I5674">IFERROR(IF($B5674=I$1, ($A5674+$C5674) - MAX(IF($B$2:$B5673=$B5674, $A$2:$A5673+$C$2:$C5673)), "")*24*60, "")</f>
        <v>0</v>
      </c>
      <c r="J5674" s="24" t="str" cm="1">
        <f t="array" ref="J5674">IFERROR(IF($B5674=J$1, ($A5674+$C5674) - MAX(IF($B$2:$B5673=$B5674, $A$2:$A5673+$C$2:$C5673)), "")*24*60, "")</f>
        <v/>
      </c>
      <c r="K5674" s="24" t="str" cm="1">
        <f t="array" ref="K5674">IFERROR(IF($B5674=K$1, ($A5674+$C5674) - MAX(IF($B$2:$B5673=$B5674, $A$2:$A5673+$C$2:$C5673)), "")*24*60, "")</f>
        <v/>
      </c>
      <c r="L5674" s="24" t="str" cm="1">
        <f t="array" ref="L5674">IFERROR(IF($B5674=L$1, ($A5674+$C5674) - MAX(IF($B$2:$B5673=$B5674, $A$2:$A5673+$C$2:$C5673)), "")*24*60, "")</f>
        <v/>
      </c>
      <c r="M5674" s="24" t="str" cm="1">
        <f t="array" ref="M5674">IFERROR(IF($B5674=M$1, ($A5674+$C5674) - MAX(IF($B$2:$B5673=$B5674, $A$2:$A5673+$C$2:$C5673)), "")*24*60, "")</f>
        <v/>
      </c>
      <c r="N5674" s="24" t="str" cm="1">
        <f t="array" ref="N5674">IFERROR(IF($B5674=N$1, ($A5674+$C5674) - MAX(IF($B$2:$B5673=$B5674, $A$2:$A5673+$C$2:$C5673)), "")*24*60, "")</f>
        <v/>
      </c>
      <c r="O5674" s="24" t="str" cm="1">
        <f t="array" ref="O5674">IFERROR(IF($B5674=O$1, ($A5674+$C5674) - MAX(IF($B$2:$B5673=$B5674, $A$2:$A5673+$C$2:$C5673)), "")*24*60, "")</f>
        <v/>
      </c>
      <c r="P5674" s="24" t="str" cm="1">
        <f t="array" ref="P5674">IFERROR(IF($B5674=P$1, ($A5674+$C5674) - MAX(IF($B$2:$B5673=$B5674, $A$2:$A5673+$C$2:$C5673)), "")*24*60, "")</f>
        <v/>
      </c>
      <c r="Q5674" s="24" t="str" cm="1">
        <f t="array" ref="Q5674">IFERROR(IF($B5674=Q$1, ($A5674+$C5674) - MAX(IF($B$2:$B5673=$B5674, $A$2:$A5673+$C$2:$C5673)), "")*24*60, "")</f>
        <v/>
      </c>
      <c r="R5674" s="24" t="str" cm="1">
        <f t="array" ref="R5674">IFERROR(IF($B5674=R$1, ($A5674+$C5674) - MAX(IF($B$2:$B5673=$B5674, $A$2:$A5673+$C$2:$C5673)), "")*24*60, "")</f>
        <v/>
      </c>
      <c r="S5674" s="24" t="str" cm="1">
        <f t="array" ref="S5674">IFERROR(IF($B5674=S$1, ($A5674+$C5674) - MAX(IF($B$2:$B5673=$B5674, $A$2:$A5673+$C$2:$C5673)), "")*24*60, "")</f>
        <v/>
      </c>
    </row>
    <row r="5675" spans="1:19" x14ac:dyDescent="0.2">
      <c r="A5675" s="12">
        <f t="shared" ref="A5675:C5675" si="1209">A5674</f>
        <v>45985</v>
      </c>
      <c r="B5675" s="5" t="str">
        <f t="shared" si="1209"/>
        <v>Northern Cardinal</v>
      </c>
      <c r="C5675" s="6">
        <f t="shared" si="1209"/>
        <v>0.29166666666666669</v>
      </c>
      <c r="D5675" s="5"/>
      <c r="E5675" s="5"/>
      <c r="F5675" s="5" t="s">
        <v>8</v>
      </c>
      <c r="G5675" s="15" t="s">
        <v>9</v>
      </c>
      <c r="H5675" s="24">
        <f t="shared" si="1129"/>
        <v>0</v>
      </c>
      <c r="I5675" s="24" cm="1">
        <f t="array" ref="I5675">IFERROR(IF($B5675=I$1, ($A5675+$C5675) - MAX(IF($B$2:$B5674=$B5675, $A$2:$A5674+$C$2:$C5674)), "")*24*60, "")</f>
        <v>0</v>
      </c>
      <c r="J5675" s="24" t="str" cm="1">
        <f t="array" ref="J5675">IFERROR(IF($B5675=J$1, ($A5675+$C5675) - MAX(IF($B$2:$B5674=$B5675, $A$2:$A5674+$C$2:$C5674)), "")*24*60, "")</f>
        <v/>
      </c>
      <c r="K5675" s="24" t="str" cm="1">
        <f t="array" ref="K5675">IFERROR(IF($B5675=K$1, ($A5675+$C5675) - MAX(IF($B$2:$B5674=$B5675, $A$2:$A5674+$C$2:$C5674)), "")*24*60, "")</f>
        <v/>
      </c>
      <c r="L5675" s="24" t="str" cm="1">
        <f t="array" ref="L5675">IFERROR(IF($B5675=L$1, ($A5675+$C5675) - MAX(IF($B$2:$B5674=$B5675, $A$2:$A5674+$C$2:$C5674)), "")*24*60, "")</f>
        <v/>
      </c>
      <c r="M5675" s="24" t="str" cm="1">
        <f t="array" ref="M5675">IFERROR(IF($B5675=M$1, ($A5675+$C5675) - MAX(IF($B$2:$B5674=$B5675, $A$2:$A5674+$C$2:$C5674)), "")*24*60, "")</f>
        <v/>
      </c>
      <c r="N5675" s="24" t="str" cm="1">
        <f t="array" ref="N5675">IFERROR(IF($B5675=N$1, ($A5675+$C5675) - MAX(IF($B$2:$B5674=$B5675, $A$2:$A5674+$C$2:$C5674)), "")*24*60, "")</f>
        <v/>
      </c>
      <c r="O5675" s="24" t="str" cm="1">
        <f t="array" ref="O5675">IFERROR(IF($B5675=O$1, ($A5675+$C5675) - MAX(IF($B$2:$B5674=$B5675, $A$2:$A5674+$C$2:$C5674)), "")*24*60, "")</f>
        <v/>
      </c>
      <c r="P5675" s="24" t="str" cm="1">
        <f t="array" ref="P5675">IFERROR(IF($B5675=P$1, ($A5675+$C5675) - MAX(IF($B$2:$B5674=$B5675, $A$2:$A5674+$C$2:$C5674)), "")*24*60, "")</f>
        <v/>
      </c>
      <c r="Q5675" s="24" t="str" cm="1">
        <f t="array" ref="Q5675">IFERROR(IF($B5675=Q$1, ($A5675+$C5675) - MAX(IF($B$2:$B5674=$B5675, $A$2:$A5674+$C$2:$C5674)), "")*24*60, "")</f>
        <v/>
      </c>
      <c r="R5675" s="24" t="str" cm="1">
        <f t="array" ref="R5675">IFERROR(IF($B5675=R$1, ($A5675+$C5675) - MAX(IF($B$2:$B5674=$B5675, $A$2:$A5674+$C$2:$C5674)), "")*24*60, "")</f>
        <v/>
      </c>
      <c r="S5675" s="24" t="str" cm="1">
        <f t="array" ref="S5675">IFERROR(IF($B5675=S$1, ($A5675+$C5675) - MAX(IF($B$2:$B5674=$B5675, $A$2:$A5674+$C$2:$C5674)), "")*24*60, "")</f>
        <v/>
      </c>
    </row>
    <row r="5676" spans="1:19" x14ac:dyDescent="0.2">
      <c r="A5676" s="12">
        <f t="shared" ref="A5676:C5676" si="1210">A5675</f>
        <v>45985</v>
      </c>
      <c r="B5676" s="5" t="str">
        <f t="shared" si="1210"/>
        <v>Northern Cardinal</v>
      </c>
      <c r="C5676" s="6">
        <f t="shared" si="1210"/>
        <v>0.29166666666666669</v>
      </c>
      <c r="D5676" s="5"/>
      <c r="E5676" s="5"/>
      <c r="F5676" s="5" t="s">
        <v>8</v>
      </c>
      <c r="G5676" s="15" t="s">
        <v>9</v>
      </c>
      <c r="H5676" s="24">
        <f t="shared" si="1129"/>
        <v>0</v>
      </c>
      <c r="I5676" s="24" cm="1">
        <f t="array" ref="I5676">IFERROR(IF($B5676=I$1, ($A5676+$C5676) - MAX(IF($B$2:$B5675=$B5676, $A$2:$A5675+$C$2:$C5675)), "")*24*60, "")</f>
        <v>0</v>
      </c>
      <c r="J5676" s="24" t="str" cm="1">
        <f t="array" ref="J5676">IFERROR(IF($B5676=J$1, ($A5676+$C5676) - MAX(IF($B$2:$B5675=$B5676, $A$2:$A5675+$C$2:$C5675)), "")*24*60, "")</f>
        <v/>
      </c>
      <c r="K5676" s="24" t="str" cm="1">
        <f t="array" ref="K5676">IFERROR(IF($B5676=K$1, ($A5676+$C5676) - MAX(IF($B$2:$B5675=$B5676, $A$2:$A5675+$C$2:$C5675)), "")*24*60, "")</f>
        <v/>
      </c>
      <c r="L5676" s="24" t="str" cm="1">
        <f t="array" ref="L5676">IFERROR(IF($B5676=L$1, ($A5676+$C5676) - MAX(IF($B$2:$B5675=$B5676, $A$2:$A5675+$C$2:$C5675)), "")*24*60, "")</f>
        <v/>
      </c>
      <c r="M5676" s="24" t="str" cm="1">
        <f t="array" ref="M5676">IFERROR(IF($B5676=M$1, ($A5676+$C5676) - MAX(IF($B$2:$B5675=$B5676, $A$2:$A5675+$C$2:$C5675)), "")*24*60, "")</f>
        <v/>
      </c>
      <c r="N5676" s="24" t="str" cm="1">
        <f t="array" ref="N5676">IFERROR(IF($B5676=N$1, ($A5676+$C5676) - MAX(IF($B$2:$B5675=$B5676, $A$2:$A5675+$C$2:$C5675)), "")*24*60, "")</f>
        <v/>
      </c>
      <c r="O5676" s="24" t="str" cm="1">
        <f t="array" ref="O5676">IFERROR(IF($B5676=O$1, ($A5676+$C5676) - MAX(IF($B$2:$B5675=$B5676, $A$2:$A5675+$C$2:$C5675)), "")*24*60, "")</f>
        <v/>
      </c>
      <c r="P5676" s="24" t="str" cm="1">
        <f t="array" ref="P5676">IFERROR(IF($B5676=P$1, ($A5676+$C5676) - MAX(IF($B$2:$B5675=$B5676, $A$2:$A5675+$C$2:$C5675)), "")*24*60, "")</f>
        <v/>
      </c>
      <c r="Q5676" s="24" t="str" cm="1">
        <f t="array" ref="Q5676">IFERROR(IF($B5676=Q$1, ($A5676+$C5676) - MAX(IF($B$2:$B5675=$B5676, $A$2:$A5675+$C$2:$C5675)), "")*24*60, "")</f>
        <v/>
      </c>
      <c r="R5676" s="24" t="str" cm="1">
        <f t="array" ref="R5676">IFERROR(IF($B5676=R$1, ($A5676+$C5676) - MAX(IF($B$2:$B5675=$B5676, $A$2:$A5675+$C$2:$C5675)), "")*24*60, "")</f>
        <v/>
      </c>
      <c r="S5676" s="24" t="str" cm="1">
        <f t="array" ref="S5676">IFERROR(IF($B5676=S$1, ($A5676+$C5676) - MAX(IF($B$2:$B5675=$B5676, $A$2:$A5675+$C$2:$C5675)), "")*24*60, "")</f>
        <v/>
      </c>
    </row>
    <row r="5677" spans="1:19" x14ac:dyDescent="0.2">
      <c r="A5677" s="12">
        <f t="shared" ref="A5677:C5677" si="1211">A5676</f>
        <v>45985</v>
      </c>
      <c r="B5677" s="5" t="str">
        <f t="shared" si="1211"/>
        <v>Northern Cardinal</v>
      </c>
      <c r="C5677" s="6">
        <f t="shared" si="1211"/>
        <v>0.29166666666666669</v>
      </c>
      <c r="D5677" s="5"/>
      <c r="E5677" s="5"/>
      <c r="F5677" s="5" t="s">
        <v>8</v>
      </c>
      <c r="G5677" s="15" t="s">
        <v>9</v>
      </c>
      <c r="H5677" s="24">
        <f t="shared" si="1129"/>
        <v>0</v>
      </c>
      <c r="I5677" s="24" cm="1">
        <f t="array" ref="I5677">IFERROR(IF($B5677=I$1, ($A5677+$C5677) - MAX(IF($B$2:$B5676=$B5677, $A$2:$A5676+$C$2:$C5676)), "")*24*60, "")</f>
        <v>0</v>
      </c>
      <c r="J5677" s="24" t="str" cm="1">
        <f t="array" ref="J5677">IFERROR(IF($B5677=J$1, ($A5677+$C5677) - MAX(IF($B$2:$B5676=$B5677, $A$2:$A5676+$C$2:$C5676)), "")*24*60, "")</f>
        <v/>
      </c>
      <c r="K5677" s="24" t="str" cm="1">
        <f t="array" ref="K5677">IFERROR(IF($B5677=K$1, ($A5677+$C5677) - MAX(IF($B$2:$B5676=$B5677, $A$2:$A5676+$C$2:$C5676)), "")*24*60, "")</f>
        <v/>
      </c>
      <c r="L5677" s="24" t="str" cm="1">
        <f t="array" ref="L5677">IFERROR(IF($B5677=L$1, ($A5677+$C5677) - MAX(IF($B$2:$B5676=$B5677, $A$2:$A5676+$C$2:$C5676)), "")*24*60, "")</f>
        <v/>
      </c>
      <c r="M5677" s="24" t="str" cm="1">
        <f t="array" ref="M5677">IFERROR(IF($B5677=M$1, ($A5677+$C5677) - MAX(IF($B$2:$B5676=$B5677, $A$2:$A5676+$C$2:$C5676)), "")*24*60, "")</f>
        <v/>
      </c>
      <c r="N5677" s="24" t="str" cm="1">
        <f t="array" ref="N5677">IFERROR(IF($B5677=N$1, ($A5677+$C5677) - MAX(IF($B$2:$B5676=$B5677, $A$2:$A5676+$C$2:$C5676)), "")*24*60, "")</f>
        <v/>
      </c>
      <c r="O5677" s="24" t="str" cm="1">
        <f t="array" ref="O5677">IFERROR(IF($B5677=O$1, ($A5677+$C5677) - MAX(IF($B$2:$B5676=$B5677, $A$2:$A5676+$C$2:$C5676)), "")*24*60, "")</f>
        <v/>
      </c>
      <c r="P5677" s="24" t="str" cm="1">
        <f t="array" ref="P5677">IFERROR(IF($B5677=P$1, ($A5677+$C5677) - MAX(IF($B$2:$B5676=$B5677, $A$2:$A5676+$C$2:$C5676)), "")*24*60, "")</f>
        <v/>
      </c>
      <c r="Q5677" s="24" t="str" cm="1">
        <f t="array" ref="Q5677">IFERROR(IF($B5677=Q$1, ($A5677+$C5677) - MAX(IF($B$2:$B5676=$B5677, $A$2:$A5676+$C$2:$C5676)), "")*24*60, "")</f>
        <v/>
      </c>
      <c r="R5677" s="24" t="str" cm="1">
        <f t="array" ref="R5677">IFERROR(IF($B5677=R$1, ($A5677+$C5677) - MAX(IF($B$2:$B5676=$B5677, $A$2:$A5676+$C$2:$C5676)), "")*24*60, "")</f>
        <v/>
      </c>
      <c r="S5677" s="24" t="str" cm="1">
        <f t="array" ref="S5677">IFERROR(IF($B5677=S$1, ($A5677+$C5677) - MAX(IF($B$2:$B5676=$B5677, $A$2:$A5676+$C$2:$C5676)), "")*24*60, "")</f>
        <v/>
      </c>
    </row>
    <row r="5678" spans="1:19" x14ac:dyDescent="0.2">
      <c r="A5678" s="12">
        <f t="shared" ref="A5678:C5678" si="1212">A5677</f>
        <v>45985</v>
      </c>
      <c r="B5678" s="5" t="str">
        <f t="shared" si="1212"/>
        <v>Northern Cardinal</v>
      </c>
      <c r="C5678" s="6">
        <f t="shared" si="1212"/>
        <v>0.29166666666666669</v>
      </c>
      <c r="D5678" s="5"/>
      <c r="E5678" s="5"/>
      <c r="F5678" s="5" t="s">
        <v>8</v>
      </c>
      <c r="G5678" s="15" t="s">
        <v>9</v>
      </c>
      <c r="H5678" s="24">
        <f t="shared" si="1129"/>
        <v>0</v>
      </c>
      <c r="I5678" s="24" cm="1">
        <f t="array" ref="I5678">IFERROR(IF($B5678=I$1, ($A5678+$C5678) - MAX(IF($B$2:$B5677=$B5678, $A$2:$A5677+$C$2:$C5677)), "")*24*60, "")</f>
        <v>0</v>
      </c>
      <c r="J5678" s="24" t="str" cm="1">
        <f t="array" ref="J5678">IFERROR(IF($B5678=J$1, ($A5678+$C5678) - MAX(IF($B$2:$B5677=$B5678, $A$2:$A5677+$C$2:$C5677)), "")*24*60, "")</f>
        <v/>
      </c>
      <c r="K5678" s="24" t="str" cm="1">
        <f t="array" ref="K5678">IFERROR(IF($B5678=K$1, ($A5678+$C5678) - MAX(IF($B$2:$B5677=$B5678, $A$2:$A5677+$C$2:$C5677)), "")*24*60, "")</f>
        <v/>
      </c>
      <c r="L5678" s="24" t="str" cm="1">
        <f t="array" ref="L5678">IFERROR(IF($B5678=L$1, ($A5678+$C5678) - MAX(IF($B$2:$B5677=$B5678, $A$2:$A5677+$C$2:$C5677)), "")*24*60, "")</f>
        <v/>
      </c>
      <c r="M5678" s="24" t="str" cm="1">
        <f t="array" ref="M5678">IFERROR(IF($B5678=M$1, ($A5678+$C5678) - MAX(IF($B$2:$B5677=$B5678, $A$2:$A5677+$C$2:$C5677)), "")*24*60, "")</f>
        <v/>
      </c>
      <c r="N5678" s="24" t="str" cm="1">
        <f t="array" ref="N5678">IFERROR(IF($B5678=N$1, ($A5678+$C5678) - MAX(IF($B$2:$B5677=$B5678, $A$2:$A5677+$C$2:$C5677)), "")*24*60, "")</f>
        <v/>
      </c>
      <c r="O5678" s="24" t="str" cm="1">
        <f t="array" ref="O5678">IFERROR(IF($B5678=O$1, ($A5678+$C5678) - MAX(IF($B$2:$B5677=$B5678, $A$2:$A5677+$C$2:$C5677)), "")*24*60, "")</f>
        <v/>
      </c>
      <c r="P5678" s="24" t="str" cm="1">
        <f t="array" ref="P5678">IFERROR(IF($B5678=P$1, ($A5678+$C5678) - MAX(IF($B$2:$B5677=$B5678, $A$2:$A5677+$C$2:$C5677)), "")*24*60, "")</f>
        <v/>
      </c>
      <c r="Q5678" s="24" t="str" cm="1">
        <f t="array" ref="Q5678">IFERROR(IF($B5678=Q$1, ($A5678+$C5678) - MAX(IF($B$2:$B5677=$B5678, $A$2:$A5677+$C$2:$C5677)), "")*24*60, "")</f>
        <v/>
      </c>
      <c r="R5678" s="24" t="str" cm="1">
        <f t="array" ref="R5678">IFERROR(IF($B5678=R$1, ($A5678+$C5678) - MAX(IF($B$2:$B5677=$B5678, $A$2:$A5677+$C$2:$C5677)), "")*24*60, "")</f>
        <v/>
      </c>
      <c r="S5678" s="24" t="str" cm="1">
        <f t="array" ref="S5678">IFERROR(IF($B5678=S$1, ($A5678+$C5678) - MAX(IF($B$2:$B5677=$B5678, $A$2:$A5677+$C$2:$C5677)), "")*24*60, "")</f>
        <v/>
      </c>
    </row>
    <row r="5679" spans="1:19" x14ac:dyDescent="0.2">
      <c r="A5679" s="12">
        <f t="shared" ref="A5679:C5679" si="1213">A5678</f>
        <v>45985</v>
      </c>
      <c r="B5679" s="5" t="str">
        <f t="shared" si="1213"/>
        <v>Northern Cardinal</v>
      </c>
      <c r="C5679" s="6">
        <f t="shared" si="1213"/>
        <v>0.29166666666666669</v>
      </c>
      <c r="D5679" s="5"/>
      <c r="E5679" s="5"/>
      <c r="F5679" s="5" t="s">
        <v>8</v>
      </c>
      <c r="G5679" s="15" t="s">
        <v>9</v>
      </c>
      <c r="H5679" s="24">
        <f t="shared" si="1129"/>
        <v>0</v>
      </c>
      <c r="I5679" s="24" cm="1">
        <f t="array" ref="I5679">IFERROR(IF($B5679=I$1, ($A5679+$C5679) - MAX(IF($B$2:$B5678=$B5679, $A$2:$A5678+$C$2:$C5678)), "")*24*60, "")</f>
        <v>0</v>
      </c>
      <c r="J5679" s="24" t="str" cm="1">
        <f t="array" ref="J5679">IFERROR(IF($B5679=J$1, ($A5679+$C5679) - MAX(IF($B$2:$B5678=$B5679, $A$2:$A5678+$C$2:$C5678)), "")*24*60, "")</f>
        <v/>
      </c>
      <c r="K5679" s="24" t="str" cm="1">
        <f t="array" ref="K5679">IFERROR(IF($B5679=K$1, ($A5679+$C5679) - MAX(IF($B$2:$B5678=$B5679, $A$2:$A5678+$C$2:$C5678)), "")*24*60, "")</f>
        <v/>
      </c>
      <c r="L5679" s="24" t="str" cm="1">
        <f t="array" ref="L5679">IFERROR(IF($B5679=L$1, ($A5679+$C5679) - MAX(IF($B$2:$B5678=$B5679, $A$2:$A5678+$C$2:$C5678)), "")*24*60, "")</f>
        <v/>
      </c>
      <c r="M5679" s="24" t="str" cm="1">
        <f t="array" ref="M5679">IFERROR(IF($B5679=M$1, ($A5679+$C5679) - MAX(IF($B$2:$B5678=$B5679, $A$2:$A5678+$C$2:$C5678)), "")*24*60, "")</f>
        <v/>
      </c>
      <c r="N5679" s="24" t="str" cm="1">
        <f t="array" ref="N5679">IFERROR(IF($B5679=N$1, ($A5679+$C5679) - MAX(IF($B$2:$B5678=$B5679, $A$2:$A5678+$C$2:$C5678)), "")*24*60, "")</f>
        <v/>
      </c>
      <c r="O5679" s="24" t="str" cm="1">
        <f t="array" ref="O5679">IFERROR(IF($B5679=O$1, ($A5679+$C5679) - MAX(IF($B$2:$B5678=$B5679, $A$2:$A5678+$C$2:$C5678)), "")*24*60, "")</f>
        <v/>
      </c>
      <c r="P5679" s="24" t="str" cm="1">
        <f t="array" ref="P5679">IFERROR(IF($B5679=P$1, ($A5679+$C5679) - MAX(IF($B$2:$B5678=$B5679, $A$2:$A5678+$C$2:$C5678)), "")*24*60, "")</f>
        <v/>
      </c>
      <c r="Q5679" s="24" t="str" cm="1">
        <f t="array" ref="Q5679">IFERROR(IF($B5679=Q$1, ($A5679+$C5679) - MAX(IF($B$2:$B5678=$B5679, $A$2:$A5678+$C$2:$C5678)), "")*24*60, "")</f>
        <v/>
      </c>
      <c r="R5679" s="24" t="str" cm="1">
        <f t="array" ref="R5679">IFERROR(IF($B5679=R$1, ($A5679+$C5679) - MAX(IF($B$2:$B5678=$B5679, $A$2:$A5678+$C$2:$C5678)), "")*24*60, "")</f>
        <v/>
      </c>
      <c r="S5679" s="24" t="str" cm="1">
        <f t="array" ref="S5679">IFERROR(IF($B5679=S$1, ($A5679+$C5679) - MAX(IF($B$2:$B5678=$B5679, $A$2:$A5678+$C$2:$C5678)), "")*24*60, "")</f>
        <v/>
      </c>
    </row>
    <row r="5680" spans="1:19" x14ac:dyDescent="0.2">
      <c r="A5680" s="12">
        <f t="shared" ref="A5680:C5680" si="1214">A5679</f>
        <v>45985</v>
      </c>
      <c r="B5680" s="5" t="str">
        <f t="shared" si="1214"/>
        <v>Northern Cardinal</v>
      </c>
      <c r="C5680" s="6">
        <f t="shared" si="1214"/>
        <v>0.29166666666666669</v>
      </c>
      <c r="D5680" s="5"/>
      <c r="E5680" s="5"/>
      <c r="F5680" s="5" t="s">
        <v>8</v>
      </c>
      <c r="G5680" s="15" t="s">
        <v>9</v>
      </c>
      <c r="H5680" s="24">
        <f t="shared" si="1129"/>
        <v>0</v>
      </c>
      <c r="I5680" s="24" cm="1">
        <f t="array" ref="I5680">IFERROR(IF($B5680=I$1, ($A5680+$C5680) - MAX(IF($B$2:$B5679=$B5680, $A$2:$A5679+$C$2:$C5679)), "")*24*60, "")</f>
        <v>0</v>
      </c>
      <c r="J5680" s="24" t="str" cm="1">
        <f t="array" ref="J5680">IFERROR(IF($B5680=J$1, ($A5680+$C5680) - MAX(IF($B$2:$B5679=$B5680, $A$2:$A5679+$C$2:$C5679)), "")*24*60, "")</f>
        <v/>
      </c>
      <c r="K5680" s="24" t="str" cm="1">
        <f t="array" ref="K5680">IFERROR(IF($B5680=K$1, ($A5680+$C5680) - MAX(IF($B$2:$B5679=$B5680, $A$2:$A5679+$C$2:$C5679)), "")*24*60, "")</f>
        <v/>
      </c>
      <c r="L5680" s="24" t="str" cm="1">
        <f t="array" ref="L5680">IFERROR(IF($B5680=L$1, ($A5680+$C5680) - MAX(IF($B$2:$B5679=$B5680, $A$2:$A5679+$C$2:$C5679)), "")*24*60, "")</f>
        <v/>
      </c>
      <c r="M5680" s="24" t="str" cm="1">
        <f t="array" ref="M5680">IFERROR(IF($B5680=M$1, ($A5680+$C5680) - MAX(IF($B$2:$B5679=$B5680, $A$2:$A5679+$C$2:$C5679)), "")*24*60, "")</f>
        <v/>
      </c>
      <c r="N5680" s="24" t="str" cm="1">
        <f t="array" ref="N5680">IFERROR(IF($B5680=N$1, ($A5680+$C5680) - MAX(IF($B$2:$B5679=$B5680, $A$2:$A5679+$C$2:$C5679)), "")*24*60, "")</f>
        <v/>
      </c>
      <c r="O5680" s="24" t="str" cm="1">
        <f t="array" ref="O5680">IFERROR(IF($B5680=O$1, ($A5680+$C5680) - MAX(IF($B$2:$B5679=$B5680, $A$2:$A5679+$C$2:$C5679)), "")*24*60, "")</f>
        <v/>
      </c>
      <c r="P5680" s="24" t="str" cm="1">
        <f t="array" ref="P5680">IFERROR(IF($B5680=P$1, ($A5680+$C5680) - MAX(IF($B$2:$B5679=$B5680, $A$2:$A5679+$C$2:$C5679)), "")*24*60, "")</f>
        <v/>
      </c>
      <c r="Q5680" s="24" t="str" cm="1">
        <f t="array" ref="Q5680">IFERROR(IF($B5680=Q$1, ($A5680+$C5680) - MAX(IF($B$2:$B5679=$B5680, $A$2:$A5679+$C$2:$C5679)), "")*24*60, "")</f>
        <v/>
      </c>
      <c r="R5680" s="24" t="str" cm="1">
        <f t="array" ref="R5680">IFERROR(IF($B5680=R$1, ($A5680+$C5680) - MAX(IF($B$2:$B5679=$B5680, $A$2:$A5679+$C$2:$C5679)), "")*24*60, "")</f>
        <v/>
      </c>
      <c r="S5680" s="24" t="str" cm="1">
        <f t="array" ref="S5680">IFERROR(IF($B5680=S$1, ($A5680+$C5680) - MAX(IF($B$2:$B5679=$B5680, $A$2:$A5679+$C$2:$C5679)), "")*24*60, "")</f>
        <v/>
      </c>
    </row>
    <row r="5681" spans="1:19" x14ac:dyDescent="0.2">
      <c r="A5681" s="12">
        <f t="shared" ref="A5681:C5681" si="1215">A5680</f>
        <v>45985</v>
      </c>
      <c r="B5681" s="5" t="str">
        <f t="shared" si="1215"/>
        <v>Northern Cardinal</v>
      </c>
      <c r="C5681" s="6">
        <f t="shared" si="1215"/>
        <v>0.29166666666666669</v>
      </c>
      <c r="D5681" s="5"/>
      <c r="E5681" s="5"/>
      <c r="F5681" s="5" t="s">
        <v>8</v>
      </c>
      <c r="G5681" s="15" t="s">
        <v>9</v>
      </c>
      <c r="H5681" s="24">
        <f t="shared" si="1129"/>
        <v>0</v>
      </c>
      <c r="I5681" s="24" cm="1">
        <f t="array" ref="I5681">IFERROR(IF($B5681=I$1, ($A5681+$C5681) - MAX(IF($B$2:$B5680=$B5681, $A$2:$A5680+$C$2:$C5680)), "")*24*60, "")</f>
        <v>0</v>
      </c>
      <c r="J5681" s="24" t="str" cm="1">
        <f t="array" ref="J5681">IFERROR(IF($B5681=J$1, ($A5681+$C5681) - MAX(IF($B$2:$B5680=$B5681, $A$2:$A5680+$C$2:$C5680)), "")*24*60, "")</f>
        <v/>
      </c>
      <c r="K5681" s="24" t="str" cm="1">
        <f t="array" ref="K5681">IFERROR(IF($B5681=K$1, ($A5681+$C5681) - MAX(IF($B$2:$B5680=$B5681, $A$2:$A5680+$C$2:$C5680)), "")*24*60, "")</f>
        <v/>
      </c>
      <c r="L5681" s="24" t="str" cm="1">
        <f t="array" ref="L5681">IFERROR(IF($B5681=L$1, ($A5681+$C5681) - MAX(IF($B$2:$B5680=$B5681, $A$2:$A5680+$C$2:$C5680)), "")*24*60, "")</f>
        <v/>
      </c>
      <c r="M5681" s="24" t="str" cm="1">
        <f t="array" ref="M5681">IFERROR(IF($B5681=M$1, ($A5681+$C5681) - MAX(IF($B$2:$B5680=$B5681, $A$2:$A5680+$C$2:$C5680)), "")*24*60, "")</f>
        <v/>
      </c>
      <c r="N5681" s="24" t="str" cm="1">
        <f t="array" ref="N5681">IFERROR(IF($B5681=N$1, ($A5681+$C5681) - MAX(IF($B$2:$B5680=$B5681, $A$2:$A5680+$C$2:$C5680)), "")*24*60, "")</f>
        <v/>
      </c>
      <c r="O5681" s="24" t="str" cm="1">
        <f t="array" ref="O5681">IFERROR(IF($B5681=O$1, ($A5681+$C5681) - MAX(IF($B$2:$B5680=$B5681, $A$2:$A5680+$C$2:$C5680)), "")*24*60, "")</f>
        <v/>
      </c>
      <c r="P5681" s="24" t="str" cm="1">
        <f t="array" ref="P5681">IFERROR(IF($B5681=P$1, ($A5681+$C5681) - MAX(IF($B$2:$B5680=$B5681, $A$2:$A5680+$C$2:$C5680)), "")*24*60, "")</f>
        <v/>
      </c>
      <c r="Q5681" s="24" t="str" cm="1">
        <f t="array" ref="Q5681">IFERROR(IF($B5681=Q$1, ($A5681+$C5681) - MAX(IF($B$2:$B5680=$B5681, $A$2:$A5680+$C$2:$C5680)), "")*24*60, "")</f>
        <v/>
      </c>
      <c r="R5681" s="24" t="str" cm="1">
        <f t="array" ref="R5681">IFERROR(IF($B5681=R$1, ($A5681+$C5681) - MAX(IF($B$2:$B5680=$B5681, $A$2:$A5680+$C$2:$C5680)), "")*24*60, "")</f>
        <v/>
      </c>
      <c r="S5681" s="24" t="str" cm="1">
        <f t="array" ref="S5681">IFERROR(IF($B5681=S$1, ($A5681+$C5681) - MAX(IF($B$2:$B5680=$B5681, $A$2:$A5680+$C$2:$C5680)), "")*24*60, "")</f>
        <v/>
      </c>
    </row>
    <row r="5682" spans="1:19" x14ac:dyDescent="0.2">
      <c r="A5682" s="12">
        <f t="shared" ref="A5682:C5682" si="1216">A5681</f>
        <v>45985</v>
      </c>
      <c r="B5682" s="5" t="str">
        <f t="shared" si="1216"/>
        <v>Northern Cardinal</v>
      </c>
      <c r="C5682" s="6">
        <f t="shared" si="1216"/>
        <v>0.29166666666666669</v>
      </c>
      <c r="D5682" s="5"/>
      <c r="E5682" s="5"/>
      <c r="F5682" s="5" t="s">
        <v>8</v>
      </c>
      <c r="G5682" s="15" t="s">
        <v>9</v>
      </c>
      <c r="H5682" s="24">
        <f t="shared" si="1129"/>
        <v>0</v>
      </c>
      <c r="I5682" s="24" cm="1">
        <f t="array" ref="I5682">IFERROR(IF($B5682=I$1, ($A5682+$C5682) - MAX(IF($B$2:$B5681=$B5682, $A$2:$A5681+$C$2:$C5681)), "")*24*60, "")</f>
        <v>0</v>
      </c>
      <c r="J5682" s="24" t="str" cm="1">
        <f t="array" ref="J5682">IFERROR(IF($B5682=J$1, ($A5682+$C5682) - MAX(IF($B$2:$B5681=$B5682, $A$2:$A5681+$C$2:$C5681)), "")*24*60, "")</f>
        <v/>
      </c>
      <c r="K5682" s="24" t="str" cm="1">
        <f t="array" ref="K5682">IFERROR(IF($B5682=K$1, ($A5682+$C5682) - MAX(IF($B$2:$B5681=$B5682, $A$2:$A5681+$C$2:$C5681)), "")*24*60, "")</f>
        <v/>
      </c>
      <c r="L5682" s="24" t="str" cm="1">
        <f t="array" ref="L5682">IFERROR(IF($B5682=L$1, ($A5682+$C5682) - MAX(IF($B$2:$B5681=$B5682, $A$2:$A5681+$C$2:$C5681)), "")*24*60, "")</f>
        <v/>
      </c>
      <c r="M5682" s="24" t="str" cm="1">
        <f t="array" ref="M5682">IFERROR(IF($B5682=M$1, ($A5682+$C5682) - MAX(IF($B$2:$B5681=$B5682, $A$2:$A5681+$C$2:$C5681)), "")*24*60, "")</f>
        <v/>
      </c>
      <c r="N5682" s="24" t="str" cm="1">
        <f t="array" ref="N5682">IFERROR(IF($B5682=N$1, ($A5682+$C5682) - MAX(IF($B$2:$B5681=$B5682, $A$2:$A5681+$C$2:$C5681)), "")*24*60, "")</f>
        <v/>
      </c>
      <c r="O5682" s="24" t="str" cm="1">
        <f t="array" ref="O5682">IFERROR(IF($B5682=O$1, ($A5682+$C5682) - MAX(IF($B$2:$B5681=$B5682, $A$2:$A5681+$C$2:$C5681)), "")*24*60, "")</f>
        <v/>
      </c>
      <c r="P5682" s="24" t="str" cm="1">
        <f t="array" ref="P5682">IFERROR(IF($B5682=P$1, ($A5682+$C5682) - MAX(IF($B$2:$B5681=$B5682, $A$2:$A5681+$C$2:$C5681)), "")*24*60, "")</f>
        <v/>
      </c>
      <c r="Q5682" s="24" t="str" cm="1">
        <f t="array" ref="Q5682">IFERROR(IF($B5682=Q$1, ($A5682+$C5682) - MAX(IF($B$2:$B5681=$B5682, $A$2:$A5681+$C$2:$C5681)), "")*24*60, "")</f>
        <v/>
      </c>
      <c r="R5682" s="24" t="str" cm="1">
        <f t="array" ref="R5682">IFERROR(IF($B5682=R$1, ($A5682+$C5682) - MAX(IF($B$2:$B5681=$B5682, $A$2:$A5681+$C$2:$C5681)), "")*24*60, "")</f>
        <v/>
      </c>
      <c r="S5682" s="24" t="str" cm="1">
        <f t="array" ref="S5682">IFERROR(IF($B5682=S$1, ($A5682+$C5682) - MAX(IF($B$2:$B5681=$B5682, $A$2:$A5681+$C$2:$C5681)), "")*24*60, "")</f>
        <v/>
      </c>
    </row>
    <row r="5683" spans="1:19" x14ac:dyDescent="0.2">
      <c r="A5683" s="12">
        <f t="shared" ref="A5683:C5683" si="1217">A5682</f>
        <v>45985</v>
      </c>
      <c r="B5683" s="5" t="str">
        <f t="shared" si="1217"/>
        <v>Northern Cardinal</v>
      </c>
      <c r="C5683" s="6">
        <f t="shared" si="1217"/>
        <v>0.29166666666666669</v>
      </c>
      <c r="D5683" s="5"/>
      <c r="E5683" s="5"/>
      <c r="F5683" s="5" t="s">
        <v>8</v>
      </c>
      <c r="G5683" s="15" t="s">
        <v>9</v>
      </c>
      <c r="H5683" s="24">
        <f t="shared" si="1129"/>
        <v>0</v>
      </c>
      <c r="I5683" s="24" cm="1">
        <f t="array" ref="I5683">IFERROR(IF($B5683=I$1, ($A5683+$C5683) - MAX(IF($B$2:$B5682=$B5683, $A$2:$A5682+$C$2:$C5682)), "")*24*60, "")</f>
        <v>0</v>
      </c>
      <c r="J5683" s="24" t="str" cm="1">
        <f t="array" ref="J5683">IFERROR(IF($B5683=J$1, ($A5683+$C5683) - MAX(IF($B$2:$B5682=$B5683, $A$2:$A5682+$C$2:$C5682)), "")*24*60, "")</f>
        <v/>
      </c>
      <c r="K5683" s="24" t="str" cm="1">
        <f t="array" ref="K5683">IFERROR(IF($B5683=K$1, ($A5683+$C5683) - MAX(IF($B$2:$B5682=$B5683, $A$2:$A5682+$C$2:$C5682)), "")*24*60, "")</f>
        <v/>
      </c>
      <c r="L5683" s="24" t="str" cm="1">
        <f t="array" ref="L5683">IFERROR(IF($B5683=L$1, ($A5683+$C5683) - MAX(IF($B$2:$B5682=$B5683, $A$2:$A5682+$C$2:$C5682)), "")*24*60, "")</f>
        <v/>
      </c>
      <c r="M5683" s="24" t="str" cm="1">
        <f t="array" ref="M5683">IFERROR(IF($B5683=M$1, ($A5683+$C5683) - MAX(IF($B$2:$B5682=$B5683, $A$2:$A5682+$C$2:$C5682)), "")*24*60, "")</f>
        <v/>
      </c>
      <c r="N5683" s="24" t="str" cm="1">
        <f t="array" ref="N5683">IFERROR(IF($B5683=N$1, ($A5683+$C5683) - MAX(IF($B$2:$B5682=$B5683, $A$2:$A5682+$C$2:$C5682)), "")*24*60, "")</f>
        <v/>
      </c>
      <c r="O5683" s="24" t="str" cm="1">
        <f t="array" ref="O5683">IFERROR(IF($B5683=O$1, ($A5683+$C5683) - MAX(IF($B$2:$B5682=$B5683, $A$2:$A5682+$C$2:$C5682)), "")*24*60, "")</f>
        <v/>
      </c>
      <c r="P5683" s="24" t="str" cm="1">
        <f t="array" ref="P5683">IFERROR(IF($B5683=P$1, ($A5683+$C5683) - MAX(IF($B$2:$B5682=$B5683, $A$2:$A5682+$C$2:$C5682)), "")*24*60, "")</f>
        <v/>
      </c>
      <c r="Q5683" s="24" t="str" cm="1">
        <f t="array" ref="Q5683">IFERROR(IF($B5683=Q$1, ($A5683+$C5683) - MAX(IF($B$2:$B5682=$B5683, $A$2:$A5682+$C$2:$C5682)), "")*24*60, "")</f>
        <v/>
      </c>
      <c r="R5683" s="24" t="str" cm="1">
        <f t="array" ref="R5683">IFERROR(IF($B5683=R$1, ($A5683+$C5683) - MAX(IF($B$2:$B5682=$B5683, $A$2:$A5682+$C$2:$C5682)), "")*24*60, "")</f>
        <v/>
      </c>
      <c r="S5683" s="24" t="str" cm="1">
        <f t="array" ref="S5683">IFERROR(IF($B5683=S$1, ($A5683+$C5683) - MAX(IF($B$2:$B5682=$B5683, $A$2:$A5682+$C$2:$C5682)), "")*24*60, "")</f>
        <v/>
      </c>
    </row>
    <row r="5684" spans="1:19" x14ac:dyDescent="0.2">
      <c r="A5684" s="12">
        <f t="shared" ref="A5684:C5684" si="1218">A5683</f>
        <v>45985</v>
      </c>
      <c r="B5684" s="5" t="str">
        <f t="shared" si="1218"/>
        <v>Northern Cardinal</v>
      </c>
      <c r="C5684" s="6">
        <f t="shared" si="1218"/>
        <v>0.29166666666666669</v>
      </c>
      <c r="D5684" s="5"/>
      <c r="E5684" s="5"/>
      <c r="F5684" s="5" t="s">
        <v>8</v>
      </c>
      <c r="G5684" s="15" t="s">
        <v>9</v>
      </c>
      <c r="H5684" s="24">
        <f t="shared" si="1129"/>
        <v>0</v>
      </c>
      <c r="I5684" s="24" cm="1">
        <f t="array" ref="I5684">IFERROR(IF($B5684=I$1, ($A5684+$C5684) - MAX(IF($B$2:$B5683=$B5684, $A$2:$A5683+$C$2:$C5683)), "")*24*60, "")</f>
        <v>0</v>
      </c>
      <c r="J5684" s="24" t="str" cm="1">
        <f t="array" ref="J5684">IFERROR(IF($B5684=J$1, ($A5684+$C5684) - MAX(IF($B$2:$B5683=$B5684, $A$2:$A5683+$C$2:$C5683)), "")*24*60, "")</f>
        <v/>
      </c>
      <c r="K5684" s="24" t="str" cm="1">
        <f t="array" ref="K5684">IFERROR(IF($B5684=K$1, ($A5684+$C5684) - MAX(IF($B$2:$B5683=$B5684, $A$2:$A5683+$C$2:$C5683)), "")*24*60, "")</f>
        <v/>
      </c>
      <c r="L5684" s="24" t="str" cm="1">
        <f t="array" ref="L5684">IFERROR(IF($B5684=L$1, ($A5684+$C5684) - MAX(IF($B$2:$B5683=$B5684, $A$2:$A5683+$C$2:$C5683)), "")*24*60, "")</f>
        <v/>
      </c>
      <c r="M5684" s="24" t="str" cm="1">
        <f t="array" ref="M5684">IFERROR(IF($B5684=M$1, ($A5684+$C5684) - MAX(IF($B$2:$B5683=$B5684, $A$2:$A5683+$C$2:$C5683)), "")*24*60, "")</f>
        <v/>
      </c>
      <c r="N5684" s="24" t="str" cm="1">
        <f t="array" ref="N5684">IFERROR(IF($B5684=N$1, ($A5684+$C5684) - MAX(IF($B$2:$B5683=$B5684, $A$2:$A5683+$C$2:$C5683)), "")*24*60, "")</f>
        <v/>
      </c>
      <c r="O5684" s="24" t="str" cm="1">
        <f t="array" ref="O5684">IFERROR(IF($B5684=O$1, ($A5684+$C5684) - MAX(IF($B$2:$B5683=$B5684, $A$2:$A5683+$C$2:$C5683)), "")*24*60, "")</f>
        <v/>
      </c>
      <c r="P5684" s="24" t="str" cm="1">
        <f t="array" ref="P5684">IFERROR(IF($B5684=P$1, ($A5684+$C5684) - MAX(IF($B$2:$B5683=$B5684, $A$2:$A5683+$C$2:$C5683)), "")*24*60, "")</f>
        <v/>
      </c>
      <c r="Q5684" s="24" t="str" cm="1">
        <f t="array" ref="Q5684">IFERROR(IF($B5684=Q$1, ($A5684+$C5684) - MAX(IF($B$2:$B5683=$B5684, $A$2:$A5683+$C$2:$C5683)), "")*24*60, "")</f>
        <v/>
      </c>
      <c r="R5684" s="24" t="str" cm="1">
        <f t="array" ref="R5684">IFERROR(IF($B5684=R$1, ($A5684+$C5684) - MAX(IF($B$2:$B5683=$B5684, $A$2:$A5683+$C$2:$C5683)), "")*24*60, "")</f>
        <v/>
      </c>
      <c r="S5684" s="24" t="str" cm="1">
        <f t="array" ref="S5684">IFERROR(IF($B5684=S$1, ($A5684+$C5684) - MAX(IF($B$2:$B5683=$B5684, $A$2:$A5683+$C$2:$C5683)), "")*24*60, "")</f>
        <v/>
      </c>
    </row>
    <row r="5685" spans="1:19" x14ac:dyDescent="0.2">
      <c r="A5685" s="12">
        <f t="shared" ref="A5685:C5685" si="1219">A5684</f>
        <v>45985</v>
      </c>
      <c r="B5685" s="5" t="str">
        <f t="shared" si="1219"/>
        <v>Northern Cardinal</v>
      </c>
      <c r="C5685" s="6">
        <f t="shared" si="1219"/>
        <v>0.29166666666666669</v>
      </c>
      <c r="D5685" s="5"/>
      <c r="E5685" s="5"/>
      <c r="F5685" s="5" t="s">
        <v>8</v>
      </c>
      <c r="G5685" s="15" t="s">
        <v>9</v>
      </c>
      <c r="H5685" s="24">
        <f t="shared" si="1129"/>
        <v>0</v>
      </c>
      <c r="I5685" s="24" cm="1">
        <f t="array" ref="I5685">IFERROR(IF($B5685=I$1, ($A5685+$C5685) - MAX(IF($B$2:$B5684=$B5685, $A$2:$A5684+$C$2:$C5684)), "")*24*60, "")</f>
        <v>0</v>
      </c>
      <c r="J5685" s="24" t="str" cm="1">
        <f t="array" ref="J5685">IFERROR(IF($B5685=J$1, ($A5685+$C5685) - MAX(IF($B$2:$B5684=$B5685, $A$2:$A5684+$C$2:$C5684)), "")*24*60, "")</f>
        <v/>
      </c>
      <c r="K5685" s="24" t="str" cm="1">
        <f t="array" ref="K5685">IFERROR(IF($B5685=K$1, ($A5685+$C5685) - MAX(IF($B$2:$B5684=$B5685, $A$2:$A5684+$C$2:$C5684)), "")*24*60, "")</f>
        <v/>
      </c>
      <c r="L5685" s="24" t="str" cm="1">
        <f t="array" ref="L5685">IFERROR(IF($B5685=L$1, ($A5685+$C5685) - MAX(IF($B$2:$B5684=$B5685, $A$2:$A5684+$C$2:$C5684)), "")*24*60, "")</f>
        <v/>
      </c>
      <c r="M5685" s="24" t="str" cm="1">
        <f t="array" ref="M5685">IFERROR(IF($B5685=M$1, ($A5685+$C5685) - MAX(IF($B$2:$B5684=$B5685, $A$2:$A5684+$C$2:$C5684)), "")*24*60, "")</f>
        <v/>
      </c>
      <c r="N5685" s="24" t="str" cm="1">
        <f t="array" ref="N5685">IFERROR(IF($B5685=N$1, ($A5685+$C5685) - MAX(IF($B$2:$B5684=$B5685, $A$2:$A5684+$C$2:$C5684)), "")*24*60, "")</f>
        <v/>
      </c>
      <c r="O5685" s="24" t="str" cm="1">
        <f t="array" ref="O5685">IFERROR(IF($B5685=O$1, ($A5685+$C5685) - MAX(IF($B$2:$B5684=$B5685, $A$2:$A5684+$C$2:$C5684)), "")*24*60, "")</f>
        <v/>
      </c>
      <c r="P5685" s="24" t="str" cm="1">
        <f t="array" ref="P5685">IFERROR(IF($B5685=P$1, ($A5685+$C5685) - MAX(IF($B$2:$B5684=$B5685, $A$2:$A5684+$C$2:$C5684)), "")*24*60, "")</f>
        <v/>
      </c>
      <c r="Q5685" s="24" t="str" cm="1">
        <f t="array" ref="Q5685">IFERROR(IF($B5685=Q$1, ($A5685+$C5685) - MAX(IF($B$2:$B5684=$B5685, $A$2:$A5684+$C$2:$C5684)), "")*24*60, "")</f>
        <v/>
      </c>
      <c r="R5685" s="24" t="str" cm="1">
        <f t="array" ref="R5685">IFERROR(IF($B5685=R$1, ($A5685+$C5685) - MAX(IF($B$2:$B5684=$B5685, $A$2:$A5684+$C$2:$C5684)), "")*24*60, "")</f>
        <v/>
      </c>
      <c r="S5685" s="24" t="str" cm="1">
        <f t="array" ref="S5685">IFERROR(IF($B5685=S$1, ($A5685+$C5685) - MAX(IF($B$2:$B5684=$B5685, $A$2:$A5684+$C$2:$C5684)), "")*24*60, "")</f>
        <v/>
      </c>
    </row>
    <row r="5686" spans="1:19" x14ac:dyDescent="0.2">
      <c r="A5686" s="12">
        <f t="shared" ref="A5686:C5686" si="1220">A5685</f>
        <v>45985</v>
      </c>
      <c r="B5686" s="5" t="str">
        <f t="shared" si="1220"/>
        <v>Northern Cardinal</v>
      </c>
      <c r="C5686" s="6">
        <f t="shared" si="1220"/>
        <v>0.29166666666666669</v>
      </c>
      <c r="D5686" s="5"/>
      <c r="E5686" s="5"/>
      <c r="F5686" s="5" t="s">
        <v>8</v>
      </c>
      <c r="G5686" s="15" t="s">
        <v>9</v>
      </c>
      <c r="H5686" s="24">
        <f t="shared" si="1129"/>
        <v>0</v>
      </c>
      <c r="I5686" s="24" cm="1">
        <f t="array" ref="I5686">IFERROR(IF($B5686=I$1, ($A5686+$C5686) - MAX(IF($B$2:$B5685=$B5686, $A$2:$A5685+$C$2:$C5685)), "")*24*60, "")</f>
        <v>0</v>
      </c>
      <c r="J5686" s="24" t="str" cm="1">
        <f t="array" ref="J5686">IFERROR(IF($B5686=J$1, ($A5686+$C5686) - MAX(IF($B$2:$B5685=$B5686, $A$2:$A5685+$C$2:$C5685)), "")*24*60, "")</f>
        <v/>
      </c>
      <c r="K5686" s="24" t="str" cm="1">
        <f t="array" ref="K5686">IFERROR(IF($B5686=K$1, ($A5686+$C5686) - MAX(IF($B$2:$B5685=$B5686, $A$2:$A5685+$C$2:$C5685)), "")*24*60, "")</f>
        <v/>
      </c>
      <c r="L5686" s="24" t="str" cm="1">
        <f t="array" ref="L5686">IFERROR(IF($B5686=L$1, ($A5686+$C5686) - MAX(IF($B$2:$B5685=$B5686, $A$2:$A5685+$C$2:$C5685)), "")*24*60, "")</f>
        <v/>
      </c>
      <c r="M5686" s="24" t="str" cm="1">
        <f t="array" ref="M5686">IFERROR(IF($B5686=M$1, ($A5686+$C5686) - MAX(IF($B$2:$B5685=$B5686, $A$2:$A5685+$C$2:$C5685)), "")*24*60, "")</f>
        <v/>
      </c>
      <c r="N5686" s="24" t="str" cm="1">
        <f t="array" ref="N5686">IFERROR(IF($B5686=N$1, ($A5686+$C5686) - MAX(IF($B$2:$B5685=$B5686, $A$2:$A5685+$C$2:$C5685)), "")*24*60, "")</f>
        <v/>
      </c>
      <c r="O5686" s="24" t="str" cm="1">
        <f t="array" ref="O5686">IFERROR(IF($B5686=O$1, ($A5686+$C5686) - MAX(IF($B$2:$B5685=$B5686, $A$2:$A5685+$C$2:$C5685)), "")*24*60, "")</f>
        <v/>
      </c>
      <c r="P5686" s="24" t="str" cm="1">
        <f t="array" ref="P5686">IFERROR(IF($B5686=P$1, ($A5686+$C5686) - MAX(IF($B$2:$B5685=$B5686, $A$2:$A5685+$C$2:$C5685)), "")*24*60, "")</f>
        <v/>
      </c>
      <c r="Q5686" s="24" t="str" cm="1">
        <f t="array" ref="Q5686">IFERROR(IF($B5686=Q$1, ($A5686+$C5686) - MAX(IF($B$2:$B5685=$B5686, $A$2:$A5685+$C$2:$C5685)), "")*24*60, "")</f>
        <v/>
      </c>
      <c r="R5686" s="24" t="str" cm="1">
        <f t="array" ref="R5686">IFERROR(IF($B5686=R$1, ($A5686+$C5686) - MAX(IF($B$2:$B5685=$B5686, $A$2:$A5685+$C$2:$C5685)), "")*24*60, "")</f>
        <v/>
      </c>
      <c r="S5686" s="24" t="str" cm="1">
        <f t="array" ref="S5686">IFERROR(IF($B5686=S$1, ($A5686+$C5686) - MAX(IF($B$2:$B5685=$B5686, $A$2:$A5685+$C$2:$C5685)), "")*24*60, "")</f>
        <v/>
      </c>
    </row>
    <row r="5687" spans="1:19" x14ac:dyDescent="0.2">
      <c r="A5687" s="12">
        <f t="shared" ref="A5687:C5687" si="1221">A5686</f>
        <v>45985</v>
      </c>
      <c r="B5687" s="5" t="str">
        <f t="shared" si="1221"/>
        <v>Northern Cardinal</v>
      </c>
      <c r="C5687" s="6">
        <f t="shared" si="1221"/>
        <v>0.29166666666666669</v>
      </c>
      <c r="D5687" s="5"/>
      <c r="E5687" s="5"/>
      <c r="F5687" s="5" t="s">
        <v>8</v>
      </c>
      <c r="G5687" s="15" t="s">
        <v>9</v>
      </c>
      <c r="H5687" s="24">
        <f t="shared" si="1129"/>
        <v>0</v>
      </c>
      <c r="I5687" s="24" cm="1">
        <f t="array" ref="I5687">IFERROR(IF($B5687=I$1, ($A5687+$C5687) - MAX(IF($B$2:$B5686=$B5687, $A$2:$A5686+$C$2:$C5686)), "")*24*60, "")</f>
        <v>0</v>
      </c>
      <c r="J5687" s="24" t="str" cm="1">
        <f t="array" ref="J5687">IFERROR(IF($B5687=J$1, ($A5687+$C5687) - MAX(IF($B$2:$B5686=$B5687, $A$2:$A5686+$C$2:$C5686)), "")*24*60, "")</f>
        <v/>
      </c>
      <c r="K5687" s="24" t="str" cm="1">
        <f t="array" ref="K5687">IFERROR(IF($B5687=K$1, ($A5687+$C5687) - MAX(IF($B$2:$B5686=$B5687, $A$2:$A5686+$C$2:$C5686)), "")*24*60, "")</f>
        <v/>
      </c>
      <c r="L5687" s="24" t="str" cm="1">
        <f t="array" ref="L5687">IFERROR(IF($B5687=L$1, ($A5687+$C5687) - MAX(IF($B$2:$B5686=$B5687, $A$2:$A5686+$C$2:$C5686)), "")*24*60, "")</f>
        <v/>
      </c>
      <c r="M5687" s="24" t="str" cm="1">
        <f t="array" ref="M5687">IFERROR(IF($B5687=M$1, ($A5687+$C5687) - MAX(IF($B$2:$B5686=$B5687, $A$2:$A5686+$C$2:$C5686)), "")*24*60, "")</f>
        <v/>
      </c>
      <c r="N5687" s="24" t="str" cm="1">
        <f t="array" ref="N5687">IFERROR(IF($B5687=N$1, ($A5687+$C5687) - MAX(IF($B$2:$B5686=$B5687, $A$2:$A5686+$C$2:$C5686)), "")*24*60, "")</f>
        <v/>
      </c>
      <c r="O5687" s="24" t="str" cm="1">
        <f t="array" ref="O5687">IFERROR(IF($B5687=O$1, ($A5687+$C5687) - MAX(IF($B$2:$B5686=$B5687, $A$2:$A5686+$C$2:$C5686)), "")*24*60, "")</f>
        <v/>
      </c>
      <c r="P5687" s="24" t="str" cm="1">
        <f t="array" ref="P5687">IFERROR(IF($B5687=P$1, ($A5687+$C5687) - MAX(IF($B$2:$B5686=$B5687, $A$2:$A5686+$C$2:$C5686)), "")*24*60, "")</f>
        <v/>
      </c>
      <c r="Q5687" s="24" t="str" cm="1">
        <f t="array" ref="Q5687">IFERROR(IF($B5687=Q$1, ($A5687+$C5687) - MAX(IF($B$2:$B5686=$B5687, $A$2:$A5686+$C$2:$C5686)), "")*24*60, "")</f>
        <v/>
      </c>
      <c r="R5687" s="24" t="str" cm="1">
        <f t="array" ref="R5687">IFERROR(IF($B5687=R$1, ($A5687+$C5687) - MAX(IF($B$2:$B5686=$B5687, $A$2:$A5686+$C$2:$C5686)), "")*24*60, "")</f>
        <v/>
      </c>
      <c r="S5687" s="24" t="str" cm="1">
        <f t="array" ref="S5687">IFERROR(IF($B5687=S$1, ($A5687+$C5687) - MAX(IF($B$2:$B5686=$B5687, $A$2:$A5686+$C$2:$C5686)), "")*24*60, "")</f>
        <v/>
      </c>
    </row>
    <row r="5688" spans="1:19" x14ac:dyDescent="0.2">
      <c r="A5688" s="12">
        <f t="shared" ref="A5688:C5688" si="1222">A5687</f>
        <v>45985</v>
      </c>
      <c r="B5688" s="5" t="str">
        <f t="shared" si="1222"/>
        <v>Northern Cardinal</v>
      </c>
      <c r="C5688" s="6">
        <f t="shared" si="1222"/>
        <v>0.29166666666666669</v>
      </c>
      <c r="D5688" s="5"/>
      <c r="E5688" s="5"/>
      <c r="F5688" s="5" t="s">
        <v>8</v>
      </c>
      <c r="G5688" s="15" t="s">
        <v>9</v>
      </c>
      <c r="H5688" s="24">
        <f t="shared" si="1129"/>
        <v>0</v>
      </c>
      <c r="I5688" s="24" cm="1">
        <f t="array" ref="I5688">IFERROR(IF($B5688=I$1, ($A5688+$C5688) - MAX(IF($B$2:$B5687=$B5688, $A$2:$A5687+$C$2:$C5687)), "")*24*60, "")</f>
        <v>0</v>
      </c>
      <c r="J5688" s="24" t="str" cm="1">
        <f t="array" ref="J5688">IFERROR(IF($B5688=J$1, ($A5688+$C5688) - MAX(IF($B$2:$B5687=$B5688, $A$2:$A5687+$C$2:$C5687)), "")*24*60, "")</f>
        <v/>
      </c>
      <c r="K5688" s="24" t="str" cm="1">
        <f t="array" ref="K5688">IFERROR(IF($B5688=K$1, ($A5688+$C5688) - MAX(IF($B$2:$B5687=$B5688, $A$2:$A5687+$C$2:$C5687)), "")*24*60, "")</f>
        <v/>
      </c>
      <c r="L5688" s="24" t="str" cm="1">
        <f t="array" ref="L5688">IFERROR(IF($B5688=L$1, ($A5688+$C5688) - MAX(IF($B$2:$B5687=$B5688, $A$2:$A5687+$C$2:$C5687)), "")*24*60, "")</f>
        <v/>
      </c>
      <c r="M5688" s="24" t="str" cm="1">
        <f t="array" ref="M5688">IFERROR(IF($B5688=M$1, ($A5688+$C5688) - MAX(IF($B$2:$B5687=$B5688, $A$2:$A5687+$C$2:$C5687)), "")*24*60, "")</f>
        <v/>
      </c>
      <c r="N5688" s="24" t="str" cm="1">
        <f t="array" ref="N5688">IFERROR(IF($B5688=N$1, ($A5688+$C5688) - MAX(IF($B$2:$B5687=$B5688, $A$2:$A5687+$C$2:$C5687)), "")*24*60, "")</f>
        <v/>
      </c>
      <c r="O5688" s="24" t="str" cm="1">
        <f t="array" ref="O5688">IFERROR(IF($B5688=O$1, ($A5688+$C5688) - MAX(IF($B$2:$B5687=$B5688, $A$2:$A5687+$C$2:$C5687)), "")*24*60, "")</f>
        <v/>
      </c>
      <c r="P5688" s="24" t="str" cm="1">
        <f t="array" ref="P5688">IFERROR(IF($B5688=P$1, ($A5688+$C5688) - MAX(IF($B$2:$B5687=$B5688, $A$2:$A5687+$C$2:$C5687)), "")*24*60, "")</f>
        <v/>
      </c>
      <c r="Q5688" s="24" t="str" cm="1">
        <f t="array" ref="Q5688">IFERROR(IF($B5688=Q$1, ($A5688+$C5688) - MAX(IF($B$2:$B5687=$B5688, $A$2:$A5687+$C$2:$C5687)), "")*24*60, "")</f>
        <v/>
      </c>
      <c r="R5688" s="24" t="str" cm="1">
        <f t="array" ref="R5688">IFERROR(IF($B5688=R$1, ($A5688+$C5688) - MAX(IF($B$2:$B5687=$B5688, $A$2:$A5687+$C$2:$C5687)), "")*24*60, "")</f>
        <v/>
      </c>
      <c r="S5688" s="24" t="str" cm="1">
        <f t="array" ref="S5688">IFERROR(IF($B5688=S$1, ($A5688+$C5688) - MAX(IF($B$2:$B5687=$B5688, $A$2:$A5687+$C$2:$C5687)), "")*24*60, "")</f>
        <v/>
      </c>
    </row>
    <row r="5689" spans="1:19" x14ac:dyDescent="0.2">
      <c r="A5689" s="12">
        <f t="shared" ref="A5689:C5689" si="1223">A5688</f>
        <v>45985</v>
      </c>
      <c r="B5689" s="5" t="str">
        <f t="shared" si="1223"/>
        <v>Northern Cardinal</v>
      </c>
      <c r="C5689" s="6">
        <f t="shared" si="1223"/>
        <v>0.29166666666666669</v>
      </c>
      <c r="D5689" s="5"/>
      <c r="E5689" s="5"/>
      <c r="F5689" s="5" t="s">
        <v>8</v>
      </c>
      <c r="G5689" s="15" t="s">
        <v>9</v>
      </c>
      <c r="H5689" s="24">
        <f t="shared" si="1129"/>
        <v>0</v>
      </c>
      <c r="I5689" s="24" cm="1">
        <f t="array" ref="I5689">IFERROR(IF($B5689=I$1, ($A5689+$C5689) - MAX(IF($B$2:$B5688=$B5689, $A$2:$A5688+$C$2:$C5688)), "")*24*60, "")</f>
        <v>0</v>
      </c>
      <c r="J5689" s="24" t="str" cm="1">
        <f t="array" ref="J5689">IFERROR(IF($B5689=J$1, ($A5689+$C5689) - MAX(IF($B$2:$B5688=$B5689, $A$2:$A5688+$C$2:$C5688)), "")*24*60, "")</f>
        <v/>
      </c>
      <c r="K5689" s="24" t="str" cm="1">
        <f t="array" ref="K5689">IFERROR(IF($B5689=K$1, ($A5689+$C5689) - MAX(IF($B$2:$B5688=$B5689, $A$2:$A5688+$C$2:$C5688)), "")*24*60, "")</f>
        <v/>
      </c>
      <c r="L5689" s="24" t="str" cm="1">
        <f t="array" ref="L5689">IFERROR(IF($B5689=L$1, ($A5689+$C5689) - MAX(IF($B$2:$B5688=$B5689, $A$2:$A5688+$C$2:$C5688)), "")*24*60, "")</f>
        <v/>
      </c>
      <c r="M5689" s="24" t="str" cm="1">
        <f t="array" ref="M5689">IFERROR(IF($B5689=M$1, ($A5689+$C5689) - MAX(IF($B$2:$B5688=$B5689, $A$2:$A5688+$C$2:$C5688)), "")*24*60, "")</f>
        <v/>
      </c>
      <c r="N5689" s="24" t="str" cm="1">
        <f t="array" ref="N5689">IFERROR(IF($B5689=N$1, ($A5689+$C5689) - MAX(IF($B$2:$B5688=$B5689, $A$2:$A5688+$C$2:$C5688)), "")*24*60, "")</f>
        <v/>
      </c>
      <c r="O5689" s="24" t="str" cm="1">
        <f t="array" ref="O5689">IFERROR(IF($B5689=O$1, ($A5689+$C5689) - MAX(IF($B$2:$B5688=$B5689, $A$2:$A5688+$C$2:$C5688)), "")*24*60, "")</f>
        <v/>
      </c>
      <c r="P5689" s="24" t="str" cm="1">
        <f t="array" ref="P5689">IFERROR(IF($B5689=P$1, ($A5689+$C5689) - MAX(IF($B$2:$B5688=$B5689, $A$2:$A5688+$C$2:$C5688)), "")*24*60, "")</f>
        <v/>
      </c>
      <c r="Q5689" s="24" t="str" cm="1">
        <f t="array" ref="Q5689">IFERROR(IF($B5689=Q$1, ($A5689+$C5689) - MAX(IF($B$2:$B5688=$B5689, $A$2:$A5688+$C$2:$C5688)), "")*24*60, "")</f>
        <v/>
      </c>
      <c r="R5689" s="24" t="str" cm="1">
        <f t="array" ref="R5689">IFERROR(IF($B5689=R$1, ($A5689+$C5689) - MAX(IF($B$2:$B5688=$B5689, $A$2:$A5688+$C$2:$C5688)), "")*24*60, "")</f>
        <v/>
      </c>
      <c r="S5689" s="24" t="str" cm="1">
        <f t="array" ref="S5689">IFERROR(IF($B5689=S$1, ($A5689+$C5689) - MAX(IF($B$2:$B5688=$B5689, $A$2:$A5688+$C$2:$C5688)), "")*24*60, "")</f>
        <v/>
      </c>
    </row>
    <row r="5690" spans="1:19" x14ac:dyDescent="0.2">
      <c r="A5690" s="12">
        <f t="shared" ref="A5690:C5690" si="1224">A5689</f>
        <v>45985</v>
      </c>
      <c r="B5690" s="5" t="str">
        <f t="shared" si="1224"/>
        <v>Northern Cardinal</v>
      </c>
      <c r="C5690" s="6">
        <f t="shared" si="1224"/>
        <v>0.29166666666666669</v>
      </c>
      <c r="D5690" s="5"/>
      <c r="E5690" s="5"/>
      <c r="F5690" s="5" t="s">
        <v>8</v>
      </c>
      <c r="G5690" s="15" t="s">
        <v>9</v>
      </c>
      <c r="H5690" s="24">
        <f t="shared" si="1129"/>
        <v>0</v>
      </c>
      <c r="I5690" s="24" cm="1">
        <f t="array" ref="I5690">IFERROR(IF($B5690=I$1, ($A5690+$C5690) - MAX(IF($B$2:$B5689=$B5690, $A$2:$A5689+$C$2:$C5689)), "")*24*60, "")</f>
        <v>0</v>
      </c>
      <c r="J5690" s="24" t="str" cm="1">
        <f t="array" ref="J5690">IFERROR(IF($B5690=J$1, ($A5690+$C5690) - MAX(IF($B$2:$B5689=$B5690, $A$2:$A5689+$C$2:$C5689)), "")*24*60, "")</f>
        <v/>
      </c>
      <c r="K5690" s="24" t="str" cm="1">
        <f t="array" ref="K5690">IFERROR(IF($B5690=K$1, ($A5690+$C5690) - MAX(IF($B$2:$B5689=$B5690, $A$2:$A5689+$C$2:$C5689)), "")*24*60, "")</f>
        <v/>
      </c>
      <c r="L5690" s="24" t="str" cm="1">
        <f t="array" ref="L5690">IFERROR(IF($B5690=L$1, ($A5690+$C5690) - MAX(IF($B$2:$B5689=$B5690, $A$2:$A5689+$C$2:$C5689)), "")*24*60, "")</f>
        <v/>
      </c>
      <c r="M5690" s="24" t="str" cm="1">
        <f t="array" ref="M5690">IFERROR(IF($B5690=M$1, ($A5690+$C5690) - MAX(IF($B$2:$B5689=$B5690, $A$2:$A5689+$C$2:$C5689)), "")*24*60, "")</f>
        <v/>
      </c>
      <c r="N5690" s="24" t="str" cm="1">
        <f t="array" ref="N5690">IFERROR(IF($B5690=N$1, ($A5690+$C5690) - MAX(IF($B$2:$B5689=$B5690, $A$2:$A5689+$C$2:$C5689)), "")*24*60, "")</f>
        <v/>
      </c>
      <c r="O5690" s="24" t="str" cm="1">
        <f t="array" ref="O5690">IFERROR(IF($B5690=O$1, ($A5690+$C5690) - MAX(IF($B$2:$B5689=$B5690, $A$2:$A5689+$C$2:$C5689)), "")*24*60, "")</f>
        <v/>
      </c>
      <c r="P5690" s="24" t="str" cm="1">
        <f t="array" ref="P5690">IFERROR(IF($B5690=P$1, ($A5690+$C5690) - MAX(IF($B$2:$B5689=$B5690, $A$2:$A5689+$C$2:$C5689)), "")*24*60, "")</f>
        <v/>
      </c>
      <c r="Q5690" s="24" t="str" cm="1">
        <f t="array" ref="Q5690">IFERROR(IF($B5690=Q$1, ($A5690+$C5690) - MAX(IF($B$2:$B5689=$B5690, $A$2:$A5689+$C$2:$C5689)), "")*24*60, "")</f>
        <v/>
      </c>
      <c r="R5690" s="24" t="str" cm="1">
        <f t="array" ref="R5690">IFERROR(IF($B5690=R$1, ($A5690+$C5690) - MAX(IF($B$2:$B5689=$B5690, $A$2:$A5689+$C$2:$C5689)), "")*24*60, "")</f>
        <v/>
      </c>
      <c r="S5690" s="24" t="str" cm="1">
        <f t="array" ref="S5690">IFERROR(IF($B5690=S$1, ($A5690+$C5690) - MAX(IF($B$2:$B5689=$B5690, $A$2:$A5689+$C$2:$C5689)), "")*24*60, "")</f>
        <v/>
      </c>
    </row>
    <row r="5691" spans="1:19" x14ac:dyDescent="0.2">
      <c r="A5691" s="12">
        <f t="shared" ref="A5691:C5691" si="1225">A5690</f>
        <v>45985</v>
      </c>
      <c r="B5691" s="5" t="str">
        <f t="shared" si="1225"/>
        <v>Northern Cardinal</v>
      </c>
      <c r="C5691" s="6">
        <f t="shared" si="1225"/>
        <v>0.29166666666666669</v>
      </c>
      <c r="D5691" s="5"/>
      <c r="E5691" s="5"/>
      <c r="F5691" s="5" t="s">
        <v>8</v>
      </c>
      <c r="G5691" s="15" t="s">
        <v>9</v>
      </c>
      <c r="H5691" s="24">
        <f t="shared" si="1129"/>
        <v>0</v>
      </c>
      <c r="I5691" s="24" cm="1">
        <f t="array" ref="I5691">IFERROR(IF($B5691=I$1, ($A5691+$C5691) - MAX(IF($B$2:$B5690=$B5691, $A$2:$A5690+$C$2:$C5690)), "")*24*60, "")</f>
        <v>0</v>
      </c>
      <c r="J5691" s="24" t="str" cm="1">
        <f t="array" ref="J5691">IFERROR(IF($B5691=J$1, ($A5691+$C5691) - MAX(IF($B$2:$B5690=$B5691, $A$2:$A5690+$C$2:$C5690)), "")*24*60, "")</f>
        <v/>
      </c>
      <c r="K5691" s="24" t="str" cm="1">
        <f t="array" ref="K5691">IFERROR(IF($B5691=K$1, ($A5691+$C5691) - MAX(IF($B$2:$B5690=$B5691, $A$2:$A5690+$C$2:$C5690)), "")*24*60, "")</f>
        <v/>
      </c>
      <c r="L5691" s="24" t="str" cm="1">
        <f t="array" ref="L5691">IFERROR(IF($B5691=L$1, ($A5691+$C5691) - MAX(IF($B$2:$B5690=$B5691, $A$2:$A5690+$C$2:$C5690)), "")*24*60, "")</f>
        <v/>
      </c>
      <c r="M5691" s="24" t="str" cm="1">
        <f t="array" ref="M5691">IFERROR(IF($B5691=M$1, ($A5691+$C5691) - MAX(IF($B$2:$B5690=$B5691, $A$2:$A5690+$C$2:$C5690)), "")*24*60, "")</f>
        <v/>
      </c>
      <c r="N5691" s="24" t="str" cm="1">
        <f t="array" ref="N5691">IFERROR(IF($B5691=N$1, ($A5691+$C5691) - MAX(IF($B$2:$B5690=$B5691, $A$2:$A5690+$C$2:$C5690)), "")*24*60, "")</f>
        <v/>
      </c>
      <c r="O5691" s="24" t="str" cm="1">
        <f t="array" ref="O5691">IFERROR(IF($B5691=O$1, ($A5691+$C5691) - MAX(IF($B$2:$B5690=$B5691, $A$2:$A5690+$C$2:$C5690)), "")*24*60, "")</f>
        <v/>
      </c>
      <c r="P5691" s="24" t="str" cm="1">
        <f t="array" ref="P5691">IFERROR(IF($B5691=P$1, ($A5691+$C5691) - MAX(IF($B$2:$B5690=$B5691, $A$2:$A5690+$C$2:$C5690)), "")*24*60, "")</f>
        <v/>
      </c>
      <c r="Q5691" s="24" t="str" cm="1">
        <f t="array" ref="Q5691">IFERROR(IF($B5691=Q$1, ($A5691+$C5691) - MAX(IF($B$2:$B5690=$B5691, $A$2:$A5690+$C$2:$C5690)), "")*24*60, "")</f>
        <v/>
      </c>
      <c r="R5691" s="24" t="str" cm="1">
        <f t="array" ref="R5691">IFERROR(IF($B5691=R$1, ($A5691+$C5691) - MAX(IF($B$2:$B5690=$B5691, $A$2:$A5690+$C$2:$C5690)), "")*24*60, "")</f>
        <v/>
      </c>
      <c r="S5691" s="24" t="str" cm="1">
        <f t="array" ref="S5691">IFERROR(IF($B5691=S$1, ($A5691+$C5691) - MAX(IF($B$2:$B5690=$B5691, $A$2:$A5690+$C$2:$C5690)), "")*24*60, "")</f>
        <v/>
      </c>
    </row>
    <row r="5692" spans="1:19" x14ac:dyDescent="0.2">
      <c r="A5692" s="12">
        <f t="shared" ref="A5692:C5692" si="1226">A5691</f>
        <v>45985</v>
      </c>
      <c r="B5692" s="5" t="str">
        <f t="shared" si="1226"/>
        <v>Northern Cardinal</v>
      </c>
      <c r="C5692" s="6">
        <f t="shared" si="1226"/>
        <v>0.29166666666666669</v>
      </c>
      <c r="D5692" s="5"/>
      <c r="E5692" s="5"/>
      <c r="F5692" s="5" t="s">
        <v>8</v>
      </c>
      <c r="G5692" s="15" t="s">
        <v>9</v>
      </c>
      <c r="H5692" s="24">
        <f t="shared" si="1129"/>
        <v>0</v>
      </c>
      <c r="I5692" s="24" cm="1">
        <f t="array" ref="I5692">IFERROR(IF($B5692=I$1, ($A5692+$C5692) - MAX(IF($B$2:$B5691=$B5692, $A$2:$A5691+$C$2:$C5691)), "")*24*60, "")</f>
        <v>0</v>
      </c>
      <c r="J5692" s="24" t="str" cm="1">
        <f t="array" ref="J5692">IFERROR(IF($B5692=J$1, ($A5692+$C5692) - MAX(IF($B$2:$B5691=$B5692, $A$2:$A5691+$C$2:$C5691)), "")*24*60, "")</f>
        <v/>
      </c>
      <c r="K5692" s="24" t="str" cm="1">
        <f t="array" ref="K5692">IFERROR(IF($B5692=K$1, ($A5692+$C5692) - MAX(IF($B$2:$B5691=$B5692, $A$2:$A5691+$C$2:$C5691)), "")*24*60, "")</f>
        <v/>
      </c>
      <c r="L5692" s="24" t="str" cm="1">
        <f t="array" ref="L5692">IFERROR(IF($B5692=L$1, ($A5692+$C5692) - MAX(IF($B$2:$B5691=$B5692, $A$2:$A5691+$C$2:$C5691)), "")*24*60, "")</f>
        <v/>
      </c>
      <c r="M5692" s="24" t="str" cm="1">
        <f t="array" ref="M5692">IFERROR(IF($B5692=M$1, ($A5692+$C5692) - MAX(IF($B$2:$B5691=$B5692, $A$2:$A5691+$C$2:$C5691)), "")*24*60, "")</f>
        <v/>
      </c>
      <c r="N5692" s="24" t="str" cm="1">
        <f t="array" ref="N5692">IFERROR(IF($B5692=N$1, ($A5692+$C5692) - MAX(IF($B$2:$B5691=$B5692, $A$2:$A5691+$C$2:$C5691)), "")*24*60, "")</f>
        <v/>
      </c>
      <c r="O5692" s="24" t="str" cm="1">
        <f t="array" ref="O5692">IFERROR(IF($B5692=O$1, ($A5692+$C5692) - MAX(IF($B$2:$B5691=$B5692, $A$2:$A5691+$C$2:$C5691)), "")*24*60, "")</f>
        <v/>
      </c>
      <c r="P5692" s="24" t="str" cm="1">
        <f t="array" ref="P5692">IFERROR(IF($B5692=P$1, ($A5692+$C5692) - MAX(IF($B$2:$B5691=$B5692, $A$2:$A5691+$C$2:$C5691)), "")*24*60, "")</f>
        <v/>
      </c>
      <c r="Q5692" s="24" t="str" cm="1">
        <f t="array" ref="Q5692">IFERROR(IF($B5692=Q$1, ($A5692+$C5692) - MAX(IF($B$2:$B5691=$B5692, $A$2:$A5691+$C$2:$C5691)), "")*24*60, "")</f>
        <v/>
      </c>
      <c r="R5692" s="24" t="str" cm="1">
        <f t="array" ref="R5692">IFERROR(IF($B5692=R$1, ($A5692+$C5692) - MAX(IF($B$2:$B5691=$B5692, $A$2:$A5691+$C$2:$C5691)), "")*24*60, "")</f>
        <v/>
      </c>
      <c r="S5692" s="24" t="str" cm="1">
        <f t="array" ref="S5692">IFERROR(IF($B5692=S$1, ($A5692+$C5692) - MAX(IF($B$2:$B5691=$B5692, $A$2:$A5691+$C$2:$C5691)), "")*24*60, "")</f>
        <v/>
      </c>
    </row>
    <row r="5693" spans="1:19" x14ac:dyDescent="0.2">
      <c r="A5693" s="12">
        <f t="shared" ref="A5693:C5693" si="1227">A5692</f>
        <v>45985</v>
      </c>
      <c r="B5693" s="5" t="str">
        <f t="shared" si="1227"/>
        <v>Northern Cardinal</v>
      </c>
      <c r="C5693" s="6">
        <f t="shared" si="1227"/>
        <v>0.29166666666666669</v>
      </c>
      <c r="D5693" s="5"/>
      <c r="E5693" s="5"/>
      <c r="F5693" s="5" t="s">
        <v>8</v>
      </c>
      <c r="G5693" s="15" t="s">
        <v>9</v>
      </c>
      <c r="H5693" s="24">
        <f t="shared" si="1129"/>
        <v>0</v>
      </c>
      <c r="I5693" s="24" cm="1">
        <f t="array" ref="I5693">IFERROR(IF($B5693=I$1, ($A5693+$C5693) - MAX(IF($B$2:$B5692=$B5693, $A$2:$A5692+$C$2:$C5692)), "")*24*60, "")</f>
        <v>0</v>
      </c>
      <c r="J5693" s="24" t="str" cm="1">
        <f t="array" ref="J5693">IFERROR(IF($B5693=J$1, ($A5693+$C5693) - MAX(IF($B$2:$B5692=$B5693, $A$2:$A5692+$C$2:$C5692)), "")*24*60, "")</f>
        <v/>
      </c>
      <c r="K5693" s="24" t="str" cm="1">
        <f t="array" ref="K5693">IFERROR(IF($B5693=K$1, ($A5693+$C5693) - MAX(IF($B$2:$B5692=$B5693, $A$2:$A5692+$C$2:$C5692)), "")*24*60, "")</f>
        <v/>
      </c>
      <c r="L5693" s="24" t="str" cm="1">
        <f t="array" ref="L5693">IFERROR(IF($B5693=L$1, ($A5693+$C5693) - MAX(IF($B$2:$B5692=$B5693, $A$2:$A5692+$C$2:$C5692)), "")*24*60, "")</f>
        <v/>
      </c>
      <c r="M5693" s="24" t="str" cm="1">
        <f t="array" ref="M5693">IFERROR(IF($B5693=M$1, ($A5693+$C5693) - MAX(IF($B$2:$B5692=$B5693, $A$2:$A5692+$C$2:$C5692)), "")*24*60, "")</f>
        <v/>
      </c>
      <c r="N5693" s="24" t="str" cm="1">
        <f t="array" ref="N5693">IFERROR(IF($B5693=N$1, ($A5693+$C5693) - MAX(IF($B$2:$B5692=$B5693, $A$2:$A5692+$C$2:$C5692)), "")*24*60, "")</f>
        <v/>
      </c>
      <c r="O5693" s="24" t="str" cm="1">
        <f t="array" ref="O5693">IFERROR(IF($B5693=O$1, ($A5693+$C5693) - MAX(IF($B$2:$B5692=$B5693, $A$2:$A5692+$C$2:$C5692)), "")*24*60, "")</f>
        <v/>
      </c>
      <c r="P5693" s="24" t="str" cm="1">
        <f t="array" ref="P5693">IFERROR(IF($B5693=P$1, ($A5693+$C5693) - MAX(IF($B$2:$B5692=$B5693, $A$2:$A5692+$C$2:$C5692)), "")*24*60, "")</f>
        <v/>
      </c>
      <c r="Q5693" s="24" t="str" cm="1">
        <f t="array" ref="Q5693">IFERROR(IF($B5693=Q$1, ($A5693+$C5693) - MAX(IF($B$2:$B5692=$B5693, $A$2:$A5692+$C$2:$C5692)), "")*24*60, "")</f>
        <v/>
      </c>
      <c r="R5693" s="24" t="str" cm="1">
        <f t="array" ref="R5693">IFERROR(IF($B5693=R$1, ($A5693+$C5693) - MAX(IF($B$2:$B5692=$B5693, $A$2:$A5692+$C$2:$C5692)), "")*24*60, "")</f>
        <v/>
      </c>
      <c r="S5693" s="24" t="str" cm="1">
        <f t="array" ref="S5693">IFERROR(IF($B5693=S$1, ($A5693+$C5693) - MAX(IF($B$2:$B5692=$B5693, $A$2:$A5692+$C$2:$C5692)), "")*24*60, "")</f>
        <v/>
      </c>
    </row>
    <row r="5694" spans="1:19" x14ac:dyDescent="0.2">
      <c r="A5694" s="12">
        <f t="shared" ref="A5694:C5694" si="1228">A5693</f>
        <v>45985</v>
      </c>
      <c r="B5694" s="5" t="str">
        <f t="shared" si="1228"/>
        <v>Northern Cardinal</v>
      </c>
      <c r="C5694" s="6">
        <f t="shared" si="1228"/>
        <v>0.29166666666666669</v>
      </c>
      <c r="D5694" s="5"/>
      <c r="E5694" s="5"/>
      <c r="F5694" s="5" t="s">
        <v>8</v>
      </c>
      <c r="G5694" s="15" t="s">
        <v>9</v>
      </c>
      <c r="H5694" s="24">
        <f t="shared" si="1129"/>
        <v>0</v>
      </c>
      <c r="I5694" s="24" cm="1">
        <f t="array" ref="I5694">IFERROR(IF($B5694=I$1, ($A5694+$C5694) - MAX(IF($B$2:$B5693=$B5694, $A$2:$A5693+$C$2:$C5693)), "")*24*60, "")</f>
        <v>0</v>
      </c>
      <c r="J5694" s="24" t="str" cm="1">
        <f t="array" ref="J5694">IFERROR(IF($B5694=J$1, ($A5694+$C5694) - MAX(IF($B$2:$B5693=$B5694, $A$2:$A5693+$C$2:$C5693)), "")*24*60, "")</f>
        <v/>
      </c>
      <c r="K5694" s="24" t="str" cm="1">
        <f t="array" ref="K5694">IFERROR(IF($B5694=K$1, ($A5694+$C5694) - MAX(IF($B$2:$B5693=$B5694, $A$2:$A5693+$C$2:$C5693)), "")*24*60, "")</f>
        <v/>
      </c>
      <c r="L5694" s="24" t="str" cm="1">
        <f t="array" ref="L5694">IFERROR(IF($B5694=L$1, ($A5694+$C5694) - MAX(IF($B$2:$B5693=$B5694, $A$2:$A5693+$C$2:$C5693)), "")*24*60, "")</f>
        <v/>
      </c>
      <c r="M5694" s="24" t="str" cm="1">
        <f t="array" ref="M5694">IFERROR(IF($B5694=M$1, ($A5694+$C5694) - MAX(IF($B$2:$B5693=$B5694, $A$2:$A5693+$C$2:$C5693)), "")*24*60, "")</f>
        <v/>
      </c>
      <c r="N5694" s="24" t="str" cm="1">
        <f t="array" ref="N5694">IFERROR(IF($B5694=N$1, ($A5694+$C5694) - MAX(IF($B$2:$B5693=$B5694, $A$2:$A5693+$C$2:$C5693)), "")*24*60, "")</f>
        <v/>
      </c>
      <c r="O5694" s="24" t="str" cm="1">
        <f t="array" ref="O5694">IFERROR(IF($B5694=O$1, ($A5694+$C5694) - MAX(IF($B$2:$B5693=$B5694, $A$2:$A5693+$C$2:$C5693)), "")*24*60, "")</f>
        <v/>
      </c>
      <c r="P5694" s="24" t="str" cm="1">
        <f t="array" ref="P5694">IFERROR(IF($B5694=P$1, ($A5694+$C5694) - MAX(IF($B$2:$B5693=$B5694, $A$2:$A5693+$C$2:$C5693)), "")*24*60, "")</f>
        <v/>
      </c>
      <c r="Q5694" s="24" t="str" cm="1">
        <f t="array" ref="Q5694">IFERROR(IF($B5694=Q$1, ($A5694+$C5694) - MAX(IF($B$2:$B5693=$B5694, $A$2:$A5693+$C$2:$C5693)), "")*24*60, "")</f>
        <v/>
      </c>
      <c r="R5694" s="24" t="str" cm="1">
        <f t="array" ref="R5694">IFERROR(IF($B5694=R$1, ($A5694+$C5694) - MAX(IF($B$2:$B5693=$B5694, $A$2:$A5693+$C$2:$C5693)), "")*24*60, "")</f>
        <v/>
      </c>
      <c r="S5694" s="24" t="str" cm="1">
        <f t="array" ref="S5694">IFERROR(IF($B5694=S$1, ($A5694+$C5694) - MAX(IF($B$2:$B5693=$B5694, $A$2:$A5693+$C$2:$C5693)), "")*24*60, "")</f>
        <v/>
      </c>
    </row>
    <row r="5695" spans="1:19" x14ac:dyDescent="0.2">
      <c r="A5695" s="12">
        <f t="shared" ref="A5695:C5695" si="1229">A5694</f>
        <v>45985</v>
      </c>
      <c r="B5695" s="5" t="str">
        <f t="shared" si="1229"/>
        <v>Northern Cardinal</v>
      </c>
      <c r="C5695" s="6">
        <f t="shared" si="1229"/>
        <v>0.29166666666666669</v>
      </c>
      <c r="D5695" s="5"/>
      <c r="E5695" s="5"/>
      <c r="F5695" s="5" t="s">
        <v>8</v>
      </c>
      <c r="G5695" s="15" t="s">
        <v>9</v>
      </c>
      <c r="H5695" s="24">
        <f t="shared" si="1129"/>
        <v>0</v>
      </c>
      <c r="I5695" s="24" cm="1">
        <f t="array" ref="I5695">IFERROR(IF($B5695=I$1, ($A5695+$C5695) - MAX(IF($B$2:$B5694=$B5695, $A$2:$A5694+$C$2:$C5694)), "")*24*60, "")</f>
        <v>0</v>
      </c>
      <c r="J5695" s="24" t="str" cm="1">
        <f t="array" ref="J5695">IFERROR(IF($B5695=J$1, ($A5695+$C5695) - MAX(IF($B$2:$B5694=$B5695, $A$2:$A5694+$C$2:$C5694)), "")*24*60, "")</f>
        <v/>
      </c>
      <c r="K5695" s="24" t="str" cm="1">
        <f t="array" ref="K5695">IFERROR(IF($B5695=K$1, ($A5695+$C5695) - MAX(IF($B$2:$B5694=$B5695, $A$2:$A5694+$C$2:$C5694)), "")*24*60, "")</f>
        <v/>
      </c>
      <c r="L5695" s="24" t="str" cm="1">
        <f t="array" ref="L5695">IFERROR(IF($B5695=L$1, ($A5695+$C5695) - MAX(IF($B$2:$B5694=$B5695, $A$2:$A5694+$C$2:$C5694)), "")*24*60, "")</f>
        <v/>
      </c>
      <c r="M5695" s="24" t="str" cm="1">
        <f t="array" ref="M5695">IFERROR(IF($B5695=M$1, ($A5695+$C5695) - MAX(IF($B$2:$B5694=$B5695, $A$2:$A5694+$C$2:$C5694)), "")*24*60, "")</f>
        <v/>
      </c>
      <c r="N5695" s="24" t="str" cm="1">
        <f t="array" ref="N5695">IFERROR(IF($B5695=N$1, ($A5695+$C5695) - MAX(IF($B$2:$B5694=$B5695, $A$2:$A5694+$C$2:$C5694)), "")*24*60, "")</f>
        <v/>
      </c>
      <c r="O5695" s="24" t="str" cm="1">
        <f t="array" ref="O5695">IFERROR(IF($B5695=O$1, ($A5695+$C5695) - MAX(IF($B$2:$B5694=$B5695, $A$2:$A5694+$C$2:$C5694)), "")*24*60, "")</f>
        <v/>
      </c>
      <c r="P5695" s="24" t="str" cm="1">
        <f t="array" ref="P5695">IFERROR(IF($B5695=P$1, ($A5695+$C5695) - MAX(IF($B$2:$B5694=$B5695, $A$2:$A5694+$C$2:$C5694)), "")*24*60, "")</f>
        <v/>
      </c>
      <c r="Q5695" s="24" t="str" cm="1">
        <f t="array" ref="Q5695">IFERROR(IF($B5695=Q$1, ($A5695+$C5695) - MAX(IF($B$2:$B5694=$B5695, $A$2:$A5694+$C$2:$C5694)), "")*24*60, "")</f>
        <v/>
      </c>
      <c r="R5695" s="24" t="str" cm="1">
        <f t="array" ref="R5695">IFERROR(IF($B5695=R$1, ($A5695+$C5695) - MAX(IF($B$2:$B5694=$B5695, $A$2:$A5694+$C$2:$C5694)), "")*24*60, "")</f>
        <v/>
      </c>
      <c r="S5695" s="24" t="str" cm="1">
        <f t="array" ref="S5695">IFERROR(IF($B5695=S$1, ($A5695+$C5695) - MAX(IF($B$2:$B5694=$B5695, $A$2:$A5694+$C$2:$C5694)), "")*24*60, "")</f>
        <v/>
      </c>
    </row>
    <row r="5696" spans="1:19" x14ac:dyDescent="0.2">
      <c r="A5696" s="12">
        <f t="shared" ref="A5696:C5696" si="1230">A5695</f>
        <v>45985</v>
      </c>
      <c r="B5696" s="5" t="str">
        <f t="shared" si="1230"/>
        <v>Northern Cardinal</v>
      </c>
      <c r="C5696" s="6">
        <f t="shared" si="1230"/>
        <v>0.29166666666666669</v>
      </c>
      <c r="D5696" s="5"/>
      <c r="E5696" s="5"/>
      <c r="F5696" s="5" t="s">
        <v>8</v>
      </c>
      <c r="G5696" s="15" t="s">
        <v>9</v>
      </c>
      <c r="H5696" s="24">
        <f t="shared" si="1129"/>
        <v>0</v>
      </c>
      <c r="I5696" s="24" cm="1">
        <f t="array" ref="I5696">IFERROR(IF($B5696=I$1, ($A5696+$C5696) - MAX(IF($B$2:$B5695=$B5696, $A$2:$A5695+$C$2:$C5695)), "")*24*60, "")</f>
        <v>0</v>
      </c>
      <c r="J5696" s="24" t="str" cm="1">
        <f t="array" ref="J5696">IFERROR(IF($B5696=J$1, ($A5696+$C5696) - MAX(IF($B$2:$B5695=$B5696, $A$2:$A5695+$C$2:$C5695)), "")*24*60, "")</f>
        <v/>
      </c>
      <c r="K5696" s="24" t="str" cm="1">
        <f t="array" ref="K5696">IFERROR(IF($B5696=K$1, ($A5696+$C5696) - MAX(IF($B$2:$B5695=$B5696, $A$2:$A5695+$C$2:$C5695)), "")*24*60, "")</f>
        <v/>
      </c>
      <c r="L5696" s="24" t="str" cm="1">
        <f t="array" ref="L5696">IFERROR(IF($B5696=L$1, ($A5696+$C5696) - MAX(IF($B$2:$B5695=$B5696, $A$2:$A5695+$C$2:$C5695)), "")*24*60, "")</f>
        <v/>
      </c>
      <c r="M5696" s="24" t="str" cm="1">
        <f t="array" ref="M5696">IFERROR(IF($B5696=M$1, ($A5696+$C5696) - MAX(IF($B$2:$B5695=$B5696, $A$2:$A5695+$C$2:$C5695)), "")*24*60, "")</f>
        <v/>
      </c>
      <c r="N5696" s="24" t="str" cm="1">
        <f t="array" ref="N5696">IFERROR(IF($B5696=N$1, ($A5696+$C5696) - MAX(IF($B$2:$B5695=$B5696, $A$2:$A5695+$C$2:$C5695)), "")*24*60, "")</f>
        <v/>
      </c>
      <c r="O5696" s="24" t="str" cm="1">
        <f t="array" ref="O5696">IFERROR(IF($B5696=O$1, ($A5696+$C5696) - MAX(IF($B$2:$B5695=$B5696, $A$2:$A5695+$C$2:$C5695)), "")*24*60, "")</f>
        <v/>
      </c>
      <c r="P5696" s="24" t="str" cm="1">
        <f t="array" ref="P5696">IFERROR(IF($B5696=P$1, ($A5696+$C5696) - MAX(IF($B$2:$B5695=$B5696, $A$2:$A5695+$C$2:$C5695)), "")*24*60, "")</f>
        <v/>
      </c>
      <c r="Q5696" s="24" t="str" cm="1">
        <f t="array" ref="Q5696">IFERROR(IF($B5696=Q$1, ($A5696+$C5696) - MAX(IF($B$2:$B5695=$B5696, $A$2:$A5695+$C$2:$C5695)), "")*24*60, "")</f>
        <v/>
      </c>
      <c r="R5696" s="24" t="str" cm="1">
        <f t="array" ref="R5696">IFERROR(IF($B5696=R$1, ($A5696+$C5696) - MAX(IF($B$2:$B5695=$B5696, $A$2:$A5695+$C$2:$C5695)), "")*24*60, "")</f>
        <v/>
      </c>
      <c r="S5696" s="24" t="str" cm="1">
        <f t="array" ref="S5696">IFERROR(IF($B5696=S$1, ($A5696+$C5696) - MAX(IF($B$2:$B5695=$B5696, $A$2:$A5695+$C$2:$C5695)), "")*24*60, "")</f>
        <v/>
      </c>
    </row>
    <row r="5697" spans="1:19" x14ac:dyDescent="0.2">
      <c r="A5697" s="12">
        <f t="shared" ref="A5697:C5697" si="1231">A5696</f>
        <v>45985</v>
      </c>
      <c r="B5697" s="5" t="str">
        <f t="shared" si="1231"/>
        <v>Northern Cardinal</v>
      </c>
      <c r="C5697" s="6">
        <f t="shared" si="1231"/>
        <v>0.29166666666666669</v>
      </c>
      <c r="D5697" s="5"/>
      <c r="E5697" s="5"/>
      <c r="F5697" s="5" t="s">
        <v>8</v>
      </c>
      <c r="G5697" s="15" t="s">
        <v>9</v>
      </c>
      <c r="H5697" s="24">
        <f t="shared" si="1129"/>
        <v>0</v>
      </c>
      <c r="I5697" s="24" cm="1">
        <f t="array" ref="I5697">IFERROR(IF($B5697=I$1, ($A5697+$C5697) - MAX(IF($B$2:$B5696=$B5697, $A$2:$A5696+$C$2:$C5696)), "")*24*60, "")</f>
        <v>0</v>
      </c>
      <c r="J5697" s="24" t="str" cm="1">
        <f t="array" ref="J5697">IFERROR(IF($B5697=J$1, ($A5697+$C5697) - MAX(IF($B$2:$B5696=$B5697, $A$2:$A5696+$C$2:$C5696)), "")*24*60, "")</f>
        <v/>
      </c>
      <c r="K5697" s="24" t="str" cm="1">
        <f t="array" ref="K5697">IFERROR(IF($B5697=K$1, ($A5697+$C5697) - MAX(IF($B$2:$B5696=$B5697, $A$2:$A5696+$C$2:$C5696)), "")*24*60, "")</f>
        <v/>
      </c>
      <c r="L5697" s="24" t="str" cm="1">
        <f t="array" ref="L5697">IFERROR(IF($B5697=L$1, ($A5697+$C5697) - MAX(IF($B$2:$B5696=$B5697, $A$2:$A5696+$C$2:$C5696)), "")*24*60, "")</f>
        <v/>
      </c>
      <c r="M5697" s="24" t="str" cm="1">
        <f t="array" ref="M5697">IFERROR(IF($B5697=M$1, ($A5697+$C5697) - MAX(IF($B$2:$B5696=$B5697, $A$2:$A5696+$C$2:$C5696)), "")*24*60, "")</f>
        <v/>
      </c>
      <c r="N5697" s="24" t="str" cm="1">
        <f t="array" ref="N5697">IFERROR(IF($B5697=N$1, ($A5697+$C5697) - MAX(IF($B$2:$B5696=$B5697, $A$2:$A5696+$C$2:$C5696)), "")*24*60, "")</f>
        <v/>
      </c>
      <c r="O5697" s="24" t="str" cm="1">
        <f t="array" ref="O5697">IFERROR(IF($B5697=O$1, ($A5697+$C5697) - MAX(IF($B$2:$B5696=$B5697, $A$2:$A5696+$C$2:$C5696)), "")*24*60, "")</f>
        <v/>
      </c>
      <c r="P5697" s="24" t="str" cm="1">
        <f t="array" ref="P5697">IFERROR(IF($B5697=P$1, ($A5697+$C5697) - MAX(IF($B$2:$B5696=$B5697, $A$2:$A5696+$C$2:$C5696)), "")*24*60, "")</f>
        <v/>
      </c>
      <c r="Q5697" s="24" t="str" cm="1">
        <f t="array" ref="Q5697">IFERROR(IF($B5697=Q$1, ($A5697+$C5697) - MAX(IF($B$2:$B5696=$B5697, $A$2:$A5696+$C$2:$C5696)), "")*24*60, "")</f>
        <v/>
      </c>
      <c r="R5697" s="24" t="str" cm="1">
        <f t="array" ref="R5697">IFERROR(IF($B5697=R$1, ($A5697+$C5697) - MAX(IF($B$2:$B5696=$B5697, $A$2:$A5696+$C$2:$C5696)), "")*24*60, "")</f>
        <v/>
      </c>
      <c r="S5697" s="24" t="str" cm="1">
        <f t="array" ref="S5697">IFERROR(IF($B5697=S$1, ($A5697+$C5697) - MAX(IF($B$2:$B5696=$B5697, $A$2:$A5696+$C$2:$C5696)), "")*24*60, "")</f>
        <v/>
      </c>
    </row>
    <row r="5698" spans="1:19" x14ac:dyDescent="0.2">
      <c r="A5698" s="12">
        <f t="shared" ref="A5698:C5698" si="1232">A5697</f>
        <v>45985</v>
      </c>
      <c r="B5698" s="5" t="str">
        <f t="shared" si="1232"/>
        <v>Northern Cardinal</v>
      </c>
      <c r="C5698" s="6">
        <f t="shared" si="1232"/>
        <v>0.29166666666666669</v>
      </c>
      <c r="D5698" s="5"/>
      <c r="E5698" s="5"/>
      <c r="F5698" s="5" t="s">
        <v>8</v>
      </c>
      <c r="G5698" s="15" t="s">
        <v>9</v>
      </c>
      <c r="H5698" s="24">
        <f t="shared" si="1129"/>
        <v>0</v>
      </c>
      <c r="I5698" s="24" cm="1">
        <f t="array" ref="I5698">IFERROR(IF($B5698=I$1, ($A5698+$C5698) - MAX(IF($B$2:$B5697=$B5698, $A$2:$A5697+$C$2:$C5697)), "")*24*60, "")</f>
        <v>0</v>
      </c>
      <c r="J5698" s="24" t="str" cm="1">
        <f t="array" ref="J5698">IFERROR(IF($B5698=J$1, ($A5698+$C5698) - MAX(IF($B$2:$B5697=$B5698, $A$2:$A5697+$C$2:$C5697)), "")*24*60, "")</f>
        <v/>
      </c>
      <c r="K5698" s="24" t="str" cm="1">
        <f t="array" ref="K5698">IFERROR(IF($B5698=K$1, ($A5698+$C5698) - MAX(IF($B$2:$B5697=$B5698, $A$2:$A5697+$C$2:$C5697)), "")*24*60, "")</f>
        <v/>
      </c>
      <c r="L5698" s="24" t="str" cm="1">
        <f t="array" ref="L5698">IFERROR(IF($B5698=L$1, ($A5698+$C5698) - MAX(IF($B$2:$B5697=$B5698, $A$2:$A5697+$C$2:$C5697)), "")*24*60, "")</f>
        <v/>
      </c>
      <c r="M5698" s="24" t="str" cm="1">
        <f t="array" ref="M5698">IFERROR(IF($B5698=M$1, ($A5698+$C5698) - MAX(IF($B$2:$B5697=$B5698, $A$2:$A5697+$C$2:$C5697)), "")*24*60, "")</f>
        <v/>
      </c>
      <c r="N5698" s="24" t="str" cm="1">
        <f t="array" ref="N5698">IFERROR(IF($B5698=N$1, ($A5698+$C5698) - MAX(IF($B$2:$B5697=$B5698, $A$2:$A5697+$C$2:$C5697)), "")*24*60, "")</f>
        <v/>
      </c>
      <c r="O5698" s="24" t="str" cm="1">
        <f t="array" ref="O5698">IFERROR(IF($B5698=O$1, ($A5698+$C5698) - MAX(IF($B$2:$B5697=$B5698, $A$2:$A5697+$C$2:$C5697)), "")*24*60, "")</f>
        <v/>
      </c>
      <c r="P5698" s="24" t="str" cm="1">
        <f t="array" ref="P5698">IFERROR(IF($B5698=P$1, ($A5698+$C5698) - MAX(IF($B$2:$B5697=$B5698, $A$2:$A5697+$C$2:$C5697)), "")*24*60, "")</f>
        <v/>
      </c>
      <c r="Q5698" s="24" t="str" cm="1">
        <f t="array" ref="Q5698">IFERROR(IF($B5698=Q$1, ($A5698+$C5698) - MAX(IF($B$2:$B5697=$B5698, $A$2:$A5697+$C$2:$C5697)), "")*24*60, "")</f>
        <v/>
      </c>
      <c r="R5698" s="24" t="str" cm="1">
        <f t="array" ref="R5698">IFERROR(IF($B5698=R$1, ($A5698+$C5698) - MAX(IF($B$2:$B5697=$B5698, $A$2:$A5697+$C$2:$C5697)), "")*24*60, "")</f>
        <v/>
      </c>
      <c r="S5698" s="24" t="str" cm="1">
        <f t="array" ref="S5698">IFERROR(IF($B5698=S$1, ($A5698+$C5698) - MAX(IF($B$2:$B5697=$B5698, $A$2:$A5697+$C$2:$C5697)), "")*24*60, "")</f>
        <v/>
      </c>
    </row>
    <row r="5699" spans="1:19" x14ac:dyDescent="0.2">
      <c r="A5699" s="12">
        <f t="shared" ref="A5699:C5699" si="1233">A5698</f>
        <v>45985</v>
      </c>
      <c r="B5699" s="5" t="str">
        <f t="shared" si="1233"/>
        <v>Northern Cardinal</v>
      </c>
      <c r="C5699" s="6">
        <f t="shared" si="1233"/>
        <v>0.29166666666666669</v>
      </c>
      <c r="D5699" s="5"/>
      <c r="E5699" s="5"/>
      <c r="F5699" s="5" t="s">
        <v>8</v>
      </c>
      <c r="G5699" s="15" t="s">
        <v>9</v>
      </c>
      <c r="H5699" s="24">
        <f t="shared" si="1129"/>
        <v>0</v>
      </c>
      <c r="I5699" s="24" cm="1">
        <f t="array" ref="I5699">IFERROR(IF($B5699=I$1, ($A5699+$C5699) - MAX(IF($B$2:$B5698=$B5699, $A$2:$A5698+$C$2:$C5698)), "")*24*60, "")</f>
        <v>0</v>
      </c>
      <c r="J5699" s="24" t="str" cm="1">
        <f t="array" ref="J5699">IFERROR(IF($B5699=J$1, ($A5699+$C5699) - MAX(IF($B$2:$B5698=$B5699, $A$2:$A5698+$C$2:$C5698)), "")*24*60, "")</f>
        <v/>
      </c>
      <c r="K5699" s="24" t="str" cm="1">
        <f t="array" ref="K5699">IFERROR(IF($B5699=K$1, ($A5699+$C5699) - MAX(IF($B$2:$B5698=$B5699, $A$2:$A5698+$C$2:$C5698)), "")*24*60, "")</f>
        <v/>
      </c>
      <c r="L5699" s="24" t="str" cm="1">
        <f t="array" ref="L5699">IFERROR(IF($B5699=L$1, ($A5699+$C5699) - MAX(IF($B$2:$B5698=$B5699, $A$2:$A5698+$C$2:$C5698)), "")*24*60, "")</f>
        <v/>
      </c>
      <c r="M5699" s="24" t="str" cm="1">
        <f t="array" ref="M5699">IFERROR(IF($B5699=M$1, ($A5699+$C5699) - MAX(IF($B$2:$B5698=$B5699, $A$2:$A5698+$C$2:$C5698)), "")*24*60, "")</f>
        <v/>
      </c>
      <c r="N5699" s="24" t="str" cm="1">
        <f t="array" ref="N5699">IFERROR(IF($B5699=N$1, ($A5699+$C5699) - MAX(IF($B$2:$B5698=$B5699, $A$2:$A5698+$C$2:$C5698)), "")*24*60, "")</f>
        <v/>
      </c>
      <c r="O5699" s="24" t="str" cm="1">
        <f t="array" ref="O5699">IFERROR(IF($B5699=O$1, ($A5699+$C5699) - MAX(IF($B$2:$B5698=$B5699, $A$2:$A5698+$C$2:$C5698)), "")*24*60, "")</f>
        <v/>
      </c>
      <c r="P5699" s="24" t="str" cm="1">
        <f t="array" ref="P5699">IFERROR(IF($B5699=P$1, ($A5699+$C5699) - MAX(IF($B$2:$B5698=$B5699, $A$2:$A5698+$C$2:$C5698)), "")*24*60, "")</f>
        <v/>
      </c>
      <c r="Q5699" s="24" t="str" cm="1">
        <f t="array" ref="Q5699">IFERROR(IF($B5699=Q$1, ($A5699+$C5699) - MAX(IF($B$2:$B5698=$B5699, $A$2:$A5698+$C$2:$C5698)), "")*24*60, "")</f>
        <v/>
      </c>
      <c r="R5699" s="24" t="str" cm="1">
        <f t="array" ref="R5699">IFERROR(IF($B5699=R$1, ($A5699+$C5699) - MAX(IF($B$2:$B5698=$B5699, $A$2:$A5698+$C$2:$C5698)), "")*24*60, "")</f>
        <v/>
      </c>
      <c r="S5699" s="24" t="str" cm="1">
        <f t="array" ref="S5699">IFERROR(IF($B5699=S$1, ($A5699+$C5699) - MAX(IF($B$2:$B5698=$B5699, $A$2:$A5698+$C$2:$C5698)), "")*24*60, "")</f>
        <v/>
      </c>
    </row>
    <row r="5700" spans="1:19" x14ac:dyDescent="0.2">
      <c r="A5700" s="12">
        <f t="shared" ref="A5700:C5700" si="1234">A5699</f>
        <v>45985</v>
      </c>
      <c r="B5700" s="5" t="str">
        <f t="shared" si="1234"/>
        <v>Northern Cardinal</v>
      </c>
      <c r="C5700" s="6">
        <f t="shared" si="1234"/>
        <v>0.29166666666666669</v>
      </c>
      <c r="D5700" s="5"/>
      <c r="E5700" s="5"/>
      <c r="F5700" s="5" t="s">
        <v>8</v>
      </c>
      <c r="G5700" s="15" t="s">
        <v>9</v>
      </c>
      <c r="H5700" s="24">
        <f t="shared" si="1129"/>
        <v>0</v>
      </c>
      <c r="I5700" s="24" cm="1">
        <f t="array" ref="I5700">IFERROR(IF($B5700=I$1, ($A5700+$C5700) - MAX(IF($B$2:$B5699=$B5700, $A$2:$A5699+$C$2:$C5699)), "")*24*60, "")</f>
        <v>0</v>
      </c>
      <c r="J5700" s="24" t="str" cm="1">
        <f t="array" ref="J5700">IFERROR(IF($B5700=J$1, ($A5700+$C5700) - MAX(IF($B$2:$B5699=$B5700, $A$2:$A5699+$C$2:$C5699)), "")*24*60, "")</f>
        <v/>
      </c>
      <c r="K5700" s="24" t="str" cm="1">
        <f t="array" ref="K5700">IFERROR(IF($B5700=K$1, ($A5700+$C5700) - MAX(IF($B$2:$B5699=$B5700, $A$2:$A5699+$C$2:$C5699)), "")*24*60, "")</f>
        <v/>
      </c>
      <c r="L5700" s="24" t="str" cm="1">
        <f t="array" ref="L5700">IFERROR(IF($B5700=L$1, ($A5700+$C5700) - MAX(IF($B$2:$B5699=$B5700, $A$2:$A5699+$C$2:$C5699)), "")*24*60, "")</f>
        <v/>
      </c>
      <c r="M5700" s="24" t="str" cm="1">
        <f t="array" ref="M5700">IFERROR(IF($B5700=M$1, ($A5700+$C5700) - MAX(IF($B$2:$B5699=$B5700, $A$2:$A5699+$C$2:$C5699)), "")*24*60, "")</f>
        <v/>
      </c>
      <c r="N5700" s="24" t="str" cm="1">
        <f t="array" ref="N5700">IFERROR(IF($B5700=N$1, ($A5700+$C5700) - MAX(IF($B$2:$B5699=$B5700, $A$2:$A5699+$C$2:$C5699)), "")*24*60, "")</f>
        <v/>
      </c>
      <c r="O5700" s="24" t="str" cm="1">
        <f t="array" ref="O5700">IFERROR(IF($B5700=O$1, ($A5700+$C5700) - MAX(IF($B$2:$B5699=$B5700, $A$2:$A5699+$C$2:$C5699)), "")*24*60, "")</f>
        <v/>
      </c>
      <c r="P5700" s="24" t="str" cm="1">
        <f t="array" ref="P5700">IFERROR(IF($B5700=P$1, ($A5700+$C5700) - MAX(IF($B$2:$B5699=$B5700, $A$2:$A5699+$C$2:$C5699)), "")*24*60, "")</f>
        <v/>
      </c>
      <c r="Q5700" s="24" t="str" cm="1">
        <f t="array" ref="Q5700">IFERROR(IF($B5700=Q$1, ($A5700+$C5700) - MAX(IF($B$2:$B5699=$B5700, $A$2:$A5699+$C$2:$C5699)), "")*24*60, "")</f>
        <v/>
      </c>
      <c r="R5700" s="24" t="str" cm="1">
        <f t="array" ref="R5700">IFERROR(IF($B5700=R$1, ($A5700+$C5700) - MAX(IF($B$2:$B5699=$B5700, $A$2:$A5699+$C$2:$C5699)), "")*24*60, "")</f>
        <v/>
      </c>
      <c r="S5700" s="24" t="str" cm="1">
        <f t="array" ref="S5700">IFERROR(IF($B5700=S$1, ($A5700+$C5700) - MAX(IF($B$2:$B5699=$B5700, $A$2:$A5699+$C$2:$C5699)), "")*24*60, "")</f>
        <v/>
      </c>
    </row>
    <row r="5701" spans="1:19" x14ac:dyDescent="0.2">
      <c r="A5701" s="12">
        <f t="shared" ref="A5701:C5701" si="1235">A5700</f>
        <v>45985</v>
      </c>
      <c r="B5701" s="5" t="str">
        <f t="shared" si="1235"/>
        <v>Northern Cardinal</v>
      </c>
      <c r="C5701" s="6">
        <f t="shared" si="1235"/>
        <v>0.29166666666666669</v>
      </c>
      <c r="D5701" s="5"/>
      <c r="E5701" s="5"/>
      <c r="F5701" s="5" t="s">
        <v>8</v>
      </c>
      <c r="G5701" s="15" t="s">
        <v>9</v>
      </c>
      <c r="H5701" s="24">
        <f t="shared" si="1129"/>
        <v>0</v>
      </c>
      <c r="I5701" s="24" cm="1">
        <f t="array" ref="I5701">IFERROR(IF($B5701=I$1, ($A5701+$C5701) - MAX(IF($B$2:$B5700=$B5701, $A$2:$A5700+$C$2:$C5700)), "")*24*60, "")</f>
        <v>0</v>
      </c>
      <c r="J5701" s="24" t="str" cm="1">
        <f t="array" ref="J5701">IFERROR(IF($B5701=J$1, ($A5701+$C5701) - MAX(IF($B$2:$B5700=$B5701, $A$2:$A5700+$C$2:$C5700)), "")*24*60, "")</f>
        <v/>
      </c>
      <c r="K5701" s="24" t="str" cm="1">
        <f t="array" ref="K5701">IFERROR(IF($B5701=K$1, ($A5701+$C5701) - MAX(IF($B$2:$B5700=$B5701, $A$2:$A5700+$C$2:$C5700)), "")*24*60, "")</f>
        <v/>
      </c>
      <c r="L5701" s="24" t="str" cm="1">
        <f t="array" ref="L5701">IFERROR(IF($B5701=L$1, ($A5701+$C5701) - MAX(IF($B$2:$B5700=$B5701, $A$2:$A5700+$C$2:$C5700)), "")*24*60, "")</f>
        <v/>
      </c>
      <c r="M5701" s="24" t="str" cm="1">
        <f t="array" ref="M5701">IFERROR(IF($B5701=M$1, ($A5701+$C5701) - MAX(IF($B$2:$B5700=$B5701, $A$2:$A5700+$C$2:$C5700)), "")*24*60, "")</f>
        <v/>
      </c>
      <c r="N5701" s="24" t="str" cm="1">
        <f t="array" ref="N5701">IFERROR(IF($B5701=N$1, ($A5701+$C5701) - MAX(IF($B$2:$B5700=$B5701, $A$2:$A5700+$C$2:$C5700)), "")*24*60, "")</f>
        <v/>
      </c>
      <c r="O5701" s="24" t="str" cm="1">
        <f t="array" ref="O5701">IFERROR(IF($B5701=O$1, ($A5701+$C5701) - MAX(IF($B$2:$B5700=$B5701, $A$2:$A5700+$C$2:$C5700)), "")*24*60, "")</f>
        <v/>
      </c>
      <c r="P5701" s="24" t="str" cm="1">
        <f t="array" ref="P5701">IFERROR(IF($B5701=P$1, ($A5701+$C5701) - MAX(IF($B$2:$B5700=$B5701, $A$2:$A5700+$C$2:$C5700)), "")*24*60, "")</f>
        <v/>
      </c>
      <c r="Q5701" s="24" t="str" cm="1">
        <f t="array" ref="Q5701">IFERROR(IF($B5701=Q$1, ($A5701+$C5701) - MAX(IF($B$2:$B5700=$B5701, $A$2:$A5700+$C$2:$C5700)), "")*24*60, "")</f>
        <v/>
      </c>
      <c r="R5701" s="24" t="str" cm="1">
        <f t="array" ref="R5701">IFERROR(IF($B5701=R$1, ($A5701+$C5701) - MAX(IF($B$2:$B5700=$B5701, $A$2:$A5700+$C$2:$C5700)), "")*24*60, "")</f>
        <v/>
      </c>
      <c r="S5701" s="24" t="str" cm="1">
        <f t="array" ref="S5701">IFERROR(IF($B5701=S$1, ($A5701+$C5701) - MAX(IF($B$2:$B5700=$B5701, $A$2:$A5700+$C$2:$C5700)), "")*24*60, "")</f>
        <v/>
      </c>
    </row>
    <row r="5702" spans="1:19" x14ac:dyDescent="0.2">
      <c r="A5702" s="12">
        <f t="shared" ref="A5702:C5702" si="1236">A5701</f>
        <v>45985</v>
      </c>
      <c r="B5702" s="5" t="str">
        <f t="shared" si="1236"/>
        <v>Northern Cardinal</v>
      </c>
      <c r="C5702" s="6">
        <f t="shared" si="1236"/>
        <v>0.29166666666666669</v>
      </c>
      <c r="D5702" s="5"/>
      <c r="E5702" s="5"/>
      <c r="F5702" s="5" t="s">
        <v>8</v>
      </c>
      <c r="G5702" s="15" t="s">
        <v>9</v>
      </c>
      <c r="H5702" s="24">
        <f t="shared" si="1129"/>
        <v>0</v>
      </c>
      <c r="I5702" s="24" cm="1">
        <f t="array" ref="I5702">IFERROR(IF($B5702=I$1, ($A5702+$C5702) - MAX(IF($B$2:$B5701=$B5702, $A$2:$A5701+$C$2:$C5701)), "")*24*60, "")</f>
        <v>0</v>
      </c>
      <c r="J5702" s="24" t="str" cm="1">
        <f t="array" ref="J5702">IFERROR(IF($B5702=J$1, ($A5702+$C5702) - MAX(IF($B$2:$B5701=$B5702, $A$2:$A5701+$C$2:$C5701)), "")*24*60, "")</f>
        <v/>
      </c>
      <c r="K5702" s="24" t="str" cm="1">
        <f t="array" ref="K5702">IFERROR(IF($B5702=K$1, ($A5702+$C5702) - MAX(IF($B$2:$B5701=$B5702, $A$2:$A5701+$C$2:$C5701)), "")*24*60, "")</f>
        <v/>
      </c>
      <c r="L5702" s="24" t="str" cm="1">
        <f t="array" ref="L5702">IFERROR(IF($B5702=L$1, ($A5702+$C5702) - MAX(IF($B$2:$B5701=$B5702, $A$2:$A5701+$C$2:$C5701)), "")*24*60, "")</f>
        <v/>
      </c>
      <c r="M5702" s="24" t="str" cm="1">
        <f t="array" ref="M5702">IFERROR(IF($B5702=M$1, ($A5702+$C5702) - MAX(IF($B$2:$B5701=$B5702, $A$2:$A5701+$C$2:$C5701)), "")*24*60, "")</f>
        <v/>
      </c>
      <c r="N5702" s="24" t="str" cm="1">
        <f t="array" ref="N5702">IFERROR(IF($B5702=N$1, ($A5702+$C5702) - MAX(IF($B$2:$B5701=$B5702, $A$2:$A5701+$C$2:$C5701)), "")*24*60, "")</f>
        <v/>
      </c>
      <c r="O5702" s="24" t="str" cm="1">
        <f t="array" ref="O5702">IFERROR(IF($B5702=O$1, ($A5702+$C5702) - MAX(IF($B$2:$B5701=$B5702, $A$2:$A5701+$C$2:$C5701)), "")*24*60, "")</f>
        <v/>
      </c>
      <c r="P5702" s="24" t="str" cm="1">
        <f t="array" ref="P5702">IFERROR(IF($B5702=P$1, ($A5702+$C5702) - MAX(IF($B$2:$B5701=$B5702, $A$2:$A5701+$C$2:$C5701)), "")*24*60, "")</f>
        <v/>
      </c>
      <c r="Q5702" s="24" t="str" cm="1">
        <f t="array" ref="Q5702">IFERROR(IF($B5702=Q$1, ($A5702+$C5702) - MAX(IF($B$2:$B5701=$B5702, $A$2:$A5701+$C$2:$C5701)), "")*24*60, "")</f>
        <v/>
      </c>
      <c r="R5702" s="24" t="str" cm="1">
        <f t="array" ref="R5702">IFERROR(IF($B5702=R$1, ($A5702+$C5702) - MAX(IF($B$2:$B5701=$B5702, $A$2:$A5701+$C$2:$C5701)), "")*24*60, "")</f>
        <v/>
      </c>
      <c r="S5702" s="24" t="str" cm="1">
        <f t="array" ref="S5702">IFERROR(IF($B5702=S$1, ($A5702+$C5702) - MAX(IF($B$2:$B5701=$B5702, $A$2:$A5701+$C$2:$C5701)), "")*24*60, "")</f>
        <v/>
      </c>
    </row>
    <row r="5703" spans="1:19" x14ac:dyDescent="0.2">
      <c r="A5703" s="12">
        <f t="shared" ref="A5703:C5703" si="1237">A5702</f>
        <v>45985</v>
      </c>
      <c r="B5703" s="5" t="str">
        <f t="shared" si="1237"/>
        <v>Northern Cardinal</v>
      </c>
      <c r="C5703" s="6">
        <f t="shared" si="1237"/>
        <v>0.29166666666666669</v>
      </c>
      <c r="D5703" s="5"/>
      <c r="E5703" s="5"/>
      <c r="F5703" s="5" t="s">
        <v>8</v>
      </c>
      <c r="G5703" s="15" t="s">
        <v>9</v>
      </c>
      <c r="H5703" s="24">
        <f t="shared" si="1129"/>
        <v>0</v>
      </c>
      <c r="I5703" s="24" cm="1">
        <f t="array" ref="I5703">IFERROR(IF($B5703=I$1, ($A5703+$C5703) - MAX(IF($B$2:$B5702=$B5703, $A$2:$A5702+$C$2:$C5702)), "")*24*60, "")</f>
        <v>0</v>
      </c>
      <c r="J5703" s="24" t="str" cm="1">
        <f t="array" ref="J5703">IFERROR(IF($B5703=J$1, ($A5703+$C5703) - MAX(IF($B$2:$B5702=$B5703, $A$2:$A5702+$C$2:$C5702)), "")*24*60, "")</f>
        <v/>
      </c>
      <c r="K5703" s="24" t="str" cm="1">
        <f t="array" ref="K5703">IFERROR(IF($B5703=K$1, ($A5703+$C5703) - MAX(IF($B$2:$B5702=$B5703, $A$2:$A5702+$C$2:$C5702)), "")*24*60, "")</f>
        <v/>
      </c>
      <c r="L5703" s="24" t="str" cm="1">
        <f t="array" ref="L5703">IFERROR(IF($B5703=L$1, ($A5703+$C5703) - MAX(IF($B$2:$B5702=$B5703, $A$2:$A5702+$C$2:$C5702)), "")*24*60, "")</f>
        <v/>
      </c>
      <c r="M5703" s="24" t="str" cm="1">
        <f t="array" ref="M5703">IFERROR(IF($B5703=M$1, ($A5703+$C5703) - MAX(IF($B$2:$B5702=$B5703, $A$2:$A5702+$C$2:$C5702)), "")*24*60, "")</f>
        <v/>
      </c>
      <c r="N5703" s="24" t="str" cm="1">
        <f t="array" ref="N5703">IFERROR(IF($B5703=N$1, ($A5703+$C5703) - MAX(IF($B$2:$B5702=$B5703, $A$2:$A5702+$C$2:$C5702)), "")*24*60, "")</f>
        <v/>
      </c>
      <c r="O5703" s="24" t="str" cm="1">
        <f t="array" ref="O5703">IFERROR(IF($B5703=O$1, ($A5703+$C5703) - MAX(IF($B$2:$B5702=$B5703, $A$2:$A5702+$C$2:$C5702)), "")*24*60, "")</f>
        <v/>
      </c>
      <c r="P5703" s="24" t="str" cm="1">
        <f t="array" ref="P5703">IFERROR(IF($B5703=P$1, ($A5703+$C5703) - MAX(IF($B$2:$B5702=$B5703, $A$2:$A5702+$C$2:$C5702)), "")*24*60, "")</f>
        <v/>
      </c>
      <c r="Q5703" s="24" t="str" cm="1">
        <f t="array" ref="Q5703">IFERROR(IF($B5703=Q$1, ($A5703+$C5703) - MAX(IF($B$2:$B5702=$B5703, $A$2:$A5702+$C$2:$C5702)), "")*24*60, "")</f>
        <v/>
      </c>
      <c r="R5703" s="24" t="str" cm="1">
        <f t="array" ref="R5703">IFERROR(IF($B5703=R$1, ($A5703+$C5703) - MAX(IF($B$2:$B5702=$B5703, $A$2:$A5702+$C$2:$C5702)), "")*24*60, "")</f>
        <v/>
      </c>
      <c r="S5703" s="24" t="str" cm="1">
        <f t="array" ref="S5703">IFERROR(IF($B5703=S$1, ($A5703+$C5703) - MAX(IF($B$2:$B5702=$B5703, $A$2:$A5702+$C$2:$C5702)), "")*24*60, "")</f>
        <v/>
      </c>
    </row>
    <row r="5704" spans="1:19" x14ac:dyDescent="0.2">
      <c r="A5704" s="12">
        <f t="shared" ref="A5704:C5704" si="1238">A5703</f>
        <v>45985</v>
      </c>
      <c r="B5704" s="5" t="str">
        <f t="shared" si="1238"/>
        <v>Northern Cardinal</v>
      </c>
      <c r="C5704" s="6">
        <f t="shared" si="1238"/>
        <v>0.29166666666666669</v>
      </c>
      <c r="D5704" s="5"/>
      <c r="E5704" s="5"/>
      <c r="F5704" s="5" t="s">
        <v>8</v>
      </c>
      <c r="G5704" s="15" t="s">
        <v>9</v>
      </c>
      <c r="H5704" s="24">
        <f t="shared" si="1129"/>
        <v>0</v>
      </c>
      <c r="I5704" s="24" cm="1">
        <f t="array" ref="I5704">IFERROR(IF($B5704=I$1, ($A5704+$C5704) - MAX(IF($B$2:$B5703=$B5704, $A$2:$A5703+$C$2:$C5703)), "")*24*60, "")</f>
        <v>0</v>
      </c>
      <c r="J5704" s="24" t="str" cm="1">
        <f t="array" ref="J5704">IFERROR(IF($B5704=J$1, ($A5704+$C5704) - MAX(IF($B$2:$B5703=$B5704, $A$2:$A5703+$C$2:$C5703)), "")*24*60, "")</f>
        <v/>
      </c>
      <c r="K5704" s="24" t="str" cm="1">
        <f t="array" ref="K5704">IFERROR(IF($B5704=K$1, ($A5704+$C5704) - MAX(IF($B$2:$B5703=$B5704, $A$2:$A5703+$C$2:$C5703)), "")*24*60, "")</f>
        <v/>
      </c>
      <c r="L5704" s="24" t="str" cm="1">
        <f t="array" ref="L5704">IFERROR(IF($B5704=L$1, ($A5704+$C5704) - MAX(IF($B$2:$B5703=$B5704, $A$2:$A5703+$C$2:$C5703)), "")*24*60, "")</f>
        <v/>
      </c>
      <c r="M5704" s="24" t="str" cm="1">
        <f t="array" ref="M5704">IFERROR(IF($B5704=M$1, ($A5704+$C5704) - MAX(IF($B$2:$B5703=$B5704, $A$2:$A5703+$C$2:$C5703)), "")*24*60, "")</f>
        <v/>
      </c>
      <c r="N5704" s="24" t="str" cm="1">
        <f t="array" ref="N5704">IFERROR(IF($B5704=N$1, ($A5704+$C5704) - MAX(IF($B$2:$B5703=$B5704, $A$2:$A5703+$C$2:$C5703)), "")*24*60, "")</f>
        <v/>
      </c>
      <c r="O5704" s="24" t="str" cm="1">
        <f t="array" ref="O5704">IFERROR(IF($B5704=O$1, ($A5704+$C5704) - MAX(IF($B$2:$B5703=$B5704, $A$2:$A5703+$C$2:$C5703)), "")*24*60, "")</f>
        <v/>
      </c>
      <c r="P5704" s="24" t="str" cm="1">
        <f t="array" ref="P5704">IFERROR(IF($B5704=P$1, ($A5704+$C5704) - MAX(IF($B$2:$B5703=$B5704, $A$2:$A5703+$C$2:$C5703)), "")*24*60, "")</f>
        <v/>
      </c>
      <c r="Q5704" s="24" t="str" cm="1">
        <f t="array" ref="Q5704">IFERROR(IF($B5704=Q$1, ($A5704+$C5704) - MAX(IF($B$2:$B5703=$B5704, $A$2:$A5703+$C$2:$C5703)), "")*24*60, "")</f>
        <v/>
      </c>
      <c r="R5704" s="24" t="str" cm="1">
        <f t="array" ref="R5704">IFERROR(IF($B5704=R$1, ($A5704+$C5704) - MAX(IF($B$2:$B5703=$B5704, $A$2:$A5703+$C$2:$C5703)), "")*24*60, "")</f>
        <v/>
      </c>
      <c r="S5704" s="24" t="str" cm="1">
        <f t="array" ref="S5704">IFERROR(IF($B5704=S$1, ($A5704+$C5704) - MAX(IF($B$2:$B5703=$B5704, $A$2:$A5703+$C$2:$C5703)), "")*24*60, "")</f>
        <v/>
      </c>
    </row>
    <row r="5705" spans="1:19" x14ac:dyDescent="0.2">
      <c r="A5705" s="12">
        <f t="shared" ref="A5705:C5705" si="1239">A5704</f>
        <v>45985</v>
      </c>
      <c r="B5705" s="5" t="str">
        <f t="shared" si="1239"/>
        <v>Northern Cardinal</v>
      </c>
      <c r="C5705" s="6">
        <f t="shared" si="1239"/>
        <v>0.29166666666666669</v>
      </c>
      <c r="D5705" s="5"/>
      <c r="E5705" s="5"/>
      <c r="F5705" s="5" t="s">
        <v>8</v>
      </c>
      <c r="G5705" s="15" t="s">
        <v>9</v>
      </c>
      <c r="H5705" s="24">
        <f t="shared" si="1129"/>
        <v>0</v>
      </c>
      <c r="I5705" s="24" cm="1">
        <f t="array" ref="I5705">IFERROR(IF($B5705=I$1, ($A5705+$C5705) - MAX(IF($B$2:$B5704=$B5705, $A$2:$A5704+$C$2:$C5704)), "")*24*60, "")</f>
        <v>0</v>
      </c>
      <c r="J5705" s="24" t="str" cm="1">
        <f t="array" ref="J5705">IFERROR(IF($B5705=J$1, ($A5705+$C5705) - MAX(IF($B$2:$B5704=$B5705, $A$2:$A5704+$C$2:$C5704)), "")*24*60, "")</f>
        <v/>
      </c>
      <c r="K5705" s="24" t="str" cm="1">
        <f t="array" ref="K5705">IFERROR(IF($B5705=K$1, ($A5705+$C5705) - MAX(IF($B$2:$B5704=$B5705, $A$2:$A5704+$C$2:$C5704)), "")*24*60, "")</f>
        <v/>
      </c>
      <c r="L5705" s="24" t="str" cm="1">
        <f t="array" ref="L5705">IFERROR(IF($B5705=L$1, ($A5705+$C5705) - MAX(IF($B$2:$B5704=$B5705, $A$2:$A5704+$C$2:$C5704)), "")*24*60, "")</f>
        <v/>
      </c>
      <c r="M5705" s="24" t="str" cm="1">
        <f t="array" ref="M5705">IFERROR(IF($B5705=M$1, ($A5705+$C5705) - MAX(IF($B$2:$B5704=$B5705, $A$2:$A5704+$C$2:$C5704)), "")*24*60, "")</f>
        <v/>
      </c>
      <c r="N5705" s="24" t="str" cm="1">
        <f t="array" ref="N5705">IFERROR(IF($B5705=N$1, ($A5705+$C5705) - MAX(IF($B$2:$B5704=$B5705, $A$2:$A5704+$C$2:$C5704)), "")*24*60, "")</f>
        <v/>
      </c>
      <c r="O5705" s="24" t="str" cm="1">
        <f t="array" ref="O5705">IFERROR(IF($B5705=O$1, ($A5705+$C5705) - MAX(IF($B$2:$B5704=$B5705, $A$2:$A5704+$C$2:$C5704)), "")*24*60, "")</f>
        <v/>
      </c>
      <c r="P5705" s="24" t="str" cm="1">
        <f t="array" ref="P5705">IFERROR(IF($B5705=P$1, ($A5705+$C5705) - MAX(IF($B$2:$B5704=$B5705, $A$2:$A5704+$C$2:$C5704)), "")*24*60, "")</f>
        <v/>
      </c>
      <c r="Q5705" s="24" t="str" cm="1">
        <f t="array" ref="Q5705">IFERROR(IF($B5705=Q$1, ($A5705+$C5705) - MAX(IF($B$2:$B5704=$B5705, $A$2:$A5704+$C$2:$C5704)), "")*24*60, "")</f>
        <v/>
      </c>
      <c r="R5705" s="24" t="str" cm="1">
        <f t="array" ref="R5705">IFERROR(IF($B5705=R$1, ($A5705+$C5705) - MAX(IF($B$2:$B5704=$B5705, $A$2:$A5704+$C$2:$C5704)), "")*24*60, "")</f>
        <v/>
      </c>
      <c r="S5705" s="24" t="str" cm="1">
        <f t="array" ref="S5705">IFERROR(IF($B5705=S$1, ($A5705+$C5705) - MAX(IF($B$2:$B5704=$B5705, $A$2:$A5704+$C$2:$C5704)), "")*24*60, "")</f>
        <v/>
      </c>
    </row>
    <row r="5706" spans="1:19" x14ac:dyDescent="0.2">
      <c r="A5706" s="12">
        <f t="shared" ref="A5706:C5706" si="1240">A5705</f>
        <v>45985</v>
      </c>
      <c r="B5706" s="5" t="str">
        <f t="shared" si="1240"/>
        <v>Northern Cardinal</v>
      </c>
      <c r="C5706" s="6">
        <f t="shared" si="1240"/>
        <v>0.29166666666666669</v>
      </c>
      <c r="D5706" s="5"/>
      <c r="E5706" s="5"/>
      <c r="F5706" s="5" t="s">
        <v>8</v>
      </c>
      <c r="G5706" s="15" t="s">
        <v>9</v>
      </c>
      <c r="H5706" s="24">
        <f t="shared" si="1129"/>
        <v>0</v>
      </c>
      <c r="I5706" s="24" cm="1">
        <f t="array" ref="I5706">IFERROR(IF($B5706=I$1, ($A5706+$C5706) - MAX(IF($B$2:$B5705=$B5706, $A$2:$A5705+$C$2:$C5705)), "")*24*60, "")</f>
        <v>0</v>
      </c>
      <c r="J5706" s="24" t="str" cm="1">
        <f t="array" ref="J5706">IFERROR(IF($B5706=J$1, ($A5706+$C5706) - MAX(IF($B$2:$B5705=$B5706, $A$2:$A5705+$C$2:$C5705)), "")*24*60, "")</f>
        <v/>
      </c>
      <c r="K5706" s="24" t="str" cm="1">
        <f t="array" ref="K5706">IFERROR(IF($B5706=K$1, ($A5706+$C5706) - MAX(IF($B$2:$B5705=$B5706, $A$2:$A5705+$C$2:$C5705)), "")*24*60, "")</f>
        <v/>
      </c>
      <c r="L5706" s="24" t="str" cm="1">
        <f t="array" ref="L5706">IFERROR(IF($B5706=L$1, ($A5706+$C5706) - MAX(IF($B$2:$B5705=$B5706, $A$2:$A5705+$C$2:$C5705)), "")*24*60, "")</f>
        <v/>
      </c>
      <c r="M5706" s="24" t="str" cm="1">
        <f t="array" ref="M5706">IFERROR(IF($B5706=M$1, ($A5706+$C5706) - MAX(IF($B$2:$B5705=$B5706, $A$2:$A5705+$C$2:$C5705)), "")*24*60, "")</f>
        <v/>
      </c>
      <c r="N5706" s="24" t="str" cm="1">
        <f t="array" ref="N5706">IFERROR(IF($B5706=N$1, ($A5706+$C5706) - MAX(IF($B$2:$B5705=$B5706, $A$2:$A5705+$C$2:$C5705)), "")*24*60, "")</f>
        <v/>
      </c>
      <c r="O5706" s="24" t="str" cm="1">
        <f t="array" ref="O5706">IFERROR(IF($B5706=O$1, ($A5706+$C5706) - MAX(IF($B$2:$B5705=$B5706, $A$2:$A5705+$C$2:$C5705)), "")*24*60, "")</f>
        <v/>
      </c>
      <c r="P5706" s="24" t="str" cm="1">
        <f t="array" ref="P5706">IFERROR(IF($B5706=P$1, ($A5706+$C5706) - MAX(IF($B$2:$B5705=$B5706, $A$2:$A5705+$C$2:$C5705)), "")*24*60, "")</f>
        <v/>
      </c>
      <c r="Q5706" s="24" t="str" cm="1">
        <f t="array" ref="Q5706">IFERROR(IF($B5706=Q$1, ($A5706+$C5706) - MAX(IF($B$2:$B5705=$B5706, $A$2:$A5705+$C$2:$C5705)), "")*24*60, "")</f>
        <v/>
      </c>
      <c r="R5706" s="24" t="str" cm="1">
        <f t="array" ref="R5706">IFERROR(IF($B5706=R$1, ($A5706+$C5706) - MAX(IF($B$2:$B5705=$B5706, $A$2:$A5705+$C$2:$C5705)), "")*24*60, "")</f>
        <v/>
      </c>
      <c r="S5706" s="24" t="str" cm="1">
        <f t="array" ref="S5706">IFERROR(IF($B5706=S$1, ($A5706+$C5706) - MAX(IF($B$2:$B5705=$B5706, $A$2:$A5705+$C$2:$C5705)), "")*24*60, "")</f>
        <v/>
      </c>
    </row>
    <row r="5707" spans="1:19" x14ac:dyDescent="0.2">
      <c r="A5707" s="12">
        <f t="shared" ref="A5707:C5707" si="1241">A5706</f>
        <v>45985</v>
      </c>
      <c r="B5707" s="5" t="str">
        <f t="shared" si="1241"/>
        <v>Northern Cardinal</v>
      </c>
      <c r="C5707" s="6">
        <f t="shared" si="1241"/>
        <v>0.29166666666666669</v>
      </c>
      <c r="D5707" s="5"/>
      <c r="E5707" s="5"/>
      <c r="F5707" s="5" t="s">
        <v>8</v>
      </c>
      <c r="G5707" s="15" t="s">
        <v>9</v>
      </c>
      <c r="H5707" s="24">
        <f t="shared" si="1129"/>
        <v>0</v>
      </c>
      <c r="I5707" s="24" cm="1">
        <f t="array" ref="I5707">IFERROR(IF($B5707=I$1, ($A5707+$C5707) - MAX(IF($B$2:$B5706=$B5707, $A$2:$A5706+$C$2:$C5706)), "")*24*60, "")</f>
        <v>0</v>
      </c>
      <c r="J5707" s="24" t="str" cm="1">
        <f t="array" ref="J5707">IFERROR(IF($B5707=J$1, ($A5707+$C5707) - MAX(IF($B$2:$B5706=$B5707, $A$2:$A5706+$C$2:$C5706)), "")*24*60, "")</f>
        <v/>
      </c>
      <c r="K5707" s="24" t="str" cm="1">
        <f t="array" ref="K5707">IFERROR(IF($B5707=K$1, ($A5707+$C5707) - MAX(IF($B$2:$B5706=$B5707, $A$2:$A5706+$C$2:$C5706)), "")*24*60, "")</f>
        <v/>
      </c>
      <c r="L5707" s="24" t="str" cm="1">
        <f t="array" ref="L5707">IFERROR(IF($B5707=L$1, ($A5707+$C5707) - MAX(IF($B$2:$B5706=$B5707, $A$2:$A5706+$C$2:$C5706)), "")*24*60, "")</f>
        <v/>
      </c>
      <c r="M5707" s="24" t="str" cm="1">
        <f t="array" ref="M5707">IFERROR(IF($B5707=M$1, ($A5707+$C5707) - MAX(IF($B$2:$B5706=$B5707, $A$2:$A5706+$C$2:$C5706)), "")*24*60, "")</f>
        <v/>
      </c>
      <c r="N5707" s="24" t="str" cm="1">
        <f t="array" ref="N5707">IFERROR(IF($B5707=N$1, ($A5707+$C5707) - MAX(IF($B$2:$B5706=$B5707, $A$2:$A5706+$C$2:$C5706)), "")*24*60, "")</f>
        <v/>
      </c>
      <c r="O5707" s="24" t="str" cm="1">
        <f t="array" ref="O5707">IFERROR(IF($B5707=O$1, ($A5707+$C5707) - MAX(IF($B$2:$B5706=$B5707, $A$2:$A5706+$C$2:$C5706)), "")*24*60, "")</f>
        <v/>
      </c>
      <c r="P5707" s="24" t="str" cm="1">
        <f t="array" ref="P5707">IFERROR(IF($B5707=P$1, ($A5707+$C5707) - MAX(IF($B$2:$B5706=$B5707, $A$2:$A5706+$C$2:$C5706)), "")*24*60, "")</f>
        <v/>
      </c>
      <c r="Q5707" s="24" t="str" cm="1">
        <f t="array" ref="Q5707">IFERROR(IF($B5707=Q$1, ($A5707+$C5707) - MAX(IF($B$2:$B5706=$B5707, $A$2:$A5706+$C$2:$C5706)), "")*24*60, "")</f>
        <v/>
      </c>
      <c r="R5707" s="24" t="str" cm="1">
        <f t="array" ref="R5707">IFERROR(IF($B5707=R$1, ($A5707+$C5707) - MAX(IF($B$2:$B5706=$B5707, $A$2:$A5706+$C$2:$C5706)), "")*24*60, "")</f>
        <v/>
      </c>
      <c r="S5707" s="24" t="str" cm="1">
        <f t="array" ref="S5707">IFERROR(IF($B5707=S$1, ($A5707+$C5707) - MAX(IF($B$2:$B5706=$B5707, $A$2:$A5706+$C$2:$C5706)), "")*24*60, "")</f>
        <v/>
      </c>
    </row>
    <row r="5708" spans="1:19" x14ac:dyDescent="0.2">
      <c r="A5708" s="12">
        <f t="shared" ref="A5708:C5708" si="1242">A5707</f>
        <v>45985</v>
      </c>
      <c r="B5708" s="5" t="str">
        <f t="shared" si="1242"/>
        <v>Northern Cardinal</v>
      </c>
      <c r="C5708" s="6">
        <f t="shared" si="1242"/>
        <v>0.29166666666666669</v>
      </c>
      <c r="D5708" s="5"/>
      <c r="E5708" s="5"/>
      <c r="F5708" s="5" t="s">
        <v>8</v>
      </c>
      <c r="G5708" s="15" t="s">
        <v>9</v>
      </c>
      <c r="H5708" s="24">
        <f t="shared" si="1129"/>
        <v>0</v>
      </c>
      <c r="I5708" s="24" cm="1">
        <f t="array" ref="I5708">IFERROR(IF($B5708=I$1, ($A5708+$C5708) - MAX(IF($B$2:$B5707=$B5708, $A$2:$A5707+$C$2:$C5707)), "")*24*60, "")</f>
        <v>0</v>
      </c>
      <c r="J5708" s="24" t="str" cm="1">
        <f t="array" ref="J5708">IFERROR(IF($B5708=J$1, ($A5708+$C5708) - MAX(IF($B$2:$B5707=$B5708, $A$2:$A5707+$C$2:$C5707)), "")*24*60, "")</f>
        <v/>
      </c>
      <c r="K5708" s="24" t="str" cm="1">
        <f t="array" ref="K5708">IFERROR(IF($B5708=K$1, ($A5708+$C5708) - MAX(IF($B$2:$B5707=$B5708, $A$2:$A5707+$C$2:$C5707)), "")*24*60, "")</f>
        <v/>
      </c>
      <c r="L5708" s="24" t="str" cm="1">
        <f t="array" ref="L5708">IFERROR(IF($B5708=L$1, ($A5708+$C5708) - MAX(IF($B$2:$B5707=$B5708, $A$2:$A5707+$C$2:$C5707)), "")*24*60, "")</f>
        <v/>
      </c>
      <c r="M5708" s="24" t="str" cm="1">
        <f t="array" ref="M5708">IFERROR(IF($B5708=M$1, ($A5708+$C5708) - MAX(IF($B$2:$B5707=$B5708, $A$2:$A5707+$C$2:$C5707)), "")*24*60, "")</f>
        <v/>
      </c>
      <c r="N5708" s="24" t="str" cm="1">
        <f t="array" ref="N5708">IFERROR(IF($B5708=N$1, ($A5708+$C5708) - MAX(IF($B$2:$B5707=$B5708, $A$2:$A5707+$C$2:$C5707)), "")*24*60, "")</f>
        <v/>
      </c>
      <c r="O5708" s="24" t="str" cm="1">
        <f t="array" ref="O5708">IFERROR(IF($B5708=O$1, ($A5708+$C5708) - MAX(IF($B$2:$B5707=$B5708, $A$2:$A5707+$C$2:$C5707)), "")*24*60, "")</f>
        <v/>
      </c>
      <c r="P5708" s="24" t="str" cm="1">
        <f t="array" ref="P5708">IFERROR(IF($B5708=P$1, ($A5708+$C5708) - MAX(IF($B$2:$B5707=$B5708, $A$2:$A5707+$C$2:$C5707)), "")*24*60, "")</f>
        <v/>
      </c>
      <c r="Q5708" s="24" t="str" cm="1">
        <f t="array" ref="Q5708">IFERROR(IF($B5708=Q$1, ($A5708+$C5708) - MAX(IF($B$2:$B5707=$B5708, $A$2:$A5707+$C$2:$C5707)), "")*24*60, "")</f>
        <v/>
      </c>
      <c r="R5708" s="24" t="str" cm="1">
        <f t="array" ref="R5708">IFERROR(IF($B5708=R$1, ($A5708+$C5708) - MAX(IF($B$2:$B5707=$B5708, $A$2:$A5707+$C$2:$C5707)), "")*24*60, "")</f>
        <v/>
      </c>
      <c r="S5708" s="24" t="str" cm="1">
        <f t="array" ref="S5708">IFERROR(IF($B5708=S$1, ($A5708+$C5708) - MAX(IF($B$2:$B5707=$B5708, $A$2:$A5707+$C$2:$C5707)), "")*24*60, "")</f>
        <v/>
      </c>
    </row>
    <row r="5709" spans="1:19" x14ac:dyDescent="0.2">
      <c r="A5709" s="12">
        <f t="shared" ref="A5709:C5709" si="1243">A5708</f>
        <v>45985</v>
      </c>
      <c r="B5709" s="5" t="str">
        <f t="shared" si="1243"/>
        <v>Northern Cardinal</v>
      </c>
      <c r="C5709" s="6">
        <f t="shared" si="1243"/>
        <v>0.29166666666666669</v>
      </c>
      <c r="D5709" s="5"/>
      <c r="E5709" s="5"/>
      <c r="F5709" s="5" t="s">
        <v>8</v>
      </c>
      <c r="G5709" s="15" t="s">
        <v>9</v>
      </c>
      <c r="H5709" s="24">
        <f t="shared" si="1129"/>
        <v>0</v>
      </c>
      <c r="I5709" s="24" cm="1">
        <f t="array" ref="I5709">IFERROR(IF($B5709=I$1, ($A5709+$C5709) - MAX(IF($B$2:$B5708=$B5709, $A$2:$A5708+$C$2:$C5708)), "")*24*60, "")</f>
        <v>0</v>
      </c>
      <c r="J5709" s="24" t="str" cm="1">
        <f t="array" ref="J5709">IFERROR(IF($B5709=J$1, ($A5709+$C5709) - MAX(IF($B$2:$B5708=$B5709, $A$2:$A5708+$C$2:$C5708)), "")*24*60, "")</f>
        <v/>
      </c>
      <c r="K5709" s="24" t="str" cm="1">
        <f t="array" ref="K5709">IFERROR(IF($B5709=K$1, ($A5709+$C5709) - MAX(IF($B$2:$B5708=$B5709, $A$2:$A5708+$C$2:$C5708)), "")*24*60, "")</f>
        <v/>
      </c>
      <c r="L5709" s="24" t="str" cm="1">
        <f t="array" ref="L5709">IFERROR(IF($B5709=L$1, ($A5709+$C5709) - MAX(IF($B$2:$B5708=$B5709, $A$2:$A5708+$C$2:$C5708)), "")*24*60, "")</f>
        <v/>
      </c>
      <c r="M5709" s="24" t="str" cm="1">
        <f t="array" ref="M5709">IFERROR(IF($B5709=M$1, ($A5709+$C5709) - MAX(IF($B$2:$B5708=$B5709, $A$2:$A5708+$C$2:$C5708)), "")*24*60, "")</f>
        <v/>
      </c>
      <c r="N5709" s="24" t="str" cm="1">
        <f t="array" ref="N5709">IFERROR(IF($B5709=N$1, ($A5709+$C5709) - MAX(IF($B$2:$B5708=$B5709, $A$2:$A5708+$C$2:$C5708)), "")*24*60, "")</f>
        <v/>
      </c>
      <c r="O5709" s="24" t="str" cm="1">
        <f t="array" ref="O5709">IFERROR(IF($B5709=O$1, ($A5709+$C5709) - MAX(IF($B$2:$B5708=$B5709, $A$2:$A5708+$C$2:$C5708)), "")*24*60, "")</f>
        <v/>
      </c>
      <c r="P5709" s="24" t="str" cm="1">
        <f t="array" ref="P5709">IFERROR(IF($B5709=P$1, ($A5709+$C5709) - MAX(IF($B$2:$B5708=$B5709, $A$2:$A5708+$C$2:$C5708)), "")*24*60, "")</f>
        <v/>
      </c>
      <c r="Q5709" s="24" t="str" cm="1">
        <f t="array" ref="Q5709">IFERROR(IF($B5709=Q$1, ($A5709+$C5709) - MAX(IF($B$2:$B5708=$B5709, $A$2:$A5708+$C$2:$C5708)), "")*24*60, "")</f>
        <v/>
      </c>
      <c r="R5709" s="24" t="str" cm="1">
        <f t="array" ref="R5709">IFERROR(IF($B5709=R$1, ($A5709+$C5709) - MAX(IF($B$2:$B5708=$B5709, $A$2:$A5708+$C$2:$C5708)), "")*24*60, "")</f>
        <v/>
      </c>
      <c r="S5709" s="24" t="str" cm="1">
        <f t="array" ref="S5709">IFERROR(IF($B5709=S$1, ($A5709+$C5709) - MAX(IF($B$2:$B5708=$B5709, $A$2:$A5708+$C$2:$C5708)), "")*24*60, "")</f>
        <v/>
      </c>
    </row>
    <row r="5710" spans="1:19" x14ac:dyDescent="0.2">
      <c r="A5710" s="12">
        <f t="shared" ref="A5710:C5710" si="1244">A5709</f>
        <v>45985</v>
      </c>
      <c r="B5710" s="5" t="str">
        <f t="shared" si="1244"/>
        <v>Northern Cardinal</v>
      </c>
      <c r="C5710" s="6">
        <f t="shared" si="1244"/>
        <v>0.29166666666666669</v>
      </c>
      <c r="D5710" s="5"/>
      <c r="E5710" s="5"/>
      <c r="F5710" s="5" t="s">
        <v>8</v>
      </c>
      <c r="G5710" s="15" t="s">
        <v>9</v>
      </c>
      <c r="H5710" s="24">
        <f t="shared" si="1129"/>
        <v>0</v>
      </c>
      <c r="I5710" s="24" cm="1">
        <f t="array" ref="I5710">IFERROR(IF($B5710=I$1, ($A5710+$C5710) - MAX(IF($B$2:$B5709=$B5710, $A$2:$A5709+$C$2:$C5709)), "")*24*60, "")</f>
        <v>0</v>
      </c>
      <c r="J5710" s="24" t="str" cm="1">
        <f t="array" ref="J5710">IFERROR(IF($B5710=J$1, ($A5710+$C5710) - MAX(IF($B$2:$B5709=$B5710, $A$2:$A5709+$C$2:$C5709)), "")*24*60, "")</f>
        <v/>
      </c>
      <c r="K5710" s="24" t="str" cm="1">
        <f t="array" ref="K5710">IFERROR(IF($B5710=K$1, ($A5710+$C5710) - MAX(IF($B$2:$B5709=$B5710, $A$2:$A5709+$C$2:$C5709)), "")*24*60, "")</f>
        <v/>
      </c>
      <c r="L5710" s="24" t="str" cm="1">
        <f t="array" ref="L5710">IFERROR(IF($B5710=L$1, ($A5710+$C5710) - MAX(IF($B$2:$B5709=$B5710, $A$2:$A5709+$C$2:$C5709)), "")*24*60, "")</f>
        <v/>
      </c>
      <c r="M5710" s="24" t="str" cm="1">
        <f t="array" ref="M5710">IFERROR(IF($B5710=M$1, ($A5710+$C5710) - MAX(IF($B$2:$B5709=$B5710, $A$2:$A5709+$C$2:$C5709)), "")*24*60, "")</f>
        <v/>
      </c>
      <c r="N5710" s="24" t="str" cm="1">
        <f t="array" ref="N5710">IFERROR(IF($B5710=N$1, ($A5710+$C5710) - MAX(IF($B$2:$B5709=$B5710, $A$2:$A5709+$C$2:$C5709)), "")*24*60, "")</f>
        <v/>
      </c>
      <c r="O5710" s="24" t="str" cm="1">
        <f t="array" ref="O5710">IFERROR(IF($B5710=O$1, ($A5710+$C5710) - MAX(IF($B$2:$B5709=$B5710, $A$2:$A5709+$C$2:$C5709)), "")*24*60, "")</f>
        <v/>
      </c>
      <c r="P5710" s="24" t="str" cm="1">
        <f t="array" ref="P5710">IFERROR(IF($B5710=P$1, ($A5710+$C5710) - MAX(IF($B$2:$B5709=$B5710, $A$2:$A5709+$C$2:$C5709)), "")*24*60, "")</f>
        <v/>
      </c>
      <c r="Q5710" s="24" t="str" cm="1">
        <f t="array" ref="Q5710">IFERROR(IF($B5710=Q$1, ($A5710+$C5710) - MAX(IF($B$2:$B5709=$B5710, $A$2:$A5709+$C$2:$C5709)), "")*24*60, "")</f>
        <v/>
      </c>
      <c r="R5710" s="24" t="str" cm="1">
        <f t="array" ref="R5710">IFERROR(IF($B5710=R$1, ($A5710+$C5710) - MAX(IF($B$2:$B5709=$B5710, $A$2:$A5709+$C$2:$C5709)), "")*24*60, "")</f>
        <v/>
      </c>
      <c r="S5710" s="24" t="str" cm="1">
        <f t="array" ref="S5710">IFERROR(IF($B5710=S$1, ($A5710+$C5710) - MAX(IF($B$2:$B5709=$B5710, $A$2:$A5709+$C$2:$C5709)), "")*24*60, "")</f>
        <v/>
      </c>
    </row>
    <row r="5711" spans="1:19" x14ac:dyDescent="0.2">
      <c r="A5711" s="12">
        <f t="shared" ref="A5711:C5711" si="1245">A5710</f>
        <v>45985</v>
      </c>
      <c r="B5711" s="5" t="str">
        <f t="shared" si="1245"/>
        <v>Northern Cardinal</v>
      </c>
      <c r="C5711" s="6">
        <f t="shared" si="1245"/>
        <v>0.29166666666666669</v>
      </c>
      <c r="D5711" s="5"/>
      <c r="E5711" s="5"/>
      <c r="F5711" s="5" t="s">
        <v>8</v>
      </c>
      <c r="G5711" s="15" t="s">
        <v>9</v>
      </c>
      <c r="H5711" s="24">
        <f t="shared" si="1129"/>
        <v>0</v>
      </c>
      <c r="I5711" s="24" cm="1">
        <f t="array" ref="I5711">IFERROR(IF($B5711=I$1, ($A5711+$C5711) - MAX(IF($B$2:$B5710=$B5711, $A$2:$A5710+$C$2:$C5710)), "")*24*60, "")</f>
        <v>0</v>
      </c>
      <c r="J5711" s="24" t="str" cm="1">
        <f t="array" ref="J5711">IFERROR(IF($B5711=J$1, ($A5711+$C5711) - MAX(IF($B$2:$B5710=$B5711, $A$2:$A5710+$C$2:$C5710)), "")*24*60, "")</f>
        <v/>
      </c>
      <c r="K5711" s="24" t="str" cm="1">
        <f t="array" ref="K5711">IFERROR(IF($B5711=K$1, ($A5711+$C5711) - MAX(IF($B$2:$B5710=$B5711, $A$2:$A5710+$C$2:$C5710)), "")*24*60, "")</f>
        <v/>
      </c>
      <c r="L5711" s="24" t="str" cm="1">
        <f t="array" ref="L5711">IFERROR(IF($B5711=L$1, ($A5711+$C5711) - MAX(IF($B$2:$B5710=$B5711, $A$2:$A5710+$C$2:$C5710)), "")*24*60, "")</f>
        <v/>
      </c>
      <c r="M5711" s="24" t="str" cm="1">
        <f t="array" ref="M5711">IFERROR(IF($B5711=M$1, ($A5711+$C5711) - MAX(IF($B$2:$B5710=$B5711, $A$2:$A5710+$C$2:$C5710)), "")*24*60, "")</f>
        <v/>
      </c>
      <c r="N5711" s="24" t="str" cm="1">
        <f t="array" ref="N5711">IFERROR(IF($B5711=N$1, ($A5711+$C5711) - MAX(IF($B$2:$B5710=$B5711, $A$2:$A5710+$C$2:$C5710)), "")*24*60, "")</f>
        <v/>
      </c>
      <c r="O5711" s="24" t="str" cm="1">
        <f t="array" ref="O5711">IFERROR(IF($B5711=O$1, ($A5711+$C5711) - MAX(IF($B$2:$B5710=$B5711, $A$2:$A5710+$C$2:$C5710)), "")*24*60, "")</f>
        <v/>
      </c>
      <c r="P5711" s="24" t="str" cm="1">
        <f t="array" ref="P5711">IFERROR(IF($B5711=P$1, ($A5711+$C5711) - MAX(IF($B$2:$B5710=$B5711, $A$2:$A5710+$C$2:$C5710)), "")*24*60, "")</f>
        <v/>
      </c>
      <c r="Q5711" s="24" t="str" cm="1">
        <f t="array" ref="Q5711">IFERROR(IF($B5711=Q$1, ($A5711+$C5711) - MAX(IF($B$2:$B5710=$B5711, $A$2:$A5710+$C$2:$C5710)), "")*24*60, "")</f>
        <v/>
      </c>
      <c r="R5711" s="24" t="str" cm="1">
        <f t="array" ref="R5711">IFERROR(IF($B5711=R$1, ($A5711+$C5711) - MAX(IF($B$2:$B5710=$B5711, $A$2:$A5710+$C$2:$C5710)), "")*24*60, "")</f>
        <v/>
      </c>
      <c r="S5711" s="24" t="str" cm="1">
        <f t="array" ref="S5711">IFERROR(IF($B5711=S$1, ($A5711+$C5711) - MAX(IF($B$2:$B5710=$B5711, $A$2:$A5710+$C$2:$C5710)), "")*24*60, "")</f>
        <v/>
      </c>
    </row>
    <row r="5712" spans="1:19" x14ac:dyDescent="0.2">
      <c r="A5712" s="12">
        <f t="shared" ref="A5712:C5712" si="1246">A5711</f>
        <v>45985</v>
      </c>
      <c r="B5712" s="5" t="str">
        <f t="shared" si="1246"/>
        <v>Northern Cardinal</v>
      </c>
      <c r="C5712" s="6">
        <f t="shared" si="1246"/>
        <v>0.29166666666666669</v>
      </c>
      <c r="D5712" s="5"/>
      <c r="E5712" s="5"/>
      <c r="F5712" s="5" t="s">
        <v>8</v>
      </c>
      <c r="G5712" s="15" t="s">
        <v>9</v>
      </c>
      <c r="H5712" s="24">
        <f t="shared" si="1129"/>
        <v>0</v>
      </c>
      <c r="I5712" s="24" cm="1">
        <f t="array" ref="I5712">IFERROR(IF($B5712=I$1, ($A5712+$C5712) - MAX(IF($B$2:$B5711=$B5712, $A$2:$A5711+$C$2:$C5711)), "")*24*60, "")</f>
        <v>0</v>
      </c>
      <c r="J5712" s="24" t="str" cm="1">
        <f t="array" ref="J5712">IFERROR(IF($B5712=J$1, ($A5712+$C5712) - MAX(IF($B$2:$B5711=$B5712, $A$2:$A5711+$C$2:$C5711)), "")*24*60, "")</f>
        <v/>
      </c>
      <c r="K5712" s="24" t="str" cm="1">
        <f t="array" ref="K5712">IFERROR(IF($B5712=K$1, ($A5712+$C5712) - MAX(IF($B$2:$B5711=$B5712, $A$2:$A5711+$C$2:$C5711)), "")*24*60, "")</f>
        <v/>
      </c>
      <c r="L5712" s="24" t="str" cm="1">
        <f t="array" ref="L5712">IFERROR(IF($B5712=L$1, ($A5712+$C5712) - MAX(IF($B$2:$B5711=$B5712, $A$2:$A5711+$C$2:$C5711)), "")*24*60, "")</f>
        <v/>
      </c>
      <c r="M5712" s="24" t="str" cm="1">
        <f t="array" ref="M5712">IFERROR(IF($B5712=M$1, ($A5712+$C5712) - MAX(IF($B$2:$B5711=$B5712, $A$2:$A5711+$C$2:$C5711)), "")*24*60, "")</f>
        <v/>
      </c>
      <c r="N5712" s="24" t="str" cm="1">
        <f t="array" ref="N5712">IFERROR(IF($B5712=N$1, ($A5712+$C5712) - MAX(IF($B$2:$B5711=$B5712, $A$2:$A5711+$C$2:$C5711)), "")*24*60, "")</f>
        <v/>
      </c>
      <c r="O5712" s="24" t="str" cm="1">
        <f t="array" ref="O5712">IFERROR(IF($B5712=O$1, ($A5712+$C5712) - MAX(IF($B$2:$B5711=$B5712, $A$2:$A5711+$C$2:$C5711)), "")*24*60, "")</f>
        <v/>
      </c>
      <c r="P5712" s="24" t="str" cm="1">
        <f t="array" ref="P5712">IFERROR(IF($B5712=P$1, ($A5712+$C5712) - MAX(IF($B$2:$B5711=$B5712, $A$2:$A5711+$C$2:$C5711)), "")*24*60, "")</f>
        <v/>
      </c>
      <c r="Q5712" s="24" t="str" cm="1">
        <f t="array" ref="Q5712">IFERROR(IF($B5712=Q$1, ($A5712+$C5712) - MAX(IF($B$2:$B5711=$B5712, $A$2:$A5711+$C$2:$C5711)), "")*24*60, "")</f>
        <v/>
      </c>
      <c r="R5712" s="24" t="str" cm="1">
        <f t="array" ref="R5712">IFERROR(IF($B5712=R$1, ($A5712+$C5712) - MAX(IF($B$2:$B5711=$B5712, $A$2:$A5711+$C$2:$C5711)), "")*24*60, "")</f>
        <v/>
      </c>
      <c r="S5712" s="24" t="str" cm="1">
        <f t="array" ref="S5712">IFERROR(IF($B5712=S$1, ($A5712+$C5712) - MAX(IF($B$2:$B5711=$B5712, $A$2:$A5711+$C$2:$C5711)), "")*24*60, "")</f>
        <v/>
      </c>
    </row>
    <row r="5713" spans="1:19" x14ac:dyDescent="0.2">
      <c r="A5713" s="12">
        <f t="shared" ref="A5713:C5713" si="1247">A5712</f>
        <v>45985</v>
      </c>
      <c r="B5713" s="5" t="str">
        <f t="shared" si="1247"/>
        <v>Northern Cardinal</v>
      </c>
      <c r="C5713" s="6">
        <f t="shared" si="1247"/>
        <v>0.29166666666666669</v>
      </c>
      <c r="D5713" s="5"/>
      <c r="E5713" s="5"/>
      <c r="F5713" s="5" t="s">
        <v>8</v>
      </c>
      <c r="G5713" s="15" t="s">
        <v>9</v>
      </c>
      <c r="H5713" s="24">
        <f t="shared" si="1129"/>
        <v>0</v>
      </c>
      <c r="I5713" s="24" cm="1">
        <f t="array" ref="I5713">IFERROR(IF($B5713=I$1, ($A5713+$C5713) - MAX(IF($B$2:$B5712=$B5713, $A$2:$A5712+$C$2:$C5712)), "")*24*60, "")</f>
        <v>0</v>
      </c>
      <c r="J5713" s="24" t="str" cm="1">
        <f t="array" ref="J5713">IFERROR(IF($B5713=J$1, ($A5713+$C5713) - MAX(IF($B$2:$B5712=$B5713, $A$2:$A5712+$C$2:$C5712)), "")*24*60, "")</f>
        <v/>
      </c>
      <c r="K5713" s="24" t="str" cm="1">
        <f t="array" ref="K5713">IFERROR(IF($B5713=K$1, ($A5713+$C5713) - MAX(IF($B$2:$B5712=$B5713, $A$2:$A5712+$C$2:$C5712)), "")*24*60, "")</f>
        <v/>
      </c>
      <c r="L5713" s="24" t="str" cm="1">
        <f t="array" ref="L5713">IFERROR(IF($B5713=L$1, ($A5713+$C5713) - MAX(IF($B$2:$B5712=$B5713, $A$2:$A5712+$C$2:$C5712)), "")*24*60, "")</f>
        <v/>
      </c>
      <c r="M5713" s="24" t="str" cm="1">
        <f t="array" ref="M5713">IFERROR(IF($B5713=M$1, ($A5713+$C5713) - MAX(IF($B$2:$B5712=$B5713, $A$2:$A5712+$C$2:$C5712)), "")*24*60, "")</f>
        <v/>
      </c>
      <c r="N5713" s="24" t="str" cm="1">
        <f t="array" ref="N5713">IFERROR(IF($B5713=N$1, ($A5713+$C5713) - MAX(IF($B$2:$B5712=$B5713, $A$2:$A5712+$C$2:$C5712)), "")*24*60, "")</f>
        <v/>
      </c>
      <c r="O5713" s="24" t="str" cm="1">
        <f t="array" ref="O5713">IFERROR(IF($B5713=O$1, ($A5713+$C5713) - MAX(IF($B$2:$B5712=$B5713, $A$2:$A5712+$C$2:$C5712)), "")*24*60, "")</f>
        <v/>
      </c>
      <c r="P5713" s="24" t="str" cm="1">
        <f t="array" ref="P5713">IFERROR(IF($B5713=P$1, ($A5713+$C5713) - MAX(IF($B$2:$B5712=$B5713, $A$2:$A5712+$C$2:$C5712)), "")*24*60, "")</f>
        <v/>
      </c>
      <c r="Q5713" s="24" t="str" cm="1">
        <f t="array" ref="Q5713">IFERROR(IF($B5713=Q$1, ($A5713+$C5713) - MAX(IF($B$2:$B5712=$B5713, $A$2:$A5712+$C$2:$C5712)), "")*24*60, "")</f>
        <v/>
      </c>
      <c r="R5713" s="24" t="str" cm="1">
        <f t="array" ref="R5713">IFERROR(IF($B5713=R$1, ($A5713+$C5713) - MAX(IF($B$2:$B5712=$B5713, $A$2:$A5712+$C$2:$C5712)), "")*24*60, "")</f>
        <v/>
      </c>
      <c r="S5713" s="24" t="str" cm="1">
        <f t="array" ref="S5713">IFERROR(IF($B5713=S$1, ($A5713+$C5713) - MAX(IF($B$2:$B5712=$B5713, $A$2:$A5712+$C$2:$C5712)), "")*24*60, "")</f>
        <v/>
      </c>
    </row>
    <row r="5714" spans="1:19" x14ac:dyDescent="0.2">
      <c r="A5714" s="12">
        <f t="shared" ref="A5714:C5714" si="1248">A5713</f>
        <v>45985</v>
      </c>
      <c r="B5714" s="5" t="str">
        <f t="shared" si="1248"/>
        <v>Northern Cardinal</v>
      </c>
      <c r="C5714" s="6">
        <f t="shared" si="1248"/>
        <v>0.29166666666666669</v>
      </c>
      <c r="D5714" s="5"/>
      <c r="E5714" s="5"/>
      <c r="F5714" s="5" t="s">
        <v>8</v>
      </c>
      <c r="G5714" s="15" t="s">
        <v>9</v>
      </c>
      <c r="H5714" s="24">
        <f t="shared" si="1129"/>
        <v>0</v>
      </c>
      <c r="I5714" s="24" cm="1">
        <f t="array" ref="I5714">IFERROR(IF($B5714=I$1, ($A5714+$C5714) - MAX(IF($B$2:$B5713=$B5714, $A$2:$A5713+$C$2:$C5713)), "")*24*60, "")</f>
        <v>0</v>
      </c>
      <c r="J5714" s="24" t="str" cm="1">
        <f t="array" ref="J5714">IFERROR(IF($B5714=J$1, ($A5714+$C5714) - MAX(IF($B$2:$B5713=$B5714, $A$2:$A5713+$C$2:$C5713)), "")*24*60, "")</f>
        <v/>
      </c>
      <c r="K5714" s="24" t="str" cm="1">
        <f t="array" ref="K5714">IFERROR(IF($B5714=K$1, ($A5714+$C5714) - MAX(IF($B$2:$B5713=$B5714, $A$2:$A5713+$C$2:$C5713)), "")*24*60, "")</f>
        <v/>
      </c>
      <c r="L5714" s="24" t="str" cm="1">
        <f t="array" ref="L5714">IFERROR(IF($B5714=L$1, ($A5714+$C5714) - MAX(IF($B$2:$B5713=$B5714, $A$2:$A5713+$C$2:$C5713)), "")*24*60, "")</f>
        <v/>
      </c>
      <c r="M5714" s="24" t="str" cm="1">
        <f t="array" ref="M5714">IFERROR(IF($B5714=M$1, ($A5714+$C5714) - MAX(IF($B$2:$B5713=$B5714, $A$2:$A5713+$C$2:$C5713)), "")*24*60, "")</f>
        <v/>
      </c>
      <c r="N5714" s="24" t="str" cm="1">
        <f t="array" ref="N5714">IFERROR(IF($B5714=N$1, ($A5714+$C5714) - MAX(IF($B$2:$B5713=$B5714, $A$2:$A5713+$C$2:$C5713)), "")*24*60, "")</f>
        <v/>
      </c>
      <c r="O5714" s="24" t="str" cm="1">
        <f t="array" ref="O5714">IFERROR(IF($B5714=O$1, ($A5714+$C5714) - MAX(IF($B$2:$B5713=$B5714, $A$2:$A5713+$C$2:$C5713)), "")*24*60, "")</f>
        <v/>
      </c>
      <c r="P5714" s="24" t="str" cm="1">
        <f t="array" ref="P5714">IFERROR(IF($B5714=P$1, ($A5714+$C5714) - MAX(IF($B$2:$B5713=$B5714, $A$2:$A5713+$C$2:$C5713)), "")*24*60, "")</f>
        <v/>
      </c>
      <c r="Q5714" s="24" t="str" cm="1">
        <f t="array" ref="Q5714">IFERROR(IF($B5714=Q$1, ($A5714+$C5714) - MAX(IF($B$2:$B5713=$B5714, $A$2:$A5713+$C$2:$C5713)), "")*24*60, "")</f>
        <v/>
      </c>
      <c r="R5714" s="24" t="str" cm="1">
        <f t="array" ref="R5714">IFERROR(IF($B5714=R$1, ($A5714+$C5714) - MAX(IF($B$2:$B5713=$B5714, $A$2:$A5713+$C$2:$C5713)), "")*24*60, "")</f>
        <v/>
      </c>
      <c r="S5714" s="24" t="str" cm="1">
        <f t="array" ref="S5714">IFERROR(IF($B5714=S$1, ($A5714+$C5714) - MAX(IF($B$2:$B5713=$B5714, $A$2:$A5713+$C$2:$C5713)), "")*24*60, "")</f>
        <v/>
      </c>
    </row>
    <row r="5715" spans="1:19" x14ac:dyDescent="0.2">
      <c r="A5715" s="12">
        <f t="shared" ref="A5715:C5715" si="1249">A5714</f>
        <v>45985</v>
      </c>
      <c r="B5715" s="5" t="str">
        <f t="shared" si="1249"/>
        <v>Northern Cardinal</v>
      </c>
      <c r="C5715" s="6">
        <f t="shared" si="1249"/>
        <v>0.29166666666666669</v>
      </c>
      <c r="D5715" s="5"/>
      <c r="E5715" s="5"/>
      <c r="F5715" s="5" t="s">
        <v>8</v>
      </c>
      <c r="G5715" s="15" t="s">
        <v>9</v>
      </c>
      <c r="H5715" s="24">
        <f t="shared" si="1129"/>
        <v>0</v>
      </c>
      <c r="I5715" s="24" cm="1">
        <f t="array" ref="I5715">IFERROR(IF($B5715=I$1, ($A5715+$C5715) - MAX(IF($B$2:$B5714=$B5715, $A$2:$A5714+$C$2:$C5714)), "")*24*60, "")</f>
        <v>0</v>
      </c>
      <c r="J5715" s="24" t="str" cm="1">
        <f t="array" ref="J5715">IFERROR(IF($B5715=J$1, ($A5715+$C5715) - MAX(IF($B$2:$B5714=$B5715, $A$2:$A5714+$C$2:$C5714)), "")*24*60, "")</f>
        <v/>
      </c>
      <c r="K5715" s="24" t="str" cm="1">
        <f t="array" ref="K5715">IFERROR(IF($B5715=K$1, ($A5715+$C5715) - MAX(IF($B$2:$B5714=$B5715, $A$2:$A5714+$C$2:$C5714)), "")*24*60, "")</f>
        <v/>
      </c>
      <c r="L5715" s="24" t="str" cm="1">
        <f t="array" ref="L5715">IFERROR(IF($B5715=L$1, ($A5715+$C5715) - MAX(IF($B$2:$B5714=$B5715, $A$2:$A5714+$C$2:$C5714)), "")*24*60, "")</f>
        <v/>
      </c>
      <c r="M5715" s="24" t="str" cm="1">
        <f t="array" ref="M5715">IFERROR(IF($B5715=M$1, ($A5715+$C5715) - MAX(IF($B$2:$B5714=$B5715, $A$2:$A5714+$C$2:$C5714)), "")*24*60, "")</f>
        <v/>
      </c>
      <c r="N5715" s="24" t="str" cm="1">
        <f t="array" ref="N5715">IFERROR(IF($B5715=N$1, ($A5715+$C5715) - MAX(IF($B$2:$B5714=$B5715, $A$2:$A5714+$C$2:$C5714)), "")*24*60, "")</f>
        <v/>
      </c>
      <c r="O5715" s="24" t="str" cm="1">
        <f t="array" ref="O5715">IFERROR(IF($B5715=O$1, ($A5715+$C5715) - MAX(IF($B$2:$B5714=$B5715, $A$2:$A5714+$C$2:$C5714)), "")*24*60, "")</f>
        <v/>
      </c>
      <c r="P5715" s="24" t="str" cm="1">
        <f t="array" ref="P5715">IFERROR(IF($B5715=P$1, ($A5715+$C5715) - MAX(IF($B$2:$B5714=$B5715, $A$2:$A5714+$C$2:$C5714)), "")*24*60, "")</f>
        <v/>
      </c>
      <c r="Q5715" s="24" t="str" cm="1">
        <f t="array" ref="Q5715">IFERROR(IF($B5715=Q$1, ($A5715+$C5715) - MAX(IF($B$2:$B5714=$B5715, $A$2:$A5714+$C$2:$C5714)), "")*24*60, "")</f>
        <v/>
      </c>
      <c r="R5715" s="24" t="str" cm="1">
        <f t="array" ref="R5715">IFERROR(IF($B5715=R$1, ($A5715+$C5715) - MAX(IF($B$2:$B5714=$B5715, $A$2:$A5714+$C$2:$C5714)), "")*24*60, "")</f>
        <v/>
      </c>
      <c r="S5715" s="24" t="str" cm="1">
        <f t="array" ref="S5715">IFERROR(IF($B5715=S$1, ($A5715+$C5715) - MAX(IF($B$2:$B5714=$B5715, $A$2:$A5714+$C$2:$C5714)), "")*24*60, "")</f>
        <v/>
      </c>
    </row>
    <row r="5716" spans="1:19" x14ac:dyDescent="0.2">
      <c r="A5716" s="12">
        <f t="shared" ref="A5716:C5716" si="1250">A5715</f>
        <v>45985</v>
      </c>
      <c r="B5716" s="5" t="str">
        <f t="shared" si="1250"/>
        <v>Northern Cardinal</v>
      </c>
      <c r="C5716" s="6">
        <f t="shared" si="1250"/>
        <v>0.29166666666666669</v>
      </c>
      <c r="D5716" s="5"/>
      <c r="E5716" s="5"/>
      <c r="F5716" s="5" t="s">
        <v>8</v>
      </c>
      <c r="G5716" s="15" t="s">
        <v>9</v>
      </c>
      <c r="H5716" s="24">
        <f t="shared" si="1129"/>
        <v>0</v>
      </c>
      <c r="I5716" s="24" cm="1">
        <f t="array" ref="I5716">IFERROR(IF($B5716=I$1, ($A5716+$C5716) - MAX(IF($B$2:$B5715=$B5716, $A$2:$A5715+$C$2:$C5715)), "")*24*60, "")</f>
        <v>0</v>
      </c>
      <c r="J5716" s="24" t="str" cm="1">
        <f t="array" ref="J5716">IFERROR(IF($B5716=J$1, ($A5716+$C5716) - MAX(IF($B$2:$B5715=$B5716, $A$2:$A5715+$C$2:$C5715)), "")*24*60, "")</f>
        <v/>
      </c>
      <c r="K5716" s="24" t="str" cm="1">
        <f t="array" ref="K5716">IFERROR(IF($B5716=K$1, ($A5716+$C5716) - MAX(IF($B$2:$B5715=$B5716, $A$2:$A5715+$C$2:$C5715)), "")*24*60, "")</f>
        <v/>
      </c>
      <c r="L5716" s="24" t="str" cm="1">
        <f t="array" ref="L5716">IFERROR(IF($B5716=L$1, ($A5716+$C5716) - MAX(IF($B$2:$B5715=$B5716, $A$2:$A5715+$C$2:$C5715)), "")*24*60, "")</f>
        <v/>
      </c>
      <c r="M5716" s="24" t="str" cm="1">
        <f t="array" ref="M5716">IFERROR(IF($B5716=M$1, ($A5716+$C5716) - MAX(IF($B$2:$B5715=$B5716, $A$2:$A5715+$C$2:$C5715)), "")*24*60, "")</f>
        <v/>
      </c>
      <c r="N5716" s="24" t="str" cm="1">
        <f t="array" ref="N5716">IFERROR(IF($B5716=N$1, ($A5716+$C5716) - MAX(IF($B$2:$B5715=$B5716, $A$2:$A5715+$C$2:$C5715)), "")*24*60, "")</f>
        <v/>
      </c>
      <c r="O5716" s="24" t="str" cm="1">
        <f t="array" ref="O5716">IFERROR(IF($B5716=O$1, ($A5716+$C5716) - MAX(IF($B$2:$B5715=$B5716, $A$2:$A5715+$C$2:$C5715)), "")*24*60, "")</f>
        <v/>
      </c>
      <c r="P5716" s="24" t="str" cm="1">
        <f t="array" ref="P5716">IFERROR(IF($B5716=P$1, ($A5716+$C5716) - MAX(IF($B$2:$B5715=$B5716, $A$2:$A5715+$C$2:$C5715)), "")*24*60, "")</f>
        <v/>
      </c>
      <c r="Q5716" s="24" t="str" cm="1">
        <f t="array" ref="Q5716">IFERROR(IF($B5716=Q$1, ($A5716+$C5716) - MAX(IF($B$2:$B5715=$B5716, $A$2:$A5715+$C$2:$C5715)), "")*24*60, "")</f>
        <v/>
      </c>
      <c r="R5716" s="24" t="str" cm="1">
        <f t="array" ref="R5716">IFERROR(IF($B5716=R$1, ($A5716+$C5716) - MAX(IF($B$2:$B5715=$B5716, $A$2:$A5715+$C$2:$C5715)), "")*24*60, "")</f>
        <v/>
      </c>
      <c r="S5716" s="24" t="str" cm="1">
        <f t="array" ref="S5716">IFERROR(IF($B5716=S$1, ($A5716+$C5716) - MAX(IF($B$2:$B5715=$B5716, $A$2:$A5715+$C$2:$C5715)), "")*24*60, "")</f>
        <v/>
      </c>
    </row>
    <row r="5717" spans="1:19" x14ac:dyDescent="0.2">
      <c r="A5717" s="12">
        <f t="shared" ref="A5717:C5717" si="1251">A5716</f>
        <v>45985</v>
      </c>
      <c r="B5717" s="5" t="str">
        <f t="shared" si="1251"/>
        <v>Northern Cardinal</v>
      </c>
      <c r="C5717" s="6">
        <f t="shared" si="1251"/>
        <v>0.29166666666666669</v>
      </c>
      <c r="D5717" s="5"/>
      <c r="E5717" s="5"/>
      <c r="F5717" s="5" t="s">
        <v>8</v>
      </c>
      <c r="G5717" s="15" t="s">
        <v>9</v>
      </c>
      <c r="H5717" s="24">
        <f t="shared" si="1129"/>
        <v>0</v>
      </c>
      <c r="I5717" s="24" cm="1">
        <f t="array" ref="I5717">IFERROR(IF($B5717=I$1, ($A5717+$C5717) - MAX(IF($B$2:$B5716=$B5717, $A$2:$A5716+$C$2:$C5716)), "")*24*60, "")</f>
        <v>0</v>
      </c>
      <c r="J5717" s="24" t="str" cm="1">
        <f t="array" ref="J5717">IFERROR(IF($B5717=J$1, ($A5717+$C5717) - MAX(IF($B$2:$B5716=$B5717, $A$2:$A5716+$C$2:$C5716)), "")*24*60, "")</f>
        <v/>
      </c>
      <c r="K5717" s="24" t="str" cm="1">
        <f t="array" ref="K5717">IFERROR(IF($B5717=K$1, ($A5717+$C5717) - MAX(IF($B$2:$B5716=$B5717, $A$2:$A5716+$C$2:$C5716)), "")*24*60, "")</f>
        <v/>
      </c>
      <c r="L5717" s="24" t="str" cm="1">
        <f t="array" ref="L5717">IFERROR(IF($B5717=L$1, ($A5717+$C5717) - MAX(IF($B$2:$B5716=$B5717, $A$2:$A5716+$C$2:$C5716)), "")*24*60, "")</f>
        <v/>
      </c>
      <c r="M5717" s="24" t="str" cm="1">
        <f t="array" ref="M5717">IFERROR(IF($B5717=M$1, ($A5717+$C5717) - MAX(IF($B$2:$B5716=$B5717, $A$2:$A5716+$C$2:$C5716)), "")*24*60, "")</f>
        <v/>
      </c>
      <c r="N5717" s="24" t="str" cm="1">
        <f t="array" ref="N5717">IFERROR(IF($B5717=N$1, ($A5717+$C5717) - MAX(IF($B$2:$B5716=$B5717, $A$2:$A5716+$C$2:$C5716)), "")*24*60, "")</f>
        <v/>
      </c>
      <c r="O5717" s="24" t="str" cm="1">
        <f t="array" ref="O5717">IFERROR(IF($B5717=O$1, ($A5717+$C5717) - MAX(IF($B$2:$B5716=$B5717, $A$2:$A5716+$C$2:$C5716)), "")*24*60, "")</f>
        <v/>
      </c>
      <c r="P5717" s="24" t="str" cm="1">
        <f t="array" ref="P5717">IFERROR(IF($B5717=P$1, ($A5717+$C5717) - MAX(IF($B$2:$B5716=$B5717, $A$2:$A5716+$C$2:$C5716)), "")*24*60, "")</f>
        <v/>
      </c>
      <c r="Q5717" s="24" t="str" cm="1">
        <f t="array" ref="Q5717">IFERROR(IF($B5717=Q$1, ($A5717+$C5717) - MAX(IF($B$2:$B5716=$B5717, $A$2:$A5716+$C$2:$C5716)), "")*24*60, "")</f>
        <v/>
      </c>
      <c r="R5717" s="24" t="str" cm="1">
        <f t="array" ref="R5717">IFERROR(IF($B5717=R$1, ($A5717+$C5717) - MAX(IF($B$2:$B5716=$B5717, $A$2:$A5716+$C$2:$C5716)), "")*24*60, "")</f>
        <v/>
      </c>
      <c r="S5717" s="24" t="str" cm="1">
        <f t="array" ref="S5717">IFERROR(IF($B5717=S$1, ($A5717+$C5717) - MAX(IF($B$2:$B5716=$B5717, $A$2:$A5716+$C$2:$C5716)), "")*24*60, "")</f>
        <v/>
      </c>
    </row>
    <row r="5718" spans="1:19" x14ac:dyDescent="0.2">
      <c r="A5718" s="12">
        <f t="shared" ref="A5718:C5718" si="1252">A5717</f>
        <v>45985</v>
      </c>
      <c r="B5718" s="5" t="str">
        <f t="shared" si="1252"/>
        <v>Northern Cardinal</v>
      </c>
      <c r="C5718" s="6">
        <f t="shared" si="1252"/>
        <v>0.29166666666666669</v>
      </c>
      <c r="D5718" s="5"/>
      <c r="E5718" s="5"/>
      <c r="F5718" s="5" t="s">
        <v>8</v>
      </c>
      <c r="G5718" s="15" t="s">
        <v>9</v>
      </c>
      <c r="H5718" s="24">
        <f t="shared" si="1129"/>
        <v>0</v>
      </c>
      <c r="I5718" s="24" cm="1">
        <f t="array" ref="I5718">IFERROR(IF($B5718=I$1, ($A5718+$C5718) - MAX(IF($B$2:$B5717=$B5718, $A$2:$A5717+$C$2:$C5717)), "")*24*60, "")</f>
        <v>0</v>
      </c>
      <c r="J5718" s="24" t="str" cm="1">
        <f t="array" ref="J5718">IFERROR(IF($B5718=J$1, ($A5718+$C5718) - MAX(IF($B$2:$B5717=$B5718, $A$2:$A5717+$C$2:$C5717)), "")*24*60, "")</f>
        <v/>
      </c>
      <c r="K5718" s="24" t="str" cm="1">
        <f t="array" ref="K5718">IFERROR(IF($B5718=K$1, ($A5718+$C5718) - MAX(IF($B$2:$B5717=$B5718, $A$2:$A5717+$C$2:$C5717)), "")*24*60, "")</f>
        <v/>
      </c>
      <c r="L5718" s="24" t="str" cm="1">
        <f t="array" ref="L5718">IFERROR(IF($B5718=L$1, ($A5718+$C5718) - MAX(IF($B$2:$B5717=$B5718, $A$2:$A5717+$C$2:$C5717)), "")*24*60, "")</f>
        <v/>
      </c>
      <c r="M5718" s="24" t="str" cm="1">
        <f t="array" ref="M5718">IFERROR(IF($B5718=M$1, ($A5718+$C5718) - MAX(IF($B$2:$B5717=$B5718, $A$2:$A5717+$C$2:$C5717)), "")*24*60, "")</f>
        <v/>
      </c>
      <c r="N5718" s="24" t="str" cm="1">
        <f t="array" ref="N5718">IFERROR(IF($B5718=N$1, ($A5718+$C5718) - MAX(IF($B$2:$B5717=$B5718, $A$2:$A5717+$C$2:$C5717)), "")*24*60, "")</f>
        <v/>
      </c>
      <c r="O5718" s="24" t="str" cm="1">
        <f t="array" ref="O5718">IFERROR(IF($B5718=O$1, ($A5718+$C5718) - MAX(IF($B$2:$B5717=$B5718, $A$2:$A5717+$C$2:$C5717)), "")*24*60, "")</f>
        <v/>
      </c>
      <c r="P5718" s="24" t="str" cm="1">
        <f t="array" ref="P5718">IFERROR(IF($B5718=P$1, ($A5718+$C5718) - MAX(IF($B$2:$B5717=$B5718, $A$2:$A5717+$C$2:$C5717)), "")*24*60, "")</f>
        <v/>
      </c>
      <c r="Q5718" s="24" t="str" cm="1">
        <f t="array" ref="Q5718">IFERROR(IF($B5718=Q$1, ($A5718+$C5718) - MAX(IF($B$2:$B5717=$B5718, $A$2:$A5717+$C$2:$C5717)), "")*24*60, "")</f>
        <v/>
      </c>
      <c r="R5718" s="24" t="str" cm="1">
        <f t="array" ref="R5718">IFERROR(IF($B5718=R$1, ($A5718+$C5718) - MAX(IF($B$2:$B5717=$B5718, $A$2:$A5717+$C$2:$C5717)), "")*24*60, "")</f>
        <v/>
      </c>
      <c r="S5718" s="24" t="str" cm="1">
        <f t="array" ref="S5718">IFERROR(IF($B5718=S$1, ($A5718+$C5718) - MAX(IF($B$2:$B5717=$B5718, $A$2:$A5717+$C$2:$C5717)), "")*24*60, "")</f>
        <v/>
      </c>
    </row>
    <row r="5719" spans="1:19" x14ac:dyDescent="0.2">
      <c r="A5719" s="12">
        <f t="shared" ref="A5719:C5719" si="1253">A5718</f>
        <v>45985</v>
      </c>
      <c r="B5719" s="5" t="str">
        <f t="shared" si="1253"/>
        <v>Northern Cardinal</v>
      </c>
      <c r="C5719" s="6">
        <f t="shared" si="1253"/>
        <v>0.29166666666666669</v>
      </c>
      <c r="D5719" s="5"/>
      <c r="E5719" s="5"/>
      <c r="F5719" s="5" t="s">
        <v>8</v>
      </c>
      <c r="G5719" s="15" t="s">
        <v>9</v>
      </c>
      <c r="H5719" s="24">
        <f t="shared" si="1129"/>
        <v>0</v>
      </c>
      <c r="I5719" s="24" cm="1">
        <f t="array" ref="I5719">IFERROR(IF($B5719=I$1, ($A5719+$C5719) - MAX(IF($B$2:$B5718=$B5719, $A$2:$A5718+$C$2:$C5718)), "")*24*60, "")</f>
        <v>0</v>
      </c>
      <c r="J5719" s="24" t="str" cm="1">
        <f t="array" ref="J5719">IFERROR(IF($B5719=J$1, ($A5719+$C5719) - MAX(IF($B$2:$B5718=$B5719, $A$2:$A5718+$C$2:$C5718)), "")*24*60, "")</f>
        <v/>
      </c>
      <c r="K5719" s="24" t="str" cm="1">
        <f t="array" ref="K5719">IFERROR(IF($B5719=K$1, ($A5719+$C5719) - MAX(IF($B$2:$B5718=$B5719, $A$2:$A5718+$C$2:$C5718)), "")*24*60, "")</f>
        <v/>
      </c>
      <c r="L5719" s="24" t="str" cm="1">
        <f t="array" ref="L5719">IFERROR(IF($B5719=L$1, ($A5719+$C5719) - MAX(IF($B$2:$B5718=$B5719, $A$2:$A5718+$C$2:$C5718)), "")*24*60, "")</f>
        <v/>
      </c>
      <c r="M5719" s="24" t="str" cm="1">
        <f t="array" ref="M5719">IFERROR(IF($B5719=M$1, ($A5719+$C5719) - MAX(IF($B$2:$B5718=$B5719, $A$2:$A5718+$C$2:$C5718)), "")*24*60, "")</f>
        <v/>
      </c>
      <c r="N5719" s="24" t="str" cm="1">
        <f t="array" ref="N5719">IFERROR(IF($B5719=N$1, ($A5719+$C5719) - MAX(IF($B$2:$B5718=$B5719, $A$2:$A5718+$C$2:$C5718)), "")*24*60, "")</f>
        <v/>
      </c>
      <c r="O5719" s="24" t="str" cm="1">
        <f t="array" ref="O5719">IFERROR(IF($B5719=O$1, ($A5719+$C5719) - MAX(IF($B$2:$B5718=$B5719, $A$2:$A5718+$C$2:$C5718)), "")*24*60, "")</f>
        <v/>
      </c>
      <c r="P5719" s="24" t="str" cm="1">
        <f t="array" ref="P5719">IFERROR(IF($B5719=P$1, ($A5719+$C5719) - MAX(IF($B$2:$B5718=$B5719, $A$2:$A5718+$C$2:$C5718)), "")*24*60, "")</f>
        <v/>
      </c>
      <c r="Q5719" s="24" t="str" cm="1">
        <f t="array" ref="Q5719">IFERROR(IF($B5719=Q$1, ($A5719+$C5719) - MAX(IF($B$2:$B5718=$B5719, $A$2:$A5718+$C$2:$C5718)), "")*24*60, "")</f>
        <v/>
      </c>
      <c r="R5719" s="24" t="str" cm="1">
        <f t="array" ref="R5719">IFERROR(IF($B5719=R$1, ($A5719+$C5719) - MAX(IF($B$2:$B5718=$B5719, $A$2:$A5718+$C$2:$C5718)), "")*24*60, "")</f>
        <v/>
      </c>
      <c r="S5719" s="24" t="str" cm="1">
        <f t="array" ref="S5719">IFERROR(IF($B5719=S$1, ($A5719+$C5719) - MAX(IF($B$2:$B5718=$B5719, $A$2:$A5718+$C$2:$C5718)), "")*24*60, "")</f>
        <v/>
      </c>
    </row>
    <row r="5720" spans="1:19" x14ac:dyDescent="0.2">
      <c r="A5720" s="12">
        <f t="shared" ref="A5720:C5720" si="1254">A5719</f>
        <v>45985</v>
      </c>
      <c r="B5720" s="5" t="str">
        <f t="shared" si="1254"/>
        <v>Northern Cardinal</v>
      </c>
      <c r="C5720" s="6">
        <f t="shared" si="1254"/>
        <v>0.29166666666666669</v>
      </c>
      <c r="D5720" s="5"/>
      <c r="E5720" s="5"/>
      <c r="F5720" s="5" t="s">
        <v>8</v>
      </c>
      <c r="G5720" s="15" t="s">
        <v>9</v>
      </c>
      <c r="H5720" s="24">
        <f t="shared" si="1129"/>
        <v>0</v>
      </c>
      <c r="I5720" s="24" cm="1">
        <f t="array" ref="I5720">IFERROR(IF($B5720=I$1, ($A5720+$C5720) - MAX(IF($B$2:$B5719=$B5720, $A$2:$A5719+$C$2:$C5719)), "")*24*60, "")</f>
        <v>0</v>
      </c>
      <c r="J5720" s="24" t="str" cm="1">
        <f t="array" ref="J5720">IFERROR(IF($B5720=J$1, ($A5720+$C5720) - MAX(IF($B$2:$B5719=$B5720, $A$2:$A5719+$C$2:$C5719)), "")*24*60, "")</f>
        <v/>
      </c>
      <c r="K5720" s="24" t="str" cm="1">
        <f t="array" ref="K5720">IFERROR(IF($B5720=K$1, ($A5720+$C5720) - MAX(IF($B$2:$B5719=$B5720, $A$2:$A5719+$C$2:$C5719)), "")*24*60, "")</f>
        <v/>
      </c>
      <c r="L5720" s="24" t="str" cm="1">
        <f t="array" ref="L5720">IFERROR(IF($B5720=L$1, ($A5720+$C5720) - MAX(IF($B$2:$B5719=$B5720, $A$2:$A5719+$C$2:$C5719)), "")*24*60, "")</f>
        <v/>
      </c>
      <c r="M5720" s="24" t="str" cm="1">
        <f t="array" ref="M5720">IFERROR(IF($B5720=M$1, ($A5720+$C5720) - MAX(IF($B$2:$B5719=$B5720, $A$2:$A5719+$C$2:$C5719)), "")*24*60, "")</f>
        <v/>
      </c>
      <c r="N5720" s="24" t="str" cm="1">
        <f t="array" ref="N5720">IFERROR(IF($B5720=N$1, ($A5720+$C5720) - MAX(IF($B$2:$B5719=$B5720, $A$2:$A5719+$C$2:$C5719)), "")*24*60, "")</f>
        <v/>
      </c>
      <c r="O5720" s="24" t="str" cm="1">
        <f t="array" ref="O5720">IFERROR(IF($B5720=O$1, ($A5720+$C5720) - MAX(IF($B$2:$B5719=$B5720, $A$2:$A5719+$C$2:$C5719)), "")*24*60, "")</f>
        <v/>
      </c>
      <c r="P5720" s="24" t="str" cm="1">
        <f t="array" ref="P5720">IFERROR(IF($B5720=P$1, ($A5720+$C5720) - MAX(IF($B$2:$B5719=$B5720, $A$2:$A5719+$C$2:$C5719)), "")*24*60, "")</f>
        <v/>
      </c>
      <c r="Q5720" s="24" t="str" cm="1">
        <f t="array" ref="Q5720">IFERROR(IF($B5720=Q$1, ($A5720+$C5720) - MAX(IF($B$2:$B5719=$B5720, $A$2:$A5719+$C$2:$C5719)), "")*24*60, "")</f>
        <v/>
      </c>
      <c r="R5720" s="24" t="str" cm="1">
        <f t="array" ref="R5720">IFERROR(IF($B5720=R$1, ($A5720+$C5720) - MAX(IF($B$2:$B5719=$B5720, $A$2:$A5719+$C$2:$C5719)), "")*24*60, "")</f>
        <v/>
      </c>
      <c r="S5720" s="24" t="str" cm="1">
        <f t="array" ref="S5720">IFERROR(IF($B5720=S$1, ($A5720+$C5720) - MAX(IF($B$2:$B5719=$B5720, $A$2:$A5719+$C$2:$C5719)), "")*24*60, "")</f>
        <v/>
      </c>
    </row>
    <row r="5721" spans="1:19" x14ac:dyDescent="0.2">
      <c r="A5721" s="12">
        <f t="shared" ref="A5721:C5721" si="1255">A5720</f>
        <v>45985</v>
      </c>
      <c r="B5721" s="5" t="str">
        <f t="shared" si="1255"/>
        <v>Northern Cardinal</v>
      </c>
      <c r="C5721" s="6">
        <f t="shared" si="1255"/>
        <v>0.29166666666666669</v>
      </c>
      <c r="D5721" s="5"/>
      <c r="E5721" s="5"/>
      <c r="F5721" s="5" t="s">
        <v>8</v>
      </c>
      <c r="G5721" s="15" t="s">
        <v>9</v>
      </c>
      <c r="H5721" s="24">
        <f t="shared" si="1129"/>
        <v>0</v>
      </c>
      <c r="I5721" s="24" cm="1">
        <f t="array" ref="I5721">IFERROR(IF($B5721=I$1, ($A5721+$C5721) - MAX(IF($B$2:$B5720=$B5721, $A$2:$A5720+$C$2:$C5720)), "")*24*60, "")</f>
        <v>0</v>
      </c>
      <c r="J5721" s="24" t="str" cm="1">
        <f t="array" ref="J5721">IFERROR(IF($B5721=J$1, ($A5721+$C5721) - MAX(IF($B$2:$B5720=$B5721, $A$2:$A5720+$C$2:$C5720)), "")*24*60, "")</f>
        <v/>
      </c>
      <c r="K5721" s="24" t="str" cm="1">
        <f t="array" ref="K5721">IFERROR(IF($B5721=K$1, ($A5721+$C5721) - MAX(IF($B$2:$B5720=$B5721, $A$2:$A5720+$C$2:$C5720)), "")*24*60, "")</f>
        <v/>
      </c>
      <c r="L5721" s="24" t="str" cm="1">
        <f t="array" ref="L5721">IFERROR(IF($B5721=L$1, ($A5721+$C5721) - MAX(IF($B$2:$B5720=$B5721, $A$2:$A5720+$C$2:$C5720)), "")*24*60, "")</f>
        <v/>
      </c>
      <c r="M5721" s="24" t="str" cm="1">
        <f t="array" ref="M5721">IFERROR(IF($B5721=M$1, ($A5721+$C5721) - MAX(IF($B$2:$B5720=$B5721, $A$2:$A5720+$C$2:$C5720)), "")*24*60, "")</f>
        <v/>
      </c>
      <c r="N5721" s="24" t="str" cm="1">
        <f t="array" ref="N5721">IFERROR(IF($B5721=N$1, ($A5721+$C5721) - MAX(IF($B$2:$B5720=$B5721, $A$2:$A5720+$C$2:$C5720)), "")*24*60, "")</f>
        <v/>
      </c>
      <c r="O5721" s="24" t="str" cm="1">
        <f t="array" ref="O5721">IFERROR(IF($B5721=O$1, ($A5721+$C5721) - MAX(IF($B$2:$B5720=$B5721, $A$2:$A5720+$C$2:$C5720)), "")*24*60, "")</f>
        <v/>
      </c>
      <c r="P5721" s="24" t="str" cm="1">
        <f t="array" ref="P5721">IFERROR(IF($B5721=P$1, ($A5721+$C5721) - MAX(IF($B$2:$B5720=$B5721, $A$2:$A5720+$C$2:$C5720)), "")*24*60, "")</f>
        <v/>
      </c>
      <c r="Q5721" s="24" t="str" cm="1">
        <f t="array" ref="Q5721">IFERROR(IF($B5721=Q$1, ($A5721+$C5721) - MAX(IF($B$2:$B5720=$B5721, $A$2:$A5720+$C$2:$C5720)), "")*24*60, "")</f>
        <v/>
      </c>
      <c r="R5721" s="24" t="str" cm="1">
        <f t="array" ref="R5721">IFERROR(IF($B5721=R$1, ($A5721+$C5721) - MAX(IF($B$2:$B5720=$B5721, $A$2:$A5720+$C$2:$C5720)), "")*24*60, "")</f>
        <v/>
      </c>
      <c r="S5721" s="24" t="str" cm="1">
        <f t="array" ref="S5721">IFERROR(IF($B5721=S$1, ($A5721+$C5721) - MAX(IF($B$2:$B5720=$B5721, $A$2:$A5720+$C$2:$C5720)), "")*24*60, "")</f>
        <v/>
      </c>
    </row>
    <row r="5722" spans="1:19" x14ac:dyDescent="0.2">
      <c r="A5722" s="12">
        <f t="shared" ref="A5722:C5722" si="1256">A5721</f>
        <v>45985</v>
      </c>
      <c r="B5722" s="5" t="str">
        <f t="shared" si="1256"/>
        <v>Northern Cardinal</v>
      </c>
      <c r="C5722" s="6">
        <f t="shared" si="1256"/>
        <v>0.29166666666666669</v>
      </c>
      <c r="D5722" s="5"/>
      <c r="E5722" s="5"/>
      <c r="F5722" s="5" t="s">
        <v>8</v>
      </c>
      <c r="G5722" s="15" t="s">
        <v>9</v>
      </c>
      <c r="H5722" s="24">
        <f t="shared" si="1129"/>
        <v>0</v>
      </c>
      <c r="I5722" s="24" cm="1">
        <f t="array" ref="I5722">IFERROR(IF($B5722=I$1, ($A5722+$C5722) - MAX(IF($B$2:$B5721=$B5722, $A$2:$A5721+$C$2:$C5721)), "")*24*60, "")</f>
        <v>0</v>
      </c>
      <c r="J5722" s="24" t="str" cm="1">
        <f t="array" ref="J5722">IFERROR(IF($B5722=J$1, ($A5722+$C5722) - MAX(IF($B$2:$B5721=$B5722, $A$2:$A5721+$C$2:$C5721)), "")*24*60, "")</f>
        <v/>
      </c>
      <c r="K5722" s="24" t="str" cm="1">
        <f t="array" ref="K5722">IFERROR(IF($B5722=K$1, ($A5722+$C5722) - MAX(IF($B$2:$B5721=$B5722, $A$2:$A5721+$C$2:$C5721)), "")*24*60, "")</f>
        <v/>
      </c>
      <c r="L5722" s="24" t="str" cm="1">
        <f t="array" ref="L5722">IFERROR(IF($B5722=L$1, ($A5722+$C5722) - MAX(IF($B$2:$B5721=$B5722, $A$2:$A5721+$C$2:$C5721)), "")*24*60, "")</f>
        <v/>
      </c>
      <c r="M5722" s="24" t="str" cm="1">
        <f t="array" ref="M5722">IFERROR(IF($B5722=M$1, ($A5722+$C5722) - MAX(IF($B$2:$B5721=$B5722, $A$2:$A5721+$C$2:$C5721)), "")*24*60, "")</f>
        <v/>
      </c>
      <c r="N5722" s="24" t="str" cm="1">
        <f t="array" ref="N5722">IFERROR(IF($B5722=N$1, ($A5722+$C5722) - MAX(IF($B$2:$B5721=$B5722, $A$2:$A5721+$C$2:$C5721)), "")*24*60, "")</f>
        <v/>
      </c>
      <c r="O5722" s="24" t="str" cm="1">
        <f t="array" ref="O5722">IFERROR(IF($B5722=O$1, ($A5722+$C5722) - MAX(IF($B$2:$B5721=$B5722, $A$2:$A5721+$C$2:$C5721)), "")*24*60, "")</f>
        <v/>
      </c>
      <c r="P5722" s="24" t="str" cm="1">
        <f t="array" ref="P5722">IFERROR(IF($B5722=P$1, ($A5722+$C5722) - MAX(IF($B$2:$B5721=$B5722, $A$2:$A5721+$C$2:$C5721)), "")*24*60, "")</f>
        <v/>
      </c>
      <c r="Q5722" s="24" t="str" cm="1">
        <f t="array" ref="Q5722">IFERROR(IF($B5722=Q$1, ($A5722+$C5722) - MAX(IF($B$2:$B5721=$B5722, $A$2:$A5721+$C$2:$C5721)), "")*24*60, "")</f>
        <v/>
      </c>
      <c r="R5722" s="24" t="str" cm="1">
        <f t="array" ref="R5722">IFERROR(IF($B5722=R$1, ($A5722+$C5722) - MAX(IF($B$2:$B5721=$B5722, $A$2:$A5721+$C$2:$C5721)), "")*24*60, "")</f>
        <v/>
      </c>
      <c r="S5722" s="24" t="str" cm="1">
        <f t="array" ref="S5722">IFERROR(IF($B5722=S$1, ($A5722+$C5722) - MAX(IF($B$2:$B5721=$B5722, $A$2:$A5721+$C$2:$C5721)), "")*24*60, "")</f>
        <v/>
      </c>
    </row>
    <row r="5723" spans="1:19" x14ac:dyDescent="0.2">
      <c r="A5723" s="12">
        <f t="shared" ref="A5723:C5723" si="1257">A5722</f>
        <v>45985</v>
      </c>
      <c r="B5723" s="5" t="str">
        <f t="shared" si="1257"/>
        <v>Northern Cardinal</v>
      </c>
      <c r="C5723" s="6">
        <f t="shared" si="1257"/>
        <v>0.29166666666666669</v>
      </c>
      <c r="D5723" s="5"/>
      <c r="E5723" s="5"/>
      <c r="F5723" s="5" t="s">
        <v>8</v>
      </c>
      <c r="G5723" s="15" t="s">
        <v>9</v>
      </c>
      <c r="H5723" s="24">
        <f t="shared" si="1129"/>
        <v>0</v>
      </c>
      <c r="I5723" s="24" cm="1">
        <f t="array" ref="I5723">IFERROR(IF($B5723=I$1, ($A5723+$C5723) - MAX(IF($B$2:$B5722=$B5723, $A$2:$A5722+$C$2:$C5722)), "")*24*60, "")</f>
        <v>0</v>
      </c>
      <c r="J5723" s="24" t="str" cm="1">
        <f t="array" ref="J5723">IFERROR(IF($B5723=J$1, ($A5723+$C5723) - MAX(IF($B$2:$B5722=$B5723, $A$2:$A5722+$C$2:$C5722)), "")*24*60, "")</f>
        <v/>
      </c>
      <c r="K5723" s="24" t="str" cm="1">
        <f t="array" ref="K5723">IFERROR(IF($B5723=K$1, ($A5723+$C5723) - MAX(IF($B$2:$B5722=$B5723, $A$2:$A5722+$C$2:$C5722)), "")*24*60, "")</f>
        <v/>
      </c>
      <c r="L5723" s="24" t="str" cm="1">
        <f t="array" ref="L5723">IFERROR(IF($B5723=L$1, ($A5723+$C5723) - MAX(IF($B$2:$B5722=$B5723, $A$2:$A5722+$C$2:$C5722)), "")*24*60, "")</f>
        <v/>
      </c>
      <c r="M5723" s="24" t="str" cm="1">
        <f t="array" ref="M5723">IFERROR(IF($B5723=M$1, ($A5723+$C5723) - MAX(IF($B$2:$B5722=$B5723, $A$2:$A5722+$C$2:$C5722)), "")*24*60, "")</f>
        <v/>
      </c>
      <c r="N5723" s="24" t="str" cm="1">
        <f t="array" ref="N5723">IFERROR(IF($B5723=N$1, ($A5723+$C5723) - MAX(IF($B$2:$B5722=$B5723, $A$2:$A5722+$C$2:$C5722)), "")*24*60, "")</f>
        <v/>
      </c>
      <c r="O5723" s="24" t="str" cm="1">
        <f t="array" ref="O5723">IFERROR(IF($B5723=O$1, ($A5723+$C5723) - MAX(IF($B$2:$B5722=$B5723, $A$2:$A5722+$C$2:$C5722)), "")*24*60, "")</f>
        <v/>
      </c>
      <c r="P5723" s="24" t="str" cm="1">
        <f t="array" ref="P5723">IFERROR(IF($B5723=P$1, ($A5723+$C5723) - MAX(IF($B$2:$B5722=$B5723, $A$2:$A5722+$C$2:$C5722)), "")*24*60, "")</f>
        <v/>
      </c>
      <c r="Q5723" s="24" t="str" cm="1">
        <f t="array" ref="Q5723">IFERROR(IF($B5723=Q$1, ($A5723+$C5723) - MAX(IF($B$2:$B5722=$B5723, $A$2:$A5722+$C$2:$C5722)), "")*24*60, "")</f>
        <v/>
      </c>
      <c r="R5723" s="24" t="str" cm="1">
        <f t="array" ref="R5723">IFERROR(IF($B5723=R$1, ($A5723+$C5723) - MAX(IF($B$2:$B5722=$B5723, $A$2:$A5722+$C$2:$C5722)), "")*24*60, "")</f>
        <v/>
      </c>
      <c r="S5723" s="24" t="str" cm="1">
        <f t="array" ref="S5723">IFERROR(IF($B5723=S$1, ($A5723+$C5723) - MAX(IF($B$2:$B5722=$B5723, $A$2:$A5722+$C$2:$C5722)), "")*24*60, "")</f>
        <v/>
      </c>
    </row>
    <row r="5724" spans="1:19" x14ac:dyDescent="0.2">
      <c r="A5724" s="12">
        <f t="shared" ref="A5724:C5724" si="1258">A5723</f>
        <v>45985</v>
      </c>
      <c r="B5724" s="5" t="str">
        <f t="shared" si="1258"/>
        <v>Northern Cardinal</v>
      </c>
      <c r="C5724" s="6">
        <f t="shared" si="1258"/>
        <v>0.29166666666666669</v>
      </c>
      <c r="D5724" s="5"/>
      <c r="E5724" s="5"/>
      <c r="F5724" s="5" t="s">
        <v>8</v>
      </c>
      <c r="G5724" s="15" t="s">
        <v>9</v>
      </c>
      <c r="H5724" s="24">
        <f t="shared" si="1129"/>
        <v>0</v>
      </c>
      <c r="I5724" s="24" cm="1">
        <f t="array" ref="I5724">IFERROR(IF($B5724=I$1, ($A5724+$C5724) - MAX(IF($B$2:$B5723=$B5724, $A$2:$A5723+$C$2:$C5723)), "")*24*60, "")</f>
        <v>0</v>
      </c>
      <c r="J5724" s="24" t="str" cm="1">
        <f t="array" ref="J5724">IFERROR(IF($B5724=J$1, ($A5724+$C5724) - MAX(IF($B$2:$B5723=$B5724, $A$2:$A5723+$C$2:$C5723)), "")*24*60, "")</f>
        <v/>
      </c>
      <c r="K5724" s="24" t="str" cm="1">
        <f t="array" ref="K5724">IFERROR(IF($B5724=K$1, ($A5724+$C5724) - MAX(IF($B$2:$B5723=$B5724, $A$2:$A5723+$C$2:$C5723)), "")*24*60, "")</f>
        <v/>
      </c>
      <c r="L5724" s="24" t="str" cm="1">
        <f t="array" ref="L5724">IFERROR(IF($B5724=L$1, ($A5724+$C5724) - MAX(IF($B$2:$B5723=$B5724, $A$2:$A5723+$C$2:$C5723)), "")*24*60, "")</f>
        <v/>
      </c>
      <c r="M5724" s="24" t="str" cm="1">
        <f t="array" ref="M5724">IFERROR(IF($B5724=M$1, ($A5724+$C5724) - MAX(IF($B$2:$B5723=$B5724, $A$2:$A5723+$C$2:$C5723)), "")*24*60, "")</f>
        <v/>
      </c>
      <c r="N5724" s="24" t="str" cm="1">
        <f t="array" ref="N5724">IFERROR(IF($B5724=N$1, ($A5724+$C5724) - MAX(IF($B$2:$B5723=$B5724, $A$2:$A5723+$C$2:$C5723)), "")*24*60, "")</f>
        <v/>
      </c>
      <c r="O5724" s="24" t="str" cm="1">
        <f t="array" ref="O5724">IFERROR(IF($B5724=O$1, ($A5724+$C5724) - MAX(IF($B$2:$B5723=$B5724, $A$2:$A5723+$C$2:$C5723)), "")*24*60, "")</f>
        <v/>
      </c>
      <c r="P5724" s="24" t="str" cm="1">
        <f t="array" ref="P5724">IFERROR(IF($B5724=P$1, ($A5724+$C5724) - MAX(IF($B$2:$B5723=$B5724, $A$2:$A5723+$C$2:$C5723)), "")*24*60, "")</f>
        <v/>
      </c>
      <c r="Q5724" s="24" t="str" cm="1">
        <f t="array" ref="Q5724">IFERROR(IF($B5724=Q$1, ($A5724+$C5724) - MAX(IF($B$2:$B5723=$B5724, $A$2:$A5723+$C$2:$C5723)), "")*24*60, "")</f>
        <v/>
      </c>
      <c r="R5724" s="24" t="str" cm="1">
        <f t="array" ref="R5724">IFERROR(IF($B5724=R$1, ($A5724+$C5724) - MAX(IF($B$2:$B5723=$B5724, $A$2:$A5723+$C$2:$C5723)), "")*24*60, "")</f>
        <v/>
      </c>
      <c r="S5724" s="24" t="str" cm="1">
        <f t="array" ref="S5724">IFERROR(IF($B5724=S$1, ($A5724+$C5724) - MAX(IF($B$2:$B5723=$B5724, $A$2:$A5723+$C$2:$C5723)), "")*24*60, "")</f>
        <v/>
      </c>
    </row>
    <row r="5725" spans="1:19" x14ac:dyDescent="0.2">
      <c r="A5725" s="12">
        <f t="shared" ref="A5725:C5725" si="1259">A5724</f>
        <v>45985</v>
      </c>
      <c r="B5725" s="5" t="str">
        <f t="shared" si="1259"/>
        <v>Northern Cardinal</v>
      </c>
      <c r="C5725" s="6">
        <f t="shared" si="1259"/>
        <v>0.29166666666666669</v>
      </c>
      <c r="D5725" s="5"/>
      <c r="E5725" s="5"/>
      <c r="F5725" s="5" t="s">
        <v>8</v>
      </c>
      <c r="G5725" s="15" t="s">
        <v>9</v>
      </c>
      <c r="H5725" s="24">
        <f t="shared" si="1129"/>
        <v>0</v>
      </c>
      <c r="I5725" s="24" cm="1">
        <f t="array" ref="I5725">IFERROR(IF($B5725=I$1, ($A5725+$C5725) - MAX(IF($B$2:$B5724=$B5725, $A$2:$A5724+$C$2:$C5724)), "")*24*60, "")</f>
        <v>0</v>
      </c>
      <c r="J5725" s="24" t="str" cm="1">
        <f t="array" ref="J5725">IFERROR(IF($B5725=J$1, ($A5725+$C5725) - MAX(IF($B$2:$B5724=$B5725, $A$2:$A5724+$C$2:$C5724)), "")*24*60, "")</f>
        <v/>
      </c>
      <c r="K5725" s="24" t="str" cm="1">
        <f t="array" ref="K5725">IFERROR(IF($B5725=K$1, ($A5725+$C5725) - MAX(IF($B$2:$B5724=$B5725, $A$2:$A5724+$C$2:$C5724)), "")*24*60, "")</f>
        <v/>
      </c>
      <c r="L5725" s="24" t="str" cm="1">
        <f t="array" ref="L5725">IFERROR(IF($B5725=L$1, ($A5725+$C5725) - MAX(IF($B$2:$B5724=$B5725, $A$2:$A5724+$C$2:$C5724)), "")*24*60, "")</f>
        <v/>
      </c>
      <c r="M5725" s="24" t="str" cm="1">
        <f t="array" ref="M5725">IFERROR(IF($B5725=M$1, ($A5725+$C5725) - MAX(IF($B$2:$B5724=$B5725, $A$2:$A5724+$C$2:$C5724)), "")*24*60, "")</f>
        <v/>
      </c>
      <c r="N5725" s="24" t="str" cm="1">
        <f t="array" ref="N5725">IFERROR(IF($B5725=N$1, ($A5725+$C5725) - MAX(IF($B$2:$B5724=$B5725, $A$2:$A5724+$C$2:$C5724)), "")*24*60, "")</f>
        <v/>
      </c>
      <c r="O5725" s="24" t="str" cm="1">
        <f t="array" ref="O5725">IFERROR(IF($B5725=O$1, ($A5725+$C5725) - MAX(IF($B$2:$B5724=$B5725, $A$2:$A5724+$C$2:$C5724)), "")*24*60, "")</f>
        <v/>
      </c>
      <c r="P5725" s="24" t="str" cm="1">
        <f t="array" ref="P5725">IFERROR(IF($B5725=P$1, ($A5725+$C5725) - MAX(IF($B$2:$B5724=$B5725, $A$2:$A5724+$C$2:$C5724)), "")*24*60, "")</f>
        <v/>
      </c>
      <c r="Q5725" s="24" t="str" cm="1">
        <f t="array" ref="Q5725">IFERROR(IF($B5725=Q$1, ($A5725+$C5725) - MAX(IF($B$2:$B5724=$B5725, $A$2:$A5724+$C$2:$C5724)), "")*24*60, "")</f>
        <v/>
      </c>
      <c r="R5725" s="24" t="str" cm="1">
        <f t="array" ref="R5725">IFERROR(IF($B5725=R$1, ($A5725+$C5725) - MAX(IF($B$2:$B5724=$B5725, $A$2:$A5724+$C$2:$C5724)), "")*24*60, "")</f>
        <v/>
      </c>
      <c r="S5725" s="24" t="str" cm="1">
        <f t="array" ref="S5725">IFERROR(IF($B5725=S$1, ($A5725+$C5725) - MAX(IF($B$2:$B5724=$B5725, $A$2:$A5724+$C$2:$C5724)), "")*24*60, "")</f>
        <v/>
      </c>
    </row>
    <row r="5726" spans="1:19" x14ac:dyDescent="0.2">
      <c r="A5726" s="12">
        <f t="shared" ref="A5726:C5726" si="1260">A5725</f>
        <v>45985</v>
      </c>
      <c r="B5726" s="5" t="str">
        <f t="shared" si="1260"/>
        <v>Northern Cardinal</v>
      </c>
      <c r="C5726" s="6">
        <f t="shared" si="1260"/>
        <v>0.29166666666666669</v>
      </c>
      <c r="D5726" s="5"/>
      <c r="E5726" s="5"/>
      <c r="F5726" s="5" t="s">
        <v>8</v>
      </c>
      <c r="G5726" s="15" t="s">
        <v>9</v>
      </c>
      <c r="H5726" s="24">
        <f t="shared" si="1129"/>
        <v>0</v>
      </c>
      <c r="I5726" s="24" cm="1">
        <f t="array" ref="I5726">IFERROR(IF($B5726=I$1, ($A5726+$C5726) - MAX(IF($B$2:$B5725=$B5726, $A$2:$A5725+$C$2:$C5725)), "")*24*60, "")</f>
        <v>0</v>
      </c>
      <c r="J5726" s="24" t="str" cm="1">
        <f t="array" ref="J5726">IFERROR(IF($B5726=J$1, ($A5726+$C5726) - MAX(IF($B$2:$B5725=$B5726, $A$2:$A5725+$C$2:$C5725)), "")*24*60, "")</f>
        <v/>
      </c>
      <c r="K5726" s="24" t="str" cm="1">
        <f t="array" ref="K5726">IFERROR(IF($B5726=K$1, ($A5726+$C5726) - MAX(IF($B$2:$B5725=$B5726, $A$2:$A5725+$C$2:$C5725)), "")*24*60, "")</f>
        <v/>
      </c>
      <c r="L5726" s="24" t="str" cm="1">
        <f t="array" ref="L5726">IFERROR(IF($B5726=L$1, ($A5726+$C5726) - MAX(IF($B$2:$B5725=$B5726, $A$2:$A5725+$C$2:$C5725)), "")*24*60, "")</f>
        <v/>
      </c>
      <c r="M5726" s="24" t="str" cm="1">
        <f t="array" ref="M5726">IFERROR(IF($B5726=M$1, ($A5726+$C5726) - MAX(IF($B$2:$B5725=$B5726, $A$2:$A5725+$C$2:$C5725)), "")*24*60, "")</f>
        <v/>
      </c>
      <c r="N5726" s="24" t="str" cm="1">
        <f t="array" ref="N5726">IFERROR(IF($B5726=N$1, ($A5726+$C5726) - MAX(IF($B$2:$B5725=$B5726, $A$2:$A5725+$C$2:$C5725)), "")*24*60, "")</f>
        <v/>
      </c>
      <c r="O5726" s="24" t="str" cm="1">
        <f t="array" ref="O5726">IFERROR(IF($B5726=O$1, ($A5726+$C5726) - MAX(IF($B$2:$B5725=$B5726, $A$2:$A5725+$C$2:$C5725)), "")*24*60, "")</f>
        <v/>
      </c>
      <c r="P5726" s="24" t="str" cm="1">
        <f t="array" ref="P5726">IFERROR(IF($B5726=P$1, ($A5726+$C5726) - MAX(IF($B$2:$B5725=$B5726, $A$2:$A5725+$C$2:$C5725)), "")*24*60, "")</f>
        <v/>
      </c>
      <c r="Q5726" s="24" t="str" cm="1">
        <f t="array" ref="Q5726">IFERROR(IF($B5726=Q$1, ($A5726+$C5726) - MAX(IF($B$2:$B5725=$B5726, $A$2:$A5725+$C$2:$C5725)), "")*24*60, "")</f>
        <v/>
      </c>
      <c r="R5726" s="24" t="str" cm="1">
        <f t="array" ref="R5726">IFERROR(IF($B5726=R$1, ($A5726+$C5726) - MAX(IF($B$2:$B5725=$B5726, $A$2:$A5725+$C$2:$C5725)), "")*24*60, "")</f>
        <v/>
      </c>
      <c r="S5726" s="24" t="str" cm="1">
        <f t="array" ref="S5726">IFERROR(IF($B5726=S$1, ($A5726+$C5726) - MAX(IF($B$2:$B5725=$B5726, $A$2:$A5725+$C$2:$C5725)), "")*24*60, "")</f>
        <v/>
      </c>
    </row>
    <row r="5727" spans="1:19" x14ac:dyDescent="0.2">
      <c r="A5727" s="12">
        <f t="shared" ref="A5727:C5727" si="1261">A5726</f>
        <v>45985</v>
      </c>
      <c r="B5727" s="5" t="str">
        <f t="shared" si="1261"/>
        <v>Northern Cardinal</v>
      </c>
      <c r="C5727" s="6">
        <f t="shared" si="1261"/>
        <v>0.29166666666666669</v>
      </c>
      <c r="D5727" s="5"/>
      <c r="E5727" s="5"/>
      <c r="F5727" s="5" t="s">
        <v>8</v>
      </c>
      <c r="G5727" s="15" t="s">
        <v>9</v>
      </c>
      <c r="H5727" s="24">
        <f t="shared" si="1129"/>
        <v>0</v>
      </c>
      <c r="I5727" s="24" cm="1">
        <f t="array" ref="I5727">IFERROR(IF($B5727=I$1, ($A5727+$C5727) - MAX(IF($B$2:$B5726=$B5727, $A$2:$A5726+$C$2:$C5726)), "")*24*60, "")</f>
        <v>0</v>
      </c>
      <c r="J5727" s="24" t="str" cm="1">
        <f t="array" ref="J5727">IFERROR(IF($B5727=J$1, ($A5727+$C5727) - MAX(IF($B$2:$B5726=$B5727, $A$2:$A5726+$C$2:$C5726)), "")*24*60, "")</f>
        <v/>
      </c>
      <c r="K5727" s="24" t="str" cm="1">
        <f t="array" ref="K5727">IFERROR(IF($B5727=K$1, ($A5727+$C5727) - MAX(IF($B$2:$B5726=$B5727, $A$2:$A5726+$C$2:$C5726)), "")*24*60, "")</f>
        <v/>
      </c>
      <c r="L5727" s="24" t="str" cm="1">
        <f t="array" ref="L5727">IFERROR(IF($B5727=L$1, ($A5727+$C5727) - MAX(IF($B$2:$B5726=$B5727, $A$2:$A5726+$C$2:$C5726)), "")*24*60, "")</f>
        <v/>
      </c>
      <c r="M5727" s="24" t="str" cm="1">
        <f t="array" ref="M5727">IFERROR(IF($B5727=M$1, ($A5727+$C5727) - MAX(IF($B$2:$B5726=$B5727, $A$2:$A5726+$C$2:$C5726)), "")*24*60, "")</f>
        <v/>
      </c>
      <c r="N5727" s="24" t="str" cm="1">
        <f t="array" ref="N5727">IFERROR(IF($B5727=N$1, ($A5727+$C5727) - MAX(IF($B$2:$B5726=$B5727, $A$2:$A5726+$C$2:$C5726)), "")*24*60, "")</f>
        <v/>
      </c>
      <c r="O5727" s="24" t="str" cm="1">
        <f t="array" ref="O5727">IFERROR(IF($B5727=O$1, ($A5727+$C5727) - MAX(IF($B$2:$B5726=$B5727, $A$2:$A5726+$C$2:$C5726)), "")*24*60, "")</f>
        <v/>
      </c>
      <c r="P5727" s="24" t="str" cm="1">
        <f t="array" ref="P5727">IFERROR(IF($B5727=P$1, ($A5727+$C5727) - MAX(IF($B$2:$B5726=$B5727, $A$2:$A5726+$C$2:$C5726)), "")*24*60, "")</f>
        <v/>
      </c>
      <c r="Q5727" s="24" t="str" cm="1">
        <f t="array" ref="Q5727">IFERROR(IF($B5727=Q$1, ($A5727+$C5727) - MAX(IF($B$2:$B5726=$B5727, $A$2:$A5726+$C$2:$C5726)), "")*24*60, "")</f>
        <v/>
      </c>
      <c r="R5727" s="24" t="str" cm="1">
        <f t="array" ref="R5727">IFERROR(IF($B5727=R$1, ($A5727+$C5727) - MAX(IF($B$2:$B5726=$B5727, $A$2:$A5726+$C$2:$C5726)), "")*24*60, "")</f>
        <v/>
      </c>
      <c r="S5727" s="24" t="str" cm="1">
        <f t="array" ref="S5727">IFERROR(IF($B5727=S$1, ($A5727+$C5727) - MAX(IF($B$2:$B5726=$B5727, $A$2:$A5726+$C$2:$C5726)), "")*24*60, "")</f>
        <v/>
      </c>
    </row>
    <row r="5728" spans="1:19" x14ac:dyDescent="0.2">
      <c r="A5728" s="12">
        <f t="shared" ref="A5728:C5728" si="1262">A5727</f>
        <v>45985</v>
      </c>
      <c r="B5728" s="5" t="str">
        <f t="shared" si="1262"/>
        <v>Northern Cardinal</v>
      </c>
      <c r="C5728" s="6">
        <f t="shared" si="1262"/>
        <v>0.29166666666666669</v>
      </c>
      <c r="D5728" s="5"/>
      <c r="E5728" s="5"/>
      <c r="F5728" s="5" t="s">
        <v>8</v>
      </c>
      <c r="G5728" s="15" t="s">
        <v>9</v>
      </c>
      <c r="H5728" s="24">
        <f t="shared" si="1129"/>
        <v>0</v>
      </c>
      <c r="I5728" s="24" cm="1">
        <f t="array" ref="I5728">IFERROR(IF($B5728=I$1, ($A5728+$C5728) - MAX(IF($B$2:$B5727=$B5728, $A$2:$A5727+$C$2:$C5727)), "")*24*60, "")</f>
        <v>0</v>
      </c>
      <c r="J5728" s="24" t="str" cm="1">
        <f t="array" ref="J5728">IFERROR(IF($B5728=J$1, ($A5728+$C5728) - MAX(IF($B$2:$B5727=$B5728, $A$2:$A5727+$C$2:$C5727)), "")*24*60, "")</f>
        <v/>
      </c>
      <c r="K5728" s="24" t="str" cm="1">
        <f t="array" ref="K5728">IFERROR(IF($B5728=K$1, ($A5728+$C5728) - MAX(IF($B$2:$B5727=$B5728, $A$2:$A5727+$C$2:$C5727)), "")*24*60, "")</f>
        <v/>
      </c>
      <c r="L5728" s="24" t="str" cm="1">
        <f t="array" ref="L5728">IFERROR(IF($B5728=L$1, ($A5728+$C5728) - MAX(IF($B$2:$B5727=$B5728, $A$2:$A5727+$C$2:$C5727)), "")*24*60, "")</f>
        <v/>
      </c>
      <c r="M5728" s="24" t="str" cm="1">
        <f t="array" ref="M5728">IFERROR(IF($B5728=M$1, ($A5728+$C5728) - MAX(IF($B$2:$B5727=$B5728, $A$2:$A5727+$C$2:$C5727)), "")*24*60, "")</f>
        <v/>
      </c>
      <c r="N5728" s="24" t="str" cm="1">
        <f t="array" ref="N5728">IFERROR(IF($B5728=N$1, ($A5728+$C5728) - MAX(IF($B$2:$B5727=$B5728, $A$2:$A5727+$C$2:$C5727)), "")*24*60, "")</f>
        <v/>
      </c>
      <c r="O5728" s="24" t="str" cm="1">
        <f t="array" ref="O5728">IFERROR(IF($B5728=O$1, ($A5728+$C5728) - MAX(IF($B$2:$B5727=$B5728, $A$2:$A5727+$C$2:$C5727)), "")*24*60, "")</f>
        <v/>
      </c>
      <c r="P5728" s="24" t="str" cm="1">
        <f t="array" ref="P5728">IFERROR(IF($B5728=P$1, ($A5728+$C5728) - MAX(IF($B$2:$B5727=$B5728, $A$2:$A5727+$C$2:$C5727)), "")*24*60, "")</f>
        <v/>
      </c>
      <c r="Q5728" s="24" t="str" cm="1">
        <f t="array" ref="Q5728">IFERROR(IF($B5728=Q$1, ($A5728+$C5728) - MAX(IF($B$2:$B5727=$B5728, $A$2:$A5727+$C$2:$C5727)), "")*24*60, "")</f>
        <v/>
      </c>
      <c r="R5728" s="24" t="str" cm="1">
        <f t="array" ref="R5728">IFERROR(IF($B5728=R$1, ($A5728+$C5728) - MAX(IF($B$2:$B5727=$B5728, $A$2:$A5727+$C$2:$C5727)), "")*24*60, "")</f>
        <v/>
      </c>
      <c r="S5728" s="24" t="str" cm="1">
        <f t="array" ref="S5728">IFERROR(IF($B5728=S$1, ($A5728+$C5728) - MAX(IF($B$2:$B5727=$B5728, $A$2:$A5727+$C$2:$C5727)), "")*24*60, "")</f>
        <v/>
      </c>
    </row>
    <row r="5729" spans="1:19" x14ac:dyDescent="0.2">
      <c r="A5729" s="12">
        <f t="shared" ref="A5729:C5729" si="1263">A5728</f>
        <v>45985</v>
      </c>
      <c r="B5729" s="5" t="str">
        <f t="shared" si="1263"/>
        <v>Northern Cardinal</v>
      </c>
      <c r="C5729" s="6">
        <f t="shared" si="1263"/>
        <v>0.29166666666666669</v>
      </c>
      <c r="D5729" s="5"/>
      <c r="E5729" s="5"/>
      <c r="F5729" s="5" t="s">
        <v>8</v>
      </c>
      <c r="G5729" s="15" t="s">
        <v>9</v>
      </c>
      <c r="H5729" s="24">
        <f t="shared" si="1129"/>
        <v>0</v>
      </c>
      <c r="I5729" s="24" cm="1">
        <f t="array" ref="I5729">IFERROR(IF($B5729=I$1, ($A5729+$C5729) - MAX(IF($B$2:$B5728=$B5729, $A$2:$A5728+$C$2:$C5728)), "")*24*60, "")</f>
        <v>0</v>
      </c>
      <c r="J5729" s="24" t="str" cm="1">
        <f t="array" ref="J5729">IFERROR(IF($B5729=J$1, ($A5729+$C5729) - MAX(IF($B$2:$B5728=$B5729, $A$2:$A5728+$C$2:$C5728)), "")*24*60, "")</f>
        <v/>
      </c>
      <c r="K5729" s="24" t="str" cm="1">
        <f t="array" ref="K5729">IFERROR(IF($B5729=K$1, ($A5729+$C5729) - MAX(IF($B$2:$B5728=$B5729, $A$2:$A5728+$C$2:$C5728)), "")*24*60, "")</f>
        <v/>
      </c>
      <c r="L5729" s="24" t="str" cm="1">
        <f t="array" ref="L5729">IFERROR(IF($B5729=L$1, ($A5729+$C5729) - MAX(IF($B$2:$B5728=$B5729, $A$2:$A5728+$C$2:$C5728)), "")*24*60, "")</f>
        <v/>
      </c>
      <c r="M5729" s="24" t="str" cm="1">
        <f t="array" ref="M5729">IFERROR(IF($B5729=M$1, ($A5729+$C5729) - MAX(IF($B$2:$B5728=$B5729, $A$2:$A5728+$C$2:$C5728)), "")*24*60, "")</f>
        <v/>
      </c>
      <c r="N5729" s="24" t="str" cm="1">
        <f t="array" ref="N5729">IFERROR(IF($B5729=N$1, ($A5729+$C5729) - MAX(IF($B$2:$B5728=$B5729, $A$2:$A5728+$C$2:$C5728)), "")*24*60, "")</f>
        <v/>
      </c>
      <c r="O5729" s="24" t="str" cm="1">
        <f t="array" ref="O5729">IFERROR(IF($B5729=O$1, ($A5729+$C5729) - MAX(IF($B$2:$B5728=$B5729, $A$2:$A5728+$C$2:$C5728)), "")*24*60, "")</f>
        <v/>
      </c>
      <c r="P5729" s="24" t="str" cm="1">
        <f t="array" ref="P5729">IFERROR(IF($B5729=P$1, ($A5729+$C5729) - MAX(IF($B$2:$B5728=$B5729, $A$2:$A5728+$C$2:$C5728)), "")*24*60, "")</f>
        <v/>
      </c>
      <c r="Q5729" s="24" t="str" cm="1">
        <f t="array" ref="Q5729">IFERROR(IF($B5729=Q$1, ($A5729+$C5729) - MAX(IF($B$2:$B5728=$B5729, $A$2:$A5728+$C$2:$C5728)), "")*24*60, "")</f>
        <v/>
      </c>
      <c r="R5729" s="24" t="str" cm="1">
        <f t="array" ref="R5729">IFERROR(IF($B5729=R$1, ($A5729+$C5729) - MAX(IF($B$2:$B5728=$B5729, $A$2:$A5728+$C$2:$C5728)), "")*24*60, "")</f>
        <v/>
      </c>
      <c r="S5729" s="24" t="str" cm="1">
        <f t="array" ref="S5729">IFERROR(IF($B5729=S$1, ($A5729+$C5729) - MAX(IF($B$2:$B5728=$B5729, $A$2:$A5728+$C$2:$C5728)), "")*24*60, "")</f>
        <v/>
      </c>
    </row>
    <row r="5730" spans="1:19" x14ac:dyDescent="0.2">
      <c r="A5730" s="12">
        <f t="shared" ref="A5730:C5730" si="1264">A5729</f>
        <v>45985</v>
      </c>
      <c r="B5730" s="5" t="str">
        <f t="shared" si="1264"/>
        <v>Northern Cardinal</v>
      </c>
      <c r="C5730" s="6">
        <f t="shared" si="1264"/>
        <v>0.29166666666666669</v>
      </c>
      <c r="D5730" s="5"/>
      <c r="E5730" s="5"/>
      <c r="F5730" s="5" t="s">
        <v>8</v>
      </c>
      <c r="G5730" s="15" t="s">
        <v>9</v>
      </c>
      <c r="H5730" s="24">
        <f t="shared" si="1129"/>
        <v>0</v>
      </c>
      <c r="I5730" s="24" cm="1">
        <f t="array" ref="I5730">IFERROR(IF($B5730=I$1, ($A5730+$C5730) - MAX(IF($B$2:$B5729=$B5730, $A$2:$A5729+$C$2:$C5729)), "")*24*60, "")</f>
        <v>0</v>
      </c>
      <c r="J5730" s="24" t="str" cm="1">
        <f t="array" ref="J5730">IFERROR(IF($B5730=J$1, ($A5730+$C5730) - MAX(IF($B$2:$B5729=$B5730, $A$2:$A5729+$C$2:$C5729)), "")*24*60, "")</f>
        <v/>
      </c>
      <c r="K5730" s="24" t="str" cm="1">
        <f t="array" ref="K5730">IFERROR(IF($B5730=K$1, ($A5730+$C5730) - MAX(IF($B$2:$B5729=$B5730, $A$2:$A5729+$C$2:$C5729)), "")*24*60, "")</f>
        <v/>
      </c>
      <c r="L5730" s="24" t="str" cm="1">
        <f t="array" ref="L5730">IFERROR(IF($B5730=L$1, ($A5730+$C5730) - MAX(IF($B$2:$B5729=$B5730, $A$2:$A5729+$C$2:$C5729)), "")*24*60, "")</f>
        <v/>
      </c>
      <c r="M5730" s="24" t="str" cm="1">
        <f t="array" ref="M5730">IFERROR(IF($B5730=M$1, ($A5730+$C5730) - MAX(IF($B$2:$B5729=$B5730, $A$2:$A5729+$C$2:$C5729)), "")*24*60, "")</f>
        <v/>
      </c>
      <c r="N5730" s="24" t="str" cm="1">
        <f t="array" ref="N5730">IFERROR(IF($B5730=N$1, ($A5730+$C5730) - MAX(IF($B$2:$B5729=$B5730, $A$2:$A5729+$C$2:$C5729)), "")*24*60, "")</f>
        <v/>
      </c>
      <c r="O5730" s="24" t="str" cm="1">
        <f t="array" ref="O5730">IFERROR(IF($B5730=O$1, ($A5730+$C5730) - MAX(IF($B$2:$B5729=$B5730, $A$2:$A5729+$C$2:$C5729)), "")*24*60, "")</f>
        <v/>
      </c>
      <c r="P5730" s="24" t="str" cm="1">
        <f t="array" ref="P5730">IFERROR(IF($B5730=P$1, ($A5730+$C5730) - MAX(IF($B$2:$B5729=$B5730, $A$2:$A5729+$C$2:$C5729)), "")*24*60, "")</f>
        <v/>
      </c>
      <c r="Q5730" s="24" t="str" cm="1">
        <f t="array" ref="Q5730">IFERROR(IF($B5730=Q$1, ($A5730+$C5730) - MAX(IF($B$2:$B5729=$B5730, $A$2:$A5729+$C$2:$C5729)), "")*24*60, "")</f>
        <v/>
      </c>
      <c r="R5730" s="24" t="str" cm="1">
        <f t="array" ref="R5730">IFERROR(IF($B5730=R$1, ($A5730+$C5730) - MAX(IF($B$2:$B5729=$B5730, $A$2:$A5729+$C$2:$C5729)), "")*24*60, "")</f>
        <v/>
      </c>
      <c r="S5730" s="24" t="str" cm="1">
        <f t="array" ref="S5730">IFERROR(IF($B5730=S$1, ($A5730+$C5730) - MAX(IF($B$2:$B5729=$B5730, $A$2:$A5729+$C$2:$C5729)), "")*24*60, "")</f>
        <v/>
      </c>
    </row>
    <row r="5731" spans="1:19" x14ac:dyDescent="0.2">
      <c r="A5731" s="12">
        <f t="shared" ref="A5731:C5731" si="1265">A5730</f>
        <v>45985</v>
      </c>
      <c r="B5731" s="5" t="str">
        <f t="shared" si="1265"/>
        <v>Northern Cardinal</v>
      </c>
      <c r="C5731" s="6">
        <f t="shared" si="1265"/>
        <v>0.29166666666666669</v>
      </c>
      <c r="D5731" s="5"/>
      <c r="E5731" s="5"/>
      <c r="F5731" s="5" t="s">
        <v>8</v>
      </c>
      <c r="G5731" s="15" t="s">
        <v>9</v>
      </c>
      <c r="H5731" s="24">
        <f t="shared" si="1129"/>
        <v>0</v>
      </c>
      <c r="I5731" s="24" cm="1">
        <f t="array" ref="I5731">IFERROR(IF($B5731=I$1, ($A5731+$C5731) - MAX(IF($B$2:$B5730=$B5731, $A$2:$A5730+$C$2:$C5730)), "")*24*60, "")</f>
        <v>0</v>
      </c>
      <c r="J5731" s="24" t="str" cm="1">
        <f t="array" ref="J5731">IFERROR(IF($B5731=J$1, ($A5731+$C5731) - MAX(IF($B$2:$B5730=$B5731, $A$2:$A5730+$C$2:$C5730)), "")*24*60, "")</f>
        <v/>
      </c>
      <c r="K5731" s="24" t="str" cm="1">
        <f t="array" ref="K5731">IFERROR(IF($B5731=K$1, ($A5731+$C5731) - MAX(IF($B$2:$B5730=$B5731, $A$2:$A5730+$C$2:$C5730)), "")*24*60, "")</f>
        <v/>
      </c>
      <c r="L5731" s="24" t="str" cm="1">
        <f t="array" ref="L5731">IFERROR(IF($B5731=L$1, ($A5731+$C5731) - MAX(IF($B$2:$B5730=$B5731, $A$2:$A5730+$C$2:$C5730)), "")*24*60, "")</f>
        <v/>
      </c>
      <c r="M5731" s="24" t="str" cm="1">
        <f t="array" ref="M5731">IFERROR(IF($B5731=M$1, ($A5731+$C5731) - MAX(IF($B$2:$B5730=$B5731, $A$2:$A5730+$C$2:$C5730)), "")*24*60, "")</f>
        <v/>
      </c>
      <c r="N5731" s="24" t="str" cm="1">
        <f t="array" ref="N5731">IFERROR(IF($B5731=N$1, ($A5731+$C5731) - MAX(IF($B$2:$B5730=$B5731, $A$2:$A5730+$C$2:$C5730)), "")*24*60, "")</f>
        <v/>
      </c>
      <c r="O5731" s="24" t="str" cm="1">
        <f t="array" ref="O5731">IFERROR(IF($B5731=O$1, ($A5731+$C5731) - MAX(IF($B$2:$B5730=$B5731, $A$2:$A5730+$C$2:$C5730)), "")*24*60, "")</f>
        <v/>
      </c>
      <c r="P5731" s="24" t="str" cm="1">
        <f t="array" ref="P5731">IFERROR(IF($B5731=P$1, ($A5731+$C5731) - MAX(IF($B$2:$B5730=$B5731, $A$2:$A5730+$C$2:$C5730)), "")*24*60, "")</f>
        <v/>
      </c>
      <c r="Q5731" s="24" t="str" cm="1">
        <f t="array" ref="Q5731">IFERROR(IF($B5731=Q$1, ($A5731+$C5731) - MAX(IF($B$2:$B5730=$B5731, $A$2:$A5730+$C$2:$C5730)), "")*24*60, "")</f>
        <v/>
      </c>
      <c r="R5731" s="24" t="str" cm="1">
        <f t="array" ref="R5731">IFERROR(IF($B5731=R$1, ($A5731+$C5731) - MAX(IF($B$2:$B5730=$B5731, $A$2:$A5730+$C$2:$C5730)), "")*24*60, "")</f>
        <v/>
      </c>
      <c r="S5731" s="24" t="str" cm="1">
        <f t="array" ref="S5731">IFERROR(IF($B5731=S$1, ($A5731+$C5731) - MAX(IF($B$2:$B5730=$B5731, $A$2:$A5730+$C$2:$C5730)), "")*24*60, "")</f>
        <v/>
      </c>
    </row>
    <row r="5732" spans="1:19" x14ac:dyDescent="0.2">
      <c r="A5732" s="12">
        <f t="shared" ref="A5732:C5732" si="1266">A5731</f>
        <v>45985</v>
      </c>
      <c r="B5732" s="5" t="str">
        <f t="shared" si="1266"/>
        <v>Northern Cardinal</v>
      </c>
      <c r="C5732" s="6">
        <f t="shared" si="1266"/>
        <v>0.29166666666666669</v>
      </c>
      <c r="D5732" s="5"/>
      <c r="E5732" s="5"/>
      <c r="F5732" s="5" t="s">
        <v>8</v>
      </c>
      <c r="G5732" s="15" t="s">
        <v>9</v>
      </c>
      <c r="H5732" s="24">
        <f t="shared" si="1129"/>
        <v>0</v>
      </c>
      <c r="I5732" s="24" cm="1">
        <f t="array" ref="I5732">IFERROR(IF($B5732=I$1, ($A5732+$C5732) - MAX(IF($B$2:$B5731=$B5732, $A$2:$A5731+$C$2:$C5731)), "")*24*60, "")</f>
        <v>0</v>
      </c>
      <c r="J5732" s="24" t="str" cm="1">
        <f t="array" ref="J5732">IFERROR(IF($B5732=J$1, ($A5732+$C5732) - MAX(IF($B$2:$B5731=$B5732, $A$2:$A5731+$C$2:$C5731)), "")*24*60, "")</f>
        <v/>
      </c>
      <c r="K5732" s="24" t="str" cm="1">
        <f t="array" ref="K5732">IFERROR(IF($B5732=K$1, ($A5732+$C5732) - MAX(IF($B$2:$B5731=$B5732, $A$2:$A5731+$C$2:$C5731)), "")*24*60, "")</f>
        <v/>
      </c>
      <c r="L5732" s="24" t="str" cm="1">
        <f t="array" ref="L5732">IFERROR(IF($B5732=L$1, ($A5732+$C5732) - MAX(IF($B$2:$B5731=$B5732, $A$2:$A5731+$C$2:$C5731)), "")*24*60, "")</f>
        <v/>
      </c>
      <c r="M5732" s="24" t="str" cm="1">
        <f t="array" ref="M5732">IFERROR(IF($B5732=M$1, ($A5732+$C5732) - MAX(IF($B$2:$B5731=$B5732, $A$2:$A5731+$C$2:$C5731)), "")*24*60, "")</f>
        <v/>
      </c>
      <c r="N5732" s="24" t="str" cm="1">
        <f t="array" ref="N5732">IFERROR(IF($B5732=N$1, ($A5732+$C5732) - MAX(IF($B$2:$B5731=$B5732, $A$2:$A5731+$C$2:$C5731)), "")*24*60, "")</f>
        <v/>
      </c>
      <c r="O5732" s="24" t="str" cm="1">
        <f t="array" ref="O5732">IFERROR(IF($B5732=O$1, ($A5732+$C5732) - MAX(IF($B$2:$B5731=$B5732, $A$2:$A5731+$C$2:$C5731)), "")*24*60, "")</f>
        <v/>
      </c>
      <c r="P5732" s="24" t="str" cm="1">
        <f t="array" ref="P5732">IFERROR(IF($B5732=P$1, ($A5732+$C5732) - MAX(IF($B$2:$B5731=$B5732, $A$2:$A5731+$C$2:$C5731)), "")*24*60, "")</f>
        <v/>
      </c>
      <c r="Q5732" s="24" t="str" cm="1">
        <f t="array" ref="Q5732">IFERROR(IF($B5732=Q$1, ($A5732+$C5732) - MAX(IF($B$2:$B5731=$B5732, $A$2:$A5731+$C$2:$C5731)), "")*24*60, "")</f>
        <v/>
      </c>
      <c r="R5732" s="24" t="str" cm="1">
        <f t="array" ref="R5732">IFERROR(IF($B5732=R$1, ($A5732+$C5732) - MAX(IF($B$2:$B5731=$B5732, $A$2:$A5731+$C$2:$C5731)), "")*24*60, "")</f>
        <v/>
      </c>
      <c r="S5732" s="24" t="str" cm="1">
        <f t="array" ref="S5732">IFERROR(IF($B5732=S$1, ($A5732+$C5732) - MAX(IF($B$2:$B5731=$B5732, $A$2:$A5731+$C$2:$C5731)), "")*24*60, "")</f>
        <v/>
      </c>
    </row>
    <row r="5733" spans="1:19" x14ac:dyDescent="0.2">
      <c r="A5733" s="12">
        <f t="shared" ref="A5733:C5733" si="1267">A5732</f>
        <v>45985</v>
      </c>
      <c r="B5733" s="5" t="str">
        <f t="shared" si="1267"/>
        <v>Northern Cardinal</v>
      </c>
      <c r="C5733" s="6">
        <f t="shared" si="1267"/>
        <v>0.29166666666666669</v>
      </c>
      <c r="D5733" s="5"/>
      <c r="E5733" s="5"/>
      <c r="F5733" s="5" t="s">
        <v>8</v>
      </c>
      <c r="G5733" s="15" t="s">
        <v>9</v>
      </c>
      <c r="H5733" s="24">
        <f t="shared" si="1129"/>
        <v>0</v>
      </c>
      <c r="I5733" s="24" cm="1">
        <f t="array" ref="I5733">IFERROR(IF($B5733=I$1, ($A5733+$C5733) - MAX(IF($B$2:$B5732=$B5733, $A$2:$A5732+$C$2:$C5732)), "")*24*60, "")</f>
        <v>0</v>
      </c>
      <c r="J5733" s="24" t="str" cm="1">
        <f t="array" ref="J5733">IFERROR(IF($B5733=J$1, ($A5733+$C5733) - MAX(IF($B$2:$B5732=$B5733, $A$2:$A5732+$C$2:$C5732)), "")*24*60, "")</f>
        <v/>
      </c>
      <c r="K5733" s="24" t="str" cm="1">
        <f t="array" ref="K5733">IFERROR(IF($B5733=K$1, ($A5733+$C5733) - MAX(IF($B$2:$B5732=$B5733, $A$2:$A5732+$C$2:$C5732)), "")*24*60, "")</f>
        <v/>
      </c>
      <c r="L5733" s="24" t="str" cm="1">
        <f t="array" ref="L5733">IFERROR(IF($B5733=L$1, ($A5733+$C5733) - MAX(IF($B$2:$B5732=$B5733, $A$2:$A5732+$C$2:$C5732)), "")*24*60, "")</f>
        <v/>
      </c>
      <c r="M5733" s="24" t="str" cm="1">
        <f t="array" ref="M5733">IFERROR(IF($B5733=M$1, ($A5733+$C5733) - MAX(IF($B$2:$B5732=$B5733, $A$2:$A5732+$C$2:$C5732)), "")*24*60, "")</f>
        <v/>
      </c>
      <c r="N5733" s="24" t="str" cm="1">
        <f t="array" ref="N5733">IFERROR(IF($B5733=N$1, ($A5733+$C5733) - MAX(IF($B$2:$B5732=$B5733, $A$2:$A5732+$C$2:$C5732)), "")*24*60, "")</f>
        <v/>
      </c>
      <c r="O5733" s="24" t="str" cm="1">
        <f t="array" ref="O5733">IFERROR(IF($B5733=O$1, ($A5733+$C5733) - MAX(IF($B$2:$B5732=$B5733, $A$2:$A5732+$C$2:$C5732)), "")*24*60, "")</f>
        <v/>
      </c>
      <c r="P5733" s="24" t="str" cm="1">
        <f t="array" ref="P5733">IFERROR(IF($B5733=P$1, ($A5733+$C5733) - MAX(IF($B$2:$B5732=$B5733, $A$2:$A5732+$C$2:$C5732)), "")*24*60, "")</f>
        <v/>
      </c>
      <c r="Q5733" s="24" t="str" cm="1">
        <f t="array" ref="Q5733">IFERROR(IF($B5733=Q$1, ($A5733+$C5733) - MAX(IF($B$2:$B5732=$B5733, $A$2:$A5732+$C$2:$C5732)), "")*24*60, "")</f>
        <v/>
      </c>
      <c r="R5733" s="24" t="str" cm="1">
        <f t="array" ref="R5733">IFERROR(IF($B5733=R$1, ($A5733+$C5733) - MAX(IF($B$2:$B5732=$B5733, $A$2:$A5732+$C$2:$C5732)), "")*24*60, "")</f>
        <v/>
      </c>
      <c r="S5733" s="24" t="str" cm="1">
        <f t="array" ref="S5733">IFERROR(IF($B5733=S$1, ($A5733+$C5733) - MAX(IF($B$2:$B5732=$B5733, $A$2:$A5732+$C$2:$C5732)), "")*24*60, "")</f>
        <v/>
      </c>
    </row>
    <row r="5734" spans="1:19" x14ac:dyDescent="0.2">
      <c r="A5734" s="12">
        <f t="shared" ref="A5734:C5734" si="1268">A5733</f>
        <v>45985</v>
      </c>
      <c r="B5734" s="5" t="str">
        <f t="shared" si="1268"/>
        <v>Northern Cardinal</v>
      </c>
      <c r="C5734" s="6">
        <f t="shared" si="1268"/>
        <v>0.29166666666666669</v>
      </c>
      <c r="D5734" s="5"/>
      <c r="E5734" s="5"/>
      <c r="F5734" s="5" t="s">
        <v>8</v>
      </c>
      <c r="G5734" s="15" t="s">
        <v>9</v>
      </c>
      <c r="H5734" s="24">
        <f t="shared" si="1129"/>
        <v>0</v>
      </c>
      <c r="I5734" s="24" cm="1">
        <f t="array" ref="I5734">IFERROR(IF($B5734=I$1, ($A5734+$C5734) - MAX(IF($B$2:$B5733=$B5734, $A$2:$A5733+$C$2:$C5733)), "")*24*60, "")</f>
        <v>0</v>
      </c>
      <c r="J5734" s="24" t="str" cm="1">
        <f t="array" ref="J5734">IFERROR(IF($B5734=J$1, ($A5734+$C5734) - MAX(IF($B$2:$B5733=$B5734, $A$2:$A5733+$C$2:$C5733)), "")*24*60, "")</f>
        <v/>
      </c>
      <c r="K5734" s="24" t="str" cm="1">
        <f t="array" ref="K5734">IFERROR(IF($B5734=K$1, ($A5734+$C5734) - MAX(IF($B$2:$B5733=$B5734, $A$2:$A5733+$C$2:$C5733)), "")*24*60, "")</f>
        <v/>
      </c>
      <c r="L5734" s="24" t="str" cm="1">
        <f t="array" ref="L5734">IFERROR(IF($B5734=L$1, ($A5734+$C5734) - MAX(IF($B$2:$B5733=$B5734, $A$2:$A5733+$C$2:$C5733)), "")*24*60, "")</f>
        <v/>
      </c>
      <c r="M5734" s="24" t="str" cm="1">
        <f t="array" ref="M5734">IFERROR(IF($B5734=M$1, ($A5734+$C5734) - MAX(IF($B$2:$B5733=$B5734, $A$2:$A5733+$C$2:$C5733)), "")*24*60, "")</f>
        <v/>
      </c>
      <c r="N5734" s="24" t="str" cm="1">
        <f t="array" ref="N5734">IFERROR(IF($B5734=N$1, ($A5734+$C5734) - MAX(IF($B$2:$B5733=$B5734, $A$2:$A5733+$C$2:$C5733)), "")*24*60, "")</f>
        <v/>
      </c>
      <c r="O5734" s="24" t="str" cm="1">
        <f t="array" ref="O5734">IFERROR(IF($B5734=O$1, ($A5734+$C5734) - MAX(IF($B$2:$B5733=$B5734, $A$2:$A5733+$C$2:$C5733)), "")*24*60, "")</f>
        <v/>
      </c>
      <c r="P5734" s="24" t="str" cm="1">
        <f t="array" ref="P5734">IFERROR(IF($B5734=P$1, ($A5734+$C5734) - MAX(IF($B$2:$B5733=$B5734, $A$2:$A5733+$C$2:$C5733)), "")*24*60, "")</f>
        <v/>
      </c>
      <c r="Q5734" s="24" t="str" cm="1">
        <f t="array" ref="Q5734">IFERROR(IF($B5734=Q$1, ($A5734+$C5734) - MAX(IF($B$2:$B5733=$B5734, $A$2:$A5733+$C$2:$C5733)), "")*24*60, "")</f>
        <v/>
      </c>
      <c r="R5734" s="24" t="str" cm="1">
        <f t="array" ref="R5734">IFERROR(IF($B5734=R$1, ($A5734+$C5734) - MAX(IF($B$2:$B5733=$B5734, $A$2:$A5733+$C$2:$C5733)), "")*24*60, "")</f>
        <v/>
      </c>
      <c r="S5734" s="24" t="str" cm="1">
        <f t="array" ref="S5734">IFERROR(IF($B5734=S$1, ($A5734+$C5734) - MAX(IF($B$2:$B5733=$B5734, $A$2:$A5733+$C$2:$C5733)), "")*24*60, "")</f>
        <v/>
      </c>
    </row>
    <row r="5735" spans="1:19" x14ac:dyDescent="0.2">
      <c r="A5735" s="12">
        <f t="shared" ref="A5735:C5735" si="1269">A5734</f>
        <v>45985</v>
      </c>
      <c r="B5735" s="5" t="str">
        <f t="shared" si="1269"/>
        <v>Northern Cardinal</v>
      </c>
      <c r="C5735" s="6">
        <f t="shared" si="1269"/>
        <v>0.29166666666666669</v>
      </c>
      <c r="D5735" s="5"/>
      <c r="E5735" s="5"/>
      <c r="F5735" s="5" t="s">
        <v>8</v>
      </c>
      <c r="G5735" s="15" t="s">
        <v>9</v>
      </c>
      <c r="H5735" s="24">
        <f t="shared" si="1129"/>
        <v>0</v>
      </c>
      <c r="I5735" s="24" cm="1">
        <f t="array" ref="I5735">IFERROR(IF($B5735=I$1, ($A5735+$C5735) - MAX(IF($B$2:$B5734=$B5735, $A$2:$A5734+$C$2:$C5734)), "")*24*60, "")</f>
        <v>0</v>
      </c>
      <c r="J5735" s="24" t="str" cm="1">
        <f t="array" ref="J5735">IFERROR(IF($B5735=J$1, ($A5735+$C5735) - MAX(IF($B$2:$B5734=$B5735, $A$2:$A5734+$C$2:$C5734)), "")*24*60, "")</f>
        <v/>
      </c>
      <c r="K5735" s="24" t="str" cm="1">
        <f t="array" ref="K5735">IFERROR(IF($B5735=K$1, ($A5735+$C5735) - MAX(IF($B$2:$B5734=$B5735, $A$2:$A5734+$C$2:$C5734)), "")*24*60, "")</f>
        <v/>
      </c>
      <c r="L5735" s="24" t="str" cm="1">
        <f t="array" ref="L5735">IFERROR(IF($B5735=L$1, ($A5735+$C5735) - MAX(IF($B$2:$B5734=$B5735, $A$2:$A5734+$C$2:$C5734)), "")*24*60, "")</f>
        <v/>
      </c>
      <c r="M5735" s="24" t="str" cm="1">
        <f t="array" ref="M5735">IFERROR(IF($B5735=M$1, ($A5735+$C5735) - MAX(IF($B$2:$B5734=$B5735, $A$2:$A5734+$C$2:$C5734)), "")*24*60, "")</f>
        <v/>
      </c>
      <c r="N5735" s="24" t="str" cm="1">
        <f t="array" ref="N5735">IFERROR(IF($B5735=N$1, ($A5735+$C5735) - MAX(IF($B$2:$B5734=$B5735, $A$2:$A5734+$C$2:$C5734)), "")*24*60, "")</f>
        <v/>
      </c>
      <c r="O5735" s="24" t="str" cm="1">
        <f t="array" ref="O5735">IFERROR(IF($B5735=O$1, ($A5735+$C5735) - MAX(IF($B$2:$B5734=$B5735, $A$2:$A5734+$C$2:$C5734)), "")*24*60, "")</f>
        <v/>
      </c>
      <c r="P5735" s="24" t="str" cm="1">
        <f t="array" ref="P5735">IFERROR(IF($B5735=P$1, ($A5735+$C5735) - MAX(IF($B$2:$B5734=$B5735, $A$2:$A5734+$C$2:$C5734)), "")*24*60, "")</f>
        <v/>
      </c>
      <c r="Q5735" s="24" t="str" cm="1">
        <f t="array" ref="Q5735">IFERROR(IF($B5735=Q$1, ($A5735+$C5735) - MAX(IF($B$2:$B5734=$B5735, $A$2:$A5734+$C$2:$C5734)), "")*24*60, "")</f>
        <v/>
      </c>
      <c r="R5735" s="24" t="str" cm="1">
        <f t="array" ref="R5735">IFERROR(IF($B5735=R$1, ($A5735+$C5735) - MAX(IF($B$2:$B5734=$B5735, $A$2:$A5734+$C$2:$C5734)), "")*24*60, "")</f>
        <v/>
      </c>
      <c r="S5735" s="24" t="str" cm="1">
        <f t="array" ref="S5735">IFERROR(IF($B5735=S$1, ($A5735+$C5735) - MAX(IF($B$2:$B5734=$B5735, $A$2:$A5734+$C$2:$C5734)), "")*24*60, "")</f>
        <v/>
      </c>
    </row>
    <row r="5736" spans="1:19" x14ac:dyDescent="0.2">
      <c r="A5736" s="12">
        <f t="shared" ref="A5736:C5736" si="1270">A5735</f>
        <v>45985</v>
      </c>
      <c r="B5736" s="5" t="str">
        <f t="shared" si="1270"/>
        <v>Northern Cardinal</v>
      </c>
      <c r="C5736" s="6">
        <f t="shared" si="1270"/>
        <v>0.29166666666666669</v>
      </c>
      <c r="D5736" s="5"/>
      <c r="E5736" s="5"/>
      <c r="F5736" s="5" t="s">
        <v>8</v>
      </c>
      <c r="G5736" s="15" t="s">
        <v>9</v>
      </c>
      <c r="H5736" s="24">
        <f t="shared" si="1129"/>
        <v>0</v>
      </c>
      <c r="I5736" s="24" cm="1">
        <f t="array" ref="I5736">IFERROR(IF($B5736=I$1, ($A5736+$C5736) - MAX(IF($B$2:$B5735=$B5736, $A$2:$A5735+$C$2:$C5735)), "")*24*60, "")</f>
        <v>0</v>
      </c>
      <c r="J5736" s="24" t="str" cm="1">
        <f t="array" ref="J5736">IFERROR(IF($B5736=J$1, ($A5736+$C5736) - MAX(IF($B$2:$B5735=$B5736, $A$2:$A5735+$C$2:$C5735)), "")*24*60, "")</f>
        <v/>
      </c>
      <c r="K5736" s="24" t="str" cm="1">
        <f t="array" ref="K5736">IFERROR(IF($B5736=K$1, ($A5736+$C5736) - MAX(IF($B$2:$B5735=$B5736, $A$2:$A5735+$C$2:$C5735)), "")*24*60, "")</f>
        <v/>
      </c>
      <c r="L5736" s="24" t="str" cm="1">
        <f t="array" ref="L5736">IFERROR(IF($B5736=L$1, ($A5736+$C5736) - MAX(IF($B$2:$B5735=$B5736, $A$2:$A5735+$C$2:$C5735)), "")*24*60, "")</f>
        <v/>
      </c>
      <c r="M5736" s="24" t="str" cm="1">
        <f t="array" ref="M5736">IFERROR(IF($B5736=M$1, ($A5736+$C5736) - MAX(IF($B$2:$B5735=$B5736, $A$2:$A5735+$C$2:$C5735)), "")*24*60, "")</f>
        <v/>
      </c>
      <c r="N5736" s="24" t="str" cm="1">
        <f t="array" ref="N5736">IFERROR(IF($B5736=N$1, ($A5736+$C5736) - MAX(IF($B$2:$B5735=$B5736, $A$2:$A5735+$C$2:$C5735)), "")*24*60, "")</f>
        <v/>
      </c>
      <c r="O5736" s="24" t="str" cm="1">
        <f t="array" ref="O5736">IFERROR(IF($B5736=O$1, ($A5736+$C5736) - MAX(IF($B$2:$B5735=$B5736, $A$2:$A5735+$C$2:$C5735)), "")*24*60, "")</f>
        <v/>
      </c>
      <c r="P5736" s="24" t="str" cm="1">
        <f t="array" ref="P5736">IFERROR(IF($B5736=P$1, ($A5736+$C5736) - MAX(IF($B$2:$B5735=$B5736, $A$2:$A5735+$C$2:$C5735)), "")*24*60, "")</f>
        <v/>
      </c>
      <c r="Q5736" s="24" t="str" cm="1">
        <f t="array" ref="Q5736">IFERROR(IF($B5736=Q$1, ($A5736+$C5736) - MAX(IF($B$2:$B5735=$B5736, $A$2:$A5735+$C$2:$C5735)), "")*24*60, "")</f>
        <v/>
      </c>
      <c r="R5736" s="24" t="str" cm="1">
        <f t="array" ref="R5736">IFERROR(IF($B5736=R$1, ($A5736+$C5736) - MAX(IF($B$2:$B5735=$B5736, $A$2:$A5735+$C$2:$C5735)), "")*24*60, "")</f>
        <v/>
      </c>
      <c r="S5736" s="24" t="str" cm="1">
        <f t="array" ref="S5736">IFERROR(IF($B5736=S$1, ($A5736+$C5736) - MAX(IF($B$2:$B5735=$B5736, $A$2:$A5735+$C$2:$C5735)), "")*24*60, "")</f>
        <v/>
      </c>
    </row>
    <row r="5737" spans="1:19" x14ac:dyDescent="0.2">
      <c r="A5737" s="12">
        <f t="shared" ref="A5737:C5737" si="1271">A5736</f>
        <v>45985</v>
      </c>
      <c r="B5737" s="5" t="str">
        <f t="shared" si="1271"/>
        <v>Northern Cardinal</v>
      </c>
      <c r="C5737" s="6">
        <f t="shared" si="1271"/>
        <v>0.29166666666666669</v>
      </c>
      <c r="D5737" s="5"/>
      <c r="E5737" s="5"/>
      <c r="F5737" s="5" t="s">
        <v>8</v>
      </c>
      <c r="G5737" s="15" t="s">
        <v>9</v>
      </c>
      <c r="H5737" s="24">
        <f t="shared" si="1129"/>
        <v>0</v>
      </c>
      <c r="I5737" s="24" cm="1">
        <f t="array" ref="I5737">IFERROR(IF($B5737=I$1, ($A5737+$C5737) - MAX(IF($B$2:$B5736=$B5737, $A$2:$A5736+$C$2:$C5736)), "")*24*60, "")</f>
        <v>0</v>
      </c>
      <c r="J5737" s="24" t="str" cm="1">
        <f t="array" ref="J5737">IFERROR(IF($B5737=J$1, ($A5737+$C5737) - MAX(IF($B$2:$B5736=$B5737, $A$2:$A5736+$C$2:$C5736)), "")*24*60, "")</f>
        <v/>
      </c>
      <c r="K5737" s="24" t="str" cm="1">
        <f t="array" ref="K5737">IFERROR(IF($B5737=K$1, ($A5737+$C5737) - MAX(IF($B$2:$B5736=$B5737, $A$2:$A5736+$C$2:$C5736)), "")*24*60, "")</f>
        <v/>
      </c>
      <c r="L5737" s="24" t="str" cm="1">
        <f t="array" ref="L5737">IFERROR(IF($B5737=L$1, ($A5737+$C5737) - MAX(IF($B$2:$B5736=$B5737, $A$2:$A5736+$C$2:$C5736)), "")*24*60, "")</f>
        <v/>
      </c>
      <c r="M5737" s="24" t="str" cm="1">
        <f t="array" ref="M5737">IFERROR(IF($B5737=M$1, ($A5737+$C5737) - MAX(IF($B$2:$B5736=$B5737, $A$2:$A5736+$C$2:$C5736)), "")*24*60, "")</f>
        <v/>
      </c>
      <c r="N5737" s="24" t="str" cm="1">
        <f t="array" ref="N5737">IFERROR(IF($B5737=N$1, ($A5737+$C5737) - MAX(IF($B$2:$B5736=$B5737, $A$2:$A5736+$C$2:$C5736)), "")*24*60, "")</f>
        <v/>
      </c>
      <c r="O5737" s="24" t="str" cm="1">
        <f t="array" ref="O5737">IFERROR(IF($B5737=O$1, ($A5737+$C5737) - MAX(IF($B$2:$B5736=$B5737, $A$2:$A5736+$C$2:$C5736)), "")*24*60, "")</f>
        <v/>
      </c>
      <c r="P5737" s="24" t="str" cm="1">
        <f t="array" ref="P5737">IFERROR(IF($B5737=P$1, ($A5737+$C5737) - MAX(IF($B$2:$B5736=$B5737, $A$2:$A5736+$C$2:$C5736)), "")*24*60, "")</f>
        <v/>
      </c>
      <c r="Q5737" s="24" t="str" cm="1">
        <f t="array" ref="Q5737">IFERROR(IF($B5737=Q$1, ($A5737+$C5737) - MAX(IF($B$2:$B5736=$B5737, $A$2:$A5736+$C$2:$C5736)), "")*24*60, "")</f>
        <v/>
      </c>
      <c r="R5737" s="24" t="str" cm="1">
        <f t="array" ref="R5737">IFERROR(IF($B5737=R$1, ($A5737+$C5737) - MAX(IF($B$2:$B5736=$B5737, $A$2:$A5736+$C$2:$C5736)), "")*24*60, "")</f>
        <v/>
      </c>
      <c r="S5737" s="24" t="str" cm="1">
        <f t="array" ref="S5737">IFERROR(IF($B5737=S$1, ($A5737+$C5737) - MAX(IF($B$2:$B5736=$B5737, $A$2:$A5736+$C$2:$C5736)), "")*24*60, "")</f>
        <v/>
      </c>
    </row>
    <row r="5738" spans="1:19" x14ac:dyDescent="0.2">
      <c r="A5738" s="12">
        <f t="shared" ref="A5738:C5738" si="1272">A5737</f>
        <v>45985</v>
      </c>
      <c r="B5738" s="5" t="str">
        <f t="shared" si="1272"/>
        <v>Northern Cardinal</v>
      </c>
      <c r="C5738" s="6">
        <f t="shared" si="1272"/>
        <v>0.29166666666666669</v>
      </c>
      <c r="D5738" s="5"/>
      <c r="E5738" s="5"/>
      <c r="F5738" s="5" t="s">
        <v>8</v>
      </c>
      <c r="G5738" s="15" t="s">
        <v>9</v>
      </c>
      <c r="H5738" s="24">
        <f t="shared" si="1129"/>
        <v>0</v>
      </c>
      <c r="I5738" s="24" cm="1">
        <f t="array" ref="I5738">IFERROR(IF($B5738=I$1, ($A5738+$C5738) - MAX(IF($B$2:$B5737=$B5738, $A$2:$A5737+$C$2:$C5737)), "")*24*60, "")</f>
        <v>0</v>
      </c>
      <c r="J5738" s="24" t="str" cm="1">
        <f t="array" ref="J5738">IFERROR(IF($B5738=J$1, ($A5738+$C5738) - MAX(IF($B$2:$B5737=$B5738, $A$2:$A5737+$C$2:$C5737)), "")*24*60, "")</f>
        <v/>
      </c>
      <c r="K5738" s="24" t="str" cm="1">
        <f t="array" ref="K5738">IFERROR(IF($B5738=K$1, ($A5738+$C5738) - MAX(IF($B$2:$B5737=$B5738, $A$2:$A5737+$C$2:$C5737)), "")*24*60, "")</f>
        <v/>
      </c>
      <c r="L5738" s="24" t="str" cm="1">
        <f t="array" ref="L5738">IFERROR(IF($B5738=L$1, ($A5738+$C5738) - MAX(IF($B$2:$B5737=$B5738, $A$2:$A5737+$C$2:$C5737)), "")*24*60, "")</f>
        <v/>
      </c>
      <c r="M5738" s="24" t="str" cm="1">
        <f t="array" ref="M5738">IFERROR(IF($B5738=M$1, ($A5738+$C5738) - MAX(IF($B$2:$B5737=$B5738, $A$2:$A5737+$C$2:$C5737)), "")*24*60, "")</f>
        <v/>
      </c>
      <c r="N5738" s="24" t="str" cm="1">
        <f t="array" ref="N5738">IFERROR(IF($B5738=N$1, ($A5738+$C5738) - MAX(IF($B$2:$B5737=$B5738, $A$2:$A5737+$C$2:$C5737)), "")*24*60, "")</f>
        <v/>
      </c>
      <c r="O5738" s="24" t="str" cm="1">
        <f t="array" ref="O5738">IFERROR(IF($B5738=O$1, ($A5738+$C5738) - MAX(IF($B$2:$B5737=$B5738, $A$2:$A5737+$C$2:$C5737)), "")*24*60, "")</f>
        <v/>
      </c>
      <c r="P5738" s="24" t="str" cm="1">
        <f t="array" ref="P5738">IFERROR(IF($B5738=P$1, ($A5738+$C5738) - MAX(IF($B$2:$B5737=$B5738, $A$2:$A5737+$C$2:$C5737)), "")*24*60, "")</f>
        <v/>
      </c>
      <c r="Q5738" s="24" t="str" cm="1">
        <f t="array" ref="Q5738">IFERROR(IF($B5738=Q$1, ($A5738+$C5738) - MAX(IF($B$2:$B5737=$B5738, $A$2:$A5737+$C$2:$C5737)), "")*24*60, "")</f>
        <v/>
      </c>
      <c r="R5738" s="24" t="str" cm="1">
        <f t="array" ref="R5738">IFERROR(IF($B5738=R$1, ($A5738+$C5738) - MAX(IF($B$2:$B5737=$B5738, $A$2:$A5737+$C$2:$C5737)), "")*24*60, "")</f>
        <v/>
      </c>
      <c r="S5738" s="24" t="str" cm="1">
        <f t="array" ref="S5738">IFERROR(IF($B5738=S$1, ($A5738+$C5738) - MAX(IF($B$2:$B5737=$B5738, $A$2:$A5737+$C$2:$C5737)), "")*24*60, "")</f>
        <v/>
      </c>
    </row>
    <row r="5739" spans="1:19" x14ac:dyDescent="0.2">
      <c r="A5739" s="12">
        <f t="shared" ref="A5739:C5739" si="1273">A5738</f>
        <v>45985</v>
      </c>
      <c r="B5739" s="5" t="str">
        <f t="shared" si="1273"/>
        <v>Northern Cardinal</v>
      </c>
      <c r="C5739" s="6">
        <f t="shared" si="1273"/>
        <v>0.29166666666666669</v>
      </c>
      <c r="D5739" s="5"/>
      <c r="E5739" s="5"/>
      <c r="F5739" s="5" t="s">
        <v>8</v>
      </c>
      <c r="G5739" s="15" t="s">
        <v>9</v>
      </c>
      <c r="H5739" s="24">
        <f t="shared" si="1129"/>
        <v>0</v>
      </c>
      <c r="I5739" s="24" cm="1">
        <f t="array" ref="I5739">IFERROR(IF($B5739=I$1, ($A5739+$C5739) - MAX(IF($B$2:$B5738=$B5739, $A$2:$A5738+$C$2:$C5738)), "")*24*60, "")</f>
        <v>0</v>
      </c>
      <c r="J5739" s="24" t="str" cm="1">
        <f t="array" ref="J5739">IFERROR(IF($B5739=J$1, ($A5739+$C5739) - MAX(IF($B$2:$B5738=$B5739, $A$2:$A5738+$C$2:$C5738)), "")*24*60, "")</f>
        <v/>
      </c>
      <c r="K5739" s="24" t="str" cm="1">
        <f t="array" ref="K5739">IFERROR(IF($B5739=K$1, ($A5739+$C5739) - MAX(IF($B$2:$B5738=$B5739, $A$2:$A5738+$C$2:$C5738)), "")*24*60, "")</f>
        <v/>
      </c>
      <c r="L5739" s="24" t="str" cm="1">
        <f t="array" ref="L5739">IFERROR(IF($B5739=L$1, ($A5739+$C5739) - MAX(IF($B$2:$B5738=$B5739, $A$2:$A5738+$C$2:$C5738)), "")*24*60, "")</f>
        <v/>
      </c>
      <c r="M5739" s="24" t="str" cm="1">
        <f t="array" ref="M5739">IFERROR(IF($B5739=M$1, ($A5739+$C5739) - MAX(IF($B$2:$B5738=$B5739, $A$2:$A5738+$C$2:$C5738)), "")*24*60, "")</f>
        <v/>
      </c>
      <c r="N5739" s="24" t="str" cm="1">
        <f t="array" ref="N5739">IFERROR(IF($B5739=N$1, ($A5739+$C5739) - MAX(IF($B$2:$B5738=$B5739, $A$2:$A5738+$C$2:$C5738)), "")*24*60, "")</f>
        <v/>
      </c>
      <c r="O5739" s="24" t="str" cm="1">
        <f t="array" ref="O5739">IFERROR(IF($B5739=O$1, ($A5739+$C5739) - MAX(IF($B$2:$B5738=$B5739, $A$2:$A5738+$C$2:$C5738)), "")*24*60, "")</f>
        <v/>
      </c>
      <c r="P5739" s="24" t="str" cm="1">
        <f t="array" ref="P5739">IFERROR(IF($B5739=P$1, ($A5739+$C5739) - MAX(IF($B$2:$B5738=$B5739, $A$2:$A5738+$C$2:$C5738)), "")*24*60, "")</f>
        <v/>
      </c>
      <c r="Q5739" s="24" t="str" cm="1">
        <f t="array" ref="Q5739">IFERROR(IF($B5739=Q$1, ($A5739+$C5739) - MAX(IF($B$2:$B5738=$B5739, $A$2:$A5738+$C$2:$C5738)), "")*24*60, "")</f>
        <v/>
      </c>
      <c r="R5739" s="24" t="str" cm="1">
        <f t="array" ref="R5739">IFERROR(IF($B5739=R$1, ($A5739+$C5739) - MAX(IF($B$2:$B5738=$B5739, $A$2:$A5738+$C$2:$C5738)), "")*24*60, "")</f>
        <v/>
      </c>
      <c r="S5739" s="24" t="str" cm="1">
        <f t="array" ref="S5739">IFERROR(IF($B5739=S$1, ($A5739+$C5739) - MAX(IF($B$2:$B5738=$B5739, $A$2:$A5738+$C$2:$C5738)), "")*24*60, "")</f>
        <v/>
      </c>
    </row>
    <row r="5740" spans="1:19" x14ac:dyDescent="0.2">
      <c r="A5740" s="12">
        <f t="shared" ref="A5740:C5740" si="1274">A5739</f>
        <v>45985</v>
      </c>
      <c r="B5740" s="5" t="str">
        <f t="shared" si="1274"/>
        <v>Northern Cardinal</v>
      </c>
      <c r="C5740" s="6">
        <f t="shared" si="1274"/>
        <v>0.29166666666666669</v>
      </c>
      <c r="D5740" s="5"/>
      <c r="E5740" s="5"/>
      <c r="F5740" s="5" t="s">
        <v>8</v>
      </c>
      <c r="G5740" s="15" t="s">
        <v>9</v>
      </c>
      <c r="H5740" s="24">
        <f t="shared" si="1129"/>
        <v>0</v>
      </c>
      <c r="I5740" s="24" cm="1">
        <f t="array" ref="I5740">IFERROR(IF($B5740=I$1, ($A5740+$C5740) - MAX(IF($B$2:$B5739=$B5740, $A$2:$A5739+$C$2:$C5739)), "")*24*60, "")</f>
        <v>0</v>
      </c>
      <c r="J5740" s="24" t="str" cm="1">
        <f t="array" ref="J5740">IFERROR(IF($B5740=J$1, ($A5740+$C5740) - MAX(IF($B$2:$B5739=$B5740, $A$2:$A5739+$C$2:$C5739)), "")*24*60, "")</f>
        <v/>
      </c>
      <c r="K5740" s="24" t="str" cm="1">
        <f t="array" ref="K5740">IFERROR(IF($B5740=K$1, ($A5740+$C5740) - MAX(IF($B$2:$B5739=$B5740, $A$2:$A5739+$C$2:$C5739)), "")*24*60, "")</f>
        <v/>
      </c>
      <c r="L5740" s="24" t="str" cm="1">
        <f t="array" ref="L5740">IFERROR(IF($B5740=L$1, ($A5740+$C5740) - MAX(IF($B$2:$B5739=$B5740, $A$2:$A5739+$C$2:$C5739)), "")*24*60, "")</f>
        <v/>
      </c>
      <c r="M5740" s="24" t="str" cm="1">
        <f t="array" ref="M5740">IFERROR(IF($B5740=M$1, ($A5740+$C5740) - MAX(IF($B$2:$B5739=$B5740, $A$2:$A5739+$C$2:$C5739)), "")*24*60, "")</f>
        <v/>
      </c>
      <c r="N5740" s="24" t="str" cm="1">
        <f t="array" ref="N5740">IFERROR(IF($B5740=N$1, ($A5740+$C5740) - MAX(IF($B$2:$B5739=$B5740, $A$2:$A5739+$C$2:$C5739)), "")*24*60, "")</f>
        <v/>
      </c>
      <c r="O5740" s="24" t="str" cm="1">
        <f t="array" ref="O5740">IFERROR(IF($B5740=O$1, ($A5740+$C5740) - MAX(IF($B$2:$B5739=$B5740, $A$2:$A5739+$C$2:$C5739)), "")*24*60, "")</f>
        <v/>
      </c>
      <c r="P5740" s="24" t="str" cm="1">
        <f t="array" ref="P5740">IFERROR(IF($B5740=P$1, ($A5740+$C5740) - MAX(IF($B$2:$B5739=$B5740, $A$2:$A5739+$C$2:$C5739)), "")*24*60, "")</f>
        <v/>
      </c>
      <c r="Q5740" s="24" t="str" cm="1">
        <f t="array" ref="Q5740">IFERROR(IF($B5740=Q$1, ($A5740+$C5740) - MAX(IF($B$2:$B5739=$B5740, $A$2:$A5739+$C$2:$C5739)), "")*24*60, "")</f>
        <v/>
      </c>
      <c r="R5740" s="24" t="str" cm="1">
        <f t="array" ref="R5740">IFERROR(IF($B5740=R$1, ($A5740+$C5740) - MAX(IF($B$2:$B5739=$B5740, $A$2:$A5739+$C$2:$C5739)), "")*24*60, "")</f>
        <v/>
      </c>
      <c r="S5740" s="24" t="str" cm="1">
        <f t="array" ref="S5740">IFERROR(IF($B5740=S$1, ($A5740+$C5740) - MAX(IF($B$2:$B5739=$B5740, $A$2:$A5739+$C$2:$C5739)), "")*24*60, "")</f>
        <v/>
      </c>
    </row>
    <row r="5741" spans="1:19" x14ac:dyDescent="0.2">
      <c r="A5741" s="12">
        <f t="shared" ref="A5741:C5741" si="1275">A5740</f>
        <v>45985</v>
      </c>
      <c r="B5741" s="5" t="str">
        <f t="shared" si="1275"/>
        <v>Northern Cardinal</v>
      </c>
      <c r="C5741" s="6">
        <f t="shared" si="1275"/>
        <v>0.29166666666666669</v>
      </c>
      <c r="D5741" s="5"/>
      <c r="E5741" s="5"/>
      <c r="F5741" s="5" t="s">
        <v>8</v>
      </c>
      <c r="G5741" s="15" t="s">
        <v>9</v>
      </c>
      <c r="H5741" s="24">
        <f t="shared" si="1129"/>
        <v>0</v>
      </c>
      <c r="I5741" s="24" cm="1">
        <f t="array" ref="I5741">IFERROR(IF($B5741=I$1, ($A5741+$C5741) - MAX(IF($B$2:$B5740=$B5741, $A$2:$A5740+$C$2:$C5740)), "")*24*60, "")</f>
        <v>0</v>
      </c>
      <c r="J5741" s="24" t="str" cm="1">
        <f t="array" ref="J5741">IFERROR(IF($B5741=J$1, ($A5741+$C5741) - MAX(IF($B$2:$B5740=$B5741, $A$2:$A5740+$C$2:$C5740)), "")*24*60, "")</f>
        <v/>
      </c>
      <c r="K5741" s="24" t="str" cm="1">
        <f t="array" ref="K5741">IFERROR(IF($B5741=K$1, ($A5741+$C5741) - MAX(IF($B$2:$B5740=$B5741, $A$2:$A5740+$C$2:$C5740)), "")*24*60, "")</f>
        <v/>
      </c>
      <c r="L5741" s="24" t="str" cm="1">
        <f t="array" ref="L5741">IFERROR(IF($B5741=L$1, ($A5741+$C5741) - MAX(IF($B$2:$B5740=$B5741, $A$2:$A5740+$C$2:$C5740)), "")*24*60, "")</f>
        <v/>
      </c>
      <c r="M5741" s="24" t="str" cm="1">
        <f t="array" ref="M5741">IFERROR(IF($B5741=M$1, ($A5741+$C5741) - MAX(IF($B$2:$B5740=$B5741, $A$2:$A5740+$C$2:$C5740)), "")*24*60, "")</f>
        <v/>
      </c>
      <c r="N5741" s="24" t="str" cm="1">
        <f t="array" ref="N5741">IFERROR(IF($B5741=N$1, ($A5741+$C5741) - MAX(IF($B$2:$B5740=$B5741, $A$2:$A5740+$C$2:$C5740)), "")*24*60, "")</f>
        <v/>
      </c>
      <c r="O5741" s="24" t="str" cm="1">
        <f t="array" ref="O5741">IFERROR(IF($B5741=O$1, ($A5741+$C5741) - MAX(IF($B$2:$B5740=$B5741, $A$2:$A5740+$C$2:$C5740)), "")*24*60, "")</f>
        <v/>
      </c>
      <c r="P5741" s="24" t="str" cm="1">
        <f t="array" ref="P5741">IFERROR(IF($B5741=P$1, ($A5741+$C5741) - MAX(IF($B$2:$B5740=$B5741, $A$2:$A5740+$C$2:$C5740)), "")*24*60, "")</f>
        <v/>
      </c>
      <c r="Q5741" s="24" t="str" cm="1">
        <f t="array" ref="Q5741">IFERROR(IF($B5741=Q$1, ($A5741+$C5741) - MAX(IF($B$2:$B5740=$B5741, $A$2:$A5740+$C$2:$C5740)), "")*24*60, "")</f>
        <v/>
      </c>
      <c r="R5741" s="24" t="str" cm="1">
        <f t="array" ref="R5741">IFERROR(IF($B5741=R$1, ($A5741+$C5741) - MAX(IF($B$2:$B5740=$B5741, $A$2:$A5740+$C$2:$C5740)), "")*24*60, "")</f>
        <v/>
      </c>
      <c r="S5741" s="24" t="str" cm="1">
        <f t="array" ref="S5741">IFERROR(IF($B5741=S$1, ($A5741+$C5741) - MAX(IF($B$2:$B5740=$B5741, $A$2:$A5740+$C$2:$C5740)), "")*24*60, "")</f>
        <v/>
      </c>
    </row>
    <row r="5742" spans="1:19" x14ac:dyDescent="0.2">
      <c r="A5742" s="12">
        <f t="shared" ref="A5742:C5742" si="1276">A5741</f>
        <v>45985</v>
      </c>
      <c r="B5742" s="5" t="str">
        <f t="shared" si="1276"/>
        <v>Northern Cardinal</v>
      </c>
      <c r="C5742" s="6">
        <f t="shared" si="1276"/>
        <v>0.29166666666666669</v>
      </c>
      <c r="D5742" s="5"/>
      <c r="E5742" s="5"/>
      <c r="F5742" s="5" t="s">
        <v>8</v>
      </c>
      <c r="G5742" s="15" t="s">
        <v>9</v>
      </c>
      <c r="H5742" s="24">
        <f t="shared" si="1129"/>
        <v>0</v>
      </c>
      <c r="I5742" s="24" cm="1">
        <f t="array" ref="I5742">IFERROR(IF($B5742=I$1, ($A5742+$C5742) - MAX(IF($B$2:$B5741=$B5742, $A$2:$A5741+$C$2:$C5741)), "")*24*60, "")</f>
        <v>0</v>
      </c>
      <c r="J5742" s="24" t="str" cm="1">
        <f t="array" ref="J5742">IFERROR(IF($B5742=J$1, ($A5742+$C5742) - MAX(IF($B$2:$B5741=$B5742, $A$2:$A5741+$C$2:$C5741)), "")*24*60, "")</f>
        <v/>
      </c>
      <c r="K5742" s="24" t="str" cm="1">
        <f t="array" ref="K5742">IFERROR(IF($B5742=K$1, ($A5742+$C5742) - MAX(IF($B$2:$B5741=$B5742, $A$2:$A5741+$C$2:$C5741)), "")*24*60, "")</f>
        <v/>
      </c>
      <c r="L5742" s="24" t="str" cm="1">
        <f t="array" ref="L5742">IFERROR(IF($B5742=L$1, ($A5742+$C5742) - MAX(IF($B$2:$B5741=$B5742, $A$2:$A5741+$C$2:$C5741)), "")*24*60, "")</f>
        <v/>
      </c>
      <c r="M5742" s="24" t="str" cm="1">
        <f t="array" ref="M5742">IFERROR(IF($B5742=M$1, ($A5742+$C5742) - MAX(IF($B$2:$B5741=$B5742, $A$2:$A5741+$C$2:$C5741)), "")*24*60, "")</f>
        <v/>
      </c>
      <c r="N5742" s="24" t="str" cm="1">
        <f t="array" ref="N5742">IFERROR(IF($B5742=N$1, ($A5742+$C5742) - MAX(IF($B$2:$B5741=$B5742, $A$2:$A5741+$C$2:$C5741)), "")*24*60, "")</f>
        <v/>
      </c>
      <c r="O5742" s="24" t="str" cm="1">
        <f t="array" ref="O5742">IFERROR(IF($B5742=O$1, ($A5742+$C5742) - MAX(IF($B$2:$B5741=$B5742, $A$2:$A5741+$C$2:$C5741)), "")*24*60, "")</f>
        <v/>
      </c>
      <c r="P5742" s="24" t="str" cm="1">
        <f t="array" ref="P5742">IFERROR(IF($B5742=P$1, ($A5742+$C5742) - MAX(IF($B$2:$B5741=$B5742, $A$2:$A5741+$C$2:$C5741)), "")*24*60, "")</f>
        <v/>
      </c>
      <c r="Q5742" s="24" t="str" cm="1">
        <f t="array" ref="Q5742">IFERROR(IF($B5742=Q$1, ($A5742+$C5742) - MAX(IF($B$2:$B5741=$B5742, $A$2:$A5741+$C$2:$C5741)), "")*24*60, "")</f>
        <v/>
      </c>
      <c r="R5742" s="24" t="str" cm="1">
        <f t="array" ref="R5742">IFERROR(IF($B5742=R$1, ($A5742+$C5742) - MAX(IF($B$2:$B5741=$B5742, $A$2:$A5741+$C$2:$C5741)), "")*24*60, "")</f>
        <v/>
      </c>
      <c r="S5742" s="24" t="str" cm="1">
        <f t="array" ref="S5742">IFERROR(IF($B5742=S$1, ($A5742+$C5742) - MAX(IF($B$2:$B5741=$B5742, $A$2:$A5741+$C$2:$C5741)), "")*24*60, "")</f>
        <v/>
      </c>
    </row>
    <row r="5743" spans="1:19" x14ac:dyDescent="0.2">
      <c r="A5743" s="12">
        <f t="shared" ref="A5743:C5743" si="1277">A5742</f>
        <v>45985</v>
      </c>
      <c r="B5743" s="5" t="str">
        <f t="shared" si="1277"/>
        <v>Northern Cardinal</v>
      </c>
      <c r="C5743" s="6">
        <f t="shared" si="1277"/>
        <v>0.29166666666666669</v>
      </c>
      <c r="D5743" s="5"/>
      <c r="E5743" s="5"/>
      <c r="F5743" s="5" t="s">
        <v>8</v>
      </c>
      <c r="G5743" s="15" t="s">
        <v>9</v>
      </c>
      <c r="H5743" s="24">
        <f t="shared" si="1129"/>
        <v>0</v>
      </c>
      <c r="I5743" s="24" cm="1">
        <f t="array" ref="I5743">IFERROR(IF($B5743=I$1, ($A5743+$C5743) - MAX(IF($B$2:$B5742=$B5743, $A$2:$A5742+$C$2:$C5742)), "")*24*60, "")</f>
        <v>0</v>
      </c>
      <c r="J5743" s="24" t="str" cm="1">
        <f t="array" ref="J5743">IFERROR(IF($B5743=J$1, ($A5743+$C5743) - MAX(IF($B$2:$B5742=$B5743, $A$2:$A5742+$C$2:$C5742)), "")*24*60, "")</f>
        <v/>
      </c>
      <c r="K5743" s="24" t="str" cm="1">
        <f t="array" ref="K5743">IFERROR(IF($B5743=K$1, ($A5743+$C5743) - MAX(IF($B$2:$B5742=$B5743, $A$2:$A5742+$C$2:$C5742)), "")*24*60, "")</f>
        <v/>
      </c>
      <c r="L5743" s="24" t="str" cm="1">
        <f t="array" ref="L5743">IFERROR(IF($B5743=L$1, ($A5743+$C5743) - MAX(IF($B$2:$B5742=$B5743, $A$2:$A5742+$C$2:$C5742)), "")*24*60, "")</f>
        <v/>
      </c>
      <c r="M5743" s="24" t="str" cm="1">
        <f t="array" ref="M5743">IFERROR(IF($B5743=M$1, ($A5743+$C5743) - MAX(IF($B$2:$B5742=$B5743, $A$2:$A5742+$C$2:$C5742)), "")*24*60, "")</f>
        <v/>
      </c>
      <c r="N5743" s="24" t="str" cm="1">
        <f t="array" ref="N5743">IFERROR(IF($B5743=N$1, ($A5743+$C5743) - MAX(IF($B$2:$B5742=$B5743, $A$2:$A5742+$C$2:$C5742)), "")*24*60, "")</f>
        <v/>
      </c>
      <c r="O5743" s="24" t="str" cm="1">
        <f t="array" ref="O5743">IFERROR(IF($B5743=O$1, ($A5743+$C5743) - MAX(IF($B$2:$B5742=$B5743, $A$2:$A5742+$C$2:$C5742)), "")*24*60, "")</f>
        <v/>
      </c>
      <c r="P5743" s="24" t="str" cm="1">
        <f t="array" ref="P5743">IFERROR(IF($B5743=P$1, ($A5743+$C5743) - MAX(IF($B$2:$B5742=$B5743, $A$2:$A5742+$C$2:$C5742)), "")*24*60, "")</f>
        <v/>
      </c>
      <c r="Q5743" s="24" t="str" cm="1">
        <f t="array" ref="Q5743">IFERROR(IF($B5743=Q$1, ($A5743+$C5743) - MAX(IF($B$2:$B5742=$B5743, $A$2:$A5742+$C$2:$C5742)), "")*24*60, "")</f>
        <v/>
      </c>
      <c r="R5743" s="24" t="str" cm="1">
        <f t="array" ref="R5743">IFERROR(IF($B5743=R$1, ($A5743+$C5743) - MAX(IF($B$2:$B5742=$B5743, $A$2:$A5742+$C$2:$C5742)), "")*24*60, "")</f>
        <v/>
      </c>
      <c r="S5743" s="24" t="str" cm="1">
        <f t="array" ref="S5743">IFERROR(IF($B5743=S$1, ($A5743+$C5743) - MAX(IF($B$2:$B5742=$B5743, $A$2:$A5742+$C$2:$C5742)), "")*24*60, "")</f>
        <v/>
      </c>
    </row>
    <row r="5744" spans="1:19" x14ac:dyDescent="0.2">
      <c r="A5744" s="12">
        <f t="shared" ref="A5744:C5744" si="1278">A5743</f>
        <v>45985</v>
      </c>
      <c r="B5744" s="5" t="str">
        <f t="shared" si="1278"/>
        <v>Northern Cardinal</v>
      </c>
      <c r="C5744" s="6">
        <f t="shared" si="1278"/>
        <v>0.29166666666666669</v>
      </c>
      <c r="D5744" s="5"/>
      <c r="E5744" s="5"/>
      <c r="F5744" s="5" t="s">
        <v>8</v>
      </c>
      <c r="G5744" s="15" t="s">
        <v>9</v>
      </c>
      <c r="H5744" s="24">
        <f t="shared" si="1129"/>
        <v>0</v>
      </c>
      <c r="I5744" s="24" cm="1">
        <f t="array" ref="I5744">IFERROR(IF($B5744=I$1, ($A5744+$C5744) - MAX(IF($B$2:$B5743=$B5744, $A$2:$A5743+$C$2:$C5743)), "")*24*60, "")</f>
        <v>0</v>
      </c>
      <c r="J5744" s="24" t="str" cm="1">
        <f t="array" ref="J5744">IFERROR(IF($B5744=J$1, ($A5744+$C5744) - MAX(IF($B$2:$B5743=$B5744, $A$2:$A5743+$C$2:$C5743)), "")*24*60, "")</f>
        <v/>
      </c>
      <c r="K5744" s="24" t="str" cm="1">
        <f t="array" ref="K5744">IFERROR(IF($B5744=K$1, ($A5744+$C5744) - MAX(IF($B$2:$B5743=$B5744, $A$2:$A5743+$C$2:$C5743)), "")*24*60, "")</f>
        <v/>
      </c>
      <c r="L5744" s="24" t="str" cm="1">
        <f t="array" ref="L5744">IFERROR(IF($B5744=L$1, ($A5744+$C5744) - MAX(IF($B$2:$B5743=$B5744, $A$2:$A5743+$C$2:$C5743)), "")*24*60, "")</f>
        <v/>
      </c>
      <c r="M5744" s="24" t="str" cm="1">
        <f t="array" ref="M5744">IFERROR(IF($B5744=M$1, ($A5744+$C5744) - MAX(IF($B$2:$B5743=$B5744, $A$2:$A5743+$C$2:$C5743)), "")*24*60, "")</f>
        <v/>
      </c>
      <c r="N5744" s="24" t="str" cm="1">
        <f t="array" ref="N5744">IFERROR(IF($B5744=N$1, ($A5744+$C5744) - MAX(IF($B$2:$B5743=$B5744, $A$2:$A5743+$C$2:$C5743)), "")*24*60, "")</f>
        <v/>
      </c>
      <c r="O5744" s="24" t="str" cm="1">
        <f t="array" ref="O5744">IFERROR(IF($B5744=O$1, ($A5744+$C5744) - MAX(IF($B$2:$B5743=$B5744, $A$2:$A5743+$C$2:$C5743)), "")*24*60, "")</f>
        <v/>
      </c>
      <c r="P5744" s="24" t="str" cm="1">
        <f t="array" ref="P5744">IFERROR(IF($B5744=P$1, ($A5744+$C5744) - MAX(IF($B$2:$B5743=$B5744, $A$2:$A5743+$C$2:$C5743)), "")*24*60, "")</f>
        <v/>
      </c>
      <c r="Q5744" s="24" t="str" cm="1">
        <f t="array" ref="Q5744">IFERROR(IF($B5744=Q$1, ($A5744+$C5744) - MAX(IF($B$2:$B5743=$B5744, $A$2:$A5743+$C$2:$C5743)), "")*24*60, "")</f>
        <v/>
      </c>
      <c r="R5744" s="24" t="str" cm="1">
        <f t="array" ref="R5744">IFERROR(IF($B5744=R$1, ($A5744+$C5744) - MAX(IF($B$2:$B5743=$B5744, $A$2:$A5743+$C$2:$C5743)), "")*24*60, "")</f>
        <v/>
      </c>
      <c r="S5744" s="24" t="str" cm="1">
        <f t="array" ref="S5744">IFERROR(IF($B5744=S$1, ($A5744+$C5744) - MAX(IF($B$2:$B5743=$B5744, $A$2:$A5743+$C$2:$C5743)), "")*24*60, "")</f>
        <v/>
      </c>
    </row>
    <row r="5745" spans="1:19" x14ac:dyDescent="0.2">
      <c r="A5745" s="12">
        <f t="shared" ref="A5745:C5745" si="1279">A5744</f>
        <v>45985</v>
      </c>
      <c r="B5745" s="5" t="str">
        <f t="shared" si="1279"/>
        <v>Northern Cardinal</v>
      </c>
      <c r="C5745" s="6">
        <f t="shared" si="1279"/>
        <v>0.29166666666666669</v>
      </c>
      <c r="D5745" s="5"/>
      <c r="E5745" s="5"/>
      <c r="F5745" s="5" t="s">
        <v>8</v>
      </c>
      <c r="G5745" s="15" t="s">
        <v>9</v>
      </c>
      <c r="H5745" s="24">
        <f t="shared" si="1129"/>
        <v>0</v>
      </c>
      <c r="I5745" s="24" cm="1">
        <f t="array" ref="I5745">IFERROR(IF($B5745=I$1, ($A5745+$C5745) - MAX(IF($B$2:$B5744=$B5745, $A$2:$A5744+$C$2:$C5744)), "")*24*60, "")</f>
        <v>0</v>
      </c>
      <c r="J5745" s="24" t="str" cm="1">
        <f t="array" ref="J5745">IFERROR(IF($B5745=J$1, ($A5745+$C5745) - MAX(IF($B$2:$B5744=$B5745, $A$2:$A5744+$C$2:$C5744)), "")*24*60, "")</f>
        <v/>
      </c>
      <c r="K5745" s="24" t="str" cm="1">
        <f t="array" ref="K5745">IFERROR(IF($B5745=K$1, ($A5745+$C5745) - MAX(IF($B$2:$B5744=$B5745, $A$2:$A5744+$C$2:$C5744)), "")*24*60, "")</f>
        <v/>
      </c>
      <c r="L5745" s="24" t="str" cm="1">
        <f t="array" ref="L5745">IFERROR(IF($B5745=L$1, ($A5745+$C5745) - MAX(IF($B$2:$B5744=$B5745, $A$2:$A5744+$C$2:$C5744)), "")*24*60, "")</f>
        <v/>
      </c>
      <c r="M5745" s="24" t="str" cm="1">
        <f t="array" ref="M5745">IFERROR(IF($B5745=M$1, ($A5745+$C5745) - MAX(IF($B$2:$B5744=$B5745, $A$2:$A5744+$C$2:$C5744)), "")*24*60, "")</f>
        <v/>
      </c>
      <c r="N5745" s="24" t="str" cm="1">
        <f t="array" ref="N5745">IFERROR(IF($B5745=N$1, ($A5745+$C5745) - MAX(IF($B$2:$B5744=$B5745, $A$2:$A5744+$C$2:$C5744)), "")*24*60, "")</f>
        <v/>
      </c>
      <c r="O5745" s="24" t="str" cm="1">
        <f t="array" ref="O5745">IFERROR(IF($B5745=O$1, ($A5745+$C5745) - MAX(IF($B$2:$B5744=$B5745, $A$2:$A5744+$C$2:$C5744)), "")*24*60, "")</f>
        <v/>
      </c>
      <c r="P5745" s="24" t="str" cm="1">
        <f t="array" ref="P5745">IFERROR(IF($B5745=P$1, ($A5745+$C5745) - MAX(IF($B$2:$B5744=$B5745, $A$2:$A5744+$C$2:$C5744)), "")*24*60, "")</f>
        <v/>
      </c>
      <c r="Q5745" s="24" t="str" cm="1">
        <f t="array" ref="Q5745">IFERROR(IF($B5745=Q$1, ($A5745+$C5745) - MAX(IF($B$2:$B5744=$B5745, $A$2:$A5744+$C$2:$C5744)), "")*24*60, "")</f>
        <v/>
      </c>
      <c r="R5745" s="24" t="str" cm="1">
        <f t="array" ref="R5745">IFERROR(IF($B5745=R$1, ($A5745+$C5745) - MAX(IF($B$2:$B5744=$B5745, $A$2:$A5744+$C$2:$C5744)), "")*24*60, "")</f>
        <v/>
      </c>
      <c r="S5745" s="24" t="str" cm="1">
        <f t="array" ref="S5745">IFERROR(IF($B5745=S$1, ($A5745+$C5745) - MAX(IF($B$2:$B5744=$B5745, $A$2:$A5744+$C$2:$C5744)), "")*24*60, "")</f>
        <v/>
      </c>
    </row>
    <row r="5746" spans="1:19" x14ac:dyDescent="0.2">
      <c r="A5746" s="12">
        <f t="shared" ref="A5746:C5746" si="1280">A5745</f>
        <v>45985</v>
      </c>
      <c r="B5746" s="5" t="str">
        <f t="shared" si="1280"/>
        <v>Northern Cardinal</v>
      </c>
      <c r="C5746" s="6">
        <f t="shared" si="1280"/>
        <v>0.29166666666666669</v>
      </c>
      <c r="D5746" s="5"/>
      <c r="E5746" s="5"/>
      <c r="F5746" s="5" t="s">
        <v>8</v>
      </c>
      <c r="G5746" s="15" t="s">
        <v>9</v>
      </c>
      <c r="H5746" s="24">
        <f t="shared" si="1129"/>
        <v>0</v>
      </c>
      <c r="I5746" s="24" cm="1">
        <f t="array" ref="I5746">IFERROR(IF($B5746=I$1, ($A5746+$C5746) - MAX(IF($B$2:$B5745=$B5746, $A$2:$A5745+$C$2:$C5745)), "")*24*60, "")</f>
        <v>0</v>
      </c>
      <c r="J5746" s="24" t="str" cm="1">
        <f t="array" ref="J5746">IFERROR(IF($B5746=J$1, ($A5746+$C5746) - MAX(IF($B$2:$B5745=$B5746, $A$2:$A5745+$C$2:$C5745)), "")*24*60, "")</f>
        <v/>
      </c>
      <c r="K5746" s="24" t="str" cm="1">
        <f t="array" ref="K5746">IFERROR(IF($B5746=K$1, ($A5746+$C5746) - MAX(IF($B$2:$B5745=$B5746, $A$2:$A5745+$C$2:$C5745)), "")*24*60, "")</f>
        <v/>
      </c>
      <c r="L5746" s="24" t="str" cm="1">
        <f t="array" ref="L5746">IFERROR(IF($B5746=L$1, ($A5746+$C5746) - MAX(IF($B$2:$B5745=$B5746, $A$2:$A5745+$C$2:$C5745)), "")*24*60, "")</f>
        <v/>
      </c>
      <c r="M5746" s="24" t="str" cm="1">
        <f t="array" ref="M5746">IFERROR(IF($B5746=M$1, ($A5746+$C5746) - MAX(IF($B$2:$B5745=$B5746, $A$2:$A5745+$C$2:$C5745)), "")*24*60, "")</f>
        <v/>
      </c>
      <c r="N5746" s="24" t="str" cm="1">
        <f t="array" ref="N5746">IFERROR(IF($B5746=N$1, ($A5746+$C5746) - MAX(IF($B$2:$B5745=$B5746, $A$2:$A5745+$C$2:$C5745)), "")*24*60, "")</f>
        <v/>
      </c>
      <c r="O5746" s="24" t="str" cm="1">
        <f t="array" ref="O5746">IFERROR(IF($B5746=O$1, ($A5746+$C5746) - MAX(IF($B$2:$B5745=$B5746, $A$2:$A5745+$C$2:$C5745)), "")*24*60, "")</f>
        <v/>
      </c>
      <c r="P5746" s="24" t="str" cm="1">
        <f t="array" ref="P5746">IFERROR(IF($B5746=P$1, ($A5746+$C5746) - MAX(IF($B$2:$B5745=$B5746, $A$2:$A5745+$C$2:$C5745)), "")*24*60, "")</f>
        <v/>
      </c>
      <c r="Q5746" s="24" t="str" cm="1">
        <f t="array" ref="Q5746">IFERROR(IF($B5746=Q$1, ($A5746+$C5746) - MAX(IF($B$2:$B5745=$B5746, $A$2:$A5745+$C$2:$C5745)), "")*24*60, "")</f>
        <v/>
      </c>
      <c r="R5746" s="24" t="str" cm="1">
        <f t="array" ref="R5746">IFERROR(IF($B5746=R$1, ($A5746+$C5746) - MAX(IF($B$2:$B5745=$B5746, $A$2:$A5745+$C$2:$C5745)), "")*24*60, "")</f>
        <v/>
      </c>
      <c r="S5746" s="24" t="str" cm="1">
        <f t="array" ref="S5746">IFERROR(IF($B5746=S$1, ($A5746+$C5746) - MAX(IF($B$2:$B5745=$B5746, $A$2:$A5745+$C$2:$C5745)), "")*24*60, "")</f>
        <v/>
      </c>
    </row>
    <row r="5747" spans="1:19" x14ac:dyDescent="0.2">
      <c r="A5747" s="12">
        <f t="shared" ref="A5747:C5747" si="1281">A5746</f>
        <v>45985</v>
      </c>
      <c r="B5747" s="5" t="str">
        <f t="shared" si="1281"/>
        <v>Northern Cardinal</v>
      </c>
      <c r="C5747" s="6">
        <f t="shared" si="1281"/>
        <v>0.29166666666666669</v>
      </c>
      <c r="D5747" s="5"/>
      <c r="E5747" s="5"/>
      <c r="F5747" s="5" t="s">
        <v>8</v>
      </c>
      <c r="G5747" s="15" t="s">
        <v>9</v>
      </c>
      <c r="H5747" s="24">
        <f t="shared" si="1129"/>
        <v>0</v>
      </c>
      <c r="I5747" s="24" cm="1">
        <f t="array" ref="I5747">IFERROR(IF($B5747=I$1, ($A5747+$C5747) - MAX(IF($B$2:$B5746=$B5747, $A$2:$A5746+$C$2:$C5746)), "")*24*60, "")</f>
        <v>0</v>
      </c>
      <c r="J5747" s="24" t="str" cm="1">
        <f t="array" ref="J5747">IFERROR(IF($B5747=J$1, ($A5747+$C5747) - MAX(IF($B$2:$B5746=$B5747, $A$2:$A5746+$C$2:$C5746)), "")*24*60, "")</f>
        <v/>
      </c>
      <c r="K5747" s="24" t="str" cm="1">
        <f t="array" ref="K5747">IFERROR(IF($B5747=K$1, ($A5747+$C5747) - MAX(IF($B$2:$B5746=$B5747, $A$2:$A5746+$C$2:$C5746)), "")*24*60, "")</f>
        <v/>
      </c>
      <c r="L5747" s="24" t="str" cm="1">
        <f t="array" ref="L5747">IFERROR(IF($B5747=L$1, ($A5747+$C5747) - MAX(IF($B$2:$B5746=$B5747, $A$2:$A5746+$C$2:$C5746)), "")*24*60, "")</f>
        <v/>
      </c>
      <c r="M5747" s="24" t="str" cm="1">
        <f t="array" ref="M5747">IFERROR(IF($B5747=M$1, ($A5747+$C5747) - MAX(IF($B$2:$B5746=$B5747, $A$2:$A5746+$C$2:$C5746)), "")*24*60, "")</f>
        <v/>
      </c>
      <c r="N5747" s="24" t="str" cm="1">
        <f t="array" ref="N5747">IFERROR(IF($B5747=N$1, ($A5747+$C5747) - MAX(IF($B$2:$B5746=$B5747, $A$2:$A5746+$C$2:$C5746)), "")*24*60, "")</f>
        <v/>
      </c>
      <c r="O5747" s="24" t="str" cm="1">
        <f t="array" ref="O5747">IFERROR(IF($B5747=O$1, ($A5747+$C5747) - MAX(IF($B$2:$B5746=$B5747, $A$2:$A5746+$C$2:$C5746)), "")*24*60, "")</f>
        <v/>
      </c>
      <c r="P5747" s="24" t="str" cm="1">
        <f t="array" ref="P5747">IFERROR(IF($B5747=P$1, ($A5747+$C5747) - MAX(IF($B$2:$B5746=$B5747, $A$2:$A5746+$C$2:$C5746)), "")*24*60, "")</f>
        <v/>
      </c>
      <c r="Q5747" s="24" t="str" cm="1">
        <f t="array" ref="Q5747">IFERROR(IF($B5747=Q$1, ($A5747+$C5747) - MAX(IF($B$2:$B5746=$B5747, $A$2:$A5746+$C$2:$C5746)), "")*24*60, "")</f>
        <v/>
      </c>
      <c r="R5747" s="24" t="str" cm="1">
        <f t="array" ref="R5747">IFERROR(IF($B5747=R$1, ($A5747+$C5747) - MAX(IF($B$2:$B5746=$B5747, $A$2:$A5746+$C$2:$C5746)), "")*24*60, "")</f>
        <v/>
      </c>
      <c r="S5747" s="24" t="str" cm="1">
        <f t="array" ref="S5747">IFERROR(IF($B5747=S$1, ($A5747+$C5747) - MAX(IF($B$2:$B5746=$B5747, $A$2:$A5746+$C$2:$C5746)), "")*24*60, "")</f>
        <v/>
      </c>
    </row>
    <row r="5748" spans="1:19" x14ac:dyDescent="0.2">
      <c r="A5748" s="12">
        <f t="shared" ref="A5748:C5748" si="1282">A5747</f>
        <v>45985</v>
      </c>
      <c r="B5748" s="5" t="str">
        <f t="shared" si="1282"/>
        <v>Northern Cardinal</v>
      </c>
      <c r="C5748" s="6">
        <f t="shared" si="1282"/>
        <v>0.29166666666666669</v>
      </c>
      <c r="D5748" s="5"/>
      <c r="E5748" s="5"/>
      <c r="F5748" s="5" t="s">
        <v>8</v>
      </c>
      <c r="G5748" s="15" t="s">
        <v>9</v>
      </c>
      <c r="H5748" s="24">
        <f t="shared" si="1129"/>
        <v>0</v>
      </c>
      <c r="I5748" s="24" cm="1">
        <f t="array" ref="I5748">IFERROR(IF($B5748=I$1, ($A5748+$C5748) - MAX(IF($B$2:$B5747=$B5748, $A$2:$A5747+$C$2:$C5747)), "")*24*60, "")</f>
        <v>0</v>
      </c>
      <c r="J5748" s="24" t="str" cm="1">
        <f t="array" ref="J5748">IFERROR(IF($B5748=J$1, ($A5748+$C5748) - MAX(IF($B$2:$B5747=$B5748, $A$2:$A5747+$C$2:$C5747)), "")*24*60, "")</f>
        <v/>
      </c>
      <c r="K5748" s="24" t="str" cm="1">
        <f t="array" ref="K5748">IFERROR(IF($B5748=K$1, ($A5748+$C5748) - MAX(IF($B$2:$B5747=$B5748, $A$2:$A5747+$C$2:$C5747)), "")*24*60, "")</f>
        <v/>
      </c>
      <c r="L5748" s="24" t="str" cm="1">
        <f t="array" ref="L5748">IFERROR(IF($B5748=L$1, ($A5748+$C5748) - MAX(IF($B$2:$B5747=$B5748, $A$2:$A5747+$C$2:$C5747)), "")*24*60, "")</f>
        <v/>
      </c>
      <c r="M5748" s="24" t="str" cm="1">
        <f t="array" ref="M5748">IFERROR(IF($B5748=M$1, ($A5748+$C5748) - MAX(IF($B$2:$B5747=$B5748, $A$2:$A5747+$C$2:$C5747)), "")*24*60, "")</f>
        <v/>
      </c>
      <c r="N5748" s="24" t="str" cm="1">
        <f t="array" ref="N5748">IFERROR(IF($B5748=N$1, ($A5748+$C5748) - MAX(IF($B$2:$B5747=$B5748, $A$2:$A5747+$C$2:$C5747)), "")*24*60, "")</f>
        <v/>
      </c>
      <c r="O5748" s="24" t="str" cm="1">
        <f t="array" ref="O5748">IFERROR(IF($B5748=O$1, ($A5748+$C5748) - MAX(IF($B$2:$B5747=$B5748, $A$2:$A5747+$C$2:$C5747)), "")*24*60, "")</f>
        <v/>
      </c>
      <c r="P5748" s="24" t="str" cm="1">
        <f t="array" ref="P5748">IFERROR(IF($B5748=P$1, ($A5748+$C5748) - MAX(IF($B$2:$B5747=$B5748, $A$2:$A5747+$C$2:$C5747)), "")*24*60, "")</f>
        <v/>
      </c>
      <c r="Q5748" s="24" t="str" cm="1">
        <f t="array" ref="Q5748">IFERROR(IF($B5748=Q$1, ($A5748+$C5748) - MAX(IF($B$2:$B5747=$B5748, $A$2:$A5747+$C$2:$C5747)), "")*24*60, "")</f>
        <v/>
      </c>
      <c r="R5748" s="24" t="str" cm="1">
        <f t="array" ref="R5748">IFERROR(IF($B5748=R$1, ($A5748+$C5748) - MAX(IF($B$2:$B5747=$B5748, $A$2:$A5747+$C$2:$C5747)), "")*24*60, "")</f>
        <v/>
      </c>
      <c r="S5748" s="24" t="str" cm="1">
        <f t="array" ref="S5748">IFERROR(IF($B5748=S$1, ($A5748+$C5748) - MAX(IF($B$2:$B5747=$B5748, $A$2:$A5747+$C$2:$C5747)), "")*24*60, "")</f>
        <v/>
      </c>
    </row>
    <row r="5749" spans="1:19" x14ac:dyDescent="0.2">
      <c r="A5749" s="12">
        <f t="shared" ref="A5749:C5749" si="1283">A5748</f>
        <v>45985</v>
      </c>
      <c r="B5749" s="5" t="str">
        <f t="shared" si="1283"/>
        <v>Northern Cardinal</v>
      </c>
      <c r="C5749" s="6">
        <f t="shared" si="1283"/>
        <v>0.29166666666666669</v>
      </c>
      <c r="D5749" s="5"/>
      <c r="E5749" s="5"/>
      <c r="F5749" s="5" t="s">
        <v>8</v>
      </c>
      <c r="G5749" s="15" t="s">
        <v>9</v>
      </c>
      <c r="H5749" s="24">
        <f t="shared" si="1129"/>
        <v>0</v>
      </c>
      <c r="I5749" s="24" cm="1">
        <f t="array" ref="I5749">IFERROR(IF($B5749=I$1, ($A5749+$C5749) - MAX(IF($B$2:$B5748=$B5749, $A$2:$A5748+$C$2:$C5748)), "")*24*60, "")</f>
        <v>0</v>
      </c>
      <c r="J5749" s="24" t="str" cm="1">
        <f t="array" ref="J5749">IFERROR(IF($B5749=J$1, ($A5749+$C5749) - MAX(IF($B$2:$B5748=$B5749, $A$2:$A5748+$C$2:$C5748)), "")*24*60, "")</f>
        <v/>
      </c>
      <c r="K5749" s="24" t="str" cm="1">
        <f t="array" ref="K5749">IFERROR(IF($B5749=K$1, ($A5749+$C5749) - MAX(IF($B$2:$B5748=$B5749, $A$2:$A5748+$C$2:$C5748)), "")*24*60, "")</f>
        <v/>
      </c>
      <c r="L5749" s="24" t="str" cm="1">
        <f t="array" ref="L5749">IFERROR(IF($B5749=L$1, ($A5749+$C5749) - MAX(IF($B$2:$B5748=$B5749, $A$2:$A5748+$C$2:$C5748)), "")*24*60, "")</f>
        <v/>
      </c>
      <c r="M5749" s="24" t="str" cm="1">
        <f t="array" ref="M5749">IFERROR(IF($B5749=M$1, ($A5749+$C5749) - MAX(IF($B$2:$B5748=$B5749, $A$2:$A5748+$C$2:$C5748)), "")*24*60, "")</f>
        <v/>
      </c>
      <c r="N5749" s="24" t="str" cm="1">
        <f t="array" ref="N5749">IFERROR(IF($B5749=N$1, ($A5749+$C5749) - MAX(IF($B$2:$B5748=$B5749, $A$2:$A5748+$C$2:$C5748)), "")*24*60, "")</f>
        <v/>
      </c>
      <c r="O5749" s="24" t="str" cm="1">
        <f t="array" ref="O5749">IFERROR(IF($B5749=O$1, ($A5749+$C5749) - MAX(IF($B$2:$B5748=$B5749, $A$2:$A5748+$C$2:$C5748)), "")*24*60, "")</f>
        <v/>
      </c>
      <c r="P5749" s="24" t="str" cm="1">
        <f t="array" ref="P5749">IFERROR(IF($B5749=P$1, ($A5749+$C5749) - MAX(IF($B$2:$B5748=$B5749, $A$2:$A5748+$C$2:$C5748)), "")*24*60, "")</f>
        <v/>
      </c>
      <c r="Q5749" s="24" t="str" cm="1">
        <f t="array" ref="Q5749">IFERROR(IF($B5749=Q$1, ($A5749+$C5749) - MAX(IF($B$2:$B5748=$B5749, $A$2:$A5748+$C$2:$C5748)), "")*24*60, "")</f>
        <v/>
      </c>
      <c r="R5749" s="24" t="str" cm="1">
        <f t="array" ref="R5749">IFERROR(IF($B5749=R$1, ($A5749+$C5749) - MAX(IF($B$2:$B5748=$B5749, $A$2:$A5748+$C$2:$C5748)), "")*24*60, "")</f>
        <v/>
      </c>
      <c r="S5749" s="24" t="str" cm="1">
        <f t="array" ref="S5749">IFERROR(IF($B5749=S$1, ($A5749+$C5749) - MAX(IF($B$2:$B5748=$B5749, $A$2:$A5748+$C$2:$C5748)), "")*24*60, "")</f>
        <v/>
      </c>
    </row>
    <row r="5750" spans="1:19" x14ac:dyDescent="0.2">
      <c r="A5750" s="12">
        <f t="shared" ref="A5750:C5750" si="1284">A5749</f>
        <v>45985</v>
      </c>
      <c r="B5750" s="5" t="str">
        <f t="shared" si="1284"/>
        <v>Northern Cardinal</v>
      </c>
      <c r="C5750" s="6">
        <f t="shared" si="1284"/>
        <v>0.29166666666666669</v>
      </c>
      <c r="D5750" s="5"/>
      <c r="E5750" s="5"/>
      <c r="F5750" s="5" t="s">
        <v>8</v>
      </c>
      <c r="G5750" s="15" t="s">
        <v>9</v>
      </c>
      <c r="H5750" s="24">
        <f t="shared" si="1129"/>
        <v>0</v>
      </c>
      <c r="I5750" s="24" cm="1">
        <f t="array" ref="I5750">IFERROR(IF($B5750=I$1, ($A5750+$C5750) - MAX(IF($B$2:$B5749=$B5750, $A$2:$A5749+$C$2:$C5749)), "")*24*60, "")</f>
        <v>0</v>
      </c>
      <c r="J5750" s="24" t="str" cm="1">
        <f t="array" ref="J5750">IFERROR(IF($B5750=J$1, ($A5750+$C5750) - MAX(IF($B$2:$B5749=$B5750, $A$2:$A5749+$C$2:$C5749)), "")*24*60, "")</f>
        <v/>
      </c>
      <c r="K5750" s="24" t="str" cm="1">
        <f t="array" ref="K5750">IFERROR(IF($B5750=K$1, ($A5750+$C5750) - MAX(IF($B$2:$B5749=$B5750, $A$2:$A5749+$C$2:$C5749)), "")*24*60, "")</f>
        <v/>
      </c>
      <c r="L5750" s="24" t="str" cm="1">
        <f t="array" ref="L5750">IFERROR(IF($B5750=L$1, ($A5750+$C5750) - MAX(IF($B$2:$B5749=$B5750, $A$2:$A5749+$C$2:$C5749)), "")*24*60, "")</f>
        <v/>
      </c>
      <c r="M5750" s="24" t="str" cm="1">
        <f t="array" ref="M5750">IFERROR(IF($B5750=M$1, ($A5750+$C5750) - MAX(IF($B$2:$B5749=$B5750, $A$2:$A5749+$C$2:$C5749)), "")*24*60, "")</f>
        <v/>
      </c>
      <c r="N5750" s="24" t="str" cm="1">
        <f t="array" ref="N5750">IFERROR(IF($B5750=N$1, ($A5750+$C5750) - MAX(IF($B$2:$B5749=$B5750, $A$2:$A5749+$C$2:$C5749)), "")*24*60, "")</f>
        <v/>
      </c>
      <c r="O5750" s="24" t="str" cm="1">
        <f t="array" ref="O5750">IFERROR(IF($B5750=O$1, ($A5750+$C5750) - MAX(IF($B$2:$B5749=$B5750, $A$2:$A5749+$C$2:$C5749)), "")*24*60, "")</f>
        <v/>
      </c>
      <c r="P5750" s="24" t="str" cm="1">
        <f t="array" ref="P5750">IFERROR(IF($B5750=P$1, ($A5750+$C5750) - MAX(IF($B$2:$B5749=$B5750, $A$2:$A5749+$C$2:$C5749)), "")*24*60, "")</f>
        <v/>
      </c>
      <c r="Q5750" s="24" t="str" cm="1">
        <f t="array" ref="Q5750">IFERROR(IF($B5750=Q$1, ($A5750+$C5750) - MAX(IF($B$2:$B5749=$B5750, $A$2:$A5749+$C$2:$C5749)), "")*24*60, "")</f>
        <v/>
      </c>
      <c r="R5750" s="24" t="str" cm="1">
        <f t="array" ref="R5750">IFERROR(IF($B5750=R$1, ($A5750+$C5750) - MAX(IF($B$2:$B5749=$B5750, $A$2:$A5749+$C$2:$C5749)), "")*24*60, "")</f>
        <v/>
      </c>
      <c r="S5750" s="24" t="str" cm="1">
        <f t="array" ref="S5750">IFERROR(IF($B5750=S$1, ($A5750+$C5750) - MAX(IF($B$2:$B5749=$B5750, $A$2:$A5749+$C$2:$C5749)), "")*24*60, "")</f>
        <v/>
      </c>
    </row>
    <row r="5751" spans="1:19" x14ac:dyDescent="0.2">
      <c r="A5751" s="12">
        <f t="shared" ref="A5751:C5751" si="1285">A5750</f>
        <v>45985</v>
      </c>
      <c r="B5751" s="5" t="str">
        <f t="shared" si="1285"/>
        <v>Northern Cardinal</v>
      </c>
      <c r="C5751" s="6">
        <f t="shared" si="1285"/>
        <v>0.29166666666666669</v>
      </c>
      <c r="D5751" s="5"/>
      <c r="E5751" s="5"/>
      <c r="F5751" s="5" t="s">
        <v>8</v>
      </c>
      <c r="G5751" s="15" t="s">
        <v>9</v>
      </c>
      <c r="H5751" s="24">
        <f t="shared" si="1129"/>
        <v>0</v>
      </c>
      <c r="I5751" s="24" cm="1">
        <f t="array" ref="I5751">IFERROR(IF($B5751=I$1, ($A5751+$C5751) - MAX(IF($B$2:$B5750=$B5751, $A$2:$A5750+$C$2:$C5750)), "")*24*60, "")</f>
        <v>0</v>
      </c>
      <c r="J5751" s="24" t="str" cm="1">
        <f t="array" ref="J5751">IFERROR(IF($B5751=J$1, ($A5751+$C5751) - MAX(IF($B$2:$B5750=$B5751, $A$2:$A5750+$C$2:$C5750)), "")*24*60, "")</f>
        <v/>
      </c>
      <c r="K5751" s="24" t="str" cm="1">
        <f t="array" ref="K5751">IFERROR(IF($B5751=K$1, ($A5751+$C5751) - MAX(IF($B$2:$B5750=$B5751, $A$2:$A5750+$C$2:$C5750)), "")*24*60, "")</f>
        <v/>
      </c>
      <c r="L5751" s="24" t="str" cm="1">
        <f t="array" ref="L5751">IFERROR(IF($B5751=L$1, ($A5751+$C5751) - MAX(IF($B$2:$B5750=$B5751, $A$2:$A5750+$C$2:$C5750)), "")*24*60, "")</f>
        <v/>
      </c>
      <c r="M5751" s="24" t="str" cm="1">
        <f t="array" ref="M5751">IFERROR(IF($B5751=M$1, ($A5751+$C5751) - MAX(IF($B$2:$B5750=$B5751, $A$2:$A5750+$C$2:$C5750)), "")*24*60, "")</f>
        <v/>
      </c>
      <c r="N5751" s="24" t="str" cm="1">
        <f t="array" ref="N5751">IFERROR(IF($B5751=N$1, ($A5751+$C5751) - MAX(IF($B$2:$B5750=$B5751, $A$2:$A5750+$C$2:$C5750)), "")*24*60, "")</f>
        <v/>
      </c>
      <c r="O5751" s="24" t="str" cm="1">
        <f t="array" ref="O5751">IFERROR(IF($B5751=O$1, ($A5751+$C5751) - MAX(IF($B$2:$B5750=$B5751, $A$2:$A5750+$C$2:$C5750)), "")*24*60, "")</f>
        <v/>
      </c>
      <c r="P5751" s="24" t="str" cm="1">
        <f t="array" ref="P5751">IFERROR(IF($B5751=P$1, ($A5751+$C5751) - MAX(IF($B$2:$B5750=$B5751, $A$2:$A5750+$C$2:$C5750)), "")*24*60, "")</f>
        <v/>
      </c>
      <c r="Q5751" s="24" t="str" cm="1">
        <f t="array" ref="Q5751">IFERROR(IF($B5751=Q$1, ($A5751+$C5751) - MAX(IF($B$2:$B5750=$B5751, $A$2:$A5750+$C$2:$C5750)), "")*24*60, "")</f>
        <v/>
      </c>
      <c r="R5751" s="24" t="str" cm="1">
        <f t="array" ref="R5751">IFERROR(IF($B5751=R$1, ($A5751+$C5751) - MAX(IF($B$2:$B5750=$B5751, $A$2:$A5750+$C$2:$C5750)), "")*24*60, "")</f>
        <v/>
      </c>
      <c r="S5751" s="24" t="str" cm="1">
        <f t="array" ref="S5751">IFERROR(IF($B5751=S$1, ($A5751+$C5751) - MAX(IF($B$2:$B5750=$B5751, $A$2:$A5750+$C$2:$C5750)), "")*24*60, "")</f>
        <v/>
      </c>
    </row>
    <row r="5752" spans="1:19" x14ac:dyDescent="0.2">
      <c r="A5752" s="12">
        <f t="shared" ref="A5752:C5752" si="1286">A5751</f>
        <v>45985</v>
      </c>
      <c r="B5752" s="5" t="str">
        <f t="shared" si="1286"/>
        <v>Northern Cardinal</v>
      </c>
      <c r="C5752" s="6">
        <f t="shared" si="1286"/>
        <v>0.29166666666666669</v>
      </c>
      <c r="D5752" s="5"/>
      <c r="E5752" s="5"/>
      <c r="F5752" s="5" t="s">
        <v>8</v>
      </c>
      <c r="G5752" s="15" t="s">
        <v>9</v>
      </c>
      <c r="H5752" s="24">
        <f t="shared" si="1129"/>
        <v>0</v>
      </c>
      <c r="I5752" s="24" cm="1">
        <f t="array" ref="I5752">IFERROR(IF($B5752=I$1, ($A5752+$C5752) - MAX(IF($B$2:$B5751=$B5752, $A$2:$A5751+$C$2:$C5751)), "")*24*60, "")</f>
        <v>0</v>
      </c>
      <c r="J5752" s="24" t="str" cm="1">
        <f t="array" ref="J5752">IFERROR(IF($B5752=J$1, ($A5752+$C5752) - MAX(IF($B$2:$B5751=$B5752, $A$2:$A5751+$C$2:$C5751)), "")*24*60, "")</f>
        <v/>
      </c>
      <c r="K5752" s="24" t="str" cm="1">
        <f t="array" ref="K5752">IFERROR(IF($B5752=K$1, ($A5752+$C5752) - MAX(IF($B$2:$B5751=$B5752, $A$2:$A5751+$C$2:$C5751)), "")*24*60, "")</f>
        <v/>
      </c>
      <c r="L5752" s="24" t="str" cm="1">
        <f t="array" ref="L5752">IFERROR(IF($B5752=L$1, ($A5752+$C5752) - MAX(IF($B$2:$B5751=$B5752, $A$2:$A5751+$C$2:$C5751)), "")*24*60, "")</f>
        <v/>
      </c>
      <c r="M5752" s="24" t="str" cm="1">
        <f t="array" ref="M5752">IFERROR(IF($B5752=M$1, ($A5752+$C5752) - MAX(IF($B$2:$B5751=$B5752, $A$2:$A5751+$C$2:$C5751)), "")*24*60, "")</f>
        <v/>
      </c>
      <c r="N5752" s="24" t="str" cm="1">
        <f t="array" ref="N5752">IFERROR(IF($B5752=N$1, ($A5752+$C5752) - MAX(IF($B$2:$B5751=$B5752, $A$2:$A5751+$C$2:$C5751)), "")*24*60, "")</f>
        <v/>
      </c>
      <c r="O5752" s="24" t="str" cm="1">
        <f t="array" ref="O5752">IFERROR(IF($B5752=O$1, ($A5752+$C5752) - MAX(IF($B$2:$B5751=$B5752, $A$2:$A5751+$C$2:$C5751)), "")*24*60, "")</f>
        <v/>
      </c>
      <c r="P5752" s="24" t="str" cm="1">
        <f t="array" ref="P5752">IFERROR(IF($B5752=P$1, ($A5752+$C5752) - MAX(IF($B$2:$B5751=$B5752, $A$2:$A5751+$C$2:$C5751)), "")*24*60, "")</f>
        <v/>
      </c>
      <c r="Q5752" s="24" t="str" cm="1">
        <f t="array" ref="Q5752">IFERROR(IF($B5752=Q$1, ($A5752+$C5752) - MAX(IF($B$2:$B5751=$B5752, $A$2:$A5751+$C$2:$C5751)), "")*24*60, "")</f>
        <v/>
      </c>
      <c r="R5752" s="24" t="str" cm="1">
        <f t="array" ref="R5752">IFERROR(IF($B5752=R$1, ($A5752+$C5752) - MAX(IF($B$2:$B5751=$B5752, $A$2:$A5751+$C$2:$C5751)), "")*24*60, "")</f>
        <v/>
      </c>
      <c r="S5752" s="24" t="str" cm="1">
        <f t="array" ref="S5752">IFERROR(IF($B5752=S$1, ($A5752+$C5752) - MAX(IF($B$2:$B5751=$B5752, $A$2:$A5751+$C$2:$C5751)), "")*24*60, "")</f>
        <v/>
      </c>
    </row>
    <row r="5753" spans="1:19" x14ac:dyDescent="0.2">
      <c r="A5753" s="12">
        <f t="shared" ref="A5753:C5753" si="1287">A5752</f>
        <v>45985</v>
      </c>
      <c r="B5753" s="5" t="str">
        <f t="shared" si="1287"/>
        <v>Northern Cardinal</v>
      </c>
      <c r="C5753" s="6">
        <f t="shared" si="1287"/>
        <v>0.29166666666666669</v>
      </c>
      <c r="D5753" s="5"/>
      <c r="E5753" s="5"/>
      <c r="F5753" s="5" t="s">
        <v>8</v>
      </c>
      <c r="G5753" s="15" t="s">
        <v>9</v>
      </c>
      <c r="H5753" s="24">
        <f t="shared" si="1129"/>
        <v>0</v>
      </c>
      <c r="I5753" s="24" cm="1">
        <f t="array" ref="I5753">IFERROR(IF($B5753=I$1, ($A5753+$C5753) - MAX(IF($B$2:$B5752=$B5753, $A$2:$A5752+$C$2:$C5752)), "")*24*60, "")</f>
        <v>0</v>
      </c>
      <c r="J5753" s="24" t="str" cm="1">
        <f t="array" ref="J5753">IFERROR(IF($B5753=J$1, ($A5753+$C5753) - MAX(IF($B$2:$B5752=$B5753, $A$2:$A5752+$C$2:$C5752)), "")*24*60, "")</f>
        <v/>
      </c>
      <c r="K5753" s="24" t="str" cm="1">
        <f t="array" ref="K5753">IFERROR(IF($B5753=K$1, ($A5753+$C5753) - MAX(IF($B$2:$B5752=$B5753, $A$2:$A5752+$C$2:$C5752)), "")*24*60, "")</f>
        <v/>
      </c>
      <c r="L5753" s="24" t="str" cm="1">
        <f t="array" ref="L5753">IFERROR(IF($B5753=L$1, ($A5753+$C5753) - MAX(IF($B$2:$B5752=$B5753, $A$2:$A5752+$C$2:$C5752)), "")*24*60, "")</f>
        <v/>
      </c>
      <c r="M5753" s="24" t="str" cm="1">
        <f t="array" ref="M5753">IFERROR(IF($B5753=M$1, ($A5753+$C5753) - MAX(IF($B$2:$B5752=$B5753, $A$2:$A5752+$C$2:$C5752)), "")*24*60, "")</f>
        <v/>
      </c>
      <c r="N5753" s="24" t="str" cm="1">
        <f t="array" ref="N5753">IFERROR(IF($B5753=N$1, ($A5753+$C5753) - MAX(IF($B$2:$B5752=$B5753, $A$2:$A5752+$C$2:$C5752)), "")*24*60, "")</f>
        <v/>
      </c>
      <c r="O5753" s="24" t="str" cm="1">
        <f t="array" ref="O5753">IFERROR(IF($B5753=O$1, ($A5753+$C5753) - MAX(IF($B$2:$B5752=$B5753, $A$2:$A5752+$C$2:$C5752)), "")*24*60, "")</f>
        <v/>
      </c>
      <c r="P5753" s="24" t="str" cm="1">
        <f t="array" ref="P5753">IFERROR(IF($B5753=P$1, ($A5753+$C5753) - MAX(IF($B$2:$B5752=$B5753, $A$2:$A5752+$C$2:$C5752)), "")*24*60, "")</f>
        <v/>
      </c>
      <c r="Q5753" s="24" t="str" cm="1">
        <f t="array" ref="Q5753">IFERROR(IF($B5753=Q$1, ($A5753+$C5753) - MAX(IF($B$2:$B5752=$B5753, $A$2:$A5752+$C$2:$C5752)), "")*24*60, "")</f>
        <v/>
      </c>
      <c r="R5753" s="24" t="str" cm="1">
        <f t="array" ref="R5753">IFERROR(IF($B5753=R$1, ($A5753+$C5753) - MAX(IF($B$2:$B5752=$B5753, $A$2:$A5752+$C$2:$C5752)), "")*24*60, "")</f>
        <v/>
      </c>
      <c r="S5753" s="24" t="str" cm="1">
        <f t="array" ref="S5753">IFERROR(IF($B5753=S$1, ($A5753+$C5753) - MAX(IF($B$2:$B5752=$B5753, $A$2:$A5752+$C$2:$C5752)), "")*24*60, "")</f>
        <v/>
      </c>
    </row>
    <row r="5754" spans="1:19" x14ac:dyDescent="0.2">
      <c r="A5754" s="12">
        <f t="shared" ref="A5754:C5754" si="1288">A5753</f>
        <v>45985</v>
      </c>
      <c r="B5754" s="5" t="str">
        <f t="shared" si="1288"/>
        <v>Northern Cardinal</v>
      </c>
      <c r="C5754" s="6">
        <f t="shared" si="1288"/>
        <v>0.29166666666666669</v>
      </c>
      <c r="D5754" s="5"/>
      <c r="E5754" s="5"/>
      <c r="F5754" s="5" t="s">
        <v>8</v>
      </c>
      <c r="G5754" s="15" t="s">
        <v>9</v>
      </c>
      <c r="H5754" s="24">
        <f t="shared" si="1129"/>
        <v>0</v>
      </c>
      <c r="I5754" s="24" cm="1">
        <f t="array" ref="I5754">IFERROR(IF($B5754=I$1, ($A5754+$C5754) - MAX(IF($B$2:$B5753=$B5754, $A$2:$A5753+$C$2:$C5753)), "")*24*60, "")</f>
        <v>0</v>
      </c>
      <c r="J5754" s="24" t="str" cm="1">
        <f t="array" ref="J5754">IFERROR(IF($B5754=J$1, ($A5754+$C5754) - MAX(IF($B$2:$B5753=$B5754, $A$2:$A5753+$C$2:$C5753)), "")*24*60, "")</f>
        <v/>
      </c>
      <c r="K5754" s="24" t="str" cm="1">
        <f t="array" ref="K5754">IFERROR(IF($B5754=K$1, ($A5754+$C5754) - MAX(IF($B$2:$B5753=$B5754, $A$2:$A5753+$C$2:$C5753)), "")*24*60, "")</f>
        <v/>
      </c>
      <c r="L5754" s="24" t="str" cm="1">
        <f t="array" ref="L5754">IFERROR(IF($B5754=L$1, ($A5754+$C5754) - MAX(IF($B$2:$B5753=$B5754, $A$2:$A5753+$C$2:$C5753)), "")*24*60, "")</f>
        <v/>
      </c>
      <c r="M5754" s="24" t="str" cm="1">
        <f t="array" ref="M5754">IFERROR(IF($B5754=M$1, ($A5754+$C5754) - MAX(IF($B$2:$B5753=$B5754, $A$2:$A5753+$C$2:$C5753)), "")*24*60, "")</f>
        <v/>
      </c>
      <c r="N5754" s="24" t="str" cm="1">
        <f t="array" ref="N5754">IFERROR(IF($B5754=N$1, ($A5754+$C5754) - MAX(IF($B$2:$B5753=$B5754, $A$2:$A5753+$C$2:$C5753)), "")*24*60, "")</f>
        <v/>
      </c>
      <c r="O5754" s="24" t="str" cm="1">
        <f t="array" ref="O5754">IFERROR(IF($B5754=O$1, ($A5754+$C5754) - MAX(IF($B$2:$B5753=$B5754, $A$2:$A5753+$C$2:$C5753)), "")*24*60, "")</f>
        <v/>
      </c>
      <c r="P5754" s="24" t="str" cm="1">
        <f t="array" ref="P5754">IFERROR(IF($B5754=P$1, ($A5754+$C5754) - MAX(IF($B$2:$B5753=$B5754, $A$2:$A5753+$C$2:$C5753)), "")*24*60, "")</f>
        <v/>
      </c>
      <c r="Q5754" s="24" t="str" cm="1">
        <f t="array" ref="Q5754">IFERROR(IF($B5754=Q$1, ($A5754+$C5754) - MAX(IF($B$2:$B5753=$B5754, $A$2:$A5753+$C$2:$C5753)), "")*24*60, "")</f>
        <v/>
      </c>
      <c r="R5754" s="24" t="str" cm="1">
        <f t="array" ref="R5754">IFERROR(IF($B5754=R$1, ($A5754+$C5754) - MAX(IF($B$2:$B5753=$B5754, $A$2:$A5753+$C$2:$C5753)), "")*24*60, "")</f>
        <v/>
      </c>
      <c r="S5754" s="24" t="str" cm="1">
        <f t="array" ref="S5754">IFERROR(IF($B5754=S$1, ($A5754+$C5754) - MAX(IF($B$2:$B5753=$B5754, $A$2:$A5753+$C$2:$C5753)), "")*24*60, "")</f>
        <v/>
      </c>
    </row>
    <row r="5755" spans="1:19" x14ac:dyDescent="0.2">
      <c r="A5755" s="12">
        <f t="shared" ref="A5755:C5755" si="1289">A5754</f>
        <v>45985</v>
      </c>
      <c r="B5755" s="5" t="str">
        <f t="shared" si="1289"/>
        <v>Northern Cardinal</v>
      </c>
      <c r="C5755" s="6">
        <f t="shared" si="1289"/>
        <v>0.29166666666666669</v>
      </c>
      <c r="D5755" s="5"/>
      <c r="E5755" s="5"/>
      <c r="F5755" s="5" t="s">
        <v>8</v>
      </c>
      <c r="G5755" s="15" t="s">
        <v>9</v>
      </c>
      <c r="H5755" s="24">
        <f t="shared" si="1129"/>
        <v>0</v>
      </c>
      <c r="I5755" s="24" cm="1">
        <f t="array" ref="I5755">IFERROR(IF($B5755=I$1, ($A5755+$C5755) - MAX(IF($B$2:$B5754=$B5755, $A$2:$A5754+$C$2:$C5754)), "")*24*60, "")</f>
        <v>0</v>
      </c>
      <c r="J5755" s="24" t="str" cm="1">
        <f t="array" ref="J5755">IFERROR(IF($B5755=J$1, ($A5755+$C5755) - MAX(IF($B$2:$B5754=$B5755, $A$2:$A5754+$C$2:$C5754)), "")*24*60, "")</f>
        <v/>
      </c>
      <c r="K5755" s="24" t="str" cm="1">
        <f t="array" ref="K5755">IFERROR(IF($B5755=K$1, ($A5755+$C5755) - MAX(IF($B$2:$B5754=$B5755, $A$2:$A5754+$C$2:$C5754)), "")*24*60, "")</f>
        <v/>
      </c>
      <c r="L5755" s="24" t="str" cm="1">
        <f t="array" ref="L5755">IFERROR(IF($B5755=L$1, ($A5755+$C5755) - MAX(IF($B$2:$B5754=$B5755, $A$2:$A5754+$C$2:$C5754)), "")*24*60, "")</f>
        <v/>
      </c>
      <c r="M5755" s="24" t="str" cm="1">
        <f t="array" ref="M5755">IFERROR(IF($B5755=M$1, ($A5755+$C5755) - MAX(IF($B$2:$B5754=$B5755, $A$2:$A5754+$C$2:$C5754)), "")*24*60, "")</f>
        <v/>
      </c>
      <c r="N5755" s="24" t="str" cm="1">
        <f t="array" ref="N5755">IFERROR(IF($B5755=N$1, ($A5755+$C5755) - MAX(IF($B$2:$B5754=$B5755, $A$2:$A5754+$C$2:$C5754)), "")*24*60, "")</f>
        <v/>
      </c>
      <c r="O5755" s="24" t="str" cm="1">
        <f t="array" ref="O5755">IFERROR(IF($B5755=O$1, ($A5755+$C5755) - MAX(IF($B$2:$B5754=$B5755, $A$2:$A5754+$C$2:$C5754)), "")*24*60, "")</f>
        <v/>
      </c>
      <c r="P5755" s="24" t="str" cm="1">
        <f t="array" ref="P5755">IFERROR(IF($B5755=P$1, ($A5755+$C5755) - MAX(IF($B$2:$B5754=$B5755, $A$2:$A5754+$C$2:$C5754)), "")*24*60, "")</f>
        <v/>
      </c>
      <c r="Q5755" s="24" t="str" cm="1">
        <f t="array" ref="Q5755">IFERROR(IF($B5755=Q$1, ($A5755+$C5755) - MAX(IF($B$2:$B5754=$B5755, $A$2:$A5754+$C$2:$C5754)), "")*24*60, "")</f>
        <v/>
      </c>
      <c r="R5755" s="24" t="str" cm="1">
        <f t="array" ref="R5755">IFERROR(IF($B5755=R$1, ($A5755+$C5755) - MAX(IF($B$2:$B5754=$B5755, $A$2:$A5754+$C$2:$C5754)), "")*24*60, "")</f>
        <v/>
      </c>
      <c r="S5755" s="24" t="str" cm="1">
        <f t="array" ref="S5755">IFERROR(IF($B5755=S$1, ($A5755+$C5755) - MAX(IF($B$2:$B5754=$B5755, $A$2:$A5754+$C$2:$C5754)), "")*24*60, "")</f>
        <v/>
      </c>
    </row>
    <row r="5756" spans="1:19" x14ac:dyDescent="0.2">
      <c r="A5756" s="12">
        <f t="shared" ref="A5756:C5756" si="1290">A5755</f>
        <v>45985</v>
      </c>
      <c r="B5756" s="5" t="str">
        <f t="shared" si="1290"/>
        <v>Northern Cardinal</v>
      </c>
      <c r="C5756" s="6">
        <f t="shared" si="1290"/>
        <v>0.29166666666666669</v>
      </c>
      <c r="D5756" s="5"/>
      <c r="E5756" s="5"/>
      <c r="F5756" s="5" t="s">
        <v>8</v>
      </c>
      <c r="G5756" s="15" t="s">
        <v>9</v>
      </c>
      <c r="H5756" s="24">
        <f t="shared" si="1129"/>
        <v>0</v>
      </c>
      <c r="I5756" s="24" cm="1">
        <f t="array" ref="I5756">IFERROR(IF($B5756=I$1, ($A5756+$C5756) - MAX(IF($B$2:$B5755=$B5756, $A$2:$A5755+$C$2:$C5755)), "")*24*60, "")</f>
        <v>0</v>
      </c>
      <c r="J5756" s="24" t="str" cm="1">
        <f t="array" ref="J5756">IFERROR(IF($B5756=J$1, ($A5756+$C5756) - MAX(IF($B$2:$B5755=$B5756, $A$2:$A5755+$C$2:$C5755)), "")*24*60, "")</f>
        <v/>
      </c>
      <c r="K5756" s="24" t="str" cm="1">
        <f t="array" ref="K5756">IFERROR(IF($B5756=K$1, ($A5756+$C5756) - MAX(IF($B$2:$B5755=$B5756, $A$2:$A5755+$C$2:$C5755)), "")*24*60, "")</f>
        <v/>
      </c>
      <c r="L5756" s="24" t="str" cm="1">
        <f t="array" ref="L5756">IFERROR(IF($B5756=L$1, ($A5756+$C5756) - MAX(IF($B$2:$B5755=$B5756, $A$2:$A5755+$C$2:$C5755)), "")*24*60, "")</f>
        <v/>
      </c>
      <c r="M5756" s="24" t="str" cm="1">
        <f t="array" ref="M5756">IFERROR(IF($B5756=M$1, ($A5756+$C5756) - MAX(IF($B$2:$B5755=$B5756, $A$2:$A5755+$C$2:$C5755)), "")*24*60, "")</f>
        <v/>
      </c>
      <c r="N5756" s="24" t="str" cm="1">
        <f t="array" ref="N5756">IFERROR(IF($B5756=N$1, ($A5756+$C5756) - MAX(IF($B$2:$B5755=$B5756, $A$2:$A5755+$C$2:$C5755)), "")*24*60, "")</f>
        <v/>
      </c>
      <c r="O5756" s="24" t="str" cm="1">
        <f t="array" ref="O5756">IFERROR(IF($B5756=O$1, ($A5756+$C5756) - MAX(IF($B$2:$B5755=$B5756, $A$2:$A5755+$C$2:$C5755)), "")*24*60, "")</f>
        <v/>
      </c>
      <c r="P5756" s="24" t="str" cm="1">
        <f t="array" ref="P5756">IFERROR(IF($B5756=P$1, ($A5756+$C5756) - MAX(IF($B$2:$B5755=$B5756, $A$2:$A5755+$C$2:$C5755)), "")*24*60, "")</f>
        <v/>
      </c>
      <c r="Q5756" s="24" t="str" cm="1">
        <f t="array" ref="Q5756">IFERROR(IF($B5756=Q$1, ($A5756+$C5756) - MAX(IF($B$2:$B5755=$B5756, $A$2:$A5755+$C$2:$C5755)), "")*24*60, "")</f>
        <v/>
      </c>
      <c r="R5756" s="24" t="str" cm="1">
        <f t="array" ref="R5756">IFERROR(IF($B5756=R$1, ($A5756+$C5756) - MAX(IF($B$2:$B5755=$B5756, $A$2:$A5755+$C$2:$C5755)), "")*24*60, "")</f>
        <v/>
      </c>
      <c r="S5756" s="24" t="str" cm="1">
        <f t="array" ref="S5756">IFERROR(IF($B5756=S$1, ($A5756+$C5756) - MAX(IF($B$2:$B5755=$B5756, $A$2:$A5755+$C$2:$C5755)), "")*24*60, "")</f>
        <v/>
      </c>
    </row>
    <row r="5757" spans="1:19" x14ac:dyDescent="0.2">
      <c r="A5757" s="12">
        <f t="shared" ref="A5757:C5757" si="1291">A5756</f>
        <v>45985</v>
      </c>
      <c r="B5757" s="5" t="str">
        <f t="shared" si="1291"/>
        <v>Northern Cardinal</v>
      </c>
      <c r="C5757" s="6">
        <f t="shared" si="1291"/>
        <v>0.29166666666666669</v>
      </c>
      <c r="D5757" s="5"/>
      <c r="E5757" s="5"/>
      <c r="F5757" s="5" t="s">
        <v>8</v>
      </c>
      <c r="G5757" s="15" t="s">
        <v>9</v>
      </c>
      <c r="H5757" s="24">
        <f t="shared" si="1129"/>
        <v>0</v>
      </c>
      <c r="I5757" s="24" cm="1">
        <f t="array" ref="I5757">IFERROR(IF($B5757=I$1, ($A5757+$C5757) - MAX(IF($B$2:$B5756=$B5757, $A$2:$A5756+$C$2:$C5756)), "")*24*60, "")</f>
        <v>0</v>
      </c>
      <c r="J5757" s="24" t="str" cm="1">
        <f t="array" ref="J5757">IFERROR(IF($B5757=J$1, ($A5757+$C5757) - MAX(IF($B$2:$B5756=$B5757, $A$2:$A5756+$C$2:$C5756)), "")*24*60, "")</f>
        <v/>
      </c>
      <c r="K5757" s="24" t="str" cm="1">
        <f t="array" ref="K5757">IFERROR(IF($B5757=K$1, ($A5757+$C5757) - MAX(IF($B$2:$B5756=$B5757, $A$2:$A5756+$C$2:$C5756)), "")*24*60, "")</f>
        <v/>
      </c>
      <c r="L5757" s="24" t="str" cm="1">
        <f t="array" ref="L5757">IFERROR(IF($B5757=L$1, ($A5757+$C5757) - MAX(IF($B$2:$B5756=$B5757, $A$2:$A5756+$C$2:$C5756)), "")*24*60, "")</f>
        <v/>
      </c>
      <c r="M5757" s="24" t="str" cm="1">
        <f t="array" ref="M5757">IFERROR(IF($B5757=M$1, ($A5757+$C5757) - MAX(IF($B$2:$B5756=$B5757, $A$2:$A5756+$C$2:$C5756)), "")*24*60, "")</f>
        <v/>
      </c>
      <c r="N5757" s="24" t="str" cm="1">
        <f t="array" ref="N5757">IFERROR(IF($B5757=N$1, ($A5757+$C5757) - MAX(IF($B$2:$B5756=$B5757, $A$2:$A5756+$C$2:$C5756)), "")*24*60, "")</f>
        <v/>
      </c>
      <c r="O5757" s="24" t="str" cm="1">
        <f t="array" ref="O5757">IFERROR(IF($B5757=O$1, ($A5757+$C5757) - MAX(IF($B$2:$B5756=$B5757, $A$2:$A5756+$C$2:$C5756)), "")*24*60, "")</f>
        <v/>
      </c>
      <c r="P5757" s="24" t="str" cm="1">
        <f t="array" ref="P5757">IFERROR(IF($B5757=P$1, ($A5757+$C5757) - MAX(IF($B$2:$B5756=$B5757, $A$2:$A5756+$C$2:$C5756)), "")*24*60, "")</f>
        <v/>
      </c>
      <c r="Q5757" s="24" t="str" cm="1">
        <f t="array" ref="Q5757">IFERROR(IF($B5757=Q$1, ($A5757+$C5757) - MAX(IF($B$2:$B5756=$B5757, $A$2:$A5756+$C$2:$C5756)), "")*24*60, "")</f>
        <v/>
      </c>
      <c r="R5757" s="24" t="str" cm="1">
        <f t="array" ref="R5757">IFERROR(IF($B5757=R$1, ($A5757+$C5757) - MAX(IF($B$2:$B5756=$B5757, $A$2:$A5756+$C$2:$C5756)), "")*24*60, "")</f>
        <v/>
      </c>
      <c r="S5757" s="24" t="str" cm="1">
        <f t="array" ref="S5757">IFERROR(IF($B5757=S$1, ($A5757+$C5757) - MAX(IF($B$2:$B5756=$B5757, $A$2:$A5756+$C$2:$C5756)), "")*24*60, "")</f>
        <v/>
      </c>
    </row>
    <row r="5758" spans="1:19" x14ac:dyDescent="0.2">
      <c r="A5758" s="12">
        <f t="shared" ref="A5758:C5758" si="1292">A5757</f>
        <v>45985</v>
      </c>
      <c r="B5758" s="5" t="str">
        <f t="shared" si="1292"/>
        <v>Northern Cardinal</v>
      </c>
      <c r="C5758" s="6">
        <f t="shared" si="1292"/>
        <v>0.29166666666666669</v>
      </c>
      <c r="D5758" s="5"/>
      <c r="E5758" s="5"/>
      <c r="F5758" s="5" t="s">
        <v>8</v>
      </c>
      <c r="G5758" s="15" t="s">
        <v>9</v>
      </c>
      <c r="H5758" s="24">
        <f t="shared" si="1129"/>
        <v>0</v>
      </c>
      <c r="I5758" s="24" cm="1">
        <f t="array" ref="I5758">IFERROR(IF($B5758=I$1, ($A5758+$C5758) - MAX(IF($B$2:$B5757=$B5758, $A$2:$A5757+$C$2:$C5757)), "")*24*60, "")</f>
        <v>0</v>
      </c>
      <c r="J5758" s="24" t="str" cm="1">
        <f t="array" ref="J5758">IFERROR(IF($B5758=J$1, ($A5758+$C5758) - MAX(IF($B$2:$B5757=$B5758, $A$2:$A5757+$C$2:$C5757)), "")*24*60, "")</f>
        <v/>
      </c>
      <c r="K5758" s="24" t="str" cm="1">
        <f t="array" ref="K5758">IFERROR(IF($B5758=K$1, ($A5758+$C5758) - MAX(IF($B$2:$B5757=$B5758, $A$2:$A5757+$C$2:$C5757)), "")*24*60, "")</f>
        <v/>
      </c>
      <c r="L5758" s="24" t="str" cm="1">
        <f t="array" ref="L5758">IFERROR(IF($B5758=L$1, ($A5758+$C5758) - MAX(IF($B$2:$B5757=$B5758, $A$2:$A5757+$C$2:$C5757)), "")*24*60, "")</f>
        <v/>
      </c>
      <c r="M5758" s="24" t="str" cm="1">
        <f t="array" ref="M5758">IFERROR(IF($B5758=M$1, ($A5758+$C5758) - MAX(IF($B$2:$B5757=$B5758, $A$2:$A5757+$C$2:$C5757)), "")*24*60, "")</f>
        <v/>
      </c>
      <c r="N5758" s="24" t="str" cm="1">
        <f t="array" ref="N5758">IFERROR(IF($B5758=N$1, ($A5758+$C5758) - MAX(IF($B$2:$B5757=$B5758, $A$2:$A5757+$C$2:$C5757)), "")*24*60, "")</f>
        <v/>
      </c>
      <c r="O5758" s="24" t="str" cm="1">
        <f t="array" ref="O5758">IFERROR(IF($B5758=O$1, ($A5758+$C5758) - MAX(IF($B$2:$B5757=$B5758, $A$2:$A5757+$C$2:$C5757)), "")*24*60, "")</f>
        <v/>
      </c>
      <c r="P5758" s="24" t="str" cm="1">
        <f t="array" ref="P5758">IFERROR(IF($B5758=P$1, ($A5758+$C5758) - MAX(IF($B$2:$B5757=$B5758, $A$2:$A5757+$C$2:$C5757)), "")*24*60, "")</f>
        <v/>
      </c>
      <c r="Q5758" s="24" t="str" cm="1">
        <f t="array" ref="Q5758">IFERROR(IF($B5758=Q$1, ($A5758+$C5758) - MAX(IF($B$2:$B5757=$B5758, $A$2:$A5757+$C$2:$C5757)), "")*24*60, "")</f>
        <v/>
      </c>
      <c r="R5758" s="24" t="str" cm="1">
        <f t="array" ref="R5758">IFERROR(IF($B5758=R$1, ($A5758+$C5758) - MAX(IF($B$2:$B5757=$B5758, $A$2:$A5757+$C$2:$C5757)), "")*24*60, "")</f>
        <v/>
      </c>
      <c r="S5758" s="24" t="str" cm="1">
        <f t="array" ref="S5758">IFERROR(IF($B5758=S$1, ($A5758+$C5758) - MAX(IF($B$2:$B5757=$B5758, $A$2:$A5757+$C$2:$C5757)), "")*24*60, "")</f>
        <v/>
      </c>
    </row>
    <row r="5759" spans="1:19" x14ac:dyDescent="0.2">
      <c r="A5759" s="12">
        <f t="shared" ref="A5759:C5759" si="1293">A5758</f>
        <v>45985</v>
      </c>
      <c r="B5759" s="5" t="str">
        <f t="shared" si="1293"/>
        <v>Northern Cardinal</v>
      </c>
      <c r="C5759" s="6">
        <f t="shared" si="1293"/>
        <v>0.29166666666666669</v>
      </c>
      <c r="D5759" s="5"/>
      <c r="E5759" s="5"/>
      <c r="F5759" s="5" t="s">
        <v>8</v>
      </c>
      <c r="G5759" s="15" t="s">
        <v>9</v>
      </c>
      <c r="H5759" s="24">
        <f t="shared" si="1129"/>
        <v>0</v>
      </c>
      <c r="I5759" s="24" cm="1">
        <f t="array" ref="I5759">IFERROR(IF($B5759=I$1, ($A5759+$C5759) - MAX(IF($B$2:$B5758=$B5759, $A$2:$A5758+$C$2:$C5758)), "")*24*60, "")</f>
        <v>0</v>
      </c>
      <c r="J5759" s="24" t="str" cm="1">
        <f t="array" ref="J5759">IFERROR(IF($B5759=J$1, ($A5759+$C5759) - MAX(IF($B$2:$B5758=$B5759, $A$2:$A5758+$C$2:$C5758)), "")*24*60, "")</f>
        <v/>
      </c>
      <c r="K5759" s="24" t="str" cm="1">
        <f t="array" ref="K5759">IFERROR(IF($B5759=K$1, ($A5759+$C5759) - MAX(IF($B$2:$B5758=$B5759, $A$2:$A5758+$C$2:$C5758)), "")*24*60, "")</f>
        <v/>
      </c>
      <c r="L5759" s="24" t="str" cm="1">
        <f t="array" ref="L5759">IFERROR(IF($B5759=L$1, ($A5759+$C5759) - MAX(IF($B$2:$B5758=$B5759, $A$2:$A5758+$C$2:$C5758)), "")*24*60, "")</f>
        <v/>
      </c>
      <c r="M5759" s="24" t="str" cm="1">
        <f t="array" ref="M5759">IFERROR(IF($B5759=M$1, ($A5759+$C5759) - MAX(IF($B$2:$B5758=$B5759, $A$2:$A5758+$C$2:$C5758)), "")*24*60, "")</f>
        <v/>
      </c>
      <c r="N5759" s="24" t="str" cm="1">
        <f t="array" ref="N5759">IFERROR(IF($B5759=N$1, ($A5759+$C5759) - MAX(IF($B$2:$B5758=$B5759, $A$2:$A5758+$C$2:$C5758)), "")*24*60, "")</f>
        <v/>
      </c>
      <c r="O5759" s="24" t="str" cm="1">
        <f t="array" ref="O5759">IFERROR(IF($B5759=O$1, ($A5759+$C5759) - MAX(IF($B$2:$B5758=$B5759, $A$2:$A5758+$C$2:$C5758)), "")*24*60, "")</f>
        <v/>
      </c>
      <c r="P5759" s="24" t="str" cm="1">
        <f t="array" ref="P5759">IFERROR(IF($B5759=P$1, ($A5759+$C5759) - MAX(IF($B$2:$B5758=$B5759, $A$2:$A5758+$C$2:$C5758)), "")*24*60, "")</f>
        <v/>
      </c>
      <c r="Q5759" s="24" t="str" cm="1">
        <f t="array" ref="Q5759">IFERROR(IF($B5759=Q$1, ($A5759+$C5759) - MAX(IF($B$2:$B5758=$B5759, $A$2:$A5758+$C$2:$C5758)), "")*24*60, "")</f>
        <v/>
      </c>
      <c r="R5759" s="24" t="str" cm="1">
        <f t="array" ref="R5759">IFERROR(IF($B5759=R$1, ($A5759+$C5759) - MAX(IF($B$2:$B5758=$B5759, $A$2:$A5758+$C$2:$C5758)), "")*24*60, "")</f>
        <v/>
      </c>
      <c r="S5759" s="24" t="str" cm="1">
        <f t="array" ref="S5759">IFERROR(IF($B5759=S$1, ($A5759+$C5759) - MAX(IF($B$2:$B5758=$B5759, $A$2:$A5758+$C$2:$C5758)), "")*24*60, "")</f>
        <v/>
      </c>
    </row>
    <row r="5760" spans="1:19" x14ac:dyDescent="0.2">
      <c r="A5760" s="12">
        <f t="shared" ref="A5760:C5760" si="1294">A5759</f>
        <v>45985</v>
      </c>
      <c r="B5760" s="5" t="str">
        <f t="shared" si="1294"/>
        <v>Northern Cardinal</v>
      </c>
      <c r="C5760" s="6">
        <f t="shared" si="1294"/>
        <v>0.29166666666666669</v>
      </c>
      <c r="D5760" s="5"/>
      <c r="E5760" s="5"/>
      <c r="F5760" s="5" t="s">
        <v>8</v>
      </c>
      <c r="G5760" s="15" t="s">
        <v>9</v>
      </c>
      <c r="H5760" s="24">
        <f t="shared" si="1129"/>
        <v>0</v>
      </c>
      <c r="I5760" s="24" cm="1">
        <f t="array" ref="I5760">IFERROR(IF($B5760=I$1, ($A5760+$C5760) - MAX(IF($B$2:$B5759=$B5760, $A$2:$A5759+$C$2:$C5759)), "")*24*60, "")</f>
        <v>0</v>
      </c>
      <c r="J5760" s="24" t="str" cm="1">
        <f t="array" ref="J5760">IFERROR(IF($B5760=J$1, ($A5760+$C5760) - MAX(IF($B$2:$B5759=$B5760, $A$2:$A5759+$C$2:$C5759)), "")*24*60, "")</f>
        <v/>
      </c>
      <c r="K5760" s="24" t="str" cm="1">
        <f t="array" ref="K5760">IFERROR(IF($B5760=K$1, ($A5760+$C5760) - MAX(IF($B$2:$B5759=$B5760, $A$2:$A5759+$C$2:$C5759)), "")*24*60, "")</f>
        <v/>
      </c>
      <c r="L5760" s="24" t="str" cm="1">
        <f t="array" ref="L5760">IFERROR(IF($B5760=L$1, ($A5760+$C5760) - MAX(IF($B$2:$B5759=$B5760, $A$2:$A5759+$C$2:$C5759)), "")*24*60, "")</f>
        <v/>
      </c>
      <c r="M5760" s="24" t="str" cm="1">
        <f t="array" ref="M5760">IFERROR(IF($B5760=M$1, ($A5760+$C5760) - MAX(IF($B$2:$B5759=$B5760, $A$2:$A5759+$C$2:$C5759)), "")*24*60, "")</f>
        <v/>
      </c>
      <c r="N5760" s="24" t="str" cm="1">
        <f t="array" ref="N5760">IFERROR(IF($B5760=N$1, ($A5760+$C5760) - MAX(IF($B$2:$B5759=$B5760, $A$2:$A5759+$C$2:$C5759)), "")*24*60, "")</f>
        <v/>
      </c>
      <c r="O5760" s="24" t="str" cm="1">
        <f t="array" ref="O5760">IFERROR(IF($B5760=O$1, ($A5760+$C5760) - MAX(IF($B$2:$B5759=$B5760, $A$2:$A5759+$C$2:$C5759)), "")*24*60, "")</f>
        <v/>
      </c>
      <c r="P5760" s="24" t="str" cm="1">
        <f t="array" ref="P5760">IFERROR(IF($B5760=P$1, ($A5760+$C5760) - MAX(IF($B$2:$B5759=$B5760, $A$2:$A5759+$C$2:$C5759)), "")*24*60, "")</f>
        <v/>
      </c>
      <c r="Q5760" s="24" t="str" cm="1">
        <f t="array" ref="Q5760">IFERROR(IF($B5760=Q$1, ($A5760+$C5760) - MAX(IF($B$2:$B5759=$B5760, $A$2:$A5759+$C$2:$C5759)), "")*24*60, "")</f>
        <v/>
      </c>
      <c r="R5760" s="24" t="str" cm="1">
        <f t="array" ref="R5760">IFERROR(IF($B5760=R$1, ($A5760+$C5760) - MAX(IF($B$2:$B5759=$B5760, $A$2:$A5759+$C$2:$C5759)), "")*24*60, "")</f>
        <v/>
      </c>
      <c r="S5760" s="24" t="str" cm="1">
        <f t="array" ref="S5760">IFERROR(IF($B5760=S$1, ($A5760+$C5760) - MAX(IF($B$2:$B5759=$B5760, $A$2:$A5759+$C$2:$C5759)), "")*24*60, "")</f>
        <v/>
      </c>
    </row>
    <row r="5761" spans="1:19" x14ac:dyDescent="0.2">
      <c r="A5761" s="12">
        <f t="shared" ref="A5761:C5761" si="1295">A5760</f>
        <v>45985</v>
      </c>
      <c r="B5761" s="5" t="str">
        <f t="shared" si="1295"/>
        <v>Northern Cardinal</v>
      </c>
      <c r="C5761" s="6">
        <f t="shared" si="1295"/>
        <v>0.29166666666666669</v>
      </c>
      <c r="D5761" s="5"/>
      <c r="E5761" s="5"/>
      <c r="F5761" s="5" t="s">
        <v>8</v>
      </c>
      <c r="G5761" s="15" t="s">
        <v>9</v>
      </c>
      <c r="H5761" s="24">
        <f t="shared" si="1129"/>
        <v>0</v>
      </c>
      <c r="I5761" s="24" cm="1">
        <f t="array" ref="I5761">IFERROR(IF($B5761=I$1, ($A5761+$C5761) - MAX(IF($B$2:$B5760=$B5761, $A$2:$A5760+$C$2:$C5760)), "")*24*60, "")</f>
        <v>0</v>
      </c>
      <c r="J5761" s="24" t="str" cm="1">
        <f t="array" ref="J5761">IFERROR(IF($B5761=J$1, ($A5761+$C5761) - MAX(IF($B$2:$B5760=$B5761, $A$2:$A5760+$C$2:$C5760)), "")*24*60, "")</f>
        <v/>
      </c>
      <c r="K5761" s="24" t="str" cm="1">
        <f t="array" ref="K5761">IFERROR(IF($B5761=K$1, ($A5761+$C5761) - MAX(IF($B$2:$B5760=$B5761, $A$2:$A5760+$C$2:$C5760)), "")*24*60, "")</f>
        <v/>
      </c>
      <c r="L5761" s="24" t="str" cm="1">
        <f t="array" ref="L5761">IFERROR(IF($B5761=L$1, ($A5761+$C5761) - MAX(IF($B$2:$B5760=$B5761, $A$2:$A5760+$C$2:$C5760)), "")*24*60, "")</f>
        <v/>
      </c>
      <c r="M5761" s="24" t="str" cm="1">
        <f t="array" ref="M5761">IFERROR(IF($B5761=M$1, ($A5761+$C5761) - MAX(IF($B$2:$B5760=$B5761, $A$2:$A5760+$C$2:$C5760)), "")*24*60, "")</f>
        <v/>
      </c>
      <c r="N5761" s="24" t="str" cm="1">
        <f t="array" ref="N5761">IFERROR(IF($B5761=N$1, ($A5761+$C5761) - MAX(IF($B$2:$B5760=$B5761, $A$2:$A5760+$C$2:$C5760)), "")*24*60, "")</f>
        <v/>
      </c>
      <c r="O5761" s="24" t="str" cm="1">
        <f t="array" ref="O5761">IFERROR(IF($B5761=O$1, ($A5761+$C5761) - MAX(IF($B$2:$B5760=$B5761, $A$2:$A5760+$C$2:$C5760)), "")*24*60, "")</f>
        <v/>
      </c>
      <c r="P5761" s="24" t="str" cm="1">
        <f t="array" ref="P5761">IFERROR(IF($B5761=P$1, ($A5761+$C5761) - MAX(IF($B$2:$B5760=$B5761, $A$2:$A5760+$C$2:$C5760)), "")*24*60, "")</f>
        <v/>
      </c>
      <c r="Q5761" s="24" t="str" cm="1">
        <f t="array" ref="Q5761">IFERROR(IF($B5761=Q$1, ($A5761+$C5761) - MAX(IF($B$2:$B5760=$B5761, $A$2:$A5760+$C$2:$C5760)), "")*24*60, "")</f>
        <v/>
      </c>
      <c r="R5761" s="24" t="str" cm="1">
        <f t="array" ref="R5761">IFERROR(IF($B5761=R$1, ($A5761+$C5761) - MAX(IF($B$2:$B5760=$B5761, $A$2:$A5760+$C$2:$C5760)), "")*24*60, "")</f>
        <v/>
      </c>
      <c r="S5761" s="24" t="str" cm="1">
        <f t="array" ref="S5761">IFERROR(IF($B5761=S$1, ($A5761+$C5761) - MAX(IF($B$2:$B5760=$B5761, $A$2:$A5760+$C$2:$C5760)), "")*24*60, "")</f>
        <v/>
      </c>
    </row>
    <row r="5762" spans="1:19" x14ac:dyDescent="0.2">
      <c r="A5762" s="12">
        <f t="shared" ref="A5762:C5762" si="1296">A5761</f>
        <v>45985</v>
      </c>
      <c r="B5762" s="5" t="str">
        <f t="shared" si="1296"/>
        <v>Northern Cardinal</v>
      </c>
      <c r="C5762" s="6">
        <f t="shared" si="1296"/>
        <v>0.29166666666666669</v>
      </c>
      <c r="D5762" s="5"/>
      <c r="E5762" s="5"/>
      <c r="F5762" s="5" t="s">
        <v>8</v>
      </c>
      <c r="G5762" s="15" t="s">
        <v>9</v>
      </c>
      <c r="H5762" s="24">
        <f t="shared" si="1129"/>
        <v>0</v>
      </c>
      <c r="I5762" s="24" cm="1">
        <f t="array" ref="I5762">IFERROR(IF($B5762=I$1, ($A5762+$C5762) - MAX(IF($B$2:$B5761=$B5762, $A$2:$A5761+$C$2:$C5761)), "")*24*60, "")</f>
        <v>0</v>
      </c>
      <c r="J5762" s="24" t="str" cm="1">
        <f t="array" ref="J5762">IFERROR(IF($B5762=J$1, ($A5762+$C5762) - MAX(IF($B$2:$B5761=$B5762, $A$2:$A5761+$C$2:$C5761)), "")*24*60, "")</f>
        <v/>
      </c>
      <c r="K5762" s="24" t="str" cm="1">
        <f t="array" ref="K5762">IFERROR(IF($B5762=K$1, ($A5762+$C5762) - MAX(IF($B$2:$B5761=$B5762, $A$2:$A5761+$C$2:$C5761)), "")*24*60, "")</f>
        <v/>
      </c>
      <c r="L5762" s="24" t="str" cm="1">
        <f t="array" ref="L5762">IFERROR(IF($B5762=L$1, ($A5762+$C5762) - MAX(IF($B$2:$B5761=$B5762, $A$2:$A5761+$C$2:$C5761)), "")*24*60, "")</f>
        <v/>
      </c>
      <c r="M5762" s="24" t="str" cm="1">
        <f t="array" ref="M5762">IFERROR(IF($B5762=M$1, ($A5762+$C5762) - MAX(IF($B$2:$B5761=$B5762, $A$2:$A5761+$C$2:$C5761)), "")*24*60, "")</f>
        <v/>
      </c>
      <c r="N5762" s="24" t="str" cm="1">
        <f t="array" ref="N5762">IFERROR(IF($B5762=N$1, ($A5762+$C5762) - MAX(IF($B$2:$B5761=$B5762, $A$2:$A5761+$C$2:$C5761)), "")*24*60, "")</f>
        <v/>
      </c>
      <c r="O5762" s="24" t="str" cm="1">
        <f t="array" ref="O5762">IFERROR(IF($B5762=O$1, ($A5762+$C5762) - MAX(IF($B$2:$B5761=$B5762, $A$2:$A5761+$C$2:$C5761)), "")*24*60, "")</f>
        <v/>
      </c>
      <c r="P5762" s="24" t="str" cm="1">
        <f t="array" ref="P5762">IFERROR(IF($B5762=P$1, ($A5762+$C5762) - MAX(IF($B$2:$B5761=$B5762, $A$2:$A5761+$C$2:$C5761)), "")*24*60, "")</f>
        <v/>
      </c>
      <c r="Q5762" s="24" t="str" cm="1">
        <f t="array" ref="Q5762">IFERROR(IF($B5762=Q$1, ($A5762+$C5762) - MAX(IF($B$2:$B5761=$B5762, $A$2:$A5761+$C$2:$C5761)), "")*24*60, "")</f>
        <v/>
      </c>
      <c r="R5762" s="24" t="str" cm="1">
        <f t="array" ref="R5762">IFERROR(IF($B5762=R$1, ($A5762+$C5762) - MAX(IF($B$2:$B5761=$B5762, $A$2:$A5761+$C$2:$C5761)), "")*24*60, "")</f>
        <v/>
      </c>
      <c r="S5762" s="24" t="str" cm="1">
        <f t="array" ref="S5762">IFERROR(IF($B5762=S$1, ($A5762+$C5762) - MAX(IF($B$2:$B5761=$B5762, $A$2:$A5761+$C$2:$C5761)), "")*24*60, "")</f>
        <v/>
      </c>
    </row>
    <row r="5763" spans="1:19" x14ac:dyDescent="0.2">
      <c r="A5763" s="12">
        <f t="shared" ref="A5763:C5763" si="1297">A5762</f>
        <v>45985</v>
      </c>
      <c r="B5763" s="5" t="str">
        <f t="shared" si="1297"/>
        <v>Northern Cardinal</v>
      </c>
      <c r="C5763" s="6">
        <f t="shared" si="1297"/>
        <v>0.29166666666666669</v>
      </c>
      <c r="D5763" s="5"/>
      <c r="E5763" s="5"/>
      <c r="F5763" s="5" t="s">
        <v>8</v>
      </c>
      <c r="G5763" s="15" t="s">
        <v>9</v>
      </c>
      <c r="H5763" s="24">
        <f t="shared" si="1129"/>
        <v>0</v>
      </c>
      <c r="I5763" s="24" cm="1">
        <f t="array" ref="I5763">IFERROR(IF($B5763=I$1, ($A5763+$C5763) - MAX(IF($B$2:$B5762=$B5763, $A$2:$A5762+$C$2:$C5762)), "")*24*60, "")</f>
        <v>0</v>
      </c>
      <c r="J5763" s="24" t="str" cm="1">
        <f t="array" ref="J5763">IFERROR(IF($B5763=J$1, ($A5763+$C5763) - MAX(IF($B$2:$B5762=$B5763, $A$2:$A5762+$C$2:$C5762)), "")*24*60, "")</f>
        <v/>
      </c>
      <c r="K5763" s="24" t="str" cm="1">
        <f t="array" ref="K5763">IFERROR(IF($B5763=K$1, ($A5763+$C5763) - MAX(IF($B$2:$B5762=$B5763, $A$2:$A5762+$C$2:$C5762)), "")*24*60, "")</f>
        <v/>
      </c>
      <c r="L5763" s="24" t="str" cm="1">
        <f t="array" ref="L5763">IFERROR(IF($B5763=L$1, ($A5763+$C5763) - MAX(IF($B$2:$B5762=$B5763, $A$2:$A5762+$C$2:$C5762)), "")*24*60, "")</f>
        <v/>
      </c>
      <c r="M5763" s="24" t="str" cm="1">
        <f t="array" ref="M5763">IFERROR(IF($B5763=M$1, ($A5763+$C5763) - MAX(IF($B$2:$B5762=$B5763, $A$2:$A5762+$C$2:$C5762)), "")*24*60, "")</f>
        <v/>
      </c>
      <c r="N5763" s="24" t="str" cm="1">
        <f t="array" ref="N5763">IFERROR(IF($B5763=N$1, ($A5763+$C5763) - MAX(IF($B$2:$B5762=$B5763, $A$2:$A5762+$C$2:$C5762)), "")*24*60, "")</f>
        <v/>
      </c>
      <c r="O5763" s="24" t="str" cm="1">
        <f t="array" ref="O5763">IFERROR(IF($B5763=O$1, ($A5763+$C5763) - MAX(IF($B$2:$B5762=$B5763, $A$2:$A5762+$C$2:$C5762)), "")*24*60, "")</f>
        <v/>
      </c>
      <c r="P5763" s="24" t="str" cm="1">
        <f t="array" ref="P5763">IFERROR(IF($B5763=P$1, ($A5763+$C5763) - MAX(IF($B$2:$B5762=$B5763, $A$2:$A5762+$C$2:$C5762)), "")*24*60, "")</f>
        <v/>
      </c>
      <c r="Q5763" s="24" t="str" cm="1">
        <f t="array" ref="Q5763">IFERROR(IF($B5763=Q$1, ($A5763+$C5763) - MAX(IF($B$2:$B5762=$B5763, $A$2:$A5762+$C$2:$C5762)), "")*24*60, "")</f>
        <v/>
      </c>
      <c r="R5763" s="24" t="str" cm="1">
        <f t="array" ref="R5763">IFERROR(IF($B5763=R$1, ($A5763+$C5763) - MAX(IF($B$2:$B5762=$B5763, $A$2:$A5762+$C$2:$C5762)), "")*24*60, "")</f>
        <v/>
      </c>
      <c r="S5763" s="24" t="str" cm="1">
        <f t="array" ref="S5763">IFERROR(IF($B5763=S$1, ($A5763+$C5763) - MAX(IF($B$2:$B5762=$B5763, $A$2:$A5762+$C$2:$C5762)), "")*24*60, "")</f>
        <v/>
      </c>
    </row>
    <row r="5764" spans="1:19" x14ac:dyDescent="0.2">
      <c r="A5764" s="12">
        <f t="shared" ref="A5764:C5764" si="1298">A5763</f>
        <v>45985</v>
      </c>
      <c r="B5764" s="5" t="str">
        <f t="shared" si="1298"/>
        <v>Northern Cardinal</v>
      </c>
      <c r="C5764" s="6">
        <f t="shared" si="1298"/>
        <v>0.29166666666666669</v>
      </c>
      <c r="D5764" s="5"/>
      <c r="E5764" s="5"/>
      <c r="F5764" s="5" t="s">
        <v>8</v>
      </c>
      <c r="G5764" s="15" t="s">
        <v>9</v>
      </c>
      <c r="H5764" s="24">
        <f t="shared" si="1129"/>
        <v>0</v>
      </c>
      <c r="I5764" s="24" cm="1">
        <f t="array" ref="I5764">IFERROR(IF($B5764=I$1, ($A5764+$C5764) - MAX(IF($B$2:$B5763=$B5764, $A$2:$A5763+$C$2:$C5763)), "")*24*60, "")</f>
        <v>0</v>
      </c>
      <c r="J5764" s="24" t="str" cm="1">
        <f t="array" ref="J5764">IFERROR(IF($B5764=J$1, ($A5764+$C5764) - MAX(IF($B$2:$B5763=$B5764, $A$2:$A5763+$C$2:$C5763)), "")*24*60, "")</f>
        <v/>
      </c>
      <c r="K5764" s="24" t="str" cm="1">
        <f t="array" ref="K5764">IFERROR(IF($B5764=K$1, ($A5764+$C5764) - MAX(IF($B$2:$B5763=$B5764, $A$2:$A5763+$C$2:$C5763)), "")*24*60, "")</f>
        <v/>
      </c>
      <c r="L5764" s="24" t="str" cm="1">
        <f t="array" ref="L5764">IFERROR(IF($B5764=L$1, ($A5764+$C5764) - MAX(IF($B$2:$B5763=$B5764, $A$2:$A5763+$C$2:$C5763)), "")*24*60, "")</f>
        <v/>
      </c>
      <c r="M5764" s="24" t="str" cm="1">
        <f t="array" ref="M5764">IFERROR(IF($B5764=M$1, ($A5764+$C5764) - MAX(IF($B$2:$B5763=$B5764, $A$2:$A5763+$C$2:$C5763)), "")*24*60, "")</f>
        <v/>
      </c>
      <c r="N5764" s="24" t="str" cm="1">
        <f t="array" ref="N5764">IFERROR(IF($B5764=N$1, ($A5764+$C5764) - MAX(IF($B$2:$B5763=$B5764, $A$2:$A5763+$C$2:$C5763)), "")*24*60, "")</f>
        <v/>
      </c>
      <c r="O5764" s="24" t="str" cm="1">
        <f t="array" ref="O5764">IFERROR(IF($B5764=O$1, ($A5764+$C5764) - MAX(IF($B$2:$B5763=$B5764, $A$2:$A5763+$C$2:$C5763)), "")*24*60, "")</f>
        <v/>
      </c>
      <c r="P5764" s="24" t="str" cm="1">
        <f t="array" ref="P5764">IFERROR(IF($B5764=P$1, ($A5764+$C5764) - MAX(IF($B$2:$B5763=$B5764, $A$2:$A5763+$C$2:$C5763)), "")*24*60, "")</f>
        <v/>
      </c>
      <c r="Q5764" s="24" t="str" cm="1">
        <f t="array" ref="Q5764">IFERROR(IF($B5764=Q$1, ($A5764+$C5764) - MAX(IF($B$2:$B5763=$B5764, $A$2:$A5763+$C$2:$C5763)), "")*24*60, "")</f>
        <v/>
      </c>
      <c r="R5764" s="24" t="str" cm="1">
        <f t="array" ref="R5764">IFERROR(IF($B5764=R$1, ($A5764+$C5764) - MAX(IF($B$2:$B5763=$B5764, $A$2:$A5763+$C$2:$C5763)), "")*24*60, "")</f>
        <v/>
      </c>
      <c r="S5764" s="24" t="str" cm="1">
        <f t="array" ref="S5764">IFERROR(IF($B5764=S$1, ($A5764+$C5764) - MAX(IF($B$2:$B5763=$B5764, $A$2:$A5763+$C$2:$C5763)), "")*24*60, "")</f>
        <v/>
      </c>
    </row>
    <row r="5765" spans="1:19" x14ac:dyDescent="0.2">
      <c r="A5765" s="12">
        <f t="shared" ref="A5765:C5765" si="1299">A5764</f>
        <v>45985</v>
      </c>
      <c r="B5765" s="5" t="str">
        <f t="shared" si="1299"/>
        <v>Northern Cardinal</v>
      </c>
      <c r="C5765" s="6">
        <f t="shared" si="1299"/>
        <v>0.29166666666666669</v>
      </c>
      <c r="D5765" s="5"/>
      <c r="E5765" s="5"/>
      <c r="F5765" s="5" t="s">
        <v>8</v>
      </c>
      <c r="G5765" s="15" t="s">
        <v>9</v>
      </c>
      <c r="H5765" s="24">
        <f t="shared" si="1129"/>
        <v>0</v>
      </c>
      <c r="I5765" s="24" cm="1">
        <f t="array" ref="I5765">IFERROR(IF($B5765=I$1, ($A5765+$C5765) - MAX(IF($B$2:$B5764=$B5765, $A$2:$A5764+$C$2:$C5764)), "")*24*60, "")</f>
        <v>0</v>
      </c>
      <c r="J5765" s="24" t="str" cm="1">
        <f t="array" ref="J5765">IFERROR(IF($B5765=J$1, ($A5765+$C5765) - MAX(IF($B$2:$B5764=$B5765, $A$2:$A5764+$C$2:$C5764)), "")*24*60, "")</f>
        <v/>
      </c>
      <c r="K5765" s="24" t="str" cm="1">
        <f t="array" ref="K5765">IFERROR(IF($B5765=K$1, ($A5765+$C5765) - MAX(IF($B$2:$B5764=$B5765, $A$2:$A5764+$C$2:$C5764)), "")*24*60, "")</f>
        <v/>
      </c>
      <c r="L5765" s="24" t="str" cm="1">
        <f t="array" ref="L5765">IFERROR(IF($B5765=L$1, ($A5765+$C5765) - MAX(IF($B$2:$B5764=$B5765, $A$2:$A5764+$C$2:$C5764)), "")*24*60, "")</f>
        <v/>
      </c>
      <c r="M5765" s="24" t="str" cm="1">
        <f t="array" ref="M5765">IFERROR(IF($B5765=M$1, ($A5765+$C5765) - MAX(IF($B$2:$B5764=$B5765, $A$2:$A5764+$C$2:$C5764)), "")*24*60, "")</f>
        <v/>
      </c>
      <c r="N5765" s="24" t="str" cm="1">
        <f t="array" ref="N5765">IFERROR(IF($B5765=N$1, ($A5765+$C5765) - MAX(IF($B$2:$B5764=$B5765, $A$2:$A5764+$C$2:$C5764)), "")*24*60, "")</f>
        <v/>
      </c>
      <c r="O5765" s="24" t="str" cm="1">
        <f t="array" ref="O5765">IFERROR(IF($B5765=O$1, ($A5765+$C5765) - MAX(IF($B$2:$B5764=$B5765, $A$2:$A5764+$C$2:$C5764)), "")*24*60, "")</f>
        <v/>
      </c>
      <c r="P5765" s="24" t="str" cm="1">
        <f t="array" ref="P5765">IFERROR(IF($B5765=P$1, ($A5765+$C5765) - MAX(IF($B$2:$B5764=$B5765, $A$2:$A5764+$C$2:$C5764)), "")*24*60, "")</f>
        <v/>
      </c>
      <c r="Q5765" s="24" t="str" cm="1">
        <f t="array" ref="Q5765">IFERROR(IF($B5765=Q$1, ($A5765+$C5765) - MAX(IF($B$2:$B5764=$B5765, $A$2:$A5764+$C$2:$C5764)), "")*24*60, "")</f>
        <v/>
      </c>
      <c r="R5765" s="24" t="str" cm="1">
        <f t="array" ref="R5765">IFERROR(IF($B5765=R$1, ($A5765+$C5765) - MAX(IF($B$2:$B5764=$B5765, $A$2:$A5764+$C$2:$C5764)), "")*24*60, "")</f>
        <v/>
      </c>
      <c r="S5765" s="24" t="str" cm="1">
        <f t="array" ref="S5765">IFERROR(IF($B5765=S$1, ($A5765+$C5765) - MAX(IF($B$2:$B5764=$B5765, $A$2:$A5764+$C$2:$C5764)), "")*24*60, "")</f>
        <v/>
      </c>
    </row>
    <row r="5766" spans="1:19" x14ac:dyDescent="0.2">
      <c r="A5766" s="12">
        <f t="shared" ref="A5766:C5766" si="1300">A5765</f>
        <v>45985</v>
      </c>
      <c r="B5766" s="5" t="str">
        <f t="shared" si="1300"/>
        <v>Northern Cardinal</v>
      </c>
      <c r="C5766" s="6">
        <f t="shared" si="1300"/>
        <v>0.29166666666666669</v>
      </c>
      <c r="D5766" s="5"/>
      <c r="E5766" s="5"/>
      <c r="F5766" s="5" t="s">
        <v>8</v>
      </c>
      <c r="G5766" s="15" t="s">
        <v>9</v>
      </c>
      <c r="H5766" s="24">
        <f t="shared" si="1129"/>
        <v>0</v>
      </c>
      <c r="I5766" s="24" cm="1">
        <f t="array" ref="I5766">IFERROR(IF($B5766=I$1, ($A5766+$C5766) - MAX(IF($B$2:$B5765=$B5766, $A$2:$A5765+$C$2:$C5765)), "")*24*60, "")</f>
        <v>0</v>
      </c>
      <c r="J5766" s="24" t="str" cm="1">
        <f t="array" ref="J5766">IFERROR(IF($B5766=J$1, ($A5766+$C5766) - MAX(IF($B$2:$B5765=$B5766, $A$2:$A5765+$C$2:$C5765)), "")*24*60, "")</f>
        <v/>
      </c>
      <c r="K5766" s="24" t="str" cm="1">
        <f t="array" ref="K5766">IFERROR(IF($B5766=K$1, ($A5766+$C5766) - MAX(IF($B$2:$B5765=$B5766, $A$2:$A5765+$C$2:$C5765)), "")*24*60, "")</f>
        <v/>
      </c>
      <c r="L5766" s="24" t="str" cm="1">
        <f t="array" ref="L5766">IFERROR(IF($B5766=L$1, ($A5766+$C5766) - MAX(IF($B$2:$B5765=$B5766, $A$2:$A5765+$C$2:$C5765)), "")*24*60, "")</f>
        <v/>
      </c>
      <c r="M5766" s="24" t="str" cm="1">
        <f t="array" ref="M5766">IFERROR(IF($B5766=M$1, ($A5766+$C5766) - MAX(IF($B$2:$B5765=$B5766, $A$2:$A5765+$C$2:$C5765)), "")*24*60, "")</f>
        <v/>
      </c>
      <c r="N5766" s="24" t="str" cm="1">
        <f t="array" ref="N5766">IFERROR(IF($B5766=N$1, ($A5766+$C5766) - MAX(IF($B$2:$B5765=$B5766, $A$2:$A5765+$C$2:$C5765)), "")*24*60, "")</f>
        <v/>
      </c>
      <c r="O5766" s="24" t="str" cm="1">
        <f t="array" ref="O5766">IFERROR(IF($B5766=O$1, ($A5766+$C5766) - MAX(IF($B$2:$B5765=$B5766, $A$2:$A5765+$C$2:$C5765)), "")*24*60, "")</f>
        <v/>
      </c>
      <c r="P5766" s="24" t="str" cm="1">
        <f t="array" ref="P5766">IFERROR(IF($B5766=P$1, ($A5766+$C5766) - MAX(IF($B$2:$B5765=$B5766, $A$2:$A5765+$C$2:$C5765)), "")*24*60, "")</f>
        <v/>
      </c>
      <c r="Q5766" s="24" t="str" cm="1">
        <f t="array" ref="Q5766">IFERROR(IF($B5766=Q$1, ($A5766+$C5766) - MAX(IF($B$2:$B5765=$B5766, $A$2:$A5765+$C$2:$C5765)), "")*24*60, "")</f>
        <v/>
      </c>
      <c r="R5766" s="24" t="str" cm="1">
        <f t="array" ref="R5766">IFERROR(IF($B5766=R$1, ($A5766+$C5766) - MAX(IF($B$2:$B5765=$B5766, $A$2:$A5765+$C$2:$C5765)), "")*24*60, "")</f>
        <v/>
      </c>
      <c r="S5766" s="24" t="str" cm="1">
        <f t="array" ref="S5766">IFERROR(IF($B5766=S$1, ($A5766+$C5766) - MAX(IF($B$2:$B5765=$B5766, $A$2:$A5765+$C$2:$C5765)), "")*24*60, "")</f>
        <v/>
      </c>
    </row>
    <row r="5767" spans="1:19" x14ac:dyDescent="0.2">
      <c r="A5767" s="12">
        <f t="shared" ref="A5767:C5767" si="1301">A5766</f>
        <v>45985</v>
      </c>
      <c r="B5767" s="5" t="str">
        <f t="shared" si="1301"/>
        <v>Northern Cardinal</v>
      </c>
      <c r="C5767" s="6">
        <f t="shared" si="1301"/>
        <v>0.29166666666666669</v>
      </c>
      <c r="D5767" s="5"/>
      <c r="E5767" s="5"/>
      <c r="F5767" s="5" t="s">
        <v>8</v>
      </c>
      <c r="G5767" s="15" t="s">
        <v>9</v>
      </c>
      <c r="H5767" s="24">
        <f t="shared" si="1129"/>
        <v>0</v>
      </c>
      <c r="I5767" s="24" cm="1">
        <f t="array" ref="I5767">IFERROR(IF($B5767=I$1, ($A5767+$C5767) - MAX(IF($B$2:$B5766=$B5767, $A$2:$A5766+$C$2:$C5766)), "")*24*60, "")</f>
        <v>0</v>
      </c>
      <c r="J5767" s="24" t="str" cm="1">
        <f t="array" ref="J5767">IFERROR(IF($B5767=J$1, ($A5767+$C5767) - MAX(IF($B$2:$B5766=$B5767, $A$2:$A5766+$C$2:$C5766)), "")*24*60, "")</f>
        <v/>
      </c>
      <c r="K5767" s="24" t="str" cm="1">
        <f t="array" ref="K5767">IFERROR(IF($B5767=K$1, ($A5767+$C5767) - MAX(IF($B$2:$B5766=$B5767, $A$2:$A5766+$C$2:$C5766)), "")*24*60, "")</f>
        <v/>
      </c>
      <c r="L5767" s="24" t="str" cm="1">
        <f t="array" ref="L5767">IFERROR(IF($B5767=L$1, ($A5767+$C5767) - MAX(IF($B$2:$B5766=$B5767, $A$2:$A5766+$C$2:$C5766)), "")*24*60, "")</f>
        <v/>
      </c>
      <c r="M5767" s="24" t="str" cm="1">
        <f t="array" ref="M5767">IFERROR(IF($B5767=M$1, ($A5767+$C5767) - MAX(IF($B$2:$B5766=$B5767, $A$2:$A5766+$C$2:$C5766)), "")*24*60, "")</f>
        <v/>
      </c>
      <c r="N5767" s="24" t="str" cm="1">
        <f t="array" ref="N5767">IFERROR(IF($B5767=N$1, ($A5767+$C5767) - MAX(IF($B$2:$B5766=$B5767, $A$2:$A5766+$C$2:$C5766)), "")*24*60, "")</f>
        <v/>
      </c>
      <c r="O5767" s="24" t="str" cm="1">
        <f t="array" ref="O5767">IFERROR(IF($B5767=O$1, ($A5767+$C5767) - MAX(IF($B$2:$B5766=$B5767, $A$2:$A5766+$C$2:$C5766)), "")*24*60, "")</f>
        <v/>
      </c>
      <c r="P5767" s="24" t="str" cm="1">
        <f t="array" ref="P5767">IFERROR(IF($B5767=P$1, ($A5767+$C5767) - MAX(IF($B$2:$B5766=$B5767, $A$2:$A5766+$C$2:$C5766)), "")*24*60, "")</f>
        <v/>
      </c>
      <c r="Q5767" s="24" t="str" cm="1">
        <f t="array" ref="Q5767">IFERROR(IF($B5767=Q$1, ($A5767+$C5767) - MAX(IF($B$2:$B5766=$B5767, $A$2:$A5766+$C$2:$C5766)), "")*24*60, "")</f>
        <v/>
      </c>
      <c r="R5767" s="24" t="str" cm="1">
        <f t="array" ref="R5767">IFERROR(IF($B5767=R$1, ($A5767+$C5767) - MAX(IF($B$2:$B5766=$B5767, $A$2:$A5766+$C$2:$C5766)), "")*24*60, "")</f>
        <v/>
      </c>
      <c r="S5767" s="24" t="str" cm="1">
        <f t="array" ref="S5767">IFERROR(IF($B5767=S$1, ($A5767+$C5767) - MAX(IF($B$2:$B5766=$B5767, $A$2:$A5766+$C$2:$C5766)), "")*24*60, "")</f>
        <v/>
      </c>
    </row>
    <row r="5768" spans="1:19" x14ac:dyDescent="0.2">
      <c r="A5768" s="12">
        <f t="shared" ref="A5768:C5768" si="1302">A5767</f>
        <v>45985</v>
      </c>
      <c r="B5768" s="5" t="str">
        <f t="shared" si="1302"/>
        <v>Northern Cardinal</v>
      </c>
      <c r="C5768" s="6">
        <f t="shared" si="1302"/>
        <v>0.29166666666666669</v>
      </c>
      <c r="D5768" s="5"/>
      <c r="E5768" s="5"/>
      <c r="F5768" s="5" t="s">
        <v>8</v>
      </c>
      <c r="G5768" s="15" t="s">
        <v>9</v>
      </c>
      <c r="H5768" s="24">
        <f t="shared" si="1129"/>
        <v>0</v>
      </c>
      <c r="I5768" s="24" cm="1">
        <f t="array" ref="I5768">IFERROR(IF($B5768=I$1, ($A5768+$C5768) - MAX(IF($B$2:$B5767=$B5768, $A$2:$A5767+$C$2:$C5767)), "")*24*60, "")</f>
        <v>0</v>
      </c>
      <c r="J5768" s="24" t="str" cm="1">
        <f t="array" ref="J5768">IFERROR(IF($B5768=J$1, ($A5768+$C5768) - MAX(IF($B$2:$B5767=$B5768, $A$2:$A5767+$C$2:$C5767)), "")*24*60, "")</f>
        <v/>
      </c>
      <c r="K5768" s="24" t="str" cm="1">
        <f t="array" ref="K5768">IFERROR(IF($B5768=K$1, ($A5768+$C5768) - MAX(IF($B$2:$B5767=$B5768, $A$2:$A5767+$C$2:$C5767)), "")*24*60, "")</f>
        <v/>
      </c>
      <c r="L5768" s="24" t="str" cm="1">
        <f t="array" ref="L5768">IFERROR(IF($B5768=L$1, ($A5768+$C5768) - MAX(IF($B$2:$B5767=$B5768, $A$2:$A5767+$C$2:$C5767)), "")*24*60, "")</f>
        <v/>
      </c>
      <c r="M5768" s="24" t="str" cm="1">
        <f t="array" ref="M5768">IFERROR(IF($B5768=M$1, ($A5768+$C5768) - MAX(IF($B$2:$B5767=$B5768, $A$2:$A5767+$C$2:$C5767)), "")*24*60, "")</f>
        <v/>
      </c>
      <c r="N5768" s="24" t="str" cm="1">
        <f t="array" ref="N5768">IFERROR(IF($B5768=N$1, ($A5768+$C5768) - MAX(IF($B$2:$B5767=$B5768, $A$2:$A5767+$C$2:$C5767)), "")*24*60, "")</f>
        <v/>
      </c>
      <c r="O5768" s="24" t="str" cm="1">
        <f t="array" ref="O5768">IFERROR(IF($B5768=O$1, ($A5768+$C5768) - MAX(IF($B$2:$B5767=$B5768, $A$2:$A5767+$C$2:$C5767)), "")*24*60, "")</f>
        <v/>
      </c>
      <c r="P5768" s="24" t="str" cm="1">
        <f t="array" ref="P5768">IFERROR(IF($B5768=P$1, ($A5768+$C5768) - MAX(IF($B$2:$B5767=$B5768, $A$2:$A5767+$C$2:$C5767)), "")*24*60, "")</f>
        <v/>
      </c>
      <c r="Q5768" s="24" t="str" cm="1">
        <f t="array" ref="Q5768">IFERROR(IF($B5768=Q$1, ($A5768+$C5768) - MAX(IF($B$2:$B5767=$B5768, $A$2:$A5767+$C$2:$C5767)), "")*24*60, "")</f>
        <v/>
      </c>
      <c r="R5768" s="24" t="str" cm="1">
        <f t="array" ref="R5768">IFERROR(IF($B5768=R$1, ($A5768+$C5768) - MAX(IF($B$2:$B5767=$B5768, $A$2:$A5767+$C$2:$C5767)), "")*24*60, "")</f>
        <v/>
      </c>
      <c r="S5768" s="24" t="str" cm="1">
        <f t="array" ref="S5768">IFERROR(IF($B5768=S$1, ($A5768+$C5768) - MAX(IF($B$2:$B5767=$B5768, $A$2:$A5767+$C$2:$C5767)), "")*24*60, "")</f>
        <v/>
      </c>
    </row>
    <row r="5769" spans="1:19" x14ac:dyDescent="0.2">
      <c r="A5769" s="12">
        <f t="shared" ref="A5769:C5769" si="1303">A5768</f>
        <v>45985</v>
      </c>
      <c r="B5769" s="5" t="str">
        <f t="shared" si="1303"/>
        <v>Northern Cardinal</v>
      </c>
      <c r="C5769" s="6">
        <f t="shared" si="1303"/>
        <v>0.29166666666666669</v>
      </c>
      <c r="D5769" s="5"/>
      <c r="E5769" s="5"/>
      <c r="F5769" s="5" t="s">
        <v>8</v>
      </c>
      <c r="G5769" s="15" t="s">
        <v>9</v>
      </c>
      <c r="H5769" s="24">
        <f t="shared" si="1129"/>
        <v>0</v>
      </c>
      <c r="I5769" s="24" cm="1">
        <f t="array" ref="I5769">IFERROR(IF($B5769=I$1, ($A5769+$C5769) - MAX(IF($B$2:$B5768=$B5769, $A$2:$A5768+$C$2:$C5768)), "")*24*60, "")</f>
        <v>0</v>
      </c>
      <c r="J5769" s="24" t="str" cm="1">
        <f t="array" ref="J5769">IFERROR(IF($B5769=J$1, ($A5769+$C5769) - MAX(IF($B$2:$B5768=$B5769, $A$2:$A5768+$C$2:$C5768)), "")*24*60, "")</f>
        <v/>
      </c>
      <c r="K5769" s="24" t="str" cm="1">
        <f t="array" ref="K5769">IFERROR(IF($B5769=K$1, ($A5769+$C5769) - MAX(IF($B$2:$B5768=$B5769, $A$2:$A5768+$C$2:$C5768)), "")*24*60, "")</f>
        <v/>
      </c>
      <c r="L5769" s="24" t="str" cm="1">
        <f t="array" ref="L5769">IFERROR(IF($B5769=L$1, ($A5769+$C5769) - MAX(IF($B$2:$B5768=$B5769, $A$2:$A5768+$C$2:$C5768)), "")*24*60, "")</f>
        <v/>
      </c>
      <c r="M5769" s="24" t="str" cm="1">
        <f t="array" ref="M5769">IFERROR(IF($B5769=M$1, ($A5769+$C5769) - MAX(IF($B$2:$B5768=$B5769, $A$2:$A5768+$C$2:$C5768)), "")*24*60, "")</f>
        <v/>
      </c>
      <c r="N5769" s="24" t="str" cm="1">
        <f t="array" ref="N5769">IFERROR(IF($B5769=N$1, ($A5769+$C5769) - MAX(IF($B$2:$B5768=$B5769, $A$2:$A5768+$C$2:$C5768)), "")*24*60, "")</f>
        <v/>
      </c>
      <c r="O5769" s="24" t="str" cm="1">
        <f t="array" ref="O5769">IFERROR(IF($B5769=O$1, ($A5769+$C5769) - MAX(IF($B$2:$B5768=$B5769, $A$2:$A5768+$C$2:$C5768)), "")*24*60, "")</f>
        <v/>
      </c>
      <c r="P5769" s="24" t="str" cm="1">
        <f t="array" ref="P5769">IFERROR(IF($B5769=P$1, ($A5769+$C5769) - MAX(IF($B$2:$B5768=$B5769, $A$2:$A5768+$C$2:$C5768)), "")*24*60, "")</f>
        <v/>
      </c>
      <c r="Q5769" s="24" t="str" cm="1">
        <f t="array" ref="Q5769">IFERROR(IF($B5769=Q$1, ($A5769+$C5769) - MAX(IF($B$2:$B5768=$B5769, $A$2:$A5768+$C$2:$C5768)), "")*24*60, "")</f>
        <v/>
      </c>
      <c r="R5769" s="24" t="str" cm="1">
        <f t="array" ref="R5769">IFERROR(IF($B5769=R$1, ($A5769+$C5769) - MAX(IF($B$2:$B5768=$B5769, $A$2:$A5768+$C$2:$C5768)), "")*24*60, "")</f>
        <v/>
      </c>
      <c r="S5769" s="24" t="str" cm="1">
        <f t="array" ref="S5769">IFERROR(IF($B5769=S$1, ($A5769+$C5769) - MAX(IF($B$2:$B5768=$B5769, $A$2:$A5768+$C$2:$C5768)), "")*24*60, "")</f>
        <v/>
      </c>
    </row>
    <row r="5770" spans="1:19" x14ac:dyDescent="0.2">
      <c r="A5770" s="12">
        <f t="shared" ref="A5770:C5770" si="1304">A5769</f>
        <v>45985</v>
      </c>
      <c r="B5770" s="5" t="str">
        <f t="shared" si="1304"/>
        <v>Northern Cardinal</v>
      </c>
      <c r="C5770" s="6">
        <f t="shared" si="1304"/>
        <v>0.29166666666666669</v>
      </c>
      <c r="D5770" s="5"/>
      <c r="E5770" s="5"/>
      <c r="F5770" s="5" t="s">
        <v>8</v>
      </c>
      <c r="G5770" s="15" t="s">
        <v>9</v>
      </c>
      <c r="H5770" s="24">
        <f t="shared" si="1129"/>
        <v>0</v>
      </c>
      <c r="I5770" s="24" cm="1">
        <f t="array" ref="I5770">IFERROR(IF($B5770=I$1, ($A5770+$C5770) - MAX(IF($B$2:$B5769=$B5770, $A$2:$A5769+$C$2:$C5769)), "")*24*60, "")</f>
        <v>0</v>
      </c>
      <c r="J5770" s="24" t="str" cm="1">
        <f t="array" ref="J5770">IFERROR(IF($B5770=J$1, ($A5770+$C5770) - MAX(IF($B$2:$B5769=$B5770, $A$2:$A5769+$C$2:$C5769)), "")*24*60, "")</f>
        <v/>
      </c>
      <c r="K5770" s="24" t="str" cm="1">
        <f t="array" ref="K5770">IFERROR(IF($B5770=K$1, ($A5770+$C5770) - MAX(IF($B$2:$B5769=$B5770, $A$2:$A5769+$C$2:$C5769)), "")*24*60, "")</f>
        <v/>
      </c>
      <c r="L5770" s="24" t="str" cm="1">
        <f t="array" ref="L5770">IFERROR(IF($B5770=L$1, ($A5770+$C5770) - MAX(IF($B$2:$B5769=$B5770, $A$2:$A5769+$C$2:$C5769)), "")*24*60, "")</f>
        <v/>
      </c>
      <c r="M5770" s="24" t="str" cm="1">
        <f t="array" ref="M5770">IFERROR(IF($B5770=M$1, ($A5770+$C5770) - MAX(IF($B$2:$B5769=$B5770, $A$2:$A5769+$C$2:$C5769)), "")*24*60, "")</f>
        <v/>
      </c>
      <c r="N5770" s="24" t="str" cm="1">
        <f t="array" ref="N5770">IFERROR(IF($B5770=N$1, ($A5770+$C5770) - MAX(IF($B$2:$B5769=$B5770, $A$2:$A5769+$C$2:$C5769)), "")*24*60, "")</f>
        <v/>
      </c>
      <c r="O5770" s="24" t="str" cm="1">
        <f t="array" ref="O5770">IFERROR(IF($B5770=O$1, ($A5770+$C5770) - MAX(IF($B$2:$B5769=$B5770, $A$2:$A5769+$C$2:$C5769)), "")*24*60, "")</f>
        <v/>
      </c>
      <c r="P5770" s="24" t="str" cm="1">
        <f t="array" ref="P5770">IFERROR(IF($B5770=P$1, ($A5770+$C5770) - MAX(IF($B$2:$B5769=$B5770, $A$2:$A5769+$C$2:$C5769)), "")*24*60, "")</f>
        <v/>
      </c>
      <c r="Q5770" s="24" t="str" cm="1">
        <f t="array" ref="Q5770">IFERROR(IF($B5770=Q$1, ($A5770+$C5770) - MAX(IF($B$2:$B5769=$B5770, $A$2:$A5769+$C$2:$C5769)), "")*24*60, "")</f>
        <v/>
      </c>
      <c r="R5770" s="24" t="str" cm="1">
        <f t="array" ref="R5770">IFERROR(IF($B5770=R$1, ($A5770+$C5770) - MAX(IF($B$2:$B5769=$B5770, $A$2:$A5769+$C$2:$C5769)), "")*24*60, "")</f>
        <v/>
      </c>
      <c r="S5770" s="24" t="str" cm="1">
        <f t="array" ref="S5770">IFERROR(IF($B5770=S$1, ($A5770+$C5770) - MAX(IF($B$2:$B5769=$B5770, $A$2:$A5769+$C$2:$C5769)), "")*24*60, "")</f>
        <v/>
      </c>
    </row>
    <row r="5771" spans="1:19" x14ac:dyDescent="0.2">
      <c r="A5771" s="12">
        <f t="shared" ref="A5771:C5771" si="1305">A5770</f>
        <v>45985</v>
      </c>
      <c r="B5771" s="5" t="str">
        <f t="shared" si="1305"/>
        <v>Northern Cardinal</v>
      </c>
      <c r="C5771" s="6">
        <f t="shared" si="1305"/>
        <v>0.29166666666666669</v>
      </c>
      <c r="D5771" s="5"/>
      <c r="E5771" s="5"/>
      <c r="F5771" s="5" t="s">
        <v>8</v>
      </c>
      <c r="G5771" s="15" t="s">
        <v>9</v>
      </c>
      <c r="H5771" s="24">
        <f t="shared" si="1129"/>
        <v>0</v>
      </c>
      <c r="I5771" s="24" cm="1">
        <f t="array" ref="I5771">IFERROR(IF($B5771=I$1, ($A5771+$C5771) - MAX(IF($B$2:$B5770=$B5771, $A$2:$A5770+$C$2:$C5770)), "")*24*60, "")</f>
        <v>0</v>
      </c>
      <c r="J5771" s="24" t="str" cm="1">
        <f t="array" ref="J5771">IFERROR(IF($B5771=J$1, ($A5771+$C5771) - MAX(IF($B$2:$B5770=$B5771, $A$2:$A5770+$C$2:$C5770)), "")*24*60, "")</f>
        <v/>
      </c>
      <c r="K5771" s="24" t="str" cm="1">
        <f t="array" ref="K5771">IFERROR(IF($B5771=K$1, ($A5771+$C5771) - MAX(IF($B$2:$B5770=$B5771, $A$2:$A5770+$C$2:$C5770)), "")*24*60, "")</f>
        <v/>
      </c>
      <c r="L5771" s="24" t="str" cm="1">
        <f t="array" ref="L5771">IFERROR(IF($B5771=L$1, ($A5771+$C5771) - MAX(IF($B$2:$B5770=$B5771, $A$2:$A5770+$C$2:$C5770)), "")*24*60, "")</f>
        <v/>
      </c>
      <c r="M5771" s="24" t="str" cm="1">
        <f t="array" ref="M5771">IFERROR(IF($B5771=M$1, ($A5771+$C5771) - MAX(IF($B$2:$B5770=$B5771, $A$2:$A5770+$C$2:$C5770)), "")*24*60, "")</f>
        <v/>
      </c>
      <c r="N5771" s="24" t="str" cm="1">
        <f t="array" ref="N5771">IFERROR(IF($B5771=N$1, ($A5771+$C5771) - MAX(IF($B$2:$B5770=$B5771, $A$2:$A5770+$C$2:$C5770)), "")*24*60, "")</f>
        <v/>
      </c>
      <c r="O5771" s="24" t="str" cm="1">
        <f t="array" ref="O5771">IFERROR(IF($B5771=O$1, ($A5771+$C5771) - MAX(IF($B$2:$B5770=$B5771, $A$2:$A5770+$C$2:$C5770)), "")*24*60, "")</f>
        <v/>
      </c>
      <c r="P5771" s="24" t="str" cm="1">
        <f t="array" ref="P5771">IFERROR(IF($B5771=P$1, ($A5771+$C5771) - MAX(IF($B$2:$B5770=$B5771, $A$2:$A5770+$C$2:$C5770)), "")*24*60, "")</f>
        <v/>
      </c>
      <c r="Q5771" s="24" t="str" cm="1">
        <f t="array" ref="Q5771">IFERROR(IF($B5771=Q$1, ($A5771+$C5771) - MAX(IF($B$2:$B5770=$B5771, $A$2:$A5770+$C$2:$C5770)), "")*24*60, "")</f>
        <v/>
      </c>
      <c r="R5771" s="24" t="str" cm="1">
        <f t="array" ref="R5771">IFERROR(IF($B5771=R$1, ($A5771+$C5771) - MAX(IF($B$2:$B5770=$B5771, $A$2:$A5770+$C$2:$C5770)), "")*24*60, "")</f>
        <v/>
      </c>
      <c r="S5771" s="24" t="str" cm="1">
        <f t="array" ref="S5771">IFERROR(IF($B5771=S$1, ($A5771+$C5771) - MAX(IF($B$2:$B5770=$B5771, $A$2:$A5770+$C$2:$C5770)), "")*24*60, "")</f>
        <v/>
      </c>
    </row>
    <row r="5772" spans="1:19" x14ac:dyDescent="0.2">
      <c r="A5772" s="12">
        <f t="shared" ref="A5772:C5772" si="1306">A5771</f>
        <v>45985</v>
      </c>
      <c r="B5772" s="5" t="str">
        <f t="shared" si="1306"/>
        <v>Northern Cardinal</v>
      </c>
      <c r="C5772" s="6">
        <f t="shared" si="1306"/>
        <v>0.29166666666666669</v>
      </c>
      <c r="D5772" s="5"/>
      <c r="E5772" s="5"/>
      <c r="F5772" s="5" t="s">
        <v>8</v>
      </c>
      <c r="G5772" s="15" t="s">
        <v>9</v>
      </c>
      <c r="H5772" s="24">
        <f t="shared" si="1129"/>
        <v>0</v>
      </c>
      <c r="I5772" s="24" cm="1">
        <f t="array" ref="I5772">IFERROR(IF($B5772=I$1, ($A5772+$C5772) - MAX(IF($B$2:$B5771=$B5772, $A$2:$A5771+$C$2:$C5771)), "")*24*60, "")</f>
        <v>0</v>
      </c>
      <c r="J5772" s="24" t="str" cm="1">
        <f t="array" ref="J5772">IFERROR(IF($B5772=J$1, ($A5772+$C5772) - MAX(IF($B$2:$B5771=$B5772, $A$2:$A5771+$C$2:$C5771)), "")*24*60, "")</f>
        <v/>
      </c>
      <c r="K5772" s="24" t="str" cm="1">
        <f t="array" ref="K5772">IFERROR(IF($B5772=K$1, ($A5772+$C5772) - MAX(IF($B$2:$B5771=$B5772, $A$2:$A5771+$C$2:$C5771)), "")*24*60, "")</f>
        <v/>
      </c>
      <c r="L5772" s="24" t="str" cm="1">
        <f t="array" ref="L5772">IFERROR(IF($B5772=L$1, ($A5772+$C5772) - MAX(IF($B$2:$B5771=$B5772, $A$2:$A5771+$C$2:$C5771)), "")*24*60, "")</f>
        <v/>
      </c>
      <c r="M5772" s="24" t="str" cm="1">
        <f t="array" ref="M5772">IFERROR(IF($B5772=M$1, ($A5772+$C5772) - MAX(IF($B$2:$B5771=$B5772, $A$2:$A5771+$C$2:$C5771)), "")*24*60, "")</f>
        <v/>
      </c>
      <c r="N5772" s="24" t="str" cm="1">
        <f t="array" ref="N5772">IFERROR(IF($B5772=N$1, ($A5772+$C5772) - MAX(IF($B$2:$B5771=$B5772, $A$2:$A5771+$C$2:$C5771)), "")*24*60, "")</f>
        <v/>
      </c>
      <c r="O5772" s="24" t="str" cm="1">
        <f t="array" ref="O5772">IFERROR(IF($B5772=O$1, ($A5772+$C5772) - MAX(IF($B$2:$B5771=$B5772, $A$2:$A5771+$C$2:$C5771)), "")*24*60, "")</f>
        <v/>
      </c>
      <c r="P5772" s="24" t="str" cm="1">
        <f t="array" ref="P5772">IFERROR(IF($B5772=P$1, ($A5772+$C5772) - MAX(IF($B$2:$B5771=$B5772, $A$2:$A5771+$C$2:$C5771)), "")*24*60, "")</f>
        <v/>
      </c>
      <c r="Q5772" s="24" t="str" cm="1">
        <f t="array" ref="Q5772">IFERROR(IF($B5772=Q$1, ($A5772+$C5772) - MAX(IF($B$2:$B5771=$B5772, $A$2:$A5771+$C$2:$C5771)), "")*24*60, "")</f>
        <v/>
      </c>
      <c r="R5772" s="24" t="str" cm="1">
        <f t="array" ref="R5772">IFERROR(IF($B5772=R$1, ($A5772+$C5772) - MAX(IF($B$2:$B5771=$B5772, $A$2:$A5771+$C$2:$C5771)), "")*24*60, "")</f>
        <v/>
      </c>
      <c r="S5772" s="24" t="str" cm="1">
        <f t="array" ref="S5772">IFERROR(IF($B5772=S$1, ($A5772+$C5772) - MAX(IF($B$2:$B5771=$B5772, $A$2:$A5771+$C$2:$C5771)), "")*24*60, "")</f>
        <v/>
      </c>
    </row>
    <row r="5773" spans="1:19" x14ac:dyDescent="0.2">
      <c r="A5773" s="12">
        <f t="shared" ref="A5773:C5773" si="1307">A5772</f>
        <v>45985</v>
      </c>
      <c r="B5773" s="5" t="str">
        <f t="shared" si="1307"/>
        <v>Northern Cardinal</v>
      </c>
      <c r="C5773" s="6">
        <f t="shared" si="1307"/>
        <v>0.29166666666666669</v>
      </c>
      <c r="D5773" s="5"/>
      <c r="E5773" s="5"/>
      <c r="F5773" s="5" t="s">
        <v>8</v>
      </c>
      <c r="G5773" s="15" t="s">
        <v>9</v>
      </c>
      <c r="H5773" s="24">
        <f t="shared" si="1129"/>
        <v>0</v>
      </c>
      <c r="I5773" s="24" cm="1">
        <f t="array" ref="I5773">IFERROR(IF($B5773=I$1, ($A5773+$C5773) - MAX(IF($B$2:$B5772=$B5773, $A$2:$A5772+$C$2:$C5772)), "")*24*60, "")</f>
        <v>0</v>
      </c>
      <c r="J5773" s="24" t="str" cm="1">
        <f t="array" ref="J5773">IFERROR(IF($B5773=J$1, ($A5773+$C5773) - MAX(IF($B$2:$B5772=$B5773, $A$2:$A5772+$C$2:$C5772)), "")*24*60, "")</f>
        <v/>
      </c>
      <c r="K5773" s="24" t="str" cm="1">
        <f t="array" ref="K5773">IFERROR(IF($B5773=K$1, ($A5773+$C5773) - MAX(IF($B$2:$B5772=$B5773, $A$2:$A5772+$C$2:$C5772)), "")*24*60, "")</f>
        <v/>
      </c>
      <c r="L5773" s="24" t="str" cm="1">
        <f t="array" ref="L5773">IFERROR(IF($B5773=L$1, ($A5773+$C5773) - MAX(IF($B$2:$B5772=$B5773, $A$2:$A5772+$C$2:$C5772)), "")*24*60, "")</f>
        <v/>
      </c>
      <c r="M5773" s="24" t="str" cm="1">
        <f t="array" ref="M5773">IFERROR(IF($B5773=M$1, ($A5773+$C5773) - MAX(IF($B$2:$B5772=$B5773, $A$2:$A5772+$C$2:$C5772)), "")*24*60, "")</f>
        <v/>
      </c>
      <c r="N5773" s="24" t="str" cm="1">
        <f t="array" ref="N5773">IFERROR(IF($B5773=N$1, ($A5773+$C5773) - MAX(IF($B$2:$B5772=$B5773, $A$2:$A5772+$C$2:$C5772)), "")*24*60, "")</f>
        <v/>
      </c>
      <c r="O5773" s="24" t="str" cm="1">
        <f t="array" ref="O5773">IFERROR(IF($B5773=O$1, ($A5773+$C5773) - MAX(IF($B$2:$B5772=$B5773, $A$2:$A5772+$C$2:$C5772)), "")*24*60, "")</f>
        <v/>
      </c>
      <c r="P5773" s="24" t="str" cm="1">
        <f t="array" ref="P5773">IFERROR(IF($B5773=P$1, ($A5773+$C5773) - MAX(IF($B$2:$B5772=$B5773, $A$2:$A5772+$C$2:$C5772)), "")*24*60, "")</f>
        <v/>
      </c>
      <c r="Q5773" s="24" t="str" cm="1">
        <f t="array" ref="Q5773">IFERROR(IF($B5773=Q$1, ($A5773+$C5773) - MAX(IF($B$2:$B5772=$B5773, $A$2:$A5772+$C$2:$C5772)), "")*24*60, "")</f>
        <v/>
      </c>
      <c r="R5773" s="24" t="str" cm="1">
        <f t="array" ref="R5773">IFERROR(IF($B5773=R$1, ($A5773+$C5773) - MAX(IF($B$2:$B5772=$B5773, $A$2:$A5772+$C$2:$C5772)), "")*24*60, "")</f>
        <v/>
      </c>
      <c r="S5773" s="24" t="str" cm="1">
        <f t="array" ref="S5773">IFERROR(IF($B5773=S$1, ($A5773+$C5773) - MAX(IF($B$2:$B5772=$B5773, $A$2:$A5772+$C$2:$C5772)), "")*24*60, "")</f>
        <v/>
      </c>
    </row>
    <row r="5774" spans="1:19" x14ac:dyDescent="0.2">
      <c r="A5774" s="12">
        <f t="shared" ref="A5774:C5774" si="1308">A5773</f>
        <v>45985</v>
      </c>
      <c r="B5774" s="5" t="str">
        <f t="shared" si="1308"/>
        <v>Northern Cardinal</v>
      </c>
      <c r="C5774" s="6">
        <f t="shared" si="1308"/>
        <v>0.29166666666666669</v>
      </c>
      <c r="D5774" s="5"/>
      <c r="E5774" s="5"/>
      <c r="F5774" s="5" t="s">
        <v>8</v>
      </c>
      <c r="G5774" s="15" t="s">
        <v>9</v>
      </c>
      <c r="H5774" s="24">
        <f t="shared" si="1129"/>
        <v>0</v>
      </c>
      <c r="I5774" s="24" cm="1">
        <f t="array" ref="I5774">IFERROR(IF($B5774=I$1, ($A5774+$C5774) - MAX(IF($B$2:$B5773=$B5774, $A$2:$A5773+$C$2:$C5773)), "")*24*60, "")</f>
        <v>0</v>
      </c>
      <c r="J5774" s="24" t="str" cm="1">
        <f t="array" ref="J5774">IFERROR(IF($B5774=J$1, ($A5774+$C5774) - MAX(IF($B$2:$B5773=$B5774, $A$2:$A5773+$C$2:$C5773)), "")*24*60, "")</f>
        <v/>
      </c>
      <c r="K5774" s="24" t="str" cm="1">
        <f t="array" ref="K5774">IFERROR(IF($B5774=K$1, ($A5774+$C5774) - MAX(IF($B$2:$B5773=$B5774, $A$2:$A5773+$C$2:$C5773)), "")*24*60, "")</f>
        <v/>
      </c>
      <c r="L5774" s="24" t="str" cm="1">
        <f t="array" ref="L5774">IFERROR(IF($B5774=L$1, ($A5774+$C5774) - MAX(IF($B$2:$B5773=$B5774, $A$2:$A5773+$C$2:$C5773)), "")*24*60, "")</f>
        <v/>
      </c>
      <c r="M5774" s="24" t="str" cm="1">
        <f t="array" ref="M5774">IFERROR(IF($B5774=M$1, ($A5774+$C5774) - MAX(IF($B$2:$B5773=$B5774, $A$2:$A5773+$C$2:$C5773)), "")*24*60, "")</f>
        <v/>
      </c>
      <c r="N5774" s="24" t="str" cm="1">
        <f t="array" ref="N5774">IFERROR(IF($B5774=N$1, ($A5774+$C5774) - MAX(IF($B$2:$B5773=$B5774, $A$2:$A5773+$C$2:$C5773)), "")*24*60, "")</f>
        <v/>
      </c>
      <c r="O5774" s="24" t="str" cm="1">
        <f t="array" ref="O5774">IFERROR(IF($B5774=O$1, ($A5774+$C5774) - MAX(IF($B$2:$B5773=$B5774, $A$2:$A5773+$C$2:$C5773)), "")*24*60, "")</f>
        <v/>
      </c>
      <c r="P5774" s="24" t="str" cm="1">
        <f t="array" ref="P5774">IFERROR(IF($B5774=P$1, ($A5774+$C5774) - MAX(IF($B$2:$B5773=$B5774, $A$2:$A5773+$C$2:$C5773)), "")*24*60, "")</f>
        <v/>
      </c>
      <c r="Q5774" s="24" t="str" cm="1">
        <f t="array" ref="Q5774">IFERROR(IF($B5774=Q$1, ($A5774+$C5774) - MAX(IF($B$2:$B5773=$B5774, $A$2:$A5773+$C$2:$C5773)), "")*24*60, "")</f>
        <v/>
      </c>
      <c r="R5774" s="24" t="str" cm="1">
        <f t="array" ref="R5774">IFERROR(IF($B5774=R$1, ($A5774+$C5774) - MAX(IF($B$2:$B5773=$B5774, $A$2:$A5773+$C$2:$C5773)), "")*24*60, "")</f>
        <v/>
      </c>
      <c r="S5774" s="24" t="str" cm="1">
        <f t="array" ref="S5774">IFERROR(IF($B5774=S$1, ($A5774+$C5774) - MAX(IF($B$2:$B5773=$B5774, $A$2:$A5773+$C$2:$C5773)), "")*24*60, "")</f>
        <v/>
      </c>
    </row>
    <row r="5775" spans="1:19" x14ac:dyDescent="0.2">
      <c r="A5775" s="12">
        <f t="shared" ref="A5775:C5775" si="1309">A5774</f>
        <v>45985</v>
      </c>
      <c r="B5775" s="5" t="str">
        <f t="shared" si="1309"/>
        <v>Northern Cardinal</v>
      </c>
      <c r="C5775" s="6">
        <f t="shared" si="1309"/>
        <v>0.29166666666666669</v>
      </c>
      <c r="D5775" s="5"/>
      <c r="E5775" s="5"/>
      <c r="F5775" s="5" t="s">
        <v>8</v>
      </c>
      <c r="G5775" s="15" t="s">
        <v>9</v>
      </c>
      <c r="H5775" s="24">
        <f t="shared" si="1129"/>
        <v>0</v>
      </c>
      <c r="I5775" s="24" cm="1">
        <f t="array" ref="I5775">IFERROR(IF($B5775=I$1, ($A5775+$C5775) - MAX(IF($B$2:$B5774=$B5775, $A$2:$A5774+$C$2:$C5774)), "")*24*60, "")</f>
        <v>0</v>
      </c>
      <c r="J5775" s="24" t="str" cm="1">
        <f t="array" ref="J5775">IFERROR(IF($B5775=J$1, ($A5775+$C5775) - MAX(IF($B$2:$B5774=$B5775, $A$2:$A5774+$C$2:$C5774)), "")*24*60, "")</f>
        <v/>
      </c>
      <c r="K5775" s="24" t="str" cm="1">
        <f t="array" ref="K5775">IFERROR(IF($B5775=K$1, ($A5775+$C5775) - MAX(IF($B$2:$B5774=$B5775, $A$2:$A5774+$C$2:$C5774)), "")*24*60, "")</f>
        <v/>
      </c>
      <c r="L5775" s="24" t="str" cm="1">
        <f t="array" ref="L5775">IFERROR(IF($B5775=L$1, ($A5775+$C5775) - MAX(IF($B$2:$B5774=$B5775, $A$2:$A5774+$C$2:$C5774)), "")*24*60, "")</f>
        <v/>
      </c>
      <c r="M5775" s="24" t="str" cm="1">
        <f t="array" ref="M5775">IFERROR(IF($B5775=M$1, ($A5775+$C5775) - MAX(IF($B$2:$B5774=$B5775, $A$2:$A5774+$C$2:$C5774)), "")*24*60, "")</f>
        <v/>
      </c>
      <c r="N5775" s="24" t="str" cm="1">
        <f t="array" ref="N5775">IFERROR(IF($B5775=N$1, ($A5775+$C5775) - MAX(IF($B$2:$B5774=$B5775, $A$2:$A5774+$C$2:$C5774)), "")*24*60, "")</f>
        <v/>
      </c>
      <c r="O5775" s="24" t="str" cm="1">
        <f t="array" ref="O5775">IFERROR(IF($B5775=O$1, ($A5775+$C5775) - MAX(IF($B$2:$B5774=$B5775, $A$2:$A5774+$C$2:$C5774)), "")*24*60, "")</f>
        <v/>
      </c>
      <c r="P5775" s="24" t="str" cm="1">
        <f t="array" ref="P5775">IFERROR(IF($B5775=P$1, ($A5775+$C5775) - MAX(IF($B$2:$B5774=$B5775, $A$2:$A5774+$C$2:$C5774)), "")*24*60, "")</f>
        <v/>
      </c>
      <c r="Q5775" s="24" t="str" cm="1">
        <f t="array" ref="Q5775">IFERROR(IF($B5775=Q$1, ($A5775+$C5775) - MAX(IF($B$2:$B5774=$B5775, $A$2:$A5774+$C$2:$C5774)), "")*24*60, "")</f>
        <v/>
      </c>
      <c r="R5775" s="24" t="str" cm="1">
        <f t="array" ref="R5775">IFERROR(IF($B5775=R$1, ($A5775+$C5775) - MAX(IF($B$2:$B5774=$B5775, $A$2:$A5774+$C$2:$C5774)), "")*24*60, "")</f>
        <v/>
      </c>
      <c r="S5775" s="24" t="str" cm="1">
        <f t="array" ref="S5775">IFERROR(IF($B5775=S$1, ($A5775+$C5775) - MAX(IF($B$2:$B5774=$B5775, $A$2:$A5774+$C$2:$C5774)), "")*24*60, "")</f>
        <v/>
      </c>
    </row>
    <row r="5776" spans="1:19" x14ac:dyDescent="0.2">
      <c r="A5776" s="12">
        <f t="shared" ref="A5776:C5776" si="1310">A5775</f>
        <v>45985</v>
      </c>
      <c r="B5776" s="5" t="str">
        <f t="shared" si="1310"/>
        <v>Northern Cardinal</v>
      </c>
      <c r="C5776" s="6">
        <f t="shared" si="1310"/>
        <v>0.29166666666666669</v>
      </c>
      <c r="D5776" s="5"/>
      <c r="E5776" s="5"/>
      <c r="F5776" s="5" t="s">
        <v>8</v>
      </c>
      <c r="G5776" s="15" t="s">
        <v>9</v>
      </c>
      <c r="H5776" s="24">
        <f t="shared" si="1129"/>
        <v>0</v>
      </c>
      <c r="I5776" s="24" cm="1">
        <f t="array" ref="I5776">IFERROR(IF($B5776=I$1, ($A5776+$C5776) - MAX(IF($B$2:$B5775=$B5776, $A$2:$A5775+$C$2:$C5775)), "")*24*60, "")</f>
        <v>0</v>
      </c>
      <c r="J5776" s="24" t="str" cm="1">
        <f t="array" ref="J5776">IFERROR(IF($B5776=J$1, ($A5776+$C5776) - MAX(IF($B$2:$B5775=$B5776, $A$2:$A5775+$C$2:$C5775)), "")*24*60, "")</f>
        <v/>
      </c>
      <c r="K5776" s="24" t="str" cm="1">
        <f t="array" ref="K5776">IFERROR(IF($B5776=K$1, ($A5776+$C5776) - MAX(IF($B$2:$B5775=$B5776, $A$2:$A5775+$C$2:$C5775)), "")*24*60, "")</f>
        <v/>
      </c>
      <c r="L5776" s="24" t="str" cm="1">
        <f t="array" ref="L5776">IFERROR(IF($B5776=L$1, ($A5776+$C5776) - MAX(IF($B$2:$B5775=$B5776, $A$2:$A5775+$C$2:$C5775)), "")*24*60, "")</f>
        <v/>
      </c>
      <c r="M5776" s="24" t="str" cm="1">
        <f t="array" ref="M5776">IFERROR(IF($B5776=M$1, ($A5776+$C5776) - MAX(IF($B$2:$B5775=$B5776, $A$2:$A5775+$C$2:$C5775)), "")*24*60, "")</f>
        <v/>
      </c>
      <c r="N5776" s="24" t="str" cm="1">
        <f t="array" ref="N5776">IFERROR(IF($B5776=N$1, ($A5776+$C5776) - MAX(IF($B$2:$B5775=$B5776, $A$2:$A5775+$C$2:$C5775)), "")*24*60, "")</f>
        <v/>
      </c>
      <c r="O5776" s="24" t="str" cm="1">
        <f t="array" ref="O5776">IFERROR(IF($B5776=O$1, ($A5776+$C5776) - MAX(IF($B$2:$B5775=$B5776, $A$2:$A5775+$C$2:$C5775)), "")*24*60, "")</f>
        <v/>
      </c>
      <c r="P5776" s="24" t="str" cm="1">
        <f t="array" ref="P5776">IFERROR(IF($B5776=P$1, ($A5776+$C5776) - MAX(IF($B$2:$B5775=$B5776, $A$2:$A5775+$C$2:$C5775)), "")*24*60, "")</f>
        <v/>
      </c>
      <c r="Q5776" s="24" t="str" cm="1">
        <f t="array" ref="Q5776">IFERROR(IF($B5776=Q$1, ($A5776+$C5776) - MAX(IF($B$2:$B5775=$B5776, $A$2:$A5775+$C$2:$C5775)), "")*24*60, "")</f>
        <v/>
      </c>
      <c r="R5776" s="24" t="str" cm="1">
        <f t="array" ref="R5776">IFERROR(IF($B5776=R$1, ($A5776+$C5776) - MAX(IF($B$2:$B5775=$B5776, $A$2:$A5775+$C$2:$C5775)), "")*24*60, "")</f>
        <v/>
      </c>
      <c r="S5776" s="24" t="str" cm="1">
        <f t="array" ref="S5776">IFERROR(IF($B5776=S$1, ($A5776+$C5776) - MAX(IF($B$2:$B5775=$B5776, $A$2:$A5775+$C$2:$C5775)), "")*24*60, "")</f>
        <v/>
      </c>
    </row>
    <row r="5777" spans="1:19" x14ac:dyDescent="0.2">
      <c r="A5777" s="12">
        <f t="shared" ref="A5777:C5777" si="1311">A5776</f>
        <v>45985</v>
      </c>
      <c r="B5777" s="5" t="str">
        <f t="shared" si="1311"/>
        <v>Northern Cardinal</v>
      </c>
      <c r="C5777" s="6">
        <f t="shared" si="1311"/>
        <v>0.29166666666666669</v>
      </c>
      <c r="D5777" s="5"/>
      <c r="E5777" s="5"/>
      <c r="F5777" s="5" t="s">
        <v>8</v>
      </c>
      <c r="G5777" s="15" t="s">
        <v>9</v>
      </c>
      <c r="H5777" s="24">
        <f t="shared" si="1129"/>
        <v>0</v>
      </c>
      <c r="I5777" s="24" cm="1">
        <f t="array" ref="I5777">IFERROR(IF($B5777=I$1, ($A5777+$C5777) - MAX(IF($B$2:$B5776=$B5777, $A$2:$A5776+$C$2:$C5776)), "")*24*60, "")</f>
        <v>0</v>
      </c>
      <c r="J5777" s="24" t="str" cm="1">
        <f t="array" ref="J5777">IFERROR(IF($B5777=J$1, ($A5777+$C5777) - MAX(IF($B$2:$B5776=$B5777, $A$2:$A5776+$C$2:$C5776)), "")*24*60, "")</f>
        <v/>
      </c>
      <c r="K5777" s="24" t="str" cm="1">
        <f t="array" ref="K5777">IFERROR(IF($B5777=K$1, ($A5777+$C5777) - MAX(IF($B$2:$B5776=$B5777, $A$2:$A5776+$C$2:$C5776)), "")*24*60, "")</f>
        <v/>
      </c>
      <c r="L5777" s="24" t="str" cm="1">
        <f t="array" ref="L5777">IFERROR(IF($B5777=L$1, ($A5777+$C5777) - MAX(IF($B$2:$B5776=$B5777, $A$2:$A5776+$C$2:$C5776)), "")*24*60, "")</f>
        <v/>
      </c>
      <c r="M5777" s="24" t="str" cm="1">
        <f t="array" ref="M5777">IFERROR(IF($B5777=M$1, ($A5777+$C5777) - MAX(IF($B$2:$B5776=$B5777, $A$2:$A5776+$C$2:$C5776)), "")*24*60, "")</f>
        <v/>
      </c>
      <c r="N5777" s="24" t="str" cm="1">
        <f t="array" ref="N5777">IFERROR(IF($B5777=N$1, ($A5777+$C5777) - MAX(IF($B$2:$B5776=$B5777, $A$2:$A5776+$C$2:$C5776)), "")*24*60, "")</f>
        <v/>
      </c>
      <c r="O5777" s="24" t="str" cm="1">
        <f t="array" ref="O5777">IFERROR(IF($B5777=O$1, ($A5777+$C5777) - MAX(IF($B$2:$B5776=$B5777, $A$2:$A5776+$C$2:$C5776)), "")*24*60, "")</f>
        <v/>
      </c>
      <c r="P5777" s="24" t="str" cm="1">
        <f t="array" ref="P5777">IFERROR(IF($B5777=P$1, ($A5777+$C5777) - MAX(IF($B$2:$B5776=$B5777, $A$2:$A5776+$C$2:$C5776)), "")*24*60, "")</f>
        <v/>
      </c>
      <c r="Q5777" s="24" t="str" cm="1">
        <f t="array" ref="Q5777">IFERROR(IF($B5777=Q$1, ($A5777+$C5777) - MAX(IF($B$2:$B5776=$B5777, $A$2:$A5776+$C$2:$C5776)), "")*24*60, "")</f>
        <v/>
      </c>
      <c r="R5777" s="24" t="str" cm="1">
        <f t="array" ref="R5777">IFERROR(IF($B5777=R$1, ($A5777+$C5777) - MAX(IF($B$2:$B5776=$B5777, $A$2:$A5776+$C$2:$C5776)), "")*24*60, "")</f>
        <v/>
      </c>
      <c r="S5777" s="24" t="str" cm="1">
        <f t="array" ref="S5777">IFERROR(IF($B5777=S$1, ($A5777+$C5777) - MAX(IF($B$2:$B5776=$B5777, $A$2:$A5776+$C$2:$C5776)), "")*24*60, "")</f>
        <v/>
      </c>
    </row>
    <row r="5778" spans="1:19" x14ac:dyDescent="0.2">
      <c r="A5778" s="12">
        <f t="shared" ref="A5778:C5778" si="1312">A5777</f>
        <v>45985</v>
      </c>
      <c r="B5778" s="5" t="str">
        <f t="shared" si="1312"/>
        <v>Northern Cardinal</v>
      </c>
      <c r="C5778" s="6">
        <f t="shared" si="1312"/>
        <v>0.29166666666666669</v>
      </c>
      <c r="D5778" s="5"/>
      <c r="E5778" s="5"/>
      <c r="F5778" s="5" t="s">
        <v>8</v>
      </c>
      <c r="G5778" s="15" t="s">
        <v>9</v>
      </c>
      <c r="H5778" s="24">
        <f t="shared" si="1129"/>
        <v>0</v>
      </c>
      <c r="I5778" s="24" cm="1">
        <f t="array" ref="I5778">IFERROR(IF($B5778=I$1, ($A5778+$C5778) - MAX(IF($B$2:$B5777=$B5778, $A$2:$A5777+$C$2:$C5777)), "")*24*60, "")</f>
        <v>0</v>
      </c>
      <c r="J5778" s="24" t="str" cm="1">
        <f t="array" ref="J5778">IFERROR(IF($B5778=J$1, ($A5778+$C5778) - MAX(IF($B$2:$B5777=$B5778, $A$2:$A5777+$C$2:$C5777)), "")*24*60, "")</f>
        <v/>
      </c>
      <c r="K5778" s="24" t="str" cm="1">
        <f t="array" ref="K5778">IFERROR(IF($B5778=K$1, ($A5778+$C5778) - MAX(IF($B$2:$B5777=$B5778, $A$2:$A5777+$C$2:$C5777)), "")*24*60, "")</f>
        <v/>
      </c>
      <c r="L5778" s="24" t="str" cm="1">
        <f t="array" ref="L5778">IFERROR(IF($B5778=L$1, ($A5778+$C5778) - MAX(IF($B$2:$B5777=$B5778, $A$2:$A5777+$C$2:$C5777)), "")*24*60, "")</f>
        <v/>
      </c>
      <c r="M5778" s="24" t="str" cm="1">
        <f t="array" ref="M5778">IFERROR(IF($B5778=M$1, ($A5778+$C5778) - MAX(IF($B$2:$B5777=$B5778, $A$2:$A5777+$C$2:$C5777)), "")*24*60, "")</f>
        <v/>
      </c>
      <c r="N5778" s="24" t="str" cm="1">
        <f t="array" ref="N5778">IFERROR(IF($B5778=N$1, ($A5778+$C5778) - MAX(IF($B$2:$B5777=$B5778, $A$2:$A5777+$C$2:$C5777)), "")*24*60, "")</f>
        <v/>
      </c>
      <c r="O5778" s="24" t="str" cm="1">
        <f t="array" ref="O5778">IFERROR(IF($B5778=O$1, ($A5778+$C5778) - MAX(IF($B$2:$B5777=$B5778, $A$2:$A5777+$C$2:$C5777)), "")*24*60, "")</f>
        <v/>
      </c>
      <c r="P5778" s="24" t="str" cm="1">
        <f t="array" ref="P5778">IFERROR(IF($B5778=P$1, ($A5778+$C5778) - MAX(IF($B$2:$B5777=$B5778, $A$2:$A5777+$C$2:$C5777)), "")*24*60, "")</f>
        <v/>
      </c>
      <c r="Q5778" s="24" t="str" cm="1">
        <f t="array" ref="Q5778">IFERROR(IF($B5778=Q$1, ($A5778+$C5778) - MAX(IF($B$2:$B5777=$B5778, $A$2:$A5777+$C$2:$C5777)), "")*24*60, "")</f>
        <v/>
      </c>
      <c r="R5778" s="24" t="str" cm="1">
        <f t="array" ref="R5778">IFERROR(IF($B5778=R$1, ($A5778+$C5778) - MAX(IF($B$2:$B5777=$B5778, $A$2:$A5777+$C$2:$C5777)), "")*24*60, "")</f>
        <v/>
      </c>
      <c r="S5778" s="24" t="str" cm="1">
        <f t="array" ref="S5778">IFERROR(IF($B5778=S$1, ($A5778+$C5778) - MAX(IF($B$2:$B5777=$B5778, $A$2:$A5777+$C$2:$C5777)), "")*24*60, "")</f>
        <v/>
      </c>
    </row>
    <row r="5779" spans="1:19" x14ac:dyDescent="0.2">
      <c r="A5779" s="12">
        <f t="shared" ref="A5779:C5779" si="1313">A5778</f>
        <v>45985</v>
      </c>
      <c r="B5779" s="5" t="str">
        <f t="shared" si="1313"/>
        <v>Northern Cardinal</v>
      </c>
      <c r="C5779" s="6">
        <f t="shared" si="1313"/>
        <v>0.29166666666666669</v>
      </c>
      <c r="D5779" s="5"/>
      <c r="E5779" s="5"/>
      <c r="F5779" s="5" t="s">
        <v>8</v>
      </c>
      <c r="G5779" s="15" t="s">
        <v>9</v>
      </c>
      <c r="H5779" s="24">
        <f t="shared" si="1129"/>
        <v>0</v>
      </c>
      <c r="I5779" s="24" cm="1">
        <f t="array" ref="I5779">IFERROR(IF($B5779=I$1, ($A5779+$C5779) - MAX(IF($B$2:$B5778=$B5779, $A$2:$A5778+$C$2:$C5778)), "")*24*60, "")</f>
        <v>0</v>
      </c>
      <c r="J5779" s="24" t="str" cm="1">
        <f t="array" ref="J5779">IFERROR(IF($B5779=J$1, ($A5779+$C5779) - MAX(IF($B$2:$B5778=$B5779, $A$2:$A5778+$C$2:$C5778)), "")*24*60, "")</f>
        <v/>
      </c>
      <c r="K5779" s="24" t="str" cm="1">
        <f t="array" ref="K5779">IFERROR(IF($B5779=K$1, ($A5779+$C5779) - MAX(IF($B$2:$B5778=$B5779, $A$2:$A5778+$C$2:$C5778)), "")*24*60, "")</f>
        <v/>
      </c>
      <c r="L5779" s="24" t="str" cm="1">
        <f t="array" ref="L5779">IFERROR(IF($B5779=L$1, ($A5779+$C5779) - MAX(IF($B$2:$B5778=$B5779, $A$2:$A5778+$C$2:$C5778)), "")*24*60, "")</f>
        <v/>
      </c>
      <c r="M5779" s="24" t="str" cm="1">
        <f t="array" ref="M5779">IFERROR(IF($B5779=M$1, ($A5779+$C5779) - MAX(IF($B$2:$B5778=$B5779, $A$2:$A5778+$C$2:$C5778)), "")*24*60, "")</f>
        <v/>
      </c>
      <c r="N5779" s="24" t="str" cm="1">
        <f t="array" ref="N5779">IFERROR(IF($B5779=N$1, ($A5779+$C5779) - MAX(IF($B$2:$B5778=$B5779, $A$2:$A5778+$C$2:$C5778)), "")*24*60, "")</f>
        <v/>
      </c>
      <c r="O5779" s="24" t="str" cm="1">
        <f t="array" ref="O5779">IFERROR(IF($B5779=O$1, ($A5779+$C5779) - MAX(IF($B$2:$B5778=$B5779, $A$2:$A5778+$C$2:$C5778)), "")*24*60, "")</f>
        <v/>
      </c>
      <c r="P5779" s="24" t="str" cm="1">
        <f t="array" ref="P5779">IFERROR(IF($B5779=P$1, ($A5779+$C5779) - MAX(IF($B$2:$B5778=$B5779, $A$2:$A5778+$C$2:$C5778)), "")*24*60, "")</f>
        <v/>
      </c>
      <c r="Q5779" s="24" t="str" cm="1">
        <f t="array" ref="Q5779">IFERROR(IF($B5779=Q$1, ($A5779+$C5779) - MAX(IF($B$2:$B5778=$B5779, $A$2:$A5778+$C$2:$C5778)), "")*24*60, "")</f>
        <v/>
      </c>
      <c r="R5779" s="24" t="str" cm="1">
        <f t="array" ref="R5779">IFERROR(IF($B5779=R$1, ($A5779+$C5779) - MAX(IF($B$2:$B5778=$B5779, $A$2:$A5778+$C$2:$C5778)), "")*24*60, "")</f>
        <v/>
      </c>
      <c r="S5779" s="24" t="str" cm="1">
        <f t="array" ref="S5779">IFERROR(IF($B5779=S$1, ($A5779+$C5779) - MAX(IF($B$2:$B5778=$B5779, $A$2:$A5778+$C$2:$C5778)), "")*24*60, "")</f>
        <v/>
      </c>
    </row>
    <row r="5780" spans="1:19" x14ac:dyDescent="0.2">
      <c r="A5780" s="12">
        <f t="shared" ref="A5780:C5780" si="1314">A5779</f>
        <v>45985</v>
      </c>
      <c r="B5780" s="5" t="str">
        <f t="shared" si="1314"/>
        <v>Northern Cardinal</v>
      </c>
      <c r="C5780" s="6">
        <f t="shared" si="1314"/>
        <v>0.29166666666666669</v>
      </c>
      <c r="D5780" s="5"/>
      <c r="E5780" s="5"/>
      <c r="F5780" s="5" t="s">
        <v>8</v>
      </c>
      <c r="G5780" s="15" t="s">
        <v>9</v>
      </c>
      <c r="H5780" s="24">
        <f t="shared" si="1129"/>
        <v>0</v>
      </c>
      <c r="I5780" s="24" cm="1">
        <f t="array" ref="I5780">IFERROR(IF($B5780=I$1, ($A5780+$C5780) - MAX(IF($B$2:$B5779=$B5780, $A$2:$A5779+$C$2:$C5779)), "")*24*60, "")</f>
        <v>0</v>
      </c>
      <c r="J5780" s="24" t="str" cm="1">
        <f t="array" ref="J5780">IFERROR(IF($B5780=J$1, ($A5780+$C5780) - MAX(IF($B$2:$B5779=$B5780, $A$2:$A5779+$C$2:$C5779)), "")*24*60, "")</f>
        <v/>
      </c>
      <c r="K5780" s="24" t="str" cm="1">
        <f t="array" ref="K5780">IFERROR(IF($B5780=K$1, ($A5780+$C5780) - MAX(IF($B$2:$B5779=$B5780, $A$2:$A5779+$C$2:$C5779)), "")*24*60, "")</f>
        <v/>
      </c>
      <c r="L5780" s="24" t="str" cm="1">
        <f t="array" ref="L5780">IFERROR(IF($B5780=L$1, ($A5780+$C5780) - MAX(IF($B$2:$B5779=$B5780, $A$2:$A5779+$C$2:$C5779)), "")*24*60, "")</f>
        <v/>
      </c>
      <c r="M5780" s="24" t="str" cm="1">
        <f t="array" ref="M5780">IFERROR(IF($B5780=M$1, ($A5780+$C5780) - MAX(IF($B$2:$B5779=$B5780, $A$2:$A5779+$C$2:$C5779)), "")*24*60, "")</f>
        <v/>
      </c>
      <c r="N5780" s="24" t="str" cm="1">
        <f t="array" ref="N5780">IFERROR(IF($B5780=N$1, ($A5780+$C5780) - MAX(IF($B$2:$B5779=$B5780, $A$2:$A5779+$C$2:$C5779)), "")*24*60, "")</f>
        <v/>
      </c>
      <c r="O5780" s="24" t="str" cm="1">
        <f t="array" ref="O5780">IFERROR(IF($B5780=O$1, ($A5780+$C5780) - MAX(IF($B$2:$B5779=$B5780, $A$2:$A5779+$C$2:$C5779)), "")*24*60, "")</f>
        <v/>
      </c>
      <c r="P5780" s="24" t="str" cm="1">
        <f t="array" ref="P5780">IFERROR(IF($B5780=P$1, ($A5780+$C5780) - MAX(IF($B$2:$B5779=$B5780, $A$2:$A5779+$C$2:$C5779)), "")*24*60, "")</f>
        <v/>
      </c>
      <c r="Q5780" s="24" t="str" cm="1">
        <f t="array" ref="Q5780">IFERROR(IF($B5780=Q$1, ($A5780+$C5780) - MAX(IF($B$2:$B5779=$B5780, $A$2:$A5779+$C$2:$C5779)), "")*24*60, "")</f>
        <v/>
      </c>
      <c r="R5780" s="24" t="str" cm="1">
        <f t="array" ref="R5780">IFERROR(IF($B5780=R$1, ($A5780+$C5780) - MAX(IF($B$2:$B5779=$B5780, $A$2:$A5779+$C$2:$C5779)), "")*24*60, "")</f>
        <v/>
      </c>
      <c r="S5780" s="24" t="str" cm="1">
        <f t="array" ref="S5780">IFERROR(IF($B5780=S$1, ($A5780+$C5780) - MAX(IF($B$2:$B5779=$B5780, $A$2:$A5779+$C$2:$C5779)), "")*24*60, "")</f>
        <v/>
      </c>
    </row>
    <row r="5781" spans="1:19" x14ac:dyDescent="0.2">
      <c r="A5781" s="12">
        <f t="shared" ref="A5781:C5781" si="1315">A5780</f>
        <v>45985</v>
      </c>
      <c r="B5781" s="5" t="str">
        <f t="shared" si="1315"/>
        <v>Northern Cardinal</v>
      </c>
      <c r="C5781" s="6">
        <f t="shared" si="1315"/>
        <v>0.29166666666666669</v>
      </c>
      <c r="D5781" s="5"/>
      <c r="E5781" s="5"/>
      <c r="F5781" s="5" t="s">
        <v>8</v>
      </c>
      <c r="G5781" s="15" t="s">
        <v>9</v>
      </c>
      <c r="H5781" s="24">
        <f t="shared" si="1129"/>
        <v>0</v>
      </c>
      <c r="I5781" s="24" cm="1">
        <f t="array" ref="I5781">IFERROR(IF($B5781=I$1, ($A5781+$C5781) - MAX(IF($B$2:$B5780=$B5781, $A$2:$A5780+$C$2:$C5780)), "")*24*60, "")</f>
        <v>0</v>
      </c>
      <c r="J5781" s="24" t="str" cm="1">
        <f t="array" ref="J5781">IFERROR(IF($B5781=J$1, ($A5781+$C5781) - MAX(IF($B$2:$B5780=$B5781, $A$2:$A5780+$C$2:$C5780)), "")*24*60, "")</f>
        <v/>
      </c>
      <c r="K5781" s="24" t="str" cm="1">
        <f t="array" ref="K5781">IFERROR(IF($B5781=K$1, ($A5781+$C5781) - MAX(IF($B$2:$B5780=$B5781, $A$2:$A5780+$C$2:$C5780)), "")*24*60, "")</f>
        <v/>
      </c>
      <c r="L5781" s="24" t="str" cm="1">
        <f t="array" ref="L5781">IFERROR(IF($B5781=L$1, ($A5781+$C5781) - MAX(IF($B$2:$B5780=$B5781, $A$2:$A5780+$C$2:$C5780)), "")*24*60, "")</f>
        <v/>
      </c>
      <c r="M5781" s="24" t="str" cm="1">
        <f t="array" ref="M5781">IFERROR(IF($B5781=M$1, ($A5781+$C5781) - MAX(IF($B$2:$B5780=$B5781, $A$2:$A5780+$C$2:$C5780)), "")*24*60, "")</f>
        <v/>
      </c>
      <c r="N5781" s="24" t="str" cm="1">
        <f t="array" ref="N5781">IFERROR(IF($B5781=N$1, ($A5781+$C5781) - MAX(IF($B$2:$B5780=$B5781, $A$2:$A5780+$C$2:$C5780)), "")*24*60, "")</f>
        <v/>
      </c>
      <c r="O5781" s="24" t="str" cm="1">
        <f t="array" ref="O5781">IFERROR(IF($B5781=O$1, ($A5781+$C5781) - MAX(IF($B$2:$B5780=$B5781, $A$2:$A5780+$C$2:$C5780)), "")*24*60, "")</f>
        <v/>
      </c>
      <c r="P5781" s="24" t="str" cm="1">
        <f t="array" ref="P5781">IFERROR(IF($B5781=P$1, ($A5781+$C5781) - MAX(IF($B$2:$B5780=$B5781, $A$2:$A5780+$C$2:$C5780)), "")*24*60, "")</f>
        <v/>
      </c>
      <c r="Q5781" s="24" t="str" cm="1">
        <f t="array" ref="Q5781">IFERROR(IF($B5781=Q$1, ($A5781+$C5781) - MAX(IF($B$2:$B5780=$B5781, $A$2:$A5780+$C$2:$C5780)), "")*24*60, "")</f>
        <v/>
      </c>
      <c r="R5781" s="24" t="str" cm="1">
        <f t="array" ref="R5781">IFERROR(IF($B5781=R$1, ($A5781+$C5781) - MAX(IF($B$2:$B5780=$B5781, $A$2:$A5780+$C$2:$C5780)), "")*24*60, "")</f>
        <v/>
      </c>
      <c r="S5781" s="24" t="str" cm="1">
        <f t="array" ref="S5781">IFERROR(IF($B5781=S$1, ($A5781+$C5781) - MAX(IF($B$2:$B5780=$B5781, $A$2:$A5780+$C$2:$C5780)), "")*24*60, "")</f>
        <v/>
      </c>
    </row>
    <row r="5782" spans="1:19" x14ac:dyDescent="0.2">
      <c r="A5782" s="12">
        <f t="shared" ref="A5782:C5782" si="1316">A5781</f>
        <v>45985</v>
      </c>
      <c r="B5782" s="5" t="str">
        <f t="shared" si="1316"/>
        <v>Northern Cardinal</v>
      </c>
      <c r="C5782" s="6">
        <f t="shared" si="1316"/>
        <v>0.29166666666666669</v>
      </c>
      <c r="D5782" s="5"/>
      <c r="E5782" s="5"/>
      <c r="F5782" s="5" t="s">
        <v>8</v>
      </c>
      <c r="G5782" s="15" t="s">
        <v>9</v>
      </c>
      <c r="H5782" s="24">
        <f t="shared" si="1129"/>
        <v>0</v>
      </c>
      <c r="I5782" s="24" cm="1">
        <f t="array" ref="I5782">IFERROR(IF($B5782=I$1, ($A5782+$C5782) - MAX(IF($B$2:$B5781=$B5782, $A$2:$A5781+$C$2:$C5781)), "")*24*60, "")</f>
        <v>0</v>
      </c>
      <c r="J5782" s="24" t="str" cm="1">
        <f t="array" ref="J5782">IFERROR(IF($B5782=J$1, ($A5782+$C5782) - MAX(IF($B$2:$B5781=$B5782, $A$2:$A5781+$C$2:$C5781)), "")*24*60, "")</f>
        <v/>
      </c>
      <c r="K5782" s="24" t="str" cm="1">
        <f t="array" ref="K5782">IFERROR(IF($B5782=K$1, ($A5782+$C5782) - MAX(IF($B$2:$B5781=$B5782, $A$2:$A5781+$C$2:$C5781)), "")*24*60, "")</f>
        <v/>
      </c>
      <c r="L5782" s="24" t="str" cm="1">
        <f t="array" ref="L5782">IFERROR(IF($B5782=L$1, ($A5782+$C5782) - MAX(IF($B$2:$B5781=$B5782, $A$2:$A5781+$C$2:$C5781)), "")*24*60, "")</f>
        <v/>
      </c>
      <c r="M5782" s="24" t="str" cm="1">
        <f t="array" ref="M5782">IFERROR(IF($B5782=M$1, ($A5782+$C5782) - MAX(IF($B$2:$B5781=$B5782, $A$2:$A5781+$C$2:$C5781)), "")*24*60, "")</f>
        <v/>
      </c>
      <c r="N5782" s="24" t="str" cm="1">
        <f t="array" ref="N5782">IFERROR(IF($B5782=N$1, ($A5782+$C5782) - MAX(IF($B$2:$B5781=$B5782, $A$2:$A5781+$C$2:$C5781)), "")*24*60, "")</f>
        <v/>
      </c>
      <c r="O5782" s="24" t="str" cm="1">
        <f t="array" ref="O5782">IFERROR(IF($B5782=O$1, ($A5782+$C5782) - MAX(IF($B$2:$B5781=$B5782, $A$2:$A5781+$C$2:$C5781)), "")*24*60, "")</f>
        <v/>
      </c>
      <c r="P5782" s="24" t="str" cm="1">
        <f t="array" ref="P5782">IFERROR(IF($B5782=P$1, ($A5782+$C5782) - MAX(IF($B$2:$B5781=$B5782, $A$2:$A5781+$C$2:$C5781)), "")*24*60, "")</f>
        <v/>
      </c>
      <c r="Q5782" s="24" t="str" cm="1">
        <f t="array" ref="Q5782">IFERROR(IF($B5782=Q$1, ($A5782+$C5782) - MAX(IF($B$2:$B5781=$B5782, $A$2:$A5781+$C$2:$C5781)), "")*24*60, "")</f>
        <v/>
      </c>
      <c r="R5782" s="24" t="str" cm="1">
        <f t="array" ref="R5782">IFERROR(IF($B5782=R$1, ($A5782+$C5782) - MAX(IF($B$2:$B5781=$B5782, $A$2:$A5781+$C$2:$C5781)), "")*24*60, "")</f>
        <v/>
      </c>
      <c r="S5782" s="24" t="str" cm="1">
        <f t="array" ref="S5782">IFERROR(IF($B5782=S$1, ($A5782+$C5782) - MAX(IF($B$2:$B5781=$B5782, $A$2:$A5781+$C$2:$C5781)), "")*24*60, "")</f>
        <v/>
      </c>
    </row>
    <row r="5783" spans="1:19" x14ac:dyDescent="0.2">
      <c r="A5783" s="12">
        <f t="shared" ref="A5783:C5783" si="1317">A5782</f>
        <v>45985</v>
      </c>
      <c r="B5783" s="5" t="str">
        <f t="shared" si="1317"/>
        <v>Northern Cardinal</v>
      </c>
      <c r="C5783" s="6">
        <f t="shared" si="1317"/>
        <v>0.29166666666666669</v>
      </c>
      <c r="D5783" s="5"/>
      <c r="E5783" s="5"/>
      <c r="F5783" s="5" t="s">
        <v>8</v>
      </c>
      <c r="G5783" s="15" t="s">
        <v>9</v>
      </c>
      <c r="H5783" s="24">
        <f t="shared" si="1129"/>
        <v>0</v>
      </c>
      <c r="I5783" s="24" cm="1">
        <f t="array" ref="I5783">IFERROR(IF($B5783=I$1, ($A5783+$C5783) - MAX(IF($B$2:$B5782=$B5783, $A$2:$A5782+$C$2:$C5782)), "")*24*60, "")</f>
        <v>0</v>
      </c>
      <c r="J5783" s="24" t="str" cm="1">
        <f t="array" ref="J5783">IFERROR(IF($B5783=J$1, ($A5783+$C5783) - MAX(IF($B$2:$B5782=$B5783, $A$2:$A5782+$C$2:$C5782)), "")*24*60, "")</f>
        <v/>
      </c>
      <c r="K5783" s="24" t="str" cm="1">
        <f t="array" ref="K5783">IFERROR(IF($B5783=K$1, ($A5783+$C5783) - MAX(IF($B$2:$B5782=$B5783, $A$2:$A5782+$C$2:$C5782)), "")*24*60, "")</f>
        <v/>
      </c>
      <c r="L5783" s="24" t="str" cm="1">
        <f t="array" ref="L5783">IFERROR(IF($B5783=L$1, ($A5783+$C5783) - MAX(IF($B$2:$B5782=$B5783, $A$2:$A5782+$C$2:$C5782)), "")*24*60, "")</f>
        <v/>
      </c>
      <c r="M5783" s="24" t="str" cm="1">
        <f t="array" ref="M5783">IFERROR(IF($B5783=M$1, ($A5783+$C5783) - MAX(IF($B$2:$B5782=$B5783, $A$2:$A5782+$C$2:$C5782)), "")*24*60, "")</f>
        <v/>
      </c>
      <c r="N5783" s="24" t="str" cm="1">
        <f t="array" ref="N5783">IFERROR(IF($B5783=N$1, ($A5783+$C5783) - MAX(IF($B$2:$B5782=$B5783, $A$2:$A5782+$C$2:$C5782)), "")*24*60, "")</f>
        <v/>
      </c>
      <c r="O5783" s="24" t="str" cm="1">
        <f t="array" ref="O5783">IFERROR(IF($B5783=O$1, ($A5783+$C5783) - MAX(IF($B$2:$B5782=$B5783, $A$2:$A5782+$C$2:$C5782)), "")*24*60, "")</f>
        <v/>
      </c>
      <c r="P5783" s="24" t="str" cm="1">
        <f t="array" ref="P5783">IFERROR(IF($B5783=P$1, ($A5783+$C5783) - MAX(IF($B$2:$B5782=$B5783, $A$2:$A5782+$C$2:$C5782)), "")*24*60, "")</f>
        <v/>
      </c>
      <c r="Q5783" s="24" t="str" cm="1">
        <f t="array" ref="Q5783">IFERROR(IF($B5783=Q$1, ($A5783+$C5783) - MAX(IF($B$2:$B5782=$B5783, $A$2:$A5782+$C$2:$C5782)), "")*24*60, "")</f>
        <v/>
      </c>
      <c r="R5783" s="24" t="str" cm="1">
        <f t="array" ref="R5783">IFERROR(IF($B5783=R$1, ($A5783+$C5783) - MAX(IF($B$2:$B5782=$B5783, $A$2:$A5782+$C$2:$C5782)), "")*24*60, "")</f>
        <v/>
      </c>
      <c r="S5783" s="24" t="str" cm="1">
        <f t="array" ref="S5783">IFERROR(IF($B5783=S$1, ($A5783+$C5783) - MAX(IF($B$2:$B5782=$B5783, $A$2:$A5782+$C$2:$C5782)), "")*24*60, "")</f>
        <v/>
      </c>
    </row>
    <row r="5784" spans="1:19" x14ac:dyDescent="0.2">
      <c r="A5784" s="12">
        <f t="shared" ref="A5784:C5784" si="1318">A5783</f>
        <v>45985</v>
      </c>
      <c r="B5784" s="5" t="str">
        <f t="shared" si="1318"/>
        <v>Northern Cardinal</v>
      </c>
      <c r="C5784" s="6">
        <f t="shared" si="1318"/>
        <v>0.29166666666666669</v>
      </c>
      <c r="D5784" s="5"/>
      <c r="E5784" s="5"/>
      <c r="F5784" s="5" t="s">
        <v>8</v>
      </c>
      <c r="G5784" s="15" t="s">
        <v>9</v>
      </c>
      <c r="H5784" s="24">
        <f t="shared" si="1129"/>
        <v>0</v>
      </c>
      <c r="I5784" s="24" cm="1">
        <f t="array" ref="I5784">IFERROR(IF($B5784=I$1, ($A5784+$C5784) - MAX(IF($B$2:$B5783=$B5784, $A$2:$A5783+$C$2:$C5783)), "")*24*60, "")</f>
        <v>0</v>
      </c>
      <c r="J5784" s="24" t="str" cm="1">
        <f t="array" ref="J5784">IFERROR(IF($B5784=J$1, ($A5784+$C5784) - MAX(IF($B$2:$B5783=$B5784, $A$2:$A5783+$C$2:$C5783)), "")*24*60, "")</f>
        <v/>
      </c>
      <c r="K5784" s="24" t="str" cm="1">
        <f t="array" ref="K5784">IFERROR(IF($B5784=K$1, ($A5784+$C5784) - MAX(IF($B$2:$B5783=$B5784, $A$2:$A5783+$C$2:$C5783)), "")*24*60, "")</f>
        <v/>
      </c>
      <c r="L5784" s="24" t="str" cm="1">
        <f t="array" ref="L5784">IFERROR(IF($B5784=L$1, ($A5784+$C5784) - MAX(IF($B$2:$B5783=$B5784, $A$2:$A5783+$C$2:$C5783)), "")*24*60, "")</f>
        <v/>
      </c>
      <c r="M5784" s="24" t="str" cm="1">
        <f t="array" ref="M5784">IFERROR(IF($B5784=M$1, ($A5784+$C5784) - MAX(IF($B$2:$B5783=$B5784, $A$2:$A5783+$C$2:$C5783)), "")*24*60, "")</f>
        <v/>
      </c>
      <c r="N5784" s="24" t="str" cm="1">
        <f t="array" ref="N5784">IFERROR(IF($B5784=N$1, ($A5784+$C5784) - MAX(IF($B$2:$B5783=$B5784, $A$2:$A5783+$C$2:$C5783)), "")*24*60, "")</f>
        <v/>
      </c>
      <c r="O5784" s="24" t="str" cm="1">
        <f t="array" ref="O5784">IFERROR(IF($B5784=O$1, ($A5784+$C5784) - MAX(IF($B$2:$B5783=$B5784, $A$2:$A5783+$C$2:$C5783)), "")*24*60, "")</f>
        <v/>
      </c>
      <c r="P5784" s="24" t="str" cm="1">
        <f t="array" ref="P5784">IFERROR(IF($B5784=P$1, ($A5784+$C5784) - MAX(IF($B$2:$B5783=$B5784, $A$2:$A5783+$C$2:$C5783)), "")*24*60, "")</f>
        <v/>
      </c>
      <c r="Q5784" s="24" t="str" cm="1">
        <f t="array" ref="Q5784">IFERROR(IF($B5784=Q$1, ($A5784+$C5784) - MAX(IF($B$2:$B5783=$B5784, $A$2:$A5783+$C$2:$C5783)), "")*24*60, "")</f>
        <v/>
      </c>
      <c r="R5784" s="24" t="str" cm="1">
        <f t="array" ref="R5784">IFERROR(IF($B5784=R$1, ($A5784+$C5784) - MAX(IF($B$2:$B5783=$B5784, $A$2:$A5783+$C$2:$C5783)), "")*24*60, "")</f>
        <v/>
      </c>
      <c r="S5784" s="24" t="str" cm="1">
        <f t="array" ref="S5784">IFERROR(IF($B5784=S$1, ($A5784+$C5784) - MAX(IF($B$2:$B5783=$B5784, $A$2:$A5783+$C$2:$C5783)), "")*24*60, "")</f>
        <v/>
      </c>
    </row>
    <row r="5785" spans="1:19" x14ac:dyDescent="0.2">
      <c r="A5785" s="12">
        <f t="shared" ref="A5785:C5785" si="1319">A5784</f>
        <v>45985</v>
      </c>
      <c r="B5785" s="5" t="str">
        <f t="shared" si="1319"/>
        <v>Northern Cardinal</v>
      </c>
      <c r="C5785" s="6">
        <f t="shared" si="1319"/>
        <v>0.29166666666666669</v>
      </c>
      <c r="D5785" s="5"/>
      <c r="E5785" s="5"/>
      <c r="F5785" s="5" t="s">
        <v>8</v>
      </c>
      <c r="G5785" s="15" t="s">
        <v>9</v>
      </c>
      <c r="H5785" s="24">
        <f t="shared" si="1129"/>
        <v>0</v>
      </c>
      <c r="I5785" s="24" cm="1">
        <f t="array" ref="I5785">IFERROR(IF($B5785=I$1, ($A5785+$C5785) - MAX(IF($B$2:$B5784=$B5785, $A$2:$A5784+$C$2:$C5784)), "")*24*60, "")</f>
        <v>0</v>
      </c>
      <c r="J5785" s="24" t="str" cm="1">
        <f t="array" ref="J5785">IFERROR(IF($B5785=J$1, ($A5785+$C5785) - MAX(IF($B$2:$B5784=$B5785, $A$2:$A5784+$C$2:$C5784)), "")*24*60, "")</f>
        <v/>
      </c>
      <c r="K5785" s="24" t="str" cm="1">
        <f t="array" ref="K5785">IFERROR(IF($B5785=K$1, ($A5785+$C5785) - MAX(IF($B$2:$B5784=$B5785, $A$2:$A5784+$C$2:$C5784)), "")*24*60, "")</f>
        <v/>
      </c>
      <c r="L5785" s="24" t="str" cm="1">
        <f t="array" ref="L5785">IFERROR(IF($B5785=L$1, ($A5785+$C5785) - MAX(IF($B$2:$B5784=$B5785, $A$2:$A5784+$C$2:$C5784)), "")*24*60, "")</f>
        <v/>
      </c>
      <c r="M5785" s="24" t="str" cm="1">
        <f t="array" ref="M5785">IFERROR(IF($B5785=M$1, ($A5785+$C5785) - MAX(IF($B$2:$B5784=$B5785, $A$2:$A5784+$C$2:$C5784)), "")*24*60, "")</f>
        <v/>
      </c>
      <c r="N5785" s="24" t="str" cm="1">
        <f t="array" ref="N5785">IFERROR(IF($B5785=N$1, ($A5785+$C5785) - MAX(IF($B$2:$B5784=$B5785, $A$2:$A5784+$C$2:$C5784)), "")*24*60, "")</f>
        <v/>
      </c>
      <c r="O5785" s="24" t="str" cm="1">
        <f t="array" ref="O5785">IFERROR(IF($B5785=O$1, ($A5785+$C5785) - MAX(IF($B$2:$B5784=$B5785, $A$2:$A5784+$C$2:$C5784)), "")*24*60, "")</f>
        <v/>
      </c>
      <c r="P5785" s="24" t="str" cm="1">
        <f t="array" ref="P5785">IFERROR(IF($B5785=P$1, ($A5785+$C5785) - MAX(IF($B$2:$B5784=$B5785, $A$2:$A5784+$C$2:$C5784)), "")*24*60, "")</f>
        <v/>
      </c>
      <c r="Q5785" s="24" t="str" cm="1">
        <f t="array" ref="Q5785">IFERROR(IF($B5785=Q$1, ($A5785+$C5785) - MAX(IF($B$2:$B5784=$B5785, $A$2:$A5784+$C$2:$C5784)), "")*24*60, "")</f>
        <v/>
      </c>
      <c r="R5785" s="24" t="str" cm="1">
        <f t="array" ref="R5785">IFERROR(IF($B5785=R$1, ($A5785+$C5785) - MAX(IF($B$2:$B5784=$B5785, $A$2:$A5784+$C$2:$C5784)), "")*24*60, "")</f>
        <v/>
      </c>
      <c r="S5785" s="24" t="str" cm="1">
        <f t="array" ref="S5785">IFERROR(IF($B5785=S$1, ($A5785+$C5785) - MAX(IF($B$2:$B5784=$B5785, $A$2:$A5784+$C$2:$C5784)), "")*24*60, "")</f>
        <v/>
      </c>
    </row>
    <row r="5786" spans="1:19" x14ac:dyDescent="0.2">
      <c r="A5786" s="12">
        <f t="shared" ref="A5786:C5786" si="1320">A5785</f>
        <v>45985</v>
      </c>
      <c r="B5786" s="5" t="str">
        <f t="shared" si="1320"/>
        <v>Northern Cardinal</v>
      </c>
      <c r="C5786" s="6">
        <f t="shared" si="1320"/>
        <v>0.29166666666666669</v>
      </c>
      <c r="D5786" s="5"/>
      <c r="E5786" s="5"/>
      <c r="F5786" s="5" t="s">
        <v>8</v>
      </c>
      <c r="G5786" s="15" t="s">
        <v>9</v>
      </c>
      <c r="H5786" s="24">
        <f t="shared" si="1129"/>
        <v>0</v>
      </c>
      <c r="I5786" s="24" cm="1">
        <f t="array" ref="I5786">IFERROR(IF($B5786=I$1, ($A5786+$C5786) - MAX(IF($B$2:$B5785=$B5786, $A$2:$A5785+$C$2:$C5785)), "")*24*60, "")</f>
        <v>0</v>
      </c>
      <c r="J5786" s="24" t="str" cm="1">
        <f t="array" ref="J5786">IFERROR(IF($B5786=J$1, ($A5786+$C5786) - MAX(IF($B$2:$B5785=$B5786, $A$2:$A5785+$C$2:$C5785)), "")*24*60, "")</f>
        <v/>
      </c>
      <c r="K5786" s="24" t="str" cm="1">
        <f t="array" ref="K5786">IFERROR(IF($B5786=K$1, ($A5786+$C5786) - MAX(IF($B$2:$B5785=$B5786, $A$2:$A5785+$C$2:$C5785)), "")*24*60, "")</f>
        <v/>
      </c>
      <c r="L5786" s="24" t="str" cm="1">
        <f t="array" ref="L5786">IFERROR(IF($B5786=L$1, ($A5786+$C5786) - MAX(IF($B$2:$B5785=$B5786, $A$2:$A5785+$C$2:$C5785)), "")*24*60, "")</f>
        <v/>
      </c>
      <c r="M5786" s="24" t="str" cm="1">
        <f t="array" ref="M5786">IFERROR(IF($B5786=M$1, ($A5786+$C5786) - MAX(IF($B$2:$B5785=$B5786, $A$2:$A5785+$C$2:$C5785)), "")*24*60, "")</f>
        <v/>
      </c>
      <c r="N5786" s="24" t="str" cm="1">
        <f t="array" ref="N5786">IFERROR(IF($B5786=N$1, ($A5786+$C5786) - MAX(IF($B$2:$B5785=$B5786, $A$2:$A5785+$C$2:$C5785)), "")*24*60, "")</f>
        <v/>
      </c>
      <c r="O5786" s="24" t="str" cm="1">
        <f t="array" ref="O5786">IFERROR(IF($B5786=O$1, ($A5786+$C5786) - MAX(IF($B$2:$B5785=$B5786, $A$2:$A5785+$C$2:$C5785)), "")*24*60, "")</f>
        <v/>
      </c>
      <c r="P5786" s="24" t="str" cm="1">
        <f t="array" ref="P5786">IFERROR(IF($B5786=P$1, ($A5786+$C5786) - MAX(IF($B$2:$B5785=$B5786, $A$2:$A5785+$C$2:$C5785)), "")*24*60, "")</f>
        <v/>
      </c>
      <c r="Q5786" s="24" t="str" cm="1">
        <f t="array" ref="Q5786">IFERROR(IF($B5786=Q$1, ($A5786+$C5786) - MAX(IF($B$2:$B5785=$B5786, $A$2:$A5785+$C$2:$C5785)), "")*24*60, "")</f>
        <v/>
      </c>
      <c r="R5786" s="24" t="str" cm="1">
        <f t="array" ref="R5786">IFERROR(IF($B5786=R$1, ($A5786+$C5786) - MAX(IF($B$2:$B5785=$B5786, $A$2:$A5785+$C$2:$C5785)), "")*24*60, "")</f>
        <v/>
      </c>
      <c r="S5786" s="24" t="str" cm="1">
        <f t="array" ref="S5786">IFERROR(IF($B5786=S$1, ($A5786+$C5786) - MAX(IF($B$2:$B5785=$B5786, $A$2:$A5785+$C$2:$C5785)), "")*24*60, "")</f>
        <v/>
      </c>
    </row>
    <row r="5787" spans="1:19" x14ac:dyDescent="0.2">
      <c r="A5787" s="12">
        <f t="shared" ref="A5787:C5787" si="1321">A5786</f>
        <v>45985</v>
      </c>
      <c r="B5787" s="5" t="str">
        <f t="shared" si="1321"/>
        <v>Northern Cardinal</v>
      </c>
      <c r="C5787" s="6">
        <f t="shared" si="1321"/>
        <v>0.29166666666666669</v>
      </c>
      <c r="D5787" s="5"/>
      <c r="E5787" s="5"/>
      <c r="F5787" s="5" t="s">
        <v>8</v>
      </c>
      <c r="G5787" s="15" t="s">
        <v>9</v>
      </c>
      <c r="H5787" s="24">
        <f t="shared" ref="H5787:H5850" si="1322">IFERROR((($A5787+$C5787) - ($A5786+$C5786))*24*60, "")</f>
        <v>0</v>
      </c>
      <c r="I5787" s="24" cm="1">
        <f t="array" ref="I5787">IFERROR(IF($B5787=I$1, ($A5787+$C5787) - MAX(IF($B$2:$B5786=$B5787, $A$2:$A5786+$C$2:$C5786)), "")*24*60, "")</f>
        <v>0</v>
      </c>
      <c r="J5787" s="24" t="str" cm="1">
        <f t="array" ref="J5787">IFERROR(IF($B5787=J$1, ($A5787+$C5787) - MAX(IF($B$2:$B5786=$B5787, $A$2:$A5786+$C$2:$C5786)), "")*24*60, "")</f>
        <v/>
      </c>
      <c r="K5787" s="24" t="str" cm="1">
        <f t="array" ref="K5787">IFERROR(IF($B5787=K$1, ($A5787+$C5787) - MAX(IF($B$2:$B5786=$B5787, $A$2:$A5786+$C$2:$C5786)), "")*24*60, "")</f>
        <v/>
      </c>
      <c r="L5787" s="24" t="str" cm="1">
        <f t="array" ref="L5787">IFERROR(IF($B5787=L$1, ($A5787+$C5787) - MAX(IF($B$2:$B5786=$B5787, $A$2:$A5786+$C$2:$C5786)), "")*24*60, "")</f>
        <v/>
      </c>
      <c r="M5787" s="24" t="str" cm="1">
        <f t="array" ref="M5787">IFERROR(IF($B5787=M$1, ($A5787+$C5787) - MAX(IF($B$2:$B5786=$B5787, $A$2:$A5786+$C$2:$C5786)), "")*24*60, "")</f>
        <v/>
      </c>
      <c r="N5787" s="24" t="str" cm="1">
        <f t="array" ref="N5787">IFERROR(IF($B5787=N$1, ($A5787+$C5787) - MAX(IF($B$2:$B5786=$B5787, $A$2:$A5786+$C$2:$C5786)), "")*24*60, "")</f>
        <v/>
      </c>
      <c r="O5787" s="24" t="str" cm="1">
        <f t="array" ref="O5787">IFERROR(IF($B5787=O$1, ($A5787+$C5787) - MAX(IF($B$2:$B5786=$B5787, $A$2:$A5786+$C$2:$C5786)), "")*24*60, "")</f>
        <v/>
      </c>
      <c r="P5787" s="24" t="str" cm="1">
        <f t="array" ref="P5787">IFERROR(IF($B5787=P$1, ($A5787+$C5787) - MAX(IF($B$2:$B5786=$B5787, $A$2:$A5786+$C$2:$C5786)), "")*24*60, "")</f>
        <v/>
      </c>
      <c r="Q5787" s="24" t="str" cm="1">
        <f t="array" ref="Q5787">IFERROR(IF($B5787=Q$1, ($A5787+$C5787) - MAX(IF($B$2:$B5786=$B5787, $A$2:$A5786+$C$2:$C5786)), "")*24*60, "")</f>
        <v/>
      </c>
      <c r="R5787" s="24" t="str" cm="1">
        <f t="array" ref="R5787">IFERROR(IF($B5787=R$1, ($A5787+$C5787) - MAX(IF($B$2:$B5786=$B5787, $A$2:$A5786+$C$2:$C5786)), "")*24*60, "")</f>
        <v/>
      </c>
      <c r="S5787" s="24" t="str" cm="1">
        <f t="array" ref="S5787">IFERROR(IF($B5787=S$1, ($A5787+$C5787) - MAX(IF($B$2:$B5786=$B5787, $A$2:$A5786+$C$2:$C5786)), "")*24*60, "")</f>
        <v/>
      </c>
    </row>
    <row r="5788" spans="1:19" x14ac:dyDescent="0.2">
      <c r="A5788" s="12">
        <f t="shared" ref="A5788:C5788" si="1323">A5787</f>
        <v>45985</v>
      </c>
      <c r="B5788" s="5" t="str">
        <f t="shared" si="1323"/>
        <v>Northern Cardinal</v>
      </c>
      <c r="C5788" s="6">
        <f t="shared" si="1323"/>
        <v>0.29166666666666669</v>
      </c>
      <c r="D5788" s="5"/>
      <c r="E5788" s="5"/>
      <c r="F5788" s="5" t="s">
        <v>8</v>
      </c>
      <c r="G5788" s="15" t="s">
        <v>9</v>
      </c>
      <c r="H5788" s="24">
        <f t="shared" si="1322"/>
        <v>0</v>
      </c>
      <c r="I5788" s="24" cm="1">
        <f t="array" ref="I5788">IFERROR(IF($B5788=I$1, ($A5788+$C5788) - MAX(IF($B$2:$B5787=$B5788, $A$2:$A5787+$C$2:$C5787)), "")*24*60, "")</f>
        <v>0</v>
      </c>
      <c r="J5788" s="24" t="str" cm="1">
        <f t="array" ref="J5788">IFERROR(IF($B5788=J$1, ($A5788+$C5788) - MAX(IF($B$2:$B5787=$B5788, $A$2:$A5787+$C$2:$C5787)), "")*24*60, "")</f>
        <v/>
      </c>
      <c r="K5788" s="24" t="str" cm="1">
        <f t="array" ref="K5788">IFERROR(IF($B5788=K$1, ($A5788+$C5788) - MAX(IF($B$2:$B5787=$B5788, $A$2:$A5787+$C$2:$C5787)), "")*24*60, "")</f>
        <v/>
      </c>
      <c r="L5788" s="24" t="str" cm="1">
        <f t="array" ref="L5788">IFERROR(IF($B5788=L$1, ($A5788+$C5788) - MAX(IF($B$2:$B5787=$B5788, $A$2:$A5787+$C$2:$C5787)), "")*24*60, "")</f>
        <v/>
      </c>
      <c r="M5788" s="24" t="str" cm="1">
        <f t="array" ref="M5788">IFERROR(IF($B5788=M$1, ($A5788+$C5788) - MAX(IF($B$2:$B5787=$B5788, $A$2:$A5787+$C$2:$C5787)), "")*24*60, "")</f>
        <v/>
      </c>
      <c r="N5788" s="24" t="str" cm="1">
        <f t="array" ref="N5788">IFERROR(IF($B5788=N$1, ($A5788+$C5788) - MAX(IF($B$2:$B5787=$B5788, $A$2:$A5787+$C$2:$C5787)), "")*24*60, "")</f>
        <v/>
      </c>
      <c r="O5788" s="24" t="str" cm="1">
        <f t="array" ref="O5788">IFERROR(IF($B5788=O$1, ($A5788+$C5788) - MAX(IF($B$2:$B5787=$B5788, $A$2:$A5787+$C$2:$C5787)), "")*24*60, "")</f>
        <v/>
      </c>
      <c r="P5788" s="24" t="str" cm="1">
        <f t="array" ref="P5788">IFERROR(IF($B5788=P$1, ($A5788+$C5788) - MAX(IF($B$2:$B5787=$B5788, $A$2:$A5787+$C$2:$C5787)), "")*24*60, "")</f>
        <v/>
      </c>
      <c r="Q5788" s="24" t="str" cm="1">
        <f t="array" ref="Q5788">IFERROR(IF($B5788=Q$1, ($A5788+$C5788) - MAX(IF($B$2:$B5787=$B5788, $A$2:$A5787+$C$2:$C5787)), "")*24*60, "")</f>
        <v/>
      </c>
      <c r="R5788" s="24" t="str" cm="1">
        <f t="array" ref="R5788">IFERROR(IF($B5788=R$1, ($A5788+$C5788) - MAX(IF($B$2:$B5787=$B5788, $A$2:$A5787+$C$2:$C5787)), "")*24*60, "")</f>
        <v/>
      </c>
      <c r="S5788" s="24" t="str" cm="1">
        <f t="array" ref="S5788">IFERROR(IF($B5788=S$1, ($A5788+$C5788) - MAX(IF($B$2:$B5787=$B5788, $A$2:$A5787+$C$2:$C5787)), "")*24*60, "")</f>
        <v/>
      </c>
    </row>
    <row r="5789" spans="1:19" x14ac:dyDescent="0.2">
      <c r="A5789" s="12">
        <f t="shared" ref="A5789:C5789" si="1324">A5788</f>
        <v>45985</v>
      </c>
      <c r="B5789" s="5" t="str">
        <f t="shared" si="1324"/>
        <v>Northern Cardinal</v>
      </c>
      <c r="C5789" s="6">
        <f t="shared" si="1324"/>
        <v>0.29166666666666669</v>
      </c>
      <c r="D5789" s="5"/>
      <c r="E5789" s="5"/>
      <c r="F5789" s="5" t="s">
        <v>8</v>
      </c>
      <c r="G5789" s="15" t="s">
        <v>9</v>
      </c>
      <c r="H5789" s="24">
        <f t="shared" si="1322"/>
        <v>0</v>
      </c>
      <c r="I5789" s="24" cm="1">
        <f t="array" ref="I5789">IFERROR(IF($B5789=I$1, ($A5789+$C5789) - MAX(IF($B$2:$B5788=$B5789, $A$2:$A5788+$C$2:$C5788)), "")*24*60, "")</f>
        <v>0</v>
      </c>
      <c r="J5789" s="24" t="str" cm="1">
        <f t="array" ref="J5789">IFERROR(IF($B5789=J$1, ($A5789+$C5789) - MAX(IF($B$2:$B5788=$B5789, $A$2:$A5788+$C$2:$C5788)), "")*24*60, "")</f>
        <v/>
      </c>
      <c r="K5789" s="24" t="str" cm="1">
        <f t="array" ref="K5789">IFERROR(IF($B5789=K$1, ($A5789+$C5789) - MAX(IF($B$2:$B5788=$B5789, $A$2:$A5788+$C$2:$C5788)), "")*24*60, "")</f>
        <v/>
      </c>
      <c r="L5789" s="24" t="str" cm="1">
        <f t="array" ref="L5789">IFERROR(IF($B5789=L$1, ($A5789+$C5789) - MAX(IF($B$2:$B5788=$B5789, $A$2:$A5788+$C$2:$C5788)), "")*24*60, "")</f>
        <v/>
      </c>
      <c r="M5789" s="24" t="str" cm="1">
        <f t="array" ref="M5789">IFERROR(IF($B5789=M$1, ($A5789+$C5789) - MAX(IF($B$2:$B5788=$B5789, $A$2:$A5788+$C$2:$C5788)), "")*24*60, "")</f>
        <v/>
      </c>
      <c r="N5789" s="24" t="str" cm="1">
        <f t="array" ref="N5789">IFERROR(IF($B5789=N$1, ($A5789+$C5789) - MAX(IF($B$2:$B5788=$B5789, $A$2:$A5788+$C$2:$C5788)), "")*24*60, "")</f>
        <v/>
      </c>
      <c r="O5789" s="24" t="str" cm="1">
        <f t="array" ref="O5789">IFERROR(IF($B5789=O$1, ($A5789+$C5789) - MAX(IF($B$2:$B5788=$B5789, $A$2:$A5788+$C$2:$C5788)), "")*24*60, "")</f>
        <v/>
      </c>
      <c r="P5789" s="24" t="str" cm="1">
        <f t="array" ref="P5789">IFERROR(IF($B5789=P$1, ($A5789+$C5789) - MAX(IF($B$2:$B5788=$B5789, $A$2:$A5788+$C$2:$C5788)), "")*24*60, "")</f>
        <v/>
      </c>
      <c r="Q5789" s="24" t="str" cm="1">
        <f t="array" ref="Q5789">IFERROR(IF($B5789=Q$1, ($A5789+$C5789) - MAX(IF($B$2:$B5788=$B5789, $A$2:$A5788+$C$2:$C5788)), "")*24*60, "")</f>
        <v/>
      </c>
      <c r="R5789" s="24" t="str" cm="1">
        <f t="array" ref="R5789">IFERROR(IF($B5789=R$1, ($A5789+$C5789) - MAX(IF($B$2:$B5788=$B5789, $A$2:$A5788+$C$2:$C5788)), "")*24*60, "")</f>
        <v/>
      </c>
      <c r="S5789" s="24" t="str" cm="1">
        <f t="array" ref="S5789">IFERROR(IF($B5789=S$1, ($A5789+$C5789) - MAX(IF($B$2:$B5788=$B5789, $A$2:$A5788+$C$2:$C5788)), "")*24*60, "")</f>
        <v/>
      </c>
    </row>
    <row r="5790" spans="1:19" x14ac:dyDescent="0.2">
      <c r="A5790" s="12">
        <f t="shared" ref="A5790:C5790" si="1325">A5789</f>
        <v>45985</v>
      </c>
      <c r="B5790" s="5" t="str">
        <f t="shared" si="1325"/>
        <v>Northern Cardinal</v>
      </c>
      <c r="C5790" s="6">
        <f t="shared" si="1325"/>
        <v>0.29166666666666669</v>
      </c>
      <c r="D5790" s="5"/>
      <c r="E5790" s="5"/>
      <c r="F5790" s="5" t="s">
        <v>8</v>
      </c>
      <c r="G5790" s="15" t="s">
        <v>9</v>
      </c>
      <c r="H5790" s="24">
        <f t="shared" si="1322"/>
        <v>0</v>
      </c>
      <c r="I5790" s="24" cm="1">
        <f t="array" ref="I5790">IFERROR(IF($B5790=I$1, ($A5790+$C5790) - MAX(IF($B$2:$B5789=$B5790, $A$2:$A5789+$C$2:$C5789)), "")*24*60, "")</f>
        <v>0</v>
      </c>
      <c r="J5790" s="24" t="str" cm="1">
        <f t="array" ref="J5790">IFERROR(IF($B5790=J$1, ($A5790+$C5790) - MAX(IF($B$2:$B5789=$B5790, $A$2:$A5789+$C$2:$C5789)), "")*24*60, "")</f>
        <v/>
      </c>
      <c r="K5790" s="24" t="str" cm="1">
        <f t="array" ref="K5790">IFERROR(IF($B5790=K$1, ($A5790+$C5790) - MAX(IF($B$2:$B5789=$B5790, $A$2:$A5789+$C$2:$C5789)), "")*24*60, "")</f>
        <v/>
      </c>
      <c r="L5790" s="24" t="str" cm="1">
        <f t="array" ref="L5790">IFERROR(IF($B5790=L$1, ($A5790+$C5790) - MAX(IF($B$2:$B5789=$B5790, $A$2:$A5789+$C$2:$C5789)), "")*24*60, "")</f>
        <v/>
      </c>
      <c r="M5790" s="24" t="str" cm="1">
        <f t="array" ref="M5790">IFERROR(IF($B5790=M$1, ($A5790+$C5790) - MAX(IF($B$2:$B5789=$B5790, $A$2:$A5789+$C$2:$C5789)), "")*24*60, "")</f>
        <v/>
      </c>
      <c r="N5790" s="24" t="str" cm="1">
        <f t="array" ref="N5790">IFERROR(IF($B5790=N$1, ($A5790+$C5790) - MAX(IF($B$2:$B5789=$B5790, $A$2:$A5789+$C$2:$C5789)), "")*24*60, "")</f>
        <v/>
      </c>
      <c r="O5790" s="24" t="str" cm="1">
        <f t="array" ref="O5790">IFERROR(IF($B5790=O$1, ($A5790+$C5790) - MAX(IF($B$2:$B5789=$B5790, $A$2:$A5789+$C$2:$C5789)), "")*24*60, "")</f>
        <v/>
      </c>
      <c r="P5790" s="24" t="str" cm="1">
        <f t="array" ref="P5790">IFERROR(IF($B5790=P$1, ($A5790+$C5790) - MAX(IF($B$2:$B5789=$B5790, $A$2:$A5789+$C$2:$C5789)), "")*24*60, "")</f>
        <v/>
      </c>
      <c r="Q5790" s="24" t="str" cm="1">
        <f t="array" ref="Q5790">IFERROR(IF($B5790=Q$1, ($A5790+$C5790) - MAX(IF($B$2:$B5789=$B5790, $A$2:$A5789+$C$2:$C5789)), "")*24*60, "")</f>
        <v/>
      </c>
      <c r="R5790" s="24" t="str" cm="1">
        <f t="array" ref="R5790">IFERROR(IF($B5790=R$1, ($A5790+$C5790) - MAX(IF($B$2:$B5789=$B5790, $A$2:$A5789+$C$2:$C5789)), "")*24*60, "")</f>
        <v/>
      </c>
      <c r="S5790" s="24" t="str" cm="1">
        <f t="array" ref="S5790">IFERROR(IF($B5790=S$1, ($A5790+$C5790) - MAX(IF($B$2:$B5789=$B5790, $A$2:$A5789+$C$2:$C5789)), "")*24*60, "")</f>
        <v/>
      </c>
    </row>
    <row r="5791" spans="1:19" x14ac:dyDescent="0.2">
      <c r="A5791" s="12">
        <f t="shared" ref="A5791:C5791" si="1326">A5790</f>
        <v>45985</v>
      </c>
      <c r="B5791" s="5" t="str">
        <f t="shared" si="1326"/>
        <v>Northern Cardinal</v>
      </c>
      <c r="C5791" s="6">
        <f t="shared" si="1326"/>
        <v>0.29166666666666669</v>
      </c>
      <c r="D5791" s="5"/>
      <c r="E5791" s="5"/>
      <c r="F5791" s="5" t="s">
        <v>8</v>
      </c>
      <c r="G5791" s="15" t="s">
        <v>9</v>
      </c>
      <c r="H5791" s="24">
        <f t="shared" si="1322"/>
        <v>0</v>
      </c>
      <c r="I5791" s="24" cm="1">
        <f t="array" ref="I5791">IFERROR(IF($B5791=I$1, ($A5791+$C5791) - MAX(IF($B$2:$B5790=$B5791, $A$2:$A5790+$C$2:$C5790)), "")*24*60, "")</f>
        <v>0</v>
      </c>
      <c r="J5791" s="24" t="str" cm="1">
        <f t="array" ref="J5791">IFERROR(IF($B5791=J$1, ($A5791+$C5791) - MAX(IF($B$2:$B5790=$B5791, $A$2:$A5790+$C$2:$C5790)), "")*24*60, "")</f>
        <v/>
      </c>
      <c r="K5791" s="24" t="str" cm="1">
        <f t="array" ref="K5791">IFERROR(IF($B5791=K$1, ($A5791+$C5791) - MAX(IF($B$2:$B5790=$B5791, $A$2:$A5790+$C$2:$C5790)), "")*24*60, "")</f>
        <v/>
      </c>
      <c r="L5791" s="24" t="str" cm="1">
        <f t="array" ref="L5791">IFERROR(IF($B5791=L$1, ($A5791+$C5791) - MAX(IF($B$2:$B5790=$B5791, $A$2:$A5790+$C$2:$C5790)), "")*24*60, "")</f>
        <v/>
      </c>
      <c r="M5791" s="24" t="str" cm="1">
        <f t="array" ref="M5791">IFERROR(IF($B5791=M$1, ($A5791+$C5791) - MAX(IF($B$2:$B5790=$B5791, $A$2:$A5790+$C$2:$C5790)), "")*24*60, "")</f>
        <v/>
      </c>
      <c r="N5791" s="24" t="str" cm="1">
        <f t="array" ref="N5791">IFERROR(IF($B5791=N$1, ($A5791+$C5791) - MAX(IF($B$2:$B5790=$B5791, $A$2:$A5790+$C$2:$C5790)), "")*24*60, "")</f>
        <v/>
      </c>
      <c r="O5791" s="24" t="str" cm="1">
        <f t="array" ref="O5791">IFERROR(IF($B5791=O$1, ($A5791+$C5791) - MAX(IF($B$2:$B5790=$B5791, $A$2:$A5790+$C$2:$C5790)), "")*24*60, "")</f>
        <v/>
      </c>
      <c r="P5791" s="24" t="str" cm="1">
        <f t="array" ref="P5791">IFERROR(IF($B5791=P$1, ($A5791+$C5791) - MAX(IF($B$2:$B5790=$B5791, $A$2:$A5790+$C$2:$C5790)), "")*24*60, "")</f>
        <v/>
      </c>
      <c r="Q5791" s="24" t="str" cm="1">
        <f t="array" ref="Q5791">IFERROR(IF($B5791=Q$1, ($A5791+$C5791) - MAX(IF($B$2:$B5790=$B5791, $A$2:$A5790+$C$2:$C5790)), "")*24*60, "")</f>
        <v/>
      </c>
      <c r="R5791" s="24" t="str" cm="1">
        <f t="array" ref="R5791">IFERROR(IF($B5791=R$1, ($A5791+$C5791) - MAX(IF($B$2:$B5790=$B5791, $A$2:$A5790+$C$2:$C5790)), "")*24*60, "")</f>
        <v/>
      </c>
      <c r="S5791" s="24" t="str" cm="1">
        <f t="array" ref="S5791">IFERROR(IF($B5791=S$1, ($A5791+$C5791) - MAX(IF($B$2:$B5790=$B5791, $A$2:$A5790+$C$2:$C5790)), "")*24*60, "")</f>
        <v/>
      </c>
    </row>
    <row r="5792" spans="1:19" x14ac:dyDescent="0.2">
      <c r="A5792" s="12">
        <f t="shared" ref="A5792:C5792" si="1327">A5791</f>
        <v>45985</v>
      </c>
      <c r="B5792" s="5" t="str">
        <f t="shared" si="1327"/>
        <v>Northern Cardinal</v>
      </c>
      <c r="C5792" s="6">
        <f t="shared" si="1327"/>
        <v>0.29166666666666669</v>
      </c>
      <c r="D5792" s="5"/>
      <c r="E5792" s="5"/>
      <c r="F5792" s="5" t="s">
        <v>8</v>
      </c>
      <c r="G5792" s="15" t="s">
        <v>9</v>
      </c>
      <c r="H5792" s="24">
        <f t="shared" si="1322"/>
        <v>0</v>
      </c>
      <c r="I5792" s="24" cm="1">
        <f t="array" ref="I5792">IFERROR(IF($B5792=I$1, ($A5792+$C5792) - MAX(IF($B$2:$B5791=$B5792, $A$2:$A5791+$C$2:$C5791)), "")*24*60, "")</f>
        <v>0</v>
      </c>
      <c r="J5792" s="24" t="str" cm="1">
        <f t="array" ref="J5792">IFERROR(IF($B5792=J$1, ($A5792+$C5792) - MAX(IF($B$2:$B5791=$B5792, $A$2:$A5791+$C$2:$C5791)), "")*24*60, "")</f>
        <v/>
      </c>
      <c r="K5792" s="24" t="str" cm="1">
        <f t="array" ref="K5792">IFERROR(IF($B5792=K$1, ($A5792+$C5792) - MAX(IF($B$2:$B5791=$B5792, $A$2:$A5791+$C$2:$C5791)), "")*24*60, "")</f>
        <v/>
      </c>
      <c r="L5792" s="24" t="str" cm="1">
        <f t="array" ref="L5792">IFERROR(IF($B5792=L$1, ($A5792+$C5792) - MAX(IF($B$2:$B5791=$B5792, $A$2:$A5791+$C$2:$C5791)), "")*24*60, "")</f>
        <v/>
      </c>
      <c r="M5792" s="24" t="str" cm="1">
        <f t="array" ref="M5792">IFERROR(IF($B5792=M$1, ($A5792+$C5792) - MAX(IF($B$2:$B5791=$B5792, $A$2:$A5791+$C$2:$C5791)), "")*24*60, "")</f>
        <v/>
      </c>
      <c r="N5792" s="24" t="str" cm="1">
        <f t="array" ref="N5792">IFERROR(IF($B5792=N$1, ($A5792+$C5792) - MAX(IF($B$2:$B5791=$B5792, $A$2:$A5791+$C$2:$C5791)), "")*24*60, "")</f>
        <v/>
      </c>
      <c r="O5792" s="24" t="str" cm="1">
        <f t="array" ref="O5792">IFERROR(IF($B5792=O$1, ($A5792+$C5792) - MAX(IF($B$2:$B5791=$B5792, $A$2:$A5791+$C$2:$C5791)), "")*24*60, "")</f>
        <v/>
      </c>
      <c r="P5792" s="24" t="str" cm="1">
        <f t="array" ref="P5792">IFERROR(IF($B5792=P$1, ($A5792+$C5792) - MAX(IF($B$2:$B5791=$B5792, $A$2:$A5791+$C$2:$C5791)), "")*24*60, "")</f>
        <v/>
      </c>
      <c r="Q5792" s="24" t="str" cm="1">
        <f t="array" ref="Q5792">IFERROR(IF($B5792=Q$1, ($A5792+$C5792) - MAX(IF($B$2:$B5791=$B5792, $A$2:$A5791+$C$2:$C5791)), "")*24*60, "")</f>
        <v/>
      </c>
      <c r="R5792" s="24" t="str" cm="1">
        <f t="array" ref="R5792">IFERROR(IF($B5792=R$1, ($A5792+$C5792) - MAX(IF($B$2:$B5791=$B5792, $A$2:$A5791+$C$2:$C5791)), "")*24*60, "")</f>
        <v/>
      </c>
      <c r="S5792" s="24" t="str" cm="1">
        <f t="array" ref="S5792">IFERROR(IF($B5792=S$1, ($A5792+$C5792) - MAX(IF($B$2:$B5791=$B5792, $A$2:$A5791+$C$2:$C5791)), "")*24*60, "")</f>
        <v/>
      </c>
    </row>
    <row r="5793" spans="1:19" x14ac:dyDescent="0.2">
      <c r="A5793" s="12">
        <f t="shared" ref="A5793:C5793" si="1328">A5792</f>
        <v>45985</v>
      </c>
      <c r="B5793" s="5" t="str">
        <f t="shared" si="1328"/>
        <v>Northern Cardinal</v>
      </c>
      <c r="C5793" s="6">
        <f t="shared" si="1328"/>
        <v>0.29166666666666669</v>
      </c>
      <c r="D5793" s="5"/>
      <c r="E5793" s="5"/>
      <c r="F5793" s="5" t="s">
        <v>8</v>
      </c>
      <c r="G5793" s="15" t="s">
        <v>9</v>
      </c>
      <c r="H5793" s="24">
        <f t="shared" si="1322"/>
        <v>0</v>
      </c>
      <c r="I5793" s="24" cm="1">
        <f t="array" ref="I5793">IFERROR(IF($B5793=I$1, ($A5793+$C5793) - MAX(IF($B$2:$B5792=$B5793, $A$2:$A5792+$C$2:$C5792)), "")*24*60, "")</f>
        <v>0</v>
      </c>
      <c r="J5793" s="24" t="str" cm="1">
        <f t="array" ref="J5793">IFERROR(IF($B5793=J$1, ($A5793+$C5793) - MAX(IF($B$2:$B5792=$B5793, $A$2:$A5792+$C$2:$C5792)), "")*24*60, "")</f>
        <v/>
      </c>
      <c r="K5793" s="24" t="str" cm="1">
        <f t="array" ref="K5793">IFERROR(IF($B5793=K$1, ($A5793+$C5793) - MAX(IF($B$2:$B5792=$B5793, $A$2:$A5792+$C$2:$C5792)), "")*24*60, "")</f>
        <v/>
      </c>
      <c r="L5793" s="24" t="str" cm="1">
        <f t="array" ref="L5793">IFERROR(IF($B5793=L$1, ($A5793+$C5793) - MAX(IF($B$2:$B5792=$B5793, $A$2:$A5792+$C$2:$C5792)), "")*24*60, "")</f>
        <v/>
      </c>
      <c r="M5793" s="24" t="str" cm="1">
        <f t="array" ref="M5793">IFERROR(IF($B5793=M$1, ($A5793+$C5793) - MAX(IF($B$2:$B5792=$B5793, $A$2:$A5792+$C$2:$C5792)), "")*24*60, "")</f>
        <v/>
      </c>
      <c r="N5793" s="24" t="str" cm="1">
        <f t="array" ref="N5793">IFERROR(IF($B5793=N$1, ($A5793+$C5793) - MAX(IF($B$2:$B5792=$B5793, $A$2:$A5792+$C$2:$C5792)), "")*24*60, "")</f>
        <v/>
      </c>
      <c r="O5793" s="24" t="str" cm="1">
        <f t="array" ref="O5793">IFERROR(IF($B5793=O$1, ($A5793+$C5793) - MAX(IF($B$2:$B5792=$B5793, $A$2:$A5792+$C$2:$C5792)), "")*24*60, "")</f>
        <v/>
      </c>
      <c r="P5793" s="24" t="str" cm="1">
        <f t="array" ref="P5793">IFERROR(IF($B5793=P$1, ($A5793+$C5793) - MAX(IF($B$2:$B5792=$B5793, $A$2:$A5792+$C$2:$C5792)), "")*24*60, "")</f>
        <v/>
      </c>
      <c r="Q5793" s="24" t="str" cm="1">
        <f t="array" ref="Q5793">IFERROR(IF($B5793=Q$1, ($A5793+$C5793) - MAX(IF($B$2:$B5792=$B5793, $A$2:$A5792+$C$2:$C5792)), "")*24*60, "")</f>
        <v/>
      </c>
      <c r="R5793" s="24" t="str" cm="1">
        <f t="array" ref="R5793">IFERROR(IF($B5793=R$1, ($A5793+$C5793) - MAX(IF($B$2:$B5792=$B5793, $A$2:$A5792+$C$2:$C5792)), "")*24*60, "")</f>
        <v/>
      </c>
      <c r="S5793" s="24" t="str" cm="1">
        <f t="array" ref="S5793">IFERROR(IF($B5793=S$1, ($A5793+$C5793) - MAX(IF($B$2:$B5792=$B5793, $A$2:$A5792+$C$2:$C5792)), "")*24*60, "")</f>
        <v/>
      </c>
    </row>
    <row r="5794" spans="1:19" x14ac:dyDescent="0.2">
      <c r="A5794" s="12">
        <f t="shared" ref="A5794:C5794" si="1329">A5793</f>
        <v>45985</v>
      </c>
      <c r="B5794" s="5" t="str">
        <f t="shared" si="1329"/>
        <v>Northern Cardinal</v>
      </c>
      <c r="C5794" s="6">
        <f t="shared" si="1329"/>
        <v>0.29166666666666669</v>
      </c>
      <c r="D5794" s="5"/>
      <c r="E5794" s="5"/>
      <c r="F5794" s="5" t="s">
        <v>8</v>
      </c>
      <c r="G5794" s="15" t="s">
        <v>9</v>
      </c>
      <c r="H5794" s="24">
        <f t="shared" si="1322"/>
        <v>0</v>
      </c>
      <c r="I5794" s="24" cm="1">
        <f t="array" ref="I5794">IFERROR(IF($B5794=I$1, ($A5794+$C5794) - MAX(IF($B$2:$B5793=$B5794, $A$2:$A5793+$C$2:$C5793)), "")*24*60, "")</f>
        <v>0</v>
      </c>
      <c r="J5794" s="24" t="str" cm="1">
        <f t="array" ref="J5794">IFERROR(IF($B5794=J$1, ($A5794+$C5794) - MAX(IF($B$2:$B5793=$B5794, $A$2:$A5793+$C$2:$C5793)), "")*24*60, "")</f>
        <v/>
      </c>
      <c r="K5794" s="24" t="str" cm="1">
        <f t="array" ref="K5794">IFERROR(IF($B5794=K$1, ($A5794+$C5794) - MAX(IF($B$2:$B5793=$B5794, $A$2:$A5793+$C$2:$C5793)), "")*24*60, "")</f>
        <v/>
      </c>
      <c r="L5794" s="24" t="str" cm="1">
        <f t="array" ref="L5794">IFERROR(IF($B5794=L$1, ($A5794+$C5794) - MAX(IF($B$2:$B5793=$B5794, $A$2:$A5793+$C$2:$C5793)), "")*24*60, "")</f>
        <v/>
      </c>
      <c r="M5794" s="24" t="str" cm="1">
        <f t="array" ref="M5794">IFERROR(IF($B5794=M$1, ($A5794+$C5794) - MAX(IF($B$2:$B5793=$B5794, $A$2:$A5793+$C$2:$C5793)), "")*24*60, "")</f>
        <v/>
      </c>
      <c r="N5794" s="24" t="str" cm="1">
        <f t="array" ref="N5794">IFERROR(IF($B5794=N$1, ($A5794+$C5794) - MAX(IF($B$2:$B5793=$B5794, $A$2:$A5793+$C$2:$C5793)), "")*24*60, "")</f>
        <v/>
      </c>
      <c r="O5794" s="24" t="str" cm="1">
        <f t="array" ref="O5794">IFERROR(IF($B5794=O$1, ($A5794+$C5794) - MAX(IF($B$2:$B5793=$B5794, $A$2:$A5793+$C$2:$C5793)), "")*24*60, "")</f>
        <v/>
      </c>
      <c r="P5794" s="24" t="str" cm="1">
        <f t="array" ref="P5794">IFERROR(IF($B5794=P$1, ($A5794+$C5794) - MAX(IF($B$2:$B5793=$B5794, $A$2:$A5793+$C$2:$C5793)), "")*24*60, "")</f>
        <v/>
      </c>
      <c r="Q5794" s="24" t="str" cm="1">
        <f t="array" ref="Q5794">IFERROR(IF($B5794=Q$1, ($A5794+$C5794) - MAX(IF($B$2:$B5793=$B5794, $A$2:$A5793+$C$2:$C5793)), "")*24*60, "")</f>
        <v/>
      </c>
      <c r="R5794" s="24" t="str" cm="1">
        <f t="array" ref="R5794">IFERROR(IF($B5794=R$1, ($A5794+$C5794) - MAX(IF($B$2:$B5793=$B5794, $A$2:$A5793+$C$2:$C5793)), "")*24*60, "")</f>
        <v/>
      </c>
      <c r="S5794" s="24" t="str" cm="1">
        <f t="array" ref="S5794">IFERROR(IF($B5794=S$1, ($A5794+$C5794) - MAX(IF($B$2:$B5793=$B5794, $A$2:$A5793+$C$2:$C5793)), "")*24*60, "")</f>
        <v/>
      </c>
    </row>
    <row r="5795" spans="1:19" x14ac:dyDescent="0.2">
      <c r="A5795" s="12">
        <f t="shared" ref="A5795:C5795" si="1330">A5794</f>
        <v>45985</v>
      </c>
      <c r="B5795" s="5" t="str">
        <f t="shared" si="1330"/>
        <v>Northern Cardinal</v>
      </c>
      <c r="C5795" s="6">
        <f t="shared" si="1330"/>
        <v>0.29166666666666669</v>
      </c>
      <c r="D5795" s="5"/>
      <c r="E5795" s="5"/>
      <c r="F5795" s="5" t="s">
        <v>8</v>
      </c>
      <c r="G5795" s="15" t="s">
        <v>9</v>
      </c>
      <c r="H5795" s="24">
        <f t="shared" si="1322"/>
        <v>0</v>
      </c>
      <c r="I5795" s="24" cm="1">
        <f t="array" ref="I5795">IFERROR(IF($B5795=I$1, ($A5795+$C5795) - MAX(IF($B$2:$B5794=$B5795, $A$2:$A5794+$C$2:$C5794)), "")*24*60, "")</f>
        <v>0</v>
      </c>
      <c r="J5795" s="24" t="str" cm="1">
        <f t="array" ref="J5795">IFERROR(IF($B5795=J$1, ($A5795+$C5795) - MAX(IF($B$2:$B5794=$B5795, $A$2:$A5794+$C$2:$C5794)), "")*24*60, "")</f>
        <v/>
      </c>
      <c r="K5795" s="24" t="str" cm="1">
        <f t="array" ref="K5795">IFERROR(IF($B5795=K$1, ($A5795+$C5795) - MAX(IF($B$2:$B5794=$B5795, $A$2:$A5794+$C$2:$C5794)), "")*24*60, "")</f>
        <v/>
      </c>
      <c r="L5795" s="24" t="str" cm="1">
        <f t="array" ref="L5795">IFERROR(IF($B5795=L$1, ($A5795+$C5795) - MAX(IF($B$2:$B5794=$B5795, $A$2:$A5794+$C$2:$C5794)), "")*24*60, "")</f>
        <v/>
      </c>
      <c r="M5795" s="24" t="str" cm="1">
        <f t="array" ref="M5795">IFERROR(IF($B5795=M$1, ($A5795+$C5795) - MAX(IF($B$2:$B5794=$B5795, $A$2:$A5794+$C$2:$C5794)), "")*24*60, "")</f>
        <v/>
      </c>
      <c r="N5795" s="24" t="str" cm="1">
        <f t="array" ref="N5795">IFERROR(IF($B5795=N$1, ($A5795+$C5795) - MAX(IF($B$2:$B5794=$B5795, $A$2:$A5794+$C$2:$C5794)), "")*24*60, "")</f>
        <v/>
      </c>
      <c r="O5795" s="24" t="str" cm="1">
        <f t="array" ref="O5795">IFERROR(IF($B5795=O$1, ($A5795+$C5795) - MAX(IF($B$2:$B5794=$B5795, $A$2:$A5794+$C$2:$C5794)), "")*24*60, "")</f>
        <v/>
      </c>
      <c r="P5795" s="24" t="str" cm="1">
        <f t="array" ref="P5795">IFERROR(IF($B5795=P$1, ($A5795+$C5795) - MAX(IF($B$2:$B5794=$B5795, $A$2:$A5794+$C$2:$C5794)), "")*24*60, "")</f>
        <v/>
      </c>
      <c r="Q5795" s="24" t="str" cm="1">
        <f t="array" ref="Q5795">IFERROR(IF($B5795=Q$1, ($A5795+$C5795) - MAX(IF($B$2:$B5794=$B5795, $A$2:$A5794+$C$2:$C5794)), "")*24*60, "")</f>
        <v/>
      </c>
      <c r="R5795" s="24" t="str" cm="1">
        <f t="array" ref="R5795">IFERROR(IF($B5795=R$1, ($A5795+$C5795) - MAX(IF($B$2:$B5794=$B5795, $A$2:$A5794+$C$2:$C5794)), "")*24*60, "")</f>
        <v/>
      </c>
      <c r="S5795" s="24" t="str" cm="1">
        <f t="array" ref="S5795">IFERROR(IF($B5795=S$1, ($A5795+$C5795) - MAX(IF($B$2:$B5794=$B5795, $A$2:$A5794+$C$2:$C5794)), "")*24*60, "")</f>
        <v/>
      </c>
    </row>
    <row r="5796" spans="1:19" x14ac:dyDescent="0.2">
      <c r="A5796" s="12">
        <f t="shared" ref="A5796:C5796" si="1331">A5795</f>
        <v>45985</v>
      </c>
      <c r="B5796" s="5" t="str">
        <f t="shared" si="1331"/>
        <v>Northern Cardinal</v>
      </c>
      <c r="C5796" s="6">
        <f t="shared" si="1331"/>
        <v>0.29166666666666669</v>
      </c>
      <c r="D5796" s="5"/>
      <c r="E5796" s="5"/>
      <c r="F5796" s="5" t="s">
        <v>8</v>
      </c>
      <c r="G5796" s="15" t="s">
        <v>9</v>
      </c>
      <c r="H5796" s="24">
        <f t="shared" si="1322"/>
        <v>0</v>
      </c>
      <c r="I5796" s="24" cm="1">
        <f t="array" ref="I5796">IFERROR(IF($B5796=I$1, ($A5796+$C5796) - MAX(IF($B$2:$B5795=$B5796, $A$2:$A5795+$C$2:$C5795)), "")*24*60, "")</f>
        <v>0</v>
      </c>
      <c r="J5796" s="24" t="str" cm="1">
        <f t="array" ref="J5796">IFERROR(IF($B5796=J$1, ($A5796+$C5796) - MAX(IF($B$2:$B5795=$B5796, $A$2:$A5795+$C$2:$C5795)), "")*24*60, "")</f>
        <v/>
      </c>
      <c r="K5796" s="24" t="str" cm="1">
        <f t="array" ref="K5796">IFERROR(IF($B5796=K$1, ($A5796+$C5796) - MAX(IF($B$2:$B5795=$B5796, $A$2:$A5795+$C$2:$C5795)), "")*24*60, "")</f>
        <v/>
      </c>
      <c r="L5796" s="24" t="str" cm="1">
        <f t="array" ref="L5796">IFERROR(IF($B5796=L$1, ($A5796+$C5796) - MAX(IF($B$2:$B5795=$B5796, $A$2:$A5795+$C$2:$C5795)), "")*24*60, "")</f>
        <v/>
      </c>
      <c r="M5796" s="24" t="str" cm="1">
        <f t="array" ref="M5796">IFERROR(IF($B5796=M$1, ($A5796+$C5796) - MAX(IF($B$2:$B5795=$B5796, $A$2:$A5795+$C$2:$C5795)), "")*24*60, "")</f>
        <v/>
      </c>
      <c r="N5796" s="24" t="str" cm="1">
        <f t="array" ref="N5796">IFERROR(IF($B5796=N$1, ($A5796+$C5796) - MAX(IF($B$2:$B5795=$B5796, $A$2:$A5795+$C$2:$C5795)), "")*24*60, "")</f>
        <v/>
      </c>
      <c r="O5796" s="24" t="str" cm="1">
        <f t="array" ref="O5796">IFERROR(IF($B5796=O$1, ($A5796+$C5796) - MAX(IF($B$2:$B5795=$B5796, $A$2:$A5795+$C$2:$C5795)), "")*24*60, "")</f>
        <v/>
      </c>
      <c r="P5796" s="24" t="str" cm="1">
        <f t="array" ref="P5796">IFERROR(IF($B5796=P$1, ($A5796+$C5796) - MAX(IF($B$2:$B5795=$B5796, $A$2:$A5795+$C$2:$C5795)), "")*24*60, "")</f>
        <v/>
      </c>
      <c r="Q5796" s="24" t="str" cm="1">
        <f t="array" ref="Q5796">IFERROR(IF($B5796=Q$1, ($A5796+$C5796) - MAX(IF($B$2:$B5795=$B5796, $A$2:$A5795+$C$2:$C5795)), "")*24*60, "")</f>
        <v/>
      </c>
      <c r="R5796" s="24" t="str" cm="1">
        <f t="array" ref="R5796">IFERROR(IF($B5796=R$1, ($A5796+$C5796) - MAX(IF($B$2:$B5795=$B5796, $A$2:$A5795+$C$2:$C5795)), "")*24*60, "")</f>
        <v/>
      </c>
      <c r="S5796" s="24" t="str" cm="1">
        <f t="array" ref="S5796">IFERROR(IF($B5796=S$1, ($A5796+$C5796) - MAX(IF($B$2:$B5795=$B5796, $A$2:$A5795+$C$2:$C5795)), "")*24*60, "")</f>
        <v/>
      </c>
    </row>
    <row r="5797" spans="1:19" x14ac:dyDescent="0.2">
      <c r="A5797" s="12">
        <f t="shared" ref="A5797:C5797" si="1332">A5796</f>
        <v>45985</v>
      </c>
      <c r="B5797" s="5" t="str">
        <f t="shared" si="1332"/>
        <v>Northern Cardinal</v>
      </c>
      <c r="C5797" s="6">
        <f t="shared" si="1332"/>
        <v>0.29166666666666669</v>
      </c>
      <c r="D5797" s="5"/>
      <c r="E5797" s="5"/>
      <c r="F5797" s="5" t="s">
        <v>8</v>
      </c>
      <c r="G5797" s="15" t="s">
        <v>9</v>
      </c>
      <c r="H5797" s="24">
        <f t="shared" si="1322"/>
        <v>0</v>
      </c>
      <c r="I5797" s="24" cm="1">
        <f t="array" ref="I5797">IFERROR(IF($B5797=I$1, ($A5797+$C5797) - MAX(IF($B$2:$B5796=$B5797, $A$2:$A5796+$C$2:$C5796)), "")*24*60, "")</f>
        <v>0</v>
      </c>
      <c r="J5797" s="24" t="str" cm="1">
        <f t="array" ref="J5797">IFERROR(IF($B5797=J$1, ($A5797+$C5797) - MAX(IF($B$2:$B5796=$B5797, $A$2:$A5796+$C$2:$C5796)), "")*24*60, "")</f>
        <v/>
      </c>
      <c r="K5797" s="24" t="str" cm="1">
        <f t="array" ref="K5797">IFERROR(IF($B5797=K$1, ($A5797+$C5797) - MAX(IF($B$2:$B5796=$B5797, $A$2:$A5796+$C$2:$C5796)), "")*24*60, "")</f>
        <v/>
      </c>
      <c r="L5797" s="24" t="str" cm="1">
        <f t="array" ref="L5797">IFERROR(IF($B5797=L$1, ($A5797+$C5797) - MAX(IF($B$2:$B5796=$B5797, $A$2:$A5796+$C$2:$C5796)), "")*24*60, "")</f>
        <v/>
      </c>
      <c r="M5797" s="24" t="str" cm="1">
        <f t="array" ref="M5797">IFERROR(IF($B5797=M$1, ($A5797+$C5797) - MAX(IF($B$2:$B5796=$B5797, $A$2:$A5796+$C$2:$C5796)), "")*24*60, "")</f>
        <v/>
      </c>
      <c r="N5797" s="24" t="str" cm="1">
        <f t="array" ref="N5797">IFERROR(IF($B5797=N$1, ($A5797+$C5797) - MAX(IF($B$2:$B5796=$B5797, $A$2:$A5796+$C$2:$C5796)), "")*24*60, "")</f>
        <v/>
      </c>
      <c r="O5797" s="24" t="str" cm="1">
        <f t="array" ref="O5797">IFERROR(IF($B5797=O$1, ($A5797+$C5797) - MAX(IF($B$2:$B5796=$B5797, $A$2:$A5796+$C$2:$C5796)), "")*24*60, "")</f>
        <v/>
      </c>
      <c r="P5797" s="24" t="str" cm="1">
        <f t="array" ref="P5797">IFERROR(IF($B5797=P$1, ($A5797+$C5797) - MAX(IF($B$2:$B5796=$B5797, $A$2:$A5796+$C$2:$C5796)), "")*24*60, "")</f>
        <v/>
      </c>
      <c r="Q5797" s="24" t="str" cm="1">
        <f t="array" ref="Q5797">IFERROR(IF($B5797=Q$1, ($A5797+$C5797) - MAX(IF($B$2:$B5796=$B5797, $A$2:$A5796+$C$2:$C5796)), "")*24*60, "")</f>
        <v/>
      </c>
      <c r="R5797" s="24" t="str" cm="1">
        <f t="array" ref="R5797">IFERROR(IF($B5797=R$1, ($A5797+$C5797) - MAX(IF($B$2:$B5796=$B5797, $A$2:$A5796+$C$2:$C5796)), "")*24*60, "")</f>
        <v/>
      </c>
      <c r="S5797" s="24" t="str" cm="1">
        <f t="array" ref="S5797">IFERROR(IF($B5797=S$1, ($A5797+$C5797) - MAX(IF($B$2:$B5796=$B5797, $A$2:$A5796+$C$2:$C5796)), "")*24*60, "")</f>
        <v/>
      </c>
    </row>
    <row r="5798" spans="1:19" x14ac:dyDescent="0.2">
      <c r="A5798" s="12">
        <f t="shared" ref="A5798:C5798" si="1333">A5797</f>
        <v>45985</v>
      </c>
      <c r="B5798" s="5" t="str">
        <f t="shared" si="1333"/>
        <v>Northern Cardinal</v>
      </c>
      <c r="C5798" s="6">
        <f t="shared" si="1333"/>
        <v>0.29166666666666669</v>
      </c>
      <c r="D5798" s="5"/>
      <c r="E5798" s="5"/>
      <c r="F5798" s="5" t="s">
        <v>8</v>
      </c>
      <c r="G5798" s="15" t="s">
        <v>9</v>
      </c>
      <c r="H5798" s="24">
        <f t="shared" si="1322"/>
        <v>0</v>
      </c>
      <c r="I5798" s="24" cm="1">
        <f t="array" ref="I5798">IFERROR(IF($B5798=I$1, ($A5798+$C5798) - MAX(IF($B$2:$B5797=$B5798, $A$2:$A5797+$C$2:$C5797)), "")*24*60, "")</f>
        <v>0</v>
      </c>
      <c r="J5798" s="24" t="str" cm="1">
        <f t="array" ref="J5798">IFERROR(IF($B5798=J$1, ($A5798+$C5798) - MAX(IF($B$2:$B5797=$B5798, $A$2:$A5797+$C$2:$C5797)), "")*24*60, "")</f>
        <v/>
      </c>
      <c r="K5798" s="24" t="str" cm="1">
        <f t="array" ref="K5798">IFERROR(IF($B5798=K$1, ($A5798+$C5798) - MAX(IF($B$2:$B5797=$B5798, $A$2:$A5797+$C$2:$C5797)), "")*24*60, "")</f>
        <v/>
      </c>
      <c r="L5798" s="24" t="str" cm="1">
        <f t="array" ref="L5798">IFERROR(IF($B5798=L$1, ($A5798+$C5798) - MAX(IF($B$2:$B5797=$B5798, $A$2:$A5797+$C$2:$C5797)), "")*24*60, "")</f>
        <v/>
      </c>
      <c r="M5798" s="24" t="str" cm="1">
        <f t="array" ref="M5798">IFERROR(IF($B5798=M$1, ($A5798+$C5798) - MAX(IF($B$2:$B5797=$B5798, $A$2:$A5797+$C$2:$C5797)), "")*24*60, "")</f>
        <v/>
      </c>
      <c r="N5798" s="24" t="str" cm="1">
        <f t="array" ref="N5798">IFERROR(IF($B5798=N$1, ($A5798+$C5798) - MAX(IF($B$2:$B5797=$B5798, $A$2:$A5797+$C$2:$C5797)), "")*24*60, "")</f>
        <v/>
      </c>
      <c r="O5798" s="24" t="str" cm="1">
        <f t="array" ref="O5798">IFERROR(IF($B5798=O$1, ($A5798+$C5798) - MAX(IF($B$2:$B5797=$B5798, $A$2:$A5797+$C$2:$C5797)), "")*24*60, "")</f>
        <v/>
      </c>
      <c r="P5798" s="24" t="str" cm="1">
        <f t="array" ref="P5798">IFERROR(IF($B5798=P$1, ($A5798+$C5798) - MAX(IF($B$2:$B5797=$B5798, $A$2:$A5797+$C$2:$C5797)), "")*24*60, "")</f>
        <v/>
      </c>
      <c r="Q5798" s="24" t="str" cm="1">
        <f t="array" ref="Q5798">IFERROR(IF($B5798=Q$1, ($A5798+$C5798) - MAX(IF($B$2:$B5797=$B5798, $A$2:$A5797+$C$2:$C5797)), "")*24*60, "")</f>
        <v/>
      </c>
      <c r="R5798" s="24" t="str" cm="1">
        <f t="array" ref="R5798">IFERROR(IF($B5798=R$1, ($A5798+$C5798) - MAX(IF($B$2:$B5797=$B5798, $A$2:$A5797+$C$2:$C5797)), "")*24*60, "")</f>
        <v/>
      </c>
      <c r="S5798" s="24" t="str" cm="1">
        <f t="array" ref="S5798">IFERROR(IF($B5798=S$1, ($A5798+$C5798) - MAX(IF($B$2:$B5797=$B5798, $A$2:$A5797+$C$2:$C5797)), "")*24*60, "")</f>
        <v/>
      </c>
    </row>
    <row r="5799" spans="1:19" x14ac:dyDescent="0.2">
      <c r="A5799" s="12">
        <f t="shared" ref="A5799:C5799" si="1334">A5798</f>
        <v>45985</v>
      </c>
      <c r="B5799" s="5" t="str">
        <f t="shared" si="1334"/>
        <v>Northern Cardinal</v>
      </c>
      <c r="C5799" s="6">
        <f t="shared" si="1334"/>
        <v>0.29166666666666669</v>
      </c>
      <c r="D5799" s="5"/>
      <c r="E5799" s="5"/>
      <c r="F5799" s="5" t="s">
        <v>8</v>
      </c>
      <c r="G5799" s="15" t="s">
        <v>9</v>
      </c>
      <c r="H5799" s="24">
        <f t="shared" si="1322"/>
        <v>0</v>
      </c>
      <c r="I5799" s="24" cm="1">
        <f t="array" ref="I5799">IFERROR(IF($B5799=I$1, ($A5799+$C5799) - MAX(IF($B$2:$B5798=$B5799, $A$2:$A5798+$C$2:$C5798)), "")*24*60, "")</f>
        <v>0</v>
      </c>
      <c r="J5799" s="24" t="str" cm="1">
        <f t="array" ref="J5799">IFERROR(IF($B5799=J$1, ($A5799+$C5799) - MAX(IF($B$2:$B5798=$B5799, $A$2:$A5798+$C$2:$C5798)), "")*24*60, "")</f>
        <v/>
      </c>
      <c r="K5799" s="24" t="str" cm="1">
        <f t="array" ref="K5799">IFERROR(IF($B5799=K$1, ($A5799+$C5799) - MAX(IF($B$2:$B5798=$B5799, $A$2:$A5798+$C$2:$C5798)), "")*24*60, "")</f>
        <v/>
      </c>
      <c r="L5799" s="24" t="str" cm="1">
        <f t="array" ref="L5799">IFERROR(IF($B5799=L$1, ($A5799+$C5799) - MAX(IF($B$2:$B5798=$B5799, $A$2:$A5798+$C$2:$C5798)), "")*24*60, "")</f>
        <v/>
      </c>
      <c r="M5799" s="24" t="str" cm="1">
        <f t="array" ref="M5799">IFERROR(IF($B5799=M$1, ($A5799+$C5799) - MAX(IF($B$2:$B5798=$B5799, $A$2:$A5798+$C$2:$C5798)), "")*24*60, "")</f>
        <v/>
      </c>
      <c r="N5799" s="24" t="str" cm="1">
        <f t="array" ref="N5799">IFERROR(IF($B5799=N$1, ($A5799+$C5799) - MAX(IF($B$2:$B5798=$B5799, $A$2:$A5798+$C$2:$C5798)), "")*24*60, "")</f>
        <v/>
      </c>
      <c r="O5799" s="24" t="str" cm="1">
        <f t="array" ref="O5799">IFERROR(IF($B5799=O$1, ($A5799+$C5799) - MAX(IF($B$2:$B5798=$B5799, $A$2:$A5798+$C$2:$C5798)), "")*24*60, "")</f>
        <v/>
      </c>
      <c r="P5799" s="24" t="str" cm="1">
        <f t="array" ref="P5799">IFERROR(IF($B5799=P$1, ($A5799+$C5799) - MAX(IF($B$2:$B5798=$B5799, $A$2:$A5798+$C$2:$C5798)), "")*24*60, "")</f>
        <v/>
      </c>
      <c r="Q5799" s="24" t="str" cm="1">
        <f t="array" ref="Q5799">IFERROR(IF($B5799=Q$1, ($A5799+$C5799) - MAX(IF($B$2:$B5798=$B5799, $A$2:$A5798+$C$2:$C5798)), "")*24*60, "")</f>
        <v/>
      </c>
      <c r="R5799" s="24" t="str" cm="1">
        <f t="array" ref="R5799">IFERROR(IF($B5799=R$1, ($A5799+$C5799) - MAX(IF($B$2:$B5798=$B5799, $A$2:$A5798+$C$2:$C5798)), "")*24*60, "")</f>
        <v/>
      </c>
      <c r="S5799" s="24" t="str" cm="1">
        <f t="array" ref="S5799">IFERROR(IF($B5799=S$1, ($A5799+$C5799) - MAX(IF($B$2:$B5798=$B5799, $A$2:$A5798+$C$2:$C5798)), "")*24*60, "")</f>
        <v/>
      </c>
    </row>
    <row r="5800" spans="1:19" x14ac:dyDescent="0.2">
      <c r="A5800" s="12">
        <f t="shared" ref="A5800:C5800" si="1335">A5799</f>
        <v>45985</v>
      </c>
      <c r="B5800" s="5" t="str">
        <f t="shared" si="1335"/>
        <v>Northern Cardinal</v>
      </c>
      <c r="C5800" s="6">
        <f t="shared" si="1335"/>
        <v>0.29166666666666669</v>
      </c>
      <c r="D5800" s="5"/>
      <c r="E5800" s="5"/>
      <c r="F5800" s="5" t="s">
        <v>8</v>
      </c>
      <c r="G5800" s="15" t="s">
        <v>9</v>
      </c>
      <c r="H5800" s="24">
        <f t="shared" si="1322"/>
        <v>0</v>
      </c>
      <c r="I5800" s="24" cm="1">
        <f t="array" ref="I5800">IFERROR(IF($B5800=I$1, ($A5800+$C5800) - MAX(IF($B$2:$B5799=$B5800, $A$2:$A5799+$C$2:$C5799)), "")*24*60, "")</f>
        <v>0</v>
      </c>
      <c r="J5800" s="24" t="str" cm="1">
        <f t="array" ref="J5800">IFERROR(IF($B5800=J$1, ($A5800+$C5800) - MAX(IF($B$2:$B5799=$B5800, $A$2:$A5799+$C$2:$C5799)), "")*24*60, "")</f>
        <v/>
      </c>
      <c r="K5800" s="24" t="str" cm="1">
        <f t="array" ref="K5800">IFERROR(IF($B5800=K$1, ($A5800+$C5800) - MAX(IF($B$2:$B5799=$B5800, $A$2:$A5799+$C$2:$C5799)), "")*24*60, "")</f>
        <v/>
      </c>
      <c r="L5800" s="24" t="str" cm="1">
        <f t="array" ref="L5800">IFERROR(IF($B5800=L$1, ($A5800+$C5800) - MAX(IF($B$2:$B5799=$B5800, $A$2:$A5799+$C$2:$C5799)), "")*24*60, "")</f>
        <v/>
      </c>
      <c r="M5800" s="24" t="str" cm="1">
        <f t="array" ref="M5800">IFERROR(IF($B5800=M$1, ($A5800+$C5800) - MAX(IF($B$2:$B5799=$B5800, $A$2:$A5799+$C$2:$C5799)), "")*24*60, "")</f>
        <v/>
      </c>
      <c r="N5800" s="24" t="str" cm="1">
        <f t="array" ref="N5800">IFERROR(IF($B5800=N$1, ($A5800+$C5800) - MAX(IF($B$2:$B5799=$B5800, $A$2:$A5799+$C$2:$C5799)), "")*24*60, "")</f>
        <v/>
      </c>
      <c r="O5800" s="24" t="str" cm="1">
        <f t="array" ref="O5800">IFERROR(IF($B5800=O$1, ($A5800+$C5800) - MAX(IF($B$2:$B5799=$B5800, $A$2:$A5799+$C$2:$C5799)), "")*24*60, "")</f>
        <v/>
      </c>
      <c r="P5800" s="24" t="str" cm="1">
        <f t="array" ref="P5800">IFERROR(IF($B5800=P$1, ($A5800+$C5800) - MAX(IF($B$2:$B5799=$B5800, $A$2:$A5799+$C$2:$C5799)), "")*24*60, "")</f>
        <v/>
      </c>
      <c r="Q5800" s="24" t="str" cm="1">
        <f t="array" ref="Q5800">IFERROR(IF($B5800=Q$1, ($A5800+$C5800) - MAX(IF($B$2:$B5799=$B5800, $A$2:$A5799+$C$2:$C5799)), "")*24*60, "")</f>
        <v/>
      </c>
      <c r="R5800" s="24" t="str" cm="1">
        <f t="array" ref="R5800">IFERROR(IF($B5800=R$1, ($A5800+$C5800) - MAX(IF($B$2:$B5799=$B5800, $A$2:$A5799+$C$2:$C5799)), "")*24*60, "")</f>
        <v/>
      </c>
      <c r="S5800" s="24" t="str" cm="1">
        <f t="array" ref="S5800">IFERROR(IF($B5800=S$1, ($A5800+$C5800) - MAX(IF($B$2:$B5799=$B5800, $A$2:$A5799+$C$2:$C5799)), "")*24*60, "")</f>
        <v/>
      </c>
    </row>
    <row r="5801" spans="1:19" x14ac:dyDescent="0.2">
      <c r="A5801" s="12">
        <f t="shared" ref="A5801:C5801" si="1336">A5800</f>
        <v>45985</v>
      </c>
      <c r="B5801" s="5" t="str">
        <f t="shared" si="1336"/>
        <v>Northern Cardinal</v>
      </c>
      <c r="C5801" s="6">
        <f t="shared" si="1336"/>
        <v>0.29166666666666669</v>
      </c>
      <c r="D5801" s="5"/>
      <c r="E5801" s="5"/>
      <c r="F5801" s="5" t="s">
        <v>8</v>
      </c>
      <c r="G5801" s="15" t="s">
        <v>9</v>
      </c>
      <c r="H5801" s="24">
        <f t="shared" si="1322"/>
        <v>0</v>
      </c>
      <c r="I5801" s="24" cm="1">
        <f t="array" ref="I5801">IFERROR(IF($B5801=I$1, ($A5801+$C5801) - MAX(IF($B$2:$B5800=$B5801, $A$2:$A5800+$C$2:$C5800)), "")*24*60, "")</f>
        <v>0</v>
      </c>
      <c r="J5801" s="24" t="str" cm="1">
        <f t="array" ref="J5801">IFERROR(IF($B5801=J$1, ($A5801+$C5801) - MAX(IF($B$2:$B5800=$B5801, $A$2:$A5800+$C$2:$C5800)), "")*24*60, "")</f>
        <v/>
      </c>
      <c r="K5801" s="24" t="str" cm="1">
        <f t="array" ref="K5801">IFERROR(IF($B5801=K$1, ($A5801+$C5801) - MAX(IF($B$2:$B5800=$B5801, $A$2:$A5800+$C$2:$C5800)), "")*24*60, "")</f>
        <v/>
      </c>
      <c r="L5801" s="24" t="str" cm="1">
        <f t="array" ref="L5801">IFERROR(IF($B5801=L$1, ($A5801+$C5801) - MAX(IF($B$2:$B5800=$B5801, $A$2:$A5800+$C$2:$C5800)), "")*24*60, "")</f>
        <v/>
      </c>
      <c r="M5801" s="24" t="str" cm="1">
        <f t="array" ref="M5801">IFERROR(IF($B5801=M$1, ($A5801+$C5801) - MAX(IF($B$2:$B5800=$B5801, $A$2:$A5800+$C$2:$C5800)), "")*24*60, "")</f>
        <v/>
      </c>
      <c r="N5801" s="24" t="str" cm="1">
        <f t="array" ref="N5801">IFERROR(IF($B5801=N$1, ($A5801+$C5801) - MAX(IF($B$2:$B5800=$B5801, $A$2:$A5800+$C$2:$C5800)), "")*24*60, "")</f>
        <v/>
      </c>
      <c r="O5801" s="24" t="str" cm="1">
        <f t="array" ref="O5801">IFERROR(IF($B5801=O$1, ($A5801+$C5801) - MAX(IF($B$2:$B5800=$B5801, $A$2:$A5800+$C$2:$C5800)), "")*24*60, "")</f>
        <v/>
      </c>
      <c r="P5801" s="24" t="str" cm="1">
        <f t="array" ref="P5801">IFERROR(IF($B5801=P$1, ($A5801+$C5801) - MAX(IF($B$2:$B5800=$B5801, $A$2:$A5800+$C$2:$C5800)), "")*24*60, "")</f>
        <v/>
      </c>
      <c r="Q5801" s="24" t="str" cm="1">
        <f t="array" ref="Q5801">IFERROR(IF($B5801=Q$1, ($A5801+$C5801) - MAX(IF($B$2:$B5800=$B5801, $A$2:$A5800+$C$2:$C5800)), "")*24*60, "")</f>
        <v/>
      </c>
      <c r="R5801" s="24" t="str" cm="1">
        <f t="array" ref="R5801">IFERROR(IF($B5801=R$1, ($A5801+$C5801) - MAX(IF($B$2:$B5800=$B5801, $A$2:$A5800+$C$2:$C5800)), "")*24*60, "")</f>
        <v/>
      </c>
      <c r="S5801" s="24" t="str" cm="1">
        <f t="array" ref="S5801">IFERROR(IF($B5801=S$1, ($A5801+$C5801) - MAX(IF($B$2:$B5800=$B5801, $A$2:$A5800+$C$2:$C5800)), "")*24*60, "")</f>
        <v/>
      </c>
    </row>
    <row r="5802" spans="1:19" x14ac:dyDescent="0.2">
      <c r="A5802" s="12">
        <f t="shared" ref="A5802:C5802" si="1337">A5801</f>
        <v>45985</v>
      </c>
      <c r="B5802" s="5" t="str">
        <f t="shared" si="1337"/>
        <v>Northern Cardinal</v>
      </c>
      <c r="C5802" s="6">
        <f t="shared" si="1337"/>
        <v>0.29166666666666669</v>
      </c>
      <c r="D5802" s="5"/>
      <c r="E5802" s="5"/>
      <c r="F5802" s="5" t="s">
        <v>8</v>
      </c>
      <c r="G5802" s="15" t="s">
        <v>9</v>
      </c>
      <c r="H5802" s="24">
        <f t="shared" si="1322"/>
        <v>0</v>
      </c>
      <c r="I5802" s="24" cm="1">
        <f t="array" ref="I5802">IFERROR(IF($B5802=I$1, ($A5802+$C5802) - MAX(IF($B$2:$B5801=$B5802, $A$2:$A5801+$C$2:$C5801)), "")*24*60, "")</f>
        <v>0</v>
      </c>
      <c r="J5802" s="24" t="str" cm="1">
        <f t="array" ref="J5802">IFERROR(IF($B5802=J$1, ($A5802+$C5802) - MAX(IF($B$2:$B5801=$B5802, $A$2:$A5801+$C$2:$C5801)), "")*24*60, "")</f>
        <v/>
      </c>
      <c r="K5802" s="24" t="str" cm="1">
        <f t="array" ref="K5802">IFERROR(IF($B5802=K$1, ($A5802+$C5802) - MAX(IF($B$2:$B5801=$B5802, $A$2:$A5801+$C$2:$C5801)), "")*24*60, "")</f>
        <v/>
      </c>
      <c r="L5802" s="24" t="str" cm="1">
        <f t="array" ref="L5802">IFERROR(IF($B5802=L$1, ($A5802+$C5802) - MAX(IF($B$2:$B5801=$B5802, $A$2:$A5801+$C$2:$C5801)), "")*24*60, "")</f>
        <v/>
      </c>
      <c r="M5802" s="24" t="str" cm="1">
        <f t="array" ref="M5802">IFERROR(IF($B5802=M$1, ($A5802+$C5802) - MAX(IF($B$2:$B5801=$B5802, $A$2:$A5801+$C$2:$C5801)), "")*24*60, "")</f>
        <v/>
      </c>
      <c r="N5802" s="24" t="str" cm="1">
        <f t="array" ref="N5802">IFERROR(IF($B5802=N$1, ($A5802+$C5802) - MAX(IF($B$2:$B5801=$B5802, $A$2:$A5801+$C$2:$C5801)), "")*24*60, "")</f>
        <v/>
      </c>
      <c r="O5802" s="24" t="str" cm="1">
        <f t="array" ref="O5802">IFERROR(IF($B5802=O$1, ($A5802+$C5802) - MAX(IF($B$2:$B5801=$B5802, $A$2:$A5801+$C$2:$C5801)), "")*24*60, "")</f>
        <v/>
      </c>
      <c r="P5802" s="24" t="str" cm="1">
        <f t="array" ref="P5802">IFERROR(IF($B5802=P$1, ($A5802+$C5802) - MAX(IF($B$2:$B5801=$B5802, $A$2:$A5801+$C$2:$C5801)), "")*24*60, "")</f>
        <v/>
      </c>
      <c r="Q5802" s="24" t="str" cm="1">
        <f t="array" ref="Q5802">IFERROR(IF($B5802=Q$1, ($A5802+$C5802) - MAX(IF($B$2:$B5801=$B5802, $A$2:$A5801+$C$2:$C5801)), "")*24*60, "")</f>
        <v/>
      </c>
      <c r="R5802" s="24" t="str" cm="1">
        <f t="array" ref="R5802">IFERROR(IF($B5802=R$1, ($A5802+$C5802) - MAX(IF($B$2:$B5801=$B5802, $A$2:$A5801+$C$2:$C5801)), "")*24*60, "")</f>
        <v/>
      </c>
      <c r="S5802" s="24" t="str" cm="1">
        <f t="array" ref="S5802">IFERROR(IF($B5802=S$1, ($A5802+$C5802) - MAX(IF($B$2:$B5801=$B5802, $A$2:$A5801+$C$2:$C5801)), "")*24*60, "")</f>
        <v/>
      </c>
    </row>
    <row r="5803" spans="1:19" x14ac:dyDescent="0.2">
      <c r="A5803" s="12">
        <f t="shared" ref="A5803:C5803" si="1338">A5802</f>
        <v>45985</v>
      </c>
      <c r="B5803" s="5" t="str">
        <f t="shared" si="1338"/>
        <v>Northern Cardinal</v>
      </c>
      <c r="C5803" s="6">
        <f t="shared" si="1338"/>
        <v>0.29166666666666669</v>
      </c>
      <c r="D5803" s="5"/>
      <c r="E5803" s="5"/>
      <c r="F5803" s="5" t="s">
        <v>8</v>
      </c>
      <c r="G5803" s="15" t="s">
        <v>9</v>
      </c>
      <c r="H5803" s="24">
        <f t="shared" si="1322"/>
        <v>0</v>
      </c>
      <c r="I5803" s="24" cm="1">
        <f t="array" ref="I5803">IFERROR(IF($B5803=I$1, ($A5803+$C5803) - MAX(IF($B$2:$B5802=$B5803, $A$2:$A5802+$C$2:$C5802)), "")*24*60, "")</f>
        <v>0</v>
      </c>
      <c r="J5803" s="24" t="str" cm="1">
        <f t="array" ref="J5803">IFERROR(IF($B5803=J$1, ($A5803+$C5803) - MAX(IF($B$2:$B5802=$B5803, $A$2:$A5802+$C$2:$C5802)), "")*24*60, "")</f>
        <v/>
      </c>
      <c r="K5803" s="24" t="str" cm="1">
        <f t="array" ref="K5803">IFERROR(IF($B5803=K$1, ($A5803+$C5803) - MAX(IF($B$2:$B5802=$B5803, $A$2:$A5802+$C$2:$C5802)), "")*24*60, "")</f>
        <v/>
      </c>
      <c r="L5803" s="24" t="str" cm="1">
        <f t="array" ref="L5803">IFERROR(IF($B5803=L$1, ($A5803+$C5803) - MAX(IF($B$2:$B5802=$B5803, $A$2:$A5802+$C$2:$C5802)), "")*24*60, "")</f>
        <v/>
      </c>
      <c r="M5803" s="24" t="str" cm="1">
        <f t="array" ref="M5803">IFERROR(IF($B5803=M$1, ($A5803+$C5803) - MAX(IF($B$2:$B5802=$B5803, $A$2:$A5802+$C$2:$C5802)), "")*24*60, "")</f>
        <v/>
      </c>
      <c r="N5803" s="24" t="str" cm="1">
        <f t="array" ref="N5803">IFERROR(IF($B5803=N$1, ($A5803+$C5803) - MAX(IF($B$2:$B5802=$B5803, $A$2:$A5802+$C$2:$C5802)), "")*24*60, "")</f>
        <v/>
      </c>
      <c r="O5803" s="24" t="str" cm="1">
        <f t="array" ref="O5803">IFERROR(IF($B5803=O$1, ($A5803+$C5803) - MAX(IF($B$2:$B5802=$B5803, $A$2:$A5802+$C$2:$C5802)), "")*24*60, "")</f>
        <v/>
      </c>
      <c r="P5803" s="24" t="str" cm="1">
        <f t="array" ref="P5803">IFERROR(IF($B5803=P$1, ($A5803+$C5803) - MAX(IF($B$2:$B5802=$B5803, $A$2:$A5802+$C$2:$C5802)), "")*24*60, "")</f>
        <v/>
      </c>
      <c r="Q5803" s="24" t="str" cm="1">
        <f t="array" ref="Q5803">IFERROR(IF($B5803=Q$1, ($A5803+$C5803) - MAX(IF($B$2:$B5802=$B5803, $A$2:$A5802+$C$2:$C5802)), "")*24*60, "")</f>
        <v/>
      </c>
      <c r="R5803" s="24" t="str" cm="1">
        <f t="array" ref="R5803">IFERROR(IF($B5803=R$1, ($A5803+$C5803) - MAX(IF($B$2:$B5802=$B5803, $A$2:$A5802+$C$2:$C5802)), "")*24*60, "")</f>
        <v/>
      </c>
      <c r="S5803" s="24" t="str" cm="1">
        <f t="array" ref="S5803">IFERROR(IF($B5803=S$1, ($A5803+$C5803) - MAX(IF($B$2:$B5802=$B5803, $A$2:$A5802+$C$2:$C5802)), "")*24*60, "")</f>
        <v/>
      </c>
    </row>
    <row r="5804" spans="1:19" x14ac:dyDescent="0.2">
      <c r="A5804" s="12">
        <f t="shared" ref="A5804:C5804" si="1339">A5803</f>
        <v>45985</v>
      </c>
      <c r="B5804" s="5" t="str">
        <f t="shared" si="1339"/>
        <v>Northern Cardinal</v>
      </c>
      <c r="C5804" s="6">
        <f t="shared" si="1339"/>
        <v>0.29166666666666669</v>
      </c>
      <c r="D5804" s="5"/>
      <c r="E5804" s="5"/>
      <c r="F5804" s="5" t="s">
        <v>8</v>
      </c>
      <c r="G5804" s="15" t="s">
        <v>9</v>
      </c>
      <c r="H5804" s="24">
        <f t="shared" si="1322"/>
        <v>0</v>
      </c>
      <c r="I5804" s="24" cm="1">
        <f t="array" ref="I5804">IFERROR(IF($B5804=I$1, ($A5804+$C5804) - MAX(IF($B$2:$B5803=$B5804, $A$2:$A5803+$C$2:$C5803)), "")*24*60, "")</f>
        <v>0</v>
      </c>
      <c r="J5804" s="24" t="str" cm="1">
        <f t="array" ref="J5804">IFERROR(IF($B5804=J$1, ($A5804+$C5804) - MAX(IF($B$2:$B5803=$B5804, $A$2:$A5803+$C$2:$C5803)), "")*24*60, "")</f>
        <v/>
      </c>
      <c r="K5804" s="24" t="str" cm="1">
        <f t="array" ref="K5804">IFERROR(IF($B5804=K$1, ($A5804+$C5804) - MAX(IF($B$2:$B5803=$B5804, $A$2:$A5803+$C$2:$C5803)), "")*24*60, "")</f>
        <v/>
      </c>
      <c r="L5804" s="24" t="str" cm="1">
        <f t="array" ref="L5804">IFERROR(IF($B5804=L$1, ($A5804+$C5804) - MAX(IF($B$2:$B5803=$B5804, $A$2:$A5803+$C$2:$C5803)), "")*24*60, "")</f>
        <v/>
      </c>
      <c r="M5804" s="24" t="str" cm="1">
        <f t="array" ref="M5804">IFERROR(IF($B5804=M$1, ($A5804+$C5804) - MAX(IF($B$2:$B5803=$B5804, $A$2:$A5803+$C$2:$C5803)), "")*24*60, "")</f>
        <v/>
      </c>
      <c r="N5804" s="24" t="str" cm="1">
        <f t="array" ref="N5804">IFERROR(IF($B5804=N$1, ($A5804+$C5804) - MAX(IF($B$2:$B5803=$B5804, $A$2:$A5803+$C$2:$C5803)), "")*24*60, "")</f>
        <v/>
      </c>
      <c r="O5804" s="24" t="str" cm="1">
        <f t="array" ref="O5804">IFERROR(IF($B5804=O$1, ($A5804+$C5804) - MAX(IF($B$2:$B5803=$B5804, $A$2:$A5803+$C$2:$C5803)), "")*24*60, "")</f>
        <v/>
      </c>
      <c r="P5804" s="24" t="str" cm="1">
        <f t="array" ref="P5804">IFERROR(IF($B5804=P$1, ($A5804+$C5804) - MAX(IF($B$2:$B5803=$B5804, $A$2:$A5803+$C$2:$C5803)), "")*24*60, "")</f>
        <v/>
      </c>
      <c r="Q5804" s="24" t="str" cm="1">
        <f t="array" ref="Q5804">IFERROR(IF($B5804=Q$1, ($A5804+$C5804) - MAX(IF($B$2:$B5803=$B5804, $A$2:$A5803+$C$2:$C5803)), "")*24*60, "")</f>
        <v/>
      </c>
      <c r="R5804" s="24" t="str" cm="1">
        <f t="array" ref="R5804">IFERROR(IF($B5804=R$1, ($A5804+$C5804) - MAX(IF($B$2:$B5803=$B5804, $A$2:$A5803+$C$2:$C5803)), "")*24*60, "")</f>
        <v/>
      </c>
      <c r="S5804" s="24" t="str" cm="1">
        <f t="array" ref="S5804">IFERROR(IF($B5804=S$1, ($A5804+$C5804) - MAX(IF($B$2:$B5803=$B5804, $A$2:$A5803+$C$2:$C5803)), "")*24*60, "")</f>
        <v/>
      </c>
    </row>
    <row r="5805" spans="1:19" x14ac:dyDescent="0.2">
      <c r="A5805" s="12">
        <f t="shared" ref="A5805:C5805" si="1340">A5804</f>
        <v>45985</v>
      </c>
      <c r="B5805" s="5" t="str">
        <f t="shared" si="1340"/>
        <v>Northern Cardinal</v>
      </c>
      <c r="C5805" s="6">
        <f t="shared" si="1340"/>
        <v>0.29166666666666669</v>
      </c>
      <c r="D5805" s="5"/>
      <c r="E5805" s="5"/>
      <c r="F5805" s="5" t="s">
        <v>8</v>
      </c>
      <c r="G5805" s="15" t="s">
        <v>9</v>
      </c>
      <c r="H5805" s="24">
        <f t="shared" si="1322"/>
        <v>0</v>
      </c>
      <c r="I5805" s="24" cm="1">
        <f t="array" ref="I5805">IFERROR(IF($B5805=I$1, ($A5805+$C5805) - MAX(IF($B$2:$B5804=$B5805, $A$2:$A5804+$C$2:$C5804)), "")*24*60, "")</f>
        <v>0</v>
      </c>
      <c r="J5805" s="24" t="str" cm="1">
        <f t="array" ref="J5805">IFERROR(IF($B5805=J$1, ($A5805+$C5805) - MAX(IF($B$2:$B5804=$B5805, $A$2:$A5804+$C$2:$C5804)), "")*24*60, "")</f>
        <v/>
      </c>
      <c r="K5805" s="24" t="str" cm="1">
        <f t="array" ref="K5805">IFERROR(IF($B5805=K$1, ($A5805+$C5805) - MAX(IF($B$2:$B5804=$B5805, $A$2:$A5804+$C$2:$C5804)), "")*24*60, "")</f>
        <v/>
      </c>
      <c r="L5805" s="24" t="str" cm="1">
        <f t="array" ref="L5805">IFERROR(IF($B5805=L$1, ($A5805+$C5805) - MAX(IF($B$2:$B5804=$B5805, $A$2:$A5804+$C$2:$C5804)), "")*24*60, "")</f>
        <v/>
      </c>
      <c r="M5805" s="24" t="str" cm="1">
        <f t="array" ref="M5805">IFERROR(IF($B5805=M$1, ($A5805+$C5805) - MAX(IF($B$2:$B5804=$B5805, $A$2:$A5804+$C$2:$C5804)), "")*24*60, "")</f>
        <v/>
      </c>
      <c r="N5805" s="24" t="str" cm="1">
        <f t="array" ref="N5805">IFERROR(IF($B5805=N$1, ($A5805+$C5805) - MAX(IF($B$2:$B5804=$B5805, $A$2:$A5804+$C$2:$C5804)), "")*24*60, "")</f>
        <v/>
      </c>
      <c r="O5805" s="24" t="str" cm="1">
        <f t="array" ref="O5805">IFERROR(IF($B5805=O$1, ($A5805+$C5805) - MAX(IF($B$2:$B5804=$B5805, $A$2:$A5804+$C$2:$C5804)), "")*24*60, "")</f>
        <v/>
      </c>
      <c r="P5805" s="24" t="str" cm="1">
        <f t="array" ref="P5805">IFERROR(IF($B5805=P$1, ($A5805+$C5805) - MAX(IF($B$2:$B5804=$B5805, $A$2:$A5804+$C$2:$C5804)), "")*24*60, "")</f>
        <v/>
      </c>
      <c r="Q5805" s="24" t="str" cm="1">
        <f t="array" ref="Q5805">IFERROR(IF($B5805=Q$1, ($A5805+$C5805) - MAX(IF($B$2:$B5804=$B5805, $A$2:$A5804+$C$2:$C5804)), "")*24*60, "")</f>
        <v/>
      </c>
      <c r="R5805" s="24" t="str" cm="1">
        <f t="array" ref="R5805">IFERROR(IF($B5805=R$1, ($A5805+$C5805) - MAX(IF($B$2:$B5804=$B5805, $A$2:$A5804+$C$2:$C5804)), "")*24*60, "")</f>
        <v/>
      </c>
      <c r="S5805" s="24" t="str" cm="1">
        <f t="array" ref="S5805">IFERROR(IF($B5805=S$1, ($A5805+$C5805) - MAX(IF($B$2:$B5804=$B5805, $A$2:$A5804+$C$2:$C5804)), "")*24*60, "")</f>
        <v/>
      </c>
    </row>
    <row r="5806" spans="1:19" x14ac:dyDescent="0.2">
      <c r="A5806" s="12">
        <f t="shared" ref="A5806:C5806" si="1341">A5805</f>
        <v>45985</v>
      </c>
      <c r="B5806" s="5" t="str">
        <f t="shared" si="1341"/>
        <v>Northern Cardinal</v>
      </c>
      <c r="C5806" s="6">
        <f t="shared" si="1341"/>
        <v>0.29166666666666669</v>
      </c>
      <c r="D5806" s="5"/>
      <c r="E5806" s="5"/>
      <c r="F5806" s="5" t="s">
        <v>8</v>
      </c>
      <c r="G5806" s="15" t="s">
        <v>9</v>
      </c>
      <c r="H5806" s="24">
        <f t="shared" si="1322"/>
        <v>0</v>
      </c>
      <c r="I5806" s="24" cm="1">
        <f t="array" ref="I5806">IFERROR(IF($B5806=I$1, ($A5806+$C5806) - MAX(IF($B$2:$B5805=$B5806, $A$2:$A5805+$C$2:$C5805)), "")*24*60, "")</f>
        <v>0</v>
      </c>
      <c r="J5806" s="24" t="str" cm="1">
        <f t="array" ref="J5806">IFERROR(IF($B5806=J$1, ($A5806+$C5806) - MAX(IF($B$2:$B5805=$B5806, $A$2:$A5805+$C$2:$C5805)), "")*24*60, "")</f>
        <v/>
      </c>
      <c r="K5806" s="24" t="str" cm="1">
        <f t="array" ref="K5806">IFERROR(IF($B5806=K$1, ($A5806+$C5806) - MAX(IF($B$2:$B5805=$B5806, $A$2:$A5805+$C$2:$C5805)), "")*24*60, "")</f>
        <v/>
      </c>
      <c r="L5806" s="24" t="str" cm="1">
        <f t="array" ref="L5806">IFERROR(IF($B5806=L$1, ($A5806+$C5806) - MAX(IF($B$2:$B5805=$B5806, $A$2:$A5805+$C$2:$C5805)), "")*24*60, "")</f>
        <v/>
      </c>
      <c r="M5806" s="24" t="str" cm="1">
        <f t="array" ref="M5806">IFERROR(IF($B5806=M$1, ($A5806+$C5806) - MAX(IF($B$2:$B5805=$B5806, $A$2:$A5805+$C$2:$C5805)), "")*24*60, "")</f>
        <v/>
      </c>
      <c r="N5806" s="24" t="str" cm="1">
        <f t="array" ref="N5806">IFERROR(IF($B5806=N$1, ($A5806+$C5806) - MAX(IF($B$2:$B5805=$B5806, $A$2:$A5805+$C$2:$C5805)), "")*24*60, "")</f>
        <v/>
      </c>
      <c r="O5806" s="24" t="str" cm="1">
        <f t="array" ref="O5806">IFERROR(IF($B5806=O$1, ($A5806+$C5806) - MAX(IF($B$2:$B5805=$B5806, $A$2:$A5805+$C$2:$C5805)), "")*24*60, "")</f>
        <v/>
      </c>
      <c r="P5806" s="24" t="str" cm="1">
        <f t="array" ref="P5806">IFERROR(IF($B5806=P$1, ($A5806+$C5806) - MAX(IF($B$2:$B5805=$B5806, $A$2:$A5805+$C$2:$C5805)), "")*24*60, "")</f>
        <v/>
      </c>
      <c r="Q5806" s="24" t="str" cm="1">
        <f t="array" ref="Q5806">IFERROR(IF($B5806=Q$1, ($A5806+$C5806) - MAX(IF($B$2:$B5805=$B5806, $A$2:$A5805+$C$2:$C5805)), "")*24*60, "")</f>
        <v/>
      </c>
      <c r="R5806" s="24" t="str" cm="1">
        <f t="array" ref="R5806">IFERROR(IF($B5806=R$1, ($A5806+$C5806) - MAX(IF($B$2:$B5805=$B5806, $A$2:$A5805+$C$2:$C5805)), "")*24*60, "")</f>
        <v/>
      </c>
      <c r="S5806" s="24" t="str" cm="1">
        <f t="array" ref="S5806">IFERROR(IF($B5806=S$1, ($A5806+$C5806) - MAX(IF($B$2:$B5805=$B5806, $A$2:$A5805+$C$2:$C5805)), "")*24*60, "")</f>
        <v/>
      </c>
    </row>
    <row r="5807" spans="1:19" x14ac:dyDescent="0.2">
      <c r="A5807" s="12">
        <f t="shared" ref="A5807:C5807" si="1342">A5806</f>
        <v>45985</v>
      </c>
      <c r="B5807" s="5" t="str">
        <f t="shared" si="1342"/>
        <v>Northern Cardinal</v>
      </c>
      <c r="C5807" s="6">
        <f t="shared" si="1342"/>
        <v>0.29166666666666669</v>
      </c>
      <c r="D5807" s="5"/>
      <c r="E5807" s="5"/>
      <c r="F5807" s="5" t="s">
        <v>8</v>
      </c>
      <c r="G5807" s="15" t="s">
        <v>9</v>
      </c>
      <c r="H5807" s="24">
        <f t="shared" si="1322"/>
        <v>0</v>
      </c>
      <c r="I5807" s="24" cm="1">
        <f t="array" ref="I5807">IFERROR(IF($B5807=I$1, ($A5807+$C5807) - MAX(IF($B$2:$B5806=$B5807, $A$2:$A5806+$C$2:$C5806)), "")*24*60, "")</f>
        <v>0</v>
      </c>
      <c r="J5807" s="24" t="str" cm="1">
        <f t="array" ref="J5807">IFERROR(IF($B5807=J$1, ($A5807+$C5807) - MAX(IF($B$2:$B5806=$B5807, $A$2:$A5806+$C$2:$C5806)), "")*24*60, "")</f>
        <v/>
      </c>
      <c r="K5807" s="24" t="str" cm="1">
        <f t="array" ref="K5807">IFERROR(IF($B5807=K$1, ($A5807+$C5807) - MAX(IF($B$2:$B5806=$B5807, $A$2:$A5806+$C$2:$C5806)), "")*24*60, "")</f>
        <v/>
      </c>
      <c r="L5807" s="24" t="str" cm="1">
        <f t="array" ref="L5807">IFERROR(IF($B5807=L$1, ($A5807+$C5807) - MAX(IF($B$2:$B5806=$B5807, $A$2:$A5806+$C$2:$C5806)), "")*24*60, "")</f>
        <v/>
      </c>
      <c r="M5807" s="24" t="str" cm="1">
        <f t="array" ref="M5807">IFERROR(IF($B5807=M$1, ($A5807+$C5807) - MAX(IF($B$2:$B5806=$B5807, $A$2:$A5806+$C$2:$C5806)), "")*24*60, "")</f>
        <v/>
      </c>
      <c r="N5807" s="24" t="str" cm="1">
        <f t="array" ref="N5807">IFERROR(IF($B5807=N$1, ($A5807+$C5807) - MAX(IF($B$2:$B5806=$B5807, $A$2:$A5806+$C$2:$C5806)), "")*24*60, "")</f>
        <v/>
      </c>
      <c r="O5807" s="24" t="str" cm="1">
        <f t="array" ref="O5807">IFERROR(IF($B5807=O$1, ($A5807+$C5807) - MAX(IF($B$2:$B5806=$B5807, $A$2:$A5806+$C$2:$C5806)), "")*24*60, "")</f>
        <v/>
      </c>
      <c r="P5807" s="24" t="str" cm="1">
        <f t="array" ref="P5807">IFERROR(IF($B5807=P$1, ($A5807+$C5807) - MAX(IF($B$2:$B5806=$B5807, $A$2:$A5806+$C$2:$C5806)), "")*24*60, "")</f>
        <v/>
      </c>
      <c r="Q5807" s="24" t="str" cm="1">
        <f t="array" ref="Q5807">IFERROR(IF($B5807=Q$1, ($A5807+$C5807) - MAX(IF($B$2:$B5806=$B5807, $A$2:$A5806+$C$2:$C5806)), "")*24*60, "")</f>
        <v/>
      </c>
      <c r="R5807" s="24" t="str" cm="1">
        <f t="array" ref="R5807">IFERROR(IF($B5807=R$1, ($A5807+$C5807) - MAX(IF($B$2:$B5806=$B5807, $A$2:$A5806+$C$2:$C5806)), "")*24*60, "")</f>
        <v/>
      </c>
      <c r="S5807" s="24" t="str" cm="1">
        <f t="array" ref="S5807">IFERROR(IF($B5807=S$1, ($A5807+$C5807) - MAX(IF($B$2:$B5806=$B5807, $A$2:$A5806+$C$2:$C5806)), "")*24*60, "")</f>
        <v/>
      </c>
    </row>
    <row r="5808" spans="1:19" x14ac:dyDescent="0.2">
      <c r="A5808" s="12">
        <f t="shared" ref="A5808:C5808" si="1343">A5807</f>
        <v>45985</v>
      </c>
      <c r="B5808" s="5" t="str">
        <f t="shared" si="1343"/>
        <v>Northern Cardinal</v>
      </c>
      <c r="C5808" s="6">
        <f t="shared" si="1343"/>
        <v>0.29166666666666669</v>
      </c>
      <c r="D5808" s="5"/>
      <c r="E5808" s="5"/>
      <c r="F5808" s="5" t="s">
        <v>8</v>
      </c>
      <c r="G5808" s="15" t="s">
        <v>9</v>
      </c>
      <c r="H5808" s="24">
        <f t="shared" si="1322"/>
        <v>0</v>
      </c>
      <c r="I5808" s="24" cm="1">
        <f t="array" ref="I5808">IFERROR(IF($B5808=I$1, ($A5808+$C5808) - MAX(IF($B$2:$B5807=$B5808, $A$2:$A5807+$C$2:$C5807)), "")*24*60, "")</f>
        <v>0</v>
      </c>
      <c r="J5808" s="24" t="str" cm="1">
        <f t="array" ref="J5808">IFERROR(IF($B5808=J$1, ($A5808+$C5808) - MAX(IF($B$2:$B5807=$B5808, $A$2:$A5807+$C$2:$C5807)), "")*24*60, "")</f>
        <v/>
      </c>
      <c r="K5808" s="24" t="str" cm="1">
        <f t="array" ref="K5808">IFERROR(IF($B5808=K$1, ($A5808+$C5808) - MAX(IF($B$2:$B5807=$B5808, $A$2:$A5807+$C$2:$C5807)), "")*24*60, "")</f>
        <v/>
      </c>
      <c r="L5808" s="24" t="str" cm="1">
        <f t="array" ref="L5808">IFERROR(IF($B5808=L$1, ($A5808+$C5808) - MAX(IF($B$2:$B5807=$B5808, $A$2:$A5807+$C$2:$C5807)), "")*24*60, "")</f>
        <v/>
      </c>
      <c r="M5808" s="24" t="str" cm="1">
        <f t="array" ref="M5808">IFERROR(IF($B5808=M$1, ($A5808+$C5808) - MAX(IF($B$2:$B5807=$B5808, $A$2:$A5807+$C$2:$C5807)), "")*24*60, "")</f>
        <v/>
      </c>
      <c r="N5808" s="24" t="str" cm="1">
        <f t="array" ref="N5808">IFERROR(IF($B5808=N$1, ($A5808+$C5808) - MAX(IF($B$2:$B5807=$B5808, $A$2:$A5807+$C$2:$C5807)), "")*24*60, "")</f>
        <v/>
      </c>
      <c r="O5808" s="24" t="str" cm="1">
        <f t="array" ref="O5808">IFERROR(IF($B5808=O$1, ($A5808+$C5808) - MAX(IF($B$2:$B5807=$B5808, $A$2:$A5807+$C$2:$C5807)), "")*24*60, "")</f>
        <v/>
      </c>
      <c r="P5808" s="24" t="str" cm="1">
        <f t="array" ref="P5808">IFERROR(IF($B5808=P$1, ($A5808+$C5808) - MAX(IF($B$2:$B5807=$B5808, $A$2:$A5807+$C$2:$C5807)), "")*24*60, "")</f>
        <v/>
      </c>
      <c r="Q5808" s="24" t="str" cm="1">
        <f t="array" ref="Q5808">IFERROR(IF($B5808=Q$1, ($A5808+$C5808) - MAX(IF($B$2:$B5807=$B5808, $A$2:$A5807+$C$2:$C5807)), "")*24*60, "")</f>
        <v/>
      </c>
      <c r="R5808" s="24" t="str" cm="1">
        <f t="array" ref="R5808">IFERROR(IF($B5808=R$1, ($A5808+$C5808) - MAX(IF($B$2:$B5807=$B5808, $A$2:$A5807+$C$2:$C5807)), "")*24*60, "")</f>
        <v/>
      </c>
      <c r="S5808" s="24" t="str" cm="1">
        <f t="array" ref="S5808">IFERROR(IF($B5808=S$1, ($A5808+$C5808) - MAX(IF($B$2:$B5807=$B5808, $A$2:$A5807+$C$2:$C5807)), "")*24*60, "")</f>
        <v/>
      </c>
    </row>
    <row r="5809" spans="1:19" x14ac:dyDescent="0.2">
      <c r="A5809" s="12">
        <f t="shared" ref="A5809:C5809" si="1344">A5808</f>
        <v>45985</v>
      </c>
      <c r="B5809" s="5" t="str">
        <f t="shared" si="1344"/>
        <v>Northern Cardinal</v>
      </c>
      <c r="C5809" s="6">
        <f t="shared" si="1344"/>
        <v>0.29166666666666669</v>
      </c>
      <c r="D5809" s="5"/>
      <c r="E5809" s="5"/>
      <c r="F5809" s="5" t="s">
        <v>8</v>
      </c>
      <c r="G5809" s="15" t="s">
        <v>9</v>
      </c>
      <c r="H5809" s="24">
        <f t="shared" si="1322"/>
        <v>0</v>
      </c>
      <c r="I5809" s="24" cm="1">
        <f t="array" ref="I5809">IFERROR(IF($B5809=I$1, ($A5809+$C5809) - MAX(IF($B$2:$B5808=$B5809, $A$2:$A5808+$C$2:$C5808)), "")*24*60, "")</f>
        <v>0</v>
      </c>
      <c r="J5809" s="24" t="str" cm="1">
        <f t="array" ref="J5809">IFERROR(IF($B5809=J$1, ($A5809+$C5809) - MAX(IF($B$2:$B5808=$B5809, $A$2:$A5808+$C$2:$C5808)), "")*24*60, "")</f>
        <v/>
      </c>
      <c r="K5809" s="24" t="str" cm="1">
        <f t="array" ref="K5809">IFERROR(IF($B5809=K$1, ($A5809+$C5809) - MAX(IF($B$2:$B5808=$B5809, $A$2:$A5808+$C$2:$C5808)), "")*24*60, "")</f>
        <v/>
      </c>
      <c r="L5809" s="24" t="str" cm="1">
        <f t="array" ref="L5809">IFERROR(IF($B5809=L$1, ($A5809+$C5809) - MAX(IF($B$2:$B5808=$B5809, $A$2:$A5808+$C$2:$C5808)), "")*24*60, "")</f>
        <v/>
      </c>
      <c r="M5809" s="24" t="str" cm="1">
        <f t="array" ref="M5809">IFERROR(IF($B5809=M$1, ($A5809+$C5809) - MAX(IF($B$2:$B5808=$B5809, $A$2:$A5808+$C$2:$C5808)), "")*24*60, "")</f>
        <v/>
      </c>
      <c r="N5809" s="24" t="str" cm="1">
        <f t="array" ref="N5809">IFERROR(IF($B5809=N$1, ($A5809+$C5809) - MAX(IF($B$2:$B5808=$B5809, $A$2:$A5808+$C$2:$C5808)), "")*24*60, "")</f>
        <v/>
      </c>
      <c r="O5809" s="24" t="str" cm="1">
        <f t="array" ref="O5809">IFERROR(IF($B5809=O$1, ($A5809+$C5809) - MAX(IF($B$2:$B5808=$B5809, $A$2:$A5808+$C$2:$C5808)), "")*24*60, "")</f>
        <v/>
      </c>
      <c r="P5809" s="24" t="str" cm="1">
        <f t="array" ref="P5809">IFERROR(IF($B5809=P$1, ($A5809+$C5809) - MAX(IF($B$2:$B5808=$B5809, $A$2:$A5808+$C$2:$C5808)), "")*24*60, "")</f>
        <v/>
      </c>
      <c r="Q5809" s="24" t="str" cm="1">
        <f t="array" ref="Q5809">IFERROR(IF($B5809=Q$1, ($A5809+$C5809) - MAX(IF($B$2:$B5808=$B5809, $A$2:$A5808+$C$2:$C5808)), "")*24*60, "")</f>
        <v/>
      </c>
      <c r="R5809" s="24" t="str" cm="1">
        <f t="array" ref="R5809">IFERROR(IF($B5809=R$1, ($A5809+$C5809) - MAX(IF($B$2:$B5808=$B5809, $A$2:$A5808+$C$2:$C5808)), "")*24*60, "")</f>
        <v/>
      </c>
      <c r="S5809" s="24" t="str" cm="1">
        <f t="array" ref="S5809">IFERROR(IF($B5809=S$1, ($A5809+$C5809) - MAX(IF($B$2:$B5808=$B5809, $A$2:$A5808+$C$2:$C5808)), "")*24*60, "")</f>
        <v/>
      </c>
    </row>
    <row r="5810" spans="1:19" x14ac:dyDescent="0.2">
      <c r="A5810" s="12">
        <f t="shared" ref="A5810:C5810" si="1345">A5809</f>
        <v>45985</v>
      </c>
      <c r="B5810" s="5" t="str">
        <f t="shared" si="1345"/>
        <v>Northern Cardinal</v>
      </c>
      <c r="C5810" s="6">
        <f t="shared" si="1345"/>
        <v>0.29166666666666669</v>
      </c>
      <c r="D5810" s="5"/>
      <c r="E5810" s="5"/>
      <c r="F5810" s="5" t="s">
        <v>8</v>
      </c>
      <c r="G5810" s="15" t="s">
        <v>9</v>
      </c>
      <c r="H5810" s="24">
        <f t="shared" si="1322"/>
        <v>0</v>
      </c>
      <c r="I5810" s="24" cm="1">
        <f t="array" ref="I5810">IFERROR(IF($B5810=I$1, ($A5810+$C5810) - MAX(IF($B$2:$B5809=$B5810, $A$2:$A5809+$C$2:$C5809)), "")*24*60, "")</f>
        <v>0</v>
      </c>
      <c r="J5810" s="24" t="str" cm="1">
        <f t="array" ref="J5810">IFERROR(IF($B5810=J$1, ($A5810+$C5810) - MAX(IF($B$2:$B5809=$B5810, $A$2:$A5809+$C$2:$C5809)), "")*24*60, "")</f>
        <v/>
      </c>
      <c r="K5810" s="24" t="str" cm="1">
        <f t="array" ref="K5810">IFERROR(IF($B5810=K$1, ($A5810+$C5810) - MAX(IF($B$2:$B5809=$B5810, $A$2:$A5809+$C$2:$C5809)), "")*24*60, "")</f>
        <v/>
      </c>
      <c r="L5810" s="24" t="str" cm="1">
        <f t="array" ref="L5810">IFERROR(IF($B5810=L$1, ($A5810+$C5810) - MAX(IF($B$2:$B5809=$B5810, $A$2:$A5809+$C$2:$C5809)), "")*24*60, "")</f>
        <v/>
      </c>
      <c r="M5810" s="24" t="str" cm="1">
        <f t="array" ref="M5810">IFERROR(IF($B5810=M$1, ($A5810+$C5810) - MAX(IF($B$2:$B5809=$B5810, $A$2:$A5809+$C$2:$C5809)), "")*24*60, "")</f>
        <v/>
      </c>
      <c r="N5810" s="24" t="str" cm="1">
        <f t="array" ref="N5810">IFERROR(IF($B5810=N$1, ($A5810+$C5810) - MAX(IF($B$2:$B5809=$B5810, $A$2:$A5809+$C$2:$C5809)), "")*24*60, "")</f>
        <v/>
      </c>
      <c r="O5810" s="24" t="str" cm="1">
        <f t="array" ref="O5810">IFERROR(IF($B5810=O$1, ($A5810+$C5810) - MAX(IF($B$2:$B5809=$B5810, $A$2:$A5809+$C$2:$C5809)), "")*24*60, "")</f>
        <v/>
      </c>
      <c r="P5810" s="24" t="str" cm="1">
        <f t="array" ref="P5810">IFERROR(IF($B5810=P$1, ($A5810+$C5810) - MAX(IF($B$2:$B5809=$B5810, $A$2:$A5809+$C$2:$C5809)), "")*24*60, "")</f>
        <v/>
      </c>
      <c r="Q5810" s="24" t="str" cm="1">
        <f t="array" ref="Q5810">IFERROR(IF($B5810=Q$1, ($A5810+$C5810) - MAX(IF($B$2:$B5809=$B5810, $A$2:$A5809+$C$2:$C5809)), "")*24*60, "")</f>
        <v/>
      </c>
      <c r="R5810" s="24" t="str" cm="1">
        <f t="array" ref="R5810">IFERROR(IF($B5810=R$1, ($A5810+$C5810) - MAX(IF($B$2:$B5809=$B5810, $A$2:$A5809+$C$2:$C5809)), "")*24*60, "")</f>
        <v/>
      </c>
      <c r="S5810" s="24" t="str" cm="1">
        <f t="array" ref="S5810">IFERROR(IF($B5810=S$1, ($A5810+$C5810) - MAX(IF($B$2:$B5809=$B5810, $A$2:$A5809+$C$2:$C5809)), "")*24*60, "")</f>
        <v/>
      </c>
    </row>
    <row r="5811" spans="1:19" x14ac:dyDescent="0.2">
      <c r="A5811" s="12">
        <f t="shared" ref="A5811:C5811" si="1346">A5810</f>
        <v>45985</v>
      </c>
      <c r="B5811" s="5" t="str">
        <f t="shared" si="1346"/>
        <v>Northern Cardinal</v>
      </c>
      <c r="C5811" s="6">
        <f t="shared" si="1346"/>
        <v>0.29166666666666669</v>
      </c>
      <c r="D5811" s="5"/>
      <c r="E5811" s="5"/>
      <c r="F5811" s="5" t="s">
        <v>8</v>
      </c>
      <c r="G5811" s="15" t="s">
        <v>9</v>
      </c>
      <c r="H5811" s="24">
        <f t="shared" si="1322"/>
        <v>0</v>
      </c>
      <c r="I5811" s="24" cm="1">
        <f t="array" ref="I5811">IFERROR(IF($B5811=I$1, ($A5811+$C5811) - MAX(IF($B$2:$B5810=$B5811, $A$2:$A5810+$C$2:$C5810)), "")*24*60, "")</f>
        <v>0</v>
      </c>
      <c r="J5811" s="24" t="str" cm="1">
        <f t="array" ref="J5811">IFERROR(IF($B5811=J$1, ($A5811+$C5811) - MAX(IF($B$2:$B5810=$B5811, $A$2:$A5810+$C$2:$C5810)), "")*24*60, "")</f>
        <v/>
      </c>
      <c r="K5811" s="24" t="str" cm="1">
        <f t="array" ref="K5811">IFERROR(IF($B5811=K$1, ($A5811+$C5811) - MAX(IF($B$2:$B5810=$B5811, $A$2:$A5810+$C$2:$C5810)), "")*24*60, "")</f>
        <v/>
      </c>
      <c r="L5811" s="24" t="str" cm="1">
        <f t="array" ref="L5811">IFERROR(IF($B5811=L$1, ($A5811+$C5811) - MAX(IF($B$2:$B5810=$B5811, $A$2:$A5810+$C$2:$C5810)), "")*24*60, "")</f>
        <v/>
      </c>
      <c r="M5811" s="24" t="str" cm="1">
        <f t="array" ref="M5811">IFERROR(IF($B5811=M$1, ($A5811+$C5811) - MAX(IF($B$2:$B5810=$B5811, $A$2:$A5810+$C$2:$C5810)), "")*24*60, "")</f>
        <v/>
      </c>
      <c r="N5811" s="24" t="str" cm="1">
        <f t="array" ref="N5811">IFERROR(IF($B5811=N$1, ($A5811+$C5811) - MAX(IF($B$2:$B5810=$B5811, $A$2:$A5810+$C$2:$C5810)), "")*24*60, "")</f>
        <v/>
      </c>
      <c r="O5811" s="24" t="str" cm="1">
        <f t="array" ref="O5811">IFERROR(IF($B5811=O$1, ($A5811+$C5811) - MAX(IF($B$2:$B5810=$B5811, $A$2:$A5810+$C$2:$C5810)), "")*24*60, "")</f>
        <v/>
      </c>
      <c r="P5811" s="24" t="str" cm="1">
        <f t="array" ref="P5811">IFERROR(IF($B5811=P$1, ($A5811+$C5811) - MAX(IF($B$2:$B5810=$B5811, $A$2:$A5810+$C$2:$C5810)), "")*24*60, "")</f>
        <v/>
      </c>
      <c r="Q5811" s="24" t="str" cm="1">
        <f t="array" ref="Q5811">IFERROR(IF($B5811=Q$1, ($A5811+$C5811) - MAX(IF($B$2:$B5810=$B5811, $A$2:$A5810+$C$2:$C5810)), "")*24*60, "")</f>
        <v/>
      </c>
      <c r="R5811" s="24" t="str" cm="1">
        <f t="array" ref="R5811">IFERROR(IF($B5811=R$1, ($A5811+$C5811) - MAX(IF($B$2:$B5810=$B5811, $A$2:$A5810+$C$2:$C5810)), "")*24*60, "")</f>
        <v/>
      </c>
      <c r="S5811" s="24" t="str" cm="1">
        <f t="array" ref="S5811">IFERROR(IF($B5811=S$1, ($A5811+$C5811) - MAX(IF($B$2:$B5810=$B5811, $A$2:$A5810+$C$2:$C5810)), "")*24*60, "")</f>
        <v/>
      </c>
    </row>
    <row r="5812" spans="1:19" x14ac:dyDescent="0.2">
      <c r="A5812" s="12">
        <f t="shared" ref="A5812:C5812" si="1347">A5811</f>
        <v>45985</v>
      </c>
      <c r="B5812" s="5" t="str">
        <f t="shared" si="1347"/>
        <v>Northern Cardinal</v>
      </c>
      <c r="C5812" s="6">
        <f t="shared" si="1347"/>
        <v>0.29166666666666669</v>
      </c>
      <c r="D5812" s="5"/>
      <c r="E5812" s="5"/>
      <c r="F5812" s="5" t="s">
        <v>8</v>
      </c>
      <c r="G5812" s="15" t="s">
        <v>9</v>
      </c>
      <c r="H5812" s="24">
        <f t="shared" si="1322"/>
        <v>0</v>
      </c>
      <c r="I5812" s="24" cm="1">
        <f t="array" ref="I5812">IFERROR(IF($B5812=I$1, ($A5812+$C5812) - MAX(IF($B$2:$B5811=$B5812, $A$2:$A5811+$C$2:$C5811)), "")*24*60, "")</f>
        <v>0</v>
      </c>
      <c r="J5812" s="24" t="str" cm="1">
        <f t="array" ref="J5812">IFERROR(IF($B5812=J$1, ($A5812+$C5812) - MAX(IF($B$2:$B5811=$B5812, $A$2:$A5811+$C$2:$C5811)), "")*24*60, "")</f>
        <v/>
      </c>
      <c r="K5812" s="24" t="str" cm="1">
        <f t="array" ref="K5812">IFERROR(IF($B5812=K$1, ($A5812+$C5812) - MAX(IF($B$2:$B5811=$B5812, $A$2:$A5811+$C$2:$C5811)), "")*24*60, "")</f>
        <v/>
      </c>
      <c r="L5812" s="24" t="str" cm="1">
        <f t="array" ref="L5812">IFERROR(IF($B5812=L$1, ($A5812+$C5812) - MAX(IF($B$2:$B5811=$B5812, $A$2:$A5811+$C$2:$C5811)), "")*24*60, "")</f>
        <v/>
      </c>
      <c r="M5812" s="24" t="str" cm="1">
        <f t="array" ref="M5812">IFERROR(IF($B5812=M$1, ($A5812+$C5812) - MAX(IF($B$2:$B5811=$B5812, $A$2:$A5811+$C$2:$C5811)), "")*24*60, "")</f>
        <v/>
      </c>
      <c r="N5812" s="24" t="str" cm="1">
        <f t="array" ref="N5812">IFERROR(IF($B5812=N$1, ($A5812+$C5812) - MAX(IF($B$2:$B5811=$B5812, $A$2:$A5811+$C$2:$C5811)), "")*24*60, "")</f>
        <v/>
      </c>
      <c r="O5812" s="24" t="str" cm="1">
        <f t="array" ref="O5812">IFERROR(IF($B5812=O$1, ($A5812+$C5812) - MAX(IF($B$2:$B5811=$B5812, $A$2:$A5811+$C$2:$C5811)), "")*24*60, "")</f>
        <v/>
      </c>
      <c r="P5812" s="24" t="str" cm="1">
        <f t="array" ref="P5812">IFERROR(IF($B5812=P$1, ($A5812+$C5812) - MAX(IF($B$2:$B5811=$B5812, $A$2:$A5811+$C$2:$C5811)), "")*24*60, "")</f>
        <v/>
      </c>
      <c r="Q5812" s="24" t="str" cm="1">
        <f t="array" ref="Q5812">IFERROR(IF($B5812=Q$1, ($A5812+$C5812) - MAX(IF($B$2:$B5811=$B5812, $A$2:$A5811+$C$2:$C5811)), "")*24*60, "")</f>
        <v/>
      </c>
      <c r="R5812" s="24" t="str" cm="1">
        <f t="array" ref="R5812">IFERROR(IF($B5812=R$1, ($A5812+$C5812) - MAX(IF($B$2:$B5811=$B5812, $A$2:$A5811+$C$2:$C5811)), "")*24*60, "")</f>
        <v/>
      </c>
      <c r="S5812" s="24" t="str" cm="1">
        <f t="array" ref="S5812">IFERROR(IF($B5812=S$1, ($A5812+$C5812) - MAX(IF($B$2:$B5811=$B5812, $A$2:$A5811+$C$2:$C5811)), "")*24*60, "")</f>
        <v/>
      </c>
    </row>
    <row r="5813" spans="1:19" x14ac:dyDescent="0.2">
      <c r="A5813" s="12">
        <f t="shared" ref="A5813:C5813" si="1348">A5812</f>
        <v>45985</v>
      </c>
      <c r="B5813" s="5" t="str">
        <f t="shared" si="1348"/>
        <v>Northern Cardinal</v>
      </c>
      <c r="C5813" s="6">
        <f t="shared" si="1348"/>
        <v>0.29166666666666669</v>
      </c>
      <c r="D5813" s="5"/>
      <c r="E5813" s="5"/>
      <c r="F5813" s="5" t="s">
        <v>8</v>
      </c>
      <c r="G5813" s="15" t="s">
        <v>9</v>
      </c>
      <c r="H5813" s="24">
        <f t="shared" si="1322"/>
        <v>0</v>
      </c>
      <c r="I5813" s="24" cm="1">
        <f t="array" ref="I5813">IFERROR(IF($B5813=I$1, ($A5813+$C5813) - MAX(IF($B$2:$B5812=$B5813, $A$2:$A5812+$C$2:$C5812)), "")*24*60, "")</f>
        <v>0</v>
      </c>
      <c r="J5813" s="24" t="str" cm="1">
        <f t="array" ref="J5813">IFERROR(IF($B5813=J$1, ($A5813+$C5813) - MAX(IF($B$2:$B5812=$B5813, $A$2:$A5812+$C$2:$C5812)), "")*24*60, "")</f>
        <v/>
      </c>
      <c r="K5813" s="24" t="str" cm="1">
        <f t="array" ref="K5813">IFERROR(IF($B5813=K$1, ($A5813+$C5813) - MAX(IF($B$2:$B5812=$B5813, $A$2:$A5812+$C$2:$C5812)), "")*24*60, "")</f>
        <v/>
      </c>
      <c r="L5813" s="24" t="str" cm="1">
        <f t="array" ref="L5813">IFERROR(IF($B5813=L$1, ($A5813+$C5813) - MAX(IF($B$2:$B5812=$B5813, $A$2:$A5812+$C$2:$C5812)), "")*24*60, "")</f>
        <v/>
      </c>
      <c r="M5813" s="24" t="str" cm="1">
        <f t="array" ref="M5813">IFERROR(IF($B5813=M$1, ($A5813+$C5813) - MAX(IF($B$2:$B5812=$B5813, $A$2:$A5812+$C$2:$C5812)), "")*24*60, "")</f>
        <v/>
      </c>
      <c r="N5813" s="24" t="str" cm="1">
        <f t="array" ref="N5813">IFERROR(IF($B5813=N$1, ($A5813+$C5813) - MAX(IF($B$2:$B5812=$B5813, $A$2:$A5812+$C$2:$C5812)), "")*24*60, "")</f>
        <v/>
      </c>
      <c r="O5813" s="24" t="str" cm="1">
        <f t="array" ref="O5813">IFERROR(IF($B5813=O$1, ($A5813+$C5813) - MAX(IF($B$2:$B5812=$B5813, $A$2:$A5812+$C$2:$C5812)), "")*24*60, "")</f>
        <v/>
      </c>
      <c r="P5813" s="24" t="str" cm="1">
        <f t="array" ref="P5813">IFERROR(IF($B5813=P$1, ($A5813+$C5813) - MAX(IF($B$2:$B5812=$B5813, $A$2:$A5812+$C$2:$C5812)), "")*24*60, "")</f>
        <v/>
      </c>
      <c r="Q5813" s="24" t="str" cm="1">
        <f t="array" ref="Q5813">IFERROR(IF($B5813=Q$1, ($A5813+$C5813) - MAX(IF($B$2:$B5812=$B5813, $A$2:$A5812+$C$2:$C5812)), "")*24*60, "")</f>
        <v/>
      </c>
      <c r="R5813" s="24" t="str" cm="1">
        <f t="array" ref="R5813">IFERROR(IF($B5813=R$1, ($A5813+$C5813) - MAX(IF($B$2:$B5812=$B5813, $A$2:$A5812+$C$2:$C5812)), "")*24*60, "")</f>
        <v/>
      </c>
      <c r="S5813" s="24" t="str" cm="1">
        <f t="array" ref="S5813">IFERROR(IF($B5813=S$1, ($A5813+$C5813) - MAX(IF($B$2:$B5812=$B5813, $A$2:$A5812+$C$2:$C5812)), "")*24*60, "")</f>
        <v/>
      </c>
    </row>
    <row r="5814" spans="1:19" x14ac:dyDescent="0.2">
      <c r="A5814" s="12">
        <f t="shared" ref="A5814:C5814" si="1349">A5813</f>
        <v>45985</v>
      </c>
      <c r="B5814" s="5" t="str">
        <f t="shared" si="1349"/>
        <v>Northern Cardinal</v>
      </c>
      <c r="C5814" s="6">
        <f t="shared" si="1349"/>
        <v>0.29166666666666669</v>
      </c>
      <c r="D5814" s="5"/>
      <c r="E5814" s="5"/>
      <c r="F5814" s="5" t="s">
        <v>8</v>
      </c>
      <c r="G5814" s="15" t="s">
        <v>9</v>
      </c>
      <c r="H5814" s="24">
        <f t="shared" si="1322"/>
        <v>0</v>
      </c>
      <c r="I5814" s="24" cm="1">
        <f t="array" ref="I5814">IFERROR(IF($B5814=I$1, ($A5814+$C5814) - MAX(IF($B$2:$B5813=$B5814, $A$2:$A5813+$C$2:$C5813)), "")*24*60, "")</f>
        <v>0</v>
      </c>
      <c r="J5814" s="24" t="str" cm="1">
        <f t="array" ref="J5814">IFERROR(IF($B5814=J$1, ($A5814+$C5814) - MAX(IF($B$2:$B5813=$B5814, $A$2:$A5813+$C$2:$C5813)), "")*24*60, "")</f>
        <v/>
      </c>
      <c r="K5814" s="24" t="str" cm="1">
        <f t="array" ref="K5814">IFERROR(IF($B5814=K$1, ($A5814+$C5814) - MAX(IF($B$2:$B5813=$B5814, $A$2:$A5813+$C$2:$C5813)), "")*24*60, "")</f>
        <v/>
      </c>
      <c r="L5814" s="24" t="str" cm="1">
        <f t="array" ref="L5814">IFERROR(IF($B5814=L$1, ($A5814+$C5814) - MAX(IF($B$2:$B5813=$B5814, $A$2:$A5813+$C$2:$C5813)), "")*24*60, "")</f>
        <v/>
      </c>
      <c r="M5814" s="24" t="str" cm="1">
        <f t="array" ref="M5814">IFERROR(IF($B5814=M$1, ($A5814+$C5814) - MAX(IF($B$2:$B5813=$B5814, $A$2:$A5813+$C$2:$C5813)), "")*24*60, "")</f>
        <v/>
      </c>
      <c r="N5814" s="24" t="str" cm="1">
        <f t="array" ref="N5814">IFERROR(IF($B5814=N$1, ($A5814+$C5814) - MAX(IF($B$2:$B5813=$B5814, $A$2:$A5813+$C$2:$C5813)), "")*24*60, "")</f>
        <v/>
      </c>
      <c r="O5814" s="24" t="str" cm="1">
        <f t="array" ref="O5814">IFERROR(IF($B5814=O$1, ($A5814+$C5814) - MAX(IF($B$2:$B5813=$B5814, $A$2:$A5813+$C$2:$C5813)), "")*24*60, "")</f>
        <v/>
      </c>
      <c r="P5814" s="24" t="str" cm="1">
        <f t="array" ref="P5814">IFERROR(IF($B5814=P$1, ($A5814+$C5814) - MAX(IF($B$2:$B5813=$B5814, $A$2:$A5813+$C$2:$C5813)), "")*24*60, "")</f>
        <v/>
      </c>
      <c r="Q5814" s="24" t="str" cm="1">
        <f t="array" ref="Q5814">IFERROR(IF($B5814=Q$1, ($A5814+$C5814) - MAX(IF($B$2:$B5813=$B5814, $A$2:$A5813+$C$2:$C5813)), "")*24*60, "")</f>
        <v/>
      </c>
      <c r="R5814" s="24" t="str" cm="1">
        <f t="array" ref="R5814">IFERROR(IF($B5814=R$1, ($A5814+$C5814) - MAX(IF($B$2:$B5813=$B5814, $A$2:$A5813+$C$2:$C5813)), "")*24*60, "")</f>
        <v/>
      </c>
      <c r="S5814" s="24" t="str" cm="1">
        <f t="array" ref="S5814">IFERROR(IF($B5814=S$1, ($A5814+$C5814) - MAX(IF($B$2:$B5813=$B5814, $A$2:$A5813+$C$2:$C5813)), "")*24*60, "")</f>
        <v/>
      </c>
    </row>
    <row r="5815" spans="1:19" x14ac:dyDescent="0.2">
      <c r="A5815" s="12">
        <f t="shared" ref="A5815:C5815" si="1350">A5814</f>
        <v>45985</v>
      </c>
      <c r="B5815" s="5" t="str">
        <f t="shared" si="1350"/>
        <v>Northern Cardinal</v>
      </c>
      <c r="C5815" s="6">
        <f t="shared" si="1350"/>
        <v>0.29166666666666669</v>
      </c>
      <c r="D5815" s="5"/>
      <c r="E5815" s="5"/>
      <c r="F5815" s="5" t="s">
        <v>8</v>
      </c>
      <c r="G5815" s="15" t="s">
        <v>9</v>
      </c>
      <c r="H5815" s="24">
        <f t="shared" si="1322"/>
        <v>0</v>
      </c>
      <c r="I5815" s="24" cm="1">
        <f t="array" ref="I5815">IFERROR(IF($B5815=I$1, ($A5815+$C5815) - MAX(IF($B$2:$B5814=$B5815, $A$2:$A5814+$C$2:$C5814)), "")*24*60, "")</f>
        <v>0</v>
      </c>
      <c r="J5815" s="24" t="str" cm="1">
        <f t="array" ref="J5815">IFERROR(IF($B5815=J$1, ($A5815+$C5815) - MAX(IF($B$2:$B5814=$B5815, $A$2:$A5814+$C$2:$C5814)), "")*24*60, "")</f>
        <v/>
      </c>
      <c r="K5815" s="24" t="str" cm="1">
        <f t="array" ref="K5815">IFERROR(IF($B5815=K$1, ($A5815+$C5815) - MAX(IF($B$2:$B5814=$B5815, $A$2:$A5814+$C$2:$C5814)), "")*24*60, "")</f>
        <v/>
      </c>
      <c r="L5815" s="24" t="str" cm="1">
        <f t="array" ref="L5815">IFERROR(IF($B5815=L$1, ($A5815+$C5815) - MAX(IF($B$2:$B5814=$B5815, $A$2:$A5814+$C$2:$C5814)), "")*24*60, "")</f>
        <v/>
      </c>
      <c r="M5815" s="24" t="str" cm="1">
        <f t="array" ref="M5815">IFERROR(IF($B5815=M$1, ($A5815+$C5815) - MAX(IF($B$2:$B5814=$B5815, $A$2:$A5814+$C$2:$C5814)), "")*24*60, "")</f>
        <v/>
      </c>
      <c r="N5815" s="24" t="str" cm="1">
        <f t="array" ref="N5815">IFERROR(IF($B5815=N$1, ($A5815+$C5815) - MAX(IF($B$2:$B5814=$B5815, $A$2:$A5814+$C$2:$C5814)), "")*24*60, "")</f>
        <v/>
      </c>
      <c r="O5815" s="24" t="str" cm="1">
        <f t="array" ref="O5815">IFERROR(IF($B5815=O$1, ($A5815+$C5815) - MAX(IF($B$2:$B5814=$B5815, $A$2:$A5814+$C$2:$C5814)), "")*24*60, "")</f>
        <v/>
      </c>
      <c r="P5815" s="24" t="str" cm="1">
        <f t="array" ref="P5815">IFERROR(IF($B5815=P$1, ($A5815+$C5815) - MAX(IF($B$2:$B5814=$B5815, $A$2:$A5814+$C$2:$C5814)), "")*24*60, "")</f>
        <v/>
      </c>
      <c r="Q5815" s="24" t="str" cm="1">
        <f t="array" ref="Q5815">IFERROR(IF($B5815=Q$1, ($A5815+$C5815) - MAX(IF($B$2:$B5814=$B5815, $A$2:$A5814+$C$2:$C5814)), "")*24*60, "")</f>
        <v/>
      </c>
      <c r="R5815" s="24" t="str" cm="1">
        <f t="array" ref="R5815">IFERROR(IF($B5815=R$1, ($A5815+$C5815) - MAX(IF($B$2:$B5814=$B5815, $A$2:$A5814+$C$2:$C5814)), "")*24*60, "")</f>
        <v/>
      </c>
      <c r="S5815" s="24" t="str" cm="1">
        <f t="array" ref="S5815">IFERROR(IF($B5815=S$1, ($A5815+$C5815) - MAX(IF($B$2:$B5814=$B5815, $A$2:$A5814+$C$2:$C5814)), "")*24*60, "")</f>
        <v/>
      </c>
    </row>
    <row r="5816" spans="1:19" x14ac:dyDescent="0.2">
      <c r="A5816" s="12">
        <f t="shared" ref="A5816:C5816" si="1351">A5815</f>
        <v>45985</v>
      </c>
      <c r="B5816" s="5" t="str">
        <f t="shared" si="1351"/>
        <v>Northern Cardinal</v>
      </c>
      <c r="C5816" s="6">
        <f t="shared" si="1351"/>
        <v>0.29166666666666669</v>
      </c>
      <c r="D5816" s="5"/>
      <c r="E5816" s="5"/>
      <c r="F5816" s="5" t="s">
        <v>8</v>
      </c>
      <c r="G5816" s="15" t="s">
        <v>9</v>
      </c>
      <c r="H5816" s="24">
        <f t="shared" si="1322"/>
        <v>0</v>
      </c>
      <c r="I5816" s="24" cm="1">
        <f t="array" ref="I5816">IFERROR(IF($B5816=I$1, ($A5816+$C5816) - MAX(IF($B$2:$B5815=$B5816, $A$2:$A5815+$C$2:$C5815)), "")*24*60, "")</f>
        <v>0</v>
      </c>
      <c r="J5816" s="24" t="str" cm="1">
        <f t="array" ref="J5816">IFERROR(IF($B5816=J$1, ($A5816+$C5816) - MAX(IF($B$2:$B5815=$B5816, $A$2:$A5815+$C$2:$C5815)), "")*24*60, "")</f>
        <v/>
      </c>
      <c r="K5816" s="24" t="str" cm="1">
        <f t="array" ref="K5816">IFERROR(IF($B5816=K$1, ($A5816+$C5816) - MAX(IF($B$2:$B5815=$B5816, $A$2:$A5815+$C$2:$C5815)), "")*24*60, "")</f>
        <v/>
      </c>
      <c r="L5816" s="24" t="str" cm="1">
        <f t="array" ref="L5816">IFERROR(IF($B5816=L$1, ($A5816+$C5816) - MAX(IF($B$2:$B5815=$B5816, $A$2:$A5815+$C$2:$C5815)), "")*24*60, "")</f>
        <v/>
      </c>
      <c r="M5816" s="24" t="str" cm="1">
        <f t="array" ref="M5816">IFERROR(IF($B5816=M$1, ($A5816+$C5816) - MAX(IF($B$2:$B5815=$B5816, $A$2:$A5815+$C$2:$C5815)), "")*24*60, "")</f>
        <v/>
      </c>
      <c r="N5816" s="24" t="str" cm="1">
        <f t="array" ref="N5816">IFERROR(IF($B5816=N$1, ($A5816+$C5816) - MAX(IF($B$2:$B5815=$B5816, $A$2:$A5815+$C$2:$C5815)), "")*24*60, "")</f>
        <v/>
      </c>
      <c r="O5816" s="24" t="str" cm="1">
        <f t="array" ref="O5816">IFERROR(IF($B5816=O$1, ($A5816+$C5816) - MAX(IF($B$2:$B5815=$B5816, $A$2:$A5815+$C$2:$C5815)), "")*24*60, "")</f>
        <v/>
      </c>
      <c r="P5816" s="24" t="str" cm="1">
        <f t="array" ref="P5816">IFERROR(IF($B5816=P$1, ($A5816+$C5816) - MAX(IF($B$2:$B5815=$B5816, $A$2:$A5815+$C$2:$C5815)), "")*24*60, "")</f>
        <v/>
      </c>
      <c r="Q5816" s="24" t="str" cm="1">
        <f t="array" ref="Q5816">IFERROR(IF($B5816=Q$1, ($A5816+$C5816) - MAX(IF($B$2:$B5815=$B5816, $A$2:$A5815+$C$2:$C5815)), "")*24*60, "")</f>
        <v/>
      </c>
      <c r="R5816" s="24" t="str" cm="1">
        <f t="array" ref="R5816">IFERROR(IF($B5816=R$1, ($A5816+$C5816) - MAX(IF($B$2:$B5815=$B5816, $A$2:$A5815+$C$2:$C5815)), "")*24*60, "")</f>
        <v/>
      </c>
      <c r="S5816" s="24" t="str" cm="1">
        <f t="array" ref="S5816">IFERROR(IF($B5816=S$1, ($A5816+$C5816) - MAX(IF($B$2:$B5815=$B5816, $A$2:$A5815+$C$2:$C5815)), "")*24*60, "")</f>
        <v/>
      </c>
    </row>
    <row r="5817" spans="1:19" x14ac:dyDescent="0.2">
      <c r="A5817" s="12">
        <f t="shared" ref="A5817:C5817" si="1352">A5816</f>
        <v>45985</v>
      </c>
      <c r="B5817" s="5" t="str">
        <f t="shared" si="1352"/>
        <v>Northern Cardinal</v>
      </c>
      <c r="C5817" s="6">
        <f t="shared" si="1352"/>
        <v>0.29166666666666669</v>
      </c>
      <c r="D5817" s="5"/>
      <c r="E5817" s="5"/>
      <c r="F5817" s="5" t="s">
        <v>8</v>
      </c>
      <c r="G5817" s="15" t="s">
        <v>9</v>
      </c>
      <c r="H5817" s="24">
        <f t="shared" si="1322"/>
        <v>0</v>
      </c>
      <c r="I5817" s="24" cm="1">
        <f t="array" ref="I5817">IFERROR(IF($B5817=I$1, ($A5817+$C5817) - MAX(IF($B$2:$B5816=$B5817, $A$2:$A5816+$C$2:$C5816)), "")*24*60, "")</f>
        <v>0</v>
      </c>
      <c r="J5817" s="24" t="str" cm="1">
        <f t="array" ref="J5817">IFERROR(IF($B5817=J$1, ($A5817+$C5817) - MAX(IF($B$2:$B5816=$B5817, $A$2:$A5816+$C$2:$C5816)), "")*24*60, "")</f>
        <v/>
      </c>
      <c r="K5817" s="24" t="str" cm="1">
        <f t="array" ref="K5817">IFERROR(IF($B5817=K$1, ($A5817+$C5817) - MAX(IF($B$2:$B5816=$B5817, $A$2:$A5816+$C$2:$C5816)), "")*24*60, "")</f>
        <v/>
      </c>
      <c r="L5817" s="24" t="str" cm="1">
        <f t="array" ref="L5817">IFERROR(IF($B5817=L$1, ($A5817+$C5817) - MAX(IF($B$2:$B5816=$B5817, $A$2:$A5816+$C$2:$C5816)), "")*24*60, "")</f>
        <v/>
      </c>
      <c r="M5817" s="24" t="str" cm="1">
        <f t="array" ref="M5817">IFERROR(IF($B5817=M$1, ($A5817+$C5817) - MAX(IF($B$2:$B5816=$B5817, $A$2:$A5816+$C$2:$C5816)), "")*24*60, "")</f>
        <v/>
      </c>
      <c r="N5817" s="24" t="str" cm="1">
        <f t="array" ref="N5817">IFERROR(IF($B5817=N$1, ($A5817+$C5817) - MAX(IF($B$2:$B5816=$B5817, $A$2:$A5816+$C$2:$C5816)), "")*24*60, "")</f>
        <v/>
      </c>
      <c r="O5817" s="24" t="str" cm="1">
        <f t="array" ref="O5817">IFERROR(IF($B5817=O$1, ($A5817+$C5817) - MAX(IF($B$2:$B5816=$B5817, $A$2:$A5816+$C$2:$C5816)), "")*24*60, "")</f>
        <v/>
      </c>
      <c r="P5817" s="24" t="str" cm="1">
        <f t="array" ref="P5817">IFERROR(IF($B5817=P$1, ($A5817+$C5817) - MAX(IF($B$2:$B5816=$B5817, $A$2:$A5816+$C$2:$C5816)), "")*24*60, "")</f>
        <v/>
      </c>
      <c r="Q5817" s="24" t="str" cm="1">
        <f t="array" ref="Q5817">IFERROR(IF($B5817=Q$1, ($A5817+$C5817) - MAX(IF($B$2:$B5816=$B5817, $A$2:$A5816+$C$2:$C5816)), "")*24*60, "")</f>
        <v/>
      </c>
      <c r="R5817" s="24" t="str" cm="1">
        <f t="array" ref="R5817">IFERROR(IF($B5817=R$1, ($A5817+$C5817) - MAX(IF($B$2:$B5816=$B5817, $A$2:$A5816+$C$2:$C5816)), "")*24*60, "")</f>
        <v/>
      </c>
      <c r="S5817" s="24" t="str" cm="1">
        <f t="array" ref="S5817">IFERROR(IF($B5817=S$1, ($A5817+$C5817) - MAX(IF($B$2:$B5816=$B5817, $A$2:$A5816+$C$2:$C5816)), "")*24*60, "")</f>
        <v/>
      </c>
    </row>
    <row r="5818" spans="1:19" x14ac:dyDescent="0.2">
      <c r="A5818" s="12">
        <f t="shared" ref="A5818:C5818" si="1353">A5817</f>
        <v>45985</v>
      </c>
      <c r="B5818" s="5" t="str">
        <f t="shared" si="1353"/>
        <v>Northern Cardinal</v>
      </c>
      <c r="C5818" s="6">
        <f t="shared" si="1353"/>
        <v>0.29166666666666669</v>
      </c>
      <c r="D5818" s="5"/>
      <c r="E5818" s="5"/>
      <c r="F5818" s="5" t="s">
        <v>8</v>
      </c>
      <c r="G5818" s="15" t="s">
        <v>9</v>
      </c>
      <c r="H5818" s="24">
        <f t="shared" si="1322"/>
        <v>0</v>
      </c>
      <c r="I5818" s="24" cm="1">
        <f t="array" ref="I5818">IFERROR(IF($B5818=I$1, ($A5818+$C5818) - MAX(IF($B$2:$B5817=$B5818, $A$2:$A5817+$C$2:$C5817)), "")*24*60, "")</f>
        <v>0</v>
      </c>
      <c r="J5818" s="24" t="str" cm="1">
        <f t="array" ref="J5818">IFERROR(IF($B5818=J$1, ($A5818+$C5818) - MAX(IF($B$2:$B5817=$B5818, $A$2:$A5817+$C$2:$C5817)), "")*24*60, "")</f>
        <v/>
      </c>
      <c r="K5818" s="24" t="str" cm="1">
        <f t="array" ref="K5818">IFERROR(IF($B5818=K$1, ($A5818+$C5818) - MAX(IF($B$2:$B5817=$B5818, $A$2:$A5817+$C$2:$C5817)), "")*24*60, "")</f>
        <v/>
      </c>
      <c r="L5818" s="24" t="str" cm="1">
        <f t="array" ref="L5818">IFERROR(IF($B5818=L$1, ($A5818+$C5818) - MAX(IF($B$2:$B5817=$B5818, $A$2:$A5817+$C$2:$C5817)), "")*24*60, "")</f>
        <v/>
      </c>
      <c r="M5818" s="24" t="str" cm="1">
        <f t="array" ref="M5818">IFERROR(IF($B5818=M$1, ($A5818+$C5818) - MAX(IF($B$2:$B5817=$B5818, $A$2:$A5817+$C$2:$C5817)), "")*24*60, "")</f>
        <v/>
      </c>
      <c r="N5818" s="24" t="str" cm="1">
        <f t="array" ref="N5818">IFERROR(IF($B5818=N$1, ($A5818+$C5818) - MAX(IF($B$2:$B5817=$B5818, $A$2:$A5817+$C$2:$C5817)), "")*24*60, "")</f>
        <v/>
      </c>
      <c r="O5818" s="24" t="str" cm="1">
        <f t="array" ref="O5818">IFERROR(IF($B5818=O$1, ($A5818+$C5818) - MAX(IF($B$2:$B5817=$B5818, $A$2:$A5817+$C$2:$C5817)), "")*24*60, "")</f>
        <v/>
      </c>
      <c r="P5818" s="24" t="str" cm="1">
        <f t="array" ref="P5818">IFERROR(IF($B5818=P$1, ($A5818+$C5818) - MAX(IF($B$2:$B5817=$B5818, $A$2:$A5817+$C$2:$C5817)), "")*24*60, "")</f>
        <v/>
      </c>
      <c r="Q5818" s="24" t="str" cm="1">
        <f t="array" ref="Q5818">IFERROR(IF($B5818=Q$1, ($A5818+$C5818) - MAX(IF($B$2:$B5817=$B5818, $A$2:$A5817+$C$2:$C5817)), "")*24*60, "")</f>
        <v/>
      </c>
      <c r="R5818" s="24" t="str" cm="1">
        <f t="array" ref="R5818">IFERROR(IF($B5818=R$1, ($A5818+$C5818) - MAX(IF($B$2:$B5817=$B5818, $A$2:$A5817+$C$2:$C5817)), "")*24*60, "")</f>
        <v/>
      </c>
      <c r="S5818" s="24" t="str" cm="1">
        <f t="array" ref="S5818">IFERROR(IF($B5818=S$1, ($A5818+$C5818) - MAX(IF($B$2:$B5817=$B5818, $A$2:$A5817+$C$2:$C5817)), "")*24*60, "")</f>
        <v/>
      </c>
    </row>
    <row r="5819" spans="1:19" x14ac:dyDescent="0.2">
      <c r="A5819" s="12">
        <f t="shared" ref="A5819:C5819" si="1354">A5818</f>
        <v>45985</v>
      </c>
      <c r="B5819" s="5" t="str">
        <f t="shared" si="1354"/>
        <v>Northern Cardinal</v>
      </c>
      <c r="C5819" s="6">
        <f t="shared" si="1354"/>
        <v>0.29166666666666669</v>
      </c>
      <c r="D5819" s="5"/>
      <c r="E5819" s="5"/>
      <c r="F5819" s="5" t="s">
        <v>8</v>
      </c>
      <c r="G5819" s="15" t="s">
        <v>9</v>
      </c>
      <c r="H5819" s="24">
        <f t="shared" si="1322"/>
        <v>0</v>
      </c>
      <c r="I5819" s="24" cm="1">
        <f t="array" ref="I5819">IFERROR(IF($B5819=I$1, ($A5819+$C5819) - MAX(IF($B$2:$B5818=$B5819, $A$2:$A5818+$C$2:$C5818)), "")*24*60, "")</f>
        <v>0</v>
      </c>
      <c r="J5819" s="24" t="str" cm="1">
        <f t="array" ref="J5819">IFERROR(IF($B5819=J$1, ($A5819+$C5819) - MAX(IF($B$2:$B5818=$B5819, $A$2:$A5818+$C$2:$C5818)), "")*24*60, "")</f>
        <v/>
      </c>
      <c r="K5819" s="24" t="str" cm="1">
        <f t="array" ref="K5819">IFERROR(IF($B5819=K$1, ($A5819+$C5819) - MAX(IF($B$2:$B5818=$B5819, $A$2:$A5818+$C$2:$C5818)), "")*24*60, "")</f>
        <v/>
      </c>
      <c r="L5819" s="24" t="str" cm="1">
        <f t="array" ref="L5819">IFERROR(IF($B5819=L$1, ($A5819+$C5819) - MAX(IF($B$2:$B5818=$B5819, $A$2:$A5818+$C$2:$C5818)), "")*24*60, "")</f>
        <v/>
      </c>
      <c r="M5819" s="24" t="str" cm="1">
        <f t="array" ref="M5819">IFERROR(IF($B5819=M$1, ($A5819+$C5819) - MAX(IF($B$2:$B5818=$B5819, $A$2:$A5818+$C$2:$C5818)), "")*24*60, "")</f>
        <v/>
      </c>
      <c r="N5819" s="24" t="str" cm="1">
        <f t="array" ref="N5819">IFERROR(IF($B5819=N$1, ($A5819+$C5819) - MAX(IF($B$2:$B5818=$B5819, $A$2:$A5818+$C$2:$C5818)), "")*24*60, "")</f>
        <v/>
      </c>
      <c r="O5819" s="24" t="str" cm="1">
        <f t="array" ref="O5819">IFERROR(IF($B5819=O$1, ($A5819+$C5819) - MAX(IF($B$2:$B5818=$B5819, $A$2:$A5818+$C$2:$C5818)), "")*24*60, "")</f>
        <v/>
      </c>
      <c r="P5819" s="24" t="str" cm="1">
        <f t="array" ref="P5819">IFERROR(IF($B5819=P$1, ($A5819+$C5819) - MAX(IF($B$2:$B5818=$B5819, $A$2:$A5818+$C$2:$C5818)), "")*24*60, "")</f>
        <v/>
      </c>
      <c r="Q5819" s="24" t="str" cm="1">
        <f t="array" ref="Q5819">IFERROR(IF($B5819=Q$1, ($A5819+$C5819) - MAX(IF($B$2:$B5818=$B5819, $A$2:$A5818+$C$2:$C5818)), "")*24*60, "")</f>
        <v/>
      </c>
      <c r="R5819" s="24" t="str" cm="1">
        <f t="array" ref="R5819">IFERROR(IF($B5819=R$1, ($A5819+$C5819) - MAX(IF($B$2:$B5818=$B5819, $A$2:$A5818+$C$2:$C5818)), "")*24*60, "")</f>
        <v/>
      </c>
      <c r="S5819" s="24" t="str" cm="1">
        <f t="array" ref="S5819">IFERROR(IF($B5819=S$1, ($A5819+$C5819) - MAX(IF($B$2:$B5818=$B5819, $A$2:$A5818+$C$2:$C5818)), "")*24*60, "")</f>
        <v/>
      </c>
    </row>
    <row r="5820" spans="1:19" x14ac:dyDescent="0.2">
      <c r="A5820" s="12">
        <f t="shared" ref="A5820:C5820" si="1355">A5819</f>
        <v>45985</v>
      </c>
      <c r="B5820" s="5" t="str">
        <f t="shared" si="1355"/>
        <v>Northern Cardinal</v>
      </c>
      <c r="C5820" s="6">
        <f t="shared" si="1355"/>
        <v>0.29166666666666669</v>
      </c>
      <c r="D5820" s="5"/>
      <c r="E5820" s="5"/>
      <c r="F5820" s="5" t="s">
        <v>8</v>
      </c>
      <c r="G5820" s="15" t="s">
        <v>9</v>
      </c>
      <c r="H5820" s="24">
        <f t="shared" si="1322"/>
        <v>0</v>
      </c>
      <c r="I5820" s="24" cm="1">
        <f t="array" ref="I5820">IFERROR(IF($B5820=I$1, ($A5820+$C5820) - MAX(IF($B$2:$B5819=$B5820, $A$2:$A5819+$C$2:$C5819)), "")*24*60, "")</f>
        <v>0</v>
      </c>
      <c r="J5820" s="24" t="str" cm="1">
        <f t="array" ref="J5820">IFERROR(IF($B5820=J$1, ($A5820+$C5820) - MAX(IF($B$2:$B5819=$B5820, $A$2:$A5819+$C$2:$C5819)), "")*24*60, "")</f>
        <v/>
      </c>
      <c r="K5820" s="24" t="str" cm="1">
        <f t="array" ref="K5820">IFERROR(IF($B5820=K$1, ($A5820+$C5820) - MAX(IF($B$2:$B5819=$B5820, $A$2:$A5819+$C$2:$C5819)), "")*24*60, "")</f>
        <v/>
      </c>
      <c r="L5820" s="24" t="str" cm="1">
        <f t="array" ref="L5820">IFERROR(IF($B5820=L$1, ($A5820+$C5820) - MAX(IF($B$2:$B5819=$B5820, $A$2:$A5819+$C$2:$C5819)), "")*24*60, "")</f>
        <v/>
      </c>
      <c r="M5820" s="24" t="str" cm="1">
        <f t="array" ref="M5820">IFERROR(IF($B5820=M$1, ($A5820+$C5820) - MAX(IF($B$2:$B5819=$B5820, $A$2:$A5819+$C$2:$C5819)), "")*24*60, "")</f>
        <v/>
      </c>
      <c r="N5820" s="24" t="str" cm="1">
        <f t="array" ref="N5820">IFERROR(IF($B5820=N$1, ($A5820+$C5820) - MAX(IF($B$2:$B5819=$B5820, $A$2:$A5819+$C$2:$C5819)), "")*24*60, "")</f>
        <v/>
      </c>
      <c r="O5820" s="24" t="str" cm="1">
        <f t="array" ref="O5820">IFERROR(IF($B5820=O$1, ($A5820+$C5820) - MAX(IF($B$2:$B5819=$B5820, $A$2:$A5819+$C$2:$C5819)), "")*24*60, "")</f>
        <v/>
      </c>
      <c r="P5820" s="24" t="str" cm="1">
        <f t="array" ref="P5820">IFERROR(IF($B5820=P$1, ($A5820+$C5820) - MAX(IF($B$2:$B5819=$B5820, $A$2:$A5819+$C$2:$C5819)), "")*24*60, "")</f>
        <v/>
      </c>
      <c r="Q5820" s="24" t="str" cm="1">
        <f t="array" ref="Q5820">IFERROR(IF($B5820=Q$1, ($A5820+$C5820) - MAX(IF($B$2:$B5819=$B5820, $A$2:$A5819+$C$2:$C5819)), "")*24*60, "")</f>
        <v/>
      </c>
      <c r="R5820" s="24" t="str" cm="1">
        <f t="array" ref="R5820">IFERROR(IF($B5820=R$1, ($A5820+$C5820) - MAX(IF($B$2:$B5819=$B5820, $A$2:$A5819+$C$2:$C5819)), "")*24*60, "")</f>
        <v/>
      </c>
      <c r="S5820" s="24" t="str" cm="1">
        <f t="array" ref="S5820">IFERROR(IF($B5820=S$1, ($A5820+$C5820) - MAX(IF($B$2:$B5819=$B5820, $A$2:$A5819+$C$2:$C5819)), "")*24*60, "")</f>
        <v/>
      </c>
    </row>
    <row r="5821" spans="1:19" x14ac:dyDescent="0.2">
      <c r="A5821" s="12">
        <f t="shared" ref="A5821:C5821" si="1356">A5820</f>
        <v>45985</v>
      </c>
      <c r="B5821" s="5" t="str">
        <f t="shared" si="1356"/>
        <v>Northern Cardinal</v>
      </c>
      <c r="C5821" s="6">
        <f t="shared" si="1356"/>
        <v>0.29166666666666669</v>
      </c>
      <c r="D5821" s="5"/>
      <c r="E5821" s="5"/>
      <c r="F5821" s="5" t="s">
        <v>8</v>
      </c>
      <c r="G5821" s="15" t="s">
        <v>9</v>
      </c>
      <c r="H5821" s="24">
        <f t="shared" si="1322"/>
        <v>0</v>
      </c>
      <c r="I5821" s="24" cm="1">
        <f t="array" ref="I5821">IFERROR(IF($B5821=I$1, ($A5821+$C5821) - MAX(IF($B$2:$B5820=$B5821, $A$2:$A5820+$C$2:$C5820)), "")*24*60, "")</f>
        <v>0</v>
      </c>
      <c r="J5821" s="24" t="str" cm="1">
        <f t="array" ref="J5821">IFERROR(IF($B5821=J$1, ($A5821+$C5821) - MAX(IF($B$2:$B5820=$B5821, $A$2:$A5820+$C$2:$C5820)), "")*24*60, "")</f>
        <v/>
      </c>
      <c r="K5821" s="24" t="str" cm="1">
        <f t="array" ref="K5821">IFERROR(IF($B5821=K$1, ($A5821+$C5821) - MAX(IF($B$2:$B5820=$B5821, $A$2:$A5820+$C$2:$C5820)), "")*24*60, "")</f>
        <v/>
      </c>
      <c r="L5821" s="24" t="str" cm="1">
        <f t="array" ref="L5821">IFERROR(IF($B5821=L$1, ($A5821+$C5821) - MAX(IF($B$2:$B5820=$B5821, $A$2:$A5820+$C$2:$C5820)), "")*24*60, "")</f>
        <v/>
      </c>
      <c r="M5821" s="24" t="str" cm="1">
        <f t="array" ref="M5821">IFERROR(IF($B5821=M$1, ($A5821+$C5821) - MAX(IF($B$2:$B5820=$B5821, $A$2:$A5820+$C$2:$C5820)), "")*24*60, "")</f>
        <v/>
      </c>
      <c r="N5821" s="24" t="str" cm="1">
        <f t="array" ref="N5821">IFERROR(IF($B5821=N$1, ($A5821+$C5821) - MAX(IF($B$2:$B5820=$B5821, $A$2:$A5820+$C$2:$C5820)), "")*24*60, "")</f>
        <v/>
      </c>
      <c r="O5821" s="24" t="str" cm="1">
        <f t="array" ref="O5821">IFERROR(IF($B5821=O$1, ($A5821+$C5821) - MAX(IF($B$2:$B5820=$B5821, $A$2:$A5820+$C$2:$C5820)), "")*24*60, "")</f>
        <v/>
      </c>
      <c r="P5821" s="24" t="str" cm="1">
        <f t="array" ref="P5821">IFERROR(IF($B5821=P$1, ($A5821+$C5821) - MAX(IF($B$2:$B5820=$B5821, $A$2:$A5820+$C$2:$C5820)), "")*24*60, "")</f>
        <v/>
      </c>
      <c r="Q5821" s="24" t="str" cm="1">
        <f t="array" ref="Q5821">IFERROR(IF($B5821=Q$1, ($A5821+$C5821) - MAX(IF($B$2:$B5820=$B5821, $A$2:$A5820+$C$2:$C5820)), "")*24*60, "")</f>
        <v/>
      </c>
      <c r="R5821" s="24" t="str" cm="1">
        <f t="array" ref="R5821">IFERROR(IF($B5821=R$1, ($A5821+$C5821) - MAX(IF($B$2:$B5820=$B5821, $A$2:$A5820+$C$2:$C5820)), "")*24*60, "")</f>
        <v/>
      </c>
      <c r="S5821" s="24" t="str" cm="1">
        <f t="array" ref="S5821">IFERROR(IF($B5821=S$1, ($A5821+$C5821) - MAX(IF($B$2:$B5820=$B5821, $A$2:$A5820+$C$2:$C5820)), "")*24*60, "")</f>
        <v/>
      </c>
    </row>
    <row r="5822" spans="1:19" x14ac:dyDescent="0.2">
      <c r="A5822" s="12">
        <f t="shared" ref="A5822:C5822" si="1357">A5821</f>
        <v>45985</v>
      </c>
      <c r="B5822" s="5" t="str">
        <f t="shared" si="1357"/>
        <v>Northern Cardinal</v>
      </c>
      <c r="C5822" s="6">
        <f t="shared" si="1357"/>
        <v>0.29166666666666669</v>
      </c>
      <c r="D5822" s="5"/>
      <c r="E5822" s="5"/>
      <c r="F5822" s="5" t="s">
        <v>8</v>
      </c>
      <c r="G5822" s="15" t="s">
        <v>9</v>
      </c>
      <c r="H5822" s="24">
        <f t="shared" si="1322"/>
        <v>0</v>
      </c>
      <c r="I5822" s="24" cm="1">
        <f t="array" ref="I5822">IFERROR(IF($B5822=I$1, ($A5822+$C5822) - MAX(IF($B$2:$B5821=$B5822, $A$2:$A5821+$C$2:$C5821)), "")*24*60, "")</f>
        <v>0</v>
      </c>
      <c r="J5822" s="24" t="str" cm="1">
        <f t="array" ref="J5822">IFERROR(IF($B5822=J$1, ($A5822+$C5822) - MAX(IF($B$2:$B5821=$B5822, $A$2:$A5821+$C$2:$C5821)), "")*24*60, "")</f>
        <v/>
      </c>
      <c r="K5822" s="24" t="str" cm="1">
        <f t="array" ref="K5822">IFERROR(IF($B5822=K$1, ($A5822+$C5822) - MAX(IF($B$2:$B5821=$B5822, $A$2:$A5821+$C$2:$C5821)), "")*24*60, "")</f>
        <v/>
      </c>
      <c r="L5822" s="24" t="str" cm="1">
        <f t="array" ref="L5822">IFERROR(IF($B5822=L$1, ($A5822+$C5822) - MAX(IF($B$2:$B5821=$B5822, $A$2:$A5821+$C$2:$C5821)), "")*24*60, "")</f>
        <v/>
      </c>
      <c r="M5822" s="24" t="str" cm="1">
        <f t="array" ref="M5822">IFERROR(IF($B5822=M$1, ($A5822+$C5822) - MAX(IF($B$2:$B5821=$B5822, $A$2:$A5821+$C$2:$C5821)), "")*24*60, "")</f>
        <v/>
      </c>
      <c r="N5822" s="24" t="str" cm="1">
        <f t="array" ref="N5822">IFERROR(IF($B5822=N$1, ($A5822+$C5822) - MAX(IF($B$2:$B5821=$B5822, $A$2:$A5821+$C$2:$C5821)), "")*24*60, "")</f>
        <v/>
      </c>
      <c r="O5822" s="24" t="str" cm="1">
        <f t="array" ref="O5822">IFERROR(IF($B5822=O$1, ($A5822+$C5822) - MAX(IF($B$2:$B5821=$B5822, $A$2:$A5821+$C$2:$C5821)), "")*24*60, "")</f>
        <v/>
      </c>
      <c r="P5822" s="24" t="str" cm="1">
        <f t="array" ref="P5822">IFERROR(IF($B5822=P$1, ($A5822+$C5822) - MAX(IF($B$2:$B5821=$B5822, $A$2:$A5821+$C$2:$C5821)), "")*24*60, "")</f>
        <v/>
      </c>
      <c r="Q5822" s="24" t="str" cm="1">
        <f t="array" ref="Q5822">IFERROR(IF($B5822=Q$1, ($A5822+$C5822) - MAX(IF($B$2:$B5821=$B5822, $A$2:$A5821+$C$2:$C5821)), "")*24*60, "")</f>
        <v/>
      </c>
      <c r="R5822" s="24" t="str" cm="1">
        <f t="array" ref="R5822">IFERROR(IF($B5822=R$1, ($A5822+$C5822) - MAX(IF($B$2:$B5821=$B5822, $A$2:$A5821+$C$2:$C5821)), "")*24*60, "")</f>
        <v/>
      </c>
      <c r="S5822" s="24" t="str" cm="1">
        <f t="array" ref="S5822">IFERROR(IF($B5822=S$1, ($A5822+$C5822) - MAX(IF($B$2:$B5821=$B5822, $A$2:$A5821+$C$2:$C5821)), "")*24*60, "")</f>
        <v/>
      </c>
    </row>
    <row r="5823" spans="1:19" x14ac:dyDescent="0.2">
      <c r="A5823" s="12">
        <f t="shared" ref="A5823:C5823" si="1358">A5822</f>
        <v>45985</v>
      </c>
      <c r="B5823" s="5" t="str">
        <f t="shared" si="1358"/>
        <v>Northern Cardinal</v>
      </c>
      <c r="C5823" s="6">
        <f t="shared" si="1358"/>
        <v>0.29166666666666669</v>
      </c>
      <c r="D5823" s="5"/>
      <c r="E5823" s="5"/>
      <c r="F5823" s="5" t="s">
        <v>8</v>
      </c>
      <c r="G5823" s="15" t="s">
        <v>9</v>
      </c>
      <c r="H5823" s="24">
        <f t="shared" si="1322"/>
        <v>0</v>
      </c>
      <c r="I5823" s="24" cm="1">
        <f t="array" ref="I5823">IFERROR(IF($B5823=I$1, ($A5823+$C5823) - MAX(IF($B$2:$B5822=$B5823, $A$2:$A5822+$C$2:$C5822)), "")*24*60, "")</f>
        <v>0</v>
      </c>
      <c r="J5823" s="24" t="str" cm="1">
        <f t="array" ref="J5823">IFERROR(IF($B5823=J$1, ($A5823+$C5823) - MAX(IF($B$2:$B5822=$B5823, $A$2:$A5822+$C$2:$C5822)), "")*24*60, "")</f>
        <v/>
      </c>
      <c r="K5823" s="24" t="str" cm="1">
        <f t="array" ref="K5823">IFERROR(IF($B5823=K$1, ($A5823+$C5823) - MAX(IF($B$2:$B5822=$B5823, $A$2:$A5822+$C$2:$C5822)), "")*24*60, "")</f>
        <v/>
      </c>
      <c r="L5823" s="24" t="str" cm="1">
        <f t="array" ref="L5823">IFERROR(IF($B5823=L$1, ($A5823+$C5823) - MAX(IF($B$2:$B5822=$B5823, $A$2:$A5822+$C$2:$C5822)), "")*24*60, "")</f>
        <v/>
      </c>
      <c r="M5823" s="24" t="str" cm="1">
        <f t="array" ref="M5823">IFERROR(IF($B5823=M$1, ($A5823+$C5823) - MAX(IF($B$2:$B5822=$B5823, $A$2:$A5822+$C$2:$C5822)), "")*24*60, "")</f>
        <v/>
      </c>
      <c r="N5823" s="24" t="str" cm="1">
        <f t="array" ref="N5823">IFERROR(IF($B5823=N$1, ($A5823+$C5823) - MAX(IF($B$2:$B5822=$B5823, $A$2:$A5822+$C$2:$C5822)), "")*24*60, "")</f>
        <v/>
      </c>
      <c r="O5823" s="24" t="str" cm="1">
        <f t="array" ref="O5823">IFERROR(IF($B5823=O$1, ($A5823+$C5823) - MAX(IF($B$2:$B5822=$B5823, $A$2:$A5822+$C$2:$C5822)), "")*24*60, "")</f>
        <v/>
      </c>
      <c r="P5823" s="24" t="str" cm="1">
        <f t="array" ref="P5823">IFERROR(IF($B5823=P$1, ($A5823+$C5823) - MAX(IF($B$2:$B5822=$B5823, $A$2:$A5822+$C$2:$C5822)), "")*24*60, "")</f>
        <v/>
      </c>
      <c r="Q5823" s="24" t="str" cm="1">
        <f t="array" ref="Q5823">IFERROR(IF($B5823=Q$1, ($A5823+$C5823) - MAX(IF($B$2:$B5822=$B5823, $A$2:$A5822+$C$2:$C5822)), "")*24*60, "")</f>
        <v/>
      </c>
      <c r="R5823" s="24" t="str" cm="1">
        <f t="array" ref="R5823">IFERROR(IF($B5823=R$1, ($A5823+$C5823) - MAX(IF($B$2:$B5822=$B5823, $A$2:$A5822+$C$2:$C5822)), "")*24*60, "")</f>
        <v/>
      </c>
      <c r="S5823" s="24" t="str" cm="1">
        <f t="array" ref="S5823">IFERROR(IF($B5823=S$1, ($A5823+$C5823) - MAX(IF($B$2:$B5822=$B5823, $A$2:$A5822+$C$2:$C5822)), "")*24*60, "")</f>
        <v/>
      </c>
    </row>
    <row r="5824" spans="1:19" x14ac:dyDescent="0.2">
      <c r="A5824" s="12">
        <f t="shared" ref="A5824:C5824" si="1359">A5823</f>
        <v>45985</v>
      </c>
      <c r="B5824" s="5" t="str">
        <f t="shared" si="1359"/>
        <v>Northern Cardinal</v>
      </c>
      <c r="C5824" s="6">
        <f t="shared" si="1359"/>
        <v>0.29166666666666669</v>
      </c>
      <c r="D5824" s="5"/>
      <c r="E5824" s="5"/>
      <c r="F5824" s="5" t="s">
        <v>8</v>
      </c>
      <c r="G5824" s="15" t="s">
        <v>9</v>
      </c>
      <c r="H5824" s="24">
        <f t="shared" si="1322"/>
        <v>0</v>
      </c>
      <c r="I5824" s="24" cm="1">
        <f t="array" ref="I5824">IFERROR(IF($B5824=I$1, ($A5824+$C5824) - MAX(IF($B$2:$B5823=$B5824, $A$2:$A5823+$C$2:$C5823)), "")*24*60, "")</f>
        <v>0</v>
      </c>
      <c r="J5824" s="24" t="str" cm="1">
        <f t="array" ref="J5824">IFERROR(IF($B5824=J$1, ($A5824+$C5824) - MAX(IF($B$2:$B5823=$B5824, $A$2:$A5823+$C$2:$C5823)), "")*24*60, "")</f>
        <v/>
      </c>
      <c r="K5824" s="24" t="str" cm="1">
        <f t="array" ref="K5824">IFERROR(IF($B5824=K$1, ($A5824+$C5824) - MAX(IF($B$2:$B5823=$B5824, $A$2:$A5823+$C$2:$C5823)), "")*24*60, "")</f>
        <v/>
      </c>
      <c r="L5824" s="24" t="str" cm="1">
        <f t="array" ref="L5824">IFERROR(IF($B5824=L$1, ($A5824+$C5824) - MAX(IF($B$2:$B5823=$B5824, $A$2:$A5823+$C$2:$C5823)), "")*24*60, "")</f>
        <v/>
      </c>
      <c r="M5824" s="24" t="str" cm="1">
        <f t="array" ref="M5824">IFERROR(IF($B5824=M$1, ($A5824+$C5824) - MAX(IF($B$2:$B5823=$B5824, $A$2:$A5823+$C$2:$C5823)), "")*24*60, "")</f>
        <v/>
      </c>
      <c r="N5824" s="24" t="str" cm="1">
        <f t="array" ref="N5824">IFERROR(IF($B5824=N$1, ($A5824+$C5824) - MAX(IF($B$2:$B5823=$B5824, $A$2:$A5823+$C$2:$C5823)), "")*24*60, "")</f>
        <v/>
      </c>
      <c r="O5824" s="24" t="str" cm="1">
        <f t="array" ref="O5824">IFERROR(IF($B5824=O$1, ($A5824+$C5824) - MAX(IF($B$2:$B5823=$B5824, $A$2:$A5823+$C$2:$C5823)), "")*24*60, "")</f>
        <v/>
      </c>
      <c r="P5824" s="24" t="str" cm="1">
        <f t="array" ref="P5824">IFERROR(IF($B5824=P$1, ($A5824+$C5824) - MAX(IF($B$2:$B5823=$B5824, $A$2:$A5823+$C$2:$C5823)), "")*24*60, "")</f>
        <v/>
      </c>
      <c r="Q5824" s="24" t="str" cm="1">
        <f t="array" ref="Q5824">IFERROR(IF($B5824=Q$1, ($A5824+$C5824) - MAX(IF($B$2:$B5823=$B5824, $A$2:$A5823+$C$2:$C5823)), "")*24*60, "")</f>
        <v/>
      </c>
      <c r="R5824" s="24" t="str" cm="1">
        <f t="array" ref="R5824">IFERROR(IF($B5824=R$1, ($A5824+$C5824) - MAX(IF($B$2:$B5823=$B5824, $A$2:$A5823+$C$2:$C5823)), "")*24*60, "")</f>
        <v/>
      </c>
      <c r="S5824" s="24" t="str" cm="1">
        <f t="array" ref="S5824">IFERROR(IF($B5824=S$1, ($A5824+$C5824) - MAX(IF($B$2:$B5823=$B5824, $A$2:$A5823+$C$2:$C5823)), "")*24*60, "")</f>
        <v/>
      </c>
    </row>
    <row r="5825" spans="1:19" x14ac:dyDescent="0.2">
      <c r="A5825" s="12">
        <f t="shared" ref="A5825:C5825" si="1360">A5824</f>
        <v>45985</v>
      </c>
      <c r="B5825" s="5" t="str">
        <f t="shared" si="1360"/>
        <v>Northern Cardinal</v>
      </c>
      <c r="C5825" s="6">
        <f t="shared" si="1360"/>
        <v>0.29166666666666669</v>
      </c>
      <c r="D5825" s="5"/>
      <c r="E5825" s="5"/>
      <c r="F5825" s="5" t="s">
        <v>8</v>
      </c>
      <c r="G5825" s="15" t="s">
        <v>9</v>
      </c>
      <c r="H5825" s="24">
        <f t="shared" si="1322"/>
        <v>0</v>
      </c>
      <c r="I5825" s="24" cm="1">
        <f t="array" ref="I5825">IFERROR(IF($B5825=I$1, ($A5825+$C5825) - MAX(IF($B$2:$B5824=$B5825, $A$2:$A5824+$C$2:$C5824)), "")*24*60, "")</f>
        <v>0</v>
      </c>
      <c r="J5825" s="24" t="str" cm="1">
        <f t="array" ref="J5825">IFERROR(IF($B5825=J$1, ($A5825+$C5825) - MAX(IF($B$2:$B5824=$B5825, $A$2:$A5824+$C$2:$C5824)), "")*24*60, "")</f>
        <v/>
      </c>
      <c r="K5825" s="24" t="str" cm="1">
        <f t="array" ref="K5825">IFERROR(IF($B5825=K$1, ($A5825+$C5825) - MAX(IF($B$2:$B5824=$B5825, $A$2:$A5824+$C$2:$C5824)), "")*24*60, "")</f>
        <v/>
      </c>
      <c r="L5825" s="24" t="str" cm="1">
        <f t="array" ref="L5825">IFERROR(IF($B5825=L$1, ($A5825+$C5825) - MAX(IF($B$2:$B5824=$B5825, $A$2:$A5824+$C$2:$C5824)), "")*24*60, "")</f>
        <v/>
      </c>
      <c r="M5825" s="24" t="str" cm="1">
        <f t="array" ref="M5825">IFERROR(IF($B5825=M$1, ($A5825+$C5825) - MAX(IF($B$2:$B5824=$B5825, $A$2:$A5824+$C$2:$C5824)), "")*24*60, "")</f>
        <v/>
      </c>
      <c r="N5825" s="24" t="str" cm="1">
        <f t="array" ref="N5825">IFERROR(IF($B5825=N$1, ($A5825+$C5825) - MAX(IF($B$2:$B5824=$B5825, $A$2:$A5824+$C$2:$C5824)), "")*24*60, "")</f>
        <v/>
      </c>
      <c r="O5825" s="24" t="str" cm="1">
        <f t="array" ref="O5825">IFERROR(IF($B5825=O$1, ($A5825+$C5825) - MAX(IF($B$2:$B5824=$B5825, $A$2:$A5824+$C$2:$C5824)), "")*24*60, "")</f>
        <v/>
      </c>
      <c r="P5825" s="24" t="str" cm="1">
        <f t="array" ref="P5825">IFERROR(IF($B5825=P$1, ($A5825+$C5825) - MAX(IF($B$2:$B5824=$B5825, $A$2:$A5824+$C$2:$C5824)), "")*24*60, "")</f>
        <v/>
      </c>
      <c r="Q5825" s="24" t="str" cm="1">
        <f t="array" ref="Q5825">IFERROR(IF($B5825=Q$1, ($A5825+$C5825) - MAX(IF($B$2:$B5824=$B5825, $A$2:$A5824+$C$2:$C5824)), "")*24*60, "")</f>
        <v/>
      </c>
      <c r="R5825" s="24" t="str" cm="1">
        <f t="array" ref="R5825">IFERROR(IF($B5825=R$1, ($A5825+$C5825) - MAX(IF($B$2:$B5824=$B5825, $A$2:$A5824+$C$2:$C5824)), "")*24*60, "")</f>
        <v/>
      </c>
      <c r="S5825" s="24" t="str" cm="1">
        <f t="array" ref="S5825">IFERROR(IF($B5825=S$1, ($A5825+$C5825) - MAX(IF($B$2:$B5824=$B5825, $A$2:$A5824+$C$2:$C5824)), "")*24*60, "")</f>
        <v/>
      </c>
    </row>
    <row r="5826" spans="1:19" x14ac:dyDescent="0.2">
      <c r="A5826" s="12">
        <f t="shared" ref="A5826:C5826" si="1361">A5825</f>
        <v>45985</v>
      </c>
      <c r="B5826" s="5" t="str">
        <f t="shared" si="1361"/>
        <v>Northern Cardinal</v>
      </c>
      <c r="C5826" s="6">
        <f t="shared" si="1361"/>
        <v>0.29166666666666669</v>
      </c>
      <c r="D5826" s="5"/>
      <c r="E5826" s="5"/>
      <c r="F5826" s="5" t="s">
        <v>8</v>
      </c>
      <c r="G5826" s="15" t="s">
        <v>9</v>
      </c>
      <c r="H5826" s="24">
        <f t="shared" si="1322"/>
        <v>0</v>
      </c>
      <c r="I5826" s="24" cm="1">
        <f t="array" ref="I5826">IFERROR(IF($B5826=I$1, ($A5826+$C5826) - MAX(IF($B$2:$B5825=$B5826, $A$2:$A5825+$C$2:$C5825)), "")*24*60, "")</f>
        <v>0</v>
      </c>
      <c r="J5826" s="24" t="str" cm="1">
        <f t="array" ref="J5826">IFERROR(IF($B5826=J$1, ($A5826+$C5826) - MAX(IF($B$2:$B5825=$B5826, $A$2:$A5825+$C$2:$C5825)), "")*24*60, "")</f>
        <v/>
      </c>
      <c r="K5826" s="24" t="str" cm="1">
        <f t="array" ref="K5826">IFERROR(IF($B5826=K$1, ($A5826+$C5826) - MAX(IF($B$2:$B5825=$B5826, $A$2:$A5825+$C$2:$C5825)), "")*24*60, "")</f>
        <v/>
      </c>
      <c r="L5826" s="24" t="str" cm="1">
        <f t="array" ref="L5826">IFERROR(IF($B5826=L$1, ($A5826+$C5826) - MAX(IF($B$2:$B5825=$B5826, $A$2:$A5825+$C$2:$C5825)), "")*24*60, "")</f>
        <v/>
      </c>
      <c r="M5826" s="24" t="str" cm="1">
        <f t="array" ref="M5826">IFERROR(IF($B5826=M$1, ($A5826+$C5826) - MAX(IF($B$2:$B5825=$B5826, $A$2:$A5825+$C$2:$C5825)), "")*24*60, "")</f>
        <v/>
      </c>
      <c r="N5826" s="24" t="str" cm="1">
        <f t="array" ref="N5826">IFERROR(IF($B5826=N$1, ($A5826+$C5826) - MAX(IF($B$2:$B5825=$B5826, $A$2:$A5825+$C$2:$C5825)), "")*24*60, "")</f>
        <v/>
      </c>
      <c r="O5826" s="24" t="str" cm="1">
        <f t="array" ref="O5826">IFERROR(IF($B5826=O$1, ($A5826+$C5826) - MAX(IF($B$2:$B5825=$B5826, $A$2:$A5825+$C$2:$C5825)), "")*24*60, "")</f>
        <v/>
      </c>
      <c r="P5826" s="24" t="str" cm="1">
        <f t="array" ref="P5826">IFERROR(IF($B5826=P$1, ($A5826+$C5826) - MAX(IF($B$2:$B5825=$B5826, $A$2:$A5825+$C$2:$C5825)), "")*24*60, "")</f>
        <v/>
      </c>
      <c r="Q5826" s="24" t="str" cm="1">
        <f t="array" ref="Q5826">IFERROR(IF($B5826=Q$1, ($A5826+$C5826) - MAX(IF($B$2:$B5825=$B5826, $A$2:$A5825+$C$2:$C5825)), "")*24*60, "")</f>
        <v/>
      </c>
      <c r="R5826" s="24" t="str" cm="1">
        <f t="array" ref="R5826">IFERROR(IF($B5826=R$1, ($A5826+$C5826) - MAX(IF($B$2:$B5825=$B5826, $A$2:$A5825+$C$2:$C5825)), "")*24*60, "")</f>
        <v/>
      </c>
      <c r="S5826" s="24" t="str" cm="1">
        <f t="array" ref="S5826">IFERROR(IF($B5826=S$1, ($A5826+$C5826) - MAX(IF($B$2:$B5825=$B5826, $A$2:$A5825+$C$2:$C5825)), "")*24*60, "")</f>
        <v/>
      </c>
    </row>
    <row r="5827" spans="1:19" x14ac:dyDescent="0.2">
      <c r="A5827" s="12">
        <f t="shared" ref="A5827:C5827" si="1362">A5826</f>
        <v>45985</v>
      </c>
      <c r="B5827" s="5" t="str">
        <f t="shared" si="1362"/>
        <v>Northern Cardinal</v>
      </c>
      <c r="C5827" s="6">
        <f t="shared" si="1362"/>
        <v>0.29166666666666669</v>
      </c>
      <c r="D5827" s="5"/>
      <c r="E5827" s="5"/>
      <c r="F5827" s="5" t="s">
        <v>8</v>
      </c>
      <c r="G5827" s="15" t="s">
        <v>9</v>
      </c>
      <c r="H5827" s="24">
        <f t="shared" si="1322"/>
        <v>0</v>
      </c>
      <c r="I5827" s="24" cm="1">
        <f t="array" ref="I5827">IFERROR(IF($B5827=I$1, ($A5827+$C5827) - MAX(IF($B$2:$B5826=$B5827, $A$2:$A5826+$C$2:$C5826)), "")*24*60, "")</f>
        <v>0</v>
      </c>
      <c r="J5827" s="24" t="str" cm="1">
        <f t="array" ref="J5827">IFERROR(IF($B5827=J$1, ($A5827+$C5827) - MAX(IF($B$2:$B5826=$B5827, $A$2:$A5826+$C$2:$C5826)), "")*24*60, "")</f>
        <v/>
      </c>
      <c r="K5827" s="24" t="str" cm="1">
        <f t="array" ref="K5827">IFERROR(IF($B5827=K$1, ($A5827+$C5827) - MAX(IF($B$2:$B5826=$B5827, $A$2:$A5826+$C$2:$C5826)), "")*24*60, "")</f>
        <v/>
      </c>
      <c r="L5827" s="24" t="str" cm="1">
        <f t="array" ref="L5827">IFERROR(IF($B5827=L$1, ($A5827+$C5827) - MAX(IF($B$2:$B5826=$B5827, $A$2:$A5826+$C$2:$C5826)), "")*24*60, "")</f>
        <v/>
      </c>
      <c r="M5827" s="24" t="str" cm="1">
        <f t="array" ref="M5827">IFERROR(IF($B5827=M$1, ($A5827+$C5827) - MAX(IF($B$2:$B5826=$B5827, $A$2:$A5826+$C$2:$C5826)), "")*24*60, "")</f>
        <v/>
      </c>
      <c r="N5827" s="24" t="str" cm="1">
        <f t="array" ref="N5827">IFERROR(IF($B5827=N$1, ($A5827+$C5827) - MAX(IF($B$2:$B5826=$B5827, $A$2:$A5826+$C$2:$C5826)), "")*24*60, "")</f>
        <v/>
      </c>
      <c r="O5827" s="24" t="str" cm="1">
        <f t="array" ref="O5827">IFERROR(IF($B5827=O$1, ($A5827+$C5827) - MAX(IF($B$2:$B5826=$B5827, $A$2:$A5826+$C$2:$C5826)), "")*24*60, "")</f>
        <v/>
      </c>
      <c r="P5827" s="24" t="str" cm="1">
        <f t="array" ref="P5827">IFERROR(IF($B5827=P$1, ($A5827+$C5827) - MAX(IF($B$2:$B5826=$B5827, $A$2:$A5826+$C$2:$C5826)), "")*24*60, "")</f>
        <v/>
      </c>
      <c r="Q5827" s="24" t="str" cm="1">
        <f t="array" ref="Q5827">IFERROR(IF($B5827=Q$1, ($A5827+$C5827) - MAX(IF($B$2:$B5826=$B5827, $A$2:$A5826+$C$2:$C5826)), "")*24*60, "")</f>
        <v/>
      </c>
      <c r="R5827" s="24" t="str" cm="1">
        <f t="array" ref="R5827">IFERROR(IF($B5827=R$1, ($A5827+$C5827) - MAX(IF($B$2:$B5826=$B5827, $A$2:$A5826+$C$2:$C5826)), "")*24*60, "")</f>
        <v/>
      </c>
      <c r="S5827" s="24" t="str" cm="1">
        <f t="array" ref="S5827">IFERROR(IF($B5827=S$1, ($A5827+$C5827) - MAX(IF($B$2:$B5826=$B5827, $A$2:$A5826+$C$2:$C5826)), "")*24*60, "")</f>
        <v/>
      </c>
    </row>
    <row r="5828" spans="1:19" x14ac:dyDescent="0.2">
      <c r="A5828" s="12">
        <f t="shared" ref="A5828:C5828" si="1363">A5827</f>
        <v>45985</v>
      </c>
      <c r="B5828" s="5" t="str">
        <f t="shared" si="1363"/>
        <v>Northern Cardinal</v>
      </c>
      <c r="C5828" s="6">
        <f t="shared" si="1363"/>
        <v>0.29166666666666669</v>
      </c>
      <c r="D5828" s="5"/>
      <c r="E5828" s="5"/>
      <c r="F5828" s="5" t="s">
        <v>8</v>
      </c>
      <c r="G5828" s="15" t="s">
        <v>9</v>
      </c>
      <c r="H5828" s="24">
        <f t="shared" si="1322"/>
        <v>0</v>
      </c>
      <c r="I5828" s="24" cm="1">
        <f t="array" ref="I5828">IFERROR(IF($B5828=I$1, ($A5828+$C5828) - MAX(IF($B$2:$B5827=$B5828, $A$2:$A5827+$C$2:$C5827)), "")*24*60, "")</f>
        <v>0</v>
      </c>
      <c r="J5828" s="24" t="str" cm="1">
        <f t="array" ref="J5828">IFERROR(IF($B5828=J$1, ($A5828+$C5828) - MAX(IF($B$2:$B5827=$B5828, $A$2:$A5827+$C$2:$C5827)), "")*24*60, "")</f>
        <v/>
      </c>
      <c r="K5828" s="24" t="str" cm="1">
        <f t="array" ref="K5828">IFERROR(IF($B5828=K$1, ($A5828+$C5828) - MAX(IF($B$2:$B5827=$B5828, $A$2:$A5827+$C$2:$C5827)), "")*24*60, "")</f>
        <v/>
      </c>
      <c r="L5828" s="24" t="str" cm="1">
        <f t="array" ref="L5828">IFERROR(IF($B5828=L$1, ($A5828+$C5828) - MAX(IF($B$2:$B5827=$B5828, $A$2:$A5827+$C$2:$C5827)), "")*24*60, "")</f>
        <v/>
      </c>
      <c r="M5828" s="24" t="str" cm="1">
        <f t="array" ref="M5828">IFERROR(IF($B5828=M$1, ($A5828+$C5828) - MAX(IF($B$2:$B5827=$B5828, $A$2:$A5827+$C$2:$C5827)), "")*24*60, "")</f>
        <v/>
      </c>
      <c r="N5828" s="24" t="str" cm="1">
        <f t="array" ref="N5828">IFERROR(IF($B5828=N$1, ($A5828+$C5828) - MAX(IF($B$2:$B5827=$B5828, $A$2:$A5827+$C$2:$C5827)), "")*24*60, "")</f>
        <v/>
      </c>
      <c r="O5828" s="24" t="str" cm="1">
        <f t="array" ref="O5828">IFERROR(IF($B5828=O$1, ($A5828+$C5828) - MAX(IF($B$2:$B5827=$B5828, $A$2:$A5827+$C$2:$C5827)), "")*24*60, "")</f>
        <v/>
      </c>
      <c r="P5828" s="24" t="str" cm="1">
        <f t="array" ref="P5828">IFERROR(IF($B5828=P$1, ($A5828+$C5828) - MAX(IF($B$2:$B5827=$B5828, $A$2:$A5827+$C$2:$C5827)), "")*24*60, "")</f>
        <v/>
      </c>
      <c r="Q5828" s="24" t="str" cm="1">
        <f t="array" ref="Q5828">IFERROR(IF($B5828=Q$1, ($A5828+$C5828) - MAX(IF($B$2:$B5827=$B5828, $A$2:$A5827+$C$2:$C5827)), "")*24*60, "")</f>
        <v/>
      </c>
      <c r="R5828" s="24" t="str" cm="1">
        <f t="array" ref="R5828">IFERROR(IF($B5828=R$1, ($A5828+$C5828) - MAX(IF($B$2:$B5827=$B5828, $A$2:$A5827+$C$2:$C5827)), "")*24*60, "")</f>
        <v/>
      </c>
      <c r="S5828" s="24" t="str" cm="1">
        <f t="array" ref="S5828">IFERROR(IF($B5828=S$1, ($A5828+$C5828) - MAX(IF($B$2:$B5827=$B5828, $A$2:$A5827+$C$2:$C5827)), "")*24*60, "")</f>
        <v/>
      </c>
    </row>
    <row r="5829" spans="1:19" x14ac:dyDescent="0.2">
      <c r="A5829" s="12">
        <f t="shared" ref="A5829:C5829" si="1364">A5828</f>
        <v>45985</v>
      </c>
      <c r="B5829" s="5" t="str">
        <f t="shared" si="1364"/>
        <v>Northern Cardinal</v>
      </c>
      <c r="C5829" s="6">
        <f t="shared" si="1364"/>
        <v>0.29166666666666669</v>
      </c>
      <c r="D5829" s="5"/>
      <c r="E5829" s="5"/>
      <c r="F5829" s="5" t="s">
        <v>8</v>
      </c>
      <c r="G5829" s="15" t="s">
        <v>9</v>
      </c>
      <c r="H5829" s="24">
        <f t="shared" si="1322"/>
        <v>0</v>
      </c>
      <c r="I5829" s="24" cm="1">
        <f t="array" ref="I5829">IFERROR(IF($B5829=I$1, ($A5829+$C5829) - MAX(IF($B$2:$B5828=$B5829, $A$2:$A5828+$C$2:$C5828)), "")*24*60, "")</f>
        <v>0</v>
      </c>
      <c r="J5829" s="24" t="str" cm="1">
        <f t="array" ref="J5829">IFERROR(IF($B5829=J$1, ($A5829+$C5829) - MAX(IF($B$2:$B5828=$B5829, $A$2:$A5828+$C$2:$C5828)), "")*24*60, "")</f>
        <v/>
      </c>
      <c r="K5829" s="24" t="str" cm="1">
        <f t="array" ref="K5829">IFERROR(IF($B5829=K$1, ($A5829+$C5829) - MAX(IF($B$2:$B5828=$B5829, $A$2:$A5828+$C$2:$C5828)), "")*24*60, "")</f>
        <v/>
      </c>
      <c r="L5829" s="24" t="str" cm="1">
        <f t="array" ref="L5829">IFERROR(IF($B5829=L$1, ($A5829+$C5829) - MAX(IF($B$2:$B5828=$B5829, $A$2:$A5828+$C$2:$C5828)), "")*24*60, "")</f>
        <v/>
      </c>
      <c r="M5829" s="24" t="str" cm="1">
        <f t="array" ref="M5829">IFERROR(IF($B5829=M$1, ($A5829+$C5829) - MAX(IF($B$2:$B5828=$B5829, $A$2:$A5828+$C$2:$C5828)), "")*24*60, "")</f>
        <v/>
      </c>
      <c r="N5829" s="24" t="str" cm="1">
        <f t="array" ref="N5829">IFERROR(IF($B5829=N$1, ($A5829+$C5829) - MAX(IF($B$2:$B5828=$B5829, $A$2:$A5828+$C$2:$C5828)), "")*24*60, "")</f>
        <v/>
      </c>
      <c r="O5829" s="24" t="str" cm="1">
        <f t="array" ref="O5829">IFERROR(IF($B5829=O$1, ($A5829+$C5829) - MAX(IF($B$2:$B5828=$B5829, $A$2:$A5828+$C$2:$C5828)), "")*24*60, "")</f>
        <v/>
      </c>
      <c r="P5829" s="24" t="str" cm="1">
        <f t="array" ref="P5829">IFERROR(IF($B5829=P$1, ($A5829+$C5829) - MAX(IF($B$2:$B5828=$B5829, $A$2:$A5828+$C$2:$C5828)), "")*24*60, "")</f>
        <v/>
      </c>
      <c r="Q5829" s="24" t="str" cm="1">
        <f t="array" ref="Q5829">IFERROR(IF($B5829=Q$1, ($A5829+$C5829) - MAX(IF($B$2:$B5828=$B5829, $A$2:$A5828+$C$2:$C5828)), "")*24*60, "")</f>
        <v/>
      </c>
      <c r="R5829" s="24" t="str" cm="1">
        <f t="array" ref="R5829">IFERROR(IF($B5829=R$1, ($A5829+$C5829) - MAX(IF($B$2:$B5828=$B5829, $A$2:$A5828+$C$2:$C5828)), "")*24*60, "")</f>
        <v/>
      </c>
      <c r="S5829" s="24" t="str" cm="1">
        <f t="array" ref="S5829">IFERROR(IF($B5829=S$1, ($A5829+$C5829) - MAX(IF($B$2:$B5828=$B5829, $A$2:$A5828+$C$2:$C5828)), "")*24*60, "")</f>
        <v/>
      </c>
    </row>
    <row r="5830" spans="1:19" x14ac:dyDescent="0.2">
      <c r="A5830" s="12">
        <f t="shared" ref="A5830:C5830" si="1365">A5829</f>
        <v>45985</v>
      </c>
      <c r="B5830" s="5" t="str">
        <f t="shared" si="1365"/>
        <v>Northern Cardinal</v>
      </c>
      <c r="C5830" s="6">
        <f t="shared" si="1365"/>
        <v>0.29166666666666669</v>
      </c>
      <c r="D5830" s="5"/>
      <c r="E5830" s="5"/>
      <c r="F5830" s="5" t="s">
        <v>8</v>
      </c>
      <c r="G5830" s="15" t="s">
        <v>9</v>
      </c>
      <c r="H5830" s="24">
        <f t="shared" si="1322"/>
        <v>0</v>
      </c>
      <c r="I5830" s="24" cm="1">
        <f t="array" ref="I5830">IFERROR(IF($B5830=I$1, ($A5830+$C5830) - MAX(IF($B$2:$B5829=$B5830, $A$2:$A5829+$C$2:$C5829)), "")*24*60, "")</f>
        <v>0</v>
      </c>
      <c r="J5830" s="24" t="str" cm="1">
        <f t="array" ref="J5830">IFERROR(IF($B5830=J$1, ($A5830+$C5830) - MAX(IF($B$2:$B5829=$B5830, $A$2:$A5829+$C$2:$C5829)), "")*24*60, "")</f>
        <v/>
      </c>
      <c r="K5830" s="24" t="str" cm="1">
        <f t="array" ref="K5830">IFERROR(IF($B5830=K$1, ($A5830+$C5830) - MAX(IF($B$2:$B5829=$B5830, $A$2:$A5829+$C$2:$C5829)), "")*24*60, "")</f>
        <v/>
      </c>
      <c r="L5830" s="24" t="str" cm="1">
        <f t="array" ref="L5830">IFERROR(IF($B5830=L$1, ($A5830+$C5830) - MAX(IF($B$2:$B5829=$B5830, $A$2:$A5829+$C$2:$C5829)), "")*24*60, "")</f>
        <v/>
      </c>
      <c r="M5830" s="24" t="str" cm="1">
        <f t="array" ref="M5830">IFERROR(IF($B5830=M$1, ($A5830+$C5830) - MAX(IF($B$2:$B5829=$B5830, $A$2:$A5829+$C$2:$C5829)), "")*24*60, "")</f>
        <v/>
      </c>
      <c r="N5830" s="24" t="str" cm="1">
        <f t="array" ref="N5830">IFERROR(IF($B5830=N$1, ($A5830+$C5830) - MAX(IF($B$2:$B5829=$B5830, $A$2:$A5829+$C$2:$C5829)), "")*24*60, "")</f>
        <v/>
      </c>
      <c r="O5830" s="24" t="str" cm="1">
        <f t="array" ref="O5830">IFERROR(IF($B5830=O$1, ($A5830+$C5830) - MAX(IF($B$2:$B5829=$B5830, $A$2:$A5829+$C$2:$C5829)), "")*24*60, "")</f>
        <v/>
      </c>
      <c r="P5830" s="24" t="str" cm="1">
        <f t="array" ref="P5830">IFERROR(IF($B5830=P$1, ($A5830+$C5830) - MAX(IF($B$2:$B5829=$B5830, $A$2:$A5829+$C$2:$C5829)), "")*24*60, "")</f>
        <v/>
      </c>
      <c r="Q5830" s="24" t="str" cm="1">
        <f t="array" ref="Q5830">IFERROR(IF($B5830=Q$1, ($A5830+$C5830) - MAX(IF($B$2:$B5829=$B5830, $A$2:$A5829+$C$2:$C5829)), "")*24*60, "")</f>
        <v/>
      </c>
      <c r="R5830" s="24" t="str" cm="1">
        <f t="array" ref="R5830">IFERROR(IF($B5830=R$1, ($A5830+$C5830) - MAX(IF($B$2:$B5829=$B5830, $A$2:$A5829+$C$2:$C5829)), "")*24*60, "")</f>
        <v/>
      </c>
      <c r="S5830" s="24" t="str" cm="1">
        <f t="array" ref="S5830">IFERROR(IF($B5830=S$1, ($A5830+$C5830) - MAX(IF($B$2:$B5829=$B5830, $A$2:$A5829+$C$2:$C5829)), "")*24*60, "")</f>
        <v/>
      </c>
    </row>
    <row r="5831" spans="1:19" x14ac:dyDescent="0.2">
      <c r="A5831" s="12">
        <f t="shared" ref="A5831:C5831" si="1366">A5830</f>
        <v>45985</v>
      </c>
      <c r="B5831" s="5" t="str">
        <f t="shared" si="1366"/>
        <v>Northern Cardinal</v>
      </c>
      <c r="C5831" s="6">
        <f t="shared" si="1366"/>
        <v>0.29166666666666669</v>
      </c>
      <c r="D5831" s="5"/>
      <c r="E5831" s="5"/>
      <c r="F5831" s="5" t="s">
        <v>8</v>
      </c>
      <c r="G5831" s="15" t="s">
        <v>9</v>
      </c>
      <c r="H5831" s="24">
        <f t="shared" si="1322"/>
        <v>0</v>
      </c>
      <c r="I5831" s="24" cm="1">
        <f t="array" ref="I5831">IFERROR(IF($B5831=I$1, ($A5831+$C5831) - MAX(IF($B$2:$B5830=$B5831, $A$2:$A5830+$C$2:$C5830)), "")*24*60, "")</f>
        <v>0</v>
      </c>
      <c r="J5831" s="24" t="str" cm="1">
        <f t="array" ref="J5831">IFERROR(IF($B5831=J$1, ($A5831+$C5831) - MAX(IF($B$2:$B5830=$B5831, $A$2:$A5830+$C$2:$C5830)), "")*24*60, "")</f>
        <v/>
      </c>
      <c r="K5831" s="24" t="str" cm="1">
        <f t="array" ref="K5831">IFERROR(IF($B5831=K$1, ($A5831+$C5831) - MAX(IF($B$2:$B5830=$B5831, $A$2:$A5830+$C$2:$C5830)), "")*24*60, "")</f>
        <v/>
      </c>
      <c r="L5831" s="24" t="str" cm="1">
        <f t="array" ref="L5831">IFERROR(IF($B5831=L$1, ($A5831+$C5831) - MAX(IF($B$2:$B5830=$B5831, $A$2:$A5830+$C$2:$C5830)), "")*24*60, "")</f>
        <v/>
      </c>
      <c r="M5831" s="24" t="str" cm="1">
        <f t="array" ref="M5831">IFERROR(IF($B5831=M$1, ($A5831+$C5831) - MAX(IF($B$2:$B5830=$B5831, $A$2:$A5830+$C$2:$C5830)), "")*24*60, "")</f>
        <v/>
      </c>
      <c r="N5831" s="24" t="str" cm="1">
        <f t="array" ref="N5831">IFERROR(IF($B5831=N$1, ($A5831+$C5831) - MAX(IF($B$2:$B5830=$B5831, $A$2:$A5830+$C$2:$C5830)), "")*24*60, "")</f>
        <v/>
      </c>
      <c r="O5831" s="24" t="str" cm="1">
        <f t="array" ref="O5831">IFERROR(IF($B5831=O$1, ($A5831+$C5831) - MAX(IF($B$2:$B5830=$B5831, $A$2:$A5830+$C$2:$C5830)), "")*24*60, "")</f>
        <v/>
      </c>
      <c r="P5831" s="24" t="str" cm="1">
        <f t="array" ref="P5831">IFERROR(IF($B5831=P$1, ($A5831+$C5831) - MAX(IF($B$2:$B5830=$B5831, $A$2:$A5830+$C$2:$C5830)), "")*24*60, "")</f>
        <v/>
      </c>
      <c r="Q5831" s="24" t="str" cm="1">
        <f t="array" ref="Q5831">IFERROR(IF($B5831=Q$1, ($A5831+$C5831) - MAX(IF($B$2:$B5830=$B5831, $A$2:$A5830+$C$2:$C5830)), "")*24*60, "")</f>
        <v/>
      </c>
      <c r="R5831" s="24" t="str" cm="1">
        <f t="array" ref="R5831">IFERROR(IF($B5831=R$1, ($A5831+$C5831) - MAX(IF($B$2:$B5830=$B5831, $A$2:$A5830+$C$2:$C5830)), "")*24*60, "")</f>
        <v/>
      </c>
      <c r="S5831" s="24" t="str" cm="1">
        <f t="array" ref="S5831">IFERROR(IF($B5831=S$1, ($A5831+$C5831) - MAX(IF($B$2:$B5830=$B5831, $A$2:$A5830+$C$2:$C5830)), "")*24*60, "")</f>
        <v/>
      </c>
    </row>
    <row r="5832" spans="1:19" x14ac:dyDescent="0.2">
      <c r="A5832" s="12">
        <f t="shared" ref="A5832:C5832" si="1367">A5831</f>
        <v>45985</v>
      </c>
      <c r="B5832" s="5" t="str">
        <f t="shared" si="1367"/>
        <v>Northern Cardinal</v>
      </c>
      <c r="C5832" s="6">
        <f t="shared" si="1367"/>
        <v>0.29166666666666669</v>
      </c>
      <c r="D5832" s="5"/>
      <c r="E5832" s="5"/>
      <c r="F5832" s="5" t="s">
        <v>8</v>
      </c>
      <c r="G5832" s="15" t="s">
        <v>9</v>
      </c>
      <c r="H5832" s="24">
        <f t="shared" si="1322"/>
        <v>0</v>
      </c>
      <c r="I5832" s="24" cm="1">
        <f t="array" ref="I5832">IFERROR(IF($B5832=I$1, ($A5832+$C5832) - MAX(IF($B$2:$B5831=$B5832, $A$2:$A5831+$C$2:$C5831)), "")*24*60, "")</f>
        <v>0</v>
      </c>
      <c r="J5832" s="24" t="str" cm="1">
        <f t="array" ref="J5832">IFERROR(IF($B5832=J$1, ($A5832+$C5832) - MAX(IF($B$2:$B5831=$B5832, $A$2:$A5831+$C$2:$C5831)), "")*24*60, "")</f>
        <v/>
      </c>
      <c r="K5832" s="24" t="str" cm="1">
        <f t="array" ref="K5832">IFERROR(IF($B5832=K$1, ($A5832+$C5832) - MAX(IF($B$2:$B5831=$B5832, $A$2:$A5831+$C$2:$C5831)), "")*24*60, "")</f>
        <v/>
      </c>
      <c r="L5832" s="24" t="str" cm="1">
        <f t="array" ref="L5832">IFERROR(IF($B5832=L$1, ($A5832+$C5832) - MAX(IF($B$2:$B5831=$B5832, $A$2:$A5831+$C$2:$C5831)), "")*24*60, "")</f>
        <v/>
      </c>
      <c r="M5832" s="24" t="str" cm="1">
        <f t="array" ref="M5832">IFERROR(IF($B5832=M$1, ($A5832+$C5832) - MAX(IF($B$2:$B5831=$B5832, $A$2:$A5831+$C$2:$C5831)), "")*24*60, "")</f>
        <v/>
      </c>
      <c r="N5832" s="24" t="str" cm="1">
        <f t="array" ref="N5832">IFERROR(IF($B5832=N$1, ($A5832+$C5832) - MAX(IF($B$2:$B5831=$B5832, $A$2:$A5831+$C$2:$C5831)), "")*24*60, "")</f>
        <v/>
      </c>
      <c r="O5832" s="24" t="str" cm="1">
        <f t="array" ref="O5832">IFERROR(IF($B5832=O$1, ($A5832+$C5832) - MAX(IF($B$2:$B5831=$B5832, $A$2:$A5831+$C$2:$C5831)), "")*24*60, "")</f>
        <v/>
      </c>
      <c r="P5832" s="24" t="str" cm="1">
        <f t="array" ref="P5832">IFERROR(IF($B5832=P$1, ($A5832+$C5832) - MAX(IF($B$2:$B5831=$B5832, $A$2:$A5831+$C$2:$C5831)), "")*24*60, "")</f>
        <v/>
      </c>
      <c r="Q5832" s="24" t="str" cm="1">
        <f t="array" ref="Q5832">IFERROR(IF($B5832=Q$1, ($A5832+$C5832) - MAX(IF($B$2:$B5831=$B5832, $A$2:$A5831+$C$2:$C5831)), "")*24*60, "")</f>
        <v/>
      </c>
      <c r="R5832" s="24" t="str" cm="1">
        <f t="array" ref="R5832">IFERROR(IF($B5832=R$1, ($A5832+$C5832) - MAX(IF($B$2:$B5831=$B5832, $A$2:$A5831+$C$2:$C5831)), "")*24*60, "")</f>
        <v/>
      </c>
      <c r="S5832" s="24" t="str" cm="1">
        <f t="array" ref="S5832">IFERROR(IF($B5832=S$1, ($A5832+$C5832) - MAX(IF($B$2:$B5831=$B5832, $A$2:$A5831+$C$2:$C5831)), "")*24*60, "")</f>
        <v/>
      </c>
    </row>
    <row r="5833" spans="1:19" x14ac:dyDescent="0.2">
      <c r="A5833" s="12">
        <f t="shared" ref="A5833:C5833" si="1368">A5832</f>
        <v>45985</v>
      </c>
      <c r="B5833" s="5" t="str">
        <f t="shared" si="1368"/>
        <v>Northern Cardinal</v>
      </c>
      <c r="C5833" s="6">
        <f t="shared" si="1368"/>
        <v>0.29166666666666669</v>
      </c>
      <c r="D5833" s="5"/>
      <c r="E5833" s="5"/>
      <c r="F5833" s="5" t="s">
        <v>8</v>
      </c>
      <c r="G5833" s="15" t="s">
        <v>9</v>
      </c>
      <c r="H5833" s="24">
        <f t="shared" si="1322"/>
        <v>0</v>
      </c>
      <c r="I5833" s="24" cm="1">
        <f t="array" ref="I5833">IFERROR(IF($B5833=I$1, ($A5833+$C5833) - MAX(IF($B$2:$B5832=$B5833, $A$2:$A5832+$C$2:$C5832)), "")*24*60, "")</f>
        <v>0</v>
      </c>
      <c r="J5833" s="24" t="str" cm="1">
        <f t="array" ref="J5833">IFERROR(IF($B5833=J$1, ($A5833+$C5833) - MAX(IF($B$2:$B5832=$B5833, $A$2:$A5832+$C$2:$C5832)), "")*24*60, "")</f>
        <v/>
      </c>
      <c r="K5833" s="24" t="str" cm="1">
        <f t="array" ref="K5833">IFERROR(IF($B5833=K$1, ($A5833+$C5833) - MAX(IF($B$2:$B5832=$B5833, $A$2:$A5832+$C$2:$C5832)), "")*24*60, "")</f>
        <v/>
      </c>
      <c r="L5833" s="24" t="str" cm="1">
        <f t="array" ref="L5833">IFERROR(IF($B5833=L$1, ($A5833+$C5833) - MAX(IF($B$2:$B5832=$B5833, $A$2:$A5832+$C$2:$C5832)), "")*24*60, "")</f>
        <v/>
      </c>
      <c r="M5833" s="24" t="str" cm="1">
        <f t="array" ref="M5833">IFERROR(IF($B5833=M$1, ($A5833+$C5833) - MAX(IF($B$2:$B5832=$B5833, $A$2:$A5832+$C$2:$C5832)), "")*24*60, "")</f>
        <v/>
      </c>
      <c r="N5833" s="24" t="str" cm="1">
        <f t="array" ref="N5833">IFERROR(IF($B5833=N$1, ($A5833+$C5833) - MAX(IF($B$2:$B5832=$B5833, $A$2:$A5832+$C$2:$C5832)), "")*24*60, "")</f>
        <v/>
      </c>
      <c r="O5833" s="24" t="str" cm="1">
        <f t="array" ref="O5833">IFERROR(IF($B5833=O$1, ($A5833+$C5833) - MAX(IF($B$2:$B5832=$B5833, $A$2:$A5832+$C$2:$C5832)), "")*24*60, "")</f>
        <v/>
      </c>
      <c r="P5833" s="24" t="str" cm="1">
        <f t="array" ref="P5833">IFERROR(IF($B5833=P$1, ($A5833+$C5833) - MAX(IF($B$2:$B5832=$B5833, $A$2:$A5832+$C$2:$C5832)), "")*24*60, "")</f>
        <v/>
      </c>
      <c r="Q5833" s="24" t="str" cm="1">
        <f t="array" ref="Q5833">IFERROR(IF($B5833=Q$1, ($A5833+$C5833) - MAX(IF($B$2:$B5832=$B5833, $A$2:$A5832+$C$2:$C5832)), "")*24*60, "")</f>
        <v/>
      </c>
      <c r="R5833" s="24" t="str" cm="1">
        <f t="array" ref="R5833">IFERROR(IF($B5833=R$1, ($A5833+$C5833) - MAX(IF($B$2:$B5832=$B5833, $A$2:$A5832+$C$2:$C5832)), "")*24*60, "")</f>
        <v/>
      </c>
      <c r="S5833" s="24" t="str" cm="1">
        <f t="array" ref="S5833">IFERROR(IF($B5833=S$1, ($A5833+$C5833) - MAX(IF($B$2:$B5832=$B5833, $A$2:$A5832+$C$2:$C5832)), "")*24*60, "")</f>
        <v/>
      </c>
    </row>
    <row r="5834" spans="1:19" x14ac:dyDescent="0.2">
      <c r="A5834" s="12">
        <f t="shared" ref="A5834:C5834" si="1369">A5833</f>
        <v>45985</v>
      </c>
      <c r="B5834" s="5" t="str">
        <f t="shared" si="1369"/>
        <v>Northern Cardinal</v>
      </c>
      <c r="C5834" s="6">
        <f t="shared" si="1369"/>
        <v>0.29166666666666669</v>
      </c>
      <c r="D5834" s="5"/>
      <c r="E5834" s="5"/>
      <c r="F5834" s="5" t="s">
        <v>8</v>
      </c>
      <c r="G5834" s="15" t="s">
        <v>9</v>
      </c>
      <c r="H5834" s="24">
        <f t="shared" si="1322"/>
        <v>0</v>
      </c>
      <c r="I5834" s="24" cm="1">
        <f t="array" ref="I5834">IFERROR(IF($B5834=I$1, ($A5834+$C5834) - MAX(IF($B$2:$B5833=$B5834, $A$2:$A5833+$C$2:$C5833)), "")*24*60, "")</f>
        <v>0</v>
      </c>
      <c r="J5834" s="24" t="str" cm="1">
        <f t="array" ref="J5834">IFERROR(IF($B5834=J$1, ($A5834+$C5834) - MAX(IF($B$2:$B5833=$B5834, $A$2:$A5833+$C$2:$C5833)), "")*24*60, "")</f>
        <v/>
      </c>
      <c r="K5834" s="24" t="str" cm="1">
        <f t="array" ref="K5834">IFERROR(IF($B5834=K$1, ($A5834+$C5834) - MAX(IF($B$2:$B5833=$B5834, $A$2:$A5833+$C$2:$C5833)), "")*24*60, "")</f>
        <v/>
      </c>
      <c r="L5834" s="24" t="str" cm="1">
        <f t="array" ref="L5834">IFERROR(IF($B5834=L$1, ($A5834+$C5834) - MAX(IF($B$2:$B5833=$B5834, $A$2:$A5833+$C$2:$C5833)), "")*24*60, "")</f>
        <v/>
      </c>
      <c r="M5834" s="24" t="str" cm="1">
        <f t="array" ref="M5834">IFERROR(IF($B5834=M$1, ($A5834+$C5834) - MAX(IF($B$2:$B5833=$B5834, $A$2:$A5833+$C$2:$C5833)), "")*24*60, "")</f>
        <v/>
      </c>
      <c r="N5834" s="24" t="str" cm="1">
        <f t="array" ref="N5834">IFERROR(IF($B5834=N$1, ($A5834+$C5834) - MAX(IF($B$2:$B5833=$B5834, $A$2:$A5833+$C$2:$C5833)), "")*24*60, "")</f>
        <v/>
      </c>
      <c r="O5834" s="24" t="str" cm="1">
        <f t="array" ref="O5834">IFERROR(IF($B5834=O$1, ($A5834+$C5834) - MAX(IF($B$2:$B5833=$B5834, $A$2:$A5833+$C$2:$C5833)), "")*24*60, "")</f>
        <v/>
      </c>
      <c r="P5834" s="24" t="str" cm="1">
        <f t="array" ref="P5834">IFERROR(IF($B5834=P$1, ($A5834+$C5834) - MAX(IF($B$2:$B5833=$B5834, $A$2:$A5833+$C$2:$C5833)), "")*24*60, "")</f>
        <v/>
      </c>
      <c r="Q5834" s="24" t="str" cm="1">
        <f t="array" ref="Q5834">IFERROR(IF($B5834=Q$1, ($A5834+$C5834) - MAX(IF($B$2:$B5833=$B5834, $A$2:$A5833+$C$2:$C5833)), "")*24*60, "")</f>
        <v/>
      </c>
      <c r="R5834" s="24" t="str" cm="1">
        <f t="array" ref="R5834">IFERROR(IF($B5834=R$1, ($A5834+$C5834) - MAX(IF($B$2:$B5833=$B5834, $A$2:$A5833+$C$2:$C5833)), "")*24*60, "")</f>
        <v/>
      </c>
      <c r="S5834" s="24" t="str" cm="1">
        <f t="array" ref="S5834">IFERROR(IF($B5834=S$1, ($A5834+$C5834) - MAX(IF($B$2:$B5833=$B5834, $A$2:$A5833+$C$2:$C5833)), "")*24*60, "")</f>
        <v/>
      </c>
    </row>
    <row r="5835" spans="1:19" x14ac:dyDescent="0.2">
      <c r="A5835" s="12">
        <f t="shared" ref="A5835:C5835" si="1370">A5834</f>
        <v>45985</v>
      </c>
      <c r="B5835" s="5" t="str">
        <f t="shared" si="1370"/>
        <v>Northern Cardinal</v>
      </c>
      <c r="C5835" s="6">
        <f t="shared" si="1370"/>
        <v>0.29166666666666669</v>
      </c>
      <c r="D5835" s="5"/>
      <c r="E5835" s="5"/>
      <c r="F5835" s="5" t="s">
        <v>8</v>
      </c>
      <c r="G5835" s="15" t="s">
        <v>9</v>
      </c>
      <c r="H5835" s="24">
        <f t="shared" si="1322"/>
        <v>0</v>
      </c>
      <c r="I5835" s="24" cm="1">
        <f t="array" ref="I5835">IFERROR(IF($B5835=I$1, ($A5835+$C5835) - MAX(IF($B$2:$B5834=$B5835, $A$2:$A5834+$C$2:$C5834)), "")*24*60, "")</f>
        <v>0</v>
      </c>
      <c r="J5835" s="24" t="str" cm="1">
        <f t="array" ref="J5835">IFERROR(IF($B5835=J$1, ($A5835+$C5835) - MAX(IF($B$2:$B5834=$B5835, $A$2:$A5834+$C$2:$C5834)), "")*24*60, "")</f>
        <v/>
      </c>
      <c r="K5835" s="24" t="str" cm="1">
        <f t="array" ref="K5835">IFERROR(IF($B5835=K$1, ($A5835+$C5835) - MAX(IF($B$2:$B5834=$B5835, $A$2:$A5834+$C$2:$C5834)), "")*24*60, "")</f>
        <v/>
      </c>
      <c r="L5835" s="24" t="str" cm="1">
        <f t="array" ref="L5835">IFERROR(IF($B5835=L$1, ($A5835+$C5835) - MAX(IF($B$2:$B5834=$B5835, $A$2:$A5834+$C$2:$C5834)), "")*24*60, "")</f>
        <v/>
      </c>
      <c r="M5835" s="24" t="str" cm="1">
        <f t="array" ref="M5835">IFERROR(IF($B5835=M$1, ($A5835+$C5835) - MAX(IF($B$2:$B5834=$B5835, $A$2:$A5834+$C$2:$C5834)), "")*24*60, "")</f>
        <v/>
      </c>
      <c r="N5835" s="24" t="str" cm="1">
        <f t="array" ref="N5835">IFERROR(IF($B5835=N$1, ($A5835+$C5835) - MAX(IF($B$2:$B5834=$B5835, $A$2:$A5834+$C$2:$C5834)), "")*24*60, "")</f>
        <v/>
      </c>
      <c r="O5835" s="24" t="str" cm="1">
        <f t="array" ref="O5835">IFERROR(IF($B5835=O$1, ($A5835+$C5835) - MAX(IF($B$2:$B5834=$B5835, $A$2:$A5834+$C$2:$C5834)), "")*24*60, "")</f>
        <v/>
      </c>
      <c r="P5835" s="24" t="str" cm="1">
        <f t="array" ref="P5835">IFERROR(IF($B5835=P$1, ($A5835+$C5835) - MAX(IF($B$2:$B5834=$B5835, $A$2:$A5834+$C$2:$C5834)), "")*24*60, "")</f>
        <v/>
      </c>
      <c r="Q5835" s="24" t="str" cm="1">
        <f t="array" ref="Q5835">IFERROR(IF($B5835=Q$1, ($A5835+$C5835) - MAX(IF($B$2:$B5834=$B5835, $A$2:$A5834+$C$2:$C5834)), "")*24*60, "")</f>
        <v/>
      </c>
      <c r="R5835" s="24" t="str" cm="1">
        <f t="array" ref="R5835">IFERROR(IF($B5835=R$1, ($A5835+$C5835) - MAX(IF($B$2:$B5834=$B5835, $A$2:$A5834+$C$2:$C5834)), "")*24*60, "")</f>
        <v/>
      </c>
      <c r="S5835" s="24" t="str" cm="1">
        <f t="array" ref="S5835">IFERROR(IF($B5835=S$1, ($A5835+$C5835) - MAX(IF($B$2:$B5834=$B5835, $A$2:$A5834+$C$2:$C5834)), "")*24*60, "")</f>
        <v/>
      </c>
    </row>
    <row r="5836" spans="1:19" x14ac:dyDescent="0.2">
      <c r="A5836" s="12">
        <f t="shared" ref="A5836:C5836" si="1371">A5835</f>
        <v>45985</v>
      </c>
      <c r="B5836" s="5" t="str">
        <f t="shared" si="1371"/>
        <v>Northern Cardinal</v>
      </c>
      <c r="C5836" s="6">
        <f t="shared" si="1371"/>
        <v>0.29166666666666669</v>
      </c>
      <c r="D5836" s="5"/>
      <c r="E5836" s="5"/>
      <c r="F5836" s="5" t="s">
        <v>8</v>
      </c>
      <c r="G5836" s="15" t="s">
        <v>9</v>
      </c>
      <c r="H5836" s="24">
        <f t="shared" si="1322"/>
        <v>0</v>
      </c>
      <c r="I5836" s="24" cm="1">
        <f t="array" ref="I5836">IFERROR(IF($B5836=I$1, ($A5836+$C5836) - MAX(IF($B$2:$B5835=$B5836, $A$2:$A5835+$C$2:$C5835)), "")*24*60, "")</f>
        <v>0</v>
      </c>
      <c r="J5836" s="24" t="str" cm="1">
        <f t="array" ref="J5836">IFERROR(IF($B5836=J$1, ($A5836+$C5836) - MAX(IF($B$2:$B5835=$B5836, $A$2:$A5835+$C$2:$C5835)), "")*24*60, "")</f>
        <v/>
      </c>
      <c r="K5836" s="24" t="str" cm="1">
        <f t="array" ref="K5836">IFERROR(IF($B5836=K$1, ($A5836+$C5836) - MAX(IF($B$2:$B5835=$B5836, $A$2:$A5835+$C$2:$C5835)), "")*24*60, "")</f>
        <v/>
      </c>
      <c r="L5836" s="24" t="str" cm="1">
        <f t="array" ref="L5836">IFERROR(IF($B5836=L$1, ($A5836+$C5836) - MAX(IF($B$2:$B5835=$B5836, $A$2:$A5835+$C$2:$C5835)), "")*24*60, "")</f>
        <v/>
      </c>
      <c r="M5836" s="24" t="str" cm="1">
        <f t="array" ref="M5836">IFERROR(IF($B5836=M$1, ($A5836+$C5836) - MAX(IF($B$2:$B5835=$B5836, $A$2:$A5835+$C$2:$C5835)), "")*24*60, "")</f>
        <v/>
      </c>
      <c r="N5836" s="24" t="str" cm="1">
        <f t="array" ref="N5836">IFERROR(IF($B5836=N$1, ($A5836+$C5836) - MAX(IF($B$2:$B5835=$B5836, $A$2:$A5835+$C$2:$C5835)), "")*24*60, "")</f>
        <v/>
      </c>
      <c r="O5836" s="24" t="str" cm="1">
        <f t="array" ref="O5836">IFERROR(IF($B5836=O$1, ($A5836+$C5836) - MAX(IF($B$2:$B5835=$B5836, $A$2:$A5835+$C$2:$C5835)), "")*24*60, "")</f>
        <v/>
      </c>
      <c r="P5836" s="24" t="str" cm="1">
        <f t="array" ref="P5836">IFERROR(IF($B5836=P$1, ($A5836+$C5836) - MAX(IF($B$2:$B5835=$B5836, $A$2:$A5835+$C$2:$C5835)), "")*24*60, "")</f>
        <v/>
      </c>
      <c r="Q5836" s="24" t="str" cm="1">
        <f t="array" ref="Q5836">IFERROR(IF($B5836=Q$1, ($A5836+$C5836) - MAX(IF($B$2:$B5835=$B5836, $A$2:$A5835+$C$2:$C5835)), "")*24*60, "")</f>
        <v/>
      </c>
      <c r="R5836" s="24" t="str" cm="1">
        <f t="array" ref="R5836">IFERROR(IF($B5836=R$1, ($A5836+$C5836) - MAX(IF($B$2:$B5835=$B5836, $A$2:$A5835+$C$2:$C5835)), "")*24*60, "")</f>
        <v/>
      </c>
      <c r="S5836" s="24" t="str" cm="1">
        <f t="array" ref="S5836">IFERROR(IF($B5836=S$1, ($A5836+$C5836) - MAX(IF($B$2:$B5835=$B5836, $A$2:$A5835+$C$2:$C5835)), "")*24*60, "")</f>
        <v/>
      </c>
    </row>
    <row r="5837" spans="1:19" x14ac:dyDescent="0.2">
      <c r="A5837" s="12">
        <f t="shared" ref="A5837:C5837" si="1372">A5836</f>
        <v>45985</v>
      </c>
      <c r="B5837" s="5" t="str">
        <f t="shared" si="1372"/>
        <v>Northern Cardinal</v>
      </c>
      <c r="C5837" s="6">
        <f t="shared" si="1372"/>
        <v>0.29166666666666669</v>
      </c>
      <c r="D5837" s="5"/>
      <c r="E5837" s="5"/>
      <c r="F5837" s="5" t="s">
        <v>8</v>
      </c>
      <c r="G5837" s="15" t="s">
        <v>9</v>
      </c>
      <c r="H5837" s="24">
        <f t="shared" si="1322"/>
        <v>0</v>
      </c>
      <c r="I5837" s="24" cm="1">
        <f t="array" ref="I5837">IFERROR(IF($B5837=I$1, ($A5837+$C5837) - MAX(IF($B$2:$B5836=$B5837, $A$2:$A5836+$C$2:$C5836)), "")*24*60, "")</f>
        <v>0</v>
      </c>
      <c r="J5837" s="24" t="str" cm="1">
        <f t="array" ref="J5837">IFERROR(IF($B5837=J$1, ($A5837+$C5837) - MAX(IF($B$2:$B5836=$B5837, $A$2:$A5836+$C$2:$C5836)), "")*24*60, "")</f>
        <v/>
      </c>
      <c r="K5837" s="24" t="str" cm="1">
        <f t="array" ref="K5837">IFERROR(IF($B5837=K$1, ($A5837+$C5837) - MAX(IF($B$2:$B5836=$B5837, $A$2:$A5836+$C$2:$C5836)), "")*24*60, "")</f>
        <v/>
      </c>
      <c r="L5837" s="24" t="str" cm="1">
        <f t="array" ref="L5837">IFERROR(IF($B5837=L$1, ($A5837+$C5837) - MAX(IF($B$2:$B5836=$B5837, $A$2:$A5836+$C$2:$C5836)), "")*24*60, "")</f>
        <v/>
      </c>
      <c r="M5837" s="24" t="str" cm="1">
        <f t="array" ref="M5837">IFERROR(IF($B5837=M$1, ($A5837+$C5837) - MAX(IF($B$2:$B5836=$B5837, $A$2:$A5836+$C$2:$C5836)), "")*24*60, "")</f>
        <v/>
      </c>
      <c r="N5837" s="24" t="str" cm="1">
        <f t="array" ref="N5837">IFERROR(IF($B5837=N$1, ($A5837+$C5837) - MAX(IF($B$2:$B5836=$B5837, $A$2:$A5836+$C$2:$C5836)), "")*24*60, "")</f>
        <v/>
      </c>
      <c r="O5837" s="24" t="str" cm="1">
        <f t="array" ref="O5837">IFERROR(IF($B5837=O$1, ($A5837+$C5837) - MAX(IF($B$2:$B5836=$B5837, $A$2:$A5836+$C$2:$C5836)), "")*24*60, "")</f>
        <v/>
      </c>
      <c r="P5837" s="24" t="str" cm="1">
        <f t="array" ref="P5837">IFERROR(IF($B5837=P$1, ($A5837+$C5837) - MAX(IF($B$2:$B5836=$B5837, $A$2:$A5836+$C$2:$C5836)), "")*24*60, "")</f>
        <v/>
      </c>
      <c r="Q5837" s="24" t="str" cm="1">
        <f t="array" ref="Q5837">IFERROR(IF($B5837=Q$1, ($A5837+$C5837) - MAX(IF($B$2:$B5836=$B5837, $A$2:$A5836+$C$2:$C5836)), "")*24*60, "")</f>
        <v/>
      </c>
      <c r="R5837" s="24" t="str" cm="1">
        <f t="array" ref="R5837">IFERROR(IF($B5837=R$1, ($A5837+$C5837) - MAX(IF($B$2:$B5836=$B5837, $A$2:$A5836+$C$2:$C5836)), "")*24*60, "")</f>
        <v/>
      </c>
      <c r="S5837" s="24" t="str" cm="1">
        <f t="array" ref="S5837">IFERROR(IF($B5837=S$1, ($A5837+$C5837) - MAX(IF($B$2:$B5836=$B5837, $A$2:$A5836+$C$2:$C5836)), "")*24*60, "")</f>
        <v/>
      </c>
    </row>
    <row r="5838" spans="1:19" x14ac:dyDescent="0.2">
      <c r="A5838" s="12">
        <f t="shared" ref="A5838:C5838" si="1373">A5837</f>
        <v>45985</v>
      </c>
      <c r="B5838" s="5" t="str">
        <f t="shared" si="1373"/>
        <v>Northern Cardinal</v>
      </c>
      <c r="C5838" s="6">
        <f t="shared" si="1373"/>
        <v>0.29166666666666669</v>
      </c>
      <c r="D5838" s="5"/>
      <c r="E5838" s="5"/>
      <c r="F5838" s="5" t="s">
        <v>8</v>
      </c>
      <c r="G5838" s="15" t="s">
        <v>9</v>
      </c>
      <c r="H5838" s="24">
        <f t="shared" si="1322"/>
        <v>0</v>
      </c>
      <c r="I5838" s="24" cm="1">
        <f t="array" ref="I5838">IFERROR(IF($B5838=I$1, ($A5838+$C5838) - MAX(IF($B$2:$B5837=$B5838, $A$2:$A5837+$C$2:$C5837)), "")*24*60, "")</f>
        <v>0</v>
      </c>
      <c r="J5838" s="24" t="str" cm="1">
        <f t="array" ref="J5838">IFERROR(IF($B5838=J$1, ($A5838+$C5838) - MAX(IF($B$2:$B5837=$B5838, $A$2:$A5837+$C$2:$C5837)), "")*24*60, "")</f>
        <v/>
      </c>
      <c r="K5838" s="24" t="str" cm="1">
        <f t="array" ref="K5838">IFERROR(IF($B5838=K$1, ($A5838+$C5838) - MAX(IF($B$2:$B5837=$B5838, $A$2:$A5837+$C$2:$C5837)), "")*24*60, "")</f>
        <v/>
      </c>
      <c r="L5838" s="24" t="str" cm="1">
        <f t="array" ref="L5838">IFERROR(IF($B5838=L$1, ($A5838+$C5838) - MAX(IF($B$2:$B5837=$B5838, $A$2:$A5837+$C$2:$C5837)), "")*24*60, "")</f>
        <v/>
      </c>
      <c r="M5838" s="24" t="str" cm="1">
        <f t="array" ref="M5838">IFERROR(IF($B5838=M$1, ($A5838+$C5838) - MAX(IF($B$2:$B5837=$B5838, $A$2:$A5837+$C$2:$C5837)), "")*24*60, "")</f>
        <v/>
      </c>
      <c r="N5838" s="24" t="str" cm="1">
        <f t="array" ref="N5838">IFERROR(IF($B5838=N$1, ($A5838+$C5838) - MAX(IF($B$2:$B5837=$B5838, $A$2:$A5837+$C$2:$C5837)), "")*24*60, "")</f>
        <v/>
      </c>
      <c r="O5838" s="24" t="str" cm="1">
        <f t="array" ref="O5838">IFERROR(IF($B5838=O$1, ($A5838+$C5838) - MAX(IF($B$2:$B5837=$B5838, $A$2:$A5837+$C$2:$C5837)), "")*24*60, "")</f>
        <v/>
      </c>
      <c r="P5838" s="24" t="str" cm="1">
        <f t="array" ref="P5838">IFERROR(IF($B5838=P$1, ($A5838+$C5838) - MAX(IF($B$2:$B5837=$B5838, $A$2:$A5837+$C$2:$C5837)), "")*24*60, "")</f>
        <v/>
      </c>
      <c r="Q5838" s="24" t="str" cm="1">
        <f t="array" ref="Q5838">IFERROR(IF($B5838=Q$1, ($A5838+$C5838) - MAX(IF($B$2:$B5837=$B5838, $A$2:$A5837+$C$2:$C5837)), "")*24*60, "")</f>
        <v/>
      </c>
      <c r="R5838" s="24" t="str" cm="1">
        <f t="array" ref="R5838">IFERROR(IF($B5838=R$1, ($A5838+$C5838) - MAX(IF($B$2:$B5837=$B5838, $A$2:$A5837+$C$2:$C5837)), "")*24*60, "")</f>
        <v/>
      </c>
      <c r="S5838" s="24" t="str" cm="1">
        <f t="array" ref="S5838">IFERROR(IF($B5838=S$1, ($A5838+$C5838) - MAX(IF($B$2:$B5837=$B5838, $A$2:$A5837+$C$2:$C5837)), "")*24*60, "")</f>
        <v/>
      </c>
    </row>
    <row r="5839" spans="1:19" x14ac:dyDescent="0.2">
      <c r="A5839" s="12">
        <f t="shared" ref="A5839:C5839" si="1374">A5838</f>
        <v>45985</v>
      </c>
      <c r="B5839" s="5" t="str">
        <f t="shared" si="1374"/>
        <v>Northern Cardinal</v>
      </c>
      <c r="C5839" s="6">
        <f t="shared" si="1374"/>
        <v>0.29166666666666669</v>
      </c>
      <c r="D5839" s="5"/>
      <c r="E5839" s="5"/>
      <c r="F5839" s="5" t="s">
        <v>8</v>
      </c>
      <c r="G5839" s="15" t="s">
        <v>9</v>
      </c>
      <c r="H5839" s="24">
        <f t="shared" si="1322"/>
        <v>0</v>
      </c>
      <c r="I5839" s="24" cm="1">
        <f t="array" ref="I5839">IFERROR(IF($B5839=I$1, ($A5839+$C5839) - MAX(IF($B$2:$B5838=$B5839, $A$2:$A5838+$C$2:$C5838)), "")*24*60, "")</f>
        <v>0</v>
      </c>
      <c r="J5839" s="24" t="str" cm="1">
        <f t="array" ref="J5839">IFERROR(IF($B5839=J$1, ($A5839+$C5839) - MAX(IF($B$2:$B5838=$B5839, $A$2:$A5838+$C$2:$C5838)), "")*24*60, "")</f>
        <v/>
      </c>
      <c r="K5839" s="24" t="str" cm="1">
        <f t="array" ref="K5839">IFERROR(IF($B5839=K$1, ($A5839+$C5839) - MAX(IF($B$2:$B5838=$B5839, $A$2:$A5838+$C$2:$C5838)), "")*24*60, "")</f>
        <v/>
      </c>
      <c r="L5839" s="24" t="str" cm="1">
        <f t="array" ref="L5839">IFERROR(IF($B5839=L$1, ($A5839+$C5839) - MAX(IF($B$2:$B5838=$B5839, $A$2:$A5838+$C$2:$C5838)), "")*24*60, "")</f>
        <v/>
      </c>
      <c r="M5839" s="24" t="str" cm="1">
        <f t="array" ref="M5839">IFERROR(IF($B5839=M$1, ($A5839+$C5839) - MAX(IF($B$2:$B5838=$B5839, $A$2:$A5838+$C$2:$C5838)), "")*24*60, "")</f>
        <v/>
      </c>
      <c r="N5839" s="24" t="str" cm="1">
        <f t="array" ref="N5839">IFERROR(IF($B5839=N$1, ($A5839+$C5839) - MAX(IF($B$2:$B5838=$B5839, $A$2:$A5838+$C$2:$C5838)), "")*24*60, "")</f>
        <v/>
      </c>
      <c r="O5839" s="24" t="str" cm="1">
        <f t="array" ref="O5839">IFERROR(IF($B5839=O$1, ($A5839+$C5839) - MAX(IF($B$2:$B5838=$B5839, $A$2:$A5838+$C$2:$C5838)), "")*24*60, "")</f>
        <v/>
      </c>
      <c r="P5839" s="24" t="str" cm="1">
        <f t="array" ref="P5839">IFERROR(IF($B5839=P$1, ($A5839+$C5839) - MAX(IF($B$2:$B5838=$B5839, $A$2:$A5838+$C$2:$C5838)), "")*24*60, "")</f>
        <v/>
      </c>
      <c r="Q5839" s="24" t="str" cm="1">
        <f t="array" ref="Q5839">IFERROR(IF($B5839=Q$1, ($A5839+$C5839) - MAX(IF($B$2:$B5838=$B5839, $A$2:$A5838+$C$2:$C5838)), "")*24*60, "")</f>
        <v/>
      </c>
      <c r="R5839" s="24" t="str" cm="1">
        <f t="array" ref="R5839">IFERROR(IF($B5839=R$1, ($A5839+$C5839) - MAX(IF($B$2:$B5838=$B5839, $A$2:$A5838+$C$2:$C5838)), "")*24*60, "")</f>
        <v/>
      </c>
      <c r="S5839" s="24" t="str" cm="1">
        <f t="array" ref="S5839">IFERROR(IF($B5839=S$1, ($A5839+$C5839) - MAX(IF($B$2:$B5838=$B5839, $A$2:$A5838+$C$2:$C5838)), "")*24*60, "")</f>
        <v/>
      </c>
    </row>
    <row r="5840" spans="1:19" x14ac:dyDescent="0.2">
      <c r="A5840" s="12">
        <f t="shared" ref="A5840:C5840" si="1375">A5839</f>
        <v>45985</v>
      </c>
      <c r="B5840" s="5" t="str">
        <f t="shared" si="1375"/>
        <v>Northern Cardinal</v>
      </c>
      <c r="C5840" s="6">
        <f t="shared" si="1375"/>
        <v>0.29166666666666669</v>
      </c>
      <c r="D5840" s="5"/>
      <c r="E5840" s="5"/>
      <c r="F5840" s="5" t="s">
        <v>8</v>
      </c>
      <c r="G5840" s="15" t="s">
        <v>9</v>
      </c>
      <c r="H5840" s="24">
        <f t="shared" si="1322"/>
        <v>0</v>
      </c>
      <c r="I5840" s="24" cm="1">
        <f t="array" ref="I5840">IFERROR(IF($B5840=I$1, ($A5840+$C5840) - MAX(IF($B$2:$B5839=$B5840, $A$2:$A5839+$C$2:$C5839)), "")*24*60, "")</f>
        <v>0</v>
      </c>
      <c r="J5840" s="24" t="str" cm="1">
        <f t="array" ref="J5840">IFERROR(IF($B5840=J$1, ($A5840+$C5840) - MAX(IF($B$2:$B5839=$B5840, $A$2:$A5839+$C$2:$C5839)), "")*24*60, "")</f>
        <v/>
      </c>
      <c r="K5840" s="24" t="str" cm="1">
        <f t="array" ref="K5840">IFERROR(IF($B5840=K$1, ($A5840+$C5840) - MAX(IF($B$2:$B5839=$B5840, $A$2:$A5839+$C$2:$C5839)), "")*24*60, "")</f>
        <v/>
      </c>
      <c r="L5840" s="24" t="str" cm="1">
        <f t="array" ref="L5840">IFERROR(IF($B5840=L$1, ($A5840+$C5840) - MAX(IF($B$2:$B5839=$B5840, $A$2:$A5839+$C$2:$C5839)), "")*24*60, "")</f>
        <v/>
      </c>
      <c r="M5840" s="24" t="str" cm="1">
        <f t="array" ref="M5840">IFERROR(IF($B5840=M$1, ($A5840+$C5840) - MAX(IF($B$2:$B5839=$B5840, $A$2:$A5839+$C$2:$C5839)), "")*24*60, "")</f>
        <v/>
      </c>
      <c r="N5840" s="24" t="str" cm="1">
        <f t="array" ref="N5840">IFERROR(IF($B5840=N$1, ($A5840+$C5840) - MAX(IF($B$2:$B5839=$B5840, $A$2:$A5839+$C$2:$C5839)), "")*24*60, "")</f>
        <v/>
      </c>
      <c r="O5840" s="24" t="str" cm="1">
        <f t="array" ref="O5840">IFERROR(IF($B5840=O$1, ($A5840+$C5840) - MAX(IF($B$2:$B5839=$B5840, $A$2:$A5839+$C$2:$C5839)), "")*24*60, "")</f>
        <v/>
      </c>
      <c r="P5840" s="24" t="str" cm="1">
        <f t="array" ref="P5840">IFERROR(IF($B5840=P$1, ($A5840+$C5840) - MAX(IF($B$2:$B5839=$B5840, $A$2:$A5839+$C$2:$C5839)), "")*24*60, "")</f>
        <v/>
      </c>
      <c r="Q5840" s="24" t="str" cm="1">
        <f t="array" ref="Q5840">IFERROR(IF($B5840=Q$1, ($A5840+$C5840) - MAX(IF($B$2:$B5839=$B5840, $A$2:$A5839+$C$2:$C5839)), "")*24*60, "")</f>
        <v/>
      </c>
      <c r="R5840" s="24" t="str" cm="1">
        <f t="array" ref="R5840">IFERROR(IF($B5840=R$1, ($A5840+$C5840) - MAX(IF($B$2:$B5839=$B5840, $A$2:$A5839+$C$2:$C5839)), "")*24*60, "")</f>
        <v/>
      </c>
      <c r="S5840" s="24" t="str" cm="1">
        <f t="array" ref="S5840">IFERROR(IF($B5840=S$1, ($A5840+$C5840) - MAX(IF($B$2:$B5839=$B5840, $A$2:$A5839+$C$2:$C5839)), "")*24*60, "")</f>
        <v/>
      </c>
    </row>
    <row r="5841" spans="1:19" x14ac:dyDescent="0.2">
      <c r="A5841" s="12">
        <f t="shared" ref="A5841:C5841" si="1376">A5840</f>
        <v>45985</v>
      </c>
      <c r="B5841" s="5" t="str">
        <f t="shared" si="1376"/>
        <v>Northern Cardinal</v>
      </c>
      <c r="C5841" s="6">
        <f t="shared" si="1376"/>
        <v>0.29166666666666669</v>
      </c>
      <c r="D5841" s="5"/>
      <c r="E5841" s="5"/>
      <c r="F5841" s="5" t="s">
        <v>8</v>
      </c>
      <c r="G5841" s="15" t="s">
        <v>9</v>
      </c>
      <c r="H5841" s="24">
        <f t="shared" si="1322"/>
        <v>0</v>
      </c>
      <c r="I5841" s="24" cm="1">
        <f t="array" ref="I5841">IFERROR(IF($B5841=I$1, ($A5841+$C5841) - MAX(IF($B$2:$B5840=$B5841, $A$2:$A5840+$C$2:$C5840)), "")*24*60, "")</f>
        <v>0</v>
      </c>
      <c r="J5841" s="24" t="str" cm="1">
        <f t="array" ref="J5841">IFERROR(IF($B5841=J$1, ($A5841+$C5841) - MAX(IF($B$2:$B5840=$B5841, $A$2:$A5840+$C$2:$C5840)), "")*24*60, "")</f>
        <v/>
      </c>
      <c r="K5841" s="24" t="str" cm="1">
        <f t="array" ref="K5841">IFERROR(IF($B5841=K$1, ($A5841+$C5841) - MAX(IF($B$2:$B5840=$B5841, $A$2:$A5840+$C$2:$C5840)), "")*24*60, "")</f>
        <v/>
      </c>
      <c r="L5841" s="24" t="str" cm="1">
        <f t="array" ref="L5841">IFERROR(IF($B5841=L$1, ($A5841+$C5841) - MAX(IF($B$2:$B5840=$B5841, $A$2:$A5840+$C$2:$C5840)), "")*24*60, "")</f>
        <v/>
      </c>
      <c r="M5841" s="24" t="str" cm="1">
        <f t="array" ref="M5841">IFERROR(IF($B5841=M$1, ($A5841+$C5841) - MAX(IF($B$2:$B5840=$B5841, $A$2:$A5840+$C$2:$C5840)), "")*24*60, "")</f>
        <v/>
      </c>
      <c r="N5841" s="24" t="str" cm="1">
        <f t="array" ref="N5841">IFERROR(IF($B5841=N$1, ($A5841+$C5841) - MAX(IF($B$2:$B5840=$B5841, $A$2:$A5840+$C$2:$C5840)), "")*24*60, "")</f>
        <v/>
      </c>
      <c r="O5841" s="24" t="str" cm="1">
        <f t="array" ref="O5841">IFERROR(IF($B5841=O$1, ($A5841+$C5841) - MAX(IF($B$2:$B5840=$B5841, $A$2:$A5840+$C$2:$C5840)), "")*24*60, "")</f>
        <v/>
      </c>
      <c r="P5841" s="24" t="str" cm="1">
        <f t="array" ref="P5841">IFERROR(IF($B5841=P$1, ($A5841+$C5841) - MAX(IF($B$2:$B5840=$B5841, $A$2:$A5840+$C$2:$C5840)), "")*24*60, "")</f>
        <v/>
      </c>
      <c r="Q5841" s="24" t="str" cm="1">
        <f t="array" ref="Q5841">IFERROR(IF($B5841=Q$1, ($A5841+$C5841) - MAX(IF($B$2:$B5840=$B5841, $A$2:$A5840+$C$2:$C5840)), "")*24*60, "")</f>
        <v/>
      </c>
      <c r="R5841" s="24" t="str" cm="1">
        <f t="array" ref="R5841">IFERROR(IF($B5841=R$1, ($A5841+$C5841) - MAX(IF($B$2:$B5840=$B5841, $A$2:$A5840+$C$2:$C5840)), "")*24*60, "")</f>
        <v/>
      </c>
      <c r="S5841" s="24" t="str" cm="1">
        <f t="array" ref="S5841">IFERROR(IF($B5841=S$1, ($A5841+$C5841) - MAX(IF($B$2:$B5840=$B5841, $A$2:$A5840+$C$2:$C5840)), "")*24*60, "")</f>
        <v/>
      </c>
    </row>
    <row r="5842" spans="1:19" x14ac:dyDescent="0.2">
      <c r="A5842" s="12">
        <f t="shared" ref="A5842:C5842" si="1377">A5841</f>
        <v>45985</v>
      </c>
      <c r="B5842" s="5" t="str">
        <f t="shared" si="1377"/>
        <v>Northern Cardinal</v>
      </c>
      <c r="C5842" s="6">
        <f t="shared" si="1377"/>
        <v>0.29166666666666669</v>
      </c>
      <c r="D5842" s="5"/>
      <c r="E5842" s="5"/>
      <c r="F5842" s="5" t="s">
        <v>8</v>
      </c>
      <c r="G5842" s="15" t="s">
        <v>9</v>
      </c>
      <c r="H5842" s="24">
        <f t="shared" si="1322"/>
        <v>0</v>
      </c>
      <c r="I5842" s="24" cm="1">
        <f t="array" ref="I5842">IFERROR(IF($B5842=I$1, ($A5842+$C5842) - MAX(IF($B$2:$B5841=$B5842, $A$2:$A5841+$C$2:$C5841)), "")*24*60, "")</f>
        <v>0</v>
      </c>
      <c r="J5842" s="24" t="str" cm="1">
        <f t="array" ref="J5842">IFERROR(IF($B5842=J$1, ($A5842+$C5842) - MAX(IF($B$2:$B5841=$B5842, $A$2:$A5841+$C$2:$C5841)), "")*24*60, "")</f>
        <v/>
      </c>
      <c r="K5842" s="24" t="str" cm="1">
        <f t="array" ref="K5842">IFERROR(IF($B5842=K$1, ($A5842+$C5842) - MAX(IF($B$2:$B5841=$B5842, $A$2:$A5841+$C$2:$C5841)), "")*24*60, "")</f>
        <v/>
      </c>
      <c r="L5842" s="24" t="str" cm="1">
        <f t="array" ref="L5842">IFERROR(IF($B5842=L$1, ($A5842+$C5842) - MAX(IF($B$2:$B5841=$B5842, $A$2:$A5841+$C$2:$C5841)), "")*24*60, "")</f>
        <v/>
      </c>
      <c r="M5842" s="24" t="str" cm="1">
        <f t="array" ref="M5842">IFERROR(IF($B5842=M$1, ($A5842+$C5842) - MAX(IF($B$2:$B5841=$B5842, $A$2:$A5841+$C$2:$C5841)), "")*24*60, "")</f>
        <v/>
      </c>
      <c r="N5842" s="24" t="str" cm="1">
        <f t="array" ref="N5842">IFERROR(IF($B5842=N$1, ($A5842+$C5842) - MAX(IF($B$2:$B5841=$B5842, $A$2:$A5841+$C$2:$C5841)), "")*24*60, "")</f>
        <v/>
      </c>
      <c r="O5842" s="24" t="str" cm="1">
        <f t="array" ref="O5842">IFERROR(IF($B5842=O$1, ($A5842+$C5842) - MAX(IF($B$2:$B5841=$B5842, $A$2:$A5841+$C$2:$C5841)), "")*24*60, "")</f>
        <v/>
      </c>
      <c r="P5842" s="24" t="str" cm="1">
        <f t="array" ref="P5842">IFERROR(IF($B5842=P$1, ($A5842+$C5842) - MAX(IF($B$2:$B5841=$B5842, $A$2:$A5841+$C$2:$C5841)), "")*24*60, "")</f>
        <v/>
      </c>
      <c r="Q5842" s="24" t="str" cm="1">
        <f t="array" ref="Q5842">IFERROR(IF($B5842=Q$1, ($A5842+$C5842) - MAX(IF($B$2:$B5841=$B5842, $A$2:$A5841+$C$2:$C5841)), "")*24*60, "")</f>
        <v/>
      </c>
      <c r="R5842" s="24" t="str" cm="1">
        <f t="array" ref="R5842">IFERROR(IF($B5842=R$1, ($A5842+$C5842) - MAX(IF($B$2:$B5841=$B5842, $A$2:$A5841+$C$2:$C5841)), "")*24*60, "")</f>
        <v/>
      </c>
      <c r="S5842" s="24" t="str" cm="1">
        <f t="array" ref="S5842">IFERROR(IF($B5842=S$1, ($A5842+$C5842) - MAX(IF($B$2:$B5841=$B5842, $A$2:$A5841+$C$2:$C5841)), "")*24*60, "")</f>
        <v/>
      </c>
    </row>
    <row r="5843" spans="1:19" x14ac:dyDescent="0.2">
      <c r="A5843" s="12">
        <f t="shared" ref="A5843:C5843" si="1378">A5842</f>
        <v>45985</v>
      </c>
      <c r="B5843" s="5" t="str">
        <f t="shared" si="1378"/>
        <v>Northern Cardinal</v>
      </c>
      <c r="C5843" s="6">
        <f t="shared" si="1378"/>
        <v>0.29166666666666669</v>
      </c>
      <c r="D5843" s="5"/>
      <c r="E5843" s="5"/>
      <c r="F5843" s="5" t="s">
        <v>8</v>
      </c>
      <c r="G5843" s="15" t="s">
        <v>9</v>
      </c>
      <c r="H5843" s="24">
        <f t="shared" si="1322"/>
        <v>0</v>
      </c>
      <c r="I5843" s="24" cm="1">
        <f t="array" ref="I5843">IFERROR(IF($B5843=I$1, ($A5843+$C5843) - MAX(IF($B$2:$B5842=$B5843, $A$2:$A5842+$C$2:$C5842)), "")*24*60, "")</f>
        <v>0</v>
      </c>
      <c r="J5843" s="24" t="str" cm="1">
        <f t="array" ref="J5843">IFERROR(IF($B5843=J$1, ($A5843+$C5843) - MAX(IF($B$2:$B5842=$B5843, $A$2:$A5842+$C$2:$C5842)), "")*24*60, "")</f>
        <v/>
      </c>
      <c r="K5843" s="24" t="str" cm="1">
        <f t="array" ref="K5843">IFERROR(IF($B5843=K$1, ($A5843+$C5843) - MAX(IF($B$2:$B5842=$B5843, $A$2:$A5842+$C$2:$C5842)), "")*24*60, "")</f>
        <v/>
      </c>
      <c r="L5843" s="24" t="str" cm="1">
        <f t="array" ref="L5843">IFERROR(IF($B5843=L$1, ($A5843+$C5843) - MAX(IF($B$2:$B5842=$B5843, $A$2:$A5842+$C$2:$C5842)), "")*24*60, "")</f>
        <v/>
      </c>
      <c r="M5843" s="24" t="str" cm="1">
        <f t="array" ref="M5843">IFERROR(IF($B5843=M$1, ($A5843+$C5843) - MAX(IF($B$2:$B5842=$B5843, $A$2:$A5842+$C$2:$C5842)), "")*24*60, "")</f>
        <v/>
      </c>
      <c r="N5843" s="24" t="str" cm="1">
        <f t="array" ref="N5843">IFERROR(IF($B5843=N$1, ($A5843+$C5843) - MAX(IF($B$2:$B5842=$B5843, $A$2:$A5842+$C$2:$C5842)), "")*24*60, "")</f>
        <v/>
      </c>
      <c r="O5843" s="24" t="str" cm="1">
        <f t="array" ref="O5843">IFERROR(IF($B5843=O$1, ($A5843+$C5843) - MAX(IF($B$2:$B5842=$B5843, $A$2:$A5842+$C$2:$C5842)), "")*24*60, "")</f>
        <v/>
      </c>
      <c r="P5843" s="24" t="str" cm="1">
        <f t="array" ref="P5843">IFERROR(IF($B5843=P$1, ($A5843+$C5843) - MAX(IF($B$2:$B5842=$B5843, $A$2:$A5842+$C$2:$C5842)), "")*24*60, "")</f>
        <v/>
      </c>
      <c r="Q5843" s="24" t="str" cm="1">
        <f t="array" ref="Q5843">IFERROR(IF($B5843=Q$1, ($A5843+$C5843) - MAX(IF($B$2:$B5842=$B5843, $A$2:$A5842+$C$2:$C5842)), "")*24*60, "")</f>
        <v/>
      </c>
      <c r="R5843" s="24" t="str" cm="1">
        <f t="array" ref="R5843">IFERROR(IF($B5843=R$1, ($A5843+$C5843) - MAX(IF($B$2:$B5842=$B5843, $A$2:$A5842+$C$2:$C5842)), "")*24*60, "")</f>
        <v/>
      </c>
      <c r="S5843" s="24" t="str" cm="1">
        <f t="array" ref="S5843">IFERROR(IF($B5843=S$1, ($A5843+$C5843) - MAX(IF($B$2:$B5842=$B5843, $A$2:$A5842+$C$2:$C5842)), "")*24*60, "")</f>
        <v/>
      </c>
    </row>
    <row r="5844" spans="1:19" x14ac:dyDescent="0.2">
      <c r="A5844" s="12">
        <f t="shared" ref="A5844:C5844" si="1379">A5843</f>
        <v>45985</v>
      </c>
      <c r="B5844" s="5" t="str">
        <f t="shared" si="1379"/>
        <v>Northern Cardinal</v>
      </c>
      <c r="C5844" s="6">
        <f t="shared" si="1379"/>
        <v>0.29166666666666669</v>
      </c>
      <c r="D5844" s="5"/>
      <c r="E5844" s="5"/>
      <c r="F5844" s="5" t="s">
        <v>8</v>
      </c>
      <c r="G5844" s="15" t="s">
        <v>9</v>
      </c>
      <c r="H5844" s="24">
        <f t="shared" si="1322"/>
        <v>0</v>
      </c>
      <c r="I5844" s="24" cm="1">
        <f t="array" ref="I5844">IFERROR(IF($B5844=I$1, ($A5844+$C5844) - MAX(IF($B$2:$B5843=$B5844, $A$2:$A5843+$C$2:$C5843)), "")*24*60, "")</f>
        <v>0</v>
      </c>
      <c r="J5844" s="24" t="str" cm="1">
        <f t="array" ref="J5844">IFERROR(IF($B5844=J$1, ($A5844+$C5844) - MAX(IF($B$2:$B5843=$B5844, $A$2:$A5843+$C$2:$C5843)), "")*24*60, "")</f>
        <v/>
      </c>
      <c r="K5844" s="24" t="str" cm="1">
        <f t="array" ref="K5844">IFERROR(IF($B5844=K$1, ($A5844+$C5844) - MAX(IF($B$2:$B5843=$B5844, $A$2:$A5843+$C$2:$C5843)), "")*24*60, "")</f>
        <v/>
      </c>
      <c r="L5844" s="24" t="str" cm="1">
        <f t="array" ref="L5844">IFERROR(IF($B5844=L$1, ($A5844+$C5844) - MAX(IF($B$2:$B5843=$B5844, $A$2:$A5843+$C$2:$C5843)), "")*24*60, "")</f>
        <v/>
      </c>
      <c r="M5844" s="24" t="str" cm="1">
        <f t="array" ref="M5844">IFERROR(IF($B5844=M$1, ($A5844+$C5844) - MAX(IF($B$2:$B5843=$B5844, $A$2:$A5843+$C$2:$C5843)), "")*24*60, "")</f>
        <v/>
      </c>
      <c r="N5844" s="24" t="str" cm="1">
        <f t="array" ref="N5844">IFERROR(IF($B5844=N$1, ($A5844+$C5844) - MAX(IF($B$2:$B5843=$B5844, $A$2:$A5843+$C$2:$C5843)), "")*24*60, "")</f>
        <v/>
      </c>
      <c r="O5844" s="24" t="str" cm="1">
        <f t="array" ref="O5844">IFERROR(IF($B5844=O$1, ($A5844+$C5844) - MAX(IF($B$2:$B5843=$B5844, $A$2:$A5843+$C$2:$C5843)), "")*24*60, "")</f>
        <v/>
      </c>
      <c r="P5844" s="24" t="str" cm="1">
        <f t="array" ref="P5844">IFERROR(IF($B5844=P$1, ($A5844+$C5844) - MAX(IF($B$2:$B5843=$B5844, $A$2:$A5843+$C$2:$C5843)), "")*24*60, "")</f>
        <v/>
      </c>
      <c r="Q5844" s="24" t="str" cm="1">
        <f t="array" ref="Q5844">IFERROR(IF($B5844=Q$1, ($A5844+$C5844) - MAX(IF($B$2:$B5843=$B5844, $A$2:$A5843+$C$2:$C5843)), "")*24*60, "")</f>
        <v/>
      </c>
      <c r="R5844" s="24" t="str" cm="1">
        <f t="array" ref="R5844">IFERROR(IF($B5844=R$1, ($A5844+$C5844) - MAX(IF($B$2:$B5843=$B5844, $A$2:$A5843+$C$2:$C5843)), "")*24*60, "")</f>
        <v/>
      </c>
      <c r="S5844" s="24" t="str" cm="1">
        <f t="array" ref="S5844">IFERROR(IF($B5844=S$1, ($A5844+$C5844) - MAX(IF($B$2:$B5843=$B5844, $A$2:$A5843+$C$2:$C5843)), "")*24*60, "")</f>
        <v/>
      </c>
    </row>
    <row r="5845" spans="1:19" x14ac:dyDescent="0.2">
      <c r="A5845" s="12">
        <f t="shared" ref="A5845:C5845" si="1380">A5844</f>
        <v>45985</v>
      </c>
      <c r="B5845" s="5" t="str">
        <f t="shared" si="1380"/>
        <v>Northern Cardinal</v>
      </c>
      <c r="C5845" s="6">
        <f t="shared" si="1380"/>
        <v>0.29166666666666669</v>
      </c>
      <c r="D5845" s="5"/>
      <c r="E5845" s="5"/>
      <c r="F5845" s="5" t="s">
        <v>8</v>
      </c>
      <c r="G5845" s="15" t="s">
        <v>9</v>
      </c>
      <c r="H5845" s="24">
        <f t="shared" si="1322"/>
        <v>0</v>
      </c>
      <c r="I5845" s="24" cm="1">
        <f t="array" ref="I5845">IFERROR(IF($B5845=I$1, ($A5845+$C5845) - MAX(IF($B$2:$B5844=$B5845, $A$2:$A5844+$C$2:$C5844)), "")*24*60, "")</f>
        <v>0</v>
      </c>
      <c r="J5845" s="24" t="str" cm="1">
        <f t="array" ref="J5845">IFERROR(IF($B5845=J$1, ($A5845+$C5845) - MAX(IF($B$2:$B5844=$B5845, $A$2:$A5844+$C$2:$C5844)), "")*24*60, "")</f>
        <v/>
      </c>
      <c r="K5845" s="24" t="str" cm="1">
        <f t="array" ref="K5845">IFERROR(IF($B5845=K$1, ($A5845+$C5845) - MAX(IF($B$2:$B5844=$B5845, $A$2:$A5844+$C$2:$C5844)), "")*24*60, "")</f>
        <v/>
      </c>
      <c r="L5845" s="24" t="str" cm="1">
        <f t="array" ref="L5845">IFERROR(IF($B5845=L$1, ($A5845+$C5845) - MAX(IF($B$2:$B5844=$B5845, $A$2:$A5844+$C$2:$C5844)), "")*24*60, "")</f>
        <v/>
      </c>
      <c r="M5845" s="24" t="str" cm="1">
        <f t="array" ref="M5845">IFERROR(IF($B5845=M$1, ($A5845+$C5845) - MAX(IF($B$2:$B5844=$B5845, $A$2:$A5844+$C$2:$C5844)), "")*24*60, "")</f>
        <v/>
      </c>
      <c r="N5845" s="24" t="str" cm="1">
        <f t="array" ref="N5845">IFERROR(IF($B5845=N$1, ($A5845+$C5845) - MAX(IF($B$2:$B5844=$B5845, $A$2:$A5844+$C$2:$C5844)), "")*24*60, "")</f>
        <v/>
      </c>
      <c r="O5845" s="24" t="str" cm="1">
        <f t="array" ref="O5845">IFERROR(IF($B5845=O$1, ($A5845+$C5845) - MAX(IF($B$2:$B5844=$B5845, $A$2:$A5844+$C$2:$C5844)), "")*24*60, "")</f>
        <v/>
      </c>
      <c r="P5845" s="24" t="str" cm="1">
        <f t="array" ref="P5845">IFERROR(IF($B5845=P$1, ($A5845+$C5845) - MAX(IF($B$2:$B5844=$B5845, $A$2:$A5844+$C$2:$C5844)), "")*24*60, "")</f>
        <v/>
      </c>
      <c r="Q5845" s="24" t="str" cm="1">
        <f t="array" ref="Q5845">IFERROR(IF($B5845=Q$1, ($A5845+$C5845) - MAX(IF($B$2:$B5844=$B5845, $A$2:$A5844+$C$2:$C5844)), "")*24*60, "")</f>
        <v/>
      </c>
      <c r="R5845" s="24" t="str" cm="1">
        <f t="array" ref="R5845">IFERROR(IF($B5845=R$1, ($A5845+$C5845) - MAX(IF($B$2:$B5844=$B5845, $A$2:$A5844+$C$2:$C5844)), "")*24*60, "")</f>
        <v/>
      </c>
      <c r="S5845" s="24" t="str" cm="1">
        <f t="array" ref="S5845">IFERROR(IF($B5845=S$1, ($A5845+$C5845) - MAX(IF($B$2:$B5844=$B5845, $A$2:$A5844+$C$2:$C5844)), "")*24*60, "")</f>
        <v/>
      </c>
    </row>
    <row r="5846" spans="1:19" x14ac:dyDescent="0.2">
      <c r="A5846" s="12">
        <f t="shared" ref="A5846:C5846" si="1381">A5845</f>
        <v>45985</v>
      </c>
      <c r="B5846" s="5" t="str">
        <f t="shared" si="1381"/>
        <v>Northern Cardinal</v>
      </c>
      <c r="C5846" s="6">
        <f t="shared" si="1381"/>
        <v>0.29166666666666669</v>
      </c>
      <c r="D5846" s="5"/>
      <c r="E5846" s="5"/>
      <c r="F5846" s="5" t="s">
        <v>8</v>
      </c>
      <c r="G5846" s="15" t="s">
        <v>9</v>
      </c>
      <c r="H5846" s="24">
        <f t="shared" si="1322"/>
        <v>0</v>
      </c>
      <c r="I5846" s="24" cm="1">
        <f t="array" ref="I5846">IFERROR(IF($B5846=I$1, ($A5846+$C5846) - MAX(IF($B$2:$B5845=$B5846, $A$2:$A5845+$C$2:$C5845)), "")*24*60, "")</f>
        <v>0</v>
      </c>
      <c r="J5846" s="24" t="str" cm="1">
        <f t="array" ref="J5846">IFERROR(IF($B5846=J$1, ($A5846+$C5846) - MAX(IF($B$2:$B5845=$B5846, $A$2:$A5845+$C$2:$C5845)), "")*24*60, "")</f>
        <v/>
      </c>
      <c r="K5846" s="24" t="str" cm="1">
        <f t="array" ref="K5846">IFERROR(IF($B5846=K$1, ($A5846+$C5846) - MAX(IF($B$2:$B5845=$B5846, $A$2:$A5845+$C$2:$C5845)), "")*24*60, "")</f>
        <v/>
      </c>
      <c r="L5846" s="24" t="str" cm="1">
        <f t="array" ref="L5846">IFERROR(IF($B5846=L$1, ($A5846+$C5846) - MAX(IF($B$2:$B5845=$B5846, $A$2:$A5845+$C$2:$C5845)), "")*24*60, "")</f>
        <v/>
      </c>
      <c r="M5846" s="24" t="str" cm="1">
        <f t="array" ref="M5846">IFERROR(IF($B5846=M$1, ($A5846+$C5846) - MAX(IF($B$2:$B5845=$B5846, $A$2:$A5845+$C$2:$C5845)), "")*24*60, "")</f>
        <v/>
      </c>
      <c r="N5846" s="24" t="str" cm="1">
        <f t="array" ref="N5846">IFERROR(IF($B5846=N$1, ($A5846+$C5846) - MAX(IF($B$2:$B5845=$B5846, $A$2:$A5845+$C$2:$C5845)), "")*24*60, "")</f>
        <v/>
      </c>
      <c r="O5846" s="24" t="str" cm="1">
        <f t="array" ref="O5846">IFERROR(IF($B5846=O$1, ($A5846+$C5846) - MAX(IF($B$2:$B5845=$B5846, $A$2:$A5845+$C$2:$C5845)), "")*24*60, "")</f>
        <v/>
      </c>
      <c r="P5846" s="24" t="str" cm="1">
        <f t="array" ref="P5846">IFERROR(IF($B5846=P$1, ($A5846+$C5846) - MAX(IF($B$2:$B5845=$B5846, $A$2:$A5845+$C$2:$C5845)), "")*24*60, "")</f>
        <v/>
      </c>
      <c r="Q5846" s="24" t="str" cm="1">
        <f t="array" ref="Q5846">IFERROR(IF($B5846=Q$1, ($A5846+$C5846) - MAX(IF($B$2:$B5845=$B5846, $A$2:$A5845+$C$2:$C5845)), "")*24*60, "")</f>
        <v/>
      </c>
      <c r="R5846" s="24" t="str" cm="1">
        <f t="array" ref="R5846">IFERROR(IF($B5846=R$1, ($A5846+$C5846) - MAX(IF($B$2:$B5845=$B5846, $A$2:$A5845+$C$2:$C5845)), "")*24*60, "")</f>
        <v/>
      </c>
      <c r="S5846" s="24" t="str" cm="1">
        <f t="array" ref="S5846">IFERROR(IF($B5846=S$1, ($A5846+$C5846) - MAX(IF($B$2:$B5845=$B5846, $A$2:$A5845+$C$2:$C5845)), "")*24*60, "")</f>
        <v/>
      </c>
    </row>
    <row r="5847" spans="1:19" x14ac:dyDescent="0.2">
      <c r="A5847" s="12">
        <f t="shared" ref="A5847:C5847" si="1382">A5846</f>
        <v>45985</v>
      </c>
      <c r="B5847" s="5" t="str">
        <f t="shared" si="1382"/>
        <v>Northern Cardinal</v>
      </c>
      <c r="C5847" s="6">
        <f t="shared" si="1382"/>
        <v>0.29166666666666669</v>
      </c>
      <c r="D5847" s="5"/>
      <c r="E5847" s="5"/>
      <c r="F5847" s="5" t="s">
        <v>8</v>
      </c>
      <c r="G5847" s="15" t="s">
        <v>9</v>
      </c>
      <c r="H5847" s="24">
        <f t="shared" si="1322"/>
        <v>0</v>
      </c>
      <c r="I5847" s="24" cm="1">
        <f t="array" ref="I5847">IFERROR(IF($B5847=I$1, ($A5847+$C5847) - MAX(IF($B$2:$B5846=$B5847, $A$2:$A5846+$C$2:$C5846)), "")*24*60, "")</f>
        <v>0</v>
      </c>
      <c r="J5847" s="24" t="str" cm="1">
        <f t="array" ref="J5847">IFERROR(IF($B5847=J$1, ($A5847+$C5847) - MAX(IF($B$2:$B5846=$B5847, $A$2:$A5846+$C$2:$C5846)), "")*24*60, "")</f>
        <v/>
      </c>
      <c r="K5847" s="24" t="str" cm="1">
        <f t="array" ref="K5847">IFERROR(IF($B5847=K$1, ($A5847+$C5847) - MAX(IF($B$2:$B5846=$B5847, $A$2:$A5846+$C$2:$C5846)), "")*24*60, "")</f>
        <v/>
      </c>
      <c r="L5847" s="24" t="str" cm="1">
        <f t="array" ref="L5847">IFERROR(IF($B5847=L$1, ($A5847+$C5847) - MAX(IF($B$2:$B5846=$B5847, $A$2:$A5846+$C$2:$C5846)), "")*24*60, "")</f>
        <v/>
      </c>
      <c r="M5847" s="24" t="str" cm="1">
        <f t="array" ref="M5847">IFERROR(IF($B5847=M$1, ($A5847+$C5847) - MAX(IF($B$2:$B5846=$B5847, $A$2:$A5846+$C$2:$C5846)), "")*24*60, "")</f>
        <v/>
      </c>
      <c r="N5847" s="24" t="str" cm="1">
        <f t="array" ref="N5847">IFERROR(IF($B5847=N$1, ($A5847+$C5847) - MAX(IF($B$2:$B5846=$B5847, $A$2:$A5846+$C$2:$C5846)), "")*24*60, "")</f>
        <v/>
      </c>
      <c r="O5847" s="24" t="str" cm="1">
        <f t="array" ref="O5847">IFERROR(IF($B5847=O$1, ($A5847+$C5847) - MAX(IF($B$2:$B5846=$B5847, $A$2:$A5846+$C$2:$C5846)), "")*24*60, "")</f>
        <v/>
      </c>
      <c r="P5847" s="24" t="str" cm="1">
        <f t="array" ref="P5847">IFERROR(IF($B5847=P$1, ($A5847+$C5847) - MAX(IF($B$2:$B5846=$B5847, $A$2:$A5846+$C$2:$C5846)), "")*24*60, "")</f>
        <v/>
      </c>
      <c r="Q5847" s="24" t="str" cm="1">
        <f t="array" ref="Q5847">IFERROR(IF($B5847=Q$1, ($A5847+$C5847) - MAX(IF($B$2:$B5846=$B5847, $A$2:$A5846+$C$2:$C5846)), "")*24*60, "")</f>
        <v/>
      </c>
      <c r="R5847" s="24" t="str" cm="1">
        <f t="array" ref="R5847">IFERROR(IF($B5847=R$1, ($A5847+$C5847) - MAX(IF($B$2:$B5846=$B5847, $A$2:$A5846+$C$2:$C5846)), "")*24*60, "")</f>
        <v/>
      </c>
      <c r="S5847" s="24" t="str" cm="1">
        <f t="array" ref="S5847">IFERROR(IF($B5847=S$1, ($A5847+$C5847) - MAX(IF($B$2:$B5846=$B5847, $A$2:$A5846+$C$2:$C5846)), "")*24*60, "")</f>
        <v/>
      </c>
    </row>
    <row r="5848" spans="1:19" x14ac:dyDescent="0.2">
      <c r="A5848" s="12">
        <f t="shared" ref="A5848:C5848" si="1383">A5847</f>
        <v>45985</v>
      </c>
      <c r="B5848" s="5" t="str">
        <f t="shared" si="1383"/>
        <v>Northern Cardinal</v>
      </c>
      <c r="C5848" s="6">
        <f t="shared" si="1383"/>
        <v>0.29166666666666669</v>
      </c>
      <c r="D5848" s="5"/>
      <c r="E5848" s="5"/>
      <c r="F5848" s="5" t="s">
        <v>8</v>
      </c>
      <c r="G5848" s="15" t="s">
        <v>9</v>
      </c>
      <c r="H5848" s="24">
        <f t="shared" si="1322"/>
        <v>0</v>
      </c>
      <c r="I5848" s="24" cm="1">
        <f t="array" ref="I5848">IFERROR(IF($B5848=I$1, ($A5848+$C5848) - MAX(IF($B$2:$B5847=$B5848, $A$2:$A5847+$C$2:$C5847)), "")*24*60, "")</f>
        <v>0</v>
      </c>
      <c r="J5848" s="24" t="str" cm="1">
        <f t="array" ref="J5848">IFERROR(IF($B5848=J$1, ($A5848+$C5848) - MAX(IF($B$2:$B5847=$B5848, $A$2:$A5847+$C$2:$C5847)), "")*24*60, "")</f>
        <v/>
      </c>
      <c r="K5848" s="24" t="str" cm="1">
        <f t="array" ref="K5848">IFERROR(IF($B5848=K$1, ($A5848+$C5848) - MAX(IF($B$2:$B5847=$B5848, $A$2:$A5847+$C$2:$C5847)), "")*24*60, "")</f>
        <v/>
      </c>
      <c r="L5848" s="24" t="str" cm="1">
        <f t="array" ref="L5848">IFERROR(IF($B5848=L$1, ($A5848+$C5848) - MAX(IF($B$2:$B5847=$B5848, $A$2:$A5847+$C$2:$C5847)), "")*24*60, "")</f>
        <v/>
      </c>
      <c r="M5848" s="24" t="str" cm="1">
        <f t="array" ref="M5848">IFERROR(IF($B5848=M$1, ($A5848+$C5848) - MAX(IF($B$2:$B5847=$B5848, $A$2:$A5847+$C$2:$C5847)), "")*24*60, "")</f>
        <v/>
      </c>
      <c r="N5848" s="24" t="str" cm="1">
        <f t="array" ref="N5848">IFERROR(IF($B5848=N$1, ($A5848+$C5848) - MAX(IF($B$2:$B5847=$B5848, $A$2:$A5847+$C$2:$C5847)), "")*24*60, "")</f>
        <v/>
      </c>
      <c r="O5848" s="24" t="str" cm="1">
        <f t="array" ref="O5848">IFERROR(IF($B5848=O$1, ($A5848+$C5848) - MAX(IF($B$2:$B5847=$B5848, $A$2:$A5847+$C$2:$C5847)), "")*24*60, "")</f>
        <v/>
      </c>
      <c r="P5848" s="24" t="str" cm="1">
        <f t="array" ref="P5848">IFERROR(IF($B5848=P$1, ($A5848+$C5848) - MAX(IF($B$2:$B5847=$B5848, $A$2:$A5847+$C$2:$C5847)), "")*24*60, "")</f>
        <v/>
      </c>
      <c r="Q5848" s="24" t="str" cm="1">
        <f t="array" ref="Q5848">IFERROR(IF($B5848=Q$1, ($A5848+$C5848) - MAX(IF($B$2:$B5847=$B5848, $A$2:$A5847+$C$2:$C5847)), "")*24*60, "")</f>
        <v/>
      </c>
      <c r="R5848" s="24" t="str" cm="1">
        <f t="array" ref="R5848">IFERROR(IF($B5848=R$1, ($A5848+$C5848) - MAX(IF($B$2:$B5847=$B5848, $A$2:$A5847+$C$2:$C5847)), "")*24*60, "")</f>
        <v/>
      </c>
      <c r="S5848" s="24" t="str" cm="1">
        <f t="array" ref="S5848">IFERROR(IF($B5848=S$1, ($A5848+$C5848) - MAX(IF($B$2:$B5847=$B5848, $A$2:$A5847+$C$2:$C5847)), "")*24*60, "")</f>
        <v/>
      </c>
    </row>
    <row r="5849" spans="1:19" x14ac:dyDescent="0.2">
      <c r="A5849" s="12">
        <f t="shared" ref="A5849:C5849" si="1384">A5848</f>
        <v>45985</v>
      </c>
      <c r="B5849" s="5" t="str">
        <f t="shared" si="1384"/>
        <v>Northern Cardinal</v>
      </c>
      <c r="C5849" s="6">
        <f t="shared" si="1384"/>
        <v>0.29166666666666669</v>
      </c>
      <c r="D5849" s="5"/>
      <c r="E5849" s="5"/>
      <c r="F5849" s="5" t="s">
        <v>8</v>
      </c>
      <c r="G5849" s="15" t="s">
        <v>9</v>
      </c>
      <c r="H5849" s="24">
        <f t="shared" si="1322"/>
        <v>0</v>
      </c>
      <c r="I5849" s="24" cm="1">
        <f t="array" ref="I5849">IFERROR(IF($B5849=I$1, ($A5849+$C5849) - MAX(IF($B$2:$B5848=$B5849, $A$2:$A5848+$C$2:$C5848)), "")*24*60, "")</f>
        <v>0</v>
      </c>
      <c r="J5849" s="24" t="str" cm="1">
        <f t="array" ref="J5849">IFERROR(IF($B5849=J$1, ($A5849+$C5849) - MAX(IF($B$2:$B5848=$B5849, $A$2:$A5848+$C$2:$C5848)), "")*24*60, "")</f>
        <v/>
      </c>
      <c r="K5849" s="24" t="str" cm="1">
        <f t="array" ref="K5849">IFERROR(IF($B5849=K$1, ($A5849+$C5849) - MAX(IF($B$2:$B5848=$B5849, $A$2:$A5848+$C$2:$C5848)), "")*24*60, "")</f>
        <v/>
      </c>
      <c r="L5849" s="24" t="str" cm="1">
        <f t="array" ref="L5849">IFERROR(IF($B5849=L$1, ($A5849+$C5849) - MAX(IF($B$2:$B5848=$B5849, $A$2:$A5848+$C$2:$C5848)), "")*24*60, "")</f>
        <v/>
      </c>
      <c r="M5849" s="24" t="str" cm="1">
        <f t="array" ref="M5849">IFERROR(IF($B5849=M$1, ($A5849+$C5849) - MAX(IF($B$2:$B5848=$B5849, $A$2:$A5848+$C$2:$C5848)), "")*24*60, "")</f>
        <v/>
      </c>
      <c r="N5849" s="24" t="str" cm="1">
        <f t="array" ref="N5849">IFERROR(IF($B5849=N$1, ($A5849+$C5849) - MAX(IF($B$2:$B5848=$B5849, $A$2:$A5848+$C$2:$C5848)), "")*24*60, "")</f>
        <v/>
      </c>
      <c r="O5849" s="24" t="str" cm="1">
        <f t="array" ref="O5849">IFERROR(IF($B5849=O$1, ($A5849+$C5849) - MAX(IF($B$2:$B5848=$B5849, $A$2:$A5848+$C$2:$C5848)), "")*24*60, "")</f>
        <v/>
      </c>
      <c r="P5849" s="24" t="str" cm="1">
        <f t="array" ref="P5849">IFERROR(IF($B5849=P$1, ($A5849+$C5849) - MAX(IF($B$2:$B5848=$B5849, $A$2:$A5848+$C$2:$C5848)), "")*24*60, "")</f>
        <v/>
      </c>
      <c r="Q5849" s="24" t="str" cm="1">
        <f t="array" ref="Q5849">IFERROR(IF($B5849=Q$1, ($A5849+$C5849) - MAX(IF($B$2:$B5848=$B5849, $A$2:$A5848+$C$2:$C5848)), "")*24*60, "")</f>
        <v/>
      </c>
      <c r="R5849" s="24" t="str" cm="1">
        <f t="array" ref="R5849">IFERROR(IF($B5849=R$1, ($A5849+$C5849) - MAX(IF($B$2:$B5848=$B5849, $A$2:$A5848+$C$2:$C5848)), "")*24*60, "")</f>
        <v/>
      </c>
      <c r="S5849" s="24" t="str" cm="1">
        <f t="array" ref="S5849">IFERROR(IF($B5849=S$1, ($A5849+$C5849) - MAX(IF($B$2:$B5848=$B5849, $A$2:$A5848+$C$2:$C5848)), "")*24*60, "")</f>
        <v/>
      </c>
    </row>
    <row r="5850" spans="1:19" x14ac:dyDescent="0.2">
      <c r="A5850" s="12">
        <f t="shared" ref="A5850:C5850" si="1385">A5849</f>
        <v>45985</v>
      </c>
      <c r="B5850" s="5" t="str">
        <f t="shared" si="1385"/>
        <v>Northern Cardinal</v>
      </c>
      <c r="C5850" s="6">
        <f t="shared" si="1385"/>
        <v>0.29166666666666669</v>
      </c>
      <c r="D5850" s="5"/>
      <c r="E5850" s="5"/>
      <c r="F5850" s="5" t="s">
        <v>8</v>
      </c>
      <c r="G5850" s="15" t="s">
        <v>9</v>
      </c>
      <c r="H5850" s="24">
        <f t="shared" si="1322"/>
        <v>0</v>
      </c>
      <c r="I5850" s="24" cm="1">
        <f t="array" ref="I5850">IFERROR(IF($B5850=I$1, ($A5850+$C5850) - MAX(IF($B$2:$B5849=$B5850, $A$2:$A5849+$C$2:$C5849)), "")*24*60, "")</f>
        <v>0</v>
      </c>
      <c r="J5850" s="24" t="str" cm="1">
        <f t="array" ref="J5850">IFERROR(IF($B5850=J$1, ($A5850+$C5850) - MAX(IF($B$2:$B5849=$B5850, $A$2:$A5849+$C$2:$C5849)), "")*24*60, "")</f>
        <v/>
      </c>
      <c r="K5850" s="24" t="str" cm="1">
        <f t="array" ref="K5850">IFERROR(IF($B5850=K$1, ($A5850+$C5850) - MAX(IF($B$2:$B5849=$B5850, $A$2:$A5849+$C$2:$C5849)), "")*24*60, "")</f>
        <v/>
      </c>
      <c r="L5850" s="24" t="str" cm="1">
        <f t="array" ref="L5850">IFERROR(IF($B5850=L$1, ($A5850+$C5850) - MAX(IF($B$2:$B5849=$B5850, $A$2:$A5849+$C$2:$C5849)), "")*24*60, "")</f>
        <v/>
      </c>
      <c r="M5850" s="24" t="str" cm="1">
        <f t="array" ref="M5850">IFERROR(IF($B5850=M$1, ($A5850+$C5850) - MAX(IF($B$2:$B5849=$B5850, $A$2:$A5849+$C$2:$C5849)), "")*24*60, "")</f>
        <v/>
      </c>
      <c r="N5850" s="24" t="str" cm="1">
        <f t="array" ref="N5850">IFERROR(IF($B5850=N$1, ($A5850+$C5850) - MAX(IF($B$2:$B5849=$B5850, $A$2:$A5849+$C$2:$C5849)), "")*24*60, "")</f>
        <v/>
      </c>
      <c r="O5850" s="24" t="str" cm="1">
        <f t="array" ref="O5850">IFERROR(IF($B5850=O$1, ($A5850+$C5850) - MAX(IF($B$2:$B5849=$B5850, $A$2:$A5849+$C$2:$C5849)), "")*24*60, "")</f>
        <v/>
      </c>
      <c r="P5850" s="24" t="str" cm="1">
        <f t="array" ref="P5850">IFERROR(IF($B5850=P$1, ($A5850+$C5850) - MAX(IF($B$2:$B5849=$B5850, $A$2:$A5849+$C$2:$C5849)), "")*24*60, "")</f>
        <v/>
      </c>
      <c r="Q5850" s="24" t="str" cm="1">
        <f t="array" ref="Q5850">IFERROR(IF($B5850=Q$1, ($A5850+$C5850) - MAX(IF($B$2:$B5849=$B5850, $A$2:$A5849+$C$2:$C5849)), "")*24*60, "")</f>
        <v/>
      </c>
      <c r="R5850" s="24" t="str" cm="1">
        <f t="array" ref="R5850">IFERROR(IF($B5850=R$1, ($A5850+$C5850) - MAX(IF($B$2:$B5849=$B5850, $A$2:$A5849+$C$2:$C5849)), "")*24*60, "")</f>
        <v/>
      </c>
      <c r="S5850" s="24" t="str" cm="1">
        <f t="array" ref="S5850">IFERROR(IF($B5850=S$1, ($A5850+$C5850) - MAX(IF($B$2:$B5849=$B5850, $A$2:$A5849+$C$2:$C5849)), "")*24*60, "")</f>
        <v/>
      </c>
    </row>
    <row r="5851" spans="1:19" x14ac:dyDescent="0.2">
      <c r="A5851" s="12">
        <f t="shared" ref="A5851:C5851" si="1386">A5850</f>
        <v>45985</v>
      </c>
      <c r="B5851" s="5" t="str">
        <f t="shared" si="1386"/>
        <v>Northern Cardinal</v>
      </c>
      <c r="C5851" s="6">
        <f t="shared" si="1386"/>
        <v>0.29166666666666669</v>
      </c>
      <c r="D5851" s="5"/>
      <c r="E5851" s="5"/>
      <c r="F5851" s="5" t="s">
        <v>8</v>
      </c>
      <c r="G5851" s="15" t="s">
        <v>9</v>
      </c>
      <c r="H5851" s="24">
        <f t="shared" ref="H5851:H5859" si="1387">IFERROR((($A5851+$C5851) - ($A5850+$C5850))*24*60, "")</f>
        <v>0</v>
      </c>
      <c r="I5851" s="24" cm="1">
        <f t="array" ref="I5851">IFERROR(IF($B5851=I$1, ($A5851+$C5851) - MAX(IF($B$2:$B5850=$B5851, $A$2:$A5850+$C$2:$C5850)), "")*24*60, "")</f>
        <v>0</v>
      </c>
      <c r="J5851" s="24" t="str" cm="1">
        <f t="array" ref="J5851">IFERROR(IF($B5851=J$1, ($A5851+$C5851) - MAX(IF($B$2:$B5850=$B5851, $A$2:$A5850+$C$2:$C5850)), "")*24*60, "")</f>
        <v/>
      </c>
      <c r="K5851" s="24" t="str" cm="1">
        <f t="array" ref="K5851">IFERROR(IF($B5851=K$1, ($A5851+$C5851) - MAX(IF($B$2:$B5850=$B5851, $A$2:$A5850+$C$2:$C5850)), "")*24*60, "")</f>
        <v/>
      </c>
      <c r="L5851" s="24" t="str" cm="1">
        <f t="array" ref="L5851">IFERROR(IF($B5851=L$1, ($A5851+$C5851) - MAX(IF($B$2:$B5850=$B5851, $A$2:$A5850+$C$2:$C5850)), "")*24*60, "")</f>
        <v/>
      </c>
      <c r="M5851" s="24" t="str" cm="1">
        <f t="array" ref="M5851">IFERROR(IF($B5851=M$1, ($A5851+$C5851) - MAX(IF($B$2:$B5850=$B5851, $A$2:$A5850+$C$2:$C5850)), "")*24*60, "")</f>
        <v/>
      </c>
      <c r="N5851" s="24" t="str" cm="1">
        <f t="array" ref="N5851">IFERROR(IF($B5851=N$1, ($A5851+$C5851) - MAX(IF($B$2:$B5850=$B5851, $A$2:$A5850+$C$2:$C5850)), "")*24*60, "")</f>
        <v/>
      </c>
      <c r="O5851" s="24" t="str" cm="1">
        <f t="array" ref="O5851">IFERROR(IF($B5851=O$1, ($A5851+$C5851) - MAX(IF($B$2:$B5850=$B5851, $A$2:$A5850+$C$2:$C5850)), "")*24*60, "")</f>
        <v/>
      </c>
      <c r="P5851" s="24" t="str" cm="1">
        <f t="array" ref="P5851">IFERROR(IF($B5851=P$1, ($A5851+$C5851) - MAX(IF($B$2:$B5850=$B5851, $A$2:$A5850+$C$2:$C5850)), "")*24*60, "")</f>
        <v/>
      </c>
      <c r="Q5851" s="24" t="str" cm="1">
        <f t="array" ref="Q5851">IFERROR(IF($B5851=Q$1, ($A5851+$C5851) - MAX(IF($B$2:$B5850=$B5851, $A$2:$A5850+$C$2:$C5850)), "")*24*60, "")</f>
        <v/>
      </c>
      <c r="R5851" s="24" t="str" cm="1">
        <f t="array" ref="R5851">IFERROR(IF($B5851=R$1, ($A5851+$C5851) - MAX(IF($B$2:$B5850=$B5851, $A$2:$A5850+$C$2:$C5850)), "")*24*60, "")</f>
        <v/>
      </c>
      <c r="S5851" s="24" t="str" cm="1">
        <f t="array" ref="S5851">IFERROR(IF($B5851=S$1, ($A5851+$C5851) - MAX(IF($B$2:$B5850=$B5851, $A$2:$A5850+$C$2:$C5850)), "")*24*60, "")</f>
        <v/>
      </c>
    </row>
    <row r="5852" spans="1:19" x14ac:dyDescent="0.2">
      <c r="A5852" s="12">
        <f t="shared" ref="A5852:C5852" si="1388">A5851</f>
        <v>45985</v>
      </c>
      <c r="B5852" s="5" t="str">
        <f t="shared" si="1388"/>
        <v>Northern Cardinal</v>
      </c>
      <c r="C5852" s="6">
        <f t="shared" si="1388"/>
        <v>0.29166666666666669</v>
      </c>
      <c r="D5852" s="5"/>
      <c r="E5852" s="5"/>
      <c r="F5852" s="5" t="s">
        <v>8</v>
      </c>
      <c r="G5852" s="15" t="s">
        <v>9</v>
      </c>
      <c r="H5852" s="24">
        <f t="shared" si="1387"/>
        <v>0</v>
      </c>
      <c r="I5852" s="24" cm="1">
        <f t="array" ref="I5852">IFERROR(IF($B5852=I$1, ($A5852+$C5852) - MAX(IF($B$2:$B5851=$B5852, $A$2:$A5851+$C$2:$C5851)), "")*24*60, "")</f>
        <v>0</v>
      </c>
      <c r="J5852" s="24" t="str" cm="1">
        <f t="array" ref="J5852">IFERROR(IF($B5852=J$1, ($A5852+$C5852) - MAX(IF($B$2:$B5851=$B5852, $A$2:$A5851+$C$2:$C5851)), "")*24*60, "")</f>
        <v/>
      </c>
      <c r="K5852" s="24" t="str" cm="1">
        <f t="array" ref="K5852">IFERROR(IF($B5852=K$1, ($A5852+$C5852) - MAX(IF($B$2:$B5851=$B5852, $A$2:$A5851+$C$2:$C5851)), "")*24*60, "")</f>
        <v/>
      </c>
      <c r="L5852" s="24" t="str" cm="1">
        <f t="array" ref="L5852">IFERROR(IF($B5852=L$1, ($A5852+$C5852) - MAX(IF($B$2:$B5851=$B5852, $A$2:$A5851+$C$2:$C5851)), "")*24*60, "")</f>
        <v/>
      </c>
      <c r="M5852" s="24" t="str" cm="1">
        <f t="array" ref="M5852">IFERROR(IF($B5852=M$1, ($A5852+$C5852) - MAX(IF($B$2:$B5851=$B5852, $A$2:$A5851+$C$2:$C5851)), "")*24*60, "")</f>
        <v/>
      </c>
      <c r="N5852" s="24" t="str" cm="1">
        <f t="array" ref="N5852">IFERROR(IF($B5852=N$1, ($A5852+$C5852) - MAX(IF($B$2:$B5851=$B5852, $A$2:$A5851+$C$2:$C5851)), "")*24*60, "")</f>
        <v/>
      </c>
      <c r="O5852" s="24" t="str" cm="1">
        <f t="array" ref="O5852">IFERROR(IF($B5852=O$1, ($A5852+$C5852) - MAX(IF($B$2:$B5851=$B5852, $A$2:$A5851+$C$2:$C5851)), "")*24*60, "")</f>
        <v/>
      </c>
      <c r="P5852" s="24" t="str" cm="1">
        <f t="array" ref="P5852">IFERROR(IF($B5852=P$1, ($A5852+$C5852) - MAX(IF($B$2:$B5851=$B5852, $A$2:$A5851+$C$2:$C5851)), "")*24*60, "")</f>
        <v/>
      </c>
      <c r="Q5852" s="24" t="str" cm="1">
        <f t="array" ref="Q5852">IFERROR(IF($B5852=Q$1, ($A5852+$C5852) - MAX(IF($B$2:$B5851=$B5852, $A$2:$A5851+$C$2:$C5851)), "")*24*60, "")</f>
        <v/>
      </c>
      <c r="R5852" s="24" t="str" cm="1">
        <f t="array" ref="R5852">IFERROR(IF($B5852=R$1, ($A5852+$C5852) - MAX(IF($B$2:$B5851=$B5852, $A$2:$A5851+$C$2:$C5851)), "")*24*60, "")</f>
        <v/>
      </c>
      <c r="S5852" s="24" t="str" cm="1">
        <f t="array" ref="S5852">IFERROR(IF($B5852=S$1, ($A5852+$C5852) - MAX(IF($B$2:$B5851=$B5852, $A$2:$A5851+$C$2:$C5851)), "")*24*60, "")</f>
        <v/>
      </c>
    </row>
    <row r="5853" spans="1:19" x14ac:dyDescent="0.2">
      <c r="A5853" s="12">
        <f t="shared" ref="A5853:C5853" si="1389">A5852</f>
        <v>45985</v>
      </c>
      <c r="B5853" s="5" t="str">
        <f t="shared" si="1389"/>
        <v>Northern Cardinal</v>
      </c>
      <c r="C5853" s="6">
        <f t="shared" si="1389"/>
        <v>0.29166666666666669</v>
      </c>
      <c r="D5853" s="5"/>
      <c r="E5853" s="5"/>
      <c r="F5853" s="5" t="s">
        <v>8</v>
      </c>
      <c r="G5853" s="15" t="s">
        <v>9</v>
      </c>
      <c r="H5853" s="24">
        <f t="shared" si="1387"/>
        <v>0</v>
      </c>
      <c r="I5853" s="24" cm="1">
        <f t="array" ref="I5853">IFERROR(IF($B5853=I$1, ($A5853+$C5853) - MAX(IF($B$2:$B5852=$B5853, $A$2:$A5852+$C$2:$C5852)), "")*24*60, "")</f>
        <v>0</v>
      </c>
      <c r="J5853" s="24" t="str" cm="1">
        <f t="array" ref="J5853">IFERROR(IF($B5853=J$1, ($A5853+$C5853) - MAX(IF($B$2:$B5852=$B5853, $A$2:$A5852+$C$2:$C5852)), "")*24*60, "")</f>
        <v/>
      </c>
      <c r="K5853" s="24" t="str" cm="1">
        <f t="array" ref="K5853">IFERROR(IF($B5853=K$1, ($A5853+$C5853) - MAX(IF($B$2:$B5852=$B5853, $A$2:$A5852+$C$2:$C5852)), "")*24*60, "")</f>
        <v/>
      </c>
      <c r="L5853" s="24" t="str" cm="1">
        <f t="array" ref="L5853">IFERROR(IF($B5853=L$1, ($A5853+$C5853) - MAX(IF($B$2:$B5852=$B5853, $A$2:$A5852+$C$2:$C5852)), "")*24*60, "")</f>
        <v/>
      </c>
      <c r="M5853" s="24" t="str" cm="1">
        <f t="array" ref="M5853">IFERROR(IF($B5853=M$1, ($A5853+$C5853) - MAX(IF($B$2:$B5852=$B5853, $A$2:$A5852+$C$2:$C5852)), "")*24*60, "")</f>
        <v/>
      </c>
      <c r="N5853" s="24" t="str" cm="1">
        <f t="array" ref="N5853">IFERROR(IF($B5853=N$1, ($A5853+$C5853) - MAX(IF($B$2:$B5852=$B5853, $A$2:$A5852+$C$2:$C5852)), "")*24*60, "")</f>
        <v/>
      </c>
      <c r="O5853" s="24" t="str" cm="1">
        <f t="array" ref="O5853">IFERROR(IF($B5853=O$1, ($A5853+$C5853) - MAX(IF($B$2:$B5852=$B5853, $A$2:$A5852+$C$2:$C5852)), "")*24*60, "")</f>
        <v/>
      </c>
      <c r="P5853" s="24" t="str" cm="1">
        <f t="array" ref="P5853">IFERROR(IF($B5853=P$1, ($A5853+$C5853) - MAX(IF($B$2:$B5852=$B5853, $A$2:$A5852+$C$2:$C5852)), "")*24*60, "")</f>
        <v/>
      </c>
      <c r="Q5853" s="24" t="str" cm="1">
        <f t="array" ref="Q5853">IFERROR(IF($B5853=Q$1, ($A5853+$C5853) - MAX(IF($B$2:$B5852=$B5853, $A$2:$A5852+$C$2:$C5852)), "")*24*60, "")</f>
        <v/>
      </c>
      <c r="R5853" s="24" t="str" cm="1">
        <f t="array" ref="R5853">IFERROR(IF($B5853=R$1, ($A5853+$C5853) - MAX(IF($B$2:$B5852=$B5853, $A$2:$A5852+$C$2:$C5852)), "")*24*60, "")</f>
        <v/>
      </c>
      <c r="S5853" s="24" t="str" cm="1">
        <f t="array" ref="S5853">IFERROR(IF($B5853=S$1, ($A5853+$C5853) - MAX(IF($B$2:$B5852=$B5853, $A$2:$A5852+$C$2:$C5852)), "")*24*60, "")</f>
        <v/>
      </c>
    </row>
    <row r="5854" spans="1:19" x14ac:dyDescent="0.2">
      <c r="A5854" s="12">
        <f t="shared" ref="A5854:C5854" si="1390">A5853</f>
        <v>45985</v>
      </c>
      <c r="B5854" s="5" t="str">
        <f t="shared" si="1390"/>
        <v>Northern Cardinal</v>
      </c>
      <c r="C5854" s="6">
        <f t="shared" si="1390"/>
        <v>0.29166666666666669</v>
      </c>
      <c r="D5854" s="5"/>
      <c r="E5854" s="5"/>
      <c r="F5854" s="5" t="s">
        <v>8</v>
      </c>
      <c r="G5854" s="15" t="s">
        <v>9</v>
      </c>
      <c r="H5854" s="24">
        <f t="shared" si="1387"/>
        <v>0</v>
      </c>
      <c r="I5854" s="24" cm="1">
        <f t="array" ref="I5854">IFERROR(IF($B5854=I$1, ($A5854+$C5854) - MAX(IF($B$2:$B5853=$B5854, $A$2:$A5853+$C$2:$C5853)), "")*24*60, "")</f>
        <v>0</v>
      </c>
      <c r="J5854" s="24" t="str" cm="1">
        <f t="array" ref="J5854">IFERROR(IF($B5854=J$1, ($A5854+$C5854) - MAX(IF($B$2:$B5853=$B5854, $A$2:$A5853+$C$2:$C5853)), "")*24*60, "")</f>
        <v/>
      </c>
      <c r="K5854" s="24" t="str" cm="1">
        <f t="array" ref="K5854">IFERROR(IF($B5854=K$1, ($A5854+$C5854) - MAX(IF($B$2:$B5853=$B5854, $A$2:$A5853+$C$2:$C5853)), "")*24*60, "")</f>
        <v/>
      </c>
      <c r="L5854" s="24" t="str" cm="1">
        <f t="array" ref="L5854">IFERROR(IF($B5854=L$1, ($A5854+$C5854) - MAX(IF($B$2:$B5853=$B5854, $A$2:$A5853+$C$2:$C5853)), "")*24*60, "")</f>
        <v/>
      </c>
      <c r="M5854" s="24" t="str" cm="1">
        <f t="array" ref="M5854">IFERROR(IF($B5854=M$1, ($A5854+$C5854) - MAX(IF($B$2:$B5853=$B5854, $A$2:$A5853+$C$2:$C5853)), "")*24*60, "")</f>
        <v/>
      </c>
      <c r="N5854" s="24" t="str" cm="1">
        <f t="array" ref="N5854">IFERROR(IF($B5854=N$1, ($A5854+$C5854) - MAX(IF($B$2:$B5853=$B5854, $A$2:$A5853+$C$2:$C5853)), "")*24*60, "")</f>
        <v/>
      </c>
      <c r="O5854" s="24" t="str" cm="1">
        <f t="array" ref="O5854">IFERROR(IF($B5854=O$1, ($A5854+$C5854) - MAX(IF($B$2:$B5853=$B5854, $A$2:$A5853+$C$2:$C5853)), "")*24*60, "")</f>
        <v/>
      </c>
      <c r="P5854" s="24" t="str" cm="1">
        <f t="array" ref="P5854">IFERROR(IF($B5854=P$1, ($A5854+$C5854) - MAX(IF($B$2:$B5853=$B5854, $A$2:$A5853+$C$2:$C5853)), "")*24*60, "")</f>
        <v/>
      </c>
      <c r="Q5854" s="24" t="str" cm="1">
        <f t="array" ref="Q5854">IFERROR(IF($B5854=Q$1, ($A5854+$C5854) - MAX(IF($B$2:$B5853=$B5854, $A$2:$A5853+$C$2:$C5853)), "")*24*60, "")</f>
        <v/>
      </c>
      <c r="R5854" s="24" t="str" cm="1">
        <f t="array" ref="R5854">IFERROR(IF($B5854=R$1, ($A5854+$C5854) - MAX(IF($B$2:$B5853=$B5854, $A$2:$A5853+$C$2:$C5853)), "")*24*60, "")</f>
        <v/>
      </c>
      <c r="S5854" s="24" t="str" cm="1">
        <f t="array" ref="S5854">IFERROR(IF($B5854=S$1, ($A5854+$C5854) - MAX(IF($B$2:$B5853=$B5854, $A$2:$A5853+$C$2:$C5853)), "")*24*60, "")</f>
        <v/>
      </c>
    </row>
    <row r="5855" spans="1:19" x14ac:dyDescent="0.2">
      <c r="A5855" s="12">
        <f t="shared" ref="A5855:C5855" si="1391">A5854</f>
        <v>45985</v>
      </c>
      <c r="B5855" s="5" t="str">
        <f t="shared" si="1391"/>
        <v>Northern Cardinal</v>
      </c>
      <c r="C5855" s="6">
        <f t="shared" si="1391"/>
        <v>0.29166666666666669</v>
      </c>
      <c r="D5855" s="5"/>
      <c r="E5855" s="5"/>
      <c r="F5855" s="5" t="s">
        <v>8</v>
      </c>
      <c r="G5855" s="15" t="s">
        <v>9</v>
      </c>
      <c r="H5855" s="24">
        <f t="shared" si="1387"/>
        <v>0</v>
      </c>
      <c r="I5855" s="24" cm="1">
        <f t="array" ref="I5855">IFERROR(IF($B5855=I$1, ($A5855+$C5855) - MAX(IF($B$2:$B5854=$B5855, $A$2:$A5854+$C$2:$C5854)), "")*24*60, "")</f>
        <v>0</v>
      </c>
      <c r="J5855" s="24" t="str" cm="1">
        <f t="array" ref="J5855">IFERROR(IF($B5855=J$1, ($A5855+$C5855) - MAX(IF($B$2:$B5854=$B5855, $A$2:$A5854+$C$2:$C5854)), "")*24*60, "")</f>
        <v/>
      </c>
      <c r="K5855" s="24" t="str" cm="1">
        <f t="array" ref="K5855">IFERROR(IF($B5855=K$1, ($A5855+$C5855) - MAX(IF($B$2:$B5854=$B5855, $A$2:$A5854+$C$2:$C5854)), "")*24*60, "")</f>
        <v/>
      </c>
      <c r="L5855" s="24" t="str" cm="1">
        <f t="array" ref="L5855">IFERROR(IF($B5855=L$1, ($A5855+$C5855) - MAX(IF($B$2:$B5854=$B5855, $A$2:$A5854+$C$2:$C5854)), "")*24*60, "")</f>
        <v/>
      </c>
      <c r="M5855" s="24" t="str" cm="1">
        <f t="array" ref="M5855">IFERROR(IF($B5855=M$1, ($A5855+$C5855) - MAX(IF($B$2:$B5854=$B5855, $A$2:$A5854+$C$2:$C5854)), "")*24*60, "")</f>
        <v/>
      </c>
      <c r="N5855" s="24" t="str" cm="1">
        <f t="array" ref="N5855">IFERROR(IF($B5855=N$1, ($A5855+$C5855) - MAX(IF($B$2:$B5854=$B5855, $A$2:$A5854+$C$2:$C5854)), "")*24*60, "")</f>
        <v/>
      </c>
      <c r="O5855" s="24" t="str" cm="1">
        <f t="array" ref="O5855">IFERROR(IF($B5855=O$1, ($A5855+$C5855) - MAX(IF($B$2:$B5854=$B5855, $A$2:$A5854+$C$2:$C5854)), "")*24*60, "")</f>
        <v/>
      </c>
      <c r="P5855" s="24" t="str" cm="1">
        <f t="array" ref="P5855">IFERROR(IF($B5855=P$1, ($A5855+$C5855) - MAX(IF($B$2:$B5854=$B5855, $A$2:$A5854+$C$2:$C5854)), "")*24*60, "")</f>
        <v/>
      </c>
      <c r="Q5855" s="24" t="str" cm="1">
        <f t="array" ref="Q5855">IFERROR(IF($B5855=Q$1, ($A5855+$C5855) - MAX(IF($B$2:$B5854=$B5855, $A$2:$A5854+$C$2:$C5854)), "")*24*60, "")</f>
        <v/>
      </c>
      <c r="R5855" s="24" t="str" cm="1">
        <f t="array" ref="R5855">IFERROR(IF($B5855=R$1, ($A5855+$C5855) - MAX(IF($B$2:$B5854=$B5855, $A$2:$A5854+$C$2:$C5854)), "")*24*60, "")</f>
        <v/>
      </c>
      <c r="S5855" s="24" t="str" cm="1">
        <f t="array" ref="S5855">IFERROR(IF($B5855=S$1, ($A5855+$C5855) - MAX(IF($B$2:$B5854=$B5855, $A$2:$A5854+$C$2:$C5854)), "")*24*60, "")</f>
        <v/>
      </c>
    </row>
    <row r="5856" spans="1:19" x14ac:dyDescent="0.2">
      <c r="A5856" s="12">
        <f t="shared" ref="A5856:C5856" si="1392">A5855</f>
        <v>45985</v>
      </c>
      <c r="B5856" s="5" t="str">
        <f t="shared" si="1392"/>
        <v>Northern Cardinal</v>
      </c>
      <c r="C5856" s="6">
        <f t="shared" si="1392"/>
        <v>0.29166666666666669</v>
      </c>
      <c r="D5856" s="5"/>
      <c r="E5856" s="5"/>
      <c r="F5856" s="5" t="s">
        <v>8</v>
      </c>
      <c r="G5856" s="15" t="s">
        <v>9</v>
      </c>
      <c r="H5856" s="24">
        <f t="shared" si="1387"/>
        <v>0</v>
      </c>
      <c r="I5856" s="24" cm="1">
        <f t="array" ref="I5856">IFERROR(IF($B5856=I$1, ($A5856+$C5856) - MAX(IF($B$2:$B5855=$B5856, $A$2:$A5855+$C$2:$C5855)), "")*24*60, "")</f>
        <v>0</v>
      </c>
      <c r="J5856" s="24" t="str" cm="1">
        <f t="array" ref="J5856">IFERROR(IF($B5856=J$1, ($A5856+$C5856) - MAX(IF($B$2:$B5855=$B5856, $A$2:$A5855+$C$2:$C5855)), "")*24*60, "")</f>
        <v/>
      </c>
      <c r="K5856" s="24" t="str" cm="1">
        <f t="array" ref="K5856">IFERROR(IF($B5856=K$1, ($A5856+$C5856) - MAX(IF($B$2:$B5855=$B5856, $A$2:$A5855+$C$2:$C5855)), "")*24*60, "")</f>
        <v/>
      </c>
      <c r="L5856" s="24" t="str" cm="1">
        <f t="array" ref="L5856">IFERROR(IF($B5856=L$1, ($A5856+$C5856) - MAX(IF($B$2:$B5855=$B5856, $A$2:$A5855+$C$2:$C5855)), "")*24*60, "")</f>
        <v/>
      </c>
      <c r="M5856" s="24" t="str" cm="1">
        <f t="array" ref="M5856">IFERROR(IF($B5856=M$1, ($A5856+$C5856) - MAX(IF($B$2:$B5855=$B5856, $A$2:$A5855+$C$2:$C5855)), "")*24*60, "")</f>
        <v/>
      </c>
      <c r="N5856" s="24" t="str" cm="1">
        <f t="array" ref="N5856">IFERROR(IF($B5856=N$1, ($A5856+$C5856) - MAX(IF($B$2:$B5855=$B5856, $A$2:$A5855+$C$2:$C5855)), "")*24*60, "")</f>
        <v/>
      </c>
      <c r="O5856" s="24" t="str" cm="1">
        <f t="array" ref="O5856">IFERROR(IF($B5856=O$1, ($A5856+$C5856) - MAX(IF($B$2:$B5855=$B5856, $A$2:$A5855+$C$2:$C5855)), "")*24*60, "")</f>
        <v/>
      </c>
      <c r="P5856" s="24" t="str" cm="1">
        <f t="array" ref="P5856">IFERROR(IF($B5856=P$1, ($A5856+$C5856) - MAX(IF($B$2:$B5855=$B5856, $A$2:$A5855+$C$2:$C5855)), "")*24*60, "")</f>
        <v/>
      </c>
      <c r="Q5856" s="24" t="str" cm="1">
        <f t="array" ref="Q5856">IFERROR(IF($B5856=Q$1, ($A5856+$C5856) - MAX(IF($B$2:$B5855=$B5856, $A$2:$A5855+$C$2:$C5855)), "")*24*60, "")</f>
        <v/>
      </c>
      <c r="R5856" s="24" t="str" cm="1">
        <f t="array" ref="R5856">IFERROR(IF($B5856=R$1, ($A5856+$C5856) - MAX(IF($B$2:$B5855=$B5856, $A$2:$A5855+$C$2:$C5855)), "")*24*60, "")</f>
        <v/>
      </c>
      <c r="S5856" s="24" t="str" cm="1">
        <f t="array" ref="S5856">IFERROR(IF($B5856=S$1, ($A5856+$C5856) - MAX(IF($B$2:$B5855=$B5856, $A$2:$A5855+$C$2:$C5855)), "")*24*60, "")</f>
        <v/>
      </c>
    </row>
    <row r="5857" spans="1:19" x14ac:dyDescent="0.2">
      <c r="A5857" s="12">
        <f t="shared" ref="A5857:C5857" si="1393">A5856</f>
        <v>45985</v>
      </c>
      <c r="B5857" s="5" t="str">
        <f t="shared" si="1393"/>
        <v>Northern Cardinal</v>
      </c>
      <c r="C5857" s="6">
        <f t="shared" si="1393"/>
        <v>0.29166666666666669</v>
      </c>
      <c r="D5857" s="5"/>
      <c r="E5857" s="5"/>
      <c r="F5857" s="5" t="s">
        <v>8</v>
      </c>
      <c r="G5857" s="15" t="s">
        <v>9</v>
      </c>
      <c r="H5857" s="24">
        <f t="shared" si="1387"/>
        <v>0</v>
      </c>
      <c r="I5857" s="24" cm="1">
        <f t="array" ref="I5857">IFERROR(IF($B5857=I$1, ($A5857+$C5857) - MAX(IF($B$2:$B5856=$B5857, $A$2:$A5856+$C$2:$C5856)), "")*24*60, "")</f>
        <v>0</v>
      </c>
      <c r="J5857" s="24" t="str" cm="1">
        <f t="array" ref="J5857">IFERROR(IF($B5857=J$1, ($A5857+$C5857) - MAX(IF($B$2:$B5856=$B5857, $A$2:$A5856+$C$2:$C5856)), "")*24*60, "")</f>
        <v/>
      </c>
      <c r="K5857" s="24" t="str" cm="1">
        <f t="array" ref="K5857">IFERROR(IF($B5857=K$1, ($A5857+$C5857) - MAX(IF($B$2:$B5856=$B5857, $A$2:$A5856+$C$2:$C5856)), "")*24*60, "")</f>
        <v/>
      </c>
      <c r="L5857" s="24" t="str" cm="1">
        <f t="array" ref="L5857">IFERROR(IF($B5857=L$1, ($A5857+$C5857) - MAX(IF($B$2:$B5856=$B5857, $A$2:$A5856+$C$2:$C5856)), "")*24*60, "")</f>
        <v/>
      </c>
      <c r="M5857" s="24" t="str" cm="1">
        <f t="array" ref="M5857">IFERROR(IF($B5857=M$1, ($A5857+$C5857) - MAX(IF($B$2:$B5856=$B5857, $A$2:$A5856+$C$2:$C5856)), "")*24*60, "")</f>
        <v/>
      </c>
      <c r="N5857" s="24" t="str" cm="1">
        <f t="array" ref="N5857">IFERROR(IF($B5857=N$1, ($A5857+$C5857) - MAX(IF($B$2:$B5856=$B5857, $A$2:$A5856+$C$2:$C5856)), "")*24*60, "")</f>
        <v/>
      </c>
      <c r="O5857" s="24" t="str" cm="1">
        <f t="array" ref="O5857">IFERROR(IF($B5857=O$1, ($A5857+$C5857) - MAX(IF($B$2:$B5856=$B5857, $A$2:$A5856+$C$2:$C5856)), "")*24*60, "")</f>
        <v/>
      </c>
      <c r="P5857" s="24" t="str" cm="1">
        <f t="array" ref="P5857">IFERROR(IF($B5857=P$1, ($A5857+$C5857) - MAX(IF($B$2:$B5856=$B5857, $A$2:$A5856+$C$2:$C5856)), "")*24*60, "")</f>
        <v/>
      </c>
      <c r="Q5857" s="24" t="str" cm="1">
        <f t="array" ref="Q5857">IFERROR(IF($B5857=Q$1, ($A5857+$C5857) - MAX(IF($B$2:$B5856=$B5857, $A$2:$A5856+$C$2:$C5856)), "")*24*60, "")</f>
        <v/>
      </c>
      <c r="R5857" s="24" t="str" cm="1">
        <f t="array" ref="R5857">IFERROR(IF($B5857=R$1, ($A5857+$C5857) - MAX(IF($B$2:$B5856=$B5857, $A$2:$A5856+$C$2:$C5856)), "")*24*60, "")</f>
        <v/>
      </c>
      <c r="S5857" s="24" t="str" cm="1">
        <f t="array" ref="S5857">IFERROR(IF($B5857=S$1, ($A5857+$C5857) - MAX(IF($B$2:$B5856=$B5857, $A$2:$A5856+$C$2:$C5856)), "")*24*60, "")</f>
        <v/>
      </c>
    </row>
    <row r="5858" spans="1:19" x14ac:dyDescent="0.2">
      <c r="A5858" s="12">
        <f t="shared" ref="A5858:C5858" si="1394">A5857</f>
        <v>45985</v>
      </c>
      <c r="B5858" s="5" t="str">
        <f t="shared" si="1394"/>
        <v>Northern Cardinal</v>
      </c>
      <c r="C5858" s="6">
        <f t="shared" si="1394"/>
        <v>0.29166666666666669</v>
      </c>
      <c r="D5858" s="5"/>
      <c r="E5858" s="5"/>
      <c r="F5858" s="5" t="s">
        <v>8</v>
      </c>
      <c r="G5858" s="15" t="s">
        <v>9</v>
      </c>
      <c r="H5858" s="24">
        <f t="shared" si="1387"/>
        <v>0</v>
      </c>
      <c r="I5858" s="24" cm="1">
        <f t="array" ref="I5858">IFERROR(IF($B5858=I$1, ($A5858+$C5858) - MAX(IF($B$2:$B5857=$B5858, $A$2:$A5857+$C$2:$C5857)), "")*24*60, "")</f>
        <v>0</v>
      </c>
      <c r="J5858" s="24" t="str" cm="1">
        <f t="array" ref="J5858">IFERROR(IF($B5858=J$1, ($A5858+$C5858) - MAX(IF($B$2:$B5857=$B5858, $A$2:$A5857+$C$2:$C5857)), "")*24*60, "")</f>
        <v/>
      </c>
      <c r="K5858" s="24" t="str" cm="1">
        <f t="array" ref="K5858">IFERROR(IF($B5858=K$1, ($A5858+$C5858) - MAX(IF($B$2:$B5857=$B5858, $A$2:$A5857+$C$2:$C5857)), "")*24*60, "")</f>
        <v/>
      </c>
      <c r="L5858" s="24" t="str" cm="1">
        <f t="array" ref="L5858">IFERROR(IF($B5858=L$1, ($A5858+$C5858) - MAX(IF($B$2:$B5857=$B5858, $A$2:$A5857+$C$2:$C5857)), "")*24*60, "")</f>
        <v/>
      </c>
      <c r="M5858" s="24" t="str" cm="1">
        <f t="array" ref="M5858">IFERROR(IF($B5858=M$1, ($A5858+$C5858) - MAX(IF($B$2:$B5857=$B5858, $A$2:$A5857+$C$2:$C5857)), "")*24*60, "")</f>
        <v/>
      </c>
      <c r="N5858" s="24" t="str" cm="1">
        <f t="array" ref="N5858">IFERROR(IF($B5858=N$1, ($A5858+$C5858) - MAX(IF($B$2:$B5857=$B5858, $A$2:$A5857+$C$2:$C5857)), "")*24*60, "")</f>
        <v/>
      </c>
      <c r="O5858" s="24" t="str" cm="1">
        <f t="array" ref="O5858">IFERROR(IF($B5858=O$1, ($A5858+$C5858) - MAX(IF($B$2:$B5857=$B5858, $A$2:$A5857+$C$2:$C5857)), "")*24*60, "")</f>
        <v/>
      </c>
      <c r="P5858" s="24" t="str" cm="1">
        <f t="array" ref="P5858">IFERROR(IF($B5858=P$1, ($A5858+$C5858) - MAX(IF($B$2:$B5857=$B5858, $A$2:$A5857+$C$2:$C5857)), "")*24*60, "")</f>
        <v/>
      </c>
      <c r="Q5858" s="24" t="str" cm="1">
        <f t="array" ref="Q5858">IFERROR(IF($B5858=Q$1, ($A5858+$C5858) - MAX(IF($B$2:$B5857=$B5858, $A$2:$A5857+$C$2:$C5857)), "")*24*60, "")</f>
        <v/>
      </c>
      <c r="R5858" s="24" t="str" cm="1">
        <f t="array" ref="R5858">IFERROR(IF($B5858=R$1, ($A5858+$C5858) - MAX(IF($B$2:$B5857=$B5858, $A$2:$A5857+$C$2:$C5857)), "")*24*60, "")</f>
        <v/>
      </c>
      <c r="S5858" s="24" t="str" cm="1">
        <f t="array" ref="S5858">IFERROR(IF($B5858=S$1, ($A5858+$C5858) - MAX(IF($B$2:$B5857=$B5858, $A$2:$A5857+$C$2:$C5857)), "")*24*60, "")</f>
        <v/>
      </c>
    </row>
    <row r="5859" spans="1:19" x14ac:dyDescent="0.2">
      <c r="A5859" s="12">
        <f t="shared" ref="A5859:C5859" si="1395">A5858</f>
        <v>45985</v>
      </c>
      <c r="B5859" s="5" t="str">
        <f t="shared" si="1395"/>
        <v>Northern Cardinal</v>
      </c>
      <c r="C5859" s="6">
        <f t="shared" si="1395"/>
        <v>0.29166666666666669</v>
      </c>
      <c r="D5859" s="5"/>
      <c r="E5859" s="5"/>
      <c r="F5859" s="5" t="s">
        <v>8</v>
      </c>
      <c r="G5859" s="15" t="s">
        <v>9</v>
      </c>
      <c r="H5859" s="24">
        <f t="shared" si="1387"/>
        <v>0</v>
      </c>
      <c r="I5859" s="24" cm="1">
        <f t="array" ref="I5859">IFERROR(IF($B5859=I$1, ($A5859+$C5859) - MAX(IF($B$2:$B5858=$B5859, $A$2:$A5858+$C$2:$C5858)), "")*24*60, "")</f>
        <v>0</v>
      </c>
      <c r="J5859" s="24" t="str" cm="1">
        <f t="array" ref="J5859">IFERROR(IF($B5859=J$1, ($A5859+$C5859) - MAX(IF($B$2:$B5858=$B5859, $A$2:$A5858+$C$2:$C5858)), "")*24*60, "")</f>
        <v/>
      </c>
      <c r="K5859" s="24" t="str" cm="1">
        <f t="array" ref="K5859">IFERROR(IF($B5859=K$1, ($A5859+$C5859) - MAX(IF($B$2:$B5858=$B5859, $A$2:$A5858+$C$2:$C5858)), "")*24*60, "")</f>
        <v/>
      </c>
      <c r="L5859" s="24" t="str" cm="1">
        <f t="array" ref="L5859">IFERROR(IF($B5859=L$1, ($A5859+$C5859) - MAX(IF($B$2:$B5858=$B5859, $A$2:$A5858+$C$2:$C5858)), "")*24*60, "")</f>
        <v/>
      </c>
      <c r="M5859" s="24" t="str" cm="1">
        <f t="array" ref="M5859">IFERROR(IF($B5859=M$1, ($A5859+$C5859) - MAX(IF($B$2:$B5858=$B5859, $A$2:$A5858+$C$2:$C5858)), "")*24*60, "")</f>
        <v/>
      </c>
      <c r="N5859" s="24" t="str" cm="1">
        <f t="array" ref="N5859">IFERROR(IF($B5859=N$1, ($A5859+$C5859) - MAX(IF($B$2:$B5858=$B5859, $A$2:$A5858+$C$2:$C5858)), "")*24*60, "")</f>
        <v/>
      </c>
      <c r="O5859" s="24" t="str" cm="1">
        <f t="array" ref="O5859">IFERROR(IF($B5859=O$1, ($A5859+$C5859) - MAX(IF($B$2:$B5858=$B5859, $A$2:$A5858+$C$2:$C5858)), "")*24*60, "")</f>
        <v/>
      </c>
      <c r="P5859" s="24" t="str" cm="1">
        <f t="array" ref="P5859">IFERROR(IF($B5859=P$1, ($A5859+$C5859) - MAX(IF($B$2:$B5858=$B5859, $A$2:$A5858+$C$2:$C5858)), "")*24*60, "")</f>
        <v/>
      </c>
      <c r="Q5859" s="24" t="str" cm="1">
        <f t="array" ref="Q5859">IFERROR(IF($B5859=Q$1, ($A5859+$C5859) - MAX(IF($B$2:$B5858=$B5859, $A$2:$A5858+$C$2:$C5858)), "")*24*60, "")</f>
        <v/>
      </c>
      <c r="R5859" s="24" t="str" cm="1">
        <f t="array" ref="R5859">IFERROR(IF($B5859=R$1, ($A5859+$C5859) - MAX(IF($B$2:$B5858=$B5859, $A$2:$A5858+$C$2:$C5858)), "")*24*60, "")</f>
        <v/>
      </c>
      <c r="S5859" s="24" t="str" cm="1">
        <f t="array" ref="S5859">IFERROR(IF($B5859=S$1, ($A5859+$C5859) - MAX(IF($B$2:$B5858=$B5859, $A$2:$A5858+$C$2:$C5858)),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95"/>
  <sheetViews>
    <sheetView tabSelected="1" zoomScale="120" zoomScaleNormal="120" workbookViewId="0">
      <pane ySplit="1" topLeftCell="A170" activePane="bottomLeft" state="frozen"/>
      <selection pane="bottomLeft" activeCell="A195" sqref="A195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10">
        <v>45984</v>
      </c>
      <c r="B195" s="11" t="s">
        <v>20</v>
      </c>
      <c r="C195" s="11">
        <f>COUNTIFS(RawData!$B:$B, $B195, RawData!$A:$A, DailySummaries!$A195)</f>
        <v>72</v>
      </c>
      <c r="D195" s="11">
        <f>SUMIFS(RawData!$D:$D,RawData!$B:$B,$B195,RawData!$A:$A,DailySummaries!$A195)+1</f>
        <v>50</v>
      </c>
      <c r="E195" s="11">
        <f>SUMIFS(RawData!$E:$E,RawData!$B:$B,$B195,RawData!$A:$A,DailySummaries!$A195)+1</f>
        <v>911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2025-11-24T10:44:25Z</dcterms:modified>
</cp:coreProperties>
</file>
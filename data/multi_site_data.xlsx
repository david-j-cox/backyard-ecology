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6CC099C6-D96E-FA4A-9417-641D6E311034}" xr6:coauthVersionLast="47" xr6:coauthVersionMax="47" xr10:uidLastSave="{00000000-0000-0000-0000-000000000000}"/>
  <bookViews>
    <workbookView xWindow="0" yWindow="500" windowWidth="336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3" i="2" l="1"/>
  <c r="D163" i="2"/>
  <c r="E163" i="2"/>
  <c r="C164" i="2"/>
  <c r="D164" i="2"/>
  <c r="E164" i="2"/>
  <c r="C165" i="2"/>
  <c r="D165" i="2"/>
  <c r="E165" i="2"/>
  <c r="C166" i="2"/>
  <c r="D166" i="2"/>
  <c r="E166" i="2"/>
  <c r="C167" i="2"/>
  <c r="D167" i="2"/>
  <c r="E167" i="2"/>
  <c r="C168" i="2"/>
  <c r="D168" i="2"/>
  <c r="E168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4796" i="1" l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A4797" i="1" l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A4798" i="1" l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A4799" i="1" l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4800" i="1" l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4801" i="1" l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4802" i="1" l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4803" i="1" l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4804" i="1" l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4805" i="1" l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A4806" i="1" l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4807" i="1" l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4808" i="1" l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4809" i="1" l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A4810" i="1" l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4811" i="1" l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4812" i="1" l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4813" i="1" l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4814" i="1" l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4815" i="1" l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816" i="1" l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4817" i="1" l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818" i="1" l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4819" i="1" l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820" i="1" l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821" i="1" l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A4822" i="1" l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A4823" i="1" l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824" i="1" l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4825" i="1" l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A4826" i="1" l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827" i="1" l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4828" i="1" l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829" i="1" l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A4830" i="1" l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831" i="1" l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4832" i="1" l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A4833" i="1" l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834" i="1" l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4835" i="1" l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836" i="1" l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4837" i="1" l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A4838" i="1" l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4839" i="1" l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840" i="1" l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4841" i="1" l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4842" i="1" l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843" i="1" l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A4844" i="1" l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845" i="1" l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4846" i="1" l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A4847" i="1" l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848" i="1" l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A4849" i="1" l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850" i="1" l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4851" i="1" l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852" i="1" l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A4853" i="1" l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854" i="1" l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4855" i="1" l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856" i="1" l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A4857" i="1" l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A4858" i="1" l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859" i="1" l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4860" i="1" l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861" i="1" l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A4862" i="1" l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4863" i="1" l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864" i="1" l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4865" i="1" l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4866" i="1" l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867" i="1" l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4868" i="1" l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4869" i="1" l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870" i="1" l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4871" i="1" l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872" i="1" l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4873" i="1" l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874" i="1" l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4875" i="1" l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A4876" i="1" l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877" i="1" l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4878" i="1" l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879" i="1" l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4880" i="1" l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4881" i="1" l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882" i="1" l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4883" i="1" l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884" i="1" l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885" i="1" l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4886" i="1" l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4887" i="1" l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4888" i="1" l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889" i="1" l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A4890" i="1" l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4891" i="1" l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A4892" i="1" l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A4893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894" i="1" l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895" i="1" l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896" i="1" l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897" i="1" l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A4898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899" i="1" l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A4900" i="1" l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4901" i="1" l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902" i="1" l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4903" i="1" l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904" i="1" l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A4905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906" i="1" l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A4907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908" i="1" l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A4909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910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A4911" i="1" l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4912" i="1" l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913" i="1" l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4914" i="1" l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A4915" i="1" l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916" i="1" l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A4917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4918" i="1" l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919" i="1" l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920" i="1" l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4921" i="1" l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4922" i="1" l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4923" i="1" l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924" i="1" l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4925" i="1" l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926" i="1" l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927" i="1" l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4928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929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4930" i="1" l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931" i="1" l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4932" i="1" l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933" i="1" l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4934" i="1" l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4935" i="1" l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4936" i="1" l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937" i="1" l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4938" i="1" l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939" i="1" l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4940" i="1" l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941" i="1" l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4942" i="1" l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4943" i="1" l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944" i="1" l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4945" i="1" l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946" i="1" l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A4947" i="1" l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4948" i="1" l="1"/>
  <c r="A3525" i="1"/>
  <c r="I3524" i="1" a="1"/>
  <c r="I3524" i="1" s="1"/>
  <c r="H3524" i="1"/>
  <c r="A4949" i="1" l="1"/>
  <c r="A3526" i="1"/>
  <c r="I3525" i="1" a="1"/>
  <c r="I3525" i="1" s="1"/>
  <c r="H3525" i="1"/>
  <c r="A4950" i="1" l="1"/>
  <c r="A3527" i="1"/>
  <c r="L3526" i="1" a="1"/>
  <c r="L3526" i="1" s="1"/>
  <c r="H3526" i="1"/>
  <c r="A4951" i="1" l="1"/>
  <c r="L3527" i="1" a="1"/>
  <c r="L3527" i="1" s="1"/>
  <c r="A3528" i="1"/>
  <c r="H3527" i="1"/>
  <c r="A4952" i="1" l="1"/>
  <c r="A3529" i="1"/>
  <c r="O3528" i="1" a="1"/>
  <c r="O3528" i="1" s="1"/>
  <c r="H3528" i="1"/>
  <c r="A4953" i="1" l="1"/>
  <c r="A3530" i="1"/>
  <c r="H3529" i="1"/>
  <c r="O3529" i="1" a="1"/>
  <c r="O3529" i="1" s="1"/>
  <c r="A4954" i="1" l="1"/>
  <c r="A3531" i="1"/>
  <c r="H3530" i="1"/>
  <c r="O3530" i="1" a="1"/>
  <c r="O3530" i="1" s="1"/>
  <c r="A4955" i="1" l="1"/>
  <c r="A3532" i="1"/>
  <c r="H3531" i="1"/>
  <c r="O3531" i="1" a="1"/>
  <c r="O3531" i="1" s="1"/>
  <c r="A4956" i="1" l="1"/>
  <c r="A3533" i="1"/>
  <c r="O3532" i="1" a="1"/>
  <c r="O3532" i="1" s="1"/>
  <c r="H3532" i="1"/>
  <c r="A4957" i="1" l="1"/>
  <c r="A3534" i="1"/>
  <c r="H3533" i="1"/>
  <c r="O3533" i="1" a="1"/>
  <c r="O3533" i="1" s="1"/>
  <c r="A4958" i="1" l="1"/>
  <c r="A3535" i="1"/>
  <c r="O3534" i="1" a="1"/>
  <c r="O3534" i="1" s="1"/>
  <c r="H3534" i="1"/>
  <c r="A4959" i="1" l="1"/>
  <c r="A3536" i="1"/>
  <c r="H3535" i="1"/>
  <c r="O3535" i="1" a="1"/>
  <c r="O3535" i="1" s="1"/>
  <c r="A4960" i="1" l="1"/>
  <c r="A3537" i="1"/>
  <c r="H3536" i="1"/>
  <c r="O3536" i="1" a="1"/>
  <c r="O3536" i="1" s="1"/>
  <c r="A4961" i="1" l="1"/>
  <c r="A3538" i="1"/>
  <c r="H3537" i="1"/>
  <c r="O3537" i="1" a="1"/>
  <c r="O3537" i="1" s="1"/>
  <c r="A4962" i="1" l="1"/>
  <c r="A3539" i="1"/>
  <c r="O3538" i="1" a="1"/>
  <c r="O3538" i="1" s="1"/>
  <c r="H3538" i="1"/>
  <c r="A4963" i="1" l="1"/>
  <c r="A3540" i="1"/>
  <c r="H3539" i="1"/>
  <c r="O3539" i="1" a="1"/>
  <c r="O3539" i="1" s="1"/>
  <c r="A4964" i="1" l="1"/>
  <c r="A3541" i="1"/>
  <c r="O3540" i="1" a="1"/>
  <c r="O3540" i="1" s="1"/>
  <c r="H3540" i="1"/>
  <c r="I4438" i="1" a="1"/>
  <c r="I4438" i="1" s="1"/>
  <c r="A4965" i="1" l="1"/>
  <c r="A3542" i="1"/>
  <c r="H3541" i="1"/>
  <c r="O3541" i="1" a="1"/>
  <c r="O3541" i="1" s="1"/>
  <c r="C4439" i="1"/>
  <c r="H4438" i="1"/>
  <c r="A4966" i="1" l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4967" i="1" l="1"/>
  <c r="A3544" i="1"/>
  <c r="H3543" i="1"/>
  <c r="O3543" i="1" a="1"/>
  <c r="O3543" i="1" s="1"/>
  <c r="C4441" i="1"/>
  <c r="H4440" i="1"/>
  <c r="A4968" i="1" l="1"/>
  <c r="A3545" i="1"/>
  <c r="O3544" i="1" a="1"/>
  <c r="O3544" i="1" s="1"/>
  <c r="H3544" i="1"/>
  <c r="I4441" i="1" a="1"/>
  <c r="I4441" i="1" s="1"/>
  <c r="I4442" i="1" a="1"/>
  <c r="I4442" i="1" s="1"/>
  <c r="H4441" i="1"/>
  <c r="A4969" i="1" l="1"/>
  <c r="A3546" i="1"/>
  <c r="O3545" i="1" a="1"/>
  <c r="O3545" i="1" s="1"/>
  <c r="H3545" i="1"/>
  <c r="C4443" i="1"/>
  <c r="H4442" i="1"/>
  <c r="A4970" i="1" l="1"/>
  <c r="A3547" i="1"/>
  <c r="H3546" i="1"/>
  <c r="O3546" i="1" a="1"/>
  <c r="O3546" i="1" s="1"/>
  <c r="I4443" i="1" a="1"/>
  <c r="I4443" i="1" s="1"/>
  <c r="I4444" i="1" a="1"/>
  <c r="I4444" i="1" s="1"/>
  <c r="H4443" i="1"/>
  <c r="A4971" i="1" l="1"/>
  <c r="A3548" i="1"/>
  <c r="H3547" i="1"/>
  <c r="O3547" i="1" a="1"/>
  <c r="O3547" i="1" s="1"/>
  <c r="I4445" i="1" a="1"/>
  <c r="I4445" i="1" s="1"/>
  <c r="H4444" i="1"/>
  <c r="A4972" i="1" l="1"/>
  <c r="A3549" i="1"/>
  <c r="O3548" i="1" a="1"/>
  <c r="O3548" i="1" s="1"/>
  <c r="H3548" i="1"/>
  <c r="I4446" i="1" a="1"/>
  <c r="I4446" i="1" s="1"/>
  <c r="H4445" i="1"/>
  <c r="A4973" i="1" l="1"/>
  <c r="A3550" i="1"/>
  <c r="O3549" i="1" a="1"/>
  <c r="O3549" i="1" s="1"/>
  <c r="H3549" i="1"/>
  <c r="I4447" i="1" a="1"/>
  <c r="I4447" i="1" s="1"/>
  <c r="H4446" i="1"/>
  <c r="A4974" i="1" l="1"/>
  <c r="A3551" i="1"/>
  <c r="H3550" i="1"/>
  <c r="O3550" i="1" a="1"/>
  <c r="O3550" i="1" s="1"/>
  <c r="C4448" i="1"/>
  <c r="H4447" i="1"/>
  <c r="O4447" i="1" a="1"/>
  <c r="O4447" i="1" s="1"/>
  <c r="A4975" i="1" l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A4976" i="1" l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A4977" i="1" l="1"/>
  <c r="A3554" i="1"/>
  <c r="I3553" i="1" a="1"/>
  <c r="I3553" i="1" s="1"/>
  <c r="H3553" i="1"/>
  <c r="I4450" i="1" a="1"/>
  <c r="I4450" i="1" s="1"/>
  <c r="H4450" i="1"/>
  <c r="O4450" i="1" a="1"/>
  <c r="O4450" i="1" s="1"/>
  <c r="A4978" i="1" l="1"/>
  <c r="A3555" i="1"/>
  <c r="I3554" i="1" a="1"/>
  <c r="I3554" i="1" s="1"/>
  <c r="H3554" i="1"/>
  <c r="I4451" i="1" a="1"/>
  <c r="I4451" i="1" s="1"/>
  <c r="K4451" i="1" a="1"/>
  <c r="K4451" i="1" s="1"/>
  <c r="H4451" i="1"/>
  <c r="A4979" i="1" l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A4980" i="1" l="1"/>
  <c r="A3557" i="1"/>
  <c r="I3556" i="1" a="1"/>
  <c r="I3556" i="1" s="1"/>
  <c r="H3556" i="1"/>
  <c r="I4453" i="1" a="1"/>
  <c r="I4453" i="1" s="1"/>
  <c r="K4453" i="1" a="1"/>
  <c r="K4453" i="1" s="1"/>
  <c r="H4453" i="1"/>
  <c r="A4981" i="1" l="1"/>
  <c r="A3558" i="1"/>
  <c r="I3557" i="1" a="1"/>
  <c r="I3557" i="1" s="1"/>
  <c r="H3557" i="1"/>
  <c r="I4454" i="1" a="1"/>
  <c r="I4454" i="1" s="1"/>
  <c r="K4454" i="1" a="1"/>
  <c r="K4454" i="1" s="1"/>
  <c r="H4454" i="1"/>
  <c r="A4982" i="1" l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A4983" i="1" l="1"/>
  <c r="A3560" i="1"/>
  <c r="I3559" i="1" a="1"/>
  <c r="I3559" i="1" s="1"/>
  <c r="H3559" i="1"/>
  <c r="I4456" i="1" a="1"/>
  <c r="I4456" i="1" s="1"/>
  <c r="K4456" i="1" a="1"/>
  <c r="K4456" i="1" s="1"/>
  <c r="H4456" i="1"/>
  <c r="A4984" i="1" l="1"/>
  <c r="A3561" i="1"/>
  <c r="I3560" i="1" a="1"/>
  <c r="I3560" i="1" s="1"/>
  <c r="H3560" i="1"/>
  <c r="I4457" i="1" a="1"/>
  <c r="I4457" i="1" s="1"/>
  <c r="K4457" i="1" a="1"/>
  <c r="K4457" i="1" s="1"/>
  <c r="H4457" i="1"/>
  <c r="A4985" i="1" l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4986" i="1" l="1"/>
  <c r="A3563" i="1"/>
  <c r="I3562" i="1" a="1"/>
  <c r="I3562" i="1" s="1"/>
  <c r="H3562" i="1"/>
  <c r="I4459" i="1" a="1"/>
  <c r="I4459" i="1" s="1"/>
  <c r="K4459" i="1" a="1"/>
  <c r="K4459" i="1" s="1"/>
  <c r="H4459" i="1"/>
  <c r="A4987" i="1" l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A4988" i="1" l="1"/>
  <c r="A3565" i="1"/>
  <c r="I3564" i="1" a="1"/>
  <c r="I3564" i="1" s="1"/>
  <c r="H3564" i="1"/>
  <c r="I4461" i="1" a="1"/>
  <c r="I4461" i="1" s="1"/>
  <c r="K4461" i="1" a="1"/>
  <c r="K4461" i="1" s="1"/>
  <c r="H4461" i="1"/>
  <c r="A4989" i="1" l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4990" i="1" l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4991" i="1" l="1"/>
  <c r="A3568" i="1"/>
  <c r="I3567" i="1" a="1"/>
  <c r="I3567" i="1" s="1"/>
  <c r="H3567" i="1"/>
  <c r="I4464" i="1" a="1"/>
  <c r="I4464" i="1" s="1"/>
  <c r="K4464" i="1" a="1"/>
  <c r="K4464" i="1" s="1"/>
  <c r="H4464" i="1"/>
  <c r="A4992" i="1" l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A4993" i="1" l="1"/>
  <c r="A3570" i="1"/>
  <c r="I3569" i="1" a="1"/>
  <c r="I3569" i="1" s="1"/>
  <c r="H3569" i="1"/>
  <c r="I4466" i="1" a="1"/>
  <c r="I4466" i="1" s="1"/>
  <c r="K4466" i="1" a="1"/>
  <c r="K4466" i="1" s="1"/>
  <c r="H4466" i="1"/>
  <c r="A4994" i="1" l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4995" i="1" l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4996" i="1" l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4997" i="1" l="1"/>
  <c r="I4470" i="1" a="1"/>
  <c r="I4470" i="1" s="1"/>
  <c r="K4470" i="1" a="1"/>
  <c r="K4470" i="1" s="1"/>
  <c r="H4470" i="1"/>
  <c r="O4470" i="1" a="1"/>
  <c r="O4470" i="1" s="1"/>
  <c r="A4998" i="1" l="1"/>
  <c r="I4471" i="1" a="1"/>
  <c r="I4471" i="1" s="1"/>
  <c r="K4471" i="1" a="1"/>
  <c r="K4471" i="1" s="1"/>
  <c r="C4472" i="1"/>
  <c r="H4471" i="1"/>
  <c r="O4471" i="1" a="1"/>
  <c r="O4471" i="1" s="1"/>
  <c r="A4999" i="1" l="1"/>
  <c r="L4474" i="1" a="1"/>
  <c r="L4474" i="1" s="1"/>
  <c r="I4472" i="1" a="1"/>
  <c r="I4472" i="1" s="1"/>
  <c r="K4472" i="1" a="1"/>
  <c r="K4472" i="1" s="1"/>
  <c r="H4472" i="1"/>
  <c r="O4472" i="1" a="1"/>
  <c r="O4472" i="1" s="1"/>
  <c r="A5000" i="1" l="1"/>
  <c r="I4473" i="1" a="1"/>
  <c r="I4473" i="1" s="1"/>
  <c r="K4473" i="1" a="1"/>
  <c r="K4473" i="1" s="1"/>
  <c r="H4473" i="1"/>
  <c r="O4473" i="1" a="1"/>
  <c r="O4473" i="1" s="1"/>
  <c r="A5001" i="1" l="1"/>
  <c r="I4474" i="1" a="1"/>
  <c r="I4474" i="1" s="1"/>
  <c r="K4474" i="1" a="1"/>
  <c r="K4474" i="1" s="1"/>
  <c r="C4475" i="1"/>
  <c r="H4474" i="1"/>
  <c r="O4474" i="1" a="1"/>
  <c r="O4474" i="1" s="1"/>
  <c r="A5002" i="1" l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A5003" i="1" l="1"/>
  <c r="I4476" i="1" a="1"/>
  <c r="I4476" i="1" s="1"/>
  <c r="K4476" i="1" a="1"/>
  <c r="K4476" i="1" s="1"/>
  <c r="L4477" i="1" a="1"/>
  <c r="L4477" i="1" s="1"/>
  <c r="H4476" i="1"/>
  <c r="O4476" i="1" a="1"/>
  <c r="O4476" i="1" s="1"/>
  <c r="A5004" i="1" l="1"/>
  <c r="I4477" i="1" a="1"/>
  <c r="I4477" i="1" s="1"/>
  <c r="K4477" i="1" a="1"/>
  <c r="K4477" i="1" s="1"/>
  <c r="C4478" i="1"/>
  <c r="H4477" i="1"/>
  <c r="O4477" i="1" a="1"/>
  <c r="O4477" i="1" s="1"/>
  <c r="A5005" i="1" l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A5006" i="1" l="1"/>
  <c r="I4479" i="1" a="1"/>
  <c r="I4479" i="1" s="1"/>
  <c r="K4479" i="1" a="1"/>
  <c r="K4479" i="1" s="1"/>
  <c r="L4480" i="1" a="1"/>
  <c r="L4480" i="1" s="1"/>
  <c r="H4479" i="1"/>
  <c r="O4479" i="1" a="1"/>
  <c r="O4479" i="1" s="1"/>
  <c r="A5007" i="1" l="1"/>
  <c r="I4480" i="1" a="1"/>
  <c r="I4480" i="1" s="1"/>
  <c r="K4480" i="1" a="1"/>
  <c r="K4480" i="1" s="1"/>
  <c r="L4481" i="1" a="1"/>
  <c r="L4481" i="1" s="1"/>
  <c r="H4480" i="1"/>
  <c r="O4480" i="1" a="1"/>
  <c r="O4480" i="1" s="1"/>
  <c r="A5008" i="1" l="1"/>
  <c r="I4481" i="1" a="1"/>
  <c r="I4481" i="1" s="1"/>
  <c r="K4481" i="1" a="1"/>
  <c r="K4481" i="1" s="1"/>
  <c r="C4482" i="1"/>
  <c r="H4481" i="1"/>
  <c r="O4481" i="1" a="1"/>
  <c r="O4481" i="1" s="1"/>
  <c r="A5009" i="1" l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A5010" i="1" l="1"/>
  <c r="I4483" i="1" a="1"/>
  <c r="I4483" i="1" s="1"/>
  <c r="K4483" i="1" a="1"/>
  <c r="K4483" i="1" s="1"/>
  <c r="L4484" i="1" a="1"/>
  <c r="L4484" i="1" s="1"/>
  <c r="H4483" i="1"/>
  <c r="O4483" i="1" a="1"/>
  <c r="O4483" i="1" s="1"/>
  <c r="A5011" i="1" l="1"/>
  <c r="I4484" i="1" a="1"/>
  <c r="I4484" i="1" s="1"/>
  <c r="K4484" i="1" a="1"/>
  <c r="K4484" i="1" s="1"/>
  <c r="C4485" i="1"/>
  <c r="H4484" i="1"/>
  <c r="O4484" i="1" a="1"/>
  <c r="O4484" i="1" s="1"/>
  <c r="A5012" i="1" l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5013" i="1" l="1"/>
  <c r="I4486" i="1" a="1"/>
  <c r="I4486" i="1" s="1"/>
  <c r="K4486" i="1" a="1"/>
  <c r="K4486" i="1" s="1"/>
  <c r="L4487" i="1" a="1"/>
  <c r="L4487" i="1" s="1"/>
  <c r="H4486" i="1"/>
  <c r="O4486" i="1" a="1"/>
  <c r="O4486" i="1" s="1"/>
  <c r="A5014" i="1" l="1"/>
  <c r="I4487" i="1" a="1"/>
  <c r="I4487" i="1" s="1"/>
  <c r="K4487" i="1" a="1"/>
  <c r="K4487" i="1" s="1"/>
  <c r="L4488" i="1" a="1"/>
  <c r="L4488" i="1" s="1"/>
  <c r="H4487" i="1"/>
  <c r="O4487" i="1" a="1"/>
  <c r="O4487" i="1" s="1"/>
  <c r="A5015" i="1" l="1"/>
  <c r="I4488" i="1" a="1"/>
  <c r="I4488" i="1" s="1"/>
  <c r="K4488" i="1" a="1"/>
  <c r="K4488" i="1" s="1"/>
  <c r="H4488" i="1"/>
  <c r="O4488" i="1" a="1"/>
  <c r="O4488" i="1" s="1"/>
  <c r="A5016" i="1" l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A5017" i="1" l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5018" i="1" l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5019" i="1" l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5020" i="1" l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A5021" i="1" l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A5022" i="1" l="1"/>
  <c r="J4534" i="1" a="1"/>
  <c r="J4534" i="1" s="1"/>
  <c r="A5023" i="1" l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5024" i="1" l="1"/>
  <c r="J4597" i="1" a="1"/>
  <c r="J4597" i="1" s="1"/>
  <c r="A5025" i="1" l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A5026" i="1" l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A5027" i="1" l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C89" i="2" l="1"/>
  <c r="D61" i="2"/>
  <c r="E108" i="2"/>
  <c r="D103" i="2"/>
  <c r="E93" i="2"/>
  <c r="E126" i="2"/>
  <c r="C102" i="2"/>
  <c r="D27" i="2"/>
  <c r="E89" i="2"/>
  <c r="C12" i="2"/>
  <c r="C116" i="2"/>
  <c r="E73" i="2"/>
  <c r="C2" i="2"/>
  <c r="E84" i="2"/>
  <c r="E98" i="2"/>
  <c r="C112" i="2"/>
  <c r="C68" i="2"/>
  <c r="C93" i="2"/>
  <c r="C54" i="2"/>
  <c r="E81" i="2"/>
  <c r="D69" i="2"/>
  <c r="D98" i="2"/>
  <c r="C73" i="2"/>
  <c r="E138" i="2"/>
  <c r="E121" i="2"/>
  <c r="E27" i="2"/>
  <c r="C113" i="2"/>
  <c r="C97" i="2"/>
  <c r="C22" i="2"/>
  <c r="C43" i="2"/>
  <c r="C27" i="2"/>
  <c r="D122" i="2"/>
  <c r="C63" i="2"/>
  <c r="E140" i="2"/>
  <c r="D97" i="2"/>
  <c r="D116" i="2"/>
  <c r="D63" i="2"/>
  <c r="D126" i="2"/>
  <c r="D52" i="2"/>
  <c r="D81" i="2"/>
  <c r="D93" i="2"/>
  <c r="E112" i="2"/>
  <c r="E94" i="2"/>
  <c r="D2" i="2"/>
  <c r="C81" i="2"/>
  <c r="C74" i="2"/>
  <c r="D104" i="2"/>
  <c r="E29" i="2"/>
  <c r="E20" i="2"/>
  <c r="C11" i="2"/>
  <c r="E50" i="2"/>
  <c r="C20" i="2"/>
  <c r="D100" i="2"/>
  <c r="C139" i="2"/>
  <c r="E80" i="2"/>
  <c r="E76" i="2"/>
  <c r="C121" i="2"/>
  <c r="E4" i="2"/>
  <c r="E48" i="2"/>
  <c r="E18" i="2"/>
  <c r="C108" i="2"/>
  <c r="D22" i="2"/>
  <c r="E43" i="2"/>
  <c r="E127" i="2"/>
  <c r="E151" i="2"/>
  <c r="D60" i="2"/>
  <c r="E65" i="2"/>
  <c r="C100" i="2"/>
  <c r="D76" i="2"/>
  <c r="E45" i="2"/>
  <c r="C105" i="2"/>
  <c r="D50" i="2"/>
  <c r="E60" i="2"/>
  <c r="E71" i="2"/>
  <c r="C124" i="2"/>
  <c r="D71" i="2"/>
  <c r="D91" i="2"/>
  <c r="E56" i="2"/>
  <c r="D24" i="2"/>
  <c r="C56" i="2"/>
  <c r="C65" i="2"/>
  <c r="C40" i="2"/>
  <c r="C86" i="2"/>
  <c r="D65" i="2"/>
  <c r="D20" i="2"/>
  <c r="E11" i="2"/>
  <c r="C29" i="2"/>
  <c r="D80" i="2"/>
  <c r="C35" i="2"/>
  <c r="D40" i="2"/>
  <c r="E100" i="2"/>
  <c r="D110" i="2"/>
  <c r="C154" i="2"/>
  <c r="D139" i="2"/>
  <c r="E139" i="2"/>
  <c r="D124" i="2"/>
  <c r="D86" i="2"/>
  <c r="D11" i="2"/>
  <c r="E154" i="2"/>
  <c r="E115" i="2"/>
  <c r="C50" i="2"/>
  <c r="D45" i="2"/>
  <c r="C129" i="2"/>
  <c r="C110" i="2"/>
  <c r="E110" i="2"/>
  <c r="C158" i="2"/>
  <c r="C91" i="2"/>
  <c r="C146" i="2"/>
  <c r="D129" i="2"/>
  <c r="D56" i="2"/>
  <c r="D35" i="2"/>
  <c r="E35" i="2"/>
  <c r="D158" i="2"/>
  <c r="D151" i="2"/>
  <c r="C131" i="2"/>
  <c r="C115" i="2"/>
  <c r="C119" i="2"/>
  <c r="E136" i="2"/>
  <c r="E40" i="2"/>
  <c r="E86" i="2"/>
  <c r="E119" i="2"/>
  <c r="E131" i="2"/>
  <c r="E124" i="2"/>
  <c r="D131" i="2"/>
  <c r="E105" i="2"/>
  <c r="D29" i="2"/>
  <c r="C80" i="2"/>
  <c r="E158" i="2"/>
  <c r="C136" i="2"/>
  <c r="D146" i="2"/>
  <c r="E146" i="2"/>
  <c r="C76" i="2"/>
  <c r="C45" i="2"/>
  <c r="E91" i="2"/>
  <c r="D154" i="2"/>
  <c r="E129" i="2"/>
  <c r="D119" i="2"/>
  <c r="D136" i="2"/>
  <c r="D105" i="2"/>
  <c r="C151" i="2"/>
  <c r="C71" i="2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E152" i="2" l="1"/>
  <c r="C162" i="2"/>
  <c r="E161" i="2"/>
  <c r="E128" i="2"/>
  <c r="D150" i="2"/>
  <c r="D161" i="2"/>
  <c r="E79" i="2"/>
  <c r="C159" i="2"/>
  <c r="C160" i="2"/>
  <c r="E118" i="2"/>
  <c r="D142" i="2"/>
  <c r="E153" i="2"/>
  <c r="C147" i="2"/>
  <c r="D79" i="2"/>
  <c r="D159" i="2"/>
  <c r="C149" i="2"/>
  <c r="C148" i="2"/>
  <c r="E150" i="2"/>
  <c r="E144" i="2"/>
  <c r="D141" i="2"/>
  <c r="E162" i="2"/>
  <c r="D135" i="2"/>
  <c r="C60" i="2"/>
  <c r="C155" i="2"/>
  <c r="D157" i="2"/>
  <c r="E156" i="2"/>
  <c r="C152" i="2"/>
  <c r="C153" i="2"/>
  <c r="E157" i="2"/>
  <c r="C120" i="2"/>
  <c r="E160" i="2"/>
  <c r="D160" i="2"/>
  <c r="C150" i="2"/>
  <c r="C161" i="2"/>
  <c r="D120" i="2"/>
  <c r="D143" i="2"/>
  <c r="D115" i="2"/>
  <c r="E155" i="2"/>
  <c r="C157" i="2"/>
  <c r="E24" i="2"/>
  <c r="C128" i="2"/>
  <c r="E148" i="2"/>
  <c r="C156" i="2"/>
  <c r="C127" i="2"/>
  <c r="D92" i="2"/>
  <c r="C99" i="2"/>
  <c r="D118" i="2"/>
  <c r="C135" i="2"/>
  <c r="D152" i="2"/>
  <c r="C137" i="2"/>
  <c r="E141" i="2"/>
  <c r="C114" i="2"/>
  <c r="E145" i="2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E159" i="2" l="1"/>
  <c r="E120" i="2"/>
  <c r="C123" i="2"/>
  <c r="E135" i="2"/>
  <c r="C36" i="2"/>
  <c r="D145" i="2"/>
  <c r="E99" i="2"/>
  <c r="E137" i="2"/>
  <c r="D30" i="2"/>
  <c r="E143" i="2"/>
  <c r="E33" i="2"/>
  <c r="D132" i="2"/>
  <c r="C21" i="2"/>
  <c r="E17" i="2"/>
  <c r="E149" i="2"/>
  <c r="D148" i="2"/>
  <c r="C125" i="2"/>
  <c r="C132" i="2"/>
  <c r="D155" i="2"/>
  <c r="C88" i="2"/>
  <c r="C3" i="2"/>
  <c r="C118" i="2"/>
  <c r="C145" i="2"/>
  <c r="C26" i="2"/>
  <c r="C24" i="2"/>
  <c r="D111" i="2"/>
  <c r="E14" i="2"/>
  <c r="E57" i="2"/>
  <c r="C41" i="2"/>
  <c r="C96" i="2"/>
  <c r="C28" i="2"/>
  <c r="E147" i="2"/>
  <c r="C144" i="2"/>
  <c r="E123" i="2"/>
  <c r="D147" i="2"/>
  <c r="C90" i="2"/>
  <c r="E16" i="2"/>
  <c r="D16" i="2"/>
  <c r="E64" i="2"/>
  <c r="C141" i="2"/>
  <c r="C23" i="2"/>
  <c r="E13" i="2"/>
  <c r="D101" i="2"/>
  <c r="E114" i="2"/>
  <c r="E142" i="2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E125" i="2" l="1"/>
  <c r="C83" i="2"/>
  <c r="C34" i="2"/>
  <c r="C25" i="2"/>
  <c r="C42" i="2"/>
  <c r="C31" i="2"/>
  <c r="C32" i="2"/>
  <c r="C111" i="2"/>
  <c r="E21" i="2"/>
  <c r="C19" i="2"/>
  <c r="C142" i="2"/>
  <c r="C95" i="2"/>
  <c r="C106" i="2"/>
  <c r="C14" i="2"/>
  <c r="C5" i="2"/>
  <c r="E132" i="2"/>
  <c r="C85" i="2"/>
  <c r="E51" i="2"/>
  <c r="E49" i="2"/>
  <c r="C49" i="2"/>
  <c r="E34" i="2"/>
  <c r="D114" i="2"/>
  <c r="C30" i="2"/>
  <c r="E25" i="2"/>
  <c r="C47" i="2"/>
  <c r="E82" i="2"/>
  <c r="C109" i="2"/>
  <c r="E66" i="2"/>
  <c r="C39" i="2"/>
  <c r="C67" i="2"/>
  <c r="E7" i="2"/>
  <c r="E47" i="2"/>
  <c r="C143" i="2"/>
  <c r="E53" i="2"/>
  <c r="C82" i="2"/>
  <c r="E10" i="2"/>
  <c r="D82" i="2"/>
  <c r="D25" i="2"/>
  <c r="E109" i="2"/>
  <c r="E95" i="2"/>
  <c r="D39" i="2"/>
  <c r="C64" i="2"/>
  <c r="C57" i="2"/>
  <c r="E46" i="2"/>
  <c r="E83" i="2"/>
  <c r="E42" i="2"/>
  <c r="D72" i="2"/>
  <c r="E72" i="2"/>
  <c r="E88" i="2"/>
  <c r="E32" i="2"/>
  <c r="C62" i="2"/>
  <c r="E92" i="2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E6" i="2" l="1"/>
  <c r="E63" i="2"/>
  <c r="C72" i="2"/>
  <c r="E38" i="2"/>
  <c r="C15" i="2"/>
  <c r="D130" i="2"/>
  <c r="C122" i="2"/>
  <c r="C33" i="2"/>
  <c r="D15" i="2"/>
  <c r="C94" i="2"/>
  <c r="D107" i="2"/>
  <c r="D49" i="2"/>
  <c r="E26" i="2"/>
  <c r="C117" i="2"/>
  <c r="D8" i="2"/>
  <c r="D12" i="2"/>
  <c r="E9" i="2"/>
  <c r="C98" i="2"/>
  <c r="E8" i="2"/>
  <c r="D44" i="2"/>
  <c r="E36" i="2"/>
  <c r="C84" i="2"/>
  <c r="E102" i="2"/>
  <c r="E12" i="2"/>
  <c r="E44" i="2"/>
  <c r="E77" i="2"/>
  <c r="D58" i="2"/>
  <c r="E103" i="2"/>
  <c r="E122" i="2"/>
  <c r="C138" i="2"/>
  <c r="E23" i="2"/>
  <c r="C38" i="2"/>
  <c r="D77" i="2"/>
  <c r="E87" i="2"/>
  <c r="E130" i="2"/>
  <c r="C103" i="2"/>
  <c r="E61" i="2"/>
  <c r="C59" i="2"/>
  <c r="C133" i="2"/>
  <c r="E22" i="2"/>
  <c r="D18" i="2"/>
  <c r="E58" i="2"/>
  <c r="D68" i="2"/>
  <c r="E31" i="2"/>
  <c r="C87" i="2"/>
  <c r="D38" i="2"/>
  <c r="D48" i="2"/>
  <c r="C52" i="2"/>
  <c r="C18" i="2"/>
  <c r="D108" i="2"/>
  <c r="C44" i="2"/>
  <c r="E90" i="2"/>
  <c r="C75" i="2"/>
  <c r="E74" i="2"/>
  <c r="E85" i="2"/>
  <c r="C10" i="2"/>
  <c r="D89" i="2"/>
  <c r="C16" i="2"/>
  <c r="C101" i="2"/>
  <c r="E111" i="2"/>
  <c r="C58" i="2"/>
  <c r="E41" i="2"/>
  <c r="D66" i="2"/>
  <c r="D74" i="2"/>
  <c r="E30" i="2"/>
  <c r="E39" i="2"/>
  <c r="C53" i="2"/>
  <c r="C9" i="2"/>
  <c r="C126" i="2"/>
  <c r="E69" i="2"/>
  <c r="E5" i="2"/>
  <c r="E106" i="2"/>
  <c r="E55" i="2"/>
  <c r="E37" i="2"/>
  <c r="C55" i="2"/>
  <c r="C6" i="2"/>
  <c r="D121" i="2"/>
  <c r="C13" i="2"/>
  <c r="C79" i="2"/>
  <c r="C37" i="2"/>
  <c r="E19" i="2"/>
  <c r="E75" i="2"/>
  <c r="C70" i="2"/>
  <c r="D32" i="2"/>
  <c r="C7" i="2"/>
  <c r="C46" i="2"/>
  <c r="E96" i="2"/>
  <c r="D83" i="2"/>
  <c r="E101" i="2"/>
  <c r="C66" i="2"/>
  <c r="E3" i="2"/>
  <c r="E28" i="2"/>
  <c r="C17" i="2"/>
  <c r="E107" i="2"/>
  <c r="E67" i="2"/>
  <c r="C92" i="2"/>
  <c r="D95" i="2"/>
  <c r="E62" i="2"/>
  <c r="D43" i="2"/>
  <c r="D78" i="2"/>
  <c r="E54" i="2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B4795" i="1" l="1"/>
  <c r="D4" i="2" l="1"/>
  <c r="D87" i="2"/>
  <c r="E113" i="2"/>
  <c r="D117" i="2"/>
  <c r="E116" i="2"/>
  <c r="C4" i="2"/>
  <c r="E70" i="2"/>
  <c r="C77" i="2"/>
  <c r="D94" i="2"/>
  <c r="C8" i="2"/>
  <c r="C61" i="2"/>
  <c r="C140" i="2"/>
  <c r="E15" i="2"/>
  <c r="E104" i="2"/>
  <c r="C51" i="2"/>
  <c r="E117" i="2"/>
  <c r="E68" i="2"/>
  <c r="E2" i="2"/>
  <c r="D113" i="2"/>
  <c r="D134" i="2"/>
  <c r="E133" i="2"/>
  <c r="E59" i="2"/>
  <c r="C78" i="2"/>
  <c r="D138" i="2"/>
  <c r="E134" i="2"/>
  <c r="D140" i="2"/>
  <c r="E52" i="2"/>
  <c r="D112" i="2"/>
  <c r="D33" i="2"/>
  <c r="D133" i="2"/>
  <c r="C130" i="2"/>
  <c r="C134" i="2"/>
  <c r="E97" i="2"/>
  <c r="C48" i="2"/>
  <c r="D59" i="2"/>
  <c r="D84" i="2"/>
  <c r="E78" i="2"/>
  <c r="D102" i="2"/>
  <c r="D6" i="2"/>
  <c r="D73" i="2"/>
  <c r="D54" i="2"/>
  <c r="C69" i="2"/>
  <c r="C107" i="2"/>
  <c r="C104" i="2"/>
  <c r="D127" i="2"/>
  <c r="M4795" i="1" a="1"/>
  <c r="M4795" i="1" s="1"/>
  <c r="N4795" i="1" a="1"/>
  <c r="N4795" i="1" s="1"/>
  <c r="P4795" i="1" a="1"/>
  <c r="P4795" i="1" s="1"/>
  <c r="B4796" i="1"/>
  <c r="N4796" i="1" l="1" a="1"/>
  <c r="N4796" i="1" s="1"/>
  <c r="M4796" i="1" a="1"/>
  <c r="M4796" i="1" s="1"/>
  <c r="P4796" i="1" a="1"/>
  <c r="P4796" i="1" s="1"/>
  <c r="B4797" i="1"/>
  <c r="N4797" i="1" l="1" a="1"/>
  <c r="N4797" i="1" s="1"/>
  <c r="P4797" i="1" a="1"/>
  <c r="P4797" i="1" s="1"/>
  <c r="M4797" i="1" a="1"/>
  <c r="M4797" i="1" s="1"/>
  <c r="B4798" i="1"/>
  <c r="B4799" i="1" l="1"/>
  <c r="N4798" i="1" a="1"/>
  <c r="N4798" i="1" s="1"/>
  <c r="P4798" i="1" a="1"/>
  <c r="P4798" i="1" s="1"/>
  <c r="M4798" i="1" a="1"/>
  <c r="M4798" i="1" s="1"/>
  <c r="M4799" i="1" l="1" a="1"/>
  <c r="M4799" i="1" s="1"/>
  <c r="N4799" i="1" a="1"/>
  <c r="N4799" i="1" s="1"/>
  <c r="P4799" i="1" a="1"/>
  <c r="P4799" i="1" s="1"/>
  <c r="B4800" i="1"/>
  <c r="N4800" i="1" l="1" a="1"/>
  <c r="N4800" i="1" s="1"/>
  <c r="B4801" i="1"/>
  <c r="P4800" i="1" a="1"/>
  <c r="P4800" i="1" s="1"/>
  <c r="M4800" i="1" a="1"/>
  <c r="M4800" i="1" s="1"/>
  <c r="M4801" i="1" l="1" a="1"/>
  <c r="M4801" i="1" s="1"/>
  <c r="N4801" i="1" a="1"/>
  <c r="N4801" i="1" s="1"/>
  <c r="P4801" i="1" a="1"/>
  <c r="P4801" i="1" s="1"/>
  <c r="B4802" i="1"/>
  <c r="B4803" i="1" l="1"/>
  <c r="N4802" i="1" a="1"/>
  <c r="N4802" i="1" s="1"/>
  <c r="M4802" i="1" a="1"/>
  <c r="M4802" i="1" s="1"/>
  <c r="P4802" i="1" a="1"/>
  <c r="P4802" i="1" s="1"/>
  <c r="N4803" i="1" l="1" a="1"/>
  <c r="N4803" i="1" s="1"/>
  <c r="P4803" i="1" a="1"/>
  <c r="P4803" i="1" s="1"/>
  <c r="M4803" i="1" a="1"/>
  <c r="M4803" i="1" s="1"/>
  <c r="B4804" i="1"/>
  <c r="M4804" i="1" l="1" a="1"/>
  <c r="M4804" i="1" s="1"/>
  <c r="B4805" i="1"/>
  <c r="P4804" i="1" a="1"/>
  <c r="P4804" i="1" s="1"/>
  <c r="N4804" i="1" a="1"/>
  <c r="N4804" i="1" s="1"/>
  <c r="B4806" i="1" l="1"/>
  <c r="P4805" i="1" a="1"/>
  <c r="P4805" i="1" s="1"/>
  <c r="M4805" i="1" a="1"/>
  <c r="M4805" i="1" s="1"/>
  <c r="N4805" i="1" a="1"/>
  <c r="N4805" i="1" s="1"/>
  <c r="P4806" i="1" l="1" a="1"/>
  <c r="P4806" i="1" s="1"/>
  <c r="M4806" i="1" a="1"/>
  <c r="M4806" i="1" s="1"/>
  <c r="N4806" i="1" a="1"/>
  <c r="N4806" i="1" s="1"/>
  <c r="B4807" i="1"/>
  <c r="P4807" i="1" l="1" a="1"/>
  <c r="P4807" i="1" s="1"/>
  <c r="M4807" i="1" a="1"/>
  <c r="M4807" i="1" s="1"/>
  <c r="B4808" i="1"/>
  <c r="N4807" i="1" a="1"/>
  <c r="N4807" i="1" s="1"/>
  <c r="P4808" i="1" l="1" a="1"/>
  <c r="P4808" i="1" s="1"/>
  <c r="B4809" i="1"/>
  <c r="N4808" i="1" a="1"/>
  <c r="N4808" i="1" s="1"/>
  <c r="M4808" i="1" a="1"/>
  <c r="M4808" i="1" s="1"/>
  <c r="P4809" i="1" l="1" a="1"/>
  <c r="P4809" i="1" s="1"/>
  <c r="B4810" i="1"/>
  <c r="M4809" i="1" a="1"/>
  <c r="M4809" i="1" s="1"/>
  <c r="N4809" i="1" a="1"/>
  <c r="N4809" i="1" s="1"/>
  <c r="B4811" i="1" l="1"/>
  <c r="M4810" i="1" a="1"/>
  <c r="M4810" i="1" s="1"/>
  <c r="N4810" i="1" a="1"/>
  <c r="N4810" i="1" s="1"/>
  <c r="P4810" i="1" a="1"/>
  <c r="P4810" i="1" s="1"/>
  <c r="N4811" i="1" l="1" a="1"/>
  <c r="N4811" i="1" s="1"/>
  <c r="P4811" i="1" a="1"/>
  <c r="P4811" i="1" s="1"/>
  <c r="B4812" i="1"/>
  <c r="M4811" i="1" a="1"/>
  <c r="M4811" i="1" s="1"/>
  <c r="B4813" i="1" l="1"/>
  <c r="P4812" i="1" a="1"/>
  <c r="P4812" i="1" s="1"/>
  <c r="N4812" i="1" a="1"/>
  <c r="N4812" i="1" s="1"/>
  <c r="M4812" i="1" a="1"/>
  <c r="M4812" i="1" s="1"/>
  <c r="B4814" i="1" l="1"/>
  <c r="N4813" i="1" a="1"/>
  <c r="N4813" i="1" s="1"/>
  <c r="M4813" i="1" a="1"/>
  <c r="M4813" i="1" s="1"/>
  <c r="P4813" i="1" a="1"/>
  <c r="P4813" i="1" s="1"/>
  <c r="B4815" i="1" l="1"/>
  <c r="N4814" i="1" a="1"/>
  <c r="N4814" i="1" s="1"/>
  <c r="M4814" i="1" a="1"/>
  <c r="M4814" i="1" s="1"/>
  <c r="P4814" i="1" a="1"/>
  <c r="P4814" i="1" s="1"/>
  <c r="M4815" i="1" l="1" a="1"/>
  <c r="M4815" i="1" s="1"/>
  <c r="P4815" i="1" a="1"/>
  <c r="P4815" i="1" s="1"/>
  <c r="N4815" i="1" a="1"/>
  <c r="N4815" i="1" s="1"/>
  <c r="B4816" i="1"/>
  <c r="P4816" i="1" l="1" a="1"/>
  <c r="P4816" i="1" s="1"/>
  <c r="B4817" i="1"/>
  <c r="N4816" i="1" a="1"/>
  <c r="N4816" i="1" s="1"/>
  <c r="M4816" i="1" a="1"/>
  <c r="M4816" i="1" s="1"/>
  <c r="P4817" i="1" l="1" a="1"/>
  <c r="P4817" i="1" s="1"/>
  <c r="M4817" i="1" a="1"/>
  <c r="M4817" i="1" s="1"/>
  <c r="N4817" i="1" a="1"/>
  <c r="N4817" i="1" s="1"/>
  <c r="B4818" i="1"/>
  <c r="B4819" i="1" l="1"/>
  <c r="N4818" i="1" a="1"/>
  <c r="N4818" i="1" s="1"/>
  <c r="M4818" i="1" a="1"/>
  <c r="M4818" i="1" s="1"/>
  <c r="P4818" i="1" a="1"/>
  <c r="P4818" i="1" s="1"/>
  <c r="N4819" i="1" l="1" a="1"/>
  <c r="N4819" i="1" s="1"/>
  <c r="P4819" i="1" a="1"/>
  <c r="P4819" i="1" s="1"/>
  <c r="M4819" i="1" a="1"/>
  <c r="M4819" i="1" s="1"/>
  <c r="B4820" i="1"/>
  <c r="B4821" i="1" l="1"/>
  <c r="P4820" i="1" a="1"/>
  <c r="P4820" i="1" s="1"/>
  <c r="M4820" i="1" a="1"/>
  <c r="M4820" i="1" s="1"/>
  <c r="N4820" i="1" a="1"/>
  <c r="N4820" i="1" s="1"/>
  <c r="B4822" i="1" l="1"/>
  <c r="P4821" i="1" a="1"/>
  <c r="P4821" i="1" s="1"/>
  <c r="N4821" i="1" a="1"/>
  <c r="N4821" i="1" s="1"/>
  <c r="M4821" i="1" a="1"/>
  <c r="M4821" i="1" s="1"/>
  <c r="M4822" i="1" l="1" a="1"/>
  <c r="M4822" i="1" s="1"/>
  <c r="B4823" i="1"/>
  <c r="N4822" i="1" a="1"/>
  <c r="N4822" i="1" s="1"/>
  <c r="P4822" i="1" a="1"/>
  <c r="P4822" i="1" s="1"/>
  <c r="M4823" i="1" l="1" a="1"/>
  <c r="M4823" i="1" s="1"/>
  <c r="B4824" i="1"/>
  <c r="N4823" i="1" a="1"/>
  <c r="N4823" i="1" s="1"/>
  <c r="P4823" i="1" a="1"/>
  <c r="P4823" i="1" s="1"/>
  <c r="M4824" i="1" l="1" a="1"/>
  <c r="M4824" i="1" s="1"/>
  <c r="P4824" i="1" a="1"/>
  <c r="P4824" i="1" s="1"/>
  <c r="B4825" i="1"/>
  <c r="N4824" i="1" a="1"/>
  <c r="N4824" i="1" s="1"/>
  <c r="P4825" i="1" l="1" a="1"/>
  <c r="P4825" i="1" s="1"/>
  <c r="B4826" i="1"/>
  <c r="N4825" i="1" a="1"/>
  <c r="N4825" i="1" s="1"/>
  <c r="M4825" i="1" a="1"/>
  <c r="M4825" i="1" s="1"/>
  <c r="P4826" i="1" l="1" a="1"/>
  <c r="P4826" i="1" s="1"/>
  <c r="M4826" i="1" a="1"/>
  <c r="M4826" i="1" s="1"/>
  <c r="B4827" i="1"/>
  <c r="N4826" i="1" a="1"/>
  <c r="N4826" i="1" s="1"/>
  <c r="M4827" i="1" l="1" a="1"/>
  <c r="M4827" i="1" s="1"/>
  <c r="N4827" i="1" a="1"/>
  <c r="N4827" i="1" s="1"/>
  <c r="B4828" i="1"/>
  <c r="P4827" i="1" a="1"/>
  <c r="P4827" i="1" s="1"/>
  <c r="M4828" i="1" l="1" a="1"/>
  <c r="M4828" i="1" s="1"/>
  <c r="N4828" i="1" a="1"/>
  <c r="N4828" i="1" s="1"/>
  <c r="P4828" i="1" a="1"/>
  <c r="P4828" i="1" s="1"/>
  <c r="B4829" i="1"/>
  <c r="P4829" i="1" l="1" a="1"/>
  <c r="P4829" i="1" s="1"/>
  <c r="M4829" i="1" a="1"/>
  <c r="M4829" i="1" s="1"/>
  <c r="N4829" i="1" a="1"/>
  <c r="N4829" i="1" s="1"/>
  <c r="B4830" i="1"/>
  <c r="M4830" i="1" l="1" a="1"/>
  <c r="M4830" i="1" s="1"/>
  <c r="P4830" i="1" a="1"/>
  <c r="P4830" i="1" s="1"/>
  <c r="N4830" i="1" a="1"/>
  <c r="N4830" i="1" s="1"/>
  <c r="B4831" i="1"/>
  <c r="P4831" i="1" l="1" a="1"/>
  <c r="P4831" i="1" s="1"/>
  <c r="M4831" i="1" a="1"/>
  <c r="M4831" i="1" s="1"/>
  <c r="N4831" i="1" a="1"/>
  <c r="N4831" i="1" s="1"/>
  <c r="B4832" i="1"/>
  <c r="B4833" i="1" l="1"/>
  <c r="N4832" i="1" a="1"/>
  <c r="N4832" i="1" s="1"/>
  <c r="P4832" i="1" a="1"/>
  <c r="P4832" i="1" s="1"/>
  <c r="M4832" i="1" a="1"/>
  <c r="M4832" i="1" s="1"/>
  <c r="N4833" i="1" l="1" a="1"/>
  <c r="N4833" i="1" s="1"/>
  <c r="P4833" i="1" a="1"/>
  <c r="P4833" i="1" s="1"/>
  <c r="M4833" i="1" a="1"/>
  <c r="M4833" i="1" s="1"/>
  <c r="B4834" i="1"/>
  <c r="P4834" i="1" l="1" a="1"/>
  <c r="P4834" i="1" s="1"/>
  <c r="B4835" i="1"/>
  <c r="M4834" i="1" a="1"/>
  <c r="M4834" i="1" s="1"/>
  <c r="N4834" i="1" a="1"/>
  <c r="N4834" i="1" s="1"/>
  <c r="B4836" i="1" l="1"/>
  <c r="N4835" i="1" a="1"/>
  <c r="N4835" i="1" s="1"/>
  <c r="P4835" i="1" a="1"/>
  <c r="P4835" i="1" s="1"/>
  <c r="M4835" i="1" a="1"/>
  <c r="M4835" i="1" s="1"/>
  <c r="B4837" i="1" l="1"/>
  <c r="P4836" i="1" a="1"/>
  <c r="P4836" i="1" s="1"/>
  <c r="M4836" i="1" a="1"/>
  <c r="M4836" i="1" s="1"/>
  <c r="N4836" i="1" a="1"/>
  <c r="N4836" i="1" s="1"/>
  <c r="B4838" i="1" l="1"/>
  <c r="P4837" i="1" a="1"/>
  <c r="P4837" i="1" s="1"/>
  <c r="M4837" i="1" a="1"/>
  <c r="M4837" i="1" s="1"/>
  <c r="N4837" i="1" a="1"/>
  <c r="N4837" i="1" s="1"/>
  <c r="B4839" i="1" l="1"/>
  <c r="M4838" i="1" a="1"/>
  <c r="M4838" i="1" s="1"/>
  <c r="N4838" i="1" a="1"/>
  <c r="N4838" i="1" s="1"/>
  <c r="P4838" i="1" a="1"/>
  <c r="P4838" i="1" s="1"/>
  <c r="P4839" i="1" l="1" a="1"/>
  <c r="P4839" i="1" s="1"/>
  <c r="M4839" i="1" a="1"/>
  <c r="M4839" i="1" s="1"/>
  <c r="B4840" i="1"/>
  <c r="N4839" i="1" a="1"/>
  <c r="N4839" i="1" s="1"/>
  <c r="B4841" i="1" l="1"/>
  <c r="P4840" i="1" a="1"/>
  <c r="P4840" i="1" s="1"/>
  <c r="N4840" i="1" a="1"/>
  <c r="N4840" i="1" s="1"/>
  <c r="M4840" i="1" a="1"/>
  <c r="M4840" i="1" s="1"/>
  <c r="P4841" i="1" l="1" a="1"/>
  <c r="P4841" i="1" s="1"/>
  <c r="M4841" i="1" a="1"/>
  <c r="M4841" i="1" s="1"/>
  <c r="N4841" i="1" a="1"/>
  <c r="N4841" i="1" s="1"/>
  <c r="B4842" i="1"/>
  <c r="N4842" i="1" l="1" a="1"/>
  <c r="N4842" i="1" s="1"/>
  <c r="P4842" i="1" a="1"/>
  <c r="P4842" i="1" s="1"/>
  <c r="M4842" i="1" a="1"/>
  <c r="M4842" i="1" s="1"/>
  <c r="B4843" i="1"/>
  <c r="M4843" i="1" l="1" a="1"/>
  <c r="M4843" i="1" s="1"/>
  <c r="P4843" i="1" a="1"/>
  <c r="P4843" i="1" s="1"/>
  <c r="N4843" i="1" a="1"/>
  <c r="N4843" i="1" s="1"/>
  <c r="B4844" i="1"/>
  <c r="N4844" i="1" l="1" a="1"/>
  <c r="N4844" i="1" s="1"/>
  <c r="P4844" i="1" a="1"/>
  <c r="P4844" i="1" s="1"/>
  <c r="B4845" i="1"/>
  <c r="M4844" i="1" a="1"/>
  <c r="M4844" i="1" s="1"/>
  <c r="N4845" i="1" l="1" a="1"/>
  <c r="N4845" i="1" s="1"/>
  <c r="P4845" i="1" a="1"/>
  <c r="P4845" i="1" s="1"/>
  <c r="B4846" i="1"/>
  <c r="M4845" i="1" a="1"/>
  <c r="M4845" i="1" s="1"/>
  <c r="M4846" i="1" l="1" a="1"/>
  <c r="M4846" i="1" s="1"/>
  <c r="N4846" i="1" a="1"/>
  <c r="N4846" i="1" s="1"/>
  <c r="P4846" i="1" a="1"/>
  <c r="P4846" i="1" s="1"/>
  <c r="B4847" i="1"/>
  <c r="P4847" i="1" l="1" a="1"/>
  <c r="P4847" i="1" s="1"/>
  <c r="B4848" i="1"/>
  <c r="M4847" i="1" a="1"/>
  <c r="M4847" i="1" s="1"/>
  <c r="N4847" i="1" a="1"/>
  <c r="N4847" i="1" s="1"/>
  <c r="B4849" i="1" l="1"/>
  <c r="N4848" i="1" a="1"/>
  <c r="N4848" i="1" s="1"/>
  <c r="M4848" i="1" a="1"/>
  <c r="M4848" i="1" s="1"/>
  <c r="P4848" i="1" a="1"/>
  <c r="P4848" i="1" s="1"/>
  <c r="P4849" i="1" l="1" a="1"/>
  <c r="P4849" i="1" s="1"/>
  <c r="M4849" i="1" a="1"/>
  <c r="M4849" i="1" s="1"/>
  <c r="B4850" i="1"/>
  <c r="N4849" i="1" a="1"/>
  <c r="N4849" i="1" s="1"/>
  <c r="M4850" i="1" l="1" a="1"/>
  <c r="M4850" i="1" s="1"/>
  <c r="B4851" i="1"/>
  <c r="N4850" i="1" a="1"/>
  <c r="N4850" i="1" s="1"/>
  <c r="P4850" i="1" a="1"/>
  <c r="P4850" i="1" s="1"/>
  <c r="N4851" i="1" l="1" a="1"/>
  <c r="N4851" i="1" s="1"/>
  <c r="P4851" i="1" a="1"/>
  <c r="P4851" i="1" s="1"/>
  <c r="B4852" i="1"/>
  <c r="M4851" i="1" a="1"/>
  <c r="M4851" i="1" s="1"/>
  <c r="P4852" i="1" l="1" a="1"/>
  <c r="P4852" i="1" s="1"/>
  <c r="M4852" i="1" a="1"/>
  <c r="M4852" i="1" s="1"/>
  <c r="N4852" i="1" a="1"/>
  <c r="N4852" i="1" s="1"/>
  <c r="B4853" i="1"/>
  <c r="B4854" i="1" l="1"/>
  <c r="P4853" i="1" a="1"/>
  <c r="P4853" i="1" s="1"/>
  <c r="M4853" i="1" a="1"/>
  <c r="M4853" i="1" s="1"/>
  <c r="N4853" i="1" a="1"/>
  <c r="N4853" i="1" s="1"/>
  <c r="N4854" i="1" l="1" a="1"/>
  <c r="N4854" i="1" s="1"/>
  <c r="B4855" i="1"/>
  <c r="P4854" i="1" a="1"/>
  <c r="P4854" i="1" s="1"/>
  <c r="M4854" i="1" a="1"/>
  <c r="M4854" i="1" s="1"/>
  <c r="N4855" i="1" l="1" a="1"/>
  <c r="N4855" i="1" s="1"/>
  <c r="B4856" i="1"/>
  <c r="M4855" i="1" a="1"/>
  <c r="M4855" i="1" s="1"/>
  <c r="P4855" i="1" a="1"/>
  <c r="P4855" i="1" s="1"/>
  <c r="M4856" i="1" l="1" a="1"/>
  <c r="M4856" i="1" s="1"/>
  <c r="B4857" i="1"/>
  <c r="P4856" i="1" a="1"/>
  <c r="P4856" i="1" s="1"/>
  <c r="N4856" i="1" a="1"/>
  <c r="N4856" i="1" s="1"/>
  <c r="P4857" i="1" l="1" a="1"/>
  <c r="P4857" i="1" s="1"/>
  <c r="M4857" i="1" a="1"/>
  <c r="M4857" i="1" s="1"/>
  <c r="N4857" i="1" a="1"/>
  <c r="N4857" i="1" s="1"/>
  <c r="B4858" i="1"/>
  <c r="B4859" i="1" l="1"/>
  <c r="P4858" i="1" a="1"/>
  <c r="P4858" i="1" s="1"/>
  <c r="M4858" i="1" a="1"/>
  <c r="M4858" i="1" s="1"/>
  <c r="N4858" i="1" a="1"/>
  <c r="N4858" i="1" s="1"/>
  <c r="P4859" i="1" l="1" a="1"/>
  <c r="P4859" i="1" s="1"/>
  <c r="N4859" i="1" a="1"/>
  <c r="N4859" i="1" s="1"/>
  <c r="B4860" i="1"/>
  <c r="M4859" i="1" a="1"/>
  <c r="M4859" i="1" s="1"/>
  <c r="B4861" i="1" l="1"/>
  <c r="N4860" i="1" a="1"/>
  <c r="N4860" i="1" s="1"/>
  <c r="P4860" i="1" a="1"/>
  <c r="P4860" i="1" s="1"/>
  <c r="M4860" i="1" a="1"/>
  <c r="M4860" i="1" s="1"/>
  <c r="M4861" i="1" l="1" a="1"/>
  <c r="M4861" i="1" s="1"/>
  <c r="N4861" i="1" a="1"/>
  <c r="N4861" i="1" s="1"/>
  <c r="B4862" i="1"/>
  <c r="P4861" i="1" a="1"/>
  <c r="P4861" i="1" s="1"/>
  <c r="P4862" i="1" l="1" a="1"/>
  <c r="P4862" i="1" s="1"/>
  <c r="M4862" i="1" a="1"/>
  <c r="M4862" i="1" s="1"/>
  <c r="B4863" i="1"/>
  <c r="N4862" i="1" a="1"/>
  <c r="N4862" i="1" s="1"/>
  <c r="B4864" i="1" l="1"/>
  <c r="M4863" i="1" a="1"/>
  <c r="M4863" i="1" s="1"/>
  <c r="N4863" i="1" a="1"/>
  <c r="N4863" i="1" s="1"/>
  <c r="P4863" i="1" a="1"/>
  <c r="P4863" i="1" s="1"/>
  <c r="B4865" i="1" l="1"/>
  <c r="M4864" i="1" a="1"/>
  <c r="M4864" i="1" s="1"/>
  <c r="N4864" i="1" a="1"/>
  <c r="N4864" i="1" s="1"/>
  <c r="P4864" i="1" a="1"/>
  <c r="P4864" i="1" s="1"/>
  <c r="N4865" i="1" l="1" a="1"/>
  <c r="N4865" i="1" s="1"/>
  <c r="P4865" i="1" a="1"/>
  <c r="P4865" i="1" s="1"/>
  <c r="B4866" i="1"/>
  <c r="M4865" i="1" a="1"/>
  <c r="M4865" i="1" s="1"/>
  <c r="N4866" i="1" l="1" a="1"/>
  <c r="N4866" i="1" s="1"/>
  <c r="M4866" i="1" a="1"/>
  <c r="M4866" i="1" s="1"/>
  <c r="B4867" i="1"/>
  <c r="P4866" i="1" a="1"/>
  <c r="P4866" i="1" s="1"/>
  <c r="P4867" i="1" l="1" a="1"/>
  <c r="P4867" i="1" s="1"/>
  <c r="B4868" i="1"/>
  <c r="M4867" i="1" a="1"/>
  <c r="M4867" i="1" s="1"/>
  <c r="N4867" i="1" a="1"/>
  <c r="N4867" i="1" s="1"/>
  <c r="N4868" i="1" l="1" a="1"/>
  <c r="N4868" i="1" s="1"/>
  <c r="M4868" i="1" a="1"/>
  <c r="M4868" i="1" s="1"/>
  <c r="B4869" i="1"/>
  <c r="P4868" i="1" a="1"/>
  <c r="P4868" i="1" s="1"/>
  <c r="B4870" i="1" l="1"/>
  <c r="M4869" i="1" a="1"/>
  <c r="M4869" i="1" s="1"/>
  <c r="N4869" i="1" a="1"/>
  <c r="N4869" i="1" s="1"/>
  <c r="P4869" i="1" a="1"/>
  <c r="P4869" i="1" s="1"/>
  <c r="N4870" i="1" l="1" a="1"/>
  <c r="N4870" i="1" s="1"/>
  <c r="P4870" i="1" a="1"/>
  <c r="P4870" i="1" s="1"/>
  <c r="M4870" i="1" a="1"/>
  <c r="M4870" i="1" s="1"/>
  <c r="B4871" i="1"/>
  <c r="B4872" i="1" l="1"/>
  <c r="P4871" i="1" a="1"/>
  <c r="P4871" i="1" s="1"/>
  <c r="N4871" i="1" a="1"/>
  <c r="N4871" i="1" s="1"/>
  <c r="M4871" i="1" a="1"/>
  <c r="M4871" i="1" s="1"/>
  <c r="P4872" i="1" l="1" a="1"/>
  <c r="P4872" i="1" s="1"/>
  <c r="M4872" i="1" a="1"/>
  <c r="M4872" i="1" s="1"/>
  <c r="N4872" i="1" a="1"/>
  <c r="N4872" i="1" s="1"/>
  <c r="B4873" i="1"/>
  <c r="N4873" i="1" l="1" a="1"/>
  <c r="N4873" i="1" s="1"/>
  <c r="M4873" i="1" a="1"/>
  <c r="M4873" i="1" s="1"/>
  <c r="P4873" i="1" a="1"/>
  <c r="P4873" i="1" s="1"/>
  <c r="B4874" i="1"/>
  <c r="P4874" i="1" l="1" a="1"/>
  <c r="P4874" i="1" s="1"/>
  <c r="B4875" i="1"/>
  <c r="M4874" i="1" a="1"/>
  <c r="M4874" i="1" s="1"/>
  <c r="N4874" i="1" a="1"/>
  <c r="N4874" i="1" s="1"/>
  <c r="B4876" i="1" l="1"/>
  <c r="M4875" i="1" a="1"/>
  <c r="M4875" i="1" s="1"/>
  <c r="N4875" i="1" a="1"/>
  <c r="N4875" i="1" s="1"/>
  <c r="P4875" i="1" a="1"/>
  <c r="P4875" i="1" s="1"/>
  <c r="P4876" i="1" l="1" a="1"/>
  <c r="P4876" i="1" s="1"/>
  <c r="M4876" i="1" a="1"/>
  <c r="M4876" i="1" s="1"/>
  <c r="B4877" i="1"/>
  <c r="N4876" i="1" a="1"/>
  <c r="N4876" i="1" s="1"/>
  <c r="P4877" i="1" l="1" a="1"/>
  <c r="P4877" i="1" s="1"/>
  <c r="M4877" i="1" a="1"/>
  <c r="M4877" i="1" s="1"/>
  <c r="B4878" i="1"/>
  <c r="N4877" i="1" a="1"/>
  <c r="N4877" i="1" s="1"/>
  <c r="B4879" i="1" l="1"/>
  <c r="N4878" i="1" a="1"/>
  <c r="N4878" i="1" s="1"/>
  <c r="P4878" i="1" a="1"/>
  <c r="P4878" i="1" s="1"/>
  <c r="M4878" i="1" a="1"/>
  <c r="M4878" i="1" s="1"/>
  <c r="N4879" i="1" l="1" a="1"/>
  <c r="N4879" i="1" s="1"/>
  <c r="B4880" i="1"/>
  <c r="P4879" i="1" a="1"/>
  <c r="P4879" i="1" s="1"/>
  <c r="M4879" i="1" a="1"/>
  <c r="M4879" i="1" s="1"/>
  <c r="N4880" i="1" l="1" a="1"/>
  <c r="N4880" i="1" s="1"/>
  <c r="P4880" i="1" a="1"/>
  <c r="P4880" i="1" s="1"/>
  <c r="M4880" i="1" a="1"/>
  <c r="M4880" i="1" s="1"/>
  <c r="B4881" i="1"/>
  <c r="M4881" i="1" l="1" a="1"/>
  <c r="M4881" i="1" s="1"/>
  <c r="N4881" i="1" a="1"/>
  <c r="N4881" i="1" s="1"/>
  <c r="P4881" i="1" a="1"/>
  <c r="P4881" i="1" s="1"/>
  <c r="B4882" i="1"/>
  <c r="M4882" i="1" l="1" a="1"/>
  <c r="M4882" i="1" s="1"/>
  <c r="N4882" i="1" a="1"/>
  <c r="N4882" i="1" s="1"/>
  <c r="P4882" i="1" a="1"/>
  <c r="P4882" i="1" s="1"/>
  <c r="B4883" i="1"/>
  <c r="P4883" i="1" l="1" a="1"/>
  <c r="P4883" i="1" s="1"/>
  <c r="M4883" i="1" a="1"/>
  <c r="M4883" i="1" s="1"/>
  <c r="B4884" i="1"/>
  <c r="N4883" i="1" a="1"/>
  <c r="N4883" i="1" s="1"/>
  <c r="M4884" i="1" l="1" a="1"/>
  <c r="M4884" i="1" s="1"/>
  <c r="N4884" i="1" a="1"/>
  <c r="N4884" i="1" s="1"/>
  <c r="B4885" i="1"/>
  <c r="P4884" i="1" a="1"/>
  <c r="P4884" i="1" s="1"/>
  <c r="P4885" i="1" l="1" a="1"/>
  <c r="P4885" i="1" s="1"/>
  <c r="M4885" i="1" a="1"/>
  <c r="M4885" i="1" s="1"/>
  <c r="B4886" i="1"/>
  <c r="N4885" i="1" a="1"/>
  <c r="N4885" i="1" s="1"/>
  <c r="N4886" i="1" l="1" a="1"/>
  <c r="N4886" i="1" s="1"/>
  <c r="P4886" i="1" a="1"/>
  <c r="P4886" i="1" s="1"/>
  <c r="M4886" i="1" a="1"/>
  <c r="M4886" i="1" s="1"/>
  <c r="B4887" i="1"/>
  <c r="P4887" i="1" l="1" a="1"/>
  <c r="P4887" i="1" s="1"/>
  <c r="M4887" i="1" a="1"/>
  <c r="M4887" i="1" s="1"/>
  <c r="N4887" i="1" a="1"/>
  <c r="N4887" i="1" s="1"/>
  <c r="B4888" i="1"/>
  <c r="M4888" i="1" l="1" a="1"/>
  <c r="M4888" i="1" s="1"/>
  <c r="N4888" i="1" a="1"/>
  <c r="N4888" i="1" s="1"/>
  <c r="P4888" i="1" a="1"/>
  <c r="P4888" i="1" s="1"/>
  <c r="B4889" i="1"/>
  <c r="P4889" i="1" l="1" a="1"/>
  <c r="P4889" i="1" s="1"/>
  <c r="N4889" i="1" a="1"/>
  <c r="N4889" i="1" s="1"/>
  <c r="B4890" i="1"/>
  <c r="M4889" i="1" a="1"/>
  <c r="M4889" i="1" s="1"/>
  <c r="B4891" i="1" l="1"/>
  <c r="P4890" i="1" a="1"/>
  <c r="P4890" i="1" s="1"/>
  <c r="M4890" i="1" a="1"/>
  <c r="M4890" i="1" s="1"/>
  <c r="N4890" i="1" a="1"/>
  <c r="N4890" i="1" s="1"/>
  <c r="P4891" i="1" l="1" a="1"/>
  <c r="P4891" i="1" s="1"/>
  <c r="M4891" i="1" a="1"/>
  <c r="M4891" i="1" s="1"/>
  <c r="N4891" i="1" a="1"/>
  <c r="N4891" i="1" s="1"/>
  <c r="B4892" i="1"/>
  <c r="M4892" i="1" l="1" a="1"/>
  <c r="M4892" i="1" s="1"/>
  <c r="N4892" i="1" a="1"/>
  <c r="N4892" i="1" s="1"/>
  <c r="P4892" i="1" a="1"/>
  <c r="P4892" i="1" s="1"/>
  <c r="B4893" i="1"/>
  <c r="P4893" i="1" l="1" a="1"/>
  <c r="P4893" i="1" s="1"/>
  <c r="M4893" i="1" a="1"/>
  <c r="M4893" i="1" s="1"/>
  <c r="B4894" i="1"/>
  <c r="N4893" i="1" a="1"/>
  <c r="N4893" i="1" s="1"/>
  <c r="B4895" i="1" l="1"/>
  <c r="N4894" i="1" a="1"/>
  <c r="N4894" i="1" s="1"/>
  <c r="P4894" i="1" a="1"/>
  <c r="P4894" i="1" s="1"/>
  <c r="M4894" i="1" a="1"/>
  <c r="M4894" i="1" s="1"/>
  <c r="B4896" i="1" l="1"/>
  <c r="P4895" i="1" a="1"/>
  <c r="P4895" i="1" s="1"/>
  <c r="M4895" i="1" a="1"/>
  <c r="M4895" i="1" s="1"/>
  <c r="N4895" i="1" a="1"/>
  <c r="N4895" i="1" s="1"/>
  <c r="P4896" i="1" l="1" a="1"/>
  <c r="P4896" i="1" s="1"/>
  <c r="M4896" i="1" a="1"/>
  <c r="M4896" i="1" s="1"/>
  <c r="B4897" i="1"/>
  <c r="N4896" i="1" a="1"/>
  <c r="N4896" i="1" s="1"/>
  <c r="P4897" i="1" l="1" a="1"/>
  <c r="P4897" i="1" s="1"/>
  <c r="M4897" i="1" a="1"/>
  <c r="M4897" i="1" s="1"/>
  <c r="B4898" i="1"/>
  <c r="N4897" i="1" a="1"/>
  <c r="N4897" i="1" s="1"/>
  <c r="M4898" i="1" l="1" a="1"/>
  <c r="M4898" i="1" s="1"/>
  <c r="P4898" i="1" a="1"/>
  <c r="P4898" i="1" s="1"/>
  <c r="N4898" i="1" a="1"/>
  <c r="N4898" i="1" s="1"/>
  <c r="B4899" i="1"/>
  <c r="B4900" i="1" l="1"/>
  <c r="N4899" i="1" a="1"/>
  <c r="N4899" i="1" s="1"/>
  <c r="M4899" i="1" a="1"/>
  <c r="M4899" i="1" s="1"/>
  <c r="P4899" i="1" a="1"/>
  <c r="P4899" i="1" s="1"/>
  <c r="M4900" i="1" l="1" a="1"/>
  <c r="M4900" i="1" s="1"/>
  <c r="B4901" i="1"/>
  <c r="N4900" i="1" a="1"/>
  <c r="N4900" i="1" s="1"/>
  <c r="P4900" i="1" a="1"/>
  <c r="P4900" i="1" s="1"/>
  <c r="B4902" i="1" l="1"/>
  <c r="M4901" i="1" a="1"/>
  <c r="M4901" i="1" s="1"/>
  <c r="N4901" i="1" a="1"/>
  <c r="N4901" i="1" s="1"/>
  <c r="P4901" i="1" a="1"/>
  <c r="P4901" i="1" s="1"/>
  <c r="N4902" i="1" l="1" a="1"/>
  <c r="N4902" i="1" s="1"/>
  <c r="B4903" i="1"/>
  <c r="P4902" i="1" a="1"/>
  <c r="P4902" i="1" s="1"/>
  <c r="M4902" i="1" a="1"/>
  <c r="M4902" i="1" s="1"/>
  <c r="B4904" i="1" l="1"/>
  <c r="P4903" i="1" a="1"/>
  <c r="P4903" i="1" s="1"/>
  <c r="M4903" i="1" a="1"/>
  <c r="M4903" i="1" s="1"/>
  <c r="N4903" i="1" a="1"/>
  <c r="N4903" i="1" s="1"/>
  <c r="M4904" i="1" l="1" a="1"/>
  <c r="M4904" i="1" s="1"/>
  <c r="P4904" i="1" a="1"/>
  <c r="P4904" i="1" s="1"/>
  <c r="N4904" i="1" a="1"/>
  <c r="N4904" i="1" s="1"/>
  <c r="B4905" i="1"/>
  <c r="N4905" i="1" l="1" a="1"/>
  <c r="N4905" i="1" s="1"/>
  <c r="M4905" i="1" a="1"/>
  <c r="M4905" i="1" s="1"/>
  <c r="B4906" i="1"/>
  <c r="P4905" i="1" a="1"/>
  <c r="P4905" i="1" s="1"/>
  <c r="P4906" i="1" l="1" a="1"/>
  <c r="P4906" i="1" s="1"/>
  <c r="B4907" i="1"/>
  <c r="N4906" i="1" a="1"/>
  <c r="N4906" i="1" s="1"/>
  <c r="M4906" i="1" a="1"/>
  <c r="M4906" i="1" s="1"/>
  <c r="B4908" i="1" l="1"/>
  <c r="N4907" i="1" a="1"/>
  <c r="N4907" i="1" s="1"/>
  <c r="P4907" i="1" a="1"/>
  <c r="P4907" i="1" s="1"/>
  <c r="M4907" i="1" a="1"/>
  <c r="M4907" i="1" s="1"/>
  <c r="M4908" i="1" l="1" a="1"/>
  <c r="M4908" i="1" s="1"/>
  <c r="B4909" i="1"/>
  <c r="P4908" i="1" a="1"/>
  <c r="P4908" i="1" s="1"/>
  <c r="N4908" i="1" a="1"/>
  <c r="N4908" i="1" s="1"/>
  <c r="B4910" i="1" l="1"/>
  <c r="N4909" i="1" a="1"/>
  <c r="N4909" i="1" s="1"/>
  <c r="P4909" i="1" a="1"/>
  <c r="P4909" i="1" s="1"/>
  <c r="M4909" i="1" a="1"/>
  <c r="M4909" i="1" s="1"/>
  <c r="B4911" i="1" l="1"/>
  <c r="M4910" i="1" a="1"/>
  <c r="M4910" i="1" s="1"/>
  <c r="N4910" i="1" a="1"/>
  <c r="N4910" i="1" s="1"/>
  <c r="P4910" i="1" a="1"/>
  <c r="P4910" i="1" s="1"/>
  <c r="B4912" i="1" l="1"/>
  <c r="P4911" i="1" a="1"/>
  <c r="P4911" i="1" s="1"/>
  <c r="N4911" i="1" a="1"/>
  <c r="N4911" i="1" s="1"/>
  <c r="M4911" i="1" a="1"/>
  <c r="M4911" i="1" s="1"/>
  <c r="P4912" i="1" l="1" a="1"/>
  <c r="P4912" i="1" s="1"/>
  <c r="N4912" i="1" a="1"/>
  <c r="N4912" i="1" s="1"/>
  <c r="B4913" i="1"/>
  <c r="M4912" i="1" a="1"/>
  <c r="M4912" i="1" s="1"/>
  <c r="M4913" i="1" l="1" a="1"/>
  <c r="M4913" i="1" s="1"/>
  <c r="P4913" i="1" a="1"/>
  <c r="P4913" i="1" s="1"/>
  <c r="N4913" i="1" a="1"/>
  <c r="N4913" i="1" s="1"/>
  <c r="B4914" i="1"/>
  <c r="M4914" i="1" l="1" a="1"/>
  <c r="M4914" i="1" s="1"/>
  <c r="B4915" i="1"/>
  <c r="P4914" i="1" a="1"/>
  <c r="P4914" i="1" s="1"/>
  <c r="N4914" i="1" a="1"/>
  <c r="N4914" i="1" s="1"/>
  <c r="B4916" i="1" l="1"/>
  <c r="M4915" i="1" a="1"/>
  <c r="M4915" i="1" s="1"/>
  <c r="P4915" i="1" a="1"/>
  <c r="P4915" i="1" s="1"/>
  <c r="N4915" i="1" a="1"/>
  <c r="N4915" i="1" s="1"/>
  <c r="M4916" i="1" l="1" a="1"/>
  <c r="M4916" i="1" s="1"/>
  <c r="B4917" i="1"/>
  <c r="P4916" i="1" a="1"/>
  <c r="P4916" i="1" s="1"/>
  <c r="N4916" i="1" a="1"/>
  <c r="N4916" i="1" s="1"/>
  <c r="D42" i="2" l="1"/>
  <c r="D7" i="2"/>
  <c r="D99" i="2"/>
  <c r="D9" i="2"/>
  <c r="D34" i="2"/>
  <c r="D10" i="2"/>
  <c r="D13" i="2"/>
  <c r="D109" i="2"/>
  <c r="D41" i="2"/>
  <c r="D62" i="2"/>
  <c r="D55" i="2"/>
  <c r="D21" i="2"/>
  <c r="D144" i="2"/>
  <c r="D53" i="2"/>
  <c r="D23" i="2"/>
  <c r="D85" i="2"/>
  <c r="D96" i="2"/>
  <c r="D88" i="2"/>
  <c r="D153" i="2"/>
  <c r="D64" i="2"/>
  <c r="D19" i="2"/>
  <c r="D46" i="2"/>
  <c r="D67" i="2"/>
  <c r="D156" i="2"/>
  <c r="D128" i="2"/>
  <c r="D137" i="2"/>
  <c r="D3" i="2"/>
  <c r="D106" i="2"/>
  <c r="D75" i="2"/>
  <c r="D70" i="2"/>
  <c r="D31" i="2"/>
  <c r="D57" i="2"/>
  <c r="D162" i="2"/>
  <c r="D26" i="2"/>
  <c r="D17" i="2"/>
  <c r="D28" i="2"/>
  <c r="D47" i="2"/>
  <c r="D36" i="2"/>
  <c r="D5" i="2"/>
  <c r="D51" i="2"/>
  <c r="D37" i="2"/>
  <c r="D149" i="2"/>
  <c r="D14" i="2"/>
  <c r="D123" i="2"/>
  <c r="D125" i="2"/>
  <c r="D90" i="2"/>
  <c r="N4917" i="1" a="1"/>
  <c r="N4917" i="1" s="1"/>
  <c r="P4917" i="1" a="1"/>
  <c r="P4917" i="1" s="1"/>
  <c r="M4917" i="1" a="1"/>
  <c r="M4917" i="1" s="1"/>
  <c r="B4918" i="1"/>
  <c r="M4918" i="1" l="1" a="1"/>
  <c r="M4918" i="1" s="1"/>
  <c r="P4918" i="1" a="1"/>
  <c r="P4918" i="1" s="1"/>
  <c r="B4919" i="1"/>
  <c r="N4918" i="1" a="1"/>
  <c r="N4918" i="1" s="1"/>
  <c r="B4920" i="1" l="1"/>
  <c r="P4919" i="1" a="1"/>
  <c r="P4919" i="1" s="1"/>
  <c r="M4919" i="1" a="1"/>
  <c r="M4919" i="1" s="1"/>
  <c r="N4919" i="1" a="1"/>
  <c r="N4919" i="1" s="1"/>
  <c r="M4920" i="1" l="1" a="1"/>
  <c r="M4920" i="1" s="1"/>
  <c r="B4921" i="1"/>
  <c r="P4920" i="1" a="1"/>
  <c r="P4920" i="1" s="1"/>
  <c r="N4920" i="1" a="1"/>
  <c r="N4920" i="1" s="1"/>
  <c r="P4921" i="1" l="1" a="1"/>
  <c r="P4921" i="1" s="1"/>
  <c r="B4922" i="1"/>
  <c r="M4921" i="1" a="1"/>
  <c r="M4921" i="1" s="1"/>
  <c r="N4921" i="1" a="1"/>
  <c r="N4921" i="1" s="1"/>
  <c r="B4923" i="1" l="1"/>
  <c r="N4922" i="1" a="1"/>
  <c r="N4922" i="1" s="1"/>
  <c r="P4922" i="1" a="1"/>
  <c r="P4922" i="1" s="1"/>
  <c r="M4922" i="1" a="1"/>
  <c r="M4922" i="1" s="1"/>
  <c r="N4923" i="1" l="1" a="1"/>
  <c r="N4923" i="1" s="1"/>
  <c r="P4923" i="1" a="1"/>
  <c r="P4923" i="1" s="1"/>
  <c r="M4923" i="1" a="1"/>
  <c r="M4923" i="1" s="1"/>
  <c r="B4924" i="1"/>
  <c r="B4925" i="1" l="1"/>
  <c r="P4924" i="1" a="1"/>
  <c r="P4924" i="1" s="1"/>
  <c r="M4924" i="1" a="1"/>
  <c r="M4924" i="1" s="1"/>
  <c r="N4924" i="1" a="1"/>
  <c r="N4924" i="1" s="1"/>
  <c r="M4925" i="1" l="1" a="1"/>
  <c r="M4925" i="1" s="1"/>
  <c r="B4926" i="1"/>
  <c r="N4925" i="1" a="1"/>
  <c r="N4925" i="1" s="1"/>
  <c r="P4925" i="1" a="1"/>
  <c r="P4925" i="1" s="1"/>
  <c r="P4926" i="1" l="1" a="1"/>
  <c r="P4926" i="1" s="1"/>
  <c r="M4926" i="1" a="1"/>
  <c r="M4926" i="1" s="1"/>
  <c r="B4927" i="1"/>
  <c r="N4926" i="1" a="1"/>
  <c r="N4926" i="1" s="1"/>
  <c r="P4927" i="1" l="1" a="1"/>
  <c r="P4927" i="1" s="1"/>
  <c r="M4927" i="1" a="1"/>
  <c r="M4927" i="1" s="1"/>
  <c r="B4928" i="1"/>
  <c r="N4927" i="1" a="1"/>
  <c r="N4927" i="1" s="1"/>
  <c r="P4928" i="1" l="1" a="1"/>
  <c r="P4928" i="1" s="1"/>
  <c r="N4928" i="1" a="1"/>
  <c r="N4928" i="1" s="1"/>
  <c r="B4929" i="1"/>
  <c r="M4928" i="1" a="1"/>
  <c r="M4928" i="1" s="1"/>
  <c r="M4929" i="1" l="1" a="1"/>
  <c r="M4929" i="1" s="1"/>
  <c r="P4929" i="1" a="1"/>
  <c r="P4929" i="1" s="1"/>
  <c r="B4930" i="1"/>
  <c r="N4929" i="1" a="1"/>
  <c r="N4929" i="1" s="1"/>
  <c r="P4930" i="1" l="1" a="1"/>
  <c r="P4930" i="1" s="1"/>
  <c r="M4930" i="1" a="1"/>
  <c r="M4930" i="1" s="1"/>
  <c r="B4931" i="1"/>
  <c r="N4930" i="1" a="1"/>
  <c r="N4930" i="1" s="1"/>
  <c r="P4931" i="1" l="1" a="1"/>
  <c r="P4931" i="1" s="1"/>
  <c r="M4931" i="1" a="1"/>
  <c r="M4931" i="1" s="1"/>
  <c r="B4932" i="1"/>
  <c r="N4931" i="1" a="1"/>
  <c r="N4931" i="1" s="1"/>
  <c r="B4933" i="1" l="1"/>
  <c r="P4932" i="1" a="1"/>
  <c r="P4932" i="1" s="1"/>
  <c r="N4932" i="1" a="1"/>
  <c r="N4932" i="1" s="1"/>
  <c r="M4932" i="1" a="1"/>
  <c r="M4932" i="1" s="1"/>
  <c r="N4933" i="1" l="1" a="1"/>
  <c r="N4933" i="1" s="1"/>
  <c r="B4934" i="1"/>
  <c r="P4933" i="1" a="1"/>
  <c r="P4933" i="1" s="1"/>
  <c r="M4933" i="1" a="1"/>
  <c r="M4933" i="1" s="1"/>
  <c r="P4934" i="1" l="1" a="1"/>
  <c r="P4934" i="1" s="1"/>
  <c r="M4934" i="1" a="1"/>
  <c r="M4934" i="1" s="1"/>
  <c r="N4934" i="1" a="1"/>
  <c r="N4934" i="1" s="1"/>
  <c r="B4935" i="1"/>
  <c r="P4935" i="1" l="1" a="1"/>
  <c r="P4935" i="1" s="1"/>
  <c r="B4936" i="1"/>
  <c r="M4935" i="1" a="1"/>
  <c r="M4935" i="1" s="1"/>
  <c r="N4935" i="1" a="1"/>
  <c r="N4935" i="1" s="1"/>
  <c r="I4795" i="1" a="1"/>
  <c r="I4795" i="1" s="1"/>
  <c r="K4795" i="1" l="1" a="1"/>
  <c r="K4795" i="1" s="1"/>
  <c r="O4795" i="1" a="1"/>
  <c r="O4795" i="1" s="1"/>
  <c r="J4795" i="1" a="1"/>
  <c r="J4795" i="1" s="1"/>
  <c r="Q4795" i="1" a="1"/>
  <c r="Q4795" i="1" s="1"/>
  <c r="M4936" i="1" a="1"/>
  <c r="M4936" i="1" s="1"/>
  <c r="N4936" i="1" a="1"/>
  <c r="N4936" i="1" s="1"/>
  <c r="P4936" i="1" a="1"/>
  <c r="P4936" i="1" s="1"/>
  <c r="B4937" i="1"/>
  <c r="C4796" i="1"/>
  <c r="I4796" i="1" s="1" a="1"/>
  <c r="I4796" i="1" s="1"/>
  <c r="L4795" i="1" a="1"/>
  <c r="L4795" i="1" s="1"/>
  <c r="H4795" i="1"/>
  <c r="K4796" i="1" l="1" a="1"/>
  <c r="K4796" i="1" s="1"/>
  <c r="O4796" i="1" a="1"/>
  <c r="O4796" i="1" s="1"/>
  <c r="J4796" i="1" a="1"/>
  <c r="J4796" i="1" s="1"/>
  <c r="Q4796" i="1" a="1"/>
  <c r="Q4796" i="1" s="1"/>
  <c r="B4938" i="1"/>
  <c r="M4937" i="1" a="1"/>
  <c r="M4937" i="1" s="1"/>
  <c r="N4937" i="1" a="1"/>
  <c r="N4937" i="1" s="1"/>
  <c r="P4937" i="1" a="1"/>
  <c r="P4937" i="1" s="1"/>
  <c r="C4797" i="1"/>
  <c r="I4797" i="1" s="1" a="1"/>
  <c r="I4797" i="1" s="1"/>
  <c r="L4796" i="1" a="1"/>
  <c r="L4796" i="1" s="1"/>
  <c r="H4796" i="1"/>
  <c r="K4797" i="1" l="1" a="1"/>
  <c r="K4797" i="1" s="1"/>
  <c r="O4797" i="1" a="1"/>
  <c r="O4797" i="1" s="1"/>
  <c r="J4797" i="1" a="1"/>
  <c r="J4797" i="1" s="1"/>
  <c r="Q4797" i="1" a="1"/>
  <c r="Q4797" i="1" s="1"/>
  <c r="P4938" i="1" a="1"/>
  <c r="P4938" i="1" s="1"/>
  <c r="M4938" i="1" a="1"/>
  <c r="M4938" i="1" s="1"/>
  <c r="N4938" i="1" a="1"/>
  <c r="N4938" i="1" s="1"/>
  <c r="B4939" i="1"/>
  <c r="C4798" i="1"/>
  <c r="I4798" i="1" s="1" a="1"/>
  <c r="I4798" i="1" s="1"/>
  <c r="L4797" i="1" a="1"/>
  <c r="L4797" i="1" s="1"/>
  <c r="H4797" i="1"/>
  <c r="K4798" i="1" l="1" a="1"/>
  <c r="K4798" i="1" s="1"/>
  <c r="O4798" i="1" a="1"/>
  <c r="O4798" i="1" s="1"/>
  <c r="J4798" i="1" a="1"/>
  <c r="J4798" i="1" s="1"/>
  <c r="Q4798" i="1" a="1"/>
  <c r="Q4798" i="1" s="1"/>
  <c r="B4940" i="1"/>
  <c r="N4939" i="1" a="1"/>
  <c r="N4939" i="1" s="1"/>
  <c r="M4939" i="1" a="1"/>
  <c r="M4939" i="1" s="1"/>
  <c r="P4939" i="1" a="1"/>
  <c r="P4939" i="1" s="1"/>
  <c r="C4799" i="1"/>
  <c r="I4799" i="1" s="1" a="1"/>
  <c r="I4799" i="1" s="1"/>
  <c r="L4798" i="1" a="1"/>
  <c r="L4798" i="1" s="1"/>
  <c r="H4798" i="1"/>
  <c r="K4799" i="1" l="1" a="1"/>
  <c r="K4799" i="1" s="1"/>
  <c r="O4799" i="1" a="1"/>
  <c r="O4799" i="1" s="1"/>
  <c r="J4799" i="1" a="1"/>
  <c r="J4799" i="1" s="1"/>
  <c r="Q4799" i="1" a="1"/>
  <c r="Q4799" i="1" s="1"/>
  <c r="P4940" i="1" a="1"/>
  <c r="P4940" i="1" s="1"/>
  <c r="M4940" i="1" a="1"/>
  <c r="M4940" i="1" s="1"/>
  <c r="N4940" i="1" a="1"/>
  <c r="N4940" i="1" s="1"/>
  <c r="B4941" i="1"/>
  <c r="C4800" i="1"/>
  <c r="I4800" i="1" s="1" a="1"/>
  <c r="I4800" i="1" s="1"/>
  <c r="L4799" i="1" a="1"/>
  <c r="L4799" i="1" s="1"/>
  <c r="H4799" i="1"/>
  <c r="K4800" i="1" l="1" a="1"/>
  <c r="K4800" i="1" s="1"/>
  <c r="O4800" i="1" a="1"/>
  <c r="O4800" i="1" s="1"/>
  <c r="J4800" i="1" a="1"/>
  <c r="J4800" i="1" s="1"/>
  <c r="Q4800" i="1" a="1"/>
  <c r="Q4800" i="1" s="1"/>
  <c r="B4942" i="1"/>
  <c r="N4941" i="1" a="1"/>
  <c r="N4941" i="1" s="1"/>
  <c r="M4941" i="1" a="1"/>
  <c r="M4941" i="1" s="1"/>
  <c r="P4941" i="1" a="1"/>
  <c r="P4941" i="1" s="1"/>
  <c r="C4801" i="1"/>
  <c r="I4801" i="1" s="1" a="1"/>
  <c r="I4801" i="1" s="1"/>
  <c r="L4800" i="1" a="1"/>
  <c r="L4800" i="1" s="1"/>
  <c r="H4800" i="1"/>
  <c r="K4801" i="1" l="1" a="1"/>
  <c r="K4801" i="1" s="1"/>
  <c r="O4801" i="1" a="1"/>
  <c r="O4801" i="1" s="1"/>
  <c r="J4801" i="1" a="1"/>
  <c r="J4801" i="1" s="1"/>
  <c r="Q4801" i="1" a="1"/>
  <c r="Q4801" i="1" s="1"/>
  <c r="P4942" i="1" a="1"/>
  <c r="P4942" i="1" s="1"/>
  <c r="B4943" i="1"/>
  <c r="N4942" i="1" a="1"/>
  <c r="N4942" i="1" s="1"/>
  <c r="M4942" i="1" a="1"/>
  <c r="M4942" i="1" s="1"/>
  <c r="C4802" i="1"/>
  <c r="I4802" i="1" s="1" a="1"/>
  <c r="I4802" i="1" s="1"/>
  <c r="L4801" i="1" a="1"/>
  <c r="L4801" i="1" s="1"/>
  <c r="H4801" i="1"/>
  <c r="K4802" i="1" l="1" a="1"/>
  <c r="K4802" i="1" s="1"/>
  <c r="O4802" i="1" a="1"/>
  <c r="O4802" i="1" s="1"/>
  <c r="J4802" i="1" a="1"/>
  <c r="J4802" i="1" s="1"/>
  <c r="Q4802" i="1" a="1"/>
  <c r="Q4802" i="1" s="1"/>
  <c r="P4943" i="1" a="1"/>
  <c r="P4943" i="1" s="1"/>
  <c r="B4944" i="1"/>
  <c r="N4943" i="1" a="1"/>
  <c r="N4943" i="1" s="1"/>
  <c r="M4943" i="1" a="1"/>
  <c r="M4943" i="1" s="1"/>
  <c r="C4803" i="1"/>
  <c r="I4803" i="1" s="1" a="1"/>
  <c r="I4803" i="1" s="1"/>
  <c r="L4802" i="1" a="1"/>
  <c r="L4802" i="1" s="1"/>
  <c r="H4802" i="1"/>
  <c r="K4803" i="1" l="1" a="1"/>
  <c r="K4803" i="1" s="1"/>
  <c r="O4803" i="1" a="1"/>
  <c r="O4803" i="1" s="1"/>
  <c r="J4803" i="1" a="1"/>
  <c r="J4803" i="1" s="1"/>
  <c r="Q4803" i="1" a="1"/>
  <c r="Q4803" i="1" s="1"/>
  <c r="P4944" i="1" a="1"/>
  <c r="P4944" i="1" s="1"/>
  <c r="M4944" i="1" a="1"/>
  <c r="M4944" i="1" s="1"/>
  <c r="B4945" i="1"/>
  <c r="N4944" i="1" a="1"/>
  <c r="N4944" i="1" s="1"/>
  <c r="C4804" i="1"/>
  <c r="I4804" i="1" s="1" a="1"/>
  <c r="I4804" i="1" s="1"/>
  <c r="L4803" i="1" a="1"/>
  <c r="L4803" i="1" s="1"/>
  <c r="H4803" i="1"/>
  <c r="K4804" i="1" l="1" a="1"/>
  <c r="K4804" i="1" s="1"/>
  <c r="O4804" i="1" a="1"/>
  <c r="O4804" i="1" s="1"/>
  <c r="J4804" i="1" a="1"/>
  <c r="J4804" i="1" s="1"/>
  <c r="Q4804" i="1" a="1"/>
  <c r="Q4804" i="1" s="1"/>
  <c r="P4945" i="1" a="1"/>
  <c r="P4945" i="1" s="1"/>
  <c r="N4945" i="1" a="1"/>
  <c r="N4945" i="1" s="1"/>
  <c r="B4946" i="1"/>
  <c r="M4945" i="1" a="1"/>
  <c r="M4945" i="1" s="1"/>
  <c r="C4805" i="1"/>
  <c r="I4805" i="1" s="1" a="1"/>
  <c r="I4805" i="1" s="1"/>
  <c r="L4804" i="1" a="1"/>
  <c r="L4804" i="1" s="1"/>
  <c r="H4804" i="1"/>
  <c r="K4805" i="1" l="1" a="1"/>
  <c r="K4805" i="1" s="1"/>
  <c r="O4805" i="1" a="1"/>
  <c r="O4805" i="1" s="1"/>
  <c r="J4805" i="1" a="1"/>
  <c r="J4805" i="1" s="1"/>
  <c r="Q4805" i="1" a="1"/>
  <c r="Q4805" i="1" s="1"/>
  <c r="P4946" i="1" a="1"/>
  <c r="P4946" i="1" s="1"/>
  <c r="M4946" i="1" a="1"/>
  <c r="M4946" i="1" s="1"/>
  <c r="B4947" i="1"/>
  <c r="N4946" i="1" a="1"/>
  <c r="N4946" i="1" s="1"/>
  <c r="C4806" i="1"/>
  <c r="I4806" i="1" s="1" a="1"/>
  <c r="I4806" i="1" s="1"/>
  <c r="L4805" i="1" a="1"/>
  <c r="L4805" i="1" s="1"/>
  <c r="H4805" i="1"/>
  <c r="K4806" i="1" l="1" a="1"/>
  <c r="K4806" i="1" s="1"/>
  <c r="O4806" i="1" a="1"/>
  <c r="O4806" i="1" s="1"/>
  <c r="J4806" i="1" a="1"/>
  <c r="J4806" i="1" s="1"/>
  <c r="Q4806" i="1" a="1"/>
  <c r="Q4806" i="1" s="1"/>
  <c r="P4947" i="1" a="1"/>
  <c r="P4947" i="1" s="1"/>
  <c r="B4948" i="1"/>
  <c r="M4947" i="1" a="1"/>
  <c r="M4947" i="1" s="1"/>
  <c r="N4947" i="1" a="1"/>
  <c r="N4947" i="1" s="1"/>
  <c r="C4807" i="1"/>
  <c r="I4807" i="1" s="1" a="1"/>
  <c r="I4807" i="1" s="1"/>
  <c r="L4806" i="1" a="1"/>
  <c r="L4806" i="1" s="1"/>
  <c r="H4806" i="1"/>
  <c r="K4807" i="1" l="1" a="1"/>
  <c r="K4807" i="1" s="1"/>
  <c r="O4807" i="1" a="1"/>
  <c r="O4807" i="1" s="1"/>
  <c r="J4807" i="1" a="1"/>
  <c r="J4807" i="1" s="1"/>
  <c r="Q4807" i="1" a="1"/>
  <c r="Q4807" i="1" s="1"/>
  <c r="N4948" i="1" a="1"/>
  <c r="N4948" i="1" s="1"/>
  <c r="B4949" i="1"/>
  <c r="M4948" i="1" a="1"/>
  <c r="M4948" i="1" s="1"/>
  <c r="P4948" i="1" a="1"/>
  <c r="P4948" i="1" s="1"/>
  <c r="C4808" i="1"/>
  <c r="I4808" i="1" s="1" a="1"/>
  <c r="I4808" i="1" s="1"/>
  <c r="L4807" i="1" a="1"/>
  <c r="L4807" i="1" s="1"/>
  <c r="H4807" i="1"/>
  <c r="K4808" i="1" l="1" a="1"/>
  <c r="K4808" i="1" s="1"/>
  <c r="O4808" i="1" a="1"/>
  <c r="O4808" i="1" s="1"/>
  <c r="J4808" i="1" a="1"/>
  <c r="J4808" i="1" s="1"/>
  <c r="Q4808" i="1" a="1"/>
  <c r="Q4808" i="1" s="1"/>
  <c r="N4949" i="1" a="1"/>
  <c r="N4949" i="1" s="1"/>
  <c r="B4950" i="1"/>
  <c r="P4949" i="1" a="1"/>
  <c r="P4949" i="1" s="1"/>
  <c r="M4949" i="1" a="1"/>
  <c r="M4949" i="1" s="1"/>
  <c r="C4809" i="1"/>
  <c r="I4809" i="1" s="1" a="1"/>
  <c r="I4809" i="1" s="1"/>
  <c r="L4808" i="1" a="1"/>
  <c r="L4808" i="1" s="1"/>
  <c r="H4808" i="1"/>
  <c r="K4809" i="1" l="1" a="1"/>
  <c r="K4809" i="1" s="1"/>
  <c r="O4809" i="1" a="1"/>
  <c r="O4809" i="1" s="1"/>
  <c r="J4809" i="1" a="1"/>
  <c r="J4809" i="1" s="1"/>
  <c r="Q4809" i="1" a="1"/>
  <c r="Q4809" i="1" s="1"/>
  <c r="N4950" i="1" a="1"/>
  <c r="N4950" i="1" s="1"/>
  <c r="B4951" i="1"/>
  <c r="P4950" i="1" a="1"/>
  <c r="P4950" i="1" s="1"/>
  <c r="M4950" i="1" a="1"/>
  <c r="M4950" i="1" s="1"/>
  <c r="C4810" i="1"/>
  <c r="I4810" i="1" s="1" a="1"/>
  <c r="I4810" i="1" s="1"/>
  <c r="L4809" i="1" a="1"/>
  <c r="L4809" i="1" s="1"/>
  <c r="H4809" i="1"/>
  <c r="K4810" i="1" l="1" a="1"/>
  <c r="K4810" i="1" s="1"/>
  <c r="O4810" i="1" a="1"/>
  <c r="O4810" i="1" s="1"/>
  <c r="J4810" i="1" a="1"/>
  <c r="J4810" i="1" s="1"/>
  <c r="Q4810" i="1" a="1"/>
  <c r="Q4810" i="1" s="1"/>
  <c r="P4951" i="1" a="1"/>
  <c r="P4951" i="1" s="1"/>
  <c r="B4952" i="1"/>
  <c r="M4951" i="1" a="1"/>
  <c r="M4951" i="1" s="1"/>
  <c r="N4951" i="1" a="1"/>
  <c r="N4951" i="1" s="1"/>
  <c r="C4811" i="1"/>
  <c r="I4811" i="1" s="1" a="1"/>
  <c r="I4811" i="1" s="1"/>
  <c r="L4810" i="1" a="1"/>
  <c r="L4810" i="1" s="1"/>
  <c r="H4810" i="1"/>
  <c r="K4811" i="1" l="1" a="1"/>
  <c r="K4811" i="1" s="1"/>
  <c r="O4811" i="1" a="1"/>
  <c r="O4811" i="1" s="1"/>
  <c r="J4811" i="1" a="1"/>
  <c r="J4811" i="1" s="1"/>
  <c r="Q4811" i="1" a="1"/>
  <c r="Q4811" i="1" s="1"/>
  <c r="N4952" i="1" a="1"/>
  <c r="N4952" i="1" s="1"/>
  <c r="B4953" i="1"/>
  <c r="M4952" i="1" a="1"/>
  <c r="M4952" i="1" s="1"/>
  <c r="P4952" i="1" a="1"/>
  <c r="P4952" i="1" s="1"/>
  <c r="C4812" i="1"/>
  <c r="I4812" i="1" s="1" a="1"/>
  <c r="I4812" i="1" s="1"/>
  <c r="L4811" i="1" a="1"/>
  <c r="L4811" i="1" s="1"/>
  <c r="H4811" i="1"/>
  <c r="K4812" i="1" l="1" a="1"/>
  <c r="K4812" i="1" s="1"/>
  <c r="O4812" i="1" a="1"/>
  <c r="O4812" i="1" s="1"/>
  <c r="J4812" i="1" a="1"/>
  <c r="J4812" i="1" s="1"/>
  <c r="Q4812" i="1" a="1"/>
  <c r="Q4812" i="1" s="1"/>
  <c r="M4953" i="1" a="1"/>
  <c r="M4953" i="1" s="1"/>
  <c r="N4953" i="1" a="1"/>
  <c r="N4953" i="1" s="1"/>
  <c r="B4954" i="1"/>
  <c r="P4953" i="1" a="1"/>
  <c r="P4953" i="1" s="1"/>
  <c r="C4813" i="1"/>
  <c r="I4813" i="1" s="1" a="1"/>
  <c r="I4813" i="1" s="1"/>
  <c r="L4812" i="1" a="1"/>
  <c r="L4812" i="1" s="1"/>
  <c r="H4812" i="1"/>
  <c r="K4813" i="1" l="1" a="1"/>
  <c r="K4813" i="1" s="1"/>
  <c r="O4813" i="1" a="1"/>
  <c r="O4813" i="1" s="1"/>
  <c r="J4813" i="1" a="1"/>
  <c r="J4813" i="1" s="1"/>
  <c r="Q4813" i="1" a="1"/>
  <c r="Q4813" i="1" s="1"/>
  <c r="M4954" i="1" a="1"/>
  <c r="M4954" i="1" s="1"/>
  <c r="B4955" i="1"/>
  <c r="N4954" i="1" a="1"/>
  <c r="N4954" i="1" s="1"/>
  <c r="P4954" i="1" a="1"/>
  <c r="P4954" i="1" s="1"/>
  <c r="C4814" i="1"/>
  <c r="I4814" i="1" s="1" a="1"/>
  <c r="I4814" i="1" s="1"/>
  <c r="L4813" i="1" a="1"/>
  <c r="L4813" i="1" s="1"/>
  <c r="H4813" i="1"/>
  <c r="K4814" i="1" l="1" a="1"/>
  <c r="K4814" i="1" s="1"/>
  <c r="O4814" i="1" a="1"/>
  <c r="O4814" i="1" s="1"/>
  <c r="J4814" i="1" a="1"/>
  <c r="J4814" i="1" s="1"/>
  <c r="Q4814" i="1" a="1"/>
  <c r="Q4814" i="1" s="1"/>
  <c r="P4955" i="1" a="1"/>
  <c r="P4955" i="1" s="1"/>
  <c r="B4956" i="1"/>
  <c r="N4955" i="1" a="1"/>
  <c r="N4955" i="1" s="1"/>
  <c r="M4955" i="1" a="1"/>
  <c r="M4955" i="1" s="1"/>
  <c r="C4815" i="1"/>
  <c r="I4815" i="1" s="1" a="1"/>
  <c r="I4815" i="1" s="1"/>
  <c r="L4814" i="1" a="1"/>
  <c r="L4814" i="1" s="1"/>
  <c r="H4814" i="1"/>
  <c r="K4815" i="1" l="1" a="1"/>
  <c r="K4815" i="1" s="1"/>
  <c r="O4815" i="1" a="1"/>
  <c r="O4815" i="1" s="1"/>
  <c r="J4815" i="1" a="1"/>
  <c r="J4815" i="1" s="1"/>
  <c r="Q4815" i="1" a="1"/>
  <c r="Q4815" i="1" s="1"/>
  <c r="P4956" i="1" a="1"/>
  <c r="P4956" i="1" s="1"/>
  <c r="M4956" i="1" a="1"/>
  <c r="M4956" i="1" s="1"/>
  <c r="B4957" i="1"/>
  <c r="N4956" i="1" a="1"/>
  <c r="N4956" i="1" s="1"/>
  <c r="C4816" i="1"/>
  <c r="I4816" i="1" s="1" a="1"/>
  <c r="I4816" i="1" s="1"/>
  <c r="L4815" i="1" a="1"/>
  <c r="L4815" i="1" s="1"/>
  <c r="H4815" i="1"/>
  <c r="K4816" i="1" l="1" a="1"/>
  <c r="K4816" i="1" s="1"/>
  <c r="O4816" i="1" a="1"/>
  <c r="O4816" i="1" s="1"/>
  <c r="J4816" i="1" a="1"/>
  <c r="J4816" i="1" s="1"/>
  <c r="Q4816" i="1" a="1"/>
  <c r="Q4816" i="1" s="1"/>
  <c r="B4958" i="1"/>
  <c r="N4957" i="1" a="1"/>
  <c r="N4957" i="1" s="1"/>
  <c r="M4957" i="1" a="1"/>
  <c r="M4957" i="1" s="1"/>
  <c r="P4957" i="1" a="1"/>
  <c r="P4957" i="1" s="1"/>
  <c r="C4817" i="1"/>
  <c r="I4817" i="1" s="1" a="1"/>
  <c r="I4817" i="1" s="1"/>
  <c r="L4816" i="1" a="1"/>
  <c r="L4816" i="1" s="1"/>
  <c r="H4816" i="1"/>
  <c r="K4817" i="1" l="1" a="1"/>
  <c r="K4817" i="1" s="1"/>
  <c r="O4817" i="1" a="1"/>
  <c r="O4817" i="1" s="1"/>
  <c r="J4817" i="1" a="1"/>
  <c r="J4817" i="1" s="1"/>
  <c r="Q4817" i="1" a="1"/>
  <c r="Q4817" i="1" s="1"/>
  <c r="P4958" i="1" a="1"/>
  <c r="P4958" i="1" s="1"/>
  <c r="M4958" i="1" a="1"/>
  <c r="M4958" i="1" s="1"/>
  <c r="B4959" i="1"/>
  <c r="N4958" i="1" a="1"/>
  <c r="N4958" i="1" s="1"/>
  <c r="C4818" i="1"/>
  <c r="I4818" i="1" s="1" a="1"/>
  <c r="I4818" i="1" s="1"/>
  <c r="H4817" i="1"/>
  <c r="L4817" i="1" a="1"/>
  <c r="L4817" i="1" s="1"/>
  <c r="K4818" i="1" l="1" a="1"/>
  <c r="K4818" i="1" s="1"/>
  <c r="O4818" i="1" a="1"/>
  <c r="O4818" i="1" s="1"/>
  <c r="J4818" i="1" a="1"/>
  <c r="J4818" i="1" s="1"/>
  <c r="Q4818" i="1" a="1"/>
  <c r="Q4818" i="1" s="1"/>
  <c r="P4959" i="1" a="1"/>
  <c r="P4959" i="1" s="1"/>
  <c r="B4960" i="1"/>
  <c r="N4959" i="1" a="1"/>
  <c r="N4959" i="1" s="1"/>
  <c r="M4959" i="1" a="1"/>
  <c r="M4959" i="1" s="1"/>
  <c r="C4819" i="1"/>
  <c r="I4819" i="1" s="1" a="1"/>
  <c r="I4819" i="1" s="1"/>
  <c r="H4818" i="1"/>
  <c r="L4818" i="1" a="1"/>
  <c r="L4818" i="1" s="1"/>
  <c r="K4819" i="1" l="1" a="1"/>
  <c r="K4819" i="1" s="1"/>
  <c r="O4819" i="1" a="1"/>
  <c r="O4819" i="1" s="1"/>
  <c r="J4819" i="1" a="1"/>
  <c r="J4819" i="1" s="1"/>
  <c r="Q4819" i="1" a="1"/>
  <c r="Q4819" i="1" s="1"/>
  <c r="M4960" i="1" a="1"/>
  <c r="M4960" i="1" s="1"/>
  <c r="B4961" i="1"/>
  <c r="N4960" i="1" a="1"/>
  <c r="N4960" i="1" s="1"/>
  <c r="P4960" i="1" a="1"/>
  <c r="P4960" i="1" s="1"/>
  <c r="C4820" i="1"/>
  <c r="I4820" i="1" s="1" a="1"/>
  <c r="I4820" i="1" s="1"/>
  <c r="L4819" i="1" a="1"/>
  <c r="L4819" i="1" s="1"/>
  <c r="H4819" i="1"/>
  <c r="K4820" i="1" l="1" a="1"/>
  <c r="K4820" i="1" s="1"/>
  <c r="O4820" i="1" a="1"/>
  <c r="O4820" i="1" s="1"/>
  <c r="J4820" i="1" a="1"/>
  <c r="J4820" i="1" s="1"/>
  <c r="Q4820" i="1" a="1"/>
  <c r="Q4820" i="1" s="1"/>
  <c r="B4962" i="1"/>
  <c r="M4961" i="1" a="1"/>
  <c r="M4961" i="1" s="1"/>
  <c r="N4961" i="1" a="1"/>
  <c r="N4961" i="1" s="1"/>
  <c r="P4961" i="1" a="1"/>
  <c r="P4961" i="1" s="1"/>
  <c r="C4821" i="1"/>
  <c r="I4821" i="1" s="1" a="1"/>
  <c r="I4821" i="1" s="1"/>
  <c r="L4820" i="1" a="1"/>
  <c r="L4820" i="1" s="1"/>
  <c r="H4820" i="1"/>
  <c r="K4821" i="1" l="1" a="1"/>
  <c r="K4821" i="1" s="1"/>
  <c r="O4821" i="1" a="1"/>
  <c r="O4821" i="1" s="1"/>
  <c r="J4821" i="1" a="1"/>
  <c r="J4821" i="1" s="1"/>
  <c r="Q4821" i="1" a="1"/>
  <c r="Q4821" i="1" s="1"/>
  <c r="N4962" i="1" a="1"/>
  <c r="N4962" i="1" s="1"/>
  <c r="M4962" i="1" a="1"/>
  <c r="M4962" i="1" s="1"/>
  <c r="B4963" i="1"/>
  <c r="P4962" i="1" a="1"/>
  <c r="P4962" i="1" s="1"/>
  <c r="C4822" i="1"/>
  <c r="I4822" i="1" s="1" a="1"/>
  <c r="I4822" i="1" s="1"/>
  <c r="H4821" i="1"/>
  <c r="L4821" i="1" a="1"/>
  <c r="L4821" i="1" s="1"/>
  <c r="K4822" i="1" l="1" a="1"/>
  <c r="K4822" i="1" s="1"/>
  <c r="O4822" i="1" a="1"/>
  <c r="O4822" i="1" s="1"/>
  <c r="J4822" i="1" a="1"/>
  <c r="J4822" i="1" s="1"/>
  <c r="Q4822" i="1" a="1"/>
  <c r="Q4822" i="1" s="1"/>
  <c r="N4963" i="1" a="1"/>
  <c r="N4963" i="1" s="1"/>
  <c r="P4963" i="1" a="1"/>
  <c r="P4963" i="1" s="1"/>
  <c r="B4964" i="1"/>
  <c r="M4963" i="1" a="1"/>
  <c r="M4963" i="1" s="1"/>
  <c r="C4823" i="1"/>
  <c r="I4823" i="1" s="1" a="1"/>
  <c r="I4823" i="1" s="1"/>
  <c r="L4822" i="1" a="1"/>
  <c r="L4822" i="1" s="1"/>
  <c r="H4822" i="1"/>
  <c r="K4823" i="1" l="1" a="1"/>
  <c r="K4823" i="1" s="1"/>
  <c r="O4823" i="1" a="1"/>
  <c r="O4823" i="1" s="1"/>
  <c r="J4823" i="1" a="1"/>
  <c r="J4823" i="1" s="1"/>
  <c r="Q4823" i="1" a="1"/>
  <c r="Q4823" i="1" s="1"/>
  <c r="M4964" i="1" a="1"/>
  <c r="M4964" i="1" s="1"/>
  <c r="B4965" i="1"/>
  <c r="P4964" i="1" a="1"/>
  <c r="P4964" i="1" s="1"/>
  <c r="N4964" i="1" a="1"/>
  <c r="N4964" i="1" s="1"/>
  <c r="C4824" i="1"/>
  <c r="I4824" i="1" s="1" a="1"/>
  <c r="I4824" i="1" s="1"/>
  <c r="H4823" i="1"/>
  <c r="L4823" i="1" a="1"/>
  <c r="L4823" i="1" s="1"/>
  <c r="K4824" i="1" l="1" a="1"/>
  <c r="K4824" i="1" s="1"/>
  <c r="O4824" i="1" a="1"/>
  <c r="O4824" i="1" s="1"/>
  <c r="J4824" i="1" a="1"/>
  <c r="J4824" i="1" s="1"/>
  <c r="Q4824" i="1" a="1"/>
  <c r="Q4824" i="1" s="1"/>
  <c r="N4965" i="1" a="1"/>
  <c r="N4965" i="1" s="1"/>
  <c r="B4966" i="1"/>
  <c r="P4965" i="1" a="1"/>
  <c r="P4965" i="1" s="1"/>
  <c r="M4965" i="1" a="1"/>
  <c r="M4965" i="1" s="1"/>
  <c r="C4825" i="1"/>
  <c r="I4825" i="1" s="1" a="1"/>
  <c r="I4825" i="1" s="1"/>
  <c r="L4824" i="1" a="1"/>
  <c r="L4824" i="1" s="1"/>
  <c r="H4824" i="1"/>
  <c r="K4825" i="1" l="1" a="1"/>
  <c r="K4825" i="1" s="1"/>
  <c r="O4825" i="1" a="1"/>
  <c r="O4825" i="1" s="1"/>
  <c r="J4825" i="1" a="1"/>
  <c r="J4825" i="1" s="1"/>
  <c r="Q4825" i="1" a="1"/>
  <c r="Q4825" i="1" s="1"/>
  <c r="M4966" i="1" a="1"/>
  <c r="M4966" i="1" s="1"/>
  <c r="N4966" i="1" a="1"/>
  <c r="N4966" i="1" s="1"/>
  <c r="P4966" i="1" a="1"/>
  <c r="P4966" i="1" s="1"/>
  <c r="B4967" i="1"/>
  <c r="C4826" i="1"/>
  <c r="I4826" i="1" s="1" a="1"/>
  <c r="I4826" i="1" s="1"/>
  <c r="L4825" i="1" a="1"/>
  <c r="L4825" i="1" s="1"/>
  <c r="H4825" i="1"/>
  <c r="K4826" i="1" l="1" a="1"/>
  <c r="K4826" i="1" s="1"/>
  <c r="O4826" i="1" a="1"/>
  <c r="O4826" i="1" s="1"/>
  <c r="J4826" i="1" a="1"/>
  <c r="J4826" i="1" s="1"/>
  <c r="Q4826" i="1" a="1"/>
  <c r="Q4826" i="1" s="1"/>
  <c r="P4967" i="1" a="1"/>
  <c r="P4967" i="1" s="1"/>
  <c r="M4967" i="1" a="1"/>
  <c r="M4967" i="1" s="1"/>
  <c r="B4968" i="1"/>
  <c r="N4967" i="1" a="1"/>
  <c r="N4967" i="1" s="1"/>
  <c r="C4827" i="1"/>
  <c r="I4827" i="1" s="1" a="1"/>
  <c r="I4827" i="1" s="1"/>
  <c r="L4826" i="1" a="1"/>
  <c r="L4826" i="1" s="1"/>
  <c r="H4826" i="1"/>
  <c r="K4827" i="1" l="1" a="1"/>
  <c r="K4827" i="1" s="1"/>
  <c r="O4827" i="1" a="1"/>
  <c r="O4827" i="1" s="1"/>
  <c r="J4827" i="1" a="1"/>
  <c r="J4827" i="1" s="1"/>
  <c r="Q4827" i="1" a="1"/>
  <c r="Q4827" i="1" s="1"/>
  <c r="M4968" i="1" a="1"/>
  <c r="M4968" i="1" s="1"/>
  <c r="N4968" i="1" a="1"/>
  <c r="N4968" i="1" s="1"/>
  <c r="P4968" i="1" a="1"/>
  <c r="P4968" i="1" s="1"/>
  <c r="B4969" i="1"/>
  <c r="C4828" i="1"/>
  <c r="I4828" i="1" s="1" a="1"/>
  <c r="I4828" i="1" s="1"/>
  <c r="L4827" i="1" a="1"/>
  <c r="L4827" i="1" s="1"/>
  <c r="H4827" i="1"/>
  <c r="K4828" i="1" l="1" a="1"/>
  <c r="K4828" i="1" s="1"/>
  <c r="O4828" i="1" a="1"/>
  <c r="O4828" i="1" s="1"/>
  <c r="J4828" i="1" a="1"/>
  <c r="J4828" i="1" s="1"/>
  <c r="Q4828" i="1" a="1"/>
  <c r="Q4828" i="1" s="1"/>
  <c r="P4969" i="1" a="1"/>
  <c r="P4969" i="1" s="1"/>
  <c r="N4969" i="1" a="1"/>
  <c r="N4969" i="1" s="1"/>
  <c r="B4970" i="1"/>
  <c r="M4969" i="1" a="1"/>
  <c r="M4969" i="1" s="1"/>
  <c r="C4829" i="1"/>
  <c r="I4829" i="1" s="1" a="1"/>
  <c r="I4829" i="1" s="1"/>
  <c r="L4828" i="1" a="1"/>
  <c r="L4828" i="1" s="1"/>
  <c r="H4828" i="1"/>
  <c r="K4829" i="1" l="1" a="1"/>
  <c r="K4829" i="1" s="1"/>
  <c r="O4829" i="1" a="1"/>
  <c r="O4829" i="1" s="1"/>
  <c r="J4829" i="1" a="1"/>
  <c r="J4829" i="1" s="1"/>
  <c r="Q4829" i="1" a="1"/>
  <c r="Q4829" i="1" s="1"/>
  <c r="N4970" i="1" a="1"/>
  <c r="N4970" i="1" s="1"/>
  <c r="B4971" i="1"/>
  <c r="M4970" i="1" a="1"/>
  <c r="M4970" i="1" s="1"/>
  <c r="P4970" i="1" a="1"/>
  <c r="P4970" i="1" s="1"/>
  <c r="C4830" i="1"/>
  <c r="I4830" i="1" s="1" a="1"/>
  <c r="I4830" i="1" s="1"/>
  <c r="L4829" i="1" a="1"/>
  <c r="L4829" i="1" s="1"/>
  <c r="H4829" i="1"/>
  <c r="K4830" i="1" l="1" a="1"/>
  <c r="K4830" i="1" s="1"/>
  <c r="O4830" i="1" a="1"/>
  <c r="O4830" i="1" s="1"/>
  <c r="J4830" i="1" a="1"/>
  <c r="J4830" i="1" s="1"/>
  <c r="Q4830" i="1" a="1"/>
  <c r="Q4830" i="1" s="1"/>
  <c r="N4971" i="1" a="1"/>
  <c r="N4971" i="1" s="1"/>
  <c r="P4971" i="1" a="1"/>
  <c r="P4971" i="1" s="1"/>
  <c r="B4972" i="1"/>
  <c r="M4971" i="1" a="1"/>
  <c r="M4971" i="1" s="1"/>
  <c r="C4831" i="1"/>
  <c r="I4831" i="1" s="1" a="1"/>
  <c r="I4831" i="1" s="1"/>
  <c r="L4830" i="1" a="1"/>
  <c r="L4830" i="1" s="1"/>
  <c r="H4830" i="1"/>
  <c r="K4831" i="1" l="1" a="1"/>
  <c r="K4831" i="1" s="1"/>
  <c r="O4831" i="1" a="1"/>
  <c r="O4831" i="1" s="1"/>
  <c r="J4831" i="1" a="1"/>
  <c r="J4831" i="1" s="1"/>
  <c r="Q4831" i="1" a="1"/>
  <c r="Q4831" i="1" s="1"/>
  <c r="N4972" i="1" a="1"/>
  <c r="N4972" i="1" s="1"/>
  <c r="B4973" i="1"/>
  <c r="P4972" i="1" a="1"/>
  <c r="P4972" i="1" s="1"/>
  <c r="M4972" i="1" a="1"/>
  <c r="M4972" i="1" s="1"/>
  <c r="C4832" i="1"/>
  <c r="I4832" i="1" s="1" a="1"/>
  <c r="I4832" i="1" s="1"/>
  <c r="H4831" i="1"/>
  <c r="L4831" i="1" a="1"/>
  <c r="L4831" i="1" s="1"/>
  <c r="K4832" i="1" l="1" a="1"/>
  <c r="K4832" i="1" s="1"/>
  <c r="O4832" i="1" a="1"/>
  <c r="O4832" i="1" s="1"/>
  <c r="J4832" i="1" a="1"/>
  <c r="J4832" i="1" s="1"/>
  <c r="Q4832" i="1" a="1"/>
  <c r="Q4832" i="1" s="1"/>
  <c r="N4973" i="1" a="1"/>
  <c r="N4973" i="1" s="1"/>
  <c r="B4974" i="1"/>
  <c r="M4973" i="1" a="1"/>
  <c r="M4973" i="1" s="1"/>
  <c r="P4973" i="1" a="1"/>
  <c r="P4973" i="1" s="1"/>
  <c r="C4833" i="1"/>
  <c r="I4833" i="1" s="1" a="1"/>
  <c r="I4833" i="1" s="1"/>
  <c r="H4832" i="1"/>
  <c r="L4832" i="1" a="1"/>
  <c r="L4832" i="1" s="1"/>
  <c r="K4833" i="1" l="1" a="1"/>
  <c r="K4833" i="1" s="1"/>
  <c r="O4833" i="1" a="1"/>
  <c r="O4833" i="1" s="1"/>
  <c r="J4833" i="1" a="1"/>
  <c r="J4833" i="1" s="1"/>
  <c r="Q4833" i="1" a="1"/>
  <c r="Q4833" i="1" s="1"/>
  <c r="B4975" i="1"/>
  <c r="N4974" i="1" a="1"/>
  <c r="N4974" i="1" s="1"/>
  <c r="P4974" i="1" a="1"/>
  <c r="P4974" i="1" s="1"/>
  <c r="M4974" i="1" a="1"/>
  <c r="M4974" i="1" s="1"/>
  <c r="C4834" i="1"/>
  <c r="I4834" i="1" s="1" a="1"/>
  <c r="I4834" i="1" s="1"/>
  <c r="L4833" i="1" a="1"/>
  <c r="L4833" i="1" s="1"/>
  <c r="H4833" i="1"/>
  <c r="K4834" i="1" l="1" a="1"/>
  <c r="K4834" i="1" s="1"/>
  <c r="O4834" i="1" a="1"/>
  <c r="O4834" i="1" s="1"/>
  <c r="J4834" i="1" a="1"/>
  <c r="J4834" i="1" s="1"/>
  <c r="Q4834" i="1" a="1"/>
  <c r="Q4834" i="1" s="1"/>
  <c r="P4975" i="1" a="1"/>
  <c r="P4975" i="1" s="1"/>
  <c r="N4975" i="1" a="1"/>
  <c r="N4975" i="1" s="1"/>
  <c r="M4975" i="1" a="1"/>
  <c r="M4975" i="1" s="1"/>
  <c r="B4976" i="1"/>
  <c r="C4835" i="1"/>
  <c r="I4835" i="1" s="1" a="1"/>
  <c r="I4835" i="1" s="1"/>
  <c r="H4834" i="1"/>
  <c r="L4834" i="1" a="1"/>
  <c r="L4834" i="1" s="1"/>
  <c r="K4835" i="1" l="1" a="1"/>
  <c r="K4835" i="1" s="1"/>
  <c r="O4835" i="1" a="1"/>
  <c r="O4835" i="1" s="1"/>
  <c r="J4835" i="1" a="1"/>
  <c r="J4835" i="1" s="1"/>
  <c r="Q4835" i="1" a="1"/>
  <c r="Q4835" i="1" s="1"/>
  <c r="B4977" i="1"/>
  <c r="N4976" i="1" a="1"/>
  <c r="N4976" i="1" s="1"/>
  <c r="M4976" i="1" a="1"/>
  <c r="M4976" i="1" s="1"/>
  <c r="P4976" i="1" a="1"/>
  <c r="P4976" i="1" s="1"/>
  <c r="C4836" i="1"/>
  <c r="I4836" i="1" s="1" a="1"/>
  <c r="I4836" i="1" s="1"/>
  <c r="L4835" i="1" a="1"/>
  <c r="L4835" i="1" s="1"/>
  <c r="H4835" i="1"/>
  <c r="K4836" i="1" l="1" a="1"/>
  <c r="K4836" i="1" s="1"/>
  <c r="O4836" i="1" a="1"/>
  <c r="O4836" i="1" s="1"/>
  <c r="J4836" i="1" a="1"/>
  <c r="J4836" i="1" s="1"/>
  <c r="Q4836" i="1" a="1"/>
  <c r="Q4836" i="1" s="1"/>
  <c r="M4977" i="1" a="1"/>
  <c r="M4977" i="1" s="1"/>
  <c r="N4977" i="1" a="1"/>
  <c r="N4977" i="1" s="1"/>
  <c r="B4978" i="1"/>
  <c r="P4977" i="1" a="1"/>
  <c r="P4977" i="1" s="1"/>
  <c r="C4837" i="1"/>
  <c r="I4837" i="1" s="1" a="1"/>
  <c r="I4837" i="1" s="1"/>
  <c r="H4836" i="1"/>
  <c r="L4836" i="1" a="1"/>
  <c r="L4836" i="1" s="1"/>
  <c r="K4837" i="1" l="1" a="1"/>
  <c r="K4837" i="1" s="1"/>
  <c r="O4837" i="1" a="1"/>
  <c r="O4837" i="1" s="1"/>
  <c r="J4837" i="1" a="1"/>
  <c r="J4837" i="1" s="1"/>
  <c r="Q4837" i="1" a="1"/>
  <c r="Q4837" i="1" s="1"/>
  <c r="B4979" i="1"/>
  <c r="M4978" i="1" a="1"/>
  <c r="M4978" i="1" s="1"/>
  <c r="N4978" i="1" a="1"/>
  <c r="N4978" i="1" s="1"/>
  <c r="P4978" i="1" a="1"/>
  <c r="P4978" i="1" s="1"/>
  <c r="C4838" i="1"/>
  <c r="I4838" i="1" s="1" a="1"/>
  <c r="I4838" i="1" s="1"/>
  <c r="L4837" i="1" a="1"/>
  <c r="L4837" i="1" s="1"/>
  <c r="H4837" i="1"/>
  <c r="K4838" i="1" l="1" a="1"/>
  <c r="K4838" i="1" s="1"/>
  <c r="O4838" i="1" a="1"/>
  <c r="O4838" i="1" s="1"/>
  <c r="J4838" i="1" a="1"/>
  <c r="J4838" i="1" s="1"/>
  <c r="Q4838" i="1" a="1"/>
  <c r="Q4838" i="1" s="1"/>
  <c r="M4979" i="1" a="1"/>
  <c r="M4979" i="1" s="1"/>
  <c r="B4980" i="1"/>
  <c r="N4979" i="1" a="1"/>
  <c r="N4979" i="1" s="1"/>
  <c r="P4979" i="1" a="1"/>
  <c r="P4979" i="1" s="1"/>
  <c r="C4839" i="1"/>
  <c r="I4839" i="1" s="1" a="1"/>
  <c r="I4839" i="1" s="1"/>
  <c r="L4838" i="1" a="1"/>
  <c r="L4838" i="1" s="1"/>
  <c r="H4838" i="1"/>
  <c r="K4839" i="1" l="1" a="1"/>
  <c r="K4839" i="1" s="1"/>
  <c r="O4839" i="1" a="1"/>
  <c r="O4839" i="1" s="1"/>
  <c r="J4839" i="1" a="1"/>
  <c r="J4839" i="1" s="1"/>
  <c r="Q4839" i="1" a="1"/>
  <c r="Q4839" i="1" s="1"/>
  <c r="M4980" i="1" a="1"/>
  <c r="M4980" i="1" s="1"/>
  <c r="B4981" i="1"/>
  <c r="N4980" i="1" a="1"/>
  <c r="N4980" i="1" s="1"/>
  <c r="P4980" i="1" a="1"/>
  <c r="P4980" i="1" s="1"/>
  <c r="C4840" i="1"/>
  <c r="I4840" i="1" s="1" a="1"/>
  <c r="I4840" i="1" s="1"/>
  <c r="H4839" i="1"/>
  <c r="L4839" i="1" a="1"/>
  <c r="L4839" i="1" s="1"/>
  <c r="K4840" i="1" l="1" a="1"/>
  <c r="K4840" i="1" s="1"/>
  <c r="O4840" i="1" a="1"/>
  <c r="O4840" i="1" s="1"/>
  <c r="J4840" i="1" a="1"/>
  <c r="J4840" i="1" s="1"/>
  <c r="Q4840" i="1" a="1"/>
  <c r="Q4840" i="1" s="1"/>
  <c r="N4981" i="1" a="1"/>
  <c r="N4981" i="1" s="1"/>
  <c r="B4982" i="1"/>
  <c r="M4981" i="1" a="1"/>
  <c r="M4981" i="1" s="1"/>
  <c r="P4981" i="1" a="1"/>
  <c r="P4981" i="1" s="1"/>
  <c r="C4841" i="1"/>
  <c r="I4841" i="1" s="1" a="1"/>
  <c r="I4841" i="1" s="1"/>
  <c r="L4840" i="1" a="1"/>
  <c r="L4840" i="1" s="1"/>
  <c r="H4840" i="1"/>
  <c r="K4841" i="1" l="1" a="1"/>
  <c r="K4841" i="1" s="1"/>
  <c r="O4841" i="1" a="1"/>
  <c r="O4841" i="1" s="1"/>
  <c r="J4841" i="1" a="1"/>
  <c r="J4841" i="1" s="1"/>
  <c r="Q4841" i="1" a="1"/>
  <c r="Q4841" i="1" s="1"/>
  <c r="B4983" i="1"/>
  <c r="M4982" i="1" a="1"/>
  <c r="M4982" i="1" s="1"/>
  <c r="N4982" i="1" a="1"/>
  <c r="N4982" i="1" s="1"/>
  <c r="P4982" i="1" a="1"/>
  <c r="P4982" i="1" s="1"/>
  <c r="C4842" i="1"/>
  <c r="I4842" i="1" s="1" a="1"/>
  <c r="I4842" i="1" s="1"/>
  <c r="L4841" i="1" a="1"/>
  <c r="L4841" i="1" s="1"/>
  <c r="H4841" i="1"/>
  <c r="K4842" i="1" l="1" a="1"/>
  <c r="K4842" i="1" s="1"/>
  <c r="O4842" i="1" a="1"/>
  <c r="O4842" i="1" s="1"/>
  <c r="J4842" i="1" a="1"/>
  <c r="J4842" i="1" s="1"/>
  <c r="Q4842" i="1" a="1"/>
  <c r="Q4842" i="1" s="1"/>
  <c r="M4983" i="1" a="1"/>
  <c r="M4983" i="1" s="1"/>
  <c r="B4984" i="1"/>
  <c r="N4983" i="1" a="1"/>
  <c r="N4983" i="1" s="1"/>
  <c r="P4983" i="1" a="1"/>
  <c r="P4983" i="1" s="1"/>
  <c r="C4843" i="1"/>
  <c r="I4843" i="1" s="1" a="1"/>
  <c r="I4843" i="1" s="1"/>
  <c r="H4842" i="1"/>
  <c r="L4842" i="1" a="1"/>
  <c r="L4842" i="1" s="1"/>
  <c r="K4843" i="1" l="1" a="1"/>
  <c r="K4843" i="1" s="1"/>
  <c r="O4843" i="1" a="1"/>
  <c r="O4843" i="1" s="1"/>
  <c r="J4843" i="1" a="1"/>
  <c r="J4843" i="1" s="1"/>
  <c r="Q4843" i="1" a="1"/>
  <c r="Q4843" i="1" s="1"/>
  <c r="B4985" i="1"/>
  <c r="M4984" i="1" a="1"/>
  <c r="M4984" i="1" s="1"/>
  <c r="N4984" i="1" a="1"/>
  <c r="N4984" i="1" s="1"/>
  <c r="P4984" i="1" a="1"/>
  <c r="P4984" i="1" s="1"/>
  <c r="C4844" i="1"/>
  <c r="I4844" i="1" s="1" a="1"/>
  <c r="I4844" i="1" s="1"/>
  <c r="H4843" i="1"/>
  <c r="L4843" i="1" a="1"/>
  <c r="L4843" i="1" s="1"/>
  <c r="K4844" i="1" l="1" a="1"/>
  <c r="K4844" i="1" s="1"/>
  <c r="O4844" i="1" a="1"/>
  <c r="O4844" i="1" s="1"/>
  <c r="J4844" i="1" a="1"/>
  <c r="J4844" i="1" s="1"/>
  <c r="Q4844" i="1" a="1"/>
  <c r="Q4844" i="1" s="1"/>
  <c r="N4985" i="1" a="1"/>
  <c r="N4985" i="1" s="1"/>
  <c r="B4986" i="1"/>
  <c r="M4985" i="1" a="1"/>
  <c r="M4985" i="1" s="1"/>
  <c r="P4985" i="1" a="1"/>
  <c r="P4985" i="1" s="1"/>
  <c r="C4845" i="1"/>
  <c r="I4845" i="1" s="1" a="1"/>
  <c r="I4845" i="1" s="1"/>
  <c r="L4844" i="1" a="1"/>
  <c r="L4844" i="1" s="1"/>
  <c r="H4844" i="1"/>
  <c r="K4845" i="1" l="1" a="1"/>
  <c r="K4845" i="1" s="1"/>
  <c r="O4845" i="1" a="1"/>
  <c r="O4845" i="1" s="1"/>
  <c r="J4845" i="1" a="1"/>
  <c r="J4845" i="1" s="1"/>
  <c r="Q4845" i="1" a="1"/>
  <c r="Q4845" i="1" s="1"/>
  <c r="B4987" i="1"/>
  <c r="M4986" i="1" a="1"/>
  <c r="M4986" i="1" s="1"/>
  <c r="N4986" i="1" a="1"/>
  <c r="N4986" i="1" s="1"/>
  <c r="P4986" i="1" a="1"/>
  <c r="P4986" i="1" s="1"/>
  <c r="C4846" i="1"/>
  <c r="I4846" i="1" s="1" a="1"/>
  <c r="I4846" i="1" s="1"/>
  <c r="L4845" i="1" a="1"/>
  <c r="L4845" i="1" s="1"/>
  <c r="H4845" i="1"/>
  <c r="K4846" i="1" l="1" a="1"/>
  <c r="K4846" i="1" s="1"/>
  <c r="O4846" i="1" a="1"/>
  <c r="O4846" i="1" s="1"/>
  <c r="J4846" i="1" a="1"/>
  <c r="J4846" i="1" s="1"/>
  <c r="Q4846" i="1" a="1"/>
  <c r="Q4846" i="1" s="1"/>
  <c r="P4987" i="1" a="1"/>
  <c r="P4987" i="1" s="1"/>
  <c r="N4987" i="1" a="1"/>
  <c r="N4987" i="1" s="1"/>
  <c r="B4988" i="1"/>
  <c r="M4987" i="1" a="1"/>
  <c r="M4987" i="1" s="1"/>
  <c r="C4847" i="1"/>
  <c r="I4847" i="1" s="1" a="1"/>
  <c r="I4847" i="1" s="1"/>
  <c r="L4846" i="1" a="1"/>
  <c r="L4846" i="1" s="1"/>
  <c r="H4846" i="1"/>
  <c r="K4847" i="1" l="1" a="1"/>
  <c r="K4847" i="1" s="1"/>
  <c r="O4847" i="1" a="1"/>
  <c r="O4847" i="1" s="1"/>
  <c r="J4847" i="1" a="1"/>
  <c r="J4847" i="1" s="1"/>
  <c r="Q4847" i="1" a="1"/>
  <c r="Q4847" i="1" s="1"/>
  <c r="B4989" i="1"/>
  <c r="M4988" i="1" a="1"/>
  <c r="M4988" i="1" s="1"/>
  <c r="P4988" i="1" a="1"/>
  <c r="P4988" i="1" s="1"/>
  <c r="N4988" i="1" a="1"/>
  <c r="N4988" i="1" s="1"/>
  <c r="C4848" i="1"/>
  <c r="I4848" i="1" s="1" a="1"/>
  <c r="I4848" i="1" s="1"/>
  <c r="H4847" i="1"/>
  <c r="L4847" i="1" a="1"/>
  <c r="L4847" i="1" s="1"/>
  <c r="K4848" i="1" l="1" a="1"/>
  <c r="K4848" i="1" s="1"/>
  <c r="O4848" i="1" a="1"/>
  <c r="O4848" i="1" s="1"/>
  <c r="J4848" i="1" a="1"/>
  <c r="J4848" i="1" s="1"/>
  <c r="Q4848" i="1" a="1"/>
  <c r="Q4848" i="1" s="1"/>
  <c r="M4989" i="1" a="1"/>
  <c r="M4989" i="1" s="1"/>
  <c r="B4990" i="1"/>
  <c r="N4989" i="1" a="1"/>
  <c r="N4989" i="1" s="1"/>
  <c r="P4989" i="1" a="1"/>
  <c r="P4989" i="1" s="1"/>
  <c r="C4849" i="1"/>
  <c r="I4849" i="1" s="1" a="1"/>
  <c r="I4849" i="1" s="1"/>
  <c r="H4848" i="1"/>
  <c r="L4848" i="1" a="1"/>
  <c r="L4848" i="1" s="1"/>
  <c r="K4849" i="1" l="1" a="1"/>
  <c r="K4849" i="1" s="1"/>
  <c r="O4849" i="1" a="1"/>
  <c r="O4849" i="1" s="1"/>
  <c r="J4849" i="1" a="1"/>
  <c r="J4849" i="1" s="1"/>
  <c r="Q4849" i="1" a="1"/>
  <c r="Q4849" i="1" s="1"/>
  <c r="M4990" i="1" a="1"/>
  <c r="M4990" i="1" s="1"/>
  <c r="B4991" i="1"/>
  <c r="N4990" i="1" a="1"/>
  <c r="N4990" i="1" s="1"/>
  <c r="P4990" i="1" a="1"/>
  <c r="P4990" i="1" s="1"/>
  <c r="C4850" i="1"/>
  <c r="I4850" i="1" s="1" a="1"/>
  <c r="I4850" i="1" s="1"/>
  <c r="L4849" i="1" a="1"/>
  <c r="L4849" i="1" s="1"/>
  <c r="H4849" i="1"/>
  <c r="K4850" i="1" l="1" a="1"/>
  <c r="K4850" i="1" s="1"/>
  <c r="O4850" i="1" a="1"/>
  <c r="O4850" i="1" s="1"/>
  <c r="J4850" i="1" a="1"/>
  <c r="J4850" i="1" s="1"/>
  <c r="Q4850" i="1" a="1"/>
  <c r="Q4850" i="1" s="1"/>
  <c r="P4991" i="1" a="1"/>
  <c r="P4991" i="1" s="1"/>
  <c r="B4992" i="1"/>
  <c r="M4991" i="1" a="1"/>
  <c r="M4991" i="1" s="1"/>
  <c r="N4991" i="1" a="1"/>
  <c r="N4991" i="1" s="1"/>
  <c r="C4851" i="1"/>
  <c r="I4851" i="1" s="1" a="1"/>
  <c r="I4851" i="1" s="1"/>
  <c r="L4850" i="1" a="1"/>
  <c r="L4850" i="1" s="1"/>
  <c r="H4850" i="1"/>
  <c r="K4851" i="1" l="1" a="1"/>
  <c r="K4851" i="1" s="1"/>
  <c r="O4851" i="1" a="1"/>
  <c r="O4851" i="1" s="1"/>
  <c r="J4851" i="1" a="1"/>
  <c r="J4851" i="1" s="1"/>
  <c r="Q4851" i="1" a="1"/>
  <c r="Q4851" i="1" s="1"/>
  <c r="P4992" i="1" a="1"/>
  <c r="P4992" i="1" s="1"/>
  <c r="M4992" i="1" a="1"/>
  <c r="M4992" i="1" s="1"/>
  <c r="N4992" i="1" a="1"/>
  <c r="N4992" i="1" s="1"/>
  <c r="B4993" i="1"/>
  <c r="C4852" i="1"/>
  <c r="I4852" i="1" s="1" a="1"/>
  <c r="I4852" i="1" s="1"/>
  <c r="L4851" i="1" a="1"/>
  <c r="L4851" i="1" s="1"/>
  <c r="H4851" i="1"/>
  <c r="K4852" i="1" l="1" a="1"/>
  <c r="K4852" i="1" s="1"/>
  <c r="O4852" i="1" a="1"/>
  <c r="O4852" i="1" s="1"/>
  <c r="J4852" i="1" a="1"/>
  <c r="J4852" i="1" s="1"/>
  <c r="Q4852" i="1" a="1"/>
  <c r="Q4852" i="1" s="1"/>
  <c r="B4994" i="1"/>
  <c r="M4993" i="1" a="1"/>
  <c r="M4993" i="1" s="1"/>
  <c r="N4993" i="1" a="1"/>
  <c r="N4993" i="1" s="1"/>
  <c r="P4993" i="1" a="1"/>
  <c r="P4993" i="1" s="1"/>
  <c r="C4853" i="1"/>
  <c r="I4853" i="1" s="1" a="1"/>
  <c r="I4853" i="1" s="1"/>
  <c r="H4852" i="1"/>
  <c r="L4852" i="1" a="1"/>
  <c r="L4852" i="1" s="1"/>
  <c r="K4853" i="1" l="1" a="1"/>
  <c r="K4853" i="1" s="1"/>
  <c r="O4853" i="1" a="1"/>
  <c r="O4853" i="1" s="1"/>
  <c r="J4853" i="1" a="1"/>
  <c r="J4853" i="1" s="1"/>
  <c r="Q4853" i="1" a="1"/>
  <c r="Q4853" i="1" s="1"/>
  <c r="B4995" i="1"/>
  <c r="P4994" i="1" a="1"/>
  <c r="P4994" i="1" s="1"/>
  <c r="M4994" i="1" a="1"/>
  <c r="M4994" i="1" s="1"/>
  <c r="N4994" i="1" a="1"/>
  <c r="N4994" i="1" s="1"/>
  <c r="C4854" i="1"/>
  <c r="I4854" i="1" s="1" a="1"/>
  <c r="I4854" i="1" s="1"/>
  <c r="L4853" i="1" a="1"/>
  <c r="L4853" i="1" s="1"/>
  <c r="H4853" i="1"/>
  <c r="K4854" i="1" l="1" a="1"/>
  <c r="K4854" i="1" s="1"/>
  <c r="O4854" i="1" a="1"/>
  <c r="O4854" i="1" s="1"/>
  <c r="J4854" i="1" a="1"/>
  <c r="J4854" i="1" s="1"/>
  <c r="Q4854" i="1" a="1"/>
  <c r="Q4854" i="1" s="1"/>
  <c r="B4996" i="1"/>
  <c r="M4995" i="1" a="1"/>
  <c r="M4995" i="1" s="1"/>
  <c r="P4995" i="1" a="1"/>
  <c r="P4995" i="1" s="1"/>
  <c r="N4995" i="1" a="1"/>
  <c r="N4995" i="1" s="1"/>
  <c r="C4855" i="1"/>
  <c r="I4855" i="1" s="1" a="1"/>
  <c r="I4855" i="1" s="1"/>
  <c r="L4854" i="1" a="1"/>
  <c r="L4854" i="1" s="1"/>
  <c r="H4854" i="1"/>
  <c r="K4855" i="1" l="1" a="1"/>
  <c r="K4855" i="1" s="1"/>
  <c r="O4855" i="1" a="1"/>
  <c r="O4855" i="1" s="1"/>
  <c r="J4855" i="1" a="1"/>
  <c r="J4855" i="1" s="1"/>
  <c r="Q4855" i="1" a="1"/>
  <c r="Q4855" i="1" s="1"/>
  <c r="M4996" i="1" a="1"/>
  <c r="M4996" i="1" s="1"/>
  <c r="P4996" i="1" a="1"/>
  <c r="P4996" i="1" s="1"/>
  <c r="B4997" i="1"/>
  <c r="N4996" i="1" a="1"/>
  <c r="N4996" i="1" s="1"/>
  <c r="C4856" i="1"/>
  <c r="I4856" i="1" s="1" a="1"/>
  <c r="I4856" i="1" s="1"/>
  <c r="H4855" i="1"/>
  <c r="L4855" i="1" a="1"/>
  <c r="L4855" i="1" s="1"/>
  <c r="K4856" i="1" l="1" a="1"/>
  <c r="K4856" i="1" s="1"/>
  <c r="O4856" i="1" a="1"/>
  <c r="O4856" i="1" s="1"/>
  <c r="J4856" i="1" a="1"/>
  <c r="J4856" i="1" s="1"/>
  <c r="Q4856" i="1" a="1"/>
  <c r="Q4856" i="1" s="1"/>
  <c r="M4997" i="1" a="1"/>
  <c r="M4997" i="1" s="1"/>
  <c r="B4998" i="1"/>
  <c r="N4997" i="1" a="1"/>
  <c r="N4997" i="1" s="1"/>
  <c r="P4997" i="1" a="1"/>
  <c r="P4997" i="1" s="1"/>
  <c r="C4857" i="1"/>
  <c r="I4857" i="1" s="1" a="1"/>
  <c r="I4857" i="1" s="1"/>
  <c r="L4856" i="1" a="1"/>
  <c r="L4856" i="1" s="1"/>
  <c r="H4856" i="1"/>
  <c r="K4857" i="1" l="1" a="1"/>
  <c r="K4857" i="1" s="1"/>
  <c r="O4857" i="1" a="1"/>
  <c r="O4857" i="1" s="1"/>
  <c r="J4857" i="1" a="1"/>
  <c r="J4857" i="1" s="1"/>
  <c r="Q4857" i="1" a="1"/>
  <c r="Q4857" i="1" s="1"/>
  <c r="B4999" i="1"/>
  <c r="P4998" i="1" a="1"/>
  <c r="P4998" i="1" s="1"/>
  <c r="M4998" i="1" a="1"/>
  <c r="M4998" i="1" s="1"/>
  <c r="N4998" i="1" a="1"/>
  <c r="N4998" i="1" s="1"/>
  <c r="C4858" i="1"/>
  <c r="I4858" i="1" s="1" a="1"/>
  <c r="I4858" i="1" s="1"/>
  <c r="H4857" i="1"/>
  <c r="L4857" i="1" a="1"/>
  <c r="L4857" i="1" s="1"/>
  <c r="K4858" i="1" l="1" a="1"/>
  <c r="K4858" i="1" s="1"/>
  <c r="O4858" i="1" a="1"/>
  <c r="O4858" i="1" s="1"/>
  <c r="J4858" i="1" a="1"/>
  <c r="J4858" i="1" s="1"/>
  <c r="Q4858" i="1" a="1"/>
  <c r="Q4858" i="1" s="1"/>
  <c r="P4999" i="1" a="1"/>
  <c r="P4999" i="1" s="1"/>
  <c r="B5000" i="1"/>
  <c r="M4999" i="1" a="1"/>
  <c r="M4999" i="1" s="1"/>
  <c r="N4999" i="1" a="1"/>
  <c r="N4999" i="1" s="1"/>
  <c r="C4859" i="1"/>
  <c r="I4859" i="1" s="1" a="1"/>
  <c r="I4859" i="1" s="1"/>
  <c r="L4858" i="1" a="1"/>
  <c r="L4858" i="1" s="1"/>
  <c r="H4858" i="1"/>
  <c r="K4859" i="1" l="1" a="1"/>
  <c r="K4859" i="1" s="1"/>
  <c r="O4859" i="1" a="1"/>
  <c r="O4859" i="1" s="1"/>
  <c r="J4859" i="1" a="1"/>
  <c r="J4859" i="1" s="1"/>
  <c r="Q4859" i="1" a="1"/>
  <c r="Q4859" i="1" s="1"/>
  <c r="B5001" i="1"/>
  <c r="M5000" i="1" a="1"/>
  <c r="M5000" i="1" s="1"/>
  <c r="N5000" i="1" a="1"/>
  <c r="N5000" i="1" s="1"/>
  <c r="P5000" i="1" a="1"/>
  <c r="P5000" i="1" s="1"/>
  <c r="C4860" i="1"/>
  <c r="I4860" i="1" s="1" a="1"/>
  <c r="I4860" i="1" s="1"/>
  <c r="L4859" i="1" a="1"/>
  <c r="L4859" i="1" s="1"/>
  <c r="H4859" i="1"/>
  <c r="K4860" i="1" l="1" a="1"/>
  <c r="K4860" i="1" s="1"/>
  <c r="O4860" i="1" a="1"/>
  <c r="O4860" i="1" s="1"/>
  <c r="J4860" i="1" a="1"/>
  <c r="J4860" i="1" s="1"/>
  <c r="Q4860" i="1" a="1"/>
  <c r="Q4860" i="1" s="1"/>
  <c r="M5001" i="1" a="1"/>
  <c r="M5001" i="1" s="1"/>
  <c r="N5001" i="1" a="1"/>
  <c r="N5001" i="1" s="1"/>
  <c r="P5001" i="1" a="1"/>
  <c r="P5001" i="1" s="1"/>
  <c r="B5002" i="1"/>
  <c r="C4861" i="1"/>
  <c r="I4861" i="1" s="1" a="1"/>
  <c r="I4861" i="1" s="1"/>
  <c r="H4860" i="1"/>
  <c r="L4860" i="1" a="1"/>
  <c r="L4860" i="1" s="1"/>
  <c r="K4861" i="1" l="1" a="1"/>
  <c r="K4861" i="1" s="1"/>
  <c r="O4861" i="1" a="1"/>
  <c r="O4861" i="1" s="1"/>
  <c r="J4861" i="1" a="1"/>
  <c r="J4861" i="1" s="1"/>
  <c r="Q4861" i="1" a="1"/>
  <c r="Q4861" i="1" s="1"/>
  <c r="P5002" i="1" a="1"/>
  <c r="P5002" i="1" s="1"/>
  <c r="B5003" i="1"/>
  <c r="M5002" i="1" a="1"/>
  <c r="M5002" i="1" s="1"/>
  <c r="N5002" i="1" a="1"/>
  <c r="N5002" i="1" s="1"/>
  <c r="C4862" i="1"/>
  <c r="I4862" i="1" s="1" a="1"/>
  <c r="I4862" i="1" s="1"/>
  <c r="L4861" i="1" a="1"/>
  <c r="L4861" i="1" s="1"/>
  <c r="H4861" i="1"/>
  <c r="K4862" i="1" l="1" a="1"/>
  <c r="K4862" i="1" s="1"/>
  <c r="O4862" i="1" a="1"/>
  <c r="O4862" i="1" s="1"/>
  <c r="J4862" i="1" a="1"/>
  <c r="J4862" i="1" s="1"/>
  <c r="Q4862" i="1" a="1"/>
  <c r="Q4862" i="1" s="1"/>
  <c r="B5004" i="1"/>
  <c r="P5003" i="1" a="1"/>
  <c r="P5003" i="1" s="1"/>
  <c r="M5003" i="1" a="1"/>
  <c r="M5003" i="1" s="1"/>
  <c r="N5003" i="1" a="1"/>
  <c r="N5003" i="1" s="1"/>
  <c r="C4863" i="1"/>
  <c r="I4863" i="1" s="1" a="1"/>
  <c r="I4863" i="1" s="1"/>
  <c r="H4862" i="1"/>
  <c r="L4862" i="1" a="1"/>
  <c r="L4862" i="1" s="1"/>
  <c r="K4863" i="1" l="1" a="1"/>
  <c r="K4863" i="1" s="1"/>
  <c r="O4863" i="1" a="1"/>
  <c r="O4863" i="1" s="1"/>
  <c r="J4863" i="1" a="1"/>
  <c r="J4863" i="1" s="1"/>
  <c r="Q4863" i="1" a="1"/>
  <c r="Q4863" i="1" s="1"/>
  <c r="M5004" i="1" a="1"/>
  <c r="M5004" i="1" s="1"/>
  <c r="N5004" i="1" a="1"/>
  <c r="N5004" i="1" s="1"/>
  <c r="B5005" i="1"/>
  <c r="P5004" i="1" a="1"/>
  <c r="P5004" i="1" s="1"/>
  <c r="C4864" i="1"/>
  <c r="I4864" i="1" s="1" a="1"/>
  <c r="I4864" i="1" s="1"/>
  <c r="L4863" i="1" a="1"/>
  <c r="L4863" i="1" s="1"/>
  <c r="H4863" i="1"/>
  <c r="K4864" i="1" l="1" a="1"/>
  <c r="K4864" i="1" s="1"/>
  <c r="O4864" i="1" a="1"/>
  <c r="O4864" i="1" s="1"/>
  <c r="J4864" i="1" a="1"/>
  <c r="J4864" i="1" s="1"/>
  <c r="Q4864" i="1" a="1"/>
  <c r="Q4864" i="1" s="1"/>
  <c r="N5005" i="1" a="1"/>
  <c r="N5005" i="1" s="1"/>
  <c r="P5005" i="1" a="1"/>
  <c r="P5005" i="1" s="1"/>
  <c r="M5005" i="1" a="1"/>
  <c r="M5005" i="1" s="1"/>
  <c r="B5006" i="1"/>
  <c r="C4865" i="1"/>
  <c r="I4865" i="1" s="1" a="1"/>
  <c r="I4865" i="1" s="1"/>
  <c r="L4864" i="1" a="1"/>
  <c r="L4864" i="1" s="1"/>
  <c r="H4864" i="1"/>
  <c r="K4865" i="1" l="1" a="1"/>
  <c r="K4865" i="1" s="1"/>
  <c r="O4865" i="1" a="1"/>
  <c r="O4865" i="1" s="1"/>
  <c r="J4865" i="1" a="1"/>
  <c r="J4865" i="1" s="1"/>
  <c r="Q4865" i="1" a="1"/>
  <c r="Q4865" i="1" s="1"/>
  <c r="N5006" i="1" a="1"/>
  <c r="N5006" i="1" s="1"/>
  <c r="B5007" i="1"/>
  <c r="P5006" i="1" a="1"/>
  <c r="P5006" i="1" s="1"/>
  <c r="M5006" i="1" a="1"/>
  <c r="M5006" i="1" s="1"/>
  <c r="C4866" i="1"/>
  <c r="I4866" i="1" s="1" a="1"/>
  <c r="I4866" i="1" s="1"/>
  <c r="L4865" i="1" a="1"/>
  <c r="L4865" i="1" s="1"/>
  <c r="H4865" i="1"/>
  <c r="K4866" i="1" l="1" a="1"/>
  <c r="K4866" i="1" s="1"/>
  <c r="O4866" i="1" a="1"/>
  <c r="O4866" i="1" s="1"/>
  <c r="J4866" i="1" a="1"/>
  <c r="J4866" i="1" s="1"/>
  <c r="Q4866" i="1" a="1"/>
  <c r="Q4866" i="1" s="1"/>
  <c r="P5007" i="1" a="1"/>
  <c r="P5007" i="1" s="1"/>
  <c r="M5007" i="1" a="1"/>
  <c r="M5007" i="1" s="1"/>
  <c r="N5007" i="1" a="1"/>
  <c r="N5007" i="1" s="1"/>
  <c r="B5008" i="1"/>
  <c r="C4867" i="1"/>
  <c r="I4867" i="1" s="1" a="1"/>
  <c r="I4867" i="1" s="1"/>
  <c r="L4866" i="1" a="1"/>
  <c r="L4866" i="1" s="1"/>
  <c r="H4866" i="1"/>
  <c r="K4867" i="1" l="1" a="1"/>
  <c r="K4867" i="1" s="1"/>
  <c r="O4867" i="1" a="1"/>
  <c r="O4867" i="1" s="1"/>
  <c r="J4867" i="1" a="1"/>
  <c r="J4867" i="1" s="1"/>
  <c r="Q4867" i="1" a="1"/>
  <c r="Q4867" i="1" s="1"/>
  <c r="B5009" i="1"/>
  <c r="M5008" i="1" a="1"/>
  <c r="M5008" i="1" s="1"/>
  <c r="P5008" i="1" a="1"/>
  <c r="P5008" i="1" s="1"/>
  <c r="N5008" i="1" a="1"/>
  <c r="N5008" i="1" s="1"/>
  <c r="C4868" i="1"/>
  <c r="I4868" i="1" s="1" a="1"/>
  <c r="I4868" i="1" s="1"/>
  <c r="L4867" i="1" a="1"/>
  <c r="L4867" i="1" s="1"/>
  <c r="H4867" i="1"/>
  <c r="K4868" i="1" l="1" a="1"/>
  <c r="K4868" i="1" s="1"/>
  <c r="O4868" i="1" a="1"/>
  <c r="O4868" i="1" s="1"/>
  <c r="J4868" i="1" a="1"/>
  <c r="J4868" i="1" s="1"/>
  <c r="Q4868" i="1" a="1"/>
  <c r="Q4868" i="1" s="1"/>
  <c r="M5009" i="1" a="1"/>
  <c r="M5009" i="1" s="1"/>
  <c r="N5009" i="1" a="1"/>
  <c r="N5009" i="1" s="1"/>
  <c r="B5010" i="1"/>
  <c r="P5009" i="1" a="1"/>
  <c r="P5009" i="1" s="1"/>
  <c r="C4869" i="1"/>
  <c r="I4869" i="1" s="1" a="1"/>
  <c r="I4869" i="1" s="1"/>
  <c r="H4868" i="1"/>
  <c r="L4868" i="1" a="1"/>
  <c r="L4868" i="1" s="1"/>
  <c r="K4869" i="1" l="1" a="1"/>
  <c r="K4869" i="1" s="1"/>
  <c r="O4869" i="1" a="1"/>
  <c r="O4869" i="1" s="1"/>
  <c r="J4869" i="1" a="1"/>
  <c r="J4869" i="1" s="1"/>
  <c r="Q4869" i="1" a="1"/>
  <c r="Q4869" i="1" s="1"/>
  <c r="P5010" i="1" a="1"/>
  <c r="P5010" i="1" s="1"/>
  <c r="B5011" i="1"/>
  <c r="M5010" i="1" a="1"/>
  <c r="M5010" i="1" s="1"/>
  <c r="N5010" i="1" a="1"/>
  <c r="N5010" i="1" s="1"/>
  <c r="C4870" i="1"/>
  <c r="I4870" i="1" s="1" a="1"/>
  <c r="I4870" i="1" s="1"/>
  <c r="L4869" i="1" a="1"/>
  <c r="L4869" i="1" s="1"/>
  <c r="H4869" i="1"/>
  <c r="K4870" i="1" l="1" a="1"/>
  <c r="K4870" i="1" s="1"/>
  <c r="O4870" i="1" a="1"/>
  <c r="O4870" i="1" s="1"/>
  <c r="J4870" i="1" a="1"/>
  <c r="J4870" i="1" s="1"/>
  <c r="Q4870" i="1" a="1"/>
  <c r="Q4870" i="1" s="1"/>
  <c r="B5012" i="1"/>
  <c r="M5011" i="1" a="1"/>
  <c r="M5011" i="1" s="1"/>
  <c r="P5011" i="1" a="1"/>
  <c r="P5011" i="1" s="1"/>
  <c r="N5011" i="1" a="1"/>
  <c r="N5011" i="1" s="1"/>
  <c r="C4871" i="1"/>
  <c r="I4871" i="1" s="1" a="1"/>
  <c r="I4871" i="1" s="1"/>
  <c r="L4870" i="1" a="1"/>
  <c r="L4870" i="1" s="1"/>
  <c r="H4870" i="1"/>
  <c r="K4871" i="1" l="1" a="1"/>
  <c r="K4871" i="1" s="1"/>
  <c r="O4871" i="1" a="1"/>
  <c r="O4871" i="1" s="1"/>
  <c r="J4871" i="1" a="1"/>
  <c r="J4871" i="1" s="1"/>
  <c r="Q4871" i="1" a="1"/>
  <c r="Q4871" i="1" s="1"/>
  <c r="M5012" i="1" a="1"/>
  <c r="M5012" i="1" s="1"/>
  <c r="N5012" i="1" a="1"/>
  <c r="N5012" i="1" s="1"/>
  <c r="B5013" i="1"/>
  <c r="P5012" i="1" a="1"/>
  <c r="P5012" i="1" s="1"/>
  <c r="C4872" i="1"/>
  <c r="I4872" i="1" s="1" a="1"/>
  <c r="I4872" i="1" s="1"/>
  <c r="L4871" i="1" a="1"/>
  <c r="L4871" i="1" s="1"/>
  <c r="H4871" i="1"/>
  <c r="K4872" i="1" l="1" a="1"/>
  <c r="K4872" i="1" s="1"/>
  <c r="O4872" i="1" a="1"/>
  <c r="O4872" i="1" s="1"/>
  <c r="J4872" i="1" a="1"/>
  <c r="J4872" i="1" s="1"/>
  <c r="Q4872" i="1" a="1"/>
  <c r="Q4872" i="1" s="1"/>
  <c r="P5013" i="1" a="1"/>
  <c r="P5013" i="1" s="1"/>
  <c r="M5013" i="1" a="1"/>
  <c r="M5013" i="1" s="1"/>
  <c r="N5013" i="1" a="1"/>
  <c r="N5013" i="1" s="1"/>
  <c r="B5014" i="1"/>
  <c r="C4873" i="1"/>
  <c r="I4873" i="1" s="1" a="1"/>
  <c r="I4873" i="1" s="1"/>
  <c r="L4872" i="1" a="1"/>
  <c r="L4872" i="1" s="1"/>
  <c r="H4872" i="1"/>
  <c r="K4873" i="1" l="1" a="1"/>
  <c r="K4873" i="1" s="1"/>
  <c r="O4873" i="1" a="1"/>
  <c r="O4873" i="1" s="1"/>
  <c r="J4873" i="1" a="1"/>
  <c r="J4873" i="1" s="1"/>
  <c r="Q4873" i="1" a="1"/>
  <c r="Q4873" i="1" s="1"/>
  <c r="P5014" i="1" a="1"/>
  <c r="P5014" i="1" s="1"/>
  <c r="B5015" i="1"/>
  <c r="N5014" i="1" a="1"/>
  <c r="N5014" i="1" s="1"/>
  <c r="M5014" i="1" a="1"/>
  <c r="M5014" i="1" s="1"/>
  <c r="C4874" i="1"/>
  <c r="I4874" i="1" s="1" a="1"/>
  <c r="I4874" i="1" s="1"/>
  <c r="L4873" i="1" a="1"/>
  <c r="L4873" i="1" s="1"/>
  <c r="H4873" i="1"/>
  <c r="K4874" i="1" l="1" a="1"/>
  <c r="K4874" i="1" s="1"/>
  <c r="O4874" i="1" a="1"/>
  <c r="O4874" i="1" s="1"/>
  <c r="J4874" i="1" a="1"/>
  <c r="J4874" i="1" s="1"/>
  <c r="Q4874" i="1" a="1"/>
  <c r="Q4874" i="1" s="1"/>
  <c r="P5015" i="1" a="1"/>
  <c r="P5015" i="1" s="1"/>
  <c r="M5015" i="1" a="1"/>
  <c r="M5015" i="1" s="1"/>
  <c r="B5016" i="1"/>
  <c r="N5015" i="1" a="1"/>
  <c r="N5015" i="1" s="1"/>
  <c r="C4875" i="1"/>
  <c r="I4875" i="1" s="1" a="1"/>
  <c r="I4875" i="1" s="1"/>
  <c r="L4874" i="1" a="1"/>
  <c r="L4874" i="1" s="1"/>
  <c r="H4874" i="1"/>
  <c r="K4875" i="1" l="1" a="1"/>
  <c r="K4875" i="1" s="1"/>
  <c r="O4875" i="1" a="1"/>
  <c r="O4875" i="1" s="1"/>
  <c r="J4875" i="1" a="1"/>
  <c r="J4875" i="1" s="1"/>
  <c r="Q4875" i="1" a="1"/>
  <c r="Q4875" i="1" s="1"/>
  <c r="N5016" i="1" a="1"/>
  <c r="N5016" i="1" s="1"/>
  <c r="M5016" i="1" a="1"/>
  <c r="M5016" i="1" s="1"/>
  <c r="P5016" i="1" a="1"/>
  <c r="P5016" i="1" s="1"/>
  <c r="B5017" i="1"/>
  <c r="C4876" i="1"/>
  <c r="I4876" i="1" s="1" a="1"/>
  <c r="I4876" i="1" s="1"/>
  <c r="H4875" i="1"/>
  <c r="L4875" i="1" a="1"/>
  <c r="L4875" i="1" s="1"/>
  <c r="K4876" i="1" l="1" a="1"/>
  <c r="K4876" i="1" s="1"/>
  <c r="O4876" i="1" a="1"/>
  <c r="O4876" i="1" s="1"/>
  <c r="J4876" i="1" a="1"/>
  <c r="J4876" i="1" s="1"/>
  <c r="Q4876" i="1" a="1"/>
  <c r="Q4876" i="1" s="1"/>
  <c r="P5017" i="1" a="1"/>
  <c r="P5017" i="1" s="1"/>
  <c r="B5018" i="1"/>
  <c r="N5017" i="1" a="1"/>
  <c r="N5017" i="1" s="1"/>
  <c r="M5017" i="1" a="1"/>
  <c r="M5017" i="1" s="1"/>
  <c r="C4877" i="1"/>
  <c r="I4877" i="1" s="1" a="1"/>
  <c r="I4877" i="1" s="1"/>
  <c r="L4876" i="1" a="1"/>
  <c r="L4876" i="1" s="1"/>
  <c r="H4876" i="1"/>
  <c r="K4877" i="1" l="1" a="1"/>
  <c r="K4877" i="1" s="1"/>
  <c r="O4877" i="1" a="1"/>
  <c r="O4877" i="1" s="1"/>
  <c r="J4877" i="1" a="1"/>
  <c r="J4877" i="1" s="1"/>
  <c r="Q4877" i="1" a="1"/>
  <c r="Q4877" i="1" s="1"/>
  <c r="B5019" i="1"/>
  <c r="M5018" i="1" a="1"/>
  <c r="M5018" i="1" s="1"/>
  <c r="P5018" i="1" a="1"/>
  <c r="P5018" i="1" s="1"/>
  <c r="N5018" i="1" a="1"/>
  <c r="N5018" i="1" s="1"/>
  <c r="C4878" i="1"/>
  <c r="I4878" i="1" s="1" a="1"/>
  <c r="I4878" i="1" s="1"/>
  <c r="L4877" i="1" a="1"/>
  <c r="L4877" i="1" s="1"/>
  <c r="H4877" i="1"/>
  <c r="K4878" i="1" l="1" a="1"/>
  <c r="K4878" i="1" s="1"/>
  <c r="O4878" i="1" a="1"/>
  <c r="O4878" i="1" s="1"/>
  <c r="J4878" i="1" a="1"/>
  <c r="J4878" i="1" s="1"/>
  <c r="Q4878" i="1" a="1"/>
  <c r="Q4878" i="1" s="1"/>
  <c r="P5019" i="1" a="1"/>
  <c r="P5019" i="1" s="1"/>
  <c r="N5019" i="1" a="1"/>
  <c r="N5019" i="1" s="1"/>
  <c r="B5020" i="1"/>
  <c r="M5019" i="1" a="1"/>
  <c r="M5019" i="1" s="1"/>
  <c r="C4879" i="1"/>
  <c r="I4879" i="1" s="1" a="1"/>
  <c r="I4879" i="1" s="1"/>
  <c r="L4878" i="1" a="1"/>
  <c r="L4878" i="1" s="1"/>
  <c r="H4878" i="1"/>
  <c r="K4879" i="1" l="1" a="1"/>
  <c r="K4879" i="1" s="1"/>
  <c r="O4879" i="1" a="1"/>
  <c r="O4879" i="1" s="1"/>
  <c r="J4879" i="1" a="1"/>
  <c r="J4879" i="1" s="1"/>
  <c r="Q4879" i="1" a="1"/>
  <c r="Q4879" i="1" s="1"/>
  <c r="P5020" i="1" a="1"/>
  <c r="P5020" i="1" s="1"/>
  <c r="N5020" i="1" a="1"/>
  <c r="N5020" i="1" s="1"/>
  <c r="M5020" i="1" a="1"/>
  <c r="M5020" i="1" s="1"/>
  <c r="B5021" i="1"/>
  <c r="C4880" i="1"/>
  <c r="I4880" i="1" s="1" a="1"/>
  <c r="I4880" i="1" s="1"/>
  <c r="L4879" i="1" a="1"/>
  <c r="L4879" i="1" s="1"/>
  <c r="H4879" i="1"/>
  <c r="K4880" i="1" l="1" a="1"/>
  <c r="K4880" i="1" s="1"/>
  <c r="O4880" i="1" a="1"/>
  <c r="O4880" i="1" s="1"/>
  <c r="J4880" i="1" a="1"/>
  <c r="J4880" i="1" s="1"/>
  <c r="Q4880" i="1" a="1"/>
  <c r="Q4880" i="1" s="1"/>
  <c r="M5021" i="1" a="1"/>
  <c r="M5021" i="1" s="1"/>
  <c r="P5021" i="1" a="1"/>
  <c r="P5021" i="1" s="1"/>
  <c r="B5022" i="1"/>
  <c r="N5021" i="1" a="1"/>
  <c r="N5021" i="1" s="1"/>
  <c r="C4881" i="1"/>
  <c r="I4881" i="1" s="1" a="1"/>
  <c r="I4881" i="1" s="1"/>
  <c r="L4880" i="1" a="1"/>
  <c r="L4880" i="1" s="1"/>
  <c r="H4880" i="1"/>
  <c r="K4881" i="1" l="1" a="1"/>
  <c r="K4881" i="1" s="1"/>
  <c r="O4881" i="1" a="1"/>
  <c r="O4881" i="1" s="1"/>
  <c r="J4881" i="1" a="1"/>
  <c r="J4881" i="1" s="1"/>
  <c r="Q4881" i="1" a="1"/>
  <c r="Q4881" i="1" s="1"/>
  <c r="N5022" i="1" a="1"/>
  <c r="N5022" i="1" s="1"/>
  <c r="B5023" i="1"/>
  <c r="M5022" i="1" a="1"/>
  <c r="M5022" i="1" s="1"/>
  <c r="P5022" i="1" a="1"/>
  <c r="P5022" i="1" s="1"/>
  <c r="C4882" i="1"/>
  <c r="I4882" i="1" s="1" a="1"/>
  <c r="I4882" i="1" s="1"/>
  <c r="L4881" i="1" a="1"/>
  <c r="L4881" i="1" s="1"/>
  <c r="H4881" i="1"/>
  <c r="K4882" i="1" l="1" a="1"/>
  <c r="K4882" i="1" s="1"/>
  <c r="O4882" i="1" a="1"/>
  <c r="O4882" i="1" s="1"/>
  <c r="J4882" i="1" a="1"/>
  <c r="J4882" i="1" s="1"/>
  <c r="Q4882" i="1" a="1"/>
  <c r="Q4882" i="1" s="1"/>
  <c r="P5023" i="1" a="1"/>
  <c r="P5023" i="1" s="1"/>
  <c r="B5024" i="1"/>
  <c r="M5023" i="1" a="1"/>
  <c r="M5023" i="1" s="1"/>
  <c r="N5023" i="1" a="1"/>
  <c r="N5023" i="1" s="1"/>
  <c r="C4883" i="1"/>
  <c r="I4883" i="1" s="1" a="1"/>
  <c r="I4883" i="1" s="1"/>
  <c r="L4882" i="1" a="1"/>
  <c r="L4882" i="1" s="1"/>
  <c r="H4882" i="1"/>
  <c r="K4883" i="1" l="1" a="1"/>
  <c r="K4883" i="1" s="1"/>
  <c r="O4883" i="1" a="1"/>
  <c r="O4883" i="1" s="1"/>
  <c r="J4883" i="1" a="1"/>
  <c r="J4883" i="1" s="1"/>
  <c r="Q4883" i="1" a="1"/>
  <c r="Q4883" i="1" s="1"/>
  <c r="M5024" i="1" a="1"/>
  <c r="M5024" i="1" s="1"/>
  <c r="N5024" i="1" a="1"/>
  <c r="N5024" i="1" s="1"/>
  <c r="P5024" i="1" a="1"/>
  <c r="P5024" i="1" s="1"/>
  <c r="B5025" i="1"/>
  <c r="C4884" i="1"/>
  <c r="I4884" i="1" s="1" a="1"/>
  <c r="I4884" i="1" s="1"/>
  <c r="L4883" i="1" a="1"/>
  <c r="L4883" i="1" s="1"/>
  <c r="H4883" i="1"/>
  <c r="K4884" i="1" l="1" a="1"/>
  <c r="K4884" i="1" s="1"/>
  <c r="O4884" i="1" a="1"/>
  <c r="O4884" i="1" s="1"/>
  <c r="J4884" i="1" a="1"/>
  <c r="J4884" i="1" s="1"/>
  <c r="Q4884" i="1" a="1"/>
  <c r="Q4884" i="1" s="1"/>
  <c r="N5025" i="1" a="1"/>
  <c r="N5025" i="1" s="1"/>
  <c r="P5025" i="1" a="1"/>
  <c r="P5025" i="1" s="1"/>
  <c r="B5026" i="1"/>
  <c r="M5025" i="1" a="1"/>
  <c r="M5025" i="1" s="1"/>
  <c r="C4885" i="1"/>
  <c r="I4885" i="1" s="1" a="1"/>
  <c r="I4885" i="1" s="1"/>
  <c r="L4884" i="1" a="1"/>
  <c r="L4884" i="1" s="1"/>
  <c r="H4884" i="1"/>
  <c r="K4885" i="1" l="1" a="1"/>
  <c r="K4885" i="1" s="1"/>
  <c r="O4885" i="1" a="1"/>
  <c r="O4885" i="1" s="1"/>
  <c r="J4885" i="1" a="1"/>
  <c r="J4885" i="1" s="1"/>
  <c r="Q4885" i="1" a="1"/>
  <c r="Q4885" i="1" s="1"/>
  <c r="B5027" i="1"/>
  <c r="M5026" i="1" a="1"/>
  <c r="M5026" i="1" s="1"/>
  <c r="N5026" i="1" a="1"/>
  <c r="N5026" i="1" s="1"/>
  <c r="P5026" i="1" a="1"/>
  <c r="P5026" i="1" s="1"/>
  <c r="C4886" i="1"/>
  <c r="I4886" i="1" s="1" a="1"/>
  <c r="I4886" i="1" s="1"/>
  <c r="L4885" i="1" a="1"/>
  <c r="L4885" i="1" s="1"/>
  <c r="H4885" i="1"/>
  <c r="K4886" i="1" l="1" a="1"/>
  <c r="K4886" i="1" s="1"/>
  <c r="O4886" i="1" a="1"/>
  <c r="O4886" i="1" s="1"/>
  <c r="J4886" i="1" a="1"/>
  <c r="J4886" i="1" s="1"/>
  <c r="Q4886" i="1" a="1"/>
  <c r="Q4886" i="1" s="1"/>
  <c r="M5027" i="1" a="1"/>
  <c r="M5027" i="1" s="1"/>
  <c r="N5027" i="1" a="1"/>
  <c r="N5027" i="1" s="1"/>
  <c r="P5027" i="1" a="1"/>
  <c r="P5027" i="1" s="1"/>
  <c r="C4887" i="1"/>
  <c r="I4887" i="1" s="1" a="1"/>
  <c r="I4887" i="1" s="1"/>
  <c r="H4886" i="1"/>
  <c r="L4886" i="1" a="1"/>
  <c r="L4886" i="1" s="1"/>
  <c r="K4887" i="1" l="1" a="1"/>
  <c r="K4887" i="1" s="1"/>
  <c r="O4887" i="1" a="1"/>
  <c r="O4887" i="1" s="1"/>
  <c r="J4887" i="1" a="1"/>
  <c r="J4887" i="1" s="1"/>
  <c r="Q4887" i="1" a="1"/>
  <c r="Q4887" i="1" s="1"/>
  <c r="C4888" i="1"/>
  <c r="I4888" i="1" s="1" a="1"/>
  <c r="I4888" i="1" s="1"/>
  <c r="L4887" i="1" a="1"/>
  <c r="L4887" i="1" s="1"/>
  <c r="H4887" i="1"/>
  <c r="K4888" i="1" l="1" a="1"/>
  <c r="K4888" i="1" s="1"/>
  <c r="O4888" i="1" a="1"/>
  <c r="O4888" i="1" s="1"/>
  <c r="J4888" i="1" a="1"/>
  <c r="J4888" i="1" s="1"/>
  <c r="Q4888" i="1" a="1"/>
  <c r="Q4888" i="1" s="1"/>
  <c r="C4889" i="1"/>
  <c r="I4889" i="1" s="1" a="1"/>
  <c r="I4889" i="1" s="1"/>
  <c r="L4888" i="1" a="1"/>
  <c r="L4888" i="1" s="1"/>
  <c r="H4888" i="1"/>
  <c r="K4889" i="1" l="1" a="1"/>
  <c r="K4889" i="1" s="1"/>
  <c r="O4889" i="1" a="1"/>
  <c r="O4889" i="1" s="1"/>
  <c r="J4889" i="1" a="1"/>
  <c r="J4889" i="1" s="1"/>
  <c r="Q4889" i="1" a="1"/>
  <c r="Q4889" i="1" s="1"/>
  <c r="C4890" i="1"/>
  <c r="I4890" i="1" s="1" a="1"/>
  <c r="I4890" i="1" s="1"/>
  <c r="L4889" i="1" a="1"/>
  <c r="L4889" i="1" s="1"/>
  <c r="H4889" i="1"/>
  <c r="K4890" i="1" l="1" a="1"/>
  <c r="K4890" i="1" s="1"/>
  <c r="O4890" i="1" a="1"/>
  <c r="O4890" i="1" s="1"/>
  <c r="J4890" i="1" a="1"/>
  <c r="J4890" i="1" s="1"/>
  <c r="Q4890" i="1" a="1"/>
  <c r="Q4890" i="1" s="1"/>
  <c r="C4891" i="1"/>
  <c r="I4891" i="1" s="1" a="1"/>
  <c r="I4891" i="1" s="1"/>
  <c r="L4890" i="1" a="1"/>
  <c r="L4890" i="1" s="1"/>
  <c r="H4890" i="1"/>
  <c r="K4891" i="1" l="1" a="1"/>
  <c r="K4891" i="1" s="1"/>
  <c r="O4891" i="1" a="1"/>
  <c r="O4891" i="1" s="1"/>
  <c r="J4891" i="1" a="1"/>
  <c r="J4891" i="1" s="1"/>
  <c r="Q4891" i="1" a="1"/>
  <c r="Q4891" i="1" s="1"/>
  <c r="C4892" i="1"/>
  <c r="I4892" i="1" s="1" a="1"/>
  <c r="I4892" i="1" s="1"/>
  <c r="L4891" i="1" a="1"/>
  <c r="L4891" i="1" s="1"/>
  <c r="H4891" i="1"/>
  <c r="K4892" i="1" l="1" a="1"/>
  <c r="K4892" i="1" s="1"/>
  <c r="O4892" i="1" a="1"/>
  <c r="O4892" i="1" s="1"/>
  <c r="J4892" i="1" a="1"/>
  <c r="J4892" i="1" s="1"/>
  <c r="Q4892" i="1" a="1"/>
  <c r="Q4892" i="1" s="1"/>
  <c r="C4893" i="1"/>
  <c r="I4893" i="1" s="1" a="1"/>
  <c r="I4893" i="1" s="1"/>
  <c r="L4892" i="1" a="1"/>
  <c r="L4892" i="1" s="1"/>
  <c r="H4892" i="1"/>
  <c r="K4893" i="1" l="1" a="1"/>
  <c r="K4893" i="1" s="1"/>
  <c r="O4893" i="1" a="1"/>
  <c r="O4893" i="1" s="1"/>
  <c r="J4893" i="1" a="1"/>
  <c r="J4893" i="1" s="1"/>
  <c r="Q4893" i="1" a="1"/>
  <c r="Q4893" i="1" s="1"/>
  <c r="C4894" i="1"/>
  <c r="I4894" i="1" s="1" a="1"/>
  <c r="I4894" i="1" s="1"/>
  <c r="H4893" i="1"/>
  <c r="L4893" i="1" a="1"/>
  <c r="L4893" i="1" s="1"/>
  <c r="K4894" i="1" l="1" a="1"/>
  <c r="K4894" i="1" s="1"/>
  <c r="O4894" i="1" a="1"/>
  <c r="O4894" i="1" s="1"/>
  <c r="J4894" i="1" a="1"/>
  <c r="J4894" i="1" s="1"/>
  <c r="Q4894" i="1" a="1"/>
  <c r="Q4894" i="1" s="1"/>
  <c r="C4895" i="1"/>
  <c r="I4895" i="1" s="1" a="1"/>
  <c r="I4895" i="1" s="1"/>
  <c r="L4894" i="1" a="1"/>
  <c r="L4894" i="1" s="1"/>
  <c r="H4894" i="1"/>
  <c r="K4895" i="1" l="1" a="1"/>
  <c r="K4895" i="1" s="1"/>
  <c r="O4895" i="1" a="1"/>
  <c r="O4895" i="1" s="1"/>
  <c r="J4895" i="1" a="1"/>
  <c r="J4895" i="1" s="1"/>
  <c r="Q4895" i="1" a="1"/>
  <c r="Q4895" i="1" s="1"/>
  <c r="C4896" i="1"/>
  <c r="I4896" i="1" s="1" a="1"/>
  <c r="I4896" i="1" s="1"/>
  <c r="H4895" i="1"/>
  <c r="L4895" i="1" a="1"/>
  <c r="L4895" i="1" s="1"/>
  <c r="K4896" i="1" l="1" a="1"/>
  <c r="K4896" i="1" s="1"/>
  <c r="O4896" i="1" a="1"/>
  <c r="O4896" i="1" s="1"/>
  <c r="J4896" i="1" a="1"/>
  <c r="J4896" i="1" s="1"/>
  <c r="Q4896" i="1" a="1"/>
  <c r="Q4896" i="1" s="1"/>
  <c r="C4897" i="1"/>
  <c r="I4897" i="1" s="1" a="1"/>
  <c r="I4897" i="1" s="1"/>
  <c r="L4896" i="1" a="1"/>
  <c r="L4896" i="1" s="1"/>
  <c r="H4896" i="1"/>
  <c r="K4897" i="1" l="1" a="1"/>
  <c r="K4897" i="1" s="1"/>
  <c r="O4897" i="1" a="1"/>
  <c r="O4897" i="1" s="1"/>
  <c r="J4897" i="1" a="1"/>
  <c r="J4897" i="1" s="1"/>
  <c r="Q4897" i="1" a="1"/>
  <c r="Q4897" i="1" s="1"/>
  <c r="C4898" i="1"/>
  <c r="I4898" i="1" s="1" a="1"/>
  <c r="I4898" i="1" s="1"/>
  <c r="L4897" i="1" a="1"/>
  <c r="L4897" i="1" s="1"/>
  <c r="H4897" i="1"/>
  <c r="K4898" i="1" l="1" a="1"/>
  <c r="K4898" i="1" s="1"/>
  <c r="O4898" i="1" a="1"/>
  <c r="O4898" i="1" s="1"/>
  <c r="J4898" i="1" a="1"/>
  <c r="J4898" i="1" s="1"/>
  <c r="Q4898" i="1" a="1"/>
  <c r="Q4898" i="1" s="1"/>
  <c r="C4899" i="1"/>
  <c r="I4899" i="1" s="1" a="1"/>
  <c r="I4899" i="1" s="1"/>
  <c r="L4898" i="1" a="1"/>
  <c r="L4898" i="1" s="1"/>
  <c r="H4898" i="1"/>
  <c r="K4899" i="1" l="1" a="1"/>
  <c r="K4899" i="1" s="1"/>
  <c r="O4899" i="1" a="1"/>
  <c r="O4899" i="1" s="1"/>
  <c r="J4899" i="1" a="1"/>
  <c r="J4899" i="1" s="1"/>
  <c r="Q4899" i="1" a="1"/>
  <c r="Q4899" i="1" s="1"/>
  <c r="C4900" i="1"/>
  <c r="I4900" i="1" s="1" a="1"/>
  <c r="I4900" i="1" s="1"/>
  <c r="L4899" i="1" a="1"/>
  <c r="L4899" i="1" s="1"/>
  <c r="H4899" i="1"/>
  <c r="K4900" i="1" l="1" a="1"/>
  <c r="K4900" i="1" s="1"/>
  <c r="O4900" i="1" a="1"/>
  <c r="O4900" i="1" s="1"/>
  <c r="J4900" i="1" a="1"/>
  <c r="J4900" i="1" s="1"/>
  <c r="Q4900" i="1" a="1"/>
  <c r="Q4900" i="1" s="1"/>
  <c r="C4901" i="1"/>
  <c r="I4901" i="1" s="1" a="1"/>
  <c r="I4901" i="1" s="1"/>
  <c r="L4900" i="1" a="1"/>
  <c r="L4900" i="1" s="1"/>
  <c r="H4900" i="1"/>
  <c r="K4901" i="1" l="1" a="1"/>
  <c r="K4901" i="1" s="1"/>
  <c r="O4901" i="1" a="1"/>
  <c r="O4901" i="1" s="1"/>
  <c r="J4901" i="1" a="1"/>
  <c r="J4901" i="1" s="1"/>
  <c r="Q4901" i="1" a="1"/>
  <c r="Q4901" i="1" s="1"/>
  <c r="C4902" i="1"/>
  <c r="I4902" i="1" s="1" a="1"/>
  <c r="I4902" i="1" s="1"/>
  <c r="H4901" i="1"/>
  <c r="L4901" i="1" a="1"/>
  <c r="L4901" i="1" s="1"/>
  <c r="K4902" i="1" l="1" a="1"/>
  <c r="K4902" i="1" s="1"/>
  <c r="O4902" i="1" a="1"/>
  <c r="O4902" i="1" s="1"/>
  <c r="J4902" i="1" a="1"/>
  <c r="J4902" i="1" s="1"/>
  <c r="Q4902" i="1" a="1"/>
  <c r="Q4902" i="1" s="1"/>
  <c r="C4903" i="1"/>
  <c r="I4903" i="1" s="1" a="1"/>
  <c r="I4903" i="1" s="1"/>
  <c r="L4902" i="1" a="1"/>
  <c r="L4902" i="1" s="1"/>
  <c r="H4902" i="1"/>
  <c r="K4903" i="1" l="1" a="1"/>
  <c r="K4903" i="1" s="1"/>
  <c r="O4903" i="1" a="1"/>
  <c r="O4903" i="1" s="1"/>
  <c r="J4903" i="1" a="1"/>
  <c r="J4903" i="1" s="1"/>
  <c r="Q4903" i="1" a="1"/>
  <c r="Q4903" i="1" s="1"/>
  <c r="C4904" i="1"/>
  <c r="I4904" i="1" s="1" a="1"/>
  <c r="I4904" i="1" s="1"/>
  <c r="L4903" i="1" a="1"/>
  <c r="L4903" i="1" s="1"/>
  <c r="H4903" i="1"/>
  <c r="K4904" i="1" l="1" a="1"/>
  <c r="K4904" i="1" s="1"/>
  <c r="O4904" i="1" a="1"/>
  <c r="O4904" i="1" s="1"/>
  <c r="J4904" i="1" a="1"/>
  <c r="J4904" i="1" s="1"/>
  <c r="Q4904" i="1" a="1"/>
  <c r="Q4904" i="1" s="1"/>
  <c r="C4905" i="1"/>
  <c r="I4905" i="1" s="1" a="1"/>
  <c r="I4905" i="1" s="1"/>
  <c r="L4904" i="1" a="1"/>
  <c r="L4904" i="1" s="1"/>
  <c r="H4904" i="1"/>
  <c r="K4905" i="1" l="1" a="1"/>
  <c r="K4905" i="1" s="1"/>
  <c r="O4905" i="1" a="1"/>
  <c r="O4905" i="1" s="1"/>
  <c r="J4905" i="1" a="1"/>
  <c r="J4905" i="1" s="1"/>
  <c r="Q4905" i="1" a="1"/>
  <c r="Q4905" i="1" s="1"/>
  <c r="C4906" i="1"/>
  <c r="I4906" i="1" s="1" a="1"/>
  <c r="I4906" i="1" s="1"/>
  <c r="L4905" i="1" a="1"/>
  <c r="L4905" i="1" s="1"/>
  <c r="H4905" i="1"/>
  <c r="K4906" i="1" l="1" a="1"/>
  <c r="K4906" i="1" s="1"/>
  <c r="O4906" i="1" a="1"/>
  <c r="O4906" i="1" s="1"/>
  <c r="J4906" i="1" a="1"/>
  <c r="J4906" i="1" s="1"/>
  <c r="Q4906" i="1" a="1"/>
  <c r="Q4906" i="1" s="1"/>
  <c r="C4907" i="1"/>
  <c r="I4907" i="1" s="1" a="1"/>
  <c r="I4907" i="1" s="1"/>
  <c r="L4906" i="1" a="1"/>
  <c r="L4906" i="1" s="1"/>
  <c r="H4906" i="1"/>
  <c r="K4907" i="1" l="1" a="1"/>
  <c r="K4907" i="1" s="1"/>
  <c r="O4907" i="1" a="1"/>
  <c r="O4907" i="1" s="1"/>
  <c r="J4907" i="1" a="1"/>
  <c r="J4907" i="1" s="1"/>
  <c r="Q4907" i="1" a="1"/>
  <c r="Q4907" i="1" s="1"/>
  <c r="C4908" i="1"/>
  <c r="I4908" i="1" s="1" a="1"/>
  <c r="I4908" i="1" s="1"/>
  <c r="L4907" i="1" a="1"/>
  <c r="L4907" i="1" s="1"/>
  <c r="H4907" i="1"/>
  <c r="K4908" i="1" l="1" a="1"/>
  <c r="K4908" i="1" s="1"/>
  <c r="O4908" i="1" a="1"/>
  <c r="O4908" i="1" s="1"/>
  <c r="J4908" i="1" a="1"/>
  <c r="J4908" i="1" s="1"/>
  <c r="Q4908" i="1" a="1"/>
  <c r="Q4908" i="1" s="1"/>
  <c r="C4909" i="1"/>
  <c r="I4909" i="1" s="1" a="1"/>
  <c r="I4909" i="1" s="1"/>
  <c r="L4908" i="1" a="1"/>
  <c r="L4908" i="1" s="1"/>
  <c r="H4908" i="1"/>
  <c r="K4909" i="1" l="1" a="1"/>
  <c r="K4909" i="1" s="1"/>
  <c r="O4909" i="1" a="1"/>
  <c r="O4909" i="1" s="1"/>
  <c r="J4909" i="1" a="1"/>
  <c r="J4909" i="1" s="1"/>
  <c r="Q4909" i="1" a="1"/>
  <c r="Q4909" i="1" s="1"/>
  <c r="C4910" i="1"/>
  <c r="I4910" i="1" s="1" a="1"/>
  <c r="I4910" i="1" s="1"/>
  <c r="L4909" i="1" a="1"/>
  <c r="L4909" i="1" s="1"/>
  <c r="H4909" i="1"/>
  <c r="K4910" i="1" l="1" a="1"/>
  <c r="K4910" i="1" s="1"/>
  <c r="O4910" i="1" a="1"/>
  <c r="O4910" i="1" s="1"/>
  <c r="J4910" i="1" a="1"/>
  <c r="J4910" i="1" s="1"/>
  <c r="Q4910" i="1" a="1"/>
  <c r="Q4910" i="1" s="1"/>
  <c r="C4911" i="1"/>
  <c r="I4911" i="1" s="1" a="1"/>
  <c r="I4911" i="1" s="1"/>
  <c r="L4910" i="1" a="1"/>
  <c r="L4910" i="1" s="1"/>
  <c r="H4910" i="1"/>
  <c r="K4911" i="1" l="1" a="1"/>
  <c r="K4911" i="1" s="1"/>
  <c r="O4911" i="1" a="1"/>
  <c r="O4911" i="1" s="1"/>
  <c r="J4911" i="1" a="1"/>
  <c r="J4911" i="1" s="1"/>
  <c r="Q4911" i="1" a="1"/>
  <c r="Q4911" i="1" s="1"/>
  <c r="C4912" i="1"/>
  <c r="I4912" i="1" s="1" a="1"/>
  <c r="I4912" i="1" s="1"/>
  <c r="H4911" i="1"/>
  <c r="L4911" i="1" a="1"/>
  <c r="L4911" i="1" s="1"/>
  <c r="K4912" i="1" l="1" a="1"/>
  <c r="K4912" i="1" s="1"/>
  <c r="O4912" i="1" a="1"/>
  <c r="O4912" i="1" s="1"/>
  <c r="J4912" i="1" a="1"/>
  <c r="J4912" i="1" s="1"/>
  <c r="Q4912" i="1" a="1"/>
  <c r="Q4912" i="1" s="1"/>
  <c r="C4913" i="1"/>
  <c r="I4913" i="1" s="1" a="1"/>
  <c r="I4913" i="1" s="1"/>
  <c r="H4912" i="1"/>
  <c r="L4912" i="1" a="1"/>
  <c r="L4912" i="1" s="1"/>
  <c r="K4913" i="1" l="1" a="1"/>
  <c r="K4913" i="1" s="1"/>
  <c r="O4913" i="1" a="1"/>
  <c r="O4913" i="1" s="1"/>
  <c r="J4913" i="1" a="1"/>
  <c r="J4913" i="1" s="1"/>
  <c r="Q4913" i="1" a="1"/>
  <c r="Q4913" i="1" s="1"/>
  <c r="C4914" i="1"/>
  <c r="I4914" i="1" s="1" a="1"/>
  <c r="I4914" i="1" s="1"/>
  <c r="L4913" i="1" a="1"/>
  <c r="L4913" i="1" s="1"/>
  <c r="H4913" i="1"/>
  <c r="K4914" i="1" l="1" a="1"/>
  <c r="K4914" i="1" s="1"/>
  <c r="O4914" i="1" a="1"/>
  <c r="O4914" i="1" s="1"/>
  <c r="J4914" i="1" a="1"/>
  <c r="J4914" i="1" s="1"/>
  <c r="Q4914" i="1" a="1"/>
  <c r="Q4914" i="1" s="1"/>
  <c r="C4915" i="1"/>
  <c r="I4915" i="1" s="1" a="1"/>
  <c r="I4915" i="1" s="1"/>
  <c r="L4914" i="1" a="1"/>
  <c r="L4914" i="1" s="1"/>
  <c r="H4914" i="1"/>
  <c r="K4915" i="1" l="1" a="1"/>
  <c r="K4915" i="1" s="1"/>
  <c r="O4915" i="1" a="1"/>
  <c r="O4915" i="1" s="1"/>
  <c r="J4915" i="1" a="1"/>
  <c r="J4915" i="1" s="1"/>
  <c r="Q4915" i="1" a="1"/>
  <c r="Q4915" i="1" s="1"/>
  <c r="C4916" i="1"/>
  <c r="I4916" i="1" s="1" a="1"/>
  <c r="I4916" i="1" s="1"/>
  <c r="H4915" i="1"/>
  <c r="L4915" i="1" a="1"/>
  <c r="L4915" i="1" s="1"/>
  <c r="K4916" i="1" l="1" a="1"/>
  <c r="K4916" i="1" s="1"/>
  <c r="O4916" i="1" a="1"/>
  <c r="O4916" i="1" s="1"/>
  <c r="J4916" i="1" a="1"/>
  <c r="J4916" i="1" s="1"/>
  <c r="Q4916" i="1" a="1"/>
  <c r="Q4916" i="1" s="1"/>
  <c r="C4917" i="1"/>
  <c r="I4917" i="1" s="1" a="1"/>
  <c r="I4917" i="1" s="1"/>
  <c r="L4916" i="1" a="1"/>
  <c r="L4916" i="1" s="1"/>
  <c r="H4916" i="1"/>
  <c r="K4917" i="1" l="1" a="1"/>
  <c r="K4917" i="1" s="1"/>
  <c r="O4917" i="1" a="1"/>
  <c r="O4917" i="1" s="1"/>
  <c r="J4917" i="1" a="1"/>
  <c r="J4917" i="1" s="1"/>
  <c r="Q4917" i="1" a="1"/>
  <c r="Q4917" i="1" s="1"/>
  <c r="C4918" i="1"/>
  <c r="I4918" i="1" s="1" a="1"/>
  <c r="I4918" i="1" s="1"/>
  <c r="L4917" i="1" a="1"/>
  <c r="L4917" i="1" s="1"/>
  <c r="H4917" i="1"/>
  <c r="K4918" i="1" l="1" a="1"/>
  <c r="K4918" i="1" s="1"/>
  <c r="O4918" i="1" a="1"/>
  <c r="O4918" i="1" s="1"/>
  <c r="J4918" i="1" a="1"/>
  <c r="J4918" i="1" s="1"/>
  <c r="Q4918" i="1" a="1"/>
  <c r="Q4918" i="1" s="1"/>
  <c r="C4919" i="1"/>
  <c r="I4919" i="1" s="1" a="1"/>
  <c r="I4919" i="1" s="1"/>
  <c r="L4918" i="1" a="1"/>
  <c r="L4918" i="1" s="1"/>
  <c r="H4918" i="1"/>
  <c r="K4919" i="1" l="1" a="1"/>
  <c r="K4919" i="1" s="1"/>
  <c r="O4919" i="1" a="1"/>
  <c r="O4919" i="1" s="1"/>
  <c r="J4919" i="1" a="1"/>
  <c r="J4919" i="1" s="1"/>
  <c r="Q4919" i="1" a="1"/>
  <c r="Q4919" i="1" s="1"/>
  <c r="C4920" i="1"/>
  <c r="I4920" i="1" s="1" a="1"/>
  <c r="I4920" i="1" s="1"/>
  <c r="L4919" i="1" a="1"/>
  <c r="L4919" i="1" s="1"/>
  <c r="H4919" i="1"/>
  <c r="K4920" i="1" l="1" a="1"/>
  <c r="K4920" i="1" s="1"/>
  <c r="O4920" i="1" a="1"/>
  <c r="O4920" i="1" s="1"/>
  <c r="J4920" i="1" a="1"/>
  <c r="J4920" i="1" s="1"/>
  <c r="Q4920" i="1" a="1"/>
  <c r="Q4920" i="1" s="1"/>
  <c r="C4921" i="1"/>
  <c r="I4921" i="1" s="1" a="1"/>
  <c r="I4921" i="1" s="1"/>
  <c r="L4920" i="1" a="1"/>
  <c r="L4920" i="1" s="1"/>
  <c r="H4920" i="1"/>
  <c r="K4921" i="1" l="1" a="1"/>
  <c r="K4921" i="1" s="1"/>
  <c r="O4921" i="1" a="1"/>
  <c r="O4921" i="1" s="1"/>
  <c r="J4921" i="1" a="1"/>
  <c r="J4921" i="1" s="1"/>
  <c r="Q4921" i="1" a="1"/>
  <c r="Q4921" i="1" s="1"/>
  <c r="C4922" i="1"/>
  <c r="I4922" i="1" s="1" a="1"/>
  <c r="I4922" i="1" s="1"/>
  <c r="H4921" i="1"/>
  <c r="L4921" i="1" a="1"/>
  <c r="L4921" i="1" s="1"/>
  <c r="K4922" i="1" l="1" a="1"/>
  <c r="K4922" i="1" s="1"/>
  <c r="O4922" i="1" a="1"/>
  <c r="O4922" i="1" s="1"/>
  <c r="J4922" i="1" a="1"/>
  <c r="J4922" i="1" s="1"/>
  <c r="Q4922" i="1" a="1"/>
  <c r="Q4922" i="1" s="1"/>
  <c r="C4923" i="1"/>
  <c r="I4923" i="1" s="1" a="1"/>
  <c r="I4923" i="1" s="1"/>
  <c r="L4922" i="1" a="1"/>
  <c r="L4922" i="1" s="1"/>
  <c r="H4922" i="1"/>
  <c r="K4923" i="1" l="1" a="1"/>
  <c r="K4923" i="1" s="1"/>
  <c r="O4923" i="1" a="1"/>
  <c r="O4923" i="1" s="1"/>
  <c r="J4923" i="1" a="1"/>
  <c r="J4923" i="1" s="1"/>
  <c r="Q4923" i="1" a="1"/>
  <c r="Q4923" i="1" s="1"/>
  <c r="C4924" i="1"/>
  <c r="I4924" i="1" s="1" a="1"/>
  <c r="I4924" i="1" s="1"/>
  <c r="L4923" i="1" a="1"/>
  <c r="L4923" i="1" s="1"/>
  <c r="H4923" i="1"/>
  <c r="K4924" i="1" l="1" a="1"/>
  <c r="K4924" i="1" s="1"/>
  <c r="O4924" i="1" a="1"/>
  <c r="O4924" i="1" s="1"/>
  <c r="J4924" i="1" a="1"/>
  <c r="J4924" i="1" s="1"/>
  <c r="Q4924" i="1" a="1"/>
  <c r="Q4924" i="1" s="1"/>
  <c r="C4925" i="1"/>
  <c r="I4925" i="1" s="1" a="1"/>
  <c r="I4925" i="1" s="1"/>
  <c r="H4924" i="1"/>
  <c r="L4924" i="1" a="1"/>
  <c r="L4924" i="1" s="1"/>
  <c r="K4925" i="1" l="1" a="1"/>
  <c r="K4925" i="1" s="1"/>
  <c r="O4925" i="1" a="1"/>
  <c r="O4925" i="1" s="1"/>
  <c r="J4925" i="1" a="1"/>
  <c r="J4925" i="1" s="1"/>
  <c r="Q4925" i="1" a="1"/>
  <c r="Q4925" i="1" s="1"/>
  <c r="C4926" i="1"/>
  <c r="I4926" i="1" s="1" a="1"/>
  <c r="I4926" i="1" s="1"/>
  <c r="L4925" i="1" a="1"/>
  <c r="L4925" i="1" s="1"/>
  <c r="H4925" i="1"/>
  <c r="K4926" i="1" l="1" a="1"/>
  <c r="K4926" i="1" s="1"/>
  <c r="O4926" i="1" a="1"/>
  <c r="O4926" i="1" s="1"/>
  <c r="J4926" i="1" a="1"/>
  <c r="J4926" i="1" s="1"/>
  <c r="Q4926" i="1" a="1"/>
  <c r="Q4926" i="1" s="1"/>
  <c r="C4927" i="1"/>
  <c r="I4927" i="1" s="1" a="1"/>
  <c r="I4927" i="1" s="1"/>
  <c r="H4926" i="1"/>
  <c r="L4926" i="1" a="1"/>
  <c r="L4926" i="1" s="1"/>
  <c r="K4927" i="1" l="1" a="1"/>
  <c r="K4927" i="1" s="1"/>
  <c r="O4927" i="1" a="1"/>
  <c r="O4927" i="1" s="1"/>
  <c r="J4927" i="1" a="1"/>
  <c r="J4927" i="1" s="1"/>
  <c r="Q4927" i="1" a="1"/>
  <c r="Q4927" i="1" s="1"/>
  <c r="C4928" i="1"/>
  <c r="I4928" i="1" s="1" a="1"/>
  <c r="I4928" i="1" s="1"/>
  <c r="L4927" i="1" a="1"/>
  <c r="L4927" i="1" s="1"/>
  <c r="H4927" i="1"/>
  <c r="K4928" i="1" l="1" a="1"/>
  <c r="K4928" i="1" s="1"/>
  <c r="O4928" i="1" a="1"/>
  <c r="O4928" i="1" s="1"/>
  <c r="J4928" i="1" a="1"/>
  <c r="J4928" i="1" s="1"/>
  <c r="Q4928" i="1" a="1"/>
  <c r="Q4928" i="1" s="1"/>
  <c r="C4929" i="1"/>
  <c r="I4929" i="1" s="1" a="1"/>
  <c r="I4929" i="1" s="1"/>
  <c r="L4928" i="1" a="1"/>
  <c r="L4928" i="1" s="1"/>
  <c r="H4928" i="1"/>
  <c r="K4929" i="1" l="1" a="1"/>
  <c r="K4929" i="1" s="1"/>
  <c r="O4929" i="1" a="1"/>
  <c r="O4929" i="1" s="1"/>
  <c r="J4929" i="1" a="1"/>
  <c r="J4929" i="1" s="1"/>
  <c r="Q4929" i="1" a="1"/>
  <c r="Q4929" i="1" s="1"/>
  <c r="C4930" i="1"/>
  <c r="I4930" i="1" s="1" a="1"/>
  <c r="I4930" i="1" s="1"/>
  <c r="H4929" i="1"/>
  <c r="L4929" i="1" a="1"/>
  <c r="L4929" i="1" s="1"/>
  <c r="K4930" i="1" l="1" a="1"/>
  <c r="K4930" i="1" s="1"/>
  <c r="O4930" i="1" a="1"/>
  <c r="O4930" i="1" s="1"/>
  <c r="J4930" i="1" a="1"/>
  <c r="J4930" i="1" s="1"/>
  <c r="Q4930" i="1" a="1"/>
  <c r="Q4930" i="1" s="1"/>
  <c r="C4931" i="1"/>
  <c r="I4931" i="1" s="1" a="1"/>
  <c r="I4931" i="1" s="1"/>
  <c r="H4930" i="1"/>
  <c r="L4930" i="1" a="1"/>
  <c r="L4930" i="1" s="1"/>
  <c r="K4931" i="1" l="1" a="1"/>
  <c r="K4931" i="1" s="1"/>
  <c r="O4931" i="1" a="1"/>
  <c r="O4931" i="1" s="1"/>
  <c r="J4931" i="1" a="1"/>
  <c r="J4931" i="1" s="1"/>
  <c r="Q4931" i="1" a="1"/>
  <c r="Q4931" i="1" s="1"/>
  <c r="C4932" i="1"/>
  <c r="I4932" i="1" s="1" a="1"/>
  <c r="I4932" i="1" s="1"/>
  <c r="L4931" i="1" a="1"/>
  <c r="L4931" i="1" s="1"/>
  <c r="H4931" i="1"/>
  <c r="K4932" i="1" l="1" a="1"/>
  <c r="K4932" i="1" s="1"/>
  <c r="O4932" i="1" a="1"/>
  <c r="O4932" i="1" s="1"/>
  <c r="J4932" i="1" a="1"/>
  <c r="J4932" i="1" s="1"/>
  <c r="Q4932" i="1" a="1"/>
  <c r="Q4932" i="1" s="1"/>
  <c r="C4933" i="1"/>
  <c r="I4933" i="1" s="1" a="1"/>
  <c r="I4933" i="1" s="1"/>
  <c r="L4932" i="1" a="1"/>
  <c r="L4932" i="1" s="1"/>
  <c r="H4932" i="1"/>
  <c r="K4933" i="1" l="1" a="1"/>
  <c r="K4933" i="1" s="1"/>
  <c r="O4933" i="1" a="1"/>
  <c r="O4933" i="1" s="1"/>
  <c r="J4933" i="1" a="1"/>
  <c r="J4933" i="1" s="1"/>
  <c r="Q4933" i="1" a="1"/>
  <c r="Q4933" i="1" s="1"/>
  <c r="C4934" i="1"/>
  <c r="I4934" i="1" s="1" a="1"/>
  <c r="I4934" i="1" s="1"/>
  <c r="L4933" i="1" a="1"/>
  <c r="L4933" i="1" s="1"/>
  <c r="H4933" i="1"/>
  <c r="K4934" i="1" l="1" a="1"/>
  <c r="K4934" i="1" s="1"/>
  <c r="O4934" i="1" a="1"/>
  <c r="O4934" i="1" s="1"/>
  <c r="J4934" i="1" a="1"/>
  <c r="J4934" i="1" s="1"/>
  <c r="Q4934" i="1" a="1"/>
  <c r="Q4934" i="1" s="1"/>
  <c r="C4935" i="1"/>
  <c r="I4935" i="1" s="1" a="1"/>
  <c r="I4935" i="1" s="1"/>
  <c r="H4934" i="1"/>
  <c r="L4934" i="1" a="1"/>
  <c r="L4934" i="1" s="1"/>
  <c r="K4935" i="1" l="1" a="1"/>
  <c r="K4935" i="1" s="1"/>
  <c r="O4935" i="1" a="1"/>
  <c r="O4935" i="1" s="1"/>
  <c r="J4935" i="1" a="1"/>
  <c r="J4935" i="1" s="1"/>
  <c r="Q4935" i="1" a="1"/>
  <c r="Q4935" i="1" s="1"/>
  <c r="C4936" i="1"/>
  <c r="I4936" i="1" s="1" a="1"/>
  <c r="I4936" i="1" s="1"/>
  <c r="L4935" i="1" a="1"/>
  <c r="L4935" i="1" s="1"/>
  <c r="H4935" i="1"/>
  <c r="K4936" i="1" l="1" a="1"/>
  <c r="K4936" i="1" s="1"/>
  <c r="O4936" i="1" a="1"/>
  <c r="O4936" i="1" s="1"/>
  <c r="J4936" i="1" a="1"/>
  <c r="J4936" i="1" s="1"/>
  <c r="Q4936" i="1" a="1"/>
  <c r="Q4936" i="1" s="1"/>
  <c r="C4937" i="1"/>
  <c r="I4937" i="1" s="1" a="1"/>
  <c r="I4937" i="1" s="1"/>
  <c r="L4936" i="1" a="1"/>
  <c r="L4936" i="1" s="1"/>
  <c r="H4936" i="1"/>
  <c r="K4937" i="1" l="1" a="1"/>
  <c r="K4937" i="1" s="1"/>
  <c r="O4937" i="1" a="1"/>
  <c r="O4937" i="1" s="1"/>
  <c r="J4937" i="1" a="1"/>
  <c r="J4937" i="1" s="1"/>
  <c r="Q4937" i="1" a="1"/>
  <c r="Q4937" i="1" s="1"/>
  <c r="C4938" i="1"/>
  <c r="I4938" i="1" s="1" a="1"/>
  <c r="I4938" i="1" s="1"/>
  <c r="H4937" i="1"/>
  <c r="L4937" i="1" a="1"/>
  <c r="L4937" i="1" s="1"/>
  <c r="K4938" i="1" l="1" a="1"/>
  <c r="K4938" i="1" s="1"/>
  <c r="O4938" i="1" a="1"/>
  <c r="O4938" i="1" s="1"/>
  <c r="J4938" i="1" a="1"/>
  <c r="J4938" i="1" s="1"/>
  <c r="Q4938" i="1" a="1"/>
  <c r="Q4938" i="1" s="1"/>
  <c r="C4939" i="1"/>
  <c r="I4939" i="1" s="1" a="1"/>
  <c r="I4939" i="1" s="1"/>
  <c r="H4938" i="1"/>
  <c r="L4938" i="1" a="1"/>
  <c r="L4938" i="1" s="1"/>
  <c r="K4939" i="1" l="1" a="1"/>
  <c r="K4939" i="1" s="1"/>
  <c r="O4939" i="1" a="1"/>
  <c r="O4939" i="1" s="1"/>
  <c r="J4939" i="1" a="1"/>
  <c r="J4939" i="1" s="1"/>
  <c r="Q4939" i="1" a="1"/>
  <c r="Q4939" i="1" s="1"/>
  <c r="C4940" i="1"/>
  <c r="I4940" i="1" s="1" a="1"/>
  <c r="I4940" i="1" s="1"/>
  <c r="L4939" i="1" a="1"/>
  <c r="L4939" i="1" s="1"/>
  <c r="H4939" i="1"/>
  <c r="K4940" i="1" l="1" a="1"/>
  <c r="K4940" i="1" s="1"/>
  <c r="O4940" i="1" a="1"/>
  <c r="O4940" i="1" s="1"/>
  <c r="J4940" i="1" a="1"/>
  <c r="J4940" i="1" s="1"/>
  <c r="Q4940" i="1" a="1"/>
  <c r="Q4940" i="1" s="1"/>
  <c r="C4941" i="1"/>
  <c r="I4941" i="1" s="1" a="1"/>
  <c r="I4941" i="1" s="1"/>
  <c r="L4940" i="1" a="1"/>
  <c r="L4940" i="1" s="1"/>
  <c r="H4940" i="1"/>
  <c r="K4941" i="1" l="1" a="1"/>
  <c r="K4941" i="1" s="1"/>
  <c r="O4941" i="1" a="1"/>
  <c r="O4941" i="1" s="1"/>
  <c r="J4941" i="1" a="1"/>
  <c r="J4941" i="1" s="1"/>
  <c r="Q4941" i="1" a="1"/>
  <c r="Q4941" i="1" s="1"/>
  <c r="C4942" i="1"/>
  <c r="I4942" i="1" s="1" a="1"/>
  <c r="I4942" i="1" s="1"/>
  <c r="L4941" i="1" a="1"/>
  <c r="L4941" i="1" s="1"/>
  <c r="H4941" i="1"/>
  <c r="K4942" i="1" l="1" a="1"/>
  <c r="K4942" i="1" s="1"/>
  <c r="O4942" i="1" a="1"/>
  <c r="O4942" i="1" s="1"/>
  <c r="J4942" i="1" a="1"/>
  <c r="J4942" i="1" s="1"/>
  <c r="Q4942" i="1" a="1"/>
  <c r="Q4942" i="1" s="1"/>
  <c r="C4943" i="1"/>
  <c r="I4943" i="1" s="1" a="1"/>
  <c r="I4943" i="1" s="1"/>
  <c r="L4942" i="1" a="1"/>
  <c r="L4942" i="1" s="1"/>
  <c r="H4942" i="1"/>
  <c r="K4943" i="1" l="1" a="1"/>
  <c r="K4943" i="1" s="1"/>
  <c r="O4943" i="1" a="1"/>
  <c r="O4943" i="1" s="1"/>
  <c r="J4943" i="1" a="1"/>
  <c r="J4943" i="1" s="1"/>
  <c r="Q4943" i="1" a="1"/>
  <c r="Q4943" i="1" s="1"/>
  <c r="C4944" i="1"/>
  <c r="I4944" i="1" s="1" a="1"/>
  <c r="I4944" i="1" s="1"/>
  <c r="H4943" i="1"/>
  <c r="L4943" i="1" a="1"/>
  <c r="L4943" i="1" s="1"/>
  <c r="K4944" i="1" l="1" a="1"/>
  <c r="K4944" i="1" s="1"/>
  <c r="O4944" i="1" a="1"/>
  <c r="O4944" i="1" s="1"/>
  <c r="J4944" i="1" a="1"/>
  <c r="J4944" i="1" s="1"/>
  <c r="Q4944" i="1" a="1"/>
  <c r="Q4944" i="1" s="1"/>
  <c r="C4945" i="1"/>
  <c r="I4945" i="1" s="1" a="1"/>
  <c r="I4945" i="1" s="1"/>
  <c r="L4944" i="1" a="1"/>
  <c r="L4944" i="1" s="1"/>
  <c r="H4944" i="1"/>
  <c r="K4945" i="1" l="1" a="1"/>
  <c r="K4945" i="1" s="1"/>
  <c r="O4945" i="1" a="1"/>
  <c r="O4945" i="1" s="1"/>
  <c r="J4945" i="1" a="1"/>
  <c r="J4945" i="1" s="1"/>
  <c r="Q4945" i="1" a="1"/>
  <c r="Q4945" i="1" s="1"/>
  <c r="C4946" i="1"/>
  <c r="I4946" i="1" s="1" a="1"/>
  <c r="I4946" i="1" s="1"/>
  <c r="H4945" i="1"/>
  <c r="L4945" i="1" a="1"/>
  <c r="L4945" i="1" s="1"/>
  <c r="K4946" i="1" l="1" a="1"/>
  <c r="K4946" i="1" s="1"/>
  <c r="O4946" i="1" a="1"/>
  <c r="O4946" i="1" s="1"/>
  <c r="J4946" i="1" a="1"/>
  <c r="J4946" i="1" s="1"/>
  <c r="Q4946" i="1" a="1"/>
  <c r="Q4946" i="1" s="1"/>
  <c r="C4947" i="1"/>
  <c r="I4947" i="1" s="1" a="1"/>
  <c r="I4947" i="1" s="1"/>
  <c r="L4946" i="1" a="1"/>
  <c r="L4946" i="1" s="1"/>
  <c r="H4946" i="1"/>
  <c r="K4947" i="1" l="1" a="1"/>
  <c r="K4947" i="1" s="1"/>
  <c r="O4947" i="1" a="1"/>
  <c r="O4947" i="1" s="1"/>
  <c r="J4947" i="1" a="1"/>
  <c r="J4947" i="1" s="1"/>
  <c r="Q4947" i="1" a="1"/>
  <c r="Q4947" i="1" s="1"/>
  <c r="C4948" i="1"/>
  <c r="I4948" i="1" s="1" a="1"/>
  <c r="I4948" i="1" s="1"/>
  <c r="H4947" i="1"/>
  <c r="L4947" i="1" a="1"/>
  <c r="L4947" i="1" s="1"/>
  <c r="K4948" i="1" l="1" a="1"/>
  <c r="K4948" i="1" s="1"/>
  <c r="O4948" i="1" a="1"/>
  <c r="O4948" i="1" s="1"/>
  <c r="J4948" i="1" a="1"/>
  <c r="J4948" i="1" s="1"/>
  <c r="Q4948" i="1" a="1"/>
  <c r="Q4948" i="1" s="1"/>
  <c r="C4949" i="1"/>
  <c r="I4949" i="1" s="1" a="1"/>
  <c r="I4949" i="1" s="1"/>
  <c r="L4948" i="1" a="1"/>
  <c r="L4948" i="1" s="1"/>
  <c r="H4948" i="1"/>
  <c r="K4949" i="1" l="1" a="1"/>
  <c r="K4949" i="1" s="1"/>
  <c r="O4949" i="1" a="1"/>
  <c r="O4949" i="1" s="1"/>
  <c r="J4949" i="1" a="1"/>
  <c r="J4949" i="1" s="1"/>
  <c r="Q4949" i="1" a="1"/>
  <c r="Q4949" i="1" s="1"/>
  <c r="C4950" i="1"/>
  <c r="I4950" i="1" s="1" a="1"/>
  <c r="I4950" i="1" s="1"/>
  <c r="L4949" i="1" a="1"/>
  <c r="L4949" i="1" s="1"/>
  <c r="H4949" i="1"/>
  <c r="K4950" i="1" l="1" a="1"/>
  <c r="K4950" i="1" s="1"/>
  <c r="O4950" i="1" a="1"/>
  <c r="O4950" i="1" s="1"/>
  <c r="J4950" i="1" a="1"/>
  <c r="J4950" i="1" s="1"/>
  <c r="Q4950" i="1" a="1"/>
  <c r="Q4950" i="1" s="1"/>
  <c r="C4951" i="1"/>
  <c r="I4951" i="1" s="1" a="1"/>
  <c r="I4951" i="1" s="1"/>
  <c r="L4950" i="1" a="1"/>
  <c r="L4950" i="1" s="1"/>
  <c r="H4950" i="1"/>
  <c r="K4951" i="1" l="1" a="1"/>
  <c r="K4951" i="1" s="1"/>
  <c r="O4951" i="1" a="1"/>
  <c r="O4951" i="1" s="1"/>
  <c r="J4951" i="1" a="1"/>
  <c r="J4951" i="1" s="1"/>
  <c r="Q4951" i="1" a="1"/>
  <c r="Q4951" i="1" s="1"/>
  <c r="C4952" i="1"/>
  <c r="I4952" i="1" s="1" a="1"/>
  <c r="I4952" i="1" s="1"/>
  <c r="H4951" i="1"/>
  <c r="L4951" i="1" a="1"/>
  <c r="L4951" i="1" s="1"/>
  <c r="K4952" i="1" l="1" a="1"/>
  <c r="K4952" i="1" s="1"/>
  <c r="O4952" i="1" a="1"/>
  <c r="O4952" i="1" s="1"/>
  <c r="J4952" i="1" a="1"/>
  <c r="J4952" i="1" s="1"/>
  <c r="Q4952" i="1" a="1"/>
  <c r="Q4952" i="1" s="1"/>
  <c r="C4953" i="1"/>
  <c r="I4953" i="1" s="1" a="1"/>
  <c r="I4953" i="1" s="1"/>
  <c r="L4952" i="1" a="1"/>
  <c r="L4952" i="1" s="1"/>
  <c r="H4952" i="1"/>
  <c r="K4953" i="1" l="1" a="1"/>
  <c r="K4953" i="1" s="1"/>
  <c r="O4953" i="1" a="1"/>
  <c r="O4953" i="1" s="1"/>
  <c r="J4953" i="1" a="1"/>
  <c r="J4953" i="1" s="1"/>
  <c r="Q4953" i="1" a="1"/>
  <c r="Q4953" i="1" s="1"/>
  <c r="C4954" i="1"/>
  <c r="I4954" i="1" s="1" a="1"/>
  <c r="I4954" i="1" s="1"/>
  <c r="L4953" i="1" a="1"/>
  <c r="L4953" i="1" s="1"/>
  <c r="H4953" i="1"/>
  <c r="K4954" i="1" l="1" a="1"/>
  <c r="K4954" i="1" s="1"/>
  <c r="O4954" i="1" a="1"/>
  <c r="O4954" i="1" s="1"/>
  <c r="J4954" i="1" a="1"/>
  <c r="J4954" i="1" s="1"/>
  <c r="Q4954" i="1" a="1"/>
  <c r="Q4954" i="1" s="1"/>
  <c r="C4955" i="1"/>
  <c r="I4955" i="1" s="1" a="1"/>
  <c r="I4955" i="1" s="1"/>
  <c r="L4954" i="1" a="1"/>
  <c r="L4954" i="1" s="1"/>
  <c r="H4954" i="1"/>
  <c r="K4955" i="1" l="1" a="1"/>
  <c r="K4955" i="1" s="1"/>
  <c r="O4955" i="1" a="1"/>
  <c r="O4955" i="1" s="1"/>
  <c r="J4955" i="1" a="1"/>
  <c r="J4955" i="1" s="1"/>
  <c r="Q4955" i="1" a="1"/>
  <c r="Q4955" i="1" s="1"/>
  <c r="C4956" i="1"/>
  <c r="I4956" i="1" s="1" a="1"/>
  <c r="I4956" i="1" s="1"/>
  <c r="H4955" i="1"/>
  <c r="L4955" i="1" a="1"/>
  <c r="L4955" i="1" s="1"/>
  <c r="K4956" i="1" l="1" a="1"/>
  <c r="K4956" i="1" s="1"/>
  <c r="O4956" i="1" a="1"/>
  <c r="O4956" i="1" s="1"/>
  <c r="J4956" i="1" a="1"/>
  <c r="J4956" i="1" s="1"/>
  <c r="Q4956" i="1" a="1"/>
  <c r="Q4956" i="1" s="1"/>
  <c r="C4957" i="1"/>
  <c r="I4957" i="1" s="1" a="1"/>
  <c r="I4957" i="1" s="1"/>
  <c r="L4956" i="1" a="1"/>
  <c r="L4956" i="1" s="1"/>
  <c r="H4956" i="1"/>
  <c r="K4957" i="1" l="1" a="1"/>
  <c r="K4957" i="1" s="1"/>
  <c r="O4957" i="1" a="1"/>
  <c r="O4957" i="1" s="1"/>
  <c r="J4957" i="1" a="1"/>
  <c r="J4957" i="1" s="1"/>
  <c r="Q4957" i="1" a="1"/>
  <c r="Q4957" i="1" s="1"/>
  <c r="C4958" i="1"/>
  <c r="I4958" i="1" s="1" a="1"/>
  <c r="I4958" i="1" s="1"/>
  <c r="H4957" i="1"/>
  <c r="L4957" i="1" a="1"/>
  <c r="L4957" i="1" s="1"/>
  <c r="K4958" i="1" l="1" a="1"/>
  <c r="K4958" i="1" s="1"/>
  <c r="O4958" i="1" a="1"/>
  <c r="O4958" i="1" s="1"/>
  <c r="J4958" i="1" a="1"/>
  <c r="J4958" i="1" s="1"/>
  <c r="Q4958" i="1" a="1"/>
  <c r="Q4958" i="1" s="1"/>
  <c r="C4959" i="1"/>
  <c r="I4959" i="1" s="1" a="1"/>
  <c r="I4959" i="1" s="1"/>
  <c r="L4958" i="1" a="1"/>
  <c r="L4958" i="1" s="1"/>
  <c r="H4958" i="1"/>
  <c r="K4959" i="1" l="1" a="1"/>
  <c r="K4959" i="1" s="1"/>
  <c r="O4959" i="1" a="1"/>
  <c r="O4959" i="1" s="1"/>
  <c r="J4959" i="1" a="1"/>
  <c r="J4959" i="1" s="1"/>
  <c r="Q4959" i="1" a="1"/>
  <c r="Q4959" i="1" s="1"/>
  <c r="C4960" i="1"/>
  <c r="I4960" i="1" s="1" a="1"/>
  <c r="I4960" i="1" s="1"/>
  <c r="H4959" i="1"/>
  <c r="L4959" i="1" a="1"/>
  <c r="L4959" i="1" s="1"/>
  <c r="K4960" i="1" l="1" a="1"/>
  <c r="K4960" i="1" s="1"/>
  <c r="O4960" i="1" a="1"/>
  <c r="O4960" i="1" s="1"/>
  <c r="J4960" i="1" a="1"/>
  <c r="J4960" i="1" s="1"/>
  <c r="Q4960" i="1" a="1"/>
  <c r="Q4960" i="1" s="1"/>
  <c r="C4961" i="1"/>
  <c r="I4961" i="1" s="1" a="1"/>
  <c r="I4961" i="1" s="1"/>
  <c r="L4960" i="1" a="1"/>
  <c r="L4960" i="1" s="1"/>
  <c r="H4960" i="1"/>
  <c r="K4961" i="1" l="1" a="1"/>
  <c r="K4961" i="1" s="1"/>
  <c r="O4961" i="1" a="1"/>
  <c r="O4961" i="1" s="1"/>
  <c r="J4961" i="1" a="1"/>
  <c r="J4961" i="1" s="1"/>
  <c r="Q4961" i="1" a="1"/>
  <c r="Q4961" i="1" s="1"/>
  <c r="C4962" i="1"/>
  <c r="I4962" i="1" s="1" a="1"/>
  <c r="I4962" i="1" s="1"/>
  <c r="L4961" i="1" a="1"/>
  <c r="L4961" i="1" s="1"/>
  <c r="H4961" i="1"/>
  <c r="K4962" i="1" l="1" a="1"/>
  <c r="K4962" i="1" s="1"/>
  <c r="O4962" i="1" a="1"/>
  <c r="O4962" i="1" s="1"/>
  <c r="J4962" i="1" a="1"/>
  <c r="J4962" i="1" s="1"/>
  <c r="Q4962" i="1" a="1"/>
  <c r="Q4962" i="1" s="1"/>
  <c r="C4963" i="1"/>
  <c r="I4963" i="1" s="1" a="1"/>
  <c r="I4963" i="1" s="1"/>
  <c r="L4962" i="1" a="1"/>
  <c r="L4962" i="1" s="1"/>
  <c r="H4962" i="1"/>
  <c r="K4963" i="1" l="1" a="1"/>
  <c r="K4963" i="1" s="1"/>
  <c r="O4963" i="1" a="1"/>
  <c r="O4963" i="1" s="1"/>
  <c r="J4963" i="1" a="1"/>
  <c r="J4963" i="1" s="1"/>
  <c r="Q4963" i="1" a="1"/>
  <c r="Q4963" i="1" s="1"/>
  <c r="C4964" i="1"/>
  <c r="I4964" i="1" s="1" a="1"/>
  <c r="I4964" i="1" s="1"/>
  <c r="H4963" i="1"/>
  <c r="L4963" i="1" a="1"/>
  <c r="L4963" i="1" s="1"/>
  <c r="K4964" i="1" l="1" a="1"/>
  <c r="K4964" i="1" s="1"/>
  <c r="O4964" i="1" a="1"/>
  <c r="O4964" i="1" s="1"/>
  <c r="J4964" i="1" a="1"/>
  <c r="J4964" i="1" s="1"/>
  <c r="Q4964" i="1" a="1"/>
  <c r="Q4964" i="1" s="1"/>
  <c r="C4965" i="1"/>
  <c r="I4965" i="1" s="1" a="1"/>
  <c r="I4965" i="1" s="1"/>
  <c r="L4964" i="1" a="1"/>
  <c r="L4964" i="1" s="1"/>
  <c r="H4964" i="1"/>
  <c r="K4965" i="1" l="1" a="1"/>
  <c r="K4965" i="1" s="1"/>
  <c r="O4965" i="1" a="1"/>
  <c r="O4965" i="1" s="1"/>
  <c r="J4965" i="1" a="1"/>
  <c r="J4965" i="1" s="1"/>
  <c r="Q4965" i="1" a="1"/>
  <c r="Q4965" i="1" s="1"/>
  <c r="C4966" i="1"/>
  <c r="I4966" i="1" s="1" a="1"/>
  <c r="I4966" i="1" s="1"/>
  <c r="L4965" i="1" a="1"/>
  <c r="L4965" i="1" s="1"/>
  <c r="H4965" i="1"/>
  <c r="K4966" i="1" l="1" a="1"/>
  <c r="K4966" i="1" s="1"/>
  <c r="O4966" i="1" a="1"/>
  <c r="O4966" i="1" s="1"/>
  <c r="J4966" i="1" a="1"/>
  <c r="J4966" i="1" s="1"/>
  <c r="Q4966" i="1" a="1"/>
  <c r="Q4966" i="1" s="1"/>
  <c r="C4967" i="1"/>
  <c r="I4967" i="1" s="1" a="1"/>
  <c r="I4967" i="1" s="1"/>
  <c r="L4966" i="1" a="1"/>
  <c r="L4966" i="1" s="1"/>
  <c r="H4966" i="1"/>
  <c r="K4967" i="1" l="1" a="1"/>
  <c r="K4967" i="1" s="1"/>
  <c r="O4967" i="1" a="1"/>
  <c r="O4967" i="1" s="1"/>
  <c r="J4967" i="1" a="1"/>
  <c r="J4967" i="1" s="1"/>
  <c r="Q4967" i="1" a="1"/>
  <c r="Q4967" i="1" s="1"/>
  <c r="C4968" i="1"/>
  <c r="I4968" i="1" s="1" a="1"/>
  <c r="I4968" i="1" s="1"/>
  <c r="L4967" i="1" a="1"/>
  <c r="L4967" i="1" s="1"/>
  <c r="H4967" i="1"/>
  <c r="K4968" i="1" l="1" a="1"/>
  <c r="K4968" i="1" s="1"/>
  <c r="O4968" i="1" a="1"/>
  <c r="O4968" i="1" s="1"/>
  <c r="J4968" i="1" a="1"/>
  <c r="J4968" i="1" s="1"/>
  <c r="Q4968" i="1" a="1"/>
  <c r="Q4968" i="1" s="1"/>
  <c r="C4969" i="1"/>
  <c r="I4969" i="1" s="1" a="1"/>
  <c r="I4969" i="1" s="1"/>
  <c r="L4968" i="1" a="1"/>
  <c r="L4968" i="1" s="1"/>
  <c r="H4968" i="1"/>
  <c r="K4969" i="1" l="1" a="1"/>
  <c r="K4969" i="1" s="1"/>
  <c r="O4969" i="1" a="1"/>
  <c r="O4969" i="1" s="1"/>
  <c r="J4969" i="1" a="1"/>
  <c r="J4969" i="1" s="1"/>
  <c r="Q4969" i="1" a="1"/>
  <c r="Q4969" i="1" s="1"/>
  <c r="C4970" i="1"/>
  <c r="I4970" i="1" s="1" a="1"/>
  <c r="I4970" i="1" s="1"/>
  <c r="L4969" i="1" a="1"/>
  <c r="L4969" i="1" s="1"/>
  <c r="H4969" i="1"/>
  <c r="K4970" i="1" l="1" a="1"/>
  <c r="K4970" i="1" s="1"/>
  <c r="O4970" i="1" a="1"/>
  <c r="O4970" i="1" s="1"/>
  <c r="J4970" i="1" a="1"/>
  <c r="J4970" i="1" s="1"/>
  <c r="Q4970" i="1" a="1"/>
  <c r="Q4970" i="1" s="1"/>
  <c r="C4971" i="1"/>
  <c r="I4971" i="1" s="1" a="1"/>
  <c r="I4971" i="1" s="1"/>
  <c r="L4970" i="1" a="1"/>
  <c r="L4970" i="1" s="1"/>
  <c r="H4970" i="1"/>
  <c r="K4971" i="1" l="1" a="1"/>
  <c r="K4971" i="1" s="1"/>
  <c r="O4971" i="1" a="1"/>
  <c r="O4971" i="1" s="1"/>
  <c r="J4971" i="1" a="1"/>
  <c r="J4971" i="1" s="1"/>
  <c r="Q4971" i="1" a="1"/>
  <c r="Q4971" i="1" s="1"/>
  <c r="C4972" i="1"/>
  <c r="I4972" i="1" s="1" a="1"/>
  <c r="I4972" i="1" s="1"/>
  <c r="L4971" i="1" a="1"/>
  <c r="L4971" i="1" s="1"/>
  <c r="H4971" i="1"/>
  <c r="K4972" i="1" l="1" a="1"/>
  <c r="K4972" i="1" s="1"/>
  <c r="O4972" i="1" a="1"/>
  <c r="O4972" i="1" s="1"/>
  <c r="J4972" i="1" a="1"/>
  <c r="J4972" i="1" s="1"/>
  <c r="Q4972" i="1" a="1"/>
  <c r="Q4972" i="1" s="1"/>
  <c r="C4973" i="1"/>
  <c r="I4973" i="1" s="1" a="1"/>
  <c r="I4973" i="1" s="1"/>
  <c r="L4972" i="1" a="1"/>
  <c r="L4972" i="1" s="1"/>
  <c r="H4972" i="1"/>
  <c r="K4973" i="1" l="1" a="1"/>
  <c r="K4973" i="1" s="1"/>
  <c r="O4973" i="1" a="1"/>
  <c r="O4973" i="1" s="1"/>
  <c r="J4973" i="1" a="1"/>
  <c r="J4973" i="1" s="1"/>
  <c r="Q4973" i="1" a="1"/>
  <c r="Q4973" i="1" s="1"/>
  <c r="C4974" i="1"/>
  <c r="I4974" i="1" s="1" a="1"/>
  <c r="I4974" i="1" s="1"/>
  <c r="L4973" i="1" a="1"/>
  <c r="L4973" i="1" s="1"/>
  <c r="H4973" i="1"/>
  <c r="K4974" i="1" l="1" a="1"/>
  <c r="K4974" i="1" s="1"/>
  <c r="O4974" i="1" a="1"/>
  <c r="O4974" i="1" s="1"/>
  <c r="J4974" i="1" a="1"/>
  <c r="J4974" i="1" s="1"/>
  <c r="Q4974" i="1" a="1"/>
  <c r="Q4974" i="1" s="1"/>
  <c r="C4975" i="1"/>
  <c r="I4975" i="1" s="1" a="1"/>
  <c r="I4975" i="1" s="1"/>
  <c r="H4974" i="1"/>
  <c r="L4974" i="1" a="1"/>
  <c r="L4974" i="1" s="1"/>
  <c r="K4975" i="1" l="1" a="1"/>
  <c r="K4975" i="1" s="1"/>
  <c r="O4975" i="1" a="1"/>
  <c r="O4975" i="1" s="1"/>
  <c r="J4975" i="1" a="1"/>
  <c r="J4975" i="1" s="1"/>
  <c r="Q4975" i="1" a="1"/>
  <c r="Q4975" i="1" s="1"/>
  <c r="C4976" i="1"/>
  <c r="I4976" i="1" s="1" a="1"/>
  <c r="I4976" i="1" s="1"/>
  <c r="L4975" i="1" a="1"/>
  <c r="L4975" i="1" s="1"/>
  <c r="H4975" i="1"/>
  <c r="K4976" i="1" l="1" a="1"/>
  <c r="K4976" i="1" s="1"/>
  <c r="O4976" i="1" a="1"/>
  <c r="O4976" i="1" s="1"/>
  <c r="J4976" i="1" a="1"/>
  <c r="J4976" i="1" s="1"/>
  <c r="Q4976" i="1" a="1"/>
  <c r="Q4976" i="1" s="1"/>
  <c r="C4977" i="1"/>
  <c r="I4977" i="1" s="1" a="1"/>
  <c r="I4977" i="1" s="1"/>
  <c r="H4976" i="1"/>
  <c r="L4976" i="1" a="1"/>
  <c r="L4976" i="1" s="1"/>
  <c r="K4977" i="1" l="1" a="1"/>
  <c r="K4977" i="1" s="1"/>
  <c r="O4977" i="1" a="1"/>
  <c r="O4977" i="1" s="1"/>
  <c r="J4977" i="1" a="1"/>
  <c r="J4977" i="1" s="1"/>
  <c r="Q4977" i="1" a="1"/>
  <c r="Q4977" i="1" s="1"/>
  <c r="C4978" i="1"/>
  <c r="I4978" i="1" s="1" a="1"/>
  <c r="I4978" i="1" s="1"/>
  <c r="L4977" i="1" a="1"/>
  <c r="L4977" i="1" s="1"/>
  <c r="H4977" i="1"/>
  <c r="K4978" i="1" l="1" a="1"/>
  <c r="K4978" i="1" s="1"/>
  <c r="O4978" i="1" a="1"/>
  <c r="O4978" i="1" s="1"/>
  <c r="J4978" i="1" a="1"/>
  <c r="J4978" i="1" s="1"/>
  <c r="Q4978" i="1" a="1"/>
  <c r="Q4978" i="1" s="1"/>
  <c r="C4979" i="1"/>
  <c r="I4979" i="1" s="1" a="1"/>
  <c r="I4979" i="1" s="1"/>
  <c r="H4978" i="1"/>
  <c r="L4978" i="1" a="1"/>
  <c r="L4978" i="1" s="1"/>
  <c r="K4979" i="1" l="1" a="1"/>
  <c r="K4979" i="1" s="1"/>
  <c r="O4979" i="1" a="1"/>
  <c r="O4979" i="1" s="1"/>
  <c r="J4979" i="1" a="1"/>
  <c r="J4979" i="1" s="1"/>
  <c r="Q4979" i="1" a="1"/>
  <c r="Q4979" i="1" s="1"/>
  <c r="C4980" i="1"/>
  <c r="I4980" i="1" s="1" a="1"/>
  <c r="I4980" i="1" s="1"/>
  <c r="L4979" i="1" a="1"/>
  <c r="L4979" i="1" s="1"/>
  <c r="H4979" i="1"/>
  <c r="K4980" i="1" l="1" a="1"/>
  <c r="K4980" i="1" s="1"/>
  <c r="O4980" i="1" a="1"/>
  <c r="O4980" i="1" s="1"/>
  <c r="J4980" i="1" a="1"/>
  <c r="J4980" i="1" s="1"/>
  <c r="Q4980" i="1" a="1"/>
  <c r="Q4980" i="1" s="1"/>
  <c r="C4981" i="1"/>
  <c r="I4981" i="1" s="1" a="1"/>
  <c r="I4981" i="1" s="1"/>
  <c r="H4980" i="1"/>
  <c r="L4980" i="1" a="1"/>
  <c r="L4980" i="1" s="1"/>
  <c r="K4981" i="1" l="1" a="1"/>
  <c r="K4981" i="1" s="1"/>
  <c r="O4981" i="1" a="1"/>
  <c r="O4981" i="1" s="1"/>
  <c r="J4981" i="1" a="1"/>
  <c r="J4981" i="1" s="1"/>
  <c r="Q4981" i="1" a="1"/>
  <c r="Q4981" i="1" s="1"/>
  <c r="C4982" i="1"/>
  <c r="I4982" i="1" s="1" a="1"/>
  <c r="I4982" i="1" s="1"/>
  <c r="H4981" i="1"/>
  <c r="L4981" i="1" a="1"/>
  <c r="L4981" i="1" s="1"/>
  <c r="K4982" i="1" l="1" a="1"/>
  <c r="K4982" i="1" s="1"/>
  <c r="O4982" i="1" a="1"/>
  <c r="O4982" i="1" s="1"/>
  <c r="J4982" i="1" a="1"/>
  <c r="J4982" i="1" s="1"/>
  <c r="Q4982" i="1" a="1"/>
  <c r="Q4982" i="1" s="1"/>
  <c r="C4983" i="1"/>
  <c r="I4983" i="1" s="1" a="1"/>
  <c r="I4983" i="1" s="1"/>
  <c r="L4982" i="1" a="1"/>
  <c r="L4982" i="1" s="1"/>
  <c r="H4982" i="1"/>
  <c r="K4983" i="1" l="1" a="1"/>
  <c r="K4983" i="1" s="1"/>
  <c r="O4983" i="1" a="1"/>
  <c r="O4983" i="1" s="1"/>
  <c r="J4983" i="1" a="1"/>
  <c r="J4983" i="1" s="1"/>
  <c r="Q4983" i="1" a="1"/>
  <c r="Q4983" i="1" s="1"/>
  <c r="C4984" i="1"/>
  <c r="I4984" i="1" s="1" a="1"/>
  <c r="I4984" i="1" s="1"/>
  <c r="H4983" i="1"/>
  <c r="L4983" i="1" a="1"/>
  <c r="L4983" i="1" s="1"/>
  <c r="K4984" i="1" l="1" a="1"/>
  <c r="K4984" i="1" s="1"/>
  <c r="O4984" i="1" a="1"/>
  <c r="O4984" i="1" s="1"/>
  <c r="J4984" i="1" a="1"/>
  <c r="J4984" i="1" s="1"/>
  <c r="Q4984" i="1" a="1"/>
  <c r="Q4984" i="1" s="1"/>
  <c r="C4985" i="1"/>
  <c r="I4985" i="1" s="1" a="1"/>
  <c r="I4985" i="1" s="1"/>
  <c r="H4984" i="1"/>
  <c r="L4984" i="1" a="1"/>
  <c r="L4984" i="1" s="1"/>
  <c r="K4985" i="1" l="1" a="1"/>
  <c r="K4985" i="1" s="1"/>
  <c r="O4985" i="1" a="1"/>
  <c r="O4985" i="1" s="1"/>
  <c r="J4985" i="1" a="1"/>
  <c r="J4985" i="1" s="1"/>
  <c r="Q4985" i="1" a="1"/>
  <c r="Q4985" i="1" s="1"/>
  <c r="C4986" i="1"/>
  <c r="I4986" i="1" s="1" a="1"/>
  <c r="I4986" i="1" s="1"/>
  <c r="H4985" i="1"/>
  <c r="L4985" i="1" a="1"/>
  <c r="L4985" i="1" s="1"/>
  <c r="K4986" i="1" l="1" a="1"/>
  <c r="K4986" i="1" s="1"/>
  <c r="O4986" i="1" a="1"/>
  <c r="O4986" i="1" s="1"/>
  <c r="J4986" i="1" a="1"/>
  <c r="J4986" i="1" s="1"/>
  <c r="Q4986" i="1" a="1"/>
  <c r="Q4986" i="1" s="1"/>
  <c r="C4987" i="1"/>
  <c r="I4987" i="1" s="1" a="1"/>
  <c r="I4987" i="1" s="1"/>
  <c r="L4986" i="1" a="1"/>
  <c r="L4986" i="1" s="1"/>
  <c r="H4986" i="1"/>
  <c r="K4987" i="1" l="1" a="1"/>
  <c r="K4987" i="1" s="1"/>
  <c r="O4987" i="1" a="1"/>
  <c r="O4987" i="1" s="1"/>
  <c r="J4987" i="1" a="1"/>
  <c r="J4987" i="1" s="1"/>
  <c r="Q4987" i="1" a="1"/>
  <c r="Q4987" i="1" s="1"/>
  <c r="C4988" i="1"/>
  <c r="I4988" i="1" s="1" a="1"/>
  <c r="I4988" i="1" s="1"/>
  <c r="L4987" i="1" a="1"/>
  <c r="L4987" i="1" s="1"/>
  <c r="H4987" i="1"/>
  <c r="K4988" i="1" l="1" a="1"/>
  <c r="K4988" i="1" s="1"/>
  <c r="O4988" i="1" a="1"/>
  <c r="O4988" i="1" s="1"/>
  <c r="J4988" i="1" a="1"/>
  <c r="J4988" i="1" s="1"/>
  <c r="Q4988" i="1" a="1"/>
  <c r="Q4988" i="1" s="1"/>
  <c r="C4989" i="1"/>
  <c r="I4989" i="1" s="1" a="1"/>
  <c r="I4989" i="1" s="1"/>
  <c r="H4988" i="1"/>
  <c r="L4988" i="1" a="1"/>
  <c r="L4988" i="1" s="1"/>
  <c r="K4989" i="1" l="1" a="1"/>
  <c r="K4989" i="1" s="1"/>
  <c r="O4989" i="1" a="1"/>
  <c r="O4989" i="1" s="1"/>
  <c r="J4989" i="1" a="1"/>
  <c r="J4989" i="1" s="1"/>
  <c r="Q4989" i="1" a="1"/>
  <c r="Q4989" i="1" s="1"/>
  <c r="C4990" i="1"/>
  <c r="I4990" i="1" s="1" a="1"/>
  <c r="I4990" i="1" s="1"/>
  <c r="L4989" i="1" a="1"/>
  <c r="L4989" i="1" s="1"/>
  <c r="H4989" i="1"/>
  <c r="K4990" i="1" l="1" a="1"/>
  <c r="K4990" i="1" s="1"/>
  <c r="O4990" i="1" a="1"/>
  <c r="O4990" i="1" s="1"/>
  <c r="J4990" i="1" a="1"/>
  <c r="J4990" i="1" s="1"/>
  <c r="Q4990" i="1" a="1"/>
  <c r="Q4990" i="1" s="1"/>
  <c r="C4991" i="1"/>
  <c r="I4991" i="1" s="1" a="1"/>
  <c r="I4991" i="1" s="1"/>
  <c r="L4990" i="1" a="1"/>
  <c r="L4990" i="1" s="1"/>
  <c r="H4990" i="1"/>
  <c r="K4991" i="1" l="1" a="1"/>
  <c r="K4991" i="1" s="1"/>
  <c r="O4991" i="1" a="1"/>
  <c r="O4991" i="1" s="1"/>
  <c r="J4991" i="1" a="1"/>
  <c r="J4991" i="1" s="1"/>
  <c r="Q4991" i="1" a="1"/>
  <c r="Q4991" i="1" s="1"/>
  <c r="C4992" i="1"/>
  <c r="I4992" i="1" s="1" a="1"/>
  <c r="I4992" i="1" s="1"/>
  <c r="H4991" i="1"/>
  <c r="L4991" i="1" a="1"/>
  <c r="L4991" i="1" s="1"/>
  <c r="K4992" i="1" l="1" a="1"/>
  <c r="K4992" i="1" s="1"/>
  <c r="O4992" i="1" a="1"/>
  <c r="O4992" i="1" s="1"/>
  <c r="J4992" i="1" a="1"/>
  <c r="J4992" i="1" s="1"/>
  <c r="Q4992" i="1" a="1"/>
  <c r="Q4992" i="1" s="1"/>
  <c r="C4993" i="1"/>
  <c r="I4993" i="1" s="1" a="1"/>
  <c r="I4993" i="1" s="1"/>
  <c r="L4992" i="1" a="1"/>
  <c r="L4992" i="1" s="1"/>
  <c r="H4992" i="1"/>
  <c r="K4993" i="1" l="1" a="1"/>
  <c r="K4993" i="1" s="1"/>
  <c r="O4993" i="1" a="1"/>
  <c r="O4993" i="1" s="1"/>
  <c r="J4993" i="1" a="1"/>
  <c r="J4993" i="1" s="1"/>
  <c r="Q4993" i="1" a="1"/>
  <c r="Q4993" i="1" s="1"/>
  <c r="C4994" i="1"/>
  <c r="I4994" i="1" s="1" a="1"/>
  <c r="I4994" i="1" s="1"/>
  <c r="L4993" i="1" a="1"/>
  <c r="L4993" i="1" s="1"/>
  <c r="H4993" i="1"/>
  <c r="K4994" i="1" l="1" a="1"/>
  <c r="K4994" i="1" s="1"/>
  <c r="O4994" i="1" a="1"/>
  <c r="O4994" i="1" s="1"/>
  <c r="J4994" i="1" a="1"/>
  <c r="J4994" i="1" s="1"/>
  <c r="Q4994" i="1" a="1"/>
  <c r="Q4994" i="1" s="1"/>
  <c r="C4995" i="1"/>
  <c r="I4995" i="1" s="1" a="1"/>
  <c r="I4995" i="1" s="1"/>
  <c r="L4994" i="1" a="1"/>
  <c r="L4994" i="1" s="1"/>
  <c r="H4994" i="1"/>
  <c r="K4995" i="1" l="1" a="1"/>
  <c r="K4995" i="1" s="1"/>
  <c r="O4995" i="1" a="1"/>
  <c r="O4995" i="1" s="1"/>
  <c r="J4995" i="1" a="1"/>
  <c r="J4995" i="1" s="1"/>
  <c r="Q4995" i="1" a="1"/>
  <c r="Q4995" i="1" s="1"/>
  <c r="C4996" i="1"/>
  <c r="I4996" i="1" s="1" a="1"/>
  <c r="I4996" i="1" s="1"/>
  <c r="H4995" i="1"/>
  <c r="L4995" i="1" a="1"/>
  <c r="L4995" i="1" s="1"/>
  <c r="K4996" i="1" l="1" a="1"/>
  <c r="K4996" i="1" s="1"/>
  <c r="O4996" i="1" a="1"/>
  <c r="O4996" i="1" s="1"/>
  <c r="J4996" i="1" a="1"/>
  <c r="J4996" i="1" s="1"/>
  <c r="Q4996" i="1" a="1"/>
  <c r="Q4996" i="1" s="1"/>
  <c r="C4997" i="1"/>
  <c r="I4997" i="1" s="1" a="1"/>
  <c r="I4997" i="1" s="1"/>
  <c r="L4996" i="1" a="1"/>
  <c r="L4996" i="1" s="1"/>
  <c r="H4996" i="1"/>
  <c r="K4997" i="1" l="1" a="1"/>
  <c r="K4997" i="1" s="1"/>
  <c r="O4997" i="1" a="1"/>
  <c r="O4997" i="1" s="1"/>
  <c r="J4997" i="1" a="1"/>
  <c r="J4997" i="1" s="1"/>
  <c r="Q4997" i="1" a="1"/>
  <c r="Q4997" i="1" s="1"/>
  <c r="C4998" i="1"/>
  <c r="I4998" i="1" s="1" a="1"/>
  <c r="I4998" i="1" s="1"/>
  <c r="L4997" i="1" a="1"/>
  <c r="L4997" i="1" s="1"/>
  <c r="H4997" i="1"/>
  <c r="K4998" i="1" l="1" a="1"/>
  <c r="K4998" i="1" s="1"/>
  <c r="O4998" i="1" a="1"/>
  <c r="O4998" i="1" s="1"/>
  <c r="J4998" i="1" a="1"/>
  <c r="J4998" i="1" s="1"/>
  <c r="Q4998" i="1" a="1"/>
  <c r="Q4998" i="1" s="1"/>
  <c r="C4999" i="1"/>
  <c r="I4999" i="1" s="1" a="1"/>
  <c r="I4999" i="1" s="1"/>
  <c r="H4998" i="1"/>
  <c r="L4998" i="1" a="1"/>
  <c r="L4998" i="1" s="1"/>
  <c r="K4999" i="1" l="1" a="1"/>
  <c r="K4999" i="1" s="1"/>
  <c r="O4999" i="1" a="1"/>
  <c r="O4999" i="1" s="1"/>
  <c r="J4999" i="1" a="1"/>
  <c r="J4999" i="1" s="1"/>
  <c r="Q4999" i="1" a="1"/>
  <c r="Q4999" i="1" s="1"/>
  <c r="C5000" i="1"/>
  <c r="I5000" i="1" s="1" a="1"/>
  <c r="I5000" i="1" s="1"/>
  <c r="L4999" i="1" a="1"/>
  <c r="L4999" i="1" s="1"/>
  <c r="H4999" i="1"/>
  <c r="K5000" i="1" l="1" a="1"/>
  <c r="K5000" i="1" s="1"/>
  <c r="O5000" i="1" a="1"/>
  <c r="O5000" i="1" s="1"/>
  <c r="J5000" i="1" a="1"/>
  <c r="J5000" i="1" s="1"/>
  <c r="Q5000" i="1" a="1"/>
  <c r="Q5000" i="1" s="1"/>
  <c r="C5001" i="1"/>
  <c r="I5001" i="1" s="1" a="1"/>
  <c r="I5001" i="1" s="1"/>
  <c r="H5000" i="1"/>
  <c r="L5000" i="1" a="1"/>
  <c r="L5000" i="1" s="1"/>
  <c r="K5001" i="1" l="1" a="1"/>
  <c r="K5001" i="1" s="1"/>
  <c r="O5001" i="1" a="1"/>
  <c r="O5001" i="1" s="1"/>
  <c r="J5001" i="1" a="1"/>
  <c r="J5001" i="1" s="1"/>
  <c r="Q5001" i="1" a="1"/>
  <c r="Q5001" i="1" s="1"/>
  <c r="C5002" i="1"/>
  <c r="I5002" i="1" s="1" a="1"/>
  <c r="I5002" i="1" s="1"/>
  <c r="L5001" i="1" a="1"/>
  <c r="L5001" i="1" s="1"/>
  <c r="H5001" i="1"/>
  <c r="K5002" i="1" l="1" a="1"/>
  <c r="K5002" i="1" s="1"/>
  <c r="O5002" i="1" a="1"/>
  <c r="O5002" i="1" s="1"/>
  <c r="J5002" i="1" a="1"/>
  <c r="J5002" i="1" s="1"/>
  <c r="Q5002" i="1" a="1"/>
  <c r="Q5002" i="1" s="1"/>
  <c r="C5003" i="1"/>
  <c r="I5003" i="1" s="1" a="1"/>
  <c r="I5003" i="1" s="1"/>
  <c r="H5002" i="1"/>
  <c r="L5002" i="1" a="1"/>
  <c r="L5002" i="1" s="1"/>
  <c r="K5003" i="1" l="1" a="1"/>
  <c r="K5003" i="1" s="1"/>
  <c r="O5003" i="1" a="1"/>
  <c r="O5003" i="1" s="1"/>
  <c r="J5003" i="1" a="1"/>
  <c r="J5003" i="1" s="1"/>
  <c r="Q5003" i="1" a="1"/>
  <c r="Q5003" i="1" s="1"/>
  <c r="C5004" i="1"/>
  <c r="I5004" i="1" s="1" a="1"/>
  <c r="I5004" i="1" s="1"/>
  <c r="L5003" i="1" a="1"/>
  <c r="L5003" i="1" s="1"/>
  <c r="H5003" i="1"/>
  <c r="K5004" i="1" l="1" a="1"/>
  <c r="K5004" i="1" s="1"/>
  <c r="O5004" i="1" a="1"/>
  <c r="O5004" i="1" s="1"/>
  <c r="J5004" i="1" a="1"/>
  <c r="J5004" i="1" s="1"/>
  <c r="Q5004" i="1" a="1"/>
  <c r="Q5004" i="1" s="1"/>
  <c r="C5005" i="1"/>
  <c r="I5005" i="1" s="1" a="1"/>
  <c r="I5005" i="1" s="1"/>
  <c r="L5004" i="1" a="1"/>
  <c r="L5004" i="1" s="1"/>
  <c r="H5004" i="1"/>
  <c r="K5005" i="1" l="1" a="1"/>
  <c r="K5005" i="1" s="1"/>
  <c r="O5005" i="1" a="1"/>
  <c r="O5005" i="1" s="1"/>
  <c r="J5005" i="1" a="1"/>
  <c r="J5005" i="1" s="1"/>
  <c r="Q5005" i="1" a="1"/>
  <c r="Q5005" i="1" s="1"/>
  <c r="C5006" i="1"/>
  <c r="I5006" i="1" s="1" a="1"/>
  <c r="I5006" i="1" s="1"/>
  <c r="H5005" i="1"/>
  <c r="L5005" i="1" a="1"/>
  <c r="L5005" i="1" s="1"/>
  <c r="K5006" i="1" l="1" a="1"/>
  <c r="K5006" i="1" s="1"/>
  <c r="O5006" i="1" a="1"/>
  <c r="O5006" i="1" s="1"/>
  <c r="J5006" i="1" a="1"/>
  <c r="J5006" i="1" s="1"/>
  <c r="Q5006" i="1" a="1"/>
  <c r="Q5006" i="1" s="1"/>
  <c r="C5007" i="1"/>
  <c r="I5007" i="1" s="1" a="1"/>
  <c r="I5007" i="1" s="1"/>
  <c r="L5006" i="1" a="1"/>
  <c r="L5006" i="1" s="1"/>
  <c r="H5006" i="1"/>
  <c r="K5007" i="1" l="1" a="1"/>
  <c r="K5007" i="1" s="1"/>
  <c r="O5007" i="1" a="1"/>
  <c r="O5007" i="1" s="1"/>
  <c r="J5007" i="1" a="1"/>
  <c r="J5007" i="1" s="1"/>
  <c r="Q5007" i="1" a="1"/>
  <c r="Q5007" i="1" s="1"/>
  <c r="C5008" i="1"/>
  <c r="I5008" i="1" s="1" a="1"/>
  <c r="I5008" i="1" s="1"/>
  <c r="L5007" i="1" a="1"/>
  <c r="L5007" i="1" s="1"/>
  <c r="H5007" i="1"/>
  <c r="K5008" i="1" l="1" a="1"/>
  <c r="K5008" i="1" s="1"/>
  <c r="O5008" i="1" a="1"/>
  <c r="O5008" i="1" s="1"/>
  <c r="J5008" i="1" a="1"/>
  <c r="J5008" i="1" s="1"/>
  <c r="Q5008" i="1" a="1"/>
  <c r="Q5008" i="1" s="1"/>
  <c r="C5009" i="1"/>
  <c r="I5009" i="1" s="1" a="1"/>
  <c r="I5009" i="1" s="1"/>
  <c r="H5008" i="1"/>
  <c r="L5008" i="1" a="1"/>
  <c r="L5008" i="1" s="1"/>
  <c r="K5009" i="1" l="1" a="1"/>
  <c r="K5009" i="1" s="1"/>
  <c r="O5009" i="1" a="1"/>
  <c r="O5009" i="1" s="1"/>
  <c r="J5009" i="1" a="1"/>
  <c r="J5009" i="1" s="1"/>
  <c r="Q5009" i="1" a="1"/>
  <c r="Q5009" i="1" s="1"/>
  <c r="C5010" i="1"/>
  <c r="I5010" i="1" s="1" a="1"/>
  <c r="I5010" i="1" s="1"/>
  <c r="L5009" i="1" a="1"/>
  <c r="L5009" i="1" s="1"/>
  <c r="H5009" i="1"/>
  <c r="K5010" i="1" l="1" a="1"/>
  <c r="K5010" i="1" s="1"/>
  <c r="O5010" i="1" a="1"/>
  <c r="O5010" i="1" s="1"/>
  <c r="J5010" i="1" a="1"/>
  <c r="J5010" i="1" s="1"/>
  <c r="Q5010" i="1" a="1"/>
  <c r="Q5010" i="1" s="1"/>
  <c r="C5011" i="1"/>
  <c r="I5011" i="1" s="1" a="1"/>
  <c r="I5011" i="1" s="1"/>
  <c r="L5010" i="1" a="1"/>
  <c r="L5010" i="1" s="1"/>
  <c r="H5010" i="1"/>
  <c r="K5011" i="1" l="1" a="1"/>
  <c r="K5011" i="1" s="1"/>
  <c r="O5011" i="1" a="1"/>
  <c r="O5011" i="1" s="1"/>
  <c r="J5011" i="1" a="1"/>
  <c r="J5011" i="1" s="1"/>
  <c r="Q5011" i="1" a="1"/>
  <c r="Q5011" i="1" s="1"/>
  <c r="C5012" i="1"/>
  <c r="I5012" i="1" s="1" a="1"/>
  <c r="I5012" i="1" s="1"/>
  <c r="L5011" i="1" a="1"/>
  <c r="L5011" i="1" s="1"/>
  <c r="H5011" i="1"/>
  <c r="K5012" i="1" l="1" a="1"/>
  <c r="K5012" i="1" s="1"/>
  <c r="O5012" i="1" a="1"/>
  <c r="O5012" i="1" s="1"/>
  <c r="J5012" i="1" a="1"/>
  <c r="J5012" i="1" s="1"/>
  <c r="Q5012" i="1" a="1"/>
  <c r="Q5012" i="1" s="1"/>
  <c r="C5013" i="1"/>
  <c r="I5013" i="1" s="1" a="1"/>
  <c r="I5013" i="1" s="1"/>
  <c r="H5012" i="1"/>
  <c r="L5012" i="1" a="1"/>
  <c r="L5012" i="1" s="1"/>
  <c r="K5013" i="1" l="1" a="1"/>
  <c r="K5013" i="1" s="1"/>
  <c r="O5013" i="1" a="1"/>
  <c r="O5013" i="1" s="1"/>
  <c r="J5013" i="1" a="1"/>
  <c r="J5013" i="1" s="1"/>
  <c r="Q5013" i="1" a="1"/>
  <c r="Q5013" i="1" s="1"/>
  <c r="C5014" i="1"/>
  <c r="I5014" i="1" s="1" a="1"/>
  <c r="I5014" i="1" s="1"/>
  <c r="H5013" i="1"/>
  <c r="L5013" i="1" a="1"/>
  <c r="L5013" i="1" s="1"/>
  <c r="K5014" i="1" l="1" a="1"/>
  <c r="K5014" i="1" s="1"/>
  <c r="O5014" i="1" a="1"/>
  <c r="O5014" i="1" s="1"/>
  <c r="J5014" i="1" a="1"/>
  <c r="J5014" i="1" s="1"/>
  <c r="Q5014" i="1" a="1"/>
  <c r="Q5014" i="1" s="1"/>
  <c r="C5015" i="1"/>
  <c r="I5015" i="1" s="1" a="1"/>
  <c r="I5015" i="1" s="1"/>
  <c r="L5014" i="1" a="1"/>
  <c r="L5014" i="1" s="1"/>
  <c r="H5014" i="1"/>
  <c r="K5015" i="1" l="1" a="1"/>
  <c r="K5015" i="1" s="1"/>
  <c r="O5015" i="1" a="1"/>
  <c r="O5015" i="1" s="1"/>
  <c r="J5015" i="1" a="1"/>
  <c r="J5015" i="1" s="1"/>
  <c r="Q5015" i="1" a="1"/>
  <c r="Q5015" i="1" s="1"/>
  <c r="C5016" i="1"/>
  <c r="I5016" i="1" s="1" a="1"/>
  <c r="I5016" i="1" s="1"/>
  <c r="H5015" i="1"/>
  <c r="L5015" i="1" a="1"/>
  <c r="L5015" i="1" s="1"/>
  <c r="K5016" i="1" l="1" a="1"/>
  <c r="K5016" i="1" s="1"/>
  <c r="O5016" i="1" a="1"/>
  <c r="O5016" i="1" s="1"/>
  <c r="J5016" i="1" a="1"/>
  <c r="J5016" i="1" s="1"/>
  <c r="Q5016" i="1" a="1"/>
  <c r="Q5016" i="1" s="1"/>
  <c r="C5017" i="1"/>
  <c r="I5017" i="1" s="1" a="1"/>
  <c r="I5017" i="1" s="1"/>
  <c r="L5016" i="1" a="1"/>
  <c r="L5016" i="1" s="1"/>
  <c r="H5016" i="1"/>
  <c r="K5017" i="1" l="1" a="1"/>
  <c r="K5017" i="1" s="1"/>
  <c r="O5017" i="1" a="1"/>
  <c r="O5017" i="1" s="1"/>
  <c r="J5017" i="1" a="1"/>
  <c r="J5017" i="1" s="1"/>
  <c r="Q5017" i="1" a="1"/>
  <c r="Q5017" i="1" s="1"/>
  <c r="C5018" i="1"/>
  <c r="I5018" i="1" s="1" a="1"/>
  <c r="I5018" i="1" s="1"/>
  <c r="H5017" i="1"/>
  <c r="L5017" i="1" a="1"/>
  <c r="L5017" i="1" s="1"/>
  <c r="K5018" i="1" l="1" a="1"/>
  <c r="K5018" i="1" s="1"/>
  <c r="O5018" i="1" a="1"/>
  <c r="O5018" i="1" s="1"/>
  <c r="J5018" i="1" a="1"/>
  <c r="J5018" i="1" s="1"/>
  <c r="Q5018" i="1" a="1"/>
  <c r="Q5018" i="1" s="1"/>
  <c r="C5019" i="1"/>
  <c r="I5019" i="1" s="1" a="1"/>
  <c r="I5019" i="1" s="1"/>
  <c r="H5018" i="1"/>
  <c r="L5018" i="1" a="1"/>
  <c r="L5018" i="1" s="1"/>
  <c r="K5019" i="1" l="1" a="1"/>
  <c r="K5019" i="1" s="1"/>
  <c r="O5019" i="1" a="1"/>
  <c r="O5019" i="1" s="1"/>
  <c r="J5019" i="1" a="1"/>
  <c r="J5019" i="1" s="1"/>
  <c r="Q5019" i="1" a="1"/>
  <c r="Q5019" i="1" s="1"/>
  <c r="C5020" i="1"/>
  <c r="I5020" i="1" s="1" a="1"/>
  <c r="I5020" i="1" s="1"/>
  <c r="L5019" i="1" a="1"/>
  <c r="L5019" i="1" s="1"/>
  <c r="H5019" i="1"/>
  <c r="K5020" i="1" l="1" a="1"/>
  <c r="K5020" i="1" s="1"/>
  <c r="O5020" i="1" a="1"/>
  <c r="O5020" i="1" s="1"/>
  <c r="J5020" i="1" a="1"/>
  <c r="J5020" i="1" s="1"/>
  <c r="Q5020" i="1" a="1"/>
  <c r="Q5020" i="1" s="1"/>
  <c r="C5021" i="1"/>
  <c r="I5021" i="1" s="1" a="1"/>
  <c r="I5021" i="1" s="1"/>
  <c r="H5020" i="1"/>
  <c r="L5020" i="1" a="1"/>
  <c r="L5020" i="1" s="1"/>
  <c r="K5021" i="1" l="1" a="1"/>
  <c r="K5021" i="1" s="1"/>
  <c r="O5021" i="1" a="1"/>
  <c r="O5021" i="1" s="1"/>
  <c r="J5021" i="1" a="1"/>
  <c r="J5021" i="1" s="1"/>
  <c r="Q5021" i="1" a="1"/>
  <c r="Q5021" i="1" s="1"/>
  <c r="C5022" i="1"/>
  <c r="I5022" i="1" s="1" a="1"/>
  <c r="I5022" i="1" s="1"/>
  <c r="H5021" i="1"/>
  <c r="L5021" i="1" a="1"/>
  <c r="L5021" i="1" s="1"/>
  <c r="K5022" i="1" l="1" a="1"/>
  <c r="K5022" i="1" s="1"/>
  <c r="O5022" i="1" a="1"/>
  <c r="O5022" i="1" s="1"/>
  <c r="J5022" i="1" a="1"/>
  <c r="J5022" i="1" s="1"/>
  <c r="Q5022" i="1" a="1"/>
  <c r="Q5022" i="1" s="1"/>
  <c r="C5023" i="1"/>
  <c r="I5023" i="1" s="1" a="1"/>
  <c r="I5023" i="1" s="1"/>
  <c r="H5022" i="1"/>
  <c r="L5022" i="1" a="1"/>
  <c r="L5022" i="1" s="1"/>
  <c r="K5023" i="1" l="1" a="1"/>
  <c r="K5023" i="1" s="1"/>
  <c r="O5023" i="1" a="1"/>
  <c r="O5023" i="1" s="1"/>
  <c r="J5023" i="1" a="1"/>
  <c r="J5023" i="1" s="1"/>
  <c r="Q5023" i="1" a="1"/>
  <c r="Q5023" i="1" s="1"/>
  <c r="C5024" i="1"/>
  <c r="I5024" i="1" s="1" a="1"/>
  <c r="I5024" i="1" s="1"/>
  <c r="L5023" i="1" a="1"/>
  <c r="L5023" i="1" s="1"/>
  <c r="H5023" i="1"/>
  <c r="K5024" i="1" l="1" a="1"/>
  <c r="K5024" i="1" s="1"/>
  <c r="O5024" i="1" a="1"/>
  <c r="O5024" i="1" s="1"/>
  <c r="J5024" i="1" a="1"/>
  <c r="J5024" i="1" s="1"/>
  <c r="Q5024" i="1" a="1"/>
  <c r="Q5024" i="1" s="1"/>
  <c r="C5025" i="1"/>
  <c r="I5025" i="1" s="1" a="1"/>
  <c r="I5025" i="1" s="1"/>
  <c r="L5024" i="1" a="1"/>
  <c r="L5024" i="1" s="1"/>
  <c r="H5024" i="1"/>
  <c r="K5025" i="1" l="1" a="1"/>
  <c r="K5025" i="1" s="1"/>
  <c r="O5025" i="1" a="1"/>
  <c r="O5025" i="1" s="1"/>
  <c r="J5025" i="1" a="1"/>
  <c r="J5025" i="1" s="1"/>
  <c r="Q5025" i="1" a="1"/>
  <c r="Q5025" i="1" s="1"/>
  <c r="C5026" i="1"/>
  <c r="I5026" i="1" s="1" a="1"/>
  <c r="I5026" i="1" s="1"/>
  <c r="L5025" i="1" a="1"/>
  <c r="L5025" i="1" s="1"/>
  <c r="H5025" i="1"/>
  <c r="K5026" i="1" l="1" a="1"/>
  <c r="K5026" i="1" s="1"/>
  <c r="O5026" i="1" a="1"/>
  <c r="O5026" i="1" s="1"/>
  <c r="J5026" i="1" a="1"/>
  <c r="J5026" i="1" s="1"/>
  <c r="Q5026" i="1" a="1"/>
  <c r="Q5026" i="1" s="1"/>
  <c r="C5027" i="1"/>
  <c r="I5027" i="1" s="1" a="1"/>
  <c r="I5027" i="1" s="1"/>
  <c r="H5026" i="1"/>
  <c r="L5026" i="1" a="1"/>
  <c r="L5026" i="1" s="1"/>
  <c r="K5027" i="1" l="1" a="1"/>
  <c r="K5027" i="1" s="1"/>
  <c r="O5027" i="1" a="1"/>
  <c r="O5027" i="1" s="1"/>
  <c r="J5027" i="1" a="1"/>
  <c r="J5027" i="1" s="1"/>
  <c r="Q5027" i="1" a="1"/>
  <c r="Q5027" i="1" s="1"/>
  <c r="L5027" i="1" a="1"/>
  <c r="L5027" i="1" s="1"/>
  <c r="H50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<sst xmlns="http://schemas.openxmlformats.org/spreadsheetml/2006/main" count="43086" uniqueCount="24">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</sst>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Q5027"/>
  <sheetViews>
    <sheetView zoomScaleNormal="100" workbookViewId="0">
      <pane ySplit="1" topLeftCell="A4794" activePane="bottomLeft" state="frozen"/>
      <selection pane="bottomLeft" activeCell="D4795" sqref="D479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7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</row>
    <row r="2" spans="1:17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7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7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7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7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7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7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7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7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7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7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7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7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7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7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62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5" t="str">
        <f t="shared" ref="A4795:C4795" si="1128">B4794</f>
        <v>Northern Cardinal</v>
      </c>
      <c r="C4795" s="6">
        <v>0.29166666666666669</v>
      </c>
      <c r="D4795" s="5"/>
      <c r="E4795" s="5"/>
      <c r="F4795" s="5" t="s">
        <v>8</v>
      </c>
      <c r="G4795" s="15" t="s">
        <v>9</v>
      </c>
      <c r="H4795" s="24">
        <f t="shared" ref="H4663:H4917" si="1129">IFERROR((($A4795+$C4795) - ($A4794+$C4794))*24*60, "")</f>
        <v>796.99999999953434</v>
      </c>
      <c r="I4795" s="24" cm="1">
        <f t="array" ref="I4795">IFERROR(IF($B4795=I$1, ($A4795+$C4795) - MAX(IF($B$2:$B4794=$B4795, $A$2:$A4794+$C$2:$C4794)), "")*24*60, "")</f>
        <v>796.99999999953434</v>
      </c>
      <c r="J4795" s="24" t="str" cm="1">
        <f t="array" ref="J4795">IFERROR(IF($B4795=J$1, ($A4795+$C4795) - MAX(IF($B$2:$B4794=$B4795, $A$2:$A4794+$C$2:$C4794)), "")*24*60, "")</f>
        <v/>
      </c>
      <c r="K4795" s="24" t="str" cm="1">
        <f t="array" ref="K4795">IFERROR(IF($B4795=K$1, ($A4795+$C4795) - MAX(IF($B$2:$B4794=$B4795, $A$2:$A4794+$C$2:$C4794)), "")*24*60, "")</f>
        <v/>
      </c>
      <c r="L4795" s="24" t="str" cm="1">
        <f t="array" ref="L4795">IFERROR(IF($B4795=L$1, ($A4795+$C4795) - MAX(IF($B$2:$B4794=$B4795, $A$2:$A4794+$C$2:$C4794)), "")*24*60, "")</f>
        <v/>
      </c>
      <c r="M4795" s="24" t="str" cm="1">
        <f t="array" ref="M4795">IFERROR(IF($B4795=M$1, ($A4795+$C4795) - MAX(IF($B$2:$B4794=$B4795, $A$2:$A4794+$C$2:$C4794)), "")*24*60, "")</f>
        <v/>
      </c>
      <c r="N4795" s="24" t="str" cm="1">
        <f t="array" ref="N4795">IFERROR(IF($B4795=N$1, ($A4795+$C4795) - MAX(IF($B$2:$B4794=$B4795, $A$2:$A4794+$C$2:$C4794)), "")*24*60, "")</f>
        <v/>
      </c>
      <c r="O4795" s="24" t="str" cm="1">
        <f t="array" ref="O4795">IFERROR(IF($B4795=O$1, ($A4795+$C4795) - MAX(IF($B$2:$B4794=$B4795, $A$2:$A4794+$C$2:$C4794)), "")*24*60, "")</f>
        <v/>
      </c>
      <c r="P4795" s="24" t="str" cm="1">
        <f t="array" ref="P4795">IFERROR(IF($B4795=P$1, ($A4795+$C4795) - MAX(IF($B$2:$B4794=$B4795, $A$2:$A4794+$C$2:$C4794)), "")*24*60, "")</f>
        <v/>
      </c>
      <c r="Q4795" s="24" t="str" cm="1">
        <f t="array" ref="Q4795">IFERROR(IF($B4795=Q$1, ($A4795+$C4795) - MAX(IF($B$2:$B4794=$B4795, $A$2:$A4794+$C$2:$C4794)), "")*24*60, "")</f>
        <v/>
      </c>
    </row>
    <row r="4796" spans="1:17" x14ac:dyDescent="0.2">
      <c r="A4796" s="12">
        <f t="shared" ref="A4796:C4796" si="1130">A4795</f>
        <v>45980</v>
      </c>
      <c r="B4796" s="5" t="str">
        <f t="shared" si="1130"/>
        <v>Northern Cardinal</v>
      </c>
      <c r="C4796" s="6">
        <f t="shared" si="1130"/>
        <v>0.29166666666666669</v>
      </c>
      <c r="D4796" s="5"/>
      <c r="E4796" s="5"/>
      <c r="F4796" s="5" t="s">
        <v>8</v>
      </c>
      <c r="G4796" s="15" t="s">
        <v>9</v>
      </c>
      <c r="H4796" s="24">
        <f t="shared" si="1129"/>
        <v>0</v>
      </c>
      <c r="I4796" s="24" cm="1">
        <f t="array" ref="I4796">IFERROR(IF($B4796=I$1, ($A4796+$C4796) - MAX(IF($B$2:$B4795=$B4796, $A$2:$A4795+$C$2:$C4795)), "")*24*60, "")</f>
        <v>0</v>
      </c>
      <c r="J4796" s="24" t="str" cm="1">
        <f t="array" ref="J4796">IFERROR(IF($B4796=J$1, ($A4796+$C4796) - MAX(IF($B$2:$B4795=$B4796, $A$2:$A4795+$C$2:$C4795)), "")*24*60, "")</f>
        <v/>
      </c>
      <c r="K4796" s="24" t="str" cm="1">
        <f t="array" ref="K4796">IFERROR(IF($B4796=K$1, ($A4796+$C4796) - MAX(IF($B$2:$B4795=$B4796, $A$2:$A4795+$C$2:$C4795)), "")*24*60, "")</f>
        <v/>
      </c>
      <c r="L4796" s="24" t="str" cm="1">
        <f t="array" ref="L4796">IFERROR(IF($B4796=L$1, ($A4796+$C4796) - MAX(IF($B$2:$B4795=$B4796, $A$2:$A4795+$C$2:$C4795)), "")*24*60, "")</f>
        <v/>
      </c>
      <c r="M4796" s="24" t="str" cm="1">
        <f t="array" ref="M4796">IFERROR(IF($B4796=M$1, ($A4796+$C4796) - MAX(IF($B$2:$B4795=$B4796, $A$2:$A4795+$C$2:$C4795)), "")*24*60, "")</f>
        <v/>
      </c>
      <c r="N4796" s="24" t="str" cm="1">
        <f t="array" ref="N4796">IFERROR(IF($B4796=N$1, ($A4796+$C4796) - MAX(IF($B$2:$B4795=$B4796, $A$2:$A4795+$C$2:$C4795)), "")*24*60, "")</f>
        <v/>
      </c>
      <c r="O4796" s="24" t="str" cm="1">
        <f t="array" ref="O4796">IFERROR(IF($B4796=O$1, ($A4796+$C4796) - MAX(IF($B$2:$B4795=$B4796, $A$2:$A4795+$C$2:$C4795)), "")*24*60, "")</f>
        <v/>
      </c>
      <c r="P4796" s="24" t="str" cm="1">
        <f t="array" ref="P4796">IFERROR(IF($B4796=P$1, ($A4796+$C4796) - MAX(IF($B$2:$B4795=$B4796, $A$2:$A4795+$C$2:$C4795)), "")*24*60, "")</f>
        <v/>
      </c>
      <c r="Q4796" s="24" t="str" cm="1">
        <f t="array" ref="Q4796">IFERROR(IF($B4796=Q$1, ($A4796+$C4796) - MAX(IF($B$2:$B4795=$B4796, $A$2:$A4795+$C$2:$C4795)), "")*24*60, "")</f>
        <v/>
      </c>
    </row>
    <row r="4797" spans="1:17" x14ac:dyDescent="0.2">
      <c r="A4797" s="12">
        <f t="shared" ref="A4797:C4797" si="1131">A4796</f>
        <v>45980</v>
      </c>
      <c r="B4797" s="5" t="str">
        <f t="shared" si="1131"/>
        <v>Northern Cardinal</v>
      </c>
      <c r="C4797" s="6">
        <f t="shared" si="1131"/>
        <v>0.29166666666666669</v>
      </c>
      <c r="D4797" s="5"/>
      <c r="E4797" s="5"/>
      <c r="F4797" s="5" t="s">
        <v>8</v>
      </c>
      <c r="G4797" s="15" t="s">
        <v>9</v>
      </c>
      <c r="H4797" s="24">
        <f t="shared" si="1129"/>
        <v>0</v>
      </c>
      <c r="I4797" s="24" cm="1">
        <f t="array" ref="I4797">IFERROR(IF($B4797=I$1, ($A4797+$C4797) - MAX(IF($B$2:$B4796=$B4797, $A$2:$A4796+$C$2:$C4796)), "")*24*60, "")</f>
        <v>0</v>
      </c>
      <c r="J4797" s="24" t="str" cm="1">
        <f t="array" ref="J4797">IFERROR(IF($B4797=J$1, ($A4797+$C4797) - MAX(IF($B$2:$B4796=$B4797, $A$2:$A4796+$C$2:$C4796)), "")*24*60, "")</f>
        <v/>
      </c>
      <c r="K4797" s="24" t="str" cm="1">
        <f t="array" ref="K4797">IFERROR(IF($B4797=K$1, ($A4797+$C4797) - MAX(IF($B$2:$B4796=$B4797, $A$2:$A4796+$C$2:$C4796)), "")*24*60, "")</f>
        <v/>
      </c>
      <c r="L4797" s="24" t="str" cm="1">
        <f t="array" ref="L4797">IFERROR(IF($B4797=L$1, ($A4797+$C4797) - MAX(IF($B$2:$B4796=$B4797, $A$2:$A4796+$C$2:$C4796)), "")*24*60, "")</f>
        <v/>
      </c>
      <c r="M4797" s="24" t="str" cm="1">
        <f t="array" ref="M4797">IFERROR(IF($B4797=M$1, ($A4797+$C4797) - MAX(IF($B$2:$B4796=$B4797, $A$2:$A4796+$C$2:$C4796)), "")*24*60, "")</f>
        <v/>
      </c>
      <c r="N4797" s="24" t="str" cm="1">
        <f t="array" ref="N4797">IFERROR(IF($B4797=N$1, ($A4797+$C4797) - MAX(IF($B$2:$B4796=$B4797, $A$2:$A4796+$C$2:$C4796)), "")*24*60, "")</f>
        <v/>
      </c>
      <c r="O4797" s="24" t="str" cm="1">
        <f t="array" ref="O4797">IFERROR(IF($B4797=O$1, ($A4797+$C4797) - MAX(IF($B$2:$B4796=$B4797, $A$2:$A4796+$C$2:$C4796)), "")*24*60, "")</f>
        <v/>
      </c>
      <c r="P4797" s="24" t="str" cm="1">
        <f t="array" ref="P4797">IFERROR(IF($B4797=P$1, ($A4797+$C4797) - MAX(IF($B$2:$B4796=$B4797, $A$2:$A4796+$C$2:$C4796)), "")*24*60, "")</f>
        <v/>
      </c>
      <c r="Q4797" s="24" t="str" cm="1">
        <f t="array" ref="Q4797">IFERROR(IF($B4797=Q$1, ($A4797+$C4797) - MAX(IF($B$2:$B4796=$B4797, $A$2:$A4796+$C$2:$C4796)), "")*24*60, "")</f>
        <v/>
      </c>
    </row>
    <row r="4798" spans="1:17" x14ac:dyDescent="0.2">
      <c r="A4798" s="12">
        <f t="shared" ref="A4798:C4798" si="1132">A4797</f>
        <v>45980</v>
      </c>
      <c r="B4798" s="5" t="str">
        <f t="shared" si="1132"/>
        <v>Northern Cardinal</v>
      </c>
      <c r="C4798" s="6">
        <f t="shared" si="1132"/>
        <v>0.29166666666666669</v>
      </c>
      <c r="D4798" s="5"/>
      <c r="E4798" s="5"/>
      <c r="F4798" s="5" t="s">
        <v>8</v>
      </c>
      <c r="G4798" s="15" t="s">
        <v>9</v>
      </c>
      <c r="H4798" s="24">
        <f t="shared" si="1129"/>
        <v>0</v>
      </c>
      <c r="I4798" s="24" cm="1">
        <f t="array" ref="I4798">IFERROR(IF($B4798=I$1, ($A4798+$C4798) - MAX(IF($B$2:$B4797=$B4798, $A$2:$A4797+$C$2:$C4797)), "")*24*60, "")</f>
        <v>0</v>
      </c>
      <c r="J4798" s="24" t="str" cm="1">
        <f t="array" ref="J4798">IFERROR(IF($B4798=J$1, ($A4798+$C4798) - MAX(IF($B$2:$B4797=$B4798, $A$2:$A4797+$C$2:$C4797)), "")*24*60, "")</f>
        <v/>
      </c>
      <c r="K4798" s="24" t="str" cm="1">
        <f t="array" ref="K4798">IFERROR(IF($B4798=K$1, ($A4798+$C4798) - MAX(IF($B$2:$B4797=$B4798, $A$2:$A4797+$C$2:$C4797)), "")*24*60, "")</f>
        <v/>
      </c>
      <c r="L4798" s="24" t="str" cm="1">
        <f t="array" ref="L4798">IFERROR(IF($B4798=L$1, ($A4798+$C4798) - MAX(IF($B$2:$B4797=$B4798, $A$2:$A4797+$C$2:$C4797)), "")*24*60, "")</f>
        <v/>
      </c>
      <c r="M4798" s="24" t="str" cm="1">
        <f t="array" ref="M4798">IFERROR(IF($B4798=M$1, ($A4798+$C4798) - MAX(IF($B$2:$B4797=$B4798, $A$2:$A4797+$C$2:$C4797)), "")*24*60, "")</f>
        <v/>
      </c>
      <c r="N4798" s="24" t="str" cm="1">
        <f t="array" ref="N4798">IFERROR(IF($B4798=N$1, ($A4798+$C4798) - MAX(IF($B$2:$B4797=$B4798, $A$2:$A4797+$C$2:$C4797)), "")*24*60, "")</f>
        <v/>
      </c>
      <c r="O4798" s="24" t="str" cm="1">
        <f t="array" ref="O4798">IFERROR(IF($B4798=O$1, ($A4798+$C4798) - MAX(IF($B$2:$B4797=$B4798, $A$2:$A4797+$C$2:$C4797)), "")*24*60, "")</f>
        <v/>
      </c>
      <c r="P4798" s="24" t="str" cm="1">
        <f t="array" ref="P4798">IFERROR(IF($B4798=P$1, ($A4798+$C4798) - MAX(IF($B$2:$B4797=$B4798, $A$2:$A4797+$C$2:$C4797)), "")*24*60, "")</f>
        <v/>
      </c>
      <c r="Q4798" s="24" t="str" cm="1">
        <f t="array" ref="Q4798">IFERROR(IF($B4798=Q$1, ($A4798+$C4798) - MAX(IF($B$2:$B4797=$B4798, $A$2:$A4797+$C$2:$C4797)), "")*24*60, "")</f>
        <v/>
      </c>
    </row>
    <row r="4799" spans="1:17" x14ac:dyDescent="0.2">
      <c r="A4799" s="12">
        <f t="shared" ref="A4799:C4799" si="1133">A4798</f>
        <v>45980</v>
      </c>
      <c r="B4799" s="5" t="str">
        <f t="shared" si="1133"/>
        <v>Northern Cardinal</v>
      </c>
      <c r="C4799" s="6">
        <f t="shared" si="1133"/>
        <v>0.29166666666666669</v>
      </c>
      <c r="D4799" s="5"/>
      <c r="E4799" s="5"/>
      <c r="F4799" s="5" t="s">
        <v>8</v>
      </c>
      <c r="G4799" s="15" t="s">
        <v>9</v>
      </c>
      <c r="H4799" s="24">
        <f t="shared" si="1129"/>
        <v>0</v>
      </c>
      <c r="I4799" s="24" cm="1">
        <f t="array" ref="I4799">IFERROR(IF($B4799=I$1, ($A4799+$C4799) - MAX(IF($B$2:$B4798=$B4799, $A$2:$A4798+$C$2:$C4798)), "")*24*60, "")</f>
        <v>0</v>
      </c>
      <c r="J4799" s="24" t="str" cm="1">
        <f t="array" ref="J4799">IFERROR(IF($B4799=J$1, ($A4799+$C4799) - MAX(IF($B$2:$B4798=$B4799, $A$2:$A4798+$C$2:$C4798)), "")*24*60, "")</f>
        <v/>
      </c>
      <c r="K4799" s="24" t="str" cm="1">
        <f t="array" ref="K4799">IFERROR(IF($B4799=K$1, ($A4799+$C4799) - MAX(IF($B$2:$B4798=$B4799, $A$2:$A4798+$C$2:$C4798)), "")*24*60, "")</f>
        <v/>
      </c>
      <c r="L4799" s="24" t="str" cm="1">
        <f t="array" ref="L4799">IFERROR(IF($B4799=L$1, ($A4799+$C4799) - MAX(IF($B$2:$B4798=$B4799, $A$2:$A4798+$C$2:$C4798)), "")*24*60, "")</f>
        <v/>
      </c>
      <c r="M4799" s="24" t="str" cm="1">
        <f t="array" ref="M4799">IFERROR(IF($B4799=M$1, ($A4799+$C4799) - MAX(IF($B$2:$B4798=$B4799, $A$2:$A4798+$C$2:$C4798)), "")*24*60, "")</f>
        <v/>
      </c>
      <c r="N4799" s="24" t="str" cm="1">
        <f t="array" ref="N4799">IFERROR(IF($B4799=N$1, ($A4799+$C4799) - MAX(IF($B$2:$B4798=$B4799, $A$2:$A4798+$C$2:$C4798)), "")*24*60, "")</f>
        <v/>
      </c>
      <c r="O4799" s="24" t="str" cm="1">
        <f t="array" ref="O4799">IFERROR(IF($B4799=O$1, ($A4799+$C4799) - MAX(IF($B$2:$B4798=$B4799, $A$2:$A4798+$C$2:$C4798)), "")*24*60, "")</f>
        <v/>
      </c>
      <c r="P4799" s="24" t="str" cm="1">
        <f t="array" ref="P4799">IFERROR(IF($B4799=P$1, ($A4799+$C4799) - MAX(IF($B$2:$B4798=$B4799, $A$2:$A4798+$C$2:$C4798)), "")*24*60, "")</f>
        <v/>
      </c>
      <c r="Q4799" s="24" t="str" cm="1">
        <f t="array" ref="Q4799">IFERROR(IF($B4799=Q$1, ($A4799+$C4799) - MAX(IF($B$2:$B4798=$B4799, $A$2:$A4798+$C$2:$C4798)), "")*24*60, "")</f>
        <v/>
      </c>
    </row>
    <row r="4800" spans="1:17" x14ac:dyDescent="0.2">
      <c r="A4800" s="12">
        <f t="shared" ref="A4800:C4800" si="1134">A4799</f>
        <v>45980</v>
      </c>
      <c r="B4800" s="5" t="str">
        <f t="shared" si="1134"/>
        <v>Northern Cardinal</v>
      </c>
      <c r="C4800" s="6">
        <f t="shared" si="1134"/>
        <v>0.29166666666666669</v>
      </c>
      <c r="D4800" s="5"/>
      <c r="E4800" s="5"/>
      <c r="F4800" s="5" t="s">
        <v>8</v>
      </c>
      <c r="G4800" s="15" t="s">
        <v>9</v>
      </c>
      <c r="H4800" s="24">
        <f t="shared" si="1129"/>
        <v>0</v>
      </c>
      <c r="I4800" s="24" cm="1">
        <f t="array" ref="I4800">IFERROR(IF($B4800=I$1, ($A4800+$C4800) - MAX(IF($B$2:$B4799=$B4800, $A$2:$A4799+$C$2:$C4799)), "")*24*60, "")</f>
        <v>0</v>
      </c>
      <c r="J4800" s="24" t="str" cm="1">
        <f t="array" ref="J4800">IFERROR(IF($B4800=J$1, ($A4800+$C4800) - MAX(IF($B$2:$B4799=$B4800, $A$2:$A4799+$C$2:$C4799)), "")*24*60, "")</f>
        <v/>
      </c>
      <c r="K4800" s="24" t="str" cm="1">
        <f t="array" ref="K4800">IFERROR(IF($B4800=K$1, ($A4800+$C4800) - MAX(IF($B$2:$B4799=$B4800, $A$2:$A4799+$C$2:$C4799)), "")*24*60, "")</f>
        <v/>
      </c>
      <c r="L4800" s="24" t="str" cm="1">
        <f t="array" ref="L4800">IFERROR(IF($B4800=L$1, ($A4800+$C4800) - MAX(IF($B$2:$B4799=$B4800, $A$2:$A4799+$C$2:$C4799)), "")*24*60, "")</f>
        <v/>
      </c>
      <c r="M4800" s="24" t="str" cm="1">
        <f t="array" ref="M4800">IFERROR(IF($B4800=M$1, ($A4800+$C4800) - MAX(IF($B$2:$B4799=$B4800, $A$2:$A4799+$C$2:$C4799)), "")*24*60, "")</f>
        <v/>
      </c>
      <c r="N4800" s="24" t="str" cm="1">
        <f t="array" ref="N4800">IFERROR(IF($B4800=N$1, ($A4800+$C4800) - MAX(IF($B$2:$B4799=$B4800, $A$2:$A4799+$C$2:$C4799)), "")*24*60, "")</f>
        <v/>
      </c>
      <c r="O4800" s="24" t="str" cm="1">
        <f t="array" ref="O4800">IFERROR(IF($B4800=O$1, ($A4800+$C4800) - MAX(IF($B$2:$B4799=$B4800, $A$2:$A4799+$C$2:$C4799)), "")*24*60, "")</f>
        <v/>
      </c>
      <c r="P4800" s="24" t="str" cm="1">
        <f t="array" ref="P4800">IFERROR(IF($B4800=P$1, ($A4800+$C4800) - MAX(IF($B$2:$B4799=$B4800, $A$2:$A4799+$C$2:$C4799)), "")*24*60, "")</f>
        <v/>
      </c>
      <c r="Q4800" s="24" t="str" cm="1">
        <f t="array" ref="Q4800">IFERROR(IF($B4800=Q$1, ($A4800+$C4800) - MAX(IF($B$2:$B4799=$B4800, $A$2:$A4799+$C$2:$C4799)), "")*24*60, "")</f>
        <v/>
      </c>
    </row>
    <row r="4801" spans="1:17" x14ac:dyDescent="0.2">
      <c r="A4801" s="12">
        <f t="shared" ref="A4801:C4801" si="1135">A4800</f>
        <v>45980</v>
      </c>
      <c r="B4801" s="5" t="str">
        <f t="shared" si="1135"/>
        <v>Northern Cardinal</v>
      </c>
      <c r="C4801" s="6">
        <f t="shared" si="1135"/>
        <v>0.29166666666666669</v>
      </c>
      <c r="D4801" s="5"/>
      <c r="E4801" s="5"/>
      <c r="F4801" s="5" t="s">
        <v>8</v>
      </c>
      <c r="G4801" s="15" t="s">
        <v>9</v>
      </c>
      <c r="H4801" s="24">
        <f t="shared" si="1129"/>
        <v>0</v>
      </c>
      <c r="I4801" s="24" cm="1">
        <f t="array" ref="I4801">IFERROR(IF($B4801=I$1, ($A4801+$C4801) - MAX(IF($B$2:$B4800=$B4801, $A$2:$A4800+$C$2:$C4800)), "")*24*60, "")</f>
        <v>0</v>
      </c>
      <c r="J4801" s="24" t="str" cm="1">
        <f t="array" ref="J4801">IFERROR(IF($B4801=J$1, ($A4801+$C4801) - MAX(IF($B$2:$B4800=$B4801, $A$2:$A4800+$C$2:$C4800)), "")*24*60, "")</f>
        <v/>
      </c>
      <c r="K4801" s="24" t="str" cm="1">
        <f t="array" ref="K4801">IFERROR(IF($B4801=K$1, ($A4801+$C4801) - MAX(IF($B$2:$B4800=$B4801, $A$2:$A4800+$C$2:$C4800)), "")*24*60, "")</f>
        <v/>
      </c>
      <c r="L4801" s="24" t="str" cm="1">
        <f t="array" ref="L4801">IFERROR(IF($B4801=L$1, ($A4801+$C4801) - MAX(IF($B$2:$B4800=$B4801, $A$2:$A4800+$C$2:$C4800)), "")*24*60, "")</f>
        <v/>
      </c>
      <c r="M4801" s="24" t="str" cm="1">
        <f t="array" ref="M4801">IFERROR(IF($B4801=M$1, ($A4801+$C4801) - MAX(IF($B$2:$B4800=$B4801, $A$2:$A4800+$C$2:$C4800)), "")*24*60, "")</f>
        <v/>
      </c>
      <c r="N4801" s="24" t="str" cm="1">
        <f t="array" ref="N4801">IFERROR(IF($B4801=N$1, ($A4801+$C4801) - MAX(IF($B$2:$B4800=$B4801, $A$2:$A4800+$C$2:$C4800)), "")*24*60, "")</f>
        <v/>
      </c>
      <c r="O4801" s="24" t="str" cm="1">
        <f t="array" ref="O4801">IFERROR(IF($B4801=O$1, ($A4801+$C4801) - MAX(IF($B$2:$B4800=$B4801, $A$2:$A4800+$C$2:$C4800)), "")*24*60, "")</f>
        <v/>
      </c>
      <c r="P4801" s="24" t="str" cm="1">
        <f t="array" ref="P4801">IFERROR(IF($B4801=P$1, ($A4801+$C4801) - MAX(IF($B$2:$B4800=$B4801, $A$2:$A4800+$C$2:$C4800)), "")*24*60, "")</f>
        <v/>
      </c>
      <c r="Q4801" s="24" t="str" cm="1">
        <f t="array" ref="Q4801">IFERROR(IF($B4801=Q$1, ($A4801+$C4801) - MAX(IF($B$2:$B4800=$B4801, $A$2:$A4800+$C$2:$C4800)), "")*24*60, "")</f>
        <v/>
      </c>
    </row>
    <row r="4802" spans="1:17" x14ac:dyDescent="0.2">
      <c r="A4802" s="12">
        <f t="shared" ref="A4802:C4802" si="1136">A4801</f>
        <v>45980</v>
      </c>
      <c r="B4802" s="5" t="str">
        <f t="shared" si="1136"/>
        <v>Northern Cardinal</v>
      </c>
      <c r="C4802" s="6">
        <f t="shared" si="1136"/>
        <v>0.29166666666666669</v>
      </c>
      <c r="D4802" s="5"/>
      <c r="E4802" s="5"/>
      <c r="F4802" s="5" t="s">
        <v>8</v>
      </c>
      <c r="G4802" s="15" t="s">
        <v>9</v>
      </c>
      <c r="H4802" s="24">
        <f t="shared" si="1129"/>
        <v>0</v>
      </c>
      <c r="I4802" s="24" cm="1">
        <f t="array" ref="I4802">IFERROR(IF($B4802=I$1, ($A4802+$C4802) - MAX(IF($B$2:$B4801=$B4802, $A$2:$A4801+$C$2:$C4801)), "")*24*60, "")</f>
        <v>0</v>
      </c>
      <c r="J4802" s="24" t="str" cm="1">
        <f t="array" ref="J4802">IFERROR(IF($B4802=J$1, ($A4802+$C4802) - MAX(IF($B$2:$B4801=$B4802, $A$2:$A4801+$C$2:$C4801)), "")*24*60, "")</f>
        <v/>
      </c>
      <c r="K4802" s="24" t="str" cm="1">
        <f t="array" ref="K4802">IFERROR(IF($B4802=K$1, ($A4802+$C4802) - MAX(IF($B$2:$B4801=$B4802, $A$2:$A4801+$C$2:$C4801)), "")*24*60, "")</f>
        <v/>
      </c>
      <c r="L4802" s="24" t="str" cm="1">
        <f t="array" ref="L4802">IFERROR(IF($B4802=L$1, ($A4802+$C4802) - MAX(IF($B$2:$B4801=$B4802, $A$2:$A4801+$C$2:$C4801)), "")*24*60, "")</f>
        <v/>
      </c>
      <c r="M4802" s="24" t="str" cm="1">
        <f t="array" ref="M4802">IFERROR(IF($B4802=M$1, ($A4802+$C4802) - MAX(IF($B$2:$B4801=$B4802, $A$2:$A4801+$C$2:$C4801)), "")*24*60, "")</f>
        <v/>
      </c>
      <c r="N4802" s="24" t="str" cm="1">
        <f t="array" ref="N4802">IFERROR(IF($B4802=N$1, ($A4802+$C4802) - MAX(IF($B$2:$B4801=$B4802, $A$2:$A4801+$C$2:$C4801)), "")*24*60, "")</f>
        <v/>
      </c>
      <c r="O4802" s="24" t="str" cm="1">
        <f t="array" ref="O4802">IFERROR(IF($B4802=O$1, ($A4802+$C4802) - MAX(IF($B$2:$B4801=$B4802, $A$2:$A4801+$C$2:$C4801)), "")*24*60, "")</f>
        <v/>
      </c>
      <c r="P4802" s="24" t="str" cm="1">
        <f t="array" ref="P4802">IFERROR(IF($B4802=P$1, ($A4802+$C4802) - MAX(IF($B$2:$B4801=$B4802, $A$2:$A4801+$C$2:$C4801)), "")*24*60, "")</f>
        <v/>
      </c>
      <c r="Q4802" s="24" t="str" cm="1">
        <f t="array" ref="Q4802">IFERROR(IF($B4802=Q$1, ($A4802+$C4802) - MAX(IF($B$2:$B4801=$B4802, $A$2:$A4801+$C$2:$C4801)), "")*24*60, "")</f>
        <v/>
      </c>
    </row>
    <row r="4803" spans="1:17" x14ac:dyDescent="0.2">
      <c r="A4803" s="12">
        <f t="shared" ref="A4803:C4803" si="1137">A4802</f>
        <v>45980</v>
      </c>
      <c r="B4803" s="5" t="str">
        <f t="shared" si="1137"/>
        <v>Northern Cardinal</v>
      </c>
      <c r="C4803" s="6">
        <f t="shared" si="1137"/>
        <v>0.29166666666666669</v>
      </c>
      <c r="D4803" s="5"/>
      <c r="E4803" s="5"/>
      <c r="F4803" s="5" t="s">
        <v>8</v>
      </c>
      <c r="G4803" s="15" t="s">
        <v>9</v>
      </c>
      <c r="H4803" s="24">
        <f t="shared" si="1129"/>
        <v>0</v>
      </c>
      <c r="I4803" s="24" cm="1">
        <f t="array" ref="I4803">IFERROR(IF($B4803=I$1, ($A4803+$C4803) - MAX(IF($B$2:$B4802=$B4803, $A$2:$A4802+$C$2:$C4802)), "")*24*60, "")</f>
        <v>0</v>
      </c>
      <c r="J4803" s="24" t="str" cm="1">
        <f t="array" ref="J4803">IFERROR(IF($B4803=J$1, ($A4803+$C4803) - MAX(IF($B$2:$B4802=$B4803, $A$2:$A4802+$C$2:$C4802)), "")*24*60, "")</f>
        <v/>
      </c>
      <c r="K4803" s="24" t="str" cm="1">
        <f t="array" ref="K4803">IFERROR(IF($B4803=K$1, ($A4803+$C4803) - MAX(IF($B$2:$B4802=$B4803, $A$2:$A4802+$C$2:$C4802)), "")*24*60, "")</f>
        <v/>
      </c>
      <c r="L4803" s="24" t="str" cm="1">
        <f t="array" ref="L4803">IFERROR(IF($B4803=L$1, ($A4803+$C4803) - MAX(IF($B$2:$B4802=$B4803, $A$2:$A4802+$C$2:$C4802)), "")*24*60, "")</f>
        <v/>
      </c>
      <c r="M4803" s="24" t="str" cm="1">
        <f t="array" ref="M4803">IFERROR(IF($B4803=M$1, ($A4803+$C4803) - MAX(IF($B$2:$B4802=$B4803, $A$2:$A4802+$C$2:$C4802)), "")*24*60, "")</f>
        <v/>
      </c>
      <c r="N4803" s="24" t="str" cm="1">
        <f t="array" ref="N4803">IFERROR(IF($B4803=N$1, ($A4803+$C4803) - MAX(IF($B$2:$B4802=$B4803, $A$2:$A4802+$C$2:$C4802)), "")*24*60, "")</f>
        <v/>
      </c>
      <c r="O4803" s="24" t="str" cm="1">
        <f t="array" ref="O4803">IFERROR(IF($B4803=O$1, ($A4803+$C4803) - MAX(IF($B$2:$B4802=$B4803, $A$2:$A4802+$C$2:$C4802)), "")*24*60, "")</f>
        <v/>
      </c>
      <c r="P4803" s="24" t="str" cm="1">
        <f t="array" ref="P4803">IFERROR(IF($B4803=P$1, ($A4803+$C4803) - MAX(IF($B$2:$B4802=$B4803, $A$2:$A4802+$C$2:$C4802)), "")*24*60, "")</f>
        <v/>
      </c>
      <c r="Q4803" s="24" t="str" cm="1">
        <f t="array" ref="Q4803">IFERROR(IF($B4803=Q$1, ($A4803+$C4803) - MAX(IF($B$2:$B4802=$B4803, $A$2:$A4802+$C$2:$C4802)), "")*24*60, "")</f>
        <v/>
      </c>
    </row>
    <row r="4804" spans="1:17" x14ac:dyDescent="0.2">
      <c r="A4804" s="12">
        <f t="shared" ref="A4804:C4804" si="1138">A4803</f>
        <v>45980</v>
      </c>
      <c r="B4804" s="5" t="str">
        <f t="shared" si="1138"/>
        <v>Northern Cardinal</v>
      </c>
      <c r="C4804" s="6">
        <f t="shared" si="1138"/>
        <v>0.29166666666666669</v>
      </c>
      <c r="D4804" s="5"/>
      <c r="E4804" s="5"/>
      <c r="F4804" s="5" t="s">
        <v>8</v>
      </c>
      <c r="G4804" s="15" t="s">
        <v>9</v>
      </c>
      <c r="H4804" s="24">
        <f t="shared" si="1129"/>
        <v>0</v>
      </c>
      <c r="I4804" s="24" cm="1">
        <f t="array" ref="I4804">IFERROR(IF($B4804=I$1, ($A4804+$C4804) - MAX(IF($B$2:$B4803=$B4804, $A$2:$A4803+$C$2:$C4803)), "")*24*60, "")</f>
        <v>0</v>
      </c>
      <c r="J4804" s="24" t="str" cm="1">
        <f t="array" ref="J4804">IFERROR(IF($B4804=J$1, ($A4804+$C4804) - MAX(IF($B$2:$B4803=$B4804, $A$2:$A4803+$C$2:$C4803)), "")*24*60, "")</f>
        <v/>
      </c>
      <c r="K4804" s="24" t="str" cm="1">
        <f t="array" ref="K4804">IFERROR(IF($B4804=K$1, ($A4804+$C4804) - MAX(IF($B$2:$B4803=$B4804, $A$2:$A4803+$C$2:$C4803)), "")*24*60, "")</f>
        <v/>
      </c>
      <c r="L4804" s="24" t="str" cm="1">
        <f t="array" ref="L4804">IFERROR(IF($B4804=L$1, ($A4804+$C4804) - MAX(IF($B$2:$B4803=$B4804, $A$2:$A4803+$C$2:$C4803)), "")*24*60, "")</f>
        <v/>
      </c>
      <c r="M4804" s="24" t="str" cm="1">
        <f t="array" ref="M4804">IFERROR(IF($B4804=M$1, ($A4804+$C4804) - MAX(IF($B$2:$B4803=$B4804, $A$2:$A4803+$C$2:$C4803)), "")*24*60, "")</f>
        <v/>
      </c>
      <c r="N4804" s="24" t="str" cm="1">
        <f t="array" ref="N4804">IFERROR(IF($B4804=N$1, ($A4804+$C4804) - MAX(IF($B$2:$B4803=$B4804, $A$2:$A4803+$C$2:$C4803)), "")*24*60, "")</f>
        <v/>
      </c>
      <c r="O4804" s="24" t="str" cm="1">
        <f t="array" ref="O4804">IFERROR(IF($B4804=O$1, ($A4804+$C4804) - MAX(IF($B$2:$B4803=$B4804, $A$2:$A4803+$C$2:$C4803)), "")*24*60, "")</f>
        <v/>
      </c>
      <c r="P4804" s="24" t="str" cm="1">
        <f t="array" ref="P4804">IFERROR(IF($B4804=P$1, ($A4804+$C4804) - MAX(IF($B$2:$B4803=$B4804, $A$2:$A4803+$C$2:$C4803)), "")*24*60, "")</f>
        <v/>
      </c>
      <c r="Q4804" s="24" t="str" cm="1">
        <f t="array" ref="Q4804">IFERROR(IF($B4804=Q$1, ($A4804+$C4804) - MAX(IF($B$2:$B4803=$B4804, $A$2:$A4803+$C$2:$C4803)), "")*24*60, "")</f>
        <v/>
      </c>
    </row>
    <row r="4805" spans="1:17" x14ac:dyDescent="0.2">
      <c r="A4805" s="12">
        <f t="shared" ref="A4805:C4805" si="1139">A4804</f>
        <v>45980</v>
      </c>
      <c r="B4805" s="5" t="str">
        <f t="shared" si="1139"/>
        <v>Northern Cardinal</v>
      </c>
      <c r="C4805" s="6">
        <f t="shared" si="1139"/>
        <v>0.29166666666666669</v>
      </c>
      <c r="D4805" s="5"/>
      <c r="E4805" s="5"/>
      <c r="F4805" s="5" t="s">
        <v>8</v>
      </c>
      <c r="G4805" s="15" t="s">
        <v>9</v>
      </c>
      <c r="H4805" s="24">
        <f t="shared" si="1129"/>
        <v>0</v>
      </c>
      <c r="I4805" s="24" cm="1">
        <f t="array" ref="I4805">IFERROR(IF($B4805=I$1, ($A4805+$C4805) - MAX(IF($B$2:$B4804=$B4805, $A$2:$A4804+$C$2:$C4804)), "")*24*60, "")</f>
        <v>0</v>
      </c>
      <c r="J4805" s="24" t="str" cm="1">
        <f t="array" ref="J4805">IFERROR(IF($B4805=J$1, ($A4805+$C4805) - MAX(IF($B$2:$B4804=$B4805, $A$2:$A4804+$C$2:$C4804)), "")*24*60, "")</f>
        <v/>
      </c>
      <c r="K4805" s="24" t="str" cm="1">
        <f t="array" ref="K4805">IFERROR(IF($B4805=K$1, ($A4805+$C4805) - MAX(IF($B$2:$B4804=$B4805, $A$2:$A4804+$C$2:$C4804)), "")*24*60, "")</f>
        <v/>
      </c>
      <c r="L4805" s="24" t="str" cm="1">
        <f t="array" ref="L4805">IFERROR(IF($B4805=L$1, ($A4805+$C4805) - MAX(IF($B$2:$B4804=$B4805, $A$2:$A4804+$C$2:$C4804)), "")*24*60, "")</f>
        <v/>
      </c>
      <c r="M4805" s="24" t="str" cm="1">
        <f t="array" ref="M4805">IFERROR(IF($B4805=M$1, ($A4805+$C4805) - MAX(IF($B$2:$B4804=$B4805, $A$2:$A4804+$C$2:$C4804)), "")*24*60, "")</f>
        <v/>
      </c>
      <c r="N4805" s="24" t="str" cm="1">
        <f t="array" ref="N4805">IFERROR(IF($B4805=N$1, ($A4805+$C4805) - MAX(IF($B$2:$B4804=$B4805, $A$2:$A4804+$C$2:$C4804)), "")*24*60, "")</f>
        <v/>
      </c>
      <c r="O4805" s="24" t="str" cm="1">
        <f t="array" ref="O4805">IFERROR(IF($B4805=O$1, ($A4805+$C4805) - MAX(IF($B$2:$B4804=$B4805, $A$2:$A4804+$C$2:$C4804)), "")*24*60, "")</f>
        <v/>
      </c>
      <c r="P4805" s="24" t="str" cm="1">
        <f t="array" ref="P4805">IFERROR(IF($B4805=P$1, ($A4805+$C4805) - MAX(IF($B$2:$B4804=$B4805, $A$2:$A4804+$C$2:$C4804)), "")*24*60, "")</f>
        <v/>
      </c>
      <c r="Q4805" s="24" t="str" cm="1">
        <f t="array" ref="Q4805">IFERROR(IF($B4805=Q$1, ($A4805+$C4805) - MAX(IF($B$2:$B4804=$B4805, $A$2:$A4804+$C$2:$C4804)), "")*24*60, "")</f>
        <v/>
      </c>
    </row>
    <row r="4806" spans="1:17" x14ac:dyDescent="0.2">
      <c r="A4806" s="12">
        <f t="shared" ref="A4806:C4806" si="1140">A4805</f>
        <v>45980</v>
      </c>
      <c r="B4806" s="5" t="str">
        <f t="shared" si="1140"/>
        <v>Northern Cardinal</v>
      </c>
      <c r="C4806" s="6">
        <f t="shared" si="1140"/>
        <v>0.29166666666666669</v>
      </c>
      <c r="D4806" s="5"/>
      <c r="E4806" s="5"/>
      <c r="F4806" s="5" t="s">
        <v>8</v>
      </c>
      <c r="G4806" s="15" t="s">
        <v>9</v>
      </c>
      <c r="H4806" s="24">
        <f t="shared" si="1129"/>
        <v>0</v>
      </c>
      <c r="I4806" s="24" cm="1">
        <f t="array" ref="I4806">IFERROR(IF($B4806=I$1, ($A4806+$C4806) - MAX(IF($B$2:$B4805=$B4806, $A$2:$A4805+$C$2:$C4805)), "")*24*60, "")</f>
        <v>0</v>
      </c>
      <c r="J4806" s="24" t="str" cm="1">
        <f t="array" ref="J4806">IFERROR(IF($B4806=J$1, ($A4806+$C4806) - MAX(IF($B$2:$B4805=$B4806, $A$2:$A4805+$C$2:$C4805)), "")*24*60, "")</f>
        <v/>
      </c>
      <c r="K4806" s="24" t="str" cm="1">
        <f t="array" ref="K4806">IFERROR(IF($B4806=K$1, ($A4806+$C4806) - MAX(IF($B$2:$B4805=$B4806, $A$2:$A4805+$C$2:$C4805)), "")*24*60, "")</f>
        <v/>
      </c>
      <c r="L4806" s="24" t="str" cm="1">
        <f t="array" ref="L4806">IFERROR(IF($B4806=L$1, ($A4806+$C4806) - MAX(IF($B$2:$B4805=$B4806, $A$2:$A4805+$C$2:$C4805)), "")*24*60, "")</f>
        <v/>
      </c>
      <c r="M4806" s="24" t="str" cm="1">
        <f t="array" ref="M4806">IFERROR(IF($B4806=M$1, ($A4806+$C4806) - MAX(IF($B$2:$B4805=$B4806, $A$2:$A4805+$C$2:$C4805)), "")*24*60, "")</f>
        <v/>
      </c>
      <c r="N4806" s="24" t="str" cm="1">
        <f t="array" ref="N4806">IFERROR(IF($B4806=N$1, ($A4806+$C4806) - MAX(IF($B$2:$B4805=$B4806, $A$2:$A4805+$C$2:$C4805)), "")*24*60, "")</f>
        <v/>
      </c>
      <c r="O4806" s="24" t="str" cm="1">
        <f t="array" ref="O4806">IFERROR(IF($B4806=O$1, ($A4806+$C4806) - MAX(IF($B$2:$B4805=$B4806, $A$2:$A4805+$C$2:$C4805)), "")*24*60, "")</f>
        <v/>
      </c>
      <c r="P4806" s="24" t="str" cm="1">
        <f t="array" ref="P4806">IFERROR(IF($B4806=P$1, ($A4806+$C4806) - MAX(IF($B$2:$B4805=$B4806, $A$2:$A4805+$C$2:$C4805)), "")*24*60, "")</f>
        <v/>
      </c>
      <c r="Q4806" s="24" t="str" cm="1">
        <f t="array" ref="Q4806">IFERROR(IF($B4806=Q$1, ($A4806+$C4806) - MAX(IF($B$2:$B4805=$B4806, $A$2:$A4805+$C$2:$C4805)), "")*24*60, "")</f>
        <v/>
      </c>
    </row>
    <row r="4807" spans="1:17" x14ac:dyDescent="0.2">
      <c r="A4807" s="12">
        <f t="shared" ref="A4807:C4807" si="1141">A4806</f>
        <v>45980</v>
      </c>
      <c r="B4807" s="5" t="str">
        <f t="shared" si="1141"/>
        <v>Northern Cardinal</v>
      </c>
      <c r="C4807" s="6">
        <f t="shared" si="1141"/>
        <v>0.29166666666666669</v>
      </c>
      <c r="D4807" s="5"/>
      <c r="E4807" s="5"/>
      <c r="F4807" s="5" t="s">
        <v>8</v>
      </c>
      <c r="G4807" s="15" t="s">
        <v>9</v>
      </c>
      <c r="H4807" s="24">
        <f t="shared" si="1129"/>
        <v>0</v>
      </c>
      <c r="I4807" s="24" cm="1">
        <f t="array" ref="I4807">IFERROR(IF($B4807=I$1, ($A4807+$C4807) - MAX(IF($B$2:$B4806=$B4807, $A$2:$A4806+$C$2:$C4806)), "")*24*60, "")</f>
        <v>0</v>
      </c>
      <c r="J4807" s="24" t="str" cm="1">
        <f t="array" ref="J4807">IFERROR(IF($B4807=J$1, ($A4807+$C4807) - MAX(IF($B$2:$B4806=$B4807, $A$2:$A4806+$C$2:$C4806)), "")*24*60, "")</f>
        <v/>
      </c>
      <c r="K4807" s="24" t="str" cm="1">
        <f t="array" ref="K4807">IFERROR(IF($B4807=K$1, ($A4807+$C4807) - MAX(IF($B$2:$B4806=$B4807, $A$2:$A4806+$C$2:$C4806)), "")*24*60, "")</f>
        <v/>
      </c>
      <c r="L4807" s="24" t="str" cm="1">
        <f t="array" ref="L4807">IFERROR(IF($B4807=L$1, ($A4807+$C4807) - MAX(IF($B$2:$B4806=$B4807, $A$2:$A4806+$C$2:$C4806)), "")*24*60, "")</f>
        <v/>
      </c>
      <c r="M4807" s="24" t="str" cm="1">
        <f t="array" ref="M4807">IFERROR(IF($B4807=M$1, ($A4807+$C4807) - MAX(IF($B$2:$B4806=$B4807, $A$2:$A4806+$C$2:$C4806)), "")*24*60, "")</f>
        <v/>
      </c>
      <c r="N4807" s="24" t="str" cm="1">
        <f t="array" ref="N4807">IFERROR(IF($B4807=N$1, ($A4807+$C4807) - MAX(IF($B$2:$B4806=$B4807, $A$2:$A4806+$C$2:$C4806)), "")*24*60, "")</f>
        <v/>
      </c>
      <c r="O4807" s="24" t="str" cm="1">
        <f t="array" ref="O4807">IFERROR(IF($B4807=O$1, ($A4807+$C4807) - MAX(IF($B$2:$B4806=$B4807, $A$2:$A4806+$C$2:$C4806)), "")*24*60, "")</f>
        <v/>
      </c>
      <c r="P4807" s="24" t="str" cm="1">
        <f t="array" ref="P4807">IFERROR(IF($B4807=P$1, ($A4807+$C4807) - MAX(IF($B$2:$B4806=$B4807, $A$2:$A4806+$C$2:$C4806)), "")*24*60, "")</f>
        <v/>
      </c>
      <c r="Q4807" s="24" t="str" cm="1">
        <f t="array" ref="Q4807">IFERROR(IF($B4807=Q$1, ($A4807+$C4807) - MAX(IF($B$2:$B4806=$B4807, $A$2:$A4806+$C$2:$C4806)), "")*24*60, "")</f>
        <v/>
      </c>
    </row>
    <row r="4808" spans="1:17" x14ac:dyDescent="0.2">
      <c r="A4808" s="12">
        <f t="shared" ref="A4808:C4808" si="1142">A4807</f>
        <v>45980</v>
      </c>
      <c r="B4808" s="5" t="str">
        <f t="shared" si="1142"/>
        <v>Northern Cardinal</v>
      </c>
      <c r="C4808" s="6">
        <f t="shared" si="1142"/>
        <v>0.29166666666666669</v>
      </c>
      <c r="D4808" s="5"/>
      <c r="E4808" s="5"/>
      <c r="F4808" s="5" t="s">
        <v>8</v>
      </c>
      <c r="G4808" s="15" t="s">
        <v>9</v>
      </c>
      <c r="H4808" s="24">
        <f t="shared" si="1129"/>
        <v>0</v>
      </c>
      <c r="I4808" s="24" cm="1">
        <f t="array" ref="I4808">IFERROR(IF($B4808=I$1, ($A4808+$C4808) - MAX(IF($B$2:$B4807=$B4808, $A$2:$A4807+$C$2:$C4807)), "")*24*60, "")</f>
        <v>0</v>
      </c>
      <c r="J4808" s="24" t="str" cm="1">
        <f t="array" ref="J4808">IFERROR(IF($B4808=J$1, ($A4808+$C4808) - MAX(IF($B$2:$B4807=$B4808, $A$2:$A4807+$C$2:$C4807)), "")*24*60, "")</f>
        <v/>
      </c>
      <c r="K4808" s="24" t="str" cm="1">
        <f t="array" ref="K4808">IFERROR(IF($B4808=K$1, ($A4808+$C4808) - MAX(IF($B$2:$B4807=$B4808, $A$2:$A4807+$C$2:$C4807)), "")*24*60, "")</f>
        <v/>
      </c>
      <c r="L4808" s="24" t="str" cm="1">
        <f t="array" ref="L4808">IFERROR(IF($B4808=L$1, ($A4808+$C4808) - MAX(IF($B$2:$B4807=$B4808, $A$2:$A4807+$C$2:$C4807)), "")*24*60, "")</f>
        <v/>
      </c>
      <c r="M4808" s="24" t="str" cm="1">
        <f t="array" ref="M4808">IFERROR(IF($B4808=M$1, ($A4808+$C4808) - MAX(IF($B$2:$B4807=$B4808, $A$2:$A4807+$C$2:$C4807)), "")*24*60, "")</f>
        <v/>
      </c>
      <c r="N4808" s="24" t="str" cm="1">
        <f t="array" ref="N4808">IFERROR(IF($B4808=N$1, ($A4808+$C4808) - MAX(IF($B$2:$B4807=$B4808, $A$2:$A4807+$C$2:$C4807)), "")*24*60, "")</f>
        <v/>
      </c>
      <c r="O4808" s="24" t="str" cm="1">
        <f t="array" ref="O4808">IFERROR(IF($B4808=O$1, ($A4808+$C4808) - MAX(IF($B$2:$B4807=$B4808, $A$2:$A4807+$C$2:$C4807)), "")*24*60, "")</f>
        <v/>
      </c>
      <c r="P4808" s="24" t="str" cm="1">
        <f t="array" ref="P4808">IFERROR(IF($B4808=P$1, ($A4808+$C4808) - MAX(IF($B$2:$B4807=$B4808, $A$2:$A4807+$C$2:$C4807)), "")*24*60, "")</f>
        <v/>
      </c>
      <c r="Q4808" s="24" t="str" cm="1">
        <f t="array" ref="Q4808">IFERROR(IF($B4808=Q$1, ($A4808+$C4808) - MAX(IF($B$2:$B4807=$B4808, $A$2:$A4807+$C$2:$C4807)), "")*24*60, "")</f>
        <v/>
      </c>
    </row>
    <row r="4809" spans="1:17" x14ac:dyDescent="0.2">
      <c r="A4809" s="12">
        <f t="shared" ref="A4809:C4809" si="1143">A4808</f>
        <v>45980</v>
      </c>
      <c r="B4809" s="5" t="str">
        <f t="shared" si="1143"/>
        <v>Northern Cardinal</v>
      </c>
      <c r="C4809" s="6">
        <f t="shared" si="1143"/>
        <v>0.29166666666666669</v>
      </c>
      <c r="D4809" s="5"/>
      <c r="E4809" s="5"/>
      <c r="F4809" s="5" t="s">
        <v>8</v>
      </c>
      <c r="G4809" s="15" t="s">
        <v>9</v>
      </c>
      <c r="H4809" s="24">
        <f t="shared" si="1129"/>
        <v>0</v>
      </c>
      <c r="I4809" s="24" cm="1">
        <f t="array" ref="I4809">IFERROR(IF($B4809=I$1, ($A4809+$C4809) - MAX(IF($B$2:$B4808=$B4809, $A$2:$A4808+$C$2:$C4808)), "")*24*60, "")</f>
        <v>0</v>
      </c>
      <c r="J4809" s="24" t="str" cm="1">
        <f t="array" ref="J4809">IFERROR(IF($B4809=J$1, ($A4809+$C4809) - MAX(IF($B$2:$B4808=$B4809, $A$2:$A4808+$C$2:$C4808)), "")*24*60, "")</f>
        <v/>
      </c>
      <c r="K4809" s="24" t="str" cm="1">
        <f t="array" ref="K4809">IFERROR(IF($B4809=K$1, ($A4809+$C4809) - MAX(IF($B$2:$B4808=$B4809, $A$2:$A4808+$C$2:$C4808)), "")*24*60, "")</f>
        <v/>
      </c>
      <c r="L4809" s="24" t="str" cm="1">
        <f t="array" ref="L4809">IFERROR(IF($B4809=L$1, ($A4809+$C4809) - MAX(IF($B$2:$B4808=$B4809, $A$2:$A4808+$C$2:$C4808)), "")*24*60, "")</f>
        <v/>
      </c>
      <c r="M4809" s="24" t="str" cm="1">
        <f t="array" ref="M4809">IFERROR(IF($B4809=M$1, ($A4809+$C4809) - MAX(IF($B$2:$B4808=$B4809, $A$2:$A4808+$C$2:$C4808)), "")*24*60, "")</f>
        <v/>
      </c>
      <c r="N4809" s="24" t="str" cm="1">
        <f t="array" ref="N4809">IFERROR(IF($B4809=N$1, ($A4809+$C4809) - MAX(IF($B$2:$B4808=$B4809, $A$2:$A4808+$C$2:$C4808)), "")*24*60, "")</f>
        <v/>
      </c>
      <c r="O4809" s="24" t="str" cm="1">
        <f t="array" ref="O4809">IFERROR(IF($B4809=O$1, ($A4809+$C4809) - MAX(IF($B$2:$B4808=$B4809, $A$2:$A4808+$C$2:$C4808)), "")*24*60, "")</f>
        <v/>
      </c>
      <c r="P4809" s="24" t="str" cm="1">
        <f t="array" ref="P4809">IFERROR(IF($B4809=P$1, ($A4809+$C4809) - MAX(IF($B$2:$B4808=$B4809, $A$2:$A4808+$C$2:$C4808)), "")*24*60, "")</f>
        <v/>
      </c>
      <c r="Q4809" s="24" t="str" cm="1">
        <f t="array" ref="Q4809">IFERROR(IF($B4809=Q$1, ($A4809+$C4809) - MAX(IF($B$2:$B4808=$B4809, $A$2:$A4808+$C$2:$C4808)), "")*24*60, "")</f>
        <v/>
      </c>
    </row>
    <row r="4810" spans="1:17" x14ac:dyDescent="0.2">
      <c r="A4810" s="12">
        <f t="shared" ref="A4810:C4810" si="1144">A4809</f>
        <v>45980</v>
      </c>
      <c r="B4810" s="5" t="str">
        <f t="shared" si="1144"/>
        <v>Northern Cardinal</v>
      </c>
      <c r="C4810" s="6">
        <f t="shared" si="1144"/>
        <v>0.29166666666666669</v>
      </c>
      <c r="D4810" s="5"/>
      <c r="E4810" s="5"/>
      <c r="F4810" s="5" t="s">
        <v>8</v>
      </c>
      <c r="G4810" s="15" t="s">
        <v>9</v>
      </c>
      <c r="H4810" s="24">
        <f t="shared" si="1129"/>
        <v>0</v>
      </c>
      <c r="I4810" s="24" cm="1">
        <f t="array" ref="I4810">IFERROR(IF($B4810=I$1, ($A4810+$C4810) - MAX(IF($B$2:$B4809=$B4810, $A$2:$A4809+$C$2:$C4809)), "")*24*60, "")</f>
        <v>0</v>
      </c>
      <c r="J4810" s="24" t="str" cm="1">
        <f t="array" ref="J4810">IFERROR(IF($B4810=J$1, ($A4810+$C4810) - MAX(IF($B$2:$B4809=$B4810, $A$2:$A4809+$C$2:$C4809)), "")*24*60, "")</f>
        <v/>
      </c>
      <c r="K4810" s="24" t="str" cm="1">
        <f t="array" ref="K4810">IFERROR(IF($B4810=K$1, ($A4810+$C4810) - MAX(IF($B$2:$B4809=$B4810, $A$2:$A4809+$C$2:$C4809)), "")*24*60, "")</f>
        <v/>
      </c>
      <c r="L4810" s="24" t="str" cm="1">
        <f t="array" ref="L4810">IFERROR(IF($B4810=L$1, ($A4810+$C4810) - MAX(IF($B$2:$B4809=$B4810, $A$2:$A4809+$C$2:$C4809)), "")*24*60, "")</f>
        <v/>
      </c>
      <c r="M4810" s="24" t="str" cm="1">
        <f t="array" ref="M4810">IFERROR(IF($B4810=M$1, ($A4810+$C4810) - MAX(IF($B$2:$B4809=$B4810, $A$2:$A4809+$C$2:$C4809)), "")*24*60, "")</f>
        <v/>
      </c>
      <c r="N4810" s="24" t="str" cm="1">
        <f t="array" ref="N4810">IFERROR(IF($B4810=N$1, ($A4810+$C4810) - MAX(IF($B$2:$B4809=$B4810, $A$2:$A4809+$C$2:$C4809)), "")*24*60, "")</f>
        <v/>
      </c>
      <c r="O4810" s="24" t="str" cm="1">
        <f t="array" ref="O4810">IFERROR(IF($B4810=O$1, ($A4810+$C4810) - MAX(IF($B$2:$B4809=$B4810, $A$2:$A4809+$C$2:$C4809)), "")*24*60, "")</f>
        <v/>
      </c>
      <c r="P4810" s="24" t="str" cm="1">
        <f t="array" ref="P4810">IFERROR(IF($B4810=P$1, ($A4810+$C4810) - MAX(IF($B$2:$B4809=$B4810, $A$2:$A4809+$C$2:$C4809)), "")*24*60, "")</f>
        <v/>
      </c>
      <c r="Q4810" s="24" t="str" cm="1">
        <f t="array" ref="Q4810">IFERROR(IF($B4810=Q$1, ($A4810+$C4810) - MAX(IF($B$2:$B4809=$B4810, $A$2:$A4809+$C$2:$C4809)), "")*24*60, "")</f>
        <v/>
      </c>
    </row>
    <row r="4811" spans="1:17" x14ac:dyDescent="0.2">
      <c r="A4811" s="12">
        <f t="shared" ref="A4811:C4811" si="1145">A4810</f>
        <v>45980</v>
      </c>
      <c r="B4811" s="5" t="str">
        <f t="shared" si="1145"/>
        <v>Northern Cardinal</v>
      </c>
      <c r="C4811" s="6">
        <f t="shared" si="1145"/>
        <v>0.29166666666666669</v>
      </c>
      <c r="D4811" s="5"/>
      <c r="E4811" s="5"/>
      <c r="F4811" s="5" t="s">
        <v>8</v>
      </c>
      <c r="G4811" s="15" t="s">
        <v>9</v>
      </c>
      <c r="H4811" s="24">
        <f t="shared" si="1129"/>
        <v>0</v>
      </c>
      <c r="I4811" s="24" cm="1">
        <f t="array" ref="I4811">IFERROR(IF($B4811=I$1, ($A4811+$C4811) - MAX(IF($B$2:$B4810=$B4811, $A$2:$A4810+$C$2:$C4810)), "")*24*60, "")</f>
        <v>0</v>
      </c>
      <c r="J4811" s="24" t="str" cm="1">
        <f t="array" ref="J4811">IFERROR(IF($B4811=J$1, ($A4811+$C4811) - MAX(IF($B$2:$B4810=$B4811, $A$2:$A4810+$C$2:$C4810)), "")*24*60, "")</f>
        <v/>
      </c>
      <c r="K4811" s="24" t="str" cm="1">
        <f t="array" ref="K4811">IFERROR(IF($B4811=K$1, ($A4811+$C4811) - MAX(IF($B$2:$B4810=$B4811, $A$2:$A4810+$C$2:$C4810)), "")*24*60, "")</f>
        <v/>
      </c>
      <c r="L4811" s="24" t="str" cm="1">
        <f t="array" ref="L4811">IFERROR(IF($B4811=L$1, ($A4811+$C4811) - MAX(IF($B$2:$B4810=$B4811, $A$2:$A4810+$C$2:$C4810)), "")*24*60, "")</f>
        <v/>
      </c>
      <c r="M4811" s="24" t="str" cm="1">
        <f t="array" ref="M4811">IFERROR(IF($B4811=M$1, ($A4811+$C4811) - MAX(IF($B$2:$B4810=$B4811, $A$2:$A4810+$C$2:$C4810)), "")*24*60, "")</f>
        <v/>
      </c>
      <c r="N4811" s="24" t="str" cm="1">
        <f t="array" ref="N4811">IFERROR(IF($B4811=N$1, ($A4811+$C4811) - MAX(IF($B$2:$B4810=$B4811, $A$2:$A4810+$C$2:$C4810)), "")*24*60, "")</f>
        <v/>
      </c>
      <c r="O4811" s="24" t="str" cm="1">
        <f t="array" ref="O4811">IFERROR(IF($B4811=O$1, ($A4811+$C4811) - MAX(IF($B$2:$B4810=$B4811, $A$2:$A4810+$C$2:$C4810)), "")*24*60, "")</f>
        <v/>
      </c>
      <c r="P4811" s="24" t="str" cm="1">
        <f t="array" ref="P4811">IFERROR(IF($B4811=P$1, ($A4811+$C4811) - MAX(IF($B$2:$B4810=$B4811, $A$2:$A4810+$C$2:$C4810)), "")*24*60, "")</f>
        <v/>
      </c>
      <c r="Q4811" s="24" t="str" cm="1">
        <f t="array" ref="Q4811">IFERROR(IF($B4811=Q$1, ($A4811+$C4811) - MAX(IF($B$2:$B4810=$B4811, $A$2:$A4810+$C$2:$C4810)), "")*24*60, "")</f>
        <v/>
      </c>
    </row>
    <row r="4812" spans="1:17" x14ac:dyDescent="0.2">
      <c r="A4812" s="12">
        <f t="shared" ref="A4812:C4812" si="1146">A4811</f>
        <v>45980</v>
      </c>
      <c r="B4812" s="5" t="str">
        <f t="shared" si="1146"/>
        <v>Northern Cardinal</v>
      </c>
      <c r="C4812" s="6">
        <f t="shared" si="1146"/>
        <v>0.29166666666666669</v>
      </c>
      <c r="D4812" s="5"/>
      <c r="E4812" s="5"/>
      <c r="F4812" s="5" t="s">
        <v>8</v>
      </c>
      <c r="G4812" s="15" t="s">
        <v>9</v>
      </c>
      <c r="H4812" s="24">
        <f t="shared" si="1129"/>
        <v>0</v>
      </c>
      <c r="I4812" s="24" cm="1">
        <f t="array" ref="I4812">IFERROR(IF($B4812=I$1, ($A4812+$C4812) - MAX(IF($B$2:$B4811=$B4812, $A$2:$A4811+$C$2:$C4811)), "")*24*60, "")</f>
        <v>0</v>
      </c>
      <c r="J4812" s="24" t="str" cm="1">
        <f t="array" ref="J4812">IFERROR(IF($B4812=J$1, ($A4812+$C4812) - MAX(IF($B$2:$B4811=$B4812, $A$2:$A4811+$C$2:$C4811)), "")*24*60, "")</f>
        <v/>
      </c>
      <c r="K4812" s="24" t="str" cm="1">
        <f t="array" ref="K4812">IFERROR(IF($B4812=K$1, ($A4812+$C4812) - MAX(IF($B$2:$B4811=$B4812, $A$2:$A4811+$C$2:$C4811)), "")*24*60, "")</f>
        <v/>
      </c>
      <c r="L4812" s="24" t="str" cm="1">
        <f t="array" ref="L4812">IFERROR(IF($B4812=L$1, ($A4812+$C4812) - MAX(IF($B$2:$B4811=$B4812, $A$2:$A4811+$C$2:$C4811)), "")*24*60, "")</f>
        <v/>
      </c>
      <c r="M4812" s="24" t="str" cm="1">
        <f t="array" ref="M4812">IFERROR(IF($B4812=M$1, ($A4812+$C4812) - MAX(IF($B$2:$B4811=$B4812, $A$2:$A4811+$C$2:$C4811)), "")*24*60, "")</f>
        <v/>
      </c>
      <c r="N4812" s="24" t="str" cm="1">
        <f t="array" ref="N4812">IFERROR(IF($B4812=N$1, ($A4812+$C4812) - MAX(IF($B$2:$B4811=$B4812, $A$2:$A4811+$C$2:$C4811)), "")*24*60, "")</f>
        <v/>
      </c>
      <c r="O4812" s="24" t="str" cm="1">
        <f t="array" ref="O4812">IFERROR(IF($B4812=O$1, ($A4812+$C4812) - MAX(IF($B$2:$B4811=$B4812, $A$2:$A4811+$C$2:$C4811)), "")*24*60, "")</f>
        <v/>
      </c>
      <c r="P4812" s="24" t="str" cm="1">
        <f t="array" ref="P4812">IFERROR(IF($B4812=P$1, ($A4812+$C4812) - MAX(IF($B$2:$B4811=$B4812, $A$2:$A4811+$C$2:$C4811)), "")*24*60, "")</f>
        <v/>
      </c>
      <c r="Q4812" s="24" t="str" cm="1">
        <f t="array" ref="Q4812">IFERROR(IF($B4812=Q$1, ($A4812+$C4812) - MAX(IF($B$2:$B4811=$B4812, $A$2:$A4811+$C$2:$C4811)), "")*24*60, "")</f>
        <v/>
      </c>
    </row>
    <row r="4813" spans="1:17" x14ac:dyDescent="0.2">
      <c r="A4813" s="12">
        <f t="shared" ref="A4813:C4813" si="1147">A4812</f>
        <v>45980</v>
      </c>
      <c r="B4813" s="5" t="str">
        <f t="shared" si="1147"/>
        <v>Northern Cardinal</v>
      </c>
      <c r="C4813" s="6">
        <f t="shared" si="1147"/>
        <v>0.29166666666666669</v>
      </c>
      <c r="D4813" s="5"/>
      <c r="E4813" s="5"/>
      <c r="F4813" s="5" t="s">
        <v>8</v>
      </c>
      <c r="G4813" s="15" t="s">
        <v>9</v>
      </c>
      <c r="H4813" s="24">
        <f t="shared" si="1129"/>
        <v>0</v>
      </c>
      <c r="I4813" s="24" cm="1">
        <f t="array" ref="I4813">IFERROR(IF($B4813=I$1, ($A4813+$C4813) - MAX(IF($B$2:$B4812=$B4813, $A$2:$A4812+$C$2:$C4812)), "")*24*60, "")</f>
        <v>0</v>
      </c>
      <c r="J4813" s="24" t="str" cm="1">
        <f t="array" ref="J4813">IFERROR(IF($B4813=J$1, ($A4813+$C4813) - MAX(IF($B$2:$B4812=$B4813, $A$2:$A4812+$C$2:$C4812)), "")*24*60, "")</f>
        <v/>
      </c>
      <c r="K4813" s="24" t="str" cm="1">
        <f t="array" ref="K4813">IFERROR(IF($B4813=K$1, ($A4813+$C4813) - MAX(IF($B$2:$B4812=$B4813, $A$2:$A4812+$C$2:$C4812)), "")*24*60, "")</f>
        <v/>
      </c>
      <c r="L4813" s="24" t="str" cm="1">
        <f t="array" ref="L4813">IFERROR(IF($B4813=L$1, ($A4813+$C4813) - MAX(IF($B$2:$B4812=$B4813, $A$2:$A4812+$C$2:$C4812)), "")*24*60, "")</f>
        <v/>
      </c>
      <c r="M4813" s="24" t="str" cm="1">
        <f t="array" ref="M4813">IFERROR(IF($B4813=M$1, ($A4813+$C4813) - MAX(IF($B$2:$B4812=$B4813, $A$2:$A4812+$C$2:$C4812)), "")*24*60, "")</f>
        <v/>
      </c>
      <c r="N4813" s="24" t="str" cm="1">
        <f t="array" ref="N4813">IFERROR(IF($B4813=N$1, ($A4813+$C4813) - MAX(IF($B$2:$B4812=$B4813, $A$2:$A4812+$C$2:$C4812)), "")*24*60, "")</f>
        <v/>
      </c>
      <c r="O4813" s="24" t="str" cm="1">
        <f t="array" ref="O4813">IFERROR(IF($B4813=O$1, ($A4813+$C4813) - MAX(IF($B$2:$B4812=$B4813, $A$2:$A4812+$C$2:$C4812)), "")*24*60, "")</f>
        <v/>
      </c>
      <c r="P4813" s="24" t="str" cm="1">
        <f t="array" ref="P4813">IFERROR(IF($B4813=P$1, ($A4813+$C4813) - MAX(IF($B$2:$B4812=$B4813, $A$2:$A4812+$C$2:$C4812)), "")*24*60, "")</f>
        <v/>
      </c>
      <c r="Q4813" s="24" t="str" cm="1">
        <f t="array" ref="Q4813">IFERROR(IF($B4813=Q$1, ($A4813+$C4813) - MAX(IF($B$2:$B4812=$B4813, $A$2:$A4812+$C$2:$C4812)), "")*24*60, "")</f>
        <v/>
      </c>
    </row>
    <row r="4814" spans="1:17" x14ac:dyDescent="0.2">
      <c r="A4814" s="12">
        <f t="shared" ref="A4814:C4814" si="1148">A4813</f>
        <v>45980</v>
      </c>
      <c r="B4814" s="5" t="str">
        <f t="shared" si="1148"/>
        <v>Northern Cardinal</v>
      </c>
      <c r="C4814" s="6">
        <f t="shared" si="1148"/>
        <v>0.29166666666666669</v>
      </c>
      <c r="D4814" s="5"/>
      <c r="E4814" s="5"/>
      <c r="F4814" s="5" t="s">
        <v>8</v>
      </c>
      <c r="G4814" s="15" t="s">
        <v>9</v>
      </c>
      <c r="H4814" s="24">
        <f t="shared" si="1129"/>
        <v>0</v>
      </c>
      <c r="I4814" s="24" cm="1">
        <f t="array" ref="I4814">IFERROR(IF($B4814=I$1, ($A4814+$C4814) - MAX(IF($B$2:$B4813=$B4814, $A$2:$A4813+$C$2:$C4813)), "")*24*60, "")</f>
        <v>0</v>
      </c>
      <c r="J4814" s="24" t="str" cm="1">
        <f t="array" ref="J4814">IFERROR(IF($B4814=J$1, ($A4814+$C4814) - MAX(IF($B$2:$B4813=$B4814, $A$2:$A4813+$C$2:$C4813)), "")*24*60, "")</f>
        <v/>
      </c>
      <c r="K4814" s="24" t="str" cm="1">
        <f t="array" ref="K4814">IFERROR(IF($B4814=K$1, ($A4814+$C4814) - MAX(IF($B$2:$B4813=$B4814, $A$2:$A4813+$C$2:$C4813)), "")*24*60, "")</f>
        <v/>
      </c>
      <c r="L4814" s="24" t="str" cm="1">
        <f t="array" ref="L4814">IFERROR(IF($B4814=L$1, ($A4814+$C4814) - MAX(IF($B$2:$B4813=$B4814, $A$2:$A4813+$C$2:$C4813)), "")*24*60, "")</f>
        <v/>
      </c>
      <c r="M4814" s="24" t="str" cm="1">
        <f t="array" ref="M4814">IFERROR(IF($B4814=M$1, ($A4814+$C4814) - MAX(IF($B$2:$B4813=$B4814, $A$2:$A4813+$C$2:$C4813)), "")*24*60, "")</f>
        <v/>
      </c>
      <c r="N4814" s="24" t="str" cm="1">
        <f t="array" ref="N4814">IFERROR(IF($B4814=N$1, ($A4814+$C4814) - MAX(IF($B$2:$B4813=$B4814, $A$2:$A4813+$C$2:$C4813)), "")*24*60, "")</f>
        <v/>
      </c>
      <c r="O4814" s="24" t="str" cm="1">
        <f t="array" ref="O4814">IFERROR(IF($B4814=O$1, ($A4814+$C4814) - MAX(IF($B$2:$B4813=$B4814, $A$2:$A4813+$C$2:$C4813)), "")*24*60, "")</f>
        <v/>
      </c>
      <c r="P4814" s="24" t="str" cm="1">
        <f t="array" ref="P4814">IFERROR(IF($B4814=P$1, ($A4814+$C4814) - MAX(IF($B$2:$B4813=$B4814, $A$2:$A4813+$C$2:$C4813)), "")*24*60, "")</f>
        <v/>
      </c>
      <c r="Q4814" s="24" t="str" cm="1">
        <f t="array" ref="Q4814">IFERROR(IF($B4814=Q$1, ($A4814+$C4814) - MAX(IF($B$2:$B4813=$B4814, $A$2:$A4813+$C$2:$C4813)), "")*24*60, "")</f>
        <v/>
      </c>
    </row>
    <row r="4815" spans="1:17" x14ac:dyDescent="0.2">
      <c r="A4815" s="12">
        <f t="shared" ref="A4815:C4815" si="1149">A4814</f>
        <v>45980</v>
      </c>
      <c r="B4815" s="5" t="str">
        <f t="shared" si="1149"/>
        <v>Northern Cardinal</v>
      </c>
      <c r="C4815" s="6">
        <f t="shared" si="1149"/>
        <v>0.29166666666666669</v>
      </c>
      <c r="D4815" s="5"/>
      <c r="E4815" s="5"/>
      <c r="F4815" s="5" t="s">
        <v>8</v>
      </c>
      <c r="G4815" s="15" t="s">
        <v>9</v>
      </c>
      <c r="H4815" s="24">
        <f t="shared" si="1129"/>
        <v>0</v>
      </c>
      <c r="I4815" s="24" cm="1">
        <f t="array" ref="I4815">IFERROR(IF($B4815=I$1, ($A4815+$C4815) - MAX(IF($B$2:$B4814=$B4815, $A$2:$A4814+$C$2:$C4814)), "")*24*60, "")</f>
        <v>0</v>
      </c>
      <c r="J4815" s="24" t="str" cm="1">
        <f t="array" ref="J4815">IFERROR(IF($B4815=J$1, ($A4815+$C4815) - MAX(IF($B$2:$B4814=$B4815, $A$2:$A4814+$C$2:$C4814)), "")*24*60, "")</f>
        <v/>
      </c>
      <c r="K4815" s="24" t="str" cm="1">
        <f t="array" ref="K4815">IFERROR(IF($B4815=K$1, ($A4815+$C4815) - MAX(IF($B$2:$B4814=$B4815, $A$2:$A4814+$C$2:$C4814)), "")*24*60, "")</f>
        <v/>
      </c>
      <c r="L4815" s="24" t="str" cm="1">
        <f t="array" ref="L4815">IFERROR(IF($B4815=L$1, ($A4815+$C4815) - MAX(IF($B$2:$B4814=$B4815, $A$2:$A4814+$C$2:$C4814)), "")*24*60, "")</f>
        <v/>
      </c>
      <c r="M4815" s="24" t="str" cm="1">
        <f t="array" ref="M4815">IFERROR(IF($B4815=M$1, ($A4815+$C4815) - MAX(IF($B$2:$B4814=$B4815, $A$2:$A4814+$C$2:$C4814)), "")*24*60, "")</f>
        <v/>
      </c>
      <c r="N4815" s="24" t="str" cm="1">
        <f t="array" ref="N4815">IFERROR(IF($B4815=N$1, ($A4815+$C4815) - MAX(IF($B$2:$B4814=$B4815, $A$2:$A4814+$C$2:$C4814)), "")*24*60, "")</f>
        <v/>
      </c>
      <c r="O4815" s="24" t="str" cm="1">
        <f t="array" ref="O4815">IFERROR(IF($B4815=O$1, ($A4815+$C4815) - MAX(IF($B$2:$B4814=$B4815, $A$2:$A4814+$C$2:$C4814)), "")*24*60, "")</f>
        <v/>
      </c>
      <c r="P4815" s="24" t="str" cm="1">
        <f t="array" ref="P4815">IFERROR(IF($B4815=P$1, ($A4815+$C4815) - MAX(IF($B$2:$B4814=$B4815, $A$2:$A4814+$C$2:$C4814)), "")*24*60, "")</f>
        <v/>
      </c>
      <c r="Q4815" s="24" t="str" cm="1">
        <f t="array" ref="Q4815">IFERROR(IF($B4815=Q$1, ($A4815+$C4815) - MAX(IF($B$2:$B4814=$B4815, $A$2:$A4814+$C$2:$C4814)), "")*24*60, "")</f>
        <v/>
      </c>
    </row>
    <row r="4816" spans="1:17" x14ac:dyDescent="0.2">
      <c r="A4816" s="12">
        <f t="shared" ref="A4816:C4816" si="1150">A4815</f>
        <v>45980</v>
      </c>
      <c r="B4816" s="5" t="str">
        <f t="shared" si="1150"/>
        <v>Northern Cardinal</v>
      </c>
      <c r="C4816" s="6">
        <f t="shared" si="1150"/>
        <v>0.29166666666666669</v>
      </c>
      <c r="D4816" s="5"/>
      <c r="E4816" s="5"/>
      <c r="F4816" s="5" t="s">
        <v>8</v>
      </c>
      <c r="G4816" s="15" t="s">
        <v>9</v>
      </c>
      <c r="H4816" s="24">
        <f t="shared" si="1129"/>
        <v>0</v>
      </c>
      <c r="I4816" s="24" cm="1">
        <f t="array" ref="I4816">IFERROR(IF($B4816=I$1, ($A4816+$C4816) - MAX(IF($B$2:$B4815=$B4816, $A$2:$A4815+$C$2:$C4815)), "")*24*60, "")</f>
        <v>0</v>
      </c>
      <c r="J4816" s="24" t="str" cm="1">
        <f t="array" ref="J4816">IFERROR(IF($B4816=J$1, ($A4816+$C4816) - MAX(IF($B$2:$B4815=$B4816, $A$2:$A4815+$C$2:$C4815)), "")*24*60, "")</f>
        <v/>
      </c>
      <c r="K4816" s="24" t="str" cm="1">
        <f t="array" ref="K4816">IFERROR(IF($B4816=K$1, ($A4816+$C4816) - MAX(IF($B$2:$B4815=$B4816, $A$2:$A4815+$C$2:$C4815)), "")*24*60, "")</f>
        <v/>
      </c>
      <c r="L4816" s="24" t="str" cm="1">
        <f t="array" ref="L4816">IFERROR(IF($B4816=L$1, ($A4816+$C4816) - MAX(IF($B$2:$B4815=$B4816, $A$2:$A4815+$C$2:$C4815)), "")*24*60, "")</f>
        <v/>
      </c>
      <c r="M4816" s="24" t="str" cm="1">
        <f t="array" ref="M4816">IFERROR(IF($B4816=M$1, ($A4816+$C4816) - MAX(IF($B$2:$B4815=$B4816, $A$2:$A4815+$C$2:$C4815)), "")*24*60, "")</f>
        <v/>
      </c>
      <c r="N4816" s="24" t="str" cm="1">
        <f t="array" ref="N4816">IFERROR(IF($B4816=N$1, ($A4816+$C4816) - MAX(IF($B$2:$B4815=$B4816, $A$2:$A4815+$C$2:$C4815)), "")*24*60, "")</f>
        <v/>
      </c>
      <c r="O4816" s="24" t="str" cm="1">
        <f t="array" ref="O4816">IFERROR(IF($B4816=O$1, ($A4816+$C4816) - MAX(IF($B$2:$B4815=$B4816, $A$2:$A4815+$C$2:$C4815)), "")*24*60, "")</f>
        <v/>
      </c>
      <c r="P4816" s="24" t="str" cm="1">
        <f t="array" ref="P4816">IFERROR(IF($B4816=P$1, ($A4816+$C4816) - MAX(IF($B$2:$B4815=$B4816, $A$2:$A4815+$C$2:$C4815)), "")*24*60, "")</f>
        <v/>
      </c>
      <c r="Q4816" s="24" t="str" cm="1">
        <f t="array" ref="Q4816">IFERROR(IF($B4816=Q$1, ($A4816+$C4816) - MAX(IF($B$2:$B4815=$B4816, $A$2:$A4815+$C$2:$C4815)), "")*24*60, "")</f>
        <v/>
      </c>
    </row>
    <row r="4817" spans="1:17" x14ac:dyDescent="0.2">
      <c r="A4817" s="12">
        <f t="shared" ref="A4817:C4817" si="1151">A4816</f>
        <v>45980</v>
      </c>
      <c r="B4817" s="5" t="str">
        <f t="shared" si="1151"/>
        <v>Northern Cardinal</v>
      </c>
      <c r="C4817" s="6">
        <f t="shared" si="1151"/>
        <v>0.29166666666666669</v>
      </c>
      <c r="D4817" s="5"/>
      <c r="E4817" s="5"/>
      <c r="F4817" s="5" t="s">
        <v>8</v>
      </c>
      <c r="G4817" s="15" t="s">
        <v>9</v>
      </c>
      <c r="H4817" s="24">
        <f t="shared" si="1129"/>
        <v>0</v>
      </c>
      <c r="I4817" s="24" cm="1">
        <f t="array" ref="I4817">IFERROR(IF($B4817=I$1, ($A4817+$C4817) - MAX(IF($B$2:$B4816=$B4817, $A$2:$A4816+$C$2:$C4816)), "")*24*60, "")</f>
        <v>0</v>
      </c>
      <c r="J4817" s="24" t="str" cm="1">
        <f t="array" ref="J4817">IFERROR(IF($B4817=J$1, ($A4817+$C4817) - MAX(IF($B$2:$B4816=$B4817, $A$2:$A4816+$C$2:$C4816)), "")*24*60, "")</f>
        <v/>
      </c>
      <c r="K4817" s="24" t="str" cm="1">
        <f t="array" ref="K4817">IFERROR(IF($B4817=K$1, ($A4817+$C4817) - MAX(IF($B$2:$B4816=$B4817, $A$2:$A4816+$C$2:$C4816)), "")*24*60, "")</f>
        <v/>
      </c>
      <c r="L4817" s="24" t="str" cm="1">
        <f t="array" ref="L4817">IFERROR(IF($B4817=L$1, ($A4817+$C4817) - MAX(IF($B$2:$B4816=$B4817, $A$2:$A4816+$C$2:$C4816)), "")*24*60, "")</f>
        <v/>
      </c>
      <c r="M4817" s="24" t="str" cm="1">
        <f t="array" ref="M4817">IFERROR(IF($B4817=M$1, ($A4817+$C4817) - MAX(IF($B$2:$B4816=$B4817, $A$2:$A4816+$C$2:$C4816)), "")*24*60, "")</f>
        <v/>
      </c>
      <c r="N4817" s="24" t="str" cm="1">
        <f t="array" ref="N4817">IFERROR(IF($B4817=N$1, ($A4817+$C4817) - MAX(IF($B$2:$B4816=$B4817, $A$2:$A4816+$C$2:$C4816)), "")*24*60, "")</f>
        <v/>
      </c>
      <c r="O4817" s="24" t="str" cm="1">
        <f t="array" ref="O4817">IFERROR(IF($B4817=O$1, ($A4817+$C4817) - MAX(IF($B$2:$B4816=$B4817, $A$2:$A4816+$C$2:$C4816)), "")*24*60, "")</f>
        <v/>
      </c>
      <c r="P4817" s="24" t="str" cm="1">
        <f t="array" ref="P4817">IFERROR(IF($B4817=P$1, ($A4817+$C4817) - MAX(IF($B$2:$B4816=$B4817, $A$2:$A4816+$C$2:$C4816)), "")*24*60, "")</f>
        <v/>
      </c>
      <c r="Q4817" s="24" t="str" cm="1">
        <f t="array" ref="Q4817">IFERROR(IF($B4817=Q$1, ($A4817+$C4817) - MAX(IF($B$2:$B4816=$B4817, $A$2:$A4816+$C$2:$C4816)), "")*24*60, "")</f>
        <v/>
      </c>
    </row>
    <row r="4818" spans="1:17" x14ac:dyDescent="0.2">
      <c r="A4818" s="12">
        <f t="shared" ref="A4818:C4818" si="1152">A4817</f>
        <v>45980</v>
      </c>
      <c r="B4818" s="5" t="str">
        <f t="shared" si="1152"/>
        <v>Northern Cardinal</v>
      </c>
      <c r="C4818" s="6">
        <f t="shared" si="1152"/>
        <v>0.29166666666666669</v>
      </c>
      <c r="D4818" s="5"/>
      <c r="E4818" s="5"/>
      <c r="F4818" s="5" t="s">
        <v>8</v>
      </c>
      <c r="G4818" s="15" t="s">
        <v>9</v>
      </c>
      <c r="H4818" s="24">
        <f t="shared" si="1129"/>
        <v>0</v>
      </c>
      <c r="I4818" s="24" cm="1">
        <f t="array" ref="I4818">IFERROR(IF($B4818=I$1, ($A4818+$C4818) - MAX(IF($B$2:$B4817=$B4818, $A$2:$A4817+$C$2:$C4817)), "")*24*60, "")</f>
        <v>0</v>
      </c>
      <c r="J4818" s="24" t="str" cm="1">
        <f t="array" ref="J4818">IFERROR(IF($B4818=J$1, ($A4818+$C4818) - MAX(IF($B$2:$B4817=$B4818, $A$2:$A4817+$C$2:$C4817)), "")*24*60, "")</f>
        <v/>
      </c>
      <c r="K4818" s="24" t="str" cm="1">
        <f t="array" ref="K4818">IFERROR(IF($B4818=K$1, ($A4818+$C4818) - MAX(IF($B$2:$B4817=$B4818, $A$2:$A4817+$C$2:$C4817)), "")*24*60, "")</f>
        <v/>
      </c>
      <c r="L4818" s="24" t="str" cm="1">
        <f t="array" ref="L4818">IFERROR(IF($B4818=L$1, ($A4818+$C4818) - MAX(IF($B$2:$B4817=$B4818, $A$2:$A4817+$C$2:$C4817)), "")*24*60, "")</f>
        <v/>
      </c>
      <c r="M4818" s="24" t="str" cm="1">
        <f t="array" ref="M4818">IFERROR(IF($B4818=M$1, ($A4818+$C4818) - MAX(IF($B$2:$B4817=$B4818, $A$2:$A4817+$C$2:$C4817)), "")*24*60, "")</f>
        <v/>
      </c>
      <c r="N4818" s="24" t="str" cm="1">
        <f t="array" ref="N4818">IFERROR(IF($B4818=N$1, ($A4818+$C4818) - MAX(IF($B$2:$B4817=$B4818, $A$2:$A4817+$C$2:$C4817)), "")*24*60, "")</f>
        <v/>
      </c>
      <c r="O4818" s="24" t="str" cm="1">
        <f t="array" ref="O4818">IFERROR(IF($B4818=O$1, ($A4818+$C4818) - MAX(IF($B$2:$B4817=$B4818, $A$2:$A4817+$C$2:$C4817)), "")*24*60, "")</f>
        <v/>
      </c>
      <c r="P4818" s="24" t="str" cm="1">
        <f t="array" ref="P4818">IFERROR(IF($B4818=P$1, ($A4818+$C4818) - MAX(IF($B$2:$B4817=$B4818, $A$2:$A4817+$C$2:$C4817)), "")*24*60, "")</f>
        <v/>
      </c>
      <c r="Q4818" s="24" t="str" cm="1">
        <f t="array" ref="Q4818">IFERROR(IF($B4818=Q$1, ($A4818+$C4818) - MAX(IF($B$2:$B4817=$B4818, $A$2:$A4817+$C$2:$C4817)), "")*24*60, "")</f>
        <v/>
      </c>
    </row>
    <row r="4819" spans="1:17" x14ac:dyDescent="0.2">
      <c r="A4819" s="12">
        <f t="shared" ref="A4819:C4819" si="1153">A4818</f>
        <v>45980</v>
      </c>
      <c r="B4819" s="5" t="str">
        <f t="shared" si="1153"/>
        <v>Northern Cardinal</v>
      </c>
      <c r="C4819" s="6">
        <f t="shared" si="1153"/>
        <v>0.29166666666666669</v>
      </c>
      <c r="D4819" s="5"/>
      <c r="E4819" s="5"/>
      <c r="F4819" s="5" t="s">
        <v>8</v>
      </c>
      <c r="G4819" s="15" t="s">
        <v>9</v>
      </c>
      <c r="H4819" s="24">
        <f t="shared" si="1129"/>
        <v>0</v>
      </c>
      <c r="I4819" s="24" cm="1">
        <f t="array" ref="I4819">IFERROR(IF($B4819=I$1, ($A4819+$C4819) - MAX(IF($B$2:$B4818=$B4819, $A$2:$A4818+$C$2:$C4818)), "")*24*60, "")</f>
        <v>0</v>
      </c>
      <c r="J4819" s="24" t="str" cm="1">
        <f t="array" ref="J4819">IFERROR(IF($B4819=J$1, ($A4819+$C4819) - MAX(IF($B$2:$B4818=$B4819, $A$2:$A4818+$C$2:$C4818)), "")*24*60, "")</f>
        <v/>
      </c>
      <c r="K4819" s="24" t="str" cm="1">
        <f t="array" ref="K4819">IFERROR(IF($B4819=K$1, ($A4819+$C4819) - MAX(IF($B$2:$B4818=$B4819, $A$2:$A4818+$C$2:$C4818)), "")*24*60, "")</f>
        <v/>
      </c>
      <c r="L4819" s="24" t="str" cm="1">
        <f t="array" ref="L4819">IFERROR(IF($B4819=L$1, ($A4819+$C4819) - MAX(IF($B$2:$B4818=$B4819, $A$2:$A4818+$C$2:$C4818)), "")*24*60, "")</f>
        <v/>
      </c>
      <c r="M4819" s="24" t="str" cm="1">
        <f t="array" ref="M4819">IFERROR(IF($B4819=M$1, ($A4819+$C4819) - MAX(IF($B$2:$B4818=$B4819, $A$2:$A4818+$C$2:$C4818)), "")*24*60, "")</f>
        <v/>
      </c>
      <c r="N4819" s="24" t="str" cm="1">
        <f t="array" ref="N4819">IFERROR(IF($B4819=N$1, ($A4819+$C4819) - MAX(IF($B$2:$B4818=$B4819, $A$2:$A4818+$C$2:$C4818)), "")*24*60, "")</f>
        <v/>
      </c>
      <c r="O4819" s="24" t="str" cm="1">
        <f t="array" ref="O4819">IFERROR(IF($B4819=O$1, ($A4819+$C4819) - MAX(IF($B$2:$B4818=$B4819, $A$2:$A4818+$C$2:$C4818)), "")*24*60, "")</f>
        <v/>
      </c>
      <c r="P4819" s="24" t="str" cm="1">
        <f t="array" ref="P4819">IFERROR(IF($B4819=P$1, ($A4819+$C4819) - MAX(IF($B$2:$B4818=$B4819, $A$2:$A4818+$C$2:$C4818)), "")*24*60, "")</f>
        <v/>
      </c>
      <c r="Q4819" s="24" t="str" cm="1">
        <f t="array" ref="Q4819">IFERROR(IF($B4819=Q$1, ($A4819+$C4819) - MAX(IF($B$2:$B4818=$B4819, $A$2:$A4818+$C$2:$C4818)), "")*24*60, "")</f>
        <v/>
      </c>
    </row>
    <row r="4820" spans="1:17" x14ac:dyDescent="0.2">
      <c r="A4820" s="12">
        <f t="shared" ref="A4820:C4820" si="1154">A4819</f>
        <v>45980</v>
      </c>
      <c r="B4820" s="5" t="str">
        <f t="shared" si="1154"/>
        <v>Northern Cardinal</v>
      </c>
      <c r="C4820" s="6">
        <f t="shared" si="1154"/>
        <v>0.29166666666666669</v>
      </c>
      <c r="D4820" s="5"/>
      <c r="E4820" s="5"/>
      <c r="F4820" s="5" t="s">
        <v>8</v>
      </c>
      <c r="G4820" s="15" t="s">
        <v>9</v>
      </c>
      <c r="H4820" s="24">
        <f t="shared" si="1129"/>
        <v>0</v>
      </c>
      <c r="I4820" s="24" cm="1">
        <f t="array" ref="I4820">IFERROR(IF($B4820=I$1, ($A4820+$C4820) - MAX(IF($B$2:$B4819=$B4820, $A$2:$A4819+$C$2:$C4819)), "")*24*60, "")</f>
        <v>0</v>
      </c>
      <c r="J4820" s="24" t="str" cm="1">
        <f t="array" ref="J4820">IFERROR(IF($B4820=J$1, ($A4820+$C4820) - MAX(IF($B$2:$B4819=$B4820, $A$2:$A4819+$C$2:$C4819)), "")*24*60, "")</f>
        <v/>
      </c>
      <c r="K4820" s="24" t="str" cm="1">
        <f t="array" ref="K4820">IFERROR(IF($B4820=K$1, ($A4820+$C4820) - MAX(IF($B$2:$B4819=$B4820, $A$2:$A4819+$C$2:$C4819)), "")*24*60, "")</f>
        <v/>
      </c>
      <c r="L4820" s="24" t="str" cm="1">
        <f t="array" ref="L4820">IFERROR(IF($B4820=L$1, ($A4820+$C4820) - MAX(IF($B$2:$B4819=$B4820, $A$2:$A4819+$C$2:$C4819)), "")*24*60, "")</f>
        <v/>
      </c>
      <c r="M4820" s="24" t="str" cm="1">
        <f t="array" ref="M4820">IFERROR(IF($B4820=M$1, ($A4820+$C4820) - MAX(IF($B$2:$B4819=$B4820, $A$2:$A4819+$C$2:$C4819)), "")*24*60, "")</f>
        <v/>
      </c>
      <c r="N4820" s="24" t="str" cm="1">
        <f t="array" ref="N4820">IFERROR(IF($B4820=N$1, ($A4820+$C4820) - MAX(IF($B$2:$B4819=$B4820, $A$2:$A4819+$C$2:$C4819)), "")*24*60, "")</f>
        <v/>
      </c>
      <c r="O4820" s="24" t="str" cm="1">
        <f t="array" ref="O4820">IFERROR(IF($B4820=O$1, ($A4820+$C4820) - MAX(IF($B$2:$B4819=$B4820, $A$2:$A4819+$C$2:$C4819)), "")*24*60, "")</f>
        <v/>
      </c>
      <c r="P4820" s="24" t="str" cm="1">
        <f t="array" ref="P4820">IFERROR(IF($B4820=P$1, ($A4820+$C4820) - MAX(IF($B$2:$B4819=$B4820, $A$2:$A4819+$C$2:$C4819)), "")*24*60, "")</f>
        <v/>
      </c>
      <c r="Q4820" s="24" t="str" cm="1">
        <f t="array" ref="Q4820">IFERROR(IF($B4820=Q$1, ($A4820+$C4820) - MAX(IF($B$2:$B4819=$B4820, $A$2:$A4819+$C$2:$C4819)), "")*24*60, "")</f>
        <v/>
      </c>
    </row>
    <row r="4821" spans="1:17" x14ac:dyDescent="0.2">
      <c r="A4821" s="12">
        <f t="shared" ref="A4821:C4821" si="1155">A4820</f>
        <v>45980</v>
      </c>
      <c r="B4821" s="5" t="str">
        <f t="shared" si="1155"/>
        <v>Northern Cardinal</v>
      </c>
      <c r="C4821" s="6">
        <f t="shared" si="1155"/>
        <v>0.29166666666666669</v>
      </c>
      <c r="D4821" s="5"/>
      <c r="E4821" s="5"/>
      <c r="F4821" s="5" t="s">
        <v>8</v>
      </c>
      <c r="G4821" s="15" t="s">
        <v>9</v>
      </c>
      <c r="H4821" s="24">
        <f t="shared" si="1129"/>
        <v>0</v>
      </c>
      <c r="I4821" s="24" cm="1">
        <f t="array" ref="I4821">IFERROR(IF($B4821=I$1, ($A4821+$C4821) - MAX(IF($B$2:$B4820=$B4821, $A$2:$A4820+$C$2:$C4820)), "")*24*60, "")</f>
        <v>0</v>
      </c>
      <c r="J4821" s="24" t="str" cm="1">
        <f t="array" ref="J4821">IFERROR(IF($B4821=J$1, ($A4821+$C4821) - MAX(IF($B$2:$B4820=$B4821, $A$2:$A4820+$C$2:$C4820)), "")*24*60, "")</f>
        <v/>
      </c>
      <c r="K4821" s="24" t="str" cm="1">
        <f t="array" ref="K4821">IFERROR(IF($B4821=K$1, ($A4821+$C4821) - MAX(IF($B$2:$B4820=$B4821, $A$2:$A4820+$C$2:$C4820)), "")*24*60, "")</f>
        <v/>
      </c>
      <c r="L4821" s="24" t="str" cm="1">
        <f t="array" ref="L4821">IFERROR(IF($B4821=L$1, ($A4821+$C4821) - MAX(IF($B$2:$B4820=$B4821, $A$2:$A4820+$C$2:$C4820)), "")*24*60, "")</f>
        <v/>
      </c>
      <c r="M4821" s="24" t="str" cm="1">
        <f t="array" ref="M4821">IFERROR(IF($B4821=M$1, ($A4821+$C4821) - MAX(IF($B$2:$B4820=$B4821, $A$2:$A4820+$C$2:$C4820)), "")*24*60, "")</f>
        <v/>
      </c>
      <c r="N4821" s="24" t="str" cm="1">
        <f t="array" ref="N4821">IFERROR(IF($B4821=N$1, ($A4821+$C4821) - MAX(IF($B$2:$B4820=$B4821, $A$2:$A4820+$C$2:$C4820)), "")*24*60, "")</f>
        <v/>
      </c>
      <c r="O4821" s="24" t="str" cm="1">
        <f t="array" ref="O4821">IFERROR(IF($B4821=O$1, ($A4821+$C4821) - MAX(IF($B$2:$B4820=$B4821, $A$2:$A4820+$C$2:$C4820)), "")*24*60, "")</f>
        <v/>
      </c>
      <c r="P4821" s="24" t="str" cm="1">
        <f t="array" ref="P4821">IFERROR(IF($B4821=P$1, ($A4821+$C4821) - MAX(IF($B$2:$B4820=$B4821, $A$2:$A4820+$C$2:$C4820)), "")*24*60, "")</f>
        <v/>
      </c>
      <c r="Q4821" s="24" t="str" cm="1">
        <f t="array" ref="Q4821">IFERROR(IF($B4821=Q$1, ($A4821+$C4821) - MAX(IF($B$2:$B4820=$B4821, $A$2:$A4820+$C$2:$C4820)), "")*24*60, "")</f>
        <v/>
      </c>
    </row>
    <row r="4822" spans="1:17" x14ac:dyDescent="0.2">
      <c r="A4822" s="12">
        <f t="shared" ref="A4822:C4822" si="1156">A4821</f>
        <v>45980</v>
      </c>
      <c r="B4822" s="5" t="str">
        <f t="shared" si="1156"/>
        <v>Northern Cardinal</v>
      </c>
      <c r="C4822" s="6">
        <f t="shared" si="1156"/>
        <v>0.29166666666666669</v>
      </c>
      <c r="D4822" s="5"/>
      <c r="E4822" s="5"/>
      <c r="F4822" s="5" t="s">
        <v>8</v>
      </c>
      <c r="G4822" s="15" t="s">
        <v>9</v>
      </c>
      <c r="H4822" s="24">
        <f t="shared" si="1129"/>
        <v>0</v>
      </c>
      <c r="I4822" s="24" cm="1">
        <f t="array" ref="I4822">IFERROR(IF($B4822=I$1, ($A4822+$C4822) - MAX(IF($B$2:$B4821=$B4822, $A$2:$A4821+$C$2:$C4821)), "")*24*60, "")</f>
        <v>0</v>
      </c>
      <c r="J4822" s="24" t="str" cm="1">
        <f t="array" ref="J4822">IFERROR(IF($B4822=J$1, ($A4822+$C4822) - MAX(IF($B$2:$B4821=$B4822, $A$2:$A4821+$C$2:$C4821)), "")*24*60, "")</f>
        <v/>
      </c>
      <c r="K4822" s="24" t="str" cm="1">
        <f t="array" ref="K4822">IFERROR(IF($B4822=K$1, ($A4822+$C4822) - MAX(IF($B$2:$B4821=$B4822, $A$2:$A4821+$C$2:$C4821)), "")*24*60, "")</f>
        <v/>
      </c>
      <c r="L4822" s="24" t="str" cm="1">
        <f t="array" ref="L4822">IFERROR(IF($B4822=L$1, ($A4822+$C4822) - MAX(IF($B$2:$B4821=$B4822, $A$2:$A4821+$C$2:$C4821)), "")*24*60, "")</f>
        <v/>
      </c>
      <c r="M4822" s="24" t="str" cm="1">
        <f t="array" ref="M4822">IFERROR(IF($B4822=M$1, ($A4822+$C4822) - MAX(IF($B$2:$B4821=$B4822, $A$2:$A4821+$C$2:$C4821)), "")*24*60, "")</f>
        <v/>
      </c>
      <c r="N4822" s="24" t="str" cm="1">
        <f t="array" ref="N4822">IFERROR(IF($B4822=N$1, ($A4822+$C4822) - MAX(IF($B$2:$B4821=$B4822, $A$2:$A4821+$C$2:$C4821)), "")*24*60, "")</f>
        <v/>
      </c>
      <c r="O4822" s="24" t="str" cm="1">
        <f t="array" ref="O4822">IFERROR(IF($B4822=O$1, ($A4822+$C4822) - MAX(IF($B$2:$B4821=$B4822, $A$2:$A4821+$C$2:$C4821)), "")*24*60, "")</f>
        <v/>
      </c>
      <c r="P4822" s="24" t="str" cm="1">
        <f t="array" ref="P4822">IFERROR(IF($B4822=P$1, ($A4822+$C4822) - MAX(IF($B$2:$B4821=$B4822, $A$2:$A4821+$C$2:$C4821)), "")*24*60, "")</f>
        <v/>
      </c>
      <c r="Q4822" s="24" t="str" cm="1">
        <f t="array" ref="Q4822">IFERROR(IF($B4822=Q$1, ($A4822+$C4822) - MAX(IF($B$2:$B4821=$B4822, $A$2:$A4821+$C$2:$C4821)), "")*24*60, "")</f>
        <v/>
      </c>
    </row>
    <row r="4823" spans="1:17" x14ac:dyDescent="0.2">
      <c r="A4823" s="12">
        <f t="shared" ref="A4823:C4823" si="1157">A4822</f>
        <v>45980</v>
      </c>
      <c r="B4823" s="5" t="str">
        <f t="shared" si="1157"/>
        <v>Northern Cardinal</v>
      </c>
      <c r="C4823" s="6">
        <f t="shared" si="1157"/>
        <v>0.29166666666666669</v>
      </c>
      <c r="D4823" s="5"/>
      <c r="E4823" s="5"/>
      <c r="F4823" s="5" t="s">
        <v>8</v>
      </c>
      <c r="G4823" s="15" t="s">
        <v>9</v>
      </c>
      <c r="H4823" s="24">
        <f t="shared" si="1129"/>
        <v>0</v>
      </c>
      <c r="I4823" s="24" cm="1">
        <f t="array" ref="I4823">IFERROR(IF($B4823=I$1, ($A4823+$C4823) - MAX(IF($B$2:$B4822=$B4823, $A$2:$A4822+$C$2:$C4822)), "")*24*60, "")</f>
        <v>0</v>
      </c>
      <c r="J4823" s="24" t="str" cm="1">
        <f t="array" ref="J4823">IFERROR(IF($B4823=J$1, ($A4823+$C4823) - MAX(IF($B$2:$B4822=$B4823, $A$2:$A4822+$C$2:$C4822)), "")*24*60, "")</f>
        <v/>
      </c>
      <c r="K4823" s="24" t="str" cm="1">
        <f t="array" ref="K4823">IFERROR(IF($B4823=K$1, ($A4823+$C4823) - MAX(IF($B$2:$B4822=$B4823, $A$2:$A4822+$C$2:$C4822)), "")*24*60, "")</f>
        <v/>
      </c>
      <c r="L4823" s="24" t="str" cm="1">
        <f t="array" ref="L4823">IFERROR(IF($B4823=L$1, ($A4823+$C4823) - MAX(IF($B$2:$B4822=$B4823, $A$2:$A4822+$C$2:$C4822)), "")*24*60, "")</f>
        <v/>
      </c>
      <c r="M4823" s="24" t="str" cm="1">
        <f t="array" ref="M4823">IFERROR(IF($B4823=M$1, ($A4823+$C4823) - MAX(IF($B$2:$B4822=$B4823, $A$2:$A4822+$C$2:$C4822)), "")*24*60, "")</f>
        <v/>
      </c>
      <c r="N4823" s="24" t="str" cm="1">
        <f t="array" ref="N4823">IFERROR(IF($B4823=N$1, ($A4823+$C4823) - MAX(IF($B$2:$B4822=$B4823, $A$2:$A4822+$C$2:$C4822)), "")*24*60, "")</f>
        <v/>
      </c>
      <c r="O4823" s="24" t="str" cm="1">
        <f t="array" ref="O4823">IFERROR(IF($B4823=O$1, ($A4823+$C4823) - MAX(IF($B$2:$B4822=$B4823, $A$2:$A4822+$C$2:$C4822)), "")*24*60, "")</f>
        <v/>
      </c>
      <c r="P4823" s="24" t="str" cm="1">
        <f t="array" ref="P4823">IFERROR(IF($B4823=P$1, ($A4823+$C4823) - MAX(IF($B$2:$B4822=$B4823, $A$2:$A4822+$C$2:$C4822)), "")*24*60, "")</f>
        <v/>
      </c>
      <c r="Q4823" s="24" t="str" cm="1">
        <f t="array" ref="Q4823">IFERROR(IF($B4823=Q$1, ($A4823+$C4823) - MAX(IF($B$2:$B4822=$B4823, $A$2:$A4822+$C$2:$C4822)), "")*24*60, "")</f>
        <v/>
      </c>
    </row>
    <row r="4824" spans="1:17" x14ac:dyDescent="0.2">
      <c r="A4824" s="12">
        <f t="shared" ref="A4824:C4824" si="1158">A4823</f>
        <v>45980</v>
      </c>
      <c r="B4824" s="5" t="str">
        <f t="shared" si="1158"/>
        <v>Northern Cardinal</v>
      </c>
      <c r="C4824" s="6">
        <f t="shared" si="1158"/>
        <v>0.29166666666666669</v>
      </c>
      <c r="D4824" s="5"/>
      <c r="E4824" s="5"/>
      <c r="F4824" s="5" t="s">
        <v>8</v>
      </c>
      <c r="G4824" s="15" t="s">
        <v>9</v>
      </c>
      <c r="H4824" s="24">
        <f t="shared" si="1129"/>
        <v>0</v>
      </c>
      <c r="I4824" s="24" cm="1">
        <f t="array" ref="I4824">IFERROR(IF($B4824=I$1, ($A4824+$C4824) - MAX(IF($B$2:$B4823=$B4824, $A$2:$A4823+$C$2:$C4823)), "")*24*60, "")</f>
        <v>0</v>
      </c>
      <c r="J4824" s="24" t="str" cm="1">
        <f t="array" ref="J4824">IFERROR(IF($B4824=J$1, ($A4824+$C4824) - MAX(IF($B$2:$B4823=$B4824, $A$2:$A4823+$C$2:$C4823)), "")*24*60, "")</f>
        <v/>
      </c>
      <c r="K4824" s="24" t="str" cm="1">
        <f t="array" ref="K4824">IFERROR(IF($B4824=K$1, ($A4824+$C4824) - MAX(IF($B$2:$B4823=$B4824, $A$2:$A4823+$C$2:$C4823)), "")*24*60, "")</f>
        <v/>
      </c>
      <c r="L4824" s="24" t="str" cm="1">
        <f t="array" ref="L4824">IFERROR(IF($B4824=L$1, ($A4824+$C4824) - MAX(IF($B$2:$B4823=$B4824, $A$2:$A4823+$C$2:$C4823)), "")*24*60, "")</f>
        <v/>
      </c>
      <c r="M4824" s="24" t="str" cm="1">
        <f t="array" ref="M4824">IFERROR(IF($B4824=M$1, ($A4824+$C4824) - MAX(IF($B$2:$B4823=$B4824, $A$2:$A4823+$C$2:$C4823)), "")*24*60, "")</f>
        <v/>
      </c>
      <c r="N4824" s="24" t="str" cm="1">
        <f t="array" ref="N4824">IFERROR(IF($B4824=N$1, ($A4824+$C4824) - MAX(IF($B$2:$B4823=$B4824, $A$2:$A4823+$C$2:$C4823)), "")*24*60, "")</f>
        <v/>
      </c>
      <c r="O4824" s="24" t="str" cm="1">
        <f t="array" ref="O4824">IFERROR(IF($B4824=O$1, ($A4824+$C4824) - MAX(IF($B$2:$B4823=$B4824, $A$2:$A4823+$C$2:$C4823)), "")*24*60, "")</f>
        <v/>
      </c>
      <c r="P4824" s="24" t="str" cm="1">
        <f t="array" ref="P4824">IFERROR(IF($B4824=P$1, ($A4824+$C4824) - MAX(IF($B$2:$B4823=$B4824, $A$2:$A4823+$C$2:$C4823)), "")*24*60, "")</f>
        <v/>
      </c>
      <c r="Q4824" s="24" t="str" cm="1">
        <f t="array" ref="Q4824">IFERROR(IF($B4824=Q$1, ($A4824+$C4824) - MAX(IF($B$2:$B4823=$B4824, $A$2:$A4823+$C$2:$C4823)), "")*24*60, "")</f>
        <v/>
      </c>
    </row>
    <row r="4825" spans="1:17" x14ac:dyDescent="0.2">
      <c r="A4825" s="12">
        <f t="shared" ref="A4825:C4825" si="1159">A4824</f>
        <v>45980</v>
      </c>
      <c r="B4825" s="5" t="str">
        <f t="shared" si="1159"/>
        <v>Northern Cardinal</v>
      </c>
      <c r="C4825" s="6">
        <f t="shared" si="1159"/>
        <v>0.29166666666666669</v>
      </c>
      <c r="D4825" s="5"/>
      <c r="E4825" s="5"/>
      <c r="F4825" s="5" t="s">
        <v>8</v>
      </c>
      <c r="G4825" s="15" t="s">
        <v>9</v>
      </c>
      <c r="H4825" s="24">
        <f t="shared" si="1129"/>
        <v>0</v>
      </c>
      <c r="I4825" s="24" cm="1">
        <f t="array" ref="I4825">IFERROR(IF($B4825=I$1, ($A4825+$C4825) - MAX(IF($B$2:$B4824=$B4825, $A$2:$A4824+$C$2:$C4824)), "")*24*60, "")</f>
        <v>0</v>
      </c>
      <c r="J4825" s="24" t="str" cm="1">
        <f t="array" ref="J4825">IFERROR(IF($B4825=J$1, ($A4825+$C4825) - MAX(IF($B$2:$B4824=$B4825, $A$2:$A4824+$C$2:$C4824)), "")*24*60, "")</f>
        <v/>
      </c>
      <c r="K4825" s="24" t="str" cm="1">
        <f t="array" ref="K4825">IFERROR(IF($B4825=K$1, ($A4825+$C4825) - MAX(IF($B$2:$B4824=$B4825, $A$2:$A4824+$C$2:$C4824)), "")*24*60, "")</f>
        <v/>
      </c>
      <c r="L4825" s="24" t="str" cm="1">
        <f t="array" ref="L4825">IFERROR(IF($B4825=L$1, ($A4825+$C4825) - MAX(IF($B$2:$B4824=$B4825, $A$2:$A4824+$C$2:$C4824)), "")*24*60, "")</f>
        <v/>
      </c>
      <c r="M4825" s="24" t="str" cm="1">
        <f t="array" ref="M4825">IFERROR(IF($B4825=M$1, ($A4825+$C4825) - MAX(IF($B$2:$B4824=$B4825, $A$2:$A4824+$C$2:$C4824)), "")*24*60, "")</f>
        <v/>
      </c>
      <c r="N4825" s="24" t="str" cm="1">
        <f t="array" ref="N4825">IFERROR(IF($B4825=N$1, ($A4825+$C4825) - MAX(IF($B$2:$B4824=$B4825, $A$2:$A4824+$C$2:$C4824)), "")*24*60, "")</f>
        <v/>
      </c>
      <c r="O4825" s="24" t="str" cm="1">
        <f t="array" ref="O4825">IFERROR(IF($B4825=O$1, ($A4825+$C4825) - MAX(IF($B$2:$B4824=$B4825, $A$2:$A4824+$C$2:$C4824)), "")*24*60, "")</f>
        <v/>
      </c>
      <c r="P4825" s="24" t="str" cm="1">
        <f t="array" ref="P4825">IFERROR(IF($B4825=P$1, ($A4825+$C4825) - MAX(IF($B$2:$B4824=$B4825, $A$2:$A4824+$C$2:$C4824)), "")*24*60, "")</f>
        <v/>
      </c>
      <c r="Q4825" s="24" t="str" cm="1">
        <f t="array" ref="Q4825">IFERROR(IF($B4825=Q$1, ($A4825+$C4825) - MAX(IF($B$2:$B4824=$B4825, $A$2:$A4824+$C$2:$C4824)), "")*24*60, "")</f>
        <v/>
      </c>
    </row>
    <row r="4826" spans="1:17" x14ac:dyDescent="0.2">
      <c r="A4826" s="12">
        <f t="shared" ref="A4826:C4826" si="1160">A4825</f>
        <v>45980</v>
      </c>
      <c r="B4826" s="5" t="str">
        <f t="shared" si="1160"/>
        <v>Northern Cardinal</v>
      </c>
      <c r="C4826" s="6">
        <f t="shared" si="1160"/>
        <v>0.29166666666666669</v>
      </c>
      <c r="D4826" s="5"/>
      <c r="E4826" s="5"/>
      <c r="F4826" s="5" t="s">
        <v>8</v>
      </c>
      <c r="G4826" s="15" t="s">
        <v>9</v>
      </c>
      <c r="H4826" s="24">
        <f t="shared" si="1129"/>
        <v>0</v>
      </c>
      <c r="I4826" s="24" cm="1">
        <f t="array" ref="I4826">IFERROR(IF($B4826=I$1, ($A4826+$C4826) - MAX(IF($B$2:$B4825=$B4826, $A$2:$A4825+$C$2:$C4825)), "")*24*60, "")</f>
        <v>0</v>
      </c>
      <c r="J4826" s="24" t="str" cm="1">
        <f t="array" ref="J4826">IFERROR(IF($B4826=J$1, ($A4826+$C4826) - MAX(IF($B$2:$B4825=$B4826, $A$2:$A4825+$C$2:$C4825)), "")*24*60, "")</f>
        <v/>
      </c>
      <c r="K4826" s="24" t="str" cm="1">
        <f t="array" ref="K4826">IFERROR(IF($B4826=K$1, ($A4826+$C4826) - MAX(IF($B$2:$B4825=$B4826, $A$2:$A4825+$C$2:$C4825)), "")*24*60, "")</f>
        <v/>
      </c>
      <c r="L4826" s="24" t="str" cm="1">
        <f t="array" ref="L4826">IFERROR(IF($B4826=L$1, ($A4826+$C4826) - MAX(IF($B$2:$B4825=$B4826, $A$2:$A4825+$C$2:$C4825)), "")*24*60, "")</f>
        <v/>
      </c>
      <c r="M4826" s="24" t="str" cm="1">
        <f t="array" ref="M4826">IFERROR(IF($B4826=M$1, ($A4826+$C4826) - MAX(IF($B$2:$B4825=$B4826, $A$2:$A4825+$C$2:$C4825)), "")*24*60, "")</f>
        <v/>
      </c>
      <c r="N4826" s="24" t="str" cm="1">
        <f t="array" ref="N4826">IFERROR(IF($B4826=N$1, ($A4826+$C4826) - MAX(IF($B$2:$B4825=$B4826, $A$2:$A4825+$C$2:$C4825)), "")*24*60, "")</f>
        <v/>
      </c>
      <c r="O4826" s="24" t="str" cm="1">
        <f t="array" ref="O4826">IFERROR(IF($B4826=O$1, ($A4826+$C4826) - MAX(IF($B$2:$B4825=$B4826, $A$2:$A4825+$C$2:$C4825)), "")*24*60, "")</f>
        <v/>
      </c>
      <c r="P4826" s="24" t="str" cm="1">
        <f t="array" ref="P4826">IFERROR(IF($B4826=P$1, ($A4826+$C4826) - MAX(IF($B$2:$B4825=$B4826, $A$2:$A4825+$C$2:$C4825)), "")*24*60, "")</f>
        <v/>
      </c>
      <c r="Q4826" s="24" t="str" cm="1">
        <f t="array" ref="Q4826">IFERROR(IF($B4826=Q$1, ($A4826+$C4826) - MAX(IF($B$2:$B4825=$B4826, $A$2:$A4825+$C$2:$C4825)), "")*24*60, "")</f>
        <v/>
      </c>
    </row>
    <row r="4827" spans="1:17" x14ac:dyDescent="0.2">
      <c r="A4827" s="12">
        <f t="shared" ref="A4827:C4827" si="1161">A4826</f>
        <v>45980</v>
      </c>
      <c r="B4827" s="5" t="str">
        <f t="shared" si="1161"/>
        <v>Northern Cardinal</v>
      </c>
      <c r="C4827" s="6">
        <f t="shared" si="1161"/>
        <v>0.29166666666666669</v>
      </c>
      <c r="D4827" s="5"/>
      <c r="E4827" s="5"/>
      <c r="F4827" s="5" t="s">
        <v>8</v>
      </c>
      <c r="G4827" s="15" t="s">
        <v>9</v>
      </c>
      <c r="H4827" s="24">
        <f t="shared" si="1129"/>
        <v>0</v>
      </c>
      <c r="I4827" s="24" cm="1">
        <f t="array" ref="I4827">IFERROR(IF($B4827=I$1, ($A4827+$C4827) - MAX(IF($B$2:$B4826=$B4827, $A$2:$A4826+$C$2:$C4826)), "")*24*60, "")</f>
        <v>0</v>
      </c>
      <c r="J4827" s="24" t="str" cm="1">
        <f t="array" ref="J4827">IFERROR(IF($B4827=J$1, ($A4827+$C4827) - MAX(IF($B$2:$B4826=$B4827, $A$2:$A4826+$C$2:$C4826)), "")*24*60, "")</f>
        <v/>
      </c>
      <c r="K4827" s="24" t="str" cm="1">
        <f t="array" ref="K4827">IFERROR(IF($B4827=K$1, ($A4827+$C4827) - MAX(IF($B$2:$B4826=$B4827, $A$2:$A4826+$C$2:$C4826)), "")*24*60, "")</f>
        <v/>
      </c>
      <c r="L4827" s="24" t="str" cm="1">
        <f t="array" ref="L4827">IFERROR(IF($B4827=L$1, ($A4827+$C4827) - MAX(IF($B$2:$B4826=$B4827, $A$2:$A4826+$C$2:$C4826)), "")*24*60, "")</f>
        <v/>
      </c>
      <c r="M4827" s="24" t="str" cm="1">
        <f t="array" ref="M4827">IFERROR(IF($B4827=M$1, ($A4827+$C4827) - MAX(IF($B$2:$B4826=$B4827, $A$2:$A4826+$C$2:$C4826)), "")*24*60, "")</f>
        <v/>
      </c>
      <c r="N4827" s="24" t="str" cm="1">
        <f t="array" ref="N4827">IFERROR(IF($B4827=N$1, ($A4827+$C4827) - MAX(IF($B$2:$B4826=$B4827, $A$2:$A4826+$C$2:$C4826)), "")*24*60, "")</f>
        <v/>
      </c>
      <c r="O4827" s="24" t="str" cm="1">
        <f t="array" ref="O4827">IFERROR(IF($B4827=O$1, ($A4827+$C4827) - MAX(IF($B$2:$B4826=$B4827, $A$2:$A4826+$C$2:$C4826)), "")*24*60, "")</f>
        <v/>
      </c>
      <c r="P4827" s="24" t="str" cm="1">
        <f t="array" ref="P4827">IFERROR(IF($B4827=P$1, ($A4827+$C4827) - MAX(IF($B$2:$B4826=$B4827, $A$2:$A4826+$C$2:$C4826)), "")*24*60, "")</f>
        <v/>
      </c>
      <c r="Q4827" s="24" t="str" cm="1">
        <f t="array" ref="Q4827">IFERROR(IF($B4827=Q$1, ($A4827+$C4827) - MAX(IF($B$2:$B4826=$B4827, $A$2:$A4826+$C$2:$C4826)), "")*24*60, "")</f>
        <v/>
      </c>
    </row>
    <row r="4828" spans="1:17" x14ac:dyDescent="0.2">
      <c r="A4828" s="12">
        <f t="shared" ref="A4828:C4828" si="1162">A4827</f>
        <v>45980</v>
      </c>
      <c r="B4828" s="5" t="str">
        <f t="shared" si="1162"/>
        <v>Northern Cardinal</v>
      </c>
      <c r="C4828" s="6">
        <f t="shared" si="1162"/>
        <v>0.29166666666666669</v>
      </c>
      <c r="D4828" s="5"/>
      <c r="E4828" s="5"/>
      <c r="F4828" s="5" t="s">
        <v>8</v>
      </c>
      <c r="G4828" s="15" t="s">
        <v>9</v>
      </c>
      <c r="H4828" s="24">
        <f t="shared" si="1129"/>
        <v>0</v>
      </c>
      <c r="I4828" s="24" cm="1">
        <f t="array" ref="I4828">IFERROR(IF($B4828=I$1, ($A4828+$C4828) - MAX(IF($B$2:$B4827=$B4828, $A$2:$A4827+$C$2:$C4827)), "")*24*60, "")</f>
        <v>0</v>
      </c>
      <c r="J4828" s="24" t="str" cm="1">
        <f t="array" ref="J4828">IFERROR(IF($B4828=J$1, ($A4828+$C4828) - MAX(IF($B$2:$B4827=$B4828, $A$2:$A4827+$C$2:$C4827)), "")*24*60, "")</f>
        <v/>
      </c>
      <c r="K4828" s="24" t="str" cm="1">
        <f t="array" ref="K4828">IFERROR(IF($B4828=K$1, ($A4828+$C4828) - MAX(IF($B$2:$B4827=$B4828, $A$2:$A4827+$C$2:$C4827)), "")*24*60, "")</f>
        <v/>
      </c>
      <c r="L4828" s="24" t="str" cm="1">
        <f t="array" ref="L4828">IFERROR(IF($B4828=L$1, ($A4828+$C4828) - MAX(IF($B$2:$B4827=$B4828, $A$2:$A4827+$C$2:$C4827)), "")*24*60, "")</f>
        <v/>
      </c>
      <c r="M4828" s="24" t="str" cm="1">
        <f t="array" ref="M4828">IFERROR(IF($B4828=M$1, ($A4828+$C4828) - MAX(IF($B$2:$B4827=$B4828, $A$2:$A4827+$C$2:$C4827)), "")*24*60, "")</f>
        <v/>
      </c>
      <c r="N4828" s="24" t="str" cm="1">
        <f t="array" ref="N4828">IFERROR(IF($B4828=N$1, ($A4828+$C4828) - MAX(IF($B$2:$B4827=$B4828, $A$2:$A4827+$C$2:$C4827)), "")*24*60, "")</f>
        <v/>
      </c>
      <c r="O4828" s="24" t="str" cm="1">
        <f t="array" ref="O4828">IFERROR(IF($B4828=O$1, ($A4828+$C4828) - MAX(IF($B$2:$B4827=$B4828, $A$2:$A4827+$C$2:$C4827)), "")*24*60, "")</f>
        <v/>
      </c>
      <c r="P4828" s="24" t="str" cm="1">
        <f t="array" ref="P4828">IFERROR(IF($B4828=P$1, ($A4828+$C4828) - MAX(IF($B$2:$B4827=$B4828, $A$2:$A4827+$C$2:$C4827)), "")*24*60, "")</f>
        <v/>
      </c>
      <c r="Q4828" s="24" t="str" cm="1">
        <f t="array" ref="Q4828">IFERROR(IF($B4828=Q$1, ($A4828+$C4828) - MAX(IF($B$2:$B4827=$B4828, $A$2:$A4827+$C$2:$C4827)), "")*24*60, "")</f>
        <v/>
      </c>
    </row>
    <row r="4829" spans="1:17" x14ac:dyDescent="0.2">
      <c r="A4829" s="12">
        <f t="shared" ref="A4829:C4829" si="1163">A4828</f>
        <v>45980</v>
      </c>
      <c r="B4829" s="5" t="str">
        <f t="shared" si="1163"/>
        <v>Northern Cardinal</v>
      </c>
      <c r="C4829" s="6">
        <f t="shared" si="1163"/>
        <v>0.29166666666666669</v>
      </c>
      <c r="D4829" s="5"/>
      <c r="E4829" s="5"/>
      <c r="F4829" s="5" t="s">
        <v>8</v>
      </c>
      <c r="G4829" s="15" t="s">
        <v>9</v>
      </c>
      <c r="H4829" s="24">
        <f t="shared" si="1129"/>
        <v>0</v>
      </c>
      <c r="I4829" s="24" cm="1">
        <f t="array" ref="I4829">IFERROR(IF($B4829=I$1, ($A4829+$C4829) - MAX(IF($B$2:$B4828=$B4829, $A$2:$A4828+$C$2:$C4828)), "")*24*60, "")</f>
        <v>0</v>
      </c>
      <c r="J4829" s="24" t="str" cm="1">
        <f t="array" ref="J4829">IFERROR(IF($B4829=J$1, ($A4829+$C4829) - MAX(IF($B$2:$B4828=$B4829, $A$2:$A4828+$C$2:$C4828)), "")*24*60, "")</f>
        <v/>
      </c>
      <c r="K4829" s="24" t="str" cm="1">
        <f t="array" ref="K4829">IFERROR(IF($B4829=K$1, ($A4829+$C4829) - MAX(IF($B$2:$B4828=$B4829, $A$2:$A4828+$C$2:$C4828)), "")*24*60, "")</f>
        <v/>
      </c>
      <c r="L4829" s="24" t="str" cm="1">
        <f t="array" ref="L4829">IFERROR(IF($B4829=L$1, ($A4829+$C4829) - MAX(IF($B$2:$B4828=$B4829, $A$2:$A4828+$C$2:$C4828)), "")*24*60, "")</f>
        <v/>
      </c>
      <c r="M4829" s="24" t="str" cm="1">
        <f t="array" ref="M4829">IFERROR(IF($B4829=M$1, ($A4829+$C4829) - MAX(IF($B$2:$B4828=$B4829, $A$2:$A4828+$C$2:$C4828)), "")*24*60, "")</f>
        <v/>
      </c>
      <c r="N4829" s="24" t="str" cm="1">
        <f t="array" ref="N4829">IFERROR(IF($B4829=N$1, ($A4829+$C4829) - MAX(IF($B$2:$B4828=$B4829, $A$2:$A4828+$C$2:$C4828)), "")*24*60, "")</f>
        <v/>
      </c>
      <c r="O4829" s="24" t="str" cm="1">
        <f t="array" ref="O4829">IFERROR(IF($B4829=O$1, ($A4829+$C4829) - MAX(IF($B$2:$B4828=$B4829, $A$2:$A4828+$C$2:$C4828)), "")*24*60, "")</f>
        <v/>
      </c>
      <c r="P4829" s="24" t="str" cm="1">
        <f t="array" ref="P4829">IFERROR(IF($B4829=P$1, ($A4829+$C4829) - MAX(IF($B$2:$B4828=$B4829, $A$2:$A4828+$C$2:$C4828)), "")*24*60, "")</f>
        <v/>
      </c>
      <c r="Q4829" s="24" t="str" cm="1">
        <f t="array" ref="Q4829">IFERROR(IF($B4829=Q$1, ($A4829+$C4829) - MAX(IF($B$2:$B4828=$B4829, $A$2:$A4828+$C$2:$C4828)), "")*24*60, "")</f>
        <v/>
      </c>
    </row>
    <row r="4830" spans="1:17" x14ac:dyDescent="0.2">
      <c r="A4830" s="12">
        <f t="shared" ref="A4830:C4830" si="1164">A4829</f>
        <v>45980</v>
      </c>
      <c r="B4830" s="5" t="str">
        <f t="shared" si="1164"/>
        <v>Northern Cardinal</v>
      </c>
      <c r="C4830" s="6">
        <f t="shared" si="1164"/>
        <v>0.29166666666666669</v>
      </c>
      <c r="D4830" s="5"/>
      <c r="E4830" s="5"/>
      <c r="F4830" s="5" t="s">
        <v>8</v>
      </c>
      <c r="G4830" s="15" t="s">
        <v>9</v>
      </c>
      <c r="H4830" s="24">
        <f t="shared" si="1129"/>
        <v>0</v>
      </c>
      <c r="I4830" s="24" cm="1">
        <f t="array" ref="I4830">IFERROR(IF($B4830=I$1, ($A4830+$C4830) - MAX(IF($B$2:$B4829=$B4830, $A$2:$A4829+$C$2:$C4829)), "")*24*60, "")</f>
        <v>0</v>
      </c>
      <c r="J4830" s="24" t="str" cm="1">
        <f t="array" ref="J4830">IFERROR(IF($B4830=J$1, ($A4830+$C4830) - MAX(IF($B$2:$B4829=$B4830, $A$2:$A4829+$C$2:$C4829)), "")*24*60, "")</f>
        <v/>
      </c>
      <c r="K4830" s="24" t="str" cm="1">
        <f t="array" ref="K4830">IFERROR(IF($B4830=K$1, ($A4830+$C4830) - MAX(IF($B$2:$B4829=$B4830, $A$2:$A4829+$C$2:$C4829)), "")*24*60, "")</f>
        <v/>
      </c>
      <c r="L4830" s="24" t="str" cm="1">
        <f t="array" ref="L4830">IFERROR(IF($B4830=L$1, ($A4830+$C4830) - MAX(IF($B$2:$B4829=$B4830, $A$2:$A4829+$C$2:$C4829)), "")*24*60, "")</f>
        <v/>
      </c>
      <c r="M4830" s="24" t="str" cm="1">
        <f t="array" ref="M4830">IFERROR(IF($B4830=M$1, ($A4830+$C4830) - MAX(IF($B$2:$B4829=$B4830, $A$2:$A4829+$C$2:$C4829)), "")*24*60, "")</f>
        <v/>
      </c>
      <c r="N4830" s="24" t="str" cm="1">
        <f t="array" ref="N4830">IFERROR(IF($B4830=N$1, ($A4830+$C4830) - MAX(IF($B$2:$B4829=$B4830, $A$2:$A4829+$C$2:$C4829)), "")*24*60, "")</f>
        <v/>
      </c>
      <c r="O4830" s="24" t="str" cm="1">
        <f t="array" ref="O4830">IFERROR(IF($B4830=O$1, ($A4830+$C4830) - MAX(IF($B$2:$B4829=$B4830, $A$2:$A4829+$C$2:$C4829)), "")*24*60, "")</f>
        <v/>
      </c>
      <c r="P4830" s="24" t="str" cm="1">
        <f t="array" ref="P4830">IFERROR(IF($B4830=P$1, ($A4830+$C4830) - MAX(IF($B$2:$B4829=$B4830, $A$2:$A4829+$C$2:$C4829)), "")*24*60, "")</f>
        <v/>
      </c>
      <c r="Q4830" s="24" t="str" cm="1">
        <f t="array" ref="Q4830">IFERROR(IF($B4830=Q$1, ($A4830+$C4830) - MAX(IF($B$2:$B4829=$B4830, $A$2:$A4829+$C$2:$C4829)), "")*24*60, "")</f>
        <v/>
      </c>
    </row>
    <row r="4831" spans="1:17" x14ac:dyDescent="0.2">
      <c r="A4831" s="12">
        <f t="shared" ref="A4831:C4831" si="1165">A4830</f>
        <v>45980</v>
      </c>
      <c r="B4831" s="5" t="str">
        <f t="shared" si="1165"/>
        <v>Northern Cardinal</v>
      </c>
      <c r="C4831" s="6">
        <f t="shared" si="1165"/>
        <v>0.29166666666666669</v>
      </c>
      <c r="D4831" s="5"/>
      <c r="E4831" s="5"/>
      <c r="F4831" s="5" t="s">
        <v>8</v>
      </c>
      <c r="G4831" s="15" t="s">
        <v>9</v>
      </c>
      <c r="H4831" s="24">
        <f t="shared" si="1129"/>
        <v>0</v>
      </c>
      <c r="I4831" s="24" cm="1">
        <f t="array" ref="I4831">IFERROR(IF($B4831=I$1, ($A4831+$C4831) - MAX(IF($B$2:$B4830=$B4831, $A$2:$A4830+$C$2:$C4830)), "")*24*60, "")</f>
        <v>0</v>
      </c>
      <c r="J4831" s="24" t="str" cm="1">
        <f t="array" ref="J4831">IFERROR(IF($B4831=J$1, ($A4831+$C4831) - MAX(IF($B$2:$B4830=$B4831, $A$2:$A4830+$C$2:$C4830)), "")*24*60, "")</f>
        <v/>
      </c>
      <c r="K4831" s="24" t="str" cm="1">
        <f t="array" ref="K4831">IFERROR(IF($B4831=K$1, ($A4831+$C4831) - MAX(IF($B$2:$B4830=$B4831, $A$2:$A4830+$C$2:$C4830)), "")*24*60, "")</f>
        <v/>
      </c>
      <c r="L4831" s="24" t="str" cm="1">
        <f t="array" ref="L4831">IFERROR(IF($B4831=L$1, ($A4831+$C4831) - MAX(IF($B$2:$B4830=$B4831, $A$2:$A4830+$C$2:$C4830)), "")*24*60, "")</f>
        <v/>
      </c>
      <c r="M4831" s="24" t="str" cm="1">
        <f t="array" ref="M4831">IFERROR(IF($B4831=M$1, ($A4831+$C4831) - MAX(IF($B$2:$B4830=$B4831, $A$2:$A4830+$C$2:$C4830)), "")*24*60, "")</f>
        <v/>
      </c>
      <c r="N4831" s="24" t="str" cm="1">
        <f t="array" ref="N4831">IFERROR(IF($B4831=N$1, ($A4831+$C4831) - MAX(IF($B$2:$B4830=$B4831, $A$2:$A4830+$C$2:$C4830)), "")*24*60, "")</f>
        <v/>
      </c>
      <c r="O4831" s="24" t="str" cm="1">
        <f t="array" ref="O4831">IFERROR(IF($B4831=O$1, ($A4831+$C4831) - MAX(IF($B$2:$B4830=$B4831, $A$2:$A4830+$C$2:$C4830)), "")*24*60, "")</f>
        <v/>
      </c>
      <c r="P4831" s="24" t="str" cm="1">
        <f t="array" ref="P4831">IFERROR(IF($B4831=P$1, ($A4831+$C4831) - MAX(IF($B$2:$B4830=$B4831, $A$2:$A4830+$C$2:$C4830)), "")*24*60, "")</f>
        <v/>
      </c>
      <c r="Q4831" s="24" t="str" cm="1">
        <f t="array" ref="Q4831">IFERROR(IF($B4831=Q$1, ($A4831+$C4831) - MAX(IF($B$2:$B4830=$B4831, $A$2:$A4830+$C$2:$C4830)), "")*24*60, "")</f>
        <v/>
      </c>
    </row>
    <row r="4832" spans="1:17" x14ac:dyDescent="0.2">
      <c r="A4832" s="12">
        <f t="shared" ref="A4832:C4832" si="1166">A4831</f>
        <v>45980</v>
      </c>
      <c r="B4832" s="5" t="str">
        <f t="shared" si="1166"/>
        <v>Northern Cardinal</v>
      </c>
      <c r="C4832" s="6">
        <f t="shared" si="1166"/>
        <v>0.29166666666666669</v>
      </c>
      <c r="D4832" s="5"/>
      <c r="E4832" s="5"/>
      <c r="F4832" s="5" t="s">
        <v>8</v>
      </c>
      <c r="G4832" s="15" t="s">
        <v>9</v>
      </c>
      <c r="H4832" s="24">
        <f t="shared" si="1129"/>
        <v>0</v>
      </c>
      <c r="I4832" s="24" cm="1">
        <f t="array" ref="I4832">IFERROR(IF($B4832=I$1, ($A4832+$C4832) - MAX(IF($B$2:$B4831=$B4832, $A$2:$A4831+$C$2:$C4831)), "")*24*60, "")</f>
        <v>0</v>
      </c>
      <c r="J4832" s="24" t="str" cm="1">
        <f t="array" ref="J4832">IFERROR(IF($B4832=J$1, ($A4832+$C4832) - MAX(IF($B$2:$B4831=$B4832, $A$2:$A4831+$C$2:$C4831)), "")*24*60, "")</f>
        <v/>
      </c>
      <c r="K4832" s="24" t="str" cm="1">
        <f t="array" ref="K4832">IFERROR(IF($B4832=K$1, ($A4832+$C4832) - MAX(IF($B$2:$B4831=$B4832, $A$2:$A4831+$C$2:$C4831)), "")*24*60, "")</f>
        <v/>
      </c>
      <c r="L4832" s="24" t="str" cm="1">
        <f t="array" ref="L4832">IFERROR(IF($B4832=L$1, ($A4832+$C4832) - MAX(IF($B$2:$B4831=$B4832, $A$2:$A4831+$C$2:$C4831)), "")*24*60, "")</f>
        <v/>
      </c>
      <c r="M4832" s="24" t="str" cm="1">
        <f t="array" ref="M4832">IFERROR(IF($B4832=M$1, ($A4832+$C4832) - MAX(IF($B$2:$B4831=$B4832, $A$2:$A4831+$C$2:$C4831)), "")*24*60, "")</f>
        <v/>
      </c>
      <c r="N4832" s="24" t="str" cm="1">
        <f t="array" ref="N4832">IFERROR(IF($B4832=N$1, ($A4832+$C4832) - MAX(IF($B$2:$B4831=$B4832, $A$2:$A4831+$C$2:$C4831)), "")*24*60, "")</f>
        <v/>
      </c>
      <c r="O4832" s="24" t="str" cm="1">
        <f t="array" ref="O4832">IFERROR(IF($B4832=O$1, ($A4832+$C4832) - MAX(IF($B$2:$B4831=$B4832, $A$2:$A4831+$C$2:$C4831)), "")*24*60, "")</f>
        <v/>
      </c>
      <c r="P4832" s="24" t="str" cm="1">
        <f t="array" ref="P4832">IFERROR(IF($B4832=P$1, ($A4832+$C4832) - MAX(IF($B$2:$B4831=$B4832, $A$2:$A4831+$C$2:$C4831)), "")*24*60, "")</f>
        <v/>
      </c>
      <c r="Q4832" s="24" t="str" cm="1">
        <f t="array" ref="Q4832">IFERROR(IF($B4832=Q$1, ($A4832+$C4832) - MAX(IF($B$2:$B4831=$B4832, $A$2:$A4831+$C$2:$C4831)), "")*24*60, "")</f>
        <v/>
      </c>
    </row>
    <row r="4833" spans="1:17" x14ac:dyDescent="0.2">
      <c r="A4833" s="12">
        <f t="shared" ref="A4833:C4833" si="1167">A4832</f>
        <v>45980</v>
      </c>
      <c r="B4833" s="5" t="str">
        <f t="shared" si="1167"/>
        <v>Northern Cardinal</v>
      </c>
      <c r="C4833" s="6">
        <f t="shared" si="1167"/>
        <v>0.29166666666666669</v>
      </c>
      <c r="D4833" s="5"/>
      <c r="E4833" s="5"/>
      <c r="F4833" s="5" t="s">
        <v>8</v>
      </c>
      <c r="G4833" s="15" t="s">
        <v>9</v>
      </c>
      <c r="H4833" s="24">
        <f t="shared" si="1129"/>
        <v>0</v>
      </c>
      <c r="I4833" s="24" cm="1">
        <f t="array" ref="I4833">IFERROR(IF($B4833=I$1, ($A4833+$C4833) - MAX(IF($B$2:$B4832=$B4833, $A$2:$A4832+$C$2:$C4832)), "")*24*60, "")</f>
        <v>0</v>
      </c>
      <c r="J4833" s="24" t="str" cm="1">
        <f t="array" ref="J4833">IFERROR(IF($B4833=J$1, ($A4833+$C4833) - MAX(IF($B$2:$B4832=$B4833, $A$2:$A4832+$C$2:$C4832)), "")*24*60, "")</f>
        <v/>
      </c>
      <c r="K4833" s="24" t="str" cm="1">
        <f t="array" ref="K4833">IFERROR(IF($B4833=K$1, ($A4833+$C4833) - MAX(IF($B$2:$B4832=$B4833, $A$2:$A4832+$C$2:$C4832)), "")*24*60, "")</f>
        <v/>
      </c>
      <c r="L4833" s="24" t="str" cm="1">
        <f t="array" ref="L4833">IFERROR(IF($B4833=L$1, ($A4833+$C4833) - MAX(IF($B$2:$B4832=$B4833, $A$2:$A4832+$C$2:$C4832)), "")*24*60, "")</f>
        <v/>
      </c>
      <c r="M4833" s="24" t="str" cm="1">
        <f t="array" ref="M4833">IFERROR(IF($B4833=M$1, ($A4833+$C4833) - MAX(IF($B$2:$B4832=$B4833, $A$2:$A4832+$C$2:$C4832)), "")*24*60, "")</f>
        <v/>
      </c>
      <c r="N4833" s="24" t="str" cm="1">
        <f t="array" ref="N4833">IFERROR(IF($B4833=N$1, ($A4833+$C4833) - MAX(IF($B$2:$B4832=$B4833, $A$2:$A4832+$C$2:$C4832)), "")*24*60, "")</f>
        <v/>
      </c>
      <c r="O4833" s="24" t="str" cm="1">
        <f t="array" ref="O4833">IFERROR(IF($B4833=O$1, ($A4833+$C4833) - MAX(IF($B$2:$B4832=$B4833, $A$2:$A4832+$C$2:$C4832)), "")*24*60, "")</f>
        <v/>
      </c>
      <c r="P4833" s="24" t="str" cm="1">
        <f t="array" ref="P4833">IFERROR(IF($B4833=P$1, ($A4833+$C4833) - MAX(IF($B$2:$B4832=$B4833, $A$2:$A4832+$C$2:$C4832)), "")*24*60, "")</f>
        <v/>
      </c>
      <c r="Q4833" s="24" t="str" cm="1">
        <f t="array" ref="Q4833">IFERROR(IF($B4833=Q$1, ($A4833+$C4833) - MAX(IF($B$2:$B4832=$B4833, $A$2:$A4832+$C$2:$C4832)), "")*24*60, "")</f>
        <v/>
      </c>
    </row>
    <row r="4834" spans="1:17" x14ac:dyDescent="0.2">
      <c r="A4834" s="12">
        <f t="shared" ref="A4834:C4834" si="1168">A4833</f>
        <v>45980</v>
      </c>
      <c r="B4834" s="5" t="str">
        <f t="shared" si="1168"/>
        <v>Northern Cardinal</v>
      </c>
      <c r="C4834" s="6">
        <f t="shared" si="1168"/>
        <v>0.29166666666666669</v>
      </c>
      <c r="D4834" s="5"/>
      <c r="E4834" s="5"/>
      <c r="F4834" s="5" t="s">
        <v>8</v>
      </c>
      <c r="G4834" s="15" t="s">
        <v>9</v>
      </c>
      <c r="H4834" s="24">
        <f t="shared" si="1129"/>
        <v>0</v>
      </c>
      <c r="I4834" s="24" cm="1">
        <f t="array" ref="I4834">IFERROR(IF($B4834=I$1, ($A4834+$C4834) - MAX(IF($B$2:$B4833=$B4834, $A$2:$A4833+$C$2:$C4833)), "")*24*60, "")</f>
        <v>0</v>
      </c>
      <c r="J4834" s="24" t="str" cm="1">
        <f t="array" ref="J4834">IFERROR(IF($B4834=J$1, ($A4834+$C4834) - MAX(IF($B$2:$B4833=$B4834, $A$2:$A4833+$C$2:$C4833)), "")*24*60, "")</f>
        <v/>
      </c>
      <c r="K4834" s="24" t="str" cm="1">
        <f t="array" ref="K4834">IFERROR(IF($B4834=K$1, ($A4834+$C4834) - MAX(IF($B$2:$B4833=$B4834, $A$2:$A4833+$C$2:$C4833)), "")*24*60, "")</f>
        <v/>
      </c>
      <c r="L4834" s="24" t="str" cm="1">
        <f t="array" ref="L4834">IFERROR(IF($B4834=L$1, ($A4834+$C4834) - MAX(IF($B$2:$B4833=$B4834, $A$2:$A4833+$C$2:$C4833)), "")*24*60, "")</f>
        <v/>
      </c>
      <c r="M4834" s="24" t="str" cm="1">
        <f t="array" ref="M4834">IFERROR(IF($B4834=M$1, ($A4834+$C4834) - MAX(IF($B$2:$B4833=$B4834, $A$2:$A4833+$C$2:$C4833)), "")*24*60, "")</f>
        <v/>
      </c>
      <c r="N4834" s="24" t="str" cm="1">
        <f t="array" ref="N4834">IFERROR(IF($B4834=N$1, ($A4834+$C4834) - MAX(IF($B$2:$B4833=$B4834, $A$2:$A4833+$C$2:$C4833)), "")*24*60, "")</f>
        <v/>
      </c>
      <c r="O4834" s="24" t="str" cm="1">
        <f t="array" ref="O4834">IFERROR(IF($B4834=O$1, ($A4834+$C4834) - MAX(IF($B$2:$B4833=$B4834, $A$2:$A4833+$C$2:$C4833)), "")*24*60, "")</f>
        <v/>
      </c>
      <c r="P4834" s="24" t="str" cm="1">
        <f t="array" ref="P4834">IFERROR(IF($B4834=P$1, ($A4834+$C4834) - MAX(IF($B$2:$B4833=$B4834, $A$2:$A4833+$C$2:$C4833)), "")*24*60, "")</f>
        <v/>
      </c>
      <c r="Q4834" s="24" t="str" cm="1">
        <f t="array" ref="Q4834">IFERROR(IF($B4834=Q$1, ($A4834+$C4834) - MAX(IF($B$2:$B4833=$B4834, $A$2:$A4833+$C$2:$C4833)), "")*24*60, "")</f>
        <v/>
      </c>
    </row>
    <row r="4835" spans="1:17" x14ac:dyDescent="0.2">
      <c r="A4835" s="12">
        <f t="shared" ref="A4835:C4835" si="1169">A4834</f>
        <v>45980</v>
      </c>
      <c r="B4835" s="5" t="str">
        <f t="shared" si="1169"/>
        <v>Northern Cardinal</v>
      </c>
      <c r="C4835" s="6">
        <f t="shared" si="1169"/>
        <v>0.29166666666666669</v>
      </c>
      <c r="D4835" s="5"/>
      <c r="E4835" s="5"/>
      <c r="F4835" s="5" t="s">
        <v>8</v>
      </c>
      <c r="G4835" s="15" t="s">
        <v>9</v>
      </c>
      <c r="H4835" s="24">
        <f t="shared" si="1129"/>
        <v>0</v>
      </c>
      <c r="I4835" s="24" cm="1">
        <f t="array" ref="I4835">IFERROR(IF($B4835=I$1, ($A4835+$C4835) - MAX(IF($B$2:$B4834=$B4835, $A$2:$A4834+$C$2:$C4834)), "")*24*60, "")</f>
        <v>0</v>
      </c>
      <c r="J4835" s="24" t="str" cm="1">
        <f t="array" ref="J4835">IFERROR(IF($B4835=J$1, ($A4835+$C4835) - MAX(IF($B$2:$B4834=$B4835, $A$2:$A4834+$C$2:$C4834)), "")*24*60, "")</f>
        <v/>
      </c>
      <c r="K4835" s="24" t="str" cm="1">
        <f t="array" ref="K4835">IFERROR(IF($B4835=K$1, ($A4835+$C4835) - MAX(IF($B$2:$B4834=$B4835, $A$2:$A4834+$C$2:$C4834)), "")*24*60, "")</f>
        <v/>
      </c>
      <c r="L4835" s="24" t="str" cm="1">
        <f t="array" ref="L4835">IFERROR(IF($B4835=L$1, ($A4835+$C4835) - MAX(IF($B$2:$B4834=$B4835, $A$2:$A4834+$C$2:$C4834)), "")*24*60, "")</f>
        <v/>
      </c>
      <c r="M4835" s="24" t="str" cm="1">
        <f t="array" ref="M4835">IFERROR(IF($B4835=M$1, ($A4835+$C4835) - MAX(IF($B$2:$B4834=$B4835, $A$2:$A4834+$C$2:$C4834)), "")*24*60, "")</f>
        <v/>
      </c>
      <c r="N4835" s="24" t="str" cm="1">
        <f t="array" ref="N4835">IFERROR(IF($B4835=N$1, ($A4835+$C4835) - MAX(IF($B$2:$B4834=$B4835, $A$2:$A4834+$C$2:$C4834)), "")*24*60, "")</f>
        <v/>
      </c>
      <c r="O4835" s="24" t="str" cm="1">
        <f t="array" ref="O4835">IFERROR(IF($B4835=O$1, ($A4835+$C4835) - MAX(IF($B$2:$B4834=$B4835, $A$2:$A4834+$C$2:$C4834)), "")*24*60, "")</f>
        <v/>
      </c>
      <c r="P4835" s="24" t="str" cm="1">
        <f t="array" ref="P4835">IFERROR(IF($B4835=P$1, ($A4835+$C4835) - MAX(IF($B$2:$B4834=$B4835, $A$2:$A4834+$C$2:$C4834)), "")*24*60, "")</f>
        <v/>
      </c>
      <c r="Q4835" s="24" t="str" cm="1">
        <f t="array" ref="Q4835">IFERROR(IF($B4835=Q$1, ($A4835+$C4835) - MAX(IF($B$2:$B4834=$B4835, $A$2:$A4834+$C$2:$C4834)), "")*24*60, "")</f>
        <v/>
      </c>
    </row>
    <row r="4836" spans="1:17" x14ac:dyDescent="0.2">
      <c r="A4836" s="12">
        <f t="shared" ref="A4836:C4836" si="1170">A4835</f>
        <v>45980</v>
      </c>
      <c r="B4836" s="5" t="str">
        <f t="shared" si="1170"/>
        <v>Northern Cardinal</v>
      </c>
      <c r="C4836" s="6">
        <f t="shared" si="1170"/>
        <v>0.29166666666666669</v>
      </c>
      <c r="D4836" s="5"/>
      <c r="E4836" s="5"/>
      <c r="F4836" s="5" t="s">
        <v>8</v>
      </c>
      <c r="G4836" s="15" t="s">
        <v>9</v>
      </c>
      <c r="H4836" s="24">
        <f t="shared" si="1129"/>
        <v>0</v>
      </c>
      <c r="I4836" s="24" cm="1">
        <f t="array" ref="I4836">IFERROR(IF($B4836=I$1, ($A4836+$C4836) - MAX(IF($B$2:$B4835=$B4836, $A$2:$A4835+$C$2:$C4835)), "")*24*60, "")</f>
        <v>0</v>
      </c>
      <c r="J4836" s="24" t="str" cm="1">
        <f t="array" ref="J4836">IFERROR(IF($B4836=J$1, ($A4836+$C4836) - MAX(IF($B$2:$B4835=$B4836, $A$2:$A4835+$C$2:$C4835)), "")*24*60, "")</f>
        <v/>
      </c>
      <c r="K4836" s="24" t="str" cm="1">
        <f t="array" ref="K4836">IFERROR(IF($B4836=K$1, ($A4836+$C4836) - MAX(IF($B$2:$B4835=$B4836, $A$2:$A4835+$C$2:$C4835)), "")*24*60, "")</f>
        <v/>
      </c>
      <c r="L4836" s="24" t="str" cm="1">
        <f t="array" ref="L4836">IFERROR(IF($B4836=L$1, ($A4836+$C4836) - MAX(IF($B$2:$B4835=$B4836, $A$2:$A4835+$C$2:$C4835)), "")*24*60, "")</f>
        <v/>
      </c>
      <c r="M4836" s="24" t="str" cm="1">
        <f t="array" ref="M4836">IFERROR(IF($B4836=M$1, ($A4836+$C4836) - MAX(IF($B$2:$B4835=$B4836, $A$2:$A4835+$C$2:$C4835)), "")*24*60, "")</f>
        <v/>
      </c>
      <c r="N4836" s="24" t="str" cm="1">
        <f t="array" ref="N4836">IFERROR(IF($B4836=N$1, ($A4836+$C4836) - MAX(IF($B$2:$B4835=$B4836, $A$2:$A4835+$C$2:$C4835)), "")*24*60, "")</f>
        <v/>
      </c>
      <c r="O4836" s="24" t="str" cm="1">
        <f t="array" ref="O4836">IFERROR(IF($B4836=O$1, ($A4836+$C4836) - MAX(IF($B$2:$B4835=$B4836, $A$2:$A4835+$C$2:$C4835)), "")*24*60, "")</f>
        <v/>
      </c>
      <c r="P4836" s="24" t="str" cm="1">
        <f t="array" ref="P4836">IFERROR(IF($B4836=P$1, ($A4836+$C4836) - MAX(IF($B$2:$B4835=$B4836, $A$2:$A4835+$C$2:$C4835)), "")*24*60, "")</f>
        <v/>
      </c>
      <c r="Q4836" s="24" t="str" cm="1">
        <f t="array" ref="Q4836">IFERROR(IF($B4836=Q$1, ($A4836+$C4836) - MAX(IF($B$2:$B4835=$B4836, $A$2:$A4835+$C$2:$C4835)), "")*24*60, "")</f>
        <v/>
      </c>
    </row>
    <row r="4837" spans="1:17" x14ac:dyDescent="0.2">
      <c r="A4837" s="12">
        <f t="shared" ref="A4837:C4837" si="1171">A4836</f>
        <v>45980</v>
      </c>
      <c r="B4837" s="5" t="str">
        <f t="shared" si="1171"/>
        <v>Northern Cardinal</v>
      </c>
      <c r="C4837" s="6">
        <f t="shared" si="1171"/>
        <v>0.29166666666666669</v>
      </c>
      <c r="D4837" s="5"/>
      <c r="E4837" s="5"/>
      <c r="F4837" s="5" t="s">
        <v>8</v>
      </c>
      <c r="G4837" s="15" t="s">
        <v>9</v>
      </c>
      <c r="H4837" s="24">
        <f t="shared" si="1129"/>
        <v>0</v>
      </c>
      <c r="I4837" s="24" cm="1">
        <f t="array" ref="I4837">IFERROR(IF($B4837=I$1, ($A4837+$C4837) - MAX(IF($B$2:$B4836=$B4837, $A$2:$A4836+$C$2:$C4836)), "")*24*60, "")</f>
        <v>0</v>
      </c>
      <c r="J4837" s="24" t="str" cm="1">
        <f t="array" ref="J4837">IFERROR(IF($B4837=J$1, ($A4837+$C4837) - MAX(IF($B$2:$B4836=$B4837, $A$2:$A4836+$C$2:$C4836)), "")*24*60, "")</f>
        <v/>
      </c>
      <c r="K4837" s="24" t="str" cm="1">
        <f t="array" ref="K4837">IFERROR(IF($B4837=K$1, ($A4837+$C4837) - MAX(IF($B$2:$B4836=$B4837, $A$2:$A4836+$C$2:$C4836)), "")*24*60, "")</f>
        <v/>
      </c>
      <c r="L4837" s="24" t="str" cm="1">
        <f t="array" ref="L4837">IFERROR(IF($B4837=L$1, ($A4837+$C4837) - MAX(IF($B$2:$B4836=$B4837, $A$2:$A4836+$C$2:$C4836)), "")*24*60, "")</f>
        <v/>
      </c>
      <c r="M4837" s="24" t="str" cm="1">
        <f t="array" ref="M4837">IFERROR(IF($B4837=M$1, ($A4837+$C4837) - MAX(IF($B$2:$B4836=$B4837, $A$2:$A4836+$C$2:$C4836)), "")*24*60, "")</f>
        <v/>
      </c>
      <c r="N4837" s="24" t="str" cm="1">
        <f t="array" ref="N4837">IFERROR(IF($B4837=N$1, ($A4837+$C4837) - MAX(IF($B$2:$B4836=$B4837, $A$2:$A4836+$C$2:$C4836)), "")*24*60, "")</f>
        <v/>
      </c>
      <c r="O4837" s="24" t="str" cm="1">
        <f t="array" ref="O4837">IFERROR(IF($B4837=O$1, ($A4837+$C4837) - MAX(IF($B$2:$B4836=$B4837, $A$2:$A4836+$C$2:$C4836)), "")*24*60, "")</f>
        <v/>
      </c>
      <c r="P4837" s="24" t="str" cm="1">
        <f t="array" ref="P4837">IFERROR(IF($B4837=P$1, ($A4837+$C4837) - MAX(IF($B$2:$B4836=$B4837, $A$2:$A4836+$C$2:$C4836)), "")*24*60, "")</f>
        <v/>
      </c>
      <c r="Q4837" s="24" t="str" cm="1">
        <f t="array" ref="Q4837">IFERROR(IF($B4837=Q$1, ($A4837+$C4837) - MAX(IF($B$2:$B4836=$B4837, $A$2:$A4836+$C$2:$C4836)), "")*24*60, "")</f>
        <v/>
      </c>
    </row>
    <row r="4838" spans="1:17" x14ac:dyDescent="0.2">
      <c r="A4838" s="12">
        <f t="shared" ref="A4838:C4838" si="1172">A4837</f>
        <v>45980</v>
      </c>
      <c r="B4838" s="5" t="str">
        <f t="shared" si="1172"/>
        <v>Northern Cardinal</v>
      </c>
      <c r="C4838" s="6">
        <f t="shared" si="1172"/>
        <v>0.29166666666666669</v>
      </c>
      <c r="D4838" s="5"/>
      <c r="E4838" s="5"/>
      <c r="F4838" s="5" t="s">
        <v>8</v>
      </c>
      <c r="G4838" s="15" t="s">
        <v>9</v>
      </c>
      <c r="H4838" s="24">
        <f t="shared" si="1129"/>
        <v>0</v>
      </c>
      <c r="I4838" s="24" cm="1">
        <f t="array" ref="I4838">IFERROR(IF($B4838=I$1, ($A4838+$C4838) - MAX(IF($B$2:$B4837=$B4838, $A$2:$A4837+$C$2:$C4837)), "")*24*60, "")</f>
        <v>0</v>
      </c>
      <c r="J4838" s="24" t="str" cm="1">
        <f t="array" ref="J4838">IFERROR(IF($B4838=J$1, ($A4838+$C4838) - MAX(IF($B$2:$B4837=$B4838, $A$2:$A4837+$C$2:$C4837)), "")*24*60, "")</f>
        <v/>
      </c>
      <c r="K4838" s="24" t="str" cm="1">
        <f t="array" ref="K4838">IFERROR(IF($B4838=K$1, ($A4838+$C4838) - MAX(IF($B$2:$B4837=$B4838, $A$2:$A4837+$C$2:$C4837)), "")*24*60, "")</f>
        <v/>
      </c>
      <c r="L4838" s="24" t="str" cm="1">
        <f t="array" ref="L4838">IFERROR(IF($B4838=L$1, ($A4838+$C4838) - MAX(IF($B$2:$B4837=$B4838, $A$2:$A4837+$C$2:$C4837)), "")*24*60, "")</f>
        <v/>
      </c>
      <c r="M4838" s="24" t="str" cm="1">
        <f t="array" ref="M4838">IFERROR(IF($B4838=M$1, ($A4838+$C4838) - MAX(IF($B$2:$B4837=$B4838, $A$2:$A4837+$C$2:$C4837)), "")*24*60, "")</f>
        <v/>
      </c>
      <c r="N4838" s="24" t="str" cm="1">
        <f t="array" ref="N4838">IFERROR(IF($B4838=N$1, ($A4838+$C4838) - MAX(IF($B$2:$B4837=$B4838, $A$2:$A4837+$C$2:$C4837)), "")*24*60, "")</f>
        <v/>
      </c>
      <c r="O4838" s="24" t="str" cm="1">
        <f t="array" ref="O4838">IFERROR(IF($B4838=O$1, ($A4838+$C4838) - MAX(IF($B$2:$B4837=$B4838, $A$2:$A4837+$C$2:$C4837)), "")*24*60, "")</f>
        <v/>
      </c>
      <c r="P4838" s="24" t="str" cm="1">
        <f t="array" ref="P4838">IFERROR(IF($B4838=P$1, ($A4838+$C4838) - MAX(IF($B$2:$B4837=$B4838, $A$2:$A4837+$C$2:$C4837)), "")*24*60, "")</f>
        <v/>
      </c>
      <c r="Q4838" s="24" t="str" cm="1">
        <f t="array" ref="Q4838">IFERROR(IF($B4838=Q$1, ($A4838+$C4838) - MAX(IF($B$2:$B4837=$B4838, $A$2:$A4837+$C$2:$C4837)), "")*24*60, "")</f>
        <v/>
      </c>
    </row>
    <row r="4839" spans="1:17" x14ac:dyDescent="0.2">
      <c r="A4839" s="12">
        <f t="shared" ref="A4839:C4839" si="1173">A4838</f>
        <v>45980</v>
      </c>
      <c r="B4839" s="5" t="str">
        <f t="shared" si="1173"/>
        <v>Northern Cardinal</v>
      </c>
      <c r="C4839" s="6">
        <f t="shared" si="1173"/>
        <v>0.29166666666666669</v>
      </c>
      <c r="D4839" s="5"/>
      <c r="E4839" s="5"/>
      <c r="F4839" s="5" t="s">
        <v>8</v>
      </c>
      <c r="G4839" s="15" t="s">
        <v>9</v>
      </c>
      <c r="H4839" s="24">
        <f t="shared" si="1129"/>
        <v>0</v>
      </c>
      <c r="I4839" s="24" cm="1">
        <f t="array" ref="I4839">IFERROR(IF($B4839=I$1, ($A4839+$C4839) - MAX(IF($B$2:$B4838=$B4839, $A$2:$A4838+$C$2:$C4838)), "")*24*60, "")</f>
        <v>0</v>
      </c>
      <c r="J4839" s="24" t="str" cm="1">
        <f t="array" ref="J4839">IFERROR(IF($B4839=J$1, ($A4839+$C4839) - MAX(IF($B$2:$B4838=$B4839, $A$2:$A4838+$C$2:$C4838)), "")*24*60, "")</f>
        <v/>
      </c>
      <c r="K4839" s="24" t="str" cm="1">
        <f t="array" ref="K4839">IFERROR(IF($B4839=K$1, ($A4839+$C4839) - MAX(IF($B$2:$B4838=$B4839, $A$2:$A4838+$C$2:$C4838)), "")*24*60, "")</f>
        <v/>
      </c>
      <c r="L4839" s="24" t="str" cm="1">
        <f t="array" ref="L4839">IFERROR(IF($B4839=L$1, ($A4839+$C4839) - MAX(IF($B$2:$B4838=$B4839, $A$2:$A4838+$C$2:$C4838)), "")*24*60, "")</f>
        <v/>
      </c>
      <c r="M4839" s="24" t="str" cm="1">
        <f t="array" ref="M4839">IFERROR(IF($B4839=M$1, ($A4839+$C4839) - MAX(IF($B$2:$B4838=$B4839, $A$2:$A4838+$C$2:$C4838)), "")*24*60, "")</f>
        <v/>
      </c>
      <c r="N4839" s="24" t="str" cm="1">
        <f t="array" ref="N4839">IFERROR(IF($B4839=N$1, ($A4839+$C4839) - MAX(IF($B$2:$B4838=$B4839, $A$2:$A4838+$C$2:$C4838)), "")*24*60, "")</f>
        <v/>
      </c>
      <c r="O4839" s="24" t="str" cm="1">
        <f t="array" ref="O4839">IFERROR(IF($B4839=O$1, ($A4839+$C4839) - MAX(IF($B$2:$B4838=$B4839, $A$2:$A4838+$C$2:$C4838)), "")*24*60, "")</f>
        <v/>
      </c>
      <c r="P4839" s="24" t="str" cm="1">
        <f t="array" ref="P4839">IFERROR(IF($B4839=P$1, ($A4839+$C4839) - MAX(IF($B$2:$B4838=$B4839, $A$2:$A4838+$C$2:$C4838)), "")*24*60, "")</f>
        <v/>
      </c>
      <c r="Q4839" s="24" t="str" cm="1">
        <f t="array" ref="Q4839">IFERROR(IF($B4839=Q$1, ($A4839+$C4839) - MAX(IF($B$2:$B4838=$B4839, $A$2:$A4838+$C$2:$C4838)), "")*24*60, "")</f>
        <v/>
      </c>
    </row>
    <row r="4840" spans="1:17" x14ac:dyDescent="0.2">
      <c r="A4840" s="12">
        <f t="shared" ref="A4840:C4840" si="1174">A4839</f>
        <v>45980</v>
      </c>
      <c r="B4840" s="5" t="str">
        <f t="shared" si="1174"/>
        <v>Northern Cardinal</v>
      </c>
      <c r="C4840" s="6">
        <f t="shared" si="1174"/>
        <v>0.29166666666666669</v>
      </c>
      <c r="D4840" s="5"/>
      <c r="E4840" s="5"/>
      <c r="F4840" s="5" t="s">
        <v>8</v>
      </c>
      <c r="G4840" s="15" t="s">
        <v>9</v>
      </c>
      <c r="H4840" s="24">
        <f t="shared" si="1129"/>
        <v>0</v>
      </c>
      <c r="I4840" s="24" cm="1">
        <f t="array" ref="I4840">IFERROR(IF($B4840=I$1, ($A4840+$C4840) - MAX(IF($B$2:$B4839=$B4840, $A$2:$A4839+$C$2:$C4839)), "")*24*60, "")</f>
        <v>0</v>
      </c>
      <c r="J4840" s="24" t="str" cm="1">
        <f t="array" ref="J4840">IFERROR(IF($B4840=J$1, ($A4840+$C4840) - MAX(IF($B$2:$B4839=$B4840, $A$2:$A4839+$C$2:$C4839)), "")*24*60, "")</f>
        <v/>
      </c>
      <c r="K4840" s="24" t="str" cm="1">
        <f t="array" ref="K4840">IFERROR(IF($B4840=K$1, ($A4840+$C4840) - MAX(IF($B$2:$B4839=$B4840, $A$2:$A4839+$C$2:$C4839)), "")*24*60, "")</f>
        <v/>
      </c>
      <c r="L4840" s="24" t="str" cm="1">
        <f t="array" ref="L4840">IFERROR(IF($B4840=L$1, ($A4840+$C4840) - MAX(IF($B$2:$B4839=$B4840, $A$2:$A4839+$C$2:$C4839)), "")*24*60, "")</f>
        <v/>
      </c>
      <c r="M4840" s="24" t="str" cm="1">
        <f t="array" ref="M4840">IFERROR(IF($B4840=M$1, ($A4840+$C4840) - MAX(IF($B$2:$B4839=$B4840, $A$2:$A4839+$C$2:$C4839)), "")*24*60, "")</f>
        <v/>
      </c>
      <c r="N4840" s="24" t="str" cm="1">
        <f t="array" ref="N4840">IFERROR(IF($B4840=N$1, ($A4840+$C4840) - MAX(IF($B$2:$B4839=$B4840, $A$2:$A4839+$C$2:$C4839)), "")*24*60, "")</f>
        <v/>
      </c>
      <c r="O4840" s="24" t="str" cm="1">
        <f t="array" ref="O4840">IFERROR(IF($B4840=O$1, ($A4840+$C4840) - MAX(IF($B$2:$B4839=$B4840, $A$2:$A4839+$C$2:$C4839)), "")*24*60, "")</f>
        <v/>
      </c>
      <c r="P4840" s="24" t="str" cm="1">
        <f t="array" ref="P4840">IFERROR(IF($B4840=P$1, ($A4840+$C4840) - MAX(IF($B$2:$B4839=$B4840, $A$2:$A4839+$C$2:$C4839)), "")*24*60, "")</f>
        <v/>
      </c>
      <c r="Q4840" s="24" t="str" cm="1">
        <f t="array" ref="Q4840">IFERROR(IF($B4840=Q$1, ($A4840+$C4840) - MAX(IF($B$2:$B4839=$B4840, $A$2:$A4839+$C$2:$C4839)), "")*24*60, "")</f>
        <v/>
      </c>
    </row>
    <row r="4841" spans="1:17" x14ac:dyDescent="0.2">
      <c r="A4841" s="12">
        <f t="shared" ref="A4841:C4841" si="1175">A4840</f>
        <v>45980</v>
      </c>
      <c r="B4841" s="5" t="str">
        <f t="shared" si="1175"/>
        <v>Northern Cardinal</v>
      </c>
      <c r="C4841" s="6">
        <f t="shared" si="1175"/>
        <v>0.29166666666666669</v>
      </c>
      <c r="D4841" s="5"/>
      <c r="E4841" s="5"/>
      <c r="F4841" s="5" t="s">
        <v>8</v>
      </c>
      <c r="G4841" s="15" t="s">
        <v>9</v>
      </c>
      <c r="H4841" s="24">
        <f t="shared" si="1129"/>
        <v>0</v>
      </c>
      <c r="I4841" s="24" cm="1">
        <f t="array" ref="I4841">IFERROR(IF($B4841=I$1, ($A4841+$C4841) - MAX(IF($B$2:$B4840=$B4841, $A$2:$A4840+$C$2:$C4840)), "")*24*60, "")</f>
        <v>0</v>
      </c>
      <c r="J4841" s="24" t="str" cm="1">
        <f t="array" ref="J4841">IFERROR(IF($B4841=J$1, ($A4841+$C4841) - MAX(IF($B$2:$B4840=$B4841, $A$2:$A4840+$C$2:$C4840)), "")*24*60, "")</f>
        <v/>
      </c>
      <c r="K4841" s="24" t="str" cm="1">
        <f t="array" ref="K4841">IFERROR(IF($B4841=K$1, ($A4841+$C4841) - MAX(IF($B$2:$B4840=$B4841, $A$2:$A4840+$C$2:$C4840)), "")*24*60, "")</f>
        <v/>
      </c>
      <c r="L4841" s="24" t="str" cm="1">
        <f t="array" ref="L4841">IFERROR(IF($B4841=L$1, ($A4841+$C4841) - MAX(IF($B$2:$B4840=$B4841, $A$2:$A4840+$C$2:$C4840)), "")*24*60, "")</f>
        <v/>
      </c>
      <c r="M4841" s="24" t="str" cm="1">
        <f t="array" ref="M4841">IFERROR(IF($B4841=M$1, ($A4841+$C4841) - MAX(IF($B$2:$B4840=$B4841, $A$2:$A4840+$C$2:$C4840)), "")*24*60, "")</f>
        <v/>
      </c>
      <c r="N4841" s="24" t="str" cm="1">
        <f t="array" ref="N4841">IFERROR(IF($B4841=N$1, ($A4841+$C4841) - MAX(IF($B$2:$B4840=$B4841, $A$2:$A4840+$C$2:$C4840)), "")*24*60, "")</f>
        <v/>
      </c>
      <c r="O4841" s="24" t="str" cm="1">
        <f t="array" ref="O4841">IFERROR(IF($B4841=O$1, ($A4841+$C4841) - MAX(IF($B$2:$B4840=$B4841, $A$2:$A4840+$C$2:$C4840)), "")*24*60, "")</f>
        <v/>
      </c>
      <c r="P4841" s="24" t="str" cm="1">
        <f t="array" ref="P4841">IFERROR(IF($B4841=P$1, ($A4841+$C4841) - MAX(IF($B$2:$B4840=$B4841, $A$2:$A4840+$C$2:$C4840)), "")*24*60, "")</f>
        <v/>
      </c>
      <c r="Q4841" s="24" t="str" cm="1">
        <f t="array" ref="Q4841">IFERROR(IF($B4841=Q$1, ($A4841+$C4841) - MAX(IF($B$2:$B4840=$B4841, $A$2:$A4840+$C$2:$C4840)), "")*24*60, "")</f>
        <v/>
      </c>
    </row>
    <row r="4842" spans="1:17" x14ac:dyDescent="0.2">
      <c r="A4842" s="12">
        <f t="shared" ref="A4842:C4842" si="1176">A4841</f>
        <v>45980</v>
      </c>
      <c r="B4842" s="5" t="str">
        <f t="shared" si="1176"/>
        <v>Northern Cardinal</v>
      </c>
      <c r="C4842" s="6">
        <f t="shared" si="1176"/>
        <v>0.29166666666666669</v>
      </c>
      <c r="D4842" s="5"/>
      <c r="E4842" s="5"/>
      <c r="F4842" s="5" t="s">
        <v>8</v>
      </c>
      <c r="G4842" s="15" t="s">
        <v>9</v>
      </c>
      <c r="H4842" s="24">
        <f t="shared" si="1129"/>
        <v>0</v>
      </c>
      <c r="I4842" s="24" cm="1">
        <f t="array" ref="I4842">IFERROR(IF($B4842=I$1, ($A4842+$C4842) - MAX(IF($B$2:$B4841=$B4842, $A$2:$A4841+$C$2:$C4841)), "")*24*60, "")</f>
        <v>0</v>
      </c>
      <c r="J4842" s="24" t="str" cm="1">
        <f t="array" ref="J4842">IFERROR(IF($B4842=J$1, ($A4842+$C4842) - MAX(IF($B$2:$B4841=$B4842, $A$2:$A4841+$C$2:$C4841)), "")*24*60, "")</f>
        <v/>
      </c>
      <c r="K4842" s="24" t="str" cm="1">
        <f t="array" ref="K4842">IFERROR(IF($B4842=K$1, ($A4842+$C4842) - MAX(IF($B$2:$B4841=$B4842, $A$2:$A4841+$C$2:$C4841)), "")*24*60, "")</f>
        <v/>
      </c>
      <c r="L4842" s="24" t="str" cm="1">
        <f t="array" ref="L4842">IFERROR(IF($B4842=L$1, ($A4842+$C4842) - MAX(IF($B$2:$B4841=$B4842, $A$2:$A4841+$C$2:$C4841)), "")*24*60, "")</f>
        <v/>
      </c>
      <c r="M4842" s="24" t="str" cm="1">
        <f t="array" ref="M4842">IFERROR(IF($B4842=M$1, ($A4842+$C4842) - MAX(IF($B$2:$B4841=$B4842, $A$2:$A4841+$C$2:$C4841)), "")*24*60, "")</f>
        <v/>
      </c>
      <c r="N4842" s="24" t="str" cm="1">
        <f t="array" ref="N4842">IFERROR(IF($B4842=N$1, ($A4842+$C4842) - MAX(IF($B$2:$B4841=$B4842, $A$2:$A4841+$C$2:$C4841)), "")*24*60, "")</f>
        <v/>
      </c>
      <c r="O4842" s="24" t="str" cm="1">
        <f t="array" ref="O4842">IFERROR(IF($B4842=O$1, ($A4842+$C4842) - MAX(IF($B$2:$B4841=$B4842, $A$2:$A4841+$C$2:$C4841)), "")*24*60, "")</f>
        <v/>
      </c>
      <c r="P4842" s="24" t="str" cm="1">
        <f t="array" ref="P4842">IFERROR(IF($B4842=P$1, ($A4842+$C4842) - MAX(IF($B$2:$B4841=$B4842, $A$2:$A4841+$C$2:$C4841)), "")*24*60, "")</f>
        <v/>
      </c>
      <c r="Q4842" s="24" t="str" cm="1">
        <f t="array" ref="Q4842">IFERROR(IF($B4842=Q$1, ($A4842+$C4842) - MAX(IF($B$2:$B4841=$B4842, $A$2:$A4841+$C$2:$C4841)), "")*24*60, "")</f>
        <v/>
      </c>
    </row>
    <row r="4843" spans="1:17" x14ac:dyDescent="0.2">
      <c r="A4843" s="12">
        <f t="shared" ref="A4843:C4843" si="1177">A4842</f>
        <v>45980</v>
      </c>
      <c r="B4843" s="5" t="str">
        <f t="shared" si="1177"/>
        <v>Northern Cardinal</v>
      </c>
      <c r="C4843" s="6">
        <f t="shared" si="1177"/>
        <v>0.29166666666666669</v>
      </c>
      <c r="D4843" s="5"/>
      <c r="E4843" s="5"/>
      <c r="F4843" s="5" t="s">
        <v>8</v>
      </c>
      <c r="G4843" s="15" t="s">
        <v>9</v>
      </c>
      <c r="H4843" s="24">
        <f t="shared" si="1129"/>
        <v>0</v>
      </c>
      <c r="I4843" s="24" cm="1">
        <f t="array" ref="I4843">IFERROR(IF($B4843=I$1, ($A4843+$C4843) - MAX(IF($B$2:$B4842=$B4843, $A$2:$A4842+$C$2:$C4842)), "")*24*60, "")</f>
        <v>0</v>
      </c>
      <c r="J4843" s="24" t="str" cm="1">
        <f t="array" ref="J4843">IFERROR(IF($B4843=J$1, ($A4843+$C4843) - MAX(IF($B$2:$B4842=$B4843, $A$2:$A4842+$C$2:$C4842)), "")*24*60, "")</f>
        <v/>
      </c>
      <c r="K4843" s="24" t="str" cm="1">
        <f t="array" ref="K4843">IFERROR(IF($B4843=K$1, ($A4843+$C4843) - MAX(IF($B$2:$B4842=$B4843, $A$2:$A4842+$C$2:$C4842)), "")*24*60, "")</f>
        <v/>
      </c>
      <c r="L4843" s="24" t="str" cm="1">
        <f t="array" ref="L4843">IFERROR(IF($B4843=L$1, ($A4843+$C4843) - MAX(IF($B$2:$B4842=$B4843, $A$2:$A4842+$C$2:$C4842)), "")*24*60, "")</f>
        <v/>
      </c>
      <c r="M4843" s="24" t="str" cm="1">
        <f t="array" ref="M4843">IFERROR(IF($B4843=M$1, ($A4843+$C4843) - MAX(IF($B$2:$B4842=$B4843, $A$2:$A4842+$C$2:$C4842)), "")*24*60, "")</f>
        <v/>
      </c>
      <c r="N4843" s="24" t="str" cm="1">
        <f t="array" ref="N4843">IFERROR(IF($B4843=N$1, ($A4843+$C4843) - MAX(IF($B$2:$B4842=$B4843, $A$2:$A4842+$C$2:$C4842)), "")*24*60, "")</f>
        <v/>
      </c>
      <c r="O4843" s="24" t="str" cm="1">
        <f t="array" ref="O4843">IFERROR(IF($B4843=O$1, ($A4843+$C4843) - MAX(IF($B$2:$B4842=$B4843, $A$2:$A4842+$C$2:$C4842)), "")*24*60, "")</f>
        <v/>
      </c>
      <c r="P4843" s="24" t="str" cm="1">
        <f t="array" ref="P4843">IFERROR(IF($B4843=P$1, ($A4843+$C4843) - MAX(IF($B$2:$B4842=$B4843, $A$2:$A4842+$C$2:$C4842)), "")*24*60, "")</f>
        <v/>
      </c>
      <c r="Q4843" s="24" t="str" cm="1">
        <f t="array" ref="Q4843">IFERROR(IF($B4843=Q$1, ($A4843+$C4843) - MAX(IF($B$2:$B4842=$B4843, $A$2:$A4842+$C$2:$C4842)), "")*24*60, "")</f>
        <v/>
      </c>
    </row>
    <row r="4844" spans="1:17" x14ac:dyDescent="0.2">
      <c r="A4844" s="12">
        <f t="shared" ref="A4844:C4844" si="1178">A4843</f>
        <v>45980</v>
      </c>
      <c r="B4844" s="5" t="str">
        <f t="shared" si="1178"/>
        <v>Northern Cardinal</v>
      </c>
      <c r="C4844" s="6">
        <f t="shared" si="1178"/>
        <v>0.29166666666666669</v>
      </c>
      <c r="D4844" s="5"/>
      <c r="E4844" s="5"/>
      <c r="F4844" s="5" t="s">
        <v>8</v>
      </c>
      <c r="G4844" s="15" t="s">
        <v>9</v>
      </c>
      <c r="H4844" s="24">
        <f t="shared" si="1129"/>
        <v>0</v>
      </c>
      <c r="I4844" s="24" cm="1">
        <f t="array" ref="I4844">IFERROR(IF($B4844=I$1, ($A4844+$C4844) - MAX(IF($B$2:$B4843=$B4844, $A$2:$A4843+$C$2:$C4843)), "")*24*60, "")</f>
        <v>0</v>
      </c>
      <c r="J4844" s="24" t="str" cm="1">
        <f t="array" ref="J4844">IFERROR(IF($B4844=J$1, ($A4844+$C4844) - MAX(IF($B$2:$B4843=$B4844, $A$2:$A4843+$C$2:$C4843)), "")*24*60, "")</f>
        <v/>
      </c>
      <c r="K4844" s="24" t="str" cm="1">
        <f t="array" ref="K4844">IFERROR(IF($B4844=K$1, ($A4844+$C4844) - MAX(IF($B$2:$B4843=$B4844, $A$2:$A4843+$C$2:$C4843)), "")*24*60, "")</f>
        <v/>
      </c>
      <c r="L4844" s="24" t="str" cm="1">
        <f t="array" ref="L4844">IFERROR(IF($B4844=L$1, ($A4844+$C4844) - MAX(IF($B$2:$B4843=$B4844, $A$2:$A4843+$C$2:$C4843)), "")*24*60, "")</f>
        <v/>
      </c>
      <c r="M4844" s="24" t="str" cm="1">
        <f t="array" ref="M4844">IFERROR(IF($B4844=M$1, ($A4844+$C4844) - MAX(IF($B$2:$B4843=$B4844, $A$2:$A4843+$C$2:$C4843)), "")*24*60, "")</f>
        <v/>
      </c>
      <c r="N4844" s="24" t="str" cm="1">
        <f t="array" ref="N4844">IFERROR(IF($B4844=N$1, ($A4844+$C4844) - MAX(IF($B$2:$B4843=$B4844, $A$2:$A4843+$C$2:$C4843)), "")*24*60, "")</f>
        <v/>
      </c>
      <c r="O4844" s="24" t="str" cm="1">
        <f t="array" ref="O4844">IFERROR(IF($B4844=O$1, ($A4844+$C4844) - MAX(IF($B$2:$B4843=$B4844, $A$2:$A4843+$C$2:$C4843)), "")*24*60, "")</f>
        <v/>
      </c>
      <c r="P4844" s="24" t="str" cm="1">
        <f t="array" ref="P4844">IFERROR(IF($B4844=P$1, ($A4844+$C4844) - MAX(IF($B$2:$B4843=$B4844, $A$2:$A4843+$C$2:$C4843)), "")*24*60, "")</f>
        <v/>
      </c>
      <c r="Q4844" s="24" t="str" cm="1">
        <f t="array" ref="Q4844">IFERROR(IF($B4844=Q$1, ($A4844+$C4844) - MAX(IF($B$2:$B4843=$B4844, $A$2:$A4843+$C$2:$C4843)), "")*24*60, "")</f>
        <v/>
      </c>
    </row>
    <row r="4845" spans="1:17" x14ac:dyDescent="0.2">
      <c r="A4845" s="12">
        <f t="shared" ref="A4845:C4845" si="1179">A4844</f>
        <v>45980</v>
      </c>
      <c r="B4845" s="5" t="str">
        <f t="shared" si="1179"/>
        <v>Northern Cardinal</v>
      </c>
      <c r="C4845" s="6">
        <f t="shared" si="1179"/>
        <v>0.29166666666666669</v>
      </c>
      <c r="D4845" s="5"/>
      <c r="E4845" s="5"/>
      <c r="F4845" s="5" t="s">
        <v>8</v>
      </c>
      <c r="G4845" s="15" t="s">
        <v>9</v>
      </c>
      <c r="H4845" s="24">
        <f t="shared" si="1129"/>
        <v>0</v>
      </c>
      <c r="I4845" s="24" cm="1">
        <f t="array" ref="I4845">IFERROR(IF($B4845=I$1, ($A4845+$C4845) - MAX(IF($B$2:$B4844=$B4845, $A$2:$A4844+$C$2:$C4844)), "")*24*60, "")</f>
        <v>0</v>
      </c>
      <c r="J4845" s="24" t="str" cm="1">
        <f t="array" ref="J4845">IFERROR(IF($B4845=J$1, ($A4845+$C4845) - MAX(IF($B$2:$B4844=$B4845, $A$2:$A4844+$C$2:$C4844)), "")*24*60, "")</f>
        <v/>
      </c>
      <c r="K4845" s="24" t="str" cm="1">
        <f t="array" ref="K4845">IFERROR(IF($B4845=K$1, ($A4845+$C4845) - MAX(IF($B$2:$B4844=$B4845, $A$2:$A4844+$C$2:$C4844)), "")*24*60, "")</f>
        <v/>
      </c>
      <c r="L4845" s="24" t="str" cm="1">
        <f t="array" ref="L4845">IFERROR(IF($B4845=L$1, ($A4845+$C4845) - MAX(IF($B$2:$B4844=$B4845, $A$2:$A4844+$C$2:$C4844)), "")*24*60, "")</f>
        <v/>
      </c>
      <c r="M4845" s="24" t="str" cm="1">
        <f t="array" ref="M4845">IFERROR(IF($B4845=M$1, ($A4845+$C4845) - MAX(IF($B$2:$B4844=$B4845, $A$2:$A4844+$C$2:$C4844)), "")*24*60, "")</f>
        <v/>
      </c>
      <c r="N4845" s="24" t="str" cm="1">
        <f t="array" ref="N4845">IFERROR(IF($B4845=N$1, ($A4845+$C4845) - MAX(IF($B$2:$B4844=$B4845, $A$2:$A4844+$C$2:$C4844)), "")*24*60, "")</f>
        <v/>
      </c>
      <c r="O4845" s="24" t="str" cm="1">
        <f t="array" ref="O4845">IFERROR(IF($B4845=O$1, ($A4845+$C4845) - MAX(IF($B$2:$B4844=$B4845, $A$2:$A4844+$C$2:$C4844)), "")*24*60, "")</f>
        <v/>
      </c>
      <c r="P4845" s="24" t="str" cm="1">
        <f t="array" ref="P4845">IFERROR(IF($B4845=P$1, ($A4845+$C4845) - MAX(IF($B$2:$B4844=$B4845, $A$2:$A4844+$C$2:$C4844)), "")*24*60, "")</f>
        <v/>
      </c>
      <c r="Q4845" s="24" t="str" cm="1">
        <f t="array" ref="Q4845">IFERROR(IF($B4845=Q$1, ($A4845+$C4845) - MAX(IF($B$2:$B4844=$B4845, $A$2:$A4844+$C$2:$C4844)), "")*24*60, "")</f>
        <v/>
      </c>
    </row>
    <row r="4846" spans="1:17" x14ac:dyDescent="0.2">
      <c r="A4846" s="12">
        <f t="shared" ref="A4846:C4846" si="1180">A4845</f>
        <v>45980</v>
      </c>
      <c r="B4846" s="5" t="str">
        <f t="shared" si="1180"/>
        <v>Northern Cardinal</v>
      </c>
      <c r="C4846" s="6">
        <f t="shared" si="1180"/>
        <v>0.29166666666666669</v>
      </c>
      <c r="D4846" s="5"/>
      <c r="E4846" s="5"/>
      <c r="F4846" s="5" t="s">
        <v>8</v>
      </c>
      <c r="G4846" s="15" t="s">
        <v>9</v>
      </c>
      <c r="H4846" s="24">
        <f t="shared" si="1129"/>
        <v>0</v>
      </c>
      <c r="I4846" s="24" cm="1">
        <f t="array" ref="I4846">IFERROR(IF($B4846=I$1, ($A4846+$C4846) - MAX(IF($B$2:$B4845=$B4846, $A$2:$A4845+$C$2:$C4845)), "")*24*60, "")</f>
        <v>0</v>
      </c>
      <c r="J4846" s="24" t="str" cm="1">
        <f t="array" ref="J4846">IFERROR(IF($B4846=J$1, ($A4846+$C4846) - MAX(IF($B$2:$B4845=$B4846, $A$2:$A4845+$C$2:$C4845)), "")*24*60, "")</f>
        <v/>
      </c>
      <c r="K4846" s="24" t="str" cm="1">
        <f t="array" ref="K4846">IFERROR(IF($B4846=K$1, ($A4846+$C4846) - MAX(IF($B$2:$B4845=$B4846, $A$2:$A4845+$C$2:$C4845)), "")*24*60, "")</f>
        <v/>
      </c>
      <c r="L4846" s="24" t="str" cm="1">
        <f t="array" ref="L4846">IFERROR(IF($B4846=L$1, ($A4846+$C4846) - MAX(IF($B$2:$B4845=$B4846, $A$2:$A4845+$C$2:$C4845)), "")*24*60, "")</f>
        <v/>
      </c>
      <c r="M4846" s="24" t="str" cm="1">
        <f t="array" ref="M4846">IFERROR(IF($B4846=M$1, ($A4846+$C4846) - MAX(IF($B$2:$B4845=$B4846, $A$2:$A4845+$C$2:$C4845)), "")*24*60, "")</f>
        <v/>
      </c>
      <c r="N4846" s="24" t="str" cm="1">
        <f t="array" ref="N4846">IFERROR(IF($B4846=N$1, ($A4846+$C4846) - MAX(IF($B$2:$B4845=$B4846, $A$2:$A4845+$C$2:$C4845)), "")*24*60, "")</f>
        <v/>
      </c>
      <c r="O4846" s="24" t="str" cm="1">
        <f t="array" ref="O4846">IFERROR(IF($B4846=O$1, ($A4846+$C4846) - MAX(IF($B$2:$B4845=$B4846, $A$2:$A4845+$C$2:$C4845)), "")*24*60, "")</f>
        <v/>
      </c>
      <c r="P4846" s="24" t="str" cm="1">
        <f t="array" ref="P4846">IFERROR(IF($B4846=P$1, ($A4846+$C4846) - MAX(IF($B$2:$B4845=$B4846, $A$2:$A4845+$C$2:$C4845)), "")*24*60, "")</f>
        <v/>
      </c>
      <c r="Q4846" s="24" t="str" cm="1">
        <f t="array" ref="Q4846">IFERROR(IF($B4846=Q$1, ($A4846+$C4846) - MAX(IF($B$2:$B4845=$B4846, $A$2:$A4845+$C$2:$C4845)), "")*24*60, "")</f>
        <v/>
      </c>
    </row>
    <row r="4847" spans="1:17" x14ac:dyDescent="0.2">
      <c r="A4847" s="12">
        <f t="shared" ref="A4847:C4847" si="1181">A4846</f>
        <v>45980</v>
      </c>
      <c r="B4847" s="5" t="str">
        <f t="shared" si="1181"/>
        <v>Northern Cardinal</v>
      </c>
      <c r="C4847" s="6">
        <f t="shared" si="1181"/>
        <v>0.29166666666666669</v>
      </c>
      <c r="D4847" s="5"/>
      <c r="E4847" s="5"/>
      <c r="F4847" s="5" t="s">
        <v>8</v>
      </c>
      <c r="G4847" s="15" t="s">
        <v>9</v>
      </c>
      <c r="H4847" s="24">
        <f t="shared" si="1129"/>
        <v>0</v>
      </c>
      <c r="I4847" s="24" cm="1">
        <f t="array" ref="I4847">IFERROR(IF($B4847=I$1, ($A4847+$C4847) - MAX(IF($B$2:$B4846=$B4847, $A$2:$A4846+$C$2:$C4846)), "")*24*60, "")</f>
        <v>0</v>
      </c>
      <c r="J4847" s="24" t="str" cm="1">
        <f t="array" ref="J4847">IFERROR(IF($B4847=J$1, ($A4847+$C4847) - MAX(IF($B$2:$B4846=$B4847, $A$2:$A4846+$C$2:$C4846)), "")*24*60, "")</f>
        <v/>
      </c>
      <c r="K4847" s="24" t="str" cm="1">
        <f t="array" ref="K4847">IFERROR(IF($B4847=K$1, ($A4847+$C4847) - MAX(IF($B$2:$B4846=$B4847, $A$2:$A4846+$C$2:$C4846)), "")*24*60, "")</f>
        <v/>
      </c>
      <c r="L4847" s="24" t="str" cm="1">
        <f t="array" ref="L4847">IFERROR(IF($B4847=L$1, ($A4847+$C4847) - MAX(IF($B$2:$B4846=$B4847, $A$2:$A4846+$C$2:$C4846)), "")*24*60, "")</f>
        <v/>
      </c>
      <c r="M4847" s="24" t="str" cm="1">
        <f t="array" ref="M4847">IFERROR(IF($B4847=M$1, ($A4847+$C4847) - MAX(IF($B$2:$B4846=$B4847, $A$2:$A4846+$C$2:$C4846)), "")*24*60, "")</f>
        <v/>
      </c>
      <c r="N4847" s="24" t="str" cm="1">
        <f t="array" ref="N4847">IFERROR(IF($B4847=N$1, ($A4847+$C4847) - MAX(IF($B$2:$B4846=$B4847, $A$2:$A4846+$C$2:$C4846)), "")*24*60, "")</f>
        <v/>
      </c>
      <c r="O4847" s="24" t="str" cm="1">
        <f t="array" ref="O4847">IFERROR(IF($B4847=O$1, ($A4847+$C4847) - MAX(IF($B$2:$B4846=$B4847, $A$2:$A4846+$C$2:$C4846)), "")*24*60, "")</f>
        <v/>
      </c>
      <c r="P4847" s="24" t="str" cm="1">
        <f t="array" ref="P4847">IFERROR(IF($B4847=P$1, ($A4847+$C4847) - MAX(IF($B$2:$B4846=$B4847, $A$2:$A4846+$C$2:$C4846)), "")*24*60, "")</f>
        <v/>
      </c>
      <c r="Q4847" s="24" t="str" cm="1">
        <f t="array" ref="Q4847">IFERROR(IF($B4847=Q$1, ($A4847+$C4847) - MAX(IF($B$2:$B4846=$B4847, $A$2:$A4846+$C$2:$C4846)), "")*24*60, "")</f>
        <v/>
      </c>
    </row>
    <row r="4848" spans="1:17" x14ac:dyDescent="0.2">
      <c r="A4848" s="12">
        <f t="shared" ref="A4848:C4848" si="1182">A4847</f>
        <v>45980</v>
      </c>
      <c r="B4848" s="5" t="str">
        <f t="shared" si="1182"/>
        <v>Northern Cardinal</v>
      </c>
      <c r="C4848" s="6">
        <f t="shared" si="1182"/>
        <v>0.29166666666666669</v>
      </c>
      <c r="D4848" s="5"/>
      <c r="E4848" s="5"/>
      <c r="F4848" s="5" t="s">
        <v>8</v>
      </c>
      <c r="G4848" s="15" t="s">
        <v>9</v>
      </c>
      <c r="H4848" s="24">
        <f t="shared" si="1129"/>
        <v>0</v>
      </c>
      <c r="I4848" s="24" cm="1">
        <f t="array" ref="I4848">IFERROR(IF($B4848=I$1, ($A4848+$C4848) - MAX(IF($B$2:$B4847=$B4848, $A$2:$A4847+$C$2:$C4847)), "")*24*60, "")</f>
        <v>0</v>
      </c>
      <c r="J4848" s="24" t="str" cm="1">
        <f t="array" ref="J4848">IFERROR(IF($B4848=J$1, ($A4848+$C4848) - MAX(IF($B$2:$B4847=$B4848, $A$2:$A4847+$C$2:$C4847)), "")*24*60, "")</f>
        <v/>
      </c>
      <c r="K4848" s="24" t="str" cm="1">
        <f t="array" ref="K4848">IFERROR(IF($B4848=K$1, ($A4848+$C4848) - MAX(IF($B$2:$B4847=$B4848, $A$2:$A4847+$C$2:$C4847)), "")*24*60, "")</f>
        <v/>
      </c>
      <c r="L4848" s="24" t="str" cm="1">
        <f t="array" ref="L4848">IFERROR(IF($B4848=L$1, ($A4848+$C4848) - MAX(IF($B$2:$B4847=$B4848, $A$2:$A4847+$C$2:$C4847)), "")*24*60, "")</f>
        <v/>
      </c>
      <c r="M4848" s="24" t="str" cm="1">
        <f t="array" ref="M4848">IFERROR(IF($B4848=M$1, ($A4848+$C4848) - MAX(IF($B$2:$B4847=$B4848, $A$2:$A4847+$C$2:$C4847)), "")*24*60, "")</f>
        <v/>
      </c>
      <c r="N4848" s="24" t="str" cm="1">
        <f t="array" ref="N4848">IFERROR(IF($B4848=N$1, ($A4848+$C4848) - MAX(IF($B$2:$B4847=$B4848, $A$2:$A4847+$C$2:$C4847)), "")*24*60, "")</f>
        <v/>
      </c>
      <c r="O4848" s="24" t="str" cm="1">
        <f t="array" ref="O4848">IFERROR(IF($B4848=O$1, ($A4848+$C4848) - MAX(IF($B$2:$B4847=$B4848, $A$2:$A4847+$C$2:$C4847)), "")*24*60, "")</f>
        <v/>
      </c>
      <c r="P4848" s="24" t="str" cm="1">
        <f t="array" ref="P4848">IFERROR(IF($B4848=P$1, ($A4848+$C4848) - MAX(IF($B$2:$B4847=$B4848, $A$2:$A4847+$C$2:$C4847)), "")*24*60, "")</f>
        <v/>
      </c>
      <c r="Q4848" s="24" t="str" cm="1">
        <f t="array" ref="Q4848">IFERROR(IF($B4848=Q$1, ($A4848+$C4848) - MAX(IF($B$2:$B4847=$B4848, $A$2:$A4847+$C$2:$C4847)), "")*24*60, "")</f>
        <v/>
      </c>
    </row>
    <row r="4849" spans="1:17" x14ac:dyDescent="0.2">
      <c r="A4849" s="12">
        <f t="shared" ref="A4849:C4849" si="1183">A4848</f>
        <v>45980</v>
      </c>
      <c r="B4849" s="5" t="str">
        <f t="shared" si="1183"/>
        <v>Northern Cardinal</v>
      </c>
      <c r="C4849" s="6">
        <f t="shared" si="1183"/>
        <v>0.29166666666666669</v>
      </c>
      <c r="D4849" s="5"/>
      <c r="E4849" s="5"/>
      <c r="F4849" s="5" t="s">
        <v>8</v>
      </c>
      <c r="G4849" s="15" t="s">
        <v>9</v>
      </c>
      <c r="H4849" s="24">
        <f t="shared" si="1129"/>
        <v>0</v>
      </c>
      <c r="I4849" s="24" cm="1">
        <f t="array" ref="I4849">IFERROR(IF($B4849=I$1, ($A4849+$C4849) - MAX(IF($B$2:$B4848=$B4849, $A$2:$A4848+$C$2:$C4848)), "")*24*60, "")</f>
        <v>0</v>
      </c>
      <c r="J4849" s="24" t="str" cm="1">
        <f t="array" ref="J4849">IFERROR(IF($B4849=J$1, ($A4849+$C4849) - MAX(IF($B$2:$B4848=$B4849, $A$2:$A4848+$C$2:$C4848)), "")*24*60, "")</f>
        <v/>
      </c>
      <c r="K4849" s="24" t="str" cm="1">
        <f t="array" ref="K4849">IFERROR(IF($B4849=K$1, ($A4849+$C4849) - MAX(IF($B$2:$B4848=$B4849, $A$2:$A4848+$C$2:$C4848)), "")*24*60, "")</f>
        <v/>
      </c>
      <c r="L4849" s="24" t="str" cm="1">
        <f t="array" ref="L4849">IFERROR(IF($B4849=L$1, ($A4849+$C4849) - MAX(IF($B$2:$B4848=$B4849, $A$2:$A4848+$C$2:$C4848)), "")*24*60, "")</f>
        <v/>
      </c>
      <c r="M4849" s="24" t="str" cm="1">
        <f t="array" ref="M4849">IFERROR(IF($B4849=M$1, ($A4849+$C4849) - MAX(IF($B$2:$B4848=$B4849, $A$2:$A4848+$C$2:$C4848)), "")*24*60, "")</f>
        <v/>
      </c>
      <c r="N4849" s="24" t="str" cm="1">
        <f t="array" ref="N4849">IFERROR(IF($B4849=N$1, ($A4849+$C4849) - MAX(IF($B$2:$B4848=$B4849, $A$2:$A4848+$C$2:$C4848)), "")*24*60, "")</f>
        <v/>
      </c>
      <c r="O4849" s="24" t="str" cm="1">
        <f t="array" ref="O4849">IFERROR(IF($B4849=O$1, ($A4849+$C4849) - MAX(IF($B$2:$B4848=$B4849, $A$2:$A4848+$C$2:$C4848)), "")*24*60, "")</f>
        <v/>
      </c>
      <c r="P4849" s="24" t="str" cm="1">
        <f t="array" ref="P4849">IFERROR(IF($B4849=P$1, ($A4849+$C4849) - MAX(IF($B$2:$B4848=$B4849, $A$2:$A4848+$C$2:$C4848)), "")*24*60, "")</f>
        <v/>
      </c>
      <c r="Q4849" s="24" t="str" cm="1">
        <f t="array" ref="Q4849">IFERROR(IF($B4849=Q$1, ($A4849+$C4849) - MAX(IF($B$2:$B4848=$B4849, $A$2:$A4848+$C$2:$C4848)), "")*24*60, "")</f>
        <v/>
      </c>
    </row>
    <row r="4850" spans="1:17" x14ac:dyDescent="0.2">
      <c r="A4850" s="12">
        <f t="shared" ref="A4850:C4850" si="1184">A4849</f>
        <v>45980</v>
      </c>
      <c r="B4850" s="5" t="str">
        <f t="shared" si="1184"/>
        <v>Northern Cardinal</v>
      </c>
      <c r="C4850" s="6">
        <f t="shared" si="1184"/>
        <v>0.29166666666666669</v>
      </c>
      <c r="D4850" s="5"/>
      <c r="E4850" s="5"/>
      <c r="F4850" s="5" t="s">
        <v>8</v>
      </c>
      <c r="G4850" s="15" t="s">
        <v>9</v>
      </c>
      <c r="H4850" s="24">
        <f t="shared" si="1129"/>
        <v>0</v>
      </c>
      <c r="I4850" s="24" cm="1">
        <f t="array" ref="I4850">IFERROR(IF($B4850=I$1, ($A4850+$C4850) - MAX(IF($B$2:$B4849=$B4850, $A$2:$A4849+$C$2:$C4849)), "")*24*60, "")</f>
        <v>0</v>
      </c>
      <c r="J4850" s="24" t="str" cm="1">
        <f t="array" ref="J4850">IFERROR(IF($B4850=J$1, ($A4850+$C4850) - MAX(IF($B$2:$B4849=$B4850, $A$2:$A4849+$C$2:$C4849)), "")*24*60, "")</f>
        <v/>
      </c>
      <c r="K4850" s="24" t="str" cm="1">
        <f t="array" ref="K4850">IFERROR(IF($B4850=K$1, ($A4850+$C4850) - MAX(IF($B$2:$B4849=$B4850, $A$2:$A4849+$C$2:$C4849)), "")*24*60, "")</f>
        <v/>
      </c>
      <c r="L4850" s="24" t="str" cm="1">
        <f t="array" ref="L4850">IFERROR(IF($B4850=L$1, ($A4850+$C4850) - MAX(IF($B$2:$B4849=$B4850, $A$2:$A4849+$C$2:$C4849)), "")*24*60, "")</f>
        <v/>
      </c>
      <c r="M4850" s="24" t="str" cm="1">
        <f t="array" ref="M4850">IFERROR(IF($B4850=M$1, ($A4850+$C4850) - MAX(IF($B$2:$B4849=$B4850, $A$2:$A4849+$C$2:$C4849)), "")*24*60, "")</f>
        <v/>
      </c>
      <c r="N4850" s="24" t="str" cm="1">
        <f t="array" ref="N4850">IFERROR(IF($B4850=N$1, ($A4850+$C4850) - MAX(IF($B$2:$B4849=$B4850, $A$2:$A4849+$C$2:$C4849)), "")*24*60, "")</f>
        <v/>
      </c>
      <c r="O4850" s="24" t="str" cm="1">
        <f t="array" ref="O4850">IFERROR(IF($B4850=O$1, ($A4850+$C4850) - MAX(IF($B$2:$B4849=$B4850, $A$2:$A4849+$C$2:$C4849)), "")*24*60, "")</f>
        <v/>
      </c>
      <c r="P4850" s="24" t="str" cm="1">
        <f t="array" ref="P4850">IFERROR(IF($B4850=P$1, ($A4850+$C4850) - MAX(IF($B$2:$B4849=$B4850, $A$2:$A4849+$C$2:$C4849)), "")*24*60, "")</f>
        <v/>
      </c>
      <c r="Q4850" s="24" t="str" cm="1">
        <f t="array" ref="Q4850">IFERROR(IF($B4850=Q$1, ($A4850+$C4850) - MAX(IF($B$2:$B4849=$B4850, $A$2:$A4849+$C$2:$C4849)), "")*24*60, "")</f>
        <v/>
      </c>
    </row>
    <row r="4851" spans="1:17" x14ac:dyDescent="0.2">
      <c r="A4851" s="12">
        <f t="shared" ref="A4851:C4851" si="1185">A4850</f>
        <v>45980</v>
      </c>
      <c r="B4851" s="5" t="str">
        <f t="shared" si="1185"/>
        <v>Northern Cardinal</v>
      </c>
      <c r="C4851" s="6">
        <f t="shared" si="1185"/>
        <v>0.29166666666666669</v>
      </c>
      <c r="D4851" s="5"/>
      <c r="E4851" s="5"/>
      <c r="F4851" s="5" t="s">
        <v>8</v>
      </c>
      <c r="G4851" s="15" t="s">
        <v>9</v>
      </c>
      <c r="H4851" s="24">
        <f t="shared" si="1129"/>
        <v>0</v>
      </c>
      <c r="I4851" s="24" cm="1">
        <f t="array" ref="I4851">IFERROR(IF($B4851=I$1, ($A4851+$C4851) - MAX(IF($B$2:$B4850=$B4851, $A$2:$A4850+$C$2:$C4850)), "")*24*60, "")</f>
        <v>0</v>
      </c>
      <c r="J4851" s="24" t="str" cm="1">
        <f t="array" ref="J4851">IFERROR(IF($B4851=J$1, ($A4851+$C4851) - MAX(IF($B$2:$B4850=$B4851, $A$2:$A4850+$C$2:$C4850)), "")*24*60, "")</f>
        <v/>
      </c>
      <c r="K4851" s="24" t="str" cm="1">
        <f t="array" ref="K4851">IFERROR(IF($B4851=K$1, ($A4851+$C4851) - MAX(IF($B$2:$B4850=$B4851, $A$2:$A4850+$C$2:$C4850)), "")*24*60, "")</f>
        <v/>
      </c>
      <c r="L4851" s="24" t="str" cm="1">
        <f t="array" ref="L4851">IFERROR(IF($B4851=L$1, ($A4851+$C4851) - MAX(IF($B$2:$B4850=$B4851, $A$2:$A4850+$C$2:$C4850)), "")*24*60, "")</f>
        <v/>
      </c>
      <c r="M4851" s="24" t="str" cm="1">
        <f t="array" ref="M4851">IFERROR(IF($B4851=M$1, ($A4851+$C4851) - MAX(IF($B$2:$B4850=$B4851, $A$2:$A4850+$C$2:$C4850)), "")*24*60, "")</f>
        <v/>
      </c>
      <c r="N4851" s="24" t="str" cm="1">
        <f t="array" ref="N4851">IFERROR(IF($B4851=N$1, ($A4851+$C4851) - MAX(IF($B$2:$B4850=$B4851, $A$2:$A4850+$C$2:$C4850)), "")*24*60, "")</f>
        <v/>
      </c>
      <c r="O4851" s="24" t="str" cm="1">
        <f t="array" ref="O4851">IFERROR(IF($B4851=O$1, ($A4851+$C4851) - MAX(IF($B$2:$B4850=$B4851, $A$2:$A4850+$C$2:$C4850)), "")*24*60, "")</f>
        <v/>
      </c>
      <c r="P4851" s="24" t="str" cm="1">
        <f t="array" ref="P4851">IFERROR(IF($B4851=P$1, ($A4851+$C4851) - MAX(IF($B$2:$B4850=$B4851, $A$2:$A4850+$C$2:$C4850)), "")*24*60, "")</f>
        <v/>
      </c>
      <c r="Q4851" s="24" t="str" cm="1">
        <f t="array" ref="Q4851">IFERROR(IF($B4851=Q$1, ($A4851+$C4851) - MAX(IF($B$2:$B4850=$B4851, $A$2:$A4850+$C$2:$C4850)), "")*24*60, "")</f>
        <v/>
      </c>
    </row>
    <row r="4852" spans="1:17" x14ac:dyDescent="0.2">
      <c r="A4852" s="12">
        <f t="shared" ref="A4852:C4852" si="1186">A4851</f>
        <v>45980</v>
      </c>
      <c r="B4852" s="5" t="str">
        <f t="shared" si="1186"/>
        <v>Northern Cardinal</v>
      </c>
      <c r="C4852" s="6">
        <f t="shared" si="1186"/>
        <v>0.29166666666666669</v>
      </c>
      <c r="D4852" s="5"/>
      <c r="E4852" s="5"/>
      <c r="F4852" s="5" t="s">
        <v>8</v>
      </c>
      <c r="G4852" s="15" t="s">
        <v>9</v>
      </c>
      <c r="H4852" s="24">
        <f t="shared" si="1129"/>
        <v>0</v>
      </c>
      <c r="I4852" s="24" cm="1">
        <f t="array" ref="I4852">IFERROR(IF($B4852=I$1, ($A4852+$C4852) - MAX(IF($B$2:$B4851=$B4852, $A$2:$A4851+$C$2:$C4851)), "")*24*60, "")</f>
        <v>0</v>
      </c>
      <c r="J4852" s="24" t="str" cm="1">
        <f t="array" ref="J4852">IFERROR(IF($B4852=J$1, ($A4852+$C4852) - MAX(IF($B$2:$B4851=$B4852, $A$2:$A4851+$C$2:$C4851)), "")*24*60, "")</f>
        <v/>
      </c>
      <c r="K4852" s="24" t="str" cm="1">
        <f t="array" ref="K4852">IFERROR(IF($B4852=K$1, ($A4852+$C4852) - MAX(IF($B$2:$B4851=$B4852, $A$2:$A4851+$C$2:$C4851)), "")*24*60, "")</f>
        <v/>
      </c>
      <c r="L4852" s="24" t="str" cm="1">
        <f t="array" ref="L4852">IFERROR(IF($B4852=L$1, ($A4852+$C4852) - MAX(IF($B$2:$B4851=$B4852, $A$2:$A4851+$C$2:$C4851)), "")*24*60, "")</f>
        <v/>
      </c>
      <c r="M4852" s="24" t="str" cm="1">
        <f t="array" ref="M4852">IFERROR(IF($B4852=M$1, ($A4852+$C4852) - MAX(IF($B$2:$B4851=$B4852, $A$2:$A4851+$C$2:$C4851)), "")*24*60, "")</f>
        <v/>
      </c>
      <c r="N4852" s="24" t="str" cm="1">
        <f t="array" ref="N4852">IFERROR(IF($B4852=N$1, ($A4852+$C4852) - MAX(IF($B$2:$B4851=$B4852, $A$2:$A4851+$C$2:$C4851)), "")*24*60, "")</f>
        <v/>
      </c>
      <c r="O4852" s="24" t="str" cm="1">
        <f t="array" ref="O4852">IFERROR(IF($B4852=O$1, ($A4852+$C4852) - MAX(IF($B$2:$B4851=$B4852, $A$2:$A4851+$C$2:$C4851)), "")*24*60, "")</f>
        <v/>
      </c>
      <c r="P4852" s="24" t="str" cm="1">
        <f t="array" ref="P4852">IFERROR(IF($B4852=P$1, ($A4852+$C4852) - MAX(IF($B$2:$B4851=$B4852, $A$2:$A4851+$C$2:$C4851)), "")*24*60, "")</f>
        <v/>
      </c>
      <c r="Q4852" s="24" t="str" cm="1">
        <f t="array" ref="Q4852">IFERROR(IF($B4852=Q$1, ($A4852+$C4852) - MAX(IF($B$2:$B4851=$B4852, $A$2:$A4851+$C$2:$C4851)), "")*24*60, "")</f>
        <v/>
      </c>
    </row>
    <row r="4853" spans="1:17" x14ac:dyDescent="0.2">
      <c r="A4853" s="12">
        <f t="shared" ref="A4853:C4853" si="1187">A4852</f>
        <v>45980</v>
      </c>
      <c r="B4853" s="5" t="str">
        <f t="shared" si="1187"/>
        <v>Northern Cardinal</v>
      </c>
      <c r="C4853" s="6">
        <f t="shared" si="1187"/>
        <v>0.29166666666666669</v>
      </c>
      <c r="D4853" s="5"/>
      <c r="E4853" s="5"/>
      <c r="F4853" s="5" t="s">
        <v>8</v>
      </c>
      <c r="G4853" s="15" t="s">
        <v>9</v>
      </c>
      <c r="H4853" s="24">
        <f t="shared" si="1129"/>
        <v>0</v>
      </c>
      <c r="I4853" s="24" cm="1">
        <f t="array" ref="I4853">IFERROR(IF($B4853=I$1, ($A4853+$C4853) - MAX(IF($B$2:$B4852=$B4853, $A$2:$A4852+$C$2:$C4852)), "")*24*60, "")</f>
        <v>0</v>
      </c>
      <c r="J4853" s="24" t="str" cm="1">
        <f t="array" ref="J4853">IFERROR(IF($B4853=J$1, ($A4853+$C4853) - MAX(IF($B$2:$B4852=$B4853, $A$2:$A4852+$C$2:$C4852)), "")*24*60, "")</f>
        <v/>
      </c>
      <c r="K4853" s="24" t="str" cm="1">
        <f t="array" ref="K4853">IFERROR(IF($B4853=K$1, ($A4853+$C4853) - MAX(IF($B$2:$B4852=$B4853, $A$2:$A4852+$C$2:$C4852)), "")*24*60, "")</f>
        <v/>
      </c>
      <c r="L4853" s="24" t="str" cm="1">
        <f t="array" ref="L4853">IFERROR(IF($B4853=L$1, ($A4853+$C4853) - MAX(IF($B$2:$B4852=$B4853, $A$2:$A4852+$C$2:$C4852)), "")*24*60, "")</f>
        <v/>
      </c>
      <c r="M4853" s="24" t="str" cm="1">
        <f t="array" ref="M4853">IFERROR(IF($B4853=M$1, ($A4853+$C4853) - MAX(IF($B$2:$B4852=$B4853, $A$2:$A4852+$C$2:$C4852)), "")*24*60, "")</f>
        <v/>
      </c>
      <c r="N4853" s="24" t="str" cm="1">
        <f t="array" ref="N4853">IFERROR(IF($B4853=N$1, ($A4853+$C4853) - MAX(IF($B$2:$B4852=$B4853, $A$2:$A4852+$C$2:$C4852)), "")*24*60, "")</f>
        <v/>
      </c>
      <c r="O4853" s="24" t="str" cm="1">
        <f t="array" ref="O4853">IFERROR(IF($B4853=O$1, ($A4853+$C4853) - MAX(IF($B$2:$B4852=$B4853, $A$2:$A4852+$C$2:$C4852)), "")*24*60, "")</f>
        <v/>
      </c>
      <c r="P4853" s="24" t="str" cm="1">
        <f t="array" ref="P4853">IFERROR(IF($B4853=P$1, ($A4853+$C4853) - MAX(IF($B$2:$B4852=$B4853, $A$2:$A4852+$C$2:$C4852)), "")*24*60, "")</f>
        <v/>
      </c>
      <c r="Q4853" s="24" t="str" cm="1">
        <f t="array" ref="Q4853">IFERROR(IF($B4853=Q$1, ($A4853+$C4853) - MAX(IF($B$2:$B4852=$B4853, $A$2:$A4852+$C$2:$C4852)), "")*24*60, "")</f>
        <v/>
      </c>
    </row>
    <row r="4854" spans="1:17" x14ac:dyDescent="0.2">
      <c r="A4854" s="12">
        <f t="shared" ref="A4854:C4854" si="1188">A4853</f>
        <v>45980</v>
      </c>
      <c r="B4854" s="5" t="str">
        <f t="shared" si="1188"/>
        <v>Northern Cardinal</v>
      </c>
      <c r="C4854" s="6">
        <f t="shared" si="1188"/>
        <v>0.29166666666666669</v>
      </c>
      <c r="D4854" s="5"/>
      <c r="E4854" s="5"/>
      <c r="F4854" s="5" t="s">
        <v>8</v>
      </c>
      <c r="G4854" s="15" t="s">
        <v>9</v>
      </c>
      <c r="H4854" s="24">
        <f t="shared" si="1129"/>
        <v>0</v>
      </c>
      <c r="I4854" s="24" cm="1">
        <f t="array" ref="I4854">IFERROR(IF($B4854=I$1, ($A4854+$C4854) - MAX(IF($B$2:$B4853=$B4854, $A$2:$A4853+$C$2:$C4853)), "")*24*60, "")</f>
        <v>0</v>
      </c>
      <c r="J4854" s="24" t="str" cm="1">
        <f t="array" ref="J4854">IFERROR(IF($B4854=J$1, ($A4854+$C4854) - MAX(IF($B$2:$B4853=$B4854, $A$2:$A4853+$C$2:$C4853)), "")*24*60, "")</f>
        <v/>
      </c>
      <c r="K4854" s="24" t="str" cm="1">
        <f t="array" ref="K4854">IFERROR(IF($B4854=K$1, ($A4854+$C4854) - MAX(IF($B$2:$B4853=$B4854, $A$2:$A4853+$C$2:$C4853)), "")*24*60, "")</f>
        <v/>
      </c>
      <c r="L4854" s="24" t="str" cm="1">
        <f t="array" ref="L4854">IFERROR(IF($B4854=L$1, ($A4854+$C4854) - MAX(IF($B$2:$B4853=$B4854, $A$2:$A4853+$C$2:$C4853)), "")*24*60, "")</f>
        <v/>
      </c>
      <c r="M4854" s="24" t="str" cm="1">
        <f t="array" ref="M4854">IFERROR(IF($B4854=M$1, ($A4854+$C4854) - MAX(IF($B$2:$B4853=$B4854, $A$2:$A4853+$C$2:$C4853)), "")*24*60, "")</f>
        <v/>
      </c>
      <c r="N4854" s="24" t="str" cm="1">
        <f t="array" ref="N4854">IFERROR(IF($B4854=N$1, ($A4854+$C4854) - MAX(IF($B$2:$B4853=$B4854, $A$2:$A4853+$C$2:$C4853)), "")*24*60, "")</f>
        <v/>
      </c>
      <c r="O4854" s="24" t="str" cm="1">
        <f t="array" ref="O4854">IFERROR(IF($B4854=O$1, ($A4854+$C4854) - MAX(IF($B$2:$B4853=$B4854, $A$2:$A4853+$C$2:$C4853)), "")*24*60, "")</f>
        <v/>
      </c>
      <c r="P4854" s="24" t="str" cm="1">
        <f t="array" ref="P4854">IFERROR(IF($B4854=P$1, ($A4854+$C4854) - MAX(IF($B$2:$B4853=$B4854, $A$2:$A4853+$C$2:$C4853)), "")*24*60, "")</f>
        <v/>
      </c>
      <c r="Q4854" s="24" t="str" cm="1">
        <f t="array" ref="Q4854">IFERROR(IF($B4854=Q$1, ($A4854+$C4854) - MAX(IF($B$2:$B4853=$B4854, $A$2:$A4853+$C$2:$C4853)), "")*24*60, "")</f>
        <v/>
      </c>
    </row>
    <row r="4855" spans="1:17" x14ac:dyDescent="0.2">
      <c r="A4855" s="12">
        <f t="shared" ref="A4855:C4855" si="1189">A4854</f>
        <v>45980</v>
      </c>
      <c r="B4855" s="5" t="str">
        <f t="shared" si="1189"/>
        <v>Northern Cardinal</v>
      </c>
      <c r="C4855" s="6">
        <f t="shared" si="1189"/>
        <v>0.29166666666666669</v>
      </c>
      <c r="D4855" s="5"/>
      <c r="E4855" s="5"/>
      <c r="F4855" s="5" t="s">
        <v>8</v>
      </c>
      <c r="G4855" s="15" t="s">
        <v>9</v>
      </c>
      <c r="H4855" s="24">
        <f t="shared" si="1129"/>
        <v>0</v>
      </c>
      <c r="I4855" s="24" cm="1">
        <f t="array" ref="I4855">IFERROR(IF($B4855=I$1, ($A4855+$C4855) - MAX(IF($B$2:$B4854=$B4855, $A$2:$A4854+$C$2:$C4854)), "")*24*60, "")</f>
        <v>0</v>
      </c>
      <c r="J4855" s="24" t="str" cm="1">
        <f t="array" ref="J4855">IFERROR(IF($B4855=J$1, ($A4855+$C4855) - MAX(IF($B$2:$B4854=$B4855, $A$2:$A4854+$C$2:$C4854)), "")*24*60, "")</f>
        <v/>
      </c>
      <c r="K4855" s="24" t="str" cm="1">
        <f t="array" ref="K4855">IFERROR(IF($B4855=K$1, ($A4855+$C4855) - MAX(IF($B$2:$B4854=$B4855, $A$2:$A4854+$C$2:$C4854)), "")*24*60, "")</f>
        <v/>
      </c>
      <c r="L4855" s="24" t="str" cm="1">
        <f t="array" ref="L4855">IFERROR(IF($B4855=L$1, ($A4855+$C4855) - MAX(IF($B$2:$B4854=$B4855, $A$2:$A4854+$C$2:$C4854)), "")*24*60, "")</f>
        <v/>
      </c>
      <c r="M4855" s="24" t="str" cm="1">
        <f t="array" ref="M4855">IFERROR(IF($B4855=M$1, ($A4855+$C4855) - MAX(IF($B$2:$B4854=$B4855, $A$2:$A4854+$C$2:$C4854)), "")*24*60, "")</f>
        <v/>
      </c>
      <c r="N4855" s="24" t="str" cm="1">
        <f t="array" ref="N4855">IFERROR(IF($B4855=N$1, ($A4855+$C4855) - MAX(IF($B$2:$B4854=$B4855, $A$2:$A4854+$C$2:$C4854)), "")*24*60, "")</f>
        <v/>
      </c>
      <c r="O4855" s="24" t="str" cm="1">
        <f t="array" ref="O4855">IFERROR(IF($B4855=O$1, ($A4855+$C4855) - MAX(IF($B$2:$B4854=$B4855, $A$2:$A4854+$C$2:$C4854)), "")*24*60, "")</f>
        <v/>
      </c>
      <c r="P4855" s="24" t="str" cm="1">
        <f t="array" ref="P4855">IFERROR(IF($B4855=P$1, ($A4855+$C4855) - MAX(IF($B$2:$B4854=$B4855, $A$2:$A4854+$C$2:$C4854)), "")*24*60, "")</f>
        <v/>
      </c>
      <c r="Q4855" s="24" t="str" cm="1">
        <f t="array" ref="Q4855">IFERROR(IF($B4855=Q$1, ($A4855+$C4855) - MAX(IF($B$2:$B4854=$B4855, $A$2:$A4854+$C$2:$C4854)), "")*24*60, "")</f>
        <v/>
      </c>
    </row>
    <row r="4856" spans="1:17" x14ac:dyDescent="0.2">
      <c r="A4856" s="12">
        <f t="shared" ref="A4856:C4856" si="1190">A4855</f>
        <v>45980</v>
      </c>
      <c r="B4856" s="5" t="str">
        <f t="shared" si="1190"/>
        <v>Northern Cardinal</v>
      </c>
      <c r="C4856" s="6">
        <f t="shared" si="1190"/>
        <v>0.29166666666666669</v>
      </c>
      <c r="D4856" s="5"/>
      <c r="E4856" s="5"/>
      <c r="F4856" s="5" t="s">
        <v>8</v>
      </c>
      <c r="G4856" s="15" t="s">
        <v>9</v>
      </c>
      <c r="H4856" s="24">
        <f t="shared" si="1129"/>
        <v>0</v>
      </c>
      <c r="I4856" s="24" cm="1">
        <f t="array" ref="I4856">IFERROR(IF($B4856=I$1, ($A4856+$C4856) - MAX(IF($B$2:$B4855=$B4856, $A$2:$A4855+$C$2:$C4855)), "")*24*60, "")</f>
        <v>0</v>
      </c>
      <c r="J4856" s="24" t="str" cm="1">
        <f t="array" ref="J4856">IFERROR(IF($B4856=J$1, ($A4856+$C4856) - MAX(IF($B$2:$B4855=$B4856, $A$2:$A4855+$C$2:$C4855)), "")*24*60, "")</f>
        <v/>
      </c>
      <c r="K4856" s="24" t="str" cm="1">
        <f t="array" ref="K4856">IFERROR(IF($B4856=K$1, ($A4856+$C4856) - MAX(IF($B$2:$B4855=$B4856, $A$2:$A4855+$C$2:$C4855)), "")*24*60, "")</f>
        <v/>
      </c>
      <c r="L4856" s="24" t="str" cm="1">
        <f t="array" ref="L4856">IFERROR(IF($B4856=L$1, ($A4856+$C4856) - MAX(IF($B$2:$B4855=$B4856, $A$2:$A4855+$C$2:$C4855)), "")*24*60, "")</f>
        <v/>
      </c>
      <c r="M4856" s="24" t="str" cm="1">
        <f t="array" ref="M4856">IFERROR(IF($B4856=M$1, ($A4856+$C4856) - MAX(IF($B$2:$B4855=$B4856, $A$2:$A4855+$C$2:$C4855)), "")*24*60, "")</f>
        <v/>
      </c>
      <c r="N4856" s="24" t="str" cm="1">
        <f t="array" ref="N4856">IFERROR(IF($B4856=N$1, ($A4856+$C4856) - MAX(IF($B$2:$B4855=$B4856, $A$2:$A4855+$C$2:$C4855)), "")*24*60, "")</f>
        <v/>
      </c>
      <c r="O4856" s="24" t="str" cm="1">
        <f t="array" ref="O4856">IFERROR(IF($B4856=O$1, ($A4856+$C4856) - MAX(IF($B$2:$B4855=$B4856, $A$2:$A4855+$C$2:$C4855)), "")*24*60, "")</f>
        <v/>
      </c>
      <c r="P4856" s="24" t="str" cm="1">
        <f t="array" ref="P4856">IFERROR(IF($B4856=P$1, ($A4856+$C4856) - MAX(IF($B$2:$B4855=$B4856, $A$2:$A4855+$C$2:$C4855)), "")*24*60, "")</f>
        <v/>
      </c>
      <c r="Q4856" s="24" t="str" cm="1">
        <f t="array" ref="Q4856">IFERROR(IF($B4856=Q$1, ($A4856+$C4856) - MAX(IF($B$2:$B4855=$B4856, $A$2:$A4855+$C$2:$C4855)), "")*24*60, "")</f>
        <v/>
      </c>
    </row>
    <row r="4857" spans="1:17" x14ac:dyDescent="0.2">
      <c r="A4857" s="12">
        <f t="shared" ref="A4857:C4857" si="1191">A4856</f>
        <v>45980</v>
      </c>
      <c r="B4857" s="5" t="str">
        <f t="shared" si="1191"/>
        <v>Northern Cardinal</v>
      </c>
      <c r="C4857" s="6">
        <f t="shared" si="1191"/>
        <v>0.29166666666666669</v>
      </c>
      <c r="D4857" s="5"/>
      <c r="E4857" s="5"/>
      <c r="F4857" s="5" t="s">
        <v>8</v>
      </c>
      <c r="G4857" s="15" t="s">
        <v>9</v>
      </c>
      <c r="H4857" s="24">
        <f t="shared" si="1129"/>
        <v>0</v>
      </c>
      <c r="I4857" s="24" cm="1">
        <f t="array" ref="I4857">IFERROR(IF($B4857=I$1, ($A4857+$C4857) - MAX(IF($B$2:$B4856=$B4857, $A$2:$A4856+$C$2:$C4856)), "")*24*60, "")</f>
        <v>0</v>
      </c>
      <c r="J4857" s="24" t="str" cm="1">
        <f t="array" ref="J4857">IFERROR(IF($B4857=J$1, ($A4857+$C4857) - MAX(IF($B$2:$B4856=$B4857, $A$2:$A4856+$C$2:$C4856)), "")*24*60, "")</f>
        <v/>
      </c>
      <c r="K4857" s="24" t="str" cm="1">
        <f t="array" ref="K4857">IFERROR(IF($B4857=K$1, ($A4857+$C4857) - MAX(IF($B$2:$B4856=$B4857, $A$2:$A4856+$C$2:$C4856)), "")*24*60, "")</f>
        <v/>
      </c>
      <c r="L4857" s="24" t="str" cm="1">
        <f t="array" ref="L4857">IFERROR(IF($B4857=L$1, ($A4857+$C4857) - MAX(IF($B$2:$B4856=$B4857, $A$2:$A4856+$C$2:$C4856)), "")*24*60, "")</f>
        <v/>
      </c>
      <c r="M4857" s="24" t="str" cm="1">
        <f t="array" ref="M4857">IFERROR(IF($B4857=M$1, ($A4857+$C4857) - MAX(IF($B$2:$B4856=$B4857, $A$2:$A4856+$C$2:$C4856)), "")*24*60, "")</f>
        <v/>
      </c>
      <c r="N4857" s="24" t="str" cm="1">
        <f t="array" ref="N4857">IFERROR(IF($B4857=N$1, ($A4857+$C4857) - MAX(IF($B$2:$B4856=$B4857, $A$2:$A4856+$C$2:$C4856)), "")*24*60, "")</f>
        <v/>
      </c>
      <c r="O4857" s="24" t="str" cm="1">
        <f t="array" ref="O4857">IFERROR(IF($B4857=O$1, ($A4857+$C4857) - MAX(IF($B$2:$B4856=$B4857, $A$2:$A4856+$C$2:$C4856)), "")*24*60, "")</f>
        <v/>
      </c>
      <c r="P4857" s="24" t="str" cm="1">
        <f t="array" ref="P4857">IFERROR(IF($B4857=P$1, ($A4857+$C4857) - MAX(IF($B$2:$B4856=$B4857, $A$2:$A4856+$C$2:$C4856)), "")*24*60, "")</f>
        <v/>
      </c>
      <c r="Q4857" s="24" t="str" cm="1">
        <f t="array" ref="Q4857">IFERROR(IF($B4857=Q$1, ($A4857+$C4857) - MAX(IF($B$2:$B4856=$B4857, $A$2:$A4856+$C$2:$C4856)), "")*24*60, "")</f>
        <v/>
      </c>
    </row>
    <row r="4858" spans="1:17" x14ac:dyDescent="0.2">
      <c r="A4858" s="12">
        <f t="shared" ref="A4858:C4858" si="1192">A4857</f>
        <v>45980</v>
      </c>
      <c r="B4858" s="5" t="str">
        <f t="shared" si="1192"/>
        <v>Northern Cardinal</v>
      </c>
      <c r="C4858" s="6">
        <f t="shared" si="1192"/>
        <v>0.29166666666666669</v>
      </c>
      <c r="D4858" s="5"/>
      <c r="E4858" s="5"/>
      <c r="F4858" s="5" t="s">
        <v>8</v>
      </c>
      <c r="G4858" s="15" t="s">
        <v>9</v>
      </c>
      <c r="H4858" s="24">
        <f t="shared" si="1129"/>
        <v>0</v>
      </c>
      <c r="I4858" s="24" cm="1">
        <f t="array" ref="I4858">IFERROR(IF($B4858=I$1, ($A4858+$C4858) - MAX(IF($B$2:$B4857=$B4858, $A$2:$A4857+$C$2:$C4857)), "")*24*60, "")</f>
        <v>0</v>
      </c>
      <c r="J4858" s="24" t="str" cm="1">
        <f t="array" ref="J4858">IFERROR(IF($B4858=J$1, ($A4858+$C4858) - MAX(IF($B$2:$B4857=$B4858, $A$2:$A4857+$C$2:$C4857)), "")*24*60, "")</f>
        <v/>
      </c>
      <c r="K4858" s="24" t="str" cm="1">
        <f t="array" ref="K4858">IFERROR(IF($B4858=K$1, ($A4858+$C4858) - MAX(IF($B$2:$B4857=$B4858, $A$2:$A4857+$C$2:$C4857)), "")*24*60, "")</f>
        <v/>
      </c>
      <c r="L4858" s="24" t="str" cm="1">
        <f t="array" ref="L4858">IFERROR(IF($B4858=L$1, ($A4858+$C4858) - MAX(IF($B$2:$B4857=$B4858, $A$2:$A4857+$C$2:$C4857)), "")*24*60, "")</f>
        <v/>
      </c>
      <c r="M4858" s="24" t="str" cm="1">
        <f t="array" ref="M4858">IFERROR(IF($B4858=M$1, ($A4858+$C4858) - MAX(IF($B$2:$B4857=$B4858, $A$2:$A4857+$C$2:$C4857)), "")*24*60, "")</f>
        <v/>
      </c>
      <c r="N4858" s="24" t="str" cm="1">
        <f t="array" ref="N4858">IFERROR(IF($B4858=N$1, ($A4858+$C4858) - MAX(IF($B$2:$B4857=$B4858, $A$2:$A4857+$C$2:$C4857)), "")*24*60, "")</f>
        <v/>
      </c>
      <c r="O4858" s="24" t="str" cm="1">
        <f t="array" ref="O4858">IFERROR(IF($B4858=O$1, ($A4858+$C4858) - MAX(IF($B$2:$B4857=$B4858, $A$2:$A4857+$C$2:$C4857)), "")*24*60, "")</f>
        <v/>
      </c>
      <c r="P4858" s="24" t="str" cm="1">
        <f t="array" ref="P4858">IFERROR(IF($B4858=P$1, ($A4858+$C4858) - MAX(IF($B$2:$B4857=$B4858, $A$2:$A4857+$C$2:$C4857)), "")*24*60, "")</f>
        <v/>
      </c>
      <c r="Q4858" s="24" t="str" cm="1">
        <f t="array" ref="Q4858">IFERROR(IF($B4858=Q$1, ($A4858+$C4858) - MAX(IF($B$2:$B4857=$B4858, $A$2:$A4857+$C$2:$C4857)), "")*24*60, "")</f>
        <v/>
      </c>
    </row>
    <row r="4859" spans="1:17" x14ac:dyDescent="0.2">
      <c r="A4859" s="12">
        <f t="shared" ref="A4859:C4859" si="1193">A4858</f>
        <v>45980</v>
      </c>
      <c r="B4859" s="5" t="str">
        <f t="shared" si="1193"/>
        <v>Northern Cardinal</v>
      </c>
      <c r="C4859" s="6">
        <f t="shared" si="1193"/>
        <v>0.29166666666666669</v>
      </c>
      <c r="D4859" s="5"/>
      <c r="E4859" s="5"/>
      <c r="F4859" s="5" t="s">
        <v>8</v>
      </c>
      <c r="G4859" s="15" t="s">
        <v>9</v>
      </c>
      <c r="H4859" s="24">
        <f t="shared" si="1129"/>
        <v>0</v>
      </c>
      <c r="I4859" s="24" cm="1">
        <f t="array" ref="I4859">IFERROR(IF($B4859=I$1, ($A4859+$C4859) - MAX(IF($B$2:$B4858=$B4859, $A$2:$A4858+$C$2:$C4858)), "")*24*60, "")</f>
        <v>0</v>
      </c>
      <c r="J4859" s="24" t="str" cm="1">
        <f t="array" ref="J4859">IFERROR(IF($B4859=J$1, ($A4859+$C4859) - MAX(IF($B$2:$B4858=$B4859, $A$2:$A4858+$C$2:$C4858)), "")*24*60, "")</f>
        <v/>
      </c>
      <c r="K4859" s="24" t="str" cm="1">
        <f t="array" ref="K4859">IFERROR(IF($B4859=K$1, ($A4859+$C4859) - MAX(IF($B$2:$B4858=$B4859, $A$2:$A4858+$C$2:$C4858)), "")*24*60, "")</f>
        <v/>
      </c>
      <c r="L4859" s="24" t="str" cm="1">
        <f t="array" ref="L4859">IFERROR(IF($B4859=L$1, ($A4859+$C4859) - MAX(IF($B$2:$B4858=$B4859, $A$2:$A4858+$C$2:$C4858)), "")*24*60, "")</f>
        <v/>
      </c>
      <c r="M4859" s="24" t="str" cm="1">
        <f t="array" ref="M4859">IFERROR(IF($B4859=M$1, ($A4859+$C4859) - MAX(IF($B$2:$B4858=$B4859, $A$2:$A4858+$C$2:$C4858)), "")*24*60, "")</f>
        <v/>
      </c>
      <c r="N4859" s="24" t="str" cm="1">
        <f t="array" ref="N4859">IFERROR(IF($B4859=N$1, ($A4859+$C4859) - MAX(IF($B$2:$B4858=$B4859, $A$2:$A4858+$C$2:$C4858)), "")*24*60, "")</f>
        <v/>
      </c>
      <c r="O4859" s="24" t="str" cm="1">
        <f t="array" ref="O4859">IFERROR(IF($B4859=O$1, ($A4859+$C4859) - MAX(IF($B$2:$B4858=$B4859, $A$2:$A4858+$C$2:$C4858)), "")*24*60, "")</f>
        <v/>
      </c>
      <c r="P4859" s="24" t="str" cm="1">
        <f t="array" ref="P4859">IFERROR(IF($B4859=P$1, ($A4859+$C4859) - MAX(IF($B$2:$B4858=$B4859, $A$2:$A4858+$C$2:$C4858)), "")*24*60, "")</f>
        <v/>
      </c>
      <c r="Q4859" s="24" t="str" cm="1">
        <f t="array" ref="Q4859">IFERROR(IF($B4859=Q$1, ($A4859+$C4859) - MAX(IF($B$2:$B4858=$B4859, $A$2:$A4858+$C$2:$C4858)), "")*24*60, "")</f>
        <v/>
      </c>
    </row>
    <row r="4860" spans="1:17" x14ac:dyDescent="0.2">
      <c r="A4860" s="12">
        <f t="shared" ref="A4860:C4860" si="1194">A4859</f>
        <v>45980</v>
      </c>
      <c r="B4860" s="5" t="str">
        <f t="shared" si="1194"/>
        <v>Northern Cardinal</v>
      </c>
      <c r="C4860" s="6">
        <f t="shared" si="1194"/>
        <v>0.29166666666666669</v>
      </c>
      <c r="D4860" s="5"/>
      <c r="E4860" s="5"/>
      <c r="F4860" s="5" t="s">
        <v>8</v>
      </c>
      <c r="G4860" s="15" t="s">
        <v>9</v>
      </c>
      <c r="H4860" s="24">
        <f t="shared" si="1129"/>
        <v>0</v>
      </c>
      <c r="I4860" s="24" cm="1">
        <f t="array" ref="I4860">IFERROR(IF($B4860=I$1, ($A4860+$C4860) - MAX(IF($B$2:$B4859=$B4860, $A$2:$A4859+$C$2:$C4859)), "")*24*60, "")</f>
        <v>0</v>
      </c>
      <c r="J4860" s="24" t="str" cm="1">
        <f t="array" ref="J4860">IFERROR(IF($B4860=J$1, ($A4860+$C4860) - MAX(IF($B$2:$B4859=$B4860, $A$2:$A4859+$C$2:$C4859)), "")*24*60, "")</f>
        <v/>
      </c>
      <c r="K4860" s="24" t="str" cm="1">
        <f t="array" ref="K4860">IFERROR(IF($B4860=K$1, ($A4860+$C4860) - MAX(IF($B$2:$B4859=$B4860, $A$2:$A4859+$C$2:$C4859)), "")*24*60, "")</f>
        <v/>
      </c>
      <c r="L4860" s="24" t="str" cm="1">
        <f t="array" ref="L4860">IFERROR(IF($B4860=L$1, ($A4860+$C4860) - MAX(IF($B$2:$B4859=$B4860, $A$2:$A4859+$C$2:$C4859)), "")*24*60, "")</f>
        <v/>
      </c>
      <c r="M4860" s="24" t="str" cm="1">
        <f t="array" ref="M4860">IFERROR(IF($B4860=M$1, ($A4860+$C4860) - MAX(IF($B$2:$B4859=$B4860, $A$2:$A4859+$C$2:$C4859)), "")*24*60, "")</f>
        <v/>
      </c>
      <c r="N4860" s="24" t="str" cm="1">
        <f t="array" ref="N4860">IFERROR(IF($B4860=N$1, ($A4860+$C4860) - MAX(IF($B$2:$B4859=$B4860, $A$2:$A4859+$C$2:$C4859)), "")*24*60, "")</f>
        <v/>
      </c>
      <c r="O4860" s="24" t="str" cm="1">
        <f t="array" ref="O4860">IFERROR(IF($B4860=O$1, ($A4860+$C4860) - MAX(IF($B$2:$B4859=$B4860, $A$2:$A4859+$C$2:$C4859)), "")*24*60, "")</f>
        <v/>
      </c>
      <c r="P4860" s="24" t="str" cm="1">
        <f t="array" ref="P4860">IFERROR(IF($B4860=P$1, ($A4860+$C4860) - MAX(IF($B$2:$B4859=$B4860, $A$2:$A4859+$C$2:$C4859)), "")*24*60, "")</f>
        <v/>
      </c>
      <c r="Q4860" s="24" t="str" cm="1">
        <f t="array" ref="Q4860">IFERROR(IF($B4860=Q$1, ($A4860+$C4860) - MAX(IF($B$2:$B4859=$B4860, $A$2:$A4859+$C$2:$C4859)), "")*24*60, "")</f>
        <v/>
      </c>
    </row>
    <row r="4861" spans="1:17" x14ac:dyDescent="0.2">
      <c r="A4861" s="12">
        <f t="shared" ref="A4861:C4861" si="1195">A4860</f>
        <v>45980</v>
      </c>
      <c r="B4861" s="5" t="str">
        <f t="shared" si="1195"/>
        <v>Northern Cardinal</v>
      </c>
      <c r="C4861" s="6">
        <f t="shared" si="1195"/>
        <v>0.29166666666666669</v>
      </c>
      <c r="D4861" s="5"/>
      <c r="E4861" s="5"/>
      <c r="F4861" s="5" t="s">
        <v>8</v>
      </c>
      <c r="G4861" s="15" t="s">
        <v>9</v>
      </c>
      <c r="H4861" s="24">
        <f t="shared" si="1129"/>
        <v>0</v>
      </c>
      <c r="I4861" s="24" cm="1">
        <f t="array" ref="I4861">IFERROR(IF($B4861=I$1, ($A4861+$C4861) - MAX(IF($B$2:$B4860=$B4861, $A$2:$A4860+$C$2:$C4860)), "")*24*60, "")</f>
        <v>0</v>
      </c>
      <c r="J4861" s="24" t="str" cm="1">
        <f t="array" ref="J4861">IFERROR(IF($B4861=J$1, ($A4861+$C4861) - MAX(IF($B$2:$B4860=$B4861, $A$2:$A4860+$C$2:$C4860)), "")*24*60, "")</f>
        <v/>
      </c>
      <c r="K4861" s="24" t="str" cm="1">
        <f t="array" ref="K4861">IFERROR(IF($B4861=K$1, ($A4861+$C4861) - MAX(IF($B$2:$B4860=$B4861, $A$2:$A4860+$C$2:$C4860)), "")*24*60, "")</f>
        <v/>
      </c>
      <c r="L4861" s="24" t="str" cm="1">
        <f t="array" ref="L4861">IFERROR(IF($B4861=L$1, ($A4861+$C4861) - MAX(IF($B$2:$B4860=$B4861, $A$2:$A4860+$C$2:$C4860)), "")*24*60, "")</f>
        <v/>
      </c>
      <c r="M4861" s="24" t="str" cm="1">
        <f t="array" ref="M4861">IFERROR(IF($B4861=M$1, ($A4861+$C4861) - MAX(IF($B$2:$B4860=$B4861, $A$2:$A4860+$C$2:$C4860)), "")*24*60, "")</f>
        <v/>
      </c>
      <c r="N4861" s="24" t="str" cm="1">
        <f t="array" ref="N4861">IFERROR(IF($B4861=N$1, ($A4861+$C4861) - MAX(IF($B$2:$B4860=$B4861, $A$2:$A4860+$C$2:$C4860)), "")*24*60, "")</f>
        <v/>
      </c>
      <c r="O4861" s="24" t="str" cm="1">
        <f t="array" ref="O4861">IFERROR(IF($B4861=O$1, ($A4861+$C4861) - MAX(IF($B$2:$B4860=$B4861, $A$2:$A4860+$C$2:$C4860)), "")*24*60, "")</f>
        <v/>
      </c>
      <c r="P4861" s="24" t="str" cm="1">
        <f t="array" ref="P4861">IFERROR(IF($B4861=P$1, ($A4861+$C4861) - MAX(IF($B$2:$B4860=$B4861, $A$2:$A4860+$C$2:$C4860)), "")*24*60, "")</f>
        <v/>
      </c>
      <c r="Q4861" s="24" t="str" cm="1">
        <f t="array" ref="Q4861">IFERROR(IF($B4861=Q$1, ($A4861+$C4861) - MAX(IF($B$2:$B4860=$B4861, $A$2:$A4860+$C$2:$C4860)), "")*24*60, "")</f>
        <v/>
      </c>
    </row>
    <row r="4862" spans="1:17" x14ac:dyDescent="0.2">
      <c r="A4862" s="12">
        <f t="shared" ref="A4862:C4862" si="1196">A4861</f>
        <v>45980</v>
      </c>
      <c r="B4862" s="5" t="str">
        <f t="shared" si="1196"/>
        <v>Northern Cardinal</v>
      </c>
      <c r="C4862" s="6">
        <f t="shared" si="1196"/>
        <v>0.29166666666666669</v>
      </c>
      <c r="D4862" s="5"/>
      <c r="E4862" s="5"/>
      <c r="F4862" s="5" t="s">
        <v>8</v>
      </c>
      <c r="G4862" s="15" t="s">
        <v>9</v>
      </c>
      <c r="H4862" s="24">
        <f t="shared" si="1129"/>
        <v>0</v>
      </c>
      <c r="I4862" s="24" cm="1">
        <f t="array" ref="I4862">IFERROR(IF($B4862=I$1, ($A4862+$C4862) - MAX(IF($B$2:$B4861=$B4862, $A$2:$A4861+$C$2:$C4861)), "")*24*60, "")</f>
        <v>0</v>
      </c>
      <c r="J4862" s="24" t="str" cm="1">
        <f t="array" ref="J4862">IFERROR(IF($B4862=J$1, ($A4862+$C4862) - MAX(IF($B$2:$B4861=$B4862, $A$2:$A4861+$C$2:$C4861)), "")*24*60, "")</f>
        <v/>
      </c>
      <c r="K4862" s="24" t="str" cm="1">
        <f t="array" ref="K4862">IFERROR(IF($B4862=K$1, ($A4862+$C4862) - MAX(IF($B$2:$B4861=$B4862, $A$2:$A4861+$C$2:$C4861)), "")*24*60, "")</f>
        <v/>
      </c>
      <c r="L4862" s="24" t="str" cm="1">
        <f t="array" ref="L4862">IFERROR(IF($B4862=L$1, ($A4862+$C4862) - MAX(IF($B$2:$B4861=$B4862, $A$2:$A4861+$C$2:$C4861)), "")*24*60, "")</f>
        <v/>
      </c>
      <c r="M4862" s="24" t="str" cm="1">
        <f t="array" ref="M4862">IFERROR(IF($B4862=M$1, ($A4862+$C4862) - MAX(IF($B$2:$B4861=$B4862, $A$2:$A4861+$C$2:$C4861)), "")*24*60, "")</f>
        <v/>
      </c>
      <c r="N4862" s="24" t="str" cm="1">
        <f t="array" ref="N4862">IFERROR(IF($B4862=N$1, ($A4862+$C4862) - MAX(IF($B$2:$B4861=$B4862, $A$2:$A4861+$C$2:$C4861)), "")*24*60, "")</f>
        <v/>
      </c>
      <c r="O4862" s="24" t="str" cm="1">
        <f t="array" ref="O4862">IFERROR(IF($B4862=O$1, ($A4862+$C4862) - MAX(IF($B$2:$B4861=$B4862, $A$2:$A4861+$C$2:$C4861)), "")*24*60, "")</f>
        <v/>
      </c>
      <c r="P4862" s="24" t="str" cm="1">
        <f t="array" ref="P4862">IFERROR(IF($B4862=P$1, ($A4862+$C4862) - MAX(IF($B$2:$B4861=$B4862, $A$2:$A4861+$C$2:$C4861)), "")*24*60, "")</f>
        <v/>
      </c>
      <c r="Q4862" s="24" t="str" cm="1">
        <f t="array" ref="Q4862">IFERROR(IF($B4862=Q$1, ($A4862+$C4862) - MAX(IF($B$2:$B4861=$B4862, $A$2:$A4861+$C$2:$C4861)), "")*24*60, "")</f>
        <v/>
      </c>
    </row>
    <row r="4863" spans="1:17" x14ac:dyDescent="0.2">
      <c r="A4863" s="12">
        <f t="shared" ref="A4863:C4863" si="1197">A4862</f>
        <v>45980</v>
      </c>
      <c r="B4863" s="5" t="str">
        <f t="shared" si="1197"/>
        <v>Northern Cardinal</v>
      </c>
      <c r="C4863" s="6">
        <f t="shared" si="1197"/>
        <v>0.29166666666666669</v>
      </c>
      <c r="D4863" s="5"/>
      <c r="E4863" s="5"/>
      <c r="F4863" s="5" t="s">
        <v>8</v>
      </c>
      <c r="G4863" s="15" t="s">
        <v>9</v>
      </c>
      <c r="H4863" s="24">
        <f t="shared" si="1129"/>
        <v>0</v>
      </c>
      <c r="I4863" s="24" cm="1">
        <f t="array" ref="I4863">IFERROR(IF($B4863=I$1, ($A4863+$C4863) - MAX(IF($B$2:$B4862=$B4863, $A$2:$A4862+$C$2:$C4862)), "")*24*60, "")</f>
        <v>0</v>
      </c>
      <c r="J4863" s="24" t="str" cm="1">
        <f t="array" ref="J4863">IFERROR(IF($B4863=J$1, ($A4863+$C4863) - MAX(IF($B$2:$B4862=$B4863, $A$2:$A4862+$C$2:$C4862)), "")*24*60, "")</f>
        <v/>
      </c>
      <c r="K4863" s="24" t="str" cm="1">
        <f t="array" ref="K4863">IFERROR(IF($B4863=K$1, ($A4863+$C4863) - MAX(IF($B$2:$B4862=$B4863, $A$2:$A4862+$C$2:$C4862)), "")*24*60, "")</f>
        <v/>
      </c>
      <c r="L4863" s="24" t="str" cm="1">
        <f t="array" ref="L4863">IFERROR(IF($B4863=L$1, ($A4863+$C4863) - MAX(IF($B$2:$B4862=$B4863, $A$2:$A4862+$C$2:$C4862)), "")*24*60, "")</f>
        <v/>
      </c>
      <c r="M4863" s="24" t="str" cm="1">
        <f t="array" ref="M4863">IFERROR(IF($B4863=M$1, ($A4863+$C4863) - MAX(IF($B$2:$B4862=$B4863, $A$2:$A4862+$C$2:$C4862)), "")*24*60, "")</f>
        <v/>
      </c>
      <c r="N4863" s="24" t="str" cm="1">
        <f t="array" ref="N4863">IFERROR(IF($B4863=N$1, ($A4863+$C4863) - MAX(IF($B$2:$B4862=$B4863, $A$2:$A4862+$C$2:$C4862)), "")*24*60, "")</f>
        <v/>
      </c>
      <c r="O4863" s="24" t="str" cm="1">
        <f t="array" ref="O4863">IFERROR(IF($B4863=O$1, ($A4863+$C4863) - MAX(IF($B$2:$B4862=$B4863, $A$2:$A4862+$C$2:$C4862)), "")*24*60, "")</f>
        <v/>
      </c>
      <c r="P4863" s="24" t="str" cm="1">
        <f t="array" ref="P4863">IFERROR(IF($B4863=P$1, ($A4863+$C4863) - MAX(IF($B$2:$B4862=$B4863, $A$2:$A4862+$C$2:$C4862)), "")*24*60, "")</f>
        <v/>
      </c>
      <c r="Q4863" s="24" t="str" cm="1">
        <f t="array" ref="Q4863">IFERROR(IF($B4863=Q$1, ($A4863+$C4863) - MAX(IF($B$2:$B4862=$B4863, $A$2:$A4862+$C$2:$C4862)), "")*24*60, "")</f>
        <v/>
      </c>
    </row>
    <row r="4864" spans="1:17" x14ac:dyDescent="0.2">
      <c r="A4864" s="12">
        <f t="shared" ref="A4864:C4864" si="1198">A4863</f>
        <v>45980</v>
      </c>
      <c r="B4864" s="5" t="str">
        <f t="shared" si="1198"/>
        <v>Northern Cardinal</v>
      </c>
      <c r="C4864" s="6">
        <f t="shared" si="1198"/>
        <v>0.29166666666666669</v>
      </c>
      <c r="D4864" s="5"/>
      <c r="E4864" s="5"/>
      <c r="F4864" s="5" t="s">
        <v>8</v>
      </c>
      <c r="G4864" s="15" t="s">
        <v>9</v>
      </c>
      <c r="H4864" s="24">
        <f t="shared" si="1129"/>
        <v>0</v>
      </c>
      <c r="I4864" s="24" cm="1">
        <f t="array" ref="I4864">IFERROR(IF($B4864=I$1, ($A4864+$C4864) - MAX(IF($B$2:$B4863=$B4864, $A$2:$A4863+$C$2:$C4863)), "")*24*60, "")</f>
        <v>0</v>
      </c>
      <c r="J4864" s="24" t="str" cm="1">
        <f t="array" ref="J4864">IFERROR(IF($B4864=J$1, ($A4864+$C4864) - MAX(IF($B$2:$B4863=$B4864, $A$2:$A4863+$C$2:$C4863)), "")*24*60, "")</f>
        <v/>
      </c>
      <c r="K4864" s="24" t="str" cm="1">
        <f t="array" ref="K4864">IFERROR(IF($B4864=K$1, ($A4864+$C4864) - MAX(IF($B$2:$B4863=$B4864, $A$2:$A4863+$C$2:$C4863)), "")*24*60, "")</f>
        <v/>
      </c>
      <c r="L4864" s="24" t="str" cm="1">
        <f t="array" ref="L4864">IFERROR(IF($B4864=L$1, ($A4864+$C4864) - MAX(IF($B$2:$B4863=$B4864, $A$2:$A4863+$C$2:$C4863)), "")*24*60, "")</f>
        <v/>
      </c>
      <c r="M4864" s="24" t="str" cm="1">
        <f t="array" ref="M4864">IFERROR(IF($B4864=M$1, ($A4864+$C4864) - MAX(IF($B$2:$B4863=$B4864, $A$2:$A4863+$C$2:$C4863)), "")*24*60, "")</f>
        <v/>
      </c>
      <c r="N4864" s="24" t="str" cm="1">
        <f t="array" ref="N4864">IFERROR(IF($B4864=N$1, ($A4864+$C4864) - MAX(IF($B$2:$B4863=$B4864, $A$2:$A4863+$C$2:$C4863)), "")*24*60, "")</f>
        <v/>
      </c>
      <c r="O4864" s="24" t="str" cm="1">
        <f t="array" ref="O4864">IFERROR(IF($B4864=O$1, ($A4864+$C4864) - MAX(IF($B$2:$B4863=$B4864, $A$2:$A4863+$C$2:$C4863)), "")*24*60, "")</f>
        <v/>
      </c>
      <c r="P4864" s="24" t="str" cm="1">
        <f t="array" ref="P4864">IFERROR(IF($B4864=P$1, ($A4864+$C4864) - MAX(IF($B$2:$B4863=$B4864, $A$2:$A4863+$C$2:$C4863)), "")*24*60, "")</f>
        <v/>
      </c>
      <c r="Q4864" s="24" t="str" cm="1">
        <f t="array" ref="Q4864">IFERROR(IF($B4864=Q$1, ($A4864+$C4864) - MAX(IF($B$2:$B4863=$B4864, $A$2:$A4863+$C$2:$C4863)), "")*24*60, "")</f>
        <v/>
      </c>
    </row>
    <row r="4865" spans="1:17" x14ac:dyDescent="0.2">
      <c r="A4865" s="12">
        <f t="shared" ref="A4865:C4865" si="1199">A4864</f>
        <v>45980</v>
      </c>
      <c r="B4865" s="5" t="str">
        <f t="shared" si="1199"/>
        <v>Northern Cardinal</v>
      </c>
      <c r="C4865" s="6">
        <f t="shared" si="1199"/>
        <v>0.29166666666666669</v>
      </c>
      <c r="D4865" s="5"/>
      <c r="E4865" s="5"/>
      <c r="F4865" s="5" t="s">
        <v>8</v>
      </c>
      <c r="G4865" s="15" t="s">
        <v>9</v>
      </c>
      <c r="H4865" s="24">
        <f t="shared" si="1129"/>
        <v>0</v>
      </c>
      <c r="I4865" s="24" cm="1">
        <f t="array" ref="I4865">IFERROR(IF($B4865=I$1, ($A4865+$C4865) - MAX(IF($B$2:$B4864=$B4865, $A$2:$A4864+$C$2:$C4864)), "")*24*60, "")</f>
        <v>0</v>
      </c>
      <c r="J4865" s="24" t="str" cm="1">
        <f t="array" ref="J4865">IFERROR(IF($B4865=J$1, ($A4865+$C4865) - MAX(IF($B$2:$B4864=$B4865, $A$2:$A4864+$C$2:$C4864)), "")*24*60, "")</f>
        <v/>
      </c>
      <c r="K4865" s="24" t="str" cm="1">
        <f t="array" ref="K4865">IFERROR(IF($B4865=K$1, ($A4865+$C4865) - MAX(IF($B$2:$B4864=$B4865, $A$2:$A4864+$C$2:$C4864)), "")*24*60, "")</f>
        <v/>
      </c>
      <c r="L4865" s="24" t="str" cm="1">
        <f t="array" ref="L4865">IFERROR(IF($B4865=L$1, ($A4865+$C4865) - MAX(IF($B$2:$B4864=$B4865, $A$2:$A4864+$C$2:$C4864)), "")*24*60, "")</f>
        <v/>
      </c>
      <c r="M4865" s="24" t="str" cm="1">
        <f t="array" ref="M4865">IFERROR(IF($B4865=M$1, ($A4865+$C4865) - MAX(IF($B$2:$B4864=$B4865, $A$2:$A4864+$C$2:$C4864)), "")*24*60, "")</f>
        <v/>
      </c>
      <c r="N4865" s="24" t="str" cm="1">
        <f t="array" ref="N4865">IFERROR(IF($B4865=N$1, ($A4865+$C4865) - MAX(IF($B$2:$B4864=$B4865, $A$2:$A4864+$C$2:$C4864)), "")*24*60, "")</f>
        <v/>
      </c>
      <c r="O4865" s="24" t="str" cm="1">
        <f t="array" ref="O4865">IFERROR(IF($B4865=O$1, ($A4865+$C4865) - MAX(IF($B$2:$B4864=$B4865, $A$2:$A4864+$C$2:$C4864)), "")*24*60, "")</f>
        <v/>
      </c>
      <c r="P4865" s="24" t="str" cm="1">
        <f t="array" ref="P4865">IFERROR(IF($B4865=P$1, ($A4865+$C4865) - MAX(IF($B$2:$B4864=$B4865, $A$2:$A4864+$C$2:$C4864)), "")*24*60, "")</f>
        <v/>
      </c>
      <c r="Q4865" s="24" t="str" cm="1">
        <f t="array" ref="Q4865">IFERROR(IF($B4865=Q$1, ($A4865+$C4865) - MAX(IF($B$2:$B4864=$B4865, $A$2:$A4864+$C$2:$C4864)), "")*24*60, "")</f>
        <v/>
      </c>
    </row>
    <row r="4866" spans="1:17" x14ac:dyDescent="0.2">
      <c r="A4866" s="12">
        <f t="shared" ref="A4866:C4866" si="1200">A4865</f>
        <v>45980</v>
      </c>
      <c r="B4866" s="5" t="str">
        <f t="shared" si="1200"/>
        <v>Northern Cardinal</v>
      </c>
      <c r="C4866" s="6">
        <f t="shared" si="1200"/>
        <v>0.29166666666666669</v>
      </c>
      <c r="D4866" s="5"/>
      <c r="E4866" s="5"/>
      <c r="F4866" s="5" t="s">
        <v>8</v>
      </c>
      <c r="G4866" s="15" t="s">
        <v>9</v>
      </c>
      <c r="H4866" s="24">
        <f t="shared" si="1129"/>
        <v>0</v>
      </c>
      <c r="I4866" s="24" cm="1">
        <f t="array" ref="I4866">IFERROR(IF($B4866=I$1, ($A4866+$C4866) - MAX(IF($B$2:$B4865=$B4866, $A$2:$A4865+$C$2:$C4865)), "")*24*60, "")</f>
        <v>0</v>
      </c>
      <c r="J4866" s="24" t="str" cm="1">
        <f t="array" ref="J4866">IFERROR(IF($B4866=J$1, ($A4866+$C4866) - MAX(IF($B$2:$B4865=$B4866, $A$2:$A4865+$C$2:$C4865)), "")*24*60, "")</f>
        <v/>
      </c>
      <c r="K4866" s="24" t="str" cm="1">
        <f t="array" ref="K4866">IFERROR(IF($B4866=K$1, ($A4866+$C4866) - MAX(IF($B$2:$B4865=$B4866, $A$2:$A4865+$C$2:$C4865)), "")*24*60, "")</f>
        <v/>
      </c>
      <c r="L4866" s="24" t="str" cm="1">
        <f t="array" ref="L4866">IFERROR(IF($B4866=L$1, ($A4866+$C4866) - MAX(IF($B$2:$B4865=$B4866, $A$2:$A4865+$C$2:$C4865)), "")*24*60, "")</f>
        <v/>
      </c>
      <c r="M4866" s="24" t="str" cm="1">
        <f t="array" ref="M4866">IFERROR(IF($B4866=M$1, ($A4866+$C4866) - MAX(IF($B$2:$B4865=$B4866, $A$2:$A4865+$C$2:$C4865)), "")*24*60, "")</f>
        <v/>
      </c>
      <c r="N4866" s="24" t="str" cm="1">
        <f t="array" ref="N4866">IFERROR(IF($B4866=N$1, ($A4866+$C4866) - MAX(IF($B$2:$B4865=$B4866, $A$2:$A4865+$C$2:$C4865)), "")*24*60, "")</f>
        <v/>
      </c>
      <c r="O4866" s="24" t="str" cm="1">
        <f t="array" ref="O4866">IFERROR(IF($B4866=O$1, ($A4866+$C4866) - MAX(IF($B$2:$B4865=$B4866, $A$2:$A4865+$C$2:$C4865)), "")*24*60, "")</f>
        <v/>
      </c>
      <c r="P4866" s="24" t="str" cm="1">
        <f t="array" ref="P4866">IFERROR(IF($B4866=P$1, ($A4866+$C4866) - MAX(IF($B$2:$B4865=$B4866, $A$2:$A4865+$C$2:$C4865)), "")*24*60, "")</f>
        <v/>
      </c>
      <c r="Q4866" s="24" t="str" cm="1">
        <f t="array" ref="Q4866">IFERROR(IF($B4866=Q$1, ($A4866+$C4866) - MAX(IF($B$2:$B4865=$B4866, $A$2:$A4865+$C$2:$C4865)), "")*24*60, "")</f>
        <v/>
      </c>
    </row>
    <row r="4867" spans="1:17" x14ac:dyDescent="0.2">
      <c r="A4867" s="12">
        <f t="shared" ref="A4867:C4867" si="1201">A4866</f>
        <v>45980</v>
      </c>
      <c r="B4867" s="5" t="str">
        <f t="shared" si="1201"/>
        <v>Northern Cardinal</v>
      </c>
      <c r="C4867" s="6">
        <f t="shared" si="1201"/>
        <v>0.29166666666666669</v>
      </c>
      <c r="D4867" s="5"/>
      <c r="E4867" s="5"/>
      <c r="F4867" s="5" t="s">
        <v>8</v>
      </c>
      <c r="G4867" s="15" t="s">
        <v>9</v>
      </c>
      <c r="H4867" s="24">
        <f t="shared" si="1129"/>
        <v>0</v>
      </c>
      <c r="I4867" s="24" cm="1">
        <f t="array" ref="I4867">IFERROR(IF($B4867=I$1, ($A4867+$C4867) - MAX(IF($B$2:$B4866=$B4867, $A$2:$A4866+$C$2:$C4866)), "")*24*60, "")</f>
        <v>0</v>
      </c>
      <c r="J4867" s="24" t="str" cm="1">
        <f t="array" ref="J4867">IFERROR(IF($B4867=J$1, ($A4867+$C4867) - MAX(IF($B$2:$B4866=$B4867, $A$2:$A4866+$C$2:$C4866)), "")*24*60, "")</f>
        <v/>
      </c>
      <c r="K4867" s="24" t="str" cm="1">
        <f t="array" ref="K4867">IFERROR(IF($B4867=K$1, ($A4867+$C4867) - MAX(IF($B$2:$B4866=$B4867, $A$2:$A4866+$C$2:$C4866)), "")*24*60, "")</f>
        <v/>
      </c>
      <c r="L4867" s="24" t="str" cm="1">
        <f t="array" ref="L4867">IFERROR(IF($B4867=L$1, ($A4867+$C4867) - MAX(IF($B$2:$B4866=$B4867, $A$2:$A4866+$C$2:$C4866)), "")*24*60, "")</f>
        <v/>
      </c>
      <c r="M4867" s="24" t="str" cm="1">
        <f t="array" ref="M4867">IFERROR(IF($B4867=M$1, ($A4867+$C4867) - MAX(IF($B$2:$B4866=$B4867, $A$2:$A4866+$C$2:$C4866)), "")*24*60, "")</f>
        <v/>
      </c>
      <c r="N4867" s="24" t="str" cm="1">
        <f t="array" ref="N4867">IFERROR(IF($B4867=N$1, ($A4867+$C4867) - MAX(IF($B$2:$B4866=$B4867, $A$2:$A4866+$C$2:$C4866)), "")*24*60, "")</f>
        <v/>
      </c>
      <c r="O4867" s="24" t="str" cm="1">
        <f t="array" ref="O4867">IFERROR(IF($B4867=O$1, ($A4867+$C4867) - MAX(IF($B$2:$B4866=$B4867, $A$2:$A4866+$C$2:$C4866)), "")*24*60, "")</f>
        <v/>
      </c>
      <c r="P4867" s="24" t="str" cm="1">
        <f t="array" ref="P4867">IFERROR(IF($B4867=P$1, ($A4867+$C4867) - MAX(IF($B$2:$B4866=$B4867, $A$2:$A4866+$C$2:$C4866)), "")*24*60, "")</f>
        <v/>
      </c>
      <c r="Q4867" s="24" t="str" cm="1">
        <f t="array" ref="Q4867">IFERROR(IF($B4867=Q$1, ($A4867+$C4867) - MAX(IF($B$2:$B4866=$B4867, $A$2:$A4866+$C$2:$C4866)), "")*24*60, "")</f>
        <v/>
      </c>
    </row>
    <row r="4868" spans="1:17" x14ac:dyDescent="0.2">
      <c r="A4868" s="12">
        <f t="shared" ref="A4868:C4868" si="1202">A4867</f>
        <v>45980</v>
      </c>
      <c r="B4868" s="5" t="str">
        <f t="shared" si="1202"/>
        <v>Northern Cardinal</v>
      </c>
      <c r="C4868" s="6">
        <f t="shared" si="1202"/>
        <v>0.29166666666666669</v>
      </c>
      <c r="D4868" s="5"/>
      <c r="E4868" s="5"/>
      <c r="F4868" s="5" t="s">
        <v>8</v>
      </c>
      <c r="G4868" s="15" t="s">
        <v>9</v>
      </c>
      <c r="H4868" s="24">
        <f t="shared" si="1129"/>
        <v>0</v>
      </c>
      <c r="I4868" s="24" cm="1">
        <f t="array" ref="I4868">IFERROR(IF($B4868=I$1, ($A4868+$C4868) - MAX(IF($B$2:$B4867=$B4868, $A$2:$A4867+$C$2:$C4867)), "")*24*60, "")</f>
        <v>0</v>
      </c>
      <c r="J4868" s="24" t="str" cm="1">
        <f t="array" ref="J4868">IFERROR(IF($B4868=J$1, ($A4868+$C4868) - MAX(IF($B$2:$B4867=$B4868, $A$2:$A4867+$C$2:$C4867)), "")*24*60, "")</f>
        <v/>
      </c>
      <c r="K4868" s="24" t="str" cm="1">
        <f t="array" ref="K4868">IFERROR(IF($B4868=K$1, ($A4868+$C4868) - MAX(IF($B$2:$B4867=$B4868, $A$2:$A4867+$C$2:$C4867)), "")*24*60, "")</f>
        <v/>
      </c>
      <c r="L4868" s="24" t="str" cm="1">
        <f t="array" ref="L4868">IFERROR(IF($B4868=L$1, ($A4868+$C4868) - MAX(IF($B$2:$B4867=$B4868, $A$2:$A4867+$C$2:$C4867)), "")*24*60, "")</f>
        <v/>
      </c>
      <c r="M4868" s="24" t="str" cm="1">
        <f t="array" ref="M4868">IFERROR(IF($B4868=M$1, ($A4868+$C4868) - MAX(IF($B$2:$B4867=$B4868, $A$2:$A4867+$C$2:$C4867)), "")*24*60, "")</f>
        <v/>
      </c>
      <c r="N4868" s="24" t="str" cm="1">
        <f t="array" ref="N4868">IFERROR(IF($B4868=N$1, ($A4868+$C4868) - MAX(IF($B$2:$B4867=$B4868, $A$2:$A4867+$C$2:$C4867)), "")*24*60, "")</f>
        <v/>
      </c>
      <c r="O4868" s="24" t="str" cm="1">
        <f t="array" ref="O4868">IFERROR(IF($B4868=O$1, ($A4868+$C4868) - MAX(IF($B$2:$B4867=$B4868, $A$2:$A4867+$C$2:$C4867)), "")*24*60, "")</f>
        <v/>
      </c>
      <c r="P4868" s="24" t="str" cm="1">
        <f t="array" ref="P4868">IFERROR(IF($B4868=P$1, ($A4868+$C4868) - MAX(IF($B$2:$B4867=$B4868, $A$2:$A4867+$C$2:$C4867)), "")*24*60, "")</f>
        <v/>
      </c>
      <c r="Q4868" s="24" t="str" cm="1">
        <f t="array" ref="Q4868">IFERROR(IF($B4868=Q$1, ($A4868+$C4868) - MAX(IF($B$2:$B4867=$B4868, $A$2:$A4867+$C$2:$C4867)), "")*24*60, "")</f>
        <v/>
      </c>
    </row>
    <row r="4869" spans="1:17" x14ac:dyDescent="0.2">
      <c r="A4869" s="12">
        <f t="shared" ref="A4869:C4869" si="1203">A4868</f>
        <v>45980</v>
      </c>
      <c r="B4869" s="5" t="str">
        <f t="shared" si="1203"/>
        <v>Northern Cardinal</v>
      </c>
      <c r="C4869" s="6">
        <f t="shared" si="1203"/>
        <v>0.29166666666666669</v>
      </c>
      <c r="D4869" s="5"/>
      <c r="E4869" s="5"/>
      <c r="F4869" s="5" t="s">
        <v>8</v>
      </c>
      <c r="G4869" s="15" t="s">
        <v>9</v>
      </c>
      <c r="H4869" s="24">
        <f t="shared" si="1129"/>
        <v>0</v>
      </c>
      <c r="I4869" s="24" cm="1">
        <f t="array" ref="I4869">IFERROR(IF($B4869=I$1, ($A4869+$C4869) - MAX(IF($B$2:$B4868=$B4869, $A$2:$A4868+$C$2:$C4868)), "")*24*60, "")</f>
        <v>0</v>
      </c>
      <c r="J4869" s="24" t="str" cm="1">
        <f t="array" ref="J4869">IFERROR(IF($B4869=J$1, ($A4869+$C4869) - MAX(IF($B$2:$B4868=$B4869, $A$2:$A4868+$C$2:$C4868)), "")*24*60, "")</f>
        <v/>
      </c>
      <c r="K4869" s="24" t="str" cm="1">
        <f t="array" ref="K4869">IFERROR(IF($B4869=K$1, ($A4869+$C4869) - MAX(IF($B$2:$B4868=$B4869, $A$2:$A4868+$C$2:$C4868)), "")*24*60, "")</f>
        <v/>
      </c>
      <c r="L4869" s="24" t="str" cm="1">
        <f t="array" ref="L4869">IFERROR(IF($B4869=L$1, ($A4869+$C4869) - MAX(IF($B$2:$B4868=$B4869, $A$2:$A4868+$C$2:$C4868)), "")*24*60, "")</f>
        <v/>
      </c>
      <c r="M4869" s="24" t="str" cm="1">
        <f t="array" ref="M4869">IFERROR(IF($B4869=M$1, ($A4869+$C4869) - MAX(IF($B$2:$B4868=$B4869, $A$2:$A4868+$C$2:$C4868)), "")*24*60, "")</f>
        <v/>
      </c>
      <c r="N4869" s="24" t="str" cm="1">
        <f t="array" ref="N4869">IFERROR(IF($B4869=N$1, ($A4869+$C4869) - MAX(IF($B$2:$B4868=$B4869, $A$2:$A4868+$C$2:$C4868)), "")*24*60, "")</f>
        <v/>
      </c>
      <c r="O4869" s="24" t="str" cm="1">
        <f t="array" ref="O4869">IFERROR(IF($B4869=O$1, ($A4869+$C4869) - MAX(IF($B$2:$B4868=$B4869, $A$2:$A4868+$C$2:$C4868)), "")*24*60, "")</f>
        <v/>
      </c>
      <c r="P4869" s="24" t="str" cm="1">
        <f t="array" ref="P4869">IFERROR(IF($B4869=P$1, ($A4869+$C4869) - MAX(IF($B$2:$B4868=$B4869, $A$2:$A4868+$C$2:$C4868)), "")*24*60, "")</f>
        <v/>
      </c>
      <c r="Q4869" s="24" t="str" cm="1">
        <f t="array" ref="Q4869">IFERROR(IF($B4869=Q$1, ($A4869+$C4869) - MAX(IF($B$2:$B4868=$B4869, $A$2:$A4868+$C$2:$C4868)), "")*24*60, "")</f>
        <v/>
      </c>
    </row>
    <row r="4870" spans="1:17" x14ac:dyDescent="0.2">
      <c r="A4870" s="12">
        <f t="shared" ref="A4870:C4870" si="1204">A4869</f>
        <v>45980</v>
      </c>
      <c r="B4870" s="5" t="str">
        <f t="shared" si="1204"/>
        <v>Northern Cardinal</v>
      </c>
      <c r="C4870" s="6">
        <f t="shared" si="1204"/>
        <v>0.29166666666666669</v>
      </c>
      <c r="D4870" s="5"/>
      <c r="E4870" s="5"/>
      <c r="F4870" s="5" t="s">
        <v>8</v>
      </c>
      <c r="G4870" s="15" t="s">
        <v>9</v>
      </c>
      <c r="H4870" s="24">
        <f t="shared" si="1129"/>
        <v>0</v>
      </c>
      <c r="I4870" s="24" cm="1">
        <f t="array" ref="I4870">IFERROR(IF($B4870=I$1, ($A4870+$C4870) - MAX(IF($B$2:$B4869=$B4870, $A$2:$A4869+$C$2:$C4869)), "")*24*60, "")</f>
        <v>0</v>
      </c>
      <c r="J4870" s="24" t="str" cm="1">
        <f t="array" ref="J4870">IFERROR(IF($B4870=J$1, ($A4870+$C4870) - MAX(IF($B$2:$B4869=$B4870, $A$2:$A4869+$C$2:$C4869)), "")*24*60, "")</f>
        <v/>
      </c>
      <c r="K4870" s="24" t="str" cm="1">
        <f t="array" ref="K4870">IFERROR(IF($B4870=K$1, ($A4870+$C4870) - MAX(IF($B$2:$B4869=$B4870, $A$2:$A4869+$C$2:$C4869)), "")*24*60, "")</f>
        <v/>
      </c>
      <c r="L4870" s="24" t="str" cm="1">
        <f t="array" ref="L4870">IFERROR(IF($B4870=L$1, ($A4870+$C4870) - MAX(IF($B$2:$B4869=$B4870, $A$2:$A4869+$C$2:$C4869)), "")*24*60, "")</f>
        <v/>
      </c>
      <c r="M4870" s="24" t="str" cm="1">
        <f t="array" ref="M4870">IFERROR(IF($B4870=M$1, ($A4870+$C4870) - MAX(IF($B$2:$B4869=$B4870, $A$2:$A4869+$C$2:$C4869)), "")*24*60, "")</f>
        <v/>
      </c>
      <c r="N4870" s="24" t="str" cm="1">
        <f t="array" ref="N4870">IFERROR(IF($B4870=N$1, ($A4870+$C4870) - MAX(IF($B$2:$B4869=$B4870, $A$2:$A4869+$C$2:$C4869)), "")*24*60, "")</f>
        <v/>
      </c>
      <c r="O4870" s="24" t="str" cm="1">
        <f t="array" ref="O4870">IFERROR(IF($B4870=O$1, ($A4870+$C4870) - MAX(IF($B$2:$B4869=$B4870, $A$2:$A4869+$C$2:$C4869)), "")*24*60, "")</f>
        <v/>
      </c>
      <c r="P4870" s="24" t="str" cm="1">
        <f t="array" ref="P4870">IFERROR(IF($B4870=P$1, ($A4870+$C4870) - MAX(IF($B$2:$B4869=$B4870, $A$2:$A4869+$C$2:$C4869)), "")*24*60, "")</f>
        <v/>
      </c>
      <c r="Q4870" s="24" t="str" cm="1">
        <f t="array" ref="Q4870">IFERROR(IF($B4870=Q$1, ($A4870+$C4870) - MAX(IF($B$2:$B4869=$B4870, $A$2:$A4869+$C$2:$C4869)), "")*24*60, "")</f>
        <v/>
      </c>
    </row>
    <row r="4871" spans="1:17" x14ac:dyDescent="0.2">
      <c r="A4871" s="12">
        <f t="shared" ref="A4871:C4871" si="1205">A4870</f>
        <v>45980</v>
      </c>
      <c r="B4871" s="5" t="str">
        <f t="shared" si="1205"/>
        <v>Northern Cardinal</v>
      </c>
      <c r="C4871" s="6">
        <f t="shared" si="1205"/>
        <v>0.29166666666666669</v>
      </c>
      <c r="D4871" s="5"/>
      <c r="E4871" s="5"/>
      <c r="F4871" s="5" t="s">
        <v>8</v>
      </c>
      <c r="G4871" s="15" t="s">
        <v>9</v>
      </c>
      <c r="H4871" s="24">
        <f t="shared" si="1129"/>
        <v>0</v>
      </c>
      <c r="I4871" s="24" cm="1">
        <f t="array" ref="I4871">IFERROR(IF($B4871=I$1, ($A4871+$C4871) - MAX(IF($B$2:$B4870=$B4871, $A$2:$A4870+$C$2:$C4870)), "")*24*60, "")</f>
        <v>0</v>
      </c>
      <c r="J4871" s="24" t="str" cm="1">
        <f t="array" ref="J4871">IFERROR(IF($B4871=J$1, ($A4871+$C4871) - MAX(IF($B$2:$B4870=$B4871, $A$2:$A4870+$C$2:$C4870)), "")*24*60, "")</f>
        <v/>
      </c>
      <c r="K4871" s="24" t="str" cm="1">
        <f t="array" ref="K4871">IFERROR(IF($B4871=K$1, ($A4871+$C4871) - MAX(IF($B$2:$B4870=$B4871, $A$2:$A4870+$C$2:$C4870)), "")*24*60, "")</f>
        <v/>
      </c>
      <c r="L4871" s="24" t="str" cm="1">
        <f t="array" ref="L4871">IFERROR(IF($B4871=L$1, ($A4871+$C4871) - MAX(IF($B$2:$B4870=$B4871, $A$2:$A4870+$C$2:$C4870)), "")*24*60, "")</f>
        <v/>
      </c>
      <c r="M4871" s="24" t="str" cm="1">
        <f t="array" ref="M4871">IFERROR(IF($B4871=M$1, ($A4871+$C4871) - MAX(IF($B$2:$B4870=$B4871, $A$2:$A4870+$C$2:$C4870)), "")*24*60, "")</f>
        <v/>
      </c>
      <c r="N4871" s="24" t="str" cm="1">
        <f t="array" ref="N4871">IFERROR(IF($B4871=N$1, ($A4871+$C4871) - MAX(IF($B$2:$B4870=$B4871, $A$2:$A4870+$C$2:$C4870)), "")*24*60, "")</f>
        <v/>
      </c>
      <c r="O4871" s="24" t="str" cm="1">
        <f t="array" ref="O4871">IFERROR(IF($B4871=O$1, ($A4871+$C4871) - MAX(IF($B$2:$B4870=$B4871, $A$2:$A4870+$C$2:$C4870)), "")*24*60, "")</f>
        <v/>
      </c>
      <c r="P4871" s="24" t="str" cm="1">
        <f t="array" ref="P4871">IFERROR(IF($B4871=P$1, ($A4871+$C4871) - MAX(IF($B$2:$B4870=$B4871, $A$2:$A4870+$C$2:$C4870)), "")*24*60, "")</f>
        <v/>
      </c>
      <c r="Q4871" s="24" t="str" cm="1">
        <f t="array" ref="Q4871">IFERROR(IF($B4871=Q$1, ($A4871+$C4871) - MAX(IF($B$2:$B4870=$B4871, $A$2:$A4870+$C$2:$C4870)), "")*24*60, "")</f>
        <v/>
      </c>
    </row>
    <row r="4872" spans="1:17" x14ac:dyDescent="0.2">
      <c r="A4872" s="12">
        <f t="shared" ref="A4872:C4872" si="1206">A4871</f>
        <v>45980</v>
      </c>
      <c r="B4872" s="5" t="str">
        <f t="shared" si="1206"/>
        <v>Northern Cardinal</v>
      </c>
      <c r="C4872" s="6">
        <f t="shared" si="1206"/>
        <v>0.29166666666666669</v>
      </c>
      <c r="D4872" s="5"/>
      <c r="E4872" s="5"/>
      <c r="F4872" s="5" t="s">
        <v>8</v>
      </c>
      <c r="G4872" s="15" t="s">
        <v>9</v>
      </c>
      <c r="H4872" s="24">
        <f t="shared" si="1129"/>
        <v>0</v>
      </c>
      <c r="I4872" s="24" cm="1">
        <f t="array" ref="I4872">IFERROR(IF($B4872=I$1, ($A4872+$C4872) - MAX(IF($B$2:$B4871=$B4872, $A$2:$A4871+$C$2:$C4871)), "")*24*60, "")</f>
        <v>0</v>
      </c>
      <c r="J4872" s="24" t="str" cm="1">
        <f t="array" ref="J4872">IFERROR(IF($B4872=J$1, ($A4872+$C4872) - MAX(IF($B$2:$B4871=$B4872, $A$2:$A4871+$C$2:$C4871)), "")*24*60, "")</f>
        <v/>
      </c>
      <c r="K4872" s="24" t="str" cm="1">
        <f t="array" ref="K4872">IFERROR(IF($B4872=K$1, ($A4872+$C4872) - MAX(IF($B$2:$B4871=$B4872, $A$2:$A4871+$C$2:$C4871)), "")*24*60, "")</f>
        <v/>
      </c>
      <c r="L4872" s="24" t="str" cm="1">
        <f t="array" ref="L4872">IFERROR(IF($B4872=L$1, ($A4872+$C4872) - MAX(IF($B$2:$B4871=$B4872, $A$2:$A4871+$C$2:$C4871)), "")*24*60, "")</f>
        <v/>
      </c>
      <c r="M4872" s="24" t="str" cm="1">
        <f t="array" ref="M4872">IFERROR(IF($B4872=M$1, ($A4872+$C4872) - MAX(IF($B$2:$B4871=$B4872, $A$2:$A4871+$C$2:$C4871)), "")*24*60, "")</f>
        <v/>
      </c>
      <c r="N4872" s="24" t="str" cm="1">
        <f t="array" ref="N4872">IFERROR(IF($B4872=N$1, ($A4872+$C4872) - MAX(IF($B$2:$B4871=$B4872, $A$2:$A4871+$C$2:$C4871)), "")*24*60, "")</f>
        <v/>
      </c>
      <c r="O4872" s="24" t="str" cm="1">
        <f t="array" ref="O4872">IFERROR(IF($B4872=O$1, ($A4872+$C4872) - MAX(IF($B$2:$B4871=$B4872, $A$2:$A4871+$C$2:$C4871)), "")*24*60, "")</f>
        <v/>
      </c>
      <c r="P4872" s="24" t="str" cm="1">
        <f t="array" ref="P4872">IFERROR(IF($B4872=P$1, ($A4872+$C4872) - MAX(IF($B$2:$B4871=$B4872, $A$2:$A4871+$C$2:$C4871)), "")*24*60, "")</f>
        <v/>
      </c>
      <c r="Q4872" s="24" t="str" cm="1">
        <f t="array" ref="Q4872">IFERROR(IF($B4872=Q$1, ($A4872+$C4872) - MAX(IF($B$2:$B4871=$B4872, $A$2:$A4871+$C$2:$C4871)), "")*24*60, "")</f>
        <v/>
      </c>
    </row>
    <row r="4873" spans="1:17" x14ac:dyDescent="0.2">
      <c r="A4873" s="12">
        <f t="shared" ref="A4873:C4873" si="1207">A4872</f>
        <v>45980</v>
      </c>
      <c r="B4873" s="5" t="str">
        <f t="shared" si="1207"/>
        <v>Northern Cardinal</v>
      </c>
      <c r="C4873" s="6">
        <f t="shared" si="1207"/>
        <v>0.29166666666666669</v>
      </c>
      <c r="D4873" s="5"/>
      <c r="E4873" s="5"/>
      <c r="F4873" s="5" t="s">
        <v>8</v>
      </c>
      <c r="G4873" s="15" t="s">
        <v>9</v>
      </c>
      <c r="H4873" s="24">
        <f t="shared" si="1129"/>
        <v>0</v>
      </c>
      <c r="I4873" s="24" cm="1">
        <f t="array" ref="I4873">IFERROR(IF($B4873=I$1, ($A4873+$C4873) - MAX(IF($B$2:$B4872=$B4873, $A$2:$A4872+$C$2:$C4872)), "")*24*60, "")</f>
        <v>0</v>
      </c>
      <c r="J4873" s="24" t="str" cm="1">
        <f t="array" ref="J4873">IFERROR(IF($B4873=J$1, ($A4873+$C4873) - MAX(IF($B$2:$B4872=$B4873, $A$2:$A4872+$C$2:$C4872)), "")*24*60, "")</f>
        <v/>
      </c>
      <c r="K4873" s="24" t="str" cm="1">
        <f t="array" ref="K4873">IFERROR(IF($B4873=K$1, ($A4873+$C4873) - MAX(IF($B$2:$B4872=$B4873, $A$2:$A4872+$C$2:$C4872)), "")*24*60, "")</f>
        <v/>
      </c>
      <c r="L4873" s="24" t="str" cm="1">
        <f t="array" ref="L4873">IFERROR(IF($B4873=L$1, ($A4873+$C4873) - MAX(IF($B$2:$B4872=$B4873, $A$2:$A4872+$C$2:$C4872)), "")*24*60, "")</f>
        <v/>
      </c>
      <c r="M4873" s="24" t="str" cm="1">
        <f t="array" ref="M4873">IFERROR(IF($B4873=M$1, ($A4873+$C4873) - MAX(IF($B$2:$B4872=$B4873, $A$2:$A4872+$C$2:$C4872)), "")*24*60, "")</f>
        <v/>
      </c>
      <c r="N4873" s="24" t="str" cm="1">
        <f t="array" ref="N4873">IFERROR(IF($B4873=N$1, ($A4873+$C4873) - MAX(IF($B$2:$B4872=$B4873, $A$2:$A4872+$C$2:$C4872)), "")*24*60, "")</f>
        <v/>
      </c>
      <c r="O4873" s="24" t="str" cm="1">
        <f t="array" ref="O4873">IFERROR(IF($B4873=O$1, ($A4873+$C4873) - MAX(IF($B$2:$B4872=$B4873, $A$2:$A4872+$C$2:$C4872)), "")*24*60, "")</f>
        <v/>
      </c>
      <c r="P4873" s="24" t="str" cm="1">
        <f t="array" ref="P4873">IFERROR(IF($B4873=P$1, ($A4873+$C4873) - MAX(IF($B$2:$B4872=$B4873, $A$2:$A4872+$C$2:$C4872)), "")*24*60, "")</f>
        <v/>
      </c>
      <c r="Q4873" s="24" t="str" cm="1">
        <f t="array" ref="Q4873">IFERROR(IF($B4873=Q$1, ($A4873+$C4873) - MAX(IF($B$2:$B4872=$B4873, $A$2:$A4872+$C$2:$C4872)), "")*24*60, "")</f>
        <v/>
      </c>
    </row>
    <row r="4874" spans="1:17" x14ac:dyDescent="0.2">
      <c r="A4874" s="12">
        <f t="shared" ref="A4874:C4874" si="1208">A4873</f>
        <v>45980</v>
      </c>
      <c r="B4874" s="5" t="str">
        <f t="shared" si="1208"/>
        <v>Northern Cardinal</v>
      </c>
      <c r="C4874" s="6">
        <f t="shared" si="1208"/>
        <v>0.29166666666666669</v>
      </c>
      <c r="D4874" s="5"/>
      <c r="E4874" s="5"/>
      <c r="F4874" s="5" t="s">
        <v>8</v>
      </c>
      <c r="G4874" s="15" t="s">
        <v>9</v>
      </c>
      <c r="H4874" s="24">
        <f t="shared" si="1129"/>
        <v>0</v>
      </c>
      <c r="I4874" s="24" cm="1">
        <f t="array" ref="I4874">IFERROR(IF($B4874=I$1, ($A4874+$C4874) - MAX(IF($B$2:$B4873=$B4874, $A$2:$A4873+$C$2:$C4873)), "")*24*60, "")</f>
        <v>0</v>
      </c>
      <c r="J4874" s="24" t="str" cm="1">
        <f t="array" ref="J4874">IFERROR(IF($B4874=J$1, ($A4874+$C4874) - MAX(IF($B$2:$B4873=$B4874, $A$2:$A4873+$C$2:$C4873)), "")*24*60, "")</f>
        <v/>
      </c>
      <c r="K4874" s="24" t="str" cm="1">
        <f t="array" ref="K4874">IFERROR(IF($B4874=K$1, ($A4874+$C4874) - MAX(IF($B$2:$B4873=$B4874, $A$2:$A4873+$C$2:$C4873)), "")*24*60, "")</f>
        <v/>
      </c>
      <c r="L4874" s="24" t="str" cm="1">
        <f t="array" ref="L4874">IFERROR(IF($B4874=L$1, ($A4874+$C4874) - MAX(IF($B$2:$B4873=$B4874, $A$2:$A4873+$C$2:$C4873)), "")*24*60, "")</f>
        <v/>
      </c>
      <c r="M4874" s="24" t="str" cm="1">
        <f t="array" ref="M4874">IFERROR(IF($B4874=M$1, ($A4874+$C4874) - MAX(IF($B$2:$B4873=$B4874, $A$2:$A4873+$C$2:$C4873)), "")*24*60, "")</f>
        <v/>
      </c>
      <c r="N4874" s="24" t="str" cm="1">
        <f t="array" ref="N4874">IFERROR(IF($B4874=N$1, ($A4874+$C4874) - MAX(IF($B$2:$B4873=$B4874, $A$2:$A4873+$C$2:$C4873)), "")*24*60, "")</f>
        <v/>
      </c>
      <c r="O4874" s="24" t="str" cm="1">
        <f t="array" ref="O4874">IFERROR(IF($B4874=O$1, ($A4874+$C4874) - MAX(IF($B$2:$B4873=$B4874, $A$2:$A4873+$C$2:$C4873)), "")*24*60, "")</f>
        <v/>
      </c>
      <c r="P4874" s="24" t="str" cm="1">
        <f t="array" ref="P4874">IFERROR(IF($B4874=P$1, ($A4874+$C4874) - MAX(IF($B$2:$B4873=$B4874, $A$2:$A4873+$C$2:$C4873)), "")*24*60, "")</f>
        <v/>
      </c>
      <c r="Q4874" s="24" t="str" cm="1">
        <f t="array" ref="Q4874">IFERROR(IF($B4874=Q$1, ($A4874+$C4874) - MAX(IF($B$2:$B4873=$B4874, $A$2:$A4873+$C$2:$C4873)), "")*24*60, "")</f>
        <v/>
      </c>
    </row>
    <row r="4875" spans="1:17" x14ac:dyDescent="0.2">
      <c r="A4875" s="12">
        <f t="shared" ref="A4875:C4875" si="1209">A4874</f>
        <v>45980</v>
      </c>
      <c r="B4875" s="5" t="str">
        <f t="shared" si="1209"/>
        <v>Northern Cardinal</v>
      </c>
      <c r="C4875" s="6">
        <f t="shared" si="1209"/>
        <v>0.29166666666666669</v>
      </c>
      <c r="D4875" s="5"/>
      <c r="E4875" s="5"/>
      <c r="F4875" s="5" t="s">
        <v>8</v>
      </c>
      <c r="G4875" s="15" t="s">
        <v>9</v>
      </c>
      <c r="H4875" s="24">
        <f t="shared" si="1129"/>
        <v>0</v>
      </c>
      <c r="I4875" s="24" cm="1">
        <f t="array" ref="I4875">IFERROR(IF($B4875=I$1, ($A4875+$C4875) - MAX(IF($B$2:$B4874=$B4875, $A$2:$A4874+$C$2:$C4874)), "")*24*60, "")</f>
        <v>0</v>
      </c>
      <c r="J4875" s="24" t="str" cm="1">
        <f t="array" ref="J4875">IFERROR(IF($B4875=J$1, ($A4875+$C4875) - MAX(IF($B$2:$B4874=$B4875, $A$2:$A4874+$C$2:$C4874)), "")*24*60, "")</f>
        <v/>
      </c>
      <c r="K4875" s="24" t="str" cm="1">
        <f t="array" ref="K4875">IFERROR(IF($B4875=K$1, ($A4875+$C4875) - MAX(IF($B$2:$B4874=$B4875, $A$2:$A4874+$C$2:$C4874)), "")*24*60, "")</f>
        <v/>
      </c>
      <c r="L4875" s="24" t="str" cm="1">
        <f t="array" ref="L4875">IFERROR(IF($B4875=L$1, ($A4875+$C4875) - MAX(IF($B$2:$B4874=$B4875, $A$2:$A4874+$C$2:$C4874)), "")*24*60, "")</f>
        <v/>
      </c>
      <c r="M4875" s="24" t="str" cm="1">
        <f t="array" ref="M4875">IFERROR(IF($B4875=M$1, ($A4875+$C4875) - MAX(IF($B$2:$B4874=$B4875, $A$2:$A4874+$C$2:$C4874)), "")*24*60, "")</f>
        <v/>
      </c>
      <c r="N4875" s="24" t="str" cm="1">
        <f t="array" ref="N4875">IFERROR(IF($B4875=N$1, ($A4875+$C4875) - MAX(IF($B$2:$B4874=$B4875, $A$2:$A4874+$C$2:$C4874)), "")*24*60, "")</f>
        <v/>
      </c>
      <c r="O4875" s="24" t="str" cm="1">
        <f t="array" ref="O4875">IFERROR(IF($B4875=O$1, ($A4875+$C4875) - MAX(IF($B$2:$B4874=$B4875, $A$2:$A4874+$C$2:$C4874)), "")*24*60, "")</f>
        <v/>
      </c>
      <c r="P4875" s="24" t="str" cm="1">
        <f t="array" ref="P4875">IFERROR(IF($B4875=P$1, ($A4875+$C4875) - MAX(IF($B$2:$B4874=$B4875, $A$2:$A4874+$C$2:$C4874)), "")*24*60, "")</f>
        <v/>
      </c>
      <c r="Q4875" s="24" t="str" cm="1">
        <f t="array" ref="Q4875">IFERROR(IF($B4875=Q$1, ($A4875+$C4875) - MAX(IF($B$2:$B4874=$B4875, $A$2:$A4874+$C$2:$C4874)), "")*24*60, "")</f>
        <v/>
      </c>
    </row>
    <row r="4876" spans="1:17" x14ac:dyDescent="0.2">
      <c r="A4876" s="12">
        <f t="shared" ref="A4876:C4876" si="1210">A4875</f>
        <v>45980</v>
      </c>
      <c r="B4876" s="5" t="str">
        <f t="shared" si="1210"/>
        <v>Northern Cardinal</v>
      </c>
      <c r="C4876" s="6">
        <f t="shared" si="1210"/>
        <v>0.29166666666666669</v>
      </c>
      <c r="D4876" s="5"/>
      <c r="E4876" s="5"/>
      <c r="F4876" s="5" t="s">
        <v>8</v>
      </c>
      <c r="G4876" s="15" t="s">
        <v>9</v>
      </c>
      <c r="H4876" s="24">
        <f t="shared" si="1129"/>
        <v>0</v>
      </c>
      <c r="I4876" s="24" cm="1">
        <f t="array" ref="I4876">IFERROR(IF($B4876=I$1, ($A4876+$C4876) - MAX(IF($B$2:$B4875=$B4876, $A$2:$A4875+$C$2:$C4875)), "")*24*60, "")</f>
        <v>0</v>
      </c>
      <c r="J4876" s="24" t="str" cm="1">
        <f t="array" ref="J4876">IFERROR(IF($B4876=J$1, ($A4876+$C4876) - MAX(IF($B$2:$B4875=$B4876, $A$2:$A4875+$C$2:$C4875)), "")*24*60, "")</f>
        <v/>
      </c>
      <c r="K4876" s="24" t="str" cm="1">
        <f t="array" ref="K4876">IFERROR(IF($B4876=K$1, ($A4876+$C4876) - MAX(IF($B$2:$B4875=$B4876, $A$2:$A4875+$C$2:$C4875)), "")*24*60, "")</f>
        <v/>
      </c>
      <c r="L4876" s="24" t="str" cm="1">
        <f t="array" ref="L4876">IFERROR(IF($B4876=L$1, ($A4876+$C4876) - MAX(IF($B$2:$B4875=$B4876, $A$2:$A4875+$C$2:$C4875)), "")*24*60, "")</f>
        <v/>
      </c>
      <c r="M4876" s="24" t="str" cm="1">
        <f t="array" ref="M4876">IFERROR(IF($B4876=M$1, ($A4876+$C4876) - MAX(IF($B$2:$B4875=$B4876, $A$2:$A4875+$C$2:$C4875)), "")*24*60, "")</f>
        <v/>
      </c>
      <c r="N4876" s="24" t="str" cm="1">
        <f t="array" ref="N4876">IFERROR(IF($B4876=N$1, ($A4876+$C4876) - MAX(IF($B$2:$B4875=$B4876, $A$2:$A4875+$C$2:$C4875)), "")*24*60, "")</f>
        <v/>
      </c>
      <c r="O4876" s="24" t="str" cm="1">
        <f t="array" ref="O4876">IFERROR(IF($B4876=O$1, ($A4876+$C4876) - MAX(IF($B$2:$B4875=$B4876, $A$2:$A4875+$C$2:$C4875)), "")*24*60, "")</f>
        <v/>
      </c>
      <c r="P4876" s="24" t="str" cm="1">
        <f t="array" ref="P4876">IFERROR(IF($B4876=P$1, ($A4876+$C4876) - MAX(IF($B$2:$B4875=$B4876, $A$2:$A4875+$C$2:$C4875)), "")*24*60, "")</f>
        <v/>
      </c>
      <c r="Q4876" s="24" t="str" cm="1">
        <f t="array" ref="Q4876">IFERROR(IF($B4876=Q$1, ($A4876+$C4876) - MAX(IF($B$2:$B4875=$B4876, $A$2:$A4875+$C$2:$C4875)), "")*24*60, "")</f>
        <v/>
      </c>
    </row>
    <row r="4877" spans="1:17" x14ac:dyDescent="0.2">
      <c r="A4877" s="12">
        <f t="shared" ref="A4877:C4877" si="1211">A4876</f>
        <v>45980</v>
      </c>
      <c r="B4877" s="5" t="str">
        <f t="shared" si="1211"/>
        <v>Northern Cardinal</v>
      </c>
      <c r="C4877" s="6">
        <f t="shared" si="1211"/>
        <v>0.29166666666666669</v>
      </c>
      <c r="D4877" s="5"/>
      <c r="E4877" s="5"/>
      <c r="F4877" s="5" t="s">
        <v>8</v>
      </c>
      <c r="G4877" s="15" t="s">
        <v>9</v>
      </c>
      <c r="H4877" s="24">
        <f t="shared" si="1129"/>
        <v>0</v>
      </c>
      <c r="I4877" s="24" cm="1">
        <f t="array" ref="I4877">IFERROR(IF($B4877=I$1, ($A4877+$C4877) - MAX(IF($B$2:$B4876=$B4877, $A$2:$A4876+$C$2:$C4876)), "")*24*60, "")</f>
        <v>0</v>
      </c>
      <c r="J4877" s="24" t="str" cm="1">
        <f t="array" ref="J4877">IFERROR(IF($B4877=J$1, ($A4877+$C4877) - MAX(IF($B$2:$B4876=$B4877, $A$2:$A4876+$C$2:$C4876)), "")*24*60, "")</f>
        <v/>
      </c>
      <c r="K4877" s="24" t="str" cm="1">
        <f t="array" ref="K4877">IFERROR(IF($B4877=K$1, ($A4877+$C4877) - MAX(IF($B$2:$B4876=$B4877, $A$2:$A4876+$C$2:$C4876)), "")*24*60, "")</f>
        <v/>
      </c>
      <c r="L4877" s="24" t="str" cm="1">
        <f t="array" ref="L4877">IFERROR(IF($B4877=L$1, ($A4877+$C4877) - MAX(IF($B$2:$B4876=$B4877, $A$2:$A4876+$C$2:$C4876)), "")*24*60, "")</f>
        <v/>
      </c>
      <c r="M4877" s="24" t="str" cm="1">
        <f t="array" ref="M4877">IFERROR(IF($B4877=M$1, ($A4877+$C4877) - MAX(IF($B$2:$B4876=$B4877, $A$2:$A4876+$C$2:$C4876)), "")*24*60, "")</f>
        <v/>
      </c>
      <c r="N4877" s="24" t="str" cm="1">
        <f t="array" ref="N4877">IFERROR(IF($B4877=N$1, ($A4877+$C4877) - MAX(IF($B$2:$B4876=$B4877, $A$2:$A4876+$C$2:$C4876)), "")*24*60, "")</f>
        <v/>
      </c>
      <c r="O4877" s="24" t="str" cm="1">
        <f t="array" ref="O4877">IFERROR(IF($B4877=O$1, ($A4877+$C4877) - MAX(IF($B$2:$B4876=$B4877, $A$2:$A4876+$C$2:$C4876)), "")*24*60, "")</f>
        <v/>
      </c>
      <c r="P4877" s="24" t="str" cm="1">
        <f t="array" ref="P4877">IFERROR(IF($B4877=P$1, ($A4877+$C4877) - MAX(IF($B$2:$B4876=$B4877, $A$2:$A4876+$C$2:$C4876)), "")*24*60, "")</f>
        <v/>
      </c>
      <c r="Q4877" s="24" t="str" cm="1">
        <f t="array" ref="Q4877">IFERROR(IF($B4877=Q$1, ($A4877+$C4877) - MAX(IF($B$2:$B4876=$B4877, $A$2:$A4876+$C$2:$C4876)), "")*24*60, "")</f>
        <v/>
      </c>
    </row>
    <row r="4878" spans="1:17" x14ac:dyDescent="0.2">
      <c r="A4878" s="12">
        <f t="shared" ref="A4878:C4878" si="1212">A4877</f>
        <v>45980</v>
      </c>
      <c r="B4878" s="5" t="str">
        <f t="shared" si="1212"/>
        <v>Northern Cardinal</v>
      </c>
      <c r="C4878" s="6">
        <f t="shared" si="1212"/>
        <v>0.29166666666666669</v>
      </c>
      <c r="D4878" s="5"/>
      <c r="E4878" s="5"/>
      <c r="F4878" s="5" t="s">
        <v>8</v>
      </c>
      <c r="G4878" s="15" t="s">
        <v>9</v>
      </c>
      <c r="H4878" s="24">
        <f t="shared" si="1129"/>
        <v>0</v>
      </c>
      <c r="I4878" s="24" cm="1">
        <f t="array" ref="I4878">IFERROR(IF($B4878=I$1, ($A4878+$C4878) - MAX(IF($B$2:$B4877=$B4878, $A$2:$A4877+$C$2:$C4877)), "")*24*60, "")</f>
        <v>0</v>
      </c>
      <c r="J4878" s="24" t="str" cm="1">
        <f t="array" ref="J4878">IFERROR(IF($B4878=J$1, ($A4878+$C4878) - MAX(IF($B$2:$B4877=$B4878, $A$2:$A4877+$C$2:$C4877)), "")*24*60, "")</f>
        <v/>
      </c>
      <c r="K4878" s="24" t="str" cm="1">
        <f t="array" ref="K4878">IFERROR(IF($B4878=K$1, ($A4878+$C4878) - MAX(IF($B$2:$B4877=$B4878, $A$2:$A4877+$C$2:$C4877)), "")*24*60, "")</f>
        <v/>
      </c>
      <c r="L4878" s="24" t="str" cm="1">
        <f t="array" ref="L4878">IFERROR(IF($B4878=L$1, ($A4878+$C4878) - MAX(IF($B$2:$B4877=$B4878, $A$2:$A4877+$C$2:$C4877)), "")*24*60, "")</f>
        <v/>
      </c>
      <c r="M4878" s="24" t="str" cm="1">
        <f t="array" ref="M4878">IFERROR(IF($B4878=M$1, ($A4878+$C4878) - MAX(IF($B$2:$B4877=$B4878, $A$2:$A4877+$C$2:$C4877)), "")*24*60, "")</f>
        <v/>
      </c>
      <c r="N4878" s="24" t="str" cm="1">
        <f t="array" ref="N4878">IFERROR(IF($B4878=N$1, ($A4878+$C4878) - MAX(IF($B$2:$B4877=$B4878, $A$2:$A4877+$C$2:$C4877)), "")*24*60, "")</f>
        <v/>
      </c>
      <c r="O4878" s="24" t="str" cm="1">
        <f t="array" ref="O4878">IFERROR(IF($B4878=O$1, ($A4878+$C4878) - MAX(IF($B$2:$B4877=$B4878, $A$2:$A4877+$C$2:$C4877)), "")*24*60, "")</f>
        <v/>
      </c>
      <c r="P4878" s="24" t="str" cm="1">
        <f t="array" ref="P4878">IFERROR(IF($B4878=P$1, ($A4878+$C4878) - MAX(IF($B$2:$B4877=$B4878, $A$2:$A4877+$C$2:$C4877)), "")*24*60, "")</f>
        <v/>
      </c>
      <c r="Q4878" s="24" t="str" cm="1">
        <f t="array" ref="Q4878">IFERROR(IF($B4878=Q$1, ($A4878+$C4878) - MAX(IF($B$2:$B4877=$B4878, $A$2:$A4877+$C$2:$C4877)), "")*24*60, "")</f>
        <v/>
      </c>
    </row>
    <row r="4879" spans="1:17" x14ac:dyDescent="0.2">
      <c r="A4879" s="12">
        <f t="shared" ref="A4879:C4879" si="1213">A4878</f>
        <v>45980</v>
      </c>
      <c r="B4879" s="5" t="str">
        <f t="shared" si="1213"/>
        <v>Northern Cardinal</v>
      </c>
      <c r="C4879" s="6">
        <f t="shared" si="1213"/>
        <v>0.29166666666666669</v>
      </c>
      <c r="D4879" s="5"/>
      <c r="E4879" s="5"/>
      <c r="F4879" s="5" t="s">
        <v>8</v>
      </c>
      <c r="G4879" s="15" t="s">
        <v>9</v>
      </c>
      <c r="H4879" s="24">
        <f t="shared" si="1129"/>
        <v>0</v>
      </c>
      <c r="I4879" s="24" cm="1">
        <f t="array" ref="I4879">IFERROR(IF($B4879=I$1, ($A4879+$C4879) - MAX(IF($B$2:$B4878=$B4879, $A$2:$A4878+$C$2:$C4878)), "")*24*60, "")</f>
        <v>0</v>
      </c>
      <c r="J4879" s="24" t="str" cm="1">
        <f t="array" ref="J4879">IFERROR(IF($B4879=J$1, ($A4879+$C4879) - MAX(IF($B$2:$B4878=$B4879, $A$2:$A4878+$C$2:$C4878)), "")*24*60, "")</f>
        <v/>
      </c>
      <c r="K4879" s="24" t="str" cm="1">
        <f t="array" ref="K4879">IFERROR(IF($B4879=K$1, ($A4879+$C4879) - MAX(IF($B$2:$B4878=$B4879, $A$2:$A4878+$C$2:$C4878)), "")*24*60, "")</f>
        <v/>
      </c>
      <c r="L4879" s="24" t="str" cm="1">
        <f t="array" ref="L4879">IFERROR(IF($B4879=L$1, ($A4879+$C4879) - MAX(IF($B$2:$B4878=$B4879, $A$2:$A4878+$C$2:$C4878)), "")*24*60, "")</f>
        <v/>
      </c>
      <c r="M4879" s="24" t="str" cm="1">
        <f t="array" ref="M4879">IFERROR(IF($B4879=M$1, ($A4879+$C4879) - MAX(IF($B$2:$B4878=$B4879, $A$2:$A4878+$C$2:$C4878)), "")*24*60, "")</f>
        <v/>
      </c>
      <c r="N4879" s="24" t="str" cm="1">
        <f t="array" ref="N4879">IFERROR(IF($B4879=N$1, ($A4879+$C4879) - MAX(IF($B$2:$B4878=$B4879, $A$2:$A4878+$C$2:$C4878)), "")*24*60, "")</f>
        <v/>
      </c>
      <c r="O4879" s="24" t="str" cm="1">
        <f t="array" ref="O4879">IFERROR(IF($B4879=O$1, ($A4879+$C4879) - MAX(IF($B$2:$B4878=$B4879, $A$2:$A4878+$C$2:$C4878)), "")*24*60, "")</f>
        <v/>
      </c>
      <c r="P4879" s="24" t="str" cm="1">
        <f t="array" ref="P4879">IFERROR(IF($B4879=P$1, ($A4879+$C4879) - MAX(IF($B$2:$B4878=$B4879, $A$2:$A4878+$C$2:$C4878)), "")*24*60, "")</f>
        <v/>
      </c>
      <c r="Q4879" s="24" t="str" cm="1">
        <f t="array" ref="Q4879">IFERROR(IF($B4879=Q$1, ($A4879+$C4879) - MAX(IF($B$2:$B4878=$B4879, $A$2:$A4878+$C$2:$C4878)), "")*24*60, "")</f>
        <v/>
      </c>
    </row>
    <row r="4880" spans="1:17" x14ac:dyDescent="0.2">
      <c r="A4880" s="12">
        <f t="shared" ref="A4880:C4880" si="1214">A4879</f>
        <v>45980</v>
      </c>
      <c r="B4880" s="5" t="str">
        <f t="shared" si="1214"/>
        <v>Northern Cardinal</v>
      </c>
      <c r="C4880" s="6">
        <f t="shared" si="1214"/>
        <v>0.29166666666666669</v>
      </c>
      <c r="D4880" s="5"/>
      <c r="E4880" s="5"/>
      <c r="F4880" s="5" t="s">
        <v>8</v>
      </c>
      <c r="G4880" s="15" t="s">
        <v>9</v>
      </c>
      <c r="H4880" s="24">
        <f t="shared" si="1129"/>
        <v>0</v>
      </c>
      <c r="I4880" s="24" cm="1">
        <f t="array" ref="I4880">IFERROR(IF($B4880=I$1, ($A4880+$C4880) - MAX(IF($B$2:$B4879=$B4880, $A$2:$A4879+$C$2:$C4879)), "")*24*60, "")</f>
        <v>0</v>
      </c>
      <c r="J4880" s="24" t="str" cm="1">
        <f t="array" ref="J4880">IFERROR(IF($B4880=J$1, ($A4880+$C4880) - MAX(IF($B$2:$B4879=$B4880, $A$2:$A4879+$C$2:$C4879)), "")*24*60, "")</f>
        <v/>
      </c>
      <c r="K4880" s="24" t="str" cm="1">
        <f t="array" ref="K4880">IFERROR(IF($B4880=K$1, ($A4880+$C4880) - MAX(IF($B$2:$B4879=$B4880, $A$2:$A4879+$C$2:$C4879)), "")*24*60, "")</f>
        <v/>
      </c>
      <c r="L4880" s="24" t="str" cm="1">
        <f t="array" ref="L4880">IFERROR(IF($B4880=L$1, ($A4880+$C4880) - MAX(IF($B$2:$B4879=$B4880, $A$2:$A4879+$C$2:$C4879)), "")*24*60, "")</f>
        <v/>
      </c>
      <c r="M4880" s="24" t="str" cm="1">
        <f t="array" ref="M4880">IFERROR(IF($B4880=M$1, ($A4880+$C4880) - MAX(IF($B$2:$B4879=$B4880, $A$2:$A4879+$C$2:$C4879)), "")*24*60, "")</f>
        <v/>
      </c>
      <c r="N4880" s="24" t="str" cm="1">
        <f t="array" ref="N4880">IFERROR(IF($B4880=N$1, ($A4880+$C4880) - MAX(IF($B$2:$B4879=$B4880, $A$2:$A4879+$C$2:$C4879)), "")*24*60, "")</f>
        <v/>
      </c>
      <c r="O4880" s="24" t="str" cm="1">
        <f t="array" ref="O4880">IFERROR(IF($B4880=O$1, ($A4880+$C4880) - MAX(IF($B$2:$B4879=$B4880, $A$2:$A4879+$C$2:$C4879)), "")*24*60, "")</f>
        <v/>
      </c>
      <c r="P4880" s="24" t="str" cm="1">
        <f t="array" ref="P4880">IFERROR(IF($B4880=P$1, ($A4880+$C4880) - MAX(IF($B$2:$B4879=$B4880, $A$2:$A4879+$C$2:$C4879)), "")*24*60, "")</f>
        <v/>
      </c>
      <c r="Q4880" s="24" t="str" cm="1">
        <f t="array" ref="Q4880">IFERROR(IF($B4880=Q$1, ($A4880+$C4880) - MAX(IF($B$2:$B4879=$B4880, $A$2:$A4879+$C$2:$C4879)), "")*24*60, "")</f>
        <v/>
      </c>
    </row>
    <row r="4881" spans="1:17" x14ac:dyDescent="0.2">
      <c r="A4881" s="12">
        <f t="shared" ref="A4881:C4881" si="1215">A4880</f>
        <v>45980</v>
      </c>
      <c r="B4881" s="5" t="str">
        <f t="shared" si="1215"/>
        <v>Northern Cardinal</v>
      </c>
      <c r="C4881" s="6">
        <f t="shared" si="1215"/>
        <v>0.29166666666666669</v>
      </c>
      <c r="D4881" s="5"/>
      <c r="E4881" s="5"/>
      <c r="F4881" s="5" t="s">
        <v>8</v>
      </c>
      <c r="G4881" s="15" t="s">
        <v>9</v>
      </c>
      <c r="H4881" s="24">
        <f t="shared" si="1129"/>
        <v>0</v>
      </c>
      <c r="I4881" s="24" cm="1">
        <f t="array" ref="I4881">IFERROR(IF($B4881=I$1, ($A4881+$C4881) - MAX(IF($B$2:$B4880=$B4881, $A$2:$A4880+$C$2:$C4880)), "")*24*60, "")</f>
        <v>0</v>
      </c>
      <c r="J4881" s="24" t="str" cm="1">
        <f t="array" ref="J4881">IFERROR(IF($B4881=J$1, ($A4881+$C4881) - MAX(IF($B$2:$B4880=$B4881, $A$2:$A4880+$C$2:$C4880)), "")*24*60, "")</f>
        <v/>
      </c>
      <c r="K4881" s="24" t="str" cm="1">
        <f t="array" ref="K4881">IFERROR(IF($B4881=K$1, ($A4881+$C4881) - MAX(IF($B$2:$B4880=$B4881, $A$2:$A4880+$C$2:$C4880)), "")*24*60, "")</f>
        <v/>
      </c>
      <c r="L4881" s="24" t="str" cm="1">
        <f t="array" ref="L4881">IFERROR(IF($B4881=L$1, ($A4881+$C4881) - MAX(IF($B$2:$B4880=$B4881, $A$2:$A4880+$C$2:$C4880)), "")*24*60, "")</f>
        <v/>
      </c>
      <c r="M4881" s="24" t="str" cm="1">
        <f t="array" ref="M4881">IFERROR(IF($B4881=M$1, ($A4881+$C4881) - MAX(IF($B$2:$B4880=$B4881, $A$2:$A4880+$C$2:$C4880)), "")*24*60, "")</f>
        <v/>
      </c>
      <c r="N4881" s="24" t="str" cm="1">
        <f t="array" ref="N4881">IFERROR(IF($B4881=N$1, ($A4881+$C4881) - MAX(IF($B$2:$B4880=$B4881, $A$2:$A4880+$C$2:$C4880)), "")*24*60, "")</f>
        <v/>
      </c>
      <c r="O4881" s="24" t="str" cm="1">
        <f t="array" ref="O4881">IFERROR(IF($B4881=O$1, ($A4881+$C4881) - MAX(IF($B$2:$B4880=$B4881, $A$2:$A4880+$C$2:$C4880)), "")*24*60, "")</f>
        <v/>
      </c>
      <c r="P4881" s="24" t="str" cm="1">
        <f t="array" ref="P4881">IFERROR(IF($B4881=P$1, ($A4881+$C4881) - MAX(IF($B$2:$B4880=$B4881, $A$2:$A4880+$C$2:$C4880)), "")*24*60, "")</f>
        <v/>
      </c>
      <c r="Q4881" s="24" t="str" cm="1">
        <f t="array" ref="Q4881">IFERROR(IF($B4881=Q$1, ($A4881+$C4881) - MAX(IF($B$2:$B4880=$B4881, $A$2:$A4880+$C$2:$C4880)), "")*24*60, "")</f>
        <v/>
      </c>
    </row>
    <row r="4882" spans="1:17" x14ac:dyDescent="0.2">
      <c r="A4882" s="12">
        <f t="shared" ref="A4882:C4882" si="1216">A4881</f>
        <v>45980</v>
      </c>
      <c r="B4882" s="5" t="str">
        <f t="shared" si="1216"/>
        <v>Northern Cardinal</v>
      </c>
      <c r="C4882" s="6">
        <f t="shared" si="1216"/>
        <v>0.29166666666666669</v>
      </c>
      <c r="D4882" s="5"/>
      <c r="E4882" s="5"/>
      <c r="F4882" s="5" t="s">
        <v>8</v>
      </c>
      <c r="G4882" s="15" t="s">
        <v>9</v>
      </c>
      <c r="H4882" s="24">
        <f t="shared" si="1129"/>
        <v>0</v>
      </c>
      <c r="I4882" s="24" cm="1">
        <f t="array" ref="I4882">IFERROR(IF($B4882=I$1, ($A4882+$C4882) - MAX(IF($B$2:$B4881=$B4882, $A$2:$A4881+$C$2:$C4881)), "")*24*60, "")</f>
        <v>0</v>
      </c>
      <c r="J4882" s="24" t="str" cm="1">
        <f t="array" ref="J4882">IFERROR(IF($B4882=J$1, ($A4882+$C4882) - MAX(IF($B$2:$B4881=$B4882, $A$2:$A4881+$C$2:$C4881)), "")*24*60, "")</f>
        <v/>
      </c>
      <c r="K4882" s="24" t="str" cm="1">
        <f t="array" ref="K4882">IFERROR(IF($B4882=K$1, ($A4882+$C4882) - MAX(IF($B$2:$B4881=$B4882, $A$2:$A4881+$C$2:$C4881)), "")*24*60, "")</f>
        <v/>
      </c>
      <c r="L4882" s="24" t="str" cm="1">
        <f t="array" ref="L4882">IFERROR(IF($B4882=L$1, ($A4882+$C4882) - MAX(IF($B$2:$B4881=$B4882, $A$2:$A4881+$C$2:$C4881)), "")*24*60, "")</f>
        <v/>
      </c>
      <c r="M4882" s="24" t="str" cm="1">
        <f t="array" ref="M4882">IFERROR(IF($B4882=M$1, ($A4882+$C4882) - MAX(IF($B$2:$B4881=$B4882, $A$2:$A4881+$C$2:$C4881)), "")*24*60, "")</f>
        <v/>
      </c>
      <c r="N4882" s="24" t="str" cm="1">
        <f t="array" ref="N4882">IFERROR(IF($B4882=N$1, ($A4882+$C4882) - MAX(IF($B$2:$B4881=$B4882, $A$2:$A4881+$C$2:$C4881)), "")*24*60, "")</f>
        <v/>
      </c>
      <c r="O4882" s="24" t="str" cm="1">
        <f t="array" ref="O4882">IFERROR(IF($B4882=O$1, ($A4882+$C4882) - MAX(IF($B$2:$B4881=$B4882, $A$2:$A4881+$C$2:$C4881)), "")*24*60, "")</f>
        <v/>
      </c>
      <c r="P4882" s="24" t="str" cm="1">
        <f t="array" ref="P4882">IFERROR(IF($B4882=P$1, ($A4882+$C4882) - MAX(IF($B$2:$B4881=$B4882, $A$2:$A4881+$C$2:$C4881)), "")*24*60, "")</f>
        <v/>
      </c>
      <c r="Q4882" s="24" t="str" cm="1">
        <f t="array" ref="Q4882">IFERROR(IF($B4882=Q$1, ($A4882+$C4882) - MAX(IF($B$2:$B4881=$B4882, $A$2:$A4881+$C$2:$C4881)), "")*24*60, "")</f>
        <v/>
      </c>
    </row>
    <row r="4883" spans="1:17" x14ac:dyDescent="0.2">
      <c r="A4883" s="12">
        <f t="shared" ref="A4883:C4883" si="1217">A4882</f>
        <v>45980</v>
      </c>
      <c r="B4883" s="5" t="str">
        <f t="shared" si="1217"/>
        <v>Northern Cardinal</v>
      </c>
      <c r="C4883" s="6">
        <f t="shared" si="1217"/>
        <v>0.29166666666666669</v>
      </c>
      <c r="D4883" s="5"/>
      <c r="E4883" s="5"/>
      <c r="F4883" s="5" t="s">
        <v>8</v>
      </c>
      <c r="G4883" s="15" t="s">
        <v>9</v>
      </c>
      <c r="H4883" s="24">
        <f t="shared" si="1129"/>
        <v>0</v>
      </c>
      <c r="I4883" s="24" cm="1">
        <f t="array" ref="I4883">IFERROR(IF($B4883=I$1, ($A4883+$C4883) - MAX(IF($B$2:$B4882=$B4883, $A$2:$A4882+$C$2:$C4882)), "")*24*60, "")</f>
        <v>0</v>
      </c>
      <c r="J4883" s="24" t="str" cm="1">
        <f t="array" ref="J4883">IFERROR(IF($B4883=J$1, ($A4883+$C4883) - MAX(IF($B$2:$B4882=$B4883, $A$2:$A4882+$C$2:$C4882)), "")*24*60, "")</f>
        <v/>
      </c>
      <c r="K4883" s="24" t="str" cm="1">
        <f t="array" ref="K4883">IFERROR(IF($B4883=K$1, ($A4883+$C4883) - MAX(IF($B$2:$B4882=$B4883, $A$2:$A4882+$C$2:$C4882)), "")*24*60, "")</f>
        <v/>
      </c>
      <c r="L4883" s="24" t="str" cm="1">
        <f t="array" ref="L4883">IFERROR(IF($B4883=L$1, ($A4883+$C4883) - MAX(IF($B$2:$B4882=$B4883, $A$2:$A4882+$C$2:$C4882)), "")*24*60, "")</f>
        <v/>
      </c>
      <c r="M4883" s="24" t="str" cm="1">
        <f t="array" ref="M4883">IFERROR(IF($B4883=M$1, ($A4883+$C4883) - MAX(IF($B$2:$B4882=$B4883, $A$2:$A4882+$C$2:$C4882)), "")*24*60, "")</f>
        <v/>
      </c>
      <c r="N4883" s="24" t="str" cm="1">
        <f t="array" ref="N4883">IFERROR(IF($B4883=N$1, ($A4883+$C4883) - MAX(IF($B$2:$B4882=$B4883, $A$2:$A4882+$C$2:$C4882)), "")*24*60, "")</f>
        <v/>
      </c>
      <c r="O4883" s="24" t="str" cm="1">
        <f t="array" ref="O4883">IFERROR(IF($B4883=O$1, ($A4883+$C4883) - MAX(IF($B$2:$B4882=$B4883, $A$2:$A4882+$C$2:$C4882)), "")*24*60, "")</f>
        <v/>
      </c>
      <c r="P4883" s="24" t="str" cm="1">
        <f t="array" ref="P4883">IFERROR(IF($B4883=P$1, ($A4883+$C4883) - MAX(IF($B$2:$B4882=$B4883, $A$2:$A4882+$C$2:$C4882)), "")*24*60, "")</f>
        <v/>
      </c>
      <c r="Q4883" s="24" t="str" cm="1">
        <f t="array" ref="Q4883">IFERROR(IF($B4883=Q$1, ($A4883+$C4883) - MAX(IF($B$2:$B4882=$B4883, $A$2:$A4882+$C$2:$C4882)), "")*24*60, "")</f>
        <v/>
      </c>
    </row>
    <row r="4884" spans="1:17" x14ac:dyDescent="0.2">
      <c r="A4884" s="12">
        <f t="shared" ref="A4884:C4884" si="1218">A4883</f>
        <v>45980</v>
      </c>
      <c r="B4884" s="5" t="str">
        <f t="shared" si="1218"/>
        <v>Northern Cardinal</v>
      </c>
      <c r="C4884" s="6">
        <f t="shared" si="1218"/>
        <v>0.29166666666666669</v>
      </c>
      <c r="D4884" s="5"/>
      <c r="E4884" s="5"/>
      <c r="F4884" s="5" t="s">
        <v>8</v>
      </c>
      <c r="G4884" s="15" t="s">
        <v>9</v>
      </c>
      <c r="H4884" s="24">
        <f t="shared" si="1129"/>
        <v>0</v>
      </c>
      <c r="I4884" s="24" cm="1">
        <f t="array" ref="I4884">IFERROR(IF($B4884=I$1, ($A4884+$C4884) - MAX(IF($B$2:$B4883=$B4884, $A$2:$A4883+$C$2:$C4883)), "")*24*60, "")</f>
        <v>0</v>
      </c>
      <c r="J4884" s="24" t="str" cm="1">
        <f t="array" ref="J4884">IFERROR(IF($B4884=J$1, ($A4884+$C4884) - MAX(IF($B$2:$B4883=$B4884, $A$2:$A4883+$C$2:$C4883)), "")*24*60, "")</f>
        <v/>
      </c>
      <c r="K4884" s="24" t="str" cm="1">
        <f t="array" ref="K4884">IFERROR(IF($B4884=K$1, ($A4884+$C4884) - MAX(IF($B$2:$B4883=$B4884, $A$2:$A4883+$C$2:$C4883)), "")*24*60, "")</f>
        <v/>
      </c>
      <c r="L4884" s="24" t="str" cm="1">
        <f t="array" ref="L4884">IFERROR(IF($B4884=L$1, ($A4884+$C4884) - MAX(IF($B$2:$B4883=$B4884, $A$2:$A4883+$C$2:$C4883)), "")*24*60, "")</f>
        <v/>
      </c>
      <c r="M4884" s="24" t="str" cm="1">
        <f t="array" ref="M4884">IFERROR(IF($B4884=M$1, ($A4884+$C4884) - MAX(IF($B$2:$B4883=$B4884, $A$2:$A4883+$C$2:$C4883)), "")*24*60, "")</f>
        <v/>
      </c>
      <c r="N4884" s="24" t="str" cm="1">
        <f t="array" ref="N4884">IFERROR(IF($B4884=N$1, ($A4884+$C4884) - MAX(IF($B$2:$B4883=$B4884, $A$2:$A4883+$C$2:$C4883)), "")*24*60, "")</f>
        <v/>
      </c>
      <c r="O4884" s="24" t="str" cm="1">
        <f t="array" ref="O4884">IFERROR(IF($B4884=O$1, ($A4884+$C4884) - MAX(IF($B$2:$B4883=$B4884, $A$2:$A4883+$C$2:$C4883)), "")*24*60, "")</f>
        <v/>
      </c>
      <c r="P4884" s="24" t="str" cm="1">
        <f t="array" ref="P4884">IFERROR(IF($B4884=P$1, ($A4884+$C4884) - MAX(IF($B$2:$B4883=$B4884, $A$2:$A4883+$C$2:$C4883)), "")*24*60, "")</f>
        <v/>
      </c>
      <c r="Q4884" s="24" t="str" cm="1">
        <f t="array" ref="Q4884">IFERROR(IF($B4884=Q$1, ($A4884+$C4884) - MAX(IF($B$2:$B4883=$B4884, $A$2:$A4883+$C$2:$C4883)), "")*24*60, "")</f>
        <v/>
      </c>
    </row>
    <row r="4885" spans="1:17" x14ac:dyDescent="0.2">
      <c r="A4885" s="12">
        <f t="shared" ref="A4885:C4885" si="1219">A4884</f>
        <v>45980</v>
      </c>
      <c r="B4885" s="5" t="str">
        <f t="shared" si="1219"/>
        <v>Northern Cardinal</v>
      </c>
      <c r="C4885" s="6">
        <f t="shared" si="1219"/>
        <v>0.29166666666666669</v>
      </c>
      <c r="D4885" s="5"/>
      <c r="E4885" s="5"/>
      <c r="F4885" s="5" t="s">
        <v>8</v>
      </c>
      <c r="G4885" s="15" t="s">
        <v>9</v>
      </c>
      <c r="H4885" s="24">
        <f t="shared" si="1129"/>
        <v>0</v>
      </c>
      <c r="I4885" s="24" cm="1">
        <f t="array" ref="I4885">IFERROR(IF($B4885=I$1, ($A4885+$C4885) - MAX(IF($B$2:$B4884=$B4885, $A$2:$A4884+$C$2:$C4884)), "")*24*60, "")</f>
        <v>0</v>
      </c>
      <c r="J4885" s="24" t="str" cm="1">
        <f t="array" ref="J4885">IFERROR(IF($B4885=J$1, ($A4885+$C4885) - MAX(IF($B$2:$B4884=$B4885, $A$2:$A4884+$C$2:$C4884)), "")*24*60, "")</f>
        <v/>
      </c>
      <c r="K4885" s="24" t="str" cm="1">
        <f t="array" ref="K4885">IFERROR(IF($B4885=K$1, ($A4885+$C4885) - MAX(IF($B$2:$B4884=$B4885, $A$2:$A4884+$C$2:$C4884)), "")*24*60, "")</f>
        <v/>
      </c>
      <c r="L4885" s="24" t="str" cm="1">
        <f t="array" ref="L4885">IFERROR(IF($B4885=L$1, ($A4885+$C4885) - MAX(IF($B$2:$B4884=$B4885, $A$2:$A4884+$C$2:$C4884)), "")*24*60, "")</f>
        <v/>
      </c>
      <c r="M4885" s="24" t="str" cm="1">
        <f t="array" ref="M4885">IFERROR(IF($B4885=M$1, ($A4885+$C4885) - MAX(IF($B$2:$B4884=$B4885, $A$2:$A4884+$C$2:$C4884)), "")*24*60, "")</f>
        <v/>
      </c>
      <c r="N4885" s="24" t="str" cm="1">
        <f t="array" ref="N4885">IFERROR(IF($B4885=N$1, ($A4885+$C4885) - MAX(IF($B$2:$B4884=$B4885, $A$2:$A4884+$C$2:$C4884)), "")*24*60, "")</f>
        <v/>
      </c>
      <c r="O4885" s="24" t="str" cm="1">
        <f t="array" ref="O4885">IFERROR(IF($B4885=O$1, ($A4885+$C4885) - MAX(IF($B$2:$B4884=$B4885, $A$2:$A4884+$C$2:$C4884)), "")*24*60, "")</f>
        <v/>
      </c>
      <c r="P4885" s="24" t="str" cm="1">
        <f t="array" ref="P4885">IFERROR(IF($B4885=P$1, ($A4885+$C4885) - MAX(IF($B$2:$B4884=$B4885, $A$2:$A4884+$C$2:$C4884)), "")*24*60, "")</f>
        <v/>
      </c>
      <c r="Q4885" s="24" t="str" cm="1">
        <f t="array" ref="Q4885">IFERROR(IF($B4885=Q$1, ($A4885+$C4885) - MAX(IF($B$2:$B4884=$B4885, $A$2:$A4884+$C$2:$C4884)), "")*24*60, "")</f>
        <v/>
      </c>
    </row>
    <row r="4886" spans="1:17" x14ac:dyDescent="0.2">
      <c r="A4886" s="12">
        <f t="shared" ref="A4886:C4886" si="1220">A4885</f>
        <v>45980</v>
      </c>
      <c r="B4886" s="5" t="str">
        <f t="shared" si="1220"/>
        <v>Northern Cardinal</v>
      </c>
      <c r="C4886" s="6">
        <f t="shared" si="1220"/>
        <v>0.29166666666666669</v>
      </c>
      <c r="D4886" s="5"/>
      <c r="E4886" s="5"/>
      <c r="F4886" s="5" t="s">
        <v>8</v>
      </c>
      <c r="G4886" s="15" t="s">
        <v>9</v>
      </c>
      <c r="H4886" s="24">
        <f t="shared" si="1129"/>
        <v>0</v>
      </c>
      <c r="I4886" s="24" cm="1">
        <f t="array" ref="I4886">IFERROR(IF($B4886=I$1, ($A4886+$C4886) - MAX(IF($B$2:$B4885=$B4886, $A$2:$A4885+$C$2:$C4885)), "")*24*60, "")</f>
        <v>0</v>
      </c>
      <c r="J4886" s="24" t="str" cm="1">
        <f t="array" ref="J4886">IFERROR(IF($B4886=J$1, ($A4886+$C4886) - MAX(IF($B$2:$B4885=$B4886, $A$2:$A4885+$C$2:$C4885)), "")*24*60, "")</f>
        <v/>
      </c>
      <c r="K4886" s="24" t="str" cm="1">
        <f t="array" ref="K4886">IFERROR(IF($B4886=K$1, ($A4886+$C4886) - MAX(IF($B$2:$B4885=$B4886, $A$2:$A4885+$C$2:$C4885)), "")*24*60, "")</f>
        <v/>
      </c>
      <c r="L4886" s="24" t="str" cm="1">
        <f t="array" ref="L4886">IFERROR(IF($B4886=L$1, ($A4886+$C4886) - MAX(IF($B$2:$B4885=$B4886, $A$2:$A4885+$C$2:$C4885)), "")*24*60, "")</f>
        <v/>
      </c>
      <c r="M4886" s="24" t="str" cm="1">
        <f t="array" ref="M4886">IFERROR(IF($B4886=M$1, ($A4886+$C4886) - MAX(IF($B$2:$B4885=$B4886, $A$2:$A4885+$C$2:$C4885)), "")*24*60, "")</f>
        <v/>
      </c>
      <c r="N4886" s="24" t="str" cm="1">
        <f t="array" ref="N4886">IFERROR(IF($B4886=N$1, ($A4886+$C4886) - MAX(IF($B$2:$B4885=$B4886, $A$2:$A4885+$C$2:$C4885)), "")*24*60, "")</f>
        <v/>
      </c>
      <c r="O4886" s="24" t="str" cm="1">
        <f t="array" ref="O4886">IFERROR(IF($B4886=O$1, ($A4886+$C4886) - MAX(IF($B$2:$B4885=$B4886, $A$2:$A4885+$C$2:$C4885)), "")*24*60, "")</f>
        <v/>
      </c>
      <c r="P4886" s="24" t="str" cm="1">
        <f t="array" ref="P4886">IFERROR(IF($B4886=P$1, ($A4886+$C4886) - MAX(IF($B$2:$B4885=$B4886, $A$2:$A4885+$C$2:$C4885)), "")*24*60, "")</f>
        <v/>
      </c>
      <c r="Q4886" s="24" t="str" cm="1">
        <f t="array" ref="Q4886">IFERROR(IF($B4886=Q$1, ($A4886+$C4886) - MAX(IF($B$2:$B4885=$B4886, $A$2:$A4885+$C$2:$C4885)), "")*24*60, "")</f>
        <v/>
      </c>
    </row>
    <row r="4887" spans="1:17" x14ac:dyDescent="0.2">
      <c r="A4887" s="12">
        <f t="shared" ref="A4887:C4887" si="1221">A4886</f>
        <v>45980</v>
      </c>
      <c r="B4887" s="5" t="str">
        <f t="shared" si="1221"/>
        <v>Northern Cardinal</v>
      </c>
      <c r="C4887" s="6">
        <f t="shared" si="1221"/>
        <v>0.29166666666666669</v>
      </c>
      <c r="D4887" s="5"/>
      <c r="E4887" s="5"/>
      <c r="F4887" s="5" t="s">
        <v>8</v>
      </c>
      <c r="G4887" s="15" t="s">
        <v>9</v>
      </c>
      <c r="H4887" s="24">
        <f t="shared" si="1129"/>
        <v>0</v>
      </c>
      <c r="I4887" s="24" cm="1">
        <f t="array" ref="I4887">IFERROR(IF($B4887=I$1, ($A4887+$C4887) - MAX(IF($B$2:$B4886=$B4887, $A$2:$A4886+$C$2:$C4886)), "")*24*60, "")</f>
        <v>0</v>
      </c>
      <c r="J4887" s="24" t="str" cm="1">
        <f t="array" ref="J4887">IFERROR(IF($B4887=J$1, ($A4887+$C4887) - MAX(IF($B$2:$B4886=$B4887, $A$2:$A4886+$C$2:$C4886)), "")*24*60, "")</f>
        <v/>
      </c>
      <c r="K4887" s="24" t="str" cm="1">
        <f t="array" ref="K4887">IFERROR(IF($B4887=K$1, ($A4887+$C4887) - MAX(IF($B$2:$B4886=$B4887, $A$2:$A4886+$C$2:$C4886)), "")*24*60, "")</f>
        <v/>
      </c>
      <c r="L4887" s="24" t="str" cm="1">
        <f t="array" ref="L4887">IFERROR(IF($B4887=L$1, ($A4887+$C4887) - MAX(IF($B$2:$B4886=$B4887, $A$2:$A4886+$C$2:$C4886)), "")*24*60, "")</f>
        <v/>
      </c>
      <c r="M4887" s="24" t="str" cm="1">
        <f t="array" ref="M4887">IFERROR(IF($B4887=M$1, ($A4887+$C4887) - MAX(IF($B$2:$B4886=$B4887, $A$2:$A4886+$C$2:$C4886)), "")*24*60, "")</f>
        <v/>
      </c>
      <c r="N4887" s="24" t="str" cm="1">
        <f t="array" ref="N4887">IFERROR(IF($B4887=N$1, ($A4887+$C4887) - MAX(IF($B$2:$B4886=$B4887, $A$2:$A4886+$C$2:$C4886)), "")*24*60, "")</f>
        <v/>
      </c>
      <c r="O4887" s="24" t="str" cm="1">
        <f t="array" ref="O4887">IFERROR(IF($B4887=O$1, ($A4887+$C4887) - MAX(IF($B$2:$B4886=$B4887, $A$2:$A4886+$C$2:$C4886)), "")*24*60, "")</f>
        <v/>
      </c>
      <c r="P4887" s="24" t="str" cm="1">
        <f t="array" ref="P4887">IFERROR(IF($B4887=P$1, ($A4887+$C4887) - MAX(IF($B$2:$B4886=$B4887, $A$2:$A4886+$C$2:$C4886)), "")*24*60, "")</f>
        <v/>
      </c>
      <c r="Q4887" s="24" t="str" cm="1">
        <f t="array" ref="Q4887">IFERROR(IF($B4887=Q$1, ($A4887+$C4887) - MAX(IF($B$2:$B4886=$B4887, $A$2:$A4886+$C$2:$C4886)), "")*24*60, "")</f>
        <v/>
      </c>
    </row>
    <row r="4888" spans="1:17" x14ac:dyDescent="0.2">
      <c r="A4888" s="12">
        <f t="shared" ref="A4888:C4888" si="1222">A4887</f>
        <v>45980</v>
      </c>
      <c r="B4888" s="5" t="str">
        <f t="shared" si="1222"/>
        <v>Northern Cardinal</v>
      </c>
      <c r="C4888" s="6">
        <f t="shared" si="1222"/>
        <v>0.29166666666666669</v>
      </c>
      <c r="D4888" s="5"/>
      <c r="E4888" s="5"/>
      <c r="F4888" s="5" t="s">
        <v>8</v>
      </c>
      <c r="G4888" s="15" t="s">
        <v>9</v>
      </c>
      <c r="H4888" s="24">
        <f t="shared" si="1129"/>
        <v>0</v>
      </c>
      <c r="I4888" s="24" cm="1">
        <f t="array" ref="I4888">IFERROR(IF($B4888=I$1, ($A4888+$C4888) - MAX(IF($B$2:$B4887=$B4888, $A$2:$A4887+$C$2:$C4887)), "")*24*60, "")</f>
        <v>0</v>
      </c>
      <c r="J4888" s="24" t="str" cm="1">
        <f t="array" ref="J4888">IFERROR(IF($B4888=J$1, ($A4888+$C4888) - MAX(IF($B$2:$B4887=$B4888, $A$2:$A4887+$C$2:$C4887)), "")*24*60, "")</f>
        <v/>
      </c>
      <c r="K4888" s="24" t="str" cm="1">
        <f t="array" ref="K4888">IFERROR(IF($B4888=K$1, ($A4888+$C4888) - MAX(IF($B$2:$B4887=$B4888, $A$2:$A4887+$C$2:$C4887)), "")*24*60, "")</f>
        <v/>
      </c>
      <c r="L4888" s="24" t="str" cm="1">
        <f t="array" ref="L4888">IFERROR(IF($B4888=L$1, ($A4888+$C4888) - MAX(IF($B$2:$B4887=$B4888, $A$2:$A4887+$C$2:$C4887)), "")*24*60, "")</f>
        <v/>
      </c>
      <c r="M4888" s="24" t="str" cm="1">
        <f t="array" ref="M4888">IFERROR(IF($B4888=M$1, ($A4888+$C4888) - MAX(IF($B$2:$B4887=$B4888, $A$2:$A4887+$C$2:$C4887)), "")*24*60, "")</f>
        <v/>
      </c>
      <c r="N4888" s="24" t="str" cm="1">
        <f t="array" ref="N4888">IFERROR(IF($B4888=N$1, ($A4888+$C4888) - MAX(IF($B$2:$B4887=$B4888, $A$2:$A4887+$C$2:$C4887)), "")*24*60, "")</f>
        <v/>
      </c>
      <c r="O4888" s="24" t="str" cm="1">
        <f t="array" ref="O4888">IFERROR(IF($B4888=O$1, ($A4888+$C4888) - MAX(IF($B$2:$B4887=$B4888, $A$2:$A4887+$C$2:$C4887)), "")*24*60, "")</f>
        <v/>
      </c>
      <c r="P4888" s="24" t="str" cm="1">
        <f t="array" ref="P4888">IFERROR(IF($B4888=P$1, ($A4888+$C4888) - MAX(IF($B$2:$B4887=$B4888, $A$2:$A4887+$C$2:$C4887)), "")*24*60, "")</f>
        <v/>
      </c>
      <c r="Q4888" s="24" t="str" cm="1">
        <f t="array" ref="Q4888">IFERROR(IF($B4888=Q$1, ($A4888+$C4888) - MAX(IF($B$2:$B4887=$B4888, $A$2:$A4887+$C$2:$C4887)), "")*24*60, "")</f>
        <v/>
      </c>
    </row>
    <row r="4889" spans="1:17" x14ac:dyDescent="0.2">
      <c r="A4889" s="12">
        <f t="shared" ref="A4889:C4889" si="1223">A4888</f>
        <v>45980</v>
      </c>
      <c r="B4889" s="5" t="str">
        <f t="shared" si="1223"/>
        <v>Northern Cardinal</v>
      </c>
      <c r="C4889" s="6">
        <f t="shared" si="1223"/>
        <v>0.29166666666666669</v>
      </c>
      <c r="D4889" s="5"/>
      <c r="E4889" s="5"/>
      <c r="F4889" s="5" t="s">
        <v>8</v>
      </c>
      <c r="G4889" s="15" t="s">
        <v>9</v>
      </c>
      <c r="H4889" s="24">
        <f t="shared" si="1129"/>
        <v>0</v>
      </c>
      <c r="I4889" s="24" cm="1">
        <f t="array" ref="I4889">IFERROR(IF($B4889=I$1, ($A4889+$C4889) - MAX(IF($B$2:$B4888=$B4889, $A$2:$A4888+$C$2:$C4888)), "")*24*60, "")</f>
        <v>0</v>
      </c>
      <c r="J4889" s="24" t="str" cm="1">
        <f t="array" ref="J4889">IFERROR(IF($B4889=J$1, ($A4889+$C4889) - MAX(IF($B$2:$B4888=$B4889, $A$2:$A4888+$C$2:$C4888)), "")*24*60, "")</f>
        <v/>
      </c>
      <c r="K4889" s="24" t="str" cm="1">
        <f t="array" ref="K4889">IFERROR(IF($B4889=K$1, ($A4889+$C4889) - MAX(IF($B$2:$B4888=$B4889, $A$2:$A4888+$C$2:$C4888)), "")*24*60, "")</f>
        <v/>
      </c>
      <c r="L4889" s="24" t="str" cm="1">
        <f t="array" ref="L4889">IFERROR(IF($B4889=L$1, ($A4889+$C4889) - MAX(IF($B$2:$B4888=$B4889, $A$2:$A4888+$C$2:$C4888)), "")*24*60, "")</f>
        <v/>
      </c>
      <c r="M4889" s="24" t="str" cm="1">
        <f t="array" ref="M4889">IFERROR(IF($B4889=M$1, ($A4889+$C4889) - MAX(IF($B$2:$B4888=$B4889, $A$2:$A4888+$C$2:$C4888)), "")*24*60, "")</f>
        <v/>
      </c>
      <c r="N4889" s="24" t="str" cm="1">
        <f t="array" ref="N4889">IFERROR(IF($B4889=N$1, ($A4889+$C4889) - MAX(IF($B$2:$B4888=$B4889, $A$2:$A4888+$C$2:$C4888)), "")*24*60, "")</f>
        <v/>
      </c>
      <c r="O4889" s="24" t="str" cm="1">
        <f t="array" ref="O4889">IFERROR(IF($B4889=O$1, ($A4889+$C4889) - MAX(IF($B$2:$B4888=$B4889, $A$2:$A4888+$C$2:$C4888)), "")*24*60, "")</f>
        <v/>
      </c>
      <c r="P4889" s="24" t="str" cm="1">
        <f t="array" ref="P4889">IFERROR(IF($B4889=P$1, ($A4889+$C4889) - MAX(IF($B$2:$B4888=$B4889, $A$2:$A4888+$C$2:$C4888)), "")*24*60, "")</f>
        <v/>
      </c>
      <c r="Q4889" s="24" t="str" cm="1">
        <f t="array" ref="Q4889">IFERROR(IF($B4889=Q$1, ($A4889+$C4889) - MAX(IF($B$2:$B4888=$B4889, $A$2:$A4888+$C$2:$C4888)), "")*24*60, "")</f>
        <v/>
      </c>
    </row>
    <row r="4890" spans="1:17" x14ac:dyDescent="0.2">
      <c r="A4890" s="12">
        <f t="shared" ref="A4890:C4890" si="1224">A4889</f>
        <v>45980</v>
      </c>
      <c r="B4890" s="5" t="str">
        <f t="shared" si="1224"/>
        <v>Northern Cardinal</v>
      </c>
      <c r="C4890" s="6">
        <f t="shared" si="1224"/>
        <v>0.29166666666666669</v>
      </c>
      <c r="D4890" s="5"/>
      <c r="E4890" s="5"/>
      <c r="F4890" s="5" t="s">
        <v>8</v>
      </c>
      <c r="G4890" s="15" t="s">
        <v>9</v>
      </c>
      <c r="H4890" s="24">
        <f t="shared" si="1129"/>
        <v>0</v>
      </c>
      <c r="I4890" s="24" cm="1">
        <f t="array" ref="I4890">IFERROR(IF($B4890=I$1, ($A4890+$C4890) - MAX(IF($B$2:$B4889=$B4890, $A$2:$A4889+$C$2:$C4889)), "")*24*60, "")</f>
        <v>0</v>
      </c>
      <c r="J4890" s="24" t="str" cm="1">
        <f t="array" ref="J4890">IFERROR(IF($B4890=J$1, ($A4890+$C4890) - MAX(IF($B$2:$B4889=$B4890, $A$2:$A4889+$C$2:$C4889)), "")*24*60, "")</f>
        <v/>
      </c>
      <c r="K4890" s="24" t="str" cm="1">
        <f t="array" ref="K4890">IFERROR(IF($B4890=K$1, ($A4890+$C4890) - MAX(IF($B$2:$B4889=$B4890, $A$2:$A4889+$C$2:$C4889)), "")*24*60, "")</f>
        <v/>
      </c>
      <c r="L4890" s="24" t="str" cm="1">
        <f t="array" ref="L4890">IFERROR(IF($B4890=L$1, ($A4890+$C4890) - MAX(IF($B$2:$B4889=$B4890, $A$2:$A4889+$C$2:$C4889)), "")*24*60, "")</f>
        <v/>
      </c>
      <c r="M4890" s="24" t="str" cm="1">
        <f t="array" ref="M4890">IFERROR(IF($B4890=M$1, ($A4890+$C4890) - MAX(IF($B$2:$B4889=$B4890, $A$2:$A4889+$C$2:$C4889)), "")*24*60, "")</f>
        <v/>
      </c>
      <c r="N4890" s="24" t="str" cm="1">
        <f t="array" ref="N4890">IFERROR(IF($B4890=N$1, ($A4890+$C4890) - MAX(IF($B$2:$B4889=$B4890, $A$2:$A4889+$C$2:$C4889)), "")*24*60, "")</f>
        <v/>
      </c>
      <c r="O4890" s="24" t="str" cm="1">
        <f t="array" ref="O4890">IFERROR(IF($B4890=O$1, ($A4890+$C4890) - MAX(IF($B$2:$B4889=$B4890, $A$2:$A4889+$C$2:$C4889)), "")*24*60, "")</f>
        <v/>
      </c>
      <c r="P4890" s="24" t="str" cm="1">
        <f t="array" ref="P4890">IFERROR(IF($B4890=P$1, ($A4890+$C4890) - MAX(IF($B$2:$B4889=$B4890, $A$2:$A4889+$C$2:$C4889)), "")*24*60, "")</f>
        <v/>
      </c>
      <c r="Q4890" s="24" t="str" cm="1">
        <f t="array" ref="Q4890">IFERROR(IF($B4890=Q$1, ($A4890+$C4890) - MAX(IF($B$2:$B4889=$B4890, $A$2:$A4889+$C$2:$C4889)), "")*24*60, "")</f>
        <v/>
      </c>
    </row>
    <row r="4891" spans="1:17" x14ac:dyDescent="0.2">
      <c r="A4891" s="12">
        <f t="shared" ref="A4891:C4891" si="1225">A4890</f>
        <v>45980</v>
      </c>
      <c r="B4891" s="5" t="str">
        <f t="shared" si="1225"/>
        <v>Northern Cardinal</v>
      </c>
      <c r="C4891" s="6">
        <f t="shared" si="1225"/>
        <v>0.29166666666666669</v>
      </c>
      <c r="D4891" s="5"/>
      <c r="E4891" s="5"/>
      <c r="F4891" s="5" t="s">
        <v>8</v>
      </c>
      <c r="G4891" s="15" t="s">
        <v>9</v>
      </c>
      <c r="H4891" s="24">
        <f t="shared" si="1129"/>
        <v>0</v>
      </c>
      <c r="I4891" s="24" cm="1">
        <f t="array" ref="I4891">IFERROR(IF($B4891=I$1, ($A4891+$C4891) - MAX(IF($B$2:$B4890=$B4891, $A$2:$A4890+$C$2:$C4890)), "")*24*60, "")</f>
        <v>0</v>
      </c>
      <c r="J4891" s="24" t="str" cm="1">
        <f t="array" ref="J4891">IFERROR(IF($B4891=J$1, ($A4891+$C4891) - MAX(IF($B$2:$B4890=$B4891, $A$2:$A4890+$C$2:$C4890)), "")*24*60, "")</f>
        <v/>
      </c>
      <c r="K4891" s="24" t="str" cm="1">
        <f t="array" ref="K4891">IFERROR(IF($B4891=K$1, ($A4891+$C4891) - MAX(IF($B$2:$B4890=$B4891, $A$2:$A4890+$C$2:$C4890)), "")*24*60, "")</f>
        <v/>
      </c>
      <c r="L4891" s="24" t="str" cm="1">
        <f t="array" ref="L4891">IFERROR(IF($B4891=L$1, ($A4891+$C4891) - MAX(IF($B$2:$B4890=$B4891, $A$2:$A4890+$C$2:$C4890)), "")*24*60, "")</f>
        <v/>
      </c>
      <c r="M4891" s="24" t="str" cm="1">
        <f t="array" ref="M4891">IFERROR(IF($B4891=M$1, ($A4891+$C4891) - MAX(IF($B$2:$B4890=$B4891, $A$2:$A4890+$C$2:$C4890)), "")*24*60, "")</f>
        <v/>
      </c>
      <c r="N4891" s="24" t="str" cm="1">
        <f t="array" ref="N4891">IFERROR(IF($B4891=N$1, ($A4891+$C4891) - MAX(IF($B$2:$B4890=$B4891, $A$2:$A4890+$C$2:$C4890)), "")*24*60, "")</f>
        <v/>
      </c>
      <c r="O4891" s="24" t="str" cm="1">
        <f t="array" ref="O4891">IFERROR(IF($B4891=O$1, ($A4891+$C4891) - MAX(IF($B$2:$B4890=$B4891, $A$2:$A4890+$C$2:$C4890)), "")*24*60, "")</f>
        <v/>
      </c>
      <c r="P4891" s="24" t="str" cm="1">
        <f t="array" ref="P4891">IFERROR(IF($B4891=P$1, ($A4891+$C4891) - MAX(IF($B$2:$B4890=$B4891, $A$2:$A4890+$C$2:$C4890)), "")*24*60, "")</f>
        <v/>
      </c>
      <c r="Q4891" s="24" t="str" cm="1">
        <f t="array" ref="Q4891">IFERROR(IF($B4891=Q$1, ($A4891+$C4891) - MAX(IF($B$2:$B4890=$B4891, $A$2:$A4890+$C$2:$C4890)), "")*24*60, "")</f>
        <v/>
      </c>
    </row>
    <row r="4892" spans="1:17" x14ac:dyDescent="0.2">
      <c r="A4892" s="12">
        <f t="shared" ref="A4892:C4892" si="1226">A4891</f>
        <v>45980</v>
      </c>
      <c r="B4892" s="5" t="str">
        <f t="shared" si="1226"/>
        <v>Northern Cardinal</v>
      </c>
      <c r="C4892" s="6">
        <f t="shared" si="1226"/>
        <v>0.29166666666666669</v>
      </c>
      <c r="D4892" s="5"/>
      <c r="E4892" s="5"/>
      <c r="F4892" s="5" t="s">
        <v>8</v>
      </c>
      <c r="G4892" s="15" t="s">
        <v>9</v>
      </c>
      <c r="H4892" s="24">
        <f t="shared" si="1129"/>
        <v>0</v>
      </c>
      <c r="I4892" s="24" cm="1">
        <f t="array" ref="I4892">IFERROR(IF($B4892=I$1, ($A4892+$C4892) - MAX(IF($B$2:$B4891=$B4892, $A$2:$A4891+$C$2:$C4891)), "")*24*60, "")</f>
        <v>0</v>
      </c>
      <c r="J4892" s="24" t="str" cm="1">
        <f t="array" ref="J4892">IFERROR(IF($B4892=J$1, ($A4892+$C4892) - MAX(IF($B$2:$B4891=$B4892, $A$2:$A4891+$C$2:$C4891)), "")*24*60, "")</f>
        <v/>
      </c>
      <c r="K4892" s="24" t="str" cm="1">
        <f t="array" ref="K4892">IFERROR(IF($B4892=K$1, ($A4892+$C4892) - MAX(IF($B$2:$B4891=$B4892, $A$2:$A4891+$C$2:$C4891)), "")*24*60, "")</f>
        <v/>
      </c>
      <c r="L4892" s="24" t="str" cm="1">
        <f t="array" ref="L4892">IFERROR(IF($B4892=L$1, ($A4892+$C4892) - MAX(IF($B$2:$B4891=$B4892, $A$2:$A4891+$C$2:$C4891)), "")*24*60, "")</f>
        <v/>
      </c>
      <c r="M4892" s="24" t="str" cm="1">
        <f t="array" ref="M4892">IFERROR(IF($B4892=M$1, ($A4892+$C4892) - MAX(IF($B$2:$B4891=$B4892, $A$2:$A4891+$C$2:$C4891)), "")*24*60, "")</f>
        <v/>
      </c>
      <c r="N4892" s="24" t="str" cm="1">
        <f t="array" ref="N4892">IFERROR(IF($B4892=N$1, ($A4892+$C4892) - MAX(IF($B$2:$B4891=$B4892, $A$2:$A4891+$C$2:$C4891)), "")*24*60, "")</f>
        <v/>
      </c>
      <c r="O4892" s="24" t="str" cm="1">
        <f t="array" ref="O4892">IFERROR(IF($B4892=O$1, ($A4892+$C4892) - MAX(IF($B$2:$B4891=$B4892, $A$2:$A4891+$C$2:$C4891)), "")*24*60, "")</f>
        <v/>
      </c>
      <c r="P4892" s="24" t="str" cm="1">
        <f t="array" ref="P4892">IFERROR(IF($B4892=P$1, ($A4892+$C4892) - MAX(IF($B$2:$B4891=$B4892, $A$2:$A4891+$C$2:$C4891)), "")*24*60, "")</f>
        <v/>
      </c>
      <c r="Q4892" s="24" t="str" cm="1">
        <f t="array" ref="Q4892">IFERROR(IF($B4892=Q$1, ($A4892+$C4892) - MAX(IF($B$2:$B4891=$B4892, $A$2:$A4891+$C$2:$C4891)), "")*24*60, "")</f>
        <v/>
      </c>
    </row>
    <row r="4893" spans="1:17" x14ac:dyDescent="0.2">
      <c r="A4893" s="12">
        <f t="shared" ref="A4893:C4893" si="1227">A4892</f>
        <v>45980</v>
      </c>
      <c r="B4893" s="5" t="str">
        <f t="shared" si="1227"/>
        <v>Northern Cardinal</v>
      </c>
      <c r="C4893" s="6">
        <f t="shared" si="1227"/>
        <v>0.29166666666666669</v>
      </c>
      <c r="D4893" s="5"/>
      <c r="E4893" s="5"/>
      <c r="F4893" s="5" t="s">
        <v>8</v>
      </c>
      <c r="G4893" s="15" t="s">
        <v>9</v>
      </c>
      <c r="H4893" s="24">
        <f t="shared" si="1129"/>
        <v>0</v>
      </c>
      <c r="I4893" s="24" cm="1">
        <f t="array" ref="I4893">IFERROR(IF($B4893=I$1, ($A4893+$C4893) - MAX(IF($B$2:$B4892=$B4893, $A$2:$A4892+$C$2:$C4892)), "")*24*60, "")</f>
        <v>0</v>
      </c>
      <c r="J4893" s="24" t="str" cm="1">
        <f t="array" ref="J4893">IFERROR(IF($B4893=J$1, ($A4893+$C4893) - MAX(IF($B$2:$B4892=$B4893, $A$2:$A4892+$C$2:$C4892)), "")*24*60, "")</f>
        <v/>
      </c>
      <c r="K4893" s="24" t="str" cm="1">
        <f t="array" ref="K4893">IFERROR(IF($B4893=K$1, ($A4893+$C4893) - MAX(IF($B$2:$B4892=$B4893, $A$2:$A4892+$C$2:$C4892)), "")*24*60, "")</f>
        <v/>
      </c>
      <c r="L4893" s="24" t="str" cm="1">
        <f t="array" ref="L4893">IFERROR(IF($B4893=L$1, ($A4893+$C4893) - MAX(IF($B$2:$B4892=$B4893, $A$2:$A4892+$C$2:$C4892)), "")*24*60, "")</f>
        <v/>
      </c>
      <c r="M4893" s="24" t="str" cm="1">
        <f t="array" ref="M4893">IFERROR(IF($B4893=M$1, ($A4893+$C4893) - MAX(IF($B$2:$B4892=$B4893, $A$2:$A4892+$C$2:$C4892)), "")*24*60, "")</f>
        <v/>
      </c>
      <c r="N4893" s="24" t="str" cm="1">
        <f t="array" ref="N4893">IFERROR(IF($B4893=N$1, ($A4893+$C4893) - MAX(IF($B$2:$B4892=$B4893, $A$2:$A4892+$C$2:$C4892)), "")*24*60, "")</f>
        <v/>
      </c>
      <c r="O4893" s="24" t="str" cm="1">
        <f t="array" ref="O4893">IFERROR(IF($B4893=O$1, ($A4893+$C4893) - MAX(IF($B$2:$B4892=$B4893, $A$2:$A4892+$C$2:$C4892)), "")*24*60, "")</f>
        <v/>
      </c>
      <c r="P4893" s="24" t="str" cm="1">
        <f t="array" ref="P4893">IFERROR(IF($B4893=P$1, ($A4893+$C4893) - MAX(IF($B$2:$B4892=$B4893, $A$2:$A4892+$C$2:$C4892)), "")*24*60, "")</f>
        <v/>
      </c>
      <c r="Q4893" s="24" t="str" cm="1">
        <f t="array" ref="Q4893">IFERROR(IF($B4893=Q$1, ($A4893+$C4893) - MAX(IF($B$2:$B4892=$B4893, $A$2:$A4892+$C$2:$C4892)), "")*24*60, "")</f>
        <v/>
      </c>
    </row>
    <row r="4894" spans="1:17" x14ac:dyDescent="0.2">
      <c r="A4894" s="12">
        <f t="shared" ref="A4894:C4894" si="1228">A4893</f>
        <v>45980</v>
      </c>
      <c r="B4894" s="5" t="str">
        <f t="shared" si="1228"/>
        <v>Northern Cardinal</v>
      </c>
      <c r="C4894" s="6">
        <f t="shared" si="1228"/>
        <v>0.29166666666666669</v>
      </c>
      <c r="D4894" s="5"/>
      <c r="E4894" s="5"/>
      <c r="F4894" s="5" t="s">
        <v>8</v>
      </c>
      <c r="G4894" s="15" t="s">
        <v>9</v>
      </c>
      <c r="H4894" s="24">
        <f t="shared" si="1129"/>
        <v>0</v>
      </c>
      <c r="I4894" s="24" cm="1">
        <f t="array" ref="I4894">IFERROR(IF($B4894=I$1, ($A4894+$C4894) - MAX(IF($B$2:$B4893=$B4894, $A$2:$A4893+$C$2:$C4893)), "")*24*60, "")</f>
        <v>0</v>
      </c>
      <c r="J4894" s="24" t="str" cm="1">
        <f t="array" ref="J4894">IFERROR(IF($B4894=J$1, ($A4894+$C4894) - MAX(IF($B$2:$B4893=$B4894, $A$2:$A4893+$C$2:$C4893)), "")*24*60, "")</f>
        <v/>
      </c>
      <c r="K4894" s="24" t="str" cm="1">
        <f t="array" ref="K4894">IFERROR(IF($B4894=K$1, ($A4894+$C4894) - MAX(IF($B$2:$B4893=$B4894, $A$2:$A4893+$C$2:$C4893)), "")*24*60, "")</f>
        <v/>
      </c>
      <c r="L4894" s="24" t="str" cm="1">
        <f t="array" ref="L4894">IFERROR(IF($B4894=L$1, ($A4894+$C4894) - MAX(IF($B$2:$B4893=$B4894, $A$2:$A4893+$C$2:$C4893)), "")*24*60, "")</f>
        <v/>
      </c>
      <c r="M4894" s="24" t="str" cm="1">
        <f t="array" ref="M4894">IFERROR(IF($B4894=M$1, ($A4894+$C4894) - MAX(IF($B$2:$B4893=$B4894, $A$2:$A4893+$C$2:$C4893)), "")*24*60, "")</f>
        <v/>
      </c>
      <c r="N4894" s="24" t="str" cm="1">
        <f t="array" ref="N4894">IFERROR(IF($B4894=N$1, ($A4894+$C4894) - MAX(IF($B$2:$B4893=$B4894, $A$2:$A4893+$C$2:$C4893)), "")*24*60, "")</f>
        <v/>
      </c>
      <c r="O4894" s="24" t="str" cm="1">
        <f t="array" ref="O4894">IFERROR(IF($B4894=O$1, ($A4894+$C4894) - MAX(IF($B$2:$B4893=$B4894, $A$2:$A4893+$C$2:$C4893)), "")*24*60, "")</f>
        <v/>
      </c>
      <c r="P4894" s="24" t="str" cm="1">
        <f t="array" ref="P4894">IFERROR(IF($B4894=P$1, ($A4894+$C4894) - MAX(IF($B$2:$B4893=$B4894, $A$2:$A4893+$C$2:$C4893)), "")*24*60, "")</f>
        <v/>
      </c>
      <c r="Q4894" s="24" t="str" cm="1">
        <f t="array" ref="Q4894">IFERROR(IF($B4894=Q$1, ($A4894+$C4894) - MAX(IF($B$2:$B4893=$B4894, $A$2:$A4893+$C$2:$C4893)), "")*24*60, "")</f>
        <v/>
      </c>
    </row>
    <row r="4895" spans="1:17" x14ac:dyDescent="0.2">
      <c r="A4895" s="12">
        <f t="shared" ref="A4895:C4895" si="1229">A4894</f>
        <v>45980</v>
      </c>
      <c r="B4895" s="5" t="str">
        <f t="shared" si="1229"/>
        <v>Northern Cardinal</v>
      </c>
      <c r="C4895" s="6">
        <f t="shared" si="1229"/>
        <v>0.29166666666666669</v>
      </c>
      <c r="D4895" s="5"/>
      <c r="E4895" s="5"/>
      <c r="F4895" s="5" t="s">
        <v>8</v>
      </c>
      <c r="G4895" s="15" t="s">
        <v>9</v>
      </c>
      <c r="H4895" s="24">
        <f t="shared" si="1129"/>
        <v>0</v>
      </c>
      <c r="I4895" s="24" cm="1">
        <f t="array" ref="I4895">IFERROR(IF($B4895=I$1, ($A4895+$C4895) - MAX(IF($B$2:$B4894=$B4895, $A$2:$A4894+$C$2:$C4894)), "")*24*60, "")</f>
        <v>0</v>
      </c>
      <c r="J4895" s="24" t="str" cm="1">
        <f t="array" ref="J4895">IFERROR(IF($B4895=J$1, ($A4895+$C4895) - MAX(IF($B$2:$B4894=$B4895, $A$2:$A4894+$C$2:$C4894)), "")*24*60, "")</f>
        <v/>
      </c>
      <c r="K4895" s="24" t="str" cm="1">
        <f t="array" ref="K4895">IFERROR(IF($B4895=K$1, ($A4895+$C4895) - MAX(IF($B$2:$B4894=$B4895, $A$2:$A4894+$C$2:$C4894)), "")*24*60, "")</f>
        <v/>
      </c>
      <c r="L4895" s="24" t="str" cm="1">
        <f t="array" ref="L4895">IFERROR(IF($B4895=L$1, ($A4895+$C4895) - MAX(IF($B$2:$B4894=$B4895, $A$2:$A4894+$C$2:$C4894)), "")*24*60, "")</f>
        <v/>
      </c>
      <c r="M4895" s="24" t="str" cm="1">
        <f t="array" ref="M4895">IFERROR(IF($B4895=M$1, ($A4895+$C4895) - MAX(IF($B$2:$B4894=$B4895, $A$2:$A4894+$C$2:$C4894)), "")*24*60, "")</f>
        <v/>
      </c>
      <c r="N4895" s="24" t="str" cm="1">
        <f t="array" ref="N4895">IFERROR(IF($B4895=N$1, ($A4895+$C4895) - MAX(IF($B$2:$B4894=$B4895, $A$2:$A4894+$C$2:$C4894)), "")*24*60, "")</f>
        <v/>
      </c>
      <c r="O4895" s="24" t="str" cm="1">
        <f t="array" ref="O4895">IFERROR(IF($B4895=O$1, ($A4895+$C4895) - MAX(IF($B$2:$B4894=$B4895, $A$2:$A4894+$C$2:$C4894)), "")*24*60, "")</f>
        <v/>
      </c>
      <c r="P4895" s="24" t="str" cm="1">
        <f t="array" ref="P4895">IFERROR(IF($B4895=P$1, ($A4895+$C4895) - MAX(IF($B$2:$B4894=$B4895, $A$2:$A4894+$C$2:$C4894)), "")*24*60, "")</f>
        <v/>
      </c>
      <c r="Q4895" s="24" t="str" cm="1">
        <f t="array" ref="Q4895">IFERROR(IF($B4895=Q$1, ($A4895+$C4895) - MAX(IF($B$2:$B4894=$B4895, $A$2:$A4894+$C$2:$C4894)), "")*24*60, "")</f>
        <v/>
      </c>
    </row>
    <row r="4896" spans="1:17" x14ac:dyDescent="0.2">
      <c r="A4896" s="12">
        <f t="shared" ref="A4896:C4896" si="1230">A4895</f>
        <v>45980</v>
      </c>
      <c r="B4896" s="5" t="str">
        <f t="shared" si="1230"/>
        <v>Northern Cardinal</v>
      </c>
      <c r="C4896" s="6">
        <f t="shared" si="1230"/>
        <v>0.29166666666666669</v>
      </c>
      <c r="D4896" s="5"/>
      <c r="E4896" s="5"/>
      <c r="F4896" s="5" t="s">
        <v>8</v>
      </c>
      <c r="G4896" s="15" t="s">
        <v>9</v>
      </c>
      <c r="H4896" s="24">
        <f t="shared" si="1129"/>
        <v>0</v>
      </c>
      <c r="I4896" s="24" cm="1">
        <f t="array" ref="I4896">IFERROR(IF($B4896=I$1, ($A4896+$C4896) - MAX(IF($B$2:$B4895=$B4896, $A$2:$A4895+$C$2:$C4895)), "")*24*60, "")</f>
        <v>0</v>
      </c>
      <c r="J4896" s="24" t="str" cm="1">
        <f t="array" ref="J4896">IFERROR(IF($B4896=J$1, ($A4896+$C4896) - MAX(IF($B$2:$B4895=$B4896, $A$2:$A4895+$C$2:$C4895)), "")*24*60, "")</f>
        <v/>
      </c>
      <c r="K4896" s="24" t="str" cm="1">
        <f t="array" ref="K4896">IFERROR(IF($B4896=K$1, ($A4896+$C4896) - MAX(IF($B$2:$B4895=$B4896, $A$2:$A4895+$C$2:$C4895)), "")*24*60, "")</f>
        <v/>
      </c>
      <c r="L4896" s="24" t="str" cm="1">
        <f t="array" ref="L4896">IFERROR(IF($B4896=L$1, ($A4896+$C4896) - MAX(IF($B$2:$B4895=$B4896, $A$2:$A4895+$C$2:$C4895)), "")*24*60, "")</f>
        <v/>
      </c>
      <c r="M4896" s="24" t="str" cm="1">
        <f t="array" ref="M4896">IFERROR(IF($B4896=M$1, ($A4896+$C4896) - MAX(IF($B$2:$B4895=$B4896, $A$2:$A4895+$C$2:$C4895)), "")*24*60, "")</f>
        <v/>
      </c>
      <c r="N4896" s="24" t="str" cm="1">
        <f t="array" ref="N4896">IFERROR(IF($B4896=N$1, ($A4896+$C4896) - MAX(IF($B$2:$B4895=$B4896, $A$2:$A4895+$C$2:$C4895)), "")*24*60, "")</f>
        <v/>
      </c>
      <c r="O4896" s="24" t="str" cm="1">
        <f t="array" ref="O4896">IFERROR(IF($B4896=O$1, ($A4896+$C4896) - MAX(IF($B$2:$B4895=$B4896, $A$2:$A4895+$C$2:$C4895)), "")*24*60, "")</f>
        <v/>
      </c>
      <c r="P4896" s="24" t="str" cm="1">
        <f t="array" ref="P4896">IFERROR(IF($B4896=P$1, ($A4896+$C4896) - MAX(IF($B$2:$B4895=$B4896, $A$2:$A4895+$C$2:$C4895)), "")*24*60, "")</f>
        <v/>
      </c>
      <c r="Q4896" s="24" t="str" cm="1">
        <f t="array" ref="Q4896">IFERROR(IF($B4896=Q$1, ($A4896+$C4896) - MAX(IF($B$2:$B4895=$B4896, $A$2:$A4895+$C$2:$C4895)), "")*24*60, "")</f>
        <v/>
      </c>
    </row>
    <row r="4897" spans="1:17" x14ac:dyDescent="0.2">
      <c r="A4897" s="12">
        <f t="shared" ref="A4897:C4897" si="1231">A4896</f>
        <v>45980</v>
      </c>
      <c r="B4897" s="5" t="str">
        <f t="shared" si="1231"/>
        <v>Northern Cardinal</v>
      </c>
      <c r="C4897" s="6">
        <f t="shared" si="1231"/>
        <v>0.29166666666666669</v>
      </c>
      <c r="D4897" s="5"/>
      <c r="E4897" s="5"/>
      <c r="F4897" s="5" t="s">
        <v>8</v>
      </c>
      <c r="G4897" s="15" t="s">
        <v>9</v>
      </c>
      <c r="H4897" s="24">
        <f t="shared" si="1129"/>
        <v>0</v>
      </c>
      <c r="I4897" s="24" cm="1">
        <f t="array" ref="I4897">IFERROR(IF($B4897=I$1, ($A4897+$C4897) - MAX(IF($B$2:$B4896=$B4897, $A$2:$A4896+$C$2:$C4896)), "")*24*60, "")</f>
        <v>0</v>
      </c>
      <c r="J4897" s="24" t="str" cm="1">
        <f t="array" ref="J4897">IFERROR(IF($B4897=J$1, ($A4897+$C4897) - MAX(IF($B$2:$B4896=$B4897, $A$2:$A4896+$C$2:$C4896)), "")*24*60, "")</f>
        <v/>
      </c>
      <c r="K4897" s="24" t="str" cm="1">
        <f t="array" ref="K4897">IFERROR(IF($B4897=K$1, ($A4897+$C4897) - MAX(IF($B$2:$B4896=$B4897, $A$2:$A4896+$C$2:$C4896)), "")*24*60, "")</f>
        <v/>
      </c>
      <c r="L4897" s="24" t="str" cm="1">
        <f t="array" ref="L4897">IFERROR(IF($B4897=L$1, ($A4897+$C4897) - MAX(IF($B$2:$B4896=$B4897, $A$2:$A4896+$C$2:$C4896)), "")*24*60, "")</f>
        <v/>
      </c>
      <c r="M4897" s="24" t="str" cm="1">
        <f t="array" ref="M4897">IFERROR(IF($B4897=M$1, ($A4897+$C4897) - MAX(IF($B$2:$B4896=$B4897, $A$2:$A4896+$C$2:$C4896)), "")*24*60, "")</f>
        <v/>
      </c>
      <c r="N4897" s="24" t="str" cm="1">
        <f t="array" ref="N4897">IFERROR(IF($B4897=N$1, ($A4897+$C4897) - MAX(IF($B$2:$B4896=$B4897, $A$2:$A4896+$C$2:$C4896)), "")*24*60, "")</f>
        <v/>
      </c>
      <c r="O4897" s="24" t="str" cm="1">
        <f t="array" ref="O4897">IFERROR(IF($B4897=O$1, ($A4897+$C4897) - MAX(IF($B$2:$B4896=$B4897, $A$2:$A4896+$C$2:$C4896)), "")*24*60, "")</f>
        <v/>
      </c>
      <c r="P4897" s="24" t="str" cm="1">
        <f t="array" ref="P4897">IFERROR(IF($B4897=P$1, ($A4897+$C4897) - MAX(IF($B$2:$B4896=$B4897, $A$2:$A4896+$C$2:$C4896)), "")*24*60, "")</f>
        <v/>
      </c>
      <c r="Q4897" s="24" t="str" cm="1">
        <f t="array" ref="Q4897">IFERROR(IF($B4897=Q$1, ($A4897+$C4897) - MAX(IF($B$2:$B4896=$B4897, $A$2:$A4896+$C$2:$C4896)), "")*24*60, "")</f>
        <v/>
      </c>
    </row>
    <row r="4898" spans="1:17" x14ac:dyDescent="0.2">
      <c r="A4898" s="12">
        <f t="shared" ref="A4898:C4898" si="1232">A4897</f>
        <v>45980</v>
      </c>
      <c r="B4898" s="5" t="str">
        <f t="shared" si="1232"/>
        <v>Northern Cardinal</v>
      </c>
      <c r="C4898" s="6">
        <f t="shared" si="1232"/>
        <v>0.29166666666666669</v>
      </c>
      <c r="D4898" s="5"/>
      <c r="E4898" s="5"/>
      <c r="F4898" s="5" t="s">
        <v>8</v>
      </c>
      <c r="G4898" s="15" t="s">
        <v>9</v>
      </c>
      <c r="H4898" s="24">
        <f t="shared" si="1129"/>
        <v>0</v>
      </c>
      <c r="I4898" s="24" cm="1">
        <f t="array" ref="I4898">IFERROR(IF($B4898=I$1, ($A4898+$C4898) - MAX(IF($B$2:$B4897=$B4898, $A$2:$A4897+$C$2:$C4897)), "")*24*60, "")</f>
        <v>0</v>
      </c>
      <c r="J4898" s="24" t="str" cm="1">
        <f t="array" ref="J4898">IFERROR(IF($B4898=J$1, ($A4898+$C4898) - MAX(IF($B$2:$B4897=$B4898, $A$2:$A4897+$C$2:$C4897)), "")*24*60, "")</f>
        <v/>
      </c>
      <c r="K4898" s="24" t="str" cm="1">
        <f t="array" ref="K4898">IFERROR(IF($B4898=K$1, ($A4898+$C4898) - MAX(IF($B$2:$B4897=$B4898, $A$2:$A4897+$C$2:$C4897)), "")*24*60, "")</f>
        <v/>
      </c>
      <c r="L4898" s="24" t="str" cm="1">
        <f t="array" ref="L4898">IFERROR(IF($B4898=L$1, ($A4898+$C4898) - MAX(IF($B$2:$B4897=$B4898, $A$2:$A4897+$C$2:$C4897)), "")*24*60, "")</f>
        <v/>
      </c>
      <c r="M4898" s="24" t="str" cm="1">
        <f t="array" ref="M4898">IFERROR(IF($B4898=M$1, ($A4898+$C4898) - MAX(IF($B$2:$B4897=$B4898, $A$2:$A4897+$C$2:$C4897)), "")*24*60, "")</f>
        <v/>
      </c>
      <c r="N4898" s="24" t="str" cm="1">
        <f t="array" ref="N4898">IFERROR(IF($B4898=N$1, ($A4898+$C4898) - MAX(IF($B$2:$B4897=$B4898, $A$2:$A4897+$C$2:$C4897)), "")*24*60, "")</f>
        <v/>
      </c>
      <c r="O4898" s="24" t="str" cm="1">
        <f t="array" ref="O4898">IFERROR(IF($B4898=O$1, ($A4898+$C4898) - MAX(IF($B$2:$B4897=$B4898, $A$2:$A4897+$C$2:$C4897)), "")*24*60, "")</f>
        <v/>
      </c>
      <c r="P4898" s="24" t="str" cm="1">
        <f t="array" ref="P4898">IFERROR(IF($B4898=P$1, ($A4898+$C4898) - MAX(IF($B$2:$B4897=$B4898, $A$2:$A4897+$C$2:$C4897)), "")*24*60, "")</f>
        <v/>
      </c>
      <c r="Q4898" s="24" t="str" cm="1">
        <f t="array" ref="Q4898">IFERROR(IF($B4898=Q$1, ($A4898+$C4898) - MAX(IF($B$2:$B4897=$B4898, $A$2:$A4897+$C$2:$C4897)), "")*24*60, "")</f>
        <v/>
      </c>
    </row>
    <row r="4899" spans="1:17" x14ac:dyDescent="0.2">
      <c r="A4899" s="12">
        <f t="shared" ref="A4899:C4899" si="1233">A4898</f>
        <v>45980</v>
      </c>
      <c r="B4899" s="5" t="str">
        <f t="shared" si="1233"/>
        <v>Northern Cardinal</v>
      </c>
      <c r="C4899" s="6">
        <f t="shared" si="1233"/>
        <v>0.29166666666666669</v>
      </c>
      <c r="D4899" s="5"/>
      <c r="E4899" s="5"/>
      <c r="F4899" s="5" t="s">
        <v>8</v>
      </c>
      <c r="G4899" s="15" t="s">
        <v>9</v>
      </c>
      <c r="H4899" s="24">
        <f t="shared" si="1129"/>
        <v>0</v>
      </c>
      <c r="I4899" s="24" cm="1">
        <f t="array" ref="I4899">IFERROR(IF($B4899=I$1, ($A4899+$C4899) - MAX(IF($B$2:$B4898=$B4899, $A$2:$A4898+$C$2:$C4898)), "")*24*60, "")</f>
        <v>0</v>
      </c>
      <c r="J4899" s="24" t="str" cm="1">
        <f t="array" ref="J4899">IFERROR(IF($B4899=J$1, ($A4899+$C4899) - MAX(IF($B$2:$B4898=$B4899, $A$2:$A4898+$C$2:$C4898)), "")*24*60, "")</f>
        <v/>
      </c>
      <c r="K4899" s="24" t="str" cm="1">
        <f t="array" ref="K4899">IFERROR(IF($B4899=K$1, ($A4899+$C4899) - MAX(IF($B$2:$B4898=$B4899, $A$2:$A4898+$C$2:$C4898)), "")*24*60, "")</f>
        <v/>
      </c>
      <c r="L4899" s="24" t="str" cm="1">
        <f t="array" ref="L4899">IFERROR(IF($B4899=L$1, ($A4899+$C4899) - MAX(IF($B$2:$B4898=$B4899, $A$2:$A4898+$C$2:$C4898)), "")*24*60, "")</f>
        <v/>
      </c>
      <c r="M4899" s="24" t="str" cm="1">
        <f t="array" ref="M4899">IFERROR(IF($B4899=M$1, ($A4899+$C4899) - MAX(IF($B$2:$B4898=$B4899, $A$2:$A4898+$C$2:$C4898)), "")*24*60, "")</f>
        <v/>
      </c>
      <c r="N4899" s="24" t="str" cm="1">
        <f t="array" ref="N4899">IFERROR(IF($B4899=N$1, ($A4899+$C4899) - MAX(IF($B$2:$B4898=$B4899, $A$2:$A4898+$C$2:$C4898)), "")*24*60, "")</f>
        <v/>
      </c>
      <c r="O4899" s="24" t="str" cm="1">
        <f t="array" ref="O4899">IFERROR(IF($B4899=O$1, ($A4899+$C4899) - MAX(IF($B$2:$B4898=$B4899, $A$2:$A4898+$C$2:$C4898)), "")*24*60, "")</f>
        <v/>
      </c>
      <c r="P4899" s="24" t="str" cm="1">
        <f t="array" ref="P4899">IFERROR(IF($B4899=P$1, ($A4899+$C4899) - MAX(IF($B$2:$B4898=$B4899, $A$2:$A4898+$C$2:$C4898)), "")*24*60, "")</f>
        <v/>
      </c>
      <c r="Q4899" s="24" t="str" cm="1">
        <f t="array" ref="Q4899">IFERROR(IF($B4899=Q$1, ($A4899+$C4899) - MAX(IF($B$2:$B4898=$B4899, $A$2:$A4898+$C$2:$C4898)), "")*24*60, "")</f>
        <v/>
      </c>
    </row>
    <row r="4900" spans="1:17" x14ac:dyDescent="0.2">
      <c r="A4900" s="12">
        <f t="shared" ref="A4900:C4900" si="1234">A4899</f>
        <v>45980</v>
      </c>
      <c r="B4900" s="5" t="str">
        <f t="shared" si="1234"/>
        <v>Northern Cardinal</v>
      </c>
      <c r="C4900" s="6">
        <f t="shared" si="1234"/>
        <v>0.29166666666666669</v>
      </c>
      <c r="D4900" s="5"/>
      <c r="E4900" s="5"/>
      <c r="F4900" s="5" t="s">
        <v>8</v>
      </c>
      <c r="G4900" s="15" t="s">
        <v>9</v>
      </c>
      <c r="H4900" s="24">
        <f t="shared" si="1129"/>
        <v>0</v>
      </c>
      <c r="I4900" s="24" cm="1">
        <f t="array" ref="I4900">IFERROR(IF($B4900=I$1, ($A4900+$C4900) - MAX(IF($B$2:$B4899=$B4900, $A$2:$A4899+$C$2:$C4899)), "")*24*60, "")</f>
        <v>0</v>
      </c>
      <c r="J4900" s="24" t="str" cm="1">
        <f t="array" ref="J4900">IFERROR(IF($B4900=J$1, ($A4900+$C4900) - MAX(IF($B$2:$B4899=$B4900, $A$2:$A4899+$C$2:$C4899)), "")*24*60, "")</f>
        <v/>
      </c>
      <c r="K4900" s="24" t="str" cm="1">
        <f t="array" ref="K4900">IFERROR(IF($B4900=K$1, ($A4900+$C4900) - MAX(IF($B$2:$B4899=$B4900, $A$2:$A4899+$C$2:$C4899)), "")*24*60, "")</f>
        <v/>
      </c>
      <c r="L4900" s="24" t="str" cm="1">
        <f t="array" ref="L4900">IFERROR(IF($B4900=L$1, ($A4900+$C4900) - MAX(IF($B$2:$B4899=$B4900, $A$2:$A4899+$C$2:$C4899)), "")*24*60, "")</f>
        <v/>
      </c>
      <c r="M4900" s="24" t="str" cm="1">
        <f t="array" ref="M4900">IFERROR(IF($B4900=M$1, ($A4900+$C4900) - MAX(IF($B$2:$B4899=$B4900, $A$2:$A4899+$C$2:$C4899)), "")*24*60, "")</f>
        <v/>
      </c>
      <c r="N4900" s="24" t="str" cm="1">
        <f t="array" ref="N4900">IFERROR(IF($B4900=N$1, ($A4900+$C4900) - MAX(IF($B$2:$B4899=$B4900, $A$2:$A4899+$C$2:$C4899)), "")*24*60, "")</f>
        <v/>
      </c>
      <c r="O4900" s="24" t="str" cm="1">
        <f t="array" ref="O4900">IFERROR(IF($B4900=O$1, ($A4900+$C4900) - MAX(IF($B$2:$B4899=$B4900, $A$2:$A4899+$C$2:$C4899)), "")*24*60, "")</f>
        <v/>
      </c>
      <c r="P4900" s="24" t="str" cm="1">
        <f t="array" ref="P4900">IFERROR(IF($B4900=P$1, ($A4900+$C4900) - MAX(IF($B$2:$B4899=$B4900, $A$2:$A4899+$C$2:$C4899)), "")*24*60, "")</f>
        <v/>
      </c>
      <c r="Q4900" s="24" t="str" cm="1">
        <f t="array" ref="Q4900">IFERROR(IF($B4900=Q$1, ($A4900+$C4900) - MAX(IF($B$2:$B4899=$B4900, $A$2:$A4899+$C$2:$C4899)), "")*24*60, "")</f>
        <v/>
      </c>
    </row>
    <row r="4901" spans="1:17" x14ac:dyDescent="0.2">
      <c r="A4901" s="12">
        <f t="shared" ref="A4901:C4901" si="1235">A4900</f>
        <v>45980</v>
      </c>
      <c r="B4901" s="5" t="str">
        <f t="shared" si="1235"/>
        <v>Northern Cardinal</v>
      </c>
      <c r="C4901" s="6">
        <f t="shared" si="1235"/>
        <v>0.29166666666666669</v>
      </c>
      <c r="D4901" s="5"/>
      <c r="E4901" s="5"/>
      <c r="F4901" s="5" t="s">
        <v>8</v>
      </c>
      <c r="G4901" s="15" t="s">
        <v>9</v>
      </c>
      <c r="H4901" s="24">
        <f t="shared" si="1129"/>
        <v>0</v>
      </c>
      <c r="I4901" s="24" cm="1">
        <f t="array" ref="I4901">IFERROR(IF($B4901=I$1, ($A4901+$C4901) - MAX(IF($B$2:$B4900=$B4901, $A$2:$A4900+$C$2:$C4900)), "")*24*60, "")</f>
        <v>0</v>
      </c>
      <c r="J4901" s="24" t="str" cm="1">
        <f t="array" ref="J4901">IFERROR(IF($B4901=J$1, ($A4901+$C4901) - MAX(IF($B$2:$B4900=$B4901, $A$2:$A4900+$C$2:$C4900)), "")*24*60, "")</f>
        <v/>
      </c>
      <c r="K4901" s="24" t="str" cm="1">
        <f t="array" ref="K4901">IFERROR(IF($B4901=K$1, ($A4901+$C4901) - MAX(IF($B$2:$B4900=$B4901, $A$2:$A4900+$C$2:$C4900)), "")*24*60, "")</f>
        <v/>
      </c>
      <c r="L4901" s="24" t="str" cm="1">
        <f t="array" ref="L4901">IFERROR(IF($B4901=L$1, ($A4901+$C4901) - MAX(IF($B$2:$B4900=$B4901, $A$2:$A4900+$C$2:$C4900)), "")*24*60, "")</f>
        <v/>
      </c>
      <c r="M4901" s="24" t="str" cm="1">
        <f t="array" ref="M4901">IFERROR(IF($B4901=M$1, ($A4901+$C4901) - MAX(IF($B$2:$B4900=$B4901, $A$2:$A4900+$C$2:$C4900)), "")*24*60, "")</f>
        <v/>
      </c>
      <c r="N4901" s="24" t="str" cm="1">
        <f t="array" ref="N4901">IFERROR(IF($B4901=N$1, ($A4901+$C4901) - MAX(IF($B$2:$B4900=$B4901, $A$2:$A4900+$C$2:$C4900)), "")*24*60, "")</f>
        <v/>
      </c>
      <c r="O4901" s="24" t="str" cm="1">
        <f t="array" ref="O4901">IFERROR(IF($B4901=O$1, ($A4901+$C4901) - MAX(IF($B$2:$B4900=$B4901, $A$2:$A4900+$C$2:$C4900)), "")*24*60, "")</f>
        <v/>
      </c>
      <c r="P4901" s="24" t="str" cm="1">
        <f t="array" ref="P4901">IFERROR(IF($B4901=P$1, ($A4901+$C4901) - MAX(IF($B$2:$B4900=$B4901, $A$2:$A4900+$C$2:$C4900)), "")*24*60, "")</f>
        <v/>
      </c>
      <c r="Q4901" s="24" t="str" cm="1">
        <f t="array" ref="Q4901">IFERROR(IF($B4901=Q$1, ($A4901+$C4901) - MAX(IF($B$2:$B4900=$B4901, $A$2:$A4900+$C$2:$C4900)), "")*24*60, "")</f>
        <v/>
      </c>
    </row>
    <row r="4902" spans="1:17" x14ac:dyDescent="0.2">
      <c r="A4902" s="12">
        <f t="shared" ref="A4902:C4902" si="1236">A4901</f>
        <v>45980</v>
      </c>
      <c r="B4902" s="5" t="str">
        <f t="shared" si="1236"/>
        <v>Northern Cardinal</v>
      </c>
      <c r="C4902" s="6">
        <f t="shared" si="1236"/>
        <v>0.29166666666666669</v>
      </c>
      <c r="D4902" s="5"/>
      <c r="E4902" s="5"/>
      <c r="F4902" s="5" t="s">
        <v>8</v>
      </c>
      <c r="G4902" s="15" t="s">
        <v>9</v>
      </c>
      <c r="H4902" s="24">
        <f t="shared" si="1129"/>
        <v>0</v>
      </c>
      <c r="I4902" s="24" cm="1">
        <f t="array" ref="I4902">IFERROR(IF($B4902=I$1, ($A4902+$C4902) - MAX(IF($B$2:$B4901=$B4902, $A$2:$A4901+$C$2:$C4901)), "")*24*60, "")</f>
        <v>0</v>
      </c>
      <c r="J4902" s="24" t="str" cm="1">
        <f t="array" ref="J4902">IFERROR(IF($B4902=J$1, ($A4902+$C4902) - MAX(IF($B$2:$B4901=$B4902, $A$2:$A4901+$C$2:$C4901)), "")*24*60, "")</f>
        <v/>
      </c>
      <c r="K4902" s="24" t="str" cm="1">
        <f t="array" ref="K4902">IFERROR(IF($B4902=K$1, ($A4902+$C4902) - MAX(IF($B$2:$B4901=$B4902, $A$2:$A4901+$C$2:$C4901)), "")*24*60, "")</f>
        <v/>
      </c>
      <c r="L4902" s="24" t="str" cm="1">
        <f t="array" ref="L4902">IFERROR(IF($B4902=L$1, ($A4902+$C4902) - MAX(IF($B$2:$B4901=$B4902, $A$2:$A4901+$C$2:$C4901)), "")*24*60, "")</f>
        <v/>
      </c>
      <c r="M4902" s="24" t="str" cm="1">
        <f t="array" ref="M4902">IFERROR(IF($B4902=M$1, ($A4902+$C4902) - MAX(IF($B$2:$B4901=$B4902, $A$2:$A4901+$C$2:$C4901)), "")*24*60, "")</f>
        <v/>
      </c>
      <c r="N4902" s="24" t="str" cm="1">
        <f t="array" ref="N4902">IFERROR(IF($B4902=N$1, ($A4902+$C4902) - MAX(IF($B$2:$B4901=$B4902, $A$2:$A4901+$C$2:$C4901)), "")*24*60, "")</f>
        <v/>
      </c>
      <c r="O4902" s="24" t="str" cm="1">
        <f t="array" ref="O4902">IFERROR(IF($B4902=O$1, ($A4902+$C4902) - MAX(IF($B$2:$B4901=$B4902, $A$2:$A4901+$C$2:$C4901)), "")*24*60, "")</f>
        <v/>
      </c>
      <c r="P4902" s="24" t="str" cm="1">
        <f t="array" ref="P4902">IFERROR(IF($B4902=P$1, ($A4902+$C4902) - MAX(IF($B$2:$B4901=$B4902, $A$2:$A4901+$C$2:$C4901)), "")*24*60, "")</f>
        <v/>
      </c>
      <c r="Q4902" s="24" t="str" cm="1">
        <f t="array" ref="Q4902">IFERROR(IF($B4902=Q$1, ($A4902+$C4902) - MAX(IF($B$2:$B4901=$B4902, $A$2:$A4901+$C$2:$C4901)), "")*24*60, "")</f>
        <v/>
      </c>
    </row>
    <row r="4903" spans="1:17" x14ac:dyDescent="0.2">
      <c r="A4903" s="12">
        <f t="shared" ref="A4903:C4903" si="1237">A4902</f>
        <v>45980</v>
      </c>
      <c r="B4903" s="5" t="str">
        <f t="shared" si="1237"/>
        <v>Northern Cardinal</v>
      </c>
      <c r="C4903" s="6">
        <f t="shared" si="1237"/>
        <v>0.29166666666666669</v>
      </c>
      <c r="D4903" s="5"/>
      <c r="E4903" s="5"/>
      <c r="F4903" s="5" t="s">
        <v>8</v>
      </c>
      <c r="G4903" s="15" t="s">
        <v>9</v>
      </c>
      <c r="H4903" s="24">
        <f t="shared" si="1129"/>
        <v>0</v>
      </c>
      <c r="I4903" s="24" cm="1">
        <f t="array" ref="I4903">IFERROR(IF($B4903=I$1, ($A4903+$C4903) - MAX(IF($B$2:$B4902=$B4903, $A$2:$A4902+$C$2:$C4902)), "")*24*60, "")</f>
        <v>0</v>
      </c>
      <c r="J4903" s="24" t="str" cm="1">
        <f t="array" ref="J4903">IFERROR(IF($B4903=J$1, ($A4903+$C4903) - MAX(IF($B$2:$B4902=$B4903, $A$2:$A4902+$C$2:$C4902)), "")*24*60, "")</f>
        <v/>
      </c>
      <c r="K4903" s="24" t="str" cm="1">
        <f t="array" ref="K4903">IFERROR(IF($B4903=K$1, ($A4903+$C4903) - MAX(IF($B$2:$B4902=$B4903, $A$2:$A4902+$C$2:$C4902)), "")*24*60, "")</f>
        <v/>
      </c>
      <c r="L4903" s="24" t="str" cm="1">
        <f t="array" ref="L4903">IFERROR(IF($B4903=L$1, ($A4903+$C4903) - MAX(IF($B$2:$B4902=$B4903, $A$2:$A4902+$C$2:$C4902)), "")*24*60, "")</f>
        <v/>
      </c>
      <c r="M4903" s="24" t="str" cm="1">
        <f t="array" ref="M4903">IFERROR(IF($B4903=M$1, ($A4903+$C4903) - MAX(IF($B$2:$B4902=$B4903, $A$2:$A4902+$C$2:$C4902)), "")*24*60, "")</f>
        <v/>
      </c>
      <c r="N4903" s="24" t="str" cm="1">
        <f t="array" ref="N4903">IFERROR(IF($B4903=N$1, ($A4903+$C4903) - MAX(IF($B$2:$B4902=$B4903, $A$2:$A4902+$C$2:$C4902)), "")*24*60, "")</f>
        <v/>
      </c>
      <c r="O4903" s="24" t="str" cm="1">
        <f t="array" ref="O4903">IFERROR(IF($B4903=O$1, ($A4903+$C4903) - MAX(IF($B$2:$B4902=$B4903, $A$2:$A4902+$C$2:$C4902)), "")*24*60, "")</f>
        <v/>
      </c>
      <c r="P4903" s="24" t="str" cm="1">
        <f t="array" ref="P4903">IFERROR(IF($B4903=P$1, ($A4903+$C4903) - MAX(IF($B$2:$B4902=$B4903, $A$2:$A4902+$C$2:$C4902)), "")*24*60, "")</f>
        <v/>
      </c>
      <c r="Q4903" s="24" t="str" cm="1">
        <f t="array" ref="Q4903">IFERROR(IF($B4903=Q$1, ($A4903+$C4903) - MAX(IF($B$2:$B4902=$B4903, $A$2:$A4902+$C$2:$C4902)), "")*24*60, "")</f>
        <v/>
      </c>
    </row>
    <row r="4904" spans="1:17" x14ac:dyDescent="0.2">
      <c r="A4904" s="12">
        <f t="shared" ref="A4904:C4904" si="1238">A4903</f>
        <v>45980</v>
      </c>
      <c r="B4904" s="5" t="str">
        <f t="shared" si="1238"/>
        <v>Northern Cardinal</v>
      </c>
      <c r="C4904" s="6">
        <f t="shared" si="1238"/>
        <v>0.29166666666666669</v>
      </c>
      <c r="D4904" s="5"/>
      <c r="E4904" s="5"/>
      <c r="F4904" s="5" t="s">
        <v>8</v>
      </c>
      <c r="G4904" s="15" t="s">
        <v>9</v>
      </c>
      <c r="H4904" s="24">
        <f t="shared" si="1129"/>
        <v>0</v>
      </c>
      <c r="I4904" s="24" cm="1">
        <f t="array" ref="I4904">IFERROR(IF($B4904=I$1, ($A4904+$C4904) - MAX(IF($B$2:$B4903=$B4904, $A$2:$A4903+$C$2:$C4903)), "")*24*60, "")</f>
        <v>0</v>
      </c>
      <c r="J4904" s="24" t="str" cm="1">
        <f t="array" ref="J4904">IFERROR(IF($B4904=J$1, ($A4904+$C4904) - MAX(IF($B$2:$B4903=$B4904, $A$2:$A4903+$C$2:$C4903)), "")*24*60, "")</f>
        <v/>
      </c>
      <c r="K4904" s="24" t="str" cm="1">
        <f t="array" ref="K4904">IFERROR(IF($B4904=K$1, ($A4904+$C4904) - MAX(IF($B$2:$B4903=$B4904, $A$2:$A4903+$C$2:$C4903)), "")*24*60, "")</f>
        <v/>
      </c>
      <c r="L4904" s="24" t="str" cm="1">
        <f t="array" ref="L4904">IFERROR(IF($B4904=L$1, ($A4904+$C4904) - MAX(IF($B$2:$B4903=$B4904, $A$2:$A4903+$C$2:$C4903)), "")*24*60, "")</f>
        <v/>
      </c>
      <c r="M4904" s="24" t="str" cm="1">
        <f t="array" ref="M4904">IFERROR(IF($B4904=M$1, ($A4904+$C4904) - MAX(IF($B$2:$B4903=$B4904, $A$2:$A4903+$C$2:$C4903)), "")*24*60, "")</f>
        <v/>
      </c>
      <c r="N4904" s="24" t="str" cm="1">
        <f t="array" ref="N4904">IFERROR(IF($B4904=N$1, ($A4904+$C4904) - MAX(IF($B$2:$B4903=$B4904, $A$2:$A4903+$C$2:$C4903)), "")*24*60, "")</f>
        <v/>
      </c>
      <c r="O4904" s="24" t="str" cm="1">
        <f t="array" ref="O4904">IFERROR(IF($B4904=O$1, ($A4904+$C4904) - MAX(IF($B$2:$B4903=$B4904, $A$2:$A4903+$C$2:$C4903)), "")*24*60, "")</f>
        <v/>
      </c>
      <c r="P4904" s="24" t="str" cm="1">
        <f t="array" ref="P4904">IFERROR(IF($B4904=P$1, ($A4904+$C4904) - MAX(IF($B$2:$B4903=$B4904, $A$2:$A4903+$C$2:$C4903)), "")*24*60, "")</f>
        <v/>
      </c>
      <c r="Q4904" s="24" t="str" cm="1">
        <f t="array" ref="Q4904">IFERROR(IF($B4904=Q$1, ($A4904+$C4904) - MAX(IF($B$2:$B4903=$B4904, $A$2:$A4903+$C$2:$C4903)), "")*24*60, "")</f>
        <v/>
      </c>
    </row>
    <row r="4905" spans="1:17" x14ac:dyDescent="0.2">
      <c r="A4905" s="12">
        <f t="shared" ref="A4905:C4905" si="1239">A4904</f>
        <v>45980</v>
      </c>
      <c r="B4905" s="5" t="str">
        <f t="shared" si="1239"/>
        <v>Northern Cardinal</v>
      </c>
      <c r="C4905" s="6">
        <f t="shared" si="1239"/>
        <v>0.29166666666666669</v>
      </c>
      <c r="D4905" s="5"/>
      <c r="E4905" s="5"/>
      <c r="F4905" s="5" t="s">
        <v>8</v>
      </c>
      <c r="G4905" s="15" t="s">
        <v>9</v>
      </c>
      <c r="H4905" s="24">
        <f t="shared" si="1129"/>
        <v>0</v>
      </c>
      <c r="I4905" s="24" cm="1">
        <f t="array" ref="I4905">IFERROR(IF($B4905=I$1, ($A4905+$C4905) - MAX(IF($B$2:$B4904=$B4905, $A$2:$A4904+$C$2:$C4904)), "")*24*60, "")</f>
        <v>0</v>
      </c>
      <c r="J4905" s="24" t="str" cm="1">
        <f t="array" ref="J4905">IFERROR(IF($B4905=J$1, ($A4905+$C4905) - MAX(IF($B$2:$B4904=$B4905, $A$2:$A4904+$C$2:$C4904)), "")*24*60, "")</f>
        <v/>
      </c>
      <c r="K4905" s="24" t="str" cm="1">
        <f t="array" ref="K4905">IFERROR(IF($B4905=K$1, ($A4905+$C4905) - MAX(IF($B$2:$B4904=$B4905, $A$2:$A4904+$C$2:$C4904)), "")*24*60, "")</f>
        <v/>
      </c>
      <c r="L4905" s="24" t="str" cm="1">
        <f t="array" ref="L4905">IFERROR(IF($B4905=L$1, ($A4905+$C4905) - MAX(IF($B$2:$B4904=$B4905, $A$2:$A4904+$C$2:$C4904)), "")*24*60, "")</f>
        <v/>
      </c>
      <c r="M4905" s="24" t="str" cm="1">
        <f t="array" ref="M4905">IFERROR(IF($B4905=M$1, ($A4905+$C4905) - MAX(IF($B$2:$B4904=$B4905, $A$2:$A4904+$C$2:$C4904)), "")*24*60, "")</f>
        <v/>
      </c>
      <c r="N4905" s="24" t="str" cm="1">
        <f t="array" ref="N4905">IFERROR(IF($B4905=N$1, ($A4905+$C4905) - MAX(IF($B$2:$B4904=$B4905, $A$2:$A4904+$C$2:$C4904)), "")*24*60, "")</f>
        <v/>
      </c>
      <c r="O4905" s="24" t="str" cm="1">
        <f t="array" ref="O4905">IFERROR(IF($B4905=O$1, ($A4905+$C4905) - MAX(IF($B$2:$B4904=$B4905, $A$2:$A4904+$C$2:$C4904)), "")*24*60, "")</f>
        <v/>
      </c>
      <c r="P4905" s="24" t="str" cm="1">
        <f t="array" ref="P4905">IFERROR(IF($B4905=P$1, ($A4905+$C4905) - MAX(IF($B$2:$B4904=$B4905, $A$2:$A4904+$C$2:$C4904)), "")*24*60, "")</f>
        <v/>
      </c>
      <c r="Q4905" s="24" t="str" cm="1">
        <f t="array" ref="Q4905">IFERROR(IF($B4905=Q$1, ($A4905+$C4905) - MAX(IF($B$2:$B4904=$B4905, $A$2:$A4904+$C$2:$C4904)), "")*24*60, "")</f>
        <v/>
      </c>
    </row>
    <row r="4906" spans="1:17" x14ac:dyDescent="0.2">
      <c r="A4906" s="12">
        <f t="shared" ref="A4906:C4906" si="1240">A4905</f>
        <v>45980</v>
      </c>
      <c r="B4906" s="5" t="str">
        <f t="shared" si="1240"/>
        <v>Northern Cardinal</v>
      </c>
      <c r="C4906" s="6">
        <f t="shared" si="1240"/>
        <v>0.29166666666666669</v>
      </c>
      <c r="D4906" s="5"/>
      <c r="E4906" s="5"/>
      <c r="F4906" s="5" t="s">
        <v>8</v>
      </c>
      <c r="G4906" s="15" t="s">
        <v>9</v>
      </c>
      <c r="H4906" s="24">
        <f t="shared" si="1129"/>
        <v>0</v>
      </c>
      <c r="I4906" s="24" cm="1">
        <f t="array" ref="I4906">IFERROR(IF($B4906=I$1, ($A4906+$C4906) - MAX(IF($B$2:$B4905=$B4906, $A$2:$A4905+$C$2:$C4905)), "")*24*60, "")</f>
        <v>0</v>
      </c>
      <c r="J4906" s="24" t="str" cm="1">
        <f t="array" ref="J4906">IFERROR(IF($B4906=J$1, ($A4906+$C4906) - MAX(IF($B$2:$B4905=$B4906, $A$2:$A4905+$C$2:$C4905)), "")*24*60, "")</f>
        <v/>
      </c>
      <c r="K4906" s="24" t="str" cm="1">
        <f t="array" ref="K4906">IFERROR(IF($B4906=K$1, ($A4906+$C4906) - MAX(IF($B$2:$B4905=$B4906, $A$2:$A4905+$C$2:$C4905)), "")*24*60, "")</f>
        <v/>
      </c>
      <c r="L4906" s="24" t="str" cm="1">
        <f t="array" ref="L4906">IFERROR(IF($B4906=L$1, ($A4906+$C4906) - MAX(IF($B$2:$B4905=$B4906, $A$2:$A4905+$C$2:$C4905)), "")*24*60, "")</f>
        <v/>
      </c>
      <c r="M4906" s="24" t="str" cm="1">
        <f t="array" ref="M4906">IFERROR(IF($B4906=M$1, ($A4906+$C4906) - MAX(IF($B$2:$B4905=$B4906, $A$2:$A4905+$C$2:$C4905)), "")*24*60, "")</f>
        <v/>
      </c>
      <c r="N4906" s="24" t="str" cm="1">
        <f t="array" ref="N4906">IFERROR(IF($B4906=N$1, ($A4906+$C4906) - MAX(IF($B$2:$B4905=$B4906, $A$2:$A4905+$C$2:$C4905)), "")*24*60, "")</f>
        <v/>
      </c>
      <c r="O4906" s="24" t="str" cm="1">
        <f t="array" ref="O4906">IFERROR(IF($B4906=O$1, ($A4906+$C4906) - MAX(IF($B$2:$B4905=$B4906, $A$2:$A4905+$C$2:$C4905)), "")*24*60, "")</f>
        <v/>
      </c>
      <c r="P4906" s="24" t="str" cm="1">
        <f t="array" ref="P4906">IFERROR(IF($B4906=P$1, ($A4906+$C4906) - MAX(IF($B$2:$B4905=$B4906, $A$2:$A4905+$C$2:$C4905)), "")*24*60, "")</f>
        <v/>
      </c>
      <c r="Q4906" s="24" t="str" cm="1">
        <f t="array" ref="Q4906">IFERROR(IF($B4906=Q$1, ($A4906+$C4906) - MAX(IF($B$2:$B4905=$B4906, $A$2:$A4905+$C$2:$C4905)), "")*24*60, "")</f>
        <v/>
      </c>
    </row>
    <row r="4907" spans="1:17" x14ac:dyDescent="0.2">
      <c r="A4907" s="12">
        <f t="shared" ref="A4907:C4907" si="1241">A4906</f>
        <v>45980</v>
      </c>
      <c r="B4907" s="5" t="str">
        <f t="shared" si="1241"/>
        <v>Northern Cardinal</v>
      </c>
      <c r="C4907" s="6">
        <f t="shared" si="1241"/>
        <v>0.29166666666666669</v>
      </c>
      <c r="D4907" s="5"/>
      <c r="E4907" s="5"/>
      <c r="F4907" s="5" t="s">
        <v>8</v>
      </c>
      <c r="G4907" s="15" t="s">
        <v>9</v>
      </c>
      <c r="H4907" s="24">
        <f t="shared" si="1129"/>
        <v>0</v>
      </c>
      <c r="I4907" s="24" cm="1">
        <f t="array" ref="I4907">IFERROR(IF($B4907=I$1, ($A4907+$C4907) - MAX(IF($B$2:$B4906=$B4907, $A$2:$A4906+$C$2:$C4906)), "")*24*60, "")</f>
        <v>0</v>
      </c>
      <c r="J4907" s="24" t="str" cm="1">
        <f t="array" ref="J4907">IFERROR(IF($B4907=J$1, ($A4907+$C4907) - MAX(IF($B$2:$B4906=$B4907, $A$2:$A4906+$C$2:$C4906)), "")*24*60, "")</f>
        <v/>
      </c>
      <c r="K4907" s="24" t="str" cm="1">
        <f t="array" ref="K4907">IFERROR(IF($B4907=K$1, ($A4907+$C4907) - MAX(IF($B$2:$B4906=$B4907, $A$2:$A4906+$C$2:$C4906)), "")*24*60, "")</f>
        <v/>
      </c>
      <c r="L4907" s="24" t="str" cm="1">
        <f t="array" ref="L4907">IFERROR(IF($B4907=L$1, ($A4907+$C4907) - MAX(IF($B$2:$B4906=$B4907, $A$2:$A4906+$C$2:$C4906)), "")*24*60, "")</f>
        <v/>
      </c>
      <c r="M4907" s="24" t="str" cm="1">
        <f t="array" ref="M4907">IFERROR(IF($B4907=M$1, ($A4907+$C4907) - MAX(IF($B$2:$B4906=$B4907, $A$2:$A4906+$C$2:$C4906)), "")*24*60, "")</f>
        <v/>
      </c>
      <c r="N4907" s="24" t="str" cm="1">
        <f t="array" ref="N4907">IFERROR(IF($B4907=N$1, ($A4907+$C4907) - MAX(IF($B$2:$B4906=$B4907, $A$2:$A4906+$C$2:$C4906)), "")*24*60, "")</f>
        <v/>
      </c>
      <c r="O4907" s="24" t="str" cm="1">
        <f t="array" ref="O4907">IFERROR(IF($B4907=O$1, ($A4907+$C4907) - MAX(IF($B$2:$B4906=$B4907, $A$2:$A4906+$C$2:$C4906)), "")*24*60, "")</f>
        <v/>
      </c>
      <c r="P4907" s="24" t="str" cm="1">
        <f t="array" ref="P4907">IFERROR(IF($B4907=P$1, ($A4907+$C4907) - MAX(IF($B$2:$B4906=$B4907, $A$2:$A4906+$C$2:$C4906)), "")*24*60, "")</f>
        <v/>
      </c>
      <c r="Q4907" s="24" t="str" cm="1">
        <f t="array" ref="Q4907">IFERROR(IF($B4907=Q$1, ($A4907+$C4907) - MAX(IF($B$2:$B4906=$B4907, $A$2:$A4906+$C$2:$C4906)), "")*24*60, "")</f>
        <v/>
      </c>
    </row>
    <row r="4908" spans="1:17" x14ac:dyDescent="0.2">
      <c r="A4908" s="12">
        <f t="shared" ref="A4908:C4908" si="1242">A4907</f>
        <v>45980</v>
      </c>
      <c r="B4908" s="5" t="str">
        <f t="shared" si="1242"/>
        <v>Northern Cardinal</v>
      </c>
      <c r="C4908" s="6">
        <f t="shared" si="1242"/>
        <v>0.29166666666666669</v>
      </c>
      <c r="D4908" s="5"/>
      <c r="E4908" s="5"/>
      <c r="F4908" s="5" t="s">
        <v>8</v>
      </c>
      <c r="G4908" s="15" t="s">
        <v>9</v>
      </c>
      <c r="H4908" s="24">
        <f t="shared" si="1129"/>
        <v>0</v>
      </c>
      <c r="I4908" s="24" cm="1">
        <f t="array" ref="I4908">IFERROR(IF($B4908=I$1, ($A4908+$C4908) - MAX(IF($B$2:$B4907=$B4908, $A$2:$A4907+$C$2:$C4907)), "")*24*60, "")</f>
        <v>0</v>
      </c>
      <c r="J4908" s="24" t="str" cm="1">
        <f t="array" ref="J4908">IFERROR(IF($B4908=J$1, ($A4908+$C4908) - MAX(IF($B$2:$B4907=$B4908, $A$2:$A4907+$C$2:$C4907)), "")*24*60, "")</f>
        <v/>
      </c>
      <c r="K4908" s="24" t="str" cm="1">
        <f t="array" ref="K4908">IFERROR(IF($B4908=K$1, ($A4908+$C4908) - MAX(IF($B$2:$B4907=$B4908, $A$2:$A4907+$C$2:$C4907)), "")*24*60, "")</f>
        <v/>
      </c>
      <c r="L4908" s="24" t="str" cm="1">
        <f t="array" ref="L4908">IFERROR(IF($B4908=L$1, ($A4908+$C4908) - MAX(IF($B$2:$B4907=$B4908, $A$2:$A4907+$C$2:$C4907)), "")*24*60, "")</f>
        <v/>
      </c>
      <c r="M4908" s="24" t="str" cm="1">
        <f t="array" ref="M4908">IFERROR(IF($B4908=M$1, ($A4908+$C4908) - MAX(IF($B$2:$B4907=$B4908, $A$2:$A4907+$C$2:$C4907)), "")*24*60, "")</f>
        <v/>
      </c>
      <c r="N4908" s="24" t="str" cm="1">
        <f t="array" ref="N4908">IFERROR(IF($B4908=N$1, ($A4908+$C4908) - MAX(IF($B$2:$B4907=$B4908, $A$2:$A4907+$C$2:$C4907)), "")*24*60, "")</f>
        <v/>
      </c>
      <c r="O4908" s="24" t="str" cm="1">
        <f t="array" ref="O4908">IFERROR(IF($B4908=O$1, ($A4908+$C4908) - MAX(IF($B$2:$B4907=$B4908, $A$2:$A4907+$C$2:$C4907)), "")*24*60, "")</f>
        <v/>
      </c>
      <c r="P4908" s="24" t="str" cm="1">
        <f t="array" ref="P4908">IFERROR(IF($B4908=P$1, ($A4908+$C4908) - MAX(IF($B$2:$B4907=$B4908, $A$2:$A4907+$C$2:$C4907)), "")*24*60, "")</f>
        <v/>
      </c>
      <c r="Q4908" s="24" t="str" cm="1">
        <f t="array" ref="Q4908">IFERROR(IF($B4908=Q$1, ($A4908+$C4908) - MAX(IF($B$2:$B4907=$B4908, $A$2:$A4907+$C$2:$C4907)), "")*24*60, "")</f>
        <v/>
      </c>
    </row>
    <row r="4909" spans="1:17" x14ac:dyDescent="0.2">
      <c r="A4909" s="12">
        <f t="shared" ref="A4909:C4909" si="1243">A4908</f>
        <v>45980</v>
      </c>
      <c r="B4909" s="5" t="str">
        <f t="shared" si="1243"/>
        <v>Northern Cardinal</v>
      </c>
      <c r="C4909" s="6">
        <f t="shared" si="1243"/>
        <v>0.29166666666666669</v>
      </c>
      <c r="D4909" s="5"/>
      <c r="E4909" s="5"/>
      <c r="F4909" s="5" t="s">
        <v>8</v>
      </c>
      <c r="G4909" s="15" t="s">
        <v>9</v>
      </c>
      <c r="H4909" s="24">
        <f t="shared" si="1129"/>
        <v>0</v>
      </c>
      <c r="I4909" s="24" cm="1">
        <f t="array" ref="I4909">IFERROR(IF($B4909=I$1, ($A4909+$C4909) - MAX(IF($B$2:$B4908=$B4909, $A$2:$A4908+$C$2:$C4908)), "")*24*60, "")</f>
        <v>0</v>
      </c>
      <c r="J4909" s="24" t="str" cm="1">
        <f t="array" ref="J4909">IFERROR(IF($B4909=J$1, ($A4909+$C4909) - MAX(IF($B$2:$B4908=$B4909, $A$2:$A4908+$C$2:$C4908)), "")*24*60, "")</f>
        <v/>
      </c>
      <c r="K4909" s="24" t="str" cm="1">
        <f t="array" ref="K4909">IFERROR(IF($B4909=K$1, ($A4909+$C4909) - MAX(IF($B$2:$B4908=$B4909, $A$2:$A4908+$C$2:$C4908)), "")*24*60, "")</f>
        <v/>
      </c>
      <c r="L4909" s="24" t="str" cm="1">
        <f t="array" ref="L4909">IFERROR(IF($B4909=L$1, ($A4909+$C4909) - MAX(IF($B$2:$B4908=$B4909, $A$2:$A4908+$C$2:$C4908)), "")*24*60, "")</f>
        <v/>
      </c>
      <c r="M4909" s="24" t="str" cm="1">
        <f t="array" ref="M4909">IFERROR(IF($B4909=M$1, ($A4909+$C4909) - MAX(IF($B$2:$B4908=$B4909, $A$2:$A4908+$C$2:$C4908)), "")*24*60, "")</f>
        <v/>
      </c>
      <c r="N4909" s="24" t="str" cm="1">
        <f t="array" ref="N4909">IFERROR(IF($B4909=N$1, ($A4909+$C4909) - MAX(IF($B$2:$B4908=$B4909, $A$2:$A4908+$C$2:$C4908)), "")*24*60, "")</f>
        <v/>
      </c>
      <c r="O4909" s="24" t="str" cm="1">
        <f t="array" ref="O4909">IFERROR(IF($B4909=O$1, ($A4909+$C4909) - MAX(IF($B$2:$B4908=$B4909, $A$2:$A4908+$C$2:$C4908)), "")*24*60, "")</f>
        <v/>
      </c>
      <c r="P4909" s="24" t="str" cm="1">
        <f t="array" ref="P4909">IFERROR(IF($B4909=P$1, ($A4909+$C4909) - MAX(IF($B$2:$B4908=$B4909, $A$2:$A4908+$C$2:$C4908)), "")*24*60, "")</f>
        <v/>
      </c>
      <c r="Q4909" s="24" t="str" cm="1">
        <f t="array" ref="Q4909">IFERROR(IF($B4909=Q$1, ($A4909+$C4909) - MAX(IF($B$2:$B4908=$B4909, $A$2:$A4908+$C$2:$C4908)), "")*24*60, "")</f>
        <v/>
      </c>
    </row>
    <row r="4910" spans="1:17" x14ac:dyDescent="0.2">
      <c r="A4910" s="12">
        <f t="shared" ref="A4910:C4910" si="1244">A4909</f>
        <v>45980</v>
      </c>
      <c r="B4910" s="5" t="str">
        <f t="shared" si="1244"/>
        <v>Northern Cardinal</v>
      </c>
      <c r="C4910" s="6">
        <f t="shared" si="1244"/>
        <v>0.29166666666666669</v>
      </c>
      <c r="D4910" s="5"/>
      <c r="E4910" s="5"/>
      <c r="F4910" s="5" t="s">
        <v>8</v>
      </c>
      <c r="G4910" s="15" t="s">
        <v>9</v>
      </c>
      <c r="H4910" s="24">
        <f t="shared" si="1129"/>
        <v>0</v>
      </c>
      <c r="I4910" s="24" cm="1">
        <f t="array" ref="I4910">IFERROR(IF($B4910=I$1, ($A4910+$C4910) - MAX(IF($B$2:$B4909=$B4910, $A$2:$A4909+$C$2:$C4909)), "")*24*60, "")</f>
        <v>0</v>
      </c>
      <c r="J4910" s="24" t="str" cm="1">
        <f t="array" ref="J4910">IFERROR(IF($B4910=J$1, ($A4910+$C4910) - MAX(IF($B$2:$B4909=$B4910, $A$2:$A4909+$C$2:$C4909)), "")*24*60, "")</f>
        <v/>
      </c>
      <c r="K4910" s="24" t="str" cm="1">
        <f t="array" ref="K4910">IFERROR(IF($B4910=K$1, ($A4910+$C4910) - MAX(IF($B$2:$B4909=$B4910, $A$2:$A4909+$C$2:$C4909)), "")*24*60, "")</f>
        <v/>
      </c>
      <c r="L4910" s="24" t="str" cm="1">
        <f t="array" ref="L4910">IFERROR(IF($B4910=L$1, ($A4910+$C4910) - MAX(IF($B$2:$B4909=$B4910, $A$2:$A4909+$C$2:$C4909)), "")*24*60, "")</f>
        <v/>
      </c>
      <c r="M4910" s="24" t="str" cm="1">
        <f t="array" ref="M4910">IFERROR(IF($B4910=M$1, ($A4910+$C4910) - MAX(IF($B$2:$B4909=$B4910, $A$2:$A4909+$C$2:$C4909)), "")*24*60, "")</f>
        <v/>
      </c>
      <c r="N4910" s="24" t="str" cm="1">
        <f t="array" ref="N4910">IFERROR(IF($B4910=N$1, ($A4910+$C4910) - MAX(IF($B$2:$B4909=$B4910, $A$2:$A4909+$C$2:$C4909)), "")*24*60, "")</f>
        <v/>
      </c>
      <c r="O4910" s="24" t="str" cm="1">
        <f t="array" ref="O4910">IFERROR(IF($B4910=O$1, ($A4910+$C4910) - MAX(IF($B$2:$B4909=$B4910, $A$2:$A4909+$C$2:$C4909)), "")*24*60, "")</f>
        <v/>
      </c>
      <c r="P4910" s="24" t="str" cm="1">
        <f t="array" ref="P4910">IFERROR(IF($B4910=P$1, ($A4910+$C4910) - MAX(IF($B$2:$B4909=$B4910, $A$2:$A4909+$C$2:$C4909)), "")*24*60, "")</f>
        <v/>
      </c>
      <c r="Q4910" s="24" t="str" cm="1">
        <f t="array" ref="Q4910">IFERROR(IF($B4910=Q$1, ($A4910+$C4910) - MAX(IF($B$2:$B4909=$B4910, $A$2:$A4909+$C$2:$C4909)), "")*24*60, "")</f>
        <v/>
      </c>
    </row>
    <row r="4911" spans="1:17" x14ac:dyDescent="0.2">
      <c r="A4911" s="12">
        <f t="shared" ref="A4911:C4911" si="1245">A4910</f>
        <v>45980</v>
      </c>
      <c r="B4911" s="5" t="str">
        <f t="shared" si="1245"/>
        <v>Northern Cardinal</v>
      </c>
      <c r="C4911" s="6">
        <f t="shared" si="1245"/>
        <v>0.29166666666666669</v>
      </c>
      <c r="D4911" s="5"/>
      <c r="E4911" s="5"/>
      <c r="F4911" s="5" t="s">
        <v>8</v>
      </c>
      <c r="G4911" s="15" t="s">
        <v>9</v>
      </c>
      <c r="H4911" s="24">
        <f t="shared" si="1129"/>
        <v>0</v>
      </c>
      <c r="I4911" s="24" cm="1">
        <f t="array" ref="I4911">IFERROR(IF($B4911=I$1, ($A4911+$C4911) - MAX(IF($B$2:$B4910=$B4911, $A$2:$A4910+$C$2:$C4910)), "")*24*60, "")</f>
        <v>0</v>
      </c>
      <c r="J4911" s="24" t="str" cm="1">
        <f t="array" ref="J4911">IFERROR(IF($B4911=J$1, ($A4911+$C4911) - MAX(IF($B$2:$B4910=$B4911, $A$2:$A4910+$C$2:$C4910)), "")*24*60, "")</f>
        <v/>
      </c>
      <c r="K4911" s="24" t="str" cm="1">
        <f t="array" ref="K4911">IFERROR(IF($B4911=K$1, ($A4911+$C4911) - MAX(IF($B$2:$B4910=$B4911, $A$2:$A4910+$C$2:$C4910)), "")*24*60, "")</f>
        <v/>
      </c>
      <c r="L4911" s="24" t="str" cm="1">
        <f t="array" ref="L4911">IFERROR(IF($B4911=L$1, ($A4911+$C4911) - MAX(IF($B$2:$B4910=$B4911, $A$2:$A4910+$C$2:$C4910)), "")*24*60, "")</f>
        <v/>
      </c>
      <c r="M4911" s="24" t="str" cm="1">
        <f t="array" ref="M4911">IFERROR(IF($B4911=M$1, ($A4911+$C4911) - MAX(IF($B$2:$B4910=$B4911, $A$2:$A4910+$C$2:$C4910)), "")*24*60, "")</f>
        <v/>
      </c>
      <c r="N4911" s="24" t="str" cm="1">
        <f t="array" ref="N4911">IFERROR(IF($B4911=N$1, ($A4911+$C4911) - MAX(IF($B$2:$B4910=$B4911, $A$2:$A4910+$C$2:$C4910)), "")*24*60, "")</f>
        <v/>
      </c>
      <c r="O4911" s="24" t="str" cm="1">
        <f t="array" ref="O4911">IFERROR(IF($B4911=O$1, ($A4911+$C4911) - MAX(IF($B$2:$B4910=$B4911, $A$2:$A4910+$C$2:$C4910)), "")*24*60, "")</f>
        <v/>
      </c>
      <c r="P4911" s="24" t="str" cm="1">
        <f t="array" ref="P4911">IFERROR(IF($B4911=P$1, ($A4911+$C4911) - MAX(IF($B$2:$B4910=$B4911, $A$2:$A4910+$C$2:$C4910)), "")*24*60, "")</f>
        <v/>
      </c>
      <c r="Q4911" s="24" t="str" cm="1">
        <f t="array" ref="Q4911">IFERROR(IF($B4911=Q$1, ($A4911+$C4911) - MAX(IF($B$2:$B4910=$B4911, $A$2:$A4910+$C$2:$C4910)), "")*24*60, "")</f>
        <v/>
      </c>
    </row>
    <row r="4912" spans="1:17" x14ac:dyDescent="0.2">
      <c r="A4912" s="12">
        <f t="shared" ref="A4912:C4912" si="1246">A4911</f>
        <v>45980</v>
      </c>
      <c r="B4912" s="5" t="str">
        <f t="shared" si="1246"/>
        <v>Northern Cardinal</v>
      </c>
      <c r="C4912" s="6">
        <f t="shared" si="1246"/>
        <v>0.29166666666666669</v>
      </c>
      <c r="D4912" s="5"/>
      <c r="E4912" s="5"/>
      <c r="F4912" s="5" t="s">
        <v>8</v>
      </c>
      <c r="G4912" s="15" t="s">
        <v>9</v>
      </c>
      <c r="H4912" s="24">
        <f t="shared" si="1129"/>
        <v>0</v>
      </c>
      <c r="I4912" s="24" cm="1">
        <f t="array" ref="I4912">IFERROR(IF($B4912=I$1, ($A4912+$C4912) - MAX(IF($B$2:$B4911=$B4912, $A$2:$A4911+$C$2:$C4911)), "")*24*60, "")</f>
        <v>0</v>
      </c>
      <c r="J4912" s="24" t="str" cm="1">
        <f t="array" ref="J4912">IFERROR(IF($B4912=J$1, ($A4912+$C4912) - MAX(IF($B$2:$B4911=$B4912, $A$2:$A4911+$C$2:$C4911)), "")*24*60, "")</f>
        <v/>
      </c>
      <c r="K4912" s="24" t="str" cm="1">
        <f t="array" ref="K4912">IFERROR(IF($B4912=K$1, ($A4912+$C4912) - MAX(IF($B$2:$B4911=$B4912, $A$2:$A4911+$C$2:$C4911)), "")*24*60, "")</f>
        <v/>
      </c>
      <c r="L4912" s="24" t="str" cm="1">
        <f t="array" ref="L4912">IFERROR(IF($B4912=L$1, ($A4912+$C4912) - MAX(IF($B$2:$B4911=$B4912, $A$2:$A4911+$C$2:$C4911)), "")*24*60, "")</f>
        <v/>
      </c>
      <c r="M4912" s="24" t="str" cm="1">
        <f t="array" ref="M4912">IFERROR(IF($B4912=M$1, ($A4912+$C4912) - MAX(IF($B$2:$B4911=$B4912, $A$2:$A4911+$C$2:$C4911)), "")*24*60, "")</f>
        <v/>
      </c>
      <c r="N4912" s="24" t="str" cm="1">
        <f t="array" ref="N4912">IFERROR(IF($B4912=N$1, ($A4912+$C4912) - MAX(IF($B$2:$B4911=$B4912, $A$2:$A4911+$C$2:$C4911)), "")*24*60, "")</f>
        <v/>
      </c>
      <c r="O4912" s="24" t="str" cm="1">
        <f t="array" ref="O4912">IFERROR(IF($B4912=O$1, ($A4912+$C4912) - MAX(IF($B$2:$B4911=$B4912, $A$2:$A4911+$C$2:$C4911)), "")*24*60, "")</f>
        <v/>
      </c>
      <c r="P4912" s="24" t="str" cm="1">
        <f t="array" ref="P4912">IFERROR(IF($B4912=P$1, ($A4912+$C4912) - MAX(IF($B$2:$B4911=$B4912, $A$2:$A4911+$C$2:$C4911)), "")*24*60, "")</f>
        <v/>
      </c>
      <c r="Q4912" s="24" t="str" cm="1">
        <f t="array" ref="Q4912">IFERROR(IF($B4912=Q$1, ($A4912+$C4912) - MAX(IF($B$2:$B4911=$B4912, $A$2:$A4911+$C$2:$C4911)), "")*24*60, "")</f>
        <v/>
      </c>
    </row>
    <row r="4913" spans="1:17" x14ac:dyDescent="0.2">
      <c r="A4913" s="12">
        <f t="shared" ref="A4913:C4913" si="1247">A4912</f>
        <v>45980</v>
      </c>
      <c r="B4913" s="5" t="str">
        <f t="shared" si="1247"/>
        <v>Northern Cardinal</v>
      </c>
      <c r="C4913" s="6">
        <f t="shared" si="1247"/>
        <v>0.29166666666666669</v>
      </c>
      <c r="D4913" s="5"/>
      <c r="E4913" s="5"/>
      <c r="F4913" s="5" t="s">
        <v>8</v>
      </c>
      <c r="G4913" s="15" t="s">
        <v>9</v>
      </c>
      <c r="H4913" s="24">
        <f t="shared" si="1129"/>
        <v>0</v>
      </c>
      <c r="I4913" s="24" cm="1">
        <f t="array" ref="I4913">IFERROR(IF($B4913=I$1, ($A4913+$C4913) - MAX(IF($B$2:$B4912=$B4913, $A$2:$A4912+$C$2:$C4912)), "")*24*60, "")</f>
        <v>0</v>
      </c>
      <c r="J4913" s="24" t="str" cm="1">
        <f t="array" ref="J4913">IFERROR(IF($B4913=J$1, ($A4913+$C4913) - MAX(IF($B$2:$B4912=$B4913, $A$2:$A4912+$C$2:$C4912)), "")*24*60, "")</f>
        <v/>
      </c>
      <c r="K4913" s="24" t="str" cm="1">
        <f t="array" ref="K4913">IFERROR(IF($B4913=K$1, ($A4913+$C4913) - MAX(IF($B$2:$B4912=$B4913, $A$2:$A4912+$C$2:$C4912)), "")*24*60, "")</f>
        <v/>
      </c>
      <c r="L4913" s="24" t="str" cm="1">
        <f t="array" ref="L4913">IFERROR(IF($B4913=L$1, ($A4913+$C4913) - MAX(IF($B$2:$B4912=$B4913, $A$2:$A4912+$C$2:$C4912)), "")*24*60, "")</f>
        <v/>
      </c>
      <c r="M4913" s="24" t="str" cm="1">
        <f t="array" ref="M4913">IFERROR(IF($B4913=M$1, ($A4913+$C4913) - MAX(IF($B$2:$B4912=$B4913, $A$2:$A4912+$C$2:$C4912)), "")*24*60, "")</f>
        <v/>
      </c>
      <c r="N4913" s="24" t="str" cm="1">
        <f t="array" ref="N4913">IFERROR(IF($B4913=N$1, ($A4913+$C4913) - MAX(IF($B$2:$B4912=$B4913, $A$2:$A4912+$C$2:$C4912)), "")*24*60, "")</f>
        <v/>
      </c>
      <c r="O4913" s="24" t="str" cm="1">
        <f t="array" ref="O4913">IFERROR(IF($B4913=O$1, ($A4913+$C4913) - MAX(IF($B$2:$B4912=$B4913, $A$2:$A4912+$C$2:$C4912)), "")*24*60, "")</f>
        <v/>
      </c>
      <c r="P4913" s="24" t="str" cm="1">
        <f t="array" ref="P4913">IFERROR(IF($B4913=P$1, ($A4913+$C4913) - MAX(IF($B$2:$B4912=$B4913, $A$2:$A4912+$C$2:$C4912)), "")*24*60, "")</f>
        <v/>
      </c>
      <c r="Q4913" s="24" t="str" cm="1">
        <f t="array" ref="Q4913">IFERROR(IF($B4913=Q$1, ($A4913+$C4913) - MAX(IF($B$2:$B4912=$B4913, $A$2:$A4912+$C$2:$C4912)), "")*24*60, "")</f>
        <v/>
      </c>
    </row>
    <row r="4914" spans="1:17" x14ac:dyDescent="0.2">
      <c r="A4914" s="12">
        <f t="shared" ref="A4914:C4914" si="1248">A4913</f>
        <v>45980</v>
      </c>
      <c r="B4914" s="5" t="str">
        <f t="shared" si="1248"/>
        <v>Northern Cardinal</v>
      </c>
      <c r="C4914" s="6">
        <f t="shared" si="1248"/>
        <v>0.29166666666666669</v>
      </c>
      <c r="D4914" s="5"/>
      <c r="E4914" s="5"/>
      <c r="F4914" s="5" t="s">
        <v>8</v>
      </c>
      <c r="G4914" s="15" t="s">
        <v>9</v>
      </c>
      <c r="H4914" s="24">
        <f t="shared" si="1129"/>
        <v>0</v>
      </c>
      <c r="I4914" s="24" cm="1">
        <f t="array" ref="I4914">IFERROR(IF($B4914=I$1, ($A4914+$C4914) - MAX(IF($B$2:$B4913=$B4914, $A$2:$A4913+$C$2:$C4913)), "")*24*60, "")</f>
        <v>0</v>
      </c>
      <c r="J4914" s="24" t="str" cm="1">
        <f t="array" ref="J4914">IFERROR(IF($B4914=J$1, ($A4914+$C4914) - MAX(IF($B$2:$B4913=$B4914, $A$2:$A4913+$C$2:$C4913)), "")*24*60, "")</f>
        <v/>
      </c>
      <c r="K4914" s="24" t="str" cm="1">
        <f t="array" ref="K4914">IFERROR(IF($B4914=K$1, ($A4914+$C4914) - MAX(IF($B$2:$B4913=$B4914, $A$2:$A4913+$C$2:$C4913)), "")*24*60, "")</f>
        <v/>
      </c>
      <c r="L4914" s="24" t="str" cm="1">
        <f t="array" ref="L4914">IFERROR(IF($B4914=L$1, ($A4914+$C4914) - MAX(IF($B$2:$B4913=$B4914, $A$2:$A4913+$C$2:$C4913)), "")*24*60, "")</f>
        <v/>
      </c>
      <c r="M4914" s="24" t="str" cm="1">
        <f t="array" ref="M4914">IFERROR(IF($B4914=M$1, ($A4914+$C4914) - MAX(IF($B$2:$B4913=$B4914, $A$2:$A4913+$C$2:$C4913)), "")*24*60, "")</f>
        <v/>
      </c>
      <c r="N4914" s="24" t="str" cm="1">
        <f t="array" ref="N4914">IFERROR(IF($B4914=N$1, ($A4914+$C4914) - MAX(IF($B$2:$B4913=$B4914, $A$2:$A4913+$C$2:$C4913)), "")*24*60, "")</f>
        <v/>
      </c>
      <c r="O4914" s="24" t="str" cm="1">
        <f t="array" ref="O4914">IFERROR(IF($B4914=O$1, ($A4914+$C4914) - MAX(IF($B$2:$B4913=$B4914, $A$2:$A4913+$C$2:$C4913)), "")*24*60, "")</f>
        <v/>
      </c>
      <c r="P4914" s="24" t="str" cm="1">
        <f t="array" ref="P4914">IFERROR(IF($B4914=P$1, ($A4914+$C4914) - MAX(IF($B$2:$B4913=$B4914, $A$2:$A4913+$C$2:$C4913)), "")*24*60, "")</f>
        <v/>
      </c>
      <c r="Q4914" s="24" t="str" cm="1">
        <f t="array" ref="Q4914">IFERROR(IF($B4914=Q$1, ($A4914+$C4914) - MAX(IF($B$2:$B4913=$B4914, $A$2:$A4913+$C$2:$C4913)), "")*24*60, "")</f>
        <v/>
      </c>
    </row>
    <row r="4915" spans="1:17" x14ac:dyDescent="0.2">
      <c r="A4915" s="12">
        <f t="shared" ref="A4915:C4915" si="1249">A4914</f>
        <v>45980</v>
      </c>
      <c r="B4915" s="5" t="str">
        <f t="shared" si="1249"/>
        <v>Northern Cardinal</v>
      </c>
      <c r="C4915" s="6">
        <f t="shared" si="1249"/>
        <v>0.29166666666666669</v>
      </c>
      <c r="D4915" s="5"/>
      <c r="E4915" s="5"/>
      <c r="F4915" s="5" t="s">
        <v>8</v>
      </c>
      <c r="G4915" s="15" t="s">
        <v>9</v>
      </c>
      <c r="H4915" s="24">
        <f t="shared" si="1129"/>
        <v>0</v>
      </c>
      <c r="I4915" s="24" cm="1">
        <f t="array" ref="I4915">IFERROR(IF($B4915=I$1, ($A4915+$C4915) - MAX(IF($B$2:$B4914=$B4915, $A$2:$A4914+$C$2:$C4914)), "")*24*60, "")</f>
        <v>0</v>
      </c>
      <c r="J4915" s="24" t="str" cm="1">
        <f t="array" ref="J4915">IFERROR(IF($B4915=J$1, ($A4915+$C4915) - MAX(IF($B$2:$B4914=$B4915, $A$2:$A4914+$C$2:$C4914)), "")*24*60, "")</f>
        <v/>
      </c>
      <c r="K4915" s="24" t="str" cm="1">
        <f t="array" ref="K4915">IFERROR(IF($B4915=K$1, ($A4915+$C4915) - MAX(IF($B$2:$B4914=$B4915, $A$2:$A4914+$C$2:$C4914)), "")*24*60, "")</f>
        <v/>
      </c>
      <c r="L4915" s="24" t="str" cm="1">
        <f t="array" ref="L4915">IFERROR(IF($B4915=L$1, ($A4915+$C4915) - MAX(IF($B$2:$B4914=$B4915, $A$2:$A4914+$C$2:$C4914)), "")*24*60, "")</f>
        <v/>
      </c>
      <c r="M4915" s="24" t="str" cm="1">
        <f t="array" ref="M4915">IFERROR(IF($B4915=M$1, ($A4915+$C4915) - MAX(IF($B$2:$B4914=$B4915, $A$2:$A4914+$C$2:$C4914)), "")*24*60, "")</f>
        <v/>
      </c>
      <c r="N4915" s="24" t="str" cm="1">
        <f t="array" ref="N4915">IFERROR(IF($B4915=N$1, ($A4915+$C4915) - MAX(IF($B$2:$B4914=$B4915, $A$2:$A4914+$C$2:$C4914)), "")*24*60, "")</f>
        <v/>
      </c>
      <c r="O4915" s="24" t="str" cm="1">
        <f t="array" ref="O4915">IFERROR(IF($B4915=O$1, ($A4915+$C4915) - MAX(IF($B$2:$B4914=$B4915, $A$2:$A4914+$C$2:$C4914)), "")*24*60, "")</f>
        <v/>
      </c>
      <c r="P4915" s="24" t="str" cm="1">
        <f t="array" ref="P4915">IFERROR(IF($B4915=P$1, ($A4915+$C4915) - MAX(IF($B$2:$B4914=$B4915, $A$2:$A4914+$C$2:$C4914)), "")*24*60, "")</f>
        <v/>
      </c>
      <c r="Q4915" s="24" t="str" cm="1">
        <f t="array" ref="Q4915">IFERROR(IF($B4915=Q$1, ($A4915+$C4915) - MAX(IF($B$2:$B4914=$B4915, $A$2:$A4914+$C$2:$C4914)), "")*24*60, "")</f>
        <v/>
      </c>
    </row>
    <row r="4916" spans="1:17" x14ac:dyDescent="0.2">
      <c r="A4916" s="12">
        <f t="shared" ref="A4916:C4916" si="1250">A4915</f>
        <v>45980</v>
      </c>
      <c r="B4916" s="5" t="str">
        <f t="shared" si="1250"/>
        <v>Northern Cardinal</v>
      </c>
      <c r="C4916" s="6">
        <f t="shared" si="1250"/>
        <v>0.29166666666666669</v>
      </c>
      <c r="D4916" s="5"/>
      <c r="E4916" s="5"/>
      <c r="F4916" s="5" t="s">
        <v>8</v>
      </c>
      <c r="G4916" s="15" t="s">
        <v>9</v>
      </c>
      <c r="H4916" s="24">
        <f t="shared" si="1129"/>
        <v>0</v>
      </c>
      <c r="I4916" s="24" cm="1">
        <f t="array" ref="I4916">IFERROR(IF($B4916=I$1, ($A4916+$C4916) - MAX(IF($B$2:$B4915=$B4916, $A$2:$A4915+$C$2:$C4915)), "")*24*60, "")</f>
        <v>0</v>
      </c>
      <c r="J4916" s="24" t="str" cm="1">
        <f t="array" ref="J4916">IFERROR(IF($B4916=J$1, ($A4916+$C4916) - MAX(IF($B$2:$B4915=$B4916, $A$2:$A4915+$C$2:$C4915)), "")*24*60, "")</f>
        <v/>
      </c>
      <c r="K4916" s="24" t="str" cm="1">
        <f t="array" ref="K4916">IFERROR(IF($B4916=K$1, ($A4916+$C4916) - MAX(IF($B$2:$B4915=$B4916, $A$2:$A4915+$C$2:$C4915)), "")*24*60, "")</f>
        <v/>
      </c>
      <c r="L4916" s="24" t="str" cm="1">
        <f t="array" ref="L4916">IFERROR(IF($B4916=L$1, ($A4916+$C4916) - MAX(IF($B$2:$B4915=$B4916, $A$2:$A4915+$C$2:$C4915)), "")*24*60, "")</f>
        <v/>
      </c>
      <c r="M4916" s="24" t="str" cm="1">
        <f t="array" ref="M4916">IFERROR(IF($B4916=M$1, ($A4916+$C4916) - MAX(IF($B$2:$B4915=$B4916, $A$2:$A4915+$C$2:$C4915)), "")*24*60, "")</f>
        <v/>
      </c>
      <c r="N4916" s="24" t="str" cm="1">
        <f t="array" ref="N4916">IFERROR(IF($B4916=N$1, ($A4916+$C4916) - MAX(IF($B$2:$B4915=$B4916, $A$2:$A4915+$C$2:$C4915)), "")*24*60, "")</f>
        <v/>
      </c>
      <c r="O4916" s="24" t="str" cm="1">
        <f t="array" ref="O4916">IFERROR(IF($B4916=O$1, ($A4916+$C4916) - MAX(IF($B$2:$B4915=$B4916, $A$2:$A4915+$C$2:$C4915)), "")*24*60, "")</f>
        <v/>
      </c>
      <c r="P4916" s="24" t="str" cm="1">
        <f t="array" ref="P4916">IFERROR(IF($B4916=P$1, ($A4916+$C4916) - MAX(IF($B$2:$B4915=$B4916, $A$2:$A4915+$C$2:$C4915)), "")*24*60, "")</f>
        <v/>
      </c>
      <c r="Q4916" s="24" t="str" cm="1">
        <f t="array" ref="Q4916">IFERROR(IF($B4916=Q$1, ($A4916+$C4916) - MAX(IF($B$2:$B4915=$B4916, $A$2:$A4915+$C$2:$C4915)), "")*24*60, "")</f>
        <v/>
      </c>
    </row>
    <row r="4917" spans="1:17" x14ac:dyDescent="0.2">
      <c r="A4917" s="12">
        <f t="shared" ref="A4917:C4917" si="1251">A4916</f>
        <v>45980</v>
      </c>
      <c r="B4917" s="5" t="str">
        <f t="shared" si="1251"/>
        <v>Northern Cardinal</v>
      </c>
      <c r="C4917" s="6">
        <f t="shared" si="1251"/>
        <v>0.29166666666666669</v>
      </c>
      <c r="D4917" s="5"/>
      <c r="E4917" s="5"/>
      <c r="F4917" s="5" t="s">
        <v>8</v>
      </c>
      <c r="G4917" s="15" t="s">
        <v>9</v>
      </c>
      <c r="H4917" s="24">
        <f t="shared" si="1129"/>
        <v>0</v>
      </c>
      <c r="I4917" s="24" cm="1">
        <f t="array" ref="I4917">IFERROR(IF($B4917=I$1, ($A4917+$C4917) - MAX(IF($B$2:$B4916=$B4917, $A$2:$A4916+$C$2:$C4916)), "")*24*60, "")</f>
        <v>0</v>
      </c>
      <c r="J4917" s="24" t="str" cm="1">
        <f t="array" ref="J4917">IFERROR(IF($B4917=J$1, ($A4917+$C4917) - MAX(IF($B$2:$B4916=$B4917, $A$2:$A4916+$C$2:$C4916)), "")*24*60, "")</f>
        <v/>
      </c>
      <c r="K4917" s="24" t="str" cm="1">
        <f t="array" ref="K4917">IFERROR(IF($B4917=K$1, ($A4917+$C4917) - MAX(IF($B$2:$B4916=$B4917, $A$2:$A4916+$C$2:$C4916)), "")*24*60, "")</f>
        <v/>
      </c>
      <c r="L4917" s="24" t="str" cm="1">
        <f t="array" ref="L4917">IFERROR(IF($B4917=L$1, ($A4917+$C4917) - MAX(IF($B$2:$B4916=$B4917, $A$2:$A4916+$C$2:$C4916)), "")*24*60, "")</f>
        <v/>
      </c>
      <c r="M4917" s="24" t="str" cm="1">
        <f t="array" ref="M4917">IFERROR(IF($B4917=M$1, ($A4917+$C4917) - MAX(IF($B$2:$B4916=$B4917, $A$2:$A4916+$C$2:$C4916)), "")*24*60, "")</f>
        <v/>
      </c>
      <c r="N4917" s="24" t="str" cm="1">
        <f t="array" ref="N4917">IFERROR(IF($B4917=N$1, ($A4917+$C4917) - MAX(IF($B$2:$B4916=$B4917, $A$2:$A4916+$C$2:$C4916)), "")*24*60, "")</f>
        <v/>
      </c>
      <c r="O4917" s="24" t="str" cm="1">
        <f t="array" ref="O4917">IFERROR(IF($B4917=O$1, ($A4917+$C4917) - MAX(IF($B$2:$B4916=$B4917, $A$2:$A4916+$C$2:$C4916)), "")*24*60, "")</f>
        <v/>
      </c>
      <c r="P4917" s="24" t="str" cm="1">
        <f t="array" ref="P4917">IFERROR(IF($B4917=P$1, ($A4917+$C4917) - MAX(IF($B$2:$B4916=$B4917, $A$2:$A4916+$C$2:$C4916)), "")*24*60, "")</f>
        <v/>
      </c>
      <c r="Q4917" s="24" t="str" cm="1">
        <f t="array" ref="Q4917">IFERROR(IF($B4917=Q$1, ($A4917+$C4917) - MAX(IF($B$2:$B4916=$B4917, $A$2:$A4916+$C$2:$C4916)), "")*24*60, "")</f>
        <v/>
      </c>
    </row>
    <row r="4918" spans="1:17" x14ac:dyDescent="0.2">
      <c r="A4918" s="12">
        <f t="shared" ref="A4918:C4918" si="1252">A4917</f>
        <v>45980</v>
      </c>
      <c r="B4918" s="5" t="str">
        <f t="shared" si="1252"/>
        <v>Northern Cardinal</v>
      </c>
      <c r="C4918" s="6">
        <f t="shared" si="1252"/>
        <v>0.29166666666666669</v>
      </c>
      <c r="D4918" s="5"/>
      <c r="E4918" s="5"/>
      <c r="F4918" s="5" t="s">
        <v>8</v>
      </c>
      <c r="G4918" s="15" t="s">
        <v>9</v>
      </c>
      <c r="H4918" s="24">
        <f t="shared" ref="H4918:H4981" si="1253">IFERROR((($A4918+$C4918) - ($A4917+$C4917))*24*60, "")</f>
        <v>0</v>
      </c>
      <c r="I4918" s="24" cm="1">
        <f t="array" ref="I4918">IFERROR(IF($B4918=I$1, ($A4918+$C4918) - MAX(IF($B$2:$B4917=$B4918, $A$2:$A4917+$C$2:$C4917)), "")*24*60, "")</f>
        <v>0</v>
      </c>
      <c r="J4918" s="24" t="str" cm="1">
        <f t="array" ref="J4918">IFERROR(IF($B4918=J$1, ($A4918+$C4918) - MAX(IF($B$2:$B4917=$B4918, $A$2:$A4917+$C$2:$C4917)), "")*24*60, "")</f>
        <v/>
      </c>
      <c r="K4918" s="24" t="str" cm="1">
        <f t="array" ref="K4918">IFERROR(IF($B4918=K$1, ($A4918+$C4918) - MAX(IF($B$2:$B4917=$B4918, $A$2:$A4917+$C$2:$C4917)), "")*24*60, "")</f>
        <v/>
      </c>
      <c r="L4918" s="24" t="str" cm="1">
        <f t="array" ref="L4918">IFERROR(IF($B4918=L$1, ($A4918+$C4918) - MAX(IF($B$2:$B4917=$B4918, $A$2:$A4917+$C$2:$C4917)), "")*24*60, "")</f>
        <v/>
      </c>
      <c r="M4918" s="24" t="str" cm="1">
        <f t="array" ref="M4918">IFERROR(IF($B4918=M$1, ($A4918+$C4918) - MAX(IF($B$2:$B4917=$B4918, $A$2:$A4917+$C$2:$C4917)), "")*24*60, "")</f>
        <v/>
      </c>
      <c r="N4918" s="24" t="str" cm="1">
        <f t="array" ref="N4918">IFERROR(IF($B4918=N$1, ($A4918+$C4918) - MAX(IF($B$2:$B4917=$B4918, $A$2:$A4917+$C$2:$C4917)), "")*24*60, "")</f>
        <v/>
      </c>
      <c r="O4918" s="24" t="str" cm="1">
        <f t="array" ref="O4918">IFERROR(IF($B4918=O$1, ($A4918+$C4918) - MAX(IF($B$2:$B4917=$B4918, $A$2:$A4917+$C$2:$C4917)), "")*24*60, "")</f>
        <v/>
      </c>
      <c r="P4918" s="24" t="str" cm="1">
        <f t="array" ref="P4918">IFERROR(IF($B4918=P$1, ($A4918+$C4918) - MAX(IF($B$2:$B4917=$B4918, $A$2:$A4917+$C$2:$C4917)), "")*24*60, "")</f>
        <v/>
      </c>
      <c r="Q4918" s="24" t="str" cm="1">
        <f t="array" ref="Q4918">IFERROR(IF($B4918=Q$1, ($A4918+$C4918) - MAX(IF($B$2:$B4917=$B4918, $A$2:$A4917+$C$2:$C4917)), "")*24*60, "")</f>
        <v/>
      </c>
    </row>
    <row r="4919" spans="1:17" x14ac:dyDescent="0.2">
      <c r="A4919" s="12">
        <f t="shared" ref="A4919:C4919" si="1254">A4918</f>
        <v>45980</v>
      </c>
      <c r="B4919" s="5" t="str">
        <f t="shared" si="1254"/>
        <v>Northern Cardinal</v>
      </c>
      <c r="C4919" s="6">
        <f t="shared" si="1254"/>
        <v>0.29166666666666669</v>
      </c>
      <c r="D4919" s="5"/>
      <c r="E4919" s="5"/>
      <c r="F4919" s="5" t="s">
        <v>8</v>
      </c>
      <c r="G4919" s="15" t="s">
        <v>9</v>
      </c>
      <c r="H4919" s="24">
        <f t="shared" si="1253"/>
        <v>0</v>
      </c>
      <c r="I4919" s="24" cm="1">
        <f t="array" ref="I4919">IFERROR(IF($B4919=I$1, ($A4919+$C4919) - MAX(IF($B$2:$B4918=$B4919, $A$2:$A4918+$C$2:$C4918)), "")*24*60, "")</f>
        <v>0</v>
      </c>
      <c r="J4919" s="24" t="str" cm="1">
        <f t="array" ref="J4919">IFERROR(IF($B4919=J$1, ($A4919+$C4919) - MAX(IF($B$2:$B4918=$B4919, $A$2:$A4918+$C$2:$C4918)), "")*24*60, "")</f>
        <v/>
      </c>
      <c r="K4919" s="24" t="str" cm="1">
        <f t="array" ref="K4919">IFERROR(IF($B4919=K$1, ($A4919+$C4919) - MAX(IF($B$2:$B4918=$B4919, $A$2:$A4918+$C$2:$C4918)), "")*24*60, "")</f>
        <v/>
      </c>
      <c r="L4919" s="24" t="str" cm="1">
        <f t="array" ref="L4919">IFERROR(IF($B4919=L$1, ($A4919+$C4919) - MAX(IF($B$2:$B4918=$B4919, $A$2:$A4918+$C$2:$C4918)), "")*24*60, "")</f>
        <v/>
      </c>
      <c r="M4919" s="24" t="str" cm="1">
        <f t="array" ref="M4919">IFERROR(IF($B4919=M$1, ($A4919+$C4919) - MAX(IF($B$2:$B4918=$B4919, $A$2:$A4918+$C$2:$C4918)), "")*24*60, "")</f>
        <v/>
      </c>
      <c r="N4919" s="24" t="str" cm="1">
        <f t="array" ref="N4919">IFERROR(IF($B4919=N$1, ($A4919+$C4919) - MAX(IF($B$2:$B4918=$B4919, $A$2:$A4918+$C$2:$C4918)), "")*24*60, "")</f>
        <v/>
      </c>
      <c r="O4919" s="24" t="str" cm="1">
        <f t="array" ref="O4919">IFERROR(IF($B4919=O$1, ($A4919+$C4919) - MAX(IF($B$2:$B4918=$B4919, $A$2:$A4918+$C$2:$C4918)), "")*24*60, "")</f>
        <v/>
      </c>
      <c r="P4919" s="24" t="str" cm="1">
        <f t="array" ref="P4919">IFERROR(IF($B4919=P$1, ($A4919+$C4919) - MAX(IF($B$2:$B4918=$B4919, $A$2:$A4918+$C$2:$C4918)), "")*24*60, "")</f>
        <v/>
      </c>
      <c r="Q4919" s="24" t="str" cm="1">
        <f t="array" ref="Q4919">IFERROR(IF($B4919=Q$1, ($A4919+$C4919) - MAX(IF($B$2:$B4918=$B4919, $A$2:$A4918+$C$2:$C4918)), "")*24*60, "")</f>
        <v/>
      </c>
    </row>
    <row r="4920" spans="1:17" x14ac:dyDescent="0.2">
      <c r="A4920" s="12">
        <f t="shared" ref="A4920:C4920" si="1255">A4919</f>
        <v>45980</v>
      </c>
      <c r="B4920" s="5" t="str">
        <f t="shared" si="1255"/>
        <v>Northern Cardinal</v>
      </c>
      <c r="C4920" s="6">
        <f t="shared" si="1255"/>
        <v>0.29166666666666669</v>
      </c>
      <c r="D4920" s="5"/>
      <c r="E4920" s="5"/>
      <c r="F4920" s="5" t="s">
        <v>8</v>
      </c>
      <c r="G4920" s="15" t="s">
        <v>9</v>
      </c>
      <c r="H4920" s="24">
        <f t="shared" si="1253"/>
        <v>0</v>
      </c>
      <c r="I4920" s="24" cm="1">
        <f t="array" ref="I4920">IFERROR(IF($B4920=I$1, ($A4920+$C4920) - MAX(IF($B$2:$B4919=$B4920, $A$2:$A4919+$C$2:$C4919)), "")*24*60, "")</f>
        <v>0</v>
      </c>
      <c r="J4920" s="24" t="str" cm="1">
        <f t="array" ref="J4920">IFERROR(IF($B4920=J$1, ($A4920+$C4920) - MAX(IF($B$2:$B4919=$B4920, $A$2:$A4919+$C$2:$C4919)), "")*24*60, "")</f>
        <v/>
      </c>
      <c r="K4920" s="24" t="str" cm="1">
        <f t="array" ref="K4920">IFERROR(IF($B4920=K$1, ($A4920+$C4920) - MAX(IF($B$2:$B4919=$B4920, $A$2:$A4919+$C$2:$C4919)), "")*24*60, "")</f>
        <v/>
      </c>
      <c r="L4920" s="24" t="str" cm="1">
        <f t="array" ref="L4920">IFERROR(IF($B4920=L$1, ($A4920+$C4920) - MAX(IF($B$2:$B4919=$B4920, $A$2:$A4919+$C$2:$C4919)), "")*24*60, "")</f>
        <v/>
      </c>
      <c r="M4920" s="24" t="str" cm="1">
        <f t="array" ref="M4920">IFERROR(IF($B4920=M$1, ($A4920+$C4920) - MAX(IF($B$2:$B4919=$B4920, $A$2:$A4919+$C$2:$C4919)), "")*24*60, "")</f>
        <v/>
      </c>
      <c r="N4920" s="24" t="str" cm="1">
        <f t="array" ref="N4920">IFERROR(IF($B4920=N$1, ($A4920+$C4920) - MAX(IF($B$2:$B4919=$B4920, $A$2:$A4919+$C$2:$C4919)), "")*24*60, "")</f>
        <v/>
      </c>
      <c r="O4920" s="24" t="str" cm="1">
        <f t="array" ref="O4920">IFERROR(IF($B4920=O$1, ($A4920+$C4920) - MAX(IF($B$2:$B4919=$B4920, $A$2:$A4919+$C$2:$C4919)), "")*24*60, "")</f>
        <v/>
      </c>
      <c r="P4920" s="24" t="str" cm="1">
        <f t="array" ref="P4920">IFERROR(IF($B4920=P$1, ($A4920+$C4920) - MAX(IF($B$2:$B4919=$B4920, $A$2:$A4919+$C$2:$C4919)), "")*24*60, "")</f>
        <v/>
      </c>
      <c r="Q4920" s="24" t="str" cm="1">
        <f t="array" ref="Q4920">IFERROR(IF($B4920=Q$1, ($A4920+$C4920) - MAX(IF($B$2:$B4919=$B4920, $A$2:$A4919+$C$2:$C4919)), "")*24*60, "")</f>
        <v/>
      </c>
    </row>
    <row r="4921" spans="1:17" x14ac:dyDescent="0.2">
      <c r="A4921" s="12">
        <f t="shared" ref="A4921:C4921" si="1256">A4920</f>
        <v>45980</v>
      </c>
      <c r="B4921" s="5" t="str">
        <f t="shared" si="1256"/>
        <v>Northern Cardinal</v>
      </c>
      <c r="C4921" s="6">
        <f t="shared" si="1256"/>
        <v>0.29166666666666669</v>
      </c>
      <c r="D4921" s="5"/>
      <c r="E4921" s="5"/>
      <c r="F4921" s="5" t="s">
        <v>8</v>
      </c>
      <c r="G4921" s="15" t="s">
        <v>9</v>
      </c>
      <c r="H4921" s="24">
        <f t="shared" si="1253"/>
        <v>0</v>
      </c>
      <c r="I4921" s="24" cm="1">
        <f t="array" ref="I4921">IFERROR(IF($B4921=I$1, ($A4921+$C4921) - MAX(IF($B$2:$B4920=$B4921, $A$2:$A4920+$C$2:$C4920)), "")*24*60, "")</f>
        <v>0</v>
      </c>
      <c r="J4921" s="24" t="str" cm="1">
        <f t="array" ref="J4921">IFERROR(IF($B4921=J$1, ($A4921+$C4921) - MAX(IF($B$2:$B4920=$B4921, $A$2:$A4920+$C$2:$C4920)), "")*24*60, "")</f>
        <v/>
      </c>
      <c r="K4921" s="24" t="str" cm="1">
        <f t="array" ref="K4921">IFERROR(IF($B4921=K$1, ($A4921+$C4921) - MAX(IF($B$2:$B4920=$B4921, $A$2:$A4920+$C$2:$C4920)), "")*24*60, "")</f>
        <v/>
      </c>
      <c r="L4921" s="24" t="str" cm="1">
        <f t="array" ref="L4921">IFERROR(IF($B4921=L$1, ($A4921+$C4921) - MAX(IF($B$2:$B4920=$B4921, $A$2:$A4920+$C$2:$C4920)), "")*24*60, "")</f>
        <v/>
      </c>
      <c r="M4921" s="24" t="str" cm="1">
        <f t="array" ref="M4921">IFERROR(IF($B4921=M$1, ($A4921+$C4921) - MAX(IF($B$2:$B4920=$B4921, $A$2:$A4920+$C$2:$C4920)), "")*24*60, "")</f>
        <v/>
      </c>
      <c r="N4921" s="24" t="str" cm="1">
        <f t="array" ref="N4921">IFERROR(IF($B4921=N$1, ($A4921+$C4921) - MAX(IF($B$2:$B4920=$B4921, $A$2:$A4920+$C$2:$C4920)), "")*24*60, "")</f>
        <v/>
      </c>
      <c r="O4921" s="24" t="str" cm="1">
        <f t="array" ref="O4921">IFERROR(IF($B4921=O$1, ($A4921+$C4921) - MAX(IF($B$2:$B4920=$B4921, $A$2:$A4920+$C$2:$C4920)), "")*24*60, "")</f>
        <v/>
      </c>
      <c r="P4921" s="24" t="str" cm="1">
        <f t="array" ref="P4921">IFERROR(IF($B4921=P$1, ($A4921+$C4921) - MAX(IF($B$2:$B4920=$B4921, $A$2:$A4920+$C$2:$C4920)), "")*24*60, "")</f>
        <v/>
      </c>
      <c r="Q4921" s="24" t="str" cm="1">
        <f t="array" ref="Q4921">IFERROR(IF($B4921=Q$1, ($A4921+$C4921) - MAX(IF($B$2:$B4920=$B4921, $A$2:$A4920+$C$2:$C4920)), "")*24*60, "")</f>
        <v/>
      </c>
    </row>
    <row r="4922" spans="1:17" x14ac:dyDescent="0.2">
      <c r="A4922" s="12">
        <f t="shared" ref="A4922:C4922" si="1257">A4921</f>
        <v>45980</v>
      </c>
      <c r="B4922" s="5" t="str">
        <f t="shared" si="1257"/>
        <v>Northern Cardinal</v>
      </c>
      <c r="C4922" s="6">
        <f t="shared" si="1257"/>
        <v>0.29166666666666669</v>
      </c>
      <c r="D4922" s="5"/>
      <c r="E4922" s="5"/>
      <c r="F4922" s="5" t="s">
        <v>8</v>
      </c>
      <c r="G4922" s="15" t="s">
        <v>9</v>
      </c>
      <c r="H4922" s="24">
        <f t="shared" si="1253"/>
        <v>0</v>
      </c>
      <c r="I4922" s="24" cm="1">
        <f t="array" ref="I4922">IFERROR(IF($B4922=I$1, ($A4922+$C4922) - MAX(IF($B$2:$B4921=$B4922, $A$2:$A4921+$C$2:$C4921)), "")*24*60, "")</f>
        <v>0</v>
      </c>
      <c r="J4922" s="24" t="str" cm="1">
        <f t="array" ref="J4922">IFERROR(IF($B4922=J$1, ($A4922+$C4922) - MAX(IF($B$2:$B4921=$B4922, $A$2:$A4921+$C$2:$C4921)), "")*24*60, "")</f>
        <v/>
      </c>
      <c r="K4922" s="24" t="str" cm="1">
        <f t="array" ref="K4922">IFERROR(IF($B4922=K$1, ($A4922+$C4922) - MAX(IF($B$2:$B4921=$B4922, $A$2:$A4921+$C$2:$C4921)), "")*24*60, "")</f>
        <v/>
      </c>
      <c r="L4922" s="24" t="str" cm="1">
        <f t="array" ref="L4922">IFERROR(IF($B4922=L$1, ($A4922+$C4922) - MAX(IF($B$2:$B4921=$B4922, $A$2:$A4921+$C$2:$C4921)), "")*24*60, "")</f>
        <v/>
      </c>
      <c r="M4922" s="24" t="str" cm="1">
        <f t="array" ref="M4922">IFERROR(IF($B4922=M$1, ($A4922+$C4922) - MAX(IF($B$2:$B4921=$B4922, $A$2:$A4921+$C$2:$C4921)), "")*24*60, "")</f>
        <v/>
      </c>
      <c r="N4922" s="24" t="str" cm="1">
        <f t="array" ref="N4922">IFERROR(IF($B4922=N$1, ($A4922+$C4922) - MAX(IF($B$2:$B4921=$B4922, $A$2:$A4921+$C$2:$C4921)), "")*24*60, "")</f>
        <v/>
      </c>
      <c r="O4922" s="24" t="str" cm="1">
        <f t="array" ref="O4922">IFERROR(IF($B4922=O$1, ($A4922+$C4922) - MAX(IF($B$2:$B4921=$B4922, $A$2:$A4921+$C$2:$C4921)), "")*24*60, "")</f>
        <v/>
      </c>
      <c r="P4922" s="24" t="str" cm="1">
        <f t="array" ref="P4922">IFERROR(IF($B4922=P$1, ($A4922+$C4922) - MAX(IF($B$2:$B4921=$B4922, $A$2:$A4921+$C$2:$C4921)), "")*24*60, "")</f>
        <v/>
      </c>
      <c r="Q4922" s="24" t="str" cm="1">
        <f t="array" ref="Q4922">IFERROR(IF($B4922=Q$1, ($A4922+$C4922) - MAX(IF($B$2:$B4921=$B4922, $A$2:$A4921+$C$2:$C4921)), "")*24*60, "")</f>
        <v/>
      </c>
    </row>
    <row r="4923" spans="1:17" x14ac:dyDescent="0.2">
      <c r="A4923" s="12">
        <f t="shared" ref="A4923:C4923" si="1258">A4922</f>
        <v>45980</v>
      </c>
      <c r="B4923" s="5" t="str">
        <f t="shared" si="1258"/>
        <v>Northern Cardinal</v>
      </c>
      <c r="C4923" s="6">
        <f t="shared" si="1258"/>
        <v>0.29166666666666669</v>
      </c>
      <c r="D4923" s="5"/>
      <c r="E4923" s="5"/>
      <c r="F4923" s="5" t="s">
        <v>8</v>
      </c>
      <c r="G4923" s="15" t="s">
        <v>9</v>
      </c>
      <c r="H4923" s="24">
        <f t="shared" si="1253"/>
        <v>0</v>
      </c>
      <c r="I4923" s="24" cm="1">
        <f t="array" ref="I4923">IFERROR(IF($B4923=I$1, ($A4923+$C4923) - MAX(IF($B$2:$B4922=$B4923, $A$2:$A4922+$C$2:$C4922)), "")*24*60, "")</f>
        <v>0</v>
      </c>
      <c r="J4923" s="24" t="str" cm="1">
        <f t="array" ref="J4923">IFERROR(IF($B4923=J$1, ($A4923+$C4923) - MAX(IF($B$2:$B4922=$B4923, $A$2:$A4922+$C$2:$C4922)), "")*24*60, "")</f>
        <v/>
      </c>
      <c r="K4923" s="24" t="str" cm="1">
        <f t="array" ref="K4923">IFERROR(IF($B4923=K$1, ($A4923+$C4923) - MAX(IF($B$2:$B4922=$B4923, $A$2:$A4922+$C$2:$C4922)), "")*24*60, "")</f>
        <v/>
      </c>
      <c r="L4923" s="24" t="str" cm="1">
        <f t="array" ref="L4923">IFERROR(IF($B4923=L$1, ($A4923+$C4923) - MAX(IF($B$2:$B4922=$B4923, $A$2:$A4922+$C$2:$C4922)), "")*24*60, "")</f>
        <v/>
      </c>
      <c r="M4923" s="24" t="str" cm="1">
        <f t="array" ref="M4923">IFERROR(IF($B4923=M$1, ($A4923+$C4923) - MAX(IF($B$2:$B4922=$B4923, $A$2:$A4922+$C$2:$C4922)), "")*24*60, "")</f>
        <v/>
      </c>
      <c r="N4923" s="24" t="str" cm="1">
        <f t="array" ref="N4923">IFERROR(IF($B4923=N$1, ($A4923+$C4923) - MAX(IF($B$2:$B4922=$B4923, $A$2:$A4922+$C$2:$C4922)), "")*24*60, "")</f>
        <v/>
      </c>
      <c r="O4923" s="24" t="str" cm="1">
        <f t="array" ref="O4923">IFERROR(IF($B4923=O$1, ($A4923+$C4923) - MAX(IF($B$2:$B4922=$B4923, $A$2:$A4922+$C$2:$C4922)), "")*24*60, "")</f>
        <v/>
      </c>
      <c r="P4923" s="24" t="str" cm="1">
        <f t="array" ref="P4923">IFERROR(IF($B4923=P$1, ($A4923+$C4923) - MAX(IF($B$2:$B4922=$B4923, $A$2:$A4922+$C$2:$C4922)), "")*24*60, "")</f>
        <v/>
      </c>
      <c r="Q4923" s="24" t="str" cm="1">
        <f t="array" ref="Q4923">IFERROR(IF($B4923=Q$1, ($A4923+$C4923) - MAX(IF($B$2:$B4922=$B4923, $A$2:$A4922+$C$2:$C4922)), "")*24*60, "")</f>
        <v/>
      </c>
    </row>
    <row r="4924" spans="1:17" x14ac:dyDescent="0.2">
      <c r="A4924" s="12">
        <f t="shared" ref="A4924:C4924" si="1259">A4923</f>
        <v>45980</v>
      </c>
      <c r="B4924" s="5" t="str">
        <f t="shared" si="1259"/>
        <v>Northern Cardinal</v>
      </c>
      <c r="C4924" s="6">
        <f t="shared" si="1259"/>
        <v>0.29166666666666669</v>
      </c>
      <c r="D4924" s="5"/>
      <c r="E4924" s="5"/>
      <c r="F4924" s="5" t="s">
        <v>8</v>
      </c>
      <c r="G4924" s="15" t="s">
        <v>9</v>
      </c>
      <c r="H4924" s="24">
        <f t="shared" si="1253"/>
        <v>0</v>
      </c>
      <c r="I4924" s="24" cm="1">
        <f t="array" ref="I4924">IFERROR(IF($B4924=I$1, ($A4924+$C4924) - MAX(IF($B$2:$B4923=$B4924, $A$2:$A4923+$C$2:$C4923)), "")*24*60, "")</f>
        <v>0</v>
      </c>
      <c r="J4924" s="24" t="str" cm="1">
        <f t="array" ref="J4924">IFERROR(IF($B4924=J$1, ($A4924+$C4924) - MAX(IF($B$2:$B4923=$B4924, $A$2:$A4923+$C$2:$C4923)), "")*24*60, "")</f>
        <v/>
      </c>
      <c r="K4924" s="24" t="str" cm="1">
        <f t="array" ref="K4924">IFERROR(IF($B4924=K$1, ($A4924+$C4924) - MAX(IF($B$2:$B4923=$B4924, $A$2:$A4923+$C$2:$C4923)), "")*24*60, "")</f>
        <v/>
      </c>
      <c r="L4924" s="24" t="str" cm="1">
        <f t="array" ref="L4924">IFERROR(IF($B4924=L$1, ($A4924+$C4924) - MAX(IF($B$2:$B4923=$B4924, $A$2:$A4923+$C$2:$C4923)), "")*24*60, "")</f>
        <v/>
      </c>
      <c r="M4924" s="24" t="str" cm="1">
        <f t="array" ref="M4924">IFERROR(IF($B4924=M$1, ($A4924+$C4924) - MAX(IF($B$2:$B4923=$B4924, $A$2:$A4923+$C$2:$C4923)), "")*24*60, "")</f>
        <v/>
      </c>
      <c r="N4924" s="24" t="str" cm="1">
        <f t="array" ref="N4924">IFERROR(IF($B4924=N$1, ($A4924+$C4924) - MAX(IF($B$2:$B4923=$B4924, $A$2:$A4923+$C$2:$C4923)), "")*24*60, "")</f>
        <v/>
      </c>
      <c r="O4924" s="24" t="str" cm="1">
        <f t="array" ref="O4924">IFERROR(IF($B4924=O$1, ($A4924+$C4924) - MAX(IF($B$2:$B4923=$B4924, $A$2:$A4923+$C$2:$C4923)), "")*24*60, "")</f>
        <v/>
      </c>
      <c r="P4924" s="24" t="str" cm="1">
        <f t="array" ref="P4924">IFERROR(IF($B4924=P$1, ($A4924+$C4924) - MAX(IF($B$2:$B4923=$B4924, $A$2:$A4923+$C$2:$C4923)), "")*24*60, "")</f>
        <v/>
      </c>
      <c r="Q4924" s="24" t="str" cm="1">
        <f t="array" ref="Q4924">IFERROR(IF($B4924=Q$1, ($A4924+$C4924) - MAX(IF($B$2:$B4923=$B4924, $A$2:$A4923+$C$2:$C4923)), "")*24*60, "")</f>
        <v/>
      </c>
    </row>
    <row r="4925" spans="1:17" x14ac:dyDescent="0.2">
      <c r="A4925" s="12">
        <f t="shared" ref="A4925:C4925" si="1260">A4924</f>
        <v>45980</v>
      </c>
      <c r="B4925" s="5" t="str">
        <f t="shared" si="1260"/>
        <v>Northern Cardinal</v>
      </c>
      <c r="C4925" s="6">
        <f t="shared" si="1260"/>
        <v>0.29166666666666669</v>
      </c>
      <c r="D4925" s="5"/>
      <c r="E4925" s="5"/>
      <c r="F4925" s="5" t="s">
        <v>8</v>
      </c>
      <c r="G4925" s="15" t="s">
        <v>9</v>
      </c>
      <c r="H4925" s="24">
        <f t="shared" si="1253"/>
        <v>0</v>
      </c>
      <c r="I4925" s="24" cm="1">
        <f t="array" ref="I4925">IFERROR(IF($B4925=I$1, ($A4925+$C4925) - MAX(IF($B$2:$B4924=$B4925, $A$2:$A4924+$C$2:$C4924)), "")*24*60, "")</f>
        <v>0</v>
      </c>
      <c r="J4925" s="24" t="str" cm="1">
        <f t="array" ref="J4925">IFERROR(IF($B4925=J$1, ($A4925+$C4925) - MAX(IF($B$2:$B4924=$B4925, $A$2:$A4924+$C$2:$C4924)), "")*24*60, "")</f>
        <v/>
      </c>
      <c r="K4925" s="24" t="str" cm="1">
        <f t="array" ref="K4925">IFERROR(IF($B4925=K$1, ($A4925+$C4925) - MAX(IF($B$2:$B4924=$B4925, $A$2:$A4924+$C$2:$C4924)), "")*24*60, "")</f>
        <v/>
      </c>
      <c r="L4925" s="24" t="str" cm="1">
        <f t="array" ref="L4925">IFERROR(IF($B4925=L$1, ($A4925+$C4925) - MAX(IF($B$2:$B4924=$B4925, $A$2:$A4924+$C$2:$C4924)), "")*24*60, "")</f>
        <v/>
      </c>
      <c r="M4925" s="24" t="str" cm="1">
        <f t="array" ref="M4925">IFERROR(IF($B4925=M$1, ($A4925+$C4925) - MAX(IF($B$2:$B4924=$B4925, $A$2:$A4924+$C$2:$C4924)), "")*24*60, "")</f>
        <v/>
      </c>
      <c r="N4925" s="24" t="str" cm="1">
        <f t="array" ref="N4925">IFERROR(IF($B4925=N$1, ($A4925+$C4925) - MAX(IF($B$2:$B4924=$B4925, $A$2:$A4924+$C$2:$C4924)), "")*24*60, "")</f>
        <v/>
      </c>
      <c r="O4925" s="24" t="str" cm="1">
        <f t="array" ref="O4925">IFERROR(IF($B4925=O$1, ($A4925+$C4925) - MAX(IF($B$2:$B4924=$B4925, $A$2:$A4924+$C$2:$C4924)), "")*24*60, "")</f>
        <v/>
      </c>
      <c r="P4925" s="24" t="str" cm="1">
        <f t="array" ref="P4925">IFERROR(IF($B4925=P$1, ($A4925+$C4925) - MAX(IF($B$2:$B4924=$B4925, $A$2:$A4924+$C$2:$C4924)), "")*24*60, "")</f>
        <v/>
      </c>
      <c r="Q4925" s="24" t="str" cm="1">
        <f t="array" ref="Q4925">IFERROR(IF($B4925=Q$1, ($A4925+$C4925) - MAX(IF($B$2:$B4924=$B4925, $A$2:$A4924+$C$2:$C4924)), "")*24*60, "")</f>
        <v/>
      </c>
    </row>
    <row r="4926" spans="1:17" x14ac:dyDescent="0.2">
      <c r="A4926" s="12">
        <f t="shared" ref="A4926:C4926" si="1261">A4925</f>
        <v>45980</v>
      </c>
      <c r="B4926" s="5" t="str">
        <f t="shared" si="1261"/>
        <v>Northern Cardinal</v>
      </c>
      <c r="C4926" s="6">
        <f t="shared" si="1261"/>
        <v>0.29166666666666669</v>
      </c>
      <c r="D4926" s="5"/>
      <c r="E4926" s="5"/>
      <c r="F4926" s="5" t="s">
        <v>8</v>
      </c>
      <c r="G4926" s="15" t="s">
        <v>9</v>
      </c>
      <c r="H4926" s="24">
        <f t="shared" si="1253"/>
        <v>0</v>
      </c>
      <c r="I4926" s="24" cm="1">
        <f t="array" ref="I4926">IFERROR(IF($B4926=I$1, ($A4926+$C4926) - MAX(IF($B$2:$B4925=$B4926, $A$2:$A4925+$C$2:$C4925)), "")*24*60, "")</f>
        <v>0</v>
      </c>
      <c r="J4926" s="24" t="str" cm="1">
        <f t="array" ref="J4926">IFERROR(IF($B4926=J$1, ($A4926+$C4926) - MAX(IF($B$2:$B4925=$B4926, $A$2:$A4925+$C$2:$C4925)), "")*24*60, "")</f>
        <v/>
      </c>
      <c r="K4926" s="24" t="str" cm="1">
        <f t="array" ref="K4926">IFERROR(IF($B4926=K$1, ($A4926+$C4926) - MAX(IF($B$2:$B4925=$B4926, $A$2:$A4925+$C$2:$C4925)), "")*24*60, "")</f>
        <v/>
      </c>
      <c r="L4926" s="24" t="str" cm="1">
        <f t="array" ref="L4926">IFERROR(IF($B4926=L$1, ($A4926+$C4926) - MAX(IF($B$2:$B4925=$B4926, $A$2:$A4925+$C$2:$C4925)), "")*24*60, "")</f>
        <v/>
      </c>
      <c r="M4926" s="24" t="str" cm="1">
        <f t="array" ref="M4926">IFERROR(IF($B4926=M$1, ($A4926+$C4926) - MAX(IF($B$2:$B4925=$B4926, $A$2:$A4925+$C$2:$C4925)), "")*24*60, "")</f>
        <v/>
      </c>
      <c r="N4926" s="24" t="str" cm="1">
        <f t="array" ref="N4926">IFERROR(IF($B4926=N$1, ($A4926+$C4926) - MAX(IF($B$2:$B4925=$B4926, $A$2:$A4925+$C$2:$C4925)), "")*24*60, "")</f>
        <v/>
      </c>
      <c r="O4926" s="24" t="str" cm="1">
        <f t="array" ref="O4926">IFERROR(IF($B4926=O$1, ($A4926+$C4926) - MAX(IF($B$2:$B4925=$B4926, $A$2:$A4925+$C$2:$C4925)), "")*24*60, "")</f>
        <v/>
      </c>
      <c r="P4926" s="24" t="str" cm="1">
        <f t="array" ref="P4926">IFERROR(IF($B4926=P$1, ($A4926+$C4926) - MAX(IF($B$2:$B4925=$B4926, $A$2:$A4925+$C$2:$C4925)), "")*24*60, "")</f>
        <v/>
      </c>
      <c r="Q4926" s="24" t="str" cm="1">
        <f t="array" ref="Q4926">IFERROR(IF($B4926=Q$1, ($A4926+$C4926) - MAX(IF($B$2:$B4925=$B4926, $A$2:$A4925+$C$2:$C4925)), "")*24*60, "")</f>
        <v/>
      </c>
    </row>
    <row r="4927" spans="1:17" x14ac:dyDescent="0.2">
      <c r="A4927" s="12">
        <f t="shared" ref="A4927:C4927" si="1262">A4926</f>
        <v>45980</v>
      </c>
      <c r="B4927" s="5" t="str">
        <f t="shared" si="1262"/>
        <v>Northern Cardinal</v>
      </c>
      <c r="C4927" s="6">
        <f t="shared" si="1262"/>
        <v>0.29166666666666669</v>
      </c>
      <c r="D4927" s="5"/>
      <c r="E4927" s="5"/>
      <c r="F4927" s="5" t="s">
        <v>8</v>
      </c>
      <c r="G4927" s="15" t="s">
        <v>9</v>
      </c>
      <c r="H4927" s="24">
        <f t="shared" si="1253"/>
        <v>0</v>
      </c>
      <c r="I4927" s="24" cm="1">
        <f t="array" ref="I4927">IFERROR(IF($B4927=I$1, ($A4927+$C4927) - MAX(IF($B$2:$B4926=$B4927, $A$2:$A4926+$C$2:$C4926)), "")*24*60, "")</f>
        <v>0</v>
      </c>
      <c r="J4927" s="24" t="str" cm="1">
        <f t="array" ref="J4927">IFERROR(IF($B4927=J$1, ($A4927+$C4927) - MAX(IF($B$2:$B4926=$B4927, $A$2:$A4926+$C$2:$C4926)), "")*24*60, "")</f>
        <v/>
      </c>
      <c r="K4927" s="24" t="str" cm="1">
        <f t="array" ref="K4927">IFERROR(IF($B4927=K$1, ($A4927+$C4927) - MAX(IF($B$2:$B4926=$B4927, $A$2:$A4926+$C$2:$C4926)), "")*24*60, "")</f>
        <v/>
      </c>
      <c r="L4927" s="24" t="str" cm="1">
        <f t="array" ref="L4927">IFERROR(IF($B4927=L$1, ($A4927+$C4927) - MAX(IF($B$2:$B4926=$B4927, $A$2:$A4926+$C$2:$C4926)), "")*24*60, "")</f>
        <v/>
      </c>
      <c r="M4927" s="24" t="str" cm="1">
        <f t="array" ref="M4927">IFERROR(IF($B4927=M$1, ($A4927+$C4927) - MAX(IF($B$2:$B4926=$B4927, $A$2:$A4926+$C$2:$C4926)), "")*24*60, "")</f>
        <v/>
      </c>
      <c r="N4927" s="24" t="str" cm="1">
        <f t="array" ref="N4927">IFERROR(IF($B4927=N$1, ($A4927+$C4927) - MAX(IF($B$2:$B4926=$B4927, $A$2:$A4926+$C$2:$C4926)), "")*24*60, "")</f>
        <v/>
      </c>
      <c r="O4927" s="24" t="str" cm="1">
        <f t="array" ref="O4927">IFERROR(IF($B4927=O$1, ($A4927+$C4927) - MAX(IF($B$2:$B4926=$B4927, $A$2:$A4926+$C$2:$C4926)), "")*24*60, "")</f>
        <v/>
      </c>
      <c r="P4927" s="24" t="str" cm="1">
        <f t="array" ref="P4927">IFERROR(IF($B4927=P$1, ($A4927+$C4927) - MAX(IF($B$2:$B4926=$B4927, $A$2:$A4926+$C$2:$C4926)), "")*24*60, "")</f>
        <v/>
      </c>
      <c r="Q4927" s="24" t="str" cm="1">
        <f t="array" ref="Q4927">IFERROR(IF($B4927=Q$1, ($A4927+$C4927) - MAX(IF($B$2:$B4926=$B4927, $A$2:$A4926+$C$2:$C4926)), "")*24*60, "")</f>
        <v/>
      </c>
    </row>
    <row r="4928" spans="1:17" x14ac:dyDescent="0.2">
      <c r="A4928" s="12">
        <f t="shared" ref="A4928:C4928" si="1263">A4927</f>
        <v>45980</v>
      </c>
      <c r="B4928" s="5" t="str">
        <f t="shared" si="1263"/>
        <v>Northern Cardinal</v>
      </c>
      <c r="C4928" s="6">
        <f t="shared" si="1263"/>
        <v>0.29166666666666669</v>
      </c>
      <c r="D4928" s="5"/>
      <c r="E4928" s="5"/>
      <c r="F4928" s="5" t="s">
        <v>8</v>
      </c>
      <c r="G4928" s="15" t="s">
        <v>9</v>
      </c>
      <c r="H4928" s="24">
        <f t="shared" si="1253"/>
        <v>0</v>
      </c>
      <c r="I4928" s="24" cm="1">
        <f t="array" ref="I4928">IFERROR(IF($B4928=I$1, ($A4928+$C4928) - MAX(IF($B$2:$B4927=$B4928, $A$2:$A4927+$C$2:$C4927)), "")*24*60, "")</f>
        <v>0</v>
      </c>
      <c r="J4928" s="24" t="str" cm="1">
        <f t="array" ref="J4928">IFERROR(IF($B4928=J$1, ($A4928+$C4928) - MAX(IF($B$2:$B4927=$B4928, $A$2:$A4927+$C$2:$C4927)), "")*24*60, "")</f>
        <v/>
      </c>
      <c r="K4928" s="24" t="str" cm="1">
        <f t="array" ref="K4928">IFERROR(IF($B4928=K$1, ($A4928+$C4928) - MAX(IF($B$2:$B4927=$B4928, $A$2:$A4927+$C$2:$C4927)), "")*24*60, "")</f>
        <v/>
      </c>
      <c r="L4928" s="24" t="str" cm="1">
        <f t="array" ref="L4928">IFERROR(IF($B4928=L$1, ($A4928+$C4928) - MAX(IF($B$2:$B4927=$B4928, $A$2:$A4927+$C$2:$C4927)), "")*24*60, "")</f>
        <v/>
      </c>
      <c r="M4928" s="24" t="str" cm="1">
        <f t="array" ref="M4928">IFERROR(IF($B4928=M$1, ($A4928+$C4928) - MAX(IF($B$2:$B4927=$B4928, $A$2:$A4927+$C$2:$C4927)), "")*24*60, "")</f>
        <v/>
      </c>
      <c r="N4928" s="24" t="str" cm="1">
        <f t="array" ref="N4928">IFERROR(IF($B4928=N$1, ($A4928+$C4928) - MAX(IF($B$2:$B4927=$B4928, $A$2:$A4927+$C$2:$C4927)), "")*24*60, "")</f>
        <v/>
      </c>
      <c r="O4928" s="24" t="str" cm="1">
        <f t="array" ref="O4928">IFERROR(IF($B4928=O$1, ($A4928+$C4928) - MAX(IF($B$2:$B4927=$B4928, $A$2:$A4927+$C$2:$C4927)), "")*24*60, "")</f>
        <v/>
      </c>
      <c r="P4928" s="24" t="str" cm="1">
        <f t="array" ref="P4928">IFERROR(IF($B4928=P$1, ($A4928+$C4928) - MAX(IF($B$2:$B4927=$B4928, $A$2:$A4927+$C$2:$C4927)), "")*24*60, "")</f>
        <v/>
      </c>
      <c r="Q4928" s="24" t="str" cm="1">
        <f t="array" ref="Q4928">IFERROR(IF($B4928=Q$1, ($A4928+$C4928) - MAX(IF($B$2:$B4927=$B4928, $A$2:$A4927+$C$2:$C4927)), "")*24*60, "")</f>
        <v/>
      </c>
    </row>
    <row r="4929" spans="1:17" x14ac:dyDescent="0.2">
      <c r="A4929" s="12">
        <f t="shared" ref="A4929:C4929" si="1264">A4928</f>
        <v>45980</v>
      </c>
      <c r="B4929" s="5" t="str">
        <f t="shared" si="1264"/>
        <v>Northern Cardinal</v>
      </c>
      <c r="C4929" s="6">
        <f t="shared" si="1264"/>
        <v>0.29166666666666669</v>
      </c>
      <c r="D4929" s="5"/>
      <c r="E4929" s="5"/>
      <c r="F4929" s="5" t="s">
        <v>8</v>
      </c>
      <c r="G4929" s="15" t="s">
        <v>9</v>
      </c>
      <c r="H4929" s="24">
        <f t="shared" si="1253"/>
        <v>0</v>
      </c>
      <c r="I4929" s="24" cm="1">
        <f t="array" ref="I4929">IFERROR(IF($B4929=I$1, ($A4929+$C4929) - MAX(IF($B$2:$B4928=$B4929, $A$2:$A4928+$C$2:$C4928)), "")*24*60, "")</f>
        <v>0</v>
      </c>
      <c r="J4929" s="24" t="str" cm="1">
        <f t="array" ref="J4929">IFERROR(IF($B4929=J$1, ($A4929+$C4929) - MAX(IF($B$2:$B4928=$B4929, $A$2:$A4928+$C$2:$C4928)), "")*24*60, "")</f>
        <v/>
      </c>
      <c r="K4929" s="24" t="str" cm="1">
        <f t="array" ref="K4929">IFERROR(IF($B4929=K$1, ($A4929+$C4929) - MAX(IF($B$2:$B4928=$B4929, $A$2:$A4928+$C$2:$C4928)), "")*24*60, "")</f>
        <v/>
      </c>
      <c r="L4929" s="24" t="str" cm="1">
        <f t="array" ref="L4929">IFERROR(IF($B4929=L$1, ($A4929+$C4929) - MAX(IF($B$2:$B4928=$B4929, $A$2:$A4928+$C$2:$C4928)), "")*24*60, "")</f>
        <v/>
      </c>
      <c r="M4929" s="24" t="str" cm="1">
        <f t="array" ref="M4929">IFERROR(IF($B4929=M$1, ($A4929+$C4929) - MAX(IF($B$2:$B4928=$B4929, $A$2:$A4928+$C$2:$C4928)), "")*24*60, "")</f>
        <v/>
      </c>
      <c r="N4929" s="24" t="str" cm="1">
        <f t="array" ref="N4929">IFERROR(IF($B4929=N$1, ($A4929+$C4929) - MAX(IF($B$2:$B4928=$B4929, $A$2:$A4928+$C$2:$C4928)), "")*24*60, "")</f>
        <v/>
      </c>
      <c r="O4929" s="24" t="str" cm="1">
        <f t="array" ref="O4929">IFERROR(IF($B4929=O$1, ($A4929+$C4929) - MAX(IF($B$2:$B4928=$B4929, $A$2:$A4928+$C$2:$C4928)), "")*24*60, "")</f>
        <v/>
      </c>
      <c r="P4929" s="24" t="str" cm="1">
        <f t="array" ref="P4929">IFERROR(IF($B4929=P$1, ($A4929+$C4929) - MAX(IF($B$2:$B4928=$B4929, $A$2:$A4928+$C$2:$C4928)), "")*24*60, "")</f>
        <v/>
      </c>
      <c r="Q4929" s="24" t="str" cm="1">
        <f t="array" ref="Q4929">IFERROR(IF($B4929=Q$1, ($A4929+$C4929) - MAX(IF($B$2:$B4928=$B4929, $A$2:$A4928+$C$2:$C4928)), "")*24*60, "")</f>
        <v/>
      </c>
    </row>
    <row r="4930" spans="1:17" x14ac:dyDescent="0.2">
      <c r="A4930" s="12">
        <f t="shared" ref="A4930:C4930" si="1265">A4929</f>
        <v>45980</v>
      </c>
      <c r="B4930" s="5" t="str">
        <f t="shared" si="1265"/>
        <v>Northern Cardinal</v>
      </c>
      <c r="C4930" s="6">
        <f t="shared" si="1265"/>
        <v>0.29166666666666669</v>
      </c>
      <c r="D4930" s="5"/>
      <c r="E4930" s="5"/>
      <c r="F4930" s="5" t="s">
        <v>8</v>
      </c>
      <c r="G4930" s="15" t="s">
        <v>9</v>
      </c>
      <c r="H4930" s="24">
        <f t="shared" si="1253"/>
        <v>0</v>
      </c>
      <c r="I4930" s="24" cm="1">
        <f t="array" ref="I4930">IFERROR(IF($B4930=I$1, ($A4930+$C4930) - MAX(IF($B$2:$B4929=$B4930, $A$2:$A4929+$C$2:$C4929)), "")*24*60, "")</f>
        <v>0</v>
      </c>
      <c r="J4930" s="24" t="str" cm="1">
        <f t="array" ref="J4930">IFERROR(IF($B4930=J$1, ($A4930+$C4930) - MAX(IF($B$2:$B4929=$B4930, $A$2:$A4929+$C$2:$C4929)), "")*24*60, "")</f>
        <v/>
      </c>
      <c r="K4930" s="24" t="str" cm="1">
        <f t="array" ref="K4930">IFERROR(IF($B4930=K$1, ($A4930+$C4930) - MAX(IF($B$2:$B4929=$B4930, $A$2:$A4929+$C$2:$C4929)), "")*24*60, "")</f>
        <v/>
      </c>
      <c r="L4930" s="24" t="str" cm="1">
        <f t="array" ref="L4930">IFERROR(IF($B4930=L$1, ($A4930+$C4930) - MAX(IF($B$2:$B4929=$B4930, $A$2:$A4929+$C$2:$C4929)), "")*24*60, "")</f>
        <v/>
      </c>
      <c r="M4930" s="24" t="str" cm="1">
        <f t="array" ref="M4930">IFERROR(IF($B4930=M$1, ($A4930+$C4930) - MAX(IF($B$2:$B4929=$B4930, $A$2:$A4929+$C$2:$C4929)), "")*24*60, "")</f>
        <v/>
      </c>
      <c r="N4930" s="24" t="str" cm="1">
        <f t="array" ref="N4930">IFERROR(IF($B4930=N$1, ($A4930+$C4930) - MAX(IF($B$2:$B4929=$B4930, $A$2:$A4929+$C$2:$C4929)), "")*24*60, "")</f>
        <v/>
      </c>
      <c r="O4930" s="24" t="str" cm="1">
        <f t="array" ref="O4930">IFERROR(IF($B4930=O$1, ($A4930+$C4930) - MAX(IF($B$2:$B4929=$B4930, $A$2:$A4929+$C$2:$C4929)), "")*24*60, "")</f>
        <v/>
      </c>
      <c r="P4930" s="24" t="str" cm="1">
        <f t="array" ref="P4930">IFERROR(IF($B4930=P$1, ($A4930+$C4930) - MAX(IF($B$2:$B4929=$B4930, $A$2:$A4929+$C$2:$C4929)), "")*24*60, "")</f>
        <v/>
      </c>
      <c r="Q4930" s="24" t="str" cm="1">
        <f t="array" ref="Q4930">IFERROR(IF($B4930=Q$1, ($A4930+$C4930) - MAX(IF($B$2:$B4929=$B4930, $A$2:$A4929+$C$2:$C4929)), "")*24*60, "")</f>
        <v/>
      </c>
    </row>
    <row r="4931" spans="1:17" x14ac:dyDescent="0.2">
      <c r="A4931" s="12">
        <f t="shared" ref="A4931:C4931" si="1266">A4930</f>
        <v>45980</v>
      </c>
      <c r="B4931" s="5" t="str">
        <f t="shared" si="1266"/>
        <v>Northern Cardinal</v>
      </c>
      <c r="C4931" s="6">
        <f t="shared" si="1266"/>
        <v>0.29166666666666669</v>
      </c>
      <c r="D4931" s="5"/>
      <c r="E4931" s="5"/>
      <c r="F4931" s="5" t="s">
        <v>8</v>
      </c>
      <c r="G4931" s="15" t="s">
        <v>9</v>
      </c>
      <c r="H4931" s="24">
        <f t="shared" si="1253"/>
        <v>0</v>
      </c>
      <c r="I4931" s="24" cm="1">
        <f t="array" ref="I4931">IFERROR(IF($B4931=I$1, ($A4931+$C4931) - MAX(IF($B$2:$B4930=$B4931, $A$2:$A4930+$C$2:$C4930)), "")*24*60, "")</f>
        <v>0</v>
      </c>
      <c r="J4931" s="24" t="str" cm="1">
        <f t="array" ref="J4931">IFERROR(IF($B4931=J$1, ($A4931+$C4931) - MAX(IF($B$2:$B4930=$B4931, $A$2:$A4930+$C$2:$C4930)), "")*24*60, "")</f>
        <v/>
      </c>
      <c r="K4931" s="24" t="str" cm="1">
        <f t="array" ref="K4931">IFERROR(IF($B4931=K$1, ($A4931+$C4931) - MAX(IF($B$2:$B4930=$B4931, $A$2:$A4930+$C$2:$C4930)), "")*24*60, "")</f>
        <v/>
      </c>
      <c r="L4931" s="24" t="str" cm="1">
        <f t="array" ref="L4931">IFERROR(IF($B4931=L$1, ($A4931+$C4931) - MAX(IF($B$2:$B4930=$B4931, $A$2:$A4930+$C$2:$C4930)), "")*24*60, "")</f>
        <v/>
      </c>
      <c r="M4931" s="24" t="str" cm="1">
        <f t="array" ref="M4931">IFERROR(IF($B4931=M$1, ($A4931+$C4931) - MAX(IF($B$2:$B4930=$B4931, $A$2:$A4930+$C$2:$C4930)), "")*24*60, "")</f>
        <v/>
      </c>
      <c r="N4931" s="24" t="str" cm="1">
        <f t="array" ref="N4931">IFERROR(IF($B4931=N$1, ($A4931+$C4931) - MAX(IF($B$2:$B4930=$B4931, $A$2:$A4930+$C$2:$C4930)), "")*24*60, "")</f>
        <v/>
      </c>
      <c r="O4931" s="24" t="str" cm="1">
        <f t="array" ref="O4931">IFERROR(IF($B4931=O$1, ($A4931+$C4931) - MAX(IF($B$2:$B4930=$B4931, $A$2:$A4930+$C$2:$C4930)), "")*24*60, "")</f>
        <v/>
      </c>
      <c r="P4931" s="24" t="str" cm="1">
        <f t="array" ref="P4931">IFERROR(IF($B4931=P$1, ($A4931+$C4931) - MAX(IF($B$2:$B4930=$B4931, $A$2:$A4930+$C$2:$C4930)), "")*24*60, "")</f>
        <v/>
      </c>
      <c r="Q4931" s="24" t="str" cm="1">
        <f t="array" ref="Q4931">IFERROR(IF($B4931=Q$1, ($A4931+$C4931) - MAX(IF($B$2:$B4930=$B4931, $A$2:$A4930+$C$2:$C4930)), "")*24*60, "")</f>
        <v/>
      </c>
    </row>
    <row r="4932" spans="1:17" x14ac:dyDescent="0.2">
      <c r="A4932" s="12">
        <f t="shared" ref="A4932:C4932" si="1267">A4931</f>
        <v>45980</v>
      </c>
      <c r="B4932" s="5" t="str">
        <f t="shared" si="1267"/>
        <v>Northern Cardinal</v>
      </c>
      <c r="C4932" s="6">
        <f t="shared" si="1267"/>
        <v>0.29166666666666669</v>
      </c>
      <c r="D4932" s="5"/>
      <c r="E4932" s="5"/>
      <c r="F4932" s="5" t="s">
        <v>8</v>
      </c>
      <c r="G4932" s="15" t="s">
        <v>9</v>
      </c>
      <c r="H4932" s="24">
        <f t="shared" si="1253"/>
        <v>0</v>
      </c>
      <c r="I4932" s="24" cm="1">
        <f t="array" ref="I4932">IFERROR(IF($B4932=I$1, ($A4932+$C4932) - MAX(IF($B$2:$B4931=$B4932, $A$2:$A4931+$C$2:$C4931)), "")*24*60, "")</f>
        <v>0</v>
      </c>
      <c r="J4932" s="24" t="str" cm="1">
        <f t="array" ref="J4932">IFERROR(IF($B4932=J$1, ($A4932+$C4932) - MAX(IF($B$2:$B4931=$B4932, $A$2:$A4931+$C$2:$C4931)), "")*24*60, "")</f>
        <v/>
      </c>
      <c r="K4932" s="24" t="str" cm="1">
        <f t="array" ref="K4932">IFERROR(IF($B4932=K$1, ($A4932+$C4932) - MAX(IF($B$2:$B4931=$B4932, $A$2:$A4931+$C$2:$C4931)), "")*24*60, "")</f>
        <v/>
      </c>
      <c r="L4932" s="24" t="str" cm="1">
        <f t="array" ref="L4932">IFERROR(IF($B4932=L$1, ($A4932+$C4932) - MAX(IF($B$2:$B4931=$B4932, $A$2:$A4931+$C$2:$C4931)), "")*24*60, "")</f>
        <v/>
      </c>
      <c r="M4932" s="24" t="str" cm="1">
        <f t="array" ref="M4932">IFERROR(IF($B4932=M$1, ($A4932+$C4932) - MAX(IF($B$2:$B4931=$B4932, $A$2:$A4931+$C$2:$C4931)), "")*24*60, "")</f>
        <v/>
      </c>
      <c r="N4932" s="24" t="str" cm="1">
        <f t="array" ref="N4932">IFERROR(IF($B4932=N$1, ($A4932+$C4932) - MAX(IF($B$2:$B4931=$B4932, $A$2:$A4931+$C$2:$C4931)), "")*24*60, "")</f>
        <v/>
      </c>
      <c r="O4932" s="24" t="str" cm="1">
        <f t="array" ref="O4932">IFERROR(IF($B4932=O$1, ($A4932+$C4932) - MAX(IF($B$2:$B4931=$B4932, $A$2:$A4931+$C$2:$C4931)), "")*24*60, "")</f>
        <v/>
      </c>
      <c r="P4932" s="24" t="str" cm="1">
        <f t="array" ref="P4932">IFERROR(IF($B4932=P$1, ($A4932+$C4932) - MAX(IF($B$2:$B4931=$B4932, $A$2:$A4931+$C$2:$C4931)), "")*24*60, "")</f>
        <v/>
      </c>
      <c r="Q4932" s="24" t="str" cm="1">
        <f t="array" ref="Q4932">IFERROR(IF($B4932=Q$1, ($A4932+$C4932) - MAX(IF($B$2:$B4931=$B4932, $A$2:$A4931+$C$2:$C4931)), "")*24*60, "")</f>
        <v/>
      </c>
    </row>
    <row r="4933" spans="1:17" x14ac:dyDescent="0.2">
      <c r="A4933" s="12">
        <f t="shared" ref="A4933:C4933" si="1268">A4932</f>
        <v>45980</v>
      </c>
      <c r="B4933" s="5" t="str">
        <f t="shared" si="1268"/>
        <v>Northern Cardinal</v>
      </c>
      <c r="C4933" s="6">
        <f t="shared" si="1268"/>
        <v>0.29166666666666669</v>
      </c>
      <c r="D4933" s="5"/>
      <c r="E4933" s="5"/>
      <c r="F4933" s="5" t="s">
        <v>8</v>
      </c>
      <c r="G4933" s="15" t="s">
        <v>9</v>
      </c>
      <c r="H4933" s="24">
        <f t="shared" si="1253"/>
        <v>0</v>
      </c>
      <c r="I4933" s="24" cm="1">
        <f t="array" ref="I4933">IFERROR(IF($B4933=I$1, ($A4933+$C4933) - MAX(IF($B$2:$B4932=$B4933, $A$2:$A4932+$C$2:$C4932)), "")*24*60, "")</f>
        <v>0</v>
      </c>
      <c r="J4933" s="24" t="str" cm="1">
        <f t="array" ref="J4933">IFERROR(IF($B4933=J$1, ($A4933+$C4933) - MAX(IF($B$2:$B4932=$B4933, $A$2:$A4932+$C$2:$C4932)), "")*24*60, "")</f>
        <v/>
      </c>
      <c r="K4933" s="24" t="str" cm="1">
        <f t="array" ref="K4933">IFERROR(IF($B4933=K$1, ($A4933+$C4933) - MAX(IF($B$2:$B4932=$B4933, $A$2:$A4932+$C$2:$C4932)), "")*24*60, "")</f>
        <v/>
      </c>
      <c r="L4933" s="24" t="str" cm="1">
        <f t="array" ref="L4933">IFERROR(IF($B4933=L$1, ($A4933+$C4933) - MAX(IF($B$2:$B4932=$B4933, $A$2:$A4932+$C$2:$C4932)), "")*24*60, "")</f>
        <v/>
      </c>
      <c r="M4933" s="24" t="str" cm="1">
        <f t="array" ref="M4933">IFERROR(IF($B4933=M$1, ($A4933+$C4933) - MAX(IF($B$2:$B4932=$B4933, $A$2:$A4932+$C$2:$C4932)), "")*24*60, "")</f>
        <v/>
      </c>
      <c r="N4933" s="24" t="str" cm="1">
        <f t="array" ref="N4933">IFERROR(IF($B4933=N$1, ($A4933+$C4933) - MAX(IF($B$2:$B4932=$B4933, $A$2:$A4932+$C$2:$C4932)), "")*24*60, "")</f>
        <v/>
      </c>
      <c r="O4933" s="24" t="str" cm="1">
        <f t="array" ref="O4933">IFERROR(IF($B4933=O$1, ($A4933+$C4933) - MAX(IF($B$2:$B4932=$B4933, $A$2:$A4932+$C$2:$C4932)), "")*24*60, "")</f>
        <v/>
      </c>
      <c r="P4933" s="24" t="str" cm="1">
        <f t="array" ref="P4933">IFERROR(IF($B4933=P$1, ($A4933+$C4933) - MAX(IF($B$2:$B4932=$B4933, $A$2:$A4932+$C$2:$C4932)), "")*24*60, "")</f>
        <v/>
      </c>
      <c r="Q4933" s="24" t="str" cm="1">
        <f t="array" ref="Q4933">IFERROR(IF($B4933=Q$1, ($A4933+$C4933) - MAX(IF($B$2:$B4932=$B4933, $A$2:$A4932+$C$2:$C4932)), "")*24*60, "")</f>
        <v/>
      </c>
    </row>
    <row r="4934" spans="1:17" x14ac:dyDescent="0.2">
      <c r="A4934" s="12">
        <f t="shared" ref="A4934:C4934" si="1269">A4933</f>
        <v>45980</v>
      </c>
      <c r="B4934" s="5" t="str">
        <f t="shared" si="1269"/>
        <v>Northern Cardinal</v>
      </c>
      <c r="C4934" s="6">
        <f t="shared" si="1269"/>
        <v>0.29166666666666669</v>
      </c>
      <c r="D4934" s="5"/>
      <c r="E4934" s="5"/>
      <c r="F4934" s="5" t="s">
        <v>8</v>
      </c>
      <c r="G4934" s="15" t="s">
        <v>9</v>
      </c>
      <c r="H4934" s="24">
        <f t="shared" si="1253"/>
        <v>0</v>
      </c>
      <c r="I4934" s="24" cm="1">
        <f t="array" ref="I4934">IFERROR(IF($B4934=I$1, ($A4934+$C4934) - MAX(IF($B$2:$B4933=$B4934, $A$2:$A4933+$C$2:$C4933)), "")*24*60, "")</f>
        <v>0</v>
      </c>
      <c r="J4934" s="24" t="str" cm="1">
        <f t="array" ref="J4934">IFERROR(IF($B4934=J$1, ($A4934+$C4934) - MAX(IF($B$2:$B4933=$B4934, $A$2:$A4933+$C$2:$C4933)), "")*24*60, "")</f>
        <v/>
      </c>
      <c r="K4934" s="24" t="str" cm="1">
        <f t="array" ref="K4934">IFERROR(IF($B4934=K$1, ($A4934+$C4934) - MAX(IF($B$2:$B4933=$B4934, $A$2:$A4933+$C$2:$C4933)), "")*24*60, "")</f>
        <v/>
      </c>
      <c r="L4934" s="24" t="str" cm="1">
        <f t="array" ref="L4934">IFERROR(IF($B4934=L$1, ($A4934+$C4934) - MAX(IF($B$2:$B4933=$B4934, $A$2:$A4933+$C$2:$C4933)), "")*24*60, "")</f>
        <v/>
      </c>
      <c r="M4934" s="24" t="str" cm="1">
        <f t="array" ref="M4934">IFERROR(IF($B4934=M$1, ($A4934+$C4934) - MAX(IF($B$2:$B4933=$B4934, $A$2:$A4933+$C$2:$C4933)), "")*24*60, "")</f>
        <v/>
      </c>
      <c r="N4934" s="24" t="str" cm="1">
        <f t="array" ref="N4934">IFERROR(IF($B4934=N$1, ($A4934+$C4934) - MAX(IF($B$2:$B4933=$B4934, $A$2:$A4933+$C$2:$C4933)), "")*24*60, "")</f>
        <v/>
      </c>
      <c r="O4934" s="24" t="str" cm="1">
        <f t="array" ref="O4934">IFERROR(IF($B4934=O$1, ($A4934+$C4934) - MAX(IF($B$2:$B4933=$B4934, $A$2:$A4933+$C$2:$C4933)), "")*24*60, "")</f>
        <v/>
      </c>
      <c r="P4934" s="24" t="str" cm="1">
        <f t="array" ref="P4934">IFERROR(IF($B4934=P$1, ($A4934+$C4934) - MAX(IF($B$2:$B4933=$B4934, $A$2:$A4933+$C$2:$C4933)), "")*24*60, "")</f>
        <v/>
      </c>
      <c r="Q4934" s="24" t="str" cm="1">
        <f t="array" ref="Q4934">IFERROR(IF($B4934=Q$1, ($A4934+$C4934) - MAX(IF($B$2:$B4933=$B4934, $A$2:$A4933+$C$2:$C4933)), "")*24*60, "")</f>
        <v/>
      </c>
    </row>
    <row r="4935" spans="1:17" x14ac:dyDescent="0.2">
      <c r="A4935" s="12">
        <f t="shared" ref="A4935:C4935" si="1270">A4934</f>
        <v>45980</v>
      </c>
      <c r="B4935" s="5" t="str">
        <f t="shared" si="1270"/>
        <v>Northern Cardinal</v>
      </c>
      <c r="C4935" s="6">
        <f t="shared" si="1270"/>
        <v>0.29166666666666669</v>
      </c>
      <c r="D4935" s="5"/>
      <c r="E4935" s="5"/>
      <c r="F4935" s="5" t="s">
        <v>8</v>
      </c>
      <c r="G4935" s="15" t="s">
        <v>9</v>
      </c>
      <c r="H4935" s="24">
        <f t="shared" si="1253"/>
        <v>0</v>
      </c>
      <c r="I4935" s="24" cm="1">
        <f t="array" ref="I4935">IFERROR(IF($B4935=I$1, ($A4935+$C4935) - MAX(IF($B$2:$B4934=$B4935, $A$2:$A4934+$C$2:$C4934)), "")*24*60, "")</f>
        <v>0</v>
      </c>
      <c r="J4935" s="24" t="str" cm="1">
        <f t="array" ref="J4935">IFERROR(IF($B4935=J$1, ($A4935+$C4935) - MAX(IF($B$2:$B4934=$B4935, $A$2:$A4934+$C$2:$C4934)), "")*24*60, "")</f>
        <v/>
      </c>
      <c r="K4935" s="24" t="str" cm="1">
        <f t="array" ref="K4935">IFERROR(IF($B4935=K$1, ($A4935+$C4935) - MAX(IF($B$2:$B4934=$B4935, $A$2:$A4934+$C$2:$C4934)), "")*24*60, "")</f>
        <v/>
      </c>
      <c r="L4935" s="24" t="str" cm="1">
        <f t="array" ref="L4935">IFERROR(IF($B4935=L$1, ($A4935+$C4935) - MAX(IF($B$2:$B4934=$B4935, $A$2:$A4934+$C$2:$C4934)), "")*24*60, "")</f>
        <v/>
      </c>
      <c r="M4935" s="24" t="str" cm="1">
        <f t="array" ref="M4935">IFERROR(IF($B4935=M$1, ($A4935+$C4935) - MAX(IF($B$2:$B4934=$B4935, $A$2:$A4934+$C$2:$C4934)), "")*24*60, "")</f>
        <v/>
      </c>
      <c r="N4935" s="24" t="str" cm="1">
        <f t="array" ref="N4935">IFERROR(IF($B4935=N$1, ($A4935+$C4935) - MAX(IF($B$2:$B4934=$B4935, $A$2:$A4934+$C$2:$C4934)), "")*24*60, "")</f>
        <v/>
      </c>
      <c r="O4935" s="24" t="str" cm="1">
        <f t="array" ref="O4935">IFERROR(IF($B4935=O$1, ($A4935+$C4935) - MAX(IF($B$2:$B4934=$B4935, $A$2:$A4934+$C$2:$C4934)), "")*24*60, "")</f>
        <v/>
      </c>
      <c r="P4935" s="24" t="str" cm="1">
        <f t="array" ref="P4935">IFERROR(IF($B4935=P$1, ($A4935+$C4935) - MAX(IF($B$2:$B4934=$B4935, $A$2:$A4934+$C$2:$C4934)), "")*24*60, "")</f>
        <v/>
      </c>
      <c r="Q4935" s="24" t="str" cm="1">
        <f t="array" ref="Q4935">IFERROR(IF($B4935=Q$1, ($A4935+$C4935) - MAX(IF($B$2:$B4934=$B4935, $A$2:$A4934+$C$2:$C4934)), "")*24*60, "")</f>
        <v/>
      </c>
    </row>
    <row r="4936" spans="1:17" x14ac:dyDescent="0.2">
      <c r="A4936" s="12">
        <f t="shared" ref="A4936:C4936" si="1271">A4935</f>
        <v>45980</v>
      </c>
      <c r="B4936" s="5" t="str">
        <f t="shared" si="1271"/>
        <v>Northern Cardinal</v>
      </c>
      <c r="C4936" s="6">
        <f t="shared" si="1271"/>
        <v>0.29166666666666669</v>
      </c>
      <c r="D4936" s="5"/>
      <c r="E4936" s="5"/>
      <c r="F4936" s="5" t="s">
        <v>8</v>
      </c>
      <c r="G4936" s="15" t="s">
        <v>9</v>
      </c>
      <c r="H4936" s="24">
        <f t="shared" si="1253"/>
        <v>0</v>
      </c>
      <c r="I4936" s="24" cm="1">
        <f t="array" ref="I4936">IFERROR(IF($B4936=I$1, ($A4936+$C4936) - MAX(IF($B$2:$B4935=$B4936, $A$2:$A4935+$C$2:$C4935)), "")*24*60, "")</f>
        <v>0</v>
      </c>
      <c r="J4936" s="24" t="str" cm="1">
        <f t="array" ref="J4936">IFERROR(IF($B4936=J$1, ($A4936+$C4936) - MAX(IF($B$2:$B4935=$B4936, $A$2:$A4935+$C$2:$C4935)), "")*24*60, "")</f>
        <v/>
      </c>
      <c r="K4936" s="24" t="str" cm="1">
        <f t="array" ref="K4936">IFERROR(IF($B4936=K$1, ($A4936+$C4936) - MAX(IF($B$2:$B4935=$B4936, $A$2:$A4935+$C$2:$C4935)), "")*24*60, "")</f>
        <v/>
      </c>
      <c r="L4936" s="24" t="str" cm="1">
        <f t="array" ref="L4936">IFERROR(IF($B4936=L$1, ($A4936+$C4936) - MAX(IF($B$2:$B4935=$B4936, $A$2:$A4935+$C$2:$C4935)), "")*24*60, "")</f>
        <v/>
      </c>
      <c r="M4936" s="24" t="str" cm="1">
        <f t="array" ref="M4936">IFERROR(IF($B4936=M$1, ($A4936+$C4936) - MAX(IF($B$2:$B4935=$B4936, $A$2:$A4935+$C$2:$C4935)), "")*24*60, "")</f>
        <v/>
      </c>
      <c r="N4936" s="24" t="str" cm="1">
        <f t="array" ref="N4936">IFERROR(IF($B4936=N$1, ($A4936+$C4936) - MAX(IF($B$2:$B4935=$B4936, $A$2:$A4935+$C$2:$C4935)), "")*24*60, "")</f>
        <v/>
      </c>
      <c r="O4936" s="24" t="str" cm="1">
        <f t="array" ref="O4936">IFERROR(IF($B4936=O$1, ($A4936+$C4936) - MAX(IF($B$2:$B4935=$B4936, $A$2:$A4935+$C$2:$C4935)), "")*24*60, "")</f>
        <v/>
      </c>
      <c r="P4936" s="24" t="str" cm="1">
        <f t="array" ref="P4936">IFERROR(IF($B4936=P$1, ($A4936+$C4936) - MAX(IF($B$2:$B4935=$B4936, $A$2:$A4935+$C$2:$C4935)), "")*24*60, "")</f>
        <v/>
      </c>
      <c r="Q4936" s="24" t="str" cm="1">
        <f t="array" ref="Q4936">IFERROR(IF($B4936=Q$1, ($A4936+$C4936) - MAX(IF($B$2:$B4935=$B4936, $A$2:$A4935+$C$2:$C4935)), "")*24*60, "")</f>
        <v/>
      </c>
    </row>
    <row r="4937" spans="1:17" x14ac:dyDescent="0.2">
      <c r="A4937" s="12">
        <f t="shared" ref="A4937:C4937" si="1272">A4936</f>
        <v>45980</v>
      </c>
      <c r="B4937" s="5" t="str">
        <f t="shared" si="1272"/>
        <v>Northern Cardinal</v>
      </c>
      <c r="C4937" s="6">
        <f t="shared" si="1272"/>
        <v>0.29166666666666669</v>
      </c>
      <c r="D4937" s="5"/>
      <c r="E4937" s="5"/>
      <c r="F4937" s="5" t="s">
        <v>8</v>
      </c>
      <c r="G4937" s="15" t="s">
        <v>9</v>
      </c>
      <c r="H4937" s="24">
        <f t="shared" si="1253"/>
        <v>0</v>
      </c>
      <c r="I4937" s="24" cm="1">
        <f t="array" ref="I4937">IFERROR(IF($B4937=I$1, ($A4937+$C4937) - MAX(IF($B$2:$B4936=$B4937, $A$2:$A4936+$C$2:$C4936)), "")*24*60, "")</f>
        <v>0</v>
      </c>
      <c r="J4937" s="24" t="str" cm="1">
        <f t="array" ref="J4937">IFERROR(IF($B4937=J$1, ($A4937+$C4937) - MAX(IF($B$2:$B4936=$B4937, $A$2:$A4936+$C$2:$C4936)), "")*24*60, "")</f>
        <v/>
      </c>
      <c r="K4937" s="24" t="str" cm="1">
        <f t="array" ref="K4937">IFERROR(IF($B4937=K$1, ($A4937+$C4937) - MAX(IF($B$2:$B4936=$B4937, $A$2:$A4936+$C$2:$C4936)), "")*24*60, "")</f>
        <v/>
      </c>
      <c r="L4937" s="24" t="str" cm="1">
        <f t="array" ref="L4937">IFERROR(IF($B4937=L$1, ($A4937+$C4937) - MAX(IF($B$2:$B4936=$B4937, $A$2:$A4936+$C$2:$C4936)), "")*24*60, "")</f>
        <v/>
      </c>
      <c r="M4937" s="24" t="str" cm="1">
        <f t="array" ref="M4937">IFERROR(IF($B4937=M$1, ($A4937+$C4937) - MAX(IF($B$2:$B4936=$B4937, $A$2:$A4936+$C$2:$C4936)), "")*24*60, "")</f>
        <v/>
      </c>
      <c r="N4937" s="24" t="str" cm="1">
        <f t="array" ref="N4937">IFERROR(IF($B4937=N$1, ($A4937+$C4937) - MAX(IF($B$2:$B4936=$B4937, $A$2:$A4936+$C$2:$C4936)), "")*24*60, "")</f>
        <v/>
      </c>
      <c r="O4937" s="24" t="str" cm="1">
        <f t="array" ref="O4937">IFERROR(IF($B4937=O$1, ($A4937+$C4937) - MAX(IF($B$2:$B4936=$B4937, $A$2:$A4936+$C$2:$C4936)), "")*24*60, "")</f>
        <v/>
      </c>
      <c r="P4937" s="24" t="str" cm="1">
        <f t="array" ref="P4937">IFERROR(IF($B4937=P$1, ($A4937+$C4937) - MAX(IF($B$2:$B4936=$B4937, $A$2:$A4936+$C$2:$C4936)), "")*24*60, "")</f>
        <v/>
      </c>
      <c r="Q4937" s="24" t="str" cm="1">
        <f t="array" ref="Q4937">IFERROR(IF($B4937=Q$1, ($A4937+$C4937) - MAX(IF($B$2:$B4936=$B4937, $A$2:$A4936+$C$2:$C4936)), "")*24*60, "")</f>
        <v/>
      </c>
    </row>
    <row r="4938" spans="1:17" x14ac:dyDescent="0.2">
      <c r="A4938" s="12">
        <f t="shared" ref="A4938:C4938" si="1273">A4937</f>
        <v>45980</v>
      </c>
      <c r="B4938" s="5" t="str">
        <f t="shared" si="1273"/>
        <v>Northern Cardinal</v>
      </c>
      <c r="C4938" s="6">
        <f t="shared" si="1273"/>
        <v>0.29166666666666669</v>
      </c>
      <c r="D4938" s="5"/>
      <c r="E4938" s="5"/>
      <c r="F4938" s="5" t="s">
        <v>8</v>
      </c>
      <c r="G4938" s="15" t="s">
        <v>9</v>
      </c>
      <c r="H4938" s="24">
        <f t="shared" si="1253"/>
        <v>0</v>
      </c>
      <c r="I4938" s="24" cm="1">
        <f t="array" ref="I4938">IFERROR(IF($B4938=I$1, ($A4938+$C4938) - MAX(IF($B$2:$B4937=$B4938, $A$2:$A4937+$C$2:$C4937)), "")*24*60, "")</f>
        <v>0</v>
      </c>
      <c r="J4938" s="24" t="str" cm="1">
        <f t="array" ref="J4938">IFERROR(IF($B4938=J$1, ($A4938+$C4938) - MAX(IF($B$2:$B4937=$B4938, $A$2:$A4937+$C$2:$C4937)), "")*24*60, "")</f>
        <v/>
      </c>
      <c r="K4938" s="24" t="str" cm="1">
        <f t="array" ref="K4938">IFERROR(IF($B4938=K$1, ($A4938+$C4938) - MAX(IF($B$2:$B4937=$B4938, $A$2:$A4937+$C$2:$C4937)), "")*24*60, "")</f>
        <v/>
      </c>
      <c r="L4938" s="24" t="str" cm="1">
        <f t="array" ref="L4938">IFERROR(IF($B4938=L$1, ($A4938+$C4938) - MAX(IF($B$2:$B4937=$B4938, $A$2:$A4937+$C$2:$C4937)), "")*24*60, "")</f>
        <v/>
      </c>
      <c r="M4938" s="24" t="str" cm="1">
        <f t="array" ref="M4938">IFERROR(IF($B4938=M$1, ($A4938+$C4938) - MAX(IF($B$2:$B4937=$B4938, $A$2:$A4937+$C$2:$C4937)), "")*24*60, "")</f>
        <v/>
      </c>
      <c r="N4938" s="24" t="str" cm="1">
        <f t="array" ref="N4938">IFERROR(IF($B4938=N$1, ($A4938+$C4938) - MAX(IF($B$2:$B4937=$B4938, $A$2:$A4937+$C$2:$C4937)), "")*24*60, "")</f>
        <v/>
      </c>
      <c r="O4938" s="24" t="str" cm="1">
        <f t="array" ref="O4938">IFERROR(IF($B4938=O$1, ($A4938+$C4938) - MAX(IF($B$2:$B4937=$B4938, $A$2:$A4937+$C$2:$C4937)), "")*24*60, "")</f>
        <v/>
      </c>
      <c r="P4938" s="24" t="str" cm="1">
        <f t="array" ref="P4938">IFERROR(IF($B4938=P$1, ($A4938+$C4938) - MAX(IF($B$2:$B4937=$B4938, $A$2:$A4937+$C$2:$C4937)), "")*24*60, "")</f>
        <v/>
      </c>
      <c r="Q4938" s="24" t="str" cm="1">
        <f t="array" ref="Q4938">IFERROR(IF($B4938=Q$1, ($A4938+$C4938) - MAX(IF($B$2:$B4937=$B4938, $A$2:$A4937+$C$2:$C4937)), "")*24*60, "")</f>
        <v/>
      </c>
    </row>
    <row r="4939" spans="1:17" x14ac:dyDescent="0.2">
      <c r="A4939" s="12">
        <f t="shared" ref="A4939:C4939" si="1274">A4938</f>
        <v>45980</v>
      </c>
      <c r="B4939" s="5" t="str">
        <f t="shared" si="1274"/>
        <v>Northern Cardinal</v>
      </c>
      <c r="C4939" s="6">
        <f t="shared" si="1274"/>
        <v>0.29166666666666669</v>
      </c>
      <c r="D4939" s="5"/>
      <c r="E4939" s="5"/>
      <c r="F4939" s="5" t="s">
        <v>8</v>
      </c>
      <c r="G4939" s="15" t="s">
        <v>9</v>
      </c>
      <c r="H4939" s="24">
        <f t="shared" si="1253"/>
        <v>0</v>
      </c>
      <c r="I4939" s="24" cm="1">
        <f t="array" ref="I4939">IFERROR(IF($B4939=I$1, ($A4939+$C4939) - MAX(IF($B$2:$B4938=$B4939, $A$2:$A4938+$C$2:$C4938)), "")*24*60, "")</f>
        <v>0</v>
      </c>
      <c r="J4939" s="24" t="str" cm="1">
        <f t="array" ref="J4939">IFERROR(IF($B4939=J$1, ($A4939+$C4939) - MAX(IF($B$2:$B4938=$B4939, $A$2:$A4938+$C$2:$C4938)), "")*24*60, "")</f>
        <v/>
      </c>
      <c r="K4939" s="24" t="str" cm="1">
        <f t="array" ref="K4939">IFERROR(IF($B4939=K$1, ($A4939+$C4939) - MAX(IF($B$2:$B4938=$B4939, $A$2:$A4938+$C$2:$C4938)), "")*24*60, "")</f>
        <v/>
      </c>
      <c r="L4939" s="24" t="str" cm="1">
        <f t="array" ref="L4939">IFERROR(IF($B4939=L$1, ($A4939+$C4939) - MAX(IF($B$2:$B4938=$B4939, $A$2:$A4938+$C$2:$C4938)), "")*24*60, "")</f>
        <v/>
      </c>
      <c r="M4939" s="24" t="str" cm="1">
        <f t="array" ref="M4939">IFERROR(IF($B4939=M$1, ($A4939+$C4939) - MAX(IF($B$2:$B4938=$B4939, $A$2:$A4938+$C$2:$C4938)), "")*24*60, "")</f>
        <v/>
      </c>
      <c r="N4939" s="24" t="str" cm="1">
        <f t="array" ref="N4939">IFERROR(IF($B4939=N$1, ($A4939+$C4939) - MAX(IF($B$2:$B4938=$B4939, $A$2:$A4938+$C$2:$C4938)), "")*24*60, "")</f>
        <v/>
      </c>
      <c r="O4939" s="24" t="str" cm="1">
        <f t="array" ref="O4939">IFERROR(IF($B4939=O$1, ($A4939+$C4939) - MAX(IF($B$2:$B4938=$B4939, $A$2:$A4938+$C$2:$C4938)), "")*24*60, "")</f>
        <v/>
      </c>
      <c r="P4939" s="24" t="str" cm="1">
        <f t="array" ref="P4939">IFERROR(IF($B4939=P$1, ($A4939+$C4939) - MAX(IF($B$2:$B4938=$B4939, $A$2:$A4938+$C$2:$C4938)), "")*24*60, "")</f>
        <v/>
      </c>
      <c r="Q4939" s="24" t="str" cm="1">
        <f t="array" ref="Q4939">IFERROR(IF($B4939=Q$1, ($A4939+$C4939) - MAX(IF($B$2:$B4938=$B4939, $A$2:$A4938+$C$2:$C4938)), "")*24*60, "")</f>
        <v/>
      </c>
    </row>
    <row r="4940" spans="1:17" x14ac:dyDescent="0.2">
      <c r="A4940" s="12">
        <f t="shared" ref="A4940:C4940" si="1275">A4939</f>
        <v>45980</v>
      </c>
      <c r="B4940" s="5" t="str">
        <f t="shared" si="1275"/>
        <v>Northern Cardinal</v>
      </c>
      <c r="C4940" s="6">
        <f t="shared" si="1275"/>
        <v>0.29166666666666669</v>
      </c>
      <c r="D4940" s="5"/>
      <c r="E4940" s="5"/>
      <c r="F4940" s="5" t="s">
        <v>8</v>
      </c>
      <c r="G4940" s="15" t="s">
        <v>9</v>
      </c>
      <c r="H4940" s="24">
        <f t="shared" si="1253"/>
        <v>0</v>
      </c>
      <c r="I4940" s="24" cm="1">
        <f t="array" ref="I4940">IFERROR(IF($B4940=I$1, ($A4940+$C4940) - MAX(IF($B$2:$B4939=$B4940, $A$2:$A4939+$C$2:$C4939)), "")*24*60, "")</f>
        <v>0</v>
      </c>
      <c r="J4940" s="24" t="str" cm="1">
        <f t="array" ref="J4940">IFERROR(IF($B4940=J$1, ($A4940+$C4940) - MAX(IF($B$2:$B4939=$B4940, $A$2:$A4939+$C$2:$C4939)), "")*24*60, "")</f>
        <v/>
      </c>
      <c r="K4940" s="24" t="str" cm="1">
        <f t="array" ref="K4940">IFERROR(IF($B4940=K$1, ($A4940+$C4940) - MAX(IF($B$2:$B4939=$B4940, $A$2:$A4939+$C$2:$C4939)), "")*24*60, "")</f>
        <v/>
      </c>
      <c r="L4940" s="24" t="str" cm="1">
        <f t="array" ref="L4940">IFERROR(IF($B4940=L$1, ($A4940+$C4940) - MAX(IF($B$2:$B4939=$B4940, $A$2:$A4939+$C$2:$C4939)), "")*24*60, "")</f>
        <v/>
      </c>
      <c r="M4940" s="24" t="str" cm="1">
        <f t="array" ref="M4940">IFERROR(IF($B4940=M$1, ($A4940+$C4940) - MAX(IF($B$2:$B4939=$B4940, $A$2:$A4939+$C$2:$C4939)), "")*24*60, "")</f>
        <v/>
      </c>
      <c r="N4940" s="24" t="str" cm="1">
        <f t="array" ref="N4940">IFERROR(IF($B4940=N$1, ($A4940+$C4940) - MAX(IF($B$2:$B4939=$B4940, $A$2:$A4939+$C$2:$C4939)), "")*24*60, "")</f>
        <v/>
      </c>
      <c r="O4940" s="24" t="str" cm="1">
        <f t="array" ref="O4940">IFERROR(IF($B4940=O$1, ($A4940+$C4940) - MAX(IF($B$2:$B4939=$B4940, $A$2:$A4939+$C$2:$C4939)), "")*24*60, "")</f>
        <v/>
      </c>
      <c r="P4940" s="24" t="str" cm="1">
        <f t="array" ref="P4940">IFERROR(IF($B4940=P$1, ($A4940+$C4940) - MAX(IF($B$2:$B4939=$B4940, $A$2:$A4939+$C$2:$C4939)), "")*24*60, "")</f>
        <v/>
      </c>
      <c r="Q4940" s="24" t="str" cm="1">
        <f t="array" ref="Q4940">IFERROR(IF($B4940=Q$1, ($A4940+$C4940) - MAX(IF($B$2:$B4939=$B4940, $A$2:$A4939+$C$2:$C4939)), "")*24*60, "")</f>
        <v/>
      </c>
    </row>
    <row r="4941" spans="1:17" x14ac:dyDescent="0.2">
      <c r="A4941" s="12">
        <f t="shared" ref="A4941:C4941" si="1276">A4940</f>
        <v>45980</v>
      </c>
      <c r="B4941" s="5" t="str">
        <f t="shared" si="1276"/>
        <v>Northern Cardinal</v>
      </c>
      <c r="C4941" s="6">
        <f t="shared" si="1276"/>
        <v>0.29166666666666669</v>
      </c>
      <c r="D4941" s="5"/>
      <c r="E4941" s="5"/>
      <c r="F4941" s="5" t="s">
        <v>8</v>
      </c>
      <c r="G4941" s="15" t="s">
        <v>9</v>
      </c>
      <c r="H4941" s="24">
        <f t="shared" si="1253"/>
        <v>0</v>
      </c>
      <c r="I4941" s="24" cm="1">
        <f t="array" ref="I4941">IFERROR(IF($B4941=I$1, ($A4941+$C4941) - MAX(IF($B$2:$B4940=$B4941, $A$2:$A4940+$C$2:$C4940)), "")*24*60, "")</f>
        <v>0</v>
      </c>
      <c r="J4941" s="24" t="str" cm="1">
        <f t="array" ref="J4941">IFERROR(IF($B4941=J$1, ($A4941+$C4941) - MAX(IF($B$2:$B4940=$B4941, $A$2:$A4940+$C$2:$C4940)), "")*24*60, "")</f>
        <v/>
      </c>
      <c r="K4941" s="24" t="str" cm="1">
        <f t="array" ref="K4941">IFERROR(IF($B4941=K$1, ($A4941+$C4941) - MAX(IF($B$2:$B4940=$B4941, $A$2:$A4940+$C$2:$C4940)), "")*24*60, "")</f>
        <v/>
      </c>
      <c r="L4941" s="24" t="str" cm="1">
        <f t="array" ref="L4941">IFERROR(IF($B4941=L$1, ($A4941+$C4941) - MAX(IF($B$2:$B4940=$B4941, $A$2:$A4940+$C$2:$C4940)), "")*24*60, "")</f>
        <v/>
      </c>
      <c r="M4941" s="24" t="str" cm="1">
        <f t="array" ref="M4941">IFERROR(IF($B4941=M$1, ($A4941+$C4941) - MAX(IF($B$2:$B4940=$B4941, $A$2:$A4940+$C$2:$C4940)), "")*24*60, "")</f>
        <v/>
      </c>
      <c r="N4941" s="24" t="str" cm="1">
        <f t="array" ref="N4941">IFERROR(IF($B4941=N$1, ($A4941+$C4941) - MAX(IF($B$2:$B4940=$B4941, $A$2:$A4940+$C$2:$C4940)), "")*24*60, "")</f>
        <v/>
      </c>
      <c r="O4941" s="24" t="str" cm="1">
        <f t="array" ref="O4941">IFERROR(IF($B4941=O$1, ($A4941+$C4941) - MAX(IF($B$2:$B4940=$B4941, $A$2:$A4940+$C$2:$C4940)), "")*24*60, "")</f>
        <v/>
      </c>
      <c r="P4941" s="24" t="str" cm="1">
        <f t="array" ref="P4941">IFERROR(IF($B4941=P$1, ($A4941+$C4941) - MAX(IF($B$2:$B4940=$B4941, $A$2:$A4940+$C$2:$C4940)), "")*24*60, "")</f>
        <v/>
      </c>
      <c r="Q4941" s="24" t="str" cm="1">
        <f t="array" ref="Q4941">IFERROR(IF($B4941=Q$1, ($A4941+$C4941) - MAX(IF($B$2:$B4940=$B4941, $A$2:$A4940+$C$2:$C4940)), "")*24*60, "")</f>
        <v/>
      </c>
    </row>
    <row r="4942" spans="1:17" x14ac:dyDescent="0.2">
      <c r="A4942" s="12">
        <f t="shared" ref="A4942:C4942" si="1277">A4941</f>
        <v>45980</v>
      </c>
      <c r="B4942" s="5" t="str">
        <f t="shared" si="1277"/>
        <v>Northern Cardinal</v>
      </c>
      <c r="C4942" s="6">
        <f t="shared" si="1277"/>
        <v>0.29166666666666669</v>
      </c>
      <c r="D4942" s="5"/>
      <c r="E4942" s="5"/>
      <c r="F4942" s="5" t="s">
        <v>8</v>
      </c>
      <c r="G4942" s="15" t="s">
        <v>9</v>
      </c>
      <c r="H4942" s="24">
        <f t="shared" si="1253"/>
        <v>0</v>
      </c>
      <c r="I4942" s="24" cm="1">
        <f t="array" ref="I4942">IFERROR(IF($B4942=I$1, ($A4942+$C4942) - MAX(IF($B$2:$B4941=$B4942, $A$2:$A4941+$C$2:$C4941)), "")*24*60, "")</f>
        <v>0</v>
      </c>
      <c r="J4942" s="24" t="str" cm="1">
        <f t="array" ref="J4942">IFERROR(IF($B4942=J$1, ($A4942+$C4942) - MAX(IF($B$2:$B4941=$B4942, $A$2:$A4941+$C$2:$C4941)), "")*24*60, "")</f>
        <v/>
      </c>
      <c r="K4942" s="24" t="str" cm="1">
        <f t="array" ref="K4942">IFERROR(IF($B4942=K$1, ($A4942+$C4942) - MAX(IF($B$2:$B4941=$B4942, $A$2:$A4941+$C$2:$C4941)), "")*24*60, "")</f>
        <v/>
      </c>
      <c r="L4942" s="24" t="str" cm="1">
        <f t="array" ref="L4942">IFERROR(IF($B4942=L$1, ($A4942+$C4942) - MAX(IF($B$2:$B4941=$B4942, $A$2:$A4941+$C$2:$C4941)), "")*24*60, "")</f>
        <v/>
      </c>
      <c r="M4942" s="24" t="str" cm="1">
        <f t="array" ref="M4942">IFERROR(IF($B4942=M$1, ($A4942+$C4942) - MAX(IF($B$2:$B4941=$B4942, $A$2:$A4941+$C$2:$C4941)), "")*24*60, "")</f>
        <v/>
      </c>
      <c r="N4942" s="24" t="str" cm="1">
        <f t="array" ref="N4942">IFERROR(IF($B4942=N$1, ($A4942+$C4942) - MAX(IF($B$2:$B4941=$B4942, $A$2:$A4941+$C$2:$C4941)), "")*24*60, "")</f>
        <v/>
      </c>
      <c r="O4942" s="24" t="str" cm="1">
        <f t="array" ref="O4942">IFERROR(IF($B4942=O$1, ($A4942+$C4942) - MAX(IF($B$2:$B4941=$B4942, $A$2:$A4941+$C$2:$C4941)), "")*24*60, "")</f>
        <v/>
      </c>
      <c r="P4942" s="24" t="str" cm="1">
        <f t="array" ref="P4942">IFERROR(IF($B4942=P$1, ($A4942+$C4942) - MAX(IF($B$2:$B4941=$B4942, $A$2:$A4941+$C$2:$C4941)), "")*24*60, "")</f>
        <v/>
      </c>
      <c r="Q4942" s="24" t="str" cm="1">
        <f t="array" ref="Q4942">IFERROR(IF($B4942=Q$1, ($A4942+$C4942) - MAX(IF($B$2:$B4941=$B4942, $A$2:$A4941+$C$2:$C4941)), "")*24*60, "")</f>
        <v/>
      </c>
    </row>
    <row r="4943" spans="1:17" x14ac:dyDescent="0.2">
      <c r="A4943" s="12">
        <f t="shared" ref="A4943:C4943" si="1278">A4942</f>
        <v>45980</v>
      </c>
      <c r="B4943" s="5" t="str">
        <f t="shared" si="1278"/>
        <v>Northern Cardinal</v>
      </c>
      <c r="C4943" s="6">
        <f t="shared" si="1278"/>
        <v>0.29166666666666669</v>
      </c>
      <c r="D4943" s="5"/>
      <c r="E4943" s="5"/>
      <c r="F4943" s="5" t="s">
        <v>8</v>
      </c>
      <c r="G4943" s="15" t="s">
        <v>9</v>
      </c>
      <c r="H4943" s="24">
        <f t="shared" si="1253"/>
        <v>0</v>
      </c>
      <c r="I4943" s="24" cm="1">
        <f t="array" ref="I4943">IFERROR(IF($B4943=I$1, ($A4943+$C4943) - MAX(IF($B$2:$B4942=$B4943, $A$2:$A4942+$C$2:$C4942)), "")*24*60, "")</f>
        <v>0</v>
      </c>
      <c r="J4943" s="24" t="str" cm="1">
        <f t="array" ref="J4943">IFERROR(IF($B4943=J$1, ($A4943+$C4943) - MAX(IF($B$2:$B4942=$B4943, $A$2:$A4942+$C$2:$C4942)), "")*24*60, "")</f>
        <v/>
      </c>
      <c r="K4943" s="24" t="str" cm="1">
        <f t="array" ref="K4943">IFERROR(IF($B4943=K$1, ($A4943+$C4943) - MAX(IF($B$2:$B4942=$B4943, $A$2:$A4942+$C$2:$C4942)), "")*24*60, "")</f>
        <v/>
      </c>
      <c r="L4943" s="24" t="str" cm="1">
        <f t="array" ref="L4943">IFERROR(IF($B4943=L$1, ($A4943+$C4943) - MAX(IF($B$2:$B4942=$B4943, $A$2:$A4942+$C$2:$C4942)), "")*24*60, "")</f>
        <v/>
      </c>
      <c r="M4943" s="24" t="str" cm="1">
        <f t="array" ref="M4943">IFERROR(IF($B4943=M$1, ($A4943+$C4943) - MAX(IF($B$2:$B4942=$B4943, $A$2:$A4942+$C$2:$C4942)), "")*24*60, "")</f>
        <v/>
      </c>
      <c r="N4943" s="24" t="str" cm="1">
        <f t="array" ref="N4943">IFERROR(IF($B4943=N$1, ($A4943+$C4943) - MAX(IF($B$2:$B4942=$B4943, $A$2:$A4942+$C$2:$C4942)), "")*24*60, "")</f>
        <v/>
      </c>
      <c r="O4943" s="24" t="str" cm="1">
        <f t="array" ref="O4943">IFERROR(IF($B4943=O$1, ($A4943+$C4943) - MAX(IF($B$2:$B4942=$B4943, $A$2:$A4942+$C$2:$C4942)), "")*24*60, "")</f>
        <v/>
      </c>
      <c r="P4943" s="24" t="str" cm="1">
        <f t="array" ref="P4943">IFERROR(IF($B4943=P$1, ($A4943+$C4943) - MAX(IF($B$2:$B4942=$B4943, $A$2:$A4942+$C$2:$C4942)), "")*24*60, "")</f>
        <v/>
      </c>
      <c r="Q4943" s="24" t="str" cm="1">
        <f t="array" ref="Q4943">IFERROR(IF($B4943=Q$1, ($A4943+$C4943) - MAX(IF($B$2:$B4942=$B4943, $A$2:$A4942+$C$2:$C4942)), "")*24*60, "")</f>
        <v/>
      </c>
    </row>
    <row r="4944" spans="1:17" x14ac:dyDescent="0.2">
      <c r="A4944" s="12">
        <f t="shared" ref="A4944:C4944" si="1279">A4943</f>
        <v>45980</v>
      </c>
      <c r="B4944" s="5" t="str">
        <f t="shared" si="1279"/>
        <v>Northern Cardinal</v>
      </c>
      <c r="C4944" s="6">
        <f t="shared" si="1279"/>
        <v>0.29166666666666669</v>
      </c>
      <c r="D4944" s="5"/>
      <c r="E4944" s="5"/>
      <c r="F4944" s="5" t="s">
        <v>8</v>
      </c>
      <c r="G4944" s="15" t="s">
        <v>9</v>
      </c>
      <c r="H4944" s="24">
        <f t="shared" si="1253"/>
        <v>0</v>
      </c>
      <c r="I4944" s="24" cm="1">
        <f t="array" ref="I4944">IFERROR(IF($B4944=I$1, ($A4944+$C4944) - MAX(IF($B$2:$B4943=$B4944, $A$2:$A4943+$C$2:$C4943)), "")*24*60, "")</f>
        <v>0</v>
      </c>
      <c r="J4944" s="24" t="str" cm="1">
        <f t="array" ref="J4944">IFERROR(IF($B4944=J$1, ($A4944+$C4944) - MAX(IF($B$2:$B4943=$B4944, $A$2:$A4943+$C$2:$C4943)), "")*24*60, "")</f>
        <v/>
      </c>
      <c r="K4944" s="24" t="str" cm="1">
        <f t="array" ref="K4944">IFERROR(IF($B4944=K$1, ($A4944+$C4944) - MAX(IF($B$2:$B4943=$B4944, $A$2:$A4943+$C$2:$C4943)), "")*24*60, "")</f>
        <v/>
      </c>
      <c r="L4944" s="24" t="str" cm="1">
        <f t="array" ref="L4944">IFERROR(IF($B4944=L$1, ($A4944+$C4944) - MAX(IF($B$2:$B4943=$B4944, $A$2:$A4943+$C$2:$C4943)), "")*24*60, "")</f>
        <v/>
      </c>
      <c r="M4944" s="24" t="str" cm="1">
        <f t="array" ref="M4944">IFERROR(IF($B4944=M$1, ($A4944+$C4944) - MAX(IF($B$2:$B4943=$B4944, $A$2:$A4943+$C$2:$C4943)), "")*24*60, "")</f>
        <v/>
      </c>
      <c r="N4944" s="24" t="str" cm="1">
        <f t="array" ref="N4944">IFERROR(IF($B4944=N$1, ($A4944+$C4944) - MAX(IF($B$2:$B4943=$B4944, $A$2:$A4943+$C$2:$C4943)), "")*24*60, "")</f>
        <v/>
      </c>
      <c r="O4944" s="24" t="str" cm="1">
        <f t="array" ref="O4944">IFERROR(IF($B4944=O$1, ($A4944+$C4944) - MAX(IF($B$2:$B4943=$B4944, $A$2:$A4943+$C$2:$C4943)), "")*24*60, "")</f>
        <v/>
      </c>
      <c r="P4944" s="24" t="str" cm="1">
        <f t="array" ref="P4944">IFERROR(IF($B4944=P$1, ($A4944+$C4944) - MAX(IF($B$2:$B4943=$B4944, $A$2:$A4943+$C$2:$C4943)), "")*24*60, "")</f>
        <v/>
      </c>
      <c r="Q4944" s="24" t="str" cm="1">
        <f t="array" ref="Q4944">IFERROR(IF($B4944=Q$1, ($A4944+$C4944) - MAX(IF($B$2:$B4943=$B4944, $A$2:$A4943+$C$2:$C4943)), "")*24*60, "")</f>
        <v/>
      </c>
    </row>
    <row r="4945" spans="1:17" x14ac:dyDescent="0.2">
      <c r="A4945" s="12">
        <f t="shared" ref="A4945:C4945" si="1280">A4944</f>
        <v>45980</v>
      </c>
      <c r="B4945" s="5" t="str">
        <f t="shared" si="1280"/>
        <v>Northern Cardinal</v>
      </c>
      <c r="C4945" s="6">
        <f t="shared" si="1280"/>
        <v>0.29166666666666669</v>
      </c>
      <c r="D4945" s="5"/>
      <c r="E4945" s="5"/>
      <c r="F4945" s="5" t="s">
        <v>8</v>
      </c>
      <c r="G4945" s="15" t="s">
        <v>9</v>
      </c>
      <c r="H4945" s="24">
        <f t="shared" si="1253"/>
        <v>0</v>
      </c>
      <c r="I4945" s="24" cm="1">
        <f t="array" ref="I4945">IFERROR(IF($B4945=I$1, ($A4945+$C4945) - MAX(IF($B$2:$B4944=$B4945, $A$2:$A4944+$C$2:$C4944)), "")*24*60, "")</f>
        <v>0</v>
      </c>
      <c r="J4945" s="24" t="str" cm="1">
        <f t="array" ref="J4945">IFERROR(IF($B4945=J$1, ($A4945+$C4945) - MAX(IF($B$2:$B4944=$B4945, $A$2:$A4944+$C$2:$C4944)), "")*24*60, "")</f>
        <v/>
      </c>
      <c r="K4945" s="24" t="str" cm="1">
        <f t="array" ref="K4945">IFERROR(IF($B4945=K$1, ($A4945+$C4945) - MAX(IF($B$2:$B4944=$B4945, $A$2:$A4944+$C$2:$C4944)), "")*24*60, "")</f>
        <v/>
      </c>
      <c r="L4945" s="24" t="str" cm="1">
        <f t="array" ref="L4945">IFERROR(IF($B4945=L$1, ($A4945+$C4945) - MAX(IF($B$2:$B4944=$B4945, $A$2:$A4944+$C$2:$C4944)), "")*24*60, "")</f>
        <v/>
      </c>
      <c r="M4945" s="24" t="str" cm="1">
        <f t="array" ref="M4945">IFERROR(IF($B4945=M$1, ($A4945+$C4945) - MAX(IF($B$2:$B4944=$B4945, $A$2:$A4944+$C$2:$C4944)), "")*24*60, "")</f>
        <v/>
      </c>
      <c r="N4945" s="24" t="str" cm="1">
        <f t="array" ref="N4945">IFERROR(IF($B4945=N$1, ($A4945+$C4945) - MAX(IF($B$2:$B4944=$B4945, $A$2:$A4944+$C$2:$C4944)), "")*24*60, "")</f>
        <v/>
      </c>
      <c r="O4945" s="24" t="str" cm="1">
        <f t="array" ref="O4945">IFERROR(IF($B4945=O$1, ($A4945+$C4945) - MAX(IF($B$2:$B4944=$B4945, $A$2:$A4944+$C$2:$C4944)), "")*24*60, "")</f>
        <v/>
      </c>
      <c r="P4945" s="24" t="str" cm="1">
        <f t="array" ref="P4945">IFERROR(IF($B4945=P$1, ($A4945+$C4945) - MAX(IF($B$2:$B4944=$B4945, $A$2:$A4944+$C$2:$C4944)), "")*24*60, "")</f>
        <v/>
      </c>
      <c r="Q4945" s="24" t="str" cm="1">
        <f t="array" ref="Q4945">IFERROR(IF($B4945=Q$1, ($A4945+$C4945) - MAX(IF($B$2:$B4944=$B4945, $A$2:$A4944+$C$2:$C4944)), "")*24*60, "")</f>
        <v/>
      </c>
    </row>
    <row r="4946" spans="1:17" x14ac:dyDescent="0.2">
      <c r="A4946" s="12">
        <f t="shared" ref="A4946:C4946" si="1281">A4945</f>
        <v>45980</v>
      </c>
      <c r="B4946" s="5" t="str">
        <f t="shared" si="1281"/>
        <v>Northern Cardinal</v>
      </c>
      <c r="C4946" s="6">
        <f t="shared" si="1281"/>
        <v>0.29166666666666669</v>
      </c>
      <c r="D4946" s="5"/>
      <c r="E4946" s="5"/>
      <c r="F4946" s="5" t="s">
        <v>8</v>
      </c>
      <c r="G4946" s="15" t="s">
        <v>9</v>
      </c>
      <c r="H4946" s="24">
        <f t="shared" si="1253"/>
        <v>0</v>
      </c>
      <c r="I4946" s="24" cm="1">
        <f t="array" ref="I4946">IFERROR(IF($B4946=I$1, ($A4946+$C4946) - MAX(IF($B$2:$B4945=$B4946, $A$2:$A4945+$C$2:$C4945)), "")*24*60, "")</f>
        <v>0</v>
      </c>
      <c r="J4946" s="24" t="str" cm="1">
        <f t="array" ref="J4946">IFERROR(IF($B4946=J$1, ($A4946+$C4946) - MAX(IF($B$2:$B4945=$B4946, $A$2:$A4945+$C$2:$C4945)), "")*24*60, "")</f>
        <v/>
      </c>
      <c r="K4946" s="24" t="str" cm="1">
        <f t="array" ref="K4946">IFERROR(IF($B4946=K$1, ($A4946+$C4946) - MAX(IF($B$2:$B4945=$B4946, $A$2:$A4945+$C$2:$C4945)), "")*24*60, "")</f>
        <v/>
      </c>
      <c r="L4946" s="24" t="str" cm="1">
        <f t="array" ref="L4946">IFERROR(IF($B4946=L$1, ($A4946+$C4946) - MAX(IF($B$2:$B4945=$B4946, $A$2:$A4945+$C$2:$C4945)), "")*24*60, "")</f>
        <v/>
      </c>
      <c r="M4946" s="24" t="str" cm="1">
        <f t="array" ref="M4946">IFERROR(IF($B4946=M$1, ($A4946+$C4946) - MAX(IF($B$2:$B4945=$B4946, $A$2:$A4945+$C$2:$C4945)), "")*24*60, "")</f>
        <v/>
      </c>
      <c r="N4946" s="24" t="str" cm="1">
        <f t="array" ref="N4946">IFERROR(IF($B4946=N$1, ($A4946+$C4946) - MAX(IF($B$2:$B4945=$B4946, $A$2:$A4945+$C$2:$C4945)), "")*24*60, "")</f>
        <v/>
      </c>
      <c r="O4946" s="24" t="str" cm="1">
        <f t="array" ref="O4946">IFERROR(IF($B4946=O$1, ($A4946+$C4946) - MAX(IF($B$2:$B4945=$B4946, $A$2:$A4945+$C$2:$C4945)), "")*24*60, "")</f>
        <v/>
      </c>
      <c r="P4946" s="24" t="str" cm="1">
        <f t="array" ref="P4946">IFERROR(IF($B4946=P$1, ($A4946+$C4946) - MAX(IF($B$2:$B4945=$B4946, $A$2:$A4945+$C$2:$C4945)), "")*24*60, "")</f>
        <v/>
      </c>
      <c r="Q4946" s="24" t="str" cm="1">
        <f t="array" ref="Q4946">IFERROR(IF($B4946=Q$1, ($A4946+$C4946) - MAX(IF($B$2:$B4945=$B4946, $A$2:$A4945+$C$2:$C4945)), "")*24*60, "")</f>
        <v/>
      </c>
    </row>
    <row r="4947" spans="1:17" x14ac:dyDescent="0.2">
      <c r="A4947" s="12">
        <f t="shared" ref="A4947:C4947" si="1282">A4946</f>
        <v>45980</v>
      </c>
      <c r="B4947" s="5" t="str">
        <f t="shared" si="1282"/>
        <v>Northern Cardinal</v>
      </c>
      <c r="C4947" s="6">
        <f t="shared" si="1282"/>
        <v>0.29166666666666669</v>
      </c>
      <c r="D4947" s="5"/>
      <c r="E4947" s="5"/>
      <c r="F4947" s="5" t="s">
        <v>8</v>
      </c>
      <c r="G4947" s="15" t="s">
        <v>9</v>
      </c>
      <c r="H4947" s="24">
        <f t="shared" si="1253"/>
        <v>0</v>
      </c>
      <c r="I4947" s="24" cm="1">
        <f t="array" ref="I4947">IFERROR(IF($B4947=I$1, ($A4947+$C4947) - MAX(IF($B$2:$B4946=$B4947, $A$2:$A4946+$C$2:$C4946)), "")*24*60, "")</f>
        <v>0</v>
      </c>
      <c r="J4947" s="24" t="str" cm="1">
        <f t="array" ref="J4947">IFERROR(IF($B4947=J$1, ($A4947+$C4947) - MAX(IF($B$2:$B4946=$B4947, $A$2:$A4946+$C$2:$C4946)), "")*24*60, "")</f>
        <v/>
      </c>
      <c r="K4947" s="24" t="str" cm="1">
        <f t="array" ref="K4947">IFERROR(IF($B4947=K$1, ($A4947+$C4947) - MAX(IF($B$2:$B4946=$B4947, $A$2:$A4946+$C$2:$C4946)), "")*24*60, "")</f>
        <v/>
      </c>
      <c r="L4947" s="24" t="str" cm="1">
        <f t="array" ref="L4947">IFERROR(IF($B4947=L$1, ($A4947+$C4947) - MAX(IF($B$2:$B4946=$B4947, $A$2:$A4946+$C$2:$C4946)), "")*24*60, "")</f>
        <v/>
      </c>
      <c r="M4947" s="24" t="str" cm="1">
        <f t="array" ref="M4947">IFERROR(IF($B4947=M$1, ($A4947+$C4947) - MAX(IF($B$2:$B4946=$B4947, $A$2:$A4946+$C$2:$C4946)), "")*24*60, "")</f>
        <v/>
      </c>
      <c r="N4947" s="24" t="str" cm="1">
        <f t="array" ref="N4947">IFERROR(IF($B4947=N$1, ($A4947+$C4947) - MAX(IF($B$2:$B4946=$B4947, $A$2:$A4946+$C$2:$C4946)), "")*24*60, "")</f>
        <v/>
      </c>
      <c r="O4947" s="24" t="str" cm="1">
        <f t="array" ref="O4947">IFERROR(IF($B4947=O$1, ($A4947+$C4947) - MAX(IF($B$2:$B4946=$B4947, $A$2:$A4946+$C$2:$C4946)), "")*24*60, "")</f>
        <v/>
      </c>
      <c r="P4947" s="24" t="str" cm="1">
        <f t="array" ref="P4947">IFERROR(IF($B4947=P$1, ($A4947+$C4947) - MAX(IF($B$2:$B4946=$B4947, $A$2:$A4946+$C$2:$C4946)), "")*24*60, "")</f>
        <v/>
      </c>
      <c r="Q4947" s="24" t="str" cm="1">
        <f t="array" ref="Q4947">IFERROR(IF($B4947=Q$1, ($A4947+$C4947) - MAX(IF($B$2:$B4946=$B4947, $A$2:$A4946+$C$2:$C4946)), "")*24*60, "")</f>
        <v/>
      </c>
    </row>
    <row r="4948" spans="1:17" x14ac:dyDescent="0.2">
      <c r="A4948" s="12">
        <f t="shared" ref="A4948:C4948" si="1283">A4947</f>
        <v>45980</v>
      </c>
      <c r="B4948" s="5" t="str">
        <f t="shared" si="1283"/>
        <v>Northern Cardinal</v>
      </c>
      <c r="C4948" s="6">
        <f t="shared" si="1283"/>
        <v>0.29166666666666669</v>
      </c>
      <c r="D4948" s="5"/>
      <c r="E4948" s="5"/>
      <c r="F4948" s="5" t="s">
        <v>8</v>
      </c>
      <c r="G4948" s="15" t="s">
        <v>9</v>
      </c>
      <c r="H4948" s="24">
        <f t="shared" si="1253"/>
        <v>0</v>
      </c>
      <c r="I4948" s="24" cm="1">
        <f t="array" ref="I4948">IFERROR(IF($B4948=I$1, ($A4948+$C4948) - MAX(IF($B$2:$B4947=$B4948, $A$2:$A4947+$C$2:$C4947)), "")*24*60, "")</f>
        <v>0</v>
      </c>
      <c r="J4948" s="24" t="str" cm="1">
        <f t="array" ref="J4948">IFERROR(IF($B4948=J$1, ($A4948+$C4948) - MAX(IF($B$2:$B4947=$B4948, $A$2:$A4947+$C$2:$C4947)), "")*24*60, "")</f>
        <v/>
      </c>
      <c r="K4948" s="24" t="str" cm="1">
        <f t="array" ref="K4948">IFERROR(IF($B4948=K$1, ($A4948+$C4948) - MAX(IF($B$2:$B4947=$B4948, $A$2:$A4947+$C$2:$C4947)), "")*24*60, "")</f>
        <v/>
      </c>
      <c r="L4948" s="24" t="str" cm="1">
        <f t="array" ref="L4948">IFERROR(IF($B4948=L$1, ($A4948+$C4948) - MAX(IF($B$2:$B4947=$B4948, $A$2:$A4947+$C$2:$C4947)), "")*24*60, "")</f>
        <v/>
      </c>
      <c r="M4948" s="24" t="str" cm="1">
        <f t="array" ref="M4948">IFERROR(IF($B4948=M$1, ($A4948+$C4948) - MAX(IF($B$2:$B4947=$B4948, $A$2:$A4947+$C$2:$C4947)), "")*24*60, "")</f>
        <v/>
      </c>
      <c r="N4948" s="24" t="str" cm="1">
        <f t="array" ref="N4948">IFERROR(IF($B4948=N$1, ($A4948+$C4948) - MAX(IF($B$2:$B4947=$B4948, $A$2:$A4947+$C$2:$C4947)), "")*24*60, "")</f>
        <v/>
      </c>
      <c r="O4948" s="24" t="str" cm="1">
        <f t="array" ref="O4948">IFERROR(IF($B4948=O$1, ($A4948+$C4948) - MAX(IF($B$2:$B4947=$B4948, $A$2:$A4947+$C$2:$C4947)), "")*24*60, "")</f>
        <v/>
      </c>
      <c r="P4948" s="24" t="str" cm="1">
        <f t="array" ref="P4948">IFERROR(IF($B4948=P$1, ($A4948+$C4948) - MAX(IF($B$2:$B4947=$B4948, $A$2:$A4947+$C$2:$C4947)), "")*24*60, "")</f>
        <v/>
      </c>
      <c r="Q4948" s="24" t="str" cm="1">
        <f t="array" ref="Q4948">IFERROR(IF($B4948=Q$1, ($A4948+$C4948) - MAX(IF($B$2:$B4947=$B4948, $A$2:$A4947+$C$2:$C4947)), "")*24*60, "")</f>
        <v/>
      </c>
    </row>
    <row r="4949" spans="1:17" x14ac:dyDescent="0.2">
      <c r="A4949" s="12">
        <f t="shared" ref="A4949:C4949" si="1284">A4948</f>
        <v>45980</v>
      </c>
      <c r="B4949" s="5" t="str">
        <f t="shared" si="1284"/>
        <v>Northern Cardinal</v>
      </c>
      <c r="C4949" s="6">
        <f t="shared" si="1284"/>
        <v>0.29166666666666669</v>
      </c>
      <c r="D4949" s="5"/>
      <c r="E4949" s="5"/>
      <c r="F4949" s="5" t="s">
        <v>8</v>
      </c>
      <c r="G4949" s="15" t="s">
        <v>9</v>
      </c>
      <c r="H4949" s="24">
        <f t="shared" si="1253"/>
        <v>0</v>
      </c>
      <c r="I4949" s="24" cm="1">
        <f t="array" ref="I4949">IFERROR(IF($B4949=I$1, ($A4949+$C4949) - MAX(IF($B$2:$B4948=$B4949, $A$2:$A4948+$C$2:$C4948)), "")*24*60, "")</f>
        <v>0</v>
      </c>
      <c r="J4949" s="24" t="str" cm="1">
        <f t="array" ref="J4949">IFERROR(IF($B4949=J$1, ($A4949+$C4949) - MAX(IF($B$2:$B4948=$B4949, $A$2:$A4948+$C$2:$C4948)), "")*24*60, "")</f>
        <v/>
      </c>
      <c r="K4949" s="24" t="str" cm="1">
        <f t="array" ref="K4949">IFERROR(IF($B4949=K$1, ($A4949+$C4949) - MAX(IF($B$2:$B4948=$B4949, $A$2:$A4948+$C$2:$C4948)), "")*24*60, "")</f>
        <v/>
      </c>
      <c r="L4949" s="24" t="str" cm="1">
        <f t="array" ref="L4949">IFERROR(IF($B4949=L$1, ($A4949+$C4949) - MAX(IF($B$2:$B4948=$B4949, $A$2:$A4948+$C$2:$C4948)), "")*24*60, "")</f>
        <v/>
      </c>
      <c r="M4949" s="24" t="str" cm="1">
        <f t="array" ref="M4949">IFERROR(IF($B4949=M$1, ($A4949+$C4949) - MAX(IF($B$2:$B4948=$B4949, $A$2:$A4948+$C$2:$C4948)), "")*24*60, "")</f>
        <v/>
      </c>
      <c r="N4949" s="24" t="str" cm="1">
        <f t="array" ref="N4949">IFERROR(IF($B4949=N$1, ($A4949+$C4949) - MAX(IF($B$2:$B4948=$B4949, $A$2:$A4948+$C$2:$C4948)), "")*24*60, "")</f>
        <v/>
      </c>
      <c r="O4949" s="24" t="str" cm="1">
        <f t="array" ref="O4949">IFERROR(IF($B4949=O$1, ($A4949+$C4949) - MAX(IF($B$2:$B4948=$B4949, $A$2:$A4948+$C$2:$C4948)), "")*24*60, "")</f>
        <v/>
      </c>
      <c r="P4949" s="24" t="str" cm="1">
        <f t="array" ref="P4949">IFERROR(IF($B4949=P$1, ($A4949+$C4949) - MAX(IF($B$2:$B4948=$B4949, $A$2:$A4948+$C$2:$C4948)), "")*24*60, "")</f>
        <v/>
      </c>
      <c r="Q4949" s="24" t="str" cm="1">
        <f t="array" ref="Q4949">IFERROR(IF($B4949=Q$1, ($A4949+$C4949) - MAX(IF($B$2:$B4948=$B4949, $A$2:$A4948+$C$2:$C4948)), "")*24*60, "")</f>
        <v/>
      </c>
    </row>
    <row r="4950" spans="1:17" x14ac:dyDescent="0.2">
      <c r="A4950" s="12">
        <f t="shared" ref="A4950:C4950" si="1285">A4949</f>
        <v>45980</v>
      </c>
      <c r="B4950" s="5" t="str">
        <f t="shared" si="1285"/>
        <v>Northern Cardinal</v>
      </c>
      <c r="C4950" s="6">
        <f t="shared" si="1285"/>
        <v>0.29166666666666669</v>
      </c>
      <c r="D4950" s="5"/>
      <c r="E4950" s="5"/>
      <c r="F4950" s="5" t="s">
        <v>8</v>
      </c>
      <c r="G4950" s="15" t="s">
        <v>9</v>
      </c>
      <c r="H4950" s="24">
        <f t="shared" si="1253"/>
        <v>0</v>
      </c>
      <c r="I4950" s="24" cm="1">
        <f t="array" ref="I4950">IFERROR(IF($B4950=I$1, ($A4950+$C4950) - MAX(IF($B$2:$B4949=$B4950, $A$2:$A4949+$C$2:$C4949)), "")*24*60, "")</f>
        <v>0</v>
      </c>
      <c r="J4950" s="24" t="str" cm="1">
        <f t="array" ref="J4950">IFERROR(IF($B4950=J$1, ($A4950+$C4950) - MAX(IF($B$2:$B4949=$B4950, $A$2:$A4949+$C$2:$C4949)), "")*24*60, "")</f>
        <v/>
      </c>
      <c r="K4950" s="24" t="str" cm="1">
        <f t="array" ref="K4950">IFERROR(IF($B4950=K$1, ($A4950+$C4950) - MAX(IF($B$2:$B4949=$B4950, $A$2:$A4949+$C$2:$C4949)), "")*24*60, "")</f>
        <v/>
      </c>
      <c r="L4950" s="24" t="str" cm="1">
        <f t="array" ref="L4950">IFERROR(IF($B4950=L$1, ($A4950+$C4950) - MAX(IF($B$2:$B4949=$B4950, $A$2:$A4949+$C$2:$C4949)), "")*24*60, "")</f>
        <v/>
      </c>
      <c r="M4950" s="24" t="str" cm="1">
        <f t="array" ref="M4950">IFERROR(IF($B4950=M$1, ($A4950+$C4950) - MAX(IF($B$2:$B4949=$B4950, $A$2:$A4949+$C$2:$C4949)), "")*24*60, "")</f>
        <v/>
      </c>
      <c r="N4950" s="24" t="str" cm="1">
        <f t="array" ref="N4950">IFERROR(IF($B4950=N$1, ($A4950+$C4950) - MAX(IF($B$2:$B4949=$B4950, $A$2:$A4949+$C$2:$C4949)), "")*24*60, "")</f>
        <v/>
      </c>
      <c r="O4950" s="24" t="str" cm="1">
        <f t="array" ref="O4950">IFERROR(IF($B4950=O$1, ($A4950+$C4950) - MAX(IF($B$2:$B4949=$B4950, $A$2:$A4949+$C$2:$C4949)), "")*24*60, "")</f>
        <v/>
      </c>
      <c r="P4950" s="24" t="str" cm="1">
        <f t="array" ref="P4950">IFERROR(IF($B4950=P$1, ($A4950+$C4950) - MAX(IF($B$2:$B4949=$B4950, $A$2:$A4949+$C$2:$C4949)), "")*24*60, "")</f>
        <v/>
      </c>
      <c r="Q4950" s="24" t="str" cm="1">
        <f t="array" ref="Q4950">IFERROR(IF($B4950=Q$1, ($A4950+$C4950) - MAX(IF($B$2:$B4949=$B4950, $A$2:$A4949+$C$2:$C4949)), "")*24*60, "")</f>
        <v/>
      </c>
    </row>
    <row r="4951" spans="1:17" x14ac:dyDescent="0.2">
      <c r="A4951" s="12">
        <f t="shared" ref="A4951:C4951" si="1286">A4950</f>
        <v>45980</v>
      </c>
      <c r="B4951" s="5" t="str">
        <f t="shared" si="1286"/>
        <v>Northern Cardinal</v>
      </c>
      <c r="C4951" s="6">
        <f t="shared" si="1286"/>
        <v>0.29166666666666669</v>
      </c>
      <c r="D4951" s="5"/>
      <c r="E4951" s="5"/>
      <c r="F4951" s="5" t="s">
        <v>8</v>
      </c>
      <c r="G4951" s="15" t="s">
        <v>9</v>
      </c>
      <c r="H4951" s="24">
        <f t="shared" si="1253"/>
        <v>0</v>
      </c>
      <c r="I4951" s="24" cm="1">
        <f t="array" ref="I4951">IFERROR(IF($B4951=I$1, ($A4951+$C4951) - MAX(IF($B$2:$B4950=$B4951, $A$2:$A4950+$C$2:$C4950)), "")*24*60, "")</f>
        <v>0</v>
      </c>
      <c r="J4951" s="24" t="str" cm="1">
        <f t="array" ref="J4951">IFERROR(IF($B4951=J$1, ($A4951+$C4951) - MAX(IF($B$2:$B4950=$B4951, $A$2:$A4950+$C$2:$C4950)), "")*24*60, "")</f>
        <v/>
      </c>
      <c r="K4951" s="24" t="str" cm="1">
        <f t="array" ref="K4951">IFERROR(IF($B4951=K$1, ($A4951+$C4951) - MAX(IF($B$2:$B4950=$B4951, $A$2:$A4950+$C$2:$C4950)), "")*24*60, "")</f>
        <v/>
      </c>
      <c r="L4951" s="24" t="str" cm="1">
        <f t="array" ref="L4951">IFERROR(IF($B4951=L$1, ($A4951+$C4951) - MAX(IF($B$2:$B4950=$B4951, $A$2:$A4950+$C$2:$C4950)), "")*24*60, "")</f>
        <v/>
      </c>
      <c r="M4951" s="24" t="str" cm="1">
        <f t="array" ref="M4951">IFERROR(IF($B4951=M$1, ($A4951+$C4951) - MAX(IF($B$2:$B4950=$B4951, $A$2:$A4950+$C$2:$C4950)), "")*24*60, "")</f>
        <v/>
      </c>
      <c r="N4951" s="24" t="str" cm="1">
        <f t="array" ref="N4951">IFERROR(IF($B4951=N$1, ($A4951+$C4951) - MAX(IF($B$2:$B4950=$B4951, $A$2:$A4950+$C$2:$C4950)), "")*24*60, "")</f>
        <v/>
      </c>
      <c r="O4951" s="24" t="str" cm="1">
        <f t="array" ref="O4951">IFERROR(IF($B4951=O$1, ($A4951+$C4951) - MAX(IF($B$2:$B4950=$B4951, $A$2:$A4950+$C$2:$C4950)), "")*24*60, "")</f>
        <v/>
      </c>
      <c r="P4951" s="24" t="str" cm="1">
        <f t="array" ref="P4951">IFERROR(IF($B4951=P$1, ($A4951+$C4951) - MAX(IF($B$2:$B4950=$B4951, $A$2:$A4950+$C$2:$C4950)), "")*24*60, "")</f>
        <v/>
      </c>
      <c r="Q4951" s="24" t="str" cm="1">
        <f t="array" ref="Q4951">IFERROR(IF($B4951=Q$1, ($A4951+$C4951) - MAX(IF($B$2:$B4950=$B4951, $A$2:$A4950+$C$2:$C4950)), "")*24*60, "")</f>
        <v/>
      </c>
    </row>
    <row r="4952" spans="1:17" x14ac:dyDescent="0.2">
      <c r="A4952" s="12">
        <f t="shared" ref="A4952:C4952" si="1287">A4951</f>
        <v>45980</v>
      </c>
      <c r="B4952" s="5" t="str">
        <f t="shared" si="1287"/>
        <v>Northern Cardinal</v>
      </c>
      <c r="C4952" s="6">
        <f t="shared" si="1287"/>
        <v>0.29166666666666669</v>
      </c>
      <c r="D4952" s="5"/>
      <c r="E4952" s="5"/>
      <c r="F4952" s="5" t="s">
        <v>8</v>
      </c>
      <c r="G4952" s="15" t="s">
        <v>9</v>
      </c>
      <c r="H4952" s="24">
        <f t="shared" si="1253"/>
        <v>0</v>
      </c>
      <c r="I4952" s="24" cm="1">
        <f t="array" ref="I4952">IFERROR(IF($B4952=I$1, ($A4952+$C4952) - MAX(IF($B$2:$B4951=$B4952, $A$2:$A4951+$C$2:$C4951)), "")*24*60, "")</f>
        <v>0</v>
      </c>
      <c r="J4952" s="24" t="str" cm="1">
        <f t="array" ref="J4952">IFERROR(IF($B4952=J$1, ($A4952+$C4952) - MAX(IF($B$2:$B4951=$B4952, $A$2:$A4951+$C$2:$C4951)), "")*24*60, "")</f>
        <v/>
      </c>
      <c r="K4952" s="24" t="str" cm="1">
        <f t="array" ref="K4952">IFERROR(IF($B4952=K$1, ($A4952+$C4952) - MAX(IF($B$2:$B4951=$B4952, $A$2:$A4951+$C$2:$C4951)), "")*24*60, "")</f>
        <v/>
      </c>
      <c r="L4952" s="24" t="str" cm="1">
        <f t="array" ref="L4952">IFERROR(IF($B4952=L$1, ($A4952+$C4952) - MAX(IF($B$2:$B4951=$B4952, $A$2:$A4951+$C$2:$C4951)), "")*24*60, "")</f>
        <v/>
      </c>
      <c r="M4952" s="24" t="str" cm="1">
        <f t="array" ref="M4952">IFERROR(IF($B4952=M$1, ($A4952+$C4952) - MAX(IF($B$2:$B4951=$B4952, $A$2:$A4951+$C$2:$C4951)), "")*24*60, "")</f>
        <v/>
      </c>
      <c r="N4952" s="24" t="str" cm="1">
        <f t="array" ref="N4952">IFERROR(IF($B4952=N$1, ($A4952+$C4952) - MAX(IF($B$2:$B4951=$B4952, $A$2:$A4951+$C$2:$C4951)), "")*24*60, "")</f>
        <v/>
      </c>
      <c r="O4952" s="24" t="str" cm="1">
        <f t="array" ref="O4952">IFERROR(IF($B4952=O$1, ($A4952+$C4952) - MAX(IF($B$2:$B4951=$B4952, $A$2:$A4951+$C$2:$C4951)), "")*24*60, "")</f>
        <v/>
      </c>
      <c r="P4952" s="24" t="str" cm="1">
        <f t="array" ref="P4952">IFERROR(IF($B4952=P$1, ($A4952+$C4952) - MAX(IF($B$2:$B4951=$B4952, $A$2:$A4951+$C$2:$C4951)), "")*24*60, "")</f>
        <v/>
      </c>
      <c r="Q4952" s="24" t="str" cm="1">
        <f t="array" ref="Q4952">IFERROR(IF($B4952=Q$1, ($A4952+$C4952) - MAX(IF($B$2:$B4951=$B4952, $A$2:$A4951+$C$2:$C4951)), "")*24*60, "")</f>
        <v/>
      </c>
    </row>
    <row r="4953" spans="1:17" x14ac:dyDescent="0.2">
      <c r="A4953" s="12">
        <f t="shared" ref="A4953:C4953" si="1288">A4952</f>
        <v>45980</v>
      </c>
      <c r="B4953" s="5" t="str">
        <f t="shared" si="1288"/>
        <v>Northern Cardinal</v>
      </c>
      <c r="C4953" s="6">
        <f t="shared" si="1288"/>
        <v>0.29166666666666669</v>
      </c>
      <c r="D4953" s="5"/>
      <c r="E4953" s="5"/>
      <c r="F4953" s="5" t="s">
        <v>8</v>
      </c>
      <c r="G4953" s="15" t="s">
        <v>9</v>
      </c>
      <c r="H4953" s="24">
        <f t="shared" si="1253"/>
        <v>0</v>
      </c>
      <c r="I4953" s="24" cm="1">
        <f t="array" ref="I4953">IFERROR(IF($B4953=I$1, ($A4953+$C4953) - MAX(IF($B$2:$B4952=$B4953, $A$2:$A4952+$C$2:$C4952)), "")*24*60, "")</f>
        <v>0</v>
      </c>
      <c r="J4953" s="24" t="str" cm="1">
        <f t="array" ref="J4953">IFERROR(IF($B4953=J$1, ($A4953+$C4953) - MAX(IF($B$2:$B4952=$B4953, $A$2:$A4952+$C$2:$C4952)), "")*24*60, "")</f>
        <v/>
      </c>
      <c r="K4953" s="24" t="str" cm="1">
        <f t="array" ref="K4953">IFERROR(IF($B4953=K$1, ($A4953+$C4953) - MAX(IF($B$2:$B4952=$B4953, $A$2:$A4952+$C$2:$C4952)), "")*24*60, "")</f>
        <v/>
      </c>
      <c r="L4953" s="24" t="str" cm="1">
        <f t="array" ref="L4953">IFERROR(IF($B4953=L$1, ($A4953+$C4953) - MAX(IF($B$2:$B4952=$B4953, $A$2:$A4952+$C$2:$C4952)), "")*24*60, "")</f>
        <v/>
      </c>
      <c r="M4953" s="24" t="str" cm="1">
        <f t="array" ref="M4953">IFERROR(IF($B4953=M$1, ($A4953+$C4953) - MAX(IF($B$2:$B4952=$B4953, $A$2:$A4952+$C$2:$C4952)), "")*24*60, "")</f>
        <v/>
      </c>
      <c r="N4953" s="24" t="str" cm="1">
        <f t="array" ref="N4953">IFERROR(IF($B4953=N$1, ($A4953+$C4953) - MAX(IF($B$2:$B4952=$B4953, $A$2:$A4952+$C$2:$C4952)), "")*24*60, "")</f>
        <v/>
      </c>
      <c r="O4953" s="24" t="str" cm="1">
        <f t="array" ref="O4953">IFERROR(IF($B4953=O$1, ($A4953+$C4953) - MAX(IF($B$2:$B4952=$B4953, $A$2:$A4952+$C$2:$C4952)), "")*24*60, "")</f>
        <v/>
      </c>
      <c r="P4953" s="24" t="str" cm="1">
        <f t="array" ref="P4953">IFERROR(IF($B4953=P$1, ($A4953+$C4953) - MAX(IF($B$2:$B4952=$B4953, $A$2:$A4952+$C$2:$C4952)), "")*24*60, "")</f>
        <v/>
      </c>
      <c r="Q4953" s="24" t="str" cm="1">
        <f t="array" ref="Q4953">IFERROR(IF($B4953=Q$1, ($A4953+$C4953) - MAX(IF($B$2:$B4952=$B4953, $A$2:$A4952+$C$2:$C4952)), "")*24*60, "")</f>
        <v/>
      </c>
    </row>
    <row r="4954" spans="1:17" x14ac:dyDescent="0.2">
      <c r="A4954" s="12">
        <f t="shared" ref="A4954:C4954" si="1289">A4953</f>
        <v>45980</v>
      </c>
      <c r="B4954" s="5" t="str">
        <f t="shared" si="1289"/>
        <v>Northern Cardinal</v>
      </c>
      <c r="C4954" s="6">
        <f t="shared" si="1289"/>
        <v>0.29166666666666669</v>
      </c>
      <c r="D4954" s="5"/>
      <c r="E4954" s="5"/>
      <c r="F4954" s="5" t="s">
        <v>8</v>
      </c>
      <c r="G4954" s="15" t="s">
        <v>9</v>
      </c>
      <c r="H4954" s="24">
        <f t="shared" si="1253"/>
        <v>0</v>
      </c>
      <c r="I4954" s="24" cm="1">
        <f t="array" ref="I4954">IFERROR(IF($B4954=I$1, ($A4954+$C4954) - MAX(IF($B$2:$B4953=$B4954, $A$2:$A4953+$C$2:$C4953)), "")*24*60, "")</f>
        <v>0</v>
      </c>
      <c r="J4954" s="24" t="str" cm="1">
        <f t="array" ref="J4954">IFERROR(IF($B4954=J$1, ($A4954+$C4954) - MAX(IF($B$2:$B4953=$B4954, $A$2:$A4953+$C$2:$C4953)), "")*24*60, "")</f>
        <v/>
      </c>
      <c r="K4954" s="24" t="str" cm="1">
        <f t="array" ref="K4954">IFERROR(IF($B4954=K$1, ($A4954+$C4954) - MAX(IF($B$2:$B4953=$B4954, $A$2:$A4953+$C$2:$C4953)), "")*24*60, "")</f>
        <v/>
      </c>
      <c r="L4954" s="24" t="str" cm="1">
        <f t="array" ref="L4954">IFERROR(IF($B4954=L$1, ($A4954+$C4954) - MAX(IF($B$2:$B4953=$B4954, $A$2:$A4953+$C$2:$C4953)), "")*24*60, "")</f>
        <v/>
      </c>
      <c r="M4954" s="24" t="str" cm="1">
        <f t="array" ref="M4954">IFERROR(IF($B4954=M$1, ($A4954+$C4954) - MAX(IF($B$2:$B4953=$B4954, $A$2:$A4953+$C$2:$C4953)), "")*24*60, "")</f>
        <v/>
      </c>
      <c r="N4954" s="24" t="str" cm="1">
        <f t="array" ref="N4954">IFERROR(IF($B4954=N$1, ($A4954+$C4954) - MAX(IF($B$2:$B4953=$B4954, $A$2:$A4953+$C$2:$C4953)), "")*24*60, "")</f>
        <v/>
      </c>
      <c r="O4954" s="24" t="str" cm="1">
        <f t="array" ref="O4954">IFERROR(IF($B4954=O$1, ($A4954+$C4954) - MAX(IF($B$2:$B4953=$B4954, $A$2:$A4953+$C$2:$C4953)), "")*24*60, "")</f>
        <v/>
      </c>
      <c r="P4954" s="24" t="str" cm="1">
        <f t="array" ref="P4954">IFERROR(IF($B4954=P$1, ($A4954+$C4954) - MAX(IF($B$2:$B4953=$B4954, $A$2:$A4953+$C$2:$C4953)), "")*24*60, "")</f>
        <v/>
      </c>
      <c r="Q4954" s="24" t="str" cm="1">
        <f t="array" ref="Q4954">IFERROR(IF($B4954=Q$1, ($A4954+$C4954) - MAX(IF($B$2:$B4953=$B4954, $A$2:$A4953+$C$2:$C4953)), "")*24*60, "")</f>
        <v/>
      </c>
    </row>
    <row r="4955" spans="1:17" x14ac:dyDescent="0.2">
      <c r="A4955" s="12">
        <f t="shared" ref="A4955:C4955" si="1290">A4954</f>
        <v>45980</v>
      </c>
      <c r="B4955" s="5" t="str">
        <f t="shared" si="1290"/>
        <v>Northern Cardinal</v>
      </c>
      <c r="C4955" s="6">
        <f t="shared" si="1290"/>
        <v>0.29166666666666669</v>
      </c>
      <c r="D4955" s="5"/>
      <c r="E4955" s="5"/>
      <c r="F4955" s="5" t="s">
        <v>8</v>
      </c>
      <c r="G4955" s="15" t="s">
        <v>9</v>
      </c>
      <c r="H4955" s="24">
        <f t="shared" si="1253"/>
        <v>0</v>
      </c>
      <c r="I4955" s="24" cm="1">
        <f t="array" ref="I4955">IFERROR(IF($B4955=I$1, ($A4955+$C4955) - MAX(IF($B$2:$B4954=$B4955, $A$2:$A4954+$C$2:$C4954)), "")*24*60, "")</f>
        <v>0</v>
      </c>
      <c r="J4955" s="24" t="str" cm="1">
        <f t="array" ref="J4955">IFERROR(IF($B4955=J$1, ($A4955+$C4955) - MAX(IF($B$2:$B4954=$B4955, $A$2:$A4954+$C$2:$C4954)), "")*24*60, "")</f>
        <v/>
      </c>
      <c r="K4955" s="24" t="str" cm="1">
        <f t="array" ref="K4955">IFERROR(IF($B4955=K$1, ($A4955+$C4955) - MAX(IF($B$2:$B4954=$B4955, $A$2:$A4954+$C$2:$C4954)), "")*24*60, "")</f>
        <v/>
      </c>
      <c r="L4955" s="24" t="str" cm="1">
        <f t="array" ref="L4955">IFERROR(IF($B4955=L$1, ($A4955+$C4955) - MAX(IF($B$2:$B4954=$B4955, $A$2:$A4954+$C$2:$C4954)), "")*24*60, "")</f>
        <v/>
      </c>
      <c r="M4955" s="24" t="str" cm="1">
        <f t="array" ref="M4955">IFERROR(IF($B4955=M$1, ($A4955+$C4955) - MAX(IF($B$2:$B4954=$B4955, $A$2:$A4954+$C$2:$C4954)), "")*24*60, "")</f>
        <v/>
      </c>
      <c r="N4955" s="24" t="str" cm="1">
        <f t="array" ref="N4955">IFERROR(IF($B4955=N$1, ($A4955+$C4955) - MAX(IF($B$2:$B4954=$B4955, $A$2:$A4954+$C$2:$C4954)), "")*24*60, "")</f>
        <v/>
      </c>
      <c r="O4955" s="24" t="str" cm="1">
        <f t="array" ref="O4955">IFERROR(IF($B4955=O$1, ($A4955+$C4955) - MAX(IF($B$2:$B4954=$B4955, $A$2:$A4954+$C$2:$C4954)), "")*24*60, "")</f>
        <v/>
      </c>
      <c r="P4955" s="24" t="str" cm="1">
        <f t="array" ref="P4955">IFERROR(IF($B4955=P$1, ($A4955+$C4955) - MAX(IF($B$2:$B4954=$B4955, $A$2:$A4954+$C$2:$C4954)), "")*24*60, "")</f>
        <v/>
      </c>
      <c r="Q4955" s="24" t="str" cm="1">
        <f t="array" ref="Q4955">IFERROR(IF($B4955=Q$1, ($A4955+$C4955) - MAX(IF($B$2:$B4954=$B4955, $A$2:$A4954+$C$2:$C4954)), "")*24*60, "")</f>
        <v/>
      </c>
    </row>
    <row r="4956" spans="1:17" x14ac:dyDescent="0.2">
      <c r="A4956" s="12">
        <f t="shared" ref="A4956:C4956" si="1291">A4955</f>
        <v>45980</v>
      </c>
      <c r="B4956" s="5" t="str">
        <f t="shared" si="1291"/>
        <v>Northern Cardinal</v>
      </c>
      <c r="C4956" s="6">
        <f t="shared" si="1291"/>
        <v>0.29166666666666669</v>
      </c>
      <c r="D4956" s="5"/>
      <c r="E4956" s="5"/>
      <c r="F4956" s="5" t="s">
        <v>8</v>
      </c>
      <c r="G4956" s="15" t="s">
        <v>9</v>
      </c>
      <c r="H4956" s="24">
        <f t="shared" si="1253"/>
        <v>0</v>
      </c>
      <c r="I4956" s="24" cm="1">
        <f t="array" ref="I4956">IFERROR(IF($B4956=I$1, ($A4956+$C4956) - MAX(IF($B$2:$B4955=$B4956, $A$2:$A4955+$C$2:$C4955)), "")*24*60, "")</f>
        <v>0</v>
      </c>
      <c r="J4956" s="24" t="str" cm="1">
        <f t="array" ref="J4956">IFERROR(IF($B4956=J$1, ($A4956+$C4956) - MAX(IF($B$2:$B4955=$B4956, $A$2:$A4955+$C$2:$C4955)), "")*24*60, "")</f>
        <v/>
      </c>
      <c r="K4956" s="24" t="str" cm="1">
        <f t="array" ref="K4956">IFERROR(IF($B4956=K$1, ($A4956+$C4956) - MAX(IF($B$2:$B4955=$B4956, $A$2:$A4955+$C$2:$C4955)), "")*24*60, "")</f>
        <v/>
      </c>
      <c r="L4956" s="24" t="str" cm="1">
        <f t="array" ref="L4956">IFERROR(IF($B4956=L$1, ($A4956+$C4956) - MAX(IF($B$2:$B4955=$B4956, $A$2:$A4955+$C$2:$C4955)), "")*24*60, "")</f>
        <v/>
      </c>
      <c r="M4956" s="24" t="str" cm="1">
        <f t="array" ref="M4956">IFERROR(IF($B4956=M$1, ($A4956+$C4956) - MAX(IF($B$2:$B4955=$B4956, $A$2:$A4955+$C$2:$C4955)), "")*24*60, "")</f>
        <v/>
      </c>
      <c r="N4956" s="24" t="str" cm="1">
        <f t="array" ref="N4956">IFERROR(IF($B4956=N$1, ($A4956+$C4956) - MAX(IF($B$2:$B4955=$B4956, $A$2:$A4955+$C$2:$C4955)), "")*24*60, "")</f>
        <v/>
      </c>
      <c r="O4956" s="24" t="str" cm="1">
        <f t="array" ref="O4956">IFERROR(IF($B4956=O$1, ($A4956+$C4956) - MAX(IF($B$2:$B4955=$B4956, $A$2:$A4955+$C$2:$C4955)), "")*24*60, "")</f>
        <v/>
      </c>
      <c r="P4956" s="24" t="str" cm="1">
        <f t="array" ref="P4956">IFERROR(IF($B4956=P$1, ($A4956+$C4956) - MAX(IF($B$2:$B4955=$B4956, $A$2:$A4955+$C$2:$C4955)), "")*24*60, "")</f>
        <v/>
      </c>
      <c r="Q4956" s="24" t="str" cm="1">
        <f t="array" ref="Q4956">IFERROR(IF($B4956=Q$1, ($A4956+$C4956) - MAX(IF($B$2:$B4955=$B4956, $A$2:$A4955+$C$2:$C4955)), "")*24*60, "")</f>
        <v/>
      </c>
    </row>
    <row r="4957" spans="1:17" x14ac:dyDescent="0.2">
      <c r="A4957" s="12">
        <f t="shared" ref="A4957:C4957" si="1292">A4956</f>
        <v>45980</v>
      </c>
      <c r="B4957" s="5" t="str">
        <f t="shared" si="1292"/>
        <v>Northern Cardinal</v>
      </c>
      <c r="C4957" s="6">
        <f t="shared" si="1292"/>
        <v>0.29166666666666669</v>
      </c>
      <c r="D4957" s="5"/>
      <c r="E4957" s="5"/>
      <c r="F4957" s="5" t="s">
        <v>8</v>
      </c>
      <c r="G4957" s="15" t="s">
        <v>9</v>
      </c>
      <c r="H4957" s="24">
        <f t="shared" si="1253"/>
        <v>0</v>
      </c>
      <c r="I4957" s="24" cm="1">
        <f t="array" ref="I4957">IFERROR(IF($B4957=I$1, ($A4957+$C4957) - MAX(IF($B$2:$B4956=$B4957, $A$2:$A4956+$C$2:$C4956)), "")*24*60, "")</f>
        <v>0</v>
      </c>
      <c r="J4957" s="24" t="str" cm="1">
        <f t="array" ref="J4957">IFERROR(IF($B4957=J$1, ($A4957+$C4957) - MAX(IF($B$2:$B4956=$B4957, $A$2:$A4956+$C$2:$C4956)), "")*24*60, "")</f>
        <v/>
      </c>
      <c r="K4957" s="24" t="str" cm="1">
        <f t="array" ref="K4957">IFERROR(IF($B4957=K$1, ($A4957+$C4957) - MAX(IF($B$2:$B4956=$B4957, $A$2:$A4956+$C$2:$C4956)), "")*24*60, "")</f>
        <v/>
      </c>
      <c r="L4957" s="24" t="str" cm="1">
        <f t="array" ref="L4957">IFERROR(IF($B4957=L$1, ($A4957+$C4957) - MAX(IF($B$2:$B4956=$B4957, $A$2:$A4956+$C$2:$C4956)), "")*24*60, "")</f>
        <v/>
      </c>
      <c r="M4957" s="24" t="str" cm="1">
        <f t="array" ref="M4957">IFERROR(IF($B4957=M$1, ($A4957+$C4957) - MAX(IF($B$2:$B4956=$B4957, $A$2:$A4956+$C$2:$C4956)), "")*24*60, "")</f>
        <v/>
      </c>
      <c r="N4957" s="24" t="str" cm="1">
        <f t="array" ref="N4957">IFERROR(IF($B4957=N$1, ($A4957+$C4957) - MAX(IF($B$2:$B4956=$B4957, $A$2:$A4956+$C$2:$C4956)), "")*24*60, "")</f>
        <v/>
      </c>
      <c r="O4957" s="24" t="str" cm="1">
        <f t="array" ref="O4957">IFERROR(IF($B4957=O$1, ($A4957+$C4957) - MAX(IF($B$2:$B4956=$B4957, $A$2:$A4956+$C$2:$C4956)), "")*24*60, "")</f>
        <v/>
      </c>
      <c r="P4957" s="24" t="str" cm="1">
        <f t="array" ref="P4957">IFERROR(IF($B4957=P$1, ($A4957+$C4957) - MAX(IF($B$2:$B4956=$B4957, $A$2:$A4956+$C$2:$C4956)), "")*24*60, "")</f>
        <v/>
      </c>
      <c r="Q4957" s="24" t="str" cm="1">
        <f t="array" ref="Q4957">IFERROR(IF($B4957=Q$1, ($A4957+$C4957) - MAX(IF($B$2:$B4956=$B4957, $A$2:$A4956+$C$2:$C4956)), "")*24*60, "")</f>
        <v/>
      </c>
    </row>
    <row r="4958" spans="1:17" x14ac:dyDescent="0.2">
      <c r="A4958" s="12">
        <f t="shared" ref="A4958:C4958" si="1293">A4957</f>
        <v>45980</v>
      </c>
      <c r="B4958" s="5" t="str">
        <f t="shared" si="1293"/>
        <v>Northern Cardinal</v>
      </c>
      <c r="C4958" s="6">
        <f t="shared" si="1293"/>
        <v>0.29166666666666669</v>
      </c>
      <c r="D4958" s="5"/>
      <c r="E4958" s="5"/>
      <c r="F4958" s="5" t="s">
        <v>8</v>
      </c>
      <c r="G4958" s="15" t="s">
        <v>9</v>
      </c>
      <c r="H4958" s="24">
        <f t="shared" si="1253"/>
        <v>0</v>
      </c>
      <c r="I4958" s="24" cm="1">
        <f t="array" ref="I4958">IFERROR(IF($B4958=I$1, ($A4958+$C4958) - MAX(IF($B$2:$B4957=$B4958, $A$2:$A4957+$C$2:$C4957)), "")*24*60, "")</f>
        <v>0</v>
      </c>
      <c r="J4958" s="24" t="str" cm="1">
        <f t="array" ref="J4958">IFERROR(IF($B4958=J$1, ($A4958+$C4958) - MAX(IF($B$2:$B4957=$B4958, $A$2:$A4957+$C$2:$C4957)), "")*24*60, "")</f>
        <v/>
      </c>
      <c r="K4958" s="24" t="str" cm="1">
        <f t="array" ref="K4958">IFERROR(IF($B4958=K$1, ($A4958+$C4958) - MAX(IF($B$2:$B4957=$B4958, $A$2:$A4957+$C$2:$C4957)), "")*24*60, "")</f>
        <v/>
      </c>
      <c r="L4958" s="24" t="str" cm="1">
        <f t="array" ref="L4958">IFERROR(IF($B4958=L$1, ($A4958+$C4958) - MAX(IF($B$2:$B4957=$B4958, $A$2:$A4957+$C$2:$C4957)), "")*24*60, "")</f>
        <v/>
      </c>
      <c r="M4958" s="24" t="str" cm="1">
        <f t="array" ref="M4958">IFERROR(IF($B4958=M$1, ($A4958+$C4958) - MAX(IF($B$2:$B4957=$B4958, $A$2:$A4957+$C$2:$C4957)), "")*24*60, "")</f>
        <v/>
      </c>
      <c r="N4958" s="24" t="str" cm="1">
        <f t="array" ref="N4958">IFERROR(IF($B4958=N$1, ($A4958+$C4958) - MAX(IF($B$2:$B4957=$B4958, $A$2:$A4957+$C$2:$C4957)), "")*24*60, "")</f>
        <v/>
      </c>
      <c r="O4958" s="24" t="str" cm="1">
        <f t="array" ref="O4958">IFERROR(IF($B4958=O$1, ($A4958+$C4958) - MAX(IF($B$2:$B4957=$B4958, $A$2:$A4957+$C$2:$C4957)), "")*24*60, "")</f>
        <v/>
      </c>
      <c r="P4958" s="24" t="str" cm="1">
        <f t="array" ref="P4958">IFERROR(IF($B4958=P$1, ($A4958+$C4958) - MAX(IF($B$2:$B4957=$B4958, $A$2:$A4957+$C$2:$C4957)), "")*24*60, "")</f>
        <v/>
      </c>
      <c r="Q4958" s="24" t="str" cm="1">
        <f t="array" ref="Q4958">IFERROR(IF($B4958=Q$1, ($A4958+$C4958) - MAX(IF($B$2:$B4957=$B4958, $A$2:$A4957+$C$2:$C4957)), "")*24*60, "")</f>
        <v/>
      </c>
    </row>
    <row r="4959" spans="1:17" x14ac:dyDescent="0.2">
      <c r="A4959" s="12">
        <f t="shared" ref="A4959:C4959" si="1294">A4958</f>
        <v>45980</v>
      </c>
      <c r="B4959" s="5" t="str">
        <f t="shared" si="1294"/>
        <v>Northern Cardinal</v>
      </c>
      <c r="C4959" s="6">
        <f t="shared" si="1294"/>
        <v>0.29166666666666669</v>
      </c>
      <c r="D4959" s="5"/>
      <c r="E4959" s="5"/>
      <c r="F4959" s="5" t="s">
        <v>8</v>
      </c>
      <c r="G4959" s="15" t="s">
        <v>9</v>
      </c>
      <c r="H4959" s="24">
        <f t="shared" si="1253"/>
        <v>0</v>
      </c>
      <c r="I4959" s="24" cm="1">
        <f t="array" ref="I4959">IFERROR(IF($B4959=I$1, ($A4959+$C4959) - MAX(IF($B$2:$B4958=$B4959, $A$2:$A4958+$C$2:$C4958)), "")*24*60, "")</f>
        <v>0</v>
      </c>
      <c r="J4959" s="24" t="str" cm="1">
        <f t="array" ref="J4959">IFERROR(IF($B4959=J$1, ($A4959+$C4959) - MAX(IF($B$2:$B4958=$B4959, $A$2:$A4958+$C$2:$C4958)), "")*24*60, "")</f>
        <v/>
      </c>
      <c r="K4959" s="24" t="str" cm="1">
        <f t="array" ref="K4959">IFERROR(IF($B4959=K$1, ($A4959+$C4959) - MAX(IF($B$2:$B4958=$B4959, $A$2:$A4958+$C$2:$C4958)), "")*24*60, "")</f>
        <v/>
      </c>
      <c r="L4959" s="24" t="str" cm="1">
        <f t="array" ref="L4959">IFERROR(IF($B4959=L$1, ($A4959+$C4959) - MAX(IF($B$2:$B4958=$B4959, $A$2:$A4958+$C$2:$C4958)), "")*24*60, "")</f>
        <v/>
      </c>
      <c r="M4959" s="24" t="str" cm="1">
        <f t="array" ref="M4959">IFERROR(IF($B4959=M$1, ($A4959+$C4959) - MAX(IF($B$2:$B4958=$B4959, $A$2:$A4958+$C$2:$C4958)), "")*24*60, "")</f>
        <v/>
      </c>
      <c r="N4959" s="24" t="str" cm="1">
        <f t="array" ref="N4959">IFERROR(IF($B4959=N$1, ($A4959+$C4959) - MAX(IF($B$2:$B4958=$B4959, $A$2:$A4958+$C$2:$C4958)), "")*24*60, "")</f>
        <v/>
      </c>
      <c r="O4959" s="24" t="str" cm="1">
        <f t="array" ref="O4959">IFERROR(IF($B4959=O$1, ($A4959+$C4959) - MAX(IF($B$2:$B4958=$B4959, $A$2:$A4958+$C$2:$C4958)), "")*24*60, "")</f>
        <v/>
      </c>
      <c r="P4959" s="24" t="str" cm="1">
        <f t="array" ref="P4959">IFERROR(IF($B4959=P$1, ($A4959+$C4959) - MAX(IF($B$2:$B4958=$B4959, $A$2:$A4958+$C$2:$C4958)), "")*24*60, "")</f>
        <v/>
      </c>
      <c r="Q4959" s="24" t="str" cm="1">
        <f t="array" ref="Q4959">IFERROR(IF($B4959=Q$1, ($A4959+$C4959) - MAX(IF($B$2:$B4958=$B4959, $A$2:$A4958+$C$2:$C4958)), "")*24*60, "")</f>
        <v/>
      </c>
    </row>
    <row r="4960" spans="1:17" x14ac:dyDescent="0.2">
      <c r="A4960" s="12">
        <f t="shared" ref="A4960:C4960" si="1295">A4959</f>
        <v>45980</v>
      </c>
      <c r="B4960" s="5" t="str">
        <f t="shared" si="1295"/>
        <v>Northern Cardinal</v>
      </c>
      <c r="C4960" s="6">
        <f t="shared" si="1295"/>
        <v>0.29166666666666669</v>
      </c>
      <c r="D4960" s="5"/>
      <c r="E4960" s="5"/>
      <c r="F4960" s="5" t="s">
        <v>8</v>
      </c>
      <c r="G4960" s="15" t="s">
        <v>9</v>
      </c>
      <c r="H4960" s="24">
        <f t="shared" si="1253"/>
        <v>0</v>
      </c>
      <c r="I4960" s="24" cm="1">
        <f t="array" ref="I4960">IFERROR(IF($B4960=I$1, ($A4960+$C4960) - MAX(IF($B$2:$B4959=$B4960, $A$2:$A4959+$C$2:$C4959)), "")*24*60, "")</f>
        <v>0</v>
      </c>
      <c r="J4960" s="24" t="str" cm="1">
        <f t="array" ref="J4960">IFERROR(IF($B4960=J$1, ($A4960+$C4960) - MAX(IF($B$2:$B4959=$B4960, $A$2:$A4959+$C$2:$C4959)), "")*24*60, "")</f>
        <v/>
      </c>
      <c r="K4960" s="24" t="str" cm="1">
        <f t="array" ref="K4960">IFERROR(IF($B4960=K$1, ($A4960+$C4960) - MAX(IF($B$2:$B4959=$B4960, $A$2:$A4959+$C$2:$C4959)), "")*24*60, "")</f>
        <v/>
      </c>
      <c r="L4960" s="24" t="str" cm="1">
        <f t="array" ref="L4960">IFERROR(IF($B4960=L$1, ($A4960+$C4960) - MAX(IF($B$2:$B4959=$B4960, $A$2:$A4959+$C$2:$C4959)), "")*24*60, "")</f>
        <v/>
      </c>
      <c r="M4960" s="24" t="str" cm="1">
        <f t="array" ref="M4960">IFERROR(IF($B4960=M$1, ($A4960+$C4960) - MAX(IF($B$2:$B4959=$B4960, $A$2:$A4959+$C$2:$C4959)), "")*24*60, "")</f>
        <v/>
      </c>
      <c r="N4960" s="24" t="str" cm="1">
        <f t="array" ref="N4960">IFERROR(IF($B4960=N$1, ($A4960+$C4960) - MAX(IF($B$2:$B4959=$B4960, $A$2:$A4959+$C$2:$C4959)), "")*24*60, "")</f>
        <v/>
      </c>
      <c r="O4960" s="24" t="str" cm="1">
        <f t="array" ref="O4960">IFERROR(IF($B4960=O$1, ($A4960+$C4960) - MAX(IF($B$2:$B4959=$B4960, $A$2:$A4959+$C$2:$C4959)), "")*24*60, "")</f>
        <v/>
      </c>
      <c r="P4960" s="24" t="str" cm="1">
        <f t="array" ref="P4960">IFERROR(IF($B4960=P$1, ($A4960+$C4960) - MAX(IF($B$2:$B4959=$B4960, $A$2:$A4959+$C$2:$C4959)), "")*24*60, "")</f>
        <v/>
      </c>
      <c r="Q4960" s="24" t="str" cm="1">
        <f t="array" ref="Q4960">IFERROR(IF($B4960=Q$1, ($A4960+$C4960) - MAX(IF($B$2:$B4959=$B4960, $A$2:$A4959+$C$2:$C4959)), "")*24*60, "")</f>
        <v/>
      </c>
    </row>
    <row r="4961" spans="1:17" x14ac:dyDescent="0.2">
      <c r="A4961" s="12">
        <f t="shared" ref="A4961:C4961" si="1296">A4960</f>
        <v>45980</v>
      </c>
      <c r="B4961" s="5" t="str">
        <f t="shared" si="1296"/>
        <v>Northern Cardinal</v>
      </c>
      <c r="C4961" s="6">
        <f t="shared" si="1296"/>
        <v>0.29166666666666669</v>
      </c>
      <c r="D4961" s="5"/>
      <c r="E4961" s="5"/>
      <c r="F4961" s="5" t="s">
        <v>8</v>
      </c>
      <c r="G4961" s="15" t="s">
        <v>9</v>
      </c>
      <c r="H4961" s="24">
        <f t="shared" si="1253"/>
        <v>0</v>
      </c>
      <c r="I4961" s="24" cm="1">
        <f t="array" ref="I4961">IFERROR(IF($B4961=I$1, ($A4961+$C4961) - MAX(IF($B$2:$B4960=$B4961, $A$2:$A4960+$C$2:$C4960)), "")*24*60, "")</f>
        <v>0</v>
      </c>
      <c r="J4961" s="24" t="str" cm="1">
        <f t="array" ref="J4961">IFERROR(IF($B4961=J$1, ($A4961+$C4961) - MAX(IF($B$2:$B4960=$B4961, $A$2:$A4960+$C$2:$C4960)), "")*24*60, "")</f>
        <v/>
      </c>
      <c r="K4961" s="24" t="str" cm="1">
        <f t="array" ref="K4961">IFERROR(IF($B4961=K$1, ($A4961+$C4961) - MAX(IF($B$2:$B4960=$B4961, $A$2:$A4960+$C$2:$C4960)), "")*24*60, "")</f>
        <v/>
      </c>
      <c r="L4961" s="24" t="str" cm="1">
        <f t="array" ref="L4961">IFERROR(IF($B4961=L$1, ($A4961+$C4961) - MAX(IF($B$2:$B4960=$B4961, $A$2:$A4960+$C$2:$C4960)), "")*24*60, "")</f>
        <v/>
      </c>
      <c r="M4961" s="24" t="str" cm="1">
        <f t="array" ref="M4961">IFERROR(IF($B4961=M$1, ($A4961+$C4961) - MAX(IF($B$2:$B4960=$B4961, $A$2:$A4960+$C$2:$C4960)), "")*24*60, "")</f>
        <v/>
      </c>
      <c r="N4961" s="24" t="str" cm="1">
        <f t="array" ref="N4961">IFERROR(IF($B4961=N$1, ($A4961+$C4961) - MAX(IF($B$2:$B4960=$B4961, $A$2:$A4960+$C$2:$C4960)), "")*24*60, "")</f>
        <v/>
      </c>
      <c r="O4961" s="24" t="str" cm="1">
        <f t="array" ref="O4961">IFERROR(IF($B4961=O$1, ($A4961+$C4961) - MAX(IF($B$2:$B4960=$B4961, $A$2:$A4960+$C$2:$C4960)), "")*24*60, "")</f>
        <v/>
      </c>
      <c r="P4961" s="24" t="str" cm="1">
        <f t="array" ref="P4961">IFERROR(IF($B4961=P$1, ($A4961+$C4961) - MAX(IF($B$2:$B4960=$B4961, $A$2:$A4960+$C$2:$C4960)), "")*24*60, "")</f>
        <v/>
      </c>
      <c r="Q4961" s="24" t="str" cm="1">
        <f t="array" ref="Q4961">IFERROR(IF($B4961=Q$1, ($A4961+$C4961) - MAX(IF($B$2:$B4960=$B4961, $A$2:$A4960+$C$2:$C4960)), "")*24*60, "")</f>
        <v/>
      </c>
    </row>
    <row r="4962" spans="1:17" x14ac:dyDescent="0.2">
      <c r="A4962" s="12">
        <f t="shared" ref="A4962:C4962" si="1297">A4961</f>
        <v>45980</v>
      </c>
      <c r="B4962" s="5" t="str">
        <f t="shared" si="1297"/>
        <v>Northern Cardinal</v>
      </c>
      <c r="C4962" s="6">
        <f t="shared" si="1297"/>
        <v>0.29166666666666669</v>
      </c>
      <c r="D4962" s="5"/>
      <c r="E4962" s="5"/>
      <c r="F4962" s="5" t="s">
        <v>8</v>
      </c>
      <c r="G4962" s="15" t="s">
        <v>9</v>
      </c>
      <c r="H4962" s="24">
        <f t="shared" si="1253"/>
        <v>0</v>
      </c>
      <c r="I4962" s="24" cm="1">
        <f t="array" ref="I4962">IFERROR(IF($B4962=I$1, ($A4962+$C4962) - MAX(IF($B$2:$B4961=$B4962, $A$2:$A4961+$C$2:$C4961)), "")*24*60, "")</f>
        <v>0</v>
      </c>
      <c r="J4962" s="24" t="str" cm="1">
        <f t="array" ref="J4962">IFERROR(IF($B4962=J$1, ($A4962+$C4962) - MAX(IF($B$2:$B4961=$B4962, $A$2:$A4961+$C$2:$C4961)), "")*24*60, "")</f>
        <v/>
      </c>
      <c r="K4962" s="24" t="str" cm="1">
        <f t="array" ref="K4962">IFERROR(IF($B4962=K$1, ($A4962+$C4962) - MAX(IF($B$2:$B4961=$B4962, $A$2:$A4961+$C$2:$C4961)), "")*24*60, "")</f>
        <v/>
      </c>
      <c r="L4962" s="24" t="str" cm="1">
        <f t="array" ref="L4962">IFERROR(IF($B4962=L$1, ($A4962+$C4962) - MAX(IF($B$2:$B4961=$B4962, $A$2:$A4961+$C$2:$C4961)), "")*24*60, "")</f>
        <v/>
      </c>
      <c r="M4962" s="24" t="str" cm="1">
        <f t="array" ref="M4962">IFERROR(IF($B4962=M$1, ($A4962+$C4962) - MAX(IF($B$2:$B4961=$B4962, $A$2:$A4961+$C$2:$C4961)), "")*24*60, "")</f>
        <v/>
      </c>
      <c r="N4962" s="24" t="str" cm="1">
        <f t="array" ref="N4962">IFERROR(IF($B4962=N$1, ($A4962+$C4962) - MAX(IF($B$2:$B4961=$B4962, $A$2:$A4961+$C$2:$C4961)), "")*24*60, "")</f>
        <v/>
      </c>
      <c r="O4962" s="24" t="str" cm="1">
        <f t="array" ref="O4962">IFERROR(IF($B4962=O$1, ($A4962+$C4962) - MAX(IF($B$2:$B4961=$B4962, $A$2:$A4961+$C$2:$C4961)), "")*24*60, "")</f>
        <v/>
      </c>
      <c r="P4962" s="24" t="str" cm="1">
        <f t="array" ref="P4962">IFERROR(IF($B4962=P$1, ($A4962+$C4962) - MAX(IF($B$2:$B4961=$B4962, $A$2:$A4961+$C$2:$C4961)), "")*24*60, "")</f>
        <v/>
      </c>
      <c r="Q4962" s="24" t="str" cm="1">
        <f t="array" ref="Q4962">IFERROR(IF($B4962=Q$1, ($A4962+$C4962) - MAX(IF($B$2:$B4961=$B4962, $A$2:$A4961+$C$2:$C4961)), "")*24*60, "")</f>
        <v/>
      </c>
    </row>
    <row r="4963" spans="1:17" x14ac:dyDescent="0.2">
      <c r="A4963" s="12">
        <f t="shared" ref="A4963:C4963" si="1298">A4962</f>
        <v>45980</v>
      </c>
      <c r="B4963" s="5" t="str">
        <f t="shared" si="1298"/>
        <v>Northern Cardinal</v>
      </c>
      <c r="C4963" s="6">
        <f t="shared" si="1298"/>
        <v>0.29166666666666669</v>
      </c>
      <c r="D4963" s="5"/>
      <c r="E4963" s="5"/>
      <c r="F4963" s="5" t="s">
        <v>8</v>
      </c>
      <c r="G4963" s="15" t="s">
        <v>9</v>
      </c>
      <c r="H4963" s="24">
        <f t="shared" si="1253"/>
        <v>0</v>
      </c>
      <c r="I4963" s="24" cm="1">
        <f t="array" ref="I4963">IFERROR(IF($B4963=I$1, ($A4963+$C4963) - MAX(IF($B$2:$B4962=$B4963, $A$2:$A4962+$C$2:$C4962)), "")*24*60, "")</f>
        <v>0</v>
      </c>
      <c r="J4963" s="24" t="str" cm="1">
        <f t="array" ref="J4963">IFERROR(IF($B4963=J$1, ($A4963+$C4963) - MAX(IF($B$2:$B4962=$B4963, $A$2:$A4962+$C$2:$C4962)), "")*24*60, "")</f>
        <v/>
      </c>
      <c r="K4963" s="24" t="str" cm="1">
        <f t="array" ref="K4963">IFERROR(IF($B4963=K$1, ($A4963+$C4963) - MAX(IF($B$2:$B4962=$B4963, $A$2:$A4962+$C$2:$C4962)), "")*24*60, "")</f>
        <v/>
      </c>
      <c r="L4963" s="24" t="str" cm="1">
        <f t="array" ref="L4963">IFERROR(IF($B4963=L$1, ($A4963+$C4963) - MAX(IF($B$2:$B4962=$B4963, $A$2:$A4962+$C$2:$C4962)), "")*24*60, "")</f>
        <v/>
      </c>
      <c r="M4963" s="24" t="str" cm="1">
        <f t="array" ref="M4963">IFERROR(IF($B4963=M$1, ($A4963+$C4963) - MAX(IF($B$2:$B4962=$B4963, $A$2:$A4962+$C$2:$C4962)), "")*24*60, "")</f>
        <v/>
      </c>
      <c r="N4963" s="24" t="str" cm="1">
        <f t="array" ref="N4963">IFERROR(IF($B4963=N$1, ($A4963+$C4963) - MAX(IF($B$2:$B4962=$B4963, $A$2:$A4962+$C$2:$C4962)), "")*24*60, "")</f>
        <v/>
      </c>
      <c r="O4963" s="24" t="str" cm="1">
        <f t="array" ref="O4963">IFERROR(IF($B4963=O$1, ($A4963+$C4963) - MAX(IF($B$2:$B4962=$B4963, $A$2:$A4962+$C$2:$C4962)), "")*24*60, "")</f>
        <v/>
      </c>
      <c r="P4963" s="24" t="str" cm="1">
        <f t="array" ref="P4963">IFERROR(IF($B4963=P$1, ($A4963+$C4963) - MAX(IF($B$2:$B4962=$B4963, $A$2:$A4962+$C$2:$C4962)), "")*24*60, "")</f>
        <v/>
      </c>
      <c r="Q4963" s="24" t="str" cm="1">
        <f t="array" ref="Q4963">IFERROR(IF($B4963=Q$1, ($A4963+$C4963) - MAX(IF($B$2:$B4962=$B4963, $A$2:$A4962+$C$2:$C4962)), "")*24*60, "")</f>
        <v/>
      </c>
    </row>
    <row r="4964" spans="1:17" x14ac:dyDescent="0.2">
      <c r="A4964" s="12">
        <f t="shared" ref="A4964:C4964" si="1299">A4963</f>
        <v>45980</v>
      </c>
      <c r="B4964" s="5" t="str">
        <f t="shared" si="1299"/>
        <v>Northern Cardinal</v>
      </c>
      <c r="C4964" s="6">
        <f t="shared" si="1299"/>
        <v>0.29166666666666669</v>
      </c>
      <c r="D4964" s="5"/>
      <c r="E4964" s="5"/>
      <c r="F4964" s="5" t="s">
        <v>8</v>
      </c>
      <c r="G4964" s="15" t="s">
        <v>9</v>
      </c>
      <c r="H4964" s="24">
        <f t="shared" si="1253"/>
        <v>0</v>
      </c>
      <c r="I4964" s="24" cm="1">
        <f t="array" ref="I4964">IFERROR(IF($B4964=I$1, ($A4964+$C4964) - MAX(IF($B$2:$B4963=$B4964, $A$2:$A4963+$C$2:$C4963)), "")*24*60, "")</f>
        <v>0</v>
      </c>
      <c r="J4964" s="24" t="str" cm="1">
        <f t="array" ref="J4964">IFERROR(IF($B4964=J$1, ($A4964+$C4964) - MAX(IF($B$2:$B4963=$B4964, $A$2:$A4963+$C$2:$C4963)), "")*24*60, "")</f>
        <v/>
      </c>
      <c r="K4964" s="24" t="str" cm="1">
        <f t="array" ref="K4964">IFERROR(IF($B4964=K$1, ($A4964+$C4964) - MAX(IF($B$2:$B4963=$B4964, $A$2:$A4963+$C$2:$C4963)), "")*24*60, "")</f>
        <v/>
      </c>
      <c r="L4964" s="24" t="str" cm="1">
        <f t="array" ref="L4964">IFERROR(IF($B4964=L$1, ($A4964+$C4964) - MAX(IF($B$2:$B4963=$B4964, $A$2:$A4963+$C$2:$C4963)), "")*24*60, "")</f>
        <v/>
      </c>
      <c r="M4964" s="24" t="str" cm="1">
        <f t="array" ref="M4964">IFERROR(IF($B4964=M$1, ($A4964+$C4964) - MAX(IF($B$2:$B4963=$B4964, $A$2:$A4963+$C$2:$C4963)), "")*24*60, "")</f>
        <v/>
      </c>
      <c r="N4964" s="24" t="str" cm="1">
        <f t="array" ref="N4964">IFERROR(IF($B4964=N$1, ($A4964+$C4964) - MAX(IF($B$2:$B4963=$B4964, $A$2:$A4963+$C$2:$C4963)), "")*24*60, "")</f>
        <v/>
      </c>
      <c r="O4964" s="24" t="str" cm="1">
        <f t="array" ref="O4964">IFERROR(IF($B4964=O$1, ($A4964+$C4964) - MAX(IF($B$2:$B4963=$B4964, $A$2:$A4963+$C$2:$C4963)), "")*24*60, "")</f>
        <v/>
      </c>
      <c r="P4964" s="24" t="str" cm="1">
        <f t="array" ref="P4964">IFERROR(IF($B4964=P$1, ($A4964+$C4964) - MAX(IF($B$2:$B4963=$B4964, $A$2:$A4963+$C$2:$C4963)), "")*24*60, "")</f>
        <v/>
      </c>
      <c r="Q4964" s="24" t="str" cm="1">
        <f t="array" ref="Q4964">IFERROR(IF($B4964=Q$1, ($A4964+$C4964) - MAX(IF($B$2:$B4963=$B4964, $A$2:$A4963+$C$2:$C4963)), "")*24*60, "")</f>
        <v/>
      </c>
    </row>
    <row r="4965" spans="1:17" x14ac:dyDescent="0.2">
      <c r="A4965" s="12">
        <f t="shared" ref="A4965:C4965" si="1300">A4964</f>
        <v>45980</v>
      </c>
      <c r="B4965" s="5" t="str">
        <f t="shared" si="1300"/>
        <v>Northern Cardinal</v>
      </c>
      <c r="C4965" s="6">
        <f t="shared" si="1300"/>
        <v>0.29166666666666669</v>
      </c>
      <c r="D4965" s="5"/>
      <c r="E4965" s="5"/>
      <c r="F4965" s="5" t="s">
        <v>8</v>
      </c>
      <c r="G4965" s="15" t="s">
        <v>9</v>
      </c>
      <c r="H4965" s="24">
        <f t="shared" si="1253"/>
        <v>0</v>
      </c>
      <c r="I4965" s="24" cm="1">
        <f t="array" ref="I4965">IFERROR(IF($B4965=I$1, ($A4965+$C4965) - MAX(IF($B$2:$B4964=$B4965, $A$2:$A4964+$C$2:$C4964)), "")*24*60, "")</f>
        <v>0</v>
      </c>
      <c r="J4965" s="24" t="str" cm="1">
        <f t="array" ref="J4965">IFERROR(IF($B4965=J$1, ($A4965+$C4965) - MAX(IF($B$2:$B4964=$B4965, $A$2:$A4964+$C$2:$C4964)), "")*24*60, "")</f>
        <v/>
      </c>
      <c r="K4965" s="24" t="str" cm="1">
        <f t="array" ref="K4965">IFERROR(IF($B4965=K$1, ($A4965+$C4965) - MAX(IF($B$2:$B4964=$B4965, $A$2:$A4964+$C$2:$C4964)), "")*24*60, "")</f>
        <v/>
      </c>
      <c r="L4965" s="24" t="str" cm="1">
        <f t="array" ref="L4965">IFERROR(IF($B4965=L$1, ($A4965+$C4965) - MAX(IF($B$2:$B4964=$B4965, $A$2:$A4964+$C$2:$C4964)), "")*24*60, "")</f>
        <v/>
      </c>
      <c r="M4965" s="24" t="str" cm="1">
        <f t="array" ref="M4965">IFERROR(IF($B4965=M$1, ($A4965+$C4965) - MAX(IF($B$2:$B4964=$B4965, $A$2:$A4964+$C$2:$C4964)), "")*24*60, "")</f>
        <v/>
      </c>
      <c r="N4965" s="24" t="str" cm="1">
        <f t="array" ref="N4965">IFERROR(IF($B4965=N$1, ($A4965+$C4965) - MAX(IF($B$2:$B4964=$B4965, $A$2:$A4964+$C$2:$C4964)), "")*24*60, "")</f>
        <v/>
      </c>
      <c r="O4965" s="24" t="str" cm="1">
        <f t="array" ref="O4965">IFERROR(IF($B4965=O$1, ($A4965+$C4965) - MAX(IF($B$2:$B4964=$B4965, $A$2:$A4964+$C$2:$C4964)), "")*24*60, "")</f>
        <v/>
      </c>
      <c r="P4965" s="24" t="str" cm="1">
        <f t="array" ref="P4965">IFERROR(IF($B4965=P$1, ($A4965+$C4965) - MAX(IF($B$2:$B4964=$B4965, $A$2:$A4964+$C$2:$C4964)), "")*24*60, "")</f>
        <v/>
      </c>
      <c r="Q4965" s="24" t="str" cm="1">
        <f t="array" ref="Q4965">IFERROR(IF($B4965=Q$1, ($A4965+$C4965) - MAX(IF($B$2:$B4964=$B4965, $A$2:$A4964+$C$2:$C4964)), "")*24*60, "")</f>
        <v/>
      </c>
    </row>
    <row r="4966" spans="1:17" x14ac:dyDescent="0.2">
      <c r="A4966" s="12">
        <f t="shared" ref="A4966:C4966" si="1301">A4965</f>
        <v>45980</v>
      </c>
      <c r="B4966" s="5" t="str">
        <f t="shared" si="1301"/>
        <v>Northern Cardinal</v>
      </c>
      <c r="C4966" s="6">
        <f t="shared" si="1301"/>
        <v>0.29166666666666669</v>
      </c>
      <c r="D4966" s="5"/>
      <c r="E4966" s="5"/>
      <c r="F4966" s="5" t="s">
        <v>8</v>
      </c>
      <c r="G4966" s="15" t="s">
        <v>9</v>
      </c>
      <c r="H4966" s="24">
        <f t="shared" si="1253"/>
        <v>0</v>
      </c>
      <c r="I4966" s="24" cm="1">
        <f t="array" ref="I4966">IFERROR(IF($B4966=I$1, ($A4966+$C4966) - MAX(IF($B$2:$B4965=$B4966, $A$2:$A4965+$C$2:$C4965)), "")*24*60, "")</f>
        <v>0</v>
      </c>
      <c r="J4966" s="24" t="str" cm="1">
        <f t="array" ref="J4966">IFERROR(IF($B4966=J$1, ($A4966+$C4966) - MAX(IF($B$2:$B4965=$B4966, $A$2:$A4965+$C$2:$C4965)), "")*24*60, "")</f>
        <v/>
      </c>
      <c r="K4966" s="24" t="str" cm="1">
        <f t="array" ref="K4966">IFERROR(IF($B4966=K$1, ($A4966+$C4966) - MAX(IF($B$2:$B4965=$B4966, $A$2:$A4965+$C$2:$C4965)), "")*24*60, "")</f>
        <v/>
      </c>
      <c r="L4966" s="24" t="str" cm="1">
        <f t="array" ref="L4966">IFERROR(IF($B4966=L$1, ($A4966+$C4966) - MAX(IF($B$2:$B4965=$B4966, $A$2:$A4965+$C$2:$C4965)), "")*24*60, "")</f>
        <v/>
      </c>
      <c r="M4966" s="24" t="str" cm="1">
        <f t="array" ref="M4966">IFERROR(IF($B4966=M$1, ($A4966+$C4966) - MAX(IF($B$2:$B4965=$B4966, $A$2:$A4965+$C$2:$C4965)), "")*24*60, "")</f>
        <v/>
      </c>
      <c r="N4966" s="24" t="str" cm="1">
        <f t="array" ref="N4966">IFERROR(IF($B4966=N$1, ($A4966+$C4966) - MAX(IF($B$2:$B4965=$B4966, $A$2:$A4965+$C$2:$C4965)), "")*24*60, "")</f>
        <v/>
      </c>
      <c r="O4966" s="24" t="str" cm="1">
        <f t="array" ref="O4966">IFERROR(IF($B4966=O$1, ($A4966+$C4966) - MAX(IF($B$2:$B4965=$B4966, $A$2:$A4965+$C$2:$C4965)), "")*24*60, "")</f>
        <v/>
      </c>
      <c r="P4966" s="24" t="str" cm="1">
        <f t="array" ref="P4966">IFERROR(IF($B4966=P$1, ($A4966+$C4966) - MAX(IF($B$2:$B4965=$B4966, $A$2:$A4965+$C$2:$C4965)), "")*24*60, "")</f>
        <v/>
      </c>
      <c r="Q4966" s="24" t="str" cm="1">
        <f t="array" ref="Q4966">IFERROR(IF($B4966=Q$1, ($A4966+$C4966) - MAX(IF($B$2:$B4965=$B4966, $A$2:$A4965+$C$2:$C4965)), "")*24*60, "")</f>
        <v/>
      </c>
    </row>
    <row r="4967" spans="1:17" x14ac:dyDescent="0.2">
      <c r="A4967" s="12">
        <f t="shared" ref="A4967:C4967" si="1302">A4966</f>
        <v>45980</v>
      </c>
      <c r="B4967" s="5" t="str">
        <f t="shared" si="1302"/>
        <v>Northern Cardinal</v>
      </c>
      <c r="C4967" s="6">
        <f t="shared" si="1302"/>
        <v>0.29166666666666669</v>
      </c>
      <c r="D4967" s="5"/>
      <c r="E4967" s="5"/>
      <c r="F4967" s="5" t="s">
        <v>8</v>
      </c>
      <c r="G4967" s="15" t="s">
        <v>9</v>
      </c>
      <c r="H4967" s="24">
        <f t="shared" si="1253"/>
        <v>0</v>
      </c>
      <c r="I4967" s="24" cm="1">
        <f t="array" ref="I4967">IFERROR(IF($B4967=I$1, ($A4967+$C4967) - MAX(IF($B$2:$B4966=$B4967, $A$2:$A4966+$C$2:$C4966)), "")*24*60, "")</f>
        <v>0</v>
      </c>
      <c r="J4967" s="24" t="str" cm="1">
        <f t="array" ref="J4967">IFERROR(IF($B4967=J$1, ($A4967+$C4967) - MAX(IF($B$2:$B4966=$B4967, $A$2:$A4966+$C$2:$C4966)), "")*24*60, "")</f>
        <v/>
      </c>
      <c r="K4967" s="24" t="str" cm="1">
        <f t="array" ref="K4967">IFERROR(IF($B4967=K$1, ($A4967+$C4967) - MAX(IF($B$2:$B4966=$B4967, $A$2:$A4966+$C$2:$C4966)), "")*24*60, "")</f>
        <v/>
      </c>
      <c r="L4967" s="24" t="str" cm="1">
        <f t="array" ref="L4967">IFERROR(IF($B4967=L$1, ($A4967+$C4967) - MAX(IF($B$2:$B4966=$B4967, $A$2:$A4966+$C$2:$C4966)), "")*24*60, "")</f>
        <v/>
      </c>
      <c r="M4967" s="24" t="str" cm="1">
        <f t="array" ref="M4967">IFERROR(IF($B4967=M$1, ($A4967+$C4967) - MAX(IF($B$2:$B4966=$B4967, $A$2:$A4966+$C$2:$C4966)), "")*24*60, "")</f>
        <v/>
      </c>
      <c r="N4967" s="24" t="str" cm="1">
        <f t="array" ref="N4967">IFERROR(IF($B4967=N$1, ($A4967+$C4967) - MAX(IF($B$2:$B4966=$B4967, $A$2:$A4966+$C$2:$C4966)), "")*24*60, "")</f>
        <v/>
      </c>
      <c r="O4967" s="24" t="str" cm="1">
        <f t="array" ref="O4967">IFERROR(IF($B4967=O$1, ($A4967+$C4967) - MAX(IF($B$2:$B4966=$B4967, $A$2:$A4966+$C$2:$C4966)), "")*24*60, "")</f>
        <v/>
      </c>
      <c r="P4967" s="24" t="str" cm="1">
        <f t="array" ref="P4967">IFERROR(IF($B4967=P$1, ($A4967+$C4967) - MAX(IF($B$2:$B4966=$B4967, $A$2:$A4966+$C$2:$C4966)), "")*24*60, "")</f>
        <v/>
      </c>
      <c r="Q4967" s="24" t="str" cm="1">
        <f t="array" ref="Q4967">IFERROR(IF($B4967=Q$1, ($A4967+$C4967) - MAX(IF($B$2:$B4966=$B4967, $A$2:$A4966+$C$2:$C4966)), "")*24*60, "")</f>
        <v/>
      </c>
    </row>
    <row r="4968" spans="1:17" x14ac:dyDescent="0.2">
      <c r="A4968" s="12">
        <f t="shared" ref="A4968:C4968" si="1303">A4967</f>
        <v>45980</v>
      </c>
      <c r="B4968" s="5" t="str">
        <f t="shared" si="1303"/>
        <v>Northern Cardinal</v>
      </c>
      <c r="C4968" s="6">
        <f t="shared" si="1303"/>
        <v>0.29166666666666669</v>
      </c>
      <c r="D4968" s="5"/>
      <c r="E4968" s="5"/>
      <c r="F4968" s="5" t="s">
        <v>8</v>
      </c>
      <c r="G4968" s="15" t="s">
        <v>9</v>
      </c>
      <c r="H4968" s="24">
        <f t="shared" si="1253"/>
        <v>0</v>
      </c>
      <c r="I4968" s="24" cm="1">
        <f t="array" ref="I4968">IFERROR(IF($B4968=I$1, ($A4968+$C4968) - MAX(IF($B$2:$B4967=$B4968, $A$2:$A4967+$C$2:$C4967)), "")*24*60, "")</f>
        <v>0</v>
      </c>
      <c r="J4968" s="24" t="str" cm="1">
        <f t="array" ref="J4968">IFERROR(IF($B4968=J$1, ($A4968+$C4968) - MAX(IF($B$2:$B4967=$B4968, $A$2:$A4967+$C$2:$C4967)), "")*24*60, "")</f>
        <v/>
      </c>
      <c r="K4968" s="24" t="str" cm="1">
        <f t="array" ref="K4968">IFERROR(IF($B4968=K$1, ($A4968+$C4968) - MAX(IF($B$2:$B4967=$B4968, $A$2:$A4967+$C$2:$C4967)), "")*24*60, "")</f>
        <v/>
      </c>
      <c r="L4968" s="24" t="str" cm="1">
        <f t="array" ref="L4968">IFERROR(IF($B4968=L$1, ($A4968+$C4968) - MAX(IF($B$2:$B4967=$B4968, $A$2:$A4967+$C$2:$C4967)), "")*24*60, "")</f>
        <v/>
      </c>
      <c r="M4968" s="24" t="str" cm="1">
        <f t="array" ref="M4968">IFERROR(IF($B4968=M$1, ($A4968+$C4968) - MAX(IF($B$2:$B4967=$B4968, $A$2:$A4967+$C$2:$C4967)), "")*24*60, "")</f>
        <v/>
      </c>
      <c r="N4968" s="24" t="str" cm="1">
        <f t="array" ref="N4968">IFERROR(IF($B4968=N$1, ($A4968+$C4968) - MAX(IF($B$2:$B4967=$B4968, $A$2:$A4967+$C$2:$C4967)), "")*24*60, "")</f>
        <v/>
      </c>
      <c r="O4968" s="24" t="str" cm="1">
        <f t="array" ref="O4968">IFERROR(IF($B4968=O$1, ($A4968+$C4968) - MAX(IF($B$2:$B4967=$B4968, $A$2:$A4967+$C$2:$C4967)), "")*24*60, "")</f>
        <v/>
      </c>
      <c r="P4968" s="24" t="str" cm="1">
        <f t="array" ref="P4968">IFERROR(IF($B4968=P$1, ($A4968+$C4968) - MAX(IF($B$2:$B4967=$B4968, $A$2:$A4967+$C$2:$C4967)), "")*24*60, "")</f>
        <v/>
      </c>
      <c r="Q4968" s="24" t="str" cm="1">
        <f t="array" ref="Q4968">IFERROR(IF($B4968=Q$1, ($A4968+$C4968) - MAX(IF($B$2:$B4967=$B4968, $A$2:$A4967+$C$2:$C4967)), "")*24*60, "")</f>
        <v/>
      </c>
    </row>
    <row r="4969" spans="1:17" x14ac:dyDescent="0.2">
      <c r="A4969" s="12">
        <f t="shared" ref="A4969:C4969" si="1304">A4968</f>
        <v>45980</v>
      </c>
      <c r="B4969" s="5" t="str">
        <f t="shared" si="1304"/>
        <v>Northern Cardinal</v>
      </c>
      <c r="C4969" s="6">
        <f t="shared" si="1304"/>
        <v>0.29166666666666669</v>
      </c>
      <c r="D4969" s="5"/>
      <c r="E4969" s="5"/>
      <c r="F4969" s="5" t="s">
        <v>8</v>
      </c>
      <c r="G4969" s="15" t="s">
        <v>9</v>
      </c>
      <c r="H4969" s="24">
        <f t="shared" si="1253"/>
        <v>0</v>
      </c>
      <c r="I4969" s="24" cm="1">
        <f t="array" ref="I4969">IFERROR(IF($B4969=I$1, ($A4969+$C4969) - MAX(IF($B$2:$B4968=$B4969, $A$2:$A4968+$C$2:$C4968)), "")*24*60, "")</f>
        <v>0</v>
      </c>
      <c r="J4969" s="24" t="str" cm="1">
        <f t="array" ref="J4969">IFERROR(IF($B4969=J$1, ($A4969+$C4969) - MAX(IF($B$2:$B4968=$B4969, $A$2:$A4968+$C$2:$C4968)), "")*24*60, "")</f>
        <v/>
      </c>
      <c r="K4969" s="24" t="str" cm="1">
        <f t="array" ref="K4969">IFERROR(IF($B4969=K$1, ($A4969+$C4969) - MAX(IF($B$2:$B4968=$B4969, $A$2:$A4968+$C$2:$C4968)), "")*24*60, "")</f>
        <v/>
      </c>
      <c r="L4969" s="24" t="str" cm="1">
        <f t="array" ref="L4969">IFERROR(IF($B4969=L$1, ($A4969+$C4969) - MAX(IF($B$2:$B4968=$B4969, $A$2:$A4968+$C$2:$C4968)), "")*24*60, "")</f>
        <v/>
      </c>
      <c r="M4969" s="24" t="str" cm="1">
        <f t="array" ref="M4969">IFERROR(IF($B4969=M$1, ($A4969+$C4969) - MAX(IF($B$2:$B4968=$B4969, $A$2:$A4968+$C$2:$C4968)), "")*24*60, "")</f>
        <v/>
      </c>
      <c r="N4969" s="24" t="str" cm="1">
        <f t="array" ref="N4969">IFERROR(IF($B4969=N$1, ($A4969+$C4969) - MAX(IF($B$2:$B4968=$B4969, $A$2:$A4968+$C$2:$C4968)), "")*24*60, "")</f>
        <v/>
      </c>
      <c r="O4969" s="24" t="str" cm="1">
        <f t="array" ref="O4969">IFERROR(IF($B4969=O$1, ($A4969+$C4969) - MAX(IF($B$2:$B4968=$B4969, $A$2:$A4968+$C$2:$C4968)), "")*24*60, "")</f>
        <v/>
      </c>
      <c r="P4969" s="24" t="str" cm="1">
        <f t="array" ref="P4969">IFERROR(IF($B4969=P$1, ($A4969+$C4969) - MAX(IF($B$2:$B4968=$B4969, $A$2:$A4968+$C$2:$C4968)), "")*24*60, "")</f>
        <v/>
      </c>
      <c r="Q4969" s="24" t="str" cm="1">
        <f t="array" ref="Q4969">IFERROR(IF($B4969=Q$1, ($A4969+$C4969) - MAX(IF($B$2:$B4968=$B4969, $A$2:$A4968+$C$2:$C4968)), "")*24*60, "")</f>
        <v/>
      </c>
    </row>
    <row r="4970" spans="1:17" x14ac:dyDescent="0.2">
      <c r="A4970" s="12">
        <f t="shared" ref="A4970:C4970" si="1305">A4969</f>
        <v>45980</v>
      </c>
      <c r="B4970" s="5" t="str">
        <f t="shared" si="1305"/>
        <v>Northern Cardinal</v>
      </c>
      <c r="C4970" s="6">
        <f t="shared" si="1305"/>
        <v>0.29166666666666669</v>
      </c>
      <c r="D4970" s="5"/>
      <c r="E4970" s="5"/>
      <c r="F4970" s="5" t="s">
        <v>8</v>
      </c>
      <c r="G4970" s="15" t="s">
        <v>9</v>
      </c>
      <c r="H4970" s="24">
        <f t="shared" si="1253"/>
        <v>0</v>
      </c>
      <c r="I4970" s="24" cm="1">
        <f t="array" ref="I4970">IFERROR(IF($B4970=I$1, ($A4970+$C4970) - MAX(IF($B$2:$B4969=$B4970, $A$2:$A4969+$C$2:$C4969)), "")*24*60, "")</f>
        <v>0</v>
      </c>
      <c r="J4970" s="24" t="str" cm="1">
        <f t="array" ref="J4970">IFERROR(IF($B4970=J$1, ($A4970+$C4970) - MAX(IF($B$2:$B4969=$B4970, $A$2:$A4969+$C$2:$C4969)), "")*24*60, "")</f>
        <v/>
      </c>
      <c r="K4970" s="24" t="str" cm="1">
        <f t="array" ref="K4970">IFERROR(IF($B4970=K$1, ($A4970+$C4970) - MAX(IF($B$2:$B4969=$B4970, $A$2:$A4969+$C$2:$C4969)), "")*24*60, "")</f>
        <v/>
      </c>
      <c r="L4970" s="24" t="str" cm="1">
        <f t="array" ref="L4970">IFERROR(IF($B4970=L$1, ($A4970+$C4970) - MAX(IF($B$2:$B4969=$B4970, $A$2:$A4969+$C$2:$C4969)), "")*24*60, "")</f>
        <v/>
      </c>
      <c r="M4970" s="24" t="str" cm="1">
        <f t="array" ref="M4970">IFERROR(IF($B4970=M$1, ($A4970+$C4970) - MAX(IF($B$2:$B4969=$B4970, $A$2:$A4969+$C$2:$C4969)), "")*24*60, "")</f>
        <v/>
      </c>
      <c r="N4970" s="24" t="str" cm="1">
        <f t="array" ref="N4970">IFERROR(IF($B4970=N$1, ($A4970+$C4970) - MAX(IF($B$2:$B4969=$B4970, $A$2:$A4969+$C$2:$C4969)), "")*24*60, "")</f>
        <v/>
      </c>
      <c r="O4970" s="24" t="str" cm="1">
        <f t="array" ref="O4970">IFERROR(IF($B4970=O$1, ($A4970+$C4970) - MAX(IF($B$2:$B4969=$B4970, $A$2:$A4969+$C$2:$C4969)), "")*24*60, "")</f>
        <v/>
      </c>
      <c r="P4970" s="24" t="str" cm="1">
        <f t="array" ref="P4970">IFERROR(IF($B4970=P$1, ($A4970+$C4970) - MAX(IF($B$2:$B4969=$B4970, $A$2:$A4969+$C$2:$C4969)), "")*24*60, "")</f>
        <v/>
      </c>
      <c r="Q4970" s="24" t="str" cm="1">
        <f t="array" ref="Q4970">IFERROR(IF($B4970=Q$1, ($A4970+$C4970) - MAX(IF($B$2:$B4969=$B4970, $A$2:$A4969+$C$2:$C4969)), "")*24*60, "")</f>
        <v/>
      </c>
    </row>
    <row r="4971" spans="1:17" x14ac:dyDescent="0.2">
      <c r="A4971" s="12">
        <f t="shared" ref="A4971:C4971" si="1306">A4970</f>
        <v>45980</v>
      </c>
      <c r="B4971" s="5" t="str">
        <f t="shared" si="1306"/>
        <v>Northern Cardinal</v>
      </c>
      <c r="C4971" s="6">
        <f t="shared" si="1306"/>
        <v>0.29166666666666669</v>
      </c>
      <c r="D4971" s="5"/>
      <c r="E4971" s="5"/>
      <c r="F4971" s="5" t="s">
        <v>8</v>
      </c>
      <c r="G4971" s="15" t="s">
        <v>9</v>
      </c>
      <c r="H4971" s="24">
        <f t="shared" si="1253"/>
        <v>0</v>
      </c>
      <c r="I4971" s="24" cm="1">
        <f t="array" ref="I4971">IFERROR(IF($B4971=I$1, ($A4971+$C4971) - MAX(IF($B$2:$B4970=$B4971, $A$2:$A4970+$C$2:$C4970)), "")*24*60, "")</f>
        <v>0</v>
      </c>
      <c r="J4971" s="24" t="str" cm="1">
        <f t="array" ref="J4971">IFERROR(IF($B4971=J$1, ($A4971+$C4971) - MAX(IF($B$2:$B4970=$B4971, $A$2:$A4970+$C$2:$C4970)), "")*24*60, "")</f>
        <v/>
      </c>
      <c r="K4971" s="24" t="str" cm="1">
        <f t="array" ref="K4971">IFERROR(IF($B4971=K$1, ($A4971+$C4971) - MAX(IF($B$2:$B4970=$B4971, $A$2:$A4970+$C$2:$C4970)), "")*24*60, "")</f>
        <v/>
      </c>
      <c r="L4971" s="24" t="str" cm="1">
        <f t="array" ref="L4971">IFERROR(IF($B4971=L$1, ($A4971+$C4971) - MAX(IF($B$2:$B4970=$B4971, $A$2:$A4970+$C$2:$C4970)), "")*24*60, "")</f>
        <v/>
      </c>
      <c r="M4971" s="24" t="str" cm="1">
        <f t="array" ref="M4971">IFERROR(IF($B4971=M$1, ($A4971+$C4971) - MAX(IF($B$2:$B4970=$B4971, $A$2:$A4970+$C$2:$C4970)), "")*24*60, "")</f>
        <v/>
      </c>
      <c r="N4971" s="24" t="str" cm="1">
        <f t="array" ref="N4971">IFERROR(IF($B4971=N$1, ($A4971+$C4971) - MAX(IF($B$2:$B4970=$B4971, $A$2:$A4970+$C$2:$C4970)), "")*24*60, "")</f>
        <v/>
      </c>
      <c r="O4971" s="24" t="str" cm="1">
        <f t="array" ref="O4971">IFERROR(IF($B4971=O$1, ($A4971+$C4971) - MAX(IF($B$2:$B4970=$B4971, $A$2:$A4970+$C$2:$C4970)), "")*24*60, "")</f>
        <v/>
      </c>
      <c r="P4971" s="24" t="str" cm="1">
        <f t="array" ref="P4971">IFERROR(IF($B4971=P$1, ($A4971+$C4971) - MAX(IF($B$2:$B4970=$B4971, $A$2:$A4970+$C$2:$C4970)), "")*24*60, "")</f>
        <v/>
      </c>
      <c r="Q4971" s="24" t="str" cm="1">
        <f t="array" ref="Q4971">IFERROR(IF($B4971=Q$1, ($A4971+$C4971) - MAX(IF($B$2:$B4970=$B4971, $A$2:$A4970+$C$2:$C4970)), "")*24*60, "")</f>
        <v/>
      </c>
    </row>
    <row r="4972" spans="1:17" x14ac:dyDescent="0.2">
      <c r="A4972" s="12">
        <f t="shared" ref="A4972:C4972" si="1307">A4971</f>
        <v>45980</v>
      </c>
      <c r="B4972" s="5" t="str">
        <f t="shared" si="1307"/>
        <v>Northern Cardinal</v>
      </c>
      <c r="C4972" s="6">
        <f t="shared" si="1307"/>
        <v>0.29166666666666669</v>
      </c>
      <c r="D4972" s="5"/>
      <c r="E4972" s="5"/>
      <c r="F4972" s="5" t="s">
        <v>8</v>
      </c>
      <c r="G4972" s="15" t="s">
        <v>9</v>
      </c>
      <c r="H4972" s="24">
        <f t="shared" si="1253"/>
        <v>0</v>
      </c>
      <c r="I4972" s="24" cm="1">
        <f t="array" ref="I4972">IFERROR(IF($B4972=I$1, ($A4972+$C4972) - MAX(IF($B$2:$B4971=$B4972, $A$2:$A4971+$C$2:$C4971)), "")*24*60, "")</f>
        <v>0</v>
      </c>
      <c r="J4972" s="24" t="str" cm="1">
        <f t="array" ref="J4972">IFERROR(IF($B4972=J$1, ($A4972+$C4972) - MAX(IF($B$2:$B4971=$B4972, $A$2:$A4971+$C$2:$C4971)), "")*24*60, "")</f>
        <v/>
      </c>
      <c r="K4972" s="24" t="str" cm="1">
        <f t="array" ref="K4972">IFERROR(IF($B4972=K$1, ($A4972+$C4972) - MAX(IF($B$2:$B4971=$B4972, $A$2:$A4971+$C$2:$C4971)), "")*24*60, "")</f>
        <v/>
      </c>
      <c r="L4972" s="24" t="str" cm="1">
        <f t="array" ref="L4972">IFERROR(IF($B4972=L$1, ($A4972+$C4972) - MAX(IF($B$2:$B4971=$B4972, $A$2:$A4971+$C$2:$C4971)), "")*24*60, "")</f>
        <v/>
      </c>
      <c r="M4972" s="24" t="str" cm="1">
        <f t="array" ref="M4972">IFERROR(IF($B4972=M$1, ($A4972+$C4972) - MAX(IF($B$2:$B4971=$B4972, $A$2:$A4971+$C$2:$C4971)), "")*24*60, "")</f>
        <v/>
      </c>
      <c r="N4972" s="24" t="str" cm="1">
        <f t="array" ref="N4972">IFERROR(IF($B4972=N$1, ($A4972+$C4972) - MAX(IF($B$2:$B4971=$B4972, $A$2:$A4971+$C$2:$C4971)), "")*24*60, "")</f>
        <v/>
      </c>
      <c r="O4972" s="24" t="str" cm="1">
        <f t="array" ref="O4972">IFERROR(IF($B4972=O$1, ($A4972+$C4972) - MAX(IF($B$2:$B4971=$B4972, $A$2:$A4971+$C$2:$C4971)), "")*24*60, "")</f>
        <v/>
      </c>
      <c r="P4972" s="24" t="str" cm="1">
        <f t="array" ref="P4972">IFERROR(IF($B4972=P$1, ($A4972+$C4972) - MAX(IF($B$2:$B4971=$B4972, $A$2:$A4971+$C$2:$C4971)), "")*24*60, "")</f>
        <v/>
      </c>
      <c r="Q4972" s="24" t="str" cm="1">
        <f t="array" ref="Q4972">IFERROR(IF($B4972=Q$1, ($A4972+$C4972) - MAX(IF($B$2:$B4971=$B4972, $A$2:$A4971+$C$2:$C4971)), "")*24*60, "")</f>
        <v/>
      </c>
    </row>
    <row r="4973" spans="1:17" x14ac:dyDescent="0.2">
      <c r="A4973" s="12">
        <f t="shared" ref="A4973:C4973" si="1308">A4972</f>
        <v>45980</v>
      </c>
      <c r="B4973" s="5" t="str">
        <f t="shared" si="1308"/>
        <v>Northern Cardinal</v>
      </c>
      <c r="C4973" s="6">
        <f t="shared" si="1308"/>
        <v>0.29166666666666669</v>
      </c>
      <c r="D4973" s="5"/>
      <c r="E4973" s="5"/>
      <c r="F4973" s="5" t="s">
        <v>8</v>
      </c>
      <c r="G4973" s="15" t="s">
        <v>9</v>
      </c>
      <c r="H4973" s="24">
        <f t="shared" si="1253"/>
        <v>0</v>
      </c>
      <c r="I4973" s="24" cm="1">
        <f t="array" ref="I4973">IFERROR(IF($B4973=I$1, ($A4973+$C4973) - MAX(IF($B$2:$B4972=$B4973, $A$2:$A4972+$C$2:$C4972)), "")*24*60, "")</f>
        <v>0</v>
      </c>
      <c r="J4973" s="24" t="str" cm="1">
        <f t="array" ref="J4973">IFERROR(IF($B4973=J$1, ($A4973+$C4973) - MAX(IF($B$2:$B4972=$B4973, $A$2:$A4972+$C$2:$C4972)), "")*24*60, "")</f>
        <v/>
      </c>
      <c r="K4973" s="24" t="str" cm="1">
        <f t="array" ref="K4973">IFERROR(IF($B4973=K$1, ($A4973+$C4973) - MAX(IF($B$2:$B4972=$B4973, $A$2:$A4972+$C$2:$C4972)), "")*24*60, "")</f>
        <v/>
      </c>
      <c r="L4973" s="24" t="str" cm="1">
        <f t="array" ref="L4973">IFERROR(IF($B4973=L$1, ($A4973+$C4973) - MAX(IF($B$2:$B4972=$B4973, $A$2:$A4972+$C$2:$C4972)), "")*24*60, "")</f>
        <v/>
      </c>
      <c r="M4973" s="24" t="str" cm="1">
        <f t="array" ref="M4973">IFERROR(IF($B4973=M$1, ($A4973+$C4973) - MAX(IF($B$2:$B4972=$B4973, $A$2:$A4972+$C$2:$C4972)), "")*24*60, "")</f>
        <v/>
      </c>
      <c r="N4973" s="24" t="str" cm="1">
        <f t="array" ref="N4973">IFERROR(IF($B4973=N$1, ($A4973+$C4973) - MAX(IF($B$2:$B4972=$B4973, $A$2:$A4972+$C$2:$C4972)), "")*24*60, "")</f>
        <v/>
      </c>
      <c r="O4973" s="24" t="str" cm="1">
        <f t="array" ref="O4973">IFERROR(IF($B4973=O$1, ($A4973+$C4973) - MAX(IF($B$2:$B4972=$B4973, $A$2:$A4972+$C$2:$C4972)), "")*24*60, "")</f>
        <v/>
      </c>
      <c r="P4973" s="24" t="str" cm="1">
        <f t="array" ref="P4973">IFERROR(IF($B4973=P$1, ($A4973+$C4973) - MAX(IF($B$2:$B4972=$B4973, $A$2:$A4972+$C$2:$C4972)), "")*24*60, "")</f>
        <v/>
      </c>
      <c r="Q4973" s="24" t="str" cm="1">
        <f t="array" ref="Q4973">IFERROR(IF($B4973=Q$1, ($A4973+$C4973) - MAX(IF($B$2:$B4972=$B4973, $A$2:$A4972+$C$2:$C4972)), "")*24*60, "")</f>
        <v/>
      </c>
    </row>
    <row r="4974" spans="1:17" x14ac:dyDescent="0.2">
      <c r="A4974" s="12">
        <f t="shared" ref="A4974:C4974" si="1309">A4973</f>
        <v>45980</v>
      </c>
      <c r="B4974" s="5" t="str">
        <f t="shared" si="1309"/>
        <v>Northern Cardinal</v>
      </c>
      <c r="C4974" s="6">
        <f t="shared" si="1309"/>
        <v>0.29166666666666669</v>
      </c>
      <c r="D4974" s="5"/>
      <c r="E4974" s="5"/>
      <c r="F4974" s="5" t="s">
        <v>8</v>
      </c>
      <c r="G4974" s="15" t="s">
        <v>9</v>
      </c>
      <c r="H4974" s="24">
        <f t="shared" si="1253"/>
        <v>0</v>
      </c>
      <c r="I4974" s="24" cm="1">
        <f t="array" ref="I4974">IFERROR(IF($B4974=I$1, ($A4974+$C4974) - MAX(IF($B$2:$B4973=$B4974, $A$2:$A4973+$C$2:$C4973)), "")*24*60, "")</f>
        <v>0</v>
      </c>
      <c r="J4974" s="24" t="str" cm="1">
        <f t="array" ref="J4974">IFERROR(IF($B4974=J$1, ($A4974+$C4974) - MAX(IF($B$2:$B4973=$B4974, $A$2:$A4973+$C$2:$C4973)), "")*24*60, "")</f>
        <v/>
      </c>
      <c r="K4974" s="24" t="str" cm="1">
        <f t="array" ref="K4974">IFERROR(IF($B4974=K$1, ($A4974+$C4974) - MAX(IF($B$2:$B4973=$B4974, $A$2:$A4973+$C$2:$C4973)), "")*24*60, "")</f>
        <v/>
      </c>
      <c r="L4974" s="24" t="str" cm="1">
        <f t="array" ref="L4974">IFERROR(IF($B4974=L$1, ($A4974+$C4974) - MAX(IF($B$2:$B4973=$B4974, $A$2:$A4973+$C$2:$C4973)), "")*24*60, "")</f>
        <v/>
      </c>
      <c r="M4974" s="24" t="str" cm="1">
        <f t="array" ref="M4974">IFERROR(IF($B4974=M$1, ($A4974+$C4974) - MAX(IF($B$2:$B4973=$B4974, $A$2:$A4973+$C$2:$C4973)), "")*24*60, "")</f>
        <v/>
      </c>
      <c r="N4974" s="24" t="str" cm="1">
        <f t="array" ref="N4974">IFERROR(IF($B4974=N$1, ($A4974+$C4974) - MAX(IF($B$2:$B4973=$B4974, $A$2:$A4973+$C$2:$C4973)), "")*24*60, "")</f>
        <v/>
      </c>
      <c r="O4974" s="24" t="str" cm="1">
        <f t="array" ref="O4974">IFERROR(IF($B4974=O$1, ($A4974+$C4974) - MAX(IF($B$2:$B4973=$B4974, $A$2:$A4973+$C$2:$C4973)), "")*24*60, "")</f>
        <v/>
      </c>
      <c r="P4974" s="24" t="str" cm="1">
        <f t="array" ref="P4974">IFERROR(IF($B4974=P$1, ($A4974+$C4974) - MAX(IF($B$2:$B4973=$B4974, $A$2:$A4973+$C$2:$C4973)), "")*24*60, "")</f>
        <v/>
      </c>
      <c r="Q4974" s="24" t="str" cm="1">
        <f t="array" ref="Q4974">IFERROR(IF($B4974=Q$1, ($A4974+$C4974) - MAX(IF($B$2:$B4973=$B4974, $A$2:$A4973+$C$2:$C4973)), "")*24*60, "")</f>
        <v/>
      </c>
    </row>
    <row r="4975" spans="1:17" x14ac:dyDescent="0.2">
      <c r="A4975" s="12">
        <f t="shared" ref="A4975:C4975" si="1310">A4974</f>
        <v>45980</v>
      </c>
      <c r="B4975" s="5" t="str">
        <f t="shared" si="1310"/>
        <v>Northern Cardinal</v>
      </c>
      <c r="C4975" s="6">
        <f t="shared" si="1310"/>
        <v>0.29166666666666669</v>
      </c>
      <c r="D4975" s="5"/>
      <c r="E4975" s="5"/>
      <c r="F4975" s="5" t="s">
        <v>8</v>
      </c>
      <c r="G4975" s="15" t="s">
        <v>9</v>
      </c>
      <c r="H4975" s="24">
        <f t="shared" si="1253"/>
        <v>0</v>
      </c>
      <c r="I4975" s="24" cm="1">
        <f t="array" ref="I4975">IFERROR(IF($B4975=I$1, ($A4975+$C4975) - MAX(IF($B$2:$B4974=$B4975, $A$2:$A4974+$C$2:$C4974)), "")*24*60, "")</f>
        <v>0</v>
      </c>
      <c r="J4975" s="24" t="str" cm="1">
        <f t="array" ref="J4975">IFERROR(IF($B4975=J$1, ($A4975+$C4975) - MAX(IF($B$2:$B4974=$B4975, $A$2:$A4974+$C$2:$C4974)), "")*24*60, "")</f>
        <v/>
      </c>
      <c r="K4975" s="24" t="str" cm="1">
        <f t="array" ref="K4975">IFERROR(IF($B4975=K$1, ($A4975+$C4975) - MAX(IF($B$2:$B4974=$B4975, $A$2:$A4974+$C$2:$C4974)), "")*24*60, "")</f>
        <v/>
      </c>
      <c r="L4975" s="24" t="str" cm="1">
        <f t="array" ref="L4975">IFERROR(IF($B4975=L$1, ($A4975+$C4975) - MAX(IF($B$2:$B4974=$B4975, $A$2:$A4974+$C$2:$C4974)), "")*24*60, "")</f>
        <v/>
      </c>
      <c r="M4975" s="24" t="str" cm="1">
        <f t="array" ref="M4975">IFERROR(IF($B4975=M$1, ($A4975+$C4975) - MAX(IF($B$2:$B4974=$B4975, $A$2:$A4974+$C$2:$C4974)), "")*24*60, "")</f>
        <v/>
      </c>
      <c r="N4975" s="24" t="str" cm="1">
        <f t="array" ref="N4975">IFERROR(IF($B4975=N$1, ($A4975+$C4975) - MAX(IF($B$2:$B4974=$B4975, $A$2:$A4974+$C$2:$C4974)), "")*24*60, "")</f>
        <v/>
      </c>
      <c r="O4975" s="24" t="str" cm="1">
        <f t="array" ref="O4975">IFERROR(IF($B4975=O$1, ($A4975+$C4975) - MAX(IF($B$2:$B4974=$B4975, $A$2:$A4974+$C$2:$C4974)), "")*24*60, "")</f>
        <v/>
      </c>
      <c r="P4975" s="24" t="str" cm="1">
        <f t="array" ref="P4975">IFERROR(IF($B4975=P$1, ($A4975+$C4975) - MAX(IF($B$2:$B4974=$B4975, $A$2:$A4974+$C$2:$C4974)), "")*24*60, "")</f>
        <v/>
      </c>
      <c r="Q4975" s="24" t="str" cm="1">
        <f t="array" ref="Q4975">IFERROR(IF($B4975=Q$1, ($A4975+$C4975) - MAX(IF($B$2:$B4974=$B4975, $A$2:$A4974+$C$2:$C4974)), "")*24*60, "")</f>
        <v/>
      </c>
    </row>
    <row r="4976" spans="1:17" x14ac:dyDescent="0.2">
      <c r="A4976" s="12">
        <f t="shared" ref="A4976:C4976" si="1311">A4975</f>
        <v>45980</v>
      </c>
      <c r="B4976" s="5" t="str">
        <f t="shared" si="1311"/>
        <v>Northern Cardinal</v>
      </c>
      <c r="C4976" s="6">
        <f t="shared" si="1311"/>
        <v>0.29166666666666669</v>
      </c>
      <c r="D4976" s="5"/>
      <c r="E4976" s="5"/>
      <c r="F4976" s="5" t="s">
        <v>8</v>
      </c>
      <c r="G4976" s="15" t="s">
        <v>9</v>
      </c>
      <c r="H4976" s="24">
        <f t="shared" si="1253"/>
        <v>0</v>
      </c>
      <c r="I4976" s="24" cm="1">
        <f t="array" ref="I4976">IFERROR(IF($B4976=I$1, ($A4976+$C4976) - MAX(IF($B$2:$B4975=$B4976, $A$2:$A4975+$C$2:$C4975)), "")*24*60, "")</f>
        <v>0</v>
      </c>
      <c r="J4976" s="24" t="str" cm="1">
        <f t="array" ref="J4976">IFERROR(IF($B4976=J$1, ($A4976+$C4976) - MAX(IF($B$2:$B4975=$B4976, $A$2:$A4975+$C$2:$C4975)), "")*24*60, "")</f>
        <v/>
      </c>
      <c r="K4976" s="24" t="str" cm="1">
        <f t="array" ref="K4976">IFERROR(IF($B4976=K$1, ($A4976+$C4976) - MAX(IF($B$2:$B4975=$B4976, $A$2:$A4975+$C$2:$C4975)), "")*24*60, "")</f>
        <v/>
      </c>
      <c r="L4976" s="24" t="str" cm="1">
        <f t="array" ref="L4976">IFERROR(IF($B4976=L$1, ($A4976+$C4976) - MAX(IF($B$2:$B4975=$B4976, $A$2:$A4975+$C$2:$C4975)), "")*24*60, "")</f>
        <v/>
      </c>
      <c r="M4976" s="24" t="str" cm="1">
        <f t="array" ref="M4976">IFERROR(IF($B4976=M$1, ($A4976+$C4976) - MAX(IF($B$2:$B4975=$B4976, $A$2:$A4975+$C$2:$C4975)), "")*24*60, "")</f>
        <v/>
      </c>
      <c r="N4976" s="24" t="str" cm="1">
        <f t="array" ref="N4976">IFERROR(IF($B4976=N$1, ($A4976+$C4976) - MAX(IF($B$2:$B4975=$B4976, $A$2:$A4975+$C$2:$C4975)), "")*24*60, "")</f>
        <v/>
      </c>
      <c r="O4976" s="24" t="str" cm="1">
        <f t="array" ref="O4976">IFERROR(IF($B4976=O$1, ($A4976+$C4976) - MAX(IF($B$2:$B4975=$B4976, $A$2:$A4975+$C$2:$C4975)), "")*24*60, "")</f>
        <v/>
      </c>
      <c r="P4976" s="24" t="str" cm="1">
        <f t="array" ref="P4976">IFERROR(IF($B4976=P$1, ($A4976+$C4976) - MAX(IF($B$2:$B4975=$B4976, $A$2:$A4975+$C$2:$C4975)), "")*24*60, "")</f>
        <v/>
      </c>
      <c r="Q4976" s="24" t="str" cm="1">
        <f t="array" ref="Q4976">IFERROR(IF($B4976=Q$1, ($A4976+$C4976) - MAX(IF($B$2:$B4975=$B4976, $A$2:$A4975+$C$2:$C4975)), "")*24*60, "")</f>
        <v/>
      </c>
    </row>
    <row r="4977" spans="1:17" x14ac:dyDescent="0.2">
      <c r="A4977" s="12">
        <f t="shared" ref="A4977:C4977" si="1312">A4976</f>
        <v>45980</v>
      </c>
      <c r="B4977" s="5" t="str">
        <f t="shared" si="1312"/>
        <v>Northern Cardinal</v>
      </c>
      <c r="C4977" s="6">
        <f t="shared" si="1312"/>
        <v>0.29166666666666669</v>
      </c>
      <c r="D4977" s="5"/>
      <c r="E4977" s="5"/>
      <c r="F4977" s="5" t="s">
        <v>8</v>
      </c>
      <c r="G4977" s="15" t="s">
        <v>9</v>
      </c>
      <c r="H4977" s="24">
        <f t="shared" si="1253"/>
        <v>0</v>
      </c>
      <c r="I4977" s="24" cm="1">
        <f t="array" ref="I4977">IFERROR(IF($B4977=I$1, ($A4977+$C4977) - MAX(IF($B$2:$B4976=$B4977, $A$2:$A4976+$C$2:$C4976)), "")*24*60, "")</f>
        <v>0</v>
      </c>
      <c r="J4977" s="24" t="str" cm="1">
        <f t="array" ref="J4977">IFERROR(IF($B4977=J$1, ($A4977+$C4977) - MAX(IF($B$2:$B4976=$B4977, $A$2:$A4976+$C$2:$C4976)), "")*24*60, "")</f>
        <v/>
      </c>
      <c r="K4977" s="24" t="str" cm="1">
        <f t="array" ref="K4977">IFERROR(IF($B4977=K$1, ($A4977+$C4977) - MAX(IF($B$2:$B4976=$B4977, $A$2:$A4976+$C$2:$C4976)), "")*24*60, "")</f>
        <v/>
      </c>
      <c r="L4977" s="24" t="str" cm="1">
        <f t="array" ref="L4977">IFERROR(IF($B4977=L$1, ($A4977+$C4977) - MAX(IF($B$2:$B4976=$B4977, $A$2:$A4976+$C$2:$C4976)), "")*24*60, "")</f>
        <v/>
      </c>
      <c r="M4977" s="24" t="str" cm="1">
        <f t="array" ref="M4977">IFERROR(IF($B4977=M$1, ($A4977+$C4977) - MAX(IF($B$2:$B4976=$B4977, $A$2:$A4976+$C$2:$C4976)), "")*24*60, "")</f>
        <v/>
      </c>
      <c r="N4977" s="24" t="str" cm="1">
        <f t="array" ref="N4977">IFERROR(IF($B4977=N$1, ($A4977+$C4977) - MAX(IF($B$2:$B4976=$B4977, $A$2:$A4976+$C$2:$C4976)), "")*24*60, "")</f>
        <v/>
      </c>
      <c r="O4977" s="24" t="str" cm="1">
        <f t="array" ref="O4977">IFERROR(IF($B4977=O$1, ($A4977+$C4977) - MAX(IF($B$2:$B4976=$B4977, $A$2:$A4976+$C$2:$C4976)), "")*24*60, "")</f>
        <v/>
      </c>
      <c r="P4977" s="24" t="str" cm="1">
        <f t="array" ref="P4977">IFERROR(IF($B4977=P$1, ($A4977+$C4977) - MAX(IF($B$2:$B4976=$B4977, $A$2:$A4976+$C$2:$C4976)), "")*24*60, "")</f>
        <v/>
      </c>
      <c r="Q4977" s="24" t="str" cm="1">
        <f t="array" ref="Q4977">IFERROR(IF($B4977=Q$1, ($A4977+$C4977) - MAX(IF($B$2:$B4976=$B4977, $A$2:$A4976+$C$2:$C4976)), "")*24*60, "")</f>
        <v/>
      </c>
    </row>
    <row r="4978" spans="1:17" x14ac:dyDescent="0.2">
      <c r="A4978" s="12">
        <f t="shared" ref="A4978:C4978" si="1313">A4977</f>
        <v>45980</v>
      </c>
      <c r="B4978" s="5" t="str">
        <f t="shared" si="1313"/>
        <v>Northern Cardinal</v>
      </c>
      <c r="C4978" s="6">
        <f t="shared" si="1313"/>
        <v>0.29166666666666669</v>
      </c>
      <c r="D4978" s="5"/>
      <c r="E4978" s="5"/>
      <c r="F4978" s="5" t="s">
        <v>8</v>
      </c>
      <c r="G4978" s="15" t="s">
        <v>9</v>
      </c>
      <c r="H4978" s="24">
        <f t="shared" si="1253"/>
        <v>0</v>
      </c>
      <c r="I4978" s="24" cm="1">
        <f t="array" ref="I4978">IFERROR(IF($B4978=I$1, ($A4978+$C4978) - MAX(IF($B$2:$B4977=$B4978, $A$2:$A4977+$C$2:$C4977)), "")*24*60, "")</f>
        <v>0</v>
      </c>
      <c r="J4978" s="24" t="str" cm="1">
        <f t="array" ref="J4978">IFERROR(IF($B4978=J$1, ($A4978+$C4978) - MAX(IF($B$2:$B4977=$B4978, $A$2:$A4977+$C$2:$C4977)), "")*24*60, "")</f>
        <v/>
      </c>
      <c r="K4978" s="24" t="str" cm="1">
        <f t="array" ref="K4978">IFERROR(IF($B4978=K$1, ($A4978+$C4978) - MAX(IF($B$2:$B4977=$B4978, $A$2:$A4977+$C$2:$C4977)), "")*24*60, "")</f>
        <v/>
      </c>
      <c r="L4978" s="24" t="str" cm="1">
        <f t="array" ref="L4978">IFERROR(IF($B4978=L$1, ($A4978+$C4978) - MAX(IF($B$2:$B4977=$B4978, $A$2:$A4977+$C$2:$C4977)), "")*24*60, "")</f>
        <v/>
      </c>
      <c r="M4978" s="24" t="str" cm="1">
        <f t="array" ref="M4978">IFERROR(IF($B4978=M$1, ($A4978+$C4978) - MAX(IF($B$2:$B4977=$B4978, $A$2:$A4977+$C$2:$C4977)), "")*24*60, "")</f>
        <v/>
      </c>
      <c r="N4978" s="24" t="str" cm="1">
        <f t="array" ref="N4978">IFERROR(IF($B4978=N$1, ($A4978+$C4978) - MAX(IF($B$2:$B4977=$B4978, $A$2:$A4977+$C$2:$C4977)), "")*24*60, "")</f>
        <v/>
      </c>
      <c r="O4978" s="24" t="str" cm="1">
        <f t="array" ref="O4978">IFERROR(IF($B4978=O$1, ($A4978+$C4978) - MAX(IF($B$2:$B4977=$B4978, $A$2:$A4977+$C$2:$C4977)), "")*24*60, "")</f>
        <v/>
      </c>
      <c r="P4978" s="24" t="str" cm="1">
        <f t="array" ref="P4978">IFERROR(IF($B4978=P$1, ($A4978+$C4978) - MAX(IF($B$2:$B4977=$B4978, $A$2:$A4977+$C$2:$C4977)), "")*24*60, "")</f>
        <v/>
      </c>
      <c r="Q4978" s="24" t="str" cm="1">
        <f t="array" ref="Q4978">IFERROR(IF($B4978=Q$1, ($A4978+$C4978) - MAX(IF($B$2:$B4977=$B4978, $A$2:$A4977+$C$2:$C4977)), "")*24*60, "")</f>
        <v/>
      </c>
    </row>
    <row r="4979" spans="1:17" x14ac:dyDescent="0.2">
      <c r="A4979" s="12">
        <f t="shared" ref="A4979:C4979" si="1314">A4978</f>
        <v>45980</v>
      </c>
      <c r="B4979" s="5" t="str">
        <f t="shared" si="1314"/>
        <v>Northern Cardinal</v>
      </c>
      <c r="C4979" s="6">
        <f t="shared" si="1314"/>
        <v>0.29166666666666669</v>
      </c>
      <c r="D4979" s="5"/>
      <c r="E4979" s="5"/>
      <c r="F4979" s="5" t="s">
        <v>8</v>
      </c>
      <c r="G4979" s="15" t="s">
        <v>9</v>
      </c>
      <c r="H4979" s="24">
        <f t="shared" si="1253"/>
        <v>0</v>
      </c>
      <c r="I4979" s="24" cm="1">
        <f t="array" ref="I4979">IFERROR(IF($B4979=I$1, ($A4979+$C4979) - MAX(IF($B$2:$B4978=$B4979, $A$2:$A4978+$C$2:$C4978)), "")*24*60, "")</f>
        <v>0</v>
      </c>
      <c r="J4979" s="24" t="str" cm="1">
        <f t="array" ref="J4979">IFERROR(IF($B4979=J$1, ($A4979+$C4979) - MAX(IF($B$2:$B4978=$B4979, $A$2:$A4978+$C$2:$C4978)), "")*24*60, "")</f>
        <v/>
      </c>
      <c r="K4979" s="24" t="str" cm="1">
        <f t="array" ref="K4979">IFERROR(IF($B4979=K$1, ($A4979+$C4979) - MAX(IF($B$2:$B4978=$B4979, $A$2:$A4978+$C$2:$C4978)), "")*24*60, "")</f>
        <v/>
      </c>
      <c r="L4979" s="24" t="str" cm="1">
        <f t="array" ref="L4979">IFERROR(IF($B4979=L$1, ($A4979+$C4979) - MAX(IF($B$2:$B4978=$B4979, $A$2:$A4978+$C$2:$C4978)), "")*24*60, "")</f>
        <v/>
      </c>
      <c r="M4979" s="24" t="str" cm="1">
        <f t="array" ref="M4979">IFERROR(IF($B4979=M$1, ($A4979+$C4979) - MAX(IF($B$2:$B4978=$B4979, $A$2:$A4978+$C$2:$C4978)), "")*24*60, "")</f>
        <v/>
      </c>
      <c r="N4979" s="24" t="str" cm="1">
        <f t="array" ref="N4979">IFERROR(IF($B4979=N$1, ($A4979+$C4979) - MAX(IF($B$2:$B4978=$B4979, $A$2:$A4978+$C$2:$C4978)), "")*24*60, "")</f>
        <v/>
      </c>
      <c r="O4979" s="24" t="str" cm="1">
        <f t="array" ref="O4979">IFERROR(IF($B4979=O$1, ($A4979+$C4979) - MAX(IF($B$2:$B4978=$B4979, $A$2:$A4978+$C$2:$C4978)), "")*24*60, "")</f>
        <v/>
      </c>
      <c r="P4979" s="24" t="str" cm="1">
        <f t="array" ref="P4979">IFERROR(IF($B4979=P$1, ($A4979+$C4979) - MAX(IF($B$2:$B4978=$B4979, $A$2:$A4978+$C$2:$C4978)), "")*24*60, "")</f>
        <v/>
      </c>
      <c r="Q4979" s="24" t="str" cm="1">
        <f t="array" ref="Q4979">IFERROR(IF($B4979=Q$1, ($A4979+$C4979) - MAX(IF($B$2:$B4978=$B4979, $A$2:$A4978+$C$2:$C4978)), "")*24*60, "")</f>
        <v/>
      </c>
    </row>
    <row r="4980" spans="1:17" x14ac:dyDescent="0.2">
      <c r="A4980" s="12">
        <f t="shared" ref="A4980:C4980" si="1315">A4979</f>
        <v>45980</v>
      </c>
      <c r="B4980" s="5" t="str">
        <f t="shared" si="1315"/>
        <v>Northern Cardinal</v>
      </c>
      <c r="C4980" s="6">
        <f t="shared" si="1315"/>
        <v>0.29166666666666669</v>
      </c>
      <c r="D4980" s="5"/>
      <c r="E4980" s="5"/>
      <c r="F4980" s="5" t="s">
        <v>8</v>
      </c>
      <c r="G4980" s="15" t="s">
        <v>9</v>
      </c>
      <c r="H4980" s="24">
        <f t="shared" si="1253"/>
        <v>0</v>
      </c>
      <c r="I4980" s="24" cm="1">
        <f t="array" ref="I4980">IFERROR(IF($B4980=I$1, ($A4980+$C4980) - MAX(IF($B$2:$B4979=$B4980, $A$2:$A4979+$C$2:$C4979)), "")*24*60, "")</f>
        <v>0</v>
      </c>
      <c r="J4980" s="24" t="str" cm="1">
        <f t="array" ref="J4980">IFERROR(IF($B4980=J$1, ($A4980+$C4980) - MAX(IF($B$2:$B4979=$B4980, $A$2:$A4979+$C$2:$C4979)), "")*24*60, "")</f>
        <v/>
      </c>
      <c r="K4980" s="24" t="str" cm="1">
        <f t="array" ref="K4980">IFERROR(IF($B4980=K$1, ($A4980+$C4980) - MAX(IF($B$2:$B4979=$B4980, $A$2:$A4979+$C$2:$C4979)), "")*24*60, "")</f>
        <v/>
      </c>
      <c r="L4980" s="24" t="str" cm="1">
        <f t="array" ref="L4980">IFERROR(IF($B4980=L$1, ($A4980+$C4980) - MAX(IF($B$2:$B4979=$B4980, $A$2:$A4979+$C$2:$C4979)), "")*24*60, "")</f>
        <v/>
      </c>
      <c r="M4980" s="24" t="str" cm="1">
        <f t="array" ref="M4980">IFERROR(IF($B4980=M$1, ($A4980+$C4980) - MAX(IF($B$2:$B4979=$B4980, $A$2:$A4979+$C$2:$C4979)), "")*24*60, "")</f>
        <v/>
      </c>
      <c r="N4980" s="24" t="str" cm="1">
        <f t="array" ref="N4980">IFERROR(IF($B4980=N$1, ($A4980+$C4980) - MAX(IF($B$2:$B4979=$B4980, $A$2:$A4979+$C$2:$C4979)), "")*24*60, "")</f>
        <v/>
      </c>
      <c r="O4980" s="24" t="str" cm="1">
        <f t="array" ref="O4980">IFERROR(IF($B4980=O$1, ($A4980+$C4980) - MAX(IF($B$2:$B4979=$B4980, $A$2:$A4979+$C$2:$C4979)), "")*24*60, "")</f>
        <v/>
      </c>
      <c r="P4980" s="24" t="str" cm="1">
        <f t="array" ref="P4980">IFERROR(IF($B4980=P$1, ($A4980+$C4980) - MAX(IF($B$2:$B4979=$B4980, $A$2:$A4979+$C$2:$C4979)), "")*24*60, "")</f>
        <v/>
      </c>
      <c r="Q4980" s="24" t="str" cm="1">
        <f t="array" ref="Q4980">IFERROR(IF($B4980=Q$1, ($A4980+$C4980) - MAX(IF($B$2:$B4979=$B4980, $A$2:$A4979+$C$2:$C4979)), "")*24*60, "")</f>
        <v/>
      </c>
    </row>
    <row r="4981" spans="1:17" x14ac:dyDescent="0.2">
      <c r="A4981" s="12">
        <f t="shared" ref="A4981:C4981" si="1316">A4980</f>
        <v>45980</v>
      </c>
      <c r="B4981" s="5" t="str">
        <f t="shared" si="1316"/>
        <v>Northern Cardinal</v>
      </c>
      <c r="C4981" s="6">
        <f t="shared" si="1316"/>
        <v>0.29166666666666669</v>
      </c>
      <c r="D4981" s="5"/>
      <c r="E4981" s="5"/>
      <c r="F4981" s="5" t="s">
        <v>8</v>
      </c>
      <c r="G4981" s="15" t="s">
        <v>9</v>
      </c>
      <c r="H4981" s="24">
        <f t="shared" si="1253"/>
        <v>0</v>
      </c>
      <c r="I4981" s="24" cm="1">
        <f t="array" ref="I4981">IFERROR(IF($B4981=I$1, ($A4981+$C4981) - MAX(IF($B$2:$B4980=$B4981, $A$2:$A4980+$C$2:$C4980)), "")*24*60, "")</f>
        <v>0</v>
      </c>
      <c r="J4981" s="24" t="str" cm="1">
        <f t="array" ref="J4981">IFERROR(IF($B4981=J$1, ($A4981+$C4981) - MAX(IF($B$2:$B4980=$B4981, $A$2:$A4980+$C$2:$C4980)), "")*24*60, "")</f>
        <v/>
      </c>
      <c r="K4981" s="24" t="str" cm="1">
        <f t="array" ref="K4981">IFERROR(IF($B4981=K$1, ($A4981+$C4981) - MAX(IF($B$2:$B4980=$B4981, $A$2:$A4980+$C$2:$C4980)), "")*24*60, "")</f>
        <v/>
      </c>
      <c r="L4981" s="24" t="str" cm="1">
        <f t="array" ref="L4981">IFERROR(IF($B4981=L$1, ($A4981+$C4981) - MAX(IF($B$2:$B4980=$B4981, $A$2:$A4980+$C$2:$C4980)), "")*24*60, "")</f>
        <v/>
      </c>
      <c r="M4981" s="24" t="str" cm="1">
        <f t="array" ref="M4981">IFERROR(IF($B4981=M$1, ($A4981+$C4981) - MAX(IF($B$2:$B4980=$B4981, $A$2:$A4980+$C$2:$C4980)), "")*24*60, "")</f>
        <v/>
      </c>
      <c r="N4981" s="24" t="str" cm="1">
        <f t="array" ref="N4981">IFERROR(IF($B4981=N$1, ($A4981+$C4981) - MAX(IF($B$2:$B4980=$B4981, $A$2:$A4980+$C$2:$C4980)), "")*24*60, "")</f>
        <v/>
      </c>
      <c r="O4981" s="24" t="str" cm="1">
        <f t="array" ref="O4981">IFERROR(IF($B4981=O$1, ($A4981+$C4981) - MAX(IF($B$2:$B4980=$B4981, $A$2:$A4980+$C$2:$C4980)), "")*24*60, "")</f>
        <v/>
      </c>
      <c r="P4981" s="24" t="str" cm="1">
        <f t="array" ref="P4981">IFERROR(IF($B4981=P$1, ($A4981+$C4981) - MAX(IF($B$2:$B4980=$B4981, $A$2:$A4980+$C$2:$C4980)), "")*24*60, "")</f>
        <v/>
      </c>
      <c r="Q4981" s="24" t="str" cm="1">
        <f t="array" ref="Q4981">IFERROR(IF($B4981=Q$1, ($A4981+$C4981) - MAX(IF($B$2:$B4980=$B4981, $A$2:$A4980+$C$2:$C4980)), "")*24*60, "")</f>
        <v/>
      </c>
    </row>
    <row r="4982" spans="1:17" x14ac:dyDescent="0.2">
      <c r="A4982" s="12">
        <f t="shared" ref="A4982:C4982" si="1317">A4981</f>
        <v>45980</v>
      </c>
      <c r="B4982" s="5" t="str">
        <f t="shared" si="1317"/>
        <v>Northern Cardinal</v>
      </c>
      <c r="C4982" s="6">
        <f t="shared" si="1317"/>
        <v>0.29166666666666669</v>
      </c>
      <c r="D4982" s="5"/>
      <c r="E4982" s="5"/>
      <c r="F4982" s="5" t="s">
        <v>8</v>
      </c>
      <c r="G4982" s="15" t="s">
        <v>9</v>
      </c>
      <c r="H4982" s="24">
        <f t="shared" ref="H4982:H5027" si="1318">IFERROR((($A4982+$C4982) - ($A4981+$C4981))*24*60, "")</f>
        <v>0</v>
      </c>
      <c r="I4982" s="24" cm="1">
        <f t="array" ref="I4982">IFERROR(IF($B4982=I$1, ($A4982+$C4982) - MAX(IF($B$2:$B4981=$B4982, $A$2:$A4981+$C$2:$C4981)), "")*24*60, "")</f>
        <v>0</v>
      </c>
      <c r="J4982" s="24" t="str" cm="1">
        <f t="array" ref="J4982">IFERROR(IF($B4982=J$1, ($A4982+$C4982) - MAX(IF($B$2:$B4981=$B4982, $A$2:$A4981+$C$2:$C4981)), "")*24*60, "")</f>
        <v/>
      </c>
      <c r="K4982" s="24" t="str" cm="1">
        <f t="array" ref="K4982">IFERROR(IF($B4982=K$1, ($A4982+$C4982) - MAX(IF($B$2:$B4981=$B4982, $A$2:$A4981+$C$2:$C4981)), "")*24*60, "")</f>
        <v/>
      </c>
      <c r="L4982" s="24" t="str" cm="1">
        <f t="array" ref="L4982">IFERROR(IF($B4982=L$1, ($A4982+$C4982) - MAX(IF($B$2:$B4981=$B4982, $A$2:$A4981+$C$2:$C4981)), "")*24*60, "")</f>
        <v/>
      </c>
      <c r="M4982" s="24" t="str" cm="1">
        <f t="array" ref="M4982">IFERROR(IF($B4982=M$1, ($A4982+$C4982) - MAX(IF($B$2:$B4981=$B4982, $A$2:$A4981+$C$2:$C4981)), "")*24*60, "")</f>
        <v/>
      </c>
      <c r="N4982" s="24" t="str" cm="1">
        <f t="array" ref="N4982">IFERROR(IF($B4982=N$1, ($A4982+$C4982) - MAX(IF($B$2:$B4981=$B4982, $A$2:$A4981+$C$2:$C4981)), "")*24*60, "")</f>
        <v/>
      </c>
      <c r="O4982" s="24" t="str" cm="1">
        <f t="array" ref="O4982">IFERROR(IF($B4982=O$1, ($A4982+$C4982) - MAX(IF($B$2:$B4981=$B4982, $A$2:$A4981+$C$2:$C4981)), "")*24*60, "")</f>
        <v/>
      </c>
      <c r="P4982" s="24" t="str" cm="1">
        <f t="array" ref="P4982">IFERROR(IF($B4982=P$1, ($A4982+$C4982) - MAX(IF($B$2:$B4981=$B4982, $A$2:$A4981+$C$2:$C4981)), "")*24*60, "")</f>
        <v/>
      </c>
      <c r="Q4982" s="24" t="str" cm="1">
        <f t="array" ref="Q4982">IFERROR(IF($B4982=Q$1, ($A4982+$C4982) - MAX(IF($B$2:$B4981=$B4982, $A$2:$A4981+$C$2:$C4981)), "")*24*60, "")</f>
        <v/>
      </c>
    </row>
    <row r="4983" spans="1:17" x14ac:dyDescent="0.2">
      <c r="A4983" s="12">
        <f t="shared" ref="A4983:C4983" si="1319">A4982</f>
        <v>45980</v>
      </c>
      <c r="B4983" s="5" t="str">
        <f t="shared" si="1319"/>
        <v>Northern Cardinal</v>
      </c>
      <c r="C4983" s="6">
        <f t="shared" si="1319"/>
        <v>0.29166666666666669</v>
      </c>
      <c r="D4983" s="5"/>
      <c r="E4983" s="5"/>
      <c r="F4983" s="5" t="s">
        <v>8</v>
      </c>
      <c r="G4983" s="15" t="s">
        <v>9</v>
      </c>
      <c r="H4983" s="24">
        <f t="shared" si="1318"/>
        <v>0</v>
      </c>
      <c r="I4983" s="24" cm="1">
        <f t="array" ref="I4983">IFERROR(IF($B4983=I$1, ($A4983+$C4983) - MAX(IF($B$2:$B4982=$B4983, $A$2:$A4982+$C$2:$C4982)), "")*24*60, "")</f>
        <v>0</v>
      </c>
      <c r="J4983" s="24" t="str" cm="1">
        <f t="array" ref="J4983">IFERROR(IF($B4983=J$1, ($A4983+$C4983) - MAX(IF($B$2:$B4982=$B4983, $A$2:$A4982+$C$2:$C4982)), "")*24*60, "")</f>
        <v/>
      </c>
      <c r="K4983" s="24" t="str" cm="1">
        <f t="array" ref="K4983">IFERROR(IF($B4983=K$1, ($A4983+$C4983) - MAX(IF($B$2:$B4982=$B4983, $A$2:$A4982+$C$2:$C4982)), "")*24*60, "")</f>
        <v/>
      </c>
      <c r="L4983" s="24" t="str" cm="1">
        <f t="array" ref="L4983">IFERROR(IF($B4983=L$1, ($A4983+$C4983) - MAX(IF($B$2:$B4982=$B4983, $A$2:$A4982+$C$2:$C4982)), "")*24*60, "")</f>
        <v/>
      </c>
      <c r="M4983" s="24" t="str" cm="1">
        <f t="array" ref="M4983">IFERROR(IF($B4983=M$1, ($A4983+$C4983) - MAX(IF($B$2:$B4982=$B4983, $A$2:$A4982+$C$2:$C4982)), "")*24*60, "")</f>
        <v/>
      </c>
      <c r="N4983" s="24" t="str" cm="1">
        <f t="array" ref="N4983">IFERROR(IF($B4983=N$1, ($A4983+$C4983) - MAX(IF($B$2:$B4982=$B4983, $A$2:$A4982+$C$2:$C4982)), "")*24*60, "")</f>
        <v/>
      </c>
      <c r="O4983" s="24" t="str" cm="1">
        <f t="array" ref="O4983">IFERROR(IF($B4983=O$1, ($A4983+$C4983) - MAX(IF($B$2:$B4982=$B4983, $A$2:$A4982+$C$2:$C4982)), "")*24*60, "")</f>
        <v/>
      </c>
      <c r="P4983" s="24" t="str" cm="1">
        <f t="array" ref="P4983">IFERROR(IF($B4983=P$1, ($A4983+$C4983) - MAX(IF($B$2:$B4982=$B4983, $A$2:$A4982+$C$2:$C4982)), "")*24*60, "")</f>
        <v/>
      </c>
      <c r="Q4983" s="24" t="str" cm="1">
        <f t="array" ref="Q4983">IFERROR(IF($B4983=Q$1, ($A4983+$C4983) - MAX(IF($B$2:$B4982=$B4983, $A$2:$A4982+$C$2:$C4982)), "")*24*60, "")</f>
        <v/>
      </c>
    </row>
    <row r="4984" spans="1:17" x14ac:dyDescent="0.2">
      <c r="A4984" s="12">
        <f t="shared" ref="A4984:C4984" si="1320">A4983</f>
        <v>45980</v>
      </c>
      <c r="B4984" s="5" t="str">
        <f t="shared" si="1320"/>
        <v>Northern Cardinal</v>
      </c>
      <c r="C4984" s="6">
        <f t="shared" si="1320"/>
        <v>0.29166666666666669</v>
      </c>
      <c r="D4984" s="5"/>
      <c r="E4984" s="5"/>
      <c r="F4984" s="5" t="s">
        <v>8</v>
      </c>
      <c r="G4984" s="15" t="s">
        <v>9</v>
      </c>
      <c r="H4984" s="24">
        <f t="shared" si="1318"/>
        <v>0</v>
      </c>
      <c r="I4984" s="24" cm="1">
        <f t="array" ref="I4984">IFERROR(IF($B4984=I$1, ($A4984+$C4984) - MAX(IF($B$2:$B4983=$B4984, $A$2:$A4983+$C$2:$C4983)), "")*24*60, "")</f>
        <v>0</v>
      </c>
      <c r="J4984" s="24" t="str" cm="1">
        <f t="array" ref="J4984">IFERROR(IF($B4984=J$1, ($A4984+$C4984) - MAX(IF($B$2:$B4983=$B4984, $A$2:$A4983+$C$2:$C4983)), "")*24*60, "")</f>
        <v/>
      </c>
      <c r="K4984" s="24" t="str" cm="1">
        <f t="array" ref="K4984">IFERROR(IF($B4984=K$1, ($A4984+$C4984) - MAX(IF($B$2:$B4983=$B4984, $A$2:$A4983+$C$2:$C4983)), "")*24*60, "")</f>
        <v/>
      </c>
      <c r="L4984" s="24" t="str" cm="1">
        <f t="array" ref="L4984">IFERROR(IF($B4984=L$1, ($A4984+$C4984) - MAX(IF($B$2:$B4983=$B4984, $A$2:$A4983+$C$2:$C4983)), "")*24*60, "")</f>
        <v/>
      </c>
      <c r="M4984" s="24" t="str" cm="1">
        <f t="array" ref="M4984">IFERROR(IF($B4984=M$1, ($A4984+$C4984) - MAX(IF($B$2:$B4983=$B4984, $A$2:$A4983+$C$2:$C4983)), "")*24*60, "")</f>
        <v/>
      </c>
      <c r="N4984" s="24" t="str" cm="1">
        <f t="array" ref="N4984">IFERROR(IF($B4984=N$1, ($A4984+$C4984) - MAX(IF($B$2:$B4983=$B4984, $A$2:$A4983+$C$2:$C4983)), "")*24*60, "")</f>
        <v/>
      </c>
      <c r="O4984" s="24" t="str" cm="1">
        <f t="array" ref="O4984">IFERROR(IF($B4984=O$1, ($A4984+$C4984) - MAX(IF($B$2:$B4983=$B4984, $A$2:$A4983+$C$2:$C4983)), "")*24*60, "")</f>
        <v/>
      </c>
      <c r="P4984" s="24" t="str" cm="1">
        <f t="array" ref="P4984">IFERROR(IF($B4984=P$1, ($A4984+$C4984) - MAX(IF($B$2:$B4983=$B4984, $A$2:$A4983+$C$2:$C4983)), "")*24*60, "")</f>
        <v/>
      </c>
      <c r="Q4984" s="24" t="str" cm="1">
        <f t="array" ref="Q4984">IFERROR(IF($B4984=Q$1, ($A4984+$C4984) - MAX(IF($B$2:$B4983=$B4984, $A$2:$A4983+$C$2:$C4983)), "")*24*60, "")</f>
        <v/>
      </c>
    </row>
    <row r="4985" spans="1:17" x14ac:dyDescent="0.2">
      <c r="A4985" s="12">
        <f t="shared" ref="A4985:C4985" si="1321">A4984</f>
        <v>45980</v>
      </c>
      <c r="B4985" s="5" t="str">
        <f t="shared" si="1321"/>
        <v>Northern Cardinal</v>
      </c>
      <c r="C4985" s="6">
        <f t="shared" si="1321"/>
        <v>0.29166666666666669</v>
      </c>
      <c r="D4985" s="5"/>
      <c r="E4985" s="5"/>
      <c r="F4985" s="5" t="s">
        <v>8</v>
      </c>
      <c r="G4985" s="15" t="s">
        <v>9</v>
      </c>
      <c r="H4985" s="24">
        <f t="shared" si="1318"/>
        <v>0</v>
      </c>
      <c r="I4985" s="24" cm="1">
        <f t="array" ref="I4985">IFERROR(IF($B4985=I$1, ($A4985+$C4985) - MAX(IF($B$2:$B4984=$B4985, $A$2:$A4984+$C$2:$C4984)), "")*24*60, "")</f>
        <v>0</v>
      </c>
      <c r="J4985" s="24" t="str" cm="1">
        <f t="array" ref="J4985">IFERROR(IF($B4985=J$1, ($A4985+$C4985) - MAX(IF($B$2:$B4984=$B4985, $A$2:$A4984+$C$2:$C4984)), "")*24*60, "")</f>
        <v/>
      </c>
      <c r="K4985" s="24" t="str" cm="1">
        <f t="array" ref="K4985">IFERROR(IF($B4985=K$1, ($A4985+$C4985) - MAX(IF($B$2:$B4984=$B4985, $A$2:$A4984+$C$2:$C4984)), "")*24*60, "")</f>
        <v/>
      </c>
      <c r="L4985" s="24" t="str" cm="1">
        <f t="array" ref="L4985">IFERROR(IF($B4985=L$1, ($A4985+$C4985) - MAX(IF($B$2:$B4984=$B4985, $A$2:$A4984+$C$2:$C4984)), "")*24*60, "")</f>
        <v/>
      </c>
      <c r="M4985" s="24" t="str" cm="1">
        <f t="array" ref="M4985">IFERROR(IF($B4985=M$1, ($A4985+$C4985) - MAX(IF($B$2:$B4984=$B4985, $A$2:$A4984+$C$2:$C4984)), "")*24*60, "")</f>
        <v/>
      </c>
      <c r="N4985" s="24" t="str" cm="1">
        <f t="array" ref="N4985">IFERROR(IF($B4985=N$1, ($A4985+$C4985) - MAX(IF($B$2:$B4984=$B4985, $A$2:$A4984+$C$2:$C4984)), "")*24*60, "")</f>
        <v/>
      </c>
      <c r="O4985" s="24" t="str" cm="1">
        <f t="array" ref="O4985">IFERROR(IF($B4985=O$1, ($A4985+$C4985) - MAX(IF($B$2:$B4984=$B4985, $A$2:$A4984+$C$2:$C4984)), "")*24*60, "")</f>
        <v/>
      </c>
      <c r="P4985" s="24" t="str" cm="1">
        <f t="array" ref="P4985">IFERROR(IF($B4985=P$1, ($A4985+$C4985) - MAX(IF($B$2:$B4984=$B4985, $A$2:$A4984+$C$2:$C4984)), "")*24*60, "")</f>
        <v/>
      </c>
      <c r="Q4985" s="24" t="str" cm="1">
        <f t="array" ref="Q4985">IFERROR(IF($B4985=Q$1, ($A4985+$C4985) - MAX(IF($B$2:$B4984=$B4985, $A$2:$A4984+$C$2:$C4984)), "")*24*60, "")</f>
        <v/>
      </c>
    </row>
    <row r="4986" spans="1:17" x14ac:dyDescent="0.2">
      <c r="A4986" s="12">
        <f t="shared" ref="A4986:C4986" si="1322">A4985</f>
        <v>45980</v>
      </c>
      <c r="B4986" s="5" t="str">
        <f t="shared" si="1322"/>
        <v>Northern Cardinal</v>
      </c>
      <c r="C4986" s="6">
        <f t="shared" si="1322"/>
        <v>0.29166666666666669</v>
      </c>
      <c r="D4986" s="5"/>
      <c r="E4986" s="5"/>
      <c r="F4986" s="5" t="s">
        <v>8</v>
      </c>
      <c r="G4986" s="15" t="s">
        <v>9</v>
      </c>
      <c r="H4986" s="24">
        <f t="shared" si="1318"/>
        <v>0</v>
      </c>
      <c r="I4986" s="24" cm="1">
        <f t="array" ref="I4986">IFERROR(IF($B4986=I$1, ($A4986+$C4986) - MAX(IF($B$2:$B4985=$B4986, $A$2:$A4985+$C$2:$C4985)), "")*24*60, "")</f>
        <v>0</v>
      </c>
      <c r="J4986" s="24" t="str" cm="1">
        <f t="array" ref="J4986">IFERROR(IF($B4986=J$1, ($A4986+$C4986) - MAX(IF($B$2:$B4985=$B4986, $A$2:$A4985+$C$2:$C4985)), "")*24*60, "")</f>
        <v/>
      </c>
      <c r="K4986" s="24" t="str" cm="1">
        <f t="array" ref="K4986">IFERROR(IF($B4986=K$1, ($A4986+$C4986) - MAX(IF($B$2:$B4985=$B4986, $A$2:$A4985+$C$2:$C4985)), "")*24*60, "")</f>
        <v/>
      </c>
      <c r="L4986" s="24" t="str" cm="1">
        <f t="array" ref="L4986">IFERROR(IF($B4986=L$1, ($A4986+$C4986) - MAX(IF($B$2:$B4985=$B4986, $A$2:$A4985+$C$2:$C4985)), "")*24*60, "")</f>
        <v/>
      </c>
      <c r="M4986" s="24" t="str" cm="1">
        <f t="array" ref="M4986">IFERROR(IF($B4986=M$1, ($A4986+$C4986) - MAX(IF($B$2:$B4985=$B4986, $A$2:$A4985+$C$2:$C4985)), "")*24*60, "")</f>
        <v/>
      </c>
      <c r="N4986" s="24" t="str" cm="1">
        <f t="array" ref="N4986">IFERROR(IF($B4986=N$1, ($A4986+$C4986) - MAX(IF($B$2:$B4985=$B4986, $A$2:$A4985+$C$2:$C4985)), "")*24*60, "")</f>
        <v/>
      </c>
      <c r="O4986" s="24" t="str" cm="1">
        <f t="array" ref="O4986">IFERROR(IF($B4986=O$1, ($A4986+$C4986) - MAX(IF($B$2:$B4985=$B4986, $A$2:$A4985+$C$2:$C4985)), "")*24*60, "")</f>
        <v/>
      </c>
      <c r="P4986" s="24" t="str" cm="1">
        <f t="array" ref="P4986">IFERROR(IF($B4986=P$1, ($A4986+$C4986) - MAX(IF($B$2:$B4985=$B4986, $A$2:$A4985+$C$2:$C4985)), "")*24*60, "")</f>
        <v/>
      </c>
      <c r="Q4986" s="24" t="str" cm="1">
        <f t="array" ref="Q4986">IFERROR(IF($B4986=Q$1, ($A4986+$C4986) - MAX(IF($B$2:$B4985=$B4986, $A$2:$A4985+$C$2:$C4985)), "")*24*60, "")</f>
        <v/>
      </c>
    </row>
    <row r="4987" spans="1:17" x14ac:dyDescent="0.2">
      <c r="A4987" s="12">
        <f t="shared" ref="A4987:C4987" si="1323">A4986</f>
        <v>45980</v>
      </c>
      <c r="B4987" s="5" t="str">
        <f t="shared" si="1323"/>
        <v>Northern Cardinal</v>
      </c>
      <c r="C4987" s="6">
        <f t="shared" si="1323"/>
        <v>0.29166666666666669</v>
      </c>
      <c r="D4987" s="5"/>
      <c r="E4987" s="5"/>
      <c r="F4987" s="5" t="s">
        <v>8</v>
      </c>
      <c r="G4987" s="15" t="s">
        <v>9</v>
      </c>
      <c r="H4987" s="24">
        <f t="shared" si="1318"/>
        <v>0</v>
      </c>
      <c r="I4987" s="24" cm="1">
        <f t="array" ref="I4987">IFERROR(IF($B4987=I$1, ($A4987+$C4987) - MAX(IF($B$2:$B4986=$B4987, $A$2:$A4986+$C$2:$C4986)), "")*24*60, "")</f>
        <v>0</v>
      </c>
      <c r="J4987" s="24" t="str" cm="1">
        <f t="array" ref="J4987">IFERROR(IF($B4987=J$1, ($A4987+$C4987) - MAX(IF($B$2:$B4986=$B4987, $A$2:$A4986+$C$2:$C4986)), "")*24*60, "")</f>
        <v/>
      </c>
      <c r="K4987" s="24" t="str" cm="1">
        <f t="array" ref="K4987">IFERROR(IF($B4987=K$1, ($A4987+$C4987) - MAX(IF($B$2:$B4986=$B4987, $A$2:$A4986+$C$2:$C4986)), "")*24*60, "")</f>
        <v/>
      </c>
      <c r="L4987" s="24" t="str" cm="1">
        <f t="array" ref="L4987">IFERROR(IF($B4987=L$1, ($A4987+$C4987) - MAX(IF($B$2:$B4986=$B4987, $A$2:$A4986+$C$2:$C4986)), "")*24*60, "")</f>
        <v/>
      </c>
      <c r="M4987" s="24" t="str" cm="1">
        <f t="array" ref="M4987">IFERROR(IF($B4987=M$1, ($A4987+$C4987) - MAX(IF($B$2:$B4986=$B4987, $A$2:$A4986+$C$2:$C4986)), "")*24*60, "")</f>
        <v/>
      </c>
      <c r="N4987" s="24" t="str" cm="1">
        <f t="array" ref="N4987">IFERROR(IF($B4987=N$1, ($A4987+$C4987) - MAX(IF($B$2:$B4986=$B4987, $A$2:$A4986+$C$2:$C4986)), "")*24*60, "")</f>
        <v/>
      </c>
      <c r="O4987" s="24" t="str" cm="1">
        <f t="array" ref="O4987">IFERROR(IF($B4987=O$1, ($A4987+$C4987) - MAX(IF($B$2:$B4986=$B4987, $A$2:$A4986+$C$2:$C4986)), "")*24*60, "")</f>
        <v/>
      </c>
      <c r="P4987" s="24" t="str" cm="1">
        <f t="array" ref="P4987">IFERROR(IF($B4987=P$1, ($A4987+$C4987) - MAX(IF($B$2:$B4986=$B4987, $A$2:$A4986+$C$2:$C4986)), "")*24*60, "")</f>
        <v/>
      </c>
      <c r="Q4987" s="24" t="str" cm="1">
        <f t="array" ref="Q4987">IFERROR(IF($B4987=Q$1, ($A4987+$C4987) - MAX(IF($B$2:$B4986=$B4987, $A$2:$A4986+$C$2:$C4986)), "")*24*60, "")</f>
        <v/>
      </c>
    </row>
    <row r="4988" spans="1:17" x14ac:dyDescent="0.2">
      <c r="A4988" s="12">
        <f t="shared" ref="A4988:C4988" si="1324">A4987</f>
        <v>45980</v>
      </c>
      <c r="B4988" s="5" t="str">
        <f t="shared" si="1324"/>
        <v>Northern Cardinal</v>
      </c>
      <c r="C4988" s="6">
        <f t="shared" si="1324"/>
        <v>0.29166666666666669</v>
      </c>
      <c r="D4988" s="5"/>
      <c r="E4988" s="5"/>
      <c r="F4988" s="5" t="s">
        <v>8</v>
      </c>
      <c r="G4988" s="15" t="s">
        <v>9</v>
      </c>
      <c r="H4988" s="24">
        <f t="shared" si="1318"/>
        <v>0</v>
      </c>
      <c r="I4988" s="24" cm="1">
        <f t="array" ref="I4988">IFERROR(IF($B4988=I$1, ($A4988+$C4988) - MAX(IF($B$2:$B4987=$B4988, $A$2:$A4987+$C$2:$C4987)), "")*24*60, "")</f>
        <v>0</v>
      </c>
      <c r="J4988" s="24" t="str" cm="1">
        <f t="array" ref="J4988">IFERROR(IF($B4988=J$1, ($A4988+$C4988) - MAX(IF($B$2:$B4987=$B4988, $A$2:$A4987+$C$2:$C4987)), "")*24*60, "")</f>
        <v/>
      </c>
      <c r="K4988" s="24" t="str" cm="1">
        <f t="array" ref="K4988">IFERROR(IF($B4988=K$1, ($A4988+$C4988) - MAX(IF($B$2:$B4987=$B4988, $A$2:$A4987+$C$2:$C4987)), "")*24*60, "")</f>
        <v/>
      </c>
      <c r="L4988" s="24" t="str" cm="1">
        <f t="array" ref="L4988">IFERROR(IF($B4988=L$1, ($A4988+$C4988) - MAX(IF($B$2:$B4987=$B4988, $A$2:$A4987+$C$2:$C4987)), "")*24*60, "")</f>
        <v/>
      </c>
      <c r="M4988" s="24" t="str" cm="1">
        <f t="array" ref="M4988">IFERROR(IF($B4988=M$1, ($A4988+$C4988) - MAX(IF($B$2:$B4987=$B4988, $A$2:$A4987+$C$2:$C4987)), "")*24*60, "")</f>
        <v/>
      </c>
      <c r="N4988" s="24" t="str" cm="1">
        <f t="array" ref="N4988">IFERROR(IF($B4988=N$1, ($A4988+$C4988) - MAX(IF($B$2:$B4987=$B4988, $A$2:$A4987+$C$2:$C4987)), "")*24*60, "")</f>
        <v/>
      </c>
      <c r="O4988" s="24" t="str" cm="1">
        <f t="array" ref="O4988">IFERROR(IF($B4988=O$1, ($A4988+$C4988) - MAX(IF($B$2:$B4987=$B4988, $A$2:$A4987+$C$2:$C4987)), "")*24*60, "")</f>
        <v/>
      </c>
      <c r="P4988" s="24" t="str" cm="1">
        <f t="array" ref="P4988">IFERROR(IF($B4988=P$1, ($A4988+$C4988) - MAX(IF($B$2:$B4987=$B4988, $A$2:$A4987+$C$2:$C4987)), "")*24*60, "")</f>
        <v/>
      </c>
      <c r="Q4988" s="24" t="str" cm="1">
        <f t="array" ref="Q4988">IFERROR(IF($B4988=Q$1, ($A4988+$C4988) - MAX(IF($B$2:$B4987=$B4988, $A$2:$A4987+$C$2:$C4987)), "")*24*60, "")</f>
        <v/>
      </c>
    </row>
    <row r="4989" spans="1:17" x14ac:dyDescent="0.2">
      <c r="A4989" s="12">
        <f t="shared" ref="A4989:C4989" si="1325">A4988</f>
        <v>45980</v>
      </c>
      <c r="B4989" s="5" t="str">
        <f t="shared" si="1325"/>
        <v>Northern Cardinal</v>
      </c>
      <c r="C4989" s="6">
        <f t="shared" si="1325"/>
        <v>0.29166666666666669</v>
      </c>
      <c r="D4989" s="5"/>
      <c r="E4989" s="5"/>
      <c r="F4989" s="5" t="s">
        <v>8</v>
      </c>
      <c r="G4989" s="15" t="s">
        <v>9</v>
      </c>
      <c r="H4989" s="24">
        <f t="shared" si="1318"/>
        <v>0</v>
      </c>
      <c r="I4989" s="24" cm="1">
        <f t="array" ref="I4989">IFERROR(IF($B4989=I$1, ($A4989+$C4989) - MAX(IF($B$2:$B4988=$B4989, $A$2:$A4988+$C$2:$C4988)), "")*24*60, "")</f>
        <v>0</v>
      </c>
      <c r="J4989" s="24" t="str" cm="1">
        <f t="array" ref="J4989">IFERROR(IF($B4989=J$1, ($A4989+$C4989) - MAX(IF($B$2:$B4988=$B4989, $A$2:$A4988+$C$2:$C4988)), "")*24*60, "")</f>
        <v/>
      </c>
      <c r="K4989" s="24" t="str" cm="1">
        <f t="array" ref="K4989">IFERROR(IF($B4989=K$1, ($A4989+$C4989) - MAX(IF($B$2:$B4988=$B4989, $A$2:$A4988+$C$2:$C4988)), "")*24*60, "")</f>
        <v/>
      </c>
      <c r="L4989" s="24" t="str" cm="1">
        <f t="array" ref="L4989">IFERROR(IF($B4989=L$1, ($A4989+$C4989) - MAX(IF($B$2:$B4988=$B4989, $A$2:$A4988+$C$2:$C4988)), "")*24*60, "")</f>
        <v/>
      </c>
      <c r="M4989" s="24" t="str" cm="1">
        <f t="array" ref="M4989">IFERROR(IF($B4989=M$1, ($A4989+$C4989) - MAX(IF($B$2:$B4988=$B4989, $A$2:$A4988+$C$2:$C4988)), "")*24*60, "")</f>
        <v/>
      </c>
      <c r="N4989" s="24" t="str" cm="1">
        <f t="array" ref="N4989">IFERROR(IF($B4989=N$1, ($A4989+$C4989) - MAX(IF($B$2:$B4988=$B4989, $A$2:$A4988+$C$2:$C4988)), "")*24*60, "")</f>
        <v/>
      </c>
      <c r="O4989" s="24" t="str" cm="1">
        <f t="array" ref="O4989">IFERROR(IF($B4989=O$1, ($A4989+$C4989) - MAX(IF($B$2:$B4988=$B4989, $A$2:$A4988+$C$2:$C4988)), "")*24*60, "")</f>
        <v/>
      </c>
      <c r="P4989" s="24" t="str" cm="1">
        <f t="array" ref="P4989">IFERROR(IF($B4989=P$1, ($A4989+$C4989) - MAX(IF($B$2:$B4988=$B4989, $A$2:$A4988+$C$2:$C4988)), "")*24*60, "")</f>
        <v/>
      </c>
      <c r="Q4989" s="24" t="str" cm="1">
        <f t="array" ref="Q4989">IFERROR(IF($B4989=Q$1, ($A4989+$C4989) - MAX(IF($B$2:$B4988=$B4989, $A$2:$A4988+$C$2:$C4988)), "")*24*60, "")</f>
        <v/>
      </c>
    </row>
    <row r="4990" spans="1:17" x14ac:dyDescent="0.2">
      <c r="A4990" s="12">
        <f t="shared" ref="A4990:C4990" si="1326">A4989</f>
        <v>45980</v>
      </c>
      <c r="B4990" s="5" t="str">
        <f t="shared" si="1326"/>
        <v>Northern Cardinal</v>
      </c>
      <c r="C4990" s="6">
        <f t="shared" si="1326"/>
        <v>0.29166666666666669</v>
      </c>
      <c r="D4990" s="5"/>
      <c r="E4990" s="5"/>
      <c r="F4990" s="5" t="s">
        <v>8</v>
      </c>
      <c r="G4990" s="15" t="s">
        <v>9</v>
      </c>
      <c r="H4990" s="24">
        <f t="shared" si="1318"/>
        <v>0</v>
      </c>
      <c r="I4990" s="24" cm="1">
        <f t="array" ref="I4990">IFERROR(IF($B4990=I$1, ($A4990+$C4990) - MAX(IF($B$2:$B4989=$B4990, $A$2:$A4989+$C$2:$C4989)), "")*24*60, "")</f>
        <v>0</v>
      </c>
      <c r="J4990" s="24" t="str" cm="1">
        <f t="array" ref="J4990">IFERROR(IF($B4990=J$1, ($A4990+$C4990) - MAX(IF($B$2:$B4989=$B4990, $A$2:$A4989+$C$2:$C4989)), "")*24*60, "")</f>
        <v/>
      </c>
      <c r="K4990" s="24" t="str" cm="1">
        <f t="array" ref="K4990">IFERROR(IF($B4990=K$1, ($A4990+$C4990) - MAX(IF($B$2:$B4989=$B4990, $A$2:$A4989+$C$2:$C4989)), "")*24*60, "")</f>
        <v/>
      </c>
      <c r="L4990" s="24" t="str" cm="1">
        <f t="array" ref="L4990">IFERROR(IF($B4990=L$1, ($A4990+$C4990) - MAX(IF($B$2:$B4989=$B4990, $A$2:$A4989+$C$2:$C4989)), "")*24*60, "")</f>
        <v/>
      </c>
      <c r="M4990" s="24" t="str" cm="1">
        <f t="array" ref="M4990">IFERROR(IF($B4990=M$1, ($A4990+$C4990) - MAX(IF($B$2:$B4989=$B4990, $A$2:$A4989+$C$2:$C4989)), "")*24*60, "")</f>
        <v/>
      </c>
      <c r="N4990" s="24" t="str" cm="1">
        <f t="array" ref="N4990">IFERROR(IF($B4990=N$1, ($A4990+$C4990) - MAX(IF($B$2:$B4989=$B4990, $A$2:$A4989+$C$2:$C4989)), "")*24*60, "")</f>
        <v/>
      </c>
      <c r="O4990" s="24" t="str" cm="1">
        <f t="array" ref="O4990">IFERROR(IF($B4990=O$1, ($A4990+$C4990) - MAX(IF($B$2:$B4989=$B4990, $A$2:$A4989+$C$2:$C4989)), "")*24*60, "")</f>
        <v/>
      </c>
      <c r="P4990" s="24" t="str" cm="1">
        <f t="array" ref="P4990">IFERROR(IF($B4990=P$1, ($A4990+$C4990) - MAX(IF($B$2:$B4989=$B4990, $A$2:$A4989+$C$2:$C4989)), "")*24*60, "")</f>
        <v/>
      </c>
      <c r="Q4990" s="24" t="str" cm="1">
        <f t="array" ref="Q4990">IFERROR(IF($B4990=Q$1, ($A4990+$C4990) - MAX(IF($B$2:$B4989=$B4990, $A$2:$A4989+$C$2:$C4989)), "")*24*60, "")</f>
        <v/>
      </c>
    </row>
    <row r="4991" spans="1:17" x14ac:dyDescent="0.2">
      <c r="A4991" s="12">
        <f t="shared" ref="A4991:C4991" si="1327">A4990</f>
        <v>45980</v>
      </c>
      <c r="B4991" s="5" t="str">
        <f t="shared" si="1327"/>
        <v>Northern Cardinal</v>
      </c>
      <c r="C4991" s="6">
        <f t="shared" si="1327"/>
        <v>0.29166666666666669</v>
      </c>
      <c r="D4991" s="5"/>
      <c r="E4991" s="5"/>
      <c r="F4991" s="5" t="s">
        <v>8</v>
      </c>
      <c r="G4991" s="15" t="s">
        <v>9</v>
      </c>
      <c r="H4991" s="24">
        <f t="shared" si="1318"/>
        <v>0</v>
      </c>
      <c r="I4991" s="24" cm="1">
        <f t="array" ref="I4991">IFERROR(IF($B4991=I$1, ($A4991+$C4991) - MAX(IF($B$2:$B4990=$B4991, $A$2:$A4990+$C$2:$C4990)), "")*24*60, "")</f>
        <v>0</v>
      </c>
      <c r="J4991" s="24" t="str" cm="1">
        <f t="array" ref="J4991">IFERROR(IF($B4991=J$1, ($A4991+$C4991) - MAX(IF($B$2:$B4990=$B4991, $A$2:$A4990+$C$2:$C4990)), "")*24*60, "")</f>
        <v/>
      </c>
      <c r="K4991" s="24" t="str" cm="1">
        <f t="array" ref="K4991">IFERROR(IF($B4991=K$1, ($A4991+$C4991) - MAX(IF($B$2:$B4990=$B4991, $A$2:$A4990+$C$2:$C4990)), "")*24*60, "")</f>
        <v/>
      </c>
      <c r="L4991" s="24" t="str" cm="1">
        <f t="array" ref="L4991">IFERROR(IF($B4991=L$1, ($A4991+$C4991) - MAX(IF($B$2:$B4990=$B4991, $A$2:$A4990+$C$2:$C4990)), "")*24*60, "")</f>
        <v/>
      </c>
      <c r="M4991" s="24" t="str" cm="1">
        <f t="array" ref="M4991">IFERROR(IF($B4991=M$1, ($A4991+$C4991) - MAX(IF($B$2:$B4990=$B4991, $A$2:$A4990+$C$2:$C4990)), "")*24*60, "")</f>
        <v/>
      </c>
      <c r="N4991" s="24" t="str" cm="1">
        <f t="array" ref="N4991">IFERROR(IF($B4991=N$1, ($A4991+$C4991) - MAX(IF($B$2:$B4990=$B4991, $A$2:$A4990+$C$2:$C4990)), "")*24*60, "")</f>
        <v/>
      </c>
      <c r="O4991" s="24" t="str" cm="1">
        <f t="array" ref="O4991">IFERROR(IF($B4991=O$1, ($A4991+$C4991) - MAX(IF($B$2:$B4990=$B4991, $A$2:$A4990+$C$2:$C4990)), "")*24*60, "")</f>
        <v/>
      </c>
      <c r="P4991" s="24" t="str" cm="1">
        <f t="array" ref="P4991">IFERROR(IF($B4991=P$1, ($A4991+$C4991) - MAX(IF($B$2:$B4990=$B4991, $A$2:$A4990+$C$2:$C4990)), "")*24*60, "")</f>
        <v/>
      </c>
      <c r="Q4991" s="24" t="str" cm="1">
        <f t="array" ref="Q4991">IFERROR(IF($B4991=Q$1, ($A4991+$C4991) - MAX(IF($B$2:$B4990=$B4991, $A$2:$A4990+$C$2:$C4990)), "")*24*60, "")</f>
        <v/>
      </c>
    </row>
    <row r="4992" spans="1:17" x14ac:dyDescent="0.2">
      <c r="A4992" s="12">
        <f t="shared" ref="A4992:C4992" si="1328">A4991</f>
        <v>45980</v>
      </c>
      <c r="B4992" s="5" t="str">
        <f t="shared" si="1328"/>
        <v>Northern Cardinal</v>
      </c>
      <c r="C4992" s="6">
        <f t="shared" si="1328"/>
        <v>0.29166666666666669</v>
      </c>
      <c r="D4992" s="5"/>
      <c r="E4992" s="5"/>
      <c r="F4992" s="5" t="s">
        <v>8</v>
      </c>
      <c r="G4992" s="15" t="s">
        <v>9</v>
      </c>
      <c r="H4992" s="24">
        <f t="shared" si="1318"/>
        <v>0</v>
      </c>
      <c r="I4992" s="24" cm="1">
        <f t="array" ref="I4992">IFERROR(IF($B4992=I$1, ($A4992+$C4992) - MAX(IF($B$2:$B4991=$B4992, $A$2:$A4991+$C$2:$C4991)), "")*24*60, "")</f>
        <v>0</v>
      </c>
      <c r="J4992" s="24" t="str" cm="1">
        <f t="array" ref="J4992">IFERROR(IF($B4992=J$1, ($A4992+$C4992) - MAX(IF($B$2:$B4991=$B4992, $A$2:$A4991+$C$2:$C4991)), "")*24*60, "")</f>
        <v/>
      </c>
      <c r="K4992" s="24" t="str" cm="1">
        <f t="array" ref="K4992">IFERROR(IF($B4992=K$1, ($A4992+$C4992) - MAX(IF($B$2:$B4991=$B4992, $A$2:$A4991+$C$2:$C4991)), "")*24*60, "")</f>
        <v/>
      </c>
      <c r="L4992" s="24" t="str" cm="1">
        <f t="array" ref="L4992">IFERROR(IF($B4992=L$1, ($A4992+$C4992) - MAX(IF($B$2:$B4991=$B4992, $A$2:$A4991+$C$2:$C4991)), "")*24*60, "")</f>
        <v/>
      </c>
      <c r="M4992" s="24" t="str" cm="1">
        <f t="array" ref="M4992">IFERROR(IF($B4992=M$1, ($A4992+$C4992) - MAX(IF($B$2:$B4991=$B4992, $A$2:$A4991+$C$2:$C4991)), "")*24*60, "")</f>
        <v/>
      </c>
      <c r="N4992" s="24" t="str" cm="1">
        <f t="array" ref="N4992">IFERROR(IF($B4992=N$1, ($A4992+$C4992) - MAX(IF($B$2:$B4991=$B4992, $A$2:$A4991+$C$2:$C4991)), "")*24*60, "")</f>
        <v/>
      </c>
      <c r="O4992" s="24" t="str" cm="1">
        <f t="array" ref="O4992">IFERROR(IF($B4992=O$1, ($A4992+$C4992) - MAX(IF($B$2:$B4991=$B4992, $A$2:$A4991+$C$2:$C4991)), "")*24*60, "")</f>
        <v/>
      </c>
      <c r="P4992" s="24" t="str" cm="1">
        <f t="array" ref="P4992">IFERROR(IF($B4992=P$1, ($A4992+$C4992) - MAX(IF($B$2:$B4991=$B4992, $A$2:$A4991+$C$2:$C4991)), "")*24*60, "")</f>
        <v/>
      </c>
      <c r="Q4992" s="24" t="str" cm="1">
        <f t="array" ref="Q4992">IFERROR(IF($B4992=Q$1, ($A4992+$C4992) - MAX(IF($B$2:$B4991=$B4992, $A$2:$A4991+$C$2:$C4991)), "")*24*60, "")</f>
        <v/>
      </c>
    </row>
    <row r="4993" spans="1:17" x14ac:dyDescent="0.2">
      <c r="A4993" s="12">
        <f t="shared" ref="A4993:C4993" si="1329">A4992</f>
        <v>45980</v>
      </c>
      <c r="B4993" s="5" t="str">
        <f t="shared" si="1329"/>
        <v>Northern Cardinal</v>
      </c>
      <c r="C4993" s="6">
        <f t="shared" si="1329"/>
        <v>0.29166666666666669</v>
      </c>
      <c r="D4993" s="5"/>
      <c r="E4993" s="5"/>
      <c r="F4993" s="5" t="s">
        <v>8</v>
      </c>
      <c r="G4993" s="15" t="s">
        <v>9</v>
      </c>
      <c r="H4993" s="24">
        <f t="shared" si="1318"/>
        <v>0</v>
      </c>
      <c r="I4993" s="24" cm="1">
        <f t="array" ref="I4993">IFERROR(IF($B4993=I$1, ($A4993+$C4993) - MAX(IF($B$2:$B4992=$B4993, $A$2:$A4992+$C$2:$C4992)), "")*24*60, "")</f>
        <v>0</v>
      </c>
      <c r="J4993" s="24" t="str" cm="1">
        <f t="array" ref="J4993">IFERROR(IF($B4993=J$1, ($A4993+$C4993) - MAX(IF($B$2:$B4992=$B4993, $A$2:$A4992+$C$2:$C4992)), "")*24*60, "")</f>
        <v/>
      </c>
      <c r="K4993" s="24" t="str" cm="1">
        <f t="array" ref="K4993">IFERROR(IF($B4993=K$1, ($A4993+$C4993) - MAX(IF($B$2:$B4992=$B4993, $A$2:$A4992+$C$2:$C4992)), "")*24*60, "")</f>
        <v/>
      </c>
      <c r="L4993" s="24" t="str" cm="1">
        <f t="array" ref="L4993">IFERROR(IF($B4993=L$1, ($A4993+$C4993) - MAX(IF($B$2:$B4992=$B4993, $A$2:$A4992+$C$2:$C4992)), "")*24*60, "")</f>
        <v/>
      </c>
      <c r="M4993" s="24" t="str" cm="1">
        <f t="array" ref="M4993">IFERROR(IF($B4993=M$1, ($A4993+$C4993) - MAX(IF($B$2:$B4992=$B4993, $A$2:$A4992+$C$2:$C4992)), "")*24*60, "")</f>
        <v/>
      </c>
      <c r="N4993" s="24" t="str" cm="1">
        <f t="array" ref="N4993">IFERROR(IF($B4993=N$1, ($A4993+$C4993) - MAX(IF($B$2:$B4992=$B4993, $A$2:$A4992+$C$2:$C4992)), "")*24*60, "")</f>
        <v/>
      </c>
      <c r="O4993" s="24" t="str" cm="1">
        <f t="array" ref="O4993">IFERROR(IF($B4993=O$1, ($A4993+$C4993) - MAX(IF($B$2:$B4992=$B4993, $A$2:$A4992+$C$2:$C4992)), "")*24*60, "")</f>
        <v/>
      </c>
      <c r="P4993" s="24" t="str" cm="1">
        <f t="array" ref="P4993">IFERROR(IF($B4993=P$1, ($A4993+$C4993) - MAX(IF($B$2:$B4992=$B4993, $A$2:$A4992+$C$2:$C4992)), "")*24*60, "")</f>
        <v/>
      </c>
      <c r="Q4993" s="24" t="str" cm="1">
        <f t="array" ref="Q4993">IFERROR(IF($B4993=Q$1, ($A4993+$C4993) - MAX(IF($B$2:$B4992=$B4993, $A$2:$A4992+$C$2:$C4992)), "")*24*60, "")</f>
        <v/>
      </c>
    </row>
    <row r="4994" spans="1:17" x14ac:dyDescent="0.2">
      <c r="A4994" s="12">
        <f t="shared" ref="A4994:C4994" si="1330">A4993</f>
        <v>45980</v>
      </c>
      <c r="B4994" s="5" t="str">
        <f t="shared" si="1330"/>
        <v>Northern Cardinal</v>
      </c>
      <c r="C4994" s="6">
        <f t="shared" si="1330"/>
        <v>0.29166666666666669</v>
      </c>
      <c r="D4994" s="5"/>
      <c r="E4994" s="5"/>
      <c r="F4994" s="5" t="s">
        <v>8</v>
      </c>
      <c r="G4994" s="15" t="s">
        <v>9</v>
      </c>
      <c r="H4994" s="24">
        <f t="shared" si="1318"/>
        <v>0</v>
      </c>
      <c r="I4994" s="24" cm="1">
        <f t="array" ref="I4994">IFERROR(IF($B4994=I$1, ($A4994+$C4994) - MAX(IF($B$2:$B4993=$B4994, $A$2:$A4993+$C$2:$C4993)), "")*24*60, "")</f>
        <v>0</v>
      </c>
      <c r="J4994" s="24" t="str" cm="1">
        <f t="array" ref="J4994">IFERROR(IF($B4994=J$1, ($A4994+$C4994) - MAX(IF($B$2:$B4993=$B4994, $A$2:$A4993+$C$2:$C4993)), "")*24*60, "")</f>
        <v/>
      </c>
      <c r="K4994" s="24" t="str" cm="1">
        <f t="array" ref="K4994">IFERROR(IF($B4994=K$1, ($A4994+$C4994) - MAX(IF($B$2:$B4993=$B4994, $A$2:$A4993+$C$2:$C4993)), "")*24*60, "")</f>
        <v/>
      </c>
      <c r="L4994" s="24" t="str" cm="1">
        <f t="array" ref="L4994">IFERROR(IF($B4994=L$1, ($A4994+$C4994) - MAX(IF($B$2:$B4993=$B4994, $A$2:$A4993+$C$2:$C4993)), "")*24*60, "")</f>
        <v/>
      </c>
      <c r="M4994" s="24" t="str" cm="1">
        <f t="array" ref="M4994">IFERROR(IF($B4994=M$1, ($A4994+$C4994) - MAX(IF($B$2:$B4993=$B4994, $A$2:$A4993+$C$2:$C4993)), "")*24*60, "")</f>
        <v/>
      </c>
      <c r="N4994" s="24" t="str" cm="1">
        <f t="array" ref="N4994">IFERROR(IF($B4994=N$1, ($A4994+$C4994) - MAX(IF($B$2:$B4993=$B4994, $A$2:$A4993+$C$2:$C4993)), "")*24*60, "")</f>
        <v/>
      </c>
      <c r="O4994" s="24" t="str" cm="1">
        <f t="array" ref="O4994">IFERROR(IF($B4994=O$1, ($A4994+$C4994) - MAX(IF($B$2:$B4993=$B4994, $A$2:$A4993+$C$2:$C4993)), "")*24*60, "")</f>
        <v/>
      </c>
      <c r="P4994" s="24" t="str" cm="1">
        <f t="array" ref="P4994">IFERROR(IF($B4994=P$1, ($A4994+$C4994) - MAX(IF($B$2:$B4993=$B4994, $A$2:$A4993+$C$2:$C4993)), "")*24*60, "")</f>
        <v/>
      </c>
      <c r="Q4994" s="24" t="str" cm="1">
        <f t="array" ref="Q4994">IFERROR(IF($B4994=Q$1, ($A4994+$C4994) - MAX(IF($B$2:$B4993=$B4994, $A$2:$A4993+$C$2:$C4993)), "")*24*60, "")</f>
        <v/>
      </c>
    </row>
    <row r="4995" spans="1:17" x14ac:dyDescent="0.2">
      <c r="A4995" s="12">
        <f t="shared" ref="A4995:C4995" si="1331">A4994</f>
        <v>45980</v>
      </c>
      <c r="B4995" s="5" t="str">
        <f t="shared" si="1331"/>
        <v>Northern Cardinal</v>
      </c>
      <c r="C4995" s="6">
        <f t="shared" si="1331"/>
        <v>0.29166666666666669</v>
      </c>
      <c r="D4995" s="5"/>
      <c r="E4995" s="5"/>
      <c r="F4995" s="5" t="s">
        <v>8</v>
      </c>
      <c r="G4995" s="15" t="s">
        <v>9</v>
      </c>
      <c r="H4995" s="24">
        <f t="shared" si="1318"/>
        <v>0</v>
      </c>
      <c r="I4995" s="24" cm="1">
        <f t="array" ref="I4995">IFERROR(IF($B4995=I$1, ($A4995+$C4995) - MAX(IF($B$2:$B4994=$B4995, $A$2:$A4994+$C$2:$C4994)), "")*24*60, "")</f>
        <v>0</v>
      </c>
      <c r="J4995" s="24" t="str" cm="1">
        <f t="array" ref="J4995">IFERROR(IF($B4995=J$1, ($A4995+$C4995) - MAX(IF($B$2:$B4994=$B4995, $A$2:$A4994+$C$2:$C4994)), "")*24*60, "")</f>
        <v/>
      </c>
      <c r="K4995" s="24" t="str" cm="1">
        <f t="array" ref="K4995">IFERROR(IF($B4995=K$1, ($A4995+$C4995) - MAX(IF($B$2:$B4994=$B4995, $A$2:$A4994+$C$2:$C4994)), "")*24*60, "")</f>
        <v/>
      </c>
      <c r="L4995" s="24" t="str" cm="1">
        <f t="array" ref="L4995">IFERROR(IF($B4995=L$1, ($A4995+$C4995) - MAX(IF($B$2:$B4994=$B4995, $A$2:$A4994+$C$2:$C4994)), "")*24*60, "")</f>
        <v/>
      </c>
      <c r="M4995" s="24" t="str" cm="1">
        <f t="array" ref="M4995">IFERROR(IF($B4995=M$1, ($A4995+$C4995) - MAX(IF($B$2:$B4994=$B4995, $A$2:$A4994+$C$2:$C4994)), "")*24*60, "")</f>
        <v/>
      </c>
      <c r="N4995" s="24" t="str" cm="1">
        <f t="array" ref="N4995">IFERROR(IF($B4995=N$1, ($A4995+$C4995) - MAX(IF($B$2:$B4994=$B4995, $A$2:$A4994+$C$2:$C4994)), "")*24*60, "")</f>
        <v/>
      </c>
      <c r="O4995" s="24" t="str" cm="1">
        <f t="array" ref="O4995">IFERROR(IF($B4995=O$1, ($A4995+$C4995) - MAX(IF($B$2:$B4994=$B4995, $A$2:$A4994+$C$2:$C4994)), "")*24*60, "")</f>
        <v/>
      </c>
      <c r="P4995" s="24" t="str" cm="1">
        <f t="array" ref="P4995">IFERROR(IF($B4995=P$1, ($A4995+$C4995) - MAX(IF($B$2:$B4994=$B4995, $A$2:$A4994+$C$2:$C4994)), "")*24*60, "")</f>
        <v/>
      </c>
      <c r="Q4995" s="24" t="str" cm="1">
        <f t="array" ref="Q4995">IFERROR(IF($B4995=Q$1, ($A4995+$C4995) - MAX(IF($B$2:$B4994=$B4995, $A$2:$A4994+$C$2:$C4994)), "")*24*60, "")</f>
        <v/>
      </c>
    </row>
    <row r="4996" spans="1:17" x14ac:dyDescent="0.2">
      <c r="A4996" s="12">
        <f t="shared" ref="A4996:C4996" si="1332">A4995</f>
        <v>45980</v>
      </c>
      <c r="B4996" s="5" t="str">
        <f t="shared" si="1332"/>
        <v>Northern Cardinal</v>
      </c>
      <c r="C4996" s="6">
        <f t="shared" si="1332"/>
        <v>0.29166666666666669</v>
      </c>
      <c r="D4996" s="5"/>
      <c r="E4996" s="5"/>
      <c r="F4996" s="5" t="s">
        <v>8</v>
      </c>
      <c r="G4996" s="15" t="s">
        <v>9</v>
      </c>
      <c r="H4996" s="24">
        <f t="shared" si="1318"/>
        <v>0</v>
      </c>
      <c r="I4996" s="24" cm="1">
        <f t="array" ref="I4996">IFERROR(IF($B4996=I$1, ($A4996+$C4996) - MAX(IF($B$2:$B4995=$B4996, $A$2:$A4995+$C$2:$C4995)), "")*24*60, "")</f>
        <v>0</v>
      </c>
      <c r="J4996" s="24" t="str" cm="1">
        <f t="array" ref="J4996">IFERROR(IF($B4996=J$1, ($A4996+$C4996) - MAX(IF($B$2:$B4995=$B4996, $A$2:$A4995+$C$2:$C4995)), "")*24*60, "")</f>
        <v/>
      </c>
      <c r="K4996" s="24" t="str" cm="1">
        <f t="array" ref="K4996">IFERROR(IF($B4996=K$1, ($A4996+$C4996) - MAX(IF($B$2:$B4995=$B4996, $A$2:$A4995+$C$2:$C4995)), "")*24*60, "")</f>
        <v/>
      </c>
      <c r="L4996" s="24" t="str" cm="1">
        <f t="array" ref="L4996">IFERROR(IF($B4996=L$1, ($A4996+$C4996) - MAX(IF($B$2:$B4995=$B4996, $A$2:$A4995+$C$2:$C4995)), "")*24*60, "")</f>
        <v/>
      </c>
      <c r="M4996" s="24" t="str" cm="1">
        <f t="array" ref="M4996">IFERROR(IF($B4996=M$1, ($A4996+$C4996) - MAX(IF($B$2:$B4995=$B4996, $A$2:$A4995+$C$2:$C4995)), "")*24*60, "")</f>
        <v/>
      </c>
      <c r="N4996" s="24" t="str" cm="1">
        <f t="array" ref="N4996">IFERROR(IF($B4996=N$1, ($A4996+$C4996) - MAX(IF($B$2:$B4995=$B4996, $A$2:$A4995+$C$2:$C4995)), "")*24*60, "")</f>
        <v/>
      </c>
      <c r="O4996" s="24" t="str" cm="1">
        <f t="array" ref="O4996">IFERROR(IF($B4996=O$1, ($A4996+$C4996) - MAX(IF($B$2:$B4995=$B4996, $A$2:$A4995+$C$2:$C4995)), "")*24*60, "")</f>
        <v/>
      </c>
      <c r="P4996" s="24" t="str" cm="1">
        <f t="array" ref="P4996">IFERROR(IF($B4996=P$1, ($A4996+$C4996) - MAX(IF($B$2:$B4995=$B4996, $A$2:$A4995+$C$2:$C4995)), "")*24*60, "")</f>
        <v/>
      </c>
      <c r="Q4996" s="24" t="str" cm="1">
        <f t="array" ref="Q4996">IFERROR(IF($B4996=Q$1, ($A4996+$C4996) - MAX(IF($B$2:$B4995=$B4996, $A$2:$A4995+$C$2:$C4995)), "")*24*60, "")</f>
        <v/>
      </c>
    </row>
    <row r="4997" spans="1:17" x14ac:dyDescent="0.2">
      <c r="A4997" s="12">
        <f t="shared" ref="A4997:C4997" si="1333">A4996</f>
        <v>45980</v>
      </c>
      <c r="B4997" s="5" t="str">
        <f t="shared" si="1333"/>
        <v>Northern Cardinal</v>
      </c>
      <c r="C4997" s="6">
        <f t="shared" si="1333"/>
        <v>0.29166666666666669</v>
      </c>
      <c r="D4997" s="5"/>
      <c r="E4997" s="5"/>
      <c r="F4997" s="5" t="s">
        <v>8</v>
      </c>
      <c r="G4997" s="15" t="s">
        <v>9</v>
      </c>
      <c r="H4997" s="24">
        <f t="shared" si="1318"/>
        <v>0</v>
      </c>
      <c r="I4997" s="24" cm="1">
        <f t="array" ref="I4997">IFERROR(IF($B4997=I$1, ($A4997+$C4997) - MAX(IF($B$2:$B4996=$B4997, $A$2:$A4996+$C$2:$C4996)), "")*24*60, "")</f>
        <v>0</v>
      </c>
      <c r="J4997" s="24" t="str" cm="1">
        <f t="array" ref="J4997">IFERROR(IF($B4997=J$1, ($A4997+$C4997) - MAX(IF($B$2:$B4996=$B4997, $A$2:$A4996+$C$2:$C4996)), "")*24*60, "")</f>
        <v/>
      </c>
      <c r="K4997" s="24" t="str" cm="1">
        <f t="array" ref="K4997">IFERROR(IF($B4997=K$1, ($A4997+$C4997) - MAX(IF($B$2:$B4996=$B4997, $A$2:$A4996+$C$2:$C4996)), "")*24*60, "")</f>
        <v/>
      </c>
      <c r="L4997" s="24" t="str" cm="1">
        <f t="array" ref="L4997">IFERROR(IF($B4997=L$1, ($A4997+$C4997) - MAX(IF($B$2:$B4996=$B4997, $A$2:$A4996+$C$2:$C4996)), "")*24*60, "")</f>
        <v/>
      </c>
      <c r="M4997" s="24" t="str" cm="1">
        <f t="array" ref="M4997">IFERROR(IF($B4997=M$1, ($A4997+$C4997) - MAX(IF($B$2:$B4996=$B4997, $A$2:$A4996+$C$2:$C4996)), "")*24*60, "")</f>
        <v/>
      </c>
      <c r="N4997" s="24" t="str" cm="1">
        <f t="array" ref="N4997">IFERROR(IF($B4997=N$1, ($A4997+$C4997) - MAX(IF($B$2:$B4996=$B4997, $A$2:$A4996+$C$2:$C4996)), "")*24*60, "")</f>
        <v/>
      </c>
      <c r="O4997" s="24" t="str" cm="1">
        <f t="array" ref="O4997">IFERROR(IF($B4997=O$1, ($A4997+$C4997) - MAX(IF($B$2:$B4996=$B4997, $A$2:$A4996+$C$2:$C4996)), "")*24*60, "")</f>
        <v/>
      </c>
      <c r="P4997" s="24" t="str" cm="1">
        <f t="array" ref="P4997">IFERROR(IF($B4997=P$1, ($A4997+$C4997) - MAX(IF($B$2:$B4996=$B4997, $A$2:$A4996+$C$2:$C4996)), "")*24*60, "")</f>
        <v/>
      </c>
      <c r="Q4997" s="24" t="str" cm="1">
        <f t="array" ref="Q4997">IFERROR(IF($B4997=Q$1, ($A4997+$C4997) - MAX(IF($B$2:$B4996=$B4997, $A$2:$A4996+$C$2:$C4996)), "")*24*60, "")</f>
        <v/>
      </c>
    </row>
    <row r="4998" spans="1:17" x14ac:dyDescent="0.2">
      <c r="A4998" s="12">
        <f t="shared" ref="A4998:C4998" si="1334">A4997</f>
        <v>45980</v>
      </c>
      <c r="B4998" s="5" t="str">
        <f t="shared" si="1334"/>
        <v>Northern Cardinal</v>
      </c>
      <c r="C4998" s="6">
        <f t="shared" si="1334"/>
        <v>0.29166666666666669</v>
      </c>
      <c r="D4998" s="5"/>
      <c r="E4998" s="5"/>
      <c r="F4998" s="5" t="s">
        <v>8</v>
      </c>
      <c r="G4998" s="15" t="s">
        <v>9</v>
      </c>
      <c r="H4998" s="24">
        <f t="shared" si="1318"/>
        <v>0</v>
      </c>
      <c r="I4998" s="24" cm="1">
        <f t="array" ref="I4998">IFERROR(IF($B4998=I$1, ($A4998+$C4998) - MAX(IF($B$2:$B4997=$B4998, $A$2:$A4997+$C$2:$C4997)), "")*24*60, "")</f>
        <v>0</v>
      </c>
      <c r="J4998" s="24" t="str" cm="1">
        <f t="array" ref="J4998">IFERROR(IF($B4998=J$1, ($A4998+$C4998) - MAX(IF($B$2:$B4997=$B4998, $A$2:$A4997+$C$2:$C4997)), "")*24*60, "")</f>
        <v/>
      </c>
      <c r="K4998" s="24" t="str" cm="1">
        <f t="array" ref="K4998">IFERROR(IF($B4998=K$1, ($A4998+$C4998) - MAX(IF($B$2:$B4997=$B4998, $A$2:$A4997+$C$2:$C4997)), "")*24*60, "")</f>
        <v/>
      </c>
      <c r="L4998" s="24" t="str" cm="1">
        <f t="array" ref="L4998">IFERROR(IF($B4998=L$1, ($A4998+$C4998) - MAX(IF($B$2:$B4997=$B4998, $A$2:$A4997+$C$2:$C4997)), "")*24*60, "")</f>
        <v/>
      </c>
      <c r="M4998" s="24" t="str" cm="1">
        <f t="array" ref="M4998">IFERROR(IF($B4998=M$1, ($A4998+$C4998) - MAX(IF($B$2:$B4997=$B4998, $A$2:$A4997+$C$2:$C4997)), "")*24*60, "")</f>
        <v/>
      </c>
      <c r="N4998" s="24" t="str" cm="1">
        <f t="array" ref="N4998">IFERROR(IF($B4998=N$1, ($A4998+$C4998) - MAX(IF($B$2:$B4997=$B4998, $A$2:$A4997+$C$2:$C4997)), "")*24*60, "")</f>
        <v/>
      </c>
      <c r="O4998" s="24" t="str" cm="1">
        <f t="array" ref="O4998">IFERROR(IF($B4998=O$1, ($A4998+$C4998) - MAX(IF($B$2:$B4997=$B4998, $A$2:$A4997+$C$2:$C4997)), "")*24*60, "")</f>
        <v/>
      </c>
      <c r="P4998" s="24" t="str" cm="1">
        <f t="array" ref="P4998">IFERROR(IF($B4998=P$1, ($A4998+$C4998) - MAX(IF($B$2:$B4997=$B4998, $A$2:$A4997+$C$2:$C4997)), "")*24*60, "")</f>
        <v/>
      </c>
      <c r="Q4998" s="24" t="str" cm="1">
        <f t="array" ref="Q4998">IFERROR(IF($B4998=Q$1, ($A4998+$C4998) - MAX(IF($B$2:$B4997=$B4998, $A$2:$A4997+$C$2:$C4997)), "")*24*60, "")</f>
        <v/>
      </c>
    </row>
    <row r="4999" spans="1:17" x14ac:dyDescent="0.2">
      <c r="A4999" s="12">
        <f t="shared" ref="A4999:C4999" si="1335">A4998</f>
        <v>45980</v>
      </c>
      <c r="B4999" s="5" t="str">
        <f t="shared" si="1335"/>
        <v>Northern Cardinal</v>
      </c>
      <c r="C4999" s="6">
        <f t="shared" si="1335"/>
        <v>0.29166666666666669</v>
      </c>
      <c r="D4999" s="5"/>
      <c r="E4999" s="5"/>
      <c r="F4999" s="5" t="s">
        <v>8</v>
      </c>
      <c r="G4999" s="15" t="s">
        <v>9</v>
      </c>
      <c r="H4999" s="24">
        <f t="shared" si="1318"/>
        <v>0</v>
      </c>
      <c r="I4999" s="24" cm="1">
        <f t="array" ref="I4999">IFERROR(IF($B4999=I$1, ($A4999+$C4999) - MAX(IF($B$2:$B4998=$B4999, $A$2:$A4998+$C$2:$C4998)), "")*24*60, "")</f>
        <v>0</v>
      </c>
      <c r="J4999" s="24" t="str" cm="1">
        <f t="array" ref="J4999">IFERROR(IF($B4999=J$1, ($A4999+$C4999) - MAX(IF($B$2:$B4998=$B4999, $A$2:$A4998+$C$2:$C4998)), "")*24*60, "")</f>
        <v/>
      </c>
      <c r="K4999" s="24" t="str" cm="1">
        <f t="array" ref="K4999">IFERROR(IF($B4999=K$1, ($A4999+$C4999) - MAX(IF($B$2:$B4998=$B4999, $A$2:$A4998+$C$2:$C4998)), "")*24*60, "")</f>
        <v/>
      </c>
      <c r="L4999" s="24" t="str" cm="1">
        <f t="array" ref="L4999">IFERROR(IF($B4999=L$1, ($A4999+$C4999) - MAX(IF($B$2:$B4998=$B4999, $A$2:$A4998+$C$2:$C4998)), "")*24*60, "")</f>
        <v/>
      </c>
      <c r="M4999" s="24" t="str" cm="1">
        <f t="array" ref="M4999">IFERROR(IF($B4999=M$1, ($A4999+$C4999) - MAX(IF($B$2:$B4998=$B4999, $A$2:$A4998+$C$2:$C4998)), "")*24*60, "")</f>
        <v/>
      </c>
      <c r="N4999" s="24" t="str" cm="1">
        <f t="array" ref="N4999">IFERROR(IF($B4999=N$1, ($A4999+$C4999) - MAX(IF($B$2:$B4998=$B4999, $A$2:$A4998+$C$2:$C4998)), "")*24*60, "")</f>
        <v/>
      </c>
      <c r="O4999" s="24" t="str" cm="1">
        <f t="array" ref="O4999">IFERROR(IF($B4999=O$1, ($A4999+$C4999) - MAX(IF($B$2:$B4998=$B4999, $A$2:$A4998+$C$2:$C4998)), "")*24*60, "")</f>
        <v/>
      </c>
      <c r="P4999" s="24" t="str" cm="1">
        <f t="array" ref="P4999">IFERROR(IF($B4999=P$1, ($A4999+$C4999) - MAX(IF($B$2:$B4998=$B4999, $A$2:$A4998+$C$2:$C4998)), "")*24*60, "")</f>
        <v/>
      </c>
      <c r="Q4999" s="24" t="str" cm="1">
        <f t="array" ref="Q4999">IFERROR(IF($B4999=Q$1, ($A4999+$C4999) - MAX(IF($B$2:$B4998=$B4999, $A$2:$A4998+$C$2:$C4998)), "")*24*60, "")</f>
        <v/>
      </c>
    </row>
    <row r="5000" spans="1:17" x14ac:dyDescent="0.2">
      <c r="A5000" s="12">
        <f t="shared" ref="A5000:C5000" si="1336">A4999</f>
        <v>45980</v>
      </c>
      <c r="B5000" s="5" t="str">
        <f t="shared" si="1336"/>
        <v>Northern Cardinal</v>
      </c>
      <c r="C5000" s="6">
        <f t="shared" si="1336"/>
        <v>0.29166666666666669</v>
      </c>
      <c r="D5000" s="5"/>
      <c r="E5000" s="5"/>
      <c r="F5000" s="5" t="s">
        <v>8</v>
      </c>
      <c r="G5000" s="15" t="s">
        <v>9</v>
      </c>
      <c r="H5000" s="24">
        <f t="shared" si="1318"/>
        <v>0</v>
      </c>
      <c r="I5000" s="24" cm="1">
        <f t="array" ref="I5000">IFERROR(IF($B5000=I$1, ($A5000+$C5000) - MAX(IF($B$2:$B4999=$B5000, $A$2:$A4999+$C$2:$C4999)), "")*24*60, "")</f>
        <v>0</v>
      </c>
      <c r="J5000" s="24" t="str" cm="1">
        <f t="array" ref="J5000">IFERROR(IF($B5000=J$1, ($A5000+$C5000) - MAX(IF($B$2:$B4999=$B5000, $A$2:$A4999+$C$2:$C4999)), "")*24*60, "")</f>
        <v/>
      </c>
      <c r="K5000" s="24" t="str" cm="1">
        <f t="array" ref="K5000">IFERROR(IF($B5000=K$1, ($A5000+$C5000) - MAX(IF($B$2:$B4999=$B5000, $A$2:$A4999+$C$2:$C4999)), "")*24*60, "")</f>
        <v/>
      </c>
      <c r="L5000" s="24" t="str" cm="1">
        <f t="array" ref="L5000">IFERROR(IF($B5000=L$1, ($A5000+$C5000) - MAX(IF($B$2:$B4999=$B5000, $A$2:$A4999+$C$2:$C4999)), "")*24*60, "")</f>
        <v/>
      </c>
      <c r="M5000" s="24" t="str" cm="1">
        <f t="array" ref="M5000">IFERROR(IF($B5000=M$1, ($A5000+$C5000) - MAX(IF($B$2:$B4999=$B5000, $A$2:$A4999+$C$2:$C4999)), "")*24*60, "")</f>
        <v/>
      </c>
      <c r="N5000" s="24" t="str" cm="1">
        <f t="array" ref="N5000">IFERROR(IF($B5000=N$1, ($A5000+$C5000) - MAX(IF($B$2:$B4999=$B5000, $A$2:$A4999+$C$2:$C4999)), "")*24*60, "")</f>
        <v/>
      </c>
      <c r="O5000" s="24" t="str" cm="1">
        <f t="array" ref="O5000">IFERROR(IF($B5000=O$1, ($A5000+$C5000) - MAX(IF($B$2:$B4999=$B5000, $A$2:$A4999+$C$2:$C4999)), "")*24*60, "")</f>
        <v/>
      </c>
      <c r="P5000" s="24" t="str" cm="1">
        <f t="array" ref="P5000">IFERROR(IF($B5000=P$1, ($A5000+$C5000) - MAX(IF($B$2:$B4999=$B5000, $A$2:$A4999+$C$2:$C4999)), "")*24*60, "")</f>
        <v/>
      </c>
      <c r="Q5000" s="24" t="str" cm="1">
        <f t="array" ref="Q5000">IFERROR(IF($B5000=Q$1, ($A5000+$C5000) - MAX(IF($B$2:$B4999=$B5000, $A$2:$A4999+$C$2:$C4999)), "")*24*60, "")</f>
        <v/>
      </c>
    </row>
    <row r="5001" spans="1:17" x14ac:dyDescent="0.2">
      <c r="A5001" s="12">
        <f t="shared" ref="A5001:C5001" si="1337">A5000</f>
        <v>45980</v>
      </c>
      <c r="B5001" s="5" t="str">
        <f t="shared" si="1337"/>
        <v>Northern Cardinal</v>
      </c>
      <c r="C5001" s="6">
        <f t="shared" si="1337"/>
        <v>0.29166666666666669</v>
      </c>
      <c r="D5001" s="5"/>
      <c r="E5001" s="5"/>
      <c r="F5001" s="5" t="s">
        <v>8</v>
      </c>
      <c r="G5001" s="15" t="s">
        <v>9</v>
      </c>
      <c r="H5001" s="24">
        <f t="shared" si="1318"/>
        <v>0</v>
      </c>
      <c r="I5001" s="24" cm="1">
        <f t="array" ref="I5001">IFERROR(IF($B5001=I$1, ($A5001+$C5001) - MAX(IF($B$2:$B5000=$B5001, $A$2:$A5000+$C$2:$C5000)), "")*24*60, "")</f>
        <v>0</v>
      </c>
      <c r="J5001" s="24" t="str" cm="1">
        <f t="array" ref="J5001">IFERROR(IF($B5001=J$1, ($A5001+$C5001) - MAX(IF($B$2:$B5000=$B5001, $A$2:$A5000+$C$2:$C5000)), "")*24*60, "")</f>
        <v/>
      </c>
      <c r="K5001" s="24" t="str" cm="1">
        <f t="array" ref="K5001">IFERROR(IF($B5001=K$1, ($A5001+$C5001) - MAX(IF($B$2:$B5000=$B5001, $A$2:$A5000+$C$2:$C5000)), "")*24*60, "")</f>
        <v/>
      </c>
      <c r="L5001" s="24" t="str" cm="1">
        <f t="array" ref="L5001">IFERROR(IF($B5001=L$1, ($A5001+$C5001) - MAX(IF($B$2:$B5000=$B5001, $A$2:$A5000+$C$2:$C5000)), "")*24*60, "")</f>
        <v/>
      </c>
      <c r="M5001" s="24" t="str" cm="1">
        <f t="array" ref="M5001">IFERROR(IF($B5001=M$1, ($A5001+$C5001) - MAX(IF($B$2:$B5000=$B5001, $A$2:$A5000+$C$2:$C5000)), "")*24*60, "")</f>
        <v/>
      </c>
      <c r="N5001" s="24" t="str" cm="1">
        <f t="array" ref="N5001">IFERROR(IF($B5001=N$1, ($A5001+$C5001) - MAX(IF($B$2:$B5000=$B5001, $A$2:$A5000+$C$2:$C5000)), "")*24*60, "")</f>
        <v/>
      </c>
      <c r="O5001" s="24" t="str" cm="1">
        <f t="array" ref="O5001">IFERROR(IF($B5001=O$1, ($A5001+$C5001) - MAX(IF($B$2:$B5000=$B5001, $A$2:$A5000+$C$2:$C5000)), "")*24*60, "")</f>
        <v/>
      </c>
      <c r="P5001" s="24" t="str" cm="1">
        <f t="array" ref="P5001">IFERROR(IF($B5001=P$1, ($A5001+$C5001) - MAX(IF($B$2:$B5000=$B5001, $A$2:$A5000+$C$2:$C5000)), "")*24*60, "")</f>
        <v/>
      </c>
      <c r="Q5001" s="24" t="str" cm="1">
        <f t="array" ref="Q5001">IFERROR(IF($B5001=Q$1, ($A5001+$C5001) - MAX(IF($B$2:$B5000=$B5001, $A$2:$A5000+$C$2:$C5000)), "")*24*60, "")</f>
        <v/>
      </c>
    </row>
    <row r="5002" spans="1:17" x14ac:dyDescent="0.2">
      <c r="A5002" s="12">
        <f t="shared" ref="A5002:C5002" si="1338">A5001</f>
        <v>45980</v>
      </c>
      <c r="B5002" s="5" t="str">
        <f t="shared" si="1338"/>
        <v>Northern Cardinal</v>
      </c>
      <c r="C5002" s="6">
        <f t="shared" si="1338"/>
        <v>0.29166666666666669</v>
      </c>
      <c r="D5002" s="5"/>
      <c r="E5002" s="5"/>
      <c r="F5002" s="5" t="s">
        <v>8</v>
      </c>
      <c r="G5002" s="15" t="s">
        <v>9</v>
      </c>
      <c r="H5002" s="24">
        <f t="shared" si="1318"/>
        <v>0</v>
      </c>
      <c r="I5002" s="24" cm="1">
        <f t="array" ref="I5002">IFERROR(IF($B5002=I$1, ($A5002+$C5002) - MAX(IF($B$2:$B5001=$B5002, $A$2:$A5001+$C$2:$C5001)), "")*24*60, "")</f>
        <v>0</v>
      </c>
      <c r="J5002" s="24" t="str" cm="1">
        <f t="array" ref="J5002">IFERROR(IF($B5002=J$1, ($A5002+$C5002) - MAX(IF($B$2:$B5001=$B5002, $A$2:$A5001+$C$2:$C5001)), "")*24*60, "")</f>
        <v/>
      </c>
      <c r="K5002" s="24" t="str" cm="1">
        <f t="array" ref="K5002">IFERROR(IF($B5002=K$1, ($A5002+$C5002) - MAX(IF($B$2:$B5001=$B5002, $A$2:$A5001+$C$2:$C5001)), "")*24*60, "")</f>
        <v/>
      </c>
      <c r="L5002" s="24" t="str" cm="1">
        <f t="array" ref="L5002">IFERROR(IF($B5002=L$1, ($A5002+$C5002) - MAX(IF($B$2:$B5001=$B5002, $A$2:$A5001+$C$2:$C5001)), "")*24*60, "")</f>
        <v/>
      </c>
      <c r="M5002" s="24" t="str" cm="1">
        <f t="array" ref="M5002">IFERROR(IF($B5002=M$1, ($A5002+$C5002) - MAX(IF($B$2:$B5001=$B5002, $A$2:$A5001+$C$2:$C5001)), "")*24*60, "")</f>
        <v/>
      </c>
      <c r="N5002" s="24" t="str" cm="1">
        <f t="array" ref="N5002">IFERROR(IF($B5002=N$1, ($A5002+$C5002) - MAX(IF($B$2:$B5001=$B5002, $A$2:$A5001+$C$2:$C5001)), "")*24*60, "")</f>
        <v/>
      </c>
      <c r="O5002" s="24" t="str" cm="1">
        <f t="array" ref="O5002">IFERROR(IF($B5002=O$1, ($A5002+$C5002) - MAX(IF($B$2:$B5001=$B5002, $A$2:$A5001+$C$2:$C5001)), "")*24*60, "")</f>
        <v/>
      </c>
      <c r="P5002" s="24" t="str" cm="1">
        <f t="array" ref="P5002">IFERROR(IF($B5002=P$1, ($A5002+$C5002) - MAX(IF($B$2:$B5001=$B5002, $A$2:$A5001+$C$2:$C5001)), "")*24*60, "")</f>
        <v/>
      </c>
      <c r="Q5002" s="24" t="str" cm="1">
        <f t="array" ref="Q5002">IFERROR(IF($B5002=Q$1, ($A5002+$C5002) - MAX(IF($B$2:$B5001=$B5002, $A$2:$A5001+$C$2:$C5001)), "")*24*60, "")</f>
        <v/>
      </c>
    </row>
    <row r="5003" spans="1:17" x14ac:dyDescent="0.2">
      <c r="A5003" s="12">
        <f t="shared" ref="A5003:C5003" si="1339">A5002</f>
        <v>45980</v>
      </c>
      <c r="B5003" s="5" t="str">
        <f t="shared" si="1339"/>
        <v>Northern Cardinal</v>
      </c>
      <c r="C5003" s="6">
        <f t="shared" si="1339"/>
        <v>0.29166666666666669</v>
      </c>
      <c r="D5003" s="5"/>
      <c r="E5003" s="5"/>
      <c r="F5003" s="5" t="s">
        <v>8</v>
      </c>
      <c r="G5003" s="15" t="s">
        <v>9</v>
      </c>
      <c r="H5003" s="24">
        <f t="shared" si="1318"/>
        <v>0</v>
      </c>
      <c r="I5003" s="24" cm="1">
        <f t="array" ref="I5003">IFERROR(IF($B5003=I$1, ($A5003+$C5003) - MAX(IF($B$2:$B5002=$B5003, $A$2:$A5002+$C$2:$C5002)), "")*24*60, "")</f>
        <v>0</v>
      </c>
      <c r="J5003" s="24" t="str" cm="1">
        <f t="array" ref="J5003">IFERROR(IF($B5003=J$1, ($A5003+$C5003) - MAX(IF($B$2:$B5002=$B5003, $A$2:$A5002+$C$2:$C5002)), "")*24*60, "")</f>
        <v/>
      </c>
      <c r="K5003" s="24" t="str" cm="1">
        <f t="array" ref="K5003">IFERROR(IF($B5003=K$1, ($A5003+$C5003) - MAX(IF($B$2:$B5002=$B5003, $A$2:$A5002+$C$2:$C5002)), "")*24*60, "")</f>
        <v/>
      </c>
      <c r="L5003" s="24" t="str" cm="1">
        <f t="array" ref="L5003">IFERROR(IF($B5003=L$1, ($A5003+$C5003) - MAX(IF($B$2:$B5002=$B5003, $A$2:$A5002+$C$2:$C5002)), "")*24*60, "")</f>
        <v/>
      </c>
      <c r="M5003" s="24" t="str" cm="1">
        <f t="array" ref="M5003">IFERROR(IF($B5003=M$1, ($A5003+$C5003) - MAX(IF($B$2:$B5002=$B5003, $A$2:$A5002+$C$2:$C5002)), "")*24*60, "")</f>
        <v/>
      </c>
      <c r="N5003" s="24" t="str" cm="1">
        <f t="array" ref="N5003">IFERROR(IF($B5003=N$1, ($A5003+$C5003) - MAX(IF($B$2:$B5002=$B5003, $A$2:$A5002+$C$2:$C5002)), "")*24*60, "")</f>
        <v/>
      </c>
      <c r="O5003" s="24" t="str" cm="1">
        <f t="array" ref="O5003">IFERROR(IF($B5003=O$1, ($A5003+$C5003) - MAX(IF($B$2:$B5002=$B5003, $A$2:$A5002+$C$2:$C5002)), "")*24*60, "")</f>
        <v/>
      </c>
      <c r="P5003" s="24" t="str" cm="1">
        <f t="array" ref="P5003">IFERROR(IF($B5003=P$1, ($A5003+$C5003) - MAX(IF($B$2:$B5002=$B5003, $A$2:$A5002+$C$2:$C5002)), "")*24*60, "")</f>
        <v/>
      </c>
      <c r="Q5003" s="24" t="str" cm="1">
        <f t="array" ref="Q5003">IFERROR(IF($B5003=Q$1, ($A5003+$C5003) - MAX(IF($B$2:$B5002=$B5003, $A$2:$A5002+$C$2:$C5002)), "")*24*60, "")</f>
        <v/>
      </c>
    </row>
    <row r="5004" spans="1:17" x14ac:dyDescent="0.2">
      <c r="A5004" s="12">
        <f t="shared" ref="A5004:C5004" si="1340">A5003</f>
        <v>45980</v>
      </c>
      <c r="B5004" s="5" t="str">
        <f t="shared" si="1340"/>
        <v>Northern Cardinal</v>
      </c>
      <c r="C5004" s="6">
        <f t="shared" si="1340"/>
        <v>0.29166666666666669</v>
      </c>
      <c r="D5004" s="5"/>
      <c r="E5004" s="5"/>
      <c r="F5004" s="5" t="s">
        <v>8</v>
      </c>
      <c r="G5004" s="15" t="s">
        <v>9</v>
      </c>
      <c r="H5004" s="24">
        <f t="shared" si="1318"/>
        <v>0</v>
      </c>
      <c r="I5004" s="24" cm="1">
        <f t="array" ref="I5004">IFERROR(IF($B5004=I$1, ($A5004+$C5004) - MAX(IF($B$2:$B5003=$B5004, $A$2:$A5003+$C$2:$C5003)), "")*24*60, "")</f>
        <v>0</v>
      </c>
      <c r="J5004" s="24" t="str" cm="1">
        <f t="array" ref="J5004">IFERROR(IF($B5004=J$1, ($A5004+$C5004) - MAX(IF($B$2:$B5003=$B5004, $A$2:$A5003+$C$2:$C5003)), "")*24*60, "")</f>
        <v/>
      </c>
      <c r="K5004" s="24" t="str" cm="1">
        <f t="array" ref="K5004">IFERROR(IF($B5004=K$1, ($A5004+$C5004) - MAX(IF($B$2:$B5003=$B5004, $A$2:$A5003+$C$2:$C5003)), "")*24*60, "")</f>
        <v/>
      </c>
      <c r="L5004" s="24" t="str" cm="1">
        <f t="array" ref="L5004">IFERROR(IF($B5004=L$1, ($A5004+$C5004) - MAX(IF($B$2:$B5003=$B5004, $A$2:$A5003+$C$2:$C5003)), "")*24*60, "")</f>
        <v/>
      </c>
      <c r="M5004" s="24" t="str" cm="1">
        <f t="array" ref="M5004">IFERROR(IF($B5004=M$1, ($A5004+$C5004) - MAX(IF($B$2:$B5003=$B5004, $A$2:$A5003+$C$2:$C5003)), "")*24*60, "")</f>
        <v/>
      </c>
      <c r="N5004" s="24" t="str" cm="1">
        <f t="array" ref="N5004">IFERROR(IF($B5004=N$1, ($A5004+$C5004) - MAX(IF($B$2:$B5003=$B5004, $A$2:$A5003+$C$2:$C5003)), "")*24*60, "")</f>
        <v/>
      </c>
      <c r="O5004" s="24" t="str" cm="1">
        <f t="array" ref="O5004">IFERROR(IF($B5004=O$1, ($A5004+$C5004) - MAX(IF($B$2:$B5003=$B5004, $A$2:$A5003+$C$2:$C5003)), "")*24*60, "")</f>
        <v/>
      </c>
      <c r="P5004" s="24" t="str" cm="1">
        <f t="array" ref="P5004">IFERROR(IF($B5004=P$1, ($A5004+$C5004) - MAX(IF($B$2:$B5003=$B5004, $A$2:$A5003+$C$2:$C5003)), "")*24*60, "")</f>
        <v/>
      </c>
      <c r="Q5004" s="24" t="str" cm="1">
        <f t="array" ref="Q5004">IFERROR(IF($B5004=Q$1, ($A5004+$C5004) - MAX(IF($B$2:$B5003=$B5004, $A$2:$A5003+$C$2:$C5003)), "")*24*60, "")</f>
        <v/>
      </c>
    </row>
    <row r="5005" spans="1:17" x14ac:dyDescent="0.2">
      <c r="A5005" s="12">
        <f t="shared" ref="A5005:C5005" si="1341">A5004</f>
        <v>45980</v>
      </c>
      <c r="B5005" s="5" t="str">
        <f t="shared" si="1341"/>
        <v>Northern Cardinal</v>
      </c>
      <c r="C5005" s="6">
        <f t="shared" si="1341"/>
        <v>0.29166666666666669</v>
      </c>
      <c r="D5005" s="5"/>
      <c r="E5005" s="5"/>
      <c r="F5005" s="5" t="s">
        <v>8</v>
      </c>
      <c r="G5005" s="15" t="s">
        <v>9</v>
      </c>
      <c r="H5005" s="24">
        <f t="shared" si="1318"/>
        <v>0</v>
      </c>
      <c r="I5005" s="24" cm="1">
        <f t="array" ref="I5005">IFERROR(IF($B5005=I$1, ($A5005+$C5005) - MAX(IF($B$2:$B5004=$B5005, $A$2:$A5004+$C$2:$C5004)), "")*24*60, "")</f>
        <v>0</v>
      </c>
      <c r="J5005" s="24" t="str" cm="1">
        <f t="array" ref="J5005">IFERROR(IF($B5005=J$1, ($A5005+$C5005) - MAX(IF($B$2:$B5004=$B5005, $A$2:$A5004+$C$2:$C5004)), "")*24*60, "")</f>
        <v/>
      </c>
      <c r="K5005" s="24" t="str" cm="1">
        <f t="array" ref="K5005">IFERROR(IF($B5005=K$1, ($A5005+$C5005) - MAX(IF($B$2:$B5004=$B5005, $A$2:$A5004+$C$2:$C5004)), "")*24*60, "")</f>
        <v/>
      </c>
      <c r="L5005" s="24" t="str" cm="1">
        <f t="array" ref="L5005">IFERROR(IF($B5005=L$1, ($A5005+$C5005) - MAX(IF($B$2:$B5004=$B5005, $A$2:$A5004+$C$2:$C5004)), "")*24*60, "")</f>
        <v/>
      </c>
      <c r="M5005" s="24" t="str" cm="1">
        <f t="array" ref="M5005">IFERROR(IF($B5005=M$1, ($A5005+$C5005) - MAX(IF($B$2:$B5004=$B5005, $A$2:$A5004+$C$2:$C5004)), "")*24*60, "")</f>
        <v/>
      </c>
      <c r="N5005" s="24" t="str" cm="1">
        <f t="array" ref="N5005">IFERROR(IF($B5005=N$1, ($A5005+$C5005) - MAX(IF($B$2:$B5004=$B5005, $A$2:$A5004+$C$2:$C5004)), "")*24*60, "")</f>
        <v/>
      </c>
      <c r="O5005" s="24" t="str" cm="1">
        <f t="array" ref="O5005">IFERROR(IF($B5005=O$1, ($A5005+$C5005) - MAX(IF($B$2:$B5004=$B5005, $A$2:$A5004+$C$2:$C5004)), "")*24*60, "")</f>
        <v/>
      </c>
      <c r="P5005" s="24" t="str" cm="1">
        <f t="array" ref="P5005">IFERROR(IF($B5005=P$1, ($A5005+$C5005) - MAX(IF($B$2:$B5004=$B5005, $A$2:$A5004+$C$2:$C5004)), "")*24*60, "")</f>
        <v/>
      </c>
      <c r="Q5005" s="24" t="str" cm="1">
        <f t="array" ref="Q5005">IFERROR(IF($B5005=Q$1, ($A5005+$C5005) - MAX(IF($B$2:$B5004=$B5005, $A$2:$A5004+$C$2:$C5004)), "")*24*60, "")</f>
        <v/>
      </c>
    </row>
    <row r="5006" spans="1:17" x14ac:dyDescent="0.2">
      <c r="A5006" s="12">
        <f t="shared" ref="A5006:C5006" si="1342">A5005</f>
        <v>45980</v>
      </c>
      <c r="B5006" s="5" t="str">
        <f t="shared" si="1342"/>
        <v>Northern Cardinal</v>
      </c>
      <c r="C5006" s="6">
        <f t="shared" si="1342"/>
        <v>0.29166666666666669</v>
      </c>
      <c r="D5006" s="5"/>
      <c r="E5006" s="5"/>
      <c r="F5006" s="5" t="s">
        <v>8</v>
      </c>
      <c r="G5006" s="15" t="s">
        <v>9</v>
      </c>
      <c r="H5006" s="24">
        <f t="shared" si="1318"/>
        <v>0</v>
      </c>
      <c r="I5006" s="24" cm="1">
        <f t="array" ref="I5006">IFERROR(IF($B5006=I$1, ($A5006+$C5006) - MAX(IF($B$2:$B5005=$B5006, $A$2:$A5005+$C$2:$C5005)), "")*24*60, "")</f>
        <v>0</v>
      </c>
      <c r="J5006" s="24" t="str" cm="1">
        <f t="array" ref="J5006">IFERROR(IF($B5006=J$1, ($A5006+$C5006) - MAX(IF($B$2:$B5005=$B5006, $A$2:$A5005+$C$2:$C5005)), "")*24*60, "")</f>
        <v/>
      </c>
      <c r="K5006" s="24" t="str" cm="1">
        <f t="array" ref="K5006">IFERROR(IF($B5006=K$1, ($A5006+$C5006) - MAX(IF($B$2:$B5005=$B5006, $A$2:$A5005+$C$2:$C5005)), "")*24*60, "")</f>
        <v/>
      </c>
      <c r="L5006" s="24" t="str" cm="1">
        <f t="array" ref="L5006">IFERROR(IF($B5006=L$1, ($A5006+$C5006) - MAX(IF($B$2:$B5005=$B5006, $A$2:$A5005+$C$2:$C5005)), "")*24*60, "")</f>
        <v/>
      </c>
      <c r="M5006" s="24" t="str" cm="1">
        <f t="array" ref="M5006">IFERROR(IF($B5006=M$1, ($A5006+$C5006) - MAX(IF($B$2:$B5005=$B5006, $A$2:$A5005+$C$2:$C5005)), "")*24*60, "")</f>
        <v/>
      </c>
      <c r="N5006" s="24" t="str" cm="1">
        <f t="array" ref="N5006">IFERROR(IF($B5006=N$1, ($A5006+$C5006) - MAX(IF($B$2:$B5005=$B5006, $A$2:$A5005+$C$2:$C5005)), "")*24*60, "")</f>
        <v/>
      </c>
      <c r="O5006" s="24" t="str" cm="1">
        <f t="array" ref="O5006">IFERROR(IF($B5006=O$1, ($A5006+$C5006) - MAX(IF($B$2:$B5005=$B5006, $A$2:$A5005+$C$2:$C5005)), "")*24*60, "")</f>
        <v/>
      </c>
      <c r="P5006" s="24" t="str" cm="1">
        <f t="array" ref="P5006">IFERROR(IF($B5006=P$1, ($A5006+$C5006) - MAX(IF($B$2:$B5005=$B5006, $A$2:$A5005+$C$2:$C5005)), "")*24*60, "")</f>
        <v/>
      </c>
      <c r="Q5006" s="24" t="str" cm="1">
        <f t="array" ref="Q5006">IFERROR(IF($B5006=Q$1, ($A5006+$C5006) - MAX(IF($B$2:$B5005=$B5006, $A$2:$A5005+$C$2:$C5005)), "")*24*60, "")</f>
        <v/>
      </c>
    </row>
    <row r="5007" spans="1:17" x14ac:dyDescent="0.2">
      <c r="A5007" s="12">
        <f t="shared" ref="A5007:C5007" si="1343">A5006</f>
        <v>45980</v>
      </c>
      <c r="B5007" s="5" t="str">
        <f t="shared" si="1343"/>
        <v>Northern Cardinal</v>
      </c>
      <c r="C5007" s="6">
        <f t="shared" si="1343"/>
        <v>0.29166666666666669</v>
      </c>
      <c r="D5007" s="5"/>
      <c r="E5007" s="5"/>
      <c r="F5007" s="5" t="s">
        <v>8</v>
      </c>
      <c r="G5007" s="15" t="s">
        <v>9</v>
      </c>
      <c r="H5007" s="24">
        <f t="shared" si="1318"/>
        <v>0</v>
      </c>
      <c r="I5007" s="24" cm="1">
        <f t="array" ref="I5007">IFERROR(IF($B5007=I$1, ($A5007+$C5007) - MAX(IF($B$2:$B5006=$B5007, $A$2:$A5006+$C$2:$C5006)), "")*24*60, "")</f>
        <v>0</v>
      </c>
      <c r="J5007" s="24" t="str" cm="1">
        <f t="array" ref="J5007">IFERROR(IF($B5007=J$1, ($A5007+$C5007) - MAX(IF($B$2:$B5006=$B5007, $A$2:$A5006+$C$2:$C5006)), "")*24*60, "")</f>
        <v/>
      </c>
      <c r="K5007" s="24" t="str" cm="1">
        <f t="array" ref="K5007">IFERROR(IF($B5007=K$1, ($A5007+$C5007) - MAX(IF($B$2:$B5006=$B5007, $A$2:$A5006+$C$2:$C5006)), "")*24*60, "")</f>
        <v/>
      </c>
      <c r="L5007" s="24" t="str" cm="1">
        <f t="array" ref="L5007">IFERROR(IF($B5007=L$1, ($A5007+$C5007) - MAX(IF($B$2:$B5006=$B5007, $A$2:$A5006+$C$2:$C5006)), "")*24*60, "")</f>
        <v/>
      </c>
      <c r="M5007" s="24" t="str" cm="1">
        <f t="array" ref="M5007">IFERROR(IF($B5007=M$1, ($A5007+$C5007) - MAX(IF($B$2:$B5006=$B5007, $A$2:$A5006+$C$2:$C5006)), "")*24*60, "")</f>
        <v/>
      </c>
      <c r="N5007" s="24" t="str" cm="1">
        <f t="array" ref="N5007">IFERROR(IF($B5007=N$1, ($A5007+$C5007) - MAX(IF($B$2:$B5006=$B5007, $A$2:$A5006+$C$2:$C5006)), "")*24*60, "")</f>
        <v/>
      </c>
      <c r="O5007" s="24" t="str" cm="1">
        <f t="array" ref="O5007">IFERROR(IF($B5007=O$1, ($A5007+$C5007) - MAX(IF($B$2:$B5006=$B5007, $A$2:$A5006+$C$2:$C5006)), "")*24*60, "")</f>
        <v/>
      </c>
      <c r="P5007" s="24" t="str" cm="1">
        <f t="array" ref="P5007">IFERROR(IF($B5007=P$1, ($A5007+$C5007) - MAX(IF($B$2:$B5006=$B5007, $A$2:$A5006+$C$2:$C5006)), "")*24*60, "")</f>
        <v/>
      </c>
      <c r="Q5007" s="24" t="str" cm="1">
        <f t="array" ref="Q5007">IFERROR(IF($B5007=Q$1, ($A5007+$C5007) - MAX(IF($B$2:$B5006=$B5007, $A$2:$A5006+$C$2:$C5006)), "")*24*60, "")</f>
        <v/>
      </c>
    </row>
    <row r="5008" spans="1:17" x14ac:dyDescent="0.2">
      <c r="A5008" s="12">
        <f t="shared" ref="A5008:C5008" si="1344">A5007</f>
        <v>45980</v>
      </c>
      <c r="B5008" s="5" t="str">
        <f t="shared" si="1344"/>
        <v>Northern Cardinal</v>
      </c>
      <c r="C5008" s="6">
        <f t="shared" si="1344"/>
        <v>0.29166666666666669</v>
      </c>
      <c r="D5008" s="5"/>
      <c r="E5008" s="5"/>
      <c r="F5008" s="5" t="s">
        <v>8</v>
      </c>
      <c r="G5008" s="15" t="s">
        <v>9</v>
      </c>
      <c r="H5008" s="24">
        <f t="shared" si="1318"/>
        <v>0</v>
      </c>
      <c r="I5008" s="24" cm="1">
        <f t="array" ref="I5008">IFERROR(IF($B5008=I$1, ($A5008+$C5008) - MAX(IF($B$2:$B5007=$B5008, $A$2:$A5007+$C$2:$C5007)), "")*24*60, "")</f>
        <v>0</v>
      </c>
      <c r="J5008" s="24" t="str" cm="1">
        <f t="array" ref="J5008">IFERROR(IF($B5008=J$1, ($A5008+$C5008) - MAX(IF($B$2:$B5007=$B5008, $A$2:$A5007+$C$2:$C5007)), "")*24*60, "")</f>
        <v/>
      </c>
      <c r="K5008" s="24" t="str" cm="1">
        <f t="array" ref="K5008">IFERROR(IF($B5008=K$1, ($A5008+$C5008) - MAX(IF($B$2:$B5007=$B5008, $A$2:$A5007+$C$2:$C5007)), "")*24*60, "")</f>
        <v/>
      </c>
      <c r="L5008" s="24" t="str" cm="1">
        <f t="array" ref="L5008">IFERROR(IF($B5008=L$1, ($A5008+$C5008) - MAX(IF($B$2:$B5007=$B5008, $A$2:$A5007+$C$2:$C5007)), "")*24*60, "")</f>
        <v/>
      </c>
      <c r="M5008" s="24" t="str" cm="1">
        <f t="array" ref="M5008">IFERROR(IF($B5008=M$1, ($A5008+$C5008) - MAX(IF($B$2:$B5007=$B5008, $A$2:$A5007+$C$2:$C5007)), "")*24*60, "")</f>
        <v/>
      </c>
      <c r="N5008" s="24" t="str" cm="1">
        <f t="array" ref="N5008">IFERROR(IF($B5008=N$1, ($A5008+$C5008) - MAX(IF($B$2:$B5007=$B5008, $A$2:$A5007+$C$2:$C5007)), "")*24*60, "")</f>
        <v/>
      </c>
      <c r="O5008" s="24" t="str" cm="1">
        <f t="array" ref="O5008">IFERROR(IF($B5008=O$1, ($A5008+$C5008) - MAX(IF($B$2:$B5007=$B5008, $A$2:$A5007+$C$2:$C5007)), "")*24*60, "")</f>
        <v/>
      </c>
      <c r="P5008" s="24" t="str" cm="1">
        <f t="array" ref="P5008">IFERROR(IF($B5008=P$1, ($A5008+$C5008) - MAX(IF($B$2:$B5007=$B5008, $A$2:$A5007+$C$2:$C5007)), "")*24*60, "")</f>
        <v/>
      </c>
      <c r="Q5008" s="24" t="str" cm="1">
        <f t="array" ref="Q5008">IFERROR(IF($B5008=Q$1, ($A5008+$C5008) - MAX(IF($B$2:$B5007=$B5008, $A$2:$A5007+$C$2:$C5007)), "")*24*60, "")</f>
        <v/>
      </c>
    </row>
    <row r="5009" spans="1:17" x14ac:dyDescent="0.2">
      <c r="A5009" s="12">
        <f t="shared" ref="A5009:C5009" si="1345">A5008</f>
        <v>45980</v>
      </c>
      <c r="B5009" s="5" t="str">
        <f t="shared" si="1345"/>
        <v>Northern Cardinal</v>
      </c>
      <c r="C5009" s="6">
        <f t="shared" si="1345"/>
        <v>0.29166666666666669</v>
      </c>
      <c r="D5009" s="5"/>
      <c r="E5009" s="5"/>
      <c r="F5009" s="5" t="s">
        <v>8</v>
      </c>
      <c r="G5009" s="15" t="s">
        <v>9</v>
      </c>
      <c r="H5009" s="24">
        <f t="shared" si="1318"/>
        <v>0</v>
      </c>
      <c r="I5009" s="24" cm="1">
        <f t="array" ref="I5009">IFERROR(IF($B5009=I$1, ($A5009+$C5009) - MAX(IF($B$2:$B5008=$B5009, $A$2:$A5008+$C$2:$C5008)), "")*24*60, "")</f>
        <v>0</v>
      </c>
      <c r="J5009" s="24" t="str" cm="1">
        <f t="array" ref="J5009">IFERROR(IF($B5009=J$1, ($A5009+$C5009) - MAX(IF($B$2:$B5008=$B5009, $A$2:$A5008+$C$2:$C5008)), "")*24*60, "")</f>
        <v/>
      </c>
      <c r="K5009" s="24" t="str" cm="1">
        <f t="array" ref="K5009">IFERROR(IF($B5009=K$1, ($A5009+$C5009) - MAX(IF($B$2:$B5008=$B5009, $A$2:$A5008+$C$2:$C5008)), "")*24*60, "")</f>
        <v/>
      </c>
      <c r="L5009" s="24" t="str" cm="1">
        <f t="array" ref="L5009">IFERROR(IF($B5009=L$1, ($A5009+$C5009) - MAX(IF($B$2:$B5008=$B5009, $A$2:$A5008+$C$2:$C5008)), "")*24*60, "")</f>
        <v/>
      </c>
      <c r="M5009" s="24" t="str" cm="1">
        <f t="array" ref="M5009">IFERROR(IF($B5009=M$1, ($A5009+$C5009) - MAX(IF($B$2:$B5008=$B5009, $A$2:$A5008+$C$2:$C5008)), "")*24*60, "")</f>
        <v/>
      </c>
      <c r="N5009" s="24" t="str" cm="1">
        <f t="array" ref="N5009">IFERROR(IF($B5009=N$1, ($A5009+$C5009) - MAX(IF($B$2:$B5008=$B5009, $A$2:$A5008+$C$2:$C5008)), "")*24*60, "")</f>
        <v/>
      </c>
      <c r="O5009" s="24" t="str" cm="1">
        <f t="array" ref="O5009">IFERROR(IF($B5009=O$1, ($A5009+$C5009) - MAX(IF($B$2:$B5008=$B5009, $A$2:$A5008+$C$2:$C5008)), "")*24*60, "")</f>
        <v/>
      </c>
      <c r="P5009" s="24" t="str" cm="1">
        <f t="array" ref="P5009">IFERROR(IF($B5009=P$1, ($A5009+$C5009) - MAX(IF($B$2:$B5008=$B5009, $A$2:$A5008+$C$2:$C5008)), "")*24*60, "")</f>
        <v/>
      </c>
      <c r="Q5009" s="24" t="str" cm="1">
        <f t="array" ref="Q5009">IFERROR(IF($B5009=Q$1, ($A5009+$C5009) - MAX(IF($B$2:$B5008=$B5009, $A$2:$A5008+$C$2:$C5008)), "")*24*60, "")</f>
        <v/>
      </c>
    </row>
    <row r="5010" spans="1:17" x14ac:dyDescent="0.2">
      <c r="A5010" s="12">
        <f t="shared" ref="A5010:C5010" si="1346">A5009</f>
        <v>45980</v>
      </c>
      <c r="B5010" s="5" t="str">
        <f t="shared" si="1346"/>
        <v>Northern Cardinal</v>
      </c>
      <c r="C5010" s="6">
        <f t="shared" si="1346"/>
        <v>0.29166666666666669</v>
      </c>
      <c r="D5010" s="5"/>
      <c r="E5010" s="5"/>
      <c r="F5010" s="5" t="s">
        <v>8</v>
      </c>
      <c r="G5010" s="15" t="s">
        <v>9</v>
      </c>
      <c r="H5010" s="24">
        <f t="shared" si="1318"/>
        <v>0</v>
      </c>
      <c r="I5010" s="24" cm="1">
        <f t="array" ref="I5010">IFERROR(IF($B5010=I$1, ($A5010+$C5010) - MAX(IF($B$2:$B5009=$B5010, $A$2:$A5009+$C$2:$C5009)), "")*24*60, "")</f>
        <v>0</v>
      </c>
      <c r="J5010" s="24" t="str" cm="1">
        <f t="array" ref="J5010">IFERROR(IF($B5010=J$1, ($A5010+$C5010) - MAX(IF($B$2:$B5009=$B5010, $A$2:$A5009+$C$2:$C5009)), "")*24*60, "")</f>
        <v/>
      </c>
      <c r="K5010" s="24" t="str" cm="1">
        <f t="array" ref="K5010">IFERROR(IF($B5010=K$1, ($A5010+$C5010) - MAX(IF($B$2:$B5009=$B5010, $A$2:$A5009+$C$2:$C5009)), "")*24*60, "")</f>
        <v/>
      </c>
      <c r="L5010" s="24" t="str" cm="1">
        <f t="array" ref="L5010">IFERROR(IF($B5010=L$1, ($A5010+$C5010) - MAX(IF($B$2:$B5009=$B5010, $A$2:$A5009+$C$2:$C5009)), "")*24*60, "")</f>
        <v/>
      </c>
      <c r="M5010" s="24" t="str" cm="1">
        <f t="array" ref="M5010">IFERROR(IF($B5010=M$1, ($A5010+$C5010) - MAX(IF($B$2:$B5009=$B5010, $A$2:$A5009+$C$2:$C5009)), "")*24*60, "")</f>
        <v/>
      </c>
      <c r="N5010" s="24" t="str" cm="1">
        <f t="array" ref="N5010">IFERROR(IF($B5010=N$1, ($A5010+$C5010) - MAX(IF($B$2:$B5009=$B5010, $A$2:$A5009+$C$2:$C5009)), "")*24*60, "")</f>
        <v/>
      </c>
      <c r="O5010" s="24" t="str" cm="1">
        <f t="array" ref="O5010">IFERROR(IF($B5010=O$1, ($A5010+$C5010) - MAX(IF($B$2:$B5009=$B5010, $A$2:$A5009+$C$2:$C5009)), "")*24*60, "")</f>
        <v/>
      </c>
      <c r="P5010" s="24" t="str" cm="1">
        <f t="array" ref="P5010">IFERROR(IF($B5010=P$1, ($A5010+$C5010) - MAX(IF($B$2:$B5009=$B5010, $A$2:$A5009+$C$2:$C5009)), "")*24*60, "")</f>
        <v/>
      </c>
      <c r="Q5010" s="24" t="str" cm="1">
        <f t="array" ref="Q5010">IFERROR(IF($B5010=Q$1, ($A5010+$C5010) - MAX(IF($B$2:$B5009=$B5010, $A$2:$A5009+$C$2:$C5009)), "")*24*60, "")</f>
        <v/>
      </c>
    </row>
    <row r="5011" spans="1:17" x14ac:dyDescent="0.2">
      <c r="A5011" s="12">
        <f t="shared" ref="A5011:C5011" si="1347">A5010</f>
        <v>45980</v>
      </c>
      <c r="B5011" s="5" t="str">
        <f t="shared" si="1347"/>
        <v>Northern Cardinal</v>
      </c>
      <c r="C5011" s="6">
        <f t="shared" si="1347"/>
        <v>0.29166666666666669</v>
      </c>
      <c r="D5011" s="5"/>
      <c r="E5011" s="5"/>
      <c r="F5011" s="5" t="s">
        <v>8</v>
      </c>
      <c r="G5011" s="15" t="s">
        <v>9</v>
      </c>
      <c r="H5011" s="24">
        <f t="shared" si="1318"/>
        <v>0</v>
      </c>
      <c r="I5011" s="24" cm="1">
        <f t="array" ref="I5011">IFERROR(IF($B5011=I$1, ($A5011+$C5011) - MAX(IF($B$2:$B5010=$B5011, $A$2:$A5010+$C$2:$C5010)), "")*24*60, "")</f>
        <v>0</v>
      </c>
      <c r="J5011" s="24" t="str" cm="1">
        <f t="array" ref="J5011">IFERROR(IF($B5011=J$1, ($A5011+$C5011) - MAX(IF($B$2:$B5010=$B5011, $A$2:$A5010+$C$2:$C5010)), "")*24*60, "")</f>
        <v/>
      </c>
      <c r="K5011" s="24" t="str" cm="1">
        <f t="array" ref="K5011">IFERROR(IF($B5011=K$1, ($A5011+$C5011) - MAX(IF($B$2:$B5010=$B5011, $A$2:$A5010+$C$2:$C5010)), "")*24*60, "")</f>
        <v/>
      </c>
      <c r="L5011" s="24" t="str" cm="1">
        <f t="array" ref="L5011">IFERROR(IF($B5011=L$1, ($A5011+$C5011) - MAX(IF($B$2:$B5010=$B5011, $A$2:$A5010+$C$2:$C5010)), "")*24*60, "")</f>
        <v/>
      </c>
      <c r="M5011" s="24" t="str" cm="1">
        <f t="array" ref="M5011">IFERROR(IF($B5011=M$1, ($A5011+$C5011) - MAX(IF($B$2:$B5010=$B5011, $A$2:$A5010+$C$2:$C5010)), "")*24*60, "")</f>
        <v/>
      </c>
      <c r="N5011" s="24" t="str" cm="1">
        <f t="array" ref="N5011">IFERROR(IF($B5011=N$1, ($A5011+$C5011) - MAX(IF($B$2:$B5010=$B5011, $A$2:$A5010+$C$2:$C5010)), "")*24*60, "")</f>
        <v/>
      </c>
      <c r="O5011" s="24" t="str" cm="1">
        <f t="array" ref="O5011">IFERROR(IF($B5011=O$1, ($A5011+$C5011) - MAX(IF($B$2:$B5010=$B5011, $A$2:$A5010+$C$2:$C5010)), "")*24*60, "")</f>
        <v/>
      </c>
      <c r="P5011" s="24" t="str" cm="1">
        <f t="array" ref="P5011">IFERROR(IF($B5011=P$1, ($A5011+$C5011) - MAX(IF($B$2:$B5010=$B5011, $A$2:$A5010+$C$2:$C5010)), "")*24*60, "")</f>
        <v/>
      </c>
      <c r="Q5011" s="24" t="str" cm="1">
        <f t="array" ref="Q5011">IFERROR(IF($B5011=Q$1, ($A5011+$C5011) - MAX(IF($B$2:$B5010=$B5011, $A$2:$A5010+$C$2:$C5010)), "")*24*60, "")</f>
        <v/>
      </c>
    </row>
    <row r="5012" spans="1:17" x14ac:dyDescent="0.2">
      <c r="A5012" s="12">
        <f t="shared" ref="A5012:C5012" si="1348">A5011</f>
        <v>45980</v>
      </c>
      <c r="B5012" s="5" t="str">
        <f t="shared" si="1348"/>
        <v>Northern Cardinal</v>
      </c>
      <c r="C5012" s="6">
        <f t="shared" si="1348"/>
        <v>0.29166666666666669</v>
      </c>
      <c r="D5012" s="5"/>
      <c r="E5012" s="5"/>
      <c r="F5012" s="5" t="s">
        <v>8</v>
      </c>
      <c r="G5012" s="15" t="s">
        <v>9</v>
      </c>
      <c r="H5012" s="24">
        <f t="shared" si="1318"/>
        <v>0</v>
      </c>
      <c r="I5012" s="24" cm="1">
        <f t="array" ref="I5012">IFERROR(IF($B5012=I$1, ($A5012+$C5012) - MAX(IF($B$2:$B5011=$B5012, $A$2:$A5011+$C$2:$C5011)), "")*24*60, "")</f>
        <v>0</v>
      </c>
      <c r="J5012" s="24" t="str" cm="1">
        <f t="array" ref="J5012">IFERROR(IF($B5012=J$1, ($A5012+$C5012) - MAX(IF($B$2:$B5011=$B5012, $A$2:$A5011+$C$2:$C5011)), "")*24*60, "")</f>
        <v/>
      </c>
      <c r="K5012" s="24" t="str" cm="1">
        <f t="array" ref="K5012">IFERROR(IF($B5012=K$1, ($A5012+$C5012) - MAX(IF($B$2:$B5011=$B5012, $A$2:$A5011+$C$2:$C5011)), "")*24*60, "")</f>
        <v/>
      </c>
      <c r="L5012" s="24" t="str" cm="1">
        <f t="array" ref="L5012">IFERROR(IF($B5012=L$1, ($A5012+$C5012) - MAX(IF($B$2:$B5011=$B5012, $A$2:$A5011+$C$2:$C5011)), "")*24*60, "")</f>
        <v/>
      </c>
      <c r="M5012" s="24" t="str" cm="1">
        <f t="array" ref="M5012">IFERROR(IF($B5012=M$1, ($A5012+$C5012) - MAX(IF($B$2:$B5011=$B5012, $A$2:$A5011+$C$2:$C5011)), "")*24*60, "")</f>
        <v/>
      </c>
      <c r="N5012" s="24" t="str" cm="1">
        <f t="array" ref="N5012">IFERROR(IF($B5012=N$1, ($A5012+$C5012) - MAX(IF($B$2:$B5011=$B5012, $A$2:$A5011+$C$2:$C5011)), "")*24*60, "")</f>
        <v/>
      </c>
      <c r="O5012" s="24" t="str" cm="1">
        <f t="array" ref="O5012">IFERROR(IF($B5012=O$1, ($A5012+$C5012) - MAX(IF($B$2:$B5011=$B5012, $A$2:$A5011+$C$2:$C5011)), "")*24*60, "")</f>
        <v/>
      </c>
      <c r="P5012" s="24" t="str" cm="1">
        <f t="array" ref="P5012">IFERROR(IF($B5012=P$1, ($A5012+$C5012) - MAX(IF($B$2:$B5011=$B5012, $A$2:$A5011+$C$2:$C5011)), "")*24*60, "")</f>
        <v/>
      </c>
      <c r="Q5012" s="24" t="str" cm="1">
        <f t="array" ref="Q5012">IFERROR(IF($B5012=Q$1, ($A5012+$C5012) - MAX(IF($B$2:$B5011=$B5012, $A$2:$A5011+$C$2:$C5011)), "")*24*60, "")</f>
        <v/>
      </c>
    </row>
    <row r="5013" spans="1:17" x14ac:dyDescent="0.2">
      <c r="A5013" s="12">
        <f t="shared" ref="A5013:C5013" si="1349">A5012</f>
        <v>45980</v>
      </c>
      <c r="B5013" s="5" t="str">
        <f t="shared" si="1349"/>
        <v>Northern Cardinal</v>
      </c>
      <c r="C5013" s="6">
        <f t="shared" si="1349"/>
        <v>0.29166666666666669</v>
      </c>
      <c r="D5013" s="5"/>
      <c r="E5013" s="5"/>
      <c r="F5013" s="5" t="s">
        <v>8</v>
      </c>
      <c r="G5013" s="15" t="s">
        <v>9</v>
      </c>
      <c r="H5013" s="24">
        <f t="shared" si="1318"/>
        <v>0</v>
      </c>
      <c r="I5013" s="24" cm="1">
        <f t="array" ref="I5013">IFERROR(IF($B5013=I$1, ($A5013+$C5013) - MAX(IF($B$2:$B5012=$B5013, $A$2:$A5012+$C$2:$C5012)), "")*24*60, "")</f>
        <v>0</v>
      </c>
      <c r="J5013" s="24" t="str" cm="1">
        <f t="array" ref="J5013">IFERROR(IF($B5013=J$1, ($A5013+$C5013) - MAX(IF($B$2:$B5012=$B5013, $A$2:$A5012+$C$2:$C5012)), "")*24*60, "")</f>
        <v/>
      </c>
      <c r="K5013" s="24" t="str" cm="1">
        <f t="array" ref="K5013">IFERROR(IF($B5013=K$1, ($A5013+$C5013) - MAX(IF($B$2:$B5012=$B5013, $A$2:$A5012+$C$2:$C5012)), "")*24*60, "")</f>
        <v/>
      </c>
      <c r="L5013" s="24" t="str" cm="1">
        <f t="array" ref="L5013">IFERROR(IF($B5013=L$1, ($A5013+$C5013) - MAX(IF($B$2:$B5012=$B5013, $A$2:$A5012+$C$2:$C5012)), "")*24*60, "")</f>
        <v/>
      </c>
      <c r="M5013" s="24" t="str" cm="1">
        <f t="array" ref="M5013">IFERROR(IF($B5013=M$1, ($A5013+$C5013) - MAX(IF($B$2:$B5012=$B5013, $A$2:$A5012+$C$2:$C5012)), "")*24*60, "")</f>
        <v/>
      </c>
      <c r="N5013" s="24" t="str" cm="1">
        <f t="array" ref="N5013">IFERROR(IF($B5013=N$1, ($A5013+$C5013) - MAX(IF($B$2:$B5012=$B5013, $A$2:$A5012+$C$2:$C5012)), "")*24*60, "")</f>
        <v/>
      </c>
      <c r="O5013" s="24" t="str" cm="1">
        <f t="array" ref="O5013">IFERROR(IF($B5013=O$1, ($A5013+$C5013) - MAX(IF($B$2:$B5012=$B5013, $A$2:$A5012+$C$2:$C5012)), "")*24*60, "")</f>
        <v/>
      </c>
      <c r="P5013" s="24" t="str" cm="1">
        <f t="array" ref="P5013">IFERROR(IF($B5013=P$1, ($A5013+$C5013) - MAX(IF($B$2:$B5012=$B5013, $A$2:$A5012+$C$2:$C5012)), "")*24*60, "")</f>
        <v/>
      </c>
      <c r="Q5013" s="24" t="str" cm="1">
        <f t="array" ref="Q5013">IFERROR(IF($B5013=Q$1, ($A5013+$C5013) - MAX(IF($B$2:$B5012=$B5013, $A$2:$A5012+$C$2:$C5012)), "")*24*60, "")</f>
        <v/>
      </c>
    </row>
    <row r="5014" spans="1:17" x14ac:dyDescent="0.2">
      <c r="A5014" s="12">
        <f t="shared" ref="A5014:C5014" si="1350">A5013</f>
        <v>45980</v>
      </c>
      <c r="B5014" s="5" t="str">
        <f t="shared" si="1350"/>
        <v>Northern Cardinal</v>
      </c>
      <c r="C5014" s="6">
        <f t="shared" si="1350"/>
        <v>0.29166666666666669</v>
      </c>
      <c r="D5014" s="5"/>
      <c r="E5014" s="5"/>
      <c r="F5014" s="5" t="s">
        <v>8</v>
      </c>
      <c r="G5014" s="15" t="s">
        <v>9</v>
      </c>
      <c r="H5014" s="24">
        <f t="shared" si="1318"/>
        <v>0</v>
      </c>
      <c r="I5014" s="24" cm="1">
        <f t="array" ref="I5014">IFERROR(IF($B5014=I$1, ($A5014+$C5014) - MAX(IF($B$2:$B5013=$B5014, $A$2:$A5013+$C$2:$C5013)), "")*24*60, "")</f>
        <v>0</v>
      </c>
      <c r="J5014" s="24" t="str" cm="1">
        <f t="array" ref="J5014">IFERROR(IF($B5014=J$1, ($A5014+$C5014) - MAX(IF($B$2:$B5013=$B5014, $A$2:$A5013+$C$2:$C5013)), "")*24*60, "")</f>
        <v/>
      </c>
      <c r="K5014" s="24" t="str" cm="1">
        <f t="array" ref="K5014">IFERROR(IF($B5014=K$1, ($A5014+$C5014) - MAX(IF($B$2:$B5013=$B5014, $A$2:$A5013+$C$2:$C5013)), "")*24*60, "")</f>
        <v/>
      </c>
      <c r="L5014" s="24" t="str" cm="1">
        <f t="array" ref="L5014">IFERROR(IF($B5014=L$1, ($A5014+$C5014) - MAX(IF($B$2:$B5013=$B5014, $A$2:$A5013+$C$2:$C5013)), "")*24*60, "")</f>
        <v/>
      </c>
      <c r="M5014" s="24" t="str" cm="1">
        <f t="array" ref="M5014">IFERROR(IF($B5014=M$1, ($A5014+$C5014) - MAX(IF($B$2:$B5013=$B5014, $A$2:$A5013+$C$2:$C5013)), "")*24*60, "")</f>
        <v/>
      </c>
      <c r="N5014" s="24" t="str" cm="1">
        <f t="array" ref="N5014">IFERROR(IF($B5014=N$1, ($A5014+$C5014) - MAX(IF($B$2:$B5013=$B5014, $A$2:$A5013+$C$2:$C5013)), "")*24*60, "")</f>
        <v/>
      </c>
      <c r="O5014" s="24" t="str" cm="1">
        <f t="array" ref="O5014">IFERROR(IF($B5014=O$1, ($A5014+$C5014) - MAX(IF($B$2:$B5013=$B5014, $A$2:$A5013+$C$2:$C5013)), "")*24*60, "")</f>
        <v/>
      </c>
      <c r="P5014" s="24" t="str" cm="1">
        <f t="array" ref="P5014">IFERROR(IF($B5014=P$1, ($A5014+$C5014) - MAX(IF($B$2:$B5013=$B5014, $A$2:$A5013+$C$2:$C5013)), "")*24*60, "")</f>
        <v/>
      </c>
      <c r="Q5014" s="24" t="str" cm="1">
        <f t="array" ref="Q5014">IFERROR(IF($B5014=Q$1, ($A5014+$C5014) - MAX(IF($B$2:$B5013=$B5014, $A$2:$A5013+$C$2:$C5013)), "")*24*60, "")</f>
        <v/>
      </c>
    </row>
    <row r="5015" spans="1:17" x14ac:dyDescent="0.2">
      <c r="A5015" s="12">
        <f t="shared" ref="A5015:C5015" si="1351">A5014</f>
        <v>45980</v>
      </c>
      <c r="B5015" s="5" t="str">
        <f t="shared" si="1351"/>
        <v>Northern Cardinal</v>
      </c>
      <c r="C5015" s="6">
        <f t="shared" si="1351"/>
        <v>0.29166666666666669</v>
      </c>
      <c r="D5015" s="5"/>
      <c r="E5015" s="5"/>
      <c r="F5015" s="5" t="s">
        <v>8</v>
      </c>
      <c r="G5015" s="15" t="s">
        <v>9</v>
      </c>
      <c r="H5015" s="24">
        <f t="shared" si="1318"/>
        <v>0</v>
      </c>
      <c r="I5015" s="24" cm="1">
        <f t="array" ref="I5015">IFERROR(IF($B5015=I$1, ($A5015+$C5015) - MAX(IF($B$2:$B5014=$B5015, $A$2:$A5014+$C$2:$C5014)), "")*24*60, "")</f>
        <v>0</v>
      </c>
      <c r="J5015" s="24" t="str" cm="1">
        <f t="array" ref="J5015">IFERROR(IF($B5015=J$1, ($A5015+$C5015) - MAX(IF($B$2:$B5014=$B5015, $A$2:$A5014+$C$2:$C5014)), "")*24*60, "")</f>
        <v/>
      </c>
      <c r="K5015" s="24" t="str" cm="1">
        <f t="array" ref="K5015">IFERROR(IF($B5015=K$1, ($A5015+$C5015) - MAX(IF($B$2:$B5014=$B5015, $A$2:$A5014+$C$2:$C5014)), "")*24*60, "")</f>
        <v/>
      </c>
      <c r="L5015" s="24" t="str" cm="1">
        <f t="array" ref="L5015">IFERROR(IF($B5015=L$1, ($A5015+$C5015) - MAX(IF($B$2:$B5014=$B5015, $A$2:$A5014+$C$2:$C5014)), "")*24*60, "")</f>
        <v/>
      </c>
      <c r="M5015" s="24" t="str" cm="1">
        <f t="array" ref="M5015">IFERROR(IF($B5015=M$1, ($A5015+$C5015) - MAX(IF($B$2:$B5014=$B5015, $A$2:$A5014+$C$2:$C5014)), "")*24*60, "")</f>
        <v/>
      </c>
      <c r="N5015" s="24" t="str" cm="1">
        <f t="array" ref="N5015">IFERROR(IF($B5015=N$1, ($A5015+$C5015) - MAX(IF($B$2:$B5014=$B5015, $A$2:$A5014+$C$2:$C5014)), "")*24*60, "")</f>
        <v/>
      </c>
      <c r="O5015" s="24" t="str" cm="1">
        <f t="array" ref="O5015">IFERROR(IF($B5015=O$1, ($A5015+$C5015) - MAX(IF($B$2:$B5014=$B5015, $A$2:$A5014+$C$2:$C5014)), "")*24*60, "")</f>
        <v/>
      </c>
      <c r="P5015" s="24" t="str" cm="1">
        <f t="array" ref="P5015">IFERROR(IF($B5015=P$1, ($A5015+$C5015) - MAX(IF($B$2:$B5014=$B5015, $A$2:$A5014+$C$2:$C5014)), "")*24*60, "")</f>
        <v/>
      </c>
      <c r="Q5015" s="24" t="str" cm="1">
        <f t="array" ref="Q5015">IFERROR(IF($B5015=Q$1, ($A5015+$C5015) - MAX(IF($B$2:$B5014=$B5015, $A$2:$A5014+$C$2:$C5014)), "")*24*60, "")</f>
        <v/>
      </c>
    </row>
    <row r="5016" spans="1:17" x14ac:dyDescent="0.2">
      <c r="A5016" s="12">
        <f t="shared" ref="A5016:C5016" si="1352">A5015</f>
        <v>45980</v>
      </c>
      <c r="B5016" s="5" t="str">
        <f t="shared" si="1352"/>
        <v>Northern Cardinal</v>
      </c>
      <c r="C5016" s="6">
        <f t="shared" si="1352"/>
        <v>0.29166666666666669</v>
      </c>
      <c r="D5016" s="5"/>
      <c r="E5016" s="5"/>
      <c r="F5016" s="5" t="s">
        <v>8</v>
      </c>
      <c r="G5016" s="15" t="s">
        <v>9</v>
      </c>
      <c r="H5016" s="24">
        <f t="shared" si="1318"/>
        <v>0</v>
      </c>
      <c r="I5016" s="24" cm="1">
        <f t="array" ref="I5016">IFERROR(IF($B5016=I$1, ($A5016+$C5016) - MAX(IF($B$2:$B5015=$B5016, $A$2:$A5015+$C$2:$C5015)), "")*24*60, "")</f>
        <v>0</v>
      </c>
      <c r="J5016" s="24" t="str" cm="1">
        <f t="array" ref="J5016">IFERROR(IF($B5016=J$1, ($A5016+$C5016) - MAX(IF($B$2:$B5015=$B5016, $A$2:$A5015+$C$2:$C5015)), "")*24*60, "")</f>
        <v/>
      </c>
      <c r="K5016" s="24" t="str" cm="1">
        <f t="array" ref="K5016">IFERROR(IF($B5016=K$1, ($A5016+$C5016) - MAX(IF($B$2:$B5015=$B5016, $A$2:$A5015+$C$2:$C5015)), "")*24*60, "")</f>
        <v/>
      </c>
      <c r="L5016" s="24" t="str" cm="1">
        <f t="array" ref="L5016">IFERROR(IF($B5016=L$1, ($A5016+$C5016) - MAX(IF($B$2:$B5015=$B5016, $A$2:$A5015+$C$2:$C5015)), "")*24*60, "")</f>
        <v/>
      </c>
      <c r="M5016" s="24" t="str" cm="1">
        <f t="array" ref="M5016">IFERROR(IF($B5016=M$1, ($A5016+$C5016) - MAX(IF($B$2:$B5015=$B5016, $A$2:$A5015+$C$2:$C5015)), "")*24*60, "")</f>
        <v/>
      </c>
      <c r="N5016" s="24" t="str" cm="1">
        <f t="array" ref="N5016">IFERROR(IF($B5016=N$1, ($A5016+$C5016) - MAX(IF($B$2:$B5015=$B5016, $A$2:$A5015+$C$2:$C5015)), "")*24*60, "")</f>
        <v/>
      </c>
      <c r="O5016" s="24" t="str" cm="1">
        <f t="array" ref="O5016">IFERROR(IF($B5016=O$1, ($A5016+$C5016) - MAX(IF($B$2:$B5015=$B5016, $A$2:$A5015+$C$2:$C5015)), "")*24*60, "")</f>
        <v/>
      </c>
      <c r="P5016" s="24" t="str" cm="1">
        <f t="array" ref="P5016">IFERROR(IF($B5016=P$1, ($A5016+$C5016) - MAX(IF($B$2:$B5015=$B5016, $A$2:$A5015+$C$2:$C5015)), "")*24*60, "")</f>
        <v/>
      </c>
      <c r="Q5016" s="24" t="str" cm="1">
        <f t="array" ref="Q5016">IFERROR(IF($B5016=Q$1, ($A5016+$C5016) - MAX(IF($B$2:$B5015=$B5016, $A$2:$A5015+$C$2:$C5015)), "")*24*60, "")</f>
        <v/>
      </c>
    </row>
    <row r="5017" spans="1:17" x14ac:dyDescent="0.2">
      <c r="A5017" s="12">
        <f t="shared" ref="A5017:C5017" si="1353">A5016</f>
        <v>45980</v>
      </c>
      <c r="B5017" s="5" t="str">
        <f t="shared" si="1353"/>
        <v>Northern Cardinal</v>
      </c>
      <c r="C5017" s="6">
        <f t="shared" si="1353"/>
        <v>0.29166666666666669</v>
      </c>
      <c r="D5017" s="5"/>
      <c r="E5017" s="5"/>
      <c r="F5017" s="5" t="s">
        <v>8</v>
      </c>
      <c r="G5017" s="15" t="s">
        <v>9</v>
      </c>
      <c r="H5017" s="24">
        <f t="shared" si="1318"/>
        <v>0</v>
      </c>
      <c r="I5017" s="24" cm="1">
        <f t="array" ref="I5017">IFERROR(IF($B5017=I$1, ($A5017+$C5017) - MAX(IF($B$2:$B5016=$B5017, $A$2:$A5016+$C$2:$C5016)), "")*24*60, "")</f>
        <v>0</v>
      </c>
      <c r="J5017" s="24" t="str" cm="1">
        <f t="array" ref="J5017">IFERROR(IF($B5017=J$1, ($A5017+$C5017) - MAX(IF($B$2:$B5016=$B5017, $A$2:$A5016+$C$2:$C5016)), "")*24*60, "")</f>
        <v/>
      </c>
      <c r="K5017" s="24" t="str" cm="1">
        <f t="array" ref="K5017">IFERROR(IF($B5017=K$1, ($A5017+$C5017) - MAX(IF($B$2:$B5016=$B5017, $A$2:$A5016+$C$2:$C5016)), "")*24*60, "")</f>
        <v/>
      </c>
      <c r="L5017" s="24" t="str" cm="1">
        <f t="array" ref="L5017">IFERROR(IF($B5017=L$1, ($A5017+$C5017) - MAX(IF($B$2:$B5016=$B5017, $A$2:$A5016+$C$2:$C5016)), "")*24*60, "")</f>
        <v/>
      </c>
      <c r="M5017" s="24" t="str" cm="1">
        <f t="array" ref="M5017">IFERROR(IF($B5017=M$1, ($A5017+$C5017) - MAX(IF($B$2:$B5016=$B5017, $A$2:$A5016+$C$2:$C5016)), "")*24*60, "")</f>
        <v/>
      </c>
      <c r="N5017" s="24" t="str" cm="1">
        <f t="array" ref="N5017">IFERROR(IF($B5017=N$1, ($A5017+$C5017) - MAX(IF($B$2:$B5016=$B5017, $A$2:$A5016+$C$2:$C5016)), "")*24*60, "")</f>
        <v/>
      </c>
      <c r="O5017" s="24" t="str" cm="1">
        <f t="array" ref="O5017">IFERROR(IF($B5017=O$1, ($A5017+$C5017) - MAX(IF($B$2:$B5016=$B5017, $A$2:$A5016+$C$2:$C5016)), "")*24*60, "")</f>
        <v/>
      </c>
      <c r="P5017" s="24" t="str" cm="1">
        <f t="array" ref="P5017">IFERROR(IF($B5017=P$1, ($A5017+$C5017) - MAX(IF($B$2:$B5016=$B5017, $A$2:$A5016+$C$2:$C5016)), "")*24*60, "")</f>
        <v/>
      </c>
      <c r="Q5017" s="24" t="str" cm="1">
        <f t="array" ref="Q5017">IFERROR(IF($B5017=Q$1, ($A5017+$C5017) - MAX(IF($B$2:$B5016=$B5017, $A$2:$A5016+$C$2:$C5016)), "")*24*60, "")</f>
        <v/>
      </c>
    </row>
    <row r="5018" spans="1:17" x14ac:dyDescent="0.2">
      <c r="A5018" s="12">
        <f t="shared" ref="A5018:C5018" si="1354">A5017</f>
        <v>45980</v>
      </c>
      <c r="B5018" s="5" t="str">
        <f t="shared" si="1354"/>
        <v>Northern Cardinal</v>
      </c>
      <c r="C5018" s="6">
        <f t="shared" si="1354"/>
        <v>0.29166666666666669</v>
      </c>
      <c r="D5018" s="5"/>
      <c r="E5018" s="5"/>
      <c r="F5018" s="5" t="s">
        <v>8</v>
      </c>
      <c r="G5018" s="15" t="s">
        <v>9</v>
      </c>
      <c r="H5018" s="24">
        <f t="shared" si="1318"/>
        <v>0</v>
      </c>
      <c r="I5018" s="24" cm="1">
        <f t="array" ref="I5018">IFERROR(IF($B5018=I$1, ($A5018+$C5018) - MAX(IF($B$2:$B5017=$B5018, $A$2:$A5017+$C$2:$C5017)), "")*24*60, "")</f>
        <v>0</v>
      </c>
      <c r="J5018" s="24" t="str" cm="1">
        <f t="array" ref="J5018">IFERROR(IF($B5018=J$1, ($A5018+$C5018) - MAX(IF($B$2:$B5017=$B5018, $A$2:$A5017+$C$2:$C5017)), "")*24*60, "")</f>
        <v/>
      </c>
      <c r="K5018" s="24" t="str" cm="1">
        <f t="array" ref="K5018">IFERROR(IF($B5018=K$1, ($A5018+$C5018) - MAX(IF($B$2:$B5017=$B5018, $A$2:$A5017+$C$2:$C5017)), "")*24*60, "")</f>
        <v/>
      </c>
      <c r="L5018" s="24" t="str" cm="1">
        <f t="array" ref="L5018">IFERROR(IF($B5018=L$1, ($A5018+$C5018) - MAX(IF($B$2:$B5017=$B5018, $A$2:$A5017+$C$2:$C5017)), "")*24*60, "")</f>
        <v/>
      </c>
      <c r="M5018" s="24" t="str" cm="1">
        <f t="array" ref="M5018">IFERROR(IF($B5018=M$1, ($A5018+$C5018) - MAX(IF($B$2:$B5017=$B5018, $A$2:$A5017+$C$2:$C5017)), "")*24*60, "")</f>
        <v/>
      </c>
      <c r="N5018" s="24" t="str" cm="1">
        <f t="array" ref="N5018">IFERROR(IF($B5018=N$1, ($A5018+$C5018) - MAX(IF($B$2:$B5017=$B5018, $A$2:$A5017+$C$2:$C5017)), "")*24*60, "")</f>
        <v/>
      </c>
      <c r="O5018" s="24" t="str" cm="1">
        <f t="array" ref="O5018">IFERROR(IF($B5018=O$1, ($A5018+$C5018) - MAX(IF($B$2:$B5017=$B5018, $A$2:$A5017+$C$2:$C5017)), "")*24*60, "")</f>
        <v/>
      </c>
      <c r="P5018" s="24" t="str" cm="1">
        <f t="array" ref="P5018">IFERROR(IF($B5018=P$1, ($A5018+$C5018) - MAX(IF($B$2:$B5017=$B5018, $A$2:$A5017+$C$2:$C5017)), "")*24*60, "")</f>
        <v/>
      </c>
      <c r="Q5018" s="24" t="str" cm="1">
        <f t="array" ref="Q5018">IFERROR(IF($B5018=Q$1, ($A5018+$C5018) - MAX(IF($B$2:$B5017=$B5018, $A$2:$A5017+$C$2:$C5017)), "")*24*60, "")</f>
        <v/>
      </c>
    </row>
    <row r="5019" spans="1:17" x14ac:dyDescent="0.2">
      <c r="A5019" s="12">
        <f t="shared" ref="A5019:C5019" si="1355">A5018</f>
        <v>45980</v>
      </c>
      <c r="B5019" s="5" t="str">
        <f t="shared" si="1355"/>
        <v>Northern Cardinal</v>
      </c>
      <c r="C5019" s="6">
        <f t="shared" si="1355"/>
        <v>0.29166666666666669</v>
      </c>
      <c r="D5019" s="5"/>
      <c r="E5019" s="5"/>
      <c r="F5019" s="5" t="s">
        <v>8</v>
      </c>
      <c r="G5019" s="15" t="s">
        <v>9</v>
      </c>
      <c r="H5019" s="24">
        <f t="shared" si="1318"/>
        <v>0</v>
      </c>
      <c r="I5019" s="24" cm="1">
        <f t="array" ref="I5019">IFERROR(IF($B5019=I$1, ($A5019+$C5019) - MAX(IF($B$2:$B5018=$B5019, $A$2:$A5018+$C$2:$C5018)), "")*24*60, "")</f>
        <v>0</v>
      </c>
      <c r="J5019" s="24" t="str" cm="1">
        <f t="array" ref="J5019">IFERROR(IF($B5019=J$1, ($A5019+$C5019) - MAX(IF($B$2:$B5018=$B5019, $A$2:$A5018+$C$2:$C5018)), "")*24*60, "")</f>
        <v/>
      </c>
      <c r="K5019" s="24" t="str" cm="1">
        <f t="array" ref="K5019">IFERROR(IF($B5019=K$1, ($A5019+$C5019) - MAX(IF($B$2:$B5018=$B5019, $A$2:$A5018+$C$2:$C5018)), "")*24*60, "")</f>
        <v/>
      </c>
      <c r="L5019" s="24" t="str" cm="1">
        <f t="array" ref="L5019">IFERROR(IF($B5019=L$1, ($A5019+$C5019) - MAX(IF($B$2:$B5018=$B5019, $A$2:$A5018+$C$2:$C5018)), "")*24*60, "")</f>
        <v/>
      </c>
      <c r="M5019" s="24" t="str" cm="1">
        <f t="array" ref="M5019">IFERROR(IF($B5019=M$1, ($A5019+$C5019) - MAX(IF($B$2:$B5018=$B5019, $A$2:$A5018+$C$2:$C5018)), "")*24*60, "")</f>
        <v/>
      </c>
      <c r="N5019" s="24" t="str" cm="1">
        <f t="array" ref="N5019">IFERROR(IF($B5019=N$1, ($A5019+$C5019) - MAX(IF($B$2:$B5018=$B5019, $A$2:$A5018+$C$2:$C5018)), "")*24*60, "")</f>
        <v/>
      </c>
      <c r="O5019" s="24" t="str" cm="1">
        <f t="array" ref="O5019">IFERROR(IF($B5019=O$1, ($A5019+$C5019) - MAX(IF($B$2:$B5018=$B5019, $A$2:$A5018+$C$2:$C5018)), "")*24*60, "")</f>
        <v/>
      </c>
      <c r="P5019" s="24" t="str" cm="1">
        <f t="array" ref="P5019">IFERROR(IF($B5019=P$1, ($A5019+$C5019) - MAX(IF($B$2:$B5018=$B5019, $A$2:$A5018+$C$2:$C5018)), "")*24*60, "")</f>
        <v/>
      </c>
      <c r="Q5019" s="24" t="str" cm="1">
        <f t="array" ref="Q5019">IFERROR(IF($B5019=Q$1, ($A5019+$C5019) - MAX(IF($B$2:$B5018=$B5019, $A$2:$A5018+$C$2:$C5018)), "")*24*60, "")</f>
        <v/>
      </c>
    </row>
    <row r="5020" spans="1:17" x14ac:dyDescent="0.2">
      <c r="A5020" s="12">
        <f t="shared" ref="A5020:C5020" si="1356">A5019</f>
        <v>45980</v>
      </c>
      <c r="B5020" s="5" t="str">
        <f t="shared" si="1356"/>
        <v>Northern Cardinal</v>
      </c>
      <c r="C5020" s="6">
        <f t="shared" si="1356"/>
        <v>0.29166666666666669</v>
      </c>
      <c r="D5020" s="5"/>
      <c r="E5020" s="5"/>
      <c r="F5020" s="5" t="s">
        <v>8</v>
      </c>
      <c r="G5020" s="15" t="s">
        <v>9</v>
      </c>
      <c r="H5020" s="24">
        <f t="shared" si="1318"/>
        <v>0</v>
      </c>
      <c r="I5020" s="24" cm="1">
        <f t="array" ref="I5020">IFERROR(IF($B5020=I$1, ($A5020+$C5020) - MAX(IF($B$2:$B5019=$B5020, $A$2:$A5019+$C$2:$C5019)), "")*24*60, "")</f>
        <v>0</v>
      </c>
      <c r="J5020" s="24" t="str" cm="1">
        <f t="array" ref="J5020">IFERROR(IF($B5020=J$1, ($A5020+$C5020) - MAX(IF($B$2:$B5019=$B5020, $A$2:$A5019+$C$2:$C5019)), "")*24*60, "")</f>
        <v/>
      </c>
      <c r="K5020" s="24" t="str" cm="1">
        <f t="array" ref="K5020">IFERROR(IF($B5020=K$1, ($A5020+$C5020) - MAX(IF($B$2:$B5019=$B5020, $A$2:$A5019+$C$2:$C5019)), "")*24*60, "")</f>
        <v/>
      </c>
      <c r="L5020" s="24" t="str" cm="1">
        <f t="array" ref="L5020">IFERROR(IF($B5020=L$1, ($A5020+$C5020) - MAX(IF($B$2:$B5019=$B5020, $A$2:$A5019+$C$2:$C5019)), "")*24*60, "")</f>
        <v/>
      </c>
      <c r="M5020" s="24" t="str" cm="1">
        <f t="array" ref="M5020">IFERROR(IF($B5020=M$1, ($A5020+$C5020) - MAX(IF($B$2:$B5019=$B5020, $A$2:$A5019+$C$2:$C5019)), "")*24*60, "")</f>
        <v/>
      </c>
      <c r="N5020" s="24" t="str" cm="1">
        <f t="array" ref="N5020">IFERROR(IF($B5020=N$1, ($A5020+$C5020) - MAX(IF($B$2:$B5019=$B5020, $A$2:$A5019+$C$2:$C5019)), "")*24*60, "")</f>
        <v/>
      </c>
      <c r="O5020" s="24" t="str" cm="1">
        <f t="array" ref="O5020">IFERROR(IF($B5020=O$1, ($A5020+$C5020) - MAX(IF($B$2:$B5019=$B5020, $A$2:$A5019+$C$2:$C5019)), "")*24*60, "")</f>
        <v/>
      </c>
      <c r="P5020" s="24" t="str" cm="1">
        <f t="array" ref="P5020">IFERROR(IF($B5020=P$1, ($A5020+$C5020) - MAX(IF($B$2:$B5019=$B5020, $A$2:$A5019+$C$2:$C5019)), "")*24*60, "")</f>
        <v/>
      </c>
      <c r="Q5020" s="24" t="str" cm="1">
        <f t="array" ref="Q5020">IFERROR(IF($B5020=Q$1, ($A5020+$C5020) - MAX(IF($B$2:$B5019=$B5020, $A$2:$A5019+$C$2:$C5019)), "")*24*60, "")</f>
        <v/>
      </c>
    </row>
    <row r="5021" spans="1:17" x14ac:dyDescent="0.2">
      <c r="A5021" s="12">
        <f t="shared" ref="A5021:C5021" si="1357">A5020</f>
        <v>45980</v>
      </c>
      <c r="B5021" s="5" t="str">
        <f t="shared" si="1357"/>
        <v>Northern Cardinal</v>
      </c>
      <c r="C5021" s="6">
        <f t="shared" si="1357"/>
        <v>0.29166666666666669</v>
      </c>
      <c r="D5021" s="5"/>
      <c r="E5021" s="5"/>
      <c r="F5021" s="5" t="s">
        <v>8</v>
      </c>
      <c r="G5021" s="15" t="s">
        <v>9</v>
      </c>
      <c r="H5021" s="24">
        <f t="shared" si="1318"/>
        <v>0</v>
      </c>
      <c r="I5021" s="24" cm="1">
        <f t="array" ref="I5021">IFERROR(IF($B5021=I$1, ($A5021+$C5021) - MAX(IF($B$2:$B5020=$B5021, $A$2:$A5020+$C$2:$C5020)), "")*24*60, "")</f>
        <v>0</v>
      </c>
      <c r="J5021" s="24" t="str" cm="1">
        <f t="array" ref="J5021">IFERROR(IF($B5021=J$1, ($A5021+$C5021) - MAX(IF($B$2:$B5020=$B5021, $A$2:$A5020+$C$2:$C5020)), "")*24*60, "")</f>
        <v/>
      </c>
      <c r="K5021" s="24" t="str" cm="1">
        <f t="array" ref="K5021">IFERROR(IF($B5021=K$1, ($A5021+$C5021) - MAX(IF($B$2:$B5020=$B5021, $A$2:$A5020+$C$2:$C5020)), "")*24*60, "")</f>
        <v/>
      </c>
      <c r="L5021" s="24" t="str" cm="1">
        <f t="array" ref="L5021">IFERROR(IF($B5021=L$1, ($A5021+$C5021) - MAX(IF($B$2:$B5020=$B5021, $A$2:$A5020+$C$2:$C5020)), "")*24*60, "")</f>
        <v/>
      </c>
      <c r="M5021" s="24" t="str" cm="1">
        <f t="array" ref="M5021">IFERROR(IF($B5021=M$1, ($A5021+$C5021) - MAX(IF($B$2:$B5020=$B5021, $A$2:$A5020+$C$2:$C5020)), "")*24*60, "")</f>
        <v/>
      </c>
      <c r="N5021" s="24" t="str" cm="1">
        <f t="array" ref="N5021">IFERROR(IF($B5021=N$1, ($A5021+$C5021) - MAX(IF($B$2:$B5020=$B5021, $A$2:$A5020+$C$2:$C5020)), "")*24*60, "")</f>
        <v/>
      </c>
      <c r="O5021" s="24" t="str" cm="1">
        <f t="array" ref="O5021">IFERROR(IF($B5021=O$1, ($A5021+$C5021) - MAX(IF($B$2:$B5020=$B5021, $A$2:$A5020+$C$2:$C5020)), "")*24*60, "")</f>
        <v/>
      </c>
      <c r="P5021" s="24" t="str" cm="1">
        <f t="array" ref="P5021">IFERROR(IF($B5021=P$1, ($A5021+$C5021) - MAX(IF($B$2:$B5020=$B5021, $A$2:$A5020+$C$2:$C5020)), "")*24*60, "")</f>
        <v/>
      </c>
      <c r="Q5021" s="24" t="str" cm="1">
        <f t="array" ref="Q5021">IFERROR(IF($B5021=Q$1, ($A5021+$C5021) - MAX(IF($B$2:$B5020=$B5021, $A$2:$A5020+$C$2:$C5020)), "")*24*60, "")</f>
        <v/>
      </c>
    </row>
    <row r="5022" spans="1:17" x14ac:dyDescent="0.2">
      <c r="A5022" s="12">
        <f t="shared" ref="A5022:C5022" si="1358">A5021</f>
        <v>45980</v>
      </c>
      <c r="B5022" s="5" t="str">
        <f t="shared" si="1358"/>
        <v>Northern Cardinal</v>
      </c>
      <c r="C5022" s="6">
        <f t="shared" si="1358"/>
        <v>0.29166666666666669</v>
      </c>
      <c r="D5022" s="5"/>
      <c r="E5022" s="5"/>
      <c r="F5022" s="5" t="s">
        <v>8</v>
      </c>
      <c r="G5022" s="15" t="s">
        <v>9</v>
      </c>
      <c r="H5022" s="24">
        <f t="shared" si="1318"/>
        <v>0</v>
      </c>
      <c r="I5022" s="24" cm="1">
        <f t="array" ref="I5022">IFERROR(IF($B5022=I$1, ($A5022+$C5022) - MAX(IF($B$2:$B5021=$B5022, $A$2:$A5021+$C$2:$C5021)), "")*24*60, "")</f>
        <v>0</v>
      </c>
      <c r="J5022" s="24" t="str" cm="1">
        <f t="array" ref="J5022">IFERROR(IF($B5022=J$1, ($A5022+$C5022) - MAX(IF($B$2:$B5021=$B5022, $A$2:$A5021+$C$2:$C5021)), "")*24*60, "")</f>
        <v/>
      </c>
      <c r="K5022" s="24" t="str" cm="1">
        <f t="array" ref="K5022">IFERROR(IF($B5022=K$1, ($A5022+$C5022) - MAX(IF($B$2:$B5021=$B5022, $A$2:$A5021+$C$2:$C5021)), "")*24*60, "")</f>
        <v/>
      </c>
      <c r="L5022" s="24" t="str" cm="1">
        <f t="array" ref="L5022">IFERROR(IF($B5022=L$1, ($A5022+$C5022) - MAX(IF($B$2:$B5021=$B5022, $A$2:$A5021+$C$2:$C5021)), "")*24*60, "")</f>
        <v/>
      </c>
      <c r="M5022" s="24" t="str" cm="1">
        <f t="array" ref="M5022">IFERROR(IF($B5022=M$1, ($A5022+$C5022) - MAX(IF($B$2:$B5021=$B5022, $A$2:$A5021+$C$2:$C5021)), "")*24*60, "")</f>
        <v/>
      </c>
      <c r="N5022" s="24" t="str" cm="1">
        <f t="array" ref="N5022">IFERROR(IF($B5022=N$1, ($A5022+$C5022) - MAX(IF($B$2:$B5021=$B5022, $A$2:$A5021+$C$2:$C5021)), "")*24*60, "")</f>
        <v/>
      </c>
      <c r="O5022" s="24" t="str" cm="1">
        <f t="array" ref="O5022">IFERROR(IF($B5022=O$1, ($A5022+$C5022) - MAX(IF($B$2:$B5021=$B5022, $A$2:$A5021+$C$2:$C5021)), "")*24*60, "")</f>
        <v/>
      </c>
      <c r="P5022" s="24" t="str" cm="1">
        <f t="array" ref="P5022">IFERROR(IF($B5022=P$1, ($A5022+$C5022) - MAX(IF($B$2:$B5021=$B5022, $A$2:$A5021+$C$2:$C5021)), "")*24*60, "")</f>
        <v/>
      </c>
      <c r="Q5022" s="24" t="str" cm="1">
        <f t="array" ref="Q5022">IFERROR(IF($B5022=Q$1, ($A5022+$C5022) - MAX(IF($B$2:$B5021=$B5022, $A$2:$A5021+$C$2:$C5021)), "")*24*60, "")</f>
        <v/>
      </c>
    </row>
    <row r="5023" spans="1:17" x14ac:dyDescent="0.2">
      <c r="A5023" s="12">
        <f t="shared" ref="A5023:C5023" si="1359">A5022</f>
        <v>45980</v>
      </c>
      <c r="B5023" s="5" t="str">
        <f t="shared" si="1359"/>
        <v>Northern Cardinal</v>
      </c>
      <c r="C5023" s="6">
        <f t="shared" si="1359"/>
        <v>0.29166666666666669</v>
      </c>
      <c r="D5023" s="5"/>
      <c r="E5023" s="5"/>
      <c r="F5023" s="5" t="s">
        <v>8</v>
      </c>
      <c r="G5023" s="15" t="s">
        <v>9</v>
      </c>
      <c r="H5023" s="24">
        <f t="shared" si="1318"/>
        <v>0</v>
      </c>
      <c r="I5023" s="24" cm="1">
        <f t="array" ref="I5023">IFERROR(IF($B5023=I$1, ($A5023+$C5023) - MAX(IF($B$2:$B5022=$B5023, $A$2:$A5022+$C$2:$C5022)), "")*24*60, "")</f>
        <v>0</v>
      </c>
      <c r="J5023" s="24" t="str" cm="1">
        <f t="array" ref="J5023">IFERROR(IF($B5023=J$1, ($A5023+$C5023) - MAX(IF($B$2:$B5022=$B5023, $A$2:$A5022+$C$2:$C5022)), "")*24*60, "")</f>
        <v/>
      </c>
      <c r="K5023" s="24" t="str" cm="1">
        <f t="array" ref="K5023">IFERROR(IF($B5023=K$1, ($A5023+$C5023) - MAX(IF($B$2:$B5022=$B5023, $A$2:$A5022+$C$2:$C5022)), "")*24*60, "")</f>
        <v/>
      </c>
      <c r="L5023" s="24" t="str" cm="1">
        <f t="array" ref="L5023">IFERROR(IF($B5023=L$1, ($A5023+$C5023) - MAX(IF($B$2:$B5022=$B5023, $A$2:$A5022+$C$2:$C5022)), "")*24*60, "")</f>
        <v/>
      </c>
      <c r="M5023" s="24" t="str" cm="1">
        <f t="array" ref="M5023">IFERROR(IF($B5023=M$1, ($A5023+$C5023) - MAX(IF($B$2:$B5022=$B5023, $A$2:$A5022+$C$2:$C5022)), "")*24*60, "")</f>
        <v/>
      </c>
      <c r="N5023" s="24" t="str" cm="1">
        <f t="array" ref="N5023">IFERROR(IF($B5023=N$1, ($A5023+$C5023) - MAX(IF($B$2:$B5022=$B5023, $A$2:$A5022+$C$2:$C5022)), "")*24*60, "")</f>
        <v/>
      </c>
      <c r="O5023" s="24" t="str" cm="1">
        <f t="array" ref="O5023">IFERROR(IF($B5023=O$1, ($A5023+$C5023) - MAX(IF($B$2:$B5022=$B5023, $A$2:$A5022+$C$2:$C5022)), "")*24*60, "")</f>
        <v/>
      </c>
      <c r="P5023" s="24" t="str" cm="1">
        <f t="array" ref="P5023">IFERROR(IF($B5023=P$1, ($A5023+$C5023) - MAX(IF($B$2:$B5022=$B5023, $A$2:$A5022+$C$2:$C5022)), "")*24*60, "")</f>
        <v/>
      </c>
      <c r="Q5023" s="24" t="str" cm="1">
        <f t="array" ref="Q5023">IFERROR(IF($B5023=Q$1, ($A5023+$C5023) - MAX(IF($B$2:$B5022=$B5023, $A$2:$A5022+$C$2:$C5022)), "")*24*60, "")</f>
        <v/>
      </c>
    </row>
    <row r="5024" spans="1:17" x14ac:dyDescent="0.2">
      <c r="A5024" s="12">
        <f t="shared" ref="A5024:C5024" si="1360">A5023</f>
        <v>45980</v>
      </c>
      <c r="B5024" s="5" t="str">
        <f t="shared" si="1360"/>
        <v>Northern Cardinal</v>
      </c>
      <c r="C5024" s="6">
        <f t="shared" si="1360"/>
        <v>0.29166666666666669</v>
      </c>
      <c r="D5024" s="5"/>
      <c r="E5024" s="5"/>
      <c r="F5024" s="5" t="s">
        <v>8</v>
      </c>
      <c r="G5024" s="15" t="s">
        <v>9</v>
      </c>
      <c r="H5024" s="24">
        <f t="shared" si="1318"/>
        <v>0</v>
      </c>
      <c r="I5024" s="24" cm="1">
        <f t="array" ref="I5024">IFERROR(IF($B5024=I$1, ($A5024+$C5024) - MAX(IF($B$2:$B5023=$B5024, $A$2:$A5023+$C$2:$C5023)), "")*24*60, "")</f>
        <v>0</v>
      </c>
      <c r="J5024" s="24" t="str" cm="1">
        <f t="array" ref="J5024">IFERROR(IF($B5024=J$1, ($A5024+$C5024) - MAX(IF($B$2:$B5023=$B5024, $A$2:$A5023+$C$2:$C5023)), "")*24*60, "")</f>
        <v/>
      </c>
      <c r="K5024" s="24" t="str" cm="1">
        <f t="array" ref="K5024">IFERROR(IF($B5024=K$1, ($A5024+$C5024) - MAX(IF($B$2:$B5023=$B5024, $A$2:$A5023+$C$2:$C5023)), "")*24*60, "")</f>
        <v/>
      </c>
      <c r="L5024" s="24" t="str" cm="1">
        <f t="array" ref="L5024">IFERROR(IF($B5024=L$1, ($A5024+$C5024) - MAX(IF($B$2:$B5023=$B5024, $A$2:$A5023+$C$2:$C5023)), "")*24*60, "")</f>
        <v/>
      </c>
      <c r="M5024" s="24" t="str" cm="1">
        <f t="array" ref="M5024">IFERROR(IF($B5024=M$1, ($A5024+$C5024) - MAX(IF($B$2:$B5023=$B5024, $A$2:$A5023+$C$2:$C5023)), "")*24*60, "")</f>
        <v/>
      </c>
      <c r="N5024" s="24" t="str" cm="1">
        <f t="array" ref="N5024">IFERROR(IF($B5024=N$1, ($A5024+$C5024) - MAX(IF($B$2:$B5023=$B5024, $A$2:$A5023+$C$2:$C5023)), "")*24*60, "")</f>
        <v/>
      </c>
      <c r="O5024" s="24" t="str" cm="1">
        <f t="array" ref="O5024">IFERROR(IF($B5024=O$1, ($A5024+$C5024) - MAX(IF($B$2:$B5023=$B5024, $A$2:$A5023+$C$2:$C5023)), "")*24*60, "")</f>
        <v/>
      </c>
      <c r="P5024" s="24" t="str" cm="1">
        <f t="array" ref="P5024">IFERROR(IF($B5024=P$1, ($A5024+$C5024) - MAX(IF($B$2:$B5023=$B5024, $A$2:$A5023+$C$2:$C5023)), "")*24*60, "")</f>
        <v/>
      </c>
      <c r="Q5024" s="24" t="str" cm="1">
        <f t="array" ref="Q5024">IFERROR(IF($B5024=Q$1, ($A5024+$C5024) - MAX(IF($B$2:$B5023=$B5024, $A$2:$A5023+$C$2:$C5023)), "")*24*60, "")</f>
        <v/>
      </c>
    </row>
    <row r="5025" spans="1:17" x14ac:dyDescent="0.2">
      <c r="A5025" s="12">
        <f t="shared" ref="A5025:C5025" si="1361">A5024</f>
        <v>45980</v>
      </c>
      <c r="B5025" s="5" t="str">
        <f t="shared" si="1361"/>
        <v>Northern Cardinal</v>
      </c>
      <c r="C5025" s="6">
        <f t="shared" si="1361"/>
        <v>0.29166666666666669</v>
      </c>
      <c r="D5025" s="5"/>
      <c r="E5025" s="5"/>
      <c r="F5025" s="5" t="s">
        <v>8</v>
      </c>
      <c r="G5025" s="15" t="s">
        <v>9</v>
      </c>
      <c r="H5025" s="24">
        <f t="shared" si="1318"/>
        <v>0</v>
      </c>
      <c r="I5025" s="24" cm="1">
        <f t="array" ref="I5025">IFERROR(IF($B5025=I$1, ($A5025+$C5025) - MAX(IF($B$2:$B5024=$B5025, $A$2:$A5024+$C$2:$C5024)), "")*24*60, "")</f>
        <v>0</v>
      </c>
      <c r="J5025" s="24" t="str" cm="1">
        <f t="array" ref="J5025">IFERROR(IF($B5025=J$1, ($A5025+$C5025) - MAX(IF($B$2:$B5024=$B5025, $A$2:$A5024+$C$2:$C5024)), "")*24*60, "")</f>
        <v/>
      </c>
      <c r="K5025" s="24" t="str" cm="1">
        <f t="array" ref="K5025">IFERROR(IF($B5025=K$1, ($A5025+$C5025) - MAX(IF($B$2:$B5024=$B5025, $A$2:$A5024+$C$2:$C5024)), "")*24*60, "")</f>
        <v/>
      </c>
      <c r="L5025" s="24" t="str" cm="1">
        <f t="array" ref="L5025">IFERROR(IF($B5025=L$1, ($A5025+$C5025) - MAX(IF($B$2:$B5024=$B5025, $A$2:$A5024+$C$2:$C5024)), "")*24*60, "")</f>
        <v/>
      </c>
      <c r="M5025" s="24" t="str" cm="1">
        <f t="array" ref="M5025">IFERROR(IF($B5025=M$1, ($A5025+$C5025) - MAX(IF($B$2:$B5024=$B5025, $A$2:$A5024+$C$2:$C5024)), "")*24*60, "")</f>
        <v/>
      </c>
      <c r="N5025" s="24" t="str" cm="1">
        <f t="array" ref="N5025">IFERROR(IF($B5025=N$1, ($A5025+$C5025) - MAX(IF($B$2:$B5024=$B5025, $A$2:$A5024+$C$2:$C5024)), "")*24*60, "")</f>
        <v/>
      </c>
      <c r="O5025" s="24" t="str" cm="1">
        <f t="array" ref="O5025">IFERROR(IF($B5025=O$1, ($A5025+$C5025) - MAX(IF($B$2:$B5024=$B5025, $A$2:$A5024+$C$2:$C5024)), "")*24*60, "")</f>
        <v/>
      </c>
      <c r="P5025" s="24" t="str" cm="1">
        <f t="array" ref="P5025">IFERROR(IF($B5025=P$1, ($A5025+$C5025) - MAX(IF($B$2:$B5024=$B5025, $A$2:$A5024+$C$2:$C5024)), "")*24*60, "")</f>
        <v/>
      </c>
      <c r="Q5025" s="24" t="str" cm="1">
        <f t="array" ref="Q5025">IFERROR(IF($B5025=Q$1, ($A5025+$C5025) - MAX(IF($B$2:$B5024=$B5025, $A$2:$A5024+$C$2:$C5024)), "")*24*60, "")</f>
        <v/>
      </c>
    </row>
    <row r="5026" spans="1:17" x14ac:dyDescent="0.2">
      <c r="A5026" s="12">
        <f t="shared" ref="A5026:C5026" si="1362">A5025</f>
        <v>45980</v>
      </c>
      <c r="B5026" s="5" t="str">
        <f t="shared" si="1362"/>
        <v>Northern Cardinal</v>
      </c>
      <c r="C5026" s="6">
        <f t="shared" si="1362"/>
        <v>0.29166666666666669</v>
      </c>
      <c r="D5026" s="5"/>
      <c r="E5026" s="5"/>
      <c r="F5026" s="5" t="s">
        <v>8</v>
      </c>
      <c r="G5026" s="15" t="s">
        <v>9</v>
      </c>
      <c r="H5026" s="24">
        <f t="shared" si="1318"/>
        <v>0</v>
      </c>
      <c r="I5026" s="24" cm="1">
        <f t="array" ref="I5026">IFERROR(IF($B5026=I$1, ($A5026+$C5026) - MAX(IF($B$2:$B5025=$B5026, $A$2:$A5025+$C$2:$C5025)), "")*24*60, "")</f>
        <v>0</v>
      </c>
      <c r="J5026" s="24" t="str" cm="1">
        <f t="array" ref="J5026">IFERROR(IF($B5026=J$1, ($A5026+$C5026) - MAX(IF($B$2:$B5025=$B5026, $A$2:$A5025+$C$2:$C5025)), "")*24*60, "")</f>
        <v/>
      </c>
      <c r="K5026" s="24" t="str" cm="1">
        <f t="array" ref="K5026">IFERROR(IF($B5026=K$1, ($A5026+$C5026) - MAX(IF($B$2:$B5025=$B5026, $A$2:$A5025+$C$2:$C5025)), "")*24*60, "")</f>
        <v/>
      </c>
      <c r="L5026" s="24" t="str" cm="1">
        <f t="array" ref="L5026">IFERROR(IF($B5026=L$1, ($A5026+$C5026) - MAX(IF($B$2:$B5025=$B5026, $A$2:$A5025+$C$2:$C5025)), "")*24*60, "")</f>
        <v/>
      </c>
      <c r="M5026" s="24" t="str" cm="1">
        <f t="array" ref="M5026">IFERROR(IF($B5026=M$1, ($A5026+$C5026) - MAX(IF($B$2:$B5025=$B5026, $A$2:$A5025+$C$2:$C5025)), "")*24*60, "")</f>
        <v/>
      </c>
      <c r="N5026" s="24" t="str" cm="1">
        <f t="array" ref="N5026">IFERROR(IF($B5026=N$1, ($A5026+$C5026) - MAX(IF($B$2:$B5025=$B5026, $A$2:$A5025+$C$2:$C5025)), "")*24*60, "")</f>
        <v/>
      </c>
      <c r="O5026" s="24" t="str" cm="1">
        <f t="array" ref="O5026">IFERROR(IF($B5026=O$1, ($A5026+$C5026) - MAX(IF($B$2:$B5025=$B5026, $A$2:$A5025+$C$2:$C5025)), "")*24*60, "")</f>
        <v/>
      </c>
      <c r="P5026" s="24" t="str" cm="1">
        <f t="array" ref="P5026">IFERROR(IF($B5026=P$1, ($A5026+$C5026) - MAX(IF($B$2:$B5025=$B5026, $A$2:$A5025+$C$2:$C5025)), "")*24*60, "")</f>
        <v/>
      </c>
      <c r="Q5026" s="24" t="str" cm="1">
        <f t="array" ref="Q5026">IFERROR(IF($B5026=Q$1, ($A5026+$C5026) - MAX(IF($B$2:$B5025=$B5026, $A$2:$A5025+$C$2:$C5025)), "")*24*60, "")</f>
        <v/>
      </c>
    </row>
    <row r="5027" spans="1:17" x14ac:dyDescent="0.2">
      <c r="A5027" s="12">
        <f t="shared" ref="A5027:C5027" si="1363">A5026</f>
        <v>45980</v>
      </c>
      <c r="B5027" s="5" t="str">
        <f t="shared" si="1363"/>
        <v>Northern Cardinal</v>
      </c>
      <c r="C5027" s="6">
        <f t="shared" si="1363"/>
        <v>0.29166666666666669</v>
      </c>
      <c r="D5027" s="5"/>
      <c r="E5027" s="5"/>
      <c r="F5027" s="5" t="s">
        <v>8</v>
      </c>
      <c r="G5027" s="15" t="s">
        <v>9</v>
      </c>
      <c r="H5027" s="24">
        <f t="shared" si="1318"/>
        <v>0</v>
      </c>
      <c r="I5027" s="24" cm="1">
        <f t="array" ref="I5027">IFERROR(IF($B5027=I$1, ($A5027+$C5027) - MAX(IF($B$2:$B5026=$B5027, $A$2:$A5026+$C$2:$C5026)), "")*24*60, "")</f>
        <v>0</v>
      </c>
      <c r="J5027" s="24" t="str" cm="1">
        <f t="array" ref="J5027">IFERROR(IF($B5027=J$1, ($A5027+$C5027) - MAX(IF($B$2:$B5026=$B5027, $A$2:$A5026+$C$2:$C5026)), "")*24*60, "")</f>
        <v/>
      </c>
      <c r="K5027" s="24" t="str" cm="1">
        <f t="array" ref="K5027">IFERROR(IF($B5027=K$1, ($A5027+$C5027) - MAX(IF($B$2:$B5026=$B5027, $A$2:$A5026+$C$2:$C5026)), "")*24*60, "")</f>
        <v/>
      </c>
      <c r="L5027" s="24" t="str" cm="1">
        <f t="array" ref="L5027">IFERROR(IF($B5027=L$1, ($A5027+$C5027) - MAX(IF($B$2:$B5026=$B5027, $A$2:$A5026+$C$2:$C5026)), "")*24*60, "")</f>
        <v/>
      </c>
      <c r="M5027" s="24" t="str" cm="1">
        <f t="array" ref="M5027">IFERROR(IF($B5027=M$1, ($A5027+$C5027) - MAX(IF($B$2:$B5026=$B5027, $A$2:$A5026+$C$2:$C5026)), "")*24*60, "")</f>
        <v/>
      </c>
      <c r="N5027" s="24" t="str" cm="1">
        <f t="array" ref="N5027">IFERROR(IF($B5027=N$1, ($A5027+$C5027) - MAX(IF($B$2:$B5026=$B5027, $A$2:$A5026+$C$2:$C5026)), "")*24*60, "")</f>
        <v/>
      </c>
      <c r="O5027" s="24" t="str" cm="1">
        <f t="array" ref="O5027">IFERROR(IF($B5027=O$1, ($A5027+$C5027) - MAX(IF($B$2:$B5026=$B5027, $A$2:$A5026+$C$2:$C5026)), "")*24*60, "")</f>
        <v/>
      </c>
      <c r="P5027" s="24" t="str" cm="1">
        <f t="array" ref="P5027">IFERROR(IF($B5027=P$1, ($A5027+$C5027) - MAX(IF($B$2:$B5026=$B5027, $A$2:$A5026+$C$2:$C5026)), "")*24*60, "")</f>
        <v/>
      </c>
      <c r="Q5027" s="24" t="str" cm="1">
        <f t="array" ref="Q5027">IFERROR(IF($B5027=Q$1, ($A5027+$C5027) - MAX(IF($B$2:$B5026=$B5027, $A$2:$A5026+$C$2:$C5026)),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68"/>
  <sheetViews>
    <sheetView tabSelected="1" zoomScale="120" zoomScaleNormal="120" workbookViewId="0">
      <pane ySplit="1" topLeftCell="A153" activePane="bottomLeft" state="frozen"/>
      <selection pane="bottomLeft" activeCell="A163" sqref="A163:E16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10">
        <v>45979</v>
      </c>
      <c r="B168" s="11" t="s">
        <v>23</v>
      </c>
      <c r="C168" s="11">
        <f>COUNTIFS(RawData!$B:$B, $B168, RawData!$A:$A, DailySummaries!$A168)</f>
        <v>4</v>
      </c>
      <c r="D168" s="11">
        <f>SUMIFS(RawData!$D:$D,RawData!$B:$B,$B168,RawData!$A:$A,DailySummaries!$A168)+1</f>
        <v>7</v>
      </c>
      <c r="E168" s="11">
        <f>SUMIFS(RawData!$E:$E,RawData!$B:$B,$B168,RawData!$A:$A,DailySummaries!$A168)+1</f>
        <v>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2025-11-19T10:14:14Z</dcterms:modified>
</cp:coreProperties>
</file>
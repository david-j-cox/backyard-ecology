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ropbox/Miscellaneous/backyard-ecology/data/"/>
    </mc:Choice>
  </mc:AlternateContent>
  <xr:revisionPtr revIDLastSave="0" documentId="13_ncr:1_{3BCE1B34-F841-A14E-8E36-342403B70D48}" xr6:coauthVersionLast="47" xr6:coauthVersionMax="47" xr10:uidLastSave="{00000000-0000-0000-0000-000000000000}"/>
  <bookViews>
    <workbookView xWindow="0" yWindow="600" windowWidth="33600" windowHeight="1924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" i="2" l="1"/>
  <c r="D340" i="2"/>
  <c r="C340" i="2"/>
  <c r="E339" i="2"/>
  <c r="D339" i="2"/>
  <c r="C339" i="2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L7977" i="1" l="1" a="1"/>
  <c r="L7977" i="1" s="1"/>
  <c r="P7977" i="1" a="1"/>
  <c r="P7977" i="1" s="1"/>
  <c r="B7978" i="1"/>
  <c r="A7979" i="1"/>
  <c r="I7977" i="1" a="1"/>
  <c r="I7977" i="1" s="1"/>
  <c r="M7977" i="1" a="1"/>
  <c r="M7977" i="1" s="1"/>
  <c r="H7979" i="1" l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B7980" i="1" l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H7981" i="1" l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H7982" i="1" l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R7982" i="1" l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Q7983" i="1" l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H7985" i="1" l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B7986" i="1" l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7988" i="1" l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S7987" i="1" l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7990" i="1" l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R7989" i="1" l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H7991" i="1" l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B7992" i="1" l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B8773" i="1" l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M8773" i="1" l="1" a="1"/>
  <c r="M8773" i="1" s="1"/>
  <c r="Q8773" i="1" a="1"/>
  <c r="Q8773" i="1" s="1"/>
  <c r="J8773" i="1" a="1"/>
  <c r="J8773" i="1" s="1"/>
  <c r="O8773" i="1" a="1"/>
  <c r="O8773" i="1" s="1"/>
  <c r="B8774" i="1"/>
  <c r="K8773" i="1" a="1"/>
  <c r="K8773" i="1" s="1"/>
  <c r="P8773" i="1" a="1"/>
  <c r="P8773" i="1" s="1"/>
  <c r="L8773" i="1" a="1"/>
  <c r="L8773" i="1" s="1"/>
  <c r="N8773" i="1" a="1"/>
  <c r="N8773" i="1" s="1"/>
  <c r="R8773" i="1" a="1"/>
  <c r="R8773" i="1" s="1"/>
  <c r="S8773" i="1" a="1"/>
  <c r="S8773" i="1" s="1"/>
  <c r="A8774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L8774" i="1" l="1" a="1"/>
  <c r="L8774" i="1" s="1"/>
  <c r="P8774" i="1" a="1"/>
  <c r="P8774" i="1" s="1"/>
  <c r="B8775" i="1"/>
  <c r="M8774" i="1" a="1"/>
  <c r="M8774" i="1" s="1"/>
  <c r="R8774" i="1" a="1"/>
  <c r="R8774" i="1" s="1"/>
  <c r="N8774" i="1" a="1"/>
  <c r="N8774" i="1" s="1"/>
  <c r="S8774" i="1" a="1"/>
  <c r="S8774" i="1" s="1"/>
  <c r="K8774" i="1" a="1"/>
  <c r="K8774" i="1" s="1"/>
  <c r="O8774" i="1" a="1"/>
  <c r="O8774" i="1" s="1"/>
  <c r="Q8774" i="1" a="1"/>
  <c r="Q8774" i="1" s="1"/>
  <c r="J8774" i="1" a="1"/>
  <c r="J8774" i="1" s="1"/>
  <c r="A8775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C8773" i="1" l="1"/>
  <c r="A8776" i="1"/>
  <c r="K8775" i="1" a="1"/>
  <c r="K8775" i="1" s="1"/>
  <c r="O8775" i="1" a="1"/>
  <c r="O8775" i="1" s="1"/>
  <c r="S8775" i="1" a="1"/>
  <c r="S8775" i="1" s="1"/>
  <c r="B8776" i="1"/>
  <c r="J8775" i="1" a="1"/>
  <c r="J8775" i="1" s="1"/>
  <c r="L8775" i="1" a="1"/>
  <c r="L8775" i="1" s="1"/>
  <c r="Q8775" i="1" a="1"/>
  <c r="Q8775" i="1" s="1"/>
  <c r="N8775" i="1" a="1"/>
  <c r="N8775" i="1" s="1"/>
  <c r="P8775" i="1" a="1"/>
  <c r="P8775" i="1" s="1"/>
  <c r="R8775" i="1" a="1"/>
  <c r="R8775" i="1" s="1"/>
  <c r="M8775" i="1" a="1"/>
  <c r="M8775" i="1" s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C8774" i="1" l="1"/>
  <c r="I8773" i="1" a="1"/>
  <c r="I8773" i="1" s="1"/>
  <c r="H8773" i="1"/>
  <c r="J8776" i="1" a="1"/>
  <c r="J8776" i="1" s="1"/>
  <c r="N8776" i="1" a="1"/>
  <c r="N8776" i="1" s="1"/>
  <c r="R8776" i="1" a="1"/>
  <c r="R8776" i="1" s="1"/>
  <c r="O8776" i="1" a="1"/>
  <c r="O8776" i="1" s="1"/>
  <c r="B8777" i="1"/>
  <c r="L8776" i="1" a="1"/>
  <c r="L8776" i="1" s="1"/>
  <c r="M8776" i="1" a="1"/>
  <c r="M8776" i="1" s="1"/>
  <c r="P8776" i="1" a="1"/>
  <c r="P8776" i="1" s="1"/>
  <c r="Q8776" i="1" a="1"/>
  <c r="Q8776" i="1" s="1"/>
  <c r="K8776" i="1" a="1"/>
  <c r="K8776" i="1" s="1"/>
  <c r="S8776" i="1" a="1"/>
  <c r="S8776" i="1" s="1"/>
  <c r="A8777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C8775" i="1" l="1"/>
  <c r="I8774" i="1" a="1"/>
  <c r="I8774" i="1" s="1"/>
  <c r="H8774" i="1"/>
  <c r="A8778" i="1"/>
  <c r="M8777" i="1" a="1"/>
  <c r="M8777" i="1" s="1"/>
  <c r="Q8777" i="1" a="1"/>
  <c r="Q8777" i="1" s="1"/>
  <c r="B8778" i="1"/>
  <c r="L8777" i="1" a="1"/>
  <c r="L8777" i="1" s="1"/>
  <c r="R8777" i="1" a="1"/>
  <c r="R8777" i="1" s="1"/>
  <c r="J8777" i="1" a="1"/>
  <c r="J8777" i="1" s="1"/>
  <c r="K8777" i="1" a="1"/>
  <c r="K8777" i="1" s="1"/>
  <c r="N8777" i="1" a="1"/>
  <c r="N8777" i="1" s="1"/>
  <c r="O8777" i="1" a="1"/>
  <c r="O8777" i="1" s="1"/>
  <c r="S8777" i="1" a="1"/>
  <c r="S8777" i="1" s="1"/>
  <c r="P8777" i="1" a="1"/>
  <c r="P8777" i="1" s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C8776" i="1" l="1"/>
  <c r="I8775" i="1" a="1"/>
  <c r="I8775" i="1" s="1"/>
  <c r="H8775" i="1"/>
  <c r="L8778" i="1" a="1"/>
  <c r="L8778" i="1" s="1"/>
  <c r="P8778" i="1" a="1"/>
  <c r="P8778" i="1" s="1"/>
  <c r="B8779" i="1"/>
  <c r="J8778" i="1" a="1"/>
  <c r="J8778" i="1" s="1"/>
  <c r="O8778" i="1" a="1"/>
  <c r="O8778" i="1" s="1"/>
  <c r="S8778" i="1" a="1"/>
  <c r="S8778" i="1" s="1"/>
  <c r="M8778" i="1" a="1"/>
  <c r="M8778" i="1" s="1"/>
  <c r="N8778" i="1" a="1"/>
  <c r="N8778" i="1" s="1"/>
  <c r="Q8778" i="1" a="1"/>
  <c r="Q8778" i="1" s="1"/>
  <c r="R8778" i="1" a="1"/>
  <c r="R8778" i="1" s="1"/>
  <c r="K8778" i="1" a="1"/>
  <c r="K8778" i="1" s="1"/>
  <c r="A8779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C8777" i="1" l="1"/>
  <c r="H8776" i="1"/>
  <c r="I8776" i="1" a="1"/>
  <c r="I8776" i="1" s="1"/>
  <c r="A8780" i="1"/>
  <c r="K8779" i="1" a="1"/>
  <c r="K8779" i="1" s="1"/>
  <c r="O8779" i="1" a="1"/>
  <c r="O8779" i="1" s="1"/>
  <c r="S8779" i="1" a="1"/>
  <c r="S8779" i="1" s="1"/>
  <c r="M8779" i="1" a="1"/>
  <c r="M8779" i="1" s="1"/>
  <c r="R8779" i="1" a="1"/>
  <c r="R8779" i="1" s="1"/>
  <c r="Q8779" i="1" a="1"/>
  <c r="Q8779" i="1" s="1"/>
  <c r="B8780" i="1"/>
  <c r="J8779" i="1" a="1"/>
  <c r="J8779" i="1" s="1"/>
  <c r="N8779" i="1" a="1"/>
  <c r="N8779" i="1" s="1"/>
  <c r="P8779" i="1" a="1"/>
  <c r="P8779" i="1" s="1"/>
  <c r="L8779" i="1" a="1"/>
  <c r="L8779" i="1" s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C8778" i="1" l="1"/>
  <c r="I8777" i="1" a="1"/>
  <c r="I8777" i="1" s="1"/>
  <c r="H8777" i="1"/>
  <c r="A8781" i="1"/>
  <c r="J8780" i="1" a="1"/>
  <c r="J8780" i="1" s="1"/>
  <c r="N8780" i="1" a="1"/>
  <c r="N8780" i="1" s="1"/>
  <c r="S8780" i="1" a="1"/>
  <c r="S8780" i="1" s="1"/>
  <c r="K8780" i="1" a="1"/>
  <c r="K8780" i="1" s="1"/>
  <c r="P8780" i="1" a="1"/>
  <c r="P8780" i="1" s="1"/>
  <c r="B8781" i="1"/>
  <c r="O8780" i="1" a="1"/>
  <c r="O8780" i="1" s="1"/>
  <c r="R8780" i="1" a="1"/>
  <c r="R8780" i="1" s="1"/>
  <c r="L8780" i="1" a="1"/>
  <c r="L8780" i="1" s="1"/>
  <c r="M8780" i="1" a="1"/>
  <c r="M8780" i="1" s="1"/>
  <c r="Q8780" i="1" a="1"/>
  <c r="Q8780" i="1" s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C8779" i="1" l="1"/>
  <c r="I8778" i="1" a="1"/>
  <c r="I8778" i="1" s="1"/>
  <c r="H8778" i="1"/>
  <c r="A8782" i="1"/>
  <c r="L8781" i="1" a="1"/>
  <c r="L8781" i="1" s="1"/>
  <c r="P8781" i="1" a="1"/>
  <c r="P8781" i="1" s="1"/>
  <c r="B8782" i="1"/>
  <c r="K8781" i="1" a="1"/>
  <c r="K8781" i="1" s="1"/>
  <c r="S8781" i="1" a="1"/>
  <c r="S8781" i="1" s="1"/>
  <c r="N8781" i="1" a="1"/>
  <c r="N8781" i="1" s="1"/>
  <c r="O8781" i="1" a="1"/>
  <c r="O8781" i="1" s="1"/>
  <c r="Q8781" i="1" a="1"/>
  <c r="Q8781" i="1" s="1"/>
  <c r="R8781" i="1" a="1"/>
  <c r="R8781" i="1" s="1"/>
  <c r="J8781" i="1" a="1"/>
  <c r="J8781" i="1" s="1"/>
  <c r="M8781" i="1" a="1"/>
  <c r="M8781" i="1" s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C8780" i="1" l="1"/>
  <c r="I8779" i="1" a="1"/>
  <c r="I8779" i="1" s="1"/>
  <c r="H8779" i="1"/>
  <c r="K8782" i="1" a="1"/>
  <c r="K8782" i="1" s="1"/>
  <c r="Q8782" i="1" a="1"/>
  <c r="Q8782" i="1" s="1"/>
  <c r="S8782" i="1" a="1"/>
  <c r="S8782" i="1" s="1"/>
  <c r="N8782" i="1" a="1"/>
  <c r="N8782" i="1" s="1"/>
  <c r="B8783" i="1"/>
  <c r="O8782" i="1" a="1"/>
  <c r="O8782" i="1" s="1"/>
  <c r="P8782" i="1" a="1"/>
  <c r="P8782" i="1" s="1"/>
  <c r="R8782" i="1" a="1"/>
  <c r="R8782" i="1" s="1"/>
  <c r="J8782" i="1" a="1"/>
  <c r="J8782" i="1" s="1"/>
  <c r="L8782" i="1" a="1"/>
  <c r="L8782" i="1" s="1"/>
  <c r="M8782" i="1" a="1"/>
  <c r="M8782" i="1" s="1"/>
  <c r="A8783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C8781" i="1" l="1"/>
  <c r="I8780" i="1" a="1"/>
  <c r="I8780" i="1" s="1"/>
  <c r="H8780" i="1"/>
  <c r="B8784" i="1"/>
  <c r="Q8783" i="1" a="1"/>
  <c r="Q8783" i="1" s="1"/>
  <c r="M8783" i="1" a="1"/>
  <c r="M8783" i="1" s="1"/>
  <c r="N8783" i="1" a="1"/>
  <c r="N8783" i="1" s="1"/>
  <c r="S8783" i="1" a="1"/>
  <c r="S8783" i="1" s="1"/>
  <c r="O8783" i="1" a="1"/>
  <c r="O8783" i="1" s="1"/>
  <c r="P8783" i="1" a="1"/>
  <c r="P8783" i="1" s="1"/>
  <c r="R8783" i="1" a="1"/>
  <c r="R8783" i="1" s="1"/>
  <c r="J8783" i="1" a="1"/>
  <c r="J8783" i="1" s="1"/>
  <c r="K8783" i="1" a="1"/>
  <c r="K8783" i="1" s="1"/>
  <c r="L8783" i="1" a="1"/>
  <c r="L8783" i="1" s="1"/>
  <c r="A8784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C8782" i="1" l="1"/>
  <c r="I8781" i="1" a="1"/>
  <c r="I8781" i="1" s="1"/>
  <c r="H8781" i="1"/>
  <c r="A8785" i="1"/>
  <c r="B8785" i="1"/>
  <c r="P8784" i="1" a="1"/>
  <c r="P8784" i="1" s="1"/>
  <c r="K8784" i="1" a="1"/>
  <c r="K8784" i="1" s="1"/>
  <c r="Q8784" i="1" a="1"/>
  <c r="Q8784" i="1" s="1"/>
  <c r="L8784" i="1" a="1"/>
  <c r="L8784" i="1" s="1"/>
  <c r="M8784" i="1" a="1"/>
  <c r="M8784" i="1" s="1"/>
  <c r="N8784" i="1" a="1"/>
  <c r="N8784" i="1" s="1"/>
  <c r="O8784" i="1" a="1"/>
  <c r="O8784" i="1" s="1"/>
  <c r="R8784" i="1" a="1"/>
  <c r="R8784" i="1" s="1"/>
  <c r="S8784" i="1" a="1"/>
  <c r="S8784" i="1" s="1"/>
  <c r="J8784" i="1" a="1"/>
  <c r="J8784" i="1" s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C8783" i="1" l="1"/>
  <c r="I8782" i="1" a="1"/>
  <c r="I8782" i="1" s="1"/>
  <c r="H8782" i="1"/>
  <c r="K8785" i="1" a="1"/>
  <c r="K8785" i="1" s="1"/>
  <c r="S8785" i="1" a="1"/>
  <c r="S8785" i="1" s="1"/>
  <c r="N8785" i="1" a="1"/>
  <c r="N8785" i="1" s="1"/>
  <c r="B8786" i="1"/>
  <c r="J8785" i="1" a="1"/>
  <c r="J8785" i="1" s="1"/>
  <c r="L8785" i="1" a="1"/>
  <c r="L8785" i="1" s="1"/>
  <c r="M8785" i="1" a="1"/>
  <c r="M8785" i="1" s="1"/>
  <c r="P8785" i="1" a="1"/>
  <c r="P8785" i="1" s="1"/>
  <c r="Q8785" i="1" a="1"/>
  <c r="Q8785" i="1" s="1"/>
  <c r="R8785" i="1" a="1"/>
  <c r="R8785" i="1" s="1"/>
  <c r="O8785" i="1" a="1"/>
  <c r="O8785" i="1" s="1"/>
  <c r="A8786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C8784" i="1" l="1"/>
  <c r="H8783" i="1"/>
  <c r="I8783" i="1" a="1"/>
  <c r="I8783" i="1" s="1"/>
  <c r="A8787" i="1"/>
  <c r="N8786" i="1" a="1"/>
  <c r="N8786" i="1" s="1"/>
  <c r="J8786" i="1" a="1"/>
  <c r="J8786" i="1" s="1"/>
  <c r="B8787" i="1"/>
  <c r="L8786" i="1" a="1"/>
  <c r="L8786" i="1" s="1"/>
  <c r="Q8786" i="1" a="1"/>
  <c r="Q8786" i="1" s="1"/>
  <c r="R8786" i="1" a="1"/>
  <c r="R8786" i="1" s="1"/>
  <c r="S8786" i="1" a="1"/>
  <c r="S8786" i="1" s="1"/>
  <c r="K8786" i="1" a="1"/>
  <c r="K8786" i="1" s="1"/>
  <c r="M8786" i="1" a="1"/>
  <c r="M8786" i="1" s="1"/>
  <c r="O8786" i="1" a="1"/>
  <c r="O8786" i="1" s="1"/>
  <c r="P8786" i="1" a="1"/>
  <c r="P8786" i="1" s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C8785" i="1" l="1"/>
  <c r="H8784" i="1"/>
  <c r="I8784" i="1" a="1"/>
  <c r="I8784" i="1" s="1"/>
  <c r="B8788" i="1"/>
  <c r="Q8787" i="1" a="1"/>
  <c r="Q8787" i="1" s="1"/>
  <c r="M8787" i="1" a="1"/>
  <c r="M8787" i="1" s="1"/>
  <c r="J8787" i="1" a="1"/>
  <c r="J8787" i="1" s="1"/>
  <c r="O8787" i="1" a="1"/>
  <c r="O8787" i="1" s="1"/>
  <c r="P8787" i="1" a="1"/>
  <c r="P8787" i="1" s="1"/>
  <c r="R8787" i="1" a="1"/>
  <c r="R8787" i="1" s="1"/>
  <c r="S8787" i="1" a="1"/>
  <c r="S8787" i="1" s="1"/>
  <c r="K8787" i="1" a="1"/>
  <c r="K8787" i="1" s="1"/>
  <c r="L8787" i="1" a="1"/>
  <c r="L8787" i="1" s="1"/>
  <c r="N8787" i="1" a="1"/>
  <c r="N8787" i="1" s="1"/>
  <c r="A8788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C8786" i="1" l="1"/>
  <c r="I8785" i="1" a="1"/>
  <c r="I8785" i="1" s="1"/>
  <c r="H8785" i="1"/>
  <c r="A8789" i="1"/>
  <c r="S8788" i="1" a="1"/>
  <c r="S8788" i="1" s="1"/>
  <c r="P8788" i="1" a="1"/>
  <c r="P8788" i="1" s="1"/>
  <c r="L8788" i="1" a="1"/>
  <c r="L8788" i="1" s="1"/>
  <c r="Q8788" i="1" a="1"/>
  <c r="Q8788" i="1" s="1"/>
  <c r="M8788" i="1" a="1"/>
  <c r="M8788" i="1" s="1"/>
  <c r="N8788" i="1" a="1"/>
  <c r="N8788" i="1" s="1"/>
  <c r="O8788" i="1" a="1"/>
  <c r="O8788" i="1" s="1"/>
  <c r="J8788" i="1" a="1"/>
  <c r="J8788" i="1" s="1"/>
  <c r="K8788" i="1" a="1"/>
  <c r="K8788" i="1" s="1"/>
  <c r="B8789" i="1"/>
  <c r="R8788" i="1" a="1"/>
  <c r="R8788" i="1" s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C8787" i="1" l="1"/>
  <c r="H8786" i="1"/>
  <c r="I8786" i="1" a="1"/>
  <c r="I8786" i="1" s="1"/>
  <c r="J8789" i="1" a="1"/>
  <c r="J8789" i="1" s="1"/>
  <c r="N8789" i="1" a="1"/>
  <c r="N8789" i="1" s="1"/>
  <c r="R8789" i="1" a="1"/>
  <c r="R8789" i="1" s="1"/>
  <c r="K8789" i="1" a="1"/>
  <c r="K8789" i="1" s="1"/>
  <c r="O8789" i="1" a="1"/>
  <c r="O8789" i="1" s="1"/>
  <c r="S8789" i="1" a="1"/>
  <c r="S8789" i="1" s="1"/>
  <c r="L8789" i="1" a="1"/>
  <c r="L8789" i="1" s="1"/>
  <c r="P8789" i="1" a="1"/>
  <c r="P8789" i="1" s="1"/>
  <c r="B8790" i="1"/>
  <c r="Q8789" i="1" a="1"/>
  <c r="Q8789" i="1" s="1"/>
  <c r="M8789" i="1" a="1"/>
  <c r="M8789" i="1" s="1"/>
  <c r="A8790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C8788" i="1" l="1"/>
  <c r="H8787" i="1"/>
  <c r="I8787" i="1" a="1"/>
  <c r="I8787" i="1" s="1"/>
  <c r="A8791" i="1"/>
  <c r="M8790" i="1" a="1"/>
  <c r="M8790" i="1" s="1"/>
  <c r="Q8790" i="1" a="1"/>
  <c r="Q8790" i="1" s="1"/>
  <c r="J8790" i="1" a="1"/>
  <c r="J8790" i="1" s="1"/>
  <c r="N8790" i="1" a="1"/>
  <c r="N8790" i="1" s="1"/>
  <c r="R8790" i="1" a="1"/>
  <c r="R8790" i="1" s="1"/>
  <c r="K8790" i="1" a="1"/>
  <c r="K8790" i="1" s="1"/>
  <c r="O8790" i="1" a="1"/>
  <c r="O8790" i="1" s="1"/>
  <c r="S8790" i="1" a="1"/>
  <c r="S8790" i="1" s="1"/>
  <c r="L8790" i="1" a="1"/>
  <c r="L8790" i="1" s="1"/>
  <c r="B8791" i="1"/>
  <c r="P8790" i="1" a="1"/>
  <c r="P8790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C8789" i="1" l="1"/>
  <c r="H8788" i="1"/>
  <c r="I8788" i="1" a="1"/>
  <c r="I8788" i="1" s="1"/>
  <c r="L8791" i="1" a="1"/>
  <c r="L8791" i="1" s="1"/>
  <c r="P8791" i="1" a="1"/>
  <c r="P8791" i="1" s="1"/>
  <c r="M8791" i="1" a="1"/>
  <c r="M8791" i="1" s="1"/>
  <c r="Q8791" i="1" a="1"/>
  <c r="Q8791" i="1" s="1"/>
  <c r="J8791" i="1" a="1"/>
  <c r="J8791" i="1" s="1"/>
  <c r="N8791" i="1" a="1"/>
  <c r="N8791" i="1" s="1"/>
  <c r="R8791" i="1" a="1"/>
  <c r="R8791" i="1" s="1"/>
  <c r="O8791" i="1" a="1"/>
  <c r="O8791" i="1" s="1"/>
  <c r="B8792" i="1"/>
  <c r="K8791" i="1" a="1"/>
  <c r="K8791" i="1" s="1"/>
  <c r="S8791" i="1" a="1"/>
  <c r="S8791" i="1" s="1"/>
  <c r="A8792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C8790" i="1" l="1"/>
  <c r="H8789" i="1"/>
  <c r="I8789" i="1" a="1"/>
  <c r="I8789" i="1" s="1"/>
  <c r="A8793" i="1"/>
  <c r="K8792" i="1" a="1"/>
  <c r="K8792" i="1" s="1"/>
  <c r="O8792" i="1" a="1"/>
  <c r="O8792" i="1" s="1"/>
  <c r="S8792" i="1" a="1"/>
  <c r="S8792" i="1" s="1"/>
  <c r="M8792" i="1" a="1"/>
  <c r="M8792" i="1" s="1"/>
  <c r="Q8792" i="1" a="1"/>
  <c r="Q8792" i="1" s="1"/>
  <c r="J8792" i="1" a="1"/>
  <c r="J8792" i="1" s="1"/>
  <c r="P8792" i="1" a="1"/>
  <c r="P8792" i="1" s="1"/>
  <c r="R8792" i="1" a="1"/>
  <c r="R8792" i="1" s="1"/>
  <c r="L8792" i="1" a="1"/>
  <c r="L8792" i="1" s="1"/>
  <c r="N8792" i="1" a="1"/>
  <c r="N8792" i="1" s="1"/>
  <c r="B8793" i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C8791" i="1" l="1"/>
  <c r="I8790" i="1" a="1"/>
  <c r="I8790" i="1" s="1"/>
  <c r="H8790" i="1"/>
  <c r="J8793" i="1" a="1"/>
  <c r="J8793" i="1" s="1"/>
  <c r="N8793" i="1" a="1"/>
  <c r="N8793" i="1" s="1"/>
  <c r="R8793" i="1" a="1"/>
  <c r="R8793" i="1" s="1"/>
  <c r="L8793" i="1" a="1"/>
  <c r="L8793" i="1" s="1"/>
  <c r="P8793" i="1" a="1"/>
  <c r="P8793" i="1" s="1"/>
  <c r="B8794" i="1"/>
  <c r="Q8793" i="1" a="1"/>
  <c r="Q8793" i="1" s="1"/>
  <c r="K8793" i="1" a="1"/>
  <c r="K8793" i="1" s="1"/>
  <c r="O8793" i="1" a="1"/>
  <c r="O8793" i="1" s="1"/>
  <c r="M8793" i="1" a="1"/>
  <c r="M8793" i="1" s="1"/>
  <c r="S8793" i="1" a="1"/>
  <c r="S8793" i="1" s="1"/>
  <c r="A8794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C8792" i="1" l="1"/>
  <c r="H8791" i="1"/>
  <c r="I8791" i="1" a="1"/>
  <c r="I8791" i="1" s="1"/>
  <c r="M8794" i="1" a="1"/>
  <c r="M8794" i="1" s="1"/>
  <c r="Q8794" i="1" a="1"/>
  <c r="Q8794" i="1" s="1"/>
  <c r="K8794" i="1" a="1"/>
  <c r="K8794" i="1" s="1"/>
  <c r="O8794" i="1" a="1"/>
  <c r="O8794" i="1" s="1"/>
  <c r="S8794" i="1" a="1"/>
  <c r="S8794" i="1" s="1"/>
  <c r="P8794" i="1" a="1"/>
  <c r="P8794" i="1" s="1"/>
  <c r="J8794" i="1" a="1"/>
  <c r="J8794" i="1" s="1"/>
  <c r="L8794" i="1" a="1"/>
  <c r="L8794" i="1" s="1"/>
  <c r="R8794" i="1" a="1"/>
  <c r="R8794" i="1" s="1"/>
  <c r="N8794" i="1" a="1"/>
  <c r="N8794" i="1" s="1"/>
  <c r="B8795" i="1"/>
  <c r="A8795" i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C8793" i="1" l="1"/>
  <c r="I8792" i="1" a="1"/>
  <c r="I8792" i="1" s="1"/>
  <c r="H8792" i="1"/>
  <c r="A8796" i="1"/>
  <c r="L8795" i="1" a="1"/>
  <c r="L8795" i="1" s="1"/>
  <c r="P8795" i="1" a="1"/>
  <c r="P8795" i="1" s="1"/>
  <c r="J8795" i="1" a="1"/>
  <c r="J8795" i="1" s="1"/>
  <c r="N8795" i="1" a="1"/>
  <c r="N8795" i="1" s="1"/>
  <c r="R8795" i="1" a="1"/>
  <c r="R8795" i="1" s="1"/>
  <c r="K8795" i="1" a="1"/>
  <c r="K8795" i="1" s="1"/>
  <c r="Q8795" i="1" a="1"/>
  <c r="Q8795" i="1" s="1"/>
  <c r="M8795" i="1" a="1"/>
  <c r="M8795" i="1" s="1"/>
  <c r="B8796" i="1"/>
  <c r="O8795" i="1" a="1"/>
  <c r="O8795" i="1" s="1"/>
  <c r="S8795" i="1" a="1"/>
  <c r="S8795" i="1" s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C8794" i="1" l="1"/>
  <c r="H8793" i="1"/>
  <c r="I8793" i="1" a="1"/>
  <c r="I8793" i="1" s="1"/>
  <c r="K8796" i="1" a="1"/>
  <c r="K8796" i="1" s="1"/>
  <c r="O8796" i="1" a="1"/>
  <c r="O8796" i="1" s="1"/>
  <c r="S8796" i="1" a="1"/>
  <c r="S8796" i="1" s="1"/>
  <c r="M8796" i="1" a="1"/>
  <c r="M8796" i="1" s="1"/>
  <c r="Q8796" i="1" a="1"/>
  <c r="Q8796" i="1" s="1"/>
  <c r="J8796" i="1" a="1"/>
  <c r="J8796" i="1" s="1"/>
  <c r="P8796" i="1" a="1"/>
  <c r="P8796" i="1" s="1"/>
  <c r="R8796" i="1" a="1"/>
  <c r="R8796" i="1" s="1"/>
  <c r="N8796" i="1" a="1"/>
  <c r="N8796" i="1" s="1"/>
  <c r="B8797" i="1"/>
  <c r="L8796" i="1" a="1"/>
  <c r="L8796" i="1" s="1"/>
  <c r="A8797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C8795" i="1" l="1"/>
  <c r="H8794" i="1"/>
  <c r="I8794" i="1" a="1"/>
  <c r="I8794" i="1" s="1"/>
  <c r="J8797" i="1" a="1"/>
  <c r="J8797" i="1" s="1"/>
  <c r="N8797" i="1" a="1"/>
  <c r="N8797" i="1" s="1"/>
  <c r="R8797" i="1" a="1"/>
  <c r="R8797" i="1" s="1"/>
  <c r="L8797" i="1" a="1"/>
  <c r="L8797" i="1" s="1"/>
  <c r="P8797" i="1" a="1"/>
  <c r="P8797" i="1" s="1"/>
  <c r="B8798" i="1"/>
  <c r="O8797" i="1" a="1"/>
  <c r="O8797" i="1" s="1"/>
  <c r="Q8797" i="1" a="1"/>
  <c r="Q8797" i="1" s="1"/>
  <c r="K8797" i="1" a="1"/>
  <c r="K8797" i="1" s="1"/>
  <c r="M8797" i="1" a="1"/>
  <c r="M8797" i="1" s="1"/>
  <c r="S8797" i="1" a="1"/>
  <c r="S8797" i="1" s="1"/>
  <c r="A8798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C8796" i="1" l="1"/>
  <c r="I8795" i="1" a="1"/>
  <c r="I8795" i="1" s="1"/>
  <c r="H8795" i="1"/>
  <c r="M8798" i="1" a="1"/>
  <c r="M8798" i="1" s="1"/>
  <c r="Q8798" i="1" a="1"/>
  <c r="Q8798" i="1" s="1"/>
  <c r="N8798" i="1" a="1"/>
  <c r="N8798" i="1" s="1"/>
  <c r="S8798" i="1" a="1"/>
  <c r="S8798" i="1" s="1"/>
  <c r="J8798" i="1" a="1"/>
  <c r="J8798" i="1" s="1"/>
  <c r="O8798" i="1" a="1"/>
  <c r="O8798" i="1" s="1"/>
  <c r="B8799" i="1"/>
  <c r="P8798" i="1" a="1"/>
  <c r="P8798" i="1" s="1"/>
  <c r="L8798" i="1" a="1"/>
  <c r="L8798" i="1" s="1"/>
  <c r="R8798" i="1" a="1"/>
  <c r="R8798" i="1" s="1"/>
  <c r="K8798" i="1" a="1"/>
  <c r="K8798" i="1" s="1"/>
  <c r="A8799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C8797" i="1" l="1"/>
  <c r="H8796" i="1"/>
  <c r="I8796" i="1" a="1"/>
  <c r="I8796" i="1" s="1"/>
  <c r="A8800" i="1"/>
  <c r="L8799" i="1" a="1"/>
  <c r="L8799" i="1" s="1"/>
  <c r="P8799" i="1" a="1"/>
  <c r="P8799" i="1" s="1"/>
  <c r="Q8799" i="1" a="1"/>
  <c r="Q8799" i="1" s="1"/>
  <c r="M8799" i="1" a="1"/>
  <c r="M8799" i="1" s="1"/>
  <c r="R8799" i="1" a="1"/>
  <c r="R8799" i="1" s="1"/>
  <c r="S8799" i="1" a="1"/>
  <c r="S8799" i="1" s="1"/>
  <c r="O8799" i="1" a="1"/>
  <c r="O8799" i="1" s="1"/>
  <c r="B8800" i="1"/>
  <c r="J8799" i="1" a="1"/>
  <c r="J8799" i="1" s="1"/>
  <c r="K8799" i="1" a="1"/>
  <c r="K8799" i="1" s="1"/>
  <c r="N8799" i="1" a="1"/>
  <c r="N8799" i="1" s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C8798" i="1" l="1"/>
  <c r="H8797" i="1"/>
  <c r="I8797" i="1" a="1"/>
  <c r="I8797" i="1" s="1"/>
  <c r="K8800" i="1" a="1"/>
  <c r="K8800" i="1" s="1"/>
  <c r="O8800" i="1" a="1"/>
  <c r="O8800" i="1" s="1"/>
  <c r="S8800" i="1" a="1"/>
  <c r="S8800" i="1" s="1"/>
  <c r="J8800" i="1" a="1"/>
  <c r="J8800" i="1" s="1"/>
  <c r="P8800" i="1" a="1"/>
  <c r="P8800" i="1" s="1"/>
  <c r="R8800" i="1" a="1"/>
  <c r="R8800" i="1" s="1"/>
  <c r="M8800" i="1" a="1"/>
  <c r="M8800" i="1" s="1"/>
  <c r="N8800" i="1" a="1"/>
  <c r="N8800" i="1" s="1"/>
  <c r="B8801" i="1"/>
  <c r="L8800" i="1" a="1"/>
  <c r="L8800" i="1" s="1"/>
  <c r="Q8800" i="1" a="1"/>
  <c r="Q8800" i="1" s="1"/>
  <c r="A8801" i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C8799" i="1" l="1"/>
  <c r="I8798" i="1" a="1"/>
  <c r="I8798" i="1" s="1"/>
  <c r="H8798" i="1"/>
  <c r="A8802" i="1"/>
  <c r="J8801" i="1" a="1"/>
  <c r="J8801" i="1" s="1"/>
  <c r="N8801" i="1" a="1"/>
  <c r="N8801" i="1" s="1"/>
  <c r="R8801" i="1" a="1"/>
  <c r="R8801" i="1" s="1"/>
  <c r="B8802" i="1"/>
  <c r="L8801" i="1" a="1"/>
  <c r="L8801" i="1" s="1"/>
  <c r="S8801" i="1" a="1"/>
  <c r="S8801" i="1" s="1"/>
  <c r="K8801" i="1" a="1"/>
  <c r="K8801" i="1" s="1"/>
  <c r="P8801" i="1" a="1"/>
  <c r="P8801" i="1" s="1"/>
  <c r="Q8801" i="1" a="1"/>
  <c r="Q8801" i="1" s="1"/>
  <c r="M8801" i="1" a="1"/>
  <c r="M8801" i="1" s="1"/>
  <c r="O8801" i="1" a="1"/>
  <c r="O8801" i="1" s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C8800" i="1" l="1"/>
  <c r="H8799" i="1"/>
  <c r="I8799" i="1" a="1"/>
  <c r="I8799" i="1" s="1"/>
  <c r="M8802" i="1" a="1"/>
  <c r="M8802" i="1" s="1"/>
  <c r="Q8802" i="1" a="1"/>
  <c r="Q8802" i="1" s="1"/>
  <c r="J8802" i="1" a="1"/>
  <c r="J8802" i="1" s="1"/>
  <c r="O8802" i="1" a="1"/>
  <c r="O8802" i="1" s="1"/>
  <c r="B8803" i="1"/>
  <c r="K8802" i="1" a="1"/>
  <c r="K8802" i="1" s="1"/>
  <c r="L8802" i="1" a="1"/>
  <c r="L8802" i="1" s="1"/>
  <c r="N8802" i="1" a="1"/>
  <c r="N8802" i="1" s="1"/>
  <c r="S8802" i="1" a="1"/>
  <c r="S8802" i="1" s="1"/>
  <c r="P8802" i="1" a="1"/>
  <c r="P8802" i="1" s="1"/>
  <c r="R8802" i="1" a="1"/>
  <c r="R8802" i="1" s="1"/>
  <c r="A8803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C8801" i="1" l="1"/>
  <c r="H8800" i="1"/>
  <c r="I8800" i="1" a="1"/>
  <c r="I8800" i="1" s="1"/>
  <c r="A8804" i="1"/>
  <c r="B8804" i="1"/>
  <c r="M8803" i="1" a="1"/>
  <c r="M8803" i="1" s="1"/>
  <c r="Q8803" i="1" a="1"/>
  <c r="Q8803" i="1" s="1"/>
  <c r="J8803" i="1" a="1"/>
  <c r="J8803" i="1" s="1"/>
  <c r="N8803" i="1" a="1"/>
  <c r="N8803" i="1" s="1"/>
  <c r="R8803" i="1" a="1"/>
  <c r="R8803" i="1" s="1"/>
  <c r="K8803" i="1" a="1"/>
  <c r="K8803" i="1" s="1"/>
  <c r="S8803" i="1" a="1"/>
  <c r="S8803" i="1" s="1"/>
  <c r="L8803" i="1" a="1"/>
  <c r="L8803" i="1" s="1"/>
  <c r="O8803" i="1" a="1"/>
  <c r="O8803" i="1" s="1"/>
  <c r="P8803" i="1" a="1"/>
  <c r="P8803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C8802" i="1" l="1"/>
  <c r="H8801" i="1"/>
  <c r="I8801" i="1" a="1"/>
  <c r="I8801" i="1" s="1"/>
  <c r="L8804" i="1" a="1"/>
  <c r="L8804" i="1" s="1"/>
  <c r="P8804" i="1" a="1"/>
  <c r="P8804" i="1" s="1"/>
  <c r="M8804" i="1" a="1"/>
  <c r="M8804" i="1" s="1"/>
  <c r="Q8804" i="1" a="1"/>
  <c r="Q8804" i="1" s="1"/>
  <c r="O8804" i="1" a="1"/>
  <c r="O8804" i="1" s="1"/>
  <c r="R8804" i="1" a="1"/>
  <c r="R8804" i="1" s="1"/>
  <c r="S8804" i="1" a="1"/>
  <c r="S8804" i="1" s="1"/>
  <c r="J8804" i="1" a="1"/>
  <c r="J8804" i="1" s="1"/>
  <c r="B8805" i="1"/>
  <c r="K8804" i="1" a="1"/>
  <c r="K8804" i="1" s="1"/>
  <c r="N8804" i="1" a="1"/>
  <c r="N8804" i="1" s="1"/>
  <c r="A8805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C8803" i="1" l="1"/>
  <c r="I8802" i="1" a="1"/>
  <c r="I8802" i="1" s="1"/>
  <c r="H8802" i="1"/>
  <c r="A8806" i="1"/>
  <c r="K8805" i="1" a="1"/>
  <c r="K8805" i="1" s="1"/>
  <c r="O8805" i="1" a="1"/>
  <c r="O8805" i="1" s="1"/>
  <c r="S8805" i="1" a="1"/>
  <c r="S8805" i="1" s="1"/>
  <c r="L8805" i="1" a="1"/>
  <c r="L8805" i="1" s="1"/>
  <c r="P8805" i="1" a="1"/>
  <c r="P8805" i="1" s="1"/>
  <c r="B8806" i="1"/>
  <c r="M8805" i="1" a="1"/>
  <c r="M8805" i="1" s="1"/>
  <c r="N8805" i="1" a="1"/>
  <c r="N8805" i="1" s="1"/>
  <c r="Q8805" i="1" a="1"/>
  <c r="Q8805" i="1" s="1"/>
  <c r="R8805" i="1" a="1"/>
  <c r="R8805" i="1" s="1"/>
  <c r="J8805" i="1" a="1"/>
  <c r="J8805" i="1" s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C8804" i="1" l="1"/>
  <c r="H8803" i="1"/>
  <c r="I8803" i="1" a="1"/>
  <c r="I8803" i="1" s="1"/>
  <c r="B8807" i="1"/>
  <c r="J8806" i="1" a="1"/>
  <c r="J8806" i="1" s="1"/>
  <c r="N8806" i="1" a="1"/>
  <c r="N8806" i="1" s="1"/>
  <c r="R8806" i="1" a="1"/>
  <c r="R8806" i="1" s="1"/>
  <c r="K8806" i="1" a="1"/>
  <c r="K8806" i="1" s="1"/>
  <c r="O8806" i="1" a="1"/>
  <c r="O8806" i="1" s="1"/>
  <c r="S8806" i="1" a="1"/>
  <c r="S8806" i="1" s="1"/>
  <c r="L8806" i="1" a="1"/>
  <c r="L8806" i="1" s="1"/>
  <c r="M8806" i="1" a="1"/>
  <c r="M8806" i="1" s="1"/>
  <c r="P8806" i="1" a="1"/>
  <c r="P8806" i="1" s="1"/>
  <c r="Q8806" i="1" a="1"/>
  <c r="Q8806" i="1" s="1"/>
  <c r="A8807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8805" i="1" l="1"/>
  <c r="H8804" i="1"/>
  <c r="I8804" i="1" a="1"/>
  <c r="I8804" i="1" s="1"/>
  <c r="A8808" i="1"/>
  <c r="B8808" i="1"/>
  <c r="M8807" i="1" a="1"/>
  <c r="M8807" i="1" s="1"/>
  <c r="Q8807" i="1" a="1"/>
  <c r="Q8807" i="1" s="1"/>
  <c r="J8807" i="1" a="1"/>
  <c r="J8807" i="1" s="1"/>
  <c r="N8807" i="1" a="1"/>
  <c r="N8807" i="1" s="1"/>
  <c r="R8807" i="1" a="1"/>
  <c r="R8807" i="1" s="1"/>
  <c r="S8807" i="1" a="1"/>
  <c r="S8807" i="1" s="1"/>
  <c r="K8807" i="1" a="1"/>
  <c r="K8807" i="1" s="1"/>
  <c r="L8807" i="1" a="1"/>
  <c r="L8807" i="1" s="1"/>
  <c r="O8807" i="1" a="1"/>
  <c r="O8807" i="1" s="1"/>
  <c r="P8807" i="1" a="1"/>
  <c r="P8807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C8806" i="1" l="1"/>
  <c r="H8805" i="1"/>
  <c r="I8805" i="1" a="1"/>
  <c r="I8805" i="1" s="1"/>
  <c r="M8808" i="1" a="1"/>
  <c r="M8808" i="1" s="1"/>
  <c r="Q8808" i="1" a="1"/>
  <c r="Q8808" i="1" s="1"/>
  <c r="N8808" i="1" a="1"/>
  <c r="N8808" i="1" s="1"/>
  <c r="O8808" i="1" a="1"/>
  <c r="O8808" i="1" s="1"/>
  <c r="P8808" i="1" a="1"/>
  <c r="P8808" i="1" s="1"/>
  <c r="J8808" i="1" a="1"/>
  <c r="J8808" i="1" s="1"/>
  <c r="R8808" i="1" a="1"/>
  <c r="R8808" i="1" s="1"/>
  <c r="K8808" i="1" a="1"/>
  <c r="K8808" i="1" s="1"/>
  <c r="S8808" i="1" a="1"/>
  <c r="S8808" i="1" s="1"/>
  <c r="L8808" i="1" a="1"/>
  <c r="L8808" i="1" s="1"/>
  <c r="B8809" i="1"/>
  <c r="A8809" i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C8807" i="1" l="1"/>
  <c r="I8806" i="1" a="1"/>
  <c r="I8806" i="1" s="1"/>
  <c r="H8806" i="1"/>
  <c r="A8810" i="1"/>
  <c r="L8809" i="1" a="1"/>
  <c r="L8809" i="1" s="1"/>
  <c r="P8809" i="1" a="1"/>
  <c r="P8809" i="1" s="1"/>
  <c r="B8810" i="1"/>
  <c r="Q8809" i="1" a="1"/>
  <c r="Q8809" i="1" s="1"/>
  <c r="J8809" i="1" a="1"/>
  <c r="J8809" i="1" s="1"/>
  <c r="R8809" i="1" a="1"/>
  <c r="R8809" i="1" s="1"/>
  <c r="K8809" i="1" a="1"/>
  <c r="K8809" i="1" s="1"/>
  <c r="S8809" i="1" a="1"/>
  <c r="S8809" i="1" s="1"/>
  <c r="M8809" i="1" a="1"/>
  <c r="M8809" i="1" s="1"/>
  <c r="N8809" i="1" a="1"/>
  <c r="N8809" i="1" s="1"/>
  <c r="O8809" i="1" a="1"/>
  <c r="O8809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C8808" i="1" l="1"/>
  <c r="H8807" i="1"/>
  <c r="I8807" i="1" a="1"/>
  <c r="I8807" i="1" s="1"/>
  <c r="B8811" i="1"/>
  <c r="K8810" i="1" a="1"/>
  <c r="K8810" i="1" s="1"/>
  <c r="O8810" i="1" a="1"/>
  <c r="O8810" i="1" s="1"/>
  <c r="S8810" i="1" a="1"/>
  <c r="S8810" i="1" s="1"/>
  <c r="L8810" i="1" a="1"/>
  <c r="L8810" i="1" s="1"/>
  <c r="M8810" i="1" a="1"/>
  <c r="M8810" i="1" s="1"/>
  <c r="N8810" i="1" a="1"/>
  <c r="N8810" i="1" s="1"/>
  <c r="P8810" i="1" a="1"/>
  <c r="P8810" i="1" s="1"/>
  <c r="Q8810" i="1" a="1"/>
  <c r="Q8810" i="1" s="1"/>
  <c r="J8810" i="1" a="1"/>
  <c r="J8810" i="1" s="1"/>
  <c r="R8810" i="1" a="1"/>
  <c r="R8810" i="1" s="1"/>
  <c r="A8811" i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C8809" i="1" l="1"/>
  <c r="H8808" i="1"/>
  <c r="I8808" i="1" a="1"/>
  <c r="I8808" i="1" s="1"/>
  <c r="A8812" i="1"/>
  <c r="B8812" i="1"/>
  <c r="J8811" i="1" a="1"/>
  <c r="J8811" i="1" s="1"/>
  <c r="N8811" i="1" a="1"/>
  <c r="N8811" i="1" s="1"/>
  <c r="R8811" i="1" a="1"/>
  <c r="R8811" i="1" s="1"/>
  <c r="O8811" i="1" a="1"/>
  <c r="O8811" i="1" s="1"/>
  <c r="P8811" i="1" a="1"/>
  <c r="P8811" i="1" s="1"/>
  <c r="Q8811" i="1" a="1"/>
  <c r="Q8811" i="1" s="1"/>
  <c r="K8811" i="1" a="1"/>
  <c r="K8811" i="1" s="1"/>
  <c r="S8811" i="1" a="1"/>
  <c r="S8811" i="1" s="1"/>
  <c r="L8811" i="1" a="1"/>
  <c r="L8811" i="1" s="1"/>
  <c r="M8811" i="1" a="1"/>
  <c r="M8811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C8810" i="1" l="1"/>
  <c r="I8809" i="1" a="1"/>
  <c r="I8809" i="1" s="1"/>
  <c r="H8809" i="1"/>
  <c r="P8812" i="1" a="1"/>
  <c r="P8812" i="1" s="1"/>
  <c r="J8812" i="1" a="1"/>
  <c r="J8812" i="1" s="1"/>
  <c r="K8812" i="1" a="1"/>
  <c r="K8812" i="1" s="1"/>
  <c r="Q8812" i="1" a="1"/>
  <c r="Q8812" i="1" s="1"/>
  <c r="L8812" i="1" a="1"/>
  <c r="L8812" i="1" s="1"/>
  <c r="R8812" i="1" a="1"/>
  <c r="R8812" i="1" s="1"/>
  <c r="S8812" i="1" a="1"/>
  <c r="S8812" i="1" s="1"/>
  <c r="M8812" i="1" a="1"/>
  <c r="M8812" i="1" s="1"/>
  <c r="N8812" i="1" a="1"/>
  <c r="N8812" i="1" s="1"/>
  <c r="B8813" i="1"/>
  <c r="O8812" i="1" a="1"/>
  <c r="O8812" i="1" s="1"/>
  <c r="A8813" i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C8811" i="1" l="1"/>
  <c r="I8810" i="1" a="1"/>
  <c r="I8810" i="1" s="1"/>
  <c r="H8810" i="1"/>
  <c r="B8814" i="1"/>
  <c r="J8813" i="1" a="1"/>
  <c r="J8813" i="1" s="1"/>
  <c r="P8813" i="1" a="1"/>
  <c r="P8813" i="1" s="1"/>
  <c r="K8813" i="1" a="1"/>
  <c r="K8813" i="1" s="1"/>
  <c r="Q8813" i="1" a="1"/>
  <c r="Q8813" i="1" s="1"/>
  <c r="R8813" i="1" a="1"/>
  <c r="R8813" i="1" s="1"/>
  <c r="L8813" i="1" a="1"/>
  <c r="L8813" i="1" s="1"/>
  <c r="S8813" i="1" a="1"/>
  <c r="S8813" i="1" s="1"/>
  <c r="M8813" i="1" a="1"/>
  <c r="M8813" i="1" s="1"/>
  <c r="N8813" i="1" a="1"/>
  <c r="N8813" i="1" s="1"/>
  <c r="O8813" i="1" a="1"/>
  <c r="O8813" i="1" s="1"/>
  <c r="A8814" i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C8812" i="1" l="1"/>
  <c r="I8811" i="1" a="1"/>
  <c r="I8811" i="1" s="1"/>
  <c r="H8811" i="1"/>
  <c r="A8815" i="1"/>
  <c r="B8815" i="1"/>
  <c r="O8814" i="1" a="1"/>
  <c r="O8814" i="1" s="1"/>
  <c r="J8814" i="1" a="1"/>
  <c r="J8814" i="1" s="1"/>
  <c r="P8814" i="1" a="1"/>
  <c r="P8814" i="1" s="1"/>
  <c r="Q8814" i="1" a="1"/>
  <c r="Q8814" i="1" s="1"/>
  <c r="K8814" i="1" a="1"/>
  <c r="K8814" i="1" s="1"/>
  <c r="R8814" i="1" a="1"/>
  <c r="R8814" i="1" s="1"/>
  <c r="L8814" i="1" a="1"/>
  <c r="L8814" i="1" s="1"/>
  <c r="M8814" i="1" a="1"/>
  <c r="M8814" i="1" s="1"/>
  <c r="S8814" i="1" a="1"/>
  <c r="S8814" i="1" s="1"/>
  <c r="N8814" i="1" a="1"/>
  <c r="N8814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C8813" i="1" l="1"/>
  <c r="H8812" i="1"/>
  <c r="I8812" i="1" a="1"/>
  <c r="I8812" i="1" s="1"/>
  <c r="A8816" i="1"/>
  <c r="O8815" i="1" a="1"/>
  <c r="O8815" i="1" s="1"/>
  <c r="S8815" i="1" a="1"/>
  <c r="S8815" i="1" s="1"/>
  <c r="J8815" i="1" a="1"/>
  <c r="J8815" i="1" s="1"/>
  <c r="K8815" i="1" a="1"/>
  <c r="K8815" i="1" s="1"/>
  <c r="P8815" i="1" a="1"/>
  <c r="P8815" i="1" s="1"/>
  <c r="L8815" i="1" a="1"/>
  <c r="L8815" i="1" s="1"/>
  <c r="B8816" i="1"/>
  <c r="M8815" i="1" a="1"/>
  <c r="M8815" i="1" s="1"/>
  <c r="Q8815" i="1" a="1"/>
  <c r="Q8815" i="1" s="1"/>
  <c r="N8815" i="1" a="1"/>
  <c r="N8815" i="1" s="1"/>
  <c r="R8815" i="1" a="1"/>
  <c r="R8815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C8814" i="1" l="1"/>
  <c r="I8813" i="1" a="1"/>
  <c r="I8813" i="1" s="1"/>
  <c r="H8813" i="1"/>
  <c r="J8816" i="1" a="1"/>
  <c r="J8816" i="1" s="1"/>
  <c r="N8816" i="1" a="1"/>
  <c r="N8816" i="1" s="1"/>
  <c r="R8816" i="1" a="1"/>
  <c r="R8816" i="1" s="1"/>
  <c r="K8816" i="1" a="1"/>
  <c r="K8816" i="1" s="1"/>
  <c r="O8816" i="1" a="1"/>
  <c r="O8816" i="1" s="1"/>
  <c r="S8816" i="1" a="1"/>
  <c r="S8816" i="1" s="1"/>
  <c r="L8816" i="1" a="1"/>
  <c r="L8816" i="1" s="1"/>
  <c r="P8816" i="1" a="1"/>
  <c r="P8816" i="1" s="1"/>
  <c r="B8817" i="1"/>
  <c r="Q8816" i="1" a="1"/>
  <c r="Q8816" i="1" s="1"/>
  <c r="M8816" i="1" a="1"/>
  <c r="M8816" i="1" s="1"/>
  <c r="A8817" i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C8815" i="1" l="1"/>
  <c r="H8814" i="1"/>
  <c r="I8814" i="1" a="1"/>
  <c r="I8814" i="1" s="1"/>
  <c r="A8818" i="1"/>
  <c r="B8818" i="1"/>
  <c r="M8817" i="1" a="1"/>
  <c r="M8817" i="1" s="1"/>
  <c r="Q8817" i="1" a="1"/>
  <c r="Q8817" i="1" s="1"/>
  <c r="J8817" i="1" a="1"/>
  <c r="J8817" i="1" s="1"/>
  <c r="N8817" i="1" a="1"/>
  <c r="N8817" i="1" s="1"/>
  <c r="R8817" i="1" a="1"/>
  <c r="R8817" i="1" s="1"/>
  <c r="K8817" i="1" a="1"/>
  <c r="K8817" i="1" s="1"/>
  <c r="O8817" i="1" a="1"/>
  <c r="O8817" i="1" s="1"/>
  <c r="S8817" i="1" a="1"/>
  <c r="S8817" i="1" s="1"/>
  <c r="L8817" i="1" a="1"/>
  <c r="L8817" i="1" s="1"/>
  <c r="P8817" i="1" a="1"/>
  <c r="P8817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C8816" i="1" l="1"/>
  <c r="H8815" i="1"/>
  <c r="I8815" i="1" a="1"/>
  <c r="I8815" i="1" s="1"/>
  <c r="L8818" i="1" a="1"/>
  <c r="L8818" i="1" s="1"/>
  <c r="P8818" i="1" a="1"/>
  <c r="P8818" i="1" s="1"/>
  <c r="M8818" i="1" a="1"/>
  <c r="M8818" i="1" s="1"/>
  <c r="Q8818" i="1" a="1"/>
  <c r="Q8818" i="1" s="1"/>
  <c r="J8818" i="1" a="1"/>
  <c r="J8818" i="1" s="1"/>
  <c r="N8818" i="1" a="1"/>
  <c r="N8818" i="1" s="1"/>
  <c r="R8818" i="1" a="1"/>
  <c r="R8818" i="1" s="1"/>
  <c r="B8819" i="1"/>
  <c r="K8818" i="1" a="1"/>
  <c r="K8818" i="1" s="1"/>
  <c r="O8818" i="1" a="1"/>
  <c r="O8818" i="1" s="1"/>
  <c r="S8818" i="1" a="1"/>
  <c r="S8818" i="1" s="1"/>
  <c r="A8819" i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C8817" i="1" l="1"/>
  <c r="H8816" i="1"/>
  <c r="I8816" i="1" a="1"/>
  <c r="I8816" i="1" s="1"/>
  <c r="K8819" i="1" a="1"/>
  <c r="K8819" i="1" s="1"/>
  <c r="O8819" i="1" a="1"/>
  <c r="O8819" i="1" s="1"/>
  <c r="S8819" i="1" a="1"/>
  <c r="S8819" i="1" s="1"/>
  <c r="L8819" i="1" a="1"/>
  <c r="L8819" i="1" s="1"/>
  <c r="P8819" i="1" a="1"/>
  <c r="P8819" i="1" s="1"/>
  <c r="B8820" i="1"/>
  <c r="M8819" i="1" a="1"/>
  <c r="M8819" i="1" s="1"/>
  <c r="Q8819" i="1" a="1"/>
  <c r="Q8819" i="1" s="1"/>
  <c r="R8819" i="1" a="1"/>
  <c r="R8819" i="1" s="1"/>
  <c r="J8819" i="1" a="1"/>
  <c r="J8819" i="1" s="1"/>
  <c r="N8819" i="1" a="1"/>
  <c r="N8819" i="1" s="1"/>
  <c r="A8820" i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C8818" i="1" l="1"/>
  <c r="H8817" i="1"/>
  <c r="I8817" i="1" a="1"/>
  <c r="I8817" i="1" s="1"/>
  <c r="J8820" i="1" a="1"/>
  <c r="J8820" i="1" s="1"/>
  <c r="N8820" i="1" a="1"/>
  <c r="N8820" i="1" s="1"/>
  <c r="R8820" i="1" a="1"/>
  <c r="R8820" i="1" s="1"/>
  <c r="K8820" i="1" a="1"/>
  <c r="K8820" i="1" s="1"/>
  <c r="O8820" i="1" a="1"/>
  <c r="O8820" i="1" s="1"/>
  <c r="S8820" i="1" a="1"/>
  <c r="S8820" i="1" s="1"/>
  <c r="L8820" i="1" a="1"/>
  <c r="L8820" i="1" s="1"/>
  <c r="P8820" i="1" a="1"/>
  <c r="P8820" i="1" s="1"/>
  <c r="Q8820" i="1" a="1"/>
  <c r="Q8820" i="1" s="1"/>
  <c r="B8821" i="1"/>
  <c r="M8820" i="1" a="1"/>
  <c r="M8820" i="1" s="1"/>
  <c r="A8821" i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C8819" i="1" l="1"/>
  <c r="H8818" i="1"/>
  <c r="I8818" i="1" a="1"/>
  <c r="I8818" i="1" s="1"/>
  <c r="A8822" i="1"/>
  <c r="B8822" i="1"/>
  <c r="M8821" i="1" a="1"/>
  <c r="M8821" i="1" s="1"/>
  <c r="Q8821" i="1" a="1"/>
  <c r="Q8821" i="1" s="1"/>
  <c r="J8821" i="1" a="1"/>
  <c r="J8821" i="1" s="1"/>
  <c r="N8821" i="1" a="1"/>
  <c r="N8821" i="1" s="1"/>
  <c r="R8821" i="1" a="1"/>
  <c r="R8821" i="1" s="1"/>
  <c r="K8821" i="1" a="1"/>
  <c r="K8821" i="1" s="1"/>
  <c r="O8821" i="1" a="1"/>
  <c r="O8821" i="1" s="1"/>
  <c r="S8821" i="1" a="1"/>
  <c r="S8821" i="1" s="1"/>
  <c r="P8821" i="1" a="1"/>
  <c r="P8821" i="1" s="1"/>
  <c r="L8821" i="1" a="1"/>
  <c r="L8821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C8820" i="1" l="1"/>
  <c r="H8819" i="1"/>
  <c r="I8819" i="1" a="1"/>
  <c r="I8819" i="1" s="1"/>
  <c r="L8822" i="1" a="1"/>
  <c r="L8822" i="1" s="1"/>
  <c r="P8822" i="1" a="1"/>
  <c r="P8822" i="1" s="1"/>
  <c r="M8822" i="1" a="1"/>
  <c r="M8822" i="1" s="1"/>
  <c r="Q8822" i="1" a="1"/>
  <c r="Q8822" i="1" s="1"/>
  <c r="J8822" i="1" a="1"/>
  <c r="J8822" i="1" s="1"/>
  <c r="N8822" i="1" a="1"/>
  <c r="N8822" i="1" s="1"/>
  <c r="R8822" i="1" a="1"/>
  <c r="R8822" i="1" s="1"/>
  <c r="K8822" i="1" a="1"/>
  <c r="K8822" i="1" s="1"/>
  <c r="O8822" i="1" a="1"/>
  <c r="O8822" i="1" s="1"/>
  <c r="B8823" i="1"/>
  <c r="S8822" i="1" a="1"/>
  <c r="S8822" i="1" s="1"/>
  <c r="A8823" i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C8821" i="1" l="1"/>
  <c r="H8820" i="1"/>
  <c r="I8820" i="1" a="1"/>
  <c r="I8820" i="1" s="1"/>
  <c r="K8823" i="1" a="1"/>
  <c r="K8823" i="1" s="1"/>
  <c r="O8823" i="1" a="1"/>
  <c r="O8823" i="1" s="1"/>
  <c r="S8823" i="1" a="1"/>
  <c r="S8823" i="1" s="1"/>
  <c r="L8823" i="1" a="1"/>
  <c r="L8823" i="1" s="1"/>
  <c r="P8823" i="1" a="1"/>
  <c r="P8823" i="1" s="1"/>
  <c r="B8824" i="1"/>
  <c r="M8823" i="1" a="1"/>
  <c r="M8823" i="1" s="1"/>
  <c r="Q8823" i="1" a="1"/>
  <c r="Q8823" i="1" s="1"/>
  <c r="J8823" i="1" a="1"/>
  <c r="J8823" i="1" s="1"/>
  <c r="N8823" i="1" a="1"/>
  <c r="N8823" i="1" s="1"/>
  <c r="R8823" i="1" a="1"/>
  <c r="R8823" i="1" s="1"/>
  <c r="A8824" i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C8822" i="1" l="1"/>
  <c r="H8821" i="1"/>
  <c r="I8821" i="1" a="1"/>
  <c r="I8821" i="1" s="1"/>
  <c r="J8824" i="1" a="1"/>
  <c r="J8824" i="1" s="1"/>
  <c r="N8824" i="1" a="1"/>
  <c r="N8824" i="1" s="1"/>
  <c r="R8824" i="1" a="1"/>
  <c r="R8824" i="1" s="1"/>
  <c r="K8824" i="1" a="1"/>
  <c r="K8824" i="1" s="1"/>
  <c r="O8824" i="1" a="1"/>
  <c r="O8824" i="1" s="1"/>
  <c r="S8824" i="1" a="1"/>
  <c r="S8824" i="1" s="1"/>
  <c r="L8824" i="1" a="1"/>
  <c r="L8824" i="1" s="1"/>
  <c r="P8824" i="1" a="1"/>
  <c r="P8824" i="1" s="1"/>
  <c r="Q8824" i="1" a="1"/>
  <c r="Q8824" i="1" s="1"/>
  <c r="B8825" i="1"/>
  <c r="M8824" i="1" a="1"/>
  <c r="M8824" i="1" s="1"/>
  <c r="A8825" i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C8823" i="1" l="1"/>
  <c r="H8822" i="1"/>
  <c r="I8822" i="1" a="1"/>
  <c r="I8822" i="1" s="1"/>
  <c r="A8826" i="1"/>
  <c r="B8826" i="1"/>
  <c r="M8825" i="1" a="1"/>
  <c r="M8825" i="1" s="1"/>
  <c r="Q8825" i="1" a="1"/>
  <c r="Q8825" i="1" s="1"/>
  <c r="J8825" i="1" a="1"/>
  <c r="J8825" i="1" s="1"/>
  <c r="N8825" i="1" a="1"/>
  <c r="N8825" i="1" s="1"/>
  <c r="R8825" i="1" a="1"/>
  <c r="R8825" i="1" s="1"/>
  <c r="K8825" i="1" a="1"/>
  <c r="K8825" i="1" s="1"/>
  <c r="O8825" i="1" a="1"/>
  <c r="O8825" i="1" s="1"/>
  <c r="S8825" i="1" a="1"/>
  <c r="S8825" i="1" s="1"/>
  <c r="P8825" i="1" a="1"/>
  <c r="P8825" i="1" s="1"/>
  <c r="L8825" i="1" a="1"/>
  <c r="L8825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C8824" i="1" l="1"/>
  <c r="H8823" i="1"/>
  <c r="I8823" i="1" a="1"/>
  <c r="I8823" i="1" s="1"/>
  <c r="L8826" i="1" a="1"/>
  <c r="L8826" i="1" s="1"/>
  <c r="P8826" i="1" a="1"/>
  <c r="P8826" i="1" s="1"/>
  <c r="M8826" i="1" a="1"/>
  <c r="M8826" i="1" s="1"/>
  <c r="Q8826" i="1" a="1"/>
  <c r="Q8826" i="1" s="1"/>
  <c r="J8826" i="1" a="1"/>
  <c r="J8826" i="1" s="1"/>
  <c r="N8826" i="1" a="1"/>
  <c r="N8826" i="1" s="1"/>
  <c r="R8826" i="1" a="1"/>
  <c r="R8826" i="1" s="1"/>
  <c r="O8826" i="1" a="1"/>
  <c r="O8826" i="1" s="1"/>
  <c r="S8826" i="1" a="1"/>
  <c r="S8826" i="1" s="1"/>
  <c r="K8826" i="1" a="1"/>
  <c r="K8826" i="1" s="1"/>
  <c r="B8827" i="1"/>
  <c r="A8827" i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C8825" i="1" l="1"/>
  <c r="H8824" i="1"/>
  <c r="I8824" i="1" a="1"/>
  <c r="I8824" i="1" s="1"/>
  <c r="A8828" i="1"/>
  <c r="K8827" i="1" a="1"/>
  <c r="K8827" i="1" s="1"/>
  <c r="O8827" i="1" a="1"/>
  <c r="O8827" i="1" s="1"/>
  <c r="S8827" i="1" a="1"/>
  <c r="S8827" i="1" s="1"/>
  <c r="L8827" i="1" a="1"/>
  <c r="L8827" i="1" s="1"/>
  <c r="P8827" i="1" a="1"/>
  <c r="P8827" i="1" s="1"/>
  <c r="B8828" i="1"/>
  <c r="M8827" i="1" a="1"/>
  <c r="M8827" i="1" s="1"/>
  <c r="Q8827" i="1" a="1"/>
  <c r="Q8827" i="1" s="1"/>
  <c r="J8827" i="1" a="1"/>
  <c r="J8827" i="1" s="1"/>
  <c r="N8827" i="1" a="1"/>
  <c r="N8827" i="1" s="1"/>
  <c r="R8827" i="1" a="1"/>
  <c r="R8827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C8826" i="1" l="1"/>
  <c r="I8825" i="1" a="1"/>
  <c r="I8825" i="1" s="1"/>
  <c r="H8825" i="1"/>
  <c r="J8828" i="1" a="1"/>
  <c r="J8828" i="1" s="1"/>
  <c r="O8828" i="1" a="1"/>
  <c r="O8828" i="1" s="1"/>
  <c r="B8829" i="1"/>
  <c r="P8828" i="1" a="1"/>
  <c r="P8828" i="1" s="1"/>
  <c r="K8828" i="1" a="1"/>
  <c r="K8828" i="1" s="1"/>
  <c r="L8828" i="1" a="1"/>
  <c r="L8828" i="1" s="1"/>
  <c r="Q8828" i="1" a="1"/>
  <c r="Q8828" i="1" s="1"/>
  <c r="R8828" i="1" a="1"/>
  <c r="R8828" i="1" s="1"/>
  <c r="N8828" i="1" a="1"/>
  <c r="N8828" i="1" s="1"/>
  <c r="S8828" i="1" a="1"/>
  <c r="S8828" i="1" s="1"/>
  <c r="M8828" i="1" a="1"/>
  <c r="M8828" i="1" s="1"/>
  <c r="A8829" i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C8827" i="1" l="1"/>
  <c r="H8826" i="1"/>
  <c r="I8826" i="1" a="1"/>
  <c r="I8826" i="1" s="1"/>
  <c r="A8830" i="1"/>
  <c r="B8830" i="1"/>
  <c r="L8829" i="1" a="1"/>
  <c r="L8829" i="1" s="1"/>
  <c r="M8829" i="1" a="1"/>
  <c r="M8829" i="1" s="1"/>
  <c r="R8829" i="1" a="1"/>
  <c r="R8829" i="1" s="1"/>
  <c r="S8829" i="1" a="1"/>
  <c r="S8829" i="1" s="1"/>
  <c r="N8829" i="1" a="1"/>
  <c r="N8829" i="1" s="1"/>
  <c r="O8829" i="1" a="1"/>
  <c r="O8829" i="1" s="1"/>
  <c r="J8829" i="1" a="1"/>
  <c r="J8829" i="1" s="1"/>
  <c r="Q8829" i="1" a="1"/>
  <c r="Q8829" i="1" s="1"/>
  <c r="P8829" i="1" a="1"/>
  <c r="P8829" i="1" s="1"/>
  <c r="K8829" i="1" a="1"/>
  <c r="K8829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C8828" i="1" l="1"/>
  <c r="I8827" i="1" a="1"/>
  <c r="I8827" i="1" s="1"/>
  <c r="H8827" i="1"/>
  <c r="J8830" i="1" a="1"/>
  <c r="J8830" i="1" s="1"/>
  <c r="O8830" i="1" a="1"/>
  <c r="O8830" i="1" s="1"/>
  <c r="B8831" i="1"/>
  <c r="P8830" i="1" a="1"/>
  <c r="P8830" i="1" s="1"/>
  <c r="K8830" i="1" a="1"/>
  <c r="K8830" i="1" s="1"/>
  <c r="L8830" i="1" a="1"/>
  <c r="L8830" i="1" s="1"/>
  <c r="Q8830" i="1" a="1"/>
  <c r="Q8830" i="1" s="1"/>
  <c r="R8830" i="1" a="1"/>
  <c r="R8830" i="1" s="1"/>
  <c r="M8830" i="1" a="1"/>
  <c r="M8830" i="1" s="1"/>
  <c r="S8830" i="1" a="1"/>
  <c r="S8830" i="1" s="1"/>
  <c r="N8830" i="1" a="1"/>
  <c r="N8830" i="1" s="1"/>
  <c r="A8831" i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C8829" i="1" l="1"/>
  <c r="I8828" i="1" a="1"/>
  <c r="I8828" i="1" s="1"/>
  <c r="H8828" i="1"/>
  <c r="A8832" i="1"/>
  <c r="Q8831" i="1" a="1"/>
  <c r="Q8831" i="1" s="1"/>
  <c r="M8831" i="1" a="1"/>
  <c r="M8831" i="1" s="1"/>
  <c r="R8831" i="1" a="1"/>
  <c r="R8831" i="1" s="1"/>
  <c r="N8831" i="1" a="1"/>
  <c r="N8831" i="1" s="1"/>
  <c r="S8831" i="1" a="1"/>
  <c r="S8831" i="1" s="1"/>
  <c r="J8831" i="1" a="1"/>
  <c r="J8831" i="1" s="1"/>
  <c r="O8831" i="1" a="1"/>
  <c r="O8831" i="1" s="1"/>
  <c r="K8831" i="1" a="1"/>
  <c r="K8831" i="1" s="1"/>
  <c r="L8831" i="1" a="1"/>
  <c r="L8831" i="1" s="1"/>
  <c r="P8831" i="1" a="1"/>
  <c r="P8831" i="1" s="1"/>
  <c r="B8832" i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C8830" i="1" l="1"/>
  <c r="I8829" i="1" a="1"/>
  <c r="I8829" i="1" s="1"/>
  <c r="H8829" i="1"/>
  <c r="M8832" i="1" a="1"/>
  <c r="M8832" i="1" s="1"/>
  <c r="R8832" i="1" a="1"/>
  <c r="R8832" i="1" s="1"/>
  <c r="N8832" i="1" a="1"/>
  <c r="N8832" i="1" s="1"/>
  <c r="J8832" i="1" a="1"/>
  <c r="J8832" i="1" s="1"/>
  <c r="S8832" i="1" a="1"/>
  <c r="S8832" i="1" s="1"/>
  <c r="O8832" i="1" a="1"/>
  <c r="O8832" i="1" s="1"/>
  <c r="K8832" i="1" a="1"/>
  <c r="K8832" i="1" s="1"/>
  <c r="P8832" i="1" a="1"/>
  <c r="P8832" i="1" s="1"/>
  <c r="B8833" i="1"/>
  <c r="Q8832" i="1" a="1"/>
  <c r="Q8832" i="1" s="1"/>
  <c r="L8832" i="1" a="1"/>
  <c r="L8832" i="1" s="1"/>
  <c r="A8833" i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C8831" i="1" l="1"/>
  <c r="H8830" i="1"/>
  <c r="I8830" i="1" a="1"/>
  <c r="I8830" i="1" s="1"/>
  <c r="A8834" i="1"/>
  <c r="N8833" i="1" a="1"/>
  <c r="N8833" i="1" s="1"/>
  <c r="R8833" i="1" a="1"/>
  <c r="R8833" i="1" s="1"/>
  <c r="J8833" i="1" a="1"/>
  <c r="J8833" i="1" s="1"/>
  <c r="O8833" i="1" a="1"/>
  <c r="O8833" i="1" s="1"/>
  <c r="S8833" i="1" a="1"/>
  <c r="S8833" i="1" s="1"/>
  <c r="K8833" i="1" a="1"/>
  <c r="K8833" i="1" s="1"/>
  <c r="P8833" i="1" a="1"/>
  <c r="P8833" i="1" s="1"/>
  <c r="L8833" i="1" a="1"/>
  <c r="L8833" i="1" s="1"/>
  <c r="B8834" i="1"/>
  <c r="Q8833" i="1" a="1"/>
  <c r="Q8833" i="1" s="1"/>
  <c r="M8833" i="1" a="1"/>
  <c r="M8833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C8832" i="1" l="1"/>
  <c r="H8831" i="1"/>
  <c r="I8831" i="1" a="1"/>
  <c r="I8831" i="1" s="1"/>
  <c r="A8835" i="1"/>
  <c r="M8834" i="1" a="1"/>
  <c r="M8834" i="1" s="1"/>
  <c r="Q8834" i="1" a="1"/>
  <c r="Q8834" i="1" s="1"/>
  <c r="J8834" i="1" a="1"/>
  <c r="J8834" i="1" s="1"/>
  <c r="N8834" i="1" a="1"/>
  <c r="N8834" i="1" s="1"/>
  <c r="R8834" i="1" a="1"/>
  <c r="R8834" i="1" s="1"/>
  <c r="K8834" i="1" a="1"/>
  <c r="K8834" i="1" s="1"/>
  <c r="O8834" i="1" a="1"/>
  <c r="O8834" i="1" s="1"/>
  <c r="S8834" i="1" a="1"/>
  <c r="S8834" i="1" s="1"/>
  <c r="B8835" i="1"/>
  <c r="L8834" i="1" a="1"/>
  <c r="L8834" i="1" s="1"/>
  <c r="P8834" i="1" a="1"/>
  <c r="P8834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C8833" i="1" l="1"/>
  <c r="I8832" i="1" a="1"/>
  <c r="I8832" i="1" s="1"/>
  <c r="H8832" i="1"/>
  <c r="L8835" i="1" a="1"/>
  <c r="L8835" i="1" s="1"/>
  <c r="P8835" i="1" a="1"/>
  <c r="P8835" i="1" s="1"/>
  <c r="B8836" i="1"/>
  <c r="M8835" i="1" a="1"/>
  <c r="M8835" i="1" s="1"/>
  <c r="Q8835" i="1" a="1"/>
  <c r="Q8835" i="1" s="1"/>
  <c r="J8835" i="1" a="1"/>
  <c r="J8835" i="1" s="1"/>
  <c r="N8835" i="1" a="1"/>
  <c r="N8835" i="1" s="1"/>
  <c r="R8835" i="1" a="1"/>
  <c r="R8835" i="1" s="1"/>
  <c r="K8835" i="1" a="1"/>
  <c r="K8835" i="1" s="1"/>
  <c r="S8835" i="1" a="1"/>
  <c r="S8835" i="1" s="1"/>
  <c r="O8835" i="1" a="1"/>
  <c r="O8835" i="1" s="1"/>
  <c r="A8836" i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C8834" i="1" l="1"/>
  <c r="I8833" i="1" a="1"/>
  <c r="I8833" i="1" s="1"/>
  <c r="H8833" i="1"/>
  <c r="A8837" i="1"/>
  <c r="K8836" i="1" a="1"/>
  <c r="K8836" i="1" s="1"/>
  <c r="O8836" i="1" a="1"/>
  <c r="O8836" i="1" s="1"/>
  <c r="S8836" i="1" a="1"/>
  <c r="S8836" i="1" s="1"/>
  <c r="L8836" i="1" a="1"/>
  <c r="L8836" i="1" s="1"/>
  <c r="P8836" i="1" a="1"/>
  <c r="P8836" i="1" s="1"/>
  <c r="B8837" i="1"/>
  <c r="M8836" i="1" a="1"/>
  <c r="M8836" i="1" s="1"/>
  <c r="Q8836" i="1" a="1"/>
  <c r="Q8836" i="1" s="1"/>
  <c r="J8836" i="1" a="1"/>
  <c r="J8836" i="1" s="1"/>
  <c r="N8836" i="1" a="1"/>
  <c r="N8836" i="1" s="1"/>
  <c r="R8836" i="1" a="1"/>
  <c r="R8836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C8835" i="1" l="1"/>
  <c r="H8834" i="1"/>
  <c r="I8834" i="1" a="1"/>
  <c r="I8834" i="1" s="1"/>
  <c r="J8837" i="1" a="1"/>
  <c r="J8837" i="1" s="1"/>
  <c r="N8837" i="1" a="1"/>
  <c r="N8837" i="1" s="1"/>
  <c r="R8837" i="1" a="1"/>
  <c r="R8837" i="1" s="1"/>
  <c r="K8837" i="1" a="1"/>
  <c r="K8837" i="1" s="1"/>
  <c r="O8837" i="1" a="1"/>
  <c r="O8837" i="1" s="1"/>
  <c r="S8837" i="1" a="1"/>
  <c r="S8837" i="1" s="1"/>
  <c r="L8837" i="1" a="1"/>
  <c r="L8837" i="1" s="1"/>
  <c r="P8837" i="1" a="1"/>
  <c r="P8837" i="1" s="1"/>
  <c r="B8838" i="1"/>
  <c r="M8837" i="1" a="1"/>
  <c r="M8837" i="1" s="1"/>
  <c r="Q8837" i="1" a="1"/>
  <c r="Q8837" i="1" s="1"/>
  <c r="A8838" i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C8836" i="1" l="1"/>
  <c r="H8835" i="1"/>
  <c r="I8835" i="1" a="1"/>
  <c r="I8835" i="1" s="1"/>
  <c r="A8839" i="1"/>
  <c r="M8838" i="1" a="1"/>
  <c r="M8838" i="1" s="1"/>
  <c r="Q8838" i="1" a="1"/>
  <c r="Q8838" i="1" s="1"/>
  <c r="J8838" i="1" a="1"/>
  <c r="J8838" i="1" s="1"/>
  <c r="N8838" i="1" a="1"/>
  <c r="N8838" i="1" s="1"/>
  <c r="R8838" i="1" a="1"/>
  <c r="R8838" i="1" s="1"/>
  <c r="K8838" i="1" a="1"/>
  <c r="K8838" i="1" s="1"/>
  <c r="O8838" i="1" a="1"/>
  <c r="O8838" i="1" s="1"/>
  <c r="S8838" i="1" a="1"/>
  <c r="S8838" i="1" s="1"/>
  <c r="B8839" i="1"/>
  <c r="P8838" i="1" a="1"/>
  <c r="P8838" i="1" s="1"/>
  <c r="L8838" i="1" a="1"/>
  <c r="L8838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C8837" i="1" l="1"/>
  <c r="H8836" i="1"/>
  <c r="I8836" i="1" a="1"/>
  <c r="I8836" i="1" s="1"/>
  <c r="A8840" i="1"/>
  <c r="L8839" i="1" a="1"/>
  <c r="L8839" i="1" s="1"/>
  <c r="P8839" i="1" a="1"/>
  <c r="P8839" i="1" s="1"/>
  <c r="B8840" i="1"/>
  <c r="M8839" i="1" a="1"/>
  <c r="M8839" i="1" s="1"/>
  <c r="Q8839" i="1" a="1"/>
  <c r="Q8839" i="1" s="1"/>
  <c r="J8839" i="1" a="1"/>
  <c r="J8839" i="1" s="1"/>
  <c r="N8839" i="1" a="1"/>
  <c r="N8839" i="1" s="1"/>
  <c r="R8839" i="1" a="1"/>
  <c r="R8839" i="1" s="1"/>
  <c r="O8839" i="1" a="1"/>
  <c r="O8839" i="1" s="1"/>
  <c r="K8839" i="1" a="1"/>
  <c r="K8839" i="1" s="1"/>
  <c r="S8839" i="1" a="1"/>
  <c r="S8839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C8838" i="1" l="1"/>
  <c r="H8837" i="1"/>
  <c r="I8837" i="1" a="1"/>
  <c r="I8837" i="1" s="1"/>
  <c r="K8840" i="1" a="1"/>
  <c r="K8840" i="1" s="1"/>
  <c r="O8840" i="1" a="1"/>
  <c r="O8840" i="1" s="1"/>
  <c r="S8840" i="1" a="1"/>
  <c r="S8840" i="1" s="1"/>
  <c r="L8840" i="1" a="1"/>
  <c r="L8840" i="1" s="1"/>
  <c r="P8840" i="1" a="1"/>
  <c r="P8840" i="1" s="1"/>
  <c r="B8841" i="1"/>
  <c r="M8840" i="1" a="1"/>
  <c r="M8840" i="1" s="1"/>
  <c r="Q8840" i="1" a="1"/>
  <c r="Q8840" i="1" s="1"/>
  <c r="N8840" i="1" a="1"/>
  <c r="N8840" i="1" s="1"/>
  <c r="J8840" i="1" a="1"/>
  <c r="J8840" i="1" s="1"/>
  <c r="R8840" i="1" a="1"/>
  <c r="R8840" i="1" s="1"/>
  <c r="A8841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C8839" i="1" l="1"/>
  <c r="H8838" i="1"/>
  <c r="I8838" i="1" a="1"/>
  <c r="I8838" i="1" s="1"/>
  <c r="J8841" i="1" a="1"/>
  <c r="J8841" i="1" s="1"/>
  <c r="N8841" i="1" a="1"/>
  <c r="N8841" i="1" s="1"/>
  <c r="R8841" i="1" a="1"/>
  <c r="R8841" i="1" s="1"/>
  <c r="K8841" i="1" a="1"/>
  <c r="K8841" i="1" s="1"/>
  <c r="O8841" i="1" a="1"/>
  <c r="O8841" i="1" s="1"/>
  <c r="S8841" i="1" a="1"/>
  <c r="S8841" i="1" s="1"/>
  <c r="L8841" i="1" a="1"/>
  <c r="L8841" i="1" s="1"/>
  <c r="P8841" i="1" a="1"/>
  <c r="P8841" i="1" s="1"/>
  <c r="B8842" i="1"/>
  <c r="M8841" i="1" a="1"/>
  <c r="M8841" i="1" s="1"/>
  <c r="Q8841" i="1" a="1"/>
  <c r="Q8841" i="1" s="1"/>
  <c r="A8842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C8840" i="1" l="1"/>
  <c r="I8839" i="1" a="1"/>
  <c r="I8839" i="1" s="1"/>
  <c r="H8839" i="1"/>
  <c r="M8842" i="1" a="1"/>
  <c r="M8842" i="1" s="1"/>
  <c r="Q8842" i="1" a="1"/>
  <c r="Q8842" i="1" s="1"/>
  <c r="J8842" i="1" a="1"/>
  <c r="J8842" i="1" s="1"/>
  <c r="N8842" i="1" a="1"/>
  <c r="N8842" i="1" s="1"/>
  <c r="R8842" i="1" a="1"/>
  <c r="R8842" i="1" s="1"/>
  <c r="K8842" i="1" a="1"/>
  <c r="K8842" i="1" s="1"/>
  <c r="O8842" i="1" a="1"/>
  <c r="O8842" i="1" s="1"/>
  <c r="S8842" i="1" a="1"/>
  <c r="S8842" i="1" s="1"/>
  <c r="B8843" i="1"/>
  <c r="P8842" i="1" a="1"/>
  <c r="P8842" i="1" s="1"/>
  <c r="L8842" i="1" a="1"/>
  <c r="L8842" i="1" s="1"/>
  <c r="A8843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C8841" i="1" l="1"/>
  <c r="H8840" i="1"/>
  <c r="I8840" i="1" a="1"/>
  <c r="I8840" i="1" s="1"/>
  <c r="L8843" i="1" a="1"/>
  <c r="L8843" i="1" s="1"/>
  <c r="P8843" i="1" a="1"/>
  <c r="P8843" i="1" s="1"/>
  <c r="B8844" i="1"/>
  <c r="M8843" i="1" a="1"/>
  <c r="M8843" i="1" s="1"/>
  <c r="Q8843" i="1" a="1"/>
  <c r="Q8843" i="1" s="1"/>
  <c r="J8843" i="1" a="1"/>
  <c r="J8843" i="1" s="1"/>
  <c r="N8843" i="1" a="1"/>
  <c r="N8843" i="1" s="1"/>
  <c r="K8843" i="1" a="1"/>
  <c r="K8843" i="1" s="1"/>
  <c r="O8843" i="1" a="1"/>
  <c r="O8843" i="1" s="1"/>
  <c r="S8843" i="1" a="1"/>
  <c r="S8843" i="1" s="1"/>
  <c r="R8843" i="1" a="1"/>
  <c r="R8843" i="1" s="1"/>
  <c r="A8844" i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C8842" i="1" l="1"/>
  <c r="H8841" i="1"/>
  <c r="I8841" i="1" a="1"/>
  <c r="I8841" i="1" s="1"/>
  <c r="A8845" i="1"/>
  <c r="K8844" i="1" a="1"/>
  <c r="K8844" i="1" s="1"/>
  <c r="O8844" i="1" a="1"/>
  <c r="O8844" i="1" s="1"/>
  <c r="S8844" i="1" a="1"/>
  <c r="S8844" i="1" s="1"/>
  <c r="L8844" i="1" a="1"/>
  <c r="L8844" i="1" s="1"/>
  <c r="P8844" i="1" a="1"/>
  <c r="P8844" i="1" s="1"/>
  <c r="B8845" i="1"/>
  <c r="Q8844" i="1" a="1"/>
  <c r="Q8844" i="1" s="1"/>
  <c r="R8844" i="1" a="1"/>
  <c r="R8844" i="1" s="1"/>
  <c r="M8844" i="1" a="1"/>
  <c r="M8844" i="1" s="1"/>
  <c r="J8844" i="1" a="1"/>
  <c r="J8844" i="1" s="1"/>
  <c r="N8844" i="1" a="1"/>
  <c r="N8844" i="1" s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C8843" i="1" l="1"/>
  <c r="H8842" i="1"/>
  <c r="I8842" i="1" a="1"/>
  <c r="I8842" i="1" s="1"/>
  <c r="J8845" i="1" a="1"/>
  <c r="J8845" i="1" s="1"/>
  <c r="N8845" i="1" a="1"/>
  <c r="N8845" i="1" s="1"/>
  <c r="R8845" i="1" a="1"/>
  <c r="R8845" i="1" s="1"/>
  <c r="K8845" i="1" a="1"/>
  <c r="K8845" i="1" s="1"/>
  <c r="O8845" i="1" a="1"/>
  <c r="O8845" i="1" s="1"/>
  <c r="S8845" i="1" a="1"/>
  <c r="S8845" i="1" s="1"/>
  <c r="B8846" i="1"/>
  <c r="L8845" i="1" a="1"/>
  <c r="L8845" i="1" s="1"/>
  <c r="M8845" i="1" a="1"/>
  <c r="M8845" i="1" s="1"/>
  <c r="Q8845" i="1" a="1"/>
  <c r="Q8845" i="1" s="1"/>
  <c r="P8845" i="1" a="1"/>
  <c r="P8845" i="1" s="1"/>
  <c r="A8846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C8844" i="1" l="1"/>
  <c r="H8843" i="1"/>
  <c r="I8843" i="1" a="1"/>
  <c r="I8843" i="1" s="1"/>
  <c r="A8847" i="1"/>
  <c r="M8846" i="1" a="1"/>
  <c r="M8846" i="1" s="1"/>
  <c r="Q8846" i="1" a="1"/>
  <c r="Q8846" i="1" s="1"/>
  <c r="J8846" i="1" a="1"/>
  <c r="J8846" i="1" s="1"/>
  <c r="N8846" i="1" a="1"/>
  <c r="N8846" i="1" s="1"/>
  <c r="R8846" i="1" a="1"/>
  <c r="R8846" i="1" s="1"/>
  <c r="B8847" i="1"/>
  <c r="P8846" i="1" a="1"/>
  <c r="P8846" i="1" s="1"/>
  <c r="S8846" i="1" a="1"/>
  <c r="S8846" i="1" s="1"/>
  <c r="K8846" i="1" a="1"/>
  <c r="K8846" i="1" s="1"/>
  <c r="L8846" i="1" a="1"/>
  <c r="L8846" i="1" s="1"/>
  <c r="O8846" i="1" a="1"/>
  <c r="O8846" i="1" s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C8845" i="1" l="1"/>
  <c r="I8844" i="1" a="1"/>
  <c r="I8844" i="1" s="1"/>
  <c r="H8844" i="1"/>
  <c r="A8848" i="1"/>
  <c r="L8847" i="1" a="1"/>
  <c r="L8847" i="1" s="1"/>
  <c r="P8847" i="1" a="1"/>
  <c r="P8847" i="1" s="1"/>
  <c r="B8848" i="1"/>
  <c r="M8847" i="1" a="1"/>
  <c r="M8847" i="1" s="1"/>
  <c r="Q8847" i="1" a="1"/>
  <c r="Q8847" i="1" s="1"/>
  <c r="J8847" i="1" a="1"/>
  <c r="J8847" i="1" s="1"/>
  <c r="K8847" i="1" a="1"/>
  <c r="K8847" i="1" s="1"/>
  <c r="O8847" i="1" a="1"/>
  <c r="O8847" i="1" s="1"/>
  <c r="N8847" i="1" a="1"/>
  <c r="N8847" i="1" s="1"/>
  <c r="R8847" i="1" a="1"/>
  <c r="R8847" i="1" s="1"/>
  <c r="S8847" i="1" a="1"/>
  <c r="S8847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C8846" i="1" l="1"/>
  <c r="H8845" i="1"/>
  <c r="I8845" i="1" a="1"/>
  <c r="I8845" i="1" s="1"/>
  <c r="K8848" i="1" a="1"/>
  <c r="K8848" i="1" s="1"/>
  <c r="O8848" i="1" a="1"/>
  <c r="O8848" i="1" s="1"/>
  <c r="S8848" i="1" a="1"/>
  <c r="S8848" i="1" s="1"/>
  <c r="L8848" i="1" a="1"/>
  <c r="L8848" i="1" s="1"/>
  <c r="P8848" i="1" a="1"/>
  <c r="P8848" i="1" s="1"/>
  <c r="B8849" i="1"/>
  <c r="M8848" i="1" a="1"/>
  <c r="M8848" i="1" s="1"/>
  <c r="N8848" i="1" a="1"/>
  <c r="N8848" i="1" s="1"/>
  <c r="Q8848" i="1" a="1"/>
  <c r="Q8848" i="1" s="1"/>
  <c r="R8848" i="1" a="1"/>
  <c r="R8848" i="1" s="1"/>
  <c r="J8848" i="1" a="1"/>
  <c r="J8848" i="1" s="1"/>
  <c r="A8849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C8847" i="1" l="1"/>
  <c r="H8846" i="1"/>
  <c r="I8846" i="1" a="1"/>
  <c r="I8846" i="1" s="1"/>
  <c r="J8849" i="1" a="1"/>
  <c r="J8849" i="1" s="1"/>
  <c r="N8849" i="1" a="1"/>
  <c r="N8849" i="1" s="1"/>
  <c r="R8849" i="1" a="1"/>
  <c r="R8849" i="1" s="1"/>
  <c r="O8849" i="1" a="1"/>
  <c r="O8849" i="1" s="1"/>
  <c r="K8849" i="1" a="1"/>
  <c r="K8849" i="1" s="1"/>
  <c r="S8849" i="1" a="1"/>
  <c r="S8849" i="1" s="1"/>
  <c r="B8850" i="1"/>
  <c r="P8849" i="1" a="1"/>
  <c r="P8849" i="1" s="1"/>
  <c r="M8849" i="1" a="1"/>
  <c r="M8849" i="1" s="1"/>
  <c r="Q8849" i="1" a="1"/>
  <c r="Q8849" i="1" s="1"/>
  <c r="L8849" i="1" a="1"/>
  <c r="L8849" i="1" s="1"/>
  <c r="A8850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C8848" i="1" l="1"/>
  <c r="I8847" i="1" a="1"/>
  <c r="I8847" i="1" s="1"/>
  <c r="H8847" i="1"/>
  <c r="M8850" i="1" a="1"/>
  <c r="M8850" i="1" s="1"/>
  <c r="Q8850" i="1" a="1"/>
  <c r="Q8850" i="1" s="1"/>
  <c r="J8850" i="1" a="1"/>
  <c r="J8850" i="1" s="1"/>
  <c r="N8850" i="1" a="1"/>
  <c r="N8850" i="1" s="1"/>
  <c r="R8850" i="1" a="1"/>
  <c r="R8850" i="1" s="1"/>
  <c r="O8850" i="1" a="1"/>
  <c r="O8850" i="1" s="1"/>
  <c r="L8850" i="1" a="1"/>
  <c r="L8850" i="1" s="1"/>
  <c r="P8850" i="1" a="1"/>
  <c r="P8850" i="1" s="1"/>
  <c r="S8850" i="1" a="1"/>
  <c r="S8850" i="1" s="1"/>
  <c r="K8850" i="1" a="1"/>
  <c r="K8850" i="1" s="1"/>
  <c r="D338" i="2"/>
  <c r="C338" i="2"/>
  <c r="E337" i="2"/>
  <c r="C337" i="2"/>
  <c r="E338" i="2"/>
  <c r="D337" i="2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C8849" i="1" l="1"/>
  <c r="H8848" i="1"/>
  <c r="I8848" i="1" a="1"/>
  <c r="I8848" i="1" s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C8850" i="1" l="1"/>
  <c r="H8849" i="1"/>
  <c r="I8849" i="1" a="1"/>
  <c r="I8849" i="1" s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H8850" i="1" l="1"/>
  <c r="I8850" i="1" a="1"/>
  <c r="I8850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B7027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H7028" i="1" l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033" i="1" l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H7037" i="1" l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7039" i="1" l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H7045" i="1" l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H7048" i="1" l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H7050" i="1" l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H7086" i="1" l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H7088" i="1" l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<sst xmlns="http://schemas.openxmlformats.org/spreadsheetml/2006/main" count="90167" uniqueCount="26">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</sst>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8850"/>
  <sheetViews>
    <sheetView tabSelected="1" zoomScale="90" zoomScaleNormal="90" workbookViewId="0">
      <pane ySplit="1" topLeftCell="A8772" activePane="bottomLeft" state="frozen"/>
      <selection pane="bottomLeft" activeCell="D8773" sqref="D8773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4">
        <v>46022</v>
      </c>
      <c r="B7977" s="35" t="str">
        <f t="shared" ref="B7977" si="1406">B7976</f>
        <v>Northern Cardinal</v>
      </c>
      <c r="C7977" s="36">
        <v>0.29166666666666669</v>
      </c>
      <c r="D7977" s="35">
        <v>0</v>
      </c>
      <c r="E7977" s="35">
        <v>3</v>
      </c>
      <c r="F7977" s="35" t="s">
        <v>9</v>
      </c>
      <c r="G7977" s="37" t="s">
        <v>8</v>
      </c>
      <c r="H7977" s="38">
        <f t="shared" ref="H7977:H8025" si="1407">IFERROR((($A7977+$C7977) - ($A7976+$C7976))*24*60, "")</f>
        <v>788.99999999441206</v>
      </c>
      <c r="I7977" s="38" cm="1">
        <f t="array" ref="I7977">IFERROR(IF($B7977=I$1, ($A7977+$C7977) - MAX(IF($B$2:$B7976=$B7977, $A$2:$A7976+$C$2:$C7976)), "")*24*60, "")</f>
        <v>788.99999999441206</v>
      </c>
      <c r="J7977" s="38" t="str" cm="1">
        <f t="array" ref="J7977">IFERROR(IF($B7977=J$1, ($A7977+$C7977) - MAX(IF($B$2:$B7976=$B7977, $A$2:$A7976+$C$2:$C7976)), "")*24*60, "")</f>
        <v/>
      </c>
      <c r="K7977" s="38" t="str" cm="1">
        <f t="array" ref="K7977">IFERROR(IF($B7977=K$1, ($A7977+$C7977) - MAX(IF($B$2:$B7976=$B7977, $A$2:$A7976+$C$2:$C7976)), "")*24*60, "")</f>
        <v/>
      </c>
      <c r="L7977" s="38" t="str" cm="1">
        <f t="array" ref="L7977">IFERROR(IF($B7977=L$1, ($A7977+$C7977) - MAX(IF($B$2:$B7976=$B7977, $A$2:$A7976+$C$2:$C7976)), "")*24*60, "")</f>
        <v/>
      </c>
      <c r="M7977" s="38" t="str" cm="1">
        <f t="array" ref="M7977">IFERROR(IF($B7977=M$1, ($A7977+$C7977) - MAX(IF($B$2:$B7976=$B7977, $A$2:$A7976+$C$2:$C7976)), "")*24*60, "")</f>
        <v/>
      </c>
      <c r="N7977" s="38" t="str" cm="1">
        <f t="array" ref="N7977">IFERROR(IF($B7977=N$1, ($A7977+$C7977) - MAX(IF($B$2:$B7976=$B7977, $A$2:$A7976+$C$2:$C7976)), "")*24*60, "")</f>
        <v/>
      </c>
      <c r="O7977" s="38" t="str" cm="1">
        <f t="array" ref="O7977">IFERROR(IF($B7977=O$1, ($A7977+$C7977) - MAX(IF($B$2:$B7976=$B7977, $A$2:$A7976+$C$2:$C7976)), "")*24*60, "")</f>
        <v/>
      </c>
      <c r="P7977" s="38" t="str" cm="1">
        <f t="array" ref="P7977">IFERROR(IF($B7977=P$1, ($A7977+$C7977) - MAX(IF($B$2:$B7976=$B7977, $A$2:$A7976+$C$2:$C7976)), "")*24*60, "")</f>
        <v/>
      </c>
      <c r="Q7977" s="38" t="str" cm="1">
        <f t="array" ref="Q7977">IFERROR(IF($B7977=Q$1, ($A7977+$C7977) - MAX(IF($B$2:$B7976=$B7977, $A$2:$A7976+$C$2:$C7976)), "")*24*60, "")</f>
        <v/>
      </c>
      <c r="R7977" s="38" t="str" cm="1">
        <f t="array" ref="R7977">IFERROR(IF($B7977=R$1, ($A7977+$C7977) - MAX(IF($B$2:$B7976=$B7977, $A$2:$A7976+$C$2:$C7976)), "")*24*60, "")</f>
        <v/>
      </c>
      <c r="S7977" s="38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tr">
        <f t="shared" ref="A8773:C8773" si="1411">B8772</f>
        <v>Northern Cardinal</v>
      </c>
      <c r="C8773" s="6">
        <f t="shared" si="1411"/>
        <v>0.74930555555555556</v>
      </c>
      <c r="D8773" s="5"/>
      <c r="E8773" s="5"/>
      <c r="F8773" s="5" t="s">
        <v>9</v>
      </c>
      <c r="G8773" s="15" t="s">
        <v>8</v>
      </c>
      <c r="H8773" s="24">
        <f t="shared" ref="H8723:H8850" si="1412">IFERROR((($A8773+$C8773) - ($A8772+$C8772))*24*60, "")</f>
        <v>1440</v>
      </c>
      <c r="I8773" s="24" cm="1">
        <f t="array" ref="I8773">IFERROR(IF($B8773=I$1, ($A8773+$C8773) - MAX(IF($B$2:$B8772=$B8773, $A$2:$A8772+$C$2:$C8772)), "")*24*60, "")</f>
        <v>1440</v>
      </c>
      <c r="J8773" s="24" t="str" cm="1">
        <f t="array" ref="J8773">IFERROR(IF($B8773=J$1, ($A8773+$C8773) - MAX(IF($B$2:$B8772=$B8773, $A$2:$A8772+$C$2:$C8772)), "")*24*60, "")</f>
        <v/>
      </c>
      <c r="K8773" s="24" t="str" cm="1">
        <f t="array" ref="K8773">IFERROR(IF($B8773=K$1, ($A8773+$C8773) - MAX(IF($B$2:$B8772=$B8773, $A$2:$A8772+$C$2:$C8772)), "")*24*60, "")</f>
        <v/>
      </c>
      <c r="L8773" s="24" t="str" cm="1">
        <f t="array" ref="L8773">IFERROR(IF($B8773=L$1, ($A8773+$C8773) - MAX(IF($B$2:$B8772=$B8773, $A$2:$A8772+$C$2:$C8772)), "")*24*60, "")</f>
        <v/>
      </c>
      <c r="M8773" s="24" t="str" cm="1">
        <f t="array" ref="M8773">IFERROR(IF($B8773=M$1, ($A8773+$C8773) - MAX(IF($B$2:$B8772=$B8773, $A$2:$A8772+$C$2:$C8772)), "")*24*60, "")</f>
        <v/>
      </c>
      <c r="N8773" s="24" t="str" cm="1">
        <f t="array" ref="N8773">IFERROR(IF($B8773=N$1, ($A8773+$C8773) - MAX(IF($B$2:$B8772=$B8773, $A$2:$A8772+$C$2:$C8772)), "")*24*60, "")</f>
        <v/>
      </c>
      <c r="O8773" s="24" t="str" cm="1">
        <f t="array" ref="O8773">IFERROR(IF($B8773=O$1, ($A8773+$C8773) - MAX(IF($B$2:$B8772=$B8773, $A$2:$A8772+$C$2:$C8772)), "")*24*60, "")</f>
        <v/>
      </c>
      <c r="P8773" s="24" t="str" cm="1">
        <f t="array" ref="P8773">IFERROR(IF($B8773=P$1, ($A8773+$C8773) - MAX(IF($B$2:$B8772=$B8773, $A$2:$A8772+$C$2:$C8772)), "")*24*60, "")</f>
        <v/>
      </c>
      <c r="Q8773" s="24" t="str" cm="1">
        <f t="array" ref="Q8773">IFERROR(IF($B8773=Q$1, ($A8773+$C8773) - MAX(IF($B$2:$B8772=$B8773, $A$2:$A8772+$C$2:$C8772)), "")*24*60, "")</f>
        <v/>
      </c>
      <c r="R8773" s="24" t="str" cm="1">
        <f t="array" ref="R8773">IFERROR(IF($B8773=R$1, ($A8773+$C8773) - MAX(IF($B$2:$B8772=$B8773, $A$2:$A8772+$C$2:$C8772)), "")*24*60, "")</f>
        <v/>
      </c>
      <c r="S8773" s="24" t="str" cm="1">
        <f t="array" ref="S8773">IFERROR(IF($B8773=S$1, ($A8773+$C8773) - MAX(IF($B$2:$B8772=$B8773, $A$2:$A8772+$C$2:$C8772)), "")*24*60, "")</f>
        <v/>
      </c>
    </row>
    <row r="8774" spans="1:19" x14ac:dyDescent="0.2">
      <c r="A8774" s="12">
        <f t="shared" ref="A8774:C8774" si="1413">A8773</f>
        <v>46036</v>
      </c>
      <c r="B8774" s="5" t="str">
        <f t="shared" si="1413"/>
        <v>Northern Cardinal</v>
      </c>
      <c r="C8774" s="6">
        <f t="shared" si="1413"/>
        <v>0.74930555555555556</v>
      </c>
      <c r="D8774" s="5"/>
      <c r="E8774" s="5"/>
      <c r="F8774" s="5" t="s">
        <v>9</v>
      </c>
      <c r="G8774" s="15" t="s">
        <v>8</v>
      </c>
      <c r="H8774" s="24">
        <f t="shared" si="1412"/>
        <v>0</v>
      </c>
      <c r="I8774" s="24" cm="1">
        <f t="array" ref="I8774">IFERROR(IF($B8774=I$1, ($A8774+$C8774) - MAX(IF($B$2:$B8773=$B8774, $A$2:$A8773+$C$2:$C8773)), "")*24*60, "")</f>
        <v>0</v>
      </c>
      <c r="J8774" s="24" t="str" cm="1">
        <f t="array" ref="J8774">IFERROR(IF($B8774=J$1, ($A8774+$C8774) - MAX(IF($B$2:$B8773=$B8774, $A$2:$A8773+$C$2:$C8773)), "")*24*60, "")</f>
        <v/>
      </c>
      <c r="K8774" s="24" t="str" cm="1">
        <f t="array" ref="K8774">IFERROR(IF($B8774=K$1, ($A8774+$C8774) - MAX(IF($B$2:$B8773=$B8774, $A$2:$A8773+$C$2:$C8773)), "")*24*60, "")</f>
        <v/>
      </c>
      <c r="L8774" s="24" t="str" cm="1">
        <f t="array" ref="L8774">IFERROR(IF($B8774=L$1, ($A8774+$C8774) - MAX(IF($B$2:$B8773=$B8774, $A$2:$A8773+$C$2:$C8773)), "")*24*60, "")</f>
        <v/>
      </c>
      <c r="M8774" s="24" t="str" cm="1">
        <f t="array" ref="M8774">IFERROR(IF($B8774=M$1, ($A8774+$C8774) - MAX(IF($B$2:$B8773=$B8774, $A$2:$A8773+$C$2:$C8773)), "")*24*60, "")</f>
        <v/>
      </c>
      <c r="N8774" s="24" t="str" cm="1">
        <f t="array" ref="N8774">IFERROR(IF($B8774=N$1, ($A8774+$C8774) - MAX(IF($B$2:$B8773=$B8774, $A$2:$A8773+$C$2:$C8773)), "")*24*60, "")</f>
        <v/>
      </c>
      <c r="O8774" s="24" t="str" cm="1">
        <f t="array" ref="O8774">IFERROR(IF($B8774=O$1, ($A8774+$C8774) - MAX(IF($B$2:$B8773=$B8774, $A$2:$A8773+$C$2:$C8773)), "")*24*60, "")</f>
        <v/>
      </c>
      <c r="P8774" s="24" t="str" cm="1">
        <f t="array" ref="P8774">IFERROR(IF($B8774=P$1, ($A8774+$C8774) - MAX(IF($B$2:$B8773=$B8774, $A$2:$A8773+$C$2:$C8773)), "")*24*60, "")</f>
        <v/>
      </c>
      <c r="Q8774" s="24" t="str" cm="1">
        <f t="array" ref="Q8774">IFERROR(IF($B8774=Q$1, ($A8774+$C8774) - MAX(IF($B$2:$B8773=$B8774, $A$2:$A8773+$C$2:$C8773)), "")*24*60, "")</f>
        <v/>
      </c>
      <c r="R8774" s="24" t="str" cm="1">
        <f t="array" ref="R8774">IFERROR(IF($B8774=R$1, ($A8774+$C8774) - MAX(IF($B$2:$B8773=$B8774, $A$2:$A8773+$C$2:$C8773)), "")*24*60, "")</f>
        <v/>
      </c>
      <c r="S8774" s="24" t="str" cm="1">
        <f t="array" ref="S8774">IFERROR(IF($B8774=S$1, ($A8774+$C8774) - MAX(IF($B$2:$B8773=$B8774, $A$2:$A8773+$C$2:$C8773)), "")*24*60, "")</f>
        <v/>
      </c>
    </row>
    <row r="8775" spans="1:19" x14ac:dyDescent="0.2">
      <c r="A8775" s="12">
        <f t="shared" ref="A8775:C8775" si="1414">A8774</f>
        <v>46036</v>
      </c>
      <c r="B8775" s="5" t="str">
        <f t="shared" si="1414"/>
        <v>Northern Cardinal</v>
      </c>
      <c r="C8775" s="6">
        <f t="shared" si="1414"/>
        <v>0.74930555555555556</v>
      </c>
      <c r="D8775" s="5"/>
      <c r="E8775" s="5"/>
      <c r="F8775" s="5" t="s">
        <v>9</v>
      </c>
      <c r="G8775" s="15" t="s">
        <v>8</v>
      </c>
      <c r="H8775" s="24">
        <f t="shared" si="1412"/>
        <v>0</v>
      </c>
      <c r="I8775" s="24" cm="1">
        <f t="array" ref="I8775">IFERROR(IF($B8775=I$1, ($A8775+$C8775) - MAX(IF($B$2:$B8774=$B8775, $A$2:$A8774+$C$2:$C8774)), "")*24*60, "")</f>
        <v>0</v>
      </c>
      <c r="J8775" s="24" t="str" cm="1">
        <f t="array" ref="J8775">IFERROR(IF($B8775=J$1, ($A8775+$C8775) - MAX(IF($B$2:$B8774=$B8775, $A$2:$A8774+$C$2:$C8774)), "")*24*60, "")</f>
        <v/>
      </c>
      <c r="K8775" s="24" t="str" cm="1">
        <f t="array" ref="K8775">IFERROR(IF($B8775=K$1, ($A8775+$C8775) - MAX(IF($B$2:$B8774=$B8775, $A$2:$A8774+$C$2:$C8774)), "")*24*60, "")</f>
        <v/>
      </c>
      <c r="L8775" s="24" t="str" cm="1">
        <f t="array" ref="L8775">IFERROR(IF($B8775=L$1, ($A8775+$C8775) - MAX(IF($B$2:$B8774=$B8775, $A$2:$A8774+$C$2:$C8774)), "")*24*60, "")</f>
        <v/>
      </c>
      <c r="M8775" s="24" t="str" cm="1">
        <f t="array" ref="M8775">IFERROR(IF($B8775=M$1, ($A8775+$C8775) - MAX(IF($B$2:$B8774=$B8775, $A$2:$A8774+$C$2:$C8774)), "")*24*60, "")</f>
        <v/>
      </c>
      <c r="N8775" s="24" t="str" cm="1">
        <f t="array" ref="N8775">IFERROR(IF($B8775=N$1, ($A8775+$C8775) - MAX(IF($B$2:$B8774=$B8775, $A$2:$A8774+$C$2:$C8774)), "")*24*60, "")</f>
        <v/>
      </c>
      <c r="O8775" s="24" t="str" cm="1">
        <f t="array" ref="O8775">IFERROR(IF($B8775=O$1, ($A8775+$C8775) - MAX(IF($B$2:$B8774=$B8775, $A$2:$A8774+$C$2:$C8774)), "")*24*60, "")</f>
        <v/>
      </c>
      <c r="P8775" s="24" t="str" cm="1">
        <f t="array" ref="P8775">IFERROR(IF($B8775=P$1, ($A8775+$C8775) - MAX(IF($B$2:$B8774=$B8775, $A$2:$A8774+$C$2:$C8774)), "")*24*60, "")</f>
        <v/>
      </c>
      <c r="Q8775" s="24" t="str" cm="1">
        <f t="array" ref="Q8775">IFERROR(IF($B8775=Q$1, ($A8775+$C8775) - MAX(IF($B$2:$B8774=$B8775, $A$2:$A8774+$C$2:$C8774)), "")*24*60, "")</f>
        <v/>
      </c>
      <c r="R8775" s="24" t="str" cm="1">
        <f t="array" ref="R8775">IFERROR(IF($B8775=R$1, ($A8775+$C8775) - MAX(IF($B$2:$B8774=$B8775, $A$2:$A8774+$C$2:$C8774)), "")*24*60, "")</f>
        <v/>
      </c>
      <c r="S8775" s="24" t="str" cm="1">
        <f t="array" ref="S8775">IFERROR(IF($B8775=S$1, ($A8775+$C8775) - MAX(IF($B$2:$B8774=$B8775, $A$2:$A8774+$C$2:$C8774)), "")*24*60, "")</f>
        <v/>
      </c>
    </row>
    <row r="8776" spans="1:19" x14ac:dyDescent="0.2">
      <c r="A8776" s="12">
        <f t="shared" ref="A8776:C8776" si="1415">A8775</f>
        <v>46036</v>
      </c>
      <c r="B8776" s="5" t="str">
        <f t="shared" si="1415"/>
        <v>Northern Cardinal</v>
      </c>
      <c r="C8776" s="6">
        <f t="shared" si="1415"/>
        <v>0.74930555555555556</v>
      </c>
      <c r="D8776" s="5"/>
      <c r="E8776" s="5"/>
      <c r="F8776" s="5" t="s">
        <v>9</v>
      </c>
      <c r="G8776" s="15" t="s">
        <v>8</v>
      </c>
      <c r="H8776" s="24">
        <f t="shared" si="1412"/>
        <v>0</v>
      </c>
      <c r="I8776" s="24" cm="1">
        <f t="array" ref="I8776">IFERROR(IF($B8776=I$1, ($A8776+$C8776) - MAX(IF($B$2:$B8775=$B8776, $A$2:$A8775+$C$2:$C8775)), "")*24*60, "")</f>
        <v>0</v>
      </c>
      <c r="J8776" s="24" t="str" cm="1">
        <f t="array" ref="J8776">IFERROR(IF($B8776=J$1, ($A8776+$C8776) - MAX(IF($B$2:$B8775=$B8776, $A$2:$A8775+$C$2:$C8775)), "")*24*60, "")</f>
        <v/>
      </c>
      <c r="K8776" s="24" t="str" cm="1">
        <f t="array" ref="K8776">IFERROR(IF($B8776=K$1, ($A8776+$C8776) - MAX(IF($B$2:$B8775=$B8776, $A$2:$A8775+$C$2:$C8775)), "")*24*60, "")</f>
        <v/>
      </c>
      <c r="L8776" s="24" t="str" cm="1">
        <f t="array" ref="L8776">IFERROR(IF($B8776=L$1, ($A8776+$C8776) - MAX(IF($B$2:$B8775=$B8776, $A$2:$A8775+$C$2:$C8775)), "")*24*60, "")</f>
        <v/>
      </c>
      <c r="M8776" s="24" t="str" cm="1">
        <f t="array" ref="M8776">IFERROR(IF($B8776=M$1, ($A8776+$C8776) - MAX(IF($B$2:$B8775=$B8776, $A$2:$A8775+$C$2:$C8775)), "")*24*60, "")</f>
        <v/>
      </c>
      <c r="N8776" s="24" t="str" cm="1">
        <f t="array" ref="N8776">IFERROR(IF($B8776=N$1, ($A8776+$C8776) - MAX(IF($B$2:$B8775=$B8776, $A$2:$A8775+$C$2:$C8775)), "")*24*60, "")</f>
        <v/>
      </c>
      <c r="O8776" s="24" t="str" cm="1">
        <f t="array" ref="O8776">IFERROR(IF($B8776=O$1, ($A8776+$C8776) - MAX(IF($B$2:$B8775=$B8776, $A$2:$A8775+$C$2:$C8775)), "")*24*60, "")</f>
        <v/>
      </c>
      <c r="P8776" s="24" t="str" cm="1">
        <f t="array" ref="P8776">IFERROR(IF($B8776=P$1, ($A8776+$C8776) - MAX(IF($B$2:$B8775=$B8776, $A$2:$A8775+$C$2:$C8775)), "")*24*60, "")</f>
        <v/>
      </c>
      <c r="Q8776" s="24" t="str" cm="1">
        <f t="array" ref="Q8776">IFERROR(IF($B8776=Q$1, ($A8776+$C8776) - MAX(IF($B$2:$B8775=$B8776, $A$2:$A8775+$C$2:$C8775)), "")*24*60, "")</f>
        <v/>
      </c>
      <c r="R8776" s="24" t="str" cm="1">
        <f t="array" ref="R8776">IFERROR(IF($B8776=R$1, ($A8776+$C8776) - MAX(IF($B$2:$B8775=$B8776, $A$2:$A8775+$C$2:$C8775)), "")*24*60, "")</f>
        <v/>
      </c>
      <c r="S8776" s="24" t="str" cm="1">
        <f t="array" ref="S8776">IFERROR(IF($B8776=S$1, ($A8776+$C8776) - MAX(IF($B$2:$B8775=$B8776, $A$2:$A8775+$C$2:$C8775)), "")*24*60, "")</f>
        <v/>
      </c>
    </row>
    <row r="8777" spans="1:19" x14ac:dyDescent="0.2">
      <c r="A8777" s="12">
        <f t="shared" ref="A8777:C8777" si="1416">A8776</f>
        <v>46036</v>
      </c>
      <c r="B8777" s="5" t="str">
        <f t="shared" si="1416"/>
        <v>Northern Cardinal</v>
      </c>
      <c r="C8777" s="6">
        <f t="shared" si="1416"/>
        <v>0.74930555555555556</v>
      </c>
      <c r="D8777" s="5"/>
      <c r="E8777" s="5"/>
      <c r="F8777" s="5" t="s">
        <v>9</v>
      </c>
      <c r="G8777" s="15" t="s">
        <v>8</v>
      </c>
      <c r="H8777" s="24">
        <f t="shared" si="1412"/>
        <v>0</v>
      </c>
      <c r="I8777" s="24" cm="1">
        <f t="array" ref="I8777">IFERROR(IF($B8777=I$1, ($A8777+$C8777) - MAX(IF($B$2:$B8776=$B8777, $A$2:$A8776+$C$2:$C8776)), "")*24*60, "")</f>
        <v>0</v>
      </c>
      <c r="J8777" s="24" t="str" cm="1">
        <f t="array" ref="J8777">IFERROR(IF($B8777=J$1, ($A8777+$C8777) - MAX(IF($B$2:$B8776=$B8777, $A$2:$A8776+$C$2:$C8776)), "")*24*60, "")</f>
        <v/>
      </c>
      <c r="K8777" s="24" t="str" cm="1">
        <f t="array" ref="K8777">IFERROR(IF($B8777=K$1, ($A8777+$C8777) - MAX(IF($B$2:$B8776=$B8777, $A$2:$A8776+$C$2:$C8776)), "")*24*60, "")</f>
        <v/>
      </c>
      <c r="L8777" s="24" t="str" cm="1">
        <f t="array" ref="L8777">IFERROR(IF($B8777=L$1, ($A8777+$C8777) - MAX(IF($B$2:$B8776=$B8777, $A$2:$A8776+$C$2:$C8776)), "")*24*60, "")</f>
        <v/>
      </c>
      <c r="M8777" s="24" t="str" cm="1">
        <f t="array" ref="M8777">IFERROR(IF($B8777=M$1, ($A8777+$C8777) - MAX(IF($B$2:$B8776=$B8777, $A$2:$A8776+$C$2:$C8776)), "")*24*60, "")</f>
        <v/>
      </c>
      <c r="N8777" s="24" t="str" cm="1">
        <f t="array" ref="N8777">IFERROR(IF($B8777=N$1, ($A8777+$C8777) - MAX(IF($B$2:$B8776=$B8777, $A$2:$A8776+$C$2:$C8776)), "")*24*60, "")</f>
        <v/>
      </c>
      <c r="O8777" s="24" t="str" cm="1">
        <f t="array" ref="O8777">IFERROR(IF($B8777=O$1, ($A8777+$C8777) - MAX(IF($B$2:$B8776=$B8777, $A$2:$A8776+$C$2:$C8776)), "")*24*60, "")</f>
        <v/>
      </c>
      <c r="P8777" s="24" t="str" cm="1">
        <f t="array" ref="P8777">IFERROR(IF($B8777=P$1, ($A8777+$C8777) - MAX(IF($B$2:$B8776=$B8777, $A$2:$A8776+$C$2:$C8776)), "")*24*60, "")</f>
        <v/>
      </c>
      <c r="Q8777" s="24" t="str" cm="1">
        <f t="array" ref="Q8777">IFERROR(IF($B8777=Q$1, ($A8777+$C8777) - MAX(IF($B$2:$B8776=$B8777, $A$2:$A8776+$C$2:$C8776)), "")*24*60, "")</f>
        <v/>
      </c>
      <c r="R8777" s="24" t="str" cm="1">
        <f t="array" ref="R8777">IFERROR(IF($B8777=R$1, ($A8777+$C8777) - MAX(IF($B$2:$B8776=$B8777, $A$2:$A8776+$C$2:$C8776)), "")*24*60, "")</f>
        <v/>
      </c>
      <c r="S8777" s="24" t="str" cm="1">
        <f t="array" ref="S8777">IFERROR(IF($B8777=S$1, ($A8777+$C8777) - MAX(IF($B$2:$B8776=$B8777, $A$2:$A8776+$C$2:$C8776)), "")*24*60, "")</f>
        <v/>
      </c>
    </row>
    <row r="8778" spans="1:19" x14ac:dyDescent="0.2">
      <c r="A8778" s="12">
        <f t="shared" ref="A8778:C8778" si="1417">A8777</f>
        <v>46036</v>
      </c>
      <c r="B8778" s="5" t="str">
        <f t="shared" si="1417"/>
        <v>Northern Cardinal</v>
      </c>
      <c r="C8778" s="6">
        <f t="shared" si="1417"/>
        <v>0.74930555555555556</v>
      </c>
      <c r="D8778" s="5"/>
      <c r="E8778" s="5"/>
      <c r="F8778" s="5" t="s">
        <v>9</v>
      </c>
      <c r="G8778" s="15" t="s">
        <v>8</v>
      </c>
      <c r="H8778" s="24">
        <f t="shared" si="1412"/>
        <v>0</v>
      </c>
      <c r="I8778" s="24" cm="1">
        <f t="array" ref="I8778">IFERROR(IF($B8778=I$1, ($A8778+$C8778) - MAX(IF($B$2:$B8777=$B8778, $A$2:$A8777+$C$2:$C8777)), "")*24*60, "")</f>
        <v>0</v>
      </c>
      <c r="J8778" s="24" t="str" cm="1">
        <f t="array" ref="J8778">IFERROR(IF($B8778=J$1, ($A8778+$C8778) - MAX(IF($B$2:$B8777=$B8778, $A$2:$A8777+$C$2:$C8777)), "")*24*60, "")</f>
        <v/>
      </c>
      <c r="K8778" s="24" t="str" cm="1">
        <f t="array" ref="K8778">IFERROR(IF($B8778=K$1, ($A8778+$C8778) - MAX(IF($B$2:$B8777=$B8778, $A$2:$A8777+$C$2:$C8777)), "")*24*60, "")</f>
        <v/>
      </c>
      <c r="L8778" s="24" t="str" cm="1">
        <f t="array" ref="L8778">IFERROR(IF($B8778=L$1, ($A8778+$C8778) - MAX(IF($B$2:$B8777=$B8778, $A$2:$A8777+$C$2:$C8777)), "")*24*60, "")</f>
        <v/>
      </c>
      <c r="M8778" s="24" t="str" cm="1">
        <f t="array" ref="M8778">IFERROR(IF($B8778=M$1, ($A8778+$C8778) - MAX(IF($B$2:$B8777=$B8778, $A$2:$A8777+$C$2:$C8777)), "")*24*60, "")</f>
        <v/>
      </c>
      <c r="N8778" s="24" t="str" cm="1">
        <f t="array" ref="N8778">IFERROR(IF($B8778=N$1, ($A8778+$C8778) - MAX(IF($B$2:$B8777=$B8778, $A$2:$A8777+$C$2:$C8777)), "")*24*60, "")</f>
        <v/>
      </c>
      <c r="O8778" s="24" t="str" cm="1">
        <f t="array" ref="O8778">IFERROR(IF($B8778=O$1, ($A8778+$C8778) - MAX(IF($B$2:$B8777=$B8778, $A$2:$A8777+$C$2:$C8777)), "")*24*60, "")</f>
        <v/>
      </c>
      <c r="P8778" s="24" t="str" cm="1">
        <f t="array" ref="P8778">IFERROR(IF($B8778=P$1, ($A8778+$C8778) - MAX(IF($B$2:$B8777=$B8778, $A$2:$A8777+$C$2:$C8777)), "")*24*60, "")</f>
        <v/>
      </c>
      <c r="Q8778" s="24" t="str" cm="1">
        <f t="array" ref="Q8778">IFERROR(IF($B8778=Q$1, ($A8778+$C8778) - MAX(IF($B$2:$B8777=$B8778, $A$2:$A8777+$C$2:$C8777)), "")*24*60, "")</f>
        <v/>
      </c>
      <c r="R8778" s="24" t="str" cm="1">
        <f t="array" ref="R8778">IFERROR(IF($B8778=R$1, ($A8778+$C8778) - MAX(IF($B$2:$B8777=$B8778, $A$2:$A8777+$C$2:$C8777)), "")*24*60, "")</f>
        <v/>
      </c>
      <c r="S8778" s="24" t="str" cm="1">
        <f t="array" ref="S8778">IFERROR(IF($B8778=S$1, ($A8778+$C8778) - MAX(IF($B$2:$B8777=$B8778, $A$2:$A8777+$C$2:$C8777)), "")*24*60, "")</f>
        <v/>
      </c>
    </row>
    <row r="8779" spans="1:19" x14ac:dyDescent="0.2">
      <c r="A8779" s="12">
        <f t="shared" ref="A8779:C8779" si="1418">A8778</f>
        <v>46036</v>
      </c>
      <c r="B8779" s="5" t="str">
        <f t="shared" si="1418"/>
        <v>Northern Cardinal</v>
      </c>
      <c r="C8779" s="6">
        <f t="shared" si="1418"/>
        <v>0.74930555555555556</v>
      </c>
      <c r="D8779" s="5"/>
      <c r="E8779" s="5"/>
      <c r="F8779" s="5" t="s">
        <v>9</v>
      </c>
      <c r="G8779" s="15" t="s">
        <v>8</v>
      </c>
      <c r="H8779" s="24">
        <f t="shared" si="1412"/>
        <v>0</v>
      </c>
      <c r="I8779" s="24" cm="1">
        <f t="array" ref="I8779">IFERROR(IF($B8779=I$1, ($A8779+$C8779) - MAX(IF($B$2:$B8778=$B8779, $A$2:$A8778+$C$2:$C8778)), "")*24*60, "")</f>
        <v>0</v>
      </c>
      <c r="J8779" s="24" t="str" cm="1">
        <f t="array" ref="J8779">IFERROR(IF($B8779=J$1, ($A8779+$C8779) - MAX(IF($B$2:$B8778=$B8779, $A$2:$A8778+$C$2:$C8778)), "")*24*60, "")</f>
        <v/>
      </c>
      <c r="K8779" s="24" t="str" cm="1">
        <f t="array" ref="K8779">IFERROR(IF($B8779=K$1, ($A8779+$C8779) - MAX(IF($B$2:$B8778=$B8779, $A$2:$A8778+$C$2:$C8778)), "")*24*60, "")</f>
        <v/>
      </c>
      <c r="L8779" s="24" t="str" cm="1">
        <f t="array" ref="L8779">IFERROR(IF($B8779=L$1, ($A8779+$C8779) - MAX(IF($B$2:$B8778=$B8779, $A$2:$A8778+$C$2:$C8778)), "")*24*60, "")</f>
        <v/>
      </c>
      <c r="M8779" s="24" t="str" cm="1">
        <f t="array" ref="M8779">IFERROR(IF($B8779=M$1, ($A8779+$C8779) - MAX(IF($B$2:$B8778=$B8779, $A$2:$A8778+$C$2:$C8778)), "")*24*60, "")</f>
        <v/>
      </c>
      <c r="N8779" s="24" t="str" cm="1">
        <f t="array" ref="N8779">IFERROR(IF($B8779=N$1, ($A8779+$C8779) - MAX(IF($B$2:$B8778=$B8779, $A$2:$A8778+$C$2:$C8778)), "")*24*60, "")</f>
        <v/>
      </c>
      <c r="O8779" s="24" t="str" cm="1">
        <f t="array" ref="O8779">IFERROR(IF($B8779=O$1, ($A8779+$C8779) - MAX(IF($B$2:$B8778=$B8779, $A$2:$A8778+$C$2:$C8778)), "")*24*60, "")</f>
        <v/>
      </c>
      <c r="P8779" s="24" t="str" cm="1">
        <f t="array" ref="P8779">IFERROR(IF($B8779=P$1, ($A8779+$C8779) - MAX(IF($B$2:$B8778=$B8779, $A$2:$A8778+$C$2:$C8778)), "")*24*60, "")</f>
        <v/>
      </c>
      <c r="Q8779" s="24" t="str" cm="1">
        <f t="array" ref="Q8779">IFERROR(IF($B8779=Q$1, ($A8779+$C8779) - MAX(IF($B$2:$B8778=$B8779, $A$2:$A8778+$C$2:$C8778)), "")*24*60, "")</f>
        <v/>
      </c>
      <c r="R8779" s="24" t="str" cm="1">
        <f t="array" ref="R8779">IFERROR(IF($B8779=R$1, ($A8779+$C8779) - MAX(IF($B$2:$B8778=$B8779, $A$2:$A8778+$C$2:$C8778)), "")*24*60, "")</f>
        <v/>
      </c>
      <c r="S8779" s="24" t="str" cm="1">
        <f t="array" ref="S8779">IFERROR(IF($B8779=S$1, ($A8779+$C8779) - MAX(IF($B$2:$B8778=$B8779, $A$2:$A8778+$C$2:$C8778)), "")*24*60, "")</f>
        <v/>
      </c>
    </row>
    <row r="8780" spans="1:19" x14ac:dyDescent="0.2">
      <c r="A8780" s="12">
        <f t="shared" ref="A8780:C8780" si="1419">A8779</f>
        <v>46036</v>
      </c>
      <c r="B8780" s="5" t="str">
        <f t="shared" si="1419"/>
        <v>Northern Cardinal</v>
      </c>
      <c r="C8780" s="6">
        <f t="shared" si="1419"/>
        <v>0.74930555555555556</v>
      </c>
      <c r="D8780" s="5"/>
      <c r="E8780" s="5"/>
      <c r="F8780" s="5" t="s">
        <v>9</v>
      </c>
      <c r="G8780" s="15" t="s">
        <v>8</v>
      </c>
      <c r="H8780" s="24">
        <f t="shared" si="1412"/>
        <v>0</v>
      </c>
      <c r="I8780" s="24" cm="1">
        <f t="array" ref="I8780">IFERROR(IF($B8780=I$1, ($A8780+$C8780) - MAX(IF($B$2:$B8779=$B8780, $A$2:$A8779+$C$2:$C8779)), "")*24*60, "")</f>
        <v>0</v>
      </c>
      <c r="J8780" s="24" t="str" cm="1">
        <f t="array" ref="J8780">IFERROR(IF($B8780=J$1, ($A8780+$C8780) - MAX(IF($B$2:$B8779=$B8780, $A$2:$A8779+$C$2:$C8779)), "")*24*60, "")</f>
        <v/>
      </c>
      <c r="K8780" s="24" t="str" cm="1">
        <f t="array" ref="K8780">IFERROR(IF($B8780=K$1, ($A8780+$C8780) - MAX(IF($B$2:$B8779=$B8780, $A$2:$A8779+$C$2:$C8779)), "")*24*60, "")</f>
        <v/>
      </c>
      <c r="L8780" s="24" t="str" cm="1">
        <f t="array" ref="L8780">IFERROR(IF($B8780=L$1, ($A8780+$C8780) - MAX(IF($B$2:$B8779=$B8780, $A$2:$A8779+$C$2:$C8779)), "")*24*60, "")</f>
        <v/>
      </c>
      <c r="M8780" s="24" t="str" cm="1">
        <f t="array" ref="M8780">IFERROR(IF($B8780=M$1, ($A8780+$C8780) - MAX(IF($B$2:$B8779=$B8780, $A$2:$A8779+$C$2:$C8779)), "")*24*60, "")</f>
        <v/>
      </c>
      <c r="N8780" s="24" t="str" cm="1">
        <f t="array" ref="N8780">IFERROR(IF($B8780=N$1, ($A8780+$C8780) - MAX(IF($B$2:$B8779=$B8780, $A$2:$A8779+$C$2:$C8779)), "")*24*60, "")</f>
        <v/>
      </c>
      <c r="O8780" s="24" t="str" cm="1">
        <f t="array" ref="O8780">IFERROR(IF($B8780=O$1, ($A8780+$C8780) - MAX(IF($B$2:$B8779=$B8780, $A$2:$A8779+$C$2:$C8779)), "")*24*60, "")</f>
        <v/>
      </c>
      <c r="P8780" s="24" t="str" cm="1">
        <f t="array" ref="P8780">IFERROR(IF($B8780=P$1, ($A8780+$C8780) - MAX(IF($B$2:$B8779=$B8780, $A$2:$A8779+$C$2:$C8779)), "")*24*60, "")</f>
        <v/>
      </c>
      <c r="Q8780" s="24" t="str" cm="1">
        <f t="array" ref="Q8780">IFERROR(IF($B8780=Q$1, ($A8780+$C8780) - MAX(IF($B$2:$B8779=$B8780, $A$2:$A8779+$C$2:$C8779)), "")*24*60, "")</f>
        <v/>
      </c>
      <c r="R8780" s="24" t="str" cm="1">
        <f t="array" ref="R8780">IFERROR(IF($B8780=R$1, ($A8780+$C8780) - MAX(IF($B$2:$B8779=$B8780, $A$2:$A8779+$C$2:$C8779)), "")*24*60, "")</f>
        <v/>
      </c>
      <c r="S8780" s="24" t="str" cm="1">
        <f t="array" ref="S8780">IFERROR(IF($B8780=S$1, ($A8780+$C8780) - MAX(IF($B$2:$B8779=$B8780, $A$2:$A8779+$C$2:$C8779)), "")*24*60, "")</f>
        <v/>
      </c>
    </row>
    <row r="8781" spans="1:19" x14ac:dyDescent="0.2">
      <c r="A8781" s="12">
        <f t="shared" ref="A8781:C8781" si="1420">A8780</f>
        <v>46036</v>
      </c>
      <c r="B8781" s="5" t="str">
        <f t="shared" si="1420"/>
        <v>Northern Cardinal</v>
      </c>
      <c r="C8781" s="6">
        <f t="shared" si="1420"/>
        <v>0.74930555555555556</v>
      </c>
      <c r="D8781" s="5"/>
      <c r="E8781" s="5"/>
      <c r="F8781" s="5" t="s">
        <v>9</v>
      </c>
      <c r="G8781" s="15" t="s">
        <v>8</v>
      </c>
      <c r="H8781" s="24">
        <f t="shared" si="1412"/>
        <v>0</v>
      </c>
      <c r="I8781" s="24" cm="1">
        <f t="array" ref="I8781">IFERROR(IF($B8781=I$1, ($A8781+$C8781) - MAX(IF($B$2:$B8780=$B8781, $A$2:$A8780+$C$2:$C8780)), "")*24*60, "")</f>
        <v>0</v>
      </c>
      <c r="J8781" s="24" t="str" cm="1">
        <f t="array" ref="J8781">IFERROR(IF($B8781=J$1, ($A8781+$C8781) - MAX(IF($B$2:$B8780=$B8781, $A$2:$A8780+$C$2:$C8780)), "")*24*60, "")</f>
        <v/>
      </c>
      <c r="K8781" s="24" t="str" cm="1">
        <f t="array" ref="K8781">IFERROR(IF($B8781=K$1, ($A8781+$C8781) - MAX(IF($B$2:$B8780=$B8781, $A$2:$A8780+$C$2:$C8780)), "")*24*60, "")</f>
        <v/>
      </c>
      <c r="L8781" s="24" t="str" cm="1">
        <f t="array" ref="L8781">IFERROR(IF($B8781=L$1, ($A8781+$C8781) - MAX(IF($B$2:$B8780=$B8781, $A$2:$A8780+$C$2:$C8780)), "")*24*60, "")</f>
        <v/>
      </c>
      <c r="M8781" s="24" t="str" cm="1">
        <f t="array" ref="M8781">IFERROR(IF($B8781=M$1, ($A8781+$C8781) - MAX(IF($B$2:$B8780=$B8781, $A$2:$A8780+$C$2:$C8780)), "")*24*60, "")</f>
        <v/>
      </c>
      <c r="N8781" s="24" t="str" cm="1">
        <f t="array" ref="N8781">IFERROR(IF($B8781=N$1, ($A8781+$C8781) - MAX(IF($B$2:$B8780=$B8781, $A$2:$A8780+$C$2:$C8780)), "")*24*60, "")</f>
        <v/>
      </c>
      <c r="O8781" s="24" t="str" cm="1">
        <f t="array" ref="O8781">IFERROR(IF($B8781=O$1, ($A8781+$C8781) - MAX(IF($B$2:$B8780=$B8781, $A$2:$A8780+$C$2:$C8780)), "")*24*60, "")</f>
        <v/>
      </c>
      <c r="P8781" s="24" t="str" cm="1">
        <f t="array" ref="P8781">IFERROR(IF($B8781=P$1, ($A8781+$C8781) - MAX(IF($B$2:$B8780=$B8781, $A$2:$A8780+$C$2:$C8780)), "")*24*60, "")</f>
        <v/>
      </c>
      <c r="Q8781" s="24" t="str" cm="1">
        <f t="array" ref="Q8781">IFERROR(IF($B8781=Q$1, ($A8781+$C8781) - MAX(IF($B$2:$B8780=$B8781, $A$2:$A8780+$C$2:$C8780)), "")*24*60, "")</f>
        <v/>
      </c>
      <c r="R8781" s="24" t="str" cm="1">
        <f t="array" ref="R8781">IFERROR(IF($B8781=R$1, ($A8781+$C8781) - MAX(IF($B$2:$B8780=$B8781, $A$2:$A8780+$C$2:$C8780)), "")*24*60, "")</f>
        <v/>
      </c>
      <c r="S8781" s="24" t="str" cm="1">
        <f t="array" ref="S8781">IFERROR(IF($B8781=S$1, ($A8781+$C8781) - MAX(IF($B$2:$B8780=$B8781, $A$2:$A8780+$C$2:$C8780)), "")*24*60, "")</f>
        <v/>
      </c>
    </row>
    <row r="8782" spans="1:19" x14ac:dyDescent="0.2">
      <c r="A8782" s="12">
        <f t="shared" ref="A8782:C8782" si="1421">A8781</f>
        <v>46036</v>
      </c>
      <c r="B8782" s="5" t="str">
        <f t="shared" si="1421"/>
        <v>Northern Cardinal</v>
      </c>
      <c r="C8782" s="6">
        <f t="shared" si="1421"/>
        <v>0.74930555555555556</v>
      </c>
      <c r="D8782" s="5"/>
      <c r="E8782" s="5"/>
      <c r="F8782" s="5" t="s">
        <v>9</v>
      </c>
      <c r="G8782" s="15" t="s">
        <v>8</v>
      </c>
      <c r="H8782" s="24">
        <f t="shared" si="1412"/>
        <v>0</v>
      </c>
      <c r="I8782" s="24" cm="1">
        <f t="array" ref="I8782">IFERROR(IF($B8782=I$1, ($A8782+$C8782) - MAX(IF($B$2:$B8781=$B8782, $A$2:$A8781+$C$2:$C8781)), "")*24*60, "")</f>
        <v>0</v>
      </c>
      <c r="J8782" s="24" t="str" cm="1">
        <f t="array" ref="J8782">IFERROR(IF($B8782=J$1, ($A8782+$C8782) - MAX(IF($B$2:$B8781=$B8782, $A$2:$A8781+$C$2:$C8781)), "")*24*60, "")</f>
        <v/>
      </c>
      <c r="K8782" s="24" t="str" cm="1">
        <f t="array" ref="K8782">IFERROR(IF($B8782=K$1, ($A8782+$C8782) - MAX(IF($B$2:$B8781=$B8782, $A$2:$A8781+$C$2:$C8781)), "")*24*60, "")</f>
        <v/>
      </c>
      <c r="L8782" s="24" t="str" cm="1">
        <f t="array" ref="L8782">IFERROR(IF($B8782=L$1, ($A8782+$C8782) - MAX(IF($B$2:$B8781=$B8782, $A$2:$A8781+$C$2:$C8781)), "")*24*60, "")</f>
        <v/>
      </c>
      <c r="M8782" s="24" t="str" cm="1">
        <f t="array" ref="M8782">IFERROR(IF($B8782=M$1, ($A8782+$C8782) - MAX(IF($B$2:$B8781=$B8782, $A$2:$A8781+$C$2:$C8781)), "")*24*60, "")</f>
        <v/>
      </c>
      <c r="N8782" s="24" t="str" cm="1">
        <f t="array" ref="N8782">IFERROR(IF($B8782=N$1, ($A8782+$C8782) - MAX(IF($B$2:$B8781=$B8782, $A$2:$A8781+$C$2:$C8781)), "")*24*60, "")</f>
        <v/>
      </c>
      <c r="O8782" s="24" t="str" cm="1">
        <f t="array" ref="O8782">IFERROR(IF($B8782=O$1, ($A8782+$C8782) - MAX(IF($B$2:$B8781=$B8782, $A$2:$A8781+$C$2:$C8781)), "")*24*60, "")</f>
        <v/>
      </c>
      <c r="P8782" s="24" t="str" cm="1">
        <f t="array" ref="P8782">IFERROR(IF($B8782=P$1, ($A8782+$C8782) - MAX(IF($B$2:$B8781=$B8782, $A$2:$A8781+$C$2:$C8781)), "")*24*60, "")</f>
        <v/>
      </c>
      <c r="Q8782" s="24" t="str" cm="1">
        <f t="array" ref="Q8782">IFERROR(IF($B8782=Q$1, ($A8782+$C8782) - MAX(IF($B$2:$B8781=$B8782, $A$2:$A8781+$C$2:$C8781)), "")*24*60, "")</f>
        <v/>
      </c>
      <c r="R8782" s="24" t="str" cm="1">
        <f t="array" ref="R8782">IFERROR(IF($B8782=R$1, ($A8782+$C8782) - MAX(IF($B$2:$B8781=$B8782, $A$2:$A8781+$C$2:$C8781)), "")*24*60, "")</f>
        <v/>
      </c>
      <c r="S8782" s="24" t="str" cm="1">
        <f t="array" ref="S8782">IFERROR(IF($B8782=S$1, ($A8782+$C8782) - MAX(IF($B$2:$B8781=$B8782, $A$2:$A8781+$C$2:$C8781)), "")*24*60, "")</f>
        <v/>
      </c>
    </row>
    <row r="8783" spans="1:19" x14ac:dyDescent="0.2">
      <c r="A8783" s="12">
        <f t="shared" ref="A8783:C8783" si="1422">A8782</f>
        <v>46036</v>
      </c>
      <c r="B8783" s="5" t="str">
        <f t="shared" si="1422"/>
        <v>Northern Cardinal</v>
      </c>
      <c r="C8783" s="6">
        <f t="shared" si="1422"/>
        <v>0.74930555555555556</v>
      </c>
      <c r="D8783" s="5"/>
      <c r="E8783" s="5"/>
      <c r="F8783" s="5" t="s">
        <v>9</v>
      </c>
      <c r="G8783" s="15" t="s">
        <v>8</v>
      </c>
      <c r="H8783" s="24">
        <f t="shared" si="1412"/>
        <v>0</v>
      </c>
      <c r="I8783" s="24" cm="1">
        <f t="array" ref="I8783">IFERROR(IF($B8783=I$1, ($A8783+$C8783) - MAX(IF($B$2:$B8782=$B8783, $A$2:$A8782+$C$2:$C8782)), "")*24*60, "")</f>
        <v>0</v>
      </c>
      <c r="J8783" s="24" t="str" cm="1">
        <f t="array" ref="J8783">IFERROR(IF($B8783=J$1, ($A8783+$C8783) - MAX(IF($B$2:$B8782=$B8783, $A$2:$A8782+$C$2:$C8782)), "")*24*60, "")</f>
        <v/>
      </c>
      <c r="K8783" s="24" t="str" cm="1">
        <f t="array" ref="K8783">IFERROR(IF($B8783=K$1, ($A8783+$C8783) - MAX(IF($B$2:$B8782=$B8783, $A$2:$A8782+$C$2:$C8782)), "")*24*60, "")</f>
        <v/>
      </c>
      <c r="L8783" s="24" t="str" cm="1">
        <f t="array" ref="L8783">IFERROR(IF($B8783=L$1, ($A8783+$C8783) - MAX(IF($B$2:$B8782=$B8783, $A$2:$A8782+$C$2:$C8782)), "")*24*60, "")</f>
        <v/>
      </c>
      <c r="M8783" s="24" t="str" cm="1">
        <f t="array" ref="M8783">IFERROR(IF($B8783=M$1, ($A8783+$C8783) - MAX(IF($B$2:$B8782=$B8783, $A$2:$A8782+$C$2:$C8782)), "")*24*60, "")</f>
        <v/>
      </c>
      <c r="N8783" s="24" t="str" cm="1">
        <f t="array" ref="N8783">IFERROR(IF($B8783=N$1, ($A8783+$C8783) - MAX(IF($B$2:$B8782=$B8783, $A$2:$A8782+$C$2:$C8782)), "")*24*60, "")</f>
        <v/>
      </c>
      <c r="O8783" s="24" t="str" cm="1">
        <f t="array" ref="O8783">IFERROR(IF($B8783=O$1, ($A8783+$C8783) - MAX(IF($B$2:$B8782=$B8783, $A$2:$A8782+$C$2:$C8782)), "")*24*60, "")</f>
        <v/>
      </c>
      <c r="P8783" s="24" t="str" cm="1">
        <f t="array" ref="P8783">IFERROR(IF($B8783=P$1, ($A8783+$C8783) - MAX(IF($B$2:$B8782=$B8783, $A$2:$A8782+$C$2:$C8782)), "")*24*60, "")</f>
        <v/>
      </c>
      <c r="Q8783" s="24" t="str" cm="1">
        <f t="array" ref="Q8783">IFERROR(IF($B8783=Q$1, ($A8783+$C8783) - MAX(IF($B$2:$B8782=$B8783, $A$2:$A8782+$C$2:$C8782)), "")*24*60, "")</f>
        <v/>
      </c>
      <c r="R8783" s="24" t="str" cm="1">
        <f t="array" ref="R8783">IFERROR(IF($B8783=R$1, ($A8783+$C8783) - MAX(IF($B$2:$B8782=$B8783, $A$2:$A8782+$C$2:$C8782)), "")*24*60, "")</f>
        <v/>
      </c>
      <c r="S8783" s="24" t="str" cm="1">
        <f t="array" ref="S8783">IFERROR(IF($B8783=S$1, ($A8783+$C8783) - MAX(IF($B$2:$B8782=$B8783, $A$2:$A8782+$C$2:$C8782)), "")*24*60, "")</f>
        <v/>
      </c>
    </row>
    <row r="8784" spans="1:19" x14ac:dyDescent="0.2">
      <c r="A8784" s="12">
        <f t="shared" ref="A8784:C8784" si="1423">A8783</f>
        <v>46036</v>
      </c>
      <c r="B8784" s="5" t="str">
        <f t="shared" si="1423"/>
        <v>Northern Cardinal</v>
      </c>
      <c r="C8784" s="6">
        <f t="shared" si="1423"/>
        <v>0.74930555555555556</v>
      </c>
      <c r="D8784" s="5"/>
      <c r="E8784" s="5"/>
      <c r="F8784" s="5" t="s">
        <v>9</v>
      </c>
      <c r="G8784" s="15" t="s">
        <v>8</v>
      </c>
      <c r="H8784" s="24">
        <f t="shared" si="1412"/>
        <v>0</v>
      </c>
      <c r="I8784" s="24" cm="1">
        <f t="array" ref="I8784">IFERROR(IF($B8784=I$1, ($A8784+$C8784) - MAX(IF($B$2:$B8783=$B8784, $A$2:$A8783+$C$2:$C8783)), "")*24*60, "")</f>
        <v>0</v>
      </c>
      <c r="J8784" s="24" t="str" cm="1">
        <f t="array" ref="J8784">IFERROR(IF($B8784=J$1, ($A8784+$C8784) - MAX(IF($B$2:$B8783=$B8784, $A$2:$A8783+$C$2:$C8783)), "")*24*60, "")</f>
        <v/>
      </c>
      <c r="K8784" s="24" t="str" cm="1">
        <f t="array" ref="K8784">IFERROR(IF($B8784=K$1, ($A8784+$C8784) - MAX(IF($B$2:$B8783=$B8784, $A$2:$A8783+$C$2:$C8783)), "")*24*60, "")</f>
        <v/>
      </c>
      <c r="L8784" s="24" t="str" cm="1">
        <f t="array" ref="L8784">IFERROR(IF($B8784=L$1, ($A8784+$C8784) - MAX(IF($B$2:$B8783=$B8784, $A$2:$A8783+$C$2:$C8783)), "")*24*60, "")</f>
        <v/>
      </c>
      <c r="M8784" s="24" t="str" cm="1">
        <f t="array" ref="M8784">IFERROR(IF($B8784=M$1, ($A8784+$C8784) - MAX(IF($B$2:$B8783=$B8784, $A$2:$A8783+$C$2:$C8783)), "")*24*60, "")</f>
        <v/>
      </c>
      <c r="N8784" s="24" t="str" cm="1">
        <f t="array" ref="N8784">IFERROR(IF($B8784=N$1, ($A8784+$C8784) - MAX(IF($B$2:$B8783=$B8784, $A$2:$A8783+$C$2:$C8783)), "")*24*60, "")</f>
        <v/>
      </c>
      <c r="O8784" s="24" t="str" cm="1">
        <f t="array" ref="O8784">IFERROR(IF($B8784=O$1, ($A8784+$C8784) - MAX(IF($B$2:$B8783=$B8784, $A$2:$A8783+$C$2:$C8783)), "")*24*60, "")</f>
        <v/>
      </c>
      <c r="P8784" s="24" t="str" cm="1">
        <f t="array" ref="P8784">IFERROR(IF($B8784=P$1, ($A8784+$C8784) - MAX(IF($B$2:$B8783=$B8784, $A$2:$A8783+$C$2:$C8783)), "")*24*60, "")</f>
        <v/>
      </c>
      <c r="Q8784" s="24" t="str" cm="1">
        <f t="array" ref="Q8784">IFERROR(IF($B8784=Q$1, ($A8784+$C8784) - MAX(IF($B$2:$B8783=$B8784, $A$2:$A8783+$C$2:$C8783)), "")*24*60, "")</f>
        <v/>
      </c>
      <c r="R8784" s="24" t="str" cm="1">
        <f t="array" ref="R8784">IFERROR(IF($B8784=R$1, ($A8784+$C8784) - MAX(IF($B$2:$B8783=$B8784, $A$2:$A8783+$C$2:$C8783)), "")*24*60, "")</f>
        <v/>
      </c>
      <c r="S8784" s="24" t="str" cm="1">
        <f t="array" ref="S8784">IFERROR(IF($B8784=S$1, ($A8784+$C8784) - MAX(IF($B$2:$B8783=$B8784, $A$2:$A8783+$C$2:$C8783)), "")*24*60, "")</f>
        <v/>
      </c>
    </row>
    <row r="8785" spans="1:19" x14ac:dyDescent="0.2">
      <c r="A8785" s="12">
        <f t="shared" ref="A8785:C8785" si="1424">A8784</f>
        <v>46036</v>
      </c>
      <c r="B8785" s="5" t="str">
        <f t="shared" si="1424"/>
        <v>Northern Cardinal</v>
      </c>
      <c r="C8785" s="6">
        <f t="shared" si="1424"/>
        <v>0.74930555555555556</v>
      </c>
      <c r="D8785" s="5"/>
      <c r="E8785" s="5"/>
      <c r="F8785" s="5" t="s">
        <v>9</v>
      </c>
      <c r="G8785" s="15" t="s">
        <v>8</v>
      </c>
      <c r="H8785" s="24">
        <f t="shared" si="1412"/>
        <v>0</v>
      </c>
      <c r="I8785" s="24" cm="1">
        <f t="array" ref="I8785">IFERROR(IF($B8785=I$1, ($A8785+$C8785) - MAX(IF($B$2:$B8784=$B8785, $A$2:$A8784+$C$2:$C8784)), "")*24*60, "")</f>
        <v>0</v>
      </c>
      <c r="J8785" s="24" t="str" cm="1">
        <f t="array" ref="J8785">IFERROR(IF($B8785=J$1, ($A8785+$C8785) - MAX(IF($B$2:$B8784=$B8785, $A$2:$A8784+$C$2:$C8784)), "")*24*60, "")</f>
        <v/>
      </c>
      <c r="K8785" s="24" t="str" cm="1">
        <f t="array" ref="K8785">IFERROR(IF($B8785=K$1, ($A8785+$C8785) - MAX(IF($B$2:$B8784=$B8785, $A$2:$A8784+$C$2:$C8784)), "")*24*60, "")</f>
        <v/>
      </c>
      <c r="L8785" s="24" t="str" cm="1">
        <f t="array" ref="L8785">IFERROR(IF($B8785=L$1, ($A8785+$C8785) - MAX(IF($B$2:$B8784=$B8785, $A$2:$A8784+$C$2:$C8784)), "")*24*60, "")</f>
        <v/>
      </c>
      <c r="M8785" s="24" t="str" cm="1">
        <f t="array" ref="M8785">IFERROR(IF($B8785=M$1, ($A8785+$C8785) - MAX(IF($B$2:$B8784=$B8785, $A$2:$A8784+$C$2:$C8784)), "")*24*60, "")</f>
        <v/>
      </c>
      <c r="N8785" s="24" t="str" cm="1">
        <f t="array" ref="N8785">IFERROR(IF($B8785=N$1, ($A8785+$C8785) - MAX(IF($B$2:$B8784=$B8785, $A$2:$A8784+$C$2:$C8784)), "")*24*60, "")</f>
        <v/>
      </c>
      <c r="O8785" s="24" t="str" cm="1">
        <f t="array" ref="O8785">IFERROR(IF($B8785=O$1, ($A8785+$C8785) - MAX(IF($B$2:$B8784=$B8785, $A$2:$A8784+$C$2:$C8784)), "")*24*60, "")</f>
        <v/>
      </c>
      <c r="P8785" s="24" t="str" cm="1">
        <f t="array" ref="P8785">IFERROR(IF($B8785=P$1, ($A8785+$C8785) - MAX(IF($B$2:$B8784=$B8785, $A$2:$A8784+$C$2:$C8784)), "")*24*60, "")</f>
        <v/>
      </c>
      <c r="Q8785" s="24" t="str" cm="1">
        <f t="array" ref="Q8785">IFERROR(IF($B8785=Q$1, ($A8785+$C8785) - MAX(IF($B$2:$B8784=$B8785, $A$2:$A8784+$C$2:$C8784)), "")*24*60, "")</f>
        <v/>
      </c>
      <c r="R8785" s="24" t="str" cm="1">
        <f t="array" ref="R8785">IFERROR(IF($B8785=R$1, ($A8785+$C8785) - MAX(IF($B$2:$B8784=$B8785, $A$2:$A8784+$C$2:$C8784)), "")*24*60, "")</f>
        <v/>
      </c>
      <c r="S8785" s="24" t="str" cm="1">
        <f t="array" ref="S8785">IFERROR(IF($B8785=S$1, ($A8785+$C8785) - MAX(IF($B$2:$B8784=$B8785, $A$2:$A8784+$C$2:$C8784)), "")*24*60, "")</f>
        <v/>
      </c>
    </row>
    <row r="8786" spans="1:19" x14ac:dyDescent="0.2">
      <c r="A8786" s="12">
        <f t="shared" ref="A8786:C8786" si="1425">A8785</f>
        <v>46036</v>
      </c>
      <c r="B8786" s="5" t="str">
        <f t="shared" si="1425"/>
        <v>Northern Cardinal</v>
      </c>
      <c r="C8786" s="6">
        <f t="shared" si="1425"/>
        <v>0.74930555555555556</v>
      </c>
      <c r="D8786" s="5"/>
      <c r="E8786" s="5"/>
      <c r="F8786" s="5" t="s">
        <v>9</v>
      </c>
      <c r="G8786" s="15" t="s">
        <v>8</v>
      </c>
      <c r="H8786" s="24">
        <f t="shared" si="1412"/>
        <v>0</v>
      </c>
      <c r="I8786" s="24" cm="1">
        <f t="array" ref="I8786">IFERROR(IF($B8786=I$1, ($A8786+$C8786) - MAX(IF($B$2:$B8785=$B8786, $A$2:$A8785+$C$2:$C8785)), "")*24*60, "")</f>
        <v>0</v>
      </c>
      <c r="J8786" s="24" t="str" cm="1">
        <f t="array" ref="J8786">IFERROR(IF($B8786=J$1, ($A8786+$C8786) - MAX(IF($B$2:$B8785=$B8786, $A$2:$A8785+$C$2:$C8785)), "")*24*60, "")</f>
        <v/>
      </c>
      <c r="K8786" s="24" t="str" cm="1">
        <f t="array" ref="K8786">IFERROR(IF($B8786=K$1, ($A8786+$C8786) - MAX(IF($B$2:$B8785=$B8786, $A$2:$A8785+$C$2:$C8785)), "")*24*60, "")</f>
        <v/>
      </c>
      <c r="L8786" s="24" t="str" cm="1">
        <f t="array" ref="L8786">IFERROR(IF($B8786=L$1, ($A8786+$C8786) - MAX(IF($B$2:$B8785=$B8786, $A$2:$A8785+$C$2:$C8785)), "")*24*60, "")</f>
        <v/>
      </c>
      <c r="M8786" s="24" t="str" cm="1">
        <f t="array" ref="M8786">IFERROR(IF($B8786=M$1, ($A8786+$C8786) - MAX(IF($B$2:$B8785=$B8786, $A$2:$A8785+$C$2:$C8785)), "")*24*60, "")</f>
        <v/>
      </c>
      <c r="N8786" s="24" t="str" cm="1">
        <f t="array" ref="N8786">IFERROR(IF($B8786=N$1, ($A8786+$C8786) - MAX(IF($B$2:$B8785=$B8786, $A$2:$A8785+$C$2:$C8785)), "")*24*60, "")</f>
        <v/>
      </c>
      <c r="O8786" s="24" t="str" cm="1">
        <f t="array" ref="O8786">IFERROR(IF($B8786=O$1, ($A8786+$C8786) - MAX(IF($B$2:$B8785=$B8786, $A$2:$A8785+$C$2:$C8785)), "")*24*60, "")</f>
        <v/>
      </c>
      <c r="P8786" s="24" t="str" cm="1">
        <f t="array" ref="P8786">IFERROR(IF($B8786=P$1, ($A8786+$C8786) - MAX(IF($B$2:$B8785=$B8786, $A$2:$A8785+$C$2:$C8785)), "")*24*60, "")</f>
        <v/>
      </c>
      <c r="Q8786" s="24" t="str" cm="1">
        <f t="array" ref="Q8786">IFERROR(IF($B8786=Q$1, ($A8786+$C8786) - MAX(IF($B$2:$B8785=$B8786, $A$2:$A8785+$C$2:$C8785)), "")*24*60, "")</f>
        <v/>
      </c>
      <c r="R8786" s="24" t="str" cm="1">
        <f t="array" ref="R8786">IFERROR(IF($B8786=R$1, ($A8786+$C8786) - MAX(IF($B$2:$B8785=$B8786, $A$2:$A8785+$C$2:$C8785)), "")*24*60, "")</f>
        <v/>
      </c>
      <c r="S8786" s="24" t="str" cm="1">
        <f t="array" ref="S8786">IFERROR(IF($B8786=S$1, ($A8786+$C8786) - MAX(IF($B$2:$B8785=$B8786, $A$2:$A8785+$C$2:$C8785)), "")*24*60, "")</f>
        <v/>
      </c>
    </row>
    <row r="8787" spans="1:19" x14ac:dyDescent="0.2">
      <c r="A8787" s="12">
        <f t="shared" ref="A8787:C8787" si="1426">A8786</f>
        <v>46036</v>
      </c>
      <c r="B8787" s="5" t="str">
        <f t="shared" si="1426"/>
        <v>Northern Cardinal</v>
      </c>
      <c r="C8787" s="6">
        <f t="shared" si="1426"/>
        <v>0.74930555555555556</v>
      </c>
      <c r="D8787" s="5"/>
      <c r="E8787" s="5"/>
      <c r="F8787" s="5" t="s">
        <v>9</v>
      </c>
      <c r="G8787" s="15" t="s">
        <v>8</v>
      </c>
      <c r="H8787" s="24">
        <f t="shared" si="1412"/>
        <v>0</v>
      </c>
      <c r="I8787" s="24" cm="1">
        <f t="array" ref="I8787">IFERROR(IF($B8787=I$1, ($A8787+$C8787) - MAX(IF($B$2:$B8786=$B8787, $A$2:$A8786+$C$2:$C8786)), "")*24*60, "")</f>
        <v>0</v>
      </c>
      <c r="J8787" s="24" t="str" cm="1">
        <f t="array" ref="J8787">IFERROR(IF($B8787=J$1, ($A8787+$C8787) - MAX(IF($B$2:$B8786=$B8787, $A$2:$A8786+$C$2:$C8786)), "")*24*60, "")</f>
        <v/>
      </c>
      <c r="K8787" s="24" t="str" cm="1">
        <f t="array" ref="K8787">IFERROR(IF($B8787=K$1, ($A8787+$C8787) - MAX(IF($B$2:$B8786=$B8787, $A$2:$A8786+$C$2:$C8786)), "")*24*60, "")</f>
        <v/>
      </c>
      <c r="L8787" s="24" t="str" cm="1">
        <f t="array" ref="L8787">IFERROR(IF($B8787=L$1, ($A8787+$C8787) - MAX(IF($B$2:$B8786=$B8787, $A$2:$A8786+$C$2:$C8786)), "")*24*60, "")</f>
        <v/>
      </c>
      <c r="M8787" s="24" t="str" cm="1">
        <f t="array" ref="M8787">IFERROR(IF($B8787=M$1, ($A8787+$C8787) - MAX(IF($B$2:$B8786=$B8787, $A$2:$A8786+$C$2:$C8786)), "")*24*60, "")</f>
        <v/>
      </c>
      <c r="N8787" s="24" t="str" cm="1">
        <f t="array" ref="N8787">IFERROR(IF($B8787=N$1, ($A8787+$C8787) - MAX(IF($B$2:$B8786=$B8787, $A$2:$A8786+$C$2:$C8786)), "")*24*60, "")</f>
        <v/>
      </c>
      <c r="O8787" s="24" t="str" cm="1">
        <f t="array" ref="O8787">IFERROR(IF($B8787=O$1, ($A8787+$C8787) - MAX(IF($B$2:$B8786=$B8787, $A$2:$A8786+$C$2:$C8786)), "")*24*60, "")</f>
        <v/>
      </c>
      <c r="P8787" s="24" t="str" cm="1">
        <f t="array" ref="P8787">IFERROR(IF($B8787=P$1, ($A8787+$C8787) - MAX(IF($B$2:$B8786=$B8787, $A$2:$A8786+$C$2:$C8786)), "")*24*60, "")</f>
        <v/>
      </c>
      <c r="Q8787" s="24" t="str" cm="1">
        <f t="array" ref="Q8787">IFERROR(IF($B8787=Q$1, ($A8787+$C8787) - MAX(IF($B$2:$B8786=$B8787, $A$2:$A8786+$C$2:$C8786)), "")*24*60, "")</f>
        <v/>
      </c>
      <c r="R8787" s="24" t="str" cm="1">
        <f t="array" ref="R8787">IFERROR(IF($B8787=R$1, ($A8787+$C8787) - MAX(IF($B$2:$B8786=$B8787, $A$2:$A8786+$C$2:$C8786)), "")*24*60, "")</f>
        <v/>
      </c>
      <c r="S8787" s="24" t="str" cm="1">
        <f t="array" ref="S8787">IFERROR(IF($B8787=S$1, ($A8787+$C8787) - MAX(IF($B$2:$B8786=$B8787, $A$2:$A8786+$C$2:$C8786)), "")*24*60, "")</f>
        <v/>
      </c>
    </row>
    <row r="8788" spans="1:19" x14ac:dyDescent="0.2">
      <c r="A8788" s="12">
        <f t="shared" ref="A8788:C8788" si="1427">A8787</f>
        <v>46036</v>
      </c>
      <c r="B8788" s="5" t="str">
        <f t="shared" si="1427"/>
        <v>Northern Cardinal</v>
      </c>
      <c r="C8788" s="6">
        <f t="shared" si="1427"/>
        <v>0.74930555555555556</v>
      </c>
      <c r="D8788" s="5"/>
      <c r="E8788" s="5"/>
      <c r="F8788" s="5" t="s">
        <v>9</v>
      </c>
      <c r="G8788" s="15" t="s">
        <v>8</v>
      </c>
      <c r="H8788" s="24">
        <f t="shared" si="1412"/>
        <v>0</v>
      </c>
      <c r="I8788" s="24" cm="1">
        <f t="array" ref="I8788">IFERROR(IF($B8788=I$1, ($A8788+$C8788) - MAX(IF($B$2:$B8787=$B8788, $A$2:$A8787+$C$2:$C8787)), "")*24*60, "")</f>
        <v>0</v>
      </c>
      <c r="J8788" s="24" t="str" cm="1">
        <f t="array" ref="J8788">IFERROR(IF($B8788=J$1, ($A8788+$C8788) - MAX(IF($B$2:$B8787=$B8788, $A$2:$A8787+$C$2:$C8787)), "")*24*60, "")</f>
        <v/>
      </c>
      <c r="K8788" s="24" t="str" cm="1">
        <f t="array" ref="K8788">IFERROR(IF($B8788=K$1, ($A8788+$C8788) - MAX(IF($B$2:$B8787=$B8788, $A$2:$A8787+$C$2:$C8787)), "")*24*60, "")</f>
        <v/>
      </c>
      <c r="L8788" s="24" t="str" cm="1">
        <f t="array" ref="L8788">IFERROR(IF($B8788=L$1, ($A8788+$C8788) - MAX(IF($B$2:$B8787=$B8788, $A$2:$A8787+$C$2:$C8787)), "")*24*60, "")</f>
        <v/>
      </c>
      <c r="M8788" s="24" t="str" cm="1">
        <f t="array" ref="M8788">IFERROR(IF($B8788=M$1, ($A8788+$C8788) - MAX(IF($B$2:$B8787=$B8788, $A$2:$A8787+$C$2:$C8787)), "")*24*60, "")</f>
        <v/>
      </c>
      <c r="N8788" s="24" t="str" cm="1">
        <f t="array" ref="N8788">IFERROR(IF($B8788=N$1, ($A8788+$C8788) - MAX(IF($B$2:$B8787=$B8788, $A$2:$A8787+$C$2:$C8787)), "")*24*60, "")</f>
        <v/>
      </c>
      <c r="O8788" s="24" t="str" cm="1">
        <f t="array" ref="O8788">IFERROR(IF($B8788=O$1, ($A8788+$C8788) - MAX(IF($B$2:$B8787=$B8788, $A$2:$A8787+$C$2:$C8787)), "")*24*60, "")</f>
        <v/>
      </c>
      <c r="P8788" s="24" t="str" cm="1">
        <f t="array" ref="P8788">IFERROR(IF($B8788=P$1, ($A8788+$C8788) - MAX(IF($B$2:$B8787=$B8788, $A$2:$A8787+$C$2:$C8787)), "")*24*60, "")</f>
        <v/>
      </c>
      <c r="Q8788" s="24" t="str" cm="1">
        <f t="array" ref="Q8788">IFERROR(IF($B8788=Q$1, ($A8788+$C8788) - MAX(IF($B$2:$B8787=$B8788, $A$2:$A8787+$C$2:$C8787)), "")*24*60, "")</f>
        <v/>
      </c>
      <c r="R8788" s="24" t="str" cm="1">
        <f t="array" ref="R8788">IFERROR(IF($B8788=R$1, ($A8788+$C8788) - MAX(IF($B$2:$B8787=$B8788, $A$2:$A8787+$C$2:$C8787)), "")*24*60, "")</f>
        <v/>
      </c>
      <c r="S8788" s="24" t="str" cm="1">
        <f t="array" ref="S8788">IFERROR(IF($B8788=S$1, ($A8788+$C8788) - MAX(IF($B$2:$B8787=$B8788, $A$2:$A8787+$C$2:$C8787)), "")*24*60, "")</f>
        <v/>
      </c>
    </row>
    <row r="8789" spans="1:19" x14ac:dyDescent="0.2">
      <c r="A8789" s="12">
        <f t="shared" ref="A8789:C8789" si="1428">A8788</f>
        <v>46036</v>
      </c>
      <c r="B8789" s="5" t="str">
        <f t="shared" si="1428"/>
        <v>Northern Cardinal</v>
      </c>
      <c r="C8789" s="6">
        <f t="shared" si="1428"/>
        <v>0.74930555555555556</v>
      </c>
      <c r="D8789" s="5"/>
      <c r="E8789" s="5"/>
      <c r="F8789" s="5" t="s">
        <v>9</v>
      </c>
      <c r="G8789" s="15" t="s">
        <v>8</v>
      </c>
      <c r="H8789" s="24">
        <f t="shared" si="1412"/>
        <v>0</v>
      </c>
      <c r="I8789" s="24" cm="1">
        <f t="array" ref="I8789">IFERROR(IF($B8789=I$1, ($A8789+$C8789) - MAX(IF($B$2:$B8788=$B8789, $A$2:$A8788+$C$2:$C8788)), "")*24*60, "")</f>
        <v>0</v>
      </c>
      <c r="J8789" s="24" t="str" cm="1">
        <f t="array" ref="J8789">IFERROR(IF($B8789=J$1, ($A8789+$C8789) - MAX(IF($B$2:$B8788=$B8789, $A$2:$A8788+$C$2:$C8788)), "")*24*60, "")</f>
        <v/>
      </c>
      <c r="K8789" s="24" t="str" cm="1">
        <f t="array" ref="K8789">IFERROR(IF($B8789=K$1, ($A8789+$C8789) - MAX(IF($B$2:$B8788=$B8789, $A$2:$A8788+$C$2:$C8788)), "")*24*60, "")</f>
        <v/>
      </c>
      <c r="L8789" s="24" t="str" cm="1">
        <f t="array" ref="L8789">IFERROR(IF($B8789=L$1, ($A8789+$C8789) - MAX(IF($B$2:$B8788=$B8789, $A$2:$A8788+$C$2:$C8788)), "")*24*60, "")</f>
        <v/>
      </c>
      <c r="M8789" s="24" t="str" cm="1">
        <f t="array" ref="M8789">IFERROR(IF($B8789=M$1, ($A8789+$C8789) - MAX(IF($B$2:$B8788=$B8789, $A$2:$A8788+$C$2:$C8788)), "")*24*60, "")</f>
        <v/>
      </c>
      <c r="N8789" s="24" t="str" cm="1">
        <f t="array" ref="N8789">IFERROR(IF($B8789=N$1, ($A8789+$C8789) - MAX(IF($B$2:$B8788=$B8789, $A$2:$A8788+$C$2:$C8788)), "")*24*60, "")</f>
        <v/>
      </c>
      <c r="O8789" s="24" t="str" cm="1">
        <f t="array" ref="O8789">IFERROR(IF($B8789=O$1, ($A8789+$C8789) - MAX(IF($B$2:$B8788=$B8789, $A$2:$A8788+$C$2:$C8788)), "")*24*60, "")</f>
        <v/>
      </c>
      <c r="P8789" s="24" t="str" cm="1">
        <f t="array" ref="P8789">IFERROR(IF($B8789=P$1, ($A8789+$C8789) - MAX(IF($B$2:$B8788=$B8789, $A$2:$A8788+$C$2:$C8788)), "")*24*60, "")</f>
        <v/>
      </c>
      <c r="Q8789" s="24" t="str" cm="1">
        <f t="array" ref="Q8789">IFERROR(IF($B8789=Q$1, ($A8789+$C8789) - MAX(IF($B$2:$B8788=$B8789, $A$2:$A8788+$C$2:$C8788)), "")*24*60, "")</f>
        <v/>
      </c>
      <c r="R8789" s="24" t="str" cm="1">
        <f t="array" ref="R8789">IFERROR(IF($B8789=R$1, ($A8789+$C8789) - MAX(IF($B$2:$B8788=$B8789, $A$2:$A8788+$C$2:$C8788)), "")*24*60, "")</f>
        <v/>
      </c>
      <c r="S8789" s="24" t="str" cm="1">
        <f t="array" ref="S8789">IFERROR(IF($B8789=S$1, ($A8789+$C8789) - MAX(IF($B$2:$B8788=$B8789, $A$2:$A8788+$C$2:$C8788)), "")*24*60, "")</f>
        <v/>
      </c>
    </row>
    <row r="8790" spans="1:19" x14ac:dyDescent="0.2">
      <c r="A8790" s="12">
        <f t="shared" ref="A8790:C8790" si="1429">A8789</f>
        <v>46036</v>
      </c>
      <c r="B8790" s="5" t="str">
        <f t="shared" si="1429"/>
        <v>Northern Cardinal</v>
      </c>
      <c r="C8790" s="6">
        <f t="shared" si="1429"/>
        <v>0.74930555555555556</v>
      </c>
      <c r="D8790" s="5"/>
      <c r="E8790" s="5"/>
      <c r="F8790" s="5" t="s">
        <v>9</v>
      </c>
      <c r="G8790" s="15" t="s">
        <v>8</v>
      </c>
      <c r="H8790" s="24">
        <f t="shared" si="1412"/>
        <v>0</v>
      </c>
      <c r="I8790" s="24" cm="1">
        <f t="array" ref="I8790">IFERROR(IF($B8790=I$1, ($A8790+$C8790) - MAX(IF($B$2:$B8789=$B8790, $A$2:$A8789+$C$2:$C8789)), "")*24*60, "")</f>
        <v>0</v>
      </c>
      <c r="J8790" s="24" t="str" cm="1">
        <f t="array" ref="J8790">IFERROR(IF($B8790=J$1, ($A8790+$C8790) - MAX(IF($B$2:$B8789=$B8790, $A$2:$A8789+$C$2:$C8789)), "")*24*60, "")</f>
        <v/>
      </c>
      <c r="K8790" s="24" t="str" cm="1">
        <f t="array" ref="K8790">IFERROR(IF($B8790=K$1, ($A8790+$C8790) - MAX(IF($B$2:$B8789=$B8790, $A$2:$A8789+$C$2:$C8789)), "")*24*60, "")</f>
        <v/>
      </c>
      <c r="L8790" s="24" t="str" cm="1">
        <f t="array" ref="L8790">IFERROR(IF($B8790=L$1, ($A8790+$C8790) - MAX(IF($B$2:$B8789=$B8790, $A$2:$A8789+$C$2:$C8789)), "")*24*60, "")</f>
        <v/>
      </c>
      <c r="M8790" s="24" t="str" cm="1">
        <f t="array" ref="M8790">IFERROR(IF($B8790=M$1, ($A8790+$C8790) - MAX(IF($B$2:$B8789=$B8790, $A$2:$A8789+$C$2:$C8789)), "")*24*60, "")</f>
        <v/>
      </c>
      <c r="N8790" s="24" t="str" cm="1">
        <f t="array" ref="N8790">IFERROR(IF($B8790=N$1, ($A8790+$C8790) - MAX(IF($B$2:$B8789=$B8790, $A$2:$A8789+$C$2:$C8789)), "")*24*60, "")</f>
        <v/>
      </c>
      <c r="O8790" s="24" t="str" cm="1">
        <f t="array" ref="O8790">IFERROR(IF($B8790=O$1, ($A8790+$C8790) - MAX(IF($B$2:$B8789=$B8790, $A$2:$A8789+$C$2:$C8789)), "")*24*60, "")</f>
        <v/>
      </c>
      <c r="P8790" s="24" t="str" cm="1">
        <f t="array" ref="P8790">IFERROR(IF($B8790=P$1, ($A8790+$C8790) - MAX(IF($B$2:$B8789=$B8790, $A$2:$A8789+$C$2:$C8789)), "")*24*60, "")</f>
        <v/>
      </c>
      <c r="Q8790" s="24" t="str" cm="1">
        <f t="array" ref="Q8790">IFERROR(IF($B8790=Q$1, ($A8790+$C8790) - MAX(IF($B$2:$B8789=$B8790, $A$2:$A8789+$C$2:$C8789)), "")*24*60, "")</f>
        <v/>
      </c>
      <c r="R8790" s="24" t="str" cm="1">
        <f t="array" ref="R8790">IFERROR(IF($B8790=R$1, ($A8790+$C8790) - MAX(IF($B$2:$B8789=$B8790, $A$2:$A8789+$C$2:$C8789)), "")*24*60, "")</f>
        <v/>
      </c>
      <c r="S8790" s="24" t="str" cm="1">
        <f t="array" ref="S8790">IFERROR(IF($B8790=S$1, ($A8790+$C8790) - MAX(IF($B$2:$B8789=$B8790, $A$2:$A8789+$C$2:$C8789)), "")*24*60, "")</f>
        <v/>
      </c>
    </row>
    <row r="8791" spans="1:19" x14ac:dyDescent="0.2">
      <c r="A8791" s="12">
        <f t="shared" ref="A8791:C8791" si="1430">A8790</f>
        <v>46036</v>
      </c>
      <c r="B8791" s="5" t="str">
        <f t="shared" si="1430"/>
        <v>Northern Cardinal</v>
      </c>
      <c r="C8791" s="6">
        <f t="shared" si="1430"/>
        <v>0.74930555555555556</v>
      </c>
      <c r="D8791" s="5"/>
      <c r="E8791" s="5"/>
      <c r="F8791" s="5" t="s">
        <v>9</v>
      </c>
      <c r="G8791" s="15" t="s">
        <v>8</v>
      </c>
      <c r="H8791" s="24">
        <f t="shared" si="1412"/>
        <v>0</v>
      </c>
      <c r="I8791" s="24" cm="1">
        <f t="array" ref="I8791">IFERROR(IF($B8791=I$1, ($A8791+$C8791) - MAX(IF($B$2:$B8790=$B8791, $A$2:$A8790+$C$2:$C8790)), "")*24*60, "")</f>
        <v>0</v>
      </c>
      <c r="J8791" s="24" t="str" cm="1">
        <f t="array" ref="J8791">IFERROR(IF($B8791=J$1, ($A8791+$C8791) - MAX(IF($B$2:$B8790=$B8791, $A$2:$A8790+$C$2:$C8790)), "")*24*60, "")</f>
        <v/>
      </c>
      <c r="K8791" s="24" t="str" cm="1">
        <f t="array" ref="K8791">IFERROR(IF($B8791=K$1, ($A8791+$C8791) - MAX(IF($B$2:$B8790=$B8791, $A$2:$A8790+$C$2:$C8790)), "")*24*60, "")</f>
        <v/>
      </c>
      <c r="L8791" s="24" t="str" cm="1">
        <f t="array" ref="L8791">IFERROR(IF($B8791=L$1, ($A8791+$C8791) - MAX(IF($B$2:$B8790=$B8791, $A$2:$A8790+$C$2:$C8790)), "")*24*60, "")</f>
        <v/>
      </c>
      <c r="M8791" s="24" t="str" cm="1">
        <f t="array" ref="M8791">IFERROR(IF($B8791=M$1, ($A8791+$C8791) - MAX(IF($B$2:$B8790=$B8791, $A$2:$A8790+$C$2:$C8790)), "")*24*60, "")</f>
        <v/>
      </c>
      <c r="N8791" s="24" t="str" cm="1">
        <f t="array" ref="N8791">IFERROR(IF($B8791=N$1, ($A8791+$C8791) - MAX(IF($B$2:$B8790=$B8791, $A$2:$A8790+$C$2:$C8790)), "")*24*60, "")</f>
        <v/>
      </c>
      <c r="O8791" s="24" t="str" cm="1">
        <f t="array" ref="O8791">IFERROR(IF($B8791=O$1, ($A8791+$C8791) - MAX(IF($B$2:$B8790=$B8791, $A$2:$A8790+$C$2:$C8790)), "")*24*60, "")</f>
        <v/>
      </c>
      <c r="P8791" s="24" t="str" cm="1">
        <f t="array" ref="P8791">IFERROR(IF($B8791=P$1, ($A8791+$C8791) - MAX(IF($B$2:$B8790=$B8791, $A$2:$A8790+$C$2:$C8790)), "")*24*60, "")</f>
        <v/>
      </c>
      <c r="Q8791" s="24" t="str" cm="1">
        <f t="array" ref="Q8791">IFERROR(IF($B8791=Q$1, ($A8791+$C8791) - MAX(IF($B$2:$B8790=$B8791, $A$2:$A8790+$C$2:$C8790)), "")*24*60, "")</f>
        <v/>
      </c>
      <c r="R8791" s="24" t="str" cm="1">
        <f t="array" ref="R8791">IFERROR(IF($B8791=R$1, ($A8791+$C8791) - MAX(IF($B$2:$B8790=$B8791, $A$2:$A8790+$C$2:$C8790)), "")*24*60, "")</f>
        <v/>
      </c>
      <c r="S8791" s="24" t="str" cm="1">
        <f t="array" ref="S8791">IFERROR(IF($B8791=S$1, ($A8791+$C8791) - MAX(IF($B$2:$B8790=$B8791, $A$2:$A8790+$C$2:$C8790)), "")*24*60, "")</f>
        <v/>
      </c>
    </row>
    <row r="8792" spans="1:19" x14ac:dyDescent="0.2">
      <c r="A8792" s="12">
        <f t="shared" ref="A8792:C8792" si="1431">A8791</f>
        <v>46036</v>
      </c>
      <c r="B8792" s="5" t="str">
        <f t="shared" si="1431"/>
        <v>Northern Cardinal</v>
      </c>
      <c r="C8792" s="6">
        <f t="shared" si="1431"/>
        <v>0.74930555555555556</v>
      </c>
      <c r="D8792" s="5"/>
      <c r="E8792" s="5"/>
      <c r="F8792" s="5" t="s">
        <v>9</v>
      </c>
      <c r="G8792" s="15" t="s">
        <v>8</v>
      </c>
      <c r="H8792" s="24">
        <f t="shared" si="1412"/>
        <v>0</v>
      </c>
      <c r="I8792" s="24" cm="1">
        <f t="array" ref="I8792">IFERROR(IF($B8792=I$1, ($A8792+$C8792) - MAX(IF($B$2:$B8791=$B8792, $A$2:$A8791+$C$2:$C8791)), "")*24*60, "")</f>
        <v>0</v>
      </c>
      <c r="J8792" s="24" t="str" cm="1">
        <f t="array" ref="J8792">IFERROR(IF($B8792=J$1, ($A8792+$C8792) - MAX(IF($B$2:$B8791=$B8792, $A$2:$A8791+$C$2:$C8791)), "")*24*60, "")</f>
        <v/>
      </c>
      <c r="K8792" s="24" t="str" cm="1">
        <f t="array" ref="K8792">IFERROR(IF($B8792=K$1, ($A8792+$C8792) - MAX(IF($B$2:$B8791=$B8792, $A$2:$A8791+$C$2:$C8791)), "")*24*60, "")</f>
        <v/>
      </c>
      <c r="L8792" s="24" t="str" cm="1">
        <f t="array" ref="L8792">IFERROR(IF($B8792=L$1, ($A8792+$C8792) - MAX(IF($B$2:$B8791=$B8792, $A$2:$A8791+$C$2:$C8791)), "")*24*60, "")</f>
        <v/>
      </c>
      <c r="M8792" s="24" t="str" cm="1">
        <f t="array" ref="M8792">IFERROR(IF($B8792=M$1, ($A8792+$C8792) - MAX(IF($B$2:$B8791=$B8792, $A$2:$A8791+$C$2:$C8791)), "")*24*60, "")</f>
        <v/>
      </c>
      <c r="N8792" s="24" t="str" cm="1">
        <f t="array" ref="N8792">IFERROR(IF($B8792=N$1, ($A8792+$C8792) - MAX(IF($B$2:$B8791=$B8792, $A$2:$A8791+$C$2:$C8791)), "")*24*60, "")</f>
        <v/>
      </c>
      <c r="O8792" s="24" t="str" cm="1">
        <f t="array" ref="O8792">IFERROR(IF($B8792=O$1, ($A8792+$C8792) - MAX(IF($B$2:$B8791=$B8792, $A$2:$A8791+$C$2:$C8791)), "")*24*60, "")</f>
        <v/>
      </c>
      <c r="P8792" s="24" t="str" cm="1">
        <f t="array" ref="P8792">IFERROR(IF($B8792=P$1, ($A8792+$C8792) - MAX(IF($B$2:$B8791=$B8792, $A$2:$A8791+$C$2:$C8791)), "")*24*60, "")</f>
        <v/>
      </c>
      <c r="Q8792" s="24" t="str" cm="1">
        <f t="array" ref="Q8792">IFERROR(IF($B8792=Q$1, ($A8792+$C8792) - MAX(IF($B$2:$B8791=$B8792, $A$2:$A8791+$C$2:$C8791)), "")*24*60, "")</f>
        <v/>
      </c>
      <c r="R8792" s="24" t="str" cm="1">
        <f t="array" ref="R8792">IFERROR(IF($B8792=R$1, ($A8792+$C8792) - MAX(IF($B$2:$B8791=$B8792, $A$2:$A8791+$C$2:$C8791)), "")*24*60, "")</f>
        <v/>
      </c>
      <c r="S8792" s="24" t="str" cm="1">
        <f t="array" ref="S8792">IFERROR(IF($B8792=S$1, ($A8792+$C8792) - MAX(IF($B$2:$B8791=$B8792, $A$2:$A8791+$C$2:$C8791)), "")*24*60, "")</f>
        <v/>
      </c>
    </row>
    <row r="8793" spans="1:19" x14ac:dyDescent="0.2">
      <c r="A8793" s="12">
        <f t="shared" ref="A8793:C8793" si="1432">A8792</f>
        <v>46036</v>
      </c>
      <c r="B8793" s="5" t="str">
        <f t="shared" si="1432"/>
        <v>Northern Cardinal</v>
      </c>
      <c r="C8793" s="6">
        <f t="shared" si="1432"/>
        <v>0.74930555555555556</v>
      </c>
      <c r="D8793" s="5"/>
      <c r="E8793" s="5"/>
      <c r="F8793" s="5" t="s">
        <v>9</v>
      </c>
      <c r="G8793" s="15" t="s">
        <v>8</v>
      </c>
      <c r="H8793" s="24">
        <f t="shared" si="1412"/>
        <v>0</v>
      </c>
      <c r="I8793" s="24" cm="1">
        <f t="array" ref="I8793">IFERROR(IF($B8793=I$1, ($A8793+$C8793) - MAX(IF($B$2:$B8792=$B8793, $A$2:$A8792+$C$2:$C8792)), "")*24*60, "")</f>
        <v>0</v>
      </c>
      <c r="J8793" s="24" t="str" cm="1">
        <f t="array" ref="J8793">IFERROR(IF($B8793=J$1, ($A8793+$C8793) - MAX(IF($B$2:$B8792=$B8793, $A$2:$A8792+$C$2:$C8792)), "")*24*60, "")</f>
        <v/>
      </c>
      <c r="K8793" s="24" t="str" cm="1">
        <f t="array" ref="K8793">IFERROR(IF($B8793=K$1, ($A8793+$C8793) - MAX(IF($B$2:$B8792=$B8793, $A$2:$A8792+$C$2:$C8792)), "")*24*60, "")</f>
        <v/>
      </c>
      <c r="L8793" s="24" t="str" cm="1">
        <f t="array" ref="L8793">IFERROR(IF($B8793=L$1, ($A8793+$C8793) - MAX(IF($B$2:$B8792=$B8793, $A$2:$A8792+$C$2:$C8792)), "")*24*60, "")</f>
        <v/>
      </c>
      <c r="M8793" s="24" t="str" cm="1">
        <f t="array" ref="M8793">IFERROR(IF($B8793=M$1, ($A8793+$C8793) - MAX(IF($B$2:$B8792=$B8793, $A$2:$A8792+$C$2:$C8792)), "")*24*60, "")</f>
        <v/>
      </c>
      <c r="N8793" s="24" t="str" cm="1">
        <f t="array" ref="N8793">IFERROR(IF($B8793=N$1, ($A8793+$C8793) - MAX(IF($B$2:$B8792=$B8793, $A$2:$A8792+$C$2:$C8792)), "")*24*60, "")</f>
        <v/>
      </c>
      <c r="O8793" s="24" t="str" cm="1">
        <f t="array" ref="O8793">IFERROR(IF($B8793=O$1, ($A8793+$C8793) - MAX(IF($B$2:$B8792=$B8793, $A$2:$A8792+$C$2:$C8792)), "")*24*60, "")</f>
        <v/>
      </c>
      <c r="P8793" s="24" t="str" cm="1">
        <f t="array" ref="P8793">IFERROR(IF($B8793=P$1, ($A8793+$C8793) - MAX(IF($B$2:$B8792=$B8793, $A$2:$A8792+$C$2:$C8792)), "")*24*60, "")</f>
        <v/>
      </c>
      <c r="Q8793" s="24" t="str" cm="1">
        <f t="array" ref="Q8793">IFERROR(IF($B8793=Q$1, ($A8793+$C8793) - MAX(IF($B$2:$B8792=$B8793, $A$2:$A8792+$C$2:$C8792)), "")*24*60, "")</f>
        <v/>
      </c>
      <c r="R8793" s="24" t="str" cm="1">
        <f t="array" ref="R8793">IFERROR(IF($B8793=R$1, ($A8793+$C8793) - MAX(IF($B$2:$B8792=$B8793, $A$2:$A8792+$C$2:$C8792)), "")*24*60, "")</f>
        <v/>
      </c>
      <c r="S8793" s="24" t="str" cm="1">
        <f t="array" ref="S8793">IFERROR(IF($B8793=S$1, ($A8793+$C8793) - MAX(IF($B$2:$B8792=$B8793, $A$2:$A8792+$C$2:$C8792)), "")*24*60, "")</f>
        <v/>
      </c>
    </row>
    <row r="8794" spans="1:19" x14ac:dyDescent="0.2">
      <c r="A8794" s="12">
        <f t="shared" ref="A8794:C8794" si="1433">A8793</f>
        <v>46036</v>
      </c>
      <c r="B8794" s="5" t="str">
        <f t="shared" si="1433"/>
        <v>Northern Cardinal</v>
      </c>
      <c r="C8794" s="6">
        <f t="shared" si="1433"/>
        <v>0.74930555555555556</v>
      </c>
      <c r="D8794" s="5"/>
      <c r="E8794" s="5"/>
      <c r="F8794" s="5" t="s">
        <v>9</v>
      </c>
      <c r="G8794" s="15" t="s">
        <v>8</v>
      </c>
      <c r="H8794" s="24">
        <f t="shared" si="1412"/>
        <v>0</v>
      </c>
      <c r="I8794" s="24" cm="1">
        <f t="array" ref="I8794">IFERROR(IF($B8794=I$1, ($A8794+$C8794) - MAX(IF($B$2:$B8793=$B8794, $A$2:$A8793+$C$2:$C8793)), "")*24*60, "")</f>
        <v>0</v>
      </c>
      <c r="J8794" s="24" t="str" cm="1">
        <f t="array" ref="J8794">IFERROR(IF($B8794=J$1, ($A8794+$C8794) - MAX(IF($B$2:$B8793=$B8794, $A$2:$A8793+$C$2:$C8793)), "")*24*60, "")</f>
        <v/>
      </c>
      <c r="K8794" s="24" t="str" cm="1">
        <f t="array" ref="K8794">IFERROR(IF($B8794=K$1, ($A8794+$C8794) - MAX(IF($B$2:$B8793=$B8794, $A$2:$A8793+$C$2:$C8793)), "")*24*60, "")</f>
        <v/>
      </c>
      <c r="L8794" s="24" t="str" cm="1">
        <f t="array" ref="L8794">IFERROR(IF($B8794=L$1, ($A8794+$C8794) - MAX(IF($B$2:$B8793=$B8794, $A$2:$A8793+$C$2:$C8793)), "")*24*60, "")</f>
        <v/>
      </c>
      <c r="M8794" s="24" t="str" cm="1">
        <f t="array" ref="M8794">IFERROR(IF($B8794=M$1, ($A8794+$C8794) - MAX(IF($B$2:$B8793=$B8794, $A$2:$A8793+$C$2:$C8793)), "")*24*60, "")</f>
        <v/>
      </c>
      <c r="N8794" s="24" t="str" cm="1">
        <f t="array" ref="N8794">IFERROR(IF($B8794=N$1, ($A8794+$C8794) - MAX(IF($B$2:$B8793=$B8794, $A$2:$A8793+$C$2:$C8793)), "")*24*60, "")</f>
        <v/>
      </c>
      <c r="O8794" s="24" t="str" cm="1">
        <f t="array" ref="O8794">IFERROR(IF($B8794=O$1, ($A8794+$C8794) - MAX(IF($B$2:$B8793=$B8794, $A$2:$A8793+$C$2:$C8793)), "")*24*60, "")</f>
        <v/>
      </c>
      <c r="P8794" s="24" t="str" cm="1">
        <f t="array" ref="P8794">IFERROR(IF($B8794=P$1, ($A8794+$C8794) - MAX(IF($B$2:$B8793=$B8794, $A$2:$A8793+$C$2:$C8793)), "")*24*60, "")</f>
        <v/>
      </c>
      <c r="Q8794" s="24" t="str" cm="1">
        <f t="array" ref="Q8794">IFERROR(IF($B8794=Q$1, ($A8794+$C8794) - MAX(IF($B$2:$B8793=$B8794, $A$2:$A8793+$C$2:$C8793)), "")*24*60, "")</f>
        <v/>
      </c>
      <c r="R8794" s="24" t="str" cm="1">
        <f t="array" ref="R8794">IFERROR(IF($B8794=R$1, ($A8794+$C8794) - MAX(IF($B$2:$B8793=$B8794, $A$2:$A8793+$C$2:$C8793)), "")*24*60, "")</f>
        <v/>
      </c>
      <c r="S8794" s="24" t="str" cm="1">
        <f t="array" ref="S8794">IFERROR(IF($B8794=S$1, ($A8794+$C8794) - MAX(IF($B$2:$B8793=$B8794, $A$2:$A8793+$C$2:$C8793)), "")*24*60, "")</f>
        <v/>
      </c>
    </row>
    <row r="8795" spans="1:19" x14ac:dyDescent="0.2">
      <c r="A8795" s="12">
        <f t="shared" ref="A8795:C8795" si="1434">A8794</f>
        <v>46036</v>
      </c>
      <c r="B8795" s="5" t="str">
        <f t="shared" si="1434"/>
        <v>Northern Cardinal</v>
      </c>
      <c r="C8795" s="6">
        <f t="shared" si="1434"/>
        <v>0.74930555555555556</v>
      </c>
      <c r="D8795" s="5"/>
      <c r="E8795" s="5"/>
      <c r="F8795" s="5" t="s">
        <v>9</v>
      </c>
      <c r="G8795" s="15" t="s">
        <v>8</v>
      </c>
      <c r="H8795" s="24">
        <f t="shared" si="1412"/>
        <v>0</v>
      </c>
      <c r="I8795" s="24" cm="1">
        <f t="array" ref="I8795">IFERROR(IF($B8795=I$1, ($A8795+$C8795) - MAX(IF($B$2:$B8794=$B8795, $A$2:$A8794+$C$2:$C8794)), "")*24*60, "")</f>
        <v>0</v>
      </c>
      <c r="J8795" s="24" t="str" cm="1">
        <f t="array" ref="J8795">IFERROR(IF($B8795=J$1, ($A8795+$C8795) - MAX(IF($B$2:$B8794=$B8795, $A$2:$A8794+$C$2:$C8794)), "")*24*60, "")</f>
        <v/>
      </c>
      <c r="K8795" s="24" t="str" cm="1">
        <f t="array" ref="K8795">IFERROR(IF($B8795=K$1, ($A8795+$C8795) - MAX(IF($B$2:$B8794=$B8795, $A$2:$A8794+$C$2:$C8794)), "")*24*60, "")</f>
        <v/>
      </c>
      <c r="L8795" s="24" t="str" cm="1">
        <f t="array" ref="L8795">IFERROR(IF($B8795=L$1, ($A8795+$C8795) - MAX(IF($B$2:$B8794=$B8795, $A$2:$A8794+$C$2:$C8794)), "")*24*60, "")</f>
        <v/>
      </c>
      <c r="M8795" s="24" t="str" cm="1">
        <f t="array" ref="M8795">IFERROR(IF($B8795=M$1, ($A8795+$C8795) - MAX(IF($B$2:$B8794=$B8795, $A$2:$A8794+$C$2:$C8794)), "")*24*60, "")</f>
        <v/>
      </c>
      <c r="N8795" s="24" t="str" cm="1">
        <f t="array" ref="N8795">IFERROR(IF($B8795=N$1, ($A8795+$C8795) - MAX(IF($B$2:$B8794=$B8795, $A$2:$A8794+$C$2:$C8794)), "")*24*60, "")</f>
        <v/>
      </c>
      <c r="O8795" s="24" t="str" cm="1">
        <f t="array" ref="O8795">IFERROR(IF($B8795=O$1, ($A8795+$C8795) - MAX(IF($B$2:$B8794=$B8795, $A$2:$A8794+$C$2:$C8794)), "")*24*60, "")</f>
        <v/>
      </c>
      <c r="P8795" s="24" t="str" cm="1">
        <f t="array" ref="P8795">IFERROR(IF($B8795=P$1, ($A8795+$C8795) - MAX(IF($B$2:$B8794=$B8795, $A$2:$A8794+$C$2:$C8794)), "")*24*60, "")</f>
        <v/>
      </c>
      <c r="Q8795" s="24" t="str" cm="1">
        <f t="array" ref="Q8795">IFERROR(IF($B8795=Q$1, ($A8795+$C8795) - MAX(IF($B$2:$B8794=$B8795, $A$2:$A8794+$C$2:$C8794)), "")*24*60, "")</f>
        <v/>
      </c>
      <c r="R8795" s="24" t="str" cm="1">
        <f t="array" ref="R8795">IFERROR(IF($B8795=R$1, ($A8795+$C8795) - MAX(IF($B$2:$B8794=$B8795, $A$2:$A8794+$C$2:$C8794)), "")*24*60, "")</f>
        <v/>
      </c>
      <c r="S8795" s="24" t="str" cm="1">
        <f t="array" ref="S8795">IFERROR(IF($B8795=S$1, ($A8795+$C8795) - MAX(IF($B$2:$B8794=$B8795, $A$2:$A8794+$C$2:$C8794)), "")*24*60, "")</f>
        <v/>
      </c>
    </row>
    <row r="8796" spans="1:19" x14ac:dyDescent="0.2">
      <c r="A8796" s="12">
        <f t="shared" ref="A8796:C8796" si="1435">A8795</f>
        <v>46036</v>
      </c>
      <c r="B8796" s="5" t="str">
        <f t="shared" si="1435"/>
        <v>Northern Cardinal</v>
      </c>
      <c r="C8796" s="6">
        <f t="shared" si="1435"/>
        <v>0.74930555555555556</v>
      </c>
      <c r="D8796" s="5"/>
      <c r="E8796" s="5"/>
      <c r="F8796" s="5" t="s">
        <v>9</v>
      </c>
      <c r="G8796" s="15" t="s">
        <v>8</v>
      </c>
      <c r="H8796" s="24">
        <f t="shared" si="1412"/>
        <v>0</v>
      </c>
      <c r="I8796" s="24" cm="1">
        <f t="array" ref="I8796">IFERROR(IF($B8796=I$1, ($A8796+$C8796) - MAX(IF($B$2:$B8795=$B8796, $A$2:$A8795+$C$2:$C8795)), "")*24*60, "")</f>
        <v>0</v>
      </c>
      <c r="J8796" s="24" t="str" cm="1">
        <f t="array" ref="J8796">IFERROR(IF($B8796=J$1, ($A8796+$C8796) - MAX(IF($B$2:$B8795=$B8796, $A$2:$A8795+$C$2:$C8795)), "")*24*60, "")</f>
        <v/>
      </c>
      <c r="K8796" s="24" t="str" cm="1">
        <f t="array" ref="K8796">IFERROR(IF($B8796=K$1, ($A8796+$C8796) - MAX(IF($B$2:$B8795=$B8796, $A$2:$A8795+$C$2:$C8795)), "")*24*60, "")</f>
        <v/>
      </c>
      <c r="L8796" s="24" t="str" cm="1">
        <f t="array" ref="L8796">IFERROR(IF($B8796=L$1, ($A8796+$C8796) - MAX(IF($B$2:$B8795=$B8796, $A$2:$A8795+$C$2:$C8795)), "")*24*60, "")</f>
        <v/>
      </c>
      <c r="M8796" s="24" t="str" cm="1">
        <f t="array" ref="M8796">IFERROR(IF($B8796=M$1, ($A8796+$C8796) - MAX(IF($B$2:$B8795=$B8796, $A$2:$A8795+$C$2:$C8795)), "")*24*60, "")</f>
        <v/>
      </c>
      <c r="N8796" s="24" t="str" cm="1">
        <f t="array" ref="N8796">IFERROR(IF($B8796=N$1, ($A8796+$C8796) - MAX(IF($B$2:$B8795=$B8796, $A$2:$A8795+$C$2:$C8795)), "")*24*60, "")</f>
        <v/>
      </c>
      <c r="O8796" s="24" t="str" cm="1">
        <f t="array" ref="O8796">IFERROR(IF($B8796=O$1, ($A8796+$C8796) - MAX(IF($B$2:$B8795=$B8796, $A$2:$A8795+$C$2:$C8795)), "")*24*60, "")</f>
        <v/>
      </c>
      <c r="P8796" s="24" t="str" cm="1">
        <f t="array" ref="P8796">IFERROR(IF($B8796=P$1, ($A8796+$C8796) - MAX(IF($B$2:$B8795=$B8796, $A$2:$A8795+$C$2:$C8795)), "")*24*60, "")</f>
        <v/>
      </c>
      <c r="Q8796" s="24" t="str" cm="1">
        <f t="array" ref="Q8796">IFERROR(IF($B8796=Q$1, ($A8796+$C8796) - MAX(IF($B$2:$B8795=$B8796, $A$2:$A8795+$C$2:$C8795)), "")*24*60, "")</f>
        <v/>
      </c>
      <c r="R8796" s="24" t="str" cm="1">
        <f t="array" ref="R8796">IFERROR(IF($B8796=R$1, ($A8796+$C8796) - MAX(IF($B$2:$B8795=$B8796, $A$2:$A8795+$C$2:$C8795)), "")*24*60, "")</f>
        <v/>
      </c>
      <c r="S8796" s="24" t="str" cm="1">
        <f t="array" ref="S8796">IFERROR(IF($B8796=S$1, ($A8796+$C8796) - MAX(IF($B$2:$B8795=$B8796, $A$2:$A8795+$C$2:$C8795)), "")*24*60, "")</f>
        <v/>
      </c>
    </row>
    <row r="8797" spans="1:19" x14ac:dyDescent="0.2">
      <c r="A8797" s="12">
        <f t="shared" ref="A8797:C8797" si="1436">A8796</f>
        <v>46036</v>
      </c>
      <c r="B8797" s="5" t="str">
        <f t="shared" si="1436"/>
        <v>Northern Cardinal</v>
      </c>
      <c r="C8797" s="6">
        <f t="shared" si="1436"/>
        <v>0.74930555555555556</v>
      </c>
      <c r="D8797" s="5"/>
      <c r="E8797" s="5"/>
      <c r="F8797" s="5" t="s">
        <v>9</v>
      </c>
      <c r="G8797" s="15" t="s">
        <v>8</v>
      </c>
      <c r="H8797" s="24">
        <f t="shared" si="1412"/>
        <v>0</v>
      </c>
      <c r="I8797" s="24" cm="1">
        <f t="array" ref="I8797">IFERROR(IF($B8797=I$1, ($A8797+$C8797) - MAX(IF($B$2:$B8796=$B8797, $A$2:$A8796+$C$2:$C8796)), "")*24*60, "")</f>
        <v>0</v>
      </c>
      <c r="J8797" s="24" t="str" cm="1">
        <f t="array" ref="J8797">IFERROR(IF($B8797=J$1, ($A8797+$C8797) - MAX(IF($B$2:$B8796=$B8797, $A$2:$A8796+$C$2:$C8796)), "")*24*60, "")</f>
        <v/>
      </c>
      <c r="K8797" s="24" t="str" cm="1">
        <f t="array" ref="K8797">IFERROR(IF($B8797=K$1, ($A8797+$C8797) - MAX(IF($B$2:$B8796=$B8797, $A$2:$A8796+$C$2:$C8796)), "")*24*60, "")</f>
        <v/>
      </c>
      <c r="L8797" s="24" t="str" cm="1">
        <f t="array" ref="L8797">IFERROR(IF($B8797=L$1, ($A8797+$C8797) - MAX(IF($B$2:$B8796=$B8797, $A$2:$A8796+$C$2:$C8796)), "")*24*60, "")</f>
        <v/>
      </c>
      <c r="M8797" s="24" t="str" cm="1">
        <f t="array" ref="M8797">IFERROR(IF($B8797=M$1, ($A8797+$C8797) - MAX(IF($B$2:$B8796=$B8797, $A$2:$A8796+$C$2:$C8796)), "")*24*60, "")</f>
        <v/>
      </c>
      <c r="N8797" s="24" t="str" cm="1">
        <f t="array" ref="N8797">IFERROR(IF($B8797=N$1, ($A8797+$C8797) - MAX(IF($B$2:$B8796=$B8797, $A$2:$A8796+$C$2:$C8796)), "")*24*60, "")</f>
        <v/>
      </c>
      <c r="O8797" s="24" t="str" cm="1">
        <f t="array" ref="O8797">IFERROR(IF($B8797=O$1, ($A8797+$C8797) - MAX(IF($B$2:$B8796=$B8797, $A$2:$A8796+$C$2:$C8796)), "")*24*60, "")</f>
        <v/>
      </c>
      <c r="P8797" s="24" t="str" cm="1">
        <f t="array" ref="P8797">IFERROR(IF($B8797=P$1, ($A8797+$C8797) - MAX(IF($B$2:$B8796=$B8797, $A$2:$A8796+$C$2:$C8796)), "")*24*60, "")</f>
        <v/>
      </c>
      <c r="Q8797" s="24" t="str" cm="1">
        <f t="array" ref="Q8797">IFERROR(IF($B8797=Q$1, ($A8797+$C8797) - MAX(IF($B$2:$B8796=$B8797, $A$2:$A8796+$C$2:$C8796)), "")*24*60, "")</f>
        <v/>
      </c>
      <c r="R8797" s="24" t="str" cm="1">
        <f t="array" ref="R8797">IFERROR(IF($B8797=R$1, ($A8797+$C8797) - MAX(IF($B$2:$B8796=$B8797, $A$2:$A8796+$C$2:$C8796)), "")*24*60, "")</f>
        <v/>
      </c>
      <c r="S8797" s="24" t="str" cm="1">
        <f t="array" ref="S8797">IFERROR(IF($B8797=S$1, ($A8797+$C8797) - MAX(IF($B$2:$B8796=$B8797, $A$2:$A8796+$C$2:$C8796)), "")*24*60, "")</f>
        <v/>
      </c>
    </row>
    <row r="8798" spans="1:19" x14ac:dyDescent="0.2">
      <c r="A8798" s="12">
        <f t="shared" ref="A8798:C8798" si="1437">A8797</f>
        <v>46036</v>
      </c>
      <c r="B8798" s="5" t="str">
        <f t="shared" si="1437"/>
        <v>Northern Cardinal</v>
      </c>
      <c r="C8798" s="6">
        <f t="shared" si="1437"/>
        <v>0.74930555555555556</v>
      </c>
      <c r="D8798" s="5"/>
      <c r="E8798" s="5"/>
      <c r="F8798" s="5" t="s">
        <v>9</v>
      </c>
      <c r="G8798" s="15" t="s">
        <v>8</v>
      </c>
      <c r="H8798" s="24">
        <f t="shared" si="1412"/>
        <v>0</v>
      </c>
      <c r="I8798" s="24" cm="1">
        <f t="array" ref="I8798">IFERROR(IF($B8798=I$1, ($A8798+$C8798) - MAX(IF($B$2:$B8797=$B8798, $A$2:$A8797+$C$2:$C8797)), "")*24*60, "")</f>
        <v>0</v>
      </c>
      <c r="J8798" s="24" t="str" cm="1">
        <f t="array" ref="J8798">IFERROR(IF($B8798=J$1, ($A8798+$C8798) - MAX(IF($B$2:$B8797=$B8798, $A$2:$A8797+$C$2:$C8797)), "")*24*60, "")</f>
        <v/>
      </c>
      <c r="K8798" s="24" t="str" cm="1">
        <f t="array" ref="K8798">IFERROR(IF($B8798=K$1, ($A8798+$C8798) - MAX(IF($B$2:$B8797=$B8798, $A$2:$A8797+$C$2:$C8797)), "")*24*60, "")</f>
        <v/>
      </c>
      <c r="L8798" s="24" t="str" cm="1">
        <f t="array" ref="L8798">IFERROR(IF($B8798=L$1, ($A8798+$C8798) - MAX(IF($B$2:$B8797=$B8798, $A$2:$A8797+$C$2:$C8797)), "")*24*60, "")</f>
        <v/>
      </c>
      <c r="M8798" s="24" t="str" cm="1">
        <f t="array" ref="M8798">IFERROR(IF($B8798=M$1, ($A8798+$C8798) - MAX(IF($B$2:$B8797=$B8798, $A$2:$A8797+$C$2:$C8797)), "")*24*60, "")</f>
        <v/>
      </c>
      <c r="N8798" s="24" t="str" cm="1">
        <f t="array" ref="N8798">IFERROR(IF($B8798=N$1, ($A8798+$C8798) - MAX(IF($B$2:$B8797=$B8798, $A$2:$A8797+$C$2:$C8797)), "")*24*60, "")</f>
        <v/>
      </c>
      <c r="O8798" s="24" t="str" cm="1">
        <f t="array" ref="O8798">IFERROR(IF($B8798=O$1, ($A8798+$C8798) - MAX(IF($B$2:$B8797=$B8798, $A$2:$A8797+$C$2:$C8797)), "")*24*60, "")</f>
        <v/>
      </c>
      <c r="P8798" s="24" t="str" cm="1">
        <f t="array" ref="P8798">IFERROR(IF($B8798=P$1, ($A8798+$C8798) - MAX(IF($B$2:$B8797=$B8798, $A$2:$A8797+$C$2:$C8797)), "")*24*60, "")</f>
        <v/>
      </c>
      <c r="Q8798" s="24" t="str" cm="1">
        <f t="array" ref="Q8798">IFERROR(IF($B8798=Q$1, ($A8798+$C8798) - MAX(IF($B$2:$B8797=$B8798, $A$2:$A8797+$C$2:$C8797)), "")*24*60, "")</f>
        <v/>
      </c>
      <c r="R8798" s="24" t="str" cm="1">
        <f t="array" ref="R8798">IFERROR(IF($B8798=R$1, ($A8798+$C8798) - MAX(IF($B$2:$B8797=$B8798, $A$2:$A8797+$C$2:$C8797)), "")*24*60, "")</f>
        <v/>
      </c>
      <c r="S8798" s="24" t="str" cm="1">
        <f t="array" ref="S8798">IFERROR(IF($B8798=S$1, ($A8798+$C8798) - MAX(IF($B$2:$B8797=$B8798, $A$2:$A8797+$C$2:$C8797)), "")*24*60, "")</f>
        <v/>
      </c>
    </row>
    <row r="8799" spans="1:19" x14ac:dyDescent="0.2">
      <c r="A8799" s="12">
        <f t="shared" ref="A8799:C8799" si="1438">A8798</f>
        <v>46036</v>
      </c>
      <c r="B8799" s="5" t="str">
        <f t="shared" si="1438"/>
        <v>Northern Cardinal</v>
      </c>
      <c r="C8799" s="6">
        <f t="shared" si="1438"/>
        <v>0.74930555555555556</v>
      </c>
      <c r="D8799" s="5"/>
      <c r="E8799" s="5"/>
      <c r="F8799" s="5" t="s">
        <v>9</v>
      </c>
      <c r="G8799" s="15" t="s">
        <v>8</v>
      </c>
      <c r="H8799" s="24">
        <f t="shared" si="1412"/>
        <v>0</v>
      </c>
      <c r="I8799" s="24" cm="1">
        <f t="array" ref="I8799">IFERROR(IF($B8799=I$1, ($A8799+$C8799) - MAX(IF($B$2:$B8798=$B8799, $A$2:$A8798+$C$2:$C8798)), "")*24*60, "")</f>
        <v>0</v>
      </c>
      <c r="J8799" s="24" t="str" cm="1">
        <f t="array" ref="J8799">IFERROR(IF($B8799=J$1, ($A8799+$C8799) - MAX(IF($B$2:$B8798=$B8799, $A$2:$A8798+$C$2:$C8798)), "")*24*60, "")</f>
        <v/>
      </c>
      <c r="K8799" s="24" t="str" cm="1">
        <f t="array" ref="K8799">IFERROR(IF($B8799=K$1, ($A8799+$C8799) - MAX(IF($B$2:$B8798=$B8799, $A$2:$A8798+$C$2:$C8798)), "")*24*60, "")</f>
        <v/>
      </c>
      <c r="L8799" s="24" t="str" cm="1">
        <f t="array" ref="L8799">IFERROR(IF($B8799=L$1, ($A8799+$C8799) - MAX(IF($B$2:$B8798=$B8799, $A$2:$A8798+$C$2:$C8798)), "")*24*60, "")</f>
        <v/>
      </c>
      <c r="M8799" s="24" t="str" cm="1">
        <f t="array" ref="M8799">IFERROR(IF($B8799=M$1, ($A8799+$C8799) - MAX(IF($B$2:$B8798=$B8799, $A$2:$A8798+$C$2:$C8798)), "")*24*60, "")</f>
        <v/>
      </c>
      <c r="N8799" s="24" t="str" cm="1">
        <f t="array" ref="N8799">IFERROR(IF($B8799=N$1, ($A8799+$C8799) - MAX(IF($B$2:$B8798=$B8799, $A$2:$A8798+$C$2:$C8798)), "")*24*60, "")</f>
        <v/>
      </c>
      <c r="O8799" s="24" t="str" cm="1">
        <f t="array" ref="O8799">IFERROR(IF($B8799=O$1, ($A8799+$C8799) - MAX(IF($B$2:$B8798=$B8799, $A$2:$A8798+$C$2:$C8798)), "")*24*60, "")</f>
        <v/>
      </c>
      <c r="P8799" s="24" t="str" cm="1">
        <f t="array" ref="P8799">IFERROR(IF($B8799=P$1, ($A8799+$C8799) - MAX(IF($B$2:$B8798=$B8799, $A$2:$A8798+$C$2:$C8798)), "")*24*60, "")</f>
        <v/>
      </c>
      <c r="Q8799" s="24" t="str" cm="1">
        <f t="array" ref="Q8799">IFERROR(IF($B8799=Q$1, ($A8799+$C8799) - MAX(IF($B$2:$B8798=$B8799, $A$2:$A8798+$C$2:$C8798)), "")*24*60, "")</f>
        <v/>
      </c>
      <c r="R8799" s="24" t="str" cm="1">
        <f t="array" ref="R8799">IFERROR(IF($B8799=R$1, ($A8799+$C8799) - MAX(IF($B$2:$B8798=$B8799, $A$2:$A8798+$C$2:$C8798)), "")*24*60, "")</f>
        <v/>
      </c>
      <c r="S8799" s="24" t="str" cm="1">
        <f t="array" ref="S8799">IFERROR(IF($B8799=S$1, ($A8799+$C8799) - MAX(IF($B$2:$B8798=$B8799, $A$2:$A8798+$C$2:$C8798)), "")*24*60, "")</f>
        <v/>
      </c>
    </row>
    <row r="8800" spans="1:19" x14ac:dyDescent="0.2">
      <c r="A8800" s="12">
        <f t="shared" ref="A8800:C8800" si="1439">A8799</f>
        <v>46036</v>
      </c>
      <c r="B8800" s="5" t="str">
        <f t="shared" si="1439"/>
        <v>Northern Cardinal</v>
      </c>
      <c r="C8800" s="6">
        <f t="shared" si="1439"/>
        <v>0.74930555555555556</v>
      </c>
      <c r="D8800" s="5"/>
      <c r="E8800" s="5"/>
      <c r="F8800" s="5" t="s">
        <v>9</v>
      </c>
      <c r="G8800" s="15" t="s">
        <v>8</v>
      </c>
      <c r="H8800" s="24">
        <f t="shared" si="1412"/>
        <v>0</v>
      </c>
      <c r="I8800" s="24" cm="1">
        <f t="array" ref="I8800">IFERROR(IF($B8800=I$1, ($A8800+$C8800) - MAX(IF($B$2:$B8799=$B8800, $A$2:$A8799+$C$2:$C8799)), "")*24*60, "")</f>
        <v>0</v>
      </c>
      <c r="J8800" s="24" t="str" cm="1">
        <f t="array" ref="J8800">IFERROR(IF($B8800=J$1, ($A8800+$C8800) - MAX(IF($B$2:$B8799=$B8800, $A$2:$A8799+$C$2:$C8799)), "")*24*60, "")</f>
        <v/>
      </c>
      <c r="K8800" s="24" t="str" cm="1">
        <f t="array" ref="K8800">IFERROR(IF($B8800=K$1, ($A8800+$C8800) - MAX(IF($B$2:$B8799=$B8800, $A$2:$A8799+$C$2:$C8799)), "")*24*60, "")</f>
        <v/>
      </c>
      <c r="L8800" s="24" t="str" cm="1">
        <f t="array" ref="L8800">IFERROR(IF($B8800=L$1, ($A8800+$C8800) - MAX(IF($B$2:$B8799=$B8800, $A$2:$A8799+$C$2:$C8799)), "")*24*60, "")</f>
        <v/>
      </c>
      <c r="M8800" s="24" t="str" cm="1">
        <f t="array" ref="M8800">IFERROR(IF($B8800=M$1, ($A8800+$C8800) - MAX(IF($B$2:$B8799=$B8800, $A$2:$A8799+$C$2:$C8799)), "")*24*60, "")</f>
        <v/>
      </c>
      <c r="N8800" s="24" t="str" cm="1">
        <f t="array" ref="N8800">IFERROR(IF($B8800=N$1, ($A8800+$C8800) - MAX(IF($B$2:$B8799=$B8800, $A$2:$A8799+$C$2:$C8799)), "")*24*60, "")</f>
        <v/>
      </c>
      <c r="O8800" s="24" t="str" cm="1">
        <f t="array" ref="O8800">IFERROR(IF($B8800=O$1, ($A8800+$C8800) - MAX(IF($B$2:$B8799=$B8800, $A$2:$A8799+$C$2:$C8799)), "")*24*60, "")</f>
        <v/>
      </c>
      <c r="P8800" s="24" t="str" cm="1">
        <f t="array" ref="P8800">IFERROR(IF($B8800=P$1, ($A8800+$C8800) - MAX(IF($B$2:$B8799=$B8800, $A$2:$A8799+$C$2:$C8799)), "")*24*60, "")</f>
        <v/>
      </c>
      <c r="Q8800" s="24" t="str" cm="1">
        <f t="array" ref="Q8800">IFERROR(IF($B8800=Q$1, ($A8800+$C8800) - MAX(IF($B$2:$B8799=$B8800, $A$2:$A8799+$C$2:$C8799)), "")*24*60, "")</f>
        <v/>
      </c>
      <c r="R8800" s="24" t="str" cm="1">
        <f t="array" ref="R8800">IFERROR(IF($B8800=R$1, ($A8800+$C8800) - MAX(IF($B$2:$B8799=$B8800, $A$2:$A8799+$C$2:$C8799)), "")*24*60, "")</f>
        <v/>
      </c>
      <c r="S8800" s="24" t="str" cm="1">
        <f t="array" ref="S8800">IFERROR(IF($B8800=S$1, ($A8800+$C8800) - MAX(IF($B$2:$B8799=$B8800, $A$2:$A8799+$C$2:$C8799)), "")*24*60, "")</f>
        <v/>
      </c>
    </row>
    <row r="8801" spans="1:19" x14ac:dyDescent="0.2">
      <c r="A8801" s="12">
        <f t="shared" ref="A8801:C8801" si="1440">A8800</f>
        <v>46036</v>
      </c>
      <c r="B8801" s="5" t="str">
        <f t="shared" si="1440"/>
        <v>Northern Cardinal</v>
      </c>
      <c r="C8801" s="6">
        <f t="shared" si="1440"/>
        <v>0.74930555555555556</v>
      </c>
      <c r="D8801" s="5"/>
      <c r="E8801" s="5"/>
      <c r="F8801" s="5" t="s">
        <v>9</v>
      </c>
      <c r="G8801" s="15" t="s">
        <v>8</v>
      </c>
      <c r="H8801" s="24">
        <f t="shared" si="1412"/>
        <v>0</v>
      </c>
      <c r="I8801" s="24" cm="1">
        <f t="array" ref="I8801">IFERROR(IF($B8801=I$1, ($A8801+$C8801) - MAX(IF($B$2:$B8800=$B8801, $A$2:$A8800+$C$2:$C8800)), "")*24*60, "")</f>
        <v>0</v>
      </c>
      <c r="J8801" s="24" t="str" cm="1">
        <f t="array" ref="J8801">IFERROR(IF($B8801=J$1, ($A8801+$C8801) - MAX(IF($B$2:$B8800=$B8801, $A$2:$A8800+$C$2:$C8800)), "")*24*60, "")</f>
        <v/>
      </c>
      <c r="K8801" s="24" t="str" cm="1">
        <f t="array" ref="K8801">IFERROR(IF($B8801=K$1, ($A8801+$C8801) - MAX(IF($B$2:$B8800=$B8801, $A$2:$A8800+$C$2:$C8800)), "")*24*60, "")</f>
        <v/>
      </c>
      <c r="L8801" s="24" t="str" cm="1">
        <f t="array" ref="L8801">IFERROR(IF($B8801=L$1, ($A8801+$C8801) - MAX(IF($B$2:$B8800=$B8801, $A$2:$A8800+$C$2:$C8800)), "")*24*60, "")</f>
        <v/>
      </c>
      <c r="M8801" s="24" t="str" cm="1">
        <f t="array" ref="M8801">IFERROR(IF($B8801=M$1, ($A8801+$C8801) - MAX(IF($B$2:$B8800=$B8801, $A$2:$A8800+$C$2:$C8800)), "")*24*60, "")</f>
        <v/>
      </c>
      <c r="N8801" s="24" t="str" cm="1">
        <f t="array" ref="N8801">IFERROR(IF($B8801=N$1, ($A8801+$C8801) - MAX(IF($B$2:$B8800=$B8801, $A$2:$A8800+$C$2:$C8800)), "")*24*60, "")</f>
        <v/>
      </c>
      <c r="O8801" s="24" t="str" cm="1">
        <f t="array" ref="O8801">IFERROR(IF($B8801=O$1, ($A8801+$C8801) - MAX(IF($B$2:$B8800=$B8801, $A$2:$A8800+$C$2:$C8800)), "")*24*60, "")</f>
        <v/>
      </c>
      <c r="P8801" s="24" t="str" cm="1">
        <f t="array" ref="P8801">IFERROR(IF($B8801=P$1, ($A8801+$C8801) - MAX(IF($B$2:$B8800=$B8801, $A$2:$A8800+$C$2:$C8800)), "")*24*60, "")</f>
        <v/>
      </c>
      <c r="Q8801" s="24" t="str" cm="1">
        <f t="array" ref="Q8801">IFERROR(IF($B8801=Q$1, ($A8801+$C8801) - MAX(IF($B$2:$B8800=$B8801, $A$2:$A8800+$C$2:$C8800)), "")*24*60, "")</f>
        <v/>
      </c>
      <c r="R8801" s="24" t="str" cm="1">
        <f t="array" ref="R8801">IFERROR(IF($B8801=R$1, ($A8801+$C8801) - MAX(IF($B$2:$B8800=$B8801, $A$2:$A8800+$C$2:$C8800)), "")*24*60, "")</f>
        <v/>
      </c>
      <c r="S8801" s="24" t="str" cm="1">
        <f t="array" ref="S8801">IFERROR(IF($B8801=S$1, ($A8801+$C8801) - MAX(IF($B$2:$B8800=$B8801, $A$2:$A8800+$C$2:$C8800)), "")*24*60, "")</f>
        <v/>
      </c>
    </row>
    <row r="8802" spans="1:19" x14ac:dyDescent="0.2">
      <c r="A8802" s="12">
        <f t="shared" ref="A8802:C8802" si="1441">A8801</f>
        <v>46036</v>
      </c>
      <c r="B8802" s="5" t="str">
        <f t="shared" si="1441"/>
        <v>Northern Cardinal</v>
      </c>
      <c r="C8802" s="6">
        <f t="shared" si="1441"/>
        <v>0.74930555555555556</v>
      </c>
      <c r="D8802" s="5"/>
      <c r="E8802" s="5"/>
      <c r="F8802" s="5" t="s">
        <v>9</v>
      </c>
      <c r="G8802" s="15" t="s">
        <v>8</v>
      </c>
      <c r="H8802" s="24">
        <f t="shared" si="1412"/>
        <v>0</v>
      </c>
      <c r="I8802" s="24" cm="1">
        <f t="array" ref="I8802">IFERROR(IF($B8802=I$1, ($A8802+$C8802) - MAX(IF($B$2:$B8801=$B8802, $A$2:$A8801+$C$2:$C8801)), "")*24*60, "")</f>
        <v>0</v>
      </c>
      <c r="J8802" s="24" t="str" cm="1">
        <f t="array" ref="J8802">IFERROR(IF($B8802=J$1, ($A8802+$C8802) - MAX(IF($B$2:$B8801=$B8802, $A$2:$A8801+$C$2:$C8801)), "")*24*60, "")</f>
        <v/>
      </c>
      <c r="K8802" s="24" t="str" cm="1">
        <f t="array" ref="K8802">IFERROR(IF($B8802=K$1, ($A8802+$C8802) - MAX(IF($B$2:$B8801=$B8802, $A$2:$A8801+$C$2:$C8801)), "")*24*60, "")</f>
        <v/>
      </c>
      <c r="L8802" s="24" t="str" cm="1">
        <f t="array" ref="L8802">IFERROR(IF($B8802=L$1, ($A8802+$C8802) - MAX(IF($B$2:$B8801=$B8802, $A$2:$A8801+$C$2:$C8801)), "")*24*60, "")</f>
        <v/>
      </c>
      <c r="M8802" s="24" t="str" cm="1">
        <f t="array" ref="M8802">IFERROR(IF($B8802=M$1, ($A8802+$C8802) - MAX(IF($B$2:$B8801=$B8802, $A$2:$A8801+$C$2:$C8801)), "")*24*60, "")</f>
        <v/>
      </c>
      <c r="N8802" s="24" t="str" cm="1">
        <f t="array" ref="N8802">IFERROR(IF($B8802=N$1, ($A8802+$C8802) - MAX(IF($B$2:$B8801=$B8802, $A$2:$A8801+$C$2:$C8801)), "")*24*60, "")</f>
        <v/>
      </c>
      <c r="O8802" s="24" t="str" cm="1">
        <f t="array" ref="O8802">IFERROR(IF($B8802=O$1, ($A8802+$C8802) - MAX(IF($B$2:$B8801=$B8802, $A$2:$A8801+$C$2:$C8801)), "")*24*60, "")</f>
        <v/>
      </c>
      <c r="P8802" s="24" t="str" cm="1">
        <f t="array" ref="P8802">IFERROR(IF($B8802=P$1, ($A8802+$C8802) - MAX(IF($B$2:$B8801=$B8802, $A$2:$A8801+$C$2:$C8801)), "")*24*60, "")</f>
        <v/>
      </c>
      <c r="Q8802" s="24" t="str" cm="1">
        <f t="array" ref="Q8802">IFERROR(IF($B8802=Q$1, ($A8802+$C8802) - MAX(IF($B$2:$B8801=$B8802, $A$2:$A8801+$C$2:$C8801)), "")*24*60, "")</f>
        <v/>
      </c>
      <c r="R8802" s="24" t="str" cm="1">
        <f t="array" ref="R8802">IFERROR(IF($B8802=R$1, ($A8802+$C8802) - MAX(IF($B$2:$B8801=$B8802, $A$2:$A8801+$C$2:$C8801)), "")*24*60, "")</f>
        <v/>
      </c>
      <c r="S8802" s="24" t="str" cm="1">
        <f t="array" ref="S8802">IFERROR(IF($B8802=S$1, ($A8802+$C8802) - MAX(IF($B$2:$B8801=$B8802, $A$2:$A8801+$C$2:$C8801)), "")*24*60, "")</f>
        <v/>
      </c>
    </row>
    <row r="8803" spans="1:19" x14ac:dyDescent="0.2">
      <c r="A8803" s="12">
        <f t="shared" ref="A8803:C8803" si="1442">A8802</f>
        <v>46036</v>
      </c>
      <c r="B8803" s="5" t="str">
        <f t="shared" si="1442"/>
        <v>Northern Cardinal</v>
      </c>
      <c r="C8803" s="6">
        <f t="shared" si="1442"/>
        <v>0.74930555555555556</v>
      </c>
      <c r="D8803" s="5"/>
      <c r="E8803" s="5"/>
      <c r="F8803" s="5" t="s">
        <v>9</v>
      </c>
      <c r="G8803" s="15" t="s">
        <v>8</v>
      </c>
      <c r="H8803" s="24">
        <f t="shared" si="1412"/>
        <v>0</v>
      </c>
      <c r="I8803" s="24" cm="1">
        <f t="array" ref="I8803">IFERROR(IF($B8803=I$1, ($A8803+$C8803) - MAX(IF($B$2:$B8802=$B8803, $A$2:$A8802+$C$2:$C8802)), "")*24*60, "")</f>
        <v>0</v>
      </c>
      <c r="J8803" s="24" t="str" cm="1">
        <f t="array" ref="J8803">IFERROR(IF($B8803=J$1, ($A8803+$C8803) - MAX(IF($B$2:$B8802=$B8803, $A$2:$A8802+$C$2:$C8802)), "")*24*60, "")</f>
        <v/>
      </c>
      <c r="K8803" s="24" t="str" cm="1">
        <f t="array" ref="K8803">IFERROR(IF($B8803=K$1, ($A8803+$C8803) - MAX(IF($B$2:$B8802=$B8803, $A$2:$A8802+$C$2:$C8802)), "")*24*60, "")</f>
        <v/>
      </c>
      <c r="L8803" s="24" t="str" cm="1">
        <f t="array" ref="L8803">IFERROR(IF($B8803=L$1, ($A8803+$C8803) - MAX(IF($B$2:$B8802=$B8803, $A$2:$A8802+$C$2:$C8802)), "")*24*60, "")</f>
        <v/>
      </c>
      <c r="M8803" s="24" t="str" cm="1">
        <f t="array" ref="M8803">IFERROR(IF($B8803=M$1, ($A8803+$C8803) - MAX(IF($B$2:$B8802=$B8803, $A$2:$A8802+$C$2:$C8802)), "")*24*60, "")</f>
        <v/>
      </c>
      <c r="N8803" s="24" t="str" cm="1">
        <f t="array" ref="N8803">IFERROR(IF($B8803=N$1, ($A8803+$C8803) - MAX(IF($B$2:$B8802=$B8803, $A$2:$A8802+$C$2:$C8802)), "")*24*60, "")</f>
        <v/>
      </c>
      <c r="O8803" s="24" t="str" cm="1">
        <f t="array" ref="O8803">IFERROR(IF($B8803=O$1, ($A8803+$C8803) - MAX(IF($B$2:$B8802=$B8803, $A$2:$A8802+$C$2:$C8802)), "")*24*60, "")</f>
        <v/>
      </c>
      <c r="P8803" s="24" t="str" cm="1">
        <f t="array" ref="P8803">IFERROR(IF($B8803=P$1, ($A8803+$C8803) - MAX(IF($B$2:$B8802=$B8803, $A$2:$A8802+$C$2:$C8802)), "")*24*60, "")</f>
        <v/>
      </c>
      <c r="Q8803" s="24" t="str" cm="1">
        <f t="array" ref="Q8803">IFERROR(IF($B8803=Q$1, ($A8803+$C8803) - MAX(IF($B$2:$B8802=$B8803, $A$2:$A8802+$C$2:$C8802)), "")*24*60, "")</f>
        <v/>
      </c>
      <c r="R8803" s="24" t="str" cm="1">
        <f t="array" ref="R8803">IFERROR(IF($B8803=R$1, ($A8803+$C8803) - MAX(IF($B$2:$B8802=$B8803, $A$2:$A8802+$C$2:$C8802)), "")*24*60, "")</f>
        <v/>
      </c>
      <c r="S8803" s="24" t="str" cm="1">
        <f t="array" ref="S8803">IFERROR(IF($B8803=S$1, ($A8803+$C8803) - MAX(IF($B$2:$B8802=$B8803, $A$2:$A8802+$C$2:$C8802)), "")*24*60, "")</f>
        <v/>
      </c>
    </row>
    <row r="8804" spans="1:19" x14ac:dyDescent="0.2">
      <c r="A8804" s="12">
        <f t="shared" ref="A8804:C8804" si="1443">A8803</f>
        <v>46036</v>
      </c>
      <c r="B8804" s="5" t="str">
        <f t="shared" si="1443"/>
        <v>Northern Cardinal</v>
      </c>
      <c r="C8804" s="6">
        <f t="shared" si="1443"/>
        <v>0.74930555555555556</v>
      </c>
      <c r="D8804" s="5"/>
      <c r="E8804" s="5"/>
      <c r="F8804" s="5" t="s">
        <v>9</v>
      </c>
      <c r="G8804" s="15" t="s">
        <v>8</v>
      </c>
      <c r="H8804" s="24">
        <f t="shared" si="1412"/>
        <v>0</v>
      </c>
      <c r="I8804" s="24" cm="1">
        <f t="array" ref="I8804">IFERROR(IF($B8804=I$1, ($A8804+$C8804) - MAX(IF($B$2:$B8803=$B8804, $A$2:$A8803+$C$2:$C8803)), "")*24*60, "")</f>
        <v>0</v>
      </c>
      <c r="J8804" s="24" t="str" cm="1">
        <f t="array" ref="J8804">IFERROR(IF($B8804=J$1, ($A8804+$C8804) - MAX(IF($B$2:$B8803=$B8804, $A$2:$A8803+$C$2:$C8803)), "")*24*60, "")</f>
        <v/>
      </c>
      <c r="K8804" s="24" t="str" cm="1">
        <f t="array" ref="K8804">IFERROR(IF($B8804=K$1, ($A8804+$C8804) - MAX(IF($B$2:$B8803=$B8804, $A$2:$A8803+$C$2:$C8803)), "")*24*60, "")</f>
        <v/>
      </c>
      <c r="L8804" s="24" t="str" cm="1">
        <f t="array" ref="L8804">IFERROR(IF($B8804=L$1, ($A8804+$C8804) - MAX(IF($B$2:$B8803=$B8804, $A$2:$A8803+$C$2:$C8803)), "")*24*60, "")</f>
        <v/>
      </c>
      <c r="M8804" s="24" t="str" cm="1">
        <f t="array" ref="M8804">IFERROR(IF($B8804=M$1, ($A8804+$C8804) - MAX(IF($B$2:$B8803=$B8804, $A$2:$A8803+$C$2:$C8803)), "")*24*60, "")</f>
        <v/>
      </c>
      <c r="N8804" s="24" t="str" cm="1">
        <f t="array" ref="N8804">IFERROR(IF($B8804=N$1, ($A8804+$C8804) - MAX(IF($B$2:$B8803=$B8804, $A$2:$A8803+$C$2:$C8803)), "")*24*60, "")</f>
        <v/>
      </c>
      <c r="O8804" s="24" t="str" cm="1">
        <f t="array" ref="O8804">IFERROR(IF($B8804=O$1, ($A8804+$C8804) - MAX(IF($B$2:$B8803=$B8804, $A$2:$A8803+$C$2:$C8803)), "")*24*60, "")</f>
        <v/>
      </c>
      <c r="P8804" s="24" t="str" cm="1">
        <f t="array" ref="P8804">IFERROR(IF($B8804=P$1, ($A8804+$C8804) - MAX(IF($B$2:$B8803=$B8804, $A$2:$A8803+$C$2:$C8803)), "")*24*60, "")</f>
        <v/>
      </c>
      <c r="Q8804" s="24" t="str" cm="1">
        <f t="array" ref="Q8804">IFERROR(IF($B8804=Q$1, ($A8804+$C8804) - MAX(IF($B$2:$B8803=$B8804, $A$2:$A8803+$C$2:$C8803)), "")*24*60, "")</f>
        <v/>
      </c>
      <c r="R8804" s="24" t="str" cm="1">
        <f t="array" ref="R8804">IFERROR(IF($B8804=R$1, ($A8804+$C8804) - MAX(IF($B$2:$B8803=$B8804, $A$2:$A8803+$C$2:$C8803)), "")*24*60, "")</f>
        <v/>
      </c>
      <c r="S8804" s="24" t="str" cm="1">
        <f t="array" ref="S8804">IFERROR(IF($B8804=S$1, ($A8804+$C8804) - MAX(IF($B$2:$B8803=$B8804, $A$2:$A8803+$C$2:$C8803)), "")*24*60, "")</f>
        <v/>
      </c>
    </row>
    <row r="8805" spans="1:19" x14ac:dyDescent="0.2">
      <c r="A8805" s="12">
        <f t="shared" ref="A8805:C8805" si="1444">A8804</f>
        <v>46036</v>
      </c>
      <c r="B8805" s="5" t="str">
        <f t="shared" si="1444"/>
        <v>Northern Cardinal</v>
      </c>
      <c r="C8805" s="6">
        <f t="shared" si="1444"/>
        <v>0.74930555555555556</v>
      </c>
      <c r="D8805" s="5"/>
      <c r="E8805" s="5"/>
      <c r="F8805" s="5" t="s">
        <v>9</v>
      </c>
      <c r="G8805" s="15" t="s">
        <v>8</v>
      </c>
      <c r="H8805" s="24">
        <f t="shared" si="1412"/>
        <v>0</v>
      </c>
      <c r="I8805" s="24" cm="1">
        <f t="array" ref="I8805">IFERROR(IF($B8805=I$1, ($A8805+$C8805) - MAX(IF($B$2:$B8804=$B8805, $A$2:$A8804+$C$2:$C8804)), "")*24*60, "")</f>
        <v>0</v>
      </c>
      <c r="J8805" s="24" t="str" cm="1">
        <f t="array" ref="J8805">IFERROR(IF($B8805=J$1, ($A8805+$C8805) - MAX(IF($B$2:$B8804=$B8805, $A$2:$A8804+$C$2:$C8804)), "")*24*60, "")</f>
        <v/>
      </c>
      <c r="K8805" s="24" t="str" cm="1">
        <f t="array" ref="K8805">IFERROR(IF($B8805=K$1, ($A8805+$C8805) - MAX(IF($B$2:$B8804=$B8805, $A$2:$A8804+$C$2:$C8804)), "")*24*60, "")</f>
        <v/>
      </c>
      <c r="L8805" s="24" t="str" cm="1">
        <f t="array" ref="L8805">IFERROR(IF($B8805=L$1, ($A8805+$C8805) - MAX(IF($B$2:$B8804=$B8805, $A$2:$A8804+$C$2:$C8804)), "")*24*60, "")</f>
        <v/>
      </c>
      <c r="M8805" s="24" t="str" cm="1">
        <f t="array" ref="M8805">IFERROR(IF($B8805=M$1, ($A8805+$C8805) - MAX(IF($B$2:$B8804=$B8805, $A$2:$A8804+$C$2:$C8804)), "")*24*60, "")</f>
        <v/>
      </c>
      <c r="N8805" s="24" t="str" cm="1">
        <f t="array" ref="N8805">IFERROR(IF($B8805=N$1, ($A8805+$C8805) - MAX(IF($B$2:$B8804=$B8805, $A$2:$A8804+$C$2:$C8804)), "")*24*60, "")</f>
        <v/>
      </c>
      <c r="O8805" s="24" t="str" cm="1">
        <f t="array" ref="O8805">IFERROR(IF($B8805=O$1, ($A8805+$C8805) - MAX(IF($B$2:$B8804=$B8805, $A$2:$A8804+$C$2:$C8804)), "")*24*60, "")</f>
        <v/>
      </c>
      <c r="P8805" s="24" t="str" cm="1">
        <f t="array" ref="P8805">IFERROR(IF($B8805=P$1, ($A8805+$C8805) - MAX(IF($B$2:$B8804=$B8805, $A$2:$A8804+$C$2:$C8804)), "")*24*60, "")</f>
        <v/>
      </c>
      <c r="Q8805" s="24" t="str" cm="1">
        <f t="array" ref="Q8805">IFERROR(IF($B8805=Q$1, ($A8805+$C8805) - MAX(IF($B$2:$B8804=$B8805, $A$2:$A8804+$C$2:$C8804)), "")*24*60, "")</f>
        <v/>
      </c>
      <c r="R8805" s="24" t="str" cm="1">
        <f t="array" ref="R8805">IFERROR(IF($B8805=R$1, ($A8805+$C8805) - MAX(IF($B$2:$B8804=$B8805, $A$2:$A8804+$C$2:$C8804)), "")*24*60, "")</f>
        <v/>
      </c>
      <c r="S8805" s="24" t="str" cm="1">
        <f t="array" ref="S8805">IFERROR(IF($B8805=S$1, ($A8805+$C8805) - MAX(IF($B$2:$B8804=$B8805, $A$2:$A8804+$C$2:$C8804)), "")*24*60, "")</f>
        <v/>
      </c>
    </row>
    <row r="8806" spans="1:19" x14ac:dyDescent="0.2">
      <c r="A8806" s="12">
        <f t="shared" ref="A8806:C8806" si="1445">A8805</f>
        <v>46036</v>
      </c>
      <c r="B8806" s="5" t="str">
        <f t="shared" si="1445"/>
        <v>Northern Cardinal</v>
      </c>
      <c r="C8806" s="6">
        <f t="shared" si="1445"/>
        <v>0.74930555555555556</v>
      </c>
      <c r="D8806" s="5"/>
      <c r="E8806" s="5"/>
      <c r="F8806" s="5" t="s">
        <v>9</v>
      </c>
      <c r="G8806" s="15" t="s">
        <v>8</v>
      </c>
      <c r="H8806" s="24">
        <f t="shared" si="1412"/>
        <v>0</v>
      </c>
      <c r="I8806" s="24" cm="1">
        <f t="array" ref="I8806">IFERROR(IF($B8806=I$1, ($A8806+$C8806) - MAX(IF($B$2:$B8805=$B8806, $A$2:$A8805+$C$2:$C8805)), "")*24*60, "")</f>
        <v>0</v>
      </c>
      <c r="J8806" s="24" t="str" cm="1">
        <f t="array" ref="J8806">IFERROR(IF($B8806=J$1, ($A8806+$C8806) - MAX(IF($B$2:$B8805=$B8806, $A$2:$A8805+$C$2:$C8805)), "")*24*60, "")</f>
        <v/>
      </c>
      <c r="K8806" s="24" t="str" cm="1">
        <f t="array" ref="K8806">IFERROR(IF($B8806=K$1, ($A8806+$C8806) - MAX(IF($B$2:$B8805=$B8806, $A$2:$A8805+$C$2:$C8805)), "")*24*60, "")</f>
        <v/>
      </c>
      <c r="L8806" s="24" t="str" cm="1">
        <f t="array" ref="L8806">IFERROR(IF($B8806=L$1, ($A8806+$C8806) - MAX(IF($B$2:$B8805=$B8806, $A$2:$A8805+$C$2:$C8805)), "")*24*60, "")</f>
        <v/>
      </c>
      <c r="M8806" s="24" t="str" cm="1">
        <f t="array" ref="M8806">IFERROR(IF($B8806=M$1, ($A8806+$C8806) - MAX(IF($B$2:$B8805=$B8806, $A$2:$A8805+$C$2:$C8805)), "")*24*60, "")</f>
        <v/>
      </c>
      <c r="N8806" s="24" t="str" cm="1">
        <f t="array" ref="N8806">IFERROR(IF($B8806=N$1, ($A8806+$C8806) - MAX(IF($B$2:$B8805=$B8806, $A$2:$A8805+$C$2:$C8805)), "")*24*60, "")</f>
        <v/>
      </c>
      <c r="O8806" s="24" t="str" cm="1">
        <f t="array" ref="O8806">IFERROR(IF($B8806=O$1, ($A8806+$C8806) - MAX(IF($B$2:$B8805=$B8806, $A$2:$A8805+$C$2:$C8805)), "")*24*60, "")</f>
        <v/>
      </c>
      <c r="P8806" s="24" t="str" cm="1">
        <f t="array" ref="P8806">IFERROR(IF($B8806=P$1, ($A8806+$C8806) - MAX(IF($B$2:$B8805=$B8806, $A$2:$A8805+$C$2:$C8805)), "")*24*60, "")</f>
        <v/>
      </c>
      <c r="Q8806" s="24" t="str" cm="1">
        <f t="array" ref="Q8806">IFERROR(IF($B8806=Q$1, ($A8806+$C8806) - MAX(IF($B$2:$B8805=$B8806, $A$2:$A8805+$C$2:$C8805)), "")*24*60, "")</f>
        <v/>
      </c>
      <c r="R8806" s="24" t="str" cm="1">
        <f t="array" ref="R8806">IFERROR(IF($B8806=R$1, ($A8806+$C8806) - MAX(IF($B$2:$B8805=$B8806, $A$2:$A8805+$C$2:$C8805)), "")*24*60, "")</f>
        <v/>
      </c>
      <c r="S8806" s="24" t="str" cm="1">
        <f t="array" ref="S8806">IFERROR(IF($B8806=S$1, ($A8806+$C8806) - MAX(IF($B$2:$B8805=$B8806, $A$2:$A8805+$C$2:$C8805)), "")*24*60, "")</f>
        <v/>
      </c>
    </row>
    <row r="8807" spans="1:19" x14ac:dyDescent="0.2">
      <c r="A8807" s="12">
        <f t="shared" ref="A8807:C8807" si="1446">A8806</f>
        <v>46036</v>
      </c>
      <c r="B8807" s="5" t="str">
        <f t="shared" si="1446"/>
        <v>Northern Cardinal</v>
      </c>
      <c r="C8807" s="6">
        <f t="shared" si="1446"/>
        <v>0.74930555555555556</v>
      </c>
      <c r="D8807" s="5"/>
      <c r="E8807" s="5"/>
      <c r="F8807" s="5" t="s">
        <v>9</v>
      </c>
      <c r="G8807" s="15" t="s">
        <v>8</v>
      </c>
      <c r="H8807" s="24">
        <f t="shared" si="1412"/>
        <v>0</v>
      </c>
      <c r="I8807" s="24" cm="1">
        <f t="array" ref="I8807">IFERROR(IF($B8807=I$1, ($A8807+$C8807) - MAX(IF($B$2:$B8806=$B8807, $A$2:$A8806+$C$2:$C8806)), "")*24*60, "")</f>
        <v>0</v>
      </c>
      <c r="J8807" s="24" t="str" cm="1">
        <f t="array" ref="J8807">IFERROR(IF($B8807=J$1, ($A8807+$C8807) - MAX(IF($B$2:$B8806=$B8807, $A$2:$A8806+$C$2:$C8806)), "")*24*60, "")</f>
        <v/>
      </c>
      <c r="K8807" s="24" t="str" cm="1">
        <f t="array" ref="K8807">IFERROR(IF($B8807=K$1, ($A8807+$C8807) - MAX(IF($B$2:$B8806=$B8807, $A$2:$A8806+$C$2:$C8806)), "")*24*60, "")</f>
        <v/>
      </c>
      <c r="L8807" s="24" t="str" cm="1">
        <f t="array" ref="L8807">IFERROR(IF($B8807=L$1, ($A8807+$C8807) - MAX(IF($B$2:$B8806=$B8807, $A$2:$A8806+$C$2:$C8806)), "")*24*60, "")</f>
        <v/>
      </c>
      <c r="M8807" s="24" t="str" cm="1">
        <f t="array" ref="M8807">IFERROR(IF($B8807=M$1, ($A8807+$C8807) - MAX(IF($B$2:$B8806=$B8807, $A$2:$A8806+$C$2:$C8806)), "")*24*60, "")</f>
        <v/>
      </c>
      <c r="N8807" s="24" t="str" cm="1">
        <f t="array" ref="N8807">IFERROR(IF($B8807=N$1, ($A8807+$C8807) - MAX(IF($B$2:$B8806=$B8807, $A$2:$A8806+$C$2:$C8806)), "")*24*60, "")</f>
        <v/>
      </c>
      <c r="O8807" s="24" t="str" cm="1">
        <f t="array" ref="O8807">IFERROR(IF($B8807=O$1, ($A8807+$C8807) - MAX(IF($B$2:$B8806=$B8807, $A$2:$A8806+$C$2:$C8806)), "")*24*60, "")</f>
        <v/>
      </c>
      <c r="P8807" s="24" t="str" cm="1">
        <f t="array" ref="P8807">IFERROR(IF($B8807=P$1, ($A8807+$C8807) - MAX(IF($B$2:$B8806=$B8807, $A$2:$A8806+$C$2:$C8806)), "")*24*60, "")</f>
        <v/>
      </c>
      <c r="Q8807" s="24" t="str" cm="1">
        <f t="array" ref="Q8807">IFERROR(IF($B8807=Q$1, ($A8807+$C8807) - MAX(IF($B$2:$B8806=$B8807, $A$2:$A8806+$C$2:$C8806)), "")*24*60, "")</f>
        <v/>
      </c>
      <c r="R8807" s="24" t="str" cm="1">
        <f t="array" ref="R8807">IFERROR(IF($B8807=R$1, ($A8807+$C8807) - MAX(IF($B$2:$B8806=$B8807, $A$2:$A8806+$C$2:$C8806)), "")*24*60, "")</f>
        <v/>
      </c>
      <c r="S8807" s="24" t="str" cm="1">
        <f t="array" ref="S8807">IFERROR(IF($B8807=S$1, ($A8807+$C8807) - MAX(IF($B$2:$B8806=$B8807, $A$2:$A8806+$C$2:$C8806)), "")*24*60, "")</f>
        <v/>
      </c>
    </row>
    <row r="8808" spans="1:19" x14ac:dyDescent="0.2">
      <c r="A8808" s="12">
        <f t="shared" ref="A8808:C8808" si="1447">A8807</f>
        <v>46036</v>
      </c>
      <c r="B8808" s="5" t="str">
        <f t="shared" si="1447"/>
        <v>Northern Cardinal</v>
      </c>
      <c r="C8808" s="6">
        <f t="shared" si="1447"/>
        <v>0.74930555555555556</v>
      </c>
      <c r="D8808" s="5"/>
      <c r="E8808" s="5"/>
      <c r="F8808" s="5" t="s">
        <v>9</v>
      </c>
      <c r="G8808" s="15" t="s">
        <v>8</v>
      </c>
      <c r="H8808" s="24">
        <f t="shared" si="1412"/>
        <v>0</v>
      </c>
      <c r="I8808" s="24" cm="1">
        <f t="array" ref="I8808">IFERROR(IF($B8808=I$1, ($A8808+$C8808) - MAX(IF($B$2:$B8807=$B8808, $A$2:$A8807+$C$2:$C8807)), "")*24*60, "")</f>
        <v>0</v>
      </c>
      <c r="J8808" s="24" t="str" cm="1">
        <f t="array" ref="J8808">IFERROR(IF($B8808=J$1, ($A8808+$C8808) - MAX(IF($B$2:$B8807=$B8808, $A$2:$A8807+$C$2:$C8807)), "")*24*60, "")</f>
        <v/>
      </c>
      <c r="K8808" s="24" t="str" cm="1">
        <f t="array" ref="K8808">IFERROR(IF($B8808=K$1, ($A8808+$C8808) - MAX(IF($B$2:$B8807=$B8808, $A$2:$A8807+$C$2:$C8807)), "")*24*60, "")</f>
        <v/>
      </c>
      <c r="L8808" s="24" t="str" cm="1">
        <f t="array" ref="L8808">IFERROR(IF($B8808=L$1, ($A8808+$C8808) - MAX(IF($B$2:$B8807=$B8808, $A$2:$A8807+$C$2:$C8807)), "")*24*60, "")</f>
        <v/>
      </c>
      <c r="M8808" s="24" t="str" cm="1">
        <f t="array" ref="M8808">IFERROR(IF($B8808=M$1, ($A8808+$C8808) - MAX(IF($B$2:$B8807=$B8808, $A$2:$A8807+$C$2:$C8807)), "")*24*60, "")</f>
        <v/>
      </c>
      <c r="N8808" s="24" t="str" cm="1">
        <f t="array" ref="N8808">IFERROR(IF($B8808=N$1, ($A8808+$C8808) - MAX(IF($B$2:$B8807=$B8808, $A$2:$A8807+$C$2:$C8807)), "")*24*60, "")</f>
        <v/>
      </c>
      <c r="O8808" s="24" t="str" cm="1">
        <f t="array" ref="O8808">IFERROR(IF($B8808=O$1, ($A8808+$C8808) - MAX(IF($B$2:$B8807=$B8808, $A$2:$A8807+$C$2:$C8807)), "")*24*60, "")</f>
        <v/>
      </c>
      <c r="P8808" s="24" t="str" cm="1">
        <f t="array" ref="P8808">IFERROR(IF($B8808=P$1, ($A8808+$C8808) - MAX(IF($B$2:$B8807=$B8808, $A$2:$A8807+$C$2:$C8807)), "")*24*60, "")</f>
        <v/>
      </c>
      <c r="Q8808" s="24" t="str" cm="1">
        <f t="array" ref="Q8808">IFERROR(IF($B8808=Q$1, ($A8808+$C8808) - MAX(IF($B$2:$B8807=$B8808, $A$2:$A8807+$C$2:$C8807)), "")*24*60, "")</f>
        <v/>
      </c>
      <c r="R8808" s="24" t="str" cm="1">
        <f t="array" ref="R8808">IFERROR(IF($B8808=R$1, ($A8808+$C8808) - MAX(IF($B$2:$B8807=$B8808, $A$2:$A8807+$C$2:$C8807)), "")*24*60, "")</f>
        <v/>
      </c>
      <c r="S8808" s="24" t="str" cm="1">
        <f t="array" ref="S8808">IFERROR(IF($B8808=S$1, ($A8808+$C8808) - MAX(IF($B$2:$B8807=$B8808, $A$2:$A8807+$C$2:$C8807)), "")*24*60, "")</f>
        <v/>
      </c>
    </row>
    <row r="8809" spans="1:19" x14ac:dyDescent="0.2">
      <c r="A8809" s="12">
        <f t="shared" ref="A8809:C8809" si="1448">A8808</f>
        <v>46036</v>
      </c>
      <c r="B8809" s="5" t="str">
        <f t="shared" si="1448"/>
        <v>Northern Cardinal</v>
      </c>
      <c r="C8809" s="6">
        <f t="shared" si="1448"/>
        <v>0.74930555555555556</v>
      </c>
      <c r="D8809" s="5"/>
      <c r="E8809" s="5"/>
      <c r="F8809" s="5" t="s">
        <v>9</v>
      </c>
      <c r="G8809" s="15" t="s">
        <v>8</v>
      </c>
      <c r="H8809" s="24">
        <f t="shared" si="1412"/>
        <v>0</v>
      </c>
      <c r="I8809" s="24" cm="1">
        <f t="array" ref="I8809">IFERROR(IF($B8809=I$1, ($A8809+$C8809) - MAX(IF($B$2:$B8808=$B8809, $A$2:$A8808+$C$2:$C8808)), "")*24*60, "")</f>
        <v>0</v>
      </c>
      <c r="J8809" s="24" t="str" cm="1">
        <f t="array" ref="J8809">IFERROR(IF($B8809=J$1, ($A8809+$C8809) - MAX(IF($B$2:$B8808=$B8809, $A$2:$A8808+$C$2:$C8808)), "")*24*60, "")</f>
        <v/>
      </c>
      <c r="K8809" s="24" t="str" cm="1">
        <f t="array" ref="K8809">IFERROR(IF($B8809=K$1, ($A8809+$C8809) - MAX(IF($B$2:$B8808=$B8809, $A$2:$A8808+$C$2:$C8808)), "")*24*60, "")</f>
        <v/>
      </c>
      <c r="L8809" s="24" t="str" cm="1">
        <f t="array" ref="L8809">IFERROR(IF($B8809=L$1, ($A8809+$C8809) - MAX(IF($B$2:$B8808=$B8809, $A$2:$A8808+$C$2:$C8808)), "")*24*60, "")</f>
        <v/>
      </c>
      <c r="M8809" s="24" t="str" cm="1">
        <f t="array" ref="M8809">IFERROR(IF($B8809=M$1, ($A8809+$C8809) - MAX(IF($B$2:$B8808=$B8809, $A$2:$A8808+$C$2:$C8808)), "")*24*60, "")</f>
        <v/>
      </c>
      <c r="N8809" s="24" t="str" cm="1">
        <f t="array" ref="N8809">IFERROR(IF($B8809=N$1, ($A8809+$C8809) - MAX(IF($B$2:$B8808=$B8809, $A$2:$A8808+$C$2:$C8808)), "")*24*60, "")</f>
        <v/>
      </c>
      <c r="O8809" s="24" t="str" cm="1">
        <f t="array" ref="O8809">IFERROR(IF($B8809=O$1, ($A8809+$C8809) - MAX(IF($B$2:$B8808=$B8809, $A$2:$A8808+$C$2:$C8808)), "")*24*60, "")</f>
        <v/>
      </c>
      <c r="P8809" s="24" t="str" cm="1">
        <f t="array" ref="P8809">IFERROR(IF($B8809=P$1, ($A8809+$C8809) - MAX(IF($B$2:$B8808=$B8809, $A$2:$A8808+$C$2:$C8808)), "")*24*60, "")</f>
        <v/>
      </c>
      <c r="Q8809" s="24" t="str" cm="1">
        <f t="array" ref="Q8809">IFERROR(IF($B8809=Q$1, ($A8809+$C8809) - MAX(IF($B$2:$B8808=$B8809, $A$2:$A8808+$C$2:$C8808)), "")*24*60, "")</f>
        <v/>
      </c>
      <c r="R8809" s="24" t="str" cm="1">
        <f t="array" ref="R8809">IFERROR(IF($B8809=R$1, ($A8809+$C8809) - MAX(IF($B$2:$B8808=$B8809, $A$2:$A8808+$C$2:$C8808)), "")*24*60, "")</f>
        <v/>
      </c>
      <c r="S8809" s="24" t="str" cm="1">
        <f t="array" ref="S8809">IFERROR(IF($B8809=S$1, ($A8809+$C8809) - MAX(IF($B$2:$B8808=$B8809, $A$2:$A8808+$C$2:$C8808)), "")*24*60, "")</f>
        <v/>
      </c>
    </row>
    <row r="8810" spans="1:19" x14ac:dyDescent="0.2">
      <c r="A8810" s="12">
        <f t="shared" ref="A8810:C8810" si="1449">A8809</f>
        <v>46036</v>
      </c>
      <c r="B8810" s="5" t="str">
        <f t="shared" si="1449"/>
        <v>Northern Cardinal</v>
      </c>
      <c r="C8810" s="6">
        <f t="shared" si="1449"/>
        <v>0.74930555555555556</v>
      </c>
      <c r="D8810" s="5"/>
      <c r="E8810" s="5"/>
      <c r="F8810" s="5" t="s">
        <v>9</v>
      </c>
      <c r="G8810" s="15" t="s">
        <v>8</v>
      </c>
      <c r="H8810" s="24">
        <f t="shared" si="1412"/>
        <v>0</v>
      </c>
      <c r="I8810" s="24" cm="1">
        <f t="array" ref="I8810">IFERROR(IF($B8810=I$1, ($A8810+$C8810) - MAX(IF($B$2:$B8809=$B8810, $A$2:$A8809+$C$2:$C8809)), "")*24*60, "")</f>
        <v>0</v>
      </c>
      <c r="J8810" s="24" t="str" cm="1">
        <f t="array" ref="J8810">IFERROR(IF($B8810=J$1, ($A8810+$C8810) - MAX(IF($B$2:$B8809=$B8810, $A$2:$A8809+$C$2:$C8809)), "")*24*60, "")</f>
        <v/>
      </c>
      <c r="K8810" s="24" t="str" cm="1">
        <f t="array" ref="K8810">IFERROR(IF($B8810=K$1, ($A8810+$C8810) - MAX(IF($B$2:$B8809=$B8810, $A$2:$A8809+$C$2:$C8809)), "")*24*60, "")</f>
        <v/>
      </c>
      <c r="L8810" s="24" t="str" cm="1">
        <f t="array" ref="L8810">IFERROR(IF($B8810=L$1, ($A8810+$C8810) - MAX(IF($B$2:$B8809=$B8810, $A$2:$A8809+$C$2:$C8809)), "")*24*60, "")</f>
        <v/>
      </c>
      <c r="M8810" s="24" t="str" cm="1">
        <f t="array" ref="M8810">IFERROR(IF($B8810=M$1, ($A8810+$C8810) - MAX(IF($B$2:$B8809=$B8810, $A$2:$A8809+$C$2:$C8809)), "")*24*60, "")</f>
        <v/>
      </c>
      <c r="N8810" s="24" t="str" cm="1">
        <f t="array" ref="N8810">IFERROR(IF($B8810=N$1, ($A8810+$C8810) - MAX(IF($B$2:$B8809=$B8810, $A$2:$A8809+$C$2:$C8809)), "")*24*60, "")</f>
        <v/>
      </c>
      <c r="O8810" s="24" t="str" cm="1">
        <f t="array" ref="O8810">IFERROR(IF($B8810=O$1, ($A8810+$C8810) - MAX(IF($B$2:$B8809=$B8810, $A$2:$A8809+$C$2:$C8809)), "")*24*60, "")</f>
        <v/>
      </c>
      <c r="P8810" s="24" t="str" cm="1">
        <f t="array" ref="P8810">IFERROR(IF($B8810=P$1, ($A8810+$C8810) - MAX(IF($B$2:$B8809=$B8810, $A$2:$A8809+$C$2:$C8809)), "")*24*60, "")</f>
        <v/>
      </c>
      <c r="Q8810" s="24" t="str" cm="1">
        <f t="array" ref="Q8810">IFERROR(IF($B8810=Q$1, ($A8810+$C8810) - MAX(IF($B$2:$B8809=$B8810, $A$2:$A8809+$C$2:$C8809)), "")*24*60, "")</f>
        <v/>
      </c>
      <c r="R8810" s="24" t="str" cm="1">
        <f t="array" ref="R8810">IFERROR(IF($B8810=R$1, ($A8810+$C8810) - MAX(IF($B$2:$B8809=$B8810, $A$2:$A8809+$C$2:$C8809)), "")*24*60, "")</f>
        <v/>
      </c>
      <c r="S8810" s="24" t="str" cm="1">
        <f t="array" ref="S8810">IFERROR(IF($B8810=S$1, ($A8810+$C8810) - MAX(IF($B$2:$B8809=$B8810, $A$2:$A8809+$C$2:$C8809)), "")*24*60, "")</f>
        <v/>
      </c>
    </row>
    <row r="8811" spans="1:19" x14ac:dyDescent="0.2">
      <c r="A8811" s="12">
        <f t="shared" ref="A8811:C8811" si="1450">A8810</f>
        <v>46036</v>
      </c>
      <c r="B8811" s="5" t="str">
        <f t="shared" si="1450"/>
        <v>Northern Cardinal</v>
      </c>
      <c r="C8811" s="6">
        <f t="shared" si="1450"/>
        <v>0.74930555555555556</v>
      </c>
      <c r="D8811" s="5"/>
      <c r="E8811" s="5"/>
      <c r="F8811" s="5" t="s">
        <v>9</v>
      </c>
      <c r="G8811" s="15" t="s">
        <v>8</v>
      </c>
      <c r="H8811" s="24">
        <f t="shared" si="1412"/>
        <v>0</v>
      </c>
      <c r="I8811" s="24" cm="1">
        <f t="array" ref="I8811">IFERROR(IF($B8811=I$1, ($A8811+$C8811) - MAX(IF($B$2:$B8810=$B8811, $A$2:$A8810+$C$2:$C8810)), "")*24*60, "")</f>
        <v>0</v>
      </c>
      <c r="J8811" s="24" t="str" cm="1">
        <f t="array" ref="J8811">IFERROR(IF($B8811=J$1, ($A8811+$C8811) - MAX(IF($B$2:$B8810=$B8811, $A$2:$A8810+$C$2:$C8810)), "")*24*60, "")</f>
        <v/>
      </c>
      <c r="K8811" s="24" t="str" cm="1">
        <f t="array" ref="K8811">IFERROR(IF($B8811=K$1, ($A8811+$C8811) - MAX(IF($B$2:$B8810=$B8811, $A$2:$A8810+$C$2:$C8810)), "")*24*60, "")</f>
        <v/>
      </c>
      <c r="L8811" s="24" t="str" cm="1">
        <f t="array" ref="L8811">IFERROR(IF($B8811=L$1, ($A8811+$C8811) - MAX(IF($B$2:$B8810=$B8811, $A$2:$A8810+$C$2:$C8810)), "")*24*60, "")</f>
        <v/>
      </c>
      <c r="M8811" s="24" t="str" cm="1">
        <f t="array" ref="M8811">IFERROR(IF($B8811=M$1, ($A8811+$C8811) - MAX(IF($B$2:$B8810=$B8811, $A$2:$A8810+$C$2:$C8810)), "")*24*60, "")</f>
        <v/>
      </c>
      <c r="N8811" s="24" t="str" cm="1">
        <f t="array" ref="N8811">IFERROR(IF($B8811=N$1, ($A8811+$C8811) - MAX(IF($B$2:$B8810=$B8811, $A$2:$A8810+$C$2:$C8810)), "")*24*60, "")</f>
        <v/>
      </c>
      <c r="O8811" s="24" t="str" cm="1">
        <f t="array" ref="O8811">IFERROR(IF($B8811=O$1, ($A8811+$C8811) - MAX(IF($B$2:$B8810=$B8811, $A$2:$A8810+$C$2:$C8810)), "")*24*60, "")</f>
        <v/>
      </c>
      <c r="P8811" s="24" t="str" cm="1">
        <f t="array" ref="P8811">IFERROR(IF($B8811=P$1, ($A8811+$C8811) - MAX(IF($B$2:$B8810=$B8811, $A$2:$A8810+$C$2:$C8810)), "")*24*60, "")</f>
        <v/>
      </c>
      <c r="Q8811" s="24" t="str" cm="1">
        <f t="array" ref="Q8811">IFERROR(IF($B8811=Q$1, ($A8811+$C8811) - MAX(IF($B$2:$B8810=$B8811, $A$2:$A8810+$C$2:$C8810)), "")*24*60, "")</f>
        <v/>
      </c>
      <c r="R8811" s="24" t="str" cm="1">
        <f t="array" ref="R8811">IFERROR(IF($B8811=R$1, ($A8811+$C8811) - MAX(IF($B$2:$B8810=$B8811, $A$2:$A8810+$C$2:$C8810)), "")*24*60, "")</f>
        <v/>
      </c>
      <c r="S8811" s="24" t="str" cm="1">
        <f t="array" ref="S8811">IFERROR(IF($B8811=S$1, ($A8811+$C8811) - MAX(IF($B$2:$B8810=$B8811, $A$2:$A8810+$C$2:$C8810)), "")*24*60, "")</f>
        <v/>
      </c>
    </row>
    <row r="8812" spans="1:19" x14ac:dyDescent="0.2">
      <c r="A8812" s="12">
        <f t="shared" ref="A8812:C8812" si="1451">A8811</f>
        <v>46036</v>
      </c>
      <c r="B8812" s="5" t="str">
        <f t="shared" si="1451"/>
        <v>Northern Cardinal</v>
      </c>
      <c r="C8812" s="6">
        <f t="shared" si="1451"/>
        <v>0.74930555555555556</v>
      </c>
      <c r="D8812" s="5"/>
      <c r="E8812" s="5"/>
      <c r="F8812" s="5" t="s">
        <v>9</v>
      </c>
      <c r="G8812" s="15" t="s">
        <v>8</v>
      </c>
      <c r="H8812" s="24">
        <f t="shared" si="1412"/>
        <v>0</v>
      </c>
      <c r="I8812" s="24" cm="1">
        <f t="array" ref="I8812">IFERROR(IF($B8812=I$1, ($A8812+$C8812) - MAX(IF($B$2:$B8811=$B8812, $A$2:$A8811+$C$2:$C8811)), "")*24*60, "")</f>
        <v>0</v>
      </c>
      <c r="J8812" s="24" t="str" cm="1">
        <f t="array" ref="J8812">IFERROR(IF($B8812=J$1, ($A8812+$C8812) - MAX(IF($B$2:$B8811=$B8812, $A$2:$A8811+$C$2:$C8811)), "")*24*60, "")</f>
        <v/>
      </c>
      <c r="K8812" s="24" t="str" cm="1">
        <f t="array" ref="K8812">IFERROR(IF($B8812=K$1, ($A8812+$C8812) - MAX(IF($B$2:$B8811=$B8812, $A$2:$A8811+$C$2:$C8811)), "")*24*60, "")</f>
        <v/>
      </c>
      <c r="L8812" s="24" t="str" cm="1">
        <f t="array" ref="L8812">IFERROR(IF($B8812=L$1, ($A8812+$C8812) - MAX(IF($B$2:$B8811=$B8812, $A$2:$A8811+$C$2:$C8811)), "")*24*60, "")</f>
        <v/>
      </c>
      <c r="M8812" s="24" t="str" cm="1">
        <f t="array" ref="M8812">IFERROR(IF($B8812=M$1, ($A8812+$C8812) - MAX(IF($B$2:$B8811=$B8812, $A$2:$A8811+$C$2:$C8811)), "")*24*60, "")</f>
        <v/>
      </c>
      <c r="N8812" s="24" t="str" cm="1">
        <f t="array" ref="N8812">IFERROR(IF($B8812=N$1, ($A8812+$C8812) - MAX(IF($B$2:$B8811=$B8812, $A$2:$A8811+$C$2:$C8811)), "")*24*60, "")</f>
        <v/>
      </c>
      <c r="O8812" s="24" t="str" cm="1">
        <f t="array" ref="O8812">IFERROR(IF($B8812=O$1, ($A8812+$C8812) - MAX(IF($B$2:$B8811=$B8812, $A$2:$A8811+$C$2:$C8811)), "")*24*60, "")</f>
        <v/>
      </c>
      <c r="P8812" s="24" t="str" cm="1">
        <f t="array" ref="P8812">IFERROR(IF($B8812=P$1, ($A8812+$C8812) - MAX(IF($B$2:$B8811=$B8812, $A$2:$A8811+$C$2:$C8811)), "")*24*60, "")</f>
        <v/>
      </c>
      <c r="Q8812" s="24" t="str" cm="1">
        <f t="array" ref="Q8812">IFERROR(IF($B8812=Q$1, ($A8812+$C8812) - MAX(IF($B$2:$B8811=$B8812, $A$2:$A8811+$C$2:$C8811)), "")*24*60, "")</f>
        <v/>
      </c>
      <c r="R8812" s="24" t="str" cm="1">
        <f t="array" ref="R8812">IFERROR(IF($B8812=R$1, ($A8812+$C8812) - MAX(IF($B$2:$B8811=$B8812, $A$2:$A8811+$C$2:$C8811)), "")*24*60, "")</f>
        <v/>
      </c>
      <c r="S8812" s="24" t="str" cm="1">
        <f t="array" ref="S8812">IFERROR(IF($B8812=S$1, ($A8812+$C8812) - MAX(IF($B$2:$B8811=$B8812, $A$2:$A8811+$C$2:$C8811)), "")*24*60, "")</f>
        <v/>
      </c>
    </row>
    <row r="8813" spans="1:19" x14ac:dyDescent="0.2">
      <c r="A8813" s="12">
        <f t="shared" ref="A8813:C8813" si="1452">A8812</f>
        <v>46036</v>
      </c>
      <c r="B8813" s="5" t="str">
        <f t="shared" si="1452"/>
        <v>Northern Cardinal</v>
      </c>
      <c r="C8813" s="6">
        <f t="shared" si="1452"/>
        <v>0.74930555555555556</v>
      </c>
      <c r="D8813" s="5"/>
      <c r="E8813" s="5"/>
      <c r="F8813" s="5" t="s">
        <v>9</v>
      </c>
      <c r="G8813" s="15" t="s">
        <v>8</v>
      </c>
      <c r="H8813" s="24">
        <f t="shared" si="1412"/>
        <v>0</v>
      </c>
      <c r="I8813" s="24" cm="1">
        <f t="array" ref="I8813">IFERROR(IF($B8813=I$1, ($A8813+$C8813) - MAX(IF($B$2:$B8812=$B8813, $A$2:$A8812+$C$2:$C8812)), "")*24*60, "")</f>
        <v>0</v>
      </c>
      <c r="J8813" s="24" t="str" cm="1">
        <f t="array" ref="J8813">IFERROR(IF($B8813=J$1, ($A8813+$C8813) - MAX(IF($B$2:$B8812=$B8813, $A$2:$A8812+$C$2:$C8812)), "")*24*60, "")</f>
        <v/>
      </c>
      <c r="K8813" s="24" t="str" cm="1">
        <f t="array" ref="K8813">IFERROR(IF($B8813=K$1, ($A8813+$C8813) - MAX(IF($B$2:$B8812=$B8813, $A$2:$A8812+$C$2:$C8812)), "")*24*60, "")</f>
        <v/>
      </c>
      <c r="L8813" s="24" t="str" cm="1">
        <f t="array" ref="L8813">IFERROR(IF($B8813=L$1, ($A8813+$C8813) - MAX(IF($B$2:$B8812=$B8813, $A$2:$A8812+$C$2:$C8812)), "")*24*60, "")</f>
        <v/>
      </c>
      <c r="M8813" s="24" t="str" cm="1">
        <f t="array" ref="M8813">IFERROR(IF($B8813=M$1, ($A8813+$C8813) - MAX(IF($B$2:$B8812=$B8813, $A$2:$A8812+$C$2:$C8812)), "")*24*60, "")</f>
        <v/>
      </c>
      <c r="N8813" s="24" t="str" cm="1">
        <f t="array" ref="N8813">IFERROR(IF($B8813=N$1, ($A8813+$C8813) - MAX(IF($B$2:$B8812=$B8813, $A$2:$A8812+$C$2:$C8812)), "")*24*60, "")</f>
        <v/>
      </c>
      <c r="O8813" s="24" t="str" cm="1">
        <f t="array" ref="O8813">IFERROR(IF($B8813=O$1, ($A8813+$C8813) - MAX(IF($B$2:$B8812=$B8813, $A$2:$A8812+$C$2:$C8812)), "")*24*60, "")</f>
        <v/>
      </c>
      <c r="P8813" s="24" t="str" cm="1">
        <f t="array" ref="P8813">IFERROR(IF($B8813=P$1, ($A8813+$C8813) - MAX(IF($B$2:$B8812=$B8813, $A$2:$A8812+$C$2:$C8812)), "")*24*60, "")</f>
        <v/>
      </c>
      <c r="Q8813" s="24" t="str" cm="1">
        <f t="array" ref="Q8813">IFERROR(IF($B8813=Q$1, ($A8813+$C8813) - MAX(IF($B$2:$B8812=$B8813, $A$2:$A8812+$C$2:$C8812)), "")*24*60, "")</f>
        <v/>
      </c>
      <c r="R8813" s="24" t="str" cm="1">
        <f t="array" ref="R8813">IFERROR(IF($B8813=R$1, ($A8813+$C8813) - MAX(IF($B$2:$B8812=$B8813, $A$2:$A8812+$C$2:$C8812)), "")*24*60, "")</f>
        <v/>
      </c>
      <c r="S8813" s="24" t="str" cm="1">
        <f t="array" ref="S8813">IFERROR(IF($B8813=S$1, ($A8813+$C8813) - MAX(IF($B$2:$B8812=$B8813, $A$2:$A8812+$C$2:$C8812)), "")*24*60, "")</f>
        <v/>
      </c>
    </row>
    <row r="8814" spans="1:19" x14ac:dyDescent="0.2">
      <c r="A8814" s="12">
        <f t="shared" ref="A8814:C8814" si="1453">A8813</f>
        <v>46036</v>
      </c>
      <c r="B8814" s="5" t="str">
        <f t="shared" si="1453"/>
        <v>Northern Cardinal</v>
      </c>
      <c r="C8814" s="6">
        <f t="shared" si="1453"/>
        <v>0.74930555555555556</v>
      </c>
      <c r="D8814" s="5"/>
      <c r="E8814" s="5"/>
      <c r="F8814" s="5" t="s">
        <v>9</v>
      </c>
      <c r="G8814" s="15" t="s">
        <v>8</v>
      </c>
      <c r="H8814" s="24">
        <f t="shared" si="1412"/>
        <v>0</v>
      </c>
      <c r="I8814" s="24" cm="1">
        <f t="array" ref="I8814">IFERROR(IF($B8814=I$1, ($A8814+$C8814) - MAX(IF($B$2:$B8813=$B8814, $A$2:$A8813+$C$2:$C8813)), "")*24*60, "")</f>
        <v>0</v>
      </c>
      <c r="J8814" s="24" t="str" cm="1">
        <f t="array" ref="J8814">IFERROR(IF($B8814=J$1, ($A8814+$C8814) - MAX(IF($B$2:$B8813=$B8814, $A$2:$A8813+$C$2:$C8813)), "")*24*60, "")</f>
        <v/>
      </c>
      <c r="K8814" s="24" t="str" cm="1">
        <f t="array" ref="K8814">IFERROR(IF($B8814=K$1, ($A8814+$C8814) - MAX(IF($B$2:$B8813=$B8814, $A$2:$A8813+$C$2:$C8813)), "")*24*60, "")</f>
        <v/>
      </c>
      <c r="L8814" s="24" t="str" cm="1">
        <f t="array" ref="L8814">IFERROR(IF($B8814=L$1, ($A8814+$C8814) - MAX(IF($B$2:$B8813=$B8814, $A$2:$A8813+$C$2:$C8813)), "")*24*60, "")</f>
        <v/>
      </c>
      <c r="M8814" s="24" t="str" cm="1">
        <f t="array" ref="M8814">IFERROR(IF($B8814=M$1, ($A8814+$C8814) - MAX(IF($B$2:$B8813=$B8814, $A$2:$A8813+$C$2:$C8813)), "")*24*60, "")</f>
        <v/>
      </c>
      <c r="N8814" s="24" t="str" cm="1">
        <f t="array" ref="N8814">IFERROR(IF($B8814=N$1, ($A8814+$C8814) - MAX(IF($B$2:$B8813=$B8814, $A$2:$A8813+$C$2:$C8813)), "")*24*60, "")</f>
        <v/>
      </c>
      <c r="O8814" s="24" t="str" cm="1">
        <f t="array" ref="O8814">IFERROR(IF($B8814=O$1, ($A8814+$C8814) - MAX(IF($B$2:$B8813=$B8814, $A$2:$A8813+$C$2:$C8813)), "")*24*60, "")</f>
        <v/>
      </c>
      <c r="P8814" s="24" t="str" cm="1">
        <f t="array" ref="P8814">IFERROR(IF($B8814=P$1, ($A8814+$C8814) - MAX(IF($B$2:$B8813=$B8814, $A$2:$A8813+$C$2:$C8813)), "")*24*60, "")</f>
        <v/>
      </c>
      <c r="Q8814" s="24" t="str" cm="1">
        <f t="array" ref="Q8814">IFERROR(IF($B8814=Q$1, ($A8814+$C8814) - MAX(IF($B$2:$B8813=$B8814, $A$2:$A8813+$C$2:$C8813)), "")*24*60, "")</f>
        <v/>
      </c>
      <c r="R8814" s="24" t="str" cm="1">
        <f t="array" ref="R8814">IFERROR(IF($B8814=R$1, ($A8814+$C8814) - MAX(IF($B$2:$B8813=$B8814, $A$2:$A8813+$C$2:$C8813)), "")*24*60, "")</f>
        <v/>
      </c>
      <c r="S8814" s="24" t="str" cm="1">
        <f t="array" ref="S8814">IFERROR(IF($B8814=S$1, ($A8814+$C8814) - MAX(IF($B$2:$B8813=$B8814, $A$2:$A8813+$C$2:$C8813)), "")*24*60, "")</f>
        <v/>
      </c>
    </row>
    <row r="8815" spans="1:19" x14ac:dyDescent="0.2">
      <c r="A8815" s="12">
        <f t="shared" ref="A8815:C8815" si="1454">A8814</f>
        <v>46036</v>
      </c>
      <c r="B8815" s="5" t="str">
        <f t="shared" si="1454"/>
        <v>Northern Cardinal</v>
      </c>
      <c r="C8815" s="6">
        <f t="shared" si="1454"/>
        <v>0.74930555555555556</v>
      </c>
      <c r="D8815" s="5"/>
      <c r="E8815" s="5"/>
      <c r="F8815" s="5" t="s">
        <v>9</v>
      </c>
      <c r="G8815" s="15" t="s">
        <v>8</v>
      </c>
      <c r="H8815" s="24">
        <f t="shared" si="1412"/>
        <v>0</v>
      </c>
      <c r="I8815" s="24" cm="1">
        <f t="array" ref="I8815">IFERROR(IF($B8815=I$1, ($A8815+$C8815) - MAX(IF($B$2:$B8814=$B8815, $A$2:$A8814+$C$2:$C8814)), "")*24*60, "")</f>
        <v>0</v>
      </c>
      <c r="J8815" s="24" t="str" cm="1">
        <f t="array" ref="J8815">IFERROR(IF($B8815=J$1, ($A8815+$C8815) - MAX(IF($B$2:$B8814=$B8815, $A$2:$A8814+$C$2:$C8814)), "")*24*60, "")</f>
        <v/>
      </c>
      <c r="K8815" s="24" t="str" cm="1">
        <f t="array" ref="K8815">IFERROR(IF($B8815=K$1, ($A8815+$C8815) - MAX(IF($B$2:$B8814=$B8815, $A$2:$A8814+$C$2:$C8814)), "")*24*60, "")</f>
        <v/>
      </c>
      <c r="L8815" s="24" t="str" cm="1">
        <f t="array" ref="L8815">IFERROR(IF($B8815=L$1, ($A8815+$C8815) - MAX(IF($B$2:$B8814=$B8815, $A$2:$A8814+$C$2:$C8814)), "")*24*60, "")</f>
        <v/>
      </c>
      <c r="M8815" s="24" t="str" cm="1">
        <f t="array" ref="M8815">IFERROR(IF($B8815=M$1, ($A8815+$C8815) - MAX(IF($B$2:$B8814=$B8815, $A$2:$A8814+$C$2:$C8814)), "")*24*60, "")</f>
        <v/>
      </c>
      <c r="N8815" s="24" t="str" cm="1">
        <f t="array" ref="N8815">IFERROR(IF($B8815=N$1, ($A8815+$C8815) - MAX(IF($B$2:$B8814=$B8815, $A$2:$A8814+$C$2:$C8814)), "")*24*60, "")</f>
        <v/>
      </c>
      <c r="O8815" s="24" t="str" cm="1">
        <f t="array" ref="O8815">IFERROR(IF($B8815=O$1, ($A8815+$C8815) - MAX(IF($B$2:$B8814=$B8815, $A$2:$A8814+$C$2:$C8814)), "")*24*60, "")</f>
        <v/>
      </c>
      <c r="P8815" s="24" t="str" cm="1">
        <f t="array" ref="P8815">IFERROR(IF($B8815=P$1, ($A8815+$C8815) - MAX(IF($B$2:$B8814=$B8815, $A$2:$A8814+$C$2:$C8814)), "")*24*60, "")</f>
        <v/>
      </c>
      <c r="Q8815" s="24" t="str" cm="1">
        <f t="array" ref="Q8815">IFERROR(IF($B8815=Q$1, ($A8815+$C8815) - MAX(IF($B$2:$B8814=$B8815, $A$2:$A8814+$C$2:$C8814)), "")*24*60, "")</f>
        <v/>
      </c>
      <c r="R8815" s="24" t="str" cm="1">
        <f t="array" ref="R8815">IFERROR(IF($B8815=R$1, ($A8815+$C8815) - MAX(IF($B$2:$B8814=$B8815, $A$2:$A8814+$C$2:$C8814)), "")*24*60, "")</f>
        <v/>
      </c>
      <c r="S8815" s="24" t="str" cm="1">
        <f t="array" ref="S8815">IFERROR(IF($B8815=S$1, ($A8815+$C8815) - MAX(IF($B$2:$B8814=$B8815, $A$2:$A8814+$C$2:$C8814)), "")*24*60, "")</f>
        <v/>
      </c>
    </row>
    <row r="8816" spans="1:19" x14ac:dyDescent="0.2">
      <c r="A8816" s="12">
        <f t="shared" ref="A8816:C8816" si="1455">A8815</f>
        <v>46036</v>
      </c>
      <c r="B8816" s="5" t="str">
        <f t="shared" si="1455"/>
        <v>Northern Cardinal</v>
      </c>
      <c r="C8816" s="6">
        <f t="shared" si="1455"/>
        <v>0.74930555555555556</v>
      </c>
      <c r="D8816" s="5"/>
      <c r="E8816" s="5"/>
      <c r="F8816" s="5" t="s">
        <v>9</v>
      </c>
      <c r="G8816" s="15" t="s">
        <v>8</v>
      </c>
      <c r="H8816" s="24">
        <f t="shared" si="1412"/>
        <v>0</v>
      </c>
      <c r="I8816" s="24" cm="1">
        <f t="array" ref="I8816">IFERROR(IF($B8816=I$1, ($A8816+$C8816) - MAX(IF($B$2:$B8815=$B8816, $A$2:$A8815+$C$2:$C8815)), "")*24*60, "")</f>
        <v>0</v>
      </c>
      <c r="J8816" s="24" t="str" cm="1">
        <f t="array" ref="J8816">IFERROR(IF($B8816=J$1, ($A8816+$C8816) - MAX(IF($B$2:$B8815=$B8816, $A$2:$A8815+$C$2:$C8815)), "")*24*60, "")</f>
        <v/>
      </c>
      <c r="K8816" s="24" t="str" cm="1">
        <f t="array" ref="K8816">IFERROR(IF($B8816=K$1, ($A8816+$C8816) - MAX(IF($B$2:$B8815=$B8816, $A$2:$A8815+$C$2:$C8815)), "")*24*60, "")</f>
        <v/>
      </c>
      <c r="L8816" s="24" t="str" cm="1">
        <f t="array" ref="L8816">IFERROR(IF($B8816=L$1, ($A8816+$C8816) - MAX(IF($B$2:$B8815=$B8816, $A$2:$A8815+$C$2:$C8815)), "")*24*60, "")</f>
        <v/>
      </c>
      <c r="M8816" s="24" t="str" cm="1">
        <f t="array" ref="M8816">IFERROR(IF($B8816=M$1, ($A8816+$C8816) - MAX(IF($B$2:$B8815=$B8816, $A$2:$A8815+$C$2:$C8815)), "")*24*60, "")</f>
        <v/>
      </c>
      <c r="N8816" s="24" t="str" cm="1">
        <f t="array" ref="N8816">IFERROR(IF($B8816=N$1, ($A8816+$C8816) - MAX(IF($B$2:$B8815=$B8816, $A$2:$A8815+$C$2:$C8815)), "")*24*60, "")</f>
        <v/>
      </c>
      <c r="O8816" s="24" t="str" cm="1">
        <f t="array" ref="O8816">IFERROR(IF($B8816=O$1, ($A8816+$C8816) - MAX(IF($B$2:$B8815=$B8816, $A$2:$A8815+$C$2:$C8815)), "")*24*60, "")</f>
        <v/>
      </c>
      <c r="P8816" s="24" t="str" cm="1">
        <f t="array" ref="P8816">IFERROR(IF($B8816=P$1, ($A8816+$C8816) - MAX(IF($B$2:$B8815=$B8816, $A$2:$A8815+$C$2:$C8815)), "")*24*60, "")</f>
        <v/>
      </c>
      <c r="Q8816" s="24" t="str" cm="1">
        <f t="array" ref="Q8816">IFERROR(IF($B8816=Q$1, ($A8816+$C8816) - MAX(IF($B$2:$B8815=$B8816, $A$2:$A8815+$C$2:$C8815)), "")*24*60, "")</f>
        <v/>
      </c>
      <c r="R8816" s="24" t="str" cm="1">
        <f t="array" ref="R8816">IFERROR(IF($B8816=R$1, ($A8816+$C8816) - MAX(IF($B$2:$B8815=$B8816, $A$2:$A8815+$C$2:$C8815)), "")*24*60, "")</f>
        <v/>
      </c>
      <c r="S8816" s="24" t="str" cm="1">
        <f t="array" ref="S8816">IFERROR(IF($B8816=S$1, ($A8816+$C8816) - MAX(IF($B$2:$B8815=$B8816, $A$2:$A8815+$C$2:$C8815)), "")*24*60, "")</f>
        <v/>
      </c>
    </row>
    <row r="8817" spans="1:19" x14ac:dyDescent="0.2">
      <c r="A8817" s="12">
        <f t="shared" ref="A8817:C8817" si="1456">A8816</f>
        <v>46036</v>
      </c>
      <c r="B8817" s="5" t="str">
        <f t="shared" si="1456"/>
        <v>Northern Cardinal</v>
      </c>
      <c r="C8817" s="6">
        <f t="shared" si="1456"/>
        <v>0.74930555555555556</v>
      </c>
      <c r="D8817" s="5"/>
      <c r="E8817" s="5"/>
      <c r="F8817" s="5" t="s">
        <v>9</v>
      </c>
      <c r="G8817" s="15" t="s">
        <v>8</v>
      </c>
      <c r="H8817" s="24">
        <f t="shared" si="1412"/>
        <v>0</v>
      </c>
      <c r="I8817" s="24" cm="1">
        <f t="array" ref="I8817">IFERROR(IF($B8817=I$1, ($A8817+$C8817) - MAX(IF($B$2:$B8816=$B8817, $A$2:$A8816+$C$2:$C8816)), "")*24*60, "")</f>
        <v>0</v>
      </c>
      <c r="J8817" s="24" t="str" cm="1">
        <f t="array" ref="J8817">IFERROR(IF($B8817=J$1, ($A8817+$C8817) - MAX(IF($B$2:$B8816=$B8817, $A$2:$A8816+$C$2:$C8816)), "")*24*60, "")</f>
        <v/>
      </c>
      <c r="K8817" s="24" t="str" cm="1">
        <f t="array" ref="K8817">IFERROR(IF($B8817=K$1, ($A8817+$C8817) - MAX(IF($B$2:$B8816=$B8817, $A$2:$A8816+$C$2:$C8816)), "")*24*60, "")</f>
        <v/>
      </c>
      <c r="L8817" s="24" t="str" cm="1">
        <f t="array" ref="L8817">IFERROR(IF($B8817=L$1, ($A8817+$C8817) - MAX(IF($B$2:$B8816=$B8817, $A$2:$A8816+$C$2:$C8816)), "")*24*60, "")</f>
        <v/>
      </c>
      <c r="M8817" s="24" t="str" cm="1">
        <f t="array" ref="M8817">IFERROR(IF($B8817=M$1, ($A8817+$C8817) - MAX(IF($B$2:$B8816=$B8817, $A$2:$A8816+$C$2:$C8816)), "")*24*60, "")</f>
        <v/>
      </c>
      <c r="N8817" s="24" t="str" cm="1">
        <f t="array" ref="N8817">IFERROR(IF($B8817=N$1, ($A8817+$C8817) - MAX(IF($B$2:$B8816=$B8817, $A$2:$A8816+$C$2:$C8816)), "")*24*60, "")</f>
        <v/>
      </c>
      <c r="O8817" s="24" t="str" cm="1">
        <f t="array" ref="O8817">IFERROR(IF($B8817=O$1, ($A8817+$C8817) - MAX(IF($B$2:$B8816=$B8817, $A$2:$A8816+$C$2:$C8816)), "")*24*60, "")</f>
        <v/>
      </c>
      <c r="P8817" s="24" t="str" cm="1">
        <f t="array" ref="P8817">IFERROR(IF($B8817=P$1, ($A8817+$C8817) - MAX(IF($B$2:$B8816=$B8817, $A$2:$A8816+$C$2:$C8816)), "")*24*60, "")</f>
        <v/>
      </c>
      <c r="Q8817" s="24" t="str" cm="1">
        <f t="array" ref="Q8817">IFERROR(IF($B8817=Q$1, ($A8817+$C8817) - MAX(IF($B$2:$B8816=$B8817, $A$2:$A8816+$C$2:$C8816)), "")*24*60, "")</f>
        <v/>
      </c>
      <c r="R8817" s="24" t="str" cm="1">
        <f t="array" ref="R8817">IFERROR(IF($B8817=R$1, ($A8817+$C8817) - MAX(IF($B$2:$B8816=$B8817, $A$2:$A8816+$C$2:$C8816)), "")*24*60, "")</f>
        <v/>
      </c>
      <c r="S8817" s="24" t="str" cm="1">
        <f t="array" ref="S8817">IFERROR(IF($B8817=S$1, ($A8817+$C8817) - MAX(IF($B$2:$B8816=$B8817, $A$2:$A8816+$C$2:$C8816)), "")*24*60, "")</f>
        <v/>
      </c>
    </row>
    <row r="8818" spans="1:19" x14ac:dyDescent="0.2">
      <c r="A8818" s="12">
        <f t="shared" ref="A8818:C8818" si="1457">A8817</f>
        <v>46036</v>
      </c>
      <c r="B8818" s="5" t="str">
        <f t="shared" si="1457"/>
        <v>Northern Cardinal</v>
      </c>
      <c r="C8818" s="6">
        <f t="shared" si="1457"/>
        <v>0.74930555555555556</v>
      </c>
      <c r="D8818" s="5"/>
      <c r="E8818" s="5"/>
      <c r="F8818" s="5" t="s">
        <v>9</v>
      </c>
      <c r="G8818" s="15" t="s">
        <v>8</v>
      </c>
      <c r="H8818" s="24">
        <f t="shared" si="1412"/>
        <v>0</v>
      </c>
      <c r="I8818" s="24" cm="1">
        <f t="array" ref="I8818">IFERROR(IF($B8818=I$1, ($A8818+$C8818) - MAX(IF($B$2:$B8817=$B8818, $A$2:$A8817+$C$2:$C8817)), "")*24*60, "")</f>
        <v>0</v>
      </c>
      <c r="J8818" s="24" t="str" cm="1">
        <f t="array" ref="J8818">IFERROR(IF($B8818=J$1, ($A8818+$C8818) - MAX(IF($B$2:$B8817=$B8818, $A$2:$A8817+$C$2:$C8817)), "")*24*60, "")</f>
        <v/>
      </c>
      <c r="K8818" s="24" t="str" cm="1">
        <f t="array" ref="K8818">IFERROR(IF($B8818=K$1, ($A8818+$C8818) - MAX(IF($B$2:$B8817=$B8818, $A$2:$A8817+$C$2:$C8817)), "")*24*60, "")</f>
        <v/>
      </c>
      <c r="L8818" s="24" t="str" cm="1">
        <f t="array" ref="L8818">IFERROR(IF($B8818=L$1, ($A8818+$C8818) - MAX(IF($B$2:$B8817=$B8818, $A$2:$A8817+$C$2:$C8817)), "")*24*60, "")</f>
        <v/>
      </c>
      <c r="M8818" s="24" t="str" cm="1">
        <f t="array" ref="M8818">IFERROR(IF($B8818=M$1, ($A8818+$C8818) - MAX(IF($B$2:$B8817=$B8818, $A$2:$A8817+$C$2:$C8817)), "")*24*60, "")</f>
        <v/>
      </c>
      <c r="N8818" s="24" t="str" cm="1">
        <f t="array" ref="N8818">IFERROR(IF($B8818=N$1, ($A8818+$C8818) - MAX(IF($B$2:$B8817=$B8818, $A$2:$A8817+$C$2:$C8817)), "")*24*60, "")</f>
        <v/>
      </c>
      <c r="O8818" s="24" t="str" cm="1">
        <f t="array" ref="O8818">IFERROR(IF($B8818=O$1, ($A8818+$C8818) - MAX(IF($B$2:$B8817=$B8818, $A$2:$A8817+$C$2:$C8817)), "")*24*60, "")</f>
        <v/>
      </c>
      <c r="P8818" s="24" t="str" cm="1">
        <f t="array" ref="P8818">IFERROR(IF($B8818=P$1, ($A8818+$C8818) - MAX(IF($B$2:$B8817=$B8818, $A$2:$A8817+$C$2:$C8817)), "")*24*60, "")</f>
        <v/>
      </c>
      <c r="Q8818" s="24" t="str" cm="1">
        <f t="array" ref="Q8818">IFERROR(IF($B8818=Q$1, ($A8818+$C8818) - MAX(IF($B$2:$B8817=$B8818, $A$2:$A8817+$C$2:$C8817)), "")*24*60, "")</f>
        <v/>
      </c>
      <c r="R8818" s="24" t="str" cm="1">
        <f t="array" ref="R8818">IFERROR(IF($B8818=R$1, ($A8818+$C8818) - MAX(IF($B$2:$B8817=$B8818, $A$2:$A8817+$C$2:$C8817)), "")*24*60, "")</f>
        <v/>
      </c>
      <c r="S8818" s="24" t="str" cm="1">
        <f t="array" ref="S8818">IFERROR(IF($B8818=S$1, ($A8818+$C8818) - MAX(IF($B$2:$B8817=$B8818, $A$2:$A8817+$C$2:$C8817)), "")*24*60, "")</f>
        <v/>
      </c>
    </row>
    <row r="8819" spans="1:19" x14ac:dyDescent="0.2">
      <c r="A8819" s="12">
        <f t="shared" ref="A8819:C8819" si="1458">A8818</f>
        <v>46036</v>
      </c>
      <c r="B8819" s="5" t="str">
        <f t="shared" si="1458"/>
        <v>Northern Cardinal</v>
      </c>
      <c r="C8819" s="6">
        <f t="shared" si="1458"/>
        <v>0.74930555555555556</v>
      </c>
      <c r="D8819" s="5"/>
      <c r="E8819" s="5"/>
      <c r="F8819" s="5" t="s">
        <v>9</v>
      </c>
      <c r="G8819" s="15" t="s">
        <v>8</v>
      </c>
      <c r="H8819" s="24">
        <f t="shared" si="1412"/>
        <v>0</v>
      </c>
      <c r="I8819" s="24" cm="1">
        <f t="array" ref="I8819">IFERROR(IF($B8819=I$1, ($A8819+$C8819) - MAX(IF($B$2:$B8818=$B8819, $A$2:$A8818+$C$2:$C8818)), "")*24*60, "")</f>
        <v>0</v>
      </c>
      <c r="J8819" s="24" t="str" cm="1">
        <f t="array" ref="J8819">IFERROR(IF($B8819=J$1, ($A8819+$C8819) - MAX(IF($B$2:$B8818=$B8819, $A$2:$A8818+$C$2:$C8818)), "")*24*60, "")</f>
        <v/>
      </c>
      <c r="K8819" s="24" t="str" cm="1">
        <f t="array" ref="K8819">IFERROR(IF($B8819=K$1, ($A8819+$C8819) - MAX(IF($B$2:$B8818=$B8819, $A$2:$A8818+$C$2:$C8818)), "")*24*60, "")</f>
        <v/>
      </c>
      <c r="L8819" s="24" t="str" cm="1">
        <f t="array" ref="L8819">IFERROR(IF($B8819=L$1, ($A8819+$C8819) - MAX(IF($B$2:$B8818=$B8819, $A$2:$A8818+$C$2:$C8818)), "")*24*60, "")</f>
        <v/>
      </c>
      <c r="M8819" s="24" t="str" cm="1">
        <f t="array" ref="M8819">IFERROR(IF($B8819=M$1, ($A8819+$C8819) - MAX(IF($B$2:$B8818=$B8819, $A$2:$A8818+$C$2:$C8818)), "")*24*60, "")</f>
        <v/>
      </c>
      <c r="N8819" s="24" t="str" cm="1">
        <f t="array" ref="N8819">IFERROR(IF($B8819=N$1, ($A8819+$C8819) - MAX(IF($B$2:$B8818=$B8819, $A$2:$A8818+$C$2:$C8818)), "")*24*60, "")</f>
        <v/>
      </c>
      <c r="O8819" s="24" t="str" cm="1">
        <f t="array" ref="O8819">IFERROR(IF($B8819=O$1, ($A8819+$C8819) - MAX(IF($B$2:$B8818=$B8819, $A$2:$A8818+$C$2:$C8818)), "")*24*60, "")</f>
        <v/>
      </c>
      <c r="P8819" s="24" t="str" cm="1">
        <f t="array" ref="P8819">IFERROR(IF($B8819=P$1, ($A8819+$C8819) - MAX(IF($B$2:$B8818=$B8819, $A$2:$A8818+$C$2:$C8818)), "")*24*60, "")</f>
        <v/>
      </c>
      <c r="Q8819" s="24" t="str" cm="1">
        <f t="array" ref="Q8819">IFERROR(IF($B8819=Q$1, ($A8819+$C8819) - MAX(IF($B$2:$B8818=$B8819, $A$2:$A8818+$C$2:$C8818)), "")*24*60, "")</f>
        <v/>
      </c>
      <c r="R8819" s="24" t="str" cm="1">
        <f t="array" ref="R8819">IFERROR(IF($B8819=R$1, ($A8819+$C8819) - MAX(IF($B$2:$B8818=$B8819, $A$2:$A8818+$C$2:$C8818)), "")*24*60, "")</f>
        <v/>
      </c>
      <c r="S8819" s="24" t="str" cm="1">
        <f t="array" ref="S8819">IFERROR(IF($B8819=S$1, ($A8819+$C8819) - MAX(IF($B$2:$B8818=$B8819, $A$2:$A8818+$C$2:$C8818)), "")*24*60, "")</f>
        <v/>
      </c>
    </row>
    <row r="8820" spans="1:19" x14ac:dyDescent="0.2">
      <c r="A8820" s="12">
        <f t="shared" ref="A8820:C8820" si="1459">A8819</f>
        <v>46036</v>
      </c>
      <c r="B8820" s="5" t="str">
        <f t="shared" si="1459"/>
        <v>Northern Cardinal</v>
      </c>
      <c r="C8820" s="6">
        <f t="shared" si="1459"/>
        <v>0.74930555555555556</v>
      </c>
      <c r="D8820" s="5"/>
      <c r="E8820" s="5"/>
      <c r="F8820" s="5" t="s">
        <v>9</v>
      </c>
      <c r="G8820" s="15" t="s">
        <v>8</v>
      </c>
      <c r="H8820" s="24">
        <f t="shared" si="1412"/>
        <v>0</v>
      </c>
      <c r="I8820" s="24" cm="1">
        <f t="array" ref="I8820">IFERROR(IF($B8820=I$1, ($A8820+$C8820) - MAX(IF($B$2:$B8819=$B8820, $A$2:$A8819+$C$2:$C8819)), "")*24*60, "")</f>
        <v>0</v>
      </c>
      <c r="J8820" s="24" t="str" cm="1">
        <f t="array" ref="J8820">IFERROR(IF($B8820=J$1, ($A8820+$C8820) - MAX(IF($B$2:$B8819=$B8820, $A$2:$A8819+$C$2:$C8819)), "")*24*60, "")</f>
        <v/>
      </c>
      <c r="K8820" s="24" t="str" cm="1">
        <f t="array" ref="K8820">IFERROR(IF($B8820=K$1, ($A8820+$C8820) - MAX(IF($B$2:$B8819=$B8820, $A$2:$A8819+$C$2:$C8819)), "")*24*60, "")</f>
        <v/>
      </c>
      <c r="L8820" s="24" t="str" cm="1">
        <f t="array" ref="L8820">IFERROR(IF($B8820=L$1, ($A8820+$C8820) - MAX(IF($B$2:$B8819=$B8820, $A$2:$A8819+$C$2:$C8819)), "")*24*60, "")</f>
        <v/>
      </c>
      <c r="M8820" s="24" t="str" cm="1">
        <f t="array" ref="M8820">IFERROR(IF($B8820=M$1, ($A8820+$C8820) - MAX(IF($B$2:$B8819=$B8820, $A$2:$A8819+$C$2:$C8819)), "")*24*60, "")</f>
        <v/>
      </c>
      <c r="N8820" s="24" t="str" cm="1">
        <f t="array" ref="N8820">IFERROR(IF($B8820=N$1, ($A8820+$C8820) - MAX(IF($B$2:$B8819=$B8820, $A$2:$A8819+$C$2:$C8819)), "")*24*60, "")</f>
        <v/>
      </c>
      <c r="O8820" s="24" t="str" cm="1">
        <f t="array" ref="O8820">IFERROR(IF($B8820=O$1, ($A8820+$C8820) - MAX(IF($B$2:$B8819=$B8820, $A$2:$A8819+$C$2:$C8819)), "")*24*60, "")</f>
        <v/>
      </c>
      <c r="P8820" s="24" t="str" cm="1">
        <f t="array" ref="P8820">IFERROR(IF($B8820=P$1, ($A8820+$C8820) - MAX(IF($B$2:$B8819=$B8820, $A$2:$A8819+$C$2:$C8819)), "")*24*60, "")</f>
        <v/>
      </c>
      <c r="Q8820" s="24" t="str" cm="1">
        <f t="array" ref="Q8820">IFERROR(IF($B8820=Q$1, ($A8820+$C8820) - MAX(IF($B$2:$B8819=$B8820, $A$2:$A8819+$C$2:$C8819)), "")*24*60, "")</f>
        <v/>
      </c>
      <c r="R8820" s="24" t="str" cm="1">
        <f t="array" ref="R8820">IFERROR(IF($B8820=R$1, ($A8820+$C8820) - MAX(IF($B$2:$B8819=$B8820, $A$2:$A8819+$C$2:$C8819)), "")*24*60, "")</f>
        <v/>
      </c>
      <c r="S8820" s="24" t="str" cm="1">
        <f t="array" ref="S8820">IFERROR(IF($B8820=S$1, ($A8820+$C8820) - MAX(IF($B$2:$B8819=$B8820, $A$2:$A8819+$C$2:$C8819)), "")*24*60, "")</f>
        <v/>
      </c>
    </row>
    <row r="8821" spans="1:19" x14ac:dyDescent="0.2">
      <c r="A8821" s="12">
        <f t="shared" ref="A8821:C8821" si="1460">A8820</f>
        <v>46036</v>
      </c>
      <c r="B8821" s="5" t="str">
        <f t="shared" si="1460"/>
        <v>Northern Cardinal</v>
      </c>
      <c r="C8821" s="6">
        <f t="shared" si="1460"/>
        <v>0.74930555555555556</v>
      </c>
      <c r="D8821" s="5"/>
      <c r="E8821" s="5"/>
      <c r="F8821" s="5" t="s">
        <v>9</v>
      </c>
      <c r="G8821" s="15" t="s">
        <v>8</v>
      </c>
      <c r="H8821" s="24">
        <f t="shared" si="1412"/>
        <v>0</v>
      </c>
      <c r="I8821" s="24" cm="1">
        <f t="array" ref="I8821">IFERROR(IF($B8821=I$1, ($A8821+$C8821) - MAX(IF($B$2:$B8820=$B8821, $A$2:$A8820+$C$2:$C8820)), "")*24*60, "")</f>
        <v>0</v>
      </c>
      <c r="J8821" s="24" t="str" cm="1">
        <f t="array" ref="J8821">IFERROR(IF($B8821=J$1, ($A8821+$C8821) - MAX(IF($B$2:$B8820=$B8821, $A$2:$A8820+$C$2:$C8820)), "")*24*60, "")</f>
        <v/>
      </c>
      <c r="K8821" s="24" t="str" cm="1">
        <f t="array" ref="K8821">IFERROR(IF($B8821=K$1, ($A8821+$C8821) - MAX(IF($B$2:$B8820=$B8821, $A$2:$A8820+$C$2:$C8820)), "")*24*60, "")</f>
        <v/>
      </c>
      <c r="L8821" s="24" t="str" cm="1">
        <f t="array" ref="L8821">IFERROR(IF($B8821=L$1, ($A8821+$C8821) - MAX(IF($B$2:$B8820=$B8821, $A$2:$A8820+$C$2:$C8820)), "")*24*60, "")</f>
        <v/>
      </c>
      <c r="M8821" s="24" t="str" cm="1">
        <f t="array" ref="M8821">IFERROR(IF($B8821=M$1, ($A8821+$C8821) - MAX(IF($B$2:$B8820=$B8821, $A$2:$A8820+$C$2:$C8820)), "")*24*60, "")</f>
        <v/>
      </c>
      <c r="N8821" s="24" t="str" cm="1">
        <f t="array" ref="N8821">IFERROR(IF($B8821=N$1, ($A8821+$C8821) - MAX(IF($B$2:$B8820=$B8821, $A$2:$A8820+$C$2:$C8820)), "")*24*60, "")</f>
        <v/>
      </c>
      <c r="O8821" s="24" t="str" cm="1">
        <f t="array" ref="O8821">IFERROR(IF($B8821=O$1, ($A8821+$C8821) - MAX(IF($B$2:$B8820=$B8821, $A$2:$A8820+$C$2:$C8820)), "")*24*60, "")</f>
        <v/>
      </c>
      <c r="P8821" s="24" t="str" cm="1">
        <f t="array" ref="P8821">IFERROR(IF($B8821=P$1, ($A8821+$C8821) - MAX(IF($B$2:$B8820=$B8821, $A$2:$A8820+$C$2:$C8820)), "")*24*60, "")</f>
        <v/>
      </c>
      <c r="Q8821" s="24" t="str" cm="1">
        <f t="array" ref="Q8821">IFERROR(IF($B8821=Q$1, ($A8821+$C8821) - MAX(IF($B$2:$B8820=$B8821, $A$2:$A8820+$C$2:$C8820)), "")*24*60, "")</f>
        <v/>
      </c>
      <c r="R8821" s="24" t="str" cm="1">
        <f t="array" ref="R8821">IFERROR(IF($B8821=R$1, ($A8821+$C8821) - MAX(IF($B$2:$B8820=$B8821, $A$2:$A8820+$C$2:$C8820)), "")*24*60, "")</f>
        <v/>
      </c>
      <c r="S8821" s="24" t="str" cm="1">
        <f t="array" ref="S8821">IFERROR(IF($B8821=S$1, ($A8821+$C8821) - MAX(IF($B$2:$B8820=$B8821, $A$2:$A8820+$C$2:$C8820)), "")*24*60, "")</f>
        <v/>
      </c>
    </row>
    <row r="8822" spans="1:19" x14ac:dyDescent="0.2">
      <c r="A8822" s="12">
        <f t="shared" ref="A8822:C8822" si="1461">A8821</f>
        <v>46036</v>
      </c>
      <c r="B8822" s="5" t="str">
        <f t="shared" si="1461"/>
        <v>Northern Cardinal</v>
      </c>
      <c r="C8822" s="6">
        <f t="shared" si="1461"/>
        <v>0.74930555555555556</v>
      </c>
      <c r="D8822" s="5"/>
      <c r="E8822" s="5"/>
      <c r="F8822" s="5" t="s">
        <v>9</v>
      </c>
      <c r="G8822" s="15" t="s">
        <v>8</v>
      </c>
      <c r="H8822" s="24">
        <f t="shared" si="1412"/>
        <v>0</v>
      </c>
      <c r="I8822" s="24" cm="1">
        <f t="array" ref="I8822">IFERROR(IF($B8822=I$1, ($A8822+$C8822) - MAX(IF($B$2:$B8821=$B8822, $A$2:$A8821+$C$2:$C8821)), "")*24*60, "")</f>
        <v>0</v>
      </c>
      <c r="J8822" s="24" t="str" cm="1">
        <f t="array" ref="J8822">IFERROR(IF($B8822=J$1, ($A8822+$C8822) - MAX(IF($B$2:$B8821=$B8822, $A$2:$A8821+$C$2:$C8821)), "")*24*60, "")</f>
        <v/>
      </c>
      <c r="K8822" s="24" t="str" cm="1">
        <f t="array" ref="K8822">IFERROR(IF($B8822=K$1, ($A8822+$C8822) - MAX(IF($B$2:$B8821=$B8822, $A$2:$A8821+$C$2:$C8821)), "")*24*60, "")</f>
        <v/>
      </c>
      <c r="L8822" s="24" t="str" cm="1">
        <f t="array" ref="L8822">IFERROR(IF($B8822=L$1, ($A8822+$C8822) - MAX(IF($B$2:$B8821=$B8822, $A$2:$A8821+$C$2:$C8821)), "")*24*60, "")</f>
        <v/>
      </c>
      <c r="M8822" s="24" t="str" cm="1">
        <f t="array" ref="M8822">IFERROR(IF($B8822=M$1, ($A8822+$C8822) - MAX(IF($B$2:$B8821=$B8822, $A$2:$A8821+$C$2:$C8821)), "")*24*60, "")</f>
        <v/>
      </c>
      <c r="N8822" s="24" t="str" cm="1">
        <f t="array" ref="N8822">IFERROR(IF($B8822=N$1, ($A8822+$C8822) - MAX(IF($B$2:$B8821=$B8822, $A$2:$A8821+$C$2:$C8821)), "")*24*60, "")</f>
        <v/>
      </c>
      <c r="O8822" s="24" t="str" cm="1">
        <f t="array" ref="O8822">IFERROR(IF($B8822=O$1, ($A8822+$C8822) - MAX(IF($B$2:$B8821=$B8822, $A$2:$A8821+$C$2:$C8821)), "")*24*60, "")</f>
        <v/>
      </c>
      <c r="P8822" s="24" t="str" cm="1">
        <f t="array" ref="P8822">IFERROR(IF($B8822=P$1, ($A8822+$C8822) - MAX(IF($B$2:$B8821=$B8822, $A$2:$A8821+$C$2:$C8821)), "")*24*60, "")</f>
        <v/>
      </c>
      <c r="Q8822" s="24" t="str" cm="1">
        <f t="array" ref="Q8822">IFERROR(IF($B8822=Q$1, ($A8822+$C8822) - MAX(IF($B$2:$B8821=$B8822, $A$2:$A8821+$C$2:$C8821)), "")*24*60, "")</f>
        <v/>
      </c>
      <c r="R8822" s="24" t="str" cm="1">
        <f t="array" ref="R8822">IFERROR(IF($B8822=R$1, ($A8822+$C8822) - MAX(IF($B$2:$B8821=$B8822, $A$2:$A8821+$C$2:$C8821)), "")*24*60, "")</f>
        <v/>
      </c>
      <c r="S8822" s="24" t="str" cm="1">
        <f t="array" ref="S8822">IFERROR(IF($B8822=S$1, ($A8822+$C8822) - MAX(IF($B$2:$B8821=$B8822, $A$2:$A8821+$C$2:$C8821)), "")*24*60, "")</f>
        <v/>
      </c>
    </row>
    <row r="8823" spans="1:19" x14ac:dyDescent="0.2">
      <c r="A8823" s="12">
        <f t="shared" ref="A8823:C8823" si="1462">A8822</f>
        <v>46036</v>
      </c>
      <c r="B8823" s="5" t="str">
        <f t="shared" si="1462"/>
        <v>Northern Cardinal</v>
      </c>
      <c r="C8823" s="6">
        <f t="shared" si="1462"/>
        <v>0.74930555555555556</v>
      </c>
      <c r="D8823" s="5"/>
      <c r="E8823" s="5"/>
      <c r="F8823" s="5" t="s">
        <v>9</v>
      </c>
      <c r="G8823" s="15" t="s">
        <v>8</v>
      </c>
      <c r="H8823" s="24">
        <f t="shared" si="1412"/>
        <v>0</v>
      </c>
      <c r="I8823" s="24" cm="1">
        <f t="array" ref="I8823">IFERROR(IF($B8823=I$1, ($A8823+$C8823) - MAX(IF($B$2:$B8822=$B8823, $A$2:$A8822+$C$2:$C8822)), "")*24*60, "")</f>
        <v>0</v>
      </c>
      <c r="J8823" s="24" t="str" cm="1">
        <f t="array" ref="J8823">IFERROR(IF($B8823=J$1, ($A8823+$C8823) - MAX(IF($B$2:$B8822=$B8823, $A$2:$A8822+$C$2:$C8822)), "")*24*60, "")</f>
        <v/>
      </c>
      <c r="K8823" s="24" t="str" cm="1">
        <f t="array" ref="K8823">IFERROR(IF($B8823=K$1, ($A8823+$C8823) - MAX(IF($B$2:$B8822=$B8823, $A$2:$A8822+$C$2:$C8822)), "")*24*60, "")</f>
        <v/>
      </c>
      <c r="L8823" s="24" t="str" cm="1">
        <f t="array" ref="L8823">IFERROR(IF($B8823=L$1, ($A8823+$C8823) - MAX(IF($B$2:$B8822=$B8823, $A$2:$A8822+$C$2:$C8822)), "")*24*60, "")</f>
        <v/>
      </c>
      <c r="M8823" s="24" t="str" cm="1">
        <f t="array" ref="M8823">IFERROR(IF($B8823=M$1, ($A8823+$C8823) - MAX(IF($B$2:$B8822=$B8823, $A$2:$A8822+$C$2:$C8822)), "")*24*60, "")</f>
        <v/>
      </c>
      <c r="N8823" s="24" t="str" cm="1">
        <f t="array" ref="N8823">IFERROR(IF($B8823=N$1, ($A8823+$C8823) - MAX(IF($B$2:$B8822=$B8823, $A$2:$A8822+$C$2:$C8822)), "")*24*60, "")</f>
        <v/>
      </c>
      <c r="O8823" s="24" t="str" cm="1">
        <f t="array" ref="O8823">IFERROR(IF($B8823=O$1, ($A8823+$C8823) - MAX(IF($B$2:$B8822=$B8823, $A$2:$A8822+$C$2:$C8822)), "")*24*60, "")</f>
        <v/>
      </c>
      <c r="P8823" s="24" t="str" cm="1">
        <f t="array" ref="P8823">IFERROR(IF($B8823=P$1, ($A8823+$C8823) - MAX(IF($B$2:$B8822=$B8823, $A$2:$A8822+$C$2:$C8822)), "")*24*60, "")</f>
        <v/>
      </c>
      <c r="Q8823" s="24" t="str" cm="1">
        <f t="array" ref="Q8823">IFERROR(IF($B8823=Q$1, ($A8823+$C8823) - MAX(IF($B$2:$B8822=$B8823, $A$2:$A8822+$C$2:$C8822)), "")*24*60, "")</f>
        <v/>
      </c>
      <c r="R8823" s="24" t="str" cm="1">
        <f t="array" ref="R8823">IFERROR(IF($B8823=R$1, ($A8823+$C8823) - MAX(IF($B$2:$B8822=$B8823, $A$2:$A8822+$C$2:$C8822)), "")*24*60, "")</f>
        <v/>
      </c>
      <c r="S8823" s="24" t="str" cm="1">
        <f t="array" ref="S8823">IFERROR(IF($B8823=S$1, ($A8823+$C8823) - MAX(IF($B$2:$B8822=$B8823, $A$2:$A8822+$C$2:$C8822)), "")*24*60, "")</f>
        <v/>
      </c>
    </row>
    <row r="8824" spans="1:19" x14ac:dyDescent="0.2">
      <c r="A8824" s="12">
        <f t="shared" ref="A8824:C8824" si="1463">A8823</f>
        <v>46036</v>
      </c>
      <c r="B8824" s="5" t="str">
        <f t="shared" si="1463"/>
        <v>Northern Cardinal</v>
      </c>
      <c r="C8824" s="6">
        <f t="shared" si="1463"/>
        <v>0.74930555555555556</v>
      </c>
      <c r="D8824" s="5"/>
      <c r="E8824" s="5"/>
      <c r="F8824" s="5" t="s">
        <v>9</v>
      </c>
      <c r="G8824" s="15" t="s">
        <v>8</v>
      </c>
      <c r="H8824" s="24">
        <f t="shared" si="1412"/>
        <v>0</v>
      </c>
      <c r="I8824" s="24" cm="1">
        <f t="array" ref="I8824">IFERROR(IF($B8824=I$1, ($A8824+$C8824) - MAX(IF($B$2:$B8823=$B8824, $A$2:$A8823+$C$2:$C8823)), "")*24*60, "")</f>
        <v>0</v>
      </c>
      <c r="J8824" s="24" t="str" cm="1">
        <f t="array" ref="J8824">IFERROR(IF($B8824=J$1, ($A8824+$C8824) - MAX(IF($B$2:$B8823=$B8824, $A$2:$A8823+$C$2:$C8823)), "")*24*60, "")</f>
        <v/>
      </c>
      <c r="K8824" s="24" t="str" cm="1">
        <f t="array" ref="K8824">IFERROR(IF($B8824=K$1, ($A8824+$C8824) - MAX(IF($B$2:$B8823=$B8824, $A$2:$A8823+$C$2:$C8823)), "")*24*60, "")</f>
        <v/>
      </c>
      <c r="L8824" s="24" t="str" cm="1">
        <f t="array" ref="L8824">IFERROR(IF($B8824=L$1, ($A8824+$C8824) - MAX(IF($B$2:$B8823=$B8824, $A$2:$A8823+$C$2:$C8823)), "")*24*60, "")</f>
        <v/>
      </c>
      <c r="M8824" s="24" t="str" cm="1">
        <f t="array" ref="M8824">IFERROR(IF($B8824=M$1, ($A8824+$C8824) - MAX(IF($B$2:$B8823=$B8824, $A$2:$A8823+$C$2:$C8823)), "")*24*60, "")</f>
        <v/>
      </c>
      <c r="N8824" s="24" t="str" cm="1">
        <f t="array" ref="N8824">IFERROR(IF($B8824=N$1, ($A8824+$C8824) - MAX(IF($B$2:$B8823=$B8824, $A$2:$A8823+$C$2:$C8823)), "")*24*60, "")</f>
        <v/>
      </c>
      <c r="O8824" s="24" t="str" cm="1">
        <f t="array" ref="O8824">IFERROR(IF($B8824=O$1, ($A8824+$C8824) - MAX(IF($B$2:$B8823=$B8824, $A$2:$A8823+$C$2:$C8823)), "")*24*60, "")</f>
        <v/>
      </c>
      <c r="P8824" s="24" t="str" cm="1">
        <f t="array" ref="P8824">IFERROR(IF($B8824=P$1, ($A8824+$C8824) - MAX(IF($B$2:$B8823=$B8824, $A$2:$A8823+$C$2:$C8823)), "")*24*60, "")</f>
        <v/>
      </c>
      <c r="Q8824" s="24" t="str" cm="1">
        <f t="array" ref="Q8824">IFERROR(IF($B8824=Q$1, ($A8824+$C8824) - MAX(IF($B$2:$B8823=$B8824, $A$2:$A8823+$C$2:$C8823)), "")*24*60, "")</f>
        <v/>
      </c>
      <c r="R8824" s="24" t="str" cm="1">
        <f t="array" ref="R8824">IFERROR(IF($B8824=R$1, ($A8824+$C8824) - MAX(IF($B$2:$B8823=$B8824, $A$2:$A8823+$C$2:$C8823)), "")*24*60, "")</f>
        <v/>
      </c>
      <c r="S8824" s="24" t="str" cm="1">
        <f t="array" ref="S8824">IFERROR(IF($B8824=S$1, ($A8824+$C8824) - MAX(IF($B$2:$B8823=$B8824, $A$2:$A8823+$C$2:$C8823)), "")*24*60, "")</f>
        <v/>
      </c>
    </row>
    <row r="8825" spans="1:19" x14ac:dyDescent="0.2">
      <c r="A8825" s="12">
        <f t="shared" ref="A8825:C8825" si="1464">A8824</f>
        <v>46036</v>
      </c>
      <c r="B8825" s="5" t="str">
        <f t="shared" si="1464"/>
        <v>Northern Cardinal</v>
      </c>
      <c r="C8825" s="6">
        <f t="shared" si="1464"/>
        <v>0.74930555555555556</v>
      </c>
      <c r="D8825" s="5"/>
      <c r="E8825" s="5"/>
      <c r="F8825" s="5" t="s">
        <v>9</v>
      </c>
      <c r="G8825" s="15" t="s">
        <v>8</v>
      </c>
      <c r="H8825" s="24">
        <f t="shared" si="1412"/>
        <v>0</v>
      </c>
      <c r="I8825" s="24" cm="1">
        <f t="array" ref="I8825">IFERROR(IF($B8825=I$1, ($A8825+$C8825) - MAX(IF($B$2:$B8824=$B8825, $A$2:$A8824+$C$2:$C8824)), "")*24*60, "")</f>
        <v>0</v>
      </c>
      <c r="J8825" s="24" t="str" cm="1">
        <f t="array" ref="J8825">IFERROR(IF($B8825=J$1, ($A8825+$C8825) - MAX(IF($B$2:$B8824=$B8825, $A$2:$A8824+$C$2:$C8824)), "")*24*60, "")</f>
        <v/>
      </c>
      <c r="K8825" s="24" t="str" cm="1">
        <f t="array" ref="K8825">IFERROR(IF($B8825=K$1, ($A8825+$C8825) - MAX(IF($B$2:$B8824=$B8825, $A$2:$A8824+$C$2:$C8824)), "")*24*60, "")</f>
        <v/>
      </c>
      <c r="L8825" s="24" t="str" cm="1">
        <f t="array" ref="L8825">IFERROR(IF($B8825=L$1, ($A8825+$C8825) - MAX(IF($B$2:$B8824=$B8825, $A$2:$A8824+$C$2:$C8824)), "")*24*60, "")</f>
        <v/>
      </c>
      <c r="M8825" s="24" t="str" cm="1">
        <f t="array" ref="M8825">IFERROR(IF($B8825=M$1, ($A8825+$C8825) - MAX(IF($B$2:$B8824=$B8825, $A$2:$A8824+$C$2:$C8824)), "")*24*60, "")</f>
        <v/>
      </c>
      <c r="N8825" s="24" t="str" cm="1">
        <f t="array" ref="N8825">IFERROR(IF($B8825=N$1, ($A8825+$C8825) - MAX(IF($B$2:$B8824=$B8825, $A$2:$A8824+$C$2:$C8824)), "")*24*60, "")</f>
        <v/>
      </c>
      <c r="O8825" s="24" t="str" cm="1">
        <f t="array" ref="O8825">IFERROR(IF($B8825=O$1, ($A8825+$C8825) - MAX(IF($B$2:$B8824=$B8825, $A$2:$A8824+$C$2:$C8824)), "")*24*60, "")</f>
        <v/>
      </c>
      <c r="P8825" s="24" t="str" cm="1">
        <f t="array" ref="P8825">IFERROR(IF($B8825=P$1, ($A8825+$C8825) - MAX(IF($B$2:$B8824=$B8825, $A$2:$A8824+$C$2:$C8824)), "")*24*60, "")</f>
        <v/>
      </c>
      <c r="Q8825" s="24" t="str" cm="1">
        <f t="array" ref="Q8825">IFERROR(IF($B8825=Q$1, ($A8825+$C8825) - MAX(IF($B$2:$B8824=$B8825, $A$2:$A8824+$C$2:$C8824)), "")*24*60, "")</f>
        <v/>
      </c>
      <c r="R8825" s="24" t="str" cm="1">
        <f t="array" ref="R8825">IFERROR(IF($B8825=R$1, ($A8825+$C8825) - MAX(IF($B$2:$B8824=$B8825, $A$2:$A8824+$C$2:$C8824)), "")*24*60, "")</f>
        <v/>
      </c>
      <c r="S8825" s="24" t="str" cm="1">
        <f t="array" ref="S8825">IFERROR(IF($B8825=S$1, ($A8825+$C8825) - MAX(IF($B$2:$B8824=$B8825, $A$2:$A8824+$C$2:$C8824)), "")*24*60, "")</f>
        <v/>
      </c>
    </row>
    <row r="8826" spans="1:19" x14ac:dyDescent="0.2">
      <c r="A8826" s="12">
        <f t="shared" ref="A8826:C8826" si="1465">A8825</f>
        <v>46036</v>
      </c>
      <c r="B8826" s="5" t="str">
        <f t="shared" si="1465"/>
        <v>Northern Cardinal</v>
      </c>
      <c r="C8826" s="6">
        <f t="shared" si="1465"/>
        <v>0.74930555555555556</v>
      </c>
      <c r="D8826" s="5"/>
      <c r="E8826" s="5"/>
      <c r="F8826" s="5" t="s">
        <v>9</v>
      </c>
      <c r="G8826" s="15" t="s">
        <v>8</v>
      </c>
      <c r="H8826" s="24">
        <f t="shared" si="1412"/>
        <v>0</v>
      </c>
      <c r="I8826" s="24" cm="1">
        <f t="array" ref="I8826">IFERROR(IF($B8826=I$1, ($A8826+$C8826) - MAX(IF($B$2:$B8825=$B8826, $A$2:$A8825+$C$2:$C8825)), "")*24*60, "")</f>
        <v>0</v>
      </c>
      <c r="J8826" s="24" t="str" cm="1">
        <f t="array" ref="J8826">IFERROR(IF($B8826=J$1, ($A8826+$C8826) - MAX(IF($B$2:$B8825=$B8826, $A$2:$A8825+$C$2:$C8825)), "")*24*60, "")</f>
        <v/>
      </c>
      <c r="K8826" s="24" t="str" cm="1">
        <f t="array" ref="K8826">IFERROR(IF($B8826=K$1, ($A8826+$C8826) - MAX(IF($B$2:$B8825=$B8826, $A$2:$A8825+$C$2:$C8825)), "")*24*60, "")</f>
        <v/>
      </c>
      <c r="L8826" s="24" t="str" cm="1">
        <f t="array" ref="L8826">IFERROR(IF($B8826=L$1, ($A8826+$C8826) - MAX(IF($B$2:$B8825=$B8826, $A$2:$A8825+$C$2:$C8825)), "")*24*60, "")</f>
        <v/>
      </c>
      <c r="M8826" s="24" t="str" cm="1">
        <f t="array" ref="M8826">IFERROR(IF($B8826=M$1, ($A8826+$C8826) - MAX(IF($B$2:$B8825=$B8826, $A$2:$A8825+$C$2:$C8825)), "")*24*60, "")</f>
        <v/>
      </c>
      <c r="N8826" s="24" t="str" cm="1">
        <f t="array" ref="N8826">IFERROR(IF($B8826=N$1, ($A8826+$C8826) - MAX(IF($B$2:$B8825=$B8826, $A$2:$A8825+$C$2:$C8825)), "")*24*60, "")</f>
        <v/>
      </c>
      <c r="O8826" s="24" t="str" cm="1">
        <f t="array" ref="O8826">IFERROR(IF($B8826=O$1, ($A8826+$C8826) - MAX(IF($B$2:$B8825=$B8826, $A$2:$A8825+$C$2:$C8825)), "")*24*60, "")</f>
        <v/>
      </c>
      <c r="P8826" s="24" t="str" cm="1">
        <f t="array" ref="P8826">IFERROR(IF($B8826=P$1, ($A8826+$C8826) - MAX(IF($B$2:$B8825=$B8826, $A$2:$A8825+$C$2:$C8825)), "")*24*60, "")</f>
        <v/>
      </c>
      <c r="Q8826" s="24" t="str" cm="1">
        <f t="array" ref="Q8826">IFERROR(IF($B8826=Q$1, ($A8826+$C8826) - MAX(IF($B$2:$B8825=$B8826, $A$2:$A8825+$C$2:$C8825)), "")*24*60, "")</f>
        <v/>
      </c>
      <c r="R8826" s="24" t="str" cm="1">
        <f t="array" ref="R8826">IFERROR(IF($B8826=R$1, ($A8826+$C8826) - MAX(IF($B$2:$B8825=$B8826, $A$2:$A8825+$C$2:$C8825)), "")*24*60, "")</f>
        <v/>
      </c>
      <c r="S8826" s="24" t="str" cm="1">
        <f t="array" ref="S8826">IFERROR(IF($B8826=S$1, ($A8826+$C8826) - MAX(IF($B$2:$B8825=$B8826, $A$2:$A8825+$C$2:$C8825)), "")*24*60, "")</f>
        <v/>
      </c>
    </row>
    <row r="8827" spans="1:19" x14ac:dyDescent="0.2">
      <c r="A8827" s="12">
        <f t="shared" ref="A8827:C8827" si="1466">A8826</f>
        <v>46036</v>
      </c>
      <c r="B8827" s="5" t="str">
        <f t="shared" si="1466"/>
        <v>Northern Cardinal</v>
      </c>
      <c r="C8827" s="6">
        <f t="shared" si="1466"/>
        <v>0.74930555555555556</v>
      </c>
      <c r="D8827" s="5"/>
      <c r="E8827" s="5"/>
      <c r="F8827" s="5" t="s">
        <v>9</v>
      </c>
      <c r="G8827" s="15" t="s">
        <v>8</v>
      </c>
      <c r="H8827" s="24">
        <f t="shared" si="1412"/>
        <v>0</v>
      </c>
      <c r="I8827" s="24" cm="1">
        <f t="array" ref="I8827">IFERROR(IF($B8827=I$1, ($A8827+$C8827) - MAX(IF($B$2:$B8826=$B8827, $A$2:$A8826+$C$2:$C8826)), "")*24*60, "")</f>
        <v>0</v>
      </c>
      <c r="J8827" s="24" t="str" cm="1">
        <f t="array" ref="J8827">IFERROR(IF($B8827=J$1, ($A8827+$C8827) - MAX(IF($B$2:$B8826=$B8827, $A$2:$A8826+$C$2:$C8826)), "")*24*60, "")</f>
        <v/>
      </c>
      <c r="K8827" s="24" t="str" cm="1">
        <f t="array" ref="K8827">IFERROR(IF($B8827=K$1, ($A8827+$C8827) - MAX(IF($B$2:$B8826=$B8827, $A$2:$A8826+$C$2:$C8826)), "")*24*60, "")</f>
        <v/>
      </c>
      <c r="L8827" s="24" t="str" cm="1">
        <f t="array" ref="L8827">IFERROR(IF($B8827=L$1, ($A8827+$C8827) - MAX(IF($B$2:$B8826=$B8827, $A$2:$A8826+$C$2:$C8826)), "")*24*60, "")</f>
        <v/>
      </c>
      <c r="M8827" s="24" t="str" cm="1">
        <f t="array" ref="M8827">IFERROR(IF($B8827=M$1, ($A8827+$C8827) - MAX(IF($B$2:$B8826=$B8827, $A$2:$A8826+$C$2:$C8826)), "")*24*60, "")</f>
        <v/>
      </c>
      <c r="N8827" s="24" t="str" cm="1">
        <f t="array" ref="N8827">IFERROR(IF($B8827=N$1, ($A8827+$C8827) - MAX(IF($B$2:$B8826=$B8827, $A$2:$A8826+$C$2:$C8826)), "")*24*60, "")</f>
        <v/>
      </c>
      <c r="O8827" s="24" t="str" cm="1">
        <f t="array" ref="O8827">IFERROR(IF($B8827=O$1, ($A8827+$C8827) - MAX(IF($B$2:$B8826=$B8827, $A$2:$A8826+$C$2:$C8826)), "")*24*60, "")</f>
        <v/>
      </c>
      <c r="P8827" s="24" t="str" cm="1">
        <f t="array" ref="P8827">IFERROR(IF($B8827=P$1, ($A8827+$C8827) - MAX(IF($B$2:$B8826=$B8827, $A$2:$A8826+$C$2:$C8826)), "")*24*60, "")</f>
        <v/>
      </c>
      <c r="Q8827" s="24" t="str" cm="1">
        <f t="array" ref="Q8827">IFERROR(IF($B8827=Q$1, ($A8827+$C8827) - MAX(IF($B$2:$B8826=$B8827, $A$2:$A8826+$C$2:$C8826)), "")*24*60, "")</f>
        <v/>
      </c>
      <c r="R8827" s="24" t="str" cm="1">
        <f t="array" ref="R8827">IFERROR(IF($B8827=R$1, ($A8827+$C8827) - MAX(IF($B$2:$B8826=$B8827, $A$2:$A8826+$C$2:$C8826)), "")*24*60, "")</f>
        <v/>
      </c>
      <c r="S8827" s="24" t="str" cm="1">
        <f t="array" ref="S8827">IFERROR(IF($B8827=S$1, ($A8827+$C8827) - MAX(IF($B$2:$B8826=$B8827, $A$2:$A8826+$C$2:$C8826)), "")*24*60, "")</f>
        <v/>
      </c>
    </row>
    <row r="8828" spans="1:19" x14ac:dyDescent="0.2">
      <c r="A8828" s="12">
        <f t="shared" ref="A8828:C8828" si="1467">A8827</f>
        <v>46036</v>
      </c>
      <c r="B8828" s="5" t="str">
        <f t="shared" si="1467"/>
        <v>Northern Cardinal</v>
      </c>
      <c r="C8828" s="6">
        <f t="shared" si="1467"/>
        <v>0.74930555555555556</v>
      </c>
      <c r="D8828" s="5"/>
      <c r="E8828" s="5"/>
      <c r="F8828" s="5" t="s">
        <v>9</v>
      </c>
      <c r="G8828" s="15" t="s">
        <v>8</v>
      </c>
      <c r="H8828" s="24">
        <f t="shared" si="1412"/>
        <v>0</v>
      </c>
      <c r="I8828" s="24" cm="1">
        <f t="array" ref="I8828">IFERROR(IF($B8828=I$1, ($A8828+$C8828) - MAX(IF($B$2:$B8827=$B8828, $A$2:$A8827+$C$2:$C8827)), "")*24*60, "")</f>
        <v>0</v>
      </c>
      <c r="J8828" s="24" t="str" cm="1">
        <f t="array" ref="J8828">IFERROR(IF($B8828=J$1, ($A8828+$C8828) - MAX(IF($B$2:$B8827=$B8828, $A$2:$A8827+$C$2:$C8827)), "")*24*60, "")</f>
        <v/>
      </c>
      <c r="K8828" s="24" t="str" cm="1">
        <f t="array" ref="K8828">IFERROR(IF($B8828=K$1, ($A8828+$C8828) - MAX(IF($B$2:$B8827=$B8828, $A$2:$A8827+$C$2:$C8827)), "")*24*60, "")</f>
        <v/>
      </c>
      <c r="L8828" s="24" t="str" cm="1">
        <f t="array" ref="L8828">IFERROR(IF($B8828=L$1, ($A8828+$C8828) - MAX(IF($B$2:$B8827=$B8828, $A$2:$A8827+$C$2:$C8827)), "")*24*60, "")</f>
        <v/>
      </c>
      <c r="M8828" s="24" t="str" cm="1">
        <f t="array" ref="M8828">IFERROR(IF($B8828=M$1, ($A8828+$C8828) - MAX(IF($B$2:$B8827=$B8828, $A$2:$A8827+$C$2:$C8827)), "")*24*60, "")</f>
        <v/>
      </c>
      <c r="N8828" s="24" t="str" cm="1">
        <f t="array" ref="N8828">IFERROR(IF($B8828=N$1, ($A8828+$C8828) - MAX(IF($B$2:$B8827=$B8828, $A$2:$A8827+$C$2:$C8827)), "")*24*60, "")</f>
        <v/>
      </c>
      <c r="O8828" s="24" t="str" cm="1">
        <f t="array" ref="O8828">IFERROR(IF($B8828=O$1, ($A8828+$C8828) - MAX(IF($B$2:$B8827=$B8828, $A$2:$A8827+$C$2:$C8827)), "")*24*60, "")</f>
        <v/>
      </c>
      <c r="P8828" s="24" t="str" cm="1">
        <f t="array" ref="P8828">IFERROR(IF($B8828=P$1, ($A8828+$C8828) - MAX(IF($B$2:$B8827=$B8828, $A$2:$A8827+$C$2:$C8827)), "")*24*60, "")</f>
        <v/>
      </c>
      <c r="Q8828" s="24" t="str" cm="1">
        <f t="array" ref="Q8828">IFERROR(IF($B8828=Q$1, ($A8828+$C8828) - MAX(IF($B$2:$B8827=$B8828, $A$2:$A8827+$C$2:$C8827)), "")*24*60, "")</f>
        <v/>
      </c>
      <c r="R8828" s="24" t="str" cm="1">
        <f t="array" ref="R8828">IFERROR(IF($B8828=R$1, ($A8828+$C8828) - MAX(IF($B$2:$B8827=$B8828, $A$2:$A8827+$C$2:$C8827)), "")*24*60, "")</f>
        <v/>
      </c>
      <c r="S8828" s="24" t="str" cm="1">
        <f t="array" ref="S8828">IFERROR(IF($B8828=S$1, ($A8828+$C8828) - MAX(IF($B$2:$B8827=$B8828, $A$2:$A8827+$C$2:$C8827)), "")*24*60, "")</f>
        <v/>
      </c>
    </row>
    <row r="8829" spans="1:19" x14ac:dyDescent="0.2">
      <c r="A8829" s="12">
        <f t="shared" ref="A8829:C8829" si="1468">A8828</f>
        <v>46036</v>
      </c>
      <c r="B8829" s="5" t="str">
        <f t="shared" si="1468"/>
        <v>Northern Cardinal</v>
      </c>
      <c r="C8829" s="6">
        <f t="shared" si="1468"/>
        <v>0.74930555555555556</v>
      </c>
      <c r="D8829" s="5"/>
      <c r="E8829" s="5"/>
      <c r="F8829" s="5" t="s">
        <v>9</v>
      </c>
      <c r="G8829" s="15" t="s">
        <v>8</v>
      </c>
      <c r="H8829" s="24">
        <f t="shared" si="1412"/>
        <v>0</v>
      </c>
      <c r="I8829" s="24" cm="1">
        <f t="array" ref="I8829">IFERROR(IF($B8829=I$1, ($A8829+$C8829) - MAX(IF($B$2:$B8828=$B8829, $A$2:$A8828+$C$2:$C8828)), "")*24*60, "")</f>
        <v>0</v>
      </c>
      <c r="J8829" s="24" t="str" cm="1">
        <f t="array" ref="J8829">IFERROR(IF($B8829=J$1, ($A8829+$C8829) - MAX(IF($B$2:$B8828=$B8829, $A$2:$A8828+$C$2:$C8828)), "")*24*60, "")</f>
        <v/>
      </c>
      <c r="K8829" s="24" t="str" cm="1">
        <f t="array" ref="K8829">IFERROR(IF($B8829=K$1, ($A8829+$C8829) - MAX(IF($B$2:$B8828=$B8829, $A$2:$A8828+$C$2:$C8828)), "")*24*60, "")</f>
        <v/>
      </c>
      <c r="L8829" s="24" t="str" cm="1">
        <f t="array" ref="L8829">IFERROR(IF($B8829=L$1, ($A8829+$C8829) - MAX(IF($B$2:$B8828=$B8829, $A$2:$A8828+$C$2:$C8828)), "")*24*60, "")</f>
        <v/>
      </c>
      <c r="M8829" s="24" t="str" cm="1">
        <f t="array" ref="M8829">IFERROR(IF($B8829=M$1, ($A8829+$C8829) - MAX(IF($B$2:$B8828=$B8829, $A$2:$A8828+$C$2:$C8828)), "")*24*60, "")</f>
        <v/>
      </c>
      <c r="N8829" s="24" t="str" cm="1">
        <f t="array" ref="N8829">IFERROR(IF($B8829=N$1, ($A8829+$C8829) - MAX(IF($B$2:$B8828=$B8829, $A$2:$A8828+$C$2:$C8828)), "")*24*60, "")</f>
        <v/>
      </c>
      <c r="O8829" s="24" t="str" cm="1">
        <f t="array" ref="O8829">IFERROR(IF($B8829=O$1, ($A8829+$C8829) - MAX(IF($B$2:$B8828=$B8829, $A$2:$A8828+$C$2:$C8828)), "")*24*60, "")</f>
        <v/>
      </c>
      <c r="P8829" s="24" t="str" cm="1">
        <f t="array" ref="P8829">IFERROR(IF($B8829=P$1, ($A8829+$C8829) - MAX(IF($B$2:$B8828=$B8829, $A$2:$A8828+$C$2:$C8828)), "")*24*60, "")</f>
        <v/>
      </c>
      <c r="Q8829" s="24" t="str" cm="1">
        <f t="array" ref="Q8829">IFERROR(IF($B8829=Q$1, ($A8829+$C8829) - MAX(IF($B$2:$B8828=$B8829, $A$2:$A8828+$C$2:$C8828)), "")*24*60, "")</f>
        <v/>
      </c>
      <c r="R8829" s="24" t="str" cm="1">
        <f t="array" ref="R8829">IFERROR(IF($B8829=R$1, ($A8829+$C8829) - MAX(IF($B$2:$B8828=$B8829, $A$2:$A8828+$C$2:$C8828)), "")*24*60, "")</f>
        <v/>
      </c>
      <c r="S8829" s="24" t="str" cm="1">
        <f t="array" ref="S8829">IFERROR(IF($B8829=S$1, ($A8829+$C8829) - MAX(IF($B$2:$B8828=$B8829, $A$2:$A8828+$C$2:$C8828)), "")*24*60, "")</f>
        <v/>
      </c>
    </row>
    <row r="8830" spans="1:19" x14ac:dyDescent="0.2">
      <c r="A8830" s="12">
        <f t="shared" ref="A8830:C8830" si="1469">A8829</f>
        <v>46036</v>
      </c>
      <c r="B8830" s="5" t="str">
        <f t="shared" si="1469"/>
        <v>Northern Cardinal</v>
      </c>
      <c r="C8830" s="6">
        <f t="shared" si="1469"/>
        <v>0.74930555555555556</v>
      </c>
      <c r="D8830" s="5"/>
      <c r="E8830" s="5"/>
      <c r="F8830" s="5" t="s">
        <v>9</v>
      </c>
      <c r="G8830" s="15" t="s">
        <v>8</v>
      </c>
      <c r="H8830" s="24">
        <f t="shared" si="1412"/>
        <v>0</v>
      </c>
      <c r="I8830" s="24" cm="1">
        <f t="array" ref="I8830">IFERROR(IF($B8830=I$1, ($A8830+$C8830) - MAX(IF($B$2:$B8829=$B8830, $A$2:$A8829+$C$2:$C8829)), "")*24*60, "")</f>
        <v>0</v>
      </c>
      <c r="J8830" s="24" t="str" cm="1">
        <f t="array" ref="J8830">IFERROR(IF($B8830=J$1, ($A8830+$C8830) - MAX(IF($B$2:$B8829=$B8830, $A$2:$A8829+$C$2:$C8829)), "")*24*60, "")</f>
        <v/>
      </c>
      <c r="K8830" s="24" t="str" cm="1">
        <f t="array" ref="K8830">IFERROR(IF($B8830=K$1, ($A8830+$C8830) - MAX(IF($B$2:$B8829=$B8830, $A$2:$A8829+$C$2:$C8829)), "")*24*60, "")</f>
        <v/>
      </c>
      <c r="L8830" s="24" t="str" cm="1">
        <f t="array" ref="L8830">IFERROR(IF($B8830=L$1, ($A8830+$C8830) - MAX(IF($B$2:$B8829=$B8830, $A$2:$A8829+$C$2:$C8829)), "")*24*60, "")</f>
        <v/>
      </c>
      <c r="M8830" s="24" t="str" cm="1">
        <f t="array" ref="M8830">IFERROR(IF($B8830=M$1, ($A8830+$C8830) - MAX(IF($B$2:$B8829=$B8830, $A$2:$A8829+$C$2:$C8829)), "")*24*60, "")</f>
        <v/>
      </c>
      <c r="N8830" s="24" t="str" cm="1">
        <f t="array" ref="N8830">IFERROR(IF($B8830=N$1, ($A8830+$C8830) - MAX(IF($B$2:$B8829=$B8830, $A$2:$A8829+$C$2:$C8829)), "")*24*60, "")</f>
        <v/>
      </c>
      <c r="O8830" s="24" t="str" cm="1">
        <f t="array" ref="O8830">IFERROR(IF($B8830=O$1, ($A8830+$C8830) - MAX(IF($B$2:$B8829=$B8830, $A$2:$A8829+$C$2:$C8829)), "")*24*60, "")</f>
        <v/>
      </c>
      <c r="P8830" s="24" t="str" cm="1">
        <f t="array" ref="P8830">IFERROR(IF($B8830=P$1, ($A8830+$C8830) - MAX(IF($B$2:$B8829=$B8830, $A$2:$A8829+$C$2:$C8829)), "")*24*60, "")</f>
        <v/>
      </c>
      <c r="Q8830" s="24" t="str" cm="1">
        <f t="array" ref="Q8830">IFERROR(IF($B8830=Q$1, ($A8830+$C8830) - MAX(IF($B$2:$B8829=$B8830, $A$2:$A8829+$C$2:$C8829)), "")*24*60, "")</f>
        <v/>
      </c>
      <c r="R8830" s="24" t="str" cm="1">
        <f t="array" ref="R8830">IFERROR(IF($B8830=R$1, ($A8830+$C8830) - MAX(IF($B$2:$B8829=$B8830, $A$2:$A8829+$C$2:$C8829)), "")*24*60, "")</f>
        <v/>
      </c>
      <c r="S8830" s="24" t="str" cm="1">
        <f t="array" ref="S8830">IFERROR(IF($B8830=S$1, ($A8830+$C8830) - MAX(IF($B$2:$B8829=$B8830, $A$2:$A8829+$C$2:$C8829)), "")*24*60, "")</f>
        <v/>
      </c>
    </row>
    <row r="8831" spans="1:19" x14ac:dyDescent="0.2">
      <c r="A8831" s="12">
        <f t="shared" ref="A8831:C8831" si="1470">A8830</f>
        <v>46036</v>
      </c>
      <c r="B8831" s="5" t="str">
        <f t="shared" si="1470"/>
        <v>Northern Cardinal</v>
      </c>
      <c r="C8831" s="6">
        <f t="shared" si="1470"/>
        <v>0.74930555555555556</v>
      </c>
      <c r="D8831" s="5"/>
      <c r="E8831" s="5"/>
      <c r="F8831" s="5" t="s">
        <v>9</v>
      </c>
      <c r="G8831" s="15" t="s">
        <v>8</v>
      </c>
      <c r="H8831" s="24">
        <f t="shared" si="1412"/>
        <v>0</v>
      </c>
      <c r="I8831" s="24" cm="1">
        <f t="array" ref="I8831">IFERROR(IF($B8831=I$1, ($A8831+$C8831) - MAX(IF($B$2:$B8830=$B8831, $A$2:$A8830+$C$2:$C8830)), "")*24*60, "")</f>
        <v>0</v>
      </c>
      <c r="J8831" s="24" t="str" cm="1">
        <f t="array" ref="J8831">IFERROR(IF($B8831=J$1, ($A8831+$C8831) - MAX(IF($B$2:$B8830=$B8831, $A$2:$A8830+$C$2:$C8830)), "")*24*60, "")</f>
        <v/>
      </c>
      <c r="K8831" s="24" t="str" cm="1">
        <f t="array" ref="K8831">IFERROR(IF($B8831=K$1, ($A8831+$C8831) - MAX(IF($B$2:$B8830=$B8831, $A$2:$A8830+$C$2:$C8830)), "")*24*60, "")</f>
        <v/>
      </c>
      <c r="L8831" s="24" t="str" cm="1">
        <f t="array" ref="L8831">IFERROR(IF($B8831=L$1, ($A8831+$C8831) - MAX(IF($B$2:$B8830=$B8831, $A$2:$A8830+$C$2:$C8830)), "")*24*60, "")</f>
        <v/>
      </c>
      <c r="M8831" s="24" t="str" cm="1">
        <f t="array" ref="M8831">IFERROR(IF($B8831=M$1, ($A8831+$C8831) - MAX(IF($B$2:$B8830=$B8831, $A$2:$A8830+$C$2:$C8830)), "")*24*60, "")</f>
        <v/>
      </c>
      <c r="N8831" s="24" t="str" cm="1">
        <f t="array" ref="N8831">IFERROR(IF($B8831=N$1, ($A8831+$C8831) - MAX(IF($B$2:$B8830=$B8831, $A$2:$A8830+$C$2:$C8830)), "")*24*60, "")</f>
        <v/>
      </c>
      <c r="O8831" s="24" t="str" cm="1">
        <f t="array" ref="O8831">IFERROR(IF($B8831=O$1, ($A8831+$C8831) - MAX(IF($B$2:$B8830=$B8831, $A$2:$A8830+$C$2:$C8830)), "")*24*60, "")</f>
        <v/>
      </c>
      <c r="P8831" s="24" t="str" cm="1">
        <f t="array" ref="P8831">IFERROR(IF($B8831=P$1, ($A8831+$C8831) - MAX(IF($B$2:$B8830=$B8831, $A$2:$A8830+$C$2:$C8830)), "")*24*60, "")</f>
        <v/>
      </c>
      <c r="Q8831" s="24" t="str" cm="1">
        <f t="array" ref="Q8831">IFERROR(IF($B8831=Q$1, ($A8831+$C8831) - MAX(IF($B$2:$B8830=$B8831, $A$2:$A8830+$C$2:$C8830)), "")*24*60, "")</f>
        <v/>
      </c>
      <c r="R8831" s="24" t="str" cm="1">
        <f t="array" ref="R8831">IFERROR(IF($B8831=R$1, ($A8831+$C8831) - MAX(IF($B$2:$B8830=$B8831, $A$2:$A8830+$C$2:$C8830)), "")*24*60, "")</f>
        <v/>
      </c>
      <c r="S8831" s="24" t="str" cm="1">
        <f t="array" ref="S8831">IFERROR(IF($B8831=S$1, ($A8831+$C8831) - MAX(IF($B$2:$B8830=$B8831, $A$2:$A8830+$C$2:$C8830)), "")*24*60, "")</f>
        <v/>
      </c>
    </row>
    <row r="8832" spans="1:19" x14ac:dyDescent="0.2">
      <c r="A8832" s="12">
        <f t="shared" ref="A8832:C8832" si="1471">A8831</f>
        <v>46036</v>
      </c>
      <c r="B8832" s="5" t="str">
        <f t="shared" si="1471"/>
        <v>Northern Cardinal</v>
      </c>
      <c r="C8832" s="6">
        <f t="shared" si="1471"/>
        <v>0.74930555555555556</v>
      </c>
      <c r="D8832" s="5"/>
      <c r="E8832" s="5"/>
      <c r="F8832" s="5" t="s">
        <v>9</v>
      </c>
      <c r="G8832" s="15" t="s">
        <v>8</v>
      </c>
      <c r="H8832" s="24">
        <f t="shared" si="1412"/>
        <v>0</v>
      </c>
      <c r="I8832" s="24" cm="1">
        <f t="array" ref="I8832">IFERROR(IF($B8832=I$1, ($A8832+$C8832) - MAX(IF($B$2:$B8831=$B8832, $A$2:$A8831+$C$2:$C8831)), "")*24*60, "")</f>
        <v>0</v>
      </c>
      <c r="J8832" s="24" t="str" cm="1">
        <f t="array" ref="J8832">IFERROR(IF($B8832=J$1, ($A8832+$C8832) - MAX(IF($B$2:$B8831=$B8832, $A$2:$A8831+$C$2:$C8831)), "")*24*60, "")</f>
        <v/>
      </c>
      <c r="K8832" s="24" t="str" cm="1">
        <f t="array" ref="K8832">IFERROR(IF($B8832=K$1, ($A8832+$C8832) - MAX(IF($B$2:$B8831=$B8832, $A$2:$A8831+$C$2:$C8831)), "")*24*60, "")</f>
        <v/>
      </c>
      <c r="L8832" s="24" t="str" cm="1">
        <f t="array" ref="L8832">IFERROR(IF($B8832=L$1, ($A8832+$C8832) - MAX(IF($B$2:$B8831=$B8832, $A$2:$A8831+$C$2:$C8831)), "")*24*60, "")</f>
        <v/>
      </c>
      <c r="M8832" s="24" t="str" cm="1">
        <f t="array" ref="M8832">IFERROR(IF($B8832=M$1, ($A8832+$C8832) - MAX(IF($B$2:$B8831=$B8832, $A$2:$A8831+$C$2:$C8831)), "")*24*60, "")</f>
        <v/>
      </c>
      <c r="N8832" s="24" t="str" cm="1">
        <f t="array" ref="N8832">IFERROR(IF($B8832=N$1, ($A8832+$C8832) - MAX(IF($B$2:$B8831=$B8832, $A$2:$A8831+$C$2:$C8831)), "")*24*60, "")</f>
        <v/>
      </c>
      <c r="O8832" s="24" t="str" cm="1">
        <f t="array" ref="O8832">IFERROR(IF($B8832=O$1, ($A8832+$C8832) - MAX(IF($B$2:$B8831=$B8832, $A$2:$A8831+$C$2:$C8831)), "")*24*60, "")</f>
        <v/>
      </c>
      <c r="P8832" s="24" t="str" cm="1">
        <f t="array" ref="P8832">IFERROR(IF($B8832=P$1, ($A8832+$C8832) - MAX(IF($B$2:$B8831=$B8832, $A$2:$A8831+$C$2:$C8831)), "")*24*60, "")</f>
        <v/>
      </c>
      <c r="Q8832" s="24" t="str" cm="1">
        <f t="array" ref="Q8832">IFERROR(IF($B8832=Q$1, ($A8832+$C8832) - MAX(IF($B$2:$B8831=$B8832, $A$2:$A8831+$C$2:$C8831)), "")*24*60, "")</f>
        <v/>
      </c>
      <c r="R8832" s="24" t="str" cm="1">
        <f t="array" ref="R8832">IFERROR(IF($B8832=R$1, ($A8832+$C8832) - MAX(IF($B$2:$B8831=$B8832, $A$2:$A8831+$C$2:$C8831)), "")*24*60, "")</f>
        <v/>
      </c>
      <c r="S8832" s="24" t="str" cm="1">
        <f t="array" ref="S8832">IFERROR(IF($B8832=S$1, ($A8832+$C8832) - MAX(IF($B$2:$B8831=$B8832, $A$2:$A8831+$C$2:$C8831)), "")*24*60, "")</f>
        <v/>
      </c>
    </row>
    <row r="8833" spans="1:19" x14ac:dyDescent="0.2">
      <c r="A8833" s="12">
        <f t="shared" ref="A8833:C8833" si="1472">A8832</f>
        <v>46036</v>
      </c>
      <c r="B8833" s="5" t="str">
        <f t="shared" si="1472"/>
        <v>Northern Cardinal</v>
      </c>
      <c r="C8833" s="6">
        <f t="shared" si="1472"/>
        <v>0.74930555555555556</v>
      </c>
      <c r="D8833" s="5"/>
      <c r="E8833" s="5"/>
      <c r="F8833" s="5" t="s">
        <v>9</v>
      </c>
      <c r="G8833" s="15" t="s">
        <v>8</v>
      </c>
      <c r="H8833" s="24">
        <f t="shared" si="1412"/>
        <v>0</v>
      </c>
      <c r="I8833" s="24" cm="1">
        <f t="array" ref="I8833">IFERROR(IF($B8833=I$1, ($A8833+$C8833) - MAX(IF($B$2:$B8832=$B8833, $A$2:$A8832+$C$2:$C8832)), "")*24*60, "")</f>
        <v>0</v>
      </c>
      <c r="J8833" s="24" t="str" cm="1">
        <f t="array" ref="J8833">IFERROR(IF($B8833=J$1, ($A8833+$C8833) - MAX(IF($B$2:$B8832=$B8833, $A$2:$A8832+$C$2:$C8832)), "")*24*60, "")</f>
        <v/>
      </c>
      <c r="K8833" s="24" t="str" cm="1">
        <f t="array" ref="K8833">IFERROR(IF($B8833=K$1, ($A8833+$C8833) - MAX(IF($B$2:$B8832=$B8833, $A$2:$A8832+$C$2:$C8832)), "")*24*60, "")</f>
        <v/>
      </c>
      <c r="L8833" s="24" t="str" cm="1">
        <f t="array" ref="L8833">IFERROR(IF($B8833=L$1, ($A8833+$C8833) - MAX(IF($B$2:$B8832=$B8833, $A$2:$A8832+$C$2:$C8832)), "")*24*60, "")</f>
        <v/>
      </c>
      <c r="M8833" s="24" t="str" cm="1">
        <f t="array" ref="M8833">IFERROR(IF($B8833=M$1, ($A8833+$C8833) - MAX(IF($B$2:$B8832=$B8833, $A$2:$A8832+$C$2:$C8832)), "")*24*60, "")</f>
        <v/>
      </c>
      <c r="N8833" s="24" t="str" cm="1">
        <f t="array" ref="N8833">IFERROR(IF($B8833=N$1, ($A8833+$C8833) - MAX(IF($B$2:$B8832=$B8833, $A$2:$A8832+$C$2:$C8832)), "")*24*60, "")</f>
        <v/>
      </c>
      <c r="O8833" s="24" t="str" cm="1">
        <f t="array" ref="O8833">IFERROR(IF($B8833=O$1, ($A8833+$C8833) - MAX(IF($B$2:$B8832=$B8833, $A$2:$A8832+$C$2:$C8832)), "")*24*60, "")</f>
        <v/>
      </c>
      <c r="P8833" s="24" t="str" cm="1">
        <f t="array" ref="P8833">IFERROR(IF($B8833=P$1, ($A8833+$C8833) - MAX(IF($B$2:$B8832=$B8833, $A$2:$A8832+$C$2:$C8832)), "")*24*60, "")</f>
        <v/>
      </c>
      <c r="Q8833" s="24" t="str" cm="1">
        <f t="array" ref="Q8833">IFERROR(IF($B8833=Q$1, ($A8833+$C8833) - MAX(IF($B$2:$B8832=$B8833, $A$2:$A8832+$C$2:$C8832)), "")*24*60, "")</f>
        <v/>
      </c>
      <c r="R8833" s="24" t="str" cm="1">
        <f t="array" ref="R8833">IFERROR(IF($B8833=R$1, ($A8833+$C8833) - MAX(IF($B$2:$B8832=$B8833, $A$2:$A8832+$C$2:$C8832)), "")*24*60, "")</f>
        <v/>
      </c>
      <c r="S8833" s="24" t="str" cm="1">
        <f t="array" ref="S8833">IFERROR(IF($B8833=S$1, ($A8833+$C8833) - MAX(IF($B$2:$B8832=$B8833, $A$2:$A8832+$C$2:$C8832)), "")*24*60, "")</f>
        <v/>
      </c>
    </row>
    <row r="8834" spans="1:19" x14ac:dyDescent="0.2">
      <c r="A8834" s="12">
        <f t="shared" ref="A8834:C8834" si="1473">A8833</f>
        <v>46036</v>
      </c>
      <c r="B8834" s="5" t="str">
        <f t="shared" si="1473"/>
        <v>Northern Cardinal</v>
      </c>
      <c r="C8834" s="6">
        <f t="shared" si="1473"/>
        <v>0.74930555555555556</v>
      </c>
      <c r="D8834" s="5"/>
      <c r="E8834" s="5"/>
      <c r="F8834" s="5" t="s">
        <v>9</v>
      </c>
      <c r="G8834" s="15" t="s">
        <v>8</v>
      </c>
      <c r="H8834" s="24">
        <f t="shared" si="1412"/>
        <v>0</v>
      </c>
      <c r="I8834" s="24" cm="1">
        <f t="array" ref="I8834">IFERROR(IF($B8834=I$1, ($A8834+$C8834) - MAX(IF($B$2:$B8833=$B8834, $A$2:$A8833+$C$2:$C8833)), "")*24*60, "")</f>
        <v>0</v>
      </c>
      <c r="J8834" s="24" t="str" cm="1">
        <f t="array" ref="J8834">IFERROR(IF($B8834=J$1, ($A8834+$C8834) - MAX(IF($B$2:$B8833=$B8834, $A$2:$A8833+$C$2:$C8833)), "")*24*60, "")</f>
        <v/>
      </c>
      <c r="K8834" s="24" t="str" cm="1">
        <f t="array" ref="K8834">IFERROR(IF($B8834=K$1, ($A8834+$C8834) - MAX(IF($B$2:$B8833=$B8834, $A$2:$A8833+$C$2:$C8833)), "")*24*60, "")</f>
        <v/>
      </c>
      <c r="L8834" s="24" t="str" cm="1">
        <f t="array" ref="L8834">IFERROR(IF($B8834=L$1, ($A8834+$C8834) - MAX(IF($B$2:$B8833=$B8834, $A$2:$A8833+$C$2:$C8833)), "")*24*60, "")</f>
        <v/>
      </c>
      <c r="M8834" s="24" t="str" cm="1">
        <f t="array" ref="M8834">IFERROR(IF($B8834=M$1, ($A8834+$C8834) - MAX(IF($B$2:$B8833=$B8834, $A$2:$A8833+$C$2:$C8833)), "")*24*60, "")</f>
        <v/>
      </c>
      <c r="N8834" s="24" t="str" cm="1">
        <f t="array" ref="N8834">IFERROR(IF($B8834=N$1, ($A8834+$C8834) - MAX(IF($B$2:$B8833=$B8834, $A$2:$A8833+$C$2:$C8833)), "")*24*60, "")</f>
        <v/>
      </c>
      <c r="O8834" s="24" t="str" cm="1">
        <f t="array" ref="O8834">IFERROR(IF($B8834=O$1, ($A8834+$C8834) - MAX(IF($B$2:$B8833=$B8834, $A$2:$A8833+$C$2:$C8833)), "")*24*60, "")</f>
        <v/>
      </c>
      <c r="P8834" s="24" t="str" cm="1">
        <f t="array" ref="P8834">IFERROR(IF($B8834=P$1, ($A8834+$C8834) - MAX(IF($B$2:$B8833=$B8834, $A$2:$A8833+$C$2:$C8833)), "")*24*60, "")</f>
        <v/>
      </c>
      <c r="Q8834" s="24" t="str" cm="1">
        <f t="array" ref="Q8834">IFERROR(IF($B8834=Q$1, ($A8834+$C8834) - MAX(IF($B$2:$B8833=$B8834, $A$2:$A8833+$C$2:$C8833)), "")*24*60, "")</f>
        <v/>
      </c>
      <c r="R8834" s="24" t="str" cm="1">
        <f t="array" ref="R8834">IFERROR(IF($B8834=R$1, ($A8834+$C8834) - MAX(IF($B$2:$B8833=$B8834, $A$2:$A8833+$C$2:$C8833)), "")*24*60, "")</f>
        <v/>
      </c>
      <c r="S8834" s="24" t="str" cm="1">
        <f t="array" ref="S8834">IFERROR(IF($B8834=S$1, ($A8834+$C8834) - MAX(IF($B$2:$B8833=$B8834, $A$2:$A8833+$C$2:$C8833)), "")*24*60, "")</f>
        <v/>
      </c>
    </row>
    <row r="8835" spans="1:19" x14ac:dyDescent="0.2">
      <c r="A8835" s="12">
        <f t="shared" ref="A8835:C8835" si="1474">A8834</f>
        <v>46036</v>
      </c>
      <c r="B8835" s="5" t="str">
        <f t="shared" si="1474"/>
        <v>Northern Cardinal</v>
      </c>
      <c r="C8835" s="6">
        <f t="shared" si="1474"/>
        <v>0.74930555555555556</v>
      </c>
      <c r="D8835" s="5"/>
      <c r="E8835" s="5"/>
      <c r="F8835" s="5" t="s">
        <v>9</v>
      </c>
      <c r="G8835" s="15" t="s">
        <v>8</v>
      </c>
      <c r="H8835" s="24">
        <f t="shared" si="1412"/>
        <v>0</v>
      </c>
      <c r="I8835" s="24" cm="1">
        <f t="array" ref="I8835">IFERROR(IF($B8835=I$1, ($A8835+$C8835) - MAX(IF($B$2:$B8834=$B8835, $A$2:$A8834+$C$2:$C8834)), "")*24*60, "")</f>
        <v>0</v>
      </c>
      <c r="J8835" s="24" t="str" cm="1">
        <f t="array" ref="J8835">IFERROR(IF($B8835=J$1, ($A8835+$C8835) - MAX(IF($B$2:$B8834=$B8835, $A$2:$A8834+$C$2:$C8834)), "")*24*60, "")</f>
        <v/>
      </c>
      <c r="K8835" s="24" t="str" cm="1">
        <f t="array" ref="K8835">IFERROR(IF($B8835=K$1, ($A8835+$C8835) - MAX(IF($B$2:$B8834=$B8835, $A$2:$A8834+$C$2:$C8834)), "")*24*60, "")</f>
        <v/>
      </c>
      <c r="L8835" s="24" t="str" cm="1">
        <f t="array" ref="L8835">IFERROR(IF($B8835=L$1, ($A8835+$C8835) - MAX(IF($B$2:$B8834=$B8835, $A$2:$A8834+$C$2:$C8834)), "")*24*60, "")</f>
        <v/>
      </c>
      <c r="M8835" s="24" t="str" cm="1">
        <f t="array" ref="M8835">IFERROR(IF($B8835=M$1, ($A8835+$C8835) - MAX(IF($B$2:$B8834=$B8835, $A$2:$A8834+$C$2:$C8834)), "")*24*60, "")</f>
        <v/>
      </c>
      <c r="N8835" s="24" t="str" cm="1">
        <f t="array" ref="N8835">IFERROR(IF($B8835=N$1, ($A8835+$C8835) - MAX(IF($B$2:$B8834=$B8835, $A$2:$A8834+$C$2:$C8834)), "")*24*60, "")</f>
        <v/>
      </c>
      <c r="O8835" s="24" t="str" cm="1">
        <f t="array" ref="O8835">IFERROR(IF($B8835=O$1, ($A8835+$C8835) - MAX(IF($B$2:$B8834=$B8835, $A$2:$A8834+$C$2:$C8834)), "")*24*60, "")</f>
        <v/>
      </c>
      <c r="P8835" s="24" t="str" cm="1">
        <f t="array" ref="P8835">IFERROR(IF($B8835=P$1, ($A8835+$C8835) - MAX(IF($B$2:$B8834=$B8835, $A$2:$A8834+$C$2:$C8834)), "")*24*60, "")</f>
        <v/>
      </c>
      <c r="Q8835" s="24" t="str" cm="1">
        <f t="array" ref="Q8835">IFERROR(IF($B8835=Q$1, ($A8835+$C8835) - MAX(IF($B$2:$B8834=$B8835, $A$2:$A8834+$C$2:$C8834)), "")*24*60, "")</f>
        <v/>
      </c>
      <c r="R8835" s="24" t="str" cm="1">
        <f t="array" ref="R8835">IFERROR(IF($B8835=R$1, ($A8835+$C8835) - MAX(IF($B$2:$B8834=$B8835, $A$2:$A8834+$C$2:$C8834)), "")*24*60, "")</f>
        <v/>
      </c>
      <c r="S8835" s="24" t="str" cm="1">
        <f t="array" ref="S8835">IFERROR(IF($B8835=S$1, ($A8835+$C8835) - MAX(IF($B$2:$B8834=$B8835, $A$2:$A8834+$C$2:$C8834)), "")*24*60, "")</f>
        <v/>
      </c>
    </row>
    <row r="8836" spans="1:19" x14ac:dyDescent="0.2">
      <c r="A8836" s="12">
        <f t="shared" ref="A8836:C8836" si="1475">A8835</f>
        <v>46036</v>
      </c>
      <c r="B8836" s="5" t="str">
        <f t="shared" si="1475"/>
        <v>Northern Cardinal</v>
      </c>
      <c r="C8836" s="6">
        <f t="shared" si="1475"/>
        <v>0.74930555555555556</v>
      </c>
      <c r="D8836" s="5"/>
      <c r="E8836" s="5"/>
      <c r="F8836" s="5" t="s">
        <v>9</v>
      </c>
      <c r="G8836" s="15" t="s">
        <v>8</v>
      </c>
      <c r="H8836" s="24">
        <f t="shared" si="1412"/>
        <v>0</v>
      </c>
      <c r="I8836" s="24" cm="1">
        <f t="array" ref="I8836">IFERROR(IF($B8836=I$1, ($A8836+$C8836) - MAX(IF($B$2:$B8835=$B8836, $A$2:$A8835+$C$2:$C8835)), "")*24*60, "")</f>
        <v>0</v>
      </c>
      <c r="J8836" s="24" t="str" cm="1">
        <f t="array" ref="J8836">IFERROR(IF($B8836=J$1, ($A8836+$C8836) - MAX(IF($B$2:$B8835=$B8836, $A$2:$A8835+$C$2:$C8835)), "")*24*60, "")</f>
        <v/>
      </c>
      <c r="K8836" s="24" t="str" cm="1">
        <f t="array" ref="K8836">IFERROR(IF($B8836=K$1, ($A8836+$C8836) - MAX(IF($B$2:$B8835=$B8836, $A$2:$A8835+$C$2:$C8835)), "")*24*60, "")</f>
        <v/>
      </c>
      <c r="L8836" s="24" t="str" cm="1">
        <f t="array" ref="L8836">IFERROR(IF($B8836=L$1, ($A8836+$C8836) - MAX(IF($B$2:$B8835=$B8836, $A$2:$A8835+$C$2:$C8835)), "")*24*60, "")</f>
        <v/>
      </c>
      <c r="M8836" s="24" t="str" cm="1">
        <f t="array" ref="M8836">IFERROR(IF($B8836=M$1, ($A8836+$C8836) - MAX(IF($B$2:$B8835=$B8836, $A$2:$A8835+$C$2:$C8835)), "")*24*60, "")</f>
        <v/>
      </c>
      <c r="N8836" s="24" t="str" cm="1">
        <f t="array" ref="N8836">IFERROR(IF($B8836=N$1, ($A8836+$C8836) - MAX(IF($B$2:$B8835=$B8836, $A$2:$A8835+$C$2:$C8835)), "")*24*60, "")</f>
        <v/>
      </c>
      <c r="O8836" s="24" t="str" cm="1">
        <f t="array" ref="O8836">IFERROR(IF($B8836=O$1, ($A8836+$C8836) - MAX(IF($B$2:$B8835=$B8836, $A$2:$A8835+$C$2:$C8835)), "")*24*60, "")</f>
        <v/>
      </c>
      <c r="P8836" s="24" t="str" cm="1">
        <f t="array" ref="P8836">IFERROR(IF($B8836=P$1, ($A8836+$C8836) - MAX(IF($B$2:$B8835=$B8836, $A$2:$A8835+$C$2:$C8835)), "")*24*60, "")</f>
        <v/>
      </c>
      <c r="Q8836" s="24" t="str" cm="1">
        <f t="array" ref="Q8836">IFERROR(IF($B8836=Q$1, ($A8836+$C8836) - MAX(IF($B$2:$B8835=$B8836, $A$2:$A8835+$C$2:$C8835)), "")*24*60, "")</f>
        <v/>
      </c>
      <c r="R8836" s="24" t="str" cm="1">
        <f t="array" ref="R8836">IFERROR(IF($B8836=R$1, ($A8836+$C8836) - MAX(IF($B$2:$B8835=$B8836, $A$2:$A8835+$C$2:$C8835)), "")*24*60, "")</f>
        <v/>
      </c>
      <c r="S8836" s="24" t="str" cm="1">
        <f t="array" ref="S8836">IFERROR(IF($B8836=S$1, ($A8836+$C8836) - MAX(IF($B$2:$B8835=$B8836, $A$2:$A8835+$C$2:$C8835)), "")*24*60, "")</f>
        <v/>
      </c>
    </row>
    <row r="8837" spans="1:19" x14ac:dyDescent="0.2">
      <c r="A8837" s="12">
        <f t="shared" ref="A8837:C8837" si="1476">A8836</f>
        <v>46036</v>
      </c>
      <c r="B8837" s="5" t="str">
        <f t="shared" si="1476"/>
        <v>Northern Cardinal</v>
      </c>
      <c r="C8837" s="6">
        <f t="shared" si="1476"/>
        <v>0.74930555555555556</v>
      </c>
      <c r="D8837" s="5"/>
      <c r="E8837" s="5"/>
      <c r="F8837" s="5" t="s">
        <v>9</v>
      </c>
      <c r="G8837" s="15" t="s">
        <v>8</v>
      </c>
      <c r="H8837" s="24">
        <f t="shared" si="1412"/>
        <v>0</v>
      </c>
      <c r="I8837" s="24" cm="1">
        <f t="array" ref="I8837">IFERROR(IF($B8837=I$1, ($A8837+$C8837) - MAX(IF($B$2:$B8836=$B8837, $A$2:$A8836+$C$2:$C8836)), "")*24*60, "")</f>
        <v>0</v>
      </c>
      <c r="J8837" s="24" t="str" cm="1">
        <f t="array" ref="J8837">IFERROR(IF($B8837=J$1, ($A8837+$C8837) - MAX(IF($B$2:$B8836=$B8837, $A$2:$A8836+$C$2:$C8836)), "")*24*60, "")</f>
        <v/>
      </c>
      <c r="K8837" s="24" t="str" cm="1">
        <f t="array" ref="K8837">IFERROR(IF($B8837=K$1, ($A8837+$C8837) - MAX(IF($B$2:$B8836=$B8837, $A$2:$A8836+$C$2:$C8836)), "")*24*60, "")</f>
        <v/>
      </c>
      <c r="L8837" s="24" t="str" cm="1">
        <f t="array" ref="L8837">IFERROR(IF($B8837=L$1, ($A8837+$C8837) - MAX(IF($B$2:$B8836=$B8837, $A$2:$A8836+$C$2:$C8836)), "")*24*60, "")</f>
        <v/>
      </c>
      <c r="M8837" s="24" t="str" cm="1">
        <f t="array" ref="M8837">IFERROR(IF($B8837=M$1, ($A8837+$C8837) - MAX(IF($B$2:$B8836=$B8837, $A$2:$A8836+$C$2:$C8836)), "")*24*60, "")</f>
        <v/>
      </c>
      <c r="N8837" s="24" t="str" cm="1">
        <f t="array" ref="N8837">IFERROR(IF($B8837=N$1, ($A8837+$C8837) - MAX(IF($B$2:$B8836=$B8837, $A$2:$A8836+$C$2:$C8836)), "")*24*60, "")</f>
        <v/>
      </c>
      <c r="O8837" s="24" t="str" cm="1">
        <f t="array" ref="O8837">IFERROR(IF($B8837=O$1, ($A8837+$C8837) - MAX(IF($B$2:$B8836=$B8837, $A$2:$A8836+$C$2:$C8836)), "")*24*60, "")</f>
        <v/>
      </c>
      <c r="P8837" s="24" t="str" cm="1">
        <f t="array" ref="P8837">IFERROR(IF($B8837=P$1, ($A8837+$C8837) - MAX(IF($B$2:$B8836=$B8837, $A$2:$A8836+$C$2:$C8836)), "")*24*60, "")</f>
        <v/>
      </c>
      <c r="Q8837" s="24" t="str" cm="1">
        <f t="array" ref="Q8837">IFERROR(IF($B8837=Q$1, ($A8837+$C8837) - MAX(IF($B$2:$B8836=$B8837, $A$2:$A8836+$C$2:$C8836)), "")*24*60, "")</f>
        <v/>
      </c>
      <c r="R8837" s="24" t="str" cm="1">
        <f t="array" ref="R8837">IFERROR(IF($B8837=R$1, ($A8837+$C8837) - MAX(IF($B$2:$B8836=$B8837, $A$2:$A8836+$C$2:$C8836)), "")*24*60, "")</f>
        <v/>
      </c>
      <c r="S8837" s="24" t="str" cm="1">
        <f t="array" ref="S8837">IFERROR(IF($B8837=S$1, ($A8837+$C8837) - MAX(IF($B$2:$B8836=$B8837, $A$2:$A8836+$C$2:$C8836)), "")*24*60, "")</f>
        <v/>
      </c>
    </row>
    <row r="8838" spans="1:19" x14ac:dyDescent="0.2">
      <c r="A8838" s="12">
        <f t="shared" ref="A8838:C8838" si="1477">A8837</f>
        <v>46036</v>
      </c>
      <c r="B8838" s="5" t="str">
        <f t="shared" si="1477"/>
        <v>Northern Cardinal</v>
      </c>
      <c r="C8838" s="6">
        <f t="shared" si="1477"/>
        <v>0.74930555555555556</v>
      </c>
      <c r="D8838" s="5"/>
      <c r="E8838" s="5"/>
      <c r="F8838" s="5" t="s">
        <v>9</v>
      </c>
      <c r="G8838" s="15" t="s">
        <v>8</v>
      </c>
      <c r="H8838" s="24">
        <f t="shared" si="1412"/>
        <v>0</v>
      </c>
      <c r="I8838" s="24" cm="1">
        <f t="array" ref="I8838">IFERROR(IF($B8838=I$1, ($A8838+$C8838) - MAX(IF($B$2:$B8837=$B8838, $A$2:$A8837+$C$2:$C8837)), "")*24*60, "")</f>
        <v>0</v>
      </c>
      <c r="J8838" s="24" t="str" cm="1">
        <f t="array" ref="J8838">IFERROR(IF($B8838=J$1, ($A8838+$C8838) - MAX(IF($B$2:$B8837=$B8838, $A$2:$A8837+$C$2:$C8837)), "")*24*60, "")</f>
        <v/>
      </c>
      <c r="K8838" s="24" t="str" cm="1">
        <f t="array" ref="K8838">IFERROR(IF($B8838=K$1, ($A8838+$C8838) - MAX(IF($B$2:$B8837=$B8838, $A$2:$A8837+$C$2:$C8837)), "")*24*60, "")</f>
        <v/>
      </c>
      <c r="L8838" s="24" t="str" cm="1">
        <f t="array" ref="L8838">IFERROR(IF($B8838=L$1, ($A8838+$C8838) - MAX(IF($B$2:$B8837=$B8838, $A$2:$A8837+$C$2:$C8837)), "")*24*60, "")</f>
        <v/>
      </c>
      <c r="M8838" s="24" t="str" cm="1">
        <f t="array" ref="M8838">IFERROR(IF($B8838=M$1, ($A8838+$C8838) - MAX(IF($B$2:$B8837=$B8838, $A$2:$A8837+$C$2:$C8837)), "")*24*60, "")</f>
        <v/>
      </c>
      <c r="N8838" s="24" t="str" cm="1">
        <f t="array" ref="N8838">IFERROR(IF($B8838=N$1, ($A8838+$C8838) - MAX(IF($B$2:$B8837=$B8838, $A$2:$A8837+$C$2:$C8837)), "")*24*60, "")</f>
        <v/>
      </c>
      <c r="O8838" s="24" t="str" cm="1">
        <f t="array" ref="O8838">IFERROR(IF($B8838=O$1, ($A8838+$C8838) - MAX(IF($B$2:$B8837=$B8838, $A$2:$A8837+$C$2:$C8837)), "")*24*60, "")</f>
        <v/>
      </c>
      <c r="P8838" s="24" t="str" cm="1">
        <f t="array" ref="P8838">IFERROR(IF($B8838=P$1, ($A8838+$C8838) - MAX(IF($B$2:$B8837=$B8838, $A$2:$A8837+$C$2:$C8837)), "")*24*60, "")</f>
        <v/>
      </c>
      <c r="Q8838" s="24" t="str" cm="1">
        <f t="array" ref="Q8838">IFERROR(IF($B8838=Q$1, ($A8838+$C8838) - MAX(IF($B$2:$B8837=$B8838, $A$2:$A8837+$C$2:$C8837)), "")*24*60, "")</f>
        <v/>
      </c>
      <c r="R8838" s="24" t="str" cm="1">
        <f t="array" ref="R8838">IFERROR(IF($B8838=R$1, ($A8838+$C8838) - MAX(IF($B$2:$B8837=$B8838, $A$2:$A8837+$C$2:$C8837)), "")*24*60, "")</f>
        <v/>
      </c>
      <c r="S8838" s="24" t="str" cm="1">
        <f t="array" ref="S8838">IFERROR(IF($B8838=S$1, ($A8838+$C8838) - MAX(IF($B$2:$B8837=$B8838, $A$2:$A8837+$C$2:$C8837)), "")*24*60, "")</f>
        <v/>
      </c>
    </row>
    <row r="8839" spans="1:19" x14ac:dyDescent="0.2">
      <c r="A8839" s="12">
        <f t="shared" ref="A8839:C8839" si="1478">A8838</f>
        <v>46036</v>
      </c>
      <c r="B8839" s="5" t="str">
        <f t="shared" si="1478"/>
        <v>Northern Cardinal</v>
      </c>
      <c r="C8839" s="6">
        <f t="shared" si="1478"/>
        <v>0.74930555555555556</v>
      </c>
      <c r="D8839" s="5"/>
      <c r="E8839" s="5"/>
      <c r="F8839" s="5" t="s">
        <v>9</v>
      </c>
      <c r="G8839" s="15" t="s">
        <v>8</v>
      </c>
      <c r="H8839" s="24">
        <f t="shared" si="1412"/>
        <v>0</v>
      </c>
      <c r="I8839" s="24" cm="1">
        <f t="array" ref="I8839">IFERROR(IF($B8839=I$1, ($A8839+$C8839) - MAX(IF($B$2:$B8838=$B8839, $A$2:$A8838+$C$2:$C8838)), "")*24*60, "")</f>
        <v>0</v>
      </c>
      <c r="J8839" s="24" t="str" cm="1">
        <f t="array" ref="J8839">IFERROR(IF($B8839=J$1, ($A8839+$C8839) - MAX(IF($B$2:$B8838=$B8839, $A$2:$A8838+$C$2:$C8838)), "")*24*60, "")</f>
        <v/>
      </c>
      <c r="K8839" s="24" t="str" cm="1">
        <f t="array" ref="K8839">IFERROR(IF($B8839=K$1, ($A8839+$C8839) - MAX(IF($B$2:$B8838=$B8839, $A$2:$A8838+$C$2:$C8838)), "")*24*60, "")</f>
        <v/>
      </c>
      <c r="L8839" s="24" t="str" cm="1">
        <f t="array" ref="L8839">IFERROR(IF($B8839=L$1, ($A8839+$C8839) - MAX(IF($B$2:$B8838=$B8839, $A$2:$A8838+$C$2:$C8838)), "")*24*60, "")</f>
        <v/>
      </c>
      <c r="M8839" s="24" t="str" cm="1">
        <f t="array" ref="M8839">IFERROR(IF($B8839=M$1, ($A8839+$C8839) - MAX(IF($B$2:$B8838=$B8839, $A$2:$A8838+$C$2:$C8838)), "")*24*60, "")</f>
        <v/>
      </c>
      <c r="N8839" s="24" t="str" cm="1">
        <f t="array" ref="N8839">IFERROR(IF($B8839=N$1, ($A8839+$C8839) - MAX(IF($B$2:$B8838=$B8839, $A$2:$A8838+$C$2:$C8838)), "")*24*60, "")</f>
        <v/>
      </c>
      <c r="O8839" s="24" t="str" cm="1">
        <f t="array" ref="O8839">IFERROR(IF($B8839=O$1, ($A8839+$C8839) - MAX(IF($B$2:$B8838=$B8839, $A$2:$A8838+$C$2:$C8838)), "")*24*60, "")</f>
        <v/>
      </c>
      <c r="P8839" s="24" t="str" cm="1">
        <f t="array" ref="P8839">IFERROR(IF($B8839=P$1, ($A8839+$C8839) - MAX(IF($B$2:$B8838=$B8839, $A$2:$A8838+$C$2:$C8838)), "")*24*60, "")</f>
        <v/>
      </c>
      <c r="Q8839" s="24" t="str" cm="1">
        <f t="array" ref="Q8839">IFERROR(IF($B8839=Q$1, ($A8839+$C8839) - MAX(IF($B$2:$B8838=$B8839, $A$2:$A8838+$C$2:$C8838)), "")*24*60, "")</f>
        <v/>
      </c>
      <c r="R8839" s="24" t="str" cm="1">
        <f t="array" ref="R8839">IFERROR(IF($B8839=R$1, ($A8839+$C8839) - MAX(IF($B$2:$B8838=$B8839, $A$2:$A8838+$C$2:$C8838)), "")*24*60, "")</f>
        <v/>
      </c>
      <c r="S8839" s="24" t="str" cm="1">
        <f t="array" ref="S8839">IFERROR(IF($B8839=S$1, ($A8839+$C8839) - MAX(IF($B$2:$B8838=$B8839, $A$2:$A8838+$C$2:$C8838)), "")*24*60, "")</f>
        <v/>
      </c>
    </row>
    <row r="8840" spans="1:19" x14ac:dyDescent="0.2">
      <c r="A8840" s="12">
        <f t="shared" ref="A8840:C8840" si="1479">A8839</f>
        <v>46036</v>
      </c>
      <c r="B8840" s="5" t="str">
        <f t="shared" si="1479"/>
        <v>Northern Cardinal</v>
      </c>
      <c r="C8840" s="6">
        <f t="shared" si="1479"/>
        <v>0.74930555555555556</v>
      </c>
      <c r="D8840" s="5"/>
      <c r="E8840" s="5"/>
      <c r="F8840" s="5" t="s">
        <v>9</v>
      </c>
      <c r="G8840" s="15" t="s">
        <v>8</v>
      </c>
      <c r="H8840" s="24">
        <f t="shared" si="1412"/>
        <v>0</v>
      </c>
      <c r="I8840" s="24" cm="1">
        <f t="array" ref="I8840">IFERROR(IF($B8840=I$1, ($A8840+$C8840) - MAX(IF($B$2:$B8839=$B8840, $A$2:$A8839+$C$2:$C8839)), "")*24*60, "")</f>
        <v>0</v>
      </c>
      <c r="J8840" s="24" t="str" cm="1">
        <f t="array" ref="J8840">IFERROR(IF($B8840=J$1, ($A8840+$C8840) - MAX(IF($B$2:$B8839=$B8840, $A$2:$A8839+$C$2:$C8839)), "")*24*60, "")</f>
        <v/>
      </c>
      <c r="K8840" s="24" t="str" cm="1">
        <f t="array" ref="K8840">IFERROR(IF($B8840=K$1, ($A8840+$C8840) - MAX(IF($B$2:$B8839=$B8840, $A$2:$A8839+$C$2:$C8839)), "")*24*60, "")</f>
        <v/>
      </c>
      <c r="L8840" s="24" t="str" cm="1">
        <f t="array" ref="L8840">IFERROR(IF($B8840=L$1, ($A8840+$C8840) - MAX(IF($B$2:$B8839=$B8840, $A$2:$A8839+$C$2:$C8839)), "")*24*60, "")</f>
        <v/>
      </c>
      <c r="M8840" s="24" t="str" cm="1">
        <f t="array" ref="M8840">IFERROR(IF($B8840=M$1, ($A8840+$C8840) - MAX(IF($B$2:$B8839=$B8840, $A$2:$A8839+$C$2:$C8839)), "")*24*60, "")</f>
        <v/>
      </c>
      <c r="N8840" s="24" t="str" cm="1">
        <f t="array" ref="N8840">IFERROR(IF($B8840=N$1, ($A8840+$C8840) - MAX(IF($B$2:$B8839=$B8840, $A$2:$A8839+$C$2:$C8839)), "")*24*60, "")</f>
        <v/>
      </c>
      <c r="O8840" s="24" t="str" cm="1">
        <f t="array" ref="O8840">IFERROR(IF($B8840=O$1, ($A8840+$C8840) - MAX(IF($B$2:$B8839=$B8840, $A$2:$A8839+$C$2:$C8839)), "")*24*60, "")</f>
        <v/>
      </c>
      <c r="P8840" s="24" t="str" cm="1">
        <f t="array" ref="P8840">IFERROR(IF($B8840=P$1, ($A8840+$C8840) - MAX(IF($B$2:$B8839=$B8840, $A$2:$A8839+$C$2:$C8839)), "")*24*60, "")</f>
        <v/>
      </c>
      <c r="Q8840" s="24" t="str" cm="1">
        <f t="array" ref="Q8840">IFERROR(IF($B8840=Q$1, ($A8840+$C8840) - MAX(IF($B$2:$B8839=$B8840, $A$2:$A8839+$C$2:$C8839)), "")*24*60, "")</f>
        <v/>
      </c>
      <c r="R8840" s="24" t="str" cm="1">
        <f t="array" ref="R8840">IFERROR(IF($B8840=R$1, ($A8840+$C8840) - MAX(IF($B$2:$B8839=$B8840, $A$2:$A8839+$C$2:$C8839)), "")*24*60, "")</f>
        <v/>
      </c>
      <c r="S8840" s="24" t="str" cm="1">
        <f t="array" ref="S8840">IFERROR(IF($B8840=S$1, ($A8840+$C8840) - MAX(IF($B$2:$B8839=$B8840, $A$2:$A8839+$C$2:$C8839)), "")*24*60, "")</f>
        <v/>
      </c>
    </row>
    <row r="8841" spans="1:19" x14ac:dyDescent="0.2">
      <c r="A8841" s="12">
        <f t="shared" ref="A8841:C8841" si="1480">A8840</f>
        <v>46036</v>
      </c>
      <c r="B8841" s="5" t="str">
        <f t="shared" si="1480"/>
        <v>Northern Cardinal</v>
      </c>
      <c r="C8841" s="6">
        <f t="shared" si="1480"/>
        <v>0.74930555555555556</v>
      </c>
      <c r="D8841" s="5"/>
      <c r="E8841" s="5"/>
      <c r="F8841" s="5" t="s">
        <v>9</v>
      </c>
      <c r="G8841" s="15" t="s">
        <v>8</v>
      </c>
      <c r="H8841" s="24">
        <f t="shared" si="1412"/>
        <v>0</v>
      </c>
      <c r="I8841" s="24" cm="1">
        <f t="array" ref="I8841">IFERROR(IF($B8841=I$1, ($A8841+$C8841) - MAX(IF($B$2:$B8840=$B8841, $A$2:$A8840+$C$2:$C8840)), "")*24*60, "")</f>
        <v>0</v>
      </c>
      <c r="J8841" s="24" t="str" cm="1">
        <f t="array" ref="J8841">IFERROR(IF($B8841=J$1, ($A8841+$C8841) - MAX(IF($B$2:$B8840=$B8841, $A$2:$A8840+$C$2:$C8840)), "")*24*60, "")</f>
        <v/>
      </c>
      <c r="K8841" s="24" t="str" cm="1">
        <f t="array" ref="K8841">IFERROR(IF($B8841=K$1, ($A8841+$C8841) - MAX(IF($B$2:$B8840=$B8841, $A$2:$A8840+$C$2:$C8840)), "")*24*60, "")</f>
        <v/>
      </c>
      <c r="L8841" s="24" t="str" cm="1">
        <f t="array" ref="L8841">IFERROR(IF($B8841=L$1, ($A8841+$C8841) - MAX(IF($B$2:$B8840=$B8841, $A$2:$A8840+$C$2:$C8840)), "")*24*60, "")</f>
        <v/>
      </c>
      <c r="M8841" s="24" t="str" cm="1">
        <f t="array" ref="M8841">IFERROR(IF($B8841=M$1, ($A8841+$C8841) - MAX(IF($B$2:$B8840=$B8841, $A$2:$A8840+$C$2:$C8840)), "")*24*60, "")</f>
        <v/>
      </c>
      <c r="N8841" s="24" t="str" cm="1">
        <f t="array" ref="N8841">IFERROR(IF($B8841=N$1, ($A8841+$C8841) - MAX(IF($B$2:$B8840=$B8841, $A$2:$A8840+$C$2:$C8840)), "")*24*60, "")</f>
        <v/>
      </c>
      <c r="O8841" s="24" t="str" cm="1">
        <f t="array" ref="O8841">IFERROR(IF($B8841=O$1, ($A8841+$C8841) - MAX(IF($B$2:$B8840=$B8841, $A$2:$A8840+$C$2:$C8840)), "")*24*60, "")</f>
        <v/>
      </c>
      <c r="P8841" s="24" t="str" cm="1">
        <f t="array" ref="P8841">IFERROR(IF($B8841=P$1, ($A8841+$C8841) - MAX(IF($B$2:$B8840=$B8841, $A$2:$A8840+$C$2:$C8840)), "")*24*60, "")</f>
        <v/>
      </c>
      <c r="Q8841" s="24" t="str" cm="1">
        <f t="array" ref="Q8841">IFERROR(IF($B8841=Q$1, ($A8841+$C8841) - MAX(IF($B$2:$B8840=$B8841, $A$2:$A8840+$C$2:$C8840)), "")*24*60, "")</f>
        <v/>
      </c>
      <c r="R8841" s="24" t="str" cm="1">
        <f t="array" ref="R8841">IFERROR(IF($B8841=R$1, ($A8841+$C8841) - MAX(IF($B$2:$B8840=$B8841, $A$2:$A8840+$C$2:$C8840)), "")*24*60, "")</f>
        <v/>
      </c>
      <c r="S8841" s="24" t="str" cm="1">
        <f t="array" ref="S8841">IFERROR(IF($B8841=S$1, ($A8841+$C8841) - MAX(IF($B$2:$B8840=$B8841, $A$2:$A8840+$C$2:$C8840)), "")*24*60, "")</f>
        <v/>
      </c>
    </row>
    <row r="8842" spans="1:19" x14ac:dyDescent="0.2">
      <c r="A8842" s="12">
        <f t="shared" ref="A8842:C8842" si="1481">A8841</f>
        <v>46036</v>
      </c>
      <c r="B8842" s="5" t="str">
        <f t="shared" si="1481"/>
        <v>Northern Cardinal</v>
      </c>
      <c r="C8842" s="6">
        <f t="shared" si="1481"/>
        <v>0.74930555555555556</v>
      </c>
      <c r="D8842" s="5"/>
      <c r="E8842" s="5"/>
      <c r="F8842" s="5" t="s">
        <v>9</v>
      </c>
      <c r="G8842" s="15" t="s">
        <v>8</v>
      </c>
      <c r="H8842" s="24">
        <f t="shared" si="1412"/>
        <v>0</v>
      </c>
      <c r="I8842" s="24" cm="1">
        <f t="array" ref="I8842">IFERROR(IF($B8842=I$1, ($A8842+$C8842) - MAX(IF($B$2:$B8841=$B8842, $A$2:$A8841+$C$2:$C8841)), "")*24*60, "")</f>
        <v>0</v>
      </c>
      <c r="J8842" s="24" t="str" cm="1">
        <f t="array" ref="J8842">IFERROR(IF($B8842=J$1, ($A8842+$C8842) - MAX(IF($B$2:$B8841=$B8842, $A$2:$A8841+$C$2:$C8841)), "")*24*60, "")</f>
        <v/>
      </c>
      <c r="K8842" s="24" t="str" cm="1">
        <f t="array" ref="K8842">IFERROR(IF($B8842=K$1, ($A8842+$C8842) - MAX(IF($B$2:$B8841=$B8842, $A$2:$A8841+$C$2:$C8841)), "")*24*60, "")</f>
        <v/>
      </c>
      <c r="L8842" s="24" t="str" cm="1">
        <f t="array" ref="L8842">IFERROR(IF($B8842=L$1, ($A8842+$C8842) - MAX(IF($B$2:$B8841=$B8842, $A$2:$A8841+$C$2:$C8841)), "")*24*60, "")</f>
        <v/>
      </c>
      <c r="M8842" s="24" t="str" cm="1">
        <f t="array" ref="M8842">IFERROR(IF($B8842=M$1, ($A8842+$C8842) - MAX(IF($B$2:$B8841=$B8842, $A$2:$A8841+$C$2:$C8841)), "")*24*60, "")</f>
        <v/>
      </c>
      <c r="N8842" s="24" t="str" cm="1">
        <f t="array" ref="N8842">IFERROR(IF($B8842=N$1, ($A8842+$C8842) - MAX(IF($B$2:$B8841=$B8842, $A$2:$A8841+$C$2:$C8841)), "")*24*60, "")</f>
        <v/>
      </c>
      <c r="O8842" s="24" t="str" cm="1">
        <f t="array" ref="O8842">IFERROR(IF($B8842=O$1, ($A8842+$C8842) - MAX(IF($B$2:$B8841=$B8842, $A$2:$A8841+$C$2:$C8841)), "")*24*60, "")</f>
        <v/>
      </c>
      <c r="P8842" s="24" t="str" cm="1">
        <f t="array" ref="P8842">IFERROR(IF($B8842=P$1, ($A8842+$C8842) - MAX(IF($B$2:$B8841=$B8842, $A$2:$A8841+$C$2:$C8841)), "")*24*60, "")</f>
        <v/>
      </c>
      <c r="Q8842" s="24" t="str" cm="1">
        <f t="array" ref="Q8842">IFERROR(IF($B8842=Q$1, ($A8842+$C8842) - MAX(IF($B$2:$B8841=$B8842, $A$2:$A8841+$C$2:$C8841)), "")*24*60, "")</f>
        <v/>
      </c>
      <c r="R8842" s="24" t="str" cm="1">
        <f t="array" ref="R8842">IFERROR(IF($B8842=R$1, ($A8842+$C8842) - MAX(IF($B$2:$B8841=$B8842, $A$2:$A8841+$C$2:$C8841)), "")*24*60, "")</f>
        <v/>
      </c>
      <c r="S8842" s="24" t="str" cm="1">
        <f t="array" ref="S8842">IFERROR(IF($B8842=S$1, ($A8842+$C8842) - MAX(IF($B$2:$B8841=$B8842, $A$2:$A8841+$C$2:$C8841)), "")*24*60, "")</f>
        <v/>
      </c>
    </row>
    <row r="8843" spans="1:19" x14ac:dyDescent="0.2">
      <c r="A8843" s="12">
        <f t="shared" ref="A8843:C8843" si="1482">A8842</f>
        <v>46036</v>
      </c>
      <c r="B8843" s="5" t="str">
        <f t="shared" si="1482"/>
        <v>Northern Cardinal</v>
      </c>
      <c r="C8843" s="6">
        <f t="shared" si="1482"/>
        <v>0.74930555555555556</v>
      </c>
      <c r="D8843" s="5"/>
      <c r="E8843" s="5"/>
      <c r="F8843" s="5" t="s">
        <v>9</v>
      </c>
      <c r="G8843" s="15" t="s">
        <v>8</v>
      </c>
      <c r="H8843" s="24">
        <f t="shared" si="1412"/>
        <v>0</v>
      </c>
      <c r="I8843" s="24" cm="1">
        <f t="array" ref="I8843">IFERROR(IF($B8843=I$1, ($A8843+$C8843) - MAX(IF($B$2:$B8842=$B8843, $A$2:$A8842+$C$2:$C8842)), "")*24*60, "")</f>
        <v>0</v>
      </c>
      <c r="J8843" s="24" t="str" cm="1">
        <f t="array" ref="J8843">IFERROR(IF($B8843=J$1, ($A8843+$C8843) - MAX(IF($B$2:$B8842=$B8843, $A$2:$A8842+$C$2:$C8842)), "")*24*60, "")</f>
        <v/>
      </c>
      <c r="K8843" s="24" t="str" cm="1">
        <f t="array" ref="K8843">IFERROR(IF($B8843=K$1, ($A8843+$C8843) - MAX(IF($B$2:$B8842=$B8843, $A$2:$A8842+$C$2:$C8842)), "")*24*60, "")</f>
        <v/>
      </c>
      <c r="L8843" s="24" t="str" cm="1">
        <f t="array" ref="L8843">IFERROR(IF($B8843=L$1, ($A8843+$C8843) - MAX(IF($B$2:$B8842=$B8843, $A$2:$A8842+$C$2:$C8842)), "")*24*60, "")</f>
        <v/>
      </c>
      <c r="M8843" s="24" t="str" cm="1">
        <f t="array" ref="M8843">IFERROR(IF($B8843=M$1, ($A8843+$C8843) - MAX(IF($B$2:$B8842=$B8843, $A$2:$A8842+$C$2:$C8842)), "")*24*60, "")</f>
        <v/>
      </c>
      <c r="N8843" s="24" t="str" cm="1">
        <f t="array" ref="N8843">IFERROR(IF($B8843=N$1, ($A8843+$C8843) - MAX(IF($B$2:$B8842=$B8843, $A$2:$A8842+$C$2:$C8842)), "")*24*60, "")</f>
        <v/>
      </c>
      <c r="O8843" s="24" t="str" cm="1">
        <f t="array" ref="O8843">IFERROR(IF($B8843=O$1, ($A8843+$C8843) - MAX(IF($B$2:$B8842=$B8843, $A$2:$A8842+$C$2:$C8842)), "")*24*60, "")</f>
        <v/>
      </c>
      <c r="P8843" s="24" t="str" cm="1">
        <f t="array" ref="P8843">IFERROR(IF($B8843=P$1, ($A8843+$C8843) - MAX(IF($B$2:$B8842=$B8843, $A$2:$A8842+$C$2:$C8842)), "")*24*60, "")</f>
        <v/>
      </c>
      <c r="Q8843" s="24" t="str" cm="1">
        <f t="array" ref="Q8843">IFERROR(IF($B8843=Q$1, ($A8843+$C8843) - MAX(IF($B$2:$B8842=$B8843, $A$2:$A8842+$C$2:$C8842)), "")*24*60, "")</f>
        <v/>
      </c>
      <c r="R8843" s="24" t="str" cm="1">
        <f t="array" ref="R8843">IFERROR(IF($B8843=R$1, ($A8843+$C8843) - MAX(IF($B$2:$B8842=$B8843, $A$2:$A8842+$C$2:$C8842)), "")*24*60, "")</f>
        <v/>
      </c>
      <c r="S8843" s="24" t="str" cm="1">
        <f t="array" ref="S8843">IFERROR(IF($B8843=S$1, ($A8843+$C8843) - MAX(IF($B$2:$B8842=$B8843, $A$2:$A8842+$C$2:$C8842)), "")*24*60, "")</f>
        <v/>
      </c>
    </row>
    <row r="8844" spans="1:19" x14ac:dyDescent="0.2">
      <c r="A8844" s="12">
        <f t="shared" ref="A8844:C8844" si="1483">A8843</f>
        <v>46036</v>
      </c>
      <c r="B8844" s="5" t="str">
        <f t="shared" si="1483"/>
        <v>Northern Cardinal</v>
      </c>
      <c r="C8844" s="6">
        <f t="shared" si="1483"/>
        <v>0.74930555555555556</v>
      </c>
      <c r="D8844" s="5"/>
      <c r="E8844" s="5"/>
      <c r="F8844" s="5" t="s">
        <v>9</v>
      </c>
      <c r="G8844" s="15" t="s">
        <v>8</v>
      </c>
      <c r="H8844" s="24">
        <f t="shared" si="1412"/>
        <v>0</v>
      </c>
      <c r="I8844" s="24" cm="1">
        <f t="array" ref="I8844">IFERROR(IF($B8844=I$1, ($A8844+$C8844) - MAX(IF($B$2:$B8843=$B8844, $A$2:$A8843+$C$2:$C8843)), "")*24*60, "")</f>
        <v>0</v>
      </c>
      <c r="J8844" s="24" t="str" cm="1">
        <f t="array" ref="J8844">IFERROR(IF($B8844=J$1, ($A8844+$C8844) - MAX(IF($B$2:$B8843=$B8844, $A$2:$A8843+$C$2:$C8843)), "")*24*60, "")</f>
        <v/>
      </c>
      <c r="K8844" s="24" t="str" cm="1">
        <f t="array" ref="K8844">IFERROR(IF($B8844=K$1, ($A8844+$C8844) - MAX(IF($B$2:$B8843=$B8844, $A$2:$A8843+$C$2:$C8843)), "")*24*60, "")</f>
        <v/>
      </c>
      <c r="L8844" s="24" t="str" cm="1">
        <f t="array" ref="L8844">IFERROR(IF($B8844=L$1, ($A8844+$C8844) - MAX(IF($B$2:$B8843=$B8844, $A$2:$A8843+$C$2:$C8843)), "")*24*60, "")</f>
        <v/>
      </c>
      <c r="M8844" s="24" t="str" cm="1">
        <f t="array" ref="M8844">IFERROR(IF($B8844=M$1, ($A8844+$C8844) - MAX(IF($B$2:$B8843=$B8844, $A$2:$A8843+$C$2:$C8843)), "")*24*60, "")</f>
        <v/>
      </c>
      <c r="N8844" s="24" t="str" cm="1">
        <f t="array" ref="N8844">IFERROR(IF($B8844=N$1, ($A8844+$C8844) - MAX(IF($B$2:$B8843=$B8844, $A$2:$A8843+$C$2:$C8843)), "")*24*60, "")</f>
        <v/>
      </c>
      <c r="O8844" s="24" t="str" cm="1">
        <f t="array" ref="O8844">IFERROR(IF($B8844=O$1, ($A8844+$C8844) - MAX(IF($B$2:$B8843=$B8844, $A$2:$A8843+$C$2:$C8843)), "")*24*60, "")</f>
        <v/>
      </c>
      <c r="P8844" s="24" t="str" cm="1">
        <f t="array" ref="P8844">IFERROR(IF($B8844=P$1, ($A8844+$C8844) - MAX(IF($B$2:$B8843=$B8844, $A$2:$A8843+$C$2:$C8843)), "")*24*60, "")</f>
        <v/>
      </c>
      <c r="Q8844" s="24" t="str" cm="1">
        <f t="array" ref="Q8844">IFERROR(IF($B8844=Q$1, ($A8844+$C8844) - MAX(IF($B$2:$B8843=$B8844, $A$2:$A8843+$C$2:$C8843)), "")*24*60, "")</f>
        <v/>
      </c>
      <c r="R8844" s="24" t="str" cm="1">
        <f t="array" ref="R8844">IFERROR(IF($B8844=R$1, ($A8844+$C8844) - MAX(IF($B$2:$B8843=$B8844, $A$2:$A8843+$C$2:$C8843)), "")*24*60, "")</f>
        <v/>
      </c>
      <c r="S8844" s="24" t="str" cm="1">
        <f t="array" ref="S8844">IFERROR(IF($B8844=S$1, ($A8844+$C8844) - MAX(IF($B$2:$B8843=$B8844, $A$2:$A8843+$C$2:$C8843)), "")*24*60, "")</f>
        <v/>
      </c>
    </row>
    <row r="8845" spans="1:19" x14ac:dyDescent="0.2">
      <c r="A8845" s="12">
        <f t="shared" ref="A8845:C8845" si="1484">A8844</f>
        <v>46036</v>
      </c>
      <c r="B8845" s="5" t="str">
        <f t="shared" si="1484"/>
        <v>Northern Cardinal</v>
      </c>
      <c r="C8845" s="6">
        <f t="shared" si="1484"/>
        <v>0.74930555555555556</v>
      </c>
      <c r="D8845" s="5"/>
      <c r="E8845" s="5"/>
      <c r="F8845" s="5" t="s">
        <v>9</v>
      </c>
      <c r="G8845" s="15" t="s">
        <v>8</v>
      </c>
      <c r="H8845" s="24">
        <f t="shared" si="1412"/>
        <v>0</v>
      </c>
      <c r="I8845" s="24" cm="1">
        <f t="array" ref="I8845">IFERROR(IF($B8845=I$1, ($A8845+$C8845) - MAX(IF($B$2:$B8844=$B8845, $A$2:$A8844+$C$2:$C8844)), "")*24*60, "")</f>
        <v>0</v>
      </c>
      <c r="J8845" s="24" t="str" cm="1">
        <f t="array" ref="J8845">IFERROR(IF($B8845=J$1, ($A8845+$C8845) - MAX(IF($B$2:$B8844=$B8845, $A$2:$A8844+$C$2:$C8844)), "")*24*60, "")</f>
        <v/>
      </c>
      <c r="K8845" s="24" t="str" cm="1">
        <f t="array" ref="K8845">IFERROR(IF($B8845=K$1, ($A8845+$C8845) - MAX(IF($B$2:$B8844=$B8845, $A$2:$A8844+$C$2:$C8844)), "")*24*60, "")</f>
        <v/>
      </c>
      <c r="L8845" s="24" t="str" cm="1">
        <f t="array" ref="L8845">IFERROR(IF($B8845=L$1, ($A8845+$C8845) - MAX(IF($B$2:$B8844=$B8845, $A$2:$A8844+$C$2:$C8844)), "")*24*60, "")</f>
        <v/>
      </c>
      <c r="M8845" s="24" t="str" cm="1">
        <f t="array" ref="M8845">IFERROR(IF($B8845=M$1, ($A8845+$C8845) - MAX(IF($B$2:$B8844=$B8845, $A$2:$A8844+$C$2:$C8844)), "")*24*60, "")</f>
        <v/>
      </c>
      <c r="N8845" s="24" t="str" cm="1">
        <f t="array" ref="N8845">IFERROR(IF($B8845=N$1, ($A8845+$C8845) - MAX(IF($B$2:$B8844=$B8845, $A$2:$A8844+$C$2:$C8844)), "")*24*60, "")</f>
        <v/>
      </c>
      <c r="O8845" s="24" t="str" cm="1">
        <f t="array" ref="O8845">IFERROR(IF($B8845=O$1, ($A8845+$C8845) - MAX(IF($B$2:$B8844=$B8845, $A$2:$A8844+$C$2:$C8844)), "")*24*60, "")</f>
        <v/>
      </c>
      <c r="P8845" s="24" t="str" cm="1">
        <f t="array" ref="P8845">IFERROR(IF($B8845=P$1, ($A8845+$C8845) - MAX(IF($B$2:$B8844=$B8845, $A$2:$A8844+$C$2:$C8844)), "")*24*60, "")</f>
        <v/>
      </c>
      <c r="Q8845" s="24" t="str" cm="1">
        <f t="array" ref="Q8845">IFERROR(IF($B8845=Q$1, ($A8845+$C8845) - MAX(IF($B$2:$B8844=$B8845, $A$2:$A8844+$C$2:$C8844)), "")*24*60, "")</f>
        <v/>
      </c>
      <c r="R8845" s="24" t="str" cm="1">
        <f t="array" ref="R8845">IFERROR(IF($B8845=R$1, ($A8845+$C8845) - MAX(IF($B$2:$B8844=$B8845, $A$2:$A8844+$C$2:$C8844)), "")*24*60, "")</f>
        <v/>
      </c>
      <c r="S8845" s="24" t="str" cm="1">
        <f t="array" ref="S8845">IFERROR(IF($B8845=S$1, ($A8845+$C8845) - MAX(IF($B$2:$B8844=$B8845, $A$2:$A8844+$C$2:$C8844)), "")*24*60, "")</f>
        <v/>
      </c>
    </row>
    <row r="8846" spans="1:19" x14ac:dyDescent="0.2">
      <c r="A8846" s="12">
        <f t="shared" ref="A8846:C8846" si="1485">A8845</f>
        <v>46036</v>
      </c>
      <c r="B8846" s="5" t="str">
        <f t="shared" si="1485"/>
        <v>Northern Cardinal</v>
      </c>
      <c r="C8846" s="6">
        <f t="shared" si="1485"/>
        <v>0.74930555555555556</v>
      </c>
      <c r="D8846" s="5"/>
      <c r="E8846" s="5"/>
      <c r="F8846" s="5" t="s">
        <v>9</v>
      </c>
      <c r="G8846" s="15" t="s">
        <v>8</v>
      </c>
      <c r="H8846" s="24">
        <f t="shared" si="1412"/>
        <v>0</v>
      </c>
      <c r="I8846" s="24" cm="1">
        <f t="array" ref="I8846">IFERROR(IF($B8846=I$1, ($A8846+$C8846) - MAX(IF($B$2:$B8845=$B8846, $A$2:$A8845+$C$2:$C8845)), "")*24*60, "")</f>
        <v>0</v>
      </c>
      <c r="J8846" s="24" t="str" cm="1">
        <f t="array" ref="J8846">IFERROR(IF($B8846=J$1, ($A8846+$C8846) - MAX(IF($B$2:$B8845=$B8846, $A$2:$A8845+$C$2:$C8845)), "")*24*60, "")</f>
        <v/>
      </c>
      <c r="K8846" s="24" t="str" cm="1">
        <f t="array" ref="K8846">IFERROR(IF($B8846=K$1, ($A8846+$C8846) - MAX(IF($B$2:$B8845=$B8846, $A$2:$A8845+$C$2:$C8845)), "")*24*60, "")</f>
        <v/>
      </c>
      <c r="L8846" s="24" t="str" cm="1">
        <f t="array" ref="L8846">IFERROR(IF($B8846=L$1, ($A8846+$C8846) - MAX(IF($B$2:$B8845=$B8846, $A$2:$A8845+$C$2:$C8845)), "")*24*60, "")</f>
        <v/>
      </c>
      <c r="M8846" s="24" t="str" cm="1">
        <f t="array" ref="M8846">IFERROR(IF($B8846=M$1, ($A8846+$C8846) - MAX(IF($B$2:$B8845=$B8846, $A$2:$A8845+$C$2:$C8845)), "")*24*60, "")</f>
        <v/>
      </c>
      <c r="N8846" s="24" t="str" cm="1">
        <f t="array" ref="N8846">IFERROR(IF($B8846=N$1, ($A8846+$C8846) - MAX(IF($B$2:$B8845=$B8846, $A$2:$A8845+$C$2:$C8845)), "")*24*60, "")</f>
        <v/>
      </c>
      <c r="O8846" s="24" t="str" cm="1">
        <f t="array" ref="O8846">IFERROR(IF($B8846=O$1, ($A8846+$C8846) - MAX(IF($B$2:$B8845=$B8846, $A$2:$A8845+$C$2:$C8845)), "")*24*60, "")</f>
        <v/>
      </c>
      <c r="P8846" s="24" t="str" cm="1">
        <f t="array" ref="P8846">IFERROR(IF($B8846=P$1, ($A8846+$C8846) - MAX(IF($B$2:$B8845=$B8846, $A$2:$A8845+$C$2:$C8845)), "")*24*60, "")</f>
        <v/>
      </c>
      <c r="Q8846" s="24" t="str" cm="1">
        <f t="array" ref="Q8846">IFERROR(IF($B8846=Q$1, ($A8846+$C8846) - MAX(IF($B$2:$B8845=$B8846, $A$2:$A8845+$C$2:$C8845)), "")*24*60, "")</f>
        <v/>
      </c>
      <c r="R8846" s="24" t="str" cm="1">
        <f t="array" ref="R8846">IFERROR(IF($B8846=R$1, ($A8846+$C8846) - MAX(IF($B$2:$B8845=$B8846, $A$2:$A8845+$C$2:$C8845)), "")*24*60, "")</f>
        <v/>
      </c>
      <c r="S8846" s="24" t="str" cm="1">
        <f t="array" ref="S8846">IFERROR(IF($B8846=S$1, ($A8846+$C8846) - MAX(IF($B$2:$B8845=$B8846, $A$2:$A8845+$C$2:$C8845)), "")*24*60, "")</f>
        <v/>
      </c>
    </row>
    <row r="8847" spans="1:19" x14ac:dyDescent="0.2">
      <c r="A8847" s="12">
        <f t="shared" ref="A8847:C8847" si="1486">A8846</f>
        <v>46036</v>
      </c>
      <c r="B8847" s="5" t="str">
        <f t="shared" si="1486"/>
        <v>Northern Cardinal</v>
      </c>
      <c r="C8847" s="6">
        <f t="shared" si="1486"/>
        <v>0.74930555555555556</v>
      </c>
      <c r="D8847" s="5"/>
      <c r="E8847" s="5"/>
      <c r="F8847" s="5" t="s">
        <v>9</v>
      </c>
      <c r="G8847" s="15" t="s">
        <v>8</v>
      </c>
      <c r="H8847" s="24">
        <f t="shared" si="1412"/>
        <v>0</v>
      </c>
      <c r="I8847" s="24" cm="1">
        <f t="array" ref="I8847">IFERROR(IF($B8847=I$1, ($A8847+$C8847) - MAX(IF($B$2:$B8846=$B8847, $A$2:$A8846+$C$2:$C8846)), "")*24*60, "")</f>
        <v>0</v>
      </c>
      <c r="J8847" s="24" t="str" cm="1">
        <f t="array" ref="J8847">IFERROR(IF($B8847=J$1, ($A8847+$C8847) - MAX(IF($B$2:$B8846=$B8847, $A$2:$A8846+$C$2:$C8846)), "")*24*60, "")</f>
        <v/>
      </c>
      <c r="K8847" s="24" t="str" cm="1">
        <f t="array" ref="K8847">IFERROR(IF($B8847=K$1, ($A8847+$C8847) - MAX(IF($B$2:$B8846=$B8847, $A$2:$A8846+$C$2:$C8846)), "")*24*60, "")</f>
        <v/>
      </c>
      <c r="L8847" s="24" t="str" cm="1">
        <f t="array" ref="L8847">IFERROR(IF($B8847=L$1, ($A8847+$C8847) - MAX(IF($B$2:$B8846=$B8847, $A$2:$A8846+$C$2:$C8846)), "")*24*60, "")</f>
        <v/>
      </c>
      <c r="M8847" s="24" t="str" cm="1">
        <f t="array" ref="M8847">IFERROR(IF($B8847=M$1, ($A8847+$C8847) - MAX(IF($B$2:$B8846=$B8847, $A$2:$A8846+$C$2:$C8846)), "")*24*60, "")</f>
        <v/>
      </c>
      <c r="N8847" s="24" t="str" cm="1">
        <f t="array" ref="N8847">IFERROR(IF($B8847=N$1, ($A8847+$C8847) - MAX(IF($B$2:$B8846=$B8847, $A$2:$A8846+$C$2:$C8846)), "")*24*60, "")</f>
        <v/>
      </c>
      <c r="O8847" s="24" t="str" cm="1">
        <f t="array" ref="O8847">IFERROR(IF($B8847=O$1, ($A8847+$C8847) - MAX(IF($B$2:$B8846=$B8847, $A$2:$A8846+$C$2:$C8846)), "")*24*60, "")</f>
        <v/>
      </c>
      <c r="P8847" s="24" t="str" cm="1">
        <f t="array" ref="P8847">IFERROR(IF($B8847=P$1, ($A8847+$C8847) - MAX(IF($B$2:$B8846=$B8847, $A$2:$A8846+$C$2:$C8846)), "")*24*60, "")</f>
        <v/>
      </c>
      <c r="Q8847" s="24" t="str" cm="1">
        <f t="array" ref="Q8847">IFERROR(IF($B8847=Q$1, ($A8847+$C8847) - MAX(IF($B$2:$B8846=$B8847, $A$2:$A8846+$C$2:$C8846)), "")*24*60, "")</f>
        <v/>
      </c>
      <c r="R8847" s="24" t="str" cm="1">
        <f t="array" ref="R8847">IFERROR(IF($B8847=R$1, ($A8847+$C8847) - MAX(IF($B$2:$B8846=$B8847, $A$2:$A8846+$C$2:$C8846)), "")*24*60, "")</f>
        <v/>
      </c>
      <c r="S8847" s="24" t="str" cm="1">
        <f t="array" ref="S8847">IFERROR(IF($B8847=S$1, ($A8847+$C8847) - MAX(IF($B$2:$B8846=$B8847, $A$2:$A8846+$C$2:$C8846)), "")*24*60, "")</f>
        <v/>
      </c>
    </row>
    <row r="8848" spans="1:19" x14ac:dyDescent="0.2">
      <c r="A8848" s="12">
        <f t="shared" ref="A8848:C8848" si="1487">A8847</f>
        <v>46036</v>
      </c>
      <c r="B8848" s="5" t="str">
        <f t="shared" si="1487"/>
        <v>Northern Cardinal</v>
      </c>
      <c r="C8848" s="6">
        <f t="shared" si="1487"/>
        <v>0.74930555555555556</v>
      </c>
      <c r="D8848" s="5"/>
      <c r="E8848" s="5"/>
      <c r="F8848" s="5" t="s">
        <v>9</v>
      </c>
      <c r="G8848" s="15" t="s">
        <v>8</v>
      </c>
      <c r="H8848" s="24">
        <f t="shared" si="1412"/>
        <v>0</v>
      </c>
      <c r="I8848" s="24" cm="1">
        <f t="array" ref="I8848">IFERROR(IF($B8848=I$1, ($A8848+$C8848) - MAX(IF($B$2:$B8847=$B8848, $A$2:$A8847+$C$2:$C8847)), "")*24*60, "")</f>
        <v>0</v>
      </c>
      <c r="J8848" s="24" t="str" cm="1">
        <f t="array" ref="J8848">IFERROR(IF($B8848=J$1, ($A8848+$C8848) - MAX(IF($B$2:$B8847=$B8848, $A$2:$A8847+$C$2:$C8847)), "")*24*60, "")</f>
        <v/>
      </c>
      <c r="K8848" s="24" t="str" cm="1">
        <f t="array" ref="K8848">IFERROR(IF($B8848=K$1, ($A8848+$C8848) - MAX(IF($B$2:$B8847=$B8848, $A$2:$A8847+$C$2:$C8847)), "")*24*60, "")</f>
        <v/>
      </c>
      <c r="L8848" s="24" t="str" cm="1">
        <f t="array" ref="L8848">IFERROR(IF($B8848=L$1, ($A8848+$C8848) - MAX(IF($B$2:$B8847=$B8848, $A$2:$A8847+$C$2:$C8847)), "")*24*60, "")</f>
        <v/>
      </c>
      <c r="M8848" s="24" t="str" cm="1">
        <f t="array" ref="M8848">IFERROR(IF($B8848=M$1, ($A8848+$C8848) - MAX(IF($B$2:$B8847=$B8848, $A$2:$A8847+$C$2:$C8847)), "")*24*60, "")</f>
        <v/>
      </c>
      <c r="N8848" s="24" t="str" cm="1">
        <f t="array" ref="N8848">IFERROR(IF($B8848=N$1, ($A8848+$C8848) - MAX(IF($B$2:$B8847=$B8848, $A$2:$A8847+$C$2:$C8847)), "")*24*60, "")</f>
        <v/>
      </c>
      <c r="O8848" s="24" t="str" cm="1">
        <f t="array" ref="O8848">IFERROR(IF($B8848=O$1, ($A8848+$C8848) - MAX(IF($B$2:$B8847=$B8848, $A$2:$A8847+$C$2:$C8847)), "")*24*60, "")</f>
        <v/>
      </c>
      <c r="P8848" s="24" t="str" cm="1">
        <f t="array" ref="P8848">IFERROR(IF($B8848=P$1, ($A8848+$C8848) - MAX(IF($B$2:$B8847=$B8848, $A$2:$A8847+$C$2:$C8847)), "")*24*60, "")</f>
        <v/>
      </c>
      <c r="Q8848" s="24" t="str" cm="1">
        <f t="array" ref="Q8848">IFERROR(IF($B8848=Q$1, ($A8848+$C8848) - MAX(IF($B$2:$B8847=$B8848, $A$2:$A8847+$C$2:$C8847)), "")*24*60, "")</f>
        <v/>
      </c>
      <c r="R8848" s="24" t="str" cm="1">
        <f t="array" ref="R8848">IFERROR(IF($B8848=R$1, ($A8848+$C8848) - MAX(IF($B$2:$B8847=$B8848, $A$2:$A8847+$C$2:$C8847)), "")*24*60, "")</f>
        <v/>
      </c>
      <c r="S8848" s="24" t="str" cm="1">
        <f t="array" ref="S8848">IFERROR(IF($B8848=S$1, ($A8848+$C8848) - MAX(IF($B$2:$B8847=$B8848, $A$2:$A8847+$C$2:$C8847)), "")*24*60, "")</f>
        <v/>
      </c>
    </row>
    <row r="8849" spans="1:19" x14ac:dyDescent="0.2">
      <c r="A8849" s="12">
        <f t="shared" ref="A8849:C8849" si="1488">A8848</f>
        <v>46036</v>
      </c>
      <c r="B8849" s="5" t="str">
        <f t="shared" si="1488"/>
        <v>Northern Cardinal</v>
      </c>
      <c r="C8849" s="6">
        <f t="shared" si="1488"/>
        <v>0.74930555555555556</v>
      </c>
      <c r="D8849" s="5"/>
      <c r="E8849" s="5"/>
      <c r="F8849" s="5" t="s">
        <v>9</v>
      </c>
      <c r="G8849" s="15" t="s">
        <v>8</v>
      </c>
      <c r="H8849" s="24">
        <f t="shared" si="1412"/>
        <v>0</v>
      </c>
      <c r="I8849" s="24" cm="1">
        <f t="array" ref="I8849">IFERROR(IF($B8849=I$1, ($A8849+$C8849) - MAX(IF($B$2:$B8848=$B8849, $A$2:$A8848+$C$2:$C8848)), "")*24*60, "")</f>
        <v>0</v>
      </c>
      <c r="J8849" s="24" t="str" cm="1">
        <f t="array" ref="J8849">IFERROR(IF($B8849=J$1, ($A8849+$C8849) - MAX(IF($B$2:$B8848=$B8849, $A$2:$A8848+$C$2:$C8848)), "")*24*60, "")</f>
        <v/>
      </c>
      <c r="K8849" s="24" t="str" cm="1">
        <f t="array" ref="K8849">IFERROR(IF($B8849=K$1, ($A8849+$C8849) - MAX(IF($B$2:$B8848=$B8849, $A$2:$A8848+$C$2:$C8848)), "")*24*60, "")</f>
        <v/>
      </c>
      <c r="L8849" s="24" t="str" cm="1">
        <f t="array" ref="L8849">IFERROR(IF($B8849=L$1, ($A8849+$C8849) - MAX(IF($B$2:$B8848=$B8849, $A$2:$A8848+$C$2:$C8848)), "")*24*60, "")</f>
        <v/>
      </c>
      <c r="M8849" s="24" t="str" cm="1">
        <f t="array" ref="M8849">IFERROR(IF($B8849=M$1, ($A8849+$C8849) - MAX(IF($B$2:$B8848=$B8849, $A$2:$A8848+$C$2:$C8848)), "")*24*60, "")</f>
        <v/>
      </c>
      <c r="N8849" s="24" t="str" cm="1">
        <f t="array" ref="N8849">IFERROR(IF($B8849=N$1, ($A8849+$C8849) - MAX(IF($B$2:$B8848=$B8849, $A$2:$A8848+$C$2:$C8848)), "")*24*60, "")</f>
        <v/>
      </c>
      <c r="O8849" s="24" t="str" cm="1">
        <f t="array" ref="O8849">IFERROR(IF($B8849=O$1, ($A8849+$C8849) - MAX(IF($B$2:$B8848=$B8849, $A$2:$A8848+$C$2:$C8848)), "")*24*60, "")</f>
        <v/>
      </c>
      <c r="P8849" s="24" t="str" cm="1">
        <f t="array" ref="P8849">IFERROR(IF($B8849=P$1, ($A8849+$C8849) - MAX(IF($B$2:$B8848=$B8849, $A$2:$A8848+$C$2:$C8848)), "")*24*60, "")</f>
        <v/>
      </c>
      <c r="Q8849" s="24" t="str" cm="1">
        <f t="array" ref="Q8849">IFERROR(IF($B8849=Q$1, ($A8849+$C8849) - MAX(IF($B$2:$B8848=$B8849, $A$2:$A8848+$C$2:$C8848)), "")*24*60, "")</f>
        <v/>
      </c>
      <c r="R8849" s="24" t="str" cm="1">
        <f t="array" ref="R8849">IFERROR(IF($B8849=R$1, ($A8849+$C8849) - MAX(IF($B$2:$B8848=$B8849, $A$2:$A8848+$C$2:$C8848)), "")*24*60, "")</f>
        <v/>
      </c>
      <c r="S8849" s="24" t="str" cm="1">
        <f t="array" ref="S8849">IFERROR(IF($B8849=S$1, ($A8849+$C8849) - MAX(IF($B$2:$B8848=$B8849, $A$2:$A8848+$C$2:$C8848)), "")*24*60, "")</f>
        <v/>
      </c>
    </row>
    <row r="8850" spans="1:19" x14ac:dyDescent="0.2">
      <c r="A8850" s="12">
        <f t="shared" ref="A8850:C8850" si="1489">A8849</f>
        <v>46036</v>
      </c>
      <c r="B8850" s="5" t="str">
        <f t="shared" si="1489"/>
        <v>Northern Cardinal</v>
      </c>
      <c r="C8850" s="6">
        <f t="shared" si="1489"/>
        <v>0.74930555555555556</v>
      </c>
      <c r="D8850" s="5"/>
      <c r="E8850" s="5"/>
      <c r="F8850" s="5" t="s">
        <v>9</v>
      </c>
      <c r="G8850" s="15" t="s">
        <v>8</v>
      </c>
      <c r="H8850" s="24">
        <f t="shared" si="1412"/>
        <v>0</v>
      </c>
      <c r="I8850" s="24" cm="1">
        <f t="array" ref="I8850">IFERROR(IF($B8850=I$1, ($A8850+$C8850) - MAX(IF($B$2:$B8849=$B8850, $A$2:$A8849+$C$2:$C8849)), "")*24*60, "")</f>
        <v>0</v>
      </c>
      <c r="J8850" s="24" t="str" cm="1">
        <f t="array" ref="J8850">IFERROR(IF($B8850=J$1, ($A8850+$C8850) - MAX(IF($B$2:$B8849=$B8850, $A$2:$A8849+$C$2:$C8849)), "")*24*60, "")</f>
        <v/>
      </c>
      <c r="K8850" s="24" t="str" cm="1">
        <f t="array" ref="K8850">IFERROR(IF($B8850=K$1, ($A8850+$C8850) - MAX(IF($B$2:$B8849=$B8850, $A$2:$A8849+$C$2:$C8849)), "")*24*60, "")</f>
        <v/>
      </c>
      <c r="L8850" s="24" t="str" cm="1">
        <f t="array" ref="L8850">IFERROR(IF($B8850=L$1, ($A8850+$C8850) - MAX(IF($B$2:$B8849=$B8850, $A$2:$A8849+$C$2:$C8849)), "")*24*60, "")</f>
        <v/>
      </c>
      <c r="M8850" s="24" t="str" cm="1">
        <f t="array" ref="M8850">IFERROR(IF($B8850=M$1, ($A8850+$C8850) - MAX(IF($B$2:$B8849=$B8850, $A$2:$A8849+$C$2:$C8849)), "")*24*60, "")</f>
        <v/>
      </c>
      <c r="N8850" s="24" t="str" cm="1">
        <f t="array" ref="N8850">IFERROR(IF($B8850=N$1, ($A8850+$C8850) - MAX(IF($B$2:$B8849=$B8850, $A$2:$A8849+$C$2:$C8849)), "")*24*60, "")</f>
        <v/>
      </c>
      <c r="O8850" s="24" t="str" cm="1">
        <f t="array" ref="O8850">IFERROR(IF($B8850=O$1, ($A8850+$C8850) - MAX(IF($B$2:$B8849=$B8850, $A$2:$A8849+$C$2:$C8849)), "")*24*60, "")</f>
        <v/>
      </c>
      <c r="P8850" s="24" t="str" cm="1">
        <f t="array" ref="P8850">IFERROR(IF($B8850=P$1, ($A8850+$C8850) - MAX(IF($B$2:$B8849=$B8850, $A$2:$A8849+$C$2:$C8849)), "")*24*60, "")</f>
        <v/>
      </c>
      <c r="Q8850" s="24" t="str" cm="1">
        <f t="array" ref="Q8850">IFERROR(IF($B8850=Q$1, ($A8850+$C8850) - MAX(IF($B$2:$B8849=$B8850, $A$2:$A8849+$C$2:$C8849)), "")*24*60, "")</f>
        <v/>
      </c>
      <c r="R8850" s="24" t="str" cm="1">
        <f t="array" ref="R8850">IFERROR(IF($B8850=R$1, ($A8850+$C8850) - MAX(IF($B$2:$B8849=$B8850, $A$2:$A8849+$C$2:$C8849)), "")*24*60, "")</f>
        <v/>
      </c>
      <c r="S8850" s="24" t="str" cm="1">
        <f t="array" ref="S8850">IFERROR(IF($B8850=S$1, ($A8850+$C8850) - MAX(IF($B$2:$B8849=$B8850, $A$2:$A8849+$C$2:$C8849)),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340"/>
  <sheetViews>
    <sheetView zoomScale="120" zoomScaleNormal="120" workbookViewId="0">
      <pane ySplit="1" topLeftCell="A317" activePane="bottomLeft" state="frozen"/>
      <selection pane="bottomLeft" activeCell="A341" sqref="A341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26">
        <v>46014</v>
      </c>
      <c r="B288" s="27" t="s">
        <v>3</v>
      </c>
      <c r="C288" s="27">
        <f>COUNTIFS(RawData!$B:$B, $B288, RawData!$A:$A, DailySummaries!$A288)</f>
        <v>31</v>
      </c>
      <c r="D288" s="27">
        <f>SUMIFS(RawData!$D:$D,RawData!$B:$B,$B288,RawData!$A:$A,DailySummaries!$A288)+1</f>
        <v>1</v>
      </c>
      <c r="E288" s="27">
        <f>SUMIFS(RawData!$E:$E,RawData!$B:$B,$B288,RawData!$A:$A,DailySummaries!$A288)+1</f>
        <v>90</v>
      </c>
    </row>
    <row r="289" spans="1:5" x14ac:dyDescent="0.25">
      <c r="A289" s="10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10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26">
        <v>46015</v>
      </c>
      <c r="B291" s="27" t="s">
        <v>19</v>
      </c>
      <c r="C291" s="27">
        <f>COUNTIFS(RawData!$B:$B, $B291, RawData!$A:$A, DailySummaries!$A291)</f>
        <v>12</v>
      </c>
      <c r="D291" s="27">
        <f>SUMIFS(RawData!$D:$D,RawData!$B:$B,$B291,RawData!$A:$A,DailySummaries!$A291)+1</f>
        <v>114</v>
      </c>
      <c r="E291" s="27">
        <f>SUMIFS(RawData!$E:$E,RawData!$B:$B,$B291,RawData!$A:$A,DailySummaries!$A291)+1</f>
        <v>26</v>
      </c>
    </row>
    <row r="292" spans="1:5" x14ac:dyDescent="0.25">
      <c r="A292" s="10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10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26">
        <v>46016</v>
      </c>
      <c r="B294" s="27" t="s">
        <v>19</v>
      </c>
      <c r="C294" s="27">
        <f>COUNTIFS(RawData!$B:$B, $B294, RawData!$A:$A, DailySummaries!$A294)</f>
        <v>8</v>
      </c>
      <c r="D294" s="27">
        <f>SUMIFS(RawData!$D:$D,RawData!$B:$B,$B294,RawData!$A:$A,DailySummaries!$A294)+1</f>
        <v>32</v>
      </c>
      <c r="E294" s="27">
        <f>SUMIFS(RawData!$E:$E,RawData!$B:$B,$B294,RawData!$A:$A,DailySummaries!$A294)+1</f>
        <v>9</v>
      </c>
    </row>
    <row r="295" spans="1:5" x14ac:dyDescent="0.25">
      <c r="A295" s="10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26">
        <v>46017</v>
      </c>
      <c r="B296" s="27" t="s">
        <v>3</v>
      </c>
      <c r="C296" s="27">
        <f>COUNTIFS(RawData!$B:$B, $B296, RawData!$A:$A, DailySummaries!$A296)</f>
        <v>28</v>
      </c>
      <c r="D296" s="27">
        <f>SUMIFS(RawData!$D:$D,RawData!$B:$B,$B296,RawData!$A:$A,DailySummaries!$A296)+1</f>
        <v>1</v>
      </c>
      <c r="E296" s="27">
        <f>SUMIFS(RawData!$E:$E,RawData!$B:$B,$B296,RawData!$A:$A,DailySummaries!$A296)+1</f>
        <v>82</v>
      </c>
    </row>
    <row r="297" spans="1:5" x14ac:dyDescent="0.25">
      <c r="A297" s="10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10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26">
        <v>46018</v>
      </c>
      <c r="B299" s="27" t="s">
        <v>16</v>
      </c>
      <c r="C299" s="27">
        <f>COUNTIFS(RawData!$B:$B, $B299, RawData!$A:$A, DailySummaries!$A299)</f>
        <v>5</v>
      </c>
      <c r="D299" s="27">
        <f>SUMIFS(RawData!$D:$D,RawData!$B:$B,$B299,RawData!$A:$A,DailySummaries!$A299)+1</f>
        <v>23</v>
      </c>
      <c r="E299" s="27">
        <f>SUMIFS(RawData!$E:$E,RawData!$B:$B,$B299,RawData!$A:$A,DailySummaries!$A299)+1</f>
        <v>18</v>
      </c>
    </row>
    <row r="300" spans="1:5" x14ac:dyDescent="0.25">
      <c r="A300" s="10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10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26">
        <v>46019</v>
      </c>
      <c r="B302" s="27" t="s">
        <v>16</v>
      </c>
      <c r="C302" s="27">
        <f>COUNTIFS(RawData!$B:$B, $B302, RawData!$A:$A, DailySummaries!$A302)</f>
        <v>1</v>
      </c>
      <c r="D302" s="27">
        <f>SUMIFS(RawData!$D:$D,RawData!$B:$B,$B302,RawData!$A:$A,DailySummaries!$A302)+1</f>
        <v>4</v>
      </c>
      <c r="E302" s="27">
        <f>SUMIFS(RawData!$E:$E,RawData!$B:$B,$B302,RawData!$A:$A,DailySummaries!$A302)+1</f>
        <v>1</v>
      </c>
    </row>
    <row r="303" spans="1:5" x14ac:dyDescent="0.25">
      <c r="A303" s="10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10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26">
        <v>46020</v>
      </c>
      <c r="B305" s="27" t="s">
        <v>16</v>
      </c>
      <c r="C305" s="27">
        <f>COUNTIFS(RawData!$B:$B, $B305, RawData!$A:$A, DailySummaries!$A305)</f>
        <v>1</v>
      </c>
      <c r="D305" s="27">
        <f>SUMIFS(RawData!$D:$D,RawData!$B:$B,$B305,RawData!$A:$A,DailySummaries!$A305)+1</f>
        <v>8</v>
      </c>
      <c r="E305" s="27">
        <f>SUMIFS(RawData!$E:$E,RawData!$B:$B,$B305,RawData!$A:$A,DailySummaries!$A305)+1</f>
        <v>1</v>
      </c>
    </row>
    <row r="306" spans="1:5" x14ac:dyDescent="0.25">
      <c r="A306" s="10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10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10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26">
        <v>46021</v>
      </c>
      <c r="B309" s="27" t="s">
        <v>20</v>
      </c>
      <c r="C309" s="27">
        <f>COUNTIFS(RawData!$B:$B, $B309, RawData!$A:$A, DailySummaries!$A309)</f>
        <v>10</v>
      </c>
      <c r="D309" s="27">
        <f>SUMIFS(RawData!$D:$D,RawData!$B:$B,$B309,RawData!$A:$A,DailySummaries!$A309)+1</f>
        <v>5</v>
      </c>
      <c r="E309" s="27">
        <f>SUMIFS(RawData!$E:$E,RawData!$B:$B,$B309,RawData!$A:$A,DailySummaries!$A309)+1</f>
        <v>56</v>
      </c>
    </row>
    <row r="310" spans="1:5" x14ac:dyDescent="0.25">
      <c r="A310" s="32">
        <v>46022</v>
      </c>
      <c r="B310" s="33" t="s">
        <v>3</v>
      </c>
      <c r="C310" s="33">
        <f>COUNTIFS(RawData!$B:$B, $B310, RawData!$A:$A, DailySummaries!$A310)</f>
        <v>49</v>
      </c>
      <c r="D310" s="33">
        <f>SUMIFS(RawData!$D:$D,RawData!$B:$B,$B310,RawData!$A:$A,DailySummaries!$A310)+1</f>
        <v>2</v>
      </c>
      <c r="E310" s="33">
        <f>SUMIFS(RawData!$E:$E,RawData!$B:$B,$B310,RawData!$A:$A,DailySummaries!$A310)+1</f>
        <v>129</v>
      </c>
    </row>
    <row r="311" spans="1:5" x14ac:dyDescent="0.25">
      <c r="A311" s="32">
        <v>46023</v>
      </c>
      <c r="B311" s="33" t="s">
        <v>3</v>
      </c>
      <c r="C311" s="33">
        <f>COUNTIFS(RawData!$B:$B, $B311, RawData!$A:$A, DailySummaries!$A311)</f>
        <v>43</v>
      </c>
      <c r="D311" s="33">
        <f>SUMIFS(RawData!$D:$D,RawData!$B:$B,$B311,RawData!$A:$A,DailySummaries!$A311)+1</f>
        <v>2</v>
      </c>
      <c r="E311" s="33">
        <f>SUMIFS(RawData!$E:$E,RawData!$B:$B,$B311,RawData!$A:$A,DailySummaries!$A311)+1</f>
        <v>117</v>
      </c>
    </row>
    <row r="312" spans="1:5" x14ac:dyDescent="0.25">
      <c r="A312" s="32">
        <v>46024</v>
      </c>
      <c r="B312" s="33" t="s">
        <v>3</v>
      </c>
      <c r="C312" s="33">
        <f>COUNTIFS(RawData!$B:$B, $B312, RawData!$A:$A, DailySummaries!$A312)</f>
        <v>33</v>
      </c>
      <c r="D312" s="33">
        <f>SUMIFS(RawData!$D:$D,RawData!$B:$B,$B312,RawData!$A:$A,DailySummaries!$A312)+1</f>
        <v>1</v>
      </c>
      <c r="E312" s="33">
        <f>SUMIFS(RawData!$E:$E,RawData!$B:$B,$B312,RawData!$A:$A,DailySummaries!$A312)+1</f>
        <v>113</v>
      </c>
    </row>
    <row r="313" spans="1:5" x14ac:dyDescent="0.25">
      <c r="A313" s="32">
        <v>46025</v>
      </c>
      <c r="B313" s="33" t="s">
        <v>3</v>
      </c>
      <c r="C313" s="33">
        <f>COUNTIFS(RawData!$B:$B, $B313, RawData!$A:$A, DailySummaries!$A313)</f>
        <v>27</v>
      </c>
      <c r="D313" s="33">
        <f>SUMIFS(RawData!$D:$D,RawData!$B:$B,$B313,RawData!$A:$A,DailySummaries!$A313)+1</f>
        <v>3</v>
      </c>
      <c r="E313" s="33">
        <f>SUMIFS(RawData!$E:$E,RawData!$B:$B,$B313,RawData!$A:$A,DailySummaries!$A313)+1</f>
        <v>86</v>
      </c>
    </row>
    <row r="314" spans="1:5" x14ac:dyDescent="0.25">
      <c r="A314" s="10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26">
        <v>46026</v>
      </c>
      <c r="B315" s="27" t="s">
        <v>20</v>
      </c>
      <c r="C315" s="27">
        <f>COUNTIFS(RawData!$B:$B, $B315, RawData!$A:$A, DailySummaries!$A315)</f>
        <v>13</v>
      </c>
      <c r="D315" s="27">
        <f>SUMIFS(RawData!$D:$D,RawData!$B:$B,$B315,RawData!$A:$A,DailySummaries!$A315)+1</f>
        <v>61</v>
      </c>
      <c r="E315" s="27">
        <f>SUMIFS(RawData!$E:$E,RawData!$B:$B,$B315,RawData!$A:$A,DailySummaries!$A315)+1</f>
        <v>54</v>
      </c>
    </row>
    <row r="316" spans="1:5" x14ac:dyDescent="0.25">
      <c r="A316" s="10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10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10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26">
        <v>46027</v>
      </c>
      <c r="B319" s="27" t="s">
        <v>10</v>
      </c>
      <c r="C319" s="27">
        <f>COUNTIFS(RawData!$B:$B, $B319, RawData!$A:$A, DailySummaries!$A319)</f>
        <v>24</v>
      </c>
      <c r="D319" s="27">
        <f>SUMIFS(RawData!$D:$D,RawData!$B:$B,$B319,RawData!$A:$A,DailySummaries!$A319)+1</f>
        <v>6</v>
      </c>
      <c r="E319" s="27">
        <f>SUMIFS(RawData!$E:$E,RawData!$B:$B,$B319,RawData!$A:$A,DailySummaries!$A319)+1</f>
        <v>46</v>
      </c>
    </row>
    <row r="320" spans="1:5" x14ac:dyDescent="0.25">
      <c r="A320" s="10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26">
        <v>46028</v>
      </c>
      <c r="B321" s="27" t="s">
        <v>3</v>
      </c>
      <c r="C321" s="27">
        <f>COUNTIFS(RawData!$B:$B, $B321, RawData!$A:$A, DailySummaries!$A321)</f>
        <v>22</v>
      </c>
      <c r="D321" s="27">
        <f>SUMIFS(RawData!$D:$D,RawData!$B:$B,$B321,RawData!$A:$A,DailySummaries!$A321)+1</f>
        <v>1</v>
      </c>
      <c r="E321" s="27">
        <f>SUMIFS(RawData!$E:$E,RawData!$B:$B,$B321,RawData!$A:$A,DailySummaries!$A321)+1</f>
        <v>73</v>
      </c>
    </row>
    <row r="322" spans="1:5" x14ac:dyDescent="0.25">
      <c r="A322" s="10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10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26">
        <v>46029</v>
      </c>
      <c r="B324" s="27" t="s">
        <v>16</v>
      </c>
      <c r="C324" s="27">
        <f>COUNTIFS(RawData!$B:$B, $B324, RawData!$A:$A, DailySummaries!$A324)</f>
        <v>9</v>
      </c>
      <c r="D324" s="27">
        <f>SUMIFS(RawData!$D:$D,RawData!$B:$B,$B324,RawData!$A:$A,DailySummaries!$A324)+1</f>
        <v>63</v>
      </c>
      <c r="E324" s="27">
        <f>SUMIFS(RawData!$E:$E,RawData!$B:$B,$B324,RawData!$A:$A,DailySummaries!$A324)+1</f>
        <v>25</v>
      </c>
    </row>
    <row r="325" spans="1:5" x14ac:dyDescent="0.25">
      <c r="A325" s="10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10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26">
        <v>46030</v>
      </c>
      <c r="B327" s="27" t="s">
        <v>16</v>
      </c>
      <c r="C327" s="27">
        <f>COUNTIFS(RawData!$B:$B, $B327, RawData!$A:$A, DailySummaries!$A327)</f>
        <v>6</v>
      </c>
      <c r="D327" s="27">
        <f>SUMIFS(RawData!$D:$D,RawData!$B:$B,$B327,RawData!$A:$A,DailySummaries!$A327)+1</f>
        <v>19</v>
      </c>
      <c r="E327" s="27">
        <f>SUMIFS(RawData!$E:$E,RawData!$B:$B,$B327,RawData!$A:$A,DailySummaries!$A327)+1</f>
        <v>13</v>
      </c>
    </row>
    <row r="328" spans="1:5" x14ac:dyDescent="0.25">
      <c r="A328" s="10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10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26">
        <v>46031</v>
      </c>
      <c r="B330" s="27" t="s">
        <v>16</v>
      </c>
      <c r="C330" s="27">
        <f>COUNTIFS(RawData!$B:$B, $B330, RawData!$A:$A, DailySummaries!$A330)</f>
        <v>8</v>
      </c>
      <c r="D330" s="27">
        <f>SUMIFS(RawData!$D:$D,RawData!$B:$B,$B330,RawData!$A:$A,DailySummaries!$A330)+1</f>
        <v>47</v>
      </c>
      <c r="E330" s="27">
        <f>SUMIFS(RawData!$E:$E,RawData!$B:$B,$B330,RawData!$A:$A,DailySummaries!$A330)+1</f>
        <v>9</v>
      </c>
    </row>
    <row r="331" spans="1:5" x14ac:dyDescent="0.25">
      <c r="A331" s="10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10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10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10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26">
        <v>46032</v>
      </c>
      <c r="B335" s="27" t="s">
        <v>10</v>
      </c>
      <c r="C335" s="27">
        <f>COUNTIFS(RawData!$B:$B, $B335, RawData!$A:$A, DailySummaries!$A335)</f>
        <v>4</v>
      </c>
      <c r="D335" s="27">
        <f>SUMIFS(RawData!$D:$D,RawData!$B:$B,$B335,RawData!$A:$A,DailySummaries!$A335)+1</f>
        <v>1</v>
      </c>
      <c r="E335" s="27">
        <f>SUMIFS(RawData!$E:$E,RawData!$B:$B,$B335,RawData!$A:$A,DailySummaries!$A335)+1</f>
        <v>6</v>
      </c>
    </row>
    <row r="336" spans="1:5" x14ac:dyDescent="0.25">
      <c r="A336" s="32">
        <v>46033</v>
      </c>
      <c r="B336" s="33" t="s">
        <v>3</v>
      </c>
      <c r="C336" s="33">
        <f>COUNTIFS(RawData!$B:$B, $B336, RawData!$A:$A, DailySummaries!$A336)</f>
        <v>16</v>
      </c>
      <c r="D336" s="33">
        <f>SUMIFS(RawData!$D:$D,RawData!$B:$B,$B336,RawData!$A:$A,DailySummaries!$A336)+1</f>
        <v>1</v>
      </c>
      <c r="E336" s="33">
        <f>SUMIFS(RawData!$E:$E,RawData!$B:$B,$B336,RawData!$A:$A,DailySummaries!$A336)+1</f>
        <v>50</v>
      </c>
    </row>
    <row r="337" spans="1:5" x14ac:dyDescent="0.25">
      <c r="A337" s="10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26">
        <v>46034</v>
      </c>
      <c r="B338" s="27" t="s">
        <v>16</v>
      </c>
      <c r="C338" s="27">
        <f>COUNTIFS(RawData!$B:$B, $B338, RawData!$A:$A, DailySummaries!$A338)</f>
        <v>2</v>
      </c>
      <c r="D338" s="27">
        <f>SUMIFS(RawData!$D:$D,RawData!$B:$B,$B338,RawData!$A:$A,DailySummaries!$A338)+1</f>
        <v>18</v>
      </c>
      <c r="E338" s="27">
        <f>SUMIFS(RawData!$E:$E,RawData!$B:$B,$B338,RawData!$A:$A,DailySummaries!$A338)+1</f>
        <v>1</v>
      </c>
    </row>
    <row r="339" spans="1:5" x14ac:dyDescent="0.25">
      <c r="A339" s="10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10">
        <v>46035</v>
      </c>
      <c r="B340" s="11" t="s">
        <v>16</v>
      </c>
      <c r="C340" s="11">
        <f>COUNTIFS(RawData!$B:$B, $B340, RawData!$A:$A, DailySummaries!$A340)</f>
        <v>2</v>
      </c>
      <c r="D340" s="11">
        <f>SUMIFS(RawData!$D:$D,RawData!$B:$B,$B340,RawData!$A:$A,DailySummaries!$A340)+1</f>
        <v>10</v>
      </c>
      <c r="E340" s="11">
        <f>SUMIFS(RawData!$E:$E,RawData!$B:$B,$B340,RawData!$A:$A,DailySummaries!$A340)+1</f>
        <v>2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2026-01-14T10:20:03Z</dcterms:modified>
</cp:coreProperties>
</file>
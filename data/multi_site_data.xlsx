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9ECBE146-1BAF-2347-B28A-B45F49B24A6D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3" i="2" l="1"/>
  <c r="D273" i="2"/>
  <c r="E273" i="2"/>
  <c r="C274" i="2"/>
  <c r="D274" i="2"/>
  <c r="E274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93" i="1" s="1"/>
  <c r="C6995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B7001" i="1" l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C270" i="2" l="1"/>
  <c r="H7002" i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E265" i="2" l="1"/>
  <c r="C265" i="2"/>
  <c r="E264" i="2"/>
  <c r="C271" i="2"/>
  <c r="C259" i="2"/>
  <c r="D271" i="2"/>
  <c r="D270" i="2"/>
  <c r="C266" i="2"/>
  <c r="C264" i="2"/>
  <c r="C258" i="2"/>
  <c r="E271" i="2"/>
  <c r="E268" i="2"/>
  <c r="D268" i="2"/>
  <c r="E259" i="2"/>
  <c r="E258" i="2"/>
  <c r="E262" i="2"/>
  <c r="J7003" i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E260" i="2" l="1"/>
  <c r="C268" i="2"/>
  <c r="E267" i="2"/>
  <c r="C267" i="2"/>
  <c r="C262" i="2"/>
  <c r="E270" i="2"/>
  <c r="E266" i="2"/>
  <c r="C260" i="2"/>
  <c r="H7004" i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D258" i="2" l="1"/>
  <c r="H7113" i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D260" i="2" l="1"/>
  <c r="D267" i="2"/>
  <c r="D262" i="2"/>
  <c r="D266" i="2"/>
  <c r="D259" i="2"/>
  <c r="B7115" i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D264" i="2" l="1"/>
  <c r="D265" i="2"/>
  <c r="A7116" i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C272" i="2" l="1"/>
  <c r="D272" i="2"/>
  <c r="E272" i="2"/>
  <c r="E263" i="2"/>
  <c r="C263" i="2"/>
  <c r="E257" i="2"/>
  <c r="C257" i="2"/>
  <c r="D257" i="2"/>
  <c r="D263" i="2"/>
  <c r="C269" i="2"/>
  <c r="E269" i="2"/>
  <c r="D269" i="2"/>
  <c r="C261" i="2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<sst xmlns="http://schemas.openxmlformats.org/spreadsheetml/2006/main" count="68649" uniqueCount="26">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</sst>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981" activePane="bottomLeft" state="frozen"/>
      <selection pane="bottomLeft" activeCell="D7001" sqref="D7001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9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tr">
        <f t="shared" ref="A7001:C7001" si="1330">B7000</f>
        <v>Northern Cardinal</v>
      </c>
      <c r="C7001" s="6">
        <v>0.36249999999999999</v>
      </c>
      <c r="D7001" s="5"/>
      <c r="E7001" s="5"/>
      <c r="F7001" s="5" t="s">
        <v>22</v>
      </c>
      <c r="G7001" s="15" t="s">
        <v>22</v>
      </c>
      <c r="H7001" s="24">
        <f t="shared" ref="H7000:H7063" si="1331">IFERROR((($A7001+$C7001) - ($A7000+$C7000))*24*60, "")</f>
        <v>897.00000000069849</v>
      </c>
      <c r="I7001" s="24" cm="1">
        <f t="array" ref="I7001">IFERROR(IF($B7001=I$1, ($A7001+$C7001) - MAX(IF($B$2:$B7000=$B7001, $A$2:$A7000+$C$2:$C7000)), "")*24*60, "")</f>
        <v>897.00000000069849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32">A7001</f>
        <v>46006</v>
      </c>
      <c r="B7002" s="5" t="str">
        <f t="shared" si="1332"/>
        <v>Northern Cardinal</v>
      </c>
      <c r="C7002" s="6">
        <f t="shared" si="1332"/>
        <v>0.36249999999999999</v>
      </c>
      <c r="D7002" s="5"/>
      <c r="E7002" s="5"/>
      <c r="F7002" s="5" t="s">
        <v>22</v>
      </c>
      <c r="G7002" s="15" t="s">
        <v>22</v>
      </c>
      <c r="H7002" s="24">
        <f t="shared" si="1331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33">A7002</f>
        <v>46006</v>
      </c>
      <c r="B7003" s="5" t="str">
        <f t="shared" si="1333"/>
        <v>Northern Cardinal</v>
      </c>
      <c r="C7003" s="6">
        <f t="shared" si="1333"/>
        <v>0.36249999999999999</v>
      </c>
      <c r="D7003" s="5"/>
      <c r="E7003" s="5"/>
      <c r="F7003" s="5" t="s">
        <v>22</v>
      </c>
      <c r="G7003" s="15" t="s">
        <v>22</v>
      </c>
      <c r="H7003" s="24">
        <f t="shared" si="1331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34">A7003</f>
        <v>46006</v>
      </c>
      <c r="B7004" s="5" t="str">
        <f t="shared" si="1334"/>
        <v>Northern Cardinal</v>
      </c>
      <c r="C7004" s="6">
        <f t="shared" si="1334"/>
        <v>0.36249999999999999</v>
      </c>
      <c r="D7004" s="5"/>
      <c r="E7004" s="5"/>
      <c r="F7004" s="5" t="s">
        <v>22</v>
      </c>
      <c r="G7004" s="15" t="s">
        <v>22</v>
      </c>
      <c r="H7004" s="24">
        <f t="shared" si="1331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35">A7004</f>
        <v>46006</v>
      </c>
      <c r="B7005" s="5" t="str">
        <f t="shared" si="1335"/>
        <v>Northern Cardinal</v>
      </c>
      <c r="C7005" s="6">
        <f t="shared" si="1335"/>
        <v>0.36249999999999999</v>
      </c>
      <c r="D7005" s="5"/>
      <c r="E7005" s="5"/>
      <c r="F7005" s="5" t="s">
        <v>22</v>
      </c>
      <c r="G7005" s="15" t="s">
        <v>22</v>
      </c>
      <c r="H7005" s="24">
        <f t="shared" si="1331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36">A7005</f>
        <v>46006</v>
      </c>
      <c r="B7006" s="5" t="str">
        <f t="shared" si="1336"/>
        <v>Northern Cardinal</v>
      </c>
      <c r="C7006" s="6">
        <f t="shared" si="1336"/>
        <v>0.36249999999999999</v>
      </c>
      <c r="D7006" s="5"/>
      <c r="E7006" s="5"/>
      <c r="F7006" s="5" t="s">
        <v>22</v>
      </c>
      <c r="G7006" s="15" t="s">
        <v>22</v>
      </c>
      <c r="H7006" s="24">
        <f t="shared" si="1331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37">A7006</f>
        <v>46006</v>
      </c>
      <c r="B7007" s="5" t="str">
        <f t="shared" si="1337"/>
        <v>Northern Cardinal</v>
      </c>
      <c r="C7007" s="6">
        <f t="shared" si="1337"/>
        <v>0.36249999999999999</v>
      </c>
      <c r="D7007" s="5"/>
      <c r="E7007" s="5"/>
      <c r="F7007" s="5" t="s">
        <v>22</v>
      </c>
      <c r="G7007" s="15" t="s">
        <v>22</v>
      </c>
      <c r="H7007" s="24">
        <f t="shared" si="1331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38">A7007</f>
        <v>46006</v>
      </c>
      <c r="B7008" s="5" t="str">
        <f t="shared" si="1338"/>
        <v>Northern Cardinal</v>
      </c>
      <c r="C7008" s="6">
        <f t="shared" si="1338"/>
        <v>0.36249999999999999</v>
      </c>
      <c r="D7008" s="5"/>
      <c r="E7008" s="5"/>
      <c r="F7008" s="5" t="s">
        <v>22</v>
      </c>
      <c r="G7008" s="15" t="s">
        <v>22</v>
      </c>
      <c r="H7008" s="24">
        <f t="shared" si="1331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39">A7008</f>
        <v>46006</v>
      </c>
      <c r="B7009" s="5" t="str">
        <f t="shared" si="1339"/>
        <v>Northern Cardinal</v>
      </c>
      <c r="C7009" s="6">
        <f t="shared" si="1339"/>
        <v>0.36249999999999999</v>
      </c>
      <c r="D7009" s="5"/>
      <c r="E7009" s="5"/>
      <c r="F7009" s="5" t="s">
        <v>22</v>
      </c>
      <c r="G7009" s="15" t="s">
        <v>22</v>
      </c>
      <c r="H7009" s="24">
        <f t="shared" si="1331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40">A7009</f>
        <v>46006</v>
      </c>
      <c r="B7010" s="5" t="str">
        <f t="shared" si="1340"/>
        <v>Northern Cardinal</v>
      </c>
      <c r="C7010" s="6">
        <f t="shared" si="1340"/>
        <v>0.36249999999999999</v>
      </c>
      <c r="D7010" s="5"/>
      <c r="E7010" s="5"/>
      <c r="F7010" s="5" t="s">
        <v>22</v>
      </c>
      <c r="G7010" s="15" t="s">
        <v>22</v>
      </c>
      <c r="H7010" s="24">
        <f t="shared" si="1331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41">A7010</f>
        <v>46006</v>
      </c>
      <c r="B7011" s="5" t="str">
        <f t="shared" si="1341"/>
        <v>Northern Cardinal</v>
      </c>
      <c r="C7011" s="6">
        <f t="shared" si="1341"/>
        <v>0.36249999999999999</v>
      </c>
      <c r="D7011" s="5"/>
      <c r="E7011" s="5"/>
      <c r="F7011" s="5" t="s">
        <v>22</v>
      </c>
      <c r="G7011" s="15" t="s">
        <v>22</v>
      </c>
      <c r="H7011" s="24">
        <f t="shared" si="1331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42">A7011</f>
        <v>46006</v>
      </c>
      <c r="B7012" s="5" t="str">
        <f t="shared" si="1342"/>
        <v>Northern Cardinal</v>
      </c>
      <c r="C7012" s="6">
        <f t="shared" si="1342"/>
        <v>0.36249999999999999</v>
      </c>
      <c r="D7012" s="5"/>
      <c r="E7012" s="5"/>
      <c r="F7012" s="5" t="s">
        <v>22</v>
      </c>
      <c r="G7012" s="15" t="s">
        <v>22</v>
      </c>
      <c r="H7012" s="24">
        <f t="shared" si="1331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43">A7012</f>
        <v>46006</v>
      </c>
      <c r="B7013" s="5" t="str">
        <f t="shared" si="1343"/>
        <v>Northern Cardinal</v>
      </c>
      <c r="C7013" s="6">
        <f t="shared" si="1343"/>
        <v>0.36249999999999999</v>
      </c>
      <c r="D7013" s="5"/>
      <c r="E7013" s="5"/>
      <c r="F7013" s="5" t="s">
        <v>22</v>
      </c>
      <c r="G7013" s="15" t="s">
        <v>22</v>
      </c>
      <c r="H7013" s="24">
        <f t="shared" si="1331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44">A7013</f>
        <v>46006</v>
      </c>
      <c r="B7014" s="5" t="str">
        <f t="shared" si="1344"/>
        <v>Northern Cardinal</v>
      </c>
      <c r="C7014" s="6">
        <f t="shared" si="1344"/>
        <v>0.36249999999999999</v>
      </c>
      <c r="D7014" s="5"/>
      <c r="E7014" s="5"/>
      <c r="F7014" s="5" t="s">
        <v>22</v>
      </c>
      <c r="G7014" s="15" t="s">
        <v>22</v>
      </c>
      <c r="H7014" s="24">
        <f t="shared" si="1331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45">A7014</f>
        <v>46006</v>
      </c>
      <c r="B7015" s="5" t="str">
        <f t="shared" si="1345"/>
        <v>Northern Cardinal</v>
      </c>
      <c r="C7015" s="6">
        <f t="shared" si="1345"/>
        <v>0.36249999999999999</v>
      </c>
      <c r="D7015" s="5"/>
      <c r="E7015" s="5"/>
      <c r="F7015" s="5" t="s">
        <v>22</v>
      </c>
      <c r="G7015" s="15" t="s">
        <v>22</v>
      </c>
      <c r="H7015" s="24">
        <f t="shared" si="1331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46">A7015</f>
        <v>46006</v>
      </c>
      <c r="B7016" s="5" t="str">
        <f t="shared" si="1346"/>
        <v>Northern Cardinal</v>
      </c>
      <c r="C7016" s="6">
        <f t="shared" si="1346"/>
        <v>0.36249999999999999</v>
      </c>
      <c r="D7016" s="5"/>
      <c r="E7016" s="5"/>
      <c r="F7016" s="5" t="s">
        <v>22</v>
      </c>
      <c r="G7016" s="15" t="s">
        <v>22</v>
      </c>
      <c r="H7016" s="24">
        <f t="shared" si="1331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47">A7016</f>
        <v>46006</v>
      </c>
      <c r="B7017" s="5" t="str">
        <f t="shared" si="1347"/>
        <v>Northern Cardinal</v>
      </c>
      <c r="C7017" s="6">
        <f t="shared" si="1347"/>
        <v>0.36249999999999999</v>
      </c>
      <c r="D7017" s="5"/>
      <c r="E7017" s="5"/>
      <c r="F7017" s="5" t="s">
        <v>22</v>
      </c>
      <c r="G7017" s="15" t="s">
        <v>22</v>
      </c>
      <c r="H7017" s="24">
        <f t="shared" si="1331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48">A7017</f>
        <v>46006</v>
      </c>
      <c r="B7018" s="5" t="str">
        <f t="shared" si="1348"/>
        <v>Northern Cardinal</v>
      </c>
      <c r="C7018" s="6">
        <f t="shared" si="1348"/>
        <v>0.36249999999999999</v>
      </c>
      <c r="D7018" s="5"/>
      <c r="E7018" s="5"/>
      <c r="F7018" s="5" t="s">
        <v>22</v>
      </c>
      <c r="G7018" s="15" t="s">
        <v>22</v>
      </c>
      <c r="H7018" s="24">
        <f t="shared" si="1331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49">A7018</f>
        <v>46006</v>
      </c>
      <c r="B7019" s="5" t="str">
        <f t="shared" si="1349"/>
        <v>Northern Cardinal</v>
      </c>
      <c r="C7019" s="6">
        <f t="shared" si="1349"/>
        <v>0.36249999999999999</v>
      </c>
      <c r="D7019" s="5"/>
      <c r="E7019" s="5"/>
      <c r="F7019" s="5" t="s">
        <v>22</v>
      </c>
      <c r="G7019" s="15" t="s">
        <v>22</v>
      </c>
      <c r="H7019" s="24">
        <f t="shared" si="1331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50">A7019</f>
        <v>46006</v>
      </c>
      <c r="B7020" s="5" t="str">
        <f t="shared" si="1350"/>
        <v>Northern Cardinal</v>
      </c>
      <c r="C7020" s="6">
        <f t="shared" si="1350"/>
        <v>0.36249999999999999</v>
      </c>
      <c r="D7020" s="5"/>
      <c r="E7020" s="5"/>
      <c r="F7020" s="5" t="s">
        <v>22</v>
      </c>
      <c r="G7020" s="15" t="s">
        <v>22</v>
      </c>
      <c r="H7020" s="24">
        <f t="shared" si="1331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51">A7020</f>
        <v>46006</v>
      </c>
      <c r="B7021" s="5" t="str">
        <f t="shared" si="1351"/>
        <v>Northern Cardinal</v>
      </c>
      <c r="C7021" s="6">
        <f t="shared" si="1351"/>
        <v>0.36249999999999999</v>
      </c>
      <c r="D7021" s="5"/>
      <c r="E7021" s="5"/>
      <c r="F7021" s="5" t="s">
        <v>22</v>
      </c>
      <c r="G7021" s="15" t="s">
        <v>22</v>
      </c>
      <c r="H7021" s="24">
        <f t="shared" si="1331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52">A7021</f>
        <v>46006</v>
      </c>
      <c r="B7022" s="5" t="str">
        <f t="shared" si="1352"/>
        <v>Northern Cardinal</v>
      </c>
      <c r="C7022" s="6">
        <f t="shared" si="1352"/>
        <v>0.36249999999999999</v>
      </c>
      <c r="D7022" s="5"/>
      <c r="E7022" s="5"/>
      <c r="F7022" s="5" t="s">
        <v>22</v>
      </c>
      <c r="G7022" s="15" t="s">
        <v>22</v>
      </c>
      <c r="H7022" s="24">
        <f t="shared" si="1331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53">A7022</f>
        <v>46006</v>
      </c>
      <c r="B7023" s="5" t="str">
        <f t="shared" si="1353"/>
        <v>Northern Cardinal</v>
      </c>
      <c r="C7023" s="6">
        <f t="shared" si="1353"/>
        <v>0.36249999999999999</v>
      </c>
      <c r="D7023" s="5"/>
      <c r="E7023" s="5"/>
      <c r="F7023" s="5" t="s">
        <v>22</v>
      </c>
      <c r="G7023" s="15" t="s">
        <v>22</v>
      </c>
      <c r="H7023" s="24">
        <f t="shared" si="1331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54">A7023</f>
        <v>46006</v>
      </c>
      <c r="B7024" s="5" t="str">
        <f t="shared" si="1354"/>
        <v>Northern Cardinal</v>
      </c>
      <c r="C7024" s="6">
        <f t="shared" si="1354"/>
        <v>0.36249999999999999</v>
      </c>
      <c r="D7024" s="5"/>
      <c r="E7024" s="5"/>
      <c r="F7024" s="5" t="s">
        <v>22</v>
      </c>
      <c r="G7024" s="15" t="s">
        <v>22</v>
      </c>
      <c r="H7024" s="24">
        <f t="shared" si="1331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55">A7024</f>
        <v>46006</v>
      </c>
      <c r="B7025" s="5" t="str">
        <f t="shared" si="1355"/>
        <v>Northern Cardinal</v>
      </c>
      <c r="C7025" s="6">
        <f t="shared" si="1355"/>
        <v>0.36249999999999999</v>
      </c>
      <c r="D7025" s="5"/>
      <c r="E7025" s="5"/>
      <c r="F7025" s="5" t="s">
        <v>22</v>
      </c>
      <c r="G7025" s="15" t="s">
        <v>22</v>
      </c>
      <c r="H7025" s="24">
        <f t="shared" si="1331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56">A7025</f>
        <v>46006</v>
      </c>
      <c r="B7026" s="5" t="str">
        <f t="shared" si="1356"/>
        <v>Northern Cardinal</v>
      </c>
      <c r="C7026" s="6">
        <f t="shared" si="1356"/>
        <v>0.36249999999999999</v>
      </c>
      <c r="D7026" s="5"/>
      <c r="E7026" s="5"/>
      <c r="F7026" s="5" t="s">
        <v>22</v>
      </c>
      <c r="G7026" s="15" t="s">
        <v>22</v>
      </c>
      <c r="H7026" s="24">
        <f t="shared" si="1331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57">A7026</f>
        <v>46006</v>
      </c>
      <c r="B7027" s="5" t="str">
        <f t="shared" si="1357"/>
        <v>Northern Cardinal</v>
      </c>
      <c r="C7027" s="6">
        <f t="shared" si="1357"/>
        <v>0.36249999999999999</v>
      </c>
      <c r="D7027" s="5"/>
      <c r="E7027" s="5"/>
      <c r="F7027" s="5" t="s">
        <v>22</v>
      </c>
      <c r="G7027" s="15" t="s">
        <v>22</v>
      </c>
      <c r="H7027" s="24">
        <f t="shared" si="1331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58">A7027</f>
        <v>46006</v>
      </c>
      <c r="B7028" s="5" t="str">
        <f t="shared" si="1358"/>
        <v>Northern Cardinal</v>
      </c>
      <c r="C7028" s="6">
        <f t="shared" si="1358"/>
        <v>0.36249999999999999</v>
      </c>
      <c r="D7028" s="5"/>
      <c r="E7028" s="5"/>
      <c r="F7028" s="5" t="s">
        <v>22</v>
      </c>
      <c r="G7028" s="15" t="s">
        <v>22</v>
      </c>
      <c r="H7028" s="24">
        <f t="shared" si="1331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59">A7028</f>
        <v>46006</v>
      </c>
      <c r="B7029" s="5" t="str">
        <f t="shared" si="1359"/>
        <v>Northern Cardinal</v>
      </c>
      <c r="C7029" s="6">
        <f t="shared" si="1359"/>
        <v>0.36249999999999999</v>
      </c>
      <c r="D7029" s="5"/>
      <c r="E7029" s="5"/>
      <c r="F7029" s="5" t="s">
        <v>22</v>
      </c>
      <c r="G7029" s="15" t="s">
        <v>22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60">A7029</f>
        <v>46006</v>
      </c>
      <c r="B7030" s="5" t="str">
        <f t="shared" si="1360"/>
        <v>Northern Cardinal</v>
      </c>
      <c r="C7030" s="6">
        <f t="shared" si="1360"/>
        <v>0.36249999999999999</v>
      </c>
      <c r="D7030" s="5"/>
      <c r="E7030" s="5"/>
      <c r="F7030" s="5" t="s">
        <v>22</v>
      </c>
      <c r="G7030" s="15" t="s">
        <v>22</v>
      </c>
      <c r="H7030" s="24">
        <f t="shared" si="1331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61">A7030</f>
        <v>46006</v>
      </c>
      <c r="B7031" s="5" t="str">
        <f t="shared" si="1361"/>
        <v>Northern Cardinal</v>
      </c>
      <c r="C7031" s="6">
        <f t="shared" si="1361"/>
        <v>0.36249999999999999</v>
      </c>
      <c r="D7031" s="5"/>
      <c r="E7031" s="5"/>
      <c r="F7031" s="5" t="s">
        <v>22</v>
      </c>
      <c r="G7031" s="15" t="s">
        <v>22</v>
      </c>
      <c r="H7031" s="24">
        <f t="shared" si="1331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62">A7031</f>
        <v>46006</v>
      </c>
      <c r="B7032" s="5" t="str">
        <f t="shared" si="1362"/>
        <v>Northern Cardinal</v>
      </c>
      <c r="C7032" s="6">
        <f t="shared" si="1362"/>
        <v>0.36249999999999999</v>
      </c>
      <c r="D7032" s="5"/>
      <c r="E7032" s="5"/>
      <c r="F7032" s="5" t="s">
        <v>22</v>
      </c>
      <c r="G7032" s="15" t="s">
        <v>22</v>
      </c>
      <c r="H7032" s="24">
        <f t="shared" si="1331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63">A7032</f>
        <v>46006</v>
      </c>
      <c r="B7033" s="5" t="str">
        <f t="shared" si="1363"/>
        <v>Northern Cardinal</v>
      </c>
      <c r="C7033" s="6">
        <f t="shared" si="1363"/>
        <v>0.36249999999999999</v>
      </c>
      <c r="D7033" s="5"/>
      <c r="E7033" s="5"/>
      <c r="F7033" s="5" t="s">
        <v>22</v>
      </c>
      <c r="G7033" s="15" t="s">
        <v>22</v>
      </c>
      <c r="H7033" s="24">
        <f t="shared" si="1331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64">A7033</f>
        <v>46006</v>
      </c>
      <c r="B7034" s="5" t="str">
        <f t="shared" si="1364"/>
        <v>Northern Cardinal</v>
      </c>
      <c r="C7034" s="6">
        <f t="shared" si="1364"/>
        <v>0.36249999999999999</v>
      </c>
      <c r="D7034" s="5"/>
      <c r="E7034" s="5"/>
      <c r="F7034" s="5" t="s">
        <v>22</v>
      </c>
      <c r="G7034" s="15" t="s">
        <v>22</v>
      </c>
      <c r="H7034" s="24">
        <f t="shared" si="1331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65">A7034</f>
        <v>46006</v>
      </c>
      <c r="B7035" s="5" t="str">
        <f t="shared" si="1365"/>
        <v>Northern Cardinal</v>
      </c>
      <c r="C7035" s="6">
        <f t="shared" si="1365"/>
        <v>0.36249999999999999</v>
      </c>
      <c r="D7035" s="5"/>
      <c r="E7035" s="5"/>
      <c r="F7035" s="5" t="s">
        <v>22</v>
      </c>
      <c r="G7035" s="15" t="s">
        <v>22</v>
      </c>
      <c r="H7035" s="24">
        <f t="shared" si="1331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66">A7035</f>
        <v>46006</v>
      </c>
      <c r="B7036" s="5" t="str">
        <f t="shared" si="1366"/>
        <v>Northern Cardinal</v>
      </c>
      <c r="C7036" s="6">
        <f t="shared" si="1366"/>
        <v>0.36249999999999999</v>
      </c>
      <c r="D7036" s="5"/>
      <c r="E7036" s="5"/>
      <c r="F7036" s="5" t="s">
        <v>22</v>
      </c>
      <c r="G7036" s="15" t="s">
        <v>22</v>
      </c>
      <c r="H7036" s="24">
        <f t="shared" si="1331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67">A7036</f>
        <v>46006</v>
      </c>
      <c r="B7037" s="5" t="str">
        <f t="shared" si="1367"/>
        <v>Northern Cardinal</v>
      </c>
      <c r="C7037" s="6">
        <f t="shared" si="1367"/>
        <v>0.36249999999999999</v>
      </c>
      <c r="D7037" s="5"/>
      <c r="E7037" s="5"/>
      <c r="F7037" s="5" t="s">
        <v>22</v>
      </c>
      <c r="G7037" s="15" t="s">
        <v>22</v>
      </c>
      <c r="H7037" s="24">
        <f t="shared" si="1331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68">A7037</f>
        <v>46006</v>
      </c>
      <c r="B7038" s="5" t="str">
        <f t="shared" si="1368"/>
        <v>Northern Cardinal</v>
      </c>
      <c r="C7038" s="6">
        <f t="shared" si="1368"/>
        <v>0.36249999999999999</v>
      </c>
      <c r="D7038" s="5"/>
      <c r="E7038" s="5"/>
      <c r="F7038" s="5" t="s">
        <v>22</v>
      </c>
      <c r="G7038" s="15" t="s">
        <v>22</v>
      </c>
      <c r="H7038" s="24">
        <f t="shared" si="1331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69">A7038</f>
        <v>46006</v>
      </c>
      <c r="B7039" s="5" t="str">
        <f t="shared" si="1369"/>
        <v>Northern Cardinal</v>
      </c>
      <c r="C7039" s="6">
        <f t="shared" si="1369"/>
        <v>0.36249999999999999</v>
      </c>
      <c r="D7039" s="5"/>
      <c r="E7039" s="5"/>
      <c r="F7039" s="5" t="s">
        <v>22</v>
      </c>
      <c r="G7039" s="15" t="s">
        <v>22</v>
      </c>
      <c r="H7039" s="24">
        <f t="shared" si="1331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70">A7039</f>
        <v>46006</v>
      </c>
      <c r="B7040" s="5" t="str">
        <f t="shared" si="1370"/>
        <v>Northern Cardinal</v>
      </c>
      <c r="C7040" s="6">
        <f t="shared" si="1370"/>
        <v>0.36249999999999999</v>
      </c>
      <c r="D7040" s="5"/>
      <c r="E7040" s="5"/>
      <c r="F7040" s="5" t="s">
        <v>22</v>
      </c>
      <c r="G7040" s="15" t="s">
        <v>22</v>
      </c>
      <c r="H7040" s="24">
        <f t="shared" si="1331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71">A7040</f>
        <v>46006</v>
      </c>
      <c r="B7041" s="5" t="str">
        <f t="shared" si="1371"/>
        <v>Northern Cardinal</v>
      </c>
      <c r="C7041" s="6">
        <f t="shared" si="1371"/>
        <v>0.36249999999999999</v>
      </c>
      <c r="D7041" s="5"/>
      <c r="E7041" s="5"/>
      <c r="F7041" s="5" t="s">
        <v>22</v>
      </c>
      <c r="G7041" s="15" t="s">
        <v>22</v>
      </c>
      <c r="H7041" s="24">
        <f t="shared" si="1331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72">A7041</f>
        <v>46006</v>
      </c>
      <c r="B7042" s="5" t="str">
        <f t="shared" si="1372"/>
        <v>Northern Cardinal</v>
      </c>
      <c r="C7042" s="6">
        <f t="shared" si="1372"/>
        <v>0.36249999999999999</v>
      </c>
      <c r="D7042" s="5"/>
      <c r="E7042" s="5"/>
      <c r="F7042" s="5" t="s">
        <v>22</v>
      </c>
      <c r="G7042" s="15" t="s">
        <v>22</v>
      </c>
      <c r="H7042" s="24">
        <f t="shared" si="1331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73">A7042</f>
        <v>46006</v>
      </c>
      <c r="B7043" s="5" t="str">
        <f t="shared" si="1373"/>
        <v>Northern Cardinal</v>
      </c>
      <c r="C7043" s="6">
        <f t="shared" si="1373"/>
        <v>0.36249999999999999</v>
      </c>
      <c r="D7043" s="5"/>
      <c r="E7043" s="5"/>
      <c r="F7043" s="5" t="s">
        <v>22</v>
      </c>
      <c r="G7043" s="15" t="s">
        <v>22</v>
      </c>
      <c r="H7043" s="24">
        <f t="shared" si="1331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74">A7043</f>
        <v>46006</v>
      </c>
      <c r="B7044" s="5" t="str">
        <f t="shared" si="1374"/>
        <v>Northern Cardinal</v>
      </c>
      <c r="C7044" s="6">
        <f t="shared" si="1374"/>
        <v>0.36249999999999999</v>
      </c>
      <c r="D7044" s="5"/>
      <c r="E7044" s="5"/>
      <c r="F7044" s="5" t="s">
        <v>22</v>
      </c>
      <c r="G7044" s="15" t="s">
        <v>22</v>
      </c>
      <c r="H7044" s="24">
        <f t="shared" si="1331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75">A7044</f>
        <v>46006</v>
      </c>
      <c r="B7045" s="5" t="str">
        <f t="shared" si="1375"/>
        <v>Northern Cardinal</v>
      </c>
      <c r="C7045" s="6">
        <f t="shared" si="1375"/>
        <v>0.36249999999999999</v>
      </c>
      <c r="D7045" s="5"/>
      <c r="E7045" s="5"/>
      <c r="F7045" s="5" t="s">
        <v>22</v>
      </c>
      <c r="G7045" s="15" t="s">
        <v>22</v>
      </c>
      <c r="H7045" s="24">
        <f t="shared" si="1331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76">A7045</f>
        <v>46006</v>
      </c>
      <c r="B7046" s="5" t="str">
        <f t="shared" si="1376"/>
        <v>Northern Cardinal</v>
      </c>
      <c r="C7046" s="6">
        <f t="shared" si="1376"/>
        <v>0.36249999999999999</v>
      </c>
      <c r="D7046" s="5"/>
      <c r="E7046" s="5"/>
      <c r="F7046" s="5" t="s">
        <v>22</v>
      </c>
      <c r="G7046" s="15" t="s">
        <v>22</v>
      </c>
      <c r="H7046" s="24">
        <f t="shared" si="1331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77">A7046</f>
        <v>46006</v>
      </c>
      <c r="B7047" s="5" t="str">
        <f t="shared" si="1377"/>
        <v>Northern Cardinal</v>
      </c>
      <c r="C7047" s="6">
        <f t="shared" si="1377"/>
        <v>0.36249999999999999</v>
      </c>
      <c r="D7047" s="5"/>
      <c r="E7047" s="5"/>
      <c r="F7047" s="5" t="s">
        <v>22</v>
      </c>
      <c r="G7047" s="15" t="s">
        <v>22</v>
      </c>
      <c r="H7047" s="24">
        <f t="shared" si="1331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78">A7047</f>
        <v>46006</v>
      </c>
      <c r="B7048" s="5" t="str">
        <f t="shared" si="1378"/>
        <v>Northern Cardinal</v>
      </c>
      <c r="C7048" s="6">
        <f t="shared" si="1378"/>
        <v>0.36249999999999999</v>
      </c>
      <c r="D7048" s="5"/>
      <c r="E7048" s="5"/>
      <c r="F7048" s="5" t="s">
        <v>22</v>
      </c>
      <c r="G7048" s="15" t="s">
        <v>22</v>
      </c>
      <c r="H7048" s="24">
        <f t="shared" si="1331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79">A7048</f>
        <v>46006</v>
      </c>
      <c r="B7049" s="5" t="str">
        <f t="shared" si="1379"/>
        <v>Northern Cardinal</v>
      </c>
      <c r="C7049" s="6">
        <f t="shared" si="1379"/>
        <v>0.36249999999999999</v>
      </c>
      <c r="D7049" s="5"/>
      <c r="E7049" s="5"/>
      <c r="F7049" s="5" t="s">
        <v>22</v>
      </c>
      <c r="G7049" s="15" t="s">
        <v>22</v>
      </c>
      <c r="H7049" s="24">
        <f t="shared" si="1331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80">A7049</f>
        <v>46006</v>
      </c>
      <c r="B7050" s="5" t="str">
        <f t="shared" si="1380"/>
        <v>Northern Cardinal</v>
      </c>
      <c r="C7050" s="6">
        <f t="shared" si="1380"/>
        <v>0.36249999999999999</v>
      </c>
      <c r="D7050" s="5"/>
      <c r="E7050" s="5"/>
      <c r="F7050" s="5" t="s">
        <v>22</v>
      </c>
      <c r="G7050" s="15" t="s">
        <v>22</v>
      </c>
      <c r="H7050" s="24">
        <f t="shared" si="1331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81">A7050</f>
        <v>46006</v>
      </c>
      <c r="B7051" s="5" t="str">
        <f t="shared" si="1381"/>
        <v>Northern Cardinal</v>
      </c>
      <c r="C7051" s="6">
        <f t="shared" si="1381"/>
        <v>0.36249999999999999</v>
      </c>
      <c r="D7051" s="5"/>
      <c r="E7051" s="5"/>
      <c r="F7051" s="5" t="s">
        <v>22</v>
      </c>
      <c r="G7051" s="15" t="s">
        <v>22</v>
      </c>
      <c r="H7051" s="24">
        <f t="shared" si="1331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82">A7051</f>
        <v>46006</v>
      </c>
      <c r="B7052" s="5" t="str">
        <f t="shared" si="1382"/>
        <v>Northern Cardinal</v>
      </c>
      <c r="C7052" s="6">
        <f t="shared" si="1382"/>
        <v>0.36249999999999999</v>
      </c>
      <c r="D7052" s="5"/>
      <c r="E7052" s="5"/>
      <c r="F7052" s="5" t="s">
        <v>22</v>
      </c>
      <c r="G7052" s="15" t="s">
        <v>22</v>
      </c>
      <c r="H7052" s="24">
        <f t="shared" si="1331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83">A7052</f>
        <v>46006</v>
      </c>
      <c r="B7053" s="5" t="str">
        <f t="shared" si="1383"/>
        <v>Northern Cardinal</v>
      </c>
      <c r="C7053" s="6">
        <f t="shared" si="1383"/>
        <v>0.36249999999999999</v>
      </c>
      <c r="D7053" s="5"/>
      <c r="E7053" s="5"/>
      <c r="F7053" s="5" t="s">
        <v>22</v>
      </c>
      <c r="G7053" s="15" t="s">
        <v>22</v>
      </c>
      <c r="H7053" s="24">
        <f t="shared" si="1331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84">A7053</f>
        <v>46006</v>
      </c>
      <c r="B7054" s="5" t="str">
        <f t="shared" si="1384"/>
        <v>Northern Cardinal</v>
      </c>
      <c r="C7054" s="6">
        <f t="shared" si="1384"/>
        <v>0.36249999999999999</v>
      </c>
      <c r="D7054" s="5"/>
      <c r="E7054" s="5"/>
      <c r="F7054" s="5" t="s">
        <v>22</v>
      </c>
      <c r="G7054" s="15" t="s">
        <v>22</v>
      </c>
      <c r="H7054" s="24">
        <f t="shared" si="1331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85">A7054</f>
        <v>46006</v>
      </c>
      <c r="B7055" s="5" t="str">
        <f t="shared" si="1385"/>
        <v>Northern Cardinal</v>
      </c>
      <c r="C7055" s="6">
        <f t="shared" si="1385"/>
        <v>0.36249999999999999</v>
      </c>
      <c r="D7055" s="5"/>
      <c r="E7055" s="5"/>
      <c r="F7055" s="5" t="s">
        <v>22</v>
      </c>
      <c r="G7055" s="15" t="s">
        <v>22</v>
      </c>
      <c r="H7055" s="24">
        <f t="shared" si="1331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86">A7055</f>
        <v>46006</v>
      </c>
      <c r="B7056" s="5" t="str">
        <f t="shared" si="1386"/>
        <v>Northern Cardinal</v>
      </c>
      <c r="C7056" s="6">
        <f t="shared" si="1386"/>
        <v>0.36249999999999999</v>
      </c>
      <c r="D7056" s="5"/>
      <c r="E7056" s="5"/>
      <c r="F7056" s="5" t="s">
        <v>22</v>
      </c>
      <c r="G7056" s="15" t="s">
        <v>22</v>
      </c>
      <c r="H7056" s="24">
        <f t="shared" si="1331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87">A7056</f>
        <v>46006</v>
      </c>
      <c r="B7057" s="5" t="str">
        <f t="shared" si="1387"/>
        <v>Northern Cardinal</v>
      </c>
      <c r="C7057" s="6">
        <f t="shared" si="1387"/>
        <v>0.36249999999999999</v>
      </c>
      <c r="D7057" s="5"/>
      <c r="E7057" s="5"/>
      <c r="F7057" s="5" t="s">
        <v>22</v>
      </c>
      <c r="G7057" s="15" t="s">
        <v>22</v>
      </c>
      <c r="H7057" s="24">
        <f t="shared" si="1331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388">A7057</f>
        <v>46006</v>
      </c>
      <c r="B7058" s="5" t="str">
        <f t="shared" si="1388"/>
        <v>Northern Cardinal</v>
      </c>
      <c r="C7058" s="6">
        <f t="shared" si="1388"/>
        <v>0.36249999999999999</v>
      </c>
      <c r="D7058" s="5"/>
      <c r="E7058" s="5"/>
      <c r="F7058" s="5" t="s">
        <v>22</v>
      </c>
      <c r="G7058" s="15" t="s">
        <v>22</v>
      </c>
      <c r="H7058" s="24">
        <f t="shared" si="1331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389">A7058</f>
        <v>46006</v>
      </c>
      <c r="B7059" s="5" t="str">
        <f t="shared" si="1389"/>
        <v>Northern Cardinal</v>
      </c>
      <c r="C7059" s="6">
        <f t="shared" si="1389"/>
        <v>0.36249999999999999</v>
      </c>
      <c r="D7059" s="5"/>
      <c r="E7059" s="5"/>
      <c r="F7059" s="5" t="s">
        <v>22</v>
      </c>
      <c r="G7059" s="15" t="s">
        <v>22</v>
      </c>
      <c r="H7059" s="24">
        <f t="shared" si="1331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390">A7059</f>
        <v>46006</v>
      </c>
      <c r="B7060" s="5" t="str">
        <f t="shared" si="1390"/>
        <v>Northern Cardinal</v>
      </c>
      <c r="C7060" s="6">
        <f t="shared" si="1390"/>
        <v>0.36249999999999999</v>
      </c>
      <c r="D7060" s="5"/>
      <c r="E7060" s="5"/>
      <c r="F7060" s="5" t="s">
        <v>22</v>
      </c>
      <c r="G7060" s="15" t="s">
        <v>22</v>
      </c>
      <c r="H7060" s="24">
        <f t="shared" si="1331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391">A7060</f>
        <v>46006</v>
      </c>
      <c r="B7061" s="5" t="str">
        <f t="shared" si="1391"/>
        <v>Northern Cardinal</v>
      </c>
      <c r="C7061" s="6">
        <f t="shared" si="1391"/>
        <v>0.36249999999999999</v>
      </c>
      <c r="D7061" s="5"/>
      <c r="E7061" s="5"/>
      <c r="F7061" s="5" t="s">
        <v>22</v>
      </c>
      <c r="G7061" s="15" t="s">
        <v>22</v>
      </c>
      <c r="H7061" s="24">
        <f t="shared" si="1331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392">A7061</f>
        <v>46006</v>
      </c>
      <c r="B7062" s="5" t="str">
        <f t="shared" si="1392"/>
        <v>Northern Cardinal</v>
      </c>
      <c r="C7062" s="6">
        <f t="shared" si="1392"/>
        <v>0.36249999999999999</v>
      </c>
      <c r="D7062" s="5"/>
      <c r="E7062" s="5"/>
      <c r="F7062" s="5" t="s">
        <v>22</v>
      </c>
      <c r="G7062" s="15" t="s">
        <v>22</v>
      </c>
      <c r="H7062" s="24">
        <f t="shared" si="1331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393">A7062</f>
        <v>46006</v>
      </c>
      <c r="B7063" s="5" t="str">
        <f t="shared" si="1393"/>
        <v>Northern Cardinal</v>
      </c>
      <c r="C7063" s="6">
        <f t="shared" si="1393"/>
        <v>0.36249999999999999</v>
      </c>
      <c r="D7063" s="5"/>
      <c r="E7063" s="5"/>
      <c r="F7063" s="5" t="s">
        <v>22</v>
      </c>
      <c r="G7063" s="15" t="s">
        <v>22</v>
      </c>
      <c r="H7063" s="24">
        <f t="shared" si="1331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394">A7063</f>
        <v>46006</v>
      </c>
      <c r="B7064" s="5" t="str">
        <f t="shared" si="1394"/>
        <v>Northern Cardinal</v>
      </c>
      <c r="C7064" s="6">
        <f t="shared" si="1394"/>
        <v>0.36249999999999999</v>
      </c>
      <c r="D7064" s="5"/>
      <c r="E7064" s="5"/>
      <c r="F7064" s="5" t="s">
        <v>22</v>
      </c>
      <c r="G7064" s="15" t="s">
        <v>22</v>
      </c>
      <c r="H7064" s="24">
        <f t="shared" ref="H7064:H7127" si="1395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396">A7064</f>
        <v>46006</v>
      </c>
      <c r="B7065" s="5" t="str">
        <f t="shared" si="1396"/>
        <v>Northern Cardinal</v>
      </c>
      <c r="C7065" s="6">
        <f t="shared" si="1396"/>
        <v>0.36249999999999999</v>
      </c>
      <c r="D7065" s="5"/>
      <c r="E7065" s="5"/>
      <c r="F7065" s="5" t="s">
        <v>22</v>
      </c>
      <c r="G7065" s="15" t="s">
        <v>22</v>
      </c>
      <c r="H7065" s="24">
        <f t="shared" si="1395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397">A7065</f>
        <v>46006</v>
      </c>
      <c r="B7066" s="5" t="str">
        <f t="shared" si="1397"/>
        <v>Northern Cardinal</v>
      </c>
      <c r="C7066" s="6">
        <f t="shared" si="1397"/>
        <v>0.36249999999999999</v>
      </c>
      <c r="D7066" s="5"/>
      <c r="E7066" s="5"/>
      <c r="F7066" s="5" t="s">
        <v>22</v>
      </c>
      <c r="G7066" s="15" t="s">
        <v>22</v>
      </c>
      <c r="H7066" s="24">
        <f t="shared" si="1395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398">A7066</f>
        <v>46006</v>
      </c>
      <c r="B7067" s="5" t="str">
        <f t="shared" si="1398"/>
        <v>Northern Cardinal</v>
      </c>
      <c r="C7067" s="6">
        <f t="shared" si="1398"/>
        <v>0.36249999999999999</v>
      </c>
      <c r="D7067" s="5"/>
      <c r="E7067" s="5"/>
      <c r="F7067" s="5" t="s">
        <v>22</v>
      </c>
      <c r="G7067" s="15" t="s">
        <v>22</v>
      </c>
      <c r="H7067" s="24">
        <f t="shared" si="1395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399">A7067</f>
        <v>46006</v>
      </c>
      <c r="B7068" s="5" t="str">
        <f t="shared" si="1399"/>
        <v>Northern Cardinal</v>
      </c>
      <c r="C7068" s="6">
        <f t="shared" si="1399"/>
        <v>0.36249999999999999</v>
      </c>
      <c r="D7068" s="5"/>
      <c r="E7068" s="5"/>
      <c r="F7068" s="5" t="s">
        <v>22</v>
      </c>
      <c r="G7068" s="15" t="s">
        <v>22</v>
      </c>
      <c r="H7068" s="24">
        <f t="shared" si="1395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00">A7068</f>
        <v>46006</v>
      </c>
      <c r="B7069" s="5" t="str">
        <f t="shared" si="1400"/>
        <v>Northern Cardinal</v>
      </c>
      <c r="C7069" s="6">
        <f t="shared" si="1400"/>
        <v>0.36249999999999999</v>
      </c>
      <c r="D7069" s="5"/>
      <c r="E7069" s="5"/>
      <c r="F7069" s="5" t="s">
        <v>22</v>
      </c>
      <c r="G7069" s="15" t="s">
        <v>22</v>
      </c>
      <c r="H7069" s="24">
        <f t="shared" si="1395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01">A7069</f>
        <v>46006</v>
      </c>
      <c r="B7070" s="5" t="str">
        <f t="shared" si="1401"/>
        <v>Northern Cardinal</v>
      </c>
      <c r="C7070" s="6">
        <f t="shared" si="1401"/>
        <v>0.36249999999999999</v>
      </c>
      <c r="D7070" s="5"/>
      <c r="E7070" s="5"/>
      <c r="F7070" s="5" t="s">
        <v>22</v>
      </c>
      <c r="G7070" s="15" t="s">
        <v>22</v>
      </c>
      <c r="H7070" s="24">
        <f t="shared" si="1395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02">A7070</f>
        <v>46006</v>
      </c>
      <c r="B7071" s="5" t="str">
        <f t="shared" si="1402"/>
        <v>Northern Cardinal</v>
      </c>
      <c r="C7071" s="6">
        <f t="shared" si="1402"/>
        <v>0.36249999999999999</v>
      </c>
      <c r="D7071" s="5"/>
      <c r="E7071" s="5"/>
      <c r="F7071" s="5" t="s">
        <v>22</v>
      </c>
      <c r="G7071" s="15" t="s">
        <v>22</v>
      </c>
      <c r="H7071" s="24">
        <f t="shared" si="1395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03">A7071</f>
        <v>46006</v>
      </c>
      <c r="B7072" s="5" t="str">
        <f t="shared" si="1403"/>
        <v>Northern Cardinal</v>
      </c>
      <c r="C7072" s="6">
        <f t="shared" si="1403"/>
        <v>0.36249999999999999</v>
      </c>
      <c r="D7072" s="5"/>
      <c r="E7072" s="5"/>
      <c r="F7072" s="5" t="s">
        <v>22</v>
      </c>
      <c r="G7072" s="15" t="s">
        <v>22</v>
      </c>
      <c r="H7072" s="24">
        <f t="shared" si="1395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04">A7072</f>
        <v>46006</v>
      </c>
      <c r="B7073" s="5" t="str">
        <f t="shared" si="1404"/>
        <v>Northern Cardinal</v>
      </c>
      <c r="C7073" s="6">
        <f t="shared" si="1404"/>
        <v>0.36249999999999999</v>
      </c>
      <c r="D7073" s="5"/>
      <c r="E7073" s="5"/>
      <c r="F7073" s="5" t="s">
        <v>22</v>
      </c>
      <c r="G7073" s="15" t="s">
        <v>22</v>
      </c>
      <c r="H7073" s="24">
        <f t="shared" si="1395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05">A7073</f>
        <v>46006</v>
      </c>
      <c r="B7074" s="5" t="str">
        <f t="shared" si="1405"/>
        <v>Northern Cardinal</v>
      </c>
      <c r="C7074" s="6">
        <f t="shared" si="1405"/>
        <v>0.36249999999999999</v>
      </c>
      <c r="D7074" s="5"/>
      <c r="E7074" s="5"/>
      <c r="F7074" s="5" t="s">
        <v>22</v>
      </c>
      <c r="G7074" s="15" t="s">
        <v>22</v>
      </c>
      <c r="H7074" s="24">
        <f t="shared" si="1395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06">A7074</f>
        <v>46006</v>
      </c>
      <c r="B7075" s="5" t="str">
        <f t="shared" si="1406"/>
        <v>Northern Cardinal</v>
      </c>
      <c r="C7075" s="6">
        <f t="shared" si="1406"/>
        <v>0.36249999999999999</v>
      </c>
      <c r="D7075" s="5"/>
      <c r="E7075" s="5"/>
      <c r="F7075" s="5" t="s">
        <v>22</v>
      </c>
      <c r="G7075" s="15" t="s">
        <v>22</v>
      </c>
      <c r="H7075" s="24">
        <f t="shared" si="1395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07">A7075</f>
        <v>46006</v>
      </c>
      <c r="B7076" s="5" t="str">
        <f t="shared" si="1407"/>
        <v>Northern Cardinal</v>
      </c>
      <c r="C7076" s="6">
        <f t="shared" si="1407"/>
        <v>0.36249999999999999</v>
      </c>
      <c r="D7076" s="5"/>
      <c r="E7076" s="5"/>
      <c r="F7076" s="5" t="s">
        <v>22</v>
      </c>
      <c r="G7076" s="15" t="s">
        <v>22</v>
      </c>
      <c r="H7076" s="24">
        <f t="shared" si="1395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08">A7076</f>
        <v>46006</v>
      </c>
      <c r="B7077" s="5" t="str">
        <f t="shared" si="1408"/>
        <v>Northern Cardinal</v>
      </c>
      <c r="C7077" s="6">
        <f t="shared" si="1408"/>
        <v>0.36249999999999999</v>
      </c>
      <c r="D7077" s="5"/>
      <c r="E7077" s="5"/>
      <c r="F7077" s="5" t="s">
        <v>22</v>
      </c>
      <c r="G7077" s="15" t="s">
        <v>22</v>
      </c>
      <c r="H7077" s="24">
        <f t="shared" si="1395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09">A7077</f>
        <v>46006</v>
      </c>
      <c r="B7078" s="5" t="str">
        <f t="shared" si="1409"/>
        <v>Northern Cardinal</v>
      </c>
      <c r="C7078" s="6">
        <f t="shared" si="1409"/>
        <v>0.36249999999999999</v>
      </c>
      <c r="D7078" s="5"/>
      <c r="E7078" s="5"/>
      <c r="F7078" s="5" t="s">
        <v>22</v>
      </c>
      <c r="G7078" s="15" t="s">
        <v>22</v>
      </c>
      <c r="H7078" s="24">
        <f t="shared" si="1395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10">A7078</f>
        <v>46006</v>
      </c>
      <c r="B7079" s="5" t="str">
        <f t="shared" si="1410"/>
        <v>Northern Cardinal</v>
      </c>
      <c r="C7079" s="6">
        <f t="shared" si="1410"/>
        <v>0.36249999999999999</v>
      </c>
      <c r="D7079" s="5"/>
      <c r="E7079" s="5"/>
      <c r="F7079" s="5" t="s">
        <v>22</v>
      </c>
      <c r="G7079" s="15" t="s">
        <v>22</v>
      </c>
      <c r="H7079" s="24">
        <f t="shared" si="1395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11">A7079</f>
        <v>46006</v>
      </c>
      <c r="B7080" s="5" t="str">
        <f t="shared" si="1411"/>
        <v>Northern Cardinal</v>
      </c>
      <c r="C7080" s="6">
        <f t="shared" si="1411"/>
        <v>0.36249999999999999</v>
      </c>
      <c r="D7080" s="5"/>
      <c r="E7080" s="5"/>
      <c r="F7080" s="5" t="s">
        <v>22</v>
      </c>
      <c r="G7080" s="15" t="s">
        <v>22</v>
      </c>
      <c r="H7080" s="24">
        <f t="shared" si="1395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12">A7080</f>
        <v>46006</v>
      </c>
      <c r="B7081" s="5" t="str">
        <f t="shared" si="1412"/>
        <v>Northern Cardinal</v>
      </c>
      <c r="C7081" s="6">
        <f t="shared" si="1412"/>
        <v>0.36249999999999999</v>
      </c>
      <c r="D7081" s="5"/>
      <c r="E7081" s="5"/>
      <c r="F7081" s="5" t="s">
        <v>22</v>
      </c>
      <c r="G7081" s="15" t="s">
        <v>22</v>
      </c>
      <c r="H7081" s="24">
        <f t="shared" si="1395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13">A7081</f>
        <v>46006</v>
      </c>
      <c r="B7082" s="5" t="str">
        <f t="shared" si="1413"/>
        <v>Northern Cardinal</v>
      </c>
      <c r="C7082" s="6">
        <f t="shared" si="1413"/>
        <v>0.36249999999999999</v>
      </c>
      <c r="D7082" s="5"/>
      <c r="E7082" s="5"/>
      <c r="F7082" s="5" t="s">
        <v>22</v>
      </c>
      <c r="G7082" s="15" t="s">
        <v>22</v>
      </c>
      <c r="H7082" s="24">
        <f t="shared" si="1395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14">A7082</f>
        <v>46006</v>
      </c>
      <c r="B7083" s="5" t="str">
        <f t="shared" si="1414"/>
        <v>Northern Cardinal</v>
      </c>
      <c r="C7083" s="6">
        <f t="shared" si="1414"/>
        <v>0.36249999999999999</v>
      </c>
      <c r="D7083" s="5"/>
      <c r="E7083" s="5"/>
      <c r="F7083" s="5" t="s">
        <v>22</v>
      </c>
      <c r="G7083" s="15" t="s">
        <v>22</v>
      </c>
      <c r="H7083" s="24">
        <f t="shared" si="1395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15">A7083</f>
        <v>46006</v>
      </c>
      <c r="B7084" s="5" t="str">
        <f t="shared" si="1415"/>
        <v>Northern Cardinal</v>
      </c>
      <c r="C7084" s="6">
        <f t="shared" si="1415"/>
        <v>0.36249999999999999</v>
      </c>
      <c r="D7084" s="5"/>
      <c r="E7084" s="5"/>
      <c r="F7084" s="5" t="s">
        <v>22</v>
      </c>
      <c r="G7084" s="15" t="s">
        <v>22</v>
      </c>
      <c r="H7084" s="24">
        <f t="shared" si="1395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16">A7084</f>
        <v>46006</v>
      </c>
      <c r="B7085" s="5" t="str">
        <f t="shared" si="1416"/>
        <v>Northern Cardinal</v>
      </c>
      <c r="C7085" s="6">
        <f t="shared" si="1416"/>
        <v>0.36249999999999999</v>
      </c>
      <c r="D7085" s="5"/>
      <c r="E7085" s="5"/>
      <c r="F7085" s="5" t="s">
        <v>22</v>
      </c>
      <c r="G7085" s="15" t="s">
        <v>22</v>
      </c>
      <c r="H7085" s="24">
        <f t="shared" si="1395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17">A7085</f>
        <v>46006</v>
      </c>
      <c r="B7086" s="5" t="str">
        <f t="shared" si="1417"/>
        <v>Northern Cardinal</v>
      </c>
      <c r="C7086" s="6">
        <f t="shared" si="1417"/>
        <v>0.36249999999999999</v>
      </c>
      <c r="D7086" s="5"/>
      <c r="E7086" s="5"/>
      <c r="F7086" s="5" t="s">
        <v>22</v>
      </c>
      <c r="G7086" s="15" t="s">
        <v>22</v>
      </c>
      <c r="H7086" s="24">
        <f t="shared" si="1395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18">A7086</f>
        <v>46006</v>
      </c>
      <c r="B7087" s="5" t="str">
        <f t="shared" si="1418"/>
        <v>Northern Cardinal</v>
      </c>
      <c r="C7087" s="6">
        <f t="shared" si="1418"/>
        <v>0.36249999999999999</v>
      </c>
      <c r="D7087" s="5"/>
      <c r="E7087" s="5"/>
      <c r="F7087" s="5" t="s">
        <v>22</v>
      </c>
      <c r="G7087" s="15" t="s">
        <v>22</v>
      </c>
      <c r="H7087" s="24">
        <f t="shared" si="1395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19">A7087</f>
        <v>46006</v>
      </c>
      <c r="B7088" s="5" t="str">
        <f t="shared" si="1419"/>
        <v>Northern Cardinal</v>
      </c>
      <c r="C7088" s="6">
        <f t="shared" si="1419"/>
        <v>0.36249999999999999</v>
      </c>
      <c r="D7088" s="5"/>
      <c r="E7088" s="5"/>
      <c r="F7088" s="5" t="s">
        <v>22</v>
      </c>
      <c r="G7088" s="15" t="s">
        <v>22</v>
      </c>
      <c r="H7088" s="24">
        <f t="shared" si="1395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20">A7088</f>
        <v>46006</v>
      </c>
      <c r="B7089" s="5" t="str">
        <f t="shared" si="1420"/>
        <v>Northern Cardinal</v>
      </c>
      <c r="C7089" s="6">
        <f t="shared" si="1420"/>
        <v>0.36249999999999999</v>
      </c>
      <c r="D7089" s="5"/>
      <c r="E7089" s="5"/>
      <c r="F7089" s="5" t="s">
        <v>22</v>
      </c>
      <c r="G7089" s="15" t="s">
        <v>22</v>
      </c>
      <c r="H7089" s="24">
        <f t="shared" si="1395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21">A7089</f>
        <v>46006</v>
      </c>
      <c r="B7090" s="5" t="str">
        <f t="shared" si="1421"/>
        <v>Northern Cardinal</v>
      </c>
      <c r="C7090" s="6">
        <f t="shared" si="1421"/>
        <v>0.36249999999999999</v>
      </c>
      <c r="D7090" s="5"/>
      <c r="E7090" s="5"/>
      <c r="F7090" s="5" t="s">
        <v>22</v>
      </c>
      <c r="G7090" s="15" t="s">
        <v>22</v>
      </c>
      <c r="H7090" s="24">
        <f t="shared" si="1395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22">A7090</f>
        <v>46006</v>
      </c>
      <c r="B7091" s="5" t="str">
        <f t="shared" si="1422"/>
        <v>Northern Cardinal</v>
      </c>
      <c r="C7091" s="6">
        <f t="shared" si="1422"/>
        <v>0.36249999999999999</v>
      </c>
      <c r="D7091" s="5"/>
      <c r="E7091" s="5"/>
      <c r="F7091" s="5" t="s">
        <v>22</v>
      </c>
      <c r="G7091" s="15" t="s">
        <v>22</v>
      </c>
      <c r="H7091" s="24">
        <f t="shared" si="1395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23">A7091</f>
        <v>46006</v>
      </c>
      <c r="B7092" s="5" t="str">
        <f t="shared" si="1423"/>
        <v>Northern Cardinal</v>
      </c>
      <c r="C7092" s="6">
        <f t="shared" si="1423"/>
        <v>0.36249999999999999</v>
      </c>
      <c r="D7092" s="5"/>
      <c r="E7092" s="5"/>
      <c r="F7092" s="5" t="s">
        <v>22</v>
      </c>
      <c r="G7092" s="15" t="s">
        <v>22</v>
      </c>
      <c r="H7092" s="24">
        <f t="shared" si="1395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24">A7092</f>
        <v>46006</v>
      </c>
      <c r="B7093" s="5" t="str">
        <f t="shared" si="1424"/>
        <v>Northern Cardinal</v>
      </c>
      <c r="C7093" s="6">
        <f t="shared" si="1424"/>
        <v>0.36249999999999999</v>
      </c>
      <c r="D7093" s="5"/>
      <c r="E7093" s="5"/>
      <c r="F7093" s="5" t="s">
        <v>22</v>
      </c>
      <c r="G7093" s="15" t="s">
        <v>22</v>
      </c>
      <c r="H7093" s="24">
        <f t="shared" si="1395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25">A7093</f>
        <v>46006</v>
      </c>
      <c r="B7094" s="5" t="str">
        <f t="shared" si="1425"/>
        <v>Northern Cardinal</v>
      </c>
      <c r="C7094" s="6">
        <f t="shared" si="1425"/>
        <v>0.36249999999999999</v>
      </c>
      <c r="D7094" s="5"/>
      <c r="E7094" s="5"/>
      <c r="F7094" s="5" t="s">
        <v>22</v>
      </c>
      <c r="G7094" s="15" t="s">
        <v>22</v>
      </c>
      <c r="H7094" s="24">
        <f t="shared" si="1395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26">A7094</f>
        <v>46006</v>
      </c>
      <c r="B7095" s="5" t="str">
        <f t="shared" si="1426"/>
        <v>Northern Cardinal</v>
      </c>
      <c r="C7095" s="6">
        <f t="shared" si="1426"/>
        <v>0.36249999999999999</v>
      </c>
      <c r="D7095" s="5"/>
      <c r="E7095" s="5"/>
      <c r="F7095" s="5" t="s">
        <v>22</v>
      </c>
      <c r="G7095" s="15" t="s">
        <v>22</v>
      </c>
      <c r="H7095" s="24">
        <f t="shared" si="1395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27">A7095</f>
        <v>46006</v>
      </c>
      <c r="B7096" s="5" t="str">
        <f t="shared" si="1427"/>
        <v>Northern Cardinal</v>
      </c>
      <c r="C7096" s="6">
        <f t="shared" si="1427"/>
        <v>0.36249999999999999</v>
      </c>
      <c r="D7096" s="5"/>
      <c r="E7096" s="5"/>
      <c r="F7096" s="5" t="s">
        <v>22</v>
      </c>
      <c r="G7096" s="15" t="s">
        <v>22</v>
      </c>
      <c r="H7096" s="24">
        <f t="shared" si="1395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28">A7096</f>
        <v>46006</v>
      </c>
      <c r="B7097" s="5" t="str">
        <f t="shared" si="1428"/>
        <v>Northern Cardinal</v>
      </c>
      <c r="C7097" s="6">
        <f t="shared" si="1428"/>
        <v>0.36249999999999999</v>
      </c>
      <c r="D7097" s="5"/>
      <c r="E7097" s="5"/>
      <c r="F7097" s="5" t="s">
        <v>22</v>
      </c>
      <c r="G7097" s="15" t="s">
        <v>22</v>
      </c>
      <c r="H7097" s="24">
        <f t="shared" si="1395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29">A7097</f>
        <v>46006</v>
      </c>
      <c r="B7098" s="5" t="str">
        <f t="shared" si="1429"/>
        <v>Northern Cardinal</v>
      </c>
      <c r="C7098" s="6">
        <f t="shared" si="1429"/>
        <v>0.36249999999999999</v>
      </c>
      <c r="D7098" s="5"/>
      <c r="E7098" s="5"/>
      <c r="F7098" s="5" t="s">
        <v>22</v>
      </c>
      <c r="G7098" s="15" t="s">
        <v>22</v>
      </c>
      <c r="H7098" s="24">
        <f t="shared" si="1395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30">A7098</f>
        <v>46006</v>
      </c>
      <c r="B7099" s="5" t="str">
        <f t="shared" si="1430"/>
        <v>Northern Cardinal</v>
      </c>
      <c r="C7099" s="6">
        <f t="shared" si="1430"/>
        <v>0.36249999999999999</v>
      </c>
      <c r="D7099" s="5"/>
      <c r="E7099" s="5"/>
      <c r="F7099" s="5" t="s">
        <v>22</v>
      </c>
      <c r="G7099" s="15" t="s">
        <v>22</v>
      </c>
      <c r="H7099" s="24">
        <f t="shared" si="1395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31">A7099</f>
        <v>46006</v>
      </c>
      <c r="B7100" s="5" t="str">
        <f t="shared" si="1431"/>
        <v>Northern Cardinal</v>
      </c>
      <c r="C7100" s="6">
        <f t="shared" si="1431"/>
        <v>0.36249999999999999</v>
      </c>
      <c r="D7100" s="5"/>
      <c r="E7100" s="5"/>
      <c r="F7100" s="5" t="s">
        <v>22</v>
      </c>
      <c r="G7100" s="15" t="s">
        <v>22</v>
      </c>
      <c r="H7100" s="24">
        <f t="shared" si="1395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32">A7100</f>
        <v>46006</v>
      </c>
      <c r="B7101" s="5" t="str">
        <f t="shared" si="1432"/>
        <v>Northern Cardinal</v>
      </c>
      <c r="C7101" s="6">
        <f t="shared" si="1432"/>
        <v>0.36249999999999999</v>
      </c>
      <c r="D7101" s="5"/>
      <c r="E7101" s="5"/>
      <c r="F7101" s="5" t="s">
        <v>22</v>
      </c>
      <c r="G7101" s="15" t="s">
        <v>22</v>
      </c>
      <c r="H7101" s="24">
        <f t="shared" si="1395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33">A7101</f>
        <v>46006</v>
      </c>
      <c r="B7102" s="5" t="str">
        <f t="shared" si="1433"/>
        <v>Northern Cardinal</v>
      </c>
      <c r="C7102" s="6">
        <f t="shared" si="1433"/>
        <v>0.36249999999999999</v>
      </c>
      <c r="D7102" s="5"/>
      <c r="E7102" s="5"/>
      <c r="F7102" s="5" t="s">
        <v>22</v>
      </c>
      <c r="G7102" s="15" t="s">
        <v>22</v>
      </c>
      <c r="H7102" s="24">
        <f t="shared" si="1395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34">A7102</f>
        <v>46006</v>
      </c>
      <c r="B7103" s="5" t="str">
        <f t="shared" si="1434"/>
        <v>Northern Cardinal</v>
      </c>
      <c r="C7103" s="6">
        <f t="shared" si="1434"/>
        <v>0.36249999999999999</v>
      </c>
      <c r="D7103" s="5"/>
      <c r="E7103" s="5"/>
      <c r="F7103" s="5" t="s">
        <v>22</v>
      </c>
      <c r="G7103" s="15" t="s">
        <v>22</v>
      </c>
      <c r="H7103" s="24">
        <f t="shared" si="1395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35">A7103</f>
        <v>46006</v>
      </c>
      <c r="B7104" s="5" t="str">
        <f t="shared" si="1435"/>
        <v>Northern Cardinal</v>
      </c>
      <c r="C7104" s="6">
        <f t="shared" si="1435"/>
        <v>0.36249999999999999</v>
      </c>
      <c r="D7104" s="5"/>
      <c r="E7104" s="5"/>
      <c r="F7104" s="5" t="s">
        <v>22</v>
      </c>
      <c r="G7104" s="15" t="s">
        <v>22</v>
      </c>
      <c r="H7104" s="24">
        <f t="shared" si="1395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36">A7104</f>
        <v>46006</v>
      </c>
      <c r="B7105" s="5" t="str">
        <f t="shared" si="1436"/>
        <v>Northern Cardinal</v>
      </c>
      <c r="C7105" s="6">
        <f t="shared" si="1436"/>
        <v>0.36249999999999999</v>
      </c>
      <c r="D7105" s="5"/>
      <c r="E7105" s="5"/>
      <c r="F7105" s="5" t="s">
        <v>22</v>
      </c>
      <c r="G7105" s="15" t="s">
        <v>22</v>
      </c>
      <c r="H7105" s="24">
        <f t="shared" si="1395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37">A7105</f>
        <v>46006</v>
      </c>
      <c r="B7106" s="5" t="str">
        <f t="shared" si="1437"/>
        <v>Northern Cardinal</v>
      </c>
      <c r="C7106" s="6">
        <f t="shared" si="1437"/>
        <v>0.36249999999999999</v>
      </c>
      <c r="D7106" s="5"/>
      <c r="E7106" s="5"/>
      <c r="F7106" s="5" t="s">
        <v>22</v>
      </c>
      <c r="G7106" s="15" t="s">
        <v>22</v>
      </c>
      <c r="H7106" s="24">
        <f t="shared" si="1395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38">A7106</f>
        <v>46006</v>
      </c>
      <c r="B7107" s="5" t="str">
        <f t="shared" si="1438"/>
        <v>Northern Cardinal</v>
      </c>
      <c r="C7107" s="6">
        <f t="shared" si="1438"/>
        <v>0.36249999999999999</v>
      </c>
      <c r="D7107" s="5"/>
      <c r="E7107" s="5"/>
      <c r="F7107" s="5" t="s">
        <v>22</v>
      </c>
      <c r="G7107" s="15" t="s">
        <v>22</v>
      </c>
      <c r="H7107" s="24">
        <f t="shared" si="1395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39">A7107</f>
        <v>46006</v>
      </c>
      <c r="B7108" s="5" t="str">
        <f t="shared" si="1439"/>
        <v>Northern Cardinal</v>
      </c>
      <c r="C7108" s="6">
        <f t="shared" si="1439"/>
        <v>0.36249999999999999</v>
      </c>
      <c r="D7108" s="5"/>
      <c r="E7108" s="5"/>
      <c r="F7108" s="5" t="s">
        <v>22</v>
      </c>
      <c r="G7108" s="15" t="s">
        <v>22</v>
      </c>
      <c r="H7108" s="24">
        <f t="shared" si="1395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40">A7108</f>
        <v>46006</v>
      </c>
      <c r="B7109" s="5" t="str">
        <f t="shared" si="1440"/>
        <v>Northern Cardinal</v>
      </c>
      <c r="C7109" s="6">
        <f t="shared" si="1440"/>
        <v>0.36249999999999999</v>
      </c>
      <c r="D7109" s="5"/>
      <c r="E7109" s="5"/>
      <c r="F7109" s="5" t="s">
        <v>22</v>
      </c>
      <c r="G7109" s="15" t="s">
        <v>22</v>
      </c>
      <c r="H7109" s="24">
        <f t="shared" si="1395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41">A7109</f>
        <v>46006</v>
      </c>
      <c r="B7110" s="5" t="str">
        <f t="shared" si="1441"/>
        <v>Northern Cardinal</v>
      </c>
      <c r="C7110" s="6">
        <f t="shared" si="1441"/>
        <v>0.36249999999999999</v>
      </c>
      <c r="D7110" s="5"/>
      <c r="E7110" s="5"/>
      <c r="F7110" s="5" t="s">
        <v>22</v>
      </c>
      <c r="G7110" s="15" t="s">
        <v>22</v>
      </c>
      <c r="H7110" s="24">
        <f t="shared" si="1395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42">A7110</f>
        <v>46006</v>
      </c>
      <c r="B7111" s="5" t="str">
        <f t="shared" si="1442"/>
        <v>Northern Cardinal</v>
      </c>
      <c r="C7111" s="6">
        <f t="shared" si="1442"/>
        <v>0.36249999999999999</v>
      </c>
      <c r="D7111" s="5"/>
      <c r="E7111" s="5"/>
      <c r="F7111" s="5" t="s">
        <v>22</v>
      </c>
      <c r="G7111" s="15" t="s">
        <v>22</v>
      </c>
      <c r="H7111" s="24">
        <f t="shared" si="1395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43">A7111</f>
        <v>46006</v>
      </c>
      <c r="B7112" s="5" t="str">
        <f t="shared" si="1443"/>
        <v>Northern Cardinal</v>
      </c>
      <c r="C7112" s="6">
        <f t="shared" si="1443"/>
        <v>0.36249999999999999</v>
      </c>
      <c r="D7112" s="5"/>
      <c r="E7112" s="5"/>
      <c r="F7112" s="5" t="s">
        <v>22</v>
      </c>
      <c r="G7112" s="15" t="s">
        <v>22</v>
      </c>
      <c r="H7112" s="24">
        <f t="shared" si="1395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44">A7112</f>
        <v>46006</v>
      </c>
      <c r="B7113" s="5" t="str">
        <f t="shared" si="1444"/>
        <v>Northern Cardinal</v>
      </c>
      <c r="C7113" s="6">
        <f t="shared" si="1444"/>
        <v>0.36249999999999999</v>
      </c>
      <c r="D7113" s="5"/>
      <c r="E7113" s="5"/>
      <c r="F7113" s="5" t="s">
        <v>22</v>
      </c>
      <c r="G7113" s="15" t="s">
        <v>22</v>
      </c>
      <c r="H7113" s="24">
        <f t="shared" si="1395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45">A7113</f>
        <v>46006</v>
      </c>
      <c r="B7114" s="5" t="str">
        <f t="shared" si="1445"/>
        <v>Northern Cardinal</v>
      </c>
      <c r="C7114" s="6">
        <f t="shared" si="1445"/>
        <v>0.36249999999999999</v>
      </c>
      <c r="D7114" s="5"/>
      <c r="E7114" s="5"/>
      <c r="F7114" s="5" t="s">
        <v>22</v>
      </c>
      <c r="G7114" s="15" t="s">
        <v>22</v>
      </c>
      <c r="H7114" s="24">
        <f t="shared" si="1395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46">A7114</f>
        <v>46006</v>
      </c>
      <c r="B7115" s="5" t="str">
        <f t="shared" si="1446"/>
        <v>Northern Cardinal</v>
      </c>
      <c r="C7115" s="6">
        <f t="shared" si="1446"/>
        <v>0.36249999999999999</v>
      </c>
      <c r="D7115" s="5"/>
      <c r="E7115" s="5"/>
      <c r="F7115" s="5" t="s">
        <v>22</v>
      </c>
      <c r="G7115" s="15" t="s">
        <v>22</v>
      </c>
      <c r="H7115" s="24">
        <f t="shared" si="1395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47">A7115</f>
        <v>46006</v>
      </c>
      <c r="B7116" s="5" t="str">
        <f t="shared" si="1447"/>
        <v>Northern Cardinal</v>
      </c>
      <c r="C7116" s="6">
        <f t="shared" si="1447"/>
        <v>0.36249999999999999</v>
      </c>
      <c r="D7116" s="5"/>
      <c r="E7116" s="5"/>
      <c r="F7116" s="5" t="s">
        <v>22</v>
      </c>
      <c r="G7116" s="15" t="s">
        <v>22</v>
      </c>
      <c r="H7116" s="24">
        <f t="shared" si="1395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48">A7116</f>
        <v>46006</v>
      </c>
      <c r="B7117" s="5" t="str">
        <f t="shared" si="1448"/>
        <v>Northern Cardinal</v>
      </c>
      <c r="C7117" s="6">
        <f t="shared" si="1448"/>
        <v>0.36249999999999999</v>
      </c>
      <c r="D7117" s="5"/>
      <c r="E7117" s="5"/>
      <c r="F7117" s="5" t="s">
        <v>22</v>
      </c>
      <c r="G7117" s="15" t="s">
        <v>22</v>
      </c>
      <c r="H7117" s="24">
        <f t="shared" si="1395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49">A7117</f>
        <v>46006</v>
      </c>
      <c r="B7118" s="5" t="str">
        <f t="shared" si="1449"/>
        <v>Northern Cardinal</v>
      </c>
      <c r="C7118" s="6">
        <f t="shared" si="1449"/>
        <v>0.36249999999999999</v>
      </c>
      <c r="D7118" s="5"/>
      <c r="E7118" s="5"/>
      <c r="F7118" s="5" t="s">
        <v>22</v>
      </c>
      <c r="G7118" s="15" t="s">
        <v>22</v>
      </c>
      <c r="H7118" s="24">
        <f t="shared" si="1395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50">A7118</f>
        <v>46006</v>
      </c>
      <c r="B7119" s="5" t="str">
        <f t="shared" si="1450"/>
        <v>Northern Cardinal</v>
      </c>
      <c r="C7119" s="6">
        <f t="shared" si="1450"/>
        <v>0.36249999999999999</v>
      </c>
      <c r="D7119" s="5"/>
      <c r="E7119" s="5"/>
      <c r="F7119" s="5" t="s">
        <v>22</v>
      </c>
      <c r="G7119" s="15" t="s">
        <v>22</v>
      </c>
      <c r="H7119" s="24">
        <f t="shared" si="1395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51">A7119</f>
        <v>46006</v>
      </c>
      <c r="B7120" s="5" t="str">
        <f t="shared" si="1451"/>
        <v>Northern Cardinal</v>
      </c>
      <c r="C7120" s="6">
        <f t="shared" si="1451"/>
        <v>0.36249999999999999</v>
      </c>
      <c r="D7120" s="5"/>
      <c r="E7120" s="5"/>
      <c r="F7120" s="5" t="s">
        <v>22</v>
      </c>
      <c r="G7120" s="15" t="s">
        <v>22</v>
      </c>
      <c r="H7120" s="24">
        <f t="shared" si="1395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52">A7120</f>
        <v>46006</v>
      </c>
      <c r="B7121" s="5" t="str">
        <f t="shared" si="1452"/>
        <v>Northern Cardinal</v>
      </c>
      <c r="C7121" s="6">
        <f t="shared" si="1452"/>
        <v>0.36249999999999999</v>
      </c>
      <c r="D7121" s="5"/>
      <c r="E7121" s="5"/>
      <c r="F7121" s="5" t="s">
        <v>22</v>
      </c>
      <c r="G7121" s="15" t="s">
        <v>22</v>
      </c>
      <c r="H7121" s="24">
        <f t="shared" si="1395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53">A7121</f>
        <v>46006</v>
      </c>
      <c r="B7122" s="5" t="str">
        <f t="shared" si="1453"/>
        <v>Northern Cardinal</v>
      </c>
      <c r="C7122" s="6">
        <f t="shared" si="1453"/>
        <v>0.36249999999999999</v>
      </c>
      <c r="D7122" s="5"/>
      <c r="E7122" s="5"/>
      <c r="F7122" s="5" t="s">
        <v>22</v>
      </c>
      <c r="G7122" s="15" t="s">
        <v>22</v>
      </c>
      <c r="H7122" s="24">
        <f t="shared" si="1395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54">A7122</f>
        <v>46006</v>
      </c>
      <c r="B7123" s="5" t="str">
        <f t="shared" si="1454"/>
        <v>Northern Cardinal</v>
      </c>
      <c r="C7123" s="6">
        <f t="shared" si="1454"/>
        <v>0.36249999999999999</v>
      </c>
      <c r="D7123" s="5"/>
      <c r="E7123" s="5"/>
      <c r="F7123" s="5" t="s">
        <v>22</v>
      </c>
      <c r="G7123" s="15" t="s">
        <v>22</v>
      </c>
      <c r="H7123" s="24">
        <f t="shared" si="1395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55">A7123</f>
        <v>46006</v>
      </c>
      <c r="B7124" s="5" t="str">
        <f t="shared" si="1455"/>
        <v>Northern Cardinal</v>
      </c>
      <c r="C7124" s="6">
        <f t="shared" si="1455"/>
        <v>0.36249999999999999</v>
      </c>
      <c r="D7124" s="5"/>
      <c r="E7124" s="5"/>
      <c r="F7124" s="5" t="s">
        <v>22</v>
      </c>
      <c r="G7124" s="15" t="s">
        <v>22</v>
      </c>
      <c r="H7124" s="24">
        <f t="shared" si="1395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56">A7124</f>
        <v>46006</v>
      </c>
      <c r="B7125" s="5" t="str">
        <f t="shared" si="1456"/>
        <v>Northern Cardinal</v>
      </c>
      <c r="C7125" s="6">
        <f t="shared" si="1456"/>
        <v>0.36249999999999999</v>
      </c>
      <c r="D7125" s="5"/>
      <c r="E7125" s="5"/>
      <c r="F7125" s="5" t="s">
        <v>22</v>
      </c>
      <c r="G7125" s="15" t="s">
        <v>22</v>
      </c>
      <c r="H7125" s="24">
        <f t="shared" si="1395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57">A7125</f>
        <v>46006</v>
      </c>
      <c r="B7126" s="5" t="str">
        <f t="shared" si="1457"/>
        <v>Northern Cardinal</v>
      </c>
      <c r="C7126" s="6">
        <f t="shared" si="1457"/>
        <v>0.36249999999999999</v>
      </c>
      <c r="D7126" s="5"/>
      <c r="E7126" s="5"/>
      <c r="F7126" s="5" t="s">
        <v>22</v>
      </c>
      <c r="G7126" s="15" t="s">
        <v>22</v>
      </c>
      <c r="H7126" s="24">
        <f t="shared" si="1395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58">A7126</f>
        <v>46006</v>
      </c>
      <c r="B7127" s="5" t="str">
        <f t="shared" si="1458"/>
        <v>Northern Cardinal</v>
      </c>
      <c r="C7127" s="6">
        <f t="shared" si="1458"/>
        <v>0.36249999999999999</v>
      </c>
      <c r="D7127" s="5"/>
      <c r="E7127" s="5"/>
      <c r="F7127" s="5" t="s">
        <v>22</v>
      </c>
      <c r="G7127" s="15" t="s">
        <v>22</v>
      </c>
      <c r="H7127" s="24">
        <f t="shared" si="1395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59">A7127</f>
        <v>46006</v>
      </c>
      <c r="B7128" s="5" t="str">
        <f t="shared" si="1459"/>
        <v>Northern Cardinal</v>
      </c>
      <c r="C7128" s="6">
        <f t="shared" si="1459"/>
        <v>0.36249999999999999</v>
      </c>
      <c r="D7128" s="5"/>
      <c r="E7128" s="5"/>
      <c r="F7128" s="5" t="s">
        <v>22</v>
      </c>
      <c r="G7128" s="15" t="s">
        <v>22</v>
      </c>
      <c r="H7128" s="24">
        <f t="shared" ref="H7128:H7190" si="1460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61">A7128</f>
        <v>46006</v>
      </c>
      <c r="B7129" s="5" t="str">
        <f t="shared" si="1461"/>
        <v>Northern Cardinal</v>
      </c>
      <c r="C7129" s="6">
        <f t="shared" si="1461"/>
        <v>0.36249999999999999</v>
      </c>
      <c r="D7129" s="5"/>
      <c r="E7129" s="5"/>
      <c r="F7129" s="5" t="s">
        <v>22</v>
      </c>
      <c r="G7129" s="15" t="s">
        <v>22</v>
      </c>
      <c r="H7129" s="24">
        <f t="shared" si="1460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62">A7129</f>
        <v>46006</v>
      </c>
      <c r="B7130" s="5" t="str">
        <f t="shared" si="1462"/>
        <v>Northern Cardinal</v>
      </c>
      <c r="C7130" s="6">
        <f t="shared" si="1462"/>
        <v>0.36249999999999999</v>
      </c>
      <c r="D7130" s="5"/>
      <c r="E7130" s="5"/>
      <c r="F7130" s="5" t="s">
        <v>22</v>
      </c>
      <c r="G7130" s="15" t="s">
        <v>22</v>
      </c>
      <c r="H7130" s="24">
        <f t="shared" si="1460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63">A7130</f>
        <v>46006</v>
      </c>
      <c r="B7131" s="5" t="str">
        <f t="shared" si="1463"/>
        <v>Northern Cardinal</v>
      </c>
      <c r="C7131" s="6">
        <f t="shared" si="1463"/>
        <v>0.36249999999999999</v>
      </c>
      <c r="D7131" s="5"/>
      <c r="E7131" s="5"/>
      <c r="F7131" s="5" t="s">
        <v>22</v>
      </c>
      <c r="G7131" s="15" t="s">
        <v>22</v>
      </c>
      <c r="H7131" s="24">
        <f t="shared" si="1460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64">A7131</f>
        <v>46006</v>
      </c>
      <c r="B7132" s="5" t="str">
        <f t="shared" si="1464"/>
        <v>Northern Cardinal</v>
      </c>
      <c r="C7132" s="6">
        <f t="shared" si="1464"/>
        <v>0.36249999999999999</v>
      </c>
      <c r="D7132" s="5"/>
      <c r="E7132" s="5"/>
      <c r="F7132" s="5" t="s">
        <v>22</v>
      </c>
      <c r="G7132" s="15" t="s">
        <v>22</v>
      </c>
      <c r="H7132" s="24">
        <f t="shared" si="1460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65">A7132</f>
        <v>46006</v>
      </c>
      <c r="B7133" s="5" t="str">
        <f t="shared" si="1465"/>
        <v>Northern Cardinal</v>
      </c>
      <c r="C7133" s="6">
        <f t="shared" si="1465"/>
        <v>0.36249999999999999</v>
      </c>
      <c r="D7133" s="5"/>
      <c r="E7133" s="5"/>
      <c r="F7133" s="5" t="s">
        <v>22</v>
      </c>
      <c r="G7133" s="15" t="s">
        <v>22</v>
      </c>
      <c r="H7133" s="24">
        <f t="shared" si="1460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66">A7133</f>
        <v>46006</v>
      </c>
      <c r="B7134" s="5" t="str">
        <f t="shared" si="1466"/>
        <v>Northern Cardinal</v>
      </c>
      <c r="C7134" s="6">
        <f t="shared" si="1466"/>
        <v>0.36249999999999999</v>
      </c>
      <c r="D7134" s="5"/>
      <c r="E7134" s="5"/>
      <c r="F7134" s="5" t="s">
        <v>22</v>
      </c>
      <c r="G7134" s="15" t="s">
        <v>22</v>
      </c>
      <c r="H7134" s="24">
        <f t="shared" si="1460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67">A7134</f>
        <v>46006</v>
      </c>
      <c r="B7135" s="5" t="str">
        <f t="shared" si="1467"/>
        <v>Northern Cardinal</v>
      </c>
      <c r="C7135" s="6">
        <f t="shared" si="1467"/>
        <v>0.36249999999999999</v>
      </c>
      <c r="D7135" s="5"/>
      <c r="E7135" s="5"/>
      <c r="F7135" s="5" t="s">
        <v>22</v>
      </c>
      <c r="G7135" s="15" t="s">
        <v>22</v>
      </c>
      <c r="H7135" s="24">
        <f t="shared" si="1460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68">A7135</f>
        <v>46006</v>
      </c>
      <c r="B7136" s="5" t="str">
        <f t="shared" si="1468"/>
        <v>Northern Cardinal</v>
      </c>
      <c r="C7136" s="6">
        <f t="shared" si="1468"/>
        <v>0.36249999999999999</v>
      </c>
      <c r="D7136" s="5"/>
      <c r="E7136" s="5"/>
      <c r="F7136" s="5" t="s">
        <v>22</v>
      </c>
      <c r="G7136" s="15" t="s">
        <v>22</v>
      </c>
      <c r="H7136" s="24">
        <f t="shared" si="1460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69">A7136</f>
        <v>46006</v>
      </c>
      <c r="B7137" s="5" t="str">
        <f t="shared" si="1469"/>
        <v>Northern Cardinal</v>
      </c>
      <c r="C7137" s="6">
        <f t="shared" si="1469"/>
        <v>0.36249999999999999</v>
      </c>
      <c r="D7137" s="5"/>
      <c r="E7137" s="5"/>
      <c r="F7137" s="5" t="s">
        <v>22</v>
      </c>
      <c r="G7137" s="15" t="s">
        <v>22</v>
      </c>
      <c r="H7137" s="24">
        <f t="shared" si="1460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70">A7137</f>
        <v>46006</v>
      </c>
      <c r="B7138" s="5" t="str">
        <f t="shared" si="1470"/>
        <v>Northern Cardinal</v>
      </c>
      <c r="C7138" s="6">
        <f t="shared" si="1470"/>
        <v>0.36249999999999999</v>
      </c>
      <c r="D7138" s="5"/>
      <c r="E7138" s="5"/>
      <c r="F7138" s="5" t="s">
        <v>22</v>
      </c>
      <c r="G7138" s="15" t="s">
        <v>22</v>
      </c>
      <c r="H7138" s="24">
        <f t="shared" si="1460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71">A7138</f>
        <v>46006</v>
      </c>
      <c r="B7139" s="5" t="str">
        <f t="shared" si="1471"/>
        <v>Northern Cardinal</v>
      </c>
      <c r="C7139" s="6">
        <f t="shared" si="1471"/>
        <v>0.36249999999999999</v>
      </c>
      <c r="D7139" s="5"/>
      <c r="E7139" s="5"/>
      <c r="F7139" s="5" t="s">
        <v>22</v>
      </c>
      <c r="G7139" s="15" t="s">
        <v>22</v>
      </c>
      <c r="H7139" s="24">
        <f t="shared" si="1460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72">A7139</f>
        <v>46006</v>
      </c>
      <c r="B7140" s="5" t="str">
        <f t="shared" si="1472"/>
        <v>Northern Cardinal</v>
      </c>
      <c r="C7140" s="6">
        <f t="shared" si="1472"/>
        <v>0.36249999999999999</v>
      </c>
      <c r="D7140" s="5"/>
      <c r="E7140" s="5"/>
      <c r="F7140" s="5" t="s">
        <v>22</v>
      </c>
      <c r="G7140" s="15" t="s">
        <v>22</v>
      </c>
      <c r="H7140" s="24">
        <f t="shared" si="1460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73">A7140</f>
        <v>46006</v>
      </c>
      <c r="B7141" s="5" t="str">
        <f t="shared" si="1473"/>
        <v>Northern Cardinal</v>
      </c>
      <c r="C7141" s="6">
        <f t="shared" si="1473"/>
        <v>0.36249999999999999</v>
      </c>
      <c r="D7141" s="5"/>
      <c r="E7141" s="5"/>
      <c r="F7141" s="5" t="s">
        <v>22</v>
      </c>
      <c r="G7141" s="15" t="s">
        <v>22</v>
      </c>
      <c r="H7141" s="24">
        <f t="shared" si="1460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74">A7141</f>
        <v>46006</v>
      </c>
      <c r="B7142" s="5" t="str">
        <f t="shared" si="1474"/>
        <v>Northern Cardinal</v>
      </c>
      <c r="C7142" s="6">
        <f t="shared" si="1474"/>
        <v>0.36249999999999999</v>
      </c>
      <c r="D7142" s="5"/>
      <c r="E7142" s="5"/>
      <c r="F7142" s="5" t="s">
        <v>22</v>
      </c>
      <c r="G7142" s="15" t="s">
        <v>22</v>
      </c>
      <c r="H7142" s="24">
        <f t="shared" si="1460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75">A7142</f>
        <v>46006</v>
      </c>
      <c r="B7143" s="5" t="str">
        <f t="shared" si="1475"/>
        <v>Northern Cardinal</v>
      </c>
      <c r="C7143" s="6">
        <f t="shared" si="1475"/>
        <v>0.36249999999999999</v>
      </c>
      <c r="D7143" s="5"/>
      <c r="E7143" s="5"/>
      <c r="F7143" s="5" t="s">
        <v>22</v>
      </c>
      <c r="G7143" s="15" t="s">
        <v>22</v>
      </c>
      <c r="H7143" s="24">
        <f t="shared" si="1460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76">A7143</f>
        <v>46006</v>
      </c>
      <c r="B7144" s="5" t="str">
        <f t="shared" si="1476"/>
        <v>Northern Cardinal</v>
      </c>
      <c r="C7144" s="6">
        <f t="shared" si="1476"/>
        <v>0.36249999999999999</v>
      </c>
      <c r="D7144" s="5"/>
      <c r="E7144" s="5"/>
      <c r="F7144" s="5" t="s">
        <v>22</v>
      </c>
      <c r="G7144" s="15" t="s">
        <v>22</v>
      </c>
      <c r="H7144" s="24">
        <f t="shared" si="1460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77">A7144</f>
        <v>46006</v>
      </c>
      <c r="B7145" s="5" t="str">
        <f t="shared" si="1477"/>
        <v>Northern Cardinal</v>
      </c>
      <c r="C7145" s="6">
        <f t="shared" si="1477"/>
        <v>0.36249999999999999</v>
      </c>
      <c r="D7145" s="5"/>
      <c r="E7145" s="5"/>
      <c r="F7145" s="5" t="s">
        <v>22</v>
      </c>
      <c r="G7145" s="15" t="s">
        <v>22</v>
      </c>
      <c r="H7145" s="24">
        <f t="shared" si="1460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78">A7145</f>
        <v>46006</v>
      </c>
      <c r="B7146" s="5" t="str">
        <f t="shared" si="1478"/>
        <v>Northern Cardinal</v>
      </c>
      <c r="C7146" s="6">
        <f t="shared" si="1478"/>
        <v>0.36249999999999999</v>
      </c>
      <c r="D7146" s="5"/>
      <c r="E7146" s="5"/>
      <c r="F7146" s="5" t="s">
        <v>22</v>
      </c>
      <c r="G7146" s="15" t="s">
        <v>22</v>
      </c>
      <c r="H7146" s="24">
        <f t="shared" si="1460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79">A7146</f>
        <v>46006</v>
      </c>
      <c r="B7147" s="5" t="str">
        <f t="shared" si="1479"/>
        <v>Northern Cardinal</v>
      </c>
      <c r="C7147" s="6">
        <f t="shared" si="1479"/>
        <v>0.36249999999999999</v>
      </c>
      <c r="D7147" s="5"/>
      <c r="E7147" s="5"/>
      <c r="F7147" s="5" t="s">
        <v>22</v>
      </c>
      <c r="G7147" s="15" t="s">
        <v>22</v>
      </c>
      <c r="H7147" s="24">
        <f t="shared" si="1460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80">A7147</f>
        <v>46006</v>
      </c>
      <c r="B7148" s="5" t="str">
        <f t="shared" si="1480"/>
        <v>Northern Cardinal</v>
      </c>
      <c r="C7148" s="6">
        <f t="shared" si="1480"/>
        <v>0.36249999999999999</v>
      </c>
      <c r="D7148" s="5"/>
      <c r="E7148" s="5"/>
      <c r="F7148" s="5" t="s">
        <v>22</v>
      </c>
      <c r="G7148" s="15" t="s">
        <v>22</v>
      </c>
      <c r="H7148" s="24">
        <f t="shared" si="1460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81">A7148</f>
        <v>46006</v>
      </c>
      <c r="B7149" s="5" t="str">
        <f t="shared" si="1481"/>
        <v>Northern Cardinal</v>
      </c>
      <c r="C7149" s="6">
        <f t="shared" si="1481"/>
        <v>0.36249999999999999</v>
      </c>
      <c r="D7149" s="5"/>
      <c r="E7149" s="5"/>
      <c r="F7149" s="5" t="s">
        <v>22</v>
      </c>
      <c r="G7149" s="15" t="s">
        <v>22</v>
      </c>
      <c r="H7149" s="24">
        <f t="shared" si="1460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82">A7149</f>
        <v>46006</v>
      </c>
      <c r="B7150" s="5" t="str">
        <f t="shared" si="1482"/>
        <v>Northern Cardinal</v>
      </c>
      <c r="C7150" s="6">
        <f t="shared" si="1482"/>
        <v>0.36249999999999999</v>
      </c>
      <c r="D7150" s="5"/>
      <c r="E7150" s="5"/>
      <c r="F7150" s="5" t="s">
        <v>22</v>
      </c>
      <c r="G7150" s="15" t="s">
        <v>22</v>
      </c>
      <c r="H7150" s="24">
        <f t="shared" si="1460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83">A7150</f>
        <v>46006</v>
      </c>
      <c r="B7151" s="5" t="str">
        <f t="shared" si="1483"/>
        <v>Northern Cardinal</v>
      </c>
      <c r="C7151" s="6">
        <f t="shared" si="1483"/>
        <v>0.36249999999999999</v>
      </c>
      <c r="D7151" s="5"/>
      <c r="E7151" s="5"/>
      <c r="F7151" s="5" t="s">
        <v>22</v>
      </c>
      <c r="G7151" s="15" t="s">
        <v>22</v>
      </c>
      <c r="H7151" s="24">
        <f t="shared" si="1460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84">A7151</f>
        <v>46006</v>
      </c>
      <c r="B7152" s="5" t="str">
        <f t="shared" si="1484"/>
        <v>Northern Cardinal</v>
      </c>
      <c r="C7152" s="6">
        <f t="shared" si="1484"/>
        <v>0.36249999999999999</v>
      </c>
      <c r="D7152" s="5"/>
      <c r="E7152" s="5"/>
      <c r="F7152" s="5" t="s">
        <v>22</v>
      </c>
      <c r="G7152" s="15" t="s">
        <v>22</v>
      </c>
      <c r="H7152" s="24">
        <f t="shared" si="1460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85">A7152</f>
        <v>46006</v>
      </c>
      <c r="B7153" s="5" t="str">
        <f t="shared" si="1485"/>
        <v>Northern Cardinal</v>
      </c>
      <c r="C7153" s="6">
        <f t="shared" si="1485"/>
        <v>0.36249999999999999</v>
      </c>
      <c r="D7153" s="5"/>
      <c r="E7153" s="5"/>
      <c r="F7153" s="5" t="s">
        <v>22</v>
      </c>
      <c r="G7153" s="15" t="s">
        <v>22</v>
      </c>
      <c r="H7153" s="24">
        <f t="shared" si="1460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86">A7153</f>
        <v>46006</v>
      </c>
      <c r="B7154" s="5" t="str">
        <f t="shared" si="1486"/>
        <v>Northern Cardinal</v>
      </c>
      <c r="C7154" s="6">
        <f t="shared" si="1486"/>
        <v>0.36249999999999999</v>
      </c>
      <c r="D7154" s="5"/>
      <c r="E7154" s="5"/>
      <c r="F7154" s="5" t="s">
        <v>22</v>
      </c>
      <c r="G7154" s="15" t="s">
        <v>22</v>
      </c>
      <c r="H7154" s="24">
        <f t="shared" si="1460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87">A7154</f>
        <v>46006</v>
      </c>
      <c r="B7155" s="5" t="str">
        <f t="shared" si="1487"/>
        <v>Northern Cardinal</v>
      </c>
      <c r="C7155" s="6">
        <f t="shared" si="1487"/>
        <v>0.36249999999999999</v>
      </c>
      <c r="D7155" s="5"/>
      <c r="E7155" s="5"/>
      <c r="F7155" s="5" t="s">
        <v>22</v>
      </c>
      <c r="G7155" s="15" t="s">
        <v>22</v>
      </c>
      <c r="H7155" s="24">
        <f t="shared" si="1460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488">A7155</f>
        <v>46006</v>
      </c>
      <c r="B7156" s="5" t="str">
        <f t="shared" si="1488"/>
        <v>Northern Cardinal</v>
      </c>
      <c r="C7156" s="6">
        <f t="shared" si="1488"/>
        <v>0.36249999999999999</v>
      </c>
      <c r="D7156" s="5"/>
      <c r="E7156" s="5"/>
      <c r="F7156" s="5" t="s">
        <v>22</v>
      </c>
      <c r="G7156" s="15" t="s">
        <v>22</v>
      </c>
      <c r="H7156" s="24">
        <f t="shared" si="1460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489">A7156</f>
        <v>46006</v>
      </c>
      <c r="B7157" s="5" t="str">
        <f t="shared" si="1489"/>
        <v>Northern Cardinal</v>
      </c>
      <c r="C7157" s="6">
        <f t="shared" si="1489"/>
        <v>0.36249999999999999</v>
      </c>
      <c r="D7157" s="5"/>
      <c r="E7157" s="5"/>
      <c r="F7157" s="5" t="s">
        <v>22</v>
      </c>
      <c r="G7157" s="15" t="s">
        <v>22</v>
      </c>
      <c r="H7157" s="24">
        <f t="shared" si="1460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490">A7157</f>
        <v>46006</v>
      </c>
      <c r="B7158" s="5" t="str">
        <f t="shared" si="1490"/>
        <v>Northern Cardinal</v>
      </c>
      <c r="C7158" s="6">
        <f t="shared" si="1490"/>
        <v>0.36249999999999999</v>
      </c>
      <c r="D7158" s="5"/>
      <c r="E7158" s="5"/>
      <c r="F7158" s="5" t="s">
        <v>22</v>
      </c>
      <c r="G7158" s="15" t="s">
        <v>22</v>
      </c>
      <c r="H7158" s="24">
        <f t="shared" si="1460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491">A7158</f>
        <v>46006</v>
      </c>
      <c r="B7159" s="5" t="str">
        <f t="shared" si="1491"/>
        <v>Northern Cardinal</v>
      </c>
      <c r="C7159" s="6">
        <f t="shared" si="1491"/>
        <v>0.36249999999999999</v>
      </c>
      <c r="D7159" s="5"/>
      <c r="E7159" s="5"/>
      <c r="F7159" s="5" t="s">
        <v>22</v>
      </c>
      <c r="G7159" s="15" t="s">
        <v>22</v>
      </c>
      <c r="H7159" s="24">
        <f t="shared" si="1460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492">A7159</f>
        <v>46006</v>
      </c>
      <c r="B7160" s="5" t="str">
        <f t="shared" si="1492"/>
        <v>Northern Cardinal</v>
      </c>
      <c r="C7160" s="6">
        <f t="shared" si="1492"/>
        <v>0.36249999999999999</v>
      </c>
      <c r="D7160" s="5"/>
      <c r="E7160" s="5"/>
      <c r="F7160" s="5" t="s">
        <v>22</v>
      </c>
      <c r="G7160" s="15" t="s">
        <v>22</v>
      </c>
      <c r="H7160" s="24">
        <f t="shared" si="1460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493">A7160</f>
        <v>46006</v>
      </c>
      <c r="B7161" s="5" t="str">
        <f t="shared" si="1493"/>
        <v>Northern Cardinal</v>
      </c>
      <c r="C7161" s="6">
        <f t="shared" si="1493"/>
        <v>0.36249999999999999</v>
      </c>
      <c r="D7161" s="5"/>
      <c r="E7161" s="5"/>
      <c r="F7161" s="5" t="s">
        <v>22</v>
      </c>
      <c r="G7161" s="15" t="s">
        <v>22</v>
      </c>
      <c r="H7161" s="24">
        <f t="shared" si="1460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494">A7161</f>
        <v>46006</v>
      </c>
      <c r="B7162" s="5" t="str">
        <f t="shared" si="1494"/>
        <v>Northern Cardinal</v>
      </c>
      <c r="C7162" s="6">
        <f t="shared" si="1494"/>
        <v>0.36249999999999999</v>
      </c>
      <c r="D7162" s="5"/>
      <c r="E7162" s="5"/>
      <c r="F7162" s="5" t="s">
        <v>22</v>
      </c>
      <c r="G7162" s="15" t="s">
        <v>22</v>
      </c>
      <c r="H7162" s="24">
        <f t="shared" si="1460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495">A7162</f>
        <v>46006</v>
      </c>
      <c r="B7163" s="5" t="str">
        <f t="shared" si="1495"/>
        <v>Northern Cardinal</v>
      </c>
      <c r="C7163" s="6">
        <f t="shared" si="1495"/>
        <v>0.36249999999999999</v>
      </c>
      <c r="D7163" s="5"/>
      <c r="E7163" s="5"/>
      <c r="F7163" s="5" t="s">
        <v>22</v>
      </c>
      <c r="G7163" s="15" t="s">
        <v>22</v>
      </c>
      <c r="H7163" s="24">
        <f t="shared" si="1460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496">A7163</f>
        <v>46006</v>
      </c>
      <c r="B7164" s="5" t="str">
        <f t="shared" si="1496"/>
        <v>Northern Cardinal</v>
      </c>
      <c r="C7164" s="6">
        <f t="shared" si="1496"/>
        <v>0.36249999999999999</v>
      </c>
      <c r="D7164" s="5"/>
      <c r="E7164" s="5"/>
      <c r="F7164" s="5" t="s">
        <v>22</v>
      </c>
      <c r="G7164" s="15" t="s">
        <v>22</v>
      </c>
      <c r="H7164" s="24">
        <f t="shared" si="1460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497">A7164</f>
        <v>46006</v>
      </c>
      <c r="B7165" s="5" t="str">
        <f t="shared" si="1497"/>
        <v>Northern Cardinal</v>
      </c>
      <c r="C7165" s="6">
        <f t="shared" si="1497"/>
        <v>0.36249999999999999</v>
      </c>
      <c r="D7165" s="5"/>
      <c r="E7165" s="5"/>
      <c r="F7165" s="5" t="s">
        <v>22</v>
      </c>
      <c r="G7165" s="15" t="s">
        <v>22</v>
      </c>
      <c r="H7165" s="24">
        <f t="shared" si="1460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498">A7165</f>
        <v>46006</v>
      </c>
      <c r="B7166" s="5" t="str">
        <f t="shared" si="1498"/>
        <v>Northern Cardinal</v>
      </c>
      <c r="C7166" s="6">
        <f t="shared" si="1498"/>
        <v>0.36249999999999999</v>
      </c>
      <c r="D7166" s="5"/>
      <c r="E7166" s="5"/>
      <c r="F7166" s="5" t="s">
        <v>22</v>
      </c>
      <c r="G7166" s="15" t="s">
        <v>22</v>
      </c>
      <c r="H7166" s="24">
        <f t="shared" si="1460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499">A7166</f>
        <v>46006</v>
      </c>
      <c r="B7167" s="5" t="str">
        <f t="shared" si="1499"/>
        <v>Northern Cardinal</v>
      </c>
      <c r="C7167" s="6">
        <f t="shared" si="1499"/>
        <v>0.36249999999999999</v>
      </c>
      <c r="D7167" s="5"/>
      <c r="E7167" s="5"/>
      <c r="F7167" s="5" t="s">
        <v>22</v>
      </c>
      <c r="G7167" s="15" t="s">
        <v>22</v>
      </c>
      <c r="H7167" s="24">
        <f t="shared" si="1460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00">A7167</f>
        <v>46006</v>
      </c>
      <c r="B7168" s="5" t="str">
        <f t="shared" si="1500"/>
        <v>Northern Cardinal</v>
      </c>
      <c r="C7168" s="6">
        <f t="shared" si="1500"/>
        <v>0.36249999999999999</v>
      </c>
      <c r="D7168" s="5"/>
      <c r="E7168" s="5"/>
      <c r="F7168" s="5" t="s">
        <v>22</v>
      </c>
      <c r="G7168" s="15" t="s">
        <v>22</v>
      </c>
      <c r="H7168" s="24">
        <f t="shared" si="1460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01">A7168</f>
        <v>46006</v>
      </c>
      <c r="B7169" s="5" t="str">
        <f t="shared" si="1501"/>
        <v>Northern Cardinal</v>
      </c>
      <c r="C7169" s="6">
        <f t="shared" si="1501"/>
        <v>0.36249999999999999</v>
      </c>
      <c r="D7169" s="5"/>
      <c r="E7169" s="5"/>
      <c r="F7169" s="5" t="s">
        <v>22</v>
      </c>
      <c r="G7169" s="15" t="s">
        <v>22</v>
      </c>
      <c r="H7169" s="24">
        <f t="shared" si="1460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02">A7169</f>
        <v>46006</v>
      </c>
      <c r="B7170" s="5" t="str">
        <f t="shared" si="1502"/>
        <v>Northern Cardinal</v>
      </c>
      <c r="C7170" s="6">
        <f t="shared" si="1502"/>
        <v>0.36249999999999999</v>
      </c>
      <c r="D7170" s="5"/>
      <c r="E7170" s="5"/>
      <c r="F7170" s="5" t="s">
        <v>22</v>
      </c>
      <c r="G7170" s="15" t="s">
        <v>22</v>
      </c>
      <c r="H7170" s="24">
        <f t="shared" si="1460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03">A7170</f>
        <v>46006</v>
      </c>
      <c r="B7171" s="5" t="str">
        <f t="shared" si="1503"/>
        <v>Northern Cardinal</v>
      </c>
      <c r="C7171" s="6">
        <f t="shared" si="1503"/>
        <v>0.36249999999999999</v>
      </c>
      <c r="D7171" s="5"/>
      <c r="E7171" s="5"/>
      <c r="F7171" s="5" t="s">
        <v>22</v>
      </c>
      <c r="G7171" s="15" t="s">
        <v>22</v>
      </c>
      <c r="H7171" s="24">
        <f t="shared" si="1460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04">A7171</f>
        <v>46006</v>
      </c>
      <c r="B7172" s="5" t="str">
        <f t="shared" si="1504"/>
        <v>Northern Cardinal</v>
      </c>
      <c r="C7172" s="6">
        <f t="shared" si="1504"/>
        <v>0.36249999999999999</v>
      </c>
      <c r="D7172" s="5"/>
      <c r="E7172" s="5"/>
      <c r="F7172" s="5" t="s">
        <v>22</v>
      </c>
      <c r="G7172" s="15" t="s">
        <v>22</v>
      </c>
      <c r="H7172" s="24">
        <f t="shared" si="1460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05">A7172</f>
        <v>46006</v>
      </c>
      <c r="B7173" s="5" t="str">
        <f t="shared" si="1505"/>
        <v>Northern Cardinal</v>
      </c>
      <c r="C7173" s="6">
        <f t="shared" si="1505"/>
        <v>0.36249999999999999</v>
      </c>
      <c r="D7173" s="5"/>
      <c r="E7173" s="5"/>
      <c r="F7173" s="5" t="s">
        <v>22</v>
      </c>
      <c r="G7173" s="15" t="s">
        <v>22</v>
      </c>
      <c r="H7173" s="24">
        <f t="shared" si="1460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06">A7173</f>
        <v>46006</v>
      </c>
      <c r="B7174" s="5" t="str">
        <f t="shared" si="1506"/>
        <v>Northern Cardinal</v>
      </c>
      <c r="C7174" s="6">
        <f t="shared" si="1506"/>
        <v>0.36249999999999999</v>
      </c>
      <c r="D7174" s="5"/>
      <c r="E7174" s="5"/>
      <c r="F7174" s="5" t="s">
        <v>22</v>
      </c>
      <c r="G7174" s="15" t="s">
        <v>22</v>
      </c>
      <c r="H7174" s="24">
        <f t="shared" si="1460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07">A7174</f>
        <v>46006</v>
      </c>
      <c r="B7175" s="5" t="str">
        <f t="shared" si="1507"/>
        <v>Northern Cardinal</v>
      </c>
      <c r="C7175" s="6">
        <f t="shared" si="1507"/>
        <v>0.36249999999999999</v>
      </c>
      <c r="D7175" s="5"/>
      <c r="E7175" s="5"/>
      <c r="F7175" s="5" t="s">
        <v>22</v>
      </c>
      <c r="G7175" s="15" t="s">
        <v>22</v>
      </c>
      <c r="H7175" s="24">
        <f t="shared" si="1460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08">A7175</f>
        <v>46006</v>
      </c>
      <c r="B7176" s="5" t="str">
        <f t="shared" si="1508"/>
        <v>Northern Cardinal</v>
      </c>
      <c r="C7176" s="6">
        <f t="shared" si="1508"/>
        <v>0.36249999999999999</v>
      </c>
      <c r="D7176" s="5"/>
      <c r="E7176" s="5"/>
      <c r="F7176" s="5" t="s">
        <v>22</v>
      </c>
      <c r="G7176" s="15" t="s">
        <v>22</v>
      </c>
      <c r="H7176" s="24">
        <f t="shared" si="1460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09">A7176</f>
        <v>46006</v>
      </c>
      <c r="B7177" s="5" t="str">
        <f t="shared" si="1509"/>
        <v>Northern Cardinal</v>
      </c>
      <c r="C7177" s="6">
        <f t="shared" si="1509"/>
        <v>0.36249999999999999</v>
      </c>
      <c r="D7177" s="5"/>
      <c r="E7177" s="5"/>
      <c r="F7177" s="5" t="s">
        <v>22</v>
      </c>
      <c r="G7177" s="15" t="s">
        <v>22</v>
      </c>
      <c r="H7177" s="24">
        <f t="shared" si="1460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10">A7177</f>
        <v>46006</v>
      </c>
      <c r="B7178" s="5" t="str">
        <f t="shared" si="1510"/>
        <v>Northern Cardinal</v>
      </c>
      <c r="C7178" s="6">
        <f t="shared" si="1510"/>
        <v>0.36249999999999999</v>
      </c>
      <c r="D7178" s="5"/>
      <c r="E7178" s="5"/>
      <c r="F7178" s="5" t="s">
        <v>22</v>
      </c>
      <c r="G7178" s="15" t="s">
        <v>22</v>
      </c>
      <c r="H7178" s="24">
        <f t="shared" si="1460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11">A7178</f>
        <v>46006</v>
      </c>
      <c r="B7179" s="5" t="str">
        <f t="shared" si="1511"/>
        <v>Northern Cardinal</v>
      </c>
      <c r="C7179" s="6">
        <f t="shared" si="1511"/>
        <v>0.36249999999999999</v>
      </c>
      <c r="D7179" s="5"/>
      <c r="E7179" s="5"/>
      <c r="F7179" s="5" t="s">
        <v>22</v>
      </c>
      <c r="G7179" s="15" t="s">
        <v>22</v>
      </c>
      <c r="H7179" s="24">
        <f t="shared" si="1460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12">A7179</f>
        <v>46006</v>
      </c>
      <c r="B7180" s="5" t="str">
        <f t="shared" si="1512"/>
        <v>Northern Cardinal</v>
      </c>
      <c r="C7180" s="6">
        <f t="shared" si="1512"/>
        <v>0.36249999999999999</v>
      </c>
      <c r="D7180" s="5"/>
      <c r="E7180" s="5"/>
      <c r="F7180" s="5" t="s">
        <v>22</v>
      </c>
      <c r="G7180" s="15" t="s">
        <v>22</v>
      </c>
      <c r="H7180" s="24">
        <f t="shared" si="1460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13">A7180</f>
        <v>46006</v>
      </c>
      <c r="B7181" s="5" t="str">
        <f t="shared" si="1513"/>
        <v>Northern Cardinal</v>
      </c>
      <c r="C7181" s="6">
        <f t="shared" si="1513"/>
        <v>0.36249999999999999</v>
      </c>
      <c r="D7181" s="5"/>
      <c r="E7181" s="5"/>
      <c r="F7181" s="5" t="s">
        <v>22</v>
      </c>
      <c r="G7181" s="15" t="s">
        <v>22</v>
      </c>
      <c r="H7181" s="24">
        <f t="shared" si="1460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14">A7181</f>
        <v>46006</v>
      </c>
      <c r="B7182" s="5" t="str">
        <f t="shared" si="1514"/>
        <v>Northern Cardinal</v>
      </c>
      <c r="C7182" s="6">
        <f t="shared" si="1514"/>
        <v>0.36249999999999999</v>
      </c>
      <c r="D7182" s="5"/>
      <c r="E7182" s="5"/>
      <c r="F7182" s="5" t="s">
        <v>22</v>
      </c>
      <c r="G7182" s="15" t="s">
        <v>22</v>
      </c>
      <c r="H7182" s="24">
        <f t="shared" si="1460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15">A7182</f>
        <v>46006</v>
      </c>
      <c r="B7183" s="5" t="str">
        <f t="shared" si="1515"/>
        <v>Northern Cardinal</v>
      </c>
      <c r="C7183" s="6">
        <f t="shared" si="1515"/>
        <v>0.36249999999999999</v>
      </c>
      <c r="D7183" s="5"/>
      <c r="E7183" s="5"/>
      <c r="F7183" s="5" t="s">
        <v>22</v>
      </c>
      <c r="G7183" s="15" t="s">
        <v>22</v>
      </c>
      <c r="H7183" s="24">
        <f t="shared" si="1460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16">A7183</f>
        <v>46006</v>
      </c>
      <c r="B7184" s="5" t="str">
        <f t="shared" si="1516"/>
        <v>Northern Cardinal</v>
      </c>
      <c r="C7184" s="6">
        <f t="shared" si="1516"/>
        <v>0.36249999999999999</v>
      </c>
      <c r="D7184" s="5"/>
      <c r="E7184" s="5"/>
      <c r="F7184" s="5" t="s">
        <v>22</v>
      </c>
      <c r="G7184" s="15" t="s">
        <v>22</v>
      </c>
      <c r="H7184" s="24">
        <f t="shared" si="1460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17">A7184</f>
        <v>46006</v>
      </c>
      <c r="B7185" s="5" t="str">
        <f t="shared" si="1517"/>
        <v>Northern Cardinal</v>
      </c>
      <c r="C7185" s="6">
        <f t="shared" si="1517"/>
        <v>0.36249999999999999</v>
      </c>
      <c r="D7185" s="5"/>
      <c r="E7185" s="5"/>
      <c r="F7185" s="5" t="s">
        <v>22</v>
      </c>
      <c r="G7185" s="15" t="s">
        <v>22</v>
      </c>
      <c r="H7185" s="24">
        <f t="shared" si="1460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18">A7185</f>
        <v>46006</v>
      </c>
      <c r="B7186" s="5" t="str">
        <f t="shared" si="1518"/>
        <v>Northern Cardinal</v>
      </c>
      <c r="C7186" s="6">
        <f t="shared" si="1518"/>
        <v>0.36249999999999999</v>
      </c>
      <c r="D7186" s="5"/>
      <c r="E7186" s="5"/>
      <c r="F7186" s="5" t="s">
        <v>22</v>
      </c>
      <c r="G7186" s="15" t="s">
        <v>22</v>
      </c>
      <c r="H7186" s="24">
        <f t="shared" si="1460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19">A7186</f>
        <v>46006</v>
      </c>
      <c r="B7187" s="5" t="str">
        <f t="shared" si="1519"/>
        <v>Northern Cardinal</v>
      </c>
      <c r="C7187" s="6">
        <f t="shared" si="1519"/>
        <v>0.36249999999999999</v>
      </c>
      <c r="D7187" s="5"/>
      <c r="E7187" s="5"/>
      <c r="F7187" s="5" t="s">
        <v>22</v>
      </c>
      <c r="G7187" s="15" t="s">
        <v>22</v>
      </c>
      <c r="H7187" s="24">
        <f t="shared" si="1460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20">A7187</f>
        <v>46006</v>
      </c>
      <c r="B7188" s="5" t="str">
        <f t="shared" si="1520"/>
        <v>Northern Cardinal</v>
      </c>
      <c r="C7188" s="6">
        <f t="shared" si="1520"/>
        <v>0.36249999999999999</v>
      </c>
      <c r="D7188" s="5"/>
      <c r="E7188" s="5"/>
      <c r="F7188" s="5" t="s">
        <v>22</v>
      </c>
      <c r="G7188" s="15" t="s">
        <v>22</v>
      </c>
      <c r="H7188" s="24">
        <f t="shared" si="1460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21">A7188</f>
        <v>46006</v>
      </c>
      <c r="B7189" s="5" t="str">
        <f t="shared" si="1521"/>
        <v>Northern Cardinal</v>
      </c>
      <c r="C7189" s="6">
        <f t="shared" si="1521"/>
        <v>0.36249999999999999</v>
      </c>
      <c r="D7189" s="5"/>
      <c r="E7189" s="5"/>
      <c r="F7189" s="5" t="s">
        <v>22</v>
      </c>
      <c r="G7189" s="15" t="s">
        <v>22</v>
      </c>
      <c r="H7189" s="24">
        <f t="shared" si="1460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22">A7189</f>
        <v>46006</v>
      </c>
      <c r="B7190" s="5" t="str">
        <f t="shared" si="1522"/>
        <v>Northern Cardinal</v>
      </c>
      <c r="C7190" s="6">
        <f t="shared" si="1522"/>
        <v>0.36249999999999999</v>
      </c>
      <c r="D7190" s="5"/>
      <c r="E7190" s="5"/>
      <c r="F7190" s="5" t="s">
        <v>22</v>
      </c>
      <c r="G7190" s="15" t="s">
        <v>22</v>
      </c>
      <c r="H7190" s="24">
        <f t="shared" si="1460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74"/>
  <sheetViews>
    <sheetView tabSelected="1" zoomScale="120" zoomScaleNormal="120" workbookViewId="0">
      <pane ySplit="1" topLeftCell="A253" activePane="bottomLeft" state="frozen"/>
      <selection pane="bottomLeft" activeCell="A273" sqref="A273:E274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10">
        <v>46005</v>
      </c>
      <c r="B274" s="11" t="s">
        <v>3</v>
      </c>
      <c r="C274" s="11">
        <f>COUNTIFS(RawData!$B:$B, $B274, RawData!$A:$A, DailySummaries!$A274)</f>
        <v>1</v>
      </c>
      <c r="D274" s="11">
        <f>SUMIFS(RawData!$D:$D,RawData!$B:$B,$B274,RawData!$A:$A,DailySummaries!$A274)+1</f>
        <v>1</v>
      </c>
      <c r="E274" s="11">
        <f>SUMIFS(RawData!$E:$E,RawData!$B:$B,$B274,RawData!$A:$A,DailySummaries!$A274)+1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2025-12-15T10:20:49Z</dcterms:modified>
</cp:coreProperties>
</file>
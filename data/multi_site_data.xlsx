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A7A1B8BB-CA90-244F-8F9E-3BFA87486C27}" xr6:coauthVersionLast="47" xr6:coauthVersionMax="47" xr10:uidLastSave="{00000000-0000-0000-0000-000000000000}"/>
  <bookViews>
    <workbookView xWindow="0" yWindow="62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3" i="2" l="1"/>
  <c r="D303" i="2"/>
  <c r="E303" i="2"/>
  <c r="C304" i="2"/>
  <c r="D304" i="2"/>
  <c r="E304" i="2"/>
  <c r="C305" i="2"/>
  <c r="D305" i="2"/>
  <c r="E305" i="2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7916" i="1" l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M7916" i="1" l="1" a="1"/>
  <c r="M7916" i="1" s="1"/>
  <c r="Q7916" i="1" a="1"/>
  <c r="Q7916" i="1" s="1"/>
  <c r="J7916" i="1" a="1"/>
  <c r="J7916" i="1" s="1"/>
  <c r="N7916" i="1" a="1"/>
  <c r="N7916" i="1" s="1"/>
  <c r="R7916" i="1" a="1"/>
  <c r="R7916" i="1" s="1"/>
  <c r="K7916" i="1" a="1"/>
  <c r="K7916" i="1" s="1"/>
  <c r="S7916" i="1" a="1"/>
  <c r="S7916" i="1" s="1"/>
  <c r="P7916" i="1" a="1"/>
  <c r="P7916" i="1" s="1"/>
  <c r="B7917" i="1"/>
  <c r="L7916" i="1" a="1"/>
  <c r="L7916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7917" i="1" l="1" a="1"/>
  <c r="L7917" i="1" s="1"/>
  <c r="P7917" i="1" a="1"/>
  <c r="P7917" i="1" s="1"/>
  <c r="B7918" i="1"/>
  <c r="M7917" i="1" a="1"/>
  <c r="M7917" i="1" s="1"/>
  <c r="Q7917" i="1" a="1"/>
  <c r="Q7917" i="1" s="1"/>
  <c r="J7917" i="1" a="1"/>
  <c r="J7917" i="1" s="1"/>
  <c r="N7917" i="1" a="1"/>
  <c r="N7917" i="1" s="1"/>
  <c r="R7917" i="1" a="1"/>
  <c r="R7917" i="1" s="1"/>
  <c r="S7917" i="1" a="1"/>
  <c r="S7917" i="1" s="1"/>
  <c r="K7917" i="1" a="1"/>
  <c r="K7917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D300" i="2" l="1"/>
  <c r="K7918" i="1" a="1"/>
  <c r="K7918" i="1" s="1"/>
  <c r="S7918" i="1" a="1"/>
  <c r="S7918" i="1" s="1"/>
  <c r="L7918" i="1" a="1"/>
  <c r="L7918" i="1" s="1"/>
  <c r="P7918" i="1" a="1"/>
  <c r="P7918" i="1" s="1"/>
  <c r="B7919" i="1"/>
  <c r="M7918" i="1" a="1"/>
  <c r="M7918" i="1" s="1"/>
  <c r="Q7918" i="1" a="1"/>
  <c r="Q7918" i="1" s="1"/>
  <c r="J7918" i="1" a="1"/>
  <c r="J7918" i="1" s="1"/>
  <c r="N7918" i="1" a="1"/>
  <c r="N7918" i="1" s="1"/>
  <c r="R7918" i="1" a="1"/>
  <c r="R7918" i="1" s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J7919" i="1" l="1" a="1"/>
  <c r="J7919" i="1" s="1"/>
  <c r="N7919" i="1" a="1"/>
  <c r="N7919" i="1" s="1"/>
  <c r="R7919" i="1" a="1"/>
  <c r="R7919" i="1" s="1"/>
  <c r="K7919" i="1" a="1"/>
  <c r="K7919" i="1" s="1"/>
  <c r="S7919" i="1" a="1"/>
  <c r="S7919" i="1" s="1"/>
  <c r="L7919" i="1" a="1"/>
  <c r="L7919" i="1" s="1"/>
  <c r="P7919" i="1" a="1"/>
  <c r="P7919" i="1" s="1"/>
  <c r="B7920" i="1"/>
  <c r="M7919" i="1" a="1"/>
  <c r="M7919" i="1" s="1"/>
  <c r="Q7919" i="1" a="1"/>
  <c r="Q7919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D302" i="2" l="1"/>
  <c r="C302" i="2"/>
  <c r="C300" i="2"/>
  <c r="E302" i="2"/>
  <c r="E300" i="2"/>
  <c r="M7920" i="1" a="1"/>
  <c r="M7920" i="1" s="1"/>
  <c r="Q7920" i="1" a="1"/>
  <c r="Q7920" i="1" s="1"/>
  <c r="J7920" i="1" a="1"/>
  <c r="J7920" i="1" s="1"/>
  <c r="N7920" i="1" a="1"/>
  <c r="N7920" i="1" s="1"/>
  <c r="R7920" i="1" a="1"/>
  <c r="R7920" i="1" s="1"/>
  <c r="K7920" i="1" a="1"/>
  <c r="K7920" i="1" s="1"/>
  <c r="S7920" i="1" a="1"/>
  <c r="S7920" i="1" s="1"/>
  <c r="L7920" i="1" a="1"/>
  <c r="L7920" i="1" s="1"/>
  <c r="P7920" i="1" a="1"/>
  <c r="P7920" i="1" s="1"/>
  <c r="B7921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L7921" i="1" l="1" a="1"/>
  <c r="L7921" i="1" s="1"/>
  <c r="P7921" i="1" a="1"/>
  <c r="P7921" i="1" s="1"/>
  <c r="B7922" i="1"/>
  <c r="M7921" i="1" a="1"/>
  <c r="M7921" i="1" s="1"/>
  <c r="Q7921" i="1" a="1"/>
  <c r="Q7921" i="1" s="1"/>
  <c r="J7921" i="1" a="1"/>
  <c r="J7921" i="1" s="1"/>
  <c r="N7921" i="1" a="1"/>
  <c r="N7921" i="1" s="1"/>
  <c r="R7921" i="1" a="1"/>
  <c r="R7921" i="1" s="1"/>
  <c r="S7921" i="1" a="1"/>
  <c r="S7921" i="1" s="1"/>
  <c r="K7921" i="1" a="1"/>
  <c r="K7921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K7922" i="1" l="1" a="1"/>
  <c r="K7922" i="1" s="1"/>
  <c r="S7922" i="1" a="1"/>
  <c r="S7922" i="1" s="1"/>
  <c r="L7922" i="1" a="1"/>
  <c r="L7922" i="1" s="1"/>
  <c r="P7922" i="1" a="1"/>
  <c r="P7922" i="1" s="1"/>
  <c r="B7923" i="1"/>
  <c r="M7922" i="1" a="1"/>
  <c r="M7922" i="1" s="1"/>
  <c r="Q7922" i="1" a="1"/>
  <c r="Q7922" i="1" s="1"/>
  <c r="R7922" i="1" a="1"/>
  <c r="R7922" i="1" s="1"/>
  <c r="J7922" i="1" a="1"/>
  <c r="J7922" i="1" s="1"/>
  <c r="N7922" i="1" a="1"/>
  <c r="N7922" i="1" s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J7923" i="1" l="1" a="1"/>
  <c r="J7923" i="1" s="1"/>
  <c r="N7923" i="1" a="1"/>
  <c r="N7923" i="1" s="1"/>
  <c r="R7923" i="1" a="1"/>
  <c r="R7923" i="1" s="1"/>
  <c r="K7923" i="1" a="1"/>
  <c r="K7923" i="1" s="1"/>
  <c r="S7923" i="1" a="1"/>
  <c r="S7923" i="1" s="1"/>
  <c r="L7923" i="1" a="1"/>
  <c r="L7923" i="1" s="1"/>
  <c r="P7923" i="1" a="1"/>
  <c r="P7923" i="1" s="1"/>
  <c r="B7924" i="1"/>
  <c r="M7923" i="1" a="1"/>
  <c r="M7923" i="1" s="1"/>
  <c r="Q7923" i="1" a="1"/>
  <c r="Q7923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M7924" i="1" l="1" a="1"/>
  <c r="M7924" i="1" s="1"/>
  <c r="Q7924" i="1" a="1"/>
  <c r="Q7924" i="1" s="1"/>
  <c r="J7924" i="1" a="1"/>
  <c r="J7924" i="1" s="1"/>
  <c r="N7924" i="1" a="1"/>
  <c r="N7924" i="1" s="1"/>
  <c r="R7924" i="1" a="1"/>
  <c r="R7924" i="1" s="1"/>
  <c r="K7924" i="1" a="1"/>
  <c r="K7924" i="1" s="1"/>
  <c r="S7924" i="1" a="1"/>
  <c r="S7924" i="1" s="1"/>
  <c r="B7925" i="1"/>
  <c r="L7924" i="1" a="1"/>
  <c r="L7924" i="1" s="1"/>
  <c r="P7924" i="1" a="1"/>
  <c r="P7924" i="1" s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7925" i="1" l="1" a="1"/>
  <c r="L7925" i="1" s="1"/>
  <c r="P7925" i="1" a="1"/>
  <c r="P7925" i="1" s="1"/>
  <c r="B7926" i="1"/>
  <c r="M7925" i="1" a="1"/>
  <c r="M7925" i="1" s="1"/>
  <c r="Q7925" i="1" a="1"/>
  <c r="Q7925" i="1" s="1"/>
  <c r="J7925" i="1" a="1"/>
  <c r="J7925" i="1" s="1"/>
  <c r="N7925" i="1" a="1"/>
  <c r="N7925" i="1" s="1"/>
  <c r="R7925" i="1" a="1"/>
  <c r="R7925" i="1" s="1"/>
  <c r="K7925" i="1" a="1"/>
  <c r="K7925" i="1" s="1"/>
  <c r="S7925" i="1" a="1"/>
  <c r="S7925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K7926" i="1" l="1" a="1"/>
  <c r="K7926" i="1" s="1"/>
  <c r="S7926" i="1" a="1"/>
  <c r="S7926" i="1" s="1"/>
  <c r="L7926" i="1" a="1"/>
  <c r="L7926" i="1" s="1"/>
  <c r="P7926" i="1" a="1"/>
  <c r="P7926" i="1" s="1"/>
  <c r="B7927" i="1"/>
  <c r="M7926" i="1" a="1"/>
  <c r="M7926" i="1" s="1"/>
  <c r="Q7926" i="1" a="1"/>
  <c r="Q7926" i="1" s="1"/>
  <c r="N7926" i="1" a="1"/>
  <c r="N7926" i="1" s="1"/>
  <c r="R7926" i="1" a="1"/>
  <c r="R7926" i="1" s="1"/>
  <c r="J7926" i="1" a="1"/>
  <c r="J7926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J7927" i="1" l="1" a="1"/>
  <c r="J7927" i="1" s="1"/>
  <c r="N7927" i="1" a="1"/>
  <c r="N7927" i="1" s="1"/>
  <c r="R7927" i="1" a="1"/>
  <c r="R7927" i="1" s="1"/>
  <c r="K7927" i="1" a="1"/>
  <c r="K7927" i="1" s="1"/>
  <c r="S7927" i="1" a="1"/>
  <c r="S7927" i="1" s="1"/>
  <c r="L7927" i="1" a="1"/>
  <c r="L7927" i="1" s="1"/>
  <c r="P7927" i="1" a="1"/>
  <c r="P7927" i="1" s="1"/>
  <c r="B7928" i="1"/>
  <c r="Q7927" i="1" a="1"/>
  <c r="Q7927" i="1" s="1"/>
  <c r="M7927" i="1" a="1"/>
  <c r="M7927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M7928" i="1" l="1" a="1"/>
  <c r="M7928" i="1" s="1"/>
  <c r="Q7928" i="1" a="1"/>
  <c r="Q7928" i="1" s="1"/>
  <c r="J7928" i="1" a="1"/>
  <c r="J7928" i="1" s="1"/>
  <c r="N7928" i="1" a="1"/>
  <c r="N7928" i="1" s="1"/>
  <c r="R7928" i="1" a="1"/>
  <c r="R7928" i="1" s="1"/>
  <c r="K7928" i="1" a="1"/>
  <c r="K7928" i="1" s="1"/>
  <c r="S7928" i="1" a="1"/>
  <c r="S7928" i="1" s="1"/>
  <c r="B7929" i="1"/>
  <c r="L7928" i="1" a="1"/>
  <c r="L7928" i="1" s="1"/>
  <c r="P7928" i="1" a="1"/>
  <c r="P7928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7929" i="1" l="1" a="1"/>
  <c r="L7929" i="1" s="1"/>
  <c r="P7929" i="1" a="1"/>
  <c r="P7929" i="1" s="1"/>
  <c r="B7930" i="1"/>
  <c r="M7929" i="1" a="1"/>
  <c r="M7929" i="1" s="1"/>
  <c r="Q7929" i="1" a="1"/>
  <c r="Q7929" i="1" s="1"/>
  <c r="J7929" i="1" a="1"/>
  <c r="J7929" i="1" s="1"/>
  <c r="N7929" i="1" a="1"/>
  <c r="N7929" i="1" s="1"/>
  <c r="R7929" i="1" a="1"/>
  <c r="R7929" i="1" s="1"/>
  <c r="K7929" i="1" a="1"/>
  <c r="K7929" i="1" s="1"/>
  <c r="S7929" i="1" a="1"/>
  <c r="S7929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K7930" i="1" l="1" a="1"/>
  <c r="K7930" i="1" s="1"/>
  <c r="S7930" i="1" a="1"/>
  <c r="S7930" i="1" s="1"/>
  <c r="L7930" i="1" a="1"/>
  <c r="L7930" i="1" s="1"/>
  <c r="P7930" i="1" a="1"/>
  <c r="P7930" i="1" s="1"/>
  <c r="B7931" i="1"/>
  <c r="M7930" i="1" a="1"/>
  <c r="M7930" i="1" s="1"/>
  <c r="Q7930" i="1" a="1"/>
  <c r="Q7930" i="1" s="1"/>
  <c r="J7930" i="1" a="1"/>
  <c r="J7930" i="1" s="1"/>
  <c r="N7930" i="1" a="1"/>
  <c r="N7930" i="1" s="1"/>
  <c r="R7930" i="1" a="1"/>
  <c r="R7930" i="1" s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7931" i="1" l="1" a="1"/>
  <c r="J7931" i="1" s="1"/>
  <c r="N7931" i="1" a="1"/>
  <c r="N7931" i="1" s="1"/>
  <c r="R7931" i="1" a="1"/>
  <c r="R7931" i="1" s="1"/>
  <c r="K7931" i="1" a="1"/>
  <c r="K7931" i="1" s="1"/>
  <c r="S7931" i="1" a="1"/>
  <c r="S7931" i="1" s="1"/>
  <c r="L7931" i="1" a="1"/>
  <c r="L7931" i="1" s="1"/>
  <c r="P7931" i="1" a="1"/>
  <c r="P7931" i="1" s="1"/>
  <c r="B7932" i="1"/>
  <c r="M7931" i="1" a="1"/>
  <c r="M7931" i="1" s="1"/>
  <c r="Q7931" i="1" a="1"/>
  <c r="Q7931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M7932" i="1" l="1" a="1"/>
  <c r="M7932" i="1" s="1"/>
  <c r="Q7932" i="1" a="1"/>
  <c r="Q7932" i="1" s="1"/>
  <c r="J7932" i="1" a="1"/>
  <c r="J7932" i="1" s="1"/>
  <c r="N7932" i="1" a="1"/>
  <c r="N7932" i="1" s="1"/>
  <c r="R7932" i="1" a="1"/>
  <c r="R7932" i="1" s="1"/>
  <c r="K7932" i="1" a="1"/>
  <c r="K7932" i="1" s="1"/>
  <c r="S7932" i="1" a="1"/>
  <c r="S7932" i="1" s="1"/>
  <c r="P7932" i="1" a="1"/>
  <c r="P7932" i="1" s="1"/>
  <c r="B7933" i="1"/>
  <c r="L7932" i="1" a="1"/>
  <c r="L7932" i="1" s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7933" i="1" l="1" a="1"/>
  <c r="L7933" i="1" s="1"/>
  <c r="P7933" i="1" a="1"/>
  <c r="P7933" i="1" s="1"/>
  <c r="B7934" i="1"/>
  <c r="M7933" i="1" a="1"/>
  <c r="M7933" i="1" s="1"/>
  <c r="Q7933" i="1" a="1"/>
  <c r="Q7933" i="1" s="1"/>
  <c r="J7933" i="1" a="1"/>
  <c r="J7933" i="1" s="1"/>
  <c r="N7933" i="1" a="1"/>
  <c r="N7933" i="1" s="1"/>
  <c r="R7933" i="1" a="1"/>
  <c r="R7933" i="1" s="1"/>
  <c r="S7933" i="1" a="1"/>
  <c r="S7933" i="1" s="1"/>
  <c r="K7933" i="1" a="1"/>
  <c r="K7933" i="1" s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K7934" i="1" l="1" a="1"/>
  <c r="K7934" i="1" s="1"/>
  <c r="S7934" i="1" a="1"/>
  <c r="S7934" i="1" s="1"/>
  <c r="L7934" i="1" a="1"/>
  <c r="L7934" i="1" s="1"/>
  <c r="P7934" i="1" a="1"/>
  <c r="P7934" i="1" s="1"/>
  <c r="B7935" i="1"/>
  <c r="M7934" i="1" a="1"/>
  <c r="M7934" i="1" s="1"/>
  <c r="Q7934" i="1" a="1"/>
  <c r="Q7934" i="1" s="1"/>
  <c r="J7934" i="1" a="1"/>
  <c r="J7934" i="1" s="1"/>
  <c r="N7934" i="1" a="1"/>
  <c r="N7934" i="1" s="1"/>
  <c r="R7934" i="1" a="1"/>
  <c r="R7934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J7935" i="1" l="1" a="1"/>
  <c r="J7935" i="1" s="1"/>
  <c r="N7935" i="1" a="1"/>
  <c r="N7935" i="1" s="1"/>
  <c r="R7935" i="1" a="1"/>
  <c r="R7935" i="1" s="1"/>
  <c r="K7935" i="1" a="1"/>
  <c r="K7935" i="1" s="1"/>
  <c r="S7935" i="1" a="1"/>
  <c r="S7935" i="1" s="1"/>
  <c r="L7935" i="1" a="1"/>
  <c r="L7935" i="1" s="1"/>
  <c r="P7935" i="1" a="1"/>
  <c r="P7935" i="1" s="1"/>
  <c r="B7936" i="1"/>
  <c r="M7935" i="1" a="1"/>
  <c r="M7935" i="1" s="1"/>
  <c r="Q7935" i="1" a="1"/>
  <c r="Q7935" i="1" s="1"/>
  <c r="A7917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A7918" i="1" l="1"/>
  <c r="M7936" i="1" a="1"/>
  <c r="M7936" i="1" s="1"/>
  <c r="Q7936" i="1" a="1"/>
  <c r="Q7936" i="1" s="1"/>
  <c r="J7936" i="1" a="1"/>
  <c r="J7936" i="1" s="1"/>
  <c r="N7936" i="1" a="1"/>
  <c r="N7936" i="1" s="1"/>
  <c r="R7936" i="1" a="1"/>
  <c r="R7936" i="1" s="1"/>
  <c r="K7936" i="1" a="1"/>
  <c r="K7936" i="1" s="1"/>
  <c r="S7936" i="1" a="1"/>
  <c r="S7936" i="1" s="1"/>
  <c r="P7936" i="1" a="1"/>
  <c r="P7936" i="1" s="1"/>
  <c r="B7937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P7937" i="1" l="1" a="1"/>
  <c r="P7937" i="1" s="1"/>
  <c r="B7938" i="1"/>
  <c r="M7937" i="1" a="1"/>
  <c r="M7937" i="1" s="1"/>
  <c r="J7937" i="1" a="1"/>
  <c r="J7937" i="1" s="1"/>
  <c r="N7937" i="1" a="1"/>
  <c r="N7937" i="1" s="1"/>
  <c r="Q7937" i="1" a="1"/>
  <c r="Q7937" i="1" s="1"/>
  <c r="R7937" i="1" a="1"/>
  <c r="R7937" i="1" s="1"/>
  <c r="S7937" i="1" a="1"/>
  <c r="S7937" i="1" s="1"/>
  <c r="K7937" i="1" a="1"/>
  <c r="K7937" i="1" s="1"/>
  <c r="A7919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C7916" i="1" l="1"/>
  <c r="I7916" i="1" s="1" a="1"/>
  <c r="I7916" i="1" s="1"/>
  <c r="K7938" i="1" a="1"/>
  <c r="K7938" i="1" s="1"/>
  <c r="S7938" i="1" a="1"/>
  <c r="S7938" i="1" s="1"/>
  <c r="B7939" i="1"/>
  <c r="P7938" i="1" a="1"/>
  <c r="P7938" i="1" s="1"/>
  <c r="Q7938" i="1" a="1"/>
  <c r="Q7938" i="1" s="1"/>
  <c r="J7938" i="1" a="1"/>
  <c r="J7938" i="1" s="1"/>
  <c r="R7938" i="1" a="1"/>
  <c r="R7938" i="1" s="1"/>
  <c r="M7938" i="1" a="1"/>
  <c r="M7938" i="1" s="1"/>
  <c r="N7938" i="1" a="1"/>
  <c r="N7938" i="1" s="1"/>
  <c r="A7920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C7917" i="1" l="1"/>
  <c r="I7917" i="1" s="1" a="1"/>
  <c r="I7917" i="1" s="1"/>
  <c r="H7916" i="1"/>
  <c r="O7916" i="1" a="1"/>
  <c r="O7916" i="1" s="1"/>
  <c r="A7921" i="1"/>
  <c r="J7939" i="1" a="1"/>
  <c r="J7939" i="1" s="1"/>
  <c r="N7939" i="1" a="1"/>
  <c r="N7939" i="1" s="1"/>
  <c r="R7939" i="1" a="1"/>
  <c r="R7939" i="1" s="1"/>
  <c r="B7940" i="1"/>
  <c r="K7939" i="1" a="1"/>
  <c r="K7939" i="1" s="1"/>
  <c r="S7939" i="1" a="1"/>
  <c r="S7939" i="1" s="1"/>
  <c r="M7939" i="1" a="1"/>
  <c r="M7939" i="1" s="1"/>
  <c r="P7939" i="1" a="1"/>
  <c r="P7939" i="1" s="1"/>
  <c r="Q7939" i="1" a="1"/>
  <c r="Q7939" i="1" s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O7917" i="1" l="1" a="1"/>
  <c r="O7917" i="1" s="1"/>
  <c r="C7918" i="1"/>
  <c r="I7918" i="1" s="1" a="1"/>
  <c r="I7918" i="1" s="1"/>
  <c r="H7917" i="1"/>
  <c r="A7922" i="1"/>
  <c r="M7940" i="1" a="1"/>
  <c r="M7940" i="1" s="1"/>
  <c r="Q7940" i="1" a="1"/>
  <c r="Q7940" i="1" s="1"/>
  <c r="N7940" i="1" a="1"/>
  <c r="N7940" i="1" s="1"/>
  <c r="P7940" i="1" a="1"/>
  <c r="P7940" i="1" s="1"/>
  <c r="J7940" i="1" a="1"/>
  <c r="J7940" i="1" s="1"/>
  <c r="R7940" i="1" a="1"/>
  <c r="R7940" i="1" s="1"/>
  <c r="K7940" i="1" a="1"/>
  <c r="K7940" i="1" s="1"/>
  <c r="S7940" i="1" a="1"/>
  <c r="S7940" i="1" s="1"/>
  <c r="B7941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C7919" i="1" l="1"/>
  <c r="I7919" i="1" s="1" a="1"/>
  <c r="I7919" i="1" s="1"/>
  <c r="H7918" i="1"/>
  <c r="O7918" i="1" a="1"/>
  <c r="O7918" i="1" s="1"/>
  <c r="P7941" i="1" a="1"/>
  <c r="P7941" i="1" s="1"/>
  <c r="B7942" i="1"/>
  <c r="Q7941" i="1" a="1"/>
  <c r="Q7941" i="1" s="1"/>
  <c r="J7941" i="1" a="1"/>
  <c r="J7941" i="1" s="1"/>
  <c r="R7941" i="1" a="1"/>
  <c r="R7941" i="1" s="1"/>
  <c r="K7941" i="1" a="1"/>
  <c r="K7941" i="1" s="1"/>
  <c r="S7941" i="1" a="1"/>
  <c r="S7941" i="1" s="1"/>
  <c r="M7941" i="1" a="1"/>
  <c r="M7941" i="1" s="1"/>
  <c r="N7941" i="1" a="1"/>
  <c r="N7941" i="1" s="1"/>
  <c r="A7923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O7919" i="1" l="1" a="1"/>
  <c r="O7919" i="1" s="1"/>
  <c r="H7919" i="1"/>
  <c r="C7920" i="1"/>
  <c r="I7920" i="1" s="1" a="1"/>
  <c r="I7920" i="1" s="1"/>
  <c r="B7943" i="1"/>
  <c r="Q7942" i="1" a="1"/>
  <c r="Q7942" i="1" s="1"/>
  <c r="K7942" i="1" a="1"/>
  <c r="K7942" i="1" s="1"/>
  <c r="R7942" i="1" a="1"/>
  <c r="R7942" i="1" s="1"/>
  <c r="M7942" i="1" a="1"/>
  <c r="M7942" i="1" s="1"/>
  <c r="S7942" i="1" a="1"/>
  <c r="S7942" i="1" s="1"/>
  <c r="N7942" i="1" a="1"/>
  <c r="N7942" i="1" s="1"/>
  <c r="P7942" i="1" a="1"/>
  <c r="P7942" i="1" s="1"/>
  <c r="J7942" i="1" a="1"/>
  <c r="J7942" i="1" s="1"/>
  <c r="A7924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C7921" i="1" l="1"/>
  <c r="I7921" i="1" s="1" a="1"/>
  <c r="I7921" i="1" s="1"/>
  <c r="H7920" i="1"/>
  <c r="O7920" i="1" a="1"/>
  <c r="O7920" i="1" s="1"/>
  <c r="A7925" i="1"/>
  <c r="B7944" i="1"/>
  <c r="J7943" i="1" a="1"/>
  <c r="J7943" i="1" s="1"/>
  <c r="Q7943" i="1" a="1"/>
  <c r="Q7943" i="1" s="1"/>
  <c r="K7943" i="1" a="1"/>
  <c r="K7943" i="1" s="1"/>
  <c r="R7943" i="1" a="1"/>
  <c r="R7943" i="1" s="1"/>
  <c r="M7943" i="1" a="1"/>
  <c r="M7943" i="1" s="1"/>
  <c r="S7943" i="1" a="1"/>
  <c r="S7943" i="1" s="1"/>
  <c r="N7943" i="1" a="1"/>
  <c r="N7943" i="1" s="1"/>
  <c r="P7943" i="1" a="1"/>
  <c r="P7943" i="1" s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O7921" i="1" l="1" a="1"/>
  <c r="O7921" i="1" s="1"/>
  <c r="C7922" i="1"/>
  <c r="I7922" i="1" s="1" a="1"/>
  <c r="I7922" i="1" s="1"/>
  <c r="H7921" i="1"/>
  <c r="J7944" i="1" a="1"/>
  <c r="J7944" i="1" s="1"/>
  <c r="K7944" i="1" a="1"/>
  <c r="K7944" i="1" s="1"/>
  <c r="Q7944" i="1" a="1"/>
  <c r="Q7944" i="1" s="1"/>
  <c r="R7944" i="1" a="1"/>
  <c r="R7944" i="1" s="1"/>
  <c r="S7944" i="1" a="1"/>
  <c r="S7944" i="1" s="1"/>
  <c r="M7944" i="1" a="1"/>
  <c r="M7944" i="1" s="1"/>
  <c r="N7944" i="1" a="1"/>
  <c r="N7944" i="1" s="1"/>
  <c r="B7945" i="1"/>
  <c r="P7944" i="1" a="1"/>
  <c r="P7944" i="1" s="1"/>
  <c r="A7926" i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C7923" i="1" l="1"/>
  <c r="I7923" i="1" s="1" a="1"/>
  <c r="I7923" i="1" s="1"/>
  <c r="H7922" i="1"/>
  <c r="O7922" i="1" a="1"/>
  <c r="O7922" i="1" s="1"/>
  <c r="A7927" i="1"/>
  <c r="B7946" i="1"/>
  <c r="J7945" i="1" a="1"/>
  <c r="J7945" i="1" s="1"/>
  <c r="P7945" i="1" a="1"/>
  <c r="P7945" i="1" s="1"/>
  <c r="K7945" i="1" a="1"/>
  <c r="K7945" i="1" s="1"/>
  <c r="Q7945" i="1" a="1"/>
  <c r="Q7945" i="1" s="1"/>
  <c r="R7945" i="1" a="1"/>
  <c r="R7945" i="1" s="1"/>
  <c r="S7945" i="1" a="1"/>
  <c r="S7945" i="1" s="1"/>
  <c r="M7945" i="1" a="1"/>
  <c r="M7945" i="1" s="1"/>
  <c r="N7945" i="1" a="1"/>
  <c r="N7945" i="1" s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O7923" i="1" l="1" a="1"/>
  <c r="O7923" i="1" s="1"/>
  <c r="C7924" i="1"/>
  <c r="I7924" i="1" s="1" a="1"/>
  <c r="I7924" i="1" s="1"/>
  <c r="H7923" i="1"/>
  <c r="B7947" i="1"/>
  <c r="J7946" i="1" a="1"/>
  <c r="J7946" i="1" s="1"/>
  <c r="P7946" i="1" a="1"/>
  <c r="P7946" i="1" s="1"/>
  <c r="Q7946" i="1" a="1"/>
  <c r="Q7946" i="1" s="1"/>
  <c r="K7946" i="1" a="1"/>
  <c r="K7946" i="1" s="1"/>
  <c r="R7946" i="1" a="1"/>
  <c r="R7946" i="1" s="1"/>
  <c r="M7946" i="1" a="1"/>
  <c r="M7946" i="1" s="1"/>
  <c r="S7946" i="1" a="1"/>
  <c r="S7946" i="1" s="1"/>
  <c r="N7946" i="1" a="1"/>
  <c r="N7946" i="1" s="1"/>
  <c r="A7928" i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C7925" i="1" l="1"/>
  <c r="I7925" i="1" s="1" a="1"/>
  <c r="I7925" i="1" s="1"/>
  <c r="H7924" i="1"/>
  <c r="O7924" i="1" a="1"/>
  <c r="O7924" i="1" s="1"/>
  <c r="A7929" i="1"/>
  <c r="B7948" i="1"/>
  <c r="P7947" i="1" a="1"/>
  <c r="P7947" i="1" s="1"/>
  <c r="J7947" i="1" a="1"/>
  <c r="J7947" i="1" s="1"/>
  <c r="Q7947" i="1" a="1"/>
  <c r="Q7947" i="1" s="1"/>
  <c r="K7947" i="1" a="1"/>
  <c r="K7947" i="1" s="1"/>
  <c r="R7947" i="1" a="1"/>
  <c r="R7947" i="1" s="1"/>
  <c r="M7947" i="1" a="1"/>
  <c r="M7947" i="1" s="1"/>
  <c r="S7947" i="1" a="1"/>
  <c r="S7947" i="1" s="1"/>
  <c r="N7947" i="1" a="1"/>
  <c r="N7947" i="1" s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O7925" i="1" l="1" a="1"/>
  <c r="O7925" i="1" s="1"/>
  <c r="C7926" i="1"/>
  <c r="I7926" i="1" s="1" a="1"/>
  <c r="I7926" i="1" s="1"/>
  <c r="H7925" i="1"/>
  <c r="N7948" i="1" a="1"/>
  <c r="N7948" i="1" s="1"/>
  <c r="R7948" i="1" a="1"/>
  <c r="R7948" i="1" s="1"/>
  <c r="J7948" i="1" a="1"/>
  <c r="J7948" i="1" s="1"/>
  <c r="K7948" i="1" a="1"/>
  <c r="K7948" i="1" s="1"/>
  <c r="S7948" i="1" a="1"/>
  <c r="S7948" i="1" s="1"/>
  <c r="P7948" i="1" a="1"/>
  <c r="P7948" i="1" s="1"/>
  <c r="B7949" i="1"/>
  <c r="M7948" i="1" a="1"/>
  <c r="M7948" i="1" s="1"/>
  <c r="Q7948" i="1" a="1"/>
  <c r="Q7948" i="1" s="1"/>
  <c r="A7930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O7926" i="1" l="1" a="1"/>
  <c r="O7926" i="1" s="1"/>
  <c r="C7927" i="1"/>
  <c r="I7927" i="1" s="1" a="1"/>
  <c r="I7927" i="1" s="1"/>
  <c r="H7926" i="1"/>
  <c r="M7949" i="1" a="1"/>
  <c r="M7949" i="1" s="1"/>
  <c r="Q7949" i="1" a="1"/>
  <c r="Q7949" i="1" s="1"/>
  <c r="J7949" i="1" a="1"/>
  <c r="J7949" i="1" s="1"/>
  <c r="N7949" i="1" a="1"/>
  <c r="N7949" i="1" s="1"/>
  <c r="R7949" i="1" a="1"/>
  <c r="R7949" i="1" s="1"/>
  <c r="K7949" i="1" a="1"/>
  <c r="K7949" i="1" s="1"/>
  <c r="S7949" i="1" a="1"/>
  <c r="S7949" i="1" s="1"/>
  <c r="P7949" i="1" a="1"/>
  <c r="P7949" i="1" s="1"/>
  <c r="B7950" i="1"/>
  <c r="A7931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C7928" i="1" l="1"/>
  <c r="I7928" i="1" s="1" a="1"/>
  <c r="I7928" i="1" s="1"/>
  <c r="O7927" i="1" a="1"/>
  <c r="O7927" i="1" s="1"/>
  <c r="H7927" i="1"/>
  <c r="A7932" i="1"/>
  <c r="P7950" i="1" a="1"/>
  <c r="P7950" i="1" s="1"/>
  <c r="B7951" i="1"/>
  <c r="M7950" i="1" a="1"/>
  <c r="M7950" i="1" s="1"/>
  <c r="Q7950" i="1" a="1"/>
  <c r="Q7950" i="1" s="1"/>
  <c r="J7950" i="1" a="1"/>
  <c r="J7950" i="1" s="1"/>
  <c r="N7950" i="1" a="1"/>
  <c r="N7950" i="1" s="1"/>
  <c r="R7950" i="1" a="1"/>
  <c r="R7950" i="1" s="1"/>
  <c r="S7950" i="1" a="1"/>
  <c r="S7950" i="1" s="1"/>
  <c r="K7950" i="1" a="1"/>
  <c r="K7950" i="1" s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H7928" i="1" l="1"/>
  <c r="C7929" i="1"/>
  <c r="I7929" i="1" s="1" a="1"/>
  <c r="I7929" i="1" s="1"/>
  <c r="O7928" i="1" a="1"/>
  <c r="O7928" i="1" s="1"/>
  <c r="K7951" i="1" a="1"/>
  <c r="K7951" i="1" s="1"/>
  <c r="S7951" i="1" a="1"/>
  <c r="S7951" i="1" s="1"/>
  <c r="P7951" i="1" a="1"/>
  <c r="P7951" i="1" s="1"/>
  <c r="B7952" i="1"/>
  <c r="M7951" i="1" a="1"/>
  <c r="M7951" i="1" s="1"/>
  <c r="Q7951" i="1" a="1"/>
  <c r="Q7951" i="1" s="1"/>
  <c r="J7951" i="1" a="1"/>
  <c r="J7951" i="1" s="1"/>
  <c r="N7951" i="1" a="1"/>
  <c r="N7951" i="1" s="1"/>
  <c r="R7951" i="1" a="1"/>
  <c r="R7951" i="1" s="1"/>
  <c r="A7933" i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H7929" i="1" l="1"/>
  <c r="O7929" i="1" a="1"/>
  <c r="O7929" i="1" s="1"/>
  <c r="C7930" i="1"/>
  <c r="I7930" i="1" s="1" a="1"/>
  <c r="I7930" i="1" s="1"/>
  <c r="J7952" i="1" a="1"/>
  <c r="J7952" i="1" s="1"/>
  <c r="N7952" i="1" a="1"/>
  <c r="N7952" i="1" s="1"/>
  <c r="R7952" i="1" a="1"/>
  <c r="R7952" i="1" s="1"/>
  <c r="K7952" i="1" a="1"/>
  <c r="K7952" i="1" s="1"/>
  <c r="S7952" i="1" a="1"/>
  <c r="S7952" i="1" s="1"/>
  <c r="P7952" i="1" a="1"/>
  <c r="P7952" i="1" s="1"/>
  <c r="B7953" i="1"/>
  <c r="M7952" i="1" a="1"/>
  <c r="M7952" i="1" s="1"/>
  <c r="Q7952" i="1" a="1"/>
  <c r="Q7952" i="1" s="1"/>
  <c r="A7934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H7930" i="1" l="1"/>
  <c r="C7931" i="1"/>
  <c r="I7931" i="1" s="1" a="1"/>
  <c r="I7931" i="1" s="1"/>
  <c r="O7930" i="1" a="1"/>
  <c r="O7930" i="1" s="1"/>
  <c r="A7935" i="1"/>
  <c r="M7953" i="1" a="1"/>
  <c r="M7953" i="1" s="1"/>
  <c r="Q7953" i="1" a="1"/>
  <c r="Q7953" i="1" s="1"/>
  <c r="J7953" i="1" a="1"/>
  <c r="J7953" i="1" s="1"/>
  <c r="N7953" i="1" a="1"/>
  <c r="N7953" i="1" s="1"/>
  <c r="R7953" i="1" a="1"/>
  <c r="R7953" i="1" s="1"/>
  <c r="K7953" i="1" a="1"/>
  <c r="K7953" i="1" s="1"/>
  <c r="S7953" i="1" a="1"/>
  <c r="S7953" i="1" s="1"/>
  <c r="P7953" i="1" a="1"/>
  <c r="P7953" i="1" s="1"/>
  <c r="B7954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O7931" i="1" l="1" a="1"/>
  <c r="O7931" i="1" s="1"/>
  <c r="H7931" i="1"/>
  <c r="C7932" i="1"/>
  <c r="I7932" i="1" s="1" a="1"/>
  <c r="I7932" i="1" s="1"/>
  <c r="P7954" i="1" a="1"/>
  <c r="P7954" i="1" s="1"/>
  <c r="B7955" i="1"/>
  <c r="M7954" i="1" a="1"/>
  <c r="M7954" i="1" s="1"/>
  <c r="Q7954" i="1" a="1"/>
  <c r="Q7954" i="1" s="1"/>
  <c r="J7954" i="1" a="1"/>
  <c r="J7954" i="1" s="1"/>
  <c r="N7954" i="1" a="1"/>
  <c r="N7954" i="1" s="1"/>
  <c r="R7954" i="1" a="1"/>
  <c r="R7954" i="1" s="1"/>
  <c r="S7954" i="1" a="1"/>
  <c r="S7954" i="1" s="1"/>
  <c r="K7954" i="1" a="1"/>
  <c r="K7954" i="1" s="1"/>
  <c r="A7936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C7933" i="1" l="1"/>
  <c r="I7933" i="1" s="1" a="1"/>
  <c r="I7933" i="1" s="1"/>
  <c r="H7932" i="1"/>
  <c r="O7932" i="1" a="1"/>
  <c r="O7932" i="1" s="1"/>
  <c r="A7937" i="1"/>
  <c r="K7955" i="1" a="1"/>
  <c r="K7955" i="1" s="1"/>
  <c r="S7955" i="1" a="1"/>
  <c r="S7955" i="1" s="1"/>
  <c r="P7955" i="1" a="1"/>
  <c r="P7955" i="1" s="1"/>
  <c r="B7956" i="1"/>
  <c r="M7955" i="1" a="1"/>
  <c r="M7955" i="1" s="1"/>
  <c r="Q7955" i="1" a="1"/>
  <c r="Q7955" i="1" s="1"/>
  <c r="R7955" i="1" a="1"/>
  <c r="R7955" i="1" s="1"/>
  <c r="J7955" i="1" a="1"/>
  <c r="J7955" i="1" s="1"/>
  <c r="N7955" i="1" a="1"/>
  <c r="N7955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O7933" i="1" l="1" a="1"/>
  <c r="O7933" i="1" s="1"/>
  <c r="C7934" i="1"/>
  <c r="I7934" i="1" s="1" a="1"/>
  <c r="I7934" i="1" s="1"/>
  <c r="H7933" i="1"/>
  <c r="A7938" i="1"/>
  <c r="J7956" i="1" a="1"/>
  <c r="J7956" i="1" s="1"/>
  <c r="N7956" i="1" a="1"/>
  <c r="N7956" i="1" s="1"/>
  <c r="R7956" i="1" a="1"/>
  <c r="R7956" i="1" s="1"/>
  <c r="K7956" i="1" a="1"/>
  <c r="K7956" i="1" s="1"/>
  <c r="S7956" i="1" a="1"/>
  <c r="S7956" i="1" s="1"/>
  <c r="P7956" i="1" a="1"/>
  <c r="P7956" i="1" s="1"/>
  <c r="B7957" i="1"/>
  <c r="M7956" i="1" a="1"/>
  <c r="M7956" i="1" s="1"/>
  <c r="Q7956" i="1" a="1"/>
  <c r="Q7956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7934" i="1" l="1"/>
  <c r="O7934" i="1" a="1"/>
  <c r="O7934" i="1" s="1"/>
  <c r="C7935" i="1"/>
  <c r="I7935" i="1" s="1" a="1"/>
  <c r="I7935" i="1" s="1"/>
  <c r="M7957" i="1" a="1"/>
  <c r="M7957" i="1" s="1"/>
  <c r="Q7957" i="1" a="1"/>
  <c r="Q7957" i="1" s="1"/>
  <c r="J7957" i="1" a="1"/>
  <c r="J7957" i="1" s="1"/>
  <c r="N7957" i="1" a="1"/>
  <c r="N7957" i="1" s="1"/>
  <c r="R7957" i="1" a="1"/>
  <c r="R7957" i="1" s="1"/>
  <c r="K7957" i="1" a="1"/>
  <c r="K7957" i="1" s="1"/>
  <c r="S7957" i="1" a="1"/>
  <c r="S7957" i="1" s="1"/>
  <c r="P7957" i="1" a="1"/>
  <c r="P7957" i="1" s="1"/>
  <c r="B7958" i="1"/>
  <c r="A7939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O7935" i="1" l="1" a="1"/>
  <c r="O7935" i="1" s="1"/>
  <c r="C7936" i="1"/>
  <c r="H7935" i="1"/>
  <c r="A7940" i="1"/>
  <c r="P7958" i="1" a="1"/>
  <c r="P7958" i="1" s="1"/>
  <c r="B7959" i="1"/>
  <c r="M7958" i="1" a="1"/>
  <c r="M7958" i="1" s="1"/>
  <c r="Q7958" i="1" a="1"/>
  <c r="Q7958" i="1" s="1"/>
  <c r="J7958" i="1" a="1"/>
  <c r="J7958" i="1" s="1"/>
  <c r="N7958" i="1" a="1"/>
  <c r="N7958" i="1" s="1"/>
  <c r="R7958" i="1" a="1"/>
  <c r="R7958" i="1" s="1"/>
  <c r="K7958" i="1" a="1"/>
  <c r="K7958" i="1" s="1"/>
  <c r="S7958" i="1" a="1"/>
  <c r="S7958" i="1" s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L7936" i="1" l="1" a="1"/>
  <c r="L7936" i="1" s="1"/>
  <c r="I7936" i="1" a="1"/>
  <c r="I7936" i="1" s="1"/>
  <c r="H7936" i="1"/>
  <c r="C7937" i="1"/>
  <c r="O7936" i="1" a="1"/>
  <c r="O7936" i="1" s="1"/>
  <c r="A7941" i="1"/>
  <c r="K7959" i="1" a="1"/>
  <c r="K7959" i="1" s="1"/>
  <c r="S7959" i="1" a="1"/>
  <c r="S7959" i="1" s="1"/>
  <c r="P7959" i="1" a="1"/>
  <c r="P7959" i="1" s="1"/>
  <c r="B7960" i="1"/>
  <c r="M7959" i="1" a="1"/>
  <c r="M7959" i="1" s="1"/>
  <c r="Q7959" i="1" a="1"/>
  <c r="Q7959" i="1" s="1"/>
  <c r="N7959" i="1" a="1"/>
  <c r="N7959" i="1" s="1"/>
  <c r="R7959" i="1" a="1"/>
  <c r="R7959" i="1" s="1"/>
  <c r="J7959" i="1" a="1"/>
  <c r="J7959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L7937" i="1" l="1" a="1"/>
  <c r="L7937" i="1" s="1"/>
  <c r="I7937" i="1" a="1"/>
  <c r="I7937" i="1" s="1"/>
  <c r="C7938" i="1"/>
  <c r="H7937" i="1"/>
  <c r="O7937" i="1" a="1"/>
  <c r="O7937" i="1" s="1"/>
  <c r="A7942" i="1"/>
  <c r="J7960" i="1" a="1"/>
  <c r="J7960" i="1" s="1"/>
  <c r="N7960" i="1" a="1"/>
  <c r="N7960" i="1" s="1"/>
  <c r="R7960" i="1" a="1"/>
  <c r="R7960" i="1" s="1"/>
  <c r="K7960" i="1" a="1"/>
  <c r="K7960" i="1" s="1"/>
  <c r="S7960" i="1" a="1"/>
  <c r="S7960" i="1" s="1"/>
  <c r="P7960" i="1" a="1"/>
  <c r="P7960" i="1" s="1"/>
  <c r="B7961" i="1"/>
  <c r="Q7960" i="1" a="1"/>
  <c r="Q7960" i="1" s="1"/>
  <c r="M7960" i="1" a="1"/>
  <c r="M7960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L7938" i="1" l="1" a="1"/>
  <c r="L7938" i="1" s="1"/>
  <c r="I7938" i="1" a="1"/>
  <c r="I7938" i="1" s="1"/>
  <c r="C7939" i="1"/>
  <c r="H7938" i="1"/>
  <c r="O7938" i="1" a="1"/>
  <c r="O7938" i="1" s="1"/>
  <c r="M7961" i="1" a="1"/>
  <c r="M7961" i="1" s="1"/>
  <c r="Q7961" i="1" a="1"/>
  <c r="Q7961" i="1" s="1"/>
  <c r="J7961" i="1" a="1"/>
  <c r="J7961" i="1" s="1"/>
  <c r="N7961" i="1" a="1"/>
  <c r="N7961" i="1" s="1"/>
  <c r="R7961" i="1" a="1"/>
  <c r="R7961" i="1" s="1"/>
  <c r="K7961" i="1" a="1"/>
  <c r="K7961" i="1" s="1"/>
  <c r="S7961" i="1" a="1"/>
  <c r="S7961" i="1" s="1"/>
  <c r="B7962" i="1"/>
  <c r="P7961" i="1" a="1"/>
  <c r="P7961" i="1" s="1"/>
  <c r="A7943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L7939" i="1" l="1" a="1"/>
  <c r="L7939" i="1" s="1"/>
  <c r="I7939" i="1" a="1"/>
  <c r="I7939" i="1" s="1"/>
  <c r="H7939" i="1"/>
  <c r="O7939" i="1" a="1"/>
  <c r="O7939" i="1" s="1"/>
  <c r="C7940" i="1"/>
  <c r="A7944" i="1"/>
  <c r="P7962" i="1" a="1"/>
  <c r="P7962" i="1" s="1"/>
  <c r="B7963" i="1"/>
  <c r="M7962" i="1" a="1"/>
  <c r="M7962" i="1" s="1"/>
  <c r="Q7962" i="1" a="1"/>
  <c r="Q7962" i="1" s="1"/>
  <c r="J7962" i="1" a="1"/>
  <c r="J7962" i="1" s="1"/>
  <c r="N7962" i="1" a="1"/>
  <c r="N7962" i="1" s="1"/>
  <c r="R7962" i="1" a="1"/>
  <c r="R7962" i="1" s="1"/>
  <c r="K7962" i="1" a="1"/>
  <c r="K7962" i="1" s="1"/>
  <c r="S7962" i="1" a="1"/>
  <c r="S7962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L7940" i="1" l="1" a="1"/>
  <c r="L7940" i="1" s="1"/>
  <c r="I7940" i="1" a="1"/>
  <c r="I7940" i="1" s="1"/>
  <c r="O7940" i="1" a="1"/>
  <c r="O7940" i="1" s="1"/>
  <c r="C7941" i="1"/>
  <c r="H7940" i="1"/>
  <c r="A7945" i="1"/>
  <c r="K7963" i="1" a="1"/>
  <c r="K7963" i="1" s="1"/>
  <c r="S7963" i="1" a="1"/>
  <c r="S7963" i="1" s="1"/>
  <c r="P7963" i="1" a="1"/>
  <c r="P7963" i="1" s="1"/>
  <c r="B7964" i="1"/>
  <c r="M7963" i="1" a="1"/>
  <c r="M7963" i="1" s="1"/>
  <c r="Q7963" i="1" a="1"/>
  <c r="Q7963" i="1" s="1"/>
  <c r="J7963" i="1" a="1"/>
  <c r="J7963" i="1" s="1"/>
  <c r="N7963" i="1" a="1"/>
  <c r="N7963" i="1" s="1"/>
  <c r="R7963" i="1" a="1"/>
  <c r="R7963" i="1" s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L7941" i="1" l="1" a="1"/>
  <c r="L7941" i="1" s="1"/>
  <c r="I7941" i="1" a="1"/>
  <c r="I7941" i="1" s="1"/>
  <c r="C7942" i="1"/>
  <c r="H7941" i="1"/>
  <c r="O7941" i="1" a="1"/>
  <c r="O7941" i="1" s="1"/>
  <c r="J7964" i="1" a="1"/>
  <c r="J7964" i="1" s="1"/>
  <c r="N7964" i="1" a="1"/>
  <c r="N7964" i="1" s="1"/>
  <c r="R7964" i="1" a="1"/>
  <c r="R7964" i="1" s="1"/>
  <c r="K7964" i="1" a="1"/>
  <c r="K7964" i="1" s="1"/>
  <c r="S7964" i="1" a="1"/>
  <c r="S7964" i="1" s="1"/>
  <c r="P7964" i="1" a="1"/>
  <c r="P7964" i="1" s="1"/>
  <c r="B7965" i="1"/>
  <c r="M7964" i="1" a="1"/>
  <c r="M7964" i="1" s="1"/>
  <c r="Q7964" i="1" a="1"/>
  <c r="Q7964" i="1" s="1"/>
  <c r="A7946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L7942" i="1" l="1" a="1"/>
  <c r="L7942" i="1" s="1"/>
  <c r="I7942" i="1" a="1"/>
  <c r="I7942" i="1" s="1"/>
  <c r="C7943" i="1"/>
  <c r="H7942" i="1"/>
  <c r="O7942" i="1" a="1"/>
  <c r="O7942" i="1" s="1"/>
  <c r="A7947" i="1"/>
  <c r="M7965" i="1" a="1"/>
  <c r="M7965" i="1" s="1"/>
  <c r="Q7965" i="1" a="1"/>
  <c r="Q7965" i="1" s="1"/>
  <c r="J7965" i="1" a="1"/>
  <c r="J7965" i="1" s="1"/>
  <c r="N7965" i="1" a="1"/>
  <c r="N7965" i="1" s="1"/>
  <c r="R7965" i="1" a="1"/>
  <c r="R7965" i="1" s="1"/>
  <c r="K7965" i="1" a="1"/>
  <c r="K7965" i="1" s="1"/>
  <c r="P7965" i="1" a="1"/>
  <c r="P7965" i="1" s="1"/>
  <c r="S7965" i="1" a="1"/>
  <c r="S7965" i="1" s="1"/>
  <c r="B7966" i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7943" i="1" l="1" a="1"/>
  <c r="L7943" i="1" s="1"/>
  <c r="I7943" i="1" a="1"/>
  <c r="I7943" i="1" s="1"/>
  <c r="H7943" i="1"/>
  <c r="C7944" i="1"/>
  <c r="O7943" i="1" a="1"/>
  <c r="O7943" i="1" s="1"/>
  <c r="A7948" i="1"/>
  <c r="P7966" i="1" a="1"/>
  <c r="P7966" i="1" s="1"/>
  <c r="B7967" i="1"/>
  <c r="M7966" i="1" a="1"/>
  <c r="M7966" i="1" s="1"/>
  <c r="N7966" i="1" a="1"/>
  <c r="N7966" i="1" s="1"/>
  <c r="R7966" i="1" a="1"/>
  <c r="R7966" i="1" s="1"/>
  <c r="J7966" i="1" a="1"/>
  <c r="J7966" i="1" s="1"/>
  <c r="S7966" i="1" a="1"/>
  <c r="S7966" i="1" s="1"/>
  <c r="K7966" i="1" a="1"/>
  <c r="K7966" i="1" s="1"/>
  <c r="Q7966" i="1" a="1"/>
  <c r="Q7966" i="1" s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L7944" i="1" l="1" a="1"/>
  <c r="L7944" i="1" s="1"/>
  <c r="I7944" i="1" a="1"/>
  <c r="I7944" i="1" s="1"/>
  <c r="C7945" i="1"/>
  <c r="H7944" i="1"/>
  <c r="O7944" i="1" a="1"/>
  <c r="O7944" i="1" s="1"/>
  <c r="A7949" i="1"/>
  <c r="B7968" i="1"/>
  <c r="J7967" i="1" a="1"/>
  <c r="J7967" i="1" s="1"/>
  <c r="P7967" i="1" a="1"/>
  <c r="P7967" i="1" s="1"/>
  <c r="K7967" i="1" a="1"/>
  <c r="K7967" i="1" s="1"/>
  <c r="R7967" i="1" a="1"/>
  <c r="R7967" i="1" s="1"/>
  <c r="M7967" i="1" a="1"/>
  <c r="M7967" i="1" s="1"/>
  <c r="S7967" i="1" a="1"/>
  <c r="S7967" i="1" s="1"/>
  <c r="N7967" i="1" a="1"/>
  <c r="N7967" i="1" s="1"/>
  <c r="Q7967" i="1" a="1"/>
  <c r="Q7967" i="1" s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L7945" i="1" l="1" a="1"/>
  <c r="L7945" i="1" s="1"/>
  <c r="I7945" i="1" a="1"/>
  <c r="I7945" i="1" s="1"/>
  <c r="C7946" i="1"/>
  <c r="H7945" i="1"/>
  <c r="O7945" i="1" a="1"/>
  <c r="O7945" i="1" s="1"/>
  <c r="B7969" i="1"/>
  <c r="N7968" i="1" a="1"/>
  <c r="N7968" i="1" s="1"/>
  <c r="P7968" i="1" a="1"/>
  <c r="P7968" i="1" s="1"/>
  <c r="K7968" i="1" a="1"/>
  <c r="K7968" i="1" s="1"/>
  <c r="R7968" i="1" a="1"/>
  <c r="R7968" i="1" s="1"/>
  <c r="M7968" i="1" a="1"/>
  <c r="M7968" i="1" s="1"/>
  <c r="S7968" i="1" a="1"/>
  <c r="S7968" i="1" s="1"/>
  <c r="J7968" i="1" a="1"/>
  <c r="J7968" i="1" s="1"/>
  <c r="Q7968" i="1" a="1"/>
  <c r="Q7968" i="1" s="1"/>
  <c r="A7950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L7946" i="1" l="1" a="1"/>
  <c r="L7946" i="1" s="1"/>
  <c r="I7946" i="1" a="1"/>
  <c r="I7946" i="1" s="1"/>
  <c r="H7946" i="1"/>
  <c r="O7946" i="1" a="1"/>
  <c r="O7946" i="1" s="1"/>
  <c r="C7947" i="1"/>
  <c r="N7969" i="1" a="1"/>
  <c r="N7969" i="1" s="1"/>
  <c r="B7970" i="1"/>
  <c r="P7969" i="1" a="1"/>
  <c r="P7969" i="1" s="1"/>
  <c r="K7969" i="1" a="1"/>
  <c r="K7969" i="1" s="1"/>
  <c r="Q7969" i="1" a="1"/>
  <c r="Q7969" i="1" s="1"/>
  <c r="R7969" i="1" a="1"/>
  <c r="R7969" i="1" s="1"/>
  <c r="S7969" i="1" a="1"/>
  <c r="S7969" i="1" s="1"/>
  <c r="M7969" i="1" a="1"/>
  <c r="M7969" i="1" s="1"/>
  <c r="J7969" i="1" a="1"/>
  <c r="J7969" i="1" s="1"/>
  <c r="A7951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L7947" i="1" l="1" a="1"/>
  <c r="L7947" i="1" s="1"/>
  <c r="I7947" i="1" a="1"/>
  <c r="I7947" i="1" s="1"/>
  <c r="C7948" i="1"/>
  <c r="H7947" i="1"/>
  <c r="O7947" i="1" a="1"/>
  <c r="O7947" i="1" s="1"/>
  <c r="A7952" i="1"/>
  <c r="B7971" i="1"/>
  <c r="N7970" i="1" a="1"/>
  <c r="N7970" i="1" s="1"/>
  <c r="K7970" i="1" a="1"/>
  <c r="K7970" i="1" s="1"/>
  <c r="Q7970" i="1" a="1"/>
  <c r="Q7970" i="1" s="1"/>
  <c r="R7970" i="1" a="1"/>
  <c r="R7970" i="1" s="1"/>
  <c r="S7970" i="1" a="1"/>
  <c r="S7970" i="1" s="1"/>
  <c r="M7970" i="1" a="1"/>
  <c r="M7970" i="1" s="1"/>
  <c r="P7970" i="1" a="1"/>
  <c r="P7970" i="1" s="1"/>
  <c r="J7970" i="1" a="1"/>
  <c r="J7970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L7948" i="1" l="1" a="1"/>
  <c r="L7948" i="1" s="1"/>
  <c r="I7948" i="1" a="1"/>
  <c r="I7948" i="1" s="1"/>
  <c r="O7948" i="1" a="1"/>
  <c r="O7948" i="1" s="1"/>
  <c r="C7949" i="1"/>
  <c r="H7948" i="1"/>
  <c r="B7972" i="1"/>
  <c r="N7971" i="1" a="1"/>
  <c r="N7971" i="1" s="1"/>
  <c r="Q7971" i="1" a="1"/>
  <c r="Q7971" i="1" s="1"/>
  <c r="K7971" i="1" a="1"/>
  <c r="K7971" i="1" s="1"/>
  <c r="R7971" i="1" a="1"/>
  <c r="R7971" i="1" s="1"/>
  <c r="M7971" i="1" a="1"/>
  <c r="M7971" i="1" s="1"/>
  <c r="S7971" i="1" a="1"/>
  <c r="S7971" i="1" s="1"/>
  <c r="J7971" i="1" a="1"/>
  <c r="J7971" i="1" s="1"/>
  <c r="P7971" i="1" a="1"/>
  <c r="P7971" i="1" s="1"/>
  <c r="A7953" i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L7949" i="1" l="1" a="1"/>
  <c r="L7949" i="1" s="1"/>
  <c r="I7949" i="1" a="1"/>
  <c r="I7949" i="1" s="1"/>
  <c r="H7949" i="1"/>
  <c r="C7950" i="1"/>
  <c r="O7949" i="1" a="1"/>
  <c r="O7949" i="1" s="1"/>
  <c r="A7954" i="1"/>
  <c r="B7973" i="1"/>
  <c r="N7972" i="1" a="1"/>
  <c r="N7972" i="1" s="1"/>
  <c r="J7972" i="1" a="1"/>
  <c r="J7972" i="1" s="1"/>
  <c r="Q7972" i="1" a="1"/>
  <c r="Q7972" i="1" s="1"/>
  <c r="K7972" i="1" a="1"/>
  <c r="K7972" i="1" s="1"/>
  <c r="R7972" i="1" a="1"/>
  <c r="R7972" i="1" s="1"/>
  <c r="M7972" i="1" a="1"/>
  <c r="M7972" i="1" s="1"/>
  <c r="S7972" i="1" a="1"/>
  <c r="S7972" i="1" s="1"/>
  <c r="P7972" i="1" a="1"/>
  <c r="P7972" i="1" s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L7950" i="1" l="1" a="1"/>
  <c r="L7950" i="1" s="1"/>
  <c r="I7950" i="1" a="1"/>
  <c r="I7950" i="1" s="1"/>
  <c r="H7950" i="1"/>
  <c r="C7951" i="1"/>
  <c r="O7950" i="1" a="1"/>
  <c r="O7950" i="1" s="1"/>
  <c r="M7973" i="1" a="1"/>
  <c r="M7973" i="1" s="1"/>
  <c r="N7973" i="1" a="1"/>
  <c r="N7973" i="1" s="1"/>
  <c r="B7974" i="1"/>
  <c r="J7973" i="1" a="1"/>
  <c r="J7973" i="1" s="1"/>
  <c r="K7973" i="1" a="1"/>
  <c r="K7973" i="1" s="1"/>
  <c r="Q7973" i="1" a="1"/>
  <c r="Q7973" i="1" s="1"/>
  <c r="R7973" i="1" a="1"/>
  <c r="R7973" i="1" s="1"/>
  <c r="S7973" i="1" a="1"/>
  <c r="S7973" i="1" s="1"/>
  <c r="P7973" i="1" a="1"/>
  <c r="P7973" i="1" s="1"/>
  <c r="A7955" i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L7951" i="1" l="1" a="1"/>
  <c r="L7951" i="1" s="1"/>
  <c r="I7951" i="1" a="1"/>
  <c r="I7951" i="1" s="1"/>
  <c r="H7951" i="1"/>
  <c r="C7952" i="1"/>
  <c r="O7951" i="1" a="1"/>
  <c r="O7951" i="1" s="1"/>
  <c r="A7956" i="1"/>
  <c r="B7975" i="1"/>
  <c r="M7974" i="1" a="1"/>
  <c r="M7974" i="1" s="1"/>
  <c r="N7974" i="1" a="1"/>
  <c r="N7974" i="1" s="1"/>
  <c r="J7974" i="1" a="1"/>
  <c r="J7974" i="1" s="1"/>
  <c r="P7974" i="1" a="1"/>
  <c r="P7974" i="1" s="1"/>
  <c r="K7974" i="1" a="1"/>
  <c r="K7974" i="1" s="1"/>
  <c r="Q7974" i="1" a="1"/>
  <c r="Q7974" i="1" s="1"/>
  <c r="R7974" i="1" a="1"/>
  <c r="R7974" i="1" s="1"/>
  <c r="S7974" i="1" a="1"/>
  <c r="S7974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L7952" i="1" l="1" a="1"/>
  <c r="L7952" i="1" s="1"/>
  <c r="I7952" i="1" a="1"/>
  <c r="I7952" i="1" s="1"/>
  <c r="H7952" i="1"/>
  <c r="O7952" i="1" a="1"/>
  <c r="O7952" i="1" s="1"/>
  <c r="C7953" i="1"/>
  <c r="B7976" i="1"/>
  <c r="M7975" i="1" a="1"/>
  <c r="M7975" i="1" s="1"/>
  <c r="S7975" i="1" a="1"/>
  <c r="S7975" i="1" s="1"/>
  <c r="N7975" i="1" a="1"/>
  <c r="N7975" i="1" s="1"/>
  <c r="J7975" i="1" a="1"/>
  <c r="J7975" i="1" s="1"/>
  <c r="P7975" i="1" a="1"/>
  <c r="P7975" i="1" s="1"/>
  <c r="Q7975" i="1" a="1"/>
  <c r="Q7975" i="1" s="1"/>
  <c r="K7975" i="1" a="1"/>
  <c r="K7975" i="1" s="1"/>
  <c r="R7975" i="1" a="1"/>
  <c r="R7975" i="1" s="1"/>
  <c r="A7957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L7953" i="1" l="1" a="1"/>
  <c r="L7953" i="1" s="1"/>
  <c r="I7953" i="1" a="1"/>
  <c r="I7953" i="1" s="1"/>
  <c r="C7954" i="1"/>
  <c r="H7953" i="1"/>
  <c r="O7953" i="1" a="1"/>
  <c r="O7953" i="1" s="1"/>
  <c r="A7958" i="1"/>
  <c r="B7977" i="1"/>
  <c r="M7976" i="1" a="1"/>
  <c r="M7976" i="1" s="1"/>
  <c r="S7976" i="1" a="1"/>
  <c r="S7976" i="1" s="1"/>
  <c r="N7976" i="1" a="1"/>
  <c r="N7976" i="1" s="1"/>
  <c r="P7976" i="1" a="1"/>
  <c r="P7976" i="1" s="1"/>
  <c r="J7976" i="1" a="1"/>
  <c r="J7976" i="1" s="1"/>
  <c r="Q7976" i="1" a="1"/>
  <c r="Q7976" i="1" s="1"/>
  <c r="K7976" i="1" a="1"/>
  <c r="K7976" i="1" s="1"/>
  <c r="R7976" i="1" a="1"/>
  <c r="R7976" i="1" s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L7954" i="1" l="1" a="1"/>
  <c r="L7954" i="1" s="1"/>
  <c r="I7954" i="1" a="1"/>
  <c r="I7954" i="1" s="1"/>
  <c r="H7954" i="1"/>
  <c r="O7954" i="1" a="1"/>
  <c r="O7954" i="1" s="1"/>
  <c r="C7955" i="1"/>
  <c r="S7977" i="1" a="1"/>
  <c r="S7977" i="1" s="1"/>
  <c r="M7977" i="1" a="1"/>
  <c r="M7977" i="1" s="1"/>
  <c r="N7977" i="1" a="1"/>
  <c r="N7977" i="1" s="1"/>
  <c r="B7978" i="1"/>
  <c r="P7977" i="1" a="1"/>
  <c r="P7977" i="1" s="1"/>
  <c r="J7977" i="1" a="1"/>
  <c r="J7977" i="1" s="1"/>
  <c r="K7977" i="1" a="1"/>
  <c r="K7977" i="1" s="1"/>
  <c r="Q7977" i="1" a="1"/>
  <c r="Q7977" i="1" s="1"/>
  <c r="R7977" i="1" a="1"/>
  <c r="R7977" i="1" s="1"/>
  <c r="A7959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L7955" i="1" l="1" a="1"/>
  <c r="L7955" i="1" s="1"/>
  <c r="I7955" i="1" a="1"/>
  <c r="I7955" i="1" s="1"/>
  <c r="H7955" i="1"/>
  <c r="C7956" i="1"/>
  <c r="O7955" i="1" a="1"/>
  <c r="O7955" i="1" s="1"/>
  <c r="A7960" i="1"/>
  <c r="B7979" i="1"/>
  <c r="S7978" i="1" a="1"/>
  <c r="S7978" i="1" s="1"/>
  <c r="M7978" i="1" a="1"/>
  <c r="M7978" i="1" s="1"/>
  <c r="N7978" i="1" a="1"/>
  <c r="N7978" i="1" s="1"/>
  <c r="J7978" i="1" a="1"/>
  <c r="J7978" i="1" s="1"/>
  <c r="P7978" i="1" a="1"/>
  <c r="P7978" i="1" s="1"/>
  <c r="K7978" i="1" a="1"/>
  <c r="K7978" i="1" s="1"/>
  <c r="Q7978" i="1" a="1"/>
  <c r="Q7978" i="1" s="1"/>
  <c r="R7978" i="1" a="1"/>
  <c r="R7978" i="1" s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L7956" i="1" l="1" a="1"/>
  <c r="L7956" i="1" s="1"/>
  <c r="I7956" i="1" a="1"/>
  <c r="I7956" i="1" s="1"/>
  <c r="C7957" i="1"/>
  <c r="H7956" i="1"/>
  <c r="O7956" i="1" a="1"/>
  <c r="O7956" i="1" s="1"/>
  <c r="B7980" i="1"/>
  <c r="M7979" i="1" a="1"/>
  <c r="M7979" i="1" s="1"/>
  <c r="S7979" i="1" a="1"/>
  <c r="S7979" i="1" s="1"/>
  <c r="N7979" i="1" a="1"/>
  <c r="N7979" i="1" s="1"/>
  <c r="J7979" i="1" a="1"/>
  <c r="J7979" i="1" s="1"/>
  <c r="P7979" i="1" a="1"/>
  <c r="P7979" i="1" s="1"/>
  <c r="Q7979" i="1" a="1"/>
  <c r="Q7979" i="1" s="1"/>
  <c r="K7979" i="1" a="1"/>
  <c r="K7979" i="1" s="1"/>
  <c r="R7979" i="1" a="1"/>
  <c r="R7979" i="1" s="1"/>
  <c r="A7961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L7957" i="1" l="1" a="1"/>
  <c r="L7957" i="1" s="1"/>
  <c r="I7957" i="1" a="1"/>
  <c r="I7957" i="1" s="1"/>
  <c r="C7958" i="1"/>
  <c r="H7957" i="1"/>
  <c r="O7957" i="1" a="1"/>
  <c r="O7957" i="1" s="1"/>
  <c r="A7962" i="1"/>
  <c r="B7981" i="1"/>
  <c r="P7980" i="1" a="1"/>
  <c r="P7980" i="1" s="1"/>
  <c r="K7980" i="1" a="1"/>
  <c r="K7980" i="1" s="1"/>
  <c r="Q7980" i="1" a="1"/>
  <c r="Q7980" i="1" s="1"/>
  <c r="N7980" i="1" a="1"/>
  <c r="N7980" i="1" s="1"/>
  <c r="S7980" i="1" a="1"/>
  <c r="S7980" i="1" s="1"/>
  <c r="J7980" i="1" a="1"/>
  <c r="J7980" i="1" s="1"/>
  <c r="M7980" i="1" a="1"/>
  <c r="M7980" i="1" s="1"/>
  <c r="R7980" i="1" a="1"/>
  <c r="R7980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L7958" i="1" l="1" a="1"/>
  <c r="L7958" i="1" s="1"/>
  <c r="I7958" i="1" a="1"/>
  <c r="I7958" i="1" s="1"/>
  <c r="C7959" i="1"/>
  <c r="H7958" i="1"/>
  <c r="O7958" i="1" a="1"/>
  <c r="O7958" i="1" s="1"/>
  <c r="S7981" i="1" a="1"/>
  <c r="S7981" i="1" s="1"/>
  <c r="N7981" i="1" a="1"/>
  <c r="N7981" i="1" s="1"/>
  <c r="B7982" i="1"/>
  <c r="K7981" i="1" a="1"/>
  <c r="K7981" i="1" s="1"/>
  <c r="Q7981" i="1" a="1"/>
  <c r="Q7981" i="1" s="1"/>
  <c r="M7981" i="1" a="1"/>
  <c r="M7981" i="1" s="1"/>
  <c r="R7981" i="1" a="1"/>
  <c r="R7981" i="1" s="1"/>
  <c r="J7981" i="1" a="1"/>
  <c r="J7981" i="1" s="1"/>
  <c r="P7981" i="1" a="1"/>
  <c r="P7981" i="1" s="1"/>
  <c r="A7963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L7959" i="1" l="1" a="1"/>
  <c r="L7959" i="1" s="1"/>
  <c r="I7959" i="1" a="1"/>
  <c r="I7959" i="1" s="1"/>
  <c r="C7960" i="1"/>
  <c r="H7959" i="1"/>
  <c r="O7959" i="1" a="1"/>
  <c r="O7959" i="1" s="1"/>
  <c r="A7964" i="1"/>
  <c r="Q7982" i="1" a="1"/>
  <c r="Q7982" i="1" s="1"/>
  <c r="R7982" i="1" a="1"/>
  <c r="R7982" i="1" s="1"/>
  <c r="N7982" i="1" a="1"/>
  <c r="N7982" i="1" s="1"/>
  <c r="J7982" i="1" a="1"/>
  <c r="J7982" i="1" s="1"/>
  <c r="B7983" i="1"/>
  <c r="K7982" i="1" a="1"/>
  <c r="K7982" i="1" s="1"/>
  <c r="P7982" i="1" a="1"/>
  <c r="P7982" i="1" s="1"/>
  <c r="M7982" i="1" a="1"/>
  <c r="M7982" i="1" s="1"/>
  <c r="S7982" i="1" a="1"/>
  <c r="S7982" i="1" s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L7960" i="1" l="1" a="1"/>
  <c r="L7960" i="1" s="1"/>
  <c r="I7960" i="1" a="1"/>
  <c r="I7960" i="1" s="1"/>
  <c r="O7960" i="1" a="1"/>
  <c r="O7960" i="1" s="1"/>
  <c r="H7960" i="1"/>
  <c r="C7961" i="1"/>
  <c r="J7983" i="1" a="1"/>
  <c r="J7983" i="1" s="1"/>
  <c r="B7984" i="1"/>
  <c r="Q7983" i="1" a="1"/>
  <c r="Q7983" i="1" s="1"/>
  <c r="R7983" i="1" a="1"/>
  <c r="R7983" i="1" s="1"/>
  <c r="M7983" i="1" a="1"/>
  <c r="M7983" i="1" s="1"/>
  <c r="N7983" i="1" a="1"/>
  <c r="N7983" i="1" s="1"/>
  <c r="S7983" i="1" a="1"/>
  <c r="S7983" i="1" s="1"/>
  <c r="K7983" i="1" a="1"/>
  <c r="K7983" i="1" s="1"/>
  <c r="P7983" i="1" a="1"/>
  <c r="P7983" i="1" s="1"/>
  <c r="A7965" i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L7961" i="1" l="1" a="1"/>
  <c r="L7961" i="1" s="1"/>
  <c r="I7961" i="1" a="1"/>
  <c r="I7961" i="1" s="1"/>
  <c r="C7962" i="1"/>
  <c r="H7961" i="1"/>
  <c r="O7961" i="1" a="1"/>
  <c r="O7961" i="1" s="1"/>
  <c r="A7966" i="1"/>
  <c r="K7984" i="1" a="1"/>
  <c r="K7984" i="1" s="1"/>
  <c r="S7984" i="1" a="1"/>
  <c r="S7984" i="1" s="1"/>
  <c r="B7985" i="1"/>
  <c r="M7984" i="1" a="1"/>
  <c r="M7984" i="1" s="1"/>
  <c r="Q7984" i="1" a="1"/>
  <c r="Q7984" i="1" s="1"/>
  <c r="J7984" i="1" a="1"/>
  <c r="J7984" i="1" s="1"/>
  <c r="N7984" i="1" a="1"/>
  <c r="N7984" i="1" s="1"/>
  <c r="R7984" i="1" a="1"/>
  <c r="R7984" i="1" s="1"/>
  <c r="P7984" i="1" a="1"/>
  <c r="P7984" i="1" s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L7962" i="1" l="1" a="1"/>
  <c r="L7962" i="1" s="1"/>
  <c r="I7962" i="1" a="1"/>
  <c r="I7962" i="1" s="1"/>
  <c r="H7962" i="1"/>
  <c r="O7962" i="1" a="1"/>
  <c r="O7962" i="1" s="1"/>
  <c r="C7963" i="1"/>
  <c r="J7985" i="1" a="1"/>
  <c r="J7985" i="1" s="1"/>
  <c r="N7985" i="1" a="1"/>
  <c r="N7985" i="1" s="1"/>
  <c r="R7985" i="1" a="1"/>
  <c r="R7985" i="1" s="1"/>
  <c r="P7985" i="1" a="1"/>
  <c r="P7985" i="1" s="1"/>
  <c r="B7986" i="1"/>
  <c r="M7985" i="1" a="1"/>
  <c r="M7985" i="1" s="1"/>
  <c r="Q7985" i="1" a="1"/>
  <c r="Q7985" i="1" s="1"/>
  <c r="K7985" i="1" a="1"/>
  <c r="K7985" i="1" s="1"/>
  <c r="S7985" i="1" a="1"/>
  <c r="S7985" i="1" s="1"/>
  <c r="A7967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L7963" i="1" l="1" a="1"/>
  <c r="L7963" i="1" s="1"/>
  <c r="I7963" i="1" a="1"/>
  <c r="I7963" i="1" s="1"/>
  <c r="C7964" i="1"/>
  <c r="H7963" i="1"/>
  <c r="O7963" i="1" a="1"/>
  <c r="O7963" i="1" s="1"/>
  <c r="A7968" i="1"/>
  <c r="B7987" i="1"/>
  <c r="M7986" i="1" a="1"/>
  <c r="M7986" i="1" s="1"/>
  <c r="Q7986" i="1" a="1"/>
  <c r="Q7986" i="1" s="1"/>
  <c r="K7986" i="1" a="1"/>
  <c r="K7986" i="1" s="1"/>
  <c r="P7986" i="1" a="1"/>
  <c r="P7986" i="1" s="1"/>
  <c r="J7986" i="1" a="1"/>
  <c r="J7986" i="1" s="1"/>
  <c r="N7986" i="1" a="1"/>
  <c r="N7986" i="1" s="1"/>
  <c r="R7986" i="1" a="1"/>
  <c r="R7986" i="1" s="1"/>
  <c r="S7986" i="1" a="1"/>
  <c r="S7986" i="1" s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L7964" i="1" l="1" a="1"/>
  <c r="L7964" i="1" s="1"/>
  <c r="I7964" i="1" a="1"/>
  <c r="I7964" i="1" s="1"/>
  <c r="C7965" i="1"/>
  <c r="H7964" i="1"/>
  <c r="O7964" i="1" a="1"/>
  <c r="O7964" i="1" s="1"/>
  <c r="P7987" i="1" a="1"/>
  <c r="P7987" i="1" s="1"/>
  <c r="B7988" i="1"/>
  <c r="R7987" i="1" a="1"/>
  <c r="R7987" i="1" s="1"/>
  <c r="S7987" i="1" a="1"/>
  <c r="S7987" i="1" s="1"/>
  <c r="J7987" i="1" a="1"/>
  <c r="J7987" i="1" s="1"/>
  <c r="K7987" i="1" a="1"/>
  <c r="K7987" i="1" s="1"/>
  <c r="M7987" i="1" a="1"/>
  <c r="M7987" i="1" s="1"/>
  <c r="N7987" i="1" a="1"/>
  <c r="N7987" i="1" s="1"/>
  <c r="Q7987" i="1" a="1"/>
  <c r="Q7987" i="1" s="1"/>
  <c r="A7969" i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L7965" i="1" l="1" a="1"/>
  <c r="L7965" i="1" s="1"/>
  <c r="I7965" i="1" a="1"/>
  <c r="I7965" i="1" s="1"/>
  <c r="H7965" i="1"/>
  <c r="O7965" i="1" a="1"/>
  <c r="O7965" i="1" s="1"/>
  <c r="C7966" i="1"/>
  <c r="A7970" i="1"/>
  <c r="K7988" i="1" a="1"/>
  <c r="K7988" i="1" s="1"/>
  <c r="S7988" i="1" a="1"/>
  <c r="S7988" i="1" s="1"/>
  <c r="B7989" i="1"/>
  <c r="P7988" i="1" a="1"/>
  <c r="P7988" i="1" s="1"/>
  <c r="Q7988" i="1" a="1"/>
  <c r="Q7988" i="1" s="1"/>
  <c r="R7988" i="1" a="1"/>
  <c r="R7988" i="1" s="1"/>
  <c r="J7988" i="1" a="1"/>
  <c r="J7988" i="1" s="1"/>
  <c r="M7988" i="1" a="1"/>
  <c r="M7988" i="1" s="1"/>
  <c r="N7988" i="1" a="1"/>
  <c r="N7988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L7966" i="1" l="1" a="1"/>
  <c r="L7966" i="1" s="1"/>
  <c r="I7966" i="1" a="1"/>
  <c r="I7966" i="1" s="1"/>
  <c r="H7966" i="1"/>
  <c r="C7967" i="1"/>
  <c r="O7966" i="1" a="1"/>
  <c r="O7966" i="1" s="1"/>
  <c r="J7989" i="1" a="1"/>
  <c r="J7989" i="1" s="1"/>
  <c r="N7989" i="1" a="1"/>
  <c r="N7989" i="1" s="1"/>
  <c r="R7989" i="1" a="1"/>
  <c r="R7989" i="1" s="1"/>
  <c r="B7990" i="1"/>
  <c r="M7989" i="1" a="1"/>
  <c r="M7989" i="1" s="1"/>
  <c r="P7989" i="1" a="1"/>
  <c r="P7989" i="1" s="1"/>
  <c r="Q7989" i="1" a="1"/>
  <c r="Q7989" i="1" s="1"/>
  <c r="S7989" i="1" a="1"/>
  <c r="S7989" i="1" s="1"/>
  <c r="K7989" i="1" a="1"/>
  <c r="K7989" i="1" s="1"/>
  <c r="A7971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L7967" i="1" l="1" a="1"/>
  <c r="L7967" i="1" s="1"/>
  <c r="I7967" i="1" a="1"/>
  <c r="I7967" i="1" s="1"/>
  <c r="C7968" i="1"/>
  <c r="H7967" i="1"/>
  <c r="O7967" i="1" a="1"/>
  <c r="O7967" i="1" s="1"/>
  <c r="B7991" i="1"/>
  <c r="M7990" i="1" a="1"/>
  <c r="M7990" i="1" s="1"/>
  <c r="Q7990" i="1" a="1"/>
  <c r="Q7990" i="1" s="1"/>
  <c r="K7990" i="1" a="1"/>
  <c r="K7990" i="1" s="1"/>
  <c r="R7990" i="1" a="1"/>
  <c r="R7990" i="1" s="1"/>
  <c r="S7990" i="1" a="1"/>
  <c r="S7990" i="1" s="1"/>
  <c r="N7990" i="1" a="1"/>
  <c r="N7990" i="1" s="1"/>
  <c r="P7990" i="1" a="1"/>
  <c r="P7990" i="1" s="1"/>
  <c r="J7990" i="1" a="1"/>
  <c r="J7990" i="1" s="1"/>
  <c r="A7972" i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L7968" i="1" l="1" a="1"/>
  <c r="L7968" i="1" s="1"/>
  <c r="I7968" i="1" a="1"/>
  <c r="I7968" i="1" s="1"/>
  <c r="C7969" i="1"/>
  <c r="H7968" i="1"/>
  <c r="O7968" i="1" a="1"/>
  <c r="O7968" i="1" s="1"/>
  <c r="A7973" i="1"/>
  <c r="P7991" i="1" a="1"/>
  <c r="P7991" i="1" s="1"/>
  <c r="K7991" i="1" a="1"/>
  <c r="K7991" i="1" s="1"/>
  <c r="R7991" i="1" a="1"/>
  <c r="R7991" i="1" s="1"/>
  <c r="M7991" i="1" a="1"/>
  <c r="M7991" i="1" s="1"/>
  <c r="S7991" i="1" a="1"/>
  <c r="S7991" i="1" s="1"/>
  <c r="B7992" i="1"/>
  <c r="N7991" i="1" a="1"/>
  <c r="N7991" i="1" s="1"/>
  <c r="J7991" i="1" a="1"/>
  <c r="J7991" i="1" s="1"/>
  <c r="Q7991" i="1" a="1"/>
  <c r="Q7991" i="1" s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7969" i="1" l="1" a="1"/>
  <c r="L7969" i="1" s="1"/>
  <c r="I7969" i="1" a="1"/>
  <c r="I7969" i="1" s="1"/>
  <c r="H7969" i="1"/>
  <c r="O7969" i="1" a="1"/>
  <c r="O7969" i="1" s="1"/>
  <c r="C7970" i="1"/>
  <c r="A7974" i="1"/>
  <c r="K7992" i="1" a="1"/>
  <c r="K7992" i="1" s="1"/>
  <c r="Q7992" i="1" a="1"/>
  <c r="Q7992" i="1" s="1"/>
  <c r="R7992" i="1" a="1"/>
  <c r="R7992" i="1" s="1"/>
  <c r="M7992" i="1" a="1"/>
  <c r="M7992" i="1" s="1"/>
  <c r="S7992" i="1" a="1"/>
  <c r="S7992" i="1" s="1"/>
  <c r="N7992" i="1" a="1"/>
  <c r="N7992" i="1" s="1"/>
  <c r="B7993" i="1"/>
  <c r="J7992" i="1" a="1"/>
  <c r="J7992" i="1" s="1"/>
  <c r="P7992" i="1" a="1"/>
  <c r="P7992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L7970" i="1" l="1" a="1"/>
  <c r="L7970" i="1" s="1"/>
  <c r="I7970" i="1" a="1"/>
  <c r="I7970" i="1" s="1"/>
  <c r="C7971" i="1"/>
  <c r="O7970" i="1" a="1"/>
  <c r="O7970" i="1" s="1"/>
  <c r="H7970" i="1"/>
  <c r="A7975" i="1"/>
  <c r="N7993" i="1" a="1"/>
  <c r="N7993" i="1" s="1"/>
  <c r="J7993" i="1" a="1"/>
  <c r="J7993" i="1" s="1"/>
  <c r="S7993" i="1" a="1"/>
  <c r="S7993" i="1" s="1"/>
  <c r="K7993" i="1" a="1"/>
  <c r="K7993" i="1" s="1"/>
  <c r="P7993" i="1" a="1"/>
  <c r="P7993" i="1" s="1"/>
  <c r="B7994" i="1"/>
  <c r="Q7993" i="1" a="1"/>
  <c r="Q7993" i="1" s="1"/>
  <c r="M7993" i="1" a="1"/>
  <c r="M7993" i="1" s="1"/>
  <c r="R7993" i="1" a="1"/>
  <c r="R7993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L7971" i="1" l="1" a="1"/>
  <c r="L7971" i="1" s="1"/>
  <c r="I7971" i="1" a="1"/>
  <c r="I7971" i="1" s="1"/>
  <c r="O7971" i="1" a="1"/>
  <c r="O7971" i="1" s="1"/>
  <c r="C7972" i="1"/>
  <c r="H7971" i="1"/>
  <c r="B7995" i="1"/>
  <c r="J7994" i="1" a="1"/>
  <c r="J7994" i="1" s="1"/>
  <c r="S7994" i="1" a="1"/>
  <c r="S7994" i="1" s="1"/>
  <c r="K7994" i="1" a="1"/>
  <c r="K7994" i="1" s="1"/>
  <c r="P7994" i="1" a="1"/>
  <c r="P7994" i="1" s="1"/>
  <c r="Q7994" i="1" a="1"/>
  <c r="Q7994" i="1" s="1"/>
  <c r="M7994" i="1" a="1"/>
  <c r="M7994" i="1" s="1"/>
  <c r="R7994" i="1" a="1"/>
  <c r="R7994" i="1" s="1"/>
  <c r="N7994" i="1" a="1"/>
  <c r="N7994" i="1" s="1"/>
  <c r="A7976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L7972" i="1" l="1" a="1"/>
  <c r="L7972" i="1" s="1"/>
  <c r="I7972" i="1" a="1"/>
  <c r="I7972" i="1" s="1"/>
  <c r="H7972" i="1"/>
  <c r="O7972" i="1" a="1"/>
  <c r="O7972" i="1" s="1"/>
  <c r="C7973" i="1"/>
  <c r="A7977" i="1"/>
  <c r="K7995" i="1" a="1"/>
  <c r="K7995" i="1" s="1"/>
  <c r="P7995" i="1" a="1"/>
  <c r="P7995" i="1" s="1"/>
  <c r="B7996" i="1"/>
  <c r="Q7995" i="1" a="1"/>
  <c r="Q7995" i="1" s="1"/>
  <c r="M7995" i="1" a="1"/>
  <c r="M7995" i="1" s="1"/>
  <c r="R7995" i="1" a="1"/>
  <c r="R7995" i="1" s="1"/>
  <c r="N7995" i="1" a="1"/>
  <c r="N7995" i="1" s="1"/>
  <c r="J7995" i="1" a="1"/>
  <c r="J7995" i="1" s="1"/>
  <c r="S7995" i="1" a="1"/>
  <c r="S7995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973" i="1" l="1" a="1"/>
  <c r="L7973" i="1" s="1"/>
  <c r="I7973" i="1" a="1"/>
  <c r="I7973" i="1" s="1"/>
  <c r="C7974" i="1"/>
  <c r="H7973" i="1"/>
  <c r="O7973" i="1" a="1"/>
  <c r="O7973" i="1" s="1"/>
  <c r="P7996" i="1" a="1"/>
  <c r="P7996" i="1" s="1"/>
  <c r="B7997" i="1"/>
  <c r="Q7996" i="1" a="1"/>
  <c r="Q7996" i="1" s="1"/>
  <c r="M7996" i="1" a="1"/>
  <c r="M7996" i="1" s="1"/>
  <c r="R7996" i="1" a="1"/>
  <c r="R7996" i="1" s="1"/>
  <c r="N7996" i="1" a="1"/>
  <c r="N7996" i="1" s="1"/>
  <c r="S7996" i="1" a="1"/>
  <c r="S7996" i="1" s="1"/>
  <c r="J7996" i="1" a="1"/>
  <c r="J7996" i="1" s="1"/>
  <c r="K7996" i="1" a="1"/>
  <c r="K7996" i="1" s="1"/>
  <c r="A7978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L7974" i="1" l="1" a="1"/>
  <c r="L7974" i="1" s="1"/>
  <c r="I7974" i="1" a="1"/>
  <c r="I7974" i="1" s="1"/>
  <c r="H7974" i="1"/>
  <c r="C7975" i="1"/>
  <c r="O7974" i="1" a="1"/>
  <c r="O7974" i="1" s="1"/>
  <c r="A7979" i="1"/>
  <c r="Q7997" i="1" a="1"/>
  <c r="Q7997" i="1" s="1"/>
  <c r="M7997" i="1" a="1"/>
  <c r="M7997" i="1" s="1"/>
  <c r="R7997" i="1" a="1"/>
  <c r="R7997" i="1" s="1"/>
  <c r="N7997" i="1" a="1"/>
  <c r="N7997" i="1" s="1"/>
  <c r="J7997" i="1" a="1"/>
  <c r="J7997" i="1" s="1"/>
  <c r="S7997" i="1" a="1"/>
  <c r="S7997" i="1" s="1"/>
  <c r="K7997" i="1" a="1"/>
  <c r="K7997" i="1" s="1"/>
  <c r="P7997" i="1" a="1"/>
  <c r="P7997" i="1" s="1"/>
  <c r="B7998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L7975" i="1" l="1" a="1"/>
  <c r="L7975" i="1" s="1"/>
  <c r="I7975" i="1" a="1"/>
  <c r="I7975" i="1" s="1"/>
  <c r="C7976" i="1"/>
  <c r="O7975" i="1" a="1"/>
  <c r="O7975" i="1" s="1"/>
  <c r="H7975" i="1"/>
  <c r="B7999" i="1"/>
  <c r="M7998" i="1" a="1"/>
  <c r="M7998" i="1" s="1"/>
  <c r="R7998" i="1" a="1"/>
  <c r="R7998" i="1" s="1"/>
  <c r="N7998" i="1" a="1"/>
  <c r="N7998" i="1" s="1"/>
  <c r="J7998" i="1" a="1"/>
  <c r="J7998" i="1" s="1"/>
  <c r="S7998" i="1" a="1"/>
  <c r="S7998" i="1" s="1"/>
  <c r="K7998" i="1" a="1"/>
  <c r="K7998" i="1" s="1"/>
  <c r="P7998" i="1" a="1"/>
  <c r="P7998" i="1" s="1"/>
  <c r="Q7998" i="1" a="1"/>
  <c r="Q7998" i="1" s="1"/>
  <c r="A7980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L7976" i="1" l="1" a="1"/>
  <c r="L7976" i="1" s="1"/>
  <c r="I7976" i="1" a="1"/>
  <c r="I7976" i="1" s="1"/>
  <c r="H7976" i="1"/>
  <c r="O7976" i="1" a="1"/>
  <c r="O7976" i="1" s="1"/>
  <c r="C7977" i="1"/>
  <c r="R7999" i="1" a="1"/>
  <c r="R7999" i="1" s="1"/>
  <c r="N7999" i="1" a="1"/>
  <c r="N7999" i="1" s="1"/>
  <c r="J7999" i="1" a="1"/>
  <c r="J7999" i="1" s="1"/>
  <c r="S7999" i="1" a="1"/>
  <c r="S7999" i="1" s="1"/>
  <c r="K7999" i="1" a="1"/>
  <c r="K7999" i="1" s="1"/>
  <c r="P7999" i="1" a="1"/>
  <c r="P7999" i="1" s="1"/>
  <c r="B8000" i="1"/>
  <c r="Q7999" i="1" a="1"/>
  <c r="Q7999" i="1" s="1"/>
  <c r="M7999" i="1" a="1"/>
  <c r="M7999" i="1" s="1"/>
  <c r="A7981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977" i="1" l="1" a="1"/>
  <c r="L7977" i="1" s="1"/>
  <c r="I7977" i="1" a="1"/>
  <c r="I7977" i="1" s="1"/>
  <c r="C7978" i="1"/>
  <c r="H7977" i="1"/>
  <c r="O7977" i="1" a="1"/>
  <c r="O7977" i="1" s="1"/>
  <c r="A7982" i="1"/>
  <c r="N8000" i="1" a="1"/>
  <c r="N8000" i="1" s="1"/>
  <c r="S8000" i="1" a="1"/>
  <c r="S8000" i="1" s="1"/>
  <c r="J8000" i="1" a="1"/>
  <c r="J8000" i="1" s="1"/>
  <c r="K8000" i="1" a="1"/>
  <c r="K8000" i="1" s="1"/>
  <c r="P8000" i="1" a="1"/>
  <c r="P8000" i="1" s="1"/>
  <c r="B8001" i="1"/>
  <c r="Q8000" i="1" a="1"/>
  <c r="Q8000" i="1" s="1"/>
  <c r="M8000" i="1" a="1"/>
  <c r="M8000" i="1" s="1"/>
  <c r="R8000" i="1" a="1"/>
  <c r="R8000" i="1" s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L7978" i="1" l="1" a="1"/>
  <c r="L7978" i="1" s="1"/>
  <c r="I7978" i="1" a="1"/>
  <c r="I7978" i="1" s="1"/>
  <c r="O7978" i="1" a="1"/>
  <c r="O7978" i="1" s="1"/>
  <c r="H7978" i="1"/>
  <c r="C7979" i="1"/>
  <c r="K8001" i="1" a="1"/>
  <c r="K8001" i="1" s="1"/>
  <c r="P8001" i="1" a="1"/>
  <c r="P8001" i="1" s="1"/>
  <c r="B8002" i="1"/>
  <c r="Q8001" i="1" a="1"/>
  <c r="Q8001" i="1" s="1"/>
  <c r="M8001" i="1" a="1"/>
  <c r="M8001" i="1" s="1"/>
  <c r="R8001" i="1" a="1"/>
  <c r="R8001" i="1" s="1"/>
  <c r="N8001" i="1" a="1"/>
  <c r="N8001" i="1" s="1"/>
  <c r="J8001" i="1" a="1"/>
  <c r="J8001" i="1" s="1"/>
  <c r="S8001" i="1" a="1"/>
  <c r="S8001" i="1" s="1"/>
  <c r="A7983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L7979" i="1" l="1" a="1"/>
  <c r="L7979" i="1" s="1"/>
  <c r="I7979" i="1" a="1"/>
  <c r="I7979" i="1" s="1"/>
  <c r="C7980" i="1"/>
  <c r="O7979" i="1" a="1"/>
  <c r="O7979" i="1" s="1"/>
  <c r="H7979" i="1"/>
  <c r="A7984" i="1"/>
  <c r="B8003" i="1"/>
  <c r="K8002" i="1" a="1"/>
  <c r="K8002" i="1" s="1"/>
  <c r="P8002" i="1" a="1"/>
  <c r="P8002" i="1" s="1"/>
  <c r="Q8002" i="1" a="1"/>
  <c r="Q8002" i="1" s="1"/>
  <c r="M8002" i="1" a="1"/>
  <c r="M8002" i="1" s="1"/>
  <c r="R8002" i="1" a="1"/>
  <c r="R8002" i="1" s="1"/>
  <c r="N8002" i="1" a="1"/>
  <c r="N8002" i="1" s="1"/>
  <c r="J8002" i="1" a="1"/>
  <c r="J8002" i="1" s="1"/>
  <c r="S8002" i="1" a="1"/>
  <c r="S8002" i="1" s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L7980" i="1" l="1" a="1"/>
  <c r="L7980" i="1" s="1"/>
  <c r="I7980" i="1" a="1"/>
  <c r="I7980" i="1" s="1"/>
  <c r="O7980" i="1" a="1"/>
  <c r="O7980" i="1" s="1"/>
  <c r="H7980" i="1"/>
  <c r="C7981" i="1"/>
  <c r="Q8003" i="1" a="1"/>
  <c r="Q8003" i="1" s="1"/>
  <c r="M8003" i="1" a="1"/>
  <c r="M8003" i="1" s="1"/>
  <c r="R8003" i="1" a="1"/>
  <c r="R8003" i="1" s="1"/>
  <c r="N8003" i="1" a="1"/>
  <c r="N8003" i="1" s="1"/>
  <c r="J8003" i="1" a="1"/>
  <c r="J8003" i="1" s="1"/>
  <c r="S8003" i="1" a="1"/>
  <c r="S8003" i="1" s="1"/>
  <c r="K8003" i="1" a="1"/>
  <c r="K8003" i="1" s="1"/>
  <c r="P8003" i="1" a="1"/>
  <c r="P8003" i="1" s="1"/>
  <c r="B8004" i="1"/>
  <c r="A7985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981" i="1" l="1" a="1"/>
  <c r="L7981" i="1" s="1"/>
  <c r="I7981" i="1" a="1"/>
  <c r="I7981" i="1" s="1"/>
  <c r="C7982" i="1"/>
  <c r="H7981" i="1"/>
  <c r="O7981" i="1" a="1"/>
  <c r="O7981" i="1" s="1"/>
  <c r="A7986" i="1"/>
  <c r="Q8004" i="1" a="1"/>
  <c r="Q8004" i="1" s="1"/>
  <c r="M8004" i="1" a="1"/>
  <c r="M8004" i="1" s="1"/>
  <c r="R8004" i="1" a="1"/>
  <c r="R8004" i="1" s="1"/>
  <c r="N8004" i="1" a="1"/>
  <c r="N8004" i="1" s="1"/>
  <c r="S8004" i="1" a="1"/>
  <c r="S8004" i="1" s="1"/>
  <c r="J8004" i="1" a="1"/>
  <c r="J8004" i="1" s="1"/>
  <c r="K8004" i="1" a="1"/>
  <c r="K8004" i="1" s="1"/>
  <c r="P8004" i="1" a="1"/>
  <c r="P8004" i="1" s="1"/>
  <c r="B8005" i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7982" i="1" l="1" a="1"/>
  <c r="L7982" i="1" s="1"/>
  <c r="I7982" i="1" a="1"/>
  <c r="I7982" i="1" s="1"/>
  <c r="H7982" i="1"/>
  <c r="C7983" i="1"/>
  <c r="O7982" i="1" a="1"/>
  <c r="O7982" i="1" s="1"/>
  <c r="A7987" i="1"/>
  <c r="M8005" i="1" a="1"/>
  <c r="M8005" i="1" s="1"/>
  <c r="R8005" i="1" a="1"/>
  <c r="R8005" i="1" s="1"/>
  <c r="N8005" i="1" a="1"/>
  <c r="N8005" i="1" s="1"/>
  <c r="J8005" i="1" a="1"/>
  <c r="J8005" i="1" s="1"/>
  <c r="S8005" i="1" a="1"/>
  <c r="S8005" i="1" s="1"/>
  <c r="K8005" i="1" a="1"/>
  <c r="K8005" i="1" s="1"/>
  <c r="P8005" i="1" a="1"/>
  <c r="P8005" i="1" s="1"/>
  <c r="B8006" i="1"/>
  <c r="Q8005" i="1" a="1"/>
  <c r="Q8005" i="1" s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L7983" i="1" l="1" a="1"/>
  <c r="L7983" i="1" s="1"/>
  <c r="I7983" i="1" a="1"/>
  <c r="I7983" i="1" s="1"/>
  <c r="C7984" i="1"/>
  <c r="H7983" i="1"/>
  <c r="O7983" i="1" a="1"/>
  <c r="O7983" i="1" s="1"/>
  <c r="B8007" i="1"/>
  <c r="N8006" i="1" a="1"/>
  <c r="N8006" i="1" s="1"/>
  <c r="J8006" i="1" a="1"/>
  <c r="J8006" i="1" s="1"/>
  <c r="S8006" i="1" a="1"/>
  <c r="S8006" i="1" s="1"/>
  <c r="K8006" i="1" a="1"/>
  <c r="K8006" i="1" s="1"/>
  <c r="P8006" i="1" a="1"/>
  <c r="P8006" i="1" s="1"/>
  <c r="Q8006" i="1" a="1"/>
  <c r="Q8006" i="1" s="1"/>
  <c r="M8006" i="1" a="1"/>
  <c r="M8006" i="1" s="1"/>
  <c r="R8006" i="1" a="1"/>
  <c r="R8006" i="1" s="1"/>
  <c r="A7988" i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L7984" i="1" l="1" a="1"/>
  <c r="L7984" i="1" s="1"/>
  <c r="I7984" i="1" a="1"/>
  <c r="I7984" i="1" s="1"/>
  <c r="H7984" i="1"/>
  <c r="O7984" i="1" a="1"/>
  <c r="O7984" i="1" s="1"/>
  <c r="C7985" i="1"/>
  <c r="J8007" i="1" a="1"/>
  <c r="J8007" i="1" s="1"/>
  <c r="S8007" i="1" a="1"/>
  <c r="S8007" i="1" s="1"/>
  <c r="K8007" i="1" a="1"/>
  <c r="K8007" i="1" s="1"/>
  <c r="P8007" i="1" a="1"/>
  <c r="P8007" i="1" s="1"/>
  <c r="B8008" i="1"/>
  <c r="Q8007" i="1" a="1"/>
  <c r="Q8007" i="1" s="1"/>
  <c r="M8007" i="1" a="1"/>
  <c r="M8007" i="1" s="1"/>
  <c r="N8007" i="1" a="1"/>
  <c r="N8007" i="1" s="1"/>
  <c r="R8007" i="1" a="1"/>
  <c r="R8007" i="1" s="1"/>
  <c r="A7989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L7985" i="1" l="1" a="1"/>
  <c r="L7985" i="1" s="1"/>
  <c r="I7985" i="1" a="1"/>
  <c r="I7985" i="1" s="1"/>
  <c r="H7985" i="1"/>
  <c r="C7986" i="1"/>
  <c r="O7985" i="1" a="1"/>
  <c r="O7985" i="1" s="1"/>
  <c r="A7990" i="1"/>
  <c r="K8008" i="1" a="1"/>
  <c r="K8008" i="1" s="1"/>
  <c r="P8008" i="1" a="1"/>
  <c r="P8008" i="1" s="1"/>
  <c r="B8009" i="1"/>
  <c r="Q8008" i="1" a="1"/>
  <c r="Q8008" i="1" s="1"/>
  <c r="M8008" i="1" a="1"/>
  <c r="M8008" i="1" s="1"/>
  <c r="R8008" i="1" a="1"/>
  <c r="R8008" i="1" s="1"/>
  <c r="J8008" i="1" a="1"/>
  <c r="J8008" i="1" s="1"/>
  <c r="N8008" i="1" a="1"/>
  <c r="N8008" i="1" s="1"/>
  <c r="S8008" i="1" a="1"/>
  <c r="S8008" i="1" s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L7986" i="1" l="1" a="1"/>
  <c r="L7986" i="1" s="1"/>
  <c r="I7986" i="1" a="1"/>
  <c r="I7986" i="1" s="1"/>
  <c r="H7986" i="1"/>
  <c r="O7986" i="1" a="1"/>
  <c r="O7986" i="1" s="1"/>
  <c r="C7987" i="1"/>
  <c r="P8009" i="1" a="1"/>
  <c r="P8009" i="1" s="1"/>
  <c r="B8010" i="1"/>
  <c r="Q8009" i="1" a="1"/>
  <c r="Q8009" i="1" s="1"/>
  <c r="M8009" i="1" a="1"/>
  <c r="M8009" i="1" s="1"/>
  <c r="R8009" i="1" a="1"/>
  <c r="R8009" i="1" s="1"/>
  <c r="N8009" i="1" a="1"/>
  <c r="N8009" i="1" s="1"/>
  <c r="J8009" i="1" a="1"/>
  <c r="J8009" i="1" s="1"/>
  <c r="S8009" i="1" a="1"/>
  <c r="S8009" i="1" s="1"/>
  <c r="K8009" i="1" a="1"/>
  <c r="K8009" i="1" s="1"/>
  <c r="A7991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L7987" i="1" l="1" a="1"/>
  <c r="L7987" i="1" s="1"/>
  <c r="I7987" i="1" a="1"/>
  <c r="I7987" i="1" s="1"/>
  <c r="O7987" i="1" a="1"/>
  <c r="O7987" i="1" s="1"/>
  <c r="H7987" i="1"/>
  <c r="C7988" i="1"/>
  <c r="A7992" i="1"/>
  <c r="B8011" i="1"/>
  <c r="Q8010" i="1" a="1"/>
  <c r="Q8010" i="1" s="1"/>
  <c r="M8010" i="1" a="1"/>
  <c r="M8010" i="1" s="1"/>
  <c r="R8010" i="1" a="1"/>
  <c r="R8010" i="1" s="1"/>
  <c r="N8010" i="1" a="1"/>
  <c r="N8010" i="1" s="1"/>
  <c r="J8010" i="1" a="1"/>
  <c r="J8010" i="1" s="1"/>
  <c r="S8010" i="1" a="1"/>
  <c r="S8010" i="1" s="1"/>
  <c r="P8010" i="1" a="1"/>
  <c r="P8010" i="1" s="1"/>
  <c r="K8010" i="1" a="1"/>
  <c r="K8010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L7988" i="1" l="1" a="1"/>
  <c r="L7988" i="1" s="1"/>
  <c r="I7988" i="1" a="1"/>
  <c r="I7988" i="1" s="1"/>
  <c r="C7989" i="1"/>
  <c r="H7988" i="1"/>
  <c r="O7988" i="1" a="1"/>
  <c r="O7988" i="1" s="1"/>
  <c r="M8011" i="1" a="1"/>
  <c r="M8011" i="1" s="1"/>
  <c r="R8011" i="1" a="1"/>
  <c r="R8011" i="1" s="1"/>
  <c r="N8011" i="1" a="1"/>
  <c r="N8011" i="1" s="1"/>
  <c r="J8011" i="1" a="1"/>
  <c r="J8011" i="1" s="1"/>
  <c r="S8011" i="1" a="1"/>
  <c r="S8011" i="1" s="1"/>
  <c r="K8011" i="1" a="1"/>
  <c r="K8011" i="1" s="1"/>
  <c r="P8011" i="1" a="1"/>
  <c r="P8011" i="1" s="1"/>
  <c r="B8012" i="1"/>
  <c r="Q8011" i="1" a="1"/>
  <c r="Q8011" i="1" s="1"/>
  <c r="A7993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989" i="1" l="1" a="1"/>
  <c r="L7989" i="1" s="1"/>
  <c r="I7989" i="1" a="1"/>
  <c r="I7989" i="1" s="1"/>
  <c r="O7989" i="1" a="1"/>
  <c r="O7989" i="1" s="1"/>
  <c r="C7990" i="1"/>
  <c r="H7989" i="1"/>
  <c r="R8012" i="1" a="1"/>
  <c r="R8012" i="1" s="1"/>
  <c r="N8012" i="1" a="1"/>
  <c r="N8012" i="1" s="1"/>
  <c r="S8012" i="1" a="1"/>
  <c r="S8012" i="1" s="1"/>
  <c r="J8012" i="1" a="1"/>
  <c r="J8012" i="1" s="1"/>
  <c r="K8012" i="1" a="1"/>
  <c r="K8012" i="1" s="1"/>
  <c r="P8012" i="1" a="1"/>
  <c r="P8012" i="1" s="1"/>
  <c r="B8013" i="1"/>
  <c r="M8012" i="1" a="1"/>
  <c r="M8012" i="1" s="1"/>
  <c r="Q8012" i="1" a="1"/>
  <c r="Q8012" i="1" s="1"/>
  <c r="A7994" i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L7990" i="1" l="1" a="1"/>
  <c r="L7990" i="1" s="1"/>
  <c r="I7990" i="1" a="1"/>
  <c r="I7990" i="1" s="1"/>
  <c r="C7991" i="1"/>
  <c r="O7990" i="1" a="1"/>
  <c r="O7990" i="1" s="1"/>
  <c r="H7990" i="1"/>
  <c r="J8013" i="1" a="1"/>
  <c r="J8013" i="1" s="1"/>
  <c r="S8013" i="1" a="1"/>
  <c r="S8013" i="1" s="1"/>
  <c r="K8013" i="1" a="1"/>
  <c r="K8013" i="1" s="1"/>
  <c r="P8013" i="1" a="1"/>
  <c r="P8013" i="1" s="1"/>
  <c r="B8014" i="1"/>
  <c r="Q8013" i="1" a="1"/>
  <c r="Q8013" i="1" s="1"/>
  <c r="N8013" i="1" a="1"/>
  <c r="N8013" i="1" s="1"/>
  <c r="R8013" i="1" a="1"/>
  <c r="R8013" i="1" s="1"/>
  <c r="M8013" i="1" a="1"/>
  <c r="M8013" i="1" s="1"/>
  <c r="A7995" i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L7991" i="1" l="1" a="1"/>
  <c r="L7991" i="1" s="1"/>
  <c r="I7991" i="1" a="1"/>
  <c r="I7991" i="1" s="1"/>
  <c r="O7991" i="1" a="1"/>
  <c r="O7991" i="1" s="1"/>
  <c r="H7991" i="1"/>
  <c r="C7992" i="1"/>
  <c r="B8015" i="1"/>
  <c r="K8014" i="1" a="1"/>
  <c r="K8014" i="1" s="1"/>
  <c r="P8014" i="1" a="1"/>
  <c r="P8014" i="1" s="1"/>
  <c r="M8014" i="1" a="1"/>
  <c r="M8014" i="1" s="1"/>
  <c r="Q8014" i="1" a="1"/>
  <c r="Q8014" i="1" s="1"/>
  <c r="R8014" i="1" a="1"/>
  <c r="R8014" i="1" s="1"/>
  <c r="S8014" i="1" a="1"/>
  <c r="S8014" i="1" s="1"/>
  <c r="J8014" i="1" a="1"/>
  <c r="J8014" i="1" s="1"/>
  <c r="N8014" i="1" a="1"/>
  <c r="N8014" i="1" s="1"/>
  <c r="A7996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L7992" i="1" l="1" a="1"/>
  <c r="L7992" i="1" s="1"/>
  <c r="I7992" i="1" a="1"/>
  <c r="I7992" i="1" s="1"/>
  <c r="H7992" i="1"/>
  <c r="C7993" i="1"/>
  <c r="O7992" i="1" a="1"/>
  <c r="O7992" i="1" s="1"/>
  <c r="A7997" i="1"/>
  <c r="K8015" i="1" a="1"/>
  <c r="K8015" i="1" s="1"/>
  <c r="P8015" i="1" a="1"/>
  <c r="P8015" i="1" s="1"/>
  <c r="B8016" i="1"/>
  <c r="Q8015" i="1" a="1"/>
  <c r="Q8015" i="1" s="1"/>
  <c r="R8015" i="1" a="1"/>
  <c r="R8015" i="1" s="1"/>
  <c r="M8015" i="1" a="1"/>
  <c r="M8015" i="1" s="1"/>
  <c r="N8015" i="1" a="1"/>
  <c r="N8015" i="1" s="1"/>
  <c r="J8015" i="1" a="1"/>
  <c r="J8015" i="1" s="1"/>
  <c r="S8015" i="1" a="1"/>
  <c r="S8015" i="1" s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L7993" i="1" l="1" a="1"/>
  <c r="L7993" i="1" s="1"/>
  <c r="I7993" i="1" a="1"/>
  <c r="I7993" i="1" s="1"/>
  <c r="C7994" i="1"/>
  <c r="O7993" i="1" a="1"/>
  <c r="O7993" i="1" s="1"/>
  <c r="H7993" i="1"/>
  <c r="A7998" i="1"/>
  <c r="P8016" i="1" a="1"/>
  <c r="P8016" i="1" s="1"/>
  <c r="B8017" i="1"/>
  <c r="Q8016" i="1" a="1"/>
  <c r="Q8016" i="1" s="1"/>
  <c r="J8016" i="1" a="1"/>
  <c r="J8016" i="1" s="1"/>
  <c r="R8016" i="1" a="1"/>
  <c r="R8016" i="1" s="1"/>
  <c r="K8016" i="1" a="1"/>
  <c r="K8016" i="1" s="1"/>
  <c r="S8016" i="1" a="1"/>
  <c r="S8016" i="1" s="1"/>
  <c r="M8016" i="1" a="1"/>
  <c r="M8016" i="1" s="1"/>
  <c r="N8016" i="1" a="1"/>
  <c r="N8016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L7994" i="1" l="1" a="1"/>
  <c r="L7994" i="1" s="1"/>
  <c r="I7994" i="1" a="1"/>
  <c r="I7994" i="1" s="1"/>
  <c r="C7995" i="1"/>
  <c r="H7994" i="1"/>
  <c r="O7994" i="1" a="1"/>
  <c r="O7994" i="1" s="1"/>
  <c r="A7999" i="1"/>
  <c r="K8017" i="1" a="1"/>
  <c r="K8017" i="1" s="1"/>
  <c r="S8017" i="1" a="1"/>
  <c r="S8017" i="1" s="1"/>
  <c r="B8018" i="1"/>
  <c r="M8017" i="1" a="1"/>
  <c r="M8017" i="1" s="1"/>
  <c r="N8017" i="1" a="1"/>
  <c r="N8017" i="1" s="1"/>
  <c r="P8017" i="1" a="1"/>
  <c r="P8017" i="1" s="1"/>
  <c r="Q8017" i="1" a="1"/>
  <c r="Q8017" i="1" s="1"/>
  <c r="J8017" i="1" a="1"/>
  <c r="J8017" i="1" s="1"/>
  <c r="R8017" i="1" a="1"/>
  <c r="R8017" i="1" s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L7995" i="1" l="1" a="1"/>
  <c r="L7995" i="1" s="1"/>
  <c r="I7995" i="1" a="1"/>
  <c r="I7995" i="1" s="1"/>
  <c r="C7996" i="1"/>
  <c r="O7995" i="1" a="1"/>
  <c r="O7995" i="1" s="1"/>
  <c r="H7995" i="1"/>
  <c r="J8018" i="1" a="1"/>
  <c r="J8018" i="1" s="1"/>
  <c r="N8018" i="1" a="1"/>
  <c r="N8018" i="1" s="1"/>
  <c r="R8018" i="1" a="1"/>
  <c r="R8018" i="1" s="1"/>
  <c r="P8018" i="1" a="1"/>
  <c r="P8018" i="1" s="1"/>
  <c r="Q8018" i="1" a="1"/>
  <c r="Q8018" i="1" s="1"/>
  <c r="K8018" i="1" a="1"/>
  <c r="K8018" i="1" s="1"/>
  <c r="S8018" i="1" a="1"/>
  <c r="S8018" i="1" s="1"/>
  <c r="B8019" i="1"/>
  <c r="M8018" i="1" a="1"/>
  <c r="M8018" i="1" s="1"/>
  <c r="A8000" i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L7996" i="1" l="1" a="1"/>
  <c r="L7996" i="1" s="1"/>
  <c r="I7996" i="1" a="1"/>
  <c r="I7996" i="1" s="1"/>
  <c r="H7996" i="1"/>
  <c r="O7996" i="1" a="1"/>
  <c r="O7996" i="1" s="1"/>
  <c r="C7997" i="1"/>
  <c r="A8001" i="1"/>
  <c r="B8020" i="1"/>
  <c r="M8019" i="1" a="1"/>
  <c r="M8019" i="1" s="1"/>
  <c r="Q8019" i="1" a="1"/>
  <c r="Q8019" i="1" s="1"/>
  <c r="J8019" i="1" a="1"/>
  <c r="J8019" i="1" s="1"/>
  <c r="R8019" i="1" a="1"/>
  <c r="R8019" i="1" s="1"/>
  <c r="K8019" i="1" a="1"/>
  <c r="K8019" i="1" s="1"/>
  <c r="S8019" i="1" a="1"/>
  <c r="S8019" i="1" s="1"/>
  <c r="N8019" i="1" a="1"/>
  <c r="N8019" i="1" s="1"/>
  <c r="P8019" i="1" a="1"/>
  <c r="P8019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997" i="1" l="1" a="1"/>
  <c r="L7997" i="1" s="1"/>
  <c r="I7997" i="1" a="1"/>
  <c r="I7997" i="1" s="1"/>
  <c r="H7997" i="1"/>
  <c r="C7998" i="1"/>
  <c r="O7997" i="1" a="1"/>
  <c r="O7997" i="1" s="1"/>
  <c r="P8020" i="1" a="1"/>
  <c r="P8020" i="1" s="1"/>
  <c r="B8021" i="1"/>
  <c r="M8020" i="1" a="1"/>
  <c r="M8020" i="1" s="1"/>
  <c r="N8020" i="1" a="1"/>
  <c r="N8020" i="1" s="1"/>
  <c r="Q8020" i="1" a="1"/>
  <c r="Q8020" i="1" s="1"/>
  <c r="J8020" i="1" a="1"/>
  <c r="J8020" i="1" s="1"/>
  <c r="R8020" i="1" a="1"/>
  <c r="R8020" i="1" s="1"/>
  <c r="K8020" i="1" a="1"/>
  <c r="K8020" i="1" s="1"/>
  <c r="S8020" i="1" a="1"/>
  <c r="S8020" i="1" s="1"/>
  <c r="A8002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L7998" i="1" l="1" a="1"/>
  <c r="L7998" i="1" s="1"/>
  <c r="I7998" i="1" a="1"/>
  <c r="I7998" i="1" s="1"/>
  <c r="C7999" i="1"/>
  <c r="H7998" i="1"/>
  <c r="O7998" i="1" a="1"/>
  <c r="O7998" i="1" s="1"/>
  <c r="A8003" i="1"/>
  <c r="K8021" i="1" a="1"/>
  <c r="K8021" i="1" s="1"/>
  <c r="S8021" i="1" a="1"/>
  <c r="S8021" i="1" s="1"/>
  <c r="B8022" i="1"/>
  <c r="P8021" i="1" a="1"/>
  <c r="P8021" i="1" s="1"/>
  <c r="Q8021" i="1" a="1"/>
  <c r="Q8021" i="1" s="1"/>
  <c r="J8021" i="1" a="1"/>
  <c r="J8021" i="1" s="1"/>
  <c r="R8021" i="1" a="1"/>
  <c r="R8021" i="1" s="1"/>
  <c r="M8021" i="1" a="1"/>
  <c r="M8021" i="1" s="1"/>
  <c r="N8021" i="1" a="1"/>
  <c r="N8021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L7999" i="1" l="1" a="1"/>
  <c r="L7999" i="1" s="1"/>
  <c r="I7999" i="1" a="1"/>
  <c r="I7999" i="1" s="1"/>
  <c r="O7999" i="1" a="1"/>
  <c r="O7999" i="1" s="1"/>
  <c r="C8000" i="1"/>
  <c r="H7999" i="1"/>
  <c r="J8022" i="1" a="1"/>
  <c r="J8022" i="1" s="1"/>
  <c r="N8022" i="1" a="1"/>
  <c r="N8022" i="1" s="1"/>
  <c r="R8022" i="1" a="1"/>
  <c r="R8022" i="1" s="1"/>
  <c r="K8022" i="1" a="1"/>
  <c r="K8022" i="1" s="1"/>
  <c r="S8022" i="1" a="1"/>
  <c r="S8022" i="1" s="1"/>
  <c r="B8023" i="1"/>
  <c r="M8022" i="1" a="1"/>
  <c r="M8022" i="1" s="1"/>
  <c r="P8022" i="1" a="1"/>
  <c r="P8022" i="1" s="1"/>
  <c r="Q8022" i="1" a="1"/>
  <c r="Q8022" i="1" s="1"/>
  <c r="A8004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L8000" i="1" l="1" a="1"/>
  <c r="L8000" i="1" s="1"/>
  <c r="I8000" i="1" a="1"/>
  <c r="I8000" i="1" s="1"/>
  <c r="C8001" i="1"/>
  <c r="H8000" i="1"/>
  <c r="O8000" i="1" a="1"/>
  <c r="O8000" i="1" s="1"/>
  <c r="M8023" i="1" a="1"/>
  <c r="M8023" i="1" s="1"/>
  <c r="Q8023" i="1" a="1"/>
  <c r="Q8023" i="1" s="1"/>
  <c r="N8023" i="1" a="1"/>
  <c r="N8023" i="1" s="1"/>
  <c r="B8024" i="1"/>
  <c r="P8023" i="1" a="1"/>
  <c r="P8023" i="1" s="1"/>
  <c r="J8023" i="1" a="1"/>
  <c r="J8023" i="1" s="1"/>
  <c r="R8023" i="1" a="1"/>
  <c r="R8023" i="1" s="1"/>
  <c r="K8023" i="1" a="1"/>
  <c r="K8023" i="1" s="1"/>
  <c r="S8023" i="1" a="1"/>
  <c r="S8023" i="1" s="1"/>
  <c r="A8005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8001" i="1" l="1" a="1"/>
  <c r="L8001" i="1" s="1"/>
  <c r="I8001" i="1" a="1"/>
  <c r="I8001" i="1" s="1"/>
  <c r="C8002" i="1"/>
  <c r="H8001" i="1"/>
  <c r="O8001" i="1" a="1"/>
  <c r="O8001" i="1" s="1"/>
  <c r="A8006" i="1"/>
  <c r="P8024" i="1" a="1"/>
  <c r="P8024" i="1" s="1"/>
  <c r="M8024" i="1" a="1"/>
  <c r="M8024" i="1" s="1"/>
  <c r="N8024" i="1" a="1"/>
  <c r="N8024" i="1" s="1"/>
  <c r="S8024" i="1" a="1"/>
  <c r="S8024" i="1" s="1"/>
  <c r="J8024" i="1" a="1"/>
  <c r="J8024" i="1" s="1"/>
  <c r="B8025" i="1"/>
  <c r="K8024" i="1" a="1"/>
  <c r="K8024" i="1" s="1"/>
  <c r="Q8024" i="1" a="1"/>
  <c r="Q8024" i="1" s="1"/>
  <c r="R8024" i="1" a="1"/>
  <c r="R8024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L8002" i="1" l="1" a="1"/>
  <c r="L8002" i="1" s="1"/>
  <c r="I8002" i="1" a="1"/>
  <c r="I8002" i="1" s="1"/>
  <c r="C8003" i="1"/>
  <c r="H8002" i="1"/>
  <c r="O8002" i="1" a="1"/>
  <c r="O8002" i="1" s="1"/>
  <c r="K8025" i="1" a="1"/>
  <c r="K8025" i="1" s="1"/>
  <c r="S8025" i="1" a="1"/>
  <c r="S8025" i="1" s="1"/>
  <c r="B8026" i="1"/>
  <c r="P8025" i="1" a="1"/>
  <c r="P8025" i="1" s="1"/>
  <c r="Q8025" i="1" a="1"/>
  <c r="Q8025" i="1" s="1"/>
  <c r="M8025" i="1" a="1"/>
  <c r="M8025" i="1" s="1"/>
  <c r="R8025" i="1" a="1"/>
  <c r="R8025" i="1" s="1"/>
  <c r="N8025" i="1" a="1"/>
  <c r="N8025" i="1" s="1"/>
  <c r="J8025" i="1" a="1"/>
  <c r="J8025" i="1" s="1"/>
  <c r="A8007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L8003" i="1" l="1" a="1"/>
  <c r="L8003" i="1" s="1"/>
  <c r="I8003" i="1" a="1"/>
  <c r="I8003" i="1" s="1"/>
  <c r="C8004" i="1"/>
  <c r="H8003" i="1"/>
  <c r="O8003" i="1" a="1"/>
  <c r="O8003" i="1" s="1"/>
  <c r="A8008" i="1"/>
  <c r="J8026" i="1" a="1"/>
  <c r="J8026" i="1" s="1"/>
  <c r="N8026" i="1" a="1"/>
  <c r="N8026" i="1" s="1"/>
  <c r="R8026" i="1" a="1"/>
  <c r="R8026" i="1" s="1"/>
  <c r="S8026" i="1" a="1"/>
  <c r="S8026" i="1" s="1"/>
  <c r="B8027" i="1"/>
  <c r="P8026" i="1" a="1"/>
  <c r="P8026" i="1" s="1"/>
  <c r="K8026" i="1" a="1"/>
  <c r="K8026" i="1" s="1"/>
  <c r="Q8026" i="1" a="1"/>
  <c r="Q8026" i="1" s="1"/>
  <c r="M8026" i="1" a="1"/>
  <c r="M8026" i="1" s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L8004" i="1" l="1" a="1"/>
  <c r="L8004" i="1" s="1"/>
  <c r="I8004" i="1" a="1"/>
  <c r="I8004" i="1" s="1"/>
  <c r="H8004" i="1"/>
  <c r="O8004" i="1" a="1"/>
  <c r="O8004" i="1" s="1"/>
  <c r="C8005" i="1"/>
  <c r="M8027" i="1" a="1"/>
  <c r="M8027" i="1" s="1"/>
  <c r="Q8027" i="1" a="1"/>
  <c r="Q8027" i="1" s="1"/>
  <c r="R8027" i="1" a="1"/>
  <c r="R8027" i="1" s="1"/>
  <c r="S8027" i="1" a="1"/>
  <c r="S8027" i="1" s="1"/>
  <c r="N8027" i="1" a="1"/>
  <c r="N8027" i="1" s="1"/>
  <c r="J8027" i="1" a="1"/>
  <c r="J8027" i="1" s="1"/>
  <c r="B8028" i="1"/>
  <c r="K8027" i="1" a="1"/>
  <c r="K8027" i="1" s="1"/>
  <c r="P8027" i="1" a="1"/>
  <c r="P8027" i="1" s="1"/>
  <c r="A8009" i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L8005" i="1" l="1" a="1"/>
  <c r="L8005" i="1" s="1"/>
  <c r="I8005" i="1" a="1"/>
  <c r="I8005" i="1" s="1"/>
  <c r="C8006" i="1"/>
  <c r="H8005" i="1"/>
  <c r="O8005" i="1" a="1"/>
  <c r="O8005" i="1" s="1"/>
  <c r="A8010" i="1"/>
  <c r="P8028" i="1" a="1"/>
  <c r="P8028" i="1" s="1"/>
  <c r="J8028" i="1" a="1"/>
  <c r="J8028" i="1" s="1"/>
  <c r="B8029" i="1"/>
  <c r="K8028" i="1" a="1"/>
  <c r="K8028" i="1" s="1"/>
  <c r="Q8028" i="1" a="1"/>
  <c r="Q8028" i="1" s="1"/>
  <c r="R8028" i="1" a="1"/>
  <c r="R8028" i="1" s="1"/>
  <c r="M8028" i="1" a="1"/>
  <c r="M8028" i="1" s="1"/>
  <c r="N8028" i="1" a="1"/>
  <c r="N8028" i="1" s="1"/>
  <c r="S8028" i="1" a="1"/>
  <c r="S8028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L8006" i="1" l="1" a="1"/>
  <c r="L8006" i="1" s="1"/>
  <c r="I8006" i="1" a="1"/>
  <c r="I8006" i="1" s="1"/>
  <c r="O8006" i="1" a="1"/>
  <c r="O8006" i="1" s="1"/>
  <c r="C8007" i="1"/>
  <c r="H8006" i="1"/>
  <c r="K8029" i="1" a="1"/>
  <c r="K8029" i="1" s="1"/>
  <c r="S8029" i="1" a="1"/>
  <c r="S8029" i="1" s="1"/>
  <c r="B8030" i="1"/>
  <c r="M8029" i="1" a="1"/>
  <c r="M8029" i="1" s="1"/>
  <c r="R8029" i="1" a="1"/>
  <c r="R8029" i="1" s="1"/>
  <c r="N8029" i="1" a="1"/>
  <c r="N8029" i="1" s="1"/>
  <c r="J8029" i="1" a="1"/>
  <c r="J8029" i="1" s="1"/>
  <c r="P8029" i="1" a="1"/>
  <c r="P8029" i="1" s="1"/>
  <c r="Q8029" i="1" a="1"/>
  <c r="Q8029" i="1" s="1"/>
  <c r="A8011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L8007" i="1" l="1" a="1"/>
  <c r="L8007" i="1" s="1"/>
  <c r="I8007" i="1" a="1"/>
  <c r="I8007" i="1" s="1"/>
  <c r="C8008" i="1"/>
  <c r="H8007" i="1"/>
  <c r="O8007" i="1" a="1"/>
  <c r="O8007" i="1" s="1"/>
  <c r="A8012" i="1"/>
  <c r="J8030" i="1" a="1"/>
  <c r="J8030" i="1" s="1"/>
  <c r="N8030" i="1" a="1"/>
  <c r="N8030" i="1" s="1"/>
  <c r="R8030" i="1" a="1"/>
  <c r="R8030" i="1" s="1"/>
  <c r="B8031" i="1"/>
  <c r="P8030" i="1" a="1"/>
  <c r="P8030" i="1" s="1"/>
  <c r="K8030" i="1" a="1"/>
  <c r="K8030" i="1" s="1"/>
  <c r="Q8030" i="1" a="1"/>
  <c r="Q8030" i="1" s="1"/>
  <c r="M8030" i="1" a="1"/>
  <c r="M8030" i="1" s="1"/>
  <c r="S8030" i="1" a="1"/>
  <c r="S8030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L8008" i="1" l="1" a="1"/>
  <c r="L8008" i="1" s="1"/>
  <c r="I8008" i="1" a="1"/>
  <c r="I8008" i="1" s="1"/>
  <c r="O8008" i="1" a="1"/>
  <c r="O8008" i="1" s="1"/>
  <c r="C8009" i="1"/>
  <c r="H8008" i="1"/>
  <c r="A8013" i="1"/>
  <c r="M8031" i="1" a="1"/>
  <c r="M8031" i="1" s="1"/>
  <c r="Q8031" i="1" a="1"/>
  <c r="Q8031" i="1" s="1"/>
  <c r="R8031" i="1" a="1"/>
  <c r="R8031" i="1" s="1"/>
  <c r="S8031" i="1" a="1"/>
  <c r="S8031" i="1" s="1"/>
  <c r="N8031" i="1" a="1"/>
  <c r="N8031" i="1" s="1"/>
  <c r="J8031" i="1" a="1"/>
  <c r="J8031" i="1" s="1"/>
  <c r="B8032" i="1"/>
  <c r="K8031" i="1" a="1"/>
  <c r="K8031" i="1" s="1"/>
  <c r="P8031" i="1" a="1"/>
  <c r="P8031" i="1" s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L8009" i="1" l="1" a="1"/>
  <c r="L8009" i="1" s="1"/>
  <c r="I8009" i="1" a="1"/>
  <c r="I8009" i="1" s="1"/>
  <c r="C8010" i="1"/>
  <c r="H8009" i="1"/>
  <c r="O8009" i="1" a="1"/>
  <c r="O8009" i="1" s="1"/>
  <c r="P8032" i="1" a="1"/>
  <c r="P8032" i="1" s="1"/>
  <c r="K8032" i="1" a="1"/>
  <c r="K8032" i="1" s="1"/>
  <c r="Q8032" i="1" a="1"/>
  <c r="Q8032" i="1" s="1"/>
  <c r="R8032" i="1" a="1"/>
  <c r="R8032" i="1" s="1"/>
  <c r="M8032" i="1" a="1"/>
  <c r="M8032" i="1" s="1"/>
  <c r="N8032" i="1" a="1"/>
  <c r="N8032" i="1" s="1"/>
  <c r="S8032" i="1" a="1"/>
  <c r="S8032" i="1" s="1"/>
  <c r="J8032" i="1" a="1"/>
  <c r="J8032" i="1" s="1"/>
  <c r="B8033" i="1"/>
  <c r="A8014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L8010" i="1" l="1" a="1"/>
  <c r="L8010" i="1" s="1"/>
  <c r="I8010" i="1" a="1"/>
  <c r="I8010" i="1" s="1"/>
  <c r="C8011" i="1"/>
  <c r="O8010" i="1" a="1"/>
  <c r="O8010" i="1" s="1"/>
  <c r="H8010" i="1"/>
  <c r="K8033" i="1" a="1"/>
  <c r="K8033" i="1" s="1"/>
  <c r="S8033" i="1" a="1"/>
  <c r="S8033" i="1" s="1"/>
  <c r="B8034" i="1"/>
  <c r="N8033" i="1" a="1"/>
  <c r="N8033" i="1" s="1"/>
  <c r="J8033" i="1" a="1"/>
  <c r="J8033" i="1" s="1"/>
  <c r="P8033" i="1" a="1"/>
  <c r="P8033" i="1" s="1"/>
  <c r="Q8033" i="1" a="1"/>
  <c r="Q8033" i="1" s="1"/>
  <c r="M8033" i="1" a="1"/>
  <c r="M8033" i="1" s="1"/>
  <c r="R8033" i="1" a="1"/>
  <c r="R8033" i="1" s="1"/>
  <c r="A8015" i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L8011" i="1" l="1" a="1"/>
  <c r="L8011" i="1" s="1"/>
  <c r="I8011" i="1" a="1"/>
  <c r="I8011" i="1" s="1"/>
  <c r="O8011" i="1" a="1"/>
  <c r="O8011" i="1" s="1"/>
  <c r="C8012" i="1"/>
  <c r="H8011" i="1"/>
  <c r="J8034" i="1" a="1"/>
  <c r="J8034" i="1" s="1"/>
  <c r="N8034" i="1" a="1"/>
  <c r="N8034" i="1" s="1"/>
  <c r="R8034" i="1" a="1"/>
  <c r="R8034" i="1" s="1"/>
  <c r="K8034" i="1" a="1"/>
  <c r="K8034" i="1" s="1"/>
  <c r="Q8034" i="1" a="1"/>
  <c r="Q8034" i="1" s="1"/>
  <c r="M8034" i="1" a="1"/>
  <c r="M8034" i="1" s="1"/>
  <c r="S8034" i="1" a="1"/>
  <c r="S8034" i="1" s="1"/>
  <c r="B8035" i="1"/>
  <c r="P8034" i="1" a="1"/>
  <c r="P8034" i="1" s="1"/>
  <c r="A8016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L8012" i="1" l="1" a="1"/>
  <c r="L8012" i="1" s="1"/>
  <c r="I8012" i="1" a="1"/>
  <c r="I8012" i="1" s="1"/>
  <c r="C8013" i="1"/>
  <c r="H8012" i="1"/>
  <c r="O8012" i="1" a="1"/>
  <c r="O8012" i="1" s="1"/>
  <c r="A8017" i="1"/>
  <c r="M8035" i="1" a="1"/>
  <c r="M8035" i="1" s="1"/>
  <c r="Q8035" i="1" a="1"/>
  <c r="Q8035" i="1" s="1"/>
  <c r="N8035" i="1" a="1"/>
  <c r="N8035" i="1" s="1"/>
  <c r="J8035" i="1" a="1"/>
  <c r="J8035" i="1" s="1"/>
  <c r="B8036" i="1"/>
  <c r="K8035" i="1" a="1"/>
  <c r="K8035" i="1" s="1"/>
  <c r="P8035" i="1" a="1"/>
  <c r="P8035" i="1" s="1"/>
  <c r="R8035" i="1" a="1"/>
  <c r="R8035" i="1" s="1"/>
  <c r="S8035" i="1" a="1"/>
  <c r="S8035" i="1" s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8013" i="1" l="1" a="1"/>
  <c r="L8013" i="1" s="1"/>
  <c r="I8013" i="1" a="1"/>
  <c r="I8013" i="1" s="1"/>
  <c r="O8013" i="1" a="1"/>
  <c r="O8013" i="1" s="1"/>
  <c r="H8013" i="1"/>
  <c r="C8014" i="1"/>
  <c r="Q8036" i="1" a="1"/>
  <c r="Q8036" i="1" s="1"/>
  <c r="M8036" i="1" a="1"/>
  <c r="M8036" i="1" s="1"/>
  <c r="R8036" i="1" a="1"/>
  <c r="R8036" i="1" s="1"/>
  <c r="N8036" i="1" a="1"/>
  <c r="N8036" i="1" s="1"/>
  <c r="S8036" i="1" a="1"/>
  <c r="S8036" i="1" s="1"/>
  <c r="J8036" i="1" a="1"/>
  <c r="J8036" i="1" s="1"/>
  <c r="K8036" i="1" a="1"/>
  <c r="K8036" i="1" s="1"/>
  <c r="P8036" i="1" a="1"/>
  <c r="P8036" i="1" s="1"/>
  <c r="B8037" i="1"/>
  <c r="A8018" i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L8014" i="1" l="1" a="1"/>
  <c r="L8014" i="1" s="1"/>
  <c r="I8014" i="1" a="1"/>
  <c r="I8014" i="1" s="1"/>
  <c r="C8015" i="1"/>
  <c r="O8014" i="1" a="1"/>
  <c r="O8014" i="1" s="1"/>
  <c r="H8014" i="1"/>
  <c r="A8019" i="1"/>
  <c r="B8038" i="1"/>
  <c r="M8037" i="1" a="1"/>
  <c r="M8037" i="1" s="1"/>
  <c r="R8037" i="1" a="1"/>
  <c r="R8037" i="1" s="1"/>
  <c r="N8037" i="1" a="1"/>
  <c r="N8037" i="1" s="1"/>
  <c r="J8037" i="1" a="1"/>
  <c r="J8037" i="1" s="1"/>
  <c r="S8037" i="1" a="1"/>
  <c r="S8037" i="1" s="1"/>
  <c r="K8037" i="1" a="1"/>
  <c r="K8037" i="1" s="1"/>
  <c r="P8037" i="1" a="1"/>
  <c r="P8037" i="1" s="1"/>
  <c r="Q8037" i="1" a="1"/>
  <c r="Q8037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L8015" i="1" l="1" a="1"/>
  <c r="L8015" i="1" s="1"/>
  <c r="I8015" i="1" a="1"/>
  <c r="I8015" i="1" s="1"/>
  <c r="O8015" i="1" a="1"/>
  <c r="O8015" i="1" s="1"/>
  <c r="C8016" i="1"/>
  <c r="H8015" i="1"/>
  <c r="R8038" i="1" a="1"/>
  <c r="R8038" i="1" s="1"/>
  <c r="N8038" i="1" a="1"/>
  <c r="N8038" i="1" s="1"/>
  <c r="J8038" i="1" a="1"/>
  <c r="J8038" i="1" s="1"/>
  <c r="S8038" i="1" a="1"/>
  <c r="S8038" i="1" s="1"/>
  <c r="K8038" i="1" a="1"/>
  <c r="K8038" i="1" s="1"/>
  <c r="P8038" i="1" a="1"/>
  <c r="P8038" i="1" s="1"/>
  <c r="B8039" i="1"/>
  <c r="Q8038" i="1" a="1"/>
  <c r="Q8038" i="1" s="1"/>
  <c r="M8038" i="1" a="1"/>
  <c r="M8038" i="1" s="1"/>
  <c r="A8020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L8016" i="1" l="1" a="1"/>
  <c r="L8016" i="1" s="1"/>
  <c r="I8016" i="1" a="1"/>
  <c r="I8016" i="1" s="1"/>
  <c r="C8017" i="1"/>
  <c r="H8016" i="1"/>
  <c r="O8016" i="1" a="1"/>
  <c r="O8016" i="1" s="1"/>
  <c r="A8021" i="1"/>
  <c r="N8039" i="1" a="1"/>
  <c r="N8039" i="1" s="1"/>
  <c r="S8039" i="1" a="1"/>
  <c r="S8039" i="1" s="1"/>
  <c r="J8039" i="1" a="1"/>
  <c r="J8039" i="1" s="1"/>
  <c r="K8039" i="1" a="1"/>
  <c r="K8039" i="1" s="1"/>
  <c r="P8039" i="1" a="1"/>
  <c r="P8039" i="1" s="1"/>
  <c r="B8040" i="1"/>
  <c r="Q8039" i="1" a="1"/>
  <c r="Q8039" i="1" s="1"/>
  <c r="M8039" i="1" a="1"/>
  <c r="M8039" i="1" s="1"/>
  <c r="R8039" i="1" a="1"/>
  <c r="R8039" i="1" s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L8017" i="1" l="1" a="1"/>
  <c r="L8017" i="1" s="1"/>
  <c r="I8017" i="1" a="1"/>
  <c r="I8017" i="1" s="1"/>
  <c r="C8018" i="1"/>
  <c r="H8017" i="1"/>
  <c r="O8017" i="1" a="1"/>
  <c r="O8017" i="1" s="1"/>
  <c r="K8040" i="1" a="1"/>
  <c r="K8040" i="1" s="1"/>
  <c r="P8040" i="1" a="1"/>
  <c r="P8040" i="1" s="1"/>
  <c r="B8041" i="1"/>
  <c r="Q8040" i="1" a="1"/>
  <c r="Q8040" i="1" s="1"/>
  <c r="M8040" i="1" a="1"/>
  <c r="M8040" i="1" s="1"/>
  <c r="R8040" i="1" a="1"/>
  <c r="R8040" i="1" s="1"/>
  <c r="N8040" i="1" a="1"/>
  <c r="N8040" i="1" s="1"/>
  <c r="J8040" i="1" a="1"/>
  <c r="J8040" i="1" s="1"/>
  <c r="S8040" i="1" a="1"/>
  <c r="S8040" i="1" s="1"/>
  <c r="A8022" i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L8018" i="1" l="1" a="1"/>
  <c r="L8018" i="1" s="1"/>
  <c r="I8018" i="1" a="1"/>
  <c r="I8018" i="1" s="1"/>
  <c r="C8019" i="1"/>
  <c r="H8018" i="1"/>
  <c r="O8018" i="1" a="1"/>
  <c r="O8018" i="1" s="1"/>
  <c r="A8023" i="1"/>
  <c r="B8042" i="1"/>
  <c r="K8041" i="1" a="1"/>
  <c r="K8041" i="1" s="1"/>
  <c r="P8041" i="1" a="1"/>
  <c r="P8041" i="1" s="1"/>
  <c r="Q8041" i="1" a="1"/>
  <c r="Q8041" i="1" s="1"/>
  <c r="M8041" i="1" a="1"/>
  <c r="M8041" i="1" s="1"/>
  <c r="R8041" i="1" a="1"/>
  <c r="R8041" i="1" s="1"/>
  <c r="N8041" i="1" a="1"/>
  <c r="N8041" i="1" s="1"/>
  <c r="J8041" i="1" a="1"/>
  <c r="J8041" i="1" s="1"/>
  <c r="S8041" i="1" a="1"/>
  <c r="S8041" i="1" s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L8019" i="1" l="1" a="1"/>
  <c r="L8019" i="1" s="1"/>
  <c r="I8019" i="1" a="1"/>
  <c r="I8019" i="1" s="1"/>
  <c r="H8019" i="1"/>
  <c r="O8019" i="1" a="1"/>
  <c r="O8019" i="1" s="1"/>
  <c r="C8020" i="1"/>
  <c r="P8042" i="1" a="1"/>
  <c r="P8042" i="1" s="1"/>
  <c r="B8043" i="1"/>
  <c r="M8042" i="1" a="1"/>
  <c r="M8042" i="1" s="1"/>
  <c r="Q8042" i="1" a="1"/>
  <c r="Q8042" i="1" s="1"/>
  <c r="J8042" i="1" a="1"/>
  <c r="J8042" i="1" s="1"/>
  <c r="N8042" i="1" a="1"/>
  <c r="N8042" i="1" s="1"/>
  <c r="R8042" i="1" a="1"/>
  <c r="R8042" i="1" s="1"/>
  <c r="K8042" i="1" a="1"/>
  <c r="K8042" i="1" s="1"/>
  <c r="S8042" i="1" a="1"/>
  <c r="S8042" i="1" s="1"/>
  <c r="A8024" i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L8020" i="1" l="1" a="1"/>
  <c r="L8020" i="1" s="1"/>
  <c r="I8020" i="1" a="1"/>
  <c r="I8020" i="1" s="1"/>
  <c r="O8020" i="1" a="1"/>
  <c r="O8020" i="1" s="1"/>
  <c r="C8021" i="1"/>
  <c r="H8020" i="1"/>
  <c r="K8043" i="1" a="1"/>
  <c r="K8043" i="1" s="1"/>
  <c r="S8043" i="1" a="1"/>
  <c r="S8043" i="1" s="1"/>
  <c r="P8043" i="1" a="1"/>
  <c r="P8043" i="1" s="1"/>
  <c r="B8044" i="1"/>
  <c r="M8043" i="1" a="1"/>
  <c r="M8043" i="1" s="1"/>
  <c r="Q8043" i="1" a="1"/>
  <c r="Q8043" i="1" s="1"/>
  <c r="J8043" i="1" a="1"/>
  <c r="J8043" i="1" s="1"/>
  <c r="N8043" i="1" a="1"/>
  <c r="N8043" i="1" s="1"/>
  <c r="R8043" i="1" a="1"/>
  <c r="R8043" i="1" s="1"/>
  <c r="A8025" i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8021" i="1" l="1" a="1"/>
  <c r="L8021" i="1" s="1"/>
  <c r="I8021" i="1" a="1"/>
  <c r="I8021" i="1" s="1"/>
  <c r="H8021" i="1"/>
  <c r="O8021" i="1" a="1"/>
  <c r="O8021" i="1" s="1"/>
  <c r="C8022" i="1"/>
  <c r="A8026" i="1"/>
  <c r="J8044" i="1" a="1"/>
  <c r="J8044" i="1" s="1"/>
  <c r="N8044" i="1" a="1"/>
  <c r="N8044" i="1" s="1"/>
  <c r="R8044" i="1" a="1"/>
  <c r="R8044" i="1" s="1"/>
  <c r="K8044" i="1" a="1"/>
  <c r="K8044" i="1" s="1"/>
  <c r="S8044" i="1" a="1"/>
  <c r="S8044" i="1" s="1"/>
  <c r="P8044" i="1" a="1"/>
  <c r="P8044" i="1" s="1"/>
  <c r="B8045" i="1"/>
  <c r="M8044" i="1" a="1"/>
  <c r="M8044" i="1" s="1"/>
  <c r="Q8044" i="1" a="1"/>
  <c r="Q8044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L8022" i="1" l="1" a="1"/>
  <c r="L8022" i="1" s="1"/>
  <c r="I8022" i="1" a="1"/>
  <c r="I8022" i="1" s="1"/>
  <c r="C8023" i="1"/>
  <c r="H8022" i="1"/>
  <c r="O8022" i="1" a="1"/>
  <c r="O8022" i="1" s="1"/>
  <c r="B8046" i="1"/>
  <c r="M8045" i="1" a="1"/>
  <c r="M8045" i="1" s="1"/>
  <c r="Q8045" i="1" a="1"/>
  <c r="Q8045" i="1" s="1"/>
  <c r="J8045" i="1" a="1"/>
  <c r="J8045" i="1" s="1"/>
  <c r="N8045" i="1" a="1"/>
  <c r="N8045" i="1" s="1"/>
  <c r="R8045" i="1" a="1"/>
  <c r="R8045" i="1" s="1"/>
  <c r="K8045" i="1" a="1"/>
  <c r="K8045" i="1" s="1"/>
  <c r="S8045" i="1" a="1"/>
  <c r="S8045" i="1" s="1"/>
  <c r="P8045" i="1" a="1"/>
  <c r="P8045" i="1" s="1"/>
  <c r="A8027" i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L8023" i="1" l="1" a="1"/>
  <c r="L8023" i="1" s="1"/>
  <c r="I8023" i="1" a="1"/>
  <c r="I8023" i="1" s="1"/>
  <c r="H8023" i="1"/>
  <c r="C8024" i="1"/>
  <c r="O8023" i="1" a="1"/>
  <c r="O8023" i="1" s="1"/>
  <c r="A8028" i="1"/>
  <c r="P8046" i="1" a="1"/>
  <c r="P8046" i="1" s="1"/>
  <c r="B8047" i="1"/>
  <c r="J8046" i="1" a="1"/>
  <c r="J8046" i="1" s="1"/>
  <c r="N8046" i="1" a="1"/>
  <c r="N8046" i="1" s="1"/>
  <c r="R8046" i="1" a="1"/>
  <c r="R8046" i="1" s="1"/>
  <c r="S8046" i="1" a="1"/>
  <c r="S8046" i="1" s="1"/>
  <c r="K8046" i="1" a="1"/>
  <c r="K8046" i="1" s="1"/>
  <c r="M8046" i="1" a="1"/>
  <c r="M8046" i="1" s="1"/>
  <c r="Q8046" i="1" a="1"/>
  <c r="Q8046" i="1" s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L8024" i="1" l="1" a="1"/>
  <c r="L8024" i="1" s="1"/>
  <c r="I8024" i="1" a="1"/>
  <c r="I8024" i="1" s="1"/>
  <c r="O8024" i="1" a="1"/>
  <c r="O8024" i="1" s="1"/>
  <c r="C8025" i="1"/>
  <c r="H8024" i="1"/>
  <c r="K8047" i="1" a="1"/>
  <c r="K8047" i="1" s="1"/>
  <c r="S8047" i="1" a="1"/>
  <c r="S8047" i="1" s="1"/>
  <c r="B8048" i="1"/>
  <c r="M8047" i="1" a="1"/>
  <c r="M8047" i="1" s="1"/>
  <c r="Q8047" i="1" a="1"/>
  <c r="Q8047" i="1" s="1"/>
  <c r="J8047" i="1" a="1"/>
  <c r="J8047" i="1" s="1"/>
  <c r="N8047" i="1" a="1"/>
  <c r="N8047" i="1" s="1"/>
  <c r="P8047" i="1" a="1"/>
  <c r="P8047" i="1" s="1"/>
  <c r="R8047" i="1" a="1"/>
  <c r="R8047" i="1" s="1"/>
  <c r="A8029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8025" i="1" l="1" a="1"/>
  <c r="L8025" i="1" s="1"/>
  <c r="I8025" i="1" a="1"/>
  <c r="I8025" i="1" s="1"/>
  <c r="H8025" i="1"/>
  <c r="O8025" i="1" a="1"/>
  <c r="O8025" i="1" s="1"/>
  <c r="C8026" i="1"/>
  <c r="J8048" i="1" a="1"/>
  <c r="J8048" i="1" s="1"/>
  <c r="N8048" i="1" a="1"/>
  <c r="N8048" i="1" s="1"/>
  <c r="R8048" i="1" a="1"/>
  <c r="R8048" i="1" s="1"/>
  <c r="P8048" i="1" a="1"/>
  <c r="P8048" i="1" s="1"/>
  <c r="B8049" i="1"/>
  <c r="K8048" i="1" a="1"/>
  <c r="K8048" i="1" s="1"/>
  <c r="M8048" i="1" a="1"/>
  <c r="M8048" i="1" s="1"/>
  <c r="Q8048" i="1" a="1"/>
  <c r="Q8048" i="1" s="1"/>
  <c r="S8048" i="1" a="1"/>
  <c r="S8048" i="1" s="1"/>
  <c r="A8030" i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L8026" i="1" l="1" a="1"/>
  <c r="L8026" i="1" s="1"/>
  <c r="I8026" i="1" a="1"/>
  <c r="I8026" i="1" s="1"/>
  <c r="C8027" i="1"/>
  <c r="H8026" i="1"/>
  <c r="O8026" i="1" a="1"/>
  <c r="O8026" i="1" s="1"/>
  <c r="A8031" i="1"/>
  <c r="B8050" i="1"/>
  <c r="M8049" i="1" a="1"/>
  <c r="M8049" i="1" s="1"/>
  <c r="Q8049" i="1" a="1"/>
  <c r="Q8049" i="1" s="1"/>
  <c r="K8049" i="1" a="1"/>
  <c r="K8049" i="1" s="1"/>
  <c r="S8049" i="1" a="1"/>
  <c r="S8049" i="1" s="1"/>
  <c r="N8049" i="1" a="1"/>
  <c r="N8049" i="1" s="1"/>
  <c r="P8049" i="1" a="1"/>
  <c r="P8049" i="1" s="1"/>
  <c r="R8049" i="1" a="1"/>
  <c r="R8049" i="1" s="1"/>
  <c r="J8049" i="1" a="1"/>
  <c r="J8049" i="1" s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L8027" i="1" l="1" a="1"/>
  <c r="L8027" i="1" s="1"/>
  <c r="I8027" i="1" a="1"/>
  <c r="I8027" i="1" s="1"/>
  <c r="O8027" i="1" a="1"/>
  <c r="O8027" i="1" s="1"/>
  <c r="C8028" i="1"/>
  <c r="H8027" i="1"/>
  <c r="P8050" i="1" a="1"/>
  <c r="P8050" i="1" s="1"/>
  <c r="B8051" i="1"/>
  <c r="J8050" i="1" a="1"/>
  <c r="J8050" i="1" s="1"/>
  <c r="N8050" i="1" a="1"/>
  <c r="N8050" i="1" s="1"/>
  <c r="R8050" i="1" a="1"/>
  <c r="R8050" i="1" s="1"/>
  <c r="Q8050" i="1" a="1"/>
  <c r="Q8050" i="1" s="1"/>
  <c r="S8050" i="1" a="1"/>
  <c r="S8050" i="1" s="1"/>
  <c r="K8050" i="1" a="1"/>
  <c r="K8050" i="1" s="1"/>
  <c r="M8050" i="1" a="1"/>
  <c r="M8050" i="1" s="1"/>
  <c r="A8032" i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L8028" i="1" l="1" a="1"/>
  <c r="L8028" i="1" s="1"/>
  <c r="I8028" i="1" a="1"/>
  <c r="I8028" i="1" s="1"/>
  <c r="H8028" i="1"/>
  <c r="C8029" i="1"/>
  <c r="O8028" i="1" a="1"/>
  <c r="O8028" i="1" s="1"/>
  <c r="K8051" i="1" a="1"/>
  <c r="K8051" i="1" s="1"/>
  <c r="S8051" i="1" a="1"/>
  <c r="S8051" i="1" s="1"/>
  <c r="B8052" i="1"/>
  <c r="M8051" i="1" a="1"/>
  <c r="M8051" i="1" s="1"/>
  <c r="Q8051" i="1" a="1"/>
  <c r="Q8051" i="1" s="1"/>
  <c r="R8051" i="1" a="1"/>
  <c r="R8051" i="1" s="1"/>
  <c r="J8051" i="1" a="1"/>
  <c r="J8051" i="1" s="1"/>
  <c r="N8051" i="1" a="1"/>
  <c r="N8051" i="1" s="1"/>
  <c r="P8051" i="1" a="1"/>
  <c r="P8051" i="1" s="1"/>
  <c r="A8033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L8029" i="1" l="1" a="1"/>
  <c r="L8029" i="1" s="1"/>
  <c r="I8029" i="1" a="1"/>
  <c r="I8029" i="1" s="1"/>
  <c r="O8029" i="1" a="1"/>
  <c r="O8029" i="1" s="1"/>
  <c r="C8030" i="1"/>
  <c r="H8029" i="1"/>
  <c r="J8052" i="1" a="1"/>
  <c r="J8052" i="1" s="1"/>
  <c r="N8052" i="1" a="1"/>
  <c r="N8052" i="1" s="1"/>
  <c r="R8052" i="1" a="1"/>
  <c r="R8052" i="1" s="1"/>
  <c r="P8052" i="1" a="1"/>
  <c r="P8052" i="1" s="1"/>
  <c r="B8053" i="1"/>
  <c r="K8052" i="1" a="1"/>
  <c r="K8052" i="1" s="1"/>
  <c r="M8052" i="1" a="1"/>
  <c r="M8052" i="1" s="1"/>
  <c r="Q8052" i="1" a="1"/>
  <c r="Q8052" i="1" s="1"/>
  <c r="S8052" i="1" a="1"/>
  <c r="S8052" i="1" s="1"/>
  <c r="A8034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8030" i="1" l="1" a="1"/>
  <c r="L8030" i="1" s="1"/>
  <c r="I8030" i="1" a="1"/>
  <c r="I8030" i="1" s="1"/>
  <c r="H8030" i="1"/>
  <c r="C8031" i="1"/>
  <c r="O8030" i="1" a="1"/>
  <c r="O8030" i="1" s="1"/>
  <c r="A8035" i="1"/>
  <c r="B8054" i="1"/>
  <c r="M8053" i="1" a="1"/>
  <c r="M8053" i="1" s="1"/>
  <c r="Q8053" i="1" a="1"/>
  <c r="Q8053" i="1" s="1"/>
  <c r="K8053" i="1" a="1"/>
  <c r="K8053" i="1" s="1"/>
  <c r="S8053" i="1" a="1"/>
  <c r="S8053" i="1" s="1"/>
  <c r="J8053" i="1" a="1"/>
  <c r="J8053" i="1" s="1"/>
  <c r="N8053" i="1" a="1"/>
  <c r="N8053" i="1" s="1"/>
  <c r="P8053" i="1" a="1"/>
  <c r="P8053" i="1" s="1"/>
  <c r="R8053" i="1" a="1"/>
  <c r="R8053" i="1" s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L8031" i="1" l="1" a="1"/>
  <c r="L8031" i="1" s="1"/>
  <c r="I8031" i="1" a="1"/>
  <c r="I8031" i="1" s="1"/>
  <c r="O8031" i="1" a="1"/>
  <c r="O8031" i="1" s="1"/>
  <c r="C8032" i="1"/>
  <c r="H8031" i="1"/>
  <c r="A8036" i="1"/>
  <c r="P8054" i="1" a="1"/>
  <c r="P8054" i="1" s="1"/>
  <c r="B8055" i="1"/>
  <c r="J8054" i="1" a="1"/>
  <c r="J8054" i="1" s="1"/>
  <c r="N8054" i="1" a="1"/>
  <c r="N8054" i="1" s="1"/>
  <c r="R8054" i="1" a="1"/>
  <c r="R8054" i="1" s="1"/>
  <c r="K8054" i="1" a="1"/>
  <c r="K8054" i="1" s="1"/>
  <c r="M8054" i="1" a="1"/>
  <c r="M8054" i="1" s="1"/>
  <c r="Q8054" i="1" a="1"/>
  <c r="Q8054" i="1" s="1"/>
  <c r="S8054" i="1" a="1"/>
  <c r="S8054" i="1" s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L8032" i="1" l="1" a="1"/>
  <c r="L8032" i="1" s="1"/>
  <c r="I8032" i="1" a="1"/>
  <c r="I8032" i="1" s="1"/>
  <c r="C8033" i="1"/>
  <c r="H8032" i="1"/>
  <c r="O8032" i="1" a="1"/>
  <c r="O8032" i="1" s="1"/>
  <c r="K8055" i="1" a="1"/>
  <c r="K8055" i="1" s="1"/>
  <c r="S8055" i="1" a="1"/>
  <c r="S8055" i="1" s="1"/>
  <c r="B8056" i="1"/>
  <c r="M8055" i="1" a="1"/>
  <c r="M8055" i="1" s="1"/>
  <c r="Q8055" i="1" a="1"/>
  <c r="Q8055" i="1" s="1"/>
  <c r="N8055" i="1" a="1"/>
  <c r="N8055" i="1" s="1"/>
  <c r="P8055" i="1" a="1"/>
  <c r="P8055" i="1" s="1"/>
  <c r="R8055" i="1" a="1"/>
  <c r="R8055" i="1" s="1"/>
  <c r="J8055" i="1" a="1"/>
  <c r="J8055" i="1" s="1"/>
  <c r="A8037" i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L8033" i="1" l="1" a="1"/>
  <c r="L8033" i="1" s="1"/>
  <c r="I8033" i="1" a="1"/>
  <c r="I8033" i="1" s="1"/>
  <c r="O8033" i="1" a="1"/>
  <c r="O8033" i="1" s="1"/>
  <c r="C8034" i="1"/>
  <c r="H8033" i="1"/>
  <c r="J8056" i="1" a="1"/>
  <c r="J8056" i="1" s="1"/>
  <c r="N8056" i="1" a="1"/>
  <c r="N8056" i="1" s="1"/>
  <c r="R8056" i="1" a="1"/>
  <c r="R8056" i="1" s="1"/>
  <c r="P8056" i="1" a="1"/>
  <c r="P8056" i="1" s="1"/>
  <c r="B8057" i="1"/>
  <c r="Q8056" i="1" a="1"/>
  <c r="Q8056" i="1" s="1"/>
  <c r="S8056" i="1" a="1"/>
  <c r="S8056" i="1" s="1"/>
  <c r="K8056" i="1" a="1"/>
  <c r="K8056" i="1" s="1"/>
  <c r="M8056" i="1" a="1"/>
  <c r="M8056" i="1" s="1"/>
  <c r="A8038" i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L8034" i="1" l="1" a="1"/>
  <c r="L8034" i="1" s="1"/>
  <c r="I8034" i="1" a="1"/>
  <c r="I8034" i="1" s="1"/>
  <c r="O8034" i="1" a="1"/>
  <c r="O8034" i="1" s="1"/>
  <c r="C8035" i="1"/>
  <c r="H8034" i="1"/>
  <c r="A8039" i="1"/>
  <c r="B8058" i="1"/>
  <c r="M8057" i="1" a="1"/>
  <c r="M8057" i="1" s="1"/>
  <c r="Q8057" i="1" a="1"/>
  <c r="Q8057" i="1" s="1"/>
  <c r="K8057" i="1" a="1"/>
  <c r="K8057" i="1" s="1"/>
  <c r="S8057" i="1" a="1"/>
  <c r="S8057" i="1" s="1"/>
  <c r="J8057" i="1" a="1"/>
  <c r="J8057" i="1" s="1"/>
  <c r="N8057" i="1" a="1"/>
  <c r="N8057" i="1" s="1"/>
  <c r="P8057" i="1" a="1"/>
  <c r="P8057" i="1" s="1"/>
  <c r="R8057" i="1" a="1"/>
  <c r="R8057" i="1" s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L8035" i="1" l="1" a="1"/>
  <c r="L8035" i="1" s="1"/>
  <c r="I8035" i="1" a="1"/>
  <c r="I8035" i="1" s="1"/>
  <c r="C8036" i="1"/>
  <c r="H8035" i="1"/>
  <c r="O8035" i="1" a="1"/>
  <c r="O8035" i="1" s="1"/>
  <c r="P8058" i="1" a="1"/>
  <c r="P8058" i="1" s="1"/>
  <c r="B8059" i="1"/>
  <c r="J8058" i="1" a="1"/>
  <c r="J8058" i="1" s="1"/>
  <c r="N8058" i="1" a="1"/>
  <c r="N8058" i="1" s="1"/>
  <c r="R8058" i="1" a="1"/>
  <c r="R8058" i="1" s="1"/>
  <c r="K8058" i="1" a="1"/>
  <c r="K8058" i="1" s="1"/>
  <c r="M8058" i="1" a="1"/>
  <c r="M8058" i="1" s="1"/>
  <c r="Q8058" i="1" a="1"/>
  <c r="Q8058" i="1" s="1"/>
  <c r="S8058" i="1" a="1"/>
  <c r="S8058" i="1" s="1"/>
  <c r="A8040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L8036" i="1" l="1" a="1"/>
  <c r="L8036" i="1" s="1"/>
  <c r="I8036" i="1" a="1"/>
  <c r="I8036" i="1" s="1"/>
  <c r="H8036" i="1"/>
  <c r="O8036" i="1" a="1"/>
  <c r="O8036" i="1" s="1"/>
  <c r="C8037" i="1"/>
  <c r="K8059" i="1" a="1"/>
  <c r="K8059" i="1" s="1"/>
  <c r="S8059" i="1" a="1"/>
  <c r="S8059" i="1" s="1"/>
  <c r="B8060" i="1"/>
  <c r="M8059" i="1" a="1"/>
  <c r="M8059" i="1" s="1"/>
  <c r="Q8059" i="1" a="1"/>
  <c r="Q8059" i="1" s="1"/>
  <c r="J8059" i="1" a="1"/>
  <c r="J8059" i="1" s="1"/>
  <c r="N8059" i="1" a="1"/>
  <c r="N8059" i="1" s="1"/>
  <c r="P8059" i="1" a="1"/>
  <c r="P8059" i="1" s="1"/>
  <c r="R8059" i="1" a="1"/>
  <c r="R8059" i="1" s="1"/>
  <c r="A8041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8037" i="1" l="1" a="1"/>
  <c r="L8037" i="1" s="1"/>
  <c r="I8037" i="1" a="1"/>
  <c r="I8037" i="1" s="1"/>
  <c r="C8038" i="1"/>
  <c r="O8037" i="1" a="1"/>
  <c r="O8037" i="1" s="1"/>
  <c r="H8037" i="1"/>
  <c r="A8042" i="1"/>
  <c r="J8060" i="1" a="1"/>
  <c r="J8060" i="1" s="1"/>
  <c r="N8060" i="1" a="1"/>
  <c r="N8060" i="1" s="1"/>
  <c r="R8060" i="1" a="1"/>
  <c r="R8060" i="1" s="1"/>
  <c r="P8060" i="1" a="1"/>
  <c r="P8060" i="1" s="1"/>
  <c r="B8061" i="1"/>
  <c r="M8060" i="1" a="1"/>
  <c r="M8060" i="1" s="1"/>
  <c r="Q8060" i="1" a="1"/>
  <c r="Q8060" i="1" s="1"/>
  <c r="S8060" i="1" a="1"/>
  <c r="S8060" i="1" s="1"/>
  <c r="K8060" i="1" a="1"/>
  <c r="K8060" i="1" s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L8038" i="1" l="1" a="1"/>
  <c r="L8038" i="1" s="1"/>
  <c r="I8038" i="1" a="1"/>
  <c r="I8038" i="1" s="1"/>
  <c r="H8038" i="1"/>
  <c r="O8038" i="1" a="1"/>
  <c r="O8038" i="1" s="1"/>
  <c r="C8039" i="1"/>
  <c r="A8043" i="1"/>
  <c r="B8062" i="1"/>
  <c r="M8061" i="1" a="1"/>
  <c r="M8061" i="1" s="1"/>
  <c r="Q8061" i="1" a="1"/>
  <c r="Q8061" i="1" s="1"/>
  <c r="K8061" i="1" a="1"/>
  <c r="K8061" i="1" s="1"/>
  <c r="P8061" i="1" a="1"/>
  <c r="P8061" i="1" s="1"/>
  <c r="R8061" i="1" a="1"/>
  <c r="R8061" i="1" s="1"/>
  <c r="S8061" i="1" a="1"/>
  <c r="S8061" i="1" s="1"/>
  <c r="J8061" i="1" a="1"/>
  <c r="J8061" i="1" s="1"/>
  <c r="N8061" i="1" a="1"/>
  <c r="N8061" i="1" s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L8039" i="1" l="1" a="1"/>
  <c r="L8039" i="1" s="1"/>
  <c r="I8039" i="1" a="1"/>
  <c r="I8039" i="1" s="1"/>
  <c r="C8040" i="1"/>
  <c r="H8039" i="1"/>
  <c r="O8039" i="1" a="1"/>
  <c r="O8039" i="1" s="1"/>
  <c r="P8062" i="1" a="1"/>
  <c r="P8062" i="1" s="1"/>
  <c r="B8063" i="1"/>
  <c r="M8062" i="1" a="1"/>
  <c r="M8062" i="1" s="1"/>
  <c r="N8062" i="1" a="1"/>
  <c r="N8062" i="1" s="1"/>
  <c r="Q8062" i="1" a="1"/>
  <c r="Q8062" i="1" s="1"/>
  <c r="R8062" i="1" a="1"/>
  <c r="R8062" i="1" s="1"/>
  <c r="S8062" i="1" a="1"/>
  <c r="S8062" i="1" s="1"/>
  <c r="J8062" i="1" a="1"/>
  <c r="J8062" i="1" s="1"/>
  <c r="K8062" i="1" a="1"/>
  <c r="K8062" i="1" s="1"/>
  <c r="A8044" i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L8040" i="1" l="1" a="1"/>
  <c r="L8040" i="1" s="1"/>
  <c r="I8040" i="1" a="1"/>
  <c r="I8040" i="1" s="1"/>
  <c r="O8040" i="1" a="1"/>
  <c r="O8040" i="1" s="1"/>
  <c r="H8040" i="1"/>
  <c r="C8041" i="1"/>
  <c r="A8045" i="1"/>
  <c r="K8063" i="1" a="1"/>
  <c r="K8063" i="1" s="1"/>
  <c r="S8063" i="1" a="1"/>
  <c r="S8063" i="1" s="1"/>
  <c r="B8064" i="1"/>
  <c r="J8063" i="1" a="1"/>
  <c r="J8063" i="1" s="1"/>
  <c r="M8063" i="1" a="1"/>
  <c r="M8063" i="1" s="1"/>
  <c r="N8063" i="1" a="1"/>
  <c r="N8063" i="1" s="1"/>
  <c r="P8063" i="1" a="1"/>
  <c r="P8063" i="1" s="1"/>
  <c r="Q8063" i="1" a="1"/>
  <c r="Q8063" i="1" s="1"/>
  <c r="R8063" i="1" a="1"/>
  <c r="R8063" i="1" s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L8041" i="1" l="1" a="1"/>
  <c r="L8041" i="1" s="1"/>
  <c r="I8041" i="1" a="1"/>
  <c r="I8041" i="1" s="1"/>
  <c r="O8041" i="1" a="1"/>
  <c r="O8041" i="1" s="1"/>
  <c r="C8042" i="1"/>
  <c r="H8041" i="1"/>
  <c r="J8064" i="1" a="1"/>
  <c r="J8064" i="1" s="1"/>
  <c r="N8064" i="1" a="1"/>
  <c r="N8064" i="1" s="1"/>
  <c r="R8064" i="1" a="1"/>
  <c r="R8064" i="1" s="1"/>
  <c r="B8065" i="1"/>
  <c r="S8064" i="1" a="1"/>
  <c r="S8064" i="1" s="1"/>
  <c r="K8064" i="1" a="1"/>
  <c r="K8064" i="1" s="1"/>
  <c r="M8064" i="1" a="1"/>
  <c r="M8064" i="1" s="1"/>
  <c r="P8064" i="1" a="1"/>
  <c r="P8064" i="1" s="1"/>
  <c r="Q8064" i="1" a="1"/>
  <c r="Q8064" i="1" s="1"/>
  <c r="A8046" i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L8042" i="1" l="1" a="1"/>
  <c r="L8042" i="1" s="1"/>
  <c r="I8042" i="1" a="1"/>
  <c r="I8042" i="1" s="1"/>
  <c r="O8042" i="1" a="1"/>
  <c r="O8042" i="1" s="1"/>
  <c r="C8043" i="1"/>
  <c r="H8042" i="1"/>
  <c r="B8066" i="1"/>
  <c r="M8065" i="1" a="1"/>
  <c r="M8065" i="1" s="1"/>
  <c r="Q8065" i="1" a="1"/>
  <c r="Q8065" i="1" s="1"/>
  <c r="P8065" i="1" a="1"/>
  <c r="P8065" i="1" s="1"/>
  <c r="R8065" i="1" a="1"/>
  <c r="R8065" i="1" s="1"/>
  <c r="S8065" i="1" a="1"/>
  <c r="S8065" i="1" s="1"/>
  <c r="J8065" i="1" a="1"/>
  <c r="J8065" i="1" s="1"/>
  <c r="K8065" i="1" a="1"/>
  <c r="K8065" i="1" s="1"/>
  <c r="N8065" i="1" a="1"/>
  <c r="N8065" i="1" s="1"/>
  <c r="A8047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L8043" i="1" l="1" a="1"/>
  <c r="L8043" i="1" s="1"/>
  <c r="I8043" i="1" a="1"/>
  <c r="I8043" i="1" s="1"/>
  <c r="C8044" i="1"/>
  <c r="H8043" i="1"/>
  <c r="O8043" i="1" a="1"/>
  <c r="O8043" i="1" s="1"/>
  <c r="A8048" i="1"/>
  <c r="P8066" i="1" a="1"/>
  <c r="P8066" i="1" s="1"/>
  <c r="B8067" i="1"/>
  <c r="N8066" i="1" a="1"/>
  <c r="N8066" i="1" s="1"/>
  <c r="Q8066" i="1" a="1"/>
  <c r="Q8066" i="1" s="1"/>
  <c r="R8066" i="1" a="1"/>
  <c r="R8066" i="1" s="1"/>
  <c r="S8066" i="1" a="1"/>
  <c r="S8066" i="1" s="1"/>
  <c r="J8066" i="1" a="1"/>
  <c r="J8066" i="1" s="1"/>
  <c r="K8066" i="1" a="1"/>
  <c r="K8066" i="1" s="1"/>
  <c r="M8066" i="1" a="1"/>
  <c r="M8066" i="1" s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L8044" i="1" l="1" a="1"/>
  <c r="L8044" i="1" s="1"/>
  <c r="I8044" i="1" a="1"/>
  <c r="I8044" i="1" s="1"/>
  <c r="O8044" i="1" a="1"/>
  <c r="O8044" i="1" s="1"/>
  <c r="C8045" i="1"/>
  <c r="H8044" i="1"/>
  <c r="A8049" i="1"/>
  <c r="K8067" i="1" a="1"/>
  <c r="K8067" i="1" s="1"/>
  <c r="S8067" i="1" a="1"/>
  <c r="S8067" i="1" s="1"/>
  <c r="M8067" i="1" a="1"/>
  <c r="M8067" i="1" s="1"/>
  <c r="B8068" i="1"/>
  <c r="N8067" i="1" a="1"/>
  <c r="N8067" i="1" s="1"/>
  <c r="P8067" i="1" a="1"/>
  <c r="P8067" i="1" s="1"/>
  <c r="Q8067" i="1" a="1"/>
  <c r="Q8067" i="1" s="1"/>
  <c r="J8067" i="1" a="1"/>
  <c r="J8067" i="1" s="1"/>
  <c r="R8067" i="1" a="1"/>
  <c r="R8067" i="1" s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L8045" i="1" l="1" a="1"/>
  <c r="L8045" i="1" s="1"/>
  <c r="I8045" i="1" a="1"/>
  <c r="I8045" i="1" s="1"/>
  <c r="C8046" i="1"/>
  <c r="O8045" i="1" a="1"/>
  <c r="O8045" i="1" s="1"/>
  <c r="H8045" i="1"/>
  <c r="B8069" i="1"/>
  <c r="S8068" i="1" a="1"/>
  <c r="S8068" i="1" s="1"/>
  <c r="M8068" i="1" a="1"/>
  <c r="M8068" i="1" s="1"/>
  <c r="N8068" i="1" a="1"/>
  <c r="N8068" i="1" s="1"/>
  <c r="J8068" i="1" a="1"/>
  <c r="J8068" i="1" s="1"/>
  <c r="P8068" i="1" a="1"/>
  <c r="P8068" i="1" s="1"/>
  <c r="K8068" i="1" a="1"/>
  <c r="K8068" i="1" s="1"/>
  <c r="Q8068" i="1" a="1"/>
  <c r="Q8068" i="1" s="1"/>
  <c r="R8068" i="1" a="1"/>
  <c r="R8068" i="1" s="1"/>
  <c r="A8050" i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L8046" i="1" l="1" a="1"/>
  <c r="L8046" i="1" s="1"/>
  <c r="I8046" i="1" a="1"/>
  <c r="I8046" i="1" s="1"/>
  <c r="O8046" i="1" a="1"/>
  <c r="O8046" i="1" s="1"/>
  <c r="C8047" i="1"/>
  <c r="H8046" i="1"/>
  <c r="B8070" i="1"/>
  <c r="M8069" i="1" a="1"/>
  <c r="M8069" i="1" s="1"/>
  <c r="S8069" i="1" a="1"/>
  <c r="S8069" i="1" s="1"/>
  <c r="N8069" i="1" a="1"/>
  <c r="N8069" i="1" s="1"/>
  <c r="J8069" i="1" a="1"/>
  <c r="J8069" i="1" s="1"/>
  <c r="P8069" i="1" a="1"/>
  <c r="P8069" i="1" s="1"/>
  <c r="Q8069" i="1" a="1"/>
  <c r="Q8069" i="1" s="1"/>
  <c r="K8069" i="1" a="1"/>
  <c r="K8069" i="1" s="1"/>
  <c r="R8069" i="1" a="1"/>
  <c r="R8069" i="1" s="1"/>
  <c r="A8051" i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L8047" i="1" l="1" a="1"/>
  <c r="L8047" i="1" s="1"/>
  <c r="I8047" i="1" a="1"/>
  <c r="I8047" i="1" s="1"/>
  <c r="C8048" i="1"/>
  <c r="H8047" i="1"/>
  <c r="O8047" i="1" a="1"/>
  <c r="O8047" i="1" s="1"/>
  <c r="A8052" i="1"/>
  <c r="B8071" i="1"/>
  <c r="R8070" i="1" a="1"/>
  <c r="R8070" i="1" s="1"/>
  <c r="M8070" i="1" a="1"/>
  <c r="M8070" i="1" s="1"/>
  <c r="S8070" i="1" a="1"/>
  <c r="S8070" i="1" s="1"/>
  <c r="N8070" i="1" a="1"/>
  <c r="N8070" i="1" s="1"/>
  <c r="P8070" i="1" a="1"/>
  <c r="P8070" i="1" s="1"/>
  <c r="J8070" i="1" a="1"/>
  <c r="J8070" i="1" s="1"/>
  <c r="Q8070" i="1" a="1"/>
  <c r="Q8070" i="1" s="1"/>
  <c r="K8070" i="1" a="1"/>
  <c r="K8070" i="1" s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L8048" i="1" l="1" a="1"/>
  <c r="L8048" i="1" s="1"/>
  <c r="I8048" i="1" a="1"/>
  <c r="I8048" i="1" s="1"/>
  <c r="C8049" i="1"/>
  <c r="H8048" i="1"/>
  <c r="O8048" i="1" a="1"/>
  <c r="O8048" i="1" s="1"/>
  <c r="A8053" i="1"/>
  <c r="R8071" i="1" a="1"/>
  <c r="R8071" i="1" s="1"/>
  <c r="S8071" i="1" a="1"/>
  <c r="S8071" i="1" s="1"/>
  <c r="M8071" i="1" a="1"/>
  <c r="M8071" i="1" s="1"/>
  <c r="N8071" i="1" a="1"/>
  <c r="N8071" i="1" s="1"/>
  <c r="B8072" i="1"/>
  <c r="P8071" i="1" a="1"/>
  <c r="P8071" i="1" s="1"/>
  <c r="J8071" i="1" a="1"/>
  <c r="J8071" i="1" s="1"/>
  <c r="K8071" i="1" a="1"/>
  <c r="K8071" i="1" s="1"/>
  <c r="Q8071" i="1" a="1"/>
  <c r="Q8071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L8049" i="1" l="1" a="1"/>
  <c r="L8049" i="1" s="1"/>
  <c r="I8049" i="1" a="1"/>
  <c r="I8049" i="1" s="1"/>
  <c r="C8050" i="1"/>
  <c r="O8049" i="1" a="1"/>
  <c r="O8049" i="1" s="1"/>
  <c r="H8049" i="1"/>
  <c r="B8073" i="1"/>
  <c r="R8072" i="1" a="1"/>
  <c r="R8072" i="1" s="1"/>
  <c r="S8072" i="1" a="1"/>
  <c r="S8072" i="1" s="1"/>
  <c r="M8072" i="1" a="1"/>
  <c r="M8072" i="1" s="1"/>
  <c r="N8072" i="1" a="1"/>
  <c r="N8072" i="1" s="1"/>
  <c r="J8072" i="1" a="1"/>
  <c r="J8072" i="1" s="1"/>
  <c r="P8072" i="1" a="1"/>
  <c r="P8072" i="1" s="1"/>
  <c r="K8072" i="1" a="1"/>
  <c r="K8072" i="1" s="1"/>
  <c r="Q8072" i="1" a="1"/>
  <c r="Q8072" i="1" s="1"/>
  <c r="A8054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L8050" i="1" l="1" a="1"/>
  <c r="L8050" i="1" s="1"/>
  <c r="I8050" i="1" a="1"/>
  <c r="I8050" i="1" s="1"/>
  <c r="H8050" i="1"/>
  <c r="O8050" i="1" a="1"/>
  <c r="O8050" i="1" s="1"/>
  <c r="C8051" i="1"/>
  <c r="B8074" i="1"/>
  <c r="K8073" i="1" a="1"/>
  <c r="K8073" i="1" s="1"/>
  <c r="R8073" i="1" a="1"/>
  <c r="R8073" i="1" s="1"/>
  <c r="M8073" i="1" a="1"/>
  <c r="M8073" i="1" s="1"/>
  <c r="S8073" i="1" a="1"/>
  <c r="S8073" i="1" s="1"/>
  <c r="N8073" i="1" a="1"/>
  <c r="N8073" i="1" s="1"/>
  <c r="J8073" i="1" a="1"/>
  <c r="J8073" i="1" s="1"/>
  <c r="P8073" i="1" a="1"/>
  <c r="P8073" i="1" s="1"/>
  <c r="Q8073" i="1" a="1"/>
  <c r="Q8073" i="1" s="1"/>
  <c r="A8055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L8051" i="1" l="1" a="1"/>
  <c r="L8051" i="1" s="1"/>
  <c r="I8051" i="1" a="1"/>
  <c r="I8051" i="1" s="1"/>
  <c r="C8052" i="1"/>
  <c r="H8051" i="1"/>
  <c r="O8051" i="1" a="1"/>
  <c r="O8051" i="1" s="1"/>
  <c r="A8056" i="1"/>
  <c r="J8074" i="1" a="1"/>
  <c r="J8074" i="1" s="1"/>
  <c r="S8074" i="1" a="1"/>
  <c r="S8074" i="1" s="1"/>
  <c r="K8074" i="1" a="1"/>
  <c r="K8074" i="1" s="1"/>
  <c r="P8074" i="1" a="1"/>
  <c r="P8074" i="1" s="1"/>
  <c r="B8075" i="1"/>
  <c r="Q8074" i="1" a="1"/>
  <c r="Q8074" i="1" s="1"/>
  <c r="M8074" i="1" a="1"/>
  <c r="M8074" i="1" s="1"/>
  <c r="R8074" i="1" a="1"/>
  <c r="R8074" i="1" s="1"/>
  <c r="N8074" i="1" a="1"/>
  <c r="N8074" i="1" s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L8052" i="1" l="1" a="1"/>
  <c r="L8052" i="1" s="1"/>
  <c r="I8052" i="1" a="1"/>
  <c r="I8052" i="1" s="1"/>
  <c r="H8052" i="1"/>
  <c r="O8052" i="1" a="1"/>
  <c r="O8052" i="1" s="1"/>
  <c r="C8053" i="1"/>
  <c r="K8075" i="1" a="1"/>
  <c r="K8075" i="1" s="1"/>
  <c r="P8075" i="1" a="1"/>
  <c r="P8075" i="1" s="1"/>
  <c r="B8076" i="1"/>
  <c r="Q8075" i="1" a="1"/>
  <c r="Q8075" i="1" s="1"/>
  <c r="M8075" i="1" a="1"/>
  <c r="M8075" i="1" s="1"/>
  <c r="R8075" i="1" a="1"/>
  <c r="R8075" i="1" s="1"/>
  <c r="N8075" i="1" a="1"/>
  <c r="N8075" i="1" s="1"/>
  <c r="S8075" i="1" a="1"/>
  <c r="S8075" i="1" s="1"/>
  <c r="J8075" i="1" a="1"/>
  <c r="J8075" i="1" s="1"/>
  <c r="A8057" i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L8053" i="1" l="1" a="1"/>
  <c r="L8053" i="1" s="1"/>
  <c r="I8053" i="1" a="1"/>
  <c r="I8053" i="1" s="1"/>
  <c r="C8054" i="1"/>
  <c r="O8053" i="1" a="1"/>
  <c r="O8053" i="1" s="1"/>
  <c r="H8053" i="1"/>
  <c r="P8076" i="1" a="1"/>
  <c r="P8076" i="1" s="1"/>
  <c r="B8077" i="1"/>
  <c r="Q8076" i="1" a="1"/>
  <c r="Q8076" i="1" s="1"/>
  <c r="M8076" i="1" a="1"/>
  <c r="M8076" i="1" s="1"/>
  <c r="R8076" i="1" a="1"/>
  <c r="R8076" i="1" s="1"/>
  <c r="N8076" i="1" a="1"/>
  <c r="N8076" i="1" s="1"/>
  <c r="J8076" i="1" a="1"/>
  <c r="J8076" i="1" s="1"/>
  <c r="S8076" i="1" a="1"/>
  <c r="S8076" i="1" s="1"/>
  <c r="K8076" i="1" a="1"/>
  <c r="K8076" i="1" s="1"/>
  <c r="A8058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L8054" i="1" l="1" a="1"/>
  <c r="L8054" i="1" s="1"/>
  <c r="I8054" i="1" a="1"/>
  <c r="I8054" i="1" s="1"/>
  <c r="O8054" i="1" a="1"/>
  <c r="O8054" i="1" s="1"/>
  <c r="H8054" i="1"/>
  <c r="C8055" i="1"/>
  <c r="B8078" i="1"/>
  <c r="M8077" i="1" a="1"/>
  <c r="M8077" i="1" s="1"/>
  <c r="Q8077" i="1" a="1"/>
  <c r="Q8077" i="1" s="1"/>
  <c r="N8077" i="1" a="1"/>
  <c r="N8077" i="1" s="1"/>
  <c r="R8077" i="1" a="1"/>
  <c r="R8077" i="1" s="1"/>
  <c r="J8077" i="1" a="1"/>
  <c r="J8077" i="1" s="1"/>
  <c r="S8077" i="1" a="1"/>
  <c r="S8077" i="1" s="1"/>
  <c r="K8077" i="1" a="1"/>
  <c r="K8077" i="1" s="1"/>
  <c r="P8077" i="1" a="1"/>
  <c r="P8077" i="1" s="1"/>
  <c r="A8059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L8055" i="1" l="1" a="1"/>
  <c r="L8055" i="1" s="1"/>
  <c r="I8055" i="1" a="1"/>
  <c r="I8055" i="1" s="1"/>
  <c r="C8056" i="1"/>
  <c r="H8055" i="1"/>
  <c r="O8055" i="1" a="1"/>
  <c r="O8055" i="1" s="1"/>
  <c r="A8060" i="1"/>
  <c r="P8078" i="1" a="1"/>
  <c r="P8078" i="1" s="1"/>
  <c r="B8079" i="1"/>
  <c r="M8078" i="1" a="1"/>
  <c r="M8078" i="1" s="1"/>
  <c r="Q8078" i="1" a="1"/>
  <c r="Q8078" i="1" s="1"/>
  <c r="J8078" i="1" a="1"/>
  <c r="J8078" i="1" s="1"/>
  <c r="N8078" i="1" a="1"/>
  <c r="N8078" i="1" s="1"/>
  <c r="R8078" i="1" a="1"/>
  <c r="R8078" i="1" s="1"/>
  <c r="K8078" i="1" a="1"/>
  <c r="K8078" i="1" s="1"/>
  <c r="S8078" i="1" a="1"/>
  <c r="S8078" i="1" s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L8056" i="1" l="1" a="1"/>
  <c r="L8056" i="1" s="1"/>
  <c r="I8056" i="1" a="1"/>
  <c r="I8056" i="1" s="1"/>
  <c r="O8056" i="1" a="1"/>
  <c r="O8056" i="1" s="1"/>
  <c r="C8057" i="1"/>
  <c r="H8056" i="1"/>
  <c r="A8061" i="1"/>
  <c r="K8079" i="1" a="1"/>
  <c r="K8079" i="1" s="1"/>
  <c r="S8079" i="1" a="1"/>
  <c r="S8079" i="1" s="1"/>
  <c r="P8079" i="1" a="1"/>
  <c r="P8079" i="1" s="1"/>
  <c r="B8080" i="1"/>
  <c r="M8079" i="1" a="1"/>
  <c r="M8079" i="1" s="1"/>
  <c r="Q8079" i="1" a="1"/>
  <c r="Q8079" i="1" s="1"/>
  <c r="J8079" i="1" a="1"/>
  <c r="J8079" i="1" s="1"/>
  <c r="N8079" i="1" a="1"/>
  <c r="N8079" i="1" s="1"/>
  <c r="R8079" i="1" a="1"/>
  <c r="R8079" i="1" s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L8057" i="1" l="1" a="1"/>
  <c r="L8057" i="1" s="1"/>
  <c r="I8057" i="1" a="1"/>
  <c r="I8057" i="1" s="1"/>
  <c r="C8058" i="1"/>
  <c r="O8057" i="1" a="1"/>
  <c r="O8057" i="1" s="1"/>
  <c r="H8057" i="1"/>
  <c r="J8080" i="1" a="1"/>
  <c r="J8080" i="1" s="1"/>
  <c r="N8080" i="1" a="1"/>
  <c r="N8080" i="1" s="1"/>
  <c r="R8080" i="1" a="1"/>
  <c r="R8080" i="1" s="1"/>
  <c r="K8080" i="1" a="1"/>
  <c r="K8080" i="1" s="1"/>
  <c r="S8080" i="1" a="1"/>
  <c r="S8080" i="1" s="1"/>
  <c r="P8080" i="1" a="1"/>
  <c r="P8080" i="1" s="1"/>
  <c r="B8081" i="1"/>
  <c r="M8080" i="1" a="1"/>
  <c r="M8080" i="1" s="1"/>
  <c r="Q8080" i="1" a="1"/>
  <c r="Q8080" i="1" s="1"/>
  <c r="A8062" i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L8058" i="1" l="1" a="1"/>
  <c r="L8058" i="1" s="1"/>
  <c r="I8058" i="1" a="1"/>
  <c r="I8058" i="1" s="1"/>
  <c r="H8058" i="1"/>
  <c r="C8059" i="1"/>
  <c r="O8058" i="1" a="1"/>
  <c r="O8058" i="1" s="1"/>
  <c r="A8063" i="1"/>
  <c r="B8082" i="1"/>
  <c r="M8081" i="1" a="1"/>
  <c r="M8081" i="1" s="1"/>
  <c r="Q8081" i="1" a="1"/>
  <c r="Q8081" i="1" s="1"/>
  <c r="J8081" i="1" a="1"/>
  <c r="J8081" i="1" s="1"/>
  <c r="N8081" i="1" a="1"/>
  <c r="N8081" i="1" s="1"/>
  <c r="R8081" i="1" a="1"/>
  <c r="R8081" i="1" s="1"/>
  <c r="K8081" i="1" a="1"/>
  <c r="K8081" i="1" s="1"/>
  <c r="S8081" i="1" a="1"/>
  <c r="S8081" i="1" s="1"/>
  <c r="P8081" i="1" a="1"/>
  <c r="P8081" i="1" s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L8059" i="1" l="1" a="1"/>
  <c r="L8059" i="1" s="1"/>
  <c r="I8059" i="1" a="1"/>
  <c r="I8059" i="1" s="1"/>
  <c r="C8060" i="1"/>
  <c r="H8059" i="1"/>
  <c r="O8059" i="1" a="1"/>
  <c r="O8059" i="1" s="1"/>
  <c r="P8082" i="1" a="1"/>
  <c r="P8082" i="1" s="1"/>
  <c r="B8083" i="1"/>
  <c r="M8082" i="1" a="1"/>
  <c r="M8082" i="1" s="1"/>
  <c r="Q8082" i="1" a="1"/>
  <c r="Q8082" i="1" s="1"/>
  <c r="J8082" i="1" a="1"/>
  <c r="J8082" i="1" s="1"/>
  <c r="N8082" i="1" a="1"/>
  <c r="N8082" i="1" s="1"/>
  <c r="R8082" i="1" a="1"/>
  <c r="R8082" i="1" s="1"/>
  <c r="K8082" i="1" a="1"/>
  <c r="K8082" i="1" s="1"/>
  <c r="S8082" i="1" a="1"/>
  <c r="S8082" i="1" s="1"/>
  <c r="A8064" i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L8060" i="1" l="1" a="1"/>
  <c r="L8060" i="1" s="1"/>
  <c r="I8060" i="1" a="1"/>
  <c r="I8060" i="1" s="1"/>
  <c r="O8060" i="1" a="1"/>
  <c r="O8060" i="1" s="1"/>
  <c r="C8061" i="1"/>
  <c r="H8060" i="1"/>
  <c r="K8083" i="1" a="1"/>
  <c r="K8083" i="1" s="1"/>
  <c r="S8083" i="1" a="1"/>
  <c r="S8083" i="1" s="1"/>
  <c r="P8083" i="1" a="1"/>
  <c r="P8083" i="1" s="1"/>
  <c r="B8084" i="1"/>
  <c r="M8083" i="1" a="1"/>
  <c r="M8083" i="1" s="1"/>
  <c r="Q8083" i="1" a="1"/>
  <c r="Q8083" i="1" s="1"/>
  <c r="J8083" i="1" a="1"/>
  <c r="J8083" i="1" s="1"/>
  <c r="N8083" i="1" a="1"/>
  <c r="N8083" i="1" s="1"/>
  <c r="R8083" i="1" a="1"/>
  <c r="R8083" i="1" s="1"/>
  <c r="A8065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L8061" i="1" l="1" a="1"/>
  <c r="L8061" i="1" s="1"/>
  <c r="I8061" i="1" a="1"/>
  <c r="I8061" i="1" s="1"/>
  <c r="C8062" i="1"/>
  <c r="H8061" i="1"/>
  <c r="O8061" i="1" a="1"/>
  <c r="O8061" i="1" s="1"/>
  <c r="A8066" i="1"/>
  <c r="J8084" i="1" a="1"/>
  <c r="J8084" i="1" s="1"/>
  <c r="N8084" i="1" a="1"/>
  <c r="N8084" i="1" s="1"/>
  <c r="R8084" i="1" a="1"/>
  <c r="R8084" i="1" s="1"/>
  <c r="K8084" i="1" a="1"/>
  <c r="K8084" i="1" s="1"/>
  <c r="S8084" i="1" a="1"/>
  <c r="S8084" i="1" s="1"/>
  <c r="P8084" i="1" a="1"/>
  <c r="P8084" i="1" s="1"/>
  <c r="B8085" i="1"/>
  <c r="M8084" i="1" a="1"/>
  <c r="M8084" i="1" s="1"/>
  <c r="Q8084" i="1" a="1"/>
  <c r="Q8084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L8062" i="1" l="1" a="1"/>
  <c r="L8062" i="1" s="1"/>
  <c r="I8062" i="1" a="1"/>
  <c r="I8062" i="1" s="1"/>
  <c r="O8062" i="1" a="1"/>
  <c r="O8062" i="1" s="1"/>
  <c r="H8062" i="1"/>
  <c r="C8063" i="1"/>
  <c r="B8086" i="1"/>
  <c r="M8085" i="1" a="1"/>
  <c r="M8085" i="1" s="1"/>
  <c r="Q8085" i="1" a="1"/>
  <c r="Q8085" i="1" s="1"/>
  <c r="J8085" i="1" a="1"/>
  <c r="J8085" i="1" s="1"/>
  <c r="N8085" i="1" a="1"/>
  <c r="N8085" i="1" s="1"/>
  <c r="R8085" i="1" a="1"/>
  <c r="R8085" i="1" s="1"/>
  <c r="K8085" i="1" a="1"/>
  <c r="K8085" i="1" s="1"/>
  <c r="S8085" i="1" a="1"/>
  <c r="S8085" i="1" s="1"/>
  <c r="P8085" i="1" a="1"/>
  <c r="P8085" i="1" s="1"/>
  <c r="A8067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L8063" i="1" l="1" a="1"/>
  <c r="L8063" i="1" s="1"/>
  <c r="I8063" i="1" a="1"/>
  <c r="I8063" i="1" s="1"/>
  <c r="H8063" i="1"/>
  <c r="C8064" i="1"/>
  <c r="O8063" i="1" a="1"/>
  <c r="O8063" i="1" s="1"/>
  <c r="A8068" i="1"/>
  <c r="P8086" i="1" a="1"/>
  <c r="P8086" i="1" s="1"/>
  <c r="B8087" i="1"/>
  <c r="M8086" i="1" a="1"/>
  <c r="M8086" i="1" s="1"/>
  <c r="Q8086" i="1" a="1"/>
  <c r="Q8086" i="1" s="1"/>
  <c r="J8086" i="1" a="1"/>
  <c r="J8086" i="1" s="1"/>
  <c r="N8086" i="1" a="1"/>
  <c r="N8086" i="1" s="1"/>
  <c r="R8086" i="1" a="1"/>
  <c r="R8086" i="1" s="1"/>
  <c r="K8086" i="1" a="1"/>
  <c r="K8086" i="1" s="1"/>
  <c r="S8086" i="1" a="1"/>
  <c r="S8086" i="1" s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L8064" i="1" l="1" a="1"/>
  <c r="L8064" i="1" s="1"/>
  <c r="I8064" i="1" a="1"/>
  <c r="I8064" i="1" s="1"/>
  <c r="C8065" i="1"/>
  <c r="H8064" i="1"/>
  <c r="O8064" i="1" a="1"/>
  <c r="O8064" i="1" s="1"/>
  <c r="K8087" i="1" a="1"/>
  <c r="K8087" i="1" s="1"/>
  <c r="S8087" i="1" a="1"/>
  <c r="S8087" i="1" s="1"/>
  <c r="P8087" i="1" a="1"/>
  <c r="P8087" i="1" s="1"/>
  <c r="B8088" i="1"/>
  <c r="M8087" i="1" a="1"/>
  <c r="M8087" i="1" s="1"/>
  <c r="Q8087" i="1" a="1"/>
  <c r="Q8087" i="1" s="1"/>
  <c r="J8087" i="1" a="1"/>
  <c r="J8087" i="1" s="1"/>
  <c r="N8087" i="1" a="1"/>
  <c r="N8087" i="1" s="1"/>
  <c r="R8087" i="1" a="1"/>
  <c r="R8087" i="1" s="1"/>
  <c r="A8069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L8065" i="1" l="1" a="1"/>
  <c r="L8065" i="1" s="1"/>
  <c r="I8065" i="1" a="1"/>
  <c r="I8065" i="1" s="1"/>
  <c r="H8065" i="1"/>
  <c r="C8066" i="1"/>
  <c r="O8065" i="1" a="1"/>
  <c r="O8065" i="1" s="1"/>
  <c r="A8070" i="1"/>
  <c r="J8088" i="1" a="1"/>
  <c r="J8088" i="1" s="1"/>
  <c r="N8088" i="1" a="1"/>
  <c r="N8088" i="1" s="1"/>
  <c r="R8088" i="1" a="1"/>
  <c r="R8088" i="1" s="1"/>
  <c r="K8088" i="1" a="1"/>
  <c r="K8088" i="1" s="1"/>
  <c r="S8088" i="1" a="1"/>
  <c r="S8088" i="1" s="1"/>
  <c r="P8088" i="1" a="1"/>
  <c r="P8088" i="1" s="1"/>
  <c r="B8089" i="1"/>
  <c r="M8088" i="1" a="1"/>
  <c r="M8088" i="1" s="1"/>
  <c r="Q8088" i="1" a="1"/>
  <c r="Q8088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L8066" i="1" l="1" a="1"/>
  <c r="L8066" i="1" s="1"/>
  <c r="I8066" i="1" a="1"/>
  <c r="I8066" i="1" s="1"/>
  <c r="C8067" i="1"/>
  <c r="H8066" i="1"/>
  <c r="O8066" i="1" a="1"/>
  <c r="O8066" i="1" s="1"/>
  <c r="B8090" i="1"/>
  <c r="M8089" i="1" a="1"/>
  <c r="M8089" i="1" s="1"/>
  <c r="Q8089" i="1" a="1"/>
  <c r="Q8089" i="1" s="1"/>
  <c r="J8089" i="1" a="1"/>
  <c r="J8089" i="1" s="1"/>
  <c r="N8089" i="1" a="1"/>
  <c r="N8089" i="1" s="1"/>
  <c r="R8089" i="1" a="1"/>
  <c r="R8089" i="1" s="1"/>
  <c r="K8089" i="1" a="1"/>
  <c r="K8089" i="1" s="1"/>
  <c r="S8089" i="1" a="1"/>
  <c r="S8089" i="1" s="1"/>
  <c r="P8089" i="1" a="1"/>
  <c r="P8089" i="1" s="1"/>
  <c r="A8071" i="1"/>
  <c r="I4470" i="1" a="1"/>
  <c r="I4470" i="1" s="1"/>
  <c r="K4470" i="1" a="1"/>
  <c r="K4470" i="1" s="1"/>
  <c r="H4470" i="1"/>
  <c r="O4470" i="1" a="1"/>
  <c r="O4470" i="1" s="1"/>
  <c r="L8067" i="1" l="1" a="1"/>
  <c r="L8067" i="1" s="1"/>
  <c r="I8067" i="1" a="1"/>
  <c r="I8067" i="1" s="1"/>
  <c r="H8067" i="1"/>
  <c r="O8067" i="1" a="1"/>
  <c r="O8067" i="1" s="1"/>
  <c r="C8068" i="1"/>
  <c r="A8072" i="1"/>
  <c r="P8090" i="1" a="1"/>
  <c r="P8090" i="1" s="1"/>
  <c r="B8091" i="1"/>
  <c r="M8090" i="1" a="1"/>
  <c r="M8090" i="1" s="1"/>
  <c r="Q8090" i="1" a="1"/>
  <c r="Q8090" i="1" s="1"/>
  <c r="J8090" i="1" a="1"/>
  <c r="J8090" i="1" s="1"/>
  <c r="N8090" i="1" a="1"/>
  <c r="N8090" i="1" s="1"/>
  <c r="R8090" i="1" a="1"/>
  <c r="R8090" i="1" s="1"/>
  <c r="K8090" i="1" a="1"/>
  <c r="K8090" i="1" s="1"/>
  <c r="S8090" i="1" a="1"/>
  <c r="S8090" i="1" s="1"/>
  <c r="I4471" i="1" a="1"/>
  <c r="I4471" i="1" s="1"/>
  <c r="K4471" i="1" a="1"/>
  <c r="K4471" i="1" s="1"/>
  <c r="C4472" i="1"/>
  <c r="H4471" i="1"/>
  <c r="O4471" i="1" a="1"/>
  <c r="O4471" i="1" s="1"/>
  <c r="L8068" i="1" l="1" a="1"/>
  <c r="L8068" i="1" s="1"/>
  <c r="I8068" i="1" a="1"/>
  <c r="I8068" i="1" s="1"/>
  <c r="H8068" i="1"/>
  <c r="C8069" i="1"/>
  <c r="O8068" i="1" a="1"/>
  <c r="O8068" i="1" s="1"/>
  <c r="A8073" i="1"/>
  <c r="K8091" i="1" a="1"/>
  <c r="K8091" i="1" s="1"/>
  <c r="S8091" i="1" a="1"/>
  <c r="S8091" i="1" s="1"/>
  <c r="P8091" i="1" a="1"/>
  <c r="P8091" i="1" s="1"/>
  <c r="B8092" i="1"/>
  <c r="M8091" i="1" a="1"/>
  <c r="M8091" i="1" s="1"/>
  <c r="Q8091" i="1" a="1"/>
  <c r="Q8091" i="1" s="1"/>
  <c r="J8091" i="1" a="1"/>
  <c r="J8091" i="1" s="1"/>
  <c r="N8091" i="1" a="1"/>
  <c r="N8091" i="1" s="1"/>
  <c r="R8091" i="1" a="1"/>
  <c r="R8091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8069" i="1" l="1" a="1"/>
  <c r="L8069" i="1" s="1"/>
  <c r="I8069" i="1" a="1"/>
  <c r="I8069" i="1" s="1"/>
  <c r="C8070" i="1"/>
  <c r="H8069" i="1"/>
  <c r="O8069" i="1" a="1"/>
  <c r="O8069" i="1" s="1"/>
  <c r="A8074" i="1"/>
  <c r="J8092" i="1" a="1"/>
  <c r="J8092" i="1" s="1"/>
  <c r="N8092" i="1" a="1"/>
  <c r="N8092" i="1" s="1"/>
  <c r="R8092" i="1" a="1"/>
  <c r="R8092" i="1" s="1"/>
  <c r="K8092" i="1" a="1"/>
  <c r="K8092" i="1" s="1"/>
  <c r="S8092" i="1" a="1"/>
  <c r="S8092" i="1" s="1"/>
  <c r="P8092" i="1" a="1"/>
  <c r="P8092" i="1" s="1"/>
  <c r="B8093" i="1"/>
  <c r="M8092" i="1" a="1"/>
  <c r="M8092" i="1" s="1"/>
  <c r="Q8092" i="1" a="1"/>
  <c r="Q8092" i="1" s="1"/>
  <c r="I4473" i="1" a="1"/>
  <c r="I4473" i="1" s="1"/>
  <c r="K4473" i="1" a="1"/>
  <c r="K4473" i="1" s="1"/>
  <c r="H4473" i="1"/>
  <c r="O4473" i="1" a="1"/>
  <c r="O4473" i="1" s="1"/>
  <c r="L8070" i="1" l="1" a="1"/>
  <c r="L8070" i="1" s="1"/>
  <c r="I8070" i="1" a="1"/>
  <c r="I8070" i="1" s="1"/>
  <c r="O8070" i="1" a="1"/>
  <c r="O8070" i="1" s="1"/>
  <c r="H8070" i="1"/>
  <c r="C8071" i="1"/>
  <c r="B8094" i="1"/>
  <c r="M8093" i="1" a="1"/>
  <c r="M8093" i="1" s="1"/>
  <c r="Q8093" i="1" a="1"/>
  <c r="Q8093" i="1" s="1"/>
  <c r="J8093" i="1" a="1"/>
  <c r="J8093" i="1" s="1"/>
  <c r="N8093" i="1" a="1"/>
  <c r="N8093" i="1" s="1"/>
  <c r="R8093" i="1" a="1"/>
  <c r="R8093" i="1" s="1"/>
  <c r="K8093" i="1" a="1"/>
  <c r="K8093" i="1" s="1"/>
  <c r="S8093" i="1" a="1"/>
  <c r="S8093" i="1" s="1"/>
  <c r="P8093" i="1" a="1"/>
  <c r="P8093" i="1" s="1"/>
  <c r="A8075" i="1"/>
  <c r="I4474" i="1" a="1"/>
  <c r="I4474" i="1" s="1"/>
  <c r="K4474" i="1" a="1"/>
  <c r="K4474" i="1" s="1"/>
  <c r="C4475" i="1"/>
  <c r="H4474" i="1"/>
  <c r="O4474" i="1" a="1"/>
  <c r="O4474" i="1" s="1"/>
  <c r="L8071" i="1" l="1" a="1"/>
  <c r="L8071" i="1" s="1"/>
  <c r="I8071" i="1" a="1"/>
  <c r="I8071" i="1" s="1"/>
  <c r="C8072" i="1"/>
  <c r="H8071" i="1"/>
  <c r="O8071" i="1" a="1"/>
  <c r="O8071" i="1" s="1"/>
  <c r="A8076" i="1"/>
  <c r="P8094" i="1" a="1"/>
  <c r="P8094" i="1" s="1"/>
  <c r="B8095" i="1"/>
  <c r="M8094" i="1" a="1"/>
  <c r="M8094" i="1" s="1"/>
  <c r="Q8094" i="1" a="1"/>
  <c r="Q8094" i="1" s="1"/>
  <c r="J8094" i="1" a="1"/>
  <c r="J8094" i="1" s="1"/>
  <c r="N8094" i="1" a="1"/>
  <c r="N8094" i="1" s="1"/>
  <c r="R8094" i="1" a="1"/>
  <c r="R8094" i="1" s="1"/>
  <c r="K8094" i="1" a="1"/>
  <c r="K8094" i="1" s="1"/>
  <c r="S8094" i="1" a="1"/>
  <c r="S8094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L8072" i="1" l="1" a="1"/>
  <c r="L8072" i="1" s="1"/>
  <c r="I8072" i="1" a="1"/>
  <c r="I8072" i="1" s="1"/>
  <c r="O8072" i="1" a="1"/>
  <c r="O8072" i="1" s="1"/>
  <c r="C8073" i="1"/>
  <c r="H8072" i="1"/>
  <c r="A8077" i="1"/>
  <c r="K8095" i="1" a="1"/>
  <c r="K8095" i="1" s="1"/>
  <c r="S8095" i="1" a="1"/>
  <c r="S8095" i="1" s="1"/>
  <c r="P8095" i="1" a="1"/>
  <c r="P8095" i="1" s="1"/>
  <c r="B8096" i="1"/>
  <c r="M8095" i="1" a="1"/>
  <c r="M8095" i="1" s="1"/>
  <c r="Q8095" i="1" a="1"/>
  <c r="Q8095" i="1" s="1"/>
  <c r="J8095" i="1" a="1"/>
  <c r="J8095" i="1" s="1"/>
  <c r="N8095" i="1" a="1"/>
  <c r="N8095" i="1" s="1"/>
  <c r="R8095" i="1" a="1"/>
  <c r="R8095" i="1" s="1"/>
  <c r="I4476" i="1" a="1"/>
  <c r="I4476" i="1" s="1"/>
  <c r="K4476" i="1" a="1"/>
  <c r="K4476" i="1" s="1"/>
  <c r="L4477" i="1" a="1"/>
  <c r="L4477" i="1" s="1"/>
  <c r="H4476" i="1"/>
  <c r="O4476" i="1" a="1"/>
  <c r="O4476" i="1" s="1"/>
  <c r="L8073" i="1" l="1" a="1"/>
  <c r="L8073" i="1" s="1"/>
  <c r="I8073" i="1" a="1"/>
  <c r="I8073" i="1" s="1"/>
  <c r="C8074" i="1"/>
  <c r="H8073" i="1"/>
  <c r="O8073" i="1" a="1"/>
  <c r="O8073" i="1" s="1"/>
  <c r="A8078" i="1"/>
  <c r="J8096" i="1" a="1"/>
  <c r="J8096" i="1" s="1"/>
  <c r="N8096" i="1" a="1"/>
  <c r="N8096" i="1" s="1"/>
  <c r="R8096" i="1" a="1"/>
  <c r="R8096" i="1" s="1"/>
  <c r="K8096" i="1" a="1"/>
  <c r="K8096" i="1" s="1"/>
  <c r="S8096" i="1" a="1"/>
  <c r="S8096" i="1" s="1"/>
  <c r="P8096" i="1" a="1"/>
  <c r="P8096" i="1" s="1"/>
  <c r="B8097" i="1"/>
  <c r="M8096" i="1" a="1"/>
  <c r="M8096" i="1" s="1"/>
  <c r="Q8096" i="1" a="1"/>
  <c r="Q8096" i="1" s="1"/>
  <c r="I4477" i="1" a="1"/>
  <c r="I4477" i="1" s="1"/>
  <c r="K4477" i="1" a="1"/>
  <c r="K4477" i="1" s="1"/>
  <c r="C4478" i="1"/>
  <c r="H4477" i="1"/>
  <c r="O4477" i="1" a="1"/>
  <c r="O4477" i="1" s="1"/>
  <c r="L8074" i="1" l="1" a="1"/>
  <c r="L8074" i="1" s="1"/>
  <c r="I8074" i="1" a="1"/>
  <c r="I8074" i="1" s="1"/>
  <c r="O8074" i="1" a="1"/>
  <c r="O8074" i="1" s="1"/>
  <c r="C8075" i="1"/>
  <c r="H8074" i="1"/>
  <c r="B8098" i="1"/>
  <c r="M8097" i="1" a="1"/>
  <c r="M8097" i="1" s="1"/>
  <c r="Q8097" i="1" a="1"/>
  <c r="Q8097" i="1" s="1"/>
  <c r="J8097" i="1" a="1"/>
  <c r="J8097" i="1" s="1"/>
  <c r="N8097" i="1" a="1"/>
  <c r="N8097" i="1" s="1"/>
  <c r="R8097" i="1" a="1"/>
  <c r="R8097" i="1" s="1"/>
  <c r="K8097" i="1" a="1"/>
  <c r="K8097" i="1" s="1"/>
  <c r="S8097" i="1" a="1"/>
  <c r="S8097" i="1" s="1"/>
  <c r="P8097" i="1" a="1"/>
  <c r="P8097" i="1" s="1"/>
  <c r="A8079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L8075" i="1" l="1" a="1"/>
  <c r="L8075" i="1" s="1"/>
  <c r="I8075" i="1" a="1"/>
  <c r="I8075" i="1" s="1"/>
  <c r="C8076" i="1"/>
  <c r="H8075" i="1"/>
  <c r="O8075" i="1" a="1"/>
  <c r="O8075" i="1" s="1"/>
  <c r="A8080" i="1"/>
  <c r="P8098" i="1" a="1"/>
  <c r="P8098" i="1" s="1"/>
  <c r="B8099" i="1"/>
  <c r="M8098" i="1" a="1"/>
  <c r="M8098" i="1" s="1"/>
  <c r="Q8098" i="1" a="1"/>
  <c r="Q8098" i="1" s="1"/>
  <c r="J8098" i="1" a="1"/>
  <c r="J8098" i="1" s="1"/>
  <c r="N8098" i="1" a="1"/>
  <c r="N8098" i="1" s="1"/>
  <c r="R8098" i="1" a="1"/>
  <c r="R8098" i="1" s="1"/>
  <c r="K8098" i="1" a="1"/>
  <c r="K8098" i="1" s="1"/>
  <c r="S8098" i="1" a="1"/>
  <c r="S8098" i="1" s="1"/>
  <c r="I4479" i="1" a="1"/>
  <c r="I4479" i="1" s="1"/>
  <c r="K4479" i="1" a="1"/>
  <c r="K4479" i="1" s="1"/>
  <c r="L4480" i="1" a="1"/>
  <c r="L4480" i="1" s="1"/>
  <c r="H4479" i="1"/>
  <c r="O4479" i="1" a="1"/>
  <c r="O4479" i="1" s="1"/>
  <c r="L8076" i="1" l="1" a="1"/>
  <c r="L8076" i="1" s="1"/>
  <c r="I8076" i="1" a="1"/>
  <c r="I8076" i="1" s="1"/>
  <c r="O8076" i="1" a="1"/>
  <c r="O8076" i="1" s="1"/>
  <c r="H8076" i="1"/>
  <c r="C8077" i="1"/>
  <c r="A8081" i="1"/>
  <c r="K8099" i="1" a="1"/>
  <c r="K8099" i="1" s="1"/>
  <c r="S8099" i="1" a="1"/>
  <c r="S8099" i="1" s="1"/>
  <c r="P8099" i="1" a="1"/>
  <c r="P8099" i="1" s="1"/>
  <c r="B8100" i="1"/>
  <c r="M8099" i="1" a="1"/>
  <c r="M8099" i="1" s="1"/>
  <c r="Q8099" i="1" a="1"/>
  <c r="Q8099" i="1" s="1"/>
  <c r="R8099" i="1" a="1"/>
  <c r="R8099" i="1" s="1"/>
  <c r="J8099" i="1" a="1"/>
  <c r="J8099" i="1" s="1"/>
  <c r="N8099" i="1" a="1"/>
  <c r="N8099" i="1" s="1"/>
  <c r="I4480" i="1" a="1"/>
  <c r="I4480" i="1" s="1"/>
  <c r="K4480" i="1" a="1"/>
  <c r="K4480" i="1" s="1"/>
  <c r="L4481" i="1" a="1"/>
  <c r="L4481" i="1" s="1"/>
  <c r="H4480" i="1"/>
  <c r="O4480" i="1" a="1"/>
  <c r="O4480" i="1" s="1"/>
  <c r="L8077" i="1" l="1" a="1"/>
  <c r="L8077" i="1" s="1"/>
  <c r="I8077" i="1" a="1"/>
  <c r="I8077" i="1" s="1"/>
  <c r="C8078" i="1"/>
  <c r="H8077" i="1"/>
  <c r="O8077" i="1" a="1"/>
  <c r="O8077" i="1" s="1"/>
  <c r="J8100" i="1" a="1"/>
  <c r="J8100" i="1" s="1"/>
  <c r="N8100" i="1" a="1"/>
  <c r="N8100" i="1" s="1"/>
  <c r="R8100" i="1" a="1"/>
  <c r="R8100" i="1" s="1"/>
  <c r="K8100" i="1" a="1"/>
  <c r="K8100" i="1" s="1"/>
  <c r="S8100" i="1" a="1"/>
  <c r="S8100" i="1" s="1"/>
  <c r="P8100" i="1" a="1"/>
  <c r="P8100" i="1" s="1"/>
  <c r="B8101" i="1"/>
  <c r="M8100" i="1" a="1"/>
  <c r="M8100" i="1" s="1"/>
  <c r="Q8100" i="1" a="1"/>
  <c r="Q8100" i="1" s="1"/>
  <c r="A8082" i="1"/>
  <c r="I4481" i="1" a="1"/>
  <c r="I4481" i="1" s="1"/>
  <c r="K4481" i="1" a="1"/>
  <c r="K4481" i="1" s="1"/>
  <c r="C4482" i="1"/>
  <c r="H4481" i="1"/>
  <c r="O4481" i="1" a="1"/>
  <c r="O4481" i="1" s="1"/>
  <c r="L8078" i="1" l="1" a="1"/>
  <c r="L8078" i="1" s="1"/>
  <c r="I8078" i="1" a="1"/>
  <c r="I8078" i="1" s="1"/>
  <c r="O8078" i="1" a="1"/>
  <c r="O8078" i="1" s="1"/>
  <c r="H8078" i="1"/>
  <c r="C8079" i="1"/>
  <c r="B8102" i="1"/>
  <c r="M8101" i="1" a="1"/>
  <c r="M8101" i="1" s="1"/>
  <c r="Q8101" i="1" a="1"/>
  <c r="Q8101" i="1" s="1"/>
  <c r="J8101" i="1" a="1"/>
  <c r="J8101" i="1" s="1"/>
  <c r="N8101" i="1" a="1"/>
  <c r="N8101" i="1" s="1"/>
  <c r="R8101" i="1" a="1"/>
  <c r="R8101" i="1" s="1"/>
  <c r="K8101" i="1" a="1"/>
  <c r="K8101" i="1" s="1"/>
  <c r="S8101" i="1" a="1"/>
  <c r="S8101" i="1" s="1"/>
  <c r="P8101" i="1" a="1"/>
  <c r="P8101" i="1" s="1"/>
  <c r="A8083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L8079" i="1" l="1" a="1"/>
  <c r="L8079" i="1" s="1"/>
  <c r="I8079" i="1" a="1"/>
  <c r="I8079" i="1" s="1"/>
  <c r="C8080" i="1"/>
  <c r="H8079" i="1"/>
  <c r="O8079" i="1" a="1"/>
  <c r="O8079" i="1" s="1"/>
  <c r="A8084" i="1"/>
  <c r="P8102" i="1" a="1"/>
  <c r="P8102" i="1" s="1"/>
  <c r="B8103" i="1"/>
  <c r="M8102" i="1" a="1"/>
  <c r="M8102" i="1" s="1"/>
  <c r="Q8102" i="1" a="1"/>
  <c r="Q8102" i="1" s="1"/>
  <c r="J8102" i="1" a="1"/>
  <c r="J8102" i="1" s="1"/>
  <c r="N8102" i="1" a="1"/>
  <c r="N8102" i="1" s="1"/>
  <c r="R8102" i="1" a="1"/>
  <c r="R8102" i="1" s="1"/>
  <c r="K8102" i="1" a="1"/>
  <c r="K8102" i="1" s="1"/>
  <c r="S8102" i="1" a="1"/>
  <c r="S8102" i="1" s="1"/>
  <c r="I4483" i="1" a="1"/>
  <c r="I4483" i="1" s="1"/>
  <c r="K4483" i="1" a="1"/>
  <c r="K4483" i="1" s="1"/>
  <c r="L4484" i="1" a="1"/>
  <c r="L4484" i="1" s="1"/>
  <c r="H4483" i="1"/>
  <c r="O4483" i="1" a="1"/>
  <c r="O4483" i="1" s="1"/>
  <c r="L8080" i="1" l="1" a="1"/>
  <c r="L8080" i="1" s="1"/>
  <c r="I8080" i="1" a="1"/>
  <c r="I8080" i="1" s="1"/>
  <c r="C8081" i="1"/>
  <c r="H8080" i="1"/>
  <c r="O8080" i="1" a="1"/>
  <c r="O8080" i="1" s="1"/>
  <c r="K8103" i="1" a="1"/>
  <c r="K8103" i="1" s="1"/>
  <c r="S8103" i="1" a="1"/>
  <c r="S8103" i="1" s="1"/>
  <c r="P8103" i="1" a="1"/>
  <c r="P8103" i="1" s="1"/>
  <c r="B8104" i="1"/>
  <c r="M8103" i="1" a="1"/>
  <c r="M8103" i="1" s="1"/>
  <c r="Q8103" i="1" a="1"/>
  <c r="Q8103" i="1" s="1"/>
  <c r="J8103" i="1" a="1"/>
  <c r="J8103" i="1" s="1"/>
  <c r="N8103" i="1" a="1"/>
  <c r="N8103" i="1" s="1"/>
  <c r="R8103" i="1" a="1"/>
  <c r="R8103" i="1" s="1"/>
  <c r="A8085" i="1"/>
  <c r="I4484" i="1" a="1"/>
  <c r="I4484" i="1" s="1"/>
  <c r="K4484" i="1" a="1"/>
  <c r="K4484" i="1" s="1"/>
  <c r="C4485" i="1"/>
  <c r="H4484" i="1"/>
  <c r="O4484" i="1" a="1"/>
  <c r="O4484" i="1" s="1"/>
  <c r="L8081" i="1" l="1" a="1"/>
  <c r="L8081" i="1" s="1"/>
  <c r="I8081" i="1" a="1"/>
  <c r="I8081" i="1" s="1"/>
  <c r="C8082" i="1"/>
  <c r="O8081" i="1" a="1"/>
  <c r="O8081" i="1" s="1"/>
  <c r="H8081" i="1"/>
  <c r="A8086" i="1"/>
  <c r="J8104" i="1" a="1"/>
  <c r="J8104" i="1" s="1"/>
  <c r="N8104" i="1" a="1"/>
  <c r="N8104" i="1" s="1"/>
  <c r="R8104" i="1" a="1"/>
  <c r="R8104" i="1" s="1"/>
  <c r="K8104" i="1" a="1"/>
  <c r="K8104" i="1" s="1"/>
  <c r="S8104" i="1" a="1"/>
  <c r="S8104" i="1" s="1"/>
  <c r="P8104" i="1" a="1"/>
  <c r="P8104" i="1" s="1"/>
  <c r="B8105" i="1"/>
  <c r="Q8104" i="1" a="1"/>
  <c r="Q8104" i="1" s="1"/>
  <c r="M8104" i="1" a="1"/>
  <c r="M8104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L8082" i="1" l="1" a="1"/>
  <c r="L8082" i="1" s="1"/>
  <c r="I8082" i="1" a="1"/>
  <c r="I8082" i="1" s="1"/>
  <c r="O8082" i="1" a="1"/>
  <c r="O8082" i="1" s="1"/>
  <c r="C8083" i="1"/>
  <c r="H8082" i="1"/>
  <c r="B8106" i="1"/>
  <c r="M8105" i="1" a="1"/>
  <c r="M8105" i="1" s="1"/>
  <c r="Q8105" i="1" a="1"/>
  <c r="Q8105" i="1" s="1"/>
  <c r="J8105" i="1" a="1"/>
  <c r="J8105" i="1" s="1"/>
  <c r="N8105" i="1" a="1"/>
  <c r="N8105" i="1" s="1"/>
  <c r="R8105" i="1" a="1"/>
  <c r="R8105" i="1" s="1"/>
  <c r="K8105" i="1" a="1"/>
  <c r="K8105" i="1" s="1"/>
  <c r="S8105" i="1" a="1"/>
  <c r="S8105" i="1" s="1"/>
  <c r="P8105" i="1" a="1"/>
  <c r="P8105" i="1" s="1"/>
  <c r="A8087" i="1"/>
  <c r="I4486" i="1" a="1"/>
  <c r="I4486" i="1" s="1"/>
  <c r="K4486" i="1" a="1"/>
  <c r="K4486" i="1" s="1"/>
  <c r="L4487" i="1" a="1"/>
  <c r="L4487" i="1" s="1"/>
  <c r="H4486" i="1"/>
  <c r="O4486" i="1" a="1"/>
  <c r="O4486" i="1" s="1"/>
  <c r="L8083" i="1" l="1" a="1"/>
  <c r="L8083" i="1" s="1"/>
  <c r="I8083" i="1" a="1"/>
  <c r="I8083" i="1" s="1"/>
  <c r="H8083" i="1"/>
  <c r="O8083" i="1" a="1"/>
  <c r="O8083" i="1" s="1"/>
  <c r="C8084" i="1"/>
  <c r="P8106" i="1" a="1"/>
  <c r="P8106" i="1" s="1"/>
  <c r="B8107" i="1"/>
  <c r="M8106" i="1" a="1"/>
  <c r="M8106" i="1" s="1"/>
  <c r="Q8106" i="1" a="1"/>
  <c r="Q8106" i="1" s="1"/>
  <c r="J8106" i="1" a="1"/>
  <c r="J8106" i="1" s="1"/>
  <c r="N8106" i="1" a="1"/>
  <c r="N8106" i="1" s="1"/>
  <c r="R8106" i="1" a="1"/>
  <c r="R8106" i="1" s="1"/>
  <c r="K8106" i="1" a="1"/>
  <c r="K8106" i="1" s="1"/>
  <c r="S8106" i="1" a="1"/>
  <c r="S8106" i="1" s="1"/>
  <c r="A8088" i="1"/>
  <c r="I4487" i="1" a="1"/>
  <c r="I4487" i="1" s="1"/>
  <c r="K4487" i="1" a="1"/>
  <c r="K4487" i="1" s="1"/>
  <c r="L4488" i="1" a="1"/>
  <c r="L4488" i="1" s="1"/>
  <c r="H4487" i="1"/>
  <c r="O4487" i="1" a="1"/>
  <c r="O4487" i="1" s="1"/>
  <c r="L8084" i="1" l="1" a="1"/>
  <c r="L8084" i="1" s="1"/>
  <c r="I8084" i="1" a="1"/>
  <c r="I8084" i="1" s="1"/>
  <c r="C8085" i="1"/>
  <c r="H8084" i="1"/>
  <c r="O8084" i="1" a="1"/>
  <c r="O8084" i="1" s="1"/>
  <c r="K8107" i="1" a="1"/>
  <c r="K8107" i="1" s="1"/>
  <c r="S8107" i="1" a="1"/>
  <c r="S8107" i="1" s="1"/>
  <c r="P8107" i="1" a="1"/>
  <c r="P8107" i="1" s="1"/>
  <c r="B8108" i="1"/>
  <c r="M8107" i="1" a="1"/>
  <c r="M8107" i="1" s="1"/>
  <c r="Q8107" i="1" a="1"/>
  <c r="Q8107" i="1" s="1"/>
  <c r="J8107" i="1" a="1"/>
  <c r="J8107" i="1" s="1"/>
  <c r="N8107" i="1" a="1"/>
  <c r="N8107" i="1" s="1"/>
  <c r="R8107" i="1" a="1"/>
  <c r="R8107" i="1" s="1"/>
  <c r="A8089" i="1"/>
  <c r="I4488" i="1" a="1"/>
  <c r="I4488" i="1" s="1"/>
  <c r="K4488" i="1" a="1"/>
  <c r="K4488" i="1" s="1"/>
  <c r="H4488" i="1"/>
  <c r="O4488" i="1" a="1"/>
  <c r="O4488" i="1" s="1"/>
  <c r="L8085" i="1" l="1" a="1"/>
  <c r="L8085" i="1" s="1"/>
  <c r="I8085" i="1" a="1"/>
  <c r="I8085" i="1" s="1"/>
  <c r="H8085" i="1"/>
  <c r="O8085" i="1" a="1"/>
  <c r="O8085" i="1" s="1"/>
  <c r="C8086" i="1"/>
  <c r="A8090" i="1"/>
  <c r="J8108" i="1" a="1"/>
  <c r="J8108" i="1" s="1"/>
  <c r="N8108" i="1" a="1"/>
  <c r="N8108" i="1" s="1"/>
  <c r="R8108" i="1" a="1"/>
  <c r="R8108" i="1" s="1"/>
  <c r="K8108" i="1" a="1"/>
  <c r="K8108" i="1" s="1"/>
  <c r="S8108" i="1" a="1"/>
  <c r="S8108" i="1" s="1"/>
  <c r="P8108" i="1" a="1"/>
  <c r="P8108" i="1" s="1"/>
  <c r="M8108" i="1" a="1"/>
  <c r="M8108" i="1" s="1"/>
  <c r="Q8108" i="1" a="1"/>
  <c r="Q8108" i="1" s="1"/>
  <c r="B8109" i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8086" i="1" l="1" a="1"/>
  <c r="L8086" i="1" s="1"/>
  <c r="I8086" i="1" a="1"/>
  <c r="I8086" i="1" s="1"/>
  <c r="O8086" i="1" a="1"/>
  <c r="O8086" i="1" s="1"/>
  <c r="H8086" i="1"/>
  <c r="C8087" i="1"/>
  <c r="B8110" i="1"/>
  <c r="M8109" i="1" a="1"/>
  <c r="M8109" i="1" s="1"/>
  <c r="Q8109" i="1" a="1"/>
  <c r="Q8109" i="1" s="1"/>
  <c r="J8109" i="1" a="1"/>
  <c r="J8109" i="1" s="1"/>
  <c r="N8109" i="1" a="1"/>
  <c r="N8109" i="1" s="1"/>
  <c r="R8109" i="1" a="1"/>
  <c r="R8109" i="1" s="1"/>
  <c r="K8109" i="1" a="1"/>
  <c r="K8109" i="1" s="1"/>
  <c r="S8109" i="1" a="1"/>
  <c r="S8109" i="1" s="1"/>
  <c r="P8109" i="1" a="1"/>
  <c r="P8109" i="1" s="1"/>
  <c r="A8091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8087" i="1" l="1" a="1"/>
  <c r="L8087" i="1" s="1"/>
  <c r="I8087" i="1" a="1"/>
  <c r="I8087" i="1" s="1"/>
  <c r="H8087" i="1"/>
  <c r="C8088" i="1"/>
  <c r="O8087" i="1" a="1"/>
  <c r="O8087" i="1" s="1"/>
  <c r="A8092" i="1"/>
  <c r="P8110" i="1" a="1"/>
  <c r="P8110" i="1" s="1"/>
  <c r="B8111" i="1"/>
  <c r="M8110" i="1" a="1"/>
  <c r="M8110" i="1" s="1"/>
  <c r="Q8110" i="1" a="1"/>
  <c r="Q8110" i="1" s="1"/>
  <c r="J8110" i="1" a="1"/>
  <c r="J8110" i="1" s="1"/>
  <c r="N8110" i="1" a="1"/>
  <c r="N8110" i="1" s="1"/>
  <c r="R8110" i="1" a="1"/>
  <c r="R8110" i="1" s="1"/>
  <c r="S8110" i="1" a="1"/>
  <c r="S8110" i="1" s="1"/>
  <c r="K8110" i="1" a="1"/>
  <c r="K8110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8088" i="1" l="1" a="1"/>
  <c r="L8088" i="1" s="1"/>
  <c r="I8088" i="1" a="1"/>
  <c r="I8088" i="1" s="1"/>
  <c r="O8088" i="1" a="1"/>
  <c r="O8088" i="1" s="1"/>
  <c r="C8089" i="1"/>
  <c r="H8088" i="1"/>
  <c r="K8111" i="1" a="1"/>
  <c r="K8111" i="1" s="1"/>
  <c r="S8111" i="1" a="1"/>
  <c r="S8111" i="1" s="1"/>
  <c r="P8111" i="1" a="1"/>
  <c r="P8111" i="1" s="1"/>
  <c r="B8112" i="1"/>
  <c r="M8111" i="1" a="1"/>
  <c r="M8111" i="1" s="1"/>
  <c r="Q8111" i="1" a="1"/>
  <c r="Q8111" i="1" s="1"/>
  <c r="R8111" i="1" a="1"/>
  <c r="R8111" i="1" s="1"/>
  <c r="J8111" i="1" a="1"/>
  <c r="J8111" i="1" s="1"/>
  <c r="N8111" i="1" a="1"/>
  <c r="N8111" i="1" s="1"/>
  <c r="A8093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8089" i="1" l="1" a="1"/>
  <c r="L8089" i="1" s="1"/>
  <c r="I8089" i="1" a="1"/>
  <c r="I8089" i="1" s="1"/>
  <c r="H8089" i="1"/>
  <c r="O8089" i="1" a="1"/>
  <c r="O8089" i="1" s="1"/>
  <c r="C8090" i="1"/>
  <c r="A8094" i="1"/>
  <c r="J8112" i="1" a="1"/>
  <c r="J8112" i="1" s="1"/>
  <c r="N8112" i="1" a="1"/>
  <c r="N8112" i="1" s="1"/>
  <c r="R8112" i="1" a="1"/>
  <c r="R8112" i="1" s="1"/>
  <c r="M8112" i="1" a="1"/>
  <c r="M8112" i="1" s="1"/>
  <c r="P8112" i="1" a="1"/>
  <c r="P8112" i="1" s="1"/>
  <c r="Q8112" i="1" a="1"/>
  <c r="Q8112" i="1" s="1"/>
  <c r="K8112" i="1" a="1"/>
  <c r="K8112" i="1" s="1"/>
  <c r="S8112" i="1" a="1"/>
  <c r="S8112" i="1" s="1"/>
  <c r="B8113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8090" i="1" l="1" a="1"/>
  <c r="L8090" i="1" s="1"/>
  <c r="I8090" i="1" a="1"/>
  <c r="I8090" i="1" s="1"/>
  <c r="H8090" i="1"/>
  <c r="C8091" i="1"/>
  <c r="O8090" i="1" a="1"/>
  <c r="O8090" i="1" s="1"/>
  <c r="B8114" i="1"/>
  <c r="M8113" i="1" a="1"/>
  <c r="M8113" i="1" s="1"/>
  <c r="Q8113" i="1" a="1"/>
  <c r="Q8113" i="1" s="1"/>
  <c r="P8113" i="1" a="1"/>
  <c r="P8113" i="1" s="1"/>
  <c r="J8113" i="1" a="1"/>
  <c r="J8113" i="1" s="1"/>
  <c r="R8113" i="1" a="1"/>
  <c r="R8113" i="1" s="1"/>
  <c r="K8113" i="1" a="1"/>
  <c r="K8113" i="1" s="1"/>
  <c r="S8113" i="1" a="1"/>
  <c r="S8113" i="1" s="1"/>
  <c r="N8113" i="1" a="1"/>
  <c r="N8113" i="1" s="1"/>
  <c r="A8095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L8091" i="1" l="1" a="1"/>
  <c r="L8091" i="1" s="1"/>
  <c r="I8091" i="1" a="1"/>
  <c r="I8091" i="1" s="1"/>
  <c r="H8091" i="1"/>
  <c r="C8092" i="1"/>
  <c r="O8091" i="1" a="1"/>
  <c r="O8091" i="1" s="1"/>
  <c r="A8096" i="1"/>
  <c r="P8114" i="1" a="1"/>
  <c r="P8114" i="1" s="1"/>
  <c r="B8115" i="1"/>
  <c r="K8114" i="1" a="1"/>
  <c r="K8114" i="1" s="1"/>
  <c r="S8114" i="1" a="1"/>
  <c r="S8114" i="1" s="1"/>
  <c r="M8114" i="1" a="1"/>
  <c r="M8114" i="1" s="1"/>
  <c r="N8114" i="1" a="1"/>
  <c r="N8114" i="1" s="1"/>
  <c r="Q8114" i="1" a="1"/>
  <c r="Q8114" i="1" s="1"/>
  <c r="J8114" i="1" a="1"/>
  <c r="J8114" i="1" s="1"/>
  <c r="R8114" i="1" a="1"/>
  <c r="R8114" i="1" s="1"/>
  <c r="J4534" i="1" a="1"/>
  <c r="J4534" i="1" s="1"/>
  <c r="L8092" i="1" l="1" a="1"/>
  <c r="L8092" i="1" s="1"/>
  <c r="I8092" i="1" a="1"/>
  <c r="I8092" i="1" s="1"/>
  <c r="H8092" i="1"/>
  <c r="C8093" i="1"/>
  <c r="O8092" i="1" a="1"/>
  <c r="O8092" i="1" s="1"/>
  <c r="K8115" i="1" a="1"/>
  <c r="K8115" i="1" s="1"/>
  <c r="S8115" i="1" a="1"/>
  <c r="S8115" i="1" s="1"/>
  <c r="B8116" i="1"/>
  <c r="N8115" i="1" a="1"/>
  <c r="N8115" i="1" s="1"/>
  <c r="P8115" i="1" a="1"/>
  <c r="P8115" i="1" s="1"/>
  <c r="Q8115" i="1" a="1"/>
  <c r="Q8115" i="1" s="1"/>
  <c r="J8115" i="1" a="1"/>
  <c r="J8115" i="1" s="1"/>
  <c r="R8115" i="1" a="1"/>
  <c r="R8115" i="1" s="1"/>
  <c r="M8115" i="1" a="1"/>
  <c r="M8115" i="1" s="1"/>
  <c r="A8097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L8093" i="1" l="1" a="1"/>
  <c r="L8093" i="1" s="1"/>
  <c r="I8093" i="1" a="1"/>
  <c r="I8093" i="1" s="1"/>
  <c r="H8093" i="1"/>
  <c r="O8093" i="1" a="1"/>
  <c r="O8093" i="1" s="1"/>
  <c r="C8094" i="1"/>
  <c r="A8098" i="1"/>
  <c r="J8116" i="1" a="1"/>
  <c r="J8116" i="1" s="1"/>
  <c r="N8116" i="1" a="1"/>
  <c r="N8116" i="1" s="1"/>
  <c r="Q8116" i="1" a="1"/>
  <c r="Q8116" i="1" s="1"/>
  <c r="K8116" i="1" a="1"/>
  <c r="K8116" i="1" s="1"/>
  <c r="R8116" i="1" a="1"/>
  <c r="R8116" i="1" s="1"/>
  <c r="S8116" i="1" a="1"/>
  <c r="S8116" i="1" s="1"/>
  <c r="M8116" i="1" a="1"/>
  <c r="M8116" i="1" s="1"/>
  <c r="B8117" i="1"/>
  <c r="P8116" i="1" a="1"/>
  <c r="P8116" i="1" s="1"/>
  <c r="J4597" i="1" a="1"/>
  <c r="J4597" i="1" s="1"/>
  <c r="L8094" i="1" l="1" a="1"/>
  <c r="L8094" i="1" s="1"/>
  <c r="I8094" i="1" a="1"/>
  <c r="I8094" i="1" s="1"/>
  <c r="C8095" i="1"/>
  <c r="H8094" i="1"/>
  <c r="O8094" i="1" a="1"/>
  <c r="O8094" i="1" s="1"/>
  <c r="B8118" i="1"/>
  <c r="K8117" i="1" a="1"/>
  <c r="K8117" i="1" s="1"/>
  <c r="Q8117" i="1" a="1"/>
  <c r="Q8117" i="1" s="1"/>
  <c r="R8117" i="1" a="1"/>
  <c r="R8117" i="1" s="1"/>
  <c r="S8117" i="1" a="1"/>
  <c r="S8117" i="1" s="1"/>
  <c r="M8117" i="1" a="1"/>
  <c r="M8117" i="1" s="1"/>
  <c r="N8117" i="1" a="1"/>
  <c r="N8117" i="1" s="1"/>
  <c r="J8117" i="1" a="1"/>
  <c r="J8117" i="1" s="1"/>
  <c r="P8117" i="1" a="1"/>
  <c r="P8117" i="1" s="1"/>
  <c r="A8099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8095" i="1" l="1" a="1"/>
  <c r="L8095" i="1" s="1"/>
  <c r="I8095" i="1" a="1"/>
  <c r="I8095" i="1" s="1"/>
  <c r="H8095" i="1"/>
  <c r="O8095" i="1" a="1"/>
  <c r="O8095" i="1" s="1"/>
  <c r="C8096" i="1"/>
  <c r="A8100" i="1"/>
  <c r="B8119" i="1"/>
  <c r="Q8118" i="1" a="1"/>
  <c r="Q8118" i="1" s="1"/>
  <c r="K8118" i="1" a="1"/>
  <c r="K8118" i="1" s="1"/>
  <c r="R8118" i="1" a="1"/>
  <c r="R8118" i="1" s="1"/>
  <c r="M8118" i="1" a="1"/>
  <c r="M8118" i="1" s="1"/>
  <c r="S8118" i="1" a="1"/>
  <c r="S8118" i="1" s="1"/>
  <c r="N8118" i="1" a="1"/>
  <c r="N8118" i="1" s="1"/>
  <c r="J8118" i="1" a="1"/>
  <c r="J8118" i="1" s="1"/>
  <c r="P8118" i="1" a="1"/>
  <c r="P8118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8096" i="1" l="1" a="1"/>
  <c r="L8096" i="1" s="1"/>
  <c r="I8096" i="1" a="1"/>
  <c r="I8096" i="1" s="1"/>
  <c r="H8096" i="1"/>
  <c r="O8096" i="1" a="1"/>
  <c r="O8096" i="1" s="1"/>
  <c r="C8097" i="1"/>
  <c r="B8120" i="1"/>
  <c r="J8119" i="1" a="1"/>
  <c r="J8119" i="1" s="1"/>
  <c r="Q8119" i="1" a="1"/>
  <c r="Q8119" i="1" s="1"/>
  <c r="K8119" i="1" a="1"/>
  <c r="K8119" i="1" s="1"/>
  <c r="R8119" i="1" a="1"/>
  <c r="R8119" i="1" s="1"/>
  <c r="M8119" i="1" a="1"/>
  <c r="M8119" i="1" s="1"/>
  <c r="S8119" i="1" a="1"/>
  <c r="S8119" i="1" s="1"/>
  <c r="N8119" i="1" a="1"/>
  <c r="N8119" i="1" s="1"/>
  <c r="P8119" i="1" a="1"/>
  <c r="P8119" i="1" s="1"/>
  <c r="A8101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8097" i="1" l="1" a="1"/>
  <c r="L8097" i="1" s="1"/>
  <c r="I8097" i="1" a="1"/>
  <c r="I8097" i="1" s="1"/>
  <c r="H8097" i="1"/>
  <c r="O8097" i="1" a="1"/>
  <c r="O8097" i="1" s="1"/>
  <c r="C8098" i="1"/>
  <c r="A8102" i="1"/>
  <c r="J8120" i="1" a="1"/>
  <c r="J8120" i="1" s="1"/>
  <c r="K8120" i="1" a="1"/>
  <c r="K8120" i="1" s="1"/>
  <c r="Q8120" i="1" a="1"/>
  <c r="Q8120" i="1" s="1"/>
  <c r="R8120" i="1" a="1"/>
  <c r="R8120" i="1" s="1"/>
  <c r="S8120" i="1" a="1"/>
  <c r="S8120" i="1" s="1"/>
  <c r="M8120" i="1" a="1"/>
  <c r="M8120" i="1" s="1"/>
  <c r="N8120" i="1" a="1"/>
  <c r="N8120" i="1" s="1"/>
  <c r="B8121" i="1"/>
  <c r="P8120" i="1" a="1"/>
  <c r="P8120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8098" i="1" l="1" a="1"/>
  <c r="L8098" i="1" s="1"/>
  <c r="I8098" i="1" a="1"/>
  <c r="I8098" i="1" s="1"/>
  <c r="C8099" i="1"/>
  <c r="O8098" i="1" a="1"/>
  <c r="O8098" i="1" s="1"/>
  <c r="H8098" i="1"/>
  <c r="B8122" i="1"/>
  <c r="J8121" i="1" a="1"/>
  <c r="J8121" i="1" s="1"/>
  <c r="P8121" i="1" a="1"/>
  <c r="P8121" i="1" s="1"/>
  <c r="K8121" i="1" a="1"/>
  <c r="K8121" i="1" s="1"/>
  <c r="Q8121" i="1" a="1"/>
  <c r="Q8121" i="1" s="1"/>
  <c r="R8121" i="1" a="1"/>
  <c r="R8121" i="1" s="1"/>
  <c r="S8121" i="1" a="1"/>
  <c r="S8121" i="1" s="1"/>
  <c r="M8121" i="1" a="1"/>
  <c r="M8121" i="1" s="1"/>
  <c r="N8121" i="1" a="1"/>
  <c r="N8121" i="1" s="1"/>
  <c r="A8103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8099" i="1" l="1" a="1"/>
  <c r="L8099" i="1" s="1"/>
  <c r="I8099" i="1" a="1"/>
  <c r="I8099" i="1" s="1"/>
  <c r="H8099" i="1"/>
  <c r="O8099" i="1" a="1"/>
  <c r="O8099" i="1" s="1"/>
  <c r="C8100" i="1"/>
  <c r="B8123" i="1"/>
  <c r="J8122" i="1" a="1"/>
  <c r="J8122" i="1" s="1"/>
  <c r="P8122" i="1" a="1"/>
  <c r="P8122" i="1" s="1"/>
  <c r="Q8122" i="1" a="1"/>
  <c r="Q8122" i="1" s="1"/>
  <c r="K8122" i="1" a="1"/>
  <c r="K8122" i="1" s="1"/>
  <c r="R8122" i="1" a="1"/>
  <c r="R8122" i="1" s="1"/>
  <c r="M8122" i="1" a="1"/>
  <c r="M8122" i="1" s="1"/>
  <c r="S8122" i="1" a="1"/>
  <c r="S8122" i="1" s="1"/>
  <c r="N8122" i="1" a="1"/>
  <c r="N8122" i="1" s="1"/>
  <c r="A8104" i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8100" i="1" l="1" a="1"/>
  <c r="L8100" i="1" s="1"/>
  <c r="I8100" i="1" a="1"/>
  <c r="I8100" i="1" s="1"/>
  <c r="C8101" i="1"/>
  <c r="H8100" i="1"/>
  <c r="O8100" i="1" a="1"/>
  <c r="O8100" i="1" s="1"/>
  <c r="A8105" i="1"/>
  <c r="B8124" i="1"/>
  <c r="P8123" i="1" a="1"/>
  <c r="P8123" i="1" s="1"/>
  <c r="J8123" i="1" a="1"/>
  <c r="J8123" i="1" s="1"/>
  <c r="Q8123" i="1" a="1"/>
  <c r="Q8123" i="1" s="1"/>
  <c r="K8123" i="1" a="1"/>
  <c r="K8123" i="1" s="1"/>
  <c r="R8123" i="1" a="1"/>
  <c r="R8123" i="1" s="1"/>
  <c r="M8123" i="1" a="1"/>
  <c r="M8123" i="1" s="1"/>
  <c r="S8123" i="1" a="1"/>
  <c r="S8123" i="1" s="1"/>
  <c r="N8123" i="1" a="1"/>
  <c r="N8123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8101" i="1" l="1" a="1"/>
  <c r="L8101" i="1" s="1"/>
  <c r="I8101" i="1" a="1"/>
  <c r="I8101" i="1" s="1"/>
  <c r="H8101" i="1"/>
  <c r="O8101" i="1" a="1"/>
  <c r="O8101" i="1" s="1"/>
  <c r="C8102" i="1"/>
  <c r="P8124" i="1" a="1"/>
  <c r="P8124" i="1" s="1"/>
  <c r="J8124" i="1" a="1"/>
  <c r="J8124" i="1" s="1"/>
  <c r="K8124" i="1" a="1"/>
  <c r="K8124" i="1" s="1"/>
  <c r="Q8124" i="1" a="1"/>
  <c r="Q8124" i="1" s="1"/>
  <c r="R8124" i="1" a="1"/>
  <c r="R8124" i="1" s="1"/>
  <c r="S8124" i="1" a="1"/>
  <c r="S8124" i="1" s="1"/>
  <c r="M8124" i="1" a="1"/>
  <c r="M8124" i="1" s="1"/>
  <c r="N8124" i="1" a="1"/>
  <c r="N8124" i="1" s="1"/>
  <c r="B8125" i="1"/>
  <c r="A8106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8102" i="1" l="1" a="1"/>
  <c r="L8102" i="1" s="1"/>
  <c r="I8102" i="1" a="1"/>
  <c r="I8102" i="1" s="1"/>
  <c r="C8103" i="1"/>
  <c r="H8102" i="1"/>
  <c r="O8102" i="1" a="1"/>
  <c r="O8102" i="1" s="1"/>
  <c r="B8126" i="1"/>
  <c r="J8125" i="1" a="1"/>
  <c r="J8125" i="1" s="1"/>
  <c r="P8125" i="1" a="1"/>
  <c r="P8125" i="1" s="1"/>
  <c r="K8125" i="1" a="1"/>
  <c r="K8125" i="1" s="1"/>
  <c r="Q8125" i="1" a="1"/>
  <c r="Q8125" i="1" s="1"/>
  <c r="R8125" i="1" a="1"/>
  <c r="R8125" i="1" s="1"/>
  <c r="S8125" i="1" a="1"/>
  <c r="S8125" i="1" s="1"/>
  <c r="M8125" i="1" a="1"/>
  <c r="M8125" i="1" s="1"/>
  <c r="N8125" i="1" a="1"/>
  <c r="N8125" i="1" s="1"/>
  <c r="A8107" i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8103" i="1" l="1" a="1"/>
  <c r="L8103" i="1" s="1"/>
  <c r="I8103" i="1" a="1"/>
  <c r="I8103" i="1" s="1"/>
  <c r="H8103" i="1"/>
  <c r="O8103" i="1" a="1"/>
  <c r="O8103" i="1" s="1"/>
  <c r="C8104" i="1"/>
  <c r="A8108" i="1"/>
  <c r="B8127" i="1"/>
  <c r="J8126" i="1" a="1"/>
  <c r="J8126" i="1" s="1"/>
  <c r="P8126" i="1" a="1"/>
  <c r="P8126" i="1" s="1"/>
  <c r="Q8126" i="1" a="1"/>
  <c r="Q8126" i="1" s="1"/>
  <c r="K8126" i="1" a="1"/>
  <c r="K8126" i="1" s="1"/>
  <c r="R8126" i="1" a="1"/>
  <c r="R8126" i="1" s="1"/>
  <c r="M8126" i="1" a="1"/>
  <c r="M8126" i="1" s="1"/>
  <c r="S8126" i="1" a="1"/>
  <c r="S8126" i="1" s="1"/>
  <c r="N8126" i="1" a="1"/>
  <c r="N8126" i="1" s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8104" i="1" l="1" a="1"/>
  <c r="L8104" i="1" s="1"/>
  <c r="I8104" i="1" a="1"/>
  <c r="I8104" i="1" s="1"/>
  <c r="C8105" i="1"/>
  <c r="H8104" i="1"/>
  <c r="O8104" i="1" a="1"/>
  <c r="O8104" i="1" s="1"/>
  <c r="B8128" i="1"/>
  <c r="P8127" i="1" a="1"/>
  <c r="P8127" i="1" s="1"/>
  <c r="J8127" i="1" a="1"/>
  <c r="J8127" i="1" s="1"/>
  <c r="Q8127" i="1" a="1"/>
  <c r="Q8127" i="1" s="1"/>
  <c r="K8127" i="1" a="1"/>
  <c r="K8127" i="1" s="1"/>
  <c r="R8127" i="1" a="1"/>
  <c r="R8127" i="1" s="1"/>
  <c r="M8127" i="1" a="1"/>
  <c r="M8127" i="1" s="1"/>
  <c r="S8127" i="1" a="1"/>
  <c r="S8127" i="1" s="1"/>
  <c r="N8127" i="1" a="1"/>
  <c r="N8127" i="1" s="1"/>
  <c r="A8109" i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8105" i="1" l="1" a="1"/>
  <c r="L8105" i="1" s="1"/>
  <c r="I8105" i="1" a="1"/>
  <c r="I8105" i="1" s="1"/>
  <c r="H8105" i="1"/>
  <c r="C8106" i="1"/>
  <c r="O8105" i="1" a="1"/>
  <c r="O8105" i="1" s="1"/>
  <c r="A8110" i="1"/>
  <c r="P8128" i="1" a="1"/>
  <c r="P8128" i="1" s="1"/>
  <c r="J8128" i="1" a="1"/>
  <c r="J8128" i="1" s="1"/>
  <c r="K8128" i="1" a="1"/>
  <c r="K8128" i="1" s="1"/>
  <c r="Q8128" i="1" a="1"/>
  <c r="Q8128" i="1" s="1"/>
  <c r="R8128" i="1" a="1"/>
  <c r="R8128" i="1" s="1"/>
  <c r="S8128" i="1" a="1"/>
  <c r="S8128" i="1" s="1"/>
  <c r="M8128" i="1" a="1"/>
  <c r="M8128" i="1" s="1"/>
  <c r="N8128" i="1" a="1"/>
  <c r="N8128" i="1" s="1"/>
  <c r="B8129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8106" i="1" l="1" a="1"/>
  <c r="L8106" i="1" s="1"/>
  <c r="I8106" i="1" a="1"/>
  <c r="I8106" i="1" s="1"/>
  <c r="C8107" i="1"/>
  <c r="H8106" i="1"/>
  <c r="O8106" i="1" a="1"/>
  <c r="O8106" i="1" s="1"/>
  <c r="B8130" i="1"/>
  <c r="J8129" i="1" a="1"/>
  <c r="J8129" i="1" s="1"/>
  <c r="P8129" i="1" a="1"/>
  <c r="P8129" i="1" s="1"/>
  <c r="K8129" i="1" a="1"/>
  <c r="K8129" i="1" s="1"/>
  <c r="Q8129" i="1" a="1"/>
  <c r="Q8129" i="1" s="1"/>
  <c r="R8129" i="1" a="1"/>
  <c r="R8129" i="1" s="1"/>
  <c r="S8129" i="1" a="1"/>
  <c r="S8129" i="1" s="1"/>
  <c r="M8129" i="1" a="1"/>
  <c r="M8129" i="1" s="1"/>
  <c r="N8129" i="1" a="1"/>
  <c r="N8129" i="1" s="1"/>
  <c r="A8111" i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8107" i="1" l="1" a="1"/>
  <c r="L8107" i="1" s="1"/>
  <c r="I8107" i="1" a="1"/>
  <c r="I8107" i="1" s="1"/>
  <c r="H8107" i="1"/>
  <c r="O8107" i="1" a="1"/>
  <c r="O8107" i="1" s="1"/>
  <c r="C8108" i="1"/>
  <c r="A8112" i="1"/>
  <c r="B8131" i="1"/>
  <c r="J8130" i="1" a="1"/>
  <c r="J8130" i="1" s="1"/>
  <c r="P8130" i="1" a="1"/>
  <c r="P8130" i="1" s="1"/>
  <c r="Q8130" i="1" a="1"/>
  <c r="Q8130" i="1" s="1"/>
  <c r="K8130" i="1" a="1"/>
  <c r="K8130" i="1" s="1"/>
  <c r="R8130" i="1" a="1"/>
  <c r="R8130" i="1" s="1"/>
  <c r="M8130" i="1" a="1"/>
  <c r="M8130" i="1" s="1"/>
  <c r="S8130" i="1" a="1"/>
  <c r="S8130" i="1" s="1"/>
  <c r="N8130" i="1" a="1"/>
  <c r="N8130" i="1" s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8108" i="1" l="1" a="1"/>
  <c r="L8108" i="1" s="1"/>
  <c r="I8108" i="1" a="1"/>
  <c r="I8108" i="1" s="1"/>
  <c r="C8109" i="1"/>
  <c r="H8108" i="1"/>
  <c r="O8108" i="1" a="1"/>
  <c r="O8108" i="1" s="1"/>
  <c r="B8132" i="1"/>
  <c r="N8131" i="1" a="1"/>
  <c r="N8131" i="1" s="1"/>
  <c r="P8131" i="1" a="1"/>
  <c r="P8131" i="1" s="1"/>
  <c r="J8131" i="1" a="1"/>
  <c r="J8131" i="1" s="1"/>
  <c r="Q8131" i="1" a="1"/>
  <c r="Q8131" i="1" s="1"/>
  <c r="K8131" i="1" a="1"/>
  <c r="K8131" i="1" s="1"/>
  <c r="R8131" i="1" a="1"/>
  <c r="R8131" i="1" s="1"/>
  <c r="M8131" i="1" a="1"/>
  <c r="M8131" i="1" s="1"/>
  <c r="S8131" i="1" a="1"/>
  <c r="S8131" i="1" s="1"/>
  <c r="A8113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8109" i="1" l="1" a="1"/>
  <c r="L8109" i="1" s="1"/>
  <c r="I8109" i="1" a="1"/>
  <c r="I8109" i="1" s="1"/>
  <c r="H8109" i="1"/>
  <c r="O8109" i="1" a="1"/>
  <c r="O8109" i="1" s="1"/>
  <c r="C8110" i="1"/>
  <c r="N8132" i="1" a="1"/>
  <c r="N8132" i="1" s="1"/>
  <c r="B8133" i="1"/>
  <c r="P8132" i="1" a="1"/>
  <c r="P8132" i="1" s="1"/>
  <c r="J8132" i="1" a="1"/>
  <c r="J8132" i="1" s="1"/>
  <c r="K8132" i="1" a="1"/>
  <c r="K8132" i="1" s="1"/>
  <c r="Q8132" i="1" a="1"/>
  <c r="Q8132" i="1" s="1"/>
  <c r="R8132" i="1" a="1"/>
  <c r="R8132" i="1" s="1"/>
  <c r="S8132" i="1" a="1"/>
  <c r="S8132" i="1" s="1"/>
  <c r="M8132" i="1" a="1"/>
  <c r="M8132" i="1" s="1"/>
  <c r="A8114" i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8110" i="1" l="1" a="1"/>
  <c r="L8110" i="1" s="1"/>
  <c r="I8110" i="1" a="1"/>
  <c r="I8110" i="1" s="1"/>
  <c r="C8111" i="1"/>
  <c r="O8110" i="1" a="1"/>
  <c r="O8110" i="1" s="1"/>
  <c r="H8110" i="1"/>
  <c r="A8115" i="1"/>
  <c r="B8134" i="1"/>
  <c r="N8133" i="1" a="1"/>
  <c r="N8133" i="1" s="1"/>
  <c r="J8133" i="1" a="1"/>
  <c r="J8133" i="1" s="1"/>
  <c r="P8133" i="1" a="1"/>
  <c r="P8133" i="1" s="1"/>
  <c r="K8133" i="1" a="1"/>
  <c r="K8133" i="1" s="1"/>
  <c r="Q8133" i="1" a="1"/>
  <c r="Q8133" i="1" s="1"/>
  <c r="R8133" i="1" a="1"/>
  <c r="R8133" i="1" s="1"/>
  <c r="S8133" i="1" a="1"/>
  <c r="S8133" i="1" s="1"/>
  <c r="M8133" i="1" a="1"/>
  <c r="M8133" i="1" s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8111" i="1" l="1" a="1"/>
  <c r="L8111" i="1" s="1"/>
  <c r="I8111" i="1" a="1"/>
  <c r="I8111" i="1" s="1"/>
  <c r="H8111" i="1"/>
  <c r="O8111" i="1" a="1"/>
  <c r="O8111" i="1" s="1"/>
  <c r="C8112" i="1"/>
  <c r="B8135" i="1"/>
  <c r="N8134" i="1" a="1"/>
  <c r="N8134" i="1" s="1"/>
  <c r="J8134" i="1" a="1"/>
  <c r="J8134" i="1" s="1"/>
  <c r="P8134" i="1" a="1"/>
  <c r="P8134" i="1" s="1"/>
  <c r="Q8134" i="1" a="1"/>
  <c r="Q8134" i="1" s="1"/>
  <c r="K8134" i="1" a="1"/>
  <c r="K8134" i="1" s="1"/>
  <c r="R8134" i="1" a="1"/>
  <c r="R8134" i="1" s="1"/>
  <c r="M8134" i="1" a="1"/>
  <c r="M8134" i="1" s="1"/>
  <c r="S8134" i="1" a="1"/>
  <c r="S8134" i="1" s="1"/>
  <c r="A8116" i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8112" i="1" l="1" a="1"/>
  <c r="L8112" i="1" s="1"/>
  <c r="I8112" i="1" a="1"/>
  <c r="I8112" i="1" s="1"/>
  <c r="O8112" i="1" a="1"/>
  <c r="O8112" i="1" s="1"/>
  <c r="C8113" i="1"/>
  <c r="H8112" i="1"/>
  <c r="A8117" i="1"/>
  <c r="B8136" i="1"/>
  <c r="N8135" i="1" a="1"/>
  <c r="N8135" i="1" s="1"/>
  <c r="P8135" i="1" a="1"/>
  <c r="P8135" i="1" s="1"/>
  <c r="J8135" i="1" a="1"/>
  <c r="J8135" i="1" s="1"/>
  <c r="Q8135" i="1" a="1"/>
  <c r="Q8135" i="1" s="1"/>
  <c r="K8135" i="1" a="1"/>
  <c r="K8135" i="1" s="1"/>
  <c r="R8135" i="1" a="1"/>
  <c r="R8135" i="1" s="1"/>
  <c r="M8135" i="1" a="1"/>
  <c r="M8135" i="1" s="1"/>
  <c r="S8135" i="1" a="1"/>
  <c r="S8135" i="1" s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8113" i="1" l="1" a="1"/>
  <c r="L8113" i="1" s="1"/>
  <c r="I8113" i="1" a="1"/>
  <c r="I8113" i="1" s="1"/>
  <c r="H8113" i="1"/>
  <c r="C8114" i="1"/>
  <c r="O8113" i="1" a="1"/>
  <c r="O8113" i="1" s="1"/>
  <c r="M8136" i="1" a="1"/>
  <c r="M8136" i="1" s="1"/>
  <c r="N8136" i="1" a="1"/>
  <c r="N8136" i="1" s="1"/>
  <c r="B8137" i="1"/>
  <c r="P8136" i="1" a="1"/>
  <c r="P8136" i="1" s="1"/>
  <c r="J8136" i="1" a="1"/>
  <c r="J8136" i="1" s="1"/>
  <c r="K8136" i="1" a="1"/>
  <c r="K8136" i="1" s="1"/>
  <c r="Q8136" i="1" a="1"/>
  <c r="Q8136" i="1" s="1"/>
  <c r="R8136" i="1" a="1"/>
  <c r="R8136" i="1" s="1"/>
  <c r="S8136" i="1" a="1"/>
  <c r="S8136" i="1" s="1"/>
  <c r="A8118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8114" i="1" l="1" a="1"/>
  <c r="L8114" i="1" s="1"/>
  <c r="I8114" i="1" a="1"/>
  <c r="I8114" i="1" s="1"/>
  <c r="C8115" i="1"/>
  <c r="O8114" i="1" a="1"/>
  <c r="O8114" i="1" s="1"/>
  <c r="H8114" i="1"/>
  <c r="A8119" i="1"/>
  <c r="B8138" i="1"/>
  <c r="M8137" i="1" a="1"/>
  <c r="M8137" i="1" s="1"/>
  <c r="Q8137" i="1" a="1"/>
  <c r="Q8137" i="1" s="1"/>
  <c r="N8137" i="1" a="1"/>
  <c r="N8137" i="1" s="1"/>
  <c r="R8137" i="1" a="1"/>
  <c r="R8137" i="1" s="1"/>
  <c r="J8137" i="1" a="1"/>
  <c r="J8137" i="1" s="1"/>
  <c r="K8137" i="1" a="1"/>
  <c r="K8137" i="1" s="1"/>
  <c r="S8137" i="1" a="1"/>
  <c r="S8137" i="1" s="1"/>
  <c r="P8137" i="1" a="1"/>
  <c r="P8137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8115" i="1" l="1" a="1"/>
  <c r="L8115" i="1" s="1"/>
  <c r="I8115" i="1" a="1"/>
  <c r="I8115" i="1" s="1"/>
  <c r="O8115" i="1" a="1"/>
  <c r="O8115" i="1" s="1"/>
  <c r="C8116" i="1"/>
  <c r="H8115" i="1"/>
  <c r="A8120" i="1"/>
  <c r="P8138" i="1" a="1"/>
  <c r="P8138" i="1" s="1"/>
  <c r="B8139" i="1"/>
  <c r="M8138" i="1" a="1"/>
  <c r="M8138" i="1" s="1"/>
  <c r="Q8138" i="1" a="1"/>
  <c r="Q8138" i="1" s="1"/>
  <c r="J8138" i="1" a="1"/>
  <c r="J8138" i="1" s="1"/>
  <c r="N8138" i="1" a="1"/>
  <c r="N8138" i="1" s="1"/>
  <c r="R8138" i="1" a="1"/>
  <c r="R8138" i="1" s="1"/>
  <c r="K8138" i="1" a="1"/>
  <c r="K8138" i="1" s="1"/>
  <c r="S8138" i="1" a="1"/>
  <c r="S8138" i="1" s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8116" i="1" l="1" a="1"/>
  <c r="L8116" i="1" s="1"/>
  <c r="I8116" i="1" a="1"/>
  <c r="I8116" i="1" s="1"/>
  <c r="C8117" i="1"/>
  <c r="H8116" i="1"/>
  <c r="O8116" i="1" a="1"/>
  <c r="O8116" i="1" s="1"/>
  <c r="K8139" i="1" a="1"/>
  <c r="K8139" i="1" s="1"/>
  <c r="S8139" i="1" a="1"/>
  <c r="S8139" i="1" s="1"/>
  <c r="P8139" i="1" a="1"/>
  <c r="P8139" i="1" s="1"/>
  <c r="B8140" i="1"/>
  <c r="M8139" i="1" a="1"/>
  <c r="M8139" i="1" s="1"/>
  <c r="Q8139" i="1" a="1"/>
  <c r="Q8139" i="1" s="1"/>
  <c r="J8139" i="1" a="1"/>
  <c r="J8139" i="1" s="1"/>
  <c r="N8139" i="1" a="1"/>
  <c r="N8139" i="1" s="1"/>
  <c r="R8139" i="1" a="1"/>
  <c r="R8139" i="1" s="1"/>
  <c r="A8121" i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8117" i="1" l="1" a="1"/>
  <c r="L8117" i="1" s="1"/>
  <c r="I8117" i="1" a="1"/>
  <c r="I8117" i="1" s="1"/>
  <c r="H8117" i="1"/>
  <c r="O8117" i="1" a="1"/>
  <c r="O8117" i="1" s="1"/>
  <c r="C8118" i="1"/>
  <c r="A8122" i="1"/>
  <c r="J8140" i="1" a="1"/>
  <c r="J8140" i="1" s="1"/>
  <c r="N8140" i="1" a="1"/>
  <c r="N8140" i="1" s="1"/>
  <c r="R8140" i="1" a="1"/>
  <c r="R8140" i="1" s="1"/>
  <c r="K8140" i="1" a="1"/>
  <c r="K8140" i="1" s="1"/>
  <c r="S8140" i="1" a="1"/>
  <c r="S8140" i="1" s="1"/>
  <c r="P8140" i="1" a="1"/>
  <c r="P8140" i="1" s="1"/>
  <c r="B8141" i="1"/>
  <c r="M8140" i="1" a="1"/>
  <c r="M8140" i="1" s="1"/>
  <c r="Q8140" i="1" a="1"/>
  <c r="Q8140" i="1" s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8118" i="1" l="1" a="1"/>
  <c r="L8118" i="1" s="1"/>
  <c r="I8118" i="1" a="1"/>
  <c r="I8118" i="1" s="1"/>
  <c r="C8119" i="1"/>
  <c r="H8118" i="1"/>
  <c r="O8118" i="1" a="1"/>
  <c r="O8118" i="1" s="1"/>
  <c r="B8142" i="1"/>
  <c r="M8141" i="1" a="1"/>
  <c r="M8141" i="1" s="1"/>
  <c r="Q8141" i="1" a="1"/>
  <c r="Q8141" i="1" s="1"/>
  <c r="J8141" i="1" a="1"/>
  <c r="J8141" i="1" s="1"/>
  <c r="N8141" i="1" a="1"/>
  <c r="N8141" i="1" s="1"/>
  <c r="R8141" i="1" a="1"/>
  <c r="R8141" i="1" s="1"/>
  <c r="K8141" i="1" a="1"/>
  <c r="K8141" i="1" s="1"/>
  <c r="S8141" i="1" a="1"/>
  <c r="S8141" i="1" s="1"/>
  <c r="P8141" i="1" a="1"/>
  <c r="P8141" i="1" s="1"/>
  <c r="A8123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8119" i="1" l="1" a="1"/>
  <c r="L8119" i="1" s="1"/>
  <c r="I8119" i="1" a="1"/>
  <c r="I8119" i="1" s="1"/>
  <c r="H8119" i="1"/>
  <c r="O8119" i="1" a="1"/>
  <c r="O8119" i="1" s="1"/>
  <c r="C8120" i="1"/>
  <c r="P8142" i="1" a="1"/>
  <c r="P8142" i="1" s="1"/>
  <c r="B8143" i="1"/>
  <c r="M8142" i="1" a="1"/>
  <c r="M8142" i="1" s="1"/>
  <c r="Q8142" i="1" a="1"/>
  <c r="Q8142" i="1" s="1"/>
  <c r="J8142" i="1" a="1"/>
  <c r="J8142" i="1" s="1"/>
  <c r="N8142" i="1" a="1"/>
  <c r="N8142" i="1" s="1"/>
  <c r="R8142" i="1" a="1"/>
  <c r="R8142" i="1" s="1"/>
  <c r="K8142" i="1" a="1"/>
  <c r="K8142" i="1" s="1"/>
  <c r="S8142" i="1" a="1"/>
  <c r="S8142" i="1" s="1"/>
  <c r="A8124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8120" i="1" l="1" a="1"/>
  <c r="L8120" i="1" s="1"/>
  <c r="I8120" i="1" a="1"/>
  <c r="I8120" i="1" s="1"/>
  <c r="C8121" i="1"/>
  <c r="H8120" i="1"/>
  <c r="O8120" i="1" a="1"/>
  <c r="O8120" i="1" s="1"/>
  <c r="A8125" i="1"/>
  <c r="K8143" i="1" a="1"/>
  <c r="K8143" i="1" s="1"/>
  <c r="S8143" i="1" a="1"/>
  <c r="S8143" i="1" s="1"/>
  <c r="P8143" i="1" a="1"/>
  <c r="P8143" i="1" s="1"/>
  <c r="B8144" i="1"/>
  <c r="M8143" i="1" a="1"/>
  <c r="M8143" i="1" s="1"/>
  <c r="Q8143" i="1" a="1"/>
  <c r="Q8143" i="1" s="1"/>
  <c r="J8143" i="1" a="1"/>
  <c r="J8143" i="1" s="1"/>
  <c r="N8143" i="1" a="1"/>
  <c r="N8143" i="1" s="1"/>
  <c r="R8143" i="1" a="1"/>
  <c r="R8143" i="1" s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8121" i="1" l="1" a="1"/>
  <c r="L8121" i="1" s="1"/>
  <c r="I8121" i="1" a="1"/>
  <c r="I8121" i="1" s="1"/>
  <c r="H8121" i="1"/>
  <c r="C8122" i="1"/>
  <c r="O8121" i="1" a="1"/>
  <c r="O8121" i="1" s="1"/>
  <c r="J8144" i="1" a="1"/>
  <c r="J8144" i="1" s="1"/>
  <c r="N8144" i="1" a="1"/>
  <c r="N8144" i="1" s="1"/>
  <c r="R8144" i="1" a="1"/>
  <c r="R8144" i="1" s="1"/>
  <c r="K8144" i="1" a="1"/>
  <c r="K8144" i="1" s="1"/>
  <c r="S8144" i="1" a="1"/>
  <c r="S8144" i="1" s="1"/>
  <c r="P8144" i="1" a="1"/>
  <c r="P8144" i="1" s="1"/>
  <c r="B8145" i="1"/>
  <c r="M8144" i="1" a="1"/>
  <c r="M8144" i="1" s="1"/>
  <c r="Q8144" i="1" a="1"/>
  <c r="Q8144" i="1" s="1"/>
  <c r="A8126" i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8122" i="1" l="1" a="1"/>
  <c r="L8122" i="1" s="1"/>
  <c r="I8122" i="1" a="1"/>
  <c r="I8122" i="1" s="1"/>
  <c r="H8122" i="1"/>
  <c r="C8123" i="1"/>
  <c r="O8122" i="1" a="1"/>
  <c r="O8122" i="1" s="1"/>
  <c r="A8127" i="1"/>
  <c r="B8146" i="1"/>
  <c r="M8145" i="1" a="1"/>
  <c r="M8145" i="1" s="1"/>
  <c r="Q8145" i="1" a="1"/>
  <c r="Q8145" i="1" s="1"/>
  <c r="J8145" i="1" a="1"/>
  <c r="J8145" i="1" s="1"/>
  <c r="N8145" i="1" a="1"/>
  <c r="N8145" i="1" s="1"/>
  <c r="R8145" i="1" a="1"/>
  <c r="R8145" i="1" s="1"/>
  <c r="K8145" i="1" a="1"/>
  <c r="K8145" i="1" s="1"/>
  <c r="S8145" i="1" a="1"/>
  <c r="S8145" i="1" s="1"/>
  <c r="P8145" i="1" a="1"/>
  <c r="P8145" i="1" s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8123" i="1" l="1" a="1"/>
  <c r="L8123" i="1" s="1"/>
  <c r="I8123" i="1" a="1"/>
  <c r="I8123" i="1" s="1"/>
  <c r="O8123" i="1" a="1"/>
  <c r="O8123" i="1" s="1"/>
  <c r="C8124" i="1"/>
  <c r="H8123" i="1"/>
  <c r="P8146" i="1" a="1"/>
  <c r="P8146" i="1" s="1"/>
  <c r="B8147" i="1"/>
  <c r="M8146" i="1" a="1"/>
  <c r="M8146" i="1" s="1"/>
  <c r="Q8146" i="1" a="1"/>
  <c r="Q8146" i="1" s="1"/>
  <c r="J8146" i="1" a="1"/>
  <c r="J8146" i="1" s="1"/>
  <c r="N8146" i="1" a="1"/>
  <c r="N8146" i="1" s="1"/>
  <c r="R8146" i="1" a="1"/>
  <c r="R8146" i="1" s="1"/>
  <c r="K8146" i="1" a="1"/>
  <c r="K8146" i="1" s="1"/>
  <c r="S8146" i="1" a="1"/>
  <c r="S8146" i="1" s="1"/>
  <c r="A8128" i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8124" i="1" l="1" a="1"/>
  <c r="L8124" i="1" s="1"/>
  <c r="I8124" i="1" a="1"/>
  <c r="I8124" i="1" s="1"/>
  <c r="C8125" i="1"/>
  <c r="H8124" i="1"/>
  <c r="O8124" i="1" a="1"/>
  <c r="O8124" i="1" s="1"/>
  <c r="A8129" i="1"/>
  <c r="K8147" i="1" a="1"/>
  <c r="K8147" i="1" s="1"/>
  <c r="S8147" i="1" a="1"/>
  <c r="S8147" i="1" s="1"/>
  <c r="P8147" i="1" a="1"/>
  <c r="P8147" i="1" s="1"/>
  <c r="B8148" i="1"/>
  <c r="M8147" i="1" a="1"/>
  <c r="M8147" i="1" s="1"/>
  <c r="Q8147" i="1" a="1"/>
  <c r="Q8147" i="1" s="1"/>
  <c r="J8147" i="1" a="1"/>
  <c r="J8147" i="1" s="1"/>
  <c r="N8147" i="1" a="1"/>
  <c r="N8147" i="1" s="1"/>
  <c r="R8147" i="1" a="1"/>
  <c r="R8147" i="1" s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L8125" i="1" l="1" a="1"/>
  <c r="L8125" i="1" s="1"/>
  <c r="I8125" i="1" a="1"/>
  <c r="I8125" i="1" s="1"/>
  <c r="O8125" i="1" a="1"/>
  <c r="O8125" i="1" s="1"/>
  <c r="H8125" i="1"/>
  <c r="C8126" i="1"/>
  <c r="A8130" i="1"/>
  <c r="J8148" i="1" a="1"/>
  <c r="J8148" i="1" s="1"/>
  <c r="N8148" i="1" a="1"/>
  <c r="N8148" i="1" s="1"/>
  <c r="R8148" i="1" a="1"/>
  <c r="R8148" i="1" s="1"/>
  <c r="K8148" i="1" a="1"/>
  <c r="K8148" i="1" s="1"/>
  <c r="S8148" i="1" a="1"/>
  <c r="S8148" i="1" s="1"/>
  <c r="P8148" i="1" a="1"/>
  <c r="P8148" i="1" s="1"/>
  <c r="B8149" i="1"/>
  <c r="M8148" i="1" a="1"/>
  <c r="M8148" i="1" s="1"/>
  <c r="Q8148" i="1" a="1"/>
  <c r="Q8148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8126" i="1" l="1" a="1"/>
  <c r="L8126" i="1" s="1"/>
  <c r="I8126" i="1" a="1"/>
  <c r="I8126" i="1" s="1"/>
  <c r="C8127" i="1"/>
  <c r="O8126" i="1" a="1"/>
  <c r="O8126" i="1" s="1"/>
  <c r="H8126" i="1"/>
  <c r="B8150" i="1"/>
  <c r="M8149" i="1" a="1"/>
  <c r="M8149" i="1" s="1"/>
  <c r="Q8149" i="1" a="1"/>
  <c r="Q8149" i="1" s="1"/>
  <c r="J8149" i="1" a="1"/>
  <c r="J8149" i="1" s="1"/>
  <c r="N8149" i="1" a="1"/>
  <c r="N8149" i="1" s="1"/>
  <c r="R8149" i="1" a="1"/>
  <c r="R8149" i="1" s="1"/>
  <c r="K8149" i="1" a="1"/>
  <c r="K8149" i="1" s="1"/>
  <c r="S8149" i="1" a="1"/>
  <c r="S8149" i="1" s="1"/>
  <c r="P8149" i="1" a="1"/>
  <c r="P8149" i="1" s="1"/>
  <c r="A8131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8127" i="1" l="1" a="1"/>
  <c r="L8127" i="1" s="1"/>
  <c r="I8127" i="1" a="1"/>
  <c r="I8127" i="1" s="1"/>
  <c r="O8127" i="1" a="1"/>
  <c r="O8127" i="1" s="1"/>
  <c r="H8127" i="1"/>
  <c r="C8128" i="1"/>
  <c r="P8150" i="1" a="1"/>
  <c r="P8150" i="1" s="1"/>
  <c r="B8151" i="1"/>
  <c r="M8150" i="1" a="1"/>
  <c r="M8150" i="1" s="1"/>
  <c r="Q8150" i="1" a="1"/>
  <c r="Q8150" i="1" s="1"/>
  <c r="J8150" i="1" a="1"/>
  <c r="J8150" i="1" s="1"/>
  <c r="N8150" i="1" a="1"/>
  <c r="N8150" i="1" s="1"/>
  <c r="R8150" i="1" a="1"/>
  <c r="R8150" i="1" s="1"/>
  <c r="K8150" i="1" a="1"/>
  <c r="K8150" i="1" s="1"/>
  <c r="S8150" i="1" a="1"/>
  <c r="S8150" i="1" s="1"/>
  <c r="A8132" i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L8128" i="1" l="1" a="1"/>
  <c r="L8128" i="1" s="1"/>
  <c r="I8128" i="1" a="1"/>
  <c r="I8128" i="1" s="1"/>
  <c r="H8128" i="1"/>
  <c r="O8128" i="1" a="1"/>
  <c r="O8128" i="1" s="1"/>
  <c r="C8129" i="1"/>
  <c r="A8133" i="1"/>
  <c r="K8151" i="1" a="1"/>
  <c r="K8151" i="1" s="1"/>
  <c r="S8151" i="1" a="1"/>
  <c r="S8151" i="1" s="1"/>
  <c r="P8151" i="1" a="1"/>
  <c r="P8151" i="1" s="1"/>
  <c r="B8152" i="1"/>
  <c r="M8151" i="1" a="1"/>
  <c r="M8151" i="1" s="1"/>
  <c r="Q8151" i="1" a="1"/>
  <c r="Q8151" i="1" s="1"/>
  <c r="J8151" i="1" a="1"/>
  <c r="J8151" i="1" s="1"/>
  <c r="N8151" i="1" a="1"/>
  <c r="N8151" i="1" s="1"/>
  <c r="R8151" i="1" a="1"/>
  <c r="R8151" i="1" s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8129" i="1" l="1" a="1"/>
  <c r="L8129" i="1" s="1"/>
  <c r="I8129" i="1" a="1"/>
  <c r="I8129" i="1" s="1"/>
  <c r="O8129" i="1" a="1"/>
  <c r="O8129" i="1" s="1"/>
  <c r="H8129" i="1"/>
  <c r="C8130" i="1"/>
  <c r="A8134" i="1"/>
  <c r="J8152" i="1" a="1"/>
  <c r="J8152" i="1" s="1"/>
  <c r="N8152" i="1" a="1"/>
  <c r="N8152" i="1" s="1"/>
  <c r="R8152" i="1" a="1"/>
  <c r="R8152" i="1" s="1"/>
  <c r="K8152" i="1" a="1"/>
  <c r="K8152" i="1" s="1"/>
  <c r="S8152" i="1" a="1"/>
  <c r="S8152" i="1" s="1"/>
  <c r="P8152" i="1" a="1"/>
  <c r="P8152" i="1" s="1"/>
  <c r="B8153" i="1"/>
  <c r="M8152" i="1" a="1"/>
  <c r="M8152" i="1" s="1"/>
  <c r="Q8152" i="1" a="1"/>
  <c r="Q8152" i="1" s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L8130" i="1" l="1" a="1"/>
  <c r="L8130" i="1" s="1"/>
  <c r="I8130" i="1" a="1"/>
  <c r="I8130" i="1" s="1"/>
  <c r="C8131" i="1"/>
  <c r="O8130" i="1" a="1"/>
  <c r="O8130" i="1" s="1"/>
  <c r="H8130" i="1"/>
  <c r="B8154" i="1"/>
  <c r="M8153" i="1" a="1"/>
  <c r="M8153" i="1" s="1"/>
  <c r="J8153" i="1" a="1"/>
  <c r="J8153" i="1" s="1"/>
  <c r="N8153" i="1" a="1"/>
  <c r="N8153" i="1" s="1"/>
  <c r="R8153" i="1" a="1"/>
  <c r="R8153" i="1" s="1"/>
  <c r="K8153" i="1" a="1"/>
  <c r="K8153" i="1" s="1"/>
  <c r="S8153" i="1" a="1"/>
  <c r="S8153" i="1" s="1"/>
  <c r="P8153" i="1" a="1"/>
  <c r="P8153" i="1" s="1"/>
  <c r="Q8153" i="1" a="1"/>
  <c r="Q8153" i="1" s="1"/>
  <c r="A8135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L8131" i="1" l="1" a="1"/>
  <c r="L8131" i="1" s="1"/>
  <c r="I8131" i="1" a="1"/>
  <c r="I8131" i="1" s="1"/>
  <c r="C8132" i="1"/>
  <c r="O8131" i="1" a="1"/>
  <c r="O8131" i="1" s="1"/>
  <c r="H8131" i="1"/>
  <c r="A8136" i="1"/>
  <c r="B8155" i="1"/>
  <c r="M8154" i="1" a="1"/>
  <c r="M8154" i="1" s="1"/>
  <c r="Q8154" i="1" a="1"/>
  <c r="Q8154" i="1" s="1"/>
  <c r="J8154" i="1" a="1"/>
  <c r="J8154" i="1" s="1"/>
  <c r="N8154" i="1" a="1"/>
  <c r="N8154" i="1" s="1"/>
  <c r="R8154" i="1" a="1"/>
  <c r="R8154" i="1" s="1"/>
  <c r="K8154" i="1" a="1"/>
  <c r="K8154" i="1" s="1"/>
  <c r="S8154" i="1" a="1"/>
  <c r="S8154" i="1" s="1"/>
  <c r="P8154" i="1" a="1"/>
  <c r="P8154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8132" i="1" l="1" a="1"/>
  <c r="L8132" i="1" s="1"/>
  <c r="I8132" i="1" a="1"/>
  <c r="I8132" i="1" s="1"/>
  <c r="C8133" i="1"/>
  <c r="H8132" i="1"/>
  <c r="O8132" i="1" a="1"/>
  <c r="O8132" i="1" s="1"/>
  <c r="P8155" i="1" a="1"/>
  <c r="P8155" i="1" s="1"/>
  <c r="B8156" i="1"/>
  <c r="M8155" i="1" a="1"/>
  <c r="M8155" i="1" s="1"/>
  <c r="Q8155" i="1" a="1"/>
  <c r="Q8155" i="1" s="1"/>
  <c r="J8155" i="1" a="1"/>
  <c r="J8155" i="1" s="1"/>
  <c r="N8155" i="1" a="1"/>
  <c r="N8155" i="1" s="1"/>
  <c r="R8155" i="1" a="1"/>
  <c r="R8155" i="1" s="1"/>
  <c r="K8155" i="1" a="1"/>
  <c r="K8155" i="1" s="1"/>
  <c r="S8155" i="1" a="1"/>
  <c r="S8155" i="1" s="1"/>
  <c r="A8137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L8133" i="1" l="1" a="1"/>
  <c r="L8133" i="1" s="1"/>
  <c r="I8133" i="1" a="1"/>
  <c r="I8133" i="1" s="1"/>
  <c r="H8133" i="1"/>
  <c r="O8133" i="1" a="1"/>
  <c r="O8133" i="1" s="1"/>
  <c r="C8134" i="1"/>
  <c r="K8156" i="1" a="1"/>
  <c r="K8156" i="1" s="1"/>
  <c r="S8156" i="1" a="1"/>
  <c r="S8156" i="1" s="1"/>
  <c r="P8156" i="1" a="1"/>
  <c r="P8156" i="1" s="1"/>
  <c r="B8157" i="1"/>
  <c r="M8156" i="1" a="1"/>
  <c r="M8156" i="1" s="1"/>
  <c r="Q8156" i="1" a="1"/>
  <c r="Q8156" i="1" s="1"/>
  <c r="J8156" i="1" a="1"/>
  <c r="J8156" i="1" s="1"/>
  <c r="N8156" i="1" a="1"/>
  <c r="N8156" i="1" s="1"/>
  <c r="R8156" i="1" a="1"/>
  <c r="R8156" i="1" s="1"/>
  <c r="A8138" i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8134" i="1" l="1" a="1"/>
  <c r="L8134" i="1" s="1"/>
  <c r="I8134" i="1" a="1"/>
  <c r="I8134" i="1" s="1"/>
  <c r="C8135" i="1"/>
  <c r="O8134" i="1" a="1"/>
  <c r="O8134" i="1" s="1"/>
  <c r="H8134" i="1"/>
  <c r="A8139" i="1"/>
  <c r="B8158" i="1"/>
  <c r="J8157" i="1" a="1"/>
  <c r="J8157" i="1" s="1"/>
  <c r="N8157" i="1" a="1"/>
  <c r="N8157" i="1" s="1"/>
  <c r="R8157" i="1" a="1"/>
  <c r="R8157" i="1" s="1"/>
  <c r="K8157" i="1" a="1"/>
  <c r="K8157" i="1" s="1"/>
  <c r="S8157" i="1" a="1"/>
  <c r="S8157" i="1" s="1"/>
  <c r="P8157" i="1" a="1"/>
  <c r="P8157" i="1" s="1"/>
  <c r="M8157" i="1" a="1"/>
  <c r="M8157" i="1" s="1"/>
  <c r="Q8157" i="1" a="1"/>
  <c r="Q8157" i="1" s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L8135" i="1" l="1" a="1"/>
  <c r="L8135" i="1" s="1"/>
  <c r="I8135" i="1" a="1"/>
  <c r="I8135" i="1" s="1"/>
  <c r="H8135" i="1"/>
  <c r="O8135" i="1" a="1"/>
  <c r="O8135" i="1" s="1"/>
  <c r="C8136" i="1"/>
  <c r="B8159" i="1"/>
  <c r="M8158" i="1" a="1"/>
  <c r="M8158" i="1" s="1"/>
  <c r="Q8158" i="1" a="1"/>
  <c r="Q8158" i="1" s="1"/>
  <c r="J8158" i="1" a="1"/>
  <c r="J8158" i="1" s="1"/>
  <c r="N8158" i="1" a="1"/>
  <c r="N8158" i="1" s="1"/>
  <c r="R8158" i="1" a="1"/>
  <c r="R8158" i="1" s="1"/>
  <c r="K8158" i="1" a="1"/>
  <c r="K8158" i="1" s="1"/>
  <c r="S8158" i="1" a="1"/>
  <c r="S8158" i="1" s="1"/>
  <c r="P8158" i="1" a="1"/>
  <c r="P8158" i="1" s="1"/>
  <c r="A8140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L8136" i="1" l="1" a="1"/>
  <c r="L8136" i="1" s="1"/>
  <c r="I8136" i="1" a="1"/>
  <c r="I8136" i="1" s="1"/>
  <c r="H8136" i="1"/>
  <c r="C8137" i="1"/>
  <c r="O8136" i="1" a="1"/>
  <c r="O8136" i="1" s="1"/>
  <c r="A8141" i="1"/>
  <c r="P8159" i="1" a="1"/>
  <c r="P8159" i="1" s="1"/>
  <c r="B8160" i="1"/>
  <c r="M8159" i="1" a="1"/>
  <c r="M8159" i="1" s="1"/>
  <c r="Q8159" i="1" a="1"/>
  <c r="Q8159" i="1" s="1"/>
  <c r="J8159" i="1" a="1"/>
  <c r="J8159" i="1" s="1"/>
  <c r="N8159" i="1" a="1"/>
  <c r="N8159" i="1" s="1"/>
  <c r="R8159" i="1" a="1"/>
  <c r="R8159" i="1" s="1"/>
  <c r="S8159" i="1" a="1"/>
  <c r="S8159" i="1" s="1"/>
  <c r="K8159" i="1" a="1"/>
  <c r="K8159" i="1" s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8137" i="1" l="1" a="1"/>
  <c r="L8137" i="1" s="1"/>
  <c r="I8137" i="1" a="1"/>
  <c r="I8137" i="1" s="1"/>
  <c r="O8137" i="1" a="1"/>
  <c r="O8137" i="1" s="1"/>
  <c r="C8138" i="1"/>
  <c r="H8137" i="1"/>
  <c r="K8160" i="1" a="1"/>
  <c r="K8160" i="1" s="1"/>
  <c r="S8160" i="1" a="1"/>
  <c r="S8160" i="1" s="1"/>
  <c r="P8160" i="1" a="1"/>
  <c r="P8160" i="1" s="1"/>
  <c r="B8161" i="1"/>
  <c r="J8160" i="1" a="1"/>
  <c r="J8160" i="1" s="1"/>
  <c r="M8160" i="1" a="1"/>
  <c r="M8160" i="1" s="1"/>
  <c r="N8160" i="1" a="1"/>
  <c r="N8160" i="1" s="1"/>
  <c r="Q8160" i="1" a="1"/>
  <c r="Q8160" i="1" s="1"/>
  <c r="R8160" i="1" a="1"/>
  <c r="R8160" i="1" s="1"/>
  <c r="A8142" i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8138" i="1" l="1" a="1"/>
  <c r="L8138" i="1" s="1"/>
  <c r="I8138" i="1" a="1"/>
  <c r="I8138" i="1" s="1"/>
  <c r="H8138" i="1"/>
  <c r="O8138" i="1" a="1"/>
  <c r="O8138" i="1" s="1"/>
  <c r="C8139" i="1"/>
  <c r="A8143" i="1"/>
  <c r="B8162" i="1"/>
  <c r="J8161" i="1" a="1"/>
  <c r="J8161" i="1" s="1"/>
  <c r="N8161" i="1" a="1"/>
  <c r="N8161" i="1" s="1"/>
  <c r="R8161" i="1" a="1"/>
  <c r="R8161" i="1" s="1"/>
  <c r="K8161" i="1" a="1"/>
  <c r="K8161" i="1" s="1"/>
  <c r="S8161" i="1" a="1"/>
  <c r="S8161" i="1" s="1"/>
  <c r="M8161" i="1" a="1"/>
  <c r="M8161" i="1" s="1"/>
  <c r="P8161" i="1" a="1"/>
  <c r="P8161" i="1" s="1"/>
  <c r="Q8161" i="1" a="1"/>
  <c r="Q8161" i="1" s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L8139" i="1" l="1" a="1"/>
  <c r="L8139" i="1" s="1"/>
  <c r="I8139" i="1" a="1"/>
  <c r="I8139" i="1" s="1"/>
  <c r="C8140" i="1"/>
  <c r="O8139" i="1" a="1"/>
  <c r="O8139" i="1" s="1"/>
  <c r="H8139" i="1"/>
  <c r="B8163" i="1"/>
  <c r="M8162" i="1" a="1"/>
  <c r="M8162" i="1" s="1"/>
  <c r="Q8162" i="1" a="1"/>
  <c r="Q8162" i="1" s="1"/>
  <c r="J8162" i="1" a="1"/>
  <c r="J8162" i="1" s="1"/>
  <c r="N8162" i="1" a="1"/>
  <c r="N8162" i="1" s="1"/>
  <c r="R8162" i="1" a="1"/>
  <c r="R8162" i="1" s="1"/>
  <c r="P8162" i="1" a="1"/>
  <c r="P8162" i="1" s="1"/>
  <c r="S8162" i="1" a="1"/>
  <c r="S8162" i="1" s="1"/>
  <c r="K8162" i="1" a="1"/>
  <c r="K8162" i="1" s="1"/>
  <c r="A8144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L8140" i="1" l="1" a="1"/>
  <c r="L8140" i="1" s="1"/>
  <c r="I8140" i="1" a="1"/>
  <c r="I8140" i="1" s="1"/>
  <c r="H8140" i="1"/>
  <c r="C8141" i="1"/>
  <c r="O8140" i="1" a="1"/>
  <c r="O8140" i="1" s="1"/>
  <c r="A8145" i="1"/>
  <c r="P8163" i="1" a="1"/>
  <c r="P8163" i="1" s="1"/>
  <c r="B8164" i="1"/>
  <c r="M8163" i="1" a="1"/>
  <c r="M8163" i="1" s="1"/>
  <c r="Q8163" i="1" a="1"/>
  <c r="Q8163" i="1" s="1"/>
  <c r="R8163" i="1" a="1"/>
  <c r="R8163" i="1" s="1"/>
  <c r="S8163" i="1" a="1"/>
  <c r="S8163" i="1" s="1"/>
  <c r="J8163" i="1" a="1"/>
  <c r="J8163" i="1" s="1"/>
  <c r="K8163" i="1" a="1"/>
  <c r="K8163" i="1" s="1"/>
  <c r="N8163" i="1" a="1"/>
  <c r="N8163" i="1" s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8141" i="1" l="1" a="1"/>
  <c r="L8141" i="1" s="1"/>
  <c r="I8141" i="1" a="1"/>
  <c r="I8141" i="1" s="1"/>
  <c r="C8142" i="1"/>
  <c r="O8141" i="1" a="1"/>
  <c r="O8141" i="1" s="1"/>
  <c r="H8141" i="1"/>
  <c r="K8164" i="1" a="1"/>
  <c r="K8164" i="1" s="1"/>
  <c r="S8164" i="1" a="1"/>
  <c r="S8164" i="1" s="1"/>
  <c r="P8164" i="1" a="1"/>
  <c r="P8164" i="1" s="1"/>
  <c r="B8165" i="1"/>
  <c r="J8164" i="1" a="1"/>
  <c r="J8164" i="1" s="1"/>
  <c r="M8164" i="1" a="1"/>
  <c r="M8164" i="1" s="1"/>
  <c r="N8164" i="1" a="1"/>
  <c r="N8164" i="1" s="1"/>
  <c r="Q8164" i="1" a="1"/>
  <c r="Q8164" i="1" s="1"/>
  <c r="R8164" i="1" a="1"/>
  <c r="R8164" i="1" s="1"/>
  <c r="A8146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L8142" i="1" l="1" a="1"/>
  <c r="L8142" i="1" s="1"/>
  <c r="I8142" i="1" a="1"/>
  <c r="I8142" i="1" s="1"/>
  <c r="H8142" i="1"/>
  <c r="O8142" i="1" a="1"/>
  <c r="O8142" i="1" s="1"/>
  <c r="C8143" i="1"/>
  <c r="B8166" i="1"/>
  <c r="J8165" i="1" a="1"/>
  <c r="J8165" i="1" s="1"/>
  <c r="N8165" i="1" a="1"/>
  <c r="N8165" i="1" s="1"/>
  <c r="R8165" i="1" a="1"/>
  <c r="R8165" i="1" s="1"/>
  <c r="K8165" i="1" a="1"/>
  <c r="K8165" i="1" s="1"/>
  <c r="S8165" i="1" a="1"/>
  <c r="S8165" i="1" s="1"/>
  <c r="M8165" i="1" a="1"/>
  <c r="M8165" i="1" s="1"/>
  <c r="P8165" i="1" a="1"/>
  <c r="P8165" i="1" s="1"/>
  <c r="Q8165" i="1" a="1"/>
  <c r="Q8165" i="1" s="1"/>
  <c r="A8147" i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L8143" i="1" l="1" a="1"/>
  <c r="L8143" i="1" s="1"/>
  <c r="I8143" i="1" a="1"/>
  <c r="I8143" i="1" s="1"/>
  <c r="H8143" i="1"/>
  <c r="O8143" i="1" a="1"/>
  <c r="O8143" i="1" s="1"/>
  <c r="C8144" i="1"/>
  <c r="A8148" i="1"/>
  <c r="B8167" i="1"/>
  <c r="M8166" i="1" a="1"/>
  <c r="M8166" i="1" s="1"/>
  <c r="Q8166" i="1" a="1"/>
  <c r="Q8166" i="1" s="1"/>
  <c r="J8166" i="1" a="1"/>
  <c r="J8166" i="1" s="1"/>
  <c r="K8166" i="1" a="1"/>
  <c r="K8166" i="1" s="1"/>
  <c r="N8166" i="1" a="1"/>
  <c r="N8166" i="1" s="1"/>
  <c r="P8166" i="1" a="1"/>
  <c r="P8166" i="1" s="1"/>
  <c r="R8166" i="1" a="1"/>
  <c r="R8166" i="1" s="1"/>
  <c r="S8166" i="1" a="1"/>
  <c r="S8166" i="1" s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8144" i="1" l="1" a="1"/>
  <c r="L8144" i="1" s="1"/>
  <c r="I8144" i="1" a="1"/>
  <c r="I8144" i="1" s="1"/>
  <c r="O8144" i="1" a="1"/>
  <c r="O8144" i="1" s="1"/>
  <c r="H8144" i="1"/>
  <c r="C8145" i="1"/>
  <c r="P8167" i="1" a="1"/>
  <c r="P8167" i="1" s="1"/>
  <c r="Q8167" i="1" a="1"/>
  <c r="Q8167" i="1" s="1"/>
  <c r="J8167" i="1" a="1"/>
  <c r="J8167" i="1" s="1"/>
  <c r="R8167" i="1" a="1"/>
  <c r="R8167" i="1" s="1"/>
  <c r="K8167" i="1" a="1"/>
  <c r="K8167" i="1" s="1"/>
  <c r="S8167" i="1" a="1"/>
  <c r="S8167" i="1" s="1"/>
  <c r="B8168" i="1"/>
  <c r="M8167" i="1" a="1"/>
  <c r="M8167" i="1" s="1"/>
  <c r="N8167" i="1" a="1"/>
  <c r="N8167" i="1" s="1"/>
  <c r="A8149" i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8145" i="1" l="1" a="1"/>
  <c r="L8145" i="1" s="1"/>
  <c r="I8145" i="1" a="1"/>
  <c r="I8145" i="1" s="1"/>
  <c r="C8146" i="1"/>
  <c r="O8145" i="1" a="1"/>
  <c r="O8145" i="1" s="1"/>
  <c r="H8145" i="1"/>
  <c r="A8150" i="1"/>
  <c r="K8168" i="1" a="1"/>
  <c r="K8168" i="1" s="1"/>
  <c r="S8168" i="1" a="1"/>
  <c r="S8168" i="1" s="1"/>
  <c r="B8169" i="1"/>
  <c r="M8168" i="1" a="1"/>
  <c r="M8168" i="1" s="1"/>
  <c r="N8168" i="1" a="1"/>
  <c r="N8168" i="1" s="1"/>
  <c r="P8168" i="1" a="1"/>
  <c r="P8168" i="1" s="1"/>
  <c r="Q8168" i="1" a="1"/>
  <c r="Q8168" i="1" s="1"/>
  <c r="J8168" i="1" a="1"/>
  <c r="J8168" i="1" s="1"/>
  <c r="R8168" i="1" a="1"/>
  <c r="R8168" i="1" s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8146" i="1" l="1" a="1"/>
  <c r="L8146" i="1" s="1"/>
  <c r="I8146" i="1" a="1"/>
  <c r="I8146" i="1" s="1"/>
  <c r="O8146" i="1" a="1"/>
  <c r="O8146" i="1" s="1"/>
  <c r="H8146" i="1"/>
  <c r="C8147" i="1"/>
  <c r="B8170" i="1"/>
  <c r="J8169" i="1" a="1"/>
  <c r="J8169" i="1" s="1"/>
  <c r="N8169" i="1" a="1"/>
  <c r="N8169" i="1" s="1"/>
  <c r="R8169" i="1" a="1"/>
  <c r="R8169" i="1" s="1"/>
  <c r="P8169" i="1" a="1"/>
  <c r="P8169" i="1" s="1"/>
  <c r="Q8169" i="1" a="1"/>
  <c r="Q8169" i="1" s="1"/>
  <c r="K8169" i="1" a="1"/>
  <c r="K8169" i="1" s="1"/>
  <c r="S8169" i="1" a="1"/>
  <c r="S8169" i="1" s="1"/>
  <c r="M8169" i="1" a="1"/>
  <c r="M8169" i="1" s="1"/>
  <c r="A8151" i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8147" i="1" l="1" a="1"/>
  <c r="L8147" i="1" s="1"/>
  <c r="I8147" i="1" a="1"/>
  <c r="I8147" i="1" s="1"/>
  <c r="C8148" i="1"/>
  <c r="O8147" i="1" a="1"/>
  <c r="O8147" i="1" s="1"/>
  <c r="H8147" i="1"/>
  <c r="A8152" i="1"/>
  <c r="B8171" i="1"/>
  <c r="M8170" i="1" a="1"/>
  <c r="M8170" i="1" s="1"/>
  <c r="Q8170" i="1" a="1"/>
  <c r="Q8170" i="1" s="1"/>
  <c r="J8170" i="1" a="1"/>
  <c r="J8170" i="1" s="1"/>
  <c r="R8170" i="1" a="1"/>
  <c r="R8170" i="1" s="1"/>
  <c r="K8170" i="1" a="1"/>
  <c r="K8170" i="1" s="1"/>
  <c r="S8170" i="1" a="1"/>
  <c r="S8170" i="1" s="1"/>
  <c r="N8170" i="1" a="1"/>
  <c r="N8170" i="1" s="1"/>
  <c r="P8170" i="1" a="1"/>
  <c r="P8170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L8148" i="1" l="1" a="1"/>
  <c r="L8148" i="1" s="1"/>
  <c r="I8148" i="1" a="1"/>
  <c r="I8148" i="1" s="1"/>
  <c r="O8148" i="1" a="1"/>
  <c r="O8148" i="1" s="1"/>
  <c r="H8148" i="1"/>
  <c r="C8149" i="1"/>
  <c r="P8171" i="1" a="1"/>
  <c r="P8171" i="1" s="1"/>
  <c r="B8172" i="1"/>
  <c r="M8171" i="1" a="1"/>
  <c r="M8171" i="1" s="1"/>
  <c r="N8171" i="1" a="1"/>
  <c r="N8171" i="1" s="1"/>
  <c r="Q8171" i="1" a="1"/>
  <c r="Q8171" i="1" s="1"/>
  <c r="J8171" i="1" a="1"/>
  <c r="J8171" i="1" s="1"/>
  <c r="R8171" i="1" a="1"/>
  <c r="R8171" i="1" s="1"/>
  <c r="K8171" i="1" a="1"/>
  <c r="K8171" i="1" s="1"/>
  <c r="S8171" i="1" a="1"/>
  <c r="S8171" i="1" s="1"/>
  <c r="A8153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L8149" i="1" l="1" a="1"/>
  <c r="L8149" i="1" s="1"/>
  <c r="I8149" i="1" a="1"/>
  <c r="I8149" i="1" s="1"/>
  <c r="C8150" i="1"/>
  <c r="H8149" i="1"/>
  <c r="O8149" i="1" a="1"/>
  <c r="O8149" i="1" s="1"/>
  <c r="A8154" i="1"/>
  <c r="K8172" i="1" a="1"/>
  <c r="K8172" i="1" s="1"/>
  <c r="B8173" i="1"/>
  <c r="P8172" i="1" a="1"/>
  <c r="P8172" i="1" s="1"/>
  <c r="J8172" i="1" a="1"/>
  <c r="J8172" i="1" s="1"/>
  <c r="Q8172" i="1" a="1"/>
  <c r="Q8172" i="1" s="1"/>
  <c r="R8172" i="1" a="1"/>
  <c r="R8172" i="1" s="1"/>
  <c r="S8172" i="1" a="1"/>
  <c r="S8172" i="1" s="1"/>
  <c r="M8172" i="1" a="1"/>
  <c r="M8172" i="1" s="1"/>
  <c r="N8172" i="1" a="1"/>
  <c r="N8172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L8150" i="1" l="1" a="1"/>
  <c r="L8150" i="1" s="1"/>
  <c r="I8150" i="1" a="1"/>
  <c r="I8150" i="1" s="1"/>
  <c r="O8150" i="1" a="1"/>
  <c r="O8150" i="1" s="1"/>
  <c r="C8151" i="1"/>
  <c r="H8150" i="1"/>
  <c r="B8174" i="1"/>
  <c r="N8173" i="1" a="1"/>
  <c r="N8173" i="1" s="1"/>
  <c r="S8173" i="1" a="1"/>
  <c r="S8173" i="1" s="1"/>
  <c r="J8173" i="1" a="1"/>
  <c r="J8173" i="1" s="1"/>
  <c r="P8173" i="1" a="1"/>
  <c r="P8173" i="1" s="1"/>
  <c r="M8173" i="1" a="1"/>
  <c r="M8173" i="1" s="1"/>
  <c r="K8173" i="1" a="1"/>
  <c r="K8173" i="1" s="1"/>
  <c r="Q8173" i="1" a="1"/>
  <c r="Q8173" i="1" s="1"/>
  <c r="R8173" i="1" a="1"/>
  <c r="R8173" i="1" s="1"/>
  <c r="A8155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L8151" i="1" l="1" a="1"/>
  <c r="L8151" i="1" s="1"/>
  <c r="I8151" i="1" a="1"/>
  <c r="I8151" i="1" s="1"/>
  <c r="C8152" i="1"/>
  <c r="H8151" i="1"/>
  <c r="O8151" i="1" a="1"/>
  <c r="O8151" i="1" s="1"/>
  <c r="A8156" i="1"/>
  <c r="K8174" i="1" a="1"/>
  <c r="K8174" i="1" s="1"/>
  <c r="Q8174" i="1" a="1"/>
  <c r="Q8174" i="1" s="1"/>
  <c r="M8174" i="1" a="1"/>
  <c r="M8174" i="1" s="1"/>
  <c r="R8174" i="1" a="1"/>
  <c r="R8174" i="1" s="1"/>
  <c r="S8174" i="1" a="1"/>
  <c r="S8174" i="1" s="1"/>
  <c r="N8174" i="1" a="1"/>
  <c r="N8174" i="1" s="1"/>
  <c r="B8175" i="1"/>
  <c r="J8174" i="1" a="1"/>
  <c r="J8174" i="1" s="1"/>
  <c r="P8174" i="1" a="1"/>
  <c r="P8174" i="1" s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L8152" i="1" l="1" a="1"/>
  <c r="L8152" i="1" s="1"/>
  <c r="I8152" i="1" a="1"/>
  <c r="I8152" i="1" s="1"/>
  <c r="O8152" i="1" a="1"/>
  <c r="O8152" i="1" s="1"/>
  <c r="C8153" i="1"/>
  <c r="H8152" i="1"/>
  <c r="A8157" i="1"/>
  <c r="N8175" i="1" a="1"/>
  <c r="N8175" i="1" s="1"/>
  <c r="J8175" i="1" a="1"/>
  <c r="J8175" i="1" s="1"/>
  <c r="B8176" i="1"/>
  <c r="K8175" i="1" a="1"/>
  <c r="K8175" i="1" s="1"/>
  <c r="P8175" i="1" a="1"/>
  <c r="P8175" i="1" s="1"/>
  <c r="Q8175" i="1" a="1"/>
  <c r="Q8175" i="1" s="1"/>
  <c r="R8175" i="1" a="1"/>
  <c r="R8175" i="1" s="1"/>
  <c r="M8175" i="1" a="1"/>
  <c r="M8175" i="1" s="1"/>
  <c r="S8175" i="1" a="1"/>
  <c r="S8175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8153" i="1" l="1" a="1"/>
  <c r="L8153" i="1" s="1"/>
  <c r="I8153" i="1" a="1"/>
  <c r="I8153" i="1" s="1"/>
  <c r="C8154" i="1"/>
  <c r="H8153" i="1"/>
  <c r="O8153" i="1" a="1"/>
  <c r="O8153" i="1" s="1"/>
  <c r="B8177" i="1"/>
  <c r="Q8176" i="1" a="1"/>
  <c r="Q8176" i="1" s="1"/>
  <c r="R8176" i="1" a="1"/>
  <c r="R8176" i="1" s="1"/>
  <c r="M8176" i="1" a="1"/>
  <c r="M8176" i="1" s="1"/>
  <c r="N8176" i="1" a="1"/>
  <c r="N8176" i="1" s="1"/>
  <c r="S8176" i="1" a="1"/>
  <c r="S8176" i="1" s="1"/>
  <c r="J8176" i="1" a="1"/>
  <c r="J8176" i="1" s="1"/>
  <c r="K8176" i="1" a="1"/>
  <c r="K8176" i="1" s="1"/>
  <c r="P8176" i="1" a="1"/>
  <c r="P8176" i="1" s="1"/>
  <c r="A8158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L8154" i="1" l="1" a="1"/>
  <c r="L8154" i="1" s="1"/>
  <c r="I8154" i="1" a="1"/>
  <c r="I8154" i="1" s="1"/>
  <c r="O8154" i="1" a="1"/>
  <c r="O8154" i="1" s="1"/>
  <c r="C8155" i="1"/>
  <c r="H8154" i="1"/>
  <c r="B8178" i="1"/>
  <c r="J8177" i="1" a="1"/>
  <c r="J8177" i="1" s="1"/>
  <c r="P8177" i="1" a="1"/>
  <c r="P8177" i="1" s="1"/>
  <c r="K8177" i="1" a="1"/>
  <c r="K8177" i="1" s="1"/>
  <c r="Q8177" i="1" a="1"/>
  <c r="Q8177" i="1" s="1"/>
  <c r="M8177" i="1" a="1"/>
  <c r="M8177" i="1" s="1"/>
  <c r="R8177" i="1" a="1"/>
  <c r="R8177" i="1" s="1"/>
  <c r="N8177" i="1" a="1"/>
  <c r="N8177" i="1" s="1"/>
  <c r="S8177" i="1" a="1"/>
  <c r="S8177" i="1" s="1"/>
  <c r="A8159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L8155" i="1" l="1" a="1"/>
  <c r="L8155" i="1" s="1"/>
  <c r="I8155" i="1" a="1"/>
  <c r="I8155" i="1" s="1"/>
  <c r="C8156" i="1"/>
  <c r="H8155" i="1"/>
  <c r="O8155" i="1" a="1"/>
  <c r="O8155" i="1" s="1"/>
  <c r="A8160" i="1"/>
  <c r="M8178" i="1" a="1"/>
  <c r="M8178" i="1" s="1"/>
  <c r="R8178" i="1" a="1"/>
  <c r="R8178" i="1" s="1"/>
  <c r="S8178" i="1" a="1"/>
  <c r="S8178" i="1" s="1"/>
  <c r="N8178" i="1" a="1"/>
  <c r="N8178" i="1" s="1"/>
  <c r="B8179" i="1"/>
  <c r="J8178" i="1" a="1"/>
  <c r="J8178" i="1" s="1"/>
  <c r="P8178" i="1" a="1"/>
  <c r="P8178" i="1" s="1"/>
  <c r="K8178" i="1" a="1"/>
  <c r="K8178" i="1" s="1"/>
  <c r="Q8178" i="1" a="1"/>
  <c r="Q8178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L8156" i="1" l="1" a="1"/>
  <c r="L8156" i="1" s="1"/>
  <c r="I8156" i="1" a="1"/>
  <c r="I8156" i="1" s="1"/>
  <c r="O8156" i="1" a="1"/>
  <c r="O8156" i="1" s="1"/>
  <c r="C8157" i="1"/>
  <c r="H8156" i="1"/>
  <c r="J8179" i="1" a="1"/>
  <c r="J8179" i="1" s="1"/>
  <c r="K8179" i="1" a="1"/>
  <c r="K8179" i="1" s="1"/>
  <c r="P8179" i="1" a="1"/>
  <c r="P8179" i="1" s="1"/>
  <c r="B8180" i="1"/>
  <c r="Q8179" i="1" a="1"/>
  <c r="Q8179" i="1" s="1"/>
  <c r="N8179" i="1" a="1"/>
  <c r="N8179" i="1" s="1"/>
  <c r="M8179" i="1" a="1"/>
  <c r="M8179" i="1" s="1"/>
  <c r="R8179" i="1" a="1"/>
  <c r="R8179" i="1" s="1"/>
  <c r="S8179" i="1" a="1"/>
  <c r="S8179" i="1" s="1"/>
  <c r="A8161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L8157" i="1" l="1" a="1"/>
  <c r="L8157" i="1" s="1"/>
  <c r="I8157" i="1" a="1"/>
  <c r="I8157" i="1" s="1"/>
  <c r="C8158" i="1"/>
  <c r="O8157" i="1" a="1"/>
  <c r="O8157" i="1" s="1"/>
  <c r="H8157" i="1"/>
  <c r="A8162" i="1"/>
  <c r="K8180" i="1" a="1"/>
  <c r="K8180" i="1" s="1"/>
  <c r="P8180" i="1" a="1"/>
  <c r="P8180" i="1" s="1"/>
  <c r="B8181" i="1"/>
  <c r="Q8180" i="1" a="1"/>
  <c r="Q8180" i="1" s="1"/>
  <c r="M8180" i="1" a="1"/>
  <c r="M8180" i="1" s="1"/>
  <c r="R8180" i="1" a="1"/>
  <c r="R8180" i="1" s="1"/>
  <c r="N8180" i="1" a="1"/>
  <c r="N8180" i="1" s="1"/>
  <c r="J8180" i="1" a="1"/>
  <c r="J8180" i="1" s="1"/>
  <c r="S8180" i="1" a="1"/>
  <c r="S8180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L8158" i="1" l="1" a="1"/>
  <c r="L8158" i="1" s="1"/>
  <c r="I8158" i="1" a="1"/>
  <c r="I8158" i="1" s="1"/>
  <c r="O8158" i="1" a="1"/>
  <c r="O8158" i="1" s="1"/>
  <c r="C8159" i="1"/>
  <c r="H8158" i="1"/>
  <c r="A8163" i="1"/>
  <c r="P8181" i="1" a="1"/>
  <c r="P8181" i="1" s="1"/>
  <c r="B8182" i="1"/>
  <c r="M8181" i="1" a="1"/>
  <c r="M8181" i="1" s="1"/>
  <c r="Q8181" i="1" a="1"/>
  <c r="Q8181" i="1" s="1"/>
  <c r="S8181" i="1" a="1"/>
  <c r="S8181" i="1" s="1"/>
  <c r="J8181" i="1" a="1"/>
  <c r="J8181" i="1" s="1"/>
  <c r="N8181" i="1" a="1"/>
  <c r="N8181" i="1" s="1"/>
  <c r="R8181" i="1" a="1"/>
  <c r="R8181" i="1" s="1"/>
  <c r="K8181" i="1" a="1"/>
  <c r="K8181" i="1" s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L8159" i="1" l="1" a="1"/>
  <c r="L8159" i="1" s="1"/>
  <c r="I8159" i="1" a="1"/>
  <c r="I8159" i="1" s="1"/>
  <c r="H8159" i="1"/>
  <c r="C8160" i="1"/>
  <c r="O8159" i="1" a="1"/>
  <c r="O8159" i="1" s="1"/>
  <c r="K8182" i="1" a="1"/>
  <c r="K8182" i="1" s="1"/>
  <c r="S8182" i="1" a="1"/>
  <c r="S8182" i="1" s="1"/>
  <c r="P8182" i="1" a="1"/>
  <c r="P8182" i="1" s="1"/>
  <c r="B8183" i="1"/>
  <c r="M8182" i="1" a="1"/>
  <c r="M8182" i="1" s="1"/>
  <c r="Q8182" i="1" a="1"/>
  <c r="Q8182" i="1" s="1"/>
  <c r="J8182" i="1" a="1"/>
  <c r="J8182" i="1" s="1"/>
  <c r="N8182" i="1" a="1"/>
  <c r="N8182" i="1" s="1"/>
  <c r="R8182" i="1" a="1"/>
  <c r="R8182" i="1" s="1"/>
  <c r="A8164" i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L8160" i="1" l="1" a="1"/>
  <c r="L8160" i="1" s="1"/>
  <c r="I8160" i="1" a="1"/>
  <c r="I8160" i="1" s="1"/>
  <c r="C8161" i="1"/>
  <c r="H8160" i="1"/>
  <c r="O8160" i="1" a="1"/>
  <c r="O8160" i="1" s="1"/>
  <c r="J8183" i="1" a="1"/>
  <c r="J8183" i="1" s="1"/>
  <c r="N8183" i="1" a="1"/>
  <c r="N8183" i="1" s="1"/>
  <c r="R8183" i="1" a="1"/>
  <c r="R8183" i="1" s="1"/>
  <c r="K8183" i="1" a="1"/>
  <c r="K8183" i="1" s="1"/>
  <c r="S8183" i="1" a="1"/>
  <c r="S8183" i="1" s="1"/>
  <c r="P8183" i="1" a="1"/>
  <c r="P8183" i="1" s="1"/>
  <c r="M8183" i="1" a="1"/>
  <c r="M8183" i="1" s="1"/>
  <c r="B8184" i="1"/>
  <c r="Q8183" i="1" a="1"/>
  <c r="Q8183" i="1" s="1"/>
  <c r="A8165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L8161" i="1" l="1" a="1"/>
  <c r="L8161" i="1" s="1"/>
  <c r="I8161" i="1" a="1"/>
  <c r="I8161" i="1" s="1"/>
  <c r="C8162" i="1"/>
  <c r="H8161" i="1"/>
  <c r="O8161" i="1" a="1"/>
  <c r="O8161" i="1" s="1"/>
  <c r="B8185" i="1"/>
  <c r="M8184" i="1" a="1"/>
  <c r="M8184" i="1" s="1"/>
  <c r="Q8184" i="1" a="1"/>
  <c r="Q8184" i="1" s="1"/>
  <c r="J8184" i="1" a="1"/>
  <c r="J8184" i="1" s="1"/>
  <c r="R8184" i="1" a="1"/>
  <c r="R8184" i="1" s="1"/>
  <c r="N8184" i="1" a="1"/>
  <c r="N8184" i="1" s="1"/>
  <c r="K8184" i="1" a="1"/>
  <c r="K8184" i="1" s="1"/>
  <c r="S8184" i="1" a="1"/>
  <c r="S8184" i="1" s="1"/>
  <c r="P8184" i="1" a="1"/>
  <c r="P8184" i="1" s="1"/>
  <c r="A8166" i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L8162" i="1" l="1" a="1"/>
  <c r="L8162" i="1" s="1"/>
  <c r="I8162" i="1" a="1"/>
  <c r="I8162" i="1" s="1"/>
  <c r="H8162" i="1"/>
  <c r="O8162" i="1" a="1"/>
  <c r="O8162" i="1" s="1"/>
  <c r="C8163" i="1"/>
  <c r="P8185" i="1" a="1"/>
  <c r="P8185" i="1" s="1"/>
  <c r="M8185" i="1" a="1"/>
  <c r="M8185" i="1" s="1"/>
  <c r="B8186" i="1"/>
  <c r="Q8185" i="1" a="1"/>
  <c r="Q8185" i="1" s="1"/>
  <c r="J8185" i="1" a="1"/>
  <c r="J8185" i="1" s="1"/>
  <c r="N8185" i="1" a="1"/>
  <c r="N8185" i="1" s="1"/>
  <c r="R8185" i="1" a="1"/>
  <c r="R8185" i="1" s="1"/>
  <c r="S8185" i="1" a="1"/>
  <c r="S8185" i="1" s="1"/>
  <c r="K8185" i="1" a="1"/>
  <c r="K8185" i="1" s="1"/>
  <c r="A8167" i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8163" i="1" l="1" a="1"/>
  <c r="L8163" i="1" s="1"/>
  <c r="I8163" i="1" a="1"/>
  <c r="I8163" i="1" s="1"/>
  <c r="C8164" i="1"/>
  <c r="O8163" i="1" a="1"/>
  <c r="O8163" i="1" s="1"/>
  <c r="H8163" i="1"/>
  <c r="A8168" i="1"/>
  <c r="S8186" i="1" a="1"/>
  <c r="S8186" i="1" s="1"/>
  <c r="K8186" i="1" a="1"/>
  <c r="K8186" i="1" s="1"/>
  <c r="P8186" i="1" a="1"/>
  <c r="P8186" i="1" s="1"/>
  <c r="B8187" i="1"/>
  <c r="R8186" i="1" a="1"/>
  <c r="R8186" i="1" s="1"/>
  <c r="M8186" i="1" a="1"/>
  <c r="M8186" i="1" s="1"/>
  <c r="Q8186" i="1" a="1"/>
  <c r="Q8186" i="1" s="1"/>
  <c r="N8186" i="1" a="1"/>
  <c r="N8186" i="1" s="1"/>
  <c r="J8186" i="1" a="1"/>
  <c r="J8186" i="1" s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L8164" i="1" l="1" a="1"/>
  <c r="L8164" i="1" s="1"/>
  <c r="I8164" i="1" a="1"/>
  <c r="I8164" i="1" s="1"/>
  <c r="H8164" i="1"/>
  <c r="O8164" i="1" a="1"/>
  <c r="O8164" i="1" s="1"/>
  <c r="C8165" i="1"/>
  <c r="R8187" i="1" a="1"/>
  <c r="R8187" i="1" s="1"/>
  <c r="J8187" i="1" a="1"/>
  <c r="J8187" i="1" s="1"/>
  <c r="N8187" i="1" a="1"/>
  <c r="N8187" i="1" s="1"/>
  <c r="K8187" i="1" a="1"/>
  <c r="K8187" i="1" s="1"/>
  <c r="S8187" i="1" a="1"/>
  <c r="S8187" i="1" s="1"/>
  <c r="P8187" i="1" a="1"/>
  <c r="P8187" i="1" s="1"/>
  <c r="B8188" i="1"/>
  <c r="M8187" i="1" a="1"/>
  <c r="M8187" i="1" s="1"/>
  <c r="Q8187" i="1" a="1"/>
  <c r="Q8187" i="1" s="1"/>
  <c r="A8169" i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L8165" i="1" l="1" a="1"/>
  <c r="L8165" i="1" s="1"/>
  <c r="I8165" i="1" a="1"/>
  <c r="I8165" i="1" s="1"/>
  <c r="O8165" i="1" a="1"/>
  <c r="O8165" i="1" s="1"/>
  <c r="H8165" i="1"/>
  <c r="C8166" i="1"/>
  <c r="B8189" i="1"/>
  <c r="M8188" i="1" a="1"/>
  <c r="M8188" i="1" s="1"/>
  <c r="N8188" i="1" a="1"/>
  <c r="N8188" i="1" s="1"/>
  <c r="Q8188" i="1" a="1"/>
  <c r="Q8188" i="1" s="1"/>
  <c r="J8188" i="1" a="1"/>
  <c r="J8188" i="1" s="1"/>
  <c r="R8188" i="1" a="1"/>
  <c r="R8188" i="1" s="1"/>
  <c r="K8188" i="1" a="1"/>
  <c r="K8188" i="1" s="1"/>
  <c r="S8188" i="1" a="1"/>
  <c r="S8188" i="1" s="1"/>
  <c r="P8188" i="1" a="1"/>
  <c r="P8188" i="1" s="1"/>
  <c r="A8170" i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L8166" i="1" l="1" a="1"/>
  <c r="L8166" i="1" s="1"/>
  <c r="I8166" i="1" a="1"/>
  <c r="I8166" i="1" s="1"/>
  <c r="H8166" i="1"/>
  <c r="O8166" i="1" a="1"/>
  <c r="O8166" i="1" s="1"/>
  <c r="C8167" i="1"/>
  <c r="A8171" i="1"/>
  <c r="P8189" i="1" a="1"/>
  <c r="P8189" i="1" s="1"/>
  <c r="M8189" i="1" a="1"/>
  <c r="M8189" i="1" s="1"/>
  <c r="B8190" i="1"/>
  <c r="Q8189" i="1" a="1"/>
  <c r="Q8189" i="1" s="1"/>
  <c r="J8189" i="1" a="1"/>
  <c r="J8189" i="1" s="1"/>
  <c r="N8189" i="1" a="1"/>
  <c r="N8189" i="1" s="1"/>
  <c r="R8189" i="1" a="1"/>
  <c r="R8189" i="1" s="1"/>
  <c r="S8189" i="1" a="1"/>
  <c r="S8189" i="1" s="1"/>
  <c r="K8189" i="1" a="1"/>
  <c r="K8189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8167" i="1" l="1" a="1"/>
  <c r="L8167" i="1" s="1"/>
  <c r="I8167" i="1" a="1"/>
  <c r="I8167" i="1" s="1"/>
  <c r="O8167" i="1" a="1"/>
  <c r="O8167" i="1" s="1"/>
  <c r="C8168" i="1"/>
  <c r="H8167" i="1"/>
  <c r="A8172" i="1"/>
  <c r="K8190" i="1" a="1"/>
  <c r="K8190" i="1" s="1"/>
  <c r="S8190" i="1" a="1"/>
  <c r="S8190" i="1" s="1"/>
  <c r="P8190" i="1" a="1"/>
  <c r="P8190" i="1" s="1"/>
  <c r="B8191" i="1"/>
  <c r="N8190" i="1" a="1"/>
  <c r="N8190" i="1" s="1"/>
  <c r="M8190" i="1" a="1"/>
  <c r="M8190" i="1" s="1"/>
  <c r="Q8190" i="1" a="1"/>
  <c r="Q8190" i="1" s="1"/>
  <c r="J8190" i="1" a="1"/>
  <c r="J8190" i="1" s="1"/>
  <c r="R8190" i="1" a="1"/>
  <c r="R8190" i="1" s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L8168" i="1" l="1" a="1"/>
  <c r="L8168" i="1" s="1"/>
  <c r="I8168" i="1" a="1"/>
  <c r="I8168" i="1" s="1"/>
  <c r="C8169" i="1"/>
  <c r="O8168" i="1" a="1"/>
  <c r="O8168" i="1" s="1"/>
  <c r="H8168" i="1"/>
  <c r="N8191" i="1" a="1"/>
  <c r="N8191" i="1" s="1"/>
  <c r="J8191" i="1" a="1"/>
  <c r="J8191" i="1" s="1"/>
  <c r="R8191" i="1" a="1"/>
  <c r="R8191" i="1" s="1"/>
  <c r="S8191" i="1" a="1"/>
  <c r="S8191" i="1" s="1"/>
  <c r="K8191" i="1" a="1"/>
  <c r="K8191" i="1" s="1"/>
  <c r="Q8191" i="1" a="1"/>
  <c r="Q8191" i="1" s="1"/>
  <c r="P8191" i="1" a="1"/>
  <c r="P8191" i="1" s="1"/>
  <c r="M8191" i="1" a="1"/>
  <c r="M8191" i="1" s="1"/>
  <c r="B8192" i="1"/>
  <c r="A8173" i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L8169" i="1" l="1" a="1"/>
  <c r="L8169" i="1" s="1"/>
  <c r="I8169" i="1" a="1"/>
  <c r="I8169" i="1" s="1"/>
  <c r="O8169" i="1" a="1"/>
  <c r="O8169" i="1" s="1"/>
  <c r="H8169" i="1"/>
  <c r="C8170" i="1"/>
  <c r="B8193" i="1"/>
  <c r="Q8192" i="1" a="1"/>
  <c r="Q8192" i="1" s="1"/>
  <c r="N8192" i="1" a="1"/>
  <c r="N8192" i="1" s="1"/>
  <c r="M8192" i="1" a="1"/>
  <c r="M8192" i="1" s="1"/>
  <c r="R8192" i="1" a="1"/>
  <c r="R8192" i="1" s="1"/>
  <c r="J8192" i="1" a="1"/>
  <c r="J8192" i="1" s="1"/>
  <c r="K8192" i="1" a="1"/>
  <c r="K8192" i="1" s="1"/>
  <c r="S8192" i="1" a="1"/>
  <c r="S8192" i="1" s="1"/>
  <c r="P8192" i="1" a="1"/>
  <c r="P8192" i="1" s="1"/>
  <c r="A8174" i="1"/>
  <c r="J6284" i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L8170" i="1" l="1" a="1"/>
  <c r="L8170" i="1" s="1"/>
  <c r="I8170" i="1" a="1"/>
  <c r="I8170" i="1" s="1"/>
  <c r="H8170" i="1"/>
  <c r="O8170" i="1" a="1"/>
  <c r="O8170" i="1" s="1"/>
  <c r="C8171" i="1"/>
  <c r="A8175" i="1"/>
  <c r="M8193" i="1" a="1"/>
  <c r="M8193" i="1" s="1"/>
  <c r="P8193" i="1" a="1"/>
  <c r="P8193" i="1" s="1"/>
  <c r="Q8193" i="1" a="1"/>
  <c r="Q8193" i="1" s="1"/>
  <c r="B8194" i="1"/>
  <c r="S8193" i="1" a="1"/>
  <c r="S8193" i="1" s="1"/>
  <c r="J8193" i="1" a="1"/>
  <c r="J8193" i="1" s="1"/>
  <c r="N8193" i="1" a="1"/>
  <c r="N8193" i="1" s="1"/>
  <c r="R8193" i="1" a="1"/>
  <c r="R8193" i="1" s="1"/>
  <c r="K8193" i="1" a="1"/>
  <c r="K8193" i="1" s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L8171" i="1" l="1" a="1"/>
  <c r="L8171" i="1" s="1"/>
  <c r="I8171" i="1" a="1"/>
  <c r="I8171" i="1" s="1"/>
  <c r="O8171" i="1" a="1"/>
  <c r="O8171" i="1" s="1"/>
  <c r="C8172" i="1"/>
  <c r="H8171" i="1"/>
  <c r="S8194" i="1" a="1"/>
  <c r="S8194" i="1" s="1"/>
  <c r="K8194" i="1" a="1"/>
  <c r="K8194" i="1" s="1"/>
  <c r="B8195" i="1"/>
  <c r="P8194" i="1" a="1"/>
  <c r="P8194" i="1" s="1"/>
  <c r="M8194" i="1" a="1"/>
  <c r="M8194" i="1" s="1"/>
  <c r="Q8194" i="1" a="1"/>
  <c r="Q8194" i="1" s="1"/>
  <c r="N8194" i="1" a="1"/>
  <c r="N8194" i="1" s="1"/>
  <c r="R8194" i="1" a="1"/>
  <c r="R8194" i="1" s="1"/>
  <c r="J8194" i="1" a="1"/>
  <c r="J8194" i="1" s="1"/>
  <c r="A8176" i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L8172" i="1" l="1" a="1"/>
  <c r="L8172" i="1" s="1"/>
  <c r="I8172" i="1" a="1"/>
  <c r="I8172" i="1" s="1"/>
  <c r="C8173" i="1"/>
  <c r="O8172" i="1" a="1"/>
  <c r="O8172" i="1" s="1"/>
  <c r="H8172" i="1"/>
  <c r="N8195" i="1" a="1"/>
  <c r="N8195" i="1" s="1"/>
  <c r="J8195" i="1" a="1"/>
  <c r="J8195" i="1" s="1"/>
  <c r="R8195" i="1" a="1"/>
  <c r="R8195" i="1" s="1"/>
  <c r="S8195" i="1" a="1"/>
  <c r="S8195" i="1" s="1"/>
  <c r="P8195" i="1" a="1"/>
  <c r="P8195" i="1" s="1"/>
  <c r="M8195" i="1" a="1"/>
  <c r="M8195" i="1" s="1"/>
  <c r="B8196" i="1"/>
  <c r="K8195" i="1" a="1"/>
  <c r="K8195" i="1" s="1"/>
  <c r="Q8195" i="1" a="1"/>
  <c r="Q8195" i="1" s="1"/>
  <c r="A8177" i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L8173" i="1" l="1" a="1"/>
  <c r="L8173" i="1" s="1"/>
  <c r="I8173" i="1" a="1"/>
  <c r="I8173" i="1" s="1"/>
  <c r="C8174" i="1"/>
  <c r="H8173" i="1"/>
  <c r="O8173" i="1" a="1"/>
  <c r="O8173" i="1" s="1"/>
  <c r="A8178" i="1"/>
  <c r="B8197" i="1"/>
  <c r="M8196" i="1" a="1"/>
  <c r="M8196" i="1" s="1"/>
  <c r="J8196" i="1" a="1"/>
  <c r="J8196" i="1" s="1"/>
  <c r="Q8196" i="1" a="1"/>
  <c r="Q8196" i="1" s="1"/>
  <c r="R8196" i="1" a="1"/>
  <c r="R8196" i="1" s="1"/>
  <c r="N8196" i="1" a="1"/>
  <c r="N8196" i="1" s="1"/>
  <c r="K8196" i="1" a="1"/>
  <c r="K8196" i="1" s="1"/>
  <c r="S8196" i="1" a="1"/>
  <c r="S8196" i="1" s="1"/>
  <c r="P8196" i="1" a="1"/>
  <c r="P8196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L8174" i="1" l="1" a="1"/>
  <c r="L8174" i="1" s="1"/>
  <c r="I8174" i="1" a="1"/>
  <c r="I8174" i="1" s="1"/>
  <c r="H8174" i="1"/>
  <c r="O8174" i="1" a="1"/>
  <c r="O8174" i="1" s="1"/>
  <c r="C8175" i="1"/>
  <c r="P8197" i="1" a="1"/>
  <c r="P8197" i="1" s="1"/>
  <c r="B8198" i="1"/>
  <c r="Q8197" i="1" a="1"/>
  <c r="Q8197" i="1" s="1"/>
  <c r="J8197" i="1" a="1"/>
  <c r="J8197" i="1" s="1"/>
  <c r="N8197" i="1" a="1"/>
  <c r="N8197" i="1" s="1"/>
  <c r="R8197" i="1" a="1"/>
  <c r="R8197" i="1" s="1"/>
  <c r="S8197" i="1" a="1"/>
  <c r="S8197" i="1" s="1"/>
  <c r="K8197" i="1" a="1"/>
  <c r="K8197" i="1" s="1"/>
  <c r="M8197" i="1" a="1"/>
  <c r="M8197" i="1" s="1"/>
  <c r="A8179" i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L8175" i="1" l="1" a="1"/>
  <c r="L8175" i="1" s="1"/>
  <c r="I8175" i="1" a="1"/>
  <c r="I8175" i="1" s="1"/>
  <c r="C8176" i="1"/>
  <c r="O8175" i="1" a="1"/>
  <c r="O8175" i="1" s="1"/>
  <c r="H8175" i="1"/>
  <c r="K8198" i="1" a="1"/>
  <c r="K8198" i="1" s="1"/>
  <c r="S8198" i="1" a="1"/>
  <c r="S8198" i="1" s="1"/>
  <c r="P8198" i="1" a="1"/>
  <c r="P8198" i="1" s="1"/>
  <c r="B8199" i="1"/>
  <c r="J8198" i="1" a="1"/>
  <c r="J8198" i="1" s="1"/>
  <c r="M8198" i="1" a="1"/>
  <c r="M8198" i="1" s="1"/>
  <c r="Q8198" i="1" a="1"/>
  <c r="Q8198" i="1" s="1"/>
  <c r="R8198" i="1" a="1"/>
  <c r="R8198" i="1" s="1"/>
  <c r="N8198" i="1" a="1"/>
  <c r="N8198" i="1" s="1"/>
  <c r="A8180" i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L8176" i="1" l="1" a="1"/>
  <c r="L8176" i="1" s="1"/>
  <c r="I8176" i="1" a="1"/>
  <c r="I8176" i="1" s="1"/>
  <c r="O8176" i="1" a="1"/>
  <c r="O8176" i="1" s="1"/>
  <c r="C8177" i="1"/>
  <c r="H8176" i="1"/>
  <c r="A8181" i="1"/>
  <c r="N8199" i="1" a="1"/>
  <c r="N8199" i="1" s="1"/>
  <c r="S8199" i="1" a="1"/>
  <c r="S8199" i="1" s="1"/>
  <c r="J8199" i="1" a="1"/>
  <c r="J8199" i="1" s="1"/>
  <c r="R8199" i="1" a="1"/>
  <c r="R8199" i="1" s="1"/>
  <c r="K8199" i="1" a="1"/>
  <c r="K8199" i="1" s="1"/>
  <c r="M8199" i="1" a="1"/>
  <c r="M8199" i="1" s="1"/>
  <c r="P8199" i="1" a="1"/>
  <c r="P8199" i="1" s="1"/>
  <c r="Q8199" i="1" a="1"/>
  <c r="Q8199" i="1" s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8177" i="1" l="1" a="1"/>
  <c r="L8177" i="1" s="1"/>
  <c r="I8177" i="1" a="1"/>
  <c r="I8177" i="1" s="1"/>
  <c r="C8178" i="1"/>
  <c r="H8177" i="1"/>
  <c r="O8177" i="1" a="1"/>
  <c r="O8177" i="1" s="1"/>
  <c r="A8182" i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L8178" i="1" l="1" a="1"/>
  <c r="L8178" i="1" s="1"/>
  <c r="I8178" i="1" a="1"/>
  <c r="I8178" i="1" s="1"/>
  <c r="O8178" i="1" a="1"/>
  <c r="O8178" i="1" s="1"/>
  <c r="C8179" i="1"/>
  <c r="H8178" i="1"/>
  <c r="A8183" i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8179" i="1" l="1" a="1"/>
  <c r="L8179" i="1" s="1"/>
  <c r="I8179" i="1" a="1"/>
  <c r="I8179" i="1" s="1"/>
  <c r="C8180" i="1"/>
  <c r="O8179" i="1" a="1"/>
  <c r="O8179" i="1" s="1"/>
  <c r="H8179" i="1"/>
  <c r="A8184" i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L8180" i="1" l="1" a="1"/>
  <c r="L8180" i="1" s="1"/>
  <c r="I8180" i="1" a="1"/>
  <c r="I8180" i="1" s="1"/>
  <c r="C8181" i="1"/>
  <c r="O8180" i="1" a="1"/>
  <c r="O8180" i="1" s="1"/>
  <c r="H8180" i="1"/>
  <c r="A8185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L8181" i="1" l="1" a="1"/>
  <c r="L8181" i="1" s="1"/>
  <c r="I8181" i="1" a="1"/>
  <c r="I8181" i="1" s="1"/>
  <c r="C8182" i="1"/>
  <c r="H8181" i="1"/>
  <c r="O8181" i="1" a="1"/>
  <c r="O8181" i="1" s="1"/>
  <c r="A8186" i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L8182" i="1" l="1" a="1"/>
  <c r="L8182" i="1" s="1"/>
  <c r="I8182" i="1" a="1"/>
  <c r="I8182" i="1" s="1"/>
  <c r="O8182" i="1" a="1"/>
  <c r="O8182" i="1" s="1"/>
  <c r="C8183" i="1"/>
  <c r="H8182" i="1"/>
  <c r="A8187" i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8183" i="1" l="1" a="1"/>
  <c r="L8183" i="1" s="1"/>
  <c r="I8183" i="1" a="1"/>
  <c r="I8183" i="1" s="1"/>
  <c r="O8183" i="1" a="1"/>
  <c r="O8183" i="1" s="1"/>
  <c r="C8184" i="1"/>
  <c r="H8183" i="1"/>
  <c r="A8188" i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L8184" i="1" l="1" a="1"/>
  <c r="L8184" i="1" s="1"/>
  <c r="I8184" i="1" a="1"/>
  <c r="I8184" i="1" s="1"/>
  <c r="O8184" i="1" a="1"/>
  <c r="O8184" i="1" s="1"/>
  <c r="C8185" i="1"/>
  <c r="H8184" i="1"/>
  <c r="A8189" i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L8185" i="1" l="1" a="1"/>
  <c r="L8185" i="1" s="1"/>
  <c r="I8185" i="1" a="1"/>
  <c r="I8185" i="1" s="1"/>
  <c r="C8186" i="1"/>
  <c r="H8185" i="1"/>
  <c r="O8185" i="1" a="1"/>
  <c r="O8185" i="1" s="1"/>
  <c r="A8190" i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L8186" i="1" l="1" a="1"/>
  <c r="L8186" i="1" s="1"/>
  <c r="I8186" i="1" a="1"/>
  <c r="I8186" i="1" s="1"/>
  <c r="C8187" i="1"/>
  <c r="O8186" i="1" a="1"/>
  <c r="O8186" i="1" s="1"/>
  <c r="H8186" i="1"/>
  <c r="A8191" i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L8187" i="1" l="1" a="1"/>
  <c r="L8187" i="1" s="1"/>
  <c r="I8187" i="1" a="1"/>
  <c r="I8187" i="1" s="1"/>
  <c r="C8188" i="1"/>
  <c r="H8187" i="1"/>
  <c r="O8187" i="1" a="1"/>
  <c r="O8187" i="1" s="1"/>
  <c r="A8192" i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L8188" i="1" l="1" a="1"/>
  <c r="L8188" i="1" s="1"/>
  <c r="I8188" i="1" a="1"/>
  <c r="I8188" i="1" s="1"/>
  <c r="C8189" i="1"/>
  <c r="H8188" i="1"/>
  <c r="O8188" i="1" a="1"/>
  <c r="O8188" i="1" s="1"/>
  <c r="A8193" i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8189" i="1" l="1" a="1"/>
  <c r="L8189" i="1" s="1"/>
  <c r="I8189" i="1" a="1"/>
  <c r="I8189" i="1" s="1"/>
  <c r="C8190" i="1"/>
  <c r="O8189" i="1" a="1"/>
  <c r="O8189" i="1" s="1"/>
  <c r="H8189" i="1"/>
  <c r="A8194" i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L8190" i="1" l="1" a="1"/>
  <c r="L8190" i="1" s="1"/>
  <c r="I8190" i="1" a="1"/>
  <c r="I8190" i="1" s="1"/>
  <c r="C8191" i="1"/>
  <c r="O8190" i="1" a="1"/>
  <c r="O8190" i="1" s="1"/>
  <c r="H8190" i="1"/>
  <c r="A8195" i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L8191" i="1" l="1" a="1"/>
  <c r="L8191" i="1" s="1"/>
  <c r="I8191" i="1" a="1"/>
  <c r="I8191" i="1" s="1"/>
  <c r="C8192" i="1"/>
  <c r="O8191" i="1" a="1"/>
  <c r="O8191" i="1" s="1"/>
  <c r="H8191" i="1"/>
  <c r="A8196" i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L8192" i="1" l="1" a="1"/>
  <c r="L8192" i="1" s="1"/>
  <c r="I8192" i="1" a="1"/>
  <c r="I8192" i="1" s="1"/>
  <c r="C8193" i="1"/>
  <c r="H8192" i="1"/>
  <c r="O8192" i="1" a="1"/>
  <c r="O8192" i="1" s="1"/>
  <c r="A8197" i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8193" i="1" l="1" a="1"/>
  <c r="L8193" i="1" s="1"/>
  <c r="I8193" i="1" a="1"/>
  <c r="I8193" i="1" s="1"/>
  <c r="C8194" i="1"/>
  <c r="H8193" i="1"/>
  <c r="O8193" i="1" a="1"/>
  <c r="O8193" i="1" s="1"/>
  <c r="A8198" i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L8194" i="1" l="1" a="1"/>
  <c r="L8194" i="1" s="1"/>
  <c r="I8194" i="1" a="1"/>
  <c r="I8194" i="1" s="1"/>
  <c r="O8194" i="1" a="1"/>
  <c r="O8194" i="1" s="1"/>
  <c r="C8195" i="1"/>
  <c r="H8194" i="1"/>
  <c r="A8199" i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C301" i="2" l="1"/>
  <c r="D301" i="2"/>
  <c r="E301" i="2"/>
  <c r="L8195" i="1" a="1"/>
  <c r="L8195" i="1" s="1"/>
  <c r="I8195" i="1" a="1"/>
  <c r="I8195" i="1" s="1"/>
  <c r="C8196" i="1"/>
  <c r="H8195" i="1"/>
  <c r="O8195" i="1" a="1"/>
  <c r="O8195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L8196" i="1" l="1" a="1"/>
  <c r="L8196" i="1" s="1"/>
  <c r="I8196" i="1" a="1"/>
  <c r="I8196" i="1" s="1"/>
  <c r="C8197" i="1"/>
  <c r="H8196" i="1"/>
  <c r="O8196" i="1" a="1"/>
  <c r="O8196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L8197" i="1" l="1" a="1"/>
  <c r="L8197" i="1" s="1"/>
  <c r="I8197" i="1" a="1"/>
  <c r="I8197" i="1" s="1"/>
  <c r="H8197" i="1"/>
  <c r="O8197" i="1" a="1"/>
  <c r="O8197" i="1" s="1"/>
  <c r="C8198" i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L8198" i="1" l="1" a="1"/>
  <c r="L8198" i="1" s="1"/>
  <c r="I8198" i="1" a="1"/>
  <c r="I8198" i="1" s="1"/>
  <c r="C8199" i="1"/>
  <c r="H8198" i="1"/>
  <c r="O8198" i="1" a="1"/>
  <c r="O8198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L8199" i="1" l="1" a="1"/>
  <c r="L8199" i="1" s="1"/>
  <c r="I8199" i="1" a="1"/>
  <c r="I8199" i="1" s="1"/>
  <c r="H8199" i="1"/>
  <c r="O8199" i="1" a="1"/>
  <c r="O819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<sst xmlns="http://schemas.openxmlformats.org/spreadsheetml/2006/main" count="79942" uniqueCount="26">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</sst>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199"/>
  <sheetViews>
    <sheetView tabSelected="1" zoomScale="90" zoomScaleNormal="90" workbookViewId="0">
      <pane ySplit="1" topLeftCell="A7915" activePane="bottomLeft" state="frozen"/>
      <selection pane="bottomLeft" activeCell="D7916" sqref="D7916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tr">
        <f t="shared" ref="A7916:C7916" si="1406">B7915</f>
        <v>Northern Cardinal</v>
      </c>
      <c r="C7916" s="6">
        <f t="shared" si="1406"/>
        <v>0.7319444444444444</v>
      </c>
      <c r="D7916" s="5"/>
      <c r="E7916" s="5"/>
      <c r="F7916" s="5" t="s">
        <v>9</v>
      </c>
      <c r="G7916" s="15" t="s">
        <v>8</v>
      </c>
      <c r="H7916" s="24">
        <f t="shared" ref="H7828:H7967" si="1407">IFERROR((($A7916+$C7916) - ($A7915+$C7915))*24*60, "")</f>
        <v>1440</v>
      </c>
      <c r="I7916" s="24" cm="1">
        <f t="array" ref="I7916">IFERROR(IF($B7916=I$1, ($A7916+$C7916) - MAX(IF($B$2:$B7915=$B7916, $A$2:$A7915+$C$2:$C7915)), "")*24*60, "")</f>
        <v>1440</v>
      </c>
      <c r="J7916" s="24" t="str" cm="1">
        <f t="array" ref="J7916">IFERROR(IF($B7916=J$1, ($A7916+$C7916) - MAX(IF($B$2:$B7915=$B7916, $A$2:$A7915+$C$2:$C7915)), "")*24*60, "")</f>
        <v/>
      </c>
      <c r="K7916" s="24" t="str" cm="1">
        <f t="array" ref="K7916">IFERROR(IF($B7916=K$1, ($A7916+$C7916) - MAX(IF($B$2:$B7915=$B7916, $A$2:$A7915+$C$2:$C7915)), "")*24*60, "")</f>
        <v/>
      </c>
      <c r="L7916" s="24" t="str" cm="1">
        <f t="array" ref="L7916">IFERROR(IF($B7916=L$1, ($A7916+$C7916) - MAX(IF($B$2:$B7915=$B7916, $A$2:$A7915+$C$2:$C7915)), "")*24*60, "")</f>
        <v/>
      </c>
      <c r="M7916" s="24" t="str" cm="1">
        <f t="array" ref="M7916">IFERROR(IF($B7916=M$1, ($A7916+$C7916) - MAX(IF($B$2:$B7915=$B7916, $A$2:$A7915+$C$2:$C7915)), "")*24*60, "")</f>
        <v/>
      </c>
      <c r="N7916" s="24" t="str" cm="1">
        <f t="array" ref="N7916">IFERROR(IF($B7916=N$1, ($A7916+$C7916) - MAX(IF($B$2:$B7915=$B7916, $A$2:$A7915+$C$2:$C7915)), "")*24*60, "")</f>
        <v/>
      </c>
      <c r="O7916" s="24" t="str" cm="1">
        <f t="array" ref="O7916">IFERROR(IF($B7916=O$1, ($A7916+$C7916) - MAX(IF($B$2:$B7915=$B7916, $A$2:$A7915+$C$2:$C7915)), "")*24*60, "")</f>
        <v/>
      </c>
      <c r="P7916" s="24" t="str" cm="1">
        <f t="array" ref="P7916">IFERROR(IF($B7916=P$1, ($A7916+$C7916) - MAX(IF($B$2:$B7915=$B7916, $A$2:$A7915+$C$2:$C7915)), "")*24*60, "")</f>
        <v/>
      </c>
      <c r="Q7916" s="24" t="str" cm="1">
        <f t="array" ref="Q7916">IFERROR(IF($B7916=Q$1, ($A7916+$C7916) - MAX(IF($B$2:$B7915=$B7916, $A$2:$A7915+$C$2:$C7915)), "")*24*60, "")</f>
        <v/>
      </c>
      <c r="R7916" s="24" t="str" cm="1">
        <f t="array" ref="R7916">IFERROR(IF($B7916=R$1, ($A7916+$C7916) - MAX(IF($B$2:$B7915=$B7916, $A$2:$A7915+$C$2:$C7915)), "")*24*60, "")</f>
        <v/>
      </c>
      <c r="S7916" s="24" t="str" cm="1">
        <f t="array" ref="S7916">IFERROR(IF($B7916=S$1, ($A7916+$C7916) - MAX(IF($B$2:$B7915=$B7916, $A$2:$A7915+$C$2:$C7915)), "")*24*60, "")</f>
        <v/>
      </c>
    </row>
    <row r="7917" spans="1:19" x14ac:dyDescent="0.2">
      <c r="A7917" s="12">
        <f t="shared" ref="A7917:C7917" si="1408">A7916</f>
        <v>46021</v>
      </c>
      <c r="B7917" s="5" t="str">
        <f t="shared" si="1408"/>
        <v>Northern Cardinal</v>
      </c>
      <c r="C7917" s="6">
        <f t="shared" si="1408"/>
        <v>0.7319444444444444</v>
      </c>
      <c r="D7917" s="5"/>
      <c r="E7917" s="5"/>
      <c r="F7917" s="5" t="s">
        <v>9</v>
      </c>
      <c r="G7917" s="15" t="s">
        <v>8</v>
      </c>
      <c r="H7917" s="24">
        <f t="shared" si="1407"/>
        <v>0</v>
      </c>
      <c r="I7917" s="24" cm="1">
        <f t="array" ref="I7917">IFERROR(IF($B7917=I$1, ($A7917+$C7917) - MAX(IF($B$2:$B7916=$B7917, $A$2:$A7916+$C$2:$C7916)), "")*24*60, "")</f>
        <v>0</v>
      </c>
      <c r="J7917" s="24" t="str" cm="1">
        <f t="array" ref="J7917">IFERROR(IF($B7917=J$1, ($A7917+$C7917) - MAX(IF($B$2:$B7916=$B7917, $A$2:$A7916+$C$2:$C7916)), "")*24*60, "")</f>
        <v/>
      </c>
      <c r="K7917" s="24" t="str" cm="1">
        <f t="array" ref="K7917">IFERROR(IF($B7917=K$1, ($A7917+$C7917) - MAX(IF($B$2:$B7916=$B7917, $A$2:$A7916+$C$2:$C7916)), "")*24*60, "")</f>
        <v/>
      </c>
      <c r="L7917" s="24" t="str" cm="1">
        <f t="array" ref="L7917">IFERROR(IF($B7917=L$1, ($A7917+$C7917) - MAX(IF($B$2:$B7916=$B7917, $A$2:$A7916+$C$2:$C7916)), "")*24*60, "")</f>
        <v/>
      </c>
      <c r="M7917" s="24" t="str" cm="1">
        <f t="array" ref="M7917">IFERROR(IF($B7917=M$1, ($A7917+$C7917) - MAX(IF($B$2:$B7916=$B7917, $A$2:$A7916+$C$2:$C7916)), "")*24*60, "")</f>
        <v/>
      </c>
      <c r="N7917" s="24" t="str" cm="1">
        <f t="array" ref="N7917">IFERROR(IF($B7917=N$1, ($A7917+$C7917) - MAX(IF($B$2:$B7916=$B7917, $A$2:$A7916+$C$2:$C7916)), "")*24*60, "")</f>
        <v/>
      </c>
      <c r="O7917" s="24" t="str" cm="1">
        <f t="array" ref="O7917">IFERROR(IF($B7917=O$1, ($A7917+$C7917) - MAX(IF($B$2:$B7916=$B7917, $A$2:$A7916+$C$2:$C7916)), "")*24*60, "")</f>
        <v/>
      </c>
      <c r="P7917" s="24" t="str" cm="1">
        <f t="array" ref="P7917">IFERROR(IF($B7917=P$1, ($A7917+$C7917) - MAX(IF($B$2:$B7916=$B7917, $A$2:$A7916+$C$2:$C7916)), "")*24*60, "")</f>
        <v/>
      </c>
      <c r="Q7917" s="24" t="str" cm="1">
        <f t="array" ref="Q7917">IFERROR(IF($B7917=Q$1, ($A7917+$C7917) - MAX(IF($B$2:$B7916=$B7917, $A$2:$A7916+$C$2:$C7916)), "")*24*60, "")</f>
        <v/>
      </c>
      <c r="R7917" s="24" t="str" cm="1">
        <f t="array" ref="R7917">IFERROR(IF($B7917=R$1, ($A7917+$C7917) - MAX(IF($B$2:$B7916=$B7917, $A$2:$A7916+$C$2:$C7916)), "")*24*60, "")</f>
        <v/>
      </c>
      <c r="S7917" s="24" t="str" cm="1">
        <f t="array" ref="S7917">IFERROR(IF($B7917=S$1, ($A7917+$C7917) - MAX(IF($B$2:$B7916=$B7917, $A$2:$A7916+$C$2:$C7916)), "")*24*60, "")</f>
        <v/>
      </c>
    </row>
    <row r="7918" spans="1:19" x14ac:dyDescent="0.2">
      <c r="A7918" s="12">
        <f t="shared" ref="A7918:C7918" si="1409">A7917</f>
        <v>46021</v>
      </c>
      <c r="B7918" s="5" t="str">
        <f t="shared" si="1409"/>
        <v>Northern Cardinal</v>
      </c>
      <c r="C7918" s="6">
        <f t="shared" si="1409"/>
        <v>0.7319444444444444</v>
      </c>
      <c r="D7918" s="5"/>
      <c r="E7918" s="5"/>
      <c r="F7918" s="5" t="s">
        <v>9</v>
      </c>
      <c r="G7918" s="15" t="s">
        <v>8</v>
      </c>
      <c r="H7918" s="24">
        <f t="shared" si="1407"/>
        <v>0</v>
      </c>
      <c r="I7918" s="24" cm="1">
        <f t="array" ref="I7918">IFERROR(IF($B7918=I$1, ($A7918+$C7918) - MAX(IF($B$2:$B7917=$B7918, $A$2:$A7917+$C$2:$C7917)), "")*24*60, "")</f>
        <v>0</v>
      </c>
      <c r="J7918" s="24" t="str" cm="1">
        <f t="array" ref="J7918">IFERROR(IF($B7918=J$1, ($A7918+$C7918) - MAX(IF($B$2:$B7917=$B7918, $A$2:$A7917+$C$2:$C7917)), "")*24*60, "")</f>
        <v/>
      </c>
      <c r="K7918" s="24" t="str" cm="1">
        <f t="array" ref="K7918">IFERROR(IF($B7918=K$1, ($A7918+$C7918) - MAX(IF($B$2:$B7917=$B7918, $A$2:$A7917+$C$2:$C7917)), "")*24*60, "")</f>
        <v/>
      </c>
      <c r="L7918" s="24" t="str" cm="1">
        <f t="array" ref="L7918">IFERROR(IF($B7918=L$1, ($A7918+$C7918) - MAX(IF($B$2:$B7917=$B7918, $A$2:$A7917+$C$2:$C7917)), "")*24*60, "")</f>
        <v/>
      </c>
      <c r="M7918" s="24" t="str" cm="1">
        <f t="array" ref="M7918">IFERROR(IF($B7918=M$1, ($A7918+$C7918) - MAX(IF($B$2:$B7917=$B7918, $A$2:$A7917+$C$2:$C7917)), "")*24*60, "")</f>
        <v/>
      </c>
      <c r="N7918" s="24" t="str" cm="1">
        <f t="array" ref="N7918">IFERROR(IF($B7918=N$1, ($A7918+$C7918) - MAX(IF($B$2:$B7917=$B7918, $A$2:$A7917+$C$2:$C7917)), "")*24*60, "")</f>
        <v/>
      </c>
      <c r="O7918" s="24" t="str" cm="1">
        <f t="array" ref="O7918">IFERROR(IF($B7918=O$1, ($A7918+$C7918) - MAX(IF($B$2:$B7917=$B7918, $A$2:$A7917+$C$2:$C7917)), "")*24*60, "")</f>
        <v/>
      </c>
      <c r="P7918" s="24" t="str" cm="1">
        <f t="array" ref="P7918">IFERROR(IF($B7918=P$1, ($A7918+$C7918) - MAX(IF($B$2:$B7917=$B7918, $A$2:$A7917+$C$2:$C7917)), "")*24*60, "")</f>
        <v/>
      </c>
      <c r="Q7918" s="24" t="str" cm="1">
        <f t="array" ref="Q7918">IFERROR(IF($B7918=Q$1, ($A7918+$C7918) - MAX(IF($B$2:$B7917=$B7918, $A$2:$A7917+$C$2:$C7917)), "")*24*60, "")</f>
        <v/>
      </c>
      <c r="R7918" s="24" t="str" cm="1">
        <f t="array" ref="R7918">IFERROR(IF($B7918=R$1, ($A7918+$C7918) - MAX(IF($B$2:$B7917=$B7918, $A$2:$A7917+$C$2:$C7917)), "")*24*60, "")</f>
        <v/>
      </c>
      <c r="S7918" s="24" t="str" cm="1">
        <f t="array" ref="S7918">IFERROR(IF($B7918=S$1, ($A7918+$C7918) - MAX(IF($B$2:$B7917=$B7918, $A$2:$A7917+$C$2:$C7917)), "")*24*60, "")</f>
        <v/>
      </c>
    </row>
    <row r="7919" spans="1:19" x14ac:dyDescent="0.2">
      <c r="A7919" s="12">
        <f t="shared" ref="A7919:C7919" si="1410">A7918</f>
        <v>46021</v>
      </c>
      <c r="B7919" s="5" t="str">
        <f t="shared" si="1410"/>
        <v>Northern Cardinal</v>
      </c>
      <c r="C7919" s="6">
        <f t="shared" si="1410"/>
        <v>0.7319444444444444</v>
      </c>
      <c r="D7919" s="5"/>
      <c r="E7919" s="5"/>
      <c r="F7919" s="5" t="s">
        <v>9</v>
      </c>
      <c r="G7919" s="15" t="s">
        <v>8</v>
      </c>
      <c r="H7919" s="24">
        <f t="shared" si="1407"/>
        <v>0</v>
      </c>
      <c r="I7919" s="24" cm="1">
        <f t="array" ref="I7919">IFERROR(IF($B7919=I$1, ($A7919+$C7919) - MAX(IF($B$2:$B7918=$B7919, $A$2:$A7918+$C$2:$C7918)), "")*24*60, "")</f>
        <v>0</v>
      </c>
      <c r="J7919" s="24" t="str" cm="1">
        <f t="array" ref="J7919">IFERROR(IF($B7919=J$1, ($A7919+$C7919) - MAX(IF($B$2:$B7918=$B7919, $A$2:$A7918+$C$2:$C7918)), "")*24*60, "")</f>
        <v/>
      </c>
      <c r="K7919" s="24" t="str" cm="1">
        <f t="array" ref="K7919">IFERROR(IF($B7919=K$1, ($A7919+$C7919) - MAX(IF($B$2:$B7918=$B7919, $A$2:$A7918+$C$2:$C7918)), "")*24*60, "")</f>
        <v/>
      </c>
      <c r="L7919" s="24" t="str" cm="1">
        <f t="array" ref="L7919">IFERROR(IF($B7919=L$1, ($A7919+$C7919) - MAX(IF($B$2:$B7918=$B7919, $A$2:$A7918+$C$2:$C7918)), "")*24*60, "")</f>
        <v/>
      </c>
      <c r="M7919" s="24" t="str" cm="1">
        <f t="array" ref="M7919">IFERROR(IF($B7919=M$1, ($A7919+$C7919) - MAX(IF($B$2:$B7918=$B7919, $A$2:$A7918+$C$2:$C7918)), "")*24*60, "")</f>
        <v/>
      </c>
      <c r="N7919" s="24" t="str" cm="1">
        <f t="array" ref="N7919">IFERROR(IF($B7919=N$1, ($A7919+$C7919) - MAX(IF($B$2:$B7918=$B7919, $A$2:$A7918+$C$2:$C7918)), "")*24*60, "")</f>
        <v/>
      </c>
      <c r="O7919" s="24" t="str" cm="1">
        <f t="array" ref="O7919">IFERROR(IF($B7919=O$1, ($A7919+$C7919) - MAX(IF($B$2:$B7918=$B7919, $A$2:$A7918+$C$2:$C7918)), "")*24*60, "")</f>
        <v/>
      </c>
      <c r="P7919" s="24" t="str" cm="1">
        <f t="array" ref="P7919">IFERROR(IF($B7919=P$1, ($A7919+$C7919) - MAX(IF($B$2:$B7918=$B7919, $A$2:$A7918+$C$2:$C7918)), "")*24*60, "")</f>
        <v/>
      </c>
      <c r="Q7919" s="24" t="str" cm="1">
        <f t="array" ref="Q7919">IFERROR(IF($B7919=Q$1, ($A7919+$C7919) - MAX(IF($B$2:$B7918=$B7919, $A$2:$A7918+$C$2:$C7918)), "")*24*60, "")</f>
        <v/>
      </c>
      <c r="R7919" s="24" t="str" cm="1">
        <f t="array" ref="R7919">IFERROR(IF($B7919=R$1, ($A7919+$C7919) - MAX(IF($B$2:$B7918=$B7919, $A$2:$A7918+$C$2:$C7918)), "")*24*60, "")</f>
        <v/>
      </c>
      <c r="S7919" s="24" t="str" cm="1">
        <f t="array" ref="S7919">IFERROR(IF($B7919=S$1, ($A7919+$C7919) - MAX(IF($B$2:$B7918=$B7919, $A$2:$A7918+$C$2:$C7918)), "")*24*60, "")</f>
        <v/>
      </c>
    </row>
    <row r="7920" spans="1:19" x14ac:dyDescent="0.2">
      <c r="A7920" s="12">
        <f t="shared" ref="A7920:C7920" si="1411">A7919</f>
        <v>46021</v>
      </c>
      <c r="B7920" s="5" t="str">
        <f t="shared" si="1411"/>
        <v>Northern Cardinal</v>
      </c>
      <c r="C7920" s="6">
        <f t="shared" si="1411"/>
        <v>0.7319444444444444</v>
      </c>
      <c r="D7920" s="5"/>
      <c r="E7920" s="5"/>
      <c r="F7920" s="5" t="s">
        <v>9</v>
      </c>
      <c r="G7920" s="15" t="s">
        <v>8</v>
      </c>
      <c r="H7920" s="24">
        <f t="shared" si="1407"/>
        <v>0</v>
      </c>
      <c r="I7920" s="24" cm="1">
        <f t="array" ref="I7920">IFERROR(IF($B7920=I$1, ($A7920+$C7920) - MAX(IF($B$2:$B7919=$B7920, $A$2:$A7919+$C$2:$C7919)), "")*24*60, "")</f>
        <v>0</v>
      </c>
      <c r="J7920" s="24" t="str" cm="1">
        <f t="array" ref="J7920">IFERROR(IF($B7920=J$1, ($A7920+$C7920) - MAX(IF($B$2:$B7919=$B7920, $A$2:$A7919+$C$2:$C7919)), "")*24*60, "")</f>
        <v/>
      </c>
      <c r="K7920" s="24" t="str" cm="1">
        <f t="array" ref="K7920">IFERROR(IF($B7920=K$1, ($A7920+$C7920) - MAX(IF($B$2:$B7919=$B7920, $A$2:$A7919+$C$2:$C7919)), "")*24*60, "")</f>
        <v/>
      </c>
      <c r="L7920" s="24" t="str" cm="1">
        <f t="array" ref="L7920">IFERROR(IF($B7920=L$1, ($A7920+$C7920) - MAX(IF($B$2:$B7919=$B7920, $A$2:$A7919+$C$2:$C7919)), "")*24*60, "")</f>
        <v/>
      </c>
      <c r="M7920" s="24" t="str" cm="1">
        <f t="array" ref="M7920">IFERROR(IF($B7920=M$1, ($A7920+$C7920) - MAX(IF($B$2:$B7919=$B7920, $A$2:$A7919+$C$2:$C7919)), "")*24*60, "")</f>
        <v/>
      </c>
      <c r="N7920" s="24" t="str" cm="1">
        <f t="array" ref="N7920">IFERROR(IF($B7920=N$1, ($A7920+$C7920) - MAX(IF($B$2:$B7919=$B7920, $A$2:$A7919+$C$2:$C7919)), "")*24*60, "")</f>
        <v/>
      </c>
      <c r="O7920" s="24" t="str" cm="1">
        <f t="array" ref="O7920">IFERROR(IF($B7920=O$1, ($A7920+$C7920) - MAX(IF($B$2:$B7919=$B7920, $A$2:$A7919+$C$2:$C7919)), "")*24*60, "")</f>
        <v/>
      </c>
      <c r="P7920" s="24" t="str" cm="1">
        <f t="array" ref="P7920">IFERROR(IF($B7920=P$1, ($A7920+$C7920) - MAX(IF($B$2:$B7919=$B7920, $A$2:$A7919+$C$2:$C7919)), "")*24*60, "")</f>
        <v/>
      </c>
      <c r="Q7920" s="24" t="str" cm="1">
        <f t="array" ref="Q7920">IFERROR(IF($B7920=Q$1, ($A7920+$C7920) - MAX(IF($B$2:$B7919=$B7920, $A$2:$A7919+$C$2:$C7919)), "")*24*60, "")</f>
        <v/>
      </c>
      <c r="R7920" s="24" t="str" cm="1">
        <f t="array" ref="R7920">IFERROR(IF($B7920=R$1, ($A7920+$C7920) - MAX(IF($B$2:$B7919=$B7920, $A$2:$A7919+$C$2:$C7919)), "")*24*60, "")</f>
        <v/>
      </c>
      <c r="S7920" s="24" t="str" cm="1">
        <f t="array" ref="S7920">IFERROR(IF($B7920=S$1, ($A7920+$C7920) - MAX(IF($B$2:$B7919=$B7920, $A$2:$A7919+$C$2:$C7919)), "")*24*60, "")</f>
        <v/>
      </c>
    </row>
    <row r="7921" spans="1:19" x14ac:dyDescent="0.2">
      <c r="A7921" s="12">
        <f t="shared" ref="A7921:C7921" si="1412">A7920</f>
        <v>46021</v>
      </c>
      <c r="B7921" s="5" t="str">
        <f t="shared" si="1412"/>
        <v>Northern Cardinal</v>
      </c>
      <c r="C7921" s="6">
        <f t="shared" si="1412"/>
        <v>0.7319444444444444</v>
      </c>
      <c r="D7921" s="5"/>
      <c r="E7921" s="5"/>
      <c r="F7921" s="5" t="s">
        <v>9</v>
      </c>
      <c r="G7921" s="15" t="s">
        <v>8</v>
      </c>
      <c r="H7921" s="24">
        <f t="shared" si="1407"/>
        <v>0</v>
      </c>
      <c r="I7921" s="24" cm="1">
        <f t="array" ref="I7921">IFERROR(IF($B7921=I$1, ($A7921+$C7921) - MAX(IF($B$2:$B7920=$B7921, $A$2:$A7920+$C$2:$C7920)), "")*24*60, "")</f>
        <v>0</v>
      </c>
      <c r="J7921" s="24" t="str" cm="1">
        <f t="array" ref="J7921">IFERROR(IF($B7921=J$1, ($A7921+$C7921) - MAX(IF($B$2:$B7920=$B7921, $A$2:$A7920+$C$2:$C7920)), "")*24*60, "")</f>
        <v/>
      </c>
      <c r="K7921" s="24" t="str" cm="1">
        <f t="array" ref="K7921">IFERROR(IF($B7921=K$1, ($A7921+$C7921) - MAX(IF($B$2:$B7920=$B7921, $A$2:$A7920+$C$2:$C7920)), "")*24*60, "")</f>
        <v/>
      </c>
      <c r="L7921" s="24" t="str" cm="1">
        <f t="array" ref="L7921">IFERROR(IF($B7921=L$1, ($A7921+$C7921) - MAX(IF($B$2:$B7920=$B7921, $A$2:$A7920+$C$2:$C7920)), "")*24*60, "")</f>
        <v/>
      </c>
      <c r="M7921" s="24" t="str" cm="1">
        <f t="array" ref="M7921">IFERROR(IF($B7921=M$1, ($A7921+$C7921) - MAX(IF($B$2:$B7920=$B7921, $A$2:$A7920+$C$2:$C7920)), "")*24*60, "")</f>
        <v/>
      </c>
      <c r="N7921" s="24" t="str" cm="1">
        <f t="array" ref="N7921">IFERROR(IF($B7921=N$1, ($A7921+$C7921) - MAX(IF($B$2:$B7920=$B7921, $A$2:$A7920+$C$2:$C7920)), "")*24*60, "")</f>
        <v/>
      </c>
      <c r="O7921" s="24" t="str" cm="1">
        <f t="array" ref="O7921">IFERROR(IF($B7921=O$1, ($A7921+$C7921) - MAX(IF($B$2:$B7920=$B7921, $A$2:$A7920+$C$2:$C7920)), "")*24*60, "")</f>
        <v/>
      </c>
      <c r="P7921" s="24" t="str" cm="1">
        <f t="array" ref="P7921">IFERROR(IF($B7921=P$1, ($A7921+$C7921) - MAX(IF($B$2:$B7920=$B7921, $A$2:$A7920+$C$2:$C7920)), "")*24*60, "")</f>
        <v/>
      </c>
      <c r="Q7921" s="24" t="str" cm="1">
        <f t="array" ref="Q7921">IFERROR(IF($B7921=Q$1, ($A7921+$C7921) - MAX(IF($B$2:$B7920=$B7921, $A$2:$A7920+$C$2:$C7920)), "")*24*60, "")</f>
        <v/>
      </c>
      <c r="R7921" s="24" t="str" cm="1">
        <f t="array" ref="R7921">IFERROR(IF($B7921=R$1, ($A7921+$C7921) - MAX(IF($B$2:$B7920=$B7921, $A$2:$A7920+$C$2:$C7920)), "")*24*60, "")</f>
        <v/>
      </c>
      <c r="S7921" s="24" t="str" cm="1">
        <f t="array" ref="S7921">IFERROR(IF($B7921=S$1, ($A7921+$C7921) - MAX(IF($B$2:$B7920=$B7921, $A$2:$A7920+$C$2:$C7920)), "")*24*60, "")</f>
        <v/>
      </c>
    </row>
    <row r="7922" spans="1:19" x14ac:dyDescent="0.2">
      <c r="A7922" s="12">
        <f t="shared" ref="A7922:C7922" si="1413">A7921</f>
        <v>46021</v>
      </c>
      <c r="B7922" s="5" t="str">
        <f t="shared" si="1413"/>
        <v>Northern Cardinal</v>
      </c>
      <c r="C7922" s="6">
        <f t="shared" si="1413"/>
        <v>0.7319444444444444</v>
      </c>
      <c r="D7922" s="5"/>
      <c r="E7922" s="5"/>
      <c r="F7922" s="5" t="s">
        <v>9</v>
      </c>
      <c r="G7922" s="15" t="s">
        <v>8</v>
      </c>
      <c r="H7922" s="24">
        <f t="shared" si="1407"/>
        <v>0</v>
      </c>
      <c r="I7922" s="24" cm="1">
        <f t="array" ref="I7922">IFERROR(IF($B7922=I$1, ($A7922+$C7922) - MAX(IF($B$2:$B7921=$B7922, $A$2:$A7921+$C$2:$C7921)), "")*24*60, "")</f>
        <v>0</v>
      </c>
      <c r="J7922" s="24" t="str" cm="1">
        <f t="array" ref="J7922">IFERROR(IF($B7922=J$1, ($A7922+$C7922) - MAX(IF($B$2:$B7921=$B7922, $A$2:$A7921+$C$2:$C7921)), "")*24*60, "")</f>
        <v/>
      </c>
      <c r="K7922" s="24" t="str" cm="1">
        <f t="array" ref="K7922">IFERROR(IF($B7922=K$1, ($A7922+$C7922) - MAX(IF($B$2:$B7921=$B7922, $A$2:$A7921+$C$2:$C7921)), "")*24*60, "")</f>
        <v/>
      </c>
      <c r="L7922" s="24" t="str" cm="1">
        <f t="array" ref="L7922">IFERROR(IF($B7922=L$1, ($A7922+$C7922) - MAX(IF($B$2:$B7921=$B7922, $A$2:$A7921+$C$2:$C7921)), "")*24*60, "")</f>
        <v/>
      </c>
      <c r="M7922" s="24" t="str" cm="1">
        <f t="array" ref="M7922">IFERROR(IF($B7922=M$1, ($A7922+$C7922) - MAX(IF($B$2:$B7921=$B7922, $A$2:$A7921+$C$2:$C7921)), "")*24*60, "")</f>
        <v/>
      </c>
      <c r="N7922" s="24" t="str" cm="1">
        <f t="array" ref="N7922">IFERROR(IF($B7922=N$1, ($A7922+$C7922) - MAX(IF($B$2:$B7921=$B7922, $A$2:$A7921+$C$2:$C7921)), "")*24*60, "")</f>
        <v/>
      </c>
      <c r="O7922" s="24" t="str" cm="1">
        <f t="array" ref="O7922">IFERROR(IF($B7922=O$1, ($A7922+$C7922) - MAX(IF($B$2:$B7921=$B7922, $A$2:$A7921+$C$2:$C7921)), "")*24*60, "")</f>
        <v/>
      </c>
      <c r="P7922" s="24" t="str" cm="1">
        <f t="array" ref="P7922">IFERROR(IF($B7922=P$1, ($A7922+$C7922) - MAX(IF($B$2:$B7921=$B7922, $A$2:$A7921+$C$2:$C7921)), "")*24*60, "")</f>
        <v/>
      </c>
      <c r="Q7922" s="24" t="str" cm="1">
        <f t="array" ref="Q7922">IFERROR(IF($B7922=Q$1, ($A7922+$C7922) - MAX(IF($B$2:$B7921=$B7922, $A$2:$A7921+$C$2:$C7921)), "")*24*60, "")</f>
        <v/>
      </c>
      <c r="R7922" s="24" t="str" cm="1">
        <f t="array" ref="R7922">IFERROR(IF($B7922=R$1, ($A7922+$C7922) - MAX(IF($B$2:$B7921=$B7922, $A$2:$A7921+$C$2:$C7921)), "")*24*60, "")</f>
        <v/>
      </c>
      <c r="S7922" s="24" t="str" cm="1">
        <f t="array" ref="S7922">IFERROR(IF($B7922=S$1, ($A7922+$C7922) - MAX(IF($B$2:$B7921=$B7922, $A$2:$A7921+$C$2:$C7921)), "")*24*60, "")</f>
        <v/>
      </c>
    </row>
    <row r="7923" spans="1:19" x14ac:dyDescent="0.2">
      <c r="A7923" s="12">
        <f t="shared" ref="A7923:C7923" si="1414">A7922</f>
        <v>46021</v>
      </c>
      <c r="B7923" s="5" t="str">
        <f t="shared" si="1414"/>
        <v>Northern Cardinal</v>
      </c>
      <c r="C7923" s="6">
        <f t="shared" si="1414"/>
        <v>0.7319444444444444</v>
      </c>
      <c r="D7923" s="5"/>
      <c r="E7923" s="5"/>
      <c r="F7923" s="5" t="s">
        <v>9</v>
      </c>
      <c r="G7923" s="15" t="s">
        <v>8</v>
      </c>
      <c r="H7923" s="24">
        <f t="shared" si="1407"/>
        <v>0</v>
      </c>
      <c r="I7923" s="24" cm="1">
        <f t="array" ref="I7923">IFERROR(IF($B7923=I$1, ($A7923+$C7923) - MAX(IF($B$2:$B7922=$B7923, $A$2:$A7922+$C$2:$C7922)), "")*24*60, "")</f>
        <v>0</v>
      </c>
      <c r="J7923" s="24" t="str" cm="1">
        <f t="array" ref="J7923">IFERROR(IF($B7923=J$1, ($A7923+$C7923) - MAX(IF($B$2:$B7922=$B7923, $A$2:$A7922+$C$2:$C7922)), "")*24*60, "")</f>
        <v/>
      </c>
      <c r="K7923" s="24" t="str" cm="1">
        <f t="array" ref="K7923">IFERROR(IF($B7923=K$1, ($A7923+$C7923) - MAX(IF($B$2:$B7922=$B7923, $A$2:$A7922+$C$2:$C7922)), "")*24*60, "")</f>
        <v/>
      </c>
      <c r="L7923" s="24" t="str" cm="1">
        <f t="array" ref="L7923">IFERROR(IF($B7923=L$1, ($A7923+$C7923) - MAX(IF($B$2:$B7922=$B7923, $A$2:$A7922+$C$2:$C7922)), "")*24*60, "")</f>
        <v/>
      </c>
      <c r="M7923" s="24" t="str" cm="1">
        <f t="array" ref="M7923">IFERROR(IF($B7923=M$1, ($A7923+$C7923) - MAX(IF($B$2:$B7922=$B7923, $A$2:$A7922+$C$2:$C7922)), "")*24*60, "")</f>
        <v/>
      </c>
      <c r="N7923" s="24" t="str" cm="1">
        <f t="array" ref="N7923">IFERROR(IF($B7923=N$1, ($A7923+$C7923) - MAX(IF($B$2:$B7922=$B7923, $A$2:$A7922+$C$2:$C7922)), "")*24*60, "")</f>
        <v/>
      </c>
      <c r="O7923" s="24" t="str" cm="1">
        <f t="array" ref="O7923">IFERROR(IF($B7923=O$1, ($A7923+$C7923) - MAX(IF($B$2:$B7922=$B7923, $A$2:$A7922+$C$2:$C7922)), "")*24*60, "")</f>
        <v/>
      </c>
      <c r="P7923" s="24" t="str" cm="1">
        <f t="array" ref="P7923">IFERROR(IF($B7923=P$1, ($A7923+$C7923) - MAX(IF($B$2:$B7922=$B7923, $A$2:$A7922+$C$2:$C7922)), "")*24*60, "")</f>
        <v/>
      </c>
      <c r="Q7923" s="24" t="str" cm="1">
        <f t="array" ref="Q7923">IFERROR(IF($B7923=Q$1, ($A7923+$C7923) - MAX(IF($B$2:$B7922=$B7923, $A$2:$A7922+$C$2:$C7922)), "")*24*60, "")</f>
        <v/>
      </c>
      <c r="R7923" s="24" t="str" cm="1">
        <f t="array" ref="R7923">IFERROR(IF($B7923=R$1, ($A7923+$C7923) - MAX(IF($B$2:$B7922=$B7923, $A$2:$A7922+$C$2:$C7922)), "")*24*60, "")</f>
        <v/>
      </c>
      <c r="S7923" s="24" t="str" cm="1">
        <f t="array" ref="S7923">IFERROR(IF($B7923=S$1, ($A7923+$C7923) - MAX(IF($B$2:$B7922=$B7923, $A$2:$A7922+$C$2:$C7922)), "")*24*60, "")</f>
        <v/>
      </c>
    </row>
    <row r="7924" spans="1:19" x14ac:dyDescent="0.2">
      <c r="A7924" s="12">
        <f t="shared" ref="A7924:C7924" si="1415">A7923</f>
        <v>46021</v>
      </c>
      <c r="B7924" s="5" t="str">
        <f t="shared" si="1415"/>
        <v>Northern Cardinal</v>
      </c>
      <c r="C7924" s="6">
        <f t="shared" si="1415"/>
        <v>0.7319444444444444</v>
      </c>
      <c r="D7924" s="5"/>
      <c r="E7924" s="5"/>
      <c r="F7924" s="5" t="s">
        <v>9</v>
      </c>
      <c r="G7924" s="15" t="s">
        <v>8</v>
      </c>
      <c r="H7924" s="24">
        <f t="shared" si="1407"/>
        <v>0</v>
      </c>
      <c r="I7924" s="24" cm="1">
        <f t="array" ref="I7924">IFERROR(IF($B7924=I$1, ($A7924+$C7924) - MAX(IF($B$2:$B7923=$B7924, $A$2:$A7923+$C$2:$C7923)), "")*24*60, "")</f>
        <v>0</v>
      </c>
      <c r="J7924" s="24" t="str" cm="1">
        <f t="array" ref="J7924">IFERROR(IF($B7924=J$1, ($A7924+$C7924) - MAX(IF($B$2:$B7923=$B7924, $A$2:$A7923+$C$2:$C7923)), "")*24*60, "")</f>
        <v/>
      </c>
      <c r="K7924" s="24" t="str" cm="1">
        <f t="array" ref="K7924">IFERROR(IF($B7924=K$1, ($A7924+$C7924) - MAX(IF($B$2:$B7923=$B7924, $A$2:$A7923+$C$2:$C7923)), "")*24*60, "")</f>
        <v/>
      </c>
      <c r="L7924" s="24" t="str" cm="1">
        <f t="array" ref="L7924">IFERROR(IF($B7924=L$1, ($A7924+$C7924) - MAX(IF($B$2:$B7923=$B7924, $A$2:$A7923+$C$2:$C7923)), "")*24*60, "")</f>
        <v/>
      </c>
      <c r="M7924" s="24" t="str" cm="1">
        <f t="array" ref="M7924">IFERROR(IF($B7924=M$1, ($A7924+$C7924) - MAX(IF($B$2:$B7923=$B7924, $A$2:$A7923+$C$2:$C7923)), "")*24*60, "")</f>
        <v/>
      </c>
      <c r="N7924" s="24" t="str" cm="1">
        <f t="array" ref="N7924">IFERROR(IF($B7924=N$1, ($A7924+$C7924) - MAX(IF($B$2:$B7923=$B7924, $A$2:$A7923+$C$2:$C7923)), "")*24*60, "")</f>
        <v/>
      </c>
      <c r="O7924" s="24" t="str" cm="1">
        <f t="array" ref="O7924">IFERROR(IF($B7924=O$1, ($A7924+$C7924) - MAX(IF($B$2:$B7923=$B7924, $A$2:$A7923+$C$2:$C7923)), "")*24*60, "")</f>
        <v/>
      </c>
      <c r="P7924" s="24" t="str" cm="1">
        <f t="array" ref="P7924">IFERROR(IF($B7924=P$1, ($A7924+$C7924) - MAX(IF($B$2:$B7923=$B7924, $A$2:$A7923+$C$2:$C7923)), "")*24*60, "")</f>
        <v/>
      </c>
      <c r="Q7924" s="24" t="str" cm="1">
        <f t="array" ref="Q7924">IFERROR(IF($B7924=Q$1, ($A7924+$C7924) - MAX(IF($B$2:$B7923=$B7924, $A$2:$A7923+$C$2:$C7923)), "")*24*60, "")</f>
        <v/>
      </c>
      <c r="R7924" s="24" t="str" cm="1">
        <f t="array" ref="R7924">IFERROR(IF($B7924=R$1, ($A7924+$C7924) - MAX(IF($B$2:$B7923=$B7924, $A$2:$A7923+$C$2:$C7923)), "")*24*60, "")</f>
        <v/>
      </c>
      <c r="S7924" s="24" t="str" cm="1">
        <f t="array" ref="S7924">IFERROR(IF($B7924=S$1, ($A7924+$C7924) - MAX(IF($B$2:$B7923=$B7924, $A$2:$A7923+$C$2:$C7923)), "")*24*60, "")</f>
        <v/>
      </c>
    </row>
    <row r="7925" spans="1:19" x14ac:dyDescent="0.2">
      <c r="A7925" s="12">
        <f t="shared" ref="A7925:C7925" si="1416">A7924</f>
        <v>46021</v>
      </c>
      <c r="B7925" s="5" t="str">
        <f t="shared" si="1416"/>
        <v>Northern Cardinal</v>
      </c>
      <c r="C7925" s="6">
        <f t="shared" si="1416"/>
        <v>0.7319444444444444</v>
      </c>
      <c r="D7925" s="5"/>
      <c r="E7925" s="5"/>
      <c r="F7925" s="5" t="s">
        <v>9</v>
      </c>
      <c r="G7925" s="15" t="s">
        <v>8</v>
      </c>
      <c r="H7925" s="24">
        <f t="shared" si="1407"/>
        <v>0</v>
      </c>
      <c r="I7925" s="24" cm="1">
        <f t="array" ref="I7925">IFERROR(IF($B7925=I$1, ($A7925+$C7925) - MAX(IF($B$2:$B7924=$B7925, $A$2:$A7924+$C$2:$C7924)), "")*24*60, "")</f>
        <v>0</v>
      </c>
      <c r="J7925" s="24" t="str" cm="1">
        <f t="array" ref="J7925">IFERROR(IF($B7925=J$1, ($A7925+$C7925) - MAX(IF($B$2:$B7924=$B7925, $A$2:$A7924+$C$2:$C7924)), "")*24*60, "")</f>
        <v/>
      </c>
      <c r="K7925" s="24" t="str" cm="1">
        <f t="array" ref="K7925">IFERROR(IF($B7925=K$1, ($A7925+$C7925) - MAX(IF($B$2:$B7924=$B7925, $A$2:$A7924+$C$2:$C7924)), "")*24*60, "")</f>
        <v/>
      </c>
      <c r="L7925" s="24" t="str" cm="1">
        <f t="array" ref="L7925">IFERROR(IF($B7925=L$1, ($A7925+$C7925) - MAX(IF($B$2:$B7924=$B7925, $A$2:$A7924+$C$2:$C7924)), "")*24*60, "")</f>
        <v/>
      </c>
      <c r="M7925" s="24" t="str" cm="1">
        <f t="array" ref="M7925">IFERROR(IF($B7925=M$1, ($A7925+$C7925) - MAX(IF($B$2:$B7924=$B7925, $A$2:$A7924+$C$2:$C7924)), "")*24*60, "")</f>
        <v/>
      </c>
      <c r="N7925" s="24" t="str" cm="1">
        <f t="array" ref="N7925">IFERROR(IF($B7925=N$1, ($A7925+$C7925) - MAX(IF($B$2:$B7924=$B7925, $A$2:$A7924+$C$2:$C7924)), "")*24*60, "")</f>
        <v/>
      </c>
      <c r="O7925" s="24" t="str" cm="1">
        <f t="array" ref="O7925">IFERROR(IF($B7925=O$1, ($A7925+$C7925) - MAX(IF($B$2:$B7924=$B7925, $A$2:$A7924+$C$2:$C7924)), "")*24*60, "")</f>
        <v/>
      </c>
      <c r="P7925" s="24" t="str" cm="1">
        <f t="array" ref="P7925">IFERROR(IF($B7925=P$1, ($A7925+$C7925) - MAX(IF($B$2:$B7924=$B7925, $A$2:$A7924+$C$2:$C7924)), "")*24*60, "")</f>
        <v/>
      </c>
      <c r="Q7925" s="24" t="str" cm="1">
        <f t="array" ref="Q7925">IFERROR(IF($B7925=Q$1, ($A7925+$C7925) - MAX(IF($B$2:$B7924=$B7925, $A$2:$A7924+$C$2:$C7924)), "")*24*60, "")</f>
        <v/>
      </c>
      <c r="R7925" s="24" t="str" cm="1">
        <f t="array" ref="R7925">IFERROR(IF($B7925=R$1, ($A7925+$C7925) - MAX(IF($B$2:$B7924=$B7925, $A$2:$A7924+$C$2:$C7924)), "")*24*60, "")</f>
        <v/>
      </c>
      <c r="S7925" s="24" t="str" cm="1">
        <f t="array" ref="S7925">IFERROR(IF($B7925=S$1, ($A7925+$C7925) - MAX(IF($B$2:$B7924=$B7925, $A$2:$A7924+$C$2:$C7924)), "")*24*60, "")</f>
        <v/>
      </c>
    </row>
    <row r="7926" spans="1:19" x14ac:dyDescent="0.2">
      <c r="A7926" s="12">
        <f t="shared" ref="A7926:C7926" si="1417">A7925</f>
        <v>46021</v>
      </c>
      <c r="B7926" s="5" t="str">
        <f t="shared" si="1417"/>
        <v>Northern Cardinal</v>
      </c>
      <c r="C7926" s="6">
        <f t="shared" si="1417"/>
        <v>0.7319444444444444</v>
      </c>
      <c r="D7926" s="5"/>
      <c r="E7926" s="5"/>
      <c r="F7926" s="5" t="s">
        <v>9</v>
      </c>
      <c r="G7926" s="15" t="s">
        <v>8</v>
      </c>
      <c r="H7926" s="24">
        <f t="shared" si="1407"/>
        <v>0</v>
      </c>
      <c r="I7926" s="24" cm="1">
        <f t="array" ref="I7926">IFERROR(IF($B7926=I$1, ($A7926+$C7926) - MAX(IF($B$2:$B7925=$B7926, $A$2:$A7925+$C$2:$C7925)), "")*24*60, "")</f>
        <v>0</v>
      </c>
      <c r="J7926" s="24" t="str" cm="1">
        <f t="array" ref="J7926">IFERROR(IF($B7926=J$1, ($A7926+$C7926) - MAX(IF($B$2:$B7925=$B7926, $A$2:$A7925+$C$2:$C7925)), "")*24*60, "")</f>
        <v/>
      </c>
      <c r="K7926" s="24" t="str" cm="1">
        <f t="array" ref="K7926">IFERROR(IF($B7926=K$1, ($A7926+$C7926) - MAX(IF($B$2:$B7925=$B7926, $A$2:$A7925+$C$2:$C7925)), "")*24*60, "")</f>
        <v/>
      </c>
      <c r="L7926" s="24" t="str" cm="1">
        <f t="array" ref="L7926">IFERROR(IF($B7926=L$1, ($A7926+$C7926) - MAX(IF($B$2:$B7925=$B7926, $A$2:$A7925+$C$2:$C7925)), "")*24*60, "")</f>
        <v/>
      </c>
      <c r="M7926" s="24" t="str" cm="1">
        <f t="array" ref="M7926">IFERROR(IF($B7926=M$1, ($A7926+$C7926) - MAX(IF($B$2:$B7925=$B7926, $A$2:$A7925+$C$2:$C7925)), "")*24*60, "")</f>
        <v/>
      </c>
      <c r="N7926" s="24" t="str" cm="1">
        <f t="array" ref="N7926">IFERROR(IF($B7926=N$1, ($A7926+$C7926) - MAX(IF($B$2:$B7925=$B7926, $A$2:$A7925+$C$2:$C7925)), "")*24*60, "")</f>
        <v/>
      </c>
      <c r="O7926" s="24" t="str" cm="1">
        <f t="array" ref="O7926">IFERROR(IF($B7926=O$1, ($A7926+$C7926) - MAX(IF($B$2:$B7925=$B7926, $A$2:$A7925+$C$2:$C7925)), "")*24*60, "")</f>
        <v/>
      </c>
      <c r="P7926" s="24" t="str" cm="1">
        <f t="array" ref="P7926">IFERROR(IF($B7926=P$1, ($A7926+$C7926) - MAX(IF($B$2:$B7925=$B7926, $A$2:$A7925+$C$2:$C7925)), "")*24*60, "")</f>
        <v/>
      </c>
      <c r="Q7926" s="24" t="str" cm="1">
        <f t="array" ref="Q7926">IFERROR(IF($B7926=Q$1, ($A7926+$C7926) - MAX(IF($B$2:$B7925=$B7926, $A$2:$A7925+$C$2:$C7925)), "")*24*60, "")</f>
        <v/>
      </c>
      <c r="R7926" s="24" t="str" cm="1">
        <f t="array" ref="R7926">IFERROR(IF($B7926=R$1, ($A7926+$C7926) - MAX(IF($B$2:$B7925=$B7926, $A$2:$A7925+$C$2:$C7925)), "")*24*60, "")</f>
        <v/>
      </c>
      <c r="S7926" s="24" t="str" cm="1">
        <f t="array" ref="S7926">IFERROR(IF($B7926=S$1, ($A7926+$C7926) - MAX(IF($B$2:$B7925=$B7926, $A$2:$A7925+$C$2:$C7925)), "")*24*60, "")</f>
        <v/>
      </c>
    </row>
    <row r="7927" spans="1:19" x14ac:dyDescent="0.2">
      <c r="A7927" s="12">
        <f t="shared" ref="A7927:C7927" si="1418">A7926</f>
        <v>46021</v>
      </c>
      <c r="B7927" s="5" t="str">
        <f t="shared" si="1418"/>
        <v>Northern Cardinal</v>
      </c>
      <c r="C7927" s="6">
        <f t="shared" si="1418"/>
        <v>0.7319444444444444</v>
      </c>
      <c r="D7927" s="5"/>
      <c r="E7927" s="5"/>
      <c r="F7927" s="5" t="s">
        <v>9</v>
      </c>
      <c r="G7927" s="15" t="s">
        <v>8</v>
      </c>
      <c r="H7927" s="24">
        <f t="shared" si="1407"/>
        <v>0</v>
      </c>
      <c r="I7927" s="24" cm="1">
        <f t="array" ref="I7927">IFERROR(IF($B7927=I$1, ($A7927+$C7927) - MAX(IF($B$2:$B7926=$B7927, $A$2:$A7926+$C$2:$C7926)), "")*24*60, "")</f>
        <v>0</v>
      </c>
      <c r="J7927" s="24" t="str" cm="1">
        <f t="array" ref="J7927">IFERROR(IF($B7927=J$1, ($A7927+$C7927) - MAX(IF($B$2:$B7926=$B7927, $A$2:$A7926+$C$2:$C7926)), "")*24*60, "")</f>
        <v/>
      </c>
      <c r="K7927" s="24" t="str" cm="1">
        <f t="array" ref="K7927">IFERROR(IF($B7927=K$1, ($A7927+$C7927) - MAX(IF($B$2:$B7926=$B7927, $A$2:$A7926+$C$2:$C7926)), "")*24*60, "")</f>
        <v/>
      </c>
      <c r="L7927" s="24" t="str" cm="1">
        <f t="array" ref="L7927">IFERROR(IF($B7927=L$1, ($A7927+$C7927) - MAX(IF($B$2:$B7926=$B7927, $A$2:$A7926+$C$2:$C7926)), "")*24*60, "")</f>
        <v/>
      </c>
      <c r="M7927" s="24" t="str" cm="1">
        <f t="array" ref="M7927">IFERROR(IF($B7927=M$1, ($A7927+$C7927) - MAX(IF($B$2:$B7926=$B7927, $A$2:$A7926+$C$2:$C7926)), "")*24*60, "")</f>
        <v/>
      </c>
      <c r="N7927" s="24" t="str" cm="1">
        <f t="array" ref="N7927">IFERROR(IF($B7927=N$1, ($A7927+$C7927) - MAX(IF($B$2:$B7926=$B7927, $A$2:$A7926+$C$2:$C7926)), "")*24*60, "")</f>
        <v/>
      </c>
      <c r="O7927" s="24" t="str" cm="1">
        <f t="array" ref="O7927">IFERROR(IF($B7927=O$1, ($A7927+$C7927) - MAX(IF($B$2:$B7926=$B7927, $A$2:$A7926+$C$2:$C7926)), "")*24*60, "")</f>
        <v/>
      </c>
      <c r="P7927" s="24" t="str" cm="1">
        <f t="array" ref="P7927">IFERROR(IF($B7927=P$1, ($A7927+$C7927) - MAX(IF($B$2:$B7926=$B7927, $A$2:$A7926+$C$2:$C7926)), "")*24*60, "")</f>
        <v/>
      </c>
      <c r="Q7927" s="24" t="str" cm="1">
        <f t="array" ref="Q7927">IFERROR(IF($B7927=Q$1, ($A7927+$C7927) - MAX(IF($B$2:$B7926=$B7927, $A$2:$A7926+$C$2:$C7926)), "")*24*60, "")</f>
        <v/>
      </c>
      <c r="R7927" s="24" t="str" cm="1">
        <f t="array" ref="R7927">IFERROR(IF($B7927=R$1, ($A7927+$C7927) - MAX(IF($B$2:$B7926=$B7927, $A$2:$A7926+$C$2:$C7926)), "")*24*60, "")</f>
        <v/>
      </c>
      <c r="S7927" s="24" t="str" cm="1">
        <f t="array" ref="S7927">IFERROR(IF($B7927=S$1, ($A7927+$C7927) - MAX(IF($B$2:$B7926=$B7927, $A$2:$A7926+$C$2:$C7926)), "")*24*60, "")</f>
        <v/>
      </c>
    </row>
    <row r="7928" spans="1:19" x14ac:dyDescent="0.2">
      <c r="A7928" s="12">
        <f t="shared" ref="A7928:C7928" si="1419">A7927</f>
        <v>46021</v>
      </c>
      <c r="B7928" s="5" t="str">
        <f t="shared" si="1419"/>
        <v>Northern Cardinal</v>
      </c>
      <c r="C7928" s="6">
        <f t="shared" si="1419"/>
        <v>0.7319444444444444</v>
      </c>
      <c r="D7928" s="5"/>
      <c r="E7928" s="5"/>
      <c r="F7928" s="5" t="s">
        <v>9</v>
      </c>
      <c r="G7928" s="15" t="s">
        <v>8</v>
      </c>
      <c r="H7928" s="24">
        <f t="shared" si="1407"/>
        <v>0</v>
      </c>
      <c r="I7928" s="24" cm="1">
        <f t="array" ref="I7928">IFERROR(IF($B7928=I$1, ($A7928+$C7928) - MAX(IF($B$2:$B7927=$B7928, $A$2:$A7927+$C$2:$C7927)), "")*24*60, "")</f>
        <v>0</v>
      </c>
      <c r="J7928" s="24" t="str" cm="1">
        <f t="array" ref="J7928">IFERROR(IF($B7928=J$1, ($A7928+$C7928) - MAX(IF($B$2:$B7927=$B7928, $A$2:$A7927+$C$2:$C7927)), "")*24*60, "")</f>
        <v/>
      </c>
      <c r="K7928" s="24" t="str" cm="1">
        <f t="array" ref="K7928">IFERROR(IF($B7928=K$1, ($A7928+$C7928) - MAX(IF($B$2:$B7927=$B7928, $A$2:$A7927+$C$2:$C7927)), "")*24*60, "")</f>
        <v/>
      </c>
      <c r="L7928" s="24" t="str" cm="1">
        <f t="array" ref="L7928">IFERROR(IF($B7928=L$1, ($A7928+$C7928) - MAX(IF($B$2:$B7927=$B7928, $A$2:$A7927+$C$2:$C7927)), "")*24*60, "")</f>
        <v/>
      </c>
      <c r="M7928" s="24" t="str" cm="1">
        <f t="array" ref="M7928">IFERROR(IF($B7928=M$1, ($A7928+$C7928) - MAX(IF($B$2:$B7927=$B7928, $A$2:$A7927+$C$2:$C7927)), "")*24*60, "")</f>
        <v/>
      </c>
      <c r="N7928" s="24" t="str" cm="1">
        <f t="array" ref="N7928">IFERROR(IF($B7928=N$1, ($A7928+$C7928) - MAX(IF($B$2:$B7927=$B7928, $A$2:$A7927+$C$2:$C7927)), "")*24*60, "")</f>
        <v/>
      </c>
      <c r="O7928" s="24" t="str" cm="1">
        <f t="array" ref="O7928">IFERROR(IF($B7928=O$1, ($A7928+$C7928) - MAX(IF($B$2:$B7927=$B7928, $A$2:$A7927+$C$2:$C7927)), "")*24*60, "")</f>
        <v/>
      </c>
      <c r="P7928" s="24" t="str" cm="1">
        <f t="array" ref="P7928">IFERROR(IF($B7928=P$1, ($A7928+$C7928) - MAX(IF($B$2:$B7927=$B7928, $A$2:$A7927+$C$2:$C7927)), "")*24*60, "")</f>
        <v/>
      </c>
      <c r="Q7928" s="24" t="str" cm="1">
        <f t="array" ref="Q7928">IFERROR(IF($B7928=Q$1, ($A7928+$C7928) - MAX(IF($B$2:$B7927=$B7928, $A$2:$A7927+$C$2:$C7927)), "")*24*60, "")</f>
        <v/>
      </c>
      <c r="R7928" s="24" t="str" cm="1">
        <f t="array" ref="R7928">IFERROR(IF($B7928=R$1, ($A7928+$C7928) - MAX(IF($B$2:$B7927=$B7928, $A$2:$A7927+$C$2:$C7927)), "")*24*60, "")</f>
        <v/>
      </c>
      <c r="S7928" s="24" t="str" cm="1">
        <f t="array" ref="S7928">IFERROR(IF($B7928=S$1, ($A7928+$C7928) - MAX(IF($B$2:$B7927=$B7928, $A$2:$A7927+$C$2:$C7927)), "")*24*60, "")</f>
        <v/>
      </c>
    </row>
    <row r="7929" spans="1:19" x14ac:dyDescent="0.2">
      <c r="A7929" s="12">
        <f t="shared" ref="A7929:C7929" si="1420">A7928</f>
        <v>46021</v>
      </c>
      <c r="B7929" s="5" t="str">
        <f t="shared" si="1420"/>
        <v>Northern Cardinal</v>
      </c>
      <c r="C7929" s="6">
        <f t="shared" si="1420"/>
        <v>0.7319444444444444</v>
      </c>
      <c r="D7929" s="5"/>
      <c r="E7929" s="5"/>
      <c r="F7929" s="5" t="s">
        <v>9</v>
      </c>
      <c r="G7929" s="15" t="s">
        <v>8</v>
      </c>
      <c r="H7929" s="24">
        <f t="shared" si="1407"/>
        <v>0</v>
      </c>
      <c r="I7929" s="24" cm="1">
        <f t="array" ref="I7929">IFERROR(IF($B7929=I$1, ($A7929+$C7929) - MAX(IF($B$2:$B7928=$B7929, $A$2:$A7928+$C$2:$C7928)), "")*24*60, "")</f>
        <v>0</v>
      </c>
      <c r="J7929" s="24" t="str" cm="1">
        <f t="array" ref="J7929">IFERROR(IF($B7929=J$1, ($A7929+$C7929) - MAX(IF($B$2:$B7928=$B7929, $A$2:$A7928+$C$2:$C7928)), "")*24*60, "")</f>
        <v/>
      </c>
      <c r="K7929" s="24" t="str" cm="1">
        <f t="array" ref="K7929">IFERROR(IF($B7929=K$1, ($A7929+$C7929) - MAX(IF($B$2:$B7928=$B7929, $A$2:$A7928+$C$2:$C7928)), "")*24*60, "")</f>
        <v/>
      </c>
      <c r="L7929" s="24" t="str" cm="1">
        <f t="array" ref="L7929">IFERROR(IF($B7929=L$1, ($A7929+$C7929) - MAX(IF($B$2:$B7928=$B7929, $A$2:$A7928+$C$2:$C7928)), "")*24*60, "")</f>
        <v/>
      </c>
      <c r="M7929" s="24" t="str" cm="1">
        <f t="array" ref="M7929">IFERROR(IF($B7929=M$1, ($A7929+$C7929) - MAX(IF($B$2:$B7928=$B7929, $A$2:$A7928+$C$2:$C7928)), "")*24*60, "")</f>
        <v/>
      </c>
      <c r="N7929" s="24" t="str" cm="1">
        <f t="array" ref="N7929">IFERROR(IF($B7929=N$1, ($A7929+$C7929) - MAX(IF($B$2:$B7928=$B7929, $A$2:$A7928+$C$2:$C7928)), "")*24*60, "")</f>
        <v/>
      </c>
      <c r="O7929" s="24" t="str" cm="1">
        <f t="array" ref="O7929">IFERROR(IF($B7929=O$1, ($A7929+$C7929) - MAX(IF($B$2:$B7928=$B7929, $A$2:$A7928+$C$2:$C7928)), "")*24*60, "")</f>
        <v/>
      </c>
      <c r="P7929" s="24" t="str" cm="1">
        <f t="array" ref="P7929">IFERROR(IF($B7929=P$1, ($A7929+$C7929) - MAX(IF($B$2:$B7928=$B7929, $A$2:$A7928+$C$2:$C7928)), "")*24*60, "")</f>
        <v/>
      </c>
      <c r="Q7929" s="24" t="str" cm="1">
        <f t="array" ref="Q7929">IFERROR(IF($B7929=Q$1, ($A7929+$C7929) - MAX(IF($B$2:$B7928=$B7929, $A$2:$A7928+$C$2:$C7928)), "")*24*60, "")</f>
        <v/>
      </c>
      <c r="R7929" s="24" t="str" cm="1">
        <f t="array" ref="R7929">IFERROR(IF($B7929=R$1, ($A7929+$C7929) - MAX(IF($B$2:$B7928=$B7929, $A$2:$A7928+$C$2:$C7928)), "")*24*60, "")</f>
        <v/>
      </c>
      <c r="S7929" s="24" t="str" cm="1">
        <f t="array" ref="S7929">IFERROR(IF($B7929=S$1, ($A7929+$C7929) - MAX(IF($B$2:$B7928=$B7929, $A$2:$A7928+$C$2:$C7928)), "")*24*60, "")</f>
        <v/>
      </c>
    </row>
    <row r="7930" spans="1:19" x14ac:dyDescent="0.2">
      <c r="A7930" s="12">
        <f t="shared" ref="A7930:C7930" si="1421">A7929</f>
        <v>46021</v>
      </c>
      <c r="B7930" s="5" t="str">
        <f t="shared" si="1421"/>
        <v>Northern Cardinal</v>
      </c>
      <c r="C7930" s="6">
        <f t="shared" si="1421"/>
        <v>0.7319444444444444</v>
      </c>
      <c r="D7930" s="5"/>
      <c r="E7930" s="5"/>
      <c r="F7930" s="5" t="s">
        <v>9</v>
      </c>
      <c r="G7930" s="15" t="s">
        <v>8</v>
      </c>
      <c r="H7930" s="24">
        <f t="shared" si="1407"/>
        <v>0</v>
      </c>
      <c r="I7930" s="24" cm="1">
        <f t="array" ref="I7930">IFERROR(IF($B7930=I$1, ($A7930+$C7930) - MAX(IF($B$2:$B7929=$B7930, $A$2:$A7929+$C$2:$C7929)), "")*24*60, "")</f>
        <v>0</v>
      </c>
      <c r="J7930" s="24" t="str" cm="1">
        <f t="array" ref="J7930">IFERROR(IF($B7930=J$1, ($A7930+$C7930) - MAX(IF($B$2:$B7929=$B7930, $A$2:$A7929+$C$2:$C7929)), "")*24*60, "")</f>
        <v/>
      </c>
      <c r="K7930" s="24" t="str" cm="1">
        <f t="array" ref="K7930">IFERROR(IF($B7930=K$1, ($A7930+$C7930) - MAX(IF($B$2:$B7929=$B7930, $A$2:$A7929+$C$2:$C7929)), "")*24*60, "")</f>
        <v/>
      </c>
      <c r="L7930" s="24" t="str" cm="1">
        <f t="array" ref="L7930">IFERROR(IF($B7930=L$1, ($A7930+$C7930) - MAX(IF($B$2:$B7929=$B7930, $A$2:$A7929+$C$2:$C7929)), "")*24*60, "")</f>
        <v/>
      </c>
      <c r="M7930" s="24" t="str" cm="1">
        <f t="array" ref="M7930">IFERROR(IF($B7930=M$1, ($A7930+$C7930) - MAX(IF($B$2:$B7929=$B7930, $A$2:$A7929+$C$2:$C7929)), "")*24*60, "")</f>
        <v/>
      </c>
      <c r="N7930" s="24" t="str" cm="1">
        <f t="array" ref="N7930">IFERROR(IF($B7930=N$1, ($A7930+$C7930) - MAX(IF($B$2:$B7929=$B7930, $A$2:$A7929+$C$2:$C7929)), "")*24*60, "")</f>
        <v/>
      </c>
      <c r="O7930" s="24" t="str" cm="1">
        <f t="array" ref="O7930">IFERROR(IF($B7930=O$1, ($A7930+$C7930) - MAX(IF($B$2:$B7929=$B7930, $A$2:$A7929+$C$2:$C7929)), "")*24*60, "")</f>
        <v/>
      </c>
      <c r="P7930" s="24" t="str" cm="1">
        <f t="array" ref="P7930">IFERROR(IF($B7930=P$1, ($A7930+$C7930) - MAX(IF($B$2:$B7929=$B7930, $A$2:$A7929+$C$2:$C7929)), "")*24*60, "")</f>
        <v/>
      </c>
      <c r="Q7930" s="24" t="str" cm="1">
        <f t="array" ref="Q7930">IFERROR(IF($B7930=Q$1, ($A7930+$C7930) - MAX(IF($B$2:$B7929=$B7930, $A$2:$A7929+$C$2:$C7929)), "")*24*60, "")</f>
        <v/>
      </c>
      <c r="R7930" s="24" t="str" cm="1">
        <f t="array" ref="R7930">IFERROR(IF($B7930=R$1, ($A7930+$C7930) - MAX(IF($B$2:$B7929=$B7930, $A$2:$A7929+$C$2:$C7929)), "")*24*60, "")</f>
        <v/>
      </c>
      <c r="S7930" s="24" t="str" cm="1">
        <f t="array" ref="S7930">IFERROR(IF($B7930=S$1, ($A7930+$C7930) - MAX(IF($B$2:$B7929=$B7930, $A$2:$A7929+$C$2:$C7929)), "")*24*60, "")</f>
        <v/>
      </c>
    </row>
    <row r="7931" spans="1:19" x14ac:dyDescent="0.2">
      <c r="A7931" s="12">
        <f t="shared" ref="A7931:C7931" si="1422">A7930</f>
        <v>46021</v>
      </c>
      <c r="B7931" s="5" t="str">
        <f t="shared" si="1422"/>
        <v>Northern Cardinal</v>
      </c>
      <c r="C7931" s="6">
        <f t="shared" si="1422"/>
        <v>0.7319444444444444</v>
      </c>
      <c r="D7931" s="5"/>
      <c r="E7931" s="5"/>
      <c r="F7931" s="5" t="s">
        <v>9</v>
      </c>
      <c r="G7931" s="15" t="s">
        <v>8</v>
      </c>
      <c r="H7931" s="24">
        <f t="shared" si="1407"/>
        <v>0</v>
      </c>
      <c r="I7931" s="24" cm="1">
        <f t="array" ref="I7931">IFERROR(IF($B7931=I$1, ($A7931+$C7931) - MAX(IF($B$2:$B7930=$B7931, $A$2:$A7930+$C$2:$C7930)), "")*24*60, "")</f>
        <v>0</v>
      </c>
      <c r="J7931" s="24" t="str" cm="1">
        <f t="array" ref="J7931">IFERROR(IF($B7931=J$1, ($A7931+$C7931) - MAX(IF($B$2:$B7930=$B7931, $A$2:$A7930+$C$2:$C7930)), "")*24*60, "")</f>
        <v/>
      </c>
      <c r="K7931" s="24" t="str" cm="1">
        <f t="array" ref="K7931">IFERROR(IF($B7931=K$1, ($A7931+$C7931) - MAX(IF($B$2:$B7930=$B7931, $A$2:$A7930+$C$2:$C7930)), "")*24*60, "")</f>
        <v/>
      </c>
      <c r="L7931" s="24" t="str" cm="1">
        <f t="array" ref="L7931">IFERROR(IF($B7931=L$1, ($A7931+$C7931) - MAX(IF($B$2:$B7930=$B7931, $A$2:$A7930+$C$2:$C7930)), "")*24*60, "")</f>
        <v/>
      </c>
      <c r="M7931" s="24" t="str" cm="1">
        <f t="array" ref="M7931">IFERROR(IF($B7931=M$1, ($A7931+$C7931) - MAX(IF($B$2:$B7930=$B7931, $A$2:$A7930+$C$2:$C7930)), "")*24*60, "")</f>
        <v/>
      </c>
      <c r="N7931" s="24" t="str" cm="1">
        <f t="array" ref="N7931">IFERROR(IF($B7931=N$1, ($A7931+$C7931) - MAX(IF($B$2:$B7930=$B7931, $A$2:$A7930+$C$2:$C7930)), "")*24*60, "")</f>
        <v/>
      </c>
      <c r="O7931" s="24" t="str" cm="1">
        <f t="array" ref="O7931">IFERROR(IF($B7931=O$1, ($A7931+$C7931) - MAX(IF($B$2:$B7930=$B7931, $A$2:$A7930+$C$2:$C7930)), "")*24*60, "")</f>
        <v/>
      </c>
      <c r="P7931" s="24" t="str" cm="1">
        <f t="array" ref="P7931">IFERROR(IF($B7931=P$1, ($A7931+$C7931) - MAX(IF($B$2:$B7930=$B7931, $A$2:$A7930+$C$2:$C7930)), "")*24*60, "")</f>
        <v/>
      </c>
      <c r="Q7931" s="24" t="str" cm="1">
        <f t="array" ref="Q7931">IFERROR(IF($B7931=Q$1, ($A7931+$C7931) - MAX(IF($B$2:$B7930=$B7931, $A$2:$A7930+$C$2:$C7930)), "")*24*60, "")</f>
        <v/>
      </c>
      <c r="R7931" s="24" t="str" cm="1">
        <f t="array" ref="R7931">IFERROR(IF($B7931=R$1, ($A7931+$C7931) - MAX(IF($B$2:$B7930=$B7931, $A$2:$A7930+$C$2:$C7930)), "")*24*60, "")</f>
        <v/>
      </c>
      <c r="S7931" s="24" t="str" cm="1">
        <f t="array" ref="S7931">IFERROR(IF($B7931=S$1, ($A7931+$C7931) - MAX(IF($B$2:$B7930=$B7931, $A$2:$A7930+$C$2:$C7930)), "")*24*60, "")</f>
        <v/>
      </c>
    </row>
    <row r="7932" spans="1:19" x14ac:dyDescent="0.2">
      <c r="A7932" s="12">
        <f t="shared" ref="A7932:C7932" si="1423">A7931</f>
        <v>46021</v>
      </c>
      <c r="B7932" s="5" t="str">
        <f t="shared" si="1423"/>
        <v>Northern Cardinal</v>
      </c>
      <c r="C7932" s="6">
        <f t="shared" si="1423"/>
        <v>0.7319444444444444</v>
      </c>
      <c r="D7932" s="5"/>
      <c r="E7932" s="5"/>
      <c r="F7932" s="5" t="s">
        <v>9</v>
      </c>
      <c r="G7932" s="15" t="s">
        <v>8</v>
      </c>
      <c r="H7932" s="24">
        <f t="shared" si="1407"/>
        <v>0</v>
      </c>
      <c r="I7932" s="24" cm="1">
        <f t="array" ref="I7932">IFERROR(IF($B7932=I$1, ($A7932+$C7932) - MAX(IF($B$2:$B7931=$B7932, $A$2:$A7931+$C$2:$C7931)), "")*24*60, "")</f>
        <v>0</v>
      </c>
      <c r="J7932" s="24" t="str" cm="1">
        <f t="array" ref="J7932">IFERROR(IF($B7932=J$1, ($A7932+$C7932) - MAX(IF($B$2:$B7931=$B7932, $A$2:$A7931+$C$2:$C7931)), "")*24*60, "")</f>
        <v/>
      </c>
      <c r="K7932" s="24" t="str" cm="1">
        <f t="array" ref="K7932">IFERROR(IF($B7932=K$1, ($A7932+$C7932) - MAX(IF($B$2:$B7931=$B7932, $A$2:$A7931+$C$2:$C7931)), "")*24*60, "")</f>
        <v/>
      </c>
      <c r="L7932" s="24" t="str" cm="1">
        <f t="array" ref="L7932">IFERROR(IF($B7932=L$1, ($A7932+$C7932) - MAX(IF($B$2:$B7931=$B7932, $A$2:$A7931+$C$2:$C7931)), "")*24*60, "")</f>
        <v/>
      </c>
      <c r="M7932" s="24" t="str" cm="1">
        <f t="array" ref="M7932">IFERROR(IF($B7932=M$1, ($A7932+$C7932) - MAX(IF($B$2:$B7931=$B7932, $A$2:$A7931+$C$2:$C7931)), "")*24*60, "")</f>
        <v/>
      </c>
      <c r="N7932" s="24" t="str" cm="1">
        <f t="array" ref="N7932">IFERROR(IF($B7932=N$1, ($A7932+$C7932) - MAX(IF($B$2:$B7931=$B7932, $A$2:$A7931+$C$2:$C7931)), "")*24*60, "")</f>
        <v/>
      </c>
      <c r="O7932" s="24" t="str" cm="1">
        <f t="array" ref="O7932">IFERROR(IF($B7932=O$1, ($A7932+$C7932) - MAX(IF($B$2:$B7931=$B7932, $A$2:$A7931+$C$2:$C7931)), "")*24*60, "")</f>
        <v/>
      </c>
      <c r="P7932" s="24" t="str" cm="1">
        <f t="array" ref="P7932">IFERROR(IF($B7932=P$1, ($A7932+$C7932) - MAX(IF($B$2:$B7931=$B7932, $A$2:$A7931+$C$2:$C7931)), "")*24*60, "")</f>
        <v/>
      </c>
      <c r="Q7932" s="24" t="str" cm="1">
        <f t="array" ref="Q7932">IFERROR(IF($B7932=Q$1, ($A7932+$C7932) - MAX(IF($B$2:$B7931=$B7932, $A$2:$A7931+$C$2:$C7931)), "")*24*60, "")</f>
        <v/>
      </c>
      <c r="R7932" s="24" t="str" cm="1">
        <f t="array" ref="R7932">IFERROR(IF($B7932=R$1, ($A7932+$C7932) - MAX(IF($B$2:$B7931=$B7932, $A$2:$A7931+$C$2:$C7931)), "")*24*60, "")</f>
        <v/>
      </c>
      <c r="S7932" s="24" t="str" cm="1">
        <f t="array" ref="S7932">IFERROR(IF($B7932=S$1, ($A7932+$C7932) - MAX(IF($B$2:$B7931=$B7932, $A$2:$A7931+$C$2:$C7931)), "")*24*60, "")</f>
        <v/>
      </c>
    </row>
    <row r="7933" spans="1:19" x14ac:dyDescent="0.2">
      <c r="A7933" s="12">
        <f t="shared" ref="A7933:C7933" si="1424">A7932</f>
        <v>46021</v>
      </c>
      <c r="B7933" s="5" t="str">
        <f t="shared" si="1424"/>
        <v>Northern Cardinal</v>
      </c>
      <c r="C7933" s="6">
        <f t="shared" si="1424"/>
        <v>0.7319444444444444</v>
      </c>
      <c r="D7933" s="5"/>
      <c r="E7933" s="5"/>
      <c r="F7933" s="5" t="s">
        <v>9</v>
      </c>
      <c r="G7933" s="15" t="s">
        <v>8</v>
      </c>
      <c r="H7933" s="24">
        <f t="shared" si="1407"/>
        <v>0</v>
      </c>
      <c r="I7933" s="24" cm="1">
        <f t="array" ref="I7933">IFERROR(IF($B7933=I$1, ($A7933+$C7933) - MAX(IF($B$2:$B7932=$B7933, $A$2:$A7932+$C$2:$C7932)), "")*24*60, "")</f>
        <v>0</v>
      </c>
      <c r="J7933" s="24" t="str" cm="1">
        <f t="array" ref="J7933">IFERROR(IF($B7933=J$1, ($A7933+$C7933) - MAX(IF($B$2:$B7932=$B7933, $A$2:$A7932+$C$2:$C7932)), "")*24*60, "")</f>
        <v/>
      </c>
      <c r="K7933" s="24" t="str" cm="1">
        <f t="array" ref="K7933">IFERROR(IF($B7933=K$1, ($A7933+$C7933) - MAX(IF($B$2:$B7932=$B7933, $A$2:$A7932+$C$2:$C7932)), "")*24*60, "")</f>
        <v/>
      </c>
      <c r="L7933" s="24" t="str" cm="1">
        <f t="array" ref="L7933">IFERROR(IF($B7933=L$1, ($A7933+$C7933) - MAX(IF($B$2:$B7932=$B7933, $A$2:$A7932+$C$2:$C7932)), "")*24*60, "")</f>
        <v/>
      </c>
      <c r="M7933" s="24" t="str" cm="1">
        <f t="array" ref="M7933">IFERROR(IF($B7933=M$1, ($A7933+$C7933) - MAX(IF($B$2:$B7932=$B7933, $A$2:$A7932+$C$2:$C7932)), "")*24*60, "")</f>
        <v/>
      </c>
      <c r="N7933" s="24" t="str" cm="1">
        <f t="array" ref="N7933">IFERROR(IF($B7933=N$1, ($A7933+$C7933) - MAX(IF($B$2:$B7932=$B7933, $A$2:$A7932+$C$2:$C7932)), "")*24*60, "")</f>
        <v/>
      </c>
      <c r="O7933" s="24" t="str" cm="1">
        <f t="array" ref="O7933">IFERROR(IF($B7933=O$1, ($A7933+$C7933) - MAX(IF($B$2:$B7932=$B7933, $A$2:$A7932+$C$2:$C7932)), "")*24*60, "")</f>
        <v/>
      </c>
      <c r="P7933" s="24" t="str" cm="1">
        <f t="array" ref="P7933">IFERROR(IF($B7933=P$1, ($A7933+$C7933) - MAX(IF($B$2:$B7932=$B7933, $A$2:$A7932+$C$2:$C7932)), "")*24*60, "")</f>
        <v/>
      </c>
      <c r="Q7933" s="24" t="str" cm="1">
        <f t="array" ref="Q7933">IFERROR(IF($B7933=Q$1, ($A7933+$C7933) - MAX(IF($B$2:$B7932=$B7933, $A$2:$A7932+$C$2:$C7932)), "")*24*60, "")</f>
        <v/>
      </c>
      <c r="R7933" s="24" t="str" cm="1">
        <f t="array" ref="R7933">IFERROR(IF($B7933=R$1, ($A7933+$C7933) - MAX(IF($B$2:$B7932=$B7933, $A$2:$A7932+$C$2:$C7932)), "")*24*60, "")</f>
        <v/>
      </c>
      <c r="S7933" s="24" t="str" cm="1">
        <f t="array" ref="S7933">IFERROR(IF($B7933=S$1, ($A7933+$C7933) - MAX(IF($B$2:$B7932=$B7933, $A$2:$A7932+$C$2:$C7932)), "")*24*60, "")</f>
        <v/>
      </c>
    </row>
    <row r="7934" spans="1:19" x14ac:dyDescent="0.2">
      <c r="A7934" s="12">
        <f t="shared" ref="A7934:C7934" si="1425">A7933</f>
        <v>46021</v>
      </c>
      <c r="B7934" s="5" t="str">
        <f t="shared" si="1425"/>
        <v>Northern Cardinal</v>
      </c>
      <c r="C7934" s="6">
        <f t="shared" si="1425"/>
        <v>0.7319444444444444</v>
      </c>
      <c r="D7934" s="5"/>
      <c r="E7934" s="5"/>
      <c r="F7934" s="5" t="s">
        <v>9</v>
      </c>
      <c r="G7934" s="15" t="s">
        <v>8</v>
      </c>
      <c r="H7934" s="24">
        <f t="shared" si="1407"/>
        <v>0</v>
      </c>
      <c r="I7934" s="24" cm="1">
        <f t="array" ref="I7934">IFERROR(IF($B7934=I$1, ($A7934+$C7934) - MAX(IF($B$2:$B7933=$B7934, $A$2:$A7933+$C$2:$C7933)), "")*24*60, "")</f>
        <v>0</v>
      </c>
      <c r="J7934" s="24" t="str" cm="1">
        <f t="array" ref="J7934">IFERROR(IF($B7934=J$1, ($A7934+$C7934) - MAX(IF($B$2:$B7933=$B7934, $A$2:$A7933+$C$2:$C7933)), "")*24*60, "")</f>
        <v/>
      </c>
      <c r="K7934" s="24" t="str" cm="1">
        <f t="array" ref="K7934">IFERROR(IF($B7934=K$1, ($A7934+$C7934) - MAX(IF($B$2:$B7933=$B7934, $A$2:$A7933+$C$2:$C7933)), "")*24*60, "")</f>
        <v/>
      </c>
      <c r="L7934" s="24" t="str" cm="1">
        <f t="array" ref="L7934">IFERROR(IF($B7934=L$1, ($A7934+$C7934) - MAX(IF($B$2:$B7933=$B7934, $A$2:$A7933+$C$2:$C7933)), "")*24*60, "")</f>
        <v/>
      </c>
      <c r="M7934" s="24" t="str" cm="1">
        <f t="array" ref="M7934">IFERROR(IF($B7934=M$1, ($A7934+$C7934) - MAX(IF($B$2:$B7933=$B7934, $A$2:$A7933+$C$2:$C7933)), "")*24*60, "")</f>
        <v/>
      </c>
      <c r="N7934" s="24" t="str" cm="1">
        <f t="array" ref="N7934">IFERROR(IF($B7934=N$1, ($A7934+$C7934) - MAX(IF($B$2:$B7933=$B7934, $A$2:$A7933+$C$2:$C7933)), "")*24*60, "")</f>
        <v/>
      </c>
      <c r="O7934" s="24" t="str" cm="1">
        <f t="array" ref="O7934">IFERROR(IF($B7934=O$1, ($A7934+$C7934) - MAX(IF($B$2:$B7933=$B7934, $A$2:$A7933+$C$2:$C7933)), "")*24*60, "")</f>
        <v/>
      </c>
      <c r="P7934" s="24" t="str" cm="1">
        <f t="array" ref="P7934">IFERROR(IF($B7934=P$1, ($A7934+$C7934) - MAX(IF($B$2:$B7933=$B7934, $A$2:$A7933+$C$2:$C7933)), "")*24*60, "")</f>
        <v/>
      </c>
      <c r="Q7934" s="24" t="str" cm="1">
        <f t="array" ref="Q7934">IFERROR(IF($B7934=Q$1, ($A7934+$C7934) - MAX(IF($B$2:$B7933=$B7934, $A$2:$A7933+$C$2:$C7933)), "")*24*60, "")</f>
        <v/>
      </c>
      <c r="R7934" s="24" t="str" cm="1">
        <f t="array" ref="R7934">IFERROR(IF($B7934=R$1, ($A7934+$C7934) - MAX(IF($B$2:$B7933=$B7934, $A$2:$A7933+$C$2:$C7933)), "")*24*60, "")</f>
        <v/>
      </c>
      <c r="S7934" s="24" t="str" cm="1">
        <f t="array" ref="S7934">IFERROR(IF($B7934=S$1, ($A7934+$C7934) - MAX(IF($B$2:$B7933=$B7934, $A$2:$A7933+$C$2:$C7933)), "")*24*60, "")</f>
        <v/>
      </c>
    </row>
    <row r="7935" spans="1:19" x14ac:dyDescent="0.2">
      <c r="A7935" s="12">
        <f t="shared" ref="A7935:C7935" si="1426">A7934</f>
        <v>46021</v>
      </c>
      <c r="B7935" s="5" t="str">
        <f t="shared" si="1426"/>
        <v>Northern Cardinal</v>
      </c>
      <c r="C7935" s="6">
        <f t="shared" si="1426"/>
        <v>0.7319444444444444</v>
      </c>
      <c r="D7935" s="5"/>
      <c r="E7935" s="5"/>
      <c r="F7935" s="5" t="s">
        <v>9</v>
      </c>
      <c r="G7935" s="15" t="s">
        <v>8</v>
      </c>
      <c r="H7935" s="24">
        <f t="shared" si="1407"/>
        <v>0</v>
      </c>
      <c r="I7935" s="24" cm="1">
        <f t="array" ref="I7935">IFERROR(IF($B7935=I$1, ($A7935+$C7935) - MAX(IF($B$2:$B7934=$B7935, $A$2:$A7934+$C$2:$C7934)), "")*24*60, "")</f>
        <v>0</v>
      </c>
      <c r="J7935" s="24" t="str" cm="1">
        <f t="array" ref="J7935">IFERROR(IF($B7935=J$1, ($A7935+$C7935) - MAX(IF($B$2:$B7934=$B7935, $A$2:$A7934+$C$2:$C7934)), "")*24*60, "")</f>
        <v/>
      </c>
      <c r="K7935" s="24" t="str" cm="1">
        <f t="array" ref="K7935">IFERROR(IF($B7935=K$1, ($A7935+$C7935) - MAX(IF($B$2:$B7934=$B7935, $A$2:$A7934+$C$2:$C7934)), "")*24*60, "")</f>
        <v/>
      </c>
      <c r="L7935" s="24" t="str" cm="1">
        <f t="array" ref="L7935">IFERROR(IF($B7935=L$1, ($A7935+$C7935) - MAX(IF($B$2:$B7934=$B7935, $A$2:$A7934+$C$2:$C7934)), "")*24*60, "")</f>
        <v/>
      </c>
      <c r="M7935" s="24" t="str" cm="1">
        <f t="array" ref="M7935">IFERROR(IF($B7935=M$1, ($A7935+$C7935) - MAX(IF($B$2:$B7934=$B7935, $A$2:$A7934+$C$2:$C7934)), "")*24*60, "")</f>
        <v/>
      </c>
      <c r="N7935" s="24" t="str" cm="1">
        <f t="array" ref="N7935">IFERROR(IF($B7935=N$1, ($A7935+$C7935) - MAX(IF($B$2:$B7934=$B7935, $A$2:$A7934+$C$2:$C7934)), "")*24*60, "")</f>
        <v/>
      </c>
      <c r="O7935" s="24" t="str" cm="1">
        <f t="array" ref="O7935">IFERROR(IF($B7935=O$1, ($A7935+$C7935) - MAX(IF($B$2:$B7934=$B7935, $A$2:$A7934+$C$2:$C7934)), "")*24*60, "")</f>
        <v/>
      </c>
      <c r="P7935" s="24" t="str" cm="1">
        <f t="array" ref="P7935">IFERROR(IF($B7935=P$1, ($A7935+$C7935) - MAX(IF($B$2:$B7934=$B7935, $A$2:$A7934+$C$2:$C7934)), "")*24*60, "")</f>
        <v/>
      </c>
      <c r="Q7935" s="24" t="str" cm="1">
        <f t="array" ref="Q7935">IFERROR(IF($B7935=Q$1, ($A7935+$C7935) - MAX(IF($B$2:$B7934=$B7935, $A$2:$A7934+$C$2:$C7934)), "")*24*60, "")</f>
        <v/>
      </c>
      <c r="R7935" s="24" t="str" cm="1">
        <f t="array" ref="R7935">IFERROR(IF($B7935=R$1, ($A7935+$C7935) - MAX(IF($B$2:$B7934=$B7935, $A$2:$A7934+$C$2:$C7934)), "")*24*60, "")</f>
        <v/>
      </c>
      <c r="S7935" s="24" t="str" cm="1">
        <f t="array" ref="S7935">IFERROR(IF($B7935=S$1, ($A7935+$C7935) - MAX(IF($B$2:$B7934=$B7935, $A$2:$A7934+$C$2:$C7934)), "")*24*60, "")</f>
        <v/>
      </c>
    </row>
    <row r="7936" spans="1:19" x14ac:dyDescent="0.2">
      <c r="A7936" s="12">
        <f t="shared" ref="A7936:C7936" si="1427">A7935</f>
        <v>46021</v>
      </c>
      <c r="B7936" s="5" t="str">
        <f t="shared" si="1427"/>
        <v>Northern Cardinal</v>
      </c>
      <c r="C7936" s="6">
        <f t="shared" si="1427"/>
        <v>0.7319444444444444</v>
      </c>
      <c r="D7936" s="5"/>
      <c r="E7936" s="5"/>
      <c r="F7936" s="5" t="s">
        <v>9</v>
      </c>
      <c r="G7936" s="15" t="s">
        <v>8</v>
      </c>
      <c r="H7936" s="24">
        <f t="shared" si="1407"/>
        <v>0</v>
      </c>
      <c r="I7936" s="24" cm="1">
        <f t="array" ref="I7936">IFERROR(IF($B7936=I$1, ($A7936+$C7936) - MAX(IF($B$2:$B7935=$B7936, $A$2:$A7935+$C$2:$C7935)), "")*24*60, "")</f>
        <v>0</v>
      </c>
      <c r="J7936" s="24" t="str" cm="1">
        <f t="array" ref="J7936">IFERROR(IF($B7936=J$1, ($A7936+$C7936) - MAX(IF($B$2:$B7935=$B7936, $A$2:$A7935+$C$2:$C7935)), "")*24*60, "")</f>
        <v/>
      </c>
      <c r="K7936" s="24" t="str" cm="1">
        <f t="array" ref="K7936">IFERROR(IF($B7936=K$1, ($A7936+$C7936) - MAX(IF($B$2:$B7935=$B7936, $A$2:$A7935+$C$2:$C7935)), "")*24*60, "")</f>
        <v/>
      </c>
      <c r="L7936" s="24" t="str" cm="1">
        <f t="array" ref="L7936">IFERROR(IF($B7936=L$1, ($A7936+$C7936) - MAX(IF($B$2:$B7935=$B7936, $A$2:$A7935+$C$2:$C7935)), "")*24*60, "")</f>
        <v/>
      </c>
      <c r="M7936" s="24" t="str" cm="1">
        <f t="array" ref="M7936">IFERROR(IF($B7936=M$1, ($A7936+$C7936) - MAX(IF($B$2:$B7935=$B7936, $A$2:$A7935+$C$2:$C7935)), "")*24*60, "")</f>
        <v/>
      </c>
      <c r="N7936" s="24" t="str" cm="1">
        <f t="array" ref="N7936">IFERROR(IF($B7936=N$1, ($A7936+$C7936) - MAX(IF($B$2:$B7935=$B7936, $A$2:$A7935+$C$2:$C7935)), "")*24*60, "")</f>
        <v/>
      </c>
      <c r="O7936" s="24" t="str" cm="1">
        <f t="array" ref="O7936">IFERROR(IF($B7936=O$1, ($A7936+$C7936) - MAX(IF($B$2:$B7935=$B7936, $A$2:$A7935+$C$2:$C7935)), "")*24*60, "")</f>
        <v/>
      </c>
      <c r="P7936" s="24" t="str" cm="1">
        <f t="array" ref="P7936">IFERROR(IF($B7936=P$1, ($A7936+$C7936) - MAX(IF($B$2:$B7935=$B7936, $A$2:$A7935+$C$2:$C7935)), "")*24*60, "")</f>
        <v/>
      </c>
      <c r="Q7936" s="24" t="str" cm="1">
        <f t="array" ref="Q7936">IFERROR(IF($B7936=Q$1, ($A7936+$C7936) - MAX(IF($B$2:$B7935=$B7936, $A$2:$A7935+$C$2:$C7935)), "")*24*60, "")</f>
        <v/>
      </c>
      <c r="R7936" s="24" t="str" cm="1">
        <f t="array" ref="R7936">IFERROR(IF($B7936=R$1, ($A7936+$C7936) - MAX(IF($B$2:$B7935=$B7936, $A$2:$A7935+$C$2:$C7935)), "")*24*60, "")</f>
        <v/>
      </c>
      <c r="S7936" s="24" t="str" cm="1">
        <f t="array" ref="S7936">IFERROR(IF($B7936=S$1, ($A7936+$C7936) - MAX(IF($B$2:$B7935=$B7936, $A$2:$A7935+$C$2:$C7935)), "")*24*60, "")</f>
        <v/>
      </c>
    </row>
    <row r="7937" spans="1:19" x14ac:dyDescent="0.2">
      <c r="A7937" s="12">
        <f t="shared" ref="A7937:C7937" si="1428">A7936</f>
        <v>46021</v>
      </c>
      <c r="B7937" s="5" t="str">
        <f t="shared" si="1428"/>
        <v>Northern Cardinal</v>
      </c>
      <c r="C7937" s="6">
        <f t="shared" si="1428"/>
        <v>0.7319444444444444</v>
      </c>
      <c r="D7937" s="5"/>
      <c r="E7937" s="5"/>
      <c r="F7937" s="5" t="s">
        <v>9</v>
      </c>
      <c r="G7937" s="15" t="s">
        <v>8</v>
      </c>
      <c r="H7937" s="24">
        <f t="shared" si="1407"/>
        <v>0</v>
      </c>
      <c r="I7937" s="24" cm="1">
        <f t="array" ref="I7937">IFERROR(IF($B7937=I$1, ($A7937+$C7937) - MAX(IF($B$2:$B7936=$B7937, $A$2:$A7936+$C$2:$C7936)), "")*24*60, "")</f>
        <v>0</v>
      </c>
      <c r="J7937" s="24" t="str" cm="1">
        <f t="array" ref="J7937">IFERROR(IF($B7937=J$1, ($A7937+$C7937) - MAX(IF($B$2:$B7936=$B7937, $A$2:$A7936+$C$2:$C7936)), "")*24*60, "")</f>
        <v/>
      </c>
      <c r="K7937" s="24" t="str" cm="1">
        <f t="array" ref="K7937">IFERROR(IF($B7937=K$1, ($A7937+$C7937) - MAX(IF($B$2:$B7936=$B7937, $A$2:$A7936+$C$2:$C7936)), "")*24*60, "")</f>
        <v/>
      </c>
      <c r="L7937" s="24" t="str" cm="1">
        <f t="array" ref="L7937">IFERROR(IF($B7937=L$1, ($A7937+$C7937) - MAX(IF($B$2:$B7936=$B7937, $A$2:$A7936+$C$2:$C7936)), "")*24*60, "")</f>
        <v/>
      </c>
      <c r="M7937" s="24" t="str" cm="1">
        <f t="array" ref="M7937">IFERROR(IF($B7937=M$1, ($A7937+$C7937) - MAX(IF($B$2:$B7936=$B7937, $A$2:$A7936+$C$2:$C7936)), "")*24*60, "")</f>
        <v/>
      </c>
      <c r="N7937" s="24" t="str" cm="1">
        <f t="array" ref="N7937">IFERROR(IF($B7937=N$1, ($A7937+$C7937) - MAX(IF($B$2:$B7936=$B7937, $A$2:$A7936+$C$2:$C7936)), "")*24*60, "")</f>
        <v/>
      </c>
      <c r="O7937" s="24" t="str" cm="1">
        <f t="array" ref="O7937">IFERROR(IF($B7937=O$1, ($A7937+$C7937) - MAX(IF($B$2:$B7936=$B7937, $A$2:$A7936+$C$2:$C7936)), "")*24*60, "")</f>
        <v/>
      </c>
      <c r="P7937" s="24" t="str" cm="1">
        <f t="array" ref="P7937">IFERROR(IF($B7937=P$1, ($A7937+$C7937) - MAX(IF($B$2:$B7936=$B7937, $A$2:$A7936+$C$2:$C7936)), "")*24*60, "")</f>
        <v/>
      </c>
      <c r="Q7937" s="24" t="str" cm="1">
        <f t="array" ref="Q7937">IFERROR(IF($B7937=Q$1, ($A7937+$C7937) - MAX(IF($B$2:$B7936=$B7937, $A$2:$A7936+$C$2:$C7936)), "")*24*60, "")</f>
        <v/>
      </c>
      <c r="R7937" s="24" t="str" cm="1">
        <f t="array" ref="R7937">IFERROR(IF($B7937=R$1, ($A7937+$C7937) - MAX(IF($B$2:$B7936=$B7937, $A$2:$A7936+$C$2:$C7936)), "")*24*60, "")</f>
        <v/>
      </c>
      <c r="S7937" s="24" t="str" cm="1">
        <f t="array" ref="S7937">IFERROR(IF($B7937=S$1, ($A7937+$C7937) - MAX(IF($B$2:$B7936=$B7937, $A$2:$A7936+$C$2:$C7936)), "")*24*60, "")</f>
        <v/>
      </c>
    </row>
    <row r="7938" spans="1:19" x14ac:dyDescent="0.2">
      <c r="A7938" s="12">
        <f t="shared" ref="A7938:C7938" si="1429">A7937</f>
        <v>46021</v>
      </c>
      <c r="B7938" s="5" t="str">
        <f t="shared" si="1429"/>
        <v>Northern Cardinal</v>
      </c>
      <c r="C7938" s="6">
        <f t="shared" si="1429"/>
        <v>0.7319444444444444</v>
      </c>
      <c r="D7938" s="5"/>
      <c r="E7938" s="5"/>
      <c r="F7938" s="5" t="s">
        <v>9</v>
      </c>
      <c r="G7938" s="15" t="s">
        <v>8</v>
      </c>
      <c r="H7938" s="24">
        <f t="shared" si="1407"/>
        <v>0</v>
      </c>
      <c r="I7938" s="24" cm="1">
        <f t="array" ref="I7938">IFERROR(IF($B7938=I$1, ($A7938+$C7938) - MAX(IF($B$2:$B7937=$B7938, $A$2:$A7937+$C$2:$C7937)), "")*24*60, "")</f>
        <v>0</v>
      </c>
      <c r="J7938" s="24" t="str" cm="1">
        <f t="array" ref="J7938">IFERROR(IF($B7938=J$1, ($A7938+$C7938) - MAX(IF($B$2:$B7937=$B7938, $A$2:$A7937+$C$2:$C7937)), "")*24*60, "")</f>
        <v/>
      </c>
      <c r="K7938" s="24" t="str" cm="1">
        <f t="array" ref="K7938">IFERROR(IF($B7938=K$1, ($A7938+$C7938) - MAX(IF($B$2:$B7937=$B7938, $A$2:$A7937+$C$2:$C7937)), "")*24*60, "")</f>
        <v/>
      </c>
      <c r="L7938" s="24" t="str" cm="1">
        <f t="array" ref="L7938">IFERROR(IF($B7938=L$1, ($A7938+$C7938) - MAX(IF($B$2:$B7937=$B7938, $A$2:$A7937+$C$2:$C7937)), "")*24*60, "")</f>
        <v/>
      </c>
      <c r="M7938" s="24" t="str" cm="1">
        <f t="array" ref="M7938">IFERROR(IF($B7938=M$1, ($A7938+$C7938) - MAX(IF($B$2:$B7937=$B7938, $A$2:$A7937+$C$2:$C7937)), "")*24*60, "")</f>
        <v/>
      </c>
      <c r="N7938" s="24" t="str" cm="1">
        <f t="array" ref="N7938">IFERROR(IF($B7938=N$1, ($A7938+$C7938) - MAX(IF($B$2:$B7937=$B7938, $A$2:$A7937+$C$2:$C7937)), "")*24*60, "")</f>
        <v/>
      </c>
      <c r="O7938" s="24" t="str" cm="1">
        <f t="array" ref="O7938">IFERROR(IF($B7938=O$1, ($A7938+$C7938) - MAX(IF($B$2:$B7937=$B7938, $A$2:$A7937+$C$2:$C7937)), "")*24*60, "")</f>
        <v/>
      </c>
      <c r="P7938" s="24" t="str" cm="1">
        <f t="array" ref="P7938">IFERROR(IF($B7938=P$1, ($A7938+$C7938) - MAX(IF($B$2:$B7937=$B7938, $A$2:$A7937+$C$2:$C7937)), "")*24*60, "")</f>
        <v/>
      </c>
      <c r="Q7938" s="24" t="str" cm="1">
        <f t="array" ref="Q7938">IFERROR(IF($B7938=Q$1, ($A7938+$C7938) - MAX(IF($B$2:$B7937=$B7938, $A$2:$A7937+$C$2:$C7937)), "")*24*60, "")</f>
        <v/>
      </c>
      <c r="R7938" s="24" t="str" cm="1">
        <f t="array" ref="R7938">IFERROR(IF($B7938=R$1, ($A7938+$C7938) - MAX(IF($B$2:$B7937=$B7938, $A$2:$A7937+$C$2:$C7937)), "")*24*60, "")</f>
        <v/>
      </c>
      <c r="S7938" s="24" t="str" cm="1">
        <f t="array" ref="S7938">IFERROR(IF($B7938=S$1, ($A7938+$C7938) - MAX(IF($B$2:$B7937=$B7938, $A$2:$A7937+$C$2:$C7937)), "")*24*60, "")</f>
        <v/>
      </c>
    </row>
    <row r="7939" spans="1:19" x14ac:dyDescent="0.2">
      <c r="A7939" s="12">
        <f t="shared" ref="A7939:C7939" si="1430">A7938</f>
        <v>46021</v>
      </c>
      <c r="B7939" s="5" t="str">
        <f t="shared" si="1430"/>
        <v>Northern Cardinal</v>
      </c>
      <c r="C7939" s="6">
        <f t="shared" si="1430"/>
        <v>0.7319444444444444</v>
      </c>
      <c r="D7939" s="5"/>
      <c r="E7939" s="5"/>
      <c r="F7939" s="5" t="s">
        <v>9</v>
      </c>
      <c r="G7939" s="15" t="s">
        <v>8</v>
      </c>
      <c r="H7939" s="24">
        <f t="shared" si="1407"/>
        <v>0</v>
      </c>
      <c r="I7939" s="24" cm="1">
        <f t="array" ref="I7939">IFERROR(IF($B7939=I$1, ($A7939+$C7939) - MAX(IF($B$2:$B7938=$B7939, $A$2:$A7938+$C$2:$C7938)), "")*24*60, "")</f>
        <v>0</v>
      </c>
      <c r="J7939" s="24" t="str" cm="1">
        <f t="array" ref="J7939">IFERROR(IF($B7939=J$1, ($A7939+$C7939) - MAX(IF($B$2:$B7938=$B7939, $A$2:$A7938+$C$2:$C7938)), "")*24*60, "")</f>
        <v/>
      </c>
      <c r="K7939" s="24" t="str" cm="1">
        <f t="array" ref="K7939">IFERROR(IF($B7939=K$1, ($A7939+$C7939) - MAX(IF($B$2:$B7938=$B7939, $A$2:$A7938+$C$2:$C7938)), "")*24*60, "")</f>
        <v/>
      </c>
      <c r="L7939" s="24" t="str" cm="1">
        <f t="array" ref="L7939">IFERROR(IF($B7939=L$1, ($A7939+$C7939) - MAX(IF($B$2:$B7938=$B7939, $A$2:$A7938+$C$2:$C7938)), "")*24*60, "")</f>
        <v/>
      </c>
      <c r="M7939" s="24" t="str" cm="1">
        <f t="array" ref="M7939">IFERROR(IF($B7939=M$1, ($A7939+$C7939) - MAX(IF($B$2:$B7938=$B7939, $A$2:$A7938+$C$2:$C7938)), "")*24*60, "")</f>
        <v/>
      </c>
      <c r="N7939" s="24" t="str" cm="1">
        <f t="array" ref="N7939">IFERROR(IF($B7939=N$1, ($A7939+$C7939) - MAX(IF($B$2:$B7938=$B7939, $A$2:$A7938+$C$2:$C7938)), "")*24*60, "")</f>
        <v/>
      </c>
      <c r="O7939" s="24" t="str" cm="1">
        <f t="array" ref="O7939">IFERROR(IF($B7939=O$1, ($A7939+$C7939) - MAX(IF($B$2:$B7938=$B7939, $A$2:$A7938+$C$2:$C7938)), "")*24*60, "")</f>
        <v/>
      </c>
      <c r="P7939" s="24" t="str" cm="1">
        <f t="array" ref="P7939">IFERROR(IF($B7939=P$1, ($A7939+$C7939) - MAX(IF($B$2:$B7938=$B7939, $A$2:$A7938+$C$2:$C7938)), "")*24*60, "")</f>
        <v/>
      </c>
      <c r="Q7939" s="24" t="str" cm="1">
        <f t="array" ref="Q7939">IFERROR(IF($B7939=Q$1, ($A7939+$C7939) - MAX(IF($B$2:$B7938=$B7939, $A$2:$A7938+$C$2:$C7938)), "")*24*60, "")</f>
        <v/>
      </c>
      <c r="R7939" s="24" t="str" cm="1">
        <f t="array" ref="R7939">IFERROR(IF($B7939=R$1, ($A7939+$C7939) - MAX(IF($B$2:$B7938=$B7939, $A$2:$A7938+$C$2:$C7938)), "")*24*60, "")</f>
        <v/>
      </c>
      <c r="S7939" s="24" t="str" cm="1">
        <f t="array" ref="S7939">IFERROR(IF($B7939=S$1, ($A7939+$C7939) - MAX(IF($B$2:$B7938=$B7939, $A$2:$A7938+$C$2:$C7938)), "")*24*60, "")</f>
        <v/>
      </c>
    </row>
    <row r="7940" spans="1:19" x14ac:dyDescent="0.2">
      <c r="A7940" s="12">
        <f t="shared" ref="A7940:C7940" si="1431">A7939</f>
        <v>46021</v>
      </c>
      <c r="B7940" s="5" t="str">
        <f t="shared" si="1431"/>
        <v>Northern Cardinal</v>
      </c>
      <c r="C7940" s="6">
        <f t="shared" si="1431"/>
        <v>0.7319444444444444</v>
      </c>
      <c r="D7940" s="5"/>
      <c r="E7940" s="5"/>
      <c r="F7940" s="5" t="s">
        <v>9</v>
      </c>
      <c r="G7940" s="15" t="s">
        <v>8</v>
      </c>
      <c r="H7940" s="24">
        <f t="shared" si="1407"/>
        <v>0</v>
      </c>
      <c r="I7940" s="24" cm="1">
        <f t="array" ref="I7940">IFERROR(IF($B7940=I$1, ($A7940+$C7940) - MAX(IF($B$2:$B7939=$B7940, $A$2:$A7939+$C$2:$C7939)), "")*24*60, "")</f>
        <v>0</v>
      </c>
      <c r="J7940" s="24" t="str" cm="1">
        <f t="array" ref="J7940">IFERROR(IF($B7940=J$1, ($A7940+$C7940) - MAX(IF($B$2:$B7939=$B7940, $A$2:$A7939+$C$2:$C7939)), "")*24*60, "")</f>
        <v/>
      </c>
      <c r="K7940" s="24" t="str" cm="1">
        <f t="array" ref="K7940">IFERROR(IF($B7940=K$1, ($A7940+$C7940) - MAX(IF($B$2:$B7939=$B7940, $A$2:$A7939+$C$2:$C7939)), "")*24*60, "")</f>
        <v/>
      </c>
      <c r="L7940" s="24" t="str" cm="1">
        <f t="array" ref="L7940">IFERROR(IF($B7940=L$1, ($A7940+$C7940) - MAX(IF($B$2:$B7939=$B7940, $A$2:$A7939+$C$2:$C7939)), "")*24*60, "")</f>
        <v/>
      </c>
      <c r="M7940" s="24" t="str" cm="1">
        <f t="array" ref="M7940">IFERROR(IF($B7940=M$1, ($A7940+$C7940) - MAX(IF($B$2:$B7939=$B7940, $A$2:$A7939+$C$2:$C7939)), "")*24*60, "")</f>
        <v/>
      </c>
      <c r="N7940" s="24" t="str" cm="1">
        <f t="array" ref="N7940">IFERROR(IF($B7940=N$1, ($A7940+$C7940) - MAX(IF($B$2:$B7939=$B7940, $A$2:$A7939+$C$2:$C7939)), "")*24*60, "")</f>
        <v/>
      </c>
      <c r="O7940" s="24" t="str" cm="1">
        <f t="array" ref="O7940">IFERROR(IF($B7940=O$1, ($A7940+$C7940) - MAX(IF($B$2:$B7939=$B7940, $A$2:$A7939+$C$2:$C7939)), "")*24*60, "")</f>
        <v/>
      </c>
      <c r="P7940" s="24" t="str" cm="1">
        <f t="array" ref="P7940">IFERROR(IF($B7940=P$1, ($A7940+$C7940) - MAX(IF($B$2:$B7939=$B7940, $A$2:$A7939+$C$2:$C7939)), "")*24*60, "")</f>
        <v/>
      </c>
      <c r="Q7940" s="24" t="str" cm="1">
        <f t="array" ref="Q7940">IFERROR(IF($B7940=Q$1, ($A7940+$C7940) - MAX(IF($B$2:$B7939=$B7940, $A$2:$A7939+$C$2:$C7939)), "")*24*60, "")</f>
        <v/>
      </c>
      <c r="R7940" s="24" t="str" cm="1">
        <f t="array" ref="R7940">IFERROR(IF($B7940=R$1, ($A7940+$C7940) - MAX(IF($B$2:$B7939=$B7940, $A$2:$A7939+$C$2:$C7939)), "")*24*60, "")</f>
        <v/>
      </c>
      <c r="S7940" s="24" t="str" cm="1">
        <f t="array" ref="S7940">IFERROR(IF($B7940=S$1, ($A7940+$C7940) - MAX(IF($B$2:$B7939=$B7940, $A$2:$A7939+$C$2:$C7939)), "")*24*60, "")</f>
        <v/>
      </c>
    </row>
    <row r="7941" spans="1:19" x14ac:dyDescent="0.2">
      <c r="A7941" s="12">
        <f t="shared" ref="A7941:C7941" si="1432">A7940</f>
        <v>46021</v>
      </c>
      <c r="B7941" s="5" t="str">
        <f t="shared" si="1432"/>
        <v>Northern Cardinal</v>
      </c>
      <c r="C7941" s="6">
        <f t="shared" si="1432"/>
        <v>0.7319444444444444</v>
      </c>
      <c r="D7941" s="5"/>
      <c r="E7941" s="5"/>
      <c r="F7941" s="5" t="s">
        <v>9</v>
      </c>
      <c r="G7941" s="15" t="s">
        <v>8</v>
      </c>
      <c r="H7941" s="24">
        <f t="shared" si="1407"/>
        <v>0</v>
      </c>
      <c r="I7941" s="24" cm="1">
        <f t="array" ref="I7941">IFERROR(IF($B7941=I$1, ($A7941+$C7941) - MAX(IF($B$2:$B7940=$B7941, $A$2:$A7940+$C$2:$C7940)), "")*24*60, "")</f>
        <v>0</v>
      </c>
      <c r="J7941" s="24" t="str" cm="1">
        <f t="array" ref="J7941">IFERROR(IF($B7941=J$1, ($A7941+$C7941) - MAX(IF($B$2:$B7940=$B7941, $A$2:$A7940+$C$2:$C7940)), "")*24*60, "")</f>
        <v/>
      </c>
      <c r="K7941" s="24" t="str" cm="1">
        <f t="array" ref="K7941">IFERROR(IF($B7941=K$1, ($A7941+$C7941) - MAX(IF($B$2:$B7940=$B7941, $A$2:$A7940+$C$2:$C7940)), "")*24*60, "")</f>
        <v/>
      </c>
      <c r="L7941" s="24" t="str" cm="1">
        <f t="array" ref="L7941">IFERROR(IF($B7941=L$1, ($A7941+$C7941) - MAX(IF($B$2:$B7940=$B7941, $A$2:$A7940+$C$2:$C7940)), "")*24*60, "")</f>
        <v/>
      </c>
      <c r="M7941" s="24" t="str" cm="1">
        <f t="array" ref="M7941">IFERROR(IF($B7941=M$1, ($A7941+$C7941) - MAX(IF($B$2:$B7940=$B7941, $A$2:$A7940+$C$2:$C7940)), "")*24*60, "")</f>
        <v/>
      </c>
      <c r="N7941" s="24" t="str" cm="1">
        <f t="array" ref="N7941">IFERROR(IF($B7941=N$1, ($A7941+$C7941) - MAX(IF($B$2:$B7940=$B7941, $A$2:$A7940+$C$2:$C7940)), "")*24*60, "")</f>
        <v/>
      </c>
      <c r="O7941" s="24" t="str" cm="1">
        <f t="array" ref="O7941">IFERROR(IF($B7941=O$1, ($A7941+$C7941) - MAX(IF($B$2:$B7940=$B7941, $A$2:$A7940+$C$2:$C7940)), "")*24*60, "")</f>
        <v/>
      </c>
      <c r="P7941" s="24" t="str" cm="1">
        <f t="array" ref="P7941">IFERROR(IF($B7941=P$1, ($A7941+$C7941) - MAX(IF($B$2:$B7940=$B7941, $A$2:$A7940+$C$2:$C7940)), "")*24*60, "")</f>
        <v/>
      </c>
      <c r="Q7941" s="24" t="str" cm="1">
        <f t="array" ref="Q7941">IFERROR(IF($B7941=Q$1, ($A7941+$C7941) - MAX(IF($B$2:$B7940=$B7941, $A$2:$A7940+$C$2:$C7940)), "")*24*60, "")</f>
        <v/>
      </c>
      <c r="R7941" s="24" t="str" cm="1">
        <f t="array" ref="R7941">IFERROR(IF($B7941=R$1, ($A7941+$C7941) - MAX(IF($B$2:$B7940=$B7941, $A$2:$A7940+$C$2:$C7940)), "")*24*60, "")</f>
        <v/>
      </c>
      <c r="S7941" s="24" t="str" cm="1">
        <f t="array" ref="S7941">IFERROR(IF($B7941=S$1, ($A7941+$C7941) - MAX(IF($B$2:$B7940=$B7941, $A$2:$A7940+$C$2:$C7940)), "")*24*60, "")</f>
        <v/>
      </c>
    </row>
    <row r="7942" spans="1:19" x14ac:dyDescent="0.2">
      <c r="A7942" s="12">
        <f t="shared" ref="A7942:C7942" si="1433">A7941</f>
        <v>46021</v>
      </c>
      <c r="B7942" s="5" t="str">
        <f t="shared" si="1433"/>
        <v>Northern Cardinal</v>
      </c>
      <c r="C7942" s="6">
        <f t="shared" si="1433"/>
        <v>0.7319444444444444</v>
      </c>
      <c r="D7942" s="5"/>
      <c r="E7942" s="5"/>
      <c r="F7942" s="5" t="s">
        <v>9</v>
      </c>
      <c r="G7942" s="15" t="s">
        <v>8</v>
      </c>
      <c r="H7942" s="24">
        <f t="shared" si="1407"/>
        <v>0</v>
      </c>
      <c r="I7942" s="24" cm="1">
        <f t="array" ref="I7942">IFERROR(IF($B7942=I$1, ($A7942+$C7942) - MAX(IF($B$2:$B7941=$B7942, $A$2:$A7941+$C$2:$C7941)), "")*24*60, "")</f>
        <v>0</v>
      </c>
      <c r="J7942" s="24" t="str" cm="1">
        <f t="array" ref="J7942">IFERROR(IF($B7942=J$1, ($A7942+$C7942) - MAX(IF($B$2:$B7941=$B7942, $A$2:$A7941+$C$2:$C7941)), "")*24*60, "")</f>
        <v/>
      </c>
      <c r="K7942" s="24" t="str" cm="1">
        <f t="array" ref="K7942">IFERROR(IF($B7942=K$1, ($A7942+$C7942) - MAX(IF($B$2:$B7941=$B7942, $A$2:$A7941+$C$2:$C7941)), "")*24*60, "")</f>
        <v/>
      </c>
      <c r="L7942" s="24" t="str" cm="1">
        <f t="array" ref="L7942">IFERROR(IF($B7942=L$1, ($A7942+$C7942) - MAX(IF($B$2:$B7941=$B7942, $A$2:$A7941+$C$2:$C7941)), "")*24*60, "")</f>
        <v/>
      </c>
      <c r="M7942" s="24" t="str" cm="1">
        <f t="array" ref="M7942">IFERROR(IF($B7942=M$1, ($A7942+$C7942) - MAX(IF($B$2:$B7941=$B7942, $A$2:$A7941+$C$2:$C7941)), "")*24*60, "")</f>
        <v/>
      </c>
      <c r="N7942" s="24" t="str" cm="1">
        <f t="array" ref="N7942">IFERROR(IF($B7942=N$1, ($A7942+$C7942) - MAX(IF($B$2:$B7941=$B7942, $A$2:$A7941+$C$2:$C7941)), "")*24*60, "")</f>
        <v/>
      </c>
      <c r="O7942" s="24" t="str" cm="1">
        <f t="array" ref="O7942">IFERROR(IF($B7942=O$1, ($A7942+$C7942) - MAX(IF($B$2:$B7941=$B7942, $A$2:$A7941+$C$2:$C7941)), "")*24*60, "")</f>
        <v/>
      </c>
      <c r="P7942" s="24" t="str" cm="1">
        <f t="array" ref="P7942">IFERROR(IF($B7942=P$1, ($A7942+$C7942) - MAX(IF($B$2:$B7941=$B7942, $A$2:$A7941+$C$2:$C7941)), "")*24*60, "")</f>
        <v/>
      </c>
      <c r="Q7942" s="24" t="str" cm="1">
        <f t="array" ref="Q7942">IFERROR(IF($B7942=Q$1, ($A7942+$C7942) - MAX(IF($B$2:$B7941=$B7942, $A$2:$A7941+$C$2:$C7941)), "")*24*60, "")</f>
        <v/>
      </c>
      <c r="R7942" s="24" t="str" cm="1">
        <f t="array" ref="R7942">IFERROR(IF($B7942=R$1, ($A7942+$C7942) - MAX(IF($B$2:$B7941=$B7942, $A$2:$A7941+$C$2:$C7941)), "")*24*60, "")</f>
        <v/>
      </c>
      <c r="S7942" s="24" t="str" cm="1">
        <f t="array" ref="S7942">IFERROR(IF($B7942=S$1, ($A7942+$C7942) - MAX(IF($B$2:$B7941=$B7942, $A$2:$A7941+$C$2:$C7941)), "")*24*60, "")</f>
        <v/>
      </c>
    </row>
    <row r="7943" spans="1:19" x14ac:dyDescent="0.2">
      <c r="A7943" s="12">
        <f t="shared" ref="A7943:C7943" si="1434">A7942</f>
        <v>46021</v>
      </c>
      <c r="B7943" s="5" t="str">
        <f t="shared" si="1434"/>
        <v>Northern Cardinal</v>
      </c>
      <c r="C7943" s="6">
        <f t="shared" si="1434"/>
        <v>0.7319444444444444</v>
      </c>
      <c r="D7943" s="5"/>
      <c r="E7943" s="5"/>
      <c r="F7943" s="5" t="s">
        <v>9</v>
      </c>
      <c r="G7943" s="15" t="s">
        <v>8</v>
      </c>
      <c r="H7943" s="24">
        <f t="shared" si="1407"/>
        <v>0</v>
      </c>
      <c r="I7943" s="24" cm="1">
        <f t="array" ref="I7943">IFERROR(IF($B7943=I$1, ($A7943+$C7943) - MAX(IF($B$2:$B7942=$B7943, $A$2:$A7942+$C$2:$C7942)), "")*24*60, "")</f>
        <v>0</v>
      </c>
      <c r="J7943" s="24" t="str" cm="1">
        <f t="array" ref="J7943">IFERROR(IF($B7943=J$1, ($A7943+$C7943) - MAX(IF($B$2:$B7942=$B7943, $A$2:$A7942+$C$2:$C7942)), "")*24*60, "")</f>
        <v/>
      </c>
      <c r="K7943" s="24" t="str" cm="1">
        <f t="array" ref="K7943">IFERROR(IF($B7943=K$1, ($A7943+$C7943) - MAX(IF($B$2:$B7942=$B7943, $A$2:$A7942+$C$2:$C7942)), "")*24*60, "")</f>
        <v/>
      </c>
      <c r="L7943" s="24" t="str" cm="1">
        <f t="array" ref="L7943">IFERROR(IF($B7943=L$1, ($A7943+$C7943) - MAX(IF($B$2:$B7942=$B7943, $A$2:$A7942+$C$2:$C7942)), "")*24*60, "")</f>
        <v/>
      </c>
      <c r="M7943" s="24" t="str" cm="1">
        <f t="array" ref="M7943">IFERROR(IF($B7943=M$1, ($A7943+$C7943) - MAX(IF($B$2:$B7942=$B7943, $A$2:$A7942+$C$2:$C7942)), "")*24*60, "")</f>
        <v/>
      </c>
      <c r="N7943" s="24" t="str" cm="1">
        <f t="array" ref="N7943">IFERROR(IF($B7943=N$1, ($A7943+$C7943) - MAX(IF($B$2:$B7942=$B7943, $A$2:$A7942+$C$2:$C7942)), "")*24*60, "")</f>
        <v/>
      </c>
      <c r="O7943" s="24" t="str" cm="1">
        <f t="array" ref="O7943">IFERROR(IF($B7943=O$1, ($A7943+$C7943) - MAX(IF($B$2:$B7942=$B7943, $A$2:$A7942+$C$2:$C7942)), "")*24*60, "")</f>
        <v/>
      </c>
      <c r="P7943" s="24" t="str" cm="1">
        <f t="array" ref="P7943">IFERROR(IF($B7943=P$1, ($A7943+$C7943) - MAX(IF($B$2:$B7942=$B7943, $A$2:$A7942+$C$2:$C7942)), "")*24*60, "")</f>
        <v/>
      </c>
      <c r="Q7943" s="24" t="str" cm="1">
        <f t="array" ref="Q7943">IFERROR(IF($B7943=Q$1, ($A7943+$C7943) - MAX(IF($B$2:$B7942=$B7943, $A$2:$A7942+$C$2:$C7942)), "")*24*60, "")</f>
        <v/>
      </c>
      <c r="R7943" s="24" t="str" cm="1">
        <f t="array" ref="R7943">IFERROR(IF($B7943=R$1, ($A7943+$C7943) - MAX(IF($B$2:$B7942=$B7943, $A$2:$A7942+$C$2:$C7942)), "")*24*60, "")</f>
        <v/>
      </c>
      <c r="S7943" s="24" t="str" cm="1">
        <f t="array" ref="S7943">IFERROR(IF($B7943=S$1, ($A7943+$C7943) - MAX(IF($B$2:$B7942=$B7943, $A$2:$A7942+$C$2:$C7942)), "")*24*60, "")</f>
        <v/>
      </c>
    </row>
    <row r="7944" spans="1:19" x14ac:dyDescent="0.2">
      <c r="A7944" s="12">
        <f t="shared" ref="A7944:C7944" si="1435">A7943</f>
        <v>46021</v>
      </c>
      <c r="B7944" s="5" t="str">
        <f t="shared" si="1435"/>
        <v>Northern Cardinal</v>
      </c>
      <c r="C7944" s="6">
        <f t="shared" si="1435"/>
        <v>0.7319444444444444</v>
      </c>
      <c r="D7944" s="5"/>
      <c r="E7944" s="5"/>
      <c r="F7944" s="5" t="s">
        <v>9</v>
      </c>
      <c r="G7944" s="15" t="s">
        <v>8</v>
      </c>
      <c r="H7944" s="24">
        <f t="shared" si="1407"/>
        <v>0</v>
      </c>
      <c r="I7944" s="24" cm="1">
        <f t="array" ref="I7944">IFERROR(IF($B7944=I$1, ($A7944+$C7944) - MAX(IF($B$2:$B7943=$B7944, $A$2:$A7943+$C$2:$C7943)), "")*24*60, "")</f>
        <v>0</v>
      </c>
      <c r="J7944" s="24" t="str" cm="1">
        <f t="array" ref="J7944">IFERROR(IF($B7944=J$1, ($A7944+$C7944) - MAX(IF($B$2:$B7943=$B7944, $A$2:$A7943+$C$2:$C7943)), "")*24*60, "")</f>
        <v/>
      </c>
      <c r="K7944" s="24" t="str" cm="1">
        <f t="array" ref="K7944">IFERROR(IF($B7944=K$1, ($A7944+$C7944) - MAX(IF($B$2:$B7943=$B7944, $A$2:$A7943+$C$2:$C7943)), "")*24*60, "")</f>
        <v/>
      </c>
      <c r="L7944" s="24" t="str" cm="1">
        <f t="array" ref="L7944">IFERROR(IF($B7944=L$1, ($A7944+$C7944) - MAX(IF($B$2:$B7943=$B7944, $A$2:$A7943+$C$2:$C7943)), "")*24*60, "")</f>
        <v/>
      </c>
      <c r="M7944" s="24" t="str" cm="1">
        <f t="array" ref="M7944">IFERROR(IF($B7944=M$1, ($A7944+$C7944) - MAX(IF($B$2:$B7943=$B7944, $A$2:$A7943+$C$2:$C7943)), "")*24*60, "")</f>
        <v/>
      </c>
      <c r="N7944" s="24" t="str" cm="1">
        <f t="array" ref="N7944">IFERROR(IF($B7944=N$1, ($A7944+$C7944) - MAX(IF($B$2:$B7943=$B7944, $A$2:$A7943+$C$2:$C7943)), "")*24*60, "")</f>
        <v/>
      </c>
      <c r="O7944" s="24" t="str" cm="1">
        <f t="array" ref="O7944">IFERROR(IF($B7944=O$1, ($A7944+$C7944) - MAX(IF($B$2:$B7943=$B7944, $A$2:$A7943+$C$2:$C7943)), "")*24*60, "")</f>
        <v/>
      </c>
      <c r="P7944" s="24" t="str" cm="1">
        <f t="array" ref="P7944">IFERROR(IF($B7944=P$1, ($A7944+$C7944) - MAX(IF($B$2:$B7943=$B7944, $A$2:$A7943+$C$2:$C7943)), "")*24*60, "")</f>
        <v/>
      </c>
      <c r="Q7944" s="24" t="str" cm="1">
        <f t="array" ref="Q7944">IFERROR(IF($B7944=Q$1, ($A7944+$C7944) - MAX(IF($B$2:$B7943=$B7944, $A$2:$A7943+$C$2:$C7943)), "")*24*60, "")</f>
        <v/>
      </c>
      <c r="R7944" s="24" t="str" cm="1">
        <f t="array" ref="R7944">IFERROR(IF($B7944=R$1, ($A7944+$C7944) - MAX(IF($B$2:$B7943=$B7944, $A$2:$A7943+$C$2:$C7943)), "")*24*60, "")</f>
        <v/>
      </c>
      <c r="S7944" s="24" t="str" cm="1">
        <f t="array" ref="S7944">IFERROR(IF($B7944=S$1, ($A7944+$C7944) - MAX(IF($B$2:$B7943=$B7944, $A$2:$A7943+$C$2:$C7943)), "")*24*60, "")</f>
        <v/>
      </c>
    </row>
    <row r="7945" spans="1:19" x14ac:dyDescent="0.2">
      <c r="A7945" s="12">
        <f t="shared" ref="A7945:C7945" si="1436">A7944</f>
        <v>46021</v>
      </c>
      <c r="B7945" s="5" t="str">
        <f t="shared" si="1436"/>
        <v>Northern Cardinal</v>
      </c>
      <c r="C7945" s="6">
        <f t="shared" si="1436"/>
        <v>0.7319444444444444</v>
      </c>
      <c r="D7945" s="5"/>
      <c r="E7945" s="5"/>
      <c r="F7945" s="5" t="s">
        <v>9</v>
      </c>
      <c r="G7945" s="15" t="s">
        <v>8</v>
      </c>
      <c r="H7945" s="24">
        <f t="shared" si="1407"/>
        <v>0</v>
      </c>
      <c r="I7945" s="24" cm="1">
        <f t="array" ref="I7945">IFERROR(IF($B7945=I$1, ($A7945+$C7945) - MAX(IF($B$2:$B7944=$B7945, $A$2:$A7944+$C$2:$C7944)), "")*24*60, "")</f>
        <v>0</v>
      </c>
      <c r="J7945" s="24" t="str" cm="1">
        <f t="array" ref="J7945">IFERROR(IF($B7945=J$1, ($A7945+$C7945) - MAX(IF($B$2:$B7944=$B7945, $A$2:$A7944+$C$2:$C7944)), "")*24*60, "")</f>
        <v/>
      </c>
      <c r="K7945" s="24" t="str" cm="1">
        <f t="array" ref="K7945">IFERROR(IF($B7945=K$1, ($A7945+$C7945) - MAX(IF($B$2:$B7944=$B7945, $A$2:$A7944+$C$2:$C7944)), "")*24*60, "")</f>
        <v/>
      </c>
      <c r="L7945" s="24" t="str" cm="1">
        <f t="array" ref="L7945">IFERROR(IF($B7945=L$1, ($A7945+$C7945) - MAX(IF($B$2:$B7944=$B7945, $A$2:$A7944+$C$2:$C7944)), "")*24*60, "")</f>
        <v/>
      </c>
      <c r="M7945" s="24" t="str" cm="1">
        <f t="array" ref="M7945">IFERROR(IF($B7945=M$1, ($A7945+$C7945) - MAX(IF($B$2:$B7944=$B7945, $A$2:$A7944+$C$2:$C7944)), "")*24*60, "")</f>
        <v/>
      </c>
      <c r="N7945" s="24" t="str" cm="1">
        <f t="array" ref="N7945">IFERROR(IF($B7945=N$1, ($A7945+$C7945) - MAX(IF($B$2:$B7944=$B7945, $A$2:$A7944+$C$2:$C7944)), "")*24*60, "")</f>
        <v/>
      </c>
      <c r="O7945" s="24" t="str" cm="1">
        <f t="array" ref="O7945">IFERROR(IF($B7945=O$1, ($A7945+$C7945) - MAX(IF($B$2:$B7944=$B7945, $A$2:$A7944+$C$2:$C7944)), "")*24*60, "")</f>
        <v/>
      </c>
      <c r="P7945" s="24" t="str" cm="1">
        <f t="array" ref="P7945">IFERROR(IF($B7945=P$1, ($A7945+$C7945) - MAX(IF($B$2:$B7944=$B7945, $A$2:$A7944+$C$2:$C7944)), "")*24*60, "")</f>
        <v/>
      </c>
      <c r="Q7945" s="24" t="str" cm="1">
        <f t="array" ref="Q7945">IFERROR(IF($B7945=Q$1, ($A7945+$C7945) - MAX(IF($B$2:$B7944=$B7945, $A$2:$A7944+$C$2:$C7944)), "")*24*60, "")</f>
        <v/>
      </c>
      <c r="R7945" s="24" t="str" cm="1">
        <f t="array" ref="R7945">IFERROR(IF($B7945=R$1, ($A7945+$C7945) - MAX(IF($B$2:$B7944=$B7945, $A$2:$A7944+$C$2:$C7944)), "")*24*60, "")</f>
        <v/>
      </c>
      <c r="S7945" s="24" t="str" cm="1">
        <f t="array" ref="S7945">IFERROR(IF($B7945=S$1, ($A7945+$C7945) - MAX(IF($B$2:$B7944=$B7945, $A$2:$A7944+$C$2:$C7944)), "")*24*60, "")</f>
        <v/>
      </c>
    </row>
    <row r="7946" spans="1:19" x14ac:dyDescent="0.2">
      <c r="A7946" s="12">
        <f t="shared" ref="A7946:C7946" si="1437">A7945</f>
        <v>46021</v>
      </c>
      <c r="B7946" s="5" t="str">
        <f t="shared" si="1437"/>
        <v>Northern Cardinal</v>
      </c>
      <c r="C7946" s="6">
        <f t="shared" si="1437"/>
        <v>0.7319444444444444</v>
      </c>
      <c r="D7946" s="5"/>
      <c r="E7946" s="5"/>
      <c r="F7946" s="5" t="s">
        <v>9</v>
      </c>
      <c r="G7946" s="15" t="s">
        <v>8</v>
      </c>
      <c r="H7946" s="24">
        <f t="shared" si="1407"/>
        <v>0</v>
      </c>
      <c r="I7946" s="24" cm="1">
        <f t="array" ref="I7946">IFERROR(IF($B7946=I$1, ($A7946+$C7946) - MAX(IF($B$2:$B7945=$B7946, $A$2:$A7945+$C$2:$C7945)), "")*24*60, "")</f>
        <v>0</v>
      </c>
      <c r="J7946" s="24" t="str" cm="1">
        <f t="array" ref="J7946">IFERROR(IF($B7946=J$1, ($A7946+$C7946) - MAX(IF($B$2:$B7945=$B7946, $A$2:$A7945+$C$2:$C7945)), "")*24*60, "")</f>
        <v/>
      </c>
      <c r="K7946" s="24" t="str" cm="1">
        <f t="array" ref="K7946">IFERROR(IF($B7946=K$1, ($A7946+$C7946) - MAX(IF($B$2:$B7945=$B7946, $A$2:$A7945+$C$2:$C7945)), "")*24*60, "")</f>
        <v/>
      </c>
      <c r="L7946" s="24" t="str" cm="1">
        <f t="array" ref="L7946">IFERROR(IF($B7946=L$1, ($A7946+$C7946) - MAX(IF($B$2:$B7945=$B7946, $A$2:$A7945+$C$2:$C7945)), "")*24*60, "")</f>
        <v/>
      </c>
      <c r="M7946" s="24" t="str" cm="1">
        <f t="array" ref="M7946">IFERROR(IF($B7946=M$1, ($A7946+$C7946) - MAX(IF($B$2:$B7945=$B7946, $A$2:$A7945+$C$2:$C7945)), "")*24*60, "")</f>
        <v/>
      </c>
      <c r="N7946" s="24" t="str" cm="1">
        <f t="array" ref="N7946">IFERROR(IF($B7946=N$1, ($A7946+$C7946) - MAX(IF($B$2:$B7945=$B7946, $A$2:$A7945+$C$2:$C7945)), "")*24*60, "")</f>
        <v/>
      </c>
      <c r="O7946" s="24" t="str" cm="1">
        <f t="array" ref="O7946">IFERROR(IF($B7946=O$1, ($A7946+$C7946) - MAX(IF($B$2:$B7945=$B7946, $A$2:$A7945+$C$2:$C7945)), "")*24*60, "")</f>
        <v/>
      </c>
      <c r="P7946" s="24" t="str" cm="1">
        <f t="array" ref="P7946">IFERROR(IF($B7946=P$1, ($A7946+$C7946) - MAX(IF($B$2:$B7945=$B7946, $A$2:$A7945+$C$2:$C7945)), "")*24*60, "")</f>
        <v/>
      </c>
      <c r="Q7946" s="24" t="str" cm="1">
        <f t="array" ref="Q7946">IFERROR(IF($B7946=Q$1, ($A7946+$C7946) - MAX(IF($B$2:$B7945=$B7946, $A$2:$A7945+$C$2:$C7945)), "")*24*60, "")</f>
        <v/>
      </c>
      <c r="R7946" s="24" t="str" cm="1">
        <f t="array" ref="R7946">IFERROR(IF($B7946=R$1, ($A7946+$C7946) - MAX(IF($B$2:$B7945=$B7946, $A$2:$A7945+$C$2:$C7945)), "")*24*60, "")</f>
        <v/>
      </c>
      <c r="S7946" s="24" t="str" cm="1">
        <f t="array" ref="S7946">IFERROR(IF($B7946=S$1, ($A7946+$C7946) - MAX(IF($B$2:$B7945=$B7946, $A$2:$A7945+$C$2:$C7945)), "")*24*60, "")</f>
        <v/>
      </c>
    </row>
    <row r="7947" spans="1:19" x14ac:dyDescent="0.2">
      <c r="A7947" s="12">
        <f t="shared" ref="A7947:C7947" si="1438">A7946</f>
        <v>46021</v>
      </c>
      <c r="B7947" s="5" t="str">
        <f t="shared" si="1438"/>
        <v>Northern Cardinal</v>
      </c>
      <c r="C7947" s="6">
        <f t="shared" si="1438"/>
        <v>0.7319444444444444</v>
      </c>
      <c r="D7947" s="5"/>
      <c r="E7947" s="5"/>
      <c r="F7947" s="5" t="s">
        <v>9</v>
      </c>
      <c r="G7947" s="15" t="s">
        <v>8</v>
      </c>
      <c r="H7947" s="24">
        <f t="shared" si="1407"/>
        <v>0</v>
      </c>
      <c r="I7947" s="24" cm="1">
        <f t="array" ref="I7947">IFERROR(IF($B7947=I$1, ($A7947+$C7947) - MAX(IF($B$2:$B7946=$B7947, $A$2:$A7946+$C$2:$C7946)), "")*24*60, "")</f>
        <v>0</v>
      </c>
      <c r="J7947" s="24" t="str" cm="1">
        <f t="array" ref="J7947">IFERROR(IF($B7947=J$1, ($A7947+$C7947) - MAX(IF($B$2:$B7946=$B7947, $A$2:$A7946+$C$2:$C7946)), "")*24*60, "")</f>
        <v/>
      </c>
      <c r="K7947" s="24" t="str" cm="1">
        <f t="array" ref="K7947">IFERROR(IF($B7947=K$1, ($A7947+$C7947) - MAX(IF($B$2:$B7946=$B7947, $A$2:$A7946+$C$2:$C7946)), "")*24*60, "")</f>
        <v/>
      </c>
      <c r="L7947" s="24" t="str" cm="1">
        <f t="array" ref="L7947">IFERROR(IF($B7947=L$1, ($A7947+$C7947) - MAX(IF($B$2:$B7946=$B7947, $A$2:$A7946+$C$2:$C7946)), "")*24*60, "")</f>
        <v/>
      </c>
      <c r="M7947" s="24" t="str" cm="1">
        <f t="array" ref="M7947">IFERROR(IF($B7947=M$1, ($A7947+$C7947) - MAX(IF($B$2:$B7946=$B7947, $A$2:$A7946+$C$2:$C7946)), "")*24*60, "")</f>
        <v/>
      </c>
      <c r="N7947" s="24" t="str" cm="1">
        <f t="array" ref="N7947">IFERROR(IF($B7947=N$1, ($A7947+$C7947) - MAX(IF($B$2:$B7946=$B7947, $A$2:$A7946+$C$2:$C7946)), "")*24*60, "")</f>
        <v/>
      </c>
      <c r="O7947" s="24" t="str" cm="1">
        <f t="array" ref="O7947">IFERROR(IF($B7947=O$1, ($A7947+$C7947) - MAX(IF($B$2:$B7946=$B7947, $A$2:$A7946+$C$2:$C7946)), "")*24*60, "")</f>
        <v/>
      </c>
      <c r="P7947" s="24" t="str" cm="1">
        <f t="array" ref="P7947">IFERROR(IF($B7947=P$1, ($A7947+$C7947) - MAX(IF($B$2:$B7946=$B7947, $A$2:$A7946+$C$2:$C7946)), "")*24*60, "")</f>
        <v/>
      </c>
      <c r="Q7947" s="24" t="str" cm="1">
        <f t="array" ref="Q7947">IFERROR(IF($B7947=Q$1, ($A7947+$C7947) - MAX(IF($B$2:$B7946=$B7947, $A$2:$A7946+$C$2:$C7946)), "")*24*60, "")</f>
        <v/>
      </c>
      <c r="R7947" s="24" t="str" cm="1">
        <f t="array" ref="R7947">IFERROR(IF($B7947=R$1, ($A7947+$C7947) - MAX(IF($B$2:$B7946=$B7947, $A$2:$A7946+$C$2:$C7946)), "")*24*60, "")</f>
        <v/>
      </c>
      <c r="S7947" s="24" t="str" cm="1">
        <f t="array" ref="S7947">IFERROR(IF($B7947=S$1, ($A7947+$C7947) - MAX(IF($B$2:$B7946=$B7947, $A$2:$A7946+$C$2:$C7946)), "")*24*60, "")</f>
        <v/>
      </c>
    </row>
    <row r="7948" spans="1:19" x14ac:dyDescent="0.2">
      <c r="A7948" s="12">
        <f t="shared" ref="A7948:C7948" si="1439">A7947</f>
        <v>46021</v>
      </c>
      <c r="B7948" s="5" t="str">
        <f t="shared" si="1439"/>
        <v>Northern Cardinal</v>
      </c>
      <c r="C7948" s="6">
        <f t="shared" si="1439"/>
        <v>0.7319444444444444</v>
      </c>
      <c r="D7948" s="5"/>
      <c r="E7948" s="5"/>
      <c r="F7948" s="5" t="s">
        <v>9</v>
      </c>
      <c r="G7948" s="15" t="s">
        <v>8</v>
      </c>
      <c r="H7948" s="24">
        <f t="shared" si="1407"/>
        <v>0</v>
      </c>
      <c r="I7948" s="24" cm="1">
        <f t="array" ref="I7948">IFERROR(IF($B7948=I$1, ($A7948+$C7948) - MAX(IF($B$2:$B7947=$B7948, $A$2:$A7947+$C$2:$C7947)), "")*24*60, "")</f>
        <v>0</v>
      </c>
      <c r="J7948" s="24" t="str" cm="1">
        <f t="array" ref="J7948">IFERROR(IF($B7948=J$1, ($A7948+$C7948) - MAX(IF($B$2:$B7947=$B7948, $A$2:$A7947+$C$2:$C7947)), "")*24*60, "")</f>
        <v/>
      </c>
      <c r="K7948" s="24" t="str" cm="1">
        <f t="array" ref="K7948">IFERROR(IF($B7948=K$1, ($A7948+$C7948) - MAX(IF($B$2:$B7947=$B7948, $A$2:$A7947+$C$2:$C7947)), "")*24*60, "")</f>
        <v/>
      </c>
      <c r="L7948" s="24" t="str" cm="1">
        <f t="array" ref="L7948">IFERROR(IF($B7948=L$1, ($A7948+$C7948) - MAX(IF($B$2:$B7947=$B7948, $A$2:$A7947+$C$2:$C7947)), "")*24*60, "")</f>
        <v/>
      </c>
      <c r="M7948" s="24" t="str" cm="1">
        <f t="array" ref="M7948">IFERROR(IF($B7948=M$1, ($A7948+$C7948) - MAX(IF($B$2:$B7947=$B7948, $A$2:$A7947+$C$2:$C7947)), "")*24*60, "")</f>
        <v/>
      </c>
      <c r="N7948" s="24" t="str" cm="1">
        <f t="array" ref="N7948">IFERROR(IF($B7948=N$1, ($A7948+$C7948) - MAX(IF($B$2:$B7947=$B7948, $A$2:$A7947+$C$2:$C7947)), "")*24*60, "")</f>
        <v/>
      </c>
      <c r="O7948" s="24" t="str" cm="1">
        <f t="array" ref="O7948">IFERROR(IF($B7948=O$1, ($A7948+$C7948) - MAX(IF($B$2:$B7947=$B7948, $A$2:$A7947+$C$2:$C7947)), "")*24*60, "")</f>
        <v/>
      </c>
      <c r="P7948" s="24" t="str" cm="1">
        <f t="array" ref="P7948">IFERROR(IF($B7948=P$1, ($A7948+$C7948) - MAX(IF($B$2:$B7947=$B7948, $A$2:$A7947+$C$2:$C7947)), "")*24*60, "")</f>
        <v/>
      </c>
      <c r="Q7948" s="24" t="str" cm="1">
        <f t="array" ref="Q7948">IFERROR(IF($B7948=Q$1, ($A7948+$C7948) - MAX(IF($B$2:$B7947=$B7948, $A$2:$A7947+$C$2:$C7947)), "")*24*60, "")</f>
        <v/>
      </c>
      <c r="R7948" s="24" t="str" cm="1">
        <f t="array" ref="R7948">IFERROR(IF($B7948=R$1, ($A7948+$C7948) - MAX(IF($B$2:$B7947=$B7948, $A$2:$A7947+$C$2:$C7947)), "")*24*60, "")</f>
        <v/>
      </c>
      <c r="S7948" s="24" t="str" cm="1">
        <f t="array" ref="S7948">IFERROR(IF($B7948=S$1, ($A7948+$C7948) - MAX(IF($B$2:$B7947=$B7948, $A$2:$A7947+$C$2:$C7947)), "")*24*60, "")</f>
        <v/>
      </c>
    </row>
    <row r="7949" spans="1:19" x14ac:dyDescent="0.2">
      <c r="A7949" s="12">
        <f t="shared" ref="A7949:C7949" si="1440">A7948</f>
        <v>46021</v>
      </c>
      <c r="B7949" s="5" t="str">
        <f t="shared" si="1440"/>
        <v>Northern Cardinal</v>
      </c>
      <c r="C7949" s="6">
        <f t="shared" si="1440"/>
        <v>0.7319444444444444</v>
      </c>
      <c r="D7949" s="5"/>
      <c r="E7949" s="5"/>
      <c r="F7949" s="5" t="s">
        <v>9</v>
      </c>
      <c r="G7949" s="15" t="s">
        <v>8</v>
      </c>
      <c r="H7949" s="24">
        <f t="shared" si="1407"/>
        <v>0</v>
      </c>
      <c r="I7949" s="24" cm="1">
        <f t="array" ref="I7949">IFERROR(IF($B7949=I$1, ($A7949+$C7949) - MAX(IF($B$2:$B7948=$B7949, $A$2:$A7948+$C$2:$C7948)), "")*24*60, "")</f>
        <v>0</v>
      </c>
      <c r="J7949" s="24" t="str" cm="1">
        <f t="array" ref="J7949">IFERROR(IF($B7949=J$1, ($A7949+$C7949) - MAX(IF($B$2:$B7948=$B7949, $A$2:$A7948+$C$2:$C7948)), "")*24*60, "")</f>
        <v/>
      </c>
      <c r="K7949" s="24" t="str" cm="1">
        <f t="array" ref="K7949">IFERROR(IF($B7949=K$1, ($A7949+$C7949) - MAX(IF($B$2:$B7948=$B7949, $A$2:$A7948+$C$2:$C7948)), "")*24*60, "")</f>
        <v/>
      </c>
      <c r="L7949" s="24" t="str" cm="1">
        <f t="array" ref="L7949">IFERROR(IF($B7949=L$1, ($A7949+$C7949) - MAX(IF($B$2:$B7948=$B7949, $A$2:$A7948+$C$2:$C7948)), "")*24*60, "")</f>
        <v/>
      </c>
      <c r="M7949" s="24" t="str" cm="1">
        <f t="array" ref="M7949">IFERROR(IF($B7949=M$1, ($A7949+$C7949) - MAX(IF($B$2:$B7948=$B7949, $A$2:$A7948+$C$2:$C7948)), "")*24*60, "")</f>
        <v/>
      </c>
      <c r="N7949" s="24" t="str" cm="1">
        <f t="array" ref="N7949">IFERROR(IF($B7949=N$1, ($A7949+$C7949) - MAX(IF($B$2:$B7948=$B7949, $A$2:$A7948+$C$2:$C7948)), "")*24*60, "")</f>
        <v/>
      </c>
      <c r="O7949" s="24" t="str" cm="1">
        <f t="array" ref="O7949">IFERROR(IF($B7949=O$1, ($A7949+$C7949) - MAX(IF($B$2:$B7948=$B7949, $A$2:$A7948+$C$2:$C7948)), "")*24*60, "")</f>
        <v/>
      </c>
      <c r="P7949" s="24" t="str" cm="1">
        <f t="array" ref="P7949">IFERROR(IF($B7949=P$1, ($A7949+$C7949) - MAX(IF($B$2:$B7948=$B7949, $A$2:$A7948+$C$2:$C7948)), "")*24*60, "")</f>
        <v/>
      </c>
      <c r="Q7949" s="24" t="str" cm="1">
        <f t="array" ref="Q7949">IFERROR(IF($B7949=Q$1, ($A7949+$C7949) - MAX(IF($B$2:$B7948=$B7949, $A$2:$A7948+$C$2:$C7948)), "")*24*60, "")</f>
        <v/>
      </c>
      <c r="R7949" s="24" t="str" cm="1">
        <f t="array" ref="R7949">IFERROR(IF($B7949=R$1, ($A7949+$C7949) - MAX(IF($B$2:$B7948=$B7949, $A$2:$A7948+$C$2:$C7948)), "")*24*60, "")</f>
        <v/>
      </c>
      <c r="S7949" s="24" t="str" cm="1">
        <f t="array" ref="S7949">IFERROR(IF($B7949=S$1, ($A7949+$C7949) - MAX(IF($B$2:$B7948=$B7949, $A$2:$A7948+$C$2:$C7948)), "")*24*60, "")</f>
        <v/>
      </c>
    </row>
    <row r="7950" spans="1:19" x14ac:dyDescent="0.2">
      <c r="A7950" s="12">
        <f t="shared" ref="A7950:C7950" si="1441">A7949</f>
        <v>46021</v>
      </c>
      <c r="B7950" s="5" t="str">
        <f t="shared" si="1441"/>
        <v>Northern Cardinal</v>
      </c>
      <c r="C7950" s="6">
        <f t="shared" si="1441"/>
        <v>0.7319444444444444</v>
      </c>
      <c r="D7950" s="5"/>
      <c r="E7950" s="5"/>
      <c r="F7950" s="5" t="s">
        <v>9</v>
      </c>
      <c r="G7950" s="15" t="s">
        <v>8</v>
      </c>
      <c r="H7950" s="24">
        <f t="shared" si="1407"/>
        <v>0</v>
      </c>
      <c r="I7950" s="24" cm="1">
        <f t="array" ref="I7950">IFERROR(IF($B7950=I$1, ($A7950+$C7950) - MAX(IF($B$2:$B7949=$B7950, $A$2:$A7949+$C$2:$C7949)), "")*24*60, "")</f>
        <v>0</v>
      </c>
      <c r="J7950" s="24" t="str" cm="1">
        <f t="array" ref="J7950">IFERROR(IF($B7950=J$1, ($A7950+$C7950) - MAX(IF($B$2:$B7949=$B7950, $A$2:$A7949+$C$2:$C7949)), "")*24*60, "")</f>
        <v/>
      </c>
      <c r="K7950" s="24" t="str" cm="1">
        <f t="array" ref="K7950">IFERROR(IF($B7950=K$1, ($A7950+$C7950) - MAX(IF($B$2:$B7949=$B7950, $A$2:$A7949+$C$2:$C7949)), "")*24*60, "")</f>
        <v/>
      </c>
      <c r="L7950" s="24" t="str" cm="1">
        <f t="array" ref="L7950">IFERROR(IF($B7950=L$1, ($A7950+$C7950) - MAX(IF($B$2:$B7949=$B7950, $A$2:$A7949+$C$2:$C7949)), "")*24*60, "")</f>
        <v/>
      </c>
      <c r="M7950" s="24" t="str" cm="1">
        <f t="array" ref="M7950">IFERROR(IF($B7950=M$1, ($A7950+$C7950) - MAX(IF($B$2:$B7949=$B7950, $A$2:$A7949+$C$2:$C7949)), "")*24*60, "")</f>
        <v/>
      </c>
      <c r="N7950" s="24" t="str" cm="1">
        <f t="array" ref="N7950">IFERROR(IF($B7950=N$1, ($A7950+$C7950) - MAX(IF($B$2:$B7949=$B7950, $A$2:$A7949+$C$2:$C7949)), "")*24*60, "")</f>
        <v/>
      </c>
      <c r="O7950" s="24" t="str" cm="1">
        <f t="array" ref="O7950">IFERROR(IF($B7950=O$1, ($A7950+$C7950) - MAX(IF($B$2:$B7949=$B7950, $A$2:$A7949+$C$2:$C7949)), "")*24*60, "")</f>
        <v/>
      </c>
      <c r="P7950" s="24" t="str" cm="1">
        <f t="array" ref="P7950">IFERROR(IF($B7950=P$1, ($A7950+$C7950) - MAX(IF($B$2:$B7949=$B7950, $A$2:$A7949+$C$2:$C7949)), "")*24*60, "")</f>
        <v/>
      </c>
      <c r="Q7950" s="24" t="str" cm="1">
        <f t="array" ref="Q7950">IFERROR(IF($B7950=Q$1, ($A7950+$C7950) - MAX(IF($B$2:$B7949=$B7950, $A$2:$A7949+$C$2:$C7949)), "")*24*60, "")</f>
        <v/>
      </c>
      <c r="R7950" s="24" t="str" cm="1">
        <f t="array" ref="R7950">IFERROR(IF($B7950=R$1, ($A7950+$C7950) - MAX(IF($B$2:$B7949=$B7950, $A$2:$A7949+$C$2:$C7949)), "")*24*60, "")</f>
        <v/>
      </c>
      <c r="S7950" s="24" t="str" cm="1">
        <f t="array" ref="S7950">IFERROR(IF($B7950=S$1, ($A7950+$C7950) - MAX(IF($B$2:$B7949=$B7950, $A$2:$A7949+$C$2:$C7949)), "")*24*60, "")</f>
        <v/>
      </c>
    </row>
    <row r="7951" spans="1:19" x14ac:dyDescent="0.2">
      <c r="A7951" s="12">
        <f t="shared" ref="A7951:C7951" si="1442">A7950</f>
        <v>46021</v>
      </c>
      <c r="B7951" s="5" t="str">
        <f t="shared" si="1442"/>
        <v>Northern Cardinal</v>
      </c>
      <c r="C7951" s="6">
        <f t="shared" si="1442"/>
        <v>0.7319444444444444</v>
      </c>
      <c r="D7951" s="5"/>
      <c r="E7951" s="5"/>
      <c r="F7951" s="5" t="s">
        <v>9</v>
      </c>
      <c r="G7951" s="15" t="s">
        <v>8</v>
      </c>
      <c r="H7951" s="24">
        <f t="shared" si="1407"/>
        <v>0</v>
      </c>
      <c r="I7951" s="24" cm="1">
        <f t="array" ref="I7951">IFERROR(IF($B7951=I$1, ($A7951+$C7951) - MAX(IF($B$2:$B7950=$B7951, $A$2:$A7950+$C$2:$C7950)), "")*24*60, "")</f>
        <v>0</v>
      </c>
      <c r="J7951" s="24" t="str" cm="1">
        <f t="array" ref="J7951">IFERROR(IF($B7951=J$1, ($A7951+$C7951) - MAX(IF($B$2:$B7950=$B7951, $A$2:$A7950+$C$2:$C7950)), "")*24*60, "")</f>
        <v/>
      </c>
      <c r="K7951" s="24" t="str" cm="1">
        <f t="array" ref="K7951">IFERROR(IF($B7951=K$1, ($A7951+$C7951) - MAX(IF($B$2:$B7950=$B7951, $A$2:$A7950+$C$2:$C7950)), "")*24*60, "")</f>
        <v/>
      </c>
      <c r="L7951" s="24" t="str" cm="1">
        <f t="array" ref="L7951">IFERROR(IF($B7951=L$1, ($A7951+$C7951) - MAX(IF($B$2:$B7950=$B7951, $A$2:$A7950+$C$2:$C7950)), "")*24*60, "")</f>
        <v/>
      </c>
      <c r="M7951" s="24" t="str" cm="1">
        <f t="array" ref="M7951">IFERROR(IF($B7951=M$1, ($A7951+$C7951) - MAX(IF($B$2:$B7950=$B7951, $A$2:$A7950+$C$2:$C7950)), "")*24*60, "")</f>
        <v/>
      </c>
      <c r="N7951" s="24" t="str" cm="1">
        <f t="array" ref="N7951">IFERROR(IF($B7951=N$1, ($A7951+$C7951) - MAX(IF($B$2:$B7950=$B7951, $A$2:$A7950+$C$2:$C7950)), "")*24*60, "")</f>
        <v/>
      </c>
      <c r="O7951" s="24" t="str" cm="1">
        <f t="array" ref="O7951">IFERROR(IF($B7951=O$1, ($A7951+$C7951) - MAX(IF($B$2:$B7950=$B7951, $A$2:$A7950+$C$2:$C7950)), "")*24*60, "")</f>
        <v/>
      </c>
      <c r="P7951" s="24" t="str" cm="1">
        <f t="array" ref="P7951">IFERROR(IF($B7951=P$1, ($A7951+$C7951) - MAX(IF($B$2:$B7950=$B7951, $A$2:$A7950+$C$2:$C7950)), "")*24*60, "")</f>
        <v/>
      </c>
      <c r="Q7951" s="24" t="str" cm="1">
        <f t="array" ref="Q7951">IFERROR(IF($B7951=Q$1, ($A7951+$C7951) - MAX(IF($B$2:$B7950=$B7951, $A$2:$A7950+$C$2:$C7950)), "")*24*60, "")</f>
        <v/>
      </c>
      <c r="R7951" s="24" t="str" cm="1">
        <f t="array" ref="R7951">IFERROR(IF($B7951=R$1, ($A7951+$C7951) - MAX(IF($B$2:$B7950=$B7951, $A$2:$A7950+$C$2:$C7950)), "")*24*60, "")</f>
        <v/>
      </c>
      <c r="S7951" s="24" t="str" cm="1">
        <f t="array" ref="S7951">IFERROR(IF($B7951=S$1, ($A7951+$C7951) - MAX(IF($B$2:$B7950=$B7951, $A$2:$A7950+$C$2:$C7950)), "")*24*60, "")</f>
        <v/>
      </c>
    </row>
    <row r="7952" spans="1:19" x14ac:dyDescent="0.2">
      <c r="A7952" s="12">
        <f t="shared" ref="A7952:C7952" si="1443">A7951</f>
        <v>46021</v>
      </c>
      <c r="B7952" s="5" t="str">
        <f t="shared" si="1443"/>
        <v>Northern Cardinal</v>
      </c>
      <c r="C7952" s="6">
        <f t="shared" si="1443"/>
        <v>0.7319444444444444</v>
      </c>
      <c r="D7952" s="5"/>
      <c r="E7952" s="5"/>
      <c r="F7952" s="5" t="s">
        <v>9</v>
      </c>
      <c r="G7952" s="15" t="s">
        <v>8</v>
      </c>
      <c r="H7952" s="24">
        <f t="shared" si="1407"/>
        <v>0</v>
      </c>
      <c r="I7952" s="24" cm="1">
        <f t="array" ref="I7952">IFERROR(IF($B7952=I$1, ($A7952+$C7952) - MAX(IF($B$2:$B7951=$B7952, $A$2:$A7951+$C$2:$C7951)), "")*24*60, "")</f>
        <v>0</v>
      </c>
      <c r="J7952" s="24" t="str" cm="1">
        <f t="array" ref="J7952">IFERROR(IF($B7952=J$1, ($A7952+$C7952) - MAX(IF($B$2:$B7951=$B7952, $A$2:$A7951+$C$2:$C7951)), "")*24*60, "")</f>
        <v/>
      </c>
      <c r="K7952" s="24" t="str" cm="1">
        <f t="array" ref="K7952">IFERROR(IF($B7952=K$1, ($A7952+$C7952) - MAX(IF($B$2:$B7951=$B7952, $A$2:$A7951+$C$2:$C7951)), "")*24*60, "")</f>
        <v/>
      </c>
      <c r="L7952" s="24" t="str" cm="1">
        <f t="array" ref="L7952">IFERROR(IF($B7952=L$1, ($A7952+$C7952) - MAX(IF($B$2:$B7951=$B7952, $A$2:$A7951+$C$2:$C7951)), "")*24*60, "")</f>
        <v/>
      </c>
      <c r="M7952" s="24" t="str" cm="1">
        <f t="array" ref="M7952">IFERROR(IF($B7952=M$1, ($A7952+$C7952) - MAX(IF($B$2:$B7951=$B7952, $A$2:$A7951+$C$2:$C7951)), "")*24*60, "")</f>
        <v/>
      </c>
      <c r="N7952" s="24" t="str" cm="1">
        <f t="array" ref="N7952">IFERROR(IF($B7952=N$1, ($A7952+$C7952) - MAX(IF($B$2:$B7951=$B7952, $A$2:$A7951+$C$2:$C7951)), "")*24*60, "")</f>
        <v/>
      </c>
      <c r="O7952" s="24" t="str" cm="1">
        <f t="array" ref="O7952">IFERROR(IF($B7952=O$1, ($A7952+$C7952) - MAX(IF($B$2:$B7951=$B7952, $A$2:$A7951+$C$2:$C7951)), "")*24*60, "")</f>
        <v/>
      </c>
      <c r="P7952" s="24" t="str" cm="1">
        <f t="array" ref="P7952">IFERROR(IF($B7952=P$1, ($A7952+$C7952) - MAX(IF($B$2:$B7951=$B7952, $A$2:$A7951+$C$2:$C7951)), "")*24*60, "")</f>
        <v/>
      </c>
      <c r="Q7952" s="24" t="str" cm="1">
        <f t="array" ref="Q7952">IFERROR(IF($B7952=Q$1, ($A7952+$C7952) - MAX(IF($B$2:$B7951=$B7952, $A$2:$A7951+$C$2:$C7951)), "")*24*60, "")</f>
        <v/>
      </c>
      <c r="R7952" s="24" t="str" cm="1">
        <f t="array" ref="R7952">IFERROR(IF($B7952=R$1, ($A7952+$C7952) - MAX(IF($B$2:$B7951=$B7952, $A$2:$A7951+$C$2:$C7951)), "")*24*60, "")</f>
        <v/>
      </c>
      <c r="S7952" s="24" t="str" cm="1">
        <f t="array" ref="S7952">IFERROR(IF($B7952=S$1, ($A7952+$C7952) - MAX(IF($B$2:$B7951=$B7952, $A$2:$A7951+$C$2:$C7951)), "")*24*60, "")</f>
        <v/>
      </c>
    </row>
    <row r="7953" spans="1:19" x14ac:dyDescent="0.2">
      <c r="A7953" s="12">
        <f t="shared" ref="A7953:C7953" si="1444">A7952</f>
        <v>46021</v>
      </c>
      <c r="B7953" s="5" t="str">
        <f t="shared" si="1444"/>
        <v>Northern Cardinal</v>
      </c>
      <c r="C7953" s="6">
        <f t="shared" si="1444"/>
        <v>0.7319444444444444</v>
      </c>
      <c r="D7953" s="5"/>
      <c r="E7953" s="5"/>
      <c r="F7953" s="5" t="s">
        <v>9</v>
      </c>
      <c r="G7953" s="15" t="s">
        <v>8</v>
      </c>
      <c r="H7953" s="24">
        <f t="shared" si="1407"/>
        <v>0</v>
      </c>
      <c r="I7953" s="24" cm="1">
        <f t="array" ref="I7953">IFERROR(IF($B7953=I$1, ($A7953+$C7953) - MAX(IF($B$2:$B7952=$B7953, $A$2:$A7952+$C$2:$C7952)), "")*24*60, "")</f>
        <v>0</v>
      </c>
      <c r="J7953" s="24" t="str" cm="1">
        <f t="array" ref="J7953">IFERROR(IF($B7953=J$1, ($A7953+$C7953) - MAX(IF($B$2:$B7952=$B7953, $A$2:$A7952+$C$2:$C7952)), "")*24*60, "")</f>
        <v/>
      </c>
      <c r="K7953" s="24" t="str" cm="1">
        <f t="array" ref="K7953">IFERROR(IF($B7953=K$1, ($A7953+$C7953) - MAX(IF($B$2:$B7952=$B7953, $A$2:$A7952+$C$2:$C7952)), "")*24*60, "")</f>
        <v/>
      </c>
      <c r="L7953" s="24" t="str" cm="1">
        <f t="array" ref="L7953">IFERROR(IF($B7953=L$1, ($A7953+$C7953) - MAX(IF($B$2:$B7952=$B7953, $A$2:$A7952+$C$2:$C7952)), "")*24*60, "")</f>
        <v/>
      </c>
      <c r="M7953" s="24" t="str" cm="1">
        <f t="array" ref="M7953">IFERROR(IF($B7953=M$1, ($A7953+$C7953) - MAX(IF($B$2:$B7952=$B7953, $A$2:$A7952+$C$2:$C7952)), "")*24*60, "")</f>
        <v/>
      </c>
      <c r="N7953" s="24" t="str" cm="1">
        <f t="array" ref="N7953">IFERROR(IF($B7953=N$1, ($A7953+$C7953) - MAX(IF($B$2:$B7952=$B7953, $A$2:$A7952+$C$2:$C7952)), "")*24*60, "")</f>
        <v/>
      </c>
      <c r="O7953" s="24" t="str" cm="1">
        <f t="array" ref="O7953">IFERROR(IF($B7953=O$1, ($A7953+$C7953) - MAX(IF($B$2:$B7952=$B7953, $A$2:$A7952+$C$2:$C7952)), "")*24*60, "")</f>
        <v/>
      </c>
      <c r="P7953" s="24" t="str" cm="1">
        <f t="array" ref="P7953">IFERROR(IF($B7953=P$1, ($A7953+$C7953) - MAX(IF($B$2:$B7952=$B7953, $A$2:$A7952+$C$2:$C7952)), "")*24*60, "")</f>
        <v/>
      </c>
      <c r="Q7953" s="24" t="str" cm="1">
        <f t="array" ref="Q7953">IFERROR(IF($B7953=Q$1, ($A7953+$C7953) - MAX(IF($B$2:$B7952=$B7953, $A$2:$A7952+$C$2:$C7952)), "")*24*60, "")</f>
        <v/>
      </c>
      <c r="R7953" s="24" t="str" cm="1">
        <f t="array" ref="R7953">IFERROR(IF($B7953=R$1, ($A7953+$C7953) - MAX(IF($B$2:$B7952=$B7953, $A$2:$A7952+$C$2:$C7952)), "")*24*60, "")</f>
        <v/>
      </c>
      <c r="S7953" s="24" t="str" cm="1">
        <f t="array" ref="S7953">IFERROR(IF($B7953=S$1, ($A7953+$C7953) - MAX(IF($B$2:$B7952=$B7953, $A$2:$A7952+$C$2:$C7952)), "")*24*60, "")</f>
        <v/>
      </c>
    </row>
    <row r="7954" spans="1:19" x14ac:dyDescent="0.2">
      <c r="A7954" s="12">
        <f t="shared" ref="A7954:C7954" si="1445">A7953</f>
        <v>46021</v>
      </c>
      <c r="B7954" s="5" t="str">
        <f t="shared" si="1445"/>
        <v>Northern Cardinal</v>
      </c>
      <c r="C7954" s="6">
        <f t="shared" si="1445"/>
        <v>0.7319444444444444</v>
      </c>
      <c r="D7954" s="5"/>
      <c r="E7954" s="5"/>
      <c r="F7954" s="5" t="s">
        <v>9</v>
      </c>
      <c r="G7954" s="15" t="s">
        <v>8</v>
      </c>
      <c r="H7954" s="24">
        <f t="shared" si="1407"/>
        <v>0</v>
      </c>
      <c r="I7954" s="24" cm="1">
        <f t="array" ref="I7954">IFERROR(IF($B7954=I$1, ($A7954+$C7954) - MAX(IF($B$2:$B7953=$B7954, $A$2:$A7953+$C$2:$C7953)), "")*24*60, "")</f>
        <v>0</v>
      </c>
      <c r="J7954" s="24" t="str" cm="1">
        <f t="array" ref="J7954">IFERROR(IF($B7954=J$1, ($A7954+$C7954) - MAX(IF($B$2:$B7953=$B7954, $A$2:$A7953+$C$2:$C7953)), "")*24*60, "")</f>
        <v/>
      </c>
      <c r="K7954" s="24" t="str" cm="1">
        <f t="array" ref="K7954">IFERROR(IF($B7954=K$1, ($A7954+$C7954) - MAX(IF($B$2:$B7953=$B7954, $A$2:$A7953+$C$2:$C7953)), "")*24*60, "")</f>
        <v/>
      </c>
      <c r="L7954" s="24" t="str" cm="1">
        <f t="array" ref="L7954">IFERROR(IF($B7954=L$1, ($A7954+$C7954) - MAX(IF($B$2:$B7953=$B7954, $A$2:$A7953+$C$2:$C7953)), "")*24*60, "")</f>
        <v/>
      </c>
      <c r="M7954" s="24" t="str" cm="1">
        <f t="array" ref="M7954">IFERROR(IF($B7954=M$1, ($A7954+$C7954) - MAX(IF($B$2:$B7953=$B7954, $A$2:$A7953+$C$2:$C7953)), "")*24*60, "")</f>
        <v/>
      </c>
      <c r="N7954" s="24" t="str" cm="1">
        <f t="array" ref="N7954">IFERROR(IF($B7954=N$1, ($A7954+$C7954) - MAX(IF($B$2:$B7953=$B7954, $A$2:$A7953+$C$2:$C7953)), "")*24*60, "")</f>
        <v/>
      </c>
      <c r="O7954" s="24" t="str" cm="1">
        <f t="array" ref="O7954">IFERROR(IF($B7954=O$1, ($A7954+$C7954) - MAX(IF($B$2:$B7953=$B7954, $A$2:$A7953+$C$2:$C7953)), "")*24*60, "")</f>
        <v/>
      </c>
      <c r="P7954" s="24" t="str" cm="1">
        <f t="array" ref="P7954">IFERROR(IF($B7954=P$1, ($A7954+$C7954) - MAX(IF($B$2:$B7953=$B7954, $A$2:$A7953+$C$2:$C7953)), "")*24*60, "")</f>
        <v/>
      </c>
      <c r="Q7954" s="24" t="str" cm="1">
        <f t="array" ref="Q7954">IFERROR(IF($B7954=Q$1, ($A7954+$C7954) - MAX(IF($B$2:$B7953=$B7954, $A$2:$A7953+$C$2:$C7953)), "")*24*60, "")</f>
        <v/>
      </c>
      <c r="R7954" s="24" t="str" cm="1">
        <f t="array" ref="R7954">IFERROR(IF($B7954=R$1, ($A7954+$C7954) - MAX(IF($B$2:$B7953=$B7954, $A$2:$A7953+$C$2:$C7953)), "")*24*60, "")</f>
        <v/>
      </c>
      <c r="S7954" s="24" t="str" cm="1">
        <f t="array" ref="S7954">IFERROR(IF($B7954=S$1, ($A7954+$C7954) - MAX(IF($B$2:$B7953=$B7954, $A$2:$A7953+$C$2:$C7953)), "")*24*60, "")</f>
        <v/>
      </c>
    </row>
    <row r="7955" spans="1:19" x14ac:dyDescent="0.2">
      <c r="A7955" s="12">
        <f t="shared" ref="A7955:C7955" si="1446">A7954</f>
        <v>46021</v>
      </c>
      <c r="B7955" s="5" t="str">
        <f t="shared" si="1446"/>
        <v>Northern Cardinal</v>
      </c>
      <c r="C7955" s="6">
        <f t="shared" si="1446"/>
        <v>0.7319444444444444</v>
      </c>
      <c r="D7955" s="5"/>
      <c r="E7955" s="5"/>
      <c r="F7955" s="5" t="s">
        <v>9</v>
      </c>
      <c r="G7955" s="15" t="s">
        <v>8</v>
      </c>
      <c r="H7955" s="24">
        <f t="shared" si="1407"/>
        <v>0</v>
      </c>
      <c r="I7955" s="24" cm="1">
        <f t="array" ref="I7955">IFERROR(IF($B7955=I$1, ($A7955+$C7955) - MAX(IF($B$2:$B7954=$B7955, $A$2:$A7954+$C$2:$C7954)), "")*24*60, "")</f>
        <v>0</v>
      </c>
      <c r="J7955" s="24" t="str" cm="1">
        <f t="array" ref="J7955">IFERROR(IF($B7955=J$1, ($A7955+$C7955) - MAX(IF($B$2:$B7954=$B7955, $A$2:$A7954+$C$2:$C7954)), "")*24*60, "")</f>
        <v/>
      </c>
      <c r="K7955" s="24" t="str" cm="1">
        <f t="array" ref="K7955">IFERROR(IF($B7955=K$1, ($A7955+$C7955) - MAX(IF($B$2:$B7954=$B7955, $A$2:$A7954+$C$2:$C7954)), "")*24*60, "")</f>
        <v/>
      </c>
      <c r="L7955" s="24" t="str" cm="1">
        <f t="array" ref="L7955">IFERROR(IF($B7955=L$1, ($A7955+$C7955) - MAX(IF($B$2:$B7954=$B7955, $A$2:$A7954+$C$2:$C7954)), "")*24*60, "")</f>
        <v/>
      </c>
      <c r="M7955" s="24" t="str" cm="1">
        <f t="array" ref="M7955">IFERROR(IF($B7955=M$1, ($A7955+$C7955) - MAX(IF($B$2:$B7954=$B7955, $A$2:$A7954+$C$2:$C7954)), "")*24*60, "")</f>
        <v/>
      </c>
      <c r="N7955" s="24" t="str" cm="1">
        <f t="array" ref="N7955">IFERROR(IF($B7955=N$1, ($A7955+$C7955) - MAX(IF($B$2:$B7954=$B7955, $A$2:$A7954+$C$2:$C7954)), "")*24*60, "")</f>
        <v/>
      </c>
      <c r="O7955" s="24" t="str" cm="1">
        <f t="array" ref="O7955">IFERROR(IF($B7955=O$1, ($A7955+$C7955) - MAX(IF($B$2:$B7954=$B7955, $A$2:$A7954+$C$2:$C7954)), "")*24*60, "")</f>
        <v/>
      </c>
      <c r="P7955" s="24" t="str" cm="1">
        <f t="array" ref="P7955">IFERROR(IF($B7955=P$1, ($A7955+$C7955) - MAX(IF($B$2:$B7954=$B7955, $A$2:$A7954+$C$2:$C7954)), "")*24*60, "")</f>
        <v/>
      </c>
      <c r="Q7955" s="24" t="str" cm="1">
        <f t="array" ref="Q7955">IFERROR(IF($B7955=Q$1, ($A7955+$C7955) - MAX(IF($B$2:$B7954=$B7955, $A$2:$A7954+$C$2:$C7954)), "")*24*60, "")</f>
        <v/>
      </c>
      <c r="R7955" s="24" t="str" cm="1">
        <f t="array" ref="R7955">IFERROR(IF($B7955=R$1, ($A7955+$C7955) - MAX(IF($B$2:$B7954=$B7955, $A$2:$A7954+$C$2:$C7954)), "")*24*60, "")</f>
        <v/>
      </c>
      <c r="S7955" s="24" t="str" cm="1">
        <f t="array" ref="S7955">IFERROR(IF($B7955=S$1, ($A7955+$C7955) - MAX(IF($B$2:$B7954=$B7955, $A$2:$A7954+$C$2:$C7954)), "")*24*60, "")</f>
        <v/>
      </c>
    </row>
    <row r="7956" spans="1:19" x14ac:dyDescent="0.2">
      <c r="A7956" s="12">
        <f t="shared" ref="A7956:C7956" si="1447">A7955</f>
        <v>46021</v>
      </c>
      <c r="B7956" s="5" t="str">
        <f t="shared" si="1447"/>
        <v>Northern Cardinal</v>
      </c>
      <c r="C7956" s="6">
        <f t="shared" si="1447"/>
        <v>0.7319444444444444</v>
      </c>
      <c r="D7956" s="5"/>
      <c r="E7956" s="5"/>
      <c r="F7956" s="5" t="s">
        <v>9</v>
      </c>
      <c r="G7956" s="15" t="s">
        <v>8</v>
      </c>
      <c r="H7956" s="24">
        <f t="shared" si="1407"/>
        <v>0</v>
      </c>
      <c r="I7956" s="24" cm="1">
        <f t="array" ref="I7956">IFERROR(IF($B7956=I$1, ($A7956+$C7956) - MAX(IF($B$2:$B7955=$B7956, $A$2:$A7955+$C$2:$C7955)), "")*24*60, "")</f>
        <v>0</v>
      </c>
      <c r="J7956" s="24" t="str" cm="1">
        <f t="array" ref="J7956">IFERROR(IF($B7956=J$1, ($A7956+$C7956) - MAX(IF($B$2:$B7955=$B7956, $A$2:$A7955+$C$2:$C7955)), "")*24*60, "")</f>
        <v/>
      </c>
      <c r="K7956" s="24" t="str" cm="1">
        <f t="array" ref="K7956">IFERROR(IF($B7956=K$1, ($A7956+$C7956) - MAX(IF($B$2:$B7955=$B7956, $A$2:$A7955+$C$2:$C7955)), "")*24*60, "")</f>
        <v/>
      </c>
      <c r="L7956" s="24" t="str" cm="1">
        <f t="array" ref="L7956">IFERROR(IF($B7956=L$1, ($A7956+$C7956) - MAX(IF($B$2:$B7955=$B7956, $A$2:$A7955+$C$2:$C7955)), "")*24*60, "")</f>
        <v/>
      </c>
      <c r="M7956" s="24" t="str" cm="1">
        <f t="array" ref="M7956">IFERROR(IF($B7956=M$1, ($A7956+$C7956) - MAX(IF($B$2:$B7955=$B7956, $A$2:$A7955+$C$2:$C7955)), "")*24*60, "")</f>
        <v/>
      </c>
      <c r="N7956" s="24" t="str" cm="1">
        <f t="array" ref="N7956">IFERROR(IF($B7956=N$1, ($A7956+$C7956) - MAX(IF($B$2:$B7955=$B7956, $A$2:$A7955+$C$2:$C7955)), "")*24*60, "")</f>
        <v/>
      </c>
      <c r="O7956" s="24" t="str" cm="1">
        <f t="array" ref="O7956">IFERROR(IF($B7956=O$1, ($A7956+$C7956) - MAX(IF($B$2:$B7955=$B7956, $A$2:$A7955+$C$2:$C7955)), "")*24*60, "")</f>
        <v/>
      </c>
      <c r="P7956" s="24" t="str" cm="1">
        <f t="array" ref="P7956">IFERROR(IF($B7956=P$1, ($A7956+$C7956) - MAX(IF($B$2:$B7955=$B7956, $A$2:$A7955+$C$2:$C7955)), "")*24*60, "")</f>
        <v/>
      </c>
      <c r="Q7956" s="24" t="str" cm="1">
        <f t="array" ref="Q7956">IFERROR(IF($B7956=Q$1, ($A7956+$C7956) - MAX(IF($B$2:$B7955=$B7956, $A$2:$A7955+$C$2:$C7955)), "")*24*60, "")</f>
        <v/>
      </c>
      <c r="R7956" s="24" t="str" cm="1">
        <f t="array" ref="R7956">IFERROR(IF($B7956=R$1, ($A7956+$C7956) - MAX(IF($B$2:$B7955=$B7956, $A$2:$A7955+$C$2:$C7955)), "")*24*60, "")</f>
        <v/>
      </c>
      <c r="S7956" s="24" t="str" cm="1">
        <f t="array" ref="S7956">IFERROR(IF($B7956=S$1, ($A7956+$C7956) - MAX(IF($B$2:$B7955=$B7956, $A$2:$A7955+$C$2:$C7955)), "")*24*60, "")</f>
        <v/>
      </c>
    </row>
    <row r="7957" spans="1:19" x14ac:dyDescent="0.2">
      <c r="A7957" s="12">
        <f t="shared" ref="A7957:C7957" si="1448">A7956</f>
        <v>46021</v>
      </c>
      <c r="B7957" s="5" t="str">
        <f t="shared" si="1448"/>
        <v>Northern Cardinal</v>
      </c>
      <c r="C7957" s="6">
        <f t="shared" si="1448"/>
        <v>0.7319444444444444</v>
      </c>
      <c r="D7957" s="5"/>
      <c r="E7957" s="5"/>
      <c r="F7957" s="5" t="s">
        <v>9</v>
      </c>
      <c r="G7957" s="15" t="s">
        <v>8</v>
      </c>
      <c r="H7957" s="24">
        <f t="shared" si="1407"/>
        <v>0</v>
      </c>
      <c r="I7957" s="24" cm="1">
        <f t="array" ref="I7957">IFERROR(IF($B7957=I$1, ($A7957+$C7957) - MAX(IF($B$2:$B7956=$B7957, $A$2:$A7956+$C$2:$C7956)), "")*24*60, "")</f>
        <v>0</v>
      </c>
      <c r="J7957" s="24" t="str" cm="1">
        <f t="array" ref="J7957">IFERROR(IF($B7957=J$1, ($A7957+$C7957) - MAX(IF($B$2:$B7956=$B7957, $A$2:$A7956+$C$2:$C7956)), "")*24*60, "")</f>
        <v/>
      </c>
      <c r="K7957" s="24" t="str" cm="1">
        <f t="array" ref="K7957">IFERROR(IF($B7957=K$1, ($A7957+$C7957) - MAX(IF($B$2:$B7956=$B7957, $A$2:$A7956+$C$2:$C7956)), "")*24*60, "")</f>
        <v/>
      </c>
      <c r="L7957" s="24" t="str" cm="1">
        <f t="array" ref="L7957">IFERROR(IF($B7957=L$1, ($A7957+$C7957) - MAX(IF($B$2:$B7956=$B7957, $A$2:$A7956+$C$2:$C7956)), "")*24*60, "")</f>
        <v/>
      </c>
      <c r="M7957" s="24" t="str" cm="1">
        <f t="array" ref="M7957">IFERROR(IF($B7957=M$1, ($A7957+$C7957) - MAX(IF($B$2:$B7956=$B7957, $A$2:$A7956+$C$2:$C7956)), "")*24*60, "")</f>
        <v/>
      </c>
      <c r="N7957" s="24" t="str" cm="1">
        <f t="array" ref="N7957">IFERROR(IF($B7957=N$1, ($A7957+$C7957) - MAX(IF($B$2:$B7956=$B7957, $A$2:$A7956+$C$2:$C7956)), "")*24*60, "")</f>
        <v/>
      </c>
      <c r="O7957" s="24" t="str" cm="1">
        <f t="array" ref="O7957">IFERROR(IF($B7957=O$1, ($A7957+$C7957) - MAX(IF($B$2:$B7956=$B7957, $A$2:$A7956+$C$2:$C7956)), "")*24*60, "")</f>
        <v/>
      </c>
      <c r="P7957" s="24" t="str" cm="1">
        <f t="array" ref="P7957">IFERROR(IF($B7957=P$1, ($A7957+$C7957) - MAX(IF($B$2:$B7956=$B7957, $A$2:$A7956+$C$2:$C7956)), "")*24*60, "")</f>
        <v/>
      </c>
      <c r="Q7957" s="24" t="str" cm="1">
        <f t="array" ref="Q7957">IFERROR(IF($B7957=Q$1, ($A7957+$C7957) - MAX(IF($B$2:$B7956=$B7957, $A$2:$A7956+$C$2:$C7956)), "")*24*60, "")</f>
        <v/>
      </c>
      <c r="R7957" s="24" t="str" cm="1">
        <f t="array" ref="R7957">IFERROR(IF($B7957=R$1, ($A7957+$C7957) - MAX(IF($B$2:$B7956=$B7957, $A$2:$A7956+$C$2:$C7956)), "")*24*60, "")</f>
        <v/>
      </c>
      <c r="S7957" s="24" t="str" cm="1">
        <f t="array" ref="S7957">IFERROR(IF($B7957=S$1, ($A7957+$C7957) - MAX(IF($B$2:$B7956=$B7957, $A$2:$A7956+$C$2:$C7956)), "")*24*60, "")</f>
        <v/>
      </c>
    </row>
    <row r="7958" spans="1:19" x14ac:dyDescent="0.2">
      <c r="A7958" s="12">
        <f t="shared" ref="A7958:C7958" si="1449">A7957</f>
        <v>46021</v>
      </c>
      <c r="B7958" s="5" t="str">
        <f t="shared" si="1449"/>
        <v>Northern Cardinal</v>
      </c>
      <c r="C7958" s="6">
        <f t="shared" si="1449"/>
        <v>0.7319444444444444</v>
      </c>
      <c r="D7958" s="5"/>
      <c r="E7958" s="5"/>
      <c r="F7958" s="5" t="s">
        <v>9</v>
      </c>
      <c r="G7958" s="15" t="s">
        <v>8</v>
      </c>
      <c r="H7958" s="24">
        <f t="shared" si="1407"/>
        <v>0</v>
      </c>
      <c r="I7958" s="24" cm="1">
        <f t="array" ref="I7958">IFERROR(IF($B7958=I$1, ($A7958+$C7958) - MAX(IF($B$2:$B7957=$B7958, $A$2:$A7957+$C$2:$C7957)), "")*24*60, "")</f>
        <v>0</v>
      </c>
      <c r="J7958" s="24" t="str" cm="1">
        <f t="array" ref="J7958">IFERROR(IF($B7958=J$1, ($A7958+$C7958) - MAX(IF($B$2:$B7957=$B7958, $A$2:$A7957+$C$2:$C7957)), "")*24*60, "")</f>
        <v/>
      </c>
      <c r="K7958" s="24" t="str" cm="1">
        <f t="array" ref="K7958">IFERROR(IF($B7958=K$1, ($A7958+$C7958) - MAX(IF($B$2:$B7957=$B7958, $A$2:$A7957+$C$2:$C7957)), "")*24*60, "")</f>
        <v/>
      </c>
      <c r="L7958" s="24" t="str" cm="1">
        <f t="array" ref="L7958">IFERROR(IF($B7958=L$1, ($A7958+$C7958) - MAX(IF($B$2:$B7957=$B7958, $A$2:$A7957+$C$2:$C7957)), "")*24*60, "")</f>
        <v/>
      </c>
      <c r="M7958" s="24" t="str" cm="1">
        <f t="array" ref="M7958">IFERROR(IF($B7958=M$1, ($A7958+$C7958) - MAX(IF($B$2:$B7957=$B7958, $A$2:$A7957+$C$2:$C7957)), "")*24*60, "")</f>
        <v/>
      </c>
      <c r="N7958" s="24" t="str" cm="1">
        <f t="array" ref="N7958">IFERROR(IF($B7958=N$1, ($A7958+$C7958) - MAX(IF($B$2:$B7957=$B7958, $A$2:$A7957+$C$2:$C7957)), "")*24*60, "")</f>
        <v/>
      </c>
      <c r="O7958" s="24" t="str" cm="1">
        <f t="array" ref="O7958">IFERROR(IF($B7958=O$1, ($A7958+$C7958) - MAX(IF($B$2:$B7957=$B7958, $A$2:$A7957+$C$2:$C7957)), "")*24*60, "")</f>
        <v/>
      </c>
      <c r="P7958" s="24" t="str" cm="1">
        <f t="array" ref="P7958">IFERROR(IF($B7958=P$1, ($A7958+$C7958) - MAX(IF($B$2:$B7957=$B7958, $A$2:$A7957+$C$2:$C7957)), "")*24*60, "")</f>
        <v/>
      </c>
      <c r="Q7958" s="24" t="str" cm="1">
        <f t="array" ref="Q7958">IFERROR(IF($B7958=Q$1, ($A7958+$C7958) - MAX(IF($B$2:$B7957=$B7958, $A$2:$A7957+$C$2:$C7957)), "")*24*60, "")</f>
        <v/>
      </c>
      <c r="R7958" s="24" t="str" cm="1">
        <f t="array" ref="R7958">IFERROR(IF($B7958=R$1, ($A7958+$C7958) - MAX(IF($B$2:$B7957=$B7958, $A$2:$A7957+$C$2:$C7957)), "")*24*60, "")</f>
        <v/>
      </c>
      <c r="S7958" s="24" t="str" cm="1">
        <f t="array" ref="S7958">IFERROR(IF($B7958=S$1, ($A7958+$C7958) - MAX(IF($B$2:$B7957=$B7958, $A$2:$A7957+$C$2:$C7957)), "")*24*60, "")</f>
        <v/>
      </c>
    </row>
    <row r="7959" spans="1:19" x14ac:dyDescent="0.2">
      <c r="A7959" s="12">
        <f t="shared" ref="A7959:C7959" si="1450">A7958</f>
        <v>46021</v>
      </c>
      <c r="B7959" s="5" t="str">
        <f t="shared" si="1450"/>
        <v>Northern Cardinal</v>
      </c>
      <c r="C7959" s="6">
        <f t="shared" si="1450"/>
        <v>0.7319444444444444</v>
      </c>
      <c r="D7959" s="5"/>
      <c r="E7959" s="5"/>
      <c r="F7959" s="5" t="s">
        <v>9</v>
      </c>
      <c r="G7959" s="15" t="s">
        <v>8</v>
      </c>
      <c r="H7959" s="24">
        <f t="shared" si="1407"/>
        <v>0</v>
      </c>
      <c r="I7959" s="24" cm="1">
        <f t="array" ref="I7959">IFERROR(IF($B7959=I$1, ($A7959+$C7959) - MAX(IF($B$2:$B7958=$B7959, $A$2:$A7958+$C$2:$C7958)), "")*24*60, "")</f>
        <v>0</v>
      </c>
      <c r="J7959" s="24" t="str" cm="1">
        <f t="array" ref="J7959">IFERROR(IF($B7959=J$1, ($A7959+$C7959) - MAX(IF($B$2:$B7958=$B7959, $A$2:$A7958+$C$2:$C7958)), "")*24*60, "")</f>
        <v/>
      </c>
      <c r="K7959" s="24" t="str" cm="1">
        <f t="array" ref="K7959">IFERROR(IF($B7959=K$1, ($A7959+$C7959) - MAX(IF($B$2:$B7958=$B7959, $A$2:$A7958+$C$2:$C7958)), "")*24*60, "")</f>
        <v/>
      </c>
      <c r="L7959" s="24" t="str" cm="1">
        <f t="array" ref="L7959">IFERROR(IF($B7959=L$1, ($A7959+$C7959) - MAX(IF($B$2:$B7958=$B7959, $A$2:$A7958+$C$2:$C7958)), "")*24*60, "")</f>
        <v/>
      </c>
      <c r="M7959" s="24" t="str" cm="1">
        <f t="array" ref="M7959">IFERROR(IF($B7959=M$1, ($A7959+$C7959) - MAX(IF($B$2:$B7958=$B7959, $A$2:$A7958+$C$2:$C7958)), "")*24*60, "")</f>
        <v/>
      </c>
      <c r="N7959" s="24" t="str" cm="1">
        <f t="array" ref="N7959">IFERROR(IF($B7959=N$1, ($A7959+$C7959) - MAX(IF($B$2:$B7958=$B7959, $A$2:$A7958+$C$2:$C7958)), "")*24*60, "")</f>
        <v/>
      </c>
      <c r="O7959" s="24" t="str" cm="1">
        <f t="array" ref="O7959">IFERROR(IF($B7959=O$1, ($A7959+$C7959) - MAX(IF($B$2:$B7958=$B7959, $A$2:$A7958+$C$2:$C7958)), "")*24*60, "")</f>
        <v/>
      </c>
      <c r="P7959" s="24" t="str" cm="1">
        <f t="array" ref="P7959">IFERROR(IF($B7959=P$1, ($A7959+$C7959) - MAX(IF($B$2:$B7958=$B7959, $A$2:$A7958+$C$2:$C7958)), "")*24*60, "")</f>
        <v/>
      </c>
      <c r="Q7959" s="24" t="str" cm="1">
        <f t="array" ref="Q7959">IFERROR(IF($B7959=Q$1, ($A7959+$C7959) - MAX(IF($B$2:$B7958=$B7959, $A$2:$A7958+$C$2:$C7958)), "")*24*60, "")</f>
        <v/>
      </c>
      <c r="R7959" s="24" t="str" cm="1">
        <f t="array" ref="R7959">IFERROR(IF($B7959=R$1, ($A7959+$C7959) - MAX(IF($B$2:$B7958=$B7959, $A$2:$A7958+$C$2:$C7958)), "")*24*60, "")</f>
        <v/>
      </c>
      <c r="S7959" s="24" t="str" cm="1">
        <f t="array" ref="S7959">IFERROR(IF($B7959=S$1, ($A7959+$C7959) - MAX(IF($B$2:$B7958=$B7959, $A$2:$A7958+$C$2:$C7958)), "")*24*60, "")</f>
        <v/>
      </c>
    </row>
    <row r="7960" spans="1:19" x14ac:dyDescent="0.2">
      <c r="A7960" s="12">
        <f t="shared" ref="A7960:C7960" si="1451">A7959</f>
        <v>46021</v>
      </c>
      <c r="B7960" s="5" t="str">
        <f t="shared" si="1451"/>
        <v>Northern Cardinal</v>
      </c>
      <c r="C7960" s="6">
        <f t="shared" si="1451"/>
        <v>0.7319444444444444</v>
      </c>
      <c r="D7960" s="5"/>
      <c r="E7960" s="5"/>
      <c r="F7960" s="5" t="s">
        <v>9</v>
      </c>
      <c r="G7960" s="15" t="s">
        <v>8</v>
      </c>
      <c r="H7960" s="24">
        <f t="shared" si="1407"/>
        <v>0</v>
      </c>
      <c r="I7960" s="24" cm="1">
        <f t="array" ref="I7960">IFERROR(IF($B7960=I$1, ($A7960+$C7960) - MAX(IF($B$2:$B7959=$B7960, $A$2:$A7959+$C$2:$C7959)), "")*24*60, "")</f>
        <v>0</v>
      </c>
      <c r="J7960" s="24" t="str" cm="1">
        <f t="array" ref="J7960">IFERROR(IF($B7960=J$1, ($A7960+$C7960) - MAX(IF($B$2:$B7959=$B7960, $A$2:$A7959+$C$2:$C7959)), "")*24*60, "")</f>
        <v/>
      </c>
      <c r="K7960" s="24" t="str" cm="1">
        <f t="array" ref="K7960">IFERROR(IF($B7960=K$1, ($A7960+$C7960) - MAX(IF($B$2:$B7959=$B7960, $A$2:$A7959+$C$2:$C7959)), "")*24*60, "")</f>
        <v/>
      </c>
      <c r="L7960" s="24" t="str" cm="1">
        <f t="array" ref="L7960">IFERROR(IF($B7960=L$1, ($A7960+$C7960) - MAX(IF($B$2:$B7959=$B7960, $A$2:$A7959+$C$2:$C7959)), "")*24*60, "")</f>
        <v/>
      </c>
      <c r="M7960" s="24" t="str" cm="1">
        <f t="array" ref="M7960">IFERROR(IF($B7960=M$1, ($A7960+$C7960) - MAX(IF($B$2:$B7959=$B7960, $A$2:$A7959+$C$2:$C7959)), "")*24*60, "")</f>
        <v/>
      </c>
      <c r="N7960" s="24" t="str" cm="1">
        <f t="array" ref="N7960">IFERROR(IF($B7960=N$1, ($A7960+$C7960) - MAX(IF($B$2:$B7959=$B7960, $A$2:$A7959+$C$2:$C7959)), "")*24*60, "")</f>
        <v/>
      </c>
      <c r="O7960" s="24" t="str" cm="1">
        <f t="array" ref="O7960">IFERROR(IF($B7960=O$1, ($A7960+$C7960) - MAX(IF($B$2:$B7959=$B7960, $A$2:$A7959+$C$2:$C7959)), "")*24*60, "")</f>
        <v/>
      </c>
      <c r="P7960" s="24" t="str" cm="1">
        <f t="array" ref="P7960">IFERROR(IF($B7960=P$1, ($A7960+$C7960) - MAX(IF($B$2:$B7959=$B7960, $A$2:$A7959+$C$2:$C7959)), "")*24*60, "")</f>
        <v/>
      </c>
      <c r="Q7960" s="24" t="str" cm="1">
        <f t="array" ref="Q7960">IFERROR(IF($B7960=Q$1, ($A7960+$C7960) - MAX(IF($B$2:$B7959=$B7960, $A$2:$A7959+$C$2:$C7959)), "")*24*60, "")</f>
        <v/>
      </c>
      <c r="R7960" s="24" t="str" cm="1">
        <f t="array" ref="R7960">IFERROR(IF($B7960=R$1, ($A7960+$C7960) - MAX(IF($B$2:$B7959=$B7960, $A$2:$A7959+$C$2:$C7959)), "")*24*60, "")</f>
        <v/>
      </c>
      <c r="S7960" s="24" t="str" cm="1">
        <f t="array" ref="S7960">IFERROR(IF($B7960=S$1, ($A7960+$C7960) - MAX(IF($B$2:$B7959=$B7960, $A$2:$A7959+$C$2:$C7959)), "")*24*60, "")</f>
        <v/>
      </c>
    </row>
    <row r="7961" spans="1:19" x14ac:dyDescent="0.2">
      <c r="A7961" s="12">
        <f t="shared" ref="A7961:C7961" si="1452">A7960</f>
        <v>46021</v>
      </c>
      <c r="B7961" s="5" t="str">
        <f t="shared" si="1452"/>
        <v>Northern Cardinal</v>
      </c>
      <c r="C7961" s="6">
        <f t="shared" si="1452"/>
        <v>0.7319444444444444</v>
      </c>
      <c r="D7961" s="5"/>
      <c r="E7961" s="5"/>
      <c r="F7961" s="5" t="s">
        <v>9</v>
      </c>
      <c r="G7961" s="15" t="s">
        <v>8</v>
      </c>
      <c r="H7961" s="24">
        <f t="shared" si="1407"/>
        <v>0</v>
      </c>
      <c r="I7961" s="24" cm="1">
        <f t="array" ref="I7961">IFERROR(IF($B7961=I$1, ($A7961+$C7961) - MAX(IF($B$2:$B7960=$B7961, $A$2:$A7960+$C$2:$C7960)), "")*24*60, "")</f>
        <v>0</v>
      </c>
      <c r="J7961" s="24" t="str" cm="1">
        <f t="array" ref="J7961">IFERROR(IF($B7961=J$1, ($A7961+$C7961) - MAX(IF($B$2:$B7960=$B7961, $A$2:$A7960+$C$2:$C7960)), "")*24*60, "")</f>
        <v/>
      </c>
      <c r="K7961" s="24" t="str" cm="1">
        <f t="array" ref="K7961">IFERROR(IF($B7961=K$1, ($A7961+$C7961) - MAX(IF($B$2:$B7960=$B7961, $A$2:$A7960+$C$2:$C7960)), "")*24*60, "")</f>
        <v/>
      </c>
      <c r="L7961" s="24" t="str" cm="1">
        <f t="array" ref="L7961">IFERROR(IF($B7961=L$1, ($A7961+$C7961) - MAX(IF($B$2:$B7960=$B7961, $A$2:$A7960+$C$2:$C7960)), "")*24*60, "")</f>
        <v/>
      </c>
      <c r="M7961" s="24" t="str" cm="1">
        <f t="array" ref="M7961">IFERROR(IF($B7961=M$1, ($A7961+$C7961) - MAX(IF($B$2:$B7960=$B7961, $A$2:$A7960+$C$2:$C7960)), "")*24*60, "")</f>
        <v/>
      </c>
      <c r="N7961" s="24" t="str" cm="1">
        <f t="array" ref="N7961">IFERROR(IF($B7961=N$1, ($A7961+$C7961) - MAX(IF($B$2:$B7960=$B7961, $A$2:$A7960+$C$2:$C7960)), "")*24*60, "")</f>
        <v/>
      </c>
      <c r="O7961" s="24" t="str" cm="1">
        <f t="array" ref="O7961">IFERROR(IF($B7961=O$1, ($A7961+$C7961) - MAX(IF($B$2:$B7960=$B7961, $A$2:$A7960+$C$2:$C7960)), "")*24*60, "")</f>
        <v/>
      </c>
      <c r="P7961" s="24" t="str" cm="1">
        <f t="array" ref="P7961">IFERROR(IF($B7961=P$1, ($A7961+$C7961) - MAX(IF($B$2:$B7960=$B7961, $A$2:$A7960+$C$2:$C7960)), "")*24*60, "")</f>
        <v/>
      </c>
      <c r="Q7961" s="24" t="str" cm="1">
        <f t="array" ref="Q7961">IFERROR(IF($B7961=Q$1, ($A7961+$C7961) - MAX(IF($B$2:$B7960=$B7961, $A$2:$A7960+$C$2:$C7960)), "")*24*60, "")</f>
        <v/>
      </c>
      <c r="R7961" s="24" t="str" cm="1">
        <f t="array" ref="R7961">IFERROR(IF($B7961=R$1, ($A7961+$C7961) - MAX(IF($B$2:$B7960=$B7961, $A$2:$A7960+$C$2:$C7960)), "")*24*60, "")</f>
        <v/>
      </c>
      <c r="S7961" s="24" t="str" cm="1">
        <f t="array" ref="S7961">IFERROR(IF($B7961=S$1, ($A7961+$C7961) - MAX(IF($B$2:$B7960=$B7961, $A$2:$A7960+$C$2:$C7960)), "")*24*60, "")</f>
        <v/>
      </c>
    </row>
    <row r="7962" spans="1:19" x14ac:dyDescent="0.2">
      <c r="A7962" s="12">
        <f t="shared" ref="A7962:C7962" si="1453">A7961</f>
        <v>46021</v>
      </c>
      <c r="B7962" s="5" t="str">
        <f t="shared" si="1453"/>
        <v>Northern Cardinal</v>
      </c>
      <c r="C7962" s="6">
        <f t="shared" si="1453"/>
        <v>0.7319444444444444</v>
      </c>
      <c r="D7962" s="5"/>
      <c r="E7962" s="5"/>
      <c r="F7962" s="5" t="s">
        <v>9</v>
      </c>
      <c r="G7962" s="15" t="s">
        <v>8</v>
      </c>
      <c r="H7962" s="24">
        <f t="shared" si="1407"/>
        <v>0</v>
      </c>
      <c r="I7962" s="24" cm="1">
        <f t="array" ref="I7962">IFERROR(IF($B7962=I$1, ($A7962+$C7962) - MAX(IF($B$2:$B7961=$B7962, $A$2:$A7961+$C$2:$C7961)), "")*24*60, "")</f>
        <v>0</v>
      </c>
      <c r="J7962" s="24" t="str" cm="1">
        <f t="array" ref="J7962">IFERROR(IF($B7962=J$1, ($A7962+$C7962) - MAX(IF($B$2:$B7961=$B7962, $A$2:$A7961+$C$2:$C7961)), "")*24*60, "")</f>
        <v/>
      </c>
      <c r="K7962" s="24" t="str" cm="1">
        <f t="array" ref="K7962">IFERROR(IF($B7962=K$1, ($A7962+$C7962) - MAX(IF($B$2:$B7961=$B7962, $A$2:$A7961+$C$2:$C7961)), "")*24*60, "")</f>
        <v/>
      </c>
      <c r="L7962" s="24" t="str" cm="1">
        <f t="array" ref="L7962">IFERROR(IF($B7962=L$1, ($A7962+$C7962) - MAX(IF($B$2:$B7961=$B7962, $A$2:$A7961+$C$2:$C7961)), "")*24*60, "")</f>
        <v/>
      </c>
      <c r="M7962" s="24" t="str" cm="1">
        <f t="array" ref="M7962">IFERROR(IF($B7962=M$1, ($A7962+$C7962) - MAX(IF($B$2:$B7961=$B7962, $A$2:$A7961+$C$2:$C7961)), "")*24*60, "")</f>
        <v/>
      </c>
      <c r="N7962" s="24" t="str" cm="1">
        <f t="array" ref="N7962">IFERROR(IF($B7962=N$1, ($A7962+$C7962) - MAX(IF($B$2:$B7961=$B7962, $A$2:$A7961+$C$2:$C7961)), "")*24*60, "")</f>
        <v/>
      </c>
      <c r="O7962" s="24" t="str" cm="1">
        <f t="array" ref="O7962">IFERROR(IF($B7962=O$1, ($A7962+$C7962) - MAX(IF($B$2:$B7961=$B7962, $A$2:$A7961+$C$2:$C7961)), "")*24*60, "")</f>
        <v/>
      </c>
      <c r="P7962" s="24" t="str" cm="1">
        <f t="array" ref="P7962">IFERROR(IF($B7962=P$1, ($A7962+$C7962) - MAX(IF($B$2:$B7961=$B7962, $A$2:$A7961+$C$2:$C7961)), "")*24*60, "")</f>
        <v/>
      </c>
      <c r="Q7962" s="24" t="str" cm="1">
        <f t="array" ref="Q7962">IFERROR(IF($B7962=Q$1, ($A7962+$C7962) - MAX(IF($B$2:$B7961=$B7962, $A$2:$A7961+$C$2:$C7961)), "")*24*60, "")</f>
        <v/>
      </c>
      <c r="R7962" s="24" t="str" cm="1">
        <f t="array" ref="R7962">IFERROR(IF($B7962=R$1, ($A7962+$C7962) - MAX(IF($B$2:$B7961=$B7962, $A$2:$A7961+$C$2:$C7961)), "")*24*60, "")</f>
        <v/>
      </c>
      <c r="S7962" s="24" t="str" cm="1">
        <f t="array" ref="S7962">IFERROR(IF($B7962=S$1, ($A7962+$C7962) - MAX(IF($B$2:$B7961=$B7962, $A$2:$A7961+$C$2:$C7961)), "")*24*60, "")</f>
        <v/>
      </c>
    </row>
    <row r="7963" spans="1:19" x14ac:dyDescent="0.2">
      <c r="A7963" s="12">
        <f t="shared" ref="A7963:C7963" si="1454">A7962</f>
        <v>46021</v>
      </c>
      <c r="B7963" s="5" t="str">
        <f t="shared" si="1454"/>
        <v>Northern Cardinal</v>
      </c>
      <c r="C7963" s="6">
        <f t="shared" si="1454"/>
        <v>0.7319444444444444</v>
      </c>
      <c r="D7963" s="5"/>
      <c r="E7963" s="5"/>
      <c r="F7963" s="5" t="s">
        <v>9</v>
      </c>
      <c r="G7963" s="15" t="s">
        <v>8</v>
      </c>
      <c r="H7963" s="24">
        <f t="shared" si="1407"/>
        <v>0</v>
      </c>
      <c r="I7963" s="24" cm="1">
        <f t="array" ref="I7963">IFERROR(IF($B7963=I$1, ($A7963+$C7963) - MAX(IF($B$2:$B7962=$B7963, $A$2:$A7962+$C$2:$C7962)), "")*24*60, "")</f>
        <v>0</v>
      </c>
      <c r="J7963" s="24" t="str" cm="1">
        <f t="array" ref="J7963">IFERROR(IF($B7963=J$1, ($A7963+$C7963) - MAX(IF($B$2:$B7962=$B7963, $A$2:$A7962+$C$2:$C7962)), "")*24*60, "")</f>
        <v/>
      </c>
      <c r="K7963" s="24" t="str" cm="1">
        <f t="array" ref="K7963">IFERROR(IF($B7963=K$1, ($A7963+$C7963) - MAX(IF($B$2:$B7962=$B7963, $A$2:$A7962+$C$2:$C7962)), "")*24*60, "")</f>
        <v/>
      </c>
      <c r="L7963" s="24" t="str" cm="1">
        <f t="array" ref="L7963">IFERROR(IF($B7963=L$1, ($A7963+$C7963) - MAX(IF($B$2:$B7962=$B7963, $A$2:$A7962+$C$2:$C7962)), "")*24*60, "")</f>
        <v/>
      </c>
      <c r="M7963" s="24" t="str" cm="1">
        <f t="array" ref="M7963">IFERROR(IF($B7963=M$1, ($A7963+$C7963) - MAX(IF($B$2:$B7962=$B7963, $A$2:$A7962+$C$2:$C7962)), "")*24*60, "")</f>
        <v/>
      </c>
      <c r="N7963" s="24" t="str" cm="1">
        <f t="array" ref="N7963">IFERROR(IF($B7963=N$1, ($A7963+$C7963) - MAX(IF($B$2:$B7962=$B7963, $A$2:$A7962+$C$2:$C7962)), "")*24*60, "")</f>
        <v/>
      </c>
      <c r="O7963" s="24" t="str" cm="1">
        <f t="array" ref="O7963">IFERROR(IF($B7963=O$1, ($A7963+$C7963) - MAX(IF($B$2:$B7962=$B7963, $A$2:$A7962+$C$2:$C7962)), "")*24*60, "")</f>
        <v/>
      </c>
      <c r="P7963" s="24" t="str" cm="1">
        <f t="array" ref="P7963">IFERROR(IF($B7963=P$1, ($A7963+$C7963) - MAX(IF($B$2:$B7962=$B7963, $A$2:$A7962+$C$2:$C7962)), "")*24*60, "")</f>
        <v/>
      </c>
      <c r="Q7963" s="24" t="str" cm="1">
        <f t="array" ref="Q7963">IFERROR(IF($B7963=Q$1, ($A7963+$C7963) - MAX(IF($B$2:$B7962=$B7963, $A$2:$A7962+$C$2:$C7962)), "")*24*60, "")</f>
        <v/>
      </c>
      <c r="R7963" s="24" t="str" cm="1">
        <f t="array" ref="R7963">IFERROR(IF($B7963=R$1, ($A7963+$C7963) - MAX(IF($B$2:$B7962=$B7963, $A$2:$A7962+$C$2:$C7962)), "")*24*60, "")</f>
        <v/>
      </c>
      <c r="S7963" s="24" t="str" cm="1">
        <f t="array" ref="S7963">IFERROR(IF($B7963=S$1, ($A7963+$C7963) - MAX(IF($B$2:$B7962=$B7963, $A$2:$A7962+$C$2:$C7962)), "")*24*60, "")</f>
        <v/>
      </c>
    </row>
    <row r="7964" spans="1:19" x14ac:dyDescent="0.2">
      <c r="A7964" s="12">
        <f t="shared" ref="A7964:C7964" si="1455">A7963</f>
        <v>46021</v>
      </c>
      <c r="B7964" s="5" t="str">
        <f t="shared" si="1455"/>
        <v>Northern Cardinal</v>
      </c>
      <c r="C7964" s="6">
        <f t="shared" si="1455"/>
        <v>0.7319444444444444</v>
      </c>
      <c r="D7964" s="5"/>
      <c r="E7964" s="5"/>
      <c r="F7964" s="5" t="s">
        <v>9</v>
      </c>
      <c r="G7964" s="15" t="s">
        <v>8</v>
      </c>
      <c r="H7964" s="24">
        <f t="shared" si="1407"/>
        <v>0</v>
      </c>
      <c r="I7964" s="24" cm="1">
        <f t="array" ref="I7964">IFERROR(IF($B7964=I$1, ($A7964+$C7964) - MAX(IF($B$2:$B7963=$B7964, $A$2:$A7963+$C$2:$C7963)), "")*24*60, "")</f>
        <v>0</v>
      </c>
      <c r="J7964" s="24" t="str" cm="1">
        <f t="array" ref="J7964">IFERROR(IF($B7964=J$1, ($A7964+$C7964) - MAX(IF($B$2:$B7963=$B7964, $A$2:$A7963+$C$2:$C7963)), "")*24*60, "")</f>
        <v/>
      </c>
      <c r="K7964" s="24" t="str" cm="1">
        <f t="array" ref="K7964">IFERROR(IF($B7964=K$1, ($A7964+$C7964) - MAX(IF($B$2:$B7963=$B7964, $A$2:$A7963+$C$2:$C7963)), "")*24*60, "")</f>
        <v/>
      </c>
      <c r="L7964" s="24" t="str" cm="1">
        <f t="array" ref="L7964">IFERROR(IF($B7964=L$1, ($A7964+$C7964) - MAX(IF($B$2:$B7963=$B7964, $A$2:$A7963+$C$2:$C7963)), "")*24*60, "")</f>
        <v/>
      </c>
      <c r="M7964" s="24" t="str" cm="1">
        <f t="array" ref="M7964">IFERROR(IF($B7964=M$1, ($A7964+$C7964) - MAX(IF($B$2:$B7963=$B7964, $A$2:$A7963+$C$2:$C7963)), "")*24*60, "")</f>
        <v/>
      </c>
      <c r="N7964" s="24" t="str" cm="1">
        <f t="array" ref="N7964">IFERROR(IF($B7964=N$1, ($A7964+$C7964) - MAX(IF($B$2:$B7963=$B7964, $A$2:$A7963+$C$2:$C7963)), "")*24*60, "")</f>
        <v/>
      </c>
      <c r="O7964" s="24" t="str" cm="1">
        <f t="array" ref="O7964">IFERROR(IF($B7964=O$1, ($A7964+$C7964) - MAX(IF($B$2:$B7963=$B7964, $A$2:$A7963+$C$2:$C7963)), "")*24*60, "")</f>
        <v/>
      </c>
      <c r="P7964" s="24" t="str" cm="1">
        <f t="array" ref="P7964">IFERROR(IF($B7964=P$1, ($A7964+$C7964) - MAX(IF($B$2:$B7963=$B7964, $A$2:$A7963+$C$2:$C7963)), "")*24*60, "")</f>
        <v/>
      </c>
      <c r="Q7964" s="24" t="str" cm="1">
        <f t="array" ref="Q7964">IFERROR(IF($B7964=Q$1, ($A7964+$C7964) - MAX(IF($B$2:$B7963=$B7964, $A$2:$A7963+$C$2:$C7963)), "")*24*60, "")</f>
        <v/>
      </c>
      <c r="R7964" s="24" t="str" cm="1">
        <f t="array" ref="R7964">IFERROR(IF($B7964=R$1, ($A7964+$C7964) - MAX(IF($B$2:$B7963=$B7964, $A$2:$A7963+$C$2:$C7963)), "")*24*60, "")</f>
        <v/>
      </c>
      <c r="S7964" s="24" t="str" cm="1">
        <f t="array" ref="S7964">IFERROR(IF($B7964=S$1, ($A7964+$C7964) - MAX(IF($B$2:$B7963=$B7964, $A$2:$A7963+$C$2:$C7963)), "")*24*60, "")</f>
        <v/>
      </c>
    </row>
    <row r="7965" spans="1:19" x14ac:dyDescent="0.2">
      <c r="A7965" s="12">
        <f t="shared" ref="A7965:C7965" si="1456">A7964</f>
        <v>46021</v>
      </c>
      <c r="B7965" s="5" t="str">
        <f t="shared" si="1456"/>
        <v>Northern Cardinal</v>
      </c>
      <c r="C7965" s="6">
        <f t="shared" si="1456"/>
        <v>0.7319444444444444</v>
      </c>
      <c r="D7965" s="5"/>
      <c r="E7965" s="5"/>
      <c r="F7965" s="5" t="s">
        <v>9</v>
      </c>
      <c r="G7965" s="15" t="s">
        <v>8</v>
      </c>
      <c r="H7965" s="24">
        <f t="shared" si="1407"/>
        <v>0</v>
      </c>
      <c r="I7965" s="24" cm="1">
        <f t="array" ref="I7965">IFERROR(IF($B7965=I$1, ($A7965+$C7965) - MAX(IF($B$2:$B7964=$B7965, $A$2:$A7964+$C$2:$C7964)), "")*24*60, "")</f>
        <v>0</v>
      </c>
      <c r="J7965" s="24" t="str" cm="1">
        <f t="array" ref="J7965">IFERROR(IF($B7965=J$1, ($A7965+$C7965) - MAX(IF($B$2:$B7964=$B7965, $A$2:$A7964+$C$2:$C7964)), "")*24*60, "")</f>
        <v/>
      </c>
      <c r="K7965" s="24" t="str" cm="1">
        <f t="array" ref="K7965">IFERROR(IF($B7965=K$1, ($A7965+$C7965) - MAX(IF($B$2:$B7964=$B7965, $A$2:$A7964+$C$2:$C7964)), "")*24*60, "")</f>
        <v/>
      </c>
      <c r="L7965" s="24" t="str" cm="1">
        <f t="array" ref="L7965">IFERROR(IF($B7965=L$1, ($A7965+$C7965) - MAX(IF($B$2:$B7964=$B7965, $A$2:$A7964+$C$2:$C7964)), "")*24*60, "")</f>
        <v/>
      </c>
      <c r="M7965" s="24" t="str" cm="1">
        <f t="array" ref="M7965">IFERROR(IF($B7965=M$1, ($A7965+$C7965) - MAX(IF($B$2:$B7964=$B7965, $A$2:$A7964+$C$2:$C7964)), "")*24*60, "")</f>
        <v/>
      </c>
      <c r="N7965" s="24" t="str" cm="1">
        <f t="array" ref="N7965">IFERROR(IF($B7965=N$1, ($A7965+$C7965) - MAX(IF($B$2:$B7964=$B7965, $A$2:$A7964+$C$2:$C7964)), "")*24*60, "")</f>
        <v/>
      </c>
      <c r="O7965" s="24" t="str" cm="1">
        <f t="array" ref="O7965">IFERROR(IF($B7965=O$1, ($A7965+$C7965) - MAX(IF($B$2:$B7964=$B7965, $A$2:$A7964+$C$2:$C7964)), "")*24*60, "")</f>
        <v/>
      </c>
      <c r="P7965" s="24" t="str" cm="1">
        <f t="array" ref="P7965">IFERROR(IF($B7965=P$1, ($A7965+$C7965) - MAX(IF($B$2:$B7964=$B7965, $A$2:$A7964+$C$2:$C7964)), "")*24*60, "")</f>
        <v/>
      </c>
      <c r="Q7965" s="24" t="str" cm="1">
        <f t="array" ref="Q7965">IFERROR(IF($B7965=Q$1, ($A7965+$C7965) - MAX(IF($B$2:$B7964=$B7965, $A$2:$A7964+$C$2:$C7964)), "")*24*60, "")</f>
        <v/>
      </c>
      <c r="R7965" s="24" t="str" cm="1">
        <f t="array" ref="R7965">IFERROR(IF($B7965=R$1, ($A7965+$C7965) - MAX(IF($B$2:$B7964=$B7965, $A$2:$A7964+$C$2:$C7964)), "")*24*60, "")</f>
        <v/>
      </c>
      <c r="S7965" s="24" t="str" cm="1">
        <f t="array" ref="S7965">IFERROR(IF($B7965=S$1, ($A7965+$C7965) - MAX(IF($B$2:$B7964=$B7965, $A$2:$A7964+$C$2:$C7964)), "")*24*60, "")</f>
        <v/>
      </c>
    </row>
    <row r="7966" spans="1:19" x14ac:dyDescent="0.2">
      <c r="A7966" s="12">
        <f t="shared" ref="A7966:C7966" si="1457">A7965</f>
        <v>46021</v>
      </c>
      <c r="B7966" s="5" t="str">
        <f t="shared" si="1457"/>
        <v>Northern Cardinal</v>
      </c>
      <c r="C7966" s="6">
        <f t="shared" si="1457"/>
        <v>0.7319444444444444</v>
      </c>
      <c r="D7966" s="5"/>
      <c r="E7966" s="5"/>
      <c r="F7966" s="5" t="s">
        <v>9</v>
      </c>
      <c r="G7966" s="15" t="s">
        <v>8</v>
      </c>
      <c r="H7966" s="24">
        <f t="shared" si="1407"/>
        <v>0</v>
      </c>
      <c r="I7966" s="24" cm="1">
        <f t="array" ref="I7966">IFERROR(IF($B7966=I$1, ($A7966+$C7966) - MAX(IF($B$2:$B7965=$B7966, $A$2:$A7965+$C$2:$C7965)), "")*24*60, "")</f>
        <v>0</v>
      </c>
      <c r="J7966" s="24" t="str" cm="1">
        <f t="array" ref="J7966">IFERROR(IF($B7966=J$1, ($A7966+$C7966) - MAX(IF($B$2:$B7965=$B7966, $A$2:$A7965+$C$2:$C7965)), "")*24*60, "")</f>
        <v/>
      </c>
      <c r="K7966" s="24" t="str" cm="1">
        <f t="array" ref="K7966">IFERROR(IF($B7966=K$1, ($A7966+$C7966) - MAX(IF($B$2:$B7965=$B7966, $A$2:$A7965+$C$2:$C7965)), "")*24*60, "")</f>
        <v/>
      </c>
      <c r="L7966" s="24" t="str" cm="1">
        <f t="array" ref="L7966">IFERROR(IF($B7966=L$1, ($A7966+$C7966) - MAX(IF($B$2:$B7965=$B7966, $A$2:$A7965+$C$2:$C7965)), "")*24*60, "")</f>
        <v/>
      </c>
      <c r="M7966" s="24" t="str" cm="1">
        <f t="array" ref="M7966">IFERROR(IF($B7966=M$1, ($A7966+$C7966) - MAX(IF($B$2:$B7965=$B7966, $A$2:$A7965+$C$2:$C7965)), "")*24*60, "")</f>
        <v/>
      </c>
      <c r="N7966" s="24" t="str" cm="1">
        <f t="array" ref="N7966">IFERROR(IF($B7966=N$1, ($A7966+$C7966) - MAX(IF($B$2:$B7965=$B7966, $A$2:$A7965+$C$2:$C7965)), "")*24*60, "")</f>
        <v/>
      </c>
      <c r="O7966" s="24" t="str" cm="1">
        <f t="array" ref="O7966">IFERROR(IF($B7966=O$1, ($A7966+$C7966) - MAX(IF($B$2:$B7965=$B7966, $A$2:$A7965+$C$2:$C7965)), "")*24*60, "")</f>
        <v/>
      </c>
      <c r="P7966" s="24" t="str" cm="1">
        <f t="array" ref="P7966">IFERROR(IF($B7966=P$1, ($A7966+$C7966) - MAX(IF($B$2:$B7965=$B7966, $A$2:$A7965+$C$2:$C7965)), "")*24*60, "")</f>
        <v/>
      </c>
      <c r="Q7966" s="24" t="str" cm="1">
        <f t="array" ref="Q7966">IFERROR(IF($B7966=Q$1, ($A7966+$C7966) - MAX(IF($B$2:$B7965=$B7966, $A$2:$A7965+$C$2:$C7965)), "")*24*60, "")</f>
        <v/>
      </c>
      <c r="R7966" s="24" t="str" cm="1">
        <f t="array" ref="R7966">IFERROR(IF($B7966=R$1, ($A7966+$C7966) - MAX(IF($B$2:$B7965=$B7966, $A$2:$A7965+$C$2:$C7965)), "")*24*60, "")</f>
        <v/>
      </c>
      <c r="S7966" s="24" t="str" cm="1">
        <f t="array" ref="S7966">IFERROR(IF($B7966=S$1, ($A7966+$C7966) - MAX(IF($B$2:$B7965=$B7966, $A$2:$A7965+$C$2:$C7965)), "")*24*60, "")</f>
        <v/>
      </c>
    </row>
    <row r="7967" spans="1:19" x14ac:dyDescent="0.2">
      <c r="A7967" s="12">
        <f t="shared" ref="A7967:C7967" si="1458">A7966</f>
        <v>46021</v>
      </c>
      <c r="B7967" s="5" t="str">
        <f t="shared" si="1458"/>
        <v>Northern Cardinal</v>
      </c>
      <c r="C7967" s="6">
        <f t="shared" si="1458"/>
        <v>0.7319444444444444</v>
      </c>
      <c r="D7967" s="5"/>
      <c r="E7967" s="5"/>
      <c r="F7967" s="5" t="s">
        <v>9</v>
      </c>
      <c r="G7967" s="15" t="s">
        <v>8</v>
      </c>
      <c r="H7967" s="24">
        <f t="shared" si="1407"/>
        <v>0</v>
      </c>
      <c r="I7967" s="24" cm="1">
        <f t="array" ref="I7967">IFERROR(IF($B7967=I$1, ($A7967+$C7967) - MAX(IF($B$2:$B7966=$B7967, $A$2:$A7966+$C$2:$C7966)), "")*24*60, "")</f>
        <v>0</v>
      </c>
      <c r="J7967" s="24" t="str" cm="1">
        <f t="array" ref="J7967">IFERROR(IF($B7967=J$1, ($A7967+$C7967) - MAX(IF($B$2:$B7966=$B7967, $A$2:$A7966+$C$2:$C7966)), "")*24*60, "")</f>
        <v/>
      </c>
      <c r="K7967" s="24" t="str" cm="1">
        <f t="array" ref="K7967">IFERROR(IF($B7967=K$1, ($A7967+$C7967) - MAX(IF($B$2:$B7966=$B7967, $A$2:$A7966+$C$2:$C7966)), "")*24*60, "")</f>
        <v/>
      </c>
      <c r="L7967" s="24" t="str" cm="1">
        <f t="array" ref="L7967">IFERROR(IF($B7967=L$1, ($A7967+$C7967) - MAX(IF($B$2:$B7966=$B7967, $A$2:$A7966+$C$2:$C7966)), "")*24*60, "")</f>
        <v/>
      </c>
      <c r="M7967" s="24" t="str" cm="1">
        <f t="array" ref="M7967">IFERROR(IF($B7967=M$1, ($A7967+$C7967) - MAX(IF($B$2:$B7966=$B7967, $A$2:$A7966+$C$2:$C7966)), "")*24*60, "")</f>
        <v/>
      </c>
      <c r="N7967" s="24" t="str" cm="1">
        <f t="array" ref="N7967">IFERROR(IF($B7967=N$1, ($A7967+$C7967) - MAX(IF($B$2:$B7966=$B7967, $A$2:$A7966+$C$2:$C7966)), "")*24*60, "")</f>
        <v/>
      </c>
      <c r="O7967" s="24" t="str" cm="1">
        <f t="array" ref="O7967">IFERROR(IF($B7967=O$1, ($A7967+$C7967) - MAX(IF($B$2:$B7966=$B7967, $A$2:$A7966+$C$2:$C7966)), "")*24*60, "")</f>
        <v/>
      </c>
      <c r="P7967" s="24" t="str" cm="1">
        <f t="array" ref="P7967">IFERROR(IF($B7967=P$1, ($A7967+$C7967) - MAX(IF($B$2:$B7966=$B7967, $A$2:$A7966+$C$2:$C7966)), "")*24*60, "")</f>
        <v/>
      </c>
      <c r="Q7967" s="24" t="str" cm="1">
        <f t="array" ref="Q7967">IFERROR(IF($B7967=Q$1, ($A7967+$C7967) - MAX(IF($B$2:$B7966=$B7967, $A$2:$A7966+$C$2:$C7966)), "")*24*60, "")</f>
        <v/>
      </c>
      <c r="R7967" s="24" t="str" cm="1">
        <f t="array" ref="R7967">IFERROR(IF($B7967=R$1, ($A7967+$C7967) - MAX(IF($B$2:$B7966=$B7967, $A$2:$A7966+$C$2:$C7966)), "")*24*60, "")</f>
        <v/>
      </c>
      <c r="S7967" s="24" t="str" cm="1">
        <f t="array" ref="S7967">IFERROR(IF($B7967=S$1, ($A7967+$C7967) - MAX(IF($B$2:$B7966=$B7967, $A$2:$A7966+$C$2:$C7966)), "")*24*60, "")</f>
        <v/>
      </c>
    </row>
    <row r="7968" spans="1:19" x14ac:dyDescent="0.2">
      <c r="A7968" s="12">
        <f t="shared" ref="A7968:C7968" si="1459">A7967</f>
        <v>46021</v>
      </c>
      <c r="B7968" s="5" t="str">
        <f t="shared" si="1459"/>
        <v>Northern Cardinal</v>
      </c>
      <c r="C7968" s="6">
        <f t="shared" si="1459"/>
        <v>0.7319444444444444</v>
      </c>
      <c r="D7968" s="5"/>
      <c r="E7968" s="5"/>
      <c r="F7968" s="5" t="s">
        <v>9</v>
      </c>
      <c r="G7968" s="15" t="s">
        <v>8</v>
      </c>
      <c r="H7968" s="24">
        <f t="shared" ref="H7968:H8031" si="1460">IFERROR((($A7968+$C7968) - ($A7967+$C7967))*24*60, "")</f>
        <v>0</v>
      </c>
      <c r="I7968" s="24" cm="1">
        <f t="array" ref="I7968">IFERROR(IF($B7968=I$1, ($A7968+$C7968) - MAX(IF($B$2:$B7967=$B7968, $A$2:$A7967+$C$2:$C7967)), "")*24*60, "")</f>
        <v>0</v>
      </c>
      <c r="J7968" s="24" t="str" cm="1">
        <f t="array" ref="J7968">IFERROR(IF($B7968=J$1, ($A7968+$C7968) - MAX(IF($B$2:$B7967=$B7968, $A$2:$A7967+$C$2:$C7967)), "")*24*60, "")</f>
        <v/>
      </c>
      <c r="K7968" s="24" t="str" cm="1">
        <f t="array" ref="K7968">IFERROR(IF($B7968=K$1, ($A7968+$C7968) - MAX(IF($B$2:$B7967=$B7968, $A$2:$A7967+$C$2:$C7967)), "")*24*60, "")</f>
        <v/>
      </c>
      <c r="L7968" s="24" t="str" cm="1">
        <f t="array" ref="L7968">IFERROR(IF($B7968=L$1, ($A7968+$C7968) - MAX(IF($B$2:$B7967=$B7968, $A$2:$A7967+$C$2:$C7967)), "")*24*60, "")</f>
        <v/>
      </c>
      <c r="M7968" s="24" t="str" cm="1">
        <f t="array" ref="M7968">IFERROR(IF($B7968=M$1, ($A7968+$C7968) - MAX(IF($B$2:$B7967=$B7968, $A$2:$A7967+$C$2:$C7967)), "")*24*60, "")</f>
        <v/>
      </c>
      <c r="N7968" s="24" t="str" cm="1">
        <f t="array" ref="N7968">IFERROR(IF($B7968=N$1, ($A7968+$C7968) - MAX(IF($B$2:$B7967=$B7968, $A$2:$A7967+$C$2:$C7967)), "")*24*60, "")</f>
        <v/>
      </c>
      <c r="O7968" s="24" t="str" cm="1">
        <f t="array" ref="O7968">IFERROR(IF($B7968=O$1, ($A7968+$C7968) - MAX(IF($B$2:$B7967=$B7968, $A$2:$A7967+$C$2:$C7967)), "")*24*60, "")</f>
        <v/>
      </c>
      <c r="P7968" s="24" t="str" cm="1">
        <f t="array" ref="P7968">IFERROR(IF($B7968=P$1, ($A7968+$C7968) - MAX(IF($B$2:$B7967=$B7968, $A$2:$A7967+$C$2:$C7967)), "")*24*60, "")</f>
        <v/>
      </c>
      <c r="Q7968" s="24" t="str" cm="1">
        <f t="array" ref="Q7968">IFERROR(IF($B7968=Q$1, ($A7968+$C7968) - MAX(IF($B$2:$B7967=$B7968, $A$2:$A7967+$C$2:$C7967)), "")*24*60, "")</f>
        <v/>
      </c>
      <c r="R7968" s="24" t="str" cm="1">
        <f t="array" ref="R7968">IFERROR(IF($B7968=R$1, ($A7968+$C7968) - MAX(IF($B$2:$B7967=$B7968, $A$2:$A7967+$C$2:$C7967)), "")*24*60, "")</f>
        <v/>
      </c>
      <c r="S7968" s="24" t="str" cm="1">
        <f t="array" ref="S7968">IFERROR(IF($B7968=S$1, ($A7968+$C7968) - MAX(IF($B$2:$B7967=$B7968, $A$2:$A7967+$C$2:$C7967)), "")*24*60, "")</f>
        <v/>
      </c>
    </row>
    <row r="7969" spans="1:19" x14ac:dyDescent="0.2">
      <c r="A7969" s="12">
        <f t="shared" ref="A7969:C7969" si="1461">A7968</f>
        <v>46021</v>
      </c>
      <c r="B7969" s="5" t="str">
        <f t="shared" si="1461"/>
        <v>Northern Cardinal</v>
      </c>
      <c r="C7969" s="6">
        <f t="shared" si="1461"/>
        <v>0.7319444444444444</v>
      </c>
      <c r="D7969" s="5"/>
      <c r="E7969" s="5"/>
      <c r="F7969" s="5" t="s">
        <v>9</v>
      </c>
      <c r="G7969" s="15" t="s">
        <v>8</v>
      </c>
      <c r="H7969" s="24">
        <f t="shared" si="1460"/>
        <v>0</v>
      </c>
      <c r="I7969" s="24" cm="1">
        <f t="array" ref="I7969">IFERROR(IF($B7969=I$1, ($A7969+$C7969) - MAX(IF($B$2:$B7968=$B7969, $A$2:$A7968+$C$2:$C7968)), "")*24*60, "")</f>
        <v>0</v>
      </c>
      <c r="J7969" s="24" t="str" cm="1">
        <f t="array" ref="J7969">IFERROR(IF($B7969=J$1, ($A7969+$C7969) - MAX(IF($B$2:$B7968=$B7969, $A$2:$A7968+$C$2:$C7968)), "")*24*60, "")</f>
        <v/>
      </c>
      <c r="K7969" s="24" t="str" cm="1">
        <f t="array" ref="K7969">IFERROR(IF($B7969=K$1, ($A7969+$C7969) - MAX(IF($B$2:$B7968=$B7969, $A$2:$A7968+$C$2:$C7968)), "")*24*60, "")</f>
        <v/>
      </c>
      <c r="L7969" s="24" t="str" cm="1">
        <f t="array" ref="L7969">IFERROR(IF($B7969=L$1, ($A7969+$C7969) - MAX(IF($B$2:$B7968=$B7969, $A$2:$A7968+$C$2:$C7968)), "")*24*60, "")</f>
        <v/>
      </c>
      <c r="M7969" s="24" t="str" cm="1">
        <f t="array" ref="M7969">IFERROR(IF($B7969=M$1, ($A7969+$C7969) - MAX(IF($B$2:$B7968=$B7969, $A$2:$A7968+$C$2:$C7968)), "")*24*60, "")</f>
        <v/>
      </c>
      <c r="N7969" s="24" t="str" cm="1">
        <f t="array" ref="N7969">IFERROR(IF($B7969=N$1, ($A7969+$C7969) - MAX(IF($B$2:$B7968=$B7969, $A$2:$A7968+$C$2:$C7968)), "")*24*60, "")</f>
        <v/>
      </c>
      <c r="O7969" s="24" t="str" cm="1">
        <f t="array" ref="O7969">IFERROR(IF($B7969=O$1, ($A7969+$C7969) - MAX(IF($B$2:$B7968=$B7969, $A$2:$A7968+$C$2:$C7968)), "")*24*60, "")</f>
        <v/>
      </c>
      <c r="P7969" s="24" t="str" cm="1">
        <f t="array" ref="P7969">IFERROR(IF($B7969=P$1, ($A7969+$C7969) - MAX(IF($B$2:$B7968=$B7969, $A$2:$A7968+$C$2:$C7968)), "")*24*60, "")</f>
        <v/>
      </c>
      <c r="Q7969" s="24" t="str" cm="1">
        <f t="array" ref="Q7969">IFERROR(IF($B7969=Q$1, ($A7969+$C7969) - MAX(IF($B$2:$B7968=$B7969, $A$2:$A7968+$C$2:$C7968)), "")*24*60, "")</f>
        <v/>
      </c>
      <c r="R7969" s="24" t="str" cm="1">
        <f t="array" ref="R7969">IFERROR(IF($B7969=R$1, ($A7969+$C7969) - MAX(IF($B$2:$B7968=$B7969, $A$2:$A7968+$C$2:$C7968)), "")*24*60, "")</f>
        <v/>
      </c>
      <c r="S7969" s="24" t="str" cm="1">
        <f t="array" ref="S7969">IFERROR(IF($B7969=S$1, ($A7969+$C7969) - MAX(IF($B$2:$B7968=$B7969, $A$2:$A7968+$C$2:$C7968)), "")*24*60, "")</f>
        <v/>
      </c>
    </row>
    <row r="7970" spans="1:19" x14ac:dyDescent="0.2">
      <c r="A7970" s="12">
        <f t="shared" ref="A7970:C7970" si="1462">A7969</f>
        <v>46021</v>
      </c>
      <c r="B7970" s="5" t="str">
        <f t="shared" si="1462"/>
        <v>Northern Cardinal</v>
      </c>
      <c r="C7970" s="6">
        <f t="shared" si="1462"/>
        <v>0.7319444444444444</v>
      </c>
      <c r="D7970" s="5"/>
      <c r="E7970" s="5"/>
      <c r="F7970" s="5" t="s">
        <v>9</v>
      </c>
      <c r="G7970" s="15" t="s">
        <v>8</v>
      </c>
      <c r="H7970" s="24">
        <f t="shared" si="1460"/>
        <v>0</v>
      </c>
      <c r="I7970" s="24" cm="1">
        <f t="array" ref="I7970">IFERROR(IF($B7970=I$1, ($A7970+$C7970) - MAX(IF($B$2:$B7969=$B7970, $A$2:$A7969+$C$2:$C7969)), "")*24*60, "")</f>
        <v>0</v>
      </c>
      <c r="J7970" s="24" t="str" cm="1">
        <f t="array" ref="J7970">IFERROR(IF($B7970=J$1, ($A7970+$C7970) - MAX(IF($B$2:$B7969=$B7970, $A$2:$A7969+$C$2:$C7969)), "")*24*60, "")</f>
        <v/>
      </c>
      <c r="K7970" s="24" t="str" cm="1">
        <f t="array" ref="K7970">IFERROR(IF($B7970=K$1, ($A7970+$C7970) - MAX(IF($B$2:$B7969=$B7970, $A$2:$A7969+$C$2:$C7969)), "")*24*60, "")</f>
        <v/>
      </c>
      <c r="L7970" s="24" t="str" cm="1">
        <f t="array" ref="L7970">IFERROR(IF($B7970=L$1, ($A7970+$C7970) - MAX(IF($B$2:$B7969=$B7970, $A$2:$A7969+$C$2:$C7969)), "")*24*60, "")</f>
        <v/>
      </c>
      <c r="M7970" s="24" t="str" cm="1">
        <f t="array" ref="M7970">IFERROR(IF($B7970=M$1, ($A7970+$C7970) - MAX(IF($B$2:$B7969=$B7970, $A$2:$A7969+$C$2:$C7969)), "")*24*60, "")</f>
        <v/>
      </c>
      <c r="N7970" s="24" t="str" cm="1">
        <f t="array" ref="N7970">IFERROR(IF($B7970=N$1, ($A7970+$C7970) - MAX(IF($B$2:$B7969=$B7970, $A$2:$A7969+$C$2:$C7969)), "")*24*60, "")</f>
        <v/>
      </c>
      <c r="O7970" s="24" t="str" cm="1">
        <f t="array" ref="O7970">IFERROR(IF($B7970=O$1, ($A7970+$C7970) - MAX(IF($B$2:$B7969=$B7970, $A$2:$A7969+$C$2:$C7969)), "")*24*60, "")</f>
        <v/>
      </c>
      <c r="P7970" s="24" t="str" cm="1">
        <f t="array" ref="P7970">IFERROR(IF($B7970=P$1, ($A7970+$C7970) - MAX(IF($B$2:$B7969=$B7970, $A$2:$A7969+$C$2:$C7969)), "")*24*60, "")</f>
        <v/>
      </c>
      <c r="Q7970" s="24" t="str" cm="1">
        <f t="array" ref="Q7970">IFERROR(IF($B7970=Q$1, ($A7970+$C7970) - MAX(IF($B$2:$B7969=$B7970, $A$2:$A7969+$C$2:$C7969)), "")*24*60, "")</f>
        <v/>
      </c>
      <c r="R7970" s="24" t="str" cm="1">
        <f t="array" ref="R7970">IFERROR(IF($B7970=R$1, ($A7970+$C7970) - MAX(IF($B$2:$B7969=$B7970, $A$2:$A7969+$C$2:$C7969)), "")*24*60, "")</f>
        <v/>
      </c>
      <c r="S7970" s="24" t="str" cm="1">
        <f t="array" ref="S7970">IFERROR(IF($B7970=S$1, ($A7970+$C7970) - MAX(IF($B$2:$B7969=$B7970, $A$2:$A7969+$C$2:$C7969)), "")*24*60, "")</f>
        <v/>
      </c>
    </row>
    <row r="7971" spans="1:19" x14ac:dyDescent="0.2">
      <c r="A7971" s="12">
        <f t="shared" ref="A7971:C7971" si="1463">A7970</f>
        <v>46021</v>
      </c>
      <c r="B7971" s="5" t="str">
        <f t="shared" si="1463"/>
        <v>Northern Cardinal</v>
      </c>
      <c r="C7971" s="6">
        <f t="shared" si="1463"/>
        <v>0.7319444444444444</v>
      </c>
      <c r="D7971" s="5"/>
      <c r="E7971" s="5"/>
      <c r="F7971" s="5" t="s">
        <v>9</v>
      </c>
      <c r="G7971" s="15" t="s">
        <v>8</v>
      </c>
      <c r="H7971" s="24">
        <f t="shared" si="1460"/>
        <v>0</v>
      </c>
      <c r="I7971" s="24" cm="1">
        <f t="array" ref="I7971">IFERROR(IF($B7971=I$1, ($A7971+$C7971) - MAX(IF($B$2:$B7970=$B7971, $A$2:$A7970+$C$2:$C7970)), "")*24*60, "")</f>
        <v>0</v>
      </c>
      <c r="J7971" s="24" t="str" cm="1">
        <f t="array" ref="J7971">IFERROR(IF($B7971=J$1, ($A7971+$C7971) - MAX(IF($B$2:$B7970=$B7971, $A$2:$A7970+$C$2:$C7970)), "")*24*60, "")</f>
        <v/>
      </c>
      <c r="K7971" s="24" t="str" cm="1">
        <f t="array" ref="K7971">IFERROR(IF($B7971=K$1, ($A7971+$C7971) - MAX(IF($B$2:$B7970=$B7971, $A$2:$A7970+$C$2:$C7970)), "")*24*60, "")</f>
        <v/>
      </c>
      <c r="L7971" s="24" t="str" cm="1">
        <f t="array" ref="L7971">IFERROR(IF($B7971=L$1, ($A7971+$C7971) - MAX(IF($B$2:$B7970=$B7971, $A$2:$A7970+$C$2:$C7970)), "")*24*60, "")</f>
        <v/>
      </c>
      <c r="M7971" s="24" t="str" cm="1">
        <f t="array" ref="M7971">IFERROR(IF($B7971=M$1, ($A7971+$C7971) - MAX(IF($B$2:$B7970=$B7971, $A$2:$A7970+$C$2:$C7970)), "")*24*60, "")</f>
        <v/>
      </c>
      <c r="N7971" s="24" t="str" cm="1">
        <f t="array" ref="N7971">IFERROR(IF($B7971=N$1, ($A7971+$C7971) - MAX(IF($B$2:$B7970=$B7971, $A$2:$A7970+$C$2:$C7970)), "")*24*60, "")</f>
        <v/>
      </c>
      <c r="O7971" s="24" t="str" cm="1">
        <f t="array" ref="O7971">IFERROR(IF($B7971=O$1, ($A7971+$C7971) - MAX(IF($B$2:$B7970=$B7971, $A$2:$A7970+$C$2:$C7970)), "")*24*60, "")</f>
        <v/>
      </c>
      <c r="P7971" s="24" t="str" cm="1">
        <f t="array" ref="P7971">IFERROR(IF($B7971=P$1, ($A7971+$C7971) - MAX(IF($B$2:$B7970=$B7971, $A$2:$A7970+$C$2:$C7970)), "")*24*60, "")</f>
        <v/>
      </c>
      <c r="Q7971" s="24" t="str" cm="1">
        <f t="array" ref="Q7971">IFERROR(IF($B7971=Q$1, ($A7971+$C7971) - MAX(IF($B$2:$B7970=$B7971, $A$2:$A7970+$C$2:$C7970)), "")*24*60, "")</f>
        <v/>
      </c>
      <c r="R7971" s="24" t="str" cm="1">
        <f t="array" ref="R7971">IFERROR(IF($B7971=R$1, ($A7971+$C7971) - MAX(IF($B$2:$B7970=$B7971, $A$2:$A7970+$C$2:$C7970)), "")*24*60, "")</f>
        <v/>
      </c>
      <c r="S7971" s="24" t="str" cm="1">
        <f t="array" ref="S7971">IFERROR(IF($B7971=S$1, ($A7971+$C7971) - MAX(IF($B$2:$B7970=$B7971, $A$2:$A7970+$C$2:$C7970)), "")*24*60, "")</f>
        <v/>
      </c>
    </row>
    <row r="7972" spans="1:19" x14ac:dyDescent="0.2">
      <c r="A7972" s="12">
        <f t="shared" ref="A7972:C7972" si="1464">A7971</f>
        <v>46021</v>
      </c>
      <c r="B7972" s="5" t="str">
        <f t="shared" si="1464"/>
        <v>Northern Cardinal</v>
      </c>
      <c r="C7972" s="6">
        <f t="shared" si="1464"/>
        <v>0.7319444444444444</v>
      </c>
      <c r="D7972" s="5"/>
      <c r="E7972" s="5"/>
      <c r="F7972" s="5" t="s">
        <v>9</v>
      </c>
      <c r="G7972" s="15" t="s">
        <v>8</v>
      </c>
      <c r="H7972" s="24">
        <f t="shared" si="1460"/>
        <v>0</v>
      </c>
      <c r="I7972" s="24" cm="1">
        <f t="array" ref="I7972">IFERROR(IF($B7972=I$1, ($A7972+$C7972) - MAX(IF($B$2:$B7971=$B7972, $A$2:$A7971+$C$2:$C7971)), "")*24*60, "")</f>
        <v>0</v>
      </c>
      <c r="J7972" s="24" t="str" cm="1">
        <f t="array" ref="J7972">IFERROR(IF($B7972=J$1, ($A7972+$C7972) - MAX(IF($B$2:$B7971=$B7972, $A$2:$A7971+$C$2:$C7971)), "")*24*60, "")</f>
        <v/>
      </c>
      <c r="K7972" s="24" t="str" cm="1">
        <f t="array" ref="K7972">IFERROR(IF($B7972=K$1, ($A7972+$C7972) - MAX(IF($B$2:$B7971=$B7972, $A$2:$A7971+$C$2:$C7971)), "")*24*60, "")</f>
        <v/>
      </c>
      <c r="L7972" s="24" t="str" cm="1">
        <f t="array" ref="L7972">IFERROR(IF($B7972=L$1, ($A7972+$C7972) - MAX(IF($B$2:$B7971=$B7972, $A$2:$A7971+$C$2:$C7971)), "")*24*60, "")</f>
        <v/>
      </c>
      <c r="M7972" s="24" t="str" cm="1">
        <f t="array" ref="M7972">IFERROR(IF($B7972=M$1, ($A7972+$C7972) - MAX(IF($B$2:$B7971=$B7972, $A$2:$A7971+$C$2:$C7971)), "")*24*60, "")</f>
        <v/>
      </c>
      <c r="N7972" s="24" t="str" cm="1">
        <f t="array" ref="N7972">IFERROR(IF($B7972=N$1, ($A7972+$C7972) - MAX(IF($B$2:$B7971=$B7972, $A$2:$A7971+$C$2:$C7971)), "")*24*60, "")</f>
        <v/>
      </c>
      <c r="O7972" s="24" t="str" cm="1">
        <f t="array" ref="O7972">IFERROR(IF($B7972=O$1, ($A7972+$C7972) - MAX(IF($B$2:$B7971=$B7972, $A$2:$A7971+$C$2:$C7971)), "")*24*60, "")</f>
        <v/>
      </c>
      <c r="P7972" s="24" t="str" cm="1">
        <f t="array" ref="P7972">IFERROR(IF($B7972=P$1, ($A7972+$C7972) - MAX(IF($B$2:$B7971=$B7972, $A$2:$A7971+$C$2:$C7971)), "")*24*60, "")</f>
        <v/>
      </c>
      <c r="Q7972" s="24" t="str" cm="1">
        <f t="array" ref="Q7972">IFERROR(IF($B7972=Q$1, ($A7972+$C7972) - MAX(IF($B$2:$B7971=$B7972, $A$2:$A7971+$C$2:$C7971)), "")*24*60, "")</f>
        <v/>
      </c>
      <c r="R7972" s="24" t="str" cm="1">
        <f t="array" ref="R7972">IFERROR(IF($B7972=R$1, ($A7972+$C7972) - MAX(IF($B$2:$B7971=$B7972, $A$2:$A7971+$C$2:$C7971)), "")*24*60, "")</f>
        <v/>
      </c>
      <c r="S7972" s="24" t="str" cm="1">
        <f t="array" ref="S7972">IFERROR(IF($B7972=S$1, ($A7972+$C7972) - MAX(IF($B$2:$B7971=$B7972, $A$2:$A7971+$C$2:$C7971)), "")*24*60, "")</f>
        <v/>
      </c>
    </row>
    <row r="7973" spans="1:19" x14ac:dyDescent="0.2">
      <c r="A7973" s="12">
        <f t="shared" ref="A7973:C7973" si="1465">A7972</f>
        <v>46021</v>
      </c>
      <c r="B7973" s="5" t="str">
        <f t="shared" si="1465"/>
        <v>Northern Cardinal</v>
      </c>
      <c r="C7973" s="6">
        <f t="shared" si="1465"/>
        <v>0.7319444444444444</v>
      </c>
      <c r="D7973" s="5"/>
      <c r="E7973" s="5"/>
      <c r="F7973" s="5" t="s">
        <v>9</v>
      </c>
      <c r="G7973" s="15" t="s">
        <v>8</v>
      </c>
      <c r="H7973" s="24">
        <f t="shared" si="1460"/>
        <v>0</v>
      </c>
      <c r="I7973" s="24" cm="1">
        <f t="array" ref="I7973">IFERROR(IF($B7973=I$1, ($A7973+$C7973) - MAX(IF($B$2:$B7972=$B7973, $A$2:$A7972+$C$2:$C7972)), "")*24*60, "")</f>
        <v>0</v>
      </c>
      <c r="J7973" s="24" t="str" cm="1">
        <f t="array" ref="J7973">IFERROR(IF($B7973=J$1, ($A7973+$C7973) - MAX(IF($B$2:$B7972=$B7973, $A$2:$A7972+$C$2:$C7972)), "")*24*60, "")</f>
        <v/>
      </c>
      <c r="K7973" s="24" t="str" cm="1">
        <f t="array" ref="K7973">IFERROR(IF($B7973=K$1, ($A7973+$C7973) - MAX(IF($B$2:$B7972=$B7973, $A$2:$A7972+$C$2:$C7972)), "")*24*60, "")</f>
        <v/>
      </c>
      <c r="L7973" s="24" t="str" cm="1">
        <f t="array" ref="L7973">IFERROR(IF($B7973=L$1, ($A7973+$C7973) - MAX(IF($B$2:$B7972=$B7973, $A$2:$A7972+$C$2:$C7972)), "")*24*60, "")</f>
        <v/>
      </c>
      <c r="M7973" s="24" t="str" cm="1">
        <f t="array" ref="M7973">IFERROR(IF($B7973=M$1, ($A7973+$C7973) - MAX(IF($B$2:$B7972=$B7973, $A$2:$A7972+$C$2:$C7972)), "")*24*60, "")</f>
        <v/>
      </c>
      <c r="N7973" s="24" t="str" cm="1">
        <f t="array" ref="N7973">IFERROR(IF($B7973=N$1, ($A7973+$C7973) - MAX(IF($B$2:$B7972=$B7973, $A$2:$A7972+$C$2:$C7972)), "")*24*60, "")</f>
        <v/>
      </c>
      <c r="O7973" s="24" t="str" cm="1">
        <f t="array" ref="O7973">IFERROR(IF($B7973=O$1, ($A7973+$C7973) - MAX(IF($B$2:$B7972=$B7973, $A$2:$A7972+$C$2:$C7972)), "")*24*60, "")</f>
        <v/>
      </c>
      <c r="P7973" s="24" t="str" cm="1">
        <f t="array" ref="P7973">IFERROR(IF($B7973=P$1, ($A7973+$C7973) - MAX(IF($B$2:$B7972=$B7973, $A$2:$A7972+$C$2:$C7972)), "")*24*60, "")</f>
        <v/>
      </c>
      <c r="Q7973" s="24" t="str" cm="1">
        <f t="array" ref="Q7973">IFERROR(IF($B7973=Q$1, ($A7973+$C7973) - MAX(IF($B$2:$B7972=$B7973, $A$2:$A7972+$C$2:$C7972)), "")*24*60, "")</f>
        <v/>
      </c>
      <c r="R7973" s="24" t="str" cm="1">
        <f t="array" ref="R7973">IFERROR(IF($B7973=R$1, ($A7973+$C7973) - MAX(IF($B$2:$B7972=$B7973, $A$2:$A7972+$C$2:$C7972)), "")*24*60, "")</f>
        <v/>
      </c>
      <c r="S7973" s="24" t="str" cm="1">
        <f t="array" ref="S7973">IFERROR(IF($B7973=S$1, ($A7973+$C7973) - MAX(IF($B$2:$B7972=$B7973, $A$2:$A7972+$C$2:$C7972)), "")*24*60, "")</f>
        <v/>
      </c>
    </row>
    <row r="7974" spans="1:19" x14ac:dyDescent="0.2">
      <c r="A7974" s="12">
        <f t="shared" ref="A7974:C7974" si="1466">A7973</f>
        <v>46021</v>
      </c>
      <c r="B7974" s="5" t="str">
        <f t="shared" si="1466"/>
        <v>Northern Cardinal</v>
      </c>
      <c r="C7974" s="6">
        <f t="shared" si="1466"/>
        <v>0.7319444444444444</v>
      </c>
      <c r="D7974" s="5"/>
      <c r="E7974" s="5"/>
      <c r="F7974" s="5" t="s">
        <v>9</v>
      </c>
      <c r="G7974" s="15" t="s">
        <v>8</v>
      </c>
      <c r="H7974" s="24">
        <f t="shared" si="1460"/>
        <v>0</v>
      </c>
      <c r="I7974" s="24" cm="1">
        <f t="array" ref="I7974">IFERROR(IF($B7974=I$1, ($A7974+$C7974) - MAX(IF($B$2:$B7973=$B7974, $A$2:$A7973+$C$2:$C7973)), "")*24*60, "")</f>
        <v>0</v>
      </c>
      <c r="J7974" s="24" t="str" cm="1">
        <f t="array" ref="J7974">IFERROR(IF($B7974=J$1, ($A7974+$C7974) - MAX(IF($B$2:$B7973=$B7974, $A$2:$A7973+$C$2:$C7973)), "")*24*60, "")</f>
        <v/>
      </c>
      <c r="K7974" s="24" t="str" cm="1">
        <f t="array" ref="K7974">IFERROR(IF($B7974=K$1, ($A7974+$C7974) - MAX(IF($B$2:$B7973=$B7974, $A$2:$A7973+$C$2:$C7973)), "")*24*60, "")</f>
        <v/>
      </c>
      <c r="L7974" s="24" t="str" cm="1">
        <f t="array" ref="L7974">IFERROR(IF($B7974=L$1, ($A7974+$C7974) - MAX(IF($B$2:$B7973=$B7974, $A$2:$A7973+$C$2:$C7973)), "")*24*60, "")</f>
        <v/>
      </c>
      <c r="M7974" s="24" t="str" cm="1">
        <f t="array" ref="M7974">IFERROR(IF($B7974=M$1, ($A7974+$C7974) - MAX(IF($B$2:$B7973=$B7974, $A$2:$A7973+$C$2:$C7973)), "")*24*60, "")</f>
        <v/>
      </c>
      <c r="N7974" s="24" t="str" cm="1">
        <f t="array" ref="N7974">IFERROR(IF($B7974=N$1, ($A7974+$C7974) - MAX(IF($B$2:$B7973=$B7974, $A$2:$A7973+$C$2:$C7973)), "")*24*60, "")</f>
        <v/>
      </c>
      <c r="O7974" s="24" t="str" cm="1">
        <f t="array" ref="O7974">IFERROR(IF($B7974=O$1, ($A7974+$C7974) - MAX(IF($B$2:$B7973=$B7974, $A$2:$A7973+$C$2:$C7973)), "")*24*60, "")</f>
        <v/>
      </c>
      <c r="P7974" s="24" t="str" cm="1">
        <f t="array" ref="P7974">IFERROR(IF($B7974=P$1, ($A7974+$C7974) - MAX(IF($B$2:$B7973=$B7974, $A$2:$A7973+$C$2:$C7973)), "")*24*60, "")</f>
        <v/>
      </c>
      <c r="Q7974" s="24" t="str" cm="1">
        <f t="array" ref="Q7974">IFERROR(IF($B7974=Q$1, ($A7974+$C7974) - MAX(IF($B$2:$B7973=$B7974, $A$2:$A7973+$C$2:$C7973)), "")*24*60, "")</f>
        <v/>
      </c>
      <c r="R7974" s="24" t="str" cm="1">
        <f t="array" ref="R7974">IFERROR(IF($B7974=R$1, ($A7974+$C7974) - MAX(IF($B$2:$B7973=$B7974, $A$2:$A7973+$C$2:$C7973)), "")*24*60, "")</f>
        <v/>
      </c>
      <c r="S7974" s="24" t="str" cm="1">
        <f t="array" ref="S7974">IFERROR(IF($B7974=S$1, ($A7974+$C7974) - MAX(IF($B$2:$B7973=$B7974, $A$2:$A7973+$C$2:$C7973)), "")*24*60, "")</f>
        <v/>
      </c>
    </row>
    <row r="7975" spans="1:19" x14ac:dyDescent="0.2">
      <c r="A7975" s="12">
        <f t="shared" ref="A7975:C7975" si="1467">A7974</f>
        <v>46021</v>
      </c>
      <c r="B7975" s="5" t="str">
        <f t="shared" si="1467"/>
        <v>Northern Cardinal</v>
      </c>
      <c r="C7975" s="6">
        <f t="shared" si="1467"/>
        <v>0.7319444444444444</v>
      </c>
      <c r="D7975" s="5"/>
      <c r="E7975" s="5"/>
      <c r="F7975" s="5" t="s">
        <v>9</v>
      </c>
      <c r="G7975" s="15" t="s">
        <v>8</v>
      </c>
      <c r="H7975" s="24">
        <f t="shared" si="1460"/>
        <v>0</v>
      </c>
      <c r="I7975" s="24" cm="1">
        <f t="array" ref="I7975">IFERROR(IF($B7975=I$1, ($A7975+$C7975) - MAX(IF($B$2:$B7974=$B7975, $A$2:$A7974+$C$2:$C7974)), "")*24*60, "")</f>
        <v>0</v>
      </c>
      <c r="J7975" s="24" t="str" cm="1">
        <f t="array" ref="J7975">IFERROR(IF($B7975=J$1, ($A7975+$C7975) - MAX(IF($B$2:$B7974=$B7975, $A$2:$A7974+$C$2:$C7974)), "")*24*60, "")</f>
        <v/>
      </c>
      <c r="K7975" s="24" t="str" cm="1">
        <f t="array" ref="K7975">IFERROR(IF($B7975=K$1, ($A7975+$C7975) - MAX(IF($B$2:$B7974=$B7975, $A$2:$A7974+$C$2:$C7974)), "")*24*60, "")</f>
        <v/>
      </c>
      <c r="L7975" s="24" t="str" cm="1">
        <f t="array" ref="L7975">IFERROR(IF($B7975=L$1, ($A7975+$C7975) - MAX(IF($B$2:$B7974=$B7975, $A$2:$A7974+$C$2:$C7974)), "")*24*60, "")</f>
        <v/>
      </c>
      <c r="M7975" s="24" t="str" cm="1">
        <f t="array" ref="M7975">IFERROR(IF($B7975=M$1, ($A7975+$C7975) - MAX(IF($B$2:$B7974=$B7975, $A$2:$A7974+$C$2:$C7974)), "")*24*60, "")</f>
        <v/>
      </c>
      <c r="N7975" s="24" t="str" cm="1">
        <f t="array" ref="N7975">IFERROR(IF($B7975=N$1, ($A7975+$C7975) - MAX(IF($B$2:$B7974=$B7975, $A$2:$A7974+$C$2:$C7974)), "")*24*60, "")</f>
        <v/>
      </c>
      <c r="O7975" s="24" t="str" cm="1">
        <f t="array" ref="O7975">IFERROR(IF($B7975=O$1, ($A7975+$C7975) - MAX(IF($B$2:$B7974=$B7975, $A$2:$A7974+$C$2:$C7974)), "")*24*60, "")</f>
        <v/>
      </c>
      <c r="P7975" s="24" t="str" cm="1">
        <f t="array" ref="P7975">IFERROR(IF($B7975=P$1, ($A7975+$C7975) - MAX(IF($B$2:$B7974=$B7975, $A$2:$A7974+$C$2:$C7974)), "")*24*60, "")</f>
        <v/>
      </c>
      <c r="Q7975" s="24" t="str" cm="1">
        <f t="array" ref="Q7975">IFERROR(IF($B7975=Q$1, ($A7975+$C7975) - MAX(IF($B$2:$B7974=$B7975, $A$2:$A7974+$C$2:$C7974)), "")*24*60, "")</f>
        <v/>
      </c>
      <c r="R7975" s="24" t="str" cm="1">
        <f t="array" ref="R7975">IFERROR(IF($B7975=R$1, ($A7975+$C7975) - MAX(IF($B$2:$B7974=$B7975, $A$2:$A7974+$C$2:$C7974)), "")*24*60, "")</f>
        <v/>
      </c>
      <c r="S7975" s="24" t="str" cm="1">
        <f t="array" ref="S7975">IFERROR(IF($B7975=S$1, ($A7975+$C7975) - MAX(IF($B$2:$B7974=$B7975, $A$2:$A7974+$C$2:$C7974)), "")*24*60, "")</f>
        <v/>
      </c>
    </row>
    <row r="7976" spans="1:19" x14ac:dyDescent="0.2">
      <c r="A7976" s="12">
        <f t="shared" ref="A7976:C7976" si="1468">A7975</f>
        <v>46021</v>
      </c>
      <c r="B7976" s="5" t="str">
        <f t="shared" si="1468"/>
        <v>Northern Cardinal</v>
      </c>
      <c r="C7976" s="6">
        <f t="shared" si="1468"/>
        <v>0.7319444444444444</v>
      </c>
      <c r="D7976" s="5"/>
      <c r="E7976" s="5"/>
      <c r="F7976" s="5" t="s">
        <v>9</v>
      </c>
      <c r="G7976" s="15" t="s">
        <v>8</v>
      </c>
      <c r="H7976" s="24">
        <f t="shared" si="1460"/>
        <v>0</v>
      </c>
      <c r="I7976" s="24" cm="1">
        <f t="array" ref="I7976">IFERROR(IF($B7976=I$1, ($A7976+$C7976) - MAX(IF($B$2:$B7975=$B7976, $A$2:$A7975+$C$2:$C7975)), "")*24*60, "")</f>
        <v>0</v>
      </c>
      <c r="J7976" s="24" t="str" cm="1">
        <f t="array" ref="J7976">IFERROR(IF($B7976=J$1, ($A7976+$C7976) - MAX(IF($B$2:$B7975=$B7976, $A$2:$A7975+$C$2:$C7975)), "")*24*60, "")</f>
        <v/>
      </c>
      <c r="K7976" s="24" t="str" cm="1">
        <f t="array" ref="K7976">IFERROR(IF($B7976=K$1, ($A7976+$C7976) - MAX(IF($B$2:$B7975=$B7976, $A$2:$A7975+$C$2:$C7975)), "")*24*60, "")</f>
        <v/>
      </c>
      <c r="L7976" s="24" t="str" cm="1">
        <f t="array" ref="L7976">IFERROR(IF($B7976=L$1, ($A7976+$C7976) - MAX(IF($B$2:$B7975=$B7976, $A$2:$A7975+$C$2:$C7975)), "")*24*60, "")</f>
        <v/>
      </c>
      <c r="M7976" s="24" t="str" cm="1">
        <f t="array" ref="M7976">IFERROR(IF($B7976=M$1, ($A7976+$C7976) - MAX(IF($B$2:$B7975=$B7976, $A$2:$A7975+$C$2:$C7975)), "")*24*60, "")</f>
        <v/>
      </c>
      <c r="N7976" s="24" t="str" cm="1">
        <f t="array" ref="N7976">IFERROR(IF($B7976=N$1, ($A7976+$C7976) - MAX(IF($B$2:$B7975=$B7976, $A$2:$A7975+$C$2:$C7975)), "")*24*60, "")</f>
        <v/>
      </c>
      <c r="O7976" s="24" t="str" cm="1">
        <f t="array" ref="O7976">IFERROR(IF($B7976=O$1, ($A7976+$C7976) - MAX(IF($B$2:$B7975=$B7976, $A$2:$A7975+$C$2:$C7975)), "")*24*60, "")</f>
        <v/>
      </c>
      <c r="P7976" s="24" t="str" cm="1">
        <f t="array" ref="P7976">IFERROR(IF($B7976=P$1, ($A7976+$C7976) - MAX(IF($B$2:$B7975=$B7976, $A$2:$A7975+$C$2:$C7975)), "")*24*60, "")</f>
        <v/>
      </c>
      <c r="Q7976" s="24" t="str" cm="1">
        <f t="array" ref="Q7976">IFERROR(IF($B7976=Q$1, ($A7976+$C7976) - MAX(IF($B$2:$B7975=$B7976, $A$2:$A7975+$C$2:$C7975)), "")*24*60, "")</f>
        <v/>
      </c>
      <c r="R7976" s="24" t="str" cm="1">
        <f t="array" ref="R7976">IFERROR(IF($B7976=R$1, ($A7976+$C7976) - MAX(IF($B$2:$B7975=$B7976, $A$2:$A7975+$C$2:$C7975)), "")*24*60, "")</f>
        <v/>
      </c>
      <c r="S7976" s="24" t="str" cm="1">
        <f t="array" ref="S7976">IFERROR(IF($B7976=S$1, ($A7976+$C7976) - MAX(IF($B$2:$B7975=$B7976, $A$2:$A7975+$C$2:$C7975)), "")*24*60, "")</f>
        <v/>
      </c>
    </row>
    <row r="7977" spans="1:19" x14ac:dyDescent="0.2">
      <c r="A7977" s="12">
        <f t="shared" ref="A7977:C7977" si="1469">A7976</f>
        <v>46021</v>
      </c>
      <c r="B7977" s="5" t="str">
        <f t="shared" si="1469"/>
        <v>Northern Cardinal</v>
      </c>
      <c r="C7977" s="6">
        <f t="shared" si="1469"/>
        <v>0.7319444444444444</v>
      </c>
      <c r="D7977" s="5"/>
      <c r="E7977" s="5"/>
      <c r="F7977" s="5" t="s">
        <v>9</v>
      </c>
      <c r="G7977" s="15" t="s">
        <v>8</v>
      </c>
      <c r="H7977" s="24">
        <f t="shared" si="1460"/>
        <v>0</v>
      </c>
      <c r="I7977" s="24" cm="1">
        <f t="array" ref="I7977">IFERROR(IF($B7977=I$1, ($A7977+$C7977) - MAX(IF($B$2:$B7976=$B7977, $A$2:$A7976+$C$2:$C7976)), "")*24*60, "")</f>
        <v>0</v>
      </c>
      <c r="J7977" s="24" t="str" cm="1">
        <f t="array" ref="J7977">IFERROR(IF($B7977=J$1, ($A7977+$C7977) - MAX(IF($B$2:$B7976=$B7977, $A$2:$A7976+$C$2:$C7976)), "")*24*60, "")</f>
        <v/>
      </c>
      <c r="K7977" s="24" t="str" cm="1">
        <f t="array" ref="K7977">IFERROR(IF($B7977=K$1, ($A7977+$C7977) - MAX(IF($B$2:$B7976=$B7977, $A$2:$A7976+$C$2:$C7976)), "")*24*60, "")</f>
        <v/>
      </c>
      <c r="L7977" s="24" t="str" cm="1">
        <f t="array" ref="L7977">IFERROR(IF($B7977=L$1, ($A7977+$C7977) - MAX(IF($B$2:$B7976=$B7977, $A$2:$A7976+$C$2:$C7976)), "")*24*60, "")</f>
        <v/>
      </c>
      <c r="M7977" s="24" t="str" cm="1">
        <f t="array" ref="M7977">IFERROR(IF($B7977=M$1, ($A7977+$C7977) - MAX(IF($B$2:$B7976=$B7977, $A$2:$A7976+$C$2:$C7976)), "")*24*60, "")</f>
        <v/>
      </c>
      <c r="N7977" s="24" t="str" cm="1">
        <f t="array" ref="N7977">IFERROR(IF($B7977=N$1, ($A7977+$C7977) - MAX(IF($B$2:$B7976=$B7977, $A$2:$A7976+$C$2:$C7976)), "")*24*60, "")</f>
        <v/>
      </c>
      <c r="O7977" s="24" t="str" cm="1">
        <f t="array" ref="O7977">IFERROR(IF($B7977=O$1, ($A7977+$C7977) - MAX(IF($B$2:$B7976=$B7977, $A$2:$A7976+$C$2:$C7976)), "")*24*60, "")</f>
        <v/>
      </c>
      <c r="P7977" s="24" t="str" cm="1">
        <f t="array" ref="P7977">IFERROR(IF($B7977=P$1, ($A7977+$C7977) - MAX(IF($B$2:$B7976=$B7977, $A$2:$A7976+$C$2:$C7976)), "")*24*60, "")</f>
        <v/>
      </c>
      <c r="Q7977" s="24" t="str" cm="1">
        <f t="array" ref="Q7977">IFERROR(IF($B7977=Q$1, ($A7977+$C7977) - MAX(IF($B$2:$B7976=$B7977, $A$2:$A7976+$C$2:$C7976)), "")*24*60, "")</f>
        <v/>
      </c>
      <c r="R7977" s="24" t="str" cm="1">
        <f t="array" ref="R7977">IFERROR(IF($B7977=R$1, ($A7977+$C7977) - MAX(IF($B$2:$B7976=$B7977, $A$2:$A7976+$C$2:$C7976)), "")*24*60, "")</f>
        <v/>
      </c>
      <c r="S7977" s="24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78" si="1470">A7977</f>
        <v>46021</v>
      </c>
      <c r="B7978" s="5" t="str">
        <f t="shared" si="1470"/>
        <v>Northern Cardinal</v>
      </c>
      <c r="C7978" s="6">
        <f t="shared" si="1470"/>
        <v>0.7319444444444444</v>
      </c>
      <c r="D7978" s="5"/>
      <c r="E7978" s="5"/>
      <c r="F7978" s="5" t="s">
        <v>9</v>
      </c>
      <c r="G7978" s="15" t="s">
        <v>8</v>
      </c>
      <c r="H7978" s="24">
        <f t="shared" si="1460"/>
        <v>0</v>
      </c>
      <c r="I7978" s="24" cm="1">
        <f t="array" ref="I7978">IFERROR(IF($B7978=I$1, ($A7978+$C7978) - MAX(IF($B$2:$B7977=$B7978, $A$2:$A7977+$C$2:$C7977)), "")*24*60, "")</f>
        <v>0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ref="A7979:C7979" si="1471">A7978</f>
        <v>46021</v>
      </c>
      <c r="B7979" s="5" t="str">
        <f t="shared" si="1471"/>
        <v>Northern Cardinal</v>
      </c>
      <c r="C7979" s="6">
        <f t="shared" si="1471"/>
        <v>0.7319444444444444</v>
      </c>
      <c r="D7979" s="5"/>
      <c r="E7979" s="5"/>
      <c r="F7979" s="5" t="s">
        <v>9</v>
      </c>
      <c r="G7979" s="15" t="s">
        <v>8</v>
      </c>
      <c r="H7979" s="24">
        <f t="shared" si="1460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ref="A7980:C7980" si="1472">A7979</f>
        <v>46021</v>
      </c>
      <c r="B7980" s="5" t="str">
        <f t="shared" si="1472"/>
        <v>Northern Cardinal</v>
      </c>
      <c r="C7980" s="6">
        <f t="shared" si="1472"/>
        <v>0.7319444444444444</v>
      </c>
      <c r="D7980" s="5"/>
      <c r="E7980" s="5"/>
      <c r="F7980" s="5" t="s">
        <v>9</v>
      </c>
      <c r="G7980" s="15" t="s">
        <v>8</v>
      </c>
      <c r="H7980" s="24">
        <f t="shared" si="1460"/>
        <v>0</v>
      </c>
      <c r="I7980" s="24" cm="1">
        <f t="array" ref="I7980">IFERROR(IF($B7980=I$1, ($A7980+$C7980) - MAX(IF($B$2:$B7979=$B7980, $A$2:$A7979+$C$2:$C7979)), "")*24*60, "")</f>
        <v>0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ref="A7981:C7981" si="1473">A7980</f>
        <v>46021</v>
      </c>
      <c r="B7981" s="5" t="str">
        <f t="shared" si="1473"/>
        <v>Northern Cardinal</v>
      </c>
      <c r="C7981" s="6">
        <f t="shared" si="1473"/>
        <v>0.7319444444444444</v>
      </c>
      <c r="D7981" s="5"/>
      <c r="E7981" s="5"/>
      <c r="F7981" s="5" t="s">
        <v>9</v>
      </c>
      <c r="G7981" s="15" t="s">
        <v>8</v>
      </c>
      <c r="H7981" s="24">
        <f t="shared" si="1460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ref="A7982:C7982" si="1474">A7981</f>
        <v>46021</v>
      </c>
      <c r="B7982" s="5" t="str">
        <f t="shared" si="1474"/>
        <v>Northern Cardinal</v>
      </c>
      <c r="C7982" s="6">
        <f t="shared" si="1474"/>
        <v>0.7319444444444444</v>
      </c>
      <c r="D7982" s="5"/>
      <c r="E7982" s="5"/>
      <c r="F7982" s="5" t="s">
        <v>9</v>
      </c>
      <c r="G7982" s="15" t="s">
        <v>8</v>
      </c>
      <c r="H7982" s="24">
        <f t="shared" si="1460"/>
        <v>0</v>
      </c>
      <c r="I7982" s="24" cm="1">
        <f t="array" ref="I7982">IFERROR(IF($B7982=I$1, ($A7982+$C7982) - MAX(IF($B$2:$B7981=$B7982, $A$2:$A7981+$C$2:$C7981)), "")*24*60, "")</f>
        <v>0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ref="A7983:C7983" si="1475">A7982</f>
        <v>46021</v>
      </c>
      <c r="B7983" s="5" t="str">
        <f t="shared" si="1475"/>
        <v>Northern Cardinal</v>
      </c>
      <c r="C7983" s="6">
        <f t="shared" si="1475"/>
        <v>0.7319444444444444</v>
      </c>
      <c r="D7983" s="5"/>
      <c r="E7983" s="5"/>
      <c r="F7983" s="5" t="s">
        <v>9</v>
      </c>
      <c r="G7983" s="15" t="s">
        <v>8</v>
      </c>
      <c r="H7983" s="24">
        <f t="shared" si="1460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ref="A7984:C7984" si="1476">A7983</f>
        <v>46021</v>
      </c>
      <c r="B7984" s="5" t="str">
        <f t="shared" si="1476"/>
        <v>Northern Cardinal</v>
      </c>
      <c r="C7984" s="6">
        <f t="shared" si="1476"/>
        <v>0.7319444444444444</v>
      </c>
      <c r="D7984" s="5"/>
      <c r="E7984" s="5"/>
      <c r="F7984" s="5" t="s">
        <v>9</v>
      </c>
      <c r="G7984" s="15" t="s">
        <v>8</v>
      </c>
      <c r="H7984" s="24">
        <f t="shared" si="1460"/>
        <v>0</v>
      </c>
      <c r="I7984" s="24" cm="1">
        <f t="array" ref="I7984">IFERROR(IF($B7984=I$1, ($A7984+$C7984) - MAX(IF($B$2:$B7983=$B7984, $A$2:$A7983+$C$2:$C7983)), "")*24*60, "")</f>
        <v>0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ref="A7985:C7985" si="1477">A7984</f>
        <v>46021</v>
      </c>
      <c r="B7985" s="5" t="str">
        <f t="shared" si="1477"/>
        <v>Northern Cardinal</v>
      </c>
      <c r="C7985" s="6">
        <f t="shared" si="1477"/>
        <v>0.7319444444444444</v>
      </c>
      <c r="D7985" s="5"/>
      <c r="E7985" s="5"/>
      <c r="F7985" s="5" t="s">
        <v>9</v>
      </c>
      <c r="G7985" s="15" t="s">
        <v>8</v>
      </c>
      <c r="H7985" s="24">
        <f t="shared" si="1460"/>
        <v>0</v>
      </c>
      <c r="I7985" s="24" cm="1">
        <f t="array" ref="I7985">IFERROR(IF($B7985=I$1, ($A7985+$C7985) - MAX(IF($B$2:$B7984=$B7985, $A$2:$A7984+$C$2:$C7984)), "")*24*60, "")</f>
        <v>0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ref="A7986:C7986" si="1478">A7985</f>
        <v>46021</v>
      </c>
      <c r="B7986" s="5" t="str">
        <f t="shared" si="1478"/>
        <v>Northern Cardinal</v>
      </c>
      <c r="C7986" s="6">
        <f t="shared" si="1478"/>
        <v>0.7319444444444444</v>
      </c>
      <c r="D7986" s="5"/>
      <c r="E7986" s="5"/>
      <c r="F7986" s="5" t="s">
        <v>9</v>
      </c>
      <c r="G7986" s="15" t="s">
        <v>8</v>
      </c>
      <c r="H7986" s="24">
        <f t="shared" si="1460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ref="A7987:C7987" si="1479">A7986</f>
        <v>46021</v>
      </c>
      <c r="B7987" s="5" t="str">
        <f t="shared" si="1479"/>
        <v>Northern Cardinal</v>
      </c>
      <c r="C7987" s="6">
        <f t="shared" si="1479"/>
        <v>0.7319444444444444</v>
      </c>
      <c r="D7987" s="5"/>
      <c r="E7987" s="5"/>
      <c r="F7987" s="5" t="s">
        <v>9</v>
      </c>
      <c r="G7987" s="15" t="s">
        <v>8</v>
      </c>
      <c r="H7987" s="24">
        <f t="shared" si="1460"/>
        <v>0</v>
      </c>
      <c r="I7987" s="24" cm="1">
        <f t="array" ref="I7987">IFERROR(IF($B7987=I$1, ($A7987+$C7987) - MAX(IF($B$2:$B7986=$B7987, $A$2:$A7986+$C$2:$C7986)), "")*24*60, "")</f>
        <v>0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ref="A7988:C7988" si="1480">A7987</f>
        <v>46021</v>
      </c>
      <c r="B7988" s="5" t="str">
        <f t="shared" si="1480"/>
        <v>Northern Cardinal</v>
      </c>
      <c r="C7988" s="6">
        <f t="shared" si="1480"/>
        <v>0.7319444444444444</v>
      </c>
      <c r="D7988" s="5"/>
      <c r="E7988" s="5"/>
      <c r="F7988" s="5" t="s">
        <v>9</v>
      </c>
      <c r="G7988" s="15" t="s">
        <v>8</v>
      </c>
      <c r="H7988" s="24">
        <f t="shared" si="1460"/>
        <v>0</v>
      </c>
      <c r="I7988" s="24" cm="1">
        <f t="array" ref="I7988">IFERROR(IF($B7988=I$1, ($A7988+$C7988) - MAX(IF($B$2:$B7987=$B7988, $A$2:$A7987+$C$2:$C7987)), "")*24*60, "")</f>
        <v>0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ref="A7989:C7989" si="1481">A7988</f>
        <v>46021</v>
      </c>
      <c r="B7989" s="5" t="str">
        <f t="shared" si="1481"/>
        <v>Northern Cardinal</v>
      </c>
      <c r="C7989" s="6">
        <f t="shared" si="1481"/>
        <v>0.7319444444444444</v>
      </c>
      <c r="D7989" s="5"/>
      <c r="E7989" s="5"/>
      <c r="F7989" s="5" t="s">
        <v>9</v>
      </c>
      <c r="G7989" s="15" t="s">
        <v>8</v>
      </c>
      <c r="H7989" s="24">
        <f t="shared" si="1460"/>
        <v>0</v>
      </c>
      <c r="I7989" s="24" cm="1">
        <f t="array" ref="I7989">IFERROR(IF($B7989=I$1, ($A7989+$C7989) - MAX(IF($B$2:$B7988=$B7989, $A$2:$A7988+$C$2:$C7988)), "")*24*60, "")</f>
        <v>0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ref="A7990:C7990" si="1482">A7989</f>
        <v>46021</v>
      </c>
      <c r="B7990" s="5" t="str">
        <f t="shared" si="1482"/>
        <v>Northern Cardinal</v>
      </c>
      <c r="C7990" s="6">
        <f t="shared" si="1482"/>
        <v>0.7319444444444444</v>
      </c>
      <c r="D7990" s="5"/>
      <c r="E7990" s="5"/>
      <c r="F7990" s="5" t="s">
        <v>9</v>
      </c>
      <c r="G7990" s="15" t="s">
        <v>8</v>
      </c>
      <c r="H7990" s="24">
        <f t="shared" si="1460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ref="A7991:C7991" si="1483">A7990</f>
        <v>46021</v>
      </c>
      <c r="B7991" s="5" t="str">
        <f t="shared" si="1483"/>
        <v>Northern Cardinal</v>
      </c>
      <c r="C7991" s="6">
        <f t="shared" si="1483"/>
        <v>0.7319444444444444</v>
      </c>
      <c r="D7991" s="5"/>
      <c r="E7991" s="5"/>
      <c r="F7991" s="5" t="s">
        <v>9</v>
      </c>
      <c r="G7991" s="15" t="s">
        <v>8</v>
      </c>
      <c r="H7991" s="24">
        <f t="shared" si="1460"/>
        <v>0</v>
      </c>
      <c r="I7991" s="24" cm="1">
        <f t="array" ref="I7991">IFERROR(IF($B7991=I$1, ($A7991+$C7991) - MAX(IF($B$2:$B7990=$B7991, $A$2:$A7990+$C$2:$C7990)), "")*24*60, "")</f>
        <v>0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ref="A7992:C7992" si="1484">A7991</f>
        <v>46021</v>
      </c>
      <c r="B7992" s="5" t="str">
        <f t="shared" si="1484"/>
        <v>Northern Cardinal</v>
      </c>
      <c r="C7992" s="6">
        <f t="shared" si="1484"/>
        <v>0.7319444444444444</v>
      </c>
      <c r="D7992" s="5"/>
      <c r="E7992" s="5"/>
      <c r="F7992" s="5" t="s">
        <v>9</v>
      </c>
      <c r="G7992" s="15" t="s">
        <v>8</v>
      </c>
      <c r="H7992" s="24">
        <f t="shared" si="1460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ref="A7993:C7993" si="1485">A7992</f>
        <v>46021</v>
      </c>
      <c r="B7993" s="5" t="str">
        <f t="shared" si="1485"/>
        <v>Northern Cardinal</v>
      </c>
      <c r="C7993" s="6">
        <f t="shared" si="1485"/>
        <v>0.7319444444444444</v>
      </c>
      <c r="D7993" s="5"/>
      <c r="E7993" s="5"/>
      <c r="F7993" s="5" t="s">
        <v>9</v>
      </c>
      <c r="G7993" s="15" t="s">
        <v>8</v>
      </c>
      <c r="H7993" s="24">
        <f t="shared" si="1460"/>
        <v>0</v>
      </c>
      <c r="I7993" s="24" cm="1">
        <f t="array" ref="I7993">IFERROR(IF($B7993=I$1, ($A7993+$C7993) - MAX(IF($B$2:$B7992=$B7993, $A$2:$A7992+$C$2:$C7992)), "")*24*60, "")</f>
        <v>0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7994" si="1486">A7993</f>
        <v>46021</v>
      </c>
      <c r="B7994" s="5" t="str">
        <f t="shared" si="1486"/>
        <v>Northern Cardinal</v>
      </c>
      <c r="C7994" s="6">
        <f t="shared" si="1486"/>
        <v>0.7319444444444444</v>
      </c>
      <c r="D7994" s="5"/>
      <c r="E7994" s="5"/>
      <c r="F7994" s="5" t="s">
        <v>9</v>
      </c>
      <c r="G7994" s="15" t="s">
        <v>8</v>
      </c>
      <c r="H7994" s="24">
        <f t="shared" si="1460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ref="A7995:C7995" si="1487">A7994</f>
        <v>46021</v>
      </c>
      <c r="B7995" s="5" t="str">
        <f t="shared" si="1487"/>
        <v>Northern Cardinal</v>
      </c>
      <c r="C7995" s="6">
        <f t="shared" si="1487"/>
        <v>0.7319444444444444</v>
      </c>
      <c r="D7995" s="5"/>
      <c r="E7995" s="5"/>
      <c r="F7995" s="5" t="s">
        <v>9</v>
      </c>
      <c r="G7995" s="15" t="s">
        <v>8</v>
      </c>
      <c r="H7995" s="24">
        <f t="shared" si="1460"/>
        <v>0</v>
      </c>
      <c r="I7995" s="24" cm="1">
        <f t="array" ref="I7995">IFERROR(IF($B7995=I$1, ($A7995+$C7995) - MAX(IF($B$2:$B7994=$B7995, $A$2:$A7994+$C$2:$C7994)), "")*24*60, "")</f>
        <v>0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ref="A7996:C7996" si="1488">A7995</f>
        <v>46021</v>
      </c>
      <c r="B7996" s="5" t="str">
        <f t="shared" si="1488"/>
        <v>Northern Cardinal</v>
      </c>
      <c r="C7996" s="6">
        <f t="shared" si="1488"/>
        <v>0.7319444444444444</v>
      </c>
      <c r="D7996" s="5"/>
      <c r="E7996" s="5"/>
      <c r="F7996" s="5" t="s">
        <v>9</v>
      </c>
      <c r="G7996" s="15" t="s">
        <v>8</v>
      </c>
      <c r="H7996" s="24">
        <f t="shared" si="1460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ref="A7997:C7997" si="1489">A7996</f>
        <v>46021</v>
      </c>
      <c r="B7997" s="5" t="str">
        <f t="shared" si="1489"/>
        <v>Northern Cardinal</v>
      </c>
      <c r="C7997" s="6">
        <f t="shared" si="1489"/>
        <v>0.7319444444444444</v>
      </c>
      <c r="D7997" s="5"/>
      <c r="E7997" s="5"/>
      <c r="F7997" s="5" t="s">
        <v>9</v>
      </c>
      <c r="G7997" s="15" t="s">
        <v>8</v>
      </c>
      <c r="H7997" s="24">
        <f t="shared" si="1460"/>
        <v>0</v>
      </c>
      <c r="I7997" s="24" cm="1">
        <f t="array" ref="I7997">IFERROR(IF($B7997=I$1, ($A7997+$C7997) - MAX(IF($B$2:$B7996=$B7997, $A$2:$A7996+$C$2:$C7996)), "")*24*60, "")</f>
        <v>0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ref="A7998:C7998" si="1490">A7997</f>
        <v>46021</v>
      </c>
      <c r="B7998" s="5" t="str">
        <f t="shared" si="1490"/>
        <v>Northern Cardinal</v>
      </c>
      <c r="C7998" s="6">
        <f t="shared" si="1490"/>
        <v>0.7319444444444444</v>
      </c>
      <c r="D7998" s="5"/>
      <c r="E7998" s="5"/>
      <c r="F7998" s="5" t="s">
        <v>9</v>
      </c>
      <c r="G7998" s="15" t="s">
        <v>8</v>
      </c>
      <c r="H7998" s="24">
        <f t="shared" si="1460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ref="A7999:C7999" si="1491">A7998</f>
        <v>46021</v>
      </c>
      <c r="B7999" s="5" t="str">
        <f t="shared" si="1491"/>
        <v>Northern Cardinal</v>
      </c>
      <c r="C7999" s="6">
        <f t="shared" si="1491"/>
        <v>0.7319444444444444</v>
      </c>
      <c r="D7999" s="5"/>
      <c r="E7999" s="5"/>
      <c r="F7999" s="5" t="s">
        <v>9</v>
      </c>
      <c r="G7999" s="15" t="s">
        <v>8</v>
      </c>
      <c r="H7999" s="24">
        <f t="shared" si="1460"/>
        <v>0</v>
      </c>
      <c r="I7999" s="24" cm="1">
        <f t="array" ref="I7999">IFERROR(IF($B7999=I$1, ($A7999+$C7999) - MAX(IF($B$2:$B7998=$B7999, $A$2:$A7998+$C$2:$C7998)), "")*24*60, "")</f>
        <v>0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ref="A8000:C8000" si="1492">A7999</f>
        <v>46021</v>
      </c>
      <c r="B8000" s="5" t="str">
        <f t="shared" si="1492"/>
        <v>Northern Cardinal</v>
      </c>
      <c r="C8000" s="6">
        <f t="shared" si="1492"/>
        <v>0.7319444444444444</v>
      </c>
      <c r="D8000" s="5"/>
      <c r="E8000" s="5"/>
      <c r="F8000" s="5" t="s">
        <v>9</v>
      </c>
      <c r="G8000" s="15" t="s">
        <v>8</v>
      </c>
      <c r="H8000" s="24">
        <f t="shared" si="1460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ref="A8001:C8001" si="1493">A8000</f>
        <v>46021</v>
      </c>
      <c r="B8001" s="5" t="str">
        <f t="shared" si="1493"/>
        <v>Northern Cardinal</v>
      </c>
      <c r="C8001" s="6">
        <f t="shared" si="1493"/>
        <v>0.7319444444444444</v>
      </c>
      <c r="D8001" s="5"/>
      <c r="E8001" s="5"/>
      <c r="F8001" s="5" t="s">
        <v>9</v>
      </c>
      <c r="G8001" s="15" t="s">
        <v>8</v>
      </c>
      <c r="H8001" s="24">
        <f t="shared" si="1460"/>
        <v>0</v>
      </c>
      <c r="I8001" s="24" cm="1">
        <f t="array" ref="I8001">IFERROR(IF($B8001=I$1, ($A8001+$C8001) - MAX(IF($B$2:$B8000=$B8001, $A$2:$A8000+$C$2:$C8000)), "")*24*60, "")</f>
        <v>0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ref="A8002:C8002" si="1494">A8001</f>
        <v>46021</v>
      </c>
      <c r="B8002" s="5" t="str">
        <f t="shared" si="1494"/>
        <v>Northern Cardinal</v>
      </c>
      <c r="C8002" s="6">
        <f t="shared" si="1494"/>
        <v>0.7319444444444444</v>
      </c>
      <c r="D8002" s="5"/>
      <c r="E8002" s="5"/>
      <c r="F8002" s="5" t="s">
        <v>9</v>
      </c>
      <c r="G8002" s="15" t="s">
        <v>8</v>
      </c>
      <c r="H8002" s="24">
        <f t="shared" si="1460"/>
        <v>0</v>
      </c>
      <c r="I8002" s="24" cm="1">
        <f t="array" ref="I8002">IFERROR(IF($B8002=I$1, ($A8002+$C8002) - MAX(IF($B$2:$B8001=$B8002, $A$2:$A8001+$C$2:$C8001)), "")*24*60, "")</f>
        <v>0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ref="A8003:C8003" si="1495">A8002</f>
        <v>46021</v>
      </c>
      <c r="B8003" s="5" t="str">
        <f t="shared" si="1495"/>
        <v>Northern Cardinal</v>
      </c>
      <c r="C8003" s="6">
        <f t="shared" si="1495"/>
        <v>0.7319444444444444</v>
      </c>
      <c r="D8003" s="5"/>
      <c r="E8003" s="5"/>
      <c r="F8003" s="5" t="s">
        <v>9</v>
      </c>
      <c r="G8003" s="15" t="s">
        <v>8</v>
      </c>
      <c r="H8003" s="24">
        <f t="shared" si="1460"/>
        <v>0</v>
      </c>
      <c r="I8003" s="24" cm="1">
        <f t="array" ref="I8003">IFERROR(IF($B8003=I$1, ($A8003+$C8003) - MAX(IF($B$2:$B8002=$B8003, $A$2:$A8002+$C$2:$C8002)), "")*24*60, "")</f>
        <v>0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ref="A8004:C8004" si="1496">A8003</f>
        <v>46021</v>
      </c>
      <c r="B8004" s="5" t="str">
        <f t="shared" si="1496"/>
        <v>Northern Cardinal</v>
      </c>
      <c r="C8004" s="6">
        <f t="shared" si="1496"/>
        <v>0.7319444444444444</v>
      </c>
      <c r="D8004" s="5"/>
      <c r="E8004" s="5"/>
      <c r="F8004" s="5" t="s">
        <v>9</v>
      </c>
      <c r="G8004" s="15" t="s">
        <v>8</v>
      </c>
      <c r="H8004" s="24">
        <f t="shared" si="1460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ref="A8005:C8005" si="1497">A8004</f>
        <v>46021</v>
      </c>
      <c r="B8005" s="5" t="str">
        <f t="shared" si="1497"/>
        <v>Northern Cardinal</v>
      </c>
      <c r="C8005" s="6">
        <f t="shared" si="1497"/>
        <v>0.7319444444444444</v>
      </c>
      <c r="D8005" s="5"/>
      <c r="E8005" s="5"/>
      <c r="F8005" s="5" t="s">
        <v>9</v>
      </c>
      <c r="G8005" s="15" t="s">
        <v>8</v>
      </c>
      <c r="H8005" s="24">
        <f t="shared" si="1460"/>
        <v>0</v>
      </c>
      <c r="I8005" s="24" cm="1">
        <f t="array" ref="I8005">IFERROR(IF($B8005=I$1, ($A8005+$C8005) - MAX(IF($B$2:$B8004=$B8005, $A$2:$A8004+$C$2:$C8004)), "")*24*60, "")</f>
        <v>0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ref="A8006:C8006" si="1498">A8005</f>
        <v>46021</v>
      </c>
      <c r="B8006" s="5" t="str">
        <f t="shared" si="1498"/>
        <v>Northern Cardinal</v>
      </c>
      <c r="C8006" s="6">
        <f t="shared" si="1498"/>
        <v>0.7319444444444444</v>
      </c>
      <c r="D8006" s="5"/>
      <c r="E8006" s="5"/>
      <c r="F8006" s="5" t="s">
        <v>9</v>
      </c>
      <c r="G8006" s="15" t="s">
        <v>8</v>
      </c>
      <c r="H8006" s="24">
        <f t="shared" si="1460"/>
        <v>0</v>
      </c>
      <c r="I8006" s="24" cm="1">
        <f t="array" ref="I8006">IFERROR(IF($B8006=I$1, ($A8006+$C8006) - MAX(IF($B$2:$B8005=$B8006, $A$2:$A8005+$C$2:$C8005)), "")*24*60, "")</f>
        <v>0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ref="A8007:C8007" si="1499">A8006</f>
        <v>46021</v>
      </c>
      <c r="B8007" s="5" t="str">
        <f t="shared" si="1499"/>
        <v>Northern Cardinal</v>
      </c>
      <c r="C8007" s="6">
        <f t="shared" si="1499"/>
        <v>0.7319444444444444</v>
      </c>
      <c r="D8007" s="5"/>
      <c r="E8007" s="5"/>
      <c r="F8007" s="5" t="s">
        <v>9</v>
      </c>
      <c r="G8007" s="15" t="s">
        <v>8</v>
      </c>
      <c r="H8007" s="24">
        <f t="shared" si="1460"/>
        <v>0</v>
      </c>
      <c r="I8007" s="24" cm="1">
        <f t="array" ref="I8007">IFERROR(IF($B8007=I$1, ($A8007+$C8007) - MAX(IF($B$2:$B8006=$B8007, $A$2:$A8006+$C$2:$C8006)), "")*24*60, "")</f>
        <v>0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ref="A8008:C8008" si="1500">A8007</f>
        <v>46021</v>
      </c>
      <c r="B8008" s="5" t="str">
        <f t="shared" si="1500"/>
        <v>Northern Cardinal</v>
      </c>
      <c r="C8008" s="6">
        <f t="shared" si="1500"/>
        <v>0.7319444444444444</v>
      </c>
      <c r="D8008" s="5"/>
      <c r="E8008" s="5"/>
      <c r="F8008" s="5" t="s">
        <v>9</v>
      </c>
      <c r="G8008" s="15" t="s">
        <v>8</v>
      </c>
      <c r="H8008" s="24">
        <f t="shared" si="1460"/>
        <v>0</v>
      </c>
      <c r="I8008" s="24" cm="1">
        <f t="array" ref="I8008">IFERROR(IF($B8008=I$1, ($A8008+$C8008) - MAX(IF($B$2:$B8007=$B8008, $A$2:$A8007+$C$2:$C8007)), "")*24*60, "")</f>
        <v>0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ref="A8009:C8009" si="1501">A8008</f>
        <v>46021</v>
      </c>
      <c r="B8009" s="5" t="str">
        <f t="shared" si="1501"/>
        <v>Northern Cardinal</v>
      </c>
      <c r="C8009" s="6">
        <f t="shared" si="1501"/>
        <v>0.7319444444444444</v>
      </c>
      <c r="D8009" s="5"/>
      <c r="E8009" s="5"/>
      <c r="F8009" s="5" t="s">
        <v>9</v>
      </c>
      <c r="G8009" s="15" t="s">
        <v>8</v>
      </c>
      <c r="H8009" s="24">
        <f t="shared" si="1460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10" si="1502">A8009</f>
        <v>46021</v>
      </c>
      <c r="B8010" s="5" t="str">
        <f t="shared" si="1502"/>
        <v>Northern Cardinal</v>
      </c>
      <c r="C8010" s="6">
        <f t="shared" si="1502"/>
        <v>0.7319444444444444</v>
      </c>
      <c r="D8010" s="5"/>
      <c r="E8010" s="5"/>
      <c r="F8010" s="5" t="s">
        <v>9</v>
      </c>
      <c r="G8010" s="15" t="s">
        <v>8</v>
      </c>
      <c r="H8010" s="24">
        <f t="shared" si="1460"/>
        <v>0</v>
      </c>
      <c r="I8010" s="24" cm="1">
        <f t="array" ref="I8010">IFERROR(IF($B8010=I$1, ($A8010+$C8010) - MAX(IF($B$2:$B8009=$B8010, $A$2:$A8009+$C$2:$C8009)), "")*24*60, "")</f>
        <v>0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ref="A8011:C8011" si="1503">A8010</f>
        <v>46021</v>
      </c>
      <c r="B8011" s="5" t="str">
        <f t="shared" si="1503"/>
        <v>Northern Cardinal</v>
      </c>
      <c r="C8011" s="6">
        <f t="shared" si="1503"/>
        <v>0.7319444444444444</v>
      </c>
      <c r="D8011" s="5"/>
      <c r="E8011" s="5"/>
      <c r="F8011" s="5" t="s">
        <v>9</v>
      </c>
      <c r="G8011" s="15" t="s">
        <v>8</v>
      </c>
      <c r="H8011" s="24">
        <f t="shared" si="1460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ref="A8012:C8012" si="1504">A8011</f>
        <v>46021</v>
      </c>
      <c r="B8012" s="5" t="str">
        <f t="shared" si="1504"/>
        <v>Northern Cardinal</v>
      </c>
      <c r="C8012" s="6">
        <f t="shared" si="1504"/>
        <v>0.7319444444444444</v>
      </c>
      <c r="D8012" s="5"/>
      <c r="E8012" s="5"/>
      <c r="F8012" s="5" t="s">
        <v>9</v>
      </c>
      <c r="G8012" s="15" t="s">
        <v>8</v>
      </c>
      <c r="H8012" s="24">
        <f t="shared" si="1460"/>
        <v>0</v>
      </c>
      <c r="I8012" s="24" cm="1">
        <f t="array" ref="I8012">IFERROR(IF($B8012=I$1, ($A8012+$C8012) - MAX(IF($B$2:$B8011=$B8012, $A$2:$A8011+$C$2:$C8011)), "")*24*60, "")</f>
        <v>0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ref="A8013:C8013" si="1505">A8012</f>
        <v>46021</v>
      </c>
      <c r="B8013" s="5" t="str">
        <f t="shared" si="1505"/>
        <v>Northern Cardinal</v>
      </c>
      <c r="C8013" s="6">
        <f t="shared" si="1505"/>
        <v>0.7319444444444444</v>
      </c>
      <c r="D8013" s="5"/>
      <c r="E8013" s="5"/>
      <c r="F8013" s="5" t="s">
        <v>9</v>
      </c>
      <c r="G8013" s="15" t="s">
        <v>8</v>
      </c>
      <c r="H8013" s="24">
        <f t="shared" si="1460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ref="A8014:C8014" si="1506">A8013</f>
        <v>46021</v>
      </c>
      <c r="B8014" s="5" t="str">
        <f t="shared" si="1506"/>
        <v>Northern Cardinal</v>
      </c>
      <c r="C8014" s="6">
        <f t="shared" si="1506"/>
        <v>0.7319444444444444</v>
      </c>
      <c r="D8014" s="5"/>
      <c r="E8014" s="5"/>
      <c r="F8014" s="5" t="s">
        <v>9</v>
      </c>
      <c r="G8014" s="15" t="s">
        <v>8</v>
      </c>
      <c r="H8014" s="24">
        <f t="shared" si="1460"/>
        <v>0</v>
      </c>
      <c r="I8014" s="24" cm="1">
        <f t="array" ref="I8014">IFERROR(IF($B8014=I$1, ($A8014+$C8014) - MAX(IF($B$2:$B8013=$B8014, $A$2:$A8013+$C$2:$C8013)), "")*24*60, "")</f>
        <v>0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ref="A8015:C8015" si="1507">A8014</f>
        <v>46021</v>
      </c>
      <c r="B8015" s="5" t="str">
        <f t="shared" si="1507"/>
        <v>Northern Cardinal</v>
      </c>
      <c r="C8015" s="6">
        <f t="shared" si="1507"/>
        <v>0.7319444444444444</v>
      </c>
      <c r="D8015" s="5"/>
      <c r="E8015" s="5"/>
      <c r="F8015" s="5" t="s">
        <v>9</v>
      </c>
      <c r="G8015" s="15" t="s">
        <v>8</v>
      </c>
      <c r="H8015" s="24">
        <f t="shared" si="1460"/>
        <v>0</v>
      </c>
      <c r="I8015" s="24" cm="1">
        <f t="array" ref="I8015">IFERROR(IF($B8015=I$1, ($A8015+$C8015) - MAX(IF($B$2:$B8014=$B8015, $A$2:$A8014+$C$2:$C8014)), "")*24*60, "")</f>
        <v>0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ref="A8016:C8016" si="1508">A8015</f>
        <v>46021</v>
      </c>
      <c r="B8016" s="5" t="str">
        <f t="shared" si="1508"/>
        <v>Northern Cardinal</v>
      </c>
      <c r="C8016" s="6">
        <f t="shared" si="1508"/>
        <v>0.7319444444444444</v>
      </c>
      <c r="D8016" s="5"/>
      <c r="E8016" s="5"/>
      <c r="F8016" s="5" t="s">
        <v>9</v>
      </c>
      <c r="G8016" s="15" t="s">
        <v>8</v>
      </c>
      <c r="H8016" s="24">
        <f t="shared" si="1460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ref="A8017:C8017" si="1509">A8016</f>
        <v>46021</v>
      </c>
      <c r="B8017" s="5" t="str">
        <f t="shared" si="1509"/>
        <v>Northern Cardinal</v>
      </c>
      <c r="C8017" s="6">
        <f t="shared" si="1509"/>
        <v>0.7319444444444444</v>
      </c>
      <c r="D8017" s="5"/>
      <c r="E8017" s="5"/>
      <c r="F8017" s="5" t="s">
        <v>9</v>
      </c>
      <c r="G8017" s="15" t="s">
        <v>8</v>
      </c>
      <c r="H8017" s="24">
        <f t="shared" si="1460"/>
        <v>0</v>
      </c>
      <c r="I8017" s="24" cm="1">
        <f t="array" ref="I8017">IFERROR(IF($B8017=I$1, ($A8017+$C8017) - MAX(IF($B$2:$B8016=$B8017, $A$2:$A8016+$C$2:$C8016)), "")*24*60, "")</f>
        <v>0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ref="A8018:C8018" si="1510">A8017</f>
        <v>46021</v>
      </c>
      <c r="B8018" s="5" t="str">
        <f t="shared" si="1510"/>
        <v>Northern Cardinal</v>
      </c>
      <c r="C8018" s="6">
        <f t="shared" si="1510"/>
        <v>0.7319444444444444</v>
      </c>
      <c r="D8018" s="5"/>
      <c r="E8018" s="5"/>
      <c r="F8018" s="5" t="s">
        <v>9</v>
      </c>
      <c r="G8018" s="15" t="s">
        <v>8</v>
      </c>
      <c r="H8018" s="24">
        <f t="shared" si="1460"/>
        <v>0</v>
      </c>
      <c r="I8018" s="24" cm="1">
        <f t="array" ref="I8018">IFERROR(IF($B8018=I$1, ($A8018+$C8018) - MAX(IF($B$2:$B8017=$B8018, $A$2:$A8017+$C$2:$C8017)), "")*24*60, "")</f>
        <v>0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ref="A8019:C8019" si="1511">A8018</f>
        <v>46021</v>
      </c>
      <c r="B8019" s="5" t="str">
        <f t="shared" si="1511"/>
        <v>Northern Cardinal</v>
      </c>
      <c r="C8019" s="6">
        <f t="shared" si="1511"/>
        <v>0.7319444444444444</v>
      </c>
      <c r="D8019" s="5"/>
      <c r="E8019" s="5"/>
      <c r="F8019" s="5" t="s">
        <v>9</v>
      </c>
      <c r="G8019" s="15" t="s">
        <v>8</v>
      </c>
      <c r="H8019" s="24">
        <f t="shared" si="1460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ref="A8020:C8020" si="1512">A8019</f>
        <v>46021</v>
      </c>
      <c r="B8020" s="5" t="str">
        <f t="shared" si="1512"/>
        <v>Northern Cardinal</v>
      </c>
      <c r="C8020" s="6">
        <f t="shared" si="1512"/>
        <v>0.7319444444444444</v>
      </c>
      <c r="D8020" s="5"/>
      <c r="E8020" s="5"/>
      <c r="F8020" s="5" t="s">
        <v>9</v>
      </c>
      <c r="G8020" s="15" t="s">
        <v>8</v>
      </c>
      <c r="H8020" s="24">
        <f t="shared" si="1460"/>
        <v>0</v>
      </c>
      <c r="I8020" s="24" cm="1">
        <f t="array" ref="I8020">IFERROR(IF($B8020=I$1, ($A8020+$C8020) - MAX(IF($B$2:$B8019=$B8020, $A$2:$A8019+$C$2:$C8019)), "")*24*60, "")</f>
        <v>0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ref="A8021:C8021" si="1513">A8020</f>
        <v>46021</v>
      </c>
      <c r="B8021" s="5" t="str">
        <f t="shared" si="1513"/>
        <v>Northern Cardinal</v>
      </c>
      <c r="C8021" s="6">
        <f t="shared" si="1513"/>
        <v>0.7319444444444444</v>
      </c>
      <c r="D8021" s="5"/>
      <c r="E8021" s="5"/>
      <c r="F8021" s="5" t="s">
        <v>9</v>
      </c>
      <c r="G8021" s="15" t="s">
        <v>8</v>
      </c>
      <c r="H8021" s="24">
        <f t="shared" si="1460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ref="A8022:C8022" si="1514">A8021</f>
        <v>46021</v>
      </c>
      <c r="B8022" s="5" t="str">
        <f t="shared" si="1514"/>
        <v>Northern Cardinal</v>
      </c>
      <c r="C8022" s="6">
        <f t="shared" si="1514"/>
        <v>0.7319444444444444</v>
      </c>
      <c r="D8022" s="5"/>
      <c r="E8022" s="5"/>
      <c r="F8022" s="5" t="s">
        <v>9</v>
      </c>
      <c r="G8022" s="15" t="s">
        <v>8</v>
      </c>
      <c r="H8022" s="24">
        <f t="shared" si="1460"/>
        <v>0</v>
      </c>
      <c r="I8022" s="24" cm="1">
        <f t="array" ref="I8022">IFERROR(IF($B8022=I$1, ($A8022+$C8022) - MAX(IF($B$2:$B8021=$B8022, $A$2:$A8021+$C$2:$C8021)), "")*24*60, "")</f>
        <v>0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ref="A8023:C8023" si="1515">A8022</f>
        <v>46021</v>
      </c>
      <c r="B8023" s="5" t="str">
        <f t="shared" si="1515"/>
        <v>Northern Cardinal</v>
      </c>
      <c r="C8023" s="6">
        <f t="shared" si="1515"/>
        <v>0.7319444444444444</v>
      </c>
      <c r="D8023" s="5"/>
      <c r="E8023" s="5"/>
      <c r="F8023" s="5" t="s">
        <v>9</v>
      </c>
      <c r="G8023" s="15" t="s">
        <v>8</v>
      </c>
      <c r="H8023" s="24">
        <f t="shared" si="1460"/>
        <v>0</v>
      </c>
      <c r="I8023" s="24" cm="1">
        <f t="array" ref="I8023">IFERROR(IF($B8023=I$1, ($A8023+$C8023) - MAX(IF($B$2:$B8022=$B8023, $A$2:$A8022+$C$2:$C8022)), "")*24*60, "")</f>
        <v>0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ref="A8024:C8024" si="1516">A8023</f>
        <v>46021</v>
      </c>
      <c r="B8024" s="5" t="str">
        <f t="shared" si="1516"/>
        <v>Northern Cardinal</v>
      </c>
      <c r="C8024" s="6">
        <f t="shared" si="1516"/>
        <v>0.7319444444444444</v>
      </c>
      <c r="D8024" s="5"/>
      <c r="E8024" s="5"/>
      <c r="F8024" s="5" t="s">
        <v>9</v>
      </c>
      <c r="G8024" s="15" t="s">
        <v>8</v>
      </c>
      <c r="H8024" s="24">
        <f t="shared" si="1460"/>
        <v>0</v>
      </c>
      <c r="I8024" s="24" cm="1">
        <f t="array" ref="I8024">IFERROR(IF($B8024=I$1, ($A8024+$C8024) - MAX(IF($B$2:$B8023=$B8024, $A$2:$A8023+$C$2:$C8023)), "")*24*60, "")</f>
        <v>0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2">
        <f t="shared" ref="A8025:C8025" si="1517">A8024</f>
        <v>46021</v>
      </c>
      <c r="B8025" s="5" t="str">
        <f t="shared" si="1517"/>
        <v>Northern Cardinal</v>
      </c>
      <c r="C8025" s="6">
        <f t="shared" si="1517"/>
        <v>0.7319444444444444</v>
      </c>
      <c r="D8025" s="5"/>
      <c r="E8025" s="5"/>
      <c r="F8025" s="5" t="s">
        <v>9</v>
      </c>
      <c r="G8025" s="15" t="s">
        <v>8</v>
      </c>
      <c r="H8025" s="24">
        <f t="shared" si="1460"/>
        <v>0</v>
      </c>
      <c r="I8025" s="24" cm="1">
        <f t="array" ref="I8025">IFERROR(IF($B8025=I$1, ($A8025+$C8025) - MAX(IF($B$2:$B8024=$B8025, $A$2:$A8024+$C$2:$C8024)), "")*24*60, "")</f>
        <v>0</v>
      </c>
      <c r="J8025" s="24" t="str" cm="1">
        <f t="array" ref="J8025">IFERROR(IF($B8025=J$1, ($A8025+$C8025) - MAX(IF($B$2:$B8024=$B8025, $A$2:$A8024+$C$2:$C8024)), "")*24*60, "")</f>
        <v/>
      </c>
      <c r="K8025" s="24" t="str" cm="1">
        <f t="array" ref="K8025">IFERROR(IF($B8025=K$1, ($A8025+$C8025) - MAX(IF($B$2:$B8024=$B8025, $A$2:$A8024+$C$2:$C8024)), "")*24*60, "")</f>
        <v/>
      </c>
      <c r="L8025" s="24" t="str" cm="1">
        <f t="array" ref="L8025">IFERROR(IF($B8025=L$1, ($A8025+$C8025) - MAX(IF($B$2:$B8024=$B8025, $A$2:$A8024+$C$2:$C8024)), "")*24*60, "")</f>
        <v/>
      </c>
      <c r="M8025" s="24" t="str" cm="1">
        <f t="array" ref="M8025">IFERROR(IF($B8025=M$1, ($A8025+$C8025) - MAX(IF($B$2:$B8024=$B8025, $A$2:$A8024+$C$2:$C8024)), "")*24*60, "")</f>
        <v/>
      </c>
      <c r="N8025" s="24" t="str" cm="1">
        <f t="array" ref="N8025">IFERROR(IF($B8025=N$1, ($A8025+$C8025) - MAX(IF($B$2:$B8024=$B8025, $A$2:$A8024+$C$2:$C8024)), "")*24*60, "")</f>
        <v/>
      </c>
      <c r="O8025" s="24" t="str" cm="1">
        <f t="array" ref="O8025">IFERROR(IF($B8025=O$1, ($A8025+$C8025) - MAX(IF($B$2:$B8024=$B8025, $A$2:$A8024+$C$2:$C8024)), "")*24*60, "")</f>
        <v/>
      </c>
      <c r="P8025" s="24" t="str" cm="1">
        <f t="array" ref="P8025">IFERROR(IF($B8025=P$1, ($A8025+$C8025) - MAX(IF($B$2:$B8024=$B8025, $A$2:$A8024+$C$2:$C8024)), "")*24*60, "")</f>
        <v/>
      </c>
      <c r="Q8025" s="24" t="str" cm="1">
        <f t="array" ref="Q8025">IFERROR(IF($B8025=Q$1, ($A8025+$C8025) - MAX(IF($B$2:$B8024=$B8025, $A$2:$A8024+$C$2:$C8024)), "")*24*60, "")</f>
        <v/>
      </c>
      <c r="R8025" s="24" t="str" cm="1">
        <f t="array" ref="R8025">IFERROR(IF($B8025=R$1, ($A8025+$C8025) - MAX(IF($B$2:$B8024=$B8025, $A$2:$A8024+$C$2:$C8024)), "")*24*60, "")</f>
        <v/>
      </c>
      <c r="S8025" s="24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f t="shared" ref="A8026:C8026" si="1518">A8025</f>
        <v>46021</v>
      </c>
      <c r="B8026" s="5" t="str">
        <f t="shared" si="1518"/>
        <v>Northern Cardinal</v>
      </c>
      <c r="C8026" s="6">
        <f t="shared" si="1518"/>
        <v>0.7319444444444444</v>
      </c>
      <c r="D8026" s="5"/>
      <c r="E8026" s="5"/>
      <c r="F8026" s="5" t="s">
        <v>9</v>
      </c>
      <c r="G8026" s="15" t="s">
        <v>8</v>
      </c>
      <c r="H8026" s="24">
        <f t="shared" si="1460"/>
        <v>0</v>
      </c>
      <c r="I8026" s="24" cm="1">
        <f t="array" ref="I8026">IFERROR(IF($B8026=I$1, ($A8026+$C8026) - MAX(IF($B$2:$B8025=$B8026, $A$2:$A8025+$C$2:$C8025)), "")*24*60, "")</f>
        <v>0</v>
      </c>
      <c r="J8026" s="24" t="str" cm="1">
        <f t="array" ref="J8026">IFERROR(IF($B8026=J$1, ($A8026+$C8026) - MAX(IF($B$2:$B8025=$B8026, $A$2:$A8025+$C$2:$C8025)), "")*24*60, "")</f>
        <v/>
      </c>
      <c r="K8026" s="24" t="str" cm="1">
        <f t="array" ref="K8026">IFERROR(IF($B8026=K$1, ($A8026+$C8026) - MAX(IF($B$2:$B8025=$B8026, $A$2:$A8025+$C$2:$C8025)), "")*24*60, "")</f>
        <v/>
      </c>
      <c r="L8026" s="24" t="str" cm="1">
        <f t="array" ref="L8026">IFERROR(IF($B8026=L$1, ($A8026+$C8026) - MAX(IF($B$2:$B8025=$B8026, $A$2:$A8025+$C$2:$C8025)), "")*24*60, "")</f>
        <v/>
      </c>
      <c r="M8026" s="24" t="str" cm="1">
        <f t="array" ref="M8026">IFERROR(IF($B8026=M$1, ($A8026+$C8026) - MAX(IF($B$2:$B8025=$B8026, $A$2:$A8025+$C$2:$C8025)), "")*24*60, "")</f>
        <v/>
      </c>
      <c r="N8026" s="24" t="str" cm="1">
        <f t="array" ref="N8026">IFERROR(IF($B8026=N$1, ($A8026+$C8026) - MAX(IF($B$2:$B8025=$B8026, $A$2:$A8025+$C$2:$C8025)), "")*24*60, "")</f>
        <v/>
      </c>
      <c r="O8026" s="24" t="str" cm="1">
        <f t="array" ref="O8026">IFERROR(IF($B8026=O$1, ($A8026+$C8026) - MAX(IF($B$2:$B8025=$B8026, $A$2:$A8025+$C$2:$C8025)), "")*24*60, "")</f>
        <v/>
      </c>
      <c r="P8026" s="24" t="str" cm="1">
        <f t="array" ref="P8026">IFERROR(IF($B8026=P$1, ($A8026+$C8026) - MAX(IF($B$2:$B8025=$B8026, $A$2:$A8025+$C$2:$C8025)), "")*24*60, "")</f>
        <v/>
      </c>
      <c r="Q8026" s="24" t="str" cm="1">
        <f t="array" ref="Q8026">IFERROR(IF($B8026=Q$1, ($A8026+$C8026) - MAX(IF($B$2:$B8025=$B8026, $A$2:$A8025+$C$2:$C8025)), "")*24*60, "")</f>
        <v/>
      </c>
      <c r="R8026" s="24" t="str" cm="1">
        <f t="array" ref="R8026">IFERROR(IF($B8026=R$1, ($A8026+$C8026) - MAX(IF($B$2:$B8025=$B8026, $A$2:$A8025+$C$2:$C8025)), "")*24*60, "")</f>
        <v/>
      </c>
      <c r="S8026" s="24" t="str" cm="1">
        <f t="array" ref="S8026">IFERROR(IF($B8026=S$1, ($A8026+$C8026) - MAX(IF($B$2:$B8025=$B8026, $A$2:$A8025+$C$2:$C8025)), "")*24*60, "")</f>
        <v/>
      </c>
    </row>
    <row r="8027" spans="1:19" x14ac:dyDescent="0.2">
      <c r="A8027" s="12">
        <f t="shared" ref="A8027:C8027" si="1519">A8026</f>
        <v>46021</v>
      </c>
      <c r="B8027" s="5" t="str">
        <f t="shared" si="1519"/>
        <v>Northern Cardinal</v>
      </c>
      <c r="C8027" s="6">
        <f t="shared" si="1519"/>
        <v>0.7319444444444444</v>
      </c>
      <c r="D8027" s="5"/>
      <c r="E8027" s="5"/>
      <c r="F8027" s="5" t="s">
        <v>9</v>
      </c>
      <c r="G8027" s="15" t="s">
        <v>8</v>
      </c>
      <c r="H8027" s="24">
        <f t="shared" si="1460"/>
        <v>0</v>
      </c>
      <c r="I8027" s="24" cm="1">
        <f t="array" ref="I8027">IFERROR(IF($B8027=I$1, ($A8027+$C8027) - MAX(IF($B$2:$B8026=$B8027, $A$2:$A8026+$C$2:$C8026)), "")*24*60, "")</f>
        <v>0</v>
      </c>
      <c r="J8027" s="24" t="str" cm="1">
        <f t="array" ref="J8027">IFERROR(IF($B8027=J$1, ($A8027+$C8027) - MAX(IF($B$2:$B8026=$B8027, $A$2:$A8026+$C$2:$C8026)), "")*24*60, "")</f>
        <v/>
      </c>
      <c r="K8027" s="24" t="str" cm="1">
        <f t="array" ref="K8027">IFERROR(IF($B8027=K$1, ($A8027+$C8027) - MAX(IF($B$2:$B8026=$B8027, $A$2:$A8026+$C$2:$C8026)), "")*24*60, "")</f>
        <v/>
      </c>
      <c r="L8027" s="24" t="str" cm="1">
        <f t="array" ref="L8027">IFERROR(IF($B8027=L$1, ($A8027+$C8027) - MAX(IF($B$2:$B8026=$B8027, $A$2:$A8026+$C$2:$C8026)), "")*24*60, "")</f>
        <v/>
      </c>
      <c r="M8027" s="24" t="str" cm="1">
        <f t="array" ref="M8027">IFERROR(IF($B8027=M$1, ($A8027+$C8027) - MAX(IF($B$2:$B8026=$B8027, $A$2:$A8026+$C$2:$C8026)), "")*24*60, "")</f>
        <v/>
      </c>
      <c r="N8027" s="24" t="str" cm="1">
        <f t="array" ref="N8027">IFERROR(IF($B8027=N$1, ($A8027+$C8027) - MAX(IF($B$2:$B8026=$B8027, $A$2:$A8026+$C$2:$C8026)), "")*24*60, "")</f>
        <v/>
      </c>
      <c r="O8027" s="24" t="str" cm="1">
        <f t="array" ref="O8027">IFERROR(IF($B8027=O$1, ($A8027+$C8027) - MAX(IF($B$2:$B8026=$B8027, $A$2:$A8026+$C$2:$C8026)), "")*24*60, "")</f>
        <v/>
      </c>
      <c r="P8027" s="24" t="str" cm="1">
        <f t="array" ref="P8027">IFERROR(IF($B8027=P$1, ($A8027+$C8027) - MAX(IF($B$2:$B8026=$B8027, $A$2:$A8026+$C$2:$C8026)), "")*24*60, "")</f>
        <v/>
      </c>
      <c r="Q8027" s="24" t="str" cm="1">
        <f t="array" ref="Q8027">IFERROR(IF($B8027=Q$1, ($A8027+$C8027) - MAX(IF($B$2:$B8026=$B8027, $A$2:$A8026+$C$2:$C8026)), "")*24*60, "")</f>
        <v/>
      </c>
      <c r="R8027" s="24" t="str" cm="1">
        <f t="array" ref="R8027">IFERROR(IF($B8027=R$1, ($A8027+$C8027) - MAX(IF($B$2:$B8026=$B8027, $A$2:$A8026+$C$2:$C8026)), "")*24*60, "")</f>
        <v/>
      </c>
      <c r="S8027" s="24" t="str" cm="1">
        <f t="array" ref="S8027">IFERROR(IF($B8027=S$1, ($A8027+$C8027) - MAX(IF($B$2:$B8026=$B8027, $A$2:$A8026+$C$2:$C8026)), "")*24*60, "")</f>
        <v/>
      </c>
    </row>
    <row r="8028" spans="1:19" x14ac:dyDescent="0.2">
      <c r="A8028" s="12">
        <f t="shared" ref="A8028:C8028" si="1520">A8027</f>
        <v>46021</v>
      </c>
      <c r="B8028" s="5" t="str">
        <f t="shared" si="1520"/>
        <v>Northern Cardinal</v>
      </c>
      <c r="C8028" s="6">
        <f t="shared" si="1520"/>
        <v>0.7319444444444444</v>
      </c>
      <c r="D8028" s="5"/>
      <c r="E8028" s="5"/>
      <c r="F8028" s="5" t="s">
        <v>9</v>
      </c>
      <c r="G8028" s="15" t="s">
        <v>8</v>
      </c>
      <c r="H8028" s="24">
        <f t="shared" si="1460"/>
        <v>0</v>
      </c>
      <c r="I8028" s="24" cm="1">
        <f t="array" ref="I8028">IFERROR(IF($B8028=I$1, ($A8028+$C8028) - MAX(IF($B$2:$B8027=$B8028, $A$2:$A8027+$C$2:$C8027)), "")*24*60, "")</f>
        <v>0</v>
      </c>
      <c r="J8028" s="24" t="str" cm="1">
        <f t="array" ref="J8028">IFERROR(IF($B8028=J$1, ($A8028+$C8028) - MAX(IF($B$2:$B8027=$B8028, $A$2:$A8027+$C$2:$C8027)), "")*24*60, "")</f>
        <v/>
      </c>
      <c r="K8028" s="24" t="str" cm="1">
        <f t="array" ref="K8028">IFERROR(IF($B8028=K$1, ($A8028+$C8028) - MAX(IF($B$2:$B8027=$B8028, $A$2:$A8027+$C$2:$C8027)), "")*24*60, "")</f>
        <v/>
      </c>
      <c r="L8028" s="24" t="str" cm="1">
        <f t="array" ref="L8028">IFERROR(IF($B8028=L$1, ($A8028+$C8028) - MAX(IF($B$2:$B8027=$B8028, $A$2:$A8027+$C$2:$C8027)), "")*24*60, "")</f>
        <v/>
      </c>
      <c r="M8028" s="24" t="str" cm="1">
        <f t="array" ref="M8028">IFERROR(IF($B8028=M$1, ($A8028+$C8028) - MAX(IF($B$2:$B8027=$B8028, $A$2:$A8027+$C$2:$C8027)), "")*24*60, "")</f>
        <v/>
      </c>
      <c r="N8028" s="24" t="str" cm="1">
        <f t="array" ref="N8028">IFERROR(IF($B8028=N$1, ($A8028+$C8028) - MAX(IF($B$2:$B8027=$B8028, $A$2:$A8027+$C$2:$C8027)), "")*24*60, "")</f>
        <v/>
      </c>
      <c r="O8028" s="24" t="str" cm="1">
        <f t="array" ref="O8028">IFERROR(IF($B8028=O$1, ($A8028+$C8028) - MAX(IF($B$2:$B8027=$B8028, $A$2:$A8027+$C$2:$C8027)), "")*24*60, "")</f>
        <v/>
      </c>
      <c r="P8028" s="24" t="str" cm="1">
        <f t="array" ref="P8028">IFERROR(IF($B8028=P$1, ($A8028+$C8028) - MAX(IF($B$2:$B8027=$B8028, $A$2:$A8027+$C$2:$C8027)), "")*24*60, "")</f>
        <v/>
      </c>
      <c r="Q8028" s="24" t="str" cm="1">
        <f t="array" ref="Q8028">IFERROR(IF($B8028=Q$1, ($A8028+$C8028) - MAX(IF($B$2:$B8027=$B8028, $A$2:$A8027+$C$2:$C8027)), "")*24*60, "")</f>
        <v/>
      </c>
      <c r="R8028" s="24" t="str" cm="1">
        <f t="array" ref="R8028">IFERROR(IF($B8028=R$1, ($A8028+$C8028) - MAX(IF($B$2:$B8027=$B8028, $A$2:$A8027+$C$2:$C8027)), "")*24*60, "")</f>
        <v/>
      </c>
      <c r="S8028" s="24" t="str" cm="1">
        <f t="array" ref="S8028">IFERROR(IF($B8028=S$1, ($A8028+$C8028) - MAX(IF($B$2:$B8027=$B8028, $A$2:$A8027+$C$2:$C8027)), "")*24*60, "")</f>
        <v/>
      </c>
    </row>
    <row r="8029" spans="1:19" x14ac:dyDescent="0.2">
      <c r="A8029" s="12">
        <f t="shared" ref="A8029:C8029" si="1521">A8028</f>
        <v>46021</v>
      </c>
      <c r="B8029" s="5" t="str">
        <f t="shared" si="1521"/>
        <v>Northern Cardinal</v>
      </c>
      <c r="C8029" s="6">
        <f t="shared" si="1521"/>
        <v>0.7319444444444444</v>
      </c>
      <c r="D8029" s="5"/>
      <c r="E8029" s="5"/>
      <c r="F8029" s="5" t="s">
        <v>9</v>
      </c>
      <c r="G8029" s="15" t="s">
        <v>8</v>
      </c>
      <c r="H8029" s="24">
        <f t="shared" si="1460"/>
        <v>0</v>
      </c>
      <c r="I8029" s="24" cm="1">
        <f t="array" ref="I8029">IFERROR(IF($B8029=I$1, ($A8029+$C8029) - MAX(IF($B$2:$B8028=$B8029, $A$2:$A8028+$C$2:$C8028)), "")*24*60, "")</f>
        <v>0</v>
      </c>
      <c r="J8029" s="24" t="str" cm="1">
        <f t="array" ref="J8029">IFERROR(IF($B8029=J$1, ($A8029+$C8029) - MAX(IF($B$2:$B8028=$B8029, $A$2:$A8028+$C$2:$C8028)), "")*24*60, "")</f>
        <v/>
      </c>
      <c r="K8029" s="24" t="str" cm="1">
        <f t="array" ref="K8029">IFERROR(IF($B8029=K$1, ($A8029+$C8029) - MAX(IF($B$2:$B8028=$B8029, $A$2:$A8028+$C$2:$C8028)), "")*24*60, "")</f>
        <v/>
      </c>
      <c r="L8029" s="24" t="str" cm="1">
        <f t="array" ref="L8029">IFERROR(IF($B8029=L$1, ($A8029+$C8029) - MAX(IF($B$2:$B8028=$B8029, $A$2:$A8028+$C$2:$C8028)), "")*24*60, "")</f>
        <v/>
      </c>
      <c r="M8029" s="24" t="str" cm="1">
        <f t="array" ref="M8029">IFERROR(IF($B8029=M$1, ($A8029+$C8029) - MAX(IF($B$2:$B8028=$B8029, $A$2:$A8028+$C$2:$C8028)), "")*24*60, "")</f>
        <v/>
      </c>
      <c r="N8029" s="24" t="str" cm="1">
        <f t="array" ref="N8029">IFERROR(IF($B8029=N$1, ($A8029+$C8029) - MAX(IF($B$2:$B8028=$B8029, $A$2:$A8028+$C$2:$C8028)), "")*24*60, "")</f>
        <v/>
      </c>
      <c r="O8029" s="24" t="str" cm="1">
        <f t="array" ref="O8029">IFERROR(IF($B8029=O$1, ($A8029+$C8029) - MAX(IF($B$2:$B8028=$B8029, $A$2:$A8028+$C$2:$C8028)), "")*24*60, "")</f>
        <v/>
      </c>
      <c r="P8029" s="24" t="str" cm="1">
        <f t="array" ref="P8029">IFERROR(IF($B8029=P$1, ($A8029+$C8029) - MAX(IF($B$2:$B8028=$B8029, $A$2:$A8028+$C$2:$C8028)), "")*24*60, "")</f>
        <v/>
      </c>
      <c r="Q8029" s="24" t="str" cm="1">
        <f t="array" ref="Q8029">IFERROR(IF($B8029=Q$1, ($A8029+$C8029) - MAX(IF($B$2:$B8028=$B8029, $A$2:$A8028+$C$2:$C8028)), "")*24*60, "")</f>
        <v/>
      </c>
      <c r="R8029" s="24" t="str" cm="1">
        <f t="array" ref="R8029">IFERROR(IF($B8029=R$1, ($A8029+$C8029) - MAX(IF($B$2:$B8028=$B8029, $A$2:$A8028+$C$2:$C8028)), "")*24*60, "")</f>
        <v/>
      </c>
      <c r="S8029" s="24" t="str" cm="1">
        <f t="array" ref="S8029">IFERROR(IF($B8029=S$1, ($A8029+$C8029) - MAX(IF($B$2:$B8028=$B8029, $A$2:$A8028+$C$2:$C8028)), "")*24*60, "")</f>
        <v/>
      </c>
    </row>
    <row r="8030" spans="1:19" x14ac:dyDescent="0.2">
      <c r="A8030" s="12">
        <f t="shared" ref="A8030:C8030" si="1522">A8029</f>
        <v>46021</v>
      </c>
      <c r="B8030" s="5" t="str">
        <f t="shared" si="1522"/>
        <v>Northern Cardinal</v>
      </c>
      <c r="C8030" s="6">
        <f t="shared" si="1522"/>
        <v>0.7319444444444444</v>
      </c>
      <c r="D8030" s="5"/>
      <c r="E8030" s="5"/>
      <c r="F8030" s="5" t="s">
        <v>9</v>
      </c>
      <c r="G8030" s="15" t="s">
        <v>8</v>
      </c>
      <c r="H8030" s="24">
        <f t="shared" si="1460"/>
        <v>0</v>
      </c>
      <c r="I8030" s="24" cm="1">
        <f t="array" ref="I8030">IFERROR(IF($B8030=I$1, ($A8030+$C8030) - MAX(IF($B$2:$B8029=$B8030, $A$2:$A8029+$C$2:$C8029)), "")*24*60, "")</f>
        <v>0</v>
      </c>
      <c r="J8030" s="24" t="str" cm="1">
        <f t="array" ref="J8030">IFERROR(IF($B8030=J$1, ($A8030+$C8030) - MAX(IF($B$2:$B8029=$B8030, $A$2:$A8029+$C$2:$C8029)), "")*24*60, "")</f>
        <v/>
      </c>
      <c r="K8030" s="24" t="str" cm="1">
        <f t="array" ref="K8030">IFERROR(IF($B8030=K$1, ($A8030+$C8030) - MAX(IF($B$2:$B8029=$B8030, $A$2:$A8029+$C$2:$C8029)), "")*24*60, "")</f>
        <v/>
      </c>
      <c r="L8030" s="24" t="str" cm="1">
        <f t="array" ref="L8030">IFERROR(IF($B8030=L$1, ($A8030+$C8030) - MAX(IF($B$2:$B8029=$B8030, $A$2:$A8029+$C$2:$C8029)), "")*24*60, "")</f>
        <v/>
      </c>
      <c r="M8030" s="24" t="str" cm="1">
        <f t="array" ref="M8030">IFERROR(IF($B8030=M$1, ($A8030+$C8030) - MAX(IF($B$2:$B8029=$B8030, $A$2:$A8029+$C$2:$C8029)), "")*24*60, "")</f>
        <v/>
      </c>
      <c r="N8030" s="24" t="str" cm="1">
        <f t="array" ref="N8030">IFERROR(IF($B8030=N$1, ($A8030+$C8030) - MAX(IF($B$2:$B8029=$B8030, $A$2:$A8029+$C$2:$C8029)), "")*24*60, "")</f>
        <v/>
      </c>
      <c r="O8030" s="24" t="str" cm="1">
        <f t="array" ref="O8030">IFERROR(IF($B8030=O$1, ($A8030+$C8030) - MAX(IF($B$2:$B8029=$B8030, $A$2:$A8029+$C$2:$C8029)), "")*24*60, "")</f>
        <v/>
      </c>
      <c r="P8030" s="24" t="str" cm="1">
        <f t="array" ref="P8030">IFERROR(IF($B8030=P$1, ($A8030+$C8030) - MAX(IF($B$2:$B8029=$B8030, $A$2:$A8029+$C$2:$C8029)), "")*24*60, "")</f>
        <v/>
      </c>
      <c r="Q8030" s="24" t="str" cm="1">
        <f t="array" ref="Q8030">IFERROR(IF($B8030=Q$1, ($A8030+$C8030) - MAX(IF($B$2:$B8029=$B8030, $A$2:$A8029+$C$2:$C8029)), "")*24*60, "")</f>
        <v/>
      </c>
      <c r="R8030" s="24" t="str" cm="1">
        <f t="array" ref="R8030">IFERROR(IF($B8030=R$1, ($A8030+$C8030) - MAX(IF($B$2:$B8029=$B8030, $A$2:$A8029+$C$2:$C8029)), "")*24*60, "")</f>
        <v/>
      </c>
      <c r="S8030" s="24" t="str" cm="1">
        <f t="array" ref="S8030">IFERROR(IF($B8030=S$1, ($A8030+$C8030) - MAX(IF($B$2:$B8029=$B8030, $A$2:$A8029+$C$2:$C8029)), "")*24*60, "")</f>
        <v/>
      </c>
    </row>
    <row r="8031" spans="1:19" x14ac:dyDescent="0.2">
      <c r="A8031" s="12">
        <f t="shared" ref="A8031:C8031" si="1523">A8030</f>
        <v>46021</v>
      </c>
      <c r="B8031" s="5" t="str">
        <f t="shared" si="1523"/>
        <v>Northern Cardinal</v>
      </c>
      <c r="C8031" s="6">
        <f t="shared" si="1523"/>
        <v>0.7319444444444444</v>
      </c>
      <c r="D8031" s="5"/>
      <c r="E8031" s="5"/>
      <c r="F8031" s="5" t="s">
        <v>9</v>
      </c>
      <c r="G8031" s="15" t="s">
        <v>8</v>
      </c>
      <c r="H8031" s="24">
        <f t="shared" si="1460"/>
        <v>0</v>
      </c>
      <c r="I8031" s="24" cm="1">
        <f t="array" ref="I8031">IFERROR(IF($B8031=I$1, ($A8031+$C8031) - MAX(IF($B$2:$B8030=$B8031, $A$2:$A8030+$C$2:$C8030)), "")*24*60, "")</f>
        <v>0</v>
      </c>
      <c r="J8031" s="24" t="str" cm="1">
        <f t="array" ref="J8031">IFERROR(IF($B8031=J$1, ($A8031+$C8031) - MAX(IF($B$2:$B8030=$B8031, $A$2:$A8030+$C$2:$C8030)), "")*24*60, "")</f>
        <v/>
      </c>
      <c r="K8031" s="24" t="str" cm="1">
        <f t="array" ref="K8031">IFERROR(IF($B8031=K$1, ($A8031+$C8031) - MAX(IF($B$2:$B8030=$B8031, $A$2:$A8030+$C$2:$C8030)), "")*24*60, "")</f>
        <v/>
      </c>
      <c r="L8031" s="24" t="str" cm="1">
        <f t="array" ref="L8031">IFERROR(IF($B8031=L$1, ($A8031+$C8031) - MAX(IF($B$2:$B8030=$B8031, $A$2:$A8030+$C$2:$C8030)), "")*24*60, "")</f>
        <v/>
      </c>
      <c r="M8031" s="24" t="str" cm="1">
        <f t="array" ref="M8031">IFERROR(IF($B8031=M$1, ($A8031+$C8031) - MAX(IF($B$2:$B8030=$B8031, $A$2:$A8030+$C$2:$C8030)), "")*24*60, "")</f>
        <v/>
      </c>
      <c r="N8031" s="24" t="str" cm="1">
        <f t="array" ref="N8031">IFERROR(IF($B8031=N$1, ($A8031+$C8031) - MAX(IF($B$2:$B8030=$B8031, $A$2:$A8030+$C$2:$C8030)), "")*24*60, "")</f>
        <v/>
      </c>
      <c r="O8031" s="24" t="str" cm="1">
        <f t="array" ref="O8031">IFERROR(IF($B8031=O$1, ($A8031+$C8031) - MAX(IF($B$2:$B8030=$B8031, $A$2:$A8030+$C$2:$C8030)), "")*24*60, "")</f>
        <v/>
      </c>
      <c r="P8031" s="24" t="str" cm="1">
        <f t="array" ref="P8031">IFERROR(IF($B8031=P$1, ($A8031+$C8031) - MAX(IF($B$2:$B8030=$B8031, $A$2:$A8030+$C$2:$C8030)), "")*24*60, "")</f>
        <v/>
      </c>
      <c r="Q8031" s="24" t="str" cm="1">
        <f t="array" ref="Q8031">IFERROR(IF($B8031=Q$1, ($A8031+$C8031) - MAX(IF($B$2:$B8030=$B8031, $A$2:$A8030+$C$2:$C8030)), "")*24*60, "")</f>
        <v/>
      </c>
      <c r="R8031" s="24" t="str" cm="1">
        <f t="array" ref="R8031">IFERROR(IF($B8031=R$1, ($A8031+$C8031) - MAX(IF($B$2:$B8030=$B8031, $A$2:$A8030+$C$2:$C8030)), "")*24*60, "")</f>
        <v/>
      </c>
      <c r="S8031" s="24" t="str" cm="1">
        <f t="array" ref="S8031">IFERROR(IF($B8031=S$1, ($A8031+$C8031) - MAX(IF($B$2:$B8030=$B8031, $A$2:$A8030+$C$2:$C8030)), "")*24*60, "")</f>
        <v/>
      </c>
    </row>
    <row r="8032" spans="1:19" x14ac:dyDescent="0.2">
      <c r="A8032" s="12">
        <f t="shared" ref="A8032:C8032" si="1524">A8031</f>
        <v>46021</v>
      </c>
      <c r="B8032" s="5" t="str">
        <f t="shared" si="1524"/>
        <v>Northern Cardinal</v>
      </c>
      <c r="C8032" s="6">
        <f t="shared" si="1524"/>
        <v>0.7319444444444444</v>
      </c>
      <c r="D8032" s="5"/>
      <c r="E8032" s="5"/>
      <c r="F8032" s="5" t="s">
        <v>9</v>
      </c>
      <c r="G8032" s="15" t="s">
        <v>8</v>
      </c>
      <c r="H8032" s="24">
        <f t="shared" ref="H8032:H8095" si="1525">IFERROR((($A8032+$C8032) - ($A8031+$C8031))*24*60, "")</f>
        <v>0</v>
      </c>
      <c r="I8032" s="24" cm="1">
        <f t="array" ref="I8032">IFERROR(IF($B8032=I$1, ($A8032+$C8032) - MAX(IF($B$2:$B8031=$B8032, $A$2:$A8031+$C$2:$C8031)), "")*24*60, "")</f>
        <v>0</v>
      </c>
      <c r="J8032" s="24" t="str" cm="1">
        <f t="array" ref="J8032">IFERROR(IF($B8032=J$1, ($A8032+$C8032) - MAX(IF($B$2:$B8031=$B8032, $A$2:$A8031+$C$2:$C8031)), "")*24*60, "")</f>
        <v/>
      </c>
      <c r="K8032" s="24" t="str" cm="1">
        <f t="array" ref="K8032">IFERROR(IF($B8032=K$1, ($A8032+$C8032) - MAX(IF($B$2:$B8031=$B8032, $A$2:$A8031+$C$2:$C8031)), "")*24*60, "")</f>
        <v/>
      </c>
      <c r="L8032" s="24" t="str" cm="1">
        <f t="array" ref="L8032">IFERROR(IF($B8032=L$1, ($A8032+$C8032) - MAX(IF($B$2:$B8031=$B8032, $A$2:$A8031+$C$2:$C8031)), "")*24*60, "")</f>
        <v/>
      </c>
      <c r="M8032" s="24" t="str" cm="1">
        <f t="array" ref="M8032">IFERROR(IF($B8032=M$1, ($A8032+$C8032) - MAX(IF($B$2:$B8031=$B8032, $A$2:$A8031+$C$2:$C8031)), "")*24*60, "")</f>
        <v/>
      </c>
      <c r="N8032" s="24" t="str" cm="1">
        <f t="array" ref="N8032">IFERROR(IF($B8032=N$1, ($A8032+$C8032) - MAX(IF($B$2:$B8031=$B8032, $A$2:$A8031+$C$2:$C8031)), "")*24*60, "")</f>
        <v/>
      </c>
      <c r="O8032" s="24" t="str" cm="1">
        <f t="array" ref="O8032">IFERROR(IF($B8032=O$1, ($A8032+$C8032) - MAX(IF($B$2:$B8031=$B8032, $A$2:$A8031+$C$2:$C8031)), "")*24*60, "")</f>
        <v/>
      </c>
      <c r="P8032" s="24" t="str" cm="1">
        <f t="array" ref="P8032">IFERROR(IF($B8032=P$1, ($A8032+$C8032) - MAX(IF($B$2:$B8031=$B8032, $A$2:$A8031+$C$2:$C8031)), "")*24*60, "")</f>
        <v/>
      </c>
      <c r="Q8032" s="24" t="str" cm="1">
        <f t="array" ref="Q8032">IFERROR(IF($B8032=Q$1, ($A8032+$C8032) - MAX(IF($B$2:$B8031=$B8032, $A$2:$A8031+$C$2:$C8031)), "")*24*60, "")</f>
        <v/>
      </c>
      <c r="R8032" s="24" t="str" cm="1">
        <f t="array" ref="R8032">IFERROR(IF($B8032=R$1, ($A8032+$C8032) - MAX(IF($B$2:$B8031=$B8032, $A$2:$A8031+$C$2:$C8031)), "")*24*60, "")</f>
        <v/>
      </c>
      <c r="S8032" s="24" t="str" cm="1">
        <f t="array" ref="S8032">IFERROR(IF($B8032=S$1, ($A8032+$C8032) - MAX(IF($B$2:$B8031=$B8032, $A$2:$A8031+$C$2:$C8031)), "")*24*60, "")</f>
        <v/>
      </c>
    </row>
    <row r="8033" spans="1:19" x14ac:dyDescent="0.2">
      <c r="A8033" s="12">
        <f t="shared" ref="A8033:C8033" si="1526">A8032</f>
        <v>46021</v>
      </c>
      <c r="B8033" s="5" t="str">
        <f t="shared" si="1526"/>
        <v>Northern Cardinal</v>
      </c>
      <c r="C8033" s="6">
        <f t="shared" si="1526"/>
        <v>0.7319444444444444</v>
      </c>
      <c r="D8033" s="5"/>
      <c r="E8033" s="5"/>
      <c r="F8033" s="5" t="s">
        <v>9</v>
      </c>
      <c r="G8033" s="15" t="s">
        <v>8</v>
      </c>
      <c r="H8033" s="24">
        <f t="shared" si="1525"/>
        <v>0</v>
      </c>
      <c r="I8033" s="24" cm="1">
        <f t="array" ref="I8033">IFERROR(IF($B8033=I$1, ($A8033+$C8033) - MAX(IF($B$2:$B8032=$B8033, $A$2:$A8032+$C$2:$C8032)), "")*24*60, "")</f>
        <v>0</v>
      </c>
      <c r="J8033" s="24" t="str" cm="1">
        <f t="array" ref="J8033">IFERROR(IF($B8033=J$1, ($A8033+$C8033) - MAX(IF($B$2:$B8032=$B8033, $A$2:$A8032+$C$2:$C8032)), "")*24*60, "")</f>
        <v/>
      </c>
      <c r="K8033" s="24" t="str" cm="1">
        <f t="array" ref="K8033">IFERROR(IF($B8033=K$1, ($A8033+$C8033) - MAX(IF($B$2:$B8032=$B8033, $A$2:$A8032+$C$2:$C8032)), "")*24*60, "")</f>
        <v/>
      </c>
      <c r="L8033" s="24" t="str" cm="1">
        <f t="array" ref="L8033">IFERROR(IF($B8033=L$1, ($A8033+$C8033) - MAX(IF($B$2:$B8032=$B8033, $A$2:$A8032+$C$2:$C8032)), "")*24*60, "")</f>
        <v/>
      </c>
      <c r="M8033" s="24" t="str" cm="1">
        <f t="array" ref="M8033">IFERROR(IF($B8033=M$1, ($A8033+$C8033) - MAX(IF($B$2:$B8032=$B8033, $A$2:$A8032+$C$2:$C8032)), "")*24*60, "")</f>
        <v/>
      </c>
      <c r="N8033" s="24" t="str" cm="1">
        <f t="array" ref="N8033">IFERROR(IF($B8033=N$1, ($A8033+$C8033) - MAX(IF($B$2:$B8032=$B8033, $A$2:$A8032+$C$2:$C8032)), "")*24*60, "")</f>
        <v/>
      </c>
      <c r="O8033" s="24" t="str" cm="1">
        <f t="array" ref="O8033">IFERROR(IF($B8033=O$1, ($A8033+$C8033) - MAX(IF($B$2:$B8032=$B8033, $A$2:$A8032+$C$2:$C8032)), "")*24*60, "")</f>
        <v/>
      </c>
      <c r="P8033" s="24" t="str" cm="1">
        <f t="array" ref="P8033">IFERROR(IF($B8033=P$1, ($A8033+$C8033) - MAX(IF($B$2:$B8032=$B8033, $A$2:$A8032+$C$2:$C8032)), "")*24*60, "")</f>
        <v/>
      </c>
      <c r="Q8033" s="24" t="str" cm="1">
        <f t="array" ref="Q8033">IFERROR(IF($B8033=Q$1, ($A8033+$C8033) - MAX(IF($B$2:$B8032=$B8033, $A$2:$A8032+$C$2:$C8032)), "")*24*60, "")</f>
        <v/>
      </c>
      <c r="R8033" s="24" t="str" cm="1">
        <f t="array" ref="R8033">IFERROR(IF($B8033=R$1, ($A8033+$C8033) - MAX(IF($B$2:$B8032=$B8033, $A$2:$A8032+$C$2:$C8032)), "")*24*60, "")</f>
        <v/>
      </c>
      <c r="S8033" s="24" t="str" cm="1">
        <f t="array" ref="S8033">IFERROR(IF($B8033=S$1, ($A8033+$C8033) - MAX(IF($B$2:$B8032=$B8033, $A$2:$A8032+$C$2:$C8032)), "")*24*60, "")</f>
        <v/>
      </c>
    </row>
    <row r="8034" spans="1:19" x14ac:dyDescent="0.2">
      <c r="A8034" s="12">
        <f t="shared" ref="A8034:C8034" si="1527">A8033</f>
        <v>46021</v>
      </c>
      <c r="B8034" s="5" t="str">
        <f t="shared" si="1527"/>
        <v>Northern Cardinal</v>
      </c>
      <c r="C8034" s="6">
        <f t="shared" si="1527"/>
        <v>0.7319444444444444</v>
      </c>
      <c r="D8034" s="5"/>
      <c r="E8034" s="5"/>
      <c r="F8034" s="5" t="s">
        <v>9</v>
      </c>
      <c r="G8034" s="15" t="s">
        <v>8</v>
      </c>
      <c r="H8034" s="24">
        <f t="shared" si="1525"/>
        <v>0</v>
      </c>
      <c r="I8034" s="24" cm="1">
        <f t="array" ref="I8034">IFERROR(IF($B8034=I$1, ($A8034+$C8034) - MAX(IF($B$2:$B8033=$B8034, $A$2:$A8033+$C$2:$C8033)), "")*24*60, "")</f>
        <v>0</v>
      </c>
      <c r="J8034" s="24" t="str" cm="1">
        <f t="array" ref="J8034">IFERROR(IF($B8034=J$1, ($A8034+$C8034) - MAX(IF($B$2:$B8033=$B8034, $A$2:$A8033+$C$2:$C8033)), "")*24*60, "")</f>
        <v/>
      </c>
      <c r="K8034" s="24" t="str" cm="1">
        <f t="array" ref="K8034">IFERROR(IF($B8034=K$1, ($A8034+$C8034) - MAX(IF($B$2:$B8033=$B8034, $A$2:$A8033+$C$2:$C8033)), "")*24*60, "")</f>
        <v/>
      </c>
      <c r="L8034" s="24" t="str" cm="1">
        <f t="array" ref="L8034">IFERROR(IF($B8034=L$1, ($A8034+$C8034) - MAX(IF($B$2:$B8033=$B8034, $A$2:$A8033+$C$2:$C8033)), "")*24*60, "")</f>
        <v/>
      </c>
      <c r="M8034" s="24" t="str" cm="1">
        <f t="array" ref="M8034">IFERROR(IF($B8034=M$1, ($A8034+$C8034) - MAX(IF($B$2:$B8033=$B8034, $A$2:$A8033+$C$2:$C8033)), "")*24*60, "")</f>
        <v/>
      </c>
      <c r="N8034" s="24" t="str" cm="1">
        <f t="array" ref="N8034">IFERROR(IF($B8034=N$1, ($A8034+$C8034) - MAX(IF($B$2:$B8033=$B8034, $A$2:$A8033+$C$2:$C8033)), "")*24*60, "")</f>
        <v/>
      </c>
      <c r="O8034" s="24" t="str" cm="1">
        <f t="array" ref="O8034">IFERROR(IF($B8034=O$1, ($A8034+$C8034) - MAX(IF($B$2:$B8033=$B8034, $A$2:$A8033+$C$2:$C8033)), "")*24*60, "")</f>
        <v/>
      </c>
      <c r="P8034" s="24" t="str" cm="1">
        <f t="array" ref="P8034">IFERROR(IF($B8034=P$1, ($A8034+$C8034) - MAX(IF($B$2:$B8033=$B8034, $A$2:$A8033+$C$2:$C8033)), "")*24*60, "")</f>
        <v/>
      </c>
      <c r="Q8034" s="24" t="str" cm="1">
        <f t="array" ref="Q8034">IFERROR(IF($B8034=Q$1, ($A8034+$C8034) - MAX(IF($B$2:$B8033=$B8034, $A$2:$A8033+$C$2:$C8033)), "")*24*60, "")</f>
        <v/>
      </c>
      <c r="R8034" s="24" t="str" cm="1">
        <f t="array" ref="R8034">IFERROR(IF($B8034=R$1, ($A8034+$C8034) - MAX(IF($B$2:$B8033=$B8034, $A$2:$A8033+$C$2:$C8033)), "")*24*60, "")</f>
        <v/>
      </c>
      <c r="S8034" s="24" t="str" cm="1">
        <f t="array" ref="S8034">IFERROR(IF($B8034=S$1, ($A8034+$C8034) - MAX(IF($B$2:$B8033=$B8034, $A$2:$A8033+$C$2:$C8033)), "")*24*60, "")</f>
        <v/>
      </c>
    </row>
    <row r="8035" spans="1:19" x14ac:dyDescent="0.2">
      <c r="A8035" s="12">
        <f t="shared" ref="A8035:C8035" si="1528">A8034</f>
        <v>46021</v>
      </c>
      <c r="B8035" s="5" t="str">
        <f t="shared" si="1528"/>
        <v>Northern Cardinal</v>
      </c>
      <c r="C8035" s="6">
        <f t="shared" si="1528"/>
        <v>0.7319444444444444</v>
      </c>
      <c r="D8035" s="5"/>
      <c r="E8035" s="5"/>
      <c r="F8035" s="5" t="s">
        <v>9</v>
      </c>
      <c r="G8035" s="15" t="s">
        <v>8</v>
      </c>
      <c r="H8035" s="24">
        <f t="shared" si="1525"/>
        <v>0</v>
      </c>
      <c r="I8035" s="24" cm="1">
        <f t="array" ref="I8035">IFERROR(IF($B8035=I$1, ($A8035+$C8035) - MAX(IF($B$2:$B8034=$B8035, $A$2:$A8034+$C$2:$C8034)), "")*24*60, "")</f>
        <v>0</v>
      </c>
      <c r="J8035" s="24" t="str" cm="1">
        <f t="array" ref="J8035">IFERROR(IF($B8035=J$1, ($A8035+$C8035) - MAX(IF($B$2:$B8034=$B8035, $A$2:$A8034+$C$2:$C8034)), "")*24*60, "")</f>
        <v/>
      </c>
      <c r="K8035" s="24" t="str" cm="1">
        <f t="array" ref="K8035">IFERROR(IF($B8035=K$1, ($A8035+$C8035) - MAX(IF($B$2:$B8034=$B8035, $A$2:$A8034+$C$2:$C8034)), "")*24*60, "")</f>
        <v/>
      </c>
      <c r="L8035" s="24" t="str" cm="1">
        <f t="array" ref="L8035">IFERROR(IF($B8035=L$1, ($A8035+$C8035) - MAX(IF($B$2:$B8034=$B8035, $A$2:$A8034+$C$2:$C8034)), "")*24*60, "")</f>
        <v/>
      </c>
      <c r="M8035" s="24" t="str" cm="1">
        <f t="array" ref="M8035">IFERROR(IF($B8035=M$1, ($A8035+$C8035) - MAX(IF($B$2:$B8034=$B8035, $A$2:$A8034+$C$2:$C8034)), "")*24*60, "")</f>
        <v/>
      </c>
      <c r="N8035" s="24" t="str" cm="1">
        <f t="array" ref="N8035">IFERROR(IF($B8035=N$1, ($A8035+$C8035) - MAX(IF($B$2:$B8034=$B8035, $A$2:$A8034+$C$2:$C8034)), "")*24*60, "")</f>
        <v/>
      </c>
      <c r="O8035" s="24" t="str" cm="1">
        <f t="array" ref="O8035">IFERROR(IF($B8035=O$1, ($A8035+$C8035) - MAX(IF($B$2:$B8034=$B8035, $A$2:$A8034+$C$2:$C8034)), "")*24*60, "")</f>
        <v/>
      </c>
      <c r="P8035" s="24" t="str" cm="1">
        <f t="array" ref="P8035">IFERROR(IF($B8035=P$1, ($A8035+$C8035) - MAX(IF($B$2:$B8034=$B8035, $A$2:$A8034+$C$2:$C8034)), "")*24*60, "")</f>
        <v/>
      </c>
      <c r="Q8035" s="24" t="str" cm="1">
        <f t="array" ref="Q8035">IFERROR(IF($B8035=Q$1, ($A8035+$C8035) - MAX(IF($B$2:$B8034=$B8035, $A$2:$A8034+$C$2:$C8034)), "")*24*60, "")</f>
        <v/>
      </c>
      <c r="R8035" s="24" t="str" cm="1">
        <f t="array" ref="R8035">IFERROR(IF($B8035=R$1, ($A8035+$C8035) - MAX(IF($B$2:$B8034=$B8035, $A$2:$A8034+$C$2:$C8034)), "")*24*60, "")</f>
        <v/>
      </c>
      <c r="S8035" s="24" t="str" cm="1">
        <f t="array" ref="S8035">IFERROR(IF($B8035=S$1, ($A8035+$C8035) - MAX(IF($B$2:$B8034=$B8035, $A$2:$A8034+$C$2:$C8034)), "")*24*60, "")</f>
        <v/>
      </c>
    </row>
    <row r="8036" spans="1:19" x14ac:dyDescent="0.2">
      <c r="A8036" s="12">
        <f t="shared" ref="A8036:C8036" si="1529">A8035</f>
        <v>46021</v>
      </c>
      <c r="B8036" s="5" t="str">
        <f t="shared" si="1529"/>
        <v>Northern Cardinal</v>
      </c>
      <c r="C8036" s="6">
        <f t="shared" si="1529"/>
        <v>0.7319444444444444</v>
      </c>
      <c r="D8036" s="5"/>
      <c r="E8036" s="5"/>
      <c r="F8036" s="5" t="s">
        <v>9</v>
      </c>
      <c r="G8036" s="15" t="s">
        <v>8</v>
      </c>
      <c r="H8036" s="24">
        <f t="shared" si="1525"/>
        <v>0</v>
      </c>
      <c r="I8036" s="24" cm="1">
        <f t="array" ref="I8036">IFERROR(IF($B8036=I$1, ($A8036+$C8036) - MAX(IF($B$2:$B8035=$B8036, $A$2:$A8035+$C$2:$C8035)), "")*24*60, "")</f>
        <v>0</v>
      </c>
      <c r="J8036" s="24" t="str" cm="1">
        <f t="array" ref="J8036">IFERROR(IF($B8036=J$1, ($A8036+$C8036) - MAX(IF($B$2:$B8035=$B8036, $A$2:$A8035+$C$2:$C8035)), "")*24*60, "")</f>
        <v/>
      </c>
      <c r="K8036" s="24" t="str" cm="1">
        <f t="array" ref="K8036">IFERROR(IF($B8036=K$1, ($A8036+$C8036) - MAX(IF($B$2:$B8035=$B8036, $A$2:$A8035+$C$2:$C8035)), "")*24*60, "")</f>
        <v/>
      </c>
      <c r="L8036" s="24" t="str" cm="1">
        <f t="array" ref="L8036">IFERROR(IF($B8036=L$1, ($A8036+$C8036) - MAX(IF($B$2:$B8035=$B8036, $A$2:$A8035+$C$2:$C8035)), "")*24*60, "")</f>
        <v/>
      </c>
      <c r="M8036" s="24" t="str" cm="1">
        <f t="array" ref="M8036">IFERROR(IF($B8036=M$1, ($A8036+$C8036) - MAX(IF($B$2:$B8035=$B8036, $A$2:$A8035+$C$2:$C8035)), "")*24*60, "")</f>
        <v/>
      </c>
      <c r="N8036" s="24" t="str" cm="1">
        <f t="array" ref="N8036">IFERROR(IF($B8036=N$1, ($A8036+$C8036) - MAX(IF($B$2:$B8035=$B8036, $A$2:$A8035+$C$2:$C8035)), "")*24*60, "")</f>
        <v/>
      </c>
      <c r="O8036" s="24" t="str" cm="1">
        <f t="array" ref="O8036">IFERROR(IF($B8036=O$1, ($A8036+$C8036) - MAX(IF($B$2:$B8035=$B8036, $A$2:$A8035+$C$2:$C8035)), "")*24*60, "")</f>
        <v/>
      </c>
      <c r="P8036" s="24" t="str" cm="1">
        <f t="array" ref="P8036">IFERROR(IF($B8036=P$1, ($A8036+$C8036) - MAX(IF($B$2:$B8035=$B8036, $A$2:$A8035+$C$2:$C8035)), "")*24*60, "")</f>
        <v/>
      </c>
      <c r="Q8036" s="24" t="str" cm="1">
        <f t="array" ref="Q8036">IFERROR(IF($B8036=Q$1, ($A8036+$C8036) - MAX(IF($B$2:$B8035=$B8036, $A$2:$A8035+$C$2:$C8035)), "")*24*60, "")</f>
        <v/>
      </c>
      <c r="R8036" s="24" t="str" cm="1">
        <f t="array" ref="R8036">IFERROR(IF($B8036=R$1, ($A8036+$C8036) - MAX(IF($B$2:$B8035=$B8036, $A$2:$A8035+$C$2:$C8035)), "")*24*60, "")</f>
        <v/>
      </c>
      <c r="S8036" s="24" t="str" cm="1">
        <f t="array" ref="S8036">IFERROR(IF($B8036=S$1, ($A8036+$C8036) - MAX(IF($B$2:$B8035=$B8036, $A$2:$A8035+$C$2:$C8035)), "")*24*60, "")</f>
        <v/>
      </c>
    </row>
    <row r="8037" spans="1:19" x14ac:dyDescent="0.2">
      <c r="A8037" s="12">
        <f t="shared" ref="A8037:C8037" si="1530">A8036</f>
        <v>46021</v>
      </c>
      <c r="B8037" s="5" t="str">
        <f t="shared" si="1530"/>
        <v>Northern Cardinal</v>
      </c>
      <c r="C8037" s="6">
        <f t="shared" si="1530"/>
        <v>0.7319444444444444</v>
      </c>
      <c r="D8037" s="5"/>
      <c r="E8037" s="5"/>
      <c r="F8037" s="5" t="s">
        <v>9</v>
      </c>
      <c r="G8037" s="15" t="s">
        <v>8</v>
      </c>
      <c r="H8037" s="24">
        <f t="shared" si="1525"/>
        <v>0</v>
      </c>
      <c r="I8037" s="24" cm="1">
        <f t="array" ref="I8037">IFERROR(IF($B8037=I$1, ($A8037+$C8037) - MAX(IF($B$2:$B8036=$B8037, $A$2:$A8036+$C$2:$C8036)), "")*24*60, "")</f>
        <v>0</v>
      </c>
      <c r="J8037" s="24" t="str" cm="1">
        <f t="array" ref="J8037">IFERROR(IF($B8037=J$1, ($A8037+$C8037) - MAX(IF($B$2:$B8036=$B8037, $A$2:$A8036+$C$2:$C8036)), "")*24*60, "")</f>
        <v/>
      </c>
      <c r="K8037" s="24" t="str" cm="1">
        <f t="array" ref="K8037">IFERROR(IF($B8037=K$1, ($A8037+$C8037) - MAX(IF($B$2:$B8036=$B8037, $A$2:$A8036+$C$2:$C8036)), "")*24*60, "")</f>
        <v/>
      </c>
      <c r="L8037" s="24" t="str" cm="1">
        <f t="array" ref="L8037">IFERROR(IF($B8037=L$1, ($A8037+$C8037) - MAX(IF($B$2:$B8036=$B8037, $A$2:$A8036+$C$2:$C8036)), "")*24*60, "")</f>
        <v/>
      </c>
      <c r="M8037" s="24" t="str" cm="1">
        <f t="array" ref="M8037">IFERROR(IF($B8037=M$1, ($A8037+$C8037) - MAX(IF($B$2:$B8036=$B8037, $A$2:$A8036+$C$2:$C8036)), "")*24*60, "")</f>
        <v/>
      </c>
      <c r="N8037" s="24" t="str" cm="1">
        <f t="array" ref="N8037">IFERROR(IF($B8037=N$1, ($A8037+$C8037) - MAX(IF($B$2:$B8036=$B8037, $A$2:$A8036+$C$2:$C8036)), "")*24*60, "")</f>
        <v/>
      </c>
      <c r="O8037" s="24" t="str" cm="1">
        <f t="array" ref="O8037">IFERROR(IF($B8037=O$1, ($A8037+$C8037) - MAX(IF($B$2:$B8036=$B8037, $A$2:$A8036+$C$2:$C8036)), "")*24*60, "")</f>
        <v/>
      </c>
      <c r="P8037" s="24" t="str" cm="1">
        <f t="array" ref="P8037">IFERROR(IF($B8037=P$1, ($A8037+$C8037) - MAX(IF($B$2:$B8036=$B8037, $A$2:$A8036+$C$2:$C8036)), "")*24*60, "")</f>
        <v/>
      </c>
      <c r="Q8037" s="24" t="str" cm="1">
        <f t="array" ref="Q8037">IFERROR(IF($B8037=Q$1, ($A8037+$C8037) - MAX(IF($B$2:$B8036=$B8037, $A$2:$A8036+$C$2:$C8036)), "")*24*60, "")</f>
        <v/>
      </c>
      <c r="R8037" s="24" t="str" cm="1">
        <f t="array" ref="R8037">IFERROR(IF($B8037=R$1, ($A8037+$C8037) - MAX(IF($B$2:$B8036=$B8037, $A$2:$A8036+$C$2:$C8036)), "")*24*60, "")</f>
        <v/>
      </c>
      <c r="S8037" s="24" t="str" cm="1">
        <f t="array" ref="S8037">IFERROR(IF($B8037=S$1, ($A8037+$C8037) - MAX(IF($B$2:$B8036=$B8037, $A$2:$A8036+$C$2:$C8036)), "")*24*60, "")</f>
        <v/>
      </c>
    </row>
    <row r="8038" spans="1:19" x14ac:dyDescent="0.2">
      <c r="A8038" s="12">
        <f t="shared" ref="A8038:C8038" si="1531">A8037</f>
        <v>46021</v>
      </c>
      <c r="B8038" s="5" t="str">
        <f t="shared" si="1531"/>
        <v>Northern Cardinal</v>
      </c>
      <c r="C8038" s="6">
        <f t="shared" si="1531"/>
        <v>0.7319444444444444</v>
      </c>
      <c r="D8038" s="5"/>
      <c r="E8038" s="5"/>
      <c r="F8038" s="5" t="s">
        <v>9</v>
      </c>
      <c r="G8038" s="15" t="s">
        <v>8</v>
      </c>
      <c r="H8038" s="24">
        <f t="shared" si="1525"/>
        <v>0</v>
      </c>
      <c r="I8038" s="24" cm="1">
        <f t="array" ref="I8038">IFERROR(IF($B8038=I$1, ($A8038+$C8038) - MAX(IF($B$2:$B8037=$B8038, $A$2:$A8037+$C$2:$C8037)), "")*24*60, "")</f>
        <v>0</v>
      </c>
      <c r="J8038" s="24" t="str" cm="1">
        <f t="array" ref="J8038">IFERROR(IF($B8038=J$1, ($A8038+$C8038) - MAX(IF($B$2:$B8037=$B8038, $A$2:$A8037+$C$2:$C8037)), "")*24*60, "")</f>
        <v/>
      </c>
      <c r="K8038" s="24" t="str" cm="1">
        <f t="array" ref="K8038">IFERROR(IF($B8038=K$1, ($A8038+$C8038) - MAX(IF($B$2:$B8037=$B8038, $A$2:$A8037+$C$2:$C8037)), "")*24*60, "")</f>
        <v/>
      </c>
      <c r="L8038" s="24" t="str" cm="1">
        <f t="array" ref="L8038">IFERROR(IF($B8038=L$1, ($A8038+$C8038) - MAX(IF($B$2:$B8037=$B8038, $A$2:$A8037+$C$2:$C8037)), "")*24*60, "")</f>
        <v/>
      </c>
      <c r="M8038" s="24" t="str" cm="1">
        <f t="array" ref="M8038">IFERROR(IF($B8038=M$1, ($A8038+$C8038) - MAX(IF($B$2:$B8037=$B8038, $A$2:$A8037+$C$2:$C8037)), "")*24*60, "")</f>
        <v/>
      </c>
      <c r="N8038" s="24" t="str" cm="1">
        <f t="array" ref="N8038">IFERROR(IF($B8038=N$1, ($A8038+$C8038) - MAX(IF($B$2:$B8037=$B8038, $A$2:$A8037+$C$2:$C8037)), "")*24*60, "")</f>
        <v/>
      </c>
      <c r="O8038" s="24" t="str" cm="1">
        <f t="array" ref="O8038">IFERROR(IF($B8038=O$1, ($A8038+$C8038) - MAX(IF($B$2:$B8037=$B8038, $A$2:$A8037+$C$2:$C8037)), "")*24*60, "")</f>
        <v/>
      </c>
      <c r="P8038" s="24" t="str" cm="1">
        <f t="array" ref="P8038">IFERROR(IF($B8038=P$1, ($A8038+$C8038) - MAX(IF($B$2:$B8037=$B8038, $A$2:$A8037+$C$2:$C8037)), "")*24*60, "")</f>
        <v/>
      </c>
      <c r="Q8038" s="24" t="str" cm="1">
        <f t="array" ref="Q8038">IFERROR(IF($B8038=Q$1, ($A8038+$C8038) - MAX(IF($B$2:$B8037=$B8038, $A$2:$A8037+$C$2:$C8037)), "")*24*60, "")</f>
        <v/>
      </c>
      <c r="R8038" s="24" t="str" cm="1">
        <f t="array" ref="R8038">IFERROR(IF($B8038=R$1, ($A8038+$C8038) - MAX(IF($B$2:$B8037=$B8038, $A$2:$A8037+$C$2:$C8037)), "")*24*60, "")</f>
        <v/>
      </c>
      <c r="S8038" s="24" t="str" cm="1">
        <f t="array" ref="S8038">IFERROR(IF($B8038=S$1, ($A8038+$C8038) - MAX(IF($B$2:$B8037=$B8038, $A$2:$A8037+$C$2:$C8037)), "")*24*60, "")</f>
        <v/>
      </c>
    </row>
    <row r="8039" spans="1:19" x14ac:dyDescent="0.2">
      <c r="A8039" s="12">
        <f t="shared" ref="A8039:C8039" si="1532">A8038</f>
        <v>46021</v>
      </c>
      <c r="B8039" s="5" t="str">
        <f t="shared" si="1532"/>
        <v>Northern Cardinal</v>
      </c>
      <c r="C8039" s="6">
        <f t="shared" si="1532"/>
        <v>0.7319444444444444</v>
      </c>
      <c r="D8039" s="5"/>
      <c r="E8039" s="5"/>
      <c r="F8039" s="5" t="s">
        <v>9</v>
      </c>
      <c r="G8039" s="15" t="s">
        <v>8</v>
      </c>
      <c r="H8039" s="24">
        <f t="shared" si="1525"/>
        <v>0</v>
      </c>
      <c r="I8039" s="24" cm="1">
        <f t="array" ref="I8039">IFERROR(IF($B8039=I$1, ($A8039+$C8039) - MAX(IF($B$2:$B8038=$B8039, $A$2:$A8038+$C$2:$C8038)), "")*24*60, "")</f>
        <v>0</v>
      </c>
      <c r="J8039" s="24" t="str" cm="1">
        <f t="array" ref="J8039">IFERROR(IF($B8039=J$1, ($A8039+$C8039) - MAX(IF($B$2:$B8038=$B8039, $A$2:$A8038+$C$2:$C8038)), "")*24*60, "")</f>
        <v/>
      </c>
      <c r="K8039" s="24" t="str" cm="1">
        <f t="array" ref="K8039">IFERROR(IF($B8039=K$1, ($A8039+$C8039) - MAX(IF($B$2:$B8038=$B8039, $A$2:$A8038+$C$2:$C8038)), "")*24*60, "")</f>
        <v/>
      </c>
      <c r="L8039" s="24" t="str" cm="1">
        <f t="array" ref="L8039">IFERROR(IF($B8039=L$1, ($A8039+$C8039) - MAX(IF($B$2:$B8038=$B8039, $A$2:$A8038+$C$2:$C8038)), "")*24*60, "")</f>
        <v/>
      </c>
      <c r="M8039" s="24" t="str" cm="1">
        <f t="array" ref="M8039">IFERROR(IF($B8039=M$1, ($A8039+$C8039) - MAX(IF($B$2:$B8038=$B8039, $A$2:$A8038+$C$2:$C8038)), "")*24*60, "")</f>
        <v/>
      </c>
      <c r="N8039" s="24" t="str" cm="1">
        <f t="array" ref="N8039">IFERROR(IF($B8039=N$1, ($A8039+$C8039) - MAX(IF($B$2:$B8038=$B8039, $A$2:$A8038+$C$2:$C8038)), "")*24*60, "")</f>
        <v/>
      </c>
      <c r="O8039" s="24" t="str" cm="1">
        <f t="array" ref="O8039">IFERROR(IF($B8039=O$1, ($A8039+$C8039) - MAX(IF($B$2:$B8038=$B8039, $A$2:$A8038+$C$2:$C8038)), "")*24*60, "")</f>
        <v/>
      </c>
      <c r="P8039" s="24" t="str" cm="1">
        <f t="array" ref="P8039">IFERROR(IF($B8039=P$1, ($A8039+$C8039) - MAX(IF($B$2:$B8038=$B8039, $A$2:$A8038+$C$2:$C8038)), "")*24*60, "")</f>
        <v/>
      </c>
      <c r="Q8039" s="24" t="str" cm="1">
        <f t="array" ref="Q8039">IFERROR(IF($B8039=Q$1, ($A8039+$C8039) - MAX(IF($B$2:$B8038=$B8039, $A$2:$A8038+$C$2:$C8038)), "")*24*60, "")</f>
        <v/>
      </c>
      <c r="R8039" s="24" t="str" cm="1">
        <f t="array" ref="R8039">IFERROR(IF($B8039=R$1, ($A8039+$C8039) - MAX(IF($B$2:$B8038=$B8039, $A$2:$A8038+$C$2:$C8038)), "")*24*60, "")</f>
        <v/>
      </c>
      <c r="S8039" s="24" t="str" cm="1">
        <f t="array" ref="S8039">IFERROR(IF($B8039=S$1, ($A8039+$C8039) - MAX(IF($B$2:$B8038=$B8039, $A$2:$A8038+$C$2:$C8038)), "")*24*60, "")</f>
        <v/>
      </c>
    </row>
    <row r="8040" spans="1:19" x14ac:dyDescent="0.2">
      <c r="A8040" s="12">
        <f t="shared" ref="A8040:C8040" si="1533">A8039</f>
        <v>46021</v>
      </c>
      <c r="B8040" s="5" t="str">
        <f t="shared" si="1533"/>
        <v>Northern Cardinal</v>
      </c>
      <c r="C8040" s="6">
        <f t="shared" si="1533"/>
        <v>0.7319444444444444</v>
      </c>
      <c r="D8040" s="5"/>
      <c r="E8040" s="5"/>
      <c r="F8040" s="5" t="s">
        <v>9</v>
      </c>
      <c r="G8040" s="15" t="s">
        <v>8</v>
      </c>
      <c r="H8040" s="24">
        <f t="shared" si="1525"/>
        <v>0</v>
      </c>
      <c r="I8040" s="24" cm="1">
        <f t="array" ref="I8040">IFERROR(IF($B8040=I$1, ($A8040+$C8040) - MAX(IF($B$2:$B8039=$B8040, $A$2:$A8039+$C$2:$C8039)), "")*24*60, "")</f>
        <v>0</v>
      </c>
      <c r="J8040" s="24" t="str" cm="1">
        <f t="array" ref="J8040">IFERROR(IF($B8040=J$1, ($A8040+$C8040) - MAX(IF($B$2:$B8039=$B8040, $A$2:$A8039+$C$2:$C8039)), "")*24*60, "")</f>
        <v/>
      </c>
      <c r="K8040" s="24" t="str" cm="1">
        <f t="array" ref="K8040">IFERROR(IF($B8040=K$1, ($A8040+$C8040) - MAX(IF($B$2:$B8039=$B8040, $A$2:$A8039+$C$2:$C8039)), "")*24*60, "")</f>
        <v/>
      </c>
      <c r="L8040" s="24" t="str" cm="1">
        <f t="array" ref="L8040">IFERROR(IF($B8040=L$1, ($A8040+$C8040) - MAX(IF($B$2:$B8039=$B8040, $A$2:$A8039+$C$2:$C8039)), "")*24*60, "")</f>
        <v/>
      </c>
      <c r="M8040" s="24" t="str" cm="1">
        <f t="array" ref="M8040">IFERROR(IF($B8040=M$1, ($A8040+$C8040) - MAX(IF($B$2:$B8039=$B8040, $A$2:$A8039+$C$2:$C8039)), "")*24*60, "")</f>
        <v/>
      </c>
      <c r="N8040" s="24" t="str" cm="1">
        <f t="array" ref="N8040">IFERROR(IF($B8040=N$1, ($A8040+$C8040) - MAX(IF($B$2:$B8039=$B8040, $A$2:$A8039+$C$2:$C8039)), "")*24*60, "")</f>
        <v/>
      </c>
      <c r="O8040" s="24" t="str" cm="1">
        <f t="array" ref="O8040">IFERROR(IF($B8040=O$1, ($A8040+$C8040) - MAX(IF($B$2:$B8039=$B8040, $A$2:$A8039+$C$2:$C8039)), "")*24*60, "")</f>
        <v/>
      </c>
      <c r="P8040" s="24" t="str" cm="1">
        <f t="array" ref="P8040">IFERROR(IF($B8040=P$1, ($A8040+$C8040) - MAX(IF($B$2:$B8039=$B8040, $A$2:$A8039+$C$2:$C8039)), "")*24*60, "")</f>
        <v/>
      </c>
      <c r="Q8040" s="24" t="str" cm="1">
        <f t="array" ref="Q8040">IFERROR(IF($B8040=Q$1, ($A8040+$C8040) - MAX(IF($B$2:$B8039=$B8040, $A$2:$A8039+$C$2:$C8039)), "")*24*60, "")</f>
        <v/>
      </c>
      <c r="R8040" s="24" t="str" cm="1">
        <f t="array" ref="R8040">IFERROR(IF($B8040=R$1, ($A8040+$C8040) - MAX(IF($B$2:$B8039=$B8040, $A$2:$A8039+$C$2:$C8039)), "")*24*60, "")</f>
        <v/>
      </c>
      <c r="S8040" s="24" t="str" cm="1">
        <f t="array" ref="S8040">IFERROR(IF($B8040=S$1, ($A8040+$C8040) - MAX(IF($B$2:$B8039=$B8040, $A$2:$A8039+$C$2:$C8039)), "")*24*60, "")</f>
        <v/>
      </c>
    </row>
    <row r="8041" spans="1:19" x14ac:dyDescent="0.2">
      <c r="A8041" s="12">
        <f t="shared" ref="A8041:C8041" si="1534">A8040</f>
        <v>46021</v>
      </c>
      <c r="B8041" s="5" t="str">
        <f t="shared" si="1534"/>
        <v>Northern Cardinal</v>
      </c>
      <c r="C8041" s="6">
        <f t="shared" si="1534"/>
        <v>0.7319444444444444</v>
      </c>
      <c r="D8041" s="5"/>
      <c r="E8041" s="5"/>
      <c r="F8041" s="5" t="s">
        <v>9</v>
      </c>
      <c r="G8041" s="15" t="s">
        <v>8</v>
      </c>
      <c r="H8041" s="24">
        <f t="shared" si="1525"/>
        <v>0</v>
      </c>
      <c r="I8041" s="24" cm="1">
        <f t="array" ref="I8041">IFERROR(IF($B8041=I$1, ($A8041+$C8041) - MAX(IF($B$2:$B8040=$B8041, $A$2:$A8040+$C$2:$C8040)), "")*24*60, "")</f>
        <v>0</v>
      </c>
      <c r="J8041" s="24" t="str" cm="1">
        <f t="array" ref="J8041">IFERROR(IF($B8041=J$1, ($A8041+$C8041) - MAX(IF($B$2:$B8040=$B8041, $A$2:$A8040+$C$2:$C8040)), "")*24*60, "")</f>
        <v/>
      </c>
      <c r="K8041" s="24" t="str" cm="1">
        <f t="array" ref="K8041">IFERROR(IF($B8041=K$1, ($A8041+$C8041) - MAX(IF($B$2:$B8040=$B8041, $A$2:$A8040+$C$2:$C8040)), "")*24*60, "")</f>
        <v/>
      </c>
      <c r="L8041" s="24" t="str" cm="1">
        <f t="array" ref="L8041">IFERROR(IF($B8041=L$1, ($A8041+$C8041) - MAX(IF($B$2:$B8040=$B8041, $A$2:$A8040+$C$2:$C8040)), "")*24*60, "")</f>
        <v/>
      </c>
      <c r="M8041" s="24" t="str" cm="1">
        <f t="array" ref="M8041">IFERROR(IF($B8041=M$1, ($A8041+$C8041) - MAX(IF($B$2:$B8040=$B8041, $A$2:$A8040+$C$2:$C8040)), "")*24*60, "")</f>
        <v/>
      </c>
      <c r="N8041" s="24" t="str" cm="1">
        <f t="array" ref="N8041">IFERROR(IF($B8041=N$1, ($A8041+$C8041) - MAX(IF($B$2:$B8040=$B8041, $A$2:$A8040+$C$2:$C8040)), "")*24*60, "")</f>
        <v/>
      </c>
      <c r="O8041" s="24" t="str" cm="1">
        <f t="array" ref="O8041">IFERROR(IF($B8041=O$1, ($A8041+$C8041) - MAX(IF($B$2:$B8040=$B8041, $A$2:$A8040+$C$2:$C8040)), "")*24*60, "")</f>
        <v/>
      </c>
      <c r="P8041" s="24" t="str" cm="1">
        <f t="array" ref="P8041">IFERROR(IF($B8041=P$1, ($A8041+$C8041) - MAX(IF($B$2:$B8040=$B8041, $A$2:$A8040+$C$2:$C8040)), "")*24*60, "")</f>
        <v/>
      </c>
      <c r="Q8041" s="24" t="str" cm="1">
        <f t="array" ref="Q8041">IFERROR(IF($B8041=Q$1, ($A8041+$C8041) - MAX(IF($B$2:$B8040=$B8041, $A$2:$A8040+$C$2:$C8040)), "")*24*60, "")</f>
        <v/>
      </c>
      <c r="R8041" s="24" t="str" cm="1">
        <f t="array" ref="R8041">IFERROR(IF($B8041=R$1, ($A8041+$C8041) - MAX(IF($B$2:$B8040=$B8041, $A$2:$A8040+$C$2:$C8040)), "")*24*60, "")</f>
        <v/>
      </c>
      <c r="S8041" s="24" t="str" cm="1">
        <f t="array" ref="S8041">IFERROR(IF($B8041=S$1, ($A8041+$C8041) - MAX(IF($B$2:$B8040=$B8041, $A$2:$A8040+$C$2:$C8040)), "")*24*60, "")</f>
        <v/>
      </c>
    </row>
    <row r="8042" spans="1:19" x14ac:dyDescent="0.2">
      <c r="A8042" s="12">
        <f t="shared" ref="A8042:C8042" si="1535">A8041</f>
        <v>46021</v>
      </c>
      <c r="B8042" s="5" t="str">
        <f t="shared" si="1535"/>
        <v>Northern Cardinal</v>
      </c>
      <c r="C8042" s="6">
        <f t="shared" si="1535"/>
        <v>0.7319444444444444</v>
      </c>
      <c r="D8042" s="5"/>
      <c r="E8042" s="5"/>
      <c r="F8042" s="5" t="s">
        <v>9</v>
      </c>
      <c r="G8042" s="15" t="s">
        <v>8</v>
      </c>
      <c r="H8042" s="24">
        <f t="shared" si="1525"/>
        <v>0</v>
      </c>
      <c r="I8042" s="24" cm="1">
        <f t="array" ref="I8042">IFERROR(IF($B8042=I$1, ($A8042+$C8042) - MAX(IF($B$2:$B8041=$B8042, $A$2:$A8041+$C$2:$C8041)), "")*24*60, "")</f>
        <v>0</v>
      </c>
      <c r="J8042" s="24" t="str" cm="1">
        <f t="array" ref="J8042">IFERROR(IF($B8042=J$1, ($A8042+$C8042) - MAX(IF($B$2:$B8041=$B8042, $A$2:$A8041+$C$2:$C8041)), "")*24*60, "")</f>
        <v/>
      </c>
      <c r="K8042" s="24" t="str" cm="1">
        <f t="array" ref="K8042">IFERROR(IF($B8042=K$1, ($A8042+$C8042) - MAX(IF($B$2:$B8041=$B8042, $A$2:$A8041+$C$2:$C8041)), "")*24*60, "")</f>
        <v/>
      </c>
      <c r="L8042" s="24" t="str" cm="1">
        <f t="array" ref="L8042">IFERROR(IF($B8042=L$1, ($A8042+$C8042) - MAX(IF($B$2:$B8041=$B8042, $A$2:$A8041+$C$2:$C8041)), "")*24*60, "")</f>
        <v/>
      </c>
      <c r="M8042" s="24" t="str" cm="1">
        <f t="array" ref="M8042">IFERROR(IF($B8042=M$1, ($A8042+$C8042) - MAX(IF($B$2:$B8041=$B8042, $A$2:$A8041+$C$2:$C8041)), "")*24*60, "")</f>
        <v/>
      </c>
      <c r="N8042" s="24" t="str" cm="1">
        <f t="array" ref="N8042">IFERROR(IF($B8042=N$1, ($A8042+$C8042) - MAX(IF($B$2:$B8041=$B8042, $A$2:$A8041+$C$2:$C8041)), "")*24*60, "")</f>
        <v/>
      </c>
      <c r="O8042" s="24" t="str" cm="1">
        <f t="array" ref="O8042">IFERROR(IF($B8042=O$1, ($A8042+$C8042) - MAX(IF($B$2:$B8041=$B8042, $A$2:$A8041+$C$2:$C8041)), "")*24*60, "")</f>
        <v/>
      </c>
      <c r="P8042" s="24" t="str" cm="1">
        <f t="array" ref="P8042">IFERROR(IF($B8042=P$1, ($A8042+$C8042) - MAX(IF($B$2:$B8041=$B8042, $A$2:$A8041+$C$2:$C8041)), "")*24*60, "")</f>
        <v/>
      </c>
      <c r="Q8042" s="24" t="str" cm="1">
        <f t="array" ref="Q8042">IFERROR(IF($B8042=Q$1, ($A8042+$C8042) - MAX(IF($B$2:$B8041=$B8042, $A$2:$A8041+$C$2:$C8041)), "")*24*60, "")</f>
        <v/>
      </c>
      <c r="R8042" s="24" t="str" cm="1">
        <f t="array" ref="R8042">IFERROR(IF($B8042=R$1, ($A8042+$C8042) - MAX(IF($B$2:$B8041=$B8042, $A$2:$A8041+$C$2:$C8041)), "")*24*60, "")</f>
        <v/>
      </c>
      <c r="S8042" s="24" t="str" cm="1">
        <f t="array" ref="S8042">IFERROR(IF($B8042=S$1, ($A8042+$C8042) - MAX(IF($B$2:$B8041=$B8042, $A$2:$A8041+$C$2:$C8041)), "")*24*60, "")</f>
        <v/>
      </c>
    </row>
    <row r="8043" spans="1:19" x14ac:dyDescent="0.2">
      <c r="A8043" s="12">
        <f t="shared" ref="A8043:C8043" si="1536">A8042</f>
        <v>46021</v>
      </c>
      <c r="B8043" s="5" t="str">
        <f t="shared" si="1536"/>
        <v>Northern Cardinal</v>
      </c>
      <c r="C8043" s="6">
        <f t="shared" si="1536"/>
        <v>0.7319444444444444</v>
      </c>
      <c r="D8043" s="5"/>
      <c r="E8043" s="5"/>
      <c r="F8043" s="5" t="s">
        <v>9</v>
      </c>
      <c r="G8043" s="15" t="s">
        <v>8</v>
      </c>
      <c r="H8043" s="24">
        <f t="shared" si="1525"/>
        <v>0</v>
      </c>
      <c r="I8043" s="24" cm="1">
        <f t="array" ref="I8043">IFERROR(IF($B8043=I$1, ($A8043+$C8043) - MAX(IF($B$2:$B8042=$B8043, $A$2:$A8042+$C$2:$C8042)), "")*24*60, "")</f>
        <v>0</v>
      </c>
      <c r="J8043" s="24" t="str" cm="1">
        <f t="array" ref="J8043">IFERROR(IF($B8043=J$1, ($A8043+$C8043) - MAX(IF($B$2:$B8042=$B8043, $A$2:$A8042+$C$2:$C8042)), "")*24*60, "")</f>
        <v/>
      </c>
      <c r="K8043" s="24" t="str" cm="1">
        <f t="array" ref="K8043">IFERROR(IF($B8043=K$1, ($A8043+$C8043) - MAX(IF($B$2:$B8042=$B8043, $A$2:$A8042+$C$2:$C8042)), "")*24*60, "")</f>
        <v/>
      </c>
      <c r="L8043" s="24" t="str" cm="1">
        <f t="array" ref="L8043">IFERROR(IF($B8043=L$1, ($A8043+$C8043) - MAX(IF($B$2:$B8042=$B8043, $A$2:$A8042+$C$2:$C8042)), "")*24*60, "")</f>
        <v/>
      </c>
      <c r="M8043" s="24" t="str" cm="1">
        <f t="array" ref="M8043">IFERROR(IF($B8043=M$1, ($A8043+$C8043) - MAX(IF($B$2:$B8042=$B8043, $A$2:$A8042+$C$2:$C8042)), "")*24*60, "")</f>
        <v/>
      </c>
      <c r="N8043" s="24" t="str" cm="1">
        <f t="array" ref="N8043">IFERROR(IF($B8043=N$1, ($A8043+$C8043) - MAX(IF($B$2:$B8042=$B8043, $A$2:$A8042+$C$2:$C8042)), "")*24*60, "")</f>
        <v/>
      </c>
      <c r="O8043" s="24" t="str" cm="1">
        <f t="array" ref="O8043">IFERROR(IF($B8043=O$1, ($A8043+$C8043) - MAX(IF($B$2:$B8042=$B8043, $A$2:$A8042+$C$2:$C8042)), "")*24*60, "")</f>
        <v/>
      </c>
      <c r="P8043" s="24" t="str" cm="1">
        <f t="array" ref="P8043">IFERROR(IF($B8043=P$1, ($A8043+$C8043) - MAX(IF($B$2:$B8042=$B8043, $A$2:$A8042+$C$2:$C8042)), "")*24*60, "")</f>
        <v/>
      </c>
      <c r="Q8043" s="24" t="str" cm="1">
        <f t="array" ref="Q8043">IFERROR(IF($B8043=Q$1, ($A8043+$C8043) - MAX(IF($B$2:$B8042=$B8043, $A$2:$A8042+$C$2:$C8042)), "")*24*60, "")</f>
        <v/>
      </c>
      <c r="R8043" s="24" t="str" cm="1">
        <f t="array" ref="R8043">IFERROR(IF($B8043=R$1, ($A8043+$C8043) - MAX(IF($B$2:$B8042=$B8043, $A$2:$A8042+$C$2:$C8042)), "")*24*60, "")</f>
        <v/>
      </c>
      <c r="S8043" s="24" t="str" cm="1">
        <f t="array" ref="S8043">IFERROR(IF($B8043=S$1, ($A8043+$C8043) - MAX(IF($B$2:$B8042=$B8043, $A$2:$A8042+$C$2:$C8042)), "")*24*60, "")</f>
        <v/>
      </c>
    </row>
    <row r="8044" spans="1:19" x14ac:dyDescent="0.2">
      <c r="A8044" s="12">
        <f t="shared" ref="A8044:C8044" si="1537">A8043</f>
        <v>46021</v>
      </c>
      <c r="B8044" s="5" t="str">
        <f t="shared" si="1537"/>
        <v>Northern Cardinal</v>
      </c>
      <c r="C8044" s="6">
        <f t="shared" si="1537"/>
        <v>0.7319444444444444</v>
      </c>
      <c r="D8044" s="5"/>
      <c r="E8044" s="5"/>
      <c r="F8044" s="5" t="s">
        <v>9</v>
      </c>
      <c r="G8044" s="15" t="s">
        <v>8</v>
      </c>
      <c r="H8044" s="24">
        <f t="shared" si="1525"/>
        <v>0</v>
      </c>
      <c r="I8044" s="24" cm="1">
        <f t="array" ref="I8044">IFERROR(IF($B8044=I$1, ($A8044+$C8044) - MAX(IF($B$2:$B8043=$B8044, $A$2:$A8043+$C$2:$C8043)), "")*24*60, "")</f>
        <v>0</v>
      </c>
      <c r="J8044" s="24" t="str" cm="1">
        <f t="array" ref="J8044">IFERROR(IF($B8044=J$1, ($A8044+$C8044) - MAX(IF($B$2:$B8043=$B8044, $A$2:$A8043+$C$2:$C8043)), "")*24*60, "")</f>
        <v/>
      </c>
      <c r="K8044" s="24" t="str" cm="1">
        <f t="array" ref="K8044">IFERROR(IF($B8044=K$1, ($A8044+$C8044) - MAX(IF($B$2:$B8043=$B8044, $A$2:$A8043+$C$2:$C8043)), "")*24*60, "")</f>
        <v/>
      </c>
      <c r="L8044" s="24" t="str" cm="1">
        <f t="array" ref="L8044">IFERROR(IF($B8044=L$1, ($A8044+$C8044) - MAX(IF($B$2:$B8043=$B8044, $A$2:$A8043+$C$2:$C8043)), "")*24*60, "")</f>
        <v/>
      </c>
      <c r="M8044" s="24" t="str" cm="1">
        <f t="array" ref="M8044">IFERROR(IF($B8044=M$1, ($A8044+$C8044) - MAX(IF($B$2:$B8043=$B8044, $A$2:$A8043+$C$2:$C8043)), "")*24*60, "")</f>
        <v/>
      </c>
      <c r="N8044" s="24" t="str" cm="1">
        <f t="array" ref="N8044">IFERROR(IF($B8044=N$1, ($A8044+$C8044) - MAX(IF($B$2:$B8043=$B8044, $A$2:$A8043+$C$2:$C8043)), "")*24*60, "")</f>
        <v/>
      </c>
      <c r="O8044" s="24" t="str" cm="1">
        <f t="array" ref="O8044">IFERROR(IF($B8044=O$1, ($A8044+$C8044) - MAX(IF($B$2:$B8043=$B8044, $A$2:$A8043+$C$2:$C8043)), "")*24*60, "")</f>
        <v/>
      </c>
      <c r="P8044" s="24" t="str" cm="1">
        <f t="array" ref="P8044">IFERROR(IF($B8044=P$1, ($A8044+$C8044) - MAX(IF($B$2:$B8043=$B8044, $A$2:$A8043+$C$2:$C8043)), "")*24*60, "")</f>
        <v/>
      </c>
      <c r="Q8044" s="24" t="str" cm="1">
        <f t="array" ref="Q8044">IFERROR(IF($B8044=Q$1, ($A8044+$C8044) - MAX(IF($B$2:$B8043=$B8044, $A$2:$A8043+$C$2:$C8043)), "")*24*60, "")</f>
        <v/>
      </c>
      <c r="R8044" s="24" t="str" cm="1">
        <f t="array" ref="R8044">IFERROR(IF($B8044=R$1, ($A8044+$C8044) - MAX(IF($B$2:$B8043=$B8044, $A$2:$A8043+$C$2:$C8043)), "")*24*60, "")</f>
        <v/>
      </c>
      <c r="S8044" s="24" t="str" cm="1">
        <f t="array" ref="S8044">IFERROR(IF($B8044=S$1, ($A8044+$C8044) - MAX(IF($B$2:$B8043=$B8044, $A$2:$A8043+$C$2:$C8043)), "")*24*60, "")</f>
        <v/>
      </c>
    </row>
    <row r="8045" spans="1:19" x14ac:dyDescent="0.2">
      <c r="A8045" s="12">
        <f t="shared" ref="A8045:C8045" si="1538">A8044</f>
        <v>46021</v>
      </c>
      <c r="B8045" s="5" t="str">
        <f t="shared" si="1538"/>
        <v>Northern Cardinal</v>
      </c>
      <c r="C8045" s="6">
        <f t="shared" si="1538"/>
        <v>0.7319444444444444</v>
      </c>
      <c r="D8045" s="5"/>
      <c r="E8045" s="5"/>
      <c r="F8045" s="5" t="s">
        <v>9</v>
      </c>
      <c r="G8045" s="15" t="s">
        <v>8</v>
      </c>
      <c r="H8045" s="24">
        <f t="shared" si="1525"/>
        <v>0</v>
      </c>
      <c r="I8045" s="24" cm="1">
        <f t="array" ref="I8045">IFERROR(IF($B8045=I$1, ($A8045+$C8045) - MAX(IF($B$2:$B8044=$B8045, $A$2:$A8044+$C$2:$C8044)), "")*24*60, "")</f>
        <v>0</v>
      </c>
      <c r="J8045" s="24" t="str" cm="1">
        <f t="array" ref="J8045">IFERROR(IF($B8045=J$1, ($A8045+$C8045) - MAX(IF($B$2:$B8044=$B8045, $A$2:$A8044+$C$2:$C8044)), "")*24*60, "")</f>
        <v/>
      </c>
      <c r="K8045" s="24" t="str" cm="1">
        <f t="array" ref="K8045">IFERROR(IF($B8045=K$1, ($A8045+$C8045) - MAX(IF($B$2:$B8044=$B8045, $A$2:$A8044+$C$2:$C8044)), "")*24*60, "")</f>
        <v/>
      </c>
      <c r="L8045" s="24" t="str" cm="1">
        <f t="array" ref="L8045">IFERROR(IF($B8045=L$1, ($A8045+$C8045) - MAX(IF($B$2:$B8044=$B8045, $A$2:$A8044+$C$2:$C8044)), "")*24*60, "")</f>
        <v/>
      </c>
      <c r="M8045" s="24" t="str" cm="1">
        <f t="array" ref="M8045">IFERROR(IF($B8045=M$1, ($A8045+$C8045) - MAX(IF($B$2:$B8044=$B8045, $A$2:$A8044+$C$2:$C8044)), "")*24*60, "")</f>
        <v/>
      </c>
      <c r="N8045" s="24" t="str" cm="1">
        <f t="array" ref="N8045">IFERROR(IF($B8045=N$1, ($A8045+$C8045) - MAX(IF($B$2:$B8044=$B8045, $A$2:$A8044+$C$2:$C8044)), "")*24*60, "")</f>
        <v/>
      </c>
      <c r="O8045" s="24" t="str" cm="1">
        <f t="array" ref="O8045">IFERROR(IF($B8045=O$1, ($A8045+$C8045) - MAX(IF($B$2:$B8044=$B8045, $A$2:$A8044+$C$2:$C8044)), "")*24*60, "")</f>
        <v/>
      </c>
      <c r="P8045" s="24" t="str" cm="1">
        <f t="array" ref="P8045">IFERROR(IF($B8045=P$1, ($A8045+$C8045) - MAX(IF($B$2:$B8044=$B8045, $A$2:$A8044+$C$2:$C8044)), "")*24*60, "")</f>
        <v/>
      </c>
      <c r="Q8045" s="24" t="str" cm="1">
        <f t="array" ref="Q8045">IFERROR(IF($B8045=Q$1, ($A8045+$C8045) - MAX(IF($B$2:$B8044=$B8045, $A$2:$A8044+$C$2:$C8044)), "")*24*60, "")</f>
        <v/>
      </c>
      <c r="R8045" s="24" t="str" cm="1">
        <f t="array" ref="R8045">IFERROR(IF($B8045=R$1, ($A8045+$C8045) - MAX(IF($B$2:$B8044=$B8045, $A$2:$A8044+$C$2:$C8044)), "")*24*60, "")</f>
        <v/>
      </c>
      <c r="S8045" s="24" t="str" cm="1">
        <f t="array" ref="S8045">IFERROR(IF($B8045=S$1, ($A8045+$C8045) - MAX(IF($B$2:$B8044=$B8045, $A$2:$A8044+$C$2:$C8044)), "")*24*60, "")</f>
        <v/>
      </c>
    </row>
    <row r="8046" spans="1:19" x14ac:dyDescent="0.2">
      <c r="A8046" s="12">
        <f t="shared" ref="A8046:C8046" si="1539">A8045</f>
        <v>46021</v>
      </c>
      <c r="B8046" s="5" t="str">
        <f t="shared" si="1539"/>
        <v>Northern Cardinal</v>
      </c>
      <c r="C8046" s="6">
        <f t="shared" si="1539"/>
        <v>0.7319444444444444</v>
      </c>
      <c r="D8046" s="5"/>
      <c r="E8046" s="5"/>
      <c r="F8046" s="5" t="s">
        <v>9</v>
      </c>
      <c r="G8046" s="15" t="s">
        <v>8</v>
      </c>
      <c r="H8046" s="24">
        <f t="shared" si="1525"/>
        <v>0</v>
      </c>
      <c r="I8046" s="24" cm="1">
        <f t="array" ref="I8046">IFERROR(IF($B8046=I$1, ($A8046+$C8046) - MAX(IF($B$2:$B8045=$B8046, $A$2:$A8045+$C$2:$C8045)), "")*24*60, "")</f>
        <v>0</v>
      </c>
      <c r="J8046" s="24" t="str" cm="1">
        <f t="array" ref="J8046">IFERROR(IF($B8046=J$1, ($A8046+$C8046) - MAX(IF($B$2:$B8045=$B8046, $A$2:$A8045+$C$2:$C8045)), "")*24*60, "")</f>
        <v/>
      </c>
      <c r="K8046" s="24" t="str" cm="1">
        <f t="array" ref="K8046">IFERROR(IF($B8046=K$1, ($A8046+$C8046) - MAX(IF($B$2:$B8045=$B8046, $A$2:$A8045+$C$2:$C8045)), "")*24*60, "")</f>
        <v/>
      </c>
      <c r="L8046" s="24" t="str" cm="1">
        <f t="array" ref="L8046">IFERROR(IF($B8046=L$1, ($A8046+$C8046) - MAX(IF($B$2:$B8045=$B8046, $A$2:$A8045+$C$2:$C8045)), "")*24*60, "")</f>
        <v/>
      </c>
      <c r="M8046" s="24" t="str" cm="1">
        <f t="array" ref="M8046">IFERROR(IF($B8046=M$1, ($A8046+$C8046) - MAX(IF($B$2:$B8045=$B8046, $A$2:$A8045+$C$2:$C8045)), "")*24*60, "")</f>
        <v/>
      </c>
      <c r="N8046" s="24" t="str" cm="1">
        <f t="array" ref="N8046">IFERROR(IF($B8046=N$1, ($A8046+$C8046) - MAX(IF($B$2:$B8045=$B8046, $A$2:$A8045+$C$2:$C8045)), "")*24*60, "")</f>
        <v/>
      </c>
      <c r="O8046" s="24" t="str" cm="1">
        <f t="array" ref="O8046">IFERROR(IF($B8046=O$1, ($A8046+$C8046) - MAX(IF($B$2:$B8045=$B8046, $A$2:$A8045+$C$2:$C8045)), "")*24*60, "")</f>
        <v/>
      </c>
      <c r="P8046" s="24" t="str" cm="1">
        <f t="array" ref="P8046">IFERROR(IF($B8046=P$1, ($A8046+$C8046) - MAX(IF($B$2:$B8045=$B8046, $A$2:$A8045+$C$2:$C8045)), "")*24*60, "")</f>
        <v/>
      </c>
      <c r="Q8046" s="24" t="str" cm="1">
        <f t="array" ref="Q8046">IFERROR(IF($B8046=Q$1, ($A8046+$C8046) - MAX(IF($B$2:$B8045=$B8046, $A$2:$A8045+$C$2:$C8045)), "")*24*60, "")</f>
        <v/>
      </c>
      <c r="R8046" s="24" t="str" cm="1">
        <f t="array" ref="R8046">IFERROR(IF($B8046=R$1, ($A8046+$C8046) - MAX(IF($B$2:$B8045=$B8046, $A$2:$A8045+$C$2:$C8045)), "")*24*60, "")</f>
        <v/>
      </c>
      <c r="S8046" s="24" t="str" cm="1">
        <f t="array" ref="S8046">IFERROR(IF($B8046=S$1, ($A8046+$C8046) - MAX(IF($B$2:$B8045=$B8046, $A$2:$A8045+$C$2:$C8045)), "")*24*60, "")</f>
        <v/>
      </c>
    </row>
    <row r="8047" spans="1:19" x14ac:dyDescent="0.2">
      <c r="A8047" s="12">
        <f t="shared" ref="A8047:C8047" si="1540">A8046</f>
        <v>46021</v>
      </c>
      <c r="B8047" s="5" t="str">
        <f t="shared" si="1540"/>
        <v>Northern Cardinal</v>
      </c>
      <c r="C8047" s="6">
        <f t="shared" si="1540"/>
        <v>0.7319444444444444</v>
      </c>
      <c r="D8047" s="5"/>
      <c r="E8047" s="5"/>
      <c r="F8047" s="5" t="s">
        <v>9</v>
      </c>
      <c r="G8047" s="15" t="s">
        <v>8</v>
      </c>
      <c r="H8047" s="24">
        <f t="shared" si="1525"/>
        <v>0</v>
      </c>
      <c r="I8047" s="24" cm="1">
        <f t="array" ref="I8047">IFERROR(IF($B8047=I$1, ($A8047+$C8047) - MAX(IF($B$2:$B8046=$B8047, $A$2:$A8046+$C$2:$C8046)), "")*24*60, "")</f>
        <v>0</v>
      </c>
      <c r="J8047" s="24" t="str" cm="1">
        <f t="array" ref="J8047">IFERROR(IF($B8047=J$1, ($A8047+$C8047) - MAX(IF($B$2:$B8046=$B8047, $A$2:$A8046+$C$2:$C8046)), "")*24*60, "")</f>
        <v/>
      </c>
      <c r="K8047" s="24" t="str" cm="1">
        <f t="array" ref="K8047">IFERROR(IF($B8047=K$1, ($A8047+$C8047) - MAX(IF($B$2:$B8046=$B8047, $A$2:$A8046+$C$2:$C8046)), "")*24*60, "")</f>
        <v/>
      </c>
      <c r="L8047" s="24" t="str" cm="1">
        <f t="array" ref="L8047">IFERROR(IF($B8047=L$1, ($A8047+$C8047) - MAX(IF($B$2:$B8046=$B8047, $A$2:$A8046+$C$2:$C8046)), "")*24*60, "")</f>
        <v/>
      </c>
      <c r="M8047" s="24" t="str" cm="1">
        <f t="array" ref="M8047">IFERROR(IF($B8047=M$1, ($A8047+$C8047) - MAX(IF($B$2:$B8046=$B8047, $A$2:$A8046+$C$2:$C8046)), "")*24*60, "")</f>
        <v/>
      </c>
      <c r="N8047" s="24" t="str" cm="1">
        <f t="array" ref="N8047">IFERROR(IF($B8047=N$1, ($A8047+$C8047) - MAX(IF($B$2:$B8046=$B8047, $A$2:$A8046+$C$2:$C8046)), "")*24*60, "")</f>
        <v/>
      </c>
      <c r="O8047" s="24" t="str" cm="1">
        <f t="array" ref="O8047">IFERROR(IF($B8047=O$1, ($A8047+$C8047) - MAX(IF($B$2:$B8046=$B8047, $A$2:$A8046+$C$2:$C8046)), "")*24*60, "")</f>
        <v/>
      </c>
      <c r="P8047" s="24" t="str" cm="1">
        <f t="array" ref="P8047">IFERROR(IF($B8047=P$1, ($A8047+$C8047) - MAX(IF($B$2:$B8046=$B8047, $A$2:$A8046+$C$2:$C8046)), "")*24*60, "")</f>
        <v/>
      </c>
      <c r="Q8047" s="24" t="str" cm="1">
        <f t="array" ref="Q8047">IFERROR(IF($B8047=Q$1, ($A8047+$C8047) - MAX(IF($B$2:$B8046=$B8047, $A$2:$A8046+$C$2:$C8046)), "")*24*60, "")</f>
        <v/>
      </c>
      <c r="R8047" s="24" t="str" cm="1">
        <f t="array" ref="R8047">IFERROR(IF($B8047=R$1, ($A8047+$C8047) - MAX(IF($B$2:$B8046=$B8047, $A$2:$A8046+$C$2:$C8046)), "")*24*60, "")</f>
        <v/>
      </c>
      <c r="S8047" s="24" t="str" cm="1">
        <f t="array" ref="S8047">IFERROR(IF($B8047=S$1, ($A8047+$C8047) - MAX(IF($B$2:$B8046=$B8047, $A$2:$A8046+$C$2:$C8046)), "")*24*60, "")</f>
        <v/>
      </c>
    </row>
    <row r="8048" spans="1:19" x14ac:dyDescent="0.2">
      <c r="A8048" s="12">
        <f t="shared" ref="A8048:C8048" si="1541">A8047</f>
        <v>46021</v>
      </c>
      <c r="B8048" s="5" t="str">
        <f t="shared" si="1541"/>
        <v>Northern Cardinal</v>
      </c>
      <c r="C8048" s="6">
        <f t="shared" si="1541"/>
        <v>0.7319444444444444</v>
      </c>
      <c r="D8048" s="5"/>
      <c r="E8048" s="5"/>
      <c r="F8048" s="5" t="s">
        <v>9</v>
      </c>
      <c r="G8048" s="15" t="s">
        <v>8</v>
      </c>
      <c r="H8048" s="24">
        <f t="shared" si="1525"/>
        <v>0</v>
      </c>
      <c r="I8048" s="24" cm="1">
        <f t="array" ref="I8048">IFERROR(IF($B8048=I$1, ($A8048+$C8048) - MAX(IF($B$2:$B8047=$B8048, $A$2:$A8047+$C$2:$C8047)), "")*24*60, "")</f>
        <v>0</v>
      </c>
      <c r="J8048" s="24" t="str" cm="1">
        <f t="array" ref="J8048">IFERROR(IF($B8048=J$1, ($A8048+$C8048) - MAX(IF($B$2:$B8047=$B8048, $A$2:$A8047+$C$2:$C8047)), "")*24*60, "")</f>
        <v/>
      </c>
      <c r="K8048" s="24" t="str" cm="1">
        <f t="array" ref="K8048">IFERROR(IF($B8048=K$1, ($A8048+$C8048) - MAX(IF($B$2:$B8047=$B8048, $A$2:$A8047+$C$2:$C8047)), "")*24*60, "")</f>
        <v/>
      </c>
      <c r="L8048" s="24" t="str" cm="1">
        <f t="array" ref="L8048">IFERROR(IF($B8048=L$1, ($A8048+$C8048) - MAX(IF($B$2:$B8047=$B8048, $A$2:$A8047+$C$2:$C8047)), "")*24*60, "")</f>
        <v/>
      </c>
      <c r="M8048" s="24" t="str" cm="1">
        <f t="array" ref="M8048">IFERROR(IF($B8048=M$1, ($A8048+$C8048) - MAX(IF($B$2:$B8047=$B8048, $A$2:$A8047+$C$2:$C8047)), "")*24*60, "")</f>
        <v/>
      </c>
      <c r="N8048" s="24" t="str" cm="1">
        <f t="array" ref="N8048">IFERROR(IF($B8048=N$1, ($A8048+$C8048) - MAX(IF($B$2:$B8047=$B8048, $A$2:$A8047+$C$2:$C8047)), "")*24*60, "")</f>
        <v/>
      </c>
      <c r="O8048" s="24" t="str" cm="1">
        <f t="array" ref="O8048">IFERROR(IF($B8048=O$1, ($A8048+$C8048) - MAX(IF($B$2:$B8047=$B8048, $A$2:$A8047+$C$2:$C8047)), "")*24*60, "")</f>
        <v/>
      </c>
      <c r="P8048" s="24" t="str" cm="1">
        <f t="array" ref="P8048">IFERROR(IF($B8048=P$1, ($A8048+$C8048) - MAX(IF($B$2:$B8047=$B8048, $A$2:$A8047+$C$2:$C8047)), "")*24*60, "")</f>
        <v/>
      </c>
      <c r="Q8048" s="24" t="str" cm="1">
        <f t="array" ref="Q8048">IFERROR(IF($B8048=Q$1, ($A8048+$C8048) - MAX(IF($B$2:$B8047=$B8048, $A$2:$A8047+$C$2:$C8047)), "")*24*60, "")</f>
        <v/>
      </c>
      <c r="R8048" s="24" t="str" cm="1">
        <f t="array" ref="R8048">IFERROR(IF($B8048=R$1, ($A8048+$C8048) - MAX(IF($B$2:$B8047=$B8048, $A$2:$A8047+$C$2:$C8047)), "")*24*60, "")</f>
        <v/>
      </c>
      <c r="S8048" s="24" t="str" cm="1">
        <f t="array" ref="S8048">IFERROR(IF($B8048=S$1, ($A8048+$C8048) - MAX(IF($B$2:$B8047=$B8048, $A$2:$A8047+$C$2:$C8047)), "")*24*60, "")</f>
        <v/>
      </c>
    </row>
    <row r="8049" spans="1:19" x14ac:dyDescent="0.2">
      <c r="A8049" s="12">
        <f t="shared" ref="A8049:C8049" si="1542">A8048</f>
        <v>46021</v>
      </c>
      <c r="B8049" s="5" t="str">
        <f t="shared" si="1542"/>
        <v>Northern Cardinal</v>
      </c>
      <c r="C8049" s="6">
        <f t="shared" si="1542"/>
        <v>0.7319444444444444</v>
      </c>
      <c r="D8049" s="5"/>
      <c r="E8049" s="5"/>
      <c r="F8049" s="5" t="s">
        <v>9</v>
      </c>
      <c r="G8049" s="15" t="s">
        <v>8</v>
      </c>
      <c r="H8049" s="24">
        <f t="shared" si="1525"/>
        <v>0</v>
      </c>
      <c r="I8049" s="24" cm="1">
        <f t="array" ref="I8049">IFERROR(IF($B8049=I$1, ($A8049+$C8049) - MAX(IF($B$2:$B8048=$B8049, $A$2:$A8048+$C$2:$C8048)), "")*24*60, "")</f>
        <v>0</v>
      </c>
      <c r="J8049" s="24" t="str" cm="1">
        <f t="array" ref="J8049">IFERROR(IF($B8049=J$1, ($A8049+$C8049) - MAX(IF($B$2:$B8048=$B8049, $A$2:$A8048+$C$2:$C8048)), "")*24*60, "")</f>
        <v/>
      </c>
      <c r="K8049" s="24" t="str" cm="1">
        <f t="array" ref="K8049">IFERROR(IF($B8049=K$1, ($A8049+$C8049) - MAX(IF($B$2:$B8048=$B8049, $A$2:$A8048+$C$2:$C8048)), "")*24*60, "")</f>
        <v/>
      </c>
      <c r="L8049" s="24" t="str" cm="1">
        <f t="array" ref="L8049">IFERROR(IF($B8049=L$1, ($A8049+$C8049) - MAX(IF($B$2:$B8048=$B8049, $A$2:$A8048+$C$2:$C8048)), "")*24*60, "")</f>
        <v/>
      </c>
      <c r="M8049" s="24" t="str" cm="1">
        <f t="array" ref="M8049">IFERROR(IF($B8049=M$1, ($A8049+$C8049) - MAX(IF($B$2:$B8048=$B8049, $A$2:$A8048+$C$2:$C8048)), "")*24*60, "")</f>
        <v/>
      </c>
      <c r="N8049" s="24" t="str" cm="1">
        <f t="array" ref="N8049">IFERROR(IF($B8049=N$1, ($A8049+$C8049) - MAX(IF($B$2:$B8048=$B8049, $A$2:$A8048+$C$2:$C8048)), "")*24*60, "")</f>
        <v/>
      </c>
      <c r="O8049" s="24" t="str" cm="1">
        <f t="array" ref="O8049">IFERROR(IF($B8049=O$1, ($A8049+$C8049) - MAX(IF($B$2:$B8048=$B8049, $A$2:$A8048+$C$2:$C8048)), "")*24*60, "")</f>
        <v/>
      </c>
      <c r="P8049" s="24" t="str" cm="1">
        <f t="array" ref="P8049">IFERROR(IF($B8049=P$1, ($A8049+$C8049) - MAX(IF($B$2:$B8048=$B8049, $A$2:$A8048+$C$2:$C8048)), "")*24*60, "")</f>
        <v/>
      </c>
      <c r="Q8049" s="24" t="str" cm="1">
        <f t="array" ref="Q8049">IFERROR(IF($B8049=Q$1, ($A8049+$C8049) - MAX(IF($B$2:$B8048=$B8049, $A$2:$A8048+$C$2:$C8048)), "")*24*60, "")</f>
        <v/>
      </c>
      <c r="R8049" s="24" t="str" cm="1">
        <f t="array" ref="R8049">IFERROR(IF($B8049=R$1, ($A8049+$C8049) - MAX(IF($B$2:$B8048=$B8049, $A$2:$A8048+$C$2:$C8048)), "")*24*60, "")</f>
        <v/>
      </c>
      <c r="S8049" s="24" t="str" cm="1">
        <f t="array" ref="S8049">IFERROR(IF($B8049=S$1, ($A8049+$C8049) - MAX(IF($B$2:$B8048=$B8049, $A$2:$A8048+$C$2:$C8048)), "")*24*60, "")</f>
        <v/>
      </c>
    </row>
    <row r="8050" spans="1:19" x14ac:dyDescent="0.2">
      <c r="A8050" s="12">
        <f t="shared" ref="A8050:C8050" si="1543">A8049</f>
        <v>46021</v>
      </c>
      <c r="B8050" s="5" t="str">
        <f t="shared" si="1543"/>
        <v>Northern Cardinal</v>
      </c>
      <c r="C8050" s="6">
        <f t="shared" si="1543"/>
        <v>0.7319444444444444</v>
      </c>
      <c r="D8050" s="5"/>
      <c r="E8050" s="5"/>
      <c r="F8050" s="5" t="s">
        <v>9</v>
      </c>
      <c r="G8050" s="15" t="s">
        <v>8</v>
      </c>
      <c r="H8050" s="24">
        <f t="shared" si="1525"/>
        <v>0</v>
      </c>
      <c r="I8050" s="24" cm="1">
        <f t="array" ref="I8050">IFERROR(IF($B8050=I$1, ($A8050+$C8050) - MAX(IF($B$2:$B8049=$B8050, $A$2:$A8049+$C$2:$C8049)), "")*24*60, "")</f>
        <v>0</v>
      </c>
      <c r="J8050" s="24" t="str" cm="1">
        <f t="array" ref="J8050">IFERROR(IF($B8050=J$1, ($A8050+$C8050) - MAX(IF($B$2:$B8049=$B8050, $A$2:$A8049+$C$2:$C8049)), "")*24*60, "")</f>
        <v/>
      </c>
      <c r="K8050" s="24" t="str" cm="1">
        <f t="array" ref="K8050">IFERROR(IF($B8050=K$1, ($A8050+$C8050) - MAX(IF($B$2:$B8049=$B8050, $A$2:$A8049+$C$2:$C8049)), "")*24*60, "")</f>
        <v/>
      </c>
      <c r="L8050" s="24" t="str" cm="1">
        <f t="array" ref="L8050">IFERROR(IF($B8050=L$1, ($A8050+$C8050) - MAX(IF($B$2:$B8049=$B8050, $A$2:$A8049+$C$2:$C8049)), "")*24*60, "")</f>
        <v/>
      </c>
      <c r="M8050" s="24" t="str" cm="1">
        <f t="array" ref="M8050">IFERROR(IF($B8050=M$1, ($A8050+$C8050) - MAX(IF($B$2:$B8049=$B8050, $A$2:$A8049+$C$2:$C8049)), "")*24*60, "")</f>
        <v/>
      </c>
      <c r="N8050" s="24" t="str" cm="1">
        <f t="array" ref="N8050">IFERROR(IF($B8050=N$1, ($A8050+$C8050) - MAX(IF($B$2:$B8049=$B8050, $A$2:$A8049+$C$2:$C8049)), "")*24*60, "")</f>
        <v/>
      </c>
      <c r="O8050" s="24" t="str" cm="1">
        <f t="array" ref="O8050">IFERROR(IF($B8050=O$1, ($A8050+$C8050) - MAX(IF($B$2:$B8049=$B8050, $A$2:$A8049+$C$2:$C8049)), "")*24*60, "")</f>
        <v/>
      </c>
      <c r="P8050" s="24" t="str" cm="1">
        <f t="array" ref="P8050">IFERROR(IF($B8050=P$1, ($A8050+$C8050) - MAX(IF($B$2:$B8049=$B8050, $A$2:$A8049+$C$2:$C8049)), "")*24*60, "")</f>
        <v/>
      </c>
      <c r="Q8050" s="24" t="str" cm="1">
        <f t="array" ref="Q8050">IFERROR(IF($B8050=Q$1, ($A8050+$C8050) - MAX(IF($B$2:$B8049=$B8050, $A$2:$A8049+$C$2:$C8049)), "")*24*60, "")</f>
        <v/>
      </c>
      <c r="R8050" s="24" t="str" cm="1">
        <f t="array" ref="R8050">IFERROR(IF($B8050=R$1, ($A8050+$C8050) - MAX(IF($B$2:$B8049=$B8050, $A$2:$A8049+$C$2:$C8049)), "")*24*60, "")</f>
        <v/>
      </c>
      <c r="S8050" s="24" t="str" cm="1">
        <f t="array" ref="S8050">IFERROR(IF($B8050=S$1, ($A8050+$C8050) - MAX(IF($B$2:$B8049=$B8050, $A$2:$A8049+$C$2:$C8049)), "")*24*60, "")</f>
        <v/>
      </c>
    </row>
    <row r="8051" spans="1:19" x14ac:dyDescent="0.2">
      <c r="A8051" s="12">
        <f t="shared" ref="A8051:C8051" si="1544">A8050</f>
        <v>46021</v>
      </c>
      <c r="B8051" s="5" t="str">
        <f t="shared" si="1544"/>
        <v>Northern Cardinal</v>
      </c>
      <c r="C8051" s="6">
        <f t="shared" si="1544"/>
        <v>0.7319444444444444</v>
      </c>
      <c r="D8051" s="5"/>
      <c r="E8051" s="5"/>
      <c r="F8051" s="5" t="s">
        <v>9</v>
      </c>
      <c r="G8051" s="15" t="s">
        <v>8</v>
      </c>
      <c r="H8051" s="24">
        <f t="shared" si="1525"/>
        <v>0</v>
      </c>
      <c r="I8051" s="24" cm="1">
        <f t="array" ref="I8051">IFERROR(IF($B8051=I$1, ($A8051+$C8051) - MAX(IF($B$2:$B8050=$B8051, $A$2:$A8050+$C$2:$C8050)), "")*24*60, "")</f>
        <v>0</v>
      </c>
      <c r="J8051" s="24" t="str" cm="1">
        <f t="array" ref="J8051">IFERROR(IF($B8051=J$1, ($A8051+$C8051) - MAX(IF($B$2:$B8050=$B8051, $A$2:$A8050+$C$2:$C8050)), "")*24*60, "")</f>
        <v/>
      </c>
      <c r="K8051" s="24" t="str" cm="1">
        <f t="array" ref="K8051">IFERROR(IF($B8051=K$1, ($A8051+$C8051) - MAX(IF($B$2:$B8050=$B8051, $A$2:$A8050+$C$2:$C8050)), "")*24*60, "")</f>
        <v/>
      </c>
      <c r="L8051" s="24" t="str" cm="1">
        <f t="array" ref="L8051">IFERROR(IF($B8051=L$1, ($A8051+$C8051) - MAX(IF($B$2:$B8050=$B8051, $A$2:$A8050+$C$2:$C8050)), "")*24*60, "")</f>
        <v/>
      </c>
      <c r="M8051" s="24" t="str" cm="1">
        <f t="array" ref="M8051">IFERROR(IF($B8051=M$1, ($A8051+$C8051) - MAX(IF($B$2:$B8050=$B8051, $A$2:$A8050+$C$2:$C8050)), "")*24*60, "")</f>
        <v/>
      </c>
      <c r="N8051" s="24" t="str" cm="1">
        <f t="array" ref="N8051">IFERROR(IF($B8051=N$1, ($A8051+$C8051) - MAX(IF($B$2:$B8050=$B8051, $A$2:$A8050+$C$2:$C8050)), "")*24*60, "")</f>
        <v/>
      </c>
      <c r="O8051" s="24" t="str" cm="1">
        <f t="array" ref="O8051">IFERROR(IF($B8051=O$1, ($A8051+$C8051) - MAX(IF($B$2:$B8050=$B8051, $A$2:$A8050+$C$2:$C8050)), "")*24*60, "")</f>
        <v/>
      </c>
      <c r="P8051" s="24" t="str" cm="1">
        <f t="array" ref="P8051">IFERROR(IF($B8051=P$1, ($A8051+$C8051) - MAX(IF($B$2:$B8050=$B8051, $A$2:$A8050+$C$2:$C8050)), "")*24*60, "")</f>
        <v/>
      </c>
      <c r="Q8051" s="24" t="str" cm="1">
        <f t="array" ref="Q8051">IFERROR(IF($B8051=Q$1, ($A8051+$C8051) - MAX(IF($B$2:$B8050=$B8051, $A$2:$A8050+$C$2:$C8050)), "")*24*60, "")</f>
        <v/>
      </c>
      <c r="R8051" s="24" t="str" cm="1">
        <f t="array" ref="R8051">IFERROR(IF($B8051=R$1, ($A8051+$C8051) - MAX(IF($B$2:$B8050=$B8051, $A$2:$A8050+$C$2:$C8050)), "")*24*60, "")</f>
        <v/>
      </c>
      <c r="S8051" s="24" t="str" cm="1">
        <f t="array" ref="S8051">IFERROR(IF($B8051=S$1, ($A8051+$C8051) - MAX(IF($B$2:$B8050=$B8051, $A$2:$A8050+$C$2:$C8050)), "")*24*60, "")</f>
        <v/>
      </c>
    </row>
    <row r="8052" spans="1:19" x14ac:dyDescent="0.2">
      <c r="A8052" s="12">
        <f t="shared" ref="A8052:C8052" si="1545">A8051</f>
        <v>46021</v>
      </c>
      <c r="B8052" s="5" t="str">
        <f t="shared" si="1545"/>
        <v>Northern Cardinal</v>
      </c>
      <c r="C8052" s="6">
        <f t="shared" si="1545"/>
        <v>0.7319444444444444</v>
      </c>
      <c r="D8052" s="5"/>
      <c r="E8052" s="5"/>
      <c r="F8052" s="5" t="s">
        <v>9</v>
      </c>
      <c r="G8052" s="15" t="s">
        <v>8</v>
      </c>
      <c r="H8052" s="24">
        <f t="shared" si="1525"/>
        <v>0</v>
      </c>
      <c r="I8052" s="24" cm="1">
        <f t="array" ref="I8052">IFERROR(IF($B8052=I$1, ($A8052+$C8052) - MAX(IF($B$2:$B8051=$B8052, $A$2:$A8051+$C$2:$C8051)), "")*24*60, "")</f>
        <v>0</v>
      </c>
      <c r="J8052" s="24" t="str" cm="1">
        <f t="array" ref="J8052">IFERROR(IF($B8052=J$1, ($A8052+$C8052) - MAX(IF($B$2:$B8051=$B8052, $A$2:$A8051+$C$2:$C8051)), "")*24*60, "")</f>
        <v/>
      </c>
      <c r="K8052" s="24" t="str" cm="1">
        <f t="array" ref="K8052">IFERROR(IF($B8052=K$1, ($A8052+$C8052) - MAX(IF($B$2:$B8051=$B8052, $A$2:$A8051+$C$2:$C8051)), "")*24*60, "")</f>
        <v/>
      </c>
      <c r="L8052" s="24" t="str" cm="1">
        <f t="array" ref="L8052">IFERROR(IF($B8052=L$1, ($A8052+$C8052) - MAX(IF($B$2:$B8051=$B8052, $A$2:$A8051+$C$2:$C8051)), "")*24*60, "")</f>
        <v/>
      </c>
      <c r="M8052" s="24" t="str" cm="1">
        <f t="array" ref="M8052">IFERROR(IF($B8052=M$1, ($A8052+$C8052) - MAX(IF($B$2:$B8051=$B8052, $A$2:$A8051+$C$2:$C8051)), "")*24*60, "")</f>
        <v/>
      </c>
      <c r="N8052" s="24" t="str" cm="1">
        <f t="array" ref="N8052">IFERROR(IF($B8052=N$1, ($A8052+$C8052) - MAX(IF($B$2:$B8051=$B8052, $A$2:$A8051+$C$2:$C8051)), "")*24*60, "")</f>
        <v/>
      </c>
      <c r="O8052" s="24" t="str" cm="1">
        <f t="array" ref="O8052">IFERROR(IF($B8052=O$1, ($A8052+$C8052) - MAX(IF($B$2:$B8051=$B8052, $A$2:$A8051+$C$2:$C8051)), "")*24*60, "")</f>
        <v/>
      </c>
      <c r="P8052" s="24" t="str" cm="1">
        <f t="array" ref="P8052">IFERROR(IF($B8052=P$1, ($A8052+$C8052) - MAX(IF($B$2:$B8051=$B8052, $A$2:$A8051+$C$2:$C8051)), "")*24*60, "")</f>
        <v/>
      </c>
      <c r="Q8052" s="24" t="str" cm="1">
        <f t="array" ref="Q8052">IFERROR(IF($B8052=Q$1, ($A8052+$C8052) - MAX(IF($B$2:$B8051=$B8052, $A$2:$A8051+$C$2:$C8051)), "")*24*60, "")</f>
        <v/>
      </c>
      <c r="R8052" s="24" t="str" cm="1">
        <f t="array" ref="R8052">IFERROR(IF($B8052=R$1, ($A8052+$C8052) - MAX(IF($B$2:$B8051=$B8052, $A$2:$A8051+$C$2:$C8051)), "")*24*60, "")</f>
        <v/>
      </c>
      <c r="S8052" s="24" t="str" cm="1">
        <f t="array" ref="S8052">IFERROR(IF($B8052=S$1, ($A8052+$C8052) - MAX(IF($B$2:$B8051=$B8052, $A$2:$A8051+$C$2:$C8051)), "")*24*60, "")</f>
        <v/>
      </c>
    </row>
    <row r="8053" spans="1:19" x14ac:dyDescent="0.2">
      <c r="A8053" s="12">
        <f t="shared" ref="A8053:C8053" si="1546">A8052</f>
        <v>46021</v>
      </c>
      <c r="B8053" s="5" t="str">
        <f t="shared" si="1546"/>
        <v>Northern Cardinal</v>
      </c>
      <c r="C8053" s="6">
        <f t="shared" si="1546"/>
        <v>0.7319444444444444</v>
      </c>
      <c r="D8053" s="5"/>
      <c r="E8053" s="5"/>
      <c r="F8053" s="5" t="s">
        <v>9</v>
      </c>
      <c r="G8053" s="15" t="s">
        <v>8</v>
      </c>
      <c r="H8053" s="24">
        <f t="shared" si="1525"/>
        <v>0</v>
      </c>
      <c r="I8053" s="24" cm="1">
        <f t="array" ref="I8053">IFERROR(IF($B8053=I$1, ($A8053+$C8053) - MAX(IF($B$2:$B8052=$B8053, $A$2:$A8052+$C$2:$C8052)), "")*24*60, "")</f>
        <v>0</v>
      </c>
      <c r="J8053" s="24" t="str" cm="1">
        <f t="array" ref="J8053">IFERROR(IF($B8053=J$1, ($A8053+$C8053) - MAX(IF($B$2:$B8052=$B8053, $A$2:$A8052+$C$2:$C8052)), "")*24*60, "")</f>
        <v/>
      </c>
      <c r="K8053" s="24" t="str" cm="1">
        <f t="array" ref="K8053">IFERROR(IF($B8053=K$1, ($A8053+$C8053) - MAX(IF($B$2:$B8052=$B8053, $A$2:$A8052+$C$2:$C8052)), "")*24*60, "")</f>
        <v/>
      </c>
      <c r="L8053" s="24" t="str" cm="1">
        <f t="array" ref="L8053">IFERROR(IF($B8053=L$1, ($A8053+$C8053) - MAX(IF($B$2:$B8052=$B8053, $A$2:$A8052+$C$2:$C8052)), "")*24*60, "")</f>
        <v/>
      </c>
      <c r="M8053" s="24" t="str" cm="1">
        <f t="array" ref="M8053">IFERROR(IF($B8053=M$1, ($A8053+$C8053) - MAX(IF($B$2:$B8052=$B8053, $A$2:$A8052+$C$2:$C8052)), "")*24*60, "")</f>
        <v/>
      </c>
      <c r="N8053" s="24" t="str" cm="1">
        <f t="array" ref="N8053">IFERROR(IF($B8053=N$1, ($A8053+$C8053) - MAX(IF($B$2:$B8052=$B8053, $A$2:$A8052+$C$2:$C8052)), "")*24*60, "")</f>
        <v/>
      </c>
      <c r="O8053" s="24" t="str" cm="1">
        <f t="array" ref="O8053">IFERROR(IF($B8053=O$1, ($A8053+$C8053) - MAX(IF($B$2:$B8052=$B8053, $A$2:$A8052+$C$2:$C8052)), "")*24*60, "")</f>
        <v/>
      </c>
      <c r="P8053" s="24" t="str" cm="1">
        <f t="array" ref="P8053">IFERROR(IF($B8053=P$1, ($A8053+$C8053) - MAX(IF($B$2:$B8052=$B8053, $A$2:$A8052+$C$2:$C8052)), "")*24*60, "")</f>
        <v/>
      </c>
      <c r="Q8053" s="24" t="str" cm="1">
        <f t="array" ref="Q8053">IFERROR(IF($B8053=Q$1, ($A8053+$C8053) - MAX(IF($B$2:$B8052=$B8053, $A$2:$A8052+$C$2:$C8052)), "")*24*60, "")</f>
        <v/>
      </c>
      <c r="R8053" s="24" t="str" cm="1">
        <f t="array" ref="R8053">IFERROR(IF($B8053=R$1, ($A8053+$C8053) - MAX(IF($B$2:$B8052=$B8053, $A$2:$A8052+$C$2:$C8052)), "")*24*60, "")</f>
        <v/>
      </c>
      <c r="S8053" s="24" t="str" cm="1">
        <f t="array" ref="S8053">IFERROR(IF($B8053=S$1, ($A8053+$C8053) - MAX(IF($B$2:$B8052=$B8053, $A$2:$A8052+$C$2:$C8052)), "")*24*60, "")</f>
        <v/>
      </c>
    </row>
    <row r="8054" spans="1:19" x14ac:dyDescent="0.2">
      <c r="A8054" s="12">
        <f t="shared" ref="A8054:C8054" si="1547">A8053</f>
        <v>46021</v>
      </c>
      <c r="B8054" s="5" t="str">
        <f t="shared" si="1547"/>
        <v>Northern Cardinal</v>
      </c>
      <c r="C8054" s="6">
        <f t="shared" si="1547"/>
        <v>0.7319444444444444</v>
      </c>
      <c r="D8054" s="5"/>
      <c r="E8054" s="5"/>
      <c r="F8054" s="5" t="s">
        <v>9</v>
      </c>
      <c r="G8054" s="15" t="s">
        <v>8</v>
      </c>
      <c r="H8054" s="24">
        <f t="shared" si="1525"/>
        <v>0</v>
      </c>
      <c r="I8054" s="24" cm="1">
        <f t="array" ref="I8054">IFERROR(IF($B8054=I$1, ($A8054+$C8054) - MAX(IF($B$2:$B8053=$B8054, $A$2:$A8053+$C$2:$C8053)), "")*24*60, "")</f>
        <v>0</v>
      </c>
      <c r="J8054" s="24" t="str" cm="1">
        <f t="array" ref="J8054">IFERROR(IF($B8054=J$1, ($A8054+$C8054) - MAX(IF($B$2:$B8053=$B8054, $A$2:$A8053+$C$2:$C8053)), "")*24*60, "")</f>
        <v/>
      </c>
      <c r="K8054" s="24" t="str" cm="1">
        <f t="array" ref="K8054">IFERROR(IF($B8054=K$1, ($A8054+$C8054) - MAX(IF($B$2:$B8053=$B8054, $A$2:$A8053+$C$2:$C8053)), "")*24*60, "")</f>
        <v/>
      </c>
      <c r="L8054" s="24" t="str" cm="1">
        <f t="array" ref="L8054">IFERROR(IF($B8054=L$1, ($A8054+$C8054) - MAX(IF($B$2:$B8053=$B8054, $A$2:$A8053+$C$2:$C8053)), "")*24*60, "")</f>
        <v/>
      </c>
      <c r="M8054" s="24" t="str" cm="1">
        <f t="array" ref="M8054">IFERROR(IF($B8054=M$1, ($A8054+$C8054) - MAX(IF($B$2:$B8053=$B8054, $A$2:$A8053+$C$2:$C8053)), "")*24*60, "")</f>
        <v/>
      </c>
      <c r="N8054" s="24" t="str" cm="1">
        <f t="array" ref="N8054">IFERROR(IF($B8054=N$1, ($A8054+$C8054) - MAX(IF($B$2:$B8053=$B8054, $A$2:$A8053+$C$2:$C8053)), "")*24*60, "")</f>
        <v/>
      </c>
      <c r="O8054" s="24" t="str" cm="1">
        <f t="array" ref="O8054">IFERROR(IF($B8054=O$1, ($A8054+$C8054) - MAX(IF($B$2:$B8053=$B8054, $A$2:$A8053+$C$2:$C8053)), "")*24*60, "")</f>
        <v/>
      </c>
      <c r="P8054" s="24" t="str" cm="1">
        <f t="array" ref="P8054">IFERROR(IF($B8054=P$1, ($A8054+$C8054) - MAX(IF($B$2:$B8053=$B8054, $A$2:$A8053+$C$2:$C8053)), "")*24*60, "")</f>
        <v/>
      </c>
      <c r="Q8054" s="24" t="str" cm="1">
        <f t="array" ref="Q8054">IFERROR(IF($B8054=Q$1, ($A8054+$C8054) - MAX(IF($B$2:$B8053=$B8054, $A$2:$A8053+$C$2:$C8053)), "")*24*60, "")</f>
        <v/>
      </c>
      <c r="R8054" s="24" t="str" cm="1">
        <f t="array" ref="R8054">IFERROR(IF($B8054=R$1, ($A8054+$C8054) - MAX(IF($B$2:$B8053=$B8054, $A$2:$A8053+$C$2:$C8053)), "")*24*60, "")</f>
        <v/>
      </c>
      <c r="S8054" s="24" t="str" cm="1">
        <f t="array" ref="S8054">IFERROR(IF($B8054=S$1, ($A8054+$C8054) - MAX(IF($B$2:$B8053=$B8054, $A$2:$A8053+$C$2:$C8053)), "")*24*60, "")</f>
        <v/>
      </c>
    </row>
    <row r="8055" spans="1:19" x14ac:dyDescent="0.2">
      <c r="A8055" s="12">
        <f t="shared" ref="A8055:C8055" si="1548">A8054</f>
        <v>46021</v>
      </c>
      <c r="B8055" s="5" t="str">
        <f t="shared" si="1548"/>
        <v>Northern Cardinal</v>
      </c>
      <c r="C8055" s="6">
        <f t="shared" si="1548"/>
        <v>0.7319444444444444</v>
      </c>
      <c r="D8055" s="5"/>
      <c r="E8055" s="5"/>
      <c r="F8055" s="5" t="s">
        <v>9</v>
      </c>
      <c r="G8055" s="15" t="s">
        <v>8</v>
      </c>
      <c r="H8055" s="24">
        <f t="shared" si="1525"/>
        <v>0</v>
      </c>
      <c r="I8055" s="24" cm="1">
        <f t="array" ref="I8055">IFERROR(IF($B8055=I$1, ($A8055+$C8055) - MAX(IF($B$2:$B8054=$B8055, $A$2:$A8054+$C$2:$C8054)), "")*24*60, "")</f>
        <v>0</v>
      </c>
      <c r="J8055" s="24" t="str" cm="1">
        <f t="array" ref="J8055">IFERROR(IF($B8055=J$1, ($A8055+$C8055) - MAX(IF($B$2:$B8054=$B8055, $A$2:$A8054+$C$2:$C8054)), "")*24*60, "")</f>
        <v/>
      </c>
      <c r="K8055" s="24" t="str" cm="1">
        <f t="array" ref="K8055">IFERROR(IF($B8055=K$1, ($A8055+$C8055) - MAX(IF($B$2:$B8054=$B8055, $A$2:$A8054+$C$2:$C8054)), "")*24*60, "")</f>
        <v/>
      </c>
      <c r="L8055" s="24" t="str" cm="1">
        <f t="array" ref="L8055">IFERROR(IF($B8055=L$1, ($A8055+$C8055) - MAX(IF($B$2:$B8054=$B8055, $A$2:$A8054+$C$2:$C8054)), "")*24*60, "")</f>
        <v/>
      </c>
      <c r="M8055" s="24" t="str" cm="1">
        <f t="array" ref="M8055">IFERROR(IF($B8055=M$1, ($A8055+$C8055) - MAX(IF($B$2:$B8054=$B8055, $A$2:$A8054+$C$2:$C8054)), "")*24*60, "")</f>
        <v/>
      </c>
      <c r="N8055" s="24" t="str" cm="1">
        <f t="array" ref="N8055">IFERROR(IF($B8055=N$1, ($A8055+$C8055) - MAX(IF($B$2:$B8054=$B8055, $A$2:$A8054+$C$2:$C8054)), "")*24*60, "")</f>
        <v/>
      </c>
      <c r="O8055" s="24" t="str" cm="1">
        <f t="array" ref="O8055">IFERROR(IF($B8055=O$1, ($A8055+$C8055) - MAX(IF($B$2:$B8054=$B8055, $A$2:$A8054+$C$2:$C8054)), "")*24*60, "")</f>
        <v/>
      </c>
      <c r="P8055" s="24" t="str" cm="1">
        <f t="array" ref="P8055">IFERROR(IF($B8055=P$1, ($A8055+$C8055) - MAX(IF($B$2:$B8054=$B8055, $A$2:$A8054+$C$2:$C8054)), "")*24*60, "")</f>
        <v/>
      </c>
      <c r="Q8055" s="24" t="str" cm="1">
        <f t="array" ref="Q8055">IFERROR(IF($B8055=Q$1, ($A8055+$C8055) - MAX(IF($B$2:$B8054=$B8055, $A$2:$A8054+$C$2:$C8054)), "")*24*60, "")</f>
        <v/>
      </c>
      <c r="R8055" s="24" t="str" cm="1">
        <f t="array" ref="R8055">IFERROR(IF($B8055=R$1, ($A8055+$C8055) - MAX(IF($B$2:$B8054=$B8055, $A$2:$A8054+$C$2:$C8054)), "")*24*60, "")</f>
        <v/>
      </c>
      <c r="S8055" s="24" t="str" cm="1">
        <f t="array" ref="S8055">IFERROR(IF($B8055=S$1, ($A8055+$C8055) - MAX(IF($B$2:$B8054=$B8055, $A$2:$A8054+$C$2:$C8054)), "")*24*60, "")</f>
        <v/>
      </c>
    </row>
    <row r="8056" spans="1:19" x14ac:dyDescent="0.2">
      <c r="A8056" s="12">
        <f t="shared" ref="A8056:C8056" si="1549">A8055</f>
        <v>46021</v>
      </c>
      <c r="B8056" s="5" t="str">
        <f t="shared" si="1549"/>
        <v>Northern Cardinal</v>
      </c>
      <c r="C8056" s="6">
        <f t="shared" si="1549"/>
        <v>0.7319444444444444</v>
      </c>
      <c r="D8056" s="5"/>
      <c r="E8056" s="5"/>
      <c r="F8056" s="5" t="s">
        <v>9</v>
      </c>
      <c r="G8056" s="15" t="s">
        <v>8</v>
      </c>
      <c r="H8056" s="24">
        <f t="shared" si="1525"/>
        <v>0</v>
      </c>
      <c r="I8056" s="24" cm="1">
        <f t="array" ref="I8056">IFERROR(IF($B8056=I$1, ($A8056+$C8056) - MAX(IF($B$2:$B8055=$B8056, $A$2:$A8055+$C$2:$C8055)), "")*24*60, "")</f>
        <v>0</v>
      </c>
      <c r="J8056" s="24" t="str" cm="1">
        <f t="array" ref="J8056">IFERROR(IF($B8056=J$1, ($A8056+$C8056) - MAX(IF($B$2:$B8055=$B8056, $A$2:$A8055+$C$2:$C8055)), "")*24*60, "")</f>
        <v/>
      </c>
      <c r="K8056" s="24" t="str" cm="1">
        <f t="array" ref="K8056">IFERROR(IF($B8056=K$1, ($A8056+$C8056) - MAX(IF($B$2:$B8055=$B8056, $A$2:$A8055+$C$2:$C8055)), "")*24*60, "")</f>
        <v/>
      </c>
      <c r="L8056" s="24" t="str" cm="1">
        <f t="array" ref="L8056">IFERROR(IF($B8056=L$1, ($A8056+$C8056) - MAX(IF($B$2:$B8055=$B8056, $A$2:$A8055+$C$2:$C8055)), "")*24*60, "")</f>
        <v/>
      </c>
      <c r="M8056" s="24" t="str" cm="1">
        <f t="array" ref="M8056">IFERROR(IF($B8056=M$1, ($A8056+$C8056) - MAX(IF($B$2:$B8055=$B8056, $A$2:$A8055+$C$2:$C8055)), "")*24*60, "")</f>
        <v/>
      </c>
      <c r="N8056" s="24" t="str" cm="1">
        <f t="array" ref="N8056">IFERROR(IF($B8056=N$1, ($A8056+$C8056) - MAX(IF($B$2:$B8055=$B8056, $A$2:$A8055+$C$2:$C8055)), "")*24*60, "")</f>
        <v/>
      </c>
      <c r="O8056" s="24" t="str" cm="1">
        <f t="array" ref="O8056">IFERROR(IF($B8056=O$1, ($A8056+$C8056) - MAX(IF($B$2:$B8055=$B8056, $A$2:$A8055+$C$2:$C8055)), "")*24*60, "")</f>
        <v/>
      </c>
      <c r="P8056" s="24" t="str" cm="1">
        <f t="array" ref="P8056">IFERROR(IF($B8056=P$1, ($A8056+$C8056) - MAX(IF($B$2:$B8055=$B8056, $A$2:$A8055+$C$2:$C8055)), "")*24*60, "")</f>
        <v/>
      </c>
      <c r="Q8056" s="24" t="str" cm="1">
        <f t="array" ref="Q8056">IFERROR(IF($B8056=Q$1, ($A8056+$C8056) - MAX(IF($B$2:$B8055=$B8056, $A$2:$A8055+$C$2:$C8055)), "")*24*60, "")</f>
        <v/>
      </c>
      <c r="R8056" s="24" t="str" cm="1">
        <f t="array" ref="R8056">IFERROR(IF($B8056=R$1, ($A8056+$C8056) - MAX(IF($B$2:$B8055=$B8056, $A$2:$A8055+$C$2:$C8055)), "")*24*60, "")</f>
        <v/>
      </c>
      <c r="S8056" s="24" t="str" cm="1">
        <f t="array" ref="S8056">IFERROR(IF($B8056=S$1, ($A8056+$C8056) - MAX(IF($B$2:$B8055=$B8056, $A$2:$A8055+$C$2:$C8055)), "")*24*60, "")</f>
        <v/>
      </c>
    </row>
    <row r="8057" spans="1:19" x14ac:dyDescent="0.2">
      <c r="A8057" s="12">
        <f t="shared" ref="A8057:C8057" si="1550">A8056</f>
        <v>46021</v>
      </c>
      <c r="B8057" s="5" t="str">
        <f t="shared" si="1550"/>
        <v>Northern Cardinal</v>
      </c>
      <c r="C8057" s="6">
        <f t="shared" si="1550"/>
        <v>0.7319444444444444</v>
      </c>
      <c r="D8057" s="5"/>
      <c r="E8057" s="5"/>
      <c r="F8057" s="5" t="s">
        <v>9</v>
      </c>
      <c r="G8057" s="15" t="s">
        <v>8</v>
      </c>
      <c r="H8057" s="24">
        <f t="shared" si="1525"/>
        <v>0</v>
      </c>
      <c r="I8057" s="24" cm="1">
        <f t="array" ref="I8057">IFERROR(IF($B8057=I$1, ($A8057+$C8057) - MAX(IF($B$2:$B8056=$B8057, $A$2:$A8056+$C$2:$C8056)), "")*24*60, "")</f>
        <v>0</v>
      </c>
      <c r="J8057" s="24" t="str" cm="1">
        <f t="array" ref="J8057">IFERROR(IF($B8057=J$1, ($A8057+$C8057) - MAX(IF($B$2:$B8056=$B8057, $A$2:$A8056+$C$2:$C8056)), "")*24*60, "")</f>
        <v/>
      </c>
      <c r="K8057" s="24" t="str" cm="1">
        <f t="array" ref="K8057">IFERROR(IF($B8057=K$1, ($A8057+$C8057) - MAX(IF($B$2:$B8056=$B8057, $A$2:$A8056+$C$2:$C8056)), "")*24*60, "")</f>
        <v/>
      </c>
      <c r="L8057" s="24" t="str" cm="1">
        <f t="array" ref="L8057">IFERROR(IF($B8057=L$1, ($A8057+$C8057) - MAX(IF($B$2:$B8056=$B8057, $A$2:$A8056+$C$2:$C8056)), "")*24*60, "")</f>
        <v/>
      </c>
      <c r="M8057" s="24" t="str" cm="1">
        <f t="array" ref="M8057">IFERROR(IF($B8057=M$1, ($A8057+$C8057) - MAX(IF($B$2:$B8056=$B8057, $A$2:$A8056+$C$2:$C8056)), "")*24*60, "")</f>
        <v/>
      </c>
      <c r="N8057" s="24" t="str" cm="1">
        <f t="array" ref="N8057">IFERROR(IF($B8057=N$1, ($A8057+$C8057) - MAX(IF($B$2:$B8056=$B8057, $A$2:$A8056+$C$2:$C8056)), "")*24*60, "")</f>
        <v/>
      </c>
      <c r="O8057" s="24" t="str" cm="1">
        <f t="array" ref="O8057">IFERROR(IF($B8057=O$1, ($A8057+$C8057) - MAX(IF($B$2:$B8056=$B8057, $A$2:$A8056+$C$2:$C8056)), "")*24*60, "")</f>
        <v/>
      </c>
      <c r="P8057" s="24" t="str" cm="1">
        <f t="array" ref="P8057">IFERROR(IF($B8057=P$1, ($A8057+$C8057) - MAX(IF($B$2:$B8056=$B8057, $A$2:$A8056+$C$2:$C8056)), "")*24*60, "")</f>
        <v/>
      </c>
      <c r="Q8057" s="24" t="str" cm="1">
        <f t="array" ref="Q8057">IFERROR(IF($B8057=Q$1, ($A8057+$C8057) - MAX(IF($B$2:$B8056=$B8057, $A$2:$A8056+$C$2:$C8056)), "")*24*60, "")</f>
        <v/>
      </c>
      <c r="R8057" s="24" t="str" cm="1">
        <f t="array" ref="R8057">IFERROR(IF($B8057=R$1, ($A8057+$C8057) - MAX(IF($B$2:$B8056=$B8057, $A$2:$A8056+$C$2:$C8056)), "")*24*60, "")</f>
        <v/>
      </c>
      <c r="S8057" s="24" t="str" cm="1">
        <f t="array" ref="S8057">IFERROR(IF($B8057=S$1, ($A8057+$C8057) - MAX(IF($B$2:$B8056=$B8057, $A$2:$A8056+$C$2:$C8056)), "")*24*60, "")</f>
        <v/>
      </c>
    </row>
    <row r="8058" spans="1:19" x14ac:dyDescent="0.2">
      <c r="A8058" s="12">
        <f t="shared" ref="A8058:C8058" si="1551">A8057</f>
        <v>46021</v>
      </c>
      <c r="B8058" s="5" t="str">
        <f t="shared" si="1551"/>
        <v>Northern Cardinal</v>
      </c>
      <c r="C8058" s="6">
        <f t="shared" si="1551"/>
        <v>0.7319444444444444</v>
      </c>
      <c r="D8058" s="5"/>
      <c r="E8058" s="5"/>
      <c r="F8058" s="5" t="s">
        <v>9</v>
      </c>
      <c r="G8058" s="15" t="s">
        <v>8</v>
      </c>
      <c r="H8058" s="24">
        <f t="shared" si="1525"/>
        <v>0</v>
      </c>
      <c r="I8058" s="24" cm="1">
        <f t="array" ref="I8058">IFERROR(IF($B8058=I$1, ($A8058+$C8058) - MAX(IF($B$2:$B8057=$B8058, $A$2:$A8057+$C$2:$C8057)), "")*24*60, "")</f>
        <v>0</v>
      </c>
      <c r="J8058" s="24" t="str" cm="1">
        <f t="array" ref="J8058">IFERROR(IF($B8058=J$1, ($A8058+$C8058) - MAX(IF($B$2:$B8057=$B8058, $A$2:$A8057+$C$2:$C8057)), "")*24*60, "")</f>
        <v/>
      </c>
      <c r="K8058" s="24" t="str" cm="1">
        <f t="array" ref="K8058">IFERROR(IF($B8058=K$1, ($A8058+$C8058) - MAX(IF($B$2:$B8057=$B8058, $A$2:$A8057+$C$2:$C8057)), "")*24*60, "")</f>
        <v/>
      </c>
      <c r="L8058" s="24" t="str" cm="1">
        <f t="array" ref="L8058">IFERROR(IF($B8058=L$1, ($A8058+$C8058) - MAX(IF($B$2:$B8057=$B8058, $A$2:$A8057+$C$2:$C8057)), "")*24*60, "")</f>
        <v/>
      </c>
      <c r="M8058" s="24" t="str" cm="1">
        <f t="array" ref="M8058">IFERROR(IF($B8058=M$1, ($A8058+$C8058) - MAX(IF($B$2:$B8057=$B8058, $A$2:$A8057+$C$2:$C8057)), "")*24*60, "")</f>
        <v/>
      </c>
      <c r="N8058" s="24" t="str" cm="1">
        <f t="array" ref="N8058">IFERROR(IF($B8058=N$1, ($A8058+$C8058) - MAX(IF($B$2:$B8057=$B8058, $A$2:$A8057+$C$2:$C8057)), "")*24*60, "")</f>
        <v/>
      </c>
      <c r="O8058" s="24" t="str" cm="1">
        <f t="array" ref="O8058">IFERROR(IF($B8058=O$1, ($A8058+$C8058) - MAX(IF($B$2:$B8057=$B8058, $A$2:$A8057+$C$2:$C8057)), "")*24*60, "")</f>
        <v/>
      </c>
      <c r="P8058" s="24" t="str" cm="1">
        <f t="array" ref="P8058">IFERROR(IF($B8058=P$1, ($A8058+$C8058) - MAX(IF($B$2:$B8057=$B8058, $A$2:$A8057+$C$2:$C8057)), "")*24*60, "")</f>
        <v/>
      </c>
      <c r="Q8058" s="24" t="str" cm="1">
        <f t="array" ref="Q8058">IFERROR(IF($B8058=Q$1, ($A8058+$C8058) - MAX(IF($B$2:$B8057=$B8058, $A$2:$A8057+$C$2:$C8057)), "")*24*60, "")</f>
        <v/>
      </c>
      <c r="R8058" s="24" t="str" cm="1">
        <f t="array" ref="R8058">IFERROR(IF($B8058=R$1, ($A8058+$C8058) - MAX(IF($B$2:$B8057=$B8058, $A$2:$A8057+$C$2:$C8057)), "")*24*60, "")</f>
        <v/>
      </c>
      <c r="S8058" s="24" t="str" cm="1">
        <f t="array" ref="S8058">IFERROR(IF($B8058=S$1, ($A8058+$C8058) - MAX(IF($B$2:$B8057=$B8058, $A$2:$A8057+$C$2:$C8057)), "")*24*60, "")</f>
        <v/>
      </c>
    </row>
    <row r="8059" spans="1:19" x14ac:dyDescent="0.2">
      <c r="A8059" s="12">
        <f t="shared" ref="A8059:C8059" si="1552">A8058</f>
        <v>46021</v>
      </c>
      <c r="B8059" s="5" t="str">
        <f t="shared" si="1552"/>
        <v>Northern Cardinal</v>
      </c>
      <c r="C8059" s="6">
        <f t="shared" si="1552"/>
        <v>0.7319444444444444</v>
      </c>
      <c r="D8059" s="5"/>
      <c r="E8059" s="5"/>
      <c r="F8059" s="5" t="s">
        <v>9</v>
      </c>
      <c r="G8059" s="15" t="s">
        <v>8</v>
      </c>
      <c r="H8059" s="24">
        <f t="shared" si="1525"/>
        <v>0</v>
      </c>
      <c r="I8059" s="24" cm="1">
        <f t="array" ref="I8059">IFERROR(IF($B8059=I$1, ($A8059+$C8059) - MAX(IF($B$2:$B8058=$B8059, $A$2:$A8058+$C$2:$C8058)), "")*24*60, "")</f>
        <v>0</v>
      </c>
      <c r="J8059" s="24" t="str" cm="1">
        <f t="array" ref="J8059">IFERROR(IF($B8059=J$1, ($A8059+$C8059) - MAX(IF($B$2:$B8058=$B8059, $A$2:$A8058+$C$2:$C8058)), "")*24*60, "")</f>
        <v/>
      </c>
      <c r="K8059" s="24" t="str" cm="1">
        <f t="array" ref="K8059">IFERROR(IF($B8059=K$1, ($A8059+$C8059) - MAX(IF($B$2:$B8058=$B8059, $A$2:$A8058+$C$2:$C8058)), "")*24*60, "")</f>
        <v/>
      </c>
      <c r="L8059" s="24" t="str" cm="1">
        <f t="array" ref="L8059">IFERROR(IF($B8059=L$1, ($A8059+$C8059) - MAX(IF($B$2:$B8058=$B8059, $A$2:$A8058+$C$2:$C8058)), "")*24*60, "")</f>
        <v/>
      </c>
      <c r="M8059" s="24" t="str" cm="1">
        <f t="array" ref="M8059">IFERROR(IF($B8059=M$1, ($A8059+$C8059) - MAX(IF($B$2:$B8058=$B8059, $A$2:$A8058+$C$2:$C8058)), "")*24*60, "")</f>
        <v/>
      </c>
      <c r="N8059" s="24" t="str" cm="1">
        <f t="array" ref="N8059">IFERROR(IF($B8059=N$1, ($A8059+$C8059) - MAX(IF($B$2:$B8058=$B8059, $A$2:$A8058+$C$2:$C8058)), "")*24*60, "")</f>
        <v/>
      </c>
      <c r="O8059" s="24" t="str" cm="1">
        <f t="array" ref="O8059">IFERROR(IF($B8059=O$1, ($A8059+$C8059) - MAX(IF($B$2:$B8058=$B8059, $A$2:$A8058+$C$2:$C8058)), "")*24*60, "")</f>
        <v/>
      </c>
      <c r="P8059" s="24" t="str" cm="1">
        <f t="array" ref="P8059">IFERROR(IF($B8059=P$1, ($A8059+$C8059) - MAX(IF($B$2:$B8058=$B8059, $A$2:$A8058+$C$2:$C8058)), "")*24*60, "")</f>
        <v/>
      </c>
      <c r="Q8059" s="24" t="str" cm="1">
        <f t="array" ref="Q8059">IFERROR(IF($B8059=Q$1, ($A8059+$C8059) - MAX(IF($B$2:$B8058=$B8059, $A$2:$A8058+$C$2:$C8058)), "")*24*60, "")</f>
        <v/>
      </c>
      <c r="R8059" s="24" t="str" cm="1">
        <f t="array" ref="R8059">IFERROR(IF($B8059=R$1, ($A8059+$C8059) - MAX(IF($B$2:$B8058=$B8059, $A$2:$A8058+$C$2:$C8058)), "")*24*60, "")</f>
        <v/>
      </c>
      <c r="S8059" s="24" t="str" cm="1">
        <f t="array" ref="S8059">IFERROR(IF($B8059=S$1, ($A8059+$C8059) - MAX(IF($B$2:$B8058=$B8059, $A$2:$A8058+$C$2:$C8058)), "")*24*60, "")</f>
        <v/>
      </c>
    </row>
    <row r="8060" spans="1:19" x14ac:dyDescent="0.2">
      <c r="A8060" s="12">
        <f t="shared" ref="A8060:C8060" si="1553">A8059</f>
        <v>46021</v>
      </c>
      <c r="B8060" s="5" t="str">
        <f t="shared" si="1553"/>
        <v>Northern Cardinal</v>
      </c>
      <c r="C8060" s="6">
        <f t="shared" si="1553"/>
        <v>0.7319444444444444</v>
      </c>
      <c r="D8060" s="5"/>
      <c r="E8060" s="5"/>
      <c r="F8060" s="5" t="s">
        <v>9</v>
      </c>
      <c r="G8060" s="15" t="s">
        <v>8</v>
      </c>
      <c r="H8060" s="24">
        <f t="shared" si="1525"/>
        <v>0</v>
      </c>
      <c r="I8060" s="24" cm="1">
        <f t="array" ref="I8060">IFERROR(IF($B8060=I$1, ($A8060+$C8060) - MAX(IF($B$2:$B8059=$B8060, $A$2:$A8059+$C$2:$C8059)), "")*24*60, "")</f>
        <v>0</v>
      </c>
      <c r="J8060" s="24" t="str" cm="1">
        <f t="array" ref="J8060">IFERROR(IF($B8060=J$1, ($A8060+$C8060) - MAX(IF($B$2:$B8059=$B8060, $A$2:$A8059+$C$2:$C8059)), "")*24*60, "")</f>
        <v/>
      </c>
      <c r="K8060" s="24" t="str" cm="1">
        <f t="array" ref="K8060">IFERROR(IF($B8060=K$1, ($A8060+$C8060) - MAX(IF($B$2:$B8059=$B8060, $A$2:$A8059+$C$2:$C8059)), "")*24*60, "")</f>
        <v/>
      </c>
      <c r="L8060" s="24" t="str" cm="1">
        <f t="array" ref="L8060">IFERROR(IF($B8060=L$1, ($A8060+$C8060) - MAX(IF($B$2:$B8059=$B8060, $A$2:$A8059+$C$2:$C8059)), "")*24*60, "")</f>
        <v/>
      </c>
      <c r="M8060" s="24" t="str" cm="1">
        <f t="array" ref="M8060">IFERROR(IF($B8060=M$1, ($A8060+$C8060) - MAX(IF($B$2:$B8059=$B8060, $A$2:$A8059+$C$2:$C8059)), "")*24*60, "")</f>
        <v/>
      </c>
      <c r="N8060" s="24" t="str" cm="1">
        <f t="array" ref="N8060">IFERROR(IF($B8060=N$1, ($A8060+$C8060) - MAX(IF($B$2:$B8059=$B8060, $A$2:$A8059+$C$2:$C8059)), "")*24*60, "")</f>
        <v/>
      </c>
      <c r="O8060" s="24" t="str" cm="1">
        <f t="array" ref="O8060">IFERROR(IF($B8060=O$1, ($A8060+$C8060) - MAX(IF($B$2:$B8059=$B8060, $A$2:$A8059+$C$2:$C8059)), "")*24*60, "")</f>
        <v/>
      </c>
      <c r="P8060" s="24" t="str" cm="1">
        <f t="array" ref="P8060">IFERROR(IF($B8060=P$1, ($A8060+$C8060) - MAX(IF($B$2:$B8059=$B8060, $A$2:$A8059+$C$2:$C8059)), "")*24*60, "")</f>
        <v/>
      </c>
      <c r="Q8060" s="24" t="str" cm="1">
        <f t="array" ref="Q8060">IFERROR(IF($B8060=Q$1, ($A8060+$C8060) - MAX(IF($B$2:$B8059=$B8060, $A$2:$A8059+$C$2:$C8059)), "")*24*60, "")</f>
        <v/>
      </c>
      <c r="R8060" s="24" t="str" cm="1">
        <f t="array" ref="R8060">IFERROR(IF($B8060=R$1, ($A8060+$C8060) - MAX(IF($B$2:$B8059=$B8060, $A$2:$A8059+$C$2:$C8059)), "")*24*60, "")</f>
        <v/>
      </c>
      <c r="S8060" s="24" t="str" cm="1">
        <f t="array" ref="S8060">IFERROR(IF($B8060=S$1, ($A8060+$C8060) - MAX(IF($B$2:$B8059=$B8060, $A$2:$A8059+$C$2:$C8059)), "")*24*60, "")</f>
        <v/>
      </c>
    </row>
    <row r="8061" spans="1:19" x14ac:dyDescent="0.2">
      <c r="A8061" s="12">
        <f t="shared" ref="A8061:C8061" si="1554">A8060</f>
        <v>46021</v>
      </c>
      <c r="B8061" s="5" t="str">
        <f t="shared" si="1554"/>
        <v>Northern Cardinal</v>
      </c>
      <c r="C8061" s="6">
        <f t="shared" si="1554"/>
        <v>0.7319444444444444</v>
      </c>
      <c r="D8061" s="5"/>
      <c r="E8061" s="5"/>
      <c r="F8061" s="5" t="s">
        <v>9</v>
      </c>
      <c r="G8061" s="15" t="s">
        <v>8</v>
      </c>
      <c r="H8061" s="24">
        <f t="shared" si="1525"/>
        <v>0</v>
      </c>
      <c r="I8061" s="24" cm="1">
        <f t="array" ref="I8061">IFERROR(IF($B8061=I$1, ($A8061+$C8061) - MAX(IF($B$2:$B8060=$B8061, $A$2:$A8060+$C$2:$C8060)), "")*24*60, "")</f>
        <v>0</v>
      </c>
      <c r="J8061" s="24" t="str" cm="1">
        <f t="array" ref="J8061">IFERROR(IF($B8061=J$1, ($A8061+$C8061) - MAX(IF($B$2:$B8060=$B8061, $A$2:$A8060+$C$2:$C8060)), "")*24*60, "")</f>
        <v/>
      </c>
      <c r="K8061" s="24" t="str" cm="1">
        <f t="array" ref="K8061">IFERROR(IF($B8061=K$1, ($A8061+$C8061) - MAX(IF($B$2:$B8060=$B8061, $A$2:$A8060+$C$2:$C8060)), "")*24*60, "")</f>
        <v/>
      </c>
      <c r="L8061" s="24" t="str" cm="1">
        <f t="array" ref="L8061">IFERROR(IF($B8061=L$1, ($A8061+$C8061) - MAX(IF($B$2:$B8060=$B8061, $A$2:$A8060+$C$2:$C8060)), "")*24*60, "")</f>
        <v/>
      </c>
      <c r="M8061" s="24" t="str" cm="1">
        <f t="array" ref="M8061">IFERROR(IF($B8061=M$1, ($A8061+$C8061) - MAX(IF($B$2:$B8060=$B8061, $A$2:$A8060+$C$2:$C8060)), "")*24*60, "")</f>
        <v/>
      </c>
      <c r="N8061" s="24" t="str" cm="1">
        <f t="array" ref="N8061">IFERROR(IF($B8061=N$1, ($A8061+$C8061) - MAX(IF($B$2:$B8060=$B8061, $A$2:$A8060+$C$2:$C8060)), "")*24*60, "")</f>
        <v/>
      </c>
      <c r="O8061" s="24" t="str" cm="1">
        <f t="array" ref="O8061">IFERROR(IF($B8061=O$1, ($A8061+$C8061) - MAX(IF($B$2:$B8060=$B8061, $A$2:$A8060+$C$2:$C8060)), "")*24*60, "")</f>
        <v/>
      </c>
      <c r="P8061" s="24" t="str" cm="1">
        <f t="array" ref="P8061">IFERROR(IF($B8061=P$1, ($A8061+$C8061) - MAX(IF($B$2:$B8060=$B8061, $A$2:$A8060+$C$2:$C8060)), "")*24*60, "")</f>
        <v/>
      </c>
      <c r="Q8061" s="24" t="str" cm="1">
        <f t="array" ref="Q8061">IFERROR(IF($B8061=Q$1, ($A8061+$C8061) - MAX(IF($B$2:$B8060=$B8061, $A$2:$A8060+$C$2:$C8060)), "")*24*60, "")</f>
        <v/>
      </c>
      <c r="R8061" s="24" t="str" cm="1">
        <f t="array" ref="R8061">IFERROR(IF($B8061=R$1, ($A8061+$C8061) - MAX(IF($B$2:$B8060=$B8061, $A$2:$A8060+$C$2:$C8060)), "")*24*60, "")</f>
        <v/>
      </c>
      <c r="S8061" s="24" t="str" cm="1">
        <f t="array" ref="S8061">IFERROR(IF($B8061=S$1, ($A8061+$C8061) - MAX(IF($B$2:$B8060=$B8061, $A$2:$A8060+$C$2:$C8060)), "")*24*60, "")</f>
        <v/>
      </c>
    </row>
    <row r="8062" spans="1:19" x14ac:dyDescent="0.2">
      <c r="A8062" s="12">
        <f t="shared" ref="A8062:C8062" si="1555">A8061</f>
        <v>46021</v>
      </c>
      <c r="B8062" s="5" t="str">
        <f t="shared" si="1555"/>
        <v>Northern Cardinal</v>
      </c>
      <c r="C8062" s="6">
        <f t="shared" si="1555"/>
        <v>0.7319444444444444</v>
      </c>
      <c r="D8062" s="5"/>
      <c r="E8062" s="5"/>
      <c r="F8062" s="5" t="s">
        <v>9</v>
      </c>
      <c r="G8062" s="15" t="s">
        <v>8</v>
      </c>
      <c r="H8062" s="24">
        <f t="shared" si="1525"/>
        <v>0</v>
      </c>
      <c r="I8062" s="24" cm="1">
        <f t="array" ref="I8062">IFERROR(IF($B8062=I$1, ($A8062+$C8062) - MAX(IF($B$2:$B8061=$B8062, $A$2:$A8061+$C$2:$C8061)), "")*24*60, "")</f>
        <v>0</v>
      </c>
      <c r="J8062" s="24" t="str" cm="1">
        <f t="array" ref="J8062">IFERROR(IF($B8062=J$1, ($A8062+$C8062) - MAX(IF($B$2:$B8061=$B8062, $A$2:$A8061+$C$2:$C8061)), "")*24*60, "")</f>
        <v/>
      </c>
      <c r="K8062" s="24" t="str" cm="1">
        <f t="array" ref="K8062">IFERROR(IF($B8062=K$1, ($A8062+$C8062) - MAX(IF($B$2:$B8061=$B8062, $A$2:$A8061+$C$2:$C8061)), "")*24*60, "")</f>
        <v/>
      </c>
      <c r="L8062" s="24" t="str" cm="1">
        <f t="array" ref="L8062">IFERROR(IF($B8062=L$1, ($A8062+$C8062) - MAX(IF($B$2:$B8061=$B8062, $A$2:$A8061+$C$2:$C8061)), "")*24*60, "")</f>
        <v/>
      </c>
      <c r="M8062" s="24" t="str" cm="1">
        <f t="array" ref="M8062">IFERROR(IF($B8062=M$1, ($A8062+$C8062) - MAX(IF($B$2:$B8061=$B8062, $A$2:$A8061+$C$2:$C8061)), "")*24*60, "")</f>
        <v/>
      </c>
      <c r="N8062" s="24" t="str" cm="1">
        <f t="array" ref="N8062">IFERROR(IF($B8062=N$1, ($A8062+$C8062) - MAX(IF($B$2:$B8061=$B8062, $A$2:$A8061+$C$2:$C8061)), "")*24*60, "")</f>
        <v/>
      </c>
      <c r="O8062" s="24" t="str" cm="1">
        <f t="array" ref="O8062">IFERROR(IF($B8062=O$1, ($A8062+$C8062) - MAX(IF($B$2:$B8061=$B8062, $A$2:$A8061+$C$2:$C8061)), "")*24*60, "")</f>
        <v/>
      </c>
      <c r="P8062" s="24" t="str" cm="1">
        <f t="array" ref="P8062">IFERROR(IF($B8062=P$1, ($A8062+$C8062) - MAX(IF($B$2:$B8061=$B8062, $A$2:$A8061+$C$2:$C8061)), "")*24*60, "")</f>
        <v/>
      </c>
      <c r="Q8062" s="24" t="str" cm="1">
        <f t="array" ref="Q8062">IFERROR(IF($B8062=Q$1, ($A8062+$C8062) - MAX(IF($B$2:$B8061=$B8062, $A$2:$A8061+$C$2:$C8061)), "")*24*60, "")</f>
        <v/>
      </c>
      <c r="R8062" s="24" t="str" cm="1">
        <f t="array" ref="R8062">IFERROR(IF($B8062=R$1, ($A8062+$C8062) - MAX(IF($B$2:$B8061=$B8062, $A$2:$A8061+$C$2:$C8061)), "")*24*60, "")</f>
        <v/>
      </c>
      <c r="S8062" s="24" t="str" cm="1">
        <f t="array" ref="S8062">IFERROR(IF($B8062=S$1, ($A8062+$C8062) - MAX(IF($B$2:$B8061=$B8062, $A$2:$A8061+$C$2:$C8061)), "")*24*60, "")</f>
        <v/>
      </c>
    </row>
    <row r="8063" spans="1:19" x14ac:dyDescent="0.2">
      <c r="A8063" s="12">
        <f t="shared" ref="A8063:C8063" si="1556">A8062</f>
        <v>46021</v>
      </c>
      <c r="B8063" s="5" t="str">
        <f t="shared" si="1556"/>
        <v>Northern Cardinal</v>
      </c>
      <c r="C8063" s="6">
        <f t="shared" si="1556"/>
        <v>0.7319444444444444</v>
      </c>
      <c r="D8063" s="5"/>
      <c r="E8063" s="5"/>
      <c r="F8063" s="5" t="s">
        <v>9</v>
      </c>
      <c r="G8063" s="15" t="s">
        <v>8</v>
      </c>
      <c r="H8063" s="24">
        <f t="shared" si="1525"/>
        <v>0</v>
      </c>
      <c r="I8063" s="24" cm="1">
        <f t="array" ref="I8063">IFERROR(IF($B8063=I$1, ($A8063+$C8063) - MAX(IF($B$2:$B8062=$B8063, $A$2:$A8062+$C$2:$C8062)), "")*24*60, "")</f>
        <v>0</v>
      </c>
      <c r="J8063" s="24" t="str" cm="1">
        <f t="array" ref="J8063">IFERROR(IF($B8063=J$1, ($A8063+$C8063) - MAX(IF($B$2:$B8062=$B8063, $A$2:$A8062+$C$2:$C8062)), "")*24*60, "")</f>
        <v/>
      </c>
      <c r="K8063" s="24" t="str" cm="1">
        <f t="array" ref="K8063">IFERROR(IF($B8063=K$1, ($A8063+$C8063) - MAX(IF($B$2:$B8062=$B8063, $A$2:$A8062+$C$2:$C8062)), "")*24*60, "")</f>
        <v/>
      </c>
      <c r="L8063" s="24" t="str" cm="1">
        <f t="array" ref="L8063">IFERROR(IF($B8063=L$1, ($A8063+$C8063) - MAX(IF($B$2:$B8062=$B8063, $A$2:$A8062+$C$2:$C8062)), "")*24*60, "")</f>
        <v/>
      </c>
      <c r="M8063" s="24" t="str" cm="1">
        <f t="array" ref="M8063">IFERROR(IF($B8063=M$1, ($A8063+$C8063) - MAX(IF($B$2:$B8062=$B8063, $A$2:$A8062+$C$2:$C8062)), "")*24*60, "")</f>
        <v/>
      </c>
      <c r="N8063" s="24" t="str" cm="1">
        <f t="array" ref="N8063">IFERROR(IF($B8063=N$1, ($A8063+$C8063) - MAX(IF($B$2:$B8062=$B8063, $A$2:$A8062+$C$2:$C8062)), "")*24*60, "")</f>
        <v/>
      </c>
      <c r="O8063" s="24" t="str" cm="1">
        <f t="array" ref="O8063">IFERROR(IF($B8063=O$1, ($A8063+$C8063) - MAX(IF($B$2:$B8062=$B8063, $A$2:$A8062+$C$2:$C8062)), "")*24*60, "")</f>
        <v/>
      </c>
      <c r="P8063" s="24" t="str" cm="1">
        <f t="array" ref="P8063">IFERROR(IF($B8063=P$1, ($A8063+$C8063) - MAX(IF($B$2:$B8062=$B8063, $A$2:$A8062+$C$2:$C8062)), "")*24*60, "")</f>
        <v/>
      </c>
      <c r="Q8063" s="24" t="str" cm="1">
        <f t="array" ref="Q8063">IFERROR(IF($B8063=Q$1, ($A8063+$C8063) - MAX(IF($B$2:$B8062=$B8063, $A$2:$A8062+$C$2:$C8062)), "")*24*60, "")</f>
        <v/>
      </c>
      <c r="R8063" s="24" t="str" cm="1">
        <f t="array" ref="R8063">IFERROR(IF($B8063=R$1, ($A8063+$C8063) - MAX(IF($B$2:$B8062=$B8063, $A$2:$A8062+$C$2:$C8062)), "")*24*60, "")</f>
        <v/>
      </c>
      <c r="S8063" s="24" t="str" cm="1">
        <f t="array" ref="S8063">IFERROR(IF($B8063=S$1, ($A8063+$C8063) - MAX(IF($B$2:$B8062=$B8063, $A$2:$A8062+$C$2:$C8062)), "")*24*60, "")</f>
        <v/>
      </c>
    </row>
    <row r="8064" spans="1:19" x14ac:dyDescent="0.2">
      <c r="A8064" s="12">
        <f t="shared" ref="A8064:C8064" si="1557">A8063</f>
        <v>46021</v>
      </c>
      <c r="B8064" s="5" t="str">
        <f t="shared" si="1557"/>
        <v>Northern Cardinal</v>
      </c>
      <c r="C8064" s="6">
        <f t="shared" si="1557"/>
        <v>0.7319444444444444</v>
      </c>
      <c r="D8064" s="5"/>
      <c r="E8064" s="5"/>
      <c r="F8064" s="5" t="s">
        <v>9</v>
      </c>
      <c r="G8064" s="15" t="s">
        <v>8</v>
      </c>
      <c r="H8064" s="24">
        <f t="shared" si="1525"/>
        <v>0</v>
      </c>
      <c r="I8064" s="24" cm="1">
        <f t="array" ref="I8064">IFERROR(IF($B8064=I$1, ($A8064+$C8064) - MAX(IF($B$2:$B8063=$B8064, $A$2:$A8063+$C$2:$C8063)), "")*24*60, "")</f>
        <v>0</v>
      </c>
      <c r="J8064" s="24" t="str" cm="1">
        <f t="array" ref="J8064">IFERROR(IF($B8064=J$1, ($A8064+$C8064) - MAX(IF($B$2:$B8063=$B8064, $A$2:$A8063+$C$2:$C8063)), "")*24*60, "")</f>
        <v/>
      </c>
      <c r="K8064" s="24" t="str" cm="1">
        <f t="array" ref="K8064">IFERROR(IF($B8064=K$1, ($A8064+$C8064) - MAX(IF($B$2:$B8063=$B8064, $A$2:$A8063+$C$2:$C8063)), "")*24*60, "")</f>
        <v/>
      </c>
      <c r="L8064" s="24" t="str" cm="1">
        <f t="array" ref="L8064">IFERROR(IF($B8064=L$1, ($A8064+$C8064) - MAX(IF($B$2:$B8063=$B8064, $A$2:$A8063+$C$2:$C8063)), "")*24*60, "")</f>
        <v/>
      </c>
      <c r="M8064" s="24" t="str" cm="1">
        <f t="array" ref="M8064">IFERROR(IF($B8064=M$1, ($A8064+$C8064) - MAX(IF($B$2:$B8063=$B8064, $A$2:$A8063+$C$2:$C8063)), "")*24*60, "")</f>
        <v/>
      </c>
      <c r="N8064" s="24" t="str" cm="1">
        <f t="array" ref="N8064">IFERROR(IF($B8064=N$1, ($A8064+$C8064) - MAX(IF($B$2:$B8063=$B8064, $A$2:$A8063+$C$2:$C8063)), "")*24*60, "")</f>
        <v/>
      </c>
      <c r="O8064" s="24" t="str" cm="1">
        <f t="array" ref="O8064">IFERROR(IF($B8064=O$1, ($A8064+$C8064) - MAX(IF($B$2:$B8063=$B8064, $A$2:$A8063+$C$2:$C8063)), "")*24*60, "")</f>
        <v/>
      </c>
      <c r="P8064" s="24" t="str" cm="1">
        <f t="array" ref="P8064">IFERROR(IF($B8064=P$1, ($A8064+$C8064) - MAX(IF($B$2:$B8063=$B8064, $A$2:$A8063+$C$2:$C8063)), "")*24*60, "")</f>
        <v/>
      </c>
      <c r="Q8064" s="24" t="str" cm="1">
        <f t="array" ref="Q8064">IFERROR(IF($B8064=Q$1, ($A8064+$C8064) - MAX(IF($B$2:$B8063=$B8064, $A$2:$A8063+$C$2:$C8063)), "")*24*60, "")</f>
        <v/>
      </c>
      <c r="R8064" s="24" t="str" cm="1">
        <f t="array" ref="R8064">IFERROR(IF($B8064=R$1, ($A8064+$C8064) - MAX(IF($B$2:$B8063=$B8064, $A$2:$A8063+$C$2:$C8063)), "")*24*60, "")</f>
        <v/>
      </c>
      <c r="S8064" s="24" t="str" cm="1">
        <f t="array" ref="S8064">IFERROR(IF($B8064=S$1, ($A8064+$C8064) - MAX(IF($B$2:$B8063=$B8064, $A$2:$A8063+$C$2:$C8063)), "")*24*60, "")</f>
        <v/>
      </c>
    </row>
    <row r="8065" spans="1:19" x14ac:dyDescent="0.2">
      <c r="A8065" s="12">
        <f t="shared" ref="A8065:C8065" si="1558">A8064</f>
        <v>46021</v>
      </c>
      <c r="B8065" s="5" t="str">
        <f t="shared" si="1558"/>
        <v>Northern Cardinal</v>
      </c>
      <c r="C8065" s="6">
        <f t="shared" si="1558"/>
        <v>0.7319444444444444</v>
      </c>
      <c r="D8065" s="5"/>
      <c r="E8065" s="5"/>
      <c r="F8065" s="5" t="s">
        <v>9</v>
      </c>
      <c r="G8065" s="15" t="s">
        <v>8</v>
      </c>
      <c r="H8065" s="24">
        <f t="shared" si="1525"/>
        <v>0</v>
      </c>
      <c r="I8065" s="24" cm="1">
        <f t="array" ref="I8065">IFERROR(IF($B8065=I$1, ($A8065+$C8065) - MAX(IF($B$2:$B8064=$B8065, $A$2:$A8064+$C$2:$C8064)), "")*24*60, "")</f>
        <v>0</v>
      </c>
      <c r="J8065" s="24" t="str" cm="1">
        <f t="array" ref="J8065">IFERROR(IF($B8065=J$1, ($A8065+$C8065) - MAX(IF($B$2:$B8064=$B8065, $A$2:$A8064+$C$2:$C8064)), "")*24*60, "")</f>
        <v/>
      </c>
      <c r="K8065" s="24" t="str" cm="1">
        <f t="array" ref="K8065">IFERROR(IF($B8065=K$1, ($A8065+$C8065) - MAX(IF($B$2:$B8064=$B8065, $A$2:$A8064+$C$2:$C8064)), "")*24*60, "")</f>
        <v/>
      </c>
      <c r="L8065" s="24" t="str" cm="1">
        <f t="array" ref="L8065">IFERROR(IF($B8065=L$1, ($A8065+$C8065) - MAX(IF($B$2:$B8064=$B8065, $A$2:$A8064+$C$2:$C8064)), "")*24*60, "")</f>
        <v/>
      </c>
      <c r="M8065" s="24" t="str" cm="1">
        <f t="array" ref="M8065">IFERROR(IF($B8065=M$1, ($A8065+$C8065) - MAX(IF($B$2:$B8064=$B8065, $A$2:$A8064+$C$2:$C8064)), "")*24*60, "")</f>
        <v/>
      </c>
      <c r="N8065" s="24" t="str" cm="1">
        <f t="array" ref="N8065">IFERROR(IF($B8065=N$1, ($A8065+$C8065) - MAX(IF($B$2:$B8064=$B8065, $A$2:$A8064+$C$2:$C8064)), "")*24*60, "")</f>
        <v/>
      </c>
      <c r="O8065" s="24" t="str" cm="1">
        <f t="array" ref="O8065">IFERROR(IF($B8065=O$1, ($A8065+$C8065) - MAX(IF($B$2:$B8064=$B8065, $A$2:$A8064+$C$2:$C8064)), "")*24*60, "")</f>
        <v/>
      </c>
      <c r="P8065" s="24" t="str" cm="1">
        <f t="array" ref="P8065">IFERROR(IF($B8065=P$1, ($A8065+$C8065) - MAX(IF($B$2:$B8064=$B8065, $A$2:$A8064+$C$2:$C8064)), "")*24*60, "")</f>
        <v/>
      </c>
      <c r="Q8065" s="24" t="str" cm="1">
        <f t="array" ref="Q8065">IFERROR(IF($B8065=Q$1, ($A8065+$C8065) - MAX(IF($B$2:$B8064=$B8065, $A$2:$A8064+$C$2:$C8064)), "")*24*60, "")</f>
        <v/>
      </c>
      <c r="R8065" s="24" t="str" cm="1">
        <f t="array" ref="R8065">IFERROR(IF($B8065=R$1, ($A8065+$C8065) - MAX(IF($B$2:$B8064=$B8065, $A$2:$A8064+$C$2:$C8064)), "")*24*60, "")</f>
        <v/>
      </c>
      <c r="S8065" s="24" t="str" cm="1">
        <f t="array" ref="S8065">IFERROR(IF($B8065=S$1, ($A8065+$C8065) - MAX(IF($B$2:$B8064=$B8065, $A$2:$A8064+$C$2:$C8064)), "")*24*60, "")</f>
        <v/>
      </c>
    </row>
    <row r="8066" spans="1:19" x14ac:dyDescent="0.2">
      <c r="A8066" s="12">
        <f t="shared" ref="A8066:C8066" si="1559">A8065</f>
        <v>46021</v>
      </c>
      <c r="B8066" s="5" t="str">
        <f t="shared" si="1559"/>
        <v>Northern Cardinal</v>
      </c>
      <c r="C8066" s="6">
        <f t="shared" si="1559"/>
        <v>0.7319444444444444</v>
      </c>
      <c r="D8066" s="5"/>
      <c r="E8066" s="5"/>
      <c r="F8066" s="5" t="s">
        <v>9</v>
      </c>
      <c r="G8066" s="15" t="s">
        <v>8</v>
      </c>
      <c r="H8066" s="24">
        <f t="shared" si="1525"/>
        <v>0</v>
      </c>
      <c r="I8066" s="24" cm="1">
        <f t="array" ref="I8066">IFERROR(IF($B8066=I$1, ($A8066+$C8066) - MAX(IF($B$2:$B8065=$B8066, $A$2:$A8065+$C$2:$C8065)), "")*24*60, "")</f>
        <v>0</v>
      </c>
      <c r="J8066" s="24" t="str" cm="1">
        <f t="array" ref="J8066">IFERROR(IF($B8066=J$1, ($A8066+$C8066) - MAX(IF($B$2:$B8065=$B8066, $A$2:$A8065+$C$2:$C8065)), "")*24*60, "")</f>
        <v/>
      </c>
      <c r="K8066" s="24" t="str" cm="1">
        <f t="array" ref="K8066">IFERROR(IF($B8066=K$1, ($A8066+$C8066) - MAX(IF($B$2:$B8065=$B8066, $A$2:$A8065+$C$2:$C8065)), "")*24*60, "")</f>
        <v/>
      </c>
      <c r="L8066" s="24" t="str" cm="1">
        <f t="array" ref="L8066">IFERROR(IF($B8066=L$1, ($A8066+$C8066) - MAX(IF($B$2:$B8065=$B8066, $A$2:$A8065+$C$2:$C8065)), "")*24*60, "")</f>
        <v/>
      </c>
      <c r="M8066" s="24" t="str" cm="1">
        <f t="array" ref="M8066">IFERROR(IF($B8066=M$1, ($A8066+$C8066) - MAX(IF($B$2:$B8065=$B8066, $A$2:$A8065+$C$2:$C8065)), "")*24*60, "")</f>
        <v/>
      </c>
      <c r="N8066" s="24" t="str" cm="1">
        <f t="array" ref="N8066">IFERROR(IF($B8066=N$1, ($A8066+$C8066) - MAX(IF($B$2:$B8065=$B8066, $A$2:$A8065+$C$2:$C8065)), "")*24*60, "")</f>
        <v/>
      </c>
      <c r="O8066" s="24" t="str" cm="1">
        <f t="array" ref="O8066">IFERROR(IF($B8066=O$1, ($A8066+$C8066) - MAX(IF($B$2:$B8065=$B8066, $A$2:$A8065+$C$2:$C8065)), "")*24*60, "")</f>
        <v/>
      </c>
      <c r="P8066" s="24" t="str" cm="1">
        <f t="array" ref="P8066">IFERROR(IF($B8066=P$1, ($A8066+$C8066) - MAX(IF($B$2:$B8065=$B8066, $A$2:$A8065+$C$2:$C8065)), "")*24*60, "")</f>
        <v/>
      </c>
      <c r="Q8066" s="24" t="str" cm="1">
        <f t="array" ref="Q8066">IFERROR(IF($B8066=Q$1, ($A8066+$C8066) - MAX(IF($B$2:$B8065=$B8066, $A$2:$A8065+$C$2:$C8065)), "")*24*60, "")</f>
        <v/>
      </c>
      <c r="R8066" s="24" t="str" cm="1">
        <f t="array" ref="R8066">IFERROR(IF($B8066=R$1, ($A8066+$C8066) - MAX(IF($B$2:$B8065=$B8066, $A$2:$A8065+$C$2:$C8065)), "")*24*60, "")</f>
        <v/>
      </c>
      <c r="S8066" s="24" t="str" cm="1">
        <f t="array" ref="S8066">IFERROR(IF($B8066=S$1, ($A8066+$C8066) - MAX(IF($B$2:$B8065=$B8066, $A$2:$A8065+$C$2:$C8065)), "")*24*60, "")</f>
        <v/>
      </c>
    </row>
    <row r="8067" spans="1:19" x14ac:dyDescent="0.2">
      <c r="A8067" s="12">
        <f t="shared" ref="A8067:C8067" si="1560">A8066</f>
        <v>46021</v>
      </c>
      <c r="B8067" s="5" t="str">
        <f t="shared" si="1560"/>
        <v>Northern Cardinal</v>
      </c>
      <c r="C8067" s="6">
        <f t="shared" si="1560"/>
        <v>0.7319444444444444</v>
      </c>
      <c r="D8067" s="5"/>
      <c r="E8067" s="5"/>
      <c r="F8067" s="5" t="s">
        <v>9</v>
      </c>
      <c r="G8067" s="15" t="s">
        <v>8</v>
      </c>
      <c r="H8067" s="24">
        <f t="shared" si="1525"/>
        <v>0</v>
      </c>
      <c r="I8067" s="24" cm="1">
        <f t="array" ref="I8067">IFERROR(IF($B8067=I$1, ($A8067+$C8067) - MAX(IF($B$2:$B8066=$B8067, $A$2:$A8066+$C$2:$C8066)), "")*24*60, "")</f>
        <v>0</v>
      </c>
      <c r="J8067" s="24" t="str" cm="1">
        <f t="array" ref="J8067">IFERROR(IF($B8067=J$1, ($A8067+$C8067) - MAX(IF($B$2:$B8066=$B8067, $A$2:$A8066+$C$2:$C8066)), "")*24*60, "")</f>
        <v/>
      </c>
      <c r="K8067" s="24" t="str" cm="1">
        <f t="array" ref="K8067">IFERROR(IF($B8067=K$1, ($A8067+$C8067) - MAX(IF($B$2:$B8066=$B8067, $A$2:$A8066+$C$2:$C8066)), "")*24*60, "")</f>
        <v/>
      </c>
      <c r="L8067" s="24" t="str" cm="1">
        <f t="array" ref="L8067">IFERROR(IF($B8067=L$1, ($A8067+$C8067) - MAX(IF($B$2:$B8066=$B8067, $A$2:$A8066+$C$2:$C8066)), "")*24*60, "")</f>
        <v/>
      </c>
      <c r="M8067" s="24" t="str" cm="1">
        <f t="array" ref="M8067">IFERROR(IF($B8067=M$1, ($A8067+$C8067) - MAX(IF($B$2:$B8066=$B8067, $A$2:$A8066+$C$2:$C8066)), "")*24*60, "")</f>
        <v/>
      </c>
      <c r="N8067" s="24" t="str" cm="1">
        <f t="array" ref="N8067">IFERROR(IF($B8067=N$1, ($A8067+$C8067) - MAX(IF($B$2:$B8066=$B8067, $A$2:$A8066+$C$2:$C8066)), "")*24*60, "")</f>
        <v/>
      </c>
      <c r="O8067" s="24" t="str" cm="1">
        <f t="array" ref="O8067">IFERROR(IF($B8067=O$1, ($A8067+$C8067) - MAX(IF($B$2:$B8066=$B8067, $A$2:$A8066+$C$2:$C8066)), "")*24*60, "")</f>
        <v/>
      </c>
      <c r="P8067" s="24" t="str" cm="1">
        <f t="array" ref="P8067">IFERROR(IF($B8067=P$1, ($A8067+$C8067) - MAX(IF($B$2:$B8066=$B8067, $A$2:$A8066+$C$2:$C8066)), "")*24*60, "")</f>
        <v/>
      </c>
      <c r="Q8067" s="24" t="str" cm="1">
        <f t="array" ref="Q8067">IFERROR(IF($B8067=Q$1, ($A8067+$C8067) - MAX(IF($B$2:$B8066=$B8067, $A$2:$A8066+$C$2:$C8066)), "")*24*60, "")</f>
        <v/>
      </c>
      <c r="R8067" s="24" t="str" cm="1">
        <f t="array" ref="R8067">IFERROR(IF($B8067=R$1, ($A8067+$C8067) - MAX(IF($B$2:$B8066=$B8067, $A$2:$A8066+$C$2:$C8066)), "")*24*60, "")</f>
        <v/>
      </c>
      <c r="S8067" s="24" t="str" cm="1">
        <f t="array" ref="S8067">IFERROR(IF($B8067=S$1, ($A8067+$C8067) - MAX(IF($B$2:$B8066=$B8067, $A$2:$A8066+$C$2:$C8066)), "")*24*60, "")</f>
        <v/>
      </c>
    </row>
    <row r="8068" spans="1:19" x14ac:dyDescent="0.2">
      <c r="A8068" s="12">
        <f t="shared" ref="A8068:C8068" si="1561">A8067</f>
        <v>46021</v>
      </c>
      <c r="B8068" s="5" t="str">
        <f t="shared" si="1561"/>
        <v>Northern Cardinal</v>
      </c>
      <c r="C8068" s="6">
        <f t="shared" si="1561"/>
        <v>0.7319444444444444</v>
      </c>
      <c r="D8068" s="5"/>
      <c r="E8068" s="5"/>
      <c r="F8068" s="5" t="s">
        <v>9</v>
      </c>
      <c r="G8068" s="15" t="s">
        <v>8</v>
      </c>
      <c r="H8068" s="24">
        <f t="shared" si="1525"/>
        <v>0</v>
      </c>
      <c r="I8068" s="24" cm="1">
        <f t="array" ref="I8068">IFERROR(IF($B8068=I$1, ($A8068+$C8068) - MAX(IF($B$2:$B8067=$B8068, $A$2:$A8067+$C$2:$C8067)), "")*24*60, "")</f>
        <v>0</v>
      </c>
      <c r="J8068" s="24" t="str" cm="1">
        <f t="array" ref="J8068">IFERROR(IF($B8068=J$1, ($A8068+$C8068) - MAX(IF($B$2:$B8067=$B8068, $A$2:$A8067+$C$2:$C8067)), "")*24*60, "")</f>
        <v/>
      </c>
      <c r="K8068" s="24" t="str" cm="1">
        <f t="array" ref="K8068">IFERROR(IF($B8068=K$1, ($A8068+$C8068) - MAX(IF($B$2:$B8067=$B8068, $A$2:$A8067+$C$2:$C8067)), "")*24*60, "")</f>
        <v/>
      </c>
      <c r="L8068" s="24" t="str" cm="1">
        <f t="array" ref="L8068">IFERROR(IF($B8068=L$1, ($A8068+$C8068) - MAX(IF($B$2:$B8067=$B8068, $A$2:$A8067+$C$2:$C8067)), "")*24*60, "")</f>
        <v/>
      </c>
      <c r="M8068" s="24" t="str" cm="1">
        <f t="array" ref="M8068">IFERROR(IF($B8068=M$1, ($A8068+$C8068) - MAX(IF($B$2:$B8067=$B8068, $A$2:$A8067+$C$2:$C8067)), "")*24*60, "")</f>
        <v/>
      </c>
      <c r="N8068" s="24" t="str" cm="1">
        <f t="array" ref="N8068">IFERROR(IF($B8068=N$1, ($A8068+$C8068) - MAX(IF($B$2:$B8067=$B8068, $A$2:$A8067+$C$2:$C8067)), "")*24*60, "")</f>
        <v/>
      </c>
      <c r="O8068" s="24" t="str" cm="1">
        <f t="array" ref="O8068">IFERROR(IF($B8068=O$1, ($A8068+$C8068) - MAX(IF($B$2:$B8067=$B8068, $A$2:$A8067+$C$2:$C8067)), "")*24*60, "")</f>
        <v/>
      </c>
      <c r="P8068" s="24" t="str" cm="1">
        <f t="array" ref="P8068">IFERROR(IF($B8068=P$1, ($A8068+$C8068) - MAX(IF($B$2:$B8067=$B8068, $A$2:$A8067+$C$2:$C8067)), "")*24*60, "")</f>
        <v/>
      </c>
      <c r="Q8068" s="24" t="str" cm="1">
        <f t="array" ref="Q8068">IFERROR(IF($B8068=Q$1, ($A8068+$C8068) - MAX(IF($B$2:$B8067=$B8068, $A$2:$A8067+$C$2:$C8067)), "")*24*60, "")</f>
        <v/>
      </c>
      <c r="R8068" s="24" t="str" cm="1">
        <f t="array" ref="R8068">IFERROR(IF($B8068=R$1, ($A8068+$C8068) - MAX(IF($B$2:$B8067=$B8068, $A$2:$A8067+$C$2:$C8067)), "")*24*60, "")</f>
        <v/>
      </c>
      <c r="S8068" s="24" t="str" cm="1">
        <f t="array" ref="S8068">IFERROR(IF($B8068=S$1, ($A8068+$C8068) - MAX(IF($B$2:$B8067=$B8068, $A$2:$A8067+$C$2:$C8067)), "")*24*60, "")</f>
        <v/>
      </c>
    </row>
    <row r="8069" spans="1:19" x14ac:dyDescent="0.2">
      <c r="A8069" s="12">
        <f t="shared" ref="A8069:C8069" si="1562">A8068</f>
        <v>46021</v>
      </c>
      <c r="B8069" s="5" t="str">
        <f t="shared" si="1562"/>
        <v>Northern Cardinal</v>
      </c>
      <c r="C8069" s="6">
        <f t="shared" si="1562"/>
        <v>0.7319444444444444</v>
      </c>
      <c r="D8069" s="5"/>
      <c r="E8069" s="5"/>
      <c r="F8069" s="5" t="s">
        <v>9</v>
      </c>
      <c r="G8069" s="15" t="s">
        <v>8</v>
      </c>
      <c r="H8069" s="24">
        <f t="shared" si="1525"/>
        <v>0</v>
      </c>
      <c r="I8069" s="24" cm="1">
        <f t="array" ref="I8069">IFERROR(IF($B8069=I$1, ($A8069+$C8069) - MAX(IF($B$2:$B8068=$B8069, $A$2:$A8068+$C$2:$C8068)), "")*24*60, "")</f>
        <v>0</v>
      </c>
      <c r="J8069" s="24" t="str" cm="1">
        <f t="array" ref="J8069">IFERROR(IF($B8069=J$1, ($A8069+$C8069) - MAX(IF($B$2:$B8068=$B8069, $A$2:$A8068+$C$2:$C8068)), "")*24*60, "")</f>
        <v/>
      </c>
      <c r="K8069" s="24" t="str" cm="1">
        <f t="array" ref="K8069">IFERROR(IF($B8069=K$1, ($A8069+$C8069) - MAX(IF($B$2:$B8068=$B8069, $A$2:$A8068+$C$2:$C8068)), "")*24*60, "")</f>
        <v/>
      </c>
      <c r="L8069" s="24" t="str" cm="1">
        <f t="array" ref="L8069">IFERROR(IF($B8069=L$1, ($A8069+$C8069) - MAX(IF($B$2:$B8068=$B8069, $A$2:$A8068+$C$2:$C8068)), "")*24*60, "")</f>
        <v/>
      </c>
      <c r="M8069" s="24" t="str" cm="1">
        <f t="array" ref="M8069">IFERROR(IF($B8069=M$1, ($A8069+$C8069) - MAX(IF($B$2:$B8068=$B8069, $A$2:$A8068+$C$2:$C8068)), "")*24*60, "")</f>
        <v/>
      </c>
      <c r="N8069" s="24" t="str" cm="1">
        <f t="array" ref="N8069">IFERROR(IF($B8069=N$1, ($A8069+$C8069) - MAX(IF($B$2:$B8068=$B8069, $A$2:$A8068+$C$2:$C8068)), "")*24*60, "")</f>
        <v/>
      </c>
      <c r="O8069" s="24" t="str" cm="1">
        <f t="array" ref="O8069">IFERROR(IF($B8069=O$1, ($A8069+$C8069) - MAX(IF($B$2:$B8068=$B8069, $A$2:$A8068+$C$2:$C8068)), "")*24*60, "")</f>
        <v/>
      </c>
      <c r="P8069" s="24" t="str" cm="1">
        <f t="array" ref="P8069">IFERROR(IF($B8069=P$1, ($A8069+$C8069) - MAX(IF($B$2:$B8068=$B8069, $A$2:$A8068+$C$2:$C8068)), "")*24*60, "")</f>
        <v/>
      </c>
      <c r="Q8069" s="24" t="str" cm="1">
        <f t="array" ref="Q8069">IFERROR(IF($B8069=Q$1, ($A8069+$C8069) - MAX(IF($B$2:$B8068=$B8069, $A$2:$A8068+$C$2:$C8068)), "")*24*60, "")</f>
        <v/>
      </c>
      <c r="R8069" s="24" t="str" cm="1">
        <f t="array" ref="R8069">IFERROR(IF($B8069=R$1, ($A8069+$C8069) - MAX(IF($B$2:$B8068=$B8069, $A$2:$A8068+$C$2:$C8068)), "")*24*60, "")</f>
        <v/>
      </c>
      <c r="S8069" s="24" t="str" cm="1">
        <f t="array" ref="S8069">IFERROR(IF($B8069=S$1, ($A8069+$C8069) - MAX(IF($B$2:$B8068=$B8069, $A$2:$A8068+$C$2:$C8068)), "")*24*60, "")</f>
        <v/>
      </c>
    </row>
    <row r="8070" spans="1:19" x14ac:dyDescent="0.2">
      <c r="A8070" s="12">
        <f t="shared" ref="A8070:C8070" si="1563">A8069</f>
        <v>46021</v>
      </c>
      <c r="B8070" s="5" t="str">
        <f t="shared" si="1563"/>
        <v>Northern Cardinal</v>
      </c>
      <c r="C8070" s="6">
        <f t="shared" si="1563"/>
        <v>0.7319444444444444</v>
      </c>
      <c r="D8070" s="5"/>
      <c r="E8070" s="5"/>
      <c r="F8070" s="5" t="s">
        <v>9</v>
      </c>
      <c r="G8070" s="15" t="s">
        <v>8</v>
      </c>
      <c r="H8070" s="24">
        <f t="shared" si="1525"/>
        <v>0</v>
      </c>
      <c r="I8070" s="24" cm="1">
        <f t="array" ref="I8070">IFERROR(IF($B8070=I$1, ($A8070+$C8070) - MAX(IF($B$2:$B8069=$B8070, $A$2:$A8069+$C$2:$C8069)), "")*24*60, "")</f>
        <v>0</v>
      </c>
      <c r="J8070" s="24" t="str" cm="1">
        <f t="array" ref="J8070">IFERROR(IF($B8070=J$1, ($A8070+$C8070) - MAX(IF($B$2:$B8069=$B8070, $A$2:$A8069+$C$2:$C8069)), "")*24*60, "")</f>
        <v/>
      </c>
      <c r="K8070" s="24" t="str" cm="1">
        <f t="array" ref="K8070">IFERROR(IF($B8070=K$1, ($A8070+$C8070) - MAX(IF($B$2:$B8069=$B8070, $A$2:$A8069+$C$2:$C8069)), "")*24*60, "")</f>
        <v/>
      </c>
      <c r="L8070" s="24" t="str" cm="1">
        <f t="array" ref="L8070">IFERROR(IF($B8070=L$1, ($A8070+$C8070) - MAX(IF($B$2:$B8069=$B8070, $A$2:$A8069+$C$2:$C8069)), "")*24*60, "")</f>
        <v/>
      </c>
      <c r="M8070" s="24" t="str" cm="1">
        <f t="array" ref="M8070">IFERROR(IF($B8070=M$1, ($A8070+$C8070) - MAX(IF($B$2:$B8069=$B8070, $A$2:$A8069+$C$2:$C8069)), "")*24*60, "")</f>
        <v/>
      </c>
      <c r="N8070" s="24" t="str" cm="1">
        <f t="array" ref="N8070">IFERROR(IF($B8070=N$1, ($A8070+$C8070) - MAX(IF($B$2:$B8069=$B8070, $A$2:$A8069+$C$2:$C8069)), "")*24*60, "")</f>
        <v/>
      </c>
      <c r="O8070" s="24" t="str" cm="1">
        <f t="array" ref="O8070">IFERROR(IF($B8070=O$1, ($A8070+$C8070) - MAX(IF($B$2:$B8069=$B8070, $A$2:$A8069+$C$2:$C8069)), "")*24*60, "")</f>
        <v/>
      </c>
      <c r="P8070" s="24" t="str" cm="1">
        <f t="array" ref="P8070">IFERROR(IF($B8070=P$1, ($A8070+$C8070) - MAX(IF($B$2:$B8069=$B8070, $A$2:$A8069+$C$2:$C8069)), "")*24*60, "")</f>
        <v/>
      </c>
      <c r="Q8070" s="24" t="str" cm="1">
        <f t="array" ref="Q8070">IFERROR(IF($B8070=Q$1, ($A8070+$C8070) - MAX(IF($B$2:$B8069=$B8070, $A$2:$A8069+$C$2:$C8069)), "")*24*60, "")</f>
        <v/>
      </c>
      <c r="R8070" s="24" t="str" cm="1">
        <f t="array" ref="R8070">IFERROR(IF($B8070=R$1, ($A8070+$C8070) - MAX(IF($B$2:$B8069=$B8070, $A$2:$A8069+$C$2:$C8069)), "")*24*60, "")</f>
        <v/>
      </c>
      <c r="S8070" s="24" t="str" cm="1">
        <f t="array" ref="S8070">IFERROR(IF($B8070=S$1, ($A8070+$C8070) - MAX(IF($B$2:$B8069=$B8070, $A$2:$A8069+$C$2:$C8069)), "")*24*60, "")</f>
        <v/>
      </c>
    </row>
    <row r="8071" spans="1:19" x14ac:dyDescent="0.2">
      <c r="A8071" s="12">
        <f t="shared" ref="A8071:C8071" si="1564">A8070</f>
        <v>46021</v>
      </c>
      <c r="B8071" s="5" t="str">
        <f t="shared" si="1564"/>
        <v>Northern Cardinal</v>
      </c>
      <c r="C8071" s="6">
        <f t="shared" si="1564"/>
        <v>0.7319444444444444</v>
      </c>
      <c r="D8071" s="5"/>
      <c r="E8071" s="5"/>
      <c r="F8071" s="5" t="s">
        <v>9</v>
      </c>
      <c r="G8071" s="15" t="s">
        <v>8</v>
      </c>
      <c r="H8071" s="24">
        <f t="shared" si="1525"/>
        <v>0</v>
      </c>
      <c r="I8071" s="24" cm="1">
        <f t="array" ref="I8071">IFERROR(IF($B8071=I$1, ($A8071+$C8071) - MAX(IF($B$2:$B8070=$B8071, $A$2:$A8070+$C$2:$C8070)), "")*24*60, "")</f>
        <v>0</v>
      </c>
      <c r="J8071" s="24" t="str" cm="1">
        <f t="array" ref="J8071">IFERROR(IF($B8071=J$1, ($A8071+$C8071) - MAX(IF($B$2:$B8070=$B8071, $A$2:$A8070+$C$2:$C8070)), "")*24*60, "")</f>
        <v/>
      </c>
      <c r="K8071" s="24" t="str" cm="1">
        <f t="array" ref="K8071">IFERROR(IF($B8071=K$1, ($A8071+$C8071) - MAX(IF($B$2:$B8070=$B8071, $A$2:$A8070+$C$2:$C8070)), "")*24*60, "")</f>
        <v/>
      </c>
      <c r="L8071" s="24" t="str" cm="1">
        <f t="array" ref="L8071">IFERROR(IF($B8071=L$1, ($A8071+$C8071) - MAX(IF($B$2:$B8070=$B8071, $A$2:$A8070+$C$2:$C8070)), "")*24*60, "")</f>
        <v/>
      </c>
      <c r="M8071" s="24" t="str" cm="1">
        <f t="array" ref="M8071">IFERROR(IF($B8071=M$1, ($A8071+$C8071) - MAX(IF($B$2:$B8070=$B8071, $A$2:$A8070+$C$2:$C8070)), "")*24*60, "")</f>
        <v/>
      </c>
      <c r="N8071" s="24" t="str" cm="1">
        <f t="array" ref="N8071">IFERROR(IF($B8071=N$1, ($A8071+$C8071) - MAX(IF($B$2:$B8070=$B8071, $A$2:$A8070+$C$2:$C8070)), "")*24*60, "")</f>
        <v/>
      </c>
      <c r="O8071" s="24" t="str" cm="1">
        <f t="array" ref="O8071">IFERROR(IF($B8071=O$1, ($A8071+$C8071) - MAX(IF($B$2:$B8070=$B8071, $A$2:$A8070+$C$2:$C8070)), "")*24*60, "")</f>
        <v/>
      </c>
      <c r="P8071" s="24" t="str" cm="1">
        <f t="array" ref="P8071">IFERROR(IF($B8071=P$1, ($A8071+$C8071) - MAX(IF($B$2:$B8070=$B8071, $A$2:$A8070+$C$2:$C8070)), "")*24*60, "")</f>
        <v/>
      </c>
      <c r="Q8071" s="24" t="str" cm="1">
        <f t="array" ref="Q8071">IFERROR(IF($B8071=Q$1, ($A8071+$C8071) - MAX(IF($B$2:$B8070=$B8071, $A$2:$A8070+$C$2:$C8070)), "")*24*60, "")</f>
        <v/>
      </c>
      <c r="R8071" s="24" t="str" cm="1">
        <f t="array" ref="R8071">IFERROR(IF($B8071=R$1, ($A8071+$C8071) - MAX(IF($B$2:$B8070=$B8071, $A$2:$A8070+$C$2:$C8070)), "")*24*60, "")</f>
        <v/>
      </c>
      <c r="S8071" s="24" t="str" cm="1">
        <f t="array" ref="S8071">IFERROR(IF($B8071=S$1, ($A8071+$C8071) - MAX(IF($B$2:$B8070=$B8071, $A$2:$A8070+$C$2:$C8070)), "")*24*60, "")</f>
        <v/>
      </c>
    </row>
    <row r="8072" spans="1:19" x14ac:dyDescent="0.2">
      <c r="A8072" s="12">
        <f t="shared" ref="A8072:C8072" si="1565">A8071</f>
        <v>46021</v>
      </c>
      <c r="B8072" s="5" t="str">
        <f t="shared" si="1565"/>
        <v>Northern Cardinal</v>
      </c>
      <c r="C8072" s="6">
        <f t="shared" si="1565"/>
        <v>0.7319444444444444</v>
      </c>
      <c r="D8072" s="5"/>
      <c r="E8072" s="5"/>
      <c r="F8072" s="5" t="s">
        <v>9</v>
      </c>
      <c r="G8072" s="15" t="s">
        <v>8</v>
      </c>
      <c r="H8072" s="24">
        <f t="shared" si="1525"/>
        <v>0</v>
      </c>
      <c r="I8072" s="24" cm="1">
        <f t="array" ref="I8072">IFERROR(IF($B8072=I$1, ($A8072+$C8072) - MAX(IF($B$2:$B8071=$B8072, $A$2:$A8071+$C$2:$C8071)), "")*24*60, "")</f>
        <v>0</v>
      </c>
      <c r="J8072" s="24" t="str" cm="1">
        <f t="array" ref="J8072">IFERROR(IF($B8072=J$1, ($A8072+$C8072) - MAX(IF($B$2:$B8071=$B8072, $A$2:$A8071+$C$2:$C8071)), "")*24*60, "")</f>
        <v/>
      </c>
      <c r="K8072" s="24" t="str" cm="1">
        <f t="array" ref="K8072">IFERROR(IF($B8072=K$1, ($A8072+$C8072) - MAX(IF($B$2:$B8071=$B8072, $A$2:$A8071+$C$2:$C8071)), "")*24*60, "")</f>
        <v/>
      </c>
      <c r="L8072" s="24" t="str" cm="1">
        <f t="array" ref="L8072">IFERROR(IF($B8072=L$1, ($A8072+$C8072) - MAX(IF($B$2:$B8071=$B8072, $A$2:$A8071+$C$2:$C8071)), "")*24*60, "")</f>
        <v/>
      </c>
      <c r="M8072" s="24" t="str" cm="1">
        <f t="array" ref="M8072">IFERROR(IF($B8072=M$1, ($A8072+$C8072) - MAX(IF($B$2:$B8071=$B8072, $A$2:$A8071+$C$2:$C8071)), "")*24*60, "")</f>
        <v/>
      </c>
      <c r="N8072" s="24" t="str" cm="1">
        <f t="array" ref="N8072">IFERROR(IF($B8072=N$1, ($A8072+$C8072) - MAX(IF($B$2:$B8071=$B8072, $A$2:$A8071+$C$2:$C8071)), "")*24*60, "")</f>
        <v/>
      </c>
      <c r="O8072" s="24" t="str" cm="1">
        <f t="array" ref="O8072">IFERROR(IF($B8072=O$1, ($A8072+$C8072) - MAX(IF($B$2:$B8071=$B8072, $A$2:$A8071+$C$2:$C8071)), "")*24*60, "")</f>
        <v/>
      </c>
      <c r="P8072" s="24" t="str" cm="1">
        <f t="array" ref="P8072">IFERROR(IF($B8072=P$1, ($A8072+$C8072) - MAX(IF($B$2:$B8071=$B8072, $A$2:$A8071+$C$2:$C8071)), "")*24*60, "")</f>
        <v/>
      </c>
      <c r="Q8072" s="24" t="str" cm="1">
        <f t="array" ref="Q8072">IFERROR(IF($B8072=Q$1, ($A8072+$C8072) - MAX(IF($B$2:$B8071=$B8072, $A$2:$A8071+$C$2:$C8071)), "")*24*60, "")</f>
        <v/>
      </c>
      <c r="R8072" s="24" t="str" cm="1">
        <f t="array" ref="R8072">IFERROR(IF($B8072=R$1, ($A8072+$C8072) - MAX(IF($B$2:$B8071=$B8072, $A$2:$A8071+$C$2:$C8071)), "")*24*60, "")</f>
        <v/>
      </c>
      <c r="S8072" s="24" t="str" cm="1">
        <f t="array" ref="S8072">IFERROR(IF($B8072=S$1, ($A8072+$C8072) - MAX(IF($B$2:$B8071=$B8072, $A$2:$A8071+$C$2:$C8071)), "")*24*60, "")</f>
        <v/>
      </c>
    </row>
    <row r="8073" spans="1:19" x14ac:dyDescent="0.2">
      <c r="A8073" s="12">
        <f t="shared" ref="A8073:C8073" si="1566">A8072</f>
        <v>46021</v>
      </c>
      <c r="B8073" s="5" t="str">
        <f t="shared" si="1566"/>
        <v>Northern Cardinal</v>
      </c>
      <c r="C8073" s="6">
        <f t="shared" si="1566"/>
        <v>0.7319444444444444</v>
      </c>
      <c r="D8073" s="5"/>
      <c r="E8073" s="5"/>
      <c r="F8073" s="5" t="s">
        <v>9</v>
      </c>
      <c r="G8073" s="15" t="s">
        <v>8</v>
      </c>
      <c r="H8073" s="24">
        <f t="shared" si="1525"/>
        <v>0</v>
      </c>
      <c r="I8073" s="24" cm="1">
        <f t="array" ref="I8073">IFERROR(IF($B8073=I$1, ($A8073+$C8073) - MAX(IF($B$2:$B8072=$B8073, $A$2:$A8072+$C$2:$C8072)), "")*24*60, "")</f>
        <v>0</v>
      </c>
      <c r="J8073" s="24" t="str" cm="1">
        <f t="array" ref="J8073">IFERROR(IF($B8073=J$1, ($A8073+$C8073) - MAX(IF($B$2:$B8072=$B8073, $A$2:$A8072+$C$2:$C8072)), "")*24*60, "")</f>
        <v/>
      </c>
      <c r="K8073" s="24" t="str" cm="1">
        <f t="array" ref="K8073">IFERROR(IF($B8073=K$1, ($A8073+$C8073) - MAX(IF($B$2:$B8072=$B8073, $A$2:$A8072+$C$2:$C8072)), "")*24*60, "")</f>
        <v/>
      </c>
      <c r="L8073" s="24" t="str" cm="1">
        <f t="array" ref="L8073">IFERROR(IF($B8073=L$1, ($A8073+$C8073) - MAX(IF($B$2:$B8072=$B8073, $A$2:$A8072+$C$2:$C8072)), "")*24*60, "")</f>
        <v/>
      </c>
      <c r="M8073" s="24" t="str" cm="1">
        <f t="array" ref="M8073">IFERROR(IF($B8073=M$1, ($A8073+$C8073) - MAX(IF($B$2:$B8072=$B8073, $A$2:$A8072+$C$2:$C8072)), "")*24*60, "")</f>
        <v/>
      </c>
      <c r="N8073" s="24" t="str" cm="1">
        <f t="array" ref="N8073">IFERROR(IF($B8073=N$1, ($A8073+$C8073) - MAX(IF($B$2:$B8072=$B8073, $A$2:$A8072+$C$2:$C8072)), "")*24*60, "")</f>
        <v/>
      </c>
      <c r="O8073" s="24" t="str" cm="1">
        <f t="array" ref="O8073">IFERROR(IF($B8073=O$1, ($A8073+$C8073) - MAX(IF($B$2:$B8072=$B8073, $A$2:$A8072+$C$2:$C8072)), "")*24*60, "")</f>
        <v/>
      </c>
      <c r="P8073" s="24" t="str" cm="1">
        <f t="array" ref="P8073">IFERROR(IF($B8073=P$1, ($A8073+$C8073) - MAX(IF($B$2:$B8072=$B8073, $A$2:$A8072+$C$2:$C8072)), "")*24*60, "")</f>
        <v/>
      </c>
      <c r="Q8073" s="24" t="str" cm="1">
        <f t="array" ref="Q8073">IFERROR(IF($B8073=Q$1, ($A8073+$C8073) - MAX(IF($B$2:$B8072=$B8073, $A$2:$A8072+$C$2:$C8072)), "")*24*60, "")</f>
        <v/>
      </c>
      <c r="R8073" s="24" t="str" cm="1">
        <f t="array" ref="R8073">IFERROR(IF($B8073=R$1, ($A8073+$C8073) - MAX(IF($B$2:$B8072=$B8073, $A$2:$A8072+$C$2:$C8072)), "")*24*60, "")</f>
        <v/>
      </c>
      <c r="S8073" s="24" t="str" cm="1">
        <f t="array" ref="S8073">IFERROR(IF($B8073=S$1, ($A8073+$C8073) - MAX(IF($B$2:$B8072=$B8073, $A$2:$A8072+$C$2:$C8072)), "")*24*60, "")</f>
        <v/>
      </c>
    </row>
    <row r="8074" spans="1:19" x14ac:dyDescent="0.2">
      <c r="A8074" s="12">
        <f t="shared" ref="A8074:C8074" si="1567">A8073</f>
        <v>46021</v>
      </c>
      <c r="B8074" s="5" t="str">
        <f t="shared" si="1567"/>
        <v>Northern Cardinal</v>
      </c>
      <c r="C8074" s="6">
        <f t="shared" si="1567"/>
        <v>0.7319444444444444</v>
      </c>
      <c r="D8074" s="5"/>
      <c r="E8074" s="5"/>
      <c r="F8074" s="5" t="s">
        <v>9</v>
      </c>
      <c r="G8074" s="15" t="s">
        <v>8</v>
      </c>
      <c r="H8074" s="24">
        <f t="shared" si="1525"/>
        <v>0</v>
      </c>
      <c r="I8074" s="24" cm="1">
        <f t="array" ref="I8074">IFERROR(IF($B8074=I$1, ($A8074+$C8074) - MAX(IF($B$2:$B8073=$B8074, $A$2:$A8073+$C$2:$C8073)), "")*24*60, "")</f>
        <v>0</v>
      </c>
      <c r="J8074" s="24" t="str" cm="1">
        <f t="array" ref="J8074">IFERROR(IF($B8074=J$1, ($A8074+$C8074) - MAX(IF($B$2:$B8073=$B8074, $A$2:$A8073+$C$2:$C8073)), "")*24*60, "")</f>
        <v/>
      </c>
      <c r="K8074" s="24" t="str" cm="1">
        <f t="array" ref="K8074">IFERROR(IF($B8074=K$1, ($A8074+$C8074) - MAX(IF($B$2:$B8073=$B8074, $A$2:$A8073+$C$2:$C8073)), "")*24*60, "")</f>
        <v/>
      </c>
      <c r="L8074" s="24" t="str" cm="1">
        <f t="array" ref="L8074">IFERROR(IF($B8074=L$1, ($A8074+$C8074) - MAX(IF($B$2:$B8073=$B8074, $A$2:$A8073+$C$2:$C8073)), "")*24*60, "")</f>
        <v/>
      </c>
      <c r="M8074" s="24" t="str" cm="1">
        <f t="array" ref="M8074">IFERROR(IF($B8074=M$1, ($A8074+$C8074) - MAX(IF($B$2:$B8073=$B8074, $A$2:$A8073+$C$2:$C8073)), "")*24*60, "")</f>
        <v/>
      </c>
      <c r="N8074" s="24" t="str" cm="1">
        <f t="array" ref="N8074">IFERROR(IF($B8074=N$1, ($A8074+$C8074) - MAX(IF($B$2:$B8073=$B8074, $A$2:$A8073+$C$2:$C8073)), "")*24*60, "")</f>
        <v/>
      </c>
      <c r="O8074" s="24" t="str" cm="1">
        <f t="array" ref="O8074">IFERROR(IF($B8074=O$1, ($A8074+$C8074) - MAX(IF($B$2:$B8073=$B8074, $A$2:$A8073+$C$2:$C8073)), "")*24*60, "")</f>
        <v/>
      </c>
      <c r="P8074" s="24" t="str" cm="1">
        <f t="array" ref="P8074">IFERROR(IF($B8074=P$1, ($A8074+$C8074) - MAX(IF($B$2:$B8073=$B8074, $A$2:$A8073+$C$2:$C8073)), "")*24*60, "")</f>
        <v/>
      </c>
      <c r="Q8074" s="24" t="str" cm="1">
        <f t="array" ref="Q8074">IFERROR(IF($B8074=Q$1, ($A8074+$C8074) - MAX(IF($B$2:$B8073=$B8074, $A$2:$A8073+$C$2:$C8073)), "")*24*60, "")</f>
        <v/>
      </c>
      <c r="R8074" s="24" t="str" cm="1">
        <f t="array" ref="R8074">IFERROR(IF($B8074=R$1, ($A8074+$C8074) - MAX(IF($B$2:$B8073=$B8074, $A$2:$A8073+$C$2:$C8073)), "")*24*60, "")</f>
        <v/>
      </c>
      <c r="S8074" s="24" t="str" cm="1">
        <f t="array" ref="S8074">IFERROR(IF($B8074=S$1, ($A8074+$C8074) - MAX(IF($B$2:$B8073=$B8074, $A$2:$A8073+$C$2:$C8073)), "")*24*60, "")</f>
        <v/>
      </c>
    </row>
    <row r="8075" spans="1:19" x14ac:dyDescent="0.2">
      <c r="A8075" s="12">
        <f t="shared" ref="A8075:C8075" si="1568">A8074</f>
        <v>46021</v>
      </c>
      <c r="B8075" s="5" t="str">
        <f t="shared" si="1568"/>
        <v>Northern Cardinal</v>
      </c>
      <c r="C8075" s="6">
        <f t="shared" si="1568"/>
        <v>0.7319444444444444</v>
      </c>
      <c r="D8075" s="5"/>
      <c r="E8075" s="5"/>
      <c r="F8075" s="5" t="s">
        <v>9</v>
      </c>
      <c r="G8075" s="15" t="s">
        <v>8</v>
      </c>
      <c r="H8075" s="24">
        <f t="shared" si="1525"/>
        <v>0</v>
      </c>
      <c r="I8075" s="24" cm="1">
        <f t="array" ref="I8075">IFERROR(IF($B8075=I$1, ($A8075+$C8075) - MAX(IF($B$2:$B8074=$B8075, $A$2:$A8074+$C$2:$C8074)), "")*24*60, "")</f>
        <v>0</v>
      </c>
      <c r="J8075" s="24" t="str" cm="1">
        <f t="array" ref="J8075">IFERROR(IF($B8075=J$1, ($A8075+$C8075) - MAX(IF($B$2:$B8074=$B8075, $A$2:$A8074+$C$2:$C8074)), "")*24*60, "")</f>
        <v/>
      </c>
      <c r="K8075" s="24" t="str" cm="1">
        <f t="array" ref="K8075">IFERROR(IF($B8075=K$1, ($A8075+$C8075) - MAX(IF($B$2:$B8074=$B8075, $A$2:$A8074+$C$2:$C8074)), "")*24*60, "")</f>
        <v/>
      </c>
      <c r="L8075" s="24" t="str" cm="1">
        <f t="array" ref="L8075">IFERROR(IF($B8075=L$1, ($A8075+$C8075) - MAX(IF($B$2:$B8074=$B8075, $A$2:$A8074+$C$2:$C8074)), "")*24*60, "")</f>
        <v/>
      </c>
      <c r="M8075" s="24" t="str" cm="1">
        <f t="array" ref="M8075">IFERROR(IF($B8075=M$1, ($A8075+$C8075) - MAX(IF($B$2:$B8074=$B8075, $A$2:$A8074+$C$2:$C8074)), "")*24*60, "")</f>
        <v/>
      </c>
      <c r="N8075" s="24" t="str" cm="1">
        <f t="array" ref="N8075">IFERROR(IF($B8075=N$1, ($A8075+$C8075) - MAX(IF($B$2:$B8074=$B8075, $A$2:$A8074+$C$2:$C8074)), "")*24*60, "")</f>
        <v/>
      </c>
      <c r="O8075" s="24" t="str" cm="1">
        <f t="array" ref="O8075">IFERROR(IF($B8075=O$1, ($A8075+$C8075) - MAX(IF($B$2:$B8074=$B8075, $A$2:$A8074+$C$2:$C8074)), "")*24*60, "")</f>
        <v/>
      </c>
      <c r="P8075" s="24" t="str" cm="1">
        <f t="array" ref="P8075">IFERROR(IF($B8075=P$1, ($A8075+$C8075) - MAX(IF($B$2:$B8074=$B8075, $A$2:$A8074+$C$2:$C8074)), "")*24*60, "")</f>
        <v/>
      </c>
      <c r="Q8075" s="24" t="str" cm="1">
        <f t="array" ref="Q8075">IFERROR(IF($B8075=Q$1, ($A8075+$C8075) - MAX(IF($B$2:$B8074=$B8075, $A$2:$A8074+$C$2:$C8074)), "")*24*60, "")</f>
        <v/>
      </c>
      <c r="R8075" s="24" t="str" cm="1">
        <f t="array" ref="R8075">IFERROR(IF($B8075=R$1, ($A8075+$C8075) - MAX(IF($B$2:$B8074=$B8075, $A$2:$A8074+$C$2:$C8074)), "")*24*60, "")</f>
        <v/>
      </c>
      <c r="S8075" s="24" t="str" cm="1">
        <f t="array" ref="S8075">IFERROR(IF($B8075=S$1, ($A8075+$C8075) - MAX(IF($B$2:$B8074=$B8075, $A$2:$A8074+$C$2:$C8074)), "")*24*60, "")</f>
        <v/>
      </c>
    </row>
    <row r="8076" spans="1:19" x14ac:dyDescent="0.2">
      <c r="A8076" s="12">
        <f t="shared" ref="A8076:C8076" si="1569">A8075</f>
        <v>46021</v>
      </c>
      <c r="B8076" s="5" t="str">
        <f t="shared" si="1569"/>
        <v>Northern Cardinal</v>
      </c>
      <c r="C8076" s="6">
        <f t="shared" si="1569"/>
        <v>0.7319444444444444</v>
      </c>
      <c r="D8076" s="5"/>
      <c r="E8076" s="5"/>
      <c r="F8076" s="5" t="s">
        <v>9</v>
      </c>
      <c r="G8076" s="15" t="s">
        <v>8</v>
      </c>
      <c r="H8076" s="24">
        <f t="shared" si="1525"/>
        <v>0</v>
      </c>
      <c r="I8076" s="24" cm="1">
        <f t="array" ref="I8076">IFERROR(IF($B8076=I$1, ($A8076+$C8076) - MAX(IF($B$2:$B8075=$B8076, $A$2:$A8075+$C$2:$C8075)), "")*24*60, "")</f>
        <v>0</v>
      </c>
      <c r="J8076" s="24" t="str" cm="1">
        <f t="array" ref="J8076">IFERROR(IF($B8076=J$1, ($A8076+$C8076) - MAX(IF($B$2:$B8075=$B8076, $A$2:$A8075+$C$2:$C8075)), "")*24*60, "")</f>
        <v/>
      </c>
      <c r="K8076" s="24" t="str" cm="1">
        <f t="array" ref="K8076">IFERROR(IF($B8076=K$1, ($A8076+$C8076) - MAX(IF($B$2:$B8075=$B8076, $A$2:$A8075+$C$2:$C8075)), "")*24*60, "")</f>
        <v/>
      </c>
      <c r="L8076" s="24" t="str" cm="1">
        <f t="array" ref="L8076">IFERROR(IF($B8076=L$1, ($A8076+$C8076) - MAX(IF($B$2:$B8075=$B8076, $A$2:$A8075+$C$2:$C8075)), "")*24*60, "")</f>
        <v/>
      </c>
      <c r="M8076" s="24" t="str" cm="1">
        <f t="array" ref="M8076">IFERROR(IF($B8076=M$1, ($A8076+$C8076) - MAX(IF($B$2:$B8075=$B8076, $A$2:$A8075+$C$2:$C8075)), "")*24*60, "")</f>
        <v/>
      </c>
      <c r="N8076" s="24" t="str" cm="1">
        <f t="array" ref="N8076">IFERROR(IF($B8076=N$1, ($A8076+$C8076) - MAX(IF($B$2:$B8075=$B8076, $A$2:$A8075+$C$2:$C8075)), "")*24*60, "")</f>
        <v/>
      </c>
      <c r="O8076" s="24" t="str" cm="1">
        <f t="array" ref="O8076">IFERROR(IF($B8076=O$1, ($A8076+$C8076) - MAX(IF($B$2:$B8075=$B8076, $A$2:$A8075+$C$2:$C8075)), "")*24*60, "")</f>
        <v/>
      </c>
      <c r="P8076" s="24" t="str" cm="1">
        <f t="array" ref="P8076">IFERROR(IF($B8076=P$1, ($A8076+$C8076) - MAX(IF($B$2:$B8075=$B8076, $A$2:$A8075+$C$2:$C8075)), "")*24*60, "")</f>
        <v/>
      </c>
      <c r="Q8076" s="24" t="str" cm="1">
        <f t="array" ref="Q8076">IFERROR(IF($B8076=Q$1, ($A8076+$C8076) - MAX(IF($B$2:$B8075=$B8076, $A$2:$A8075+$C$2:$C8075)), "")*24*60, "")</f>
        <v/>
      </c>
      <c r="R8076" s="24" t="str" cm="1">
        <f t="array" ref="R8076">IFERROR(IF($B8076=R$1, ($A8076+$C8076) - MAX(IF($B$2:$B8075=$B8076, $A$2:$A8075+$C$2:$C8075)), "")*24*60, "")</f>
        <v/>
      </c>
      <c r="S8076" s="24" t="str" cm="1">
        <f t="array" ref="S8076">IFERROR(IF($B8076=S$1, ($A8076+$C8076) - MAX(IF($B$2:$B8075=$B8076, $A$2:$A8075+$C$2:$C8075)), "")*24*60, "")</f>
        <v/>
      </c>
    </row>
    <row r="8077" spans="1:19" x14ac:dyDescent="0.2">
      <c r="A8077" s="12">
        <f t="shared" ref="A8077:C8077" si="1570">A8076</f>
        <v>46021</v>
      </c>
      <c r="B8077" s="5" t="str">
        <f t="shared" si="1570"/>
        <v>Northern Cardinal</v>
      </c>
      <c r="C8077" s="6">
        <f t="shared" si="1570"/>
        <v>0.7319444444444444</v>
      </c>
      <c r="D8077" s="5"/>
      <c r="E8077" s="5"/>
      <c r="F8077" s="5" t="s">
        <v>9</v>
      </c>
      <c r="G8077" s="15" t="s">
        <v>8</v>
      </c>
      <c r="H8077" s="24">
        <f t="shared" si="1525"/>
        <v>0</v>
      </c>
      <c r="I8077" s="24" cm="1">
        <f t="array" ref="I8077">IFERROR(IF($B8077=I$1, ($A8077+$C8077) - MAX(IF($B$2:$B8076=$B8077, $A$2:$A8076+$C$2:$C8076)), "")*24*60, "")</f>
        <v>0</v>
      </c>
      <c r="J8077" s="24" t="str" cm="1">
        <f t="array" ref="J8077">IFERROR(IF($B8077=J$1, ($A8077+$C8077) - MAX(IF($B$2:$B8076=$B8077, $A$2:$A8076+$C$2:$C8076)), "")*24*60, "")</f>
        <v/>
      </c>
      <c r="K8077" s="24" t="str" cm="1">
        <f t="array" ref="K8077">IFERROR(IF($B8077=K$1, ($A8077+$C8077) - MAX(IF($B$2:$B8076=$B8077, $A$2:$A8076+$C$2:$C8076)), "")*24*60, "")</f>
        <v/>
      </c>
      <c r="L8077" s="24" t="str" cm="1">
        <f t="array" ref="L8077">IFERROR(IF($B8077=L$1, ($A8077+$C8077) - MAX(IF($B$2:$B8076=$B8077, $A$2:$A8076+$C$2:$C8076)), "")*24*60, "")</f>
        <v/>
      </c>
      <c r="M8077" s="24" t="str" cm="1">
        <f t="array" ref="M8077">IFERROR(IF($B8077=M$1, ($A8077+$C8077) - MAX(IF($B$2:$B8076=$B8077, $A$2:$A8076+$C$2:$C8076)), "")*24*60, "")</f>
        <v/>
      </c>
      <c r="N8077" s="24" t="str" cm="1">
        <f t="array" ref="N8077">IFERROR(IF($B8077=N$1, ($A8077+$C8077) - MAX(IF($B$2:$B8076=$B8077, $A$2:$A8076+$C$2:$C8076)), "")*24*60, "")</f>
        <v/>
      </c>
      <c r="O8077" s="24" t="str" cm="1">
        <f t="array" ref="O8077">IFERROR(IF($B8077=O$1, ($A8077+$C8077) - MAX(IF($B$2:$B8076=$B8077, $A$2:$A8076+$C$2:$C8076)), "")*24*60, "")</f>
        <v/>
      </c>
      <c r="P8077" s="24" t="str" cm="1">
        <f t="array" ref="P8077">IFERROR(IF($B8077=P$1, ($A8077+$C8077) - MAX(IF($B$2:$B8076=$B8077, $A$2:$A8076+$C$2:$C8076)), "")*24*60, "")</f>
        <v/>
      </c>
      <c r="Q8077" s="24" t="str" cm="1">
        <f t="array" ref="Q8077">IFERROR(IF($B8077=Q$1, ($A8077+$C8077) - MAX(IF($B$2:$B8076=$B8077, $A$2:$A8076+$C$2:$C8076)), "")*24*60, "")</f>
        <v/>
      </c>
      <c r="R8077" s="24" t="str" cm="1">
        <f t="array" ref="R8077">IFERROR(IF($B8077=R$1, ($A8077+$C8077) - MAX(IF($B$2:$B8076=$B8077, $A$2:$A8076+$C$2:$C8076)), "")*24*60, "")</f>
        <v/>
      </c>
      <c r="S8077" s="24" t="str" cm="1">
        <f t="array" ref="S8077">IFERROR(IF($B8077=S$1, ($A8077+$C8077) - MAX(IF($B$2:$B8076=$B8077, $A$2:$A8076+$C$2:$C8076)), "")*24*60, "")</f>
        <v/>
      </c>
    </row>
    <row r="8078" spans="1:19" x14ac:dyDescent="0.2">
      <c r="A8078" s="12">
        <f t="shared" ref="A8078:C8078" si="1571">A8077</f>
        <v>46021</v>
      </c>
      <c r="B8078" s="5" t="str">
        <f t="shared" si="1571"/>
        <v>Northern Cardinal</v>
      </c>
      <c r="C8078" s="6">
        <f t="shared" si="1571"/>
        <v>0.7319444444444444</v>
      </c>
      <c r="D8078" s="5"/>
      <c r="E8078" s="5"/>
      <c r="F8078" s="5" t="s">
        <v>9</v>
      </c>
      <c r="G8078" s="15" t="s">
        <v>8</v>
      </c>
      <c r="H8078" s="24">
        <f t="shared" si="1525"/>
        <v>0</v>
      </c>
      <c r="I8078" s="24" cm="1">
        <f t="array" ref="I8078">IFERROR(IF($B8078=I$1, ($A8078+$C8078) - MAX(IF($B$2:$B8077=$B8078, $A$2:$A8077+$C$2:$C8077)), "")*24*60, "")</f>
        <v>0</v>
      </c>
      <c r="J8078" s="24" t="str" cm="1">
        <f t="array" ref="J8078">IFERROR(IF($B8078=J$1, ($A8078+$C8078) - MAX(IF($B$2:$B8077=$B8078, $A$2:$A8077+$C$2:$C8077)), "")*24*60, "")</f>
        <v/>
      </c>
      <c r="K8078" s="24" t="str" cm="1">
        <f t="array" ref="K8078">IFERROR(IF($B8078=K$1, ($A8078+$C8078) - MAX(IF($B$2:$B8077=$B8078, $A$2:$A8077+$C$2:$C8077)), "")*24*60, "")</f>
        <v/>
      </c>
      <c r="L8078" s="24" t="str" cm="1">
        <f t="array" ref="L8078">IFERROR(IF($B8078=L$1, ($A8078+$C8078) - MAX(IF($B$2:$B8077=$B8078, $A$2:$A8077+$C$2:$C8077)), "")*24*60, "")</f>
        <v/>
      </c>
      <c r="M8078" s="24" t="str" cm="1">
        <f t="array" ref="M8078">IFERROR(IF($B8078=M$1, ($A8078+$C8078) - MAX(IF($B$2:$B8077=$B8078, $A$2:$A8077+$C$2:$C8077)), "")*24*60, "")</f>
        <v/>
      </c>
      <c r="N8078" s="24" t="str" cm="1">
        <f t="array" ref="N8078">IFERROR(IF($B8078=N$1, ($A8078+$C8078) - MAX(IF($B$2:$B8077=$B8078, $A$2:$A8077+$C$2:$C8077)), "")*24*60, "")</f>
        <v/>
      </c>
      <c r="O8078" s="24" t="str" cm="1">
        <f t="array" ref="O8078">IFERROR(IF($B8078=O$1, ($A8078+$C8078) - MAX(IF($B$2:$B8077=$B8078, $A$2:$A8077+$C$2:$C8077)), "")*24*60, "")</f>
        <v/>
      </c>
      <c r="P8078" s="24" t="str" cm="1">
        <f t="array" ref="P8078">IFERROR(IF($B8078=P$1, ($A8078+$C8078) - MAX(IF($B$2:$B8077=$B8078, $A$2:$A8077+$C$2:$C8077)), "")*24*60, "")</f>
        <v/>
      </c>
      <c r="Q8078" s="24" t="str" cm="1">
        <f t="array" ref="Q8078">IFERROR(IF($B8078=Q$1, ($A8078+$C8078) - MAX(IF($B$2:$B8077=$B8078, $A$2:$A8077+$C$2:$C8077)), "")*24*60, "")</f>
        <v/>
      </c>
      <c r="R8078" s="24" t="str" cm="1">
        <f t="array" ref="R8078">IFERROR(IF($B8078=R$1, ($A8078+$C8078) - MAX(IF($B$2:$B8077=$B8078, $A$2:$A8077+$C$2:$C8077)), "")*24*60, "")</f>
        <v/>
      </c>
      <c r="S8078" s="24" t="str" cm="1">
        <f t="array" ref="S8078">IFERROR(IF($B8078=S$1, ($A8078+$C8078) - MAX(IF($B$2:$B8077=$B8078, $A$2:$A8077+$C$2:$C8077)), "")*24*60, "")</f>
        <v/>
      </c>
    </row>
    <row r="8079" spans="1:19" x14ac:dyDescent="0.2">
      <c r="A8079" s="12">
        <f t="shared" ref="A8079:C8079" si="1572">A8078</f>
        <v>46021</v>
      </c>
      <c r="B8079" s="5" t="str">
        <f t="shared" si="1572"/>
        <v>Northern Cardinal</v>
      </c>
      <c r="C8079" s="6">
        <f t="shared" si="1572"/>
        <v>0.7319444444444444</v>
      </c>
      <c r="D8079" s="5"/>
      <c r="E8079" s="5"/>
      <c r="F8079" s="5" t="s">
        <v>9</v>
      </c>
      <c r="G8079" s="15" t="s">
        <v>8</v>
      </c>
      <c r="H8079" s="24">
        <f t="shared" si="1525"/>
        <v>0</v>
      </c>
      <c r="I8079" s="24" cm="1">
        <f t="array" ref="I8079">IFERROR(IF($B8079=I$1, ($A8079+$C8079) - MAX(IF($B$2:$B8078=$B8079, $A$2:$A8078+$C$2:$C8078)), "")*24*60, "")</f>
        <v>0</v>
      </c>
      <c r="J8079" s="24" t="str" cm="1">
        <f t="array" ref="J8079">IFERROR(IF($B8079=J$1, ($A8079+$C8079) - MAX(IF($B$2:$B8078=$B8079, $A$2:$A8078+$C$2:$C8078)), "")*24*60, "")</f>
        <v/>
      </c>
      <c r="K8079" s="24" t="str" cm="1">
        <f t="array" ref="K8079">IFERROR(IF($B8079=K$1, ($A8079+$C8079) - MAX(IF($B$2:$B8078=$B8079, $A$2:$A8078+$C$2:$C8078)), "")*24*60, "")</f>
        <v/>
      </c>
      <c r="L8079" s="24" t="str" cm="1">
        <f t="array" ref="L8079">IFERROR(IF($B8079=L$1, ($A8079+$C8079) - MAX(IF($B$2:$B8078=$B8079, $A$2:$A8078+$C$2:$C8078)), "")*24*60, "")</f>
        <v/>
      </c>
      <c r="M8079" s="24" t="str" cm="1">
        <f t="array" ref="M8079">IFERROR(IF($B8079=M$1, ($A8079+$C8079) - MAX(IF($B$2:$B8078=$B8079, $A$2:$A8078+$C$2:$C8078)), "")*24*60, "")</f>
        <v/>
      </c>
      <c r="N8079" s="24" t="str" cm="1">
        <f t="array" ref="N8079">IFERROR(IF($B8079=N$1, ($A8079+$C8079) - MAX(IF($B$2:$B8078=$B8079, $A$2:$A8078+$C$2:$C8078)), "")*24*60, "")</f>
        <v/>
      </c>
      <c r="O8079" s="24" t="str" cm="1">
        <f t="array" ref="O8079">IFERROR(IF($B8079=O$1, ($A8079+$C8079) - MAX(IF($B$2:$B8078=$B8079, $A$2:$A8078+$C$2:$C8078)), "")*24*60, "")</f>
        <v/>
      </c>
      <c r="P8079" s="24" t="str" cm="1">
        <f t="array" ref="P8079">IFERROR(IF($B8079=P$1, ($A8079+$C8079) - MAX(IF($B$2:$B8078=$B8079, $A$2:$A8078+$C$2:$C8078)), "")*24*60, "")</f>
        <v/>
      </c>
      <c r="Q8079" s="24" t="str" cm="1">
        <f t="array" ref="Q8079">IFERROR(IF($B8079=Q$1, ($A8079+$C8079) - MAX(IF($B$2:$B8078=$B8079, $A$2:$A8078+$C$2:$C8078)), "")*24*60, "")</f>
        <v/>
      </c>
      <c r="R8079" s="24" t="str" cm="1">
        <f t="array" ref="R8079">IFERROR(IF($B8079=R$1, ($A8079+$C8079) - MAX(IF($B$2:$B8078=$B8079, $A$2:$A8078+$C$2:$C8078)), "")*24*60, "")</f>
        <v/>
      </c>
      <c r="S8079" s="24" t="str" cm="1">
        <f t="array" ref="S8079">IFERROR(IF($B8079=S$1, ($A8079+$C8079) - MAX(IF($B$2:$B8078=$B8079, $A$2:$A8078+$C$2:$C8078)), "")*24*60, "")</f>
        <v/>
      </c>
    </row>
    <row r="8080" spans="1:19" x14ac:dyDescent="0.2">
      <c r="A8080" s="12">
        <f t="shared" ref="A8080:C8080" si="1573">A8079</f>
        <v>46021</v>
      </c>
      <c r="B8080" s="5" t="str">
        <f t="shared" si="1573"/>
        <v>Northern Cardinal</v>
      </c>
      <c r="C8080" s="6">
        <f t="shared" si="1573"/>
        <v>0.7319444444444444</v>
      </c>
      <c r="D8080" s="5"/>
      <c r="E8080" s="5"/>
      <c r="F8080" s="5" t="s">
        <v>9</v>
      </c>
      <c r="G8080" s="15" t="s">
        <v>8</v>
      </c>
      <c r="H8080" s="24">
        <f t="shared" si="1525"/>
        <v>0</v>
      </c>
      <c r="I8080" s="24" cm="1">
        <f t="array" ref="I8080">IFERROR(IF($B8080=I$1, ($A8080+$C8080) - MAX(IF($B$2:$B8079=$B8080, $A$2:$A8079+$C$2:$C8079)), "")*24*60, "")</f>
        <v>0</v>
      </c>
      <c r="J8080" s="24" t="str" cm="1">
        <f t="array" ref="J8080">IFERROR(IF($B8080=J$1, ($A8080+$C8080) - MAX(IF($B$2:$B8079=$B8080, $A$2:$A8079+$C$2:$C8079)), "")*24*60, "")</f>
        <v/>
      </c>
      <c r="K8080" s="24" t="str" cm="1">
        <f t="array" ref="K8080">IFERROR(IF($B8080=K$1, ($A8080+$C8080) - MAX(IF($B$2:$B8079=$B8080, $A$2:$A8079+$C$2:$C8079)), "")*24*60, "")</f>
        <v/>
      </c>
      <c r="L8080" s="24" t="str" cm="1">
        <f t="array" ref="L8080">IFERROR(IF($B8080=L$1, ($A8080+$C8080) - MAX(IF($B$2:$B8079=$B8080, $A$2:$A8079+$C$2:$C8079)), "")*24*60, "")</f>
        <v/>
      </c>
      <c r="M8080" s="24" t="str" cm="1">
        <f t="array" ref="M8080">IFERROR(IF($B8080=M$1, ($A8080+$C8080) - MAX(IF($B$2:$B8079=$B8080, $A$2:$A8079+$C$2:$C8079)), "")*24*60, "")</f>
        <v/>
      </c>
      <c r="N8080" s="24" t="str" cm="1">
        <f t="array" ref="N8080">IFERROR(IF($B8080=N$1, ($A8080+$C8080) - MAX(IF($B$2:$B8079=$B8080, $A$2:$A8079+$C$2:$C8079)), "")*24*60, "")</f>
        <v/>
      </c>
      <c r="O8080" s="24" t="str" cm="1">
        <f t="array" ref="O8080">IFERROR(IF($B8080=O$1, ($A8080+$C8080) - MAX(IF($B$2:$B8079=$B8080, $A$2:$A8079+$C$2:$C8079)), "")*24*60, "")</f>
        <v/>
      </c>
      <c r="P8080" s="24" t="str" cm="1">
        <f t="array" ref="P8080">IFERROR(IF($B8080=P$1, ($A8080+$C8080) - MAX(IF($B$2:$B8079=$B8080, $A$2:$A8079+$C$2:$C8079)), "")*24*60, "")</f>
        <v/>
      </c>
      <c r="Q8080" s="24" t="str" cm="1">
        <f t="array" ref="Q8080">IFERROR(IF($B8080=Q$1, ($A8080+$C8080) - MAX(IF($B$2:$B8079=$B8080, $A$2:$A8079+$C$2:$C8079)), "")*24*60, "")</f>
        <v/>
      </c>
      <c r="R8080" s="24" t="str" cm="1">
        <f t="array" ref="R8080">IFERROR(IF($B8080=R$1, ($A8080+$C8080) - MAX(IF($B$2:$B8079=$B8080, $A$2:$A8079+$C$2:$C8079)), "")*24*60, "")</f>
        <v/>
      </c>
      <c r="S8080" s="24" t="str" cm="1">
        <f t="array" ref="S8080">IFERROR(IF($B8080=S$1, ($A8080+$C8080) - MAX(IF($B$2:$B8079=$B8080, $A$2:$A8079+$C$2:$C8079)), "")*24*60, "")</f>
        <v/>
      </c>
    </row>
    <row r="8081" spans="1:19" x14ac:dyDescent="0.2">
      <c r="A8081" s="12">
        <f t="shared" ref="A8081:C8081" si="1574">A8080</f>
        <v>46021</v>
      </c>
      <c r="B8081" s="5" t="str">
        <f t="shared" si="1574"/>
        <v>Northern Cardinal</v>
      </c>
      <c r="C8081" s="6">
        <f t="shared" si="1574"/>
        <v>0.7319444444444444</v>
      </c>
      <c r="D8081" s="5"/>
      <c r="E8081" s="5"/>
      <c r="F8081" s="5" t="s">
        <v>9</v>
      </c>
      <c r="G8081" s="15" t="s">
        <v>8</v>
      </c>
      <c r="H8081" s="24">
        <f t="shared" si="1525"/>
        <v>0</v>
      </c>
      <c r="I8081" s="24" cm="1">
        <f t="array" ref="I8081">IFERROR(IF($B8081=I$1, ($A8081+$C8081) - MAX(IF($B$2:$B8080=$B8081, $A$2:$A8080+$C$2:$C8080)), "")*24*60, "")</f>
        <v>0</v>
      </c>
      <c r="J8081" s="24" t="str" cm="1">
        <f t="array" ref="J8081">IFERROR(IF($B8081=J$1, ($A8081+$C8081) - MAX(IF($B$2:$B8080=$B8081, $A$2:$A8080+$C$2:$C8080)), "")*24*60, "")</f>
        <v/>
      </c>
      <c r="K8081" s="24" t="str" cm="1">
        <f t="array" ref="K8081">IFERROR(IF($B8081=K$1, ($A8081+$C8081) - MAX(IF($B$2:$B8080=$B8081, $A$2:$A8080+$C$2:$C8080)), "")*24*60, "")</f>
        <v/>
      </c>
      <c r="L8081" s="24" t="str" cm="1">
        <f t="array" ref="L8081">IFERROR(IF($B8081=L$1, ($A8081+$C8081) - MAX(IF($B$2:$B8080=$B8081, $A$2:$A8080+$C$2:$C8080)), "")*24*60, "")</f>
        <v/>
      </c>
      <c r="M8081" s="24" t="str" cm="1">
        <f t="array" ref="M8081">IFERROR(IF($B8081=M$1, ($A8081+$C8081) - MAX(IF($B$2:$B8080=$B8081, $A$2:$A8080+$C$2:$C8080)), "")*24*60, "")</f>
        <v/>
      </c>
      <c r="N8081" s="24" t="str" cm="1">
        <f t="array" ref="N8081">IFERROR(IF($B8081=N$1, ($A8081+$C8081) - MAX(IF($B$2:$B8080=$B8081, $A$2:$A8080+$C$2:$C8080)), "")*24*60, "")</f>
        <v/>
      </c>
      <c r="O8081" s="24" t="str" cm="1">
        <f t="array" ref="O8081">IFERROR(IF($B8081=O$1, ($A8081+$C8081) - MAX(IF($B$2:$B8080=$B8081, $A$2:$A8080+$C$2:$C8080)), "")*24*60, "")</f>
        <v/>
      </c>
      <c r="P8081" s="24" t="str" cm="1">
        <f t="array" ref="P8081">IFERROR(IF($B8081=P$1, ($A8081+$C8081) - MAX(IF($B$2:$B8080=$B8081, $A$2:$A8080+$C$2:$C8080)), "")*24*60, "")</f>
        <v/>
      </c>
      <c r="Q8081" s="24" t="str" cm="1">
        <f t="array" ref="Q8081">IFERROR(IF($B8081=Q$1, ($A8081+$C8081) - MAX(IF($B$2:$B8080=$B8081, $A$2:$A8080+$C$2:$C8080)), "")*24*60, "")</f>
        <v/>
      </c>
      <c r="R8081" s="24" t="str" cm="1">
        <f t="array" ref="R8081">IFERROR(IF($B8081=R$1, ($A8081+$C8081) - MAX(IF($B$2:$B8080=$B8081, $A$2:$A8080+$C$2:$C8080)), "")*24*60, "")</f>
        <v/>
      </c>
      <c r="S8081" s="24" t="str" cm="1">
        <f t="array" ref="S8081">IFERROR(IF($B8081=S$1, ($A8081+$C8081) - MAX(IF($B$2:$B8080=$B8081, $A$2:$A8080+$C$2:$C8080)), "")*24*60, "")</f>
        <v/>
      </c>
    </row>
    <row r="8082" spans="1:19" x14ac:dyDescent="0.2">
      <c r="A8082" s="12">
        <f t="shared" ref="A8082:C8082" si="1575">A8081</f>
        <v>46021</v>
      </c>
      <c r="B8082" s="5" t="str">
        <f t="shared" si="1575"/>
        <v>Northern Cardinal</v>
      </c>
      <c r="C8082" s="6">
        <f t="shared" si="1575"/>
        <v>0.7319444444444444</v>
      </c>
      <c r="D8082" s="5"/>
      <c r="E8082" s="5"/>
      <c r="F8082" s="5" t="s">
        <v>9</v>
      </c>
      <c r="G8082" s="15" t="s">
        <v>8</v>
      </c>
      <c r="H8082" s="24">
        <f t="shared" si="1525"/>
        <v>0</v>
      </c>
      <c r="I8082" s="24" cm="1">
        <f t="array" ref="I8082">IFERROR(IF($B8082=I$1, ($A8082+$C8082) - MAX(IF($B$2:$B8081=$B8082, $A$2:$A8081+$C$2:$C8081)), "")*24*60, "")</f>
        <v>0</v>
      </c>
      <c r="J8082" s="24" t="str" cm="1">
        <f t="array" ref="J8082">IFERROR(IF($B8082=J$1, ($A8082+$C8082) - MAX(IF($B$2:$B8081=$B8082, $A$2:$A8081+$C$2:$C8081)), "")*24*60, "")</f>
        <v/>
      </c>
      <c r="K8082" s="24" t="str" cm="1">
        <f t="array" ref="K8082">IFERROR(IF($B8082=K$1, ($A8082+$C8082) - MAX(IF($B$2:$B8081=$B8082, $A$2:$A8081+$C$2:$C8081)), "")*24*60, "")</f>
        <v/>
      </c>
      <c r="L8082" s="24" t="str" cm="1">
        <f t="array" ref="L8082">IFERROR(IF($B8082=L$1, ($A8082+$C8082) - MAX(IF($B$2:$B8081=$B8082, $A$2:$A8081+$C$2:$C8081)), "")*24*60, "")</f>
        <v/>
      </c>
      <c r="M8082" s="24" t="str" cm="1">
        <f t="array" ref="M8082">IFERROR(IF($B8082=M$1, ($A8082+$C8082) - MAX(IF($B$2:$B8081=$B8082, $A$2:$A8081+$C$2:$C8081)), "")*24*60, "")</f>
        <v/>
      </c>
      <c r="N8082" s="24" t="str" cm="1">
        <f t="array" ref="N8082">IFERROR(IF($B8082=N$1, ($A8082+$C8082) - MAX(IF($B$2:$B8081=$B8082, $A$2:$A8081+$C$2:$C8081)), "")*24*60, "")</f>
        <v/>
      </c>
      <c r="O8082" s="24" t="str" cm="1">
        <f t="array" ref="O8082">IFERROR(IF($B8082=O$1, ($A8082+$C8082) - MAX(IF($B$2:$B8081=$B8082, $A$2:$A8081+$C$2:$C8081)), "")*24*60, "")</f>
        <v/>
      </c>
      <c r="P8082" s="24" t="str" cm="1">
        <f t="array" ref="P8082">IFERROR(IF($B8082=P$1, ($A8082+$C8082) - MAX(IF($B$2:$B8081=$B8082, $A$2:$A8081+$C$2:$C8081)), "")*24*60, "")</f>
        <v/>
      </c>
      <c r="Q8082" s="24" t="str" cm="1">
        <f t="array" ref="Q8082">IFERROR(IF($B8082=Q$1, ($A8082+$C8082) - MAX(IF($B$2:$B8081=$B8082, $A$2:$A8081+$C$2:$C8081)), "")*24*60, "")</f>
        <v/>
      </c>
      <c r="R8082" s="24" t="str" cm="1">
        <f t="array" ref="R8082">IFERROR(IF($B8082=R$1, ($A8082+$C8082) - MAX(IF($B$2:$B8081=$B8082, $A$2:$A8081+$C$2:$C8081)), "")*24*60, "")</f>
        <v/>
      </c>
      <c r="S8082" s="24" t="str" cm="1">
        <f t="array" ref="S8082">IFERROR(IF($B8082=S$1, ($A8082+$C8082) - MAX(IF($B$2:$B8081=$B8082, $A$2:$A8081+$C$2:$C8081)), "")*24*60, "")</f>
        <v/>
      </c>
    </row>
    <row r="8083" spans="1:19" x14ac:dyDescent="0.2">
      <c r="A8083" s="12">
        <f t="shared" ref="A8083:C8083" si="1576">A8082</f>
        <v>46021</v>
      </c>
      <c r="B8083" s="5" t="str">
        <f t="shared" si="1576"/>
        <v>Northern Cardinal</v>
      </c>
      <c r="C8083" s="6">
        <f t="shared" si="1576"/>
        <v>0.7319444444444444</v>
      </c>
      <c r="D8083" s="5"/>
      <c r="E8083" s="5"/>
      <c r="F8083" s="5" t="s">
        <v>9</v>
      </c>
      <c r="G8083" s="15" t="s">
        <v>8</v>
      </c>
      <c r="H8083" s="24">
        <f t="shared" si="1525"/>
        <v>0</v>
      </c>
      <c r="I8083" s="24" cm="1">
        <f t="array" ref="I8083">IFERROR(IF($B8083=I$1, ($A8083+$C8083) - MAX(IF($B$2:$B8082=$B8083, $A$2:$A8082+$C$2:$C8082)), "")*24*60, "")</f>
        <v>0</v>
      </c>
      <c r="J8083" s="24" t="str" cm="1">
        <f t="array" ref="J8083">IFERROR(IF($B8083=J$1, ($A8083+$C8083) - MAX(IF($B$2:$B8082=$B8083, $A$2:$A8082+$C$2:$C8082)), "")*24*60, "")</f>
        <v/>
      </c>
      <c r="K8083" s="24" t="str" cm="1">
        <f t="array" ref="K8083">IFERROR(IF($B8083=K$1, ($A8083+$C8083) - MAX(IF($B$2:$B8082=$B8083, $A$2:$A8082+$C$2:$C8082)), "")*24*60, "")</f>
        <v/>
      </c>
      <c r="L8083" s="24" t="str" cm="1">
        <f t="array" ref="L8083">IFERROR(IF($B8083=L$1, ($A8083+$C8083) - MAX(IF($B$2:$B8082=$B8083, $A$2:$A8082+$C$2:$C8082)), "")*24*60, "")</f>
        <v/>
      </c>
      <c r="M8083" s="24" t="str" cm="1">
        <f t="array" ref="M8083">IFERROR(IF($B8083=M$1, ($A8083+$C8083) - MAX(IF($B$2:$B8082=$B8083, $A$2:$A8082+$C$2:$C8082)), "")*24*60, "")</f>
        <v/>
      </c>
      <c r="N8083" s="24" t="str" cm="1">
        <f t="array" ref="N8083">IFERROR(IF($B8083=N$1, ($A8083+$C8083) - MAX(IF($B$2:$B8082=$B8083, $A$2:$A8082+$C$2:$C8082)), "")*24*60, "")</f>
        <v/>
      </c>
      <c r="O8083" s="24" t="str" cm="1">
        <f t="array" ref="O8083">IFERROR(IF($B8083=O$1, ($A8083+$C8083) - MAX(IF($B$2:$B8082=$B8083, $A$2:$A8082+$C$2:$C8082)), "")*24*60, "")</f>
        <v/>
      </c>
      <c r="P8083" s="24" t="str" cm="1">
        <f t="array" ref="P8083">IFERROR(IF($B8083=P$1, ($A8083+$C8083) - MAX(IF($B$2:$B8082=$B8083, $A$2:$A8082+$C$2:$C8082)), "")*24*60, "")</f>
        <v/>
      </c>
      <c r="Q8083" s="24" t="str" cm="1">
        <f t="array" ref="Q8083">IFERROR(IF($B8083=Q$1, ($A8083+$C8083) - MAX(IF($B$2:$B8082=$B8083, $A$2:$A8082+$C$2:$C8082)), "")*24*60, "")</f>
        <v/>
      </c>
      <c r="R8083" s="24" t="str" cm="1">
        <f t="array" ref="R8083">IFERROR(IF($B8083=R$1, ($A8083+$C8083) - MAX(IF($B$2:$B8082=$B8083, $A$2:$A8082+$C$2:$C8082)), "")*24*60, "")</f>
        <v/>
      </c>
      <c r="S8083" s="24" t="str" cm="1">
        <f t="array" ref="S8083">IFERROR(IF($B8083=S$1, ($A8083+$C8083) - MAX(IF($B$2:$B8082=$B8083, $A$2:$A8082+$C$2:$C8082)), "")*24*60, "")</f>
        <v/>
      </c>
    </row>
    <row r="8084" spans="1:19" x14ac:dyDescent="0.2">
      <c r="A8084" s="12">
        <f t="shared" ref="A8084:C8084" si="1577">A8083</f>
        <v>46021</v>
      </c>
      <c r="B8084" s="5" t="str">
        <f t="shared" si="1577"/>
        <v>Northern Cardinal</v>
      </c>
      <c r="C8084" s="6">
        <f t="shared" si="1577"/>
        <v>0.7319444444444444</v>
      </c>
      <c r="D8084" s="5"/>
      <c r="E8084" s="5"/>
      <c r="F8084" s="5" t="s">
        <v>9</v>
      </c>
      <c r="G8084" s="15" t="s">
        <v>8</v>
      </c>
      <c r="H8084" s="24">
        <f t="shared" si="1525"/>
        <v>0</v>
      </c>
      <c r="I8084" s="24" cm="1">
        <f t="array" ref="I8084">IFERROR(IF($B8084=I$1, ($A8084+$C8084) - MAX(IF($B$2:$B8083=$B8084, $A$2:$A8083+$C$2:$C8083)), "")*24*60, "")</f>
        <v>0</v>
      </c>
      <c r="J8084" s="24" t="str" cm="1">
        <f t="array" ref="J8084">IFERROR(IF($B8084=J$1, ($A8084+$C8084) - MAX(IF($B$2:$B8083=$B8084, $A$2:$A8083+$C$2:$C8083)), "")*24*60, "")</f>
        <v/>
      </c>
      <c r="K8084" s="24" t="str" cm="1">
        <f t="array" ref="K8084">IFERROR(IF($B8084=K$1, ($A8084+$C8084) - MAX(IF($B$2:$B8083=$B8084, $A$2:$A8083+$C$2:$C8083)), "")*24*60, "")</f>
        <v/>
      </c>
      <c r="L8084" s="24" t="str" cm="1">
        <f t="array" ref="L8084">IFERROR(IF($B8084=L$1, ($A8084+$C8084) - MAX(IF($B$2:$B8083=$B8084, $A$2:$A8083+$C$2:$C8083)), "")*24*60, "")</f>
        <v/>
      </c>
      <c r="M8084" s="24" t="str" cm="1">
        <f t="array" ref="M8084">IFERROR(IF($B8084=M$1, ($A8084+$C8084) - MAX(IF($B$2:$B8083=$B8084, $A$2:$A8083+$C$2:$C8083)), "")*24*60, "")</f>
        <v/>
      </c>
      <c r="N8084" s="24" t="str" cm="1">
        <f t="array" ref="N8084">IFERROR(IF($B8084=N$1, ($A8084+$C8084) - MAX(IF($B$2:$B8083=$B8084, $A$2:$A8083+$C$2:$C8083)), "")*24*60, "")</f>
        <v/>
      </c>
      <c r="O8084" s="24" t="str" cm="1">
        <f t="array" ref="O8084">IFERROR(IF($B8084=O$1, ($A8084+$C8084) - MAX(IF($B$2:$B8083=$B8084, $A$2:$A8083+$C$2:$C8083)), "")*24*60, "")</f>
        <v/>
      </c>
      <c r="P8084" s="24" t="str" cm="1">
        <f t="array" ref="P8084">IFERROR(IF($B8084=P$1, ($A8084+$C8084) - MAX(IF($B$2:$B8083=$B8084, $A$2:$A8083+$C$2:$C8083)), "")*24*60, "")</f>
        <v/>
      </c>
      <c r="Q8084" s="24" t="str" cm="1">
        <f t="array" ref="Q8084">IFERROR(IF($B8084=Q$1, ($A8084+$C8084) - MAX(IF($B$2:$B8083=$B8084, $A$2:$A8083+$C$2:$C8083)), "")*24*60, "")</f>
        <v/>
      </c>
      <c r="R8084" s="24" t="str" cm="1">
        <f t="array" ref="R8084">IFERROR(IF($B8084=R$1, ($A8084+$C8084) - MAX(IF($B$2:$B8083=$B8084, $A$2:$A8083+$C$2:$C8083)), "")*24*60, "")</f>
        <v/>
      </c>
      <c r="S8084" s="24" t="str" cm="1">
        <f t="array" ref="S8084">IFERROR(IF($B8084=S$1, ($A8084+$C8084) - MAX(IF($B$2:$B8083=$B8084, $A$2:$A8083+$C$2:$C8083)), "")*24*60, "")</f>
        <v/>
      </c>
    </row>
    <row r="8085" spans="1:19" x14ac:dyDescent="0.2">
      <c r="A8085" s="12">
        <f t="shared" ref="A8085:C8085" si="1578">A8084</f>
        <v>46021</v>
      </c>
      <c r="B8085" s="5" t="str">
        <f t="shared" si="1578"/>
        <v>Northern Cardinal</v>
      </c>
      <c r="C8085" s="6">
        <f t="shared" si="1578"/>
        <v>0.7319444444444444</v>
      </c>
      <c r="D8085" s="5"/>
      <c r="E8085" s="5"/>
      <c r="F8085" s="5" t="s">
        <v>9</v>
      </c>
      <c r="G8085" s="15" t="s">
        <v>8</v>
      </c>
      <c r="H8085" s="24">
        <f t="shared" si="1525"/>
        <v>0</v>
      </c>
      <c r="I8085" s="24" cm="1">
        <f t="array" ref="I8085">IFERROR(IF($B8085=I$1, ($A8085+$C8085) - MAX(IF($B$2:$B8084=$B8085, $A$2:$A8084+$C$2:$C8084)), "")*24*60, "")</f>
        <v>0</v>
      </c>
      <c r="J8085" s="24" t="str" cm="1">
        <f t="array" ref="J8085">IFERROR(IF($B8085=J$1, ($A8085+$C8085) - MAX(IF($B$2:$B8084=$B8085, $A$2:$A8084+$C$2:$C8084)), "")*24*60, "")</f>
        <v/>
      </c>
      <c r="K8085" s="24" t="str" cm="1">
        <f t="array" ref="K8085">IFERROR(IF($B8085=K$1, ($A8085+$C8085) - MAX(IF($B$2:$B8084=$B8085, $A$2:$A8084+$C$2:$C8084)), "")*24*60, "")</f>
        <v/>
      </c>
      <c r="L8085" s="24" t="str" cm="1">
        <f t="array" ref="L8085">IFERROR(IF($B8085=L$1, ($A8085+$C8085) - MAX(IF($B$2:$B8084=$B8085, $A$2:$A8084+$C$2:$C8084)), "")*24*60, "")</f>
        <v/>
      </c>
      <c r="M8085" s="24" t="str" cm="1">
        <f t="array" ref="M8085">IFERROR(IF($B8085=M$1, ($A8085+$C8085) - MAX(IF($B$2:$B8084=$B8085, $A$2:$A8084+$C$2:$C8084)), "")*24*60, "")</f>
        <v/>
      </c>
      <c r="N8085" s="24" t="str" cm="1">
        <f t="array" ref="N8085">IFERROR(IF($B8085=N$1, ($A8085+$C8085) - MAX(IF($B$2:$B8084=$B8085, $A$2:$A8084+$C$2:$C8084)), "")*24*60, "")</f>
        <v/>
      </c>
      <c r="O8085" s="24" t="str" cm="1">
        <f t="array" ref="O8085">IFERROR(IF($B8085=O$1, ($A8085+$C8085) - MAX(IF($B$2:$B8084=$B8085, $A$2:$A8084+$C$2:$C8084)), "")*24*60, "")</f>
        <v/>
      </c>
      <c r="P8085" s="24" t="str" cm="1">
        <f t="array" ref="P8085">IFERROR(IF($B8085=P$1, ($A8085+$C8085) - MAX(IF($B$2:$B8084=$B8085, $A$2:$A8084+$C$2:$C8084)), "")*24*60, "")</f>
        <v/>
      </c>
      <c r="Q8085" s="24" t="str" cm="1">
        <f t="array" ref="Q8085">IFERROR(IF($B8085=Q$1, ($A8085+$C8085) - MAX(IF($B$2:$B8084=$B8085, $A$2:$A8084+$C$2:$C8084)), "")*24*60, "")</f>
        <v/>
      </c>
      <c r="R8085" s="24" t="str" cm="1">
        <f t="array" ref="R8085">IFERROR(IF($B8085=R$1, ($A8085+$C8085) - MAX(IF($B$2:$B8084=$B8085, $A$2:$A8084+$C$2:$C8084)), "")*24*60, "")</f>
        <v/>
      </c>
      <c r="S8085" s="24" t="str" cm="1">
        <f t="array" ref="S8085">IFERROR(IF($B8085=S$1, ($A8085+$C8085) - MAX(IF($B$2:$B8084=$B8085, $A$2:$A8084+$C$2:$C8084)), "")*24*60, "")</f>
        <v/>
      </c>
    </row>
    <row r="8086" spans="1:19" x14ac:dyDescent="0.2">
      <c r="A8086" s="12">
        <f t="shared" ref="A8086:C8086" si="1579">A8085</f>
        <v>46021</v>
      </c>
      <c r="B8086" s="5" t="str">
        <f t="shared" si="1579"/>
        <v>Northern Cardinal</v>
      </c>
      <c r="C8086" s="6">
        <f t="shared" si="1579"/>
        <v>0.7319444444444444</v>
      </c>
      <c r="D8086" s="5"/>
      <c r="E8086" s="5"/>
      <c r="F8086" s="5" t="s">
        <v>9</v>
      </c>
      <c r="G8086" s="15" t="s">
        <v>8</v>
      </c>
      <c r="H8086" s="24">
        <f t="shared" si="1525"/>
        <v>0</v>
      </c>
      <c r="I8086" s="24" cm="1">
        <f t="array" ref="I8086">IFERROR(IF($B8086=I$1, ($A8086+$C8086) - MAX(IF($B$2:$B8085=$B8086, $A$2:$A8085+$C$2:$C8085)), "")*24*60, "")</f>
        <v>0</v>
      </c>
      <c r="J8086" s="24" t="str" cm="1">
        <f t="array" ref="J8086">IFERROR(IF($B8086=J$1, ($A8086+$C8086) - MAX(IF($B$2:$B8085=$B8086, $A$2:$A8085+$C$2:$C8085)), "")*24*60, "")</f>
        <v/>
      </c>
      <c r="K8086" s="24" t="str" cm="1">
        <f t="array" ref="K8086">IFERROR(IF($B8086=K$1, ($A8086+$C8086) - MAX(IF($B$2:$B8085=$B8086, $A$2:$A8085+$C$2:$C8085)), "")*24*60, "")</f>
        <v/>
      </c>
      <c r="L8086" s="24" t="str" cm="1">
        <f t="array" ref="L8086">IFERROR(IF($B8086=L$1, ($A8086+$C8086) - MAX(IF($B$2:$B8085=$B8086, $A$2:$A8085+$C$2:$C8085)), "")*24*60, "")</f>
        <v/>
      </c>
      <c r="M8086" s="24" t="str" cm="1">
        <f t="array" ref="M8086">IFERROR(IF($B8086=M$1, ($A8086+$C8086) - MAX(IF($B$2:$B8085=$B8086, $A$2:$A8085+$C$2:$C8085)), "")*24*60, "")</f>
        <v/>
      </c>
      <c r="N8086" s="24" t="str" cm="1">
        <f t="array" ref="N8086">IFERROR(IF($B8086=N$1, ($A8086+$C8086) - MAX(IF($B$2:$B8085=$B8086, $A$2:$A8085+$C$2:$C8085)), "")*24*60, "")</f>
        <v/>
      </c>
      <c r="O8086" s="24" t="str" cm="1">
        <f t="array" ref="O8086">IFERROR(IF($B8086=O$1, ($A8086+$C8086) - MAX(IF($B$2:$B8085=$B8086, $A$2:$A8085+$C$2:$C8085)), "")*24*60, "")</f>
        <v/>
      </c>
      <c r="P8086" s="24" t="str" cm="1">
        <f t="array" ref="P8086">IFERROR(IF($B8086=P$1, ($A8086+$C8086) - MAX(IF($B$2:$B8085=$B8086, $A$2:$A8085+$C$2:$C8085)), "")*24*60, "")</f>
        <v/>
      </c>
      <c r="Q8086" s="24" t="str" cm="1">
        <f t="array" ref="Q8086">IFERROR(IF($B8086=Q$1, ($A8086+$C8086) - MAX(IF($B$2:$B8085=$B8086, $A$2:$A8085+$C$2:$C8085)), "")*24*60, "")</f>
        <v/>
      </c>
      <c r="R8086" s="24" t="str" cm="1">
        <f t="array" ref="R8086">IFERROR(IF($B8086=R$1, ($A8086+$C8086) - MAX(IF($B$2:$B8085=$B8086, $A$2:$A8085+$C$2:$C8085)), "")*24*60, "")</f>
        <v/>
      </c>
      <c r="S8086" s="24" t="str" cm="1">
        <f t="array" ref="S8086">IFERROR(IF($B8086=S$1, ($A8086+$C8086) - MAX(IF($B$2:$B8085=$B8086, $A$2:$A8085+$C$2:$C8085)), "")*24*60, "")</f>
        <v/>
      </c>
    </row>
    <row r="8087" spans="1:19" x14ac:dyDescent="0.2">
      <c r="A8087" s="12">
        <f t="shared" ref="A8087:C8087" si="1580">A8086</f>
        <v>46021</v>
      </c>
      <c r="B8087" s="5" t="str">
        <f t="shared" si="1580"/>
        <v>Northern Cardinal</v>
      </c>
      <c r="C8087" s="6">
        <f t="shared" si="1580"/>
        <v>0.7319444444444444</v>
      </c>
      <c r="D8087" s="5"/>
      <c r="E8087" s="5"/>
      <c r="F8087" s="5" t="s">
        <v>9</v>
      </c>
      <c r="G8087" s="15" t="s">
        <v>8</v>
      </c>
      <c r="H8087" s="24">
        <f t="shared" si="1525"/>
        <v>0</v>
      </c>
      <c r="I8087" s="24" cm="1">
        <f t="array" ref="I8087">IFERROR(IF($B8087=I$1, ($A8087+$C8087) - MAX(IF($B$2:$B8086=$B8087, $A$2:$A8086+$C$2:$C8086)), "")*24*60, "")</f>
        <v>0</v>
      </c>
      <c r="J8087" s="24" t="str" cm="1">
        <f t="array" ref="J8087">IFERROR(IF($B8087=J$1, ($A8087+$C8087) - MAX(IF($B$2:$B8086=$B8087, $A$2:$A8086+$C$2:$C8086)), "")*24*60, "")</f>
        <v/>
      </c>
      <c r="K8087" s="24" t="str" cm="1">
        <f t="array" ref="K8087">IFERROR(IF($B8087=K$1, ($A8087+$C8087) - MAX(IF($B$2:$B8086=$B8087, $A$2:$A8086+$C$2:$C8086)), "")*24*60, "")</f>
        <v/>
      </c>
      <c r="L8087" s="24" t="str" cm="1">
        <f t="array" ref="L8087">IFERROR(IF($B8087=L$1, ($A8087+$C8087) - MAX(IF($B$2:$B8086=$B8087, $A$2:$A8086+$C$2:$C8086)), "")*24*60, "")</f>
        <v/>
      </c>
      <c r="M8087" s="24" t="str" cm="1">
        <f t="array" ref="M8087">IFERROR(IF($B8087=M$1, ($A8087+$C8087) - MAX(IF($B$2:$B8086=$B8087, $A$2:$A8086+$C$2:$C8086)), "")*24*60, "")</f>
        <v/>
      </c>
      <c r="N8087" s="24" t="str" cm="1">
        <f t="array" ref="N8087">IFERROR(IF($B8087=N$1, ($A8087+$C8087) - MAX(IF($B$2:$B8086=$B8087, $A$2:$A8086+$C$2:$C8086)), "")*24*60, "")</f>
        <v/>
      </c>
      <c r="O8087" s="24" t="str" cm="1">
        <f t="array" ref="O8087">IFERROR(IF($B8087=O$1, ($A8087+$C8087) - MAX(IF($B$2:$B8086=$B8087, $A$2:$A8086+$C$2:$C8086)), "")*24*60, "")</f>
        <v/>
      </c>
      <c r="P8087" s="24" t="str" cm="1">
        <f t="array" ref="P8087">IFERROR(IF($B8087=P$1, ($A8087+$C8087) - MAX(IF($B$2:$B8086=$B8087, $A$2:$A8086+$C$2:$C8086)), "")*24*60, "")</f>
        <v/>
      </c>
      <c r="Q8087" s="24" t="str" cm="1">
        <f t="array" ref="Q8087">IFERROR(IF($B8087=Q$1, ($A8087+$C8087) - MAX(IF($B$2:$B8086=$B8087, $A$2:$A8086+$C$2:$C8086)), "")*24*60, "")</f>
        <v/>
      </c>
      <c r="R8087" s="24" t="str" cm="1">
        <f t="array" ref="R8087">IFERROR(IF($B8087=R$1, ($A8087+$C8087) - MAX(IF($B$2:$B8086=$B8087, $A$2:$A8086+$C$2:$C8086)), "")*24*60, "")</f>
        <v/>
      </c>
      <c r="S8087" s="24" t="str" cm="1">
        <f t="array" ref="S8087">IFERROR(IF($B8087=S$1, ($A8087+$C8087) - MAX(IF($B$2:$B8086=$B8087, $A$2:$A8086+$C$2:$C8086)), "")*24*60, "")</f>
        <v/>
      </c>
    </row>
    <row r="8088" spans="1:19" x14ac:dyDescent="0.2">
      <c r="A8088" s="12">
        <f t="shared" ref="A8088:C8088" si="1581">A8087</f>
        <v>46021</v>
      </c>
      <c r="B8088" s="5" t="str">
        <f t="shared" si="1581"/>
        <v>Northern Cardinal</v>
      </c>
      <c r="C8088" s="6">
        <f t="shared" si="1581"/>
        <v>0.7319444444444444</v>
      </c>
      <c r="D8088" s="5"/>
      <c r="E8088" s="5"/>
      <c r="F8088" s="5" t="s">
        <v>9</v>
      </c>
      <c r="G8088" s="15" t="s">
        <v>8</v>
      </c>
      <c r="H8088" s="24">
        <f t="shared" si="1525"/>
        <v>0</v>
      </c>
      <c r="I8088" s="24" cm="1">
        <f t="array" ref="I8088">IFERROR(IF($B8088=I$1, ($A8088+$C8088) - MAX(IF($B$2:$B8087=$B8088, $A$2:$A8087+$C$2:$C8087)), "")*24*60, "")</f>
        <v>0</v>
      </c>
      <c r="J8088" s="24" t="str" cm="1">
        <f t="array" ref="J8088">IFERROR(IF($B8088=J$1, ($A8088+$C8088) - MAX(IF($B$2:$B8087=$B8088, $A$2:$A8087+$C$2:$C8087)), "")*24*60, "")</f>
        <v/>
      </c>
      <c r="K8088" s="24" t="str" cm="1">
        <f t="array" ref="K8088">IFERROR(IF($B8088=K$1, ($A8088+$C8088) - MAX(IF($B$2:$B8087=$B8088, $A$2:$A8087+$C$2:$C8087)), "")*24*60, "")</f>
        <v/>
      </c>
      <c r="L8088" s="24" t="str" cm="1">
        <f t="array" ref="L8088">IFERROR(IF($B8088=L$1, ($A8088+$C8088) - MAX(IF($B$2:$B8087=$B8088, $A$2:$A8087+$C$2:$C8087)), "")*24*60, "")</f>
        <v/>
      </c>
      <c r="M8088" s="24" t="str" cm="1">
        <f t="array" ref="M8088">IFERROR(IF($B8088=M$1, ($A8088+$C8088) - MAX(IF($B$2:$B8087=$B8088, $A$2:$A8087+$C$2:$C8087)), "")*24*60, "")</f>
        <v/>
      </c>
      <c r="N8088" s="24" t="str" cm="1">
        <f t="array" ref="N8088">IFERROR(IF($B8088=N$1, ($A8088+$C8088) - MAX(IF($B$2:$B8087=$B8088, $A$2:$A8087+$C$2:$C8087)), "")*24*60, "")</f>
        <v/>
      </c>
      <c r="O8088" s="24" t="str" cm="1">
        <f t="array" ref="O8088">IFERROR(IF($B8088=O$1, ($A8088+$C8088) - MAX(IF($B$2:$B8087=$B8088, $A$2:$A8087+$C$2:$C8087)), "")*24*60, "")</f>
        <v/>
      </c>
      <c r="P8088" s="24" t="str" cm="1">
        <f t="array" ref="P8088">IFERROR(IF($B8088=P$1, ($A8088+$C8088) - MAX(IF($B$2:$B8087=$B8088, $A$2:$A8087+$C$2:$C8087)), "")*24*60, "")</f>
        <v/>
      </c>
      <c r="Q8088" s="24" t="str" cm="1">
        <f t="array" ref="Q8088">IFERROR(IF($B8088=Q$1, ($A8088+$C8088) - MAX(IF($B$2:$B8087=$B8088, $A$2:$A8087+$C$2:$C8087)), "")*24*60, "")</f>
        <v/>
      </c>
      <c r="R8088" s="24" t="str" cm="1">
        <f t="array" ref="R8088">IFERROR(IF($B8088=R$1, ($A8088+$C8088) - MAX(IF($B$2:$B8087=$B8088, $A$2:$A8087+$C$2:$C8087)), "")*24*60, "")</f>
        <v/>
      </c>
      <c r="S8088" s="24" t="str" cm="1">
        <f t="array" ref="S8088">IFERROR(IF($B8088=S$1, ($A8088+$C8088) - MAX(IF($B$2:$B8087=$B8088, $A$2:$A8087+$C$2:$C8087)), "")*24*60, "")</f>
        <v/>
      </c>
    </row>
    <row r="8089" spans="1:19" x14ac:dyDescent="0.2">
      <c r="A8089" s="12">
        <f t="shared" ref="A8089:C8089" si="1582">A8088</f>
        <v>46021</v>
      </c>
      <c r="B8089" s="5" t="str">
        <f t="shared" si="1582"/>
        <v>Northern Cardinal</v>
      </c>
      <c r="C8089" s="6">
        <f t="shared" si="1582"/>
        <v>0.7319444444444444</v>
      </c>
      <c r="D8089" s="5"/>
      <c r="E8089" s="5"/>
      <c r="F8089" s="5" t="s">
        <v>9</v>
      </c>
      <c r="G8089" s="15" t="s">
        <v>8</v>
      </c>
      <c r="H8089" s="24">
        <f t="shared" si="1525"/>
        <v>0</v>
      </c>
      <c r="I8089" s="24" cm="1">
        <f t="array" ref="I8089">IFERROR(IF($B8089=I$1, ($A8089+$C8089) - MAX(IF($B$2:$B8088=$B8089, $A$2:$A8088+$C$2:$C8088)), "")*24*60, "")</f>
        <v>0</v>
      </c>
      <c r="J8089" s="24" t="str" cm="1">
        <f t="array" ref="J8089">IFERROR(IF($B8089=J$1, ($A8089+$C8089) - MAX(IF($B$2:$B8088=$B8089, $A$2:$A8088+$C$2:$C8088)), "")*24*60, "")</f>
        <v/>
      </c>
      <c r="K8089" s="24" t="str" cm="1">
        <f t="array" ref="K8089">IFERROR(IF($B8089=K$1, ($A8089+$C8089) - MAX(IF($B$2:$B8088=$B8089, $A$2:$A8088+$C$2:$C8088)), "")*24*60, "")</f>
        <v/>
      </c>
      <c r="L8089" s="24" t="str" cm="1">
        <f t="array" ref="L8089">IFERROR(IF($B8089=L$1, ($A8089+$C8089) - MAX(IF($B$2:$B8088=$B8089, $A$2:$A8088+$C$2:$C8088)), "")*24*60, "")</f>
        <v/>
      </c>
      <c r="M8089" s="24" t="str" cm="1">
        <f t="array" ref="M8089">IFERROR(IF($B8089=M$1, ($A8089+$C8089) - MAX(IF($B$2:$B8088=$B8089, $A$2:$A8088+$C$2:$C8088)), "")*24*60, "")</f>
        <v/>
      </c>
      <c r="N8089" s="24" t="str" cm="1">
        <f t="array" ref="N8089">IFERROR(IF($B8089=N$1, ($A8089+$C8089) - MAX(IF($B$2:$B8088=$B8089, $A$2:$A8088+$C$2:$C8088)), "")*24*60, "")</f>
        <v/>
      </c>
      <c r="O8089" s="24" t="str" cm="1">
        <f t="array" ref="O8089">IFERROR(IF($B8089=O$1, ($A8089+$C8089) - MAX(IF($B$2:$B8088=$B8089, $A$2:$A8088+$C$2:$C8088)), "")*24*60, "")</f>
        <v/>
      </c>
      <c r="P8089" s="24" t="str" cm="1">
        <f t="array" ref="P8089">IFERROR(IF($B8089=P$1, ($A8089+$C8089) - MAX(IF($B$2:$B8088=$B8089, $A$2:$A8088+$C$2:$C8088)), "")*24*60, "")</f>
        <v/>
      </c>
      <c r="Q8089" s="24" t="str" cm="1">
        <f t="array" ref="Q8089">IFERROR(IF($B8089=Q$1, ($A8089+$C8089) - MAX(IF($B$2:$B8088=$B8089, $A$2:$A8088+$C$2:$C8088)), "")*24*60, "")</f>
        <v/>
      </c>
      <c r="R8089" s="24" t="str" cm="1">
        <f t="array" ref="R8089">IFERROR(IF($B8089=R$1, ($A8089+$C8089) - MAX(IF($B$2:$B8088=$B8089, $A$2:$A8088+$C$2:$C8088)), "")*24*60, "")</f>
        <v/>
      </c>
      <c r="S8089" s="24" t="str" cm="1">
        <f t="array" ref="S8089">IFERROR(IF($B8089=S$1, ($A8089+$C8089) - MAX(IF($B$2:$B8088=$B8089, $A$2:$A8088+$C$2:$C8088)), "")*24*60, "")</f>
        <v/>
      </c>
    </row>
    <row r="8090" spans="1:19" x14ac:dyDescent="0.2">
      <c r="A8090" s="12">
        <f t="shared" ref="A8090:C8090" si="1583">A8089</f>
        <v>46021</v>
      </c>
      <c r="B8090" s="5" t="str">
        <f t="shared" si="1583"/>
        <v>Northern Cardinal</v>
      </c>
      <c r="C8090" s="6">
        <f t="shared" si="1583"/>
        <v>0.7319444444444444</v>
      </c>
      <c r="D8090" s="5"/>
      <c r="E8090" s="5"/>
      <c r="F8090" s="5" t="s">
        <v>9</v>
      </c>
      <c r="G8090" s="15" t="s">
        <v>8</v>
      </c>
      <c r="H8090" s="24">
        <f t="shared" si="1525"/>
        <v>0</v>
      </c>
      <c r="I8090" s="24" cm="1">
        <f t="array" ref="I8090">IFERROR(IF($B8090=I$1, ($A8090+$C8090) - MAX(IF($B$2:$B8089=$B8090, $A$2:$A8089+$C$2:$C8089)), "")*24*60, "")</f>
        <v>0</v>
      </c>
      <c r="J8090" s="24" t="str" cm="1">
        <f t="array" ref="J8090">IFERROR(IF($B8090=J$1, ($A8090+$C8090) - MAX(IF($B$2:$B8089=$B8090, $A$2:$A8089+$C$2:$C8089)), "")*24*60, "")</f>
        <v/>
      </c>
      <c r="K8090" s="24" t="str" cm="1">
        <f t="array" ref="K8090">IFERROR(IF($B8090=K$1, ($A8090+$C8090) - MAX(IF($B$2:$B8089=$B8090, $A$2:$A8089+$C$2:$C8089)), "")*24*60, "")</f>
        <v/>
      </c>
      <c r="L8090" s="24" t="str" cm="1">
        <f t="array" ref="L8090">IFERROR(IF($B8090=L$1, ($A8090+$C8090) - MAX(IF($B$2:$B8089=$B8090, $A$2:$A8089+$C$2:$C8089)), "")*24*60, "")</f>
        <v/>
      </c>
      <c r="M8090" s="24" t="str" cm="1">
        <f t="array" ref="M8090">IFERROR(IF($B8090=M$1, ($A8090+$C8090) - MAX(IF($B$2:$B8089=$B8090, $A$2:$A8089+$C$2:$C8089)), "")*24*60, "")</f>
        <v/>
      </c>
      <c r="N8090" s="24" t="str" cm="1">
        <f t="array" ref="N8090">IFERROR(IF($B8090=N$1, ($A8090+$C8090) - MAX(IF($B$2:$B8089=$B8090, $A$2:$A8089+$C$2:$C8089)), "")*24*60, "")</f>
        <v/>
      </c>
      <c r="O8090" s="24" t="str" cm="1">
        <f t="array" ref="O8090">IFERROR(IF($B8090=O$1, ($A8090+$C8090) - MAX(IF($B$2:$B8089=$B8090, $A$2:$A8089+$C$2:$C8089)), "")*24*60, "")</f>
        <v/>
      </c>
      <c r="P8090" s="24" t="str" cm="1">
        <f t="array" ref="P8090">IFERROR(IF($B8090=P$1, ($A8090+$C8090) - MAX(IF($B$2:$B8089=$B8090, $A$2:$A8089+$C$2:$C8089)), "")*24*60, "")</f>
        <v/>
      </c>
      <c r="Q8090" s="24" t="str" cm="1">
        <f t="array" ref="Q8090">IFERROR(IF($B8090=Q$1, ($A8090+$C8090) - MAX(IF($B$2:$B8089=$B8090, $A$2:$A8089+$C$2:$C8089)), "")*24*60, "")</f>
        <v/>
      </c>
      <c r="R8090" s="24" t="str" cm="1">
        <f t="array" ref="R8090">IFERROR(IF($B8090=R$1, ($A8090+$C8090) - MAX(IF($B$2:$B8089=$B8090, $A$2:$A8089+$C$2:$C8089)), "")*24*60, "")</f>
        <v/>
      </c>
      <c r="S8090" s="24" t="str" cm="1">
        <f t="array" ref="S8090">IFERROR(IF($B8090=S$1, ($A8090+$C8090) - MAX(IF($B$2:$B8089=$B8090, $A$2:$A8089+$C$2:$C8089)), "")*24*60, "")</f>
        <v/>
      </c>
    </row>
    <row r="8091" spans="1:19" x14ac:dyDescent="0.2">
      <c r="A8091" s="12">
        <f t="shared" ref="A8091:C8091" si="1584">A8090</f>
        <v>46021</v>
      </c>
      <c r="B8091" s="5" t="str">
        <f t="shared" si="1584"/>
        <v>Northern Cardinal</v>
      </c>
      <c r="C8091" s="6">
        <f t="shared" si="1584"/>
        <v>0.7319444444444444</v>
      </c>
      <c r="D8091" s="5"/>
      <c r="E8091" s="5"/>
      <c r="F8091" s="5" t="s">
        <v>9</v>
      </c>
      <c r="G8091" s="15" t="s">
        <v>8</v>
      </c>
      <c r="H8091" s="24">
        <f t="shared" si="1525"/>
        <v>0</v>
      </c>
      <c r="I8091" s="24" cm="1">
        <f t="array" ref="I8091">IFERROR(IF($B8091=I$1, ($A8091+$C8091) - MAX(IF($B$2:$B8090=$B8091, $A$2:$A8090+$C$2:$C8090)), "")*24*60, "")</f>
        <v>0</v>
      </c>
      <c r="J8091" s="24" t="str" cm="1">
        <f t="array" ref="J8091">IFERROR(IF($B8091=J$1, ($A8091+$C8091) - MAX(IF($B$2:$B8090=$B8091, $A$2:$A8090+$C$2:$C8090)), "")*24*60, "")</f>
        <v/>
      </c>
      <c r="K8091" s="24" t="str" cm="1">
        <f t="array" ref="K8091">IFERROR(IF($B8091=K$1, ($A8091+$C8091) - MAX(IF($B$2:$B8090=$B8091, $A$2:$A8090+$C$2:$C8090)), "")*24*60, "")</f>
        <v/>
      </c>
      <c r="L8091" s="24" t="str" cm="1">
        <f t="array" ref="L8091">IFERROR(IF($B8091=L$1, ($A8091+$C8091) - MAX(IF($B$2:$B8090=$B8091, $A$2:$A8090+$C$2:$C8090)), "")*24*60, "")</f>
        <v/>
      </c>
      <c r="M8091" s="24" t="str" cm="1">
        <f t="array" ref="M8091">IFERROR(IF($B8091=M$1, ($A8091+$C8091) - MAX(IF($B$2:$B8090=$B8091, $A$2:$A8090+$C$2:$C8090)), "")*24*60, "")</f>
        <v/>
      </c>
      <c r="N8091" s="24" t="str" cm="1">
        <f t="array" ref="N8091">IFERROR(IF($B8091=N$1, ($A8091+$C8091) - MAX(IF($B$2:$B8090=$B8091, $A$2:$A8090+$C$2:$C8090)), "")*24*60, "")</f>
        <v/>
      </c>
      <c r="O8091" s="24" t="str" cm="1">
        <f t="array" ref="O8091">IFERROR(IF($B8091=O$1, ($A8091+$C8091) - MAX(IF($B$2:$B8090=$B8091, $A$2:$A8090+$C$2:$C8090)), "")*24*60, "")</f>
        <v/>
      </c>
      <c r="P8091" s="24" t="str" cm="1">
        <f t="array" ref="P8091">IFERROR(IF($B8091=P$1, ($A8091+$C8091) - MAX(IF($B$2:$B8090=$B8091, $A$2:$A8090+$C$2:$C8090)), "")*24*60, "")</f>
        <v/>
      </c>
      <c r="Q8091" s="24" t="str" cm="1">
        <f t="array" ref="Q8091">IFERROR(IF($B8091=Q$1, ($A8091+$C8091) - MAX(IF($B$2:$B8090=$B8091, $A$2:$A8090+$C$2:$C8090)), "")*24*60, "")</f>
        <v/>
      </c>
      <c r="R8091" s="24" t="str" cm="1">
        <f t="array" ref="R8091">IFERROR(IF($B8091=R$1, ($A8091+$C8091) - MAX(IF($B$2:$B8090=$B8091, $A$2:$A8090+$C$2:$C8090)), "")*24*60, "")</f>
        <v/>
      </c>
      <c r="S8091" s="24" t="str" cm="1">
        <f t="array" ref="S8091">IFERROR(IF($B8091=S$1, ($A8091+$C8091) - MAX(IF($B$2:$B8090=$B8091, $A$2:$A8090+$C$2:$C8090)), "")*24*60, "")</f>
        <v/>
      </c>
    </row>
    <row r="8092" spans="1:19" x14ac:dyDescent="0.2">
      <c r="A8092" s="12">
        <f t="shared" ref="A8092:C8092" si="1585">A8091</f>
        <v>46021</v>
      </c>
      <c r="B8092" s="5" t="str">
        <f t="shared" si="1585"/>
        <v>Northern Cardinal</v>
      </c>
      <c r="C8092" s="6">
        <f t="shared" si="1585"/>
        <v>0.7319444444444444</v>
      </c>
      <c r="D8092" s="5"/>
      <c r="E8092" s="5"/>
      <c r="F8092" s="5" t="s">
        <v>9</v>
      </c>
      <c r="G8092" s="15" t="s">
        <v>8</v>
      </c>
      <c r="H8092" s="24">
        <f t="shared" si="1525"/>
        <v>0</v>
      </c>
      <c r="I8092" s="24" cm="1">
        <f t="array" ref="I8092">IFERROR(IF($B8092=I$1, ($A8092+$C8092) - MAX(IF($B$2:$B8091=$B8092, $A$2:$A8091+$C$2:$C8091)), "")*24*60, "")</f>
        <v>0</v>
      </c>
      <c r="J8092" s="24" t="str" cm="1">
        <f t="array" ref="J8092">IFERROR(IF($B8092=J$1, ($A8092+$C8092) - MAX(IF($B$2:$B8091=$B8092, $A$2:$A8091+$C$2:$C8091)), "")*24*60, "")</f>
        <v/>
      </c>
      <c r="K8092" s="24" t="str" cm="1">
        <f t="array" ref="K8092">IFERROR(IF($B8092=K$1, ($A8092+$C8092) - MAX(IF($B$2:$B8091=$B8092, $A$2:$A8091+$C$2:$C8091)), "")*24*60, "")</f>
        <v/>
      </c>
      <c r="L8092" s="24" t="str" cm="1">
        <f t="array" ref="L8092">IFERROR(IF($B8092=L$1, ($A8092+$C8092) - MAX(IF($B$2:$B8091=$B8092, $A$2:$A8091+$C$2:$C8091)), "")*24*60, "")</f>
        <v/>
      </c>
      <c r="M8092" s="24" t="str" cm="1">
        <f t="array" ref="M8092">IFERROR(IF($B8092=M$1, ($A8092+$C8092) - MAX(IF($B$2:$B8091=$B8092, $A$2:$A8091+$C$2:$C8091)), "")*24*60, "")</f>
        <v/>
      </c>
      <c r="N8092" s="24" t="str" cm="1">
        <f t="array" ref="N8092">IFERROR(IF($B8092=N$1, ($A8092+$C8092) - MAX(IF($B$2:$B8091=$B8092, $A$2:$A8091+$C$2:$C8091)), "")*24*60, "")</f>
        <v/>
      </c>
      <c r="O8092" s="24" t="str" cm="1">
        <f t="array" ref="O8092">IFERROR(IF($B8092=O$1, ($A8092+$C8092) - MAX(IF($B$2:$B8091=$B8092, $A$2:$A8091+$C$2:$C8091)), "")*24*60, "")</f>
        <v/>
      </c>
      <c r="P8092" s="24" t="str" cm="1">
        <f t="array" ref="P8092">IFERROR(IF($B8092=P$1, ($A8092+$C8092) - MAX(IF($B$2:$B8091=$B8092, $A$2:$A8091+$C$2:$C8091)), "")*24*60, "")</f>
        <v/>
      </c>
      <c r="Q8092" s="24" t="str" cm="1">
        <f t="array" ref="Q8092">IFERROR(IF($B8092=Q$1, ($A8092+$C8092) - MAX(IF($B$2:$B8091=$B8092, $A$2:$A8091+$C$2:$C8091)), "")*24*60, "")</f>
        <v/>
      </c>
      <c r="R8092" s="24" t="str" cm="1">
        <f t="array" ref="R8092">IFERROR(IF($B8092=R$1, ($A8092+$C8092) - MAX(IF($B$2:$B8091=$B8092, $A$2:$A8091+$C$2:$C8091)), "")*24*60, "")</f>
        <v/>
      </c>
      <c r="S8092" s="24" t="str" cm="1">
        <f t="array" ref="S8092">IFERROR(IF($B8092=S$1, ($A8092+$C8092) - MAX(IF($B$2:$B8091=$B8092, $A$2:$A8091+$C$2:$C8091)), "")*24*60, "")</f>
        <v/>
      </c>
    </row>
    <row r="8093" spans="1:19" x14ac:dyDescent="0.2">
      <c r="A8093" s="12">
        <f t="shared" ref="A8093:C8093" si="1586">A8092</f>
        <v>46021</v>
      </c>
      <c r="B8093" s="5" t="str">
        <f t="shared" si="1586"/>
        <v>Northern Cardinal</v>
      </c>
      <c r="C8093" s="6">
        <f t="shared" si="1586"/>
        <v>0.7319444444444444</v>
      </c>
      <c r="D8093" s="5"/>
      <c r="E8093" s="5"/>
      <c r="F8093" s="5" t="s">
        <v>9</v>
      </c>
      <c r="G8093" s="15" t="s">
        <v>8</v>
      </c>
      <c r="H8093" s="24">
        <f t="shared" si="1525"/>
        <v>0</v>
      </c>
      <c r="I8093" s="24" cm="1">
        <f t="array" ref="I8093">IFERROR(IF($B8093=I$1, ($A8093+$C8093) - MAX(IF($B$2:$B8092=$B8093, $A$2:$A8092+$C$2:$C8092)), "")*24*60, "")</f>
        <v>0</v>
      </c>
      <c r="J8093" s="24" t="str" cm="1">
        <f t="array" ref="J8093">IFERROR(IF($B8093=J$1, ($A8093+$C8093) - MAX(IF($B$2:$B8092=$B8093, $A$2:$A8092+$C$2:$C8092)), "")*24*60, "")</f>
        <v/>
      </c>
      <c r="K8093" s="24" t="str" cm="1">
        <f t="array" ref="K8093">IFERROR(IF($B8093=K$1, ($A8093+$C8093) - MAX(IF($B$2:$B8092=$B8093, $A$2:$A8092+$C$2:$C8092)), "")*24*60, "")</f>
        <v/>
      </c>
      <c r="L8093" s="24" t="str" cm="1">
        <f t="array" ref="L8093">IFERROR(IF($B8093=L$1, ($A8093+$C8093) - MAX(IF($B$2:$B8092=$B8093, $A$2:$A8092+$C$2:$C8092)), "")*24*60, "")</f>
        <v/>
      </c>
      <c r="M8093" s="24" t="str" cm="1">
        <f t="array" ref="M8093">IFERROR(IF($B8093=M$1, ($A8093+$C8093) - MAX(IF($B$2:$B8092=$B8093, $A$2:$A8092+$C$2:$C8092)), "")*24*60, "")</f>
        <v/>
      </c>
      <c r="N8093" s="24" t="str" cm="1">
        <f t="array" ref="N8093">IFERROR(IF($B8093=N$1, ($A8093+$C8093) - MAX(IF($B$2:$B8092=$B8093, $A$2:$A8092+$C$2:$C8092)), "")*24*60, "")</f>
        <v/>
      </c>
      <c r="O8093" s="24" t="str" cm="1">
        <f t="array" ref="O8093">IFERROR(IF($B8093=O$1, ($A8093+$C8093) - MAX(IF($B$2:$B8092=$B8093, $A$2:$A8092+$C$2:$C8092)), "")*24*60, "")</f>
        <v/>
      </c>
      <c r="P8093" s="24" t="str" cm="1">
        <f t="array" ref="P8093">IFERROR(IF($B8093=P$1, ($A8093+$C8093) - MAX(IF($B$2:$B8092=$B8093, $A$2:$A8092+$C$2:$C8092)), "")*24*60, "")</f>
        <v/>
      </c>
      <c r="Q8093" s="24" t="str" cm="1">
        <f t="array" ref="Q8093">IFERROR(IF($B8093=Q$1, ($A8093+$C8093) - MAX(IF($B$2:$B8092=$B8093, $A$2:$A8092+$C$2:$C8092)), "")*24*60, "")</f>
        <v/>
      </c>
      <c r="R8093" s="24" t="str" cm="1">
        <f t="array" ref="R8093">IFERROR(IF($B8093=R$1, ($A8093+$C8093) - MAX(IF($B$2:$B8092=$B8093, $A$2:$A8092+$C$2:$C8092)), "")*24*60, "")</f>
        <v/>
      </c>
      <c r="S8093" s="24" t="str" cm="1">
        <f t="array" ref="S8093">IFERROR(IF($B8093=S$1, ($A8093+$C8093) - MAX(IF($B$2:$B8092=$B8093, $A$2:$A8092+$C$2:$C8092)), "")*24*60, "")</f>
        <v/>
      </c>
    </row>
    <row r="8094" spans="1:19" x14ac:dyDescent="0.2">
      <c r="A8094" s="12">
        <f t="shared" ref="A8094:C8094" si="1587">A8093</f>
        <v>46021</v>
      </c>
      <c r="B8094" s="5" t="str">
        <f t="shared" si="1587"/>
        <v>Northern Cardinal</v>
      </c>
      <c r="C8094" s="6">
        <f t="shared" si="1587"/>
        <v>0.7319444444444444</v>
      </c>
      <c r="D8094" s="5"/>
      <c r="E8094" s="5"/>
      <c r="F8094" s="5" t="s">
        <v>9</v>
      </c>
      <c r="G8094" s="15" t="s">
        <v>8</v>
      </c>
      <c r="H8094" s="24">
        <f t="shared" si="1525"/>
        <v>0</v>
      </c>
      <c r="I8094" s="24" cm="1">
        <f t="array" ref="I8094">IFERROR(IF($B8094=I$1, ($A8094+$C8094) - MAX(IF($B$2:$B8093=$B8094, $A$2:$A8093+$C$2:$C8093)), "")*24*60, "")</f>
        <v>0</v>
      </c>
      <c r="J8094" s="24" t="str" cm="1">
        <f t="array" ref="J8094">IFERROR(IF($B8094=J$1, ($A8094+$C8094) - MAX(IF($B$2:$B8093=$B8094, $A$2:$A8093+$C$2:$C8093)), "")*24*60, "")</f>
        <v/>
      </c>
      <c r="K8094" s="24" t="str" cm="1">
        <f t="array" ref="K8094">IFERROR(IF($B8094=K$1, ($A8094+$C8094) - MAX(IF($B$2:$B8093=$B8094, $A$2:$A8093+$C$2:$C8093)), "")*24*60, "")</f>
        <v/>
      </c>
      <c r="L8094" s="24" t="str" cm="1">
        <f t="array" ref="L8094">IFERROR(IF($B8094=L$1, ($A8094+$C8094) - MAX(IF($B$2:$B8093=$B8094, $A$2:$A8093+$C$2:$C8093)), "")*24*60, "")</f>
        <v/>
      </c>
      <c r="M8094" s="24" t="str" cm="1">
        <f t="array" ref="M8094">IFERROR(IF($B8094=M$1, ($A8094+$C8094) - MAX(IF($B$2:$B8093=$B8094, $A$2:$A8093+$C$2:$C8093)), "")*24*60, "")</f>
        <v/>
      </c>
      <c r="N8094" s="24" t="str" cm="1">
        <f t="array" ref="N8094">IFERROR(IF($B8094=N$1, ($A8094+$C8094) - MAX(IF($B$2:$B8093=$B8094, $A$2:$A8093+$C$2:$C8093)), "")*24*60, "")</f>
        <v/>
      </c>
      <c r="O8094" s="24" t="str" cm="1">
        <f t="array" ref="O8094">IFERROR(IF($B8094=O$1, ($A8094+$C8094) - MAX(IF($B$2:$B8093=$B8094, $A$2:$A8093+$C$2:$C8093)), "")*24*60, "")</f>
        <v/>
      </c>
      <c r="P8094" s="24" t="str" cm="1">
        <f t="array" ref="P8094">IFERROR(IF($B8094=P$1, ($A8094+$C8094) - MAX(IF($B$2:$B8093=$B8094, $A$2:$A8093+$C$2:$C8093)), "")*24*60, "")</f>
        <v/>
      </c>
      <c r="Q8094" s="24" t="str" cm="1">
        <f t="array" ref="Q8094">IFERROR(IF($B8094=Q$1, ($A8094+$C8094) - MAX(IF($B$2:$B8093=$B8094, $A$2:$A8093+$C$2:$C8093)), "")*24*60, "")</f>
        <v/>
      </c>
      <c r="R8094" s="24" t="str" cm="1">
        <f t="array" ref="R8094">IFERROR(IF($B8094=R$1, ($A8094+$C8094) - MAX(IF($B$2:$B8093=$B8094, $A$2:$A8093+$C$2:$C8093)), "")*24*60, "")</f>
        <v/>
      </c>
      <c r="S8094" s="24" t="str" cm="1">
        <f t="array" ref="S8094">IFERROR(IF($B8094=S$1, ($A8094+$C8094) - MAX(IF($B$2:$B8093=$B8094, $A$2:$A8093+$C$2:$C8093)), "")*24*60, "")</f>
        <v/>
      </c>
    </row>
    <row r="8095" spans="1:19" x14ac:dyDescent="0.2">
      <c r="A8095" s="12">
        <f t="shared" ref="A8095:C8095" si="1588">A8094</f>
        <v>46021</v>
      </c>
      <c r="B8095" s="5" t="str">
        <f t="shared" si="1588"/>
        <v>Northern Cardinal</v>
      </c>
      <c r="C8095" s="6">
        <f t="shared" si="1588"/>
        <v>0.7319444444444444</v>
      </c>
      <c r="D8095" s="5"/>
      <c r="E8095" s="5"/>
      <c r="F8095" s="5" t="s">
        <v>9</v>
      </c>
      <c r="G8095" s="15" t="s">
        <v>8</v>
      </c>
      <c r="H8095" s="24">
        <f t="shared" si="1525"/>
        <v>0</v>
      </c>
      <c r="I8095" s="24" cm="1">
        <f t="array" ref="I8095">IFERROR(IF($B8095=I$1, ($A8095+$C8095) - MAX(IF($B$2:$B8094=$B8095, $A$2:$A8094+$C$2:$C8094)), "")*24*60, "")</f>
        <v>0</v>
      </c>
      <c r="J8095" s="24" t="str" cm="1">
        <f t="array" ref="J8095">IFERROR(IF($B8095=J$1, ($A8095+$C8095) - MAX(IF($B$2:$B8094=$B8095, $A$2:$A8094+$C$2:$C8094)), "")*24*60, "")</f>
        <v/>
      </c>
      <c r="K8095" s="24" t="str" cm="1">
        <f t="array" ref="K8095">IFERROR(IF($B8095=K$1, ($A8095+$C8095) - MAX(IF($B$2:$B8094=$B8095, $A$2:$A8094+$C$2:$C8094)), "")*24*60, "")</f>
        <v/>
      </c>
      <c r="L8095" s="24" t="str" cm="1">
        <f t="array" ref="L8095">IFERROR(IF($B8095=L$1, ($A8095+$C8095) - MAX(IF($B$2:$B8094=$B8095, $A$2:$A8094+$C$2:$C8094)), "")*24*60, "")</f>
        <v/>
      </c>
      <c r="M8095" s="24" t="str" cm="1">
        <f t="array" ref="M8095">IFERROR(IF($B8095=M$1, ($A8095+$C8095) - MAX(IF($B$2:$B8094=$B8095, $A$2:$A8094+$C$2:$C8094)), "")*24*60, "")</f>
        <v/>
      </c>
      <c r="N8095" s="24" t="str" cm="1">
        <f t="array" ref="N8095">IFERROR(IF($B8095=N$1, ($A8095+$C8095) - MAX(IF($B$2:$B8094=$B8095, $A$2:$A8094+$C$2:$C8094)), "")*24*60, "")</f>
        <v/>
      </c>
      <c r="O8095" s="24" t="str" cm="1">
        <f t="array" ref="O8095">IFERROR(IF($B8095=O$1, ($A8095+$C8095) - MAX(IF($B$2:$B8094=$B8095, $A$2:$A8094+$C$2:$C8094)), "")*24*60, "")</f>
        <v/>
      </c>
      <c r="P8095" s="24" t="str" cm="1">
        <f t="array" ref="P8095">IFERROR(IF($B8095=P$1, ($A8095+$C8095) - MAX(IF($B$2:$B8094=$B8095, $A$2:$A8094+$C$2:$C8094)), "")*24*60, "")</f>
        <v/>
      </c>
      <c r="Q8095" s="24" t="str" cm="1">
        <f t="array" ref="Q8095">IFERROR(IF($B8095=Q$1, ($A8095+$C8095) - MAX(IF($B$2:$B8094=$B8095, $A$2:$A8094+$C$2:$C8094)), "")*24*60, "")</f>
        <v/>
      </c>
      <c r="R8095" s="24" t="str" cm="1">
        <f t="array" ref="R8095">IFERROR(IF($B8095=R$1, ($A8095+$C8095) - MAX(IF($B$2:$B8094=$B8095, $A$2:$A8094+$C$2:$C8094)), "")*24*60, "")</f>
        <v/>
      </c>
      <c r="S8095" s="24" t="str" cm="1">
        <f t="array" ref="S8095">IFERROR(IF($B8095=S$1, ($A8095+$C8095) - MAX(IF($B$2:$B8094=$B8095, $A$2:$A8094+$C$2:$C8094)), "")*24*60, "")</f>
        <v/>
      </c>
    </row>
    <row r="8096" spans="1:19" x14ac:dyDescent="0.2">
      <c r="A8096" s="12">
        <f t="shared" ref="A8096:C8096" si="1589">A8095</f>
        <v>46021</v>
      </c>
      <c r="B8096" s="5" t="str">
        <f t="shared" si="1589"/>
        <v>Northern Cardinal</v>
      </c>
      <c r="C8096" s="6">
        <f t="shared" si="1589"/>
        <v>0.7319444444444444</v>
      </c>
      <c r="D8096" s="5"/>
      <c r="E8096" s="5"/>
      <c r="F8096" s="5" t="s">
        <v>9</v>
      </c>
      <c r="G8096" s="15" t="s">
        <v>8</v>
      </c>
      <c r="H8096" s="24">
        <f t="shared" ref="H8096:H8159" si="1590">IFERROR((($A8096+$C8096) - ($A8095+$C8095))*24*60, "")</f>
        <v>0</v>
      </c>
      <c r="I8096" s="24" cm="1">
        <f t="array" ref="I8096">IFERROR(IF($B8096=I$1, ($A8096+$C8096) - MAX(IF($B$2:$B8095=$B8096, $A$2:$A8095+$C$2:$C8095)), "")*24*60, "")</f>
        <v>0</v>
      </c>
      <c r="J8096" s="24" t="str" cm="1">
        <f t="array" ref="J8096">IFERROR(IF($B8096=J$1, ($A8096+$C8096) - MAX(IF($B$2:$B8095=$B8096, $A$2:$A8095+$C$2:$C8095)), "")*24*60, "")</f>
        <v/>
      </c>
      <c r="K8096" s="24" t="str" cm="1">
        <f t="array" ref="K8096">IFERROR(IF($B8096=K$1, ($A8096+$C8096) - MAX(IF($B$2:$B8095=$B8096, $A$2:$A8095+$C$2:$C8095)), "")*24*60, "")</f>
        <v/>
      </c>
      <c r="L8096" s="24" t="str" cm="1">
        <f t="array" ref="L8096">IFERROR(IF($B8096=L$1, ($A8096+$C8096) - MAX(IF($B$2:$B8095=$B8096, $A$2:$A8095+$C$2:$C8095)), "")*24*60, "")</f>
        <v/>
      </c>
      <c r="M8096" s="24" t="str" cm="1">
        <f t="array" ref="M8096">IFERROR(IF($B8096=M$1, ($A8096+$C8096) - MAX(IF($B$2:$B8095=$B8096, $A$2:$A8095+$C$2:$C8095)), "")*24*60, "")</f>
        <v/>
      </c>
      <c r="N8096" s="24" t="str" cm="1">
        <f t="array" ref="N8096">IFERROR(IF($B8096=N$1, ($A8096+$C8096) - MAX(IF($B$2:$B8095=$B8096, $A$2:$A8095+$C$2:$C8095)), "")*24*60, "")</f>
        <v/>
      </c>
      <c r="O8096" s="24" t="str" cm="1">
        <f t="array" ref="O8096">IFERROR(IF($B8096=O$1, ($A8096+$C8096) - MAX(IF($B$2:$B8095=$B8096, $A$2:$A8095+$C$2:$C8095)), "")*24*60, "")</f>
        <v/>
      </c>
      <c r="P8096" s="24" t="str" cm="1">
        <f t="array" ref="P8096">IFERROR(IF($B8096=P$1, ($A8096+$C8096) - MAX(IF($B$2:$B8095=$B8096, $A$2:$A8095+$C$2:$C8095)), "")*24*60, "")</f>
        <v/>
      </c>
      <c r="Q8096" s="24" t="str" cm="1">
        <f t="array" ref="Q8096">IFERROR(IF($B8096=Q$1, ($A8096+$C8096) - MAX(IF($B$2:$B8095=$B8096, $A$2:$A8095+$C$2:$C8095)), "")*24*60, "")</f>
        <v/>
      </c>
      <c r="R8096" s="24" t="str" cm="1">
        <f t="array" ref="R8096">IFERROR(IF($B8096=R$1, ($A8096+$C8096) - MAX(IF($B$2:$B8095=$B8096, $A$2:$A8095+$C$2:$C8095)), "")*24*60, "")</f>
        <v/>
      </c>
      <c r="S8096" s="24" t="str" cm="1">
        <f t="array" ref="S8096">IFERROR(IF($B8096=S$1, ($A8096+$C8096) - MAX(IF($B$2:$B8095=$B8096, $A$2:$A8095+$C$2:$C8095)), "")*24*60, "")</f>
        <v/>
      </c>
    </row>
    <row r="8097" spans="1:19" x14ac:dyDescent="0.2">
      <c r="A8097" s="12">
        <f t="shared" ref="A8097:C8097" si="1591">A8096</f>
        <v>46021</v>
      </c>
      <c r="B8097" s="5" t="str">
        <f t="shared" si="1591"/>
        <v>Northern Cardinal</v>
      </c>
      <c r="C8097" s="6">
        <f t="shared" si="1591"/>
        <v>0.7319444444444444</v>
      </c>
      <c r="D8097" s="5"/>
      <c r="E8097" s="5"/>
      <c r="F8097" s="5" t="s">
        <v>9</v>
      </c>
      <c r="G8097" s="15" t="s">
        <v>8</v>
      </c>
      <c r="H8097" s="24">
        <f t="shared" si="1590"/>
        <v>0</v>
      </c>
      <c r="I8097" s="24" cm="1">
        <f t="array" ref="I8097">IFERROR(IF($B8097=I$1, ($A8097+$C8097) - MAX(IF($B$2:$B8096=$B8097, $A$2:$A8096+$C$2:$C8096)), "")*24*60, "")</f>
        <v>0</v>
      </c>
      <c r="J8097" s="24" t="str" cm="1">
        <f t="array" ref="J8097">IFERROR(IF($B8097=J$1, ($A8097+$C8097) - MAX(IF($B$2:$B8096=$B8097, $A$2:$A8096+$C$2:$C8096)), "")*24*60, "")</f>
        <v/>
      </c>
      <c r="K8097" s="24" t="str" cm="1">
        <f t="array" ref="K8097">IFERROR(IF($B8097=K$1, ($A8097+$C8097) - MAX(IF($B$2:$B8096=$B8097, $A$2:$A8096+$C$2:$C8096)), "")*24*60, "")</f>
        <v/>
      </c>
      <c r="L8097" s="24" t="str" cm="1">
        <f t="array" ref="L8097">IFERROR(IF($B8097=L$1, ($A8097+$C8097) - MAX(IF($B$2:$B8096=$B8097, $A$2:$A8096+$C$2:$C8096)), "")*24*60, "")</f>
        <v/>
      </c>
      <c r="M8097" s="24" t="str" cm="1">
        <f t="array" ref="M8097">IFERROR(IF($B8097=M$1, ($A8097+$C8097) - MAX(IF($B$2:$B8096=$B8097, $A$2:$A8096+$C$2:$C8096)), "")*24*60, "")</f>
        <v/>
      </c>
      <c r="N8097" s="24" t="str" cm="1">
        <f t="array" ref="N8097">IFERROR(IF($B8097=N$1, ($A8097+$C8097) - MAX(IF($B$2:$B8096=$B8097, $A$2:$A8096+$C$2:$C8096)), "")*24*60, "")</f>
        <v/>
      </c>
      <c r="O8097" s="24" t="str" cm="1">
        <f t="array" ref="O8097">IFERROR(IF($B8097=O$1, ($A8097+$C8097) - MAX(IF($B$2:$B8096=$B8097, $A$2:$A8096+$C$2:$C8096)), "")*24*60, "")</f>
        <v/>
      </c>
      <c r="P8097" s="24" t="str" cm="1">
        <f t="array" ref="P8097">IFERROR(IF($B8097=P$1, ($A8097+$C8097) - MAX(IF($B$2:$B8096=$B8097, $A$2:$A8096+$C$2:$C8096)), "")*24*60, "")</f>
        <v/>
      </c>
      <c r="Q8097" s="24" t="str" cm="1">
        <f t="array" ref="Q8097">IFERROR(IF($B8097=Q$1, ($A8097+$C8097) - MAX(IF($B$2:$B8096=$B8097, $A$2:$A8096+$C$2:$C8096)), "")*24*60, "")</f>
        <v/>
      </c>
      <c r="R8097" s="24" t="str" cm="1">
        <f t="array" ref="R8097">IFERROR(IF($B8097=R$1, ($A8097+$C8097) - MAX(IF($B$2:$B8096=$B8097, $A$2:$A8096+$C$2:$C8096)), "")*24*60, "")</f>
        <v/>
      </c>
      <c r="S8097" s="24" t="str" cm="1">
        <f t="array" ref="S8097">IFERROR(IF($B8097=S$1, ($A8097+$C8097) - MAX(IF($B$2:$B8096=$B8097, $A$2:$A8096+$C$2:$C8096)), "")*24*60, "")</f>
        <v/>
      </c>
    </row>
    <row r="8098" spans="1:19" x14ac:dyDescent="0.2">
      <c r="A8098" s="12">
        <f t="shared" ref="A8098:C8098" si="1592">A8097</f>
        <v>46021</v>
      </c>
      <c r="B8098" s="5" t="str">
        <f t="shared" si="1592"/>
        <v>Northern Cardinal</v>
      </c>
      <c r="C8098" s="6">
        <f t="shared" si="1592"/>
        <v>0.7319444444444444</v>
      </c>
      <c r="D8098" s="5"/>
      <c r="E8098" s="5"/>
      <c r="F8098" s="5" t="s">
        <v>9</v>
      </c>
      <c r="G8098" s="15" t="s">
        <v>8</v>
      </c>
      <c r="H8098" s="24">
        <f t="shared" si="1590"/>
        <v>0</v>
      </c>
      <c r="I8098" s="24" cm="1">
        <f t="array" ref="I8098">IFERROR(IF($B8098=I$1, ($A8098+$C8098) - MAX(IF($B$2:$B8097=$B8098, $A$2:$A8097+$C$2:$C8097)), "")*24*60, "")</f>
        <v>0</v>
      </c>
      <c r="J8098" s="24" t="str" cm="1">
        <f t="array" ref="J8098">IFERROR(IF($B8098=J$1, ($A8098+$C8098) - MAX(IF($B$2:$B8097=$B8098, $A$2:$A8097+$C$2:$C8097)), "")*24*60, "")</f>
        <v/>
      </c>
      <c r="K8098" s="24" t="str" cm="1">
        <f t="array" ref="K8098">IFERROR(IF($B8098=K$1, ($A8098+$C8098) - MAX(IF($B$2:$B8097=$B8098, $A$2:$A8097+$C$2:$C8097)), "")*24*60, "")</f>
        <v/>
      </c>
      <c r="L8098" s="24" t="str" cm="1">
        <f t="array" ref="L8098">IFERROR(IF($B8098=L$1, ($A8098+$C8098) - MAX(IF($B$2:$B8097=$B8098, $A$2:$A8097+$C$2:$C8097)), "")*24*60, "")</f>
        <v/>
      </c>
      <c r="M8098" s="24" t="str" cm="1">
        <f t="array" ref="M8098">IFERROR(IF($B8098=M$1, ($A8098+$C8098) - MAX(IF($B$2:$B8097=$B8098, $A$2:$A8097+$C$2:$C8097)), "")*24*60, "")</f>
        <v/>
      </c>
      <c r="N8098" s="24" t="str" cm="1">
        <f t="array" ref="N8098">IFERROR(IF($B8098=N$1, ($A8098+$C8098) - MAX(IF($B$2:$B8097=$B8098, $A$2:$A8097+$C$2:$C8097)), "")*24*60, "")</f>
        <v/>
      </c>
      <c r="O8098" s="24" t="str" cm="1">
        <f t="array" ref="O8098">IFERROR(IF($B8098=O$1, ($A8098+$C8098) - MAX(IF($B$2:$B8097=$B8098, $A$2:$A8097+$C$2:$C8097)), "")*24*60, "")</f>
        <v/>
      </c>
      <c r="P8098" s="24" t="str" cm="1">
        <f t="array" ref="P8098">IFERROR(IF($B8098=P$1, ($A8098+$C8098) - MAX(IF($B$2:$B8097=$B8098, $A$2:$A8097+$C$2:$C8097)), "")*24*60, "")</f>
        <v/>
      </c>
      <c r="Q8098" s="24" t="str" cm="1">
        <f t="array" ref="Q8098">IFERROR(IF($B8098=Q$1, ($A8098+$C8098) - MAX(IF($B$2:$B8097=$B8098, $A$2:$A8097+$C$2:$C8097)), "")*24*60, "")</f>
        <v/>
      </c>
      <c r="R8098" s="24" t="str" cm="1">
        <f t="array" ref="R8098">IFERROR(IF($B8098=R$1, ($A8098+$C8098) - MAX(IF($B$2:$B8097=$B8098, $A$2:$A8097+$C$2:$C8097)), "")*24*60, "")</f>
        <v/>
      </c>
      <c r="S8098" s="24" t="str" cm="1">
        <f t="array" ref="S8098">IFERROR(IF($B8098=S$1, ($A8098+$C8098) - MAX(IF($B$2:$B8097=$B8098, $A$2:$A8097+$C$2:$C8097)), "")*24*60, "")</f>
        <v/>
      </c>
    </row>
    <row r="8099" spans="1:19" x14ac:dyDescent="0.2">
      <c r="A8099" s="12">
        <f t="shared" ref="A8099:C8099" si="1593">A8098</f>
        <v>46021</v>
      </c>
      <c r="B8099" s="5" t="str">
        <f t="shared" si="1593"/>
        <v>Northern Cardinal</v>
      </c>
      <c r="C8099" s="6">
        <f t="shared" si="1593"/>
        <v>0.7319444444444444</v>
      </c>
      <c r="D8099" s="5"/>
      <c r="E8099" s="5"/>
      <c r="F8099" s="5" t="s">
        <v>9</v>
      </c>
      <c r="G8099" s="15" t="s">
        <v>8</v>
      </c>
      <c r="H8099" s="24">
        <f t="shared" si="1590"/>
        <v>0</v>
      </c>
      <c r="I8099" s="24" cm="1">
        <f t="array" ref="I8099">IFERROR(IF($B8099=I$1, ($A8099+$C8099) - MAX(IF($B$2:$B8098=$B8099, $A$2:$A8098+$C$2:$C8098)), "")*24*60, "")</f>
        <v>0</v>
      </c>
      <c r="J8099" s="24" t="str" cm="1">
        <f t="array" ref="J8099">IFERROR(IF($B8099=J$1, ($A8099+$C8099) - MAX(IF($B$2:$B8098=$B8099, $A$2:$A8098+$C$2:$C8098)), "")*24*60, "")</f>
        <v/>
      </c>
      <c r="K8099" s="24" t="str" cm="1">
        <f t="array" ref="K8099">IFERROR(IF($B8099=K$1, ($A8099+$C8099) - MAX(IF($B$2:$B8098=$B8099, $A$2:$A8098+$C$2:$C8098)), "")*24*60, "")</f>
        <v/>
      </c>
      <c r="L8099" s="24" t="str" cm="1">
        <f t="array" ref="L8099">IFERROR(IF($B8099=L$1, ($A8099+$C8099) - MAX(IF($B$2:$B8098=$B8099, $A$2:$A8098+$C$2:$C8098)), "")*24*60, "")</f>
        <v/>
      </c>
      <c r="M8099" s="24" t="str" cm="1">
        <f t="array" ref="M8099">IFERROR(IF($B8099=M$1, ($A8099+$C8099) - MAX(IF($B$2:$B8098=$B8099, $A$2:$A8098+$C$2:$C8098)), "")*24*60, "")</f>
        <v/>
      </c>
      <c r="N8099" s="24" t="str" cm="1">
        <f t="array" ref="N8099">IFERROR(IF($B8099=N$1, ($A8099+$C8099) - MAX(IF($B$2:$B8098=$B8099, $A$2:$A8098+$C$2:$C8098)), "")*24*60, "")</f>
        <v/>
      </c>
      <c r="O8099" s="24" t="str" cm="1">
        <f t="array" ref="O8099">IFERROR(IF($B8099=O$1, ($A8099+$C8099) - MAX(IF($B$2:$B8098=$B8099, $A$2:$A8098+$C$2:$C8098)), "")*24*60, "")</f>
        <v/>
      </c>
      <c r="P8099" s="24" t="str" cm="1">
        <f t="array" ref="P8099">IFERROR(IF($B8099=P$1, ($A8099+$C8099) - MAX(IF($B$2:$B8098=$B8099, $A$2:$A8098+$C$2:$C8098)), "")*24*60, "")</f>
        <v/>
      </c>
      <c r="Q8099" s="24" t="str" cm="1">
        <f t="array" ref="Q8099">IFERROR(IF($B8099=Q$1, ($A8099+$C8099) - MAX(IF($B$2:$B8098=$B8099, $A$2:$A8098+$C$2:$C8098)), "")*24*60, "")</f>
        <v/>
      </c>
      <c r="R8099" s="24" t="str" cm="1">
        <f t="array" ref="R8099">IFERROR(IF($B8099=R$1, ($A8099+$C8099) - MAX(IF($B$2:$B8098=$B8099, $A$2:$A8098+$C$2:$C8098)), "")*24*60, "")</f>
        <v/>
      </c>
      <c r="S8099" s="24" t="str" cm="1">
        <f t="array" ref="S8099">IFERROR(IF($B8099=S$1, ($A8099+$C8099) - MAX(IF($B$2:$B8098=$B8099, $A$2:$A8098+$C$2:$C8098)), "")*24*60, "")</f>
        <v/>
      </c>
    </row>
    <row r="8100" spans="1:19" x14ac:dyDescent="0.2">
      <c r="A8100" s="12">
        <f t="shared" ref="A8100:C8100" si="1594">A8099</f>
        <v>46021</v>
      </c>
      <c r="B8100" s="5" t="str">
        <f t="shared" si="1594"/>
        <v>Northern Cardinal</v>
      </c>
      <c r="C8100" s="6">
        <f t="shared" si="1594"/>
        <v>0.7319444444444444</v>
      </c>
      <c r="D8100" s="5"/>
      <c r="E8100" s="5"/>
      <c r="F8100" s="5" t="s">
        <v>9</v>
      </c>
      <c r="G8100" s="15" t="s">
        <v>8</v>
      </c>
      <c r="H8100" s="24">
        <f t="shared" si="1590"/>
        <v>0</v>
      </c>
      <c r="I8100" s="24" cm="1">
        <f t="array" ref="I8100">IFERROR(IF($B8100=I$1, ($A8100+$C8100) - MAX(IF($B$2:$B8099=$B8100, $A$2:$A8099+$C$2:$C8099)), "")*24*60, "")</f>
        <v>0</v>
      </c>
      <c r="J8100" s="24" t="str" cm="1">
        <f t="array" ref="J8100">IFERROR(IF($B8100=J$1, ($A8100+$C8100) - MAX(IF($B$2:$B8099=$B8100, $A$2:$A8099+$C$2:$C8099)), "")*24*60, "")</f>
        <v/>
      </c>
      <c r="K8100" s="24" t="str" cm="1">
        <f t="array" ref="K8100">IFERROR(IF($B8100=K$1, ($A8100+$C8100) - MAX(IF($B$2:$B8099=$B8100, $A$2:$A8099+$C$2:$C8099)), "")*24*60, "")</f>
        <v/>
      </c>
      <c r="L8100" s="24" t="str" cm="1">
        <f t="array" ref="L8100">IFERROR(IF($B8100=L$1, ($A8100+$C8100) - MAX(IF($B$2:$B8099=$B8100, $A$2:$A8099+$C$2:$C8099)), "")*24*60, "")</f>
        <v/>
      </c>
      <c r="M8100" s="24" t="str" cm="1">
        <f t="array" ref="M8100">IFERROR(IF($B8100=M$1, ($A8100+$C8100) - MAX(IF($B$2:$B8099=$B8100, $A$2:$A8099+$C$2:$C8099)), "")*24*60, "")</f>
        <v/>
      </c>
      <c r="N8100" s="24" t="str" cm="1">
        <f t="array" ref="N8100">IFERROR(IF($B8100=N$1, ($A8100+$C8100) - MAX(IF($B$2:$B8099=$B8100, $A$2:$A8099+$C$2:$C8099)), "")*24*60, "")</f>
        <v/>
      </c>
      <c r="O8100" s="24" t="str" cm="1">
        <f t="array" ref="O8100">IFERROR(IF($B8100=O$1, ($A8100+$C8100) - MAX(IF($B$2:$B8099=$B8100, $A$2:$A8099+$C$2:$C8099)), "")*24*60, "")</f>
        <v/>
      </c>
      <c r="P8100" s="24" t="str" cm="1">
        <f t="array" ref="P8100">IFERROR(IF($B8100=P$1, ($A8100+$C8100) - MAX(IF($B$2:$B8099=$B8100, $A$2:$A8099+$C$2:$C8099)), "")*24*60, "")</f>
        <v/>
      </c>
      <c r="Q8100" s="24" t="str" cm="1">
        <f t="array" ref="Q8100">IFERROR(IF($B8100=Q$1, ($A8100+$C8100) - MAX(IF($B$2:$B8099=$B8100, $A$2:$A8099+$C$2:$C8099)), "")*24*60, "")</f>
        <v/>
      </c>
      <c r="R8100" s="24" t="str" cm="1">
        <f t="array" ref="R8100">IFERROR(IF($B8100=R$1, ($A8100+$C8100) - MAX(IF($B$2:$B8099=$B8100, $A$2:$A8099+$C$2:$C8099)), "")*24*60, "")</f>
        <v/>
      </c>
      <c r="S8100" s="24" t="str" cm="1">
        <f t="array" ref="S8100">IFERROR(IF($B8100=S$1, ($A8100+$C8100) - MAX(IF($B$2:$B8099=$B8100, $A$2:$A8099+$C$2:$C8099)), "")*24*60, "")</f>
        <v/>
      </c>
    </row>
    <row r="8101" spans="1:19" x14ac:dyDescent="0.2">
      <c r="A8101" s="12">
        <f t="shared" ref="A8101:C8101" si="1595">A8100</f>
        <v>46021</v>
      </c>
      <c r="B8101" s="5" t="str">
        <f t="shared" si="1595"/>
        <v>Northern Cardinal</v>
      </c>
      <c r="C8101" s="6">
        <f t="shared" si="1595"/>
        <v>0.7319444444444444</v>
      </c>
      <c r="D8101" s="5"/>
      <c r="E8101" s="5"/>
      <c r="F8101" s="5" t="s">
        <v>9</v>
      </c>
      <c r="G8101" s="15" t="s">
        <v>8</v>
      </c>
      <c r="H8101" s="24">
        <f t="shared" si="1590"/>
        <v>0</v>
      </c>
      <c r="I8101" s="24" cm="1">
        <f t="array" ref="I8101">IFERROR(IF($B8101=I$1, ($A8101+$C8101) - MAX(IF($B$2:$B8100=$B8101, $A$2:$A8100+$C$2:$C8100)), "")*24*60, "")</f>
        <v>0</v>
      </c>
      <c r="J8101" s="24" t="str" cm="1">
        <f t="array" ref="J8101">IFERROR(IF($B8101=J$1, ($A8101+$C8101) - MAX(IF($B$2:$B8100=$B8101, $A$2:$A8100+$C$2:$C8100)), "")*24*60, "")</f>
        <v/>
      </c>
      <c r="K8101" s="24" t="str" cm="1">
        <f t="array" ref="K8101">IFERROR(IF($B8101=K$1, ($A8101+$C8101) - MAX(IF($B$2:$B8100=$B8101, $A$2:$A8100+$C$2:$C8100)), "")*24*60, "")</f>
        <v/>
      </c>
      <c r="L8101" s="24" t="str" cm="1">
        <f t="array" ref="L8101">IFERROR(IF($B8101=L$1, ($A8101+$C8101) - MAX(IF($B$2:$B8100=$B8101, $A$2:$A8100+$C$2:$C8100)), "")*24*60, "")</f>
        <v/>
      </c>
      <c r="M8101" s="24" t="str" cm="1">
        <f t="array" ref="M8101">IFERROR(IF($B8101=M$1, ($A8101+$C8101) - MAX(IF($B$2:$B8100=$B8101, $A$2:$A8100+$C$2:$C8100)), "")*24*60, "")</f>
        <v/>
      </c>
      <c r="N8101" s="24" t="str" cm="1">
        <f t="array" ref="N8101">IFERROR(IF($B8101=N$1, ($A8101+$C8101) - MAX(IF($B$2:$B8100=$B8101, $A$2:$A8100+$C$2:$C8100)), "")*24*60, "")</f>
        <v/>
      </c>
      <c r="O8101" s="24" t="str" cm="1">
        <f t="array" ref="O8101">IFERROR(IF($B8101=O$1, ($A8101+$C8101) - MAX(IF($B$2:$B8100=$B8101, $A$2:$A8100+$C$2:$C8100)), "")*24*60, "")</f>
        <v/>
      </c>
      <c r="P8101" s="24" t="str" cm="1">
        <f t="array" ref="P8101">IFERROR(IF($B8101=P$1, ($A8101+$C8101) - MAX(IF($B$2:$B8100=$B8101, $A$2:$A8100+$C$2:$C8100)), "")*24*60, "")</f>
        <v/>
      </c>
      <c r="Q8101" s="24" t="str" cm="1">
        <f t="array" ref="Q8101">IFERROR(IF($B8101=Q$1, ($A8101+$C8101) - MAX(IF($B$2:$B8100=$B8101, $A$2:$A8100+$C$2:$C8100)), "")*24*60, "")</f>
        <v/>
      </c>
      <c r="R8101" s="24" t="str" cm="1">
        <f t="array" ref="R8101">IFERROR(IF($B8101=R$1, ($A8101+$C8101) - MAX(IF($B$2:$B8100=$B8101, $A$2:$A8100+$C$2:$C8100)), "")*24*60, "")</f>
        <v/>
      </c>
      <c r="S8101" s="24" t="str" cm="1">
        <f t="array" ref="S8101">IFERROR(IF($B8101=S$1, ($A8101+$C8101) - MAX(IF($B$2:$B8100=$B8101, $A$2:$A8100+$C$2:$C8100)), "")*24*60, "")</f>
        <v/>
      </c>
    </row>
    <row r="8102" spans="1:19" x14ac:dyDescent="0.2">
      <c r="A8102" s="12">
        <f t="shared" ref="A8102:C8102" si="1596">A8101</f>
        <v>46021</v>
      </c>
      <c r="B8102" s="5" t="str">
        <f t="shared" si="1596"/>
        <v>Northern Cardinal</v>
      </c>
      <c r="C8102" s="6">
        <f t="shared" si="1596"/>
        <v>0.7319444444444444</v>
      </c>
      <c r="D8102" s="5"/>
      <c r="E8102" s="5"/>
      <c r="F8102" s="5" t="s">
        <v>9</v>
      </c>
      <c r="G8102" s="15" t="s">
        <v>8</v>
      </c>
      <c r="H8102" s="24">
        <f t="shared" si="1590"/>
        <v>0</v>
      </c>
      <c r="I8102" s="24" cm="1">
        <f t="array" ref="I8102">IFERROR(IF($B8102=I$1, ($A8102+$C8102) - MAX(IF($B$2:$B8101=$B8102, $A$2:$A8101+$C$2:$C8101)), "")*24*60, "")</f>
        <v>0</v>
      </c>
      <c r="J8102" s="24" t="str" cm="1">
        <f t="array" ref="J8102">IFERROR(IF($B8102=J$1, ($A8102+$C8102) - MAX(IF($B$2:$B8101=$B8102, $A$2:$A8101+$C$2:$C8101)), "")*24*60, "")</f>
        <v/>
      </c>
      <c r="K8102" s="24" t="str" cm="1">
        <f t="array" ref="K8102">IFERROR(IF($B8102=K$1, ($A8102+$C8102) - MAX(IF($B$2:$B8101=$B8102, $A$2:$A8101+$C$2:$C8101)), "")*24*60, "")</f>
        <v/>
      </c>
      <c r="L8102" s="24" t="str" cm="1">
        <f t="array" ref="L8102">IFERROR(IF($B8102=L$1, ($A8102+$C8102) - MAX(IF($B$2:$B8101=$B8102, $A$2:$A8101+$C$2:$C8101)), "")*24*60, "")</f>
        <v/>
      </c>
      <c r="M8102" s="24" t="str" cm="1">
        <f t="array" ref="M8102">IFERROR(IF($B8102=M$1, ($A8102+$C8102) - MAX(IF($B$2:$B8101=$B8102, $A$2:$A8101+$C$2:$C8101)), "")*24*60, "")</f>
        <v/>
      </c>
      <c r="N8102" s="24" t="str" cm="1">
        <f t="array" ref="N8102">IFERROR(IF($B8102=N$1, ($A8102+$C8102) - MAX(IF($B$2:$B8101=$B8102, $A$2:$A8101+$C$2:$C8101)), "")*24*60, "")</f>
        <v/>
      </c>
      <c r="O8102" s="24" t="str" cm="1">
        <f t="array" ref="O8102">IFERROR(IF($B8102=O$1, ($A8102+$C8102) - MAX(IF($B$2:$B8101=$B8102, $A$2:$A8101+$C$2:$C8101)), "")*24*60, "")</f>
        <v/>
      </c>
      <c r="P8102" s="24" t="str" cm="1">
        <f t="array" ref="P8102">IFERROR(IF($B8102=P$1, ($A8102+$C8102) - MAX(IF($B$2:$B8101=$B8102, $A$2:$A8101+$C$2:$C8101)), "")*24*60, "")</f>
        <v/>
      </c>
      <c r="Q8102" s="24" t="str" cm="1">
        <f t="array" ref="Q8102">IFERROR(IF($B8102=Q$1, ($A8102+$C8102) - MAX(IF($B$2:$B8101=$B8102, $A$2:$A8101+$C$2:$C8101)), "")*24*60, "")</f>
        <v/>
      </c>
      <c r="R8102" s="24" t="str" cm="1">
        <f t="array" ref="R8102">IFERROR(IF($B8102=R$1, ($A8102+$C8102) - MAX(IF($B$2:$B8101=$B8102, $A$2:$A8101+$C$2:$C8101)), "")*24*60, "")</f>
        <v/>
      </c>
      <c r="S8102" s="24" t="str" cm="1">
        <f t="array" ref="S8102">IFERROR(IF($B8102=S$1, ($A8102+$C8102) - MAX(IF($B$2:$B8101=$B8102, $A$2:$A8101+$C$2:$C8101)), "")*24*60, "")</f>
        <v/>
      </c>
    </row>
    <row r="8103" spans="1:19" x14ac:dyDescent="0.2">
      <c r="A8103" s="12">
        <f t="shared" ref="A8103:C8103" si="1597">A8102</f>
        <v>46021</v>
      </c>
      <c r="B8103" s="5" t="str">
        <f t="shared" si="1597"/>
        <v>Northern Cardinal</v>
      </c>
      <c r="C8103" s="6">
        <f t="shared" si="1597"/>
        <v>0.7319444444444444</v>
      </c>
      <c r="D8103" s="5"/>
      <c r="E8103" s="5"/>
      <c r="F8103" s="5" t="s">
        <v>9</v>
      </c>
      <c r="G8103" s="15" t="s">
        <v>8</v>
      </c>
      <c r="H8103" s="24">
        <f t="shared" si="1590"/>
        <v>0</v>
      </c>
      <c r="I8103" s="24" cm="1">
        <f t="array" ref="I8103">IFERROR(IF($B8103=I$1, ($A8103+$C8103) - MAX(IF($B$2:$B8102=$B8103, $A$2:$A8102+$C$2:$C8102)), "")*24*60, "")</f>
        <v>0</v>
      </c>
      <c r="J8103" s="24" t="str" cm="1">
        <f t="array" ref="J8103">IFERROR(IF($B8103=J$1, ($A8103+$C8103) - MAX(IF($B$2:$B8102=$B8103, $A$2:$A8102+$C$2:$C8102)), "")*24*60, "")</f>
        <v/>
      </c>
      <c r="K8103" s="24" t="str" cm="1">
        <f t="array" ref="K8103">IFERROR(IF($B8103=K$1, ($A8103+$C8103) - MAX(IF($B$2:$B8102=$B8103, $A$2:$A8102+$C$2:$C8102)), "")*24*60, "")</f>
        <v/>
      </c>
      <c r="L8103" s="24" t="str" cm="1">
        <f t="array" ref="L8103">IFERROR(IF($B8103=L$1, ($A8103+$C8103) - MAX(IF($B$2:$B8102=$B8103, $A$2:$A8102+$C$2:$C8102)), "")*24*60, "")</f>
        <v/>
      </c>
      <c r="M8103" s="24" t="str" cm="1">
        <f t="array" ref="M8103">IFERROR(IF($B8103=M$1, ($A8103+$C8103) - MAX(IF($B$2:$B8102=$B8103, $A$2:$A8102+$C$2:$C8102)), "")*24*60, "")</f>
        <v/>
      </c>
      <c r="N8103" s="24" t="str" cm="1">
        <f t="array" ref="N8103">IFERROR(IF($B8103=N$1, ($A8103+$C8103) - MAX(IF($B$2:$B8102=$B8103, $A$2:$A8102+$C$2:$C8102)), "")*24*60, "")</f>
        <v/>
      </c>
      <c r="O8103" s="24" t="str" cm="1">
        <f t="array" ref="O8103">IFERROR(IF($B8103=O$1, ($A8103+$C8103) - MAX(IF($B$2:$B8102=$B8103, $A$2:$A8102+$C$2:$C8102)), "")*24*60, "")</f>
        <v/>
      </c>
      <c r="P8103" s="24" t="str" cm="1">
        <f t="array" ref="P8103">IFERROR(IF($B8103=P$1, ($A8103+$C8103) - MAX(IF($B$2:$B8102=$B8103, $A$2:$A8102+$C$2:$C8102)), "")*24*60, "")</f>
        <v/>
      </c>
      <c r="Q8103" s="24" t="str" cm="1">
        <f t="array" ref="Q8103">IFERROR(IF($B8103=Q$1, ($A8103+$C8103) - MAX(IF($B$2:$B8102=$B8103, $A$2:$A8102+$C$2:$C8102)), "")*24*60, "")</f>
        <v/>
      </c>
      <c r="R8103" s="24" t="str" cm="1">
        <f t="array" ref="R8103">IFERROR(IF($B8103=R$1, ($A8103+$C8103) - MAX(IF($B$2:$B8102=$B8103, $A$2:$A8102+$C$2:$C8102)), "")*24*60, "")</f>
        <v/>
      </c>
      <c r="S8103" s="24" t="str" cm="1">
        <f t="array" ref="S8103">IFERROR(IF($B8103=S$1, ($A8103+$C8103) - MAX(IF($B$2:$B8102=$B8103, $A$2:$A8102+$C$2:$C8102)), "")*24*60, "")</f>
        <v/>
      </c>
    </row>
    <row r="8104" spans="1:19" x14ac:dyDescent="0.2">
      <c r="A8104" s="12">
        <f t="shared" ref="A8104:C8104" si="1598">A8103</f>
        <v>46021</v>
      </c>
      <c r="B8104" s="5" t="str">
        <f t="shared" si="1598"/>
        <v>Northern Cardinal</v>
      </c>
      <c r="C8104" s="6">
        <f t="shared" si="1598"/>
        <v>0.7319444444444444</v>
      </c>
      <c r="D8104" s="5"/>
      <c r="E8104" s="5"/>
      <c r="F8104" s="5" t="s">
        <v>9</v>
      </c>
      <c r="G8104" s="15" t="s">
        <v>8</v>
      </c>
      <c r="H8104" s="24">
        <f t="shared" si="1590"/>
        <v>0</v>
      </c>
      <c r="I8104" s="24" cm="1">
        <f t="array" ref="I8104">IFERROR(IF($B8104=I$1, ($A8104+$C8104) - MAX(IF($B$2:$B8103=$B8104, $A$2:$A8103+$C$2:$C8103)), "")*24*60, "")</f>
        <v>0</v>
      </c>
      <c r="J8104" s="24" t="str" cm="1">
        <f t="array" ref="J8104">IFERROR(IF($B8104=J$1, ($A8104+$C8104) - MAX(IF($B$2:$B8103=$B8104, $A$2:$A8103+$C$2:$C8103)), "")*24*60, "")</f>
        <v/>
      </c>
      <c r="K8104" s="24" t="str" cm="1">
        <f t="array" ref="K8104">IFERROR(IF($B8104=K$1, ($A8104+$C8104) - MAX(IF($B$2:$B8103=$B8104, $A$2:$A8103+$C$2:$C8103)), "")*24*60, "")</f>
        <v/>
      </c>
      <c r="L8104" s="24" t="str" cm="1">
        <f t="array" ref="L8104">IFERROR(IF($B8104=L$1, ($A8104+$C8104) - MAX(IF($B$2:$B8103=$B8104, $A$2:$A8103+$C$2:$C8103)), "")*24*60, "")</f>
        <v/>
      </c>
      <c r="M8104" s="24" t="str" cm="1">
        <f t="array" ref="M8104">IFERROR(IF($B8104=M$1, ($A8104+$C8104) - MAX(IF($B$2:$B8103=$B8104, $A$2:$A8103+$C$2:$C8103)), "")*24*60, "")</f>
        <v/>
      </c>
      <c r="N8104" s="24" t="str" cm="1">
        <f t="array" ref="N8104">IFERROR(IF($B8104=N$1, ($A8104+$C8104) - MAX(IF($B$2:$B8103=$B8104, $A$2:$A8103+$C$2:$C8103)), "")*24*60, "")</f>
        <v/>
      </c>
      <c r="O8104" s="24" t="str" cm="1">
        <f t="array" ref="O8104">IFERROR(IF($B8104=O$1, ($A8104+$C8104) - MAX(IF($B$2:$B8103=$B8104, $A$2:$A8103+$C$2:$C8103)), "")*24*60, "")</f>
        <v/>
      </c>
      <c r="P8104" s="24" t="str" cm="1">
        <f t="array" ref="P8104">IFERROR(IF($B8104=P$1, ($A8104+$C8104) - MAX(IF($B$2:$B8103=$B8104, $A$2:$A8103+$C$2:$C8103)), "")*24*60, "")</f>
        <v/>
      </c>
      <c r="Q8104" s="24" t="str" cm="1">
        <f t="array" ref="Q8104">IFERROR(IF($B8104=Q$1, ($A8104+$C8104) - MAX(IF($B$2:$B8103=$B8104, $A$2:$A8103+$C$2:$C8103)), "")*24*60, "")</f>
        <v/>
      </c>
      <c r="R8104" s="24" t="str" cm="1">
        <f t="array" ref="R8104">IFERROR(IF($B8104=R$1, ($A8104+$C8104) - MAX(IF($B$2:$B8103=$B8104, $A$2:$A8103+$C$2:$C8103)), "")*24*60, "")</f>
        <v/>
      </c>
      <c r="S8104" s="24" t="str" cm="1">
        <f t="array" ref="S8104">IFERROR(IF($B8104=S$1, ($A8104+$C8104) - MAX(IF($B$2:$B8103=$B8104, $A$2:$A8103+$C$2:$C8103)), "")*24*60, "")</f>
        <v/>
      </c>
    </row>
    <row r="8105" spans="1:19" x14ac:dyDescent="0.2">
      <c r="A8105" s="12">
        <f t="shared" ref="A8105:C8105" si="1599">A8104</f>
        <v>46021</v>
      </c>
      <c r="B8105" s="5" t="str">
        <f t="shared" si="1599"/>
        <v>Northern Cardinal</v>
      </c>
      <c r="C8105" s="6">
        <f t="shared" si="1599"/>
        <v>0.7319444444444444</v>
      </c>
      <c r="D8105" s="5"/>
      <c r="E8105" s="5"/>
      <c r="F8105" s="5" t="s">
        <v>9</v>
      </c>
      <c r="G8105" s="15" t="s">
        <v>8</v>
      </c>
      <c r="H8105" s="24">
        <f t="shared" si="1590"/>
        <v>0</v>
      </c>
      <c r="I8105" s="24" cm="1">
        <f t="array" ref="I8105">IFERROR(IF($B8105=I$1, ($A8105+$C8105) - MAX(IF($B$2:$B8104=$B8105, $A$2:$A8104+$C$2:$C8104)), "")*24*60, "")</f>
        <v>0</v>
      </c>
      <c r="J8105" s="24" t="str" cm="1">
        <f t="array" ref="J8105">IFERROR(IF($B8105=J$1, ($A8105+$C8105) - MAX(IF($B$2:$B8104=$B8105, $A$2:$A8104+$C$2:$C8104)), "")*24*60, "")</f>
        <v/>
      </c>
      <c r="K8105" s="24" t="str" cm="1">
        <f t="array" ref="K8105">IFERROR(IF($B8105=K$1, ($A8105+$C8105) - MAX(IF($B$2:$B8104=$B8105, $A$2:$A8104+$C$2:$C8104)), "")*24*60, "")</f>
        <v/>
      </c>
      <c r="L8105" s="24" t="str" cm="1">
        <f t="array" ref="L8105">IFERROR(IF($B8105=L$1, ($A8105+$C8105) - MAX(IF($B$2:$B8104=$B8105, $A$2:$A8104+$C$2:$C8104)), "")*24*60, "")</f>
        <v/>
      </c>
      <c r="M8105" s="24" t="str" cm="1">
        <f t="array" ref="M8105">IFERROR(IF($B8105=M$1, ($A8105+$C8105) - MAX(IF($B$2:$B8104=$B8105, $A$2:$A8104+$C$2:$C8104)), "")*24*60, "")</f>
        <v/>
      </c>
      <c r="N8105" s="24" t="str" cm="1">
        <f t="array" ref="N8105">IFERROR(IF($B8105=N$1, ($A8105+$C8105) - MAX(IF($B$2:$B8104=$B8105, $A$2:$A8104+$C$2:$C8104)), "")*24*60, "")</f>
        <v/>
      </c>
      <c r="O8105" s="24" t="str" cm="1">
        <f t="array" ref="O8105">IFERROR(IF($B8105=O$1, ($A8105+$C8105) - MAX(IF($B$2:$B8104=$B8105, $A$2:$A8104+$C$2:$C8104)), "")*24*60, "")</f>
        <v/>
      </c>
      <c r="P8105" s="24" t="str" cm="1">
        <f t="array" ref="P8105">IFERROR(IF($B8105=P$1, ($A8105+$C8105) - MAX(IF($B$2:$B8104=$B8105, $A$2:$A8104+$C$2:$C8104)), "")*24*60, "")</f>
        <v/>
      </c>
      <c r="Q8105" s="24" t="str" cm="1">
        <f t="array" ref="Q8105">IFERROR(IF($B8105=Q$1, ($A8105+$C8105) - MAX(IF($B$2:$B8104=$B8105, $A$2:$A8104+$C$2:$C8104)), "")*24*60, "")</f>
        <v/>
      </c>
      <c r="R8105" s="24" t="str" cm="1">
        <f t="array" ref="R8105">IFERROR(IF($B8105=R$1, ($A8105+$C8105) - MAX(IF($B$2:$B8104=$B8105, $A$2:$A8104+$C$2:$C8104)), "")*24*60, "")</f>
        <v/>
      </c>
      <c r="S8105" s="24" t="str" cm="1">
        <f t="array" ref="S8105">IFERROR(IF($B8105=S$1, ($A8105+$C8105) - MAX(IF($B$2:$B8104=$B8105, $A$2:$A8104+$C$2:$C8104)), "")*24*60, "")</f>
        <v/>
      </c>
    </row>
    <row r="8106" spans="1:19" x14ac:dyDescent="0.2">
      <c r="A8106" s="12">
        <f t="shared" ref="A8106:C8106" si="1600">A8105</f>
        <v>46021</v>
      </c>
      <c r="B8106" s="5" t="str">
        <f t="shared" si="1600"/>
        <v>Northern Cardinal</v>
      </c>
      <c r="C8106" s="6">
        <f t="shared" si="1600"/>
        <v>0.7319444444444444</v>
      </c>
      <c r="D8106" s="5"/>
      <c r="E8106" s="5"/>
      <c r="F8106" s="5" t="s">
        <v>9</v>
      </c>
      <c r="G8106" s="15" t="s">
        <v>8</v>
      </c>
      <c r="H8106" s="24">
        <f t="shared" si="1590"/>
        <v>0</v>
      </c>
      <c r="I8106" s="24" cm="1">
        <f t="array" ref="I8106">IFERROR(IF($B8106=I$1, ($A8106+$C8106) - MAX(IF($B$2:$B8105=$B8106, $A$2:$A8105+$C$2:$C8105)), "")*24*60, "")</f>
        <v>0</v>
      </c>
      <c r="J8106" s="24" t="str" cm="1">
        <f t="array" ref="J8106">IFERROR(IF($B8106=J$1, ($A8106+$C8106) - MAX(IF($B$2:$B8105=$B8106, $A$2:$A8105+$C$2:$C8105)), "")*24*60, "")</f>
        <v/>
      </c>
      <c r="K8106" s="24" t="str" cm="1">
        <f t="array" ref="K8106">IFERROR(IF($B8106=K$1, ($A8106+$C8106) - MAX(IF($B$2:$B8105=$B8106, $A$2:$A8105+$C$2:$C8105)), "")*24*60, "")</f>
        <v/>
      </c>
      <c r="L8106" s="24" t="str" cm="1">
        <f t="array" ref="L8106">IFERROR(IF($B8106=L$1, ($A8106+$C8106) - MAX(IF($B$2:$B8105=$B8106, $A$2:$A8105+$C$2:$C8105)), "")*24*60, "")</f>
        <v/>
      </c>
      <c r="M8106" s="24" t="str" cm="1">
        <f t="array" ref="M8106">IFERROR(IF($B8106=M$1, ($A8106+$C8106) - MAX(IF($B$2:$B8105=$B8106, $A$2:$A8105+$C$2:$C8105)), "")*24*60, "")</f>
        <v/>
      </c>
      <c r="N8106" s="24" t="str" cm="1">
        <f t="array" ref="N8106">IFERROR(IF($B8106=N$1, ($A8106+$C8106) - MAX(IF($B$2:$B8105=$B8106, $A$2:$A8105+$C$2:$C8105)), "")*24*60, "")</f>
        <v/>
      </c>
      <c r="O8106" s="24" t="str" cm="1">
        <f t="array" ref="O8106">IFERROR(IF($B8106=O$1, ($A8106+$C8106) - MAX(IF($B$2:$B8105=$B8106, $A$2:$A8105+$C$2:$C8105)), "")*24*60, "")</f>
        <v/>
      </c>
      <c r="P8106" s="24" t="str" cm="1">
        <f t="array" ref="P8106">IFERROR(IF($B8106=P$1, ($A8106+$C8106) - MAX(IF($B$2:$B8105=$B8106, $A$2:$A8105+$C$2:$C8105)), "")*24*60, "")</f>
        <v/>
      </c>
      <c r="Q8106" s="24" t="str" cm="1">
        <f t="array" ref="Q8106">IFERROR(IF($B8106=Q$1, ($A8106+$C8106) - MAX(IF($B$2:$B8105=$B8106, $A$2:$A8105+$C$2:$C8105)), "")*24*60, "")</f>
        <v/>
      </c>
      <c r="R8106" s="24" t="str" cm="1">
        <f t="array" ref="R8106">IFERROR(IF($B8106=R$1, ($A8106+$C8106) - MAX(IF($B$2:$B8105=$B8106, $A$2:$A8105+$C$2:$C8105)), "")*24*60, "")</f>
        <v/>
      </c>
      <c r="S8106" s="24" t="str" cm="1">
        <f t="array" ref="S8106">IFERROR(IF($B8106=S$1, ($A8106+$C8106) - MAX(IF($B$2:$B8105=$B8106, $A$2:$A8105+$C$2:$C8105)), "")*24*60, "")</f>
        <v/>
      </c>
    </row>
    <row r="8107" spans="1:19" x14ac:dyDescent="0.2">
      <c r="A8107" s="12">
        <f t="shared" ref="A8107:C8107" si="1601">A8106</f>
        <v>46021</v>
      </c>
      <c r="B8107" s="5" t="str">
        <f t="shared" si="1601"/>
        <v>Northern Cardinal</v>
      </c>
      <c r="C8107" s="6">
        <f t="shared" si="1601"/>
        <v>0.7319444444444444</v>
      </c>
      <c r="D8107" s="5"/>
      <c r="E8107" s="5"/>
      <c r="F8107" s="5" t="s">
        <v>9</v>
      </c>
      <c r="G8107" s="15" t="s">
        <v>8</v>
      </c>
      <c r="H8107" s="24">
        <f t="shared" si="1590"/>
        <v>0</v>
      </c>
      <c r="I8107" s="24" cm="1">
        <f t="array" ref="I8107">IFERROR(IF($B8107=I$1, ($A8107+$C8107) - MAX(IF($B$2:$B8106=$B8107, $A$2:$A8106+$C$2:$C8106)), "")*24*60, "")</f>
        <v>0</v>
      </c>
      <c r="J8107" s="24" t="str" cm="1">
        <f t="array" ref="J8107">IFERROR(IF($B8107=J$1, ($A8107+$C8107) - MAX(IF($B$2:$B8106=$B8107, $A$2:$A8106+$C$2:$C8106)), "")*24*60, "")</f>
        <v/>
      </c>
      <c r="K8107" s="24" t="str" cm="1">
        <f t="array" ref="K8107">IFERROR(IF($B8107=K$1, ($A8107+$C8107) - MAX(IF($B$2:$B8106=$B8107, $A$2:$A8106+$C$2:$C8106)), "")*24*60, "")</f>
        <v/>
      </c>
      <c r="L8107" s="24" t="str" cm="1">
        <f t="array" ref="L8107">IFERROR(IF($B8107=L$1, ($A8107+$C8107) - MAX(IF($B$2:$B8106=$B8107, $A$2:$A8106+$C$2:$C8106)), "")*24*60, "")</f>
        <v/>
      </c>
      <c r="M8107" s="24" t="str" cm="1">
        <f t="array" ref="M8107">IFERROR(IF($B8107=M$1, ($A8107+$C8107) - MAX(IF($B$2:$B8106=$B8107, $A$2:$A8106+$C$2:$C8106)), "")*24*60, "")</f>
        <v/>
      </c>
      <c r="N8107" s="24" t="str" cm="1">
        <f t="array" ref="N8107">IFERROR(IF($B8107=N$1, ($A8107+$C8107) - MAX(IF($B$2:$B8106=$B8107, $A$2:$A8106+$C$2:$C8106)), "")*24*60, "")</f>
        <v/>
      </c>
      <c r="O8107" s="24" t="str" cm="1">
        <f t="array" ref="O8107">IFERROR(IF($B8107=O$1, ($A8107+$C8107) - MAX(IF($B$2:$B8106=$B8107, $A$2:$A8106+$C$2:$C8106)), "")*24*60, "")</f>
        <v/>
      </c>
      <c r="P8107" s="24" t="str" cm="1">
        <f t="array" ref="P8107">IFERROR(IF($B8107=P$1, ($A8107+$C8107) - MAX(IF($B$2:$B8106=$B8107, $A$2:$A8106+$C$2:$C8106)), "")*24*60, "")</f>
        <v/>
      </c>
      <c r="Q8107" s="24" t="str" cm="1">
        <f t="array" ref="Q8107">IFERROR(IF($B8107=Q$1, ($A8107+$C8107) - MAX(IF($B$2:$B8106=$B8107, $A$2:$A8106+$C$2:$C8106)), "")*24*60, "")</f>
        <v/>
      </c>
      <c r="R8107" s="24" t="str" cm="1">
        <f t="array" ref="R8107">IFERROR(IF($B8107=R$1, ($A8107+$C8107) - MAX(IF($B$2:$B8106=$B8107, $A$2:$A8106+$C$2:$C8106)), "")*24*60, "")</f>
        <v/>
      </c>
      <c r="S8107" s="24" t="str" cm="1">
        <f t="array" ref="S8107">IFERROR(IF($B8107=S$1, ($A8107+$C8107) - MAX(IF($B$2:$B8106=$B8107, $A$2:$A8106+$C$2:$C8106)), "")*24*60, "")</f>
        <v/>
      </c>
    </row>
    <row r="8108" spans="1:19" x14ac:dyDescent="0.2">
      <c r="A8108" s="12">
        <f t="shared" ref="A8108:C8108" si="1602">A8107</f>
        <v>46021</v>
      </c>
      <c r="B8108" s="5" t="str">
        <f t="shared" si="1602"/>
        <v>Northern Cardinal</v>
      </c>
      <c r="C8108" s="6">
        <f t="shared" si="1602"/>
        <v>0.7319444444444444</v>
      </c>
      <c r="D8108" s="5"/>
      <c r="E8108" s="5"/>
      <c r="F8108" s="5" t="s">
        <v>9</v>
      </c>
      <c r="G8108" s="15" t="s">
        <v>8</v>
      </c>
      <c r="H8108" s="24">
        <f t="shared" si="1590"/>
        <v>0</v>
      </c>
      <c r="I8108" s="24" cm="1">
        <f t="array" ref="I8108">IFERROR(IF($B8108=I$1, ($A8108+$C8108) - MAX(IF($B$2:$B8107=$B8108, $A$2:$A8107+$C$2:$C8107)), "")*24*60, "")</f>
        <v>0</v>
      </c>
      <c r="J8108" s="24" t="str" cm="1">
        <f t="array" ref="J8108">IFERROR(IF($B8108=J$1, ($A8108+$C8108) - MAX(IF($B$2:$B8107=$B8108, $A$2:$A8107+$C$2:$C8107)), "")*24*60, "")</f>
        <v/>
      </c>
      <c r="K8108" s="24" t="str" cm="1">
        <f t="array" ref="K8108">IFERROR(IF($B8108=K$1, ($A8108+$C8108) - MAX(IF($B$2:$B8107=$B8108, $A$2:$A8107+$C$2:$C8107)), "")*24*60, "")</f>
        <v/>
      </c>
      <c r="L8108" s="24" t="str" cm="1">
        <f t="array" ref="L8108">IFERROR(IF($B8108=L$1, ($A8108+$C8108) - MAX(IF($B$2:$B8107=$B8108, $A$2:$A8107+$C$2:$C8107)), "")*24*60, "")</f>
        <v/>
      </c>
      <c r="M8108" s="24" t="str" cm="1">
        <f t="array" ref="M8108">IFERROR(IF($B8108=M$1, ($A8108+$C8108) - MAX(IF($B$2:$B8107=$B8108, $A$2:$A8107+$C$2:$C8107)), "")*24*60, "")</f>
        <v/>
      </c>
      <c r="N8108" s="24" t="str" cm="1">
        <f t="array" ref="N8108">IFERROR(IF($B8108=N$1, ($A8108+$C8108) - MAX(IF($B$2:$B8107=$B8108, $A$2:$A8107+$C$2:$C8107)), "")*24*60, "")</f>
        <v/>
      </c>
      <c r="O8108" s="24" t="str" cm="1">
        <f t="array" ref="O8108">IFERROR(IF($B8108=O$1, ($A8108+$C8108) - MAX(IF($B$2:$B8107=$B8108, $A$2:$A8107+$C$2:$C8107)), "")*24*60, "")</f>
        <v/>
      </c>
      <c r="P8108" s="24" t="str" cm="1">
        <f t="array" ref="P8108">IFERROR(IF($B8108=P$1, ($A8108+$C8108) - MAX(IF($B$2:$B8107=$B8108, $A$2:$A8107+$C$2:$C8107)), "")*24*60, "")</f>
        <v/>
      </c>
      <c r="Q8108" s="24" t="str" cm="1">
        <f t="array" ref="Q8108">IFERROR(IF($B8108=Q$1, ($A8108+$C8108) - MAX(IF($B$2:$B8107=$B8108, $A$2:$A8107+$C$2:$C8107)), "")*24*60, "")</f>
        <v/>
      </c>
      <c r="R8108" s="24" t="str" cm="1">
        <f t="array" ref="R8108">IFERROR(IF($B8108=R$1, ($A8108+$C8108) - MAX(IF($B$2:$B8107=$B8108, $A$2:$A8107+$C$2:$C8107)), "")*24*60, "")</f>
        <v/>
      </c>
      <c r="S8108" s="24" t="str" cm="1">
        <f t="array" ref="S8108">IFERROR(IF($B8108=S$1, ($A8108+$C8108) - MAX(IF($B$2:$B8107=$B8108, $A$2:$A8107+$C$2:$C8107)), "")*24*60, "")</f>
        <v/>
      </c>
    </row>
    <row r="8109" spans="1:19" x14ac:dyDescent="0.2">
      <c r="A8109" s="12">
        <f t="shared" ref="A8109:C8109" si="1603">A8108</f>
        <v>46021</v>
      </c>
      <c r="B8109" s="5" t="str">
        <f t="shared" si="1603"/>
        <v>Northern Cardinal</v>
      </c>
      <c r="C8109" s="6">
        <f t="shared" si="1603"/>
        <v>0.7319444444444444</v>
      </c>
      <c r="D8109" s="5"/>
      <c r="E8109" s="5"/>
      <c r="F8109" s="5" t="s">
        <v>9</v>
      </c>
      <c r="G8109" s="15" t="s">
        <v>8</v>
      </c>
      <c r="H8109" s="24">
        <f t="shared" si="1590"/>
        <v>0</v>
      </c>
      <c r="I8109" s="24" cm="1">
        <f t="array" ref="I8109">IFERROR(IF($B8109=I$1, ($A8109+$C8109) - MAX(IF($B$2:$B8108=$B8109, $A$2:$A8108+$C$2:$C8108)), "")*24*60, "")</f>
        <v>0</v>
      </c>
      <c r="J8109" s="24" t="str" cm="1">
        <f t="array" ref="J8109">IFERROR(IF($B8109=J$1, ($A8109+$C8109) - MAX(IF($B$2:$B8108=$B8109, $A$2:$A8108+$C$2:$C8108)), "")*24*60, "")</f>
        <v/>
      </c>
      <c r="K8109" s="24" t="str" cm="1">
        <f t="array" ref="K8109">IFERROR(IF($B8109=K$1, ($A8109+$C8109) - MAX(IF($B$2:$B8108=$B8109, $A$2:$A8108+$C$2:$C8108)), "")*24*60, "")</f>
        <v/>
      </c>
      <c r="L8109" s="24" t="str" cm="1">
        <f t="array" ref="L8109">IFERROR(IF($B8109=L$1, ($A8109+$C8109) - MAX(IF($B$2:$B8108=$B8109, $A$2:$A8108+$C$2:$C8108)), "")*24*60, "")</f>
        <v/>
      </c>
      <c r="M8109" s="24" t="str" cm="1">
        <f t="array" ref="M8109">IFERROR(IF($B8109=M$1, ($A8109+$C8109) - MAX(IF($B$2:$B8108=$B8109, $A$2:$A8108+$C$2:$C8108)), "")*24*60, "")</f>
        <v/>
      </c>
      <c r="N8109" s="24" t="str" cm="1">
        <f t="array" ref="N8109">IFERROR(IF($B8109=N$1, ($A8109+$C8109) - MAX(IF($B$2:$B8108=$B8109, $A$2:$A8108+$C$2:$C8108)), "")*24*60, "")</f>
        <v/>
      </c>
      <c r="O8109" s="24" t="str" cm="1">
        <f t="array" ref="O8109">IFERROR(IF($B8109=O$1, ($A8109+$C8109) - MAX(IF($B$2:$B8108=$B8109, $A$2:$A8108+$C$2:$C8108)), "")*24*60, "")</f>
        <v/>
      </c>
      <c r="P8109" s="24" t="str" cm="1">
        <f t="array" ref="P8109">IFERROR(IF($B8109=P$1, ($A8109+$C8109) - MAX(IF($B$2:$B8108=$B8109, $A$2:$A8108+$C$2:$C8108)), "")*24*60, "")</f>
        <v/>
      </c>
      <c r="Q8109" s="24" t="str" cm="1">
        <f t="array" ref="Q8109">IFERROR(IF($B8109=Q$1, ($A8109+$C8109) - MAX(IF($B$2:$B8108=$B8109, $A$2:$A8108+$C$2:$C8108)), "")*24*60, "")</f>
        <v/>
      </c>
      <c r="R8109" s="24" t="str" cm="1">
        <f t="array" ref="R8109">IFERROR(IF($B8109=R$1, ($A8109+$C8109) - MAX(IF($B$2:$B8108=$B8109, $A$2:$A8108+$C$2:$C8108)), "")*24*60, "")</f>
        <v/>
      </c>
      <c r="S8109" s="24" t="str" cm="1">
        <f t="array" ref="S8109">IFERROR(IF($B8109=S$1, ($A8109+$C8109) - MAX(IF($B$2:$B8108=$B8109, $A$2:$A8108+$C$2:$C8108)), "")*24*60, "")</f>
        <v/>
      </c>
    </row>
    <row r="8110" spans="1:19" x14ac:dyDescent="0.2">
      <c r="A8110" s="12">
        <f t="shared" ref="A8110:C8110" si="1604">A8109</f>
        <v>46021</v>
      </c>
      <c r="B8110" s="5" t="str">
        <f t="shared" si="1604"/>
        <v>Northern Cardinal</v>
      </c>
      <c r="C8110" s="6">
        <f t="shared" si="1604"/>
        <v>0.7319444444444444</v>
      </c>
      <c r="D8110" s="5"/>
      <c r="E8110" s="5"/>
      <c r="F8110" s="5" t="s">
        <v>9</v>
      </c>
      <c r="G8110" s="15" t="s">
        <v>8</v>
      </c>
      <c r="H8110" s="24">
        <f t="shared" si="1590"/>
        <v>0</v>
      </c>
      <c r="I8110" s="24" cm="1">
        <f t="array" ref="I8110">IFERROR(IF($B8110=I$1, ($A8110+$C8110) - MAX(IF($B$2:$B8109=$B8110, $A$2:$A8109+$C$2:$C8109)), "")*24*60, "")</f>
        <v>0</v>
      </c>
      <c r="J8110" s="24" t="str" cm="1">
        <f t="array" ref="J8110">IFERROR(IF($B8110=J$1, ($A8110+$C8110) - MAX(IF($B$2:$B8109=$B8110, $A$2:$A8109+$C$2:$C8109)), "")*24*60, "")</f>
        <v/>
      </c>
      <c r="K8110" s="24" t="str" cm="1">
        <f t="array" ref="K8110">IFERROR(IF($B8110=K$1, ($A8110+$C8110) - MAX(IF($B$2:$B8109=$B8110, $A$2:$A8109+$C$2:$C8109)), "")*24*60, "")</f>
        <v/>
      </c>
      <c r="L8110" s="24" t="str" cm="1">
        <f t="array" ref="L8110">IFERROR(IF($B8110=L$1, ($A8110+$C8110) - MAX(IF($B$2:$B8109=$B8110, $A$2:$A8109+$C$2:$C8109)), "")*24*60, "")</f>
        <v/>
      </c>
      <c r="M8110" s="24" t="str" cm="1">
        <f t="array" ref="M8110">IFERROR(IF($B8110=M$1, ($A8110+$C8110) - MAX(IF($B$2:$B8109=$B8110, $A$2:$A8109+$C$2:$C8109)), "")*24*60, "")</f>
        <v/>
      </c>
      <c r="N8110" s="24" t="str" cm="1">
        <f t="array" ref="N8110">IFERROR(IF($B8110=N$1, ($A8110+$C8110) - MAX(IF($B$2:$B8109=$B8110, $A$2:$A8109+$C$2:$C8109)), "")*24*60, "")</f>
        <v/>
      </c>
      <c r="O8110" s="24" t="str" cm="1">
        <f t="array" ref="O8110">IFERROR(IF($B8110=O$1, ($A8110+$C8110) - MAX(IF($B$2:$B8109=$B8110, $A$2:$A8109+$C$2:$C8109)), "")*24*60, "")</f>
        <v/>
      </c>
      <c r="P8110" s="24" t="str" cm="1">
        <f t="array" ref="P8110">IFERROR(IF($B8110=P$1, ($A8110+$C8110) - MAX(IF($B$2:$B8109=$B8110, $A$2:$A8109+$C$2:$C8109)), "")*24*60, "")</f>
        <v/>
      </c>
      <c r="Q8110" s="24" t="str" cm="1">
        <f t="array" ref="Q8110">IFERROR(IF($B8110=Q$1, ($A8110+$C8110) - MAX(IF($B$2:$B8109=$B8110, $A$2:$A8109+$C$2:$C8109)), "")*24*60, "")</f>
        <v/>
      </c>
      <c r="R8110" s="24" t="str" cm="1">
        <f t="array" ref="R8110">IFERROR(IF($B8110=R$1, ($A8110+$C8110) - MAX(IF($B$2:$B8109=$B8110, $A$2:$A8109+$C$2:$C8109)), "")*24*60, "")</f>
        <v/>
      </c>
      <c r="S8110" s="24" t="str" cm="1">
        <f t="array" ref="S8110">IFERROR(IF($B8110=S$1, ($A8110+$C8110) - MAX(IF($B$2:$B8109=$B8110, $A$2:$A8109+$C$2:$C8109)), "")*24*60, "")</f>
        <v/>
      </c>
    </row>
    <row r="8111" spans="1:19" x14ac:dyDescent="0.2">
      <c r="A8111" s="12">
        <f t="shared" ref="A8111:C8111" si="1605">A8110</f>
        <v>46021</v>
      </c>
      <c r="B8111" s="5" t="str">
        <f t="shared" si="1605"/>
        <v>Northern Cardinal</v>
      </c>
      <c r="C8111" s="6">
        <f t="shared" si="1605"/>
        <v>0.7319444444444444</v>
      </c>
      <c r="D8111" s="5"/>
      <c r="E8111" s="5"/>
      <c r="F8111" s="5" t="s">
        <v>9</v>
      </c>
      <c r="G8111" s="15" t="s">
        <v>8</v>
      </c>
      <c r="H8111" s="24">
        <f t="shared" si="1590"/>
        <v>0</v>
      </c>
      <c r="I8111" s="24" cm="1">
        <f t="array" ref="I8111">IFERROR(IF($B8111=I$1, ($A8111+$C8111) - MAX(IF($B$2:$B8110=$B8111, $A$2:$A8110+$C$2:$C8110)), "")*24*60, "")</f>
        <v>0</v>
      </c>
      <c r="J8111" s="24" t="str" cm="1">
        <f t="array" ref="J8111">IFERROR(IF($B8111=J$1, ($A8111+$C8111) - MAX(IF($B$2:$B8110=$B8111, $A$2:$A8110+$C$2:$C8110)), "")*24*60, "")</f>
        <v/>
      </c>
      <c r="K8111" s="24" t="str" cm="1">
        <f t="array" ref="K8111">IFERROR(IF($B8111=K$1, ($A8111+$C8111) - MAX(IF($B$2:$B8110=$B8111, $A$2:$A8110+$C$2:$C8110)), "")*24*60, "")</f>
        <v/>
      </c>
      <c r="L8111" s="24" t="str" cm="1">
        <f t="array" ref="L8111">IFERROR(IF($B8111=L$1, ($A8111+$C8111) - MAX(IF($B$2:$B8110=$B8111, $A$2:$A8110+$C$2:$C8110)), "")*24*60, "")</f>
        <v/>
      </c>
      <c r="M8111" s="24" t="str" cm="1">
        <f t="array" ref="M8111">IFERROR(IF($B8111=M$1, ($A8111+$C8111) - MAX(IF($B$2:$B8110=$B8111, $A$2:$A8110+$C$2:$C8110)), "")*24*60, "")</f>
        <v/>
      </c>
      <c r="N8111" s="24" t="str" cm="1">
        <f t="array" ref="N8111">IFERROR(IF($B8111=N$1, ($A8111+$C8111) - MAX(IF($B$2:$B8110=$B8111, $A$2:$A8110+$C$2:$C8110)), "")*24*60, "")</f>
        <v/>
      </c>
      <c r="O8111" s="24" t="str" cm="1">
        <f t="array" ref="O8111">IFERROR(IF($B8111=O$1, ($A8111+$C8111) - MAX(IF($B$2:$B8110=$B8111, $A$2:$A8110+$C$2:$C8110)), "")*24*60, "")</f>
        <v/>
      </c>
      <c r="P8111" s="24" t="str" cm="1">
        <f t="array" ref="P8111">IFERROR(IF($B8111=P$1, ($A8111+$C8111) - MAX(IF($B$2:$B8110=$B8111, $A$2:$A8110+$C$2:$C8110)), "")*24*60, "")</f>
        <v/>
      </c>
      <c r="Q8111" s="24" t="str" cm="1">
        <f t="array" ref="Q8111">IFERROR(IF($B8111=Q$1, ($A8111+$C8111) - MAX(IF($B$2:$B8110=$B8111, $A$2:$A8110+$C$2:$C8110)), "")*24*60, "")</f>
        <v/>
      </c>
      <c r="R8111" s="24" t="str" cm="1">
        <f t="array" ref="R8111">IFERROR(IF($B8111=R$1, ($A8111+$C8111) - MAX(IF($B$2:$B8110=$B8111, $A$2:$A8110+$C$2:$C8110)), "")*24*60, "")</f>
        <v/>
      </c>
      <c r="S8111" s="24" t="str" cm="1">
        <f t="array" ref="S8111">IFERROR(IF($B8111=S$1, ($A8111+$C8111) - MAX(IF($B$2:$B8110=$B8111, $A$2:$A8110+$C$2:$C8110)), "")*24*60, "")</f>
        <v/>
      </c>
    </row>
    <row r="8112" spans="1:19" x14ac:dyDescent="0.2">
      <c r="A8112" s="12">
        <f t="shared" ref="A8112:C8112" si="1606">A8111</f>
        <v>46021</v>
      </c>
      <c r="B8112" s="5" t="str">
        <f t="shared" si="1606"/>
        <v>Northern Cardinal</v>
      </c>
      <c r="C8112" s="6">
        <f t="shared" si="1606"/>
        <v>0.7319444444444444</v>
      </c>
      <c r="D8112" s="5"/>
      <c r="E8112" s="5"/>
      <c r="F8112" s="5" t="s">
        <v>9</v>
      </c>
      <c r="G8112" s="15" t="s">
        <v>8</v>
      </c>
      <c r="H8112" s="24">
        <f t="shared" si="1590"/>
        <v>0</v>
      </c>
      <c r="I8112" s="24" cm="1">
        <f t="array" ref="I8112">IFERROR(IF($B8112=I$1, ($A8112+$C8112) - MAX(IF($B$2:$B8111=$B8112, $A$2:$A8111+$C$2:$C8111)), "")*24*60, "")</f>
        <v>0</v>
      </c>
      <c r="J8112" s="24" t="str" cm="1">
        <f t="array" ref="J8112">IFERROR(IF($B8112=J$1, ($A8112+$C8112) - MAX(IF($B$2:$B8111=$B8112, $A$2:$A8111+$C$2:$C8111)), "")*24*60, "")</f>
        <v/>
      </c>
      <c r="K8112" s="24" t="str" cm="1">
        <f t="array" ref="K8112">IFERROR(IF($B8112=K$1, ($A8112+$C8112) - MAX(IF($B$2:$B8111=$B8112, $A$2:$A8111+$C$2:$C8111)), "")*24*60, "")</f>
        <v/>
      </c>
      <c r="L8112" s="24" t="str" cm="1">
        <f t="array" ref="L8112">IFERROR(IF($B8112=L$1, ($A8112+$C8112) - MAX(IF($B$2:$B8111=$B8112, $A$2:$A8111+$C$2:$C8111)), "")*24*60, "")</f>
        <v/>
      </c>
      <c r="M8112" s="24" t="str" cm="1">
        <f t="array" ref="M8112">IFERROR(IF($B8112=M$1, ($A8112+$C8112) - MAX(IF($B$2:$B8111=$B8112, $A$2:$A8111+$C$2:$C8111)), "")*24*60, "")</f>
        <v/>
      </c>
      <c r="N8112" s="24" t="str" cm="1">
        <f t="array" ref="N8112">IFERROR(IF($B8112=N$1, ($A8112+$C8112) - MAX(IF($B$2:$B8111=$B8112, $A$2:$A8111+$C$2:$C8111)), "")*24*60, "")</f>
        <v/>
      </c>
      <c r="O8112" s="24" t="str" cm="1">
        <f t="array" ref="O8112">IFERROR(IF($B8112=O$1, ($A8112+$C8112) - MAX(IF($B$2:$B8111=$B8112, $A$2:$A8111+$C$2:$C8111)), "")*24*60, "")</f>
        <v/>
      </c>
      <c r="P8112" s="24" t="str" cm="1">
        <f t="array" ref="P8112">IFERROR(IF($B8112=P$1, ($A8112+$C8112) - MAX(IF($B$2:$B8111=$B8112, $A$2:$A8111+$C$2:$C8111)), "")*24*60, "")</f>
        <v/>
      </c>
      <c r="Q8112" s="24" t="str" cm="1">
        <f t="array" ref="Q8112">IFERROR(IF($B8112=Q$1, ($A8112+$C8112) - MAX(IF($B$2:$B8111=$B8112, $A$2:$A8111+$C$2:$C8111)), "")*24*60, "")</f>
        <v/>
      </c>
      <c r="R8112" s="24" t="str" cm="1">
        <f t="array" ref="R8112">IFERROR(IF($B8112=R$1, ($A8112+$C8112) - MAX(IF($B$2:$B8111=$B8112, $A$2:$A8111+$C$2:$C8111)), "")*24*60, "")</f>
        <v/>
      </c>
      <c r="S8112" s="24" t="str" cm="1">
        <f t="array" ref="S8112">IFERROR(IF($B8112=S$1, ($A8112+$C8112) - MAX(IF($B$2:$B8111=$B8112, $A$2:$A8111+$C$2:$C8111)), "")*24*60, "")</f>
        <v/>
      </c>
    </row>
    <row r="8113" spans="1:19" x14ac:dyDescent="0.2">
      <c r="A8113" s="12">
        <f t="shared" ref="A8113:C8113" si="1607">A8112</f>
        <v>46021</v>
      </c>
      <c r="B8113" s="5" t="str">
        <f t="shared" si="1607"/>
        <v>Northern Cardinal</v>
      </c>
      <c r="C8113" s="6">
        <f t="shared" si="1607"/>
        <v>0.7319444444444444</v>
      </c>
      <c r="D8113" s="5"/>
      <c r="E8113" s="5"/>
      <c r="F8113" s="5" t="s">
        <v>9</v>
      </c>
      <c r="G8113" s="15" t="s">
        <v>8</v>
      </c>
      <c r="H8113" s="24">
        <f t="shared" si="1590"/>
        <v>0</v>
      </c>
      <c r="I8113" s="24" cm="1">
        <f t="array" ref="I8113">IFERROR(IF($B8113=I$1, ($A8113+$C8113) - MAX(IF($B$2:$B8112=$B8113, $A$2:$A8112+$C$2:$C8112)), "")*24*60, "")</f>
        <v>0</v>
      </c>
      <c r="J8113" s="24" t="str" cm="1">
        <f t="array" ref="J8113">IFERROR(IF($B8113=J$1, ($A8113+$C8113) - MAX(IF($B$2:$B8112=$B8113, $A$2:$A8112+$C$2:$C8112)), "")*24*60, "")</f>
        <v/>
      </c>
      <c r="K8113" s="24" t="str" cm="1">
        <f t="array" ref="K8113">IFERROR(IF($B8113=K$1, ($A8113+$C8113) - MAX(IF($B$2:$B8112=$B8113, $A$2:$A8112+$C$2:$C8112)), "")*24*60, "")</f>
        <v/>
      </c>
      <c r="L8113" s="24" t="str" cm="1">
        <f t="array" ref="L8113">IFERROR(IF($B8113=L$1, ($A8113+$C8113) - MAX(IF($B$2:$B8112=$B8113, $A$2:$A8112+$C$2:$C8112)), "")*24*60, "")</f>
        <v/>
      </c>
      <c r="M8113" s="24" t="str" cm="1">
        <f t="array" ref="M8113">IFERROR(IF($B8113=M$1, ($A8113+$C8113) - MAX(IF($B$2:$B8112=$B8113, $A$2:$A8112+$C$2:$C8112)), "")*24*60, "")</f>
        <v/>
      </c>
      <c r="N8113" s="24" t="str" cm="1">
        <f t="array" ref="N8113">IFERROR(IF($B8113=N$1, ($A8113+$C8113) - MAX(IF($B$2:$B8112=$B8113, $A$2:$A8112+$C$2:$C8112)), "")*24*60, "")</f>
        <v/>
      </c>
      <c r="O8113" s="24" t="str" cm="1">
        <f t="array" ref="O8113">IFERROR(IF($B8113=O$1, ($A8113+$C8113) - MAX(IF($B$2:$B8112=$B8113, $A$2:$A8112+$C$2:$C8112)), "")*24*60, "")</f>
        <v/>
      </c>
      <c r="P8113" s="24" t="str" cm="1">
        <f t="array" ref="P8113">IFERROR(IF($B8113=P$1, ($A8113+$C8113) - MAX(IF($B$2:$B8112=$B8113, $A$2:$A8112+$C$2:$C8112)), "")*24*60, "")</f>
        <v/>
      </c>
      <c r="Q8113" s="24" t="str" cm="1">
        <f t="array" ref="Q8113">IFERROR(IF($B8113=Q$1, ($A8113+$C8113) - MAX(IF($B$2:$B8112=$B8113, $A$2:$A8112+$C$2:$C8112)), "")*24*60, "")</f>
        <v/>
      </c>
      <c r="R8113" s="24" t="str" cm="1">
        <f t="array" ref="R8113">IFERROR(IF($B8113=R$1, ($A8113+$C8113) - MAX(IF($B$2:$B8112=$B8113, $A$2:$A8112+$C$2:$C8112)), "")*24*60, "")</f>
        <v/>
      </c>
      <c r="S8113" s="24" t="str" cm="1">
        <f t="array" ref="S8113">IFERROR(IF($B8113=S$1, ($A8113+$C8113) - MAX(IF($B$2:$B8112=$B8113, $A$2:$A8112+$C$2:$C8112)), "")*24*60, "")</f>
        <v/>
      </c>
    </row>
    <row r="8114" spans="1:19" x14ac:dyDescent="0.2">
      <c r="A8114" s="12">
        <f t="shared" ref="A8114:C8114" si="1608">A8113</f>
        <v>46021</v>
      </c>
      <c r="B8114" s="5" t="str">
        <f t="shared" si="1608"/>
        <v>Northern Cardinal</v>
      </c>
      <c r="C8114" s="6">
        <f t="shared" si="1608"/>
        <v>0.7319444444444444</v>
      </c>
      <c r="D8114" s="5"/>
      <c r="E8114" s="5"/>
      <c r="F8114" s="5" t="s">
        <v>9</v>
      </c>
      <c r="G8114" s="15" t="s">
        <v>8</v>
      </c>
      <c r="H8114" s="24">
        <f t="shared" si="1590"/>
        <v>0</v>
      </c>
      <c r="I8114" s="24" cm="1">
        <f t="array" ref="I8114">IFERROR(IF($B8114=I$1, ($A8114+$C8114) - MAX(IF($B$2:$B8113=$B8114, $A$2:$A8113+$C$2:$C8113)), "")*24*60, "")</f>
        <v>0</v>
      </c>
      <c r="J8114" s="24" t="str" cm="1">
        <f t="array" ref="J8114">IFERROR(IF($B8114=J$1, ($A8114+$C8114) - MAX(IF($B$2:$B8113=$B8114, $A$2:$A8113+$C$2:$C8113)), "")*24*60, "")</f>
        <v/>
      </c>
      <c r="K8114" s="24" t="str" cm="1">
        <f t="array" ref="K8114">IFERROR(IF($B8114=K$1, ($A8114+$C8114) - MAX(IF($B$2:$B8113=$B8114, $A$2:$A8113+$C$2:$C8113)), "")*24*60, "")</f>
        <v/>
      </c>
      <c r="L8114" s="24" t="str" cm="1">
        <f t="array" ref="L8114">IFERROR(IF($B8114=L$1, ($A8114+$C8114) - MAX(IF($B$2:$B8113=$B8114, $A$2:$A8113+$C$2:$C8113)), "")*24*60, "")</f>
        <v/>
      </c>
      <c r="M8114" s="24" t="str" cm="1">
        <f t="array" ref="M8114">IFERROR(IF($B8114=M$1, ($A8114+$C8114) - MAX(IF($B$2:$B8113=$B8114, $A$2:$A8113+$C$2:$C8113)), "")*24*60, "")</f>
        <v/>
      </c>
      <c r="N8114" s="24" t="str" cm="1">
        <f t="array" ref="N8114">IFERROR(IF($B8114=N$1, ($A8114+$C8114) - MAX(IF($B$2:$B8113=$B8114, $A$2:$A8113+$C$2:$C8113)), "")*24*60, "")</f>
        <v/>
      </c>
      <c r="O8114" s="24" t="str" cm="1">
        <f t="array" ref="O8114">IFERROR(IF($B8114=O$1, ($A8114+$C8114) - MAX(IF($B$2:$B8113=$B8114, $A$2:$A8113+$C$2:$C8113)), "")*24*60, "")</f>
        <v/>
      </c>
      <c r="P8114" s="24" t="str" cm="1">
        <f t="array" ref="P8114">IFERROR(IF($B8114=P$1, ($A8114+$C8114) - MAX(IF($B$2:$B8113=$B8114, $A$2:$A8113+$C$2:$C8113)), "")*24*60, "")</f>
        <v/>
      </c>
      <c r="Q8114" s="24" t="str" cm="1">
        <f t="array" ref="Q8114">IFERROR(IF($B8114=Q$1, ($A8114+$C8114) - MAX(IF($B$2:$B8113=$B8114, $A$2:$A8113+$C$2:$C8113)), "")*24*60, "")</f>
        <v/>
      </c>
      <c r="R8114" s="24" t="str" cm="1">
        <f t="array" ref="R8114">IFERROR(IF($B8114=R$1, ($A8114+$C8114) - MAX(IF($B$2:$B8113=$B8114, $A$2:$A8113+$C$2:$C8113)), "")*24*60, "")</f>
        <v/>
      </c>
      <c r="S8114" s="24" t="str" cm="1">
        <f t="array" ref="S8114">IFERROR(IF($B8114=S$1, ($A8114+$C8114) - MAX(IF($B$2:$B8113=$B8114, $A$2:$A8113+$C$2:$C8113)), "")*24*60, "")</f>
        <v/>
      </c>
    </row>
    <row r="8115" spans="1:19" x14ac:dyDescent="0.2">
      <c r="A8115" s="12">
        <f t="shared" ref="A8115:C8115" si="1609">A8114</f>
        <v>46021</v>
      </c>
      <c r="B8115" s="5" t="str">
        <f t="shared" si="1609"/>
        <v>Northern Cardinal</v>
      </c>
      <c r="C8115" s="6">
        <f t="shared" si="1609"/>
        <v>0.7319444444444444</v>
      </c>
      <c r="D8115" s="5"/>
      <c r="E8115" s="5"/>
      <c r="F8115" s="5" t="s">
        <v>9</v>
      </c>
      <c r="G8115" s="15" t="s">
        <v>8</v>
      </c>
      <c r="H8115" s="24">
        <f t="shared" si="1590"/>
        <v>0</v>
      </c>
      <c r="I8115" s="24" cm="1">
        <f t="array" ref="I8115">IFERROR(IF($B8115=I$1, ($A8115+$C8115) - MAX(IF($B$2:$B8114=$B8115, $A$2:$A8114+$C$2:$C8114)), "")*24*60, "")</f>
        <v>0</v>
      </c>
      <c r="J8115" s="24" t="str" cm="1">
        <f t="array" ref="J8115">IFERROR(IF($B8115=J$1, ($A8115+$C8115) - MAX(IF($B$2:$B8114=$B8115, $A$2:$A8114+$C$2:$C8114)), "")*24*60, "")</f>
        <v/>
      </c>
      <c r="K8115" s="24" t="str" cm="1">
        <f t="array" ref="K8115">IFERROR(IF($B8115=K$1, ($A8115+$C8115) - MAX(IF($B$2:$B8114=$B8115, $A$2:$A8114+$C$2:$C8114)), "")*24*60, "")</f>
        <v/>
      </c>
      <c r="L8115" s="24" t="str" cm="1">
        <f t="array" ref="L8115">IFERROR(IF($B8115=L$1, ($A8115+$C8115) - MAX(IF($B$2:$B8114=$B8115, $A$2:$A8114+$C$2:$C8114)), "")*24*60, "")</f>
        <v/>
      </c>
      <c r="M8115" s="24" t="str" cm="1">
        <f t="array" ref="M8115">IFERROR(IF($B8115=M$1, ($A8115+$C8115) - MAX(IF($B$2:$B8114=$B8115, $A$2:$A8114+$C$2:$C8114)), "")*24*60, "")</f>
        <v/>
      </c>
      <c r="N8115" s="24" t="str" cm="1">
        <f t="array" ref="N8115">IFERROR(IF($B8115=N$1, ($A8115+$C8115) - MAX(IF($B$2:$B8114=$B8115, $A$2:$A8114+$C$2:$C8114)), "")*24*60, "")</f>
        <v/>
      </c>
      <c r="O8115" s="24" t="str" cm="1">
        <f t="array" ref="O8115">IFERROR(IF($B8115=O$1, ($A8115+$C8115) - MAX(IF($B$2:$B8114=$B8115, $A$2:$A8114+$C$2:$C8114)), "")*24*60, "")</f>
        <v/>
      </c>
      <c r="P8115" s="24" t="str" cm="1">
        <f t="array" ref="P8115">IFERROR(IF($B8115=P$1, ($A8115+$C8115) - MAX(IF($B$2:$B8114=$B8115, $A$2:$A8114+$C$2:$C8114)), "")*24*60, "")</f>
        <v/>
      </c>
      <c r="Q8115" s="24" t="str" cm="1">
        <f t="array" ref="Q8115">IFERROR(IF($B8115=Q$1, ($A8115+$C8115) - MAX(IF($B$2:$B8114=$B8115, $A$2:$A8114+$C$2:$C8114)), "")*24*60, "")</f>
        <v/>
      </c>
      <c r="R8115" s="24" t="str" cm="1">
        <f t="array" ref="R8115">IFERROR(IF($B8115=R$1, ($A8115+$C8115) - MAX(IF($B$2:$B8114=$B8115, $A$2:$A8114+$C$2:$C8114)), "")*24*60, "")</f>
        <v/>
      </c>
      <c r="S8115" s="24" t="str" cm="1">
        <f t="array" ref="S8115">IFERROR(IF($B8115=S$1, ($A8115+$C8115) - MAX(IF($B$2:$B8114=$B8115, $A$2:$A8114+$C$2:$C8114)), "")*24*60, "")</f>
        <v/>
      </c>
    </row>
    <row r="8116" spans="1:19" x14ac:dyDescent="0.2">
      <c r="A8116" s="12">
        <f t="shared" ref="A8116:C8116" si="1610">A8115</f>
        <v>46021</v>
      </c>
      <c r="B8116" s="5" t="str">
        <f t="shared" si="1610"/>
        <v>Northern Cardinal</v>
      </c>
      <c r="C8116" s="6">
        <f t="shared" si="1610"/>
        <v>0.7319444444444444</v>
      </c>
      <c r="D8116" s="5"/>
      <c r="E8116" s="5"/>
      <c r="F8116" s="5" t="s">
        <v>9</v>
      </c>
      <c r="G8116" s="15" t="s">
        <v>8</v>
      </c>
      <c r="H8116" s="24">
        <f t="shared" si="1590"/>
        <v>0</v>
      </c>
      <c r="I8116" s="24" cm="1">
        <f t="array" ref="I8116">IFERROR(IF($B8116=I$1, ($A8116+$C8116) - MAX(IF($B$2:$B8115=$B8116, $A$2:$A8115+$C$2:$C8115)), "")*24*60, "")</f>
        <v>0</v>
      </c>
      <c r="J8116" s="24" t="str" cm="1">
        <f t="array" ref="J8116">IFERROR(IF($B8116=J$1, ($A8116+$C8116) - MAX(IF($B$2:$B8115=$B8116, $A$2:$A8115+$C$2:$C8115)), "")*24*60, "")</f>
        <v/>
      </c>
      <c r="K8116" s="24" t="str" cm="1">
        <f t="array" ref="K8116">IFERROR(IF($B8116=K$1, ($A8116+$C8116) - MAX(IF($B$2:$B8115=$B8116, $A$2:$A8115+$C$2:$C8115)), "")*24*60, "")</f>
        <v/>
      </c>
      <c r="L8116" s="24" t="str" cm="1">
        <f t="array" ref="L8116">IFERROR(IF($B8116=L$1, ($A8116+$C8116) - MAX(IF($B$2:$B8115=$B8116, $A$2:$A8115+$C$2:$C8115)), "")*24*60, "")</f>
        <v/>
      </c>
      <c r="M8116" s="24" t="str" cm="1">
        <f t="array" ref="M8116">IFERROR(IF($B8116=M$1, ($A8116+$C8116) - MAX(IF($B$2:$B8115=$B8116, $A$2:$A8115+$C$2:$C8115)), "")*24*60, "")</f>
        <v/>
      </c>
      <c r="N8116" s="24" t="str" cm="1">
        <f t="array" ref="N8116">IFERROR(IF($B8116=N$1, ($A8116+$C8116) - MAX(IF($B$2:$B8115=$B8116, $A$2:$A8115+$C$2:$C8115)), "")*24*60, "")</f>
        <v/>
      </c>
      <c r="O8116" s="24" t="str" cm="1">
        <f t="array" ref="O8116">IFERROR(IF($B8116=O$1, ($A8116+$C8116) - MAX(IF($B$2:$B8115=$B8116, $A$2:$A8115+$C$2:$C8115)), "")*24*60, "")</f>
        <v/>
      </c>
      <c r="P8116" s="24" t="str" cm="1">
        <f t="array" ref="P8116">IFERROR(IF($B8116=P$1, ($A8116+$C8116) - MAX(IF($B$2:$B8115=$B8116, $A$2:$A8115+$C$2:$C8115)), "")*24*60, "")</f>
        <v/>
      </c>
      <c r="Q8116" s="24" t="str" cm="1">
        <f t="array" ref="Q8116">IFERROR(IF($B8116=Q$1, ($A8116+$C8116) - MAX(IF($B$2:$B8115=$B8116, $A$2:$A8115+$C$2:$C8115)), "")*24*60, "")</f>
        <v/>
      </c>
      <c r="R8116" s="24" t="str" cm="1">
        <f t="array" ref="R8116">IFERROR(IF($B8116=R$1, ($A8116+$C8116) - MAX(IF($B$2:$B8115=$B8116, $A$2:$A8115+$C$2:$C8115)), "")*24*60, "")</f>
        <v/>
      </c>
      <c r="S8116" s="24" t="str" cm="1">
        <f t="array" ref="S8116">IFERROR(IF($B8116=S$1, ($A8116+$C8116) - MAX(IF($B$2:$B8115=$B8116, $A$2:$A8115+$C$2:$C8115)), "")*24*60, "")</f>
        <v/>
      </c>
    </row>
    <row r="8117" spans="1:19" x14ac:dyDescent="0.2">
      <c r="A8117" s="12">
        <f t="shared" ref="A8117:C8117" si="1611">A8116</f>
        <v>46021</v>
      </c>
      <c r="B8117" s="5" t="str">
        <f t="shared" si="1611"/>
        <v>Northern Cardinal</v>
      </c>
      <c r="C8117" s="6">
        <f t="shared" si="1611"/>
        <v>0.7319444444444444</v>
      </c>
      <c r="D8117" s="5"/>
      <c r="E8117" s="5"/>
      <c r="F8117" s="5" t="s">
        <v>9</v>
      </c>
      <c r="G8117" s="15" t="s">
        <v>8</v>
      </c>
      <c r="H8117" s="24">
        <f t="shared" si="1590"/>
        <v>0</v>
      </c>
      <c r="I8117" s="24" cm="1">
        <f t="array" ref="I8117">IFERROR(IF($B8117=I$1, ($A8117+$C8117) - MAX(IF($B$2:$B8116=$B8117, $A$2:$A8116+$C$2:$C8116)), "")*24*60, "")</f>
        <v>0</v>
      </c>
      <c r="J8117" s="24" t="str" cm="1">
        <f t="array" ref="J8117">IFERROR(IF($B8117=J$1, ($A8117+$C8117) - MAX(IF($B$2:$B8116=$B8117, $A$2:$A8116+$C$2:$C8116)), "")*24*60, "")</f>
        <v/>
      </c>
      <c r="K8117" s="24" t="str" cm="1">
        <f t="array" ref="K8117">IFERROR(IF($B8117=K$1, ($A8117+$C8117) - MAX(IF($B$2:$B8116=$B8117, $A$2:$A8116+$C$2:$C8116)), "")*24*60, "")</f>
        <v/>
      </c>
      <c r="L8117" s="24" t="str" cm="1">
        <f t="array" ref="L8117">IFERROR(IF($B8117=L$1, ($A8117+$C8117) - MAX(IF($B$2:$B8116=$B8117, $A$2:$A8116+$C$2:$C8116)), "")*24*60, "")</f>
        <v/>
      </c>
      <c r="M8117" s="24" t="str" cm="1">
        <f t="array" ref="M8117">IFERROR(IF($B8117=M$1, ($A8117+$C8117) - MAX(IF($B$2:$B8116=$B8117, $A$2:$A8116+$C$2:$C8116)), "")*24*60, "")</f>
        <v/>
      </c>
      <c r="N8117" s="24" t="str" cm="1">
        <f t="array" ref="N8117">IFERROR(IF($B8117=N$1, ($A8117+$C8117) - MAX(IF($B$2:$B8116=$B8117, $A$2:$A8116+$C$2:$C8116)), "")*24*60, "")</f>
        <v/>
      </c>
      <c r="O8117" s="24" t="str" cm="1">
        <f t="array" ref="O8117">IFERROR(IF($B8117=O$1, ($A8117+$C8117) - MAX(IF($B$2:$B8116=$B8117, $A$2:$A8116+$C$2:$C8116)), "")*24*60, "")</f>
        <v/>
      </c>
      <c r="P8117" s="24" t="str" cm="1">
        <f t="array" ref="P8117">IFERROR(IF($B8117=P$1, ($A8117+$C8117) - MAX(IF($B$2:$B8116=$B8117, $A$2:$A8116+$C$2:$C8116)), "")*24*60, "")</f>
        <v/>
      </c>
      <c r="Q8117" s="24" t="str" cm="1">
        <f t="array" ref="Q8117">IFERROR(IF($B8117=Q$1, ($A8117+$C8117) - MAX(IF($B$2:$B8116=$B8117, $A$2:$A8116+$C$2:$C8116)), "")*24*60, "")</f>
        <v/>
      </c>
      <c r="R8117" s="24" t="str" cm="1">
        <f t="array" ref="R8117">IFERROR(IF($B8117=R$1, ($A8117+$C8117) - MAX(IF($B$2:$B8116=$B8117, $A$2:$A8116+$C$2:$C8116)), "")*24*60, "")</f>
        <v/>
      </c>
      <c r="S8117" s="24" t="str" cm="1">
        <f t="array" ref="S8117">IFERROR(IF($B8117=S$1, ($A8117+$C8117) - MAX(IF($B$2:$B8116=$B8117, $A$2:$A8116+$C$2:$C8116)), "")*24*60, "")</f>
        <v/>
      </c>
    </row>
    <row r="8118" spans="1:19" x14ac:dyDescent="0.2">
      <c r="A8118" s="12">
        <f t="shared" ref="A8118:C8118" si="1612">A8117</f>
        <v>46021</v>
      </c>
      <c r="B8118" s="5" t="str">
        <f t="shared" si="1612"/>
        <v>Northern Cardinal</v>
      </c>
      <c r="C8118" s="6">
        <f t="shared" si="1612"/>
        <v>0.7319444444444444</v>
      </c>
      <c r="D8118" s="5"/>
      <c r="E8118" s="5"/>
      <c r="F8118" s="5" t="s">
        <v>9</v>
      </c>
      <c r="G8118" s="15" t="s">
        <v>8</v>
      </c>
      <c r="H8118" s="24">
        <f t="shared" si="1590"/>
        <v>0</v>
      </c>
      <c r="I8118" s="24" cm="1">
        <f t="array" ref="I8118">IFERROR(IF($B8118=I$1, ($A8118+$C8118) - MAX(IF($B$2:$B8117=$B8118, $A$2:$A8117+$C$2:$C8117)), "")*24*60, "")</f>
        <v>0</v>
      </c>
      <c r="J8118" s="24" t="str" cm="1">
        <f t="array" ref="J8118">IFERROR(IF($B8118=J$1, ($A8118+$C8118) - MAX(IF($B$2:$B8117=$B8118, $A$2:$A8117+$C$2:$C8117)), "")*24*60, "")</f>
        <v/>
      </c>
      <c r="K8118" s="24" t="str" cm="1">
        <f t="array" ref="K8118">IFERROR(IF($B8118=K$1, ($A8118+$C8118) - MAX(IF($B$2:$B8117=$B8118, $A$2:$A8117+$C$2:$C8117)), "")*24*60, "")</f>
        <v/>
      </c>
      <c r="L8118" s="24" t="str" cm="1">
        <f t="array" ref="L8118">IFERROR(IF($B8118=L$1, ($A8118+$C8118) - MAX(IF($B$2:$B8117=$B8118, $A$2:$A8117+$C$2:$C8117)), "")*24*60, "")</f>
        <v/>
      </c>
      <c r="M8118" s="24" t="str" cm="1">
        <f t="array" ref="M8118">IFERROR(IF($B8118=M$1, ($A8118+$C8118) - MAX(IF($B$2:$B8117=$B8118, $A$2:$A8117+$C$2:$C8117)), "")*24*60, "")</f>
        <v/>
      </c>
      <c r="N8118" s="24" t="str" cm="1">
        <f t="array" ref="N8118">IFERROR(IF($B8118=N$1, ($A8118+$C8118) - MAX(IF($B$2:$B8117=$B8118, $A$2:$A8117+$C$2:$C8117)), "")*24*60, "")</f>
        <v/>
      </c>
      <c r="O8118" s="24" t="str" cm="1">
        <f t="array" ref="O8118">IFERROR(IF($B8118=O$1, ($A8118+$C8118) - MAX(IF($B$2:$B8117=$B8118, $A$2:$A8117+$C$2:$C8117)), "")*24*60, "")</f>
        <v/>
      </c>
      <c r="P8118" s="24" t="str" cm="1">
        <f t="array" ref="P8118">IFERROR(IF($B8118=P$1, ($A8118+$C8118) - MAX(IF($B$2:$B8117=$B8118, $A$2:$A8117+$C$2:$C8117)), "")*24*60, "")</f>
        <v/>
      </c>
      <c r="Q8118" s="24" t="str" cm="1">
        <f t="array" ref="Q8118">IFERROR(IF($B8118=Q$1, ($A8118+$C8118) - MAX(IF($B$2:$B8117=$B8118, $A$2:$A8117+$C$2:$C8117)), "")*24*60, "")</f>
        <v/>
      </c>
      <c r="R8118" s="24" t="str" cm="1">
        <f t="array" ref="R8118">IFERROR(IF($B8118=R$1, ($A8118+$C8118) - MAX(IF($B$2:$B8117=$B8118, $A$2:$A8117+$C$2:$C8117)), "")*24*60, "")</f>
        <v/>
      </c>
      <c r="S8118" s="24" t="str" cm="1">
        <f t="array" ref="S8118">IFERROR(IF($B8118=S$1, ($A8118+$C8118) - MAX(IF($B$2:$B8117=$B8118, $A$2:$A8117+$C$2:$C8117)), "")*24*60, "")</f>
        <v/>
      </c>
    </row>
    <row r="8119" spans="1:19" x14ac:dyDescent="0.2">
      <c r="A8119" s="12">
        <f t="shared" ref="A8119:C8119" si="1613">A8118</f>
        <v>46021</v>
      </c>
      <c r="B8119" s="5" t="str">
        <f t="shared" si="1613"/>
        <v>Northern Cardinal</v>
      </c>
      <c r="C8119" s="6">
        <f t="shared" si="1613"/>
        <v>0.7319444444444444</v>
      </c>
      <c r="D8119" s="5"/>
      <c r="E8119" s="5"/>
      <c r="F8119" s="5" t="s">
        <v>9</v>
      </c>
      <c r="G8119" s="15" t="s">
        <v>8</v>
      </c>
      <c r="H8119" s="24">
        <f t="shared" si="1590"/>
        <v>0</v>
      </c>
      <c r="I8119" s="24" cm="1">
        <f t="array" ref="I8119">IFERROR(IF($B8119=I$1, ($A8119+$C8119) - MAX(IF($B$2:$B8118=$B8119, $A$2:$A8118+$C$2:$C8118)), "")*24*60, "")</f>
        <v>0</v>
      </c>
      <c r="J8119" s="24" t="str" cm="1">
        <f t="array" ref="J8119">IFERROR(IF($B8119=J$1, ($A8119+$C8119) - MAX(IF($B$2:$B8118=$B8119, $A$2:$A8118+$C$2:$C8118)), "")*24*60, "")</f>
        <v/>
      </c>
      <c r="K8119" s="24" t="str" cm="1">
        <f t="array" ref="K8119">IFERROR(IF($B8119=K$1, ($A8119+$C8119) - MAX(IF($B$2:$B8118=$B8119, $A$2:$A8118+$C$2:$C8118)), "")*24*60, "")</f>
        <v/>
      </c>
      <c r="L8119" s="24" t="str" cm="1">
        <f t="array" ref="L8119">IFERROR(IF($B8119=L$1, ($A8119+$C8119) - MAX(IF($B$2:$B8118=$B8119, $A$2:$A8118+$C$2:$C8118)), "")*24*60, "")</f>
        <v/>
      </c>
      <c r="M8119" s="24" t="str" cm="1">
        <f t="array" ref="M8119">IFERROR(IF($B8119=M$1, ($A8119+$C8119) - MAX(IF($B$2:$B8118=$B8119, $A$2:$A8118+$C$2:$C8118)), "")*24*60, "")</f>
        <v/>
      </c>
      <c r="N8119" s="24" t="str" cm="1">
        <f t="array" ref="N8119">IFERROR(IF($B8119=N$1, ($A8119+$C8119) - MAX(IF($B$2:$B8118=$B8119, $A$2:$A8118+$C$2:$C8118)), "")*24*60, "")</f>
        <v/>
      </c>
      <c r="O8119" s="24" t="str" cm="1">
        <f t="array" ref="O8119">IFERROR(IF($B8119=O$1, ($A8119+$C8119) - MAX(IF($B$2:$B8118=$B8119, $A$2:$A8118+$C$2:$C8118)), "")*24*60, "")</f>
        <v/>
      </c>
      <c r="P8119" s="24" t="str" cm="1">
        <f t="array" ref="P8119">IFERROR(IF($B8119=P$1, ($A8119+$C8119) - MAX(IF($B$2:$B8118=$B8119, $A$2:$A8118+$C$2:$C8118)), "")*24*60, "")</f>
        <v/>
      </c>
      <c r="Q8119" s="24" t="str" cm="1">
        <f t="array" ref="Q8119">IFERROR(IF($B8119=Q$1, ($A8119+$C8119) - MAX(IF($B$2:$B8118=$B8119, $A$2:$A8118+$C$2:$C8118)), "")*24*60, "")</f>
        <v/>
      </c>
      <c r="R8119" s="24" t="str" cm="1">
        <f t="array" ref="R8119">IFERROR(IF($B8119=R$1, ($A8119+$C8119) - MAX(IF($B$2:$B8118=$B8119, $A$2:$A8118+$C$2:$C8118)), "")*24*60, "")</f>
        <v/>
      </c>
      <c r="S8119" s="24" t="str" cm="1">
        <f t="array" ref="S8119">IFERROR(IF($B8119=S$1, ($A8119+$C8119) - MAX(IF($B$2:$B8118=$B8119, $A$2:$A8118+$C$2:$C8118)), "")*24*60, "")</f>
        <v/>
      </c>
    </row>
    <row r="8120" spans="1:19" x14ac:dyDescent="0.2">
      <c r="A8120" s="12">
        <f t="shared" ref="A8120:C8120" si="1614">A8119</f>
        <v>46021</v>
      </c>
      <c r="B8120" s="5" t="str">
        <f t="shared" si="1614"/>
        <v>Northern Cardinal</v>
      </c>
      <c r="C8120" s="6">
        <f t="shared" si="1614"/>
        <v>0.7319444444444444</v>
      </c>
      <c r="D8120" s="5"/>
      <c r="E8120" s="5"/>
      <c r="F8120" s="5" t="s">
        <v>9</v>
      </c>
      <c r="G8120" s="15" t="s">
        <v>8</v>
      </c>
      <c r="H8120" s="24">
        <f t="shared" si="1590"/>
        <v>0</v>
      </c>
      <c r="I8120" s="24" cm="1">
        <f t="array" ref="I8120">IFERROR(IF($B8120=I$1, ($A8120+$C8120) - MAX(IF($B$2:$B8119=$B8120, $A$2:$A8119+$C$2:$C8119)), "")*24*60, "")</f>
        <v>0</v>
      </c>
      <c r="J8120" s="24" t="str" cm="1">
        <f t="array" ref="J8120">IFERROR(IF($B8120=J$1, ($A8120+$C8120) - MAX(IF($B$2:$B8119=$B8120, $A$2:$A8119+$C$2:$C8119)), "")*24*60, "")</f>
        <v/>
      </c>
      <c r="K8120" s="24" t="str" cm="1">
        <f t="array" ref="K8120">IFERROR(IF($B8120=K$1, ($A8120+$C8120) - MAX(IF($B$2:$B8119=$B8120, $A$2:$A8119+$C$2:$C8119)), "")*24*60, "")</f>
        <v/>
      </c>
      <c r="L8120" s="24" t="str" cm="1">
        <f t="array" ref="L8120">IFERROR(IF($B8120=L$1, ($A8120+$C8120) - MAX(IF($B$2:$B8119=$B8120, $A$2:$A8119+$C$2:$C8119)), "")*24*60, "")</f>
        <v/>
      </c>
      <c r="M8120" s="24" t="str" cm="1">
        <f t="array" ref="M8120">IFERROR(IF($B8120=M$1, ($A8120+$C8120) - MAX(IF($B$2:$B8119=$B8120, $A$2:$A8119+$C$2:$C8119)), "")*24*60, "")</f>
        <v/>
      </c>
      <c r="N8120" s="24" t="str" cm="1">
        <f t="array" ref="N8120">IFERROR(IF($B8120=N$1, ($A8120+$C8120) - MAX(IF($B$2:$B8119=$B8120, $A$2:$A8119+$C$2:$C8119)), "")*24*60, "")</f>
        <v/>
      </c>
      <c r="O8120" s="24" t="str" cm="1">
        <f t="array" ref="O8120">IFERROR(IF($B8120=O$1, ($A8120+$C8120) - MAX(IF($B$2:$B8119=$B8120, $A$2:$A8119+$C$2:$C8119)), "")*24*60, "")</f>
        <v/>
      </c>
      <c r="P8120" s="24" t="str" cm="1">
        <f t="array" ref="P8120">IFERROR(IF($B8120=P$1, ($A8120+$C8120) - MAX(IF($B$2:$B8119=$B8120, $A$2:$A8119+$C$2:$C8119)), "")*24*60, "")</f>
        <v/>
      </c>
      <c r="Q8120" s="24" t="str" cm="1">
        <f t="array" ref="Q8120">IFERROR(IF($B8120=Q$1, ($A8120+$C8120) - MAX(IF($B$2:$B8119=$B8120, $A$2:$A8119+$C$2:$C8119)), "")*24*60, "")</f>
        <v/>
      </c>
      <c r="R8120" s="24" t="str" cm="1">
        <f t="array" ref="R8120">IFERROR(IF($B8120=R$1, ($A8120+$C8120) - MAX(IF($B$2:$B8119=$B8120, $A$2:$A8119+$C$2:$C8119)), "")*24*60, "")</f>
        <v/>
      </c>
      <c r="S8120" s="24" t="str" cm="1">
        <f t="array" ref="S8120">IFERROR(IF($B8120=S$1, ($A8120+$C8120) - MAX(IF($B$2:$B8119=$B8120, $A$2:$A8119+$C$2:$C8119)), "")*24*60, "")</f>
        <v/>
      </c>
    </row>
    <row r="8121" spans="1:19" x14ac:dyDescent="0.2">
      <c r="A8121" s="12">
        <f t="shared" ref="A8121:C8121" si="1615">A8120</f>
        <v>46021</v>
      </c>
      <c r="B8121" s="5" t="str">
        <f t="shared" si="1615"/>
        <v>Northern Cardinal</v>
      </c>
      <c r="C8121" s="6">
        <f t="shared" si="1615"/>
        <v>0.7319444444444444</v>
      </c>
      <c r="D8121" s="5"/>
      <c r="E8121" s="5"/>
      <c r="F8121" s="5" t="s">
        <v>9</v>
      </c>
      <c r="G8121" s="15" t="s">
        <v>8</v>
      </c>
      <c r="H8121" s="24">
        <f t="shared" si="1590"/>
        <v>0</v>
      </c>
      <c r="I8121" s="24" cm="1">
        <f t="array" ref="I8121">IFERROR(IF($B8121=I$1, ($A8121+$C8121) - MAX(IF($B$2:$B8120=$B8121, $A$2:$A8120+$C$2:$C8120)), "")*24*60, "")</f>
        <v>0</v>
      </c>
      <c r="J8121" s="24" t="str" cm="1">
        <f t="array" ref="J8121">IFERROR(IF($B8121=J$1, ($A8121+$C8121) - MAX(IF($B$2:$B8120=$B8121, $A$2:$A8120+$C$2:$C8120)), "")*24*60, "")</f>
        <v/>
      </c>
      <c r="K8121" s="24" t="str" cm="1">
        <f t="array" ref="K8121">IFERROR(IF($B8121=K$1, ($A8121+$C8121) - MAX(IF($B$2:$B8120=$B8121, $A$2:$A8120+$C$2:$C8120)), "")*24*60, "")</f>
        <v/>
      </c>
      <c r="L8121" s="24" t="str" cm="1">
        <f t="array" ref="L8121">IFERROR(IF($B8121=L$1, ($A8121+$C8121) - MAX(IF($B$2:$B8120=$B8121, $A$2:$A8120+$C$2:$C8120)), "")*24*60, "")</f>
        <v/>
      </c>
      <c r="M8121" s="24" t="str" cm="1">
        <f t="array" ref="M8121">IFERROR(IF($B8121=M$1, ($A8121+$C8121) - MAX(IF($B$2:$B8120=$B8121, $A$2:$A8120+$C$2:$C8120)), "")*24*60, "")</f>
        <v/>
      </c>
      <c r="N8121" s="24" t="str" cm="1">
        <f t="array" ref="N8121">IFERROR(IF($B8121=N$1, ($A8121+$C8121) - MAX(IF($B$2:$B8120=$B8121, $A$2:$A8120+$C$2:$C8120)), "")*24*60, "")</f>
        <v/>
      </c>
      <c r="O8121" s="24" t="str" cm="1">
        <f t="array" ref="O8121">IFERROR(IF($B8121=O$1, ($A8121+$C8121) - MAX(IF($B$2:$B8120=$B8121, $A$2:$A8120+$C$2:$C8120)), "")*24*60, "")</f>
        <v/>
      </c>
      <c r="P8121" s="24" t="str" cm="1">
        <f t="array" ref="P8121">IFERROR(IF($B8121=P$1, ($A8121+$C8121) - MAX(IF($B$2:$B8120=$B8121, $A$2:$A8120+$C$2:$C8120)), "")*24*60, "")</f>
        <v/>
      </c>
      <c r="Q8121" s="24" t="str" cm="1">
        <f t="array" ref="Q8121">IFERROR(IF($B8121=Q$1, ($A8121+$C8121) - MAX(IF($B$2:$B8120=$B8121, $A$2:$A8120+$C$2:$C8120)), "")*24*60, "")</f>
        <v/>
      </c>
      <c r="R8121" s="24" t="str" cm="1">
        <f t="array" ref="R8121">IFERROR(IF($B8121=R$1, ($A8121+$C8121) - MAX(IF($B$2:$B8120=$B8121, $A$2:$A8120+$C$2:$C8120)), "")*24*60, "")</f>
        <v/>
      </c>
      <c r="S8121" s="24" t="str" cm="1">
        <f t="array" ref="S8121">IFERROR(IF($B8121=S$1, ($A8121+$C8121) - MAX(IF($B$2:$B8120=$B8121, $A$2:$A8120+$C$2:$C8120)), "")*24*60, "")</f>
        <v/>
      </c>
    </row>
    <row r="8122" spans="1:19" x14ac:dyDescent="0.2">
      <c r="A8122" s="12">
        <f t="shared" ref="A8122:C8122" si="1616">A8121</f>
        <v>46021</v>
      </c>
      <c r="B8122" s="5" t="str">
        <f t="shared" si="1616"/>
        <v>Northern Cardinal</v>
      </c>
      <c r="C8122" s="6">
        <f t="shared" si="1616"/>
        <v>0.7319444444444444</v>
      </c>
      <c r="D8122" s="5"/>
      <c r="E8122" s="5"/>
      <c r="F8122" s="5" t="s">
        <v>9</v>
      </c>
      <c r="G8122" s="15" t="s">
        <v>8</v>
      </c>
      <c r="H8122" s="24">
        <f t="shared" si="1590"/>
        <v>0</v>
      </c>
      <c r="I8122" s="24" cm="1">
        <f t="array" ref="I8122">IFERROR(IF($B8122=I$1, ($A8122+$C8122) - MAX(IF($B$2:$B8121=$B8122, $A$2:$A8121+$C$2:$C8121)), "")*24*60, "")</f>
        <v>0</v>
      </c>
      <c r="J8122" s="24" t="str" cm="1">
        <f t="array" ref="J8122">IFERROR(IF($B8122=J$1, ($A8122+$C8122) - MAX(IF($B$2:$B8121=$B8122, $A$2:$A8121+$C$2:$C8121)), "")*24*60, "")</f>
        <v/>
      </c>
      <c r="K8122" s="24" t="str" cm="1">
        <f t="array" ref="K8122">IFERROR(IF($B8122=K$1, ($A8122+$C8122) - MAX(IF($B$2:$B8121=$B8122, $A$2:$A8121+$C$2:$C8121)), "")*24*60, "")</f>
        <v/>
      </c>
      <c r="L8122" s="24" t="str" cm="1">
        <f t="array" ref="L8122">IFERROR(IF($B8122=L$1, ($A8122+$C8122) - MAX(IF($B$2:$B8121=$B8122, $A$2:$A8121+$C$2:$C8121)), "")*24*60, "")</f>
        <v/>
      </c>
      <c r="M8122" s="24" t="str" cm="1">
        <f t="array" ref="M8122">IFERROR(IF($B8122=M$1, ($A8122+$C8122) - MAX(IF($B$2:$B8121=$B8122, $A$2:$A8121+$C$2:$C8121)), "")*24*60, "")</f>
        <v/>
      </c>
      <c r="N8122" s="24" t="str" cm="1">
        <f t="array" ref="N8122">IFERROR(IF($B8122=N$1, ($A8122+$C8122) - MAX(IF($B$2:$B8121=$B8122, $A$2:$A8121+$C$2:$C8121)), "")*24*60, "")</f>
        <v/>
      </c>
      <c r="O8122" s="24" t="str" cm="1">
        <f t="array" ref="O8122">IFERROR(IF($B8122=O$1, ($A8122+$C8122) - MAX(IF($B$2:$B8121=$B8122, $A$2:$A8121+$C$2:$C8121)), "")*24*60, "")</f>
        <v/>
      </c>
      <c r="P8122" s="24" t="str" cm="1">
        <f t="array" ref="P8122">IFERROR(IF($B8122=P$1, ($A8122+$C8122) - MAX(IF($B$2:$B8121=$B8122, $A$2:$A8121+$C$2:$C8121)), "")*24*60, "")</f>
        <v/>
      </c>
      <c r="Q8122" s="24" t="str" cm="1">
        <f t="array" ref="Q8122">IFERROR(IF($B8122=Q$1, ($A8122+$C8122) - MAX(IF($B$2:$B8121=$B8122, $A$2:$A8121+$C$2:$C8121)), "")*24*60, "")</f>
        <v/>
      </c>
      <c r="R8122" s="24" t="str" cm="1">
        <f t="array" ref="R8122">IFERROR(IF($B8122=R$1, ($A8122+$C8122) - MAX(IF($B$2:$B8121=$B8122, $A$2:$A8121+$C$2:$C8121)), "")*24*60, "")</f>
        <v/>
      </c>
      <c r="S8122" s="24" t="str" cm="1">
        <f t="array" ref="S8122">IFERROR(IF($B8122=S$1, ($A8122+$C8122) - MAX(IF($B$2:$B8121=$B8122, $A$2:$A8121+$C$2:$C8121)), "")*24*60, "")</f>
        <v/>
      </c>
    </row>
    <row r="8123" spans="1:19" x14ac:dyDescent="0.2">
      <c r="A8123" s="12">
        <f t="shared" ref="A8123:C8123" si="1617">A8122</f>
        <v>46021</v>
      </c>
      <c r="B8123" s="5" t="str">
        <f t="shared" si="1617"/>
        <v>Northern Cardinal</v>
      </c>
      <c r="C8123" s="6">
        <f t="shared" si="1617"/>
        <v>0.7319444444444444</v>
      </c>
      <c r="D8123" s="5"/>
      <c r="E8123" s="5"/>
      <c r="F8123" s="5" t="s">
        <v>9</v>
      </c>
      <c r="G8123" s="15" t="s">
        <v>8</v>
      </c>
      <c r="H8123" s="24">
        <f t="shared" si="1590"/>
        <v>0</v>
      </c>
      <c r="I8123" s="24" cm="1">
        <f t="array" ref="I8123">IFERROR(IF($B8123=I$1, ($A8123+$C8123) - MAX(IF($B$2:$B8122=$B8123, $A$2:$A8122+$C$2:$C8122)), "")*24*60, "")</f>
        <v>0</v>
      </c>
      <c r="J8123" s="24" t="str" cm="1">
        <f t="array" ref="J8123">IFERROR(IF($B8123=J$1, ($A8123+$C8123) - MAX(IF($B$2:$B8122=$B8123, $A$2:$A8122+$C$2:$C8122)), "")*24*60, "")</f>
        <v/>
      </c>
      <c r="K8123" s="24" t="str" cm="1">
        <f t="array" ref="K8123">IFERROR(IF($B8123=K$1, ($A8123+$C8123) - MAX(IF($B$2:$B8122=$B8123, $A$2:$A8122+$C$2:$C8122)), "")*24*60, "")</f>
        <v/>
      </c>
      <c r="L8123" s="24" t="str" cm="1">
        <f t="array" ref="L8123">IFERROR(IF($B8123=L$1, ($A8123+$C8123) - MAX(IF($B$2:$B8122=$B8123, $A$2:$A8122+$C$2:$C8122)), "")*24*60, "")</f>
        <v/>
      </c>
      <c r="M8123" s="24" t="str" cm="1">
        <f t="array" ref="M8123">IFERROR(IF($B8123=M$1, ($A8123+$C8123) - MAX(IF($B$2:$B8122=$B8123, $A$2:$A8122+$C$2:$C8122)), "")*24*60, "")</f>
        <v/>
      </c>
      <c r="N8123" s="24" t="str" cm="1">
        <f t="array" ref="N8123">IFERROR(IF($B8123=N$1, ($A8123+$C8123) - MAX(IF($B$2:$B8122=$B8123, $A$2:$A8122+$C$2:$C8122)), "")*24*60, "")</f>
        <v/>
      </c>
      <c r="O8123" s="24" t="str" cm="1">
        <f t="array" ref="O8123">IFERROR(IF($B8123=O$1, ($A8123+$C8123) - MAX(IF($B$2:$B8122=$B8123, $A$2:$A8122+$C$2:$C8122)), "")*24*60, "")</f>
        <v/>
      </c>
      <c r="P8123" s="24" t="str" cm="1">
        <f t="array" ref="P8123">IFERROR(IF($B8123=P$1, ($A8123+$C8123) - MAX(IF($B$2:$B8122=$B8123, $A$2:$A8122+$C$2:$C8122)), "")*24*60, "")</f>
        <v/>
      </c>
      <c r="Q8123" s="24" t="str" cm="1">
        <f t="array" ref="Q8123">IFERROR(IF($B8123=Q$1, ($A8123+$C8123) - MAX(IF($B$2:$B8122=$B8123, $A$2:$A8122+$C$2:$C8122)), "")*24*60, "")</f>
        <v/>
      </c>
      <c r="R8123" s="24" t="str" cm="1">
        <f t="array" ref="R8123">IFERROR(IF($B8123=R$1, ($A8123+$C8123) - MAX(IF($B$2:$B8122=$B8123, $A$2:$A8122+$C$2:$C8122)), "")*24*60, "")</f>
        <v/>
      </c>
      <c r="S8123" s="24" t="str" cm="1">
        <f t="array" ref="S8123">IFERROR(IF($B8123=S$1, ($A8123+$C8123) - MAX(IF($B$2:$B8122=$B8123, $A$2:$A8122+$C$2:$C8122)), "")*24*60, "")</f>
        <v/>
      </c>
    </row>
    <row r="8124" spans="1:19" x14ac:dyDescent="0.2">
      <c r="A8124" s="12">
        <f t="shared" ref="A8124:C8124" si="1618">A8123</f>
        <v>46021</v>
      </c>
      <c r="B8124" s="5" t="str">
        <f t="shared" si="1618"/>
        <v>Northern Cardinal</v>
      </c>
      <c r="C8124" s="6">
        <f t="shared" si="1618"/>
        <v>0.7319444444444444</v>
      </c>
      <c r="D8124" s="5"/>
      <c r="E8124" s="5"/>
      <c r="F8124" s="5" t="s">
        <v>9</v>
      </c>
      <c r="G8124" s="15" t="s">
        <v>8</v>
      </c>
      <c r="H8124" s="24">
        <f t="shared" si="1590"/>
        <v>0</v>
      </c>
      <c r="I8124" s="24" cm="1">
        <f t="array" ref="I8124">IFERROR(IF($B8124=I$1, ($A8124+$C8124) - MAX(IF($B$2:$B8123=$B8124, $A$2:$A8123+$C$2:$C8123)), "")*24*60, "")</f>
        <v>0</v>
      </c>
      <c r="J8124" s="24" t="str" cm="1">
        <f t="array" ref="J8124">IFERROR(IF($B8124=J$1, ($A8124+$C8124) - MAX(IF($B$2:$B8123=$B8124, $A$2:$A8123+$C$2:$C8123)), "")*24*60, "")</f>
        <v/>
      </c>
      <c r="K8124" s="24" t="str" cm="1">
        <f t="array" ref="K8124">IFERROR(IF($B8124=K$1, ($A8124+$C8124) - MAX(IF($B$2:$B8123=$B8124, $A$2:$A8123+$C$2:$C8123)), "")*24*60, "")</f>
        <v/>
      </c>
      <c r="L8124" s="24" t="str" cm="1">
        <f t="array" ref="L8124">IFERROR(IF($B8124=L$1, ($A8124+$C8124) - MAX(IF($B$2:$B8123=$B8124, $A$2:$A8123+$C$2:$C8123)), "")*24*60, "")</f>
        <v/>
      </c>
      <c r="M8124" s="24" t="str" cm="1">
        <f t="array" ref="M8124">IFERROR(IF($B8124=M$1, ($A8124+$C8124) - MAX(IF($B$2:$B8123=$B8124, $A$2:$A8123+$C$2:$C8123)), "")*24*60, "")</f>
        <v/>
      </c>
      <c r="N8124" s="24" t="str" cm="1">
        <f t="array" ref="N8124">IFERROR(IF($B8124=N$1, ($A8124+$C8124) - MAX(IF($B$2:$B8123=$B8124, $A$2:$A8123+$C$2:$C8123)), "")*24*60, "")</f>
        <v/>
      </c>
      <c r="O8124" s="24" t="str" cm="1">
        <f t="array" ref="O8124">IFERROR(IF($B8124=O$1, ($A8124+$C8124) - MAX(IF($B$2:$B8123=$B8124, $A$2:$A8123+$C$2:$C8123)), "")*24*60, "")</f>
        <v/>
      </c>
      <c r="P8124" s="24" t="str" cm="1">
        <f t="array" ref="P8124">IFERROR(IF($B8124=P$1, ($A8124+$C8124) - MAX(IF($B$2:$B8123=$B8124, $A$2:$A8123+$C$2:$C8123)), "")*24*60, "")</f>
        <v/>
      </c>
      <c r="Q8124" s="24" t="str" cm="1">
        <f t="array" ref="Q8124">IFERROR(IF($B8124=Q$1, ($A8124+$C8124) - MAX(IF($B$2:$B8123=$B8124, $A$2:$A8123+$C$2:$C8123)), "")*24*60, "")</f>
        <v/>
      </c>
      <c r="R8124" s="24" t="str" cm="1">
        <f t="array" ref="R8124">IFERROR(IF($B8124=R$1, ($A8124+$C8124) - MAX(IF($B$2:$B8123=$B8124, $A$2:$A8123+$C$2:$C8123)), "")*24*60, "")</f>
        <v/>
      </c>
      <c r="S8124" s="24" t="str" cm="1">
        <f t="array" ref="S8124">IFERROR(IF($B8124=S$1, ($A8124+$C8124) - MAX(IF($B$2:$B8123=$B8124, $A$2:$A8123+$C$2:$C8123)), "")*24*60, "")</f>
        <v/>
      </c>
    </row>
    <row r="8125" spans="1:19" x14ac:dyDescent="0.2">
      <c r="A8125" s="12">
        <f t="shared" ref="A8125:C8125" si="1619">A8124</f>
        <v>46021</v>
      </c>
      <c r="B8125" s="5" t="str">
        <f t="shared" si="1619"/>
        <v>Northern Cardinal</v>
      </c>
      <c r="C8125" s="6">
        <f t="shared" si="1619"/>
        <v>0.7319444444444444</v>
      </c>
      <c r="D8125" s="5"/>
      <c r="E8125" s="5"/>
      <c r="F8125" s="5" t="s">
        <v>9</v>
      </c>
      <c r="G8125" s="15" t="s">
        <v>8</v>
      </c>
      <c r="H8125" s="24">
        <f t="shared" si="1590"/>
        <v>0</v>
      </c>
      <c r="I8125" s="24" cm="1">
        <f t="array" ref="I8125">IFERROR(IF($B8125=I$1, ($A8125+$C8125) - MAX(IF($B$2:$B8124=$B8125, $A$2:$A8124+$C$2:$C8124)), "")*24*60, "")</f>
        <v>0</v>
      </c>
      <c r="J8125" s="24" t="str" cm="1">
        <f t="array" ref="J8125">IFERROR(IF($B8125=J$1, ($A8125+$C8125) - MAX(IF($B$2:$B8124=$B8125, $A$2:$A8124+$C$2:$C8124)), "")*24*60, "")</f>
        <v/>
      </c>
      <c r="K8125" s="24" t="str" cm="1">
        <f t="array" ref="K8125">IFERROR(IF($B8125=K$1, ($A8125+$C8125) - MAX(IF($B$2:$B8124=$B8125, $A$2:$A8124+$C$2:$C8124)), "")*24*60, "")</f>
        <v/>
      </c>
      <c r="L8125" s="24" t="str" cm="1">
        <f t="array" ref="L8125">IFERROR(IF($B8125=L$1, ($A8125+$C8125) - MAX(IF($B$2:$B8124=$B8125, $A$2:$A8124+$C$2:$C8124)), "")*24*60, "")</f>
        <v/>
      </c>
      <c r="M8125" s="24" t="str" cm="1">
        <f t="array" ref="M8125">IFERROR(IF($B8125=M$1, ($A8125+$C8125) - MAX(IF($B$2:$B8124=$B8125, $A$2:$A8124+$C$2:$C8124)), "")*24*60, "")</f>
        <v/>
      </c>
      <c r="N8125" s="24" t="str" cm="1">
        <f t="array" ref="N8125">IFERROR(IF($B8125=N$1, ($A8125+$C8125) - MAX(IF($B$2:$B8124=$B8125, $A$2:$A8124+$C$2:$C8124)), "")*24*60, "")</f>
        <v/>
      </c>
      <c r="O8125" s="24" t="str" cm="1">
        <f t="array" ref="O8125">IFERROR(IF($B8125=O$1, ($A8125+$C8125) - MAX(IF($B$2:$B8124=$B8125, $A$2:$A8124+$C$2:$C8124)), "")*24*60, "")</f>
        <v/>
      </c>
      <c r="P8125" s="24" t="str" cm="1">
        <f t="array" ref="P8125">IFERROR(IF($B8125=P$1, ($A8125+$C8125) - MAX(IF($B$2:$B8124=$B8125, $A$2:$A8124+$C$2:$C8124)), "")*24*60, "")</f>
        <v/>
      </c>
      <c r="Q8125" s="24" t="str" cm="1">
        <f t="array" ref="Q8125">IFERROR(IF($B8125=Q$1, ($A8125+$C8125) - MAX(IF($B$2:$B8124=$B8125, $A$2:$A8124+$C$2:$C8124)), "")*24*60, "")</f>
        <v/>
      </c>
      <c r="R8125" s="24" t="str" cm="1">
        <f t="array" ref="R8125">IFERROR(IF($B8125=R$1, ($A8125+$C8125) - MAX(IF($B$2:$B8124=$B8125, $A$2:$A8124+$C$2:$C8124)), "")*24*60, "")</f>
        <v/>
      </c>
      <c r="S8125" s="24" t="str" cm="1">
        <f t="array" ref="S8125">IFERROR(IF($B8125=S$1, ($A8125+$C8125) - MAX(IF($B$2:$B8124=$B8125, $A$2:$A8124+$C$2:$C8124)), "")*24*60, "")</f>
        <v/>
      </c>
    </row>
    <row r="8126" spans="1:19" x14ac:dyDescent="0.2">
      <c r="A8126" s="12">
        <f t="shared" ref="A8126:C8126" si="1620">A8125</f>
        <v>46021</v>
      </c>
      <c r="B8126" s="5" t="str">
        <f t="shared" si="1620"/>
        <v>Northern Cardinal</v>
      </c>
      <c r="C8126" s="6">
        <f t="shared" si="1620"/>
        <v>0.7319444444444444</v>
      </c>
      <c r="D8126" s="5"/>
      <c r="E8126" s="5"/>
      <c r="F8126" s="5" t="s">
        <v>9</v>
      </c>
      <c r="G8126" s="15" t="s">
        <v>8</v>
      </c>
      <c r="H8126" s="24">
        <f t="shared" si="1590"/>
        <v>0</v>
      </c>
      <c r="I8126" s="24" cm="1">
        <f t="array" ref="I8126">IFERROR(IF($B8126=I$1, ($A8126+$C8126) - MAX(IF($B$2:$B8125=$B8126, $A$2:$A8125+$C$2:$C8125)), "")*24*60, "")</f>
        <v>0</v>
      </c>
      <c r="J8126" s="24" t="str" cm="1">
        <f t="array" ref="J8126">IFERROR(IF($B8126=J$1, ($A8126+$C8126) - MAX(IF($B$2:$B8125=$B8126, $A$2:$A8125+$C$2:$C8125)), "")*24*60, "")</f>
        <v/>
      </c>
      <c r="K8126" s="24" t="str" cm="1">
        <f t="array" ref="K8126">IFERROR(IF($B8126=K$1, ($A8126+$C8126) - MAX(IF($B$2:$B8125=$B8126, $A$2:$A8125+$C$2:$C8125)), "")*24*60, "")</f>
        <v/>
      </c>
      <c r="L8126" s="24" t="str" cm="1">
        <f t="array" ref="L8126">IFERROR(IF($B8126=L$1, ($A8126+$C8126) - MAX(IF($B$2:$B8125=$B8126, $A$2:$A8125+$C$2:$C8125)), "")*24*60, "")</f>
        <v/>
      </c>
      <c r="M8126" s="24" t="str" cm="1">
        <f t="array" ref="M8126">IFERROR(IF($B8126=M$1, ($A8126+$C8126) - MAX(IF($B$2:$B8125=$B8126, $A$2:$A8125+$C$2:$C8125)), "")*24*60, "")</f>
        <v/>
      </c>
      <c r="N8126" s="24" t="str" cm="1">
        <f t="array" ref="N8126">IFERROR(IF($B8126=N$1, ($A8126+$C8126) - MAX(IF($B$2:$B8125=$B8126, $A$2:$A8125+$C$2:$C8125)), "")*24*60, "")</f>
        <v/>
      </c>
      <c r="O8126" s="24" t="str" cm="1">
        <f t="array" ref="O8126">IFERROR(IF($B8126=O$1, ($A8126+$C8126) - MAX(IF($B$2:$B8125=$B8126, $A$2:$A8125+$C$2:$C8125)), "")*24*60, "")</f>
        <v/>
      </c>
      <c r="P8126" s="24" t="str" cm="1">
        <f t="array" ref="P8126">IFERROR(IF($B8126=P$1, ($A8126+$C8126) - MAX(IF($B$2:$B8125=$B8126, $A$2:$A8125+$C$2:$C8125)), "")*24*60, "")</f>
        <v/>
      </c>
      <c r="Q8126" s="24" t="str" cm="1">
        <f t="array" ref="Q8126">IFERROR(IF($B8126=Q$1, ($A8126+$C8126) - MAX(IF($B$2:$B8125=$B8126, $A$2:$A8125+$C$2:$C8125)), "")*24*60, "")</f>
        <v/>
      </c>
      <c r="R8126" s="24" t="str" cm="1">
        <f t="array" ref="R8126">IFERROR(IF($B8126=R$1, ($A8126+$C8126) - MAX(IF($B$2:$B8125=$B8126, $A$2:$A8125+$C$2:$C8125)), "")*24*60, "")</f>
        <v/>
      </c>
      <c r="S8126" s="24" t="str" cm="1">
        <f t="array" ref="S8126">IFERROR(IF($B8126=S$1, ($A8126+$C8126) - MAX(IF($B$2:$B8125=$B8126, $A$2:$A8125+$C$2:$C8125)), "")*24*60, "")</f>
        <v/>
      </c>
    </row>
    <row r="8127" spans="1:19" x14ac:dyDescent="0.2">
      <c r="A8127" s="12">
        <f t="shared" ref="A8127:C8127" si="1621">A8126</f>
        <v>46021</v>
      </c>
      <c r="B8127" s="5" t="str">
        <f t="shared" si="1621"/>
        <v>Northern Cardinal</v>
      </c>
      <c r="C8127" s="6">
        <f t="shared" si="1621"/>
        <v>0.7319444444444444</v>
      </c>
      <c r="D8127" s="5"/>
      <c r="E8127" s="5"/>
      <c r="F8127" s="5" t="s">
        <v>9</v>
      </c>
      <c r="G8127" s="15" t="s">
        <v>8</v>
      </c>
      <c r="H8127" s="24">
        <f t="shared" si="1590"/>
        <v>0</v>
      </c>
      <c r="I8127" s="24" cm="1">
        <f t="array" ref="I8127">IFERROR(IF($B8127=I$1, ($A8127+$C8127) - MAX(IF($B$2:$B8126=$B8127, $A$2:$A8126+$C$2:$C8126)), "")*24*60, "")</f>
        <v>0</v>
      </c>
      <c r="J8127" s="24" t="str" cm="1">
        <f t="array" ref="J8127">IFERROR(IF($B8127=J$1, ($A8127+$C8127) - MAX(IF($B$2:$B8126=$B8127, $A$2:$A8126+$C$2:$C8126)), "")*24*60, "")</f>
        <v/>
      </c>
      <c r="K8127" s="24" t="str" cm="1">
        <f t="array" ref="K8127">IFERROR(IF($B8127=K$1, ($A8127+$C8127) - MAX(IF($B$2:$B8126=$B8127, $A$2:$A8126+$C$2:$C8126)), "")*24*60, "")</f>
        <v/>
      </c>
      <c r="L8127" s="24" t="str" cm="1">
        <f t="array" ref="L8127">IFERROR(IF($B8127=L$1, ($A8127+$C8127) - MAX(IF($B$2:$B8126=$B8127, $A$2:$A8126+$C$2:$C8126)), "")*24*60, "")</f>
        <v/>
      </c>
      <c r="M8127" s="24" t="str" cm="1">
        <f t="array" ref="M8127">IFERROR(IF($B8127=M$1, ($A8127+$C8127) - MAX(IF($B$2:$B8126=$B8127, $A$2:$A8126+$C$2:$C8126)), "")*24*60, "")</f>
        <v/>
      </c>
      <c r="N8127" s="24" t="str" cm="1">
        <f t="array" ref="N8127">IFERROR(IF($B8127=N$1, ($A8127+$C8127) - MAX(IF($B$2:$B8126=$B8127, $A$2:$A8126+$C$2:$C8126)), "")*24*60, "")</f>
        <v/>
      </c>
      <c r="O8127" s="24" t="str" cm="1">
        <f t="array" ref="O8127">IFERROR(IF($B8127=O$1, ($A8127+$C8127) - MAX(IF($B$2:$B8126=$B8127, $A$2:$A8126+$C$2:$C8126)), "")*24*60, "")</f>
        <v/>
      </c>
      <c r="P8127" s="24" t="str" cm="1">
        <f t="array" ref="P8127">IFERROR(IF($B8127=P$1, ($A8127+$C8127) - MAX(IF($B$2:$B8126=$B8127, $A$2:$A8126+$C$2:$C8126)), "")*24*60, "")</f>
        <v/>
      </c>
      <c r="Q8127" s="24" t="str" cm="1">
        <f t="array" ref="Q8127">IFERROR(IF($B8127=Q$1, ($A8127+$C8127) - MAX(IF($B$2:$B8126=$B8127, $A$2:$A8126+$C$2:$C8126)), "")*24*60, "")</f>
        <v/>
      </c>
      <c r="R8127" s="24" t="str" cm="1">
        <f t="array" ref="R8127">IFERROR(IF($B8127=R$1, ($A8127+$C8127) - MAX(IF($B$2:$B8126=$B8127, $A$2:$A8126+$C$2:$C8126)), "")*24*60, "")</f>
        <v/>
      </c>
      <c r="S8127" s="24" t="str" cm="1">
        <f t="array" ref="S8127">IFERROR(IF($B8127=S$1, ($A8127+$C8127) - MAX(IF($B$2:$B8126=$B8127, $A$2:$A8126+$C$2:$C8126)), "")*24*60, "")</f>
        <v/>
      </c>
    </row>
    <row r="8128" spans="1:19" x14ac:dyDescent="0.2">
      <c r="A8128" s="12">
        <f t="shared" ref="A8128:C8128" si="1622">A8127</f>
        <v>46021</v>
      </c>
      <c r="B8128" s="5" t="str">
        <f t="shared" si="1622"/>
        <v>Northern Cardinal</v>
      </c>
      <c r="C8128" s="6">
        <f t="shared" si="1622"/>
        <v>0.7319444444444444</v>
      </c>
      <c r="D8128" s="5"/>
      <c r="E8128" s="5"/>
      <c r="F8128" s="5" t="s">
        <v>9</v>
      </c>
      <c r="G8128" s="15" t="s">
        <v>8</v>
      </c>
      <c r="H8128" s="24">
        <f t="shared" si="1590"/>
        <v>0</v>
      </c>
      <c r="I8128" s="24" cm="1">
        <f t="array" ref="I8128">IFERROR(IF($B8128=I$1, ($A8128+$C8128) - MAX(IF($B$2:$B8127=$B8128, $A$2:$A8127+$C$2:$C8127)), "")*24*60, "")</f>
        <v>0</v>
      </c>
      <c r="J8128" s="24" t="str" cm="1">
        <f t="array" ref="J8128">IFERROR(IF($B8128=J$1, ($A8128+$C8128) - MAX(IF($B$2:$B8127=$B8128, $A$2:$A8127+$C$2:$C8127)), "")*24*60, "")</f>
        <v/>
      </c>
      <c r="K8128" s="24" t="str" cm="1">
        <f t="array" ref="K8128">IFERROR(IF($B8128=K$1, ($A8128+$C8128) - MAX(IF($B$2:$B8127=$B8128, $A$2:$A8127+$C$2:$C8127)), "")*24*60, "")</f>
        <v/>
      </c>
      <c r="L8128" s="24" t="str" cm="1">
        <f t="array" ref="L8128">IFERROR(IF($B8128=L$1, ($A8128+$C8128) - MAX(IF($B$2:$B8127=$B8128, $A$2:$A8127+$C$2:$C8127)), "")*24*60, "")</f>
        <v/>
      </c>
      <c r="M8128" s="24" t="str" cm="1">
        <f t="array" ref="M8128">IFERROR(IF($B8128=M$1, ($A8128+$C8128) - MAX(IF($B$2:$B8127=$B8128, $A$2:$A8127+$C$2:$C8127)), "")*24*60, "")</f>
        <v/>
      </c>
      <c r="N8128" s="24" t="str" cm="1">
        <f t="array" ref="N8128">IFERROR(IF($B8128=N$1, ($A8128+$C8128) - MAX(IF($B$2:$B8127=$B8128, $A$2:$A8127+$C$2:$C8127)), "")*24*60, "")</f>
        <v/>
      </c>
      <c r="O8128" s="24" t="str" cm="1">
        <f t="array" ref="O8128">IFERROR(IF($B8128=O$1, ($A8128+$C8128) - MAX(IF($B$2:$B8127=$B8128, $A$2:$A8127+$C$2:$C8127)), "")*24*60, "")</f>
        <v/>
      </c>
      <c r="P8128" s="24" t="str" cm="1">
        <f t="array" ref="P8128">IFERROR(IF($B8128=P$1, ($A8128+$C8128) - MAX(IF($B$2:$B8127=$B8128, $A$2:$A8127+$C$2:$C8127)), "")*24*60, "")</f>
        <v/>
      </c>
      <c r="Q8128" s="24" t="str" cm="1">
        <f t="array" ref="Q8128">IFERROR(IF($B8128=Q$1, ($A8128+$C8128) - MAX(IF($B$2:$B8127=$B8128, $A$2:$A8127+$C$2:$C8127)), "")*24*60, "")</f>
        <v/>
      </c>
      <c r="R8128" s="24" t="str" cm="1">
        <f t="array" ref="R8128">IFERROR(IF($B8128=R$1, ($A8128+$C8128) - MAX(IF($B$2:$B8127=$B8128, $A$2:$A8127+$C$2:$C8127)), "")*24*60, "")</f>
        <v/>
      </c>
      <c r="S8128" s="24" t="str" cm="1">
        <f t="array" ref="S8128">IFERROR(IF($B8128=S$1, ($A8128+$C8128) - MAX(IF($B$2:$B8127=$B8128, $A$2:$A8127+$C$2:$C8127)), "")*24*60, "")</f>
        <v/>
      </c>
    </row>
    <row r="8129" spans="1:19" x14ac:dyDescent="0.2">
      <c r="A8129" s="12">
        <f t="shared" ref="A8129:C8129" si="1623">A8128</f>
        <v>46021</v>
      </c>
      <c r="B8129" s="5" t="str">
        <f t="shared" si="1623"/>
        <v>Northern Cardinal</v>
      </c>
      <c r="C8129" s="6">
        <f t="shared" si="1623"/>
        <v>0.7319444444444444</v>
      </c>
      <c r="D8129" s="5"/>
      <c r="E8129" s="5"/>
      <c r="F8129" s="5" t="s">
        <v>9</v>
      </c>
      <c r="G8129" s="15" t="s">
        <v>8</v>
      </c>
      <c r="H8129" s="24">
        <f t="shared" si="1590"/>
        <v>0</v>
      </c>
      <c r="I8129" s="24" cm="1">
        <f t="array" ref="I8129">IFERROR(IF($B8129=I$1, ($A8129+$C8129) - MAX(IF($B$2:$B8128=$B8129, $A$2:$A8128+$C$2:$C8128)), "")*24*60, "")</f>
        <v>0</v>
      </c>
      <c r="J8129" s="24" t="str" cm="1">
        <f t="array" ref="J8129">IFERROR(IF($B8129=J$1, ($A8129+$C8129) - MAX(IF($B$2:$B8128=$B8129, $A$2:$A8128+$C$2:$C8128)), "")*24*60, "")</f>
        <v/>
      </c>
      <c r="K8129" s="24" t="str" cm="1">
        <f t="array" ref="K8129">IFERROR(IF($B8129=K$1, ($A8129+$C8129) - MAX(IF($B$2:$B8128=$B8129, $A$2:$A8128+$C$2:$C8128)), "")*24*60, "")</f>
        <v/>
      </c>
      <c r="L8129" s="24" t="str" cm="1">
        <f t="array" ref="L8129">IFERROR(IF($B8129=L$1, ($A8129+$C8129) - MAX(IF($B$2:$B8128=$B8129, $A$2:$A8128+$C$2:$C8128)), "")*24*60, "")</f>
        <v/>
      </c>
      <c r="M8129" s="24" t="str" cm="1">
        <f t="array" ref="M8129">IFERROR(IF($B8129=M$1, ($A8129+$C8129) - MAX(IF($B$2:$B8128=$B8129, $A$2:$A8128+$C$2:$C8128)), "")*24*60, "")</f>
        <v/>
      </c>
      <c r="N8129" s="24" t="str" cm="1">
        <f t="array" ref="N8129">IFERROR(IF($B8129=N$1, ($A8129+$C8129) - MAX(IF($B$2:$B8128=$B8129, $A$2:$A8128+$C$2:$C8128)), "")*24*60, "")</f>
        <v/>
      </c>
      <c r="O8129" s="24" t="str" cm="1">
        <f t="array" ref="O8129">IFERROR(IF($B8129=O$1, ($A8129+$C8129) - MAX(IF($B$2:$B8128=$B8129, $A$2:$A8128+$C$2:$C8128)), "")*24*60, "")</f>
        <v/>
      </c>
      <c r="P8129" s="24" t="str" cm="1">
        <f t="array" ref="P8129">IFERROR(IF($B8129=P$1, ($A8129+$C8129) - MAX(IF($B$2:$B8128=$B8129, $A$2:$A8128+$C$2:$C8128)), "")*24*60, "")</f>
        <v/>
      </c>
      <c r="Q8129" s="24" t="str" cm="1">
        <f t="array" ref="Q8129">IFERROR(IF($B8129=Q$1, ($A8129+$C8129) - MAX(IF($B$2:$B8128=$B8129, $A$2:$A8128+$C$2:$C8128)), "")*24*60, "")</f>
        <v/>
      </c>
      <c r="R8129" s="24" t="str" cm="1">
        <f t="array" ref="R8129">IFERROR(IF($B8129=R$1, ($A8129+$C8129) - MAX(IF($B$2:$B8128=$B8129, $A$2:$A8128+$C$2:$C8128)), "")*24*60, "")</f>
        <v/>
      </c>
      <c r="S8129" s="24" t="str" cm="1">
        <f t="array" ref="S8129">IFERROR(IF($B8129=S$1, ($A8129+$C8129) - MAX(IF($B$2:$B8128=$B8129, $A$2:$A8128+$C$2:$C8128)), "")*24*60, "")</f>
        <v/>
      </c>
    </row>
    <row r="8130" spans="1:19" x14ac:dyDescent="0.2">
      <c r="A8130" s="12">
        <f t="shared" ref="A8130:C8130" si="1624">A8129</f>
        <v>46021</v>
      </c>
      <c r="B8130" s="5" t="str">
        <f t="shared" si="1624"/>
        <v>Northern Cardinal</v>
      </c>
      <c r="C8130" s="6">
        <f t="shared" si="1624"/>
        <v>0.7319444444444444</v>
      </c>
      <c r="D8130" s="5"/>
      <c r="E8130" s="5"/>
      <c r="F8130" s="5" t="s">
        <v>9</v>
      </c>
      <c r="G8130" s="15" t="s">
        <v>8</v>
      </c>
      <c r="H8130" s="24">
        <f t="shared" si="1590"/>
        <v>0</v>
      </c>
      <c r="I8130" s="24" cm="1">
        <f t="array" ref="I8130">IFERROR(IF($B8130=I$1, ($A8130+$C8130) - MAX(IF($B$2:$B8129=$B8130, $A$2:$A8129+$C$2:$C8129)), "")*24*60, "")</f>
        <v>0</v>
      </c>
      <c r="J8130" s="24" t="str" cm="1">
        <f t="array" ref="J8130">IFERROR(IF($B8130=J$1, ($A8130+$C8130) - MAX(IF($B$2:$B8129=$B8130, $A$2:$A8129+$C$2:$C8129)), "")*24*60, "")</f>
        <v/>
      </c>
      <c r="K8130" s="24" t="str" cm="1">
        <f t="array" ref="K8130">IFERROR(IF($B8130=K$1, ($A8130+$C8130) - MAX(IF($B$2:$B8129=$B8130, $A$2:$A8129+$C$2:$C8129)), "")*24*60, "")</f>
        <v/>
      </c>
      <c r="L8130" s="24" t="str" cm="1">
        <f t="array" ref="L8130">IFERROR(IF($B8130=L$1, ($A8130+$C8130) - MAX(IF($B$2:$B8129=$B8130, $A$2:$A8129+$C$2:$C8129)), "")*24*60, "")</f>
        <v/>
      </c>
      <c r="M8130" s="24" t="str" cm="1">
        <f t="array" ref="M8130">IFERROR(IF($B8130=M$1, ($A8130+$C8130) - MAX(IF($B$2:$B8129=$B8130, $A$2:$A8129+$C$2:$C8129)), "")*24*60, "")</f>
        <v/>
      </c>
      <c r="N8130" s="24" t="str" cm="1">
        <f t="array" ref="N8130">IFERROR(IF($B8130=N$1, ($A8130+$C8130) - MAX(IF($B$2:$B8129=$B8130, $A$2:$A8129+$C$2:$C8129)), "")*24*60, "")</f>
        <v/>
      </c>
      <c r="O8130" s="24" t="str" cm="1">
        <f t="array" ref="O8130">IFERROR(IF($B8130=O$1, ($A8130+$C8130) - MAX(IF($B$2:$B8129=$B8130, $A$2:$A8129+$C$2:$C8129)), "")*24*60, "")</f>
        <v/>
      </c>
      <c r="P8130" s="24" t="str" cm="1">
        <f t="array" ref="P8130">IFERROR(IF($B8130=P$1, ($A8130+$C8130) - MAX(IF($B$2:$B8129=$B8130, $A$2:$A8129+$C$2:$C8129)), "")*24*60, "")</f>
        <v/>
      </c>
      <c r="Q8130" s="24" t="str" cm="1">
        <f t="array" ref="Q8130">IFERROR(IF($B8130=Q$1, ($A8130+$C8130) - MAX(IF($B$2:$B8129=$B8130, $A$2:$A8129+$C$2:$C8129)), "")*24*60, "")</f>
        <v/>
      </c>
      <c r="R8130" s="24" t="str" cm="1">
        <f t="array" ref="R8130">IFERROR(IF($B8130=R$1, ($A8130+$C8130) - MAX(IF($B$2:$B8129=$B8130, $A$2:$A8129+$C$2:$C8129)), "")*24*60, "")</f>
        <v/>
      </c>
      <c r="S8130" s="24" t="str" cm="1">
        <f t="array" ref="S8130">IFERROR(IF($B8130=S$1, ($A8130+$C8130) - MAX(IF($B$2:$B8129=$B8130, $A$2:$A8129+$C$2:$C8129)), "")*24*60, "")</f>
        <v/>
      </c>
    </row>
    <row r="8131" spans="1:19" x14ac:dyDescent="0.2">
      <c r="A8131" s="12">
        <f t="shared" ref="A8131:C8131" si="1625">A8130</f>
        <v>46021</v>
      </c>
      <c r="B8131" s="5" t="str">
        <f t="shared" si="1625"/>
        <v>Northern Cardinal</v>
      </c>
      <c r="C8131" s="6">
        <f t="shared" si="1625"/>
        <v>0.7319444444444444</v>
      </c>
      <c r="D8131" s="5"/>
      <c r="E8131" s="5"/>
      <c r="F8131" s="5" t="s">
        <v>9</v>
      </c>
      <c r="G8131" s="15" t="s">
        <v>8</v>
      </c>
      <c r="H8131" s="24">
        <f t="shared" si="1590"/>
        <v>0</v>
      </c>
      <c r="I8131" s="24" cm="1">
        <f t="array" ref="I8131">IFERROR(IF($B8131=I$1, ($A8131+$C8131) - MAX(IF($B$2:$B8130=$B8131, $A$2:$A8130+$C$2:$C8130)), "")*24*60, "")</f>
        <v>0</v>
      </c>
      <c r="J8131" s="24" t="str" cm="1">
        <f t="array" ref="J8131">IFERROR(IF($B8131=J$1, ($A8131+$C8131) - MAX(IF($B$2:$B8130=$B8131, $A$2:$A8130+$C$2:$C8130)), "")*24*60, "")</f>
        <v/>
      </c>
      <c r="K8131" s="24" t="str" cm="1">
        <f t="array" ref="K8131">IFERROR(IF($B8131=K$1, ($A8131+$C8131) - MAX(IF($B$2:$B8130=$B8131, $A$2:$A8130+$C$2:$C8130)), "")*24*60, "")</f>
        <v/>
      </c>
      <c r="L8131" s="24" t="str" cm="1">
        <f t="array" ref="L8131">IFERROR(IF($B8131=L$1, ($A8131+$C8131) - MAX(IF($B$2:$B8130=$B8131, $A$2:$A8130+$C$2:$C8130)), "")*24*60, "")</f>
        <v/>
      </c>
      <c r="M8131" s="24" t="str" cm="1">
        <f t="array" ref="M8131">IFERROR(IF($B8131=M$1, ($A8131+$C8131) - MAX(IF($B$2:$B8130=$B8131, $A$2:$A8130+$C$2:$C8130)), "")*24*60, "")</f>
        <v/>
      </c>
      <c r="N8131" s="24" t="str" cm="1">
        <f t="array" ref="N8131">IFERROR(IF($B8131=N$1, ($A8131+$C8131) - MAX(IF($B$2:$B8130=$B8131, $A$2:$A8130+$C$2:$C8130)), "")*24*60, "")</f>
        <v/>
      </c>
      <c r="O8131" s="24" t="str" cm="1">
        <f t="array" ref="O8131">IFERROR(IF($B8131=O$1, ($A8131+$C8131) - MAX(IF($B$2:$B8130=$B8131, $A$2:$A8130+$C$2:$C8130)), "")*24*60, "")</f>
        <v/>
      </c>
      <c r="P8131" s="24" t="str" cm="1">
        <f t="array" ref="P8131">IFERROR(IF($B8131=P$1, ($A8131+$C8131) - MAX(IF($B$2:$B8130=$B8131, $A$2:$A8130+$C$2:$C8130)), "")*24*60, "")</f>
        <v/>
      </c>
      <c r="Q8131" s="24" t="str" cm="1">
        <f t="array" ref="Q8131">IFERROR(IF($B8131=Q$1, ($A8131+$C8131) - MAX(IF($B$2:$B8130=$B8131, $A$2:$A8130+$C$2:$C8130)), "")*24*60, "")</f>
        <v/>
      </c>
      <c r="R8131" s="24" t="str" cm="1">
        <f t="array" ref="R8131">IFERROR(IF($B8131=R$1, ($A8131+$C8131) - MAX(IF($B$2:$B8130=$B8131, $A$2:$A8130+$C$2:$C8130)), "")*24*60, "")</f>
        <v/>
      </c>
      <c r="S8131" s="24" t="str" cm="1">
        <f t="array" ref="S8131">IFERROR(IF($B8131=S$1, ($A8131+$C8131) - MAX(IF($B$2:$B8130=$B8131, $A$2:$A8130+$C$2:$C8130)), "")*24*60, "")</f>
        <v/>
      </c>
    </row>
    <row r="8132" spans="1:19" x14ac:dyDescent="0.2">
      <c r="A8132" s="12">
        <f t="shared" ref="A8132:C8132" si="1626">A8131</f>
        <v>46021</v>
      </c>
      <c r="B8132" s="5" t="str">
        <f t="shared" si="1626"/>
        <v>Northern Cardinal</v>
      </c>
      <c r="C8132" s="6">
        <f t="shared" si="1626"/>
        <v>0.7319444444444444</v>
      </c>
      <c r="D8132" s="5"/>
      <c r="E8132" s="5"/>
      <c r="F8132" s="5" t="s">
        <v>9</v>
      </c>
      <c r="G8132" s="15" t="s">
        <v>8</v>
      </c>
      <c r="H8132" s="24">
        <f t="shared" si="1590"/>
        <v>0</v>
      </c>
      <c r="I8132" s="24" cm="1">
        <f t="array" ref="I8132">IFERROR(IF($B8132=I$1, ($A8132+$C8132) - MAX(IF($B$2:$B8131=$B8132, $A$2:$A8131+$C$2:$C8131)), "")*24*60, "")</f>
        <v>0</v>
      </c>
      <c r="J8132" s="24" t="str" cm="1">
        <f t="array" ref="J8132">IFERROR(IF($B8132=J$1, ($A8132+$C8132) - MAX(IF($B$2:$B8131=$B8132, $A$2:$A8131+$C$2:$C8131)), "")*24*60, "")</f>
        <v/>
      </c>
      <c r="K8132" s="24" t="str" cm="1">
        <f t="array" ref="K8132">IFERROR(IF($B8132=K$1, ($A8132+$C8132) - MAX(IF($B$2:$B8131=$B8132, $A$2:$A8131+$C$2:$C8131)), "")*24*60, "")</f>
        <v/>
      </c>
      <c r="L8132" s="24" t="str" cm="1">
        <f t="array" ref="L8132">IFERROR(IF($B8132=L$1, ($A8132+$C8132) - MAX(IF($B$2:$B8131=$B8132, $A$2:$A8131+$C$2:$C8131)), "")*24*60, "")</f>
        <v/>
      </c>
      <c r="M8132" s="24" t="str" cm="1">
        <f t="array" ref="M8132">IFERROR(IF($B8132=M$1, ($A8132+$C8132) - MAX(IF($B$2:$B8131=$B8132, $A$2:$A8131+$C$2:$C8131)), "")*24*60, "")</f>
        <v/>
      </c>
      <c r="N8132" s="24" t="str" cm="1">
        <f t="array" ref="N8132">IFERROR(IF($B8132=N$1, ($A8132+$C8132) - MAX(IF($B$2:$B8131=$B8132, $A$2:$A8131+$C$2:$C8131)), "")*24*60, "")</f>
        <v/>
      </c>
      <c r="O8132" s="24" t="str" cm="1">
        <f t="array" ref="O8132">IFERROR(IF($B8132=O$1, ($A8132+$C8132) - MAX(IF($B$2:$B8131=$B8132, $A$2:$A8131+$C$2:$C8131)), "")*24*60, "")</f>
        <v/>
      </c>
      <c r="P8132" s="24" t="str" cm="1">
        <f t="array" ref="P8132">IFERROR(IF($B8132=P$1, ($A8132+$C8132) - MAX(IF($B$2:$B8131=$B8132, $A$2:$A8131+$C$2:$C8131)), "")*24*60, "")</f>
        <v/>
      </c>
      <c r="Q8132" s="24" t="str" cm="1">
        <f t="array" ref="Q8132">IFERROR(IF($B8132=Q$1, ($A8132+$C8132) - MAX(IF($B$2:$B8131=$B8132, $A$2:$A8131+$C$2:$C8131)), "")*24*60, "")</f>
        <v/>
      </c>
      <c r="R8132" s="24" t="str" cm="1">
        <f t="array" ref="R8132">IFERROR(IF($B8132=R$1, ($A8132+$C8132) - MAX(IF($B$2:$B8131=$B8132, $A$2:$A8131+$C$2:$C8131)), "")*24*60, "")</f>
        <v/>
      </c>
      <c r="S8132" s="24" t="str" cm="1">
        <f t="array" ref="S8132">IFERROR(IF($B8132=S$1, ($A8132+$C8132) - MAX(IF($B$2:$B8131=$B8132, $A$2:$A8131+$C$2:$C8131)), "")*24*60, "")</f>
        <v/>
      </c>
    </row>
    <row r="8133" spans="1:19" x14ac:dyDescent="0.2">
      <c r="A8133" s="12">
        <f t="shared" ref="A8133:C8133" si="1627">A8132</f>
        <v>46021</v>
      </c>
      <c r="B8133" s="5" t="str">
        <f t="shared" si="1627"/>
        <v>Northern Cardinal</v>
      </c>
      <c r="C8133" s="6">
        <f t="shared" si="1627"/>
        <v>0.7319444444444444</v>
      </c>
      <c r="D8133" s="5"/>
      <c r="E8133" s="5"/>
      <c r="F8133" s="5" t="s">
        <v>9</v>
      </c>
      <c r="G8133" s="15" t="s">
        <v>8</v>
      </c>
      <c r="H8133" s="24">
        <f t="shared" si="1590"/>
        <v>0</v>
      </c>
      <c r="I8133" s="24" cm="1">
        <f t="array" ref="I8133">IFERROR(IF($B8133=I$1, ($A8133+$C8133) - MAX(IF($B$2:$B8132=$B8133, $A$2:$A8132+$C$2:$C8132)), "")*24*60, "")</f>
        <v>0</v>
      </c>
      <c r="J8133" s="24" t="str" cm="1">
        <f t="array" ref="J8133">IFERROR(IF($B8133=J$1, ($A8133+$C8133) - MAX(IF($B$2:$B8132=$B8133, $A$2:$A8132+$C$2:$C8132)), "")*24*60, "")</f>
        <v/>
      </c>
      <c r="K8133" s="24" t="str" cm="1">
        <f t="array" ref="K8133">IFERROR(IF($B8133=K$1, ($A8133+$C8133) - MAX(IF($B$2:$B8132=$B8133, $A$2:$A8132+$C$2:$C8132)), "")*24*60, "")</f>
        <v/>
      </c>
      <c r="L8133" s="24" t="str" cm="1">
        <f t="array" ref="L8133">IFERROR(IF($B8133=L$1, ($A8133+$C8133) - MAX(IF($B$2:$B8132=$B8133, $A$2:$A8132+$C$2:$C8132)), "")*24*60, "")</f>
        <v/>
      </c>
      <c r="M8133" s="24" t="str" cm="1">
        <f t="array" ref="M8133">IFERROR(IF($B8133=M$1, ($A8133+$C8133) - MAX(IF($B$2:$B8132=$B8133, $A$2:$A8132+$C$2:$C8132)), "")*24*60, "")</f>
        <v/>
      </c>
      <c r="N8133" s="24" t="str" cm="1">
        <f t="array" ref="N8133">IFERROR(IF($B8133=N$1, ($A8133+$C8133) - MAX(IF($B$2:$B8132=$B8133, $A$2:$A8132+$C$2:$C8132)), "")*24*60, "")</f>
        <v/>
      </c>
      <c r="O8133" s="24" t="str" cm="1">
        <f t="array" ref="O8133">IFERROR(IF($B8133=O$1, ($A8133+$C8133) - MAX(IF($B$2:$B8132=$B8133, $A$2:$A8132+$C$2:$C8132)), "")*24*60, "")</f>
        <v/>
      </c>
      <c r="P8133" s="24" t="str" cm="1">
        <f t="array" ref="P8133">IFERROR(IF($B8133=P$1, ($A8133+$C8133) - MAX(IF($B$2:$B8132=$B8133, $A$2:$A8132+$C$2:$C8132)), "")*24*60, "")</f>
        <v/>
      </c>
      <c r="Q8133" s="24" t="str" cm="1">
        <f t="array" ref="Q8133">IFERROR(IF($B8133=Q$1, ($A8133+$C8133) - MAX(IF($B$2:$B8132=$B8133, $A$2:$A8132+$C$2:$C8132)), "")*24*60, "")</f>
        <v/>
      </c>
      <c r="R8133" s="24" t="str" cm="1">
        <f t="array" ref="R8133">IFERROR(IF($B8133=R$1, ($A8133+$C8133) - MAX(IF($B$2:$B8132=$B8133, $A$2:$A8132+$C$2:$C8132)), "")*24*60, "")</f>
        <v/>
      </c>
      <c r="S8133" s="24" t="str" cm="1">
        <f t="array" ref="S8133">IFERROR(IF($B8133=S$1, ($A8133+$C8133) - MAX(IF($B$2:$B8132=$B8133, $A$2:$A8132+$C$2:$C8132)), "")*24*60, "")</f>
        <v/>
      </c>
    </row>
    <row r="8134" spans="1:19" x14ac:dyDescent="0.2">
      <c r="A8134" s="12">
        <f t="shared" ref="A8134:C8134" si="1628">A8133</f>
        <v>46021</v>
      </c>
      <c r="B8134" s="5" t="str">
        <f t="shared" si="1628"/>
        <v>Northern Cardinal</v>
      </c>
      <c r="C8134" s="6">
        <f t="shared" si="1628"/>
        <v>0.7319444444444444</v>
      </c>
      <c r="D8134" s="5"/>
      <c r="E8134" s="5"/>
      <c r="F8134" s="5" t="s">
        <v>9</v>
      </c>
      <c r="G8134" s="15" t="s">
        <v>8</v>
      </c>
      <c r="H8134" s="24">
        <f t="shared" si="1590"/>
        <v>0</v>
      </c>
      <c r="I8134" s="24" cm="1">
        <f t="array" ref="I8134">IFERROR(IF($B8134=I$1, ($A8134+$C8134) - MAX(IF($B$2:$B8133=$B8134, $A$2:$A8133+$C$2:$C8133)), "")*24*60, "")</f>
        <v>0</v>
      </c>
      <c r="J8134" s="24" t="str" cm="1">
        <f t="array" ref="J8134">IFERROR(IF($B8134=J$1, ($A8134+$C8134) - MAX(IF($B$2:$B8133=$B8134, $A$2:$A8133+$C$2:$C8133)), "")*24*60, "")</f>
        <v/>
      </c>
      <c r="K8134" s="24" t="str" cm="1">
        <f t="array" ref="K8134">IFERROR(IF($B8134=K$1, ($A8134+$C8134) - MAX(IF($B$2:$B8133=$B8134, $A$2:$A8133+$C$2:$C8133)), "")*24*60, "")</f>
        <v/>
      </c>
      <c r="L8134" s="24" t="str" cm="1">
        <f t="array" ref="L8134">IFERROR(IF($B8134=L$1, ($A8134+$C8134) - MAX(IF($B$2:$B8133=$B8134, $A$2:$A8133+$C$2:$C8133)), "")*24*60, "")</f>
        <v/>
      </c>
      <c r="M8134" s="24" t="str" cm="1">
        <f t="array" ref="M8134">IFERROR(IF($B8134=M$1, ($A8134+$C8134) - MAX(IF($B$2:$B8133=$B8134, $A$2:$A8133+$C$2:$C8133)), "")*24*60, "")</f>
        <v/>
      </c>
      <c r="N8134" s="24" t="str" cm="1">
        <f t="array" ref="N8134">IFERROR(IF($B8134=N$1, ($A8134+$C8134) - MAX(IF($B$2:$B8133=$B8134, $A$2:$A8133+$C$2:$C8133)), "")*24*60, "")</f>
        <v/>
      </c>
      <c r="O8134" s="24" t="str" cm="1">
        <f t="array" ref="O8134">IFERROR(IF($B8134=O$1, ($A8134+$C8134) - MAX(IF($B$2:$B8133=$B8134, $A$2:$A8133+$C$2:$C8133)), "")*24*60, "")</f>
        <v/>
      </c>
      <c r="P8134" s="24" t="str" cm="1">
        <f t="array" ref="P8134">IFERROR(IF($B8134=P$1, ($A8134+$C8134) - MAX(IF($B$2:$B8133=$B8134, $A$2:$A8133+$C$2:$C8133)), "")*24*60, "")</f>
        <v/>
      </c>
      <c r="Q8134" s="24" t="str" cm="1">
        <f t="array" ref="Q8134">IFERROR(IF($B8134=Q$1, ($A8134+$C8134) - MAX(IF($B$2:$B8133=$B8134, $A$2:$A8133+$C$2:$C8133)), "")*24*60, "")</f>
        <v/>
      </c>
      <c r="R8134" s="24" t="str" cm="1">
        <f t="array" ref="R8134">IFERROR(IF($B8134=R$1, ($A8134+$C8134) - MAX(IF($B$2:$B8133=$B8134, $A$2:$A8133+$C$2:$C8133)), "")*24*60, "")</f>
        <v/>
      </c>
      <c r="S8134" s="24" t="str" cm="1">
        <f t="array" ref="S8134">IFERROR(IF($B8134=S$1, ($A8134+$C8134) - MAX(IF($B$2:$B8133=$B8134, $A$2:$A8133+$C$2:$C8133)), "")*24*60, "")</f>
        <v/>
      </c>
    </row>
    <row r="8135" spans="1:19" x14ac:dyDescent="0.2">
      <c r="A8135" s="12">
        <f t="shared" ref="A8135:C8135" si="1629">A8134</f>
        <v>46021</v>
      </c>
      <c r="B8135" s="5" t="str">
        <f t="shared" si="1629"/>
        <v>Northern Cardinal</v>
      </c>
      <c r="C8135" s="6">
        <f t="shared" si="1629"/>
        <v>0.7319444444444444</v>
      </c>
      <c r="D8135" s="5"/>
      <c r="E8135" s="5"/>
      <c r="F8135" s="5" t="s">
        <v>9</v>
      </c>
      <c r="G8135" s="15" t="s">
        <v>8</v>
      </c>
      <c r="H8135" s="24">
        <f t="shared" si="1590"/>
        <v>0</v>
      </c>
      <c r="I8135" s="24" cm="1">
        <f t="array" ref="I8135">IFERROR(IF($B8135=I$1, ($A8135+$C8135) - MAX(IF($B$2:$B8134=$B8135, $A$2:$A8134+$C$2:$C8134)), "")*24*60, "")</f>
        <v>0</v>
      </c>
      <c r="J8135" s="24" t="str" cm="1">
        <f t="array" ref="J8135">IFERROR(IF($B8135=J$1, ($A8135+$C8135) - MAX(IF($B$2:$B8134=$B8135, $A$2:$A8134+$C$2:$C8134)), "")*24*60, "")</f>
        <v/>
      </c>
      <c r="K8135" s="24" t="str" cm="1">
        <f t="array" ref="K8135">IFERROR(IF($B8135=K$1, ($A8135+$C8135) - MAX(IF($B$2:$B8134=$B8135, $A$2:$A8134+$C$2:$C8134)), "")*24*60, "")</f>
        <v/>
      </c>
      <c r="L8135" s="24" t="str" cm="1">
        <f t="array" ref="L8135">IFERROR(IF($B8135=L$1, ($A8135+$C8135) - MAX(IF($B$2:$B8134=$B8135, $A$2:$A8134+$C$2:$C8134)), "")*24*60, "")</f>
        <v/>
      </c>
      <c r="M8135" s="24" t="str" cm="1">
        <f t="array" ref="M8135">IFERROR(IF($B8135=M$1, ($A8135+$C8135) - MAX(IF($B$2:$B8134=$B8135, $A$2:$A8134+$C$2:$C8134)), "")*24*60, "")</f>
        <v/>
      </c>
      <c r="N8135" s="24" t="str" cm="1">
        <f t="array" ref="N8135">IFERROR(IF($B8135=N$1, ($A8135+$C8135) - MAX(IF($B$2:$B8134=$B8135, $A$2:$A8134+$C$2:$C8134)), "")*24*60, "")</f>
        <v/>
      </c>
      <c r="O8135" s="24" t="str" cm="1">
        <f t="array" ref="O8135">IFERROR(IF($B8135=O$1, ($A8135+$C8135) - MAX(IF($B$2:$B8134=$B8135, $A$2:$A8134+$C$2:$C8134)), "")*24*60, "")</f>
        <v/>
      </c>
      <c r="P8135" s="24" t="str" cm="1">
        <f t="array" ref="P8135">IFERROR(IF($B8135=P$1, ($A8135+$C8135) - MAX(IF($B$2:$B8134=$B8135, $A$2:$A8134+$C$2:$C8134)), "")*24*60, "")</f>
        <v/>
      </c>
      <c r="Q8135" s="24" t="str" cm="1">
        <f t="array" ref="Q8135">IFERROR(IF($B8135=Q$1, ($A8135+$C8135) - MAX(IF($B$2:$B8134=$B8135, $A$2:$A8134+$C$2:$C8134)), "")*24*60, "")</f>
        <v/>
      </c>
      <c r="R8135" s="24" t="str" cm="1">
        <f t="array" ref="R8135">IFERROR(IF($B8135=R$1, ($A8135+$C8135) - MAX(IF($B$2:$B8134=$B8135, $A$2:$A8134+$C$2:$C8134)), "")*24*60, "")</f>
        <v/>
      </c>
      <c r="S8135" s="24" t="str" cm="1">
        <f t="array" ref="S8135">IFERROR(IF($B8135=S$1, ($A8135+$C8135) - MAX(IF($B$2:$B8134=$B8135, $A$2:$A8134+$C$2:$C8134)), "")*24*60, "")</f>
        <v/>
      </c>
    </row>
    <row r="8136" spans="1:19" x14ac:dyDescent="0.2">
      <c r="A8136" s="12">
        <f t="shared" ref="A8136:C8136" si="1630">A8135</f>
        <v>46021</v>
      </c>
      <c r="B8136" s="5" t="str">
        <f t="shared" si="1630"/>
        <v>Northern Cardinal</v>
      </c>
      <c r="C8136" s="6">
        <f t="shared" si="1630"/>
        <v>0.7319444444444444</v>
      </c>
      <c r="D8136" s="5"/>
      <c r="E8136" s="5"/>
      <c r="F8136" s="5" t="s">
        <v>9</v>
      </c>
      <c r="G8136" s="15" t="s">
        <v>8</v>
      </c>
      <c r="H8136" s="24">
        <f t="shared" si="1590"/>
        <v>0</v>
      </c>
      <c r="I8136" s="24" cm="1">
        <f t="array" ref="I8136">IFERROR(IF($B8136=I$1, ($A8136+$C8136) - MAX(IF($B$2:$B8135=$B8136, $A$2:$A8135+$C$2:$C8135)), "")*24*60, "")</f>
        <v>0</v>
      </c>
      <c r="J8136" s="24" t="str" cm="1">
        <f t="array" ref="J8136">IFERROR(IF($B8136=J$1, ($A8136+$C8136) - MAX(IF($B$2:$B8135=$B8136, $A$2:$A8135+$C$2:$C8135)), "")*24*60, "")</f>
        <v/>
      </c>
      <c r="K8136" s="24" t="str" cm="1">
        <f t="array" ref="K8136">IFERROR(IF($B8136=K$1, ($A8136+$C8136) - MAX(IF($B$2:$B8135=$B8136, $A$2:$A8135+$C$2:$C8135)), "")*24*60, "")</f>
        <v/>
      </c>
      <c r="L8136" s="24" t="str" cm="1">
        <f t="array" ref="L8136">IFERROR(IF($B8136=L$1, ($A8136+$C8136) - MAX(IF($B$2:$B8135=$B8136, $A$2:$A8135+$C$2:$C8135)), "")*24*60, "")</f>
        <v/>
      </c>
      <c r="M8136" s="24" t="str" cm="1">
        <f t="array" ref="M8136">IFERROR(IF($B8136=M$1, ($A8136+$C8136) - MAX(IF($B$2:$B8135=$B8136, $A$2:$A8135+$C$2:$C8135)), "")*24*60, "")</f>
        <v/>
      </c>
      <c r="N8136" s="24" t="str" cm="1">
        <f t="array" ref="N8136">IFERROR(IF($B8136=N$1, ($A8136+$C8136) - MAX(IF($B$2:$B8135=$B8136, $A$2:$A8135+$C$2:$C8135)), "")*24*60, "")</f>
        <v/>
      </c>
      <c r="O8136" s="24" t="str" cm="1">
        <f t="array" ref="O8136">IFERROR(IF($B8136=O$1, ($A8136+$C8136) - MAX(IF($B$2:$B8135=$B8136, $A$2:$A8135+$C$2:$C8135)), "")*24*60, "")</f>
        <v/>
      </c>
      <c r="P8136" s="24" t="str" cm="1">
        <f t="array" ref="P8136">IFERROR(IF($B8136=P$1, ($A8136+$C8136) - MAX(IF($B$2:$B8135=$B8136, $A$2:$A8135+$C$2:$C8135)), "")*24*60, "")</f>
        <v/>
      </c>
      <c r="Q8136" s="24" t="str" cm="1">
        <f t="array" ref="Q8136">IFERROR(IF($B8136=Q$1, ($A8136+$C8136) - MAX(IF($B$2:$B8135=$B8136, $A$2:$A8135+$C$2:$C8135)), "")*24*60, "")</f>
        <v/>
      </c>
      <c r="R8136" s="24" t="str" cm="1">
        <f t="array" ref="R8136">IFERROR(IF($B8136=R$1, ($A8136+$C8136) - MAX(IF($B$2:$B8135=$B8136, $A$2:$A8135+$C$2:$C8135)), "")*24*60, "")</f>
        <v/>
      </c>
      <c r="S8136" s="24" t="str" cm="1">
        <f t="array" ref="S8136">IFERROR(IF($B8136=S$1, ($A8136+$C8136) - MAX(IF($B$2:$B8135=$B8136, $A$2:$A8135+$C$2:$C8135)), "")*24*60, "")</f>
        <v/>
      </c>
    </row>
    <row r="8137" spans="1:19" x14ac:dyDescent="0.2">
      <c r="A8137" s="12">
        <f t="shared" ref="A8137:C8137" si="1631">A8136</f>
        <v>46021</v>
      </c>
      <c r="B8137" s="5" t="str">
        <f t="shared" si="1631"/>
        <v>Northern Cardinal</v>
      </c>
      <c r="C8137" s="6">
        <f t="shared" si="1631"/>
        <v>0.7319444444444444</v>
      </c>
      <c r="D8137" s="5"/>
      <c r="E8137" s="5"/>
      <c r="F8137" s="5" t="s">
        <v>9</v>
      </c>
      <c r="G8137" s="15" t="s">
        <v>8</v>
      </c>
      <c r="H8137" s="24">
        <f t="shared" si="1590"/>
        <v>0</v>
      </c>
      <c r="I8137" s="24" cm="1">
        <f t="array" ref="I8137">IFERROR(IF($B8137=I$1, ($A8137+$C8137) - MAX(IF($B$2:$B8136=$B8137, $A$2:$A8136+$C$2:$C8136)), "")*24*60, "")</f>
        <v>0</v>
      </c>
      <c r="J8137" s="24" t="str" cm="1">
        <f t="array" ref="J8137">IFERROR(IF($B8137=J$1, ($A8137+$C8137) - MAX(IF($B$2:$B8136=$B8137, $A$2:$A8136+$C$2:$C8136)), "")*24*60, "")</f>
        <v/>
      </c>
      <c r="K8137" s="24" t="str" cm="1">
        <f t="array" ref="K8137">IFERROR(IF($B8137=K$1, ($A8137+$C8137) - MAX(IF($B$2:$B8136=$B8137, $A$2:$A8136+$C$2:$C8136)), "")*24*60, "")</f>
        <v/>
      </c>
      <c r="L8137" s="24" t="str" cm="1">
        <f t="array" ref="L8137">IFERROR(IF($B8137=L$1, ($A8137+$C8137) - MAX(IF($B$2:$B8136=$B8137, $A$2:$A8136+$C$2:$C8136)), "")*24*60, "")</f>
        <v/>
      </c>
      <c r="M8137" s="24" t="str" cm="1">
        <f t="array" ref="M8137">IFERROR(IF($B8137=M$1, ($A8137+$C8137) - MAX(IF($B$2:$B8136=$B8137, $A$2:$A8136+$C$2:$C8136)), "")*24*60, "")</f>
        <v/>
      </c>
      <c r="N8137" s="24" t="str" cm="1">
        <f t="array" ref="N8137">IFERROR(IF($B8137=N$1, ($A8137+$C8137) - MAX(IF($B$2:$B8136=$B8137, $A$2:$A8136+$C$2:$C8136)), "")*24*60, "")</f>
        <v/>
      </c>
      <c r="O8137" s="24" t="str" cm="1">
        <f t="array" ref="O8137">IFERROR(IF($B8137=O$1, ($A8137+$C8137) - MAX(IF($B$2:$B8136=$B8137, $A$2:$A8136+$C$2:$C8136)), "")*24*60, "")</f>
        <v/>
      </c>
      <c r="P8137" s="24" t="str" cm="1">
        <f t="array" ref="P8137">IFERROR(IF($B8137=P$1, ($A8137+$C8137) - MAX(IF($B$2:$B8136=$B8137, $A$2:$A8136+$C$2:$C8136)), "")*24*60, "")</f>
        <v/>
      </c>
      <c r="Q8137" s="24" t="str" cm="1">
        <f t="array" ref="Q8137">IFERROR(IF($B8137=Q$1, ($A8137+$C8137) - MAX(IF($B$2:$B8136=$B8137, $A$2:$A8136+$C$2:$C8136)), "")*24*60, "")</f>
        <v/>
      </c>
      <c r="R8137" s="24" t="str" cm="1">
        <f t="array" ref="R8137">IFERROR(IF($B8137=R$1, ($A8137+$C8137) - MAX(IF($B$2:$B8136=$B8137, $A$2:$A8136+$C$2:$C8136)), "")*24*60, "")</f>
        <v/>
      </c>
      <c r="S8137" s="24" t="str" cm="1">
        <f t="array" ref="S8137">IFERROR(IF($B8137=S$1, ($A8137+$C8137) - MAX(IF($B$2:$B8136=$B8137, $A$2:$A8136+$C$2:$C8136)), "")*24*60, "")</f>
        <v/>
      </c>
    </row>
    <row r="8138" spans="1:19" x14ac:dyDescent="0.2">
      <c r="A8138" s="12">
        <f t="shared" ref="A8138:C8138" si="1632">A8137</f>
        <v>46021</v>
      </c>
      <c r="B8138" s="5" t="str">
        <f t="shared" si="1632"/>
        <v>Northern Cardinal</v>
      </c>
      <c r="C8138" s="6">
        <f t="shared" si="1632"/>
        <v>0.7319444444444444</v>
      </c>
      <c r="D8138" s="5"/>
      <c r="E8138" s="5"/>
      <c r="F8138" s="5" t="s">
        <v>9</v>
      </c>
      <c r="G8138" s="15" t="s">
        <v>8</v>
      </c>
      <c r="H8138" s="24">
        <f t="shared" si="1590"/>
        <v>0</v>
      </c>
      <c r="I8138" s="24" cm="1">
        <f t="array" ref="I8138">IFERROR(IF($B8138=I$1, ($A8138+$C8138) - MAX(IF($B$2:$B8137=$B8138, $A$2:$A8137+$C$2:$C8137)), "")*24*60, "")</f>
        <v>0</v>
      </c>
      <c r="J8138" s="24" t="str" cm="1">
        <f t="array" ref="J8138">IFERROR(IF($B8138=J$1, ($A8138+$C8138) - MAX(IF($B$2:$B8137=$B8138, $A$2:$A8137+$C$2:$C8137)), "")*24*60, "")</f>
        <v/>
      </c>
      <c r="K8138" s="24" t="str" cm="1">
        <f t="array" ref="K8138">IFERROR(IF($B8138=K$1, ($A8138+$C8138) - MAX(IF($B$2:$B8137=$B8138, $A$2:$A8137+$C$2:$C8137)), "")*24*60, "")</f>
        <v/>
      </c>
      <c r="L8138" s="24" t="str" cm="1">
        <f t="array" ref="L8138">IFERROR(IF($B8138=L$1, ($A8138+$C8138) - MAX(IF($B$2:$B8137=$B8138, $A$2:$A8137+$C$2:$C8137)), "")*24*60, "")</f>
        <v/>
      </c>
      <c r="M8138" s="24" t="str" cm="1">
        <f t="array" ref="M8138">IFERROR(IF($B8138=M$1, ($A8138+$C8138) - MAX(IF($B$2:$B8137=$B8138, $A$2:$A8137+$C$2:$C8137)), "")*24*60, "")</f>
        <v/>
      </c>
      <c r="N8138" s="24" t="str" cm="1">
        <f t="array" ref="N8138">IFERROR(IF($B8138=N$1, ($A8138+$C8138) - MAX(IF($B$2:$B8137=$B8138, $A$2:$A8137+$C$2:$C8137)), "")*24*60, "")</f>
        <v/>
      </c>
      <c r="O8138" s="24" t="str" cm="1">
        <f t="array" ref="O8138">IFERROR(IF($B8138=O$1, ($A8138+$C8138) - MAX(IF($B$2:$B8137=$B8138, $A$2:$A8137+$C$2:$C8137)), "")*24*60, "")</f>
        <v/>
      </c>
      <c r="P8138" s="24" t="str" cm="1">
        <f t="array" ref="P8138">IFERROR(IF($B8138=P$1, ($A8138+$C8138) - MAX(IF($B$2:$B8137=$B8138, $A$2:$A8137+$C$2:$C8137)), "")*24*60, "")</f>
        <v/>
      </c>
      <c r="Q8138" s="24" t="str" cm="1">
        <f t="array" ref="Q8138">IFERROR(IF($B8138=Q$1, ($A8138+$C8138) - MAX(IF($B$2:$B8137=$B8138, $A$2:$A8137+$C$2:$C8137)), "")*24*60, "")</f>
        <v/>
      </c>
      <c r="R8138" s="24" t="str" cm="1">
        <f t="array" ref="R8138">IFERROR(IF($B8138=R$1, ($A8138+$C8138) - MAX(IF($B$2:$B8137=$B8138, $A$2:$A8137+$C$2:$C8137)), "")*24*60, "")</f>
        <v/>
      </c>
      <c r="S8138" s="24" t="str" cm="1">
        <f t="array" ref="S8138">IFERROR(IF($B8138=S$1, ($A8138+$C8138) - MAX(IF($B$2:$B8137=$B8138, $A$2:$A8137+$C$2:$C8137)), "")*24*60, "")</f>
        <v/>
      </c>
    </row>
    <row r="8139" spans="1:19" x14ac:dyDescent="0.2">
      <c r="A8139" s="12">
        <f t="shared" ref="A8139:C8139" si="1633">A8138</f>
        <v>46021</v>
      </c>
      <c r="B8139" s="5" t="str">
        <f t="shared" si="1633"/>
        <v>Northern Cardinal</v>
      </c>
      <c r="C8139" s="6">
        <f t="shared" si="1633"/>
        <v>0.7319444444444444</v>
      </c>
      <c r="D8139" s="5"/>
      <c r="E8139" s="5"/>
      <c r="F8139" s="5" t="s">
        <v>9</v>
      </c>
      <c r="G8139" s="15" t="s">
        <v>8</v>
      </c>
      <c r="H8139" s="24">
        <f t="shared" si="1590"/>
        <v>0</v>
      </c>
      <c r="I8139" s="24" cm="1">
        <f t="array" ref="I8139">IFERROR(IF($B8139=I$1, ($A8139+$C8139) - MAX(IF($B$2:$B8138=$B8139, $A$2:$A8138+$C$2:$C8138)), "")*24*60, "")</f>
        <v>0</v>
      </c>
      <c r="J8139" s="24" t="str" cm="1">
        <f t="array" ref="J8139">IFERROR(IF($B8139=J$1, ($A8139+$C8139) - MAX(IF($B$2:$B8138=$B8139, $A$2:$A8138+$C$2:$C8138)), "")*24*60, "")</f>
        <v/>
      </c>
      <c r="K8139" s="24" t="str" cm="1">
        <f t="array" ref="K8139">IFERROR(IF($B8139=K$1, ($A8139+$C8139) - MAX(IF($B$2:$B8138=$B8139, $A$2:$A8138+$C$2:$C8138)), "")*24*60, "")</f>
        <v/>
      </c>
      <c r="L8139" s="24" t="str" cm="1">
        <f t="array" ref="L8139">IFERROR(IF($B8139=L$1, ($A8139+$C8139) - MAX(IF($B$2:$B8138=$B8139, $A$2:$A8138+$C$2:$C8138)), "")*24*60, "")</f>
        <v/>
      </c>
      <c r="M8139" s="24" t="str" cm="1">
        <f t="array" ref="M8139">IFERROR(IF($B8139=M$1, ($A8139+$C8139) - MAX(IF($B$2:$B8138=$B8139, $A$2:$A8138+$C$2:$C8138)), "")*24*60, "")</f>
        <v/>
      </c>
      <c r="N8139" s="24" t="str" cm="1">
        <f t="array" ref="N8139">IFERROR(IF($B8139=N$1, ($A8139+$C8139) - MAX(IF($B$2:$B8138=$B8139, $A$2:$A8138+$C$2:$C8138)), "")*24*60, "")</f>
        <v/>
      </c>
      <c r="O8139" s="24" t="str" cm="1">
        <f t="array" ref="O8139">IFERROR(IF($B8139=O$1, ($A8139+$C8139) - MAX(IF($B$2:$B8138=$B8139, $A$2:$A8138+$C$2:$C8138)), "")*24*60, "")</f>
        <v/>
      </c>
      <c r="P8139" s="24" t="str" cm="1">
        <f t="array" ref="P8139">IFERROR(IF($B8139=P$1, ($A8139+$C8139) - MAX(IF($B$2:$B8138=$B8139, $A$2:$A8138+$C$2:$C8138)), "")*24*60, "")</f>
        <v/>
      </c>
      <c r="Q8139" s="24" t="str" cm="1">
        <f t="array" ref="Q8139">IFERROR(IF($B8139=Q$1, ($A8139+$C8139) - MAX(IF($B$2:$B8138=$B8139, $A$2:$A8138+$C$2:$C8138)), "")*24*60, "")</f>
        <v/>
      </c>
      <c r="R8139" s="24" t="str" cm="1">
        <f t="array" ref="R8139">IFERROR(IF($B8139=R$1, ($A8139+$C8139) - MAX(IF($B$2:$B8138=$B8139, $A$2:$A8138+$C$2:$C8138)), "")*24*60, "")</f>
        <v/>
      </c>
      <c r="S8139" s="24" t="str" cm="1">
        <f t="array" ref="S8139">IFERROR(IF($B8139=S$1, ($A8139+$C8139) - MAX(IF($B$2:$B8138=$B8139, $A$2:$A8138+$C$2:$C8138)), "")*24*60, "")</f>
        <v/>
      </c>
    </row>
    <row r="8140" spans="1:19" x14ac:dyDescent="0.2">
      <c r="A8140" s="12">
        <f t="shared" ref="A8140:C8140" si="1634">A8139</f>
        <v>46021</v>
      </c>
      <c r="B8140" s="5" t="str">
        <f t="shared" si="1634"/>
        <v>Northern Cardinal</v>
      </c>
      <c r="C8140" s="6">
        <f t="shared" si="1634"/>
        <v>0.7319444444444444</v>
      </c>
      <c r="D8140" s="5"/>
      <c r="E8140" s="5"/>
      <c r="F8140" s="5" t="s">
        <v>9</v>
      </c>
      <c r="G8140" s="15" t="s">
        <v>8</v>
      </c>
      <c r="H8140" s="24">
        <f t="shared" si="1590"/>
        <v>0</v>
      </c>
      <c r="I8140" s="24" cm="1">
        <f t="array" ref="I8140">IFERROR(IF($B8140=I$1, ($A8140+$C8140) - MAX(IF($B$2:$B8139=$B8140, $A$2:$A8139+$C$2:$C8139)), "")*24*60, "")</f>
        <v>0</v>
      </c>
      <c r="J8140" s="24" t="str" cm="1">
        <f t="array" ref="J8140">IFERROR(IF($B8140=J$1, ($A8140+$C8140) - MAX(IF($B$2:$B8139=$B8140, $A$2:$A8139+$C$2:$C8139)), "")*24*60, "")</f>
        <v/>
      </c>
      <c r="K8140" s="24" t="str" cm="1">
        <f t="array" ref="K8140">IFERROR(IF($B8140=K$1, ($A8140+$C8140) - MAX(IF($B$2:$B8139=$B8140, $A$2:$A8139+$C$2:$C8139)), "")*24*60, "")</f>
        <v/>
      </c>
      <c r="L8140" s="24" t="str" cm="1">
        <f t="array" ref="L8140">IFERROR(IF($B8140=L$1, ($A8140+$C8140) - MAX(IF($B$2:$B8139=$B8140, $A$2:$A8139+$C$2:$C8139)), "")*24*60, "")</f>
        <v/>
      </c>
      <c r="M8140" s="24" t="str" cm="1">
        <f t="array" ref="M8140">IFERROR(IF($B8140=M$1, ($A8140+$C8140) - MAX(IF($B$2:$B8139=$B8140, $A$2:$A8139+$C$2:$C8139)), "")*24*60, "")</f>
        <v/>
      </c>
      <c r="N8140" s="24" t="str" cm="1">
        <f t="array" ref="N8140">IFERROR(IF($B8140=N$1, ($A8140+$C8140) - MAX(IF($B$2:$B8139=$B8140, $A$2:$A8139+$C$2:$C8139)), "")*24*60, "")</f>
        <v/>
      </c>
      <c r="O8140" s="24" t="str" cm="1">
        <f t="array" ref="O8140">IFERROR(IF($B8140=O$1, ($A8140+$C8140) - MAX(IF($B$2:$B8139=$B8140, $A$2:$A8139+$C$2:$C8139)), "")*24*60, "")</f>
        <v/>
      </c>
      <c r="P8140" s="24" t="str" cm="1">
        <f t="array" ref="P8140">IFERROR(IF($B8140=P$1, ($A8140+$C8140) - MAX(IF($B$2:$B8139=$B8140, $A$2:$A8139+$C$2:$C8139)), "")*24*60, "")</f>
        <v/>
      </c>
      <c r="Q8140" s="24" t="str" cm="1">
        <f t="array" ref="Q8140">IFERROR(IF($B8140=Q$1, ($A8140+$C8140) - MAX(IF($B$2:$B8139=$B8140, $A$2:$A8139+$C$2:$C8139)), "")*24*60, "")</f>
        <v/>
      </c>
      <c r="R8140" s="24" t="str" cm="1">
        <f t="array" ref="R8140">IFERROR(IF($B8140=R$1, ($A8140+$C8140) - MAX(IF($B$2:$B8139=$B8140, $A$2:$A8139+$C$2:$C8139)), "")*24*60, "")</f>
        <v/>
      </c>
      <c r="S8140" s="24" t="str" cm="1">
        <f t="array" ref="S8140">IFERROR(IF($B8140=S$1, ($A8140+$C8140) - MAX(IF($B$2:$B8139=$B8140, $A$2:$A8139+$C$2:$C8139)), "")*24*60, "")</f>
        <v/>
      </c>
    </row>
    <row r="8141" spans="1:19" x14ac:dyDescent="0.2">
      <c r="A8141" s="12">
        <f t="shared" ref="A8141:C8141" si="1635">A8140</f>
        <v>46021</v>
      </c>
      <c r="B8141" s="5" t="str">
        <f t="shared" si="1635"/>
        <v>Northern Cardinal</v>
      </c>
      <c r="C8141" s="6">
        <f t="shared" si="1635"/>
        <v>0.7319444444444444</v>
      </c>
      <c r="D8141" s="5"/>
      <c r="E8141" s="5"/>
      <c r="F8141" s="5" t="s">
        <v>9</v>
      </c>
      <c r="G8141" s="15" t="s">
        <v>8</v>
      </c>
      <c r="H8141" s="24">
        <f t="shared" si="1590"/>
        <v>0</v>
      </c>
      <c r="I8141" s="24" cm="1">
        <f t="array" ref="I8141">IFERROR(IF($B8141=I$1, ($A8141+$C8141) - MAX(IF($B$2:$B8140=$B8141, $A$2:$A8140+$C$2:$C8140)), "")*24*60, "")</f>
        <v>0</v>
      </c>
      <c r="J8141" s="24" t="str" cm="1">
        <f t="array" ref="J8141">IFERROR(IF($B8141=J$1, ($A8141+$C8141) - MAX(IF($B$2:$B8140=$B8141, $A$2:$A8140+$C$2:$C8140)), "")*24*60, "")</f>
        <v/>
      </c>
      <c r="K8141" s="24" t="str" cm="1">
        <f t="array" ref="K8141">IFERROR(IF($B8141=K$1, ($A8141+$C8141) - MAX(IF($B$2:$B8140=$B8141, $A$2:$A8140+$C$2:$C8140)), "")*24*60, "")</f>
        <v/>
      </c>
      <c r="L8141" s="24" t="str" cm="1">
        <f t="array" ref="L8141">IFERROR(IF($B8141=L$1, ($A8141+$C8141) - MAX(IF($B$2:$B8140=$B8141, $A$2:$A8140+$C$2:$C8140)), "")*24*60, "")</f>
        <v/>
      </c>
      <c r="M8141" s="24" t="str" cm="1">
        <f t="array" ref="M8141">IFERROR(IF($B8141=M$1, ($A8141+$C8141) - MAX(IF($B$2:$B8140=$B8141, $A$2:$A8140+$C$2:$C8140)), "")*24*60, "")</f>
        <v/>
      </c>
      <c r="N8141" s="24" t="str" cm="1">
        <f t="array" ref="N8141">IFERROR(IF($B8141=N$1, ($A8141+$C8141) - MAX(IF($B$2:$B8140=$B8141, $A$2:$A8140+$C$2:$C8140)), "")*24*60, "")</f>
        <v/>
      </c>
      <c r="O8141" s="24" t="str" cm="1">
        <f t="array" ref="O8141">IFERROR(IF($B8141=O$1, ($A8141+$C8141) - MAX(IF($B$2:$B8140=$B8141, $A$2:$A8140+$C$2:$C8140)), "")*24*60, "")</f>
        <v/>
      </c>
      <c r="P8141" s="24" t="str" cm="1">
        <f t="array" ref="P8141">IFERROR(IF($B8141=P$1, ($A8141+$C8141) - MAX(IF($B$2:$B8140=$B8141, $A$2:$A8140+$C$2:$C8140)), "")*24*60, "")</f>
        <v/>
      </c>
      <c r="Q8141" s="24" t="str" cm="1">
        <f t="array" ref="Q8141">IFERROR(IF($B8141=Q$1, ($A8141+$C8141) - MAX(IF($B$2:$B8140=$B8141, $A$2:$A8140+$C$2:$C8140)), "")*24*60, "")</f>
        <v/>
      </c>
      <c r="R8141" s="24" t="str" cm="1">
        <f t="array" ref="R8141">IFERROR(IF($B8141=R$1, ($A8141+$C8141) - MAX(IF($B$2:$B8140=$B8141, $A$2:$A8140+$C$2:$C8140)), "")*24*60, "")</f>
        <v/>
      </c>
      <c r="S8141" s="24" t="str" cm="1">
        <f t="array" ref="S8141">IFERROR(IF($B8141=S$1, ($A8141+$C8141) - MAX(IF($B$2:$B8140=$B8141, $A$2:$A8140+$C$2:$C8140)), "")*24*60, "")</f>
        <v/>
      </c>
    </row>
    <row r="8142" spans="1:19" x14ac:dyDescent="0.2">
      <c r="A8142" s="12">
        <f t="shared" ref="A8142:C8142" si="1636">A8141</f>
        <v>46021</v>
      </c>
      <c r="B8142" s="5" t="str">
        <f t="shared" si="1636"/>
        <v>Northern Cardinal</v>
      </c>
      <c r="C8142" s="6">
        <f t="shared" si="1636"/>
        <v>0.7319444444444444</v>
      </c>
      <c r="D8142" s="5"/>
      <c r="E8142" s="5"/>
      <c r="F8142" s="5" t="s">
        <v>9</v>
      </c>
      <c r="G8142" s="15" t="s">
        <v>8</v>
      </c>
      <c r="H8142" s="24">
        <f t="shared" si="1590"/>
        <v>0</v>
      </c>
      <c r="I8142" s="24" cm="1">
        <f t="array" ref="I8142">IFERROR(IF($B8142=I$1, ($A8142+$C8142) - MAX(IF($B$2:$B8141=$B8142, $A$2:$A8141+$C$2:$C8141)), "")*24*60, "")</f>
        <v>0</v>
      </c>
      <c r="J8142" s="24" t="str" cm="1">
        <f t="array" ref="J8142">IFERROR(IF($B8142=J$1, ($A8142+$C8142) - MAX(IF($B$2:$B8141=$B8142, $A$2:$A8141+$C$2:$C8141)), "")*24*60, "")</f>
        <v/>
      </c>
      <c r="K8142" s="24" t="str" cm="1">
        <f t="array" ref="K8142">IFERROR(IF($B8142=K$1, ($A8142+$C8142) - MAX(IF($B$2:$B8141=$B8142, $A$2:$A8141+$C$2:$C8141)), "")*24*60, "")</f>
        <v/>
      </c>
      <c r="L8142" s="24" t="str" cm="1">
        <f t="array" ref="L8142">IFERROR(IF($B8142=L$1, ($A8142+$C8142) - MAX(IF($B$2:$B8141=$B8142, $A$2:$A8141+$C$2:$C8141)), "")*24*60, "")</f>
        <v/>
      </c>
      <c r="M8142" s="24" t="str" cm="1">
        <f t="array" ref="M8142">IFERROR(IF($B8142=M$1, ($A8142+$C8142) - MAX(IF($B$2:$B8141=$B8142, $A$2:$A8141+$C$2:$C8141)), "")*24*60, "")</f>
        <v/>
      </c>
      <c r="N8142" s="24" t="str" cm="1">
        <f t="array" ref="N8142">IFERROR(IF($B8142=N$1, ($A8142+$C8142) - MAX(IF($B$2:$B8141=$B8142, $A$2:$A8141+$C$2:$C8141)), "")*24*60, "")</f>
        <v/>
      </c>
      <c r="O8142" s="24" t="str" cm="1">
        <f t="array" ref="O8142">IFERROR(IF($B8142=O$1, ($A8142+$C8142) - MAX(IF($B$2:$B8141=$B8142, $A$2:$A8141+$C$2:$C8141)), "")*24*60, "")</f>
        <v/>
      </c>
      <c r="P8142" s="24" t="str" cm="1">
        <f t="array" ref="P8142">IFERROR(IF($B8142=P$1, ($A8142+$C8142) - MAX(IF($B$2:$B8141=$B8142, $A$2:$A8141+$C$2:$C8141)), "")*24*60, "")</f>
        <v/>
      </c>
      <c r="Q8142" s="24" t="str" cm="1">
        <f t="array" ref="Q8142">IFERROR(IF($B8142=Q$1, ($A8142+$C8142) - MAX(IF($B$2:$B8141=$B8142, $A$2:$A8141+$C$2:$C8141)), "")*24*60, "")</f>
        <v/>
      </c>
      <c r="R8142" s="24" t="str" cm="1">
        <f t="array" ref="R8142">IFERROR(IF($B8142=R$1, ($A8142+$C8142) - MAX(IF($B$2:$B8141=$B8142, $A$2:$A8141+$C$2:$C8141)), "")*24*60, "")</f>
        <v/>
      </c>
      <c r="S8142" s="24" t="str" cm="1">
        <f t="array" ref="S8142">IFERROR(IF($B8142=S$1, ($A8142+$C8142) - MAX(IF($B$2:$B8141=$B8142, $A$2:$A8141+$C$2:$C8141)), "")*24*60, "")</f>
        <v/>
      </c>
    </row>
    <row r="8143" spans="1:19" x14ac:dyDescent="0.2">
      <c r="A8143" s="12">
        <f t="shared" ref="A8143:C8143" si="1637">A8142</f>
        <v>46021</v>
      </c>
      <c r="B8143" s="5" t="str">
        <f t="shared" si="1637"/>
        <v>Northern Cardinal</v>
      </c>
      <c r="C8143" s="6">
        <f t="shared" si="1637"/>
        <v>0.7319444444444444</v>
      </c>
      <c r="D8143" s="5"/>
      <c r="E8143" s="5"/>
      <c r="F8143" s="5" t="s">
        <v>9</v>
      </c>
      <c r="G8143" s="15" t="s">
        <v>8</v>
      </c>
      <c r="H8143" s="24">
        <f t="shared" si="1590"/>
        <v>0</v>
      </c>
      <c r="I8143" s="24" cm="1">
        <f t="array" ref="I8143">IFERROR(IF($B8143=I$1, ($A8143+$C8143) - MAX(IF($B$2:$B8142=$B8143, $A$2:$A8142+$C$2:$C8142)), "")*24*60, "")</f>
        <v>0</v>
      </c>
      <c r="J8143" s="24" t="str" cm="1">
        <f t="array" ref="J8143">IFERROR(IF($B8143=J$1, ($A8143+$C8143) - MAX(IF($B$2:$B8142=$B8143, $A$2:$A8142+$C$2:$C8142)), "")*24*60, "")</f>
        <v/>
      </c>
      <c r="K8143" s="24" t="str" cm="1">
        <f t="array" ref="K8143">IFERROR(IF($B8143=K$1, ($A8143+$C8143) - MAX(IF($B$2:$B8142=$B8143, $A$2:$A8142+$C$2:$C8142)), "")*24*60, "")</f>
        <v/>
      </c>
      <c r="L8143" s="24" t="str" cm="1">
        <f t="array" ref="L8143">IFERROR(IF($B8143=L$1, ($A8143+$C8143) - MAX(IF($B$2:$B8142=$B8143, $A$2:$A8142+$C$2:$C8142)), "")*24*60, "")</f>
        <v/>
      </c>
      <c r="M8143" s="24" t="str" cm="1">
        <f t="array" ref="M8143">IFERROR(IF($B8143=M$1, ($A8143+$C8143) - MAX(IF($B$2:$B8142=$B8143, $A$2:$A8142+$C$2:$C8142)), "")*24*60, "")</f>
        <v/>
      </c>
      <c r="N8143" s="24" t="str" cm="1">
        <f t="array" ref="N8143">IFERROR(IF($B8143=N$1, ($A8143+$C8143) - MAX(IF($B$2:$B8142=$B8143, $A$2:$A8142+$C$2:$C8142)), "")*24*60, "")</f>
        <v/>
      </c>
      <c r="O8143" s="24" t="str" cm="1">
        <f t="array" ref="O8143">IFERROR(IF($B8143=O$1, ($A8143+$C8143) - MAX(IF($B$2:$B8142=$B8143, $A$2:$A8142+$C$2:$C8142)), "")*24*60, "")</f>
        <v/>
      </c>
      <c r="P8143" s="24" t="str" cm="1">
        <f t="array" ref="P8143">IFERROR(IF($B8143=P$1, ($A8143+$C8143) - MAX(IF($B$2:$B8142=$B8143, $A$2:$A8142+$C$2:$C8142)), "")*24*60, "")</f>
        <v/>
      </c>
      <c r="Q8143" s="24" t="str" cm="1">
        <f t="array" ref="Q8143">IFERROR(IF($B8143=Q$1, ($A8143+$C8143) - MAX(IF($B$2:$B8142=$B8143, $A$2:$A8142+$C$2:$C8142)), "")*24*60, "")</f>
        <v/>
      </c>
      <c r="R8143" s="24" t="str" cm="1">
        <f t="array" ref="R8143">IFERROR(IF($B8143=R$1, ($A8143+$C8143) - MAX(IF($B$2:$B8142=$B8143, $A$2:$A8142+$C$2:$C8142)), "")*24*60, "")</f>
        <v/>
      </c>
      <c r="S8143" s="24" t="str" cm="1">
        <f t="array" ref="S8143">IFERROR(IF($B8143=S$1, ($A8143+$C8143) - MAX(IF($B$2:$B8142=$B8143, $A$2:$A8142+$C$2:$C8142)), "")*24*60, "")</f>
        <v/>
      </c>
    </row>
    <row r="8144" spans="1:19" x14ac:dyDescent="0.2">
      <c r="A8144" s="12">
        <f t="shared" ref="A8144:C8144" si="1638">A8143</f>
        <v>46021</v>
      </c>
      <c r="B8144" s="5" t="str">
        <f t="shared" si="1638"/>
        <v>Northern Cardinal</v>
      </c>
      <c r="C8144" s="6">
        <f t="shared" si="1638"/>
        <v>0.7319444444444444</v>
      </c>
      <c r="D8144" s="5"/>
      <c r="E8144" s="5"/>
      <c r="F8144" s="5" t="s">
        <v>9</v>
      </c>
      <c r="G8144" s="15" t="s">
        <v>8</v>
      </c>
      <c r="H8144" s="24">
        <f t="shared" si="1590"/>
        <v>0</v>
      </c>
      <c r="I8144" s="24" cm="1">
        <f t="array" ref="I8144">IFERROR(IF($B8144=I$1, ($A8144+$C8144) - MAX(IF($B$2:$B8143=$B8144, $A$2:$A8143+$C$2:$C8143)), "")*24*60, "")</f>
        <v>0</v>
      </c>
      <c r="J8144" s="24" t="str" cm="1">
        <f t="array" ref="J8144">IFERROR(IF($B8144=J$1, ($A8144+$C8144) - MAX(IF($B$2:$B8143=$B8144, $A$2:$A8143+$C$2:$C8143)), "")*24*60, "")</f>
        <v/>
      </c>
      <c r="K8144" s="24" t="str" cm="1">
        <f t="array" ref="K8144">IFERROR(IF($B8144=K$1, ($A8144+$C8144) - MAX(IF($B$2:$B8143=$B8144, $A$2:$A8143+$C$2:$C8143)), "")*24*60, "")</f>
        <v/>
      </c>
      <c r="L8144" s="24" t="str" cm="1">
        <f t="array" ref="L8144">IFERROR(IF($B8144=L$1, ($A8144+$C8144) - MAX(IF($B$2:$B8143=$B8144, $A$2:$A8143+$C$2:$C8143)), "")*24*60, "")</f>
        <v/>
      </c>
      <c r="M8144" s="24" t="str" cm="1">
        <f t="array" ref="M8144">IFERROR(IF($B8144=M$1, ($A8144+$C8144) - MAX(IF($B$2:$B8143=$B8144, $A$2:$A8143+$C$2:$C8143)), "")*24*60, "")</f>
        <v/>
      </c>
      <c r="N8144" s="24" t="str" cm="1">
        <f t="array" ref="N8144">IFERROR(IF($B8144=N$1, ($A8144+$C8144) - MAX(IF($B$2:$B8143=$B8144, $A$2:$A8143+$C$2:$C8143)), "")*24*60, "")</f>
        <v/>
      </c>
      <c r="O8144" s="24" t="str" cm="1">
        <f t="array" ref="O8144">IFERROR(IF($B8144=O$1, ($A8144+$C8144) - MAX(IF($B$2:$B8143=$B8144, $A$2:$A8143+$C$2:$C8143)), "")*24*60, "")</f>
        <v/>
      </c>
      <c r="P8144" s="24" t="str" cm="1">
        <f t="array" ref="P8144">IFERROR(IF($B8144=P$1, ($A8144+$C8144) - MAX(IF($B$2:$B8143=$B8144, $A$2:$A8143+$C$2:$C8143)), "")*24*60, "")</f>
        <v/>
      </c>
      <c r="Q8144" s="24" t="str" cm="1">
        <f t="array" ref="Q8144">IFERROR(IF($B8144=Q$1, ($A8144+$C8144) - MAX(IF($B$2:$B8143=$B8144, $A$2:$A8143+$C$2:$C8143)), "")*24*60, "")</f>
        <v/>
      </c>
      <c r="R8144" s="24" t="str" cm="1">
        <f t="array" ref="R8144">IFERROR(IF($B8144=R$1, ($A8144+$C8144) - MAX(IF($B$2:$B8143=$B8144, $A$2:$A8143+$C$2:$C8143)), "")*24*60, "")</f>
        <v/>
      </c>
      <c r="S8144" s="24" t="str" cm="1">
        <f t="array" ref="S8144">IFERROR(IF($B8144=S$1, ($A8144+$C8144) - MAX(IF($B$2:$B8143=$B8144, $A$2:$A8143+$C$2:$C8143)), "")*24*60, "")</f>
        <v/>
      </c>
    </row>
    <row r="8145" spans="1:19" x14ac:dyDescent="0.2">
      <c r="A8145" s="12">
        <f t="shared" ref="A8145:C8145" si="1639">A8144</f>
        <v>46021</v>
      </c>
      <c r="B8145" s="5" t="str">
        <f t="shared" si="1639"/>
        <v>Northern Cardinal</v>
      </c>
      <c r="C8145" s="6">
        <f t="shared" si="1639"/>
        <v>0.7319444444444444</v>
      </c>
      <c r="D8145" s="5"/>
      <c r="E8145" s="5"/>
      <c r="F8145" s="5" t="s">
        <v>9</v>
      </c>
      <c r="G8145" s="15" t="s">
        <v>8</v>
      </c>
      <c r="H8145" s="24">
        <f t="shared" si="1590"/>
        <v>0</v>
      </c>
      <c r="I8145" s="24" cm="1">
        <f t="array" ref="I8145">IFERROR(IF($B8145=I$1, ($A8145+$C8145) - MAX(IF($B$2:$B8144=$B8145, $A$2:$A8144+$C$2:$C8144)), "")*24*60, "")</f>
        <v>0</v>
      </c>
      <c r="J8145" s="24" t="str" cm="1">
        <f t="array" ref="J8145">IFERROR(IF($B8145=J$1, ($A8145+$C8145) - MAX(IF($B$2:$B8144=$B8145, $A$2:$A8144+$C$2:$C8144)), "")*24*60, "")</f>
        <v/>
      </c>
      <c r="K8145" s="24" t="str" cm="1">
        <f t="array" ref="K8145">IFERROR(IF($B8145=K$1, ($A8145+$C8145) - MAX(IF($B$2:$B8144=$B8145, $A$2:$A8144+$C$2:$C8144)), "")*24*60, "")</f>
        <v/>
      </c>
      <c r="L8145" s="24" t="str" cm="1">
        <f t="array" ref="L8145">IFERROR(IF($B8145=L$1, ($A8145+$C8145) - MAX(IF($B$2:$B8144=$B8145, $A$2:$A8144+$C$2:$C8144)), "")*24*60, "")</f>
        <v/>
      </c>
      <c r="M8145" s="24" t="str" cm="1">
        <f t="array" ref="M8145">IFERROR(IF($B8145=M$1, ($A8145+$C8145) - MAX(IF($B$2:$B8144=$B8145, $A$2:$A8144+$C$2:$C8144)), "")*24*60, "")</f>
        <v/>
      </c>
      <c r="N8145" s="24" t="str" cm="1">
        <f t="array" ref="N8145">IFERROR(IF($B8145=N$1, ($A8145+$C8145) - MAX(IF($B$2:$B8144=$B8145, $A$2:$A8144+$C$2:$C8144)), "")*24*60, "")</f>
        <v/>
      </c>
      <c r="O8145" s="24" t="str" cm="1">
        <f t="array" ref="O8145">IFERROR(IF($B8145=O$1, ($A8145+$C8145) - MAX(IF($B$2:$B8144=$B8145, $A$2:$A8144+$C$2:$C8144)), "")*24*60, "")</f>
        <v/>
      </c>
      <c r="P8145" s="24" t="str" cm="1">
        <f t="array" ref="P8145">IFERROR(IF($B8145=P$1, ($A8145+$C8145) - MAX(IF($B$2:$B8144=$B8145, $A$2:$A8144+$C$2:$C8144)), "")*24*60, "")</f>
        <v/>
      </c>
      <c r="Q8145" s="24" t="str" cm="1">
        <f t="array" ref="Q8145">IFERROR(IF($B8145=Q$1, ($A8145+$C8145) - MAX(IF($B$2:$B8144=$B8145, $A$2:$A8144+$C$2:$C8144)), "")*24*60, "")</f>
        <v/>
      </c>
      <c r="R8145" s="24" t="str" cm="1">
        <f t="array" ref="R8145">IFERROR(IF($B8145=R$1, ($A8145+$C8145) - MAX(IF($B$2:$B8144=$B8145, $A$2:$A8144+$C$2:$C8144)), "")*24*60, "")</f>
        <v/>
      </c>
      <c r="S8145" s="24" t="str" cm="1">
        <f t="array" ref="S8145">IFERROR(IF($B8145=S$1, ($A8145+$C8145) - MAX(IF($B$2:$B8144=$B8145, $A$2:$A8144+$C$2:$C8144)), "")*24*60, "")</f>
        <v/>
      </c>
    </row>
    <row r="8146" spans="1:19" x14ac:dyDescent="0.2">
      <c r="A8146" s="12">
        <f t="shared" ref="A8146:C8146" si="1640">A8145</f>
        <v>46021</v>
      </c>
      <c r="B8146" s="5" t="str">
        <f t="shared" si="1640"/>
        <v>Northern Cardinal</v>
      </c>
      <c r="C8146" s="6">
        <f t="shared" si="1640"/>
        <v>0.7319444444444444</v>
      </c>
      <c r="D8146" s="5"/>
      <c r="E8146" s="5"/>
      <c r="F8146" s="5" t="s">
        <v>9</v>
      </c>
      <c r="G8146" s="15" t="s">
        <v>8</v>
      </c>
      <c r="H8146" s="24">
        <f t="shared" si="1590"/>
        <v>0</v>
      </c>
      <c r="I8146" s="24" cm="1">
        <f t="array" ref="I8146">IFERROR(IF($B8146=I$1, ($A8146+$C8146) - MAX(IF($B$2:$B8145=$B8146, $A$2:$A8145+$C$2:$C8145)), "")*24*60, "")</f>
        <v>0</v>
      </c>
      <c r="J8146" s="24" t="str" cm="1">
        <f t="array" ref="J8146">IFERROR(IF($B8146=J$1, ($A8146+$C8146) - MAX(IF($B$2:$B8145=$B8146, $A$2:$A8145+$C$2:$C8145)), "")*24*60, "")</f>
        <v/>
      </c>
      <c r="K8146" s="24" t="str" cm="1">
        <f t="array" ref="K8146">IFERROR(IF($B8146=K$1, ($A8146+$C8146) - MAX(IF($B$2:$B8145=$B8146, $A$2:$A8145+$C$2:$C8145)), "")*24*60, "")</f>
        <v/>
      </c>
      <c r="L8146" s="24" t="str" cm="1">
        <f t="array" ref="L8146">IFERROR(IF($B8146=L$1, ($A8146+$C8146) - MAX(IF($B$2:$B8145=$B8146, $A$2:$A8145+$C$2:$C8145)), "")*24*60, "")</f>
        <v/>
      </c>
      <c r="M8146" s="24" t="str" cm="1">
        <f t="array" ref="M8146">IFERROR(IF($B8146=M$1, ($A8146+$C8146) - MAX(IF($B$2:$B8145=$B8146, $A$2:$A8145+$C$2:$C8145)), "")*24*60, "")</f>
        <v/>
      </c>
      <c r="N8146" s="24" t="str" cm="1">
        <f t="array" ref="N8146">IFERROR(IF($B8146=N$1, ($A8146+$C8146) - MAX(IF($B$2:$B8145=$B8146, $A$2:$A8145+$C$2:$C8145)), "")*24*60, "")</f>
        <v/>
      </c>
      <c r="O8146" s="24" t="str" cm="1">
        <f t="array" ref="O8146">IFERROR(IF($B8146=O$1, ($A8146+$C8146) - MAX(IF($B$2:$B8145=$B8146, $A$2:$A8145+$C$2:$C8145)), "")*24*60, "")</f>
        <v/>
      </c>
      <c r="P8146" s="24" t="str" cm="1">
        <f t="array" ref="P8146">IFERROR(IF($B8146=P$1, ($A8146+$C8146) - MAX(IF($B$2:$B8145=$B8146, $A$2:$A8145+$C$2:$C8145)), "")*24*60, "")</f>
        <v/>
      </c>
      <c r="Q8146" s="24" t="str" cm="1">
        <f t="array" ref="Q8146">IFERROR(IF($B8146=Q$1, ($A8146+$C8146) - MAX(IF($B$2:$B8145=$B8146, $A$2:$A8145+$C$2:$C8145)), "")*24*60, "")</f>
        <v/>
      </c>
      <c r="R8146" s="24" t="str" cm="1">
        <f t="array" ref="R8146">IFERROR(IF($B8146=R$1, ($A8146+$C8146) - MAX(IF($B$2:$B8145=$B8146, $A$2:$A8145+$C$2:$C8145)), "")*24*60, "")</f>
        <v/>
      </c>
      <c r="S8146" s="24" t="str" cm="1">
        <f t="array" ref="S8146">IFERROR(IF($B8146=S$1, ($A8146+$C8146) - MAX(IF($B$2:$B8145=$B8146, $A$2:$A8145+$C$2:$C8145)), "")*24*60, "")</f>
        <v/>
      </c>
    </row>
    <row r="8147" spans="1:19" x14ac:dyDescent="0.2">
      <c r="A8147" s="12">
        <f t="shared" ref="A8147:C8147" si="1641">A8146</f>
        <v>46021</v>
      </c>
      <c r="B8147" s="5" t="str">
        <f t="shared" si="1641"/>
        <v>Northern Cardinal</v>
      </c>
      <c r="C8147" s="6">
        <f t="shared" si="1641"/>
        <v>0.7319444444444444</v>
      </c>
      <c r="D8147" s="5"/>
      <c r="E8147" s="5"/>
      <c r="F8147" s="5" t="s">
        <v>9</v>
      </c>
      <c r="G8147" s="15" t="s">
        <v>8</v>
      </c>
      <c r="H8147" s="24">
        <f t="shared" si="1590"/>
        <v>0</v>
      </c>
      <c r="I8147" s="24" cm="1">
        <f t="array" ref="I8147">IFERROR(IF($B8147=I$1, ($A8147+$C8147) - MAX(IF($B$2:$B8146=$B8147, $A$2:$A8146+$C$2:$C8146)), "")*24*60, "")</f>
        <v>0</v>
      </c>
      <c r="J8147" s="24" t="str" cm="1">
        <f t="array" ref="J8147">IFERROR(IF($B8147=J$1, ($A8147+$C8147) - MAX(IF($B$2:$B8146=$B8147, $A$2:$A8146+$C$2:$C8146)), "")*24*60, "")</f>
        <v/>
      </c>
      <c r="K8147" s="24" t="str" cm="1">
        <f t="array" ref="K8147">IFERROR(IF($B8147=K$1, ($A8147+$C8147) - MAX(IF($B$2:$B8146=$B8147, $A$2:$A8146+$C$2:$C8146)), "")*24*60, "")</f>
        <v/>
      </c>
      <c r="L8147" s="24" t="str" cm="1">
        <f t="array" ref="L8147">IFERROR(IF($B8147=L$1, ($A8147+$C8147) - MAX(IF($B$2:$B8146=$B8147, $A$2:$A8146+$C$2:$C8146)), "")*24*60, "")</f>
        <v/>
      </c>
      <c r="M8147" s="24" t="str" cm="1">
        <f t="array" ref="M8147">IFERROR(IF($B8147=M$1, ($A8147+$C8147) - MAX(IF($B$2:$B8146=$B8147, $A$2:$A8146+$C$2:$C8146)), "")*24*60, "")</f>
        <v/>
      </c>
      <c r="N8147" s="24" t="str" cm="1">
        <f t="array" ref="N8147">IFERROR(IF($B8147=N$1, ($A8147+$C8147) - MAX(IF($B$2:$B8146=$B8147, $A$2:$A8146+$C$2:$C8146)), "")*24*60, "")</f>
        <v/>
      </c>
      <c r="O8147" s="24" t="str" cm="1">
        <f t="array" ref="O8147">IFERROR(IF($B8147=O$1, ($A8147+$C8147) - MAX(IF($B$2:$B8146=$B8147, $A$2:$A8146+$C$2:$C8146)), "")*24*60, "")</f>
        <v/>
      </c>
      <c r="P8147" s="24" t="str" cm="1">
        <f t="array" ref="P8147">IFERROR(IF($B8147=P$1, ($A8147+$C8147) - MAX(IF($B$2:$B8146=$B8147, $A$2:$A8146+$C$2:$C8146)), "")*24*60, "")</f>
        <v/>
      </c>
      <c r="Q8147" s="24" t="str" cm="1">
        <f t="array" ref="Q8147">IFERROR(IF($B8147=Q$1, ($A8147+$C8147) - MAX(IF($B$2:$B8146=$B8147, $A$2:$A8146+$C$2:$C8146)), "")*24*60, "")</f>
        <v/>
      </c>
      <c r="R8147" s="24" t="str" cm="1">
        <f t="array" ref="R8147">IFERROR(IF($B8147=R$1, ($A8147+$C8147) - MAX(IF($B$2:$B8146=$B8147, $A$2:$A8146+$C$2:$C8146)), "")*24*60, "")</f>
        <v/>
      </c>
      <c r="S8147" s="24" t="str" cm="1">
        <f t="array" ref="S8147">IFERROR(IF($B8147=S$1, ($A8147+$C8147) - MAX(IF($B$2:$B8146=$B8147, $A$2:$A8146+$C$2:$C8146)), "")*24*60, "")</f>
        <v/>
      </c>
    </row>
    <row r="8148" spans="1:19" x14ac:dyDescent="0.2">
      <c r="A8148" s="12">
        <f t="shared" ref="A8148:C8148" si="1642">A8147</f>
        <v>46021</v>
      </c>
      <c r="B8148" s="5" t="str">
        <f t="shared" si="1642"/>
        <v>Northern Cardinal</v>
      </c>
      <c r="C8148" s="6">
        <f t="shared" si="1642"/>
        <v>0.7319444444444444</v>
      </c>
      <c r="D8148" s="5"/>
      <c r="E8148" s="5"/>
      <c r="F8148" s="5" t="s">
        <v>9</v>
      </c>
      <c r="G8148" s="15" t="s">
        <v>8</v>
      </c>
      <c r="H8148" s="24">
        <f t="shared" si="1590"/>
        <v>0</v>
      </c>
      <c r="I8148" s="24" cm="1">
        <f t="array" ref="I8148">IFERROR(IF($B8148=I$1, ($A8148+$C8148) - MAX(IF($B$2:$B8147=$B8148, $A$2:$A8147+$C$2:$C8147)), "")*24*60, "")</f>
        <v>0</v>
      </c>
      <c r="J8148" s="24" t="str" cm="1">
        <f t="array" ref="J8148">IFERROR(IF($B8148=J$1, ($A8148+$C8148) - MAX(IF($B$2:$B8147=$B8148, $A$2:$A8147+$C$2:$C8147)), "")*24*60, "")</f>
        <v/>
      </c>
      <c r="K8148" s="24" t="str" cm="1">
        <f t="array" ref="K8148">IFERROR(IF($B8148=K$1, ($A8148+$C8148) - MAX(IF($B$2:$B8147=$B8148, $A$2:$A8147+$C$2:$C8147)), "")*24*60, "")</f>
        <v/>
      </c>
      <c r="L8148" s="24" t="str" cm="1">
        <f t="array" ref="L8148">IFERROR(IF($B8148=L$1, ($A8148+$C8148) - MAX(IF($B$2:$B8147=$B8148, $A$2:$A8147+$C$2:$C8147)), "")*24*60, "")</f>
        <v/>
      </c>
      <c r="M8148" s="24" t="str" cm="1">
        <f t="array" ref="M8148">IFERROR(IF($B8148=M$1, ($A8148+$C8148) - MAX(IF($B$2:$B8147=$B8148, $A$2:$A8147+$C$2:$C8147)), "")*24*60, "")</f>
        <v/>
      </c>
      <c r="N8148" s="24" t="str" cm="1">
        <f t="array" ref="N8148">IFERROR(IF($B8148=N$1, ($A8148+$C8148) - MAX(IF($B$2:$B8147=$B8148, $A$2:$A8147+$C$2:$C8147)), "")*24*60, "")</f>
        <v/>
      </c>
      <c r="O8148" s="24" t="str" cm="1">
        <f t="array" ref="O8148">IFERROR(IF($B8148=O$1, ($A8148+$C8148) - MAX(IF($B$2:$B8147=$B8148, $A$2:$A8147+$C$2:$C8147)), "")*24*60, "")</f>
        <v/>
      </c>
      <c r="P8148" s="24" t="str" cm="1">
        <f t="array" ref="P8148">IFERROR(IF($B8148=P$1, ($A8148+$C8148) - MAX(IF($B$2:$B8147=$B8148, $A$2:$A8147+$C$2:$C8147)), "")*24*60, "")</f>
        <v/>
      </c>
      <c r="Q8148" s="24" t="str" cm="1">
        <f t="array" ref="Q8148">IFERROR(IF($B8148=Q$1, ($A8148+$C8148) - MAX(IF($B$2:$B8147=$B8148, $A$2:$A8147+$C$2:$C8147)), "")*24*60, "")</f>
        <v/>
      </c>
      <c r="R8148" s="24" t="str" cm="1">
        <f t="array" ref="R8148">IFERROR(IF($B8148=R$1, ($A8148+$C8148) - MAX(IF($B$2:$B8147=$B8148, $A$2:$A8147+$C$2:$C8147)), "")*24*60, "")</f>
        <v/>
      </c>
      <c r="S8148" s="24" t="str" cm="1">
        <f t="array" ref="S8148">IFERROR(IF($B8148=S$1, ($A8148+$C8148) - MAX(IF($B$2:$B8147=$B8148, $A$2:$A8147+$C$2:$C8147)), "")*24*60, "")</f>
        <v/>
      </c>
    </row>
    <row r="8149" spans="1:19" x14ac:dyDescent="0.2">
      <c r="A8149" s="12">
        <f t="shared" ref="A8149:C8149" si="1643">A8148</f>
        <v>46021</v>
      </c>
      <c r="B8149" s="5" t="str">
        <f t="shared" si="1643"/>
        <v>Northern Cardinal</v>
      </c>
      <c r="C8149" s="6">
        <f t="shared" si="1643"/>
        <v>0.7319444444444444</v>
      </c>
      <c r="D8149" s="5"/>
      <c r="E8149" s="5"/>
      <c r="F8149" s="5" t="s">
        <v>9</v>
      </c>
      <c r="G8149" s="15" t="s">
        <v>8</v>
      </c>
      <c r="H8149" s="24">
        <f t="shared" si="1590"/>
        <v>0</v>
      </c>
      <c r="I8149" s="24" cm="1">
        <f t="array" ref="I8149">IFERROR(IF($B8149=I$1, ($A8149+$C8149) - MAX(IF($B$2:$B8148=$B8149, $A$2:$A8148+$C$2:$C8148)), "")*24*60, "")</f>
        <v>0</v>
      </c>
      <c r="J8149" s="24" t="str" cm="1">
        <f t="array" ref="J8149">IFERROR(IF($B8149=J$1, ($A8149+$C8149) - MAX(IF($B$2:$B8148=$B8149, $A$2:$A8148+$C$2:$C8148)), "")*24*60, "")</f>
        <v/>
      </c>
      <c r="K8149" s="24" t="str" cm="1">
        <f t="array" ref="K8149">IFERROR(IF($B8149=K$1, ($A8149+$C8149) - MAX(IF($B$2:$B8148=$B8149, $A$2:$A8148+$C$2:$C8148)), "")*24*60, "")</f>
        <v/>
      </c>
      <c r="L8149" s="24" t="str" cm="1">
        <f t="array" ref="L8149">IFERROR(IF($B8149=L$1, ($A8149+$C8149) - MAX(IF($B$2:$B8148=$B8149, $A$2:$A8148+$C$2:$C8148)), "")*24*60, "")</f>
        <v/>
      </c>
      <c r="M8149" s="24" t="str" cm="1">
        <f t="array" ref="M8149">IFERROR(IF($B8149=M$1, ($A8149+$C8149) - MAX(IF($B$2:$B8148=$B8149, $A$2:$A8148+$C$2:$C8148)), "")*24*60, "")</f>
        <v/>
      </c>
      <c r="N8149" s="24" t="str" cm="1">
        <f t="array" ref="N8149">IFERROR(IF($B8149=N$1, ($A8149+$C8149) - MAX(IF($B$2:$B8148=$B8149, $A$2:$A8148+$C$2:$C8148)), "")*24*60, "")</f>
        <v/>
      </c>
      <c r="O8149" s="24" t="str" cm="1">
        <f t="array" ref="O8149">IFERROR(IF($B8149=O$1, ($A8149+$C8149) - MAX(IF($B$2:$B8148=$B8149, $A$2:$A8148+$C$2:$C8148)), "")*24*60, "")</f>
        <v/>
      </c>
      <c r="P8149" s="24" t="str" cm="1">
        <f t="array" ref="P8149">IFERROR(IF($B8149=P$1, ($A8149+$C8149) - MAX(IF($B$2:$B8148=$B8149, $A$2:$A8148+$C$2:$C8148)), "")*24*60, "")</f>
        <v/>
      </c>
      <c r="Q8149" s="24" t="str" cm="1">
        <f t="array" ref="Q8149">IFERROR(IF($B8149=Q$1, ($A8149+$C8149) - MAX(IF($B$2:$B8148=$B8149, $A$2:$A8148+$C$2:$C8148)), "")*24*60, "")</f>
        <v/>
      </c>
      <c r="R8149" s="24" t="str" cm="1">
        <f t="array" ref="R8149">IFERROR(IF($B8149=R$1, ($A8149+$C8149) - MAX(IF($B$2:$B8148=$B8149, $A$2:$A8148+$C$2:$C8148)), "")*24*60, "")</f>
        <v/>
      </c>
      <c r="S8149" s="24" t="str" cm="1">
        <f t="array" ref="S8149">IFERROR(IF($B8149=S$1, ($A8149+$C8149) - MAX(IF($B$2:$B8148=$B8149, $A$2:$A8148+$C$2:$C8148)), "")*24*60, "")</f>
        <v/>
      </c>
    </row>
    <row r="8150" spans="1:19" x14ac:dyDescent="0.2">
      <c r="A8150" s="12">
        <f t="shared" ref="A8150:C8150" si="1644">A8149</f>
        <v>46021</v>
      </c>
      <c r="B8150" s="5" t="str">
        <f t="shared" si="1644"/>
        <v>Northern Cardinal</v>
      </c>
      <c r="C8150" s="6">
        <f t="shared" si="1644"/>
        <v>0.7319444444444444</v>
      </c>
      <c r="D8150" s="5"/>
      <c r="E8150" s="5"/>
      <c r="F8150" s="5" t="s">
        <v>9</v>
      </c>
      <c r="G8150" s="15" t="s">
        <v>8</v>
      </c>
      <c r="H8150" s="24">
        <f t="shared" si="1590"/>
        <v>0</v>
      </c>
      <c r="I8150" s="24" cm="1">
        <f t="array" ref="I8150">IFERROR(IF($B8150=I$1, ($A8150+$C8150) - MAX(IF($B$2:$B8149=$B8150, $A$2:$A8149+$C$2:$C8149)), "")*24*60, "")</f>
        <v>0</v>
      </c>
      <c r="J8150" s="24" t="str" cm="1">
        <f t="array" ref="J8150">IFERROR(IF($B8150=J$1, ($A8150+$C8150) - MAX(IF($B$2:$B8149=$B8150, $A$2:$A8149+$C$2:$C8149)), "")*24*60, "")</f>
        <v/>
      </c>
      <c r="K8150" s="24" t="str" cm="1">
        <f t="array" ref="K8150">IFERROR(IF($B8150=K$1, ($A8150+$C8150) - MAX(IF($B$2:$B8149=$B8150, $A$2:$A8149+$C$2:$C8149)), "")*24*60, "")</f>
        <v/>
      </c>
      <c r="L8150" s="24" t="str" cm="1">
        <f t="array" ref="L8150">IFERROR(IF($B8150=L$1, ($A8150+$C8150) - MAX(IF($B$2:$B8149=$B8150, $A$2:$A8149+$C$2:$C8149)), "")*24*60, "")</f>
        <v/>
      </c>
      <c r="M8150" s="24" t="str" cm="1">
        <f t="array" ref="M8150">IFERROR(IF($B8150=M$1, ($A8150+$C8150) - MAX(IF($B$2:$B8149=$B8150, $A$2:$A8149+$C$2:$C8149)), "")*24*60, "")</f>
        <v/>
      </c>
      <c r="N8150" s="24" t="str" cm="1">
        <f t="array" ref="N8150">IFERROR(IF($B8150=N$1, ($A8150+$C8150) - MAX(IF($B$2:$B8149=$B8150, $A$2:$A8149+$C$2:$C8149)), "")*24*60, "")</f>
        <v/>
      </c>
      <c r="O8150" s="24" t="str" cm="1">
        <f t="array" ref="O8150">IFERROR(IF($B8150=O$1, ($A8150+$C8150) - MAX(IF($B$2:$B8149=$B8150, $A$2:$A8149+$C$2:$C8149)), "")*24*60, "")</f>
        <v/>
      </c>
      <c r="P8150" s="24" t="str" cm="1">
        <f t="array" ref="P8150">IFERROR(IF($B8150=P$1, ($A8150+$C8150) - MAX(IF($B$2:$B8149=$B8150, $A$2:$A8149+$C$2:$C8149)), "")*24*60, "")</f>
        <v/>
      </c>
      <c r="Q8150" s="24" t="str" cm="1">
        <f t="array" ref="Q8150">IFERROR(IF($B8150=Q$1, ($A8150+$C8150) - MAX(IF($B$2:$B8149=$B8150, $A$2:$A8149+$C$2:$C8149)), "")*24*60, "")</f>
        <v/>
      </c>
      <c r="R8150" s="24" t="str" cm="1">
        <f t="array" ref="R8150">IFERROR(IF($B8150=R$1, ($A8150+$C8150) - MAX(IF($B$2:$B8149=$B8150, $A$2:$A8149+$C$2:$C8149)), "")*24*60, "")</f>
        <v/>
      </c>
      <c r="S8150" s="24" t="str" cm="1">
        <f t="array" ref="S8150">IFERROR(IF($B8150=S$1, ($A8150+$C8150) - MAX(IF($B$2:$B8149=$B8150, $A$2:$A8149+$C$2:$C8149)), "")*24*60, "")</f>
        <v/>
      </c>
    </row>
    <row r="8151" spans="1:19" x14ac:dyDescent="0.2">
      <c r="A8151" s="12">
        <f t="shared" ref="A8151:C8151" si="1645">A8150</f>
        <v>46021</v>
      </c>
      <c r="B8151" s="5" t="str">
        <f t="shared" si="1645"/>
        <v>Northern Cardinal</v>
      </c>
      <c r="C8151" s="6">
        <f t="shared" si="1645"/>
        <v>0.7319444444444444</v>
      </c>
      <c r="D8151" s="5"/>
      <c r="E8151" s="5"/>
      <c r="F8151" s="5" t="s">
        <v>9</v>
      </c>
      <c r="G8151" s="15" t="s">
        <v>8</v>
      </c>
      <c r="H8151" s="24">
        <f t="shared" si="1590"/>
        <v>0</v>
      </c>
      <c r="I8151" s="24" cm="1">
        <f t="array" ref="I8151">IFERROR(IF($B8151=I$1, ($A8151+$C8151) - MAX(IF($B$2:$B8150=$B8151, $A$2:$A8150+$C$2:$C8150)), "")*24*60, "")</f>
        <v>0</v>
      </c>
      <c r="J8151" s="24" t="str" cm="1">
        <f t="array" ref="J8151">IFERROR(IF($B8151=J$1, ($A8151+$C8151) - MAX(IF($B$2:$B8150=$B8151, $A$2:$A8150+$C$2:$C8150)), "")*24*60, "")</f>
        <v/>
      </c>
      <c r="K8151" s="24" t="str" cm="1">
        <f t="array" ref="K8151">IFERROR(IF($B8151=K$1, ($A8151+$C8151) - MAX(IF($B$2:$B8150=$B8151, $A$2:$A8150+$C$2:$C8150)), "")*24*60, "")</f>
        <v/>
      </c>
      <c r="L8151" s="24" t="str" cm="1">
        <f t="array" ref="L8151">IFERROR(IF($B8151=L$1, ($A8151+$C8151) - MAX(IF($B$2:$B8150=$B8151, $A$2:$A8150+$C$2:$C8150)), "")*24*60, "")</f>
        <v/>
      </c>
      <c r="M8151" s="24" t="str" cm="1">
        <f t="array" ref="M8151">IFERROR(IF($B8151=M$1, ($A8151+$C8151) - MAX(IF($B$2:$B8150=$B8151, $A$2:$A8150+$C$2:$C8150)), "")*24*60, "")</f>
        <v/>
      </c>
      <c r="N8151" s="24" t="str" cm="1">
        <f t="array" ref="N8151">IFERROR(IF($B8151=N$1, ($A8151+$C8151) - MAX(IF($B$2:$B8150=$B8151, $A$2:$A8150+$C$2:$C8150)), "")*24*60, "")</f>
        <v/>
      </c>
      <c r="O8151" s="24" t="str" cm="1">
        <f t="array" ref="O8151">IFERROR(IF($B8151=O$1, ($A8151+$C8151) - MAX(IF($B$2:$B8150=$B8151, $A$2:$A8150+$C$2:$C8150)), "")*24*60, "")</f>
        <v/>
      </c>
      <c r="P8151" s="24" t="str" cm="1">
        <f t="array" ref="P8151">IFERROR(IF($B8151=P$1, ($A8151+$C8151) - MAX(IF($B$2:$B8150=$B8151, $A$2:$A8150+$C$2:$C8150)), "")*24*60, "")</f>
        <v/>
      </c>
      <c r="Q8151" s="24" t="str" cm="1">
        <f t="array" ref="Q8151">IFERROR(IF($B8151=Q$1, ($A8151+$C8151) - MAX(IF($B$2:$B8150=$B8151, $A$2:$A8150+$C$2:$C8150)), "")*24*60, "")</f>
        <v/>
      </c>
      <c r="R8151" s="24" t="str" cm="1">
        <f t="array" ref="R8151">IFERROR(IF($B8151=R$1, ($A8151+$C8151) - MAX(IF($B$2:$B8150=$B8151, $A$2:$A8150+$C$2:$C8150)), "")*24*60, "")</f>
        <v/>
      </c>
      <c r="S8151" s="24" t="str" cm="1">
        <f t="array" ref="S8151">IFERROR(IF($B8151=S$1, ($A8151+$C8151) - MAX(IF($B$2:$B8150=$B8151, $A$2:$A8150+$C$2:$C8150)), "")*24*60, "")</f>
        <v/>
      </c>
    </row>
    <row r="8152" spans="1:19" x14ac:dyDescent="0.2">
      <c r="A8152" s="12">
        <f t="shared" ref="A8152:C8152" si="1646">A8151</f>
        <v>46021</v>
      </c>
      <c r="B8152" s="5" t="str">
        <f t="shared" si="1646"/>
        <v>Northern Cardinal</v>
      </c>
      <c r="C8152" s="6">
        <f t="shared" si="1646"/>
        <v>0.7319444444444444</v>
      </c>
      <c r="D8152" s="5"/>
      <c r="E8152" s="5"/>
      <c r="F8152" s="5" t="s">
        <v>9</v>
      </c>
      <c r="G8152" s="15" t="s">
        <v>8</v>
      </c>
      <c r="H8152" s="24">
        <f t="shared" si="1590"/>
        <v>0</v>
      </c>
      <c r="I8152" s="24" cm="1">
        <f t="array" ref="I8152">IFERROR(IF($B8152=I$1, ($A8152+$C8152) - MAX(IF($B$2:$B8151=$B8152, $A$2:$A8151+$C$2:$C8151)), "")*24*60, "")</f>
        <v>0</v>
      </c>
      <c r="J8152" s="24" t="str" cm="1">
        <f t="array" ref="J8152">IFERROR(IF($B8152=J$1, ($A8152+$C8152) - MAX(IF($B$2:$B8151=$B8152, $A$2:$A8151+$C$2:$C8151)), "")*24*60, "")</f>
        <v/>
      </c>
      <c r="K8152" s="24" t="str" cm="1">
        <f t="array" ref="K8152">IFERROR(IF($B8152=K$1, ($A8152+$C8152) - MAX(IF($B$2:$B8151=$B8152, $A$2:$A8151+$C$2:$C8151)), "")*24*60, "")</f>
        <v/>
      </c>
      <c r="L8152" s="24" t="str" cm="1">
        <f t="array" ref="L8152">IFERROR(IF($B8152=L$1, ($A8152+$C8152) - MAX(IF($B$2:$B8151=$B8152, $A$2:$A8151+$C$2:$C8151)), "")*24*60, "")</f>
        <v/>
      </c>
      <c r="M8152" s="24" t="str" cm="1">
        <f t="array" ref="M8152">IFERROR(IF($B8152=M$1, ($A8152+$C8152) - MAX(IF($B$2:$B8151=$B8152, $A$2:$A8151+$C$2:$C8151)), "")*24*60, "")</f>
        <v/>
      </c>
      <c r="N8152" s="24" t="str" cm="1">
        <f t="array" ref="N8152">IFERROR(IF($B8152=N$1, ($A8152+$C8152) - MAX(IF($B$2:$B8151=$B8152, $A$2:$A8151+$C$2:$C8151)), "")*24*60, "")</f>
        <v/>
      </c>
      <c r="O8152" s="24" t="str" cm="1">
        <f t="array" ref="O8152">IFERROR(IF($B8152=O$1, ($A8152+$C8152) - MAX(IF($B$2:$B8151=$B8152, $A$2:$A8151+$C$2:$C8151)), "")*24*60, "")</f>
        <v/>
      </c>
      <c r="P8152" s="24" t="str" cm="1">
        <f t="array" ref="P8152">IFERROR(IF($B8152=P$1, ($A8152+$C8152) - MAX(IF($B$2:$B8151=$B8152, $A$2:$A8151+$C$2:$C8151)), "")*24*60, "")</f>
        <v/>
      </c>
      <c r="Q8152" s="24" t="str" cm="1">
        <f t="array" ref="Q8152">IFERROR(IF($B8152=Q$1, ($A8152+$C8152) - MAX(IF($B$2:$B8151=$B8152, $A$2:$A8151+$C$2:$C8151)), "")*24*60, "")</f>
        <v/>
      </c>
      <c r="R8152" s="24" t="str" cm="1">
        <f t="array" ref="R8152">IFERROR(IF($B8152=R$1, ($A8152+$C8152) - MAX(IF($B$2:$B8151=$B8152, $A$2:$A8151+$C$2:$C8151)), "")*24*60, "")</f>
        <v/>
      </c>
      <c r="S8152" s="24" t="str" cm="1">
        <f t="array" ref="S8152">IFERROR(IF($B8152=S$1, ($A8152+$C8152) - MAX(IF($B$2:$B8151=$B8152, $A$2:$A8151+$C$2:$C8151)), "")*24*60, "")</f>
        <v/>
      </c>
    </row>
    <row r="8153" spans="1:19" x14ac:dyDescent="0.2">
      <c r="A8153" s="12">
        <f t="shared" ref="A8153:C8153" si="1647">A8152</f>
        <v>46021</v>
      </c>
      <c r="B8153" s="5" t="str">
        <f t="shared" si="1647"/>
        <v>Northern Cardinal</v>
      </c>
      <c r="C8153" s="6">
        <f t="shared" si="1647"/>
        <v>0.7319444444444444</v>
      </c>
      <c r="D8153" s="5"/>
      <c r="E8153" s="5"/>
      <c r="F8153" s="5" t="s">
        <v>9</v>
      </c>
      <c r="G8153" s="15" t="s">
        <v>8</v>
      </c>
      <c r="H8153" s="24">
        <f t="shared" si="1590"/>
        <v>0</v>
      </c>
      <c r="I8153" s="24" cm="1">
        <f t="array" ref="I8153">IFERROR(IF($B8153=I$1, ($A8153+$C8153) - MAX(IF($B$2:$B8152=$B8153, $A$2:$A8152+$C$2:$C8152)), "")*24*60, "")</f>
        <v>0</v>
      </c>
      <c r="J8153" s="24" t="str" cm="1">
        <f t="array" ref="J8153">IFERROR(IF($B8153=J$1, ($A8153+$C8153) - MAX(IF($B$2:$B8152=$B8153, $A$2:$A8152+$C$2:$C8152)), "")*24*60, "")</f>
        <v/>
      </c>
      <c r="K8153" s="24" t="str" cm="1">
        <f t="array" ref="K8153">IFERROR(IF($B8153=K$1, ($A8153+$C8153) - MAX(IF($B$2:$B8152=$B8153, $A$2:$A8152+$C$2:$C8152)), "")*24*60, "")</f>
        <v/>
      </c>
      <c r="L8153" s="24" t="str" cm="1">
        <f t="array" ref="L8153">IFERROR(IF($B8153=L$1, ($A8153+$C8153) - MAX(IF($B$2:$B8152=$B8153, $A$2:$A8152+$C$2:$C8152)), "")*24*60, "")</f>
        <v/>
      </c>
      <c r="M8153" s="24" t="str" cm="1">
        <f t="array" ref="M8153">IFERROR(IF($B8153=M$1, ($A8153+$C8153) - MAX(IF($B$2:$B8152=$B8153, $A$2:$A8152+$C$2:$C8152)), "")*24*60, "")</f>
        <v/>
      </c>
      <c r="N8153" s="24" t="str" cm="1">
        <f t="array" ref="N8153">IFERROR(IF($B8153=N$1, ($A8153+$C8153) - MAX(IF($B$2:$B8152=$B8153, $A$2:$A8152+$C$2:$C8152)), "")*24*60, "")</f>
        <v/>
      </c>
      <c r="O8153" s="24" t="str" cm="1">
        <f t="array" ref="O8153">IFERROR(IF($B8153=O$1, ($A8153+$C8153) - MAX(IF($B$2:$B8152=$B8153, $A$2:$A8152+$C$2:$C8152)), "")*24*60, "")</f>
        <v/>
      </c>
      <c r="P8153" s="24" t="str" cm="1">
        <f t="array" ref="P8153">IFERROR(IF($B8153=P$1, ($A8153+$C8153) - MAX(IF($B$2:$B8152=$B8153, $A$2:$A8152+$C$2:$C8152)), "")*24*60, "")</f>
        <v/>
      </c>
      <c r="Q8153" s="24" t="str" cm="1">
        <f t="array" ref="Q8153">IFERROR(IF($B8153=Q$1, ($A8153+$C8153) - MAX(IF($B$2:$B8152=$B8153, $A$2:$A8152+$C$2:$C8152)), "")*24*60, "")</f>
        <v/>
      </c>
      <c r="R8153" s="24" t="str" cm="1">
        <f t="array" ref="R8153">IFERROR(IF($B8153=R$1, ($A8153+$C8153) - MAX(IF($B$2:$B8152=$B8153, $A$2:$A8152+$C$2:$C8152)), "")*24*60, "")</f>
        <v/>
      </c>
      <c r="S8153" s="24" t="str" cm="1">
        <f t="array" ref="S8153">IFERROR(IF($B8153=S$1, ($A8153+$C8153) - MAX(IF($B$2:$B8152=$B8153, $A$2:$A8152+$C$2:$C8152)), "")*24*60, "")</f>
        <v/>
      </c>
    </row>
    <row r="8154" spans="1:19" x14ac:dyDescent="0.2">
      <c r="A8154" s="12">
        <f t="shared" ref="A8154:C8154" si="1648">A8153</f>
        <v>46021</v>
      </c>
      <c r="B8154" s="5" t="str">
        <f t="shared" si="1648"/>
        <v>Northern Cardinal</v>
      </c>
      <c r="C8154" s="6">
        <f t="shared" si="1648"/>
        <v>0.7319444444444444</v>
      </c>
      <c r="D8154" s="5"/>
      <c r="E8154" s="5"/>
      <c r="F8154" s="5" t="s">
        <v>9</v>
      </c>
      <c r="G8154" s="15" t="s">
        <v>8</v>
      </c>
      <c r="H8154" s="24">
        <f t="shared" si="1590"/>
        <v>0</v>
      </c>
      <c r="I8154" s="24" cm="1">
        <f t="array" ref="I8154">IFERROR(IF($B8154=I$1, ($A8154+$C8154) - MAX(IF($B$2:$B8153=$B8154, $A$2:$A8153+$C$2:$C8153)), "")*24*60, "")</f>
        <v>0</v>
      </c>
      <c r="J8154" s="24" t="str" cm="1">
        <f t="array" ref="J8154">IFERROR(IF($B8154=J$1, ($A8154+$C8154) - MAX(IF($B$2:$B8153=$B8154, $A$2:$A8153+$C$2:$C8153)), "")*24*60, "")</f>
        <v/>
      </c>
      <c r="K8154" s="24" t="str" cm="1">
        <f t="array" ref="K8154">IFERROR(IF($B8154=K$1, ($A8154+$C8154) - MAX(IF($B$2:$B8153=$B8154, $A$2:$A8153+$C$2:$C8153)), "")*24*60, "")</f>
        <v/>
      </c>
      <c r="L8154" s="24" t="str" cm="1">
        <f t="array" ref="L8154">IFERROR(IF($B8154=L$1, ($A8154+$C8154) - MAX(IF($B$2:$B8153=$B8154, $A$2:$A8153+$C$2:$C8153)), "")*24*60, "")</f>
        <v/>
      </c>
      <c r="M8154" s="24" t="str" cm="1">
        <f t="array" ref="M8154">IFERROR(IF($B8154=M$1, ($A8154+$C8154) - MAX(IF($B$2:$B8153=$B8154, $A$2:$A8153+$C$2:$C8153)), "")*24*60, "")</f>
        <v/>
      </c>
      <c r="N8154" s="24" t="str" cm="1">
        <f t="array" ref="N8154">IFERROR(IF($B8154=N$1, ($A8154+$C8154) - MAX(IF($B$2:$B8153=$B8154, $A$2:$A8153+$C$2:$C8153)), "")*24*60, "")</f>
        <v/>
      </c>
      <c r="O8154" s="24" t="str" cm="1">
        <f t="array" ref="O8154">IFERROR(IF($B8154=O$1, ($A8154+$C8154) - MAX(IF($B$2:$B8153=$B8154, $A$2:$A8153+$C$2:$C8153)), "")*24*60, "")</f>
        <v/>
      </c>
      <c r="P8154" s="24" t="str" cm="1">
        <f t="array" ref="P8154">IFERROR(IF($B8154=P$1, ($A8154+$C8154) - MAX(IF($B$2:$B8153=$B8154, $A$2:$A8153+$C$2:$C8153)), "")*24*60, "")</f>
        <v/>
      </c>
      <c r="Q8154" s="24" t="str" cm="1">
        <f t="array" ref="Q8154">IFERROR(IF($B8154=Q$1, ($A8154+$C8154) - MAX(IF($B$2:$B8153=$B8154, $A$2:$A8153+$C$2:$C8153)), "")*24*60, "")</f>
        <v/>
      </c>
      <c r="R8154" s="24" t="str" cm="1">
        <f t="array" ref="R8154">IFERROR(IF($B8154=R$1, ($A8154+$C8154) - MAX(IF($B$2:$B8153=$B8154, $A$2:$A8153+$C$2:$C8153)), "")*24*60, "")</f>
        <v/>
      </c>
      <c r="S8154" s="24" t="str" cm="1">
        <f t="array" ref="S8154">IFERROR(IF($B8154=S$1, ($A8154+$C8154) - MAX(IF($B$2:$B8153=$B8154, $A$2:$A8153+$C$2:$C8153)), "")*24*60, "")</f>
        <v/>
      </c>
    </row>
    <row r="8155" spans="1:19" x14ac:dyDescent="0.2">
      <c r="A8155" s="12">
        <f t="shared" ref="A8155:C8155" si="1649">A8154</f>
        <v>46021</v>
      </c>
      <c r="B8155" s="5" t="str">
        <f t="shared" si="1649"/>
        <v>Northern Cardinal</v>
      </c>
      <c r="C8155" s="6">
        <f t="shared" si="1649"/>
        <v>0.7319444444444444</v>
      </c>
      <c r="D8155" s="5"/>
      <c r="E8155" s="5"/>
      <c r="F8155" s="5" t="s">
        <v>9</v>
      </c>
      <c r="G8155" s="15" t="s">
        <v>8</v>
      </c>
      <c r="H8155" s="24">
        <f t="shared" si="1590"/>
        <v>0</v>
      </c>
      <c r="I8155" s="24" cm="1">
        <f t="array" ref="I8155">IFERROR(IF($B8155=I$1, ($A8155+$C8155) - MAX(IF($B$2:$B8154=$B8155, $A$2:$A8154+$C$2:$C8154)), "")*24*60, "")</f>
        <v>0</v>
      </c>
      <c r="J8155" s="24" t="str" cm="1">
        <f t="array" ref="J8155">IFERROR(IF($B8155=J$1, ($A8155+$C8155) - MAX(IF($B$2:$B8154=$B8155, $A$2:$A8154+$C$2:$C8154)), "")*24*60, "")</f>
        <v/>
      </c>
      <c r="K8155" s="24" t="str" cm="1">
        <f t="array" ref="K8155">IFERROR(IF($B8155=K$1, ($A8155+$C8155) - MAX(IF($B$2:$B8154=$B8155, $A$2:$A8154+$C$2:$C8154)), "")*24*60, "")</f>
        <v/>
      </c>
      <c r="L8155" s="24" t="str" cm="1">
        <f t="array" ref="L8155">IFERROR(IF($B8155=L$1, ($A8155+$C8155) - MAX(IF($B$2:$B8154=$B8155, $A$2:$A8154+$C$2:$C8154)), "")*24*60, "")</f>
        <v/>
      </c>
      <c r="M8155" s="24" t="str" cm="1">
        <f t="array" ref="M8155">IFERROR(IF($B8155=M$1, ($A8155+$C8155) - MAX(IF($B$2:$B8154=$B8155, $A$2:$A8154+$C$2:$C8154)), "")*24*60, "")</f>
        <v/>
      </c>
      <c r="N8155" s="24" t="str" cm="1">
        <f t="array" ref="N8155">IFERROR(IF($B8155=N$1, ($A8155+$C8155) - MAX(IF($B$2:$B8154=$B8155, $A$2:$A8154+$C$2:$C8154)), "")*24*60, "")</f>
        <v/>
      </c>
      <c r="O8155" s="24" t="str" cm="1">
        <f t="array" ref="O8155">IFERROR(IF($B8155=O$1, ($A8155+$C8155) - MAX(IF($B$2:$B8154=$B8155, $A$2:$A8154+$C$2:$C8154)), "")*24*60, "")</f>
        <v/>
      </c>
      <c r="P8155" s="24" t="str" cm="1">
        <f t="array" ref="P8155">IFERROR(IF($B8155=P$1, ($A8155+$C8155) - MAX(IF($B$2:$B8154=$B8155, $A$2:$A8154+$C$2:$C8154)), "")*24*60, "")</f>
        <v/>
      </c>
      <c r="Q8155" s="24" t="str" cm="1">
        <f t="array" ref="Q8155">IFERROR(IF($B8155=Q$1, ($A8155+$C8155) - MAX(IF($B$2:$B8154=$B8155, $A$2:$A8154+$C$2:$C8154)), "")*24*60, "")</f>
        <v/>
      </c>
      <c r="R8155" s="24" t="str" cm="1">
        <f t="array" ref="R8155">IFERROR(IF($B8155=R$1, ($A8155+$C8155) - MAX(IF($B$2:$B8154=$B8155, $A$2:$A8154+$C$2:$C8154)), "")*24*60, "")</f>
        <v/>
      </c>
      <c r="S8155" s="24" t="str" cm="1">
        <f t="array" ref="S8155">IFERROR(IF($B8155=S$1, ($A8155+$C8155) - MAX(IF($B$2:$B8154=$B8155, $A$2:$A8154+$C$2:$C8154)), "")*24*60, "")</f>
        <v/>
      </c>
    </row>
    <row r="8156" spans="1:19" x14ac:dyDescent="0.2">
      <c r="A8156" s="12">
        <f t="shared" ref="A8156:C8156" si="1650">A8155</f>
        <v>46021</v>
      </c>
      <c r="B8156" s="5" t="str">
        <f t="shared" si="1650"/>
        <v>Northern Cardinal</v>
      </c>
      <c r="C8156" s="6">
        <f t="shared" si="1650"/>
        <v>0.7319444444444444</v>
      </c>
      <c r="D8156" s="5"/>
      <c r="E8156" s="5"/>
      <c r="F8156" s="5" t="s">
        <v>9</v>
      </c>
      <c r="G8156" s="15" t="s">
        <v>8</v>
      </c>
      <c r="H8156" s="24">
        <f t="shared" si="1590"/>
        <v>0</v>
      </c>
      <c r="I8156" s="24" cm="1">
        <f t="array" ref="I8156">IFERROR(IF($B8156=I$1, ($A8156+$C8156) - MAX(IF($B$2:$B8155=$B8156, $A$2:$A8155+$C$2:$C8155)), "")*24*60, "")</f>
        <v>0</v>
      </c>
      <c r="J8156" s="24" t="str" cm="1">
        <f t="array" ref="J8156">IFERROR(IF($B8156=J$1, ($A8156+$C8156) - MAX(IF($B$2:$B8155=$B8156, $A$2:$A8155+$C$2:$C8155)), "")*24*60, "")</f>
        <v/>
      </c>
      <c r="K8156" s="24" t="str" cm="1">
        <f t="array" ref="K8156">IFERROR(IF($B8156=K$1, ($A8156+$C8156) - MAX(IF($B$2:$B8155=$B8156, $A$2:$A8155+$C$2:$C8155)), "")*24*60, "")</f>
        <v/>
      </c>
      <c r="L8156" s="24" t="str" cm="1">
        <f t="array" ref="L8156">IFERROR(IF($B8156=L$1, ($A8156+$C8156) - MAX(IF($B$2:$B8155=$B8156, $A$2:$A8155+$C$2:$C8155)), "")*24*60, "")</f>
        <v/>
      </c>
      <c r="M8156" s="24" t="str" cm="1">
        <f t="array" ref="M8156">IFERROR(IF($B8156=M$1, ($A8156+$C8156) - MAX(IF($B$2:$B8155=$B8156, $A$2:$A8155+$C$2:$C8155)), "")*24*60, "")</f>
        <v/>
      </c>
      <c r="N8156" s="24" t="str" cm="1">
        <f t="array" ref="N8156">IFERROR(IF($B8156=N$1, ($A8156+$C8156) - MAX(IF($B$2:$B8155=$B8156, $A$2:$A8155+$C$2:$C8155)), "")*24*60, "")</f>
        <v/>
      </c>
      <c r="O8156" s="24" t="str" cm="1">
        <f t="array" ref="O8156">IFERROR(IF($B8156=O$1, ($A8156+$C8156) - MAX(IF($B$2:$B8155=$B8156, $A$2:$A8155+$C$2:$C8155)), "")*24*60, "")</f>
        <v/>
      </c>
      <c r="P8156" s="24" t="str" cm="1">
        <f t="array" ref="P8156">IFERROR(IF($B8156=P$1, ($A8156+$C8156) - MAX(IF($B$2:$B8155=$B8156, $A$2:$A8155+$C$2:$C8155)), "")*24*60, "")</f>
        <v/>
      </c>
      <c r="Q8156" s="24" t="str" cm="1">
        <f t="array" ref="Q8156">IFERROR(IF($B8156=Q$1, ($A8156+$C8156) - MAX(IF($B$2:$B8155=$B8156, $A$2:$A8155+$C$2:$C8155)), "")*24*60, "")</f>
        <v/>
      </c>
      <c r="R8156" s="24" t="str" cm="1">
        <f t="array" ref="R8156">IFERROR(IF($B8156=R$1, ($A8156+$C8156) - MAX(IF($B$2:$B8155=$B8156, $A$2:$A8155+$C$2:$C8155)), "")*24*60, "")</f>
        <v/>
      </c>
      <c r="S8156" s="24" t="str" cm="1">
        <f t="array" ref="S8156">IFERROR(IF($B8156=S$1, ($A8156+$C8156) - MAX(IF($B$2:$B8155=$B8156, $A$2:$A8155+$C$2:$C8155)), "")*24*60, "")</f>
        <v/>
      </c>
    </row>
    <row r="8157" spans="1:19" x14ac:dyDescent="0.2">
      <c r="A8157" s="12">
        <f t="shared" ref="A8157:C8157" si="1651">A8156</f>
        <v>46021</v>
      </c>
      <c r="B8157" s="5" t="str">
        <f t="shared" si="1651"/>
        <v>Northern Cardinal</v>
      </c>
      <c r="C8157" s="6">
        <f t="shared" si="1651"/>
        <v>0.7319444444444444</v>
      </c>
      <c r="D8157" s="5"/>
      <c r="E8157" s="5"/>
      <c r="F8157" s="5" t="s">
        <v>9</v>
      </c>
      <c r="G8157" s="15" t="s">
        <v>8</v>
      </c>
      <c r="H8157" s="24">
        <f t="shared" si="1590"/>
        <v>0</v>
      </c>
      <c r="I8157" s="24" cm="1">
        <f t="array" ref="I8157">IFERROR(IF($B8157=I$1, ($A8157+$C8157) - MAX(IF($B$2:$B8156=$B8157, $A$2:$A8156+$C$2:$C8156)), "")*24*60, "")</f>
        <v>0</v>
      </c>
      <c r="J8157" s="24" t="str" cm="1">
        <f t="array" ref="J8157">IFERROR(IF($B8157=J$1, ($A8157+$C8157) - MAX(IF($B$2:$B8156=$B8157, $A$2:$A8156+$C$2:$C8156)), "")*24*60, "")</f>
        <v/>
      </c>
      <c r="K8157" s="24" t="str" cm="1">
        <f t="array" ref="K8157">IFERROR(IF($B8157=K$1, ($A8157+$C8157) - MAX(IF($B$2:$B8156=$B8157, $A$2:$A8156+$C$2:$C8156)), "")*24*60, "")</f>
        <v/>
      </c>
      <c r="L8157" s="24" t="str" cm="1">
        <f t="array" ref="L8157">IFERROR(IF($B8157=L$1, ($A8157+$C8157) - MAX(IF($B$2:$B8156=$B8157, $A$2:$A8156+$C$2:$C8156)), "")*24*60, "")</f>
        <v/>
      </c>
      <c r="M8157" s="24" t="str" cm="1">
        <f t="array" ref="M8157">IFERROR(IF($B8157=M$1, ($A8157+$C8157) - MAX(IF($B$2:$B8156=$B8157, $A$2:$A8156+$C$2:$C8156)), "")*24*60, "")</f>
        <v/>
      </c>
      <c r="N8157" s="24" t="str" cm="1">
        <f t="array" ref="N8157">IFERROR(IF($B8157=N$1, ($A8157+$C8157) - MAX(IF($B$2:$B8156=$B8157, $A$2:$A8156+$C$2:$C8156)), "")*24*60, "")</f>
        <v/>
      </c>
      <c r="O8157" s="24" t="str" cm="1">
        <f t="array" ref="O8157">IFERROR(IF($B8157=O$1, ($A8157+$C8157) - MAX(IF($B$2:$B8156=$B8157, $A$2:$A8156+$C$2:$C8156)), "")*24*60, "")</f>
        <v/>
      </c>
      <c r="P8157" s="24" t="str" cm="1">
        <f t="array" ref="P8157">IFERROR(IF($B8157=P$1, ($A8157+$C8157) - MAX(IF($B$2:$B8156=$B8157, $A$2:$A8156+$C$2:$C8156)), "")*24*60, "")</f>
        <v/>
      </c>
      <c r="Q8157" s="24" t="str" cm="1">
        <f t="array" ref="Q8157">IFERROR(IF($B8157=Q$1, ($A8157+$C8157) - MAX(IF($B$2:$B8156=$B8157, $A$2:$A8156+$C$2:$C8156)), "")*24*60, "")</f>
        <v/>
      </c>
      <c r="R8157" s="24" t="str" cm="1">
        <f t="array" ref="R8157">IFERROR(IF($B8157=R$1, ($A8157+$C8157) - MAX(IF($B$2:$B8156=$B8157, $A$2:$A8156+$C$2:$C8156)), "")*24*60, "")</f>
        <v/>
      </c>
      <c r="S8157" s="24" t="str" cm="1">
        <f t="array" ref="S8157">IFERROR(IF($B8157=S$1, ($A8157+$C8157) - MAX(IF($B$2:$B8156=$B8157, $A$2:$A8156+$C$2:$C8156)), "")*24*60, "")</f>
        <v/>
      </c>
    </row>
    <row r="8158" spans="1:19" x14ac:dyDescent="0.2">
      <c r="A8158" s="12">
        <f t="shared" ref="A8158:C8158" si="1652">A8157</f>
        <v>46021</v>
      </c>
      <c r="B8158" s="5" t="str">
        <f t="shared" si="1652"/>
        <v>Northern Cardinal</v>
      </c>
      <c r="C8158" s="6">
        <f t="shared" si="1652"/>
        <v>0.7319444444444444</v>
      </c>
      <c r="D8158" s="5"/>
      <c r="E8158" s="5"/>
      <c r="F8158" s="5" t="s">
        <v>9</v>
      </c>
      <c r="G8158" s="15" t="s">
        <v>8</v>
      </c>
      <c r="H8158" s="24">
        <f t="shared" si="1590"/>
        <v>0</v>
      </c>
      <c r="I8158" s="24" cm="1">
        <f t="array" ref="I8158">IFERROR(IF($B8158=I$1, ($A8158+$C8158) - MAX(IF($B$2:$B8157=$B8158, $A$2:$A8157+$C$2:$C8157)), "")*24*60, "")</f>
        <v>0</v>
      </c>
      <c r="J8158" s="24" t="str" cm="1">
        <f t="array" ref="J8158">IFERROR(IF($B8158=J$1, ($A8158+$C8158) - MAX(IF($B$2:$B8157=$B8158, $A$2:$A8157+$C$2:$C8157)), "")*24*60, "")</f>
        <v/>
      </c>
      <c r="K8158" s="24" t="str" cm="1">
        <f t="array" ref="K8158">IFERROR(IF($B8158=K$1, ($A8158+$C8158) - MAX(IF($B$2:$B8157=$B8158, $A$2:$A8157+$C$2:$C8157)), "")*24*60, "")</f>
        <v/>
      </c>
      <c r="L8158" s="24" t="str" cm="1">
        <f t="array" ref="L8158">IFERROR(IF($B8158=L$1, ($A8158+$C8158) - MAX(IF($B$2:$B8157=$B8158, $A$2:$A8157+$C$2:$C8157)), "")*24*60, "")</f>
        <v/>
      </c>
      <c r="M8158" s="24" t="str" cm="1">
        <f t="array" ref="M8158">IFERROR(IF($B8158=M$1, ($A8158+$C8158) - MAX(IF($B$2:$B8157=$B8158, $A$2:$A8157+$C$2:$C8157)), "")*24*60, "")</f>
        <v/>
      </c>
      <c r="N8158" s="24" t="str" cm="1">
        <f t="array" ref="N8158">IFERROR(IF($B8158=N$1, ($A8158+$C8158) - MAX(IF($B$2:$B8157=$B8158, $A$2:$A8157+$C$2:$C8157)), "")*24*60, "")</f>
        <v/>
      </c>
      <c r="O8158" s="24" t="str" cm="1">
        <f t="array" ref="O8158">IFERROR(IF($B8158=O$1, ($A8158+$C8158) - MAX(IF($B$2:$B8157=$B8158, $A$2:$A8157+$C$2:$C8157)), "")*24*60, "")</f>
        <v/>
      </c>
      <c r="P8158" s="24" t="str" cm="1">
        <f t="array" ref="P8158">IFERROR(IF($B8158=P$1, ($A8158+$C8158) - MAX(IF($B$2:$B8157=$B8158, $A$2:$A8157+$C$2:$C8157)), "")*24*60, "")</f>
        <v/>
      </c>
      <c r="Q8158" s="24" t="str" cm="1">
        <f t="array" ref="Q8158">IFERROR(IF($B8158=Q$1, ($A8158+$C8158) - MAX(IF($B$2:$B8157=$B8158, $A$2:$A8157+$C$2:$C8157)), "")*24*60, "")</f>
        <v/>
      </c>
      <c r="R8158" s="24" t="str" cm="1">
        <f t="array" ref="R8158">IFERROR(IF($B8158=R$1, ($A8158+$C8158) - MAX(IF($B$2:$B8157=$B8158, $A$2:$A8157+$C$2:$C8157)), "")*24*60, "")</f>
        <v/>
      </c>
      <c r="S8158" s="24" t="str" cm="1">
        <f t="array" ref="S8158">IFERROR(IF($B8158=S$1, ($A8158+$C8158) - MAX(IF($B$2:$B8157=$B8158, $A$2:$A8157+$C$2:$C8157)), "")*24*60, "")</f>
        <v/>
      </c>
    </row>
    <row r="8159" spans="1:19" x14ac:dyDescent="0.2">
      <c r="A8159" s="12">
        <f t="shared" ref="A8159:C8159" si="1653">A8158</f>
        <v>46021</v>
      </c>
      <c r="B8159" s="5" t="str">
        <f t="shared" si="1653"/>
        <v>Northern Cardinal</v>
      </c>
      <c r="C8159" s="6">
        <f t="shared" si="1653"/>
        <v>0.7319444444444444</v>
      </c>
      <c r="D8159" s="5"/>
      <c r="E8159" s="5"/>
      <c r="F8159" s="5" t="s">
        <v>9</v>
      </c>
      <c r="G8159" s="15" t="s">
        <v>8</v>
      </c>
      <c r="H8159" s="24">
        <f t="shared" si="1590"/>
        <v>0</v>
      </c>
      <c r="I8159" s="24" cm="1">
        <f t="array" ref="I8159">IFERROR(IF($B8159=I$1, ($A8159+$C8159) - MAX(IF($B$2:$B8158=$B8159, $A$2:$A8158+$C$2:$C8158)), "")*24*60, "")</f>
        <v>0</v>
      </c>
      <c r="J8159" s="24" t="str" cm="1">
        <f t="array" ref="J8159">IFERROR(IF($B8159=J$1, ($A8159+$C8159) - MAX(IF($B$2:$B8158=$B8159, $A$2:$A8158+$C$2:$C8158)), "")*24*60, "")</f>
        <v/>
      </c>
      <c r="K8159" s="24" t="str" cm="1">
        <f t="array" ref="K8159">IFERROR(IF($B8159=K$1, ($A8159+$C8159) - MAX(IF($B$2:$B8158=$B8159, $A$2:$A8158+$C$2:$C8158)), "")*24*60, "")</f>
        <v/>
      </c>
      <c r="L8159" s="24" t="str" cm="1">
        <f t="array" ref="L8159">IFERROR(IF($B8159=L$1, ($A8159+$C8159) - MAX(IF($B$2:$B8158=$B8159, $A$2:$A8158+$C$2:$C8158)), "")*24*60, "")</f>
        <v/>
      </c>
      <c r="M8159" s="24" t="str" cm="1">
        <f t="array" ref="M8159">IFERROR(IF($B8159=M$1, ($A8159+$C8159) - MAX(IF($B$2:$B8158=$B8159, $A$2:$A8158+$C$2:$C8158)), "")*24*60, "")</f>
        <v/>
      </c>
      <c r="N8159" s="24" t="str" cm="1">
        <f t="array" ref="N8159">IFERROR(IF($B8159=N$1, ($A8159+$C8159) - MAX(IF($B$2:$B8158=$B8159, $A$2:$A8158+$C$2:$C8158)), "")*24*60, "")</f>
        <v/>
      </c>
      <c r="O8159" s="24" t="str" cm="1">
        <f t="array" ref="O8159">IFERROR(IF($B8159=O$1, ($A8159+$C8159) - MAX(IF($B$2:$B8158=$B8159, $A$2:$A8158+$C$2:$C8158)), "")*24*60, "")</f>
        <v/>
      </c>
      <c r="P8159" s="24" t="str" cm="1">
        <f t="array" ref="P8159">IFERROR(IF($B8159=P$1, ($A8159+$C8159) - MAX(IF($B$2:$B8158=$B8159, $A$2:$A8158+$C$2:$C8158)), "")*24*60, "")</f>
        <v/>
      </c>
      <c r="Q8159" s="24" t="str" cm="1">
        <f t="array" ref="Q8159">IFERROR(IF($B8159=Q$1, ($A8159+$C8159) - MAX(IF($B$2:$B8158=$B8159, $A$2:$A8158+$C$2:$C8158)), "")*24*60, "")</f>
        <v/>
      </c>
      <c r="R8159" s="24" t="str" cm="1">
        <f t="array" ref="R8159">IFERROR(IF($B8159=R$1, ($A8159+$C8159) - MAX(IF($B$2:$B8158=$B8159, $A$2:$A8158+$C$2:$C8158)), "")*24*60, "")</f>
        <v/>
      </c>
      <c r="S8159" s="24" t="str" cm="1">
        <f t="array" ref="S8159">IFERROR(IF($B8159=S$1, ($A8159+$C8159) - MAX(IF($B$2:$B8158=$B8159, $A$2:$A8158+$C$2:$C8158)), "")*24*60, "")</f>
        <v/>
      </c>
    </row>
    <row r="8160" spans="1:19" x14ac:dyDescent="0.2">
      <c r="A8160" s="12">
        <f t="shared" ref="A8160:C8160" si="1654">A8159</f>
        <v>46021</v>
      </c>
      <c r="B8160" s="5" t="str">
        <f t="shared" si="1654"/>
        <v>Northern Cardinal</v>
      </c>
      <c r="C8160" s="6">
        <f t="shared" si="1654"/>
        <v>0.7319444444444444</v>
      </c>
      <c r="D8160" s="5"/>
      <c r="E8160" s="5"/>
      <c r="F8160" s="5" t="s">
        <v>9</v>
      </c>
      <c r="G8160" s="15" t="s">
        <v>8</v>
      </c>
      <c r="H8160" s="24">
        <f t="shared" ref="H8160:H8199" si="1655">IFERROR((($A8160+$C8160) - ($A8159+$C8159))*24*60, "")</f>
        <v>0</v>
      </c>
      <c r="I8160" s="24" cm="1">
        <f t="array" ref="I8160">IFERROR(IF($B8160=I$1, ($A8160+$C8160) - MAX(IF($B$2:$B8159=$B8160, $A$2:$A8159+$C$2:$C8159)), "")*24*60, "")</f>
        <v>0</v>
      </c>
      <c r="J8160" s="24" t="str" cm="1">
        <f t="array" ref="J8160">IFERROR(IF($B8160=J$1, ($A8160+$C8160) - MAX(IF($B$2:$B8159=$B8160, $A$2:$A8159+$C$2:$C8159)), "")*24*60, "")</f>
        <v/>
      </c>
      <c r="K8160" s="24" t="str" cm="1">
        <f t="array" ref="K8160">IFERROR(IF($B8160=K$1, ($A8160+$C8160) - MAX(IF($B$2:$B8159=$B8160, $A$2:$A8159+$C$2:$C8159)), "")*24*60, "")</f>
        <v/>
      </c>
      <c r="L8160" s="24" t="str" cm="1">
        <f t="array" ref="L8160">IFERROR(IF($B8160=L$1, ($A8160+$C8160) - MAX(IF($B$2:$B8159=$B8160, $A$2:$A8159+$C$2:$C8159)), "")*24*60, "")</f>
        <v/>
      </c>
      <c r="M8160" s="24" t="str" cm="1">
        <f t="array" ref="M8160">IFERROR(IF($B8160=M$1, ($A8160+$C8160) - MAX(IF($B$2:$B8159=$B8160, $A$2:$A8159+$C$2:$C8159)), "")*24*60, "")</f>
        <v/>
      </c>
      <c r="N8160" s="24" t="str" cm="1">
        <f t="array" ref="N8160">IFERROR(IF($B8160=N$1, ($A8160+$C8160) - MAX(IF($B$2:$B8159=$B8160, $A$2:$A8159+$C$2:$C8159)), "")*24*60, "")</f>
        <v/>
      </c>
      <c r="O8160" s="24" t="str" cm="1">
        <f t="array" ref="O8160">IFERROR(IF($B8160=O$1, ($A8160+$C8160) - MAX(IF($B$2:$B8159=$B8160, $A$2:$A8159+$C$2:$C8159)), "")*24*60, "")</f>
        <v/>
      </c>
      <c r="P8160" s="24" t="str" cm="1">
        <f t="array" ref="P8160">IFERROR(IF($B8160=P$1, ($A8160+$C8160) - MAX(IF($B$2:$B8159=$B8160, $A$2:$A8159+$C$2:$C8159)), "")*24*60, "")</f>
        <v/>
      </c>
      <c r="Q8160" s="24" t="str" cm="1">
        <f t="array" ref="Q8160">IFERROR(IF($B8160=Q$1, ($A8160+$C8160) - MAX(IF($B$2:$B8159=$B8160, $A$2:$A8159+$C$2:$C8159)), "")*24*60, "")</f>
        <v/>
      </c>
      <c r="R8160" s="24" t="str" cm="1">
        <f t="array" ref="R8160">IFERROR(IF($B8160=R$1, ($A8160+$C8160) - MAX(IF($B$2:$B8159=$B8160, $A$2:$A8159+$C$2:$C8159)), "")*24*60, "")</f>
        <v/>
      </c>
      <c r="S8160" s="24" t="str" cm="1">
        <f t="array" ref="S8160">IFERROR(IF($B8160=S$1, ($A8160+$C8160) - MAX(IF($B$2:$B8159=$B8160, $A$2:$A8159+$C$2:$C8159)), "")*24*60, "")</f>
        <v/>
      </c>
    </row>
    <row r="8161" spans="1:19" x14ac:dyDescent="0.2">
      <c r="A8161" s="12">
        <f t="shared" ref="A8161:C8161" si="1656">A8160</f>
        <v>46021</v>
      </c>
      <c r="B8161" s="5" t="str">
        <f t="shared" si="1656"/>
        <v>Northern Cardinal</v>
      </c>
      <c r="C8161" s="6">
        <f t="shared" si="1656"/>
        <v>0.7319444444444444</v>
      </c>
      <c r="D8161" s="5"/>
      <c r="E8161" s="5"/>
      <c r="F8161" s="5" t="s">
        <v>9</v>
      </c>
      <c r="G8161" s="15" t="s">
        <v>8</v>
      </c>
      <c r="H8161" s="24">
        <f t="shared" si="1655"/>
        <v>0</v>
      </c>
      <c r="I8161" s="24" cm="1">
        <f t="array" ref="I8161">IFERROR(IF($B8161=I$1, ($A8161+$C8161) - MAX(IF($B$2:$B8160=$B8161, $A$2:$A8160+$C$2:$C8160)), "")*24*60, "")</f>
        <v>0</v>
      </c>
      <c r="J8161" s="24" t="str" cm="1">
        <f t="array" ref="J8161">IFERROR(IF($B8161=J$1, ($A8161+$C8161) - MAX(IF($B$2:$B8160=$B8161, $A$2:$A8160+$C$2:$C8160)), "")*24*60, "")</f>
        <v/>
      </c>
      <c r="K8161" s="24" t="str" cm="1">
        <f t="array" ref="K8161">IFERROR(IF($B8161=K$1, ($A8161+$C8161) - MAX(IF($B$2:$B8160=$B8161, $A$2:$A8160+$C$2:$C8160)), "")*24*60, "")</f>
        <v/>
      </c>
      <c r="L8161" s="24" t="str" cm="1">
        <f t="array" ref="L8161">IFERROR(IF($B8161=L$1, ($A8161+$C8161) - MAX(IF($B$2:$B8160=$B8161, $A$2:$A8160+$C$2:$C8160)), "")*24*60, "")</f>
        <v/>
      </c>
      <c r="M8161" s="24" t="str" cm="1">
        <f t="array" ref="M8161">IFERROR(IF($B8161=M$1, ($A8161+$C8161) - MAX(IF($B$2:$B8160=$B8161, $A$2:$A8160+$C$2:$C8160)), "")*24*60, "")</f>
        <v/>
      </c>
      <c r="N8161" s="24" t="str" cm="1">
        <f t="array" ref="N8161">IFERROR(IF($B8161=N$1, ($A8161+$C8161) - MAX(IF($B$2:$B8160=$B8161, $A$2:$A8160+$C$2:$C8160)), "")*24*60, "")</f>
        <v/>
      </c>
      <c r="O8161" s="24" t="str" cm="1">
        <f t="array" ref="O8161">IFERROR(IF($B8161=O$1, ($A8161+$C8161) - MAX(IF($B$2:$B8160=$B8161, $A$2:$A8160+$C$2:$C8160)), "")*24*60, "")</f>
        <v/>
      </c>
      <c r="P8161" s="24" t="str" cm="1">
        <f t="array" ref="P8161">IFERROR(IF($B8161=P$1, ($A8161+$C8161) - MAX(IF($B$2:$B8160=$B8161, $A$2:$A8160+$C$2:$C8160)), "")*24*60, "")</f>
        <v/>
      </c>
      <c r="Q8161" s="24" t="str" cm="1">
        <f t="array" ref="Q8161">IFERROR(IF($B8161=Q$1, ($A8161+$C8161) - MAX(IF($B$2:$B8160=$B8161, $A$2:$A8160+$C$2:$C8160)), "")*24*60, "")</f>
        <v/>
      </c>
      <c r="R8161" s="24" t="str" cm="1">
        <f t="array" ref="R8161">IFERROR(IF($B8161=R$1, ($A8161+$C8161) - MAX(IF($B$2:$B8160=$B8161, $A$2:$A8160+$C$2:$C8160)), "")*24*60, "")</f>
        <v/>
      </c>
      <c r="S8161" s="24" t="str" cm="1">
        <f t="array" ref="S8161">IFERROR(IF($B8161=S$1, ($A8161+$C8161) - MAX(IF($B$2:$B8160=$B8161, $A$2:$A8160+$C$2:$C8160)), "")*24*60, "")</f>
        <v/>
      </c>
    </row>
    <row r="8162" spans="1:19" x14ac:dyDescent="0.2">
      <c r="A8162" s="12">
        <f t="shared" ref="A8162:C8162" si="1657">A8161</f>
        <v>46021</v>
      </c>
      <c r="B8162" s="5" t="str">
        <f t="shared" si="1657"/>
        <v>Northern Cardinal</v>
      </c>
      <c r="C8162" s="6">
        <f t="shared" si="1657"/>
        <v>0.7319444444444444</v>
      </c>
      <c r="D8162" s="5"/>
      <c r="E8162" s="5"/>
      <c r="F8162" s="5" t="s">
        <v>9</v>
      </c>
      <c r="G8162" s="15" t="s">
        <v>8</v>
      </c>
      <c r="H8162" s="24">
        <f t="shared" si="1655"/>
        <v>0</v>
      </c>
      <c r="I8162" s="24" cm="1">
        <f t="array" ref="I8162">IFERROR(IF($B8162=I$1, ($A8162+$C8162) - MAX(IF($B$2:$B8161=$B8162, $A$2:$A8161+$C$2:$C8161)), "")*24*60, "")</f>
        <v>0</v>
      </c>
      <c r="J8162" s="24" t="str" cm="1">
        <f t="array" ref="J8162">IFERROR(IF($B8162=J$1, ($A8162+$C8162) - MAX(IF($B$2:$B8161=$B8162, $A$2:$A8161+$C$2:$C8161)), "")*24*60, "")</f>
        <v/>
      </c>
      <c r="K8162" s="24" t="str" cm="1">
        <f t="array" ref="K8162">IFERROR(IF($B8162=K$1, ($A8162+$C8162) - MAX(IF($B$2:$B8161=$B8162, $A$2:$A8161+$C$2:$C8161)), "")*24*60, "")</f>
        <v/>
      </c>
      <c r="L8162" s="24" t="str" cm="1">
        <f t="array" ref="L8162">IFERROR(IF($B8162=L$1, ($A8162+$C8162) - MAX(IF($B$2:$B8161=$B8162, $A$2:$A8161+$C$2:$C8161)), "")*24*60, "")</f>
        <v/>
      </c>
      <c r="M8162" s="24" t="str" cm="1">
        <f t="array" ref="M8162">IFERROR(IF($B8162=M$1, ($A8162+$C8162) - MAX(IF($B$2:$B8161=$B8162, $A$2:$A8161+$C$2:$C8161)), "")*24*60, "")</f>
        <v/>
      </c>
      <c r="N8162" s="24" t="str" cm="1">
        <f t="array" ref="N8162">IFERROR(IF($B8162=N$1, ($A8162+$C8162) - MAX(IF($B$2:$B8161=$B8162, $A$2:$A8161+$C$2:$C8161)), "")*24*60, "")</f>
        <v/>
      </c>
      <c r="O8162" s="24" t="str" cm="1">
        <f t="array" ref="O8162">IFERROR(IF($B8162=O$1, ($A8162+$C8162) - MAX(IF($B$2:$B8161=$B8162, $A$2:$A8161+$C$2:$C8161)), "")*24*60, "")</f>
        <v/>
      </c>
      <c r="P8162" s="24" t="str" cm="1">
        <f t="array" ref="P8162">IFERROR(IF($B8162=P$1, ($A8162+$C8162) - MAX(IF($B$2:$B8161=$B8162, $A$2:$A8161+$C$2:$C8161)), "")*24*60, "")</f>
        <v/>
      </c>
      <c r="Q8162" s="24" t="str" cm="1">
        <f t="array" ref="Q8162">IFERROR(IF($B8162=Q$1, ($A8162+$C8162) - MAX(IF($B$2:$B8161=$B8162, $A$2:$A8161+$C$2:$C8161)), "")*24*60, "")</f>
        <v/>
      </c>
      <c r="R8162" s="24" t="str" cm="1">
        <f t="array" ref="R8162">IFERROR(IF($B8162=R$1, ($A8162+$C8162) - MAX(IF($B$2:$B8161=$B8162, $A$2:$A8161+$C$2:$C8161)), "")*24*60, "")</f>
        <v/>
      </c>
      <c r="S8162" s="24" t="str" cm="1">
        <f t="array" ref="S8162">IFERROR(IF($B8162=S$1, ($A8162+$C8162) - MAX(IF($B$2:$B8161=$B8162, $A$2:$A8161+$C$2:$C8161)), "")*24*60, "")</f>
        <v/>
      </c>
    </row>
    <row r="8163" spans="1:19" x14ac:dyDescent="0.2">
      <c r="A8163" s="12">
        <f t="shared" ref="A8163:C8163" si="1658">A8162</f>
        <v>46021</v>
      </c>
      <c r="B8163" s="5" t="str">
        <f t="shared" si="1658"/>
        <v>Northern Cardinal</v>
      </c>
      <c r="C8163" s="6">
        <f t="shared" si="1658"/>
        <v>0.7319444444444444</v>
      </c>
      <c r="D8163" s="5"/>
      <c r="E8163" s="5"/>
      <c r="F8163" s="5" t="s">
        <v>9</v>
      </c>
      <c r="G8163" s="15" t="s">
        <v>8</v>
      </c>
      <c r="H8163" s="24">
        <f t="shared" si="1655"/>
        <v>0</v>
      </c>
      <c r="I8163" s="24" cm="1">
        <f t="array" ref="I8163">IFERROR(IF($B8163=I$1, ($A8163+$C8163) - MAX(IF($B$2:$B8162=$B8163, $A$2:$A8162+$C$2:$C8162)), "")*24*60, "")</f>
        <v>0</v>
      </c>
      <c r="J8163" s="24" t="str" cm="1">
        <f t="array" ref="J8163">IFERROR(IF($B8163=J$1, ($A8163+$C8163) - MAX(IF($B$2:$B8162=$B8163, $A$2:$A8162+$C$2:$C8162)), "")*24*60, "")</f>
        <v/>
      </c>
      <c r="K8163" s="24" t="str" cm="1">
        <f t="array" ref="K8163">IFERROR(IF($B8163=K$1, ($A8163+$C8163) - MAX(IF($B$2:$B8162=$B8163, $A$2:$A8162+$C$2:$C8162)), "")*24*60, "")</f>
        <v/>
      </c>
      <c r="L8163" s="24" t="str" cm="1">
        <f t="array" ref="L8163">IFERROR(IF($B8163=L$1, ($A8163+$C8163) - MAX(IF($B$2:$B8162=$B8163, $A$2:$A8162+$C$2:$C8162)), "")*24*60, "")</f>
        <v/>
      </c>
      <c r="M8163" s="24" t="str" cm="1">
        <f t="array" ref="M8163">IFERROR(IF($B8163=M$1, ($A8163+$C8163) - MAX(IF($B$2:$B8162=$B8163, $A$2:$A8162+$C$2:$C8162)), "")*24*60, "")</f>
        <v/>
      </c>
      <c r="N8163" s="24" t="str" cm="1">
        <f t="array" ref="N8163">IFERROR(IF($B8163=N$1, ($A8163+$C8163) - MAX(IF($B$2:$B8162=$B8163, $A$2:$A8162+$C$2:$C8162)), "")*24*60, "")</f>
        <v/>
      </c>
      <c r="O8163" s="24" t="str" cm="1">
        <f t="array" ref="O8163">IFERROR(IF($B8163=O$1, ($A8163+$C8163) - MAX(IF($B$2:$B8162=$B8163, $A$2:$A8162+$C$2:$C8162)), "")*24*60, "")</f>
        <v/>
      </c>
      <c r="P8163" s="24" t="str" cm="1">
        <f t="array" ref="P8163">IFERROR(IF($B8163=P$1, ($A8163+$C8163) - MAX(IF($B$2:$B8162=$B8163, $A$2:$A8162+$C$2:$C8162)), "")*24*60, "")</f>
        <v/>
      </c>
      <c r="Q8163" s="24" t="str" cm="1">
        <f t="array" ref="Q8163">IFERROR(IF($B8163=Q$1, ($A8163+$C8163) - MAX(IF($B$2:$B8162=$B8163, $A$2:$A8162+$C$2:$C8162)), "")*24*60, "")</f>
        <v/>
      </c>
      <c r="R8163" s="24" t="str" cm="1">
        <f t="array" ref="R8163">IFERROR(IF($B8163=R$1, ($A8163+$C8163) - MAX(IF($B$2:$B8162=$B8163, $A$2:$A8162+$C$2:$C8162)), "")*24*60, "")</f>
        <v/>
      </c>
      <c r="S8163" s="24" t="str" cm="1">
        <f t="array" ref="S8163">IFERROR(IF($B8163=S$1, ($A8163+$C8163) - MAX(IF($B$2:$B8162=$B8163, $A$2:$A8162+$C$2:$C8162)), "")*24*60, "")</f>
        <v/>
      </c>
    </row>
    <row r="8164" spans="1:19" x14ac:dyDescent="0.2">
      <c r="A8164" s="12">
        <f t="shared" ref="A8164:C8164" si="1659">A8163</f>
        <v>46021</v>
      </c>
      <c r="B8164" s="5" t="str">
        <f t="shared" si="1659"/>
        <v>Northern Cardinal</v>
      </c>
      <c r="C8164" s="6">
        <f t="shared" si="1659"/>
        <v>0.7319444444444444</v>
      </c>
      <c r="D8164" s="5"/>
      <c r="E8164" s="5"/>
      <c r="F8164" s="5" t="s">
        <v>9</v>
      </c>
      <c r="G8164" s="15" t="s">
        <v>8</v>
      </c>
      <c r="H8164" s="24">
        <f t="shared" si="1655"/>
        <v>0</v>
      </c>
      <c r="I8164" s="24" cm="1">
        <f t="array" ref="I8164">IFERROR(IF($B8164=I$1, ($A8164+$C8164) - MAX(IF($B$2:$B8163=$B8164, $A$2:$A8163+$C$2:$C8163)), "")*24*60, "")</f>
        <v>0</v>
      </c>
      <c r="J8164" s="24" t="str" cm="1">
        <f t="array" ref="J8164">IFERROR(IF($B8164=J$1, ($A8164+$C8164) - MAX(IF($B$2:$B8163=$B8164, $A$2:$A8163+$C$2:$C8163)), "")*24*60, "")</f>
        <v/>
      </c>
      <c r="K8164" s="24" t="str" cm="1">
        <f t="array" ref="K8164">IFERROR(IF($B8164=K$1, ($A8164+$C8164) - MAX(IF($B$2:$B8163=$B8164, $A$2:$A8163+$C$2:$C8163)), "")*24*60, "")</f>
        <v/>
      </c>
      <c r="L8164" s="24" t="str" cm="1">
        <f t="array" ref="L8164">IFERROR(IF($B8164=L$1, ($A8164+$C8164) - MAX(IF($B$2:$B8163=$B8164, $A$2:$A8163+$C$2:$C8163)), "")*24*60, "")</f>
        <v/>
      </c>
      <c r="M8164" s="24" t="str" cm="1">
        <f t="array" ref="M8164">IFERROR(IF($B8164=M$1, ($A8164+$C8164) - MAX(IF($B$2:$B8163=$B8164, $A$2:$A8163+$C$2:$C8163)), "")*24*60, "")</f>
        <v/>
      </c>
      <c r="N8164" s="24" t="str" cm="1">
        <f t="array" ref="N8164">IFERROR(IF($B8164=N$1, ($A8164+$C8164) - MAX(IF($B$2:$B8163=$B8164, $A$2:$A8163+$C$2:$C8163)), "")*24*60, "")</f>
        <v/>
      </c>
      <c r="O8164" s="24" t="str" cm="1">
        <f t="array" ref="O8164">IFERROR(IF($B8164=O$1, ($A8164+$C8164) - MAX(IF($B$2:$B8163=$B8164, $A$2:$A8163+$C$2:$C8163)), "")*24*60, "")</f>
        <v/>
      </c>
      <c r="P8164" s="24" t="str" cm="1">
        <f t="array" ref="P8164">IFERROR(IF($B8164=P$1, ($A8164+$C8164) - MAX(IF($B$2:$B8163=$B8164, $A$2:$A8163+$C$2:$C8163)), "")*24*60, "")</f>
        <v/>
      </c>
      <c r="Q8164" s="24" t="str" cm="1">
        <f t="array" ref="Q8164">IFERROR(IF($B8164=Q$1, ($A8164+$C8164) - MAX(IF($B$2:$B8163=$B8164, $A$2:$A8163+$C$2:$C8163)), "")*24*60, "")</f>
        <v/>
      </c>
      <c r="R8164" s="24" t="str" cm="1">
        <f t="array" ref="R8164">IFERROR(IF($B8164=R$1, ($A8164+$C8164) - MAX(IF($B$2:$B8163=$B8164, $A$2:$A8163+$C$2:$C8163)), "")*24*60, "")</f>
        <v/>
      </c>
      <c r="S8164" s="24" t="str" cm="1">
        <f t="array" ref="S8164">IFERROR(IF($B8164=S$1, ($A8164+$C8164) - MAX(IF($B$2:$B8163=$B8164, $A$2:$A8163+$C$2:$C8163)), "")*24*60, "")</f>
        <v/>
      </c>
    </row>
    <row r="8165" spans="1:19" x14ac:dyDescent="0.2">
      <c r="A8165" s="12">
        <f t="shared" ref="A8165:C8165" si="1660">A8164</f>
        <v>46021</v>
      </c>
      <c r="B8165" s="5" t="str">
        <f t="shared" si="1660"/>
        <v>Northern Cardinal</v>
      </c>
      <c r="C8165" s="6">
        <f t="shared" si="1660"/>
        <v>0.7319444444444444</v>
      </c>
      <c r="D8165" s="5"/>
      <c r="E8165" s="5"/>
      <c r="F8165" s="5" t="s">
        <v>9</v>
      </c>
      <c r="G8165" s="15" t="s">
        <v>8</v>
      </c>
      <c r="H8165" s="24">
        <f t="shared" si="1655"/>
        <v>0</v>
      </c>
      <c r="I8165" s="24" cm="1">
        <f t="array" ref="I8165">IFERROR(IF($B8165=I$1, ($A8165+$C8165) - MAX(IF($B$2:$B8164=$B8165, $A$2:$A8164+$C$2:$C8164)), "")*24*60, "")</f>
        <v>0</v>
      </c>
      <c r="J8165" s="24" t="str" cm="1">
        <f t="array" ref="J8165">IFERROR(IF($B8165=J$1, ($A8165+$C8165) - MAX(IF($B$2:$B8164=$B8165, $A$2:$A8164+$C$2:$C8164)), "")*24*60, "")</f>
        <v/>
      </c>
      <c r="K8165" s="24" t="str" cm="1">
        <f t="array" ref="K8165">IFERROR(IF($B8165=K$1, ($A8165+$C8165) - MAX(IF($B$2:$B8164=$B8165, $A$2:$A8164+$C$2:$C8164)), "")*24*60, "")</f>
        <v/>
      </c>
      <c r="L8165" s="24" t="str" cm="1">
        <f t="array" ref="L8165">IFERROR(IF($B8165=L$1, ($A8165+$C8165) - MAX(IF($B$2:$B8164=$B8165, $A$2:$A8164+$C$2:$C8164)), "")*24*60, "")</f>
        <v/>
      </c>
      <c r="M8165" s="24" t="str" cm="1">
        <f t="array" ref="M8165">IFERROR(IF($B8165=M$1, ($A8165+$C8165) - MAX(IF($B$2:$B8164=$B8165, $A$2:$A8164+$C$2:$C8164)), "")*24*60, "")</f>
        <v/>
      </c>
      <c r="N8165" s="24" t="str" cm="1">
        <f t="array" ref="N8165">IFERROR(IF($B8165=N$1, ($A8165+$C8165) - MAX(IF($B$2:$B8164=$B8165, $A$2:$A8164+$C$2:$C8164)), "")*24*60, "")</f>
        <v/>
      </c>
      <c r="O8165" s="24" t="str" cm="1">
        <f t="array" ref="O8165">IFERROR(IF($B8165=O$1, ($A8165+$C8165) - MAX(IF($B$2:$B8164=$B8165, $A$2:$A8164+$C$2:$C8164)), "")*24*60, "")</f>
        <v/>
      </c>
      <c r="P8165" s="24" t="str" cm="1">
        <f t="array" ref="P8165">IFERROR(IF($B8165=P$1, ($A8165+$C8165) - MAX(IF($B$2:$B8164=$B8165, $A$2:$A8164+$C$2:$C8164)), "")*24*60, "")</f>
        <v/>
      </c>
      <c r="Q8165" s="24" t="str" cm="1">
        <f t="array" ref="Q8165">IFERROR(IF($B8165=Q$1, ($A8165+$C8165) - MAX(IF($B$2:$B8164=$B8165, $A$2:$A8164+$C$2:$C8164)), "")*24*60, "")</f>
        <v/>
      </c>
      <c r="R8165" s="24" t="str" cm="1">
        <f t="array" ref="R8165">IFERROR(IF($B8165=R$1, ($A8165+$C8165) - MAX(IF($B$2:$B8164=$B8165, $A$2:$A8164+$C$2:$C8164)), "")*24*60, "")</f>
        <v/>
      </c>
      <c r="S8165" s="24" t="str" cm="1">
        <f t="array" ref="S8165">IFERROR(IF($B8165=S$1, ($A8165+$C8165) - MAX(IF($B$2:$B8164=$B8165, $A$2:$A8164+$C$2:$C8164)), "")*24*60, "")</f>
        <v/>
      </c>
    </row>
    <row r="8166" spans="1:19" x14ac:dyDescent="0.2">
      <c r="A8166" s="12">
        <f t="shared" ref="A8166:C8166" si="1661">A8165</f>
        <v>46021</v>
      </c>
      <c r="B8166" s="5" t="str">
        <f t="shared" si="1661"/>
        <v>Northern Cardinal</v>
      </c>
      <c r="C8166" s="6">
        <f t="shared" si="1661"/>
        <v>0.7319444444444444</v>
      </c>
      <c r="D8166" s="5"/>
      <c r="E8166" s="5"/>
      <c r="F8166" s="5" t="s">
        <v>9</v>
      </c>
      <c r="G8166" s="15" t="s">
        <v>8</v>
      </c>
      <c r="H8166" s="24">
        <f t="shared" si="1655"/>
        <v>0</v>
      </c>
      <c r="I8166" s="24" cm="1">
        <f t="array" ref="I8166">IFERROR(IF($B8166=I$1, ($A8166+$C8166) - MAX(IF($B$2:$B8165=$B8166, $A$2:$A8165+$C$2:$C8165)), "")*24*60, "")</f>
        <v>0</v>
      </c>
      <c r="J8166" s="24" t="str" cm="1">
        <f t="array" ref="J8166">IFERROR(IF($B8166=J$1, ($A8166+$C8166) - MAX(IF($B$2:$B8165=$B8166, $A$2:$A8165+$C$2:$C8165)), "")*24*60, "")</f>
        <v/>
      </c>
      <c r="K8166" s="24" t="str" cm="1">
        <f t="array" ref="K8166">IFERROR(IF($B8166=K$1, ($A8166+$C8166) - MAX(IF($B$2:$B8165=$B8166, $A$2:$A8165+$C$2:$C8165)), "")*24*60, "")</f>
        <v/>
      </c>
      <c r="L8166" s="24" t="str" cm="1">
        <f t="array" ref="L8166">IFERROR(IF($B8166=L$1, ($A8166+$C8166) - MAX(IF($B$2:$B8165=$B8166, $A$2:$A8165+$C$2:$C8165)), "")*24*60, "")</f>
        <v/>
      </c>
      <c r="M8166" s="24" t="str" cm="1">
        <f t="array" ref="M8166">IFERROR(IF($B8166=M$1, ($A8166+$C8166) - MAX(IF($B$2:$B8165=$B8166, $A$2:$A8165+$C$2:$C8165)), "")*24*60, "")</f>
        <v/>
      </c>
      <c r="N8166" s="24" t="str" cm="1">
        <f t="array" ref="N8166">IFERROR(IF($B8166=N$1, ($A8166+$C8166) - MAX(IF($B$2:$B8165=$B8166, $A$2:$A8165+$C$2:$C8165)), "")*24*60, "")</f>
        <v/>
      </c>
      <c r="O8166" s="24" t="str" cm="1">
        <f t="array" ref="O8166">IFERROR(IF($B8166=O$1, ($A8166+$C8166) - MAX(IF($B$2:$B8165=$B8166, $A$2:$A8165+$C$2:$C8165)), "")*24*60, "")</f>
        <v/>
      </c>
      <c r="P8166" s="24" t="str" cm="1">
        <f t="array" ref="P8166">IFERROR(IF($B8166=P$1, ($A8166+$C8166) - MAX(IF($B$2:$B8165=$B8166, $A$2:$A8165+$C$2:$C8165)), "")*24*60, "")</f>
        <v/>
      </c>
      <c r="Q8166" s="24" t="str" cm="1">
        <f t="array" ref="Q8166">IFERROR(IF($B8166=Q$1, ($A8166+$C8166) - MAX(IF($B$2:$B8165=$B8166, $A$2:$A8165+$C$2:$C8165)), "")*24*60, "")</f>
        <v/>
      </c>
      <c r="R8166" s="24" t="str" cm="1">
        <f t="array" ref="R8166">IFERROR(IF($B8166=R$1, ($A8166+$C8166) - MAX(IF($B$2:$B8165=$B8166, $A$2:$A8165+$C$2:$C8165)), "")*24*60, "")</f>
        <v/>
      </c>
      <c r="S8166" s="24" t="str" cm="1">
        <f t="array" ref="S8166">IFERROR(IF($B8166=S$1, ($A8166+$C8166) - MAX(IF($B$2:$B8165=$B8166, $A$2:$A8165+$C$2:$C8165)), "")*24*60, "")</f>
        <v/>
      </c>
    </row>
    <row r="8167" spans="1:19" x14ac:dyDescent="0.2">
      <c r="A8167" s="12">
        <f t="shared" ref="A8167:C8167" si="1662">A8166</f>
        <v>46021</v>
      </c>
      <c r="B8167" s="5" t="str">
        <f t="shared" si="1662"/>
        <v>Northern Cardinal</v>
      </c>
      <c r="C8167" s="6">
        <f t="shared" si="1662"/>
        <v>0.7319444444444444</v>
      </c>
      <c r="D8167" s="5"/>
      <c r="E8167" s="5"/>
      <c r="F8167" s="5" t="s">
        <v>9</v>
      </c>
      <c r="G8167" s="15" t="s">
        <v>8</v>
      </c>
      <c r="H8167" s="24">
        <f t="shared" si="1655"/>
        <v>0</v>
      </c>
      <c r="I8167" s="24" cm="1">
        <f t="array" ref="I8167">IFERROR(IF($B8167=I$1, ($A8167+$C8167) - MAX(IF($B$2:$B8166=$B8167, $A$2:$A8166+$C$2:$C8166)), "")*24*60, "")</f>
        <v>0</v>
      </c>
      <c r="J8167" s="24" t="str" cm="1">
        <f t="array" ref="J8167">IFERROR(IF($B8167=J$1, ($A8167+$C8167) - MAX(IF($B$2:$B8166=$B8167, $A$2:$A8166+$C$2:$C8166)), "")*24*60, "")</f>
        <v/>
      </c>
      <c r="K8167" s="24" t="str" cm="1">
        <f t="array" ref="K8167">IFERROR(IF($B8167=K$1, ($A8167+$C8167) - MAX(IF($B$2:$B8166=$B8167, $A$2:$A8166+$C$2:$C8166)), "")*24*60, "")</f>
        <v/>
      </c>
      <c r="L8167" s="24" t="str" cm="1">
        <f t="array" ref="L8167">IFERROR(IF($B8167=L$1, ($A8167+$C8167) - MAX(IF($B$2:$B8166=$B8167, $A$2:$A8166+$C$2:$C8166)), "")*24*60, "")</f>
        <v/>
      </c>
      <c r="M8167" s="24" t="str" cm="1">
        <f t="array" ref="M8167">IFERROR(IF($B8167=M$1, ($A8167+$C8167) - MAX(IF($B$2:$B8166=$B8167, $A$2:$A8166+$C$2:$C8166)), "")*24*60, "")</f>
        <v/>
      </c>
      <c r="N8167" s="24" t="str" cm="1">
        <f t="array" ref="N8167">IFERROR(IF($B8167=N$1, ($A8167+$C8167) - MAX(IF($B$2:$B8166=$B8167, $A$2:$A8166+$C$2:$C8166)), "")*24*60, "")</f>
        <v/>
      </c>
      <c r="O8167" s="24" t="str" cm="1">
        <f t="array" ref="O8167">IFERROR(IF($B8167=O$1, ($A8167+$C8167) - MAX(IF($B$2:$B8166=$B8167, $A$2:$A8166+$C$2:$C8166)), "")*24*60, "")</f>
        <v/>
      </c>
      <c r="P8167" s="24" t="str" cm="1">
        <f t="array" ref="P8167">IFERROR(IF($B8167=P$1, ($A8167+$C8167) - MAX(IF($B$2:$B8166=$B8167, $A$2:$A8166+$C$2:$C8166)), "")*24*60, "")</f>
        <v/>
      </c>
      <c r="Q8167" s="24" t="str" cm="1">
        <f t="array" ref="Q8167">IFERROR(IF($B8167=Q$1, ($A8167+$C8167) - MAX(IF($B$2:$B8166=$B8167, $A$2:$A8166+$C$2:$C8166)), "")*24*60, "")</f>
        <v/>
      </c>
      <c r="R8167" s="24" t="str" cm="1">
        <f t="array" ref="R8167">IFERROR(IF($B8167=R$1, ($A8167+$C8167) - MAX(IF($B$2:$B8166=$B8167, $A$2:$A8166+$C$2:$C8166)), "")*24*60, "")</f>
        <v/>
      </c>
      <c r="S8167" s="24" t="str" cm="1">
        <f t="array" ref="S8167">IFERROR(IF($B8167=S$1, ($A8167+$C8167) - MAX(IF($B$2:$B8166=$B8167, $A$2:$A8166+$C$2:$C8166)), "")*24*60, "")</f>
        <v/>
      </c>
    </row>
    <row r="8168" spans="1:19" x14ac:dyDescent="0.2">
      <c r="A8168" s="12">
        <f t="shared" ref="A8168:C8168" si="1663">A8167</f>
        <v>46021</v>
      </c>
      <c r="B8168" s="5" t="str">
        <f t="shared" si="1663"/>
        <v>Northern Cardinal</v>
      </c>
      <c r="C8168" s="6">
        <f t="shared" si="1663"/>
        <v>0.7319444444444444</v>
      </c>
      <c r="D8168" s="5"/>
      <c r="E8168" s="5"/>
      <c r="F8168" s="5" t="s">
        <v>9</v>
      </c>
      <c r="G8168" s="15" t="s">
        <v>8</v>
      </c>
      <c r="H8168" s="24">
        <f t="shared" si="1655"/>
        <v>0</v>
      </c>
      <c r="I8168" s="24" cm="1">
        <f t="array" ref="I8168">IFERROR(IF($B8168=I$1, ($A8168+$C8168) - MAX(IF($B$2:$B8167=$B8168, $A$2:$A8167+$C$2:$C8167)), "")*24*60, "")</f>
        <v>0</v>
      </c>
      <c r="J8168" s="24" t="str" cm="1">
        <f t="array" ref="J8168">IFERROR(IF($B8168=J$1, ($A8168+$C8168) - MAX(IF($B$2:$B8167=$B8168, $A$2:$A8167+$C$2:$C8167)), "")*24*60, "")</f>
        <v/>
      </c>
      <c r="K8168" s="24" t="str" cm="1">
        <f t="array" ref="K8168">IFERROR(IF($B8168=K$1, ($A8168+$C8168) - MAX(IF($B$2:$B8167=$B8168, $A$2:$A8167+$C$2:$C8167)), "")*24*60, "")</f>
        <v/>
      </c>
      <c r="L8168" s="24" t="str" cm="1">
        <f t="array" ref="L8168">IFERROR(IF($B8168=L$1, ($A8168+$C8168) - MAX(IF($B$2:$B8167=$B8168, $A$2:$A8167+$C$2:$C8167)), "")*24*60, "")</f>
        <v/>
      </c>
      <c r="M8168" s="24" t="str" cm="1">
        <f t="array" ref="M8168">IFERROR(IF($B8168=M$1, ($A8168+$C8168) - MAX(IF($B$2:$B8167=$B8168, $A$2:$A8167+$C$2:$C8167)), "")*24*60, "")</f>
        <v/>
      </c>
      <c r="N8168" s="24" t="str" cm="1">
        <f t="array" ref="N8168">IFERROR(IF($B8168=N$1, ($A8168+$C8168) - MAX(IF($B$2:$B8167=$B8168, $A$2:$A8167+$C$2:$C8167)), "")*24*60, "")</f>
        <v/>
      </c>
      <c r="O8168" s="24" t="str" cm="1">
        <f t="array" ref="O8168">IFERROR(IF($B8168=O$1, ($A8168+$C8168) - MAX(IF($B$2:$B8167=$B8168, $A$2:$A8167+$C$2:$C8167)), "")*24*60, "")</f>
        <v/>
      </c>
      <c r="P8168" s="24" t="str" cm="1">
        <f t="array" ref="P8168">IFERROR(IF($B8168=P$1, ($A8168+$C8168) - MAX(IF($B$2:$B8167=$B8168, $A$2:$A8167+$C$2:$C8167)), "")*24*60, "")</f>
        <v/>
      </c>
      <c r="Q8168" s="24" t="str" cm="1">
        <f t="array" ref="Q8168">IFERROR(IF($B8168=Q$1, ($A8168+$C8168) - MAX(IF($B$2:$B8167=$B8168, $A$2:$A8167+$C$2:$C8167)), "")*24*60, "")</f>
        <v/>
      </c>
      <c r="R8168" s="24" t="str" cm="1">
        <f t="array" ref="R8168">IFERROR(IF($B8168=R$1, ($A8168+$C8168) - MAX(IF($B$2:$B8167=$B8168, $A$2:$A8167+$C$2:$C8167)), "")*24*60, "")</f>
        <v/>
      </c>
      <c r="S8168" s="24" t="str" cm="1">
        <f t="array" ref="S8168">IFERROR(IF($B8168=S$1, ($A8168+$C8168) - MAX(IF($B$2:$B8167=$B8168, $A$2:$A8167+$C$2:$C8167)), "")*24*60, "")</f>
        <v/>
      </c>
    </row>
    <row r="8169" spans="1:19" x14ac:dyDescent="0.2">
      <c r="A8169" s="12">
        <f t="shared" ref="A8169:C8169" si="1664">A8168</f>
        <v>46021</v>
      </c>
      <c r="B8169" s="5" t="str">
        <f t="shared" si="1664"/>
        <v>Northern Cardinal</v>
      </c>
      <c r="C8169" s="6">
        <f t="shared" si="1664"/>
        <v>0.7319444444444444</v>
      </c>
      <c r="D8169" s="5"/>
      <c r="E8169" s="5"/>
      <c r="F8169" s="5" t="s">
        <v>9</v>
      </c>
      <c r="G8169" s="15" t="s">
        <v>8</v>
      </c>
      <c r="H8169" s="24">
        <f t="shared" si="1655"/>
        <v>0</v>
      </c>
      <c r="I8169" s="24" cm="1">
        <f t="array" ref="I8169">IFERROR(IF($B8169=I$1, ($A8169+$C8169) - MAX(IF($B$2:$B8168=$B8169, $A$2:$A8168+$C$2:$C8168)), "")*24*60, "")</f>
        <v>0</v>
      </c>
      <c r="J8169" s="24" t="str" cm="1">
        <f t="array" ref="J8169">IFERROR(IF($B8169=J$1, ($A8169+$C8169) - MAX(IF($B$2:$B8168=$B8169, $A$2:$A8168+$C$2:$C8168)), "")*24*60, "")</f>
        <v/>
      </c>
      <c r="K8169" s="24" t="str" cm="1">
        <f t="array" ref="K8169">IFERROR(IF($B8169=K$1, ($A8169+$C8169) - MAX(IF($B$2:$B8168=$B8169, $A$2:$A8168+$C$2:$C8168)), "")*24*60, "")</f>
        <v/>
      </c>
      <c r="L8169" s="24" t="str" cm="1">
        <f t="array" ref="L8169">IFERROR(IF($B8169=L$1, ($A8169+$C8169) - MAX(IF($B$2:$B8168=$B8169, $A$2:$A8168+$C$2:$C8168)), "")*24*60, "")</f>
        <v/>
      </c>
      <c r="M8169" s="24" t="str" cm="1">
        <f t="array" ref="M8169">IFERROR(IF($B8169=M$1, ($A8169+$C8169) - MAX(IF($B$2:$B8168=$B8169, $A$2:$A8168+$C$2:$C8168)), "")*24*60, "")</f>
        <v/>
      </c>
      <c r="N8169" s="24" t="str" cm="1">
        <f t="array" ref="N8169">IFERROR(IF($B8169=N$1, ($A8169+$C8169) - MAX(IF($B$2:$B8168=$B8169, $A$2:$A8168+$C$2:$C8168)), "")*24*60, "")</f>
        <v/>
      </c>
      <c r="O8169" s="24" t="str" cm="1">
        <f t="array" ref="O8169">IFERROR(IF($B8169=O$1, ($A8169+$C8169) - MAX(IF($B$2:$B8168=$B8169, $A$2:$A8168+$C$2:$C8168)), "")*24*60, "")</f>
        <v/>
      </c>
      <c r="P8169" s="24" t="str" cm="1">
        <f t="array" ref="P8169">IFERROR(IF($B8169=P$1, ($A8169+$C8169) - MAX(IF($B$2:$B8168=$B8169, $A$2:$A8168+$C$2:$C8168)), "")*24*60, "")</f>
        <v/>
      </c>
      <c r="Q8169" s="24" t="str" cm="1">
        <f t="array" ref="Q8169">IFERROR(IF($B8169=Q$1, ($A8169+$C8169) - MAX(IF($B$2:$B8168=$B8169, $A$2:$A8168+$C$2:$C8168)), "")*24*60, "")</f>
        <v/>
      </c>
      <c r="R8169" s="24" t="str" cm="1">
        <f t="array" ref="R8169">IFERROR(IF($B8169=R$1, ($A8169+$C8169) - MAX(IF($B$2:$B8168=$B8169, $A$2:$A8168+$C$2:$C8168)), "")*24*60, "")</f>
        <v/>
      </c>
      <c r="S8169" s="24" t="str" cm="1">
        <f t="array" ref="S8169">IFERROR(IF($B8169=S$1, ($A8169+$C8169) - MAX(IF($B$2:$B8168=$B8169, $A$2:$A8168+$C$2:$C8168)), "")*24*60, "")</f>
        <v/>
      </c>
    </row>
    <row r="8170" spans="1:19" x14ac:dyDescent="0.2">
      <c r="A8170" s="12">
        <f t="shared" ref="A8170:C8170" si="1665">A8169</f>
        <v>46021</v>
      </c>
      <c r="B8170" s="5" t="str">
        <f t="shared" si="1665"/>
        <v>Northern Cardinal</v>
      </c>
      <c r="C8170" s="6">
        <f t="shared" si="1665"/>
        <v>0.7319444444444444</v>
      </c>
      <c r="D8170" s="5"/>
      <c r="E8170" s="5"/>
      <c r="F8170" s="5" t="s">
        <v>9</v>
      </c>
      <c r="G8170" s="15" t="s">
        <v>8</v>
      </c>
      <c r="H8170" s="24">
        <f t="shared" si="1655"/>
        <v>0</v>
      </c>
      <c r="I8170" s="24" cm="1">
        <f t="array" ref="I8170">IFERROR(IF($B8170=I$1, ($A8170+$C8170) - MAX(IF($B$2:$B8169=$B8170, $A$2:$A8169+$C$2:$C8169)), "")*24*60, "")</f>
        <v>0</v>
      </c>
      <c r="J8170" s="24" t="str" cm="1">
        <f t="array" ref="J8170">IFERROR(IF($B8170=J$1, ($A8170+$C8170) - MAX(IF($B$2:$B8169=$B8170, $A$2:$A8169+$C$2:$C8169)), "")*24*60, "")</f>
        <v/>
      </c>
      <c r="K8170" s="24" t="str" cm="1">
        <f t="array" ref="K8170">IFERROR(IF($B8170=K$1, ($A8170+$C8170) - MAX(IF($B$2:$B8169=$B8170, $A$2:$A8169+$C$2:$C8169)), "")*24*60, "")</f>
        <v/>
      </c>
      <c r="L8170" s="24" t="str" cm="1">
        <f t="array" ref="L8170">IFERROR(IF($B8170=L$1, ($A8170+$C8170) - MAX(IF($B$2:$B8169=$B8170, $A$2:$A8169+$C$2:$C8169)), "")*24*60, "")</f>
        <v/>
      </c>
      <c r="M8170" s="24" t="str" cm="1">
        <f t="array" ref="M8170">IFERROR(IF($B8170=M$1, ($A8170+$C8170) - MAX(IF($B$2:$B8169=$B8170, $A$2:$A8169+$C$2:$C8169)), "")*24*60, "")</f>
        <v/>
      </c>
      <c r="N8170" s="24" t="str" cm="1">
        <f t="array" ref="N8170">IFERROR(IF($B8170=N$1, ($A8170+$C8170) - MAX(IF($B$2:$B8169=$B8170, $A$2:$A8169+$C$2:$C8169)), "")*24*60, "")</f>
        <v/>
      </c>
      <c r="O8170" s="24" t="str" cm="1">
        <f t="array" ref="O8170">IFERROR(IF($B8170=O$1, ($A8170+$C8170) - MAX(IF($B$2:$B8169=$B8170, $A$2:$A8169+$C$2:$C8169)), "")*24*60, "")</f>
        <v/>
      </c>
      <c r="P8170" s="24" t="str" cm="1">
        <f t="array" ref="P8170">IFERROR(IF($B8170=P$1, ($A8170+$C8170) - MAX(IF($B$2:$B8169=$B8170, $A$2:$A8169+$C$2:$C8169)), "")*24*60, "")</f>
        <v/>
      </c>
      <c r="Q8170" s="24" t="str" cm="1">
        <f t="array" ref="Q8170">IFERROR(IF($B8170=Q$1, ($A8170+$C8170) - MAX(IF($B$2:$B8169=$B8170, $A$2:$A8169+$C$2:$C8169)), "")*24*60, "")</f>
        <v/>
      </c>
      <c r="R8170" s="24" t="str" cm="1">
        <f t="array" ref="R8170">IFERROR(IF($B8170=R$1, ($A8170+$C8170) - MAX(IF($B$2:$B8169=$B8170, $A$2:$A8169+$C$2:$C8169)), "")*24*60, "")</f>
        <v/>
      </c>
      <c r="S8170" s="24" t="str" cm="1">
        <f t="array" ref="S8170">IFERROR(IF($B8170=S$1, ($A8170+$C8170) - MAX(IF($B$2:$B8169=$B8170, $A$2:$A8169+$C$2:$C8169)), "")*24*60, "")</f>
        <v/>
      </c>
    </row>
    <row r="8171" spans="1:19" x14ac:dyDescent="0.2">
      <c r="A8171" s="12">
        <f t="shared" ref="A8171:C8171" si="1666">A8170</f>
        <v>46021</v>
      </c>
      <c r="B8171" s="5" t="str">
        <f t="shared" si="1666"/>
        <v>Northern Cardinal</v>
      </c>
      <c r="C8171" s="6">
        <f t="shared" si="1666"/>
        <v>0.7319444444444444</v>
      </c>
      <c r="D8171" s="5"/>
      <c r="E8171" s="5"/>
      <c r="F8171" s="5" t="s">
        <v>9</v>
      </c>
      <c r="G8171" s="15" t="s">
        <v>8</v>
      </c>
      <c r="H8171" s="24">
        <f t="shared" si="1655"/>
        <v>0</v>
      </c>
      <c r="I8171" s="24" cm="1">
        <f t="array" ref="I8171">IFERROR(IF($B8171=I$1, ($A8171+$C8171) - MAX(IF($B$2:$B8170=$B8171, $A$2:$A8170+$C$2:$C8170)), "")*24*60, "")</f>
        <v>0</v>
      </c>
      <c r="J8171" s="24" t="str" cm="1">
        <f t="array" ref="J8171">IFERROR(IF($B8171=J$1, ($A8171+$C8171) - MAX(IF($B$2:$B8170=$B8171, $A$2:$A8170+$C$2:$C8170)), "")*24*60, "")</f>
        <v/>
      </c>
      <c r="K8171" s="24" t="str" cm="1">
        <f t="array" ref="K8171">IFERROR(IF($B8171=K$1, ($A8171+$C8171) - MAX(IF($B$2:$B8170=$B8171, $A$2:$A8170+$C$2:$C8170)), "")*24*60, "")</f>
        <v/>
      </c>
      <c r="L8171" s="24" t="str" cm="1">
        <f t="array" ref="L8171">IFERROR(IF($B8171=L$1, ($A8171+$C8171) - MAX(IF($B$2:$B8170=$B8171, $A$2:$A8170+$C$2:$C8170)), "")*24*60, "")</f>
        <v/>
      </c>
      <c r="M8171" s="24" t="str" cm="1">
        <f t="array" ref="M8171">IFERROR(IF($B8171=M$1, ($A8171+$C8171) - MAX(IF($B$2:$B8170=$B8171, $A$2:$A8170+$C$2:$C8170)), "")*24*60, "")</f>
        <v/>
      </c>
      <c r="N8171" s="24" t="str" cm="1">
        <f t="array" ref="N8171">IFERROR(IF($B8171=N$1, ($A8171+$C8171) - MAX(IF($B$2:$B8170=$B8171, $A$2:$A8170+$C$2:$C8170)), "")*24*60, "")</f>
        <v/>
      </c>
      <c r="O8171" s="24" t="str" cm="1">
        <f t="array" ref="O8171">IFERROR(IF($B8171=O$1, ($A8171+$C8171) - MAX(IF($B$2:$B8170=$B8171, $A$2:$A8170+$C$2:$C8170)), "")*24*60, "")</f>
        <v/>
      </c>
      <c r="P8171" s="24" t="str" cm="1">
        <f t="array" ref="P8171">IFERROR(IF($B8171=P$1, ($A8171+$C8171) - MAX(IF($B$2:$B8170=$B8171, $A$2:$A8170+$C$2:$C8170)), "")*24*60, "")</f>
        <v/>
      </c>
      <c r="Q8171" s="24" t="str" cm="1">
        <f t="array" ref="Q8171">IFERROR(IF($B8171=Q$1, ($A8171+$C8171) - MAX(IF($B$2:$B8170=$B8171, $A$2:$A8170+$C$2:$C8170)), "")*24*60, "")</f>
        <v/>
      </c>
      <c r="R8171" s="24" t="str" cm="1">
        <f t="array" ref="R8171">IFERROR(IF($B8171=R$1, ($A8171+$C8171) - MAX(IF($B$2:$B8170=$B8171, $A$2:$A8170+$C$2:$C8170)), "")*24*60, "")</f>
        <v/>
      </c>
      <c r="S8171" s="24" t="str" cm="1">
        <f t="array" ref="S8171">IFERROR(IF($B8171=S$1, ($A8171+$C8171) - MAX(IF($B$2:$B8170=$B8171, $A$2:$A8170+$C$2:$C8170)), "")*24*60, "")</f>
        <v/>
      </c>
    </row>
    <row r="8172" spans="1:19" x14ac:dyDescent="0.2">
      <c r="A8172" s="12">
        <f t="shared" ref="A8172:C8172" si="1667">A8171</f>
        <v>46021</v>
      </c>
      <c r="B8172" s="5" t="str">
        <f t="shared" si="1667"/>
        <v>Northern Cardinal</v>
      </c>
      <c r="C8172" s="6">
        <f t="shared" si="1667"/>
        <v>0.7319444444444444</v>
      </c>
      <c r="D8172" s="5"/>
      <c r="E8172" s="5"/>
      <c r="F8172" s="5" t="s">
        <v>9</v>
      </c>
      <c r="G8172" s="15" t="s">
        <v>8</v>
      </c>
      <c r="H8172" s="24">
        <f t="shared" si="1655"/>
        <v>0</v>
      </c>
      <c r="I8172" s="24" cm="1">
        <f t="array" ref="I8172">IFERROR(IF($B8172=I$1, ($A8172+$C8172) - MAX(IF($B$2:$B8171=$B8172, $A$2:$A8171+$C$2:$C8171)), "")*24*60, "")</f>
        <v>0</v>
      </c>
      <c r="J8172" s="24" t="str" cm="1">
        <f t="array" ref="J8172">IFERROR(IF($B8172=J$1, ($A8172+$C8172) - MAX(IF($B$2:$B8171=$B8172, $A$2:$A8171+$C$2:$C8171)), "")*24*60, "")</f>
        <v/>
      </c>
      <c r="K8172" s="24" t="str" cm="1">
        <f t="array" ref="K8172">IFERROR(IF($B8172=K$1, ($A8172+$C8172) - MAX(IF($B$2:$B8171=$B8172, $A$2:$A8171+$C$2:$C8171)), "")*24*60, "")</f>
        <v/>
      </c>
      <c r="L8172" s="24" t="str" cm="1">
        <f t="array" ref="L8172">IFERROR(IF($B8172=L$1, ($A8172+$C8172) - MAX(IF($B$2:$B8171=$B8172, $A$2:$A8171+$C$2:$C8171)), "")*24*60, "")</f>
        <v/>
      </c>
      <c r="M8172" s="24" t="str" cm="1">
        <f t="array" ref="M8172">IFERROR(IF($B8172=M$1, ($A8172+$C8172) - MAX(IF($B$2:$B8171=$B8172, $A$2:$A8171+$C$2:$C8171)), "")*24*60, "")</f>
        <v/>
      </c>
      <c r="N8172" s="24" t="str" cm="1">
        <f t="array" ref="N8172">IFERROR(IF($B8172=N$1, ($A8172+$C8172) - MAX(IF($B$2:$B8171=$B8172, $A$2:$A8171+$C$2:$C8171)), "")*24*60, "")</f>
        <v/>
      </c>
      <c r="O8172" s="24" t="str" cm="1">
        <f t="array" ref="O8172">IFERROR(IF($B8172=O$1, ($A8172+$C8172) - MAX(IF($B$2:$B8171=$B8172, $A$2:$A8171+$C$2:$C8171)), "")*24*60, "")</f>
        <v/>
      </c>
      <c r="P8172" s="24" t="str" cm="1">
        <f t="array" ref="P8172">IFERROR(IF($B8172=P$1, ($A8172+$C8172) - MAX(IF($B$2:$B8171=$B8172, $A$2:$A8171+$C$2:$C8171)), "")*24*60, "")</f>
        <v/>
      </c>
      <c r="Q8172" s="24" t="str" cm="1">
        <f t="array" ref="Q8172">IFERROR(IF($B8172=Q$1, ($A8172+$C8172) - MAX(IF($B$2:$B8171=$B8172, $A$2:$A8171+$C$2:$C8171)), "")*24*60, "")</f>
        <v/>
      </c>
      <c r="R8172" s="24" t="str" cm="1">
        <f t="array" ref="R8172">IFERROR(IF($B8172=R$1, ($A8172+$C8172) - MAX(IF($B$2:$B8171=$B8172, $A$2:$A8171+$C$2:$C8171)), "")*24*60, "")</f>
        <v/>
      </c>
      <c r="S8172" s="24" t="str" cm="1">
        <f t="array" ref="S8172">IFERROR(IF($B8172=S$1, ($A8172+$C8172) - MAX(IF($B$2:$B8171=$B8172, $A$2:$A8171+$C$2:$C8171)), "")*24*60, "")</f>
        <v/>
      </c>
    </row>
    <row r="8173" spans="1:19" x14ac:dyDescent="0.2">
      <c r="A8173" s="12">
        <f t="shared" ref="A8173:C8173" si="1668">A8172</f>
        <v>46021</v>
      </c>
      <c r="B8173" s="5" t="str">
        <f t="shared" si="1668"/>
        <v>Northern Cardinal</v>
      </c>
      <c r="C8173" s="6">
        <f t="shared" si="1668"/>
        <v>0.7319444444444444</v>
      </c>
      <c r="D8173" s="5"/>
      <c r="E8173" s="5"/>
      <c r="F8173" s="5" t="s">
        <v>9</v>
      </c>
      <c r="G8173" s="15" t="s">
        <v>8</v>
      </c>
      <c r="H8173" s="24">
        <f t="shared" si="1655"/>
        <v>0</v>
      </c>
      <c r="I8173" s="24" cm="1">
        <f t="array" ref="I8173">IFERROR(IF($B8173=I$1, ($A8173+$C8173) - MAX(IF($B$2:$B8172=$B8173, $A$2:$A8172+$C$2:$C8172)), "")*24*60, "")</f>
        <v>0</v>
      </c>
      <c r="J8173" s="24" t="str" cm="1">
        <f t="array" ref="J8173">IFERROR(IF($B8173=J$1, ($A8173+$C8173) - MAX(IF($B$2:$B8172=$B8173, $A$2:$A8172+$C$2:$C8172)), "")*24*60, "")</f>
        <v/>
      </c>
      <c r="K8173" s="24" t="str" cm="1">
        <f t="array" ref="K8173">IFERROR(IF($B8173=K$1, ($A8173+$C8173) - MAX(IF($B$2:$B8172=$B8173, $A$2:$A8172+$C$2:$C8172)), "")*24*60, "")</f>
        <v/>
      </c>
      <c r="L8173" s="24" t="str" cm="1">
        <f t="array" ref="L8173">IFERROR(IF($B8173=L$1, ($A8173+$C8173) - MAX(IF($B$2:$B8172=$B8173, $A$2:$A8172+$C$2:$C8172)), "")*24*60, "")</f>
        <v/>
      </c>
      <c r="M8173" s="24" t="str" cm="1">
        <f t="array" ref="M8173">IFERROR(IF($B8173=M$1, ($A8173+$C8173) - MAX(IF($B$2:$B8172=$B8173, $A$2:$A8172+$C$2:$C8172)), "")*24*60, "")</f>
        <v/>
      </c>
      <c r="N8173" s="24" t="str" cm="1">
        <f t="array" ref="N8173">IFERROR(IF($B8173=N$1, ($A8173+$C8173) - MAX(IF($B$2:$B8172=$B8173, $A$2:$A8172+$C$2:$C8172)), "")*24*60, "")</f>
        <v/>
      </c>
      <c r="O8173" s="24" t="str" cm="1">
        <f t="array" ref="O8173">IFERROR(IF($B8173=O$1, ($A8173+$C8173) - MAX(IF($B$2:$B8172=$B8173, $A$2:$A8172+$C$2:$C8172)), "")*24*60, "")</f>
        <v/>
      </c>
      <c r="P8173" s="24" t="str" cm="1">
        <f t="array" ref="P8173">IFERROR(IF($B8173=P$1, ($A8173+$C8173) - MAX(IF($B$2:$B8172=$B8173, $A$2:$A8172+$C$2:$C8172)), "")*24*60, "")</f>
        <v/>
      </c>
      <c r="Q8173" s="24" t="str" cm="1">
        <f t="array" ref="Q8173">IFERROR(IF($B8173=Q$1, ($A8173+$C8173) - MAX(IF($B$2:$B8172=$B8173, $A$2:$A8172+$C$2:$C8172)), "")*24*60, "")</f>
        <v/>
      </c>
      <c r="R8173" s="24" t="str" cm="1">
        <f t="array" ref="R8173">IFERROR(IF($B8173=R$1, ($A8173+$C8173) - MAX(IF($B$2:$B8172=$B8173, $A$2:$A8172+$C$2:$C8172)), "")*24*60, "")</f>
        <v/>
      </c>
      <c r="S8173" s="24" t="str" cm="1">
        <f t="array" ref="S8173">IFERROR(IF($B8173=S$1, ($A8173+$C8173) - MAX(IF($B$2:$B8172=$B8173, $A$2:$A8172+$C$2:$C8172)), "")*24*60, "")</f>
        <v/>
      </c>
    </row>
    <row r="8174" spans="1:19" x14ac:dyDescent="0.2">
      <c r="A8174" s="12">
        <f t="shared" ref="A8174:C8174" si="1669">A8173</f>
        <v>46021</v>
      </c>
      <c r="B8174" s="5" t="str">
        <f t="shared" si="1669"/>
        <v>Northern Cardinal</v>
      </c>
      <c r="C8174" s="6">
        <f t="shared" si="1669"/>
        <v>0.7319444444444444</v>
      </c>
      <c r="D8174" s="5"/>
      <c r="E8174" s="5"/>
      <c r="F8174" s="5" t="s">
        <v>9</v>
      </c>
      <c r="G8174" s="15" t="s">
        <v>8</v>
      </c>
      <c r="H8174" s="24">
        <f t="shared" si="1655"/>
        <v>0</v>
      </c>
      <c r="I8174" s="24" cm="1">
        <f t="array" ref="I8174">IFERROR(IF($B8174=I$1, ($A8174+$C8174) - MAX(IF($B$2:$B8173=$B8174, $A$2:$A8173+$C$2:$C8173)), "")*24*60, "")</f>
        <v>0</v>
      </c>
      <c r="J8174" s="24" t="str" cm="1">
        <f t="array" ref="J8174">IFERROR(IF($B8174=J$1, ($A8174+$C8174) - MAX(IF($B$2:$B8173=$B8174, $A$2:$A8173+$C$2:$C8173)), "")*24*60, "")</f>
        <v/>
      </c>
      <c r="K8174" s="24" t="str" cm="1">
        <f t="array" ref="K8174">IFERROR(IF($B8174=K$1, ($A8174+$C8174) - MAX(IF($B$2:$B8173=$B8174, $A$2:$A8173+$C$2:$C8173)), "")*24*60, "")</f>
        <v/>
      </c>
      <c r="L8174" s="24" t="str" cm="1">
        <f t="array" ref="L8174">IFERROR(IF($B8174=L$1, ($A8174+$C8174) - MAX(IF($B$2:$B8173=$B8174, $A$2:$A8173+$C$2:$C8173)), "")*24*60, "")</f>
        <v/>
      </c>
      <c r="M8174" s="24" t="str" cm="1">
        <f t="array" ref="M8174">IFERROR(IF($B8174=M$1, ($A8174+$C8174) - MAX(IF($B$2:$B8173=$B8174, $A$2:$A8173+$C$2:$C8173)), "")*24*60, "")</f>
        <v/>
      </c>
      <c r="N8174" s="24" t="str" cm="1">
        <f t="array" ref="N8174">IFERROR(IF($B8174=N$1, ($A8174+$C8174) - MAX(IF($B$2:$B8173=$B8174, $A$2:$A8173+$C$2:$C8173)), "")*24*60, "")</f>
        <v/>
      </c>
      <c r="O8174" s="24" t="str" cm="1">
        <f t="array" ref="O8174">IFERROR(IF($B8174=O$1, ($A8174+$C8174) - MAX(IF($B$2:$B8173=$B8174, $A$2:$A8173+$C$2:$C8173)), "")*24*60, "")</f>
        <v/>
      </c>
      <c r="P8174" s="24" t="str" cm="1">
        <f t="array" ref="P8174">IFERROR(IF($B8174=P$1, ($A8174+$C8174) - MAX(IF($B$2:$B8173=$B8174, $A$2:$A8173+$C$2:$C8173)), "")*24*60, "")</f>
        <v/>
      </c>
      <c r="Q8174" s="24" t="str" cm="1">
        <f t="array" ref="Q8174">IFERROR(IF($B8174=Q$1, ($A8174+$C8174) - MAX(IF($B$2:$B8173=$B8174, $A$2:$A8173+$C$2:$C8173)), "")*24*60, "")</f>
        <v/>
      </c>
      <c r="R8174" s="24" t="str" cm="1">
        <f t="array" ref="R8174">IFERROR(IF($B8174=R$1, ($A8174+$C8174) - MAX(IF($B$2:$B8173=$B8174, $A$2:$A8173+$C$2:$C8173)), "")*24*60, "")</f>
        <v/>
      </c>
      <c r="S8174" s="24" t="str" cm="1">
        <f t="array" ref="S8174">IFERROR(IF($B8174=S$1, ($A8174+$C8174) - MAX(IF($B$2:$B8173=$B8174, $A$2:$A8173+$C$2:$C8173)), "")*24*60, "")</f>
        <v/>
      </c>
    </row>
    <row r="8175" spans="1:19" x14ac:dyDescent="0.2">
      <c r="A8175" s="12">
        <f t="shared" ref="A8175:C8175" si="1670">A8174</f>
        <v>46021</v>
      </c>
      <c r="B8175" s="5" t="str">
        <f t="shared" si="1670"/>
        <v>Northern Cardinal</v>
      </c>
      <c r="C8175" s="6">
        <f t="shared" si="1670"/>
        <v>0.7319444444444444</v>
      </c>
      <c r="D8175" s="5"/>
      <c r="E8175" s="5"/>
      <c r="F8175" s="5" t="s">
        <v>9</v>
      </c>
      <c r="G8175" s="15" t="s">
        <v>8</v>
      </c>
      <c r="H8175" s="24">
        <f t="shared" si="1655"/>
        <v>0</v>
      </c>
      <c r="I8175" s="24" cm="1">
        <f t="array" ref="I8175">IFERROR(IF($B8175=I$1, ($A8175+$C8175) - MAX(IF($B$2:$B8174=$B8175, $A$2:$A8174+$C$2:$C8174)), "")*24*60, "")</f>
        <v>0</v>
      </c>
      <c r="J8175" s="24" t="str" cm="1">
        <f t="array" ref="J8175">IFERROR(IF($B8175=J$1, ($A8175+$C8175) - MAX(IF($B$2:$B8174=$B8175, $A$2:$A8174+$C$2:$C8174)), "")*24*60, "")</f>
        <v/>
      </c>
      <c r="K8175" s="24" t="str" cm="1">
        <f t="array" ref="K8175">IFERROR(IF($B8175=K$1, ($A8175+$C8175) - MAX(IF($B$2:$B8174=$B8175, $A$2:$A8174+$C$2:$C8174)), "")*24*60, "")</f>
        <v/>
      </c>
      <c r="L8175" s="24" t="str" cm="1">
        <f t="array" ref="L8175">IFERROR(IF($B8175=L$1, ($A8175+$C8175) - MAX(IF($B$2:$B8174=$B8175, $A$2:$A8174+$C$2:$C8174)), "")*24*60, "")</f>
        <v/>
      </c>
      <c r="M8175" s="24" t="str" cm="1">
        <f t="array" ref="M8175">IFERROR(IF($B8175=M$1, ($A8175+$C8175) - MAX(IF($B$2:$B8174=$B8175, $A$2:$A8174+$C$2:$C8174)), "")*24*60, "")</f>
        <v/>
      </c>
      <c r="N8175" s="24" t="str" cm="1">
        <f t="array" ref="N8175">IFERROR(IF($B8175=N$1, ($A8175+$C8175) - MAX(IF($B$2:$B8174=$B8175, $A$2:$A8174+$C$2:$C8174)), "")*24*60, "")</f>
        <v/>
      </c>
      <c r="O8175" s="24" t="str" cm="1">
        <f t="array" ref="O8175">IFERROR(IF($B8175=O$1, ($A8175+$C8175) - MAX(IF($B$2:$B8174=$B8175, $A$2:$A8174+$C$2:$C8174)), "")*24*60, "")</f>
        <v/>
      </c>
      <c r="P8175" s="24" t="str" cm="1">
        <f t="array" ref="P8175">IFERROR(IF($B8175=P$1, ($A8175+$C8175) - MAX(IF($B$2:$B8174=$B8175, $A$2:$A8174+$C$2:$C8174)), "")*24*60, "")</f>
        <v/>
      </c>
      <c r="Q8175" s="24" t="str" cm="1">
        <f t="array" ref="Q8175">IFERROR(IF($B8175=Q$1, ($A8175+$C8175) - MAX(IF($B$2:$B8174=$B8175, $A$2:$A8174+$C$2:$C8174)), "")*24*60, "")</f>
        <v/>
      </c>
      <c r="R8175" s="24" t="str" cm="1">
        <f t="array" ref="R8175">IFERROR(IF($B8175=R$1, ($A8175+$C8175) - MAX(IF($B$2:$B8174=$B8175, $A$2:$A8174+$C$2:$C8174)), "")*24*60, "")</f>
        <v/>
      </c>
      <c r="S8175" s="24" t="str" cm="1">
        <f t="array" ref="S8175">IFERROR(IF($B8175=S$1, ($A8175+$C8175) - MAX(IF($B$2:$B8174=$B8175, $A$2:$A8174+$C$2:$C8174)), "")*24*60, "")</f>
        <v/>
      </c>
    </row>
    <row r="8176" spans="1:19" x14ac:dyDescent="0.2">
      <c r="A8176" s="12">
        <f t="shared" ref="A8176:C8176" si="1671">A8175</f>
        <v>46021</v>
      </c>
      <c r="B8176" s="5" t="str">
        <f t="shared" si="1671"/>
        <v>Northern Cardinal</v>
      </c>
      <c r="C8176" s="6">
        <f t="shared" si="1671"/>
        <v>0.7319444444444444</v>
      </c>
      <c r="D8176" s="5"/>
      <c r="E8176" s="5"/>
      <c r="F8176" s="5" t="s">
        <v>9</v>
      </c>
      <c r="G8176" s="15" t="s">
        <v>8</v>
      </c>
      <c r="H8176" s="24">
        <f t="shared" si="1655"/>
        <v>0</v>
      </c>
      <c r="I8176" s="24" cm="1">
        <f t="array" ref="I8176">IFERROR(IF($B8176=I$1, ($A8176+$C8176) - MAX(IF($B$2:$B8175=$B8176, $A$2:$A8175+$C$2:$C8175)), "")*24*60, "")</f>
        <v>0</v>
      </c>
      <c r="J8176" s="24" t="str" cm="1">
        <f t="array" ref="J8176">IFERROR(IF($B8176=J$1, ($A8176+$C8176) - MAX(IF($B$2:$B8175=$B8176, $A$2:$A8175+$C$2:$C8175)), "")*24*60, "")</f>
        <v/>
      </c>
      <c r="K8176" s="24" t="str" cm="1">
        <f t="array" ref="K8176">IFERROR(IF($B8176=K$1, ($A8176+$C8176) - MAX(IF($B$2:$B8175=$B8176, $A$2:$A8175+$C$2:$C8175)), "")*24*60, "")</f>
        <v/>
      </c>
      <c r="L8176" s="24" t="str" cm="1">
        <f t="array" ref="L8176">IFERROR(IF($B8176=L$1, ($A8176+$C8176) - MAX(IF($B$2:$B8175=$B8176, $A$2:$A8175+$C$2:$C8175)), "")*24*60, "")</f>
        <v/>
      </c>
      <c r="M8176" s="24" t="str" cm="1">
        <f t="array" ref="M8176">IFERROR(IF($B8176=M$1, ($A8176+$C8176) - MAX(IF($B$2:$B8175=$B8176, $A$2:$A8175+$C$2:$C8175)), "")*24*60, "")</f>
        <v/>
      </c>
      <c r="N8176" s="24" t="str" cm="1">
        <f t="array" ref="N8176">IFERROR(IF($B8176=N$1, ($A8176+$C8176) - MAX(IF($B$2:$B8175=$B8176, $A$2:$A8175+$C$2:$C8175)), "")*24*60, "")</f>
        <v/>
      </c>
      <c r="O8176" s="24" t="str" cm="1">
        <f t="array" ref="O8176">IFERROR(IF($B8176=O$1, ($A8176+$C8176) - MAX(IF($B$2:$B8175=$B8176, $A$2:$A8175+$C$2:$C8175)), "")*24*60, "")</f>
        <v/>
      </c>
      <c r="P8176" s="24" t="str" cm="1">
        <f t="array" ref="P8176">IFERROR(IF($B8176=P$1, ($A8176+$C8176) - MAX(IF($B$2:$B8175=$B8176, $A$2:$A8175+$C$2:$C8175)), "")*24*60, "")</f>
        <v/>
      </c>
      <c r="Q8176" s="24" t="str" cm="1">
        <f t="array" ref="Q8176">IFERROR(IF($B8176=Q$1, ($A8176+$C8176) - MAX(IF($B$2:$B8175=$B8176, $A$2:$A8175+$C$2:$C8175)), "")*24*60, "")</f>
        <v/>
      </c>
      <c r="R8176" s="24" t="str" cm="1">
        <f t="array" ref="R8176">IFERROR(IF($B8176=R$1, ($A8176+$C8176) - MAX(IF($B$2:$B8175=$B8176, $A$2:$A8175+$C$2:$C8175)), "")*24*60, "")</f>
        <v/>
      </c>
      <c r="S8176" s="24" t="str" cm="1">
        <f t="array" ref="S8176">IFERROR(IF($B8176=S$1, ($A8176+$C8176) - MAX(IF($B$2:$B8175=$B8176, $A$2:$A8175+$C$2:$C8175)), "")*24*60, "")</f>
        <v/>
      </c>
    </row>
    <row r="8177" spans="1:19" x14ac:dyDescent="0.2">
      <c r="A8177" s="12">
        <f t="shared" ref="A8177:C8177" si="1672">A8176</f>
        <v>46021</v>
      </c>
      <c r="B8177" s="5" t="str">
        <f t="shared" si="1672"/>
        <v>Northern Cardinal</v>
      </c>
      <c r="C8177" s="6">
        <f t="shared" si="1672"/>
        <v>0.7319444444444444</v>
      </c>
      <c r="D8177" s="5"/>
      <c r="E8177" s="5"/>
      <c r="F8177" s="5" t="s">
        <v>9</v>
      </c>
      <c r="G8177" s="15" t="s">
        <v>8</v>
      </c>
      <c r="H8177" s="24">
        <f t="shared" si="1655"/>
        <v>0</v>
      </c>
      <c r="I8177" s="24" cm="1">
        <f t="array" ref="I8177">IFERROR(IF($B8177=I$1, ($A8177+$C8177) - MAX(IF($B$2:$B8176=$B8177, $A$2:$A8176+$C$2:$C8176)), "")*24*60, "")</f>
        <v>0</v>
      </c>
      <c r="J8177" s="24" t="str" cm="1">
        <f t="array" ref="J8177">IFERROR(IF($B8177=J$1, ($A8177+$C8177) - MAX(IF($B$2:$B8176=$B8177, $A$2:$A8176+$C$2:$C8176)), "")*24*60, "")</f>
        <v/>
      </c>
      <c r="K8177" s="24" t="str" cm="1">
        <f t="array" ref="K8177">IFERROR(IF($B8177=K$1, ($A8177+$C8177) - MAX(IF($B$2:$B8176=$B8177, $A$2:$A8176+$C$2:$C8176)), "")*24*60, "")</f>
        <v/>
      </c>
      <c r="L8177" s="24" t="str" cm="1">
        <f t="array" ref="L8177">IFERROR(IF($B8177=L$1, ($A8177+$C8177) - MAX(IF($B$2:$B8176=$B8177, $A$2:$A8176+$C$2:$C8176)), "")*24*60, "")</f>
        <v/>
      </c>
      <c r="M8177" s="24" t="str" cm="1">
        <f t="array" ref="M8177">IFERROR(IF($B8177=M$1, ($A8177+$C8177) - MAX(IF($B$2:$B8176=$B8177, $A$2:$A8176+$C$2:$C8176)), "")*24*60, "")</f>
        <v/>
      </c>
      <c r="N8177" s="24" t="str" cm="1">
        <f t="array" ref="N8177">IFERROR(IF($B8177=N$1, ($A8177+$C8177) - MAX(IF($B$2:$B8176=$B8177, $A$2:$A8176+$C$2:$C8176)), "")*24*60, "")</f>
        <v/>
      </c>
      <c r="O8177" s="24" t="str" cm="1">
        <f t="array" ref="O8177">IFERROR(IF($B8177=O$1, ($A8177+$C8177) - MAX(IF($B$2:$B8176=$B8177, $A$2:$A8176+$C$2:$C8176)), "")*24*60, "")</f>
        <v/>
      </c>
      <c r="P8177" s="24" t="str" cm="1">
        <f t="array" ref="P8177">IFERROR(IF($B8177=P$1, ($A8177+$C8177) - MAX(IF($B$2:$B8176=$B8177, $A$2:$A8176+$C$2:$C8176)), "")*24*60, "")</f>
        <v/>
      </c>
      <c r="Q8177" s="24" t="str" cm="1">
        <f t="array" ref="Q8177">IFERROR(IF($B8177=Q$1, ($A8177+$C8177) - MAX(IF($B$2:$B8176=$B8177, $A$2:$A8176+$C$2:$C8176)), "")*24*60, "")</f>
        <v/>
      </c>
      <c r="R8177" s="24" t="str" cm="1">
        <f t="array" ref="R8177">IFERROR(IF($B8177=R$1, ($A8177+$C8177) - MAX(IF($B$2:$B8176=$B8177, $A$2:$A8176+$C$2:$C8176)), "")*24*60, "")</f>
        <v/>
      </c>
      <c r="S8177" s="24" t="str" cm="1">
        <f t="array" ref="S8177">IFERROR(IF($B8177=S$1, ($A8177+$C8177) - MAX(IF($B$2:$B8176=$B8177, $A$2:$A8176+$C$2:$C8176)), "")*24*60, "")</f>
        <v/>
      </c>
    </row>
    <row r="8178" spans="1:19" x14ac:dyDescent="0.2">
      <c r="A8178" s="12">
        <f t="shared" ref="A8178:C8178" si="1673">A8177</f>
        <v>46021</v>
      </c>
      <c r="B8178" s="5" t="str">
        <f t="shared" si="1673"/>
        <v>Northern Cardinal</v>
      </c>
      <c r="C8178" s="6">
        <f t="shared" si="1673"/>
        <v>0.7319444444444444</v>
      </c>
      <c r="D8178" s="5"/>
      <c r="E8178" s="5"/>
      <c r="F8178" s="5" t="s">
        <v>9</v>
      </c>
      <c r="G8178" s="15" t="s">
        <v>8</v>
      </c>
      <c r="H8178" s="24">
        <f t="shared" si="1655"/>
        <v>0</v>
      </c>
      <c r="I8178" s="24" cm="1">
        <f t="array" ref="I8178">IFERROR(IF($B8178=I$1, ($A8178+$C8178) - MAX(IF($B$2:$B8177=$B8178, $A$2:$A8177+$C$2:$C8177)), "")*24*60, "")</f>
        <v>0</v>
      </c>
      <c r="J8178" s="24" t="str" cm="1">
        <f t="array" ref="J8178">IFERROR(IF($B8178=J$1, ($A8178+$C8178) - MAX(IF($B$2:$B8177=$B8178, $A$2:$A8177+$C$2:$C8177)), "")*24*60, "")</f>
        <v/>
      </c>
      <c r="K8178" s="24" t="str" cm="1">
        <f t="array" ref="K8178">IFERROR(IF($B8178=K$1, ($A8178+$C8178) - MAX(IF($B$2:$B8177=$B8178, $A$2:$A8177+$C$2:$C8177)), "")*24*60, "")</f>
        <v/>
      </c>
      <c r="L8178" s="24" t="str" cm="1">
        <f t="array" ref="L8178">IFERROR(IF($B8178=L$1, ($A8178+$C8178) - MAX(IF($B$2:$B8177=$B8178, $A$2:$A8177+$C$2:$C8177)), "")*24*60, "")</f>
        <v/>
      </c>
      <c r="M8178" s="24" t="str" cm="1">
        <f t="array" ref="M8178">IFERROR(IF($B8178=M$1, ($A8178+$C8178) - MAX(IF($B$2:$B8177=$B8178, $A$2:$A8177+$C$2:$C8177)), "")*24*60, "")</f>
        <v/>
      </c>
      <c r="N8178" s="24" t="str" cm="1">
        <f t="array" ref="N8178">IFERROR(IF($B8178=N$1, ($A8178+$C8178) - MAX(IF($B$2:$B8177=$B8178, $A$2:$A8177+$C$2:$C8177)), "")*24*60, "")</f>
        <v/>
      </c>
      <c r="O8178" s="24" t="str" cm="1">
        <f t="array" ref="O8178">IFERROR(IF($B8178=O$1, ($A8178+$C8178) - MAX(IF($B$2:$B8177=$B8178, $A$2:$A8177+$C$2:$C8177)), "")*24*60, "")</f>
        <v/>
      </c>
      <c r="P8178" s="24" t="str" cm="1">
        <f t="array" ref="P8178">IFERROR(IF($B8178=P$1, ($A8178+$C8178) - MAX(IF($B$2:$B8177=$B8178, $A$2:$A8177+$C$2:$C8177)), "")*24*60, "")</f>
        <v/>
      </c>
      <c r="Q8178" s="24" t="str" cm="1">
        <f t="array" ref="Q8178">IFERROR(IF($B8178=Q$1, ($A8178+$C8178) - MAX(IF($B$2:$B8177=$B8178, $A$2:$A8177+$C$2:$C8177)), "")*24*60, "")</f>
        <v/>
      </c>
      <c r="R8178" s="24" t="str" cm="1">
        <f t="array" ref="R8178">IFERROR(IF($B8178=R$1, ($A8178+$C8178) - MAX(IF($B$2:$B8177=$B8178, $A$2:$A8177+$C$2:$C8177)), "")*24*60, "")</f>
        <v/>
      </c>
      <c r="S8178" s="24" t="str" cm="1">
        <f t="array" ref="S8178">IFERROR(IF($B8178=S$1, ($A8178+$C8178) - MAX(IF($B$2:$B8177=$B8178, $A$2:$A8177+$C$2:$C8177)), "")*24*60, "")</f>
        <v/>
      </c>
    </row>
    <row r="8179" spans="1:19" x14ac:dyDescent="0.2">
      <c r="A8179" s="12">
        <f t="shared" ref="A8179:C8179" si="1674">A8178</f>
        <v>46021</v>
      </c>
      <c r="B8179" s="5" t="str">
        <f t="shared" si="1674"/>
        <v>Northern Cardinal</v>
      </c>
      <c r="C8179" s="6">
        <f t="shared" si="1674"/>
        <v>0.7319444444444444</v>
      </c>
      <c r="D8179" s="5"/>
      <c r="E8179" s="5"/>
      <c r="F8179" s="5" t="s">
        <v>9</v>
      </c>
      <c r="G8179" s="15" t="s">
        <v>8</v>
      </c>
      <c r="H8179" s="24">
        <f t="shared" si="1655"/>
        <v>0</v>
      </c>
      <c r="I8179" s="24" cm="1">
        <f t="array" ref="I8179">IFERROR(IF($B8179=I$1, ($A8179+$C8179) - MAX(IF($B$2:$B8178=$B8179, $A$2:$A8178+$C$2:$C8178)), "")*24*60, "")</f>
        <v>0</v>
      </c>
      <c r="J8179" s="24" t="str" cm="1">
        <f t="array" ref="J8179">IFERROR(IF($B8179=J$1, ($A8179+$C8179) - MAX(IF($B$2:$B8178=$B8179, $A$2:$A8178+$C$2:$C8178)), "")*24*60, "")</f>
        <v/>
      </c>
      <c r="K8179" s="24" t="str" cm="1">
        <f t="array" ref="K8179">IFERROR(IF($B8179=K$1, ($A8179+$C8179) - MAX(IF($B$2:$B8178=$B8179, $A$2:$A8178+$C$2:$C8178)), "")*24*60, "")</f>
        <v/>
      </c>
      <c r="L8179" s="24" t="str" cm="1">
        <f t="array" ref="L8179">IFERROR(IF($B8179=L$1, ($A8179+$C8179) - MAX(IF($B$2:$B8178=$B8179, $A$2:$A8178+$C$2:$C8178)), "")*24*60, "")</f>
        <v/>
      </c>
      <c r="M8179" s="24" t="str" cm="1">
        <f t="array" ref="M8179">IFERROR(IF($B8179=M$1, ($A8179+$C8179) - MAX(IF($B$2:$B8178=$B8179, $A$2:$A8178+$C$2:$C8178)), "")*24*60, "")</f>
        <v/>
      </c>
      <c r="N8179" s="24" t="str" cm="1">
        <f t="array" ref="N8179">IFERROR(IF($B8179=N$1, ($A8179+$C8179) - MAX(IF($B$2:$B8178=$B8179, $A$2:$A8178+$C$2:$C8178)), "")*24*60, "")</f>
        <v/>
      </c>
      <c r="O8179" s="24" t="str" cm="1">
        <f t="array" ref="O8179">IFERROR(IF($B8179=O$1, ($A8179+$C8179) - MAX(IF($B$2:$B8178=$B8179, $A$2:$A8178+$C$2:$C8178)), "")*24*60, "")</f>
        <v/>
      </c>
      <c r="P8179" s="24" t="str" cm="1">
        <f t="array" ref="P8179">IFERROR(IF($B8179=P$1, ($A8179+$C8179) - MAX(IF($B$2:$B8178=$B8179, $A$2:$A8178+$C$2:$C8178)), "")*24*60, "")</f>
        <v/>
      </c>
      <c r="Q8179" s="24" t="str" cm="1">
        <f t="array" ref="Q8179">IFERROR(IF($B8179=Q$1, ($A8179+$C8179) - MAX(IF($B$2:$B8178=$B8179, $A$2:$A8178+$C$2:$C8178)), "")*24*60, "")</f>
        <v/>
      </c>
      <c r="R8179" s="24" t="str" cm="1">
        <f t="array" ref="R8179">IFERROR(IF($B8179=R$1, ($A8179+$C8179) - MAX(IF($B$2:$B8178=$B8179, $A$2:$A8178+$C$2:$C8178)), "")*24*60, "")</f>
        <v/>
      </c>
      <c r="S8179" s="24" t="str" cm="1">
        <f t="array" ref="S8179">IFERROR(IF($B8179=S$1, ($A8179+$C8179) - MAX(IF($B$2:$B8178=$B8179, $A$2:$A8178+$C$2:$C8178)), "")*24*60, "")</f>
        <v/>
      </c>
    </row>
    <row r="8180" spans="1:19" x14ac:dyDescent="0.2">
      <c r="A8180" s="12">
        <f t="shared" ref="A8180:C8180" si="1675">A8179</f>
        <v>46021</v>
      </c>
      <c r="B8180" s="5" t="str">
        <f t="shared" si="1675"/>
        <v>Northern Cardinal</v>
      </c>
      <c r="C8180" s="6">
        <f t="shared" si="1675"/>
        <v>0.7319444444444444</v>
      </c>
      <c r="D8180" s="5"/>
      <c r="E8180" s="5"/>
      <c r="F8180" s="5" t="s">
        <v>9</v>
      </c>
      <c r="G8180" s="15" t="s">
        <v>8</v>
      </c>
      <c r="H8180" s="24">
        <f t="shared" si="1655"/>
        <v>0</v>
      </c>
      <c r="I8180" s="24" cm="1">
        <f t="array" ref="I8180">IFERROR(IF($B8180=I$1, ($A8180+$C8180) - MAX(IF($B$2:$B8179=$B8180, $A$2:$A8179+$C$2:$C8179)), "")*24*60, "")</f>
        <v>0</v>
      </c>
      <c r="J8180" s="24" t="str" cm="1">
        <f t="array" ref="J8180">IFERROR(IF($B8180=J$1, ($A8180+$C8180) - MAX(IF($B$2:$B8179=$B8180, $A$2:$A8179+$C$2:$C8179)), "")*24*60, "")</f>
        <v/>
      </c>
      <c r="K8180" s="24" t="str" cm="1">
        <f t="array" ref="K8180">IFERROR(IF($B8180=K$1, ($A8180+$C8180) - MAX(IF($B$2:$B8179=$B8180, $A$2:$A8179+$C$2:$C8179)), "")*24*60, "")</f>
        <v/>
      </c>
      <c r="L8180" s="24" t="str" cm="1">
        <f t="array" ref="L8180">IFERROR(IF($B8180=L$1, ($A8180+$C8180) - MAX(IF($B$2:$B8179=$B8180, $A$2:$A8179+$C$2:$C8179)), "")*24*60, "")</f>
        <v/>
      </c>
      <c r="M8180" s="24" t="str" cm="1">
        <f t="array" ref="M8180">IFERROR(IF($B8180=M$1, ($A8180+$C8180) - MAX(IF($B$2:$B8179=$B8180, $A$2:$A8179+$C$2:$C8179)), "")*24*60, "")</f>
        <v/>
      </c>
      <c r="N8180" s="24" t="str" cm="1">
        <f t="array" ref="N8180">IFERROR(IF($B8180=N$1, ($A8180+$C8180) - MAX(IF($B$2:$B8179=$B8180, $A$2:$A8179+$C$2:$C8179)), "")*24*60, "")</f>
        <v/>
      </c>
      <c r="O8180" s="24" t="str" cm="1">
        <f t="array" ref="O8180">IFERROR(IF($B8180=O$1, ($A8180+$C8180) - MAX(IF($B$2:$B8179=$B8180, $A$2:$A8179+$C$2:$C8179)), "")*24*60, "")</f>
        <v/>
      </c>
      <c r="P8180" s="24" t="str" cm="1">
        <f t="array" ref="P8180">IFERROR(IF($B8180=P$1, ($A8180+$C8180) - MAX(IF($B$2:$B8179=$B8180, $A$2:$A8179+$C$2:$C8179)), "")*24*60, "")</f>
        <v/>
      </c>
      <c r="Q8180" s="24" t="str" cm="1">
        <f t="array" ref="Q8180">IFERROR(IF($B8180=Q$1, ($A8180+$C8180) - MAX(IF($B$2:$B8179=$B8180, $A$2:$A8179+$C$2:$C8179)), "")*24*60, "")</f>
        <v/>
      </c>
      <c r="R8180" s="24" t="str" cm="1">
        <f t="array" ref="R8180">IFERROR(IF($B8180=R$1, ($A8180+$C8180) - MAX(IF($B$2:$B8179=$B8180, $A$2:$A8179+$C$2:$C8179)), "")*24*60, "")</f>
        <v/>
      </c>
      <c r="S8180" s="24" t="str" cm="1">
        <f t="array" ref="S8180">IFERROR(IF($B8180=S$1, ($A8180+$C8180) - MAX(IF($B$2:$B8179=$B8180, $A$2:$A8179+$C$2:$C8179)), "")*24*60, "")</f>
        <v/>
      </c>
    </row>
    <row r="8181" spans="1:19" x14ac:dyDescent="0.2">
      <c r="A8181" s="12">
        <f t="shared" ref="A8181:C8181" si="1676">A8180</f>
        <v>46021</v>
      </c>
      <c r="B8181" s="5" t="str">
        <f t="shared" si="1676"/>
        <v>Northern Cardinal</v>
      </c>
      <c r="C8181" s="6">
        <f t="shared" si="1676"/>
        <v>0.7319444444444444</v>
      </c>
      <c r="D8181" s="5"/>
      <c r="E8181" s="5"/>
      <c r="F8181" s="5" t="s">
        <v>9</v>
      </c>
      <c r="G8181" s="15" t="s">
        <v>8</v>
      </c>
      <c r="H8181" s="24">
        <f t="shared" si="1655"/>
        <v>0</v>
      </c>
      <c r="I8181" s="24" cm="1">
        <f t="array" ref="I8181">IFERROR(IF($B8181=I$1, ($A8181+$C8181) - MAX(IF($B$2:$B8180=$B8181, $A$2:$A8180+$C$2:$C8180)), "")*24*60, "")</f>
        <v>0</v>
      </c>
      <c r="J8181" s="24" t="str" cm="1">
        <f t="array" ref="J8181">IFERROR(IF($B8181=J$1, ($A8181+$C8181) - MAX(IF($B$2:$B8180=$B8181, $A$2:$A8180+$C$2:$C8180)), "")*24*60, "")</f>
        <v/>
      </c>
      <c r="K8181" s="24" t="str" cm="1">
        <f t="array" ref="K8181">IFERROR(IF($B8181=K$1, ($A8181+$C8181) - MAX(IF($B$2:$B8180=$B8181, $A$2:$A8180+$C$2:$C8180)), "")*24*60, "")</f>
        <v/>
      </c>
      <c r="L8181" s="24" t="str" cm="1">
        <f t="array" ref="L8181">IFERROR(IF($B8181=L$1, ($A8181+$C8181) - MAX(IF($B$2:$B8180=$B8181, $A$2:$A8180+$C$2:$C8180)), "")*24*60, "")</f>
        <v/>
      </c>
      <c r="M8181" s="24" t="str" cm="1">
        <f t="array" ref="M8181">IFERROR(IF($B8181=M$1, ($A8181+$C8181) - MAX(IF($B$2:$B8180=$B8181, $A$2:$A8180+$C$2:$C8180)), "")*24*60, "")</f>
        <v/>
      </c>
      <c r="N8181" s="24" t="str" cm="1">
        <f t="array" ref="N8181">IFERROR(IF($B8181=N$1, ($A8181+$C8181) - MAX(IF($B$2:$B8180=$B8181, $A$2:$A8180+$C$2:$C8180)), "")*24*60, "")</f>
        <v/>
      </c>
      <c r="O8181" s="24" t="str" cm="1">
        <f t="array" ref="O8181">IFERROR(IF($B8181=O$1, ($A8181+$C8181) - MAX(IF($B$2:$B8180=$B8181, $A$2:$A8180+$C$2:$C8180)), "")*24*60, "")</f>
        <v/>
      </c>
      <c r="P8181" s="24" t="str" cm="1">
        <f t="array" ref="P8181">IFERROR(IF($B8181=P$1, ($A8181+$C8181) - MAX(IF($B$2:$B8180=$B8181, $A$2:$A8180+$C$2:$C8180)), "")*24*60, "")</f>
        <v/>
      </c>
      <c r="Q8181" s="24" t="str" cm="1">
        <f t="array" ref="Q8181">IFERROR(IF($B8181=Q$1, ($A8181+$C8181) - MAX(IF($B$2:$B8180=$B8181, $A$2:$A8180+$C$2:$C8180)), "")*24*60, "")</f>
        <v/>
      </c>
      <c r="R8181" s="24" t="str" cm="1">
        <f t="array" ref="R8181">IFERROR(IF($B8181=R$1, ($A8181+$C8181) - MAX(IF($B$2:$B8180=$B8181, $A$2:$A8180+$C$2:$C8180)), "")*24*60, "")</f>
        <v/>
      </c>
      <c r="S8181" s="24" t="str" cm="1">
        <f t="array" ref="S8181">IFERROR(IF($B8181=S$1, ($A8181+$C8181) - MAX(IF($B$2:$B8180=$B8181, $A$2:$A8180+$C$2:$C8180)), "")*24*60, "")</f>
        <v/>
      </c>
    </row>
    <row r="8182" spans="1:19" x14ac:dyDescent="0.2">
      <c r="A8182" s="12">
        <f t="shared" ref="A8182:C8182" si="1677">A8181</f>
        <v>46021</v>
      </c>
      <c r="B8182" s="5" t="str">
        <f t="shared" si="1677"/>
        <v>Northern Cardinal</v>
      </c>
      <c r="C8182" s="6">
        <f t="shared" si="1677"/>
        <v>0.7319444444444444</v>
      </c>
      <c r="D8182" s="5"/>
      <c r="E8182" s="5"/>
      <c r="F8182" s="5" t="s">
        <v>9</v>
      </c>
      <c r="G8182" s="15" t="s">
        <v>8</v>
      </c>
      <c r="H8182" s="24">
        <f t="shared" si="1655"/>
        <v>0</v>
      </c>
      <c r="I8182" s="24" cm="1">
        <f t="array" ref="I8182">IFERROR(IF($B8182=I$1, ($A8182+$C8182) - MAX(IF($B$2:$B8181=$B8182, $A$2:$A8181+$C$2:$C8181)), "")*24*60, "")</f>
        <v>0</v>
      </c>
      <c r="J8182" s="24" t="str" cm="1">
        <f t="array" ref="J8182">IFERROR(IF($B8182=J$1, ($A8182+$C8182) - MAX(IF($B$2:$B8181=$B8182, $A$2:$A8181+$C$2:$C8181)), "")*24*60, "")</f>
        <v/>
      </c>
      <c r="K8182" s="24" t="str" cm="1">
        <f t="array" ref="K8182">IFERROR(IF($B8182=K$1, ($A8182+$C8182) - MAX(IF($B$2:$B8181=$B8182, $A$2:$A8181+$C$2:$C8181)), "")*24*60, "")</f>
        <v/>
      </c>
      <c r="L8182" s="24" t="str" cm="1">
        <f t="array" ref="L8182">IFERROR(IF($B8182=L$1, ($A8182+$C8182) - MAX(IF($B$2:$B8181=$B8182, $A$2:$A8181+$C$2:$C8181)), "")*24*60, "")</f>
        <v/>
      </c>
      <c r="M8182" s="24" t="str" cm="1">
        <f t="array" ref="M8182">IFERROR(IF($B8182=M$1, ($A8182+$C8182) - MAX(IF($B$2:$B8181=$B8182, $A$2:$A8181+$C$2:$C8181)), "")*24*60, "")</f>
        <v/>
      </c>
      <c r="N8182" s="24" t="str" cm="1">
        <f t="array" ref="N8182">IFERROR(IF($B8182=N$1, ($A8182+$C8182) - MAX(IF($B$2:$B8181=$B8182, $A$2:$A8181+$C$2:$C8181)), "")*24*60, "")</f>
        <v/>
      </c>
      <c r="O8182" s="24" t="str" cm="1">
        <f t="array" ref="O8182">IFERROR(IF($B8182=O$1, ($A8182+$C8182) - MAX(IF($B$2:$B8181=$B8182, $A$2:$A8181+$C$2:$C8181)), "")*24*60, "")</f>
        <v/>
      </c>
      <c r="P8182" s="24" t="str" cm="1">
        <f t="array" ref="P8182">IFERROR(IF($B8182=P$1, ($A8182+$C8182) - MAX(IF($B$2:$B8181=$B8182, $A$2:$A8181+$C$2:$C8181)), "")*24*60, "")</f>
        <v/>
      </c>
      <c r="Q8182" s="24" t="str" cm="1">
        <f t="array" ref="Q8182">IFERROR(IF($B8182=Q$1, ($A8182+$C8182) - MAX(IF($B$2:$B8181=$B8182, $A$2:$A8181+$C$2:$C8181)), "")*24*60, "")</f>
        <v/>
      </c>
      <c r="R8182" s="24" t="str" cm="1">
        <f t="array" ref="R8182">IFERROR(IF($B8182=R$1, ($A8182+$C8182) - MAX(IF($B$2:$B8181=$B8182, $A$2:$A8181+$C$2:$C8181)), "")*24*60, "")</f>
        <v/>
      </c>
      <c r="S8182" s="24" t="str" cm="1">
        <f t="array" ref="S8182">IFERROR(IF($B8182=S$1, ($A8182+$C8182) - MAX(IF($B$2:$B8181=$B8182, $A$2:$A8181+$C$2:$C8181)), "")*24*60, "")</f>
        <v/>
      </c>
    </row>
    <row r="8183" spans="1:19" x14ac:dyDescent="0.2">
      <c r="A8183" s="12">
        <f t="shared" ref="A8183:C8183" si="1678">A8182</f>
        <v>46021</v>
      </c>
      <c r="B8183" s="5" t="str">
        <f t="shared" si="1678"/>
        <v>Northern Cardinal</v>
      </c>
      <c r="C8183" s="6">
        <f t="shared" si="1678"/>
        <v>0.7319444444444444</v>
      </c>
      <c r="D8183" s="5"/>
      <c r="E8183" s="5"/>
      <c r="F8183" s="5" t="s">
        <v>9</v>
      </c>
      <c r="G8183" s="15" t="s">
        <v>8</v>
      </c>
      <c r="H8183" s="24">
        <f t="shared" si="1655"/>
        <v>0</v>
      </c>
      <c r="I8183" s="24" cm="1">
        <f t="array" ref="I8183">IFERROR(IF($B8183=I$1, ($A8183+$C8183) - MAX(IF($B$2:$B8182=$B8183, $A$2:$A8182+$C$2:$C8182)), "")*24*60, "")</f>
        <v>0</v>
      </c>
      <c r="J8183" s="24" t="str" cm="1">
        <f t="array" ref="J8183">IFERROR(IF($B8183=J$1, ($A8183+$C8183) - MAX(IF($B$2:$B8182=$B8183, $A$2:$A8182+$C$2:$C8182)), "")*24*60, "")</f>
        <v/>
      </c>
      <c r="K8183" s="24" t="str" cm="1">
        <f t="array" ref="K8183">IFERROR(IF($B8183=K$1, ($A8183+$C8183) - MAX(IF($B$2:$B8182=$B8183, $A$2:$A8182+$C$2:$C8182)), "")*24*60, "")</f>
        <v/>
      </c>
      <c r="L8183" s="24" t="str" cm="1">
        <f t="array" ref="L8183">IFERROR(IF($B8183=L$1, ($A8183+$C8183) - MAX(IF($B$2:$B8182=$B8183, $A$2:$A8182+$C$2:$C8182)), "")*24*60, "")</f>
        <v/>
      </c>
      <c r="M8183" s="24" t="str" cm="1">
        <f t="array" ref="M8183">IFERROR(IF($B8183=M$1, ($A8183+$C8183) - MAX(IF($B$2:$B8182=$B8183, $A$2:$A8182+$C$2:$C8182)), "")*24*60, "")</f>
        <v/>
      </c>
      <c r="N8183" s="24" t="str" cm="1">
        <f t="array" ref="N8183">IFERROR(IF($B8183=N$1, ($A8183+$C8183) - MAX(IF($B$2:$B8182=$B8183, $A$2:$A8182+$C$2:$C8182)), "")*24*60, "")</f>
        <v/>
      </c>
      <c r="O8183" s="24" t="str" cm="1">
        <f t="array" ref="O8183">IFERROR(IF($B8183=O$1, ($A8183+$C8183) - MAX(IF($B$2:$B8182=$B8183, $A$2:$A8182+$C$2:$C8182)), "")*24*60, "")</f>
        <v/>
      </c>
      <c r="P8183" s="24" t="str" cm="1">
        <f t="array" ref="P8183">IFERROR(IF($B8183=P$1, ($A8183+$C8183) - MAX(IF($B$2:$B8182=$B8183, $A$2:$A8182+$C$2:$C8182)), "")*24*60, "")</f>
        <v/>
      </c>
      <c r="Q8183" s="24" t="str" cm="1">
        <f t="array" ref="Q8183">IFERROR(IF($B8183=Q$1, ($A8183+$C8183) - MAX(IF($B$2:$B8182=$B8183, $A$2:$A8182+$C$2:$C8182)), "")*24*60, "")</f>
        <v/>
      </c>
      <c r="R8183" s="24" t="str" cm="1">
        <f t="array" ref="R8183">IFERROR(IF($B8183=R$1, ($A8183+$C8183) - MAX(IF($B$2:$B8182=$B8183, $A$2:$A8182+$C$2:$C8182)), "")*24*60, "")</f>
        <v/>
      </c>
      <c r="S8183" s="24" t="str" cm="1">
        <f t="array" ref="S8183">IFERROR(IF($B8183=S$1, ($A8183+$C8183) - MAX(IF($B$2:$B8182=$B8183, $A$2:$A8182+$C$2:$C8182)), "")*24*60, "")</f>
        <v/>
      </c>
    </row>
    <row r="8184" spans="1:19" x14ac:dyDescent="0.2">
      <c r="A8184" s="12">
        <f t="shared" ref="A8184:C8184" si="1679">A8183</f>
        <v>46021</v>
      </c>
      <c r="B8184" s="5" t="str">
        <f t="shared" si="1679"/>
        <v>Northern Cardinal</v>
      </c>
      <c r="C8184" s="6">
        <f t="shared" si="1679"/>
        <v>0.7319444444444444</v>
      </c>
      <c r="D8184" s="5"/>
      <c r="E8184" s="5"/>
      <c r="F8184" s="5" t="s">
        <v>9</v>
      </c>
      <c r="G8184" s="15" t="s">
        <v>8</v>
      </c>
      <c r="H8184" s="24">
        <f t="shared" si="1655"/>
        <v>0</v>
      </c>
      <c r="I8184" s="24" cm="1">
        <f t="array" ref="I8184">IFERROR(IF($B8184=I$1, ($A8184+$C8184) - MAX(IF($B$2:$B8183=$B8184, $A$2:$A8183+$C$2:$C8183)), "")*24*60, "")</f>
        <v>0</v>
      </c>
      <c r="J8184" s="24" t="str" cm="1">
        <f t="array" ref="J8184">IFERROR(IF($B8184=J$1, ($A8184+$C8184) - MAX(IF($B$2:$B8183=$B8184, $A$2:$A8183+$C$2:$C8183)), "")*24*60, "")</f>
        <v/>
      </c>
      <c r="K8184" s="24" t="str" cm="1">
        <f t="array" ref="K8184">IFERROR(IF($B8184=K$1, ($A8184+$C8184) - MAX(IF($B$2:$B8183=$B8184, $A$2:$A8183+$C$2:$C8183)), "")*24*60, "")</f>
        <v/>
      </c>
      <c r="L8184" s="24" t="str" cm="1">
        <f t="array" ref="L8184">IFERROR(IF($B8184=L$1, ($A8184+$C8184) - MAX(IF($B$2:$B8183=$B8184, $A$2:$A8183+$C$2:$C8183)), "")*24*60, "")</f>
        <v/>
      </c>
      <c r="M8184" s="24" t="str" cm="1">
        <f t="array" ref="M8184">IFERROR(IF($B8184=M$1, ($A8184+$C8184) - MAX(IF($B$2:$B8183=$B8184, $A$2:$A8183+$C$2:$C8183)), "")*24*60, "")</f>
        <v/>
      </c>
      <c r="N8184" s="24" t="str" cm="1">
        <f t="array" ref="N8184">IFERROR(IF($B8184=N$1, ($A8184+$C8184) - MAX(IF($B$2:$B8183=$B8184, $A$2:$A8183+$C$2:$C8183)), "")*24*60, "")</f>
        <v/>
      </c>
      <c r="O8184" s="24" t="str" cm="1">
        <f t="array" ref="O8184">IFERROR(IF($B8184=O$1, ($A8184+$C8184) - MAX(IF($B$2:$B8183=$B8184, $A$2:$A8183+$C$2:$C8183)), "")*24*60, "")</f>
        <v/>
      </c>
      <c r="P8184" s="24" t="str" cm="1">
        <f t="array" ref="P8184">IFERROR(IF($B8184=P$1, ($A8184+$C8184) - MAX(IF($B$2:$B8183=$B8184, $A$2:$A8183+$C$2:$C8183)), "")*24*60, "")</f>
        <v/>
      </c>
      <c r="Q8184" s="24" t="str" cm="1">
        <f t="array" ref="Q8184">IFERROR(IF($B8184=Q$1, ($A8184+$C8184) - MAX(IF($B$2:$B8183=$B8184, $A$2:$A8183+$C$2:$C8183)), "")*24*60, "")</f>
        <v/>
      </c>
      <c r="R8184" s="24" t="str" cm="1">
        <f t="array" ref="R8184">IFERROR(IF($B8184=R$1, ($A8184+$C8184) - MAX(IF($B$2:$B8183=$B8184, $A$2:$A8183+$C$2:$C8183)), "")*24*60, "")</f>
        <v/>
      </c>
      <c r="S8184" s="24" t="str" cm="1">
        <f t="array" ref="S8184">IFERROR(IF($B8184=S$1, ($A8184+$C8184) - MAX(IF($B$2:$B8183=$B8184, $A$2:$A8183+$C$2:$C8183)), "")*24*60, "")</f>
        <v/>
      </c>
    </row>
    <row r="8185" spans="1:19" x14ac:dyDescent="0.2">
      <c r="A8185" s="12">
        <f t="shared" ref="A8185:C8185" si="1680">A8184</f>
        <v>46021</v>
      </c>
      <c r="B8185" s="5" t="str">
        <f t="shared" si="1680"/>
        <v>Northern Cardinal</v>
      </c>
      <c r="C8185" s="6">
        <f t="shared" si="1680"/>
        <v>0.7319444444444444</v>
      </c>
      <c r="D8185" s="5"/>
      <c r="E8185" s="5"/>
      <c r="F8185" s="5" t="s">
        <v>9</v>
      </c>
      <c r="G8185" s="15" t="s">
        <v>8</v>
      </c>
      <c r="H8185" s="24">
        <f t="shared" si="1655"/>
        <v>0</v>
      </c>
      <c r="I8185" s="24" cm="1">
        <f t="array" ref="I8185">IFERROR(IF($B8185=I$1, ($A8185+$C8185) - MAX(IF($B$2:$B8184=$B8185, $A$2:$A8184+$C$2:$C8184)), "")*24*60, "")</f>
        <v>0</v>
      </c>
      <c r="J8185" s="24" t="str" cm="1">
        <f t="array" ref="J8185">IFERROR(IF($B8185=J$1, ($A8185+$C8185) - MAX(IF($B$2:$B8184=$B8185, $A$2:$A8184+$C$2:$C8184)), "")*24*60, "")</f>
        <v/>
      </c>
      <c r="K8185" s="24" t="str" cm="1">
        <f t="array" ref="K8185">IFERROR(IF($B8185=K$1, ($A8185+$C8185) - MAX(IF($B$2:$B8184=$B8185, $A$2:$A8184+$C$2:$C8184)), "")*24*60, "")</f>
        <v/>
      </c>
      <c r="L8185" s="24" t="str" cm="1">
        <f t="array" ref="L8185">IFERROR(IF($B8185=L$1, ($A8185+$C8185) - MAX(IF($B$2:$B8184=$B8185, $A$2:$A8184+$C$2:$C8184)), "")*24*60, "")</f>
        <v/>
      </c>
      <c r="M8185" s="24" t="str" cm="1">
        <f t="array" ref="M8185">IFERROR(IF($B8185=M$1, ($A8185+$C8185) - MAX(IF($B$2:$B8184=$B8185, $A$2:$A8184+$C$2:$C8184)), "")*24*60, "")</f>
        <v/>
      </c>
      <c r="N8185" s="24" t="str" cm="1">
        <f t="array" ref="N8185">IFERROR(IF($B8185=N$1, ($A8185+$C8185) - MAX(IF($B$2:$B8184=$B8185, $A$2:$A8184+$C$2:$C8184)), "")*24*60, "")</f>
        <v/>
      </c>
      <c r="O8185" s="24" t="str" cm="1">
        <f t="array" ref="O8185">IFERROR(IF($B8185=O$1, ($A8185+$C8185) - MAX(IF($B$2:$B8184=$B8185, $A$2:$A8184+$C$2:$C8184)), "")*24*60, "")</f>
        <v/>
      </c>
      <c r="P8185" s="24" t="str" cm="1">
        <f t="array" ref="P8185">IFERROR(IF($B8185=P$1, ($A8185+$C8185) - MAX(IF($B$2:$B8184=$B8185, $A$2:$A8184+$C$2:$C8184)), "")*24*60, "")</f>
        <v/>
      </c>
      <c r="Q8185" s="24" t="str" cm="1">
        <f t="array" ref="Q8185">IFERROR(IF($B8185=Q$1, ($A8185+$C8185) - MAX(IF($B$2:$B8184=$B8185, $A$2:$A8184+$C$2:$C8184)), "")*24*60, "")</f>
        <v/>
      </c>
      <c r="R8185" s="24" t="str" cm="1">
        <f t="array" ref="R8185">IFERROR(IF($B8185=R$1, ($A8185+$C8185) - MAX(IF($B$2:$B8184=$B8185, $A$2:$A8184+$C$2:$C8184)), "")*24*60, "")</f>
        <v/>
      </c>
      <c r="S8185" s="24" t="str" cm="1">
        <f t="array" ref="S8185">IFERROR(IF($B8185=S$1, ($A8185+$C8185) - MAX(IF($B$2:$B8184=$B8185, $A$2:$A8184+$C$2:$C8184)), "")*24*60, "")</f>
        <v/>
      </c>
    </row>
    <row r="8186" spans="1:19" x14ac:dyDescent="0.2">
      <c r="A8186" s="12">
        <f t="shared" ref="A8186:C8186" si="1681">A8185</f>
        <v>46021</v>
      </c>
      <c r="B8186" s="5" t="str">
        <f t="shared" si="1681"/>
        <v>Northern Cardinal</v>
      </c>
      <c r="C8186" s="6">
        <f t="shared" si="1681"/>
        <v>0.7319444444444444</v>
      </c>
      <c r="D8186" s="5"/>
      <c r="E8186" s="5"/>
      <c r="F8186" s="5" t="s">
        <v>9</v>
      </c>
      <c r="G8186" s="15" t="s">
        <v>8</v>
      </c>
      <c r="H8186" s="24">
        <f t="shared" si="1655"/>
        <v>0</v>
      </c>
      <c r="I8186" s="24" cm="1">
        <f t="array" ref="I8186">IFERROR(IF($B8186=I$1, ($A8186+$C8186) - MAX(IF($B$2:$B8185=$B8186, $A$2:$A8185+$C$2:$C8185)), "")*24*60, "")</f>
        <v>0</v>
      </c>
      <c r="J8186" s="24" t="str" cm="1">
        <f t="array" ref="J8186">IFERROR(IF($B8186=J$1, ($A8186+$C8186) - MAX(IF($B$2:$B8185=$B8186, $A$2:$A8185+$C$2:$C8185)), "")*24*60, "")</f>
        <v/>
      </c>
      <c r="K8186" s="24" t="str" cm="1">
        <f t="array" ref="K8186">IFERROR(IF($B8186=K$1, ($A8186+$C8186) - MAX(IF($B$2:$B8185=$B8186, $A$2:$A8185+$C$2:$C8185)), "")*24*60, "")</f>
        <v/>
      </c>
      <c r="L8186" s="24" t="str" cm="1">
        <f t="array" ref="L8186">IFERROR(IF($B8186=L$1, ($A8186+$C8186) - MAX(IF($B$2:$B8185=$B8186, $A$2:$A8185+$C$2:$C8185)), "")*24*60, "")</f>
        <v/>
      </c>
      <c r="M8186" s="24" t="str" cm="1">
        <f t="array" ref="M8186">IFERROR(IF($B8186=M$1, ($A8186+$C8186) - MAX(IF($B$2:$B8185=$B8186, $A$2:$A8185+$C$2:$C8185)), "")*24*60, "")</f>
        <v/>
      </c>
      <c r="N8186" s="24" t="str" cm="1">
        <f t="array" ref="N8186">IFERROR(IF($B8186=N$1, ($A8186+$C8186) - MAX(IF($B$2:$B8185=$B8186, $A$2:$A8185+$C$2:$C8185)), "")*24*60, "")</f>
        <v/>
      </c>
      <c r="O8186" s="24" t="str" cm="1">
        <f t="array" ref="O8186">IFERROR(IF($B8186=O$1, ($A8186+$C8186) - MAX(IF($B$2:$B8185=$B8186, $A$2:$A8185+$C$2:$C8185)), "")*24*60, "")</f>
        <v/>
      </c>
      <c r="P8186" s="24" t="str" cm="1">
        <f t="array" ref="P8186">IFERROR(IF($B8186=P$1, ($A8186+$C8186) - MAX(IF($B$2:$B8185=$B8186, $A$2:$A8185+$C$2:$C8185)), "")*24*60, "")</f>
        <v/>
      </c>
      <c r="Q8186" s="24" t="str" cm="1">
        <f t="array" ref="Q8186">IFERROR(IF($B8186=Q$1, ($A8186+$C8186) - MAX(IF($B$2:$B8185=$B8186, $A$2:$A8185+$C$2:$C8185)), "")*24*60, "")</f>
        <v/>
      </c>
      <c r="R8186" s="24" t="str" cm="1">
        <f t="array" ref="R8186">IFERROR(IF($B8186=R$1, ($A8186+$C8186) - MAX(IF($B$2:$B8185=$B8186, $A$2:$A8185+$C$2:$C8185)), "")*24*60, "")</f>
        <v/>
      </c>
      <c r="S8186" s="24" t="str" cm="1">
        <f t="array" ref="S8186">IFERROR(IF($B8186=S$1, ($A8186+$C8186) - MAX(IF($B$2:$B8185=$B8186, $A$2:$A8185+$C$2:$C8185)), "")*24*60, "")</f>
        <v/>
      </c>
    </row>
    <row r="8187" spans="1:19" x14ac:dyDescent="0.2">
      <c r="A8187" s="12">
        <f t="shared" ref="A8187:C8187" si="1682">A8186</f>
        <v>46021</v>
      </c>
      <c r="B8187" s="5" t="str">
        <f t="shared" si="1682"/>
        <v>Northern Cardinal</v>
      </c>
      <c r="C8187" s="6">
        <f t="shared" si="1682"/>
        <v>0.7319444444444444</v>
      </c>
      <c r="D8187" s="5"/>
      <c r="E8187" s="5"/>
      <c r="F8187" s="5" t="s">
        <v>9</v>
      </c>
      <c r="G8187" s="15" t="s">
        <v>8</v>
      </c>
      <c r="H8187" s="24">
        <f t="shared" si="1655"/>
        <v>0</v>
      </c>
      <c r="I8187" s="24" cm="1">
        <f t="array" ref="I8187">IFERROR(IF($B8187=I$1, ($A8187+$C8187) - MAX(IF($B$2:$B8186=$B8187, $A$2:$A8186+$C$2:$C8186)), "")*24*60, "")</f>
        <v>0</v>
      </c>
      <c r="J8187" s="24" t="str" cm="1">
        <f t="array" ref="J8187">IFERROR(IF($B8187=J$1, ($A8187+$C8187) - MAX(IF($B$2:$B8186=$B8187, $A$2:$A8186+$C$2:$C8186)), "")*24*60, "")</f>
        <v/>
      </c>
      <c r="K8187" s="24" t="str" cm="1">
        <f t="array" ref="K8187">IFERROR(IF($B8187=K$1, ($A8187+$C8187) - MAX(IF($B$2:$B8186=$B8187, $A$2:$A8186+$C$2:$C8186)), "")*24*60, "")</f>
        <v/>
      </c>
      <c r="L8187" s="24" t="str" cm="1">
        <f t="array" ref="L8187">IFERROR(IF($B8187=L$1, ($A8187+$C8187) - MAX(IF($B$2:$B8186=$B8187, $A$2:$A8186+$C$2:$C8186)), "")*24*60, "")</f>
        <v/>
      </c>
      <c r="M8187" s="24" t="str" cm="1">
        <f t="array" ref="M8187">IFERROR(IF($B8187=M$1, ($A8187+$C8187) - MAX(IF($B$2:$B8186=$B8187, $A$2:$A8186+$C$2:$C8186)), "")*24*60, "")</f>
        <v/>
      </c>
      <c r="N8187" s="24" t="str" cm="1">
        <f t="array" ref="N8187">IFERROR(IF($B8187=N$1, ($A8187+$C8187) - MAX(IF($B$2:$B8186=$B8187, $A$2:$A8186+$C$2:$C8186)), "")*24*60, "")</f>
        <v/>
      </c>
      <c r="O8187" s="24" t="str" cm="1">
        <f t="array" ref="O8187">IFERROR(IF($B8187=O$1, ($A8187+$C8187) - MAX(IF($B$2:$B8186=$B8187, $A$2:$A8186+$C$2:$C8186)), "")*24*60, "")</f>
        <v/>
      </c>
      <c r="P8187" s="24" t="str" cm="1">
        <f t="array" ref="P8187">IFERROR(IF($B8187=P$1, ($A8187+$C8187) - MAX(IF($B$2:$B8186=$B8187, $A$2:$A8186+$C$2:$C8186)), "")*24*60, "")</f>
        <v/>
      </c>
      <c r="Q8187" s="24" t="str" cm="1">
        <f t="array" ref="Q8187">IFERROR(IF($B8187=Q$1, ($A8187+$C8187) - MAX(IF($B$2:$B8186=$B8187, $A$2:$A8186+$C$2:$C8186)), "")*24*60, "")</f>
        <v/>
      </c>
      <c r="R8187" s="24" t="str" cm="1">
        <f t="array" ref="R8187">IFERROR(IF($B8187=R$1, ($A8187+$C8187) - MAX(IF($B$2:$B8186=$B8187, $A$2:$A8186+$C$2:$C8186)), "")*24*60, "")</f>
        <v/>
      </c>
      <c r="S8187" s="24" t="str" cm="1">
        <f t="array" ref="S8187">IFERROR(IF($B8187=S$1, ($A8187+$C8187) - MAX(IF($B$2:$B8186=$B8187, $A$2:$A8186+$C$2:$C8186)), "")*24*60, "")</f>
        <v/>
      </c>
    </row>
    <row r="8188" spans="1:19" x14ac:dyDescent="0.2">
      <c r="A8188" s="12">
        <f t="shared" ref="A8188:C8188" si="1683">A8187</f>
        <v>46021</v>
      </c>
      <c r="B8188" s="5" t="str">
        <f t="shared" si="1683"/>
        <v>Northern Cardinal</v>
      </c>
      <c r="C8188" s="6">
        <f t="shared" si="1683"/>
        <v>0.7319444444444444</v>
      </c>
      <c r="D8188" s="5"/>
      <c r="E8188" s="5"/>
      <c r="F8188" s="5" t="s">
        <v>9</v>
      </c>
      <c r="G8188" s="15" t="s">
        <v>8</v>
      </c>
      <c r="H8188" s="24">
        <f t="shared" si="1655"/>
        <v>0</v>
      </c>
      <c r="I8188" s="24" cm="1">
        <f t="array" ref="I8188">IFERROR(IF($B8188=I$1, ($A8188+$C8188) - MAX(IF($B$2:$B8187=$B8188, $A$2:$A8187+$C$2:$C8187)), "")*24*60, "")</f>
        <v>0</v>
      </c>
      <c r="J8188" s="24" t="str" cm="1">
        <f t="array" ref="J8188">IFERROR(IF($B8188=J$1, ($A8188+$C8188) - MAX(IF($B$2:$B8187=$B8188, $A$2:$A8187+$C$2:$C8187)), "")*24*60, "")</f>
        <v/>
      </c>
      <c r="K8188" s="24" t="str" cm="1">
        <f t="array" ref="K8188">IFERROR(IF($B8188=K$1, ($A8188+$C8188) - MAX(IF($B$2:$B8187=$B8188, $A$2:$A8187+$C$2:$C8187)), "")*24*60, "")</f>
        <v/>
      </c>
      <c r="L8188" s="24" t="str" cm="1">
        <f t="array" ref="L8188">IFERROR(IF($B8188=L$1, ($A8188+$C8188) - MAX(IF($B$2:$B8187=$B8188, $A$2:$A8187+$C$2:$C8187)), "")*24*60, "")</f>
        <v/>
      </c>
      <c r="M8188" s="24" t="str" cm="1">
        <f t="array" ref="M8188">IFERROR(IF($B8188=M$1, ($A8188+$C8188) - MAX(IF($B$2:$B8187=$B8188, $A$2:$A8187+$C$2:$C8187)), "")*24*60, "")</f>
        <v/>
      </c>
      <c r="N8188" s="24" t="str" cm="1">
        <f t="array" ref="N8188">IFERROR(IF($B8188=N$1, ($A8188+$C8188) - MAX(IF($B$2:$B8187=$B8188, $A$2:$A8187+$C$2:$C8187)), "")*24*60, "")</f>
        <v/>
      </c>
      <c r="O8188" s="24" t="str" cm="1">
        <f t="array" ref="O8188">IFERROR(IF($B8188=O$1, ($A8188+$C8188) - MAX(IF($B$2:$B8187=$B8188, $A$2:$A8187+$C$2:$C8187)), "")*24*60, "")</f>
        <v/>
      </c>
      <c r="P8188" s="24" t="str" cm="1">
        <f t="array" ref="P8188">IFERROR(IF($B8188=P$1, ($A8188+$C8188) - MAX(IF($B$2:$B8187=$B8188, $A$2:$A8187+$C$2:$C8187)), "")*24*60, "")</f>
        <v/>
      </c>
      <c r="Q8188" s="24" t="str" cm="1">
        <f t="array" ref="Q8188">IFERROR(IF($B8188=Q$1, ($A8188+$C8188) - MAX(IF($B$2:$B8187=$B8188, $A$2:$A8187+$C$2:$C8187)), "")*24*60, "")</f>
        <v/>
      </c>
      <c r="R8188" s="24" t="str" cm="1">
        <f t="array" ref="R8188">IFERROR(IF($B8188=R$1, ($A8188+$C8188) - MAX(IF($B$2:$B8187=$B8188, $A$2:$A8187+$C$2:$C8187)), "")*24*60, "")</f>
        <v/>
      </c>
      <c r="S8188" s="24" t="str" cm="1">
        <f t="array" ref="S8188">IFERROR(IF($B8188=S$1, ($A8188+$C8188) - MAX(IF($B$2:$B8187=$B8188, $A$2:$A8187+$C$2:$C8187)), "")*24*60, "")</f>
        <v/>
      </c>
    </row>
    <row r="8189" spans="1:19" x14ac:dyDescent="0.2">
      <c r="A8189" s="12">
        <f t="shared" ref="A8189:C8189" si="1684">A8188</f>
        <v>46021</v>
      </c>
      <c r="B8189" s="5" t="str">
        <f t="shared" si="1684"/>
        <v>Northern Cardinal</v>
      </c>
      <c r="C8189" s="6">
        <f t="shared" si="1684"/>
        <v>0.7319444444444444</v>
      </c>
      <c r="D8189" s="5"/>
      <c r="E8189" s="5"/>
      <c r="F8189" s="5" t="s">
        <v>9</v>
      </c>
      <c r="G8189" s="15" t="s">
        <v>8</v>
      </c>
      <c r="H8189" s="24">
        <f t="shared" si="1655"/>
        <v>0</v>
      </c>
      <c r="I8189" s="24" cm="1">
        <f t="array" ref="I8189">IFERROR(IF($B8189=I$1, ($A8189+$C8189) - MAX(IF($B$2:$B8188=$B8189, $A$2:$A8188+$C$2:$C8188)), "")*24*60, "")</f>
        <v>0</v>
      </c>
      <c r="J8189" s="24" t="str" cm="1">
        <f t="array" ref="J8189">IFERROR(IF($B8189=J$1, ($A8189+$C8189) - MAX(IF($B$2:$B8188=$B8189, $A$2:$A8188+$C$2:$C8188)), "")*24*60, "")</f>
        <v/>
      </c>
      <c r="K8189" s="24" t="str" cm="1">
        <f t="array" ref="K8189">IFERROR(IF($B8189=K$1, ($A8189+$C8189) - MAX(IF($B$2:$B8188=$B8189, $A$2:$A8188+$C$2:$C8188)), "")*24*60, "")</f>
        <v/>
      </c>
      <c r="L8189" s="24" t="str" cm="1">
        <f t="array" ref="L8189">IFERROR(IF($B8189=L$1, ($A8189+$C8189) - MAX(IF($B$2:$B8188=$B8189, $A$2:$A8188+$C$2:$C8188)), "")*24*60, "")</f>
        <v/>
      </c>
      <c r="M8189" s="24" t="str" cm="1">
        <f t="array" ref="M8189">IFERROR(IF($B8189=M$1, ($A8189+$C8189) - MAX(IF($B$2:$B8188=$B8189, $A$2:$A8188+$C$2:$C8188)), "")*24*60, "")</f>
        <v/>
      </c>
      <c r="N8189" s="24" t="str" cm="1">
        <f t="array" ref="N8189">IFERROR(IF($B8189=N$1, ($A8189+$C8189) - MAX(IF($B$2:$B8188=$B8189, $A$2:$A8188+$C$2:$C8188)), "")*24*60, "")</f>
        <v/>
      </c>
      <c r="O8189" s="24" t="str" cm="1">
        <f t="array" ref="O8189">IFERROR(IF($B8189=O$1, ($A8189+$C8189) - MAX(IF($B$2:$B8188=$B8189, $A$2:$A8188+$C$2:$C8188)), "")*24*60, "")</f>
        <v/>
      </c>
      <c r="P8189" s="24" t="str" cm="1">
        <f t="array" ref="P8189">IFERROR(IF($B8189=P$1, ($A8189+$C8189) - MAX(IF($B$2:$B8188=$B8189, $A$2:$A8188+$C$2:$C8188)), "")*24*60, "")</f>
        <v/>
      </c>
      <c r="Q8189" s="24" t="str" cm="1">
        <f t="array" ref="Q8189">IFERROR(IF($B8189=Q$1, ($A8189+$C8189) - MAX(IF($B$2:$B8188=$B8189, $A$2:$A8188+$C$2:$C8188)), "")*24*60, "")</f>
        <v/>
      </c>
      <c r="R8189" s="24" t="str" cm="1">
        <f t="array" ref="R8189">IFERROR(IF($B8189=R$1, ($A8189+$C8189) - MAX(IF($B$2:$B8188=$B8189, $A$2:$A8188+$C$2:$C8188)), "")*24*60, "")</f>
        <v/>
      </c>
      <c r="S8189" s="24" t="str" cm="1">
        <f t="array" ref="S8189">IFERROR(IF($B8189=S$1, ($A8189+$C8189) - MAX(IF($B$2:$B8188=$B8189, $A$2:$A8188+$C$2:$C8188)), "")*24*60, "")</f>
        <v/>
      </c>
    </row>
    <row r="8190" spans="1:19" x14ac:dyDescent="0.2">
      <c r="A8190" s="12">
        <f t="shared" ref="A8190:C8190" si="1685">A8189</f>
        <v>46021</v>
      </c>
      <c r="B8190" s="5" t="str">
        <f t="shared" si="1685"/>
        <v>Northern Cardinal</v>
      </c>
      <c r="C8190" s="6">
        <f t="shared" si="1685"/>
        <v>0.7319444444444444</v>
      </c>
      <c r="D8190" s="5"/>
      <c r="E8190" s="5"/>
      <c r="F8190" s="5" t="s">
        <v>9</v>
      </c>
      <c r="G8190" s="15" t="s">
        <v>8</v>
      </c>
      <c r="H8190" s="24">
        <f t="shared" si="1655"/>
        <v>0</v>
      </c>
      <c r="I8190" s="24" cm="1">
        <f t="array" ref="I8190">IFERROR(IF($B8190=I$1, ($A8190+$C8190) - MAX(IF($B$2:$B8189=$B8190, $A$2:$A8189+$C$2:$C8189)), "")*24*60, "")</f>
        <v>0</v>
      </c>
      <c r="J8190" s="24" t="str" cm="1">
        <f t="array" ref="J8190">IFERROR(IF($B8190=J$1, ($A8190+$C8190) - MAX(IF($B$2:$B8189=$B8190, $A$2:$A8189+$C$2:$C8189)), "")*24*60, "")</f>
        <v/>
      </c>
      <c r="K8190" s="24" t="str" cm="1">
        <f t="array" ref="K8190">IFERROR(IF($B8190=K$1, ($A8190+$C8190) - MAX(IF($B$2:$B8189=$B8190, $A$2:$A8189+$C$2:$C8189)), "")*24*60, "")</f>
        <v/>
      </c>
      <c r="L8190" s="24" t="str" cm="1">
        <f t="array" ref="L8190">IFERROR(IF($B8190=L$1, ($A8190+$C8190) - MAX(IF($B$2:$B8189=$B8190, $A$2:$A8189+$C$2:$C8189)), "")*24*60, "")</f>
        <v/>
      </c>
      <c r="M8190" s="24" t="str" cm="1">
        <f t="array" ref="M8190">IFERROR(IF($B8190=M$1, ($A8190+$C8190) - MAX(IF($B$2:$B8189=$B8190, $A$2:$A8189+$C$2:$C8189)), "")*24*60, "")</f>
        <v/>
      </c>
      <c r="N8190" s="24" t="str" cm="1">
        <f t="array" ref="N8190">IFERROR(IF($B8190=N$1, ($A8190+$C8190) - MAX(IF($B$2:$B8189=$B8190, $A$2:$A8189+$C$2:$C8189)), "")*24*60, "")</f>
        <v/>
      </c>
      <c r="O8190" s="24" t="str" cm="1">
        <f t="array" ref="O8190">IFERROR(IF($B8190=O$1, ($A8190+$C8190) - MAX(IF($B$2:$B8189=$B8190, $A$2:$A8189+$C$2:$C8189)), "")*24*60, "")</f>
        <v/>
      </c>
      <c r="P8190" s="24" t="str" cm="1">
        <f t="array" ref="P8190">IFERROR(IF($B8190=P$1, ($A8190+$C8190) - MAX(IF($B$2:$B8189=$B8190, $A$2:$A8189+$C$2:$C8189)), "")*24*60, "")</f>
        <v/>
      </c>
      <c r="Q8190" s="24" t="str" cm="1">
        <f t="array" ref="Q8190">IFERROR(IF($B8190=Q$1, ($A8190+$C8190) - MAX(IF($B$2:$B8189=$B8190, $A$2:$A8189+$C$2:$C8189)), "")*24*60, "")</f>
        <v/>
      </c>
      <c r="R8190" s="24" t="str" cm="1">
        <f t="array" ref="R8190">IFERROR(IF($B8190=R$1, ($A8190+$C8190) - MAX(IF($B$2:$B8189=$B8190, $A$2:$A8189+$C$2:$C8189)), "")*24*60, "")</f>
        <v/>
      </c>
      <c r="S8190" s="24" t="str" cm="1">
        <f t="array" ref="S8190">IFERROR(IF($B8190=S$1, ($A8190+$C8190) - MAX(IF($B$2:$B8189=$B8190, $A$2:$A8189+$C$2:$C8189)), "")*24*60, "")</f>
        <v/>
      </c>
    </row>
    <row r="8191" spans="1:19" x14ac:dyDescent="0.2">
      <c r="A8191" s="12">
        <f t="shared" ref="A8191:C8191" si="1686">A8190</f>
        <v>46021</v>
      </c>
      <c r="B8191" s="5" t="str">
        <f t="shared" si="1686"/>
        <v>Northern Cardinal</v>
      </c>
      <c r="C8191" s="6">
        <f t="shared" si="1686"/>
        <v>0.7319444444444444</v>
      </c>
      <c r="D8191" s="5"/>
      <c r="E8191" s="5"/>
      <c r="F8191" s="5" t="s">
        <v>9</v>
      </c>
      <c r="G8191" s="15" t="s">
        <v>8</v>
      </c>
      <c r="H8191" s="24">
        <f t="shared" si="1655"/>
        <v>0</v>
      </c>
      <c r="I8191" s="24" cm="1">
        <f t="array" ref="I8191">IFERROR(IF($B8191=I$1, ($A8191+$C8191) - MAX(IF($B$2:$B8190=$B8191, $A$2:$A8190+$C$2:$C8190)), "")*24*60, "")</f>
        <v>0</v>
      </c>
      <c r="J8191" s="24" t="str" cm="1">
        <f t="array" ref="J8191">IFERROR(IF($B8191=J$1, ($A8191+$C8191) - MAX(IF($B$2:$B8190=$B8191, $A$2:$A8190+$C$2:$C8190)), "")*24*60, "")</f>
        <v/>
      </c>
      <c r="K8191" s="24" t="str" cm="1">
        <f t="array" ref="K8191">IFERROR(IF($B8191=K$1, ($A8191+$C8191) - MAX(IF($B$2:$B8190=$B8191, $A$2:$A8190+$C$2:$C8190)), "")*24*60, "")</f>
        <v/>
      </c>
      <c r="L8191" s="24" t="str" cm="1">
        <f t="array" ref="L8191">IFERROR(IF($B8191=L$1, ($A8191+$C8191) - MAX(IF($B$2:$B8190=$B8191, $A$2:$A8190+$C$2:$C8190)), "")*24*60, "")</f>
        <v/>
      </c>
      <c r="M8191" s="24" t="str" cm="1">
        <f t="array" ref="M8191">IFERROR(IF($B8191=M$1, ($A8191+$C8191) - MAX(IF($B$2:$B8190=$B8191, $A$2:$A8190+$C$2:$C8190)), "")*24*60, "")</f>
        <v/>
      </c>
      <c r="N8191" s="24" t="str" cm="1">
        <f t="array" ref="N8191">IFERROR(IF($B8191=N$1, ($A8191+$C8191) - MAX(IF($B$2:$B8190=$B8191, $A$2:$A8190+$C$2:$C8190)), "")*24*60, "")</f>
        <v/>
      </c>
      <c r="O8191" s="24" t="str" cm="1">
        <f t="array" ref="O8191">IFERROR(IF($B8191=O$1, ($A8191+$C8191) - MAX(IF($B$2:$B8190=$B8191, $A$2:$A8190+$C$2:$C8190)), "")*24*60, "")</f>
        <v/>
      </c>
      <c r="P8191" s="24" t="str" cm="1">
        <f t="array" ref="P8191">IFERROR(IF($B8191=P$1, ($A8191+$C8191) - MAX(IF($B$2:$B8190=$B8191, $A$2:$A8190+$C$2:$C8190)), "")*24*60, "")</f>
        <v/>
      </c>
      <c r="Q8191" s="24" t="str" cm="1">
        <f t="array" ref="Q8191">IFERROR(IF($B8191=Q$1, ($A8191+$C8191) - MAX(IF($B$2:$B8190=$B8191, $A$2:$A8190+$C$2:$C8190)), "")*24*60, "")</f>
        <v/>
      </c>
      <c r="R8191" s="24" t="str" cm="1">
        <f t="array" ref="R8191">IFERROR(IF($B8191=R$1, ($A8191+$C8191) - MAX(IF($B$2:$B8190=$B8191, $A$2:$A8190+$C$2:$C8190)), "")*24*60, "")</f>
        <v/>
      </c>
      <c r="S8191" s="24" t="str" cm="1">
        <f t="array" ref="S8191">IFERROR(IF($B8191=S$1, ($A8191+$C8191) - MAX(IF($B$2:$B8190=$B8191, $A$2:$A8190+$C$2:$C8190)), "")*24*60, "")</f>
        <v/>
      </c>
    </row>
    <row r="8192" spans="1:19" x14ac:dyDescent="0.2">
      <c r="A8192" s="12">
        <f t="shared" ref="A8192:C8192" si="1687">A8191</f>
        <v>46021</v>
      </c>
      <c r="B8192" s="5" t="str">
        <f t="shared" si="1687"/>
        <v>Northern Cardinal</v>
      </c>
      <c r="C8192" s="6">
        <f t="shared" si="1687"/>
        <v>0.7319444444444444</v>
      </c>
      <c r="D8192" s="5"/>
      <c r="E8192" s="5"/>
      <c r="F8192" s="5" t="s">
        <v>9</v>
      </c>
      <c r="G8192" s="15" t="s">
        <v>8</v>
      </c>
      <c r="H8192" s="24">
        <f t="shared" si="1655"/>
        <v>0</v>
      </c>
      <c r="I8192" s="24" cm="1">
        <f t="array" ref="I8192">IFERROR(IF($B8192=I$1, ($A8192+$C8192) - MAX(IF($B$2:$B8191=$B8192, $A$2:$A8191+$C$2:$C8191)), "")*24*60, "")</f>
        <v>0</v>
      </c>
      <c r="J8192" s="24" t="str" cm="1">
        <f t="array" ref="J8192">IFERROR(IF($B8192=J$1, ($A8192+$C8192) - MAX(IF($B$2:$B8191=$B8192, $A$2:$A8191+$C$2:$C8191)), "")*24*60, "")</f>
        <v/>
      </c>
      <c r="K8192" s="24" t="str" cm="1">
        <f t="array" ref="K8192">IFERROR(IF($B8192=K$1, ($A8192+$C8192) - MAX(IF($B$2:$B8191=$B8192, $A$2:$A8191+$C$2:$C8191)), "")*24*60, "")</f>
        <v/>
      </c>
      <c r="L8192" s="24" t="str" cm="1">
        <f t="array" ref="L8192">IFERROR(IF($B8192=L$1, ($A8192+$C8192) - MAX(IF($B$2:$B8191=$B8192, $A$2:$A8191+$C$2:$C8191)), "")*24*60, "")</f>
        <v/>
      </c>
      <c r="M8192" s="24" t="str" cm="1">
        <f t="array" ref="M8192">IFERROR(IF($B8192=M$1, ($A8192+$C8192) - MAX(IF($B$2:$B8191=$B8192, $A$2:$A8191+$C$2:$C8191)), "")*24*60, "")</f>
        <v/>
      </c>
      <c r="N8192" s="24" t="str" cm="1">
        <f t="array" ref="N8192">IFERROR(IF($B8192=N$1, ($A8192+$C8192) - MAX(IF($B$2:$B8191=$B8192, $A$2:$A8191+$C$2:$C8191)), "")*24*60, "")</f>
        <v/>
      </c>
      <c r="O8192" s="24" t="str" cm="1">
        <f t="array" ref="O8192">IFERROR(IF($B8192=O$1, ($A8192+$C8192) - MAX(IF($B$2:$B8191=$B8192, $A$2:$A8191+$C$2:$C8191)), "")*24*60, "")</f>
        <v/>
      </c>
      <c r="P8192" s="24" t="str" cm="1">
        <f t="array" ref="P8192">IFERROR(IF($B8192=P$1, ($A8192+$C8192) - MAX(IF($B$2:$B8191=$B8192, $A$2:$A8191+$C$2:$C8191)), "")*24*60, "")</f>
        <v/>
      </c>
      <c r="Q8192" s="24" t="str" cm="1">
        <f t="array" ref="Q8192">IFERROR(IF($B8192=Q$1, ($A8192+$C8192) - MAX(IF($B$2:$B8191=$B8192, $A$2:$A8191+$C$2:$C8191)), "")*24*60, "")</f>
        <v/>
      </c>
      <c r="R8192" s="24" t="str" cm="1">
        <f t="array" ref="R8192">IFERROR(IF($B8192=R$1, ($A8192+$C8192) - MAX(IF($B$2:$B8191=$B8192, $A$2:$A8191+$C$2:$C8191)), "")*24*60, "")</f>
        <v/>
      </c>
      <c r="S8192" s="24" t="str" cm="1">
        <f t="array" ref="S8192">IFERROR(IF($B8192=S$1, ($A8192+$C8192) - MAX(IF($B$2:$B8191=$B8192, $A$2:$A8191+$C$2:$C8191)), "")*24*60, "")</f>
        <v/>
      </c>
    </row>
    <row r="8193" spans="1:19" x14ac:dyDescent="0.2">
      <c r="A8193" s="12">
        <f t="shared" ref="A8193:C8193" si="1688">A8192</f>
        <v>46021</v>
      </c>
      <c r="B8193" s="5" t="str">
        <f t="shared" si="1688"/>
        <v>Northern Cardinal</v>
      </c>
      <c r="C8193" s="6">
        <f t="shared" si="1688"/>
        <v>0.7319444444444444</v>
      </c>
      <c r="D8193" s="5"/>
      <c r="E8193" s="5"/>
      <c r="F8193" s="5" t="s">
        <v>9</v>
      </c>
      <c r="G8193" s="15" t="s">
        <v>8</v>
      </c>
      <c r="H8193" s="24">
        <f t="shared" si="1655"/>
        <v>0</v>
      </c>
      <c r="I8193" s="24" cm="1">
        <f t="array" ref="I8193">IFERROR(IF($B8193=I$1, ($A8193+$C8193) - MAX(IF($B$2:$B8192=$B8193, $A$2:$A8192+$C$2:$C8192)), "")*24*60, "")</f>
        <v>0</v>
      </c>
      <c r="J8193" s="24" t="str" cm="1">
        <f t="array" ref="J8193">IFERROR(IF($B8193=J$1, ($A8193+$C8193) - MAX(IF($B$2:$B8192=$B8193, $A$2:$A8192+$C$2:$C8192)), "")*24*60, "")</f>
        <v/>
      </c>
      <c r="K8193" s="24" t="str" cm="1">
        <f t="array" ref="K8193">IFERROR(IF($B8193=K$1, ($A8193+$C8193) - MAX(IF($B$2:$B8192=$B8193, $A$2:$A8192+$C$2:$C8192)), "")*24*60, "")</f>
        <v/>
      </c>
      <c r="L8193" s="24" t="str" cm="1">
        <f t="array" ref="L8193">IFERROR(IF($B8193=L$1, ($A8193+$C8193) - MAX(IF($B$2:$B8192=$B8193, $A$2:$A8192+$C$2:$C8192)), "")*24*60, "")</f>
        <v/>
      </c>
      <c r="M8193" s="24" t="str" cm="1">
        <f t="array" ref="M8193">IFERROR(IF($B8193=M$1, ($A8193+$C8193) - MAX(IF($B$2:$B8192=$B8193, $A$2:$A8192+$C$2:$C8192)), "")*24*60, "")</f>
        <v/>
      </c>
      <c r="N8193" s="24" t="str" cm="1">
        <f t="array" ref="N8193">IFERROR(IF($B8193=N$1, ($A8193+$C8193) - MAX(IF($B$2:$B8192=$B8193, $A$2:$A8192+$C$2:$C8192)), "")*24*60, "")</f>
        <v/>
      </c>
      <c r="O8193" s="24" t="str" cm="1">
        <f t="array" ref="O8193">IFERROR(IF($B8193=O$1, ($A8193+$C8193) - MAX(IF($B$2:$B8192=$B8193, $A$2:$A8192+$C$2:$C8192)), "")*24*60, "")</f>
        <v/>
      </c>
      <c r="P8193" s="24" t="str" cm="1">
        <f t="array" ref="P8193">IFERROR(IF($B8193=P$1, ($A8193+$C8193) - MAX(IF($B$2:$B8192=$B8193, $A$2:$A8192+$C$2:$C8192)), "")*24*60, "")</f>
        <v/>
      </c>
      <c r="Q8193" s="24" t="str" cm="1">
        <f t="array" ref="Q8193">IFERROR(IF($B8193=Q$1, ($A8193+$C8193) - MAX(IF($B$2:$B8192=$B8193, $A$2:$A8192+$C$2:$C8192)), "")*24*60, "")</f>
        <v/>
      </c>
      <c r="R8193" s="24" t="str" cm="1">
        <f t="array" ref="R8193">IFERROR(IF($B8193=R$1, ($A8193+$C8193) - MAX(IF($B$2:$B8192=$B8193, $A$2:$A8192+$C$2:$C8192)), "")*24*60, "")</f>
        <v/>
      </c>
      <c r="S8193" s="24" t="str" cm="1">
        <f t="array" ref="S8193">IFERROR(IF($B8193=S$1, ($A8193+$C8193) - MAX(IF($B$2:$B8192=$B8193, $A$2:$A8192+$C$2:$C8192)), "")*24*60, "")</f>
        <v/>
      </c>
    </row>
    <row r="8194" spans="1:19" x14ac:dyDescent="0.2">
      <c r="A8194" s="12">
        <f t="shared" ref="A8194:C8194" si="1689">A8193</f>
        <v>46021</v>
      </c>
      <c r="B8194" s="5" t="str">
        <f t="shared" si="1689"/>
        <v>Northern Cardinal</v>
      </c>
      <c r="C8194" s="6">
        <f t="shared" si="1689"/>
        <v>0.7319444444444444</v>
      </c>
      <c r="D8194" s="5"/>
      <c r="E8194" s="5"/>
      <c r="F8194" s="5" t="s">
        <v>9</v>
      </c>
      <c r="G8194" s="15" t="s">
        <v>8</v>
      </c>
      <c r="H8194" s="24">
        <f t="shared" si="1655"/>
        <v>0</v>
      </c>
      <c r="I8194" s="24" cm="1">
        <f t="array" ref="I8194">IFERROR(IF($B8194=I$1, ($A8194+$C8194) - MAX(IF($B$2:$B8193=$B8194, $A$2:$A8193+$C$2:$C8193)), "")*24*60, "")</f>
        <v>0</v>
      </c>
      <c r="J8194" s="24" t="str" cm="1">
        <f t="array" ref="J8194">IFERROR(IF($B8194=J$1, ($A8194+$C8194) - MAX(IF($B$2:$B8193=$B8194, $A$2:$A8193+$C$2:$C8193)), "")*24*60, "")</f>
        <v/>
      </c>
      <c r="K8194" s="24" t="str" cm="1">
        <f t="array" ref="K8194">IFERROR(IF($B8194=K$1, ($A8194+$C8194) - MAX(IF($B$2:$B8193=$B8194, $A$2:$A8193+$C$2:$C8193)), "")*24*60, "")</f>
        <v/>
      </c>
      <c r="L8194" s="24" t="str" cm="1">
        <f t="array" ref="L8194">IFERROR(IF($B8194=L$1, ($A8194+$C8194) - MAX(IF($B$2:$B8193=$B8194, $A$2:$A8193+$C$2:$C8193)), "")*24*60, "")</f>
        <v/>
      </c>
      <c r="M8194" s="24" t="str" cm="1">
        <f t="array" ref="M8194">IFERROR(IF($B8194=M$1, ($A8194+$C8194) - MAX(IF($B$2:$B8193=$B8194, $A$2:$A8193+$C$2:$C8193)), "")*24*60, "")</f>
        <v/>
      </c>
      <c r="N8194" s="24" t="str" cm="1">
        <f t="array" ref="N8194">IFERROR(IF($B8194=N$1, ($A8194+$C8194) - MAX(IF($B$2:$B8193=$B8194, $A$2:$A8193+$C$2:$C8193)), "")*24*60, "")</f>
        <v/>
      </c>
      <c r="O8194" s="24" t="str" cm="1">
        <f t="array" ref="O8194">IFERROR(IF($B8194=O$1, ($A8194+$C8194) - MAX(IF($B$2:$B8193=$B8194, $A$2:$A8193+$C$2:$C8193)), "")*24*60, "")</f>
        <v/>
      </c>
      <c r="P8194" s="24" t="str" cm="1">
        <f t="array" ref="P8194">IFERROR(IF($B8194=P$1, ($A8194+$C8194) - MAX(IF($B$2:$B8193=$B8194, $A$2:$A8193+$C$2:$C8193)), "")*24*60, "")</f>
        <v/>
      </c>
      <c r="Q8194" s="24" t="str" cm="1">
        <f t="array" ref="Q8194">IFERROR(IF($B8194=Q$1, ($A8194+$C8194) - MAX(IF($B$2:$B8193=$B8194, $A$2:$A8193+$C$2:$C8193)), "")*24*60, "")</f>
        <v/>
      </c>
      <c r="R8194" s="24" t="str" cm="1">
        <f t="array" ref="R8194">IFERROR(IF($B8194=R$1, ($A8194+$C8194) - MAX(IF($B$2:$B8193=$B8194, $A$2:$A8193+$C$2:$C8193)), "")*24*60, "")</f>
        <v/>
      </c>
      <c r="S8194" s="24" t="str" cm="1">
        <f t="array" ref="S8194">IFERROR(IF($B8194=S$1, ($A8194+$C8194) - MAX(IF($B$2:$B8193=$B8194, $A$2:$A8193+$C$2:$C8193)), "")*24*60, "")</f>
        <v/>
      </c>
    </row>
    <row r="8195" spans="1:19" x14ac:dyDescent="0.2">
      <c r="A8195" s="12">
        <f t="shared" ref="A8195:C8195" si="1690">A8194</f>
        <v>46021</v>
      </c>
      <c r="B8195" s="5" t="str">
        <f t="shared" si="1690"/>
        <v>Northern Cardinal</v>
      </c>
      <c r="C8195" s="6">
        <f t="shared" si="1690"/>
        <v>0.7319444444444444</v>
      </c>
      <c r="D8195" s="5"/>
      <c r="E8195" s="5"/>
      <c r="F8195" s="5" t="s">
        <v>9</v>
      </c>
      <c r="G8195" s="15" t="s">
        <v>8</v>
      </c>
      <c r="H8195" s="24">
        <f t="shared" si="1655"/>
        <v>0</v>
      </c>
      <c r="I8195" s="24" cm="1">
        <f t="array" ref="I8195">IFERROR(IF($B8195=I$1, ($A8195+$C8195) - MAX(IF($B$2:$B8194=$B8195, $A$2:$A8194+$C$2:$C8194)), "")*24*60, "")</f>
        <v>0</v>
      </c>
      <c r="J8195" s="24" t="str" cm="1">
        <f t="array" ref="J8195">IFERROR(IF($B8195=J$1, ($A8195+$C8195) - MAX(IF($B$2:$B8194=$B8195, $A$2:$A8194+$C$2:$C8194)), "")*24*60, "")</f>
        <v/>
      </c>
      <c r="K8195" s="24" t="str" cm="1">
        <f t="array" ref="K8195">IFERROR(IF($B8195=K$1, ($A8195+$C8195) - MAX(IF($B$2:$B8194=$B8195, $A$2:$A8194+$C$2:$C8194)), "")*24*60, "")</f>
        <v/>
      </c>
      <c r="L8195" s="24" t="str" cm="1">
        <f t="array" ref="L8195">IFERROR(IF($B8195=L$1, ($A8195+$C8195) - MAX(IF($B$2:$B8194=$B8195, $A$2:$A8194+$C$2:$C8194)), "")*24*60, "")</f>
        <v/>
      </c>
      <c r="M8195" s="24" t="str" cm="1">
        <f t="array" ref="M8195">IFERROR(IF($B8195=M$1, ($A8195+$C8195) - MAX(IF($B$2:$B8194=$B8195, $A$2:$A8194+$C$2:$C8194)), "")*24*60, "")</f>
        <v/>
      </c>
      <c r="N8195" s="24" t="str" cm="1">
        <f t="array" ref="N8195">IFERROR(IF($B8195=N$1, ($A8195+$C8195) - MAX(IF($B$2:$B8194=$B8195, $A$2:$A8194+$C$2:$C8194)), "")*24*60, "")</f>
        <v/>
      </c>
      <c r="O8195" s="24" t="str" cm="1">
        <f t="array" ref="O8195">IFERROR(IF($B8195=O$1, ($A8195+$C8195) - MAX(IF($B$2:$B8194=$B8195, $A$2:$A8194+$C$2:$C8194)), "")*24*60, "")</f>
        <v/>
      </c>
      <c r="P8195" s="24" t="str" cm="1">
        <f t="array" ref="P8195">IFERROR(IF($B8195=P$1, ($A8195+$C8195) - MAX(IF($B$2:$B8194=$B8195, $A$2:$A8194+$C$2:$C8194)), "")*24*60, "")</f>
        <v/>
      </c>
      <c r="Q8195" s="24" t="str" cm="1">
        <f t="array" ref="Q8195">IFERROR(IF($B8195=Q$1, ($A8195+$C8195) - MAX(IF($B$2:$B8194=$B8195, $A$2:$A8194+$C$2:$C8194)), "")*24*60, "")</f>
        <v/>
      </c>
      <c r="R8195" s="24" t="str" cm="1">
        <f t="array" ref="R8195">IFERROR(IF($B8195=R$1, ($A8195+$C8195) - MAX(IF($B$2:$B8194=$B8195, $A$2:$A8194+$C$2:$C8194)), "")*24*60, "")</f>
        <v/>
      </c>
      <c r="S8195" s="24" t="str" cm="1">
        <f t="array" ref="S8195">IFERROR(IF($B8195=S$1, ($A8195+$C8195) - MAX(IF($B$2:$B8194=$B8195, $A$2:$A8194+$C$2:$C8194)), "")*24*60, "")</f>
        <v/>
      </c>
    </row>
    <row r="8196" spans="1:19" x14ac:dyDescent="0.2">
      <c r="A8196" s="12">
        <f t="shared" ref="A8196:C8196" si="1691">A8195</f>
        <v>46021</v>
      </c>
      <c r="B8196" s="5" t="str">
        <f t="shared" si="1691"/>
        <v>Northern Cardinal</v>
      </c>
      <c r="C8196" s="6">
        <f t="shared" si="1691"/>
        <v>0.7319444444444444</v>
      </c>
      <c r="D8196" s="5"/>
      <c r="E8196" s="5"/>
      <c r="F8196" s="5" t="s">
        <v>9</v>
      </c>
      <c r="G8196" s="15" t="s">
        <v>8</v>
      </c>
      <c r="H8196" s="24">
        <f t="shared" si="1655"/>
        <v>0</v>
      </c>
      <c r="I8196" s="24" cm="1">
        <f t="array" ref="I8196">IFERROR(IF($B8196=I$1, ($A8196+$C8196) - MAX(IF($B$2:$B8195=$B8196, $A$2:$A8195+$C$2:$C8195)), "")*24*60, "")</f>
        <v>0</v>
      </c>
      <c r="J8196" s="24" t="str" cm="1">
        <f t="array" ref="J8196">IFERROR(IF($B8196=J$1, ($A8196+$C8196) - MAX(IF($B$2:$B8195=$B8196, $A$2:$A8195+$C$2:$C8195)), "")*24*60, "")</f>
        <v/>
      </c>
      <c r="K8196" s="24" t="str" cm="1">
        <f t="array" ref="K8196">IFERROR(IF($B8196=K$1, ($A8196+$C8196) - MAX(IF($B$2:$B8195=$B8196, $A$2:$A8195+$C$2:$C8195)), "")*24*60, "")</f>
        <v/>
      </c>
      <c r="L8196" s="24" t="str" cm="1">
        <f t="array" ref="L8196">IFERROR(IF($B8196=L$1, ($A8196+$C8196) - MAX(IF($B$2:$B8195=$B8196, $A$2:$A8195+$C$2:$C8195)), "")*24*60, "")</f>
        <v/>
      </c>
      <c r="M8196" s="24" t="str" cm="1">
        <f t="array" ref="M8196">IFERROR(IF($B8196=M$1, ($A8196+$C8196) - MAX(IF($B$2:$B8195=$B8196, $A$2:$A8195+$C$2:$C8195)), "")*24*60, "")</f>
        <v/>
      </c>
      <c r="N8196" s="24" t="str" cm="1">
        <f t="array" ref="N8196">IFERROR(IF($B8196=N$1, ($A8196+$C8196) - MAX(IF($B$2:$B8195=$B8196, $A$2:$A8195+$C$2:$C8195)), "")*24*60, "")</f>
        <v/>
      </c>
      <c r="O8196" s="24" t="str" cm="1">
        <f t="array" ref="O8196">IFERROR(IF($B8196=O$1, ($A8196+$C8196) - MAX(IF($B$2:$B8195=$B8196, $A$2:$A8195+$C$2:$C8195)), "")*24*60, "")</f>
        <v/>
      </c>
      <c r="P8196" s="24" t="str" cm="1">
        <f t="array" ref="P8196">IFERROR(IF($B8196=P$1, ($A8196+$C8196) - MAX(IF($B$2:$B8195=$B8196, $A$2:$A8195+$C$2:$C8195)), "")*24*60, "")</f>
        <v/>
      </c>
      <c r="Q8196" s="24" t="str" cm="1">
        <f t="array" ref="Q8196">IFERROR(IF($B8196=Q$1, ($A8196+$C8196) - MAX(IF($B$2:$B8195=$B8196, $A$2:$A8195+$C$2:$C8195)), "")*24*60, "")</f>
        <v/>
      </c>
      <c r="R8196" s="24" t="str" cm="1">
        <f t="array" ref="R8196">IFERROR(IF($B8196=R$1, ($A8196+$C8196) - MAX(IF($B$2:$B8195=$B8196, $A$2:$A8195+$C$2:$C8195)), "")*24*60, "")</f>
        <v/>
      </c>
      <c r="S8196" s="24" t="str" cm="1">
        <f t="array" ref="S8196">IFERROR(IF($B8196=S$1, ($A8196+$C8196) - MAX(IF($B$2:$B8195=$B8196, $A$2:$A8195+$C$2:$C8195)), "")*24*60, "")</f>
        <v/>
      </c>
    </row>
    <row r="8197" spans="1:19" x14ac:dyDescent="0.2">
      <c r="A8197" s="12">
        <f t="shared" ref="A8197:C8197" si="1692">A8196</f>
        <v>46021</v>
      </c>
      <c r="B8197" s="5" t="str">
        <f t="shared" si="1692"/>
        <v>Northern Cardinal</v>
      </c>
      <c r="C8197" s="6">
        <f t="shared" si="1692"/>
        <v>0.7319444444444444</v>
      </c>
      <c r="D8197" s="5"/>
      <c r="E8197" s="5"/>
      <c r="F8197" s="5" t="s">
        <v>9</v>
      </c>
      <c r="G8197" s="15" t="s">
        <v>8</v>
      </c>
      <c r="H8197" s="24">
        <f t="shared" si="1655"/>
        <v>0</v>
      </c>
      <c r="I8197" s="24" cm="1">
        <f t="array" ref="I8197">IFERROR(IF($B8197=I$1, ($A8197+$C8197) - MAX(IF($B$2:$B8196=$B8197, $A$2:$A8196+$C$2:$C8196)), "")*24*60, "")</f>
        <v>0</v>
      </c>
      <c r="J8197" s="24" t="str" cm="1">
        <f t="array" ref="J8197">IFERROR(IF($B8197=J$1, ($A8197+$C8197) - MAX(IF($B$2:$B8196=$B8197, $A$2:$A8196+$C$2:$C8196)), "")*24*60, "")</f>
        <v/>
      </c>
      <c r="K8197" s="24" t="str" cm="1">
        <f t="array" ref="K8197">IFERROR(IF($B8197=K$1, ($A8197+$C8197) - MAX(IF($B$2:$B8196=$B8197, $A$2:$A8196+$C$2:$C8196)), "")*24*60, "")</f>
        <v/>
      </c>
      <c r="L8197" s="24" t="str" cm="1">
        <f t="array" ref="L8197">IFERROR(IF($B8197=L$1, ($A8197+$C8197) - MAX(IF($B$2:$B8196=$B8197, $A$2:$A8196+$C$2:$C8196)), "")*24*60, "")</f>
        <v/>
      </c>
      <c r="M8197" s="24" t="str" cm="1">
        <f t="array" ref="M8197">IFERROR(IF($B8197=M$1, ($A8197+$C8197) - MAX(IF($B$2:$B8196=$B8197, $A$2:$A8196+$C$2:$C8196)), "")*24*60, "")</f>
        <v/>
      </c>
      <c r="N8197" s="24" t="str" cm="1">
        <f t="array" ref="N8197">IFERROR(IF($B8197=N$1, ($A8197+$C8197) - MAX(IF($B$2:$B8196=$B8197, $A$2:$A8196+$C$2:$C8196)), "")*24*60, "")</f>
        <v/>
      </c>
      <c r="O8197" s="24" t="str" cm="1">
        <f t="array" ref="O8197">IFERROR(IF($B8197=O$1, ($A8197+$C8197) - MAX(IF($B$2:$B8196=$B8197, $A$2:$A8196+$C$2:$C8196)), "")*24*60, "")</f>
        <v/>
      </c>
      <c r="P8197" s="24" t="str" cm="1">
        <f t="array" ref="P8197">IFERROR(IF($B8197=P$1, ($A8197+$C8197) - MAX(IF($B$2:$B8196=$B8197, $A$2:$A8196+$C$2:$C8196)), "")*24*60, "")</f>
        <v/>
      </c>
      <c r="Q8197" s="24" t="str" cm="1">
        <f t="array" ref="Q8197">IFERROR(IF($B8197=Q$1, ($A8197+$C8197) - MAX(IF($B$2:$B8196=$B8197, $A$2:$A8196+$C$2:$C8196)), "")*24*60, "")</f>
        <v/>
      </c>
      <c r="R8197" s="24" t="str" cm="1">
        <f t="array" ref="R8197">IFERROR(IF($B8197=R$1, ($A8197+$C8197) - MAX(IF($B$2:$B8196=$B8197, $A$2:$A8196+$C$2:$C8196)), "")*24*60, "")</f>
        <v/>
      </c>
      <c r="S8197" s="24" t="str" cm="1">
        <f t="array" ref="S8197">IFERROR(IF($B8197=S$1, ($A8197+$C8197) - MAX(IF($B$2:$B8196=$B8197, $A$2:$A8196+$C$2:$C8196)), "")*24*60, "")</f>
        <v/>
      </c>
    </row>
    <row r="8198" spans="1:19" x14ac:dyDescent="0.2">
      <c r="A8198" s="12">
        <f t="shared" ref="A8198:C8198" si="1693">A8197</f>
        <v>46021</v>
      </c>
      <c r="B8198" s="5" t="str">
        <f t="shared" si="1693"/>
        <v>Northern Cardinal</v>
      </c>
      <c r="C8198" s="6">
        <f t="shared" si="1693"/>
        <v>0.7319444444444444</v>
      </c>
      <c r="D8198" s="5"/>
      <c r="E8198" s="5"/>
      <c r="F8198" s="5" t="s">
        <v>9</v>
      </c>
      <c r="G8198" s="15" t="s">
        <v>8</v>
      </c>
      <c r="H8198" s="24">
        <f t="shared" si="1655"/>
        <v>0</v>
      </c>
      <c r="I8198" s="24" cm="1">
        <f t="array" ref="I8198">IFERROR(IF($B8198=I$1, ($A8198+$C8198) - MAX(IF($B$2:$B8197=$B8198, $A$2:$A8197+$C$2:$C8197)), "")*24*60, "")</f>
        <v>0</v>
      </c>
      <c r="J8198" s="24" t="str" cm="1">
        <f t="array" ref="J8198">IFERROR(IF($B8198=J$1, ($A8198+$C8198) - MAX(IF($B$2:$B8197=$B8198, $A$2:$A8197+$C$2:$C8197)), "")*24*60, "")</f>
        <v/>
      </c>
      <c r="K8198" s="24" t="str" cm="1">
        <f t="array" ref="K8198">IFERROR(IF($B8198=K$1, ($A8198+$C8198) - MAX(IF($B$2:$B8197=$B8198, $A$2:$A8197+$C$2:$C8197)), "")*24*60, "")</f>
        <v/>
      </c>
      <c r="L8198" s="24" t="str" cm="1">
        <f t="array" ref="L8198">IFERROR(IF($B8198=L$1, ($A8198+$C8198) - MAX(IF($B$2:$B8197=$B8198, $A$2:$A8197+$C$2:$C8197)), "")*24*60, "")</f>
        <v/>
      </c>
      <c r="M8198" s="24" t="str" cm="1">
        <f t="array" ref="M8198">IFERROR(IF($B8198=M$1, ($A8198+$C8198) - MAX(IF($B$2:$B8197=$B8198, $A$2:$A8197+$C$2:$C8197)), "")*24*60, "")</f>
        <v/>
      </c>
      <c r="N8198" s="24" t="str" cm="1">
        <f t="array" ref="N8198">IFERROR(IF($B8198=N$1, ($A8198+$C8198) - MAX(IF($B$2:$B8197=$B8198, $A$2:$A8197+$C$2:$C8197)), "")*24*60, "")</f>
        <v/>
      </c>
      <c r="O8198" s="24" t="str" cm="1">
        <f t="array" ref="O8198">IFERROR(IF($B8198=O$1, ($A8198+$C8198) - MAX(IF($B$2:$B8197=$B8198, $A$2:$A8197+$C$2:$C8197)), "")*24*60, "")</f>
        <v/>
      </c>
      <c r="P8198" s="24" t="str" cm="1">
        <f t="array" ref="P8198">IFERROR(IF($B8198=P$1, ($A8198+$C8198) - MAX(IF($B$2:$B8197=$B8198, $A$2:$A8197+$C$2:$C8197)), "")*24*60, "")</f>
        <v/>
      </c>
      <c r="Q8198" s="24" t="str" cm="1">
        <f t="array" ref="Q8198">IFERROR(IF($B8198=Q$1, ($A8198+$C8198) - MAX(IF($B$2:$B8197=$B8198, $A$2:$A8197+$C$2:$C8197)), "")*24*60, "")</f>
        <v/>
      </c>
      <c r="R8198" s="24" t="str" cm="1">
        <f t="array" ref="R8198">IFERROR(IF($B8198=R$1, ($A8198+$C8198) - MAX(IF($B$2:$B8197=$B8198, $A$2:$A8197+$C$2:$C8197)), "")*24*60, "")</f>
        <v/>
      </c>
      <c r="S8198" s="24" t="str" cm="1">
        <f t="array" ref="S8198">IFERROR(IF($B8198=S$1, ($A8198+$C8198) - MAX(IF($B$2:$B8197=$B8198, $A$2:$A8197+$C$2:$C8197)), "")*24*60, "")</f>
        <v/>
      </c>
    </row>
    <row r="8199" spans="1:19" x14ac:dyDescent="0.2">
      <c r="A8199" s="12">
        <f t="shared" ref="A8199:C8199" si="1694">A8198</f>
        <v>46021</v>
      </c>
      <c r="B8199" s="5" t="str">
        <f t="shared" si="1694"/>
        <v>Northern Cardinal</v>
      </c>
      <c r="C8199" s="6">
        <f t="shared" si="1694"/>
        <v>0.7319444444444444</v>
      </c>
      <c r="D8199" s="5"/>
      <c r="E8199" s="5"/>
      <c r="F8199" s="5" t="s">
        <v>9</v>
      </c>
      <c r="G8199" s="15" t="s">
        <v>8</v>
      </c>
      <c r="H8199" s="24">
        <f t="shared" si="1655"/>
        <v>0</v>
      </c>
      <c r="I8199" s="24" cm="1">
        <f t="array" ref="I8199">IFERROR(IF($B8199=I$1, ($A8199+$C8199) - MAX(IF($B$2:$B8198=$B8199, $A$2:$A8198+$C$2:$C8198)), "")*24*60, "")</f>
        <v>0</v>
      </c>
      <c r="J8199" s="24" t="str" cm="1">
        <f t="array" ref="J8199">IFERROR(IF($B8199=J$1, ($A8199+$C8199) - MAX(IF($B$2:$B8198=$B8199, $A$2:$A8198+$C$2:$C8198)), "")*24*60, "")</f>
        <v/>
      </c>
      <c r="K8199" s="24" t="str" cm="1">
        <f t="array" ref="K8199">IFERROR(IF($B8199=K$1, ($A8199+$C8199) - MAX(IF($B$2:$B8198=$B8199, $A$2:$A8198+$C$2:$C8198)), "")*24*60, "")</f>
        <v/>
      </c>
      <c r="L8199" s="24" t="str" cm="1">
        <f t="array" ref="L8199">IFERROR(IF($B8199=L$1, ($A8199+$C8199) - MAX(IF($B$2:$B8198=$B8199, $A$2:$A8198+$C$2:$C8198)), "")*24*60, "")</f>
        <v/>
      </c>
      <c r="M8199" s="24" t="str" cm="1">
        <f t="array" ref="M8199">IFERROR(IF($B8199=M$1, ($A8199+$C8199) - MAX(IF($B$2:$B8198=$B8199, $A$2:$A8198+$C$2:$C8198)), "")*24*60, "")</f>
        <v/>
      </c>
      <c r="N8199" s="24" t="str" cm="1">
        <f t="array" ref="N8199">IFERROR(IF($B8199=N$1, ($A8199+$C8199) - MAX(IF($B$2:$B8198=$B8199, $A$2:$A8198+$C$2:$C8198)), "")*24*60, "")</f>
        <v/>
      </c>
      <c r="O8199" s="24" t="str" cm="1">
        <f t="array" ref="O8199">IFERROR(IF($B8199=O$1, ($A8199+$C8199) - MAX(IF($B$2:$B8198=$B8199, $A$2:$A8198+$C$2:$C8198)), "")*24*60, "")</f>
        <v/>
      </c>
      <c r="P8199" s="24" t="str" cm="1">
        <f t="array" ref="P8199">IFERROR(IF($B8199=P$1, ($A8199+$C8199) - MAX(IF($B$2:$B8198=$B8199, $A$2:$A8198+$C$2:$C8198)), "")*24*60, "")</f>
        <v/>
      </c>
      <c r="Q8199" s="24" t="str" cm="1">
        <f t="array" ref="Q8199">IFERROR(IF($B8199=Q$1, ($A8199+$C8199) - MAX(IF($B$2:$B8198=$B8199, $A$2:$A8198+$C$2:$C8198)), "")*24*60, "")</f>
        <v/>
      </c>
      <c r="R8199" s="24" t="str" cm="1">
        <f t="array" ref="R8199">IFERROR(IF($B8199=R$1, ($A8199+$C8199) - MAX(IF($B$2:$B8198=$B8199, $A$2:$A8198+$C$2:$C8198)), "")*24*60, "")</f>
        <v/>
      </c>
      <c r="S8199" s="24" t="str" cm="1">
        <f t="array" ref="S8199">IFERROR(IF($B8199=S$1, ($A8199+$C8199) - MAX(IF($B$2:$B8198=$B8199, $A$2:$A8198+$C$2:$C8198)),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05"/>
  <sheetViews>
    <sheetView zoomScale="120" zoomScaleNormal="120" workbookViewId="0">
      <pane ySplit="1" topLeftCell="A297" activePane="bottomLeft" state="frozen"/>
      <selection pane="bottomLeft" activeCell="A306" sqref="A306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10">
        <v>46020</v>
      </c>
      <c r="B305" s="11" t="s">
        <v>16</v>
      </c>
      <c r="C305" s="11">
        <f>COUNTIFS(RawData!$B:$B, $B305, RawData!$A:$A, DailySummaries!$A305)</f>
        <v>1</v>
      </c>
      <c r="D305" s="11">
        <f>SUMIFS(RawData!$D:$D,RawData!$B:$B,$B305,RawData!$A:$A,DailySummaries!$A305)+1</f>
        <v>8</v>
      </c>
      <c r="E305" s="11">
        <f>SUMIFS(RawData!$E:$E,RawData!$B:$B,$B305,RawData!$A:$A,DailySummaries!$A305)+1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2025-12-30T11:56:04Z</dcterms:modified>
</cp:coreProperties>
</file>
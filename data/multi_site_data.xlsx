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2CD210C9-0E8B-9C44-801F-41DFF88103CB}" xr6:coauthVersionLast="47" xr6:coauthVersionMax="47" xr10:uidLastSave="{00000000-0000-0000-0000-000000000000}"/>
  <bookViews>
    <workbookView xWindow="0" yWindow="620" windowWidth="33600" windowHeight="1922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4" i="2" l="1"/>
  <c r="D254" i="2"/>
  <c r="C254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64" i="1" l="1"/>
  <c r="C6965" i="1" s="1"/>
  <c r="C6966" i="1" s="1"/>
  <c r="C6967" i="1" s="1"/>
  <c r="C6968" i="1" s="1"/>
  <c r="C6969" i="1" s="1"/>
  <c r="C6970" i="1" s="1"/>
  <c r="C6971" i="1" s="1"/>
  <c r="C6972" i="1" s="1"/>
  <c r="C6973" i="1" s="1"/>
  <c r="C6974" i="1" s="1"/>
  <c r="C6975" i="1" s="1"/>
  <c r="C6976" i="1" s="1"/>
  <c r="C6977" i="1" s="1"/>
  <c r="C6978" i="1" s="1"/>
  <c r="C6979" i="1" s="1"/>
  <c r="C6980" i="1" s="1"/>
  <c r="C6981" i="1" s="1"/>
  <c r="C6982" i="1" s="1"/>
  <c r="C6983" i="1" s="1"/>
  <c r="C6984" i="1" s="1"/>
  <c r="C6985" i="1" s="1"/>
  <c r="C6986" i="1" s="1"/>
  <c r="C6987" i="1" s="1"/>
  <c r="C6988" i="1" s="1"/>
  <c r="C6989" i="1" s="1"/>
  <c r="C6990" i="1" s="1"/>
  <c r="C6991" i="1" s="1"/>
  <c r="C6992" i="1" s="1"/>
  <c r="C6993" i="1" s="1"/>
  <c r="C6994" i="1" s="1"/>
  <c r="C6995" i="1" s="1"/>
  <c r="C6996" i="1" s="1"/>
  <c r="C6997" i="1" s="1"/>
  <c r="C6998" i="1" s="1"/>
  <c r="C6999" i="1" s="1"/>
  <c r="C7000" i="1" s="1"/>
  <c r="C7001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C240" i="2" l="1"/>
  <c r="H6963" i="1"/>
  <c r="K6963" i="1" a="1"/>
  <c r="K6963" i="1" s="1"/>
  <c r="L6963" i="1" a="1"/>
  <c r="L6963" i="1" s="1"/>
  <c r="B6964" i="1"/>
  <c r="E247" i="2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E233" i="2" l="1"/>
  <c r="C237" i="2"/>
  <c r="E246" i="2"/>
  <c r="E240" i="2"/>
  <c r="C232" i="2"/>
  <c r="E245" i="2"/>
  <c r="C243" i="2"/>
  <c r="E232" i="2"/>
  <c r="E236" i="2"/>
  <c r="C247" i="2"/>
  <c r="C250" i="2"/>
  <c r="E252" i="2"/>
  <c r="D250" i="2"/>
  <c r="E250" i="2"/>
  <c r="D253" i="2"/>
  <c r="C251" i="2"/>
  <c r="D251" i="2"/>
  <c r="E251" i="2"/>
  <c r="C253" i="2"/>
  <c r="C252" i="2"/>
  <c r="E253" i="2"/>
  <c r="D252" i="2"/>
  <c r="C233" i="2"/>
  <c r="E229" i="2"/>
  <c r="E243" i="2"/>
  <c r="E244" i="2"/>
  <c r="C244" i="2"/>
  <c r="E230" i="2"/>
  <c r="C227" i="2"/>
  <c r="C246" i="2"/>
  <c r="C231" i="2"/>
  <c r="E231" i="2"/>
  <c r="C230" i="2"/>
  <c r="B6965" i="1"/>
  <c r="P6964" i="1" a="1"/>
  <c r="P6964" i="1" s="1"/>
  <c r="M6964" i="1" a="1"/>
  <c r="M6964" i="1" s="1"/>
  <c r="N6964" i="1" a="1"/>
  <c r="N6964" i="1" s="1"/>
  <c r="I6964" i="1" a="1"/>
  <c r="I6964" i="1" s="1"/>
  <c r="O6964" i="1" a="1"/>
  <c r="O6964" i="1" s="1"/>
  <c r="J6964" i="1" a="1"/>
  <c r="J6964" i="1" s="1"/>
  <c r="Q6964" i="1" a="1"/>
  <c r="Q6964" i="1" s="1"/>
  <c r="R6964" i="1" a="1"/>
  <c r="R6964" i="1" s="1"/>
  <c r="S6964" i="1" a="1"/>
  <c r="S6964" i="1" s="1"/>
  <c r="K6964" i="1" a="1"/>
  <c r="K6964" i="1" s="1"/>
  <c r="L6964" i="1" a="1"/>
  <c r="L6964" i="1" s="1"/>
  <c r="H6964" i="1"/>
  <c r="A6965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E237" i="2" l="1"/>
  <c r="C236" i="2"/>
  <c r="C241" i="2"/>
  <c r="E227" i="2"/>
  <c r="E241" i="2"/>
  <c r="C229" i="2"/>
  <c r="C245" i="2"/>
  <c r="A6966" i="1"/>
  <c r="H6965" i="1"/>
  <c r="Q6965" i="1" a="1"/>
  <c r="Q6965" i="1" s="1"/>
  <c r="I6965" i="1" a="1"/>
  <c r="I6965" i="1" s="1"/>
  <c r="R6965" i="1" a="1"/>
  <c r="R6965" i="1" s="1"/>
  <c r="M6965" i="1" a="1"/>
  <c r="M6965" i="1" s="1"/>
  <c r="S6965" i="1" a="1"/>
  <c r="S6965" i="1" s="1"/>
  <c r="N6965" i="1" a="1"/>
  <c r="N6965" i="1" s="1"/>
  <c r="B6966" i="1"/>
  <c r="O6965" i="1" a="1"/>
  <c r="O6965" i="1" s="1"/>
  <c r="J6965" i="1" a="1"/>
  <c r="J6965" i="1" s="1"/>
  <c r="P6965" i="1" a="1"/>
  <c r="P6965" i="1" s="1"/>
  <c r="K6965" i="1" a="1"/>
  <c r="K6965" i="1" s="1"/>
  <c r="L6965" i="1" a="1"/>
  <c r="L696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B6967" i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B6968" i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B6972" i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6975" i="1" l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B6975" i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B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B6978" i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A6982" i="1"/>
  <c r="K6981" i="1" a="1"/>
  <c r="K6981" i="1" s="1"/>
  <c r="P6981" i="1" a="1"/>
  <c r="P6981" i="1" s="1"/>
  <c r="B6982" i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L6982" i="1" l="1" a="1"/>
  <c r="L6982" i="1" s="1"/>
  <c r="Q6982" i="1" a="1"/>
  <c r="Q6982" i="1" s="1"/>
  <c r="M6982" i="1" a="1"/>
  <c r="M6982" i="1" s="1"/>
  <c r="I6982" i="1" a="1"/>
  <c r="I6982" i="1" s="1"/>
  <c r="R6982" i="1" a="1"/>
  <c r="R6982" i="1" s="1"/>
  <c r="N6982" i="1" a="1"/>
  <c r="N6982" i="1" s="1"/>
  <c r="S6982" i="1" a="1"/>
  <c r="S6982" i="1" s="1"/>
  <c r="O6982" i="1" a="1"/>
  <c r="O6982" i="1" s="1"/>
  <c r="P6982" i="1" a="1"/>
  <c r="P6982" i="1" s="1"/>
  <c r="B6983" i="1"/>
  <c r="J6982" i="1" a="1"/>
  <c r="J6982" i="1" s="1"/>
  <c r="K6982" i="1" a="1"/>
  <c r="K6982" i="1" s="1"/>
  <c r="H6982" i="1"/>
  <c r="A6983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H6983" i="1" l="1"/>
  <c r="A6984" i="1"/>
  <c r="Q6983" i="1" a="1"/>
  <c r="Q6983" i="1" s="1"/>
  <c r="M6983" i="1" a="1"/>
  <c r="M6983" i="1" s="1"/>
  <c r="R6983" i="1" a="1"/>
  <c r="R6983" i="1" s="1"/>
  <c r="I6983" i="1" a="1"/>
  <c r="I6983" i="1" s="1"/>
  <c r="N6983" i="1" a="1"/>
  <c r="N6983" i="1" s="1"/>
  <c r="J6983" i="1" a="1"/>
  <c r="J6983" i="1" s="1"/>
  <c r="S6983" i="1" a="1"/>
  <c r="S6983" i="1" s="1"/>
  <c r="O6983" i="1" a="1"/>
  <c r="O6983" i="1" s="1"/>
  <c r="L6983" i="1" a="1"/>
  <c r="L6983" i="1" s="1"/>
  <c r="P6983" i="1" a="1"/>
  <c r="P6983" i="1" s="1"/>
  <c r="K6983" i="1" a="1"/>
  <c r="K6983" i="1" s="1"/>
  <c r="B6984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B6985" i="1" l="1"/>
  <c r="I6984" i="1" a="1"/>
  <c r="I6984" i="1" s="1"/>
  <c r="R6984" i="1" a="1"/>
  <c r="R6984" i="1" s="1"/>
  <c r="N6984" i="1" a="1"/>
  <c r="N6984" i="1" s="1"/>
  <c r="J6984" i="1" a="1"/>
  <c r="J6984" i="1" s="1"/>
  <c r="S6984" i="1" a="1"/>
  <c r="S6984" i="1" s="1"/>
  <c r="O6984" i="1" a="1"/>
  <c r="O6984" i="1" s="1"/>
  <c r="K6984" i="1" a="1"/>
  <c r="K6984" i="1" s="1"/>
  <c r="L6984" i="1" a="1"/>
  <c r="L6984" i="1" s="1"/>
  <c r="M6984" i="1" a="1"/>
  <c r="M6984" i="1" s="1"/>
  <c r="P6984" i="1" a="1"/>
  <c r="P6984" i="1" s="1"/>
  <c r="Q6984" i="1" a="1"/>
  <c r="Q6984" i="1" s="1"/>
  <c r="H6984" i="1"/>
  <c r="A6985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6986" i="1" l="1"/>
  <c r="H6985" i="1"/>
  <c r="N6985" i="1" a="1"/>
  <c r="N6985" i="1" s="1"/>
  <c r="J6985" i="1" a="1"/>
  <c r="J6985" i="1" s="1"/>
  <c r="S6985" i="1" a="1"/>
  <c r="S6985" i="1" s="1"/>
  <c r="O6985" i="1" a="1"/>
  <c r="O6985" i="1" s="1"/>
  <c r="K6985" i="1" a="1"/>
  <c r="K6985" i="1" s="1"/>
  <c r="P6985" i="1" a="1"/>
  <c r="P6985" i="1" s="1"/>
  <c r="B6986" i="1"/>
  <c r="L6985" i="1" a="1"/>
  <c r="L6985" i="1" s="1"/>
  <c r="I6985" i="1" a="1"/>
  <c r="I6985" i="1" s="1"/>
  <c r="M6985" i="1" a="1"/>
  <c r="M6985" i="1" s="1"/>
  <c r="Q6985" i="1" a="1"/>
  <c r="Q6985" i="1" s="1"/>
  <c r="R6985" i="1" a="1"/>
  <c r="R6985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6986" i="1" l="1" a="1"/>
  <c r="J6986" i="1" s="1"/>
  <c r="O6986" i="1" a="1"/>
  <c r="O6986" i="1" s="1"/>
  <c r="K6986" i="1" a="1"/>
  <c r="K6986" i="1" s="1"/>
  <c r="P6986" i="1" a="1"/>
  <c r="P6986" i="1" s="1"/>
  <c r="B6987" i="1"/>
  <c r="L6986" i="1" a="1"/>
  <c r="L6986" i="1" s="1"/>
  <c r="Q6986" i="1" a="1"/>
  <c r="Q6986" i="1" s="1"/>
  <c r="I6986" i="1" a="1"/>
  <c r="I6986" i="1" s="1"/>
  <c r="M6986" i="1" a="1"/>
  <c r="M6986" i="1" s="1"/>
  <c r="N6986" i="1" a="1"/>
  <c r="N6986" i="1" s="1"/>
  <c r="R6986" i="1" a="1"/>
  <c r="R6986" i="1" s="1"/>
  <c r="S6986" i="1" a="1"/>
  <c r="S6986" i="1" s="1"/>
  <c r="A6987" i="1"/>
  <c r="H6986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6987" i="1" l="1" a="1"/>
  <c r="K6987" i="1" s="1"/>
  <c r="P6987" i="1" a="1"/>
  <c r="P6987" i="1" s="1"/>
  <c r="B6988" i="1"/>
  <c r="L6987" i="1" a="1"/>
  <c r="L6987" i="1" s="1"/>
  <c r="Q6987" i="1" a="1"/>
  <c r="Q6987" i="1" s="1"/>
  <c r="M6987" i="1" a="1"/>
  <c r="M6987" i="1" s="1"/>
  <c r="R6987" i="1" a="1"/>
  <c r="R6987" i="1" s="1"/>
  <c r="I6987" i="1" a="1"/>
  <c r="I6987" i="1" s="1"/>
  <c r="J6987" i="1" a="1"/>
  <c r="J6987" i="1" s="1"/>
  <c r="N6987" i="1" a="1"/>
  <c r="N6987" i="1" s="1"/>
  <c r="O6987" i="1" a="1"/>
  <c r="O6987" i="1" s="1"/>
  <c r="S6987" i="1" a="1"/>
  <c r="S6987" i="1" s="1"/>
  <c r="A6988" i="1"/>
  <c r="H698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6988" i="1" l="1"/>
  <c r="A6989" i="1"/>
  <c r="B6989" i="1"/>
  <c r="P6988" i="1" a="1"/>
  <c r="P6988" i="1" s="1"/>
  <c r="L6988" i="1" a="1"/>
  <c r="L6988" i="1" s="1"/>
  <c r="Q6988" i="1" a="1"/>
  <c r="Q6988" i="1" s="1"/>
  <c r="M6988" i="1" a="1"/>
  <c r="M6988" i="1" s="1"/>
  <c r="I6988" i="1" a="1"/>
  <c r="I6988" i="1" s="1"/>
  <c r="R6988" i="1" a="1"/>
  <c r="R6988" i="1" s="1"/>
  <c r="N6988" i="1" a="1"/>
  <c r="N6988" i="1" s="1"/>
  <c r="J6988" i="1" a="1"/>
  <c r="J6988" i="1" s="1"/>
  <c r="K6988" i="1" a="1"/>
  <c r="K6988" i="1" s="1"/>
  <c r="O6988" i="1" a="1"/>
  <c r="O6988" i="1" s="1"/>
  <c r="S6988" i="1" a="1"/>
  <c r="S698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Q6989" i="1" l="1" a="1"/>
  <c r="Q6989" i="1" s="1"/>
  <c r="M6989" i="1" a="1"/>
  <c r="M6989" i="1" s="1"/>
  <c r="I6989" i="1" a="1"/>
  <c r="I6989" i="1" s="1"/>
  <c r="R6989" i="1" a="1"/>
  <c r="R6989" i="1" s="1"/>
  <c r="N6989" i="1" a="1"/>
  <c r="N6989" i="1" s="1"/>
  <c r="J6989" i="1" a="1"/>
  <c r="J6989" i="1" s="1"/>
  <c r="S6989" i="1" a="1"/>
  <c r="S6989" i="1" s="1"/>
  <c r="B6990" i="1"/>
  <c r="K6989" i="1" a="1"/>
  <c r="K6989" i="1" s="1"/>
  <c r="O6989" i="1" a="1"/>
  <c r="O6989" i="1" s="1"/>
  <c r="L6989" i="1" a="1"/>
  <c r="L6989" i="1" s="1"/>
  <c r="P6989" i="1" a="1"/>
  <c r="P6989" i="1" s="1"/>
  <c r="H6989" i="1"/>
  <c r="A6990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B6991" i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B6997" i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B6998" i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A6998" i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999" i="1" l="1"/>
  <c r="H6998" i="1"/>
  <c r="K6998" i="1" a="1"/>
  <c r="K6998" i="1" s="1"/>
  <c r="O6998" i="1" a="1"/>
  <c r="O6998" i="1" s="1"/>
  <c r="S6998" i="1" a="1"/>
  <c r="S6998" i="1" s="1"/>
  <c r="L6998" i="1" a="1"/>
  <c r="L6998" i="1" s="1"/>
  <c r="P6998" i="1" a="1"/>
  <c r="P6998" i="1" s="1"/>
  <c r="B6999" i="1"/>
  <c r="I6998" i="1" a="1"/>
  <c r="I6998" i="1" s="1"/>
  <c r="M6998" i="1" a="1"/>
  <c r="M6998" i="1" s="1"/>
  <c r="Q6998" i="1" a="1"/>
  <c r="Q6998" i="1" s="1"/>
  <c r="N6998" i="1" a="1"/>
  <c r="N6998" i="1" s="1"/>
  <c r="R6998" i="1" a="1"/>
  <c r="R6998" i="1" s="1"/>
  <c r="J6998" i="1" a="1"/>
  <c r="J6998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6999" i="1" l="1" a="1"/>
  <c r="J6999" i="1" s="1"/>
  <c r="N6999" i="1" a="1"/>
  <c r="N6999" i="1" s="1"/>
  <c r="R6999" i="1" a="1"/>
  <c r="R6999" i="1" s="1"/>
  <c r="K6999" i="1" a="1"/>
  <c r="K6999" i="1" s="1"/>
  <c r="O6999" i="1" a="1"/>
  <c r="O6999" i="1" s="1"/>
  <c r="S6999" i="1" a="1"/>
  <c r="S6999" i="1" s="1"/>
  <c r="L6999" i="1" a="1"/>
  <c r="L6999" i="1" s="1"/>
  <c r="P6999" i="1" a="1"/>
  <c r="P6999" i="1" s="1"/>
  <c r="I6999" i="1" a="1"/>
  <c r="I6999" i="1" s="1"/>
  <c r="B7000" i="1"/>
  <c r="M6999" i="1" a="1"/>
  <c r="M6999" i="1" s="1"/>
  <c r="Q6999" i="1" a="1"/>
  <c r="Q6999" i="1" s="1"/>
  <c r="A7000" i="1"/>
  <c r="H699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000" i="1" l="1"/>
  <c r="A7001" i="1"/>
  <c r="I7000" i="1" a="1"/>
  <c r="I7000" i="1" s="1"/>
  <c r="M7000" i="1" a="1"/>
  <c r="M7000" i="1" s="1"/>
  <c r="Q7000" i="1" a="1"/>
  <c r="Q7000" i="1" s="1"/>
  <c r="J7000" i="1" a="1"/>
  <c r="J7000" i="1" s="1"/>
  <c r="N7000" i="1" a="1"/>
  <c r="N7000" i="1" s="1"/>
  <c r="R7000" i="1" a="1"/>
  <c r="R7000" i="1" s="1"/>
  <c r="K7000" i="1" a="1"/>
  <c r="K7000" i="1" s="1"/>
  <c r="O7000" i="1" a="1"/>
  <c r="O7000" i="1" s="1"/>
  <c r="S7000" i="1" a="1"/>
  <c r="S7000" i="1" s="1"/>
  <c r="B7001" i="1"/>
  <c r="L7000" i="1" a="1"/>
  <c r="L7000" i="1" s="1"/>
  <c r="P7000" i="1" a="1"/>
  <c r="P7000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H7002" i="1" l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7003" i="1" l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D243" i="2" l="1"/>
  <c r="A7156" i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D241" i="2" l="1"/>
  <c r="D245" i="2"/>
  <c r="I7156" i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D246" i="2" l="1"/>
  <c r="D244" i="2"/>
  <c r="D240" i="2"/>
  <c r="D247" i="2"/>
  <c r="L7157" i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D233" i="2" l="1"/>
  <c r="A7162" i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D232" i="2" l="1"/>
  <c r="D229" i="2"/>
  <c r="D231" i="2"/>
  <c r="D236" i="2"/>
  <c r="D230" i="2"/>
  <c r="K7162" i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D237" i="2" l="1"/>
  <c r="D227" i="2"/>
  <c r="H7163" i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E249" i="2" l="1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<sst xmlns="http://schemas.openxmlformats.org/spreadsheetml/2006/main" count="68476" uniqueCount="26">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</sst>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tabSelected="1" zoomScale="90" zoomScaleNormal="90" workbookViewId="0">
      <pane ySplit="1" topLeftCell="A6951" activePane="bottomLeft" state="frozen"/>
      <selection pane="bottomLeft" activeCell="D6964" sqref="D6964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9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tr">
        <f t="shared" ref="A6964:C6964" si="1309">B6963</f>
        <v>Northern Cardinal</v>
      </c>
      <c r="C6964" s="6">
        <f t="shared" si="1309"/>
        <v>0.73611111111111116</v>
      </c>
      <c r="D6964" s="5"/>
      <c r="E6964" s="5"/>
      <c r="F6964" s="5" t="s">
        <v>22</v>
      </c>
      <c r="G6964" s="15" t="s">
        <v>22</v>
      </c>
      <c r="H6964" s="24">
        <f t="shared" si="1308"/>
        <v>1440</v>
      </c>
      <c r="I6964" s="24" cm="1">
        <f t="array" ref="I6964">IFERROR(IF($B6964=I$1, ($A6964+$C6964) - MAX(IF($B$2:$B6963=$B6964, $A$2:$A6963+$C$2:$C6963)), "")*24*60, "")</f>
        <v>1440</v>
      </c>
      <c r="J6964" s="24" t="str" cm="1">
        <f t="array" ref="J6964">IFERROR(IF($B6964=J$1, ($A6964+$C6964) - MAX(IF($B$2:$B6963=$B6964, $A$2:$A6963+$C$2:$C6963)), "")*24*60, "")</f>
        <v/>
      </c>
      <c r="K6964" s="24" t="str" cm="1">
        <f t="array" ref="K6964">IFERROR(IF($B6964=K$1, ($A6964+$C6964) - MAX(IF($B$2:$B6963=$B6964, $A$2:$A6963+$C$2:$C6963)), "")*24*60, "")</f>
        <v/>
      </c>
      <c r="L6964" s="24" t="str" cm="1">
        <f t="array" ref="L6964">IFERROR(IF($B6964=L$1, ($A6964+$C6964) - MAX(IF($B$2:$B6963=$B6964, $A$2:$A6963+$C$2:$C6963)), "")*24*60, "")</f>
        <v/>
      </c>
      <c r="M6964" s="24" t="str" cm="1">
        <f t="array" ref="M6964">IFERROR(IF($B6964=M$1, ($A6964+$C6964) - MAX(IF($B$2:$B6963=$B6964, $A$2:$A6963+$C$2:$C6963)), "")*24*60, "")</f>
        <v/>
      </c>
      <c r="N6964" s="24" t="str" cm="1">
        <f t="array" ref="N6964">IFERROR(IF($B6964=N$1, ($A6964+$C6964) - MAX(IF($B$2:$B6963=$B6964, $A$2:$A6963+$C$2:$C6963)), "")*24*60, "")</f>
        <v/>
      </c>
      <c r="O6964" s="24" t="str" cm="1">
        <f t="array" ref="O6964">IFERROR(IF($B6964=O$1, ($A6964+$C6964) - MAX(IF($B$2:$B6963=$B6964, $A$2:$A6963+$C$2:$C6963)), "")*24*60, "")</f>
        <v/>
      </c>
      <c r="P6964" s="24" t="str" cm="1">
        <f t="array" ref="P6964">IFERROR(IF($B6964=P$1, ($A6964+$C6964) - MAX(IF($B$2:$B6963=$B6964, $A$2:$A6963+$C$2:$C6963)), "")*24*60, "")</f>
        <v/>
      </c>
      <c r="Q6964" s="24" t="str" cm="1">
        <f t="array" ref="Q6964">IFERROR(IF($B6964=Q$1, ($A6964+$C6964) - MAX(IF($B$2:$B6963=$B6964, $A$2:$A6963+$C$2:$C6963)), "")*24*60, "")</f>
        <v/>
      </c>
      <c r="R6964" s="24" t="str" cm="1">
        <f t="array" ref="R6964">IFERROR(IF($B6964=R$1, ($A6964+$C6964) - MAX(IF($B$2:$B6963=$B6964, $A$2:$A6963+$C$2:$C6963)), "")*24*60, "")</f>
        <v/>
      </c>
      <c r="S6964" s="24" t="str" cm="1">
        <f t="array" ref="S6964">IFERROR(IF($B6964=S$1, ($A6964+$C6964) - MAX(IF($B$2:$B6963=$B6964, $A$2:$A6963+$C$2:$C6963)), "")*24*60, "")</f>
        <v/>
      </c>
    </row>
    <row r="6965" spans="1:19" x14ac:dyDescent="0.2">
      <c r="A6965" s="12">
        <f t="shared" ref="A6965:C6965" si="1310">A6964</f>
        <v>45997</v>
      </c>
      <c r="B6965" s="5" t="str">
        <f t="shared" si="1310"/>
        <v>Northern Cardinal</v>
      </c>
      <c r="C6965" s="6">
        <f t="shared" si="1310"/>
        <v>0.73611111111111116</v>
      </c>
      <c r="D6965" s="5"/>
      <c r="E6965" s="5"/>
      <c r="F6965" s="5" t="s">
        <v>22</v>
      </c>
      <c r="G6965" s="15" t="s">
        <v>22</v>
      </c>
      <c r="H6965" s="24">
        <f t="shared" si="1308"/>
        <v>0</v>
      </c>
      <c r="I6965" s="24" cm="1">
        <f t="array" ref="I6965">IFERROR(IF($B6965=I$1, ($A6965+$C6965) - MAX(IF($B$2:$B6964=$B6965, $A$2:$A6964+$C$2:$C6964)), "")*24*60, "")</f>
        <v>0</v>
      </c>
      <c r="J6965" s="24" t="str" cm="1">
        <f t="array" ref="J6965">IFERROR(IF($B6965=J$1, ($A6965+$C6965) - MAX(IF($B$2:$B6964=$B6965, $A$2:$A6964+$C$2:$C6964)), "")*24*60, "")</f>
        <v/>
      </c>
      <c r="K6965" s="24" t="str" cm="1">
        <f t="array" ref="K6965">IFERROR(IF($B6965=K$1, ($A6965+$C6965) - MAX(IF($B$2:$B6964=$B6965, $A$2:$A6964+$C$2:$C6964)), "")*24*60, "")</f>
        <v/>
      </c>
      <c r="L6965" s="24" t="str" cm="1">
        <f t="array" ref="L6965">IFERROR(IF($B6965=L$1, ($A6965+$C6965) - MAX(IF($B$2:$B6964=$B6965, $A$2:$A6964+$C$2:$C6964)), "")*24*60, "")</f>
        <v/>
      </c>
      <c r="M6965" s="24" t="str" cm="1">
        <f t="array" ref="M6965">IFERROR(IF($B6965=M$1, ($A6965+$C6965) - MAX(IF($B$2:$B6964=$B6965, $A$2:$A6964+$C$2:$C6964)), "")*24*60, "")</f>
        <v/>
      </c>
      <c r="N6965" s="24" t="str" cm="1">
        <f t="array" ref="N6965">IFERROR(IF($B6965=N$1, ($A6965+$C6965) - MAX(IF($B$2:$B6964=$B6965, $A$2:$A6964+$C$2:$C6964)), "")*24*60, "")</f>
        <v/>
      </c>
      <c r="O6965" s="24" t="str" cm="1">
        <f t="array" ref="O6965">IFERROR(IF($B6965=O$1, ($A6965+$C6965) - MAX(IF($B$2:$B6964=$B6965, $A$2:$A6964+$C$2:$C6964)), "")*24*60, "")</f>
        <v/>
      </c>
      <c r="P6965" s="24" t="str" cm="1">
        <f t="array" ref="P6965">IFERROR(IF($B6965=P$1, ($A6965+$C6965) - MAX(IF($B$2:$B6964=$B6965, $A$2:$A6964+$C$2:$C6964)), "")*24*60, "")</f>
        <v/>
      </c>
      <c r="Q6965" s="24" t="str" cm="1">
        <f t="array" ref="Q6965">IFERROR(IF($B6965=Q$1, ($A6965+$C6965) - MAX(IF($B$2:$B6964=$B6965, $A$2:$A6964+$C$2:$C6964)), "")*24*60, "")</f>
        <v/>
      </c>
      <c r="R6965" s="24" t="str" cm="1">
        <f t="array" ref="R6965">IFERROR(IF($B6965=R$1, ($A6965+$C6965) - MAX(IF($B$2:$B6964=$B6965, $A$2:$A6964+$C$2:$C6964)), "")*24*60, "")</f>
        <v/>
      </c>
      <c r="S6965" s="24" t="str" cm="1">
        <f t="array" ref="S6965">IFERROR(IF($B6965=S$1, ($A6965+$C6965) - MAX(IF($B$2:$B6964=$B6965, $A$2:$A6964+$C$2:$C6964)), "")*24*60, "")</f>
        <v/>
      </c>
    </row>
    <row r="6966" spans="1:19" x14ac:dyDescent="0.2">
      <c r="A6966" s="12">
        <f t="shared" ref="A6966:C6966" si="1311">A6965</f>
        <v>45997</v>
      </c>
      <c r="B6966" s="5" t="str">
        <f t="shared" si="1311"/>
        <v>Northern Cardinal</v>
      </c>
      <c r="C6966" s="6">
        <f t="shared" si="1311"/>
        <v>0.73611111111111116</v>
      </c>
      <c r="D6966" s="5"/>
      <c r="E6966" s="5"/>
      <c r="F6966" s="5" t="s">
        <v>22</v>
      </c>
      <c r="G6966" s="15" t="s">
        <v>22</v>
      </c>
      <c r="H6966" s="24">
        <f t="shared" si="1308"/>
        <v>0</v>
      </c>
      <c r="I6966" s="24" cm="1">
        <f t="array" ref="I6966">IFERROR(IF($B6966=I$1, ($A6966+$C6966) - MAX(IF($B$2:$B6965=$B6966, $A$2:$A6965+$C$2:$C6965)), "")*24*60, "")</f>
        <v>0</v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t="str" cm="1">
        <f t="array" ref="N6966">IFERROR(IF($B6966=N$1, ($A6966+$C6966) - MAX(IF($B$2:$B6965=$B6966, $A$2:$A6965+$C$2:$C6965)), "")*24*60, "")</f>
        <v/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:C6967" si="1312">A6966</f>
        <v>45997</v>
      </c>
      <c r="B6967" s="5" t="str">
        <f t="shared" si="1312"/>
        <v>Northern Cardinal</v>
      </c>
      <c r="C6967" s="6">
        <f t="shared" si="1312"/>
        <v>0.73611111111111116</v>
      </c>
      <c r="D6967" s="5"/>
      <c r="E6967" s="5"/>
      <c r="F6967" s="5" t="s">
        <v>22</v>
      </c>
      <c r="G6967" s="15" t="s">
        <v>22</v>
      </c>
      <c r="H6967" s="24">
        <f t="shared" si="1308"/>
        <v>0</v>
      </c>
      <c r="I6967" s="24" cm="1">
        <f t="array" ref="I6967">IFERROR(IF($B6967=I$1, ($A6967+$C6967) - MAX(IF($B$2:$B6966=$B6967, $A$2:$A6966+$C$2:$C6966)), "")*24*60, "")</f>
        <v>0</v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t="str" cm="1">
        <f t="array" ref="S6967">IFERROR(IF($B6967=S$1, ($A6967+$C6967) - MAX(IF($B$2:$B6966=$B6967, $A$2:$A6966+$C$2:$C6966)), "")*24*60, "")</f>
        <v/>
      </c>
    </row>
    <row r="6968" spans="1:19" x14ac:dyDescent="0.2">
      <c r="A6968" s="12">
        <f t="shared" ref="A6968:C6968" si="1313">A6967</f>
        <v>45997</v>
      </c>
      <c r="B6968" s="5" t="str">
        <f t="shared" si="1313"/>
        <v>Northern Cardinal</v>
      </c>
      <c r="C6968" s="6">
        <f t="shared" si="1313"/>
        <v>0.73611111111111116</v>
      </c>
      <c r="D6968" s="5"/>
      <c r="E6968" s="5"/>
      <c r="F6968" s="5" t="s">
        <v>22</v>
      </c>
      <c r="G6968" s="15" t="s">
        <v>22</v>
      </c>
      <c r="H6968" s="24">
        <f t="shared" si="1308"/>
        <v>0</v>
      </c>
      <c r="I6968" s="24" cm="1">
        <f t="array" ref="I6968">IFERROR(IF($B6968=I$1, ($A6968+$C6968) - MAX(IF($B$2:$B6967=$B6968, $A$2:$A6967+$C$2:$C6967)), "")*24*60, "")</f>
        <v>0</v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t="str" cm="1">
        <f t="array" ref="L6968">IFERROR(IF($B6968=L$1, ($A6968+$C6968) - MAX(IF($B$2:$B6967=$B6968, $A$2:$A6967+$C$2:$C6967)), "")*24*60, "")</f>
        <v/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C6969" si="1314">A6968</f>
        <v>45997</v>
      </c>
      <c r="B6969" s="5" t="str">
        <f t="shared" si="1314"/>
        <v>Northern Cardinal</v>
      </c>
      <c r="C6969" s="6">
        <f t="shared" si="1314"/>
        <v>0.73611111111111116</v>
      </c>
      <c r="D6969" s="5"/>
      <c r="E6969" s="5"/>
      <c r="F6969" s="5" t="s">
        <v>22</v>
      </c>
      <c r="G6969" s="15" t="s">
        <v>22</v>
      </c>
      <c r="H6969" s="24">
        <f t="shared" si="1308"/>
        <v>0</v>
      </c>
      <c r="I6969" s="24" cm="1">
        <f t="array" ref="I6969">IFERROR(IF($B6969=I$1, ($A6969+$C6969) - MAX(IF($B$2:$B6968=$B6969, $A$2:$A6968+$C$2:$C6968)), "")*24*60, "")</f>
        <v>0</v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t="str" cm="1">
        <f t="array" ref="L6969">IFERROR(IF($B6969=L$1, ($A6969+$C6969) - MAX(IF($B$2:$B6968=$B6969, $A$2:$A6968+$C$2:$C6968)), "")*24*60, "")</f>
        <v/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5">A6969</f>
        <v>45997</v>
      </c>
      <c r="B6970" s="5" t="str">
        <f t="shared" si="1315"/>
        <v>Northern Cardinal</v>
      </c>
      <c r="C6970" s="6">
        <f t="shared" si="1315"/>
        <v>0.73611111111111116</v>
      </c>
      <c r="D6970" s="5"/>
      <c r="E6970" s="5"/>
      <c r="F6970" s="5" t="s">
        <v>22</v>
      </c>
      <c r="G6970" s="15" t="s">
        <v>22</v>
      </c>
      <c r="H6970" s="24">
        <f t="shared" si="1308"/>
        <v>0</v>
      </c>
      <c r="I6970" s="24" cm="1">
        <f t="array" ref="I6970">IFERROR(IF($B6970=I$1, ($A6970+$C6970) - MAX(IF($B$2:$B6969=$B6970, $A$2:$A6969+$C$2:$C6969)), "")*24*60, "")</f>
        <v>0</v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t="str" cm="1">
        <f t="array" ref="L6970">IFERROR(IF($B6970=L$1, ($A6970+$C6970) - MAX(IF($B$2:$B6969=$B6970, $A$2:$A6969+$C$2:$C6969)), "")*24*60, "")</f>
        <v/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C6971" si="1316">A6970</f>
        <v>45997</v>
      </c>
      <c r="B6971" s="5" t="str">
        <f t="shared" si="1316"/>
        <v>Northern Cardinal</v>
      </c>
      <c r="C6971" s="6">
        <f t="shared" si="1316"/>
        <v>0.73611111111111116</v>
      </c>
      <c r="D6971" s="5"/>
      <c r="E6971" s="5"/>
      <c r="F6971" s="5" t="s">
        <v>22</v>
      </c>
      <c r="G6971" s="15" t="s">
        <v>22</v>
      </c>
      <c r="H6971" s="24">
        <f t="shared" si="1308"/>
        <v>0</v>
      </c>
      <c r="I6971" s="24" cm="1">
        <f t="array" ref="I6971">IFERROR(IF($B6971=I$1, ($A6971+$C6971) - MAX(IF($B$2:$B6970=$B6971, $A$2:$A6970+$C$2:$C6970)), "")*24*60, "")</f>
        <v>0</v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t="str" cm="1">
        <f t="array" ref="L6971">IFERROR(IF($B6971=L$1, ($A6971+$C6971) - MAX(IF($B$2:$B6970=$B6971, $A$2:$A6970+$C$2:$C6970)), "")*24*60, "")</f>
        <v/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:C6972" si="1317">A6971</f>
        <v>45997</v>
      </c>
      <c r="B6972" s="5" t="str">
        <f t="shared" si="1317"/>
        <v>Northern Cardinal</v>
      </c>
      <c r="C6972" s="6">
        <f t="shared" si="1317"/>
        <v>0.73611111111111116</v>
      </c>
      <c r="D6972" s="5"/>
      <c r="E6972" s="5"/>
      <c r="F6972" s="5" t="s">
        <v>22</v>
      </c>
      <c r="G6972" s="15" t="s">
        <v>22</v>
      </c>
      <c r="H6972" s="24">
        <f t="shared" si="1308"/>
        <v>0</v>
      </c>
      <c r="I6972" s="24" cm="1">
        <f t="array" ref="I6972">IFERROR(IF($B6972=I$1, ($A6972+$C6972) - MAX(IF($B$2:$B6971=$B6972, $A$2:$A6971+$C$2:$C6971)), "")*24*60, "")</f>
        <v>0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8">A6972</f>
        <v>45997</v>
      </c>
      <c r="B6973" s="5" t="str">
        <f t="shared" si="1318"/>
        <v>Northern Cardinal</v>
      </c>
      <c r="C6973" s="6">
        <f t="shared" si="1318"/>
        <v>0.73611111111111116</v>
      </c>
      <c r="D6973" s="5"/>
      <c r="E6973" s="5"/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2">
        <f t="shared" ref="A6974:C6974" si="1319">A6973</f>
        <v>45997</v>
      </c>
      <c r="B6974" s="5" t="str">
        <f t="shared" si="1319"/>
        <v>Northern Cardinal</v>
      </c>
      <c r="C6974" s="6">
        <f t="shared" si="1319"/>
        <v>0.73611111111111116</v>
      </c>
      <c r="D6974" s="5"/>
      <c r="E6974" s="5"/>
      <c r="F6974" s="5" t="s">
        <v>22</v>
      </c>
      <c r="G6974" s="15" t="s">
        <v>22</v>
      </c>
      <c r="H6974" s="24">
        <f t="shared" si="1308"/>
        <v>0</v>
      </c>
      <c r="I6974" s="24" cm="1">
        <f t="array" ref="I6974">IFERROR(IF($B6974=I$1, ($A6974+$C6974) - MAX(IF($B$2:$B6973=$B6974, $A$2:$A6973+$C$2:$C6973)), "")*24*60, "")</f>
        <v>0</v>
      </c>
      <c r="J6974" s="24" t="str" cm="1">
        <f t="array" ref="J6974">IFERROR(IF($B6974=J$1, ($A6974+$C6974) - MAX(IF($B$2:$B6973=$B6974, $A$2:$A6973+$C$2:$C6973)), "")*24*60, "")</f>
        <v/>
      </c>
      <c r="K6974" s="24" t="str" cm="1">
        <f t="array" ref="K6974">IFERROR(IF($B6974=K$1, ($A6974+$C6974) - MAX(IF($B$2:$B6973=$B6974, $A$2:$A6973+$C$2:$C6973)), "")*24*60, "")</f>
        <v/>
      </c>
      <c r="L6974" s="24" t="str" cm="1">
        <f t="array" ref="L6974">IFERROR(IF($B6974=L$1, ($A6974+$C6974) - MAX(IF($B$2:$B6973=$B6974, $A$2:$A6973+$C$2:$C6973)), "")*24*60, "")</f>
        <v/>
      </c>
      <c r="M6974" s="24" t="str" cm="1">
        <f t="array" ref="M6974">IFERROR(IF($B6974=M$1, ($A6974+$C6974) - MAX(IF($B$2:$B6973=$B6974, $A$2:$A6973+$C$2:$C6973)), "")*24*60, "")</f>
        <v/>
      </c>
      <c r="N6974" s="24" t="str" cm="1">
        <f t="array" ref="N6974">IFERROR(IF($B6974=N$1, ($A6974+$C6974) - MAX(IF($B$2:$B6973=$B6974, $A$2:$A6973+$C$2:$C6973)), "")*24*60, "")</f>
        <v/>
      </c>
      <c r="O6974" s="24" t="str" cm="1">
        <f t="array" ref="O6974">IFERROR(IF($B6974=O$1, ($A6974+$C6974) - MAX(IF($B$2:$B6973=$B6974, $A$2:$A6973+$C$2:$C6973)), "")*24*60, "")</f>
        <v/>
      </c>
      <c r="P6974" s="24" t="str" cm="1">
        <f t="array" ref="P6974">IFERROR(IF($B6974=P$1, ($A6974+$C6974) - MAX(IF($B$2:$B6973=$B6974, $A$2:$A6973+$C$2:$C6973)), "")*24*60, "")</f>
        <v/>
      </c>
      <c r="Q6974" s="24" t="str" cm="1">
        <f t="array" ref="Q6974">IFERROR(IF($B6974=Q$1, ($A6974+$C6974) - MAX(IF($B$2:$B6973=$B6974, $A$2:$A6973+$C$2:$C6973)), "")*24*60, "")</f>
        <v/>
      </c>
      <c r="R6974" s="24" t="str" cm="1">
        <f t="array" ref="R6974">IFERROR(IF($B6974=R$1, ($A6974+$C6974) - MAX(IF($B$2:$B6973=$B6974, $A$2:$A6973+$C$2:$C6973)), "")*24*60, "")</f>
        <v/>
      </c>
      <c r="S6974" s="24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f t="shared" ref="A6975:C6975" si="1320">A6974</f>
        <v>45997</v>
      </c>
      <c r="B6975" s="5" t="str">
        <f t="shared" si="1320"/>
        <v>Northern Cardinal</v>
      </c>
      <c r="C6975" s="6">
        <f t="shared" si="1320"/>
        <v>0.73611111111111116</v>
      </c>
      <c r="D6975" s="5"/>
      <c r="E6975" s="5"/>
      <c r="F6975" s="5" t="s">
        <v>22</v>
      </c>
      <c r="G6975" s="15" t="s">
        <v>22</v>
      </c>
      <c r="H6975" s="24">
        <f t="shared" si="1308"/>
        <v>0</v>
      </c>
      <c r="I6975" s="24" cm="1">
        <f t="array" ref="I6975">IFERROR(IF($B6975=I$1, ($A6975+$C6975) - MAX(IF($B$2:$B6974=$B6975, $A$2:$A6974+$C$2:$C6974)), "")*24*60, "")</f>
        <v>0</v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t="str" cm="1">
        <f t="array" ref="O6975">IFERROR(IF($B6975=O$1, ($A6975+$C6975) - MAX(IF($B$2:$B6974=$B6975, $A$2:$A6974+$C$2:$C6974)), "")*24*60, "")</f>
        <v/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21">A6975</f>
        <v>45997</v>
      </c>
      <c r="B6976" s="5" t="str">
        <f t="shared" si="1321"/>
        <v>Northern Cardinal</v>
      </c>
      <c r="C6976" s="6">
        <f t="shared" si="1321"/>
        <v>0.73611111111111116</v>
      </c>
      <c r="D6976" s="5"/>
      <c r="E6976" s="5"/>
      <c r="F6976" s="5" t="s">
        <v>22</v>
      </c>
      <c r="G6976" s="15" t="s">
        <v>22</v>
      </c>
      <c r="H6976" s="24">
        <f t="shared" si="1308"/>
        <v>0</v>
      </c>
      <c r="I6976" s="24" cm="1">
        <f t="array" ref="I6976">IFERROR(IF($B6976=I$1, ($A6976+$C6976) - MAX(IF($B$2:$B6975=$B6976, $A$2:$A6975+$C$2:$C6975)), "")*24*60, "")</f>
        <v>0</v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t="str" cm="1">
        <f t="array" ref="O6976">IFERROR(IF($B6976=O$1, ($A6976+$C6976) - MAX(IF($B$2:$B6975=$B6976, $A$2:$A6975+$C$2:$C6975)), "")*24*60, "")</f>
        <v/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:C6977" si="1322">A6976</f>
        <v>45997</v>
      </c>
      <c r="B6977" s="5" t="str">
        <f t="shared" si="1322"/>
        <v>Northern Cardinal</v>
      </c>
      <c r="C6977" s="6">
        <f t="shared" si="1322"/>
        <v>0.73611111111111116</v>
      </c>
      <c r="D6977" s="5"/>
      <c r="E6977" s="5"/>
      <c r="F6977" s="5" t="s">
        <v>22</v>
      </c>
      <c r="G6977" s="15" t="s">
        <v>22</v>
      </c>
      <c r="H6977" s="24">
        <f t="shared" si="1308"/>
        <v>0</v>
      </c>
      <c r="I6977" s="24" cm="1">
        <f t="array" ref="I6977">IFERROR(IF($B6977=I$1, ($A6977+$C6977) - MAX(IF($B$2:$B6976=$B6977, $A$2:$A6976+$C$2:$C6976)), "")*24*60, "")</f>
        <v>0</v>
      </c>
      <c r="J6977" s="24" t="str" cm="1">
        <f t="array" ref="J6977">IFERROR(IF($B6977=J$1, ($A6977+$C6977) - MAX(IF($B$2:$B6976=$B6977, $A$2:$A6976+$C$2:$C6976)), "")*24*60, "")</f>
        <v/>
      </c>
      <c r="K6977" s="24" t="str" cm="1">
        <f t="array" ref="K6977">IFERROR(IF($B6977=K$1, ($A6977+$C6977) - MAX(IF($B$2:$B6976=$B6977, $A$2:$A6976+$C$2:$C6976)), "")*24*60, "")</f>
        <v/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:C6978" si="1323">A6977</f>
        <v>45997</v>
      </c>
      <c r="B6978" s="5" t="str">
        <f t="shared" si="1323"/>
        <v>Northern Cardinal</v>
      </c>
      <c r="C6978" s="6">
        <f t="shared" si="1323"/>
        <v>0.73611111111111116</v>
      </c>
      <c r="D6978" s="5"/>
      <c r="E6978" s="5"/>
      <c r="F6978" s="5" t="s">
        <v>22</v>
      </c>
      <c r="G6978" s="15" t="s">
        <v>22</v>
      </c>
      <c r="H6978" s="24">
        <f t="shared" si="1308"/>
        <v>0</v>
      </c>
      <c r="I6978" s="24" cm="1">
        <f t="array" ref="I6978">IFERROR(IF($B6978=I$1, ($A6978+$C6978) - MAX(IF($B$2:$B6977=$B6978, $A$2:$A6977+$C$2:$C6977)), "")*24*60, "")</f>
        <v>0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4">A6978</f>
        <v>45997</v>
      </c>
      <c r="B6979" s="5" t="str">
        <f t="shared" si="1324"/>
        <v>Northern Cardinal</v>
      </c>
      <c r="C6979" s="6">
        <f t="shared" si="1324"/>
        <v>0.73611111111111116</v>
      </c>
      <c r="D6979" s="5"/>
      <c r="E6979" s="5"/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C6980" si="1325">A6979</f>
        <v>45997</v>
      </c>
      <c r="B6980" s="5" t="str">
        <f t="shared" si="1325"/>
        <v>Northern Cardinal</v>
      </c>
      <c r="C6980" s="6">
        <f t="shared" si="1325"/>
        <v>0.73611111111111116</v>
      </c>
      <c r="D6980" s="5"/>
      <c r="E6980" s="5"/>
      <c r="F6980" s="5" t="s">
        <v>22</v>
      </c>
      <c r="G6980" s="15" t="s">
        <v>22</v>
      </c>
      <c r="H6980" s="24">
        <f t="shared" si="1308"/>
        <v>0</v>
      </c>
      <c r="I6980" s="24" cm="1">
        <f t="array" ref="I6980">IFERROR(IF($B6980=I$1, ($A6980+$C6980) - MAX(IF($B$2:$B6979=$B6980, $A$2:$A6979+$C$2:$C6979)), "")*24*60, "")</f>
        <v>0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2">
        <f t="shared" ref="A6981:C6981" si="1326">A6980</f>
        <v>45997</v>
      </c>
      <c r="B6981" s="5" t="str">
        <f t="shared" si="1326"/>
        <v>Northern Cardinal</v>
      </c>
      <c r="C6981" s="6">
        <f t="shared" si="1326"/>
        <v>0.73611111111111116</v>
      </c>
      <c r="D6981" s="5"/>
      <c r="E6981" s="5"/>
      <c r="F6981" s="5" t="s">
        <v>22</v>
      </c>
      <c r="G6981" s="15" t="s">
        <v>22</v>
      </c>
      <c r="H6981" s="24">
        <f t="shared" si="1308"/>
        <v>0</v>
      </c>
      <c r="I6981" s="24" cm="1">
        <f t="array" ref="I6981">IFERROR(IF($B6981=I$1, ($A6981+$C6981) - MAX(IF($B$2:$B6980=$B6981, $A$2:$A6980+$C$2:$C6980)), "")*24*60, "")</f>
        <v>0</v>
      </c>
      <c r="J6981" s="24" t="str" cm="1">
        <f t="array" ref="J6981">IFERROR(IF($B6981=J$1, ($A6981+$C6981) - MAX(IF($B$2:$B6980=$B6981, $A$2:$A6980+$C$2:$C6980)), "")*24*60, "")</f>
        <v/>
      </c>
      <c r="K6981" s="24" t="str" cm="1">
        <f t="array" ref="K6981">IFERROR(IF($B6981=K$1, ($A6981+$C6981) - MAX(IF($B$2:$B6980=$B6981, $A$2:$A6980+$C$2:$C6980)), "")*24*60, "")</f>
        <v/>
      </c>
      <c r="L6981" s="24" t="str" cm="1">
        <f t="array" ref="L6981">IFERROR(IF($B6981=L$1, ($A6981+$C6981) - MAX(IF($B$2:$B6980=$B6981, $A$2:$A6980+$C$2:$C6980)), "")*24*60, "")</f>
        <v/>
      </c>
      <c r="M6981" s="24" t="str" cm="1">
        <f t="array" ref="M6981">IFERROR(IF($B6981=M$1, ($A6981+$C6981) - MAX(IF($B$2:$B6980=$B6981, $A$2:$A6980+$C$2:$C6980)), "")*24*60, "")</f>
        <v/>
      </c>
      <c r="N6981" s="24" t="str" cm="1">
        <f t="array" ref="N6981">IFERROR(IF($B6981=N$1, ($A6981+$C6981) - MAX(IF($B$2:$B6980=$B6981, $A$2:$A6980+$C$2:$C6980)), "")*24*60, "")</f>
        <v/>
      </c>
      <c r="O6981" s="24" t="str" cm="1">
        <f t="array" ref="O6981">IFERROR(IF($B6981=O$1, ($A6981+$C6981) - MAX(IF($B$2:$B6980=$B6981, $A$2:$A6980+$C$2:$C6980)), "")*24*60, "")</f>
        <v/>
      </c>
      <c r="P6981" s="24" t="str" cm="1">
        <f t="array" ref="P6981">IFERROR(IF($B6981=P$1, ($A6981+$C6981) - MAX(IF($B$2:$B6980=$B6981, $A$2:$A6980+$C$2:$C6980)), "")*24*60, "")</f>
        <v/>
      </c>
      <c r="Q6981" s="24" t="str" cm="1">
        <f t="array" ref="Q6981">IFERROR(IF($B6981=Q$1, ($A6981+$C6981) - MAX(IF($B$2:$B6980=$B6981, $A$2:$A6980+$C$2:$C6980)), "")*24*60, "")</f>
        <v/>
      </c>
      <c r="R6981" s="24" t="str" cm="1">
        <f t="array" ref="R6981">IFERROR(IF($B6981=R$1, ($A6981+$C6981) - MAX(IF($B$2:$B6980=$B6981, $A$2:$A6980+$C$2:$C6980)), "")*24*60, "")</f>
        <v/>
      </c>
      <c r="S6981" s="24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f t="shared" ref="A6982:C6982" si="1327">A6981</f>
        <v>45997</v>
      </c>
      <c r="B6982" s="5" t="str">
        <f t="shared" si="1327"/>
        <v>Northern Cardinal</v>
      </c>
      <c r="C6982" s="6">
        <f t="shared" si="1327"/>
        <v>0.73611111111111116</v>
      </c>
      <c r="D6982" s="5"/>
      <c r="E6982" s="5"/>
      <c r="F6982" s="5" t="s">
        <v>22</v>
      </c>
      <c r="G6982" s="15" t="s">
        <v>22</v>
      </c>
      <c r="H6982" s="24">
        <f t="shared" si="1308"/>
        <v>0</v>
      </c>
      <c r="I6982" s="24" cm="1">
        <f t="array" ref="I6982">IFERROR(IF($B6982=I$1, ($A6982+$C6982) - MAX(IF($B$2:$B6981=$B6982, $A$2:$A6981+$C$2:$C6981)), "")*24*60, "")</f>
        <v>0</v>
      </c>
      <c r="J6982" s="24" t="str" cm="1">
        <f t="array" ref="J6982">IFERROR(IF($B6982=J$1, ($A6982+$C6982) - MAX(IF($B$2:$B6981=$B6982, $A$2:$A6981+$C$2:$C6981)), "")*24*60, "")</f>
        <v/>
      </c>
      <c r="K6982" s="24" t="str" cm="1">
        <f t="array" ref="K6982">IFERROR(IF($B6982=K$1, ($A6982+$C6982) - MAX(IF($B$2:$B6981=$B6982, $A$2:$A6981+$C$2:$C6981)), "")*24*60, "")</f>
        <v/>
      </c>
      <c r="L6982" s="24" t="str" cm="1">
        <f t="array" ref="L6982">IFERROR(IF($B6982=L$1, ($A6982+$C6982) - MAX(IF($B$2:$B6981=$B6982, $A$2:$A6981+$C$2:$C6981)), "")*24*60, "")</f>
        <v/>
      </c>
      <c r="M6982" s="24" t="str" cm="1">
        <f t="array" ref="M6982">IFERROR(IF($B6982=M$1, ($A6982+$C6982) - MAX(IF($B$2:$B6981=$B6982, $A$2:$A6981+$C$2:$C6981)), "")*24*60, "")</f>
        <v/>
      </c>
      <c r="N6982" s="24" t="str" cm="1">
        <f t="array" ref="N6982">IFERROR(IF($B6982=N$1, ($A6982+$C6982) - MAX(IF($B$2:$B6981=$B6982, $A$2:$A6981+$C$2:$C6981)), "")*24*60, "")</f>
        <v/>
      </c>
      <c r="O6982" s="24" t="str" cm="1">
        <f t="array" ref="O6982">IFERROR(IF($B6982=O$1, ($A6982+$C6982) - MAX(IF($B$2:$B6981=$B6982, $A$2:$A6981+$C$2:$C6981)), "")*24*60, "")</f>
        <v/>
      </c>
      <c r="P6982" s="24" t="str" cm="1">
        <f t="array" ref="P6982">IFERROR(IF($B6982=P$1, ($A6982+$C6982) - MAX(IF($B$2:$B6981=$B6982, $A$2:$A6981+$C$2:$C6981)), "")*24*60, "")</f>
        <v/>
      </c>
      <c r="Q6982" s="24" t="str" cm="1">
        <f t="array" ref="Q6982">IFERROR(IF($B6982=Q$1, ($A6982+$C6982) - MAX(IF($B$2:$B6981=$B6982, $A$2:$A6981+$C$2:$C6981)), "")*24*60, "")</f>
        <v/>
      </c>
      <c r="R6982" s="24" t="str" cm="1">
        <f t="array" ref="R6982">IFERROR(IF($B6982=R$1, ($A6982+$C6982) - MAX(IF($B$2:$B6981=$B6982, $A$2:$A6981+$C$2:$C6981)), "")*24*60, "")</f>
        <v/>
      </c>
      <c r="S6982" s="24" t="str" cm="1">
        <f t="array" ref="S6982">IFERROR(IF($B6982=S$1, ($A6982+$C6982) - MAX(IF($B$2:$B6981=$B6982, $A$2:$A6981+$C$2:$C6981)), "")*24*60, "")</f>
        <v/>
      </c>
    </row>
    <row r="6983" spans="1:19" x14ac:dyDescent="0.2">
      <c r="A6983" s="12">
        <f t="shared" ref="A6983:C6983" si="1328">A6982</f>
        <v>45997</v>
      </c>
      <c r="B6983" s="5" t="str">
        <f t="shared" si="1328"/>
        <v>Northern Cardinal</v>
      </c>
      <c r="C6983" s="6">
        <f t="shared" si="1328"/>
        <v>0.73611111111111116</v>
      </c>
      <c r="D6983" s="5"/>
      <c r="E6983" s="5"/>
      <c r="F6983" s="5" t="s">
        <v>22</v>
      </c>
      <c r="G6983" s="15" t="s">
        <v>22</v>
      </c>
      <c r="H6983" s="24">
        <f t="shared" si="1308"/>
        <v>0</v>
      </c>
      <c r="I6983" s="24" cm="1">
        <f t="array" ref="I6983">IFERROR(IF($B6983=I$1, ($A6983+$C6983) - MAX(IF($B$2:$B6982=$B6983, $A$2:$A6982+$C$2:$C6982)), "")*24*60, "")</f>
        <v>0</v>
      </c>
      <c r="J6983" s="24" t="str" cm="1">
        <f t="array" ref="J6983">IFERROR(IF($B6983=J$1, ($A6983+$C6983) - MAX(IF($B$2:$B6982=$B6983, $A$2:$A6982+$C$2:$C6982)), "")*24*60, "")</f>
        <v/>
      </c>
      <c r="K6983" s="24" t="str" cm="1">
        <f t="array" ref="K6983">IFERROR(IF($B6983=K$1, ($A6983+$C6983) - MAX(IF($B$2:$B6982=$B6983, $A$2:$A6982+$C$2:$C6982)), "")*24*60, "")</f>
        <v/>
      </c>
      <c r="L6983" s="24" t="str" cm="1">
        <f t="array" ref="L6983">IFERROR(IF($B6983=L$1, ($A6983+$C6983) - MAX(IF($B$2:$B6982=$B6983, $A$2:$A6982+$C$2:$C6982)), "")*24*60, "")</f>
        <v/>
      </c>
      <c r="M6983" s="24" t="str" cm="1">
        <f t="array" ref="M6983">IFERROR(IF($B6983=M$1, ($A6983+$C6983) - MAX(IF($B$2:$B6982=$B6983, $A$2:$A6982+$C$2:$C6982)), "")*24*60, "")</f>
        <v/>
      </c>
      <c r="N6983" s="24" t="str" cm="1">
        <f t="array" ref="N6983">IFERROR(IF($B6983=N$1, ($A6983+$C6983) - MAX(IF($B$2:$B6982=$B6983, $A$2:$A6982+$C$2:$C6982)), "")*24*60, "")</f>
        <v/>
      </c>
      <c r="O6983" s="24" t="str" cm="1">
        <f t="array" ref="O6983">IFERROR(IF($B6983=O$1, ($A6983+$C6983) - MAX(IF($B$2:$B6982=$B6983, $A$2:$A6982+$C$2:$C6982)), "")*24*60, "")</f>
        <v/>
      </c>
      <c r="P6983" s="24" t="str" cm="1">
        <f t="array" ref="P6983">IFERROR(IF($B6983=P$1, ($A6983+$C6983) - MAX(IF($B$2:$B6982=$B6983, $A$2:$A6982+$C$2:$C6982)), "")*24*60, "")</f>
        <v/>
      </c>
      <c r="Q6983" s="24" t="str" cm="1">
        <f t="array" ref="Q6983">IFERROR(IF($B6983=Q$1, ($A6983+$C6983) - MAX(IF($B$2:$B6982=$B6983, $A$2:$A6982+$C$2:$C6982)), "")*24*60, "")</f>
        <v/>
      </c>
      <c r="R6983" s="24" t="str" cm="1">
        <f t="array" ref="R6983">IFERROR(IF($B6983=R$1, ($A6983+$C6983) - MAX(IF($B$2:$B6982=$B6983, $A$2:$A6982+$C$2:$C6982)), "")*24*60, "")</f>
        <v/>
      </c>
      <c r="S6983" s="24" t="str" cm="1">
        <f t="array" ref="S6983">IFERROR(IF($B6983=S$1, ($A6983+$C6983) - MAX(IF($B$2:$B6982=$B6983, $A$2:$A6982+$C$2:$C6982)), "")*24*60, "")</f>
        <v/>
      </c>
    </row>
    <row r="6984" spans="1:19" x14ac:dyDescent="0.2">
      <c r="A6984" s="12">
        <f t="shared" ref="A6984:C6984" si="1329">A6983</f>
        <v>45997</v>
      </c>
      <c r="B6984" s="5" t="str">
        <f t="shared" si="1329"/>
        <v>Northern Cardinal</v>
      </c>
      <c r="C6984" s="6">
        <f t="shared" si="1329"/>
        <v>0.73611111111111116</v>
      </c>
      <c r="D6984" s="5"/>
      <c r="E6984" s="5"/>
      <c r="F6984" s="5" t="s">
        <v>22</v>
      </c>
      <c r="G6984" s="15" t="s">
        <v>22</v>
      </c>
      <c r="H6984" s="24">
        <f t="shared" si="1308"/>
        <v>0</v>
      </c>
      <c r="I6984" s="24" cm="1">
        <f t="array" ref="I6984">IFERROR(IF($B6984=I$1, ($A6984+$C6984) - MAX(IF($B$2:$B6983=$B6984, $A$2:$A6983+$C$2:$C6983)), "")*24*60, "")</f>
        <v>0</v>
      </c>
      <c r="J6984" s="24" t="str" cm="1">
        <f t="array" ref="J6984">IFERROR(IF($B6984=J$1, ($A6984+$C6984) - MAX(IF($B$2:$B6983=$B6984, $A$2:$A6983+$C$2:$C6983)), "")*24*60, "")</f>
        <v/>
      </c>
      <c r="K6984" s="24" t="str" cm="1">
        <f t="array" ref="K6984">IFERROR(IF($B6984=K$1, ($A6984+$C6984) - MAX(IF($B$2:$B6983=$B6984, $A$2:$A6983+$C$2:$C6983)), "")*24*60, "")</f>
        <v/>
      </c>
      <c r="L6984" s="24" t="str" cm="1">
        <f t="array" ref="L6984">IFERROR(IF($B6984=L$1, ($A6984+$C6984) - MAX(IF($B$2:$B6983=$B6984, $A$2:$A6983+$C$2:$C6983)), "")*24*60, "")</f>
        <v/>
      </c>
      <c r="M6984" s="24" t="str" cm="1">
        <f t="array" ref="M6984">IFERROR(IF($B6984=M$1, ($A6984+$C6984) - MAX(IF($B$2:$B6983=$B6984, $A$2:$A6983+$C$2:$C6983)), "")*24*60, "")</f>
        <v/>
      </c>
      <c r="N6984" s="24" t="str" cm="1">
        <f t="array" ref="N6984">IFERROR(IF($B6984=N$1, ($A6984+$C6984) - MAX(IF($B$2:$B6983=$B6984, $A$2:$A6983+$C$2:$C6983)), "")*24*60, "")</f>
        <v/>
      </c>
      <c r="O6984" s="24" t="str" cm="1">
        <f t="array" ref="O6984">IFERROR(IF($B6984=O$1, ($A6984+$C6984) - MAX(IF($B$2:$B6983=$B6984, $A$2:$A6983+$C$2:$C6983)), "")*24*60, "")</f>
        <v/>
      </c>
      <c r="P6984" s="24" t="str" cm="1">
        <f t="array" ref="P6984">IFERROR(IF($B6984=P$1, ($A6984+$C6984) - MAX(IF($B$2:$B6983=$B6984, $A$2:$A6983+$C$2:$C6983)), "")*24*60, "")</f>
        <v/>
      </c>
      <c r="Q6984" s="24" t="str" cm="1">
        <f t="array" ref="Q6984">IFERROR(IF($B6984=Q$1, ($A6984+$C6984) - MAX(IF($B$2:$B6983=$B6984, $A$2:$A6983+$C$2:$C6983)), "")*24*60, "")</f>
        <v/>
      </c>
      <c r="R6984" s="24" t="str" cm="1">
        <f t="array" ref="R6984">IFERROR(IF($B6984=R$1, ($A6984+$C6984) - MAX(IF($B$2:$B6983=$B6984, $A$2:$A6983+$C$2:$C6983)), "")*24*60, "")</f>
        <v/>
      </c>
      <c r="S6984" s="24" t="str" cm="1">
        <f t="array" ref="S6984">IFERROR(IF($B6984=S$1, ($A6984+$C6984) - MAX(IF($B$2:$B6983=$B6984, $A$2:$A6983+$C$2:$C6983)), "")*24*60, "")</f>
        <v/>
      </c>
    </row>
    <row r="6985" spans="1:19" x14ac:dyDescent="0.2">
      <c r="A6985" s="12">
        <f t="shared" ref="A6985:C6985" si="1330">A6984</f>
        <v>45997</v>
      </c>
      <c r="B6985" s="5" t="str">
        <f t="shared" si="1330"/>
        <v>Northern Cardinal</v>
      </c>
      <c r="C6985" s="6">
        <f t="shared" si="1330"/>
        <v>0.73611111111111116</v>
      </c>
      <c r="D6985" s="5"/>
      <c r="E6985" s="5"/>
      <c r="F6985" s="5" t="s">
        <v>22</v>
      </c>
      <c r="G6985" s="15" t="s">
        <v>22</v>
      </c>
      <c r="H6985" s="24">
        <f t="shared" si="1308"/>
        <v>0</v>
      </c>
      <c r="I6985" s="24" cm="1">
        <f t="array" ref="I6985">IFERROR(IF($B6985=I$1, ($A6985+$C6985) - MAX(IF($B$2:$B6984=$B6985, $A$2:$A6984+$C$2:$C6984)), "")*24*60, "")</f>
        <v>0</v>
      </c>
      <c r="J6985" s="24" t="str" cm="1">
        <f t="array" ref="J6985">IFERROR(IF($B6985=J$1, ($A6985+$C6985) - MAX(IF($B$2:$B6984=$B6985, $A$2:$A6984+$C$2:$C6984)), "")*24*60, "")</f>
        <v/>
      </c>
      <c r="K6985" s="24" t="str" cm="1">
        <f t="array" ref="K6985">IFERROR(IF($B6985=K$1, ($A6985+$C6985) - MAX(IF($B$2:$B6984=$B6985, $A$2:$A6984+$C$2:$C6984)), "")*24*60, "")</f>
        <v/>
      </c>
      <c r="L6985" s="24" t="str" cm="1">
        <f t="array" ref="L6985">IFERROR(IF($B6985=L$1, ($A6985+$C6985) - MAX(IF($B$2:$B6984=$B6985, $A$2:$A6984+$C$2:$C6984)), "")*24*60, "")</f>
        <v/>
      </c>
      <c r="M6985" s="24" t="str" cm="1">
        <f t="array" ref="M6985">IFERROR(IF($B6985=M$1, ($A6985+$C6985) - MAX(IF($B$2:$B6984=$B6985, $A$2:$A6984+$C$2:$C6984)), "")*24*60, "")</f>
        <v/>
      </c>
      <c r="N6985" s="24" t="str" cm="1">
        <f t="array" ref="N6985">IFERROR(IF($B6985=N$1, ($A6985+$C6985) - MAX(IF($B$2:$B6984=$B6985, $A$2:$A6984+$C$2:$C6984)), "")*24*60, "")</f>
        <v/>
      </c>
      <c r="O6985" s="24" t="str" cm="1">
        <f t="array" ref="O6985">IFERROR(IF($B6985=O$1, ($A6985+$C6985) - MAX(IF($B$2:$B6984=$B6985, $A$2:$A6984+$C$2:$C6984)), "")*24*60, "")</f>
        <v/>
      </c>
      <c r="P6985" s="24" t="str" cm="1">
        <f t="array" ref="P6985">IFERROR(IF($B6985=P$1, ($A6985+$C6985) - MAX(IF($B$2:$B6984=$B6985, $A$2:$A6984+$C$2:$C6984)), "")*24*60, "")</f>
        <v/>
      </c>
      <c r="Q6985" s="24" t="str" cm="1">
        <f t="array" ref="Q6985">IFERROR(IF($B6985=Q$1, ($A6985+$C6985) - MAX(IF($B$2:$B6984=$B6985, $A$2:$A6984+$C$2:$C6984)), "")*24*60, "")</f>
        <v/>
      </c>
      <c r="R6985" s="24" t="str" cm="1">
        <f t="array" ref="R6985">IFERROR(IF($B6985=R$1, ($A6985+$C6985) - MAX(IF($B$2:$B6984=$B6985, $A$2:$A6984+$C$2:$C6984)), "")*24*60, "")</f>
        <v/>
      </c>
      <c r="S6985" s="24" t="str" cm="1">
        <f t="array" ref="S6985">IFERROR(IF($B6985=S$1, ($A6985+$C6985) - MAX(IF($B$2:$B6984=$B6985, $A$2:$A6984+$C$2:$C6984)), "")*24*60, "")</f>
        <v/>
      </c>
    </row>
    <row r="6986" spans="1:19" x14ac:dyDescent="0.2">
      <c r="A6986" s="12">
        <f t="shared" ref="A6986:C6986" si="1331">A6985</f>
        <v>45997</v>
      </c>
      <c r="B6986" s="5" t="str">
        <f t="shared" si="1331"/>
        <v>Northern Cardinal</v>
      </c>
      <c r="C6986" s="6">
        <f t="shared" si="1331"/>
        <v>0.73611111111111116</v>
      </c>
      <c r="D6986" s="5"/>
      <c r="E6986" s="5"/>
      <c r="F6986" s="5" t="s">
        <v>22</v>
      </c>
      <c r="G6986" s="15" t="s">
        <v>22</v>
      </c>
      <c r="H6986" s="24">
        <f t="shared" si="1308"/>
        <v>0</v>
      </c>
      <c r="I6986" s="24" cm="1">
        <f t="array" ref="I6986">IFERROR(IF($B6986=I$1, ($A6986+$C6986) - MAX(IF($B$2:$B6985=$B6986, $A$2:$A6985+$C$2:$C6985)), "")*24*60, "")</f>
        <v>0</v>
      </c>
      <c r="J6986" s="24" t="str" cm="1">
        <f t="array" ref="J6986">IFERROR(IF($B6986=J$1, ($A6986+$C6986) - MAX(IF($B$2:$B6985=$B6986, $A$2:$A6985+$C$2:$C6985)), "")*24*60, "")</f>
        <v/>
      </c>
      <c r="K6986" s="24" t="str" cm="1">
        <f t="array" ref="K6986">IFERROR(IF($B6986=K$1, ($A6986+$C6986) - MAX(IF($B$2:$B6985=$B6986, $A$2:$A6985+$C$2:$C6985)), "")*24*60, "")</f>
        <v/>
      </c>
      <c r="L6986" s="24" t="str" cm="1">
        <f t="array" ref="L6986">IFERROR(IF($B6986=L$1, ($A6986+$C6986) - MAX(IF($B$2:$B6985=$B6986, $A$2:$A6985+$C$2:$C6985)), "")*24*60, "")</f>
        <v/>
      </c>
      <c r="M6986" s="24" t="str" cm="1">
        <f t="array" ref="M6986">IFERROR(IF($B6986=M$1, ($A6986+$C6986) - MAX(IF($B$2:$B6985=$B6986, $A$2:$A6985+$C$2:$C6985)), "")*24*60, "")</f>
        <v/>
      </c>
      <c r="N6986" s="24" t="str" cm="1">
        <f t="array" ref="N6986">IFERROR(IF($B6986=N$1, ($A6986+$C6986) - MAX(IF($B$2:$B6985=$B6986, $A$2:$A6985+$C$2:$C6985)), "")*24*60, "")</f>
        <v/>
      </c>
      <c r="O6986" s="24" t="str" cm="1">
        <f t="array" ref="O6986">IFERROR(IF($B6986=O$1, ($A6986+$C6986) - MAX(IF($B$2:$B6985=$B6986, $A$2:$A6985+$C$2:$C6985)), "")*24*60, "")</f>
        <v/>
      </c>
      <c r="P6986" s="24" t="str" cm="1">
        <f t="array" ref="P6986">IFERROR(IF($B6986=P$1, ($A6986+$C6986) - MAX(IF($B$2:$B6985=$B6986, $A$2:$A6985+$C$2:$C6985)), "")*24*60, "")</f>
        <v/>
      </c>
      <c r="Q6986" s="24" t="str" cm="1">
        <f t="array" ref="Q6986">IFERROR(IF($B6986=Q$1, ($A6986+$C6986) - MAX(IF($B$2:$B6985=$B6986, $A$2:$A6985+$C$2:$C6985)), "")*24*60, "")</f>
        <v/>
      </c>
      <c r="R6986" s="24" t="str" cm="1">
        <f t="array" ref="R6986">IFERROR(IF($B6986=R$1, ($A6986+$C6986) - MAX(IF($B$2:$B6985=$B6986, $A$2:$A6985+$C$2:$C6985)), "")*24*60, "")</f>
        <v/>
      </c>
      <c r="S6986" s="24" t="str" cm="1">
        <f t="array" ref="S6986">IFERROR(IF($B6986=S$1, ($A6986+$C6986) - MAX(IF($B$2:$B6985=$B6986, $A$2:$A6985+$C$2:$C6985)), "")*24*60, "")</f>
        <v/>
      </c>
    </row>
    <row r="6987" spans="1:19" x14ac:dyDescent="0.2">
      <c r="A6987" s="12">
        <f t="shared" ref="A6987:C6987" si="1332">A6986</f>
        <v>45997</v>
      </c>
      <c r="B6987" s="5" t="str">
        <f t="shared" si="1332"/>
        <v>Northern Cardinal</v>
      </c>
      <c r="C6987" s="6">
        <f t="shared" si="1332"/>
        <v>0.73611111111111116</v>
      </c>
      <c r="D6987" s="5"/>
      <c r="E6987" s="5"/>
      <c r="F6987" s="5" t="s">
        <v>22</v>
      </c>
      <c r="G6987" s="15" t="s">
        <v>22</v>
      </c>
      <c r="H6987" s="24">
        <f t="shared" si="1308"/>
        <v>0</v>
      </c>
      <c r="I6987" s="24" cm="1">
        <f t="array" ref="I6987">IFERROR(IF($B6987=I$1, ($A6987+$C6987) - MAX(IF($B$2:$B6986=$B6987, $A$2:$A6986+$C$2:$C6986)), "")*24*60, "")</f>
        <v>0</v>
      </c>
      <c r="J6987" s="24" t="str" cm="1">
        <f t="array" ref="J6987">IFERROR(IF($B6987=J$1, ($A6987+$C6987) - MAX(IF($B$2:$B6986=$B6987, $A$2:$A6986+$C$2:$C6986)), "")*24*60, "")</f>
        <v/>
      </c>
      <c r="K6987" s="24" t="str" cm="1">
        <f t="array" ref="K6987">IFERROR(IF($B6987=K$1, ($A6987+$C6987) - MAX(IF($B$2:$B6986=$B6987, $A$2:$A6986+$C$2:$C6986)), "")*24*60, "")</f>
        <v/>
      </c>
      <c r="L6987" s="24" t="str" cm="1">
        <f t="array" ref="L6987">IFERROR(IF($B6987=L$1, ($A6987+$C6987) - MAX(IF($B$2:$B6986=$B6987, $A$2:$A6986+$C$2:$C6986)), "")*24*60, "")</f>
        <v/>
      </c>
      <c r="M6987" s="24" t="str" cm="1">
        <f t="array" ref="M6987">IFERROR(IF($B6987=M$1, ($A6987+$C6987) - MAX(IF($B$2:$B6986=$B6987, $A$2:$A6986+$C$2:$C6986)), "")*24*60, "")</f>
        <v/>
      </c>
      <c r="N6987" s="24" t="str" cm="1">
        <f t="array" ref="N6987">IFERROR(IF($B6987=N$1, ($A6987+$C6987) - MAX(IF($B$2:$B6986=$B6987, $A$2:$A6986+$C$2:$C6986)), "")*24*60, "")</f>
        <v/>
      </c>
      <c r="O6987" s="24" t="str" cm="1">
        <f t="array" ref="O6987">IFERROR(IF($B6987=O$1, ($A6987+$C6987) - MAX(IF($B$2:$B6986=$B6987, $A$2:$A6986+$C$2:$C6986)), "")*24*60, "")</f>
        <v/>
      </c>
      <c r="P6987" s="24" t="str" cm="1">
        <f t="array" ref="P6987">IFERROR(IF($B6987=P$1, ($A6987+$C6987) - MAX(IF($B$2:$B6986=$B6987, $A$2:$A6986+$C$2:$C6986)), "")*24*60, "")</f>
        <v/>
      </c>
      <c r="Q6987" s="24" t="str" cm="1">
        <f t="array" ref="Q6987">IFERROR(IF($B6987=Q$1, ($A6987+$C6987) - MAX(IF($B$2:$B6986=$B6987, $A$2:$A6986+$C$2:$C6986)), "")*24*60, "")</f>
        <v/>
      </c>
      <c r="R6987" s="24" t="str" cm="1">
        <f t="array" ref="R6987">IFERROR(IF($B6987=R$1, ($A6987+$C6987) - MAX(IF($B$2:$B6986=$B6987, $A$2:$A6986+$C$2:$C6986)), "")*24*60, "")</f>
        <v/>
      </c>
      <c r="S6987" s="24" t="str" cm="1">
        <f t="array" ref="S6987">IFERROR(IF($B6987=S$1, ($A6987+$C6987) - MAX(IF($B$2:$B6986=$B6987, $A$2:$A6986+$C$2:$C6986)), "")*24*60, "")</f>
        <v/>
      </c>
    </row>
    <row r="6988" spans="1:19" x14ac:dyDescent="0.2">
      <c r="A6988" s="12">
        <f t="shared" ref="A6988:C6988" si="1333">A6987</f>
        <v>45997</v>
      </c>
      <c r="B6988" s="5" t="str">
        <f t="shared" si="1333"/>
        <v>Northern Cardinal</v>
      </c>
      <c r="C6988" s="6">
        <f t="shared" si="1333"/>
        <v>0.73611111111111116</v>
      </c>
      <c r="D6988" s="5"/>
      <c r="E6988" s="5"/>
      <c r="F6988" s="5" t="s">
        <v>22</v>
      </c>
      <c r="G6988" s="15" t="s">
        <v>22</v>
      </c>
      <c r="H6988" s="24">
        <f t="shared" si="1308"/>
        <v>0</v>
      </c>
      <c r="I6988" s="24" cm="1">
        <f t="array" ref="I6988">IFERROR(IF($B6988=I$1, ($A6988+$C6988) - MAX(IF($B$2:$B6987=$B6988, $A$2:$A6987+$C$2:$C6987)), "")*24*60, "")</f>
        <v>0</v>
      </c>
      <c r="J6988" s="24" t="str" cm="1">
        <f t="array" ref="J6988">IFERROR(IF($B6988=J$1, ($A6988+$C6988) - MAX(IF($B$2:$B6987=$B6988, $A$2:$A6987+$C$2:$C6987)), "")*24*60, "")</f>
        <v/>
      </c>
      <c r="K6988" s="24" t="str" cm="1">
        <f t="array" ref="K6988">IFERROR(IF($B6988=K$1, ($A6988+$C6988) - MAX(IF($B$2:$B6987=$B6988, $A$2:$A6987+$C$2:$C6987)), "")*24*60, "")</f>
        <v/>
      </c>
      <c r="L6988" s="24" t="str" cm="1">
        <f t="array" ref="L6988">IFERROR(IF($B6988=L$1, ($A6988+$C6988) - MAX(IF($B$2:$B6987=$B6988, $A$2:$A6987+$C$2:$C6987)), "")*24*60, "")</f>
        <v/>
      </c>
      <c r="M6988" s="24" t="str" cm="1">
        <f t="array" ref="M6988">IFERROR(IF($B6988=M$1, ($A6988+$C6988) - MAX(IF($B$2:$B6987=$B6988, $A$2:$A6987+$C$2:$C6987)), "")*24*60, "")</f>
        <v/>
      </c>
      <c r="N6988" s="24" t="str" cm="1">
        <f t="array" ref="N6988">IFERROR(IF($B6988=N$1, ($A6988+$C6988) - MAX(IF($B$2:$B6987=$B6988, $A$2:$A6987+$C$2:$C6987)), "")*24*60, "")</f>
        <v/>
      </c>
      <c r="O6988" s="24" t="str" cm="1">
        <f t="array" ref="O6988">IFERROR(IF($B6988=O$1, ($A6988+$C6988) - MAX(IF($B$2:$B6987=$B6988, $A$2:$A6987+$C$2:$C6987)), "")*24*60, "")</f>
        <v/>
      </c>
      <c r="P6988" s="24" t="str" cm="1">
        <f t="array" ref="P6988">IFERROR(IF($B6988=P$1, ($A6988+$C6988) - MAX(IF($B$2:$B6987=$B6988, $A$2:$A6987+$C$2:$C6987)), "")*24*60, "")</f>
        <v/>
      </c>
      <c r="Q6988" s="24" t="str" cm="1">
        <f t="array" ref="Q6988">IFERROR(IF($B6988=Q$1, ($A6988+$C6988) - MAX(IF($B$2:$B6987=$B6988, $A$2:$A6987+$C$2:$C6987)), "")*24*60, "")</f>
        <v/>
      </c>
      <c r="R6988" s="24" t="str" cm="1">
        <f t="array" ref="R6988">IFERROR(IF($B6988=R$1, ($A6988+$C6988) - MAX(IF($B$2:$B6987=$B6988, $A$2:$A6987+$C$2:$C6987)), "")*24*60, "")</f>
        <v/>
      </c>
      <c r="S6988" s="24" t="str" cm="1">
        <f t="array" ref="S6988">IFERROR(IF($B6988=S$1, ($A6988+$C6988) - MAX(IF($B$2:$B6987=$B6988, $A$2:$A6987+$C$2:$C6987)), "")*24*60, "")</f>
        <v/>
      </c>
    </row>
    <row r="6989" spans="1:19" x14ac:dyDescent="0.2">
      <c r="A6989" s="12">
        <f t="shared" ref="A6989:C6989" si="1334">A6988</f>
        <v>45997</v>
      </c>
      <c r="B6989" s="5" t="str">
        <f t="shared" si="1334"/>
        <v>Northern Cardinal</v>
      </c>
      <c r="C6989" s="6">
        <f t="shared" si="1334"/>
        <v>0.73611111111111116</v>
      </c>
      <c r="D6989" s="5"/>
      <c r="E6989" s="5"/>
      <c r="F6989" s="5" t="s">
        <v>22</v>
      </c>
      <c r="G6989" s="15" t="s">
        <v>22</v>
      </c>
      <c r="H6989" s="24">
        <f t="shared" si="1308"/>
        <v>0</v>
      </c>
      <c r="I6989" s="24" cm="1">
        <f t="array" ref="I6989">IFERROR(IF($B6989=I$1, ($A6989+$C6989) - MAX(IF($B$2:$B6988=$B6989, $A$2:$A6988+$C$2:$C6988)), "")*24*60, "")</f>
        <v>0</v>
      </c>
      <c r="J6989" s="24" t="str" cm="1">
        <f t="array" ref="J6989">IFERROR(IF($B6989=J$1, ($A6989+$C6989) - MAX(IF($B$2:$B6988=$B6989, $A$2:$A6988+$C$2:$C6988)), "")*24*60, "")</f>
        <v/>
      </c>
      <c r="K6989" s="24" t="str" cm="1">
        <f t="array" ref="K6989">IFERROR(IF($B6989=K$1, ($A6989+$C6989) - MAX(IF($B$2:$B6988=$B6989, $A$2:$A6988+$C$2:$C6988)), "")*24*60, "")</f>
        <v/>
      </c>
      <c r="L6989" s="24" t="str" cm="1">
        <f t="array" ref="L6989">IFERROR(IF($B6989=L$1, ($A6989+$C6989) - MAX(IF($B$2:$B6988=$B6989, $A$2:$A6988+$C$2:$C6988)), "")*24*60, "")</f>
        <v/>
      </c>
      <c r="M6989" s="24" t="str" cm="1">
        <f t="array" ref="M6989">IFERROR(IF($B6989=M$1, ($A6989+$C6989) - MAX(IF($B$2:$B6988=$B6989, $A$2:$A6988+$C$2:$C6988)), "")*24*60, "")</f>
        <v/>
      </c>
      <c r="N6989" s="24" t="str" cm="1">
        <f t="array" ref="N6989">IFERROR(IF($B6989=N$1, ($A6989+$C6989) - MAX(IF($B$2:$B6988=$B6989, $A$2:$A6988+$C$2:$C6988)), "")*24*60, "")</f>
        <v/>
      </c>
      <c r="O6989" s="24" t="str" cm="1">
        <f t="array" ref="O6989">IFERROR(IF($B6989=O$1, ($A6989+$C6989) - MAX(IF($B$2:$B6988=$B6989, $A$2:$A6988+$C$2:$C6988)), "")*24*60, "")</f>
        <v/>
      </c>
      <c r="P6989" s="24" t="str" cm="1">
        <f t="array" ref="P6989">IFERROR(IF($B6989=P$1, ($A6989+$C6989) - MAX(IF($B$2:$B6988=$B6989, $A$2:$A6988+$C$2:$C6988)), "")*24*60, "")</f>
        <v/>
      </c>
      <c r="Q6989" s="24" t="str" cm="1">
        <f t="array" ref="Q6989">IFERROR(IF($B6989=Q$1, ($A6989+$C6989) - MAX(IF($B$2:$B6988=$B6989, $A$2:$A6988+$C$2:$C6988)), "")*24*60, "")</f>
        <v/>
      </c>
      <c r="R6989" s="24" t="str" cm="1">
        <f t="array" ref="R6989">IFERROR(IF($B6989=R$1, ($A6989+$C6989) - MAX(IF($B$2:$B6988=$B6989, $A$2:$A6988+$C$2:$C6988)), "")*24*60, "")</f>
        <v/>
      </c>
      <c r="S6989" s="24" t="str" cm="1">
        <f t="array" ref="S6989">IFERROR(IF($B6989=S$1, ($A6989+$C6989) - MAX(IF($B$2:$B6988=$B6989, $A$2:$A6988+$C$2:$C6988)), "")*24*60, "")</f>
        <v/>
      </c>
    </row>
    <row r="6990" spans="1:19" x14ac:dyDescent="0.2">
      <c r="A6990" s="12">
        <f t="shared" ref="A6990:C6990" si="1335">A6989</f>
        <v>45997</v>
      </c>
      <c r="B6990" s="5" t="str">
        <f t="shared" si="1335"/>
        <v>Northern Cardinal</v>
      </c>
      <c r="C6990" s="6">
        <f t="shared" si="1335"/>
        <v>0.73611111111111116</v>
      </c>
      <c r="D6990" s="5"/>
      <c r="E6990" s="5"/>
      <c r="F6990" s="5" t="s">
        <v>22</v>
      </c>
      <c r="G6990" s="15" t="s">
        <v>22</v>
      </c>
      <c r="H6990" s="24">
        <f t="shared" si="1308"/>
        <v>0</v>
      </c>
      <c r="I6990" s="24" cm="1">
        <f t="array" ref="I6990">IFERROR(IF($B6990=I$1, ($A6990+$C6990) - MAX(IF($B$2:$B6989=$B6990, $A$2:$A6989+$C$2:$C6989)), "")*24*60, "")</f>
        <v>0</v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t="str" cm="1">
        <f t="array" ref="L6990">IFERROR(IF($B6990=L$1, ($A6990+$C6990) - MAX(IF($B$2:$B6989=$B6990, $A$2:$A6989+$C$2:$C6989)), "")*24*60, "")</f>
        <v/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:C6991" si="1336">A6990</f>
        <v>45997</v>
      </c>
      <c r="B6991" s="5" t="str">
        <f t="shared" si="1336"/>
        <v>Northern Cardinal</v>
      </c>
      <c r="C6991" s="6">
        <f t="shared" si="1336"/>
        <v>0.73611111111111116</v>
      </c>
      <c r="D6991" s="5"/>
      <c r="E6991" s="5"/>
      <c r="F6991" s="5" t="s">
        <v>22</v>
      </c>
      <c r="G6991" s="15" t="s">
        <v>22</v>
      </c>
      <c r="H6991" s="24">
        <f t="shared" si="1308"/>
        <v>0</v>
      </c>
      <c r="I6991" s="24" cm="1">
        <f t="array" ref="I6991">IFERROR(IF($B6991=I$1, ($A6991+$C6991) - MAX(IF($B$2:$B6990=$B6991, $A$2:$A6990+$C$2:$C6990)), "")*24*60, "")</f>
        <v>0</v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t="str" cm="1">
        <f t="array" ref="O6991">IFERROR(IF($B6991=O$1, ($A6991+$C6991) - MAX(IF($B$2:$B6990=$B6991, $A$2:$A6990+$C$2:$C6990)), "")*24*60, "")</f>
        <v/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C6992" si="1337">A6991</f>
        <v>45997</v>
      </c>
      <c r="B6992" s="5" t="str">
        <f t="shared" si="1337"/>
        <v>Northern Cardinal</v>
      </c>
      <c r="C6992" s="6">
        <f t="shared" si="1337"/>
        <v>0.73611111111111116</v>
      </c>
      <c r="D6992" s="5"/>
      <c r="E6992" s="5"/>
      <c r="F6992" s="5" t="s">
        <v>22</v>
      </c>
      <c r="G6992" s="15" t="s">
        <v>22</v>
      </c>
      <c r="H6992" s="24">
        <f t="shared" si="1308"/>
        <v>0</v>
      </c>
      <c r="I6992" s="24" cm="1">
        <f t="array" ref="I6992">IFERROR(IF($B6992=I$1, ($A6992+$C6992) - MAX(IF($B$2:$B6991=$B6992, $A$2:$A6991+$C$2:$C6991)), "")*24*60, "")</f>
        <v>0</v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t="str" cm="1">
        <f t="array" ref="O6992">IFERROR(IF($B6992=O$1, ($A6992+$C6992) - MAX(IF($B$2:$B6991=$B6992, $A$2:$A6991+$C$2:$C6991)), "")*24*60, "")</f>
        <v/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38">A6992</f>
        <v>45997</v>
      </c>
      <c r="B6993" s="5" t="str">
        <f t="shared" si="1338"/>
        <v>Northern Cardinal</v>
      </c>
      <c r="C6993" s="6">
        <f t="shared" si="1338"/>
        <v>0.73611111111111116</v>
      </c>
      <c r="D6993" s="5"/>
      <c r="E6993" s="5"/>
      <c r="F6993" s="5" t="s">
        <v>22</v>
      </c>
      <c r="G6993" s="15" t="s">
        <v>22</v>
      </c>
      <c r="H6993" s="24">
        <f t="shared" si="1308"/>
        <v>0</v>
      </c>
      <c r="I6993" s="24" cm="1">
        <f t="array" ref="I6993">IFERROR(IF($B6993=I$1, ($A6993+$C6993) - MAX(IF($B$2:$B6992=$B6993, $A$2:$A6992+$C$2:$C6992)), "")*24*60, "")</f>
        <v>0</v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t="str" cm="1">
        <f t="array" ref="O6993">IFERROR(IF($B6993=O$1, ($A6993+$C6993) - MAX(IF($B$2:$B6992=$B6993, $A$2:$A6992+$C$2:$C6992)), "")*24*60, "")</f>
        <v/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C6994" si="1339">A6993</f>
        <v>45997</v>
      </c>
      <c r="B6994" s="5" t="str">
        <f t="shared" si="1339"/>
        <v>Northern Cardinal</v>
      </c>
      <c r="C6994" s="6">
        <f t="shared" si="1339"/>
        <v>0.73611111111111116</v>
      </c>
      <c r="D6994" s="5"/>
      <c r="E6994" s="5"/>
      <c r="F6994" s="5" t="s">
        <v>22</v>
      </c>
      <c r="G6994" s="15" t="s">
        <v>22</v>
      </c>
      <c r="H6994" s="24">
        <f t="shared" si="1308"/>
        <v>0</v>
      </c>
      <c r="I6994" s="24" cm="1">
        <f t="array" ref="I6994">IFERROR(IF($B6994=I$1, ($A6994+$C6994) - MAX(IF($B$2:$B6993=$B6994, $A$2:$A6993+$C$2:$C6993)), "")*24*60, "")</f>
        <v>0</v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t="str" cm="1">
        <f t="array" ref="O6994">IFERROR(IF($B6994=O$1, ($A6994+$C6994) - MAX(IF($B$2:$B6993=$B6994, $A$2:$A6993+$C$2:$C6993)), "")*24*60, "")</f>
        <v/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40">A6994</f>
        <v>45997</v>
      </c>
      <c r="B6995" s="5" t="str">
        <f t="shared" si="1340"/>
        <v>Northern Cardinal</v>
      </c>
      <c r="C6995" s="6">
        <f t="shared" si="1340"/>
        <v>0.73611111111111116</v>
      </c>
      <c r="D6995" s="5"/>
      <c r="E6995" s="5"/>
      <c r="F6995" s="5" t="s">
        <v>22</v>
      </c>
      <c r="G6995" s="15" t="s">
        <v>22</v>
      </c>
      <c r="H6995" s="24">
        <f t="shared" si="1308"/>
        <v>0</v>
      </c>
      <c r="I6995" s="24" cm="1">
        <f t="array" ref="I6995">IFERROR(IF($B6995=I$1, ($A6995+$C6995) - MAX(IF($B$2:$B6994=$B6995, $A$2:$A6994+$C$2:$C6994)), "")*24*60, "")</f>
        <v>0</v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t="str" cm="1">
        <f t="array" ref="O6995">IFERROR(IF($B6995=O$1, ($A6995+$C6995) - MAX(IF($B$2:$B6994=$B6995, $A$2:$A6994+$C$2:$C6994)), "")*24*60, "")</f>
        <v/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C6996" si="1341">A6995</f>
        <v>45997</v>
      </c>
      <c r="B6996" s="5" t="str">
        <f t="shared" si="1341"/>
        <v>Northern Cardinal</v>
      </c>
      <c r="C6996" s="6">
        <f t="shared" si="1341"/>
        <v>0.73611111111111116</v>
      </c>
      <c r="D6996" s="5"/>
      <c r="E6996" s="5"/>
      <c r="F6996" s="5" t="s">
        <v>22</v>
      </c>
      <c r="G6996" s="15" t="s">
        <v>22</v>
      </c>
      <c r="H6996" s="24">
        <f t="shared" si="1308"/>
        <v>0</v>
      </c>
      <c r="I6996" s="24" cm="1">
        <f t="array" ref="I6996">IFERROR(IF($B6996=I$1, ($A6996+$C6996) - MAX(IF($B$2:$B6995=$B6996, $A$2:$A6995+$C$2:$C6995)), "")*24*60, "")</f>
        <v>0</v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t="str" cm="1">
        <f t="array" ref="O6996">IFERROR(IF($B6996=O$1, ($A6996+$C6996) - MAX(IF($B$2:$B6995=$B6996, $A$2:$A6995+$C$2:$C6995)), "")*24*60, "")</f>
        <v/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2">
        <f t="shared" ref="A6997:C6997" si="1342">A6996</f>
        <v>45997</v>
      </c>
      <c r="B6997" s="5" t="str">
        <f t="shared" si="1342"/>
        <v>Northern Cardinal</v>
      </c>
      <c r="C6997" s="6">
        <f t="shared" si="1342"/>
        <v>0.73611111111111116</v>
      </c>
      <c r="D6997" s="5"/>
      <c r="E6997" s="5"/>
      <c r="F6997" s="5" t="s">
        <v>22</v>
      </c>
      <c r="G6997" s="15" t="s">
        <v>22</v>
      </c>
      <c r="H6997" s="24">
        <f t="shared" si="1308"/>
        <v>0</v>
      </c>
      <c r="I6997" s="24" cm="1">
        <f t="array" ref="I6997">IFERROR(IF($B6997=I$1, ($A6997+$C6997) - MAX(IF($B$2:$B6996=$B6997, $A$2:$A6996+$C$2:$C6996)), "")*24*60, "")</f>
        <v>0</v>
      </c>
      <c r="J6997" s="24" t="str" cm="1">
        <f t="array" ref="J6997">IFERROR(IF($B6997=J$1, ($A6997+$C6997) - MAX(IF($B$2:$B6996=$B6997, $A$2:$A6996+$C$2:$C6996)), "")*24*60, "")</f>
        <v/>
      </c>
      <c r="K6997" s="24" t="str" cm="1">
        <f t="array" ref="K6997">IFERROR(IF($B6997=K$1, ($A6997+$C6997) - MAX(IF($B$2:$B6996=$B6997, $A$2:$A6996+$C$2:$C6996)), "")*24*60, "")</f>
        <v/>
      </c>
      <c r="L6997" s="24" t="str" cm="1">
        <f t="array" ref="L6997">IFERROR(IF($B6997=L$1, ($A6997+$C6997) - MAX(IF($B$2:$B6996=$B6997, $A$2:$A6996+$C$2:$C6996)), "")*24*60, "")</f>
        <v/>
      </c>
      <c r="M6997" s="24" t="str" cm="1">
        <f t="array" ref="M6997">IFERROR(IF($B6997=M$1, ($A6997+$C6997) - MAX(IF($B$2:$B6996=$B6997, $A$2:$A6996+$C$2:$C6996)), "")*24*60, "")</f>
        <v/>
      </c>
      <c r="N6997" s="24" t="str" cm="1">
        <f t="array" ref="N6997">IFERROR(IF($B6997=N$1, ($A6997+$C6997) - MAX(IF($B$2:$B6996=$B6997, $A$2:$A6996+$C$2:$C6996)), "")*24*60, "")</f>
        <v/>
      </c>
      <c r="O6997" s="24" t="str" cm="1">
        <f t="array" ref="O6997">IFERROR(IF($B6997=O$1, ($A6997+$C6997) - MAX(IF($B$2:$B6996=$B6997, $A$2:$A6996+$C$2:$C6996)), "")*24*60, "")</f>
        <v/>
      </c>
      <c r="P6997" s="24" t="str" cm="1">
        <f t="array" ref="P6997">IFERROR(IF($B6997=P$1, ($A6997+$C6997) - MAX(IF($B$2:$B6996=$B6997, $A$2:$A6996+$C$2:$C6996)), "")*24*60, "")</f>
        <v/>
      </c>
      <c r="Q6997" s="24" t="str" cm="1">
        <f t="array" ref="Q6997">IFERROR(IF($B6997=Q$1, ($A6997+$C6997) - MAX(IF($B$2:$B6996=$B6997, $A$2:$A6996+$C$2:$C6996)), "")*24*60, "")</f>
        <v/>
      </c>
      <c r="R6997" s="24" t="str" cm="1">
        <f t="array" ref="R6997">IFERROR(IF($B6997=R$1, ($A6997+$C6997) - MAX(IF($B$2:$B6996=$B6997, $A$2:$A6996+$C$2:$C6996)), "")*24*60, "")</f>
        <v/>
      </c>
      <c r="S6997" s="24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f t="shared" ref="A6998:C6998" si="1343">A6997</f>
        <v>45997</v>
      </c>
      <c r="B6998" s="5" t="str">
        <f t="shared" si="1343"/>
        <v>Northern Cardinal</v>
      </c>
      <c r="C6998" s="6">
        <f t="shared" si="1343"/>
        <v>0.73611111111111116</v>
      </c>
      <c r="D6998" s="5"/>
      <c r="E6998" s="5"/>
      <c r="F6998" s="5" t="s">
        <v>22</v>
      </c>
      <c r="G6998" s="15" t="s">
        <v>22</v>
      </c>
      <c r="H6998" s="24">
        <f t="shared" si="1308"/>
        <v>0</v>
      </c>
      <c r="I6998" s="24" cm="1">
        <f t="array" ref="I6998">IFERROR(IF($B6998=I$1, ($A6998+$C6998) - MAX(IF($B$2:$B6997=$B6998, $A$2:$A6997+$C$2:$C6997)), "")*24*60, "")</f>
        <v>0</v>
      </c>
      <c r="J6998" s="24" t="str" cm="1">
        <f t="array" ref="J6998">IFERROR(IF($B6998=J$1, ($A6998+$C6998) - MAX(IF($B$2:$B6997=$B6998, $A$2:$A6997+$C$2:$C6997)), "")*24*60, "")</f>
        <v/>
      </c>
      <c r="K6998" s="24" t="str" cm="1">
        <f t="array" ref="K6998">IFERROR(IF($B6998=K$1, ($A6998+$C6998) - MAX(IF($B$2:$B6997=$B6998, $A$2:$A6997+$C$2:$C6997)), "")*24*60, "")</f>
        <v/>
      </c>
      <c r="L6998" s="24" t="str" cm="1">
        <f t="array" ref="L6998">IFERROR(IF($B6998=L$1, ($A6998+$C6998) - MAX(IF($B$2:$B6997=$B6998, $A$2:$A6997+$C$2:$C6997)), "")*24*60, "")</f>
        <v/>
      </c>
      <c r="M6998" s="24" t="str" cm="1">
        <f t="array" ref="M6998">IFERROR(IF($B6998=M$1, ($A6998+$C6998) - MAX(IF($B$2:$B6997=$B6998, $A$2:$A6997+$C$2:$C6997)), "")*24*60, "")</f>
        <v/>
      </c>
      <c r="N6998" s="24" t="str" cm="1">
        <f t="array" ref="N6998">IFERROR(IF($B6998=N$1, ($A6998+$C6998) - MAX(IF($B$2:$B6997=$B6998, $A$2:$A6997+$C$2:$C6997)), "")*24*60, "")</f>
        <v/>
      </c>
      <c r="O6998" s="24" t="str" cm="1">
        <f t="array" ref="O6998">IFERROR(IF($B6998=O$1, ($A6998+$C6998) - MAX(IF($B$2:$B6997=$B6998, $A$2:$A6997+$C$2:$C6997)), "")*24*60, "")</f>
        <v/>
      </c>
      <c r="P6998" s="24" t="str" cm="1">
        <f t="array" ref="P6998">IFERROR(IF($B6998=P$1, ($A6998+$C6998) - MAX(IF($B$2:$B6997=$B6998, $A$2:$A6997+$C$2:$C6997)), "")*24*60, "")</f>
        <v/>
      </c>
      <c r="Q6998" s="24" t="str" cm="1">
        <f t="array" ref="Q6998">IFERROR(IF($B6998=Q$1, ($A6998+$C6998) - MAX(IF($B$2:$B6997=$B6998, $A$2:$A6997+$C$2:$C6997)), "")*24*60, "")</f>
        <v/>
      </c>
      <c r="R6998" s="24" t="str" cm="1">
        <f t="array" ref="R6998">IFERROR(IF($B6998=R$1, ($A6998+$C6998) - MAX(IF($B$2:$B6997=$B6998, $A$2:$A6997+$C$2:$C6997)), "")*24*60, "")</f>
        <v/>
      </c>
      <c r="S6998" s="24" t="str" cm="1">
        <f t="array" ref="S6998">IFERROR(IF($B6998=S$1, ($A6998+$C6998) - MAX(IF($B$2:$B6997=$B6998, $A$2:$A6997+$C$2:$C6997)), "")*24*60, "")</f>
        <v/>
      </c>
    </row>
    <row r="6999" spans="1:19" x14ac:dyDescent="0.2">
      <c r="A6999" s="12">
        <f t="shared" ref="A6999:C6999" si="1344">A6998</f>
        <v>45997</v>
      </c>
      <c r="B6999" s="5" t="str">
        <f t="shared" si="1344"/>
        <v>Northern Cardinal</v>
      </c>
      <c r="C6999" s="6">
        <f t="shared" si="1344"/>
        <v>0.73611111111111116</v>
      </c>
      <c r="D6999" s="5"/>
      <c r="E6999" s="5"/>
      <c r="F6999" s="5" t="s">
        <v>22</v>
      </c>
      <c r="G6999" s="15" t="s">
        <v>22</v>
      </c>
      <c r="H6999" s="24">
        <f t="shared" si="1308"/>
        <v>0</v>
      </c>
      <c r="I6999" s="24" cm="1">
        <f t="array" ref="I6999">IFERROR(IF($B6999=I$1, ($A6999+$C6999) - MAX(IF($B$2:$B6998=$B6999, $A$2:$A6998+$C$2:$C6998)), "")*24*60, "")</f>
        <v>0</v>
      </c>
      <c r="J6999" s="24" t="str" cm="1">
        <f t="array" ref="J6999">IFERROR(IF($B6999=J$1, ($A6999+$C6999) - MAX(IF($B$2:$B6998=$B6999, $A$2:$A6998+$C$2:$C6998)), "")*24*60, "")</f>
        <v/>
      </c>
      <c r="K6999" s="24" t="str" cm="1">
        <f t="array" ref="K6999">IFERROR(IF($B6999=K$1, ($A6999+$C6999) - MAX(IF($B$2:$B6998=$B6999, $A$2:$A6998+$C$2:$C6998)), "")*24*60, "")</f>
        <v/>
      </c>
      <c r="L6999" s="24" t="str" cm="1">
        <f t="array" ref="L6999">IFERROR(IF($B6999=L$1, ($A6999+$C6999) - MAX(IF($B$2:$B6998=$B6999, $A$2:$A6998+$C$2:$C6998)), "")*24*60, "")</f>
        <v/>
      </c>
      <c r="M6999" s="24" t="str" cm="1">
        <f t="array" ref="M6999">IFERROR(IF($B6999=M$1, ($A6999+$C6999) - MAX(IF($B$2:$B6998=$B6999, $A$2:$A6998+$C$2:$C6998)), "")*24*60, "")</f>
        <v/>
      </c>
      <c r="N6999" s="24" t="str" cm="1">
        <f t="array" ref="N6999">IFERROR(IF($B6999=N$1, ($A6999+$C6999) - MAX(IF($B$2:$B6998=$B6999, $A$2:$A6998+$C$2:$C6998)), "")*24*60, "")</f>
        <v/>
      </c>
      <c r="O6999" s="24" t="str" cm="1">
        <f t="array" ref="O6999">IFERROR(IF($B6999=O$1, ($A6999+$C6999) - MAX(IF($B$2:$B6998=$B6999, $A$2:$A6998+$C$2:$C6998)), "")*24*60, "")</f>
        <v/>
      </c>
      <c r="P6999" s="24" t="str" cm="1">
        <f t="array" ref="P6999">IFERROR(IF($B6999=P$1, ($A6999+$C6999) - MAX(IF($B$2:$B6998=$B6999, $A$2:$A6998+$C$2:$C6998)), "")*24*60, "")</f>
        <v/>
      </c>
      <c r="Q6999" s="24" t="str" cm="1">
        <f t="array" ref="Q6999">IFERROR(IF($B6999=Q$1, ($A6999+$C6999) - MAX(IF($B$2:$B6998=$B6999, $A$2:$A6998+$C$2:$C6998)), "")*24*60, "")</f>
        <v/>
      </c>
      <c r="R6999" s="24" t="str" cm="1">
        <f t="array" ref="R6999">IFERROR(IF($B6999=R$1, ($A6999+$C6999) - MAX(IF($B$2:$B6998=$B6999, $A$2:$A6998+$C$2:$C6998)), "")*24*60, "")</f>
        <v/>
      </c>
      <c r="S6999" s="24" t="str" cm="1">
        <f t="array" ref="S6999">IFERROR(IF($B6999=S$1, ($A6999+$C6999) - MAX(IF($B$2:$B6998=$B6999, $A$2:$A6998+$C$2:$C6998)), "")*24*60, "")</f>
        <v/>
      </c>
    </row>
    <row r="7000" spans="1:19" x14ac:dyDescent="0.2">
      <c r="A7000" s="12">
        <f t="shared" ref="A7000:C7000" si="1345">A6999</f>
        <v>45997</v>
      </c>
      <c r="B7000" s="5" t="str">
        <f t="shared" si="1345"/>
        <v>Northern Cardinal</v>
      </c>
      <c r="C7000" s="6">
        <f t="shared" si="1345"/>
        <v>0.73611111111111116</v>
      </c>
      <c r="D7000" s="5"/>
      <c r="E7000" s="5"/>
      <c r="F7000" s="5" t="s">
        <v>22</v>
      </c>
      <c r="G7000" s="15" t="s">
        <v>22</v>
      </c>
      <c r="H7000" s="24">
        <f t="shared" ref="H7000:H7063" si="1346">IFERROR((($A7000+$C7000) - ($A6999+$C6999))*24*60, "")</f>
        <v>0</v>
      </c>
      <c r="I7000" s="24" cm="1">
        <f t="array" ref="I7000">IFERROR(IF($B7000=I$1, ($A7000+$C7000) - MAX(IF($B$2:$B6999=$B7000, $A$2:$A6999+$C$2:$C6999)), "")*24*60, "")</f>
        <v>0</v>
      </c>
      <c r="J7000" s="24" t="str" cm="1">
        <f t="array" ref="J7000">IFERROR(IF($B7000=J$1, ($A7000+$C7000) - MAX(IF($B$2:$B6999=$B7000, $A$2:$A6999+$C$2:$C6999)), "")*24*60, "")</f>
        <v/>
      </c>
      <c r="K7000" s="24" t="str" cm="1">
        <f t="array" ref="K7000">IFERROR(IF($B7000=K$1, ($A7000+$C7000) - MAX(IF($B$2:$B6999=$B7000, $A$2:$A6999+$C$2:$C6999)), "")*24*60, "")</f>
        <v/>
      </c>
      <c r="L7000" s="24" t="str" cm="1">
        <f t="array" ref="L7000">IFERROR(IF($B7000=L$1, ($A7000+$C7000) - MAX(IF($B$2:$B6999=$B7000, $A$2:$A6999+$C$2:$C6999)), "")*24*60, "")</f>
        <v/>
      </c>
      <c r="M7000" s="24" t="str" cm="1">
        <f t="array" ref="M7000">IFERROR(IF($B7000=M$1, ($A7000+$C7000) - MAX(IF($B$2:$B6999=$B7000, $A$2:$A6999+$C$2:$C6999)), "")*24*60, "")</f>
        <v/>
      </c>
      <c r="N7000" s="24" t="str" cm="1">
        <f t="array" ref="N7000">IFERROR(IF($B7000=N$1, ($A7000+$C7000) - MAX(IF($B$2:$B6999=$B7000, $A$2:$A6999+$C$2:$C6999)), "")*24*60, "")</f>
        <v/>
      </c>
      <c r="O7000" s="24" t="str" cm="1">
        <f t="array" ref="O7000">IFERROR(IF($B7000=O$1, ($A7000+$C7000) - MAX(IF($B$2:$B6999=$B7000, $A$2:$A6999+$C$2:$C6999)), "")*24*60, "")</f>
        <v/>
      </c>
      <c r="P7000" s="24" t="str" cm="1">
        <f t="array" ref="P7000">IFERROR(IF($B7000=P$1, ($A7000+$C7000) - MAX(IF($B$2:$B6999=$B7000, $A$2:$A6999+$C$2:$C6999)), "")*24*60, "")</f>
        <v/>
      </c>
      <c r="Q7000" s="24" t="str" cm="1">
        <f t="array" ref="Q7000">IFERROR(IF($B7000=Q$1, ($A7000+$C7000) - MAX(IF($B$2:$B6999=$B7000, $A$2:$A6999+$C$2:$C6999)), "")*24*60, "")</f>
        <v/>
      </c>
      <c r="R7000" s="24" t="str" cm="1">
        <f t="array" ref="R7000">IFERROR(IF($B7000=R$1, ($A7000+$C7000) - MAX(IF($B$2:$B6999=$B7000, $A$2:$A6999+$C$2:$C6999)), "")*24*60, "")</f>
        <v/>
      </c>
      <c r="S7000" s="24" t="str" cm="1">
        <f t="array" ref="S7000">IFERROR(IF($B7000=S$1, ($A7000+$C7000) - MAX(IF($B$2:$B6999=$B7000, $A$2:$A6999+$C$2:$C6999)), "")*24*60, "")</f>
        <v/>
      </c>
    </row>
    <row r="7001" spans="1:19" x14ac:dyDescent="0.2">
      <c r="A7001" s="12">
        <f t="shared" ref="A7001:C7001" si="1347">A7000</f>
        <v>45997</v>
      </c>
      <c r="B7001" s="5" t="str">
        <f t="shared" si="1347"/>
        <v>Northern Cardinal</v>
      </c>
      <c r="C7001" s="6">
        <f t="shared" si="1347"/>
        <v>0.73611111111111116</v>
      </c>
      <c r="D7001" s="5"/>
      <c r="E7001" s="5"/>
      <c r="F7001" s="5" t="s">
        <v>22</v>
      </c>
      <c r="G7001" s="15" t="s">
        <v>22</v>
      </c>
      <c r="H7001" s="24">
        <f t="shared" si="1346"/>
        <v>0</v>
      </c>
      <c r="I7001" s="24" cm="1">
        <f t="array" ref="I7001">IFERROR(IF($B7001=I$1, ($A7001+$C7001) - MAX(IF($B$2:$B7000=$B7001, $A$2:$A7000+$C$2:$C7000)), "")*24*60, "")</f>
        <v>0</v>
      </c>
      <c r="J7001" s="24" t="str" cm="1">
        <f t="array" ref="J7001">IFERROR(IF($B7001=J$1, ($A7001+$C7001) - MAX(IF($B$2:$B7000=$B7001, $A$2:$A7000+$C$2:$C7000)), "")*24*60, "")</f>
        <v/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t="str" cm="1">
        <f t="array" ref="O7001">IFERROR(IF($B7001=O$1, ($A7001+$C7001) - MAX(IF($B$2:$B7000=$B7001, $A$2:$A7000+$C$2:$C7000)), "")*24*60, "")</f>
        <v/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348">A7001</f>
        <v>45997</v>
      </c>
      <c r="B7002" s="5" t="str">
        <f t="shared" si="1348"/>
        <v>Northern Cardinal</v>
      </c>
      <c r="C7002" s="6">
        <f t="shared" si="1348"/>
        <v>0.73611111111111116</v>
      </c>
      <c r="D7002" s="5"/>
      <c r="E7002" s="5"/>
      <c r="F7002" s="5" t="s">
        <v>22</v>
      </c>
      <c r="G7002" s="15" t="s">
        <v>22</v>
      </c>
      <c r="H7002" s="24">
        <f t="shared" si="1346"/>
        <v>0</v>
      </c>
      <c r="I7002" s="24" cm="1">
        <f t="array" ref="I7002">IFERROR(IF($B7002=I$1, ($A7002+$C7002) - MAX(IF($B$2:$B7001=$B7002, $A$2:$A7001+$C$2:$C7001)), "")*24*60, "")</f>
        <v>0</v>
      </c>
      <c r="J7002" s="24" t="str" cm="1">
        <f t="array" ref="J7002">IFERROR(IF($B7002=J$1, ($A7002+$C7002) - MAX(IF($B$2:$B7001=$B7002, $A$2:$A7001+$C$2:$C7001)), "")*24*60, "")</f>
        <v/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t="str" cm="1">
        <f t="array" ref="O7002">IFERROR(IF($B7002=O$1, ($A7002+$C7002) - MAX(IF($B$2:$B7001=$B7002, $A$2:$A7001+$C$2:$C7001)), "")*24*60, "")</f>
        <v/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349">A7002</f>
        <v>45997</v>
      </c>
      <c r="B7003" s="5" t="str">
        <f t="shared" si="1349"/>
        <v>Northern Cardinal</v>
      </c>
      <c r="C7003" s="6">
        <f t="shared" si="1349"/>
        <v>0.73611111111111116</v>
      </c>
      <c r="D7003" s="5"/>
      <c r="E7003" s="5"/>
      <c r="F7003" s="5" t="s">
        <v>22</v>
      </c>
      <c r="G7003" s="15" t="s">
        <v>22</v>
      </c>
      <c r="H7003" s="24">
        <f t="shared" si="1346"/>
        <v>0</v>
      </c>
      <c r="I7003" s="24" cm="1">
        <f t="array" ref="I7003">IFERROR(IF($B7003=I$1, ($A7003+$C7003) - MAX(IF($B$2:$B7002=$B7003, $A$2:$A7002+$C$2:$C7002)), "")*24*60, "")</f>
        <v>0</v>
      </c>
      <c r="J7003" s="24" t="str" cm="1">
        <f t="array" ref="J7003">IFERROR(IF($B7003=J$1, ($A7003+$C7003) - MAX(IF($B$2:$B7002=$B7003, $A$2:$A7002+$C$2:$C7002)), "")*24*60, "")</f>
        <v/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t="str" cm="1">
        <f t="array" ref="O7003">IFERROR(IF($B7003=O$1, ($A7003+$C7003) - MAX(IF($B$2:$B7002=$B7003, $A$2:$A7002+$C$2:$C7002)), "")*24*60, "")</f>
        <v/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350">A7003</f>
        <v>45997</v>
      </c>
      <c r="B7004" s="5" t="str">
        <f t="shared" si="1350"/>
        <v>Northern Cardinal</v>
      </c>
      <c r="C7004" s="6">
        <f t="shared" si="1350"/>
        <v>0.73611111111111116</v>
      </c>
      <c r="D7004" s="5"/>
      <c r="E7004" s="5"/>
      <c r="F7004" s="5" t="s">
        <v>22</v>
      </c>
      <c r="G7004" s="15" t="s">
        <v>22</v>
      </c>
      <c r="H7004" s="24">
        <f t="shared" si="1346"/>
        <v>0</v>
      </c>
      <c r="I7004" s="24" cm="1">
        <f t="array" ref="I7004">IFERROR(IF($B7004=I$1, ($A7004+$C7004) - MAX(IF($B$2:$B7003=$B7004, $A$2:$A7003+$C$2:$C7003)), "")*24*60, "")</f>
        <v>0</v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t="str" cm="1">
        <f t="array" ref="O7004">IFERROR(IF($B7004=O$1, ($A7004+$C7004) - MAX(IF($B$2:$B7003=$B7004, $A$2:$A7003+$C$2:$C7003)), "")*24*60, "")</f>
        <v/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51">A7004</f>
        <v>45997</v>
      </c>
      <c r="B7005" s="5" t="str">
        <f t="shared" si="1351"/>
        <v>Northern Cardinal</v>
      </c>
      <c r="C7005" s="6">
        <f t="shared" si="1351"/>
        <v>0.73611111111111116</v>
      </c>
      <c r="D7005" s="5"/>
      <c r="E7005" s="5"/>
      <c r="F7005" s="5" t="s">
        <v>22</v>
      </c>
      <c r="G7005" s="15" t="s">
        <v>22</v>
      </c>
      <c r="H7005" s="24">
        <f t="shared" si="1346"/>
        <v>0</v>
      </c>
      <c r="I7005" s="24" cm="1">
        <f t="array" ref="I7005">IFERROR(IF($B7005=I$1, ($A7005+$C7005) - MAX(IF($B$2:$B7004=$B7005, $A$2:$A7004+$C$2:$C7004)), "")*24*60, "")</f>
        <v>0</v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t="str" cm="1">
        <f t="array" ref="O7005">IFERROR(IF($B7005=O$1, ($A7005+$C7005) - MAX(IF($B$2:$B7004=$B7005, $A$2:$A7004+$C$2:$C7004)), "")*24*60, "")</f>
        <v/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52">A7005</f>
        <v>45997</v>
      </c>
      <c r="B7006" s="5" t="str">
        <f t="shared" si="1352"/>
        <v>Northern Cardinal</v>
      </c>
      <c r="C7006" s="6">
        <f t="shared" si="1352"/>
        <v>0.73611111111111116</v>
      </c>
      <c r="D7006" s="5"/>
      <c r="E7006" s="5"/>
      <c r="F7006" s="5" t="s">
        <v>22</v>
      </c>
      <c r="G7006" s="15" t="s">
        <v>22</v>
      </c>
      <c r="H7006" s="24">
        <f t="shared" si="1346"/>
        <v>0</v>
      </c>
      <c r="I7006" s="24" cm="1">
        <f t="array" ref="I7006">IFERROR(IF($B7006=I$1, ($A7006+$C7006) - MAX(IF($B$2:$B7005=$B7006, $A$2:$A7005+$C$2:$C7005)), "")*24*60, "")</f>
        <v>0</v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t="str" cm="1">
        <f t="array" ref="O7006">IFERROR(IF($B7006=O$1, ($A7006+$C7006) - MAX(IF($B$2:$B7005=$B7006, $A$2:$A7005+$C$2:$C7005)), "")*24*60, "")</f>
        <v/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53">A7006</f>
        <v>45997</v>
      </c>
      <c r="B7007" s="5" t="str">
        <f t="shared" si="1353"/>
        <v>Northern Cardinal</v>
      </c>
      <c r="C7007" s="6">
        <f t="shared" si="1353"/>
        <v>0.73611111111111116</v>
      </c>
      <c r="D7007" s="5"/>
      <c r="E7007" s="5"/>
      <c r="F7007" s="5" t="s">
        <v>22</v>
      </c>
      <c r="G7007" s="15" t="s">
        <v>22</v>
      </c>
      <c r="H7007" s="24">
        <f t="shared" si="1346"/>
        <v>0</v>
      </c>
      <c r="I7007" s="24" cm="1">
        <f t="array" ref="I7007">IFERROR(IF($B7007=I$1, ($A7007+$C7007) - MAX(IF($B$2:$B7006=$B7007, $A$2:$A7006+$C$2:$C7006)), "")*24*60, "")</f>
        <v>0</v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t="str" cm="1">
        <f t="array" ref="O7007">IFERROR(IF($B7007=O$1, ($A7007+$C7007) - MAX(IF($B$2:$B7006=$B7007, $A$2:$A7006+$C$2:$C7006)), "")*24*60, "")</f>
        <v/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54">A7007</f>
        <v>45997</v>
      </c>
      <c r="B7008" s="5" t="str">
        <f t="shared" si="1354"/>
        <v>Northern Cardinal</v>
      </c>
      <c r="C7008" s="6">
        <f t="shared" si="1354"/>
        <v>0.73611111111111116</v>
      </c>
      <c r="D7008" s="5"/>
      <c r="E7008" s="5"/>
      <c r="F7008" s="5" t="s">
        <v>22</v>
      </c>
      <c r="G7008" s="15" t="s">
        <v>22</v>
      </c>
      <c r="H7008" s="24">
        <f t="shared" si="1346"/>
        <v>0</v>
      </c>
      <c r="I7008" s="24" cm="1">
        <f t="array" ref="I7008">IFERROR(IF($B7008=I$1, ($A7008+$C7008) - MAX(IF($B$2:$B7007=$B7008, $A$2:$A7007+$C$2:$C7007)), "")*24*60, "")</f>
        <v>0</v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t="str" cm="1">
        <f t="array" ref="O7008">IFERROR(IF($B7008=O$1, ($A7008+$C7008) - MAX(IF($B$2:$B7007=$B7008, $A$2:$A7007+$C$2:$C7007)), "")*24*60, "")</f>
        <v/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55">A7008</f>
        <v>45997</v>
      </c>
      <c r="B7009" s="5" t="str">
        <f t="shared" si="1355"/>
        <v>Northern Cardinal</v>
      </c>
      <c r="C7009" s="6">
        <f t="shared" si="1355"/>
        <v>0.73611111111111116</v>
      </c>
      <c r="D7009" s="5"/>
      <c r="E7009" s="5"/>
      <c r="F7009" s="5" t="s">
        <v>22</v>
      </c>
      <c r="G7009" s="15" t="s">
        <v>22</v>
      </c>
      <c r="H7009" s="24">
        <f t="shared" si="1346"/>
        <v>0</v>
      </c>
      <c r="I7009" s="24" cm="1">
        <f t="array" ref="I7009">IFERROR(IF($B7009=I$1, ($A7009+$C7009) - MAX(IF($B$2:$B7008=$B7009, $A$2:$A7008+$C$2:$C7008)), "")*24*60, "")</f>
        <v>0</v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t="str" cm="1">
        <f t="array" ref="O7009">IFERROR(IF($B7009=O$1, ($A7009+$C7009) - MAX(IF($B$2:$B7008=$B7009, $A$2:$A7008+$C$2:$C7008)), "")*24*60, "")</f>
        <v/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56">A7009</f>
        <v>45997</v>
      </c>
      <c r="B7010" s="5" t="str">
        <f t="shared" si="1356"/>
        <v>Northern Cardinal</v>
      </c>
      <c r="C7010" s="6">
        <f t="shared" si="1356"/>
        <v>0.73611111111111116</v>
      </c>
      <c r="D7010" s="5"/>
      <c r="E7010" s="5"/>
      <c r="F7010" s="5" t="s">
        <v>22</v>
      </c>
      <c r="G7010" s="15" t="s">
        <v>22</v>
      </c>
      <c r="H7010" s="24">
        <f t="shared" si="1346"/>
        <v>0</v>
      </c>
      <c r="I7010" s="24" cm="1">
        <f t="array" ref="I7010">IFERROR(IF($B7010=I$1, ($A7010+$C7010) - MAX(IF($B$2:$B7009=$B7010, $A$2:$A7009+$C$2:$C7009)), "")*24*60, "")</f>
        <v>0</v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t="str" cm="1">
        <f t="array" ref="O7010">IFERROR(IF($B7010=O$1, ($A7010+$C7010) - MAX(IF($B$2:$B7009=$B7010, $A$2:$A7009+$C$2:$C7009)), "")*24*60, "")</f>
        <v/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57">A7010</f>
        <v>45997</v>
      </c>
      <c r="B7011" s="5" t="str">
        <f t="shared" si="1357"/>
        <v>Northern Cardinal</v>
      </c>
      <c r="C7011" s="6">
        <f t="shared" si="1357"/>
        <v>0.73611111111111116</v>
      </c>
      <c r="D7011" s="5"/>
      <c r="E7011" s="5"/>
      <c r="F7011" s="5" t="s">
        <v>22</v>
      </c>
      <c r="G7011" s="15" t="s">
        <v>22</v>
      </c>
      <c r="H7011" s="24">
        <f t="shared" si="1346"/>
        <v>0</v>
      </c>
      <c r="I7011" s="24" cm="1">
        <f t="array" ref="I7011">IFERROR(IF($B7011=I$1, ($A7011+$C7011) - MAX(IF($B$2:$B7010=$B7011, $A$2:$A7010+$C$2:$C7010)), "")*24*60, "")</f>
        <v>0</v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t="str" cm="1">
        <f t="array" ref="O7011">IFERROR(IF($B7011=O$1, ($A7011+$C7011) - MAX(IF($B$2:$B7010=$B7011, $A$2:$A7010+$C$2:$C7010)), "")*24*60, "")</f>
        <v/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58">A7011</f>
        <v>45997</v>
      </c>
      <c r="B7012" s="5" t="str">
        <f t="shared" si="1358"/>
        <v>Northern Cardinal</v>
      </c>
      <c r="C7012" s="6">
        <f t="shared" si="1358"/>
        <v>0.73611111111111116</v>
      </c>
      <c r="D7012" s="5"/>
      <c r="E7012" s="5"/>
      <c r="F7012" s="5" t="s">
        <v>22</v>
      </c>
      <c r="G7012" s="15" t="s">
        <v>22</v>
      </c>
      <c r="H7012" s="24">
        <f t="shared" si="1346"/>
        <v>0</v>
      </c>
      <c r="I7012" s="24" cm="1">
        <f t="array" ref="I7012">IFERROR(IF($B7012=I$1, ($A7012+$C7012) - MAX(IF($B$2:$B7011=$B7012, $A$2:$A7011+$C$2:$C7011)), "")*24*60, "")</f>
        <v>0</v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t="str" cm="1">
        <f t="array" ref="O7012">IFERROR(IF($B7012=O$1, ($A7012+$C7012) - MAX(IF($B$2:$B7011=$B7012, $A$2:$A7011+$C$2:$C7011)), "")*24*60, "")</f>
        <v/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59">A7012</f>
        <v>45997</v>
      </c>
      <c r="B7013" s="5" t="str">
        <f t="shared" si="1359"/>
        <v>Northern Cardinal</v>
      </c>
      <c r="C7013" s="6">
        <f t="shared" si="1359"/>
        <v>0.73611111111111116</v>
      </c>
      <c r="D7013" s="5"/>
      <c r="E7013" s="5"/>
      <c r="F7013" s="5" t="s">
        <v>22</v>
      </c>
      <c r="G7013" s="15" t="s">
        <v>22</v>
      </c>
      <c r="H7013" s="24">
        <f t="shared" si="1346"/>
        <v>0</v>
      </c>
      <c r="I7013" s="24" cm="1">
        <f t="array" ref="I7013">IFERROR(IF($B7013=I$1, ($A7013+$C7013) - MAX(IF($B$2:$B7012=$B7013, $A$2:$A7012+$C$2:$C7012)), "")*24*60, "")</f>
        <v>0</v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t="str" cm="1">
        <f t="array" ref="O7013">IFERROR(IF($B7013=O$1, ($A7013+$C7013) - MAX(IF($B$2:$B7012=$B7013, $A$2:$A7012+$C$2:$C7012)), "")*24*60, "")</f>
        <v/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60">A7013</f>
        <v>45997</v>
      </c>
      <c r="B7014" s="5" t="str">
        <f t="shared" si="1360"/>
        <v>Northern Cardinal</v>
      </c>
      <c r="C7014" s="6">
        <f t="shared" si="1360"/>
        <v>0.73611111111111116</v>
      </c>
      <c r="D7014" s="5"/>
      <c r="E7014" s="5"/>
      <c r="F7014" s="5" t="s">
        <v>22</v>
      </c>
      <c r="G7014" s="15" t="s">
        <v>22</v>
      </c>
      <c r="H7014" s="24">
        <f t="shared" si="1346"/>
        <v>0</v>
      </c>
      <c r="I7014" s="24" cm="1">
        <f t="array" ref="I7014">IFERROR(IF($B7014=I$1, ($A7014+$C7014) - MAX(IF($B$2:$B7013=$B7014, $A$2:$A7013+$C$2:$C7013)), "")*24*60, "")</f>
        <v>0</v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t="str" cm="1">
        <f t="array" ref="O7014">IFERROR(IF($B7014=O$1, ($A7014+$C7014) - MAX(IF($B$2:$B7013=$B7014, $A$2:$A7013+$C$2:$C7013)), "")*24*60, "")</f>
        <v/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61">A7014</f>
        <v>45997</v>
      </c>
      <c r="B7015" s="5" t="str">
        <f t="shared" si="1361"/>
        <v>Northern Cardinal</v>
      </c>
      <c r="C7015" s="6">
        <f t="shared" si="1361"/>
        <v>0.73611111111111116</v>
      </c>
      <c r="D7015" s="5"/>
      <c r="E7015" s="5"/>
      <c r="F7015" s="5" t="s">
        <v>22</v>
      </c>
      <c r="G7015" s="15" t="s">
        <v>22</v>
      </c>
      <c r="H7015" s="24">
        <f t="shared" si="1346"/>
        <v>0</v>
      </c>
      <c r="I7015" s="24" cm="1">
        <f t="array" ref="I7015">IFERROR(IF($B7015=I$1, ($A7015+$C7015) - MAX(IF($B$2:$B7014=$B7015, $A$2:$A7014+$C$2:$C7014)), "")*24*60, "")</f>
        <v>0</v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t="str" cm="1">
        <f t="array" ref="O7015">IFERROR(IF($B7015=O$1, ($A7015+$C7015) - MAX(IF($B$2:$B7014=$B7015, $A$2:$A7014+$C$2:$C7014)), "")*24*60, "")</f>
        <v/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62">A7015</f>
        <v>45997</v>
      </c>
      <c r="B7016" s="5" t="str">
        <f t="shared" si="1362"/>
        <v>Northern Cardinal</v>
      </c>
      <c r="C7016" s="6">
        <f t="shared" si="1362"/>
        <v>0.73611111111111116</v>
      </c>
      <c r="D7016" s="5"/>
      <c r="E7016" s="5"/>
      <c r="F7016" s="5" t="s">
        <v>22</v>
      </c>
      <c r="G7016" s="15" t="s">
        <v>22</v>
      </c>
      <c r="H7016" s="24">
        <f t="shared" si="1346"/>
        <v>0</v>
      </c>
      <c r="I7016" s="24" cm="1">
        <f t="array" ref="I7016">IFERROR(IF($B7016=I$1, ($A7016+$C7016) - MAX(IF($B$2:$B7015=$B7016, $A$2:$A7015+$C$2:$C7015)), "")*24*60, "")</f>
        <v>0</v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t="str" cm="1">
        <f t="array" ref="O7016">IFERROR(IF($B7016=O$1, ($A7016+$C7016) - MAX(IF($B$2:$B7015=$B7016, $A$2:$A7015+$C$2:$C7015)), "")*24*60, "")</f>
        <v/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63">A7016</f>
        <v>45997</v>
      </c>
      <c r="B7017" s="5" t="str">
        <f t="shared" si="1363"/>
        <v>Northern Cardinal</v>
      </c>
      <c r="C7017" s="6">
        <f t="shared" si="1363"/>
        <v>0.73611111111111116</v>
      </c>
      <c r="D7017" s="5"/>
      <c r="E7017" s="5"/>
      <c r="F7017" s="5" t="s">
        <v>22</v>
      </c>
      <c r="G7017" s="15" t="s">
        <v>22</v>
      </c>
      <c r="H7017" s="24">
        <f t="shared" si="1346"/>
        <v>0</v>
      </c>
      <c r="I7017" s="24" cm="1">
        <f t="array" ref="I7017">IFERROR(IF($B7017=I$1, ($A7017+$C7017) - MAX(IF($B$2:$B7016=$B7017, $A$2:$A7016+$C$2:$C7016)), "")*24*60, "")</f>
        <v>0</v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t="str" cm="1">
        <f t="array" ref="O7017">IFERROR(IF($B7017=O$1, ($A7017+$C7017) - MAX(IF($B$2:$B7016=$B7017, $A$2:$A7016+$C$2:$C7016)), "")*24*60, "")</f>
        <v/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64">A7017</f>
        <v>45997</v>
      </c>
      <c r="B7018" s="5" t="str">
        <f t="shared" si="1364"/>
        <v>Northern Cardinal</v>
      </c>
      <c r="C7018" s="6">
        <f t="shared" si="1364"/>
        <v>0.73611111111111116</v>
      </c>
      <c r="D7018" s="5"/>
      <c r="E7018" s="5"/>
      <c r="F7018" s="5" t="s">
        <v>22</v>
      </c>
      <c r="G7018" s="15" t="s">
        <v>22</v>
      </c>
      <c r="H7018" s="24">
        <f t="shared" si="1346"/>
        <v>0</v>
      </c>
      <c r="I7018" s="24" cm="1">
        <f t="array" ref="I7018">IFERROR(IF($B7018=I$1, ($A7018+$C7018) - MAX(IF($B$2:$B7017=$B7018, $A$2:$A7017+$C$2:$C7017)), "")*24*60, "")</f>
        <v>0</v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t="str" cm="1">
        <f t="array" ref="O7018">IFERROR(IF($B7018=O$1, ($A7018+$C7018) - MAX(IF($B$2:$B7017=$B7018, $A$2:$A7017+$C$2:$C7017)), "")*24*60, "")</f>
        <v/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65">A7018</f>
        <v>45997</v>
      </c>
      <c r="B7019" s="5" t="str">
        <f t="shared" si="1365"/>
        <v>Northern Cardinal</v>
      </c>
      <c r="C7019" s="6">
        <f t="shared" si="1365"/>
        <v>0.73611111111111116</v>
      </c>
      <c r="D7019" s="5"/>
      <c r="E7019" s="5"/>
      <c r="F7019" s="5" t="s">
        <v>22</v>
      </c>
      <c r="G7019" s="15" t="s">
        <v>22</v>
      </c>
      <c r="H7019" s="24">
        <f t="shared" si="1346"/>
        <v>0</v>
      </c>
      <c r="I7019" s="24" cm="1">
        <f t="array" ref="I7019">IFERROR(IF($B7019=I$1, ($A7019+$C7019) - MAX(IF($B$2:$B7018=$B7019, $A$2:$A7018+$C$2:$C7018)), "")*24*60, "")</f>
        <v>0</v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t="str" cm="1">
        <f t="array" ref="O7019">IFERROR(IF($B7019=O$1, ($A7019+$C7019) - MAX(IF($B$2:$B7018=$B7019, $A$2:$A7018+$C$2:$C7018)), "")*24*60, "")</f>
        <v/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66">A7019</f>
        <v>45997</v>
      </c>
      <c r="B7020" s="5" t="str">
        <f t="shared" si="1366"/>
        <v>Northern Cardinal</v>
      </c>
      <c r="C7020" s="6">
        <f t="shared" si="1366"/>
        <v>0.73611111111111116</v>
      </c>
      <c r="D7020" s="5"/>
      <c r="E7020" s="5"/>
      <c r="F7020" s="5" t="s">
        <v>22</v>
      </c>
      <c r="G7020" s="15" t="s">
        <v>22</v>
      </c>
      <c r="H7020" s="24">
        <f t="shared" si="1346"/>
        <v>0</v>
      </c>
      <c r="I7020" s="24" cm="1">
        <f t="array" ref="I7020">IFERROR(IF($B7020=I$1, ($A7020+$C7020) - MAX(IF($B$2:$B7019=$B7020, $A$2:$A7019+$C$2:$C7019)), "")*24*60, "")</f>
        <v>0</v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t="str" cm="1">
        <f t="array" ref="O7020">IFERROR(IF($B7020=O$1, ($A7020+$C7020) - MAX(IF($B$2:$B7019=$B7020, $A$2:$A7019+$C$2:$C7019)), "")*24*60, "")</f>
        <v/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67">A7020</f>
        <v>45997</v>
      </c>
      <c r="B7021" s="5" t="str">
        <f t="shared" si="1367"/>
        <v>Northern Cardinal</v>
      </c>
      <c r="C7021" s="6">
        <f t="shared" si="1367"/>
        <v>0.73611111111111116</v>
      </c>
      <c r="D7021" s="5"/>
      <c r="E7021" s="5"/>
      <c r="F7021" s="5" t="s">
        <v>22</v>
      </c>
      <c r="G7021" s="15" t="s">
        <v>22</v>
      </c>
      <c r="H7021" s="24">
        <f t="shared" si="1346"/>
        <v>0</v>
      </c>
      <c r="I7021" s="24" cm="1">
        <f t="array" ref="I7021">IFERROR(IF($B7021=I$1, ($A7021+$C7021) - MAX(IF($B$2:$B7020=$B7021, $A$2:$A7020+$C$2:$C7020)), "")*24*60, "")</f>
        <v>0</v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t="str" cm="1">
        <f t="array" ref="O7021">IFERROR(IF($B7021=O$1, ($A7021+$C7021) - MAX(IF($B$2:$B7020=$B7021, $A$2:$A7020+$C$2:$C7020)), "")*24*60, "")</f>
        <v/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68">A7021</f>
        <v>45997</v>
      </c>
      <c r="B7022" s="5" t="str">
        <f t="shared" si="1368"/>
        <v>Northern Cardinal</v>
      </c>
      <c r="C7022" s="6">
        <f t="shared" si="1368"/>
        <v>0.73611111111111116</v>
      </c>
      <c r="D7022" s="5"/>
      <c r="E7022" s="5"/>
      <c r="F7022" s="5" t="s">
        <v>22</v>
      </c>
      <c r="G7022" s="15" t="s">
        <v>22</v>
      </c>
      <c r="H7022" s="24">
        <f t="shared" si="1346"/>
        <v>0</v>
      </c>
      <c r="I7022" s="24" cm="1">
        <f t="array" ref="I7022">IFERROR(IF($B7022=I$1, ($A7022+$C7022) - MAX(IF($B$2:$B7021=$B7022, $A$2:$A7021+$C$2:$C7021)), "")*24*60, "")</f>
        <v>0</v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t="str" cm="1">
        <f t="array" ref="O7022">IFERROR(IF($B7022=O$1, ($A7022+$C7022) - MAX(IF($B$2:$B7021=$B7022, $A$2:$A7021+$C$2:$C7021)), "")*24*60, "")</f>
        <v/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69">A7022</f>
        <v>45997</v>
      </c>
      <c r="B7023" s="5" t="str">
        <f t="shared" si="1369"/>
        <v>Northern Cardinal</v>
      </c>
      <c r="C7023" s="6">
        <f t="shared" si="1369"/>
        <v>0.73611111111111116</v>
      </c>
      <c r="D7023" s="5"/>
      <c r="E7023" s="5"/>
      <c r="F7023" s="5" t="s">
        <v>22</v>
      </c>
      <c r="G7023" s="15" t="s">
        <v>22</v>
      </c>
      <c r="H7023" s="24">
        <f t="shared" si="1346"/>
        <v>0</v>
      </c>
      <c r="I7023" s="24" cm="1">
        <f t="array" ref="I7023">IFERROR(IF($B7023=I$1, ($A7023+$C7023) - MAX(IF($B$2:$B7022=$B7023, $A$2:$A7022+$C$2:$C7022)), "")*24*60, "")</f>
        <v>0</v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t="str" cm="1">
        <f t="array" ref="O7023">IFERROR(IF($B7023=O$1, ($A7023+$C7023) - MAX(IF($B$2:$B7022=$B7023, $A$2:$A7022+$C$2:$C7022)), "")*24*60, "")</f>
        <v/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70">A7023</f>
        <v>45997</v>
      </c>
      <c r="B7024" s="5" t="str">
        <f t="shared" si="1370"/>
        <v>Northern Cardinal</v>
      </c>
      <c r="C7024" s="6">
        <f t="shared" si="1370"/>
        <v>0.73611111111111116</v>
      </c>
      <c r="D7024" s="5"/>
      <c r="E7024" s="5"/>
      <c r="F7024" s="5" t="s">
        <v>22</v>
      </c>
      <c r="G7024" s="15" t="s">
        <v>22</v>
      </c>
      <c r="H7024" s="24">
        <f t="shared" si="1346"/>
        <v>0</v>
      </c>
      <c r="I7024" s="24" cm="1">
        <f t="array" ref="I7024">IFERROR(IF($B7024=I$1, ($A7024+$C7024) - MAX(IF($B$2:$B7023=$B7024, $A$2:$A7023+$C$2:$C7023)), "")*24*60, "")</f>
        <v>0</v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t="str" cm="1">
        <f t="array" ref="O7024">IFERROR(IF($B7024=O$1, ($A7024+$C7024) - MAX(IF($B$2:$B7023=$B7024, $A$2:$A7023+$C$2:$C7023)), "")*24*60, "")</f>
        <v/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71">A7024</f>
        <v>45997</v>
      </c>
      <c r="B7025" s="5" t="str">
        <f t="shared" si="1371"/>
        <v>Northern Cardinal</v>
      </c>
      <c r="C7025" s="6">
        <f t="shared" si="1371"/>
        <v>0.73611111111111116</v>
      </c>
      <c r="D7025" s="5"/>
      <c r="E7025" s="5"/>
      <c r="F7025" s="5" t="s">
        <v>22</v>
      </c>
      <c r="G7025" s="15" t="s">
        <v>22</v>
      </c>
      <c r="H7025" s="24">
        <f t="shared" si="1346"/>
        <v>0</v>
      </c>
      <c r="I7025" s="24" cm="1">
        <f t="array" ref="I7025">IFERROR(IF($B7025=I$1, ($A7025+$C7025) - MAX(IF($B$2:$B7024=$B7025, $A$2:$A7024+$C$2:$C7024)), "")*24*60, "")</f>
        <v>0</v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t="str" cm="1">
        <f t="array" ref="O7025">IFERROR(IF($B7025=O$1, ($A7025+$C7025) - MAX(IF($B$2:$B7024=$B7025, $A$2:$A7024+$C$2:$C7024)), "")*24*60, "")</f>
        <v/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72">A7025</f>
        <v>45997</v>
      </c>
      <c r="B7026" s="5" t="str">
        <f t="shared" si="1372"/>
        <v>Northern Cardinal</v>
      </c>
      <c r="C7026" s="6">
        <f t="shared" si="1372"/>
        <v>0.73611111111111116</v>
      </c>
      <c r="D7026" s="5"/>
      <c r="E7026" s="5"/>
      <c r="F7026" s="5" t="s">
        <v>22</v>
      </c>
      <c r="G7026" s="15" t="s">
        <v>22</v>
      </c>
      <c r="H7026" s="24">
        <f t="shared" si="1346"/>
        <v>0</v>
      </c>
      <c r="I7026" s="24" cm="1">
        <f t="array" ref="I7026">IFERROR(IF($B7026=I$1, ($A7026+$C7026) - MAX(IF($B$2:$B7025=$B7026, $A$2:$A7025+$C$2:$C7025)), "")*24*60, "")</f>
        <v>0</v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t="str" cm="1">
        <f t="array" ref="O7026">IFERROR(IF($B7026=O$1, ($A7026+$C7026) - MAX(IF($B$2:$B7025=$B7026, $A$2:$A7025+$C$2:$C7025)), "")*24*60, "")</f>
        <v/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73">A7026</f>
        <v>45997</v>
      </c>
      <c r="B7027" s="5" t="str">
        <f t="shared" si="1373"/>
        <v>Northern Cardinal</v>
      </c>
      <c r="C7027" s="6">
        <f t="shared" si="1373"/>
        <v>0.73611111111111116</v>
      </c>
      <c r="D7027" s="5"/>
      <c r="E7027" s="5"/>
      <c r="F7027" s="5" t="s">
        <v>22</v>
      </c>
      <c r="G7027" s="15" t="s">
        <v>22</v>
      </c>
      <c r="H7027" s="24">
        <f t="shared" si="1346"/>
        <v>0</v>
      </c>
      <c r="I7027" s="24" cm="1">
        <f t="array" ref="I7027">IFERROR(IF($B7027=I$1, ($A7027+$C7027) - MAX(IF($B$2:$B7026=$B7027, $A$2:$A7026+$C$2:$C7026)), "")*24*60, "")</f>
        <v>0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74">A7027</f>
        <v>45997</v>
      </c>
      <c r="B7028" s="5" t="str">
        <f t="shared" si="1374"/>
        <v>Northern Cardinal</v>
      </c>
      <c r="C7028" s="6">
        <f t="shared" si="1374"/>
        <v>0.73611111111111116</v>
      </c>
      <c r="D7028" s="5"/>
      <c r="E7028" s="5"/>
      <c r="F7028" s="5" t="s">
        <v>22</v>
      </c>
      <c r="G7028" s="15" t="s">
        <v>22</v>
      </c>
      <c r="H7028" s="24">
        <f t="shared" si="1346"/>
        <v>0</v>
      </c>
      <c r="I7028" s="24" cm="1">
        <f t="array" ref="I7028">IFERROR(IF($B7028=I$1, ($A7028+$C7028) - MAX(IF($B$2:$B7027=$B7028, $A$2:$A7027+$C$2:$C7027)), "")*24*60, "")</f>
        <v>0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75">A7028</f>
        <v>45997</v>
      </c>
      <c r="B7029" s="5" t="str">
        <f t="shared" si="1375"/>
        <v>Northern Cardinal</v>
      </c>
      <c r="C7029" s="6">
        <f t="shared" si="1375"/>
        <v>0.73611111111111116</v>
      </c>
      <c r="D7029" s="5"/>
      <c r="E7029" s="5"/>
      <c r="F7029" s="5" t="s">
        <v>22</v>
      </c>
      <c r="G7029" s="15" t="s">
        <v>22</v>
      </c>
      <c r="H7029" s="24">
        <f t="shared" si="1346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76">A7029</f>
        <v>45997</v>
      </c>
      <c r="B7030" s="5" t="str">
        <f t="shared" si="1376"/>
        <v>Northern Cardinal</v>
      </c>
      <c r="C7030" s="6">
        <f t="shared" si="1376"/>
        <v>0.73611111111111116</v>
      </c>
      <c r="D7030" s="5"/>
      <c r="E7030" s="5"/>
      <c r="F7030" s="5" t="s">
        <v>22</v>
      </c>
      <c r="G7030" s="15" t="s">
        <v>22</v>
      </c>
      <c r="H7030" s="24">
        <f t="shared" si="1346"/>
        <v>0</v>
      </c>
      <c r="I7030" s="24" cm="1">
        <f t="array" ref="I7030">IFERROR(IF($B7030=I$1, ($A7030+$C7030) - MAX(IF($B$2:$B7029=$B7030, $A$2:$A7029+$C$2:$C7029)), "")*24*60, "")</f>
        <v>0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77">A7030</f>
        <v>45997</v>
      </c>
      <c r="B7031" s="5" t="str">
        <f t="shared" si="1377"/>
        <v>Northern Cardinal</v>
      </c>
      <c r="C7031" s="6">
        <f t="shared" si="1377"/>
        <v>0.73611111111111116</v>
      </c>
      <c r="D7031" s="5"/>
      <c r="E7031" s="5"/>
      <c r="F7031" s="5" t="s">
        <v>22</v>
      </c>
      <c r="G7031" s="15" t="s">
        <v>22</v>
      </c>
      <c r="H7031" s="24">
        <f t="shared" si="1346"/>
        <v>0</v>
      </c>
      <c r="I7031" s="24" cm="1">
        <f t="array" ref="I7031">IFERROR(IF($B7031=I$1, ($A7031+$C7031) - MAX(IF($B$2:$B7030=$B7031, $A$2:$A7030+$C$2:$C7030)), "")*24*60, "")</f>
        <v>0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78">A7031</f>
        <v>45997</v>
      </c>
      <c r="B7032" s="5" t="str">
        <f t="shared" si="1378"/>
        <v>Northern Cardinal</v>
      </c>
      <c r="C7032" s="6">
        <f t="shared" si="1378"/>
        <v>0.73611111111111116</v>
      </c>
      <c r="D7032" s="5"/>
      <c r="E7032" s="5"/>
      <c r="F7032" s="5" t="s">
        <v>22</v>
      </c>
      <c r="G7032" s="15" t="s">
        <v>22</v>
      </c>
      <c r="H7032" s="24">
        <f t="shared" si="1346"/>
        <v>0</v>
      </c>
      <c r="I7032" s="24" cm="1">
        <f t="array" ref="I7032">IFERROR(IF($B7032=I$1, ($A7032+$C7032) - MAX(IF($B$2:$B7031=$B7032, $A$2:$A7031+$C$2:$C7031)), "")*24*60, "")</f>
        <v>0</v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t="str" cm="1">
        <f t="array" ref="O7032">IFERROR(IF($B7032=O$1, ($A7032+$C7032) - MAX(IF($B$2:$B7031=$B7032, $A$2:$A7031+$C$2:$C7031)), "")*24*60, "")</f>
        <v/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79">A7032</f>
        <v>45997</v>
      </c>
      <c r="B7033" s="5" t="str">
        <f t="shared" si="1379"/>
        <v>Northern Cardinal</v>
      </c>
      <c r="C7033" s="6">
        <f t="shared" si="1379"/>
        <v>0.73611111111111116</v>
      </c>
      <c r="D7033" s="5"/>
      <c r="E7033" s="5"/>
      <c r="F7033" s="5" t="s">
        <v>22</v>
      </c>
      <c r="G7033" s="15" t="s">
        <v>22</v>
      </c>
      <c r="H7033" s="24">
        <f t="shared" si="1346"/>
        <v>0</v>
      </c>
      <c r="I7033" s="24" cm="1">
        <f t="array" ref="I7033">IFERROR(IF($B7033=I$1, ($A7033+$C7033) - MAX(IF($B$2:$B7032=$B7033, $A$2:$A7032+$C$2:$C7032)), "")*24*60, "")</f>
        <v>0</v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t="str" cm="1">
        <f t="array" ref="O7033">IFERROR(IF($B7033=O$1, ($A7033+$C7033) - MAX(IF($B$2:$B7032=$B7033, $A$2:$A7032+$C$2:$C7032)), "")*24*60, "")</f>
        <v/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80">A7033</f>
        <v>45997</v>
      </c>
      <c r="B7034" s="5" t="str">
        <f t="shared" si="1380"/>
        <v>Northern Cardinal</v>
      </c>
      <c r="C7034" s="6">
        <f t="shared" si="1380"/>
        <v>0.73611111111111116</v>
      </c>
      <c r="D7034" s="5"/>
      <c r="E7034" s="5"/>
      <c r="F7034" s="5" t="s">
        <v>22</v>
      </c>
      <c r="G7034" s="15" t="s">
        <v>22</v>
      </c>
      <c r="H7034" s="24">
        <f t="shared" si="1346"/>
        <v>0</v>
      </c>
      <c r="I7034" s="24" cm="1">
        <f t="array" ref="I7034">IFERROR(IF($B7034=I$1, ($A7034+$C7034) - MAX(IF($B$2:$B7033=$B7034, $A$2:$A7033+$C$2:$C7033)), "")*24*60, "")</f>
        <v>0</v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t="str" cm="1">
        <f t="array" ref="O7034">IFERROR(IF($B7034=O$1, ($A7034+$C7034) - MAX(IF($B$2:$B7033=$B7034, $A$2:$A7033+$C$2:$C7033)), "")*24*60, "")</f>
        <v/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81">A7034</f>
        <v>45997</v>
      </c>
      <c r="B7035" s="5" t="str">
        <f t="shared" si="1381"/>
        <v>Northern Cardinal</v>
      </c>
      <c r="C7035" s="6">
        <f t="shared" si="1381"/>
        <v>0.73611111111111116</v>
      </c>
      <c r="D7035" s="5"/>
      <c r="E7035" s="5"/>
      <c r="F7035" s="5" t="s">
        <v>22</v>
      </c>
      <c r="G7035" s="15" t="s">
        <v>22</v>
      </c>
      <c r="H7035" s="24">
        <f t="shared" si="1346"/>
        <v>0</v>
      </c>
      <c r="I7035" s="24" cm="1">
        <f t="array" ref="I7035">IFERROR(IF($B7035=I$1, ($A7035+$C7035) - MAX(IF($B$2:$B7034=$B7035, $A$2:$A7034+$C$2:$C7034)), "")*24*60, "")</f>
        <v>0</v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t="str" cm="1">
        <f t="array" ref="O7035">IFERROR(IF($B7035=O$1, ($A7035+$C7035) - MAX(IF($B$2:$B7034=$B7035, $A$2:$A7034+$C$2:$C7034)), "")*24*60, "")</f>
        <v/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82">A7035</f>
        <v>45997</v>
      </c>
      <c r="B7036" s="5" t="str">
        <f t="shared" si="1382"/>
        <v>Northern Cardinal</v>
      </c>
      <c r="C7036" s="6">
        <f t="shared" si="1382"/>
        <v>0.73611111111111116</v>
      </c>
      <c r="D7036" s="5"/>
      <c r="E7036" s="5"/>
      <c r="F7036" s="5" t="s">
        <v>22</v>
      </c>
      <c r="G7036" s="15" t="s">
        <v>22</v>
      </c>
      <c r="H7036" s="24">
        <f t="shared" si="1346"/>
        <v>0</v>
      </c>
      <c r="I7036" s="24" cm="1">
        <f t="array" ref="I7036">IFERROR(IF($B7036=I$1, ($A7036+$C7036) - MAX(IF($B$2:$B7035=$B7036, $A$2:$A7035+$C$2:$C7035)), "")*24*60, "")</f>
        <v>0</v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t="str" cm="1">
        <f t="array" ref="O7036">IFERROR(IF($B7036=O$1, ($A7036+$C7036) - MAX(IF($B$2:$B7035=$B7036, $A$2:$A7035+$C$2:$C7035)), "")*24*60, "")</f>
        <v/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83">A7036</f>
        <v>45997</v>
      </c>
      <c r="B7037" s="5" t="str">
        <f t="shared" si="1383"/>
        <v>Northern Cardinal</v>
      </c>
      <c r="C7037" s="6">
        <f t="shared" si="1383"/>
        <v>0.73611111111111116</v>
      </c>
      <c r="D7037" s="5"/>
      <c r="E7037" s="5"/>
      <c r="F7037" s="5" t="s">
        <v>22</v>
      </c>
      <c r="G7037" s="15" t="s">
        <v>22</v>
      </c>
      <c r="H7037" s="24">
        <f t="shared" si="1346"/>
        <v>0</v>
      </c>
      <c r="I7037" s="24" cm="1">
        <f t="array" ref="I7037">IFERROR(IF($B7037=I$1, ($A7037+$C7037) - MAX(IF($B$2:$B7036=$B7037, $A$2:$A7036+$C$2:$C7036)), "")*24*60, "")</f>
        <v>0</v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t="str" cm="1">
        <f t="array" ref="O7037">IFERROR(IF($B7037=O$1, ($A7037+$C7037) - MAX(IF($B$2:$B7036=$B7037, $A$2:$A7036+$C$2:$C7036)), "")*24*60, "")</f>
        <v/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84">A7037</f>
        <v>45997</v>
      </c>
      <c r="B7038" s="5" t="str">
        <f t="shared" si="1384"/>
        <v>Northern Cardinal</v>
      </c>
      <c r="C7038" s="6">
        <f t="shared" si="1384"/>
        <v>0.73611111111111116</v>
      </c>
      <c r="D7038" s="5"/>
      <c r="E7038" s="5"/>
      <c r="F7038" s="5" t="s">
        <v>22</v>
      </c>
      <c r="G7038" s="15" t="s">
        <v>22</v>
      </c>
      <c r="H7038" s="24">
        <f t="shared" si="1346"/>
        <v>0</v>
      </c>
      <c r="I7038" s="24" cm="1">
        <f t="array" ref="I7038">IFERROR(IF($B7038=I$1, ($A7038+$C7038) - MAX(IF($B$2:$B7037=$B7038, $A$2:$A7037+$C$2:$C7037)), "")*24*60, "")</f>
        <v>0</v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t="str" cm="1">
        <f t="array" ref="O7038">IFERROR(IF($B7038=O$1, ($A7038+$C7038) - MAX(IF($B$2:$B7037=$B7038, $A$2:$A7037+$C$2:$C7037)), "")*24*60, "")</f>
        <v/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85">A7038</f>
        <v>45997</v>
      </c>
      <c r="B7039" s="5" t="str">
        <f t="shared" si="1385"/>
        <v>Northern Cardinal</v>
      </c>
      <c r="C7039" s="6">
        <f t="shared" si="1385"/>
        <v>0.73611111111111116</v>
      </c>
      <c r="D7039" s="5"/>
      <c r="E7039" s="5"/>
      <c r="F7039" s="5" t="s">
        <v>22</v>
      </c>
      <c r="G7039" s="15" t="s">
        <v>22</v>
      </c>
      <c r="H7039" s="24">
        <f t="shared" si="1346"/>
        <v>0</v>
      </c>
      <c r="I7039" s="24" cm="1">
        <f t="array" ref="I7039">IFERROR(IF($B7039=I$1, ($A7039+$C7039) - MAX(IF($B$2:$B7038=$B7039, $A$2:$A7038+$C$2:$C7038)), "")*24*60, "")</f>
        <v>0</v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t="str" cm="1">
        <f t="array" ref="O7039">IFERROR(IF($B7039=O$1, ($A7039+$C7039) - MAX(IF($B$2:$B7038=$B7039, $A$2:$A7038+$C$2:$C7038)), "")*24*60, "")</f>
        <v/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86">A7039</f>
        <v>45997</v>
      </c>
      <c r="B7040" s="5" t="str">
        <f t="shared" si="1386"/>
        <v>Northern Cardinal</v>
      </c>
      <c r="C7040" s="6">
        <f t="shared" si="1386"/>
        <v>0.73611111111111116</v>
      </c>
      <c r="D7040" s="5"/>
      <c r="E7040" s="5"/>
      <c r="F7040" s="5" t="s">
        <v>22</v>
      </c>
      <c r="G7040" s="15" t="s">
        <v>22</v>
      </c>
      <c r="H7040" s="24">
        <f t="shared" si="1346"/>
        <v>0</v>
      </c>
      <c r="I7040" s="24" cm="1">
        <f t="array" ref="I7040">IFERROR(IF($B7040=I$1, ($A7040+$C7040) - MAX(IF($B$2:$B7039=$B7040, $A$2:$A7039+$C$2:$C7039)), "")*24*60, "")</f>
        <v>0</v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t="str" cm="1">
        <f t="array" ref="O7040">IFERROR(IF($B7040=O$1, ($A7040+$C7040) - MAX(IF($B$2:$B7039=$B7040, $A$2:$A7039+$C$2:$C7039)), "")*24*60, "")</f>
        <v/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87">A7040</f>
        <v>45997</v>
      </c>
      <c r="B7041" s="5" t="str">
        <f t="shared" si="1387"/>
        <v>Northern Cardinal</v>
      </c>
      <c r="C7041" s="6">
        <f t="shared" si="1387"/>
        <v>0.73611111111111116</v>
      </c>
      <c r="D7041" s="5"/>
      <c r="E7041" s="5"/>
      <c r="F7041" s="5" t="s">
        <v>22</v>
      </c>
      <c r="G7041" s="15" t="s">
        <v>22</v>
      </c>
      <c r="H7041" s="24">
        <f t="shared" si="1346"/>
        <v>0</v>
      </c>
      <c r="I7041" s="24" cm="1">
        <f t="array" ref="I7041">IFERROR(IF($B7041=I$1, ($A7041+$C7041) - MAX(IF($B$2:$B7040=$B7041, $A$2:$A7040+$C$2:$C7040)), "")*24*60, "")</f>
        <v>0</v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t="str" cm="1">
        <f t="array" ref="O7041">IFERROR(IF($B7041=O$1, ($A7041+$C7041) - MAX(IF($B$2:$B7040=$B7041, $A$2:$A7040+$C$2:$C7040)), "")*24*60, "")</f>
        <v/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88">A7041</f>
        <v>45997</v>
      </c>
      <c r="B7042" s="5" t="str">
        <f t="shared" si="1388"/>
        <v>Northern Cardinal</v>
      </c>
      <c r="C7042" s="6">
        <f t="shared" si="1388"/>
        <v>0.73611111111111116</v>
      </c>
      <c r="D7042" s="5"/>
      <c r="E7042" s="5"/>
      <c r="F7042" s="5" t="s">
        <v>22</v>
      </c>
      <c r="G7042" s="15" t="s">
        <v>22</v>
      </c>
      <c r="H7042" s="24">
        <f t="shared" si="1346"/>
        <v>0</v>
      </c>
      <c r="I7042" s="24" cm="1">
        <f t="array" ref="I7042">IFERROR(IF($B7042=I$1, ($A7042+$C7042) - MAX(IF($B$2:$B7041=$B7042, $A$2:$A7041+$C$2:$C7041)), "")*24*60, "")</f>
        <v>0</v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t="str" cm="1">
        <f t="array" ref="O7042">IFERROR(IF($B7042=O$1, ($A7042+$C7042) - MAX(IF($B$2:$B7041=$B7042, $A$2:$A7041+$C$2:$C7041)), "")*24*60, "")</f>
        <v/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389">A7042</f>
        <v>45997</v>
      </c>
      <c r="B7043" s="5" t="str">
        <f t="shared" si="1389"/>
        <v>Northern Cardinal</v>
      </c>
      <c r="C7043" s="6">
        <f t="shared" si="1389"/>
        <v>0.73611111111111116</v>
      </c>
      <c r="D7043" s="5"/>
      <c r="E7043" s="5"/>
      <c r="F7043" s="5" t="s">
        <v>22</v>
      </c>
      <c r="G7043" s="15" t="s">
        <v>22</v>
      </c>
      <c r="H7043" s="24">
        <f t="shared" si="1346"/>
        <v>0</v>
      </c>
      <c r="I7043" s="24" cm="1">
        <f t="array" ref="I7043">IFERROR(IF($B7043=I$1, ($A7043+$C7043) - MAX(IF($B$2:$B7042=$B7043, $A$2:$A7042+$C$2:$C7042)), "")*24*60, "")</f>
        <v>0</v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t="str" cm="1">
        <f t="array" ref="O7043">IFERROR(IF($B7043=O$1, ($A7043+$C7043) - MAX(IF($B$2:$B7042=$B7043, $A$2:$A7042+$C$2:$C7042)), "")*24*60, "")</f>
        <v/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390">A7043</f>
        <v>45997</v>
      </c>
      <c r="B7044" s="5" t="str">
        <f t="shared" si="1390"/>
        <v>Northern Cardinal</v>
      </c>
      <c r="C7044" s="6">
        <f t="shared" si="1390"/>
        <v>0.73611111111111116</v>
      </c>
      <c r="D7044" s="5"/>
      <c r="E7044" s="5"/>
      <c r="F7044" s="5" t="s">
        <v>22</v>
      </c>
      <c r="G7044" s="15" t="s">
        <v>22</v>
      </c>
      <c r="H7044" s="24">
        <f t="shared" si="1346"/>
        <v>0</v>
      </c>
      <c r="I7044" s="24" cm="1">
        <f t="array" ref="I7044">IFERROR(IF($B7044=I$1, ($A7044+$C7044) - MAX(IF($B$2:$B7043=$B7044, $A$2:$A7043+$C$2:$C7043)), "")*24*60, "")</f>
        <v>0</v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t="str" cm="1">
        <f t="array" ref="O7044">IFERROR(IF($B7044=O$1, ($A7044+$C7044) - MAX(IF($B$2:$B7043=$B7044, $A$2:$A7043+$C$2:$C7043)), "")*24*60, "")</f>
        <v/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391">A7044</f>
        <v>45997</v>
      </c>
      <c r="B7045" s="5" t="str">
        <f t="shared" si="1391"/>
        <v>Northern Cardinal</v>
      </c>
      <c r="C7045" s="6">
        <f t="shared" si="1391"/>
        <v>0.73611111111111116</v>
      </c>
      <c r="D7045" s="5"/>
      <c r="E7045" s="5"/>
      <c r="F7045" s="5" t="s">
        <v>22</v>
      </c>
      <c r="G7045" s="15" t="s">
        <v>22</v>
      </c>
      <c r="H7045" s="24">
        <f t="shared" si="1346"/>
        <v>0</v>
      </c>
      <c r="I7045" s="24" cm="1">
        <f t="array" ref="I7045">IFERROR(IF($B7045=I$1, ($A7045+$C7045) - MAX(IF($B$2:$B7044=$B7045, $A$2:$A7044+$C$2:$C7044)), "")*24*60, "")</f>
        <v>0</v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t="str" cm="1">
        <f t="array" ref="O7045">IFERROR(IF($B7045=O$1, ($A7045+$C7045) - MAX(IF($B$2:$B7044=$B7045, $A$2:$A7044+$C$2:$C7044)), "")*24*60, "")</f>
        <v/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392">A7045</f>
        <v>45997</v>
      </c>
      <c r="B7046" s="5" t="str">
        <f t="shared" si="1392"/>
        <v>Northern Cardinal</v>
      </c>
      <c r="C7046" s="6">
        <f t="shared" si="1392"/>
        <v>0.73611111111111116</v>
      </c>
      <c r="D7046" s="5"/>
      <c r="E7046" s="5"/>
      <c r="F7046" s="5" t="s">
        <v>22</v>
      </c>
      <c r="G7046" s="15" t="s">
        <v>22</v>
      </c>
      <c r="H7046" s="24">
        <f t="shared" si="1346"/>
        <v>0</v>
      </c>
      <c r="I7046" s="24" cm="1">
        <f t="array" ref="I7046">IFERROR(IF($B7046=I$1, ($A7046+$C7046) - MAX(IF($B$2:$B7045=$B7046, $A$2:$A7045+$C$2:$C7045)), "")*24*60, "")</f>
        <v>0</v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t="str" cm="1">
        <f t="array" ref="O7046">IFERROR(IF($B7046=O$1, ($A7046+$C7046) - MAX(IF($B$2:$B7045=$B7046, $A$2:$A7045+$C$2:$C7045)), "")*24*60, "")</f>
        <v/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393">A7046</f>
        <v>45997</v>
      </c>
      <c r="B7047" s="5" t="str">
        <f t="shared" si="1393"/>
        <v>Northern Cardinal</v>
      </c>
      <c r="C7047" s="6">
        <f t="shared" si="1393"/>
        <v>0.73611111111111116</v>
      </c>
      <c r="D7047" s="5"/>
      <c r="E7047" s="5"/>
      <c r="F7047" s="5" t="s">
        <v>22</v>
      </c>
      <c r="G7047" s="15" t="s">
        <v>22</v>
      </c>
      <c r="H7047" s="24">
        <f t="shared" si="1346"/>
        <v>0</v>
      </c>
      <c r="I7047" s="24" cm="1">
        <f t="array" ref="I7047">IFERROR(IF($B7047=I$1, ($A7047+$C7047) - MAX(IF($B$2:$B7046=$B7047, $A$2:$A7046+$C$2:$C7046)), "")*24*60, "")</f>
        <v>0</v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t="str" cm="1">
        <f t="array" ref="O7047">IFERROR(IF($B7047=O$1, ($A7047+$C7047) - MAX(IF($B$2:$B7046=$B7047, $A$2:$A7046+$C$2:$C7046)), "")*24*60, "")</f>
        <v/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394">A7047</f>
        <v>45997</v>
      </c>
      <c r="B7048" s="5" t="str">
        <f t="shared" si="1394"/>
        <v>Northern Cardinal</v>
      </c>
      <c r="C7048" s="6">
        <f t="shared" si="1394"/>
        <v>0.73611111111111116</v>
      </c>
      <c r="D7048" s="5"/>
      <c r="E7048" s="5"/>
      <c r="F7048" s="5" t="s">
        <v>22</v>
      </c>
      <c r="G7048" s="15" t="s">
        <v>22</v>
      </c>
      <c r="H7048" s="24">
        <f t="shared" si="1346"/>
        <v>0</v>
      </c>
      <c r="I7048" s="24" cm="1">
        <f t="array" ref="I7048">IFERROR(IF($B7048=I$1, ($A7048+$C7048) - MAX(IF($B$2:$B7047=$B7048, $A$2:$A7047+$C$2:$C7047)), "")*24*60, "")</f>
        <v>0</v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t="str" cm="1">
        <f t="array" ref="O7048">IFERROR(IF($B7048=O$1, ($A7048+$C7048) - MAX(IF($B$2:$B7047=$B7048, $A$2:$A7047+$C$2:$C7047)), "")*24*60, "")</f>
        <v/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395">A7048</f>
        <v>45997</v>
      </c>
      <c r="B7049" s="5" t="str">
        <f t="shared" si="1395"/>
        <v>Northern Cardinal</v>
      </c>
      <c r="C7049" s="6">
        <f t="shared" si="1395"/>
        <v>0.73611111111111116</v>
      </c>
      <c r="D7049" s="5"/>
      <c r="E7049" s="5"/>
      <c r="F7049" s="5" t="s">
        <v>22</v>
      </c>
      <c r="G7049" s="15" t="s">
        <v>22</v>
      </c>
      <c r="H7049" s="24">
        <f t="shared" si="1346"/>
        <v>0</v>
      </c>
      <c r="I7049" s="24" cm="1">
        <f t="array" ref="I7049">IFERROR(IF($B7049=I$1, ($A7049+$C7049) - MAX(IF($B$2:$B7048=$B7049, $A$2:$A7048+$C$2:$C7048)), "")*24*60, "")</f>
        <v>0</v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t="str" cm="1">
        <f t="array" ref="O7049">IFERROR(IF($B7049=O$1, ($A7049+$C7049) - MAX(IF($B$2:$B7048=$B7049, $A$2:$A7048+$C$2:$C7048)), "")*24*60, "")</f>
        <v/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396">A7049</f>
        <v>45997</v>
      </c>
      <c r="B7050" s="5" t="str">
        <f t="shared" si="1396"/>
        <v>Northern Cardinal</v>
      </c>
      <c r="C7050" s="6">
        <f t="shared" si="1396"/>
        <v>0.73611111111111116</v>
      </c>
      <c r="D7050" s="5"/>
      <c r="E7050" s="5"/>
      <c r="F7050" s="5" t="s">
        <v>22</v>
      </c>
      <c r="G7050" s="15" t="s">
        <v>22</v>
      </c>
      <c r="H7050" s="24">
        <f t="shared" si="1346"/>
        <v>0</v>
      </c>
      <c r="I7050" s="24" cm="1">
        <f t="array" ref="I7050">IFERROR(IF($B7050=I$1, ($A7050+$C7050) - MAX(IF($B$2:$B7049=$B7050, $A$2:$A7049+$C$2:$C7049)), "")*24*60, "")</f>
        <v>0</v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t="str" cm="1">
        <f t="array" ref="O7050">IFERROR(IF($B7050=O$1, ($A7050+$C7050) - MAX(IF($B$2:$B7049=$B7050, $A$2:$A7049+$C$2:$C7049)), "")*24*60, "")</f>
        <v/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397">A7050</f>
        <v>45997</v>
      </c>
      <c r="B7051" s="5" t="str">
        <f t="shared" si="1397"/>
        <v>Northern Cardinal</v>
      </c>
      <c r="C7051" s="6">
        <f t="shared" si="1397"/>
        <v>0.73611111111111116</v>
      </c>
      <c r="D7051" s="5"/>
      <c r="E7051" s="5"/>
      <c r="F7051" s="5" t="s">
        <v>22</v>
      </c>
      <c r="G7051" s="15" t="s">
        <v>22</v>
      </c>
      <c r="H7051" s="24">
        <f t="shared" si="1346"/>
        <v>0</v>
      </c>
      <c r="I7051" s="24" cm="1">
        <f t="array" ref="I7051">IFERROR(IF($B7051=I$1, ($A7051+$C7051) - MAX(IF($B$2:$B7050=$B7051, $A$2:$A7050+$C$2:$C7050)), "")*24*60, "")</f>
        <v>0</v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t="str" cm="1">
        <f t="array" ref="O7051">IFERROR(IF($B7051=O$1, ($A7051+$C7051) - MAX(IF($B$2:$B7050=$B7051, $A$2:$A7050+$C$2:$C7050)), "")*24*60, "")</f>
        <v/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398">A7051</f>
        <v>45997</v>
      </c>
      <c r="B7052" s="5" t="str">
        <f t="shared" si="1398"/>
        <v>Northern Cardinal</v>
      </c>
      <c r="C7052" s="6">
        <f t="shared" si="1398"/>
        <v>0.73611111111111116</v>
      </c>
      <c r="D7052" s="5"/>
      <c r="E7052" s="5"/>
      <c r="F7052" s="5" t="s">
        <v>22</v>
      </c>
      <c r="G7052" s="15" t="s">
        <v>22</v>
      </c>
      <c r="H7052" s="24">
        <f t="shared" si="1346"/>
        <v>0</v>
      </c>
      <c r="I7052" s="24" cm="1">
        <f t="array" ref="I7052">IFERROR(IF($B7052=I$1, ($A7052+$C7052) - MAX(IF($B$2:$B7051=$B7052, $A$2:$A7051+$C$2:$C7051)), "")*24*60, "")</f>
        <v>0</v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t="str" cm="1">
        <f t="array" ref="O7052">IFERROR(IF($B7052=O$1, ($A7052+$C7052) - MAX(IF($B$2:$B7051=$B7052, $A$2:$A7051+$C$2:$C7051)), "")*24*60, "")</f>
        <v/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399">A7052</f>
        <v>45997</v>
      </c>
      <c r="B7053" s="5" t="str">
        <f t="shared" si="1399"/>
        <v>Northern Cardinal</v>
      </c>
      <c r="C7053" s="6">
        <f t="shared" si="1399"/>
        <v>0.73611111111111116</v>
      </c>
      <c r="D7053" s="5"/>
      <c r="E7053" s="5"/>
      <c r="F7053" s="5" t="s">
        <v>22</v>
      </c>
      <c r="G7053" s="15" t="s">
        <v>22</v>
      </c>
      <c r="H7053" s="24">
        <f t="shared" si="1346"/>
        <v>0</v>
      </c>
      <c r="I7053" s="24" cm="1">
        <f t="array" ref="I7053">IFERROR(IF($B7053=I$1, ($A7053+$C7053) - MAX(IF($B$2:$B7052=$B7053, $A$2:$A7052+$C$2:$C7052)), "")*24*60, "")</f>
        <v>0</v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t="str" cm="1">
        <f t="array" ref="O7053">IFERROR(IF($B7053=O$1, ($A7053+$C7053) - MAX(IF($B$2:$B7052=$B7053, $A$2:$A7052+$C$2:$C7052)), "")*24*60, "")</f>
        <v/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400">A7053</f>
        <v>45997</v>
      </c>
      <c r="B7054" s="5" t="str">
        <f t="shared" si="1400"/>
        <v>Northern Cardinal</v>
      </c>
      <c r="C7054" s="6">
        <f t="shared" si="1400"/>
        <v>0.73611111111111116</v>
      </c>
      <c r="D7054" s="5"/>
      <c r="E7054" s="5"/>
      <c r="F7054" s="5" t="s">
        <v>22</v>
      </c>
      <c r="G7054" s="15" t="s">
        <v>22</v>
      </c>
      <c r="H7054" s="24">
        <f t="shared" si="1346"/>
        <v>0</v>
      </c>
      <c r="I7054" s="24" cm="1">
        <f t="array" ref="I7054">IFERROR(IF($B7054=I$1, ($A7054+$C7054) - MAX(IF($B$2:$B7053=$B7054, $A$2:$A7053+$C$2:$C7053)), "")*24*60, "")</f>
        <v>0</v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t="str" cm="1">
        <f t="array" ref="O7054">IFERROR(IF($B7054=O$1, ($A7054+$C7054) - MAX(IF($B$2:$B7053=$B7054, $A$2:$A7053+$C$2:$C7053)), "")*24*60, "")</f>
        <v/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401">A7054</f>
        <v>45997</v>
      </c>
      <c r="B7055" s="5" t="str">
        <f t="shared" si="1401"/>
        <v>Northern Cardinal</v>
      </c>
      <c r="C7055" s="6">
        <f t="shared" si="1401"/>
        <v>0.73611111111111116</v>
      </c>
      <c r="D7055" s="5"/>
      <c r="E7055" s="5"/>
      <c r="F7055" s="5" t="s">
        <v>22</v>
      </c>
      <c r="G7055" s="15" t="s">
        <v>22</v>
      </c>
      <c r="H7055" s="24">
        <f t="shared" si="1346"/>
        <v>0</v>
      </c>
      <c r="I7055" s="24" cm="1">
        <f t="array" ref="I7055">IFERROR(IF($B7055=I$1, ($A7055+$C7055) - MAX(IF($B$2:$B7054=$B7055, $A$2:$A7054+$C$2:$C7054)), "")*24*60, "")</f>
        <v>0</v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t="str" cm="1">
        <f t="array" ref="O7055">IFERROR(IF($B7055=O$1, ($A7055+$C7055) - MAX(IF($B$2:$B7054=$B7055, $A$2:$A7054+$C$2:$C7054)), "")*24*60, "")</f>
        <v/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402">A7055</f>
        <v>45997</v>
      </c>
      <c r="B7056" s="5" t="str">
        <f t="shared" si="1402"/>
        <v>Northern Cardinal</v>
      </c>
      <c r="C7056" s="6">
        <f t="shared" si="1402"/>
        <v>0.73611111111111116</v>
      </c>
      <c r="D7056" s="5"/>
      <c r="E7056" s="5"/>
      <c r="F7056" s="5" t="s">
        <v>22</v>
      </c>
      <c r="G7056" s="15" t="s">
        <v>22</v>
      </c>
      <c r="H7056" s="24">
        <f t="shared" si="1346"/>
        <v>0</v>
      </c>
      <c r="I7056" s="24" cm="1">
        <f t="array" ref="I7056">IFERROR(IF($B7056=I$1, ($A7056+$C7056) - MAX(IF($B$2:$B7055=$B7056, $A$2:$A7055+$C$2:$C7055)), "")*24*60, "")</f>
        <v>0</v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t="str" cm="1">
        <f t="array" ref="O7056">IFERROR(IF($B7056=O$1, ($A7056+$C7056) - MAX(IF($B$2:$B7055=$B7056, $A$2:$A7055+$C$2:$C7055)), "")*24*60, "")</f>
        <v/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403">A7056</f>
        <v>45997</v>
      </c>
      <c r="B7057" s="5" t="str">
        <f t="shared" si="1403"/>
        <v>Northern Cardinal</v>
      </c>
      <c r="C7057" s="6">
        <f t="shared" si="1403"/>
        <v>0.73611111111111116</v>
      </c>
      <c r="D7057" s="5"/>
      <c r="E7057" s="5"/>
      <c r="F7057" s="5" t="s">
        <v>22</v>
      </c>
      <c r="G7057" s="15" t="s">
        <v>22</v>
      </c>
      <c r="H7057" s="24">
        <f t="shared" si="1346"/>
        <v>0</v>
      </c>
      <c r="I7057" s="24" cm="1">
        <f t="array" ref="I7057">IFERROR(IF($B7057=I$1, ($A7057+$C7057) - MAX(IF($B$2:$B7056=$B7057, $A$2:$A7056+$C$2:$C7056)), "")*24*60, "")</f>
        <v>0</v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t="str" cm="1">
        <f t="array" ref="O7057">IFERROR(IF($B7057=O$1, ($A7057+$C7057) - MAX(IF($B$2:$B7056=$B7057, $A$2:$A7056+$C$2:$C7056)), "")*24*60, "")</f>
        <v/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404">A7057</f>
        <v>45997</v>
      </c>
      <c r="B7058" s="5" t="str">
        <f t="shared" si="1404"/>
        <v>Northern Cardinal</v>
      </c>
      <c r="C7058" s="6">
        <f t="shared" si="1404"/>
        <v>0.73611111111111116</v>
      </c>
      <c r="D7058" s="5"/>
      <c r="E7058" s="5"/>
      <c r="F7058" s="5" t="s">
        <v>22</v>
      </c>
      <c r="G7058" s="15" t="s">
        <v>22</v>
      </c>
      <c r="H7058" s="24">
        <f t="shared" si="1346"/>
        <v>0</v>
      </c>
      <c r="I7058" s="24" cm="1">
        <f t="array" ref="I7058">IFERROR(IF($B7058=I$1, ($A7058+$C7058) - MAX(IF($B$2:$B7057=$B7058, $A$2:$A7057+$C$2:$C7057)), "")*24*60, "")</f>
        <v>0</v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t="str" cm="1">
        <f t="array" ref="O7058">IFERROR(IF($B7058=O$1, ($A7058+$C7058) - MAX(IF($B$2:$B7057=$B7058, $A$2:$A7057+$C$2:$C7057)), "")*24*60, "")</f>
        <v/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405">A7058</f>
        <v>45997</v>
      </c>
      <c r="B7059" s="5" t="str">
        <f t="shared" si="1405"/>
        <v>Northern Cardinal</v>
      </c>
      <c r="C7059" s="6">
        <f t="shared" si="1405"/>
        <v>0.73611111111111116</v>
      </c>
      <c r="D7059" s="5"/>
      <c r="E7059" s="5"/>
      <c r="F7059" s="5" t="s">
        <v>22</v>
      </c>
      <c r="G7059" s="15" t="s">
        <v>22</v>
      </c>
      <c r="H7059" s="24">
        <f t="shared" si="1346"/>
        <v>0</v>
      </c>
      <c r="I7059" s="24" cm="1">
        <f t="array" ref="I7059">IFERROR(IF($B7059=I$1, ($A7059+$C7059) - MAX(IF($B$2:$B7058=$B7059, $A$2:$A7058+$C$2:$C7058)), "")*24*60, "")</f>
        <v>0</v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t="str" cm="1">
        <f t="array" ref="O7059">IFERROR(IF($B7059=O$1, ($A7059+$C7059) - MAX(IF($B$2:$B7058=$B7059, $A$2:$A7058+$C$2:$C7058)), "")*24*60, "")</f>
        <v/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406">A7059</f>
        <v>45997</v>
      </c>
      <c r="B7060" s="5" t="str">
        <f t="shared" si="1406"/>
        <v>Northern Cardinal</v>
      </c>
      <c r="C7060" s="6">
        <f t="shared" si="1406"/>
        <v>0.73611111111111116</v>
      </c>
      <c r="D7060" s="5"/>
      <c r="E7060" s="5"/>
      <c r="F7060" s="5" t="s">
        <v>22</v>
      </c>
      <c r="G7060" s="15" t="s">
        <v>22</v>
      </c>
      <c r="H7060" s="24">
        <f t="shared" si="1346"/>
        <v>0</v>
      </c>
      <c r="I7060" s="24" cm="1">
        <f t="array" ref="I7060">IFERROR(IF($B7060=I$1, ($A7060+$C7060) - MAX(IF($B$2:$B7059=$B7060, $A$2:$A7059+$C$2:$C7059)), "")*24*60, "")</f>
        <v>0</v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t="str" cm="1">
        <f t="array" ref="O7060">IFERROR(IF($B7060=O$1, ($A7060+$C7060) - MAX(IF($B$2:$B7059=$B7060, $A$2:$A7059+$C$2:$C7059)), "")*24*60, "")</f>
        <v/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407">A7060</f>
        <v>45997</v>
      </c>
      <c r="B7061" s="5" t="str">
        <f t="shared" si="1407"/>
        <v>Northern Cardinal</v>
      </c>
      <c r="C7061" s="6">
        <f t="shared" si="1407"/>
        <v>0.73611111111111116</v>
      </c>
      <c r="D7061" s="5"/>
      <c r="E7061" s="5"/>
      <c r="F7061" s="5" t="s">
        <v>22</v>
      </c>
      <c r="G7061" s="15" t="s">
        <v>22</v>
      </c>
      <c r="H7061" s="24">
        <f t="shared" si="1346"/>
        <v>0</v>
      </c>
      <c r="I7061" s="24" cm="1">
        <f t="array" ref="I7061">IFERROR(IF($B7061=I$1, ($A7061+$C7061) - MAX(IF($B$2:$B7060=$B7061, $A$2:$A7060+$C$2:$C7060)), "")*24*60, "")</f>
        <v>0</v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t="str" cm="1">
        <f t="array" ref="O7061">IFERROR(IF($B7061=O$1, ($A7061+$C7061) - MAX(IF($B$2:$B7060=$B7061, $A$2:$A7060+$C$2:$C7060)), "")*24*60, "")</f>
        <v/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408">A7061</f>
        <v>45997</v>
      </c>
      <c r="B7062" s="5" t="str">
        <f t="shared" si="1408"/>
        <v>Northern Cardinal</v>
      </c>
      <c r="C7062" s="6">
        <f t="shared" si="1408"/>
        <v>0.73611111111111116</v>
      </c>
      <c r="D7062" s="5"/>
      <c r="E7062" s="5"/>
      <c r="F7062" s="5" t="s">
        <v>22</v>
      </c>
      <c r="G7062" s="15" t="s">
        <v>22</v>
      </c>
      <c r="H7062" s="24">
        <f t="shared" si="1346"/>
        <v>0</v>
      </c>
      <c r="I7062" s="24" cm="1">
        <f t="array" ref="I7062">IFERROR(IF($B7062=I$1, ($A7062+$C7062) - MAX(IF($B$2:$B7061=$B7062, $A$2:$A7061+$C$2:$C7061)), "")*24*60, "")</f>
        <v>0</v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t="str" cm="1">
        <f t="array" ref="O7062">IFERROR(IF($B7062=O$1, ($A7062+$C7062) - MAX(IF($B$2:$B7061=$B7062, $A$2:$A7061+$C$2:$C7061)), "")*24*60, "")</f>
        <v/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409">A7062</f>
        <v>45997</v>
      </c>
      <c r="B7063" s="5" t="str">
        <f t="shared" si="1409"/>
        <v>Northern Cardinal</v>
      </c>
      <c r="C7063" s="6">
        <f t="shared" si="1409"/>
        <v>0.73611111111111116</v>
      </c>
      <c r="D7063" s="5"/>
      <c r="E7063" s="5"/>
      <c r="F7063" s="5" t="s">
        <v>22</v>
      </c>
      <c r="G7063" s="15" t="s">
        <v>22</v>
      </c>
      <c r="H7063" s="24">
        <f t="shared" si="1346"/>
        <v>0</v>
      </c>
      <c r="I7063" s="24" cm="1">
        <f t="array" ref="I7063">IFERROR(IF($B7063=I$1, ($A7063+$C7063) - MAX(IF($B$2:$B7062=$B7063, $A$2:$A7062+$C$2:$C7062)), "")*24*60, "")</f>
        <v>0</v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t="str" cm="1">
        <f t="array" ref="O7063">IFERROR(IF($B7063=O$1, ($A7063+$C7063) - MAX(IF($B$2:$B7062=$B7063, $A$2:$A7062+$C$2:$C7062)), "")*24*60, "")</f>
        <v/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410">A7063</f>
        <v>45997</v>
      </c>
      <c r="B7064" s="5" t="str">
        <f t="shared" si="1410"/>
        <v>Northern Cardinal</v>
      </c>
      <c r="C7064" s="6">
        <f t="shared" si="1410"/>
        <v>0.73611111111111116</v>
      </c>
      <c r="D7064" s="5"/>
      <c r="E7064" s="5"/>
      <c r="F7064" s="5" t="s">
        <v>22</v>
      </c>
      <c r="G7064" s="15" t="s">
        <v>22</v>
      </c>
      <c r="H7064" s="24">
        <f t="shared" ref="H7064:H7127" si="1411">IFERROR((($A7064+$C7064) - ($A7063+$C7063))*24*60, "")</f>
        <v>0</v>
      </c>
      <c r="I7064" s="24" cm="1">
        <f t="array" ref="I7064">IFERROR(IF($B7064=I$1, ($A7064+$C7064) - MAX(IF($B$2:$B7063=$B7064, $A$2:$A7063+$C$2:$C7063)), "")*24*60, "")</f>
        <v>0</v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t="str" cm="1">
        <f t="array" ref="O7064">IFERROR(IF($B7064=O$1, ($A7064+$C7064) - MAX(IF($B$2:$B7063=$B7064, $A$2:$A7063+$C$2:$C7063)), "")*24*60, "")</f>
        <v/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412">A7064</f>
        <v>45997</v>
      </c>
      <c r="B7065" s="5" t="str">
        <f t="shared" si="1412"/>
        <v>Northern Cardinal</v>
      </c>
      <c r="C7065" s="6">
        <f t="shared" si="1412"/>
        <v>0.73611111111111116</v>
      </c>
      <c r="D7065" s="5"/>
      <c r="E7065" s="5"/>
      <c r="F7065" s="5" t="s">
        <v>22</v>
      </c>
      <c r="G7065" s="15" t="s">
        <v>22</v>
      </c>
      <c r="H7065" s="24">
        <f t="shared" si="1411"/>
        <v>0</v>
      </c>
      <c r="I7065" s="24" cm="1">
        <f t="array" ref="I7065">IFERROR(IF($B7065=I$1, ($A7065+$C7065) - MAX(IF($B$2:$B7064=$B7065, $A$2:$A7064+$C$2:$C7064)), "")*24*60, "")</f>
        <v>0</v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413">A7065</f>
        <v>45997</v>
      </c>
      <c r="B7066" s="5" t="str">
        <f t="shared" si="1413"/>
        <v>Northern Cardinal</v>
      </c>
      <c r="C7066" s="6">
        <f t="shared" si="1413"/>
        <v>0.73611111111111116</v>
      </c>
      <c r="D7066" s="5"/>
      <c r="E7066" s="5"/>
      <c r="F7066" s="5" t="s">
        <v>22</v>
      </c>
      <c r="G7066" s="15" t="s">
        <v>22</v>
      </c>
      <c r="H7066" s="24">
        <f t="shared" si="1411"/>
        <v>0</v>
      </c>
      <c r="I7066" s="24" cm="1">
        <f t="array" ref="I7066">IFERROR(IF($B7066=I$1, ($A7066+$C7066) - MAX(IF($B$2:$B7065=$B7066, $A$2:$A7065+$C$2:$C7065)), "")*24*60, "")</f>
        <v>0</v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t="str" cm="1">
        <f t="array" ref="O7066">IFERROR(IF($B7066=O$1, ($A7066+$C7066) - MAX(IF($B$2:$B7065=$B7066, $A$2:$A7065+$C$2:$C7065)), "")*24*60, "")</f>
        <v/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414">A7066</f>
        <v>45997</v>
      </c>
      <c r="B7067" s="5" t="str">
        <f t="shared" si="1414"/>
        <v>Northern Cardinal</v>
      </c>
      <c r="C7067" s="6">
        <f t="shared" si="1414"/>
        <v>0.73611111111111116</v>
      </c>
      <c r="D7067" s="5"/>
      <c r="E7067" s="5"/>
      <c r="F7067" s="5" t="s">
        <v>22</v>
      </c>
      <c r="G7067" s="15" t="s">
        <v>22</v>
      </c>
      <c r="H7067" s="24">
        <f t="shared" si="1411"/>
        <v>0</v>
      </c>
      <c r="I7067" s="24" cm="1">
        <f t="array" ref="I7067">IFERROR(IF($B7067=I$1, ($A7067+$C7067) - MAX(IF($B$2:$B7066=$B7067, $A$2:$A7066+$C$2:$C7066)), "")*24*60, "")</f>
        <v>0</v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t="str" cm="1">
        <f t="array" ref="O7067">IFERROR(IF($B7067=O$1, ($A7067+$C7067) - MAX(IF($B$2:$B7066=$B7067, $A$2:$A7066+$C$2:$C7066)), "")*24*60, "")</f>
        <v/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415">A7067</f>
        <v>45997</v>
      </c>
      <c r="B7068" s="5" t="str">
        <f t="shared" si="1415"/>
        <v>Northern Cardinal</v>
      </c>
      <c r="C7068" s="6">
        <f t="shared" si="1415"/>
        <v>0.73611111111111116</v>
      </c>
      <c r="D7068" s="5"/>
      <c r="E7068" s="5"/>
      <c r="F7068" s="5" t="s">
        <v>22</v>
      </c>
      <c r="G7068" s="15" t="s">
        <v>22</v>
      </c>
      <c r="H7068" s="24">
        <f t="shared" si="1411"/>
        <v>0</v>
      </c>
      <c r="I7068" s="24" cm="1">
        <f t="array" ref="I7068">IFERROR(IF($B7068=I$1, ($A7068+$C7068) - MAX(IF($B$2:$B7067=$B7068, $A$2:$A7067+$C$2:$C7067)), "")*24*60, "")</f>
        <v>0</v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t="str" cm="1">
        <f t="array" ref="O7068">IFERROR(IF($B7068=O$1, ($A7068+$C7068) - MAX(IF($B$2:$B7067=$B7068, $A$2:$A7067+$C$2:$C7067)), "")*24*60, "")</f>
        <v/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416">A7068</f>
        <v>45997</v>
      </c>
      <c r="B7069" s="5" t="str">
        <f t="shared" si="1416"/>
        <v>Northern Cardinal</v>
      </c>
      <c r="C7069" s="6">
        <f t="shared" si="1416"/>
        <v>0.73611111111111116</v>
      </c>
      <c r="D7069" s="5"/>
      <c r="E7069" s="5"/>
      <c r="F7069" s="5" t="s">
        <v>22</v>
      </c>
      <c r="G7069" s="15" t="s">
        <v>22</v>
      </c>
      <c r="H7069" s="24">
        <f t="shared" si="1411"/>
        <v>0</v>
      </c>
      <c r="I7069" s="24" cm="1">
        <f t="array" ref="I7069">IFERROR(IF($B7069=I$1, ($A7069+$C7069) - MAX(IF($B$2:$B7068=$B7069, $A$2:$A7068+$C$2:$C7068)), "")*24*60, "")</f>
        <v>0</v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t="str" cm="1">
        <f t="array" ref="O7069">IFERROR(IF($B7069=O$1, ($A7069+$C7069) - MAX(IF($B$2:$B7068=$B7069, $A$2:$A7068+$C$2:$C7068)), "")*24*60, "")</f>
        <v/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417">A7069</f>
        <v>45997</v>
      </c>
      <c r="B7070" s="5" t="str">
        <f t="shared" si="1417"/>
        <v>Northern Cardinal</v>
      </c>
      <c r="C7070" s="6">
        <f t="shared" si="1417"/>
        <v>0.73611111111111116</v>
      </c>
      <c r="D7070" s="5"/>
      <c r="E7070" s="5"/>
      <c r="F7070" s="5" t="s">
        <v>22</v>
      </c>
      <c r="G7070" s="15" t="s">
        <v>22</v>
      </c>
      <c r="H7070" s="24">
        <f t="shared" si="1411"/>
        <v>0</v>
      </c>
      <c r="I7070" s="24" cm="1">
        <f t="array" ref="I7070">IFERROR(IF($B7070=I$1, ($A7070+$C7070) - MAX(IF($B$2:$B7069=$B7070, $A$2:$A7069+$C$2:$C7069)), "")*24*60, "")</f>
        <v>0</v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t="str" cm="1">
        <f t="array" ref="O7070">IFERROR(IF($B7070=O$1, ($A7070+$C7070) - MAX(IF($B$2:$B7069=$B7070, $A$2:$A7069+$C$2:$C7069)), "")*24*60, "")</f>
        <v/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418">A7070</f>
        <v>45997</v>
      </c>
      <c r="B7071" s="5" t="str">
        <f t="shared" si="1418"/>
        <v>Northern Cardinal</v>
      </c>
      <c r="C7071" s="6">
        <f t="shared" si="1418"/>
        <v>0.73611111111111116</v>
      </c>
      <c r="D7071" s="5"/>
      <c r="E7071" s="5"/>
      <c r="F7071" s="5" t="s">
        <v>22</v>
      </c>
      <c r="G7071" s="15" t="s">
        <v>22</v>
      </c>
      <c r="H7071" s="24">
        <f t="shared" si="1411"/>
        <v>0</v>
      </c>
      <c r="I7071" s="24" cm="1">
        <f t="array" ref="I7071">IFERROR(IF($B7071=I$1, ($A7071+$C7071) - MAX(IF($B$2:$B7070=$B7071, $A$2:$A7070+$C$2:$C7070)), "")*24*60, "")</f>
        <v>0</v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t="str" cm="1">
        <f t="array" ref="O7071">IFERROR(IF($B7071=O$1, ($A7071+$C7071) - MAX(IF($B$2:$B7070=$B7071, $A$2:$A7070+$C$2:$C7070)), "")*24*60, "")</f>
        <v/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19">A7071</f>
        <v>45997</v>
      </c>
      <c r="B7072" s="5" t="str">
        <f t="shared" si="1419"/>
        <v>Northern Cardinal</v>
      </c>
      <c r="C7072" s="6">
        <f t="shared" si="1419"/>
        <v>0.73611111111111116</v>
      </c>
      <c r="D7072" s="5"/>
      <c r="E7072" s="5"/>
      <c r="F7072" s="5" t="s">
        <v>22</v>
      </c>
      <c r="G7072" s="15" t="s">
        <v>22</v>
      </c>
      <c r="H7072" s="24">
        <f t="shared" si="1411"/>
        <v>0</v>
      </c>
      <c r="I7072" s="24" cm="1">
        <f t="array" ref="I7072">IFERROR(IF($B7072=I$1, ($A7072+$C7072) - MAX(IF($B$2:$B7071=$B7072, $A$2:$A7071+$C$2:$C7071)), "")*24*60, "")</f>
        <v>0</v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t="str" cm="1">
        <f t="array" ref="O7072">IFERROR(IF($B7072=O$1, ($A7072+$C7072) - MAX(IF($B$2:$B7071=$B7072, $A$2:$A7071+$C$2:$C7071)), "")*24*60, "")</f>
        <v/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20">A7072</f>
        <v>45997</v>
      </c>
      <c r="B7073" s="5" t="str">
        <f t="shared" si="1420"/>
        <v>Northern Cardinal</v>
      </c>
      <c r="C7073" s="6">
        <f t="shared" si="1420"/>
        <v>0.73611111111111116</v>
      </c>
      <c r="D7073" s="5"/>
      <c r="E7073" s="5"/>
      <c r="F7073" s="5" t="s">
        <v>22</v>
      </c>
      <c r="G7073" s="15" t="s">
        <v>22</v>
      </c>
      <c r="H7073" s="24">
        <f t="shared" si="1411"/>
        <v>0</v>
      </c>
      <c r="I7073" s="24" cm="1">
        <f t="array" ref="I7073">IFERROR(IF($B7073=I$1, ($A7073+$C7073) - MAX(IF($B$2:$B7072=$B7073, $A$2:$A7072+$C$2:$C7072)), "")*24*60, "")</f>
        <v>0</v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t="str" cm="1">
        <f t="array" ref="O7073">IFERROR(IF($B7073=O$1, ($A7073+$C7073) - MAX(IF($B$2:$B7072=$B7073, $A$2:$A7072+$C$2:$C7072)), "")*24*60, "")</f>
        <v/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21">A7073</f>
        <v>45997</v>
      </c>
      <c r="B7074" s="5" t="str">
        <f t="shared" si="1421"/>
        <v>Northern Cardinal</v>
      </c>
      <c r="C7074" s="6">
        <f t="shared" si="1421"/>
        <v>0.73611111111111116</v>
      </c>
      <c r="D7074" s="5"/>
      <c r="E7074" s="5"/>
      <c r="F7074" s="5" t="s">
        <v>22</v>
      </c>
      <c r="G7074" s="15" t="s">
        <v>22</v>
      </c>
      <c r="H7074" s="24">
        <f t="shared" si="1411"/>
        <v>0</v>
      </c>
      <c r="I7074" s="24" cm="1">
        <f t="array" ref="I7074">IFERROR(IF($B7074=I$1, ($A7074+$C7074) - MAX(IF($B$2:$B7073=$B7074, $A$2:$A7073+$C$2:$C7073)), "")*24*60, "")</f>
        <v>0</v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t="str" cm="1">
        <f t="array" ref="O7074">IFERROR(IF($B7074=O$1, ($A7074+$C7074) - MAX(IF($B$2:$B7073=$B7074, $A$2:$A7073+$C$2:$C7073)), "")*24*60, "")</f>
        <v/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22">A7074</f>
        <v>45997</v>
      </c>
      <c r="B7075" s="5" t="str">
        <f t="shared" si="1422"/>
        <v>Northern Cardinal</v>
      </c>
      <c r="C7075" s="6">
        <f t="shared" si="1422"/>
        <v>0.73611111111111116</v>
      </c>
      <c r="D7075" s="5"/>
      <c r="E7075" s="5"/>
      <c r="F7075" s="5" t="s">
        <v>22</v>
      </c>
      <c r="G7075" s="15" t="s">
        <v>22</v>
      </c>
      <c r="H7075" s="24">
        <f t="shared" si="1411"/>
        <v>0</v>
      </c>
      <c r="I7075" s="24" cm="1">
        <f t="array" ref="I7075">IFERROR(IF($B7075=I$1, ($A7075+$C7075) - MAX(IF($B$2:$B7074=$B7075, $A$2:$A7074+$C$2:$C7074)), "")*24*60, "")</f>
        <v>0</v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t="str" cm="1">
        <f t="array" ref="O7075">IFERROR(IF($B7075=O$1, ($A7075+$C7075) - MAX(IF($B$2:$B7074=$B7075, $A$2:$A7074+$C$2:$C7074)), "")*24*60, "")</f>
        <v/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23">A7075</f>
        <v>45997</v>
      </c>
      <c r="B7076" s="5" t="str">
        <f t="shared" si="1423"/>
        <v>Northern Cardinal</v>
      </c>
      <c r="C7076" s="6">
        <f t="shared" si="1423"/>
        <v>0.73611111111111116</v>
      </c>
      <c r="D7076" s="5"/>
      <c r="E7076" s="5"/>
      <c r="F7076" s="5" t="s">
        <v>22</v>
      </c>
      <c r="G7076" s="15" t="s">
        <v>22</v>
      </c>
      <c r="H7076" s="24">
        <f t="shared" si="1411"/>
        <v>0</v>
      </c>
      <c r="I7076" s="24" cm="1">
        <f t="array" ref="I7076">IFERROR(IF($B7076=I$1, ($A7076+$C7076) - MAX(IF($B$2:$B7075=$B7076, $A$2:$A7075+$C$2:$C7075)), "")*24*60, "")</f>
        <v>0</v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t="str" cm="1">
        <f t="array" ref="O7076">IFERROR(IF($B7076=O$1, ($A7076+$C7076) - MAX(IF($B$2:$B7075=$B7076, $A$2:$A7075+$C$2:$C7075)), "")*24*60, "")</f>
        <v/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24">A7076</f>
        <v>45997</v>
      </c>
      <c r="B7077" s="5" t="str">
        <f t="shared" si="1424"/>
        <v>Northern Cardinal</v>
      </c>
      <c r="C7077" s="6">
        <f t="shared" si="1424"/>
        <v>0.73611111111111116</v>
      </c>
      <c r="D7077" s="5"/>
      <c r="E7077" s="5"/>
      <c r="F7077" s="5" t="s">
        <v>22</v>
      </c>
      <c r="G7077" s="15" t="s">
        <v>22</v>
      </c>
      <c r="H7077" s="24">
        <f t="shared" si="1411"/>
        <v>0</v>
      </c>
      <c r="I7077" s="24" cm="1">
        <f t="array" ref="I7077">IFERROR(IF($B7077=I$1, ($A7077+$C7077) - MAX(IF($B$2:$B7076=$B7077, $A$2:$A7076+$C$2:$C7076)), "")*24*60, "")</f>
        <v>0</v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t="str" cm="1">
        <f t="array" ref="O7077">IFERROR(IF($B7077=O$1, ($A7077+$C7077) - MAX(IF($B$2:$B7076=$B7077, $A$2:$A7076+$C$2:$C7076)), "")*24*60, "")</f>
        <v/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25">A7077</f>
        <v>45997</v>
      </c>
      <c r="B7078" s="5" t="str">
        <f t="shared" si="1425"/>
        <v>Northern Cardinal</v>
      </c>
      <c r="C7078" s="6">
        <f t="shared" si="1425"/>
        <v>0.73611111111111116</v>
      </c>
      <c r="D7078" s="5"/>
      <c r="E7078" s="5"/>
      <c r="F7078" s="5" t="s">
        <v>22</v>
      </c>
      <c r="G7078" s="15" t="s">
        <v>22</v>
      </c>
      <c r="H7078" s="24">
        <f t="shared" si="1411"/>
        <v>0</v>
      </c>
      <c r="I7078" s="24" cm="1">
        <f t="array" ref="I7078">IFERROR(IF($B7078=I$1, ($A7078+$C7078) - MAX(IF($B$2:$B7077=$B7078, $A$2:$A7077+$C$2:$C7077)), "")*24*60, "")</f>
        <v>0</v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t="str" cm="1">
        <f t="array" ref="O7078">IFERROR(IF($B7078=O$1, ($A7078+$C7078) - MAX(IF($B$2:$B7077=$B7078, $A$2:$A7077+$C$2:$C7077)), "")*24*60, "")</f>
        <v/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26">A7078</f>
        <v>45997</v>
      </c>
      <c r="B7079" s="5" t="str">
        <f t="shared" si="1426"/>
        <v>Northern Cardinal</v>
      </c>
      <c r="C7079" s="6">
        <f t="shared" si="1426"/>
        <v>0.73611111111111116</v>
      </c>
      <c r="D7079" s="5"/>
      <c r="E7079" s="5"/>
      <c r="F7079" s="5" t="s">
        <v>22</v>
      </c>
      <c r="G7079" s="15" t="s">
        <v>22</v>
      </c>
      <c r="H7079" s="24">
        <f t="shared" si="1411"/>
        <v>0</v>
      </c>
      <c r="I7079" s="24" cm="1">
        <f t="array" ref="I7079">IFERROR(IF($B7079=I$1, ($A7079+$C7079) - MAX(IF($B$2:$B7078=$B7079, $A$2:$A7078+$C$2:$C7078)), "")*24*60, "")</f>
        <v>0</v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t="str" cm="1">
        <f t="array" ref="O7079">IFERROR(IF($B7079=O$1, ($A7079+$C7079) - MAX(IF($B$2:$B7078=$B7079, $A$2:$A7078+$C$2:$C7078)), "")*24*60, "")</f>
        <v/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27">A7079</f>
        <v>45997</v>
      </c>
      <c r="B7080" s="5" t="str">
        <f t="shared" si="1427"/>
        <v>Northern Cardinal</v>
      </c>
      <c r="C7080" s="6">
        <f t="shared" si="1427"/>
        <v>0.73611111111111116</v>
      </c>
      <c r="D7080" s="5"/>
      <c r="E7080" s="5"/>
      <c r="F7080" s="5" t="s">
        <v>22</v>
      </c>
      <c r="G7080" s="15" t="s">
        <v>22</v>
      </c>
      <c r="H7080" s="24">
        <f t="shared" si="1411"/>
        <v>0</v>
      </c>
      <c r="I7080" s="24" cm="1">
        <f t="array" ref="I7080">IFERROR(IF($B7080=I$1, ($A7080+$C7080) - MAX(IF($B$2:$B7079=$B7080, $A$2:$A7079+$C$2:$C7079)), "")*24*60, "")</f>
        <v>0</v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t="str" cm="1">
        <f t="array" ref="O7080">IFERROR(IF($B7080=O$1, ($A7080+$C7080) - MAX(IF($B$2:$B7079=$B7080, $A$2:$A7079+$C$2:$C7079)), "")*24*60, "")</f>
        <v/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28">A7080</f>
        <v>45997</v>
      </c>
      <c r="B7081" s="5" t="str">
        <f t="shared" si="1428"/>
        <v>Northern Cardinal</v>
      </c>
      <c r="C7081" s="6">
        <f t="shared" si="1428"/>
        <v>0.73611111111111116</v>
      </c>
      <c r="D7081" s="5"/>
      <c r="E7081" s="5"/>
      <c r="F7081" s="5" t="s">
        <v>22</v>
      </c>
      <c r="G7081" s="15" t="s">
        <v>22</v>
      </c>
      <c r="H7081" s="24">
        <f t="shared" si="1411"/>
        <v>0</v>
      </c>
      <c r="I7081" s="24" cm="1">
        <f t="array" ref="I7081">IFERROR(IF($B7081=I$1, ($A7081+$C7081) - MAX(IF($B$2:$B7080=$B7081, $A$2:$A7080+$C$2:$C7080)), "")*24*60, "")</f>
        <v>0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29">A7081</f>
        <v>45997</v>
      </c>
      <c r="B7082" s="5" t="str">
        <f t="shared" si="1429"/>
        <v>Northern Cardinal</v>
      </c>
      <c r="C7082" s="6">
        <f t="shared" si="1429"/>
        <v>0.73611111111111116</v>
      </c>
      <c r="D7082" s="5"/>
      <c r="E7082" s="5"/>
      <c r="F7082" s="5" t="s">
        <v>22</v>
      </c>
      <c r="G7082" s="15" t="s">
        <v>22</v>
      </c>
      <c r="H7082" s="24">
        <f t="shared" si="1411"/>
        <v>0</v>
      </c>
      <c r="I7082" s="24" cm="1">
        <f t="array" ref="I7082">IFERROR(IF($B7082=I$1, ($A7082+$C7082) - MAX(IF($B$2:$B7081=$B7082, $A$2:$A7081+$C$2:$C7081)), "")*24*60, "")</f>
        <v>0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30">A7082</f>
        <v>45997</v>
      </c>
      <c r="B7083" s="5" t="str">
        <f t="shared" si="1430"/>
        <v>Northern Cardinal</v>
      </c>
      <c r="C7083" s="6">
        <f t="shared" si="1430"/>
        <v>0.73611111111111116</v>
      </c>
      <c r="D7083" s="5"/>
      <c r="E7083" s="5"/>
      <c r="F7083" s="5" t="s">
        <v>22</v>
      </c>
      <c r="G7083" s="15" t="s">
        <v>22</v>
      </c>
      <c r="H7083" s="24">
        <f t="shared" si="1411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31">A7083</f>
        <v>45997</v>
      </c>
      <c r="B7084" s="5" t="str">
        <f t="shared" si="1431"/>
        <v>Northern Cardinal</v>
      </c>
      <c r="C7084" s="6">
        <f t="shared" si="1431"/>
        <v>0.73611111111111116</v>
      </c>
      <c r="D7084" s="5"/>
      <c r="E7084" s="5"/>
      <c r="F7084" s="5" t="s">
        <v>22</v>
      </c>
      <c r="G7084" s="15" t="s">
        <v>22</v>
      </c>
      <c r="H7084" s="24">
        <f t="shared" si="1411"/>
        <v>0</v>
      </c>
      <c r="I7084" s="24" cm="1">
        <f t="array" ref="I7084">IFERROR(IF($B7084=I$1, ($A7084+$C7084) - MAX(IF($B$2:$B7083=$B7084, $A$2:$A7083+$C$2:$C7083)), "")*24*60, "")</f>
        <v>0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32">A7084</f>
        <v>45997</v>
      </c>
      <c r="B7085" s="5" t="str">
        <f t="shared" si="1432"/>
        <v>Northern Cardinal</v>
      </c>
      <c r="C7085" s="6">
        <f t="shared" si="1432"/>
        <v>0.73611111111111116</v>
      </c>
      <c r="D7085" s="5"/>
      <c r="E7085" s="5"/>
      <c r="F7085" s="5" t="s">
        <v>22</v>
      </c>
      <c r="G7085" s="15" t="s">
        <v>22</v>
      </c>
      <c r="H7085" s="24">
        <f t="shared" si="1411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33">A7085</f>
        <v>45997</v>
      </c>
      <c r="B7086" s="5" t="str">
        <f t="shared" si="1433"/>
        <v>Northern Cardinal</v>
      </c>
      <c r="C7086" s="6">
        <f t="shared" si="1433"/>
        <v>0.73611111111111116</v>
      </c>
      <c r="D7086" s="5"/>
      <c r="E7086" s="5"/>
      <c r="F7086" s="5" t="s">
        <v>22</v>
      </c>
      <c r="G7086" s="15" t="s">
        <v>22</v>
      </c>
      <c r="H7086" s="24">
        <f t="shared" si="1411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34">A7086</f>
        <v>45997</v>
      </c>
      <c r="B7087" s="5" t="str">
        <f t="shared" si="1434"/>
        <v>Northern Cardinal</v>
      </c>
      <c r="C7087" s="6">
        <f t="shared" si="1434"/>
        <v>0.73611111111111116</v>
      </c>
      <c r="D7087" s="5"/>
      <c r="E7087" s="5"/>
      <c r="F7087" s="5" t="s">
        <v>22</v>
      </c>
      <c r="G7087" s="15" t="s">
        <v>22</v>
      </c>
      <c r="H7087" s="24">
        <f t="shared" si="1411"/>
        <v>0</v>
      </c>
      <c r="I7087" s="24" cm="1">
        <f t="array" ref="I7087">IFERROR(IF($B7087=I$1, ($A7087+$C7087) - MAX(IF($B$2:$B7086=$B7087, $A$2:$A7086+$C$2:$C7086)), "")*24*60, "")</f>
        <v>0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35">A7087</f>
        <v>45997</v>
      </c>
      <c r="B7088" s="5" t="str">
        <f t="shared" si="1435"/>
        <v>Northern Cardinal</v>
      </c>
      <c r="C7088" s="6">
        <f t="shared" si="1435"/>
        <v>0.73611111111111116</v>
      </c>
      <c r="D7088" s="5"/>
      <c r="E7088" s="5"/>
      <c r="F7088" s="5" t="s">
        <v>22</v>
      </c>
      <c r="G7088" s="15" t="s">
        <v>22</v>
      </c>
      <c r="H7088" s="24">
        <f t="shared" si="1411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36">A7088</f>
        <v>45997</v>
      </c>
      <c r="B7089" s="5" t="str">
        <f t="shared" si="1436"/>
        <v>Northern Cardinal</v>
      </c>
      <c r="C7089" s="6">
        <f t="shared" si="1436"/>
        <v>0.73611111111111116</v>
      </c>
      <c r="D7089" s="5"/>
      <c r="E7089" s="5"/>
      <c r="F7089" s="5" t="s">
        <v>22</v>
      </c>
      <c r="G7089" s="15" t="s">
        <v>22</v>
      </c>
      <c r="H7089" s="24">
        <f t="shared" si="1411"/>
        <v>0</v>
      </c>
      <c r="I7089" s="24" cm="1">
        <f t="array" ref="I7089">IFERROR(IF($B7089=I$1, ($A7089+$C7089) - MAX(IF($B$2:$B7088=$B7089, $A$2:$A7088+$C$2:$C7088)), "")*24*60, "")</f>
        <v>0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37">A7089</f>
        <v>45997</v>
      </c>
      <c r="B7090" s="5" t="str">
        <f t="shared" si="1437"/>
        <v>Northern Cardinal</v>
      </c>
      <c r="C7090" s="6">
        <f t="shared" si="1437"/>
        <v>0.73611111111111116</v>
      </c>
      <c r="D7090" s="5"/>
      <c r="E7090" s="5"/>
      <c r="F7090" s="5" t="s">
        <v>22</v>
      </c>
      <c r="G7090" s="15" t="s">
        <v>22</v>
      </c>
      <c r="H7090" s="24">
        <f t="shared" si="1411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38">A7090</f>
        <v>45997</v>
      </c>
      <c r="B7091" s="5" t="str">
        <f t="shared" si="1438"/>
        <v>Northern Cardinal</v>
      </c>
      <c r="C7091" s="6">
        <f t="shared" si="1438"/>
        <v>0.73611111111111116</v>
      </c>
      <c r="D7091" s="5"/>
      <c r="E7091" s="5"/>
      <c r="F7091" s="5" t="s">
        <v>22</v>
      </c>
      <c r="G7091" s="15" t="s">
        <v>22</v>
      </c>
      <c r="H7091" s="24">
        <f t="shared" si="1411"/>
        <v>0</v>
      </c>
      <c r="I7091" s="24" cm="1">
        <f t="array" ref="I7091">IFERROR(IF($B7091=I$1, ($A7091+$C7091) - MAX(IF($B$2:$B7090=$B7091, $A$2:$A7090+$C$2:$C7090)), "")*24*60, "")</f>
        <v>0</v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t="str" cm="1">
        <f t="array" ref="O7091">IFERROR(IF($B7091=O$1, ($A7091+$C7091) - MAX(IF($B$2:$B7090=$B7091, $A$2:$A7090+$C$2:$C7090)), "")*24*60, "")</f>
        <v/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39">A7091</f>
        <v>45997</v>
      </c>
      <c r="B7092" s="5" t="str">
        <f t="shared" si="1439"/>
        <v>Northern Cardinal</v>
      </c>
      <c r="C7092" s="6">
        <f t="shared" si="1439"/>
        <v>0.73611111111111116</v>
      </c>
      <c r="D7092" s="5"/>
      <c r="E7092" s="5"/>
      <c r="F7092" s="5" t="s">
        <v>22</v>
      </c>
      <c r="G7092" s="15" t="s">
        <v>22</v>
      </c>
      <c r="H7092" s="24">
        <f t="shared" si="1411"/>
        <v>0</v>
      </c>
      <c r="I7092" s="24" cm="1">
        <f t="array" ref="I7092">IFERROR(IF($B7092=I$1, ($A7092+$C7092) - MAX(IF($B$2:$B7091=$B7092, $A$2:$A7091+$C$2:$C7091)), "")*24*60, "")</f>
        <v>0</v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40">A7092</f>
        <v>45997</v>
      </c>
      <c r="B7093" s="5" t="str">
        <f t="shared" si="1440"/>
        <v>Northern Cardinal</v>
      </c>
      <c r="C7093" s="6">
        <f t="shared" si="1440"/>
        <v>0.73611111111111116</v>
      </c>
      <c r="D7093" s="5"/>
      <c r="E7093" s="5"/>
      <c r="F7093" s="5" t="s">
        <v>22</v>
      </c>
      <c r="G7093" s="15" t="s">
        <v>22</v>
      </c>
      <c r="H7093" s="24">
        <f t="shared" si="1411"/>
        <v>0</v>
      </c>
      <c r="I7093" s="24" cm="1">
        <f t="array" ref="I7093">IFERROR(IF($B7093=I$1, ($A7093+$C7093) - MAX(IF($B$2:$B7092=$B7093, $A$2:$A7092+$C$2:$C7092)), "")*24*60, "")</f>
        <v>0</v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41">A7093</f>
        <v>45997</v>
      </c>
      <c r="B7094" s="5" t="str">
        <f t="shared" si="1441"/>
        <v>Northern Cardinal</v>
      </c>
      <c r="C7094" s="6">
        <f t="shared" si="1441"/>
        <v>0.73611111111111116</v>
      </c>
      <c r="D7094" s="5"/>
      <c r="E7094" s="5"/>
      <c r="F7094" s="5" t="s">
        <v>22</v>
      </c>
      <c r="G7094" s="15" t="s">
        <v>22</v>
      </c>
      <c r="H7094" s="24">
        <f t="shared" si="1411"/>
        <v>0</v>
      </c>
      <c r="I7094" s="24" cm="1">
        <f t="array" ref="I7094">IFERROR(IF($B7094=I$1, ($A7094+$C7094) - MAX(IF($B$2:$B7093=$B7094, $A$2:$A7093+$C$2:$C7093)), "")*24*60, "")</f>
        <v>0</v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42">A7094</f>
        <v>45997</v>
      </c>
      <c r="B7095" s="5" t="str">
        <f t="shared" si="1442"/>
        <v>Northern Cardinal</v>
      </c>
      <c r="C7095" s="6">
        <f t="shared" si="1442"/>
        <v>0.73611111111111116</v>
      </c>
      <c r="D7095" s="5"/>
      <c r="E7095" s="5"/>
      <c r="F7095" s="5" t="s">
        <v>22</v>
      </c>
      <c r="G7095" s="15" t="s">
        <v>22</v>
      </c>
      <c r="H7095" s="24">
        <f t="shared" si="1411"/>
        <v>0</v>
      </c>
      <c r="I7095" s="24" cm="1">
        <f t="array" ref="I7095">IFERROR(IF($B7095=I$1, ($A7095+$C7095) - MAX(IF($B$2:$B7094=$B7095, $A$2:$A7094+$C$2:$C7094)), "")*24*60, "")</f>
        <v>0</v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43">A7095</f>
        <v>45997</v>
      </c>
      <c r="B7096" s="5" t="str">
        <f t="shared" si="1443"/>
        <v>Northern Cardinal</v>
      </c>
      <c r="C7096" s="6">
        <f t="shared" si="1443"/>
        <v>0.73611111111111116</v>
      </c>
      <c r="D7096" s="5"/>
      <c r="E7096" s="5"/>
      <c r="F7096" s="5" t="s">
        <v>22</v>
      </c>
      <c r="G7096" s="15" t="s">
        <v>22</v>
      </c>
      <c r="H7096" s="24">
        <f t="shared" si="1411"/>
        <v>0</v>
      </c>
      <c r="I7096" s="24" cm="1">
        <f t="array" ref="I7096">IFERROR(IF($B7096=I$1, ($A7096+$C7096) - MAX(IF($B$2:$B7095=$B7096, $A$2:$A7095+$C$2:$C7095)), "")*24*60, "")</f>
        <v>0</v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44">A7096</f>
        <v>45997</v>
      </c>
      <c r="B7097" s="5" t="str">
        <f t="shared" si="1444"/>
        <v>Northern Cardinal</v>
      </c>
      <c r="C7097" s="6">
        <f t="shared" si="1444"/>
        <v>0.73611111111111116</v>
      </c>
      <c r="D7097" s="5"/>
      <c r="E7097" s="5"/>
      <c r="F7097" s="5" t="s">
        <v>22</v>
      </c>
      <c r="G7097" s="15" t="s">
        <v>22</v>
      </c>
      <c r="H7097" s="24">
        <f t="shared" si="1411"/>
        <v>0</v>
      </c>
      <c r="I7097" s="24" cm="1">
        <f t="array" ref="I7097">IFERROR(IF($B7097=I$1, ($A7097+$C7097) - MAX(IF($B$2:$B7096=$B7097, $A$2:$A7096+$C$2:$C7096)), "")*24*60, "")</f>
        <v>0</v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45">A7097</f>
        <v>45997</v>
      </c>
      <c r="B7098" s="5" t="str">
        <f t="shared" si="1445"/>
        <v>Northern Cardinal</v>
      </c>
      <c r="C7098" s="6">
        <f t="shared" si="1445"/>
        <v>0.73611111111111116</v>
      </c>
      <c r="D7098" s="5"/>
      <c r="E7098" s="5"/>
      <c r="F7098" s="5" t="s">
        <v>22</v>
      </c>
      <c r="G7098" s="15" t="s">
        <v>22</v>
      </c>
      <c r="H7098" s="24">
        <f t="shared" si="1411"/>
        <v>0</v>
      </c>
      <c r="I7098" s="24" cm="1">
        <f t="array" ref="I7098">IFERROR(IF($B7098=I$1, ($A7098+$C7098) - MAX(IF($B$2:$B7097=$B7098, $A$2:$A7097+$C$2:$C7097)), "")*24*60, "")</f>
        <v>0</v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46">A7098</f>
        <v>45997</v>
      </c>
      <c r="B7099" s="5" t="str">
        <f t="shared" si="1446"/>
        <v>Northern Cardinal</v>
      </c>
      <c r="C7099" s="6">
        <f t="shared" si="1446"/>
        <v>0.73611111111111116</v>
      </c>
      <c r="D7099" s="5"/>
      <c r="E7099" s="5"/>
      <c r="F7099" s="5" t="s">
        <v>22</v>
      </c>
      <c r="G7099" s="15" t="s">
        <v>22</v>
      </c>
      <c r="H7099" s="24">
        <f t="shared" si="1411"/>
        <v>0</v>
      </c>
      <c r="I7099" s="24" cm="1">
        <f t="array" ref="I7099">IFERROR(IF($B7099=I$1, ($A7099+$C7099) - MAX(IF($B$2:$B7098=$B7099, $A$2:$A7098+$C$2:$C7098)), "")*24*60, "")</f>
        <v>0</v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47">A7099</f>
        <v>45997</v>
      </c>
      <c r="B7100" s="5" t="str">
        <f t="shared" si="1447"/>
        <v>Northern Cardinal</v>
      </c>
      <c r="C7100" s="6">
        <f t="shared" si="1447"/>
        <v>0.73611111111111116</v>
      </c>
      <c r="D7100" s="5"/>
      <c r="E7100" s="5"/>
      <c r="F7100" s="5" t="s">
        <v>22</v>
      </c>
      <c r="G7100" s="15" t="s">
        <v>22</v>
      </c>
      <c r="H7100" s="24">
        <f t="shared" si="1411"/>
        <v>0</v>
      </c>
      <c r="I7100" s="24" cm="1">
        <f t="array" ref="I7100">IFERROR(IF($B7100=I$1, ($A7100+$C7100) - MAX(IF($B$2:$B7099=$B7100, $A$2:$A7099+$C$2:$C7099)), "")*24*60, "")</f>
        <v>0</v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48">A7100</f>
        <v>45997</v>
      </c>
      <c r="B7101" s="5" t="str">
        <f t="shared" si="1448"/>
        <v>Northern Cardinal</v>
      </c>
      <c r="C7101" s="6">
        <f t="shared" si="1448"/>
        <v>0.73611111111111116</v>
      </c>
      <c r="D7101" s="5"/>
      <c r="E7101" s="5"/>
      <c r="F7101" s="5" t="s">
        <v>22</v>
      </c>
      <c r="G7101" s="15" t="s">
        <v>22</v>
      </c>
      <c r="H7101" s="24">
        <f t="shared" si="1411"/>
        <v>0</v>
      </c>
      <c r="I7101" s="24" cm="1">
        <f t="array" ref="I7101">IFERROR(IF($B7101=I$1, ($A7101+$C7101) - MAX(IF($B$2:$B7100=$B7101, $A$2:$A7100+$C$2:$C7100)), "")*24*60, "")</f>
        <v>0</v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49">A7101</f>
        <v>45997</v>
      </c>
      <c r="B7102" s="5" t="str">
        <f t="shared" si="1449"/>
        <v>Northern Cardinal</v>
      </c>
      <c r="C7102" s="6">
        <f t="shared" si="1449"/>
        <v>0.73611111111111116</v>
      </c>
      <c r="D7102" s="5"/>
      <c r="E7102" s="5"/>
      <c r="F7102" s="5" t="s">
        <v>22</v>
      </c>
      <c r="G7102" s="15" t="s">
        <v>22</v>
      </c>
      <c r="H7102" s="24">
        <f t="shared" si="1411"/>
        <v>0</v>
      </c>
      <c r="I7102" s="24" cm="1">
        <f t="array" ref="I7102">IFERROR(IF($B7102=I$1, ($A7102+$C7102) - MAX(IF($B$2:$B7101=$B7102, $A$2:$A7101+$C$2:$C7101)), "")*24*60, "")</f>
        <v>0</v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50">A7102</f>
        <v>45997</v>
      </c>
      <c r="B7103" s="5" t="str">
        <f t="shared" si="1450"/>
        <v>Northern Cardinal</v>
      </c>
      <c r="C7103" s="6">
        <f t="shared" si="1450"/>
        <v>0.73611111111111116</v>
      </c>
      <c r="D7103" s="5"/>
      <c r="E7103" s="5"/>
      <c r="F7103" s="5" t="s">
        <v>22</v>
      </c>
      <c r="G7103" s="15" t="s">
        <v>22</v>
      </c>
      <c r="H7103" s="24">
        <f t="shared" si="1411"/>
        <v>0</v>
      </c>
      <c r="I7103" s="24" cm="1">
        <f t="array" ref="I7103">IFERROR(IF($B7103=I$1, ($A7103+$C7103) - MAX(IF($B$2:$B7102=$B7103, $A$2:$A7102+$C$2:$C7102)), "")*24*60, "")</f>
        <v>0</v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51">A7103</f>
        <v>45997</v>
      </c>
      <c r="B7104" s="5" t="str">
        <f t="shared" si="1451"/>
        <v>Northern Cardinal</v>
      </c>
      <c r="C7104" s="6">
        <f t="shared" si="1451"/>
        <v>0.73611111111111116</v>
      </c>
      <c r="D7104" s="5"/>
      <c r="E7104" s="5"/>
      <c r="F7104" s="5" t="s">
        <v>22</v>
      </c>
      <c r="G7104" s="15" t="s">
        <v>22</v>
      </c>
      <c r="H7104" s="24">
        <f t="shared" si="1411"/>
        <v>0</v>
      </c>
      <c r="I7104" s="24" cm="1">
        <f t="array" ref="I7104">IFERROR(IF($B7104=I$1, ($A7104+$C7104) - MAX(IF($B$2:$B7103=$B7104, $A$2:$A7103+$C$2:$C7103)), "")*24*60, "")</f>
        <v>0</v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52">A7104</f>
        <v>45997</v>
      </c>
      <c r="B7105" s="5" t="str">
        <f t="shared" si="1452"/>
        <v>Northern Cardinal</v>
      </c>
      <c r="C7105" s="6">
        <f t="shared" si="1452"/>
        <v>0.73611111111111116</v>
      </c>
      <c r="D7105" s="5"/>
      <c r="E7105" s="5"/>
      <c r="F7105" s="5" t="s">
        <v>22</v>
      </c>
      <c r="G7105" s="15" t="s">
        <v>22</v>
      </c>
      <c r="H7105" s="24">
        <f t="shared" si="1411"/>
        <v>0</v>
      </c>
      <c r="I7105" s="24" cm="1">
        <f t="array" ref="I7105">IFERROR(IF($B7105=I$1, ($A7105+$C7105) - MAX(IF($B$2:$B7104=$B7105, $A$2:$A7104+$C$2:$C7104)), "")*24*60, "")</f>
        <v>0</v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53">A7105</f>
        <v>45997</v>
      </c>
      <c r="B7106" s="5" t="str">
        <f t="shared" si="1453"/>
        <v>Northern Cardinal</v>
      </c>
      <c r="C7106" s="6">
        <f t="shared" si="1453"/>
        <v>0.73611111111111116</v>
      </c>
      <c r="D7106" s="5"/>
      <c r="E7106" s="5"/>
      <c r="F7106" s="5" t="s">
        <v>22</v>
      </c>
      <c r="G7106" s="15" t="s">
        <v>22</v>
      </c>
      <c r="H7106" s="24">
        <f t="shared" si="1411"/>
        <v>0</v>
      </c>
      <c r="I7106" s="24" cm="1">
        <f t="array" ref="I7106">IFERROR(IF($B7106=I$1, ($A7106+$C7106) - MAX(IF($B$2:$B7105=$B7106, $A$2:$A7105+$C$2:$C7105)), "")*24*60, "")</f>
        <v>0</v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54">A7106</f>
        <v>45997</v>
      </c>
      <c r="B7107" s="5" t="str">
        <f t="shared" si="1454"/>
        <v>Northern Cardinal</v>
      </c>
      <c r="C7107" s="6">
        <f t="shared" si="1454"/>
        <v>0.73611111111111116</v>
      </c>
      <c r="D7107" s="5"/>
      <c r="E7107" s="5"/>
      <c r="F7107" s="5" t="s">
        <v>22</v>
      </c>
      <c r="G7107" s="15" t="s">
        <v>22</v>
      </c>
      <c r="H7107" s="24">
        <f t="shared" si="1411"/>
        <v>0</v>
      </c>
      <c r="I7107" s="24" cm="1">
        <f t="array" ref="I7107">IFERROR(IF($B7107=I$1, ($A7107+$C7107) - MAX(IF($B$2:$B7106=$B7107, $A$2:$A7106+$C$2:$C7106)), "")*24*60, "")</f>
        <v>0</v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55">A7107</f>
        <v>45997</v>
      </c>
      <c r="B7108" s="5" t="str">
        <f t="shared" si="1455"/>
        <v>Northern Cardinal</v>
      </c>
      <c r="C7108" s="6">
        <f t="shared" si="1455"/>
        <v>0.73611111111111116</v>
      </c>
      <c r="D7108" s="5"/>
      <c r="E7108" s="5"/>
      <c r="F7108" s="5" t="s">
        <v>22</v>
      </c>
      <c r="G7108" s="15" t="s">
        <v>22</v>
      </c>
      <c r="H7108" s="24">
        <f t="shared" si="1411"/>
        <v>0</v>
      </c>
      <c r="I7108" s="24" cm="1">
        <f t="array" ref="I7108">IFERROR(IF($B7108=I$1, ($A7108+$C7108) - MAX(IF($B$2:$B7107=$B7108, $A$2:$A7107+$C$2:$C7107)), "")*24*60, "")</f>
        <v>0</v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56">A7108</f>
        <v>45997</v>
      </c>
      <c r="B7109" s="5" t="str">
        <f t="shared" si="1456"/>
        <v>Northern Cardinal</v>
      </c>
      <c r="C7109" s="6">
        <f t="shared" si="1456"/>
        <v>0.73611111111111116</v>
      </c>
      <c r="D7109" s="5"/>
      <c r="E7109" s="5"/>
      <c r="F7109" s="5" t="s">
        <v>22</v>
      </c>
      <c r="G7109" s="15" t="s">
        <v>22</v>
      </c>
      <c r="H7109" s="24">
        <f t="shared" si="1411"/>
        <v>0</v>
      </c>
      <c r="I7109" s="24" cm="1">
        <f t="array" ref="I7109">IFERROR(IF($B7109=I$1, ($A7109+$C7109) - MAX(IF($B$2:$B7108=$B7109, $A$2:$A7108+$C$2:$C7108)), "")*24*60, "")</f>
        <v>0</v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57">A7109</f>
        <v>45997</v>
      </c>
      <c r="B7110" s="5" t="str">
        <f t="shared" si="1457"/>
        <v>Northern Cardinal</v>
      </c>
      <c r="C7110" s="6">
        <f t="shared" si="1457"/>
        <v>0.73611111111111116</v>
      </c>
      <c r="D7110" s="5"/>
      <c r="E7110" s="5"/>
      <c r="F7110" s="5" t="s">
        <v>22</v>
      </c>
      <c r="G7110" s="15" t="s">
        <v>22</v>
      </c>
      <c r="H7110" s="24">
        <f t="shared" si="1411"/>
        <v>0</v>
      </c>
      <c r="I7110" s="24" cm="1">
        <f t="array" ref="I7110">IFERROR(IF($B7110=I$1, ($A7110+$C7110) - MAX(IF($B$2:$B7109=$B7110, $A$2:$A7109+$C$2:$C7109)), "")*24*60, "")</f>
        <v>0</v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58">A7110</f>
        <v>45997</v>
      </c>
      <c r="B7111" s="5" t="str">
        <f t="shared" si="1458"/>
        <v>Northern Cardinal</v>
      </c>
      <c r="C7111" s="6">
        <f t="shared" si="1458"/>
        <v>0.73611111111111116</v>
      </c>
      <c r="D7111" s="5"/>
      <c r="E7111" s="5"/>
      <c r="F7111" s="5" t="s">
        <v>22</v>
      </c>
      <c r="G7111" s="15" t="s">
        <v>22</v>
      </c>
      <c r="H7111" s="24">
        <f t="shared" si="1411"/>
        <v>0</v>
      </c>
      <c r="I7111" s="24" cm="1">
        <f t="array" ref="I7111">IFERROR(IF($B7111=I$1, ($A7111+$C7111) - MAX(IF($B$2:$B7110=$B7111, $A$2:$A7110+$C$2:$C7110)), "")*24*60, "")</f>
        <v>0</v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59">A7111</f>
        <v>45997</v>
      </c>
      <c r="B7112" s="5" t="str">
        <f t="shared" si="1459"/>
        <v>Northern Cardinal</v>
      </c>
      <c r="C7112" s="6">
        <f t="shared" si="1459"/>
        <v>0.73611111111111116</v>
      </c>
      <c r="D7112" s="5"/>
      <c r="E7112" s="5"/>
      <c r="F7112" s="5" t="s">
        <v>22</v>
      </c>
      <c r="G7112" s="15" t="s">
        <v>22</v>
      </c>
      <c r="H7112" s="24">
        <f t="shared" si="1411"/>
        <v>0</v>
      </c>
      <c r="I7112" s="24" cm="1">
        <f t="array" ref="I7112">IFERROR(IF($B7112=I$1, ($A7112+$C7112) - MAX(IF($B$2:$B7111=$B7112, $A$2:$A7111+$C$2:$C7111)), "")*24*60, "")</f>
        <v>0</v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60">A7112</f>
        <v>45997</v>
      </c>
      <c r="B7113" s="5" t="str">
        <f t="shared" si="1460"/>
        <v>Northern Cardinal</v>
      </c>
      <c r="C7113" s="6">
        <f t="shared" si="1460"/>
        <v>0.73611111111111116</v>
      </c>
      <c r="D7113" s="5"/>
      <c r="E7113" s="5"/>
      <c r="F7113" s="5" t="s">
        <v>22</v>
      </c>
      <c r="G7113" s="15" t="s">
        <v>22</v>
      </c>
      <c r="H7113" s="24">
        <f t="shared" si="1411"/>
        <v>0</v>
      </c>
      <c r="I7113" s="24" cm="1">
        <f t="array" ref="I7113">IFERROR(IF($B7113=I$1, ($A7113+$C7113) - MAX(IF($B$2:$B7112=$B7113, $A$2:$A7112+$C$2:$C7112)), "")*24*60, "")</f>
        <v>0</v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61">A7113</f>
        <v>45997</v>
      </c>
      <c r="B7114" s="5" t="str">
        <f t="shared" si="1461"/>
        <v>Northern Cardinal</v>
      </c>
      <c r="C7114" s="6">
        <f t="shared" si="1461"/>
        <v>0.73611111111111116</v>
      </c>
      <c r="D7114" s="5"/>
      <c r="E7114" s="5"/>
      <c r="F7114" s="5" t="s">
        <v>22</v>
      </c>
      <c r="G7114" s="15" t="s">
        <v>22</v>
      </c>
      <c r="H7114" s="24">
        <f t="shared" si="1411"/>
        <v>0</v>
      </c>
      <c r="I7114" s="24" cm="1">
        <f t="array" ref="I7114">IFERROR(IF($B7114=I$1, ($A7114+$C7114) - MAX(IF($B$2:$B7113=$B7114, $A$2:$A7113+$C$2:$C7113)), "")*24*60, "")</f>
        <v>0</v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62">A7114</f>
        <v>45997</v>
      </c>
      <c r="B7115" s="5" t="str">
        <f t="shared" si="1462"/>
        <v>Northern Cardinal</v>
      </c>
      <c r="C7115" s="6">
        <f t="shared" si="1462"/>
        <v>0.73611111111111116</v>
      </c>
      <c r="D7115" s="5"/>
      <c r="E7115" s="5"/>
      <c r="F7115" s="5" t="s">
        <v>22</v>
      </c>
      <c r="G7115" s="15" t="s">
        <v>22</v>
      </c>
      <c r="H7115" s="24">
        <f t="shared" si="1411"/>
        <v>0</v>
      </c>
      <c r="I7115" s="24" cm="1">
        <f t="array" ref="I7115">IFERROR(IF($B7115=I$1, ($A7115+$C7115) - MAX(IF($B$2:$B7114=$B7115, $A$2:$A7114+$C$2:$C7114)), "")*24*60, "")</f>
        <v>0</v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63">A7115</f>
        <v>45997</v>
      </c>
      <c r="B7116" s="5" t="str">
        <f t="shared" si="1463"/>
        <v>Northern Cardinal</v>
      </c>
      <c r="C7116" s="6">
        <f t="shared" si="1463"/>
        <v>0.73611111111111116</v>
      </c>
      <c r="D7116" s="5"/>
      <c r="E7116" s="5"/>
      <c r="F7116" s="5" t="s">
        <v>22</v>
      </c>
      <c r="G7116" s="15" t="s">
        <v>22</v>
      </c>
      <c r="H7116" s="24">
        <f t="shared" si="1411"/>
        <v>0</v>
      </c>
      <c r="I7116" s="24" cm="1">
        <f t="array" ref="I7116">IFERROR(IF($B7116=I$1, ($A7116+$C7116) - MAX(IF($B$2:$B7115=$B7116, $A$2:$A7115+$C$2:$C7115)), "")*24*60, "")</f>
        <v>0</v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64">A7116</f>
        <v>45997</v>
      </c>
      <c r="B7117" s="5" t="str">
        <f t="shared" si="1464"/>
        <v>Northern Cardinal</v>
      </c>
      <c r="C7117" s="6">
        <f t="shared" si="1464"/>
        <v>0.73611111111111116</v>
      </c>
      <c r="D7117" s="5"/>
      <c r="E7117" s="5"/>
      <c r="F7117" s="5" t="s">
        <v>22</v>
      </c>
      <c r="G7117" s="15" t="s">
        <v>22</v>
      </c>
      <c r="H7117" s="24">
        <f t="shared" si="1411"/>
        <v>0</v>
      </c>
      <c r="I7117" s="24" cm="1">
        <f t="array" ref="I7117">IFERROR(IF($B7117=I$1, ($A7117+$C7117) - MAX(IF($B$2:$B7116=$B7117, $A$2:$A7116+$C$2:$C7116)), "")*24*60, "")</f>
        <v>0</v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65">A7117</f>
        <v>45997</v>
      </c>
      <c r="B7118" s="5" t="str">
        <f t="shared" si="1465"/>
        <v>Northern Cardinal</v>
      </c>
      <c r="C7118" s="6">
        <f t="shared" si="1465"/>
        <v>0.73611111111111116</v>
      </c>
      <c r="D7118" s="5"/>
      <c r="E7118" s="5"/>
      <c r="F7118" s="5" t="s">
        <v>22</v>
      </c>
      <c r="G7118" s="15" t="s">
        <v>22</v>
      </c>
      <c r="H7118" s="24">
        <f t="shared" si="1411"/>
        <v>0</v>
      </c>
      <c r="I7118" s="24" cm="1">
        <f t="array" ref="I7118">IFERROR(IF($B7118=I$1, ($A7118+$C7118) - MAX(IF($B$2:$B7117=$B7118, $A$2:$A7117+$C$2:$C7117)), "")*24*60, "")</f>
        <v>0</v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66">A7118</f>
        <v>45997</v>
      </c>
      <c r="B7119" s="5" t="str">
        <f t="shared" si="1466"/>
        <v>Northern Cardinal</v>
      </c>
      <c r="C7119" s="6">
        <f t="shared" si="1466"/>
        <v>0.73611111111111116</v>
      </c>
      <c r="D7119" s="5"/>
      <c r="E7119" s="5"/>
      <c r="F7119" s="5" t="s">
        <v>22</v>
      </c>
      <c r="G7119" s="15" t="s">
        <v>22</v>
      </c>
      <c r="H7119" s="24">
        <f t="shared" si="1411"/>
        <v>0</v>
      </c>
      <c r="I7119" s="24" cm="1">
        <f t="array" ref="I7119">IFERROR(IF($B7119=I$1, ($A7119+$C7119) - MAX(IF($B$2:$B7118=$B7119, $A$2:$A7118+$C$2:$C7118)), "")*24*60, "")</f>
        <v>0</v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67">A7119</f>
        <v>45997</v>
      </c>
      <c r="B7120" s="5" t="str">
        <f t="shared" si="1467"/>
        <v>Northern Cardinal</v>
      </c>
      <c r="C7120" s="6">
        <f t="shared" si="1467"/>
        <v>0.73611111111111116</v>
      </c>
      <c r="D7120" s="5"/>
      <c r="E7120" s="5"/>
      <c r="F7120" s="5" t="s">
        <v>22</v>
      </c>
      <c r="G7120" s="15" t="s">
        <v>22</v>
      </c>
      <c r="H7120" s="24">
        <f t="shared" si="1411"/>
        <v>0</v>
      </c>
      <c r="I7120" s="24" cm="1">
        <f t="array" ref="I7120">IFERROR(IF($B7120=I$1, ($A7120+$C7120) - MAX(IF($B$2:$B7119=$B7120, $A$2:$A7119+$C$2:$C7119)), "")*24*60, "")</f>
        <v>0</v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68">A7120</f>
        <v>45997</v>
      </c>
      <c r="B7121" s="5" t="str">
        <f t="shared" si="1468"/>
        <v>Northern Cardinal</v>
      </c>
      <c r="C7121" s="6">
        <f t="shared" si="1468"/>
        <v>0.73611111111111116</v>
      </c>
      <c r="D7121" s="5"/>
      <c r="E7121" s="5"/>
      <c r="F7121" s="5" t="s">
        <v>22</v>
      </c>
      <c r="G7121" s="15" t="s">
        <v>22</v>
      </c>
      <c r="H7121" s="24">
        <f t="shared" si="1411"/>
        <v>0</v>
      </c>
      <c r="I7121" s="24" cm="1">
        <f t="array" ref="I7121">IFERROR(IF($B7121=I$1, ($A7121+$C7121) - MAX(IF($B$2:$B7120=$B7121, $A$2:$A7120+$C$2:$C7120)), "")*24*60, "")</f>
        <v>0</v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69">A7121</f>
        <v>45997</v>
      </c>
      <c r="B7122" s="5" t="str">
        <f t="shared" si="1469"/>
        <v>Northern Cardinal</v>
      </c>
      <c r="C7122" s="6">
        <f t="shared" si="1469"/>
        <v>0.73611111111111116</v>
      </c>
      <c r="D7122" s="5"/>
      <c r="E7122" s="5"/>
      <c r="F7122" s="5" t="s">
        <v>22</v>
      </c>
      <c r="G7122" s="15" t="s">
        <v>22</v>
      </c>
      <c r="H7122" s="24">
        <f t="shared" si="1411"/>
        <v>0</v>
      </c>
      <c r="I7122" s="24" cm="1">
        <f t="array" ref="I7122">IFERROR(IF($B7122=I$1, ($A7122+$C7122) - MAX(IF($B$2:$B7121=$B7122, $A$2:$A7121+$C$2:$C7121)), "")*24*60, "")</f>
        <v>0</v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70">A7122</f>
        <v>45997</v>
      </c>
      <c r="B7123" s="5" t="str">
        <f t="shared" si="1470"/>
        <v>Northern Cardinal</v>
      </c>
      <c r="C7123" s="6">
        <f t="shared" si="1470"/>
        <v>0.73611111111111116</v>
      </c>
      <c r="D7123" s="5"/>
      <c r="E7123" s="5"/>
      <c r="F7123" s="5" t="s">
        <v>22</v>
      </c>
      <c r="G7123" s="15" t="s">
        <v>22</v>
      </c>
      <c r="H7123" s="24">
        <f t="shared" si="1411"/>
        <v>0</v>
      </c>
      <c r="I7123" s="24" cm="1">
        <f t="array" ref="I7123">IFERROR(IF($B7123=I$1, ($A7123+$C7123) - MAX(IF($B$2:$B7122=$B7123, $A$2:$A7122+$C$2:$C7122)), "")*24*60, "")</f>
        <v>0</v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71">A7123</f>
        <v>45997</v>
      </c>
      <c r="B7124" s="5" t="str">
        <f t="shared" si="1471"/>
        <v>Northern Cardinal</v>
      </c>
      <c r="C7124" s="6">
        <f t="shared" si="1471"/>
        <v>0.73611111111111116</v>
      </c>
      <c r="D7124" s="5"/>
      <c r="E7124" s="5"/>
      <c r="F7124" s="5" t="s">
        <v>22</v>
      </c>
      <c r="G7124" s="15" t="s">
        <v>22</v>
      </c>
      <c r="H7124" s="24">
        <f t="shared" si="1411"/>
        <v>0</v>
      </c>
      <c r="I7124" s="24" cm="1">
        <f t="array" ref="I7124">IFERROR(IF($B7124=I$1, ($A7124+$C7124) - MAX(IF($B$2:$B7123=$B7124, $A$2:$A7123+$C$2:$C7123)), "")*24*60, "")</f>
        <v>0</v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72">A7124</f>
        <v>45997</v>
      </c>
      <c r="B7125" s="5" t="str">
        <f t="shared" si="1472"/>
        <v>Northern Cardinal</v>
      </c>
      <c r="C7125" s="6">
        <f t="shared" si="1472"/>
        <v>0.73611111111111116</v>
      </c>
      <c r="D7125" s="5"/>
      <c r="E7125" s="5"/>
      <c r="F7125" s="5" t="s">
        <v>22</v>
      </c>
      <c r="G7125" s="15" t="s">
        <v>22</v>
      </c>
      <c r="H7125" s="24">
        <f t="shared" si="1411"/>
        <v>0</v>
      </c>
      <c r="I7125" s="24" cm="1">
        <f t="array" ref="I7125">IFERROR(IF($B7125=I$1, ($A7125+$C7125) - MAX(IF($B$2:$B7124=$B7125, $A$2:$A7124+$C$2:$C7124)), "")*24*60, "")</f>
        <v>0</v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73">A7125</f>
        <v>45997</v>
      </c>
      <c r="B7126" s="5" t="str">
        <f t="shared" si="1473"/>
        <v>Northern Cardinal</v>
      </c>
      <c r="C7126" s="6">
        <f t="shared" si="1473"/>
        <v>0.73611111111111116</v>
      </c>
      <c r="D7126" s="5"/>
      <c r="E7126" s="5"/>
      <c r="F7126" s="5" t="s">
        <v>22</v>
      </c>
      <c r="G7126" s="15" t="s">
        <v>22</v>
      </c>
      <c r="H7126" s="24">
        <f t="shared" si="1411"/>
        <v>0</v>
      </c>
      <c r="I7126" s="24" cm="1">
        <f t="array" ref="I7126">IFERROR(IF($B7126=I$1, ($A7126+$C7126) - MAX(IF($B$2:$B7125=$B7126, $A$2:$A7125+$C$2:$C7125)), "")*24*60, "")</f>
        <v>0</v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74">A7126</f>
        <v>45997</v>
      </c>
      <c r="B7127" s="5" t="str">
        <f t="shared" si="1474"/>
        <v>Northern Cardinal</v>
      </c>
      <c r="C7127" s="6">
        <f t="shared" si="1474"/>
        <v>0.73611111111111116</v>
      </c>
      <c r="D7127" s="5"/>
      <c r="E7127" s="5"/>
      <c r="F7127" s="5" t="s">
        <v>22</v>
      </c>
      <c r="G7127" s="15" t="s">
        <v>22</v>
      </c>
      <c r="H7127" s="24">
        <f t="shared" si="1411"/>
        <v>0</v>
      </c>
      <c r="I7127" s="24" cm="1">
        <f t="array" ref="I7127">IFERROR(IF($B7127=I$1, ($A7127+$C7127) - MAX(IF($B$2:$B7126=$B7127, $A$2:$A7126+$C$2:$C7126)), "")*24*60, "")</f>
        <v>0</v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75">A7127</f>
        <v>45997</v>
      </c>
      <c r="B7128" s="5" t="str">
        <f t="shared" si="1475"/>
        <v>Northern Cardinal</v>
      </c>
      <c r="C7128" s="6">
        <f t="shared" si="1475"/>
        <v>0.73611111111111116</v>
      </c>
      <c r="D7128" s="5"/>
      <c r="E7128" s="5"/>
      <c r="F7128" s="5" t="s">
        <v>22</v>
      </c>
      <c r="G7128" s="15" t="s">
        <v>22</v>
      </c>
      <c r="H7128" s="24">
        <f t="shared" ref="H7128:H7190" si="1476">IFERROR((($A7128+$C7128) - ($A7127+$C7127))*24*60, "")</f>
        <v>0</v>
      </c>
      <c r="I7128" s="24" cm="1">
        <f t="array" ref="I7128">IFERROR(IF($B7128=I$1, ($A7128+$C7128) - MAX(IF($B$2:$B7127=$B7128, $A$2:$A7127+$C$2:$C7127)), "")*24*60, "")</f>
        <v>0</v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77">A7128</f>
        <v>45997</v>
      </c>
      <c r="B7129" s="5" t="str">
        <f t="shared" si="1477"/>
        <v>Northern Cardinal</v>
      </c>
      <c r="C7129" s="6">
        <f t="shared" si="1477"/>
        <v>0.73611111111111116</v>
      </c>
      <c r="D7129" s="5"/>
      <c r="E7129" s="5"/>
      <c r="F7129" s="5" t="s">
        <v>22</v>
      </c>
      <c r="G7129" s="15" t="s">
        <v>22</v>
      </c>
      <c r="H7129" s="24">
        <f t="shared" si="1476"/>
        <v>0</v>
      </c>
      <c r="I7129" s="24" cm="1">
        <f t="array" ref="I7129">IFERROR(IF($B7129=I$1, ($A7129+$C7129) - MAX(IF($B$2:$B7128=$B7129, $A$2:$A7128+$C$2:$C7128)), "")*24*60, "")</f>
        <v>0</v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78">A7129</f>
        <v>45997</v>
      </c>
      <c r="B7130" s="5" t="str">
        <f t="shared" si="1478"/>
        <v>Northern Cardinal</v>
      </c>
      <c r="C7130" s="6">
        <f t="shared" si="1478"/>
        <v>0.73611111111111116</v>
      </c>
      <c r="D7130" s="5"/>
      <c r="E7130" s="5"/>
      <c r="F7130" s="5" t="s">
        <v>22</v>
      </c>
      <c r="G7130" s="15" t="s">
        <v>22</v>
      </c>
      <c r="H7130" s="24">
        <f t="shared" si="1476"/>
        <v>0</v>
      </c>
      <c r="I7130" s="24" cm="1">
        <f t="array" ref="I7130">IFERROR(IF($B7130=I$1, ($A7130+$C7130) - MAX(IF($B$2:$B7129=$B7130, $A$2:$A7129+$C$2:$C7129)), "")*24*60, "")</f>
        <v>0</v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79">A7130</f>
        <v>45997</v>
      </c>
      <c r="B7131" s="5" t="str">
        <f t="shared" si="1479"/>
        <v>Northern Cardinal</v>
      </c>
      <c r="C7131" s="6">
        <f t="shared" si="1479"/>
        <v>0.73611111111111116</v>
      </c>
      <c r="D7131" s="5"/>
      <c r="E7131" s="5"/>
      <c r="F7131" s="5" t="s">
        <v>22</v>
      </c>
      <c r="G7131" s="15" t="s">
        <v>22</v>
      </c>
      <c r="H7131" s="24">
        <f t="shared" si="1476"/>
        <v>0</v>
      </c>
      <c r="I7131" s="24" cm="1">
        <f t="array" ref="I7131">IFERROR(IF($B7131=I$1, ($A7131+$C7131) - MAX(IF($B$2:$B7130=$B7131, $A$2:$A7130+$C$2:$C7130)), "")*24*60, "")</f>
        <v>0</v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80">A7131</f>
        <v>45997</v>
      </c>
      <c r="B7132" s="5" t="str">
        <f t="shared" si="1480"/>
        <v>Northern Cardinal</v>
      </c>
      <c r="C7132" s="6">
        <f t="shared" si="1480"/>
        <v>0.73611111111111116</v>
      </c>
      <c r="D7132" s="5"/>
      <c r="E7132" s="5"/>
      <c r="F7132" s="5" t="s">
        <v>22</v>
      </c>
      <c r="G7132" s="15" t="s">
        <v>22</v>
      </c>
      <c r="H7132" s="24">
        <f t="shared" si="1476"/>
        <v>0</v>
      </c>
      <c r="I7132" s="24" cm="1">
        <f t="array" ref="I7132">IFERROR(IF($B7132=I$1, ($A7132+$C7132) - MAX(IF($B$2:$B7131=$B7132, $A$2:$A7131+$C$2:$C7131)), "")*24*60, "")</f>
        <v>0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81">A7132</f>
        <v>45997</v>
      </c>
      <c r="B7133" s="5" t="str">
        <f t="shared" si="1481"/>
        <v>Northern Cardinal</v>
      </c>
      <c r="C7133" s="6">
        <f t="shared" si="1481"/>
        <v>0.73611111111111116</v>
      </c>
      <c r="D7133" s="5"/>
      <c r="E7133" s="5"/>
      <c r="F7133" s="5" t="s">
        <v>22</v>
      </c>
      <c r="G7133" s="15" t="s">
        <v>22</v>
      </c>
      <c r="H7133" s="24">
        <f t="shared" si="1476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82">A7133</f>
        <v>45997</v>
      </c>
      <c r="B7134" s="5" t="str">
        <f t="shared" si="1482"/>
        <v>Northern Cardinal</v>
      </c>
      <c r="C7134" s="6">
        <f t="shared" si="1482"/>
        <v>0.73611111111111116</v>
      </c>
      <c r="D7134" s="5"/>
      <c r="E7134" s="5"/>
      <c r="F7134" s="5" t="s">
        <v>22</v>
      </c>
      <c r="G7134" s="15" t="s">
        <v>22</v>
      </c>
      <c r="H7134" s="24">
        <f t="shared" si="1476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83">A7134</f>
        <v>45997</v>
      </c>
      <c r="B7135" s="5" t="str">
        <f t="shared" si="1483"/>
        <v>Northern Cardinal</v>
      </c>
      <c r="C7135" s="6">
        <f t="shared" si="1483"/>
        <v>0.73611111111111116</v>
      </c>
      <c r="D7135" s="5"/>
      <c r="E7135" s="5"/>
      <c r="F7135" s="5" t="s">
        <v>22</v>
      </c>
      <c r="G7135" s="15" t="s">
        <v>22</v>
      </c>
      <c r="H7135" s="24">
        <f t="shared" si="1476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84">A7135</f>
        <v>45997</v>
      </c>
      <c r="B7136" s="5" t="str">
        <f t="shared" si="1484"/>
        <v>Northern Cardinal</v>
      </c>
      <c r="C7136" s="6">
        <f t="shared" si="1484"/>
        <v>0.73611111111111116</v>
      </c>
      <c r="D7136" s="5"/>
      <c r="E7136" s="5"/>
      <c r="F7136" s="5" t="s">
        <v>22</v>
      </c>
      <c r="G7136" s="15" t="s">
        <v>22</v>
      </c>
      <c r="H7136" s="24">
        <f t="shared" si="1476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85">A7136</f>
        <v>45997</v>
      </c>
      <c r="B7137" s="5" t="str">
        <f t="shared" si="1485"/>
        <v>Northern Cardinal</v>
      </c>
      <c r="C7137" s="6">
        <f t="shared" si="1485"/>
        <v>0.73611111111111116</v>
      </c>
      <c r="D7137" s="5"/>
      <c r="E7137" s="5"/>
      <c r="F7137" s="5" t="s">
        <v>22</v>
      </c>
      <c r="G7137" s="15" t="s">
        <v>22</v>
      </c>
      <c r="H7137" s="24">
        <f t="shared" si="1476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86">A7137</f>
        <v>45997</v>
      </c>
      <c r="B7138" s="5" t="str">
        <f t="shared" si="1486"/>
        <v>Northern Cardinal</v>
      </c>
      <c r="C7138" s="6">
        <f t="shared" si="1486"/>
        <v>0.73611111111111116</v>
      </c>
      <c r="D7138" s="5"/>
      <c r="E7138" s="5"/>
      <c r="F7138" s="5" t="s">
        <v>22</v>
      </c>
      <c r="G7138" s="15" t="s">
        <v>22</v>
      </c>
      <c r="H7138" s="24">
        <f t="shared" si="1476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87">A7138</f>
        <v>45997</v>
      </c>
      <c r="B7139" s="5" t="str">
        <f t="shared" si="1487"/>
        <v>Northern Cardinal</v>
      </c>
      <c r="C7139" s="6">
        <f t="shared" si="1487"/>
        <v>0.73611111111111116</v>
      </c>
      <c r="D7139" s="5"/>
      <c r="E7139" s="5"/>
      <c r="F7139" s="5" t="s">
        <v>22</v>
      </c>
      <c r="G7139" s="15" t="s">
        <v>22</v>
      </c>
      <c r="H7139" s="24">
        <f t="shared" si="1476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88">A7139</f>
        <v>45997</v>
      </c>
      <c r="B7140" s="5" t="str">
        <f t="shared" si="1488"/>
        <v>Northern Cardinal</v>
      </c>
      <c r="C7140" s="6">
        <f t="shared" si="1488"/>
        <v>0.73611111111111116</v>
      </c>
      <c r="D7140" s="5"/>
      <c r="E7140" s="5"/>
      <c r="F7140" s="5" t="s">
        <v>22</v>
      </c>
      <c r="G7140" s="15" t="s">
        <v>22</v>
      </c>
      <c r="H7140" s="24">
        <f t="shared" si="1476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489">A7140</f>
        <v>45997</v>
      </c>
      <c r="B7141" s="5" t="str">
        <f t="shared" si="1489"/>
        <v>Northern Cardinal</v>
      </c>
      <c r="C7141" s="6">
        <f t="shared" si="1489"/>
        <v>0.73611111111111116</v>
      </c>
      <c r="D7141" s="5"/>
      <c r="E7141" s="5"/>
      <c r="F7141" s="5" t="s">
        <v>22</v>
      </c>
      <c r="G7141" s="15" t="s">
        <v>22</v>
      </c>
      <c r="H7141" s="24">
        <f t="shared" si="1476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490">A7141</f>
        <v>45997</v>
      </c>
      <c r="B7142" s="5" t="str">
        <f t="shared" si="1490"/>
        <v>Northern Cardinal</v>
      </c>
      <c r="C7142" s="6">
        <f t="shared" si="1490"/>
        <v>0.73611111111111116</v>
      </c>
      <c r="D7142" s="5"/>
      <c r="E7142" s="5"/>
      <c r="F7142" s="5" t="s">
        <v>22</v>
      </c>
      <c r="G7142" s="15" t="s">
        <v>22</v>
      </c>
      <c r="H7142" s="24">
        <f t="shared" si="1476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491">A7142</f>
        <v>45997</v>
      </c>
      <c r="B7143" s="5" t="str">
        <f t="shared" si="1491"/>
        <v>Northern Cardinal</v>
      </c>
      <c r="C7143" s="6">
        <f t="shared" si="1491"/>
        <v>0.73611111111111116</v>
      </c>
      <c r="D7143" s="5"/>
      <c r="E7143" s="5"/>
      <c r="F7143" s="5" t="s">
        <v>22</v>
      </c>
      <c r="G7143" s="15" t="s">
        <v>22</v>
      </c>
      <c r="H7143" s="24">
        <f t="shared" si="1476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492">A7143</f>
        <v>45997</v>
      </c>
      <c r="B7144" s="5" t="str">
        <f t="shared" si="1492"/>
        <v>Northern Cardinal</v>
      </c>
      <c r="C7144" s="6">
        <f t="shared" si="1492"/>
        <v>0.73611111111111116</v>
      </c>
      <c r="D7144" s="5"/>
      <c r="E7144" s="5"/>
      <c r="F7144" s="5" t="s">
        <v>22</v>
      </c>
      <c r="G7144" s="15" t="s">
        <v>22</v>
      </c>
      <c r="H7144" s="24">
        <f t="shared" si="1476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493">A7144</f>
        <v>45997</v>
      </c>
      <c r="B7145" s="5" t="str">
        <f t="shared" si="1493"/>
        <v>Northern Cardinal</v>
      </c>
      <c r="C7145" s="6">
        <f t="shared" si="1493"/>
        <v>0.73611111111111116</v>
      </c>
      <c r="D7145" s="5"/>
      <c r="E7145" s="5"/>
      <c r="F7145" s="5" t="s">
        <v>22</v>
      </c>
      <c r="G7145" s="15" t="s">
        <v>22</v>
      </c>
      <c r="H7145" s="24">
        <f t="shared" si="1476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494">A7145</f>
        <v>45997</v>
      </c>
      <c r="B7146" s="5" t="str">
        <f t="shared" si="1494"/>
        <v>Northern Cardinal</v>
      </c>
      <c r="C7146" s="6">
        <f t="shared" si="1494"/>
        <v>0.73611111111111116</v>
      </c>
      <c r="D7146" s="5"/>
      <c r="E7146" s="5"/>
      <c r="F7146" s="5" t="s">
        <v>22</v>
      </c>
      <c r="G7146" s="15" t="s">
        <v>22</v>
      </c>
      <c r="H7146" s="24">
        <f t="shared" si="1476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495">A7146</f>
        <v>45997</v>
      </c>
      <c r="B7147" s="5" t="str">
        <f t="shared" si="1495"/>
        <v>Northern Cardinal</v>
      </c>
      <c r="C7147" s="6">
        <f t="shared" si="1495"/>
        <v>0.73611111111111116</v>
      </c>
      <c r="D7147" s="5"/>
      <c r="E7147" s="5"/>
      <c r="F7147" s="5" t="s">
        <v>22</v>
      </c>
      <c r="G7147" s="15" t="s">
        <v>22</v>
      </c>
      <c r="H7147" s="24">
        <f t="shared" si="1476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496">A7147</f>
        <v>45997</v>
      </c>
      <c r="B7148" s="5" t="str">
        <f t="shared" si="1496"/>
        <v>Northern Cardinal</v>
      </c>
      <c r="C7148" s="6">
        <f t="shared" si="1496"/>
        <v>0.73611111111111116</v>
      </c>
      <c r="D7148" s="5"/>
      <c r="E7148" s="5"/>
      <c r="F7148" s="5" t="s">
        <v>22</v>
      </c>
      <c r="G7148" s="15" t="s">
        <v>22</v>
      </c>
      <c r="H7148" s="24">
        <f t="shared" si="1476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497">A7148</f>
        <v>45997</v>
      </c>
      <c r="B7149" s="5" t="str">
        <f t="shared" si="1497"/>
        <v>Northern Cardinal</v>
      </c>
      <c r="C7149" s="6">
        <f t="shared" si="1497"/>
        <v>0.73611111111111116</v>
      </c>
      <c r="D7149" s="5"/>
      <c r="E7149" s="5"/>
      <c r="F7149" s="5" t="s">
        <v>22</v>
      </c>
      <c r="G7149" s="15" t="s">
        <v>22</v>
      </c>
      <c r="H7149" s="24">
        <f t="shared" si="1476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498">A7149</f>
        <v>45997</v>
      </c>
      <c r="B7150" s="5" t="str">
        <f t="shared" si="1498"/>
        <v>Northern Cardinal</v>
      </c>
      <c r="C7150" s="6">
        <f t="shared" si="1498"/>
        <v>0.73611111111111116</v>
      </c>
      <c r="D7150" s="5"/>
      <c r="E7150" s="5"/>
      <c r="F7150" s="5" t="s">
        <v>22</v>
      </c>
      <c r="G7150" s="15" t="s">
        <v>22</v>
      </c>
      <c r="H7150" s="24">
        <f t="shared" si="1476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499">A7150</f>
        <v>45997</v>
      </c>
      <c r="B7151" s="5" t="str">
        <f t="shared" si="1499"/>
        <v>Northern Cardinal</v>
      </c>
      <c r="C7151" s="6">
        <f t="shared" si="1499"/>
        <v>0.73611111111111116</v>
      </c>
      <c r="D7151" s="5"/>
      <c r="E7151" s="5"/>
      <c r="F7151" s="5" t="s">
        <v>22</v>
      </c>
      <c r="G7151" s="15" t="s">
        <v>22</v>
      </c>
      <c r="H7151" s="24">
        <f t="shared" si="1476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500">A7151</f>
        <v>45997</v>
      </c>
      <c r="B7152" s="5" t="str">
        <f t="shared" si="1500"/>
        <v>Northern Cardinal</v>
      </c>
      <c r="C7152" s="6">
        <f t="shared" si="1500"/>
        <v>0.73611111111111116</v>
      </c>
      <c r="D7152" s="5"/>
      <c r="E7152" s="5"/>
      <c r="F7152" s="5" t="s">
        <v>22</v>
      </c>
      <c r="G7152" s="15" t="s">
        <v>22</v>
      </c>
      <c r="H7152" s="24">
        <f t="shared" si="1476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501">A7152</f>
        <v>45997</v>
      </c>
      <c r="B7153" s="5" t="str">
        <f t="shared" si="1501"/>
        <v>Northern Cardinal</v>
      </c>
      <c r="C7153" s="6">
        <f t="shared" si="1501"/>
        <v>0.73611111111111116</v>
      </c>
      <c r="D7153" s="5"/>
      <c r="E7153" s="5"/>
      <c r="F7153" s="5" t="s">
        <v>22</v>
      </c>
      <c r="G7153" s="15" t="s">
        <v>22</v>
      </c>
      <c r="H7153" s="24">
        <f t="shared" si="1476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502">A7153</f>
        <v>45997</v>
      </c>
      <c r="B7154" s="5" t="str">
        <f t="shared" si="1502"/>
        <v>Northern Cardinal</v>
      </c>
      <c r="C7154" s="6">
        <f t="shared" si="1502"/>
        <v>0.73611111111111116</v>
      </c>
      <c r="D7154" s="5"/>
      <c r="E7154" s="5"/>
      <c r="F7154" s="5" t="s">
        <v>22</v>
      </c>
      <c r="G7154" s="15" t="s">
        <v>22</v>
      </c>
      <c r="H7154" s="24">
        <f t="shared" si="1476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503">A7154</f>
        <v>45997</v>
      </c>
      <c r="B7155" s="5" t="str">
        <f t="shared" si="1503"/>
        <v>Northern Cardinal</v>
      </c>
      <c r="C7155" s="6">
        <f t="shared" si="1503"/>
        <v>0.73611111111111116</v>
      </c>
      <c r="D7155" s="5"/>
      <c r="E7155" s="5"/>
      <c r="F7155" s="5" t="s">
        <v>22</v>
      </c>
      <c r="G7155" s="15" t="s">
        <v>22</v>
      </c>
      <c r="H7155" s="24">
        <f t="shared" si="1476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504">A7155</f>
        <v>45997</v>
      </c>
      <c r="B7156" s="5" t="str">
        <f t="shared" si="1504"/>
        <v>Northern Cardinal</v>
      </c>
      <c r="C7156" s="6">
        <f t="shared" si="1504"/>
        <v>0.73611111111111116</v>
      </c>
      <c r="D7156" s="5"/>
      <c r="E7156" s="5"/>
      <c r="F7156" s="5" t="s">
        <v>22</v>
      </c>
      <c r="G7156" s="15" t="s">
        <v>22</v>
      </c>
      <c r="H7156" s="24">
        <f t="shared" si="1476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505">A7156</f>
        <v>45997</v>
      </c>
      <c r="B7157" s="5" t="str">
        <f t="shared" si="1505"/>
        <v>Northern Cardinal</v>
      </c>
      <c r="C7157" s="6">
        <f t="shared" si="1505"/>
        <v>0.73611111111111116</v>
      </c>
      <c r="D7157" s="5"/>
      <c r="E7157" s="5"/>
      <c r="F7157" s="5" t="s">
        <v>22</v>
      </c>
      <c r="G7157" s="15" t="s">
        <v>22</v>
      </c>
      <c r="H7157" s="24">
        <f t="shared" si="1476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506">A7157</f>
        <v>45997</v>
      </c>
      <c r="B7158" s="5" t="str">
        <f t="shared" si="1506"/>
        <v>Northern Cardinal</v>
      </c>
      <c r="C7158" s="6">
        <f t="shared" si="1506"/>
        <v>0.73611111111111116</v>
      </c>
      <c r="D7158" s="5"/>
      <c r="E7158" s="5"/>
      <c r="F7158" s="5" t="s">
        <v>22</v>
      </c>
      <c r="G7158" s="15" t="s">
        <v>22</v>
      </c>
      <c r="H7158" s="24">
        <f t="shared" si="1476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507">A7158</f>
        <v>45997</v>
      </c>
      <c r="B7159" s="5" t="str">
        <f t="shared" si="1507"/>
        <v>Northern Cardinal</v>
      </c>
      <c r="C7159" s="6">
        <f t="shared" si="1507"/>
        <v>0.73611111111111116</v>
      </c>
      <c r="D7159" s="5"/>
      <c r="E7159" s="5"/>
      <c r="F7159" s="5" t="s">
        <v>22</v>
      </c>
      <c r="G7159" s="15" t="s">
        <v>22</v>
      </c>
      <c r="H7159" s="24">
        <f t="shared" si="1476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508">A7159</f>
        <v>45997</v>
      </c>
      <c r="B7160" s="5" t="str">
        <f t="shared" si="1508"/>
        <v>Northern Cardinal</v>
      </c>
      <c r="C7160" s="6">
        <f t="shared" si="1508"/>
        <v>0.73611111111111116</v>
      </c>
      <c r="D7160" s="5"/>
      <c r="E7160" s="5"/>
      <c r="F7160" s="5" t="s">
        <v>22</v>
      </c>
      <c r="G7160" s="15" t="s">
        <v>22</v>
      </c>
      <c r="H7160" s="24">
        <f t="shared" si="1476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509">A7160</f>
        <v>45997</v>
      </c>
      <c r="B7161" s="5" t="str">
        <f t="shared" si="1509"/>
        <v>Northern Cardinal</v>
      </c>
      <c r="C7161" s="6">
        <f t="shared" si="1509"/>
        <v>0.73611111111111116</v>
      </c>
      <c r="D7161" s="5"/>
      <c r="E7161" s="5"/>
      <c r="F7161" s="5" t="s">
        <v>22</v>
      </c>
      <c r="G7161" s="15" t="s">
        <v>22</v>
      </c>
      <c r="H7161" s="24">
        <f t="shared" si="1476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510">A7161</f>
        <v>45997</v>
      </c>
      <c r="B7162" s="5" t="str">
        <f t="shared" si="1510"/>
        <v>Northern Cardinal</v>
      </c>
      <c r="C7162" s="6">
        <f t="shared" si="1510"/>
        <v>0.73611111111111116</v>
      </c>
      <c r="D7162" s="5"/>
      <c r="E7162" s="5"/>
      <c r="F7162" s="5" t="s">
        <v>22</v>
      </c>
      <c r="G7162" s="15" t="s">
        <v>22</v>
      </c>
      <c r="H7162" s="24">
        <f t="shared" si="1476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511">A7162</f>
        <v>45997</v>
      </c>
      <c r="B7163" s="5" t="str">
        <f t="shared" si="1511"/>
        <v>Northern Cardinal</v>
      </c>
      <c r="C7163" s="6">
        <f t="shared" si="1511"/>
        <v>0.73611111111111116</v>
      </c>
      <c r="D7163" s="5"/>
      <c r="E7163" s="5"/>
      <c r="F7163" s="5" t="s">
        <v>22</v>
      </c>
      <c r="G7163" s="15" t="s">
        <v>22</v>
      </c>
      <c r="H7163" s="24">
        <f t="shared" si="1476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512">A7163</f>
        <v>45997</v>
      </c>
      <c r="B7164" s="5" t="str">
        <f t="shared" si="1512"/>
        <v>Northern Cardinal</v>
      </c>
      <c r="C7164" s="6">
        <f t="shared" si="1512"/>
        <v>0.73611111111111116</v>
      </c>
      <c r="D7164" s="5"/>
      <c r="E7164" s="5"/>
      <c r="F7164" s="5" t="s">
        <v>22</v>
      </c>
      <c r="G7164" s="15" t="s">
        <v>22</v>
      </c>
      <c r="H7164" s="24">
        <f t="shared" si="1476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513">A7164</f>
        <v>45997</v>
      </c>
      <c r="B7165" s="5" t="str">
        <f t="shared" si="1513"/>
        <v>Northern Cardinal</v>
      </c>
      <c r="C7165" s="6">
        <f t="shared" si="1513"/>
        <v>0.73611111111111116</v>
      </c>
      <c r="D7165" s="5"/>
      <c r="E7165" s="5"/>
      <c r="F7165" s="5" t="s">
        <v>22</v>
      </c>
      <c r="G7165" s="15" t="s">
        <v>22</v>
      </c>
      <c r="H7165" s="24">
        <f t="shared" si="1476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514">A7165</f>
        <v>45997</v>
      </c>
      <c r="B7166" s="5" t="str">
        <f t="shared" si="1514"/>
        <v>Northern Cardinal</v>
      </c>
      <c r="C7166" s="6">
        <f t="shared" si="1514"/>
        <v>0.73611111111111116</v>
      </c>
      <c r="D7166" s="5"/>
      <c r="E7166" s="5"/>
      <c r="F7166" s="5" t="s">
        <v>22</v>
      </c>
      <c r="G7166" s="15" t="s">
        <v>22</v>
      </c>
      <c r="H7166" s="24">
        <f t="shared" si="1476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515">A7166</f>
        <v>45997</v>
      </c>
      <c r="B7167" s="5" t="str">
        <f t="shared" si="1515"/>
        <v>Northern Cardinal</v>
      </c>
      <c r="C7167" s="6">
        <f t="shared" si="1515"/>
        <v>0.73611111111111116</v>
      </c>
      <c r="D7167" s="5"/>
      <c r="E7167" s="5"/>
      <c r="F7167" s="5" t="s">
        <v>22</v>
      </c>
      <c r="G7167" s="15" t="s">
        <v>22</v>
      </c>
      <c r="H7167" s="24">
        <f t="shared" si="1476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516">A7167</f>
        <v>45997</v>
      </c>
      <c r="B7168" s="5" t="str">
        <f t="shared" si="1516"/>
        <v>Northern Cardinal</v>
      </c>
      <c r="C7168" s="6">
        <f t="shared" si="1516"/>
        <v>0.73611111111111116</v>
      </c>
      <c r="D7168" s="5"/>
      <c r="E7168" s="5"/>
      <c r="F7168" s="5" t="s">
        <v>22</v>
      </c>
      <c r="G7168" s="15" t="s">
        <v>22</v>
      </c>
      <c r="H7168" s="24">
        <f t="shared" si="1476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517">A7168</f>
        <v>45997</v>
      </c>
      <c r="B7169" s="5" t="str">
        <f t="shared" si="1517"/>
        <v>Northern Cardinal</v>
      </c>
      <c r="C7169" s="6">
        <f t="shared" si="1517"/>
        <v>0.73611111111111116</v>
      </c>
      <c r="D7169" s="5"/>
      <c r="E7169" s="5"/>
      <c r="F7169" s="5" t="s">
        <v>22</v>
      </c>
      <c r="G7169" s="15" t="s">
        <v>22</v>
      </c>
      <c r="H7169" s="24">
        <f t="shared" si="1476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518">A7169</f>
        <v>45997</v>
      </c>
      <c r="B7170" s="5" t="str">
        <f t="shared" si="1518"/>
        <v>Northern Cardinal</v>
      </c>
      <c r="C7170" s="6">
        <f t="shared" si="1518"/>
        <v>0.73611111111111116</v>
      </c>
      <c r="D7170" s="5"/>
      <c r="E7170" s="5"/>
      <c r="F7170" s="5" t="s">
        <v>22</v>
      </c>
      <c r="G7170" s="15" t="s">
        <v>22</v>
      </c>
      <c r="H7170" s="24">
        <f t="shared" si="1476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19">A7170</f>
        <v>45997</v>
      </c>
      <c r="B7171" s="5" t="str">
        <f t="shared" si="1519"/>
        <v>Northern Cardinal</v>
      </c>
      <c r="C7171" s="6">
        <f t="shared" si="1519"/>
        <v>0.73611111111111116</v>
      </c>
      <c r="D7171" s="5"/>
      <c r="E7171" s="5"/>
      <c r="F7171" s="5" t="s">
        <v>22</v>
      </c>
      <c r="G7171" s="15" t="s">
        <v>22</v>
      </c>
      <c r="H7171" s="24">
        <f t="shared" si="1476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20">A7171</f>
        <v>45997</v>
      </c>
      <c r="B7172" s="5" t="str">
        <f t="shared" si="1520"/>
        <v>Northern Cardinal</v>
      </c>
      <c r="C7172" s="6">
        <f t="shared" si="1520"/>
        <v>0.73611111111111116</v>
      </c>
      <c r="D7172" s="5"/>
      <c r="E7172" s="5"/>
      <c r="F7172" s="5" t="s">
        <v>22</v>
      </c>
      <c r="G7172" s="15" t="s">
        <v>22</v>
      </c>
      <c r="H7172" s="24">
        <f t="shared" si="1476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21">A7172</f>
        <v>45997</v>
      </c>
      <c r="B7173" s="5" t="str">
        <f t="shared" si="1521"/>
        <v>Northern Cardinal</v>
      </c>
      <c r="C7173" s="6">
        <f t="shared" si="1521"/>
        <v>0.73611111111111116</v>
      </c>
      <c r="D7173" s="5"/>
      <c r="E7173" s="5"/>
      <c r="F7173" s="5" t="s">
        <v>22</v>
      </c>
      <c r="G7173" s="15" t="s">
        <v>22</v>
      </c>
      <c r="H7173" s="24">
        <f t="shared" si="1476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22">A7173</f>
        <v>45997</v>
      </c>
      <c r="B7174" s="5" t="str">
        <f t="shared" si="1522"/>
        <v>Northern Cardinal</v>
      </c>
      <c r="C7174" s="6">
        <f t="shared" si="1522"/>
        <v>0.73611111111111116</v>
      </c>
      <c r="D7174" s="5"/>
      <c r="E7174" s="5"/>
      <c r="F7174" s="5" t="s">
        <v>22</v>
      </c>
      <c r="G7174" s="15" t="s">
        <v>22</v>
      </c>
      <c r="H7174" s="24">
        <f t="shared" si="1476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23">A7174</f>
        <v>45997</v>
      </c>
      <c r="B7175" s="5" t="str">
        <f t="shared" si="1523"/>
        <v>Northern Cardinal</v>
      </c>
      <c r="C7175" s="6">
        <f t="shared" si="1523"/>
        <v>0.73611111111111116</v>
      </c>
      <c r="D7175" s="5"/>
      <c r="E7175" s="5"/>
      <c r="F7175" s="5" t="s">
        <v>22</v>
      </c>
      <c r="G7175" s="15" t="s">
        <v>22</v>
      </c>
      <c r="H7175" s="24">
        <f t="shared" si="1476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24">A7175</f>
        <v>45997</v>
      </c>
      <c r="B7176" s="5" t="str">
        <f t="shared" si="1524"/>
        <v>Northern Cardinal</v>
      </c>
      <c r="C7176" s="6">
        <f t="shared" si="1524"/>
        <v>0.73611111111111116</v>
      </c>
      <c r="D7176" s="5"/>
      <c r="E7176" s="5"/>
      <c r="F7176" s="5" t="s">
        <v>22</v>
      </c>
      <c r="G7176" s="15" t="s">
        <v>22</v>
      </c>
      <c r="H7176" s="24">
        <f t="shared" si="1476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25">A7176</f>
        <v>45997</v>
      </c>
      <c r="B7177" s="5" t="str">
        <f t="shared" si="1525"/>
        <v>Northern Cardinal</v>
      </c>
      <c r="C7177" s="6">
        <f t="shared" si="1525"/>
        <v>0.73611111111111116</v>
      </c>
      <c r="D7177" s="5"/>
      <c r="E7177" s="5"/>
      <c r="F7177" s="5" t="s">
        <v>22</v>
      </c>
      <c r="G7177" s="15" t="s">
        <v>22</v>
      </c>
      <c r="H7177" s="24">
        <f t="shared" si="1476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26">A7177</f>
        <v>45997</v>
      </c>
      <c r="B7178" s="5" t="str">
        <f t="shared" si="1526"/>
        <v>Northern Cardinal</v>
      </c>
      <c r="C7178" s="6">
        <f t="shared" si="1526"/>
        <v>0.73611111111111116</v>
      </c>
      <c r="D7178" s="5"/>
      <c r="E7178" s="5"/>
      <c r="F7178" s="5" t="s">
        <v>22</v>
      </c>
      <c r="G7178" s="15" t="s">
        <v>22</v>
      </c>
      <c r="H7178" s="24">
        <f t="shared" si="1476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27">A7178</f>
        <v>45997</v>
      </c>
      <c r="B7179" s="5" t="str">
        <f t="shared" si="1527"/>
        <v>Northern Cardinal</v>
      </c>
      <c r="C7179" s="6">
        <f t="shared" si="1527"/>
        <v>0.73611111111111116</v>
      </c>
      <c r="D7179" s="5"/>
      <c r="E7179" s="5"/>
      <c r="F7179" s="5" t="s">
        <v>22</v>
      </c>
      <c r="G7179" s="15" t="s">
        <v>22</v>
      </c>
      <c r="H7179" s="24">
        <f t="shared" si="1476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28">A7179</f>
        <v>45997</v>
      </c>
      <c r="B7180" s="5" t="str">
        <f t="shared" si="1528"/>
        <v>Northern Cardinal</v>
      </c>
      <c r="C7180" s="6">
        <f t="shared" si="1528"/>
        <v>0.73611111111111116</v>
      </c>
      <c r="D7180" s="5"/>
      <c r="E7180" s="5"/>
      <c r="F7180" s="5" t="s">
        <v>22</v>
      </c>
      <c r="G7180" s="15" t="s">
        <v>22</v>
      </c>
      <c r="H7180" s="24">
        <f t="shared" si="1476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29">A7180</f>
        <v>45997</v>
      </c>
      <c r="B7181" s="5" t="str">
        <f t="shared" si="1529"/>
        <v>Northern Cardinal</v>
      </c>
      <c r="C7181" s="6">
        <f t="shared" si="1529"/>
        <v>0.73611111111111116</v>
      </c>
      <c r="D7181" s="5"/>
      <c r="E7181" s="5"/>
      <c r="F7181" s="5" t="s">
        <v>22</v>
      </c>
      <c r="G7181" s="15" t="s">
        <v>22</v>
      </c>
      <c r="H7181" s="24">
        <f t="shared" si="1476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30">A7181</f>
        <v>45997</v>
      </c>
      <c r="B7182" s="5" t="str">
        <f t="shared" si="1530"/>
        <v>Northern Cardinal</v>
      </c>
      <c r="C7182" s="6">
        <f t="shared" si="1530"/>
        <v>0.73611111111111116</v>
      </c>
      <c r="D7182" s="5"/>
      <c r="E7182" s="5"/>
      <c r="F7182" s="5" t="s">
        <v>22</v>
      </c>
      <c r="G7182" s="15" t="s">
        <v>22</v>
      </c>
      <c r="H7182" s="24">
        <f t="shared" si="1476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31">A7182</f>
        <v>45997</v>
      </c>
      <c r="B7183" s="5" t="str">
        <f t="shared" si="1531"/>
        <v>Northern Cardinal</v>
      </c>
      <c r="C7183" s="6">
        <f t="shared" si="1531"/>
        <v>0.73611111111111116</v>
      </c>
      <c r="D7183" s="5"/>
      <c r="E7183" s="5"/>
      <c r="F7183" s="5" t="s">
        <v>22</v>
      </c>
      <c r="G7183" s="15" t="s">
        <v>22</v>
      </c>
      <c r="H7183" s="24">
        <f t="shared" si="1476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32">A7183</f>
        <v>45997</v>
      </c>
      <c r="B7184" s="5" t="str">
        <f t="shared" si="1532"/>
        <v>Northern Cardinal</v>
      </c>
      <c r="C7184" s="6">
        <f t="shared" si="1532"/>
        <v>0.73611111111111116</v>
      </c>
      <c r="D7184" s="5"/>
      <c r="E7184" s="5"/>
      <c r="F7184" s="5" t="s">
        <v>22</v>
      </c>
      <c r="G7184" s="15" t="s">
        <v>22</v>
      </c>
      <c r="H7184" s="24">
        <f t="shared" si="1476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33">A7184</f>
        <v>45997</v>
      </c>
      <c r="B7185" s="5" t="str">
        <f t="shared" si="1533"/>
        <v>Northern Cardinal</v>
      </c>
      <c r="C7185" s="6">
        <f t="shared" si="1533"/>
        <v>0.73611111111111116</v>
      </c>
      <c r="D7185" s="5"/>
      <c r="E7185" s="5"/>
      <c r="F7185" s="5" t="s">
        <v>22</v>
      </c>
      <c r="G7185" s="15" t="s">
        <v>22</v>
      </c>
      <c r="H7185" s="24">
        <f t="shared" si="1476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34">A7185</f>
        <v>45997</v>
      </c>
      <c r="B7186" s="5" t="str">
        <f t="shared" si="1534"/>
        <v>Northern Cardinal</v>
      </c>
      <c r="C7186" s="6">
        <f t="shared" si="1534"/>
        <v>0.73611111111111116</v>
      </c>
      <c r="D7186" s="5"/>
      <c r="E7186" s="5"/>
      <c r="F7186" s="5" t="s">
        <v>22</v>
      </c>
      <c r="G7186" s="15" t="s">
        <v>22</v>
      </c>
      <c r="H7186" s="24">
        <f t="shared" si="1476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35">A7186</f>
        <v>45997</v>
      </c>
      <c r="B7187" s="5" t="str">
        <f t="shared" si="1535"/>
        <v>Northern Cardinal</v>
      </c>
      <c r="C7187" s="6">
        <f t="shared" si="1535"/>
        <v>0.73611111111111116</v>
      </c>
      <c r="D7187" s="5"/>
      <c r="E7187" s="5"/>
      <c r="F7187" s="5" t="s">
        <v>22</v>
      </c>
      <c r="G7187" s="15" t="s">
        <v>22</v>
      </c>
      <c r="H7187" s="24">
        <f t="shared" si="1476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36">A7187</f>
        <v>45997</v>
      </c>
      <c r="B7188" s="5" t="str">
        <f t="shared" si="1536"/>
        <v>Northern Cardinal</v>
      </c>
      <c r="C7188" s="6">
        <f t="shared" si="1536"/>
        <v>0.73611111111111116</v>
      </c>
      <c r="D7188" s="5"/>
      <c r="E7188" s="5"/>
      <c r="F7188" s="5" t="s">
        <v>22</v>
      </c>
      <c r="G7188" s="15" t="s">
        <v>22</v>
      </c>
      <c r="H7188" s="24">
        <f t="shared" si="1476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37">A7188</f>
        <v>45997</v>
      </c>
      <c r="B7189" s="5" t="str">
        <f t="shared" si="1537"/>
        <v>Northern Cardinal</v>
      </c>
      <c r="C7189" s="6">
        <f t="shared" si="1537"/>
        <v>0.73611111111111116</v>
      </c>
      <c r="D7189" s="5"/>
      <c r="E7189" s="5"/>
      <c r="F7189" s="5" t="s">
        <v>22</v>
      </c>
      <c r="G7189" s="15" t="s">
        <v>22</v>
      </c>
      <c r="H7189" s="24">
        <f t="shared" si="1476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38">A7189</f>
        <v>45997</v>
      </c>
      <c r="B7190" s="5" t="str">
        <f t="shared" si="1538"/>
        <v>Northern Cardinal</v>
      </c>
      <c r="C7190" s="6">
        <f t="shared" si="1538"/>
        <v>0.73611111111111116</v>
      </c>
      <c r="D7190" s="5"/>
      <c r="E7190" s="5"/>
      <c r="F7190" s="5" t="s">
        <v>22</v>
      </c>
      <c r="G7190" s="15" t="s">
        <v>22</v>
      </c>
      <c r="H7190" s="24">
        <f t="shared" si="1476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54"/>
  <sheetViews>
    <sheetView zoomScale="120" zoomScaleNormal="120" workbookViewId="0">
      <pane ySplit="1" topLeftCell="A232" activePane="bottomLeft" state="frozen"/>
      <selection pane="bottomLeft" activeCell="A254" sqref="A254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10">
        <v>45996</v>
      </c>
      <c r="B254" s="11" t="s">
        <v>3</v>
      </c>
      <c r="C254" s="11">
        <f>COUNTIFS(RawData!$B:$B, $B254, RawData!$A:$A, DailySummaries!$A254)</f>
        <v>1</v>
      </c>
      <c r="D254" s="11">
        <f>SUMIFS(RawData!$D:$D,RawData!$B:$B,$B254,RawData!$A:$A,DailySummaries!$A254)+1</f>
        <v>1</v>
      </c>
      <c r="E254" s="11">
        <f>SUMIFS(RawData!$E:$E,RawData!$B:$B,$B254,RawData!$A:$A,DailySummaries!$A254)+1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2025-12-06T11:46:22Z</dcterms:modified>
</cp:coreProperties>
</file>
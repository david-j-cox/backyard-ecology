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8960FB3A-6123-504B-ADAA-AA4B8B008B99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5" i="2" l="1"/>
  <c r="D285" i="2"/>
  <c r="E285" i="2"/>
  <c r="C286" i="2"/>
  <c r="D286" i="2"/>
  <c r="E286" i="2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D280" i="2" l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B7132" i="1" l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C280" i="2" l="1"/>
  <c r="E284" i="2"/>
  <c r="E281" i="2"/>
  <c r="C282" i="2"/>
  <c r="C284" i="2"/>
  <c r="E280" i="2"/>
  <c r="D282" i="2"/>
  <c r="E283" i="2"/>
  <c r="D281" i="2"/>
  <c r="D283" i="2"/>
  <c r="C281" i="2"/>
  <c r="E282" i="2"/>
  <c r="D284" i="2"/>
  <c r="C283" i="2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H7137" i="1" l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H7139" i="1" l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H7149" i="1" l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H7153" i="1" l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H7155" i="1" l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H7161" i="1" l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H7165" i="1" l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H7168" i="1" l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H7175" i="1" l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H7177" i="1" l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H7180" i="1" l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H7185" i="1" l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H7187" i="1" l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H7189" i="1" l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D279" i="2" s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79" i="2" l="1"/>
  <c r="C279" i="2"/>
  <c r="D276" i="2"/>
  <c r="C278" i="2"/>
  <c r="D278" i="2"/>
  <c r="E278" i="2"/>
  <c r="C276" i="2"/>
  <c r="E276" i="2"/>
  <c r="C275" i="2"/>
  <c r="E277" i="2"/>
  <c r="D275" i="2"/>
  <c r="E275" i="2"/>
  <c r="C277" i="2"/>
  <c r="D277" i="2"/>
  <c r="C264" i="2"/>
  <c r="E264" i="2"/>
  <c r="C258" i="2"/>
  <c r="E268" i="2"/>
  <c r="C268" i="2"/>
  <c r="E259" i="2"/>
  <c r="E258" i="2"/>
  <c r="C265" i="2"/>
  <c r="E265" i="2"/>
  <c r="C259" i="2"/>
  <c r="E270" i="2"/>
  <c r="E262" i="2"/>
  <c r="C274" i="2"/>
  <c r="E274" i="2"/>
  <c r="C260" i="2"/>
  <c r="C270" i="2"/>
  <c r="E260" i="2"/>
  <c r="C262" i="2"/>
  <c r="D258" i="2"/>
  <c r="D259" i="2"/>
  <c r="D270" i="2"/>
  <c r="D264" i="2"/>
  <c r="D268" i="2"/>
  <c r="D265" i="2"/>
  <c r="D262" i="2"/>
  <c r="D274" i="2"/>
  <c r="D260" i="2"/>
  <c r="E267" i="2"/>
  <c r="E271" i="2"/>
  <c r="E266" i="2"/>
  <c r="C266" i="2"/>
  <c r="D273" i="2"/>
  <c r="D271" i="2"/>
  <c r="C273" i="2"/>
  <c r="E273" i="2"/>
  <c r="C267" i="2"/>
  <c r="C271" i="2"/>
  <c r="D267" i="2"/>
  <c r="D266" i="2"/>
  <c r="C272" i="2"/>
  <c r="D272" i="2"/>
  <c r="E272" i="2"/>
  <c r="E263" i="2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<sst xmlns="http://schemas.openxmlformats.org/spreadsheetml/2006/main" count="69281" uniqueCount="26">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</sst>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tabSelected="1" zoomScale="90" zoomScaleNormal="90" workbookViewId="0">
      <pane ySplit="1" topLeftCell="A7131" activePane="bottomLeft" state="frozen"/>
      <selection pane="bottomLeft" activeCell="D7132" sqref="D713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127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147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tr">
        <f t="shared" ref="B7132:C7132" si="1406">B7131</f>
        <v>Northern Cardinal</v>
      </c>
      <c r="C7132" s="6">
        <v>0.29166666666666669</v>
      </c>
      <c r="D7132" s="5"/>
      <c r="E7132" s="5"/>
      <c r="F7132" s="5" t="s">
        <v>9</v>
      </c>
      <c r="G7132" s="15" t="s">
        <v>8</v>
      </c>
      <c r="H7132" s="24">
        <f t="shared" ref="H7128:H7190" si="1407">IFERROR((($A7132+$C7132) - ($A7131+$C7131))*24*60, "")</f>
        <v>791.99999999371357</v>
      </c>
      <c r="I7132" s="24" cm="1">
        <f t="array" ref="I7132">IFERROR(IF($B7132=I$1, ($A7132+$C7132) - MAX(IF($B$2:$B7131=$B7132, $A$2:$A7131+$C$2:$C7131)), "")*24*60, "")</f>
        <v>791.99999999371357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si="1397"/>
        <v>46014</v>
      </c>
      <c r="B7133" s="5" t="str">
        <f t="shared" ref="B7133:C7133" si="1408">B7132</f>
        <v>Northern Cardinal</v>
      </c>
      <c r="C7133" s="6">
        <f t="shared" si="1408"/>
        <v>0.29166666666666669</v>
      </c>
      <c r="D7133" s="5"/>
      <c r="E7133" s="5"/>
      <c r="F7133" s="5" t="s">
        <v>9</v>
      </c>
      <c r="G7133" s="15" t="s">
        <v>8</v>
      </c>
      <c r="H7133" s="24">
        <f t="shared" si="1407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si="1397"/>
        <v>46014</v>
      </c>
      <c r="B7134" s="5" t="str">
        <f t="shared" ref="B7134:C7134" si="1409">B7133</f>
        <v>Northern Cardinal</v>
      </c>
      <c r="C7134" s="6">
        <f t="shared" si="1409"/>
        <v>0.29166666666666669</v>
      </c>
      <c r="D7134" s="5"/>
      <c r="E7134" s="5"/>
      <c r="F7134" s="5" t="s">
        <v>9</v>
      </c>
      <c r="G7134" s="15" t="s">
        <v>8</v>
      </c>
      <c r="H7134" s="24">
        <f t="shared" si="1407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si="1397"/>
        <v>46014</v>
      </c>
      <c r="B7135" s="5" t="str">
        <f t="shared" ref="B7135:C7135" si="1410">B7134</f>
        <v>Northern Cardinal</v>
      </c>
      <c r="C7135" s="6">
        <f t="shared" si="1410"/>
        <v>0.29166666666666669</v>
      </c>
      <c r="D7135" s="5"/>
      <c r="E7135" s="5"/>
      <c r="F7135" s="5" t="s">
        <v>9</v>
      </c>
      <c r="G7135" s="15" t="s">
        <v>8</v>
      </c>
      <c r="H7135" s="24">
        <f t="shared" si="1407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si="1397"/>
        <v>46014</v>
      </c>
      <c r="B7136" s="5" t="str">
        <f t="shared" ref="B7136:C7136" si="1411">B7135</f>
        <v>Northern Cardinal</v>
      </c>
      <c r="C7136" s="6">
        <f t="shared" si="1411"/>
        <v>0.29166666666666669</v>
      </c>
      <c r="D7136" s="5"/>
      <c r="E7136" s="5"/>
      <c r="F7136" s="5" t="s">
        <v>9</v>
      </c>
      <c r="G7136" s="15" t="s">
        <v>8</v>
      </c>
      <c r="H7136" s="24">
        <f t="shared" si="1407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si="1397"/>
        <v>46014</v>
      </c>
      <c r="B7137" s="5" t="str">
        <f t="shared" ref="B7137:C7137" si="1412">B7136</f>
        <v>Northern Cardinal</v>
      </c>
      <c r="C7137" s="6">
        <f t="shared" si="1412"/>
        <v>0.29166666666666669</v>
      </c>
      <c r="D7137" s="5"/>
      <c r="E7137" s="5"/>
      <c r="F7137" s="5" t="s">
        <v>9</v>
      </c>
      <c r="G7137" s="15" t="s">
        <v>8</v>
      </c>
      <c r="H7137" s="24">
        <f t="shared" si="1407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si="1397"/>
        <v>46014</v>
      </c>
      <c r="B7138" s="5" t="str">
        <f t="shared" ref="B7138:C7138" si="1413">B7137</f>
        <v>Northern Cardinal</v>
      </c>
      <c r="C7138" s="6">
        <f t="shared" si="1413"/>
        <v>0.29166666666666669</v>
      </c>
      <c r="D7138" s="5"/>
      <c r="E7138" s="5"/>
      <c r="F7138" s="5" t="s">
        <v>9</v>
      </c>
      <c r="G7138" s="15" t="s">
        <v>8</v>
      </c>
      <c r="H7138" s="24">
        <f t="shared" si="1407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si="1397"/>
        <v>46014</v>
      </c>
      <c r="B7139" s="5" t="str">
        <f t="shared" ref="B7139:C7139" si="1414">B7138</f>
        <v>Northern Cardinal</v>
      </c>
      <c r="C7139" s="6">
        <f t="shared" si="1414"/>
        <v>0.29166666666666669</v>
      </c>
      <c r="D7139" s="5"/>
      <c r="E7139" s="5"/>
      <c r="F7139" s="5" t="s">
        <v>9</v>
      </c>
      <c r="G7139" s="15" t="s">
        <v>8</v>
      </c>
      <c r="H7139" s="24">
        <f t="shared" si="1407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si="1397"/>
        <v>46014</v>
      </c>
      <c r="B7140" s="5" t="str">
        <f t="shared" ref="B7140:C7140" si="1415">B7139</f>
        <v>Northern Cardinal</v>
      </c>
      <c r="C7140" s="6">
        <f t="shared" si="1415"/>
        <v>0.29166666666666669</v>
      </c>
      <c r="D7140" s="5"/>
      <c r="E7140" s="5"/>
      <c r="F7140" s="5" t="s">
        <v>9</v>
      </c>
      <c r="G7140" s="15" t="s">
        <v>8</v>
      </c>
      <c r="H7140" s="24">
        <f t="shared" si="1407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si="1397"/>
        <v>46014</v>
      </c>
      <c r="B7141" s="5" t="str">
        <f t="shared" ref="B7141:C7141" si="1416">B7140</f>
        <v>Northern Cardinal</v>
      </c>
      <c r="C7141" s="6">
        <f t="shared" si="1416"/>
        <v>0.29166666666666669</v>
      </c>
      <c r="D7141" s="5"/>
      <c r="E7141" s="5"/>
      <c r="F7141" s="5" t="s">
        <v>9</v>
      </c>
      <c r="G7141" s="15" t="s">
        <v>8</v>
      </c>
      <c r="H7141" s="24">
        <f t="shared" si="1407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si="1397"/>
        <v>46014</v>
      </c>
      <c r="B7142" s="5" t="str">
        <f t="shared" ref="B7142:C7142" si="1417">B7141</f>
        <v>Northern Cardinal</v>
      </c>
      <c r="C7142" s="6">
        <f t="shared" si="1417"/>
        <v>0.29166666666666669</v>
      </c>
      <c r="D7142" s="5"/>
      <c r="E7142" s="5"/>
      <c r="F7142" s="5" t="s">
        <v>9</v>
      </c>
      <c r="G7142" s="15" t="s">
        <v>8</v>
      </c>
      <c r="H7142" s="24">
        <f t="shared" si="1407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si="1397"/>
        <v>46014</v>
      </c>
      <c r="B7143" s="5" t="str">
        <f t="shared" ref="B7143:C7143" si="1418">B7142</f>
        <v>Northern Cardinal</v>
      </c>
      <c r="C7143" s="6">
        <f t="shared" si="1418"/>
        <v>0.29166666666666669</v>
      </c>
      <c r="D7143" s="5"/>
      <c r="E7143" s="5"/>
      <c r="F7143" s="5" t="s">
        <v>9</v>
      </c>
      <c r="G7143" s="15" t="s">
        <v>8</v>
      </c>
      <c r="H7143" s="24">
        <f t="shared" si="1407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si="1397"/>
        <v>46014</v>
      </c>
      <c r="B7144" s="5" t="str">
        <f t="shared" ref="B7144:C7144" si="1419">B7143</f>
        <v>Northern Cardinal</v>
      </c>
      <c r="C7144" s="6">
        <f t="shared" si="1419"/>
        <v>0.29166666666666669</v>
      </c>
      <c r="D7144" s="5"/>
      <c r="E7144" s="5"/>
      <c r="F7144" s="5" t="s">
        <v>9</v>
      </c>
      <c r="G7144" s="15" t="s">
        <v>8</v>
      </c>
      <c r="H7144" s="24">
        <f t="shared" si="1407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si="1397"/>
        <v>46014</v>
      </c>
      <c r="B7145" s="5" t="str">
        <f t="shared" ref="B7145:C7145" si="1420">B7144</f>
        <v>Northern Cardinal</v>
      </c>
      <c r="C7145" s="6">
        <f t="shared" si="1420"/>
        <v>0.29166666666666669</v>
      </c>
      <c r="D7145" s="5"/>
      <c r="E7145" s="5"/>
      <c r="F7145" s="5" t="s">
        <v>9</v>
      </c>
      <c r="G7145" s="15" t="s">
        <v>8</v>
      </c>
      <c r="H7145" s="24">
        <f t="shared" si="1407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si="1397"/>
        <v>46014</v>
      </c>
      <c r="B7146" s="5" t="str">
        <f t="shared" ref="B7146:C7146" si="1421">B7145</f>
        <v>Northern Cardinal</v>
      </c>
      <c r="C7146" s="6">
        <f t="shared" si="1421"/>
        <v>0.29166666666666669</v>
      </c>
      <c r="D7146" s="5"/>
      <c r="E7146" s="5"/>
      <c r="F7146" s="5" t="s">
        <v>9</v>
      </c>
      <c r="G7146" s="15" t="s">
        <v>8</v>
      </c>
      <c r="H7146" s="24">
        <f t="shared" si="1407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si="1397"/>
        <v>46014</v>
      </c>
      <c r="B7147" s="5" t="str">
        <f t="shared" ref="B7147:C7147" si="1422">B7146</f>
        <v>Northern Cardinal</v>
      </c>
      <c r="C7147" s="6">
        <f t="shared" si="1422"/>
        <v>0.29166666666666669</v>
      </c>
      <c r="D7147" s="5"/>
      <c r="E7147" s="5"/>
      <c r="F7147" s="5" t="s">
        <v>9</v>
      </c>
      <c r="G7147" s="15" t="s">
        <v>8</v>
      </c>
      <c r="H7147" s="24">
        <f t="shared" si="1407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A7190" si="1423">A7147</f>
        <v>46014</v>
      </c>
      <c r="B7148" s="5" t="str">
        <f t="shared" ref="B7148:C7148" si="1424">B7147</f>
        <v>Northern Cardinal</v>
      </c>
      <c r="C7148" s="6">
        <f t="shared" si="1424"/>
        <v>0.29166666666666669</v>
      </c>
      <c r="D7148" s="5"/>
      <c r="E7148" s="5"/>
      <c r="F7148" s="5" t="s">
        <v>9</v>
      </c>
      <c r="G7148" s="15" t="s">
        <v>8</v>
      </c>
      <c r="H7148" s="24">
        <f t="shared" si="1407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si="1423"/>
        <v>46014</v>
      </c>
      <c r="B7149" s="5" t="str">
        <f t="shared" ref="B7149:C7149" si="1425">B7148</f>
        <v>Northern Cardinal</v>
      </c>
      <c r="C7149" s="6">
        <f t="shared" si="1425"/>
        <v>0.29166666666666669</v>
      </c>
      <c r="D7149" s="5"/>
      <c r="E7149" s="5"/>
      <c r="F7149" s="5" t="s">
        <v>9</v>
      </c>
      <c r="G7149" s="15" t="s">
        <v>8</v>
      </c>
      <c r="H7149" s="24">
        <f t="shared" si="1407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si="1423"/>
        <v>46014</v>
      </c>
      <c r="B7150" s="5" t="str">
        <f t="shared" ref="B7150:C7150" si="1426">B7149</f>
        <v>Northern Cardinal</v>
      </c>
      <c r="C7150" s="6">
        <f t="shared" si="1426"/>
        <v>0.29166666666666669</v>
      </c>
      <c r="D7150" s="5"/>
      <c r="E7150" s="5"/>
      <c r="F7150" s="5" t="s">
        <v>9</v>
      </c>
      <c r="G7150" s="15" t="s">
        <v>8</v>
      </c>
      <c r="H7150" s="24">
        <f t="shared" si="1407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si="1423"/>
        <v>46014</v>
      </c>
      <c r="B7151" s="5" t="str">
        <f t="shared" ref="B7151:C7151" si="1427">B7150</f>
        <v>Northern Cardinal</v>
      </c>
      <c r="C7151" s="6">
        <f t="shared" si="1427"/>
        <v>0.29166666666666669</v>
      </c>
      <c r="D7151" s="5"/>
      <c r="E7151" s="5"/>
      <c r="F7151" s="5" t="s">
        <v>9</v>
      </c>
      <c r="G7151" s="15" t="s">
        <v>8</v>
      </c>
      <c r="H7151" s="24">
        <f t="shared" si="1407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si="1423"/>
        <v>46014</v>
      </c>
      <c r="B7152" s="5" t="str">
        <f t="shared" ref="B7152:C7152" si="1428">B7151</f>
        <v>Northern Cardinal</v>
      </c>
      <c r="C7152" s="6">
        <f t="shared" si="1428"/>
        <v>0.29166666666666669</v>
      </c>
      <c r="D7152" s="5"/>
      <c r="E7152" s="5"/>
      <c r="F7152" s="5" t="s">
        <v>9</v>
      </c>
      <c r="G7152" s="15" t="s">
        <v>8</v>
      </c>
      <c r="H7152" s="24">
        <f t="shared" si="1407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si="1423"/>
        <v>46014</v>
      </c>
      <c r="B7153" s="5" t="str">
        <f t="shared" ref="B7153:C7153" si="1429">B7152</f>
        <v>Northern Cardinal</v>
      </c>
      <c r="C7153" s="6">
        <f t="shared" si="1429"/>
        <v>0.29166666666666669</v>
      </c>
      <c r="D7153" s="5"/>
      <c r="E7153" s="5"/>
      <c r="F7153" s="5" t="s">
        <v>9</v>
      </c>
      <c r="G7153" s="15" t="s">
        <v>8</v>
      </c>
      <c r="H7153" s="24">
        <f t="shared" si="1407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si="1423"/>
        <v>46014</v>
      </c>
      <c r="B7154" s="5" t="str">
        <f t="shared" ref="B7154:C7154" si="1430">B7153</f>
        <v>Northern Cardinal</v>
      </c>
      <c r="C7154" s="6">
        <f t="shared" si="1430"/>
        <v>0.29166666666666669</v>
      </c>
      <c r="D7154" s="5"/>
      <c r="E7154" s="5"/>
      <c r="F7154" s="5" t="s">
        <v>9</v>
      </c>
      <c r="G7154" s="15" t="s">
        <v>8</v>
      </c>
      <c r="H7154" s="24">
        <f t="shared" si="1407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si="1423"/>
        <v>46014</v>
      </c>
      <c r="B7155" s="5" t="str">
        <f t="shared" ref="B7155:C7155" si="1431">B7154</f>
        <v>Northern Cardinal</v>
      </c>
      <c r="C7155" s="6">
        <f t="shared" si="1431"/>
        <v>0.29166666666666669</v>
      </c>
      <c r="D7155" s="5"/>
      <c r="E7155" s="5"/>
      <c r="F7155" s="5" t="s">
        <v>9</v>
      </c>
      <c r="G7155" s="15" t="s">
        <v>8</v>
      </c>
      <c r="H7155" s="24">
        <f t="shared" si="1407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si="1423"/>
        <v>46014</v>
      </c>
      <c r="B7156" s="5" t="str">
        <f t="shared" ref="B7156:C7156" si="1432">B7155</f>
        <v>Northern Cardinal</v>
      </c>
      <c r="C7156" s="6">
        <f t="shared" si="1432"/>
        <v>0.29166666666666669</v>
      </c>
      <c r="D7156" s="5"/>
      <c r="E7156" s="5"/>
      <c r="F7156" s="5" t="s">
        <v>9</v>
      </c>
      <c r="G7156" s="15" t="s">
        <v>8</v>
      </c>
      <c r="H7156" s="24">
        <f t="shared" si="1407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si="1423"/>
        <v>46014</v>
      </c>
      <c r="B7157" s="5" t="str">
        <f t="shared" ref="B7157:C7157" si="1433">B7156</f>
        <v>Northern Cardinal</v>
      </c>
      <c r="C7157" s="6">
        <f t="shared" si="1433"/>
        <v>0.29166666666666669</v>
      </c>
      <c r="D7157" s="5"/>
      <c r="E7157" s="5"/>
      <c r="F7157" s="5" t="s">
        <v>9</v>
      </c>
      <c r="G7157" s="15" t="s">
        <v>8</v>
      </c>
      <c r="H7157" s="24">
        <f t="shared" si="1407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si="1423"/>
        <v>46014</v>
      </c>
      <c r="B7158" s="5" t="str">
        <f t="shared" ref="B7158:C7158" si="1434">B7157</f>
        <v>Northern Cardinal</v>
      </c>
      <c r="C7158" s="6">
        <f t="shared" si="1434"/>
        <v>0.29166666666666669</v>
      </c>
      <c r="D7158" s="5"/>
      <c r="E7158" s="5"/>
      <c r="F7158" s="5" t="s">
        <v>9</v>
      </c>
      <c r="G7158" s="15" t="s">
        <v>8</v>
      </c>
      <c r="H7158" s="24">
        <f t="shared" si="1407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si="1423"/>
        <v>46014</v>
      </c>
      <c r="B7159" s="5" t="str">
        <f t="shared" ref="B7159:C7159" si="1435">B7158</f>
        <v>Northern Cardinal</v>
      </c>
      <c r="C7159" s="6">
        <f t="shared" si="1435"/>
        <v>0.29166666666666669</v>
      </c>
      <c r="D7159" s="5"/>
      <c r="E7159" s="5"/>
      <c r="F7159" s="5" t="s">
        <v>9</v>
      </c>
      <c r="G7159" s="15" t="s">
        <v>8</v>
      </c>
      <c r="H7159" s="24">
        <f t="shared" si="1407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si="1423"/>
        <v>46014</v>
      </c>
      <c r="B7160" s="5" t="str">
        <f t="shared" ref="B7160:C7160" si="1436">B7159</f>
        <v>Northern Cardinal</v>
      </c>
      <c r="C7160" s="6">
        <f t="shared" si="1436"/>
        <v>0.29166666666666669</v>
      </c>
      <c r="D7160" s="5"/>
      <c r="E7160" s="5"/>
      <c r="F7160" s="5" t="s">
        <v>9</v>
      </c>
      <c r="G7160" s="15" t="s">
        <v>8</v>
      </c>
      <c r="H7160" s="24">
        <f t="shared" si="1407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si="1423"/>
        <v>46014</v>
      </c>
      <c r="B7161" s="5" t="str">
        <f t="shared" ref="B7161:C7161" si="1437">B7160</f>
        <v>Northern Cardinal</v>
      </c>
      <c r="C7161" s="6">
        <f t="shared" si="1437"/>
        <v>0.29166666666666669</v>
      </c>
      <c r="D7161" s="5"/>
      <c r="E7161" s="5"/>
      <c r="F7161" s="5" t="s">
        <v>9</v>
      </c>
      <c r="G7161" s="15" t="s">
        <v>8</v>
      </c>
      <c r="H7161" s="24">
        <f t="shared" si="1407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si="1423"/>
        <v>46014</v>
      </c>
      <c r="B7162" s="5" t="str">
        <f t="shared" ref="B7162:C7162" si="1438">B7161</f>
        <v>Northern Cardinal</v>
      </c>
      <c r="C7162" s="6">
        <f t="shared" si="1438"/>
        <v>0.29166666666666669</v>
      </c>
      <c r="D7162" s="5"/>
      <c r="E7162" s="5"/>
      <c r="F7162" s="5" t="s">
        <v>9</v>
      </c>
      <c r="G7162" s="15" t="s">
        <v>8</v>
      </c>
      <c r="H7162" s="24">
        <f t="shared" si="1407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si="1423"/>
        <v>46014</v>
      </c>
      <c r="B7163" s="5" t="str">
        <f t="shared" ref="B7163:C7163" si="1439">B7162</f>
        <v>Northern Cardinal</v>
      </c>
      <c r="C7163" s="6">
        <f t="shared" si="1439"/>
        <v>0.29166666666666669</v>
      </c>
      <c r="D7163" s="5"/>
      <c r="E7163" s="5"/>
      <c r="F7163" s="5" t="s">
        <v>9</v>
      </c>
      <c r="G7163" s="15" t="s">
        <v>8</v>
      </c>
      <c r="H7163" s="24">
        <f t="shared" si="1407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si="1423"/>
        <v>46014</v>
      </c>
      <c r="B7164" s="5" t="str">
        <f t="shared" ref="B7164:C7164" si="1440">B7163</f>
        <v>Northern Cardinal</v>
      </c>
      <c r="C7164" s="6">
        <f t="shared" si="1440"/>
        <v>0.29166666666666669</v>
      </c>
      <c r="D7164" s="5"/>
      <c r="E7164" s="5"/>
      <c r="F7164" s="5" t="s">
        <v>9</v>
      </c>
      <c r="G7164" s="15" t="s">
        <v>8</v>
      </c>
      <c r="H7164" s="24">
        <f t="shared" si="1407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si="1423"/>
        <v>46014</v>
      </c>
      <c r="B7165" s="5" t="str">
        <f t="shared" ref="B7165:C7165" si="1441">B7164</f>
        <v>Northern Cardinal</v>
      </c>
      <c r="C7165" s="6">
        <f t="shared" si="1441"/>
        <v>0.29166666666666669</v>
      </c>
      <c r="D7165" s="5"/>
      <c r="E7165" s="5"/>
      <c r="F7165" s="5" t="s">
        <v>9</v>
      </c>
      <c r="G7165" s="15" t="s">
        <v>8</v>
      </c>
      <c r="H7165" s="24">
        <f t="shared" si="1407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si="1423"/>
        <v>46014</v>
      </c>
      <c r="B7166" s="5" t="str">
        <f t="shared" ref="B7166:C7166" si="1442">B7165</f>
        <v>Northern Cardinal</v>
      </c>
      <c r="C7166" s="6">
        <f t="shared" si="1442"/>
        <v>0.29166666666666669</v>
      </c>
      <c r="D7166" s="5"/>
      <c r="E7166" s="5"/>
      <c r="F7166" s="5" t="s">
        <v>9</v>
      </c>
      <c r="G7166" s="15" t="s">
        <v>8</v>
      </c>
      <c r="H7166" s="24">
        <f t="shared" si="1407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si="1423"/>
        <v>46014</v>
      </c>
      <c r="B7167" s="5" t="str">
        <f t="shared" ref="B7167:C7167" si="1443">B7166</f>
        <v>Northern Cardinal</v>
      </c>
      <c r="C7167" s="6">
        <f t="shared" si="1443"/>
        <v>0.29166666666666669</v>
      </c>
      <c r="D7167" s="5"/>
      <c r="E7167" s="5"/>
      <c r="F7167" s="5" t="s">
        <v>9</v>
      </c>
      <c r="G7167" s="15" t="s">
        <v>8</v>
      </c>
      <c r="H7167" s="24">
        <f t="shared" si="1407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si="1423"/>
        <v>46014</v>
      </c>
      <c r="B7168" s="5" t="str">
        <f t="shared" ref="B7168:C7168" si="1444">B7167</f>
        <v>Northern Cardinal</v>
      </c>
      <c r="C7168" s="6">
        <f t="shared" si="1444"/>
        <v>0.29166666666666669</v>
      </c>
      <c r="D7168" s="5"/>
      <c r="E7168" s="5"/>
      <c r="F7168" s="5" t="s">
        <v>9</v>
      </c>
      <c r="G7168" s="15" t="s">
        <v>8</v>
      </c>
      <c r="H7168" s="24">
        <f t="shared" si="1407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si="1423"/>
        <v>46014</v>
      </c>
      <c r="B7169" s="5" t="str">
        <f t="shared" ref="B7169:C7169" si="1445">B7168</f>
        <v>Northern Cardinal</v>
      </c>
      <c r="C7169" s="6">
        <f t="shared" si="1445"/>
        <v>0.29166666666666669</v>
      </c>
      <c r="D7169" s="5"/>
      <c r="E7169" s="5"/>
      <c r="F7169" s="5" t="s">
        <v>9</v>
      </c>
      <c r="G7169" s="15" t="s">
        <v>8</v>
      </c>
      <c r="H7169" s="24">
        <f t="shared" si="1407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si="1423"/>
        <v>46014</v>
      </c>
      <c r="B7170" s="5" t="str">
        <f t="shared" ref="B7170:C7170" si="1446">B7169</f>
        <v>Northern Cardinal</v>
      </c>
      <c r="C7170" s="6">
        <f t="shared" si="1446"/>
        <v>0.29166666666666669</v>
      </c>
      <c r="D7170" s="5"/>
      <c r="E7170" s="5"/>
      <c r="F7170" s="5" t="s">
        <v>9</v>
      </c>
      <c r="G7170" s="15" t="s">
        <v>8</v>
      </c>
      <c r="H7170" s="24">
        <f t="shared" si="1407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si="1423"/>
        <v>46014</v>
      </c>
      <c r="B7171" s="5" t="str">
        <f t="shared" ref="B7171:C7171" si="1447">B7170</f>
        <v>Northern Cardinal</v>
      </c>
      <c r="C7171" s="6">
        <f t="shared" si="1447"/>
        <v>0.29166666666666669</v>
      </c>
      <c r="D7171" s="5"/>
      <c r="E7171" s="5"/>
      <c r="F7171" s="5" t="s">
        <v>9</v>
      </c>
      <c r="G7171" s="15" t="s">
        <v>8</v>
      </c>
      <c r="H7171" s="24">
        <f t="shared" si="1407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si="1423"/>
        <v>46014</v>
      </c>
      <c r="B7172" s="5" t="str">
        <f t="shared" ref="B7172:C7172" si="1448">B7171</f>
        <v>Northern Cardinal</v>
      </c>
      <c r="C7172" s="6">
        <f t="shared" si="1448"/>
        <v>0.29166666666666669</v>
      </c>
      <c r="D7172" s="5"/>
      <c r="E7172" s="5"/>
      <c r="F7172" s="5" t="s">
        <v>9</v>
      </c>
      <c r="G7172" s="15" t="s">
        <v>8</v>
      </c>
      <c r="H7172" s="24">
        <f t="shared" si="1407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si="1423"/>
        <v>46014</v>
      </c>
      <c r="B7173" s="5" t="str">
        <f t="shared" ref="B7173:C7173" si="1449">B7172</f>
        <v>Northern Cardinal</v>
      </c>
      <c r="C7173" s="6">
        <f t="shared" si="1449"/>
        <v>0.29166666666666669</v>
      </c>
      <c r="D7173" s="5"/>
      <c r="E7173" s="5"/>
      <c r="F7173" s="5" t="s">
        <v>9</v>
      </c>
      <c r="G7173" s="15" t="s">
        <v>8</v>
      </c>
      <c r="H7173" s="24">
        <f t="shared" si="1407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si="1423"/>
        <v>46014</v>
      </c>
      <c r="B7174" s="5" t="str">
        <f t="shared" ref="B7174:C7174" si="1450">B7173</f>
        <v>Northern Cardinal</v>
      </c>
      <c r="C7174" s="6">
        <f t="shared" si="1450"/>
        <v>0.29166666666666669</v>
      </c>
      <c r="D7174" s="5"/>
      <c r="E7174" s="5"/>
      <c r="F7174" s="5" t="s">
        <v>9</v>
      </c>
      <c r="G7174" s="15" t="s">
        <v>8</v>
      </c>
      <c r="H7174" s="24">
        <f t="shared" si="1407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si="1423"/>
        <v>46014</v>
      </c>
      <c r="B7175" s="5" t="str">
        <f t="shared" ref="B7175:C7175" si="1451">B7174</f>
        <v>Northern Cardinal</v>
      </c>
      <c r="C7175" s="6">
        <f t="shared" si="1451"/>
        <v>0.29166666666666669</v>
      </c>
      <c r="D7175" s="5"/>
      <c r="E7175" s="5"/>
      <c r="F7175" s="5" t="s">
        <v>9</v>
      </c>
      <c r="G7175" s="15" t="s">
        <v>8</v>
      </c>
      <c r="H7175" s="24">
        <f t="shared" si="1407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si="1423"/>
        <v>46014</v>
      </c>
      <c r="B7176" s="5" t="str">
        <f t="shared" ref="B7176:C7176" si="1452">B7175</f>
        <v>Northern Cardinal</v>
      </c>
      <c r="C7176" s="6">
        <f t="shared" si="1452"/>
        <v>0.29166666666666669</v>
      </c>
      <c r="D7176" s="5"/>
      <c r="E7176" s="5"/>
      <c r="F7176" s="5" t="s">
        <v>9</v>
      </c>
      <c r="G7176" s="15" t="s">
        <v>8</v>
      </c>
      <c r="H7176" s="24">
        <f t="shared" si="1407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si="1423"/>
        <v>46014</v>
      </c>
      <c r="B7177" s="5" t="str">
        <f t="shared" ref="B7177:C7177" si="1453">B7176</f>
        <v>Northern Cardinal</v>
      </c>
      <c r="C7177" s="6">
        <f t="shared" si="1453"/>
        <v>0.29166666666666669</v>
      </c>
      <c r="D7177" s="5"/>
      <c r="E7177" s="5"/>
      <c r="F7177" s="5" t="s">
        <v>9</v>
      </c>
      <c r="G7177" s="15" t="s">
        <v>8</v>
      </c>
      <c r="H7177" s="24">
        <f t="shared" si="1407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si="1423"/>
        <v>46014</v>
      </c>
      <c r="B7178" s="5" t="str">
        <f t="shared" ref="B7178:C7178" si="1454">B7177</f>
        <v>Northern Cardinal</v>
      </c>
      <c r="C7178" s="6">
        <f t="shared" si="1454"/>
        <v>0.29166666666666669</v>
      </c>
      <c r="D7178" s="5"/>
      <c r="E7178" s="5"/>
      <c r="F7178" s="5" t="s">
        <v>9</v>
      </c>
      <c r="G7178" s="15" t="s">
        <v>8</v>
      </c>
      <c r="H7178" s="24">
        <f t="shared" si="1407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si="1423"/>
        <v>46014</v>
      </c>
      <c r="B7179" s="5" t="str">
        <f t="shared" ref="B7179:C7179" si="1455">B7178</f>
        <v>Northern Cardinal</v>
      </c>
      <c r="C7179" s="6">
        <f t="shared" si="1455"/>
        <v>0.29166666666666669</v>
      </c>
      <c r="D7179" s="5"/>
      <c r="E7179" s="5"/>
      <c r="F7179" s="5" t="s">
        <v>9</v>
      </c>
      <c r="G7179" s="15" t="s">
        <v>8</v>
      </c>
      <c r="H7179" s="24">
        <f t="shared" si="1407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si="1423"/>
        <v>46014</v>
      </c>
      <c r="B7180" s="5" t="str">
        <f t="shared" ref="B7180:C7180" si="1456">B7179</f>
        <v>Northern Cardinal</v>
      </c>
      <c r="C7180" s="6">
        <f t="shared" si="1456"/>
        <v>0.29166666666666669</v>
      </c>
      <c r="D7180" s="5"/>
      <c r="E7180" s="5"/>
      <c r="F7180" s="5" t="s">
        <v>9</v>
      </c>
      <c r="G7180" s="15" t="s">
        <v>8</v>
      </c>
      <c r="H7180" s="24">
        <f t="shared" si="1407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si="1423"/>
        <v>46014</v>
      </c>
      <c r="B7181" s="5" t="str">
        <f t="shared" ref="B7181:C7181" si="1457">B7180</f>
        <v>Northern Cardinal</v>
      </c>
      <c r="C7181" s="6">
        <f t="shared" si="1457"/>
        <v>0.29166666666666669</v>
      </c>
      <c r="D7181" s="5"/>
      <c r="E7181" s="5"/>
      <c r="F7181" s="5" t="s">
        <v>9</v>
      </c>
      <c r="G7181" s="15" t="s">
        <v>8</v>
      </c>
      <c r="H7181" s="24">
        <f t="shared" si="1407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si="1423"/>
        <v>46014</v>
      </c>
      <c r="B7182" s="5" t="str">
        <f t="shared" ref="B7182:C7182" si="1458">B7181</f>
        <v>Northern Cardinal</v>
      </c>
      <c r="C7182" s="6">
        <f t="shared" si="1458"/>
        <v>0.29166666666666669</v>
      </c>
      <c r="D7182" s="5"/>
      <c r="E7182" s="5"/>
      <c r="F7182" s="5" t="s">
        <v>9</v>
      </c>
      <c r="G7182" s="15" t="s">
        <v>8</v>
      </c>
      <c r="H7182" s="24">
        <f t="shared" si="1407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si="1423"/>
        <v>46014</v>
      </c>
      <c r="B7183" s="5" t="str">
        <f t="shared" ref="B7183:C7183" si="1459">B7182</f>
        <v>Northern Cardinal</v>
      </c>
      <c r="C7183" s="6">
        <f t="shared" si="1459"/>
        <v>0.29166666666666669</v>
      </c>
      <c r="D7183" s="5"/>
      <c r="E7183" s="5"/>
      <c r="F7183" s="5" t="s">
        <v>9</v>
      </c>
      <c r="G7183" s="15" t="s">
        <v>8</v>
      </c>
      <c r="H7183" s="24">
        <f t="shared" si="1407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si="1423"/>
        <v>46014</v>
      </c>
      <c r="B7184" s="5" t="str">
        <f t="shared" ref="B7184:C7184" si="1460">B7183</f>
        <v>Northern Cardinal</v>
      </c>
      <c r="C7184" s="6">
        <f t="shared" si="1460"/>
        <v>0.29166666666666669</v>
      </c>
      <c r="D7184" s="5"/>
      <c r="E7184" s="5"/>
      <c r="F7184" s="5" t="s">
        <v>9</v>
      </c>
      <c r="G7184" s="15" t="s">
        <v>8</v>
      </c>
      <c r="H7184" s="24">
        <f t="shared" si="1407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si="1423"/>
        <v>46014</v>
      </c>
      <c r="B7185" s="5" t="str">
        <f t="shared" ref="B7185:C7185" si="1461">B7184</f>
        <v>Northern Cardinal</v>
      </c>
      <c r="C7185" s="6">
        <f t="shared" si="1461"/>
        <v>0.29166666666666669</v>
      </c>
      <c r="D7185" s="5"/>
      <c r="E7185" s="5"/>
      <c r="F7185" s="5" t="s">
        <v>9</v>
      </c>
      <c r="G7185" s="15" t="s">
        <v>8</v>
      </c>
      <c r="H7185" s="24">
        <f t="shared" si="1407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si="1423"/>
        <v>46014</v>
      </c>
      <c r="B7186" s="5" t="str">
        <f t="shared" ref="B7186:C7186" si="1462">B7185</f>
        <v>Northern Cardinal</v>
      </c>
      <c r="C7186" s="6">
        <f t="shared" si="1462"/>
        <v>0.29166666666666669</v>
      </c>
      <c r="D7186" s="5"/>
      <c r="E7186" s="5"/>
      <c r="F7186" s="5" t="s">
        <v>9</v>
      </c>
      <c r="G7186" s="15" t="s">
        <v>8</v>
      </c>
      <c r="H7186" s="24">
        <f t="shared" si="1407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si="1423"/>
        <v>46014</v>
      </c>
      <c r="B7187" s="5" t="str">
        <f t="shared" ref="B7187:C7187" si="1463">B7186</f>
        <v>Northern Cardinal</v>
      </c>
      <c r="C7187" s="6">
        <f t="shared" si="1463"/>
        <v>0.29166666666666669</v>
      </c>
      <c r="D7187" s="5"/>
      <c r="E7187" s="5"/>
      <c r="F7187" s="5" t="s">
        <v>9</v>
      </c>
      <c r="G7187" s="15" t="s">
        <v>8</v>
      </c>
      <c r="H7187" s="24">
        <f t="shared" si="1407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si="1423"/>
        <v>46014</v>
      </c>
      <c r="B7188" s="5" t="str">
        <f t="shared" ref="B7188:C7188" si="1464">B7187</f>
        <v>Northern Cardinal</v>
      </c>
      <c r="C7188" s="6">
        <f t="shared" si="1464"/>
        <v>0.29166666666666669</v>
      </c>
      <c r="D7188" s="5"/>
      <c r="E7188" s="5"/>
      <c r="F7188" s="5" t="s">
        <v>9</v>
      </c>
      <c r="G7188" s="15" t="s">
        <v>8</v>
      </c>
      <c r="H7188" s="24">
        <f t="shared" si="1407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si="1423"/>
        <v>46014</v>
      </c>
      <c r="B7189" s="5" t="str">
        <f t="shared" ref="B7189:C7189" si="1465">B7188</f>
        <v>Northern Cardinal</v>
      </c>
      <c r="C7189" s="6">
        <f t="shared" si="1465"/>
        <v>0.29166666666666669</v>
      </c>
      <c r="D7189" s="5"/>
      <c r="E7189" s="5"/>
      <c r="F7189" s="5" t="s">
        <v>9</v>
      </c>
      <c r="G7189" s="15" t="s">
        <v>8</v>
      </c>
      <c r="H7189" s="24">
        <f t="shared" si="1407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si="1423"/>
        <v>46014</v>
      </c>
      <c r="B7190" s="5" t="str">
        <f t="shared" ref="B7190:C7190" si="1466">B7189</f>
        <v>Northern Cardinal</v>
      </c>
      <c r="C7190" s="6">
        <f t="shared" si="1466"/>
        <v>0.29166666666666669</v>
      </c>
      <c r="D7190" s="5"/>
      <c r="E7190" s="5"/>
      <c r="F7190" s="5" t="s">
        <v>9</v>
      </c>
      <c r="G7190" s="15" t="s">
        <v>8</v>
      </c>
      <c r="H7190" s="24">
        <f t="shared" si="1407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86"/>
  <sheetViews>
    <sheetView zoomScale="120" zoomScaleNormal="120" workbookViewId="0">
      <pane ySplit="1" topLeftCell="A273" activePane="bottomLeft" state="frozen"/>
      <selection pane="bottomLeft" activeCell="A287" sqref="A287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10">
        <v>46013</v>
      </c>
      <c r="B286" s="11" t="s">
        <v>3</v>
      </c>
      <c r="C286" s="11">
        <f>COUNTIFS(RawData!$B:$B, $B286, RawData!$A:$A, DailySummaries!$A286)</f>
        <v>17</v>
      </c>
      <c r="D286" s="11">
        <f>SUMIFS(RawData!$D:$D,RawData!$B:$B,$B286,RawData!$A:$A,DailySummaries!$A286)+1</f>
        <v>1</v>
      </c>
      <c r="E286" s="11">
        <f>SUMIFS(RawData!$E:$E,RawData!$B:$B,$B286,RawData!$A:$A,DailySummaries!$A286)+1</f>
        <v>36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2025-12-23T13:29:43Z</dcterms:modified>
</cp:coreProperties>
</file>
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BA4E935E-BC17-064F-B177-B77BD8400814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0" i="2" l="1"/>
  <c r="D330" i="2"/>
  <c r="C330" i="2"/>
  <c r="E329" i="2"/>
  <c r="D329" i="2"/>
  <c r="C329" i="2"/>
  <c r="E328" i="2"/>
  <c r="D328" i="2"/>
  <c r="C328" i="2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C8591" i="1" l="1"/>
  <c r="C8592" i="1" s="1"/>
  <c r="C8593" i="1" s="1"/>
  <c r="C8594" i="1" s="1"/>
  <c r="C8595" i="1" s="1"/>
  <c r="C8596" i="1" s="1"/>
  <c r="C8597" i="1" s="1"/>
  <c r="C8598" i="1" s="1"/>
  <c r="C8599" i="1" s="1"/>
  <c r="C8600" i="1" s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D327" i="2" l="1"/>
  <c r="I4473" i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H8590" i="1" l="1"/>
  <c r="A8591" i="1"/>
  <c r="I4487" i="1" a="1"/>
  <c r="I4487" i="1" s="1"/>
  <c r="K4487" i="1" a="1"/>
  <c r="K4487" i="1" s="1"/>
  <c r="L4488" i="1" a="1"/>
  <c r="L4488" i="1" s="1"/>
  <c r="H4487" i="1"/>
  <c r="O4487" i="1" a="1"/>
  <c r="O4487" i="1" s="1"/>
  <c r="B8590" i="1" l="1"/>
  <c r="H8591" i="1"/>
  <c r="A8592" i="1"/>
  <c r="I4488" i="1" a="1"/>
  <c r="I4488" i="1" s="1"/>
  <c r="K4488" i="1" a="1"/>
  <c r="K4488" i="1" s="1"/>
  <c r="H4488" i="1"/>
  <c r="O4488" i="1" a="1"/>
  <c r="O4488" i="1" s="1"/>
  <c r="D320" i="2" l="1"/>
  <c r="D326" i="2"/>
  <c r="D318" i="2"/>
  <c r="D319" i="2"/>
  <c r="C327" i="2"/>
  <c r="D323" i="2"/>
  <c r="C318" i="2"/>
  <c r="C317" i="2"/>
  <c r="D317" i="2"/>
  <c r="C320" i="2"/>
  <c r="C319" i="2"/>
  <c r="C324" i="2"/>
  <c r="D324" i="2"/>
  <c r="C323" i="2"/>
  <c r="C326" i="2"/>
  <c r="H8592" i="1"/>
  <c r="A8593" i="1"/>
  <c r="K8590" i="1" a="1"/>
  <c r="K8590" i="1" s="1"/>
  <c r="O8590" i="1" a="1"/>
  <c r="O8590" i="1" s="1"/>
  <c r="S8590" i="1" a="1"/>
  <c r="S8590" i="1" s="1"/>
  <c r="B8591" i="1"/>
  <c r="L8590" i="1" a="1"/>
  <c r="L8590" i="1" s="1"/>
  <c r="P8590" i="1" a="1"/>
  <c r="P8590" i="1" s="1"/>
  <c r="J8590" i="1" a="1"/>
  <c r="J8590" i="1" s="1"/>
  <c r="I8590" i="1" a="1"/>
  <c r="I8590" i="1" s="1"/>
  <c r="M8590" i="1" a="1"/>
  <c r="M8590" i="1" s="1"/>
  <c r="Q8590" i="1" a="1"/>
  <c r="Q8590" i="1" s="1"/>
  <c r="N8590" i="1" a="1"/>
  <c r="N8590" i="1" s="1"/>
  <c r="R8590" i="1" a="1"/>
  <c r="R8590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J8591" i="1" l="1" a="1"/>
  <c r="J8591" i="1" s="1"/>
  <c r="N8591" i="1" a="1"/>
  <c r="N8591" i="1" s="1"/>
  <c r="R8591" i="1" a="1"/>
  <c r="R8591" i="1" s="1"/>
  <c r="Q8591" i="1" a="1"/>
  <c r="Q8591" i="1" s="1"/>
  <c r="I8591" i="1" a="1"/>
  <c r="I8591" i="1" s="1"/>
  <c r="K8591" i="1" a="1"/>
  <c r="K8591" i="1" s="1"/>
  <c r="O8591" i="1" a="1"/>
  <c r="O8591" i="1" s="1"/>
  <c r="S8591" i="1" a="1"/>
  <c r="S8591" i="1" s="1"/>
  <c r="M8591" i="1" a="1"/>
  <c r="M8591" i="1" s="1"/>
  <c r="L8591" i="1" a="1"/>
  <c r="L8591" i="1" s="1"/>
  <c r="P8591" i="1" a="1"/>
  <c r="P8591" i="1" s="1"/>
  <c r="B8592" i="1"/>
  <c r="A8594" i="1"/>
  <c r="H8593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E327" i="2" l="1"/>
  <c r="H8594" i="1"/>
  <c r="A8595" i="1"/>
  <c r="I8592" i="1" a="1"/>
  <c r="I8592" i="1" s="1"/>
  <c r="M8592" i="1" a="1"/>
  <c r="M8592" i="1" s="1"/>
  <c r="Q8592" i="1" a="1"/>
  <c r="Q8592" i="1" s="1"/>
  <c r="B8593" i="1"/>
  <c r="J8592" i="1" a="1"/>
  <c r="J8592" i="1" s="1"/>
  <c r="N8592" i="1" a="1"/>
  <c r="N8592" i="1" s="1"/>
  <c r="R8592" i="1" a="1"/>
  <c r="R8592" i="1" s="1"/>
  <c r="L8592" i="1" a="1"/>
  <c r="L8592" i="1" s="1"/>
  <c r="K8592" i="1" a="1"/>
  <c r="K8592" i="1" s="1"/>
  <c r="O8592" i="1" a="1"/>
  <c r="O8592" i="1" s="1"/>
  <c r="S8592" i="1" a="1"/>
  <c r="S8592" i="1" s="1"/>
  <c r="P8592" i="1" a="1"/>
  <c r="P8592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E317" i="2" l="1"/>
  <c r="E324" i="2"/>
  <c r="E319" i="2"/>
  <c r="A8596" i="1"/>
  <c r="H8595" i="1"/>
  <c r="L8593" i="1" a="1"/>
  <c r="L8593" i="1" s="1"/>
  <c r="P8593" i="1" a="1"/>
  <c r="P8593" i="1" s="1"/>
  <c r="B8594" i="1"/>
  <c r="K8593" i="1" a="1"/>
  <c r="K8593" i="1" s="1"/>
  <c r="I8593" i="1" a="1"/>
  <c r="I8593" i="1" s="1"/>
  <c r="M8593" i="1" a="1"/>
  <c r="M8593" i="1" s="1"/>
  <c r="Q8593" i="1" a="1"/>
  <c r="Q8593" i="1" s="1"/>
  <c r="O8593" i="1" a="1"/>
  <c r="O8593" i="1" s="1"/>
  <c r="J8593" i="1" a="1"/>
  <c r="J8593" i="1" s="1"/>
  <c r="N8593" i="1" a="1"/>
  <c r="N8593" i="1" s="1"/>
  <c r="R8593" i="1" a="1"/>
  <c r="R8593" i="1" s="1"/>
  <c r="S8593" i="1" a="1"/>
  <c r="S8593" i="1" s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E326" i="2" l="1"/>
  <c r="E318" i="2"/>
  <c r="E323" i="2"/>
  <c r="E320" i="2"/>
  <c r="K8594" i="1" a="1"/>
  <c r="K8594" i="1" s="1"/>
  <c r="O8594" i="1" a="1"/>
  <c r="O8594" i="1" s="1"/>
  <c r="S8594" i="1" a="1"/>
  <c r="S8594" i="1" s="1"/>
  <c r="J8594" i="1" a="1"/>
  <c r="J8594" i="1" s="1"/>
  <c r="P8594" i="1" a="1"/>
  <c r="P8594" i="1" s="1"/>
  <c r="L8594" i="1" a="1"/>
  <c r="L8594" i="1" s="1"/>
  <c r="B8595" i="1"/>
  <c r="R8594" i="1" a="1"/>
  <c r="R8594" i="1" s="1"/>
  <c r="I8594" i="1" a="1"/>
  <c r="I8594" i="1" s="1"/>
  <c r="M8594" i="1" a="1"/>
  <c r="M8594" i="1" s="1"/>
  <c r="Q8594" i="1" a="1"/>
  <c r="Q8594" i="1" s="1"/>
  <c r="N8594" i="1" a="1"/>
  <c r="N8594" i="1" s="1"/>
  <c r="H8596" i="1"/>
  <c r="A859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J8595" i="1" l="1" a="1"/>
  <c r="J8595" i="1" s="1"/>
  <c r="N8595" i="1" a="1"/>
  <c r="N8595" i="1" s="1"/>
  <c r="R8595" i="1" a="1"/>
  <c r="R8595" i="1" s="1"/>
  <c r="I8595" i="1" a="1"/>
  <c r="I8595" i="1" s="1"/>
  <c r="K8595" i="1" a="1"/>
  <c r="K8595" i="1" s="1"/>
  <c r="O8595" i="1" a="1"/>
  <c r="O8595" i="1" s="1"/>
  <c r="S8595" i="1" a="1"/>
  <c r="S8595" i="1" s="1"/>
  <c r="M8595" i="1" a="1"/>
  <c r="M8595" i="1" s="1"/>
  <c r="B8596" i="1"/>
  <c r="L8595" i="1" a="1"/>
  <c r="L8595" i="1" s="1"/>
  <c r="P8595" i="1" a="1"/>
  <c r="P8595" i="1" s="1"/>
  <c r="Q8595" i="1" a="1"/>
  <c r="Q8595" i="1" s="1"/>
  <c r="A8598" i="1"/>
  <c r="H8597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I8596" i="1" l="1" a="1"/>
  <c r="I8596" i="1" s="1"/>
  <c r="M8596" i="1" a="1"/>
  <c r="M8596" i="1" s="1"/>
  <c r="Q8596" i="1" a="1"/>
  <c r="Q8596" i="1" s="1"/>
  <c r="J8596" i="1" a="1"/>
  <c r="J8596" i="1" s="1"/>
  <c r="N8596" i="1" a="1"/>
  <c r="N8596" i="1" s="1"/>
  <c r="R8596" i="1" a="1"/>
  <c r="R8596" i="1" s="1"/>
  <c r="K8596" i="1" a="1"/>
  <c r="K8596" i="1" s="1"/>
  <c r="O8596" i="1" a="1"/>
  <c r="O8596" i="1" s="1"/>
  <c r="S8596" i="1" a="1"/>
  <c r="S8596" i="1" s="1"/>
  <c r="P8596" i="1" a="1"/>
  <c r="P8596" i="1" s="1"/>
  <c r="L8596" i="1" a="1"/>
  <c r="L8596" i="1" s="1"/>
  <c r="B8597" i="1"/>
  <c r="H8598" i="1"/>
  <c r="A8599" i="1"/>
  <c r="J4534" i="1" a="1"/>
  <c r="J4534" i="1" s="1"/>
  <c r="C325" i="2" l="1"/>
  <c r="D325" i="2"/>
  <c r="H8599" i="1"/>
  <c r="A8600" i="1"/>
  <c r="E325" i="2" s="1"/>
  <c r="L8597" i="1" a="1"/>
  <c r="L8597" i="1" s="1"/>
  <c r="P8597" i="1" a="1"/>
  <c r="P8597" i="1" s="1"/>
  <c r="B8598" i="1"/>
  <c r="I8597" i="1" a="1"/>
  <c r="I8597" i="1" s="1"/>
  <c r="Q8597" i="1" a="1"/>
  <c r="Q8597" i="1" s="1"/>
  <c r="K8597" i="1" a="1"/>
  <c r="K8597" i="1" s="1"/>
  <c r="M8597" i="1" a="1"/>
  <c r="M8597" i="1" s="1"/>
  <c r="O8597" i="1" a="1"/>
  <c r="O8597" i="1" s="1"/>
  <c r="J8597" i="1" a="1"/>
  <c r="J8597" i="1" s="1"/>
  <c r="N8597" i="1" a="1"/>
  <c r="N8597" i="1" s="1"/>
  <c r="R8597" i="1" a="1"/>
  <c r="R8597" i="1" s="1"/>
  <c r="S8597" i="1" a="1"/>
  <c r="S8597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C322" i="2" l="1"/>
  <c r="D322" i="2"/>
  <c r="E322" i="2"/>
  <c r="H8600" i="1"/>
  <c r="K8598" i="1" a="1"/>
  <c r="K8598" i="1" s="1"/>
  <c r="O8598" i="1" a="1"/>
  <c r="O8598" i="1" s="1"/>
  <c r="S8598" i="1" a="1"/>
  <c r="S8598" i="1" s="1"/>
  <c r="N8598" i="1" a="1"/>
  <c r="N8598" i="1" s="1"/>
  <c r="L8598" i="1" a="1"/>
  <c r="L8598" i="1" s="1"/>
  <c r="P8598" i="1" a="1"/>
  <c r="P8598" i="1" s="1"/>
  <c r="B8599" i="1"/>
  <c r="J8598" i="1" a="1"/>
  <c r="J8598" i="1" s="1"/>
  <c r="I8598" i="1" a="1"/>
  <c r="I8598" i="1" s="1"/>
  <c r="M8598" i="1" a="1"/>
  <c r="M8598" i="1" s="1"/>
  <c r="Q8598" i="1" a="1"/>
  <c r="Q8598" i="1" s="1"/>
  <c r="R8598" i="1" a="1"/>
  <c r="R8598" i="1" s="1"/>
  <c r="J4597" i="1" a="1"/>
  <c r="J4597" i="1" s="1"/>
  <c r="J8599" i="1" l="1" a="1"/>
  <c r="J8599" i="1" s="1"/>
  <c r="N8599" i="1" a="1"/>
  <c r="N8599" i="1" s="1"/>
  <c r="R8599" i="1" a="1"/>
  <c r="R8599" i="1" s="1"/>
  <c r="O8599" i="1" a="1"/>
  <c r="O8599" i="1" s="1"/>
  <c r="Q8599" i="1" a="1"/>
  <c r="Q8599" i="1" s="1"/>
  <c r="K8599" i="1" a="1"/>
  <c r="K8599" i="1" s="1"/>
  <c r="S8599" i="1" a="1"/>
  <c r="S8599" i="1" s="1"/>
  <c r="B8600" i="1"/>
  <c r="L8599" i="1" a="1"/>
  <c r="L8599" i="1" s="1"/>
  <c r="P8599" i="1" a="1"/>
  <c r="P8599" i="1" s="1"/>
  <c r="M8599" i="1" a="1"/>
  <c r="M8599" i="1" s="1"/>
  <c r="I8599" i="1" a="1"/>
  <c r="I8599" i="1" s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D321" i="2" l="1"/>
  <c r="E321" i="2"/>
  <c r="C321" i="2"/>
  <c r="D316" i="2"/>
  <c r="C316" i="2"/>
  <c r="E316" i="2"/>
  <c r="I8600" i="1" a="1"/>
  <c r="I8600" i="1" s="1"/>
  <c r="M8600" i="1" a="1"/>
  <c r="M8600" i="1" s="1"/>
  <c r="Q8600" i="1" a="1"/>
  <c r="Q8600" i="1" s="1"/>
  <c r="R8600" i="1" a="1"/>
  <c r="R8600" i="1" s="1"/>
  <c r="J8600" i="1" a="1"/>
  <c r="J8600" i="1" s="1"/>
  <c r="N8600" i="1" a="1"/>
  <c r="N8600" i="1" s="1"/>
  <c r="P8600" i="1" a="1"/>
  <c r="P8600" i="1" s="1"/>
  <c r="L8600" i="1" a="1"/>
  <c r="L8600" i="1" s="1"/>
  <c r="K8600" i="1" a="1"/>
  <c r="K8600" i="1" s="1"/>
  <c r="O8600" i="1" a="1"/>
  <c r="O8600" i="1" s="1"/>
  <c r="S8600" i="1" a="1"/>
  <c r="S8600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D314" i="2" l="1"/>
  <c r="C314" i="2"/>
  <c r="E315" i="2"/>
  <c r="E314" i="2"/>
  <c r="C315" i="2"/>
  <c r="D315" i="2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C309" i="2" l="1"/>
  <c r="E308" i="2"/>
  <c r="D308" i="2"/>
  <c r="D305" i="2"/>
  <c r="E302" i="2"/>
  <c r="C307" i="2"/>
  <c r="D307" i="2"/>
  <c r="C308" i="2"/>
  <c r="D309" i="2"/>
  <c r="C302" i="2"/>
  <c r="E307" i="2"/>
  <c r="E309" i="2"/>
  <c r="D302" i="2"/>
  <c r="D303" i="2"/>
  <c r="E305" i="2"/>
  <c r="E300" i="2"/>
  <c r="C300" i="2"/>
  <c r="D300" i="2"/>
  <c r="C305" i="2"/>
  <c r="C303" i="2"/>
  <c r="E303" i="2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13" i="2" l="1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<sst xmlns="http://schemas.openxmlformats.org/spreadsheetml/2006/main" count="87644" uniqueCount="26">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</sst>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600"/>
  <sheetViews>
    <sheetView tabSelected="1" zoomScale="90" zoomScaleNormal="90" workbookViewId="0">
      <pane ySplit="1" topLeftCell="A8589" activePane="bottomLeft" state="frozen"/>
      <selection pane="bottomLeft" activeCell="D8590" sqref="D859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tr">
        <f t="shared" ref="A8590:C8590" si="1411">B8589</f>
        <v>Northern Cardinal</v>
      </c>
      <c r="C8590" s="6">
        <v>0.29166666666666669</v>
      </c>
      <c r="D8590" s="5"/>
      <c r="E8590" s="5"/>
      <c r="F8590" s="5" t="s">
        <v>9</v>
      </c>
      <c r="G8590" s="15" t="s">
        <v>8</v>
      </c>
      <c r="H8590" s="24">
        <f t="shared" ref="H8549:H8600" si="1412">IFERROR((($A8590+$C8590) - ($A8589+$C8589))*24*60, "")</f>
        <v>781.99999999254942</v>
      </c>
      <c r="I8590" s="24" cm="1">
        <f t="array" ref="I8590">IFERROR(IF($B8590=I$1, ($A8590+$C8590) - MAX(IF($B$2:$B8589=$B8590, $A$2:$A8589+$C$2:$C8589)), "")*24*60, "")</f>
        <v>781.99999999254942</v>
      </c>
      <c r="J8590" s="24" t="str" cm="1">
        <f t="array" ref="J8590">IFERROR(IF($B8590=J$1, ($A8590+$C8590) - MAX(IF($B$2:$B8589=$B8590, $A$2:$A8589+$C$2:$C8589)), "")*24*60, "")</f>
        <v/>
      </c>
      <c r="K8590" s="24" t="str" cm="1">
        <f t="array" ref="K8590">IFERROR(IF($B8590=K$1, ($A8590+$C8590) - MAX(IF($B$2:$B8589=$B8590, $A$2:$A8589+$C$2:$C8589)), "")*24*60, "")</f>
        <v/>
      </c>
      <c r="L8590" s="24" t="str" cm="1">
        <f t="array" ref="L8590">IFERROR(IF($B8590=L$1, ($A8590+$C8590) - MAX(IF($B$2:$B8589=$B8590, $A$2:$A8589+$C$2:$C8589)), "")*24*60, "")</f>
        <v/>
      </c>
      <c r="M8590" s="24" t="str" cm="1">
        <f t="array" ref="M8590">IFERROR(IF($B8590=M$1, ($A8590+$C8590) - MAX(IF($B$2:$B8589=$B8590, $A$2:$A8589+$C$2:$C8589)), "")*24*60, "")</f>
        <v/>
      </c>
      <c r="N8590" s="24" t="str" cm="1">
        <f t="array" ref="N8590">IFERROR(IF($B8590=N$1, ($A8590+$C8590) - MAX(IF($B$2:$B8589=$B8590, $A$2:$A8589+$C$2:$C8589)), "")*24*60, "")</f>
        <v/>
      </c>
      <c r="O8590" s="24" t="str" cm="1">
        <f t="array" ref="O8590">IFERROR(IF($B8590=O$1, ($A8590+$C8590) - MAX(IF($B$2:$B8589=$B8590, $A$2:$A8589+$C$2:$C8589)), "")*24*60, "")</f>
        <v/>
      </c>
      <c r="P8590" s="24" t="str" cm="1">
        <f t="array" ref="P8590">IFERROR(IF($B8590=P$1, ($A8590+$C8590) - MAX(IF($B$2:$B8589=$B8590, $A$2:$A8589+$C$2:$C8589)), "")*24*60, "")</f>
        <v/>
      </c>
      <c r="Q8590" s="24" t="str" cm="1">
        <f t="array" ref="Q8590">IFERROR(IF($B8590=Q$1, ($A8590+$C8590) - MAX(IF($B$2:$B8589=$B8590, $A$2:$A8589+$C$2:$C8589)), "")*24*60, "")</f>
        <v/>
      </c>
      <c r="R8590" s="24" t="str" cm="1">
        <f t="array" ref="R8590">IFERROR(IF($B8590=R$1, ($A8590+$C8590) - MAX(IF($B$2:$B8589=$B8590, $A$2:$A8589+$C$2:$C8589)), "")*24*60, "")</f>
        <v/>
      </c>
      <c r="S8590" s="24" t="str" cm="1">
        <f t="array" ref="S8590">IFERROR(IF($B8590=S$1, ($A8590+$C8590) - MAX(IF($B$2:$B8589=$B8590, $A$2:$A8589+$C$2:$C8589)), "")*24*60, "")</f>
        <v/>
      </c>
    </row>
    <row r="8591" spans="1:19" x14ac:dyDescent="0.2">
      <c r="A8591" s="12">
        <f t="shared" ref="A8591:C8591" si="1413">A8590</f>
        <v>46032</v>
      </c>
      <c r="B8591" s="5" t="str">
        <f t="shared" si="1413"/>
        <v>Northern Cardinal</v>
      </c>
      <c r="C8591" s="6">
        <f t="shared" si="1413"/>
        <v>0.29166666666666669</v>
      </c>
      <c r="D8591" s="5"/>
      <c r="E8591" s="5"/>
      <c r="F8591" s="5" t="s">
        <v>9</v>
      </c>
      <c r="G8591" s="15" t="s">
        <v>8</v>
      </c>
      <c r="H8591" s="24">
        <f t="shared" si="1412"/>
        <v>0</v>
      </c>
      <c r="I8591" s="24" cm="1">
        <f t="array" ref="I8591">IFERROR(IF($B8591=I$1, ($A8591+$C8591) - MAX(IF($B$2:$B8590=$B8591, $A$2:$A8590+$C$2:$C8590)), "")*24*60, "")</f>
        <v>0</v>
      </c>
      <c r="J8591" s="24" t="str" cm="1">
        <f t="array" ref="J8591">IFERROR(IF($B8591=J$1, ($A8591+$C8591) - MAX(IF($B$2:$B8590=$B8591, $A$2:$A8590+$C$2:$C8590)), "")*24*60, "")</f>
        <v/>
      </c>
      <c r="K8591" s="24" t="str" cm="1">
        <f t="array" ref="K8591">IFERROR(IF($B8591=K$1, ($A8591+$C8591) - MAX(IF($B$2:$B8590=$B8591, $A$2:$A8590+$C$2:$C8590)), "")*24*60, "")</f>
        <v/>
      </c>
      <c r="L8591" s="24" t="str" cm="1">
        <f t="array" ref="L8591">IFERROR(IF($B8591=L$1, ($A8591+$C8591) - MAX(IF($B$2:$B8590=$B8591, $A$2:$A8590+$C$2:$C8590)), "")*24*60, "")</f>
        <v/>
      </c>
      <c r="M8591" s="24" t="str" cm="1">
        <f t="array" ref="M8591">IFERROR(IF($B8591=M$1, ($A8591+$C8591) - MAX(IF($B$2:$B8590=$B8591, $A$2:$A8590+$C$2:$C8590)), "")*24*60, "")</f>
        <v/>
      </c>
      <c r="N8591" s="24" t="str" cm="1">
        <f t="array" ref="N8591">IFERROR(IF($B8591=N$1, ($A8591+$C8591) - MAX(IF($B$2:$B8590=$B8591, $A$2:$A8590+$C$2:$C8590)), "")*24*60, "")</f>
        <v/>
      </c>
      <c r="O8591" s="24" t="str" cm="1">
        <f t="array" ref="O8591">IFERROR(IF($B8591=O$1, ($A8591+$C8591) - MAX(IF($B$2:$B8590=$B8591, $A$2:$A8590+$C$2:$C8590)), "")*24*60, "")</f>
        <v/>
      </c>
      <c r="P8591" s="24" t="str" cm="1">
        <f t="array" ref="P8591">IFERROR(IF($B8591=P$1, ($A8591+$C8591) - MAX(IF($B$2:$B8590=$B8591, $A$2:$A8590+$C$2:$C8590)), "")*24*60, "")</f>
        <v/>
      </c>
      <c r="Q8591" s="24" t="str" cm="1">
        <f t="array" ref="Q8591">IFERROR(IF($B8591=Q$1, ($A8591+$C8591) - MAX(IF($B$2:$B8590=$B8591, $A$2:$A8590+$C$2:$C8590)), "")*24*60, "")</f>
        <v/>
      </c>
      <c r="R8591" s="24" t="str" cm="1">
        <f t="array" ref="R8591">IFERROR(IF($B8591=R$1, ($A8591+$C8591) - MAX(IF($B$2:$B8590=$B8591, $A$2:$A8590+$C$2:$C8590)), "")*24*60, "")</f>
        <v/>
      </c>
      <c r="S8591" s="24" t="str" cm="1">
        <f t="array" ref="S8591">IFERROR(IF($B8591=S$1, ($A8591+$C8591) - MAX(IF($B$2:$B8590=$B8591, $A$2:$A8590+$C$2:$C8590)), "")*24*60, "")</f>
        <v/>
      </c>
    </row>
    <row r="8592" spans="1:19" x14ac:dyDescent="0.2">
      <c r="A8592" s="12">
        <f t="shared" ref="A8592:C8592" si="1414">A8591</f>
        <v>46032</v>
      </c>
      <c r="B8592" s="5" t="str">
        <f t="shared" si="1414"/>
        <v>Northern Cardinal</v>
      </c>
      <c r="C8592" s="6">
        <f t="shared" si="1414"/>
        <v>0.29166666666666669</v>
      </c>
      <c r="D8592" s="5"/>
      <c r="E8592" s="5"/>
      <c r="F8592" s="5" t="s">
        <v>9</v>
      </c>
      <c r="G8592" s="15" t="s">
        <v>8</v>
      </c>
      <c r="H8592" s="24">
        <f t="shared" si="1412"/>
        <v>0</v>
      </c>
      <c r="I8592" s="24" cm="1">
        <f t="array" ref="I8592">IFERROR(IF($B8592=I$1, ($A8592+$C8592) - MAX(IF($B$2:$B8591=$B8592, $A$2:$A8591+$C$2:$C8591)), "")*24*60, "")</f>
        <v>0</v>
      </c>
      <c r="J8592" s="24" t="str" cm="1">
        <f t="array" ref="J8592">IFERROR(IF($B8592=J$1, ($A8592+$C8592) - MAX(IF($B$2:$B8591=$B8592, $A$2:$A8591+$C$2:$C8591)), "")*24*60, "")</f>
        <v/>
      </c>
      <c r="K8592" s="24" t="str" cm="1">
        <f t="array" ref="K8592">IFERROR(IF($B8592=K$1, ($A8592+$C8592) - MAX(IF($B$2:$B8591=$B8592, $A$2:$A8591+$C$2:$C8591)), "")*24*60, "")</f>
        <v/>
      </c>
      <c r="L8592" s="24" t="str" cm="1">
        <f t="array" ref="L8592">IFERROR(IF($B8592=L$1, ($A8592+$C8592) - MAX(IF($B$2:$B8591=$B8592, $A$2:$A8591+$C$2:$C8591)), "")*24*60, "")</f>
        <v/>
      </c>
      <c r="M8592" s="24" t="str" cm="1">
        <f t="array" ref="M8592">IFERROR(IF($B8592=M$1, ($A8592+$C8592) - MAX(IF($B$2:$B8591=$B8592, $A$2:$A8591+$C$2:$C8591)), "")*24*60, "")</f>
        <v/>
      </c>
      <c r="N8592" s="24" t="str" cm="1">
        <f t="array" ref="N8592">IFERROR(IF($B8592=N$1, ($A8592+$C8592) - MAX(IF($B$2:$B8591=$B8592, $A$2:$A8591+$C$2:$C8591)), "")*24*60, "")</f>
        <v/>
      </c>
      <c r="O8592" s="24" t="str" cm="1">
        <f t="array" ref="O8592">IFERROR(IF($B8592=O$1, ($A8592+$C8592) - MAX(IF($B$2:$B8591=$B8592, $A$2:$A8591+$C$2:$C8591)), "")*24*60, "")</f>
        <v/>
      </c>
      <c r="P8592" s="24" t="str" cm="1">
        <f t="array" ref="P8592">IFERROR(IF($B8592=P$1, ($A8592+$C8592) - MAX(IF($B$2:$B8591=$B8592, $A$2:$A8591+$C$2:$C8591)), "")*24*60, "")</f>
        <v/>
      </c>
      <c r="Q8592" s="24" t="str" cm="1">
        <f t="array" ref="Q8592">IFERROR(IF($B8592=Q$1, ($A8592+$C8592) - MAX(IF($B$2:$B8591=$B8592, $A$2:$A8591+$C$2:$C8591)), "")*24*60, "")</f>
        <v/>
      </c>
      <c r="R8592" s="24" t="str" cm="1">
        <f t="array" ref="R8592">IFERROR(IF($B8592=R$1, ($A8592+$C8592) - MAX(IF($B$2:$B8591=$B8592, $A$2:$A8591+$C$2:$C8591)), "")*24*60, "")</f>
        <v/>
      </c>
      <c r="S8592" s="24" t="str" cm="1">
        <f t="array" ref="S8592">IFERROR(IF($B8592=S$1, ($A8592+$C8592) - MAX(IF($B$2:$B8591=$B8592, $A$2:$A8591+$C$2:$C8591)), "")*24*60, "")</f>
        <v/>
      </c>
    </row>
    <row r="8593" spans="1:19" x14ac:dyDescent="0.2">
      <c r="A8593" s="12">
        <f t="shared" ref="A8593:C8593" si="1415">A8592</f>
        <v>46032</v>
      </c>
      <c r="B8593" s="5" t="str">
        <f t="shared" si="1415"/>
        <v>Northern Cardinal</v>
      </c>
      <c r="C8593" s="6">
        <f t="shared" si="1415"/>
        <v>0.29166666666666669</v>
      </c>
      <c r="D8593" s="5"/>
      <c r="E8593" s="5"/>
      <c r="F8593" s="5" t="s">
        <v>9</v>
      </c>
      <c r="G8593" s="15" t="s">
        <v>8</v>
      </c>
      <c r="H8593" s="24">
        <f t="shared" si="1412"/>
        <v>0</v>
      </c>
      <c r="I8593" s="24" cm="1">
        <f t="array" ref="I8593">IFERROR(IF($B8593=I$1, ($A8593+$C8593) - MAX(IF($B$2:$B8592=$B8593, $A$2:$A8592+$C$2:$C8592)), "")*24*60, "")</f>
        <v>0</v>
      </c>
      <c r="J8593" s="24" t="str" cm="1">
        <f t="array" ref="J8593">IFERROR(IF($B8593=J$1, ($A8593+$C8593) - MAX(IF($B$2:$B8592=$B8593, $A$2:$A8592+$C$2:$C8592)), "")*24*60, "")</f>
        <v/>
      </c>
      <c r="K8593" s="24" t="str" cm="1">
        <f t="array" ref="K8593">IFERROR(IF($B8593=K$1, ($A8593+$C8593) - MAX(IF($B$2:$B8592=$B8593, $A$2:$A8592+$C$2:$C8592)), "")*24*60, "")</f>
        <v/>
      </c>
      <c r="L8593" s="24" t="str" cm="1">
        <f t="array" ref="L8593">IFERROR(IF($B8593=L$1, ($A8593+$C8593) - MAX(IF($B$2:$B8592=$B8593, $A$2:$A8592+$C$2:$C8592)), "")*24*60, "")</f>
        <v/>
      </c>
      <c r="M8593" s="24" t="str" cm="1">
        <f t="array" ref="M8593">IFERROR(IF($B8593=M$1, ($A8593+$C8593) - MAX(IF($B$2:$B8592=$B8593, $A$2:$A8592+$C$2:$C8592)), "")*24*60, "")</f>
        <v/>
      </c>
      <c r="N8593" s="24" t="str" cm="1">
        <f t="array" ref="N8593">IFERROR(IF($B8593=N$1, ($A8593+$C8593) - MAX(IF($B$2:$B8592=$B8593, $A$2:$A8592+$C$2:$C8592)), "")*24*60, "")</f>
        <v/>
      </c>
      <c r="O8593" s="24" t="str" cm="1">
        <f t="array" ref="O8593">IFERROR(IF($B8593=O$1, ($A8593+$C8593) - MAX(IF($B$2:$B8592=$B8593, $A$2:$A8592+$C$2:$C8592)), "")*24*60, "")</f>
        <v/>
      </c>
      <c r="P8593" s="24" t="str" cm="1">
        <f t="array" ref="P8593">IFERROR(IF($B8593=P$1, ($A8593+$C8593) - MAX(IF($B$2:$B8592=$B8593, $A$2:$A8592+$C$2:$C8592)), "")*24*60, "")</f>
        <v/>
      </c>
      <c r="Q8593" s="24" t="str" cm="1">
        <f t="array" ref="Q8593">IFERROR(IF($B8593=Q$1, ($A8593+$C8593) - MAX(IF($B$2:$B8592=$B8593, $A$2:$A8592+$C$2:$C8592)), "")*24*60, "")</f>
        <v/>
      </c>
      <c r="R8593" s="24" t="str" cm="1">
        <f t="array" ref="R8593">IFERROR(IF($B8593=R$1, ($A8593+$C8593) - MAX(IF($B$2:$B8592=$B8593, $A$2:$A8592+$C$2:$C8592)), "")*24*60, "")</f>
        <v/>
      </c>
      <c r="S8593" s="24" t="str" cm="1">
        <f t="array" ref="S8593">IFERROR(IF($B8593=S$1, ($A8593+$C8593) - MAX(IF($B$2:$B8592=$B8593, $A$2:$A8592+$C$2:$C8592)), "")*24*60, "")</f>
        <v/>
      </c>
    </row>
    <row r="8594" spans="1:19" x14ac:dyDescent="0.2">
      <c r="A8594" s="12">
        <f t="shared" ref="A8594:C8594" si="1416">A8593</f>
        <v>46032</v>
      </c>
      <c r="B8594" s="5" t="str">
        <f t="shared" si="1416"/>
        <v>Northern Cardinal</v>
      </c>
      <c r="C8594" s="6">
        <f t="shared" si="1416"/>
        <v>0.29166666666666669</v>
      </c>
      <c r="D8594" s="5"/>
      <c r="E8594" s="5"/>
      <c r="F8594" s="5" t="s">
        <v>9</v>
      </c>
      <c r="G8594" s="15" t="s">
        <v>8</v>
      </c>
      <c r="H8594" s="24">
        <f t="shared" si="1412"/>
        <v>0</v>
      </c>
      <c r="I8594" s="24" cm="1">
        <f t="array" ref="I8594">IFERROR(IF($B8594=I$1, ($A8594+$C8594) - MAX(IF($B$2:$B8593=$B8594, $A$2:$A8593+$C$2:$C8593)), "")*24*60, "")</f>
        <v>0</v>
      </c>
      <c r="J8594" s="24" t="str" cm="1">
        <f t="array" ref="J8594">IFERROR(IF($B8594=J$1, ($A8594+$C8594) - MAX(IF($B$2:$B8593=$B8594, $A$2:$A8593+$C$2:$C8593)), "")*24*60, "")</f>
        <v/>
      </c>
      <c r="K8594" s="24" t="str" cm="1">
        <f t="array" ref="K8594">IFERROR(IF($B8594=K$1, ($A8594+$C8594) - MAX(IF($B$2:$B8593=$B8594, $A$2:$A8593+$C$2:$C8593)), "")*24*60, "")</f>
        <v/>
      </c>
      <c r="L8594" s="24" t="str" cm="1">
        <f t="array" ref="L8594">IFERROR(IF($B8594=L$1, ($A8594+$C8594) - MAX(IF($B$2:$B8593=$B8594, $A$2:$A8593+$C$2:$C8593)), "")*24*60, "")</f>
        <v/>
      </c>
      <c r="M8594" s="24" t="str" cm="1">
        <f t="array" ref="M8594">IFERROR(IF($B8594=M$1, ($A8594+$C8594) - MAX(IF($B$2:$B8593=$B8594, $A$2:$A8593+$C$2:$C8593)), "")*24*60, "")</f>
        <v/>
      </c>
      <c r="N8594" s="24" t="str" cm="1">
        <f t="array" ref="N8594">IFERROR(IF($B8594=N$1, ($A8594+$C8594) - MAX(IF($B$2:$B8593=$B8594, $A$2:$A8593+$C$2:$C8593)), "")*24*60, "")</f>
        <v/>
      </c>
      <c r="O8594" s="24" t="str" cm="1">
        <f t="array" ref="O8594">IFERROR(IF($B8594=O$1, ($A8594+$C8594) - MAX(IF($B$2:$B8593=$B8594, $A$2:$A8593+$C$2:$C8593)), "")*24*60, "")</f>
        <v/>
      </c>
      <c r="P8594" s="24" t="str" cm="1">
        <f t="array" ref="P8594">IFERROR(IF($B8594=P$1, ($A8594+$C8594) - MAX(IF($B$2:$B8593=$B8594, $A$2:$A8593+$C$2:$C8593)), "")*24*60, "")</f>
        <v/>
      </c>
      <c r="Q8594" s="24" t="str" cm="1">
        <f t="array" ref="Q8594">IFERROR(IF($B8594=Q$1, ($A8594+$C8594) - MAX(IF($B$2:$B8593=$B8594, $A$2:$A8593+$C$2:$C8593)), "")*24*60, "")</f>
        <v/>
      </c>
      <c r="R8594" s="24" t="str" cm="1">
        <f t="array" ref="R8594">IFERROR(IF($B8594=R$1, ($A8594+$C8594) - MAX(IF($B$2:$B8593=$B8594, $A$2:$A8593+$C$2:$C8593)), "")*24*60, "")</f>
        <v/>
      </c>
      <c r="S8594" s="24" t="str" cm="1">
        <f t="array" ref="S8594">IFERROR(IF($B8594=S$1, ($A8594+$C8594) - MAX(IF($B$2:$B8593=$B8594, $A$2:$A8593+$C$2:$C8593)), "")*24*60, "")</f>
        <v/>
      </c>
    </row>
    <row r="8595" spans="1:19" x14ac:dyDescent="0.2">
      <c r="A8595" s="12">
        <f t="shared" ref="A8595:C8595" si="1417">A8594</f>
        <v>46032</v>
      </c>
      <c r="B8595" s="5" t="str">
        <f t="shared" si="1417"/>
        <v>Northern Cardinal</v>
      </c>
      <c r="C8595" s="6">
        <f t="shared" si="1417"/>
        <v>0.29166666666666669</v>
      </c>
      <c r="D8595" s="5"/>
      <c r="E8595" s="5"/>
      <c r="F8595" s="5" t="s">
        <v>9</v>
      </c>
      <c r="G8595" s="15" t="s">
        <v>8</v>
      </c>
      <c r="H8595" s="24">
        <f t="shared" si="1412"/>
        <v>0</v>
      </c>
      <c r="I8595" s="24" cm="1">
        <f t="array" ref="I8595">IFERROR(IF($B8595=I$1, ($A8595+$C8595) - MAX(IF($B$2:$B8594=$B8595, $A$2:$A8594+$C$2:$C8594)), "")*24*60, "")</f>
        <v>0</v>
      </c>
      <c r="J8595" s="24" t="str" cm="1">
        <f t="array" ref="J8595">IFERROR(IF($B8595=J$1, ($A8595+$C8595) - MAX(IF($B$2:$B8594=$B8595, $A$2:$A8594+$C$2:$C8594)), "")*24*60, "")</f>
        <v/>
      </c>
      <c r="K8595" s="24" t="str" cm="1">
        <f t="array" ref="K8595">IFERROR(IF($B8595=K$1, ($A8595+$C8595) - MAX(IF($B$2:$B8594=$B8595, $A$2:$A8594+$C$2:$C8594)), "")*24*60, "")</f>
        <v/>
      </c>
      <c r="L8595" s="24" t="str" cm="1">
        <f t="array" ref="L8595">IFERROR(IF($B8595=L$1, ($A8595+$C8595) - MAX(IF($B$2:$B8594=$B8595, $A$2:$A8594+$C$2:$C8594)), "")*24*60, "")</f>
        <v/>
      </c>
      <c r="M8595" s="24" t="str" cm="1">
        <f t="array" ref="M8595">IFERROR(IF($B8595=M$1, ($A8595+$C8595) - MAX(IF($B$2:$B8594=$B8595, $A$2:$A8594+$C$2:$C8594)), "")*24*60, "")</f>
        <v/>
      </c>
      <c r="N8595" s="24" t="str" cm="1">
        <f t="array" ref="N8595">IFERROR(IF($B8595=N$1, ($A8595+$C8595) - MAX(IF($B$2:$B8594=$B8595, $A$2:$A8594+$C$2:$C8594)), "")*24*60, "")</f>
        <v/>
      </c>
      <c r="O8595" s="24" t="str" cm="1">
        <f t="array" ref="O8595">IFERROR(IF($B8595=O$1, ($A8595+$C8595) - MAX(IF($B$2:$B8594=$B8595, $A$2:$A8594+$C$2:$C8594)), "")*24*60, "")</f>
        <v/>
      </c>
      <c r="P8595" s="24" t="str" cm="1">
        <f t="array" ref="P8595">IFERROR(IF($B8595=P$1, ($A8595+$C8595) - MAX(IF($B$2:$B8594=$B8595, $A$2:$A8594+$C$2:$C8594)), "")*24*60, "")</f>
        <v/>
      </c>
      <c r="Q8595" s="24" t="str" cm="1">
        <f t="array" ref="Q8595">IFERROR(IF($B8595=Q$1, ($A8595+$C8595) - MAX(IF($B$2:$B8594=$B8595, $A$2:$A8594+$C$2:$C8594)), "")*24*60, "")</f>
        <v/>
      </c>
      <c r="R8595" s="24" t="str" cm="1">
        <f t="array" ref="R8595">IFERROR(IF($B8595=R$1, ($A8595+$C8595) - MAX(IF($B$2:$B8594=$B8595, $A$2:$A8594+$C$2:$C8594)), "")*24*60, "")</f>
        <v/>
      </c>
      <c r="S8595" s="24" t="str" cm="1">
        <f t="array" ref="S8595">IFERROR(IF($B8595=S$1, ($A8595+$C8595) - MAX(IF($B$2:$B8594=$B8595, $A$2:$A8594+$C$2:$C8594)), "")*24*60, "")</f>
        <v/>
      </c>
    </row>
    <row r="8596" spans="1:19" x14ac:dyDescent="0.2">
      <c r="A8596" s="12">
        <f t="shared" ref="A8596:C8596" si="1418">A8595</f>
        <v>46032</v>
      </c>
      <c r="B8596" s="5" t="str">
        <f t="shared" si="1418"/>
        <v>Northern Cardinal</v>
      </c>
      <c r="C8596" s="6">
        <f t="shared" si="1418"/>
        <v>0.29166666666666669</v>
      </c>
      <c r="D8596" s="5"/>
      <c r="E8596" s="5"/>
      <c r="F8596" s="5" t="s">
        <v>9</v>
      </c>
      <c r="G8596" s="15" t="s">
        <v>8</v>
      </c>
      <c r="H8596" s="24">
        <f t="shared" si="1412"/>
        <v>0</v>
      </c>
      <c r="I8596" s="24" cm="1">
        <f t="array" ref="I8596">IFERROR(IF($B8596=I$1, ($A8596+$C8596) - MAX(IF($B$2:$B8595=$B8596, $A$2:$A8595+$C$2:$C8595)), "")*24*60, "")</f>
        <v>0</v>
      </c>
      <c r="J8596" s="24" t="str" cm="1">
        <f t="array" ref="J8596">IFERROR(IF($B8596=J$1, ($A8596+$C8596) - MAX(IF($B$2:$B8595=$B8596, $A$2:$A8595+$C$2:$C8595)), "")*24*60, "")</f>
        <v/>
      </c>
      <c r="K8596" s="24" t="str" cm="1">
        <f t="array" ref="K8596">IFERROR(IF($B8596=K$1, ($A8596+$C8596) - MAX(IF($B$2:$B8595=$B8596, $A$2:$A8595+$C$2:$C8595)), "")*24*60, "")</f>
        <v/>
      </c>
      <c r="L8596" s="24" t="str" cm="1">
        <f t="array" ref="L8596">IFERROR(IF($B8596=L$1, ($A8596+$C8596) - MAX(IF($B$2:$B8595=$B8596, $A$2:$A8595+$C$2:$C8595)), "")*24*60, "")</f>
        <v/>
      </c>
      <c r="M8596" s="24" t="str" cm="1">
        <f t="array" ref="M8596">IFERROR(IF($B8596=M$1, ($A8596+$C8596) - MAX(IF($B$2:$B8595=$B8596, $A$2:$A8595+$C$2:$C8595)), "")*24*60, "")</f>
        <v/>
      </c>
      <c r="N8596" s="24" t="str" cm="1">
        <f t="array" ref="N8596">IFERROR(IF($B8596=N$1, ($A8596+$C8596) - MAX(IF($B$2:$B8595=$B8596, $A$2:$A8595+$C$2:$C8595)), "")*24*60, "")</f>
        <v/>
      </c>
      <c r="O8596" s="24" t="str" cm="1">
        <f t="array" ref="O8596">IFERROR(IF($B8596=O$1, ($A8596+$C8596) - MAX(IF($B$2:$B8595=$B8596, $A$2:$A8595+$C$2:$C8595)), "")*24*60, "")</f>
        <v/>
      </c>
      <c r="P8596" s="24" t="str" cm="1">
        <f t="array" ref="P8596">IFERROR(IF($B8596=P$1, ($A8596+$C8596) - MAX(IF($B$2:$B8595=$B8596, $A$2:$A8595+$C$2:$C8595)), "")*24*60, "")</f>
        <v/>
      </c>
      <c r="Q8596" s="24" t="str" cm="1">
        <f t="array" ref="Q8596">IFERROR(IF($B8596=Q$1, ($A8596+$C8596) - MAX(IF($B$2:$B8595=$B8596, $A$2:$A8595+$C$2:$C8595)), "")*24*60, "")</f>
        <v/>
      </c>
      <c r="R8596" s="24" t="str" cm="1">
        <f t="array" ref="R8596">IFERROR(IF($B8596=R$1, ($A8596+$C8596) - MAX(IF($B$2:$B8595=$B8596, $A$2:$A8595+$C$2:$C8595)), "")*24*60, "")</f>
        <v/>
      </c>
      <c r="S8596" s="24" t="str" cm="1">
        <f t="array" ref="S8596">IFERROR(IF($B8596=S$1, ($A8596+$C8596) - MAX(IF($B$2:$B8595=$B8596, $A$2:$A8595+$C$2:$C8595)), "")*24*60, "")</f>
        <v/>
      </c>
    </row>
    <row r="8597" spans="1:19" x14ac:dyDescent="0.2">
      <c r="A8597" s="12">
        <f t="shared" ref="A8597:C8597" si="1419">A8596</f>
        <v>46032</v>
      </c>
      <c r="B8597" s="5" t="str">
        <f t="shared" si="1419"/>
        <v>Northern Cardinal</v>
      </c>
      <c r="C8597" s="6">
        <f t="shared" si="1419"/>
        <v>0.29166666666666669</v>
      </c>
      <c r="D8597" s="5"/>
      <c r="E8597" s="5"/>
      <c r="F8597" s="5" t="s">
        <v>9</v>
      </c>
      <c r="G8597" s="15" t="s">
        <v>8</v>
      </c>
      <c r="H8597" s="24">
        <f t="shared" si="1412"/>
        <v>0</v>
      </c>
      <c r="I8597" s="24" cm="1">
        <f t="array" ref="I8597">IFERROR(IF($B8597=I$1, ($A8597+$C8597) - MAX(IF($B$2:$B8596=$B8597, $A$2:$A8596+$C$2:$C8596)), "")*24*60, "")</f>
        <v>0</v>
      </c>
      <c r="J8597" s="24" t="str" cm="1">
        <f t="array" ref="J8597">IFERROR(IF($B8597=J$1, ($A8597+$C8597) - MAX(IF($B$2:$B8596=$B8597, $A$2:$A8596+$C$2:$C8596)), "")*24*60, "")</f>
        <v/>
      </c>
      <c r="K8597" s="24" t="str" cm="1">
        <f t="array" ref="K8597">IFERROR(IF($B8597=K$1, ($A8597+$C8597) - MAX(IF($B$2:$B8596=$B8597, $A$2:$A8596+$C$2:$C8596)), "")*24*60, "")</f>
        <v/>
      </c>
      <c r="L8597" s="24" t="str" cm="1">
        <f t="array" ref="L8597">IFERROR(IF($B8597=L$1, ($A8597+$C8597) - MAX(IF($B$2:$B8596=$B8597, $A$2:$A8596+$C$2:$C8596)), "")*24*60, "")</f>
        <v/>
      </c>
      <c r="M8597" s="24" t="str" cm="1">
        <f t="array" ref="M8597">IFERROR(IF($B8597=M$1, ($A8597+$C8597) - MAX(IF($B$2:$B8596=$B8597, $A$2:$A8596+$C$2:$C8596)), "")*24*60, "")</f>
        <v/>
      </c>
      <c r="N8597" s="24" t="str" cm="1">
        <f t="array" ref="N8597">IFERROR(IF($B8597=N$1, ($A8597+$C8597) - MAX(IF($B$2:$B8596=$B8597, $A$2:$A8596+$C$2:$C8596)), "")*24*60, "")</f>
        <v/>
      </c>
      <c r="O8597" s="24" t="str" cm="1">
        <f t="array" ref="O8597">IFERROR(IF($B8597=O$1, ($A8597+$C8597) - MAX(IF($B$2:$B8596=$B8597, $A$2:$A8596+$C$2:$C8596)), "")*24*60, "")</f>
        <v/>
      </c>
      <c r="P8597" s="24" t="str" cm="1">
        <f t="array" ref="P8597">IFERROR(IF($B8597=P$1, ($A8597+$C8597) - MAX(IF($B$2:$B8596=$B8597, $A$2:$A8596+$C$2:$C8596)), "")*24*60, "")</f>
        <v/>
      </c>
      <c r="Q8597" s="24" t="str" cm="1">
        <f t="array" ref="Q8597">IFERROR(IF($B8597=Q$1, ($A8597+$C8597) - MAX(IF($B$2:$B8596=$B8597, $A$2:$A8596+$C$2:$C8596)), "")*24*60, "")</f>
        <v/>
      </c>
      <c r="R8597" s="24" t="str" cm="1">
        <f t="array" ref="R8597">IFERROR(IF($B8597=R$1, ($A8597+$C8597) - MAX(IF($B$2:$B8596=$B8597, $A$2:$A8596+$C$2:$C8596)), "")*24*60, "")</f>
        <v/>
      </c>
      <c r="S8597" s="24" t="str" cm="1">
        <f t="array" ref="S8597">IFERROR(IF($B8597=S$1, ($A8597+$C8597) - MAX(IF($B$2:$B8596=$B8597, $A$2:$A8596+$C$2:$C8596)), "")*24*60, "")</f>
        <v/>
      </c>
    </row>
    <row r="8598" spans="1:19" x14ac:dyDescent="0.2">
      <c r="A8598" s="12">
        <f t="shared" ref="A8598:C8598" si="1420">A8597</f>
        <v>46032</v>
      </c>
      <c r="B8598" s="5" t="str">
        <f t="shared" si="1420"/>
        <v>Northern Cardinal</v>
      </c>
      <c r="C8598" s="6">
        <f t="shared" si="1420"/>
        <v>0.29166666666666669</v>
      </c>
      <c r="D8598" s="5"/>
      <c r="E8598" s="5"/>
      <c r="F8598" s="5" t="s">
        <v>9</v>
      </c>
      <c r="G8598" s="15" t="s">
        <v>8</v>
      </c>
      <c r="H8598" s="24">
        <f t="shared" si="1412"/>
        <v>0</v>
      </c>
      <c r="I8598" s="24" cm="1">
        <f t="array" ref="I8598">IFERROR(IF($B8598=I$1, ($A8598+$C8598) - MAX(IF($B$2:$B8597=$B8598, $A$2:$A8597+$C$2:$C8597)), "")*24*60, "")</f>
        <v>0</v>
      </c>
      <c r="J8598" s="24" t="str" cm="1">
        <f t="array" ref="J8598">IFERROR(IF($B8598=J$1, ($A8598+$C8598) - MAX(IF($B$2:$B8597=$B8598, $A$2:$A8597+$C$2:$C8597)), "")*24*60, "")</f>
        <v/>
      </c>
      <c r="K8598" s="24" t="str" cm="1">
        <f t="array" ref="K8598">IFERROR(IF($B8598=K$1, ($A8598+$C8598) - MAX(IF($B$2:$B8597=$B8598, $A$2:$A8597+$C$2:$C8597)), "")*24*60, "")</f>
        <v/>
      </c>
      <c r="L8598" s="24" t="str" cm="1">
        <f t="array" ref="L8598">IFERROR(IF($B8598=L$1, ($A8598+$C8598) - MAX(IF($B$2:$B8597=$B8598, $A$2:$A8597+$C$2:$C8597)), "")*24*60, "")</f>
        <v/>
      </c>
      <c r="M8598" s="24" t="str" cm="1">
        <f t="array" ref="M8598">IFERROR(IF($B8598=M$1, ($A8598+$C8598) - MAX(IF($B$2:$B8597=$B8598, $A$2:$A8597+$C$2:$C8597)), "")*24*60, "")</f>
        <v/>
      </c>
      <c r="N8598" s="24" t="str" cm="1">
        <f t="array" ref="N8598">IFERROR(IF($B8598=N$1, ($A8598+$C8598) - MAX(IF($B$2:$B8597=$B8598, $A$2:$A8597+$C$2:$C8597)), "")*24*60, "")</f>
        <v/>
      </c>
      <c r="O8598" s="24" t="str" cm="1">
        <f t="array" ref="O8598">IFERROR(IF($B8598=O$1, ($A8598+$C8598) - MAX(IF($B$2:$B8597=$B8598, $A$2:$A8597+$C$2:$C8597)), "")*24*60, "")</f>
        <v/>
      </c>
      <c r="P8598" s="24" t="str" cm="1">
        <f t="array" ref="P8598">IFERROR(IF($B8598=P$1, ($A8598+$C8598) - MAX(IF($B$2:$B8597=$B8598, $A$2:$A8597+$C$2:$C8597)), "")*24*60, "")</f>
        <v/>
      </c>
      <c r="Q8598" s="24" t="str" cm="1">
        <f t="array" ref="Q8598">IFERROR(IF($B8598=Q$1, ($A8598+$C8598) - MAX(IF($B$2:$B8597=$B8598, $A$2:$A8597+$C$2:$C8597)), "")*24*60, "")</f>
        <v/>
      </c>
      <c r="R8598" s="24" t="str" cm="1">
        <f t="array" ref="R8598">IFERROR(IF($B8598=R$1, ($A8598+$C8598) - MAX(IF($B$2:$B8597=$B8598, $A$2:$A8597+$C$2:$C8597)), "")*24*60, "")</f>
        <v/>
      </c>
      <c r="S8598" s="24" t="str" cm="1">
        <f t="array" ref="S8598">IFERROR(IF($B8598=S$1, ($A8598+$C8598) - MAX(IF($B$2:$B8597=$B8598, $A$2:$A8597+$C$2:$C8597)), "")*24*60, "")</f>
        <v/>
      </c>
    </row>
    <row r="8599" spans="1:19" x14ac:dyDescent="0.2">
      <c r="A8599" s="12">
        <f t="shared" ref="A8599:C8599" si="1421">A8598</f>
        <v>46032</v>
      </c>
      <c r="B8599" s="5" t="str">
        <f t="shared" si="1421"/>
        <v>Northern Cardinal</v>
      </c>
      <c r="C8599" s="6">
        <f t="shared" si="1421"/>
        <v>0.29166666666666669</v>
      </c>
      <c r="D8599" s="5"/>
      <c r="E8599" s="5"/>
      <c r="F8599" s="5" t="s">
        <v>9</v>
      </c>
      <c r="G8599" s="15" t="s">
        <v>8</v>
      </c>
      <c r="H8599" s="24">
        <f t="shared" si="1412"/>
        <v>0</v>
      </c>
      <c r="I8599" s="24" cm="1">
        <f t="array" ref="I8599">IFERROR(IF($B8599=I$1, ($A8599+$C8599) - MAX(IF($B$2:$B8598=$B8599, $A$2:$A8598+$C$2:$C8598)), "")*24*60, "")</f>
        <v>0</v>
      </c>
      <c r="J8599" s="24" t="str" cm="1">
        <f t="array" ref="J8599">IFERROR(IF($B8599=J$1, ($A8599+$C8599) - MAX(IF($B$2:$B8598=$B8599, $A$2:$A8598+$C$2:$C8598)), "")*24*60, "")</f>
        <v/>
      </c>
      <c r="K8599" s="24" t="str" cm="1">
        <f t="array" ref="K8599">IFERROR(IF($B8599=K$1, ($A8599+$C8599) - MAX(IF($B$2:$B8598=$B8599, $A$2:$A8598+$C$2:$C8598)), "")*24*60, "")</f>
        <v/>
      </c>
      <c r="L8599" s="24" t="str" cm="1">
        <f t="array" ref="L8599">IFERROR(IF($B8599=L$1, ($A8599+$C8599) - MAX(IF($B$2:$B8598=$B8599, $A$2:$A8598+$C$2:$C8598)), "")*24*60, "")</f>
        <v/>
      </c>
      <c r="M8599" s="24" t="str" cm="1">
        <f t="array" ref="M8599">IFERROR(IF($B8599=M$1, ($A8599+$C8599) - MAX(IF($B$2:$B8598=$B8599, $A$2:$A8598+$C$2:$C8598)), "")*24*60, "")</f>
        <v/>
      </c>
      <c r="N8599" s="24" t="str" cm="1">
        <f t="array" ref="N8599">IFERROR(IF($B8599=N$1, ($A8599+$C8599) - MAX(IF($B$2:$B8598=$B8599, $A$2:$A8598+$C$2:$C8598)), "")*24*60, "")</f>
        <v/>
      </c>
      <c r="O8599" s="24" t="str" cm="1">
        <f t="array" ref="O8599">IFERROR(IF($B8599=O$1, ($A8599+$C8599) - MAX(IF($B$2:$B8598=$B8599, $A$2:$A8598+$C$2:$C8598)), "")*24*60, "")</f>
        <v/>
      </c>
      <c r="P8599" s="24" t="str" cm="1">
        <f t="array" ref="P8599">IFERROR(IF($B8599=P$1, ($A8599+$C8599) - MAX(IF($B$2:$B8598=$B8599, $A$2:$A8598+$C$2:$C8598)), "")*24*60, "")</f>
        <v/>
      </c>
      <c r="Q8599" s="24" t="str" cm="1">
        <f t="array" ref="Q8599">IFERROR(IF($B8599=Q$1, ($A8599+$C8599) - MAX(IF($B$2:$B8598=$B8599, $A$2:$A8598+$C$2:$C8598)), "")*24*60, "")</f>
        <v/>
      </c>
      <c r="R8599" s="24" t="str" cm="1">
        <f t="array" ref="R8599">IFERROR(IF($B8599=R$1, ($A8599+$C8599) - MAX(IF($B$2:$B8598=$B8599, $A$2:$A8598+$C$2:$C8598)), "")*24*60, "")</f>
        <v/>
      </c>
      <c r="S8599" s="24" t="str" cm="1">
        <f t="array" ref="S8599">IFERROR(IF($B8599=S$1, ($A8599+$C8599) - MAX(IF($B$2:$B8598=$B8599, $A$2:$A8598+$C$2:$C8598)), "")*24*60, "")</f>
        <v/>
      </c>
    </row>
    <row r="8600" spans="1:19" x14ac:dyDescent="0.2">
      <c r="A8600" s="12">
        <f t="shared" ref="A8600:C8600" si="1422">A8599</f>
        <v>46032</v>
      </c>
      <c r="B8600" s="5" t="str">
        <f t="shared" si="1422"/>
        <v>Northern Cardinal</v>
      </c>
      <c r="C8600" s="6">
        <f t="shared" si="1422"/>
        <v>0.29166666666666669</v>
      </c>
      <c r="D8600" s="5"/>
      <c r="E8600" s="5"/>
      <c r="F8600" s="5" t="s">
        <v>9</v>
      </c>
      <c r="G8600" s="15" t="s">
        <v>8</v>
      </c>
      <c r="H8600" s="24">
        <f t="shared" si="1412"/>
        <v>0</v>
      </c>
      <c r="I8600" s="24" cm="1">
        <f t="array" ref="I8600">IFERROR(IF($B8600=I$1, ($A8600+$C8600) - MAX(IF($B$2:$B8599=$B8600, $A$2:$A8599+$C$2:$C8599)), "")*24*60, "")</f>
        <v>0</v>
      </c>
      <c r="J8600" s="24" t="str" cm="1">
        <f t="array" ref="J8600">IFERROR(IF($B8600=J$1, ($A8600+$C8600) - MAX(IF($B$2:$B8599=$B8600, $A$2:$A8599+$C$2:$C8599)), "")*24*60, "")</f>
        <v/>
      </c>
      <c r="K8600" s="24" t="str" cm="1">
        <f t="array" ref="K8600">IFERROR(IF($B8600=K$1, ($A8600+$C8600) - MAX(IF($B$2:$B8599=$B8600, $A$2:$A8599+$C$2:$C8599)), "")*24*60, "")</f>
        <v/>
      </c>
      <c r="L8600" s="24" t="str" cm="1">
        <f t="array" ref="L8600">IFERROR(IF($B8600=L$1, ($A8600+$C8600) - MAX(IF($B$2:$B8599=$B8600, $A$2:$A8599+$C$2:$C8599)), "")*24*60, "")</f>
        <v/>
      </c>
      <c r="M8600" s="24" t="str" cm="1">
        <f t="array" ref="M8600">IFERROR(IF($B8600=M$1, ($A8600+$C8600) - MAX(IF($B$2:$B8599=$B8600, $A$2:$A8599+$C$2:$C8599)), "")*24*60, "")</f>
        <v/>
      </c>
      <c r="N8600" s="24" t="str" cm="1">
        <f t="array" ref="N8600">IFERROR(IF($B8600=N$1, ($A8600+$C8600) - MAX(IF($B$2:$B8599=$B8600, $A$2:$A8599+$C$2:$C8599)), "")*24*60, "")</f>
        <v/>
      </c>
      <c r="O8600" s="24" t="str" cm="1">
        <f t="array" ref="O8600">IFERROR(IF($B8600=O$1, ($A8600+$C8600) - MAX(IF($B$2:$B8599=$B8600, $A$2:$A8599+$C$2:$C8599)), "")*24*60, "")</f>
        <v/>
      </c>
      <c r="P8600" s="24" t="str" cm="1">
        <f t="array" ref="P8600">IFERROR(IF($B8600=P$1, ($A8600+$C8600) - MAX(IF($B$2:$B8599=$B8600, $A$2:$A8599+$C$2:$C8599)), "")*24*60, "")</f>
        <v/>
      </c>
      <c r="Q8600" s="24" t="str" cm="1">
        <f t="array" ref="Q8600">IFERROR(IF($B8600=Q$1, ($A8600+$C8600) - MAX(IF($B$2:$B8599=$B8600, $A$2:$A8599+$C$2:$C8599)), "")*24*60, "")</f>
        <v/>
      </c>
      <c r="R8600" s="24" t="str" cm="1">
        <f t="array" ref="R8600">IFERROR(IF($B8600=R$1, ($A8600+$C8600) - MAX(IF($B$2:$B8599=$B8600, $A$2:$A8599+$C$2:$C8599)), "")*24*60, "")</f>
        <v/>
      </c>
      <c r="S8600" s="24" t="str" cm="1">
        <f t="array" ref="S8600">IFERROR(IF($B8600=S$1, ($A8600+$C8600) - MAX(IF($B$2:$B8599=$B8600, $A$2:$A8599+$C$2:$C8599)),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30"/>
  <sheetViews>
    <sheetView zoomScale="120" zoomScaleNormal="120" workbookViewId="0">
      <pane ySplit="1" topLeftCell="A317" activePane="bottomLeft" state="frozen"/>
      <selection pane="bottomLeft" activeCell="A330" sqref="A330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  <row r="328" spans="1:5" x14ac:dyDescent="0.25">
      <c r="A328" s="10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10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26">
        <v>46031</v>
      </c>
      <c r="B330" s="27" t="s">
        <v>16</v>
      </c>
      <c r="C330" s="27">
        <f>COUNTIFS(RawData!$B:$B, $B330, RawData!$A:$A, DailySummaries!$A330)</f>
        <v>8</v>
      </c>
      <c r="D330" s="27">
        <f>SUMIFS(RawData!$D:$D,RawData!$B:$B,$B330,RawData!$A:$A,DailySummaries!$A330)+1</f>
        <v>47</v>
      </c>
      <c r="E330" s="27">
        <f>SUMIFS(RawData!$E:$E,RawData!$B:$B,$B330,RawData!$A:$A,DailySummaries!$A330)+1</f>
        <v>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2026-01-10T10:32:31Z</dcterms:modified>
</cp:coreProperties>
</file>
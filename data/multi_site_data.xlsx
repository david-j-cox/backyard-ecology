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30F2E449-D758-1641-A7FA-484E68A9A0D9}" xr6:coauthVersionLast="47" xr6:coauthVersionMax="47" xr10:uidLastSave="{00000000-0000-0000-0000-000000000000}"/>
  <bookViews>
    <workbookView xWindow="0" yWindow="600" windowWidth="33600" windowHeight="204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025" i="1" l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L7977" i="1" l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A8861" i="1" l="1"/>
  <c r="Q7983" i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A8862" i="1" l="1"/>
  <c r="B8860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C8861" i="1" l="1"/>
  <c r="H8860" i="1"/>
  <c r="J8860" i="1" a="1"/>
  <c r="J8860" i="1" s="1"/>
  <c r="N8860" i="1" a="1"/>
  <c r="N8860" i="1" s="1"/>
  <c r="R8860" i="1" a="1"/>
  <c r="R8860" i="1" s="1"/>
  <c r="P8860" i="1" a="1"/>
  <c r="P8860" i="1" s="1"/>
  <c r="B8861" i="1"/>
  <c r="L8860" i="1" a="1"/>
  <c r="L8860" i="1" s="1"/>
  <c r="Q8860" i="1" a="1"/>
  <c r="Q8860" i="1" s="1"/>
  <c r="M8860" i="1" a="1"/>
  <c r="M8860" i="1" s="1"/>
  <c r="S8860" i="1" a="1"/>
  <c r="S8860" i="1" s="1"/>
  <c r="K8860" i="1" a="1"/>
  <c r="K8860" i="1" s="1"/>
  <c r="O8860" i="1" a="1"/>
  <c r="O8860" i="1" s="1"/>
  <c r="I8860" i="1" a="1"/>
  <c r="I8860" i="1" s="1"/>
  <c r="A8863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C8862" i="1" l="1"/>
  <c r="H8861" i="1"/>
  <c r="A8864" i="1"/>
  <c r="I8861" i="1" a="1"/>
  <c r="I8861" i="1" s="1"/>
  <c r="M8861" i="1" a="1"/>
  <c r="M8861" i="1" s="1"/>
  <c r="Q8861" i="1" a="1"/>
  <c r="Q8861" i="1" s="1"/>
  <c r="L8861" i="1" a="1"/>
  <c r="L8861" i="1" s="1"/>
  <c r="R8861" i="1" a="1"/>
  <c r="R8861" i="1" s="1"/>
  <c r="N8861" i="1" a="1"/>
  <c r="N8861" i="1" s="1"/>
  <c r="J8861" i="1" a="1"/>
  <c r="J8861" i="1" s="1"/>
  <c r="S8861" i="1" a="1"/>
  <c r="S8861" i="1" s="1"/>
  <c r="B8862" i="1"/>
  <c r="O8861" i="1" a="1"/>
  <c r="O8861" i="1" s="1"/>
  <c r="P8861" i="1" a="1"/>
  <c r="P8861" i="1" s="1"/>
  <c r="K8861" i="1" a="1"/>
  <c r="K8861" i="1" s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E342" i="2" l="1"/>
  <c r="C8863" i="1"/>
  <c r="H8862" i="1"/>
  <c r="L8862" i="1" a="1"/>
  <c r="L8862" i="1" s="1"/>
  <c r="P8862" i="1" a="1"/>
  <c r="P8862" i="1" s="1"/>
  <c r="M8862" i="1" a="1"/>
  <c r="M8862" i="1" s="1"/>
  <c r="I8862" i="1" a="1"/>
  <c r="I8862" i="1" s="1"/>
  <c r="R8862" i="1" a="1"/>
  <c r="R8862" i="1" s="1"/>
  <c r="N8862" i="1" a="1"/>
  <c r="N8862" i="1" s="1"/>
  <c r="J8862" i="1" a="1"/>
  <c r="J8862" i="1" s="1"/>
  <c r="S8862" i="1" a="1"/>
  <c r="S8862" i="1" s="1"/>
  <c r="O8862" i="1" a="1"/>
  <c r="O8862" i="1" s="1"/>
  <c r="B8863" i="1"/>
  <c r="E343" i="2" s="1"/>
  <c r="K8862" i="1" a="1"/>
  <c r="K8862" i="1" s="1"/>
  <c r="Q8862" i="1" a="1"/>
  <c r="Q8862" i="1" s="1"/>
  <c r="A8865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C343" i="2" l="1"/>
  <c r="D343" i="2"/>
  <c r="C8864" i="1"/>
  <c r="H8863" i="1"/>
  <c r="K8863" i="1" a="1"/>
  <c r="K8863" i="1" s="1"/>
  <c r="O8863" i="1" a="1"/>
  <c r="O8863" i="1" s="1"/>
  <c r="S8863" i="1" a="1"/>
  <c r="S8863" i="1" s="1"/>
  <c r="I8863" i="1" a="1"/>
  <c r="I8863" i="1" s="1"/>
  <c r="R8863" i="1" a="1"/>
  <c r="R8863" i="1" s="1"/>
  <c r="N8863" i="1" a="1"/>
  <c r="N8863" i="1" s="1"/>
  <c r="J8863" i="1" a="1"/>
  <c r="J8863" i="1" s="1"/>
  <c r="Q8863" i="1" a="1"/>
  <c r="Q8863" i="1" s="1"/>
  <c r="B8864" i="1"/>
  <c r="L8863" i="1" a="1"/>
  <c r="L8863" i="1" s="1"/>
  <c r="M8863" i="1" a="1"/>
  <c r="M8863" i="1" s="1"/>
  <c r="P8863" i="1" a="1"/>
  <c r="P8863" i="1" s="1"/>
  <c r="A8866" i="1"/>
  <c r="A7990" i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D342" i="2" l="1"/>
  <c r="C342" i="2"/>
  <c r="C8865" i="1"/>
  <c r="H8864" i="1"/>
  <c r="A8867" i="1"/>
  <c r="J8864" i="1" a="1"/>
  <c r="J8864" i="1" s="1"/>
  <c r="N8864" i="1" a="1"/>
  <c r="N8864" i="1" s="1"/>
  <c r="R8864" i="1" a="1"/>
  <c r="R8864" i="1" s="1"/>
  <c r="S8864" i="1" a="1"/>
  <c r="S8864" i="1" s="1"/>
  <c r="O8864" i="1" a="1"/>
  <c r="O8864" i="1" s="1"/>
  <c r="K8864" i="1" a="1"/>
  <c r="K8864" i="1" s="1"/>
  <c r="P8864" i="1" a="1"/>
  <c r="P8864" i="1" s="1"/>
  <c r="B8865" i="1"/>
  <c r="M8864" i="1" a="1"/>
  <c r="M8864" i="1" s="1"/>
  <c r="Q8864" i="1" a="1"/>
  <c r="Q8864" i="1" s="1"/>
  <c r="I8864" i="1" a="1"/>
  <c r="I8864" i="1" s="1"/>
  <c r="L8864" i="1" a="1"/>
  <c r="L8864" i="1" s="1"/>
  <c r="R7989" i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C8866" i="1" l="1"/>
  <c r="H8865" i="1"/>
  <c r="I8865" i="1" a="1"/>
  <c r="I8865" i="1" s="1"/>
  <c r="M8865" i="1" a="1"/>
  <c r="M8865" i="1" s="1"/>
  <c r="Q8865" i="1" a="1"/>
  <c r="Q8865" i="1" s="1"/>
  <c r="O8865" i="1" a="1"/>
  <c r="O8865" i="1" s="1"/>
  <c r="K8865" i="1" a="1"/>
  <c r="K8865" i="1" s="1"/>
  <c r="P8865" i="1" a="1"/>
  <c r="P8865" i="1" s="1"/>
  <c r="B8866" i="1"/>
  <c r="L8865" i="1" a="1"/>
  <c r="L8865" i="1" s="1"/>
  <c r="S8865" i="1" a="1"/>
  <c r="S8865" i="1" s="1"/>
  <c r="J8865" i="1" a="1"/>
  <c r="J8865" i="1" s="1"/>
  <c r="R8865" i="1" a="1"/>
  <c r="R8865" i="1" s="1"/>
  <c r="N8865" i="1" a="1"/>
  <c r="N8865" i="1" s="1"/>
  <c r="A8868" i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C8867" i="1" l="1"/>
  <c r="H8866" i="1"/>
  <c r="L8866" i="1" a="1"/>
  <c r="L8866" i="1" s="1"/>
  <c r="P8866" i="1" a="1"/>
  <c r="P8866" i="1" s="1"/>
  <c r="K8866" i="1" a="1"/>
  <c r="K8866" i="1" s="1"/>
  <c r="B8867" i="1"/>
  <c r="Q8866" i="1" a="1"/>
  <c r="Q8866" i="1" s="1"/>
  <c r="M8866" i="1" a="1"/>
  <c r="M8866" i="1" s="1"/>
  <c r="R8866" i="1" a="1"/>
  <c r="R8866" i="1" s="1"/>
  <c r="I8866" i="1" a="1"/>
  <c r="I8866" i="1" s="1"/>
  <c r="S8866" i="1" a="1"/>
  <c r="S8866" i="1" s="1"/>
  <c r="J8866" i="1" a="1"/>
  <c r="J8866" i="1" s="1"/>
  <c r="N8866" i="1" a="1"/>
  <c r="N8866" i="1" s="1"/>
  <c r="O8866" i="1" a="1"/>
  <c r="O8866" i="1" s="1"/>
  <c r="A8869" i="1"/>
  <c r="B7992" i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C8868" i="1" l="1"/>
  <c r="H8867" i="1"/>
  <c r="A8870" i="1"/>
  <c r="K8867" i="1" a="1"/>
  <c r="K8867" i="1" s="1"/>
  <c r="O8867" i="1" a="1"/>
  <c r="O8867" i="1" s="1"/>
  <c r="S8867" i="1" a="1"/>
  <c r="S8867" i="1" s="1"/>
  <c r="L8867" i="1" a="1"/>
  <c r="L8867" i="1" s="1"/>
  <c r="Q8867" i="1" a="1"/>
  <c r="Q8867" i="1" s="1"/>
  <c r="M8867" i="1" a="1"/>
  <c r="M8867" i="1" s="1"/>
  <c r="I8867" i="1" a="1"/>
  <c r="I8867" i="1" s="1"/>
  <c r="R8867" i="1" a="1"/>
  <c r="R8867" i="1" s="1"/>
  <c r="B8868" i="1"/>
  <c r="J8867" i="1" a="1"/>
  <c r="J8867" i="1" s="1"/>
  <c r="N8867" i="1" a="1"/>
  <c r="N8867" i="1" s="1"/>
  <c r="P8867" i="1" a="1"/>
  <c r="P8867" i="1" s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C8869" i="1" l="1"/>
  <c r="H8868" i="1"/>
  <c r="J8868" i="1" a="1"/>
  <c r="J8868" i="1" s="1"/>
  <c r="N8868" i="1" a="1"/>
  <c r="N8868" i="1" s="1"/>
  <c r="R8868" i="1" a="1"/>
  <c r="R8868" i="1" s="1"/>
  <c r="Q8868" i="1" a="1"/>
  <c r="Q8868" i="1" s="1"/>
  <c r="M8868" i="1" a="1"/>
  <c r="M8868" i="1" s="1"/>
  <c r="I8868" i="1" a="1"/>
  <c r="I8868" i="1" s="1"/>
  <c r="S8868" i="1" a="1"/>
  <c r="S8868" i="1" s="1"/>
  <c r="P8868" i="1" a="1"/>
  <c r="P8868" i="1" s="1"/>
  <c r="L8868" i="1" a="1"/>
  <c r="L8868" i="1" s="1"/>
  <c r="B8869" i="1"/>
  <c r="K8868" i="1" a="1"/>
  <c r="K8868" i="1" s="1"/>
  <c r="O8868" i="1" a="1"/>
  <c r="O8868" i="1" s="1"/>
  <c r="A8871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C8870" i="1" l="1"/>
  <c r="H8869" i="1"/>
  <c r="A8872" i="1"/>
  <c r="I8869" i="1" a="1"/>
  <c r="I8869" i="1" s="1"/>
  <c r="M8869" i="1" a="1"/>
  <c r="M8869" i="1" s="1"/>
  <c r="Q8869" i="1" a="1"/>
  <c r="Q8869" i="1" s="1"/>
  <c r="R8869" i="1" a="1"/>
  <c r="R8869" i="1" s="1"/>
  <c r="N8869" i="1" a="1"/>
  <c r="N8869" i="1" s="1"/>
  <c r="J8869" i="1" a="1"/>
  <c r="J8869" i="1" s="1"/>
  <c r="S8869" i="1" a="1"/>
  <c r="S8869" i="1" s="1"/>
  <c r="O8869" i="1" a="1"/>
  <c r="O8869" i="1" s="1"/>
  <c r="L8869" i="1" a="1"/>
  <c r="L8869" i="1" s="1"/>
  <c r="K8869" i="1" a="1"/>
  <c r="K8869" i="1" s="1"/>
  <c r="B8870" i="1"/>
  <c r="P8869" i="1" a="1"/>
  <c r="P8869" i="1" s="1"/>
  <c r="R7994" i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C8871" i="1" l="1"/>
  <c r="H8870" i="1"/>
  <c r="L8870" i="1" a="1"/>
  <c r="L8870" i="1" s="1"/>
  <c r="P8870" i="1" a="1"/>
  <c r="P8870" i="1" s="1"/>
  <c r="N8870" i="1" a="1"/>
  <c r="N8870" i="1" s="1"/>
  <c r="J8870" i="1" a="1"/>
  <c r="J8870" i="1" s="1"/>
  <c r="S8870" i="1" a="1"/>
  <c r="S8870" i="1" s="1"/>
  <c r="O8870" i="1" a="1"/>
  <c r="O8870" i="1" s="1"/>
  <c r="K8870" i="1" a="1"/>
  <c r="K8870" i="1" s="1"/>
  <c r="B8871" i="1"/>
  <c r="Q8870" i="1" a="1"/>
  <c r="Q8870" i="1" s="1"/>
  <c r="R8870" i="1" a="1"/>
  <c r="R8870" i="1" s="1"/>
  <c r="I8870" i="1" a="1"/>
  <c r="I8870" i="1" s="1"/>
  <c r="M8870" i="1" a="1"/>
  <c r="M8870" i="1" s="1"/>
  <c r="A8873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C8872" i="1" l="1"/>
  <c r="H8871" i="1"/>
  <c r="K8871" i="1" a="1"/>
  <c r="K8871" i="1" s="1"/>
  <c r="O8871" i="1" a="1"/>
  <c r="O8871" i="1" s="1"/>
  <c r="S8871" i="1" a="1"/>
  <c r="S8871" i="1" s="1"/>
  <c r="J8871" i="1" a="1"/>
  <c r="J8871" i="1" s="1"/>
  <c r="P8871" i="1" a="1"/>
  <c r="P8871" i="1" s="1"/>
  <c r="B8872" i="1"/>
  <c r="L8871" i="1" a="1"/>
  <c r="L8871" i="1" s="1"/>
  <c r="N8871" i="1" a="1"/>
  <c r="N8871" i="1" s="1"/>
  <c r="I8871" i="1" a="1"/>
  <c r="I8871" i="1" s="1"/>
  <c r="M8871" i="1" a="1"/>
  <c r="M8871" i="1" s="1"/>
  <c r="Q8871" i="1" a="1"/>
  <c r="Q8871" i="1" s="1"/>
  <c r="R8871" i="1" a="1"/>
  <c r="R8871" i="1" s="1"/>
  <c r="A8874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C8873" i="1" l="1"/>
  <c r="H8872" i="1"/>
  <c r="J8872" i="1" a="1"/>
  <c r="J8872" i="1" s="1"/>
  <c r="N8872" i="1" a="1"/>
  <c r="N8872" i="1" s="1"/>
  <c r="R8872" i="1" a="1"/>
  <c r="R8872" i="1" s="1"/>
  <c r="K8872" i="1" a="1"/>
  <c r="K8872" i="1" s="1"/>
  <c r="P8872" i="1" a="1"/>
  <c r="P8872" i="1" s="1"/>
  <c r="B8873" i="1"/>
  <c r="L8872" i="1" a="1"/>
  <c r="L8872" i="1" s="1"/>
  <c r="O8872" i="1" a="1"/>
  <c r="O8872" i="1" s="1"/>
  <c r="S8872" i="1" a="1"/>
  <c r="S8872" i="1" s="1"/>
  <c r="I8872" i="1" a="1"/>
  <c r="I8872" i="1" s="1"/>
  <c r="M8872" i="1" a="1"/>
  <c r="M8872" i="1" s="1"/>
  <c r="Q8872" i="1" a="1"/>
  <c r="Q8872" i="1" s="1"/>
  <c r="A8875" i="1"/>
  <c r="B7998" i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C8874" i="1" l="1"/>
  <c r="H8873" i="1"/>
  <c r="I8873" i="1" a="1"/>
  <c r="I8873" i="1" s="1"/>
  <c r="M8873" i="1" a="1"/>
  <c r="M8873" i="1" s="1"/>
  <c r="Q8873" i="1" a="1"/>
  <c r="Q8873" i="1" s="1"/>
  <c r="P8873" i="1" a="1"/>
  <c r="P8873" i="1" s="1"/>
  <c r="B8874" i="1"/>
  <c r="L8873" i="1" a="1"/>
  <c r="L8873" i="1" s="1"/>
  <c r="J8873" i="1" a="1"/>
  <c r="J8873" i="1" s="1"/>
  <c r="N8873" i="1" a="1"/>
  <c r="N8873" i="1" s="1"/>
  <c r="R8873" i="1" a="1"/>
  <c r="R8873" i="1" s="1"/>
  <c r="S8873" i="1" a="1"/>
  <c r="S8873" i="1" s="1"/>
  <c r="K8873" i="1" a="1"/>
  <c r="K8873" i="1" s="1"/>
  <c r="O8873" i="1" a="1"/>
  <c r="O8873" i="1" s="1"/>
  <c r="A8876" i="1"/>
  <c r="A8000" i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C8875" i="1" l="1"/>
  <c r="H8874" i="1"/>
  <c r="L8874" i="1" a="1"/>
  <c r="L8874" i="1" s="1"/>
  <c r="P8874" i="1" a="1"/>
  <c r="P8874" i="1" s="1"/>
  <c r="Q8874" i="1" a="1"/>
  <c r="Q8874" i="1" s="1"/>
  <c r="I8874" i="1" a="1"/>
  <c r="I8874" i="1" s="1"/>
  <c r="R8874" i="1" a="1"/>
  <c r="R8874" i="1" s="1"/>
  <c r="J8874" i="1" a="1"/>
  <c r="J8874" i="1" s="1"/>
  <c r="O8874" i="1" a="1"/>
  <c r="O8874" i="1" s="1"/>
  <c r="M8874" i="1" a="1"/>
  <c r="M8874" i="1" s="1"/>
  <c r="N8874" i="1" a="1"/>
  <c r="N8874" i="1" s="1"/>
  <c r="S8874" i="1" a="1"/>
  <c r="S8874" i="1" s="1"/>
  <c r="B8875" i="1"/>
  <c r="K8874" i="1" a="1"/>
  <c r="K8874" i="1" s="1"/>
  <c r="A8877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C8876" i="1" l="1"/>
  <c r="H8875" i="1"/>
  <c r="A8878" i="1"/>
  <c r="K8875" i="1" a="1"/>
  <c r="K8875" i="1" s="1"/>
  <c r="O8875" i="1" a="1"/>
  <c r="O8875" i="1" s="1"/>
  <c r="S8875" i="1" a="1"/>
  <c r="S8875" i="1" s="1"/>
  <c r="M8875" i="1" a="1"/>
  <c r="M8875" i="1" s="1"/>
  <c r="N8875" i="1" a="1"/>
  <c r="N8875" i="1" s="1"/>
  <c r="I8875" i="1" a="1"/>
  <c r="I8875" i="1" s="1"/>
  <c r="P8875" i="1" a="1"/>
  <c r="P8875" i="1" s="1"/>
  <c r="J8875" i="1" a="1"/>
  <c r="J8875" i="1" s="1"/>
  <c r="L8875" i="1" a="1"/>
  <c r="L8875" i="1" s="1"/>
  <c r="B8876" i="1"/>
  <c r="R8875" i="1" a="1"/>
  <c r="R8875" i="1" s="1"/>
  <c r="Q8875" i="1" a="1"/>
  <c r="Q8875" i="1" s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C8877" i="1" l="1"/>
  <c r="H8876" i="1"/>
  <c r="J8876" i="1" a="1"/>
  <c r="J8876" i="1" s="1"/>
  <c r="N8876" i="1" a="1"/>
  <c r="N8876" i="1" s="1"/>
  <c r="R8876" i="1" a="1"/>
  <c r="R8876" i="1" s="1"/>
  <c r="I8876" i="1" a="1"/>
  <c r="I8876" i="1" s="1"/>
  <c r="O8876" i="1" a="1"/>
  <c r="O8876" i="1" s="1"/>
  <c r="B8877" i="1"/>
  <c r="K8876" i="1" a="1"/>
  <c r="K8876" i="1" s="1"/>
  <c r="Q8876" i="1" a="1"/>
  <c r="Q8876" i="1" s="1"/>
  <c r="P8876" i="1" a="1"/>
  <c r="P8876" i="1" s="1"/>
  <c r="S8876" i="1" a="1"/>
  <c r="S8876" i="1" s="1"/>
  <c r="M8876" i="1" a="1"/>
  <c r="M8876" i="1" s="1"/>
  <c r="L8876" i="1" a="1"/>
  <c r="L8876" i="1" s="1"/>
  <c r="A8879" i="1"/>
  <c r="O8001" i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C8878" i="1" l="1"/>
  <c r="H8877" i="1"/>
  <c r="A8880" i="1"/>
  <c r="I8877" i="1" a="1"/>
  <c r="I8877" i="1" s="1"/>
  <c r="J8877" i="1" a="1"/>
  <c r="J8877" i="1" s="1"/>
  <c r="N8877" i="1" a="1"/>
  <c r="N8877" i="1" s="1"/>
  <c r="R8877" i="1" a="1"/>
  <c r="R8877" i="1" s="1"/>
  <c r="K8877" i="1" a="1"/>
  <c r="K8877" i="1" s="1"/>
  <c r="O8877" i="1" a="1"/>
  <c r="O8877" i="1" s="1"/>
  <c r="S8877" i="1" a="1"/>
  <c r="S8877" i="1" s="1"/>
  <c r="M8877" i="1" a="1"/>
  <c r="M8877" i="1" s="1"/>
  <c r="Q8877" i="1" a="1"/>
  <c r="Q8877" i="1" s="1"/>
  <c r="L8877" i="1" a="1"/>
  <c r="L8877" i="1" s="1"/>
  <c r="B8878" i="1"/>
  <c r="P8877" i="1" a="1"/>
  <c r="P8877" i="1" s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C8879" i="1" l="1"/>
  <c r="H8878" i="1"/>
  <c r="I8878" i="1" a="1"/>
  <c r="I8878" i="1" s="1"/>
  <c r="M8878" i="1" a="1"/>
  <c r="M8878" i="1" s="1"/>
  <c r="Q8878" i="1" a="1"/>
  <c r="Q8878" i="1" s="1"/>
  <c r="J8878" i="1" a="1"/>
  <c r="J8878" i="1" s="1"/>
  <c r="N8878" i="1" a="1"/>
  <c r="N8878" i="1" s="1"/>
  <c r="R8878" i="1" a="1"/>
  <c r="R8878" i="1" s="1"/>
  <c r="K8878" i="1" a="1"/>
  <c r="K8878" i="1" s="1"/>
  <c r="P8878" i="1" a="1"/>
  <c r="P8878" i="1" s="1"/>
  <c r="O8878" i="1" a="1"/>
  <c r="O8878" i="1" s="1"/>
  <c r="S8878" i="1" a="1"/>
  <c r="S8878" i="1" s="1"/>
  <c r="B8879" i="1"/>
  <c r="L8878" i="1" a="1"/>
  <c r="L8878" i="1" s="1"/>
  <c r="A8881" i="1"/>
  <c r="Q8003" i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C8880" i="1" l="1"/>
  <c r="H8879" i="1"/>
  <c r="A8882" i="1"/>
  <c r="L8879" i="1" a="1"/>
  <c r="L8879" i="1" s="1"/>
  <c r="P8879" i="1" a="1"/>
  <c r="P8879" i="1" s="1"/>
  <c r="I8879" i="1" a="1"/>
  <c r="I8879" i="1" s="1"/>
  <c r="M8879" i="1" a="1"/>
  <c r="M8879" i="1" s="1"/>
  <c r="Q8879" i="1" a="1"/>
  <c r="Q8879" i="1" s="1"/>
  <c r="N8879" i="1" a="1"/>
  <c r="N8879" i="1" s="1"/>
  <c r="S8879" i="1" a="1"/>
  <c r="S8879" i="1" s="1"/>
  <c r="O8879" i="1" a="1"/>
  <c r="O8879" i="1" s="1"/>
  <c r="J8879" i="1" a="1"/>
  <c r="J8879" i="1" s="1"/>
  <c r="R8879" i="1" a="1"/>
  <c r="R8879" i="1" s="1"/>
  <c r="K8879" i="1" a="1"/>
  <c r="K8879" i="1" s="1"/>
  <c r="B8880" i="1"/>
  <c r="B8005" i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C8881" i="1" l="1"/>
  <c r="H8880" i="1"/>
  <c r="K8880" i="1" a="1"/>
  <c r="K8880" i="1" s="1"/>
  <c r="O8880" i="1" a="1"/>
  <c r="O8880" i="1" s="1"/>
  <c r="S8880" i="1" a="1"/>
  <c r="S8880" i="1" s="1"/>
  <c r="L8880" i="1" a="1"/>
  <c r="L8880" i="1" s="1"/>
  <c r="P8880" i="1" a="1"/>
  <c r="P8880" i="1" s="1"/>
  <c r="Q8880" i="1" a="1"/>
  <c r="Q8880" i="1" s="1"/>
  <c r="N8880" i="1" a="1"/>
  <c r="N8880" i="1" s="1"/>
  <c r="I8880" i="1" a="1"/>
  <c r="I8880" i="1" s="1"/>
  <c r="B8881" i="1"/>
  <c r="M8880" i="1" a="1"/>
  <c r="M8880" i="1" s="1"/>
  <c r="J8880" i="1" a="1"/>
  <c r="J8880" i="1" s="1"/>
  <c r="R8880" i="1" a="1"/>
  <c r="R8880" i="1" s="1"/>
  <c r="A8883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C8882" i="1" l="1"/>
  <c r="H8881" i="1"/>
  <c r="J8881" i="1" a="1"/>
  <c r="J8881" i="1" s="1"/>
  <c r="N8881" i="1" a="1"/>
  <c r="N8881" i="1" s="1"/>
  <c r="R8881" i="1" a="1"/>
  <c r="R8881" i="1" s="1"/>
  <c r="M8881" i="1" a="1"/>
  <c r="M8881" i="1" s="1"/>
  <c r="L8881" i="1" a="1"/>
  <c r="L8881" i="1" s="1"/>
  <c r="Q8881" i="1" a="1"/>
  <c r="Q8881" i="1" s="1"/>
  <c r="O8881" i="1" a="1"/>
  <c r="O8881" i="1" s="1"/>
  <c r="I8881" i="1" a="1"/>
  <c r="I8881" i="1" s="1"/>
  <c r="P8881" i="1" a="1"/>
  <c r="P8881" i="1" s="1"/>
  <c r="K8881" i="1" a="1"/>
  <c r="K8881" i="1" s="1"/>
  <c r="S8881" i="1" a="1"/>
  <c r="S8881" i="1" s="1"/>
  <c r="B8882" i="1"/>
  <c r="A8884" i="1"/>
  <c r="B8007" i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C8883" i="1" l="1"/>
  <c r="H8882" i="1"/>
  <c r="A8885" i="1"/>
  <c r="I8882" i="1" a="1"/>
  <c r="I8882" i="1" s="1"/>
  <c r="M8882" i="1" a="1"/>
  <c r="M8882" i="1" s="1"/>
  <c r="Q8882" i="1" a="1"/>
  <c r="Q8882" i="1" s="1"/>
  <c r="N8882" i="1" a="1"/>
  <c r="N8882" i="1" s="1"/>
  <c r="J8882" i="1" a="1"/>
  <c r="J8882" i="1" s="1"/>
  <c r="O8882" i="1" a="1"/>
  <c r="O8882" i="1" s="1"/>
  <c r="B8883" i="1"/>
  <c r="P8882" i="1" a="1"/>
  <c r="P8882" i="1" s="1"/>
  <c r="K8882" i="1" a="1"/>
  <c r="K8882" i="1" s="1"/>
  <c r="R8882" i="1" a="1"/>
  <c r="R8882" i="1" s="1"/>
  <c r="L8882" i="1" a="1"/>
  <c r="L8882" i="1" s="1"/>
  <c r="S8882" i="1" a="1"/>
  <c r="S8882" i="1" s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C8884" i="1" l="1"/>
  <c r="H8883" i="1"/>
  <c r="L8883" i="1" a="1"/>
  <c r="L8883" i="1" s="1"/>
  <c r="P8883" i="1" a="1"/>
  <c r="P8883" i="1" s="1"/>
  <c r="J8883" i="1" a="1"/>
  <c r="J8883" i="1" s="1"/>
  <c r="S8883" i="1" a="1"/>
  <c r="S8883" i="1" s="1"/>
  <c r="M8883" i="1" a="1"/>
  <c r="M8883" i="1" s="1"/>
  <c r="R8883" i="1" a="1"/>
  <c r="R8883" i="1" s="1"/>
  <c r="Q8883" i="1" a="1"/>
  <c r="Q8883" i="1" s="1"/>
  <c r="K8883" i="1" a="1"/>
  <c r="K8883" i="1" s="1"/>
  <c r="B8884" i="1"/>
  <c r="I8883" i="1" a="1"/>
  <c r="I8883" i="1" s="1"/>
  <c r="N8883" i="1" a="1"/>
  <c r="N8883" i="1" s="1"/>
  <c r="O8883" i="1" a="1"/>
  <c r="O8883" i="1" s="1"/>
  <c r="A8886" i="1"/>
  <c r="S8008" i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C8885" i="1" l="1"/>
  <c r="H8884" i="1"/>
  <c r="A8887" i="1"/>
  <c r="K8884" i="1" a="1"/>
  <c r="K8884" i="1" s="1"/>
  <c r="O8884" i="1" a="1"/>
  <c r="O8884" i="1" s="1"/>
  <c r="S8884" i="1" a="1"/>
  <c r="S8884" i="1" s="1"/>
  <c r="B8885" i="1"/>
  <c r="J8884" i="1" a="1"/>
  <c r="J8884" i="1" s="1"/>
  <c r="P8884" i="1" a="1"/>
  <c r="P8884" i="1" s="1"/>
  <c r="L8884" i="1" a="1"/>
  <c r="L8884" i="1" s="1"/>
  <c r="R8884" i="1" a="1"/>
  <c r="R8884" i="1" s="1"/>
  <c r="M8884" i="1" a="1"/>
  <c r="M8884" i="1" s="1"/>
  <c r="N8884" i="1" a="1"/>
  <c r="N8884" i="1" s="1"/>
  <c r="Q8884" i="1" a="1"/>
  <c r="Q8884" i="1" s="1"/>
  <c r="I8884" i="1" a="1"/>
  <c r="I8884" i="1" s="1"/>
  <c r="R8009" i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C8886" i="1" l="1"/>
  <c r="H8885" i="1"/>
  <c r="J8885" i="1" a="1"/>
  <c r="J8885" i="1" s="1"/>
  <c r="N8885" i="1" a="1"/>
  <c r="N8885" i="1" s="1"/>
  <c r="R8885" i="1" a="1"/>
  <c r="R8885" i="1" s="1"/>
  <c r="P8885" i="1" a="1"/>
  <c r="P8885" i="1" s="1"/>
  <c r="B8886" i="1"/>
  <c r="M8885" i="1" a="1"/>
  <c r="M8885" i="1" s="1"/>
  <c r="K8885" i="1" a="1"/>
  <c r="K8885" i="1" s="1"/>
  <c r="S8885" i="1" a="1"/>
  <c r="S8885" i="1" s="1"/>
  <c r="L8885" i="1" a="1"/>
  <c r="L8885" i="1" s="1"/>
  <c r="O8885" i="1" a="1"/>
  <c r="O8885" i="1" s="1"/>
  <c r="Q8885" i="1" a="1"/>
  <c r="Q8885" i="1" s="1"/>
  <c r="I8885" i="1" a="1"/>
  <c r="I8885" i="1" s="1"/>
  <c r="A8888" i="1"/>
  <c r="R8010" i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C8887" i="1" l="1"/>
  <c r="H8886" i="1"/>
  <c r="A8889" i="1"/>
  <c r="I8886" i="1" a="1"/>
  <c r="I8886" i="1" s="1"/>
  <c r="M8886" i="1" a="1"/>
  <c r="M8886" i="1" s="1"/>
  <c r="Q8886" i="1" a="1"/>
  <c r="Q8886" i="1" s="1"/>
  <c r="L8886" i="1" a="1"/>
  <c r="L8886" i="1" s="1"/>
  <c r="J8886" i="1" a="1"/>
  <c r="J8886" i="1" s="1"/>
  <c r="O8886" i="1" a="1"/>
  <c r="O8886" i="1" s="1"/>
  <c r="B8887" i="1"/>
  <c r="S8886" i="1" a="1"/>
  <c r="S8886" i="1" s="1"/>
  <c r="N8886" i="1" a="1"/>
  <c r="N8886" i="1" s="1"/>
  <c r="P8886" i="1" a="1"/>
  <c r="P8886" i="1" s="1"/>
  <c r="K8886" i="1" a="1"/>
  <c r="K8886" i="1" s="1"/>
  <c r="R8886" i="1" a="1"/>
  <c r="R8886" i="1" s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C8888" i="1" l="1"/>
  <c r="H8887" i="1"/>
  <c r="A8890" i="1"/>
  <c r="L8887" i="1" a="1"/>
  <c r="L8887" i="1" s="1"/>
  <c r="P8887" i="1" a="1"/>
  <c r="P8887" i="1" s="1"/>
  <c r="M8887" i="1" a="1"/>
  <c r="M8887" i="1" s="1"/>
  <c r="R8887" i="1" a="1"/>
  <c r="R8887" i="1" s="1"/>
  <c r="N8887" i="1" a="1"/>
  <c r="N8887" i="1" s="1"/>
  <c r="B8888" i="1"/>
  <c r="I8887" i="1" a="1"/>
  <c r="I8887" i="1" s="1"/>
  <c r="O8887" i="1" a="1"/>
  <c r="O8887" i="1" s="1"/>
  <c r="J8887" i="1" a="1"/>
  <c r="J8887" i="1" s="1"/>
  <c r="K8887" i="1" a="1"/>
  <c r="K8887" i="1" s="1"/>
  <c r="Q8887" i="1" a="1"/>
  <c r="Q8887" i="1" s="1"/>
  <c r="S8887" i="1" a="1"/>
  <c r="S8887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C8889" i="1" l="1"/>
  <c r="H8888" i="1"/>
  <c r="K8888" i="1" a="1"/>
  <c r="K8888" i="1" s="1"/>
  <c r="O8888" i="1" a="1"/>
  <c r="O8888" i="1" s="1"/>
  <c r="S8888" i="1" a="1"/>
  <c r="S8888" i="1" s="1"/>
  <c r="I8888" i="1" a="1"/>
  <c r="I8888" i="1" s="1"/>
  <c r="R8888" i="1" a="1"/>
  <c r="R8888" i="1" s="1"/>
  <c r="J8888" i="1" a="1"/>
  <c r="J8888" i="1" s="1"/>
  <c r="B8889" i="1"/>
  <c r="P8888" i="1" a="1"/>
  <c r="P8888" i="1" s="1"/>
  <c r="N8888" i="1" a="1"/>
  <c r="N8888" i="1" s="1"/>
  <c r="Q8888" i="1" a="1"/>
  <c r="Q8888" i="1" s="1"/>
  <c r="L8888" i="1" a="1"/>
  <c r="L8888" i="1" s="1"/>
  <c r="M8888" i="1" a="1"/>
  <c r="M8888" i="1" s="1"/>
  <c r="A8891" i="1"/>
  <c r="S8013" i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C8890" i="1" l="1"/>
  <c r="H8889" i="1"/>
  <c r="J8889" i="1" a="1"/>
  <c r="J8889" i="1" s="1"/>
  <c r="N8889" i="1" a="1"/>
  <c r="N8889" i="1" s="1"/>
  <c r="R8889" i="1" a="1"/>
  <c r="R8889" i="1" s="1"/>
  <c r="S8889" i="1" a="1"/>
  <c r="S8889" i="1" s="1"/>
  <c r="M8889" i="1" a="1"/>
  <c r="M8889" i="1" s="1"/>
  <c r="I8889" i="1" a="1"/>
  <c r="I8889" i="1" s="1"/>
  <c r="P8889" i="1" a="1"/>
  <c r="P8889" i="1" s="1"/>
  <c r="K8889" i="1" a="1"/>
  <c r="K8889" i="1" s="1"/>
  <c r="Q8889" i="1" a="1"/>
  <c r="Q8889" i="1" s="1"/>
  <c r="B8890" i="1"/>
  <c r="O8889" i="1" a="1"/>
  <c r="O8889" i="1" s="1"/>
  <c r="L8889" i="1" a="1"/>
  <c r="L8889" i="1" s="1"/>
  <c r="A8892" i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C8891" i="1" l="1"/>
  <c r="H8890" i="1"/>
  <c r="A8893" i="1"/>
  <c r="I8890" i="1" a="1"/>
  <c r="I8890" i="1" s="1"/>
  <c r="M8890" i="1" a="1"/>
  <c r="M8890" i="1" s="1"/>
  <c r="Q8890" i="1" a="1"/>
  <c r="Q8890" i="1" s="1"/>
  <c r="O8890" i="1" a="1"/>
  <c r="O8890" i="1" s="1"/>
  <c r="J8890" i="1" a="1"/>
  <c r="J8890" i="1" s="1"/>
  <c r="B8891" i="1"/>
  <c r="K8890" i="1" a="1"/>
  <c r="K8890" i="1" s="1"/>
  <c r="P8890" i="1" a="1"/>
  <c r="P8890" i="1" s="1"/>
  <c r="R8890" i="1" a="1"/>
  <c r="R8890" i="1" s="1"/>
  <c r="L8890" i="1" a="1"/>
  <c r="L8890" i="1" s="1"/>
  <c r="N8890" i="1" a="1"/>
  <c r="N8890" i="1" s="1"/>
  <c r="S8890" i="1" a="1"/>
  <c r="S8890" i="1" s="1"/>
  <c r="R8015" i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C8892" i="1" l="1"/>
  <c r="H8891" i="1"/>
  <c r="L8891" i="1" a="1"/>
  <c r="L8891" i="1" s="1"/>
  <c r="P8891" i="1" a="1"/>
  <c r="P8891" i="1" s="1"/>
  <c r="K8891" i="1" a="1"/>
  <c r="K8891" i="1" s="1"/>
  <c r="B8892" i="1"/>
  <c r="M8891" i="1" a="1"/>
  <c r="M8891" i="1" s="1"/>
  <c r="R8891" i="1" a="1"/>
  <c r="R8891" i="1" s="1"/>
  <c r="J8891" i="1" a="1"/>
  <c r="J8891" i="1" s="1"/>
  <c r="Q8891" i="1" a="1"/>
  <c r="Q8891" i="1" s="1"/>
  <c r="S8891" i="1" a="1"/>
  <c r="S8891" i="1" s="1"/>
  <c r="I8891" i="1" a="1"/>
  <c r="I8891" i="1" s="1"/>
  <c r="O8891" i="1" a="1"/>
  <c r="O8891" i="1" s="1"/>
  <c r="N8891" i="1" a="1"/>
  <c r="N8891" i="1" s="1"/>
  <c r="A8894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C8893" i="1" l="1"/>
  <c r="H8892" i="1"/>
  <c r="A8895" i="1"/>
  <c r="K8892" i="1" a="1"/>
  <c r="K8892" i="1" s="1"/>
  <c r="O8892" i="1" a="1"/>
  <c r="O8892" i="1" s="1"/>
  <c r="S8892" i="1" a="1"/>
  <c r="S8892" i="1" s="1"/>
  <c r="L8892" i="1" a="1"/>
  <c r="L8892" i="1" s="1"/>
  <c r="J8892" i="1" a="1"/>
  <c r="J8892" i="1" s="1"/>
  <c r="B8893" i="1"/>
  <c r="P8892" i="1" a="1"/>
  <c r="P8892" i="1" s="1"/>
  <c r="R8892" i="1" a="1"/>
  <c r="R8892" i="1" s="1"/>
  <c r="M8892" i="1" a="1"/>
  <c r="M8892" i="1" s="1"/>
  <c r="I8892" i="1" a="1"/>
  <c r="I8892" i="1" s="1"/>
  <c r="Q8892" i="1" a="1"/>
  <c r="Q8892" i="1" s="1"/>
  <c r="N8892" i="1" a="1"/>
  <c r="N8892" i="1" s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C8894" i="1" l="1"/>
  <c r="H8893" i="1"/>
  <c r="J8893" i="1" a="1"/>
  <c r="J8893" i="1" s="1"/>
  <c r="N8893" i="1" a="1"/>
  <c r="N8893" i="1" s="1"/>
  <c r="R8893" i="1" a="1"/>
  <c r="R8893" i="1" s="1"/>
  <c r="Q8893" i="1" a="1"/>
  <c r="Q8893" i="1" s="1"/>
  <c r="M8893" i="1" a="1"/>
  <c r="M8893" i="1" s="1"/>
  <c r="S8893" i="1" a="1"/>
  <c r="S8893" i="1" s="1"/>
  <c r="L8893" i="1" a="1"/>
  <c r="L8893" i="1" s="1"/>
  <c r="B8894" i="1"/>
  <c r="O8893" i="1" a="1"/>
  <c r="O8893" i="1" s="1"/>
  <c r="K8893" i="1" a="1"/>
  <c r="K8893" i="1" s="1"/>
  <c r="P8893" i="1" a="1"/>
  <c r="P8893" i="1" s="1"/>
  <c r="I8893" i="1" a="1"/>
  <c r="I8893" i="1" s="1"/>
  <c r="A8896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C8895" i="1" l="1"/>
  <c r="H8894" i="1"/>
  <c r="I8894" i="1" a="1"/>
  <c r="I8894" i="1" s="1"/>
  <c r="M8894" i="1" a="1"/>
  <c r="M8894" i="1" s="1"/>
  <c r="Q8894" i="1" a="1"/>
  <c r="Q8894" i="1" s="1"/>
  <c r="R8894" i="1" a="1"/>
  <c r="R8894" i="1" s="1"/>
  <c r="K8894" i="1" a="1"/>
  <c r="K8894" i="1" s="1"/>
  <c r="P8894" i="1" a="1"/>
  <c r="P8894" i="1" s="1"/>
  <c r="L8894" i="1" a="1"/>
  <c r="L8894" i="1" s="1"/>
  <c r="S8894" i="1" a="1"/>
  <c r="S8894" i="1" s="1"/>
  <c r="N8894" i="1" a="1"/>
  <c r="N8894" i="1" s="1"/>
  <c r="J8894" i="1" a="1"/>
  <c r="J8894" i="1" s="1"/>
  <c r="O8894" i="1" a="1"/>
  <c r="O8894" i="1" s="1"/>
  <c r="B8895" i="1"/>
  <c r="A8897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C8896" i="1" l="1"/>
  <c r="H8895" i="1"/>
  <c r="A8898" i="1"/>
  <c r="L8895" i="1" a="1"/>
  <c r="L8895" i="1" s="1"/>
  <c r="P8895" i="1" a="1"/>
  <c r="P8895" i="1" s="1"/>
  <c r="N8895" i="1" a="1"/>
  <c r="N8895" i="1" s="1"/>
  <c r="S8895" i="1" a="1"/>
  <c r="S8895" i="1" s="1"/>
  <c r="K8895" i="1" a="1"/>
  <c r="K8895" i="1" s="1"/>
  <c r="Q8895" i="1" a="1"/>
  <c r="Q8895" i="1" s="1"/>
  <c r="R8895" i="1" a="1"/>
  <c r="R8895" i="1" s="1"/>
  <c r="M8895" i="1" a="1"/>
  <c r="M8895" i="1" s="1"/>
  <c r="I8895" i="1" a="1"/>
  <c r="I8895" i="1" s="1"/>
  <c r="J8895" i="1" a="1"/>
  <c r="J8895" i="1" s="1"/>
  <c r="O8895" i="1" a="1"/>
  <c r="O8895" i="1" s="1"/>
  <c r="B8896" i="1"/>
  <c r="S8020" i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C8897" i="1" l="1"/>
  <c r="H8896" i="1"/>
  <c r="K8896" i="1" a="1"/>
  <c r="K8896" i="1" s="1"/>
  <c r="O8896" i="1" a="1"/>
  <c r="O8896" i="1" s="1"/>
  <c r="S8896" i="1" a="1"/>
  <c r="S8896" i="1" s="1"/>
  <c r="J8896" i="1" a="1"/>
  <c r="J8896" i="1" s="1"/>
  <c r="P8896" i="1" a="1"/>
  <c r="P8896" i="1" s="1"/>
  <c r="Q8896" i="1" a="1"/>
  <c r="Q8896" i="1" s="1"/>
  <c r="L8896" i="1" a="1"/>
  <c r="L8896" i="1" s="1"/>
  <c r="R8896" i="1" a="1"/>
  <c r="R8896" i="1" s="1"/>
  <c r="B8897" i="1"/>
  <c r="M8896" i="1" a="1"/>
  <c r="M8896" i="1" s="1"/>
  <c r="N8896" i="1" a="1"/>
  <c r="N8896" i="1" s="1"/>
  <c r="I8896" i="1" a="1"/>
  <c r="I8896" i="1" s="1"/>
  <c r="A8899" i="1"/>
  <c r="R8021" i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C8898" i="1" l="1"/>
  <c r="H8897" i="1"/>
  <c r="A8900" i="1"/>
  <c r="J8897" i="1" a="1"/>
  <c r="J8897" i="1" s="1"/>
  <c r="N8897" i="1" a="1"/>
  <c r="N8897" i="1" s="1"/>
  <c r="R8897" i="1" a="1"/>
  <c r="R8897" i="1" s="1"/>
  <c r="K8897" i="1" a="1"/>
  <c r="K8897" i="1" s="1"/>
  <c r="S8897" i="1" a="1"/>
  <c r="S8897" i="1" s="1"/>
  <c r="I8897" i="1" a="1"/>
  <c r="I8897" i="1" s="1"/>
  <c r="O8897" i="1" a="1"/>
  <c r="O8897" i="1" s="1"/>
  <c r="P8897" i="1" a="1"/>
  <c r="P8897" i="1" s="1"/>
  <c r="Q8897" i="1" a="1"/>
  <c r="Q8897" i="1" s="1"/>
  <c r="B8898" i="1"/>
  <c r="L8897" i="1" a="1"/>
  <c r="L8897" i="1" s="1"/>
  <c r="M8897" i="1" a="1"/>
  <c r="M8897" i="1" s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C8899" i="1" l="1"/>
  <c r="H8898" i="1"/>
  <c r="A8901" i="1"/>
  <c r="I8898" i="1" a="1"/>
  <c r="I8898" i="1" s="1"/>
  <c r="M8898" i="1" a="1"/>
  <c r="M8898" i="1" s="1"/>
  <c r="P8898" i="1" a="1"/>
  <c r="P8898" i="1" s="1"/>
  <c r="K8898" i="1" a="1"/>
  <c r="K8898" i="1" s="1"/>
  <c r="N8898" i="1" a="1"/>
  <c r="N8898" i="1" s="1"/>
  <c r="S8898" i="1" a="1"/>
  <c r="S8898" i="1" s="1"/>
  <c r="O8898" i="1" a="1"/>
  <c r="O8898" i="1" s="1"/>
  <c r="B8899" i="1"/>
  <c r="J8898" i="1" a="1"/>
  <c r="J8898" i="1" s="1"/>
  <c r="R8898" i="1" a="1"/>
  <c r="R8898" i="1" s="1"/>
  <c r="L8898" i="1" a="1"/>
  <c r="L8898" i="1" s="1"/>
  <c r="Q8898" i="1" a="1"/>
  <c r="Q8898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C8900" i="1" l="1"/>
  <c r="H8899" i="1"/>
  <c r="K8899" i="1" a="1"/>
  <c r="K8899" i="1" s="1"/>
  <c r="O8899" i="1" a="1"/>
  <c r="O8899" i="1" s="1"/>
  <c r="S8899" i="1" a="1"/>
  <c r="S8899" i="1" s="1"/>
  <c r="Q8899" i="1" a="1"/>
  <c r="Q8899" i="1" s="1"/>
  <c r="L8899" i="1" a="1"/>
  <c r="L8899" i="1" s="1"/>
  <c r="M8899" i="1" a="1"/>
  <c r="M8899" i="1" s="1"/>
  <c r="R8899" i="1" a="1"/>
  <c r="R8899" i="1" s="1"/>
  <c r="P8899" i="1" a="1"/>
  <c r="P8899" i="1" s="1"/>
  <c r="B8900" i="1"/>
  <c r="I8899" i="1" a="1"/>
  <c r="I8899" i="1" s="1"/>
  <c r="J8899" i="1" a="1"/>
  <c r="J8899" i="1" s="1"/>
  <c r="N8899" i="1" a="1"/>
  <c r="N8899" i="1" s="1"/>
  <c r="A8902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C8901" i="1" l="1"/>
  <c r="H8900" i="1"/>
  <c r="A8903" i="1"/>
  <c r="J8900" i="1" a="1"/>
  <c r="J8900" i="1" s="1"/>
  <c r="N8900" i="1" a="1"/>
  <c r="N8900" i="1" s="1"/>
  <c r="R8900" i="1" a="1"/>
  <c r="R8900" i="1" s="1"/>
  <c r="I8900" i="1" a="1"/>
  <c r="I8900" i="1" s="1"/>
  <c r="S8900" i="1" a="1"/>
  <c r="S8900" i="1" s="1"/>
  <c r="O8900" i="1" a="1"/>
  <c r="O8900" i="1" s="1"/>
  <c r="K8900" i="1" a="1"/>
  <c r="K8900" i="1" s="1"/>
  <c r="L8900" i="1" a="1"/>
  <c r="L8900" i="1" s="1"/>
  <c r="Q8900" i="1" a="1"/>
  <c r="Q8900" i="1" s="1"/>
  <c r="M8900" i="1" a="1"/>
  <c r="M8900" i="1" s="1"/>
  <c r="P8900" i="1" a="1"/>
  <c r="P8900" i="1" s="1"/>
  <c r="B8901" i="1"/>
  <c r="S8025" i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C8902" i="1" l="1"/>
  <c r="H8901" i="1"/>
  <c r="I8901" i="1" a="1"/>
  <c r="I8901" i="1" s="1"/>
  <c r="M8901" i="1" a="1"/>
  <c r="M8901" i="1" s="1"/>
  <c r="Q8901" i="1" a="1"/>
  <c r="Q8901" i="1" s="1"/>
  <c r="J8901" i="1" a="1"/>
  <c r="J8901" i="1" s="1"/>
  <c r="S8901" i="1" a="1"/>
  <c r="S8901" i="1" s="1"/>
  <c r="O8901" i="1" a="1"/>
  <c r="O8901" i="1" s="1"/>
  <c r="K8901" i="1" a="1"/>
  <c r="K8901" i="1" s="1"/>
  <c r="P8901" i="1" a="1"/>
  <c r="P8901" i="1" s="1"/>
  <c r="B8902" i="1"/>
  <c r="R8901" i="1" a="1"/>
  <c r="R8901" i="1" s="1"/>
  <c r="L8901" i="1" a="1"/>
  <c r="L8901" i="1" s="1"/>
  <c r="N8901" i="1" a="1"/>
  <c r="N8901" i="1" s="1"/>
  <c r="A8904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8903" i="1" l="1"/>
  <c r="H8902" i="1"/>
  <c r="L8902" i="1" a="1"/>
  <c r="L8902" i="1" s="1"/>
  <c r="P8902" i="1" a="1"/>
  <c r="P8902" i="1" s="1"/>
  <c r="O8902" i="1" a="1"/>
  <c r="O8902" i="1" s="1"/>
  <c r="K8902" i="1" a="1"/>
  <c r="K8902" i="1" s="1"/>
  <c r="B8903" i="1"/>
  <c r="Q8902" i="1" a="1"/>
  <c r="Q8902" i="1" s="1"/>
  <c r="N8902" i="1" a="1"/>
  <c r="N8902" i="1" s="1"/>
  <c r="J8902" i="1" a="1"/>
  <c r="J8902" i="1" s="1"/>
  <c r="S8902" i="1" a="1"/>
  <c r="S8902" i="1" s="1"/>
  <c r="I8902" i="1" a="1"/>
  <c r="I8902" i="1" s="1"/>
  <c r="R8902" i="1" a="1"/>
  <c r="R8902" i="1" s="1"/>
  <c r="M8902" i="1" a="1"/>
  <c r="M8902" i="1" s="1"/>
  <c r="A8905" i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C8904" i="1" l="1"/>
  <c r="H8903" i="1"/>
  <c r="A8906" i="1"/>
  <c r="K8903" i="1" a="1"/>
  <c r="K8903" i="1" s="1"/>
  <c r="O8903" i="1" a="1"/>
  <c r="O8903" i="1" s="1"/>
  <c r="S8903" i="1" a="1"/>
  <c r="S8903" i="1" s="1"/>
  <c r="P8903" i="1" a="1"/>
  <c r="P8903" i="1" s="1"/>
  <c r="B8904" i="1"/>
  <c r="L8903" i="1" a="1"/>
  <c r="L8903" i="1" s="1"/>
  <c r="Q8903" i="1" a="1"/>
  <c r="Q8903" i="1" s="1"/>
  <c r="M8903" i="1" a="1"/>
  <c r="M8903" i="1" s="1"/>
  <c r="J8903" i="1" a="1"/>
  <c r="J8903" i="1" s="1"/>
  <c r="N8903" i="1" a="1"/>
  <c r="N8903" i="1" s="1"/>
  <c r="I8903" i="1" a="1"/>
  <c r="I8903" i="1" s="1"/>
  <c r="R8903" i="1" a="1"/>
  <c r="R8903" i="1" s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C8905" i="1" l="1"/>
  <c r="H8904" i="1"/>
  <c r="J8904" i="1" a="1"/>
  <c r="J8904" i="1" s="1"/>
  <c r="N8904" i="1" a="1"/>
  <c r="N8904" i="1" s="1"/>
  <c r="R8904" i="1" a="1"/>
  <c r="R8904" i="1" s="1"/>
  <c r="L8904" i="1" a="1"/>
  <c r="L8904" i="1" s="1"/>
  <c r="Q8904" i="1" a="1"/>
  <c r="Q8904" i="1" s="1"/>
  <c r="M8904" i="1" a="1"/>
  <c r="M8904" i="1" s="1"/>
  <c r="I8904" i="1" a="1"/>
  <c r="I8904" i="1" s="1"/>
  <c r="O8904" i="1" a="1"/>
  <c r="O8904" i="1" s="1"/>
  <c r="B8905" i="1"/>
  <c r="P8904" i="1" a="1"/>
  <c r="P8904" i="1" s="1"/>
  <c r="S8904" i="1" a="1"/>
  <c r="S8904" i="1" s="1"/>
  <c r="K8904" i="1" a="1"/>
  <c r="K8904" i="1" s="1"/>
  <c r="A8907" i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C8906" i="1" l="1"/>
  <c r="H8905" i="1"/>
  <c r="A8908" i="1"/>
  <c r="I8905" i="1" a="1"/>
  <c r="I8905" i="1" s="1"/>
  <c r="M8905" i="1" a="1"/>
  <c r="M8905" i="1" s="1"/>
  <c r="Q8905" i="1" a="1"/>
  <c r="Q8905" i="1" s="1"/>
  <c r="R8905" i="1" a="1"/>
  <c r="R8905" i="1" s="1"/>
  <c r="N8905" i="1" a="1"/>
  <c r="N8905" i="1" s="1"/>
  <c r="J8905" i="1" a="1"/>
  <c r="J8905" i="1" s="1"/>
  <c r="S8905" i="1" a="1"/>
  <c r="S8905" i="1" s="1"/>
  <c r="K8905" i="1" a="1"/>
  <c r="K8905" i="1" s="1"/>
  <c r="B8906" i="1"/>
  <c r="L8905" i="1" a="1"/>
  <c r="L8905" i="1" s="1"/>
  <c r="O8905" i="1" a="1"/>
  <c r="O8905" i="1" s="1"/>
  <c r="P8905" i="1" a="1"/>
  <c r="P8905" i="1" s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C8907" i="1" l="1"/>
  <c r="H8906" i="1"/>
  <c r="L8906" i="1" a="1"/>
  <c r="L8906" i="1" s="1"/>
  <c r="P8906" i="1" a="1"/>
  <c r="P8906" i="1" s="1"/>
  <c r="I8906" i="1" a="1"/>
  <c r="I8906" i="1" s="1"/>
  <c r="R8906" i="1" a="1"/>
  <c r="R8906" i="1" s="1"/>
  <c r="N8906" i="1" a="1"/>
  <c r="N8906" i="1" s="1"/>
  <c r="J8906" i="1" a="1"/>
  <c r="J8906" i="1" s="1"/>
  <c r="S8906" i="1" a="1"/>
  <c r="S8906" i="1" s="1"/>
  <c r="O8906" i="1" a="1"/>
  <c r="O8906" i="1" s="1"/>
  <c r="Q8906" i="1" a="1"/>
  <c r="Q8906" i="1" s="1"/>
  <c r="K8906" i="1" a="1"/>
  <c r="K8906" i="1" s="1"/>
  <c r="B8907" i="1"/>
  <c r="M8906" i="1" a="1"/>
  <c r="M8906" i="1" s="1"/>
  <c r="A8909" i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C8908" i="1" l="1"/>
  <c r="H8907" i="1"/>
  <c r="A8910" i="1"/>
  <c r="K8907" i="1" a="1"/>
  <c r="K8907" i="1" s="1"/>
  <c r="O8907" i="1" a="1"/>
  <c r="O8907" i="1" s="1"/>
  <c r="S8907" i="1" a="1"/>
  <c r="S8907" i="1" s="1"/>
  <c r="N8907" i="1" a="1"/>
  <c r="N8907" i="1" s="1"/>
  <c r="J8907" i="1" a="1"/>
  <c r="J8907" i="1" s="1"/>
  <c r="B8908" i="1"/>
  <c r="P8907" i="1" a="1"/>
  <c r="P8907" i="1" s="1"/>
  <c r="M8907" i="1" a="1"/>
  <c r="M8907" i="1" s="1"/>
  <c r="R8907" i="1" a="1"/>
  <c r="R8907" i="1" s="1"/>
  <c r="I8907" i="1" a="1"/>
  <c r="I8907" i="1" s="1"/>
  <c r="Q8907" i="1" a="1"/>
  <c r="Q8907" i="1" s="1"/>
  <c r="L8907" i="1" a="1"/>
  <c r="L8907" i="1" s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C8909" i="1" l="1"/>
  <c r="H8908" i="1"/>
  <c r="J8908" i="1" a="1"/>
  <c r="J8908" i="1" s="1"/>
  <c r="N8908" i="1" a="1"/>
  <c r="N8908" i="1" s="1"/>
  <c r="R8908" i="1" a="1"/>
  <c r="R8908" i="1" s="1"/>
  <c r="O8908" i="1" a="1"/>
  <c r="O8908" i="1" s="1"/>
  <c r="K8908" i="1" a="1"/>
  <c r="K8908" i="1" s="1"/>
  <c r="L8908" i="1" a="1"/>
  <c r="L8908" i="1" s="1"/>
  <c r="P8908" i="1" a="1"/>
  <c r="P8908" i="1" s="1"/>
  <c r="B8909" i="1"/>
  <c r="I8908" i="1" a="1"/>
  <c r="I8908" i="1" s="1"/>
  <c r="S8908" i="1" a="1"/>
  <c r="S8908" i="1" s="1"/>
  <c r="M8908" i="1" a="1"/>
  <c r="M8908" i="1" s="1"/>
  <c r="Q8908" i="1" a="1"/>
  <c r="Q8908" i="1" s="1"/>
  <c r="A8911" i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C8910" i="1" l="1"/>
  <c r="H8909" i="1"/>
  <c r="I8909" i="1" a="1"/>
  <c r="I8909" i="1" s="1"/>
  <c r="M8909" i="1" a="1"/>
  <c r="M8909" i="1" s="1"/>
  <c r="Q8909" i="1" a="1"/>
  <c r="Q8909" i="1" s="1"/>
  <c r="K8909" i="1" a="1"/>
  <c r="K8909" i="1" s="1"/>
  <c r="P8909" i="1" a="1"/>
  <c r="P8909" i="1" s="1"/>
  <c r="B8910" i="1"/>
  <c r="L8909" i="1" a="1"/>
  <c r="L8909" i="1" s="1"/>
  <c r="S8909" i="1" a="1"/>
  <c r="S8909" i="1" s="1"/>
  <c r="R8909" i="1" a="1"/>
  <c r="R8909" i="1" s="1"/>
  <c r="N8909" i="1" a="1"/>
  <c r="N8909" i="1" s="1"/>
  <c r="J8909" i="1" a="1"/>
  <c r="J8909" i="1" s="1"/>
  <c r="O8909" i="1" a="1"/>
  <c r="O8909" i="1" s="1"/>
  <c r="A8912" i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C8911" i="1" l="1"/>
  <c r="H8910" i="1"/>
  <c r="A8913" i="1"/>
  <c r="L8910" i="1" a="1"/>
  <c r="L8910" i="1" s="1"/>
  <c r="P8910" i="1" a="1"/>
  <c r="P8910" i="1" s="1"/>
  <c r="Q8910" i="1" a="1"/>
  <c r="Q8910" i="1" s="1"/>
  <c r="M8910" i="1" a="1"/>
  <c r="M8910" i="1" s="1"/>
  <c r="N8910" i="1" a="1"/>
  <c r="N8910" i="1" s="1"/>
  <c r="B8911" i="1"/>
  <c r="I8910" i="1" a="1"/>
  <c r="I8910" i="1" s="1"/>
  <c r="O8910" i="1" a="1"/>
  <c r="O8910" i="1" s="1"/>
  <c r="S8910" i="1" a="1"/>
  <c r="S8910" i="1" s="1"/>
  <c r="K8910" i="1" a="1"/>
  <c r="K8910" i="1" s="1"/>
  <c r="J8910" i="1" a="1"/>
  <c r="J8910" i="1" s="1"/>
  <c r="R8910" i="1" a="1"/>
  <c r="R8910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C8912" i="1" l="1"/>
  <c r="H8911" i="1"/>
  <c r="K8911" i="1" a="1"/>
  <c r="K8911" i="1" s="1"/>
  <c r="O8911" i="1" a="1"/>
  <c r="O8911" i="1" s="1"/>
  <c r="S8911" i="1" a="1"/>
  <c r="S8911" i="1" s="1"/>
  <c r="Q8911" i="1" a="1"/>
  <c r="Q8911" i="1" s="1"/>
  <c r="M8911" i="1" a="1"/>
  <c r="M8911" i="1" s="1"/>
  <c r="I8911" i="1" a="1"/>
  <c r="I8911" i="1" s="1"/>
  <c r="R8911" i="1" a="1"/>
  <c r="R8911" i="1" s="1"/>
  <c r="P8911" i="1" a="1"/>
  <c r="P8911" i="1" s="1"/>
  <c r="N8911" i="1" a="1"/>
  <c r="N8911" i="1" s="1"/>
  <c r="J8911" i="1" a="1"/>
  <c r="J8911" i="1" s="1"/>
  <c r="L8911" i="1" a="1"/>
  <c r="L8911" i="1" s="1"/>
  <c r="B8912" i="1"/>
  <c r="A8914" i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C8913" i="1" l="1"/>
  <c r="H8912" i="1"/>
  <c r="J8912" i="1" a="1"/>
  <c r="J8912" i="1" s="1"/>
  <c r="N8912" i="1" a="1"/>
  <c r="N8912" i="1" s="1"/>
  <c r="R8912" i="1" a="1"/>
  <c r="R8912" i="1" s="1"/>
  <c r="M8912" i="1" a="1"/>
  <c r="M8912" i="1" s="1"/>
  <c r="I8912" i="1" a="1"/>
  <c r="I8912" i="1" s="1"/>
  <c r="S8912" i="1" a="1"/>
  <c r="S8912" i="1" s="1"/>
  <c r="K8912" i="1" a="1"/>
  <c r="K8912" i="1" s="1"/>
  <c r="Q8912" i="1" a="1"/>
  <c r="Q8912" i="1" s="1"/>
  <c r="L8912" i="1" a="1"/>
  <c r="L8912" i="1" s="1"/>
  <c r="O8912" i="1" a="1"/>
  <c r="O8912" i="1" s="1"/>
  <c r="B8913" i="1"/>
  <c r="P8912" i="1" a="1"/>
  <c r="P8912" i="1" s="1"/>
  <c r="A8915" i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C8914" i="1" l="1"/>
  <c r="H8913" i="1"/>
  <c r="I8913" i="1" a="1"/>
  <c r="I8913" i="1" s="1"/>
  <c r="M8913" i="1" a="1"/>
  <c r="M8913" i="1" s="1"/>
  <c r="Q8913" i="1" a="1"/>
  <c r="Q8913" i="1" s="1"/>
  <c r="N8913" i="1" a="1"/>
  <c r="N8913" i="1" s="1"/>
  <c r="J8913" i="1" a="1"/>
  <c r="J8913" i="1" s="1"/>
  <c r="S8913" i="1" a="1"/>
  <c r="S8913" i="1" s="1"/>
  <c r="O8913" i="1" a="1"/>
  <c r="O8913" i="1" s="1"/>
  <c r="R8913" i="1" a="1"/>
  <c r="R8913" i="1" s="1"/>
  <c r="L8913" i="1" a="1"/>
  <c r="L8913" i="1" s="1"/>
  <c r="B8914" i="1"/>
  <c r="P8913" i="1" a="1"/>
  <c r="P8913" i="1" s="1"/>
  <c r="K8913" i="1" a="1"/>
  <c r="K8913" i="1" s="1"/>
  <c r="A8916" i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C8915" i="1" l="1"/>
  <c r="H8914" i="1"/>
  <c r="A8917" i="1"/>
  <c r="L8914" i="1" a="1"/>
  <c r="L8914" i="1" s="1"/>
  <c r="P8914" i="1" a="1"/>
  <c r="P8914" i="1" s="1"/>
  <c r="J8914" i="1" a="1"/>
  <c r="J8914" i="1" s="1"/>
  <c r="S8914" i="1" a="1"/>
  <c r="S8914" i="1" s="1"/>
  <c r="O8914" i="1" a="1"/>
  <c r="O8914" i="1" s="1"/>
  <c r="K8914" i="1" a="1"/>
  <c r="K8914" i="1" s="1"/>
  <c r="B8915" i="1"/>
  <c r="M8914" i="1" a="1"/>
  <c r="M8914" i="1" s="1"/>
  <c r="N8914" i="1" a="1"/>
  <c r="N8914" i="1" s="1"/>
  <c r="R8914" i="1" a="1"/>
  <c r="R8914" i="1" s="1"/>
  <c r="I8914" i="1" a="1"/>
  <c r="I8914" i="1" s="1"/>
  <c r="Q8914" i="1" a="1"/>
  <c r="Q8914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C8916" i="1" l="1"/>
  <c r="H8915" i="1"/>
  <c r="K8915" i="1" a="1"/>
  <c r="K8915" i="1" s="1"/>
  <c r="O8915" i="1" a="1"/>
  <c r="O8915" i="1" s="1"/>
  <c r="S8915" i="1" a="1"/>
  <c r="S8915" i="1" s="1"/>
  <c r="P8915" i="1" a="1"/>
  <c r="P8915" i="1" s="1"/>
  <c r="B8916" i="1"/>
  <c r="L8915" i="1" a="1"/>
  <c r="L8915" i="1" s="1"/>
  <c r="N8915" i="1" a="1"/>
  <c r="N8915" i="1" s="1"/>
  <c r="M8915" i="1" a="1"/>
  <c r="M8915" i="1" s="1"/>
  <c r="I8915" i="1" a="1"/>
  <c r="I8915" i="1" s="1"/>
  <c r="Q8915" i="1" a="1"/>
  <c r="Q8915" i="1" s="1"/>
  <c r="J8915" i="1" a="1"/>
  <c r="J8915" i="1" s="1"/>
  <c r="R8915" i="1" a="1"/>
  <c r="R8915" i="1" s="1"/>
  <c r="A8918" i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C8917" i="1" l="1"/>
  <c r="H8916" i="1"/>
  <c r="A8919" i="1"/>
  <c r="J8916" i="1" a="1"/>
  <c r="J8916" i="1" s="1"/>
  <c r="N8916" i="1" a="1"/>
  <c r="N8916" i="1" s="1"/>
  <c r="R8916" i="1" a="1"/>
  <c r="R8916" i="1" s="1"/>
  <c r="P8916" i="1" a="1"/>
  <c r="P8916" i="1" s="1"/>
  <c r="B8917" i="1"/>
  <c r="L8916" i="1" a="1"/>
  <c r="L8916" i="1" s="1"/>
  <c r="Q8916" i="1" a="1"/>
  <c r="Q8916" i="1" s="1"/>
  <c r="I8916" i="1" a="1"/>
  <c r="I8916" i="1" s="1"/>
  <c r="S8916" i="1" a="1"/>
  <c r="S8916" i="1" s="1"/>
  <c r="K8916" i="1" a="1"/>
  <c r="K8916" i="1" s="1"/>
  <c r="M8916" i="1" a="1"/>
  <c r="M8916" i="1" s="1"/>
  <c r="O8916" i="1" a="1"/>
  <c r="O8916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C8918" i="1" l="1"/>
  <c r="H8917" i="1"/>
  <c r="I8917" i="1" a="1"/>
  <c r="I8917" i="1" s="1"/>
  <c r="M8917" i="1" a="1"/>
  <c r="M8917" i="1" s="1"/>
  <c r="Q8917" i="1" a="1"/>
  <c r="Q8917" i="1" s="1"/>
  <c r="L8917" i="1" a="1"/>
  <c r="L8917" i="1" s="1"/>
  <c r="R8917" i="1" a="1"/>
  <c r="R8917" i="1" s="1"/>
  <c r="K8917" i="1" a="1"/>
  <c r="K8917" i="1" s="1"/>
  <c r="S8917" i="1" a="1"/>
  <c r="S8917" i="1" s="1"/>
  <c r="N8917" i="1" a="1"/>
  <c r="N8917" i="1" s="1"/>
  <c r="O8917" i="1" a="1"/>
  <c r="O8917" i="1" s="1"/>
  <c r="B8918" i="1"/>
  <c r="J8917" i="1" a="1"/>
  <c r="J8917" i="1" s="1"/>
  <c r="P8917" i="1" a="1"/>
  <c r="P8917" i="1" s="1"/>
  <c r="A8920" i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C8919" i="1" l="1"/>
  <c r="H8918" i="1"/>
  <c r="A8921" i="1"/>
  <c r="L8918" i="1" a="1"/>
  <c r="L8918" i="1" s="1"/>
  <c r="P8918" i="1" a="1"/>
  <c r="P8918" i="1" s="1"/>
  <c r="M8918" i="1" a="1"/>
  <c r="M8918" i="1" s="1"/>
  <c r="I8918" i="1" a="1"/>
  <c r="I8918" i="1" s="1"/>
  <c r="R8918" i="1" a="1"/>
  <c r="R8918" i="1" s="1"/>
  <c r="N8918" i="1" a="1"/>
  <c r="N8918" i="1" s="1"/>
  <c r="B8919" i="1"/>
  <c r="O8918" i="1" a="1"/>
  <c r="O8918" i="1" s="1"/>
  <c r="Q8918" i="1" a="1"/>
  <c r="Q8918" i="1" s="1"/>
  <c r="J8918" i="1" a="1"/>
  <c r="J8918" i="1" s="1"/>
  <c r="K8918" i="1" a="1"/>
  <c r="K8918" i="1" s="1"/>
  <c r="S8918" i="1" a="1"/>
  <c r="S8918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C8920" i="1" l="1"/>
  <c r="H8919" i="1"/>
  <c r="A8922" i="1"/>
  <c r="K8919" i="1" a="1"/>
  <c r="K8919" i="1" s="1"/>
  <c r="O8919" i="1" a="1"/>
  <c r="O8919" i="1" s="1"/>
  <c r="S8919" i="1" a="1"/>
  <c r="S8919" i="1" s="1"/>
  <c r="I8919" i="1" a="1"/>
  <c r="I8919" i="1" s="1"/>
  <c r="R8919" i="1" a="1"/>
  <c r="R8919" i="1" s="1"/>
  <c r="N8919" i="1" a="1"/>
  <c r="N8919" i="1" s="1"/>
  <c r="J8919" i="1" a="1"/>
  <c r="J8919" i="1" s="1"/>
  <c r="M8919" i="1" a="1"/>
  <c r="M8919" i="1" s="1"/>
  <c r="P8919" i="1" a="1"/>
  <c r="P8919" i="1" s="1"/>
  <c r="L8919" i="1" a="1"/>
  <c r="L8919" i="1" s="1"/>
  <c r="Q8919" i="1" a="1"/>
  <c r="Q8919" i="1" s="1"/>
  <c r="B8920" i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C8921" i="1" l="1"/>
  <c r="H8920" i="1"/>
  <c r="A8923" i="1"/>
  <c r="J8920" i="1" a="1"/>
  <c r="J8920" i="1" s="1"/>
  <c r="N8920" i="1" a="1"/>
  <c r="N8920" i="1" s="1"/>
  <c r="O8920" i="1" a="1"/>
  <c r="O8920" i="1" s="1"/>
  <c r="S8920" i="1" a="1"/>
  <c r="S8920" i="1" s="1"/>
  <c r="K8920" i="1" a="1"/>
  <c r="K8920" i="1" s="1"/>
  <c r="P8920" i="1" a="1"/>
  <c r="P8920" i="1" s="1"/>
  <c r="I8920" i="1" a="1"/>
  <c r="I8920" i="1" s="1"/>
  <c r="Q8920" i="1" a="1"/>
  <c r="Q8920" i="1" s="1"/>
  <c r="B8921" i="1"/>
  <c r="L8920" i="1" a="1"/>
  <c r="L8920" i="1" s="1"/>
  <c r="M8920" i="1" a="1"/>
  <c r="M8920" i="1" s="1"/>
  <c r="R8920" i="1" a="1"/>
  <c r="R8920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C8922" i="1" l="1"/>
  <c r="H8921" i="1"/>
  <c r="J8921" i="1" a="1"/>
  <c r="J8921" i="1" s="1"/>
  <c r="N8921" i="1" a="1"/>
  <c r="N8921" i="1" s="1"/>
  <c r="R8921" i="1" a="1"/>
  <c r="R8921" i="1" s="1"/>
  <c r="I8921" i="1" a="1"/>
  <c r="I8921" i="1" s="1"/>
  <c r="P8921" i="1" a="1"/>
  <c r="P8921" i="1" s="1"/>
  <c r="Q8921" i="1" a="1"/>
  <c r="Q8921" i="1" s="1"/>
  <c r="L8921" i="1" a="1"/>
  <c r="L8921" i="1" s="1"/>
  <c r="M8921" i="1" a="1"/>
  <c r="M8921" i="1" s="1"/>
  <c r="K8921" i="1" a="1"/>
  <c r="K8921" i="1" s="1"/>
  <c r="S8921" i="1" a="1"/>
  <c r="S8921" i="1" s="1"/>
  <c r="O8921" i="1" a="1"/>
  <c r="O8921" i="1" s="1"/>
  <c r="B8922" i="1"/>
  <c r="A8924" i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C8923" i="1" l="1"/>
  <c r="H8922" i="1"/>
  <c r="A8925" i="1"/>
  <c r="B8923" i="1"/>
  <c r="I8922" i="1" a="1"/>
  <c r="I8922" i="1" s="1"/>
  <c r="M8922" i="1" a="1"/>
  <c r="M8922" i="1" s="1"/>
  <c r="Q8922" i="1" a="1"/>
  <c r="Q8922" i="1" s="1"/>
  <c r="O8922" i="1" a="1"/>
  <c r="O8922" i="1" s="1"/>
  <c r="J8922" i="1" a="1"/>
  <c r="J8922" i="1" s="1"/>
  <c r="P8922" i="1" a="1"/>
  <c r="P8922" i="1" s="1"/>
  <c r="R8922" i="1" a="1"/>
  <c r="R8922" i="1" s="1"/>
  <c r="L8922" i="1" a="1"/>
  <c r="L8922" i="1" s="1"/>
  <c r="K8922" i="1" a="1"/>
  <c r="K8922" i="1" s="1"/>
  <c r="S8922" i="1" a="1"/>
  <c r="S8922" i="1" s="1"/>
  <c r="N8922" i="1" a="1"/>
  <c r="N8922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C8924" i="1" l="1"/>
  <c r="H8923" i="1"/>
  <c r="L8923" i="1" a="1"/>
  <c r="L8923" i="1" s="1"/>
  <c r="P8923" i="1" a="1"/>
  <c r="P8923" i="1" s="1"/>
  <c r="B8924" i="1"/>
  <c r="I8923" i="1" a="1"/>
  <c r="I8923" i="1" s="1"/>
  <c r="O8923" i="1" a="1"/>
  <c r="O8923" i="1" s="1"/>
  <c r="Q8923" i="1" a="1"/>
  <c r="Q8923" i="1" s="1"/>
  <c r="J8923" i="1" a="1"/>
  <c r="J8923" i="1" s="1"/>
  <c r="R8923" i="1" a="1"/>
  <c r="R8923" i="1" s="1"/>
  <c r="M8923" i="1" a="1"/>
  <c r="M8923" i="1" s="1"/>
  <c r="K8923" i="1" a="1"/>
  <c r="K8923" i="1" s="1"/>
  <c r="N8923" i="1" a="1"/>
  <c r="N8923" i="1" s="1"/>
  <c r="S8923" i="1" a="1"/>
  <c r="S8923" i="1" s="1"/>
  <c r="A8926" i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C8925" i="1" l="1"/>
  <c r="H8924" i="1"/>
  <c r="A8927" i="1"/>
  <c r="K8924" i="1" a="1"/>
  <c r="K8924" i="1" s="1"/>
  <c r="O8924" i="1" a="1"/>
  <c r="O8924" i="1" s="1"/>
  <c r="S8924" i="1" a="1"/>
  <c r="S8924" i="1" s="1"/>
  <c r="N8924" i="1" a="1"/>
  <c r="N8924" i="1" s="1"/>
  <c r="I8924" i="1" a="1"/>
  <c r="I8924" i="1" s="1"/>
  <c r="P8924" i="1" a="1"/>
  <c r="P8924" i="1" s="1"/>
  <c r="L8924" i="1" a="1"/>
  <c r="L8924" i="1" s="1"/>
  <c r="R8924" i="1" a="1"/>
  <c r="R8924" i="1" s="1"/>
  <c r="Q8924" i="1" a="1"/>
  <c r="Q8924" i="1" s="1"/>
  <c r="J8924" i="1" a="1"/>
  <c r="J8924" i="1" s="1"/>
  <c r="M8924" i="1" a="1"/>
  <c r="M8924" i="1" s="1"/>
  <c r="B8925" i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C8926" i="1" l="1"/>
  <c r="H8925" i="1"/>
  <c r="J8925" i="1" a="1"/>
  <c r="J8925" i="1" s="1"/>
  <c r="N8925" i="1" a="1"/>
  <c r="N8925" i="1" s="1"/>
  <c r="R8925" i="1" a="1"/>
  <c r="R8925" i="1" s="1"/>
  <c r="O8925" i="1" a="1"/>
  <c r="O8925" i="1" s="1"/>
  <c r="B8926" i="1"/>
  <c r="K8925" i="1" a="1"/>
  <c r="K8925" i="1" s="1"/>
  <c r="I8925" i="1" a="1"/>
  <c r="I8925" i="1" s="1"/>
  <c r="P8925" i="1" a="1"/>
  <c r="P8925" i="1" s="1"/>
  <c r="Q8925" i="1" a="1"/>
  <c r="Q8925" i="1" s="1"/>
  <c r="L8925" i="1" a="1"/>
  <c r="L8925" i="1" s="1"/>
  <c r="S8925" i="1" a="1"/>
  <c r="S8925" i="1" s="1"/>
  <c r="M8925" i="1" a="1"/>
  <c r="M8925" i="1" s="1"/>
  <c r="A8928" i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C8927" i="1" l="1"/>
  <c r="H8926" i="1"/>
  <c r="A8929" i="1"/>
  <c r="B8927" i="1"/>
  <c r="Q8926" i="1" a="1"/>
  <c r="Q8926" i="1" s="1"/>
  <c r="I8926" i="1" a="1"/>
  <c r="I8926" i="1" s="1"/>
  <c r="M8926" i="1" a="1"/>
  <c r="M8926" i="1" s="1"/>
  <c r="O8926" i="1" a="1"/>
  <c r="O8926" i="1" s="1"/>
  <c r="P8926" i="1" a="1"/>
  <c r="P8926" i="1" s="1"/>
  <c r="K8926" i="1" a="1"/>
  <c r="K8926" i="1" s="1"/>
  <c r="J8926" i="1" a="1"/>
  <c r="J8926" i="1" s="1"/>
  <c r="R8926" i="1" a="1"/>
  <c r="R8926" i="1" s="1"/>
  <c r="L8926" i="1" a="1"/>
  <c r="L8926" i="1" s="1"/>
  <c r="N8926" i="1" a="1"/>
  <c r="N8926" i="1" s="1"/>
  <c r="S8926" i="1" a="1"/>
  <c r="S8926" i="1" s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C8928" i="1" l="1"/>
  <c r="H8927" i="1"/>
  <c r="P8927" i="1" a="1"/>
  <c r="P8927" i="1" s="1"/>
  <c r="L8927" i="1" a="1"/>
  <c r="L8927" i="1" s="1"/>
  <c r="B8928" i="1"/>
  <c r="N8927" i="1" a="1"/>
  <c r="N8927" i="1" s="1"/>
  <c r="I8927" i="1" a="1"/>
  <c r="I8927" i="1" s="1"/>
  <c r="R8927" i="1" a="1"/>
  <c r="R8927" i="1" s="1"/>
  <c r="O8927" i="1" a="1"/>
  <c r="O8927" i="1" s="1"/>
  <c r="J8927" i="1" a="1"/>
  <c r="J8927" i="1" s="1"/>
  <c r="Q8927" i="1" a="1"/>
  <c r="Q8927" i="1" s="1"/>
  <c r="K8927" i="1" a="1"/>
  <c r="K8927" i="1" s="1"/>
  <c r="M8927" i="1" a="1"/>
  <c r="M8927" i="1" s="1"/>
  <c r="S8927" i="1" a="1"/>
  <c r="S8927" i="1" s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C8929" i="1" l="1"/>
  <c r="H8929" i="1" s="1"/>
  <c r="H8928" i="1"/>
  <c r="K8928" i="1" a="1"/>
  <c r="K8928" i="1" s="1"/>
  <c r="S8928" i="1" a="1"/>
  <c r="S8928" i="1" s="1"/>
  <c r="O8928" i="1" a="1"/>
  <c r="O8928" i="1" s="1"/>
  <c r="B8929" i="1"/>
  <c r="N8928" i="1" a="1"/>
  <c r="N8928" i="1" s="1"/>
  <c r="P8928" i="1" a="1"/>
  <c r="P8928" i="1" s="1"/>
  <c r="Q8928" i="1" a="1"/>
  <c r="Q8928" i="1" s="1"/>
  <c r="L8928" i="1" a="1"/>
  <c r="L8928" i="1" s="1"/>
  <c r="I8928" i="1" a="1"/>
  <c r="I8928" i="1" s="1"/>
  <c r="J8928" i="1" a="1"/>
  <c r="J8928" i="1" s="1"/>
  <c r="M8928" i="1" a="1"/>
  <c r="M8928" i="1" s="1"/>
  <c r="R8928" i="1" a="1"/>
  <c r="R8928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N8929" i="1" l="1" a="1"/>
  <c r="N8929" i="1" s="1"/>
  <c r="J8929" i="1" a="1"/>
  <c r="J8929" i="1" s="1"/>
  <c r="R8929" i="1" a="1"/>
  <c r="R8929" i="1" s="1"/>
  <c r="M8929" i="1" a="1"/>
  <c r="M8929" i="1" s="1"/>
  <c r="O8929" i="1" a="1"/>
  <c r="O8929" i="1" s="1"/>
  <c r="I8929" i="1" a="1"/>
  <c r="I8929" i="1" s="1"/>
  <c r="K8929" i="1" a="1"/>
  <c r="K8929" i="1" s="1"/>
  <c r="P8929" i="1" a="1"/>
  <c r="P8929" i="1" s="1"/>
  <c r="Q8929" i="1" a="1"/>
  <c r="Q8929" i="1" s="1"/>
  <c r="L8929" i="1" a="1"/>
  <c r="L8929" i="1" s="1"/>
  <c r="S8929" i="1" a="1"/>
  <c r="S8929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C341" i="2" l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D340" i="2" l="1"/>
  <c r="C340" i="2"/>
  <c r="E340" i="2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E341" i="2" l="1"/>
  <c r="D341" i="2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E339" i="2" l="1"/>
  <c r="D339" i="2"/>
  <c r="C339" i="2"/>
  <c r="D338" i="2"/>
  <c r="C338" i="2"/>
  <c r="E337" i="2"/>
  <c r="C337" i="2"/>
  <c r="E338" i="2"/>
  <c r="D337" i="2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D322" i="2" l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C319" i="2" l="1"/>
  <c r="C333" i="2"/>
  <c r="E331" i="2"/>
  <c r="C317" i="2"/>
  <c r="E335" i="2"/>
  <c r="D333" i="2"/>
  <c r="D331" i="2"/>
  <c r="C328" i="2"/>
  <c r="E333" i="2"/>
  <c r="C335" i="2"/>
  <c r="C316" i="2"/>
  <c r="D332" i="2"/>
  <c r="C331" i="2"/>
  <c r="C321" i="2"/>
  <c r="C334" i="2"/>
  <c r="D335" i="2"/>
  <c r="C329" i="2"/>
  <c r="C332" i="2"/>
  <c r="E332" i="2"/>
  <c r="C322" i="2"/>
  <c r="D334" i="2"/>
  <c r="C330" i="2"/>
  <c r="C324" i="2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E336" i="2" l="1"/>
  <c r="D336" i="2"/>
  <c r="C336" i="2"/>
  <c r="E334" i="2"/>
  <c r="C318" i="2"/>
  <c r="C323" i="2"/>
  <c r="E327" i="2"/>
  <c r="C325" i="2"/>
  <c r="C326" i="2"/>
  <c r="C327" i="2"/>
  <c r="C320" i="2"/>
  <c r="C315" i="2"/>
  <c r="E300" i="2"/>
  <c r="C302" i="2"/>
  <c r="D300" i="2"/>
  <c r="E315" i="2"/>
  <c r="C308" i="2"/>
  <c r="E303" i="2"/>
  <c r="C309" i="2"/>
  <c r="C307" i="2"/>
  <c r="C300" i="2"/>
  <c r="E309" i="2"/>
  <c r="E308" i="2"/>
  <c r="C303" i="2"/>
  <c r="E305" i="2"/>
  <c r="E307" i="2"/>
  <c r="C305" i="2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E302" i="2" l="1"/>
  <c r="D315" i="2"/>
  <c r="C314" i="2"/>
  <c r="D314" i="2"/>
  <c r="E314" i="2"/>
  <c r="D320" i="2"/>
  <c r="D316" i="2"/>
  <c r="D305" i="2"/>
  <c r="D323" i="2"/>
  <c r="D319" i="2"/>
  <c r="D308" i="2"/>
  <c r="D321" i="2"/>
  <c r="D327" i="2"/>
  <c r="D318" i="2"/>
  <c r="D330" i="2"/>
  <c r="D309" i="2"/>
  <c r="D302" i="2"/>
  <c r="D303" i="2"/>
  <c r="D324" i="2"/>
  <c r="D325" i="2"/>
  <c r="D307" i="2"/>
  <c r="D326" i="2"/>
  <c r="D329" i="2"/>
  <c r="D317" i="2"/>
  <c r="D328" i="2"/>
  <c r="C313" i="2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E317" i="2" l="1"/>
  <c r="E320" i="2"/>
  <c r="E321" i="2"/>
  <c r="E323" i="2"/>
  <c r="E329" i="2"/>
  <c r="E325" i="2"/>
  <c r="E330" i="2"/>
  <c r="E328" i="2"/>
  <c r="E322" i="2"/>
  <c r="E326" i="2"/>
  <c r="E318" i="2"/>
  <c r="E324" i="2"/>
  <c r="E316" i="2"/>
  <c r="E319" i="2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<sst xmlns="http://schemas.openxmlformats.org/spreadsheetml/2006/main" count="91285" uniqueCount="26">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</sst>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929"/>
  <sheetViews>
    <sheetView zoomScale="90" zoomScaleNormal="90" workbookViewId="0">
      <pane ySplit="1" topLeftCell="A8859" activePane="bottomLeft" state="frozen"/>
      <selection pane="bottomLeft" activeCell="D8860" sqref="D8860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5">
        <v>0</v>
      </c>
      <c r="E8590" s="5">
        <v>2</v>
      </c>
      <c r="F8590" s="5" t="s">
        <v>9</v>
      </c>
      <c r="G8590" s="15" t="s">
        <v>8</v>
      </c>
      <c r="H8590" s="24">
        <v>780.99999999976717</v>
      </c>
      <c r="I8590" s="24">
        <v>780.99999999976717</v>
      </c>
      <c r="J8590" s="24" t="s">
        <v>21</v>
      </c>
      <c r="K8590" s="24" t="s">
        <v>21</v>
      </c>
      <c r="L8590" s="24" t="s">
        <v>21</v>
      </c>
      <c r="M8590" s="24" t="s">
        <v>21</v>
      </c>
      <c r="N8590" s="24" t="s">
        <v>21</v>
      </c>
      <c r="O8590" s="24" t="s">
        <v>21</v>
      </c>
      <c r="P8590" s="24" t="s">
        <v>21</v>
      </c>
      <c r="Q8590" s="24" t="s">
        <v>21</v>
      </c>
      <c r="R8590" s="24" t="s">
        <v>21</v>
      </c>
      <c r="S8590" s="24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5">
        <v>0</v>
      </c>
      <c r="E8591" s="5">
        <v>1</v>
      </c>
      <c r="F8591" s="5" t="s">
        <v>9</v>
      </c>
      <c r="G8591" s="15" t="s">
        <v>8</v>
      </c>
      <c r="H8591" s="24">
        <v>0</v>
      </c>
      <c r="I8591" s="24">
        <v>0</v>
      </c>
      <c r="J8591" s="24" t="s">
        <v>21</v>
      </c>
      <c r="K8591" s="24" t="s">
        <v>21</v>
      </c>
      <c r="L8591" s="24" t="s">
        <v>21</v>
      </c>
      <c r="M8591" s="24" t="s">
        <v>21</v>
      </c>
      <c r="N8591" s="24" t="s">
        <v>21</v>
      </c>
      <c r="O8591" s="24" t="s">
        <v>21</v>
      </c>
      <c r="P8591" s="24" t="s">
        <v>21</v>
      </c>
      <c r="Q8591" s="24" t="s">
        <v>21</v>
      </c>
      <c r="R8591" s="24" t="s">
        <v>21</v>
      </c>
      <c r="S8591" s="24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5">
        <v>0</v>
      </c>
      <c r="E8592" s="5">
        <v>1</v>
      </c>
      <c r="F8592" s="5" t="s">
        <v>9</v>
      </c>
      <c r="G8592" s="15" t="s">
        <v>8</v>
      </c>
      <c r="H8592" s="24">
        <v>0.99999999278225005</v>
      </c>
      <c r="I8592" s="24">
        <v>0.99999999278225005</v>
      </c>
      <c r="J8592" s="24" t="s">
        <v>21</v>
      </c>
      <c r="K8592" s="24" t="s">
        <v>21</v>
      </c>
      <c r="L8592" s="24" t="s">
        <v>21</v>
      </c>
      <c r="M8592" s="24" t="s">
        <v>21</v>
      </c>
      <c r="N8592" s="24" t="s">
        <v>21</v>
      </c>
      <c r="O8592" s="24" t="s">
        <v>21</v>
      </c>
      <c r="P8592" s="24" t="s">
        <v>21</v>
      </c>
      <c r="Q8592" s="24" t="s">
        <v>21</v>
      </c>
      <c r="R8592" s="24" t="s">
        <v>21</v>
      </c>
      <c r="S8592" s="24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5">
        <v>0</v>
      </c>
      <c r="E8593" s="5">
        <v>4</v>
      </c>
      <c r="F8593" s="5" t="s">
        <v>9</v>
      </c>
      <c r="G8593" s="15" t="s">
        <v>8</v>
      </c>
      <c r="H8593" s="24">
        <v>0</v>
      </c>
      <c r="I8593" s="24">
        <v>0</v>
      </c>
      <c r="J8593" s="24" t="s">
        <v>21</v>
      </c>
      <c r="K8593" s="24" t="s">
        <v>21</v>
      </c>
      <c r="L8593" s="24" t="s">
        <v>21</v>
      </c>
      <c r="M8593" s="24" t="s">
        <v>21</v>
      </c>
      <c r="N8593" s="24" t="s">
        <v>21</v>
      </c>
      <c r="O8593" s="24" t="s">
        <v>21</v>
      </c>
      <c r="P8593" s="24" t="s">
        <v>21</v>
      </c>
      <c r="Q8593" s="24" t="s">
        <v>21</v>
      </c>
      <c r="R8593" s="24" t="s">
        <v>21</v>
      </c>
      <c r="S8593" s="24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5">
        <v>0</v>
      </c>
      <c r="E8594" s="5">
        <v>3</v>
      </c>
      <c r="F8594" s="5" t="s">
        <v>9</v>
      </c>
      <c r="G8594" s="15" t="s">
        <v>8</v>
      </c>
      <c r="H8594" s="24">
        <v>1.000000003259629</v>
      </c>
      <c r="I8594" s="24">
        <v>1.000000003259629</v>
      </c>
      <c r="J8594" s="24" t="s">
        <v>21</v>
      </c>
      <c r="K8594" s="24" t="s">
        <v>21</v>
      </c>
      <c r="L8594" s="24" t="s">
        <v>21</v>
      </c>
      <c r="M8594" s="24" t="s">
        <v>21</v>
      </c>
      <c r="N8594" s="24" t="s">
        <v>21</v>
      </c>
      <c r="O8594" s="24" t="s">
        <v>21</v>
      </c>
      <c r="P8594" s="24" t="s">
        <v>21</v>
      </c>
      <c r="Q8594" s="24" t="s">
        <v>21</v>
      </c>
      <c r="R8594" s="24" t="s">
        <v>21</v>
      </c>
      <c r="S8594" s="24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5">
        <v>0</v>
      </c>
      <c r="E8595" s="5">
        <v>4</v>
      </c>
      <c r="F8595" s="5" t="s">
        <v>9</v>
      </c>
      <c r="G8595" s="15" t="s">
        <v>8</v>
      </c>
      <c r="H8595" s="24">
        <v>0</v>
      </c>
      <c r="I8595" s="24">
        <v>0</v>
      </c>
      <c r="J8595" s="24" t="s">
        <v>21</v>
      </c>
      <c r="K8595" s="24" t="s">
        <v>21</v>
      </c>
      <c r="L8595" s="24" t="s">
        <v>21</v>
      </c>
      <c r="M8595" s="24" t="s">
        <v>21</v>
      </c>
      <c r="N8595" s="24" t="s">
        <v>21</v>
      </c>
      <c r="O8595" s="24" t="s">
        <v>21</v>
      </c>
      <c r="P8595" s="24" t="s">
        <v>21</v>
      </c>
      <c r="Q8595" s="24" t="s">
        <v>21</v>
      </c>
      <c r="R8595" s="24" t="s">
        <v>21</v>
      </c>
      <c r="S8595" s="24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5">
        <v>4</v>
      </c>
      <c r="E8596" s="5">
        <v>3</v>
      </c>
      <c r="F8596" s="5" t="s">
        <v>9</v>
      </c>
      <c r="G8596" s="15" t="s">
        <v>8</v>
      </c>
      <c r="H8596" s="24">
        <v>20.999999995110556</v>
      </c>
      <c r="I8596" s="24" t="s">
        <v>21</v>
      </c>
      <c r="J8596" s="24" t="s">
        <v>21</v>
      </c>
      <c r="K8596" s="24" t="s">
        <v>21</v>
      </c>
      <c r="L8596" s="24">
        <v>1196.9999999937136</v>
      </c>
      <c r="M8596" s="24" t="s">
        <v>21</v>
      </c>
      <c r="N8596" s="24" t="s">
        <v>21</v>
      </c>
      <c r="O8596" s="24" t="s">
        <v>21</v>
      </c>
      <c r="P8596" s="24" t="s">
        <v>21</v>
      </c>
      <c r="Q8596" s="24" t="s">
        <v>21</v>
      </c>
      <c r="R8596" s="24" t="s">
        <v>21</v>
      </c>
      <c r="S8596" s="24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5">
        <v>0</v>
      </c>
      <c r="E8597" s="5">
        <v>4</v>
      </c>
      <c r="F8597" s="5" t="s">
        <v>9</v>
      </c>
      <c r="G8597" s="15" t="s">
        <v>8</v>
      </c>
      <c r="H8597" s="24">
        <v>1.000000003259629</v>
      </c>
      <c r="I8597" s="24" t="s">
        <v>21</v>
      </c>
      <c r="J8597" s="24" t="s">
        <v>21</v>
      </c>
      <c r="K8597" s="24" t="s">
        <v>21</v>
      </c>
      <c r="L8597" s="24">
        <v>1.000000003259629</v>
      </c>
      <c r="M8597" s="24" t="s">
        <v>21</v>
      </c>
      <c r="N8597" s="24" t="s">
        <v>21</v>
      </c>
      <c r="O8597" s="24" t="s">
        <v>21</v>
      </c>
      <c r="P8597" s="24" t="s">
        <v>21</v>
      </c>
      <c r="Q8597" s="24" t="s">
        <v>21</v>
      </c>
      <c r="R8597" s="24" t="s">
        <v>21</v>
      </c>
      <c r="S8597" s="24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5">
        <v>7</v>
      </c>
      <c r="E8598" s="5">
        <v>0</v>
      </c>
      <c r="F8598" s="5" t="s">
        <v>9</v>
      </c>
      <c r="G8598" s="15" t="s">
        <v>8</v>
      </c>
      <c r="H8598" s="24">
        <v>0</v>
      </c>
      <c r="I8598" s="24" t="s">
        <v>21</v>
      </c>
      <c r="J8598" s="24" t="s">
        <v>21</v>
      </c>
      <c r="K8598" s="24" t="s">
        <v>21</v>
      </c>
      <c r="L8598" s="24">
        <v>0</v>
      </c>
      <c r="M8598" s="24" t="s">
        <v>21</v>
      </c>
      <c r="N8598" s="24" t="s">
        <v>21</v>
      </c>
      <c r="O8598" s="24" t="s">
        <v>21</v>
      </c>
      <c r="P8598" s="24" t="s">
        <v>21</v>
      </c>
      <c r="Q8598" s="24" t="s">
        <v>21</v>
      </c>
      <c r="R8598" s="24" t="s">
        <v>21</v>
      </c>
      <c r="S8598" s="24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5">
        <v>7</v>
      </c>
      <c r="E8599" s="5">
        <v>0</v>
      </c>
      <c r="F8599" s="5" t="s">
        <v>9</v>
      </c>
      <c r="G8599" s="15" t="s">
        <v>8</v>
      </c>
      <c r="H8599" s="24">
        <v>1.000000003259629</v>
      </c>
      <c r="I8599" s="24" t="s">
        <v>21</v>
      </c>
      <c r="J8599" s="24" t="s">
        <v>21</v>
      </c>
      <c r="K8599" s="24" t="s">
        <v>21</v>
      </c>
      <c r="L8599" s="24">
        <v>1.000000003259629</v>
      </c>
      <c r="M8599" s="24" t="s">
        <v>21</v>
      </c>
      <c r="N8599" s="24" t="s">
        <v>21</v>
      </c>
      <c r="O8599" s="24" t="s">
        <v>21</v>
      </c>
      <c r="P8599" s="24" t="s">
        <v>21</v>
      </c>
      <c r="Q8599" s="24" t="s">
        <v>21</v>
      </c>
      <c r="R8599" s="24" t="s">
        <v>21</v>
      </c>
      <c r="S8599" s="24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5">
        <v>8</v>
      </c>
      <c r="E8600" s="5">
        <v>0</v>
      </c>
      <c r="F8600" s="5" t="s">
        <v>9</v>
      </c>
      <c r="G8600" s="15" t="s">
        <v>8</v>
      </c>
      <c r="H8600" s="24">
        <v>123.99999999557622</v>
      </c>
      <c r="I8600" s="24" t="s">
        <v>21</v>
      </c>
      <c r="J8600" s="24" t="s">
        <v>21</v>
      </c>
      <c r="K8600" s="24" t="s">
        <v>21</v>
      </c>
      <c r="L8600" s="24">
        <v>123.99999999557622</v>
      </c>
      <c r="M8600" s="24" t="s">
        <v>21</v>
      </c>
      <c r="N8600" s="24" t="s">
        <v>21</v>
      </c>
      <c r="O8600" s="24" t="s">
        <v>21</v>
      </c>
      <c r="P8600" s="24" t="s">
        <v>21</v>
      </c>
      <c r="Q8600" s="24" t="s">
        <v>21</v>
      </c>
      <c r="R8600" s="24" t="s">
        <v>21</v>
      </c>
      <c r="S8600" s="24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5">
        <v>8</v>
      </c>
      <c r="E8601" s="5">
        <v>0</v>
      </c>
      <c r="F8601" s="5" t="s">
        <v>9</v>
      </c>
      <c r="G8601" s="15" t="s">
        <v>8</v>
      </c>
      <c r="H8601" s="24">
        <v>0</v>
      </c>
      <c r="I8601" s="24" t="s">
        <v>21</v>
      </c>
      <c r="J8601" s="24" t="s">
        <v>21</v>
      </c>
      <c r="K8601" s="24" t="s">
        <v>21</v>
      </c>
      <c r="L8601" s="24">
        <v>0</v>
      </c>
      <c r="M8601" s="24" t="s">
        <v>21</v>
      </c>
      <c r="N8601" s="24" t="s">
        <v>21</v>
      </c>
      <c r="O8601" s="24" t="s">
        <v>21</v>
      </c>
      <c r="P8601" s="24" t="s">
        <v>21</v>
      </c>
      <c r="Q8601" s="24" t="s">
        <v>21</v>
      </c>
      <c r="R8601" s="24" t="s">
        <v>21</v>
      </c>
      <c r="S8601" s="24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5">
        <v>10</v>
      </c>
      <c r="E8602" s="5">
        <v>0</v>
      </c>
      <c r="F8602" s="5" t="s">
        <v>9</v>
      </c>
      <c r="G8602" s="15" t="s">
        <v>8</v>
      </c>
      <c r="H8602" s="24">
        <v>1.000000003259629</v>
      </c>
      <c r="I8602" s="24" t="s">
        <v>21</v>
      </c>
      <c r="J8602" s="24" t="s">
        <v>21</v>
      </c>
      <c r="K8602" s="24" t="s">
        <v>21</v>
      </c>
      <c r="L8602" s="24">
        <v>1.000000003259629</v>
      </c>
      <c r="M8602" s="24" t="s">
        <v>21</v>
      </c>
      <c r="N8602" s="24" t="s">
        <v>21</v>
      </c>
      <c r="O8602" s="24" t="s">
        <v>21</v>
      </c>
      <c r="P8602" s="24" t="s">
        <v>21</v>
      </c>
      <c r="Q8602" s="24" t="s">
        <v>21</v>
      </c>
      <c r="R8602" s="24" t="s">
        <v>21</v>
      </c>
      <c r="S8602" s="24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5">
        <v>2</v>
      </c>
      <c r="E8603" s="5">
        <v>0</v>
      </c>
      <c r="F8603" s="5" t="s">
        <v>9</v>
      </c>
      <c r="G8603" s="15" t="s">
        <v>8</v>
      </c>
      <c r="H8603" s="24">
        <v>0</v>
      </c>
      <c r="I8603" s="24" t="s">
        <v>21</v>
      </c>
      <c r="J8603" s="24" t="s">
        <v>21</v>
      </c>
      <c r="K8603" s="24" t="s">
        <v>21</v>
      </c>
      <c r="L8603" s="24">
        <v>0</v>
      </c>
      <c r="M8603" s="24" t="s">
        <v>21</v>
      </c>
      <c r="N8603" s="24" t="s">
        <v>21</v>
      </c>
      <c r="O8603" s="24" t="s">
        <v>21</v>
      </c>
      <c r="P8603" s="24" t="s">
        <v>21</v>
      </c>
      <c r="Q8603" s="24" t="s">
        <v>21</v>
      </c>
      <c r="R8603" s="24" t="s">
        <v>21</v>
      </c>
      <c r="S8603" s="24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5">
        <v>13</v>
      </c>
      <c r="E8604" s="5">
        <v>0</v>
      </c>
      <c r="F8604" s="5" t="s">
        <v>9</v>
      </c>
      <c r="G8604" s="15" t="s">
        <v>8</v>
      </c>
      <c r="H8604" s="24">
        <v>0</v>
      </c>
      <c r="I8604" s="24" t="s">
        <v>21</v>
      </c>
      <c r="J8604" s="24" t="s">
        <v>21</v>
      </c>
      <c r="K8604" s="24" t="s">
        <v>21</v>
      </c>
      <c r="L8604" s="24">
        <v>0</v>
      </c>
      <c r="M8604" s="24" t="s">
        <v>21</v>
      </c>
      <c r="N8604" s="24" t="s">
        <v>21</v>
      </c>
      <c r="O8604" s="24" t="s">
        <v>21</v>
      </c>
      <c r="P8604" s="24" t="s">
        <v>21</v>
      </c>
      <c r="Q8604" s="24" t="s">
        <v>21</v>
      </c>
      <c r="R8604" s="24" t="s">
        <v>21</v>
      </c>
      <c r="S8604" s="24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5">
        <v>8</v>
      </c>
      <c r="E8605" s="5">
        <v>0</v>
      </c>
      <c r="F8605" s="5" t="s">
        <v>9</v>
      </c>
      <c r="G8605" s="15" t="s">
        <v>8</v>
      </c>
      <c r="H8605" s="24">
        <v>1.000000003259629</v>
      </c>
      <c r="I8605" s="24" t="s">
        <v>21</v>
      </c>
      <c r="J8605" s="24" t="s">
        <v>21</v>
      </c>
      <c r="K8605" s="24" t="s">
        <v>21</v>
      </c>
      <c r="L8605" s="24">
        <v>1.000000003259629</v>
      </c>
      <c r="M8605" s="24" t="s">
        <v>21</v>
      </c>
      <c r="N8605" s="24" t="s">
        <v>21</v>
      </c>
      <c r="O8605" s="24" t="s">
        <v>21</v>
      </c>
      <c r="P8605" s="24" t="s">
        <v>21</v>
      </c>
      <c r="Q8605" s="24" t="s">
        <v>21</v>
      </c>
      <c r="R8605" s="24" t="s">
        <v>21</v>
      </c>
      <c r="S8605" s="24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5">
        <v>0</v>
      </c>
      <c r="E8606" s="5">
        <v>1</v>
      </c>
      <c r="F8606" s="5" t="s">
        <v>9</v>
      </c>
      <c r="G8606" s="15" t="s">
        <v>8</v>
      </c>
      <c r="H8606" s="24">
        <v>0</v>
      </c>
      <c r="I8606" s="24" t="s">
        <v>21</v>
      </c>
      <c r="J8606" s="24">
        <v>6865.0000000081491</v>
      </c>
      <c r="K8606" s="24" t="s">
        <v>21</v>
      </c>
      <c r="L8606" s="24" t="s">
        <v>21</v>
      </c>
      <c r="M8606" s="24" t="s">
        <v>21</v>
      </c>
      <c r="N8606" s="24" t="s">
        <v>21</v>
      </c>
      <c r="O8606" s="24" t="s">
        <v>21</v>
      </c>
      <c r="P8606" s="24" t="s">
        <v>21</v>
      </c>
      <c r="Q8606" s="24" t="s">
        <v>21</v>
      </c>
      <c r="R8606" s="24" t="s">
        <v>21</v>
      </c>
      <c r="S8606" s="24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5">
        <v>0</v>
      </c>
      <c r="E8607" s="5">
        <v>0</v>
      </c>
      <c r="F8607" s="5" t="s">
        <v>9</v>
      </c>
      <c r="G8607" s="15" t="s">
        <v>8</v>
      </c>
      <c r="H8607" s="24">
        <v>0</v>
      </c>
      <c r="I8607" s="24" t="s">
        <v>21</v>
      </c>
      <c r="J8607" s="24" t="s">
        <v>21</v>
      </c>
      <c r="K8607" s="24">
        <v>6868.0000000074506</v>
      </c>
      <c r="L8607" s="24" t="s">
        <v>21</v>
      </c>
      <c r="M8607" s="24" t="s">
        <v>21</v>
      </c>
      <c r="N8607" s="24" t="s">
        <v>21</v>
      </c>
      <c r="O8607" s="24" t="s">
        <v>21</v>
      </c>
      <c r="P8607" s="24" t="s">
        <v>21</v>
      </c>
      <c r="Q8607" s="24" t="s">
        <v>21</v>
      </c>
      <c r="R8607" s="24" t="s">
        <v>21</v>
      </c>
      <c r="S8607" s="24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5">
        <v>0</v>
      </c>
      <c r="E8608" s="5">
        <v>1</v>
      </c>
      <c r="F8608" s="5" t="s">
        <v>9</v>
      </c>
      <c r="G8608" s="15" t="s">
        <v>8</v>
      </c>
      <c r="H8608" s="24">
        <v>0</v>
      </c>
      <c r="I8608" s="24" t="s">
        <v>21</v>
      </c>
      <c r="J8608" s="24" t="s">
        <v>21</v>
      </c>
      <c r="K8608" s="24">
        <v>0</v>
      </c>
      <c r="L8608" s="24" t="s">
        <v>21</v>
      </c>
      <c r="M8608" s="24" t="s">
        <v>21</v>
      </c>
      <c r="N8608" s="24" t="s">
        <v>21</v>
      </c>
      <c r="O8608" s="24" t="s">
        <v>21</v>
      </c>
      <c r="P8608" s="24" t="s">
        <v>21</v>
      </c>
      <c r="Q8608" s="24" t="s">
        <v>21</v>
      </c>
      <c r="R8608" s="24" t="s">
        <v>21</v>
      </c>
      <c r="S8608" s="24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5">
        <v>0</v>
      </c>
      <c r="E8609" s="5">
        <v>1</v>
      </c>
      <c r="F8609" s="5" t="s">
        <v>9</v>
      </c>
      <c r="G8609" s="15" t="s">
        <v>8</v>
      </c>
      <c r="H8609" s="24">
        <v>0.99999999278225005</v>
      </c>
      <c r="I8609" s="24" t="s">
        <v>21</v>
      </c>
      <c r="J8609" s="24">
        <v>0.99999999278225005</v>
      </c>
      <c r="K8609" s="24" t="s">
        <v>21</v>
      </c>
      <c r="L8609" s="24" t="s">
        <v>21</v>
      </c>
      <c r="M8609" s="24" t="s">
        <v>21</v>
      </c>
      <c r="N8609" s="24" t="s">
        <v>21</v>
      </c>
      <c r="O8609" s="24" t="s">
        <v>21</v>
      </c>
      <c r="P8609" s="24" t="s">
        <v>21</v>
      </c>
      <c r="Q8609" s="24" t="s">
        <v>21</v>
      </c>
      <c r="R8609" s="24" t="s">
        <v>21</v>
      </c>
      <c r="S8609" s="24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5">
        <v>0</v>
      </c>
      <c r="E8610" s="5">
        <v>2</v>
      </c>
      <c r="F8610" s="5" t="s">
        <v>9</v>
      </c>
      <c r="G8610" s="15" t="s">
        <v>8</v>
      </c>
      <c r="H8610" s="24">
        <v>1.000000003259629</v>
      </c>
      <c r="I8610" s="24" t="s">
        <v>21</v>
      </c>
      <c r="J8610" s="24">
        <v>1.000000003259629</v>
      </c>
      <c r="K8610" s="24" t="s">
        <v>21</v>
      </c>
      <c r="L8610" s="24" t="s">
        <v>21</v>
      </c>
      <c r="M8610" s="24" t="s">
        <v>21</v>
      </c>
      <c r="N8610" s="24" t="s">
        <v>21</v>
      </c>
      <c r="O8610" s="24" t="s">
        <v>21</v>
      </c>
      <c r="P8610" s="24" t="s">
        <v>21</v>
      </c>
      <c r="Q8610" s="24" t="s">
        <v>21</v>
      </c>
      <c r="R8610" s="24" t="s">
        <v>21</v>
      </c>
      <c r="S8610" s="24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5">
        <v>0</v>
      </c>
      <c r="E8611" s="5">
        <v>1</v>
      </c>
      <c r="F8611" s="5" t="s">
        <v>9</v>
      </c>
      <c r="G8611" s="15" t="s">
        <v>8</v>
      </c>
      <c r="H8611" s="24">
        <v>0</v>
      </c>
      <c r="I8611" s="24" t="s">
        <v>21</v>
      </c>
      <c r="J8611" s="24">
        <v>0</v>
      </c>
      <c r="K8611" s="24" t="s">
        <v>21</v>
      </c>
      <c r="L8611" s="24" t="s">
        <v>21</v>
      </c>
      <c r="M8611" s="24" t="s">
        <v>21</v>
      </c>
      <c r="N8611" s="24" t="s">
        <v>21</v>
      </c>
      <c r="O8611" s="24" t="s">
        <v>21</v>
      </c>
      <c r="P8611" s="24" t="s">
        <v>21</v>
      </c>
      <c r="Q8611" s="24" t="s">
        <v>21</v>
      </c>
      <c r="R8611" s="24" t="s">
        <v>21</v>
      </c>
      <c r="S8611" s="24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5">
        <v>0</v>
      </c>
      <c r="E8612" s="5">
        <v>2</v>
      </c>
      <c r="F8612" s="5" t="s">
        <v>9</v>
      </c>
      <c r="G8612" s="15" t="s">
        <v>8</v>
      </c>
      <c r="H8612" s="24">
        <v>0</v>
      </c>
      <c r="I8612" s="24" t="s">
        <v>21</v>
      </c>
      <c r="J8612" s="24" t="s">
        <v>21</v>
      </c>
      <c r="K8612" s="24">
        <v>1.9999999960418791</v>
      </c>
      <c r="L8612" s="24" t="s">
        <v>21</v>
      </c>
      <c r="M8612" s="24" t="s">
        <v>21</v>
      </c>
      <c r="N8612" s="24" t="s">
        <v>21</v>
      </c>
      <c r="O8612" s="24" t="s">
        <v>21</v>
      </c>
      <c r="P8612" s="24" t="s">
        <v>21</v>
      </c>
      <c r="Q8612" s="24" t="s">
        <v>21</v>
      </c>
      <c r="R8612" s="24" t="s">
        <v>21</v>
      </c>
      <c r="S8612" s="24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5">
        <v>0</v>
      </c>
      <c r="E8613" s="5">
        <v>2</v>
      </c>
      <c r="F8613" s="5" t="s">
        <v>9</v>
      </c>
      <c r="G8613" s="15" t="s">
        <v>8</v>
      </c>
      <c r="H8613" s="24">
        <v>4.9999999953433871</v>
      </c>
      <c r="I8613" s="24" t="s">
        <v>21</v>
      </c>
      <c r="J8613" s="24" t="s">
        <v>21</v>
      </c>
      <c r="K8613" s="24">
        <v>4.9999999953433871</v>
      </c>
      <c r="L8613" s="24" t="s">
        <v>21</v>
      </c>
      <c r="M8613" s="24" t="s">
        <v>21</v>
      </c>
      <c r="N8613" s="24" t="s">
        <v>21</v>
      </c>
      <c r="O8613" s="24" t="s">
        <v>21</v>
      </c>
      <c r="P8613" s="24" t="s">
        <v>21</v>
      </c>
      <c r="Q8613" s="24" t="s">
        <v>21</v>
      </c>
      <c r="R8613" s="24" t="s">
        <v>21</v>
      </c>
      <c r="S8613" s="24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5">
        <v>17</v>
      </c>
      <c r="E8614" s="5">
        <v>0</v>
      </c>
      <c r="F8614" s="5" t="s">
        <v>9</v>
      </c>
      <c r="G8614" s="15" t="s">
        <v>8</v>
      </c>
      <c r="H8614" s="24">
        <v>25.000000008149073</v>
      </c>
      <c r="I8614" s="24" t="s">
        <v>21</v>
      </c>
      <c r="J8614" s="24" t="s">
        <v>21</v>
      </c>
      <c r="K8614" s="24" t="s">
        <v>21</v>
      </c>
      <c r="L8614" s="24">
        <v>31.999999999534339</v>
      </c>
      <c r="M8614" s="24" t="s">
        <v>21</v>
      </c>
      <c r="N8614" s="24" t="s">
        <v>21</v>
      </c>
      <c r="O8614" s="24" t="s">
        <v>21</v>
      </c>
      <c r="P8614" s="24" t="s">
        <v>21</v>
      </c>
      <c r="Q8614" s="24" t="s">
        <v>21</v>
      </c>
      <c r="R8614" s="24" t="s">
        <v>21</v>
      </c>
      <c r="S8614" s="24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5">
        <v>11</v>
      </c>
      <c r="E8615" s="5">
        <v>0</v>
      </c>
      <c r="F8615" s="5" t="s">
        <v>9</v>
      </c>
      <c r="G8615" s="15" t="s">
        <v>8</v>
      </c>
      <c r="H8615" s="24">
        <v>0.99999999278225005</v>
      </c>
      <c r="I8615" s="24" t="s">
        <v>21</v>
      </c>
      <c r="J8615" s="24" t="s">
        <v>21</v>
      </c>
      <c r="K8615" s="24" t="s">
        <v>21</v>
      </c>
      <c r="L8615" s="24">
        <v>0.99999999278225005</v>
      </c>
      <c r="M8615" s="24" t="s">
        <v>21</v>
      </c>
      <c r="N8615" s="24" t="s">
        <v>21</v>
      </c>
      <c r="O8615" s="24" t="s">
        <v>21</v>
      </c>
      <c r="P8615" s="24" t="s">
        <v>21</v>
      </c>
      <c r="Q8615" s="24" t="s">
        <v>21</v>
      </c>
      <c r="R8615" s="24" t="s">
        <v>21</v>
      </c>
      <c r="S8615" s="24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5">
        <v>0</v>
      </c>
      <c r="E8616" s="5">
        <v>0</v>
      </c>
      <c r="F8616" s="5" t="s">
        <v>9</v>
      </c>
      <c r="G8616" s="15" t="s">
        <v>8</v>
      </c>
      <c r="H8616" s="24">
        <v>333.99999999906868</v>
      </c>
      <c r="I8616" s="24" t="s">
        <v>21</v>
      </c>
      <c r="J8616" s="24" t="s">
        <v>21</v>
      </c>
      <c r="K8616" s="24" t="s">
        <v>21</v>
      </c>
      <c r="L8616" s="24" t="s">
        <v>21</v>
      </c>
      <c r="M8616" s="24" t="s">
        <v>21</v>
      </c>
      <c r="N8616" s="24" t="s">
        <v>21</v>
      </c>
      <c r="O8616" s="24">
        <v>1440.9999999927823</v>
      </c>
      <c r="P8616" s="24" t="s">
        <v>21</v>
      </c>
      <c r="Q8616" s="24" t="s">
        <v>21</v>
      </c>
      <c r="R8616" s="24" t="s">
        <v>21</v>
      </c>
      <c r="S8616" s="24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5">
        <v>3</v>
      </c>
      <c r="E8617" s="5">
        <v>6</v>
      </c>
      <c r="F8617" s="5" t="s">
        <v>9</v>
      </c>
      <c r="G8617" s="15" t="s">
        <v>8</v>
      </c>
      <c r="H8617" s="24">
        <v>0</v>
      </c>
      <c r="I8617" s="24" t="s">
        <v>21</v>
      </c>
      <c r="J8617" s="24" t="s">
        <v>21</v>
      </c>
      <c r="K8617" s="24" t="s">
        <v>21</v>
      </c>
      <c r="L8617" s="24" t="s">
        <v>21</v>
      </c>
      <c r="M8617" s="24" t="s">
        <v>21</v>
      </c>
      <c r="N8617" s="24" t="s">
        <v>21</v>
      </c>
      <c r="O8617" s="24">
        <v>0</v>
      </c>
      <c r="P8617" s="24" t="s">
        <v>21</v>
      </c>
      <c r="Q8617" s="24" t="s">
        <v>21</v>
      </c>
      <c r="R8617" s="24" t="s">
        <v>21</v>
      </c>
      <c r="S8617" s="24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5">
        <v>0</v>
      </c>
      <c r="E8618" s="5">
        <v>9</v>
      </c>
      <c r="F8618" s="5" t="s">
        <v>9</v>
      </c>
      <c r="G8618" s="15" t="s">
        <v>8</v>
      </c>
      <c r="H8618" s="24">
        <v>1.000000003259629</v>
      </c>
      <c r="I8618" s="24" t="s">
        <v>21</v>
      </c>
      <c r="J8618" s="24" t="s">
        <v>21</v>
      </c>
      <c r="K8618" s="24" t="s">
        <v>21</v>
      </c>
      <c r="L8618" s="24" t="s">
        <v>21</v>
      </c>
      <c r="M8618" s="24" t="s">
        <v>21</v>
      </c>
      <c r="N8618" s="24" t="s">
        <v>21</v>
      </c>
      <c r="O8618" s="24">
        <v>1.000000003259629</v>
      </c>
      <c r="P8618" s="24" t="s">
        <v>21</v>
      </c>
      <c r="Q8618" s="24" t="s">
        <v>21</v>
      </c>
      <c r="R8618" s="24" t="s">
        <v>21</v>
      </c>
      <c r="S8618" s="24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5">
        <v>0</v>
      </c>
      <c r="E8619" s="5">
        <v>6</v>
      </c>
      <c r="F8619" s="5" t="s">
        <v>9</v>
      </c>
      <c r="G8619" s="15" t="s">
        <v>8</v>
      </c>
      <c r="H8619" s="24">
        <v>0</v>
      </c>
      <c r="I8619" s="24" t="s">
        <v>21</v>
      </c>
      <c r="J8619" s="24" t="s">
        <v>21</v>
      </c>
      <c r="K8619" s="24" t="s">
        <v>21</v>
      </c>
      <c r="L8619" s="24" t="s">
        <v>21</v>
      </c>
      <c r="M8619" s="24" t="s">
        <v>21</v>
      </c>
      <c r="N8619" s="24" t="s">
        <v>21</v>
      </c>
      <c r="O8619" s="24">
        <v>0</v>
      </c>
      <c r="P8619" s="24" t="s">
        <v>21</v>
      </c>
      <c r="Q8619" s="24" t="s">
        <v>21</v>
      </c>
      <c r="R8619" s="24" t="s">
        <v>21</v>
      </c>
      <c r="S8619" s="24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5">
        <v>0</v>
      </c>
      <c r="E8620" s="5">
        <v>0</v>
      </c>
      <c r="F8620" s="5" t="s">
        <v>9</v>
      </c>
      <c r="G8620" s="15" t="s">
        <v>8</v>
      </c>
      <c r="H8620" s="24">
        <v>0</v>
      </c>
      <c r="I8620" s="24" t="s">
        <v>21</v>
      </c>
      <c r="J8620" s="24" t="s">
        <v>21</v>
      </c>
      <c r="K8620" s="24" t="s">
        <v>21</v>
      </c>
      <c r="L8620" s="24" t="s">
        <v>21</v>
      </c>
      <c r="M8620" s="24" t="s">
        <v>21</v>
      </c>
      <c r="N8620" s="24" t="s">
        <v>21</v>
      </c>
      <c r="O8620" s="24">
        <v>0</v>
      </c>
      <c r="P8620" s="24" t="s">
        <v>21</v>
      </c>
      <c r="Q8620" s="24" t="s">
        <v>21</v>
      </c>
      <c r="R8620" s="24" t="s">
        <v>21</v>
      </c>
      <c r="S8620" s="24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5">
        <v>0</v>
      </c>
      <c r="E8621" s="5">
        <v>11</v>
      </c>
      <c r="F8621" s="5" t="s">
        <v>9</v>
      </c>
      <c r="G8621" s="15" t="s">
        <v>8</v>
      </c>
      <c r="H8621" s="24">
        <v>1.000000003259629</v>
      </c>
      <c r="I8621" s="24" t="s">
        <v>21</v>
      </c>
      <c r="J8621" s="24" t="s">
        <v>21</v>
      </c>
      <c r="K8621" s="24" t="s">
        <v>21</v>
      </c>
      <c r="L8621" s="24" t="s">
        <v>21</v>
      </c>
      <c r="M8621" s="24" t="s">
        <v>21</v>
      </c>
      <c r="N8621" s="24" t="s">
        <v>21</v>
      </c>
      <c r="O8621" s="24">
        <v>1.000000003259629</v>
      </c>
      <c r="P8621" s="24" t="s">
        <v>21</v>
      </c>
      <c r="Q8621" s="24" t="s">
        <v>21</v>
      </c>
      <c r="R8621" s="24" t="s">
        <v>21</v>
      </c>
      <c r="S8621" s="24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5">
        <v>0</v>
      </c>
      <c r="E8622" s="5">
        <v>9</v>
      </c>
      <c r="F8622" s="5" t="s">
        <v>9</v>
      </c>
      <c r="G8622" s="15" t="s">
        <v>8</v>
      </c>
      <c r="H8622" s="24">
        <v>0</v>
      </c>
      <c r="I8622" s="24" t="s">
        <v>21</v>
      </c>
      <c r="J8622" s="24" t="s">
        <v>21</v>
      </c>
      <c r="K8622" s="24" t="s">
        <v>21</v>
      </c>
      <c r="L8622" s="24" t="s">
        <v>21</v>
      </c>
      <c r="M8622" s="24" t="s">
        <v>21</v>
      </c>
      <c r="N8622" s="24" t="s">
        <v>21</v>
      </c>
      <c r="O8622" s="24">
        <v>0</v>
      </c>
      <c r="P8622" s="24" t="s">
        <v>21</v>
      </c>
      <c r="Q8622" s="24" t="s">
        <v>21</v>
      </c>
      <c r="R8622" s="24" t="s">
        <v>21</v>
      </c>
      <c r="S8622" s="24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5">
        <v>0</v>
      </c>
      <c r="E8623" s="5">
        <v>9</v>
      </c>
      <c r="F8623" s="5" t="s">
        <v>9</v>
      </c>
      <c r="G8623" s="15" t="s">
        <v>8</v>
      </c>
      <c r="H8623" s="24">
        <v>1.000000003259629</v>
      </c>
      <c r="I8623" s="24" t="s">
        <v>21</v>
      </c>
      <c r="J8623" s="24" t="s">
        <v>21</v>
      </c>
      <c r="K8623" s="24" t="s">
        <v>21</v>
      </c>
      <c r="L8623" s="24" t="s">
        <v>21</v>
      </c>
      <c r="M8623" s="24" t="s">
        <v>21</v>
      </c>
      <c r="N8623" s="24" t="s">
        <v>21</v>
      </c>
      <c r="O8623" s="24">
        <v>1.000000003259629</v>
      </c>
      <c r="P8623" s="24" t="s">
        <v>21</v>
      </c>
      <c r="Q8623" s="24" t="s">
        <v>21</v>
      </c>
      <c r="R8623" s="24" t="s">
        <v>21</v>
      </c>
      <c r="S8623" s="24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5">
        <v>25</v>
      </c>
      <c r="E8624" s="5">
        <v>0</v>
      </c>
      <c r="F8624" s="5" t="s">
        <v>9</v>
      </c>
      <c r="G8624" s="15" t="s">
        <v>8</v>
      </c>
      <c r="H8624" s="24">
        <v>0</v>
      </c>
      <c r="I8624" s="24" t="s">
        <v>21</v>
      </c>
      <c r="J8624" s="24" t="s">
        <v>21</v>
      </c>
      <c r="K8624" s="24" t="s">
        <v>21</v>
      </c>
      <c r="L8624" s="24" t="s">
        <v>21</v>
      </c>
      <c r="M8624" s="24" t="s">
        <v>21</v>
      </c>
      <c r="N8624" s="24" t="s">
        <v>21</v>
      </c>
      <c r="O8624" s="24">
        <v>0</v>
      </c>
      <c r="P8624" s="24" t="s">
        <v>21</v>
      </c>
      <c r="Q8624" s="24" t="s">
        <v>21</v>
      </c>
      <c r="R8624" s="24" t="s">
        <v>21</v>
      </c>
      <c r="S8624" s="24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5">
        <v>23</v>
      </c>
      <c r="E8625" s="5">
        <v>0</v>
      </c>
      <c r="F8625" s="5" t="s">
        <v>9</v>
      </c>
      <c r="G8625" s="15" t="s">
        <v>8</v>
      </c>
      <c r="H8625" s="24">
        <v>0</v>
      </c>
      <c r="I8625" s="24" t="s">
        <v>21</v>
      </c>
      <c r="J8625" s="24" t="s">
        <v>21</v>
      </c>
      <c r="K8625" s="24" t="s">
        <v>21</v>
      </c>
      <c r="L8625" s="24" t="s">
        <v>21</v>
      </c>
      <c r="M8625" s="24" t="s">
        <v>21</v>
      </c>
      <c r="N8625" s="24" t="s">
        <v>21</v>
      </c>
      <c r="O8625" s="24">
        <v>0</v>
      </c>
      <c r="P8625" s="24" t="s">
        <v>21</v>
      </c>
      <c r="Q8625" s="24" t="s">
        <v>21</v>
      </c>
      <c r="R8625" s="24" t="s">
        <v>21</v>
      </c>
      <c r="S8625" s="24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5">
        <v>4</v>
      </c>
      <c r="E8626" s="5">
        <v>4</v>
      </c>
      <c r="F8626" s="5" t="s">
        <v>9</v>
      </c>
      <c r="G8626" s="15" t="s">
        <v>8</v>
      </c>
      <c r="H8626" s="24">
        <v>0</v>
      </c>
      <c r="I8626" s="24" t="s">
        <v>21</v>
      </c>
      <c r="J8626" s="24" t="s">
        <v>21</v>
      </c>
      <c r="K8626" s="24" t="s">
        <v>21</v>
      </c>
      <c r="L8626" s="24" t="s">
        <v>21</v>
      </c>
      <c r="M8626" s="24" t="s">
        <v>21</v>
      </c>
      <c r="N8626" s="24" t="s">
        <v>21</v>
      </c>
      <c r="O8626" s="24">
        <v>0</v>
      </c>
      <c r="P8626" s="24" t="s">
        <v>21</v>
      </c>
      <c r="Q8626" s="24" t="s">
        <v>21</v>
      </c>
      <c r="R8626" s="24" t="s">
        <v>21</v>
      </c>
      <c r="S8626" s="24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5">
        <v>18</v>
      </c>
      <c r="E8627" s="5">
        <v>0</v>
      </c>
      <c r="F8627" s="5" t="s">
        <v>9</v>
      </c>
      <c r="G8627" s="15" t="s">
        <v>8</v>
      </c>
      <c r="H8627" s="24">
        <v>0.99999999278225005</v>
      </c>
      <c r="I8627" s="24" t="s">
        <v>21</v>
      </c>
      <c r="J8627" s="24" t="s">
        <v>21</v>
      </c>
      <c r="K8627" s="24" t="s">
        <v>21</v>
      </c>
      <c r="L8627" s="24" t="s">
        <v>21</v>
      </c>
      <c r="M8627" s="24" t="s">
        <v>21</v>
      </c>
      <c r="N8627" s="24" t="s">
        <v>21</v>
      </c>
      <c r="O8627" s="24">
        <v>0.99999999278225005</v>
      </c>
      <c r="P8627" s="24" t="s">
        <v>21</v>
      </c>
      <c r="Q8627" s="24" t="s">
        <v>21</v>
      </c>
      <c r="R8627" s="24" t="s">
        <v>21</v>
      </c>
      <c r="S8627" s="24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5">
        <v>13</v>
      </c>
      <c r="E8628" s="5">
        <v>0</v>
      </c>
      <c r="F8628" s="5" t="s">
        <v>9</v>
      </c>
      <c r="G8628" s="15" t="s">
        <v>8</v>
      </c>
      <c r="H8628" s="24">
        <v>0</v>
      </c>
      <c r="I8628" s="24" t="s">
        <v>21</v>
      </c>
      <c r="J8628" s="24" t="s">
        <v>21</v>
      </c>
      <c r="K8628" s="24" t="s">
        <v>21</v>
      </c>
      <c r="L8628" s="24" t="s">
        <v>21</v>
      </c>
      <c r="M8628" s="24" t="s">
        <v>21</v>
      </c>
      <c r="N8628" s="24" t="s">
        <v>21</v>
      </c>
      <c r="O8628" s="24">
        <v>0</v>
      </c>
      <c r="P8628" s="24" t="s">
        <v>21</v>
      </c>
      <c r="Q8628" s="24" t="s">
        <v>21</v>
      </c>
      <c r="R8628" s="24" t="s">
        <v>21</v>
      </c>
      <c r="S8628" s="24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5">
        <v>26</v>
      </c>
      <c r="E8629" s="5">
        <v>0</v>
      </c>
      <c r="F8629" s="5" t="s">
        <v>9</v>
      </c>
      <c r="G8629" s="15" t="s">
        <v>8</v>
      </c>
      <c r="H8629" s="24">
        <v>0</v>
      </c>
      <c r="I8629" s="24" t="s">
        <v>21</v>
      </c>
      <c r="J8629" s="24" t="s">
        <v>21</v>
      </c>
      <c r="K8629" s="24" t="s">
        <v>21</v>
      </c>
      <c r="L8629" s="24" t="s">
        <v>21</v>
      </c>
      <c r="M8629" s="24" t="s">
        <v>21</v>
      </c>
      <c r="N8629" s="24" t="s">
        <v>21</v>
      </c>
      <c r="O8629" s="24">
        <v>0</v>
      </c>
      <c r="P8629" s="24" t="s">
        <v>21</v>
      </c>
      <c r="Q8629" s="24" t="s">
        <v>21</v>
      </c>
      <c r="R8629" s="24" t="s">
        <v>21</v>
      </c>
      <c r="S8629" s="24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5">
        <v>16</v>
      </c>
      <c r="E8630" s="5">
        <v>0</v>
      </c>
      <c r="F8630" s="5" t="s">
        <v>9</v>
      </c>
      <c r="G8630" s="15" t="s">
        <v>8</v>
      </c>
      <c r="H8630" s="24">
        <v>0</v>
      </c>
      <c r="I8630" s="24" t="s">
        <v>21</v>
      </c>
      <c r="J8630" s="24" t="s">
        <v>21</v>
      </c>
      <c r="K8630" s="24" t="s">
        <v>21</v>
      </c>
      <c r="L8630" s="24" t="s">
        <v>21</v>
      </c>
      <c r="M8630" s="24" t="s">
        <v>21</v>
      </c>
      <c r="N8630" s="24" t="s">
        <v>21</v>
      </c>
      <c r="O8630" s="24">
        <v>0</v>
      </c>
      <c r="P8630" s="24" t="s">
        <v>21</v>
      </c>
      <c r="Q8630" s="24" t="s">
        <v>21</v>
      </c>
      <c r="R8630" s="24" t="s">
        <v>21</v>
      </c>
      <c r="S8630" s="24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5">
        <v>19</v>
      </c>
      <c r="E8631" s="5">
        <v>0</v>
      </c>
      <c r="F8631" s="5" t="s">
        <v>9</v>
      </c>
      <c r="G8631" s="15" t="s">
        <v>8</v>
      </c>
      <c r="H8631" s="24">
        <v>1.000000003259629</v>
      </c>
      <c r="I8631" s="24" t="s">
        <v>21</v>
      </c>
      <c r="J8631" s="24" t="s">
        <v>21</v>
      </c>
      <c r="K8631" s="24" t="s">
        <v>21</v>
      </c>
      <c r="L8631" s="24" t="s">
        <v>21</v>
      </c>
      <c r="M8631" s="24" t="s">
        <v>21</v>
      </c>
      <c r="N8631" s="24" t="s">
        <v>21</v>
      </c>
      <c r="O8631" s="24">
        <v>1.000000003259629</v>
      </c>
      <c r="P8631" s="24" t="s">
        <v>21</v>
      </c>
      <c r="Q8631" s="24" t="s">
        <v>21</v>
      </c>
      <c r="R8631" s="24" t="s">
        <v>21</v>
      </c>
      <c r="S8631" s="24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5">
        <v>9</v>
      </c>
      <c r="E8632" s="5">
        <v>0</v>
      </c>
      <c r="F8632" s="5" t="s">
        <v>9</v>
      </c>
      <c r="G8632" s="15" t="s">
        <v>8</v>
      </c>
      <c r="H8632" s="24">
        <v>0</v>
      </c>
      <c r="I8632" s="24" t="s">
        <v>21</v>
      </c>
      <c r="J8632" s="24" t="s">
        <v>21</v>
      </c>
      <c r="K8632" s="24" t="s">
        <v>21</v>
      </c>
      <c r="L8632" s="24" t="s">
        <v>21</v>
      </c>
      <c r="M8632" s="24" t="s">
        <v>21</v>
      </c>
      <c r="N8632" s="24" t="s">
        <v>21</v>
      </c>
      <c r="O8632" s="24">
        <v>0</v>
      </c>
      <c r="P8632" s="24" t="s">
        <v>21</v>
      </c>
      <c r="Q8632" s="24" t="s">
        <v>21</v>
      </c>
      <c r="R8632" s="24" t="s">
        <v>21</v>
      </c>
      <c r="S8632" s="24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5">
        <v>31</v>
      </c>
      <c r="E8633" s="5">
        <v>0</v>
      </c>
      <c r="F8633" s="5" t="s">
        <v>9</v>
      </c>
      <c r="G8633" s="15" t="s">
        <v>8</v>
      </c>
      <c r="H8633" s="24">
        <v>0</v>
      </c>
      <c r="I8633" s="24" t="s">
        <v>21</v>
      </c>
      <c r="J8633" s="24" t="s">
        <v>21</v>
      </c>
      <c r="K8633" s="24" t="s">
        <v>21</v>
      </c>
      <c r="L8633" s="24" t="s">
        <v>21</v>
      </c>
      <c r="M8633" s="24" t="s">
        <v>21</v>
      </c>
      <c r="N8633" s="24" t="s">
        <v>21</v>
      </c>
      <c r="O8633" s="24">
        <v>0</v>
      </c>
      <c r="P8633" s="24" t="s">
        <v>21</v>
      </c>
      <c r="Q8633" s="24" t="s">
        <v>21</v>
      </c>
      <c r="R8633" s="24" t="s">
        <v>21</v>
      </c>
      <c r="S8633" s="24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5">
        <v>17</v>
      </c>
      <c r="E8634" s="5">
        <v>0</v>
      </c>
      <c r="F8634" s="5" t="s">
        <v>9</v>
      </c>
      <c r="G8634" s="15" t="s">
        <v>8</v>
      </c>
      <c r="H8634" s="24">
        <v>0</v>
      </c>
      <c r="I8634" s="24" t="s">
        <v>21</v>
      </c>
      <c r="J8634" s="24" t="s">
        <v>21</v>
      </c>
      <c r="K8634" s="24" t="s">
        <v>21</v>
      </c>
      <c r="L8634" s="24" t="s">
        <v>21</v>
      </c>
      <c r="M8634" s="24" t="s">
        <v>21</v>
      </c>
      <c r="N8634" s="24" t="s">
        <v>21</v>
      </c>
      <c r="O8634" s="24">
        <v>0</v>
      </c>
      <c r="P8634" s="24" t="s">
        <v>21</v>
      </c>
      <c r="Q8634" s="24" t="s">
        <v>21</v>
      </c>
      <c r="R8634" s="24" t="s">
        <v>21</v>
      </c>
      <c r="S8634" s="24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5">
        <v>19</v>
      </c>
      <c r="E8635" s="5">
        <v>0</v>
      </c>
      <c r="F8635" s="5" t="s">
        <v>9</v>
      </c>
      <c r="G8635" s="15" t="s">
        <v>8</v>
      </c>
      <c r="H8635" s="24">
        <v>1.000000003259629</v>
      </c>
      <c r="I8635" s="24" t="s">
        <v>21</v>
      </c>
      <c r="J8635" s="24" t="s">
        <v>21</v>
      </c>
      <c r="K8635" s="24" t="s">
        <v>21</v>
      </c>
      <c r="L8635" s="24" t="s">
        <v>21</v>
      </c>
      <c r="M8635" s="24" t="s">
        <v>21</v>
      </c>
      <c r="N8635" s="24" t="s">
        <v>21</v>
      </c>
      <c r="O8635" s="24">
        <v>1.000000003259629</v>
      </c>
      <c r="P8635" s="24" t="s">
        <v>21</v>
      </c>
      <c r="Q8635" s="24" t="s">
        <v>21</v>
      </c>
      <c r="R8635" s="24" t="s">
        <v>21</v>
      </c>
      <c r="S8635" s="24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5">
        <v>13</v>
      </c>
      <c r="E8636" s="5">
        <v>0</v>
      </c>
      <c r="F8636" s="5" t="s">
        <v>9</v>
      </c>
      <c r="G8636" s="15" t="s">
        <v>8</v>
      </c>
      <c r="H8636" s="24">
        <v>0</v>
      </c>
      <c r="I8636" s="24" t="s">
        <v>21</v>
      </c>
      <c r="J8636" s="24" t="s">
        <v>21</v>
      </c>
      <c r="K8636" s="24" t="s">
        <v>21</v>
      </c>
      <c r="L8636" s="24" t="s">
        <v>21</v>
      </c>
      <c r="M8636" s="24" t="s">
        <v>21</v>
      </c>
      <c r="N8636" s="24" t="s">
        <v>21</v>
      </c>
      <c r="O8636" s="24">
        <v>0</v>
      </c>
      <c r="P8636" s="24" t="s">
        <v>21</v>
      </c>
      <c r="Q8636" s="24" t="s">
        <v>21</v>
      </c>
      <c r="R8636" s="24" t="s">
        <v>21</v>
      </c>
      <c r="S8636" s="24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5">
        <v>9</v>
      </c>
      <c r="E8637" s="5">
        <v>0</v>
      </c>
      <c r="F8637" s="5" t="s">
        <v>9</v>
      </c>
      <c r="G8637" s="15" t="s">
        <v>8</v>
      </c>
      <c r="H8637" s="24">
        <v>0.99999999278225005</v>
      </c>
      <c r="I8637" s="24" t="s">
        <v>21</v>
      </c>
      <c r="J8637" s="24" t="s">
        <v>21</v>
      </c>
      <c r="K8637" s="24" t="s">
        <v>21</v>
      </c>
      <c r="L8637" s="24" t="s">
        <v>21</v>
      </c>
      <c r="M8637" s="24" t="s">
        <v>21</v>
      </c>
      <c r="N8637" s="24" t="s">
        <v>21</v>
      </c>
      <c r="O8637" s="24">
        <v>0.99999999278225005</v>
      </c>
      <c r="P8637" s="24" t="s">
        <v>21</v>
      </c>
      <c r="Q8637" s="24" t="s">
        <v>21</v>
      </c>
      <c r="R8637" s="24" t="s">
        <v>21</v>
      </c>
      <c r="S8637" s="24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5">
        <v>13</v>
      </c>
      <c r="E8638" s="5">
        <v>0</v>
      </c>
      <c r="F8638" s="5" t="s">
        <v>9</v>
      </c>
      <c r="G8638" s="15" t="s">
        <v>8</v>
      </c>
      <c r="H8638" s="24">
        <v>0</v>
      </c>
      <c r="I8638" s="24" t="s">
        <v>21</v>
      </c>
      <c r="J8638" s="24" t="s">
        <v>21</v>
      </c>
      <c r="K8638" s="24" t="s">
        <v>21</v>
      </c>
      <c r="L8638" s="24" t="s">
        <v>21</v>
      </c>
      <c r="M8638" s="24" t="s">
        <v>21</v>
      </c>
      <c r="N8638" s="24" t="s">
        <v>21</v>
      </c>
      <c r="O8638" s="24">
        <v>0</v>
      </c>
      <c r="P8638" s="24" t="s">
        <v>21</v>
      </c>
      <c r="Q8638" s="24" t="s">
        <v>21</v>
      </c>
      <c r="R8638" s="24" t="s">
        <v>21</v>
      </c>
      <c r="S8638" s="24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5">
        <v>22</v>
      </c>
      <c r="E8639" s="5">
        <v>0</v>
      </c>
      <c r="F8639" s="5" t="s">
        <v>9</v>
      </c>
      <c r="G8639" s="15" t="s">
        <v>8</v>
      </c>
      <c r="H8639" s="24">
        <v>0</v>
      </c>
      <c r="I8639" s="24" t="s">
        <v>21</v>
      </c>
      <c r="J8639" s="24" t="s">
        <v>21</v>
      </c>
      <c r="K8639" s="24" t="s">
        <v>21</v>
      </c>
      <c r="L8639" s="24" t="s">
        <v>21</v>
      </c>
      <c r="M8639" s="24" t="s">
        <v>21</v>
      </c>
      <c r="N8639" s="24" t="s">
        <v>21</v>
      </c>
      <c r="O8639" s="24">
        <v>0</v>
      </c>
      <c r="P8639" s="24" t="s">
        <v>21</v>
      </c>
      <c r="Q8639" s="24" t="s">
        <v>21</v>
      </c>
      <c r="R8639" s="24" t="s">
        <v>21</v>
      </c>
      <c r="S8639" s="24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5">
        <v>20</v>
      </c>
      <c r="E8640" s="5">
        <v>0</v>
      </c>
      <c r="F8640" s="5" t="s">
        <v>9</v>
      </c>
      <c r="G8640" s="15" t="s">
        <v>8</v>
      </c>
      <c r="H8640" s="24">
        <v>0</v>
      </c>
      <c r="I8640" s="24" t="s">
        <v>21</v>
      </c>
      <c r="J8640" s="24" t="s">
        <v>21</v>
      </c>
      <c r="K8640" s="24" t="s">
        <v>21</v>
      </c>
      <c r="L8640" s="24" t="s">
        <v>21</v>
      </c>
      <c r="M8640" s="24" t="s">
        <v>21</v>
      </c>
      <c r="N8640" s="24" t="s">
        <v>21</v>
      </c>
      <c r="O8640" s="24">
        <v>0</v>
      </c>
      <c r="P8640" s="24" t="s">
        <v>21</v>
      </c>
      <c r="Q8640" s="24" t="s">
        <v>21</v>
      </c>
      <c r="R8640" s="24" t="s">
        <v>21</v>
      </c>
      <c r="S8640" s="24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5">
        <v>0</v>
      </c>
      <c r="E8641" s="5">
        <v>3</v>
      </c>
      <c r="F8641" s="5" t="s">
        <v>9</v>
      </c>
      <c r="G8641" s="15" t="s">
        <v>8</v>
      </c>
      <c r="H8641" s="24">
        <v>1.000000003259629</v>
      </c>
      <c r="I8641" s="24" t="s">
        <v>21</v>
      </c>
      <c r="J8641" s="24" t="s">
        <v>21</v>
      </c>
      <c r="K8641" s="24" t="s">
        <v>21</v>
      </c>
      <c r="L8641" s="24" t="s">
        <v>21</v>
      </c>
      <c r="M8641" s="24" t="s">
        <v>21</v>
      </c>
      <c r="N8641" s="24" t="s">
        <v>21</v>
      </c>
      <c r="O8641" s="24">
        <v>1.000000003259629</v>
      </c>
      <c r="P8641" s="24" t="s">
        <v>21</v>
      </c>
      <c r="Q8641" s="24" t="s">
        <v>21</v>
      </c>
      <c r="R8641" s="24" t="s">
        <v>21</v>
      </c>
      <c r="S8641" s="24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5">
        <v>6</v>
      </c>
      <c r="E8642" s="5">
        <v>0</v>
      </c>
      <c r="F8642" s="5" t="s">
        <v>9</v>
      </c>
      <c r="G8642" s="15" t="s">
        <v>8</v>
      </c>
      <c r="H8642" s="24">
        <v>0</v>
      </c>
      <c r="I8642" s="24" t="s">
        <v>21</v>
      </c>
      <c r="J8642" s="24" t="s">
        <v>21</v>
      </c>
      <c r="K8642" s="24" t="s">
        <v>21</v>
      </c>
      <c r="L8642" s="24" t="s">
        <v>21</v>
      </c>
      <c r="M8642" s="24" t="s">
        <v>21</v>
      </c>
      <c r="N8642" s="24" t="s">
        <v>21</v>
      </c>
      <c r="O8642" s="24">
        <v>0</v>
      </c>
      <c r="P8642" s="24" t="s">
        <v>21</v>
      </c>
      <c r="Q8642" s="24" t="s">
        <v>21</v>
      </c>
      <c r="R8642" s="24" t="s">
        <v>21</v>
      </c>
      <c r="S8642" s="24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5">
        <v>12</v>
      </c>
      <c r="E8643" s="5">
        <v>0</v>
      </c>
      <c r="F8643" s="5" t="s">
        <v>9</v>
      </c>
      <c r="G8643" s="15" t="s">
        <v>8</v>
      </c>
      <c r="H8643" s="24">
        <v>0</v>
      </c>
      <c r="I8643" s="24" t="s">
        <v>21</v>
      </c>
      <c r="J8643" s="24" t="s">
        <v>21</v>
      </c>
      <c r="K8643" s="24" t="s">
        <v>21</v>
      </c>
      <c r="L8643" s="24" t="s">
        <v>21</v>
      </c>
      <c r="M8643" s="24" t="s">
        <v>21</v>
      </c>
      <c r="N8643" s="24" t="s">
        <v>21</v>
      </c>
      <c r="O8643" s="24">
        <v>0</v>
      </c>
      <c r="P8643" s="24" t="s">
        <v>21</v>
      </c>
      <c r="Q8643" s="24" t="s">
        <v>21</v>
      </c>
      <c r="R8643" s="24" t="s">
        <v>21</v>
      </c>
      <c r="S8643" s="24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5">
        <v>0</v>
      </c>
      <c r="E8644" s="5">
        <v>8</v>
      </c>
      <c r="F8644" s="5" t="s">
        <v>9</v>
      </c>
      <c r="G8644" s="15" t="s">
        <v>8</v>
      </c>
      <c r="H8644" s="24">
        <v>0</v>
      </c>
      <c r="I8644" s="24" t="s">
        <v>21</v>
      </c>
      <c r="J8644" s="24" t="s">
        <v>21</v>
      </c>
      <c r="K8644" s="24" t="s">
        <v>21</v>
      </c>
      <c r="L8644" s="24" t="s">
        <v>21</v>
      </c>
      <c r="M8644" s="24" t="s">
        <v>21</v>
      </c>
      <c r="N8644" s="24" t="s">
        <v>21</v>
      </c>
      <c r="O8644" s="24">
        <v>0</v>
      </c>
      <c r="P8644" s="24" t="s">
        <v>21</v>
      </c>
      <c r="Q8644" s="24" t="s">
        <v>21</v>
      </c>
      <c r="R8644" s="24" t="s">
        <v>21</v>
      </c>
      <c r="S8644" s="24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5">
        <v>11</v>
      </c>
      <c r="E8645" s="5">
        <v>0</v>
      </c>
      <c r="F8645" s="5" t="s">
        <v>9</v>
      </c>
      <c r="G8645" s="15" t="s">
        <v>8</v>
      </c>
      <c r="H8645" s="24">
        <v>1.000000003259629</v>
      </c>
      <c r="I8645" s="24" t="s">
        <v>21</v>
      </c>
      <c r="J8645" s="24" t="s">
        <v>21</v>
      </c>
      <c r="K8645" s="24" t="s">
        <v>21</v>
      </c>
      <c r="L8645" s="24" t="s">
        <v>21</v>
      </c>
      <c r="M8645" s="24" t="s">
        <v>21</v>
      </c>
      <c r="N8645" s="24" t="s">
        <v>21</v>
      </c>
      <c r="O8645" s="24">
        <v>1.000000003259629</v>
      </c>
      <c r="P8645" s="24" t="s">
        <v>21</v>
      </c>
      <c r="Q8645" s="24" t="s">
        <v>21</v>
      </c>
      <c r="R8645" s="24" t="s">
        <v>21</v>
      </c>
      <c r="S8645" s="24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5">
        <v>0</v>
      </c>
      <c r="E8646" s="5">
        <v>0</v>
      </c>
      <c r="F8646" s="5" t="s">
        <v>9</v>
      </c>
      <c r="G8646" s="15" t="s">
        <v>8</v>
      </c>
      <c r="H8646" s="24">
        <v>0</v>
      </c>
      <c r="I8646" s="24" t="s">
        <v>21</v>
      </c>
      <c r="J8646" s="24" t="s">
        <v>21</v>
      </c>
      <c r="K8646" s="24" t="s">
        <v>21</v>
      </c>
      <c r="L8646" s="24" t="s">
        <v>21</v>
      </c>
      <c r="M8646" s="24" t="s">
        <v>21</v>
      </c>
      <c r="N8646" s="24" t="s">
        <v>21</v>
      </c>
      <c r="O8646" s="24">
        <v>0</v>
      </c>
      <c r="P8646" s="24" t="s">
        <v>21</v>
      </c>
      <c r="Q8646" s="24" t="s">
        <v>21</v>
      </c>
      <c r="R8646" s="24" t="s">
        <v>21</v>
      </c>
      <c r="S8646" s="24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5">
        <v>0</v>
      </c>
      <c r="E8647" s="5">
        <v>0</v>
      </c>
      <c r="F8647" s="5" t="s">
        <v>9</v>
      </c>
      <c r="G8647" s="15" t="s">
        <v>8</v>
      </c>
      <c r="H8647" s="24">
        <v>0</v>
      </c>
      <c r="I8647" s="24" t="s">
        <v>21</v>
      </c>
      <c r="J8647" s="24" t="s">
        <v>21</v>
      </c>
      <c r="K8647" s="24" t="s">
        <v>21</v>
      </c>
      <c r="L8647" s="24" t="s">
        <v>21</v>
      </c>
      <c r="M8647" s="24" t="s">
        <v>21</v>
      </c>
      <c r="N8647" s="24" t="s">
        <v>21</v>
      </c>
      <c r="O8647" s="24">
        <v>0</v>
      </c>
      <c r="P8647" s="24" t="s">
        <v>21</v>
      </c>
      <c r="Q8647" s="24" t="s">
        <v>21</v>
      </c>
      <c r="R8647" s="24" t="s">
        <v>21</v>
      </c>
      <c r="S8647" s="24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5">
        <v>0</v>
      </c>
      <c r="E8648" s="5">
        <v>0</v>
      </c>
      <c r="F8648" s="5" t="s">
        <v>9</v>
      </c>
      <c r="G8648" s="15" t="s">
        <v>8</v>
      </c>
      <c r="H8648" s="24">
        <v>0</v>
      </c>
      <c r="I8648" s="24" t="s">
        <v>21</v>
      </c>
      <c r="J8648" s="24" t="s">
        <v>21</v>
      </c>
      <c r="K8648" s="24" t="s">
        <v>21</v>
      </c>
      <c r="L8648" s="24" t="s">
        <v>21</v>
      </c>
      <c r="M8648" s="24" t="s">
        <v>21</v>
      </c>
      <c r="N8648" s="24" t="s">
        <v>21</v>
      </c>
      <c r="O8648" s="24">
        <v>0</v>
      </c>
      <c r="P8648" s="24" t="s">
        <v>21</v>
      </c>
      <c r="Q8648" s="24" t="s">
        <v>21</v>
      </c>
      <c r="R8648" s="24" t="s">
        <v>21</v>
      </c>
      <c r="S8648" s="24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5">
        <v>2</v>
      </c>
      <c r="E8649" s="5">
        <v>0</v>
      </c>
      <c r="F8649" s="5" t="s">
        <v>9</v>
      </c>
      <c r="G8649" s="15" t="s">
        <v>8</v>
      </c>
      <c r="H8649" s="24">
        <v>0.99999999278225005</v>
      </c>
      <c r="I8649" s="24" t="s">
        <v>21</v>
      </c>
      <c r="J8649" s="24" t="s">
        <v>21</v>
      </c>
      <c r="K8649" s="24" t="s">
        <v>21</v>
      </c>
      <c r="L8649" s="24" t="s">
        <v>21</v>
      </c>
      <c r="M8649" s="24" t="s">
        <v>21</v>
      </c>
      <c r="N8649" s="24" t="s">
        <v>21</v>
      </c>
      <c r="O8649" s="24">
        <v>0.99999999278225005</v>
      </c>
      <c r="P8649" s="24" t="s">
        <v>21</v>
      </c>
      <c r="Q8649" s="24" t="s">
        <v>21</v>
      </c>
      <c r="R8649" s="24" t="s">
        <v>21</v>
      </c>
      <c r="S8649" s="24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5">
        <v>0</v>
      </c>
      <c r="E8650" s="5">
        <v>0</v>
      </c>
      <c r="F8650" s="5" t="s">
        <v>9</v>
      </c>
      <c r="G8650" s="15" t="s">
        <v>8</v>
      </c>
      <c r="H8650" s="24">
        <v>0</v>
      </c>
      <c r="I8650" s="24" t="s">
        <v>21</v>
      </c>
      <c r="J8650" s="24" t="s">
        <v>21</v>
      </c>
      <c r="K8650" s="24" t="s">
        <v>21</v>
      </c>
      <c r="L8650" s="24" t="s">
        <v>21</v>
      </c>
      <c r="M8650" s="24" t="s">
        <v>21</v>
      </c>
      <c r="N8650" s="24" t="s">
        <v>21</v>
      </c>
      <c r="O8650" s="24">
        <v>0</v>
      </c>
      <c r="P8650" s="24" t="s">
        <v>21</v>
      </c>
      <c r="Q8650" s="24" t="s">
        <v>21</v>
      </c>
      <c r="R8650" s="24" t="s">
        <v>21</v>
      </c>
      <c r="S8650" s="24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5">
        <v>6</v>
      </c>
      <c r="E8651" s="5">
        <v>0</v>
      </c>
      <c r="F8651" s="5" t="s">
        <v>9</v>
      </c>
      <c r="G8651" s="15" t="s">
        <v>8</v>
      </c>
      <c r="H8651" s="24">
        <v>0</v>
      </c>
      <c r="I8651" s="24" t="s">
        <v>21</v>
      </c>
      <c r="J8651" s="24" t="s">
        <v>21</v>
      </c>
      <c r="K8651" s="24" t="s">
        <v>21</v>
      </c>
      <c r="L8651" s="24" t="s">
        <v>21</v>
      </c>
      <c r="M8651" s="24" t="s">
        <v>21</v>
      </c>
      <c r="N8651" s="24" t="s">
        <v>21</v>
      </c>
      <c r="O8651" s="24">
        <v>0</v>
      </c>
      <c r="P8651" s="24" t="s">
        <v>21</v>
      </c>
      <c r="Q8651" s="24" t="s">
        <v>21</v>
      </c>
      <c r="R8651" s="24" t="s">
        <v>21</v>
      </c>
      <c r="S8651" s="24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5">
        <v>0</v>
      </c>
      <c r="E8652" s="5">
        <v>0</v>
      </c>
      <c r="F8652" s="5" t="s">
        <v>9</v>
      </c>
      <c r="G8652" s="15" t="s">
        <v>8</v>
      </c>
      <c r="H8652" s="24">
        <v>0</v>
      </c>
      <c r="I8652" s="24" t="s">
        <v>21</v>
      </c>
      <c r="J8652" s="24" t="s">
        <v>21</v>
      </c>
      <c r="K8652" s="24" t="s">
        <v>21</v>
      </c>
      <c r="L8652" s="24" t="s">
        <v>21</v>
      </c>
      <c r="M8652" s="24" t="s">
        <v>21</v>
      </c>
      <c r="N8652" s="24" t="s">
        <v>21</v>
      </c>
      <c r="O8652" s="24">
        <v>0</v>
      </c>
      <c r="P8652" s="24" t="s">
        <v>21</v>
      </c>
      <c r="Q8652" s="24" t="s">
        <v>21</v>
      </c>
      <c r="R8652" s="24" t="s">
        <v>21</v>
      </c>
      <c r="S8652" s="24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5">
        <v>6</v>
      </c>
      <c r="E8653" s="5">
        <v>0</v>
      </c>
      <c r="F8653" s="5" t="s">
        <v>9</v>
      </c>
      <c r="G8653" s="15" t="s">
        <v>8</v>
      </c>
      <c r="H8653" s="24">
        <v>1.000000003259629</v>
      </c>
      <c r="I8653" s="24" t="s">
        <v>21</v>
      </c>
      <c r="J8653" s="24" t="s">
        <v>21</v>
      </c>
      <c r="K8653" s="24" t="s">
        <v>21</v>
      </c>
      <c r="L8653" s="24" t="s">
        <v>21</v>
      </c>
      <c r="M8653" s="24" t="s">
        <v>21</v>
      </c>
      <c r="N8653" s="24" t="s">
        <v>21</v>
      </c>
      <c r="O8653" s="24">
        <v>1.000000003259629</v>
      </c>
      <c r="P8653" s="24" t="s">
        <v>21</v>
      </c>
      <c r="Q8653" s="24" t="s">
        <v>21</v>
      </c>
      <c r="R8653" s="24" t="s">
        <v>21</v>
      </c>
      <c r="S8653" s="24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5">
        <v>0</v>
      </c>
      <c r="E8654" s="5">
        <v>0</v>
      </c>
      <c r="F8654" s="5" t="s">
        <v>9</v>
      </c>
      <c r="G8654" s="15" t="s">
        <v>8</v>
      </c>
      <c r="H8654" s="24">
        <v>1.000000003259629</v>
      </c>
      <c r="I8654" s="24" t="s">
        <v>21</v>
      </c>
      <c r="J8654" s="24" t="s">
        <v>21</v>
      </c>
      <c r="K8654" s="24" t="s">
        <v>21</v>
      </c>
      <c r="L8654" s="24" t="s">
        <v>21</v>
      </c>
      <c r="M8654" s="24" t="s">
        <v>21</v>
      </c>
      <c r="N8654" s="24" t="s">
        <v>21</v>
      </c>
      <c r="O8654" s="24">
        <v>1.000000003259629</v>
      </c>
      <c r="P8654" s="24" t="s">
        <v>21</v>
      </c>
      <c r="Q8654" s="24" t="s">
        <v>21</v>
      </c>
      <c r="R8654" s="24" t="s">
        <v>21</v>
      </c>
      <c r="S8654" s="24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5">
        <v>0</v>
      </c>
      <c r="E8655" s="5">
        <v>0</v>
      </c>
      <c r="F8655" s="5" t="s">
        <v>9</v>
      </c>
      <c r="G8655" s="15" t="s">
        <v>8</v>
      </c>
      <c r="H8655" s="24">
        <v>0</v>
      </c>
      <c r="I8655" s="24" t="s">
        <v>21</v>
      </c>
      <c r="J8655" s="24" t="s">
        <v>21</v>
      </c>
      <c r="K8655" s="24" t="s">
        <v>21</v>
      </c>
      <c r="L8655" s="24" t="s">
        <v>21</v>
      </c>
      <c r="M8655" s="24" t="s">
        <v>21</v>
      </c>
      <c r="N8655" s="24" t="s">
        <v>21</v>
      </c>
      <c r="O8655" s="24">
        <v>0</v>
      </c>
      <c r="P8655" s="24" t="s">
        <v>21</v>
      </c>
      <c r="Q8655" s="24" t="s">
        <v>21</v>
      </c>
      <c r="R8655" s="24" t="s">
        <v>21</v>
      </c>
      <c r="S8655" s="24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5">
        <v>0</v>
      </c>
      <c r="E8656" s="5">
        <v>2</v>
      </c>
      <c r="F8656" s="5" t="s">
        <v>9</v>
      </c>
      <c r="G8656" s="15" t="s">
        <v>8</v>
      </c>
      <c r="H8656" s="24">
        <v>116.00000000093132</v>
      </c>
      <c r="I8656" s="24">
        <v>644.00000000372529</v>
      </c>
      <c r="J8656" s="24" t="s">
        <v>21</v>
      </c>
      <c r="K8656" s="24" t="s">
        <v>21</v>
      </c>
      <c r="L8656" s="24" t="s">
        <v>21</v>
      </c>
      <c r="M8656" s="24" t="s">
        <v>21</v>
      </c>
      <c r="N8656" s="24" t="s">
        <v>21</v>
      </c>
      <c r="O8656" s="24" t="s">
        <v>21</v>
      </c>
      <c r="P8656" s="24" t="s">
        <v>21</v>
      </c>
      <c r="Q8656" s="24" t="s">
        <v>21</v>
      </c>
      <c r="R8656" s="24" t="s">
        <v>21</v>
      </c>
      <c r="S8656" s="24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5">
        <v>0</v>
      </c>
      <c r="E8657" s="5">
        <v>0</v>
      </c>
      <c r="F8657" s="5" t="s">
        <v>9</v>
      </c>
      <c r="G8657" s="15" t="s">
        <v>8</v>
      </c>
      <c r="H8657" s="24">
        <v>0.99999999278225005</v>
      </c>
      <c r="I8657" s="24">
        <v>0.99999999278225005</v>
      </c>
      <c r="J8657" s="24" t="s">
        <v>21</v>
      </c>
      <c r="K8657" s="24" t="s">
        <v>21</v>
      </c>
      <c r="L8657" s="24" t="s">
        <v>21</v>
      </c>
      <c r="M8657" s="24" t="s">
        <v>21</v>
      </c>
      <c r="N8657" s="24" t="s">
        <v>21</v>
      </c>
      <c r="O8657" s="24" t="s">
        <v>21</v>
      </c>
      <c r="P8657" s="24" t="s">
        <v>21</v>
      </c>
      <c r="Q8657" s="24" t="s">
        <v>21</v>
      </c>
      <c r="R8657" s="24" t="s">
        <v>21</v>
      </c>
      <c r="S8657" s="24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5">
        <v>0</v>
      </c>
      <c r="E8658" s="5">
        <v>3</v>
      </c>
      <c r="F8658" s="5" t="s">
        <v>9</v>
      </c>
      <c r="G8658" s="15" t="s">
        <v>8</v>
      </c>
      <c r="H8658" s="24">
        <v>1.000000003259629</v>
      </c>
      <c r="I8658" s="24">
        <v>1.000000003259629</v>
      </c>
      <c r="J8658" s="24" t="s">
        <v>21</v>
      </c>
      <c r="K8658" s="24" t="s">
        <v>21</v>
      </c>
      <c r="L8658" s="24" t="s">
        <v>21</v>
      </c>
      <c r="M8658" s="24" t="s">
        <v>21</v>
      </c>
      <c r="N8658" s="24" t="s">
        <v>21</v>
      </c>
      <c r="O8658" s="24" t="s">
        <v>21</v>
      </c>
      <c r="P8658" s="24" t="s">
        <v>21</v>
      </c>
      <c r="Q8658" s="24" t="s">
        <v>21</v>
      </c>
      <c r="R8658" s="24" t="s">
        <v>21</v>
      </c>
      <c r="S8658" s="24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5">
        <v>0</v>
      </c>
      <c r="E8659" s="5">
        <v>3</v>
      </c>
      <c r="F8659" s="5" t="s">
        <v>9</v>
      </c>
      <c r="G8659" s="15" t="s">
        <v>8</v>
      </c>
      <c r="H8659" s="24">
        <v>0</v>
      </c>
      <c r="I8659" s="24">
        <v>0</v>
      </c>
      <c r="J8659" s="24" t="s">
        <v>21</v>
      </c>
      <c r="K8659" s="24" t="s">
        <v>21</v>
      </c>
      <c r="L8659" s="24" t="s">
        <v>21</v>
      </c>
      <c r="M8659" s="24" t="s">
        <v>21</v>
      </c>
      <c r="N8659" s="24" t="s">
        <v>21</v>
      </c>
      <c r="O8659" s="24" t="s">
        <v>21</v>
      </c>
      <c r="P8659" s="24" t="s">
        <v>21</v>
      </c>
      <c r="Q8659" s="24" t="s">
        <v>21</v>
      </c>
      <c r="R8659" s="24" t="s">
        <v>21</v>
      </c>
      <c r="S8659" s="24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5">
        <v>0</v>
      </c>
      <c r="E8660" s="5">
        <v>3</v>
      </c>
      <c r="F8660" s="5" t="s">
        <v>9</v>
      </c>
      <c r="G8660" s="15" t="s">
        <v>8</v>
      </c>
      <c r="H8660" s="24">
        <v>1.000000003259629</v>
      </c>
      <c r="I8660" s="24">
        <v>1.000000003259629</v>
      </c>
      <c r="J8660" s="24" t="s">
        <v>21</v>
      </c>
      <c r="K8660" s="24" t="s">
        <v>21</v>
      </c>
      <c r="L8660" s="24" t="s">
        <v>21</v>
      </c>
      <c r="M8660" s="24" t="s">
        <v>21</v>
      </c>
      <c r="N8660" s="24" t="s">
        <v>21</v>
      </c>
      <c r="O8660" s="24" t="s">
        <v>21</v>
      </c>
      <c r="P8660" s="24" t="s">
        <v>21</v>
      </c>
      <c r="Q8660" s="24" t="s">
        <v>21</v>
      </c>
      <c r="R8660" s="24" t="s">
        <v>21</v>
      </c>
      <c r="S8660" s="24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5">
        <v>2</v>
      </c>
      <c r="E8661" s="5">
        <v>0</v>
      </c>
      <c r="F8661" s="5" t="s">
        <v>9</v>
      </c>
      <c r="G8661" s="15" t="s">
        <v>8</v>
      </c>
      <c r="H8661" s="24">
        <v>0.99999999278225005</v>
      </c>
      <c r="I8661" s="24">
        <v>0.99999999278225005</v>
      </c>
      <c r="J8661" s="24" t="s">
        <v>21</v>
      </c>
      <c r="K8661" s="24" t="s">
        <v>21</v>
      </c>
      <c r="L8661" s="24" t="s">
        <v>21</v>
      </c>
      <c r="M8661" s="24" t="s">
        <v>21</v>
      </c>
      <c r="N8661" s="24" t="s">
        <v>21</v>
      </c>
      <c r="O8661" s="24" t="s">
        <v>21</v>
      </c>
      <c r="P8661" s="24" t="s">
        <v>21</v>
      </c>
      <c r="Q8661" s="24" t="s">
        <v>21</v>
      </c>
      <c r="R8661" s="24" t="s">
        <v>21</v>
      </c>
      <c r="S8661" s="24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5">
        <v>1</v>
      </c>
      <c r="E8662" s="5">
        <v>1</v>
      </c>
      <c r="F8662" s="5" t="s">
        <v>9</v>
      </c>
      <c r="G8662" s="15" t="s">
        <v>8</v>
      </c>
      <c r="H8662" s="24">
        <v>1.000000003259629</v>
      </c>
      <c r="I8662" s="24">
        <v>1.000000003259629</v>
      </c>
      <c r="J8662" s="24" t="s">
        <v>21</v>
      </c>
      <c r="K8662" s="24" t="s">
        <v>21</v>
      </c>
      <c r="L8662" s="24" t="s">
        <v>21</v>
      </c>
      <c r="M8662" s="24" t="s">
        <v>21</v>
      </c>
      <c r="N8662" s="24" t="s">
        <v>21</v>
      </c>
      <c r="O8662" s="24" t="s">
        <v>21</v>
      </c>
      <c r="P8662" s="24" t="s">
        <v>21</v>
      </c>
      <c r="Q8662" s="24" t="s">
        <v>21</v>
      </c>
      <c r="R8662" s="24" t="s">
        <v>21</v>
      </c>
      <c r="S8662" s="24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5">
        <v>1</v>
      </c>
      <c r="E8663" s="5">
        <v>1</v>
      </c>
      <c r="F8663" s="5" t="s">
        <v>9</v>
      </c>
      <c r="G8663" s="15" t="s">
        <v>8</v>
      </c>
      <c r="H8663" s="24">
        <v>0</v>
      </c>
      <c r="I8663" s="24">
        <v>0</v>
      </c>
      <c r="J8663" s="24" t="s">
        <v>21</v>
      </c>
      <c r="K8663" s="24" t="s">
        <v>21</v>
      </c>
      <c r="L8663" s="24" t="s">
        <v>21</v>
      </c>
      <c r="M8663" s="24" t="s">
        <v>21</v>
      </c>
      <c r="N8663" s="24" t="s">
        <v>21</v>
      </c>
      <c r="O8663" s="24" t="s">
        <v>21</v>
      </c>
      <c r="P8663" s="24" t="s">
        <v>21</v>
      </c>
      <c r="Q8663" s="24" t="s">
        <v>21</v>
      </c>
      <c r="R8663" s="24" t="s">
        <v>21</v>
      </c>
      <c r="S8663" s="24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5">
        <v>3</v>
      </c>
      <c r="E8664" s="5">
        <v>0</v>
      </c>
      <c r="F8664" s="5" t="s">
        <v>9</v>
      </c>
      <c r="G8664" s="15" t="s">
        <v>8</v>
      </c>
      <c r="H8664" s="24">
        <v>1.000000003259629</v>
      </c>
      <c r="I8664" s="24">
        <v>1.000000003259629</v>
      </c>
      <c r="J8664" s="24" t="s">
        <v>21</v>
      </c>
      <c r="K8664" s="24" t="s">
        <v>21</v>
      </c>
      <c r="L8664" s="24" t="s">
        <v>21</v>
      </c>
      <c r="M8664" s="24" t="s">
        <v>21</v>
      </c>
      <c r="N8664" s="24" t="s">
        <v>21</v>
      </c>
      <c r="O8664" s="24" t="s">
        <v>21</v>
      </c>
      <c r="P8664" s="24" t="s">
        <v>21</v>
      </c>
      <c r="Q8664" s="24" t="s">
        <v>21</v>
      </c>
      <c r="R8664" s="24" t="s">
        <v>21</v>
      </c>
      <c r="S8664" s="24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5">
        <v>1</v>
      </c>
      <c r="E8665" s="5">
        <v>1</v>
      </c>
      <c r="F8665" s="5" t="s">
        <v>9</v>
      </c>
      <c r="G8665" s="15" t="s">
        <v>8</v>
      </c>
      <c r="H8665" s="24">
        <v>0</v>
      </c>
      <c r="I8665" s="24">
        <v>0</v>
      </c>
      <c r="J8665" s="24" t="s">
        <v>21</v>
      </c>
      <c r="K8665" s="24" t="s">
        <v>21</v>
      </c>
      <c r="L8665" s="24" t="s">
        <v>21</v>
      </c>
      <c r="M8665" s="24" t="s">
        <v>21</v>
      </c>
      <c r="N8665" s="24" t="s">
        <v>21</v>
      </c>
      <c r="O8665" s="24" t="s">
        <v>21</v>
      </c>
      <c r="P8665" s="24" t="s">
        <v>21</v>
      </c>
      <c r="Q8665" s="24" t="s">
        <v>21</v>
      </c>
      <c r="R8665" s="24" t="s">
        <v>21</v>
      </c>
      <c r="S8665" s="24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5">
        <v>0</v>
      </c>
      <c r="E8666" s="5">
        <v>3</v>
      </c>
      <c r="F8666" s="5" t="s">
        <v>9</v>
      </c>
      <c r="G8666" s="15" t="s">
        <v>8</v>
      </c>
      <c r="H8666" s="24">
        <v>0.99999999278225005</v>
      </c>
      <c r="I8666" s="24">
        <v>0.99999999278225005</v>
      </c>
      <c r="J8666" s="24" t="s">
        <v>21</v>
      </c>
      <c r="K8666" s="24" t="s">
        <v>21</v>
      </c>
      <c r="L8666" s="24" t="s">
        <v>21</v>
      </c>
      <c r="M8666" s="24" t="s">
        <v>21</v>
      </c>
      <c r="N8666" s="24" t="s">
        <v>21</v>
      </c>
      <c r="O8666" s="24" t="s">
        <v>21</v>
      </c>
      <c r="P8666" s="24" t="s">
        <v>21</v>
      </c>
      <c r="Q8666" s="24" t="s">
        <v>21</v>
      </c>
      <c r="R8666" s="24" t="s">
        <v>21</v>
      </c>
      <c r="S8666" s="24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5">
        <v>0</v>
      </c>
      <c r="E8667" s="5">
        <v>4</v>
      </c>
      <c r="F8667" s="5" t="s">
        <v>9</v>
      </c>
      <c r="G8667" s="15" t="s">
        <v>8</v>
      </c>
      <c r="H8667" s="24">
        <v>1.000000003259629</v>
      </c>
      <c r="I8667" s="24">
        <v>1.000000003259629</v>
      </c>
      <c r="J8667" s="24" t="s">
        <v>21</v>
      </c>
      <c r="K8667" s="24" t="s">
        <v>21</v>
      </c>
      <c r="L8667" s="24" t="s">
        <v>21</v>
      </c>
      <c r="M8667" s="24" t="s">
        <v>21</v>
      </c>
      <c r="N8667" s="24" t="s">
        <v>21</v>
      </c>
      <c r="O8667" s="24" t="s">
        <v>21</v>
      </c>
      <c r="P8667" s="24" t="s">
        <v>21</v>
      </c>
      <c r="Q8667" s="24" t="s">
        <v>21</v>
      </c>
      <c r="R8667" s="24" t="s">
        <v>21</v>
      </c>
      <c r="S8667" s="24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5">
        <v>0</v>
      </c>
      <c r="E8668" s="5">
        <v>2</v>
      </c>
      <c r="F8668" s="5" t="s">
        <v>9</v>
      </c>
      <c r="G8668" s="15" t="s">
        <v>8</v>
      </c>
      <c r="H8668" s="24">
        <v>0</v>
      </c>
      <c r="I8668" s="24">
        <v>0</v>
      </c>
      <c r="J8668" s="24" t="s">
        <v>21</v>
      </c>
      <c r="K8668" s="24" t="s">
        <v>21</v>
      </c>
      <c r="L8668" s="24" t="s">
        <v>21</v>
      </c>
      <c r="M8668" s="24" t="s">
        <v>21</v>
      </c>
      <c r="N8668" s="24" t="s">
        <v>21</v>
      </c>
      <c r="O8668" s="24" t="s">
        <v>21</v>
      </c>
      <c r="P8668" s="24" t="s">
        <v>21</v>
      </c>
      <c r="Q8668" s="24" t="s">
        <v>21</v>
      </c>
      <c r="R8668" s="24" t="s">
        <v>21</v>
      </c>
      <c r="S8668" s="24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5">
        <v>0</v>
      </c>
      <c r="E8669" s="5">
        <v>3</v>
      </c>
      <c r="F8669" s="5" t="s">
        <v>9</v>
      </c>
      <c r="G8669" s="15" t="s">
        <v>8</v>
      </c>
      <c r="H8669" s="24">
        <v>1.000000003259629</v>
      </c>
      <c r="I8669" s="24">
        <v>1.000000003259629</v>
      </c>
      <c r="J8669" s="24" t="s">
        <v>21</v>
      </c>
      <c r="K8669" s="24" t="s">
        <v>21</v>
      </c>
      <c r="L8669" s="24" t="s">
        <v>21</v>
      </c>
      <c r="M8669" s="24" t="s">
        <v>21</v>
      </c>
      <c r="N8669" s="24" t="s">
        <v>21</v>
      </c>
      <c r="O8669" s="24" t="s">
        <v>21</v>
      </c>
      <c r="P8669" s="24" t="s">
        <v>21</v>
      </c>
      <c r="Q8669" s="24" t="s">
        <v>21</v>
      </c>
      <c r="R8669" s="24" t="s">
        <v>21</v>
      </c>
      <c r="S8669" s="24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5">
        <v>0</v>
      </c>
      <c r="E8670" s="5">
        <v>4</v>
      </c>
      <c r="F8670" s="5" t="s">
        <v>9</v>
      </c>
      <c r="G8670" s="15" t="s">
        <v>8</v>
      </c>
      <c r="H8670" s="24">
        <v>0</v>
      </c>
      <c r="I8670" s="24">
        <v>0</v>
      </c>
      <c r="J8670" s="24" t="s">
        <v>21</v>
      </c>
      <c r="K8670" s="24" t="s">
        <v>21</v>
      </c>
      <c r="L8670" s="24" t="s">
        <v>21</v>
      </c>
      <c r="M8670" s="24" t="s">
        <v>21</v>
      </c>
      <c r="N8670" s="24" t="s">
        <v>21</v>
      </c>
      <c r="O8670" s="24" t="s">
        <v>21</v>
      </c>
      <c r="P8670" s="24" t="s">
        <v>21</v>
      </c>
      <c r="Q8670" s="24" t="s">
        <v>21</v>
      </c>
      <c r="R8670" s="24" t="s">
        <v>21</v>
      </c>
      <c r="S8670" s="24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5">
        <v>0</v>
      </c>
      <c r="E8671" s="5">
        <v>2</v>
      </c>
      <c r="F8671" s="5" t="s">
        <v>9</v>
      </c>
      <c r="G8671" s="15" t="s">
        <v>8</v>
      </c>
      <c r="H8671" s="24">
        <v>1.000000003259629</v>
      </c>
      <c r="I8671" s="24">
        <v>1.000000003259629</v>
      </c>
      <c r="J8671" s="24" t="s">
        <v>21</v>
      </c>
      <c r="K8671" s="24" t="s">
        <v>21</v>
      </c>
      <c r="L8671" s="24" t="s">
        <v>21</v>
      </c>
      <c r="M8671" s="24" t="s">
        <v>21</v>
      </c>
      <c r="N8671" s="24" t="s">
        <v>21</v>
      </c>
      <c r="O8671" s="24" t="s">
        <v>21</v>
      </c>
      <c r="P8671" s="24" t="s">
        <v>21</v>
      </c>
      <c r="Q8671" s="24" t="s">
        <v>21</v>
      </c>
      <c r="R8671" s="24" t="s">
        <v>21</v>
      </c>
      <c r="S8671" s="24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5">
        <v>0</v>
      </c>
      <c r="E8672" s="5">
        <v>2</v>
      </c>
      <c r="F8672" s="5" t="s">
        <v>9</v>
      </c>
      <c r="G8672" s="15" t="s">
        <v>8</v>
      </c>
      <c r="H8672" s="24">
        <v>0</v>
      </c>
      <c r="I8672" s="24">
        <v>0</v>
      </c>
      <c r="J8672" s="24" t="s">
        <v>21</v>
      </c>
      <c r="K8672" s="24" t="s">
        <v>21</v>
      </c>
      <c r="L8672" s="24" t="s">
        <v>21</v>
      </c>
      <c r="M8672" s="24" t="s">
        <v>21</v>
      </c>
      <c r="N8672" s="24" t="s">
        <v>21</v>
      </c>
      <c r="O8672" s="24" t="s">
        <v>21</v>
      </c>
      <c r="P8672" s="24" t="s">
        <v>21</v>
      </c>
      <c r="Q8672" s="24" t="s">
        <v>21</v>
      </c>
      <c r="R8672" s="24" t="s">
        <v>21</v>
      </c>
      <c r="S8672" s="24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5">
        <v>0</v>
      </c>
      <c r="E8673" s="5">
        <v>2</v>
      </c>
      <c r="F8673" s="5" t="s">
        <v>9</v>
      </c>
      <c r="G8673" s="15" t="s">
        <v>8</v>
      </c>
      <c r="H8673" s="24">
        <v>0.99999999278225005</v>
      </c>
      <c r="I8673" s="24">
        <v>0.99999999278225005</v>
      </c>
      <c r="J8673" s="24" t="s">
        <v>21</v>
      </c>
      <c r="K8673" s="24" t="s">
        <v>21</v>
      </c>
      <c r="L8673" s="24" t="s">
        <v>21</v>
      </c>
      <c r="M8673" s="24" t="s">
        <v>21</v>
      </c>
      <c r="N8673" s="24" t="s">
        <v>21</v>
      </c>
      <c r="O8673" s="24" t="s">
        <v>21</v>
      </c>
      <c r="P8673" s="24" t="s">
        <v>21</v>
      </c>
      <c r="Q8673" s="24" t="s">
        <v>21</v>
      </c>
      <c r="R8673" s="24" t="s">
        <v>21</v>
      </c>
      <c r="S8673" s="24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5">
        <v>0</v>
      </c>
      <c r="E8674" s="5">
        <v>0</v>
      </c>
      <c r="F8674" s="5" t="s">
        <v>9</v>
      </c>
      <c r="G8674" s="15" t="s">
        <v>8</v>
      </c>
      <c r="H8674" s="24">
        <v>1.000000003259629</v>
      </c>
      <c r="I8674" s="24">
        <v>1.000000003259629</v>
      </c>
      <c r="J8674" s="24" t="s">
        <v>21</v>
      </c>
      <c r="K8674" s="24" t="s">
        <v>21</v>
      </c>
      <c r="L8674" s="24" t="s">
        <v>21</v>
      </c>
      <c r="M8674" s="24" t="s">
        <v>21</v>
      </c>
      <c r="N8674" s="24" t="s">
        <v>21</v>
      </c>
      <c r="O8674" s="24" t="s">
        <v>21</v>
      </c>
      <c r="P8674" s="24" t="s">
        <v>21</v>
      </c>
      <c r="Q8674" s="24" t="s">
        <v>21</v>
      </c>
      <c r="R8674" s="24" t="s">
        <v>21</v>
      </c>
      <c r="S8674" s="24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5">
        <v>0</v>
      </c>
      <c r="E8675" s="5">
        <v>1</v>
      </c>
      <c r="F8675" s="5" t="s">
        <v>9</v>
      </c>
      <c r="G8675" s="15" t="s">
        <v>8</v>
      </c>
      <c r="H8675" s="24">
        <v>1.000000003259629</v>
      </c>
      <c r="I8675" s="24">
        <v>1.000000003259629</v>
      </c>
      <c r="J8675" s="24" t="s">
        <v>21</v>
      </c>
      <c r="K8675" s="24" t="s">
        <v>21</v>
      </c>
      <c r="L8675" s="24" t="s">
        <v>21</v>
      </c>
      <c r="M8675" s="24" t="s">
        <v>21</v>
      </c>
      <c r="N8675" s="24" t="s">
        <v>21</v>
      </c>
      <c r="O8675" s="24" t="s">
        <v>21</v>
      </c>
      <c r="P8675" s="24" t="s">
        <v>21</v>
      </c>
      <c r="Q8675" s="24" t="s">
        <v>21</v>
      </c>
      <c r="R8675" s="24" t="s">
        <v>21</v>
      </c>
      <c r="S8675" s="24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7">
        <v>0</v>
      </c>
      <c r="E8676" s="7">
        <v>1</v>
      </c>
      <c r="F8676" s="7" t="s">
        <v>9</v>
      </c>
      <c r="G8676" s="16" t="s">
        <v>8</v>
      </c>
      <c r="H8676" s="25">
        <v>0.99999999278225005</v>
      </c>
      <c r="I8676" s="25">
        <v>0.99999999278225005</v>
      </c>
      <c r="J8676" s="25" t="s">
        <v>21</v>
      </c>
      <c r="K8676" s="25" t="s">
        <v>21</v>
      </c>
      <c r="L8676" s="25" t="s">
        <v>21</v>
      </c>
      <c r="M8676" s="25" t="s">
        <v>21</v>
      </c>
      <c r="N8676" s="25" t="s">
        <v>21</v>
      </c>
      <c r="O8676" s="25" t="s">
        <v>21</v>
      </c>
      <c r="P8676" s="25" t="s">
        <v>21</v>
      </c>
      <c r="Q8676" s="25" t="s">
        <v>21</v>
      </c>
      <c r="R8676" s="25" t="s">
        <v>21</v>
      </c>
      <c r="S8676" s="25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5">
        <v>0</v>
      </c>
      <c r="E8677" s="5">
        <v>3</v>
      </c>
      <c r="F8677" s="5" t="s">
        <v>9</v>
      </c>
      <c r="G8677" s="15" t="s">
        <v>8</v>
      </c>
      <c r="H8677" s="24">
        <v>782.0000000030268</v>
      </c>
      <c r="I8677" s="24">
        <v>782.0000000030268</v>
      </c>
      <c r="J8677" s="24" t="s">
        <v>21</v>
      </c>
      <c r="K8677" s="24" t="s">
        <v>21</v>
      </c>
      <c r="L8677" s="24" t="s">
        <v>21</v>
      </c>
      <c r="M8677" s="24" t="s">
        <v>21</v>
      </c>
      <c r="N8677" s="24" t="s">
        <v>21</v>
      </c>
      <c r="O8677" s="24" t="s">
        <v>21</v>
      </c>
      <c r="P8677" s="24" t="s">
        <v>21</v>
      </c>
      <c r="Q8677" s="24" t="s">
        <v>21</v>
      </c>
      <c r="R8677" s="24" t="s">
        <v>21</v>
      </c>
      <c r="S8677" s="24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5">
        <v>0</v>
      </c>
      <c r="E8678" s="5">
        <v>3</v>
      </c>
      <c r="F8678" s="5" t="s">
        <v>9</v>
      </c>
      <c r="G8678" s="15" t="s">
        <v>8</v>
      </c>
      <c r="H8678" s="24">
        <v>1.000000003259629</v>
      </c>
      <c r="I8678" s="24">
        <v>1.000000003259629</v>
      </c>
      <c r="J8678" s="24" t="s">
        <v>21</v>
      </c>
      <c r="K8678" s="24" t="s">
        <v>21</v>
      </c>
      <c r="L8678" s="24" t="s">
        <v>21</v>
      </c>
      <c r="M8678" s="24" t="s">
        <v>21</v>
      </c>
      <c r="N8678" s="24" t="s">
        <v>21</v>
      </c>
      <c r="O8678" s="24" t="s">
        <v>21</v>
      </c>
      <c r="P8678" s="24" t="s">
        <v>21</v>
      </c>
      <c r="Q8678" s="24" t="s">
        <v>21</v>
      </c>
      <c r="R8678" s="24" t="s">
        <v>21</v>
      </c>
      <c r="S8678" s="24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5">
        <v>0</v>
      </c>
      <c r="E8679" s="5">
        <v>0</v>
      </c>
      <c r="F8679" s="5" t="s">
        <v>9</v>
      </c>
      <c r="G8679" s="15" t="s">
        <v>8</v>
      </c>
      <c r="H8679" s="24">
        <v>0</v>
      </c>
      <c r="I8679" s="24">
        <v>0</v>
      </c>
      <c r="J8679" s="24" t="s">
        <v>21</v>
      </c>
      <c r="K8679" s="24" t="s">
        <v>21</v>
      </c>
      <c r="L8679" s="24" t="s">
        <v>21</v>
      </c>
      <c r="M8679" s="24" t="s">
        <v>21</v>
      </c>
      <c r="N8679" s="24" t="s">
        <v>21</v>
      </c>
      <c r="O8679" s="24" t="s">
        <v>21</v>
      </c>
      <c r="P8679" s="24" t="s">
        <v>21</v>
      </c>
      <c r="Q8679" s="24" t="s">
        <v>21</v>
      </c>
      <c r="R8679" s="24" t="s">
        <v>21</v>
      </c>
      <c r="S8679" s="24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5">
        <v>0</v>
      </c>
      <c r="E8680" s="5">
        <v>3</v>
      </c>
      <c r="F8680" s="5" t="s">
        <v>9</v>
      </c>
      <c r="G8680" s="15" t="s">
        <v>8</v>
      </c>
      <c r="H8680" s="24">
        <v>0</v>
      </c>
      <c r="I8680" s="24">
        <v>0</v>
      </c>
      <c r="J8680" s="24" t="s">
        <v>21</v>
      </c>
      <c r="K8680" s="24" t="s">
        <v>21</v>
      </c>
      <c r="L8680" s="24" t="s">
        <v>21</v>
      </c>
      <c r="M8680" s="24" t="s">
        <v>21</v>
      </c>
      <c r="N8680" s="24" t="s">
        <v>21</v>
      </c>
      <c r="O8680" s="24" t="s">
        <v>21</v>
      </c>
      <c r="P8680" s="24" t="s">
        <v>21</v>
      </c>
      <c r="Q8680" s="24" t="s">
        <v>21</v>
      </c>
      <c r="R8680" s="24" t="s">
        <v>21</v>
      </c>
      <c r="S8680" s="24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5">
        <v>0</v>
      </c>
      <c r="E8681" s="5">
        <v>4</v>
      </c>
      <c r="F8681" s="5" t="s">
        <v>9</v>
      </c>
      <c r="G8681" s="15" t="s">
        <v>8</v>
      </c>
      <c r="H8681" s="24">
        <v>637.9999999946449</v>
      </c>
      <c r="I8681" s="24">
        <v>637.9999999946449</v>
      </c>
      <c r="J8681" s="24" t="s">
        <v>21</v>
      </c>
      <c r="K8681" s="24" t="s">
        <v>21</v>
      </c>
      <c r="L8681" s="24" t="s">
        <v>21</v>
      </c>
      <c r="M8681" s="24" t="s">
        <v>21</v>
      </c>
      <c r="N8681" s="24" t="s">
        <v>21</v>
      </c>
      <c r="O8681" s="24" t="s">
        <v>21</v>
      </c>
      <c r="P8681" s="24" t="s">
        <v>21</v>
      </c>
      <c r="Q8681" s="24" t="s">
        <v>21</v>
      </c>
      <c r="R8681" s="24" t="s">
        <v>21</v>
      </c>
      <c r="S8681" s="24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5">
        <v>0</v>
      </c>
      <c r="E8682" s="5">
        <v>5</v>
      </c>
      <c r="F8682" s="5" t="s">
        <v>9</v>
      </c>
      <c r="G8682" s="15" t="s">
        <v>8</v>
      </c>
      <c r="H8682" s="24">
        <v>1.000000003259629</v>
      </c>
      <c r="I8682" s="24">
        <v>1.000000003259629</v>
      </c>
      <c r="J8682" s="24" t="s">
        <v>21</v>
      </c>
      <c r="K8682" s="24" t="s">
        <v>21</v>
      </c>
      <c r="L8682" s="24" t="s">
        <v>21</v>
      </c>
      <c r="M8682" s="24" t="s">
        <v>21</v>
      </c>
      <c r="N8682" s="24" t="s">
        <v>21</v>
      </c>
      <c r="O8682" s="24" t="s">
        <v>21</v>
      </c>
      <c r="P8682" s="24" t="s">
        <v>21</v>
      </c>
      <c r="Q8682" s="24" t="s">
        <v>21</v>
      </c>
      <c r="R8682" s="24" t="s">
        <v>21</v>
      </c>
      <c r="S8682" s="24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5">
        <v>0</v>
      </c>
      <c r="E8683" s="5">
        <v>2</v>
      </c>
      <c r="F8683" s="5" t="s">
        <v>9</v>
      </c>
      <c r="G8683" s="15" t="s">
        <v>8</v>
      </c>
      <c r="H8683" s="24">
        <v>0</v>
      </c>
      <c r="I8683" s="24">
        <v>0</v>
      </c>
      <c r="J8683" s="24" t="s">
        <v>21</v>
      </c>
      <c r="K8683" s="24" t="s">
        <v>21</v>
      </c>
      <c r="L8683" s="24" t="s">
        <v>21</v>
      </c>
      <c r="M8683" s="24" t="s">
        <v>21</v>
      </c>
      <c r="N8683" s="24" t="s">
        <v>21</v>
      </c>
      <c r="O8683" s="24" t="s">
        <v>21</v>
      </c>
      <c r="P8683" s="24" t="s">
        <v>21</v>
      </c>
      <c r="Q8683" s="24" t="s">
        <v>21</v>
      </c>
      <c r="R8683" s="24" t="s">
        <v>21</v>
      </c>
      <c r="S8683" s="24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5">
        <v>0</v>
      </c>
      <c r="E8684" s="5">
        <v>2</v>
      </c>
      <c r="F8684" s="5" t="s">
        <v>9</v>
      </c>
      <c r="G8684" s="15" t="s">
        <v>8</v>
      </c>
      <c r="H8684" s="24">
        <v>1.000000003259629</v>
      </c>
      <c r="I8684" s="24">
        <v>1.000000003259629</v>
      </c>
      <c r="J8684" s="24" t="s">
        <v>21</v>
      </c>
      <c r="K8684" s="24" t="s">
        <v>21</v>
      </c>
      <c r="L8684" s="24" t="s">
        <v>21</v>
      </c>
      <c r="M8684" s="24" t="s">
        <v>21</v>
      </c>
      <c r="N8684" s="24" t="s">
        <v>21</v>
      </c>
      <c r="O8684" s="24" t="s">
        <v>21</v>
      </c>
      <c r="P8684" s="24" t="s">
        <v>21</v>
      </c>
      <c r="Q8684" s="24" t="s">
        <v>21</v>
      </c>
      <c r="R8684" s="24" t="s">
        <v>21</v>
      </c>
      <c r="S8684" s="24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5">
        <v>0</v>
      </c>
      <c r="E8685" s="5">
        <v>3</v>
      </c>
      <c r="F8685" s="5" t="s">
        <v>9</v>
      </c>
      <c r="G8685" s="15" t="s">
        <v>8</v>
      </c>
      <c r="H8685" s="24">
        <v>0</v>
      </c>
      <c r="I8685" s="24">
        <v>0</v>
      </c>
      <c r="J8685" s="24" t="s">
        <v>21</v>
      </c>
      <c r="K8685" s="24" t="s">
        <v>21</v>
      </c>
      <c r="L8685" s="24" t="s">
        <v>21</v>
      </c>
      <c r="M8685" s="24" t="s">
        <v>21</v>
      </c>
      <c r="N8685" s="24" t="s">
        <v>21</v>
      </c>
      <c r="O8685" s="24" t="s">
        <v>21</v>
      </c>
      <c r="P8685" s="24" t="s">
        <v>21</v>
      </c>
      <c r="Q8685" s="24" t="s">
        <v>21</v>
      </c>
      <c r="R8685" s="24" t="s">
        <v>21</v>
      </c>
      <c r="S8685" s="24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5">
        <v>0</v>
      </c>
      <c r="E8686" s="5">
        <v>4</v>
      </c>
      <c r="F8686" s="5" t="s">
        <v>9</v>
      </c>
      <c r="G8686" s="15" t="s">
        <v>8</v>
      </c>
      <c r="H8686" s="24">
        <v>0.99999999278225005</v>
      </c>
      <c r="I8686" s="24">
        <v>0.99999999278225005</v>
      </c>
      <c r="J8686" s="24" t="s">
        <v>21</v>
      </c>
      <c r="K8686" s="24" t="s">
        <v>21</v>
      </c>
      <c r="L8686" s="24" t="s">
        <v>21</v>
      </c>
      <c r="M8686" s="24" t="s">
        <v>21</v>
      </c>
      <c r="N8686" s="24" t="s">
        <v>21</v>
      </c>
      <c r="O8686" s="24" t="s">
        <v>21</v>
      </c>
      <c r="P8686" s="24" t="s">
        <v>21</v>
      </c>
      <c r="Q8686" s="24" t="s">
        <v>21</v>
      </c>
      <c r="R8686" s="24" t="s">
        <v>21</v>
      </c>
      <c r="S8686" s="24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5">
        <v>0</v>
      </c>
      <c r="E8687" s="5">
        <v>3</v>
      </c>
      <c r="F8687" s="5" t="s">
        <v>9</v>
      </c>
      <c r="G8687" s="15" t="s">
        <v>8</v>
      </c>
      <c r="H8687" s="24">
        <v>12.000000007683411</v>
      </c>
      <c r="I8687" s="24">
        <v>12.000000007683411</v>
      </c>
      <c r="J8687" s="24" t="s">
        <v>21</v>
      </c>
      <c r="K8687" s="24" t="s">
        <v>21</v>
      </c>
      <c r="L8687" s="24" t="s">
        <v>21</v>
      </c>
      <c r="M8687" s="24" t="s">
        <v>21</v>
      </c>
      <c r="N8687" s="24" t="s">
        <v>21</v>
      </c>
      <c r="O8687" s="24" t="s">
        <v>21</v>
      </c>
      <c r="P8687" s="24" t="s">
        <v>21</v>
      </c>
      <c r="Q8687" s="24" t="s">
        <v>21</v>
      </c>
      <c r="R8687" s="24" t="s">
        <v>21</v>
      </c>
      <c r="S8687" s="24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5">
        <v>0</v>
      </c>
      <c r="E8688" s="5">
        <v>3</v>
      </c>
      <c r="F8688" s="5" t="s">
        <v>9</v>
      </c>
      <c r="G8688" s="15" t="s">
        <v>8</v>
      </c>
      <c r="H8688" s="24">
        <v>0.99999999278225005</v>
      </c>
      <c r="I8688" s="24">
        <v>0.99999999278225005</v>
      </c>
      <c r="J8688" s="24" t="s">
        <v>21</v>
      </c>
      <c r="K8688" s="24" t="s">
        <v>21</v>
      </c>
      <c r="L8688" s="24" t="s">
        <v>21</v>
      </c>
      <c r="M8688" s="24" t="s">
        <v>21</v>
      </c>
      <c r="N8688" s="24" t="s">
        <v>21</v>
      </c>
      <c r="O8688" s="24" t="s">
        <v>21</v>
      </c>
      <c r="P8688" s="24" t="s">
        <v>21</v>
      </c>
      <c r="Q8688" s="24" t="s">
        <v>21</v>
      </c>
      <c r="R8688" s="24" t="s">
        <v>21</v>
      </c>
      <c r="S8688" s="24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5">
        <v>0</v>
      </c>
      <c r="E8689" s="5">
        <v>2</v>
      </c>
      <c r="F8689" s="5" t="s">
        <v>9</v>
      </c>
      <c r="G8689" s="15" t="s">
        <v>8</v>
      </c>
      <c r="H8689" s="24">
        <v>0</v>
      </c>
      <c r="I8689" s="24">
        <v>0</v>
      </c>
      <c r="J8689" s="24" t="s">
        <v>21</v>
      </c>
      <c r="K8689" s="24" t="s">
        <v>21</v>
      </c>
      <c r="L8689" s="24" t="s">
        <v>21</v>
      </c>
      <c r="M8689" s="24" t="s">
        <v>21</v>
      </c>
      <c r="N8689" s="24" t="s">
        <v>21</v>
      </c>
      <c r="O8689" s="24" t="s">
        <v>21</v>
      </c>
      <c r="P8689" s="24" t="s">
        <v>21</v>
      </c>
      <c r="Q8689" s="24" t="s">
        <v>21</v>
      </c>
      <c r="R8689" s="24" t="s">
        <v>21</v>
      </c>
      <c r="S8689" s="24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5">
        <v>0</v>
      </c>
      <c r="E8690" s="5">
        <v>4</v>
      </c>
      <c r="F8690" s="5" t="s">
        <v>9</v>
      </c>
      <c r="G8690" s="15" t="s">
        <v>8</v>
      </c>
      <c r="H8690" s="24">
        <v>1.000000003259629</v>
      </c>
      <c r="I8690" s="24">
        <v>1.000000003259629</v>
      </c>
      <c r="J8690" s="24" t="s">
        <v>21</v>
      </c>
      <c r="K8690" s="24" t="s">
        <v>21</v>
      </c>
      <c r="L8690" s="24" t="s">
        <v>21</v>
      </c>
      <c r="M8690" s="24" t="s">
        <v>21</v>
      </c>
      <c r="N8690" s="24" t="s">
        <v>21</v>
      </c>
      <c r="O8690" s="24" t="s">
        <v>21</v>
      </c>
      <c r="P8690" s="24" t="s">
        <v>21</v>
      </c>
      <c r="Q8690" s="24" t="s">
        <v>21</v>
      </c>
      <c r="R8690" s="24" t="s">
        <v>21</v>
      </c>
      <c r="S8690" s="24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5">
        <v>0</v>
      </c>
      <c r="E8691" s="5">
        <v>4</v>
      </c>
      <c r="F8691" s="5" t="s">
        <v>9</v>
      </c>
      <c r="G8691" s="15" t="s">
        <v>8</v>
      </c>
      <c r="H8691" s="24">
        <v>0</v>
      </c>
      <c r="I8691" s="24">
        <v>0</v>
      </c>
      <c r="J8691" s="24" t="s">
        <v>21</v>
      </c>
      <c r="K8691" s="24" t="s">
        <v>21</v>
      </c>
      <c r="L8691" s="24" t="s">
        <v>21</v>
      </c>
      <c r="M8691" s="24" t="s">
        <v>21</v>
      </c>
      <c r="N8691" s="24" t="s">
        <v>21</v>
      </c>
      <c r="O8691" s="24" t="s">
        <v>21</v>
      </c>
      <c r="P8691" s="24" t="s">
        <v>21</v>
      </c>
      <c r="Q8691" s="24" t="s">
        <v>21</v>
      </c>
      <c r="R8691" s="24" t="s">
        <v>21</v>
      </c>
      <c r="S8691" s="24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7">
        <v>0</v>
      </c>
      <c r="E8692" s="7">
        <v>4</v>
      </c>
      <c r="F8692" s="7" t="s">
        <v>9</v>
      </c>
      <c r="G8692" s="16" t="s">
        <v>8</v>
      </c>
      <c r="H8692" s="25">
        <v>1.000000003259629</v>
      </c>
      <c r="I8692" s="25">
        <v>1.000000003259629</v>
      </c>
      <c r="J8692" s="25" t="s">
        <v>21</v>
      </c>
      <c r="K8692" s="25" t="s">
        <v>21</v>
      </c>
      <c r="L8692" s="25" t="s">
        <v>21</v>
      </c>
      <c r="M8692" s="25" t="s">
        <v>21</v>
      </c>
      <c r="N8692" s="25" t="s">
        <v>21</v>
      </c>
      <c r="O8692" s="25" t="s">
        <v>21</v>
      </c>
      <c r="P8692" s="25" t="s">
        <v>21</v>
      </c>
      <c r="Q8692" s="25" t="s">
        <v>21</v>
      </c>
      <c r="R8692" s="25" t="s">
        <v>21</v>
      </c>
      <c r="S8692" s="25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5">
        <v>0</v>
      </c>
      <c r="E8693" s="5">
        <v>3</v>
      </c>
      <c r="F8693" s="5" t="s">
        <v>9</v>
      </c>
      <c r="G8693" s="15" t="s">
        <v>8</v>
      </c>
      <c r="H8693" s="24">
        <v>1369.9999999918509</v>
      </c>
      <c r="I8693" s="24">
        <v>1369.9999999918509</v>
      </c>
      <c r="J8693" s="24" t="s">
        <v>21</v>
      </c>
      <c r="K8693" s="24" t="s">
        <v>21</v>
      </c>
      <c r="L8693" s="24" t="s">
        <v>21</v>
      </c>
      <c r="M8693" s="24" t="s">
        <v>21</v>
      </c>
      <c r="N8693" s="24" t="s">
        <v>21</v>
      </c>
      <c r="O8693" s="24" t="s">
        <v>21</v>
      </c>
      <c r="P8693" s="24" t="s">
        <v>21</v>
      </c>
      <c r="Q8693" s="24" t="s">
        <v>21</v>
      </c>
      <c r="R8693" s="24" t="s">
        <v>21</v>
      </c>
      <c r="S8693" s="24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5">
        <v>0</v>
      </c>
      <c r="E8694" s="5">
        <v>4</v>
      </c>
      <c r="F8694" s="5" t="s">
        <v>9</v>
      </c>
      <c r="G8694" s="15" t="s">
        <v>8</v>
      </c>
      <c r="H8694" s="24">
        <v>1.000000003259629</v>
      </c>
      <c r="I8694" s="24">
        <v>1.000000003259629</v>
      </c>
      <c r="J8694" s="24" t="s">
        <v>21</v>
      </c>
      <c r="K8694" s="24" t="s">
        <v>21</v>
      </c>
      <c r="L8694" s="24" t="s">
        <v>21</v>
      </c>
      <c r="M8694" s="24" t="s">
        <v>21</v>
      </c>
      <c r="N8694" s="24" t="s">
        <v>21</v>
      </c>
      <c r="O8694" s="24" t="s">
        <v>21</v>
      </c>
      <c r="P8694" s="24" t="s">
        <v>21</v>
      </c>
      <c r="Q8694" s="24" t="s">
        <v>21</v>
      </c>
      <c r="R8694" s="24" t="s">
        <v>21</v>
      </c>
      <c r="S8694" s="24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5">
        <v>0</v>
      </c>
      <c r="E8695" s="5">
        <v>3</v>
      </c>
      <c r="F8695" s="5" t="s">
        <v>9</v>
      </c>
      <c r="G8695" s="15" t="s">
        <v>8</v>
      </c>
      <c r="H8695" s="24">
        <v>0</v>
      </c>
      <c r="I8695" s="24">
        <v>0</v>
      </c>
      <c r="J8695" s="24" t="s">
        <v>21</v>
      </c>
      <c r="K8695" s="24" t="s">
        <v>21</v>
      </c>
      <c r="L8695" s="24" t="s">
        <v>21</v>
      </c>
      <c r="M8695" s="24" t="s">
        <v>21</v>
      </c>
      <c r="N8695" s="24" t="s">
        <v>21</v>
      </c>
      <c r="O8695" s="24" t="s">
        <v>21</v>
      </c>
      <c r="P8695" s="24" t="s">
        <v>21</v>
      </c>
      <c r="Q8695" s="24" t="s">
        <v>21</v>
      </c>
      <c r="R8695" s="24" t="s">
        <v>21</v>
      </c>
      <c r="S8695" s="24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5">
        <v>0</v>
      </c>
      <c r="E8696" s="5">
        <v>3</v>
      </c>
      <c r="F8696" s="5" t="s">
        <v>9</v>
      </c>
      <c r="G8696" s="15" t="s">
        <v>8</v>
      </c>
      <c r="H8696" s="24">
        <v>1.000000003259629</v>
      </c>
      <c r="I8696" s="24">
        <v>1.000000003259629</v>
      </c>
      <c r="J8696" s="24" t="s">
        <v>21</v>
      </c>
      <c r="K8696" s="24" t="s">
        <v>21</v>
      </c>
      <c r="L8696" s="24" t="s">
        <v>21</v>
      </c>
      <c r="M8696" s="24" t="s">
        <v>21</v>
      </c>
      <c r="N8696" s="24" t="s">
        <v>21</v>
      </c>
      <c r="O8696" s="24" t="s">
        <v>21</v>
      </c>
      <c r="P8696" s="24" t="s">
        <v>21</v>
      </c>
      <c r="Q8696" s="24" t="s">
        <v>21</v>
      </c>
      <c r="R8696" s="24" t="s">
        <v>21</v>
      </c>
      <c r="S8696" s="24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5">
        <v>0</v>
      </c>
      <c r="E8697" s="5">
        <v>3</v>
      </c>
      <c r="F8697" s="5" t="s">
        <v>9</v>
      </c>
      <c r="G8697" s="15" t="s">
        <v>8</v>
      </c>
      <c r="H8697" s="24">
        <v>0</v>
      </c>
      <c r="I8697" s="24">
        <v>0</v>
      </c>
      <c r="J8697" s="24" t="s">
        <v>21</v>
      </c>
      <c r="K8697" s="24" t="s">
        <v>21</v>
      </c>
      <c r="L8697" s="24" t="s">
        <v>21</v>
      </c>
      <c r="M8697" s="24" t="s">
        <v>21</v>
      </c>
      <c r="N8697" s="24" t="s">
        <v>21</v>
      </c>
      <c r="O8697" s="24" t="s">
        <v>21</v>
      </c>
      <c r="P8697" s="24" t="s">
        <v>21</v>
      </c>
      <c r="Q8697" s="24" t="s">
        <v>21</v>
      </c>
      <c r="R8697" s="24" t="s">
        <v>21</v>
      </c>
      <c r="S8697" s="24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5">
        <v>11</v>
      </c>
      <c r="E8698" s="5">
        <v>0</v>
      </c>
      <c r="F8698" s="5" t="s">
        <v>9</v>
      </c>
      <c r="G8698" s="15" t="s">
        <v>8</v>
      </c>
      <c r="H8698" s="24">
        <v>36.000000002095476</v>
      </c>
      <c r="I8698" s="24" t="s">
        <v>21</v>
      </c>
      <c r="J8698" s="24" t="s">
        <v>21</v>
      </c>
      <c r="K8698" s="24" t="s">
        <v>21</v>
      </c>
      <c r="L8698" s="24">
        <v>3323.0000000086147</v>
      </c>
      <c r="M8698" s="24" t="s">
        <v>21</v>
      </c>
      <c r="N8698" s="24" t="s">
        <v>21</v>
      </c>
      <c r="O8698" s="24" t="s">
        <v>21</v>
      </c>
      <c r="P8698" s="24" t="s">
        <v>21</v>
      </c>
      <c r="Q8698" s="24" t="s">
        <v>21</v>
      </c>
      <c r="R8698" s="24" t="s">
        <v>21</v>
      </c>
      <c r="S8698" s="24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5">
        <v>6</v>
      </c>
      <c r="E8699" s="5">
        <v>0</v>
      </c>
      <c r="F8699" s="5" t="s">
        <v>9</v>
      </c>
      <c r="G8699" s="15" t="s">
        <v>8</v>
      </c>
      <c r="H8699" s="24">
        <v>0.99999999278225005</v>
      </c>
      <c r="I8699" s="24" t="s">
        <v>21</v>
      </c>
      <c r="J8699" s="24" t="s">
        <v>21</v>
      </c>
      <c r="K8699" s="24" t="s">
        <v>21</v>
      </c>
      <c r="L8699" s="24">
        <v>0.99999999278225005</v>
      </c>
      <c r="M8699" s="24" t="s">
        <v>21</v>
      </c>
      <c r="N8699" s="24" t="s">
        <v>21</v>
      </c>
      <c r="O8699" s="24" t="s">
        <v>21</v>
      </c>
      <c r="P8699" s="24" t="s">
        <v>21</v>
      </c>
      <c r="Q8699" s="24" t="s">
        <v>21</v>
      </c>
      <c r="R8699" s="24" t="s">
        <v>21</v>
      </c>
      <c r="S8699" s="24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5">
        <v>0</v>
      </c>
      <c r="E8700" s="5">
        <v>3</v>
      </c>
      <c r="F8700" s="5" t="s">
        <v>9</v>
      </c>
      <c r="G8700" s="15" t="s">
        <v>8</v>
      </c>
      <c r="H8700" s="24">
        <v>18.000000006286427</v>
      </c>
      <c r="I8700" s="24">
        <v>55.000000001164153</v>
      </c>
      <c r="J8700" s="24" t="s">
        <v>21</v>
      </c>
      <c r="K8700" s="24" t="s">
        <v>21</v>
      </c>
      <c r="L8700" s="24" t="s">
        <v>21</v>
      </c>
      <c r="M8700" s="24" t="s">
        <v>21</v>
      </c>
      <c r="N8700" s="24" t="s">
        <v>21</v>
      </c>
      <c r="O8700" s="24" t="s">
        <v>21</v>
      </c>
      <c r="P8700" s="24" t="s">
        <v>21</v>
      </c>
      <c r="Q8700" s="24" t="s">
        <v>21</v>
      </c>
      <c r="R8700" s="24" t="s">
        <v>21</v>
      </c>
      <c r="S8700" s="24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5">
        <v>0</v>
      </c>
      <c r="E8701" s="5">
        <v>2</v>
      </c>
      <c r="F8701" s="5" t="s">
        <v>9</v>
      </c>
      <c r="G8701" s="15" t="s">
        <v>8</v>
      </c>
      <c r="H8701" s="24">
        <v>0.99999999278225005</v>
      </c>
      <c r="I8701" s="24">
        <v>0.99999999278225005</v>
      </c>
      <c r="J8701" s="24" t="s">
        <v>21</v>
      </c>
      <c r="K8701" s="24" t="s">
        <v>21</v>
      </c>
      <c r="L8701" s="24" t="s">
        <v>21</v>
      </c>
      <c r="M8701" s="24" t="s">
        <v>21</v>
      </c>
      <c r="N8701" s="24" t="s">
        <v>21</v>
      </c>
      <c r="O8701" s="24" t="s">
        <v>21</v>
      </c>
      <c r="P8701" s="24" t="s">
        <v>21</v>
      </c>
      <c r="Q8701" s="24" t="s">
        <v>21</v>
      </c>
      <c r="R8701" s="24" t="s">
        <v>21</v>
      </c>
      <c r="S8701" s="24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5">
        <v>0</v>
      </c>
      <c r="E8702" s="5">
        <v>2</v>
      </c>
      <c r="F8702" s="5" t="s">
        <v>9</v>
      </c>
      <c r="G8702" s="15" t="s">
        <v>8</v>
      </c>
      <c r="H8702" s="24">
        <v>1.000000003259629</v>
      </c>
      <c r="I8702" s="24">
        <v>1.000000003259629</v>
      </c>
      <c r="J8702" s="24" t="s">
        <v>21</v>
      </c>
      <c r="K8702" s="24" t="s">
        <v>21</v>
      </c>
      <c r="L8702" s="24" t="s">
        <v>21</v>
      </c>
      <c r="M8702" s="24" t="s">
        <v>21</v>
      </c>
      <c r="N8702" s="24" t="s">
        <v>21</v>
      </c>
      <c r="O8702" s="24" t="s">
        <v>21</v>
      </c>
      <c r="P8702" s="24" t="s">
        <v>21</v>
      </c>
      <c r="Q8702" s="24" t="s">
        <v>21</v>
      </c>
      <c r="R8702" s="24" t="s">
        <v>21</v>
      </c>
      <c r="S8702" s="24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5">
        <v>0</v>
      </c>
      <c r="E8703" s="5">
        <v>2</v>
      </c>
      <c r="F8703" s="5" t="s">
        <v>9</v>
      </c>
      <c r="G8703" s="15" t="s">
        <v>8</v>
      </c>
      <c r="H8703" s="24">
        <v>0</v>
      </c>
      <c r="I8703" s="24">
        <v>0</v>
      </c>
      <c r="J8703" s="24" t="s">
        <v>21</v>
      </c>
      <c r="K8703" s="24" t="s">
        <v>21</v>
      </c>
      <c r="L8703" s="24" t="s">
        <v>21</v>
      </c>
      <c r="M8703" s="24" t="s">
        <v>21</v>
      </c>
      <c r="N8703" s="24" t="s">
        <v>21</v>
      </c>
      <c r="O8703" s="24" t="s">
        <v>21</v>
      </c>
      <c r="P8703" s="24" t="s">
        <v>21</v>
      </c>
      <c r="Q8703" s="24" t="s">
        <v>21</v>
      </c>
      <c r="R8703" s="24" t="s">
        <v>21</v>
      </c>
      <c r="S8703" s="24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5">
        <v>0</v>
      </c>
      <c r="E8704" s="5">
        <v>3</v>
      </c>
      <c r="F8704" s="5" t="s">
        <v>9</v>
      </c>
      <c r="G8704" s="15" t="s">
        <v>8</v>
      </c>
      <c r="H8704" s="24">
        <v>1.000000003259629</v>
      </c>
      <c r="I8704" s="24">
        <v>1.000000003259629</v>
      </c>
      <c r="J8704" s="24" t="s">
        <v>21</v>
      </c>
      <c r="K8704" s="24" t="s">
        <v>21</v>
      </c>
      <c r="L8704" s="24" t="s">
        <v>21</v>
      </c>
      <c r="M8704" s="24" t="s">
        <v>21</v>
      </c>
      <c r="N8704" s="24" t="s">
        <v>21</v>
      </c>
      <c r="O8704" s="24" t="s">
        <v>21</v>
      </c>
      <c r="P8704" s="24" t="s">
        <v>21</v>
      </c>
      <c r="Q8704" s="24" t="s">
        <v>21</v>
      </c>
      <c r="R8704" s="24" t="s">
        <v>21</v>
      </c>
      <c r="S8704" s="24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5">
        <v>0</v>
      </c>
      <c r="E8705" s="5">
        <v>3</v>
      </c>
      <c r="F8705" s="5" t="s">
        <v>9</v>
      </c>
      <c r="G8705" s="15" t="s">
        <v>8</v>
      </c>
      <c r="H8705" s="24">
        <v>0</v>
      </c>
      <c r="I8705" s="24">
        <v>0</v>
      </c>
      <c r="J8705" s="24" t="s">
        <v>21</v>
      </c>
      <c r="K8705" s="24" t="s">
        <v>21</v>
      </c>
      <c r="L8705" s="24" t="s">
        <v>21</v>
      </c>
      <c r="M8705" s="24" t="s">
        <v>21</v>
      </c>
      <c r="N8705" s="24" t="s">
        <v>21</v>
      </c>
      <c r="O8705" s="24" t="s">
        <v>21</v>
      </c>
      <c r="P8705" s="24" t="s">
        <v>21</v>
      </c>
      <c r="Q8705" s="24" t="s">
        <v>21</v>
      </c>
      <c r="R8705" s="24" t="s">
        <v>21</v>
      </c>
      <c r="S8705" s="24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5">
        <v>0</v>
      </c>
      <c r="E8706" s="5">
        <v>3</v>
      </c>
      <c r="F8706" s="5" t="s">
        <v>9</v>
      </c>
      <c r="G8706" s="15" t="s">
        <v>8</v>
      </c>
      <c r="H8706" s="24">
        <v>0.99999999278225005</v>
      </c>
      <c r="I8706" s="24">
        <v>0.99999999278225005</v>
      </c>
      <c r="J8706" s="24" t="s">
        <v>21</v>
      </c>
      <c r="K8706" s="24" t="s">
        <v>21</v>
      </c>
      <c r="L8706" s="24" t="s">
        <v>21</v>
      </c>
      <c r="M8706" s="24" t="s">
        <v>21</v>
      </c>
      <c r="N8706" s="24" t="s">
        <v>21</v>
      </c>
      <c r="O8706" s="24" t="s">
        <v>21</v>
      </c>
      <c r="P8706" s="24" t="s">
        <v>21</v>
      </c>
      <c r="Q8706" s="24" t="s">
        <v>21</v>
      </c>
      <c r="R8706" s="24" t="s">
        <v>21</v>
      </c>
      <c r="S8706" s="24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5">
        <v>0</v>
      </c>
      <c r="E8707" s="5">
        <v>2</v>
      </c>
      <c r="F8707" s="5" t="s">
        <v>9</v>
      </c>
      <c r="G8707" s="15" t="s">
        <v>8</v>
      </c>
      <c r="H8707" s="24">
        <v>0</v>
      </c>
      <c r="I8707" s="24">
        <v>0</v>
      </c>
      <c r="J8707" s="24" t="s">
        <v>21</v>
      </c>
      <c r="K8707" s="24" t="s">
        <v>21</v>
      </c>
      <c r="L8707" s="24" t="s">
        <v>21</v>
      </c>
      <c r="M8707" s="24" t="s">
        <v>21</v>
      </c>
      <c r="N8707" s="24" t="s">
        <v>21</v>
      </c>
      <c r="O8707" s="24" t="s">
        <v>21</v>
      </c>
      <c r="P8707" s="24" t="s">
        <v>21</v>
      </c>
      <c r="Q8707" s="24" t="s">
        <v>21</v>
      </c>
      <c r="R8707" s="24" t="s">
        <v>21</v>
      </c>
      <c r="S8707" s="24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5">
        <v>0</v>
      </c>
      <c r="E8708" s="5">
        <v>4</v>
      </c>
      <c r="F8708" s="5" t="s">
        <v>9</v>
      </c>
      <c r="G8708" s="15" t="s">
        <v>8</v>
      </c>
      <c r="H8708" s="24">
        <v>1.000000003259629</v>
      </c>
      <c r="I8708" s="24">
        <v>1.000000003259629</v>
      </c>
      <c r="J8708" s="24" t="s">
        <v>21</v>
      </c>
      <c r="K8708" s="24" t="s">
        <v>21</v>
      </c>
      <c r="L8708" s="24" t="s">
        <v>21</v>
      </c>
      <c r="M8708" s="24" t="s">
        <v>21</v>
      </c>
      <c r="N8708" s="24" t="s">
        <v>21</v>
      </c>
      <c r="O8708" s="24" t="s">
        <v>21</v>
      </c>
      <c r="P8708" s="24" t="s">
        <v>21</v>
      </c>
      <c r="Q8708" s="24" t="s">
        <v>21</v>
      </c>
      <c r="R8708" s="24" t="s">
        <v>21</v>
      </c>
      <c r="S8708" s="24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5">
        <v>0</v>
      </c>
      <c r="E8709" s="5">
        <v>4</v>
      </c>
      <c r="F8709" s="5" t="s">
        <v>9</v>
      </c>
      <c r="G8709" s="15" t="s">
        <v>8</v>
      </c>
      <c r="H8709" s="24">
        <v>0</v>
      </c>
      <c r="I8709" s="24">
        <v>0</v>
      </c>
      <c r="J8709" s="24" t="s">
        <v>21</v>
      </c>
      <c r="K8709" s="24" t="s">
        <v>21</v>
      </c>
      <c r="L8709" s="24" t="s">
        <v>21</v>
      </c>
      <c r="M8709" s="24" t="s">
        <v>21</v>
      </c>
      <c r="N8709" s="24" t="s">
        <v>21</v>
      </c>
      <c r="O8709" s="24" t="s">
        <v>21</v>
      </c>
      <c r="P8709" s="24" t="s">
        <v>21</v>
      </c>
      <c r="Q8709" s="24" t="s">
        <v>21</v>
      </c>
      <c r="R8709" s="24" t="s">
        <v>21</v>
      </c>
      <c r="S8709" s="24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5">
        <v>0</v>
      </c>
      <c r="E8710" s="5">
        <v>3</v>
      </c>
      <c r="F8710" s="5" t="s">
        <v>9</v>
      </c>
      <c r="G8710" s="15" t="s">
        <v>8</v>
      </c>
      <c r="H8710" s="24">
        <v>2.9999999993015081</v>
      </c>
      <c r="I8710" s="24">
        <v>2.9999999993015081</v>
      </c>
      <c r="J8710" s="24" t="s">
        <v>21</v>
      </c>
      <c r="K8710" s="24" t="s">
        <v>21</v>
      </c>
      <c r="L8710" s="24" t="s">
        <v>21</v>
      </c>
      <c r="M8710" s="24" t="s">
        <v>21</v>
      </c>
      <c r="N8710" s="24" t="s">
        <v>21</v>
      </c>
      <c r="O8710" s="24" t="s">
        <v>21</v>
      </c>
      <c r="P8710" s="24" t="s">
        <v>21</v>
      </c>
      <c r="Q8710" s="24" t="s">
        <v>21</v>
      </c>
      <c r="R8710" s="24" t="s">
        <v>21</v>
      </c>
      <c r="S8710" s="24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5">
        <v>0</v>
      </c>
      <c r="E8711" s="5">
        <v>3</v>
      </c>
      <c r="F8711" s="5" t="s">
        <v>9</v>
      </c>
      <c r="G8711" s="15" t="s">
        <v>8</v>
      </c>
      <c r="H8711" s="24">
        <v>1.000000003259629</v>
      </c>
      <c r="I8711" s="24">
        <v>1.000000003259629</v>
      </c>
      <c r="J8711" s="24" t="s">
        <v>21</v>
      </c>
      <c r="K8711" s="24" t="s">
        <v>21</v>
      </c>
      <c r="L8711" s="24" t="s">
        <v>21</v>
      </c>
      <c r="M8711" s="24" t="s">
        <v>21</v>
      </c>
      <c r="N8711" s="24" t="s">
        <v>21</v>
      </c>
      <c r="O8711" s="24" t="s">
        <v>21</v>
      </c>
      <c r="P8711" s="24" t="s">
        <v>21</v>
      </c>
      <c r="Q8711" s="24" t="s">
        <v>21</v>
      </c>
      <c r="R8711" s="24" t="s">
        <v>21</v>
      </c>
      <c r="S8711" s="24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5">
        <v>0</v>
      </c>
      <c r="E8712" s="5">
        <v>4</v>
      </c>
      <c r="F8712" s="5" t="s">
        <v>9</v>
      </c>
      <c r="G8712" s="15" t="s">
        <v>8</v>
      </c>
      <c r="H8712" s="24">
        <v>0</v>
      </c>
      <c r="I8712" s="24">
        <v>0</v>
      </c>
      <c r="J8712" s="24" t="s">
        <v>21</v>
      </c>
      <c r="K8712" s="24" t="s">
        <v>21</v>
      </c>
      <c r="L8712" s="24" t="s">
        <v>21</v>
      </c>
      <c r="M8712" s="24" t="s">
        <v>21</v>
      </c>
      <c r="N8712" s="24" t="s">
        <v>21</v>
      </c>
      <c r="O8712" s="24" t="s">
        <v>21</v>
      </c>
      <c r="P8712" s="24" t="s">
        <v>21</v>
      </c>
      <c r="Q8712" s="24" t="s">
        <v>21</v>
      </c>
      <c r="R8712" s="24" t="s">
        <v>21</v>
      </c>
      <c r="S8712" s="24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5">
        <v>0</v>
      </c>
      <c r="E8713" s="5">
        <v>4</v>
      </c>
      <c r="F8713" s="5" t="s">
        <v>9</v>
      </c>
      <c r="G8713" s="15" t="s">
        <v>8</v>
      </c>
      <c r="H8713" s="24">
        <v>1.000000003259629</v>
      </c>
      <c r="I8713" s="24">
        <v>1.000000003259629</v>
      </c>
      <c r="J8713" s="24" t="s">
        <v>21</v>
      </c>
      <c r="K8713" s="24" t="s">
        <v>21</v>
      </c>
      <c r="L8713" s="24" t="s">
        <v>21</v>
      </c>
      <c r="M8713" s="24" t="s">
        <v>21</v>
      </c>
      <c r="N8713" s="24" t="s">
        <v>21</v>
      </c>
      <c r="O8713" s="24" t="s">
        <v>21</v>
      </c>
      <c r="P8713" s="24" t="s">
        <v>21</v>
      </c>
      <c r="Q8713" s="24" t="s">
        <v>21</v>
      </c>
      <c r="R8713" s="24" t="s">
        <v>21</v>
      </c>
      <c r="S8713" s="24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5">
        <v>0</v>
      </c>
      <c r="E8714" s="5">
        <v>2</v>
      </c>
      <c r="F8714" s="5" t="s">
        <v>9</v>
      </c>
      <c r="G8714" s="15" t="s">
        <v>8</v>
      </c>
      <c r="H8714" s="24">
        <v>0</v>
      </c>
      <c r="I8714" s="24">
        <v>0</v>
      </c>
      <c r="J8714" s="24" t="s">
        <v>21</v>
      </c>
      <c r="K8714" s="24" t="s">
        <v>21</v>
      </c>
      <c r="L8714" s="24" t="s">
        <v>21</v>
      </c>
      <c r="M8714" s="24" t="s">
        <v>21</v>
      </c>
      <c r="N8714" s="24" t="s">
        <v>21</v>
      </c>
      <c r="O8714" s="24" t="s">
        <v>21</v>
      </c>
      <c r="P8714" s="24" t="s">
        <v>21</v>
      </c>
      <c r="Q8714" s="24" t="s">
        <v>21</v>
      </c>
      <c r="R8714" s="24" t="s">
        <v>21</v>
      </c>
      <c r="S8714" s="24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5">
        <v>0</v>
      </c>
      <c r="E8715" s="5">
        <v>2</v>
      </c>
      <c r="F8715" s="5" t="s">
        <v>9</v>
      </c>
      <c r="G8715" s="15" t="s">
        <v>8</v>
      </c>
      <c r="H8715" s="24">
        <v>0.99999999278225005</v>
      </c>
      <c r="I8715" s="24">
        <v>0.99999999278225005</v>
      </c>
      <c r="J8715" s="24" t="s">
        <v>21</v>
      </c>
      <c r="K8715" s="24" t="s">
        <v>21</v>
      </c>
      <c r="L8715" s="24" t="s">
        <v>21</v>
      </c>
      <c r="M8715" s="24" t="s">
        <v>21</v>
      </c>
      <c r="N8715" s="24" t="s">
        <v>21</v>
      </c>
      <c r="O8715" s="24" t="s">
        <v>21</v>
      </c>
      <c r="P8715" s="24" t="s">
        <v>21</v>
      </c>
      <c r="Q8715" s="24" t="s">
        <v>21</v>
      </c>
      <c r="R8715" s="24" t="s">
        <v>21</v>
      </c>
      <c r="S8715" s="24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5">
        <v>0</v>
      </c>
      <c r="E8716" s="5">
        <v>3</v>
      </c>
      <c r="F8716" s="5" t="s">
        <v>9</v>
      </c>
      <c r="G8716" s="15" t="s">
        <v>8</v>
      </c>
      <c r="H8716" s="24">
        <v>0</v>
      </c>
      <c r="I8716" s="24">
        <v>0</v>
      </c>
      <c r="J8716" s="24" t="s">
        <v>21</v>
      </c>
      <c r="K8716" s="24" t="s">
        <v>21</v>
      </c>
      <c r="L8716" s="24" t="s">
        <v>21</v>
      </c>
      <c r="M8716" s="24" t="s">
        <v>21</v>
      </c>
      <c r="N8716" s="24" t="s">
        <v>21</v>
      </c>
      <c r="O8716" s="24" t="s">
        <v>21</v>
      </c>
      <c r="P8716" s="24" t="s">
        <v>21</v>
      </c>
      <c r="Q8716" s="24" t="s">
        <v>21</v>
      </c>
      <c r="R8716" s="24" t="s">
        <v>21</v>
      </c>
      <c r="S8716" s="24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5">
        <v>0</v>
      </c>
      <c r="E8717" s="5">
        <v>4</v>
      </c>
      <c r="F8717" s="5" t="s">
        <v>9</v>
      </c>
      <c r="G8717" s="15" t="s">
        <v>8</v>
      </c>
      <c r="H8717" s="24">
        <v>1.000000003259629</v>
      </c>
      <c r="I8717" s="24">
        <v>1.000000003259629</v>
      </c>
      <c r="J8717" s="24" t="s">
        <v>21</v>
      </c>
      <c r="K8717" s="24" t="s">
        <v>21</v>
      </c>
      <c r="L8717" s="24" t="s">
        <v>21</v>
      </c>
      <c r="M8717" s="24" t="s">
        <v>21</v>
      </c>
      <c r="N8717" s="24" t="s">
        <v>21</v>
      </c>
      <c r="O8717" s="24" t="s">
        <v>21</v>
      </c>
      <c r="P8717" s="24" t="s">
        <v>21</v>
      </c>
      <c r="Q8717" s="24" t="s">
        <v>21</v>
      </c>
      <c r="R8717" s="24" t="s">
        <v>21</v>
      </c>
      <c r="S8717" s="24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5">
        <v>0</v>
      </c>
      <c r="E8718" s="5">
        <v>3</v>
      </c>
      <c r="F8718" s="5" t="s">
        <v>9</v>
      </c>
      <c r="G8718" s="15" t="s">
        <v>8</v>
      </c>
      <c r="H8718" s="24">
        <v>1.000000003259629</v>
      </c>
      <c r="I8718" s="24">
        <v>1.000000003259629</v>
      </c>
      <c r="J8718" s="24" t="s">
        <v>21</v>
      </c>
      <c r="K8718" s="24" t="s">
        <v>21</v>
      </c>
      <c r="L8718" s="24" t="s">
        <v>21</v>
      </c>
      <c r="M8718" s="24" t="s">
        <v>21</v>
      </c>
      <c r="N8718" s="24" t="s">
        <v>21</v>
      </c>
      <c r="O8718" s="24" t="s">
        <v>21</v>
      </c>
      <c r="P8718" s="24" t="s">
        <v>21</v>
      </c>
      <c r="Q8718" s="24" t="s">
        <v>21</v>
      </c>
      <c r="R8718" s="24" t="s">
        <v>21</v>
      </c>
      <c r="S8718" s="24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5">
        <v>0</v>
      </c>
      <c r="E8719" s="5">
        <v>4</v>
      </c>
      <c r="F8719" s="5" t="s">
        <v>9</v>
      </c>
      <c r="G8719" s="15" t="s">
        <v>8</v>
      </c>
      <c r="H8719" s="24">
        <v>0</v>
      </c>
      <c r="I8719" s="24">
        <v>0</v>
      </c>
      <c r="J8719" s="24" t="s">
        <v>21</v>
      </c>
      <c r="K8719" s="24" t="s">
        <v>21</v>
      </c>
      <c r="L8719" s="24" t="s">
        <v>21</v>
      </c>
      <c r="M8719" s="24" t="s">
        <v>21</v>
      </c>
      <c r="N8719" s="24" t="s">
        <v>21</v>
      </c>
      <c r="O8719" s="24" t="s">
        <v>21</v>
      </c>
      <c r="P8719" s="24" t="s">
        <v>21</v>
      </c>
      <c r="Q8719" s="24" t="s">
        <v>21</v>
      </c>
      <c r="R8719" s="24" t="s">
        <v>21</v>
      </c>
      <c r="S8719" s="24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5">
        <v>0</v>
      </c>
      <c r="E8720" s="5">
        <v>4</v>
      </c>
      <c r="F8720" s="5" t="s">
        <v>9</v>
      </c>
      <c r="G8720" s="15" t="s">
        <v>8</v>
      </c>
      <c r="H8720" s="24">
        <v>1.9999999960418791</v>
      </c>
      <c r="I8720" s="24">
        <v>1.9999999960418791</v>
      </c>
      <c r="J8720" s="24" t="s">
        <v>21</v>
      </c>
      <c r="K8720" s="24" t="s">
        <v>21</v>
      </c>
      <c r="L8720" s="24" t="s">
        <v>21</v>
      </c>
      <c r="M8720" s="24" t="s">
        <v>21</v>
      </c>
      <c r="N8720" s="24" t="s">
        <v>21</v>
      </c>
      <c r="O8720" s="24" t="s">
        <v>21</v>
      </c>
      <c r="P8720" s="24" t="s">
        <v>21</v>
      </c>
      <c r="Q8720" s="24" t="s">
        <v>21</v>
      </c>
      <c r="R8720" s="24" t="s">
        <v>21</v>
      </c>
      <c r="S8720" s="24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5">
        <v>0</v>
      </c>
      <c r="E8721" s="5">
        <v>3</v>
      </c>
      <c r="F8721" s="5" t="s">
        <v>9</v>
      </c>
      <c r="G8721" s="15" t="s">
        <v>8</v>
      </c>
      <c r="H8721" s="24">
        <v>0</v>
      </c>
      <c r="I8721" s="24">
        <v>0</v>
      </c>
      <c r="J8721" s="24" t="s">
        <v>21</v>
      </c>
      <c r="K8721" s="24" t="s">
        <v>21</v>
      </c>
      <c r="L8721" s="24" t="s">
        <v>21</v>
      </c>
      <c r="M8721" s="24" t="s">
        <v>21</v>
      </c>
      <c r="N8721" s="24" t="s">
        <v>21</v>
      </c>
      <c r="O8721" s="24" t="s">
        <v>21</v>
      </c>
      <c r="P8721" s="24" t="s">
        <v>21</v>
      </c>
      <c r="Q8721" s="24" t="s">
        <v>21</v>
      </c>
      <c r="R8721" s="24" t="s">
        <v>21</v>
      </c>
      <c r="S8721" s="24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7">
        <v>0</v>
      </c>
      <c r="E8722" s="7">
        <v>5</v>
      </c>
      <c r="F8722" s="7" t="s">
        <v>9</v>
      </c>
      <c r="G8722" s="16" t="s">
        <v>8</v>
      </c>
      <c r="H8722" s="25">
        <v>1.000000003259629</v>
      </c>
      <c r="I8722" s="25">
        <v>1.000000003259629</v>
      </c>
      <c r="J8722" s="25" t="s">
        <v>21</v>
      </c>
      <c r="K8722" s="25" t="s">
        <v>21</v>
      </c>
      <c r="L8722" s="25" t="s">
        <v>21</v>
      </c>
      <c r="M8722" s="25" t="s">
        <v>21</v>
      </c>
      <c r="N8722" s="25" t="s">
        <v>21</v>
      </c>
      <c r="O8722" s="25" t="s">
        <v>21</v>
      </c>
      <c r="P8722" s="25" t="s">
        <v>21</v>
      </c>
      <c r="Q8722" s="25" t="s">
        <v>21</v>
      </c>
      <c r="R8722" s="25" t="s">
        <v>21</v>
      </c>
      <c r="S8722" s="25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5">
        <v>0</v>
      </c>
      <c r="E8723" s="5">
        <v>1</v>
      </c>
      <c r="F8723" s="5" t="s">
        <v>9</v>
      </c>
      <c r="G8723" s="15" t="s">
        <v>8</v>
      </c>
      <c r="H8723" s="24">
        <v>778.00000000046566</v>
      </c>
      <c r="I8723" s="24">
        <v>778.00000000046566</v>
      </c>
      <c r="J8723" s="24" t="s">
        <v>21</v>
      </c>
      <c r="K8723" s="24" t="s">
        <v>21</v>
      </c>
      <c r="L8723" s="24" t="s">
        <v>21</v>
      </c>
      <c r="M8723" s="24" t="s">
        <v>21</v>
      </c>
      <c r="N8723" s="24" t="s">
        <v>21</v>
      </c>
      <c r="O8723" s="24" t="s">
        <v>21</v>
      </c>
      <c r="P8723" s="24" t="s">
        <v>21</v>
      </c>
      <c r="Q8723" s="24" t="s">
        <v>21</v>
      </c>
      <c r="R8723" s="24" t="s">
        <v>21</v>
      </c>
      <c r="S8723" s="24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5">
        <v>0</v>
      </c>
      <c r="E8724" s="5">
        <v>2</v>
      </c>
      <c r="F8724" s="5" t="s">
        <v>9</v>
      </c>
      <c r="G8724" s="15" t="s">
        <v>8</v>
      </c>
      <c r="H8724" s="24">
        <v>0.99999999278225005</v>
      </c>
      <c r="I8724" s="24">
        <v>0.99999999278225005</v>
      </c>
      <c r="J8724" s="24" t="s">
        <v>21</v>
      </c>
      <c r="K8724" s="24" t="s">
        <v>21</v>
      </c>
      <c r="L8724" s="24" t="s">
        <v>21</v>
      </c>
      <c r="M8724" s="24" t="s">
        <v>21</v>
      </c>
      <c r="N8724" s="24" t="s">
        <v>21</v>
      </c>
      <c r="O8724" s="24" t="s">
        <v>21</v>
      </c>
      <c r="P8724" s="24" t="s">
        <v>21</v>
      </c>
      <c r="Q8724" s="24" t="s">
        <v>21</v>
      </c>
      <c r="R8724" s="24" t="s">
        <v>21</v>
      </c>
      <c r="S8724" s="24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5">
        <v>0</v>
      </c>
      <c r="E8725" s="5">
        <v>3</v>
      </c>
      <c r="F8725" s="5" t="s">
        <v>9</v>
      </c>
      <c r="G8725" s="15" t="s">
        <v>8</v>
      </c>
      <c r="H8725" s="24">
        <v>0</v>
      </c>
      <c r="I8725" s="24">
        <v>0</v>
      </c>
      <c r="J8725" s="24" t="s">
        <v>21</v>
      </c>
      <c r="K8725" s="24" t="s">
        <v>21</v>
      </c>
      <c r="L8725" s="24" t="s">
        <v>21</v>
      </c>
      <c r="M8725" s="24" t="s">
        <v>21</v>
      </c>
      <c r="N8725" s="24" t="s">
        <v>21</v>
      </c>
      <c r="O8725" s="24" t="s">
        <v>21</v>
      </c>
      <c r="P8725" s="24" t="s">
        <v>21</v>
      </c>
      <c r="Q8725" s="24" t="s">
        <v>21</v>
      </c>
      <c r="R8725" s="24" t="s">
        <v>21</v>
      </c>
      <c r="S8725" s="24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5">
        <v>0</v>
      </c>
      <c r="E8726" s="5">
        <v>3</v>
      </c>
      <c r="F8726" s="5" t="s">
        <v>9</v>
      </c>
      <c r="G8726" s="15" t="s">
        <v>8</v>
      </c>
      <c r="H8726" s="24">
        <v>1.000000003259629</v>
      </c>
      <c r="I8726" s="24">
        <v>1.000000003259629</v>
      </c>
      <c r="J8726" s="24" t="s">
        <v>21</v>
      </c>
      <c r="K8726" s="24" t="s">
        <v>21</v>
      </c>
      <c r="L8726" s="24" t="s">
        <v>21</v>
      </c>
      <c r="M8726" s="24" t="s">
        <v>21</v>
      </c>
      <c r="N8726" s="24" t="s">
        <v>21</v>
      </c>
      <c r="O8726" s="24" t="s">
        <v>21</v>
      </c>
      <c r="P8726" s="24" t="s">
        <v>21</v>
      </c>
      <c r="Q8726" s="24" t="s">
        <v>21</v>
      </c>
      <c r="R8726" s="24" t="s">
        <v>21</v>
      </c>
      <c r="S8726" s="24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5">
        <v>0</v>
      </c>
      <c r="E8727" s="5">
        <v>2</v>
      </c>
      <c r="F8727" s="5" t="s">
        <v>9</v>
      </c>
      <c r="G8727" s="15" t="s">
        <v>8</v>
      </c>
      <c r="H8727" s="24">
        <v>0</v>
      </c>
      <c r="I8727" s="24">
        <v>0</v>
      </c>
      <c r="J8727" s="24" t="s">
        <v>21</v>
      </c>
      <c r="K8727" s="24" t="s">
        <v>21</v>
      </c>
      <c r="L8727" s="24" t="s">
        <v>21</v>
      </c>
      <c r="M8727" s="24" t="s">
        <v>21</v>
      </c>
      <c r="N8727" s="24" t="s">
        <v>21</v>
      </c>
      <c r="O8727" s="24" t="s">
        <v>21</v>
      </c>
      <c r="P8727" s="24" t="s">
        <v>21</v>
      </c>
      <c r="Q8727" s="24" t="s">
        <v>21</v>
      </c>
      <c r="R8727" s="24" t="s">
        <v>21</v>
      </c>
      <c r="S8727" s="24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5">
        <v>0</v>
      </c>
      <c r="E8728" s="5">
        <v>2</v>
      </c>
      <c r="F8728" s="5" t="s">
        <v>9</v>
      </c>
      <c r="G8728" s="15" t="s">
        <v>8</v>
      </c>
      <c r="H8728" s="24">
        <v>1.000000003259629</v>
      </c>
      <c r="I8728" s="24">
        <v>1.000000003259629</v>
      </c>
      <c r="J8728" s="24" t="s">
        <v>21</v>
      </c>
      <c r="K8728" s="24" t="s">
        <v>21</v>
      </c>
      <c r="L8728" s="24" t="s">
        <v>21</v>
      </c>
      <c r="M8728" s="24" t="s">
        <v>21</v>
      </c>
      <c r="N8728" s="24" t="s">
        <v>21</v>
      </c>
      <c r="O8728" s="24" t="s">
        <v>21</v>
      </c>
      <c r="P8728" s="24" t="s">
        <v>21</v>
      </c>
      <c r="Q8728" s="24" t="s">
        <v>21</v>
      </c>
      <c r="R8728" s="24" t="s">
        <v>21</v>
      </c>
      <c r="S8728" s="24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5">
        <v>0</v>
      </c>
      <c r="E8729" s="5">
        <v>1</v>
      </c>
      <c r="F8729" s="5" t="s">
        <v>9</v>
      </c>
      <c r="G8729" s="15" t="s">
        <v>8</v>
      </c>
      <c r="H8729" s="24">
        <v>1.9999999960418791</v>
      </c>
      <c r="I8729" s="24">
        <v>1.9999999960418791</v>
      </c>
      <c r="J8729" s="24" t="s">
        <v>21</v>
      </c>
      <c r="K8729" s="24" t="s">
        <v>21</v>
      </c>
      <c r="L8729" s="24" t="s">
        <v>21</v>
      </c>
      <c r="M8729" s="24" t="s">
        <v>21</v>
      </c>
      <c r="N8729" s="24" t="s">
        <v>21</v>
      </c>
      <c r="O8729" s="24" t="s">
        <v>21</v>
      </c>
      <c r="P8729" s="24" t="s">
        <v>21</v>
      </c>
      <c r="Q8729" s="24" t="s">
        <v>21</v>
      </c>
      <c r="R8729" s="24" t="s">
        <v>21</v>
      </c>
      <c r="S8729" s="24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5">
        <v>0</v>
      </c>
      <c r="E8730" s="5">
        <v>2</v>
      </c>
      <c r="F8730" s="5" t="s">
        <v>9</v>
      </c>
      <c r="G8730" s="15" t="s">
        <v>8</v>
      </c>
      <c r="H8730" s="24">
        <v>1.000000003259629</v>
      </c>
      <c r="I8730" s="24">
        <v>1.000000003259629</v>
      </c>
      <c r="J8730" s="24" t="s">
        <v>21</v>
      </c>
      <c r="K8730" s="24" t="s">
        <v>21</v>
      </c>
      <c r="L8730" s="24" t="s">
        <v>21</v>
      </c>
      <c r="M8730" s="24" t="s">
        <v>21</v>
      </c>
      <c r="N8730" s="24" t="s">
        <v>21</v>
      </c>
      <c r="O8730" s="24" t="s">
        <v>21</v>
      </c>
      <c r="P8730" s="24" t="s">
        <v>21</v>
      </c>
      <c r="Q8730" s="24" t="s">
        <v>21</v>
      </c>
      <c r="R8730" s="24" t="s">
        <v>21</v>
      </c>
      <c r="S8730" s="24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5">
        <v>0</v>
      </c>
      <c r="E8731" s="5">
        <v>3</v>
      </c>
      <c r="F8731" s="5" t="s">
        <v>9</v>
      </c>
      <c r="G8731" s="15" t="s">
        <v>8</v>
      </c>
      <c r="H8731" s="24">
        <v>0</v>
      </c>
      <c r="I8731" s="24">
        <v>0</v>
      </c>
      <c r="J8731" s="24" t="s">
        <v>21</v>
      </c>
      <c r="K8731" s="24" t="s">
        <v>21</v>
      </c>
      <c r="L8731" s="24" t="s">
        <v>21</v>
      </c>
      <c r="M8731" s="24" t="s">
        <v>21</v>
      </c>
      <c r="N8731" s="24" t="s">
        <v>21</v>
      </c>
      <c r="O8731" s="24" t="s">
        <v>21</v>
      </c>
      <c r="P8731" s="24" t="s">
        <v>21</v>
      </c>
      <c r="Q8731" s="24" t="s">
        <v>21</v>
      </c>
      <c r="R8731" s="24" t="s">
        <v>21</v>
      </c>
      <c r="S8731" s="24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5">
        <v>0</v>
      </c>
      <c r="E8732" s="5">
        <v>3</v>
      </c>
      <c r="F8732" s="5" t="s">
        <v>9</v>
      </c>
      <c r="G8732" s="15" t="s">
        <v>8</v>
      </c>
      <c r="H8732" s="24">
        <v>0.99999999278225005</v>
      </c>
      <c r="I8732" s="24">
        <v>0.99999999278225005</v>
      </c>
      <c r="J8732" s="24" t="s">
        <v>21</v>
      </c>
      <c r="K8732" s="24" t="s">
        <v>21</v>
      </c>
      <c r="L8732" s="24" t="s">
        <v>21</v>
      </c>
      <c r="M8732" s="24" t="s">
        <v>21</v>
      </c>
      <c r="N8732" s="24" t="s">
        <v>21</v>
      </c>
      <c r="O8732" s="24" t="s">
        <v>21</v>
      </c>
      <c r="P8732" s="24" t="s">
        <v>21</v>
      </c>
      <c r="Q8732" s="24" t="s">
        <v>21</v>
      </c>
      <c r="R8732" s="24" t="s">
        <v>21</v>
      </c>
      <c r="S8732" s="24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5">
        <v>0</v>
      </c>
      <c r="E8733" s="5">
        <v>3</v>
      </c>
      <c r="F8733" s="5" t="s">
        <v>9</v>
      </c>
      <c r="G8733" s="15" t="s">
        <v>8</v>
      </c>
      <c r="H8733" s="24">
        <v>0</v>
      </c>
      <c r="I8733" s="24">
        <v>0</v>
      </c>
      <c r="J8733" s="24" t="s">
        <v>21</v>
      </c>
      <c r="K8733" s="24" t="s">
        <v>21</v>
      </c>
      <c r="L8733" s="24" t="s">
        <v>21</v>
      </c>
      <c r="M8733" s="24" t="s">
        <v>21</v>
      </c>
      <c r="N8733" s="24" t="s">
        <v>21</v>
      </c>
      <c r="O8733" s="24" t="s">
        <v>21</v>
      </c>
      <c r="P8733" s="24" t="s">
        <v>21</v>
      </c>
      <c r="Q8733" s="24" t="s">
        <v>21</v>
      </c>
      <c r="R8733" s="24" t="s">
        <v>21</v>
      </c>
      <c r="S8733" s="24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5">
        <v>0</v>
      </c>
      <c r="E8734" s="5">
        <v>1</v>
      </c>
      <c r="F8734" s="5" t="s">
        <v>9</v>
      </c>
      <c r="G8734" s="15" t="s">
        <v>8</v>
      </c>
      <c r="H8734" s="24">
        <v>1.000000003259629</v>
      </c>
      <c r="I8734" s="24">
        <v>1.000000003259629</v>
      </c>
      <c r="J8734" s="24" t="s">
        <v>21</v>
      </c>
      <c r="K8734" s="24" t="s">
        <v>21</v>
      </c>
      <c r="L8734" s="24" t="s">
        <v>21</v>
      </c>
      <c r="M8734" s="24" t="s">
        <v>21</v>
      </c>
      <c r="N8734" s="24" t="s">
        <v>21</v>
      </c>
      <c r="O8734" s="24" t="s">
        <v>21</v>
      </c>
      <c r="P8734" s="24" t="s">
        <v>21</v>
      </c>
      <c r="Q8734" s="24" t="s">
        <v>21</v>
      </c>
      <c r="R8734" s="24" t="s">
        <v>21</v>
      </c>
      <c r="S8734" s="24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5">
        <v>0</v>
      </c>
      <c r="E8735" s="5">
        <v>2</v>
      </c>
      <c r="F8735" s="5" t="s">
        <v>9</v>
      </c>
      <c r="G8735" s="15" t="s">
        <v>8</v>
      </c>
      <c r="H8735" s="24">
        <v>2.000000006519258</v>
      </c>
      <c r="I8735" s="24">
        <v>2.000000006519258</v>
      </c>
      <c r="J8735" s="24" t="s">
        <v>21</v>
      </c>
      <c r="K8735" s="24" t="s">
        <v>21</v>
      </c>
      <c r="L8735" s="24" t="s">
        <v>21</v>
      </c>
      <c r="M8735" s="24" t="s">
        <v>21</v>
      </c>
      <c r="N8735" s="24" t="s">
        <v>21</v>
      </c>
      <c r="O8735" s="24" t="s">
        <v>21</v>
      </c>
      <c r="P8735" s="24" t="s">
        <v>21</v>
      </c>
      <c r="Q8735" s="24" t="s">
        <v>21</v>
      </c>
      <c r="R8735" s="24" t="s">
        <v>21</v>
      </c>
      <c r="S8735" s="24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5">
        <v>0</v>
      </c>
      <c r="E8736" s="5">
        <v>1</v>
      </c>
      <c r="F8736" s="5" t="s">
        <v>9</v>
      </c>
      <c r="G8736" s="15" t="s">
        <v>8</v>
      </c>
      <c r="H8736" s="24">
        <v>0.99999999278225005</v>
      </c>
      <c r="I8736" s="24">
        <v>0.99999999278225005</v>
      </c>
      <c r="J8736" s="24" t="s">
        <v>21</v>
      </c>
      <c r="K8736" s="24" t="s">
        <v>21</v>
      </c>
      <c r="L8736" s="24" t="s">
        <v>21</v>
      </c>
      <c r="M8736" s="24" t="s">
        <v>21</v>
      </c>
      <c r="N8736" s="24" t="s">
        <v>21</v>
      </c>
      <c r="O8736" s="24" t="s">
        <v>21</v>
      </c>
      <c r="P8736" s="24" t="s">
        <v>21</v>
      </c>
      <c r="Q8736" s="24" t="s">
        <v>21</v>
      </c>
      <c r="R8736" s="24" t="s">
        <v>21</v>
      </c>
      <c r="S8736" s="24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5">
        <v>3</v>
      </c>
      <c r="E8737" s="5">
        <v>1</v>
      </c>
      <c r="F8737" s="5" t="s">
        <v>9</v>
      </c>
      <c r="G8737" s="15" t="s">
        <v>8</v>
      </c>
      <c r="H8737" s="24">
        <v>31.000000006752089</v>
      </c>
      <c r="I8737" s="24" t="s">
        <v>21</v>
      </c>
      <c r="J8737" s="24" t="s">
        <v>21</v>
      </c>
      <c r="K8737" s="24" t="s">
        <v>21</v>
      </c>
      <c r="L8737" s="24">
        <v>854.00000000721775</v>
      </c>
      <c r="M8737" s="24" t="s">
        <v>21</v>
      </c>
      <c r="N8737" s="24" t="s">
        <v>21</v>
      </c>
      <c r="O8737" s="24" t="s">
        <v>21</v>
      </c>
      <c r="P8737" s="24" t="s">
        <v>21</v>
      </c>
      <c r="Q8737" s="24" t="s">
        <v>21</v>
      </c>
      <c r="R8737" s="24" t="s">
        <v>21</v>
      </c>
      <c r="S8737" s="24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5">
        <v>6</v>
      </c>
      <c r="E8738" s="5">
        <v>0</v>
      </c>
      <c r="F8738" s="5" t="s">
        <v>9</v>
      </c>
      <c r="G8738" s="15" t="s">
        <v>8</v>
      </c>
      <c r="H8738" s="24">
        <v>0</v>
      </c>
      <c r="I8738" s="24" t="s">
        <v>21</v>
      </c>
      <c r="J8738" s="24" t="s">
        <v>21</v>
      </c>
      <c r="K8738" s="24" t="s">
        <v>21</v>
      </c>
      <c r="L8738" s="24">
        <v>0</v>
      </c>
      <c r="M8738" s="24" t="s">
        <v>21</v>
      </c>
      <c r="N8738" s="24" t="s">
        <v>21</v>
      </c>
      <c r="O8738" s="24" t="s">
        <v>21</v>
      </c>
      <c r="P8738" s="24" t="s">
        <v>21</v>
      </c>
      <c r="Q8738" s="24" t="s">
        <v>21</v>
      </c>
      <c r="R8738" s="24" t="s">
        <v>21</v>
      </c>
      <c r="S8738" s="24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5">
        <v>0</v>
      </c>
      <c r="E8739" s="5">
        <v>4</v>
      </c>
      <c r="F8739" s="5" t="s">
        <v>9</v>
      </c>
      <c r="G8739" s="15" t="s">
        <v>8</v>
      </c>
      <c r="H8739" s="24">
        <v>302.99999999231659</v>
      </c>
      <c r="I8739" s="24">
        <v>333.99999999906868</v>
      </c>
      <c r="J8739" s="24" t="s">
        <v>21</v>
      </c>
      <c r="K8739" s="24" t="s">
        <v>21</v>
      </c>
      <c r="L8739" s="24" t="s">
        <v>21</v>
      </c>
      <c r="M8739" s="24" t="s">
        <v>21</v>
      </c>
      <c r="N8739" s="24" t="s">
        <v>21</v>
      </c>
      <c r="O8739" s="24" t="s">
        <v>21</v>
      </c>
      <c r="P8739" s="24" t="s">
        <v>21</v>
      </c>
      <c r="Q8739" s="24" t="s">
        <v>21</v>
      </c>
      <c r="R8739" s="24" t="s">
        <v>21</v>
      </c>
      <c r="S8739" s="24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5">
        <v>0</v>
      </c>
      <c r="E8740" s="5">
        <v>4</v>
      </c>
      <c r="F8740" s="5" t="s">
        <v>9</v>
      </c>
      <c r="G8740" s="15" t="s">
        <v>8</v>
      </c>
      <c r="H8740" s="24">
        <v>1.000000003259629</v>
      </c>
      <c r="I8740" s="24">
        <v>1.000000003259629</v>
      </c>
      <c r="J8740" s="24" t="s">
        <v>21</v>
      </c>
      <c r="K8740" s="24" t="s">
        <v>21</v>
      </c>
      <c r="L8740" s="24" t="s">
        <v>21</v>
      </c>
      <c r="M8740" s="24" t="s">
        <v>21</v>
      </c>
      <c r="N8740" s="24" t="s">
        <v>21</v>
      </c>
      <c r="O8740" s="24" t="s">
        <v>21</v>
      </c>
      <c r="P8740" s="24" t="s">
        <v>21</v>
      </c>
      <c r="Q8740" s="24" t="s">
        <v>21</v>
      </c>
      <c r="R8740" s="24" t="s">
        <v>21</v>
      </c>
      <c r="S8740" s="24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5">
        <v>0</v>
      </c>
      <c r="E8741" s="5">
        <v>4</v>
      </c>
      <c r="F8741" s="5" t="s">
        <v>9</v>
      </c>
      <c r="G8741" s="15" t="s">
        <v>8</v>
      </c>
      <c r="H8741" s="24">
        <v>1.000000003259629</v>
      </c>
      <c r="I8741" s="24">
        <v>1.000000003259629</v>
      </c>
      <c r="J8741" s="24" t="s">
        <v>21</v>
      </c>
      <c r="K8741" s="24" t="s">
        <v>21</v>
      </c>
      <c r="L8741" s="24" t="s">
        <v>21</v>
      </c>
      <c r="M8741" s="24" t="s">
        <v>21</v>
      </c>
      <c r="N8741" s="24" t="s">
        <v>21</v>
      </c>
      <c r="O8741" s="24" t="s">
        <v>21</v>
      </c>
      <c r="P8741" s="24" t="s">
        <v>21</v>
      </c>
      <c r="Q8741" s="24" t="s">
        <v>21</v>
      </c>
      <c r="R8741" s="24" t="s">
        <v>21</v>
      </c>
      <c r="S8741" s="24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5">
        <v>0</v>
      </c>
      <c r="E8742" s="5">
        <v>4</v>
      </c>
      <c r="F8742" s="5" t="s">
        <v>9</v>
      </c>
      <c r="G8742" s="15" t="s">
        <v>8</v>
      </c>
      <c r="H8742" s="24">
        <v>0</v>
      </c>
      <c r="I8742" s="24">
        <v>0</v>
      </c>
      <c r="J8742" s="24" t="s">
        <v>21</v>
      </c>
      <c r="K8742" s="24" t="s">
        <v>21</v>
      </c>
      <c r="L8742" s="24" t="s">
        <v>21</v>
      </c>
      <c r="M8742" s="24" t="s">
        <v>21</v>
      </c>
      <c r="N8742" s="24" t="s">
        <v>21</v>
      </c>
      <c r="O8742" s="24" t="s">
        <v>21</v>
      </c>
      <c r="P8742" s="24" t="s">
        <v>21</v>
      </c>
      <c r="Q8742" s="24" t="s">
        <v>21</v>
      </c>
      <c r="R8742" s="24" t="s">
        <v>21</v>
      </c>
      <c r="S8742" s="24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5">
        <v>0</v>
      </c>
      <c r="E8743" s="5">
        <v>3</v>
      </c>
      <c r="F8743" s="5" t="s">
        <v>9</v>
      </c>
      <c r="G8743" s="15" t="s">
        <v>8</v>
      </c>
      <c r="H8743" s="24">
        <v>0.99999999278225005</v>
      </c>
      <c r="I8743" s="24">
        <v>0.99999999278225005</v>
      </c>
      <c r="J8743" s="24" t="s">
        <v>21</v>
      </c>
      <c r="K8743" s="24" t="s">
        <v>21</v>
      </c>
      <c r="L8743" s="24" t="s">
        <v>21</v>
      </c>
      <c r="M8743" s="24" t="s">
        <v>21</v>
      </c>
      <c r="N8743" s="24" t="s">
        <v>21</v>
      </c>
      <c r="O8743" s="24" t="s">
        <v>21</v>
      </c>
      <c r="P8743" s="24" t="s">
        <v>21</v>
      </c>
      <c r="Q8743" s="24" t="s">
        <v>21</v>
      </c>
      <c r="R8743" s="24" t="s">
        <v>21</v>
      </c>
      <c r="S8743" s="24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5">
        <v>0</v>
      </c>
      <c r="E8744" s="5">
        <v>3</v>
      </c>
      <c r="F8744" s="5" t="s">
        <v>9</v>
      </c>
      <c r="G8744" s="15" t="s">
        <v>8</v>
      </c>
      <c r="H8744" s="24">
        <v>0</v>
      </c>
      <c r="I8744" s="24">
        <v>0</v>
      </c>
      <c r="J8744" s="24" t="s">
        <v>21</v>
      </c>
      <c r="K8744" s="24" t="s">
        <v>21</v>
      </c>
      <c r="L8744" s="24" t="s">
        <v>21</v>
      </c>
      <c r="M8744" s="24" t="s">
        <v>21</v>
      </c>
      <c r="N8744" s="24" t="s">
        <v>21</v>
      </c>
      <c r="O8744" s="24" t="s">
        <v>21</v>
      </c>
      <c r="P8744" s="24" t="s">
        <v>21</v>
      </c>
      <c r="Q8744" s="24" t="s">
        <v>21</v>
      </c>
      <c r="R8744" s="24" t="s">
        <v>21</v>
      </c>
      <c r="S8744" s="24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5">
        <v>0</v>
      </c>
      <c r="E8745" s="5">
        <v>2</v>
      </c>
      <c r="F8745" s="5" t="s">
        <v>9</v>
      </c>
      <c r="G8745" s="15" t="s">
        <v>8</v>
      </c>
      <c r="H8745" s="24">
        <v>1.000000003259629</v>
      </c>
      <c r="I8745" s="24">
        <v>1.000000003259629</v>
      </c>
      <c r="J8745" s="24" t="s">
        <v>21</v>
      </c>
      <c r="K8745" s="24" t="s">
        <v>21</v>
      </c>
      <c r="L8745" s="24" t="s">
        <v>21</v>
      </c>
      <c r="M8745" s="24" t="s">
        <v>21</v>
      </c>
      <c r="N8745" s="24" t="s">
        <v>21</v>
      </c>
      <c r="O8745" s="24" t="s">
        <v>21</v>
      </c>
      <c r="P8745" s="24" t="s">
        <v>21</v>
      </c>
      <c r="Q8745" s="24" t="s">
        <v>21</v>
      </c>
      <c r="R8745" s="24" t="s">
        <v>21</v>
      </c>
      <c r="S8745" s="24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5">
        <v>0</v>
      </c>
      <c r="E8746" s="5">
        <v>4</v>
      </c>
      <c r="F8746" s="5" t="s">
        <v>9</v>
      </c>
      <c r="G8746" s="15" t="s">
        <v>8</v>
      </c>
      <c r="H8746" s="24">
        <v>0</v>
      </c>
      <c r="I8746" s="24">
        <v>0</v>
      </c>
      <c r="J8746" s="24" t="s">
        <v>21</v>
      </c>
      <c r="K8746" s="24" t="s">
        <v>21</v>
      </c>
      <c r="L8746" s="24" t="s">
        <v>21</v>
      </c>
      <c r="M8746" s="24" t="s">
        <v>21</v>
      </c>
      <c r="N8746" s="24" t="s">
        <v>21</v>
      </c>
      <c r="O8746" s="24" t="s">
        <v>21</v>
      </c>
      <c r="P8746" s="24" t="s">
        <v>21</v>
      </c>
      <c r="Q8746" s="24" t="s">
        <v>21</v>
      </c>
      <c r="R8746" s="24" t="s">
        <v>21</v>
      </c>
      <c r="S8746" s="24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5">
        <v>0</v>
      </c>
      <c r="E8747" s="5">
        <v>2</v>
      </c>
      <c r="F8747" s="5" t="s">
        <v>9</v>
      </c>
      <c r="G8747" s="15" t="s">
        <v>8</v>
      </c>
      <c r="H8747" s="24">
        <v>1.9999999960418791</v>
      </c>
      <c r="I8747" s="24">
        <v>1.9999999960418791</v>
      </c>
      <c r="J8747" s="24" t="s">
        <v>21</v>
      </c>
      <c r="K8747" s="24" t="s">
        <v>21</v>
      </c>
      <c r="L8747" s="24" t="s">
        <v>21</v>
      </c>
      <c r="M8747" s="24" t="s">
        <v>21</v>
      </c>
      <c r="N8747" s="24" t="s">
        <v>21</v>
      </c>
      <c r="O8747" s="24" t="s">
        <v>21</v>
      </c>
      <c r="P8747" s="24" t="s">
        <v>21</v>
      </c>
      <c r="Q8747" s="24" t="s">
        <v>21</v>
      </c>
      <c r="R8747" s="24" t="s">
        <v>21</v>
      </c>
      <c r="S8747" s="24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5">
        <v>0</v>
      </c>
      <c r="E8748" s="5">
        <v>1</v>
      </c>
      <c r="F8748" s="5" t="s">
        <v>9</v>
      </c>
      <c r="G8748" s="15" t="s">
        <v>8</v>
      </c>
      <c r="H8748" s="24">
        <v>0</v>
      </c>
      <c r="I8748" s="24">
        <v>0</v>
      </c>
      <c r="J8748" s="24" t="s">
        <v>21</v>
      </c>
      <c r="K8748" s="24" t="s">
        <v>21</v>
      </c>
      <c r="L8748" s="24" t="s">
        <v>21</v>
      </c>
      <c r="M8748" s="24" t="s">
        <v>21</v>
      </c>
      <c r="N8748" s="24" t="s">
        <v>21</v>
      </c>
      <c r="O8748" s="24" t="s">
        <v>21</v>
      </c>
      <c r="P8748" s="24" t="s">
        <v>21</v>
      </c>
      <c r="Q8748" s="24" t="s">
        <v>21</v>
      </c>
      <c r="R8748" s="24" t="s">
        <v>21</v>
      </c>
      <c r="S8748" s="24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5">
        <v>5</v>
      </c>
      <c r="E8749" s="5">
        <v>2</v>
      </c>
      <c r="F8749" s="5" t="s">
        <v>9</v>
      </c>
      <c r="G8749" s="15" t="s">
        <v>8</v>
      </c>
      <c r="H8749" s="24">
        <v>121.99999999953434</v>
      </c>
      <c r="I8749" s="24">
        <v>121.99999999953434</v>
      </c>
      <c r="J8749" s="24" t="s">
        <v>21</v>
      </c>
      <c r="K8749" s="24" t="s">
        <v>21</v>
      </c>
      <c r="L8749" s="24" t="s">
        <v>21</v>
      </c>
      <c r="M8749" s="24" t="s">
        <v>21</v>
      </c>
      <c r="N8749" s="24" t="s">
        <v>21</v>
      </c>
      <c r="O8749" s="24" t="s">
        <v>21</v>
      </c>
      <c r="P8749" s="24" t="s">
        <v>21</v>
      </c>
      <c r="Q8749" s="24" t="s">
        <v>21</v>
      </c>
      <c r="R8749" s="24" t="s">
        <v>21</v>
      </c>
      <c r="S8749" s="24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5">
        <v>10</v>
      </c>
      <c r="E8750" s="5">
        <v>0</v>
      </c>
      <c r="F8750" s="5" t="s">
        <v>9</v>
      </c>
      <c r="G8750" s="15" t="s">
        <v>8</v>
      </c>
      <c r="H8750" s="24">
        <v>1.000000003259629</v>
      </c>
      <c r="I8750" s="24">
        <v>1.000000003259629</v>
      </c>
      <c r="J8750" s="24" t="s">
        <v>21</v>
      </c>
      <c r="K8750" s="24" t="s">
        <v>21</v>
      </c>
      <c r="L8750" s="24" t="s">
        <v>21</v>
      </c>
      <c r="M8750" s="24" t="s">
        <v>21</v>
      </c>
      <c r="N8750" s="24" t="s">
        <v>21</v>
      </c>
      <c r="O8750" s="24" t="s">
        <v>21</v>
      </c>
      <c r="P8750" s="24" t="s">
        <v>21</v>
      </c>
      <c r="Q8750" s="24" t="s">
        <v>21</v>
      </c>
      <c r="R8750" s="24" t="s">
        <v>21</v>
      </c>
      <c r="S8750" s="24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5">
        <v>6</v>
      </c>
      <c r="E8751" s="5">
        <v>4</v>
      </c>
      <c r="F8751" s="5" t="s">
        <v>9</v>
      </c>
      <c r="G8751" s="15" t="s">
        <v>8</v>
      </c>
      <c r="H8751" s="24">
        <v>1.000000003259629</v>
      </c>
      <c r="I8751" s="24">
        <v>1.000000003259629</v>
      </c>
      <c r="J8751" s="24" t="s">
        <v>21</v>
      </c>
      <c r="K8751" s="24" t="s">
        <v>21</v>
      </c>
      <c r="L8751" s="24" t="s">
        <v>21</v>
      </c>
      <c r="M8751" s="24" t="s">
        <v>21</v>
      </c>
      <c r="N8751" s="24" t="s">
        <v>21</v>
      </c>
      <c r="O8751" s="24" t="s">
        <v>21</v>
      </c>
      <c r="P8751" s="24" t="s">
        <v>21</v>
      </c>
      <c r="Q8751" s="24" t="s">
        <v>21</v>
      </c>
      <c r="R8751" s="24" t="s">
        <v>21</v>
      </c>
      <c r="S8751" s="24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5">
        <v>15</v>
      </c>
      <c r="E8752" s="5">
        <v>0</v>
      </c>
      <c r="F8752" s="5" t="s">
        <v>9</v>
      </c>
      <c r="G8752" s="15" t="s">
        <v>8</v>
      </c>
      <c r="H8752" s="24">
        <v>0</v>
      </c>
      <c r="I8752" s="24">
        <v>0</v>
      </c>
      <c r="J8752" s="24" t="s">
        <v>21</v>
      </c>
      <c r="K8752" s="24" t="s">
        <v>21</v>
      </c>
      <c r="L8752" s="24" t="s">
        <v>21</v>
      </c>
      <c r="M8752" s="24" t="s">
        <v>21</v>
      </c>
      <c r="N8752" s="24" t="s">
        <v>21</v>
      </c>
      <c r="O8752" s="24" t="s">
        <v>21</v>
      </c>
      <c r="P8752" s="24" t="s">
        <v>21</v>
      </c>
      <c r="Q8752" s="24" t="s">
        <v>21</v>
      </c>
      <c r="R8752" s="24" t="s">
        <v>21</v>
      </c>
      <c r="S8752" s="24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5">
        <v>9</v>
      </c>
      <c r="E8753" s="5">
        <v>1</v>
      </c>
      <c r="F8753" s="5" t="s">
        <v>9</v>
      </c>
      <c r="G8753" s="15" t="s">
        <v>8</v>
      </c>
      <c r="H8753" s="24">
        <v>1.000000003259629</v>
      </c>
      <c r="I8753" s="24">
        <v>1.000000003259629</v>
      </c>
      <c r="J8753" s="24" t="s">
        <v>21</v>
      </c>
      <c r="K8753" s="24" t="s">
        <v>21</v>
      </c>
      <c r="L8753" s="24" t="s">
        <v>21</v>
      </c>
      <c r="M8753" s="24" t="s">
        <v>21</v>
      </c>
      <c r="N8753" s="24" t="s">
        <v>21</v>
      </c>
      <c r="O8753" s="24" t="s">
        <v>21</v>
      </c>
      <c r="P8753" s="24" t="s">
        <v>21</v>
      </c>
      <c r="Q8753" s="24" t="s">
        <v>21</v>
      </c>
      <c r="R8753" s="24" t="s">
        <v>21</v>
      </c>
      <c r="S8753" s="24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5">
        <v>0</v>
      </c>
      <c r="E8754" s="5">
        <v>2</v>
      </c>
      <c r="F8754" s="5" t="s">
        <v>9</v>
      </c>
      <c r="G8754" s="15" t="s">
        <v>8</v>
      </c>
      <c r="H8754" s="24">
        <v>0</v>
      </c>
      <c r="I8754" s="24">
        <v>0</v>
      </c>
      <c r="J8754" s="24" t="s">
        <v>21</v>
      </c>
      <c r="K8754" s="24" t="s">
        <v>21</v>
      </c>
      <c r="L8754" s="24" t="s">
        <v>21</v>
      </c>
      <c r="M8754" s="24" t="s">
        <v>21</v>
      </c>
      <c r="N8754" s="24" t="s">
        <v>21</v>
      </c>
      <c r="O8754" s="24" t="s">
        <v>21</v>
      </c>
      <c r="P8754" s="24" t="s">
        <v>21</v>
      </c>
      <c r="Q8754" s="24" t="s">
        <v>21</v>
      </c>
      <c r="R8754" s="24" t="s">
        <v>21</v>
      </c>
      <c r="S8754" s="24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5">
        <v>0</v>
      </c>
      <c r="E8755" s="5">
        <v>3</v>
      </c>
      <c r="F8755" s="5" t="s">
        <v>9</v>
      </c>
      <c r="G8755" s="15" t="s">
        <v>8</v>
      </c>
      <c r="H8755" s="24">
        <v>0.99999999278225005</v>
      </c>
      <c r="I8755" s="24">
        <v>0.99999999278225005</v>
      </c>
      <c r="J8755" s="24" t="s">
        <v>21</v>
      </c>
      <c r="K8755" s="24" t="s">
        <v>21</v>
      </c>
      <c r="L8755" s="24" t="s">
        <v>21</v>
      </c>
      <c r="M8755" s="24" t="s">
        <v>21</v>
      </c>
      <c r="N8755" s="24" t="s">
        <v>21</v>
      </c>
      <c r="O8755" s="24" t="s">
        <v>21</v>
      </c>
      <c r="P8755" s="24" t="s">
        <v>21</v>
      </c>
      <c r="Q8755" s="24" t="s">
        <v>21</v>
      </c>
      <c r="R8755" s="24" t="s">
        <v>21</v>
      </c>
      <c r="S8755" s="24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5">
        <v>0</v>
      </c>
      <c r="E8756" s="5">
        <v>4</v>
      </c>
      <c r="F8756" s="5" t="s">
        <v>9</v>
      </c>
      <c r="G8756" s="15" t="s">
        <v>8</v>
      </c>
      <c r="H8756" s="24">
        <v>0</v>
      </c>
      <c r="I8756" s="24">
        <v>0</v>
      </c>
      <c r="J8756" s="24" t="s">
        <v>21</v>
      </c>
      <c r="K8756" s="24" t="s">
        <v>21</v>
      </c>
      <c r="L8756" s="24" t="s">
        <v>21</v>
      </c>
      <c r="M8756" s="24" t="s">
        <v>21</v>
      </c>
      <c r="N8756" s="24" t="s">
        <v>21</v>
      </c>
      <c r="O8756" s="24" t="s">
        <v>21</v>
      </c>
      <c r="P8756" s="24" t="s">
        <v>21</v>
      </c>
      <c r="Q8756" s="24" t="s">
        <v>21</v>
      </c>
      <c r="R8756" s="24" t="s">
        <v>21</v>
      </c>
      <c r="S8756" s="24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5">
        <v>0</v>
      </c>
      <c r="E8757" s="5">
        <v>3</v>
      </c>
      <c r="F8757" s="5" t="s">
        <v>9</v>
      </c>
      <c r="G8757" s="15" t="s">
        <v>8</v>
      </c>
      <c r="H8757" s="24">
        <v>1.000000003259629</v>
      </c>
      <c r="I8757" s="24">
        <v>1.000000003259629</v>
      </c>
      <c r="J8757" s="24" t="s">
        <v>21</v>
      </c>
      <c r="K8757" s="24" t="s">
        <v>21</v>
      </c>
      <c r="L8757" s="24" t="s">
        <v>21</v>
      </c>
      <c r="M8757" s="24" t="s">
        <v>21</v>
      </c>
      <c r="N8757" s="24" t="s">
        <v>21</v>
      </c>
      <c r="O8757" s="24" t="s">
        <v>21</v>
      </c>
      <c r="P8757" s="24" t="s">
        <v>21</v>
      </c>
      <c r="Q8757" s="24" t="s">
        <v>21</v>
      </c>
      <c r="R8757" s="24" t="s">
        <v>21</v>
      </c>
      <c r="S8757" s="24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5">
        <v>0</v>
      </c>
      <c r="E8758" s="5">
        <v>3</v>
      </c>
      <c r="F8758" s="5" t="s">
        <v>9</v>
      </c>
      <c r="G8758" s="15" t="s">
        <v>8</v>
      </c>
      <c r="H8758" s="24">
        <v>0</v>
      </c>
      <c r="I8758" s="24">
        <v>0</v>
      </c>
      <c r="J8758" s="24" t="s">
        <v>21</v>
      </c>
      <c r="K8758" s="24" t="s">
        <v>21</v>
      </c>
      <c r="L8758" s="24" t="s">
        <v>21</v>
      </c>
      <c r="M8758" s="24" t="s">
        <v>21</v>
      </c>
      <c r="N8758" s="24" t="s">
        <v>21</v>
      </c>
      <c r="O8758" s="24" t="s">
        <v>21</v>
      </c>
      <c r="P8758" s="24" t="s">
        <v>21</v>
      </c>
      <c r="Q8758" s="24" t="s">
        <v>21</v>
      </c>
      <c r="R8758" s="24" t="s">
        <v>21</v>
      </c>
      <c r="S8758" s="24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5">
        <v>0</v>
      </c>
      <c r="E8759" s="5">
        <v>4</v>
      </c>
      <c r="F8759" s="5" t="s">
        <v>9</v>
      </c>
      <c r="G8759" s="15" t="s">
        <v>8</v>
      </c>
      <c r="H8759" s="24">
        <v>1.000000003259629</v>
      </c>
      <c r="I8759" s="24">
        <v>1.000000003259629</v>
      </c>
      <c r="J8759" s="24" t="s">
        <v>21</v>
      </c>
      <c r="K8759" s="24" t="s">
        <v>21</v>
      </c>
      <c r="L8759" s="24" t="s">
        <v>21</v>
      </c>
      <c r="M8759" s="24" t="s">
        <v>21</v>
      </c>
      <c r="N8759" s="24" t="s">
        <v>21</v>
      </c>
      <c r="O8759" s="24" t="s">
        <v>21</v>
      </c>
      <c r="P8759" s="24" t="s">
        <v>21</v>
      </c>
      <c r="Q8759" s="24" t="s">
        <v>21</v>
      </c>
      <c r="R8759" s="24" t="s">
        <v>21</v>
      </c>
      <c r="S8759" s="24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5">
        <v>0</v>
      </c>
      <c r="E8760" s="5">
        <v>2</v>
      </c>
      <c r="F8760" s="5" t="s">
        <v>9</v>
      </c>
      <c r="G8760" s="15" t="s">
        <v>8</v>
      </c>
      <c r="H8760" s="24">
        <v>0</v>
      </c>
      <c r="I8760" s="24">
        <v>0</v>
      </c>
      <c r="J8760" s="24" t="s">
        <v>21</v>
      </c>
      <c r="K8760" s="24" t="s">
        <v>21</v>
      </c>
      <c r="L8760" s="24" t="s">
        <v>21</v>
      </c>
      <c r="M8760" s="24" t="s">
        <v>21</v>
      </c>
      <c r="N8760" s="24" t="s">
        <v>21</v>
      </c>
      <c r="O8760" s="24" t="s">
        <v>21</v>
      </c>
      <c r="P8760" s="24" t="s">
        <v>21</v>
      </c>
      <c r="Q8760" s="24" t="s">
        <v>21</v>
      </c>
      <c r="R8760" s="24" t="s">
        <v>21</v>
      </c>
      <c r="S8760" s="24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5">
        <v>0</v>
      </c>
      <c r="E8761" s="5">
        <v>3</v>
      </c>
      <c r="F8761" s="5" t="s">
        <v>9</v>
      </c>
      <c r="G8761" s="15" t="s">
        <v>8</v>
      </c>
      <c r="H8761" s="24">
        <v>168.99999999557622</v>
      </c>
      <c r="I8761" s="24">
        <v>168.99999999557622</v>
      </c>
      <c r="J8761" s="24" t="s">
        <v>21</v>
      </c>
      <c r="K8761" s="24" t="s">
        <v>21</v>
      </c>
      <c r="L8761" s="24" t="s">
        <v>21</v>
      </c>
      <c r="M8761" s="24" t="s">
        <v>21</v>
      </c>
      <c r="N8761" s="24" t="s">
        <v>21</v>
      </c>
      <c r="O8761" s="24" t="s">
        <v>21</v>
      </c>
      <c r="P8761" s="24" t="s">
        <v>21</v>
      </c>
      <c r="Q8761" s="24" t="s">
        <v>21</v>
      </c>
      <c r="R8761" s="24" t="s">
        <v>21</v>
      </c>
      <c r="S8761" s="24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5">
        <v>0</v>
      </c>
      <c r="E8762" s="5">
        <v>4</v>
      </c>
      <c r="F8762" s="5" t="s">
        <v>9</v>
      </c>
      <c r="G8762" s="15" t="s">
        <v>8</v>
      </c>
      <c r="H8762" s="24">
        <v>1.000000003259629</v>
      </c>
      <c r="I8762" s="24">
        <v>1.000000003259629</v>
      </c>
      <c r="J8762" s="24" t="s">
        <v>21</v>
      </c>
      <c r="K8762" s="24" t="s">
        <v>21</v>
      </c>
      <c r="L8762" s="24" t="s">
        <v>21</v>
      </c>
      <c r="M8762" s="24" t="s">
        <v>21</v>
      </c>
      <c r="N8762" s="24" t="s">
        <v>21</v>
      </c>
      <c r="O8762" s="24" t="s">
        <v>21</v>
      </c>
      <c r="P8762" s="24" t="s">
        <v>21</v>
      </c>
      <c r="Q8762" s="24" t="s">
        <v>21</v>
      </c>
      <c r="R8762" s="24" t="s">
        <v>21</v>
      </c>
      <c r="S8762" s="24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5">
        <v>0</v>
      </c>
      <c r="E8763" s="5">
        <v>3</v>
      </c>
      <c r="F8763" s="5" t="s">
        <v>9</v>
      </c>
      <c r="G8763" s="15" t="s">
        <v>8</v>
      </c>
      <c r="H8763" s="24">
        <v>0</v>
      </c>
      <c r="I8763" s="24">
        <v>0</v>
      </c>
      <c r="J8763" s="24" t="s">
        <v>21</v>
      </c>
      <c r="K8763" s="24" t="s">
        <v>21</v>
      </c>
      <c r="L8763" s="24" t="s">
        <v>21</v>
      </c>
      <c r="M8763" s="24" t="s">
        <v>21</v>
      </c>
      <c r="N8763" s="24" t="s">
        <v>21</v>
      </c>
      <c r="O8763" s="24" t="s">
        <v>21</v>
      </c>
      <c r="P8763" s="24" t="s">
        <v>21</v>
      </c>
      <c r="Q8763" s="24" t="s">
        <v>21</v>
      </c>
      <c r="R8763" s="24" t="s">
        <v>21</v>
      </c>
      <c r="S8763" s="24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5">
        <v>0</v>
      </c>
      <c r="E8764" s="5">
        <v>4</v>
      </c>
      <c r="F8764" s="5" t="s">
        <v>9</v>
      </c>
      <c r="G8764" s="15" t="s">
        <v>8</v>
      </c>
      <c r="H8764" s="24">
        <v>0.99999999278225005</v>
      </c>
      <c r="I8764" s="24">
        <v>0.99999999278225005</v>
      </c>
      <c r="J8764" s="24" t="s">
        <v>21</v>
      </c>
      <c r="K8764" s="24" t="s">
        <v>21</v>
      </c>
      <c r="L8764" s="24" t="s">
        <v>21</v>
      </c>
      <c r="M8764" s="24" t="s">
        <v>21</v>
      </c>
      <c r="N8764" s="24" t="s">
        <v>21</v>
      </c>
      <c r="O8764" s="24" t="s">
        <v>21</v>
      </c>
      <c r="P8764" s="24" t="s">
        <v>21</v>
      </c>
      <c r="Q8764" s="24" t="s">
        <v>21</v>
      </c>
      <c r="R8764" s="24" t="s">
        <v>21</v>
      </c>
      <c r="S8764" s="24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5">
        <v>0</v>
      </c>
      <c r="E8765" s="5">
        <v>3</v>
      </c>
      <c r="F8765" s="5" t="s">
        <v>9</v>
      </c>
      <c r="G8765" s="15" t="s">
        <v>8</v>
      </c>
      <c r="H8765" s="24">
        <v>0</v>
      </c>
      <c r="I8765" s="24">
        <v>0</v>
      </c>
      <c r="J8765" s="24" t="s">
        <v>21</v>
      </c>
      <c r="K8765" s="24" t="s">
        <v>21</v>
      </c>
      <c r="L8765" s="24" t="s">
        <v>21</v>
      </c>
      <c r="M8765" s="24" t="s">
        <v>21</v>
      </c>
      <c r="N8765" s="24" t="s">
        <v>21</v>
      </c>
      <c r="O8765" s="24" t="s">
        <v>21</v>
      </c>
      <c r="P8765" s="24" t="s">
        <v>21</v>
      </c>
      <c r="Q8765" s="24" t="s">
        <v>21</v>
      </c>
      <c r="R8765" s="24" t="s">
        <v>21</v>
      </c>
      <c r="S8765" s="24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5">
        <v>0</v>
      </c>
      <c r="E8766" s="5">
        <v>2</v>
      </c>
      <c r="F8766" s="5" t="s">
        <v>9</v>
      </c>
      <c r="G8766" s="15" t="s">
        <v>8</v>
      </c>
      <c r="H8766" s="24">
        <v>1.000000003259629</v>
      </c>
      <c r="I8766" s="24">
        <v>1.000000003259629</v>
      </c>
      <c r="J8766" s="24" t="s">
        <v>21</v>
      </c>
      <c r="K8766" s="24" t="s">
        <v>21</v>
      </c>
      <c r="L8766" s="24" t="s">
        <v>21</v>
      </c>
      <c r="M8766" s="24" t="s">
        <v>21</v>
      </c>
      <c r="N8766" s="24" t="s">
        <v>21</v>
      </c>
      <c r="O8766" s="24" t="s">
        <v>21</v>
      </c>
      <c r="P8766" s="24" t="s">
        <v>21</v>
      </c>
      <c r="Q8766" s="24" t="s">
        <v>21</v>
      </c>
      <c r="R8766" s="24" t="s">
        <v>21</v>
      </c>
      <c r="S8766" s="24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5">
        <v>0</v>
      </c>
      <c r="E8767" s="5">
        <v>3</v>
      </c>
      <c r="F8767" s="5" t="s">
        <v>9</v>
      </c>
      <c r="G8767" s="15" t="s">
        <v>8</v>
      </c>
      <c r="H8767" s="24">
        <v>4.0000000025611371</v>
      </c>
      <c r="I8767" s="24">
        <v>4.0000000025611371</v>
      </c>
      <c r="J8767" s="24" t="s">
        <v>21</v>
      </c>
      <c r="K8767" s="24" t="s">
        <v>21</v>
      </c>
      <c r="L8767" s="24" t="s">
        <v>21</v>
      </c>
      <c r="M8767" s="24" t="s">
        <v>21</v>
      </c>
      <c r="N8767" s="24" t="s">
        <v>21</v>
      </c>
      <c r="O8767" s="24" t="s">
        <v>21</v>
      </c>
      <c r="P8767" s="24" t="s">
        <v>21</v>
      </c>
      <c r="Q8767" s="24" t="s">
        <v>21</v>
      </c>
      <c r="R8767" s="24" t="s">
        <v>21</v>
      </c>
      <c r="S8767" s="24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5">
        <v>0</v>
      </c>
      <c r="E8768" s="5">
        <v>4</v>
      </c>
      <c r="F8768" s="5" t="s">
        <v>9</v>
      </c>
      <c r="G8768" s="15" t="s">
        <v>8</v>
      </c>
      <c r="H8768" s="24">
        <v>1.000000003259629</v>
      </c>
      <c r="I8768" s="24">
        <v>1.000000003259629</v>
      </c>
      <c r="J8768" s="24" t="s">
        <v>21</v>
      </c>
      <c r="K8768" s="24" t="s">
        <v>21</v>
      </c>
      <c r="L8768" s="24" t="s">
        <v>21</v>
      </c>
      <c r="M8768" s="24" t="s">
        <v>21</v>
      </c>
      <c r="N8768" s="24" t="s">
        <v>21</v>
      </c>
      <c r="O8768" s="24" t="s">
        <v>21</v>
      </c>
      <c r="P8768" s="24" t="s">
        <v>21</v>
      </c>
      <c r="Q8768" s="24" t="s">
        <v>21</v>
      </c>
      <c r="R8768" s="24" t="s">
        <v>21</v>
      </c>
      <c r="S8768" s="24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5">
        <v>0</v>
      </c>
      <c r="E8769" s="5">
        <v>3</v>
      </c>
      <c r="F8769" s="5" t="s">
        <v>9</v>
      </c>
      <c r="G8769" s="15" t="s">
        <v>8</v>
      </c>
      <c r="H8769" s="24">
        <v>0</v>
      </c>
      <c r="I8769" s="24">
        <v>0</v>
      </c>
      <c r="J8769" s="24" t="s">
        <v>21</v>
      </c>
      <c r="K8769" s="24" t="s">
        <v>21</v>
      </c>
      <c r="L8769" s="24" t="s">
        <v>21</v>
      </c>
      <c r="M8769" s="24" t="s">
        <v>21</v>
      </c>
      <c r="N8769" s="24" t="s">
        <v>21</v>
      </c>
      <c r="O8769" s="24" t="s">
        <v>21</v>
      </c>
      <c r="P8769" s="24" t="s">
        <v>21</v>
      </c>
      <c r="Q8769" s="24" t="s">
        <v>21</v>
      </c>
      <c r="R8769" s="24" t="s">
        <v>21</v>
      </c>
      <c r="S8769" s="24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5">
        <v>0</v>
      </c>
      <c r="E8770" s="5">
        <v>3</v>
      </c>
      <c r="F8770" s="5" t="s">
        <v>9</v>
      </c>
      <c r="G8770" s="15" t="s">
        <v>8</v>
      </c>
      <c r="H8770" s="24">
        <v>0.99999999278225005</v>
      </c>
      <c r="I8770" s="24">
        <v>0.99999999278225005</v>
      </c>
      <c r="J8770" s="24" t="s">
        <v>21</v>
      </c>
      <c r="K8770" s="24" t="s">
        <v>21</v>
      </c>
      <c r="L8770" s="24" t="s">
        <v>21</v>
      </c>
      <c r="M8770" s="24" t="s">
        <v>21</v>
      </c>
      <c r="N8770" s="24" t="s">
        <v>21</v>
      </c>
      <c r="O8770" s="24" t="s">
        <v>21</v>
      </c>
      <c r="P8770" s="24" t="s">
        <v>21</v>
      </c>
      <c r="Q8770" s="24" t="s">
        <v>21</v>
      </c>
      <c r="R8770" s="24" t="s">
        <v>21</v>
      </c>
      <c r="S8770" s="24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5">
        <v>0</v>
      </c>
      <c r="E8771" s="5">
        <v>4</v>
      </c>
      <c r="F8771" s="5" t="s">
        <v>9</v>
      </c>
      <c r="G8771" s="15" t="s">
        <v>8</v>
      </c>
      <c r="H8771" s="24">
        <v>1.000000003259629</v>
      </c>
      <c r="I8771" s="24">
        <v>1.000000003259629</v>
      </c>
      <c r="J8771" s="24" t="s">
        <v>21</v>
      </c>
      <c r="K8771" s="24" t="s">
        <v>21</v>
      </c>
      <c r="L8771" s="24" t="s">
        <v>21</v>
      </c>
      <c r="M8771" s="24" t="s">
        <v>21</v>
      </c>
      <c r="N8771" s="24" t="s">
        <v>21</v>
      </c>
      <c r="O8771" s="24" t="s">
        <v>21</v>
      </c>
      <c r="P8771" s="24" t="s">
        <v>21</v>
      </c>
      <c r="Q8771" s="24" t="s">
        <v>21</v>
      </c>
      <c r="R8771" s="24" t="s">
        <v>21</v>
      </c>
      <c r="S8771" s="24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7">
        <v>0</v>
      </c>
      <c r="E8772" s="7">
        <v>1</v>
      </c>
      <c r="F8772" s="7" t="s">
        <v>9</v>
      </c>
      <c r="G8772" s="16" t="s">
        <v>8</v>
      </c>
      <c r="H8772" s="25">
        <v>1.9999999960418791</v>
      </c>
      <c r="I8772" s="25">
        <v>1.9999999960418791</v>
      </c>
      <c r="J8772" s="25" t="s">
        <v>21</v>
      </c>
      <c r="K8772" s="25" t="s">
        <v>21</v>
      </c>
      <c r="L8772" s="25" t="s">
        <v>21</v>
      </c>
      <c r="M8772" s="25" t="s">
        <v>21</v>
      </c>
      <c r="N8772" s="25" t="s">
        <v>21</v>
      </c>
      <c r="O8772" s="25" t="s">
        <v>21</v>
      </c>
      <c r="P8772" s="25" t="s">
        <v>21</v>
      </c>
      <c r="Q8772" s="25" t="s">
        <v>21</v>
      </c>
      <c r="R8772" s="25" t="s">
        <v>21</v>
      </c>
      <c r="S8772" s="25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5">
        <v>0</v>
      </c>
      <c r="E8773" s="5">
        <v>3</v>
      </c>
      <c r="F8773" s="5" t="s">
        <v>9</v>
      </c>
      <c r="G8773" s="15" t="s">
        <v>8</v>
      </c>
      <c r="H8773" s="24">
        <v>790.00000000814907</v>
      </c>
      <c r="I8773" s="24">
        <v>790.00000000814907</v>
      </c>
      <c r="J8773" s="24" t="s">
        <v>21</v>
      </c>
      <c r="K8773" s="24" t="s">
        <v>21</v>
      </c>
      <c r="L8773" s="24" t="s">
        <v>21</v>
      </c>
      <c r="M8773" s="24" t="s">
        <v>21</v>
      </c>
      <c r="N8773" s="24" t="s">
        <v>21</v>
      </c>
      <c r="O8773" s="24" t="s">
        <v>21</v>
      </c>
      <c r="P8773" s="24" t="s">
        <v>21</v>
      </c>
      <c r="Q8773" s="24" t="s">
        <v>21</v>
      </c>
      <c r="R8773" s="24" t="s">
        <v>21</v>
      </c>
      <c r="S8773" s="24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5">
        <v>0</v>
      </c>
      <c r="E8774" s="5">
        <v>2</v>
      </c>
      <c r="F8774" s="5" t="s">
        <v>9</v>
      </c>
      <c r="G8774" s="15" t="s">
        <v>8</v>
      </c>
      <c r="H8774" s="24">
        <v>0</v>
      </c>
      <c r="I8774" s="24">
        <v>0</v>
      </c>
      <c r="J8774" s="24" t="s">
        <v>21</v>
      </c>
      <c r="K8774" s="24" t="s">
        <v>21</v>
      </c>
      <c r="L8774" s="24" t="s">
        <v>21</v>
      </c>
      <c r="M8774" s="24" t="s">
        <v>21</v>
      </c>
      <c r="N8774" s="24" t="s">
        <v>21</v>
      </c>
      <c r="O8774" s="24" t="s">
        <v>21</v>
      </c>
      <c r="P8774" s="24" t="s">
        <v>21</v>
      </c>
      <c r="Q8774" s="24" t="s">
        <v>21</v>
      </c>
      <c r="R8774" s="24" t="s">
        <v>21</v>
      </c>
      <c r="S8774" s="24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5">
        <v>0</v>
      </c>
      <c r="E8775" s="5">
        <v>3</v>
      </c>
      <c r="F8775" s="5" t="s">
        <v>9</v>
      </c>
      <c r="G8775" s="15" t="s">
        <v>8</v>
      </c>
      <c r="H8775" s="24">
        <v>0.99999999278225005</v>
      </c>
      <c r="I8775" s="24">
        <v>0.99999999278225005</v>
      </c>
      <c r="J8775" s="24" t="s">
        <v>21</v>
      </c>
      <c r="K8775" s="24" t="s">
        <v>21</v>
      </c>
      <c r="L8775" s="24" t="s">
        <v>21</v>
      </c>
      <c r="M8775" s="24" t="s">
        <v>21</v>
      </c>
      <c r="N8775" s="24" t="s">
        <v>21</v>
      </c>
      <c r="O8775" s="24" t="s">
        <v>21</v>
      </c>
      <c r="P8775" s="24" t="s">
        <v>21</v>
      </c>
      <c r="Q8775" s="24" t="s">
        <v>21</v>
      </c>
      <c r="R8775" s="24" t="s">
        <v>21</v>
      </c>
      <c r="S8775" s="24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5">
        <v>0</v>
      </c>
      <c r="E8776" s="5">
        <v>4</v>
      </c>
      <c r="F8776" s="5" t="s">
        <v>9</v>
      </c>
      <c r="G8776" s="15" t="s">
        <v>8</v>
      </c>
      <c r="H8776" s="24">
        <v>0</v>
      </c>
      <c r="I8776" s="24">
        <v>0</v>
      </c>
      <c r="J8776" s="24" t="s">
        <v>21</v>
      </c>
      <c r="K8776" s="24" t="s">
        <v>21</v>
      </c>
      <c r="L8776" s="24" t="s">
        <v>21</v>
      </c>
      <c r="M8776" s="24" t="s">
        <v>21</v>
      </c>
      <c r="N8776" s="24" t="s">
        <v>21</v>
      </c>
      <c r="O8776" s="24" t="s">
        <v>21</v>
      </c>
      <c r="P8776" s="24" t="s">
        <v>21</v>
      </c>
      <c r="Q8776" s="24" t="s">
        <v>21</v>
      </c>
      <c r="R8776" s="24" t="s">
        <v>21</v>
      </c>
      <c r="S8776" s="24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5">
        <v>0</v>
      </c>
      <c r="E8777" s="5">
        <v>2</v>
      </c>
      <c r="F8777" s="5" t="s">
        <v>9</v>
      </c>
      <c r="G8777" s="15" t="s">
        <v>8</v>
      </c>
      <c r="H8777" s="24">
        <v>1.000000003259629</v>
      </c>
      <c r="I8777" s="24">
        <v>1.000000003259629</v>
      </c>
      <c r="J8777" s="24" t="s">
        <v>21</v>
      </c>
      <c r="K8777" s="24" t="s">
        <v>21</v>
      </c>
      <c r="L8777" s="24" t="s">
        <v>21</v>
      </c>
      <c r="M8777" s="24" t="s">
        <v>21</v>
      </c>
      <c r="N8777" s="24" t="s">
        <v>21</v>
      </c>
      <c r="O8777" s="24" t="s">
        <v>21</v>
      </c>
      <c r="P8777" s="24" t="s">
        <v>21</v>
      </c>
      <c r="Q8777" s="24" t="s">
        <v>21</v>
      </c>
      <c r="R8777" s="24" t="s">
        <v>21</v>
      </c>
      <c r="S8777" s="24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5">
        <v>0</v>
      </c>
      <c r="E8778" s="5">
        <v>2</v>
      </c>
      <c r="F8778" s="5" t="s">
        <v>9</v>
      </c>
      <c r="G8778" s="15" t="s">
        <v>8</v>
      </c>
      <c r="H8778" s="24">
        <v>2.9999999993015081</v>
      </c>
      <c r="I8778" s="24">
        <v>2.9999999993015081</v>
      </c>
      <c r="J8778" s="24" t="s">
        <v>21</v>
      </c>
      <c r="K8778" s="24" t="s">
        <v>21</v>
      </c>
      <c r="L8778" s="24" t="s">
        <v>21</v>
      </c>
      <c r="M8778" s="24" t="s">
        <v>21</v>
      </c>
      <c r="N8778" s="24" t="s">
        <v>21</v>
      </c>
      <c r="O8778" s="24" t="s">
        <v>21</v>
      </c>
      <c r="P8778" s="24" t="s">
        <v>21</v>
      </c>
      <c r="Q8778" s="24" t="s">
        <v>21</v>
      </c>
      <c r="R8778" s="24" t="s">
        <v>21</v>
      </c>
      <c r="S8778" s="24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5">
        <v>0</v>
      </c>
      <c r="E8779" s="5">
        <v>3</v>
      </c>
      <c r="F8779" s="5" t="s">
        <v>9</v>
      </c>
      <c r="G8779" s="15" t="s">
        <v>8</v>
      </c>
      <c r="H8779" s="24">
        <v>1.000000003259629</v>
      </c>
      <c r="I8779" s="24">
        <v>1.000000003259629</v>
      </c>
      <c r="J8779" s="24" t="s">
        <v>21</v>
      </c>
      <c r="K8779" s="24" t="s">
        <v>21</v>
      </c>
      <c r="L8779" s="24" t="s">
        <v>21</v>
      </c>
      <c r="M8779" s="24" t="s">
        <v>21</v>
      </c>
      <c r="N8779" s="24" t="s">
        <v>21</v>
      </c>
      <c r="O8779" s="24" t="s">
        <v>21</v>
      </c>
      <c r="P8779" s="24" t="s">
        <v>21</v>
      </c>
      <c r="Q8779" s="24" t="s">
        <v>21</v>
      </c>
      <c r="R8779" s="24" t="s">
        <v>21</v>
      </c>
      <c r="S8779" s="24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5">
        <v>0</v>
      </c>
      <c r="E8780" s="5">
        <v>3</v>
      </c>
      <c r="F8780" s="5" t="s">
        <v>9</v>
      </c>
      <c r="G8780" s="15" t="s">
        <v>8</v>
      </c>
      <c r="H8780" s="24">
        <v>0</v>
      </c>
      <c r="I8780" s="24">
        <v>0</v>
      </c>
      <c r="J8780" s="24" t="s">
        <v>21</v>
      </c>
      <c r="K8780" s="24" t="s">
        <v>21</v>
      </c>
      <c r="L8780" s="24" t="s">
        <v>21</v>
      </c>
      <c r="M8780" s="24" t="s">
        <v>21</v>
      </c>
      <c r="N8780" s="24" t="s">
        <v>21</v>
      </c>
      <c r="O8780" s="24" t="s">
        <v>21</v>
      </c>
      <c r="P8780" s="24" t="s">
        <v>21</v>
      </c>
      <c r="Q8780" s="24" t="s">
        <v>21</v>
      </c>
      <c r="R8780" s="24" t="s">
        <v>21</v>
      </c>
      <c r="S8780" s="24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5">
        <v>0</v>
      </c>
      <c r="E8781" s="5">
        <v>2</v>
      </c>
      <c r="F8781" s="5" t="s">
        <v>9</v>
      </c>
      <c r="G8781" s="15" t="s">
        <v>8</v>
      </c>
      <c r="H8781" s="24">
        <v>0.99999999278225005</v>
      </c>
      <c r="I8781" s="24">
        <v>0.99999999278225005</v>
      </c>
      <c r="J8781" s="24" t="s">
        <v>21</v>
      </c>
      <c r="K8781" s="24" t="s">
        <v>21</v>
      </c>
      <c r="L8781" s="24" t="s">
        <v>21</v>
      </c>
      <c r="M8781" s="24" t="s">
        <v>21</v>
      </c>
      <c r="N8781" s="24" t="s">
        <v>21</v>
      </c>
      <c r="O8781" s="24" t="s">
        <v>21</v>
      </c>
      <c r="P8781" s="24" t="s">
        <v>21</v>
      </c>
      <c r="Q8781" s="24" t="s">
        <v>21</v>
      </c>
      <c r="R8781" s="24" t="s">
        <v>21</v>
      </c>
      <c r="S8781" s="24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5">
        <v>0</v>
      </c>
      <c r="E8782" s="5">
        <v>3</v>
      </c>
      <c r="F8782" s="5" t="s">
        <v>9</v>
      </c>
      <c r="G8782" s="15" t="s">
        <v>8</v>
      </c>
      <c r="H8782" s="24">
        <v>0</v>
      </c>
      <c r="I8782" s="24">
        <v>0</v>
      </c>
      <c r="J8782" s="24" t="s">
        <v>21</v>
      </c>
      <c r="K8782" s="24" t="s">
        <v>21</v>
      </c>
      <c r="L8782" s="24" t="s">
        <v>21</v>
      </c>
      <c r="M8782" s="24" t="s">
        <v>21</v>
      </c>
      <c r="N8782" s="24" t="s">
        <v>21</v>
      </c>
      <c r="O8782" s="24" t="s">
        <v>21</v>
      </c>
      <c r="P8782" s="24" t="s">
        <v>21</v>
      </c>
      <c r="Q8782" s="24" t="s">
        <v>21</v>
      </c>
      <c r="R8782" s="24" t="s">
        <v>21</v>
      </c>
      <c r="S8782" s="24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5">
        <v>0</v>
      </c>
      <c r="E8783" s="5">
        <v>3</v>
      </c>
      <c r="F8783" s="5" t="s">
        <v>9</v>
      </c>
      <c r="G8783" s="15" t="s">
        <v>8</v>
      </c>
      <c r="H8783" s="24">
        <v>626.00000000791624</v>
      </c>
      <c r="I8783" s="24">
        <v>626.00000000791624</v>
      </c>
      <c r="J8783" s="24" t="s">
        <v>21</v>
      </c>
      <c r="K8783" s="24" t="s">
        <v>21</v>
      </c>
      <c r="L8783" s="24" t="s">
        <v>21</v>
      </c>
      <c r="M8783" s="24" t="s">
        <v>21</v>
      </c>
      <c r="N8783" s="24" t="s">
        <v>21</v>
      </c>
      <c r="O8783" s="24" t="s">
        <v>21</v>
      </c>
      <c r="P8783" s="24" t="s">
        <v>21</v>
      </c>
      <c r="Q8783" s="24" t="s">
        <v>21</v>
      </c>
      <c r="R8783" s="24" t="s">
        <v>21</v>
      </c>
      <c r="S8783" s="24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5">
        <v>0</v>
      </c>
      <c r="E8784" s="5">
        <v>5</v>
      </c>
      <c r="F8784" s="5" t="s">
        <v>9</v>
      </c>
      <c r="G8784" s="15" t="s">
        <v>8</v>
      </c>
      <c r="H8784" s="24">
        <v>0.99999999278225005</v>
      </c>
      <c r="I8784" s="24">
        <v>0.99999999278225005</v>
      </c>
      <c r="J8784" s="24" t="s">
        <v>21</v>
      </c>
      <c r="K8784" s="24" t="s">
        <v>21</v>
      </c>
      <c r="L8784" s="24" t="s">
        <v>21</v>
      </c>
      <c r="M8784" s="24" t="s">
        <v>21</v>
      </c>
      <c r="N8784" s="24" t="s">
        <v>21</v>
      </c>
      <c r="O8784" s="24" t="s">
        <v>21</v>
      </c>
      <c r="P8784" s="24" t="s">
        <v>21</v>
      </c>
      <c r="Q8784" s="24" t="s">
        <v>21</v>
      </c>
      <c r="R8784" s="24" t="s">
        <v>21</v>
      </c>
      <c r="S8784" s="24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5">
        <v>0</v>
      </c>
      <c r="E8785" s="5">
        <v>4</v>
      </c>
      <c r="F8785" s="5" t="s">
        <v>9</v>
      </c>
      <c r="G8785" s="15" t="s">
        <v>8</v>
      </c>
      <c r="H8785" s="24">
        <v>1.000000003259629</v>
      </c>
      <c r="I8785" s="24">
        <v>1.000000003259629</v>
      </c>
      <c r="J8785" s="24" t="s">
        <v>21</v>
      </c>
      <c r="K8785" s="24" t="s">
        <v>21</v>
      </c>
      <c r="L8785" s="24" t="s">
        <v>21</v>
      </c>
      <c r="M8785" s="24" t="s">
        <v>21</v>
      </c>
      <c r="N8785" s="24" t="s">
        <v>21</v>
      </c>
      <c r="O8785" s="24" t="s">
        <v>21</v>
      </c>
      <c r="P8785" s="24" t="s">
        <v>21</v>
      </c>
      <c r="Q8785" s="24" t="s">
        <v>21</v>
      </c>
      <c r="R8785" s="24" t="s">
        <v>21</v>
      </c>
      <c r="S8785" s="24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5">
        <v>0</v>
      </c>
      <c r="E8786" s="5">
        <v>1</v>
      </c>
      <c r="F8786" s="5" t="s">
        <v>9</v>
      </c>
      <c r="G8786" s="15" t="s">
        <v>8</v>
      </c>
      <c r="H8786" s="24">
        <v>0</v>
      </c>
      <c r="I8786" s="24">
        <v>0</v>
      </c>
      <c r="J8786" s="24" t="s">
        <v>21</v>
      </c>
      <c r="K8786" s="24" t="s">
        <v>21</v>
      </c>
      <c r="L8786" s="24" t="s">
        <v>21</v>
      </c>
      <c r="M8786" s="24" t="s">
        <v>21</v>
      </c>
      <c r="N8786" s="24" t="s">
        <v>21</v>
      </c>
      <c r="O8786" s="24" t="s">
        <v>21</v>
      </c>
      <c r="P8786" s="24" t="s">
        <v>21</v>
      </c>
      <c r="Q8786" s="24" t="s">
        <v>21</v>
      </c>
      <c r="R8786" s="24" t="s">
        <v>21</v>
      </c>
      <c r="S8786" s="24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5">
        <v>2</v>
      </c>
      <c r="E8787" s="5">
        <v>0</v>
      </c>
      <c r="F8787" s="5" t="s">
        <v>9</v>
      </c>
      <c r="G8787" s="15" t="s">
        <v>8</v>
      </c>
      <c r="H8787" s="24">
        <v>1.9999999960418791</v>
      </c>
      <c r="I8787" s="24">
        <v>1.9999999960418791</v>
      </c>
      <c r="J8787" s="24" t="s">
        <v>21</v>
      </c>
      <c r="K8787" s="24" t="s">
        <v>21</v>
      </c>
      <c r="L8787" s="24" t="s">
        <v>21</v>
      </c>
      <c r="M8787" s="24" t="s">
        <v>21</v>
      </c>
      <c r="N8787" s="24" t="s">
        <v>21</v>
      </c>
      <c r="O8787" s="24" t="s">
        <v>21</v>
      </c>
      <c r="P8787" s="24" t="s">
        <v>21</v>
      </c>
      <c r="Q8787" s="24" t="s">
        <v>21</v>
      </c>
      <c r="R8787" s="24" t="s">
        <v>21</v>
      </c>
      <c r="S8787" s="24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5">
        <v>1</v>
      </c>
      <c r="E8788" s="5">
        <v>0</v>
      </c>
      <c r="F8788" s="5" t="s">
        <v>9</v>
      </c>
      <c r="G8788" s="15" t="s">
        <v>8</v>
      </c>
      <c r="H8788" s="24">
        <v>0</v>
      </c>
      <c r="I8788" s="24">
        <v>0</v>
      </c>
      <c r="J8788" s="24" t="s">
        <v>21</v>
      </c>
      <c r="K8788" s="24" t="s">
        <v>21</v>
      </c>
      <c r="L8788" s="24" t="s">
        <v>21</v>
      </c>
      <c r="M8788" s="24" t="s">
        <v>21</v>
      </c>
      <c r="N8788" s="24" t="s">
        <v>21</v>
      </c>
      <c r="O8788" s="24" t="s">
        <v>21</v>
      </c>
      <c r="P8788" s="24" t="s">
        <v>21</v>
      </c>
      <c r="Q8788" s="24" t="s">
        <v>21</v>
      </c>
      <c r="R8788" s="24" t="s">
        <v>21</v>
      </c>
      <c r="S8788" s="24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5">
        <v>2</v>
      </c>
      <c r="E8789" s="5">
        <v>0</v>
      </c>
      <c r="F8789" s="5" t="s">
        <v>9</v>
      </c>
      <c r="G8789" s="15" t="s">
        <v>8</v>
      </c>
      <c r="H8789" s="24">
        <v>1.000000003259629</v>
      </c>
      <c r="I8789" s="24">
        <v>1.000000003259629</v>
      </c>
      <c r="J8789" s="24" t="s">
        <v>21</v>
      </c>
      <c r="K8789" s="24" t="s">
        <v>21</v>
      </c>
      <c r="L8789" s="24" t="s">
        <v>21</v>
      </c>
      <c r="M8789" s="24" t="s">
        <v>21</v>
      </c>
      <c r="N8789" s="24" t="s">
        <v>21</v>
      </c>
      <c r="O8789" s="24" t="s">
        <v>21</v>
      </c>
      <c r="P8789" s="24" t="s">
        <v>21</v>
      </c>
      <c r="Q8789" s="24" t="s">
        <v>21</v>
      </c>
      <c r="R8789" s="24" t="s">
        <v>21</v>
      </c>
      <c r="S8789" s="24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5">
        <v>2</v>
      </c>
      <c r="E8790" s="5">
        <v>0</v>
      </c>
      <c r="F8790" s="5" t="s">
        <v>9</v>
      </c>
      <c r="G8790" s="15" t="s">
        <v>8</v>
      </c>
      <c r="H8790" s="24">
        <v>0</v>
      </c>
      <c r="I8790" s="24">
        <v>0</v>
      </c>
      <c r="J8790" s="24" t="s">
        <v>21</v>
      </c>
      <c r="K8790" s="24" t="s">
        <v>21</v>
      </c>
      <c r="L8790" s="24" t="s">
        <v>21</v>
      </c>
      <c r="M8790" s="24" t="s">
        <v>21</v>
      </c>
      <c r="N8790" s="24" t="s">
        <v>21</v>
      </c>
      <c r="O8790" s="24" t="s">
        <v>21</v>
      </c>
      <c r="P8790" s="24" t="s">
        <v>21</v>
      </c>
      <c r="Q8790" s="24" t="s">
        <v>21</v>
      </c>
      <c r="R8790" s="24" t="s">
        <v>21</v>
      </c>
      <c r="S8790" s="24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5">
        <v>1</v>
      </c>
      <c r="E8791" s="5">
        <v>0</v>
      </c>
      <c r="F8791" s="5" t="s">
        <v>9</v>
      </c>
      <c r="G8791" s="15" t="s">
        <v>8</v>
      </c>
      <c r="H8791" s="24">
        <v>1.000000003259629</v>
      </c>
      <c r="I8791" s="24">
        <v>1.000000003259629</v>
      </c>
      <c r="J8791" s="24" t="s">
        <v>21</v>
      </c>
      <c r="K8791" s="24" t="s">
        <v>21</v>
      </c>
      <c r="L8791" s="24" t="s">
        <v>21</v>
      </c>
      <c r="M8791" s="24" t="s">
        <v>21</v>
      </c>
      <c r="N8791" s="24" t="s">
        <v>21</v>
      </c>
      <c r="O8791" s="24" t="s">
        <v>21</v>
      </c>
      <c r="P8791" s="24" t="s">
        <v>21</v>
      </c>
      <c r="Q8791" s="24" t="s">
        <v>21</v>
      </c>
      <c r="R8791" s="24" t="s">
        <v>21</v>
      </c>
      <c r="S8791" s="24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5">
        <v>3</v>
      </c>
      <c r="E8792" s="5">
        <v>0</v>
      </c>
      <c r="F8792" s="5" t="s">
        <v>9</v>
      </c>
      <c r="G8792" s="15" t="s">
        <v>8</v>
      </c>
      <c r="H8792" s="24">
        <v>0</v>
      </c>
      <c r="I8792" s="24">
        <v>0</v>
      </c>
      <c r="J8792" s="24" t="s">
        <v>21</v>
      </c>
      <c r="K8792" s="24" t="s">
        <v>21</v>
      </c>
      <c r="L8792" s="24" t="s">
        <v>21</v>
      </c>
      <c r="M8792" s="24" t="s">
        <v>21</v>
      </c>
      <c r="N8792" s="24" t="s">
        <v>21</v>
      </c>
      <c r="O8792" s="24" t="s">
        <v>21</v>
      </c>
      <c r="P8792" s="24" t="s">
        <v>21</v>
      </c>
      <c r="Q8792" s="24" t="s">
        <v>21</v>
      </c>
      <c r="R8792" s="24" t="s">
        <v>21</v>
      </c>
      <c r="S8792" s="24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5">
        <v>2</v>
      </c>
      <c r="E8793" s="5">
        <v>0</v>
      </c>
      <c r="F8793" s="5" t="s">
        <v>9</v>
      </c>
      <c r="G8793" s="15" t="s">
        <v>8</v>
      </c>
      <c r="H8793" s="24">
        <v>0.99999999278225005</v>
      </c>
      <c r="I8793" s="24">
        <v>0.99999999278225005</v>
      </c>
      <c r="J8793" s="24" t="s">
        <v>21</v>
      </c>
      <c r="K8793" s="24" t="s">
        <v>21</v>
      </c>
      <c r="L8793" s="24" t="s">
        <v>21</v>
      </c>
      <c r="M8793" s="24" t="s">
        <v>21</v>
      </c>
      <c r="N8793" s="24" t="s">
        <v>21</v>
      </c>
      <c r="O8793" s="24" t="s">
        <v>21</v>
      </c>
      <c r="P8793" s="24" t="s">
        <v>21</v>
      </c>
      <c r="Q8793" s="24" t="s">
        <v>21</v>
      </c>
      <c r="R8793" s="24" t="s">
        <v>21</v>
      </c>
      <c r="S8793" s="24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5">
        <v>0</v>
      </c>
      <c r="E8794" s="5">
        <v>1</v>
      </c>
      <c r="F8794" s="5" t="s">
        <v>9</v>
      </c>
      <c r="G8794" s="15" t="s">
        <v>8</v>
      </c>
      <c r="H8794" s="24">
        <v>0</v>
      </c>
      <c r="I8794" s="24">
        <v>0</v>
      </c>
      <c r="J8794" s="24" t="s">
        <v>21</v>
      </c>
      <c r="K8794" s="24" t="s">
        <v>21</v>
      </c>
      <c r="L8794" s="24" t="s">
        <v>21</v>
      </c>
      <c r="M8794" s="24" t="s">
        <v>21</v>
      </c>
      <c r="N8794" s="24" t="s">
        <v>21</v>
      </c>
      <c r="O8794" s="24" t="s">
        <v>21</v>
      </c>
      <c r="P8794" s="24" t="s">
        <v>21</v>
      </c>
      <c r="Q8794" s="24" t="s">
        <v>21</v>
      </c>
      <c r="R8794" s="24" t="s">
        <v>21</v>
      </c>
      <c r="S8794" s="24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5">
        <v>2</v>
      </c>
      <c r="E8795" s="5">
        <v>0</v>
      </c>
      <c r="F8795" s="5" t="s">
        <v>9</v>
      </c>
      <c r="G8795" s="15" t="s">
        <v>8</v>
      </c>
      <c r="H8795" s="24">
        <v>1.000000003259629</v>
      </c>
      <c r="I8795" s="24">
        <v>1.000000003259629</v>
      </c>
      <c r="J8795" s="24" t="s">
        <v>21</v>
      </c>
      <c r="K8795" s="24" t="s">
        <v>21</v>
      </c>
      <c r="L8795" s="24" t="s">
        <v>21</v>
      </c>
      <c r="M8795" s="24" t="s">
        <v>21</v>
      </c>
      <c r="N8795" s="24" t="s">
        <v>21</v>
      </c>
      <c r="O8795" s="24" t="s">
        <v>21</v>
      </c>
      <c r="P8795" s="24" t="s">
        <v>21</v>
      </c>
      <c r="Q8795" s="24" t="s">
        <v>21</v>
      </c>
      <c r="R8795" s="24" t="s">
        <v>21</v>
      </c>
      <c r="S8795" s="24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5">
        <v>0</v>
      </c>
      <c r="E8796" s="5">
        <v>2</v>
      </c>
      <c r="F8796" s="5" t="s">
        <v>9</v>
      </c>
      <c r="G8796" s="15" t="s">
        <v>8</v>
      </c>
      <c r="H8796" s="24">
        <v>1.000000003259629</v>
      </c>
      <c r="I8796" s="24">
        <v>1.000000003259629</v>
      </c>
      <c r="J8796" s="24" t="s">
        <v>21</v>
      </c>
      <c r="K8796" s="24" t="s">
        <v>21</v>
      </c>
      <c r="L8796" s="24" t="s">
        <v>21</v>
      </c>
      <c r="M8796" s="24" t="s">
        <v>21</v>
      </c>
      <c r="N8796" s="24" t="s">
        <v>21</v>
      </c>
      <c r="O8796" s="24" t="s">
        <v>21</v>
      </c>
      <c r="P8796" s="24" t="s">
        <v>21</v>
      </c>
      <c r="Q8796" s="24" t="s">
        <v>21</v>
      </c>
      <c r="R8796" s="24" t="s">
        <v>21</v>
      </c>
      <c r="S8796" s="24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5">
        <v>0</v>
      </c>
      <c r="E8797" s="5">
        <v>3</v>
      </c>
      <c r="F8797" s="5" t="s">
        <v>9</v>
      </c>
      <c r="G8797" s="15" t="s">
        <v>8</v>
      </c>
      <c r="H8797" s="24">
        <v>0.99999999278225005</v>
      </c>
      <c r="I8797" s="24">
        <v>0.99999999278225005</v>
      </c>
      <c r="J8797" s="24" t="s">
        <v>21</v>
      </c>
      <c r="K8797" s="24" t="s">
        <v>21</v>
      </c>
      <c r="L8797" s="24" t="s">
        <v>21</v>
      </c>
      <c r="M8797" s="24" t="s">
        <v>21</v>
      </c>
      <c r="N8797" s="24" t="s">
        <v>21</v>
      </c>
      <c r="O8797" s="24" t="s">
        <v>21</v>
      </c>
      <c r="P8797" s="24" t="s">
        <v>21</v>
      </c>
      <c r="Q8797" s="24" t="s">
        <v>21</v>
      </c>
      <c r="R8797" s="24" t="s">
        <v>21</v>
      </c>
      <c r="S8797" s="24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5">
        <v>0</v>
      </c>
      <c r="E8798" s="5">
        <v>2</v>
      </c>
      <c r="F8798" s="5" t="s">
        <v>9</v>
      </c>
      <c r="G8798" s="15" t="s">
        <v>8</v>
      </c>
      <c r="H8798" s="24">
        <v>0</v>
      </c>
      <c r="I8798" s="24">
        <v>0</v>
      </c>
      <c r="J8798" s="24" t="s">
        <v>21</v>
      </c>
      <c r="K8798" s="24" t="s">
        <v>21</v>
      </c>
      <c r="L8798" s="24" t="s">
        <v>21</v>
      </c>
      <c r="M8798" s="24" t="s">
        <v>21</v>
      </c>
      <c r="N8798" s="24" t="s">
        <v>21</v>
      </c>
      <c r="O8798" s="24" t="s">
        <v>21</v>
      </c>
      <c r="P8798" s="24" t="s">
        <v>21</v>
      </c>
      <c r="Q8798" s="24" t="s">
        <v>21</v>
      </c>
      <c r="R8798" s="24" t="s">
        <v>21</v>
      </c>
      <c r="S8798" s="24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5">
        <v>0</v>
      </c>
      <c r="E8799" s="5">
        <v>3</v>
      </c>
      <c r="F8799" s="5" t="s">
        <v>9</v>
      </c>
      <c r="G8799" s="15" t="s">
        <v>8</v>
      </c>
      <c r="H8799" s="24">
        <v>1.000000003259629</v>
      </c>
      <c r="I8799" s="24">
        <v>1.000000003259629</v>
      </c>
      <c r="J8799" s="24" t="s">
        <v>21</v>
      </c>
      <c r="K8799" s="24" t="s">
        <v>21</v>
      </c>
      <c r="L8799" s="24" t="s">
        <v>21</v>
      </c>
      <c r="M8799" s="24" t="s">
        <v>21</v>
      </c>
      <c r="N8799" s="24" t="s">
        <v>21</v>
      </c>
      <c r="O8799" s="24" t="s">
        <v>21</v>
      </c>
      <c r="P8799" s="24" t="s">
        <v>21</v>
      </c>
      <c r="Q8799" s="24" t="s">
        <v>21</v>
      </c>
      <c r="R8799" s="24" t="s">
        <v>21</v>
      </c>
      <c r="S8799" s="24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5">
        <v>0</v>
      </c>
      <c r="E8800" s="5">
        <v>1</v>
      </c>
      <c r="F8800" s="5" t="s">
        <v>9</v>
      </c>
      <c r="G8800" s="15" t="s">
        <v>8</v>
      </c>
      <c r="H8800" s="24">
        <v>0</v>
      </c>
      <c r="I8800" s="24">
        <v>0</v>
      </c>
      <c r="J8800" s="24" t="s">
        <v>21</v>
      </c>
      <c r="K8800" s="24" t="s">
        <v>21</v>
      </c>
      <c r="L8800" s="24" t="s">
        <v>21</v>
      </c>
      <c r="M8800" s="24" t="s">
        <v>21</v>
      </c>
      <c r="N8800" s="24" t="s">
        <v>21</v>
      </c>
      <c r="O8800" s="24" t="s">
        <v>21</v>
      </c>
      <c r="P8800" s="24" t="s">
        <v>21</v>
      </c>
      <c r="Q8800" s="24" t="s">
        <v>21</v>
      </c>
      <c r="R8800" s="24" t="s">
        <v>21</v>
      </c>
      <c r="S8800" s="24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5">
        <v>0</v>
      </c>
      <c r="E8801" s="5">
        <v>2</v>
      </c>
      <c r="F8801" s="5" t="s">
        <v>9</v>
      </c>
      <c r="G8801" s="15" t="s">
        <v>8</v>
      </c>
      <c r="H8801" s="24">
        <v>1.000000003259629</v>
      </c>
      <c r="I8801" s="24">
        <v>1.000000003259629</v>
      </c>
      <c r="J8801" s="24" t="s">
        <v>21</v>
      </c>
      <c r="K8801" s="24" t="s">
        <v>21</v>
      </c>
      <c r="L8801" s="24" t="s">
        <v>21</v>
      </c>
      <c r="M8801" s="24" t="s">
        <v>21</v>
      </c>
      <c r="N8801" s="24" t="s">
        <v>21</v>
      </c>
      <c r="O8801" s="24" t="s">
        <v>21</v>
      </c>
      <c r="P8801" s="24" t="s">
        <v>21</v>
      </c>
      <c r="Q8801" s="24" t="s">
        <v>21</v>
      </c>
      <c r="R8801" s="24" t="s">
        <v>21</v>
      </c>
      <c r="S8801" s="24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5">
        <v>0</v>
      </c>
      <c r="E8802" s="5">
        <v>3</v>
      </c>
      <c r="F8802" s="5" t="s">
        <v>9</v>
      </c>
      <c r="G8802" s="15" t="s">
        <v>8</v>
      </c>
      <c r="H8802" s="24">
        <v>0</v>
      </c>
      <c r="I8802" s="24">
        <v>0</v>
      </c>
      <c r="J8802" s="24" t="s">
        <v>21</v>
      </c>
      <c r="K8802" s="24" t="s">
        <v>21</v>
      </c>
      <c r="L8802" s="24" t="s">
        <v>21</v>
      </c>
      <c r="M8802" s="24" t="s">
        <v>21</v>
      </c>
      <c r="N8802" s="24" t="s">
        <v>21</v>
      </c>
      <c r="O8802" s="24" t="s">
        <v>21</v>
      </c>
      <c r="P8802" s="24" t="s">
        <v>21</v>
      </c>
      <c r="Q8802" s="24" t="s">
        <v>21</v>
      </c>
      <c r="R8802" s="24" t="s">
        <v>21</v>
      </c>
      <c r="S8802" s="24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5">
        <v>0</v>
      </c>
      <c r="E8803" s="5">
        <v>5</v>
      </c>
      <c r="F8803" s="5" t="s">
        <v>9</v>
      </c>
      <c r="G8803" s="15" t="s">
        <v>8</v>
      </c>
      <c r="H8803" s="24">
        <v>1.000000003259629</v>
      </c>
      <c r="I8803" s="24">
        <v>1.000000003259629</v>
      </c>
      <c r="J8803" s="24" t="s">
        <v>21</v>
      </c>
      <c r="K8803" s="24" t="s">
        <v>21</v>
      </c>
      <c r="L8803" s="24" t="s">
        <v>21</v>
      </c>
      <c r="M8803" s="24" t="s">
        <v>21</v>
      </c>
      <c r="N8803" s="24" t="s">
        <v>21</v>
      </c>
      <c r="O8803" s="24" t="s">
        <v>21</v>
      </c>
      <c r="P8803" s="24" t="s">
        <v>21</v>
      </c>
      <c r="Q8803" s="24" t="s">
        <v>21</v>
      </c>
      <c r="R8803" s="24" t="s">
        <v>21</v>
      </c>
      <c r="S8803" s="24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5">
        <v>0</v>
      </c>
      <c r="E8804" s="5">
        <v>2</v>
      </c>
      <c r="F8804" s="5" t="s">
        <v>9</v>
      </c>
      <c r="G8804" s="15" t="s">
        <v>8</v>
      </c>
      <c r="H8804" s="24">
        <v>0</v>
      </c>
      <c r="I8804" s="24">
        <v>0</v>
      </c>
      <c r="J8804" s="24" t="s">
        <v>21</v>
      </c>
      <c r="K8804" s="24" t="s">
        <v>21</v>
      </c>
      <c r="L8804" s="24" t="s">
        <v>21</v>
      </c>
      <c r="M8804" s="24" t="s">
        <v>21</v>
      </c>
      <c r="N8804" s="24" t="s">
        <v>21</v>
      </c>
      <c r="O8804" s="24" t="s">
        <v>21</v>
      </c>
      <c r="P8804" s="24" t="s">
        <v>21</v>
      </c>
      <c r="Q8804" s="24" t="s">
        <v>21</v>
      </c>
      <c r="R8804" s="24" t="s">
        <v>21</v>
      </c>
      <c r="S8804" s="24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5">
        <v>0</v>
      </c>
      <c r="E8805" s="5">
        <v>3</v>
      </c>
      <c r="F8805" s="5" t="s">
        <v>9</v>
      </c>
      <c r="G8805" s="15" t="s">
        <v>8</v>
      </c>
      <c r="H8805" s="24">
        <v>0.99999999278225005</v>
      </c>
      <c r="I8805" s="24">
        <v>0.99999999278225005</v>
      </c>
      <c r="J8805" s="24" t="s">
        <v>21</v>
      </c>
      <c r="K8805" s="24" t="s">
        <v>21</v>
      </c>
      <c r="L8805" s="24" t="s">
        <v>21</v>
      </c>
      <c r="M8805" s="24" t="s">
        <v>21</v>
      </c>
      <c r="N8805" s="24" t="s">
        <v>21</v>
      </c>
      <c r="O8805" s="24" t="s">
        <v>21</v>
      </c>
      <c r="P8805" s="24" t="s">
        <v>21</v>
      </c>
      <c r="Q8805" s="24" t="s">
        <v>21</v>
      </c>
      <c r="R8805" s="24" t="s">
        <v>21</v>
      </c>
      <c r="S8805" s="24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5">
        <v>0</v>
      </c>
      <c r="E8806" s="5">
        <v>4</v>
      </c>
      <c r="F8806" s="5" t="s">
        <v>9</v>
      </c>
      <c r="G8806" s="15" t="s">
        <v>8</v>
      </c>
      <c r="H8806" s="24">
        <v>0</v>
      </c>
      <c r="I8806" s="24">
        <v>0</v>
      </c>
      <c r="J8806" s="24" t="s">
        <v>21</v>
      </c>
      <c r="K8806" s="24" t="s">
        <v>21</v>
      </c>
      <c r="L8806" s="24" t="s">
        <v>21</v>
      </c>
      <c r="M8806" s="24" t="s">
        <v>21</v>
      </c>
      <c r="N8806" s="24" t="s">
        <v>21</v>
      </c>
      <c r="O8806" s="24" t="s">
        <v>21</v>
      </c>
      <c r="P8806" s="24" t="s">
        <v>21</v>
      </c>
      <c r="Q8806" s="24" t="s">
        <v>21</v>
      </c>
      <c r="R8806" s="24" t="s">
        <v>21</v>
      </c>
      <c r="S8806" s="24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5">
        <v>0</v>
      </c>
      <c r="E8807" s="5">
        <v>3</v>
      </c>
      <c r="F8807" s="5" t="s">
        <v>9</v>
      </c>
      <c r="G8807" s="15" t="s">
        <v>8</v>
      </c>
      <c r="H8807" s="24">
        <v>1.000000003259629</v>
      </c>
      <c r="I8807" s="24">
        <v>1.000000003259629</v>
      </c>
      <c r="J8807" s="24" t="s">
        <v>21</v>
      </c>
      <c r="K8807" s="24" t="s">
        <v>21</v>
      </c>
      <c r="L8807" s="24" t="s">
        <v>21</v>
      </c>
      <c r="M8807" s="24" t="s">
        <v>21</v>
      </c>
      <c r="N8807" s="24" t="s">
        <v>21</v>
      </c>
      <c r="O8807" s="24" t="s">
        <v>21</v>
      </c>
      <c r="P8807" s="24" t="s">
        <v>21</v>
      </c>
      <c r="Q8807" s="24" t="s">
        <v>21</v>
      </c>
      <c r="R8807" s="24" t="s">
        <v>21</v>
      </c>
      <c r="S8807" s="24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7">
        <v>0</v>
      </c>
      <c r="E8808" s="7">
        <v>3</v>
      </c>
      <c r="F8808" s="7" t="s">
        <v>9</v>
      </c>
      <c r="G8808" s="16" t="s">
        <v>8</v>
      </c>
      <c r="H8808" s="25">
        <v>1.000000003259629</v>
      </c>
      <c r="I8808" s="25">
        <v>1.000000003259629</v>
      </c>
      <c r="J8808" s="25" t="s">
        <v>21</v>
      </c>
      <c r="K8808" s="25" t="s">
        <v>21</v>
      </c>
      <c r="L8808" s="25" t="s">
        <v>21</v>
      </c>
      <c r="M8808" s="25" t="s">
        <v>21</v>
      </c>
      <c r="N8808" s="25" t="s">
        <v>21</v>
      </c>
      <c r="O8808" s="25" t="s">
        <v>21</v>
      </c>
      <c r="P8808" s="25" t="s">
        <v>21</v>
      </c>
      <c r="Q8808" s="25" t="s">
        <v>21</v>
      </c>
      <c r="R8808" s="25" t="s">
        <v>21</v>
      </c>
      <c r="S8808" s="25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5">
        <v>0</v>
      </c>
      <c r="E8809" s="5">
        <v>2</v>
      </c>
      <c r="F8809" s="5" t="s">
        <v>9</v>
      </c>
      <c r="G8809" s="15" t="s">
        <v>8</v>
      </c>
      <c r="H8809" s="24">
        <v>784.99999999185093</v>
      </c>
      <c r="I8809" s="24">
        <v>784.99999999185093</v>
      </c>
      <c r="J8809" s="24" t="s">
        <v>21</v>
      </c>
      <c r="K8809" s="24" t="s">
        <v>21</v>
      </c>
      <c r="L8809" s="24" t="s">
        <v>21</v>
      </c>
      <c r="M8809" s="24" t="s">
        <v>21</v>
      </c>
      <c r="N8809" s="24" t="s">
        <v>21</v>
      </c>
      <c r="O8809" s="24" t="s">
        <v>21</v>
      </c>
      <c r="P8809" s="24" t="s">
        <v>21</v>
      </c>
      <c r="Q8809" s="24" t="s">
        <v>21</v>
      </c>
      <c r="R8809" s="24" t="s">
        <v>21</v>
      </c>
      <c r="S8809" s="24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5">
        <v>0</v>
      </c>
      <c r="E8810" s="5">
        <v>3</v>
      </c>
      <c r="F8810" s="5" t="s">
        <v>9</v>
      </c>
      <c r="G8810" s="15" t="s">
        <v>8</v>
      </c>
      <c r="H8810" s="24">
        <v>0</v>
      </c>
      <c r="I8810" s="24">
        <v>0</v>
      </c>
      <c r="J8810" s="24" t="s">
        <v>21</v>
      </c>
      <c r="K8810" s="24" t="s">
        <v>21</v>
      </c>
      <c r="L8810" s="24" t="s">
        <v>21</v>
      </c>
      <c r="M8810" s="24" t="s">
        <v>21</v>
      </c>
      <c r="N8810" s="24" t="s">
        <v>21</v>
      </c>
      <c r="O8810" s="24" t="s">
        <v>21</v>
      </c>
      <c r="P8810" s="24" t="s">
        <v>21</v>
      </c>
      <c r="Q8810" s="24" t="s">
        <v>21</v>
      </c>
      <c r="R8810" s="24" t="s">
        <v>21</v>
      </c>
      <c r="S8810" s="24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5">
        <v>0</v>
      </c>
      <c r="E8811" s="5">
        <v>3</v>
      </c>
      <c r="F8811" s="5" t="s">
        <v>9</v>
      </c>
      <c r="G8811" s="15" t="s">
        <v>8</v>
      </c>
      <c r="H8811" s="24">
        <v>1.000000003259629</v>
      </c>
      <c r="I8811" s="24">
        <v>1.000000003259629</v>
      </c>
      <c r="J8811" s="24" t="s">
        <v>21</v>
      </c>
      <c r="K8811" s="24" t="s">
        <v>21</v>
      </c>
      <c r="L8811" s="24" t="s">
        <v>21</v>
      </c>
      <c r="M8811" s="24" t="s">
        <v>21</v>
      </c>
      <c r="N8811" s="24" t="s">
        <v>21</v>
      </c>
      <c r="O8811" s="24" t="s">
        <v>21</v>
      </c>
      <c r="P8811" s="24" t="s">
        <v>21</v>
      </c>
      <c r="Q8811" s="24" t="s">
        <v>21</v>
      </c>
      <c r="R8811" s="24" t="s">
        <v>21</v>
      </c>
      <c r="S8811" s="24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5">
        <v>3</v>
      </c>
      <c r="E8812" s="5">
        <v>5</v>
      </c>
      <c r="F8812" s="5" t="s">
        <v>9</v>
      </c>
      <c r="G8812" s="15" t="s">
        <v>8</v>
      </c>
      <c r="H8812" s="24">
        <v>37.999999998137355</v>
      </c>
      <c r="I8812" s="24" t="s">
        <v>21</v>
      </c>
      <c r="J8812" s="24" t="s">
        <v>21</v>
      </c>
      <c r="K8812" s="24" t="s">
        <v>21</v>
      </c>
      <c r="L8812" s="24">
        <v>2880.9999999927823</v>
      </c>
      <c r="M8812" s="24" t="s">
        <v>21</v>
      </c>
      <c r="N8812" s="24" t="s">
        <v>21</v>
      </c>
      <c r="O8812" s="24" t="s">
        <v>21</v>
      </c>
      <c r="P8812" s="24" t="s">
        <v>21</v>
      </c>
      <c r="Q8812" s="24" t="s">
        <v>21</v>
      </c>
      <c r="R8812" s="24" t="s">
        <v>21</v>
      </c>
      <c r="S8812" s="24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5">
        <v>5</v>
      </c>
      <c r="E8813" s="5">
        <v>1</v>
      </c>
      <c r="F8813" s="5" t="s">
        <v>9</v>
      </c>
      <c r="G8813" s="15" t="s">
        <v>8</v>
      </c>
      <c r="H8813" s="24">
        <v>0</v>
      </c>
      <c r="I8813" s="24" t="s">
        <v>21</v>
      </c>
      <c r="J8813" s="24" t="s">
        <v>21</v>
      </c>
      <c r="K8813" s="24" t="s">
        <v>21</v>
      </c>
      <c r="L8813" s="24">
        <v>0</v>
      </c>
      <c r="M8813" s="24" t="s">
        <v>21</v>
      </c>
      <c r="N8813" s="24" t="s">
        <v>21</v>
      </c>
      <c r="O8813" s="24" t="s">
        <v>21</v>
      </c>
      <c r="P8813" s="24" t="s">
        <v>21</v>
      </c>
      <c r="Q8813" s="24" t="s">
        <v>21</v>
      </c>
      <c r="R8813" s="24" t="s">
        <v>21</v>
      </c>
      <c r="S8813" s="24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5">
        <v>2</v>
      </c>
      <c r="E8814" s="5">
        <v>0</v>
      </c>
      <c r="F8814" s="5" t="s">
        <v>9</v>
      </c>
      <c r="G8814" s="15" t="s">
        <v>8</v>
      </c>
      <c r="H8814" s="24">
        <v>0</v>
      </c>
      <c r="I8814" s="24" t="s">
        <v>21</v>
      </c>
      <c r="J8814" s="24" t="s">
        <v>21</v>
      </c>
      <c r="K8814" s="24" t="s">
        <v>21</v>
      </c>
      <c r="L8814" s="24">
        <v>0</v>
      </c>
      <c r="M8814" s="24" t="s">
        <v>21</v>
      </c>
      <c r="N8814" s="24" t="s">
        <v>21</v>
      </c>
      <c r="O8814" s="24" t="s">
        <v>21</v>
      </c>
      <c r="P8814" s="24" t="s">
        <v>21</v>
      </c>
      <c r="Q8814" s="24" t="s">
        <v>21</v>
      </c>
      <c r="R8814" s="24" t="s">
        <v>21</v>
      </c>
      <c r="S8814" s="24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5">
        <v>2</v>
      </c>
      <c r="E8815" s="5">
        <v>0</v>
      </c>
      <c r="F8815" s="5" t="s">
        <v>9</v>
      </c>
      <c r="G8815" s="15" t="s">
        <v>8</v>
      </c>
      <c r="H8815" s="24">
        <v>0</v>
      </c>
      <c r="I8815" s="24" t="s">
        <v>21</v>
      </c>
      <c r="J8815" s="24" t="s">
        <v>21</v>
      </c>
      <c r="K8815" s="24" t="s">
        <v>21</v>
      </c>
      <c r="L8815" s="24">
        <v>0</v>
      </c>
      <c r="M8815" s="24" t="s">
        <v>21</v>
      </c>
      <c r="N8815" s="24" t="s">
        <v>21</v>
      </c>
      <c r="O8815" s="24" t="s">
        <v>21</v>
      </c>
      <c r="P8815" s="24" t="s">
        <v>21</v>
      </c>
      <c r="Q8815" s="24" t="s">
        <v>21</v>
      </c>
      <c r="R8815" s="24" t="s">
        <v>21</v>
      </c>
      <c r="S8815" s="24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5">
        <v>0</v>
      </c>
      <c r="E8816" s="5">
        <v>2</v>
      </c>
      <c r="F8816" s="5" t="s">
        <v>9</v>
      </c>
      <c r="G8816" s="15" t="s">
        <v>8</v>
      </c>
      <c r="H8816" s="24">
        <v>0</v>
      </c>
      <c r="I8816" s="24">
        <v>37.999999998137355</v>
      </c>
      <c r="J8816" s="24" t="s">
        <v>21</v>
      </c>
      <c r="K8816" s="24" t="s">
        <v>21</v>
      </c>
      <c r="L8816" s="24" t="s">
        <v>21</v>
      </c>
      <c r="M8816" s="24" t="s">
        <v>21</v>
      </c>
      <c r="N8816" s="24" t="s">
        <v>21</v>
      </c>
      <c r="O8816" s="24" t="s">
        <v>21</v>
      </c>
      <c r="P8816" s="24" t="s">
        <v>21</v>
      </c>
      <c r="Q8816" s="24" t="s">
        <v>21</v>
      </c>
      <c r="R8816" s="24" t="s">
        <v>21</v>
      </c>
      <c r="S8816" s="24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5">
        <v>0</v>
      </c>
      <c r="E8817" s="5">
        <v>4</v>
      </c>
      <c r="F8817" s="5" t="s">
        <v>9</v>
      </c>
      <c r="G8817" s="15" t="s">
        <v>8</v>
      </c>
      <c r="H8817" s="24">
        <v>1.000000003259629</v>
      </c>
      <c r="I8817" s="24">
        <v>1.000000003259629</v>
      </c>
      <c r="J8817" s="24" t="s">
        <v>21</v>
      </c>
      <c r="K8817" s="24" t="s">
        <v>21</v>
      </c>
      <c r="L8817" s="24" t="s">
        <v>21</v>
      </c>
      <c r="M8817" s="24" t="s">
        <v>21</v>
      </c>
      <c r="N8817" s="24" t="s">
        <v>21</v>
      </c>
      <c r="O8817" s="24" t="s">
        <v>21</v>
      </c>
      <c r="P8817" s="24" t="s">
        <v>21</v>
      </c>
      <c r="Q8817" s="24" t="s">
        <v>21</v>
      </c>
      <c r="R8817" s="24" t="s">
        <v>21</v>
      </c>
      <c r="S8817" s="24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5">
        <v>0</v>
      </c>
      <c r="E8818" s="5">
        <v>3</v>
      </c>
      <c r="F8818" s="5" t="s">
        <v>9</v>
      </c>
      <c r="G8818" s="15" t="s">
        <v>8</v>
      </c>
      <c r="H8818" s="24">
        <v>1.000000003259629</v>
      </c>
      <c r="I8818" s="24">
        <v>1.000000003259629</v>
      </c>
      <c r="J8818" s="24" t="s">
        <v>21</v>
      </c>
      <c r="K8818" s="24" t="s">
        <v>21</v>
      </c>
      <c r="L8818" s="24" t="s">
        <v>21</v>
      </c>
      <c r="M8818" s="24" t="s">
        <v>21</v>
      </c>
      <c r="N8818" s="24" t="s">
        <v>21</v>
      </c>
      <c r="O8818" s="24" t="s">
        <v>21</v>
      </c>
      <c r="P8818" s="24" t="s">
        <v>21</v>
      </c>
      <c r="Q8818" s="24" t="s">
        <v>21</v>
      </c>
      <c r="R8818" s="24" t="s">
        <v>21</v>
      </c>
      <c r="S8818" s="24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5">
        <v>0</v>
      </c>
      <c r="E8819" s="5">
        <v>4</v>
      </c>
      <c r="F8819" s="5" t="s">
        <v>9</v>
      </c>
      <c r="G8819" s="15" t="s">
        <v>8</v>
      </c>
      <c r="H8819" s="24">
        <v>0.99999999278225005</v>
      </c>
      <c r="I8819" s="24">
        <v>0.99999999278225005</v>
      </c>
      <c r="J8819" s="24" t="s">
        <v>21</v>
      </c>
      <c r="K8819" s="24" t="s">
        <v>21</v>
      </c>
      <c r="L8819" s="24" t="s">
        <v>21</v>
      </c>
      <c r="M8819" s="24" t="s">
        <v>21</v>
      </c>
      <c r="N8819" s="24" t="s">
        <v>21</v>
      </c>
      <c r="O8819" s="24" t="s">
        <v>21</v>
      </c>
      <c r="P8819" s="24" t="s">
        <v>21</v>
      </c>
      <c r="Q8819" s="24" t="s">
        <v>21</v>
      </c>
      <c r="R8819" s="24" t="s">
        <v>21</v>
      </c>
      <c r="S8819" s="24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5">
        <v>0</v>
      </c>
      <c r="E8820" s="5">
        <v>2</v>
      </c>
      <c r="F8820" s="5" t="s">
        <v>9</v>
      </c>
      <c r="G8820" s="15" t="s">
        <v>8</v>
      </c>
      <c r="H8820" s="24">
        <v>0</v>
      </c>
      <c r="I8820" s="24">
        <v>0</v>
      </c>
      <c r="J8820" s="24" t="s">
        <v>21</v>
      </c>
      <c r="K8820" s="24" t="s">
        <v>21</v>
      </c>
      <c r="L8820" s="24" t="s">
        <v>21</v>
      </c>
      <c r="M8820" s="24" t="s">
        <v>21</v>
      </c>
      <c r="N8820" s="24" t="s">
        <v>21</v>
      </c>
      <c r="O8820" s="24" t="s">
        <v>21</v>
      </c>
      <c r="P8820" s="24" t="s">
        <v>21</v>
      </c>
      <c r="Q8820" s="24" t="s">
        <v>21</v>
      </c>
      <c r="R8820" s="24" t="s">
        <v>21</v>
      </c>
      <c r="S8820" s="24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5">
        <v>0</v>
      </c>
      <c r="E8821" s="5">
        <v>2</v>
      </c>
      <c r="F8821" s="5" t="s">
        <v>9</v>
      </c>
      <c r="G8821" s="15" t="s">
        <v>8</v>
      </c>
      <c r="H8821" s="24">
        <v>1.000000003259629</v>
      </c>
      <c r="I8821" s="24">
        <v>1.000000003259629</v>
      </c>
      <c r="J8821" s="24" t="s">
        <v>21</v>
      </c>
      <c r="K8821" s="24" t="s">
        <v>21</v>
      </c>
      <c r="L8821" s="24" t="s">
        <v>21</v>
      </c>
      <c r="M8821" s="24" t="s">
        <v>21</v>
      </c>
      <c r="N8821" s="24" t="s">
        <v>21</v>
      </c>
      <c r="O8821" s="24" t="s">
        <v>21</v>
      </c>
      <c r="P8821" s="24" t="s">
        <v>21</v>
      </c>
      <c r="Q8821" s="24" t="s">
        <v>21</v>
      </c>
      <c r="R8821" s="24" t="s">
        <v>21</v>
      </c>
      <c r="S8821" s="24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5">
        <v>0</v>
      </c>
      <c r="E8822" s="5">
        <v>1</v>
      </c>
      <c r="F8822" s="5" t="s">
        <v>9</v>
      </c>
      <c r="G8822" s="15" t="s">
        <v>8</v>
      </c>
      <c r="H8822" s="24">
        <v>1.000000003259629</v>
      </c>
      <c r="I8822" s="24">
        <v>1.000000003259629</v>
      </c>
      <c r="J8822" s="24" t="s">
        <v>21</v>
      </c>
      <c r="K8822" s="24" t="s">
        <v>21</v>
      </c>
      <c r="L8822" s="24" t="s">
        <v>21</v>
      </c>
      <c r="M8822" s="24" t="s">
        <v>21</v>
      </c>
      <c r="N8822" s="24" t="s">
        <v>21</v>
      </c>
      <c r="O8822" s="24" t="s">
        <v>21</v>
      </c>
      <c r="P8822" s="24" t="s">
        <v>21</v>
      </c>
      <c r="Q8822" s="24" t="s">
        <v>21</v>
      </c>
      <c r="R8822" s="24" t="s">
        <v>21</v>
      </c>
      <c r="S8822" s="24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5">
        <v>0</v>
      </c>
      <c r="E8823" s="5">
        <v>4</v>
      </c>
      <c r="F8823" s="5" t="s">
        <v>9</v>
      </c>
      <c r="G8823" s="15" t="s">
        <v>8</v>
      </c>
      <c r="H8823" s="24">
        <v>87.999999993480742</v>
      </c>
      <c r="I8823" s="24" t="s">
        <v>21</v>
      </c>
      <c r="J8823" s="24" t="s">
        <v>21</v>
      </c>
      <c r="K8823" s="24" t="s">
        <v>21</v>
      </c>
      <c r="L8823" s="24">
        <v>92.999999999301508</v>
      </c>
      <c r="M8823" s="24" t="s">
        <v>21</v>
      </c>
      <c r="N8823" s="24" t="s">
        <v>21</v>
      </c>
      <c r="O8823" s="24" t="s">
        <v>21</v>
      </c>
      <c r="P8823" s="24" t="s">
        <v>21</v>
      </c>
      <c r="Q8823" s="24" t="s">
        <v>21</v>
      </c>
      <c r="R8823" s="24" t="s">
        <v>21</v>
      </c>
      <c r="S8823" s="24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5">
        <v>0</v>
      </c>
      <c r="E8824" s="5">
        <v>0</v>
      </c>
      <c r="F8824" s="5" t="s">
        <v>9</v>
      </c>
      <c r="G8824" s="15" t="s">
        <v>8</v>
      </c>
      <c r="H8824" s="24">
        <v>1.000000003259629</v>
      </c>
      <c r="I8824" s="24" t="s">
        <v>21</v>
      </c>
      <c r="J8824" s="24" t="s">
        <v>21</v>
      </c>
      <c r="K8824" s="24" t="s">
        <v>21</v>
      </c>
      <c r="L8824" s="24">
        <v>1.000000003259629</v>
      </c>
      <c r="M8824" s="24" t="s">
        <v>21</v>
      </c>
      <c r="N8824" s="24" t="s">
        <v>21</v>
      </c>
      <c r="O8824" s="24" t="s">
        <v>21</v>
      </c>
      <c r="P8824" s="24" t="s">
        <v>21</v>
      </c>
      <c r="Q8824" s="24" t="s">
        <v>21</v>
      </c>
      <c r="R8824" s="24" t="s">
        <v>21</v>
      </c>
      <c r="S8824" s="24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5">
        <v>0</v>
      </c>
      <c r="E8825" s="5">
        <v>8</v>
      </c>
      <c r="F8825" s="5" t="s">
        <v>9</v>
      </c>
      <c r="G8825" s="15" t="s">
        <v>8</v>
      </c>
      <c r="H8825" s="24">
        <v>1.000000003259629</v>
      </c>
      <c r="I8825" s="24" t="s">
        <v>21</v>
      </c>
      <c r="J8825" s="24" t="s">
        <v>21</v>
      </c>
      <c r="K8825" s="24" t="s">
        <v>21</v>
      </c>
      <c r="L8825" s="24">
        <v>1.000000003259629</v>
      </c>
      <c r="M8825" s="24" t="s">
        <v>21</v>
      </c>
      <c r="N8825" s="24" t="s">
        <v>21</v>
      </c>
      <c r="O8825" s="24" t="s">
        <v>21</v>
      </c>
      <c r="P8825" s="24" t="s">
        <v>21</v>
      </c>
      <c r="Q8825" s="24" t="s">
        <v>21</v>
      </c>
      <c r="R8825" s="24" t="s">
        <v>21</v>
      </c>
      <c r="S8825" s="24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5">
        <v>0</v>
      </c>
      <c r="E8826" s="5">
        <v>5</v>
      </c>
      <c r="F8826" s="5" t="s">
        <v>9</v>
      </c>
      <c r="G8826" s="15" t="s">
        <v>8</v>
      </c>
      <c r="H8826" s="24">
        <v>0.99999999278225005</v>
      </c>
      <c r="I8826" s="24" t="s">
        <v>21</v>
      </c>
      <c r="J8826" s="24" t="s">
        <v>21</v>
      </c>
      <c r="K8826" s="24" t="s">
        <v>21</v>
      </c>
      <c r="L8826" s="24">
        <v>0.99999999278225005</v>
      </c>
      <c r="M8826" s="24" t="s">
        <v>21</v>
      </c>
      <c r="N8826" s="24" t="s">
        <v>21</v>
      </c>
      <c r="O8826" s="24" t="s">
        <v>21</v>
      </c>
      <c r="P8826" s="24" t="s">
        <v>21</v>
      </c>
      <c r="Q8826" s="24" t="s">
        <v>21</v>
      </c>
      <c r="R8826" s="24" t="s">
        <v>21</v>
      </c>
      <c r="S8826" s="24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5">
        <v>10</v>
      </c>
      <c r="E8827" s="5">
        <v>0</v>
      </c>
      <c r="F8827" s="5" t="s">
        <v>9</v>
      </c>
      <c r="G8827" s="15" t="s">
        <v>8</v>
      </c>
      <c r="H8827" s="24">
        <v>2.9999999993015081</v>
      </c>
      <c r="I8827" s="24" t="s">
        <v>21</v>
      </c>
      <c r="J8827" s="24" t="s">
        <v>21</v>
      </c>
      <c r="K8827" s="24" t="s">
        <v>21</v>
      </c>
      <c r="L8827" s="24">
        <v>2.9999999993015081</v>
      </c>
      <c r="M8827" s="24" t="s">
        <v>21</v>
      </c>
      <c r="N8827" s="24" t="s">
        <v>21</v>
      </c>
      <c r="O8827" s="24" t="s">
        <v>21</v>
      </c>
      <c r="P8827" s="24" t="s">
        <v>21</v>
      </c>
      <c r="Q8827" s="24" t="s">
        <v>21</v>
      </c>
      <c r="R8827" s="24" t="s">
        <v>21</v>
      </c>
      <c r="S8827" s="24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5">
        <v>4</v>
      </c>
      <c r="E8828" s="5">
        <v>0</v>
      </c>
      <c r="F8828" s="5" t="s">
        <v>9</v>
      </c>
      <c r="G8828" s="15" t="s">
        <v>8</v>
      </c>
      <c r="H8828" s="24">
        <v>359.00000000721775</v>
      </c>
      <c r="I8828" s="24" t="s">
        <v>21</v>
      </c>
      <c r="J8828" s="24" t="s">
        <v>21</v>
      </c>
      <c r="K8828" s="24" t="s">
        <v>21</v>
      </c>
      <c r="L8828" s="24">
        <v>359.00000000721775</v>
      </c>
      <c r="M8828" s="24" t="s">
        <v>21</v>
      </c>
      <c r="N8828" s="24" t="s">
        <v>21</v>
      </c>
      <c r="O8828" s="24" t="s">
        <v>21</v>
      </c>
      <c r="P8828" s="24" t="s">
        <v>21</v>
      </c>
      <c r="Q8828" s="24" t="s">
        <v>21</v>
      </c>
      <c r="R8828" s="24" t="s">
        <v>21</v>
      </c>
      <c r="S8828" s="24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5">
        <v>6</v>
      </c>
      <c r="E8829" s="5">
        <v>0</v>
      </c>
      <c r="F8829" s="5" t="s">
        <v>9</v>
      </c>
      <c r="G8829" s="15" t="s">
        <v>8</v>
      </c>
      <c r="H8829" s="24">
        <v>0</v>
      </c>
      <c r="I8829" s="24" t="s">
        <v>21</v>
      </c>
      <c r="J8829" s="24" t="s">
        <v>21</v>
      </c>
      <c r="K8829" s="24" t="s">
        <v>21</v>
      </c>
      <c r="L8829" s="24">
        <v>0</v>
      </c>
      <c r="M8829" s="24" t="s">
        <v>21</v>
      </c>
      <c r="N8829" s="24" t="s">
        <v>21</v>
      </c>
      <c r="O8829" s="24" t="s">
        <v>21</v>
      </c>
      <c r="P8829" s="24" t="s">
        <v>21</v>
      </c>
      <c r="Q8829" s="24" t="s">
        <v>21</v>
      </c>
      <c r="R8829" s="24" t="s">
        <v>21</v>
      </c>
      <c r="S8829" s="24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5">
        <v>10</v>
      </c>
      <c r="E8830" s="5">
        <v>0</v>
      </c>
      <c r="F8830" s="5" t="s">
        <v>9</v>
      </c>
      <c r="G8830" s="15" t="s">
        <v>8</v>
      </c>
      <c r="H8830" s="24">
        <v>0</v>
      </c>
      <c r="I8830" s="24" t="s">
        <v>21</v>
      </c>
      <c r="J8830" s="24" t="s">
        <v>21</v>
      </c>
      <c r="K8830" s="24" t="s">
        <v>21</v>
      </c>
      <c r="L8830" s="24">
        <v>0</v>
      </c>
      <c r="M8830" s="24" t="s">
        <v>21</v>
      </c>
      <c r="N8830" s="24" t="s">
        <v>21</v>
      </c>
      <c r="O8830" s="24" t="s">
        <v>21</v>
      </c>
      <c r="P8830" s="24" t="s">
        <v>21</v>
      </c>
      <c r="Q8830" s="24" t="s">
        <v>21</v>
      </c>
      <c r="R8830" s="24" t="s">
        <v>21</v>
      </c>
      <c r="S8830" s="24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5">
        <v>9</v>
      </c>
      <c r="E8831" s="5">
        <v>0</v>
      </c>
      <c r="F8831" s="5" t="s">
        <v>9</v>
      </c>
      <c r="G8831" s="15" t="s">
        <v>8</v>
      </c>
      <c r="H8831" s="24">
        <v>0.99999999278225005</v>
      </c>
      <c r="I8831" s="24" t="s">
        <v>21</v>
      </c>
      <c r="J8831" s="24" t="s">
        <v>21</v>
      </c>
      <c r="K8831" s="24" t="s">
        <v>21</v>
      </c>
      <c r="L8831" s="24">
        <v>0.99999999278225005</v>
      </c>
      <c r="M8831" s="24" t="s">
        <v>21</v>
      </c>
      <c r="N8831" s="24" t="s">
        <v>21</v>
      </c>
      <c r="O8831" s="24" t="s">
        <v>21</v>
      </c>
      <c r="P8831" s="24" t="s">
        <v>21</v>
      </c>
      <c r="Q8831" s="24" t="s">
        <v>21</v>
      </c>
      <c r="R8831" s="24" t="s">
        <v>21</v>
      </c>
      <c r="S8831" s="24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5">
        <v>0</v>
      </c>
      <c r="E8832" s="5">
        <v>0</v>
      </c>
      <c r="F8832" s="5" t="s">
        <v>9</v>
      </c>
      <c r="G8832" s="15" t="s">
        <v>8</v>
      </c>
      <c r="H8832" s="24">
        <v>115.00000000814907</v>
      </c>
      <c r="I8832" s="24">
        <v>569.00000000023283</v>
      </c>
      <c r="J8832" s="24" t="s">
        <v>21</v>
      </c>
      <c r="K8832" s="24" t="s">
        <v>21</v>
      </c>
      <c r="L8832" s="24" t="s">
        <v>21</v>
      </c>
      <c r="M8832" s="24" t="s">
        <v>21</v>
      </c>
      <c r="N8832" s="24" t="s">
        <v>21</v>
      </c>
      <c r="O8832" s="24" t="s">
        <v>21</v>
      </c>
      <c r="P8832" s="24" t="s">
        <v>21</v>
      </c>
      <c r="Q8832" s="24" t="s">
        <v>21</v>
      </c>
      <c r="R8832" s="24" t="s">
        <v>21</v>
      </c>
      <c r="S8832" s="24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5">
        <v>0</v>
      </c>
      <c r="E8833" s="5">
        <v>0</v>
      </c>
      <c r="F8833" s="5" t="s">
        <v>9</v>
      </c>
      <c r="G8833" s="15" t="s">
        <v>8</v>
      </c>
      <c r="H8833" s="24">
        <v>0.99999999278225005</v>
      </c>
      <c r="I8833" s="24">
        <v>0.99999999278225005</v>
      </c>
      <c r="J8833" s="24" t="s">
        <v>21</v>
      </c>
      <c r="K8833" s="24" t="s">
        <v>21</v>
      </c>
      <c r="L8833" s="24" t="s">
        <v>21</v>
      </c>
      <c r="M8833" s="24" t="s">
        <v>21</v>
      </c>
      <c r="N8833" s="24" t="s">
        <v>21</v>
      </c>
      <c r="O8833" s="24" t="s">
        <v>21</v>
      </c>
      <c r="P8833" s="24" t="s">
        <v>21</v>
      </c>
      <c r="Q8833" s="24" t="s">
        <v>21</v>
      </c>
      <c r="R8833" s="24" t="s">
        <v>21</v>
      </c>
      <c r="S8833" s="24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5">
        <v>0</v>
      </c>
      <c r="E8834" s="5">
        <v>3</v>
      </c>
      <c r="F8834" s="5" t="s">
        <v>9</v>
      </c>
      <c r="G8834" s="15" t="s">
        <v>8</v>
      </c>
      <c r="H8834" s="24">
        <v>0</v>
      </c>
      <c r="I8834" s="24">
        <v>0</v>
      </c>
      <c r="J8834" s="24" t="s">
        <v>21</v>
      </c>
      <c r="K8834" s="24" t="s">
        <v>21</v>
      </c>
      <c r="L8834" s="24" t="s">
        <v>21</v>
      </c>
      <c r="M8834" s="24" t="s">
        <v>21</v>
      </c>
      <c r="N8834" s="24" t="s">
        <v>21</v>
      </c>
      <c r="O8834" s="24" t="s">
        <v>21</v>
      </c>
      <c r="P8834" s="24" t="s">
        <v>21</v>
      </c>
      <c r="Q8834" s="24" t="s">
        <v>21</v>
      </c>
      <c r="R8834" s="24" t="s">
        <v>21</v>
      </c>
      <c r="S8834" s="24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5">
        <v>0</v>
      </c>
      <c r="E8835" s="5">
        <v>4</v>
      </c>
      <c r="F8835" s="5" t="s">
        <v>9</v>
      </c>
      <c r="G8835" s="15" t="s">
        <v>8</v>
      </c>
      <c r="H8835" s="24">
        <v>1.000000003259629</v>
      </c>
      <c r="I8835" s="24">
        <v>1.000000003259629</v>
      </c>
      <c r="J8835" s="24" t="s">
        <v>21</v>
      </c>
      <c r="K8835" s="24" t="s">
        <v>21</v>
      </c>
      <c r="L8835" s="24" t="s">
        <v>21</v>
      </c>
      <c r="M8835" s="24" t="s">
        <v>21</v>
      </c>
      <c r="N8835" s="24" t="s">
        <v>21</v>
      </c>
      <c r="O8835" s="24" t="s">
        <v>21</v>
      </c>
      <c r="P8835" s="24" t="s">
        <v>21</v>
      </c>
      <c r="Q8835" s="24" t="s">
        <v>21</v>
      </c>
      <c r="R8835" s="24" t="s">
        <v>21</v>
      </c>
      <c r="S8835" s="24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5">
        <v>0</v>
      </c>
      <c r="E8836" s="5">
        <v>1</v>
      </c>
      <c r="F8836" s="5" t="s">
        <v>9</v>
      </c>
      <c r="G8836" s="15" t="s">
        <v>8</v>
      </c>
      <c r="H8836" s="24">
        <v>0</v>
      </c>
      <c r="I8836" s="24">
        <v>0</v>
      </c>
      <c r="J8836" s="24" t="s">
        <v>21</v>
      </c>
      <c r="K8836" s="24" t="s">
        <v>21</v>
      </c>
      <c r="L8836" s="24" t="s">
        <v>21</v>
      </c>
      <c r="M8836" s="24" t="s">
        <v>21</v>
      </c>
      <c r="N8836" s="24" t="s">
        <v>21</v>
      </c>
      <c r="O8836" s="24" t="s">
        <v>21</v>
      </c>
      <c r="P8836" s="24" t="s">
        <v>21</v>
      </c>
      <c r="Q8836" s="24" t="s">
        <v>21</v>
      </c>
      <c r="R8836" s="24" t="s">
        <v>21</v>
      </c>
      <c r="S8836" s="24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5">
        <v>0</v>
      </c>
      <c r="E8837" s="5">
        <v>1</v>
      </c>
      <c r="F8837" s="5" t="s">
        <v>9</v>
      </c>
      <c r="G8837" s="15" t="s">
        <v>8</v>
      </c>
      <c r="H8837" s="24">
        <v>33.999999995576218</v>
      </c>
      <c r="I8837" s="24">
        <v>33.999999995576218</v>
      </c>
      <c r="J8837" s="24" t="s">
        <v>21</v>
      </c>
      <c r="K8837" s="24" t="s">
        <v>21</v>
      </c>
      <c r="L8837" s="24" t="s">
        <v>21</v>
      </c>
      <c r="M8837" s="24" t="s">
        <v>21</v>
      </c>
      <c r="N8837" s="24" t="s">
        <v>21</v>
      </c>
      <c r="O8837" s="24" t="s">
        <v>21</v>
      </c>
      <c r="P8837" s="24" t="s">
        <v>21</v>
      </c>
      <c r="Q8837" s="24" t="s">
        <v>21</v>
      </c>
      <c r="R8837" s="24" t="s">
        <v>21</v>
      </c>
      <c r="S8837" s="24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5">
        <v>0</v>
      </c>
      <c r="E8838" s="5">
        <v>3</v>
      </c>
      <c r="F8838" s="5" t="s">
        <v>9</v>
      </c>
      <c r="G8838" s="15" t="s">
        <v>8</v>
      </c>
      <c r="H8838" s="24">
        <v>0</v>
      </c>
      <c r="I8838" s="24">
        <v>0</v>
      </c>
      <c r="J8838" s="24" t="s">
        <v>21</v>
      </c>
      <c r="K8838" s="24" t="s">
        <v>21</v>
      </c>
      <c r="L8838" s="24" t="s">
        <v>21</v>
      </c>
      <c r="M8838" s="24" t="s">
        <v>21</v>
      </c>
      <c r="N8838" s="24" t="s">
        <v>21</v>
      </c>
      <c r="O8838" s="24" t="s">
        <v>21</v>
      </c>
      <c r="P8838" s="24" t="s">
        <v>21</v>
      </c>
      <c r="Q8838" s="24" t="s">
        <v>21</v>
      </c>
      <c r="R8838" s="24" t="s">
        <v>21</v>
      </c>
      <c r="S8838" s="24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5">
        <v>0</v>
      </c>
      <c r="E8839" s="5">
        <v>4</v>
      </c>
      <c r="F8839" s="5" t="s">
        <v>9</v>
      </c>
      <c r="G8839" s="15" t="s">
        <v>8</v>
      </c>
      <c r="H8839" s="24">
        <v>1.000000003259629</v>
      </c>
      <c r="I8839" s="24">
        <v>1.000000003259629</v>
      </c>
      <c r="J8839" s="24" t="s">
        <v>21</v>
      </c>
      <c r="K8839" s="24" t="s">
        <v>21</v>
      </c>
      <c r="L8839" s="24" t="s">
        <v>21</v>
      </c>
      <c r="M8839" s="24" t="s">
        <v>21</v>
      </c>
      <c r="N8839" s="24" t="s">
        <v>21</v>
      </c>
      <c r="O8839" s="24" t="s">
        <v>21</v>
      </c>
      <c r="P8839" s="24" t="s">
        <v>21</v>
      </c>
      <c r="Q8839" s="24" t="s">
        <v>21</v>
      </c>
      <c r="R8839" s="24" t="s">
        <v>21</v>
      </c>
      <c r="S8839" s="24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5">
        <v>0</v>
      </c>
      <c r="E8840" s="5">
        <v>4</v>
      </c>
      <c r="F8840" s="5" t="s">
        <v>9</v>
      </c>
      <c r="G8840" s="15" t="s">
        <v>8</v>
      </c>
      <c r="H8840" s="24">
        <v>1.000000003259629</v>
      </c>
      <c r="I8840" s="24">
        <v>1.000000003259629</v>
      </c>
      <c r="J8840" s="24" t="s">
        <v>21</v>
      </c>
      <c r="K8840" s="24" t="s">
        <v>21</v>
      </c>
      <c r="L8840" s="24" t="s">
        <v>21</v>
      </c>
      <c r="M8840" s="24" t="s">
        <v>21</v>
      </c>
      <c r="N8840" s="24" t="s">
        <v>21</v>
      </c>
      <c r="O8840" s="24" t="s">
        <v>21</v>
      </c>
      <c r="P8840" s="24" t="s">
        <v>21</v>
      </c>
      <c r="Q8840" s="24" t="s">
        <v>21</v>
      </c>
      <c r="R8840" s="24" t="s">
        <v>21</v>
      </c>
      <c r="S8840" s="24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5">
        <v>0</v>
      </c>
      <c r="E8841" s="5">
        <v>5</v>
      </c>
      <c r="F8841" s="5" t="s">
        <v>9</v>
      </c>
      <c r="G8841" s="15" t="s">
        <v>8</v>
      </c>
      <c r="H8841" s="24">
        <v>0</v>
      </c>
      <c r="I8841" s="24">
        <v>0</v>
      </c>
      <c r="J8841" s="24" t="s">
        <v>21</v>
      </c>
      <c r="K8841" s="24" t="s">
        <v>21</v>
      </c>
      <c r="L8841" s="24" t="s">
        <v>21</v>
      </c>
      <c r="M8841" s="24" t="s">
        <v>21</v>
      </c>
      <c r="N8841" s="24" t="s">
        <v>21</v>
      </c>
      <c r="O8841" s="24" t="s">
        <v>21</v>
      </c>
      <c r="P8841" s="24" t="s">
        <v>21</v>
      </c>
      <c r="Q8841" s="24" t="s">
        <v>21</v>
      </c>
      <c r="R8841" s="24" t="s">
        <v>21</v>
      </c>
      <c r="S8841" s="24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5">
        <v>0</v>
      </c>
      <c r="E8842" s="5">
        <v>2</v>
      </c>
      <c r="F8842" s="5" t="s">
        <v>9</v>
      </c>
      <c r="G8842" s="15" t="s">
        <v>8</v>
      </c>
      <c r="H8842" s="24">
        <v>1.000000003259629</v>
      </c>
      <c r="I8842" s="24">
        <v>1.000000003259629</v>
      </c>
      <c r="J8842" s="24" t="s">
        <v>21</v>
      </c>
      <c r="K8842" s="24" t="s">
        <v>21</v>
      </c>
      <c r="L8842" s="24" t="s">
        <v>21</v>
      </c>
      <c r="M8842" s="24" t="s">
        <v>21</v>
      </c>
      <c r="N8842" s="24" t="s">
        <v>21</v>
      </c>
      <c r="O8842" s="24" t="s">
        <v>21</v>
      </c>
      <c r="P8842" s="24" t="s">
        <v>21</v>
      </c>
      <c r="Q8842" s="24" t="s">
        <v>21</v>
      </c>
      <c r="R8842" s="24" t="s">
        <v>21</v>
      </c>
      <c r="S8842" s="24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5">
        <v>0</v>
      </c>
      <c r="E8843" s="5">
        <v>1</v>
      </c>
      <c r="F8843" s="5" t="s">
        <v>9</v>
      </c>
      <c r="G8843" s="15" t="s">
        <v>8</v>
      </c>
      <c r="H8843" s="24">
        <v>0</v>
      </c>
      <c r="I8843" s="24">
        <v>0</v>
      </c>
      <c r="J8843" s="24" t="s">
        <v>21</v>
      </c>
      <c r="K8843" s="24" t="s">
        <v>21</v>
      </c>
      <c r="L8843" s="24" t="s">
        <v>21</v>
      </c>
      <c r="M8843" s="24" t="s">
        <v>21</v>
      </c>
      <c r="N8843" s="24" t="s">
        <v>21</v>
      </c>
      <c r="O8843" s="24" t="s">
        <v>21</v>
      </c>
      <c r="P8843" s="24" t="s">
        <v>21</v>
      </c>
      <c r="Q8843" s="24" t="s">
        <v>21</v>
      </c>
      <c r="R8843" s="24" t="s">
        <v>21</v>
      </c>
      <c r="S8843" s="24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5">
        <v>0</v>
      </c>
      <c r="E8844" s="5">
        <v>3</v>
      </c>
      <c r="F8844" s="5" t="s">
        <v>9</v>
      </c>
      <c r="G8844" s="15" t="s">
        <v>8</v>
      </c>
      <c r="H8844" s="24">
        <v>0</v>
      </c>
      <c r="I8844" s="24">
        <v>0</v>
      </c>
      <c r="J8844" s="24" t="s">
        <v>21</v>
      </c>
      <c r="K8844" s="24" t="s">
        <v>21</v>
      </c>
      <c r="L8844" s="24" t="s">
        <v>21</v>
      </c>
      <c r="M8844" s="24" t="s">
        <v>21</v>
      </c>
      <c r="N8844" s="24" t="s">
        <v>21</v>
      </c>
      <c r="O8844" s="24" t="s">
        <v>21</v>
      </c>
      <c r="P8844" s="24" t="s">
        <v>21</v>
      </c>
      <c r="Q8844" s="24" t="s">
        <v>21</v>
      </c>
      <c r="R8844" s="24" t="s">
        <v>21</v>
      </c>
      <c r="S8844" s="24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5">
        <v>0</v>
      </c>
      <c r="E8845" s="5">
        <v>3</v>
      </c>
      <c r="F8845" s="5" t="s">
        <v>9</v>
      </c>
      <c r="G8845" s="15" t="s">
        <v>8</v>
      </c>
      <c r="H8845" s="24">
        <v>0.99999999278225005</v>
      </c>
      <c r="I8845" s="24">
        <v>0.99999999278225005</v>
      </c>
      <c r="J8845" s="24" t="s">
        <v>21</v>
      </c>
      <c r="K8845" s="24" t="s">
        <v>21</v>
      </c>
      <c r="L8845" s="24" t="s">
        <v>21</v>
      </c>
      <c r="M8845" s="24" t="s">
        <v>21</v>
      </c>
      <c r="N8845" s="24" t="s">
        <v>21</v>
      </c>
      <c r="O8845" s="24" t="s">
        <v>21</v>
      </c>
      <c r="P8845" s="24" t="s">
        <v>21</v>
      </c>
      <c r="Q8845" s="24" t="s">
        <v>21</v>
      </c>
      <c r="R8845" s="24" t="s">
        <v>21</v>
      </c>
      <c r="S8845" s="24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5">
        <v>0</v>
      </c>
      <c r="E8846" s="5">
        <v>2</v>
      </c>
      <c r="F8846" s="5" t="s">
        <v>9</v>
      </c>
      <c r="G8846" s="15" t="s">
        <v>8</v>
      </c>
      <c r="H8846" s="24">
        <v>1.000000003259629</v>
      </c>
      <c r="I8846" s="24">
        <v>1.000000003259629</v>
      </c>
      <c r="J8846" s="24" t="s">
        <v>21</v>
      </c>
      <c r="K8846" s="24" t="s">
        <v>21</v>
      </c>
      <c r="L8846" s="24" t="s">
        <v>21</v>
      </c>
      <c r="M8846" s="24" t="s">
        <v>21</v>
      </c>
      <c r="N8846" s="24" t="s">
        <v>21</v>
      </c>
      <c r="O8846" s="24" t="s">
        <v>21</v>
      </c>
      <c r="P8846" s="24" t="s">
        <v>21</v>
      </c>
      <c r="Q8846" s="24" t="s">
        <v>21</v>
      </c>
      <c r="R8846" s="24" t="s">
        <v>21</v>
      </c>
      <c r="S8846" s="24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5">
        <v>0</v>
      </c>
      <c r="E8847" s="5">
        <v>0</v>
      </c>
      <c r="F8847" s="5" t="s">
        <v>9</v>
      </c>
      <c r="G8847" s="15" t="s">
        <v>8</v>
      </c>
      <c r="H8847" s="24">
        <v>1.9999999960418791</v>
      </c>
      <c r="I8847" s="24">
        <v>1.9999999960418791</v>
      </c>
      <c r="J8847" s="24" t="s">
        <v>21</v>
      </c>
      <c r="K8847" s="24" t="s">
        <v>21</v>
      </c>
      <c r="L8847" s="24" t="s">
        <v>21</v>
      </c>
      <c r="M8847" s="24" t="s">
        <v>21</v>
      </c>
      <c r="N8847" s="24" t="s">
        <v>21</v>
      </c>
      <c r="O8847" s="24" t="s">
        <v>21</v>
      </c>
      <c r="P8847" s="24" t="s">
        <v>21</v>
      </c>
      <c r="Q8847" s="24" t="s">
        <v>21</v>
      </c>
      <c r="R8847" s="24" t="s">
        <v>21</v>
      </c>
      <c r="S8847" s="24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5">
        <v>0</v>
      </c>
      <c r="E8848" s="5">
        <v>4</v>
      </c>
      <c r="F8848" s="5" t="s">
        <v>9</v>
      </c>
      <c r="G8848" s="15" t="s">
        <v>8</v>
      </c>
      <c r="H8848" s="24">
        <v>1.000000003259629</v>
      </c>
      <c r="I8848" s="24">
        <v>1.000000003259629</v>
      </c>
      <c r="J8848" s="24" t="s">
        <v>21</v>
      </c>
      <c r="K8848" s="24" t="s">
        <v>21</v>
      </c>
      <c r="L8848" s="24" t="s">
        <v>21</v>
      </c>
      <c r="M8848" s="24" t="s">
        <v>21</v>
      </c>
      <c r="N8848" s="24" t="s">
        <v>21</v>
      </c>
      <c r="O8848" s="24" t="s">
        <v>21</v>
      </c>
      <c r="P8848" s="24" t="s">
        <v>21</v>
      </c>
      <c r="Q8848" s="24" t="s">
        <v>21</v>
      </c>
      <c r="R8848" s="24" t="s">
        <v>21</v>
      </c>
      <c r="S8848" s="24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5">
        <v>0</v>
      </c>
      <c r="E8849" s="5">
        <v>5</v>
      </c>
      <c r="F8849" s="5" t="s">
        <v>9</v>
      </c>
      <c r="G8849" s="15" t="s">
        <v>8</v>
      </c>
      <c r="H8849" s="24">
        <v>0</v>
      </c>
      <c r="I8849" s="24">
        <v>0</v>
      </c>
      <c r="J8849" s="24" t="s">
        <v>21</v>
      </c>
      <c r="K8849" s="24" t="s">
        <v>21</v>
      </c>
      <c r="L8849" s="24" t="s">
        <v>21</v>
      </c>
      <c r="M8849" s="24" t="s">
        <v>21</v>
      </c>
      <c r="N8849" s="24" t="s">
        <v>21</v>
      </c>
      <c r="O8849" s="24" t="s">
        <v>21</v>
      </c>
      <c r="P8849" s="24" t="s">
        <v>21</v>
      </c>
      <c r="Q8849" s="24" t="s">
        <v>21</v>
      </c>
      <c r="R8849" s="24" t="s">
        <v>21</v>
      </c>
      <c r="S8849" s="24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5">
        <v>0</v>
      </c>
      <c r="E8850" s="5">
        <v>5</v>
      </c>
      <c r="F8850" s="5" t="s">
        <v>9</v>
      </c>
      <c r="G8850" s="15" t="s">
        <v>8</v>
      </c>
      <c r="H8850" s="24">
        <v>1.000000003259629</v>
      </c>
      <c r="I8850" s="24">
        <v>1.000000003259629</v>
      </c>
      <c r="J8850" s="24" t="s">
        <v>21</v>
      </c>
      <c r="K8850" s="24" t="s">
        <v>21</v>
      </c>
      <c r="L8850" s="24" t="s">
        <v>21</v>
      </c>
      <c r="M8850" s="24" t="s">
        <v>21</v>
      </c>
      <c r="N8850" s="24" t="s">
        <v>21</v>
      </c>
      <c r="O8850" s="24" t="s">
        <v>21</v>
      </c>
      <c r="P8850" s="24" t="s">
        <v>21</v>
      </c>
      <c r="Q8850" s="24" t="s">
        <v>21</v>
      </c>
      <c r="R8850" s="24" t="s">
        <v>21</v>
      </c>
      <c r="S8850" s="24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5">
        <v>0</v>
      </c>
      <c r="E8851" s="5">
        <v>2</v>
      </c>
      <c r="F8851" s="5" t="s">
        <v>9</v>
      </c>
      <c r="G8851" s="15" t="s">
        <v>8</v>
      </c>
      <c r="H8851" s="24">
        <v>0.99999999278225005</v>
      </c>
      <c r="I8851" s="24">
        <v>0.99999999278225005</v>
      </c>
      <c r="J8851" s="24" t="s">
        <v>21</v>
      </c>
      <c r="K8851" s="24" t="s">
        <v>21</v>
      </c>
      <c r="L8851" s="24" t="s">
        <v>21</v>
      </c>
      <c r="M8851" s="24" t="s">
        <v>21</v>
      </c>
      <c r="N8851" s="24" t="s">
        <v>21</v>
      </c>
      <c r="O8851" s="24" t="s">
        <v>21</v>
      </c>
      <c r="P8851" s="24" t="s">
        <v>21</v>
      </c>
      <c r="Q8851" s="24" t="s">
        <v>21</v>
      </c>
      <c r="R8851" s="24" t="s">
        <v>21</v>
      </c>
      <c r="S8851" s="24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5">
        <v>0</v>
      </c>
      <c r="E8852" s="5">
        <v>3</v>
      </c>
      <c r="F8852" s="5" t="s">
        <v>9</v>
      </c>
      <c r="G8852" s="15" t="s">
        <v>8</v>
      </c>
      <c r="H8852" s="24">
        <v>1.000000003259629</v>
      </c>
      <c r="I8852" s="24">
        <v>1.000000003259629</v>
      </c>
      <c r="J8852" s="24" t="s">
        <v>21</v>
      </c>
      <c r="K8852" s="24" t="s">
        <v>21</v>
      </c>
      <c r="L8852" s="24" t="s">
        <v>21</v>
      </c>
      <c r="M8852" s="24" t="s">
        <v>21</v>
      </c>
      <c r="N8852" s="24" t="s">
        <v>21</v>
      </c>
      <c r="O8852" s="24" t="s">
        <v>21</v>
      </c>
      <c r="P8852" s="24" t="s">
        <v>21</v>
      </c>
      <c r="Q8852" s="24" t="s">
        <v>21</v>
      </c>
      <c r="R8852" s="24" t="s">
        <v>21</v>
      </c>
      <c r="S8852" s="24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5">
        <v>0</v>
      </c>
      <c r="E8853" s="5">
        <v>2</v>
      </c>
      <c r="F8853" s="5" t="s">
        <v>9</v>
      </c>
      <c r="G8853" s="15" t="s">
        <v>8</v>
      </c>
      <c r="H8853" s="24">
        <v>0</v>
      </c>
      <c r="I8853" s="24">
        <v>0</v>
      </c>
      <c r="J8853" s="24" t="s">
        <v>21</v>
      </c>
      <c r="K8853" s="24" t="s">
        <v>21</v>
      </c>
      <c r="L8853" s="24" t="s">
        <v>21</v>
      </c>
      <c r="M8853" s="24" t="s">
        <v>21</v>
      </c>
      <c r="N8853" s="24" t="s">
        <v>21</v>
      </c>
      <c r="O8853" s="24" t="s">
        <v>21</v>
      </c>
      <c r="P8853" s="24" t="s">
        <v>21</v>
      </c>
      <c r="Q8853" s="24" t="s">
        <v>21</v>
      </c>
      <c r="R8853" s="24" t="s">
        <v>21</v>
      </c>
      <c r="S8853" s="24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5">
        <v>0</v>
      </c>
      <c r="E8854" s="5">
        <v>1</v>
      </c>
      <c r="F8854" s="5" t="s">
        <v>9</v>
      </c>
      <c r="G8854" s="15" t="s">
        <v>8</v>
      </c>
      <c r="H8854" s="24">
        <v>1.9999999960418791</v>
      </c>
      <c r="I8854" s="24">
        <v>1.9999999960418791</v>
      </c>
      <c r="J8854" s="24" t="s">
        <v>21</v>
      </c>
      <c r="K8854" s="24" t="s">
        <v>21</v>
      </c>
      <c r="L8854" s="24" t="s">
        <v>21</v>
      </c>
      <c r="M8854" s="24" t="s">
        <v>21</v>
      </c>
      <c r="N8854" s="24" t="s">
        <v>21</v>
      </c>
      <c r="O8854" s="24" t="s">
        <v>21</v>
      </c>
      <c r="P8854" s="24" t="s">
        <v>21</v>
      </c>
      <c r="Q8854" s="24" t="s">
        <v>21</v>
      </c>
      <c r="R8854" s="24" t="s">
        <v>21</v>
      </c>
      <c r="S8854" s="24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5">
        <v>0</v>
      </c>
      <c r="E8855" s="5">
        <v>1</v>
      </c>
      <c r="F8855" s="5" t="s">
        <v>9</v>
      </c>
      <c r="G8855" s="15" t="s">
        <v>8</v>
      </c>
      <c r="H8855" s="24">
        <v>0</v>
      </c>
      <c r="I8855" s="24">
        <v>0</v>
      </c>
      <c r="J8855" s="24" t="s">
        <v>21</v>
      </c>
      <c r="K8855" s="24" t="s">
        <v>21</v>
      </c>
      <c r="L8855" s="24" t="s">
        <v>21</v>
      </c>
      <c r="M8855" s="24" t="s">
        <v>21</v>
      </c>
      <c r="N8855" s="24" t="s">
        <v>21</v>
      </c>
      <c r="O8855" s="24" t="s">
        <v>21</v>
      </c>
      <c r="P8855" s="24" t="s">
        <v>21</v>
      </c>
      <c r="Q8855" s="24" t="s">
        <v>21</v>
      </c>
      <c r="R8855" s="24" t="s">
        <v>21</v>
      </c>
      <c r="S8855" s="24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5">
        <v>0</v>
      </c>
      <c r="E8856" s="5">
        <v>3</v>
      </c>
      <c r="F8856" s="5" t="s">
        <v>9</v>
      </c>
      <c r="G8856" s="15" t="s">
        <v>8</v>
      </c>
      <c r="H8856" s="24">
        <v>1.000000003259629</v>
      </c>
      <c r="I8856" s="24">
        <v>1.000000003259629</v>
      </c>
      <c r="J8856" s="24" t="s">
        <v>21</v>
      </c>
      <c r="K8856" s="24" t="s">
        <v>21</v>
      </c>
      <c r="L8856" s="24" t="s">
        <v>21</v>
      </c>
      <c r="M8856" s="24" t="s">
        <v>21</v>
      </c>
      <c r="N8856" s="24" t="s">
        <v>21</v>
      </c>
      <c r="O8856" s="24" t="s">
        <v>21</v>
      </c>
      <c r="P8856" s="24" t="s">
        <v>21</v>
      </c>
      <c r="Q8856" s="24" t="s">
        <v>21</v>
      </c>
      <c r="R8856" s="24" t="s">
        <v>21</v>
      </c>
      <c r="S8856" s="24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5">
        <v>0</v>
      </c>
      <c r="E8857" s="5">
        <v>2</v>
      </c>
      <c r="F8857" s="5" t="s">
        <v>9</v>
      </c>
      <c r="G8857" s="15" t="s">
        <v>8</v>
      </c>
      <c r="H8857" s="24">
        <v>0</v>
      </c>
      <c r="I8857" s="24">
        <v>0</v>
      </c>
      <c r="J8857" s="24" t="s">
        <v>21</v>
      </c>
      <c r="K8857" s="24" t="s">
        <v>21</v>
      </c>
      <c r="L8857" s="24" t="s">
        <v>21</v>
      </c>
      <c r="M8857" s="24" t="s">
        <v>21</v>
      </c>
      <c r="N8857" s="24" t="s">
        <v>21</v>
      </c>
      <c r="O8857" s="24" t="s">
        <v>21</v>
      </c>
      <c r="P8857" s="24" t="s">
        <v>21</v>
      </c>
      <c r="Q8857" s="24" t="s">
        <v>21</v>
      </c>
      <c r="R8857" s="24" t="s">
        <v>21</v>
      </c>
      <c r="S8857" s="24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5">
        <v>0</v>
      </c>
      <c r="E8858" s="5">
        <v>4</v>
      </c>
      <c r="F8858" s="5" t="s">
        <v>9</v>
      </c>
      <c r="G8858" s="15" t="s">
        <v>8</v>
      </c>
      <c r="H8858" s="24">
        <v>1.000000003259629</v>
      </c>
      <c r="I8858" s="24">
        <v>1.000000003259629</v>
      </c>
      <c r="J8858" s="24" t="s">
        <v>21</v>
      </c>
      <c r="K8858" s="24" t="s">
        <v>21</v>
      </c>
      <c r="L8858" s="24" t="s">
        <v>21</v>
      </c>
      <c r="M8858" s="24" t="s">
        <v>21</v>
      </c>
      <c r="N8858" s="24" t="s">
        <v>21</v>
      </c>
      <c r="O8858" s="24" t="s">
        <v>21</v>
      </c>
      <c r="P8858" s="24" t="s">
        <v>21</v>
      </c>
      <c r="Q8858" s="24" t="s">
        <v>21</v>
      </c>
      <c r="R8858" s="24" t="s">
        <v>21</v>
      </c>
      <c r="S8858" s="24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7">
        <v>0</v>
      </c>
      <c r="E8859" s="7">
        <v>3</v>
      </c>
      <c r="F8859" s="7" t="s">
        <v>9</v>
      </c>
      <c r="G8859" s="16" t="s">
        <v>8</v>
      </c>
      <c r="H8859" s="25">
        <v>0</v>
      </c>
      <c r="I8859" s="25">
        <v>0</v>
      </c>
      <c r="J8859" s="25" t="s">
        <v>21</v>
      </c>
      <c r="K8859" s="25" t="s">
        <v>21</v>
      </c>
      <c r="L8859" s="25" t="s">
        <v>21</v>
      </c>
      <c r="M8859" s="25" t="s">
        <v>21</v>
      </c>
      <c r="N8859" s="25" t="s">
        <v>21</v>
      </c>
      <c r="O8859" s="25" t="s">
        <v>21</v>
      </c>
      <c r="P8859" s="25" t="s">
        <v>21</v>
      </c>
      <c r="Q8859" s="25" t="s">
        <v>21</v>
      </c>
      <c r="R8859" s="25" t="s">
        <v>21</v>
      </c>
      <c r="S8859" s="25" t="s">
        <v>21</v>
      </c>
    </row>
    <row r="8860" spans="1:19" x14ac:dyDescent="0.2">
      <c r="A8860" s="12">
        <v>46038</v>
      </c>
      <c r="B8860" s="5" t="str">
        <f t="shared" ref="A8860:C8860" si="1411">B8859</f>
        <v>Northern Cardinal</v>
      </c>
      <c r="C8860" s="6">
        <v>0.29166666666666669</v>
      </c>
      <c r="D8860" s="5"/>
      <c r="E8860" s="5"/>
      <c r="F8860" s="5" t="s">
        <v>9</v>
      </c>
      <c r="G8860" s="15" t="s">
        <v>8</v>
      </c>
      <c r="H8860" s="24">
        <f t="shared" ref="H8809:H8929" si="1412">IFERROR((($A8860+$C8860) - ($A8859+$C8859))*24*60, "")</f>
        <v>772.9999999946449</v>
      </c>
      <c r="I8860" s="24" cm="1">
        <f t="array" ref="I8860">IFERROR(IF($B8860=I$1, ($A8860+$C8860) - MAX(IF($B$2:$B8859=$B8860, $A$2:$A8859+$C$2:$C8859)), "")*24*60, "")</f>
        <v>772.9999999946449</v>
      </c>
      <c r="J8860" s="24" t="str" cm="1">
        <f t="array" ref="J8860">IFERROR(IF($B8860=J$1, ($A8860+$C8860) - MAX(IF($B$2:$B8859=$B8860, $A$2:$A8859+$C$2:$C8859)), "")*24*60, "")</f>
        <v/>
      </c>
      <c r="K8860" s="24" t="str" cm="1">
        <f t="array" ref="K8860">IFERROR(IF($B8860=K$1, ($A8860+$C8860) - MAX(IF($B$2:$B8859=$B8860, $A$2:$A8859+$C$2:$C8859)), "")*24*60, "")</f>
        <v/>
      </c>
      <c r="L8860" s="24" t="str" cm="1">
        <f t="array" ref="L8860">IFERROR(IF($B8860=L$1, ($A8860+$C8860) - MAX(IF($B$2:$B8859=$B8860, $A$2:$A8859+$C$2:$C8859)), "")*24*60, "")</f>
        <v/>
      </c>
      <c r="M8860" s="24" t="str" cm="1">
        <f t="array" ref="M8860">IFERROR(IF($B8860=M$1, ($A8860+$C8860) - MAX(IF($B$2:$B8859=$B8860, $A$2:$A8859+$C$2:$C8859)), "")*24*60, "")</f>
        <v/>
      </c>
      <c r="N8860" s="24" t="str" cm="1">
        <f t="array" ref="N8860">IFERROR(IF($B8860=N$1, ($A8860+$C8860) - MAX(IF($B$2:$B8859=$B8860, $A$2:$A8859+$C$2:$C8859)), "")*24*60, "")</f>
        <v/>
      </c>
      <c r="O8860" s="24" t="str" cm="1">
        <f t="array" ref="O8860">IFERROR(IF($B8860=O$1, ($A8860+$C8860) - MAX(IF($B$2:$B8859=$B8860, $A$2:$A8859+$C$2:$C8859)), "")*24*60, "")</f>
        <v/>
      </c>
      <c r="P8860" s="24" t="str" cm="1">
        <f t="array" ref="P8860">IFERROR(IF($B8860=P$1, ($A8860+$C8860) - MAX(IF($B$2:$B8859=$B8860, $A$2:$A8859+$C$2:$C8859)), "")*24*60, "")</f>
        <v/>
      </c>
      <c r="Q8860" s="24" t="str" cm="1">
        <f t="array" ref="Q8860">IFERROR(IF($B8860=Q$1, ($A8860+$C8860) - MAX(IF($B$2:$B8859=$B8860, $A$2:$A8859+$C$2:$C8859)), "")*24*60, "")</f>
        <v/>
      </c>
      <c r="R8860" s="24" t="str" cm="1">
        <f t="array" ref="R8860">IFERROR(IF($B8860=R$1, ($A8860+$C8860) - MAX(IF($B$2:$B8859=$B8860, $A$2:$A8859+$C$2:$C8859)), "")*24*60, "")</f>
        <v/>
      </c>
      <c r="S8860" s="24" t="str" cm="1">
        <f t="array" ref="S8860">IFERROR(IF($B8860=S$1, ($A8860+$C8860) - MAX(IF($B$2:$B8859=$B8860, $A$2:$A8859+$C$2:$C8859)), "")*24*60, "")</f>
        <v/>
      </c>
    </row>
    <row r="8861" spans="1:19" x14ac:dyDescent="0.2">
      <c r="A8861" s="12">
        <f t="shared" ref="A8861:C8861" si="1413">A8860</f>
        <v>46038</v>
      </c>
      <c r="B8861" s="5" t="str">
        <f t="shared" si="1413"/>
        <v>Northern Cardinal</v>
      </c>
      <c r="C8861" s="6">
        <f t="shared" si="1413"/>
        <v>0.29166666666666669</v>
      </c>
      <c r="D8861" s="5"/>
      <c r="E8861" s="5"/>
      <c r="F8861" s="5" t="s">
        <v>9</v>
      </c>
      <c r="G8861" s="15" t="s">
        <v>8</v>
      </c>
      <c r="H8861" s="24">
        <f t="shared" si="1412"/>
        <v>0</v>
      </c>
      <c r="I8861" s="24" cm="1">
        <f t="array" ref="I8861">IFERROR(IF($B8861=I$1, ($A8861+$C8861) - MAX(IF($B$2:$B8860=$B8861, $A$2:$A8860+$C$2:$C8860)), "")*24*60, "")</f>
        <v>0</v>
      </c>
      <c r="J8861" s="24" t="str" cm="1">
        <f t="array" ref="J8861">IFERROR(IF($B8861=J$1, ($A8861+$C8861) - MAX(IF($B$2:$B8860=$B8861, $A$2:$A8860+$C$2:$C8860)), "")*24*60, "")</f>
        <v/>
      </c>
      <c r="K8861" s="24" t="str" cm="1">
        <f t="array" ref="K8861">IFERROR(IF($B8861=K$1, ($A8861+$C8861) - MAX(IF($B$2:$B8860=$B8861, $A$2:$A8860+$C$2:$C8860)), "")*24*60, "")</f>
        <v/>
      </c>
      <c r="L8861" s="24" t="str" cm="1">
        <f t="array" ref="L8861">IFERROR(IF($B8861=L$1, ($A8861+$C8861) - MAX(IF($B$2:$B8860=$B8861, $A$2:$A8860+$C$2:$C8860)), "")*24*60, "")</f>
        <v/>
      </c>
      <c r="M8861" s="24" t="str" cm="1">
        <f t="array" ref="M8861">IFERROR(IF($B8861=M$1, ($A8861+$C8861) - MAX(IF($B$2:$B8860=$B8861, $A$2:$A8860+$C$2:$C8860)), "")*24*60, "")</f>
        <v/>
      </c>
      <c r="N8861" s="24" t="str" cm="1">
        <f t="array" ref="N8861">IFERROR(IF($B8861=N$1, ($A8861+$C8861) - MAX(IF($B$2:$B8860=$B8861, $A$2:$A8860+$C$2:$C8860)), "")*24*60, "")</f>
        <v/>
      </c>
      <c r="O8861" s="24" t="str" cm="1">
        <f t="array" ref="O8861">IFERROR(IF($B8861=O$1, ($A8861+$C8861) - MAX(IF($B$2:$B8860=$B8861, $A$2:$A8860+$C$2:$C8860)), "")*24*60, "")</f>
        <v/>
      </c>
      <c r="P8861" s="24" t="str" cm="1">
        <f t="array" ref="P8861">IFERROR(IF($B8861=P$1, ($A8861+$C8861) - MAX(IF($B$2:$B8860=$B8861, $A$2:$A8860+$C$2:$C8860)), "")*24*60, "")</f>
        <v/>
      </c>
      <c r="Q8861" s="24" t="str" cm="1">
        <f t="array" ref="Q8861">IFERROR(IF($B8861=Q$1, ($A8861+$C8861) - MAX(IF($B$2:$B8860=$B8861, $A$2:$A8860+$C$2:$C8860)), "")*24*60, "")</f>
        <v/>
      </c>
      <c r="R8861" s="24" t="str" cm="1">
        <f t="array" ref="R8861">IFERROR(IF($B8861=R$1, ($A8861+$C8861) - MAX(IF($B$2:$B8860=$B8861, $A$2:$A8860+$C$2:$C8860)), "")*24*60, "")</f>
        <v/>
      </c>
      <c r="S8861" s="24" t="str" cm="1">
        <f t="array" ref="S8861">IFERROR(IF($B8861=S$1, ($A8861+$C8861) - MAX(IF($B$2:$B8860=$B8861, $A$2:$A8860+$C$2:$C8860)), "")*24*60, "")</f>
        <v/>
      </c>
    </row>
    <row r="8862" spans="1:19" x14ac:dyDescent="0.2">
      <c r="A8862" s="12">
        <f t="shared" ref="A8862:C8862" si="1414">A8861</f>
        <v>46038</v>
      </c>
      <c r="B8862" s="5" t="str">
        <f t="shared" si="1414"/>
        <v>Northern Cardinal</v>
      </c>
      <c r="C8862" s="6">
        <f t="shared" si="1414"/>
        <v>0.29166666666666669</v>
      </c>
      <c r="D8862" s="5"/>
      <c r="E8862" s="5"/>
      <c r="F8862" s="5" t="s">
        <v>9</v>
      </c>
      <c r="G8862" s="15" t="s">
        <v>8</v>
      </c>
      <c r="H8862" s="24">
        <f t="shared" si="1412"/>
        <v>0</v>
      </c>
      <c r="I8862" s="24" cm="1">
        <f t="array" ref="I8862">IFERROR(IF($B8862=I$1, ($A8862+$C8862) - MAX(IF($B$2:$B8861=$B8862, $A$2:$A8861+$C$2:$C8861)), "")*24*60, "")</f>
        <v>0</v>
      </c>
      <c r="J8862" s="24" t="str" cm="1">
        <f t="array" ref="J8862">IFERROR(IF($B8862=J$1, ($A8862+$C8862) - MAX(IF($B$2:$B8861=$B8862, $A$2:$A8861+$C$2:$C8861)), "")*24*60, "")</f>
        <v/>
      </c>
      <c r="K8862" s="24" t="str" cm="1">
        <f t="array" ref="K8862">IFERROR(IF($B8862=K$1, ($A8862+$C8862) - MAX(IF($B$2:$B8861=$B8862, $A$2:$A8861+$C$2:$C8861)), "")*24*60, "")</f>
        <v/>
      </c>
      <c r="L8862" s="24" t="str" cm="1">
        <f t="array" ref="L8862">IFERROR(IF($B8862=L$1, ($A8862+$C8862) - MAX(IF($B$2:$B8861=$B8862, $A$2:$A8861+$C$2:$C8861)), "")*24*60, "")</f>
        <v/>
      </c>
      <c r="M8862" s="24" t="str" cm="1">
        <f t="array" ref="M8862">IFERROR(IF($B8862=M$1, ($A8862+$C8862) - MAX(IF($B$2:$B8861=$B8862, $A$2:$A8861+$C$2:$C8861)), "")*24*60, "")</f>
        <v/>
      </c>
      <c r="N8862" s="24" t="str" cm="1">
        <f t="array" ref="N8862">IFERROR(IF($B8862=N$1, ($A8862+$C8862) - MAX(IF($B$2:$B8861=$B8862, $A$2:$A8861+$C$2:$C8861)), "")*24*60, "")</f>
        <v/>
      </c>
      <c r="O8862" s="24" t="str" cm="1">
        <f t="array" ref="O8862">IFERROR(IF($B8862=O$1, ($A8862+$C8862) - MAX(IF($B$2:$B8861=$B8862, $A$2:$A8861+$C$2:$C8861)), "")*24*60, "")</f>
        <v/>
      </c>
      <c r="P8862" s="24" t="str" cm="1">
        <f t="array" ref="P8862">IFERROR(IF($B8862=P$1, ($A8862+$C8862) - MAX(IF($B$2:$B8861=$B8862, $A$2:$A8861+$C$2:$C8861)), "")*24*60, "")</f>
        <v/>
      </c>
      <c r="Q8862" s="24" t="str" cm="1">
        <f t="array" ref="Q8862">IFERROR(IF($B8862=Q$1, ($A8862+$C8862) - MAX(IF($B$2:$B8861=$B8862, $A$2:$A8861+$C$2:$C8861)), "")*24*60, "")</f>
        <v/>
      </c>
      <c r="R8862" s="24" t="str" cm="1">
        <f t="array" ref="R8862">IFERROR(IF($B8862=R$1, ($A8862+$C8862) - MAX(IF($B$2:$B8861=$B8862, $A$2:$A8861+$C$2:$C8861)), "")*24*60, "")</f>
        <v/>
      </c>
      <c r="S8862" s="24" t="str" cm="1">
        <f t="array" ref="S8862">IFERROR(IF($B8862=S$1, ($A8862+$C8862) - MAX(IF($B$2:$B8861=$B8862, $A$2:$A8861+$C$2:$C8861)), "")*24*60, "")</f>
        <v/>
      </c>
    </row>
    <row r="8863" spans="1:19" x14ac:dyDescent="0.2">
      <c r="A8863" s="12">
        <f t="shared" ref="A8863:C8863" si="1415">A8862</f>
        <v>46038</v>
      </c>
      <c r="B8863" s="5" t="str">
        <f t="shared" si="1415"/>
        <v>Northern Cardinal</v>
      </c>
      <c r="C8863" s="6">
        <f t="shared" si="1415"/>
        <v>0.29166666666666669</v>
      </c>
      <c r="D8863" s="5"/>
      <c r="E8863" s="5"/>
      <c r="F8863" s="5" t="s">
        <v>9</v>
      </c>
      <c r="G8863" s="15" t="s">
        <v>8</v>
      </c>
      <c r="H8863" s="24">
        <f t="shared" si="1412"/>
        <v>0</v>
      </c>
      <c r="I8863" s="24" cm="1">
        <f t="array" ref="I8863">IFERROR(IF($B8863=I$1, ($A8863+$C8863) - MAX(IF($B$2:$B8862=$B8863, $A$2:$A8862+$C$2:$C8862)), "")*24*60, "")</f>
        <v>0</v>
      </c>
      <c r="J8863" s="24" t="str" cm="1">
        <f t="array" ref="J8863">IFERROR(IF($B8863=J$1, ($A8863+$C8863) - MAX(IF($B$2:$B8862=$B8863, $A$2:$A8862+$C$2:$C8862)), "")*24*60, "")</f>
        <v/>
      </c>
      <c r="K8863" s="24" t="str" cm="1">
        <f t="array" ref="K8863">IFERROR(IF($B8863=K$1, ($A8863+$C8863) - MAX(IF($B$2:$B8862=$B8863, $A$2:$A8862+$C$2:$C8862)), "")*24*60, "")</f>
        <v/>
      </c>
      <c r="L8863" s="24" t="str" cm="1">
        <f t="array" ref="L8863">IFERROR(IF($B8863=L$1, ($A8863+$C8863) - MAX(IF($B$2:$B8862=$B8863, $A$2:$A8862+$C$2:$C8862)), "")*24*60, "")</f>
        <v/>
      </c>
      <c r="M8863" s="24" t="str" cm="1">
        <f t="array" ref="M8863">IFERROR(IF($B8863=M$1, ($A8863+$C8863) - MAX(IF($B$2:$B8862=$B8863, $A$2:$A8862+$C$2:$C8862)), "")*24*60, "")</f>
        <v/>
      </c>
      <c r="N8863" s="24" t="str" cm="1">
        <f t="array" ref="N8863">IFERROR(IF($B8863=N$1, ($A8863+$C8863) - MAX(IF($B$2:$B8862=$B8863, $A$2:$A8862+$C$2:$C8862)), "")*24*60, "")</f>
        <v/>
      </c>
      <c r="O8863" s="24" t="str" cm="1">
        <f t="array" ref="O8863">IFERROR(IF($B8863=O$1, ($A8863+$C8863) - MAX(IF($B$2:$B8862=$B8863, $A$2:$A8862+$C$2:$C8862)), "")*24*60, "")</f>
        <v/>
      </c>
      <c r="P8863" s="24" t="str" cm="1">
        <f t="array" ref="P8863">IFERROR(IF($B8863=P$1, ($A8863+$C8863) - MAX(IF($B$2:$B8862=$B8863, $A$2:$A8862+$C$2:$C8862)), "")*24*60, "")</f>
        <v/>
      </c>
      <c r="Q8863" s="24" t="str" cm="1">
        <f t="array" ref="Q8863">IFERROR(IF($B8863=Q$1, ($A8863+$C8863) - MAX(IF($B$2:$B8862=$B8863, $A$2:$A8862+$C$2:$C8862)), "")*24*60, "")</f>
        <v/>
      </c>
      <c r="R8863" s="24" t="str" cm="1">
        <f t="array" ref="R8863">IFERROR(IF($B8863=R$1, ($A8863+$C8863) - MAX(IF($B$2:$B8862=$B8863, $A$2:$A8862+$C$2:$C8862)), "")*24*60, "")</f>
        <v/>
      </c>
      <c r="S8863" s="24" t="str" cm="1">
        <f t="array" ref="S8863">IFERROR(IF($B8863=S$1, ($A8863+$C8863) - MAX(IF($B$2:$B8862=$B8863, $A$2:$A8862+$C$2:$C8862)), "")*24*60, "")</f>
        <v/>
      </c>
    </row>
    <row r="8864" spans="1:19" x14ac:dyDescent="0.2">
      <c r="A8864" s="12">
        <f t="shared" ref="A8864:C8864" si="1416">A8863</f>
        <v>46038</v>
      </c>
      <c r="B8864" s="5" t="str">
        <f t="shared" si="1416"/>
        <v>Northern Cardinal</v>
      </c>
      <c r="C8864" s="6">
        <f t="shared" si="1416"/>
        <v>0.29166666666666669</v>
      </c>
      <c r="D8864" s="5"/>
      <c r="E8864" s="5"/>
      <c r="F8864" s="5" t="s">
        <v>9</v>
      </c>
      <c r="G8864" s="15" t="s">
        <v>8</v>
      </c>
      <c r="H8864" s="24">
        <f t="shared" si="1412"/>
        <v>0</v>
      </c>
      <c r="I8864" s="24" cm="1">
        <f t="array" ref="I8864">IFERROR(IF($B8864=I$1, ($A8864+$C8864) - MAX(IF($B$2:$B8863=$B8864, $A$2:$A8863+$C$2:$C8863)), "")*24*60, "")</f>
        <v>0</v>
      </c>
      <c r="J8864" s="24" t="str" cm="1">
        <f t="array" ref="J8864">IFERROR(IF($B8864=J$1, ($A8864+$C8864) - MAX(IF($B$2:$B8863=$B8864, $A$2:$A8863+$C$2:$C8863)), "")*24*60, "")</f>
        <v/>
      </c>
      <c r="K8864" s="24" t="str" cm="1">
        <f t="array" ref="K8864">IFERROR(IF($B8864=K$1, ($A8864+$C8864) - MAX(IF($B$2:$B8863=$B8864, $A$2:$A8863+$C$2:$C8863)), "")*24*60, "")</f>
        <v/>
      </c>
      <c r="L8864" s="24" t="str" cm="1">
        <f t="array" ref="L8864">IFERROR(IF($B8864=L$1, ($A8864+$C8864) - MAX(IF($B$2:$B8863=$B8864, $A$2:$A8863+$C$2:$C8863)), "")*24*60, "")</f>
        <v/>
      </c>
      <c r="M8864" s="24" t="str" cm="1">
        <f t="array" ref="M8864">IFERROR(IF($B8864=M$1, ($A8864+$C8864) - MAX(IF($B$2:$B8863=$B8864, $A$2:$A8863+$C$2:$C8863)), "")*24*60, "")</f>
        <v/>
      </c>
      <c r="N8864" s="24" t="str" cm="1">
        <f t="array" ref="N8864">IFERROR(IF($B8864=N$1, ($A8864+$C8864) - MAX(IF($B$2:$B8863=$B8864, $A$2:$A8863+$C$2:$C8863)), "")*24*60, "")</f>
        <v/>
      </c>
      <c r="O8864" s="24" t="str" cm="1">
        <f t="array" ref="O8864">IFERROR(IF($B8864=O$1, ($A8864+$C8864) - MAX(IF($B$2:$B8863=$B8864, $A$2:$A8863+$C$2:$C8863)), "")*24*60, "")</f>
        <v/>
      </c>
      <c r="P8864" s="24" t="str" cm="1">
        <f t="array" ref="P8864">IFERROR(IF($B8864=P$1, ($A8864+$C8864) - MAX(IF($B$2:$B8863=$B8864, $A$2:$A8863+$C$2:$C8863)), "")*24*60, "")</f>
        <v/>
      </c>
      <c r="Q8864" s="24" t="str" cm="1">
        <f t="array" ref="Q8864">IFERROR(IF($B8864=Q$1, ($A8864+$C8864) - MAX(IF($B$2:$B8863=$B8864, $A$2:$A8863+$C$2:$C8863)), "")*24*60, "")</f>
        <v/>
      </c>
      <c r="R8864" s="24" t="str" cm="1">
        <f t="array" ref="R8864">IFERROR(IF($B8864=R$1, ($A8864+$C8864) - MAX(IF($B$2:$B8863=$B8864, $A$2:$A8863+$C$2:$C8863)), "")*24*60, "")</f>
        <v/>
      </c>
      <c r="S8864" s="24" t="str" cm="1">
        <f t="array" ref="S8864">IFERROR(IF($B8864=S$1, ($A8864+$C8864) - MAX(IF($B$2:$B8863=$B8864, $A$2:$A8863+$C$2:$C8863)), "")*24*60, "")</f>
        <v/>
      </c>
    </row>
    <row r="8865" spans="1:19" x14ac:dyDescent="0.2">
      <c r="A8865" s="12">
        <f t="shared" ref="A8865:C8865" si="1417">A8864</f>
        <v>46038</v>
      </c>
      <c r="B8865" s="5" t="str">
        <f t="shared" si="1417"/>
        <v>Northern Cardinal</v>
      </c>
      <c r="C8865" s="6">
        <f t="shared" si="1417"/>
        <v>0.29166666666666669</v>
      </c>
      <c r="D8865" s="5"/>
      <c r="E8865" s="5"/>
      <c r="F8865" s="5" t="s">
        <v>9</v>
      </c>
      <c r="G8865" s="15" t="s">
        <v>8</v>
      </c>
      <c r="H8865" s="24">
        <f t="shared" si="1412"/>
        <v>0</v>
      </c>
      <c r="I8865" s="24" cm="1">
        <f t="array" ref="I8865">IFERROR(IF($B8865=I$1, ($A8865+$C8865) - MAX(IF($B$2:$B8864=$B8865, $A$2:$A8864+$C$2:$C8864)), "")*24*60, "")</f>
        <v>0</v>
      </c>
      <c r="J8865" s="24" t="str" cm="1">
        <f t="array" ref="J8865">IFERROR(IF($B8865=J$1, ($A8865+$C8865) - MAX(IF($B$2:$B8864=$B8865, $A$2:$A8864+$C$2:$C8864)), "")*24*60, "")</f>
        <v/>
      </c>
      <c r="K8865" s="24" t="str" cm="1">
        <f t="array" ref="K8865">IFERROR(IF($B8865=K$1, ($A8865+$C8865) - MAX(IF($B$2:$B8864=$B8865, $A$2:$A8864+$C$2:$C8864)), "")*24*60, "")</f>
        <v/>
      </c>
      <c r="L8865" s="24" t="str" cm="1">
        <f t="array" ref="L8865">IFERROR(IF($B8865=L$1, ($A8865+$C8865) - MAX(IF($B$2:$B8864=$B8865, $A$2:$A8864+$C$2:$C8864)), "")*24*60, "")</f>
        <v/>
      </c>
      <c r="M8865" s="24" t="str" cm="1">
        <f t="array" ref="M8865">IFERROR(IF($B8865=M$1, ($A8865+$C8865) - MAX(IF($B$2:$B8864=$B8865, $A$2:$A8864+$C$2:$C8864)), "")*24*60, "")</f>
        <v/>
      </c>
      <c r="N8865" s="24" t="str" cm="1">
        <f t="array" ref="N8865">IFERROR(IF($B8865=N$1, ($A8865+$C8865) - MAX(IF($B$2:$B8864=$B8865, $A$2:$A8864+$C$2:$C8864)), "")*24*60, "")</f>
        <v/>
      </c>
      <c r="O8865" s="24" t="str" cm="1">
        <f t="array" ref="O8865">IFERROR(IF($B8865=O$1, ($A8865+$C8865) - MAX(IF($B$2:$B8864=$B8865, $A$2:$A8864+$C$2:$C8864)), "")*24*60, "")</f>
        <v/>
      </c>
      <c r="P8865" s="24" t="str" cm="1">
        <f t="array" ref="P8865">IFERROR(IF($B8865=P$1, ($A8865+$C8865) - MAX(IF($B$2:$B8864=$B8865, $A$2:$A8864+$C$2:$C8864)), "")*24*60, "")</f>
        <v/>
      </c>
      <c r="Q8865" s="24" t="str" cm="1">
        <f t="array" ref="Q8865">IFERROR(IF($B8865=Q$1, ($A8865+$C8865) - MAX(IF($B$2:$B8864=$B8865, $A$2:$A8864+$C$2:$C8864)), "")*24*60, "")</f>
        <v/>
      </c>
      <c r="R8865" s="24" t="str" cm="1">
        <f t="array" ref="R8865">IFERROR(IF($B8865=R$1, ($A8865+$C8865) - MAX(IF($B$2:$B8864=$B8865, $A$2:$A8864+$C$2:$C8864)), "")*24*60, "")</f>
        <v/>
      </c>
      <c r="S8865" s="24" t="str" cm="1">
        <f t="array" ref="S8865">IFERROR(IF($B8865=S$1, ($A8865+$C8865) - MAX(IF($B$2:$B8864=$B8865, $A$2:$A8864+$C$2:$C8864)), "")*24*60, "")</f>
        <v/>
      </c>
    </row>
    <row r="8866" spans="1:19" x14ac:dyDescent="0.2">
      <c r="A8866" s="12">
        <f t="shared" ref="A8866:C8866" si="1418">A8865</f>
        <v>46038</v>
      </c>
      <c r="B8866" s="5" t="str">
        <f t="shared" si="1418"/>
        <v>Northern Cardinal</v>
      </c>
      <c r="C8866" s="6">
        <f t="shared" si="1418"/>
        <v>0.29166666666666669</v>
      </c>
      <c r="D8866" s="5"/>
      <c r="E8866" s="5"/>
      <c r="F8866" s="5" t="s">
        <v>9</v>
      </c>
      <c r="G8866" s="15" t="s">
        <v>8</v>
      </c>
      <c r="H8866" s="24">
        <f t="shared" si="1412"/>
        <v>0</v>
      </c>
      <c r="I8866" s="24" cm="1">
        <f t="array" ref="I8866">IFERROR(IF($B8866=I$1, ($A8866+$C8866) - MAX(IF($B$2:$B8865=$B8866, $A$2:$A8865+$C$2:$C8865)), "")*24*60, "")</f>
        <v>0</v>
      </c>
      <c r="J8866" s="24" t="str" cm="1">
        <f t="array" ref="J8866">IFERROR(IF($B8866=J$1, ($A8866+$C8866) - MAX(IF($B$2:$B8865=$B8866, $A$2:$A8865+$C$2:$C8865)), "")*24*60, "")</f>
        <v/>
      </c>
      <c r="K8866" s="24" t="str" cm="1">
        <f t="array" ref="K8866">IFERROR(IF($B8866=K$1, ($A8866+$C8866) - MAX(IF($B$2:$B8865=$B8866, $A$2:$A8865+$C$2:$C8865)), "")*24*60, "")</f>
        <v/>
      </c>
      <c r="L8866" s="24" t="str" cm="1">
        <f t="array" ref="L8866">IFERROR(IF($B8866=L$1, ($A8866+$C8866) - MAX(IF($B$2:$B8865=$B8866, $A$2:$A8865+$C$2:$C8865)), "")*24*60, "")</f>
        <v/>
      </c>
      <c r="M8866" s="24" t="str" cm="1">
        <f t="array" ref="M8866">IFERROR(IF($B8866=M$1, ($A8866+$C8866) - MAX(IF($B$2:$B8865=$B8866, $A$2:$A8865+$C$2:$C8865)), "")*24*60, "")</f>
        <v/>
      </c>
      <c r="N8866" s="24" t="str" cm="1">
        <f t="array" ref="N8866">IFERROR(IF($B8866=N$1, ($A8866+$C8866) - MAX(IF($B$2:$B8865=$B8866, $A$2:$A8865+$C$2:$C8865)), "")*24*60, "")</f>
        <v/>
      </c>
      <c r="O8866" s="24" t="str" cm="1">
        <f t="array" ref="O8866">IFERROR(IF($B8866=O$1, ($A8866+$C8866) - MAX(IF($B$2:$B8865=$B8866, $A$2:$A8865+$C$2:$C8865)), "")*24*60, "")</f>
        <v/>
      </c>
      <c r="P8866" s="24" t="str" cm="1">
        <f t="array" ref="P8866">IFERROR(IF($B8866=P$1, ($A8866+$C8866) - MAX(IF($B$2:$B8865=$B8866, $A$2:$A8865+$C$2:$C8865)), "")*24*60, "")</f>
        <v/>
      </c>
      <c r="Q8866" s="24" t="str" cm="1">
        <f t="array" ref="Q8866">IFERROR(IF($B8866=Q$1, ($A8866+$C8866) - MAX(IF($B$2:$B8865=$B8866, $A$2:$A8865+$C$2:$C8865)), "")*24*60, "")</f>
        <v/>
      </c>
      <c r="R8866" s="24" t="str" cm="1">
        <f t="array" ref="R8866">IFERROR(IF($B8866=R$1, ($A8866+$C8866) - MAX(IF($B$2:$B8865=$B8866, $A$2:$A8865+$C$2:$C8865)), "")*24*60, "")</f>
        <v/>
      </c>
      <c r="S8866" s="24" t="str" cm="1">
        <f t="array" ref="S8866">IFERROR(IF($B8866=S$1, ($A8866+$C8866) - MAX(IF($B$2:$B8865=$B8866, $A$2:$A8865+$C$2:$C8865)), "")*24*60, "")</f>
        <v/>
      </c>
    </row>
    <row r="8867" spans="1:19" x14ac:dyDescent="0.2">
      <c r="A8867" s="12">
        <f t="shared" ref="A8867:C8867" si="1419">A8866</f>
        <v>46038</v>
      </c>
      <c r="B8867" s="5" t="str">
        <f t="shared" si="1419"/>
        <v>Northern Cardinal</v>
      </c>
      <c r="C8867" s="6">
        <f t="shared" si="1419"/>
        <v>0.29166666666666669</v>
      </c>
      <c r="D8867" s="5"/>
      <c r="E8867" s="5"/>
      <c r="F8867" s="5" t="s">
        <v>9</v>
      </c>
      <c r="G8867" s="15" t="s">
        <v>8</v>
      </c>
      <c r="H8867" s="24">
        <f t="shared" si="1412"/>
        <v>0</v>
      </c>
      <c r="I8867" s="24" cm="1">
        <f t="array" ref="I8867">IFERROR(IF($B8867=I$1, ($A8867+$C8867) - MAX(IF($B$2:$B8866=$B8867, $A$2:$A8866+$C$2:$C8866)), "")*24*60, "")</f>
        <v>0</v>
      </c>
      <c r="J8867" s="24" t="str" cm="1">
        <f t="array" ref="J8867">IFERROR(IF($B8867=J$1, ($A8867+$C8867) - MAX(IF($B$2:$B8866=$B8867, $A$2:$A8866+$C$2:$C8866)), "")*24*60, "")</f>
        <v/>
      </c>
      <c r="K8867" s="24" t="str" cm="1">
        <f t="array" ref="K8867">IFERROR(IF($B8867=K$1, ($A8867+$C8867) - MAX(IF($B$2:$B8866=$B8867, $A$2:$A8866+$C$2:$C8866)), "")*24*60, "")</f>
        <v/>
      </c>
      <c r="L8867" s="24" t="str" cm="1">
        <f t="array" ref="L8867">IFERROR(IF($B8867=L$1, ($A8867+$C8867) - MAX(IF($B$2:$B8866=$B8867, $A$2:$A8866+$C$2:$C8866)), "")*24*60, "")</f>
        <v/>
      </c>
      <c r="M8867" s="24" t="str" cm="1">
        <f t="array" ref="M8867">IFERROR(IF($B8867=M$1, ($A8867+$C8867) - MAX(IF($B$2:$B8866=$B8867, $A$2:$A8866+$C$2:$C8866)), "")*24*60, "")</f>
        <v/>
      </c>
      <c r="N8867" s="24" t="str" cm="1">
        <f t="array" ref="N8867">IFERROR(IF($B8867=N$1, ($A8867+$C8867) - MAX(IF($B$2:$B8866=$B8867, $A$2:$A8866+$C$2:$C8866)), "")*24*60, "")</f>
        <v/>
      </c>
      <c r="O8867" s="24" t="str" cm="1">
        <f t="array" ref="O8867">IFERROR(IF($B8867=O$1, ($A8867+$C8867) - MAX(IF($B$2:$B8866=$B8867, $A$2:$A8866+$C$2:$C8866)), "")*24*60, "")</f>
        <v/>
      </c>
      <c r="P8867" s="24" t="str" cm="1">
        <f t="array" ref="P8867">IFERROR(IF($B8867=P$1, ($A8867+$C8867) - MAX(IF($B$2:$B8866=$B8867, $A$2:$A8866+$C$2:$C8866)), "")*24*60, "")</f>
        <v/>
      </c>
      <c r="Q8867" s="24" t="str" cm="1">
        <f t="array" ref="Q8867">IFERROR(IF($B8867=Q$1, ($A8867+$C8867) - MAX(IF($B$2:$B8866=$B8867, $A$2:$A8866+$C$2:$C8866)), "")*24*60, "")</f>
        <v/>
      </c>
      <c r="R8867" s="24" t="str" cm="1">
        <f t="array" ref="R8867">IFERROR(IF($B8867=R$1, ($A8867+$C8867) - MAX(IF($B$2:$B8866=$B8867, $A$2:$A8866+$C$2:$C8866)), "")*24*60, "")</f>
        <v/>
      </c>
      <c r="S8867" s="24" t="str" cm="1">
        <f t="array" ref="S8867">IFERROR(IF($B8867=S$1, ($A8867+$C8867) - MAX(IF($B$2:$B8866=$B8867, $A$2:$A8866+$C$2:$C8866)), "")*24*60, "")</f>
        <v/>
      </c>
    </row>
    <row r="8868" spans="1:19" x14ac:dyDescent="0.2">
      <c r="A8868" s="12">
        <f t="shared" ref="A8868:C8868" si="1420">A8867</f>
        <v>46038</v>
      </c>
      <c r="B8868" s="5" t="str">
        <f t="shared" si="1420"/>
        <v>Northern Cardinal</v>
      </c>
      <c r="C8868" s="6">
        <f t="shared" si="1420"/>
        <v>0.29166666666666669</v>
      </c>
      <c r="D8868" s="5"/>
      <c r="E8868" s="5"/>
      <c r="F8868" s="5" t="s">
        <v>9</v>
      </c>
      <c r="G8868" s="15" t="s">
        <v>8</v>
      </c>
      <c r="H8868" s="24">
        <f t="shared" si="1412"/>
        <v>0</v>
      </c>
      <c r="I8868" s="24" cm="1">
        <f t="array" ref="I8868">IFERROR(IF($B8868=I$1, ($A8868+$C8868) - MAX(IF($B$2:$B8867=$B8868, $A$2:$A8867+$C$2:$C8867)), "")*24*60, "")</f>
        <v>0</v>
      </c>
      <c r="J8868" s="24" t="str" cm="1">
        <f t="array" ref="J8868">IFERROR(IF($B8868=J$1, ($A8868+$C8868) - MAX(IF($B$2:$B8867=$B8868, $A$2:$A8867+$C$2:$C8867)), "")*24*60, "")</f>
        <v/>
      </c>
      <c r="K8868" s="24" t="str" cm="1">
        <f t="array" ref="K8868">IFERROR(IF($B8868=K$1, ($A8868+$C8868) - MAX(IF($B$2:$B8867=$B8868, $A$2:$A8867+$C$2:$C8867)), "")*24*60, "")</f>
        <v/>
      </c>
      <c r="L8868" s="24" t="str" cm="1">
        <f t="array" ref="L8868">IFERROR(IF($B8868=L$1, ($A8868+$C8868) - MAX(IF($B$2:$B8867=$B8868, $A$2:$A8867+$C$2:$C8867)), "")*24*60, "")</f>
        <v/>
      </c>
      <c r="M8868" s="24" t="str" cm="1">
        <f t="array" ref="M8868">IFERROR(IF($B8868=M$1, ($A8868+$C8868) - MAX(IF($B$2:$B8867=$B8868, $A$2:$A8867+$C$2:$C8867)), "")*24*60, "")</f>
        <v/>
      </c>
      <c r="N8868" s="24" t="str" cm="1">
        <f t="array" ref="N8868">IFERROR(IF($B8868=N$1, ($A8868+$C8868) - MAX(IF($B$2:$B8867=$B8868, $A$2:$A8867+$C$2:$C8867)), "")*24*60, "")</f>
        <v/>
      </c>
      <c r="O8868" s="24" t="str" cm="1">
        <f t="array" ref="O8868">IFERROR(IF($B8868=O$1, ($A8868+$C8868) - MAX(IF($B$2:$B8867=$B8868, $A$2:$A8867+$C$2:$C8867)), "")*24*60, "")</f>
        <v/>
      </c>
      <c r="P8868" s="24" t="str" cm="1">
        <f t="array" ref="P8868">IFERROR(IF($B8868=P$1, ($A8868+$C8868) - MAX(IF($B$2:$B8867=$B8868, $A$2:$A8867+$C$2:$C8867)), "")*24*60, "")</f>
        <v/>
      </c>
      <c r="Q8868" s="24" t="str" cm="1">
        <f t="array" ref="Q8868">IFERROR(IF($B8868=Q$1, ($A8868+$C8868) - MAX(IF($B$2:$B8867=$B8868, $A$2:$A8867+$C$2:$C8867)), "")*24*60, "")</f>
        <v/>
      </c>
      <c r="R8868" s="24" t="str" cm="1">
        <f t="array" ref="R8868">IFERROR(IF($B8868=R$1, ($A8868+$C8868) - MAX(IF($B$2:$B8867=$B8868, $A$2:$A8867+$C$2:$C8867)), "")*24*60, "")</f>
        <v/>
      </c>
      <c r="S8868" s="24" t="str" cm="1">
        <f t="array" ref="S8868">IFERROR(IF($B8868=S$1, ($A8868+$C8868) - MAX(IF($B$2:$B8867=$B8868, $A$2:$A8867+$C$2:$C8867)), "")*24*60, "")</f>
        <v/>
      </c>
    </row>
    <row r="8869" spans="1:19" x14ac:dyDescent="0.2">
      <c r="A8869" s="12">
        <f t="shared" ref="A8869:C8869" si="1421">A8868</f>
        <v>46038</v>
      </c>
      <c r="B8869" s="5" t="str">
        <f t="shared" si="1421"/>
        <v>Northern Cardinal</v>
      </c>
      <c r="C8869" s="6">
        <f t="shared" si="1421"/>
        <v>0.29166666666666669</v>
      </c>
      <c r="D8869" s="5"/>
      <c r="E8869" s="5"/>
      <c r="F8869" s="5" t="s">
        <v>9</v>
      </c>
      <c r="G8869" s="15" t="s">
        <v>8</v>
      </c>
      <c r="H8869" s="24">
        <f t="shared" si="1412"/>
        <v>0</v>
      </c>
      <c r="I8869" s="24" cm="1">
        <f t="array" ref="I8869">IFERROR(IF($B8869=I$1, ($A8869+$C8869) - MAX(IF($B$2:$B8868=$B8869, $A$2:$A8868+$C$2:$C8868)), "")*24*60, "")</f>
        <v>0</v>
      </c>
      <c r="J8869" s="24" t="str" cm="1">
        <f t="array" ref="J8869">IFERROR(IF($B8869=J$1, ($A8869+$C8869) - MAX(IF($B$2:$B8868=$B8869, $A$2:$A8868+$C$2:$C8868)), "")*24*60, "")</f>
        <v/>
      </c>
      <c r="K8869" s="24" t="str" cm="1">
        <f t="array" ref="K8869">IFERROR(IF($B8869=K$1, ($A8869+$C8869) - MAX(IF($B$2:$B8868=$B8869, $A$2:$A8868+$C$2:$C8868)), "")*24*60, "")</f>
        <v/>
      </c>
      <c r="L8869" s="24" t="str" cm="1">
        <f t="array" ref="L8869">IFERROR(IF($B8869=L$1, ($A8869+$C8869) - MAX(IF($B$2:$B8868=$B8869, $A$2:$A8868+$C$2:$C8868)), "")*24*60, "")</f>
        <v/>
      </c>
      <c r="M8869" s="24" t="str" cm="1">
        <f t="array" ref="M8869">IFERROR(IF($B8869=M$1, ($A8869+$C8869) - MAX(IF($B$2:$B8868=$B8869, $A$2:$A8868+$C$2:$C8868)), "")*24*60, "")</f>
        <v/>
      </c>
      <c r="N8869" s="24" t="str" cm="1">
        <f t="array" ref="N8869">IFERROR(IF($B8869=N$1, ($A8869+$C8869) - MAX(IF($B$2:$B8868=$B8869, $A$2:$A8868+$C$2:$C8868)), "")*24*60, "")</f>
        <v/>
      </c>
      <c r="O8869" s="24" t="str" cm="1">
        <f t="array" ref="O8869">IFERROR(IF($B8869=O$1, ($A8869+$C8869) - MAX(IF($B$2:$B8868=$B8869, $A$2:$A8868+$C$2:$C8868)), "")*24*60, "")</f>
        <v/>
      </c>
      <c r="P8869" s="24" t="str" cm="1">
        <f t="array" ref="P8869">IFERROR(IF($B8869=P$1, ($A8869+$C8869) - MAX(IF($B$2:$B8868=$B8869, $A$2:$A8868+$C$2:$C8868)), "")*24*60, "")</f>
        <v/>
      </c>
      <c r="Q8869" s="24" t="str" cm="1">
        <f t="array" ref="Q8869">IFERROR(IF($B8869=Q$1, ($A8869+$C8869) - MAX(IF($B$2:$B8868=$B8869, $A$2:$A8868+$C$2:$C8868)), "")*24*60, "")</f>
        <v/>
      </c>
      <c r="R8869" s="24" t="str" cm="1">
        <f t="array" ref="R8869">IFERROR(IF($B8869=R$1, ($A8869+$C8869) - MAX(IF($B$2:$B8868=$B8869, $A$2:$A8868+$C$2:$C8868)), "")*24*60, "")</f>
        <v/>
      </c>
      <c r="S8869" s="24" t="str" cm="1">
        <f t="array" ref="S8869">IFERROR(IF($B8869=S$1, ($A8869+$C8869) - MAX(IF($B$2:$B8868=$B8869, $A$2:$A8868+$C$2:$C8868)), "")*24*60, "")</f>
        <v/>
      </c>
    </row>
    <row r="8870" spans="1:19" x14ac:dyDescent="0.2">
      <c r="A8870" s="12">
        <f t="shared" ref="A8870:C8870" si="1422">A8869</f>
        <v>46038</v>
      </c>
      <c r="B8870" s="5" t="str">
        <f t="shared" si="1422"/>
        <v>Northern Cardinal</v>
      </c>
      <c r="C8870" s="6">
        <f t="shared" si="1422"/>
        <v>0.29166666666666669</v>
      </c>
      <c r="D8870" s="5"/>
      <c r="E8870" s="5"/>
      <c r="F8870" s="5" t="s">
        <v>9</v>
      </c>
      <c r="G8870" s="15" t="s">
        <v>8</v>
      </c>
      <c r="H8870" s="24">
        <f t="shared" si="1412"/>
        <v>0</v>
      </c>
      <c r="I8870" s="24" cm="1">
        <f t="array" ref="I8870">IFERROR(IF($B8870=I$1, ($A8870+$C8870) - MAX(IF($B$2:$B8869=$B8870, $A$2:$A8869+$C$2:$C8869)), "")*24*60, "")</f>
        <v>0</v>
      </c>
      <c r="J8870" s="24" t="str" cm="1">
        <f t="array" ref="J8870">IFERROR(IF($B8870=J$1, ($A8870+$C8870) - MAX(IF($B$2:$B8869=$B8870, $A$2:$A8869+$C$2:$C8869)), "")*24*60, "")</f>
        <v/>
      </c>
      <c r="K8870" s="24" t="str" cm="1">
        <f t="array" ref="K8870">IFERROR(IF($B8870=K$1, ($A8870+$C8870) - MAX(IF($B$2:$B8869=$B8870, $A$2:$A8869+$C$2:$C8869)), "")*24*60, "")</f>
        <v/>
      </c>
      <c r="L8870" s="24" t="str" cm="1">
        <f t="array" ref="L8870">IFERROR(IF($B8870=L$1, ($A8870+$C8870) - MAX(IF($B$2:$B8869=$B8870, $A$2:$A8869+$C$2:$C8869)), "")*24*60, "")</f>
        <v/>
      </c>
      <c r="M8870" s="24" t="str" cm="1">
        <f t="array" ref="M8870">IFERROR(IF($B8870=M$1, ($A8870+$C8870) - MAX(IF($B$2:$B8869=$B8870, $A$2:$A8869+$C$2:$C8869)), "")*24*60, "")</f>
        <v/>
      </c>
      <c r="N8870" s="24" t="str" cm="1">
        <f t="array" ref="N8870">IFERROR(IF($B8870=N$1, ($A8870+$C8870) - MAX(IF($B$2:$B8869=$B8870, $A$2:$A8869+$C$2:$C8869)), "")*24*60, "")</f>
        <v/>
      </c>
      <c r="O8870" s="24" t="str" cm="1">
        <f t="array" ref="O8870">IFERROR(IF($B8870=O$1, ($A8870+$C8870) - MAX(IF($B$2:$B8869=$B8870, $A$2:$A8869+$C$2:$C8869)), "")*24*60, "")</f>
        <v/>
      </c>
      <c r="P8870" s="24" t="str" cm="1">
        <f t="array" ref="P8870">IFERROR(IF($B8870=P$1, ($A8870+$C8870) - MAX(IF($B$2:$B8869=$B8870, $A$2:$A8869+$C$2:$C8869)), "")*24*60, "")</f>
        <v/>
      </c>
      <c r="Q8870" s="24" t="str" cm="1">
        <f t="array" ref="Q8870">IFERROR(IF($B8870=Q$1, ($A8870+$C8870) - MAX(IF($B$2:$B8869=$B8870, $A$2:$A8869+$C$2:$C8869)), "")*24*60, "")</f>
        <v/>
      </c>
      <c r="R8870" s="24" t="str" cm="1">
        <f t="array" ref="R8870">IFERROR(IF($B8870=R$1, ($A8870+$C8870) - MAX(IF($B$2:$B8869=$B8870, $A$2:$A8869+$C$2:$C8869)), "")*24*60, "")</f>
        <v/>
      </c>
      <c r="S8870" s="24" t="str" cm="1">
        <f t="array" ref="S8870">IFERROR(IF($B8870=S$1, ($A8870+$C8870) - MAX(IF($B$2:$B8869=$B8870, $A$2:$A8869+$C$2:$C8869)), "")*24*60, "")</f>
        <v/>
      </c>
    </row>
    <row r="8871" spans="1:19" x14ac:dyDescent="0.2">
      <c r="A8871" s="12">
        <f t="shared" ref="A8871:C8871" si="1423">A8870</f>
        <v>46038</v>
      </c>
      <c r="B8871" s="5" t="str">
        <f t="shared" si="1423"/>
        <v>Northern Cardinal</v>
      </c>
      <c r="C8871" s="6">
        <f t="shared" si="1423"/>
        <v>0.29166666666666669</v>
      </c>
      <c r="D8871" s="5"/>
      <c r="E8871" s="5"/>
      <c r="F8871" s="5" t="s">
        <v>9</v>
      </c>
      <c r="G8871" s="15" t="s">
        <v>8</v>
      </c>
      <c r="H8871" s="24">
        <f t="shared" si="1412"/>
        <v>0</v>
      </c>
      <c r="I8871" s="24" cm="1">
        <f t="array" ref="I8871">IFERROR(IF($B8871=I$1, ($A8871+$C8871) - MAX(IF($B$2:$B8870=$B8871, $A$2:$A8870+$C$2:$C8870)), "")*24*60, "")</f>
        <v>0</v>
      </c>
      <c r="J8871" s="24" t="str" cm="1">
        <f t="array" ref="J8871">IFERROR(IF($B8871=J$1, ($A8871+$C8871) - MAX(IF($B$2:$B8870=$B8871, $A$2:$A8870+$C$2:$C8870)), "")*24*60, "")</f>
        <v/>
      </c>
      <c r="K8871" s="24" t="str" cm="1">
        <f t="array" ref="K8871">IFERROR(IF($B8871=K$1, ($A8871+$C8871) - MAX(IF($B$2:$B8870=$B8871, $A$2:$A8870+$C$2:$C8870)), "")*24*60, "")</f>
        <v/>
      </c>
      <c r="L8871" s="24" t="str" cm="1">
        <f t="array" ref="L8871">IFERROR(IF($B8871=L$1, ($A8871+$C8871) - MAX(IF($B$2:$B8870=$B8871, $A$2:$A8870+$C$2:$C8870)), "")*24*60, "")</f>
        <v/>
      </c>
      <c r="M8871" s="24" t="str" cm="1">
        <f t="array" ref="M8871">IFERROR(IF($B8871=M$1, ($A8871+$C8871) - MAX(IF($B$2:$B8870=$B8871, $A$2:$A8870+$C$2:$C8870)), "")*24*60, "")</f>
        <v/>
      </c>
      <c r="N8871" s="24" t="str" cm="1">
        <f t="array" ref="N8871">IFERROR(IF($B8871=N$1, ($A8871+$C8871) - MAX(IF($B$2:$B8870=$B8871, $A$2:$A8870+$C$2:$C8870)), "")*24*60, "")</f>
        <v/>
      </c>
      <c r="O8871" s="24" t="str" cm="1">
        <f t="array" ref="O8871">IFERROR(IF($B8871=O$1, ($A8871+$C8871) - MAX(IF($B$2:$B8870=$B8871, $A$2:$A8870+$C$2:$C8870)), "")*24*60, "")</f>
        <v/>
      </c>
      <c r="P8871" s="24" t="str" cm="1">
        <f t="array" ref="P8871">IFERROR(IF($B8871=P$1, ($A8871+$C8871) - MAX(IF($B$2:$B8870=$B8871, $A$2:$A8870+$C$2:$C8870)), "")*24*60, "")</f>
        <v/>
      </c>
      <c r="Q8871" s="24" t="str" cm="1">
        <f t="array" ref="Q8871">IFERROR(IF($B8871=Q$1, ($A8871+$C8871) - MAX(IF($B$2:$B8870=$B8871, $A$2:$A8870+$C$2:$C8870)), "")*24*60, "")</f>
        <v/>
      </c>
      <c r="R8871" s="24" t="str" cm="1">
        <f t="array" ref="R8871">IFERROR(IF($B8871=R$1, ($A8871+$C8871) - MAX(IF($B$2:$B8870=$B8871, $A$2:$A8870+$C$2:$C8870)), "")*24*60, "")</f>
        <v/>
      </c>
      <c r="S8871" s="24" t="str" cm="1">
        <f t="array" ref="S8871">IFERROR(IF($B8871=S$1, ($A8871+$C8871) - MAX(IF($B$2:$B8870=$B8871, $A$2:$A8870+$C$2:$C8870)), "")*24*60, "")</f>
        <v/>
      </c>
    </row>
    <row r="8872" spans="1:19" x14ac:dyDescent="0.2">
      <c r="A8872" s="12">
        <f t="shared" ref="A8872:C8872" si="1424">A8871</f>
        <v>46038</v>
      </c>
      <c r="B8872" s="5" t="str">
        <f t="shared" si="1424"/>
        <v>Northern Cardinal</v>
      </c>
      <c r="C8872" s="6">
        <f t="shared" si="1424"/>
        <v>0.29166666666666669</v>
      </c>
      <c r="D8872" s="5"/>
      <c r="E8872" s="5"/>
      <c r="F8872" s="5" t="s">
        <v>9</v>
      </c>
      <c r="G8872" s="15" t="s">
        <v>8</v>
      </c>
      <c r="H8872" s="24">
        <f t="shared" si="1412"/>
        <v>0</v>
      </c>
      <c r="I8872" s="24" cm="1">
        <f t="array" ref="I8872">IFERROR(IF($B8872=I$1, ($A8872+$C8872) - MAX(IF($B$2:$B8871=$B8872, $A$2:$A8871+$C$2:$C8871)), "")*24*60, "")</f>
        <v>0</v>
      </c>
      <c r="J8872" s="24" t="str" cm="1">
        <f t="array" ref="J8872">IFERROR(IF($B8872=J$1, ($A8872+$C8872) - MAX(IF($B$2:$B8871=$B8872, $A$2:$A8871+$C$2:$C8871)), "")*24*60, "")</f>
        <v/>
      </c>
      <c r="K8872" s="24" t="str" cm="1">
        <f t="array" ref="K8872">IFERROR(IF($B8872=K$1, ($A8872+$C8872) - MAX(IF($B$2:$B8871=$B8872, $A$2:$A8871+$C$2:$C8871)), "")*24*60, "")</f>
        <v/>
      </c>
      <c r="L8872" s="24" t="str" cm="1">
        <f t="array" ref="L8872">IFERROR(IF($B8872=L$1, ($A8872+$C8872) - MAX(IF($B$2:$B8871=$B8872, $A$2:$A8871+$C$2:$C8871)), "")*24*60, "")</f>
        <v/>
      </c>
      <c r="M8872" s="24" t="str" cm="1">
        <f t="array" ref="M8872">IFERROR(IF($B8872=M$1, ($A8872+$C8872) - MAX(IF($B$2:$B8871=$B8872, $A$2:$A8871+$C$2:$C8871)), "")*24*60, "")</f>
        <v/>
      </c>
      <c r="N8872" s="24" t="str" cm="1">
        <f t="array" ref="N8872">IFERROR(IF($B8872=N$1, ($A8872+$C8872) - MAX(IF($B$2:$B8871=$B8872, $A$2:$A8871+$C$2:$C8871)), "")*24*60, "")</f>
        <v/>
      </c>
      <c r="O8872" s="24" t="str" cm="1">
        <f t="array" ref="O8872">IFERROR(IF($B8872=O$1, ($A8872+$C8872) - MAX(IF($B$2:$B8871=$B8872, $A$2:$A8871+$C$2:$C8871)), "")*24*60, "")</f>
        <v/>
      </c>
      <c r="P8872" s="24" t="str" cm="1">
        <f t="array" ref="P8872">IFERROR(IF($B8872=P$1, ($A8872+$C8872) - MAX(IF($B$2:$B8871=$B8872, $A$2:$A8871+$C$2:$C8871)), "")*24*60, "")</f>
        <v/>
      </c>
      <c r="Q8872" s="24" t="str" cm="1">
        <f t="array" ref="Q8872">IFERROR(IF($B8872=Q$1, ($A8872+$C8872) - MAX(IF($B$2:$B8871=$B8872, $A$2:$A8871+$C$2:$C8871)), "")*24*60, "")</f>
        <v/>
      </c>
      <c r="R8872" s="24" t="str" cm="1">
        <f t="array" ref="R8872">IFERROR(IF($B8872=R$1, ($A8872+$C8872) - MAX(IF($B$2:$B8871=$B8872, $A$2:$A8871+$C$2:$C8871)), "")*24*60, "")</f>
        <v/>
      </c>
      <c r="S8872" s="24" t="str" cm="1">
        <f t="array" ref="S8872">IFERROR(IF($B8872=S$1, ($A8872+$C8872) - MAX(IF($B$2:$B8871=$B8872, $A$2:$A8871+$C$2:$C8871)), "")*24*60, "")</f>
        <v/>
      </c>
    </row>
    <row r="8873" spans="1:19" x14ac:dyDescent="0.2">
      <c r="A8873" s="12">
        <f t="shared" ref="A8873:C8873" si="1425">A8872</f>
        <v>46038</v>
      </c>
      <c r="B8873" s="5" t="str">
        <f t="shared" si="1425"/>
        <v>Northern Cardinal</v>
      </c>
      <c r="C8873" s="6">
        <f t="shared" si="1425"/>
        <v>0.29166666666666669</v>
      </c>
      <c r="D8873" s="5"/>
      <c r="E8873" s="5"/>
      <c r="F8873" s="5" t="s">
        <v>9</v>
      </c>
      <c r="G8873" s="15" t="s">
        <v>8</v>
      </c>
      <c r="H8873" s="24">
        <f t="shared" si="1412"/>
        <v>0</v>
      </c>
      <c r="I8873" s="24" cm="1">
        <f t="array" ref="I8873">IFERROR(IF($B8873=I$1, ($A8873+$C8873) - MAX(IF($B$2:$B8872=$B8873, $A$2:$A8872+$C$2:$C8872)), "")*24*60, "")</f>
        <v>0</v>
      </c>
      <c r="J8873" s="24" t="str" cm="1">
        <f t="array" ref="J8873">IFERROR(IF($B8873=J$1, ($A8873+$C8873) - MAX(IF($B$2:$B8872=$B8873, $A$2:$A8872+$C$2:$C8872)), "")*24*60, "")</f>
        <v/>
      </c>
      <c r="K8873" s="24" t="str" cm="1">
        <f t="array" ref="K8873">IFERROR(IF($B8873=K$1, ($A8873+$C8873) - MAX(IF($B$2:$B8872=$B8873, $A$2:$A8872+$C$2:$C8872)), "")*24*60, "")</f>
        <v/>
      </c>
      <c r="L8873" s="24" t="str" cm="1">
        <f t="array" ref="L8873">IFERROR(IF($B8873=L$1, ($A8873+$C8873) - MAX(IF($B$2:$B8872=$B8873, $A$2:$A8872+$C$2:$C8872)), "")*24*60, "")</f>
        <v/>
      </c>
      <c r="M8873" s="24" t="str" cm="1">
        <f t="array" ref="M8873">IFERROR(IF($B8873=M$1, ($A8873+$C8873) - MAX(IF($B$2:$B8872=$B8873, $A$2:$A8872+$C$2:$C8872)), "")*24*60, "")</f>
        <v/>
      </c>
      <c r="N8873" s="24" t="str" cm="1">
        <f t="array" ref="N8873">IFERROR(IF($B8873=N$1, ($A8873+$C8873) - MAX(IF($B$2:$B8872=$B8873, $A$2:$A8872+$C$2:$C8872)), "")*24*60, "")</f>
        <v/>
      </c>
      <c r="O8873" s="24" t="str" cm="1">
        <f t="array" ref="O8873">IFERROR(IF($B8873=O$1, ($A8873+$C8873) - MAX(IF($B$2:$B8872=$B8873, $A$2:$A8872+$C$2:$C8872)), "")*24*60, "")</f>
        <v/>
      </c>
      <c r="P8873" s="24" t="str" cm="1">
        <f t="array" ref="P8873">IFERROR(IF($B8873=P$1, ($A8873+$C8873) - MAX(IF($B$2:$B8872=$B8873, $A$2:$A8872+$C$2:$C8872)), "")*24*60, "")</f>
        <v/>
      </c>
      <c r="Q8873" s="24" t="str" cm="1">
        <f t="array" ref="Q8873">IFERROR(IF($B8873=Q$1, ($A8873+$C8873) - MAX(IF($B$2:$B8872=$B8873, $A$2:$A8872+$C$2:$C8872)), "")*24*60, "")</f>
        <v/>
      </c>
      <c r="R8873" s="24" t="str" cm="1">
        <f t="array" ref="R8873">IFERROR(IF($B8873=R$1, ($A8873+$C8873) - MAX(IF($B$2:$B8872=$B8873, $A$2:$A8872+$C$2:$C8872)), "")*24*60, "")</f>
        <v/>
      </c>
      <c r="S8873" s="24" t="str" cm="1">
        <f t="array" ref="S8873">IFERROR(IF($B8873=S$1, ($A8873+$C8873) - MAX(IF($B$2:$B8872=$B8873, $A$2:$A8872+$C$2:$C8872)), "")*24*60, "")</f>
        <v/>
      </c>
    </row>
    <row r="8874" spans="1:19" x14ac:dyDescent="0.2">
      <c r="A8874" s="12">
        <f t="shared" ref="A8874:C8874" si="1426">A8873</f>
        <v>46038</v>
      </c>
      <c r="B8874" s="5" t="str">
        <f t="shared" si="1426"/>
        <v>Northern Cardinal</v>
      </c>
      <c r="C8874" s="6">
        <f t="shared" si="1426"/>
        <v>0.29166666666666669</v>
      </c>
      <c r="D8874" s="5"/>
      <c r="E8874" s="5"/>
      <c r="F8874" s="5" t="s">
        <v>9</v>
      </c>
      <c r="G8874" s="15" t="s">
        <v>8</v>
      </c>
      <c r="H8874" s="24">
        <f t="shared" si="1412"/>
        <v>0</v>
      </c>
      <c r="I8874" s="24" cm="1">
        <f t="array" ref="I8874">IFERROR(IF($B8874=I$1, ($A8874+$C8874) - MAX(IF($B$2:$B8873=$B8874, $A$2:$A8873+$C$2:$C8873)), "")*24*60, "")</f>
        <v>0</v>
      </c>
      <c r="J8874" s="24" t="str" cm="1">
        <f t="array" ref="J8874">IFERROR(IF($B8874=J$1, ($A8874+$C8874) - MAX(IF($B$2:$B8873=$B8874, $A$2:$A8873+$C$2:$C8873)), "")*24*60, "")</f>
        <v/>
      </c>
      <c r="K8874" s="24" t="str" cm="1">
        <f t="array" ref="K8874">IFERROR(IF($B8874=K$1, ($A8874+$C8874) - MAX(IF($B$2:$B8873=$B8874, $A$2:$A8873+$C$2:$C8873)), "")*24*60, "")</f>
        <v/>
      </c>
      <c r="L8874" s="24" t="str" cm="1">
        <f t="array" ref="L8874">IFERROR(IF($B8874=L$1, ($A8874+$C8874) - MAX(IF($B$2:$B8873=$B8874, $A$2:$A8873+$C$2:$C8873)), "")*24*60, "")</f>
        <v/>
      </c>
      <c r="M8874" s="24" t="str" cm="1">
        <f t="array" ref="M8874">IFERROR(IF($B8874=M$1, ($A8874+$C8874) - MAX(IF($B$2:$B8873=$B8874, $A$2:$A8873+$C$2:$C8873)), "")*24*60, "")</f>
        <v/>
      </c>
      <c r="N8874" s="24" t="str" cm="1">
        <f t="array" ref="N8874">IFERROR(IF($B8874=N$1, ($A8874+$C8874) - MAX(IF($B$2:$B8873=$B8874, $A$2:$A8873+$C$2:$C8873)), "")*24*60, "")</f>
        <v/>
      </c>
      <c r="O8874" s="24" t="str" cm="1">
        <f t="array" ref="O8874">IFERROR(IF($B8874=O$1, ($A8874+$C8874) - MAX(IF($B$2:$B8873=$B8874, $A$2:$A8873+$C$2:$C8873)), "")*24*60, "")</f>
        <v/>
      </c>
      <c r="P8874" s="24" t="str" cm="1">
        <f t="array" ref="P8874">IFERROR(IF($B8874=P$1, ($A8874+$C8874) - MAX(IF($B$2:$B8873=$B8874, $A$2:$A8873+$C$2:$C8873)), "")*24*60, "")</f>
        <v/>
      </c>
      <c r="Q8874" s="24" t="str" cm="1">
        <f t="array" ref="Q8874">IFERROR(IF($B8874=Q$1, ($A8874+$C8874) - MAX(IF($B$2:$B8873=$B8874, $A$2:$A8873+$C$2:$C8873)), "")*24*60, "")</f>
        <v/>
      </c>
      <c r="R8874" s="24" t="str" cm="1">
        <f t="array" ref="R8874">IFERROR(IF($B8874=R$1, ($A8874+$C8874) - MAX(IF($B$2:$B8873=$B8874, $A$2:$A8873+$C$2:$C8873)), "")*24*60, "")</f>
        <v/>
      </c>
      <c r="S8874" s="24" t="str" cm="1">
        <f t="array" ref="S8874">IFERROR(IF($B8874=S$1, ($A8874+$C8874) - MAX(IF($B$2:$B8873=$B8874, $A$2:$A8873+$C$2:$C8873)), "")*24*60, "")</f>
        <v/>
      </c>
    </row>
    <row r="8875" spans="1:19" x14ac:dyDescent="0.2">
      <c r="A8875" s="12">
        <f t="shared" ref="A8875:C8875" si="1427">A8874</f>
        <v>46038</v>
      </c>
      <c r="B8875" s="5" t="str">
        <f t="shared" si="1427"/>
        <v>Northern Cardinal</v>
      </c>
      <c r="C8875" s="6">
        <f t="shared" si="1427"/>
        <v>0.29166666666666669</v>
      </c>
      <c r="D8875" s="5"/>
      <c r="E8875" s="5"/>
      <c r="F8875" s="5" t="s">
        <v>9</v>
      </c>
      <c r="G8875" s="15" t="s">
        <v>8</v>
      </c>
      <c r="H8875" s="24">
        <f t="shared" si="1412"/>
        <v>0</v>
      </c>
      <c r="I8875" s="24" cm="1">
        <f t="array" ref="I8875">IFERROR(IF($B8875=I$1, ($A8875+$C8875) - MAX(IF($B$2:$B8874=$B8875, $A$2:$A8874+$C$2:$C8874)), "")*24*60, "")</f>
        <v>0</v>
      </c>
      <c r="J8875" s="24" t="str" cm="1">
        <f t="array" ref="J8875">IFERROR(IF($B8875=J$1, ($A8875+$C8875) - MAX(IF($B$2:$B8874=$B8875, $A$2:$A8874+$C$2:$C8874)), "")*24*60, "")</f>
        <v/>
      </c>
      <c r="K8875" s="24" t="str" cm="1">
        <f t="array" ref="K8875">IFERROR(IF($B8875=K$1, ($A8875+$C8875) - MAX(IF($B$2:$B8874=$B8875, $A$2:$A8874+$C$2:$C8874)), "")*24*60, "")</f>
        <v/>
      </c>
      <c r="L8875" s="24" t="str" cm="1">
        <f t="array" ref="L8875">IFERROR(IF($B8875=L$1, ($A8875+$C8875) - MAX(IF($B$2:$B8874=$B8875, $A$2:$A8874+$C$2:$C8874)), "")*24*60, "")</f>
        <v/>
      </c>
      <c r="M8875" s="24" t="str" cm="1">
        <f t="array" ref="M8875">IFERROR(IF($B8875=M$1, ($A8875+$C8875) - MAX(IF($B$2:$B8874=$B8875, $A$2:$A8874+$C$2:$C8874)), "")*24*60, "")</f>
        <v/>
      </c>
      <c r="N8875" s="24" t="str" cm="1">
        <f t="array" ref="N8875">IFERROR(IF($B8875=N$1, ($A8875+$C8875) - MAX(IF($B$2:$B8874=$B8875, $A$2:$A8874+$C$2:$C8874)), "")*24*60, "")</f>
        <v/>
      </c>
      <c r="O8875" s="24" t="str" cm="1">
        <f t="array" ref="O8875">IFERROR(IF($B8875=O$1, ($A8875+$C8875) - MAX(IF($B$2:$B8874=$B8875, $A$2:$A8874+$C$2:$C8874)), "")*24*60, "")</f>
        <v/>
      </c>
      <c r="P8875" s="24" t="str" cm="1">
        <f t="array" ref="P8875">IFERROR(IF($B8875=P$1, ($A8875+$C8875) - MAX(IF($B$2:$B8874=$B8875, $A$2:$A8874+$C$2:$C8874)), "")*24*60, "")</f>
        <v/>
      </c>
      <c r="Q8875" s="24" t="str" cm="1">
        <f t="array" ref="Q8875">IFERROR(IF($B8875=Q$1, ($A8875+$C8875) - MAX(IF($B$2:$B8874=$B8875, $A$2:$A8874+$C$2:$C8874)), "")*24*60, "")</f>
        <v/>
      </c>
      <c r="R8875" s="24" t="str" cm="1">
        <f t="array" ref="R8875">IFERROR(IF($B8875=R$1, ($A8875+$C8875) - MAX(IF($B$2:$B8874=$B8875, $A$2:$A8874+$C$2:$C8874)), "")*24*60, "")</f>
        <v/>
      </c>
      <c r="S8875" s="24" t="str" cm="1">
        <f t="array" ref="S8875">IFERROR(IF($B8875=S$1, ($A8875+$C8875) - MAX(IF($B$2:$B8874=$B8875, $A$2:$A8874+$C$2:$C8874)), "")*24*60, "")</f>
        <v/>
      </c>
    </row>
    <row r="8876" spans="1:19" x14ac:dyDescent="0.2">
      <c r="A8876" s="12">
        <f t="shared" ref="A8876:C8876" si="1428">A8875</f>
        <v>46038</v>
      </c>
      <c r="B8876" s="5" t="str">
        <f t="shared" si="1428"/>
        <v>Northern Cardinal</v>
      </c>
      <c r="C8876" s="6">
        <f t="shared" si="1428"/>
        <v>0.29166666666666669</v>
      </c>
      <c r="D8876" s="5"/>
      <c r="E8876" s="5"/>
      <c r="F8876" s="5" t="s">
        <v>9</v>
      </c>
      <c r="G8876" s="15" t="s">
        <v>8</v>
      </c>
      <c r="H8876" s="24">
        <f t="shared" si="1412"/>
        <v>0</v>
      </c>
      <c r="I8876" s="24" cm="1">
        <f t="array" ref="I8876">IFERROR(IF($B8876=I$1, ($A8876+$C8876) - MAX(IF($B$2:$B8875=$B8876, $A$2:$A8875+$C$2:$C8875)), "")*24*60, "")</f>
        <v>0</v>
      </c>
      <c r="J8876" s="24" t="str" cm="1">
        <f t="array" ref="J8876">IFERROR(IF($B8876=J$1, ($A8876+$C8876) - MAX(IF($B$2:$B8875=$B8876, $A$2:$A8875+$C$2:$C8875)), "")*24*60, "")</f>
        <v/>
      </c>
      <c r="K8876" s="24" t="str" cm="1">
        <f t="array" ref="K8876">IFERROR(IF($B8876=K$1, ($A8876+$C8876) - MAX(IF($B$2:$B8875=$B8876, $A$2:$A8875+$C$2:$C8875)), "")*24*60, "")</f>
        <v/>
      </c>
      <c r="L8876" s="24" t="str" cm="1">
        <f t="array" ref="L8876">IFERROR(IF($B8876=L$1, ($A8876+$C8876) - MAX(IF($B$2:$B8875=$B8876, $A$2:$A8875+$C$2:$C8875)), "")*24*60, "")</f>
        <v/>
      </c>
      <c r="M8876" s="24" t="str" cm="1">
        <f t="array" ref="M8876">IFERROR(IF($B8876=M$1, ($A8876+$C8876) - MAX(IF($B$2:$B8875=$B8876, $A$2:$A8875+$C$2:$C8875)), "")*24*60, "")</f>
        <v/>
      </c>
      <c r="N8876" s="24" t="str" cm="1">
        <f t="array" ref="N8876">IFERROR(IF($B8876=N$1, ($A8876+$C8876) - MAX(IF($B$2:$B8875=$B8876, $A$2:$A8875+$C$2:$C8875)), "")*24*60, "")</f>
        <v/>
      </c>
      <c r="O8876" s="24" t="str" cm="1">
        <f t="array" ref="O8876">IFERROR(IF($B8876=O$1, ($A8876+$C8876) - MAX(IF($B$2:$B8875=$B8876, $A$2:$A8875+$C$2:$C8875)), "")*24*60, "")</f>
        <v/>
      </c>
      <c r="P8876" s="24" t="str" cm="1">
        <f t="array" ref="P8876">IFERROR(IF($B8876=P$1, ($A8876+$C8876) - MAX(IF($B$2:$B8875=$B8876, $A$2:$A8875+$C$2:$C8875)), "")*24*60, "")</f>
        <v/>
      </c>
      <c r="Q8876" s="24" t="str" cm="1">
        <f t="array" ref="Q8876">IFERROR(IF($B8876=Q$1, ($A8876+$C8876) - MAX(IF($B$2:$B8875=$B8876, $A$2:$A8875+$C$2:$C8875)), "")*24*60, "")</f>
        <v/>
      </c>
      <c r="R8876" s="24" t="str" cm="1">
        <f t="array" ref="R8876">IFERROR(IF($B8876=R$1, ($A8876+$C8876) - MAX(IF($B$2:$B8875=$B8876, $A$2:$A8875+$C$2:$C8875)), "")*24*60, "")</f>
        <v/>
      </c>
      <c r="S8876" s="24" t="str" cm="1">
        <f t="array" ref="S8876">IFERROR(IF($B8876=S$1, ($A8876+$C8876) - MAX(IF($B$2:$B8875=$B8876, $A$2:$A8875+$C$2:$C8875)), "")*24*60, "")</f>
        <v/>
      </c>
    </row>
    <row r="8877" spans="1:19" x14ac:dyDescent="0.2">
      <c r="A8877" s="12">
        <f t="shared" ref="A8877:C8877" si="1429">A8876</f>
        <v>46038</v>
      </c>
      <c r="B8877" s="5" t="str">
        <f t="shared" si="1429"/>
        <v>Northern Cardinal</v>
      </c>
      <c r="C8877" s="6">
        <f t="shared" si="1429"/>
        <v>0.29166666666666669</v>
      </c>
      <c r="D8877" s="5"/>
      <c r="E8877" s="5"/>
      <c r="F8877" s="5" t="s">
        <v>9</v>
      </c>
      <c r="G8877" s="15" t="s">
        <v>8</v>
      </c>
      <c r="H8877" s="24">
        <f t="shared" si="1412"/>
        <v>0</v>
      </c>
      <c r="I8877" s="24" cm="1">
        <f t="array" ref="I8877">IFERROR(IF($B8877=I$1, ($A8877+$C8877) - MAX(IF($B$2:$B8876=$B8877, $A$2:$A8876+$C$2:$C8876)), "")*24*60, "")</f>
        <v>0</v>
      </c>
      <c r="J8877" s="24" t="str" cm="1">
        <f t="array" ref="J8877">IFERROR(IF($B8877=J$1, ($A8877+$C8877) - MAX(IF($B$2:$B8876=$B8877, $A$2:$A8876+$C$2:$C8876)), "")*24*60, "")</f>
        <v/>
      </c>
      <c r="K8877" s="24" t="str" cm="1">
        <f t="array" ref="K8877">IFERROR(IF($B8877=K$1, ($A8877+$C8877) - MAX(IF($B$2:$B8876=$B8877, $A$2:$A8876+$C$2:$C8876)), "")*24*60, "")</f>
        <v/>
      </c>
      <c r="L8877" s="24" t="str" cm="1">
        <f t="array" ref="L8877">IFERROR(IF($B8877=L$1, ($A8877+$C8877) - MAX(IF($B$2:$B8876=$B8877, $A$2:$A8876+$C$2:$C8876)), "")*24*60, "")</f>
        <v/>
      </c>
      <c r="M8877" s="24" t="str" cm="1">
        <f t="array" ref="M8877">IFERROR(IF($B8877=M$1, ($A8877+$C8877) - MAX(IF($B$2:$B8876=$B8877, $A$2:$A8876+$C$2:$C8876)), "")*24*60, "")</f>
        <v/>
      </c>
      <c r="N8877" s="24" t="str" cm="1">
        <f t="array" ref="N8877">IFERROR(IF($B8877=N$1, ($A8877+$C8877) - MAX(IF($B$2:$B8876=$B8877, $A$2:$A8876+$C$2:$C8876)), "")*24*60, "")</f>
        <v/>
      </c>
      <c r="O8877" s="24" t="str" cm="1">
        <f t="array" ref="O8877">IFERROR(IF($B8877=O$1, ($A8877+$C8877) - MAX(IF($B$2:$B8876=$B8877, $A$2:$A8876+$C$2:$C8876)), "")*24*60, "")</f>
        <v/>
      </c>
      <c r="P8877" s="24" t="str" cm="1">
        <f t="array" ref="P8877">IFERROR(IF($B8877=P$1, ($A8877+$C8877) - MAX(IF($B$2:$B8876=$B8877, $A$2:$A8876+$C$2:$C8876)), "")*24*60, "")</f>
        <v/>
      </c>
      <c r="Q8877" s="24" t="str" cm="1">
        <f t="array" ref="Q8877">IFERROR(IF($B8877=Q$1, ($A8877+$C8877) - MAX(IF($B$2:$B8876=$B8877, $A$2:$A8876+$C$2:$C8876)), "")*24*60, "")</f>
        <v/>
      </c>
      <c r="R8877" s="24" t="str" cm="1">
        <f t="array" ref="R8877">IFERROR(IF($B8877=R$1, ($A8877+$C8877) - MAX(IF($B$2:$B8876=$B8877, $A$2:$A8876+$C$2:$C8876)), "")*24*60, "")</f>
        <v/>
      </c>
      <c r="S8877" s="24" t="str" cm="1">
        <f t="array" ref="S8877">IFERROR(IF($B8877=S$1, ($A8877+$C8877) - MAX(IF($B$2:$B8876=$B8877, $A$2:$A8876+$C$2:$C8876)), "")*24*60, "")</f>
        <v/>
      </c>
    </row>
    <row r="8878" spans="1:19" x14ac:dyDescent="0.2">
      <c r="A8878" s="12">
        <f t="shared" ref="A8878:C8878" si="1430">A8877</f>
        <v>46038</v>
      </c>
      <c r="B8878" s="5" t="str">
        <f t="shared" si="1430"/>
        <v>Northern Cardinal</v>
      </c>
      <c r="C8878" s="6">
        <f t="shared" si="1430"/>
        <v>0.29166666666666669</v>
      </c>
      <c r="D8878" s="5"/>
      <c r="E8878" s="5"/>
      <c r="F8878" s="5" t="s">
        <v>9</v>
      </c>
      <c r="G8878" s="15" t="s">
        <v>8</v>
      </c>
      <c r="H8878" s="24">
        <f t="shared" si="1412"/>
        <v>0</v>
      </c>
      <c r="I8878" s="24" cm="1">
        <f t="array" ref="I8878">IFERROR(IF($B8878=I$1, ($A8878+$C8878) - MAX(IF($B$2:$B8877=$B8878, $A$2:$A8877+$C$2:$C8877)), "")*24*60, "")</f>
        <v>0</v>
      </c>
      <c r="J8878" s="24" t="str" cm="1">
        <f t="array" ref="J8878">IFERROR(IF($B8878=J$1, ($A8878+$C8878) - MAX(IF($B$2:$B8877=$B8878, $A$2:$A8877+$C$2:$C8877)), "")*24*60, "")</f>
        <v/>
      </c>
      <c r="K8878" s="24" t="str" cm="1">
        <f t="array" ref="K8878">IFERROR(IF($B8878=K$1, ($A8878+$C8878) - MAX(IF($B$2:$B8877=$B8878, $A$2:$A8877+$C$2:$C8877)), "")*24*60, "")</f>
        <v/>
      </c>
      <c r="L8878" s="24" t="str" cm="1">
        <f t="array" ref="L8878">IFERROR(IF($B8878=L$1, ($A8878+$C8878) - MAX(IF($B$2:$B8877=$B8878, $A$2:$A8877+$C$2:$C8877)), "")*24*60, "")</f>
        <v/>
      </c>
      <c r="M8878" s="24" t="str" cm="1">
        <f t="array" ref="M8878">IFERROR(IF($B8878=M$1, ($A8878+$C8878) - MAX(IF($B$2:$B8877=$B8878, $A$2:$A8877+$C$2:$C8877)), "")*24*60, "")</f>
        <v/>
      </c>
      <c r="N8878" s="24" t="str" cm="1">
        <f t="array" ref="N8878">IFERROR(IF($B8878=N$1, ($A8878+$C8878) - MAX(IF($B$2:$B8877=$B8878, $A$2:$A8877+$C$2:$C8877)), "")*24*60, "")</f>
        <v/>
      </c>
      <c r="O8878" s="24" t="str" cm="1">
        <f t="array" ref="O8878">IFERROR(IF($B8878=O$1, ($A8878+$C8878) - MAX(IF($B$2:$B8877=$B8878, $A$2:$A8877+$C$2:$C8877)), "")*24*60, "")</f>
        <v/>
      </c>
      <c r="P8878" s="24" t="str" cm="1">
        <f t="array" ref="P8878">IFERROR(IF($B8878=P$1, ($A8878+$C8878) - MAX(IF($B$2:$B8877=$B8878, $A$2:$A8877+$C$2:$C8877)), "")*24*60, "")</f>
        <v/>
      </c>
      <c r="Q8878" s="24" t="str" cm="1">
        <f t="array" ref="Q8878">IFERROR(IF($B8878=Q$1, ($A8878+$C8878) - MAX(IF($B$2:$B8877=$B8878, $A$2:$A8877+$C$2:$C8877)), "")*24*60, "")</f>
        <v/>
      </c>
      <c r="R8878" s="24" t="str" cm="1">
        <f t="array" ref="R8878">IFERROR(IF($B8878=R$1, ($A8878+$C8878) - MAX(IF($B$2:$B8877=$B8878, $A$2:$A8877+$C$2:$C8877)), "")*24*60, "")</f>
        <v/>
      </c>
      <c r="S8878" s="24" t="str" cm="1">
        <f t="array" ref="S8878">IFERROR(IF($B8878=S$1, ($A8878+$C8878) - MAX(IF($B$2:$B8877=$B8878, $A$2:$A8877+$C$2:$C8877)), "")*24*60, "")</f>
        <v/>
      </c>
    </row>
    <row r="8879" spans="1:19" x14ac:dyDescent="0.2">
      <c r="A8879" s="12">
        <f t="shared" ref="A8879:C8879" si="1431">A8878</f>
        <v>46038</v>
      </c>
      <c r="B8879" s="5" t="str">
        <f t="shared" si="1431"/>
        <v>Northern Cardinal</v>
      </c>
      <c r="C8879" s="6">
        <f t="shared" si="1431"/>
        <v>0.29166666666666669</v>
      </c>
      <c r="D8879" s="5"/>
      <c r="E8879" s="5"/>
      <c r="F8879" s="5" t="s">
        <v>9</v>
      </c>
      <c r="G8879" s="15" t="s">
        <v>8</v>
      </c>
      <c r="H8879" s="24">
        <f t="shared" si="1412"/>
        <v>0</v>
      </c>
      <c r="I8879" s="24" cm="1">
        <f t="array" ref="I8879">IFERROR(IF($B8879=I$1, ($A8879+$C8879) - MAX(IF($B$2:$B8878=$B8879, $A$2:$A8878+$C$2:$C8878)), "")*24*60, "")</f>
        <v>0</v>
      </c>
      <c r="J8879" s="24" t="str" cm="1">
        <f t="array" ref="J8879">IFERROR(IF($B8879=J$1, ($A8879+$C8879) - MAX(IF($B$2:$B8878=$B8879, $A$2:$A8878+$C$2:$C8878)), "")*24*60, "")</f>
        <v/>
      </c>
      <c r="K8879" s="24" t="str" cm="1">
        <f t="array" ref="K8879">IFERROR(IF($B8879=K$1, ($A8879+$C8879) - MAX(IF($B$2:$B8878=$B8879, $A$2:$A8878+$C$2:$C8878)), "")*24*60, "")</f>
        <v/>
      </c>
      <c r="L8879" s="24" t="str" cm="1">
        <f t="array" ref="L8879">IFERROR(IF($B8879=L$1, ($A8879+$C8879) - MAX(IF($B$2:$B8878=$B8879, $A$2:$A8878+$C$2:$C8878)), "")*24*60, "")</f>
        <v/>
      </c>
      <c r="M8879" s="24" t="str" cm="1">
        <f t="array" ref="M8879">IFERROR(IF($B8879=M$1, ($A8879+$C8879) - MAX(IF($B$2:$B8878=$B8879, $A$2:$A8878+$C$2:$C8878)), "")*24*60, "")</f>
        <v/>
      </c>
      <c r="N8879" s="24" t="str" cm="1">
        <f t="array" ref="N8879">IFERROR(IF($B8879=N$1, ($A8879+$C8879) - MAX(IF($B$2:$B8878=$B8879, $A$2:$A8878+$C$2:$C8878)), "")*24*60, "")</f>
        <v/>
      </c>
      <c r="O8879" s="24" t="str" cm="1">
        <f t="array" ref="O8879">IFERROR(IF($B8879=O$1, ($A8879+$C8879) - MAX(IF($B$2:$B8878=$B8879, $A$2:$A8878+$C$2:$C8878)), "")*24*60, "")</f>
        <v/>
      </c>
      <c r="P8879" s="24" t="str" cm="1">
        <f t="array" ref="P8879">IFERROR(IF($B8879=P$1, ($A8879+$C8879) - MAX(IF($B$2:$B8878=$B8879, $A$2:$A8878+$C$2:$C8878)), "")*24*60, "")</f>
        <v/>
      </c>
      <c r="Q8879" s="24" t="str" cm="1">
        <f t="array" ref="Q8879">IFERROR(IF($B8879=Q$1, ($A8879+$C8879) - MAX(IF($B$2:$B8878=$B8879, $A$2:$A8878+$C$2:$C8878)), "")*24*60, "")</f>
        <v/>
      </c>
      <c r="R8879" s="24" t="str" cm="1">
        <f t="array" ref="R8879">IFERROR(IF($B8879=R$1, ($A8879+$C8879) - MAX(IF($B$2:$B8878=$B8879, $A$2:$A8878+$C$2:$C8878)), "")*24*60, "")</f>
        <v/>
      </c>
      <c r="S8879" s="24" t="str" cm="1">
        <f t="array" ref="S8879">IFERROR(IF($B8879=S$1, ($A8879+$C8879) - MAX(IF($B$2:$B8878=$B8879, $A$2:$A8878+$C$2:$C8878)), "")*24*60, "")</f>
        <v/>
      </c>
    </row>
    <row r="8880" spans="1:19" x14ac:dyDescent="0.2">
      <c r="A8880" s="12">
        <f t="shared" ref="A8880:C8880" si="1432">A8879</f>
        <v>46038</v>
      </c>
      <c r="B8880" s="5" t="str">
        <f t="shared" si="1432"/>
        <v>Northern Cardinal</v>
      </c>
      <c r="C8880" s="6">
        <f t="shared" si="1432"/>
        <v>0.29166666666666669</v>
      </c>
      <c r="D8880" s="5"/>
      <c r="E8880" s="5"/>
      <c r="F8880" s="5" t="s">
        <v>9</v>
      </c>
      <c r="G8880" s="15" t="s">
        <v>8</v>
      </c>
      <c r="H8880" s="24">
        <f t="shared" si="1412"/>
        <v>0</v>
      </c>
      <c r="I8880" s="24" cm="1">
        <f t="array" ref="I8880">IFERROR(IF($B8880=I$1, ($A8880+$C8880) - MAX(IF($B$2:$B8879=$B8880, $A$2:$A8879+$C$2:$C8879)), "")*24*60, "")</f>
        <v>0</v>
      </c>
      <c r="J8880" s="24" t="str" cm="1">
        <f t="array" ref="J8880">IFERROR(IF($B8880=J$1, ($A8880+$C8880) - MAX(IF($B$2:$B8879=$B8880, $A$2:$A8879+$C$2:$C8879)), "")*24*60, "")</f>
        <v/>
      </c>
      <c r="K8880" s="24" t="str" cm="1">
        <f t="array" ref="K8880">IFERROR(IF($B8880=K$1, ($A8880+$C8880) - MAX(IF($B$2:$B8879=$B8880, $A$2:$A8879+$C$2:$C8879)), "")*24*60, "")</f>
        <v/>
      </c>
      <c r="L8880" s="24" t="str" cm="1">
        <f t="array" ref="L8880">IFERROR(IF($B8880=L$1, ($A8880+$C8880) - MAX(IF($B$2:$B8879=$B8880, $A$2:$A8879+$C$2:$C8879)), "")*24*60, "")</f>
        <v/>
      </c>
      <c r="M8880" s="24" t="str" cm="1">
        <f t="array" ref="M8880">IFERROR(IF($B8880=M$1, ($A8880+$C8880) - MAX(IF($B$2:$B8879=$B8880, $A$2:$A8879+$C$2:$C8879)), "")*24*60, "")</f>
        <v/>
      </c>
      <c r="N8880" s="24" t="str" cm="1">
        <f t="array" ref="N8880">IFERROR(IF($B8880=N$1, ($A8880+$C8880) - MAX(IF($B$2:$B8879=$B8880, $A$2:$A8879+$C$2:$C8879)), "")*24*60, "")</f>
        <v/>
      </c>
      <c r="O8880" s="24" t="str" cm="1">
        <f t="array" ref="O8880">IFERROR(IF($B8880=O$1, ($A8880+$C8880) - MAX(IF($B$2:$B8879=$B8880, $A$2:$A8879+$C$2:$C8879)), "")*24*60, "")</f>
        <v/>
      </c>
      <c r="P8880" s="24" t="str" cm="1">
        <f t="array" ref="P8880">IFERROR(IF($B8880=P$1, ($A8880+$C8880) - MAX(IF($B$2:$B8879=$B8880, $A$2:$A8879+$C$2:$C8879)), "")*24*60, "")</f>
        <v/>
      </c>
      <c r="Q8880" s="24" t="str" cm="1">
        <f t="array" ref="Q8880">IFERROR(IF($B8880=Q$1, ($A8880+$C8880) - MAX(IF($B$2:$B8879=$B8880, $A$2:$A8879+$C$2:$C8879)), "")*24*60, "")</f>
        <v/>
      </c>
      <c r="R8880" s="24" t="str" cm="1">
        <f t="array" ref="R8880">IFERROR(IF($B8880=R$1, ($A8880+$C8880) - MAX(IF($B$2:$B8879=$B8880, $A$2:$A8879+$C$2:$C8879)), "")*24*60, "")</f>
        <v/>
      </c>
      <c r="S8880" s="24" t="str" cm="1">
        <f t="array" ref="S8880">IFERROR(IF($B8880=S$1, ($A8880+$C8880) - MAX(IF($B$2:$B8879=$B8880, $A$2:$A8879+$C$2:$C8879)), "")*24*60, "")</f>
        <v/>
      </c>
    </row>
    <row r="8881" spans="1:19" x14ac:dyDescent="0.2">
      <c r="A8881" s="12">
        <f t="shared" ref="A8881:C8881" si="1433">A8880</f>
        <v>46038</v>
      </c>
      <c r="B8881" s="5" t="str">
        <f t="shared" si="1433"/>
        <v>Northern Cardinal</v>
      </c>
      <c r="C8881" s="6">
        <f t="shared" si="1433"/>
        <v>0.29166666666666669</v>
      </c>
      <c r="D8881" s="5"/>
      <c r="E8881" s="5"/>
      <c r="F8881" s="5" t="s">
        <v>9</v>
      </c>
      <c r="G8881" s="15" t="s">
        <v>8</v>
      </c>
      <c r="H8881" s="24">
        <f t="shared" si="1412"/>
        <v>0</v>
      </c>
      <c r="I8881" s="24" cm="1">
        <f t="array" ref="I8881">IFERROR(IF($B8881=I$1, ($A8881+$C8881) - MAX(IF($B$2:$B8880=$B8881, $A$2:$A8880+$C$2:$C8880)), "")*24*60, "")</f>
        <v>0</v>
      </c>
      <c r="J8881" s="24" t="str" cm="1">
        <f t="array" ref="J8881">IFERROR(IF($B8881=J$1, ($A8881+$C8881) - MAX(IF($B$2:$B8880=$B8881, $A$2:$A8880+$C$2:$C8880)), "")*24*60, "")</f>
        <v/>
      </c>
      <c r="K8881" s="24" t="str" cm="1">
        <f t="array" ref="K8881">IFERROR(IF($B8881=K$1, ($A8881+$C8881) - MAX(IF($B$2:$B8880=$B8881, $A$2:$A8880+$C$2:$C8880)), "")*24*60, "")</f>
        <v/>
      </c>
      <c r="L8881" s="24" t="str" cm="1">
        <f t="array" ref="L8881">IFERROR(IF($B8881=L$1, ($A8881+$C8881) - MAX(IF($B$2:$B8880=$B8881, $A$2:$A8880+$C$2:$C8880)), "")*24*60, "")</f>
        <v/>
      </c>
      <c r="M8881" s="24" t="str" cm="1">
        <f t="array" ref="M8881">IFERROR(IF($B8881=M$1, ($A8881+$C8881) - MAX(IF($B$2:$B8880=$B8881, $A$2:$A8880+$C$2:$C8880)), "")*24*60, "")</f>
        <v/>
      </c>
      <c r="N8881" s="24" t="str" cm="1">
        <f t="array" ref="N8881">IFERROR(IF($B8881=N$1, ($A8881+$C8881) - MAX(IF($B$2:$B8880=$B8881, $A$2:$A8880+$C$2:$C8880)), "")*24*60, "")</f>
        <v/>
      </c>
      <c r="O8881" s="24" t="str" cm="1">
        <f t="array" ref="O8881">IFERROR(IF($B8881=O$1, ($A8881+$C8881) - MAX(IF($B$2:$B8880=$B8881, $A$2:$A8880+$C$2:$C8880)), "")*24*60, "")</f>
        <v/>
      </c>
      <c r="P8881" s="24" t="str" cm="1">
        <f t="array" ref="P8881">IFERROR(IF($B8881=P$1, ($A8881+$C8881) - MAX(IF($B$2:$B8880=$B8881, $A$2:$A8880+$C$2:$C8880)), "")*24*60, "")</f>
        <v/>
      </c>
      <c r="Q8881" s="24" t="str" cm="1">
        <f t="array" ref="Q8881">IFERROR(IF($B8881=Q$1, ($A8881+$C8881) - MAX(IF($B$2:$B8880=$B8881, $A$2:$A8880+$C$2:$C8880)), "")*24*60, "")</f>
        <v/>
      </c>
      <c r="R8881" s="24" t="str" cm="1">
        <f t="array" ref="R8881">IFERROR(IF($B8881=R$1, ($A8881+$C8881) - MAX(IF($B$2:$B8880=$B8881, $A$2:$A8880+$C$2:$C8880)), "")*24*60, "")</f>
        <v/>
      </c>
      <c r="S8881" s="24" t="str" cm="1">
        <f t="array" ref="S8881">IFERROR(IF($B8881=S$1, ($A8881+$C8881) - MAX(IF($B$2:$B8880=$B8881, $A$2:$A8880+$C$2:$C8880)), "")*24*60, "")</f>
        <v/>
      </c>
    </row>
    <row r="8882" spans="1:19" x14ac:dyDescent="0.2">
      <c r="A8882" s="12">
        <f t="shared" ref="A8882:C8882" si="1434">A8881</f>
        <v>46038</v>
      </c>
      <c r="B8882" s="5" t="str">
        <f t="shared" si="1434"/>
        <v>Northern Cardinal</v>
      </c>
      <c r="C8882" s="6">
        <f t="shared" si="1434"/>
        <v>0.29166666666666669</v>
      </c>
      <c r="D8882" s="5"/>
      <c r="E8882" s="5"/>
      <c r="F8882" s="5" t="s">
        <v>9</v>
      </c>
      <c r="G8882" s="15" t="s">
        <v>8</v>
      </c>
      <c r="H8882" s="24">
        <f t="shared" si="1412"/>
        <v>0</v>
      </c>
      <c r="I8882" s="24" cm="1">
        <f t="array" ref="I8882">IFERROR(IF($B8882=I$1, ($A8882+$C8882) - MAX(IF($B$2:$B8881=$B8882, $A$2:$A8881+$C$2:$C8881)), "")*24*60, "")</f>
        <v>0</v>
      </c>
      <c r="J8882" s="24" t="str" cm="1">
        <f t="array" ref="J8882">IFERROR(IF($B8882=J$1, ($A8882+$C8882) - MAX(IF($B$2:$B8881=$B8882, $A$2:$A8881+$C$2:$C8881)), "")*24*60, "")</f>
        <v/>
      </c>
      <c r="K8882" s="24" t="str" cm="1">
        <f t="array" ref="K8882">IFERROR(IF($B8882=K$1, ($A8882+$C8882) - MAX(IF($B$2:$B8881=$B8882, $A$2:$A8881+$C$2:$C8881)), "")*24*60, "")</f>
        <v/>
      </c>
      <c r="L8882" s="24" t="str" cm="1">
        <f t="array" ref="L8882">IFERROR(IF($B8882=L$1, ($A8882+$C8882) - MAX(IF($B$2:$B8881=$B8882, $A$2:$A8881+$C$2:$C8881)), "")*24*60, "")</f>
        <v/>
      </c>
      <c r="M8882" s="24" t="str" cm="1">
        <f t="array" ref="M8882">IFERROR(IF($B8882=M$1, ($A8882+$C8882) - MAX(IF($B$2:$B8881=$B8882, $A$2:$A8881+$C$2:$C8881)), "")*24*60, "")</f>
        <v/>
      </c>
      <c r="N8882" s="24" t="str" cm="1">
        <f t="array" ref="N8882">IFERROR(IF($B8882=N$1, ($A8882+$C8882) - MAX(IF($B$2:$B8881=$B8882, $A$2:$A8881+$C$2:$C8881)), "")*24*60, "")</f>
        <v/>
      </c>
      <c r="O8882" s="24" t="str" cm="1">
        <f t="array" ref="O8882">IFERROR(IF($B8882=O$1, ($A8882+$C8882) - MAX(IF($B$2:$B8881=$B8882, $A$2:$A8881+$C$2:$C8881)), "")*24*60, "")</f>
        <v/>
      </c>
      <c r="P8882" s="24" t="str" cm="1">
        <f t="array" ref="P8882">IFERROR(IF($B8882=P$1, ($A8882+$C8882) - MAX(IF($B$2:$B8881=$B8882, $A$2:$A8881+$C$2:$C8881)), "")*24*60, "")</f>
        <v/>
      </c>
      <c r="Q8882" s="24" t="str" cm="1">
        <f t="array" ref="Q8882">IFERROR(IF($B8882=Q$1, ($A8882+$C8882) - MAX(IF($B$2:$B8881=$B8882, $A$2:$A8881+$C$2:$C8881)), "")*24*60, "")</f>
        <v/>
      </c>
      <c r="R8882" s="24" t="str" cm="1">
        <f t="array" ref="R8882">IFERROR(IF($B8882=R$1, ($A8882+$C8882) - MAX(IF($B$2:$B8881=$B8882, $A$2:$A8881+$C$2:$C8881)), "")*24*60, "")</f>
        <v/>
      </c>
      <c r="S8882" s="24" t="str" cm="1">
        <f t="array" ref="S8882">IFERROR(IF($B8882=S$1, ($A8882+$C8882) - MAX(IF($B$2:$B8881=$B8882, $A$2:$A8881+$C$2:$C8881)), "")*24*60, "")</f>
        <v/>
      </c>
    </row>
    <row r="8883" spans="1:19" x14ac:dyDescent="0.2">
      <c r="A8883" s="12">
        <f t="shared" ref="A8883:C8883" si="1435">A8882</f>
        <v>46038</v>
      </c>
      <c r="B8883" s="5" t="str">
        <f t="shared" si="1435"/>
        <v>Northern Cardinal</v>
      </c>
      <c r="C8883" s="6">
        <f t="shared" si="1435"/>
        <v>0.29166666666666669</v>
      </c>
      <c r="D8883" s="5"/>
      <c r="E8883" s="5"/>
      <c r="F8883" s="5" t="s">
        <v>9</v>
      </c>
      <c r="G8883" s="15" t="s">
        <v>8</v>
      </c>
      <c r="H8883" s="24">
        <f t="shared" si="1412"/>
        <v>0</v>
      </c>
      <c r="I8883" s="24" cm="1">
        <f t="array" ref="I8883">IFERROR(IF($B8883=I$1, ($A8883+$C8883) - MAX(IF($B$2:$B8882=$B8883, $A$2:$A8882+$C$2:$C8882)), "")*24*60, "")</f>
        <v>0</v>
      </c>
      <c r="J8883" s="24" t="str" cm="1">
        <f t="array" ref="J8883">IFERROR(IF($B8883=J$1, ($A8883+$C8883) - MAX(IF($B$2:$B8882=$B8883, $A$2:$A8882+$C$2:$C8882)), "")*24*60, "")</f>
        <v/>
      </c>
      <c r="K8883" s="24" t="str" cm="1">
        <f t="array" ref="K8883">IFERROR(IF($B8883=K$1, ($A8883+$C8883) - MAX(IF($B$2:$B8882=$B8883, $A$2:$A8882+$C$2:$C8882)), "")*24*60, "")</f>
        <v/>
      </c>
      <c r="L8883" s="24" t="str" cm="1">
        <f t="array" ref="L8883">IFERROR(IF($B8883=L$1, ($A8883+$C8883) - MAX(IF($B$2:$B8882=$B8883, $A$2:$A8882+$C$2:$C8882)), "")*24*60, "")</f>
        <v/>
      </c>
      <c r="M8883" s="24" t="str" cm="1">
        <f t="array" ref="M8883">IFERROR(IF($B8883=M$1, ($A8883+$C8883) - MAX(IF($B$2:$B8882=$B8883, $A$2:$A8882+$C$2:$C8882)), "")*24*60, "")</f>
        <v/>
      </c>
      <c r="N8883" s="24" t="str" cm="1">
        <f t="array" ref="N8883">IFERROR(IF($B8883=N$1, ($A8883+$C8883) - MAX(IF($B$2:$B8882=$B8883, $A$2:$A8882+$C$2:$C8882)), "")*24*60, "")</f>
        <v/>
      </c>
      <c r="O8883" s="24" t="str" cm="1">
        <f t="array" ref="O8883">IFERROR(IF($B8883=O$1, ($A8883+$C8883) - MAX(IF($B$2:$B8882=$B8883, $A$2:$A8882+$C$2:$C8882)), "")*24*60, "")</f>
        <v/>
      </c>
      <c r="P8883" s="24" t="str" cm="1">
        <f t="array" ref="P8883">IFERROR(IF($B8883=P$1, ($A8883+$C8883) - MAX(IF($B$2:$B8882=$B8883, $A$2:$A8882+$C$2:$C8882)), "")*24*60, "")</f>
        <v/>
      </c>
      <c r="Q8883" s="24" t="str" cm="1">
        <f t="array" ref="Q8883">IFERROR(IF($B8883=Q$1, ($A8883+$C8883) - MAX(IF($B$2:$B8882=$B8883, $A$2:$A8882+$C$2:$C8882)), "")*24*60, "")</f>
        <v/>
      </c>
      <c r="R8883" s="24" t="str" cm="1">
        <f t="array" ref="R8883">IFERROR(IF($B8883=R$1, ($A8883+$C8883) - MAX(IF($B$2:$B8882=$B8883, $A$2:$A8882+$C$2:$C8882)), "")*24*60, "")</f>
        <v/>
      </c>
      <c r="S8883" s="24" t="str" cm="1">
        <f t="array" ref="S8883">IFERROR(IF($B8883=S$1, ($A8883+$C8883) - MAX(IF($B$2:$B8882=$B8883, $A$2:$A8882+$C$2:$C8882)), "")*24*60, "")</f>
        <v/>
      </c>
    </row>
    <row r="8884" spans="1:19" x14ac:dyDescent="0.2">
      <c r="A8884" s="12">
        <f t="shared" ref="A8884:C8884" si="1436">A8883</f>
        <v>46038</v>
      </c>
      <c r="B8884" s="5" t="str">
        <f t="shared" si="1436"/>
        <v>Northern Cardinal</v>
      </c>
      <c r="C8884" s="6">
        <f t="shared" si="1436"/>
        <v>0.29166666666666669</v>
      </c>
      <c r="D8884" s="5"/>
      <c r="E8884" s="5"/>
      <c r="F8884" s="5" t="s">
        <v>9</v>
      </c>
      <c r="G8884" s="15" t="s">
        <v>8</v>
      </c>
      <c r="H8884" s="24">
        <f t="shared" si="1412"/>
        <v>0</v>
      </c>
      <c r="I8884" s="24" cm="1">
        <f t="array" ref="I8884">IFERROR(IF($B8884=I$1, ($A8884+$C8884) - MAX(IF($B$2:$B8883=$B8884, $A$2:$A8883+$C$2:$C8883)), "")*24*60, "")</f>
        <v>0</v>
      </c>
      <c r="J8884" s="24" t="str" cm="1">
        <f t="array" ref="J8884">IFERROR(IF($B8884=J$1, ($A8884+$C8884) - MAX(IF($B$2:$B8883=$B8884, $A$2:$A8883+$C$2:$C8883)), "")*24*60, "")</f>
        <v/>
      </c>
      <c r="K8884" s="24" t="str" cm="1">
        <f t="array" ref="K8884">IFERROR(IF($B8884=K$1, ($A8884+$C8884) - MAX(IF($B$2:$B8883=$B8884, $A$2:$A8883+$C$2:$C8883)), "")*24*60, "")</f>
        <v/>
      </c>
      <c r="L8884" s="24" t="str" cm="1">
        <f t="array" ref="L8884">IFERROR(IF($B8884=L$1, ($A8884+$C8884) - MAX(IF($B$2:$B8883=$B8884, $A$2:$A8883+$C$2:$C8883)), "")*24*60, "")</f>
        <v/>
      </c>
      <c r="M8884" s="24" t="str" cm="1">
        <f t="array" ref="M8884">IFERROR(IF($B8884=M$1, ($A8884+$C8884) - MAX(IF($B$2:$B8883=$B8884, $A$2:$A8883+$C$2:$C8883)), "")*24*60, "")</f>
        <v/>
      </c>
      <c r="N8884" s="24" t="str" cm="1">
        <f t="array" ref="N8884">IFERROR(IF($B8884=N$1, ($A8884+$C8884) - MAX(IF($B$2:$B8883=$B8884, $A$2:$A8883+$C$2:$C8883)), "")*24*60, "")</f>
        <v/>
      </c>
      <c r="O8884" s="24" t="str" cm="1">
        <f t="array" ref="O8884">IFERROR(IF($B8884=O$1, ($A8884+$C8884) - MAX(IF($B$2:$B8883=$B8884, $A$2:$A8883+$C$2:$C8883)), "")*24*60, "")</f>
        <v/>
      </c>
      <c r="P8884" s="24" t="str" cm="1">
        <f t="array" ref="P8884">IFERROR(IF($B8884=P$1, ($A8884+$C8884) - MAX(IF($B$2:$B8883=$B8884, $A$2:$A8883+$C$2:$C8883)), "")*24*60, "")</f>
        <v/>
      </c>
      <c r="Q8884" s="24" t="str" cm="1">
        <f t="array" ref="Q8884">IFERROR(IF($B8884=Q$1, ($A8884+$C8884) - MAX(IF($B$2:$B8883=$B8884, $A$2:$A8883+$C$2:$C8883)), "")*24*60, "")</f>
        <v/>
      </c>
      <c r="R8884" s="24" t="str" cm="1">
        <f t="array" ref="R8884">IFERROR(IF($B8884=R$1, ($A8884+$C8884) - MAX(IF($B$2:$B8883=$B8884, $A$2:$A8883+$C$2:$C8883)), "")*24*60, "")</f>
        <v/>
      </c>
      <c r="S8884" s="24" t="str" cm="1">
        <f t="array" ref="S8884">IFERROR(IF($B8884=S$1, ($A8884+$C8884) - MAX(IF($B$2:$B8883=$B8884, $A$2:$A8883+$C$2:$C8883)), "")*24*60, "")</f>
        <v/>
      </c>
    </row>
    <row r="8885" spans="1:19" x14ac:dyDescent="0.2">
      <c r="A8885" s="12">
        <f t="shared" ref="A8885:C8885" si="1437">A8884</f>
        <v>46038</v>
      </c>
      <c r="B8885" s="5" t="str">
        <f t="shared" si="1437"/>
        <v>Northern Cardinal</v>
      </c>
      <c r="C8885" s="6">
        <f t="shared" si="1437"/>
        <v>0.29166666666666669</v>
      </c>
      <c r="D8885" s="5"/>
      <c r="E8885" s="5"/>
      <c r="F8885" s="5" t="s">
        <v>9</v>
      </c>
      <c r="G8885" s="15" t="s">
        <v>8</v>
      </c>
      <c r="H8885" s="24">
        <f t="shared" si="1412"/>
        <v>0</v>
      </c>
      <c r="I8885" s="24" cm="1">
        <f t="array" ref="I8885">IFERROR(IF($B8885=I$1, ($A8885+$C8885) - MAX(IF($B$2:$B8884=$B8885, $A$2:$A8884+$C$2:$C8884)), "")*24*60, "")</f>
        <v>0</v>
      </c>
      <c r="J8885" s="24" t="str" cm="1">
        <f t="array" ref="J8885">IFERROR(IF($B8885=J$1, ($A8885+$C8885) - MAX(IF($B$2:$B8884=$B8885, $A$2:$A8884+$C$2:$C8884)), "")*24*60, "")</f>
        <v/>
      </c>
      <c r="K8885" s="24" t="str" cm="1">
        <f t="array" ref="K8885">IFERROR(IF($B8885=K$1, ($A8885+$C8885) - MAX(IF($B$2:$B8884=$B8885, $A$2:$A8884+$C$2:$C8884)), "")*24*60, "")</f>
        <v/>
      </c>
      <c r="L8885" s="24" t="str" cm="1">
        <f t="array" ref="L8885">IFERROR(IF($B8885=L$1, ($A8885+$C8885) - MAX(IF($B$2:$B8884=$B8885, $A$2:$A8884+$C$2:$C8884)), "")*24*60, "")</f>
        <v/>
      </c>
      <c r="M8885" s="24" t="str" cm="1">
        <f t="array" ref="M8885">IFERROR(IF($B8885=M$1, ($A8885+$C8885) - MAX(IF($B$2:$B8884=$B8885, $A$2:$A8884+$C$2:$C8884)), "")*24*60, "")</f>
        <v/>
      </c>
      <c r="N8885" s="24" t="str" cm="1">
        <f t="array" ref="N8885">IFERROR(IF($B8885=N$1, ($A8885+$C8885) - MAX(IF($B$2:$B8884=$B8885, $A$2:$A8884+$C$2:$C8884)), "")*24*60, "")</f>
        <v/>
      </c>
      <c r="O8885" s="24" t="str" cm="1">
        <f t="array" ref="O8885">IFERROR(IF($B8885=O$1, ($A8885+$C8885) - MAX(IF($B$2:$B8884=$B8885, $A$2:$A8884+$C$2:$C8884)), "")*24*60, "")</f>
        <v/>
      </c>
      <c r="P8885" s="24" t="str" cm="1">
        <f t="array" ref="P8885">IFERROR(IF($B8885=P$1, ($A8885+$C8885) - MAX(IF($B$2:$B8884=$B8885, $A$2:$A8884+$C$2:$C8884)), "")*24*60, "")</f>
        <v/>
      </c>
      <c r="Q8885" s="24" t="str" cm="1">
        <f t="array" ref="Q8885">IFERROR(IF($B8885=Q$1, ($A8885+$C8885) - MAX(IF($B$2:$B8884=$B8885, $A$2:$A8884+$C$2:$C8884)), "")*24*60, "")</f>
        <v/>
      </c>
      <c r="R8885" s="24" t="str" cm="1">
        <f t="array" ref="R8885">IFERROR(IF($B8885=R$1, ($A8885+$C8885) - MAX(IF($B$2:$B8884=$B8885, $A$2:$A8884+$C$2:$C8884)), "")*24*60, "")</f>
        <v/>
      </c>
      <c r="S8885" s="24" t="str" cm="1">
        <f t="array" ref="S8885">IFERROR(IF($B8885=S$1, ($A8885+$C8885) - MAX(IF($B$2:$B8884=$B8885, $A$2:$A8884+$C$2:$C8884)), "")*24*60, "")</f>
        <v/>
      </c>
    </row>
    <row r="8886" spans="1:19" x14ac:dyDescent="0.2">
      <c r="A8886" s="12">
        <f t="shared" ref="A8886:C8886" si="1438">A8885</f>
        <v>46038</v>
      </c>
      <c r="B8886" s="5" t="str">
        <f t="shared" si="1438"/>
        <v>Northern Cardinal</v>
      </c>
      <c r="C8886" s="6">
        <f t="shared" si="1438"/>
        <v>0.29166666666666669</v>
      </c>
      <c r="D8886" s="5"/>
      <c r="E8886" s="5"/>
      <c r="F8886" s="5" t="s">
        <v>9</v>
      </c>
      <c r="G8886" s="15" t="s">
        <v>8</v>
      </c>
      <c r="H8886" s="24">
        <f t="shared" si="1412"/>
        <v>0</v>
      </c>
      <c r="I8886" s="24" cm="1">
        <f t="array" ref="I8886">IFERROR(IF($B8886=I$1, ($A8886+$C8886) - MAX(IF($B$2:$B8885=$B8886, $A$2:$A8885+$C$2:$C8885)), "")*24*60, "")</f>
        <v>0</v>
      </c>
      <c r="J8886" s="24" t="str" cm="1">
        <f t="array" ref="J8886">IFERROR(IF($B8886=J$1, ($A8886+$C8886) - MAX(IF($B$2:$B8885=$B8886, $A$2:$A8885+$C$2:$C8885)), "")*24*60, "")</f>
        <v/>
      </c>
      <c r="K8886" s="24" t="str" cm="1">
        <f t="array" ref="K8886">IFERROR(IF($B8886=K$1, ($A8886+$C8886) - MAX(IF($B$2:$B8885=$B8886, $A$2:$A8885+$C$2:$C8885)), "")*24*60, "")</f>
        <v/>
      </c>
      <c r="L8886" s="24" t="str" cm="1">
        <f t="array" ref="L8886">IFERROR(IF($B8886=L$1, ($A8886+$C8886) - MAX(IF($B$2:$B8885=$B8886, $A$2:$A8885+$C$2:$C8885)), "")*24*60, "")</f>
        <v/>
      </c>
      <c r="M8886" s="24" t="str" cm="1">
        <f t="array" ref="M8886">IFERROR(IF($B8886=M$1, ($A8886+$C8886) - MAX(IF($B$2:$B8885=$B8886, $A$2:$A8885+$C$2:$C8885)), "")*24*60, "")</f>
        <v/>
      </c>
      <c r="N8886" s="24" t="str" cm="1">
        <f t="array" ref="N8886">IFERROR(IF($B8886=N$1, ($A8886+$C8886) - MAX(IF($B$2:$B8885=$B8886, $A$2:$A8885+$C$2:$C8885)), "")*24*60, "")</f>
        <v/>
      </c>
      <c r="O8886" s="24" t="str" cm="1">
        <f t="array" ref="O8886">IFERROR(IF($B8886=O$1, ($A8886+$C8886) - MAX(IF($B$2:$B8885=$B8886, $A$2:$A8885+$C$2:$C8885)), "")*24*60, "")</f>
        <v/>
      </c>
      <c r="P8886" s="24" t="str" cm="1">
        <f t="array" ref="P8886">IFERROR(IF($B8886=P$1, ($A8886+$C8886) - MAX(IF($B$2:$B8885=$B8886, $A$2:$A8885+$C$2:$C8885)), "")*24*60, "")</f>
        <v/>
      </c>
      <c r="Q8886" s="24" t="str" cm="1">
        <f t="array" ref="Q8886">IFERROR(IF($B8886=Q$1, ($A8886+$C8886) - MAX(IF($B$2:$B8885=$B8886, $A$2:$A8885+$C$2:$C8885)), "")*24*60, "")</f>
        <v/>
      </c>
      <c r="R8886" s="24" t="str" cm="1">
        <f t="array" ref="R8886">IFERROR(IF($B8886=R$1, ($A8886+$C8886) - MAX(IF($B$2:$B8885=$B8886, $A$2:$A8885+$C$2:$C8885)), "")*24*60, "")</f>
        <v/>
      </c>
      <c r="S8886" s="24" t="str" cm="1">
        <f t="array" ref="S8886">IFERROR(IF($B8886=S$1, ($A8886+$C8886) - MAX(IF($B$2:$B8885=$B8886, $A$2:$A8885+$C$2:$C8885)), "")*24*60, "")</f>
        <v/>
      </c>
    </row>
    <row r="8887" spans="1:19" x14ac:dyDescent="0.2">
      <c r="A8887" s="12">
        <f t="shared" ref="A8887:C8887" si="1439">A8886</f>
        <v>46038</v>
      </c>
      <c r="B8887" s="5" t="str">
        <f t="shared" si="1439"/>
        <v>Northern Cardinal</v>
      </c>
      <c r="C8887" s="6">
        <f t="shared" si="1439"/>
        <v>0.29166666666666669</v>
      </c>
      <c r="D8887" s="5"/>
      <c r="E8887" s="5"/>
      <c r="F8887" s="5" t="s">
        <v>9</v>
      </c>
      <c r="G8887" s="15" t="s">
        <v>8</v>
      </c>
      <c r="H8887" s="24">
        <f t="shared" si="1412"/>
        <v>0</v>
      </c>
      <c r="I8887" s="24" cm="1">
        <f t="array" ref="I8887">IFERROR(IF($B8887=I$1, ($A8887+$C8887) - MAX(IF($B$2:$B8886=$B8887, $A$2:$A8886+$C$2:$C8886)), "")*24*60, "")</f>
        <v>0</v>
      </c>
      <c r="J8887" s="24" t="str" cm="1">
        <f t="array" ref="J8887">IFERROR(IF($B8887=J$1, ($A8887+$C8887) - MAX(IF($B$2:$B8886=$B8887, $A$2:$A8886+$C$2:$C8886)), "")*24*60, "")</f>
        <v/>
      </c>
      <c r="K8887" s="24" t="str" cm="1">
        <f t="array" ref="K8887">IFERROR(IF($B8887=K$1, ($A8887+$C8887) - MAX(IF($B$2:$B8886=$B8887, $A$2:$A8886+$C$2:$C8886)), "")*24*60, "")</f>
        <v/>
      </c>
      <c r="L8887" s="24" t="str" cm="1">
        <f t="array" ref="L8887">IFERROR(IF($B8887=L$1, ($A8887+$C8887) - MAX(IF($B$2:$B8886=$B8887, $A$2:$A8886+$C$2:$C8886)), "")*24*60, "")</f>
        <v/>
      </c>
      <c r="M8887" s="24" t="str" cm="1">
        <f t="array" ref="M8887">IFERROR(IF($B8887=M$1, ($A8887+$C8887) - MAX(IF($B$2:$B8886=$B8887, $A$2:$A8886+$C$2:$C8886)), "")*24*60, "")</f>
        <v/>
      </c>
      <c r="N8887" s="24" t="str" cm="1">
        <f t="array" ref="N8887">IFERROR(IF($B8887=N$1, ($A8887+$C8887) - MAX(IF($B$2:$B8886=$B8887, $A$2:$A8886+$C$2:$C8886)), "")*24*60, "")</f>
        <v/>
      </c>
      <c r="O8887" s="24" t="str" cm="1">
        <f t="array" ref="O8887">IFERROR(IF($B8887=O$1, ($A8887+$C8887) - MAX(IF($B$2:$B8886=$B8887, $A$2:$A8886+$C$2:$C8886)), "")*24*60, "")</f>
        <v/>
      </c>
      <c r="P8887" s="24" t="str" cm="1">
        <f t="array" ref="P8887">IFERROR(IF($B8887=P$1, ($A8887+$C8887) - MAX(IF($B$2:$B8886=$B8887, $A$2:$A8886+$C$2:$C8886)), "")*24*60, "")</f>
        <v/>
      </c>
      <c r="Q8887" s="24" t="str" cm="1">
        <f t="array" ref="Q8887">IFERROR(IF($B8887=Q$1, ($A8887+$C8887) - MAX(IF($B$2:$B8886=$B8887, $A$2:$A8886+$C$2:$C8886)), "")*24*60, "")</f>
        <v/>
      </c>
      <c r="R8887" s="24" t="str" cm="1">
        <f t="array" ref="R8887">IFERROR(IF($B8887=R$1, ($A8887+$C8887) - MAX(IF($B$2:$B8886=$B8887, $A$2:$A8886+$C$2:$C8886)), "")*24*60, "")</f>
        <v/>
      </c>
      <c r="S8887" s="24" t="str" cm="1">
        <f t="array" ref="S8887">IFERROR(IF($B8887=S$1, ($A8887+$C8887) - MAX(IF($B$2:$B8886=$B8887, $A$2:$A8886+$C$2:$C8886)), "")*24*60, "")</f>
        <v/>
      </c>
    </row>
    <row r="8888" spans="1:19" x14ac:dyDescent="0.2">
      <c r="A8888" s="12">
        <f t="shared" ref="A8888:C8888" si="1440">A8887</f>
        <v>46038</v>
      </c>
      <c r="B8888" s="5" t="str">
        <f t="shared" si="1440"/>
        <v>Northern Cardinal</v>
      </c>
      <c r="C8888" s="6">
        <f t="shared" si="1440"/>
        <v>0.29166666666666669</v>
      </c>
      <c r="D8888" s="5"/>
      <c r="E8888" s="5"/>
      <c r="F8888" s="5" t="s">
        <v>9</v>
      </c>
      <c r="G8888" s="15" t="s">
        <v>8</v>
      </c>
      <c r="H8888" s="24">
        <f t="shared" si="1412"/>
        <v>0</v>
      </c>
      <c r="I8888" s="24" cm="1">
        <f t="array" ref="I8888">IFERROR(IF($B8888=I$1, ($A8888+$C8888) - MAX(IF($B$2:$B8887=$B8888, $A$2:$A8887+$C$2:$C8887)), "")*24*60, "")</f>
        <v>0</v>
      </c>
      <c r="J8888" s="24" t="str" cm="1">
        <f t="array" ref="J8888">IFERROR(IF($B8888=J$1, ($A8888+$C8888) - MAX(IF($B$2:$B8887=$B8888, $A$2:$A8887+$C$2:$C8887)), "")*24*60, "")</f>
        <v/>
      </c>
      <c r="K8888" s="24" t="str" cm="1">
        <f t="array" ref="K8888">IFERROR(IF($B8888=K$1, ($A8888+$C8888) - MAX(IF($B$2:$B8887=$B8888, $A$2:$A8887+$C$2:$C8887)), "")*24*60, "")</f>
        <v/>
      </c>
      <c r="L8888" s="24" t="str" cm="1">
        <f t="array" ref="L8888">IFERROR(IF($B8888=L$1, ($A8888+$C8888) - MAX(IF($B$2:$B8887=$B8888, $A$2:$A8887+$C$2:$C8887)), "")*24*60, "")</f>
        <v/>
      </c>
      <c r="M8888" s="24" t="str" cm="1">
        <f t="array" ref="M8888">IFERROR(IF($B8888=M$1, ($A8888+$C8888) - MAX(IF($B$2:$B8887=$B8888, $A$2:$A8887+$C$2:$C8887)), "")*24*60, "")</f>
        <v/>
      </c>
      <c r="N8888" s="24" t="str" cm="1">
        <f t="array" ref="N8888">IFERROR(IF($B8888=N$1, ($A8888+$C8888) - MAX(IF($B$2:$B8887=$B8888, $A$2:$A8887+$C$2:$C8887)), "")*24*60, "")</f>
        <v/>
      </c>
      <c r="O8888" s="24" t="str" cm="1">
        <f t="array" ref="O8888">IFERROR(IF($B8888=O$1, ($A8888+$C8888) - MAX(IF($B$2:$B8887=$B8888, $A$2:$A8887+$C$2:$C8887)), "")*24*60, "")</f>
        <v/>
      </c>
      <c r="P8888" s="24" t="str" cm="1">
        <f t="array" ref="P8888">IFERROR(IF($B8888=P$1, ($A8888+$C8888) - MAX(IF($B$2:$B8887=$B8888, $A$2:$A8887+$C$2:$C8887)), "")*24*60, "")</f>
        <v/>
      </c>
      <c r="Q8888" s="24" t="str" cm="1">
        <f t="array" ref="Q8888">IFERROR(IF($B8888=Q$1, ($A8888+$C8888) - MAX(IF($B$2:$B8887=$B8888, $A$2:$A8887+$C$2:$C8887)), "")*24*60, "")</f>
        <v/>
      </c>
      <c r="R8888" s="24" t="str" cm="1">
        <f t="array" ref="R8888">IFERROR(IF($B8888=R$1, ($A8888+$C8888) - MAX(IF($B$2:$B8887=$B8888, $A$2:$A8887+$C$2:$C8887)), "")*24*60, "")</f>
        <v/>
      </c>
      <c r="S8888" s="24" t="str" cm="1">
        <f t="array" ref="S8888">IFERROR(IF($B8888=S$1, ($A8888+$C8888) - MAX(IF($B$2:$B8887=$B8888, $A$2:$A8887+$C$2:$C8887)), "")*24*60, "")</f>
        <v/>
      </c>
    </row>
    <row r="8889" spans="1:19" x14ac:dyDescent="0.2">
      <c r="A8889" s="12">
        <f t="shared" ref="A8889:C8889" si="1441">A8888</f>
        <v>46038</v>
      </c>
      <c r="B8889" s="5" t="str">
        <f t="shared" si="1441"/>
        <v>Northern Cardinal</v>
      </c>
      <c r="C8889" s="6">
        <f t="shared" si="1441"/>
        <v>0.29166666666666669</v>
      </c>
      <c r="D8889" s="5"/>
      <c r="E8889" s="5"/>
      <c r="F8889" s="5" t="s">
        <v>9</v>
      </c>
      <c r="G8889" s="15" t="s">
        <v>8</v>
      </c>
      <c r="H8889" s="24">
        <f t="shared" si="1412"/>
        <v>0</v>
      </c>
      <c r="I8889" s="24" cm="1">
        <f t="array" ref="I8889">IFERROR(IF($B8889=I$1, ($A8889+$C8889) - MAX(IF($B$2:$B8888=$B8889, $A$2:$A8888+$C$2:$C8888)), "")*24*60, "")</f>
        <v>0</v>
      </c>
      <c r="J8889" s="24" t="str" cm="1">
        <f t="array" ref="J8889">IFERROR(IF($B8889=J$1, ($A8889+$C8889) - MAX(IF($B$2:$B8888=$B8889, $A$2:$A8888+$C$2:$C8888)), "")*24*60, "")</f>
        <v/>
      </c>
      <c r="K8889" s="24" t="str" cm="1">
        <f t="array" ref="K8889">IFERROR(IF($B8889=K$1, ($A8889+$C8889) - MAX(IF($B$2:$B8888=$B8889, $A$2:$A8888+$C$2:$C8888)), "")*24*60, "")</f>
        <v/>
      </c>
      <c r="L8889" s="24" t="str" cm="1">
        <f t="array" ref="L8889">IFERROR(IF($B8889=L$1, ($A8889+$C8889) - MAX(IF($B$2:$B8888=$B8889, $A$2:$A8888+$C$2:$C8888)), "")*24*60, "")</f>
        <v/>
      </c>
      <c r="M8889" s="24" t="str" cm="1">
        <f t="array" ref="M8889">IFERROR(IF($B8889=M$1, ($A8889+$C8889) - MAX(IF($B$2:$B8888=$B8889, $A$2:$A8888+$C$2:$C8888)), "")*24*60, "")</f>
        <v/>
      </c>
      <c r="N8889" s="24" t="str" cm="1">
        <f t="array" ref="N8889">IFERROR(IF($B8889=N$1, ($A8889+$C8889) - MAX(IF($B$2:$B8888=$B8889, $A$2:$A8888+$C$2:$C8888)), "")*24*60, "")</f>
        <v/>
      </c>
      <c r="O8889" s="24" t="str" cm="1">
        <f t="array" ref="O8889">IFERROR(IF($B8889=O$1, ($A8889+$C8889) - MAX(IF($B$2:$B8888=$B8889, $A$2:$A8888+$C$2:$C8888)), "")*24*60, "")</f>
        <v/>
      </c>
      <c r="P8889" s="24" t="str" cm="1">
        <f t="array" ref="P8889">IFERROR(IF($B8889=P$1, ($A8889+$C8889) - MAX(IF($B$2:$B8888=$B8889, $A$2:$A8888+$C$2:$C8888)), "")*24*60, "")</f>
        <v/>
      </c>
      <c r="Q8889" s="24" t="str" cm="1">
        <f t="array" ref="Q8889">IFERROR(IF($B8889=Q$1, ($A8889+$C8889) - MAX(IF($B$2:$B8888=$B8889, $A$2:$A8888+$C$2:$C8888)), "")*24*60, "")</f>
        <v/>
      </c>
      <c r="R8889" s="24" t="str" cm="1">
        <f t="array" ref="R8889">IFERROR(IF($B8889=R$1, ($A8889+$C8889) - MAX(IF($B$2:$B8888=$B8889, $A$2:$A8888+$C$2:$C8888)), "")*24*60, "")</f>
        <v/>
      </c>
      <c r="S8889" s="24" t="str" cm="1">
        <f t="array" ref="S8889">IFERROR(IF($B8889=S$1, ($A8889+$C8889) - MAX(IF($B$2:$B8888=$B8889, $A$2:$A8888+$C$2:$C8888)), "")*24*60, "")</f>
        <v/>
      </c>
    </row>
    <row r="8890" spans="1:19" x14ac:dyDescent="0.2">
      <c r="A8890" s="12">
        <f t="shared" ref="A8890:C8890" si="1442">A8889</f>
        <v>46038</v>
      </c>
      <c r="B8890" s="5" t="str">
        <f t="shared" si="1442"/>
        <v>Northern Cardinal</v>
      </c>
      <c r="C8890" s="6">
        <f t="shared" si="1442"/>
        <v>0.29166666666666669</v>
      </c>
      <c r="D8890" s="5"/>
      <c r="E8890" s="5"/>
      <c r="F8890" s="5" t="s">
        <v>9</v>
      </c>
      <c r="G8890" s="15" t="s">
        <v>8</v>
      </c>
      <c r="H8890" s="24">
        <f t="shared" si="1412"/>
        <v>0</v>
      </c>
      <c r="I8890" s="24" cm="1">
        <f t="array" ref="I8890">IFERROR(IF($B8890=I$1, ($A8890+$C8890) - MAX(IF($B$2:$B8889=$B8890, $A$2:$A8889+$C$2:$C8889)), "")*24*60, "")</f>
        <v>0</v>
      </c>
      <c r="J8890" s="24" t="str" cm="1">
        <f t="array" ref="J8890">IFERROR(IF($B8890=J$1, ($A8890+$C8890) - MAX(IF($B$2:$B8889=$B8890, $A$2:$A8889+$C$2:$C8889)), "")*24*60, "")</f>
        <v/>
      </c>
      <c r="K8890" s="24" t="str" cm="1">
        <f t="array" ref="K8890">IFERROR(IF($B8890=K$1, ($A8890+$C8890) - MAX(IF($B$2:$B8889=$B8890, $A$2:$A8889+$C$2:$C8889)), "")*24*60, "")</f>
        <v/>
      </c>
      <c r="L8890" s="24" t="str" cm="1">
        <f t="array" ref="L8890">IFERROR(IF($B8890=L$1, ($A8890+$C8890) - MAX(IF($B$2:$B8889=$B8890, $A$2:$A8889+$C$2:$C8889)), "")*24*60, "")</f>
        <v/>
      </c>
      <c r="M8890" s="24" t="str" cm="1">
        <f t="array" ref="M8890">IFERROR(IF($B8890=M$1, ($A8890+$C8890) - MAX(IF($B$2:$B8889=$B8890, $A$2:$A8889+$C$2:$C8889)), "")*24*60, "")</f>
        <v/>
      </c>
      <c r="N8890" s="24" t="str" cm="1">
        <f t="array" ref="N8890">IFERROR(IF($B8890=N$1, ($A8890+$C8890) - MAX(IF($B$2:$B8889=$B8890, $A$2:$A8889+$C$2:$C8889)), "")*24*60, "")</f>
        <v/>
      </c>
      <c r="O8890" s="24" t="str" cm="1">
        <f t="array" ref="O8890">IFERROR(IF($B8890=O$1, ($A8890+$C8890) - MAX(IF($B$2:$B8889=$B8890, $A$2:$A8889+$C$2:$C8889)), "")*24*60, "")</f>
        <v/>
      </c>
      <c r="P8890" s="24" t="str" cm="1">
        <f t="array" ref="P8890">IFERROR(IF($B8890=P$1, ($A8890+$C8890) - MAX(IF($B$2:$B8889=$B8890, $A$2:$A8889+$C$2:$C8889)), "")*24*60, "")</f>
        <v/>
      </c>
      <c r="Q8890" s="24" t="str" cm="1">
        <f t="array" ref="Q8890">IFERROR(IF($B8890=Q$1, ($A8890+$C8890) - MAX(IF($B$2:$B8889=$B8890, $A$2:$A8889+$C$2:$C8889)), "")*24*60, "")</f>
        <v/>
      </c>
      <c r="R8890" s="24" t="str" cm="1">
        <f t="array" ref="R8890">IFERROR(IF($B8890=R$1, ($A8890+$C8890) - MAX(IF($B$2:$B8889=$B8890, $A$2:$A8889+$C$2:$C8889)), "")*24*60, "")</f>
        <v/>
      </c>
      <c r="S8890" s="24" t="str" cm="1">
        <f t="array" ref="S8890">IFERROR(IF($B8890=S$1, ($A8890+$C8890) - MAX(IF($B$2:$B8889=$B8890, $A$2:$A8889+$C$2:$C8889)), "")*24*60, "")</f>
        <v/>
      </c>
    </row>
    <row r="8891" spans="1:19" x14ac:dyDescent="0.2">
      <c r="A8891" s="12">
        <f t="shared" ref="A8891:C8891" si="1443">A8890</f>
        <v>46038</v>
      </c>
      <c r="B8891" s="5" t="str">
        <f t="shared" si="1443"/>
        <v>Northern Cardinal</v>
      </c>
      <c r="C8891" s="6">
        <f t="shared" si="1443"/>
        <v>0.29166666666666669</v>
      </c>
      <c r="D8891" s="5"/>
      <c r="E8891" s="5"/>
      <c r="F8891" s="5" t="s">
        <v>9</v>
      </c>
      <c r="G8891" s="15" t="s">
        <v>8</v>
      </c>
      <c r="H8891" s="24">
        <f t="shared" si="1412"/>
        <v>0</v>
      </c>
      <c r="I8891" s="24" cm="1">
        <f t="array" ref="I8891">IFERROR(IF($B8891=I$1, ($A8891+$C8891) - MAX(IF($B$2:$B8890=$B8891, $A$2:$A8890+$C$2:$C8890)), "")*24*60, "")</f>
        <v>0</v>
      </c>
      <c r="J8891" s="24" t="str" cm="1">
        <f t="array" ref="J8891">IFERROR(IF($B8891=J$1, ($A8891+$C8891) - MAX(IF($B$2:$B8890=$B8891, $A$2:$A8890+$C$2:$C8890)), "")*24*60, "")</f>
        <v/>
      </c>
      <c r="K8891" s="24" t="str" cm="1">
        <f t="array" ref="K8891">IFERROR(IF($B8891=K$1, ($A8891+$C8891) - MAX(IF($B$2:$B8890=$B8891, $A$2:$A8890+$C$2:$C8890)), "")*24*60, "")</f>
        <v/>
      </c>
      <c r="L8891" s="24" t="str" cm="1">
        <f t="array" ref="L8891">IFERROR(IF($B8891=L$1, ($A8891+$C8891) - MAX(IF($B$2:$B8890=$B8891, $A$2:$A8890+$C$2:$C8890)), "")*24*60, "")</f>
        <v/>
      </c>
      <c r="M8891" s="24" t="str" cm="1">
        <f t="array" ref="M8891">IFERROR(IF($B8891=M$1, ($A8891+$C8891) - MAX(IF($B$2:$B8890=$B8891, $A$2:$A8890+$C$2:$C8890)), "")*24*60, "")</f>
        <v/>
      </c>
      <c r="N8891" s="24" t="str" cm="1">
        <f t="array" ref="N8891">IFERROR(IF($B8891=N$1, ($A8891+$C8891) - MAX(IF($B$2:$B8890=$B8891, $A$2:$A8890+$C$2:$C8890)), "")*24*60, "")</f>
        <v/>
      </c>
      <c r="O8891" s="24" t="str" cm="1">
        <f t="array" ref="O8891">IFERROR(IF($B8891=O$1, ($A8891+$C8891) - MAX(IF($B$2:$B8890=$B8891, $A$2:$A8890+$C$2:$C8890)), "")*24*60, "")</f>
        <v/>
      </c>
      <c r="P8891" s="24" t="str" cm="1">
        <f t="array" ref="P8891">IFERROR(IF($B8891=P$1, ($A8891+$C8891) - MAX(IF($B$2:$B8890=$B8891, $A$2:$A8890+$C$2:$C8890)), "")*24*60, "")</f>
        <v/>
      </c>
      <c r="Q8891" s="24" t="str" cm="1">
        <f t="array" ref="Q8891">IFERROR(IF($B8891=Q$1, ($A8891+$C8891) - MAX(IF($B$2:$B8890=$B8891, $A$2:$A8890+$C$2:$C8890)), "")*24*60, "")</f>
        <v/>
      </c>
      <c r="R8891" s="24" t="str" cm="1">
        <f t="array" ref="R8891">IFERROR(IF($B8891=R$1, ($A8891+$C8891) - MAX(IF($B$2:$B8890=$B8891, $A$2:$A8890+$C$2:$C8890)), "")*24*60, "")</f>
        <v/>
      </c>
      <c r="S8891" s="24" t="str" cm="1">
        <f t="array" ref="S8891">IFERROR(IF($B8891=S$1, ($A8891+$C8891) - MAX(IF($B$2:$B8890=$B8891, $A$2:$A8890+$C$2:$C8890)), "")*24*60, "")</f>
        <v/>
      </c>
    </row>
    <row r="8892" spans="1:19" x14ac:dyDescent="0.2">
      <c r="A8892" s="12">
        <f t="shared" ref="A8892:C8892" si="1444">A8891</f>
        <v>46038</v>
      </c>
      <c r="B8892" s="5" t="str">
        <f t="shared" si="1444"/>
        <v>Northern Cardinal</v>
      </c>
      <c r="C8892" s="6">
        <f t="shared" si="1444"/>
        <v>0.29166666666666669</v>
      </c>
      <c r="D8892" s="5"/>
      <c r="E8892" s="5"/>
      <c r="F8892" s="5" t="s">
        <v>9</v>
      </c>
      <c r="G8892" s="15" t="s">
        <v>8</v>
      </c>
      <c r="H8892" s="24">
        <f t="shared" si="1412"/>
        <v>0</v>
      </c>
      <c r="I8892" s="24" cm="1">
        <f t="array" ref="I8892">IFERROR(IF($B8892=I$1, ($A8892+$C8892) - MAX(IF($B$2:$B8891=$B8892, $A$2:$A8891+$C$2:$C8891)), "")*24*60, "")</f>
        <v>0</v>
      </c>
      <c r="J8892" s="24" t="str" cm="1">
        <f t="array" ref="J8892">IFERROR(IF($B8892=J$1, ($A8892+$C8892) - MAX(IF($B$2:$B8891=$B8892, $A$2:$A8891+$C$2:$C8891)), "")*24*60, "")</f>
        <v/>
      </c>
      <c r="K8892" s="24" t="str" cm="1">
        <f t="array" ref="K8892">IFERROR(IF($B8892=K$1, ($A8892+$C8892) - MAX(IF($B$2:$B8891=$B8892, $A$2:$A8891+$C$2:$C8891)), "")*24*60, "")</f>
        <v/>
      </c>
      <c r="L8892" s="24" t="str" cm="1">
        <f t="array" ref="L8892">IFERROR(IF($B8892=L$1, ($A8892+$C8892) - MAX(IF($B$2:$B8891=$B8892, $A$2:$A8891+$C$2:$C8891)), "")*24*60, "")</f>
        <v/>
      </c>
      <c r="M8892" s="24" t="str" cm="1">
        <f t="array" ref="M8892">IFERROR(IF($B8892=M$1, ($A8892+$C8892) - MAX(IF($B$2:$B8891=$B8892, $A$2:$A8891+$C$2:$C8891)), "")*24*60, "")</f>
        <v/>
      </c>
      <c r="N8892" s="24" t="str" cm="1">
        <f t="array" ref="N8892">IFERROR(IF($B8892=N$1, ($A8892+$C8892) - MAX(IF($B$2:$B8891=$B8892, $A$2:$A8891+$C$2:$C8891)), "")*24*60, "")</f>
        <v/>
      </c>
      <c r="O8892" s="24" t="str" cm="1">
        <f t="array" ref="O8892">IFERROR(IF($B8892=O$1, ($A8892+$C8892) - MAX(IF($B$2:$B8891=$B8892, $A$2:$A8891+$C$2:$C8891)), "")*24*60, "")</f>
        <v/>
      </c>
      <c r="P8892" s="24" t="str" cm="1">
        <f t="array" ref="P8892">IFERROR(IF($B8892=P$1, ($A8892+$C8892) - MAX(IF($B$2:$B8891=$B8892, $A$2:$A8891+$C$2:$C8891)), "")*24*60, "")</f>
        <v/>
      </c>
      <c r="Q8892" s="24" t="str" cm="1">
        <f t="array" ref="Q8892">IFERROR(IF($B8892=Q$1, ($A8892+$C8892) - MAX(IF($B$2:$B8891=$B8892, $A$2:$A8891+$C$2:$C8891)), "")*24*60, "")</f>
        <v/>
      </c>
      <c r="R8892" s="24" t="str" cm="1">
        <f t="array" ref="R8892">IFERROR(IF($B8892=R$1, ($A8892+$C8892) - MAX(IF($B$2:$B8891=$B8892, $A$2:$A8891+$C$2:$C8891)), "")*24*60, "")</f>
        <v/>
      </c>
      <c r="S8892" s="24" t="str" cm="1">
        <f t="array" ref="S8892">IFERROR(IF($B8892=S$1, ($A8892+$C8892) - MAX(IF($B$2:$B8891=$B8892, $A$2:$A8891+$C$2:$C8891)), "")*24*60, "")</f>
        <v/>
      </c>
    </row>
    <row r="8893" spans="1:19" x14ac:dyDescent="0.2">
      <c r="A8893" s="12">
        <f t="shared" ref="A8893:C8893" si="1445">A8892</f>
        <v>46038</v>
      </c>
      <c r="B8893" s="5" t="str">
        <f t="shared" si="1445"/>
        <v>Northern Cardinal</v>
      </c>
      <c r="C8893" s="6">
        <f t="shared" si="1445"/>
        <v>0.29166666666666669</v>
      </c>
      <c r="D8893" s="5"/>
      <c r="E8893" s="5"/>
      <c r="F8893" s="5" t="s">
        <v>9</v>
      </c>
      <c r="G8893" s="15" t="s">
        <v>8</v>
      </c>
      <c r="H8893" s="24">
        <f t="shared" si="1412"/>
        <v>0</v>
      </c>
      <c r="I8893" s="24" cm="1">
        <f t="array" ref="I8893">IFERROR(IF($B8893=I$1, ($A8893+$C8893) - MAX(IF($B$2:$B8892=$B8893, $A$2:$A8892+$C$2:$C8892)), "")*24*60, "")</f>
        <v>0</v>
      </c>
      <c r="J8893" s="24" t="str" cm="1">
        <f t="array" ref="J8893">IFERROR(IF($B8893=J$1, ($A8893+$C8893) - MAX(IF($B$2:$B8892=$B8893, $A$2:$A8892+$C$2:$C8892)), "")*24*60, "")</f>
        <v/>
      </c>
      <c r="K8893" s="24" t="str" cm="1">
        <f t="array" ref="K8893">IFERROR(IF($B8893=K$1, ($A8893+$C8893) - MAX(IF($B$2:$B8892=$B8893, $A$2:$A8892+$C$2:$C8892)), "")*24*60, "")</f>
        <v/>
      </c>
      <c r="L8893" s="24" t="str" cm="1">
        <f t="array" ref="L8893">IFERROR(IF($B8893=L$1, ($A8893+$C8893) - MAX(IF($B$2:$B8892=$B8893, $A$2:$A8892+$C$2:$C8892)), "")*24*60, "")</f>
        <v/>
      </c>
      <c r="M8893" s="24" t="str" cm="1">
        <f t="array" ref="M8893">IFERROR(IF($B8893=M$1, ($A8893+$C8893) - MAX(IF($B$2:$B8892=$B8893, $A$2:$A8892+$C$2:$C8892)), "")*24*60, "")</f>
        <v/>
      </c>
      <c r="N8893" s="24" t="str" cm="1">
        <f t="array" ref="N8893">IFERROR(IF($B8893=N$1, ($A8893+$C8893) - MAX(IF($B$2:$B8892=$B8893, $A$2:$A8892+$C$2:$C8892)), "")*24*60, "")</f>
        <v/>
      </c>
      <c r="O8893" s="24" t="str" cm="1">
        <f t="array" ref="O8893">IFERROR(IF($B8893=O$1, ($A8893+$C8893) - MAX(IF($B$2:$B8892=$B8893, $A$2:$A8892+$C$2:$C8892)), "")*24*60, "")</f>
        <v/>
      </c>
      <c r="P8893" s="24" t="str" cm="1">
        <f t="array" ref="P8893">IFERROR(IF($B8893=P$1, ($A8893+$C8893) - MAX(IF($B$2:$B8892=$B8893, $A$2:$A8892+$C$2:$C8892)), "")*24*60, "")</f>
        <v/>
      </c>
      <c r="Q8893" s="24" t="str" cm="1">
        <f t="array" ref="Q8893">IFERROR(IF($B8893=Q$1, ($A8893+$C8893) - MAX(IF($B$2:$B8892=$B8893, $A$2:$A8892+$C$2:$C8892)), "")*24*60, "")</f>
        <v/>
      </c>
      <c r="R8893" s="24" t="str" cm="1">
        <f t="array" ref="R8893">IFERROR(IF($B8893=R$1, ($A8893+$C8893) - MAX(IF($B$2:$B8892=$B8893, $A$2:$A8892+$C$2:$C8892)), "")*24*60, "")</f>
        <v/>
      </c>
      <c r="S8893" s="24" t="str" cm="1">
        <f t="array" ref="S8893">IFERROR(IF($B8893=S$1, ($A8893+$C8893) - MAX(IF($B$2:$B8892=$B8893, $A$2:$A8892+$C$2:$C8892)), "")*24*60, "")</f>
        <v/>
      </c>
    </row>
    <row r="8894" spans="1:19" x14ac:dyDescent="0.2">
      <c r="A8894" s="12">
        <f t="shared" ref="A8894:C8894" si="1446">A8893</f>
        <v>46038</v>
      </c>
      <c r="B8894" s="5" t="str">
        <f t="shared" si="1446"/>
        <v>Northern Cardinal</v>
      </c>
      <c r="C8894" s="6">
        <f t="shared" si="1446"/>
        <v>0.29166666666666669</v>
      </c>
      <c r="D8894" s="5"/>
      <c r="E8894" s="5"/>
      <c r="F8894" s="5" t="s">
        <v>9</v>
      </c>
      <c r="G8894" s="15" t="s">
        <v>8</v>
      </c>
      <c r="H8894" s="24">
        <f t="shared" si="1412"/>
        <v>0</v>
      </c>
      <c r="I8894" s="24" cm="1">
        <f t="array" ref="I8894">IFERROR(IF($B8894=I$1, ($A8894+$C8894) - MAX(IF($B$2:$B8893=$B8894, $A$2:$A8893+$C$2:$C8893)), "")*24*60, "")</f>
        <v>0</v>
      </c>
      <c r="J8894" s="24" t="str" cm="1">
        <f t="array" ref="J8894">IFERROR(IF($B8894=J$1, ($A8894+$C8894) - MAX(IF($B$2:$B8893=$B8894, $A$2:$A8893+$C$2:$C8893)), "")*24*60, "")</f>
        <v/>
      </c>
      <c r="K8894" s="24" t="str" cm="1">
        <f t="array" ref="K8894">IFERROR(IF($B8894=K$1, ($A8894+$C8894) - MAX(IF($B$2:$B8893=$B8894, $A$2:$A8893+$C$2:$C8893)), "")*24*60, "")</f>
        <v/>
      </c>
      <c r="L8894" s="24" t="str" cm="1">
        <f t="array" ref="L8894">IFERROR(IF($B8894=L$1, ($A8894+$C8894) - MAX(IF($B$2:$B8893=$B8894, $A$2:$A8893+$C$2:$C8893)), "")*24*60, "")</f>
        <v/>
      </c>
      <c r="M8894" s="24" t="str" cm="1">
        <f t="array" ref="M8894">IFERROR(IF($B8894=M$1, ($A8894+$C8894) - MAX(IF($B$2:$B8893=$B8894, $A$2:$A8893+$C$2:$C8893)), "")*24*60, "")</f>
        <v/>
      </c>
      <c r="N8894" s="24" t="str" cm="1">
        <f t="array" ref="N8894">IFERROR(IF($B8894=N$1, ($A8894+$C8894) - MAX(IF($B$2:$B8893=$B8894, $A$2:$A8893+$C$2:$C8893)), "")*24*60, "")</f>
        <v/>
      </c>
      <c r="O8894" s="24" t="str" cm="1">
        <f t="array" ref="O8894">IFERROR(IF($B8894=O$1, ($A8894+$C8894) - MAX(IF($B$2:$B8893=$B8894, $A$2:$A8893+$C$2:$C8893)), "")*24*60, "")</f>
        <v/>
      </c>
      <c r="P8894" s="24" t="str" cm="1">
        <f t="array" ref="P8894">IFERROR(IF($B8894=P$1, ($A8894+$C8894) - MAX(IF($B$2:$B8893=$B8894, $A$2:$A8893+$C$2:$C8893)), "")*24*60, "")</f>
        <v/>
      </c>
      <c r="Q8894" s="24" t="str" cm="1">
        <f t="array" ref="Q8894">IFERROR(IF($B8894=Q$1, ($A8894+$C8894) - MAX(IF($B$2:$B8893=$B8894, $A$2:$A8893+$C$2:$C8893)), "")*24*60, "")</f>
        <v/>
      </c>
      <c r="R8894" s="24" t="str" cm="1">
        <f t="array" ref="R8894">IFERROR(IF($B8894=R$1, ($A8894+$C8894) - MAX(IF($B$2:$B8893=$B8894, $A$2:$A8893+$C$2:$C8893)), "")*24*60, "")</f>
        <v/>
      </c>
      <c r="S8894" s="24" t="str" cm="1">
        <f t="array" ref="S8894">IFERROR(IF($B8894=S$1, ($A8894+$C8894) - MAX(IF($B$2:$B8893=$B8894, $A$2:$A8893+$C$2:$C8893)), "")*24*60, "")</f>
        <v/>
      </c>
    </row>
    <row r="8895" spans="1:19" x14ac:dyDescent="0.2">
      <c r="A8895" s="12">
        <f t="shared" ref="A8895:C8895" si="1447">A8894</f>
        <v>46038</v>
      </c>
      <c r="B8895" s="5" t="str">
        <f t="shared" si="1447"/>
        <v>Northern Cardinal</v>
      </c>
      <c r="C8895" s="6">
        <f t="shared" si="1447"/>
        <v>0.29166666666666669</v>
      </c>
      <c r="D8895" s="5"/>
      <c r="E8895" s="5"/>
      <c r="F8895" s="5" t="s">
        <v>9</v>
      </c>
      <c r="G8895" s="15" t="s">
        <v>8</v>
      </c>
      <c r="H8895" s="24">
        <f t="shared" si="1412"/>
        <v>0</v>
      </c>
      <c r="I8895" s="24" cm="1">
        <f t="array" ref="I8895">IFERROR(IF($B8895=I$1, ($A8895+$C8895) - MAX(IF($B$2:$B8894=$B8895, $A$2:$A8894+$C$2:$C8894)), "")*24*60, "")</f>
        <v>0</v>
      </c>
      <c r="J8895" s="24" t="str" cm="1">
        <f t="array" ref="J8895">IFERROR(IF($B8895=J$1, ($A8895+$C8895) - MAX(IF($B$2:$B8894=$B8895, $A$2:$A8894+$C$2:$C8894)), "")*24*60, "")</f>
        <v/>
      </c>
      <c r="K8895" s="24" t="str" cm="1">
        <f t="array" ref="K8895">IFERROR(IF($B8895=K$1, ($A8895+$C8895) - MAX(IF($B$2:$B8894=$B8895, $A$2:$A8894+$C$2:$C8894)), "")*24*60, "")</f>
        <v/>
      </c>
      <c r="L8895" s="24" t="str" cm="1">
        <f t="array" ref="L8895">IFERROR(IF($B8895=L$1, ($A8895+$C8895) - MAX(IF($B$2:$B8894=$B8895, $A$2:$A8894+$C$2:$C8894)), "")*24*60, "")</f>
        <v/>
      </c>
      <c r="M8895" s="24" t="str" cm="1">
        <f t="array" ref="M8895">IFERROR(IF($B8895=M$1, ($A8895+$C8895) - MAX(IF($B$2:$B8894=$B8895, $A$2:$A8894+$C$2:$C8894)), "")*24*60, "")</f>
        <v/>
      </c>
      <c r="N8895" s="24" t="str" cm="1">
        <f t="array" ref="N8895">IFERROR(IF($B8895=N$1, ($A8895+$C8895) - MAX(IF($B$2:$B8894=$B8895, $A$2:$A8894+$C$2:$C8894)), "")*24*60, "")</f>
        <v/>
      </c>
      <c r="O8895" s="24" t="str" cm="1">
        <f t="array" ref="O8895">IFERROR(IF($B8895=O$1, ($A8895+$C8895) - MAX(IF($B$2:$B8894=$B8895, $A$2:$A8894+$C$2:$C8894)), "")*24*60, "")</f>
        <v/>
      </c>
      <c r="P8895" s="24" t="str" cm="1">
        <f t="array" ref="P8895">IFERROR(IF($B8895=P$1, ($A8895+$C8895) - MAX(IF($B$2:$B8894=$B8895, $A$2:$A8894+$C$2:$C8894)), "")*24*60, "")</f>
        <v/>
      </c>
      <c r="Q8895" s="24" t="str" cm="1">
        <f t="array" ref="Q8895">IFERROR(IF($B8895=Q$1, ($A8895+$C8895) - MAX(IF($B$2:$B8894=$B8895, $A$2:$A8894+$C$2:$C8894)), "")*24*60, "")</f>
        <v/>
      </c>
      <c r="R8895" s="24" t="str" cm="1">
        <f t="array" ref="R8895">IFERROR(IF($B8895=R$1, ($A8895+$C8895) - MAX(IF($B$2:$B8894=$B8895, $A$2:$A8894+$C$2:$C8894)), "")*24*60, "")</f>
        <v/>
      </c>
      <c r="S8895" s="24" t="str" cm="1">
        <f t="array" ref="S8895">IFERROR(IF($B8895=S$1, ($A8895+$C8895) - MAX(IF($B$2:$B8894=$B8895, $A$2:$A8894+$C$2:$C8894)), "")*24*60, "")</f>
        <v/>
      </c>
    </row>
    <row r="8896" spans="1:19" x14ac:dyDescent="0.2">
      <c r="A8896" s="12">
        <f t="shared" ref="A8896:C8896" si="1448">A8895</f>
        <v>46038</v>
      </c>
      <c r="B8896" s="5" t="str">
        <f t="shared" si="1448"/>
        <v>Northern Cardinal</v>
      </c>
      <c r="C8896" s="6">
        <f t="shared" si="1448"/>
        <v>0.29166666666666669</v>
      </c>
      <c r="D8896" s="5"/>
      <c r="E8896" s="5"/>
      <c r="F8896" s="5" t="s">
        <v>9</v>
      </c>
      <c r="G8896" s="15" t="s">
        <v>8</v>
      </c>
      <c r="H8896" s="24">
        <f t="shared" si="1412"/>
        <v>0</v>
      </c>
      <c r="I8896" s="24" cm="1">
        <f t="array" ref="I8896">IFERROR(IF($B8896=I$1, ($A8896+$C8896) - MAX(IF($B$2:$B8895=$B8896, $A$2:$A8895+$C$2:$C8895)), "")*24*60, "")</f>
        <v>0</v>
      </c>
      <c r="J8896" s="24" t="str" cm="1">
        <f t="array" ref="J8896">IFERROR(IF($B8896=J$1, ($A8896+$C8896) - MAX(IF($B$2:$B8895=$B8896, $A$2:$A8895+$C$2:$C8895)), "")*24*60, "")</f>
        <v/>
      </c>
      <c r="K8896" s="24" t="str" cm="1">
        <f t="array" ref="K8896">IFERROR(IF($B8896=K$1, ($A8896+$C8896) - MAX(IF($B$2:$B8895=$B8896, $A$2:$A8895+$C$2:$C8895)), "")*24*60, "")</f>
        <v/>
      </c>
      <c r="L8896" s="24" t="str" cm="1">
        <f t="array" ref="L8896">IFERROR(IF($B8896=L$1, ($A8896+$C8896) - MAX(IF($B$2:$B8895=$B8896, $A$2:$A8895+$C$2:$C8895)), "")*24*60, "")</f>
        <v/>
      </c>
      <c r="M8896" s="24" t="str" cm="1">
        <f t="array" ref="M8896">IFERROR(IF($B8896=M$1, ($A8896+$C8896) - MAX(IF($B$2:$B8895=$B8896, $A$2:$A8895+$C$2:$C8895)), "")*24*60, "")</f>
        <v/>
      </c>
      <c r="N8896" s="24" t="str" cm="1">
        <f t="array" ref="N8896">IFERROR(IF($B8896=N$1, ($A8896+$C8896) - MAX(IF($B$2:$B8895=$B8896, $A$2:$A8895+$C$2:$C8895)), "")*24*60, "")</f>
        <v/>
      </c>
      <c r="O8896" s="24" t="str" cm="1">
        <f t="array" ref="O8896">IFERROR(IF($B8896=O$1, ($A8896+$C8896) - MAX(IF($B$2:$B8895=$B8896, $A$2:$A8895+$C$2:$C8895)), "")*24*60, "")</f>
        <v/>
      </c>
      <c r="P8896" s="24" t="str" cm="1">
        <f t="array" ref="P8896">IFERROR(IF($B8896=P$1, ($A8896+$C8896) - MAX(IF($B$2:$B8895=$B8896, $A$2:$A8895+$C$2:$C8895)), "")*24*60, "")</f>
        <v/>
      </c>
      <c r="Q8896" s="24" t="str" cm="1">
        <f t="array" ref="Q8896">IFERROR(IF($B8896=Q$1, ($A8896+$C8896) - MAX(IF($B$2:$B8895=$B8896, $A$2:$A8895+$C$2:$C8895)), "")*24*60, "")</f>
        <v/>
      </c>
      <c r="R8896" s="24" t="str" cm="1">
        <f t="array" ref="R8896">IFERROR(IF($B8896=R$1, ($A8896+$C8896) - MAX(IF($B$2:$B8895=$B8896, $A$2:$A8895+$C$2:$C8895)), "")*24*60, "")</f>
        <v/>
      </c>
      <c r="S8896" s="24" t="str" cm="1">
        <f t="array" ref="S8896">IFERROR(IF($B8896=S$1, ($A8896+$C8896) - MAX(IF($B$2:$B8895=$B8896, $A$2:$A8895+$C$2:$C8895)), "")*24*60, "")</f>
        <v/>
      </c>
    </row>
    <row r="8897" spans="1:19" x14ac:dyDescent="0.2">
      <c r="A8897" s="12">
        <f t="shared" ref="A8897:C8897" si="1449">A8896</f>
        <v>46038</v>
      </c>
      <c r="B8897" s="5" t="str">
        <f t="shared" si="1449"/>
        <v>Northern Cardinal</v>
      </c>
      <c r="C8897" s="6">
        <f t="shared" si="1449"/>
        <v>0.29166666666666669</v>
      </c>
      <c r="D8897" s="5"/>
      <c r="E8897" s="5"/>
      <c r="F8897" s="5" t="s">
        <v>9</v>
      </c>
      <c r="G8897" s="15" t="s">
        <v>8</v>
      </c>
      <c r="H8897" s="24">
        <f t="shared" si="1412"/>
        <v>0</v>
      </c>
      <c r="I8897" s="24" cm="1">
        <f t="array" ref="I8897">IFERROR(IF($B8897=I$1, ($A8897+$C8897) - MAX(IF($B$2:$B8896=$B8897, $A$2:$A8896+$C$2:$C8896)), "")*24*60, "")</f>
        <v>0</v>
      </c>
      <c r="J8897" s="24" t="str" cm="1">
        <f t="array" ref="J8897">IFERROR(IF($B8897=J$1, ($A8897+$C8897) - MAX(IF($B$2:$B8896=$B8897, $A$2:$A8896+$C$2:$C8896)), "")*24*60, "")</f>
        <v/>
      </c>
      <c r="K8897" s="24" t="str" cm="1">
        <f t="array" ref="K8897">IFERROR(IF($B8897=K$1, ($A8897+$C8897) - MAX(IF($B$2:$B8896=$B8897, $A$2:$A8896+$C$2:$C8896)), "")*24*60, "")</f>
        <v/>
      </c>
      <c r="L8897" s="24" t="str" cm="1">
        <f t="array" ref="L8897">IFERROR(IF($B8897=L$1, ($A8897+$C8897) - MAX(IF($B$2:$B8896=$B8897, $A$2:$A8896+$C$2:$C8896)), "")*24*60, "")</f>
        <v/>
      </c>
      <c r="M8897" s="24" t="str" cm="1">
        <f t="array" ref="M8897">IFERROR(IF($B8897=M$1, ($A8897+$C8897) - MAX(IF($B$2:$B8896=$B8897, $A$2:$A8896+$C$2:$C8896)), "")*24*60, "")</f>
        <v/>
      </c>
      <c r="N8897" s="24" t="str" cm="1">
        <f t="array" ref="N8897">IFERROR(IF($B8897=N$1, ($A8897+$C8897) - MAX(IF($B$2:$B8896=$B8897, $A$2:$A8896+$C$2:$C8896)), "")*24*60, "")</f>
        <v/>
      </c>
      <c r="O8897" s="24" t="str" cm="1">
        <f t="array" ref="O8897">IFERROR(IF($B8897=O$1, ($A8897+$C8897) - MAX(IF($B$2:$B8896=$B8897, $A$2:$A8896+$C$2:$C8896)), "")*24*60, "")</f>
        <v/>
      </c>
      <c r="P8897" s="24" t="str" cm="1">
        <f t="array" ref="P8897">IFERROR(IF($B8897=P$1, ($A8897+$C8897) - MAX(IF($B$2:$B8896=$B8897, $A$2:$A8896+$C$2:$C8896)), "")*24*60, "")</f>
        <v/>
      </c>
      <c r="Q8897" s="24" t="str" cm="1">
        <f t="array" ref="Q8897">IFERROR(IF($B8897=Q$1, ($A8897+$C8897) - MAX(IF($B$2:$B8896=$B8897, $A$2:$A8896+$C$2:$C8896)), "")*24*60, "")</f>
        <v/>
      </c>
      <c r="R8897" s="24" t="str" cm="1">
        <f t="array" ref="R8897">IFERROR(IF($B8897=R$1, ($A8897+$C8897) - MAX(IF($B$2:$B8896=$B8897, $A$2:$A8896+$C$2:$C8896)), "")*24*60, "")</f>
        <v/>
      </c>
      <c r="S8897" s="24" t="str" cm="1">
        <f t="array" ref="S8897">IFERROR(IF($B8897=S$1, ($A8897+$C8897) - MAX(IF($B$2:$B8896=$B8897, $A$2:$A8896+$C$2:$C8896)), "")*24*60, "")</f>
        <v/>
      </c>
    </row>
    <row r="8898" spans="1:19" x14ac:dyDescent="0.2">
      <c r="A8898" s="12">
        <f t="shared" ref="A8898:C8898" si="1450">A8897</f>
        <v>46038</v>
      </c>
      <c r="B8898" s="5" t="str">
        <f t="shared" si="1450"/>
        <v>Northern Cardinal</v>
      </c>
      <c r="C8898" s="6">
        <f t="shared" si="1450"/>
        <v>0.29166666666666669</v>
      </c>
      <c r="D8898" s="5"/>
      <c r="E8898" s="5"/>
      <c r="F8898" s="5" t="s">
        <v>9</v>
      </c>
      <c r="G8898" s="15" t="s">
        <v>8</v>
      </c>
      <c r="H8898" s="24">
        <f t="shared" si="1412"/>
        <v>0</v>
      </c>
      <c r="I8898" s="24" cm="1">
        <f t="array" ref="I8898">IFERROR(IF($B8898=I$1, ($A8898+$C8898) - MAX(IF($B$2:$B8897=$B8898, $A$2:$A8897+$C$2:$C8897)), "")*24*60, "")</f>
        <v>0</v>
      </c>
      <c r="J8898" s="24" t="str" cm="1">
        <f t="array" ref="J8898">IFERROR(IF($B8898=J$1, ($A8898+$C8898) - MAX(IF($B$2:$B8897=$B8898, $A$2:$A8897+$C$2:$C8897)), "")*24*60, "")</f>
        <v/>
      </c>
      <c r="K8898" s="24" t="str" cm="1">
        <f t="array" ref="K8898">IFERROR(IF($B8898=K$1, ($A8898+$C8898) - MAX(IF($B$2:$B8897=$B8898, $A$2:$A8897+$C$2:$C8897)), "")*24*60, "")</f>
        <v/>
      </c>
      <c r="L8898" s="24" t="str" cm="1">
        <f t="array" ref="L8898">IFERROR(IF($B8898=L$1, ($A8898+$C8898) - MAX(IF($B$2:$B8897=$B8898, $A$2:$A8897+$C$2:$C8897)), "")*24*60, "")</f>
        <v/>
      </c>
      <c r="M8898" s="24" t="str" cm="1">
        <f t="array" ref="M8898">IFERROR(IF($B8898=M$1, ($A8898+$C8898) - MAX(IF($B$2:$B8897=$B8898, $A$2:$A8897+$C$2:$C8897)), "")*24*60, "")</f>
        <v/>
      </c>
      <c r="N8898" s="24" t="str" cm="1">
        <f t="array" ref="N8898">IFERROR(IF($B8898=N$1, ($A8898+$C8898) - MAX(IF($B$2:$B8897=$B8898, $A$2:$A8897+$C$2:$C8897)), "")*24*60, "")</f>
        <v/>
      </c>
      <c r="O8898" s="24" t="str" cm="1">
        <f t="array" ref="O8898">IFERROR(IF($B8898=O$1, ($A8898+$C8898) - MAX(IF($B$2:$B8897=$B8898, $A$2:$A8897+$C$2:$C8897)), "")*24*60, "")</f>
        <v/>
      </c>
      <c r="P8898" s="24" t="str" cm="1">
        <f t="array" ref="P8898">IFERROR(IF($B8898=P$1, ($A8898+$C8898) - MAX(IF($B$2:$B8897=$B8898, $A$2:$A8897+$C$2:$C8897)), "")*24*60, "")</f>
        <v/>
      </c>
      <c r="Q8898" s="24" t="str" cm="1">
        <f t="array" ref="Q8898">IFERROR(IF($B8898=Q$1, ($A8898+$C8898) - MAX(IF($B$2:$B8897=$B8898, $A$2:$A8897+$C$2:$C8897)), "")*24*60, "")</f>
        <v/>
      </c>
      <c r="R8898" s="24" t="str" cm="1">
        <f t="array" ref="R8898">IFERROR(IF($B8898=R$1, ($A8898+$C8898) - MAX(IF($B$2:$B8897=$B8898, $A$2:$A8897+$C$2:$C8897)), "")*24*60, "")</f>
        <v/>
      </c>
      <c r="S8898" s="24" t="str" cm="1">
        <f t="array" ref="S8898">IFERROR(IF($B8898=S$1, ($A8898+$C8898) - MAX(IF($B$2:$B8897=$B8898, $A$2:$A8897+$C$2:$C8897)), "")*24*60, "")</f>
        <v/>
      </c>
    </row>
    <row r="8899" spans="1:19" x14ac:dyDescent="0.2">
      <c r="A8899" s="12">
        <f t="shared" ref="A8899:C8899" si="1451">A8898</f>
        <v>46038</v>
      </c>
      <c r="B8899" s="5" t="str">
        <f t="shared" si="1451"/>
        <v>Northern Cardinal</v>
      </c>
      <c r="C8899" s="6">
        <f t="shared" si="1451"/>
        <v>0.29166666666666669</v>
      </c>
      <c r="D8899" s="5"/>
      <c r="E8899" s="5"/>
      <c r="F8899" s="5" t="s">
        <v>9</v>
      </c>
      <c r="G8899" s="15" t="s">
        <v>8</v>
      </c>
      <c r="H8899" s="24">
        <f t="shared" si="1412"/>
        <v>0</v>
      </c>
      <c r="I8899" s="24" cm="1">
        <f t="array" ref="I8899">IFERROR(IF($B8899=I$1, ($A8899+$C8899) - MAX(IF($B$2:$B8898=$B8899, $A$2:$A8898+$C$2:$C8898)), "")*24*60, "")</f>
        <v>0</v>
      </c>
      <c r="J8899" s="24" t="str" cm="1">
        <f t="array" ref="J8899">IFERROR(IF($B8899=J$1, ($A8899+$C8899) - MAX(IF($B$2:$B8898=$B8899, $A$2:$A8898+$C$2:$C8898)), "")*24*60, "")</f>
        <v/>
      </c>
      <c r="K8899" s="24" t="str" cm="1">
        <f t="array" ref="K8899">IFERROR(IF($B8899=K$1, ($A8899+$C8899) - MAX(IF($B$2:$B8898=$B8899, $A$2:$A8898+$C$2:$C8898)), "")*24*60, "")</f>
        <v/>
      </c>
      <c r="L8899" s="24" t="str" cm="1">
        <f t="array" ref="L8899">IFERROR(IF($B8899=L$1, ($A8899+$C8899) - MAX(IF($B$2:$B8898=$B8899, $A$2:$A8898+$C$2:$C8898)), "")*24*60, "")</f>
        <v/>
      </c>
      <c r="M8899" s="24" t="str" cm="1">
        <f t="array" ref="M8899">IFERROR(IF($B8899=M$1, ($A8899+$C8899) - MAX(IF($B$2:$B8898=$B8899, $A$2:$A8898+$C$2:$C8898)), "")*24*60, "")</f>
        <v/>
      </c>
      <c r="N8899" s="24" t="str" cm="1">
        <f t="array" ref="N8899">IFERROR(IF($B8899=N$1, ($A8899+$C8899) - MAX(IF($B$2:$B8898=$B8899, $A$2:$A8898+$C$2:$C8898)), "")*24*60, "")</f>
        <v/>
      </c>
      <c r="O8899" s="24" t="str" cm="1">
        <f t="array" ref="O8899">IFERROR(IF($B8899=O$1, ($A8899+$C8899) - MAX(IF($B$2:$B8898=$B8899, $A$2:$A8898+$C$2:$C8898)), "")*24*60, "")</f>
        <v/>
      </c>
      <c r="P8899" s="24" t="str" cm="1">
        <f t="array" ref="P8899">IFERROR(IF($B8899=P$1, ($A8899+$C8899) - MAX(IF($B$2:$B8898=$B8899, $A$2:$A8898+$C$2:$C8898)), "")*24*60, "")</f>
        <v/>
      </c>
      <c r="Q8899" s="24" t="str" cm="1">
        <f t="array" ref="Q8899">IFERROR(IF($B8899=Q$1, ($A8899+$C8899) - MAX(IF($B$2:$B8898=$B8899, $A$2:$A8898+$C$2:$C8898)), "")*24*60, "")</f>
        <v/>
      </c>
      <c r="R8899" s="24" t="str" cm="1">
        <f t="array" ref="R8899">IFERROR(IF($B8899=R$1, ($A8899+$C8899) - MAX(IF($B$2:$B8898=$B8899, $A$2:$A8898+$C$2:$C8898)), "")*24*60, "")</f>
        <v/>
      </c>
      <c r="S8899" s="24" t="str" cm="1">
        <f t="array" ref="S8899">IFERROR(IF($B8899=S$1, ($A8899+$C8899) - MAX(IF($B$2:$B8898=$B8899, $A$2:$A8898+$C$2:$C8898)), "")*24*60, "")</f>
        <v/>
      </c>
    </row>
    <row r="8900" spans="1:19" x14ac:dyDescent="0.2">
      <c r="A8900" s="12">
        <f t="shared" ref="A8900:C8900" si="1452">A8899</f>
        <v>46038</v>
      </c>
      <c r="B8900" s="5" t="str">
        <f t="shared" si="1452"/>
        <v>Northern Cardinal</v>
      </c>
      <c r="C8900" s="6">
        <f t="shared" si="1452"/>
        <v>0.29166666666666669</v>
      </c>
      <c r="D8900" s="5"/>
      <c r="E8900" s="5"/>
      <c r="F8900" s="5" t="s">
        <v>9</v>
      </c>
      <c r="G8900" s="15" t="s">
        <v>8</v>
      </c>
      <c r="H8900" s="24">
        <f t="shared" si="1412"/>
        <v>0</v>
      </c>
      <c r="I8900" s="24" cm="1">
        <f t="array" ref="I8900">IFERROR(IF($B8900=I$1, ($A8900+$C8900) - MAX(IF($B$2:$B8899=$B8900, $A$2:$A8899+$C$2:$C8899)), "")*24*60, "")</f>
        <v>0</v>
      </c>
      <c r="J8900" s="24" t="str" cm="1">
        <f t="array" ref="J8900">IFERROR(IF($B8900=J$1, ($A8900+$C8900) - MAX(IF($B$2:$B8899=$B8900, $A$2:$A8899+$C$2:$C8899)), "")*24*60, "")</f>
        <v/>
      </c>
      <c r="K8900" s="24" t="str" cm="1">
        <f t="array" ref="K8900">IFERROR(IF($B8900=K$1, ($A8900+$C8900) - MAX(IF($B$2:$B8899=$B8900, $A$2:$A8899+$C$2:$C8899)), "")*24*60, "")</f>
        <v/>
      </c>
      <c r="L8900" s="24" t="str" cm="1">
        <f t="array" ref="L8900">IFERROR(IF($B8900=L$1, ($A8900+$C8900) - MAX(IF($B$2:$B8899=$B8900, $A$2:$A8899+$C$2:$C8899)), "")*24*60, "")</f>
        <v/>
      </c>
      <c r="M8900" s="24" t="str" cm="1">
        <f t="array" ref="M8900">IFERROR(IF($B8900=M$1, ($A8900+$C8900) - MAX(IF($B$2:$B8899=$B8900, $A$2:$A8899+$C$2:$C8899)), "")*24*60, "")</f>
        <v/>
      </c>
      <c r="N8900" s="24" t="str" cm="1">
        <f t="array" ref="N8900">IFERROR(IF($B8900=N$1, ($A8900+$C8900) - MAX(IF($B$2:$B8899=$B8900, $A$2:$A8899+$C$2:$C8899)), "")*24*60, "")</f>
        <v/>
      </c>
      <c r="O8900" s="24" t="str" cm="1">
        <f t="array" ref="O8900">IFERROR(IF($B8900=O$1, ($A8900+$C8900) - MAX(IF($B$2:$B8899=$B8900, $A$2:$A8899+$C$2:$C8899)), "")*24*60, "")</f>
        <v/>
      </c>
      <c r="P8900" s="24" t="str" cm="1">
        <f t="array" ref="P8900">IFERROR(IF($B8900=P$1, ($A8900+$C8900) - MAX(IF($B$2:$B8899=$B8900, $A$2:$A8899+$C$2:$C8899)), "")*24*60, "")</f>
        <v/>
      </c>
      <c r="Q8900" s="24" t="str" cm="1">
        <f t="array" ref="Q8900">IFERROR(IF($B8900=Q$1, ($A8900+$C8900) - MAX(IF($B$2:$B8899=$B8900, $A$2:$A8899+$C$2:$C8899)), "")*24*60, "")</f>
        <v/>
      </c>
      <c r="R8900" s="24" t="str" cm="1">
        <f t="array" ref="R8900">IFERROR(IF($B8900=R$1, ($A8900+$C8900) - MAX(IF($B$2:$B8899=$B8900, $A$2:$A8899+$C$2:$C8899)), "")*24*60, "")</f>
        <v/>
      </c>
      <c r="S8900" s="24" t="str" cm="1">
        <f t="array" ref="S8900">IFERROR(IF($B8900=S$1, ($A8900+$C8900) - MAX(IF($B$2:$B8899=$B8900, $A$2:$A8899+$C$2:$C8899)), "")*24*60, "")</f>
        <v/>
      </c>
    </row>
    <row r="8901" spans="1:19" x14ac:dyDescent="0.2">
      <c r="A8901" s="12">
        <f t="shared" ref="A8901:C8901" si="1453">A8900</f>
        <v>46038</v>
      </c>
      <c r="B8901" s="5" t="str">
        <f t="shared" si="1453"/>
        <v>Northern Cardinal</v>
      </c>
      <c r="C8901" s="6">
        <f t="shared" si="1453"/>
        <v>0.29166666666666669</v>
      </c>
      <c r="D8901" s="5"/>
      <c r="E8901" s="5"/>
      <c r="F8901" s="5" t="s">
        <v>9</v>
      </c>
      <c r="G8901" s="15" t="s">
        <v>8</v>
      </c>
      <c r="H8901" s="24">
        <f t="shared" si="1412"/>
        <v>0</v>
      </c>
      <c r="I8901" s="24" cm="1">
        <f t="array" ref="I8901">IFERROR(IF($B8901=I$1, ($A8901+$C8901) - MAX(IF($B$2:$B8900=$B8901, $A$2:$A8900+$C$2:$C8900)), "")*24*60, "")</f>
        <v>0</v>
      </c>
      <c r="J8901" s="24" t="str" cm="1">
        <f t="array" ref="J8901">IFERROR(IF($B8901=J$1, ($A8901+$C8901) - MAX(IF($B$2:$B8900=$B8901, $A$2:$A8900+$C$2:$C8900)), "")*24*60, "")</f>
        <v/>
      </c>
      <c r="K8901" s="24" t="str" cm="1">
        <f t="array" ref="K8901">IFERROR(IF($B8901=K$1, ($A8901+$C8901) - MAX(IF($B$2:$B8900=$B8901, $A$2:$A8900+$C$2:$C8900)), "")*24*60, "")</f>
        <v/>
      </c>
      <c r="L8901" s="24" t="str" cm="1">
        <f t="array" ref="L8901">IFERROR(IF($B8901=L$1, ($A8901+$C8901) - MAX(IF($B$2:$B8900=$B8901, $A$2:$A8900+$C$2:$C8900)), "")*24*60, "")</f>
        <v/>
      </c>
      <c r="M8901" s="24" t="str" cm="1">
        <f t="array" ref="M8901">IFERROR(IF($B8901=M$1, ($A8901+$C8901) - MAX(IF($B$2:$B8900=$B8901, $A$2:$A8900+$C$2:$C8900)), "")*24*60, "")</f>
        <v/>
      </c>
      <c r="N8901" s="24" t="str" cm="1">
        <f t="array" ref="N8901">IFERROR(IF($B8901=N$1, ($A8901+$C8901) - MAX(IF($B$2:$B8900=$B8901, $A$2:$A8900+$C$2:$C8900)), "")*24*60, "")</f>
        <v/>
      </c>
      <c r="O8901" s="24" t="str" cm="1">
        <f t="array" ref="O8901">IFERROR(IF($B8901=O$1, ($A8901+$C8901) - MAX(IF($B$2:$B8900=$B8901, $A$2:$A8900+$C$2:$C8900)), "")*24*60, "")</f>
        <v/>
      </c>
      <c r="P8901" s="24" t="str" cm="1">
        <f t="array" ref="P8901">IFERROR(IF($B8901=P$1, ($A8901+$C8901) - MAX(IF($B$2:$B8900=$B8901, $A$2:$A8900+$C$2:$C8900)), "")*24*60, "")</f>
        <v/>
      </c>
      <c r="Q8901" s="24" t="str" cm="1">
        <f t="array" ref="Q8901">IFERROR(IF($B8901=Q$1, ($A8901+$C8901) - MAX(IF($B$2:$B8900=$B8901, $A$2:$A8900+$C$2:$C8900)), "")*24*60, "")</f>
        <v/>
      </c>
      <c r="R8901" s="24" t="str" cm="1">
        <f t="array" ref="R8901">IFERROR(IF($B8901=R$1, ($A8901+$C8901) - MAX(IF($B$2:$B8900=$B8901, $A$2:$A8900+$C$2:$C8900)), "")*24*60, "")</f>
        <v/>
      </c>
      <c r="S8901" s="24" t="str" cm="1">
        <f t="array" ref="S8901">IFERROR(IF($B8901=S$1, ($A8901+$C8901) - MAX(IF($B$2:$B8900=$B8901, $A$2:$A8900+$C$2:$C8900)), "")*24*60, "")</f>
        <v/>
      </c>
    </row>
    <row r="8902" spans="1:19" x14ac:dyDescent="0.2">
      <c r="A8902" s="12">
        <f t="shared" ref="A8902:C8902" si="1454">A8901</f>
        <v>46038</v>
      </c>
      <c r="B8902" s="5" t="str">
        <f t="shared" si="1454"/>
        <v>Northern Cardinal</v>
      </c>
      <c r="C8902" s="6">
        <f t="shared" si="1454"/>
        <v>0.29166666666666669</v>
      </c>
      <c r="D8902" s="5"/>
      <c r="E8902" s="5"/>
      <c r="F8902" s="5" t="s">
        <v>9</v>
      </c>
      <c r="G8902" s="15" t="s">
        <v>8</v>
      </c>
      <c r="H8902" s="24">
        <f t="shared" si="1412"/>
        <v>0</v>
      </c>
      <c r="I8902" s="24" cm="1">
        <f t="array" ref="I8902">IFERROR(IF($B8902=I$1, ($A8902+$C8902) - MAX(IF($B$2:$B8901=$B8902, $A$2:$A8901+$C$2:$C8901)), "")*24*60, "")</f>
        <v>0</v>
      </c>
      <c r="J8902" s="24" t="str" cm="1">
        <f t="array" ref="J8902">IFERROR(IF($B8902=J$1, ($A8902+$C8902) - MAX(IF($B$2:$B8901=$B8902, $A$2:$A8901+$C$2:$C8901)), "")*24*60, "")</f>
        <v/>
      </c>
      <c r="K8902" s="24" t="str" cm="1">
        <f t="array" ref="K8902">IFERROR(IF($B8902=K$1, ($A8902+$C8902) - MAX(IF($B$2:$B8901=$B8902, $A$2:$A8901+$C$2:$C8901)), "")*24*60, "")</f>
        <v/>
      </c>
      <c r="L8902" s="24" t="str" cm="1">
        <f t="array" ref="L8902">IFERROR(IF($B8902=L$1, ($A8902+$C8902) - MAX(IF($B$2:$B8901=$B8902, $A$2:$A8901+$C$2:$C8901)), "")*24*60, "")</f>
        <v/>
      </c>
      <c r="M8902" s="24" t="str" cm="1">
        <f t="array" ref="M8902">IFERROR(IF($B8902=M$1, ($A8902+$C8902) - MAX(IF($B$2:$B8901=$B8902, $A$2:$A8901+$C$2:$C8901)), "")*24*60, "")</f>
        <v/>
      </c>
      <c r="N8902" s="24" t="str" cm="1">
        <f t="array" ref="N8902">IFERROR(IF($B8902=N$1, ($A8902+$C8902) - MAX(IF($B$2:$B8901=$B8902, $A$2:$A8901+$C$2:$C8901)), "")*24*60, "")</f>
        <v/>
      </c>
      <c r="O8902" s="24" t="str" cm="1">
        <f t="array" ref="O8902">IFERROR(IF($B8902=O$1, ($A8902+$C8902) - MAX(IF($B$2:$B8901=$B8902, $A$2:$A8901+$C$2:$C8901)), "")*24*60, "")</f>
        <v/>
      </c>
      <c r="P8902" s="24" t="str" cm="1">
        <f t="array" ref="P8902">IFERROR(IF($B8902=P$1, ($A8902+$C8902) - MAX(IF($B$2:$B8901=$B8902, $A$2:$A8901+$C$2:$C8901)), "")*24*60, "")</f>
        <v/>
      </c>
      <c r="Q8902" s="24" t="str" cm="1">
        <f t="array" ref="Q8902">IFERROR(IF($B8902=Q$1, ($A8902+$C8902) - MAX(IF($B$2:$B8901=$B8902, $A$2:$A8901+$C$2:$C8901)), "")*24*60, "")</f>
        <v/>
      </c>
      <c r="R8902" s="24" t="str" cm="1">
        <f t="array" ref="R8902">IFERROR(IF($B8902=R$1, ($A8902+$C8902) - MAX(IF($B$2:$B8901=$B8902, $A$2:$A8901+$C$2:$C8901)), "")*24*60, "")</f>
        <v/>
      </c>
      <c r="S8902" s="24" t="str" cm="1">
        <f t="array" ref="S8902">IFERROR(IF($B8902=S$1, ($A8902+$C8902) - MAX(IF($B$2:$B8901=$B8902, $A$2:$A8901+$C$2:$C8901)), "")*24*60, "")</f>
        <v/>
      </c>
    </row>
    <row r="8903" spans="1:19" x14ac:dyDescent="0.2">
      <c r="A8903" s="12">
        <f t="shared" ref="A8903:C8903" si="1455">A8902</f>
        <v>46038</v>
      </c>
      <c r="B8903" s="5" t="str">
        <f t="shared" si="1455"/>
        <v>Northern Cardinal</v>
      </c>
      <c r="C8903" s="6">
        <f t="shared" si="1455"/>
        <v>0.29166666666666669</v>
      </c>
      <c r="D8903" s="5"/>
      <c r="E8903" s="5"/>
      <c r="F8903" s="5" t="s">
        <v>9</v>
      </c>
      <c r="G8903" s="15" t="s">
        <v>8</v>
      </c>
      <c r="H8903" s="24">
        <f t="shared" si="1412"/>
        <v>0</v>
      </c>
      <c r="I8903" s="24" cm="1">
        <f t="array" ref="I8903">IFERROR(IF($B8903=I$1, ($A8903+$C8903) - MAX(IF($B$2:$B8902=$B8903, $A$2:$A8902+$C$2:$C8902)), "")*24*60, "")</f>
        <v>0</v>
      </c>
      <c r="J8903" s="24" t="str" cm="1">
        <f t="array" ref="J8903">IFERROR(IF($B8903=J$1, ($A8903+$C8903) - MAX(IF($B$2:$B8902=$B8903, $A$2:$A8902+$C$2:$C8902)), "")*24*60, "")</f>
        <v/>
      </c>
      <c r="K8903" s="24" t="str" cm="1">
        <f t="array" ref="K8903">IFERROR(IF($B8903=K$1, ($A8903+$C8903) - MAX(IF($B$2:$B8902=$B8903, $A$2:$A8902+$C$2:$C8902)), "")*24*60, "")</f>
        <v/>
      </c>
      <c r="L8903" s="24" t="str" cm="1">
        <f t="array" ref="L8903">IFERROR(IF($B8903=L$1, ($A8903+$C8903) - MAX(IF($B$2:$B8902=$B8903, $A$2:$A8902+$C$2:$C8902)), "")*24*60, "")</f>
        <v/>
      </c>
      <c r="M8903" s="24" t="str" cm="1">
        <f t="array" ref="M8903">IFERROR(IF($B8903=M$1, ($A8903+$C8903) - MAX(IF($B$2:$B8902=$B8903, $A$2:$A8902+$C$2:$C8902)), "")*24*60, "")</f>
        <v/>
      </c>
      <c r="N8903" s="24" t="str" cm="1">
        <f t="array" ref="N8903">IFERROR(IF($B8903=N$1, ($A8903+$C8903) - MAX(IF($B$2:$B8902=$B8903, $A$2:$A8902+$C$2:$C8902)), "")*24*60, "")</f>
        <v/>
      </c>
      <c r="O8903" s="24" t="str" cm="1">
        <f t="array" ref="O8903">IFERROR(IF($B8903=O$1, ($A8903+$C8903) - MAX(IF($B$2:$B8902=$B8903, $A$2:$A8902+$C$2:$C8902)), "")*24*60, "")</f>
        <v/>
      </c>
      <c r="P8903" s="24" t="str" cm="1">
        <f t="array" ref="P8903">IFERROR(IF($B8903=P$1, ($A8903+$C8903) - MAX(IF($B$2:$B8902=$B8903, $A$2:$A8902+$C$2:$C8902)), "")*24*60, "")</f>
        <v/>
      </c>
      <c r="Q8903" s="24" t="str" cm="1">
        <f t="array" ref="Q8903">IFERROR(IF($B8903=Q$1, ($A8903+$C8903) - MAX(IF($B$2:$B8902=$B8903, $A$2:$A8902+$C$2:$C8902)), "")*24*60, "")</f>
        <v/>
      </c>
      <c r="R8903" s="24" t="str" cm="1">
        <f t="array" ref="R8903">IFERROR(IF($B8903=R$1, ($A8903+$C8903) - MAX(IF($B$2:$B8902=$B8903, $A$2:$A8902+$C$2:$C8902)), "")*24*60, "")</f>
        <v/>
      </c>
      <c r="S8903" s="24" t="str" cm="1">
        <f t="array" ref="S8903">IFERROR(IF($B8903=S$1, ($A8903+$C8903) - MAX(IF($B$2:$B8902=$B8903, $A$2:$A8902+$C$2:$C8902)), "")*24*60, "")</f>
        <v/>
      </c>
    </row>
    <row r="8904" spans="1:19" x14ac:dyDescent="0.2">
      <c r="A8904" s="12">
        <f t="shared" ref="A8904:C8904" si="1456">A8903</f>
        <v>46038</v>
      </c>
      <c r="B8904" s="5" t="str">
        <f t="shared" si="1456"/>
        <v>Northern Cardinal</v>
      </c>
      <c r="C8904" s="6">
        <f t="shared" si="1456"/>
        <v>0.29166666666666669</v>
      </c>
      <c r="D8904" s="5"/>
      <c r="E8904" s="5"/>
      <c r="F8904" s="5" t="s">
        <v>9</v>
      </c>
      <c r="G8904" s="15" t="s">
        <v>8</v>
      </c>
      <c r="H8904" s="24">
        <f t="shared" si="1412"/>
        <v>0</v>
      </c>
      <c r="I8904" s="24" cm="1">
        <f t="array" ref="I8904">IFERROR(IF($B8904=I$1, ($A8904+$C8904) - MAX(IF($B$2:$B8903=$B8904, $A$2:$A8903+$C$2:$C8903)), "")*24*60, "")</f>
        <v>0</v>
      </c>
      <c r="J8904" s="24" t="str" cm="1">
        <f t="array" ref="J8904">IFERROR(IF($B8904=J$1, ($A8904+$C8904) - MAX(IF($B$2:$B8903=$B8904, $A$2:$A8903+$C$2:$C8903)), "")*24*60, "")</f>
        <v/>
      </c>
      <c r="K8904" s="24" t="str" cm="1">
        <f t="array" ref="K8904">IFERROR(IF($B8904=K$1, ($A8904+$C8904) - MAX(IF($B$2:$B8903=$B8904, $A$2:$A8903+$C$2:$C8903)), "")*24*60, "")</f>
        <v/>
      </c>
      <c r="L8904" s="24" t="str" cm="1">
        <f t="array" ref="L8904">IFERROR(IF($B8904=L$1, ($A8904+$C8904) - MAX(IF($B$2:$B8903=$B8904, $A$2:$A8903+$C$2:$C8903)), "")*24*60, "")</f>
        <v/>
      </c>
      <c r="M8904" s="24" t="str" cm="1">
        <f t="array" ref="M8904">IFERROR(IF($B8904=M$1, ($A8904+$C8904) - MAX(IF($B$2:$B8903=$B8904, $A$2:$A8903+$C$2:$C8903)), "")*24*60, "")</f>
        <v/>
      </c>
      <c r="N8904" s="24" t="str" cm="1">
        <f t="array" ref="N8904">IFERROR(IF($B8904=N$1, ($A8904+$C8904) - MAX(IF($B$2:$B8903=$B8904, $A$2:$A8903+$C$2:$C8903)), "")*24*60, "")</f>
        <v/>
      </c>
      <c r="O8904" s="24" t="str" cm="1">
        <f t="array" ref="O8904">IFERROR(IF($B8904=O$1, ($A8904+$C8904) - MAX(IF($B$2:$B8903=$B8904, $A$2:$A8903+$C$2:$C8903)), "")*24*60, "")</f>
        <v/>
      </c>
      <c r="P8904" s="24" t="str" cm="1">
        <f t="array" ref="P8904">IFERROR(IF($B8904=P$1, ($A8904+$C8904) - MAX(IF($B$2:$B8903=$B8904, $A$2:$A8903+$C$2:$C8903)), "")*24*60, "")</f>
        <v/>
      </c>
      <c r="Q8904" s="24" t="str" cm="1">
        <f t="array" ref="Q8904">IFERROR(IF($B8904=Q$1, ($A8904+$C8904) - MAX(IF($B$2:$B8903=$B8904, $A$2:$A8903+$C$2:$C8903)), "")*24*60, "")</f>
        <v/>
      </c>
      <c r="R8904" s="24" t="str" cm="1">
        <f t="array" ref="R8904">IFERROR(IF($B8904=R$1, ($A8904+$C8904) - MAX(IF($B$2:$B8903=$B8904, $A$2:$A8903+$C$2:$C8903)), "")*24*60, "")</f>
        <v/>
      </c>
      <c r="S8904" s="24" t="str" cm="1">
        <f t="array" ref="S8904">IFERROR(IF($B8904=S$1, ($A8904+$C8904) - MAX(IF($B$2:$B8903=$B8904, $A$2:$A8903+$C$2:$C8903)), "")*24*60, "")</f>
        <v/>
      </c>
    </row>
    <row r="8905" spans="1:19" x14ac:dyDescent="0.2">
      <c r="A8905" s="12">
        <f t="shared" ref="A8905:C8905" si="1457">A8904</f>
        <v>46038</v>
      </c>
      <c r="B8905" s="5" t="str">
        <f t="shared" si="1457"/>
        <v>Northern Cardinal</v>
      </c>
      <c r="C8905" s="6">
        <f t="shared" si="1457"/>
        <v>0.29166666666666669</v>
      </c>
      <c r="D8905" s="5"/>
      <c r="E8905" s="5"/>
      <c r="F8905" s="5" t="s">
        <v>9</v>
      </c>
      <c r="G8905" s="15" t="s">
        <v>8</v>
      </c>
      <c r="H8905" s="24">
        <f t="shared" si="1412"/>
        <v>0</v>
      </c>
      <c r="I8905" s="24" cm="1">
        <f t="array" ref="I8905">IFERROR(IF($B8905=I$1, ($A8905+$C8905) - MAX(IF($B$2:$B8904=$B8905, $A$2:$A8904+$C$2:$C8904)), "")*24*60, "")</f>
        <v>0</v>
      </c>
      <c r="J8905" s="24" t="str" cm="1">
        <f t="array" ref="J8905">IFERROR(IF($B8905=J$1, ($A8905+$C8905) - MAX(IF($B$2:$B8904=$B8905, $A$2:$A8904+$C$2:$C8904)), "")*24*60, "")</f>
        <v/>
      </c>
      <c r="K8905" s="24" t="str" cm="1">
        <f t="array" ref="K8905">IFERROR(IF($B8905=K$1, ($A8905+$C8905) - MAX(IF($B$2:$B8904=$B8905, $A$2:$A8904+$C$2:$C8904)), "")*24*60, "")</f>
        <v/>
      </c>
      <c r="L8905" s="24" t="str" cm="1">
        <f t="array" ref="L8905">IFERROR(IF($B8905=L$1, ($A8905+$C8905) - MAX(IF($B$2:$B8904=$B8905, $A$2:$A8904+$C$2:$C8904)), "")*24*60, "")</f>
        <v/>
      </c>
      <c r="M8905" s="24" t="str" cm="1">
        <f t="array" ref="M8905">IFERROR(IF($B8905=M$1, ($A8905+$C8905) - MAX(IF($B$2:$B8904=$B8905, $A$2:$A8904+$C$2:$C8904)), "")*24*60, "")</f>
        <v/>
      </c>
      <c r="N8905" s="24" t="str" cm="1">
        <f t="array" ref="N8905">IFERROR(IF($B8905=N$1, ($A8905+$C8905) - MAX(IF($B$2:$B8904=$B8905, $A$2:$A8904+$C$2:$C8904)), "")*24*60, "")</f>
        <v/>
      </c>
      <c r="O8905" s="24" t="str" cm="1">
        <f t="array" ref="O8905">IFERROR(IF($B8905=O$1, ($A8905+$C8905) - MAX(IF($B$2:$B8904=$B8905, $A$2:$A8904+$C$2:$C8904)), "")*24*60, "")</f>
        <v/>
      </c>
      <c r="P8905" s="24" t="str" cm="1">
        <f t="array" ref="P8905">IFERROR(IF($B8905=P$1, ($A8905+$C8905) - MAX(IF($B$2:$B8904=$B8905, $A$2:$A8904+$C$2:$C8904)), "")*24*60, "")</f>
        <v/>
      </c>
      <c r="Q8905" s="24" t="str" cm="1">
        <f t="array" ref="Q8905">IFERROR(IF($B8905=Q$1, ($A8905+$C8905) - MAX(IF($B$2:$B8904=$B8905, $A$2:$A8904+$C$2:$C8904)), "")*24*60, "")</f>
        <v/>
      </c>
      <c r="R8905" s="24" t="str" cm="1">
        <f t="array" ref="R8905">IFERROR(IF($B8905=R$1, ($A8905+$C8905) - MAX(IF($B$2:$B8904=$B8905, $A$2:$A8904+$C$2:$C8904)), "")*24*60, "")</f>
        <v/>
      </c>
      <c r="S8905" s="24" t="str" cm="1">
        <f t="array" ref="S8905">IFERROR(IF($B8905=S$1, ($A8905+$C8905) - MAX(IF($B$2:$B8904=$B8905, $A$2:$A8904+$C$2:$C8904)), "")*24*60, "")</f>
        <v/>
      </c>
    </row>
    <row r="8906" spans="1:19" x14ac:dyDescent="0.2">
      <c r="A8906" s="12">
        <f t="shared" ref="A8906:C8906" si="1458">A8905</f>
        <v>46038</v>
      </c>
      <c r="B8906" s="5" t="str">
        <f t="shared" si="1458"/>
        <v>Northern Cardinal</v>
      </c>
      <c r="C8906" s="6">
        <f t="shared" si="1458"/>
        <v>0.29166666666666669</v>
      </c>
      <c r="D8906" s="5"/>
      <c r="E8906" s="5"/>
      <c r="F8906" s="5" t="s">
        <v>9</v>
      </c>
      <c r="G8906" s="15" t="s">
        <v>8</v>
      </c>
      <c r="H8906" s="24">
        <f t="shared" si="1412"/>
        <v>0</v>
      </c>
      <c r="I8906" s="24" cm="1">
        <f t="array" ref="I8906">IFERROR(IF($B8906=I$1, ($A8906+$C8906) - MAX(IF($B$2:$B8905=$B8906, $A$2:$A8905+$C$2:$C8905)), "")*24*60, "")</f>
        <v>0</v>
      </c>
      <c r="J8906" s="24" t="str" cm="1">
        <f t="array" ref="J8906">IFERROR(IF($B8906=J$1, ($A8906+$C8906) - MAX(IF($B$2:$B8905=$B8906, $A$2:$A8905+$C$2:$C8905)), "")*24*60, "")</f>
        <v/>
      </c>
      <c r="K8906" s="24" t="str" cm="1">
        <f t="array" ref="K8906">IFERROR(IF($B8906=K$1, ($A8906+$C8906) - MAX(IF($B$2:$B8905=$B8906, $A$2:$A8905+$C$2:$C8905)), "")*24*60, "")</f>
        <v/>
      </c>
      <c r="L8906" s="24" t="str" cm="1">
        <f t="array" ref="L8906">IFERROR(IF($B8906=L$1, ($A8906+$C8906) - MAX(IF($B$2:$B8905=$B8906, $A$2:$A8905+$C$2:$C8905)), "")*24*60, "")</f>
        <v/>
      </c>
      <c r="M8906" s="24" t="str" cm="1">
        <f t="array" ref="M8906">IFERROR(IF($B8906=M$1, ($A8906+$C8906) - MAX(IF($B$2:$B8905=$B8906, $A$2:$A8905+$C$2:$C8905)), "")*24*60, "")</f>
        <v/>
      </c>
      <c r="N8906" s="24" t="str" cm="1">
        <f t="array" ref="N8906">IFERROR(IF($B8906=N$1, ($A8906+$C8906) - MAX(IF($B$2:$B8905=$B8906, $A$2:$A8905+$C$2:$C8905)), "")*24*60, "")</f>
        <v/>
      </c>
      <c r="O8906" s="24" t="str" cm="1">
        <f t="array" ref="O8906">IFERROR(IF($B8906=O$1, ($A8906+$C8906) - MAX(IF($B$2:$B8905=$B8906, $A$2:$A8905+$C$2:$C8905)), "")*24*60, "")</f>
        <v/>
      </c>
      <c r="P8906" s="24" t="str" cm="1">
        <f t="array" ref="P8906">IFERROR(IF($B8906=P$1, ($A8906+$C8906) - MAX(IF($B$2:$B8905=$B8906, $A$2:$A8905+$C$2:$C8905)), "")*24*60, "")</f>
        <v/>
      </c>
      <c r="Q8906" s="24" t="str" cm="1">
        <f t="array" ref="Q8906">IFERROR(IF($B8906=Q$1, ($A8906+$C8906) - MAX(IF($B$2:$B8905=$B8906, $A$2:$A8905+$C$2:$C8905)), "")*24*60, "")</f>
        <v/>
      </c>
      <c r="R8906" s="24" t="str" cm="1">
        <f t="array" ref="R8906">IFERROR(IF($B8906=R$1, ($A8906+$C8906) - MAX(IF($B$2:$B8905=$B8906, $A$2:$A8905+$C$2:$C8905)), "")*24*60, "")</f>
        <v/>
      </c>
      <c r="S8906" s="24" t="str" cm="1">
        <f t="array" ref="S8906">IFERROR(IF($B8906=S$1, ($A8906+$C8906) - MAX(IF($B$2:$B8905=$B8906, $A$2:$A8905+$C$2:$C8905)), "")*24*60, "")</f>
        <v/>
      </c>
    </row>
    <row r="8907" spans="1:19" x14ac:dyDescent="0.2">
      <c r="A8907" s="12">
        <f t="shared" ref="A8907:C8907" si="1459">A8906</f>
        <v>46038</v>
      </c>
      <c r="B8907" s="5" t="str">
        <f t="shared" si="1459"/>
        <v>Northern Cardinal</v>
      </c>
      <c r="C8907" s="6">
        <f t="shared" si="1459"/>
        <v>0.29166666666666669</v>
      </c>
      <c r="D8907" s="5"/>
      <c r="E8907" s="5"/>
      <c r="F8907" s="5" t="s">
        <v>9</v>
      </c>
      <c r="G8907" s="15" t="s">
        <v>8</v>
      </c>
      <c r="H8907" s="24">
        <f t="shared" si="1412"/>
        <v>0</v>
      </c>
      <c r="I8907" s="24" cm="1">
        <f t="array" ref="I8907">IFERROR(IF($B8907=I$1, ($A8907+$C8907) - MAX(IF($B$2:$B8906=$B8907, $A$2:$A8906+$C$2:$C8906)), "")*24*60, "")</f>
        <v>0</v>
      </c>
      <c r="J8907" s="24" t="str" cm="1">
        <f t="array" ref="J8907">IFERROR(IF($B8907=J$1, ($A8907+$C8907) - MAX(IF($B$2:$B8906=$B8907, $A$2:$A8906+$C$2:$C8906)), "")*24*60, "")</f>
        <v/>
      </c>
      <c r="K8907" s="24" t="str" cm="1">
        <f t="array" ref="K8907">IFERROR(IF($B8907=K$1, ($A8907+$C8907) - MAX(IF($B$2:$B8906=$B8907, $A$2:$A8906+$C$2:$C8906)), "")*24*60, "")</f>
        <v/>
      </c>
      <c r="L8907" s="24" t="str" cm="1">
        <f t="array" ref="L8907">IFERROR(IF($B8907=L$1, ($A8907+$C8907) - MAX(IF($B$2:$B8906=$B8907, $A$2:$A8906+$C$2:$C8906)), "")*24*60, "")</f>
        <v/>
      </c>
      <c r="M8907" s="24" t="str" cm="1">
        <f t="array" ref="M8907">IFERROR(IF($B8907=M$1, ($A8907+$C8907) - MAX(IF($B$2:$B8906=$B8907, $A$2:$A8906+$C$2:$C8906)), "")*24*60, "")</f>
        <v/>
      </c>
      <c r="N8907" s="24" t="str" cm="1">
        <f t="array" ref="N8907">IFERROR(IF($B8907=N$1, ($A8907+$C8907) - MAX(IF($B$2:$B8906=$B8907, $A$2:$A8906+$C$2:$C8906)), "")*24*60, "")</f>
        <v/>
      </c>
      <c r="O8907" s="24" t="str" cm="1">
        <f t="array" ref="O8907">IFERROR(IF($B8907=O$1, ($A8907+$C8907) - MAX(IF($B$2:$B8906=$B8907, $A$2:$A8906+$C$2:$C8906)), "")*24*60, "")</f>
        <v/>
      </c>
      <c r="P8907" s="24" t="str" cm="1">
        <f t="array" ref="P8907">IFERROR(IF($B8907=P$1, ($A8907+$C8907) - MAX(IF($B$2:$B8906=$B8907, $A$2:$A8906+$C$2:$C8906)), "")*24*60, "")</f>
        <v/>
      </c>
      <c r="Q8907" s="24" t="str" cm="1">
        <f t="array" ref="Q8907">IFERROR(IF($B8907=Q$1, ($A8907+$C8907) - MAX(IF($B$2:$B8906=$B8907, $A$2:$A8906+$C$2:$C8906)), "")*24*60, "")</f>
        <v/>
      </c>
      <c r="R8907" s="24" t="str" cm="1">
        <f t="array" ref="R8907">IFERROR(IF($B8907=R$1, ($A8907+$C8907) - MAX(IF($B$2:$B8906=$B8907, $A$2:$A8906+$C$2:$C8906)), "")*24*60, "")</f>
        <v/>
      </c>
      <c r="S8907" s="24" t="str" cm="1">
        <f t="array" ref="S8907">IFERROR(IF($B8907=S$1, ($A8907+$C8907) - MAX(IF($B$2:$B8906=$B8907, $A$2:$A8906+$C$2:$C8906)), "")*24*60, "")</f>
        <v/>
      </c>
    </row>
    <row r="8908" spans="1:19" x14ac:dyDescent="0.2">
      <c r="A8908" s="12">
        <f t="shared" ref="A8908:C8908" si="1460">A8907</f>
        <v>46038</v>
      </c>
      <c r="B8908" s="5" t="str">
        <f t="shared" si="1460"/>
        <v>Northern Cardinal</v>
      </c>
      <c r="C8908" s="6">
        <f t="shared" si="1460"/>
        <v>0.29166666666666669</v>
      </c>
      <c r="D8908" s="5"/>
      <c r="E8908" s="5"/>
      <c r="F8908" s="5" t="s">
        <v>9</v>
      </c>
      <c r="G8908" s="15" t="s">
        <v>8</v>
      </c>
      <c r="H8908" s="24">
        <f t="shared" si="1412"/>
        <v>0</v>
      </c>
      <c r="I8908" s="24" cm="1">
        <f t="array" ref="I8908">IFERROR(IF($B8908=I$1, ($A8908+$C8908) - MAX(IF($B$2:$B8907=$B8908, $A$2:$A8907+$C$2:$C8907)), "")*24*60, "")</f>
        <v>0</v>
      </c>
      <c r="J8908" s="24" t="str" cm="1">
        <f t="array" ref="J8908">IFERROR(IF($B8908=J$1, ($A8908+$C8908) - MAX(IF($B$2:$B8907=$B8908, $A$2:$A8907+$C$2:$C8907)), "")*24*60, "")</f>
        <v/>
      </c>
      <c r="K8908" s="24" t="str" cm="1">
        <f t="array" ref="K8908">IFERROR(IF($B8908=K$1, ($A8908+$C8908) - MAX(IF($B$2:$B8907=$B8908, $A$2:$A8907+$C$2:$C8907)), "")*24*60, "")</f>
        <v/>
      </c>
      <c r="L8908" s="24" t="str" cm="1">
        <f t="array" ref="L8908">IFERROR(IF($B8908=L$1, ($A8908+$C8908) - MAX(IF($B$2:$B8907=$B8908, $A$2:$A8907+$C$2:$C8907)), "")*24*60, "")</f>
        <v/>
      </c>
      <c r="M8908" s="24" t="str" cm="1">
        <f t="array" ref="M8908">IFERROR(IF($B8908=M$1, ($A8908+$C8908) - MAX(IF($B$2:$B8907=$B8908, $A$2:$A8907+$C$2:$C8907)), "")*24*60, "")</f>
        <v/>
      </c>
      <c r="N8908" s="24" t="str" cm="1">
        <f t="array" ref="N8908">IFERROR(IF($B8908=N$1, ($A8908+$C8908) - MAX(IF($B$2:$B8907=$B8908, $A$2:$A8907+$C$2:$C8907)), "")*24*60, "")</f>
        <v/>
      </c>
      <c r="O8908" s="24" t="str" cm="1">
        <f t="array" ref="O8908">IFERROR(IF($B8908=O$1, ($A8908+$C8908) - MAX(IF($B$2:$B8907=$B8908, $A$2:$A8907+$C$2:$C8907)), "")*24*60, "")</f>
        <v/>
      </c>
      <c r="P8908" s="24" t="str" cm="1">
        <f t="array" ref="P8908">IFERROR(IF($B8908=P$1, ($A8908+$C8908) - MAX(IF($B$2:$B8907=$B8908, $A$2:$A8907+$C$2:$C8907)), "")*24*60, "")</f>
        <v/>
      </c>
      <c r="Q8908" s="24" t="str" cm="1">
        <f t="array" ref="Q8908">IFERROR(IF($B8908=Q$1, ($A8908+$C8908) - MAX(IF($B$2:$B8907=$B8908, $A$2:$A8907+$C$2:$C8907)), "")*24*60, "")</f>
        <v/>
      </c>
      <c r="R8908" s="24" t="str" cm="1">
        <f t="array" ref="R8908">IFERROR(IF($B8908=R$1, ($A8908+$C8908) - MAX(IF($B$2:$B8907=$B8908, $A$2:$A8907+$C$2:$C8907)), "")*24*60, "")</f>
        <v/>
      </c>
      <c r="S8908" s="24" t="str" cm="1">
        <f t="array" ref="S8908">IFERROR(IF($B8908=S$1, ($A8908+$C8908) - MAX(IF($B$2:$B8907=$B8908, $A$2:$A8907+$C$2:$C8907)), "")*24*60, "")</f>
        <v/>
      </c>
    </row>
    <row r="8909" spans="1:19" x14ac:dyDescent="0.2">
      <c r="A8909" s="12">
        <f t="shared" ref="A8909:C8909" si="1461">A8908</f>
        <v>46038</v>
      </c>
      <c r="B8909" s="5" t="str">
        <f t="shared" si="1461"/>
        <v>Northern Cardinal</v>
      </c>
      <c r="C8909" s="6">
        <f t="shared" si="1461"/>
        <v>0.29166666666666669</v>
      </c>
      <c r="D8909" s="5"/>
      <c r="E8909" s="5"/>
      <c r="F8909" s="5" t="s">
        <v>9</v>
      </c>
      <c r="G8909" s="15" t="s">
        <v>8</v>
      </c>
      <c r="H8909" s="24">
        <f t="shared" si="1412"/>
        <v>0</v>
      </c>
      <c r="I8909" s="24" cm="1">
        <f t="array" ref="I8909">IFERROR(IF($B8909=I$1, ($A8909+$C8909) - MAX(IF($B$2:$B8908=$B8909, $A$2:$A8908+$C$2:$C8908)), "")*24*60, "")</f>
        <v>0</v>
      </c>
      <c r="J8909" s="24" t="str" cm="1">
        <f t="array" ref="J8909">IFERROR(IF($B8909=J$1, ($A8909+$C8909) - MAX(IF($B$2:$B8908=$B8909, $A$2:$A8908+$C$2:$C8908)), "")*24*60, "")</f>
        <v/>
      </c>
      <c r="K8909" s="24" t="str" cm="1">
        <f t="array" ref="K8909">IFERROR(IF($B8909=K$1, ($A8909+$C8909) - MAX(IF($B$2:$B8908=$B8909, $A$2:$A8908+$C$2:$C8908)), "")*24*60, "")</f>
        <v/>
      </c>
      <c r="L8909" s="24" t="str" cm="1">
        <f t="array" ref="L8909">IFERROR(IF($B8909=L$1, ($A8909+$C8909) - MAX(IF($B$2:$B8908=$B8909, $A$2:$A8908+$C$2:$C8908)), "")*24*60, "")</f>
        <v/>
      </c>
      <c r="M8909" s="24" t="str" cm="1">
        <f t="array" ref="M8909">IFERROR(IF($B8909=M$1, ($A8909+$C8909) - MAX(IF($B$2:$B8908=$B8909, $A$2:$A8908+$C$2:$C8908)), "")*24*60, "")</f>
        <v/>
      </c>
      <c r="N8909" s="24" t="str" cm="1">
        <f t="array" ref="N8909">IFERROR(IF($B8909=N$1, ($A8909+$C8909) - MAX(IF($B$2:$B8908=$B8909, $A$2:$A8908+$C$2:$C8908)), "")*24*60, "")</f>
        <v/>
      </c>
      <c r="O8909" s="24" t="str" cm="1">
        <f t="array" ref="O8909">IFERROR(IF($B8909=O$1, ($A8909+$C8909) - MAX(IF($B$2:$B8908=$B8909, $A$2:$A8908+$C$2:$C8908)), "")*24*60, "")</f>
        <v/>
      </c>
      <c r="P8909" s="24" t="str" cm="1">
        <f t="array" ref="P8909">IFERROR(IF($B8909=P$1, ($A8909+$C8909) - MAX(IF($B$2:$B8908=$B8909, $A$2:$A8908+$C$2:$C8908)), "")*24*60, "")</f>
        <v/>
      </c>
      <c r="Q8909" s="24" t="str" cm="1">
        <f t="array" ref="Q8909">IFERROR(IF($B8909=Q$1, ($A8909+$C8909) - MAX(IF($B$2:$B8908=$B8909, $A$2:$A8908+$C$2:$C8908)), "")*24*60, "")</f>
        <v/>
      </c>
      <c r="R8909" s="24" t="str" cm="1">
        <f t="array" ref="R8909">IFERROR(IF($B8909=R$1, ($A8909+$C8909) - MAX(IF($B$2:$B8908=$B8909, $A$2:$A8908+$C$2:$C8908)), "")*24*60, "")</f>
        <v/>
      </c>
      <c r="S8909" s="24" t="str" cm="1">
        <f t="array" ref="S8909">IFERROR(IF($B8909=S$1, ($A8909+$C8909) - MAX(IF($B$2:$B8908=$B8909, $A$2:$A8908+$C$2:$C8908)), "")*24*60, "")</f>
        <v/>
      </c>
    </row>
    <row r="8910" spans="1:19" x14ac:dyDescent="0.2">
      <c r="A8910" s="12">
        <f t="shared" ref="A8910:C8910" si="1462">A8909</f>
        <v>46038</v>
      </c>
      <c r="B8910" s="5" t="str">
        <f t="shared" si="1462"/>
        <v>Northern Cardinal</v>
      </c>
      <c r="C8910" s="6">
        <f t="shared" si="1462"/>
        <v>0.29166666666666669</v>
      </c>
      <c r="D8910" s="5"/>
      <c r="E8910" s="5"/>
      <c r="F8910" s="5" t="s">
        <v>9</v>
      </c>
      <c r="G8910" s="15" t="s">
        <v>8</v>
      </c>
      <c r="H8910" s="24">
        <f t="shared" si="1412"/>
        <v>0</v>
      </c>
      <c r="I8910" s="24" cm="1">
        <f t="array" ref="I8910">IFERROR(IF($B8910=I$1, ($A8910+$C8910) - MAX(IF($B$2:$B8909=$B8910, $A$2:$A8909+$C$2:$C8909)), "")*24*60, "")</f>
        <v>0</v>
      </c>
      <c r="J8910" s="24" t="str" cm="1">
        <f t="array" ref="J8910">IFERROR(IF($B8910=J$1, ($A8910+$C8910) - MAX(IF($B$2:$B8909=$B8910, $A$2:$A8909+$C$2:$C8909)), "")*24*60, "")</f>
        <v/>
      </c>
      <c r="K8910" s="24" t="str" cm="1">
        <f t="array" ref="K8910">IFERROR(IF($B8910=K$1, ($A8910+$C8910) - MAX(IF($B$2:$B8909=$B8910, $A$2:$A8909+$C$2:$C8909)), "")*24*60, "")</f>
        <v/>
      </c>
      <c r="L8910" s="24" t="str" cm="1">
        <f t="array" ref="L8910">IFERROR(IF($B8910=L$1, ($A8910+$C8910) - MAX(IF($B$2:$B8909=$B8910, $A$2:$A8909+$C$2:$C8909)), "")*24*60, "")</f>
        <v/>
      </c>
      <c r="M8910" s="24" t="str" cm="1">
        <f t="array" ref="M8910">IFERROR(IF($B8910=M$1, ($A8910+$C8910) - MAX(IF($B$2:$B8909=$B8910, $A$2:$A8909+$C$2:$C8909)), "")*24*60, "")</f>
        <v/>
      </c>
      <c r="N8910" s="24" t="str" cm="1">
        <f t="array" ref="N8910">IFERROR(IF($B8910=N$1, ($A8910+$C8910) - MAX(IF($B$2:$B8909=$B8910, $A$2:$A8909+$C$2:$C8909)), "")*24*60, "")</f>
        <v/>
      </c>
      <c r="O8910" s="24" t="str" cm="1">
        <f t="array" ref="O8910">IFERROR(IF($B8910=O$1, ($A8910+$C8910) - MAX(IF($B$2:$B8909=$B8910, $A$2:$A8909+$C$2:$C8909)), "")*24*60, "")</f>
        <v/>
      </c>
      <c r="P8910" s="24" t="str" cm="1">
        <f t="array" ref="P8910">IFERROR(IF($B8910=P$1, ($A8910+$C8910) - MAX(IF($B$2:$B8909=$B8910, $A$2:$A8909+$C$2:$C8909)), "")*24*60, "")</f>
        <v/>
      </c>
      <c r="Q8910" s="24" t="str" cm="1">
        <f t="array" ref="Q8910">IFERROR(IF($B8910=Q$1, ($A8910+$C8910) - MAX(IF($B$2:$B8909=$B8910, $A$2:$A8909+$C$2:$C8909)), "")*24*60, "")</f>
        <v/>
      </c>
      <c r="R8910" s="24" t="str" cm="1">
        <f t="array" ref="R8910">IFERROR(IF($B8910=R$1, ($A8910+$C8910) - MAX(IF($B$2:$B8909=$B8910, $A$2:$A8909+$C$2:$C8909)), "")*24*60, "")</f>
        <v/>
      </c>
      <c r="S8910" s="24" t="str" cm="1">
        <f t="array" ref="S8910">IFERROR(IF($B8910=S$1, ($A8910+$C8910) - MAX(IF($B$2:$B8909=$B8910, $A$2:$A8909+$C$2:$C8909)), "")*24*60, "")</f>
        <v/>
      </c>
    </row>
    <row r="8911" spans="1:19" x14ac:dyDescent="0.2">
      <c r="A8911" s="12">
        <f t="shared" ref="A8911:C8911" si="1463">A8910</f>
        <v>46038</v>
      </c>
      <c r="B8911" s="5" t="str">
        <f t="shared" si="1463"/>
        <v>Northern Cardinal</v>
      </c>
      <c r="C8911" s="6">
        <f t="shared" si="1463"/>
        <v>0.29166666666666669</v>
      </c>
      <c r="D8911" s="5"/>
      <c r="E8911" s="5"/>
      <c r="F8911" s="5" t="s">
        <v>9</v>
      </c>
      <c r="G8911" s="15" t="s">
        <v>8</v>
      </c>
      <c r="H8911" s="24">
        <f t="shared" si="1412"/>
        <v>0</v>
      </c>
      <c r="I8911" s="24" cm="1">
        <f t="array" ref="I8911">IFERROR(IF($B8911=I$1, ($A8911+$C8911) - MAX(IF($B$2:$B8910=$B8911, $A$2:$A8910+$C$2:$C8910)), "")*24*60, "")</f>
        <v>0</v>
      </c>
      <c r="J8911" s="24" t="str" cm="1">
        <f t="array" ref="J8911">IFERROR(IF($B8911=J$1, ($A8911+$C8911) - MAX(IF($B$2:$B8910=$B8911, $A$2:$A8910+$C$2:$C8910)), "")*24*60, "")</f>
        <v/>
      </c>
      <c r="K8911" s="24" t="str" cm="1">
        <f t="array" ref="K8911">IFERROR(IF($B8911=K$1, ($A8911+$C8911) - MAX(IF($B$2:$B8910=$B8911, $A$2:$A8910+$C$2:$C8910)), "")*24*60, "")</f>
        <v/>
      </c>
      <c r="L8911" s="24" t="str" cm="1">
        <f t="array" ref="L8911">IFERROR(IF($B8911=L$1, ($A8911+$C8911) - MAX(IF($B$2:$B8910=$B8911, $A$2:$A8910+$C$2:$C8910)), "")*24*60, "")</f>
        <v/>
      </c>
      <c r="M8911" s="24" t="str" cm="1">
        <f t="array" ref="M8911">IFERROR(IF($B8911=M$1, ($A8911+$C8911) - MAX(IF($B$2:$B8910=$B8911, $A$2:$A8910+$C$2:$C8910)), "")*24*60, "")</f>
        <v/>
      </c>
      <c r="N8911" s="24" t="str" cm="1">
        <f t="array" ref="N8911">IFERROR(IF($B8911=N$1, ($A8911+$C8911) - MAX(IF($B$2:$B8910=$B8911, $A$2:$A8910+$C$2:$C8910)), "")*24*60, "")</f>
        <v/>
      </c>
      <c r="O8911" s="24" t="str" cm="1">
        <f t="array" ref="O8911">IFERROR(IF($B8911=O$1, ($A8911+$C8911) - MAX(IF($B$2:$B8910=$B8911, $A$2:$A8910+$C$2:$C8910)), "")*24*60, "")</f>
        <v/>
      </c>
      <c r="P8911" s="24" t="str" cm="1">
        <f t="array" ref="P8911">IFERROR(IF($B8911=P$1, ($A8911+$C8911) - MAX(IF($B$2:$B8910=$B8911, $A$2:$A8910+$C$2:$C8910)), "")*24*60, "")</f>
        <v/>
      </c>
      <c r="Q8911" s="24" t="str" cm="1">
        <f t="array" ref="Q8911">IFERROR(IF($B8911=Q$1, ($A8911+$C8911) - MAX(IF($B$2:$B8910=$B8911, $A$2:$A8910+$C$2:$C8910)), "")*24*60, "")</f>
        <v/>
      </c>
      <c r="R8911" s="24" t="str" cm="1">
        <f t="array" ref="R8911">IFERROR(IF($B8911=R$1, ($A8911+$C8911) - MAX(IF($B$2:$B8910=$B8911, $A$2:$A8910+$C$2:$C8910)), "")*24*60, "")</f>
        <v/>
      </c>
      <c r="S8911" s="24" t="str" cm="1">
        <f t="array" ref="S8911">IFERROR(IF($B8911=S$1, ($A8911+$C8911) - MAX(IF($B$2:$B8910=$B8911, $A$2:$A8910+$C$2:$C8910)), "")*24*60, "")</f>
        <v/>
      </c>
    </row>
    <row r="8912" spans="1:19" x14ac:dyDescent="0.2">
      <c r="A8912" s="12">
        <f t="shared" ref="A8912:C8912" si="1464">A8911</f>
        <v>46038</v>
      </c>
      <c r="B8912" s="5" t="str">
        <f t="shared" si="1464"/>
        <v>Northern Cardinal</v>
      </c>
      <c r="C8912" s="6">
        <f t="shared" si="1464"/>
        <v>0.29166666666666669</v>
      </c>
      <c r="D8912" s="5"/>
      <c r="E8912" s="5"/>
      <c r="F8912" s="5" t="s">
        <v>9</v>
      </c>
      <c r="G8912" s="15" t="s">
        <v>8</v>
      </c>
      <c r="H8912" s="24">
        <f t="shared" si="1412"/>
        <v>0</v>
      </c>
      <c r="I8912" s="24" cm="1">
        <f t="array" ref="I8912">IFERROR(IF($B8912=I$1, ($A8912+$C8912) - MAX(IF($B$2:$B8911=$B8912, $A$2:$A8911+$C$2:$C8911)), "")*24*60, "")</f>
        <v>0</v>
      </c>
      <c r="J8912" s="24" t="str" cm="1">
        <f t="array" ref="J8912">IFERROR(IF($B8912=J$1, ($A8912+$C8912) - MAX(IF($B$2:$B8911=$B8912, $A$2:$A8911+$C$2:$C8911)), "")*24*60, "")</f>
        <v/>
      </c>
      <c r="K8912" s="24" t="str" cm="1">
        <f t="array" ref="K8912">IFERROR(IF($B8912=K$1, ($A8912+$C8912) - MAX(IF($B$2:$B8911=$B8912, $A$2:$A8911+$C$2:$C8911)), "")*24*60, "")</f>
        <v/>
      </c>
      <c r="L8912" s="24" t="str" cm="1">
        <f t="array" ref="L8912">IFERROR(IF($B8912=L$1, ($A8912+$C8912) - MAX(IF($B$2:$B8911=$B8912, $A$2:$A8911+$C$2:$C8911)), "")*24*60, "")</f>
        <v/>
      </c>
      <c r="M8912" s="24" t="str" cm="1">
        <f t="array" ref="M8912">IFERROR(IF($B8912=M$1, ($A8912+$C8912) - MAX(IF($B$2:$B8911=$B8912, $A$2:$A8911+$C$2:$C8911)), "")*24*60, "")</f>
        <v/>
      </c>
      <c r="N8912" s="24" t="str" cm="1">
        <f t="array" ref="N8912">IFERROR(IF($B8912=N$1, ($A8912+$C8912) - MAX(IF($B$2:$B8911=$B8912, $A$2:$A8911+$C$2:$C8911)), "")*24*60, "")</f>
        <v/>
      </c>
      <c r="O8912" s="24" t="str" cm="1">
        <f t="array" ref="O8912">IFERROR(IF($B8912=O$1, ($A8912+$C8912) - MAX(IF($B$2:$B8911=$B8912, $A$2:$A8911+$C$2:$C8911)), "")*24*60, "")</f>
        <v/>
      </c>
      <c r="P8912" s="24" t="str" cm="1">
        <f t="array" ref="P8912">IFERROR(IF($B8912=P$1, ($A8912+$C8912) - MAX(IF($B$2:$B8911=$B8912, $A$2:$A8911+$C$2:$C8911)), "")*24*60, "")</f>
        <v/>
      </c>
      <c r="Q8912" s="24" t="str" cm="1">
        <f t="array" ref="Q8912">IFERROR(IF($B8912=Q$1, ($A8912+$C8912) - MAX(IF($B$2:$B8911=$B8912, $A$2:$A8911+$C$2:$C8911)), "")*24*60, "")</f>
        <v/>
      </c>
      <c r="R8912" s="24" t="str" cm="1">
        <f t="array" ref="R8912">IFERROR(IF($B8912=R$1, ($A8912+$C8912) - MAX(IF($B$2:$B8911=$B8912, $A$2:$A8911+$C$2:$C8911)), "")*24*60, "")</f>
        <v/>
      </c>
      <c r="S8912" s="24" t="str" cm="1">
        <f t="array" ref="S8912">IFERROR(IF($B8912=S$1, ($A8912+$C8912) - MAX(IF($B$2:$B8911=$B8912, $A$2:$A8911+$C$2:$C8911)), "")*24*60, "")</f>
        <v/>
      </c>
    </row>
    <row r="8913" spans="1:19" x14ac:dyDescent="0.2">
      <c r="A8913" s="12">
        <f t="shared" ref="A8913:C8913" si="1465">A8912</f>
        <v>46038</v>
      </c>
      <c r="B8913" s="5" t="str">
        <f t="shared" si="1465"/>
        <v>Northern Cardinal</v>
      </c>
      <c r="C8913" s="6">
        <f t="shared" si="1465"/>
        <v>0.29166666666666669</v>
      </c>
      <c r="D8913" s="5"/>
      <c r="E8913" s="5"/>
      <c r="F8913" s="5" t="s">
        <v>9</v>
      </c>
      <c r="G8913" s="15" t="s">
        <v>8</v>
      </c>
      <c r="H8913" s="24">
        <f t="shared" si="1412"/>
        <v>0</v>
      </c>
      <c r="I8913" s="24" cm="1">
        <f t="array" ref="I8913">IFERROR(IF($B8913=I$1, ($A8913+$C8913) - MAX(IF($B$2:$B8912=$B8913, $A$2:$A8912+$C$2:$C8912)), "")*24*60, "")</f>
        <v>0</v>
      </c>
      <c r="J8913" s="24" t="str" cm="1">
        <f t="array" ref="J8913">IFERROR(IF($B8913=J$1, ($A8913+$C8913) - MAX(IF($B$2:$B8912=$B8913, $A$2:$A8912+$C$2:$C8912)), "")*24*60, "")</f>
        <v/>
      </c>
      <c r="K8913" s="24" t="str" cm="1">
        <f t="array" ref="K8913">IFERROR(IF($B8913=K$1, ($A8913+$C8913) - MAX(IF($B$2:$B8912=$B8913, $A$2:$A8912+$C$2:$C8912)), "")*24*60, "")</f>
        <v/>
      </c>
      <c r="L8913" s="24" t="str" cm="1">
        <f t="array" ref="L8913">IFERROR(IF($B8913=L$1, ($A8913+$C8913) - MAX(IF($B$2:$B8912=$B8913, $A$2:$A8912+$C$2:$C8912)), "")*24*60, "")</f>
        <v/>
      </c>
      <c r="M8913" s="24" t="str" cm="1">
        <f t="array" ref="M8913">IFERROR(IF($B8913=M$1, ($A8913+$C8913) - MAX(IF($B$2:$B8912=$B8913, $A$2:$A8912+$C$2:$C8912)), "")*24*60, "")</f>
        <v/>
      </c>
      <c r="N8913" s="24" t="str" cm="1">
        <f t="array" ref="N8913">IFERROR(IF($B8913=N$1, ($A8913+$C8913) - MAX(IF($B$2:$B8912=$B8913, $A$2:$A8912+$C$2:$C8912)), "")*24*60, "")</f>
        <v/>
      </c>
      <c r="O8913" s="24" t="str" cm="1">
        <f t="array" ref="O8913">IFERROR(IF($B8913=O$1, ($A8913+$C8913) - MAX(IF($B$2:$B8912=$B8913, $A$2:$A8912+$C$2:$C8912)), "")*24*60, "")</f>
        <v/>
      </c>
      <c r="P8913" s="24" t="str" cm="1">
        <f t="array" ref="P8913">IFERROR(IF($B8913=P$1, ($A8913+$C8913) - MAX(IF($B$2:$B8912=$B8913, $A$2:$A8912+$C$2:$C8912)), "")*24*60, "")</f>
        <v/>
      </c>
      <c r="Q8913" s="24" t="str" cm="1">
        <f t="array" ref="Q8913">IFERROR(IF($B8913=Q$1, ($A8913+$C8913) - MAX(IF($B$2:$B8912=$B8913, $A$2:$A8912+$C$2:$C8912)), "")*24*60, "")</f>
        <v/>
      </c>
      <c r="R8913" s="24" t="str" cm="1">
        <f t="array" ref="R8913">IFERROR(IF($B8913=R$1, ($A8913+$C8913) - MAX(IF($B$2:$B8912=$B8913, $A$2:$A8912+$C$2:$C8912)), "")*24*60, "")</f>
        <v/>
      </c>
      <c r="S8913" s="24" t="str" cm="1">
        <f t="array" ref="S8913">IFERROR(IF($B8913=S$1, ($A8913+$C8913) - MAX(IF($B$2:$B8912=$B8913, $A$2:$A8912+$C$2:$C8912)), "")*24*60, "")</f>
        <v/>
      </c>
    </row>
    <row r="8914" spans="1:19" x14ac:dyDescent="0.2">
      <c r="A8914" s="12">
        <f t="shared" ref="A8914:C8914" si="1466">A8913</f>
        <v>46038</v>
      </c>
      <c r="B8914" s="5" t="str">
        <f t="shared" si="1466"/>
        <v>Northern Cardinal</v>
      </c>
      <c r="C8914" s="6">
        <f t="shared" si="1466"/>
        <v>0.29166666666666669</v>
      </c>
      <c r="D8914" s="5"/>
      <c r="E8914" s="5"/>
      <c r="F8914" s="5" t="s">
        <v>9</v>
      </c>
      <c r="G8914" s="15" t="s">
        <v>8</v>
      </c>
      <c r="H8914" s="24">
        <f t="shared" si="1412"/>
        <v>0</v>
      </c>
      <c r="I8914" s="24" cm="1">
        <f t="array" ref="I8914">IFERROR(IF($B8914=I$1, ($A8914+$C8914) - MAX(IF($B$2:$B8913=$B8914, $A$2:$A8913+$C$2:$C8913)), "")*24*60, "")</f>
        <v>0</v>
      </c>
      <c r="J8914" s="24" t="str" cm="1">
        <f t="array" ref="J8914">IFERROR(IF($B8914=J$1, ($A8914+$C8914) - MAX(IF($B$2:$B8913=$B8914, $A$2:$A8913+$C$2:$C8913)), "")*24*60, "")</f>
        <v/>
      </c>
      <c r="K8914" s="24" t="str" cm="1">
        <f t="array" ref="K8914">IFERROR(IF($B8914=K$1, ($A8914+$C8914) - MAX(IF($B$2:$B8913=$B8914, $A$2:$A8913+$C$2:$C8913)), "")*24*60, "")</f>
        <v/>
      </c>
      <c r="L8914" s="24" t="str" cm="1">
        <f t="array" ref="L8914">IFERROR(IF($B8914=L$1, ($A8914+$C8914) - MAX(IF($B$2:$B8913=$B8914, $A$2:$A8913+$C$2:$C8913)), "")*24*60, "")</f>
        <v/>
      </c>
      <c r="M8914" s="24" t="str" cm="1">
        <f t="array" ref="M8914">IFERROR(IF($B8914=M$1, ($A8914+$C8914) - MAX(IF($B$2:$B8913=$B8914, $A$2:$A8913+$C$2:$C8913)), "")*24*60, "")</f>
        <v/>
      </c>
      <c r="N8914" s="24" t="str" cm="1">
        <f t="array" ref="N8914">IFERROR(IF($B8914=N$1, ($A8914+$C8914) - MAX(IF($B$2:$B8913=$B8914, $A$2:$A8913+$C$2:$C8913)), "")*24*60, "")</f>
        <v/>
      </c>
      <c r="O8914" s="24" t="str" cm="1">
        <f t="array" ref="O8914">IFERROR(IF($B8914=O$1, ($A8914+$C8914) - MAX(IF($B$2:$B8913=$B8914, $A$2:$A8913+$C$2:$C8913)), "")*24*60, "")</f>
        <v/>
      </c>
      <c r="P8914" s="24" t="str" cm="1">
        <f t="array" ref="P8914">IFERROR(IF($B8914=P$1, ($A8914+$C8914) - MAX(IF($B$2:$B8913=$B8914, $A$2:$A8913+$C$2:$C8913)), "")*24*60, "")</f>
        <v/>
      </c>
      <c r="Q8914" s="24" t="str" cm="1">
        <f t="array" ref="Q8914">IFERROR(IF($B8914=Q$1, ($A8914+$C8914) - MAX(IF($B$2:$B8913=$B8914, $A$2:$A8913+$C$2:$C8913)), "")*24*60, "")</f>
        <v/>
      </c>
      <c r="R8914" s="24" t="str" cm="1">
        <f t="array" ref="R8914">IFERROR(IF($B8914=R$1, ($A8914+$C8914) - MAX(IF($B$2:$B8913=$B8914, $A$2:$A8913+$C$2:$C8913)), "")*24*60, "")</f>
        <v/>
      </c>
      <c r="S8914" s="24" t="str" cm="1">
        <f t="array" ref="S8914">IFERROR(IF($B8914=S$1, ($A8914+$C8914) - MAX(IF($B$2:$B8913=$B8914, $A$2:$A8913+$C$2:$C8913)), "")*24*60, "")</f>
        <v/>
      </c>
    </row>
    <row r="8915" spans="1:19" x14ac:dyDescent="0.2">
      <c r="A8915" s="12">
        <f t="shared" ref="A8915:C8915" si="1467">A8914</f>
        <v>46038</v>
      </c>
      <c r="B8915" s="5" t="str">
        <f t="shared" si="1467"/>
        <v>Northern Cardinal</v>
      </c>
      <c r="C8915" s="6">
        <f t="shared" si="1467"/>
        <v>0.29166666666666669</v>
      </c>
      <c r="D8915" s="5"/>
      <c r="E8915" s="5"/>
      <c r="F8915" s="5" t="s">
        <v>9</v>
      </c>
      <c r="G8915" s="15" t="s">
        <v>8</v>
      </c>
      <c r="H8915" s="24">
        <f t="shared" si="1412"/>
        <v>0</v>
      </c>
      <c r="I8915" s="24" cm="1">
        <f t="array" ref="I8915">IFERROR(IF($B8915=I$1, ($A8915+$C8915) - MAX(IF($B$2:$B8914=$B8915, $A$2:$A8914+$C$2:$C8914)), "")*24*60, "")</f>
        <v>0</v>
      </c>
      <c r="J8915" s="24" t="str" cm="1">
        <f t="array" ref="J8915">IFERROR(IF($B8915=J$1, ($A8915+$C8915) - MAX(IF($B$2:$B8914=$B8915, $A$2:$A8914+$C$2:$C8914)), "")*24*60, "")</f>
        <v/>
      </c>
      <c r="K8915" s="24" t="str" cm="1">
        <f t="array" ref="K8915">IFERROR(IF($B8915=K$1, ($A8915+$C8915) - MAX(IF($B$2:$B8914=$B8915, $A$2:$A8914+$C$2:$C8914)), "")*24*60, "")</f>
        <v/>
      </c>
      <c r="L8915" s="24" t="str" cm="1">
        <f t="array" ref="L8915">IFERROR(IF($B8915=L$1, ($A8915+$C8915) - MAX(IF($B$2:$B8914=$B8915, $A$2:$A8914+$C$2:$C8914)), "")*24*60, "")</f>
        <v/>
      </c>
      <c r="M8915" s="24" t="str" cm="1">
        <f t="array" ref="M8915">IFERROR(IF($B8915=M$1, ($A8915+$C8915) - MAX(IF($B$2:$B8914=$B8915, $A$2:$A8914+$C$2:$C8914)), "")*24*60, "")</f>
        <v/>
      </c>
      <c r="N8915" s="24" t="str" cm="1">
        <f t="array" ref="N8915">IFERROR(IF($B8915=N$1, ($A8915+$C8915) - MAX(IF($B$2:$B8914=$B8915, $A$2:$A8914+$C$2:$C8914)), "")*24*60, "")</f>
        <v/>
      </c>
      <c r="O8915" s="24" t="str" cm="1">
        <f t="array" ref="O8915">IFERROR(IF($B8915=O$1, ($A8915+$C8915) - MAX(IF($B$2:$B8914=$B8915, $A$2:$A8914+$C$2:$C8914)), "")*24*60, "")</f>
        <v/>
      </c>
      <c r="P8915" s="24" t="str" cm="1">
        <f t="array" ref="P8915">IFERROR(IF($B8915=P$1, ($A8915+$C8915) - MAX(IF($B$2:$B8914=$B8915, $A$2:$A8914+$C$2:$C8914)), "")*24*60, "")</f>
        <v/>
      </c>
      <c r="Q8915" s="24" t="str" cm="1">
        <f t="array" ref="Q8915">IFERROR(IF($B8915=Q$1, ($A8915+$C8915) - MAX(IF($B$2:$B8914=$B8915, $A$2:$A8914+$C$2:$C8914)), "")*24*60, "")</f>
        <v/>
      </c>
      <c r="R8915" s="24" t="str" cm="1">
        <f t="array" ref="R8915">IFERROR(IF($B8915=R$1, ($A8915+$C8915) - MAX(IF($B$2:$B8914=$B8915, $A$2:$A8914+$C$2:$C8914)), "")*24*60, "")</f>
        <v/>
      </c>
      <c r="S8915" s="24" t="str" cm="1">
        <f t="array" ref="S8915">IFERROR(IF($B8915=S$1, ($A8915+$C8915) - MAX(IF($B$2:$B8914=$B8915, $A$2:$A8914+$C$2:$C8914)), "")*24*60, "")</f>
        <v/>
      </c>
    </row>
    <row r="8916" spans="1:19" x14ac:dyDescent="0.2">
      <c r="A8916" s="12">
        <f t="shared" ref="A8916:C8916" si="1468">A8915</f>
        <v>46038</v>
      </c>
      <c r="B8916" s="5" t="str">
        <f t="shared" si="1468"/>
        <v>Northern Cardinal</v>
      </c>
      <c r="C8916" s="6">
        <f t="shared" si="1468"/>
        <v>0.29166666666666669</v>
      </c>
      <c r="D8916" s="5"/>
      <c r="E8916" s="5"/>
      <c r="F8916" s="5" t="s">
        <v>9</v>
      </c>
      <c r="G8916" s="15" t="s">
        <v>8</v>
      </c>
      <c r="H8916" s="24">
        <f t="shared" si="1412"/>
        <v>0</v>
      </c>
      <c r="I8916" s="24" cm="1">
        <f t="array" ref="I8916">IFERROR(IF($B8916=I$1, ($A8916+$C8916) - MAX(IF($B$2:$B8915=$B8916, $A$2:$A8915+$C$2:$C8915)), "")*24*60, "")</f>
        <v>0</v>
      </c>
      <c r="J8916" s="24" t="str" cm="1">
        <f t="array" ref="J8916">IFERROR(IF($B8916=J$1, ($A8916+$C8916) - MAX(IF($B$2:$B8915=$B8916, $A$2:$A8915+$C$2:$C8915)), "")*24*60, "")</f>
        <v/>
      </c>
      <c r="K8916" s="24" t="str" cm="1">
        <f t="array" ref="K8916">IFERROR(IF($B8916=K$1, ($A8916+$C8916) - MAX(IF($B$2:$B8915=$B8916, $A$2:$A8915+$C$2:$C8915)), "")*24*60, "")</f>
        <v/>
      </c>
      <c r="L8916" s="24" t="str" cm="1">
        <f t="array" ref="L8916">IFERROR(IF($B8916=L$1, ($A8916+$C8916) - MAX(IF($B$2:$B8915=$B8916, $A$2:$A8915+$C$2:$C8915)), "")*24*60, "")</f>
        <v/>
      </c>
      <c r="M8916" s="24" t="str" cm="1">
        <f t="array" ref="M8916">IFERROR(IF($B8916=M$1, ($A8916+$C8916) - MAX(IF($B$2:$B8915=$B8916, $A$2:$A8915+$C$2:$C8915)), "")*24*60, "")</f>
        <v/>
      </c>
      <c r="N8916" s="24" t="str" cm="1">
        <f t="array" ref="N8916">IFERROR(IF($B8916=N$1, ($A8916+$C8916) - MAX(IF($B$2:$B8915=$B8916, $A$2:$A8915+$C$2:$C8915)), "")*24*60, "")</f>
        <v/>
      </c>
      <c r="O8916" s="24" t="str" cm="1">
        <f t="array" ref="O8916">IFERROR(IF($B8916=O$1, ($A8916+$C8916) - MAX(IF($B$2:$B8915=$B8916, $A$2:$A8915+$C$2:$C8915)), "")*24*60, "")</f>
        <v/>
      </c>
      <c r="P8916" s="24" t="str" cm="1">
        <f t="array" ref="P8916">IFERROR(IF($B8916=P$1, ($A8916+$C8916) - MAX(IF($B$2:$B8915=$B8916, $A$2:$A8915+$C$2:$C8915)), "")*24*60, "")</f>
        <v/>
      </c>
      <c r="Q8916" s="24" t="str" cm="1">
        <f t="array" ref="Q8916">IFERROR(IF($B8916=Q$1, ($A8916+$C8916) - MAX(IF($B$2:$B8915=$B8916, $A$2:$A8915+$C$2:$C8915)), "")*24*60, "")</f>
        <v/>
      </c>
      <c r="R8916" s="24" t="str" cm="1">
        <f t="array" ref="R8916">IFERROR(IF($B8916=R$1, ($A8916+$C8916) - MAX(IF($B$2:$B8915=$B8916, $A$2:$A8915+$C$2:$C8915)), "")*24*60, "")</f>
        <v/>
      </c>
      <c r="S8916" s="24" t="str" cm="1">
        <f t="array" ref="S8916">IFERROR(IF($B8916=S$1, ($A8916+$C8916) - MAX(IF($B$2:$B8915=$B8916, $A$2:$A8915+$C$2:$C8915)), "")*24*60, "")</f>
        <v/>
      </c>
    </row>
    <row r="8917" spans="1:19" x14ac:dyDescent="0.2">
      <c r="A8917" s="12">
        <f t="shared" ref="A8917:C8917" si="1469">A8916</f>
        <v>46038</v>
      </c>
      <c r="B8917" s="5" t="str">
        <f t="shared" si="1469"/>
        <v>Northern Cardinal</v>
      </c>
      <c r="C8917" s="6">
        <f t="shared" si="1469"/>
        <v>0.29166666666666669</v>
      </c>
      <c r="D8917" s="5"/>
      <c r="E8917" s="5"/>
      <c r="F8917" s="5" t="s">
        <v>9</v>
      </c>
      <c r="G8917" s="15" t="s">
        <v>8</v>
      </c>
      <c r="H8917" s="24">
        <f t="shared" si="1412"/>
        <v>0</v>
      </c>
      <c r="I8917" s="24" cm="1">
        <f t="array" ref="I8917">IFERROR(IF($B8917=I$1, ($A8917+$C8917) - MAX(IF($B$2:$B8916=$B8917, $A$2:$A8916+$C$2:$C8916)), "")*24*60, "")</f>
        <v>0</v>
      </c>
      <c r="J8917" s="24" t="str" cm="1">
        <f t="array" ref="J8917">IFERROR(IF($B8917=J$1, ($A8917+$C8917) - MAX(IF($B$2:$B8916=$B8917, $A$2:$A8916+$C$2:$C8916)), "")*24*60, "")</f>
        <v/>
      </c>
      <c r="K8917" s="24" t="str" cm="1">
        <f t="array" ref="K8917">IFERROR(IF($B8917=K$1, ($A8917+$C8917) - MAX(IF($B$2:$B8916=$B8917, $A$2:$A8916+$C$2:$C8916)), "")*24*60, "")</f>
        <v/>
      </c>
      <c r="L8917" s="24" t="str" cm="1">
        <f t="array" ref="L8917">IFERROR(IF($B8917=L$1, ($A8917+$C8917) - MAX(IF($B$2:$B8916=$B8917, $A$2:$A8916+$C$2:$C8916)), "")*24*60, "")</f>
        <v/>
      </c>
      <c r="M8917" s="24" t="str" cm="1">
        <f t="array" ref="M8917">IFERROR(IF($B8917=M$1, ($A8917+$C8917) - MAX(IF($B$2:$B8916=$B8917, $A$2:$A8916+$C$2:$C8916)), "")*24*60, "")</f>
        <v/>
      </c>
      <c r="N8917" s="24" t="str" cm="1">
        <f t="array" ref="N8917">IFERROR(IF($B8917=N$1, ($A8917+$C8917) - MAX(IF($B$2:$B8916=$B8917, $A$2:$A8916+$C$2:$C8916)), "")*24*60, "")</f>
        <v/>
      </c>
      <c r="O8917" s="24" t="str" cm="1">
        <f t="array" ref="O8917">IFERROR(IF($B8917=O$1, ($A8917+$C8917) - MAX(IF($B$2:$B8916=$B8917, $A$2:$A8916+$C$2:$C8916)), "")*24*60, "")</f>
        <v/>
      </c>
      <c r="P8917" s="24" t="str" cm="1">
        <f t="array" ref="P8917">IFERROR(IF($B8917=P$1, ($A8917+$C8917) - MAX(IF($B$2:$B8916=$B8917, $A$2:$A8916+$C$2:$C8916)), "")*24*60, "")</f>
        <v/>
      </c>
      <c r="Q8917" s="24" t="str" cm="1">
        <f t="array" ref="Q8917">IFERROR(IF($B8917=Q$1, ($A8917+$C8917) - MAX(IF($B$2:$B8916=$B8917, $A$2:$A8916+$C$2:$C8916)), "")*24*60, "")</f>
        <v/>
      </c>
      <c r="R8917" s="24" t="str" cm="1">
        <f t="array" ref="R8917">IFERROR(IF($B8917=R$1, ($A8917+$C8917) - MAX(IF($B$2:$B8916=$B8917, $A$2:$A8916+$C$2:$C8916)), "")*24*60, "")</f>
        <v/>
      </c>
      <c r="S8917" s="24" t="str" cm="1">
        <f t="array" ref="S8917">IFERROR(IF($B8917=S$1, ($A8917+$C8917) - MAX(IF($B$2:$B8916=$B8917, $A$2:$A8916+$C$2:$C8916)), "")*24*60, "")</f>
        <v/>
      </c>
    </row>
    <row r="8918" spans="1:19" x14ac:dyDescent="0.2">
      <c r="A8918" s="12">
        <f t="shared" ref="A8918:C8918" si="1470">A8917</f>
        <v>46038</v>
      </c>
      <c r="B8918" s="5" t="str">
        <f t="shared" si="1470"/>
        <v>Northern Cardinal</v>
      </c>
      <c r="C8918" s="6">
        <f t="shared" si="1470"/>
        <v>0.29166666666666669</v>
      </c>
      <c r="D8918" s="5"/>
      <c r="E8918" s="5"/>
      <c r="F8918" s="5" t="s">
        <v>9</v>
      </c>
      <c r="G8918" s="15" t="s">
        <v>8</v>
      </c>
      <c r="H8918" s="24">
        <f t="shared" si="1412"/>
        <v>0</v>
      </c>
      <c r="I8918" s="24" cm="1">
        <f t="array" ref="I8918">IFERROR(IF($B8918=I$1, ($A8918+$C8918) - MAX(IF($B$2:$B8917=$B8918, $A$2:$A8917+$C$2:$C8917)), "")*24*60, "")</f>
        <v>0</v>
      </c>
      <c r="J8918" s="24" t="str" cm="1">
        <f t="array" ref="J8918">IFERROR(IF($B8918=J$1, ($A8918+$C8918) - MAX(IF($B$2:$B8917=$B8918, $A$2:$A8917+$C$2:$C8917)), "")*24*60, "")</f>
        <v/>
      </c>
      <c r="K8918" s="24" t="str" cm="1">
        <f t="array" ref="K8918">IFERROR(IF($B8918=K$1, ($A8918+$C8918) - MAX(IF($B$2:$B8917=$B8918, $A$2:$A8917+$C$2:$C8917)), "")*24*60, "")</f>
        <v/>
      </c>
      <c r="L8918" s="24" t="str" cm="1">
        <f t="array" ref="L8918">IFERROR(IF($B8918=L$1, ($A8918+$C8918) - MAX(IF($B$2:$B8917=$B8918, $A$2:$A8917+$C$2:$C8917)), "")*24*60, "")</f>
        <v/>
      </c>
      <c r="M8918" s="24" t="str" cm="1">
        <f t="array" ref="M8918">IFERROR(IF($B8918=M$1, ($A8918+$C8918) - MAX(IF($B$2:$B8917=$B8918, $A$2:$A8917+$C$2:$C8917)), "")*24*60, "")</f>
        <v/>
      </c>
      <c r="N8918" s="24" t="str" cm="1">
        <f t="array" ref="N8918">IFERROR(IF($B8918=N$1, ($A8918+$C8918) - MAX(IF($B$2:$B8917=$B8918, $A$2:$A8917+$C$2:$C8917)), "")*24*60, "")</f>
        <v/>
      </c>
      <c r="O8918" s="24" t="str" cm="1">
        <f t="array" ref="O8918">IFERROR(IF($B8918=O$1, ($A8918+$C8918) - MAX(IF($B$2:$B8917=$B8918, $A$2:$A8917+$C$2:$C8917)), "")*24*60, "")</f>
        <v/>
      </c>
      <c r="P8918" s="24" t="str" cm="1">
        <f t="array" ref="P8918">IFERROR(IF($B8918=P$1, ($A8918+$C8918) - MAX(IF($B$2:$B8917=$B8918, $A$2:$A8917+$C$2:$C8917)), "")*24*60, "")</f>
        <v/>
      </c>
      <c r="Q8918" s="24" t="str" cm="1">
        <f t="array" ref="Q8918">IFERROR(IF($B8918=Q$1, ($A8918+$C8918) - MAX(IF($B$2:$B8917=$B8918, $A$2:$A8917+$C$2:$C8917)), "")*24*60, "")</f>
        <v/>
      </c>
      <c r="R8918" s="24" t="str" cm="1">
        <f t="array" ref="R8918">IFERROR(IF($B8918=R$1, ($A8918+$C8918) - MAX(IF($B$2:$B8917=$B8918, $A$2:$A8917+$C$2:$C8917)), "")*24*60, "")</f>
        <v/>
      </c>
      <c r="S8918" s="24" t="str" cm="1">
        <f t="array" ref="S8918">IFERROR(IF($B8918=S$1, ($A8918+$C8918) - MAX(IF($B$2:$B8917=$B8918, $A$2:$A8917+$C$2:$C8917)), "")*24*60, "")</f>
        <v/>
      </c>
    </row>
    <row r="8919" spans="1:19" x14ac:dyDescent="0.2">
      <c r="A8919" s="12">
        <f t="shared" ref="A8919:C8919" si="1471">A8918</f>
        <v>46038</v>
      </c>
      <c r="B8919" s="5" t="str">
        <f t="shared" si="1471"/>
        <v>Northern Cardinal</v>
      </c>
      <c r="C8919" s="6">
        <f t="shared" si="1471"/>
        <v>0.29166666666666669</v>
      </c>
      <c r="D8919" s="5"/>
      <c r="E8919" s="5"/>
      <c r="F8919" s="5" t="s">
        <v>9</v>
      </c>
      <c r="G8919" s="15" t="s">
        <v>8</v>
      </c>
      <c r="H8919" s="24">
        <f t="shared" si="1412"/>
        <v>0</v>
      </c>
      <c r="I8919" s="24" cm="1">
        <f t="array" ref="I8919">IFERROR(IF($B8919=I$1, ($A8919+$C8919) - MAX(IF($B$2:$B8918=$B8919, $A$2:$A8918+$C$2:$C8918)), "")*24*60, "")</f>
        <v>0</v>
      </c>
      <c r="J8919" s="24" t="str" cm="1">
        <f t="array" ref="J8919">IFERROR(IF($B8919=J$1, ($A8919+$C8919) - MAX(IF($B$2:$B8918=$B8919, $A$2:$A8918+$C$2:$C8918)), "")*24*60, "")</f>
        <v/>
      </c>
      <c r="K8919" s="24" t="str" cm="1">
        <f t="array" ref="K8919">IFERROR(IF($B8919=K$1, ($A8919+$C8919) - MAX(IF($B$2:$B8918=$B8919, $A$2:$A8918+$C$2:$C8918)), "")*24*60, "")</f>
        <v/>
      </c>
      <c r="L8919" s="24" t="str" cm="1">
        <f t="array" ref="L8919">IFERROR(IF($B8919=L$1, ($A8919+$C8919) - MAX(IF($B$2:$B8918=$B8919, $A$2:$A8918+$C$2:$C8918)), "")*24*60, "")</f>
        <v/>
      </c>
      <c r="M8919" s="24" t="str" cm="1">
        <f t="array" ref="M8919">IFERROR(IF($B8919=M$1, ($A8919+$C8919) - MAX(IF($B$2:$B8918=$B8919, $A$2:$A8918+$C$2:$C8918)), "")*24*60, "")</f>
        <v/>
      </c>
      <c r="N8919" s="24" t="str" cm="1">
        <f t="array" ref="N8919">IFERROR(IF($B8919=N$1, ($A8919+$C8919) - MAX(IF($B$2:$B8918=$B8919, $A$2:$A8918+$C$2:$C8918)), "")*24*60, "")</f>
        <v/>
      </c>
      <c r="O8919" s="24" t="str" cm="1">
        <f t="array" ref="O8919">IFERROR(IF($B8919=O$1, ($A8919+$C8919) - MAX(IF($B$2:$B8918=$B8919, $A$2:$A8918+$C$2:$C8918)), "")*24*60, "")</f>
        <v/>
      </c>
      <c r="P8919" s="24" t="str" cm="1">
        <f t="array" ref="P8919">IFERROR(IF($B8919=P$1, ($A8919+$C8919) - MAX(IF($B$2:$B8918=$B8919, $A$2:$A8918+$C$2:$C8918)), "")*24*60, "")</f>
        <v/>
      </c>
      <c r="Q8919" s="24" t="str" cm="1">
        <f t="array" ref="Q8919">IFERROR(IF($B8919=Q$1, ($A8919+$C8919) - MAX(IF($B$2:$B8918=$B8919, $A$2:$A8918+$C$2:$C8918)), "")*24*60, "")</f>
        <v/>
      </c>
      <c r="R8919" s="24" t="str" cm="1">
        <f t="array" ref="R8919">IFERROR(IF($B8919=R$1, ($A8919+$C8919) - MAX(IF($B$2:$B8918=$B8919, $A$2:$A8918+$C$2:$C8918)), "")*24*60, "")</f>
        <v/>
      </c>
      <c r="S8919" s="24" t="str" cm="1">
        <f t="array" ref="S8919">IFERROR(IF($B8919=S$1, ($A8919+$C8919) - MAX(IF($B$2:$B8918=$B8919, $A$2:$A8918+$C$2:$C8918)), "")*24*60, "")</f>
        <v/>
      </c>
    </row>
    <row r="8920" spans="1:19" x14ac:dyDescent="0.2">
      <c r="A8920" s="12">
        <f t="shared" ref="A8920:C8920" si="1472">A8919</f>
        <v>46038</v>
      </c>
      <c r="B8920" s="5" t="str">
        <f t="shared" si="1472"/>
        <v>Northern Cardinal</v>
      </c>
      <c r="C8920" s="6">
        <f t="shared" si="1472"/>
        <v>0.29166666666666669</v>
      </c>
      <c r="D8920" s="5"/>
      <c r="E8920" s="5"/>
      <c r="F8920" s="5" t="s">
        <v>9</v>
      </c>
      <c r="G8920" s="15" t="s">
        <v>8</v>
      </c>
      <c r="H8920" s="24">
        <f t="shared" si="1412"/>
        <v>0</v>
      </c>
      <c r="I8920" s="24" cm="1">
        <f t="array" ref="I8920">IFERROR(IF($B8920=I$1, ($A8920+$C8920) - MAX(IF($B$2:$B8919=$B8920, $A$2:$A8919+$C$2:$C8919)), "")*24*60, "")</f>
        <v>0</v>
      </c>
      <c r="J8920" s="24" t="str" cm="1">
        <f t="array" ref="J8920">IFERROR(IF($B8920=J$1, ($A8920+$C8920) - MAX(IF($B$2:$B8919=$B8920, $A$2:$A8919+$C$2:$C8919)), "")*24*60, "")</f>
        <v/>
      </c>
      <c r="K8920" s="24" t="str" cm="1">
        <f t="array" ref="K8920">IFERROR(IF($B8920=K$1, ($A8920+$C8920) - MAX(IF($B$2:$B8919=$B8920, $A$2:$A8919+$C$2:$C8919)), "")*24*60, "")</f>
        <v/>
      </c>
      <c r="L8920" s="24" t="str" cm="1">
        <f t="array" ref="L8920">IFERROR(IF($B8920=L$1, ($A8920+$C8920) - MAX(IF($B$2:$B8919=$B8920, $A$2:$A8919+$C$2:$C8919)), "")*24*60, "")</f>
        <v/>
      </c>
      <c r="M8920" s="24" t="str" cm="1">
        <f t="array" ref="M8920">IFERROR(IF($B8920=M$1, ($A8920+$C8920) - MAX(IF($B$2:$B8919=$B8920, $A$2:$A8919+$C$2:$C8919)), "")*24*60, "")</f>
        <v/>
      </c>
      <c r="N8920" s="24" t="str" cm="1">
        <f t="array" ref="N8920">IFERROR(IF($B8920=N$1, ($A8920+$C8920) - MAX(IF($B$2:$B8919=$B8920, $A$2:$A8919+$C$2:$C8919)), "")*24*60, "")</f>
        <v/>
      </c>
      <c r="O8920" s="24" t="str" cm="1">
        <f t="array" ref="O8920">IFERROR(IF($B8920=O$1, ($A8920+$C8920) - MAX(IF($B$2:$B8919=$B8920, $A$2:$A8919+$C$2:$C8919)), "")*24*60, "")</f>
        <v/>
      </c>
      <c r="P8920" s="24" t="str" cm="1">
        <f t="array" ref="P8920">IFERROR(IF($B8920=P$1, ($A8920+$C8920) - MAX(IF($B$2:$B8919=$B8920, $A$2:$A8919+$C$2:$C8919)), "")*24*60, "")</f>
        <v/>
      </c>
      <c r="Q8920" s="24" t="str" cm="1">
        <f t="array" ref="Q8920">IFERROR(IF($B8920=Q$1, ($A8920+$C8920) - MAX(IF($B$2:$B8919=$B8920, $A$2:$A8919+$C$2:$C8919)), "")*24*60, "")</f>
        <v/>
      </c>
      <c r="R8920" s="24" t="str" cm="1">
        <f t="array" ref="R8920">IFERROR(IF($B8920=R$1, ($A8920+$C8920) - MAX(IF($B$2:$B8919=$B8920, $A$2:$A8919+$C$2:$C8919)), "")*24*60, "")</f>
        <v/>
      </c>
      <c r="S8920" s="24" t="str" cm="1">
        <f t="array" ref="S8920">IFERROR(IF($B8920=S$1, ($A8920+$C8920) - MAX(IF($B$2:$B8919=$B8920, $A$2:$A8919+$C$2:$C8919)), "")*24*60, "")</f>
        <v/>
      </c>
    </row>
    <row r="8921" spans="1:19" x14ac:dyDescent="0.2">
      <c r="A8921" s="12">
        <f t="shared" ref="A8921:C8921" si="1473">A8920</f>
        <v>46038</v>
      </c>
      <c r="B8921" s="5" t="str">
        <f t="shared" si="1473"/>
        <v>Northern Cardinal</v>
      </c>
      <c r="C8921" s="6">
        <f t="shared" si="1473"/>
        <v>0.29166666666666669</v>
      </c>
      <c r="D8921" s="5"/>
      <c r="E8921" s="5"/>
      <c r="F8921" s="5" t="s">
        <v>9</v>
      </c>
      <c r="G8921" s="15" t="s">
        <v>8</v>
      </c>
      <c r="H8921" s="24">
        <f t="shared" si="1412"/>
        <v>0</v>
      </c>
      <c r="I8921" s="24" cm="1">
        <f t="array" ref="I8921">IFERROR(IF($B8921=I$1, ($A8921+$C8921) - MAX(IF($B$2:$B8920=$B8921, $A$2:$A8920+$C$2:$C8920)), "")*24*60, "")</f>
        <v>0</v>
      </c>
      <c r="J8921" s="24" t="str" cm="1">
        <f t="array" ref="J8921">IFERROR(IF($B8921=J$1, ($A8921+$C8921) - MAX(IF($B$2:$B8920=$B8921, $A$2:$A8920+$C$2:$C8920)), "")*24*60, "")</f>
        <v/>
      </c>
      <c r="K8921" s="24" t="str" cm="1">
        <f t="array" ref="K8921">IFERROR(IF($B8921=K$1, ($A8921+$C8921) - MAX(IF($B$2:$B8920=$B8921, $A$2:$A8920+$C$2:$C8920)), "")*24*60, "")</f>
        <v/>
      </c>
      <c r="L8921" s="24" t="str" cm="1">
        <f t="array" ref="L8921">IFERROR(IF($B8921=L$1, ($A8921+$C8921) - MAX(IF($B$2:$B8920=$B8921, $A$2:$A8920+$C$2:$C8920)), "")*24*60, "")</f>
        <v/>
      </c>
      <c r="M8921" s="24" t="str" cm="1">
        <f t="array" ref="M8921">IFERROR(IF($B8921=M$1, ($A8921+$C8921) - MAX(IF($B$2:$B8920=$B8921, $A$2:$A8920+$C$2:$C8920)), "")*24*60, "")</f>
        <v/>
      </c>
      <c r="N8921" s="24" t="str" cm="1">
        <f t="array" ref="N8921">IFERROR(IF($B8921=N$1, ($A8921+$C8921) - MAX(IF($B$2:$B8920=$B8921, $A$2:$A8920+$C$2:$C8920)), "")*24*60, "")</f>
        <v/>
      </c>
      <c r="O8921" s="24" t="str" cm="1">
        <f t="array" ref="O8921">IFERROR(IF($B8921=O$1, ($A8921+$C8921) - MAX(IF($B$2:$B8920=$B8921, $A$2:$A8920+$C$2:$C8920)), "")*24*60, "")</f>
        <v/>
      </c>
      <c r="P8921" s="24" t="str" cm="1">
        <f t="array" ref="P8921">IFERROR(IF($B8921=P$1, ($A8921+$C8921) - MAX(IF($B$2:$B8920=$B8921, $A$2:$A8920+$C$2:$C8920)), "")*24*60, "")</f>
        <v/>
      </c>
      <c r="Q8921" s="24" t="str" cm="1">
        <f t="array" ref="Q8921">IFERROR(IF($B8921=Q$1, ($A8921+$C8921) - MAX(IF($B$2:$B8920=$B8921, $A$2:$A8920+$C$2:$C8920)), "")*24*60, "")</f>
        <v/>
      </c>
      <c r="R8921" s="24" t="str" cm="1">
        <f t="array" ref="R8921">IFERROR(IF($B8921=R$1, ($A8921+$C8921) - MAX(IF($B$2:$B8920=$B8921, $A$2:$A8920+$C$2:$C8920)), "")*24*60, "")</f>
        <v/>
      </c>
      <c r="S8921" s="24" t="str" cm="1">
        <f t="array" ref="S8921">IFERROR(IF($B8921=S$1, ($A8921+$C8921) - MAX(IF($B$2:$B8920=$B8921, $A$2:$A8920+$C$2:$C8920)), "")*24*60, "")</f>
        <v/>
      </c>
    </row>
    <row r="8922" spans="1:19" x14ac:dyDescent="0.2">
      <c r="A8922" s="12">
        <f t="shared" ref="A8922:C8922" si="1474">A8921</f>
        <v>46038</v>
      </c>
      <c r="B8922" s="5" t="str">
        <f t="shared" si="1474"/>
        <v>Northern Cardinal</v>
      </c>
      <c r="C8922" s="6">
        <f t="shared" si="1474"/>
        <v>0.29166666666666669</v>
      </c>
      <c r="D8922" s="5"/>
      <c r="E8922" s="5"/>
      <c r="F8922" s="5" t="s">
        <v>9</v>
      </c>
      <c r="G8922" s="15" t="s">
        <v>8</v>
      </c>
      <c r="H8922" s="24">
        <f t="shared" si="1412"/>
        <v>0</v>
      </c>
      <c r="I8922" s="24" cm="1">
        <f t="array" ref="I8922">IFERROR(IF($B8922=I$1, ($A8922+$C8922) - MAX(IF($B$2:$B8921=$B8922, $A$2:$A8921+$C$2:$C8921)), "")*24*60, "")</f>
        <v>0</v>
      </c>
      <c r="J8922" s="24" t="str" cm="1">
        <f t="array" ref="J8922">IFERROR(IF($B8922=J$1, ($A8922+$C8922) - MAX(IF($B$2:$B8921=$B8922, $A$2:$A8921+$C$2:$C8921)), "")*24*60, "")</f>
        <v/>
      </c>
      <c r="K8922" s="24" t="str" cm="1">
        <f t="array" ref="K8922">IFERROR(IF($B8922=K$1, ($A8922+$C8922) - MAX(IF($B$2:$B8921=$B8922, $A$2:$A8921+$C$2:$C8921)), "")*24*60, "")</f>
        <v/>
      </c>
      <c r="L8922" s="24" t="str" cm="1">
        <f t="array" ref="L8922">IFERROR(IF($B8922=L$1, ($A8922+$C8922) - MAX(IF($B$2:$B8921=$B8922, $A$2:$A8921+$C$2:$C8921)), "")*24*60, "")</f>
        <v/>
      </c>
      <c r="M8922" s="24" t="str" cm="1">
        <f t="array" ref="M8922">IFERROR(IF($B8922=M$1, ($A8922+$C8922) - MAX(IF($B$2:$B8921=$B8922, $A$2:$A8921+$C$2:$C8921)), "")*24*60, "")</f>
        <v/>
      </c>
      <c r="N8922" s="24" t="str" cm="1">
        <f t="array" ref="N8922">IFERROR(IF($B8922=N$1, ($A8922+$C8922) - MAX(IF($B$2:$B8921=$B8922, $A$2:$A8921+$C$2:$C8921)), "")*24*60, "")</f>
        <v/>
      </c>
      <c r="O8922" s="24" t="str" cm="1">
        <f t="array" ref="O8922">IFERROR(IF($B8922=O$1, ($A8922+$C8922) - MAX(IF($B$2:$B8921=$B8922, $A$2:$A8921+$C$2:$C8921)), "")*24*60, "")</f>
        <v/>
      </c>
      <c r="P8922" s="24" t="str" cm="1">
        <f t="array" ref="P8922">IFERROR(IF($B8922=P$1, ($A8922+$C8922) - MAX(IF($B$2:$B8921=$B8922, $A$2:$A8921+$C$2:$C8921)), "")*24*60, "")</f>
        <v/>
      </c>
      <c r="Q8922" s="24" t="str" cm="1">
        <f t="array" ref="Q8922">IFERROR(IF($B8922=Q$1, ($A8922+$C8922) - MAX(IF($B$2:$B8921=$B8922, $A$2:$A8921+$C$2:$C8921)), "")*24*60, "")</f>
        <v/>
      </c>
      <c r="R8922" s="24" t="str" cm="1">
        <f t="array" ref="R8922">IFERROR(IF($B8922=R$1, ($A8922+$C8922) - MAX(IF($B$2:$B8921=$B8922, $A$2:$A8921+$C$2:$C8921)), "")*24*60, "")</f>
        <v/>
      </c>
      <c r="S8922" s="24" t="str" cm="1">
        <f t="array" ref="S8922">IFERROR(IF($B8922=S$1, ($A8922+$C8922) - MAX(IF($B$2:$B8921=$B8922, $A$2:$A8921+$C$2:$C8921)), "")*24*60, "")</f>
        <v/>
      </c>
    </row>
    <row r="8923" spans="1:19" x14ac:dyDescent="0.2">
      <c r="A8923" s="12">
        <f t="shared" ref="A8923:C8923" si="1475">A8922</f>
        <v>46038</v>
      </c>
      <c r="B8923" s="5" t="str">
        <f t="shared" si="1475"/>
        <v>Northern Cardinal</v>
      </c>
      <c r="C8923" s="6">
        <f t="shared" si="1475"/>
        <v>0.29166666666666669</v>
      </c>
      <c r="D8923" s="5"/>
      <c r="E8923" s="5"/>
      <c r="F8923" s="5" t="s">
        <v>9</v>
      </c>
      <c r="G8923" s="15" t="s">
        <v>8</v>
      </c>
      <c r="H8923" s="24">
        <f t="shared" si="1412"/>
        <v>0</v>
      </c>
      <c r="I8923" s="24" cm="1">
        <f t="array" ref="I8923">IFERROR(IF($B8923=I$1, ($A8923+$C8923) - MAX(IF($B$2:$B8922=$B8923, $A$2:$A8922+$C$2:$C8922)), "")*24*60, "")</f>
        <v>0</v>
      </c>
      <c r="J8923" s="24" t="str" cm="1">
        <f t="array" ref="J8923">IFERROR(IF($B8923=J$1, ($A8923+$C8923) - MAX(IF($B$2:$B8922=$B8923, $A$2:$A8922+$C$2:$C8922)), "")*24*60, "")</f>
        <v/>
      </c>
      <c r="K8923" s="24" t="str" cm="1">
        <f t="array" ref="K8923">IFERROR(IF($B8923=K$1, ($A8923+$C8923) - MAX(IF($B$2:$B8922=$B8923, $A$2:$A8922+$C$2:$C8922)), "")*24*60, "")</f>
        <v/>
      </c>
      <c r="L8923" s="24" t="str" cm="1">
        <f t="array" ref="L8923">IFERROR(IF($B8923=L$1, ($A8923+$C8923) - MAX(IF($B$2:$B8922=$B8923, $A$2:$A8922+$C$2:$C8922)), "")*24*60, "")</f>
        <v/>
      </c>
      <c r="M8923" s="24" t="str" cm="1">
        <f t="array" ref="M8923">IFERROR(IF($B8923=M$1, ($A8923+$C8923) - MAX(IF($B$2:$B8922=$B8923, $A$2:$A8922+$C$2:$C8922)), "")*24*60, "")</f>
        <v/>
      </c>
      <c r="N8923" s="24" t="str" cm="1">
        <f t="array" ref="N8923">IFERROR(IF($B8923=N$1, ($A8923+$C8923) - MAX(IF($B$2:$B8922=$B8923, $A$2:$A8922+$C$2:$C8922)), "")*24*60, "")</f>
        <v/>
      </c>
      <c r="O8923" s="24" t="str" cm="1">
        <f t="array" ref="O8923">IFERROR(IF($B8923=O$1, ($A8923+$C8923) - MAX(IF($B$2:$B8922=$B8923, $A$2:$A8922+$C$2:$C8922)), "")*24*60, "")</f>
        <v/>
      </c>
      <c r="P8923" s="24" t="str" cm="1">
        <f t="array" ref="P8923">IFERROR(IF($B8923=P$1, ($A8923+$C8923) - MAX(IF($B$2:$B8922=$B8923, $A$2:$A8922+$C$2:$C8922)), "")*24*60, "")</f>
        <v/>
      </c>
      <c r="Q8923" s="24" t="str" cm="1">
        <f t="array" ref="Q8923">IFERROR(IF($B8923=Q$1, ($A8923+$C8923) - MAX(IF($B$2:$B8922=$B8923, $A$2:$A8922+$C$2:$C8922)), "")*24*60, "")</f>
        <v/>
      </c>
      <c r="R8923" s="24" t="str" cm="1">
        <f t="array" ref="R8923">IFERROR(IF($B8923=R$1, ($A8923+$C8923) - MAX(IF($B$2:$B8922=$B8923, $A$2:$A8922+$C$2:$C8922)), "")*24*60, "")</f>
        <v/>
      </c>
      <c r="S8923" s="24" t="str" cm="1">
        <f t="array" ref="S8923">IFERROR(IF($B8923=S$1, ($A8923+$C8923) - MAX(IF($B$2:$B8922=$B8923, $A$2:$A8922+$C$2:$C8922)), "")*24*60, "")</f>
        <v/>
      </c>
    </row>
    <row r="8924" spans="1:19" x14ac:dyDescent="0.2">
      <c r="A8924" s="12">
        <f t="shared" ref="A8924:C8924" si="1476">A8923</f>
        <v>46038</v>
      </c>
      <c r="B8924" s="5" t="str">
        <f t="shared" si="1476"/>
        <v>Northern Cardinal</v>
      </c>
      <c r="C8924" s="6">
        <f t="shared" si="1476"/>
        <v>0.29166666666666669</v>
      </c>
      <c r="D8924" s="5"/>
      <c r="E8924" s="5"/>
      <c r="F8924" s="5" t="s">
        <v>9</v>
      </c>
      <c r="G8924" s="15" t="s">
        <v>8</v>
      </c>
      <c r="H8924" s="24">
        <f t="shared" si="1412"/>
        <v>0</v>
      </c>
      <c r="I8924" s="24" cm="1">
        <f t="array" ref="I8924">IFERROR(IF($B8924=I$1, ($A8924+$C8924) - MAX(IF($B$2:$B8923=$B8924, $A$2:$A8923+$C$2:$C8923)), "")*24*60, "")</f>
        <v>0</v>
      </c>
      <c r="J8924" s="24" t="str" cm="1">
        <f t="array" ref="J8924">IFERROR(IF($B8924=J$1, ($A8924+$C8924) - MAX(IF($B$2:$B8923=$B8924, $A$2:$A8923+$C$2:$C8923)), "")*24*60, "")</f>
        <v/>
      </c>
      <c r="K8924" s="24" t="str" cm="1">
        <f t="array" ref="K8924">IFERROR(IF($B8924=K$1, ($A8924+$C8924) - MAX(IF($B$2:$B8923=$B8924, $A$2:$A8923+$C$2:$C8923)), "")*24*60, "")</f>
        <v/>
      </c>
      <c r="L8924" s="24" t="str" cm="1">
        <f t="array" ref="L8924">IFERROR(IF($B8924=L$1, ($A8924+$C8924) - MAX(IF($B$2:$B8923=$B8924, $A$2:$A8923+$C$2:$C8923)), "")*24*60, "")</f>
        <v/>
      </c>
      <c r="M8924" s="24" t="str" cm="1">
        <f t="array" ref="M8924">IFERROR(IF($B8924=M$1, ($A8924+$C8924) - MAX(IF($B$2:$B8923=$B8924, $A$2:$A8923+$C$2:$C8923)), "")*24*60, "")</f>
        <v/>
      </c>
      <c r="N8924" s="24" t="str" cm="1">
        <f t="array" ref="N8924">IFERROR(IF($B8924=N$1, ($A8924+$C8924) - MAX(IF($B$2:$B8923=$B8924, $A$2:$A8923+$C$2:$C8923)), "")*24*60, "")</f>
        <v/>
      </c>
      <c r="O8924" s="24" t="str" cm="1">
        <f t="array" ref="O8924">IFERROR(IF($B8924=O$1, ($A8924+$C8924) - MAX(IF($B$2:$B8923=$B8924, $A$2:$A8923+$C$2:$C8923)), "")*24*60, "")</f>
        <v/>
      </c>
      <c r="P8924" s="24" t="str" cm="1">
        <f t="array" ref="P8924">IFERROR(IF($B8924=P$1, ($A8924+$C8924) - MAX(IF($B$2:$B8923=$B8924, $A$2:$A8923+$C$2:$C8923)), "")*24*60, "")</f>
        <v/>
      </c>
      <c r="Q8924" s="24" t="str" cm="1">
        <f t="array" ref="Q8924">IFERROR(IF($B8924=Q$1, ($A8924+$C8924) - MAX(IF($B$2:$B8923=$B8924, $A$2:$A8923+$C$2:$C8923)), "")*24*60, "")</f>
        <v/>
      </c>
      <c r="R8924" s="24" t="str" cm="1">
        <f t="array" ref="R8924">IFERROR(IF($B8924=R$1, ($A8924+$C8924) - MAX(IF($B$2:$B8923=$B8924, $A$2:$A8923+$C$2:$C8923)), "")*24*60, "")</f>
        <v/>
      </c>
      <c r="S8924" s="24" t="str" cm="1">
        <f t="array" ref="S8924">IFERROR(IF($B8924=S$1, ($A8924+$C8924) - MAX(IF($B$2:$B8923=$B8924, $A$2:$A8923+$C$2:$C8923)), "")*24*60, "")</f>
        <v/>
      </c>
    </row>
    <row r="8925" spans="1:19" x14ac:dyDescent="0.2">
      <c r="A8925" s="12">
        <f t="shared" ref="A8925:C8925" si="1477">A8924</f>
        <v>46038</v>
      </c>
      <c r="B8925" s="5" t="str">
        <f t="shared" si="1477"/>
        <v>Northern Cardinal</v>
      </c>
      <c r="C8925" s="6">
        <f t="shared" si="1477"/>
        <v>0.29166666666666669</v>
      </c>
      <c r="D8925" s="5"/>
      <c r="E8925" s="5"/>
      <c r="F8925" s="5" t="s">
        <v>9</v>
      </c>
      <c r="G8925" s="15" t="s">
        <v>8</v>
      </c>
      <c r="H8925" s="24">
        <f t="shared" si="1412"/>
        <v>0</v>
      </c>
      <c r="I8925" s="24" cm="1">
        <f t="array" ref="I8925">IFERROR(IF($B8925=I$1, ($A8925+$C8925) - MAX(IF($B$2:$B8924=$B8925, $A$2:$A8924+$C$2:$C8924)), "")*24*60, "")</f>
        <v>0</v>
      </c>
      <c r="J8925" s="24" t="str" cm="1">
        <f t="array" ref="J8925">IFERROR(IF($B8925=J$1, ($A8925+$C8925) - MAX(IF($B$2:$B8924=$B8925, $A$2:$A8924+$C$2:$C8924)), "")*24*60, "")</f>
        <v/>
      </c>
      <c r="K8925" s="24" t="str" cm="1">
        <f t="array" ref="K8925">IFERROR(IF($B8925=K$1, ($A8925+$C8925) - MAX(IF($B$2:$B8924=$B8925, $A$2:$A8924+$C$2:$C8924)), "")*24*60, "")</f>
        <v/>
      </c>
      <c r="L8925" s="24" t="str" cm="1">
        <f t="array" ref="L8925">IFERROR(IF($B8925=L$1, ($A8925+$C8925) - MAX(IF($B$2:$B8924=$B8925, $A$2:$A8924+$C$2:$C8924)), "")*24*60, "")</f>
        <v/>
      </c>
      <c r="M8925" s="24" t="str" cm="1">
        <f t="array" ref="M8925">IFERROR(IF($B8925=M$1, ($A8925+$C8925) - MAX(IF($B$2:$B8924=$B8925, $A$2:$A8924+$C$2:$C8924)), "")*24*60, "")</f>
        <v/>
      </c>
      <c r="N8925" s="24" t="str" cm="1">
        <f t="array" ref="N8925">IFERROR(IF($B8925=N$1, ($A8925+$C8925) - MAX(IF($B$2:$B8924=$B8925, $A$2:$A8924+$C$2:$C8924)), "")*24*60, "")</f>
        <v/>
      </c>
      <c r="O8925" s="24" t="str" cm="1">
        <f t="array" ref="O8925">IFERROR(IF($B8925=O$1, ($A8925+$C8925) - MAX(IF($B$2:$B8924=$B8925, $A$2:$A8924+$C$2:$C8924)), "")*24*60, "")</f>
        <v/>
      </c>
      <c r="P8925" s="24" t="str" cm="1">
        <f t="array" ref="P8925">IFERROR(IF($B8925=P$1, ($A8925+$C8925) - MAX(IF($B$2:$B8924=$B8925, $A$2:$A8924+$C$2:$C8924)), "")*24*60, "")</f>
        <v/>
      </c>
      <c r="Q8925" s="24" t="str" cm="1">
        <f t="array" ref="Q8925">IFERROR(IF($B8925=Q$1, ($A8925+$C8925) - MAX(IF($B$2:$B8924=$B8925, $A$2:$A8924+$C$2:$C8924)), "")*24*60, "")</f>
        <v/>
      </c>
      <c r="R8925" s="24" t="str" cm="1">
        <f t="array" ref="R8925">IFERROR(IF($B8925=R$1, ($A8925+$C8925) - MAX(IF($B$2:$B8924=$B8925, $A$2:$A8924+$C$2:$C8924)), "")*24*60, "")</f>
        <v/>
      </c>
      <c r="S8925" s="24" t="str" cm="1">
        <f t="array" ref="S8925">IFERROR(IF($B8925=S$1, ($A8925+$C8925) - MAX(IF($B$2:$B8924=$B8925, $A$2:$A8924+$C$2:$C8924)), "")*24*60, "")</f>
        <v/>
      </c>
    </row>
    <row r="8926" spans="1:19" x14ac:dyDescent="0.2">
      <c r="A8926" s="12">
        <f t="shared" ref="A8926:C8926" si="1478">A8925</f>
        <v>46038</v>
      </c>
      <c r="B8926" s="5" t="str">
        <f t="shared" si="1478"/>
        <v>Northern Cardinal</v>
      </c>
      <c r="C8926" s="6">
        <f t="shared" si="1478"/>
        <v>0.29166666666666669</v>
      </c>
      <c r="D8926" s="5"/>
      <c r="E8926" s="5"/>
      <c r="F8926" s="5" t="s">
        <v>9</v>
      </c>
      <c r="G8926" s="15" t="s">
        <v>8</v>
      </c>
      <c r="H8926" s="24">
        <f t="shared" si="1412"/>
        <v>0</v>
      </c>
      <c r="I8926" s="24" cm="1">
        <f t="array" ref="I8926">IFERROR(IF($B8926=I$1, ($A8926+$C8926) - MAX(IF($B$2:$B8925=$B8926, $A$2:$A8925+$C$2:$C8925)), "")*24*60, "")</f>
        <v>0</v>
      </c>
      <c r="J8926" s="24" t="str" cm="1">
        <f t="array" ref="J8926">IFERROR(IF($B8926=J$1, ($A8926+$C8926) - MAX(IF($B$2:$B8925=$B8926, $A$2:$A8925+$C$2:$C8925)), "")*24*60, "")</f>
        <v/>
      </c>
      <c r="K8926" s="24" t="str" cm="1">
        <f t="array" ref="K8926">IFERROR(IF($B8926=K$1, ($A8926+$C8926) - MAX(IF($B$2:$B8925=$B8926, $A$2:$A8925+$C$2:$C8925)), "")*24*60, "")</f>
        <v/>
      </c>
      <c r="L8926" s="24" t="str" cm="1">
        <f t="array" ref="L8926">IFERROR(IF($B8926=L$1, ($A8926+$C8926) - MAX(IF($B$2:$B8925=$B8926, $A$2:$A8925+$C$2:$C8925)), "")*24*60, "")</f>
        <v/>
      </c>
      <c r="M8926" s="24" t="str" cm="1">
        <f t="array" ref="M8926">IFERROR(IF($B8926=M$1, ($A8926+$C8926) - MAX(IF($B$2:$B8925=$B8926, $A$2:$A8925+$C$2:$C8925)), "")*24*60, "")</f>
        <v/>
      </c>
      <c r="N8926" s="24" t="str" cm="1">
        <f t="array" ref="N8926">IFERROR(IF($B8926=N$1, ($A8926+$C8926) - MAX(IF($B$2:$B8925=$B8926, $A$2:$A8925+$C$2:$C8925)), "")*24*60, "")</f>
        <v/>
      </c>
      <c r="O8926" s="24" t="str" cm="1">
        <f t="array" ref="O8926">IFERROR(IF($B8926=O$1, ($A8926+$C8926) - MAX(IF($B$2:$B8925=$B8926, $A$2:$A8925+$C$2:$C8925)), "")*24*60, "")</f>
        <v/>
      </c>
      <c r="P8926" s="24" t="str" cm="1">
        <f t="array" ref="P8926">IFERROR(IF($B8926=P$1, ($A8926+$C8926) - MAX(IF($B$2:$B8925=$B8926, $A$2:$A8925+$C$2:$C8925)), "")*24*60, "")</f>
        <v/>
      </c>
      <c r="Q8926" s="24" t="str" cm="1">
        <f t="array" ref="Q8926">IFERROR(IF($B8926=Q$1, ($A8926+$C8926) - MAX(IF($B$2:$B8925=$B8926, $A$2:$A8925+$C$2:$C8925)), "")*24*60, "")</f>
        <v/>
      </c>
      <c r="R8926" s="24" t="str" cm="1">
        <f t="array" ref="R8926">IFERROR(IF($B8926=R$1, ($A8926+$C8926) - MAX(IF($B$2:$B8925=$B8926, $A$2:$A8925+$C$2:$C8925)), "")*24*60, "")</f>
        <v/>
      </c>
      <c r="S8926" s="24" t="str" cm="1">
        <f t="array" ref="S8926">IFERROR(IF($B8926=S$1, ($A8926+$C8926) - MAX(IF($B$2:$B8925=$B8926, $A$2:$A8925+$C$2:$C8925)), "")*24*60, "")</f>
        <v/>
      </c>
    </row>
    <row r="8927" spans="1:19" x14ac:dyDescent="0.2">
      <c r="A8927" s="12">
        <f t="shared" ref="A8927:C8927" si="1479">A8926</f>
        <v>46038</v>
      </c>
      <c r="B8927" s="5" t="str">
        <f t="shared" si="1479"/>
        <v>Northern Cardinal</v>
      </c>
      <c r="C8927" s="6">
        <f t="shared" si="1479"/>
        <v>0.29166666666666669</v>
      </c>
      <c r="D8927" s="5"/>
      <c r="E8927" s="5"/>
      <c r="F8927" s="5" t="s">
        <v>9</v>
      </c>
      <c r="G8927" s="15" t="s">
        <v>8</v>
      </c>
      <c r="H8927" s="24">
        <f t="shared" si="1412"/>
        <v>0</v>
      </c>
      <c r="I8927" s="24" cm="1">
        <f t="array" ref="I8927">IFERROR(IF($B8927=I$1, ($A8927+$C8927) - MAX(IF($B$2:$B8926=$B8927, $A$2:$A8926+$C$2:$C8926)), "")*24*60, "")</f>
        <v>0</v>
      </c>
      <c r="J8927" s="24" t="str" cm="1">
        <f t="array" ref="J8927">IFERROR(IF($B8927=J$1, ($A8927+$C8927) - MAX(IF($B$2:$B8926=$B8927, $A$2:$A8926+$C$2:$C8926)), "")*24*60, "")</f>
        <v/>
      </c>
      <c r="K8927" s="24" t="str" cm="1">
        <f t="array" ref="K8927">IFERROR(IF($B8927=K$1, ($A8927+$C8927) - MAX(IF($B$2:$B8926=$B8927, $A$2:$A8926+$C$2:$C8926)), "")*24*60, "")</f>
        <v/>
      </c>
      <c r="L8927" s="24" t="str" cm="1">
        <f t="array" ref="L8927">IFERROR(IF($B8927=L$1, ($A8927+$C8927) - MAX(IF($B$2:$B8926=$B8927, $A$2:$A8926+$C$2:$C8926)), "")*24*60, "")</f>
        <v/>
      </c>
      <c r="M8927" s="24" t="str" cm="1">
        <f t="array" ref="M8927">IFERROR(IF($B8927=M$1, ($A8927+$C8927) - MAX(IF($B$2:$B8926=$B8927, $A$2:$A8926+$C$2:$C8926)), "")*24*60, "")</f>
        <v/>
      </c>
      <c r="N8927" s="24" t="str" cm="1">
        <f t="array" ref="N8927">IFERROR(IF($B8927=N$1, ($A8927+$C8927) - MAX(IF($B$2:$B8926=$B8927, $A$2:$A8926+$C$2:$C8926)), "")*24*60, "")</f>
        <v/>
      </c>
      <c r="O8927" s="24" t="str" cm="1">
        <f t="array" ref="O8927">IFERROR(IF($B8927=O$1, ($A8927+$C8927) - MAX(IF($B$2:$B8926=$B8927, $A$2:$A8926+$C$2:$C8926)), "")*24*60, "")</f>
        <v/>
      </c>
      <c r="P8927" s="24" t="str" cm="1">
        <f t="array" ref="P8927">IFERROR(IF($B8927=P$1, ($A8927+$C8927) - MAX(IF($B$2:$B8926=$B8927, $A$2:$A8926+$C$2:$C8926)), "")*24*60, "")</f>
        <v/>
      </c>
      <c r="Q8927" s="24" t="str" cm="1">
        <f t="array" ref="Q8927">IFERROR(IF($B8927=Q$1, ($A8927+$C8927) - MAX(IF($B$2:$B8926=$B8927, $A$2:$A8926+$C$2:$C8926)), "")*24*60, "")</f>
        <v/>
      </c>
      <c r="R8927" s="24" t="str" cm="1">
        <f t="array" ref="R8927">IFERROR(IF($B8927=R$1, ($A8927+$C8927) - MAX(IF($B$2:$B8926=$B8927, $A$2:$A8926+$C$2:$C8926)), "")*24*60, "")</f>
        <v/>
      </c>
      <c r="S8927" s="24" t="str" cm="1">
        <f t="array" ref="S8927">IFERROR(IF($B8927=S$1, ($A8927+$C8927) - MAX(IF($B$2:$B8926=$B8927, $A$2:$A8926+$C$2:$C8926)), "")*24*60, "")</f>
        <v/>
      </c>
    </row>
    <row r="8928" spans="1:19" x14ac:dyDescent="0.2">
      <c r="A8928" s="12">
        <f t="shared" ref="A8928:C8928" si="1480">A8927</f>
        <v>46038</v>
      </c>
      <c r="B8928" s="5" t="str">
        <f t="shared" si="1480"/>
        <v>Northern Cardinal</v>
      </c>
      <c r="C8928" s="6">
        <f t="shared" si="1480"/>
        <v>0.29166666666666669</v>
      </c>
      <c r="D8928" s="5"/>
      <c r="E8928" s="5"/>
      <c r="F8928" s="5" t="s">
        <v>9</v>
      </c>
      <c r="G8928" s="15" t="s">
        <v>8</v>
      </c>
      <c r="H8928" s="24">
        <f t="shared" si="1412"/>
        <v>0</v>
      </c>
      <c r="I8928" s="24" cm="1">
        <f t="array" ref="I8928">IFERROR(IF($B8928=I$1, ($A8928+$C8928) - MAX(IF($B$2:$B8927=$B8928, $A$2:$A8927+$C$2:$C8927)), "")*24*60, "")</f>
        <v>0</v>
      </c>
      <c r="J8928" s="24" t="str" cm="1">
        <f t="array" ref="J8928">IFERROR(IF($B8928=J$1, ($A8928+$C8928) - MAX(IF($B$2:$B8927=$B8928, $A$2:$A8927+$C$2:$C8927)), "")*24*60, "")</f>
        <v/>
      </c>
      <c r="K8928" s="24" t="str" cm="1">
        <f t="array" ref="K8928">IFERROR(IF($B8928=K$1, ($A8928+$C8928) - MAX(IF($B$2:$B8927=$B8928, $A$2:$A8927+$C$2:$C8927)), "")*24*60, "")</f>
        <v/>
      </c>
      <c r="L8928" s="24" t="str" cm="1">
        <f t="array" ref="L8928">IFERROR(IF($B8928=L$1, ($A8928+$C8928) - MAX(IF($B$2:$B8927=$B8928, $A$2:$A8927+$C$2:$C8927)), "")*24*60, "")</f>
        <v/>
      </c>
      <c r="M8928" s="24" t="str" cm="1">
        <f t="array" ref="M8928">IFERROR(IF($B8928=M$1, ($A8928+$C8928) - MAX(IF($B$2:$B8927=$B8928, $A$2:$A8927+$C$2:$C8927)), "")*24*60, "")</f>
        <v/>
      </c>
      <c r="N8928" s="24" t="str" cm="1">
        <f t="array" ref="N8928">IFERROR(IF($B8928=N$1, ($A8928+$C8928) - MAX(IF($B$2:$B8927=$B8928, $A$2:$A8927+$C$2:$C8927)), "")*24*60, "")</f>
        <v/>
      </c>
      <c r="O8928" s="24" t="str" cm="1">
        <f t="array" ref="O8928">IFERROR(IF($B8928=O$1, ($A8928+$C8928) - MAX(IF($B$2:$B8927=$B8928, $A$2:$A8927+$C$2:$C8927)), "")*24*60, "")</f>
        <v/>
      </c>
      <c r="P8928" s="24" t="str" cm="1">
        <f t="array" ref="P8928">IFERROR(IF($B8928=P$1, ($A8928+$C8928) - MAX(IF($B$2:$B8927=$B8928, $A$2:$A8927+$C$2:$C8927)), "")*24*60, "")</f>
        <v/>
      </c>
      <c r="Q8928" s="24" t="str" cm="1">
        <f t="array" ref="Q8928">IFERROR(IF($B8928=Q$1, ($A8928+$C8928) - MAX(IF($B$2:$B8927=$B8928, $A$2:$A8927+$C$2:$C8927)), "")*24*60, "")</f>
        <v/>
      </c>
      <c r="R8928" s="24" t="str" cm="1">
        <f t="array" ref="R8928">IFERROR(IF($B8928=R$1, ($A8928+$C8928) - MAX(IF($B$2:$B8927=$B8928, $A$2:$A8927+$C$2:$C8927)), "")*24*60, "")</f>
        <v/>
      </c>
      <c r="S8928" s="24" t="str" cm="1">
        <f t="array" ref="S8928">IFERROR(IF($B8928=S$1, ($A8928+$C8928) - MAX(IF($B$2:$B8927=$B8928, $A$2:$A8927+$C$2:$C8927)), "")*24*60, "")</f>
        <v/>
      </c>
    </row>
    <row r="8929" spans="1:19" x14ac:dyDescent="0.2">
      <c r="A8929" s="12">
        <f t="shared" ref="A8929:C8929" si="1481">A8928</f>
        <v>46038</v>
      </c>
      <c r="B8929" s="5" t="str">
        <f t="shared" si="1481"/>
        <v>Northern Cardinal</v>
      </c>
      <c r="C8929" s="6">
        <f t="shared" si="1481"/>
        <v>0.29166666666666669</v>
      </c>
      <c r="D8929" s="5"/>
      <c r="E8929" s="5"/>
      <c r="F8929" s="5" t="s">
        <v>9</v>
      </c>
      <c r="G8929" s="15" t="s">
        <v>8</v>
      </c>
      <c r="H8929" s="24">
        <f t="shared" si="1412"/>
        <v>0</v>
      </c>
      <c r="I8929" s="24" cm="1">
        <f t="array" ref="I8929">IFERROR(IF($B8929=I$1, ($A8929+$C8929) - MAX(IF($B$2:$B8928=$B8929, $A$2:$A8928+$C$2:$C8928)), "")*24*60, "")</f>
        <v>0</v>
      </c>
      <c r="J8929" s="24" t="str" cm="1">
        <f t="array" ref="J8929">IFERROR(IF($B8929=J$1, ($A8929+$C8929) - MAX(IF($B$2:$B8928=$B8929, $A$2:$A8928+$C$2:$C8928)), "")*24*60, "")</f>
        <v/>
      </c>
      <c r="K8929" s="24" t="str" cm="1">
        <f t="array" ref="K8929">IFERROR(IF($B8929=K$1, ($A8929+$C8929) - MAX(IF($B$2:$B8928=$B8929, $A$2:$A8928+$C$2:$C8928)), "")*24*60, "")</f>
        <v/>
      </c>
      <c r="L8929" s="24" t="str" cm="1">
        <f t="array" ref="L8929">IFERROR(IF($B8929=L$1, ($A8929+$C8929) - MAX(IF($B$2:$B8928=$B8929, $A$2:$A8928+$C$2:$C8928)), "")*24*60, "")</f>
        <v/>
      </c>
      <c r="M8929" s="24" t="str" cm="1">
        <f t="array" ref="M8929">IFERROR(IF($B8929=M$1, ($A8929+$C8929) - MAX(IF($B$2:$B8928=$B8929, $A$2:$A8928+$C$2:$C8928)), "")*24*60, "")</f>
        <v/>
      </c>
      <c r="N8929" s="24" t="str" cm="1">
        <f t="array" ref="N8929">IFERROR(IF($B8929=N$1, ($A8929+$C8929) - MAX(IF($B$2:$B8928=$B8929, $A$2:$A8928+$C$2:$C8928)), "")*24*60, "")</f>
        <v/>
      </c>
      <c r="O8929" s="24" t="str" cm="1">
        <f t="array" ref="O8929">IFERROR(IF($B8929=O$1, ($A8929+$C8929) - MAX(IF($B$2:$B8928=$B8929, $A$2:$A8928+$C$2:$C8928)), "")*24*60, "")</f>
        <v/>
      </c>
      <c r="P8929" s="24" t="str" cm="1">
        <f t="array" ref="P8929">IFERROR(IF($B8929=P$1, ($A8929+$C8929) - MAX(IF($B$2:$B8928=$B8929, $A$2:$A8928+$C$2:$C8928)), "")*24*60, "")</f>
        <v/>
      </c>
      <c r="Q8929" s="24" t="str" cm="1">
        <f t="array" ref="Q8929">IFERROR(IF($B8929=Q$1, ($A8929+$C8929) - MAX(IF($B$2:$B8928=$B8929, $A$2:$A8928+$C$2:$C8928)), "")*24*60, "")</f>
        <v/>
      </c>
      <c r="R8929" s="24" t="str" cm="1">
        <f t="array" ref="R8929">IFERROR(IF($B8929=R$1, ($A8929+$C8929) - MAX(IF($B$2:$B8928=$B8929, $A$2:$A8928+$C$2:$C8928)), "")*24*60, "")</f>
        <v/>
      </c>
      <c r="S8929" s="24" t="str" cm="1">
        <f t="array" ref="S8929">IFERROR(IF($B8929=S$1, ($A8929+$C8929) - MAX(IF($B$2:$B8928=$B8929, $A$2:$A8928+$C$2:$C8928)),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43"/>
  <sheetViews>
    <sheetView tabSelected="1" zoomScale="120" zoomScaleNormal="120" workbookViewId="0">
      <pane ySplit="1" topLeftCell="A323" activePane="bottomLeft" state="frozen"/>
      <selection pane="bottomLeft" activeCell="A342" sqref="A342:E343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32">
        <v>46025</v>
      </c>
      <c r="B313" s="33" t="s">
        <v>3</v>
      </c>
      <c r="C313" s="33">
        <f>COUNTIFS(RawData!$B:$B, $B313, RawData!$A:$A, DailySummaries!$A313)</f>
        <v>27</v>
      </c>
      <c r="D313" s="33">
        <f>SUMIFS(RawData!$D:$D,RawData!$B:$B,$B313,RawData!$A:$A,DailySummaries!$A313)+1</f>
        <v>3</v>
      </c>
      <c r="E313" s="33">
        <f>SUMIFS(RawData!$E:$E,RawData!$B:$B,$B313,RawData!$A:$A,DailySummaries!$A313)+1</f>
        <v>86</v>
      </c>
    </row>
    <row r="314" spans="1:5" x14ac:dyDescent="0.25">
      <c r="A314" s="10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26">
        <v>46026</v>
      </c>
      <c r="B315" s="27" t="s">
        <v>20</v>
      </c>
      <c r="C315" s="27">
        <f>COUNTIFS(RawData!$B:$B, $B315, RawData!$A:$A, DailySummaries!$A315)</f>
        <v>13</v>
      </c>
      <c r="D315" s="27">
        <f>SUMIFS(RawData!$D:$D,RawData!$B:$B,$B315,RawData!$A:$A,DailySummaries!$A315)+1</f>
        <v>61</v>
      </c>
      <c r="E315" s="27">
        <f>SUMIFS(RawData!$E:$E,RawData!$B:$B,$B315,RawData!$A:$A,DailySummaries!$A315)+1</f>
        <v>54</v>
      </c>
    </row>
    <row r="316" spans="1:5" x14ac:dyDescent="0.25">
      <c r="A316" s="10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10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10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26">
        <v>46027</v>
      </c>
      <c r="B319" s="27" t="s">
        <v>10</v>
      </c>
      <c r="C319" s="27">
        <f>COUNTIFS(RawData!$B:$B, $B319, RawData!$A:$A, DailySummaries!$A319)</f>
        <v>24</v>
      </c>
      <c r="D319" s="27">
        <f>SUMIFS(RawData!$D:$D,RawData!$B:$B,$B319,RawData!$A:$A,DailySummaries!$A319)+1</f>
        <v>6</v>
      </c>
      <c r="E319" s="27">
        <f>SUMIFS(RawData!$E:$E,RawData!$B:$B,$B319,RawData!$A:$A,DailySummaries!$A319)+1</f>
        <v>46</v>
      </c>
    </row>
    <row r="320" spans="1:5" x14ac:dyDescent="0.25">
      <c r="A320" s="10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26">
        <v>46028</v>
      </c>
      <c r="B321" s="27" t="s">
        <v>3</v>
      </c>
      <c r="C321" s="27">
        <f>COUNTIFS(RawData!$B:$B, $B321, RawData!$A:$A, DailySummaries!$A321)</f>
        <v>22</v>
      </c>
      <c r="D321" s="27">
        <f>SUMIFS(RawData!$D:$D,RawData!$B:$B,$B321,RawData!$A:$A,DailySummaries!$A321)+1</f>
        <v>1</v>
      </c>
      <c r="E321" s="27">
        <f>SUMIFS(RawData!$E:$E,RawData!$B:$B,$B321,RawData!$A:$A,DailySummaries!$A321)+1</f>
        <v>73</v>
      </c>
    </row>
    <row r="322" spans="1:5" x14ac:dyDescent="0.25">
      <c r="A322" s="10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10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26">
        <v>46029</v>
      </c>
      <c r="B324" s="27" t="s">
        <v>16</v>
      </c>
      <c r="C324" s="27">
        <f>COUNTIFS(RawData!$B:$B, $B324, RawData!$A:$A, DailySummaries!$A324)</f>
        <v>9</v>
      </c>
      <c r="D324" s="27">
        <f>SUMIFS(RawData!$D:$D,RawData!$B:$B,$B324,RawData!$A:$A,DailySummaries!$A324)+1</f>
        <v>63</v>
      </c>
      <c r="E324" s="27">
        <f>SUMIFS(RawData!$E:$E,RawData!$B:$B,$B324,RawData!$A:$A,DailySummaries!$A324)+1</f>
        <v>25</v>
      </c>
    </row>
    <row r="325" spans="1:5" x14ac:dyDescent="0.25">
      <c r="A325" s="10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10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26">
        <v>46030</v>
      </c>
      <c r="B327" s="27" t="s">
        <v>16</v>
      </c>
      <c r="C327" s="27">
        <f>COUNTIFS(RawData!$B:$B, $B327, RawData!$A:$A, DailySummaries!$A327)</f>
        <v>6</v>
      </c>
      <c r="D327" s="27">
        <f>SUMIFS(RawData!$D:$D,RawData!$B:$B,$B327,RawData!$A:$A,DailySummaries!$A327)+1</f>
        <v>19</v>
      </c>
      <c r="E327" s="27">
        <f>SUMIFS(RawData!$E:$E,RawData!$B:$B,$B327,RawData!$A:$A,DailySummaries!$A327)+1</f>
        <v>13</v>
      </c>
    </row>
    <row r="328" spans="1:5" x14ac:dyDescent="0.25">
      <c r="A328" s="10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10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26">
        <v>46031</v>
      </c>
      <c r="B330" s="27" t="s">
        <v>16</v>
      </c>
      <c r="C330" s="27">
        <f>COUNTIFS(RawData!$B:$B, $B330, RawData!$A:$A, DailySummaries!$A330)</f>
        <v>8</v>
      </c>
      <c r="D330" s="27">
        <f>SUMIFS(RawData!$D:$D,RawData!$B:$B,$B330,RawData!$A:$A,DailySummaries!$A330)+1</f>
        <v>47</v>
      </c>
      <c r="E330" s="27">
        <f>SUMIFS(RawData!$E:$E,RawData!$B:$B,$B330,RawData!$A:$A,DailySummaries!$A330)+1</f>
        <v>9</v>
      </c>
    </row>
    <row r="331" spans="1:5" x14ac:dyDescent="0.25">
      <c r="A331" s="10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10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10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10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26">
        <v>46032</v>
      </c>
      <c r="B335" s="27" t="s">
        <v>10</v>
      </c>
      <c r="C335" s="27">
        <f>COUNTIFS(RawData!$B:$B, $B335, RawData!$A:$A, DailySummaries!$A335)</f>
        <v>4</v>
      </c>
      <c r="D335" s="27">
        <f>SUMIFS(RawData!$D:$D,RawData!$B:$B,$B335,RawData!$A:$A,DailySummaries!$A335)+1</f>
        <v>1</v>
      </c>
      <c r="E335" s="27">
        <f>SUMIFS(RawData!$E:$E,RawData!$B:$B,$B335,RawData!$A:$A,DailySummaries!$A335)+1</f>
        <v>6</v>
      </c>
    </row>
    <row r="336" spans="1:5" x14ac:dyDescent="0.25">
      <c r="A336" s="32">
        <v>46033</v>
      </c>
      <c r="B336" s="33" t="s">
        <v>3</v>
      </c>
      <c r="C336" s="33">
        <f>COUNTIFS(RawData!$B:$B, $B336, RawData!$A:$A, DailySummaries!$A336)</f>
        <v>16</v>
      </c>
      <c r="D336" s="33">
        <f>SUMIFS(RawData!$D:$D,RawData!$B:$B,$B336,RawData!$A:$A,DailySummaries!$A336)+1</f>
        <v>1</v>
      </c>
      <c r="E336" s="33">
        <f>SUMIFS(RawData!$E:$E,RawData!$B:$B,$B336,RawData!$A:$A,DailySummaries!$A336)+1</f>
        <v>50</v>
      </c>
    </row>
    <row r="337" spans="1:5" x14ac:dyDescent="0.25">
      <c r="A337" s="10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26">
        <v>46034</v>
      </c>
      <c r="B338" s="27" t="s">
        <v>16</v>
      </c>
      <c r="C338" s="27">
        <f>COUNTIFS(RawData!$B:$B, $B338, RawData!$A:$A, DailySummaries!$A338)</f>
        <v>2</v>
      </c>
      <c r="D338" s="27">
        <f>SUMIFS(RawData!$D:$D,RawData!$B:$B,$B338,RawData!$A:$A,DailySummaries!$A338)+1</f>
        <v>18</v>
      </c>
      <c r="E338" s="27">
        <f>SUMIFS(RawData!$E:$E,RawData!$B:$B,$B338,RawData!$A:$A,DailySummaries!$A338)+1</f>
        <v>1</v>
      </c>
    </row>
    <row r="339" spans="1:5" x14ac:dyDescent="0.25">
      <c r="A339" s="10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26">
        <v>46035</v>
      </c>
      <c r="B340" s="27" t="s">
        <v>16</v>
      </c>
      <c r="C340" s="27">
        <f>COUNTIFS(RawData!$B:$B, $B340, RawData!$A:$A, DailySummaries!$A340)</f>
        <v>2</v>
      </c>
      <c r="D340" s="27">
        <f>SUMIFS(RawData!$D:$D,RawData!$B:$B,$B340,RawData!$A:$A,DailySummaries!$A340)+1</f>
        <v>10</v>
      </c>
      <c r="E340" s="27">
        <f>SUMIFS(RawData!$E:$E,RawData!$B:$B,$B340,RawData!$A:$A,DailySummaries!$A340)+1</f>
        <v>2</v>
      </c>
    </row>
    <row r="341" spans="1:5" x14ac:dyDescent="0.25">
      <c r="A341" s="32">
        <v>46036</v>
      </c>
      <c r="B341" s="33" t="s">
        <v>3</v>
      </c>
      <c r="C341" s="33">
        <f>COUNTIFS(RawData!$B:$B, $B341, RawData!$A:$A, DailySummaries!$A341)</f>
        <v>36</v>
      </c>
      <c r="D341" s="33">
        <f>SUMIFS(RawData!$D:$D,RawData!$B:$B,$B341,RawData!$A:$A,DailySummaries!$A341)+1</f>
        <v>16</v>
      </c>
      <c r="E341" s="33">
        <f>SUMIFS(RawData!$E:$E,RawData!$B:$B,$B341,RawData!$A:$A,DailySummaries!$A341)+1</f>
        <v>78</v>
      </c>
    </row>
    <row r="342" spans="1:5" x14ac:dyDescent="0.25">
      <c r="A342" s="10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26">
        <v>46037</v>
      </c>
      <c r="B343" s="27" t="s">
        <v>16</v>
      </c>
      <c r="C343" s="27">
        <f>COUNTIFS(RawData!$B:$B, $B343, RawData!$A:$A, DailySummaries!$A343)</f>
        <v>13</v>
      </c>
      <c r="D343" s="27">
        <f>SUMIFS(RawData!$D:$D,RawData!$B:$B,$B343,RawData!$A:$A,DailySummaries!$A343)+1</f>
        <v>52</v>
      </c>
      <c r="E343" s="27">
        <f>SUMIFS(RawData!$E:$E,RawData!$B:$B,$B343,RawData!$A:$A,DailySummaries!$A343)+1</f>
        <v>24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2026-01-16T10:05:23Z</dcterms:modified>
</cp:coreProperties>
</file>
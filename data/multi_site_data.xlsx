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EF66A789-A16A-5D4B-925D-F2DF6370FC94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7" i="2" l="1"/>
  <c r="D227" i="2"/>
  <c r="C227" i="2"/>
  <c r="C228" i="2"/>
  <c r="D228" i="2"/>
  <c r="E228" i="2"/>
  <c r="C229" i="2"/>
  <c r="D229" i="2"/>
  <c r="E229" i="2"/>
  <c r="C230" i="2"/>
  <c r="D230" i="2"/>
  <c r="E230" i="2"/>
  <c r="C231" i="2"/>
  <c r="D231" i="2"/>
  <c r="E231" i="2"/>
  <c r="C232" i="2"/>
  <c r="D232" i="2"/>
  <c r="E232" i="2"/>
  <c r="C233" i="2"/>
  <c r="D233" i="2"/>
  <c r="E233" i="2"/>
  <c r="C234" i="2"/>
  <c r="D234" i="2"/>
  <c r="E234" i="2"/>
  <c r="C6867" i="1"/>
  <c r="C6868" i="1" s="1"/>
  <c r="C6869" i="1" s="1"/>
  <c r="C6870" i="1" s="1"/>
  <c r="C6871" i="1" s="1"/>
  <c r="C6872" i="1" s="1"/>
  <c r="C6873" i="1" s="1"/>
  <c r="C6874" i="1" s="1"/>
  <c r="C6875" i="1" s="1"/>
  <c r="C6876" i="1" s="1"/>
  <c r="C6877" i="1" s="1"/>
  <c r="C6878" i="1" s="1"/>
  <c r="C6879" i="1" s="1"/>
  <c r="C6880" i="1" s="1"/>
  <c r="C6881" i="1" s="1"/>
  <c r="C6882" i="1" s="1"/>
  <c r="C6883" i="1" s="1"/>
  <c r="C6884" i="1" s="1"/>
  <c r="C6885" i="1" s="1"/>
  <c r="C6886" i="1" s="1"/>
  <c r="C6887" i="1" s="1"/>
  <c r="C6888" i="1" s="1"/>
  <c r="C6889" i="1" s="1"/>
  <c r="C6890" i="1" s="1"/>
  <c r="C6891" i="1" s="1"/>
  <c r="C6892" i="1" s="1"/>
  <c r="C6893" i="1" s="1"/>
  <c r="C6894" i="1" s="1"/>
  <c r="C6895" i="1" s="1"/>
  <c r="C6896" i="1" s="1"/>
  <c r="C6897" i="1" s="1"/>
  <c r="C6898" i="1" s="1"/>
  <c r="C6899" i="1" s="1"/>
  <c r="C6900" i="1" s="1"/>
  <c r="C6901" i="1" s="1"/>
  <c r="C6902" i="1" s="1"/>
  <c r="C6903" i="1" s="1"/>
  <c r="C6904" i="1" s="1"/>
  <c r="C6905" i="1" s="1"/>
  <c r="C6906" i="1" s="1"/>
  <c r="C6907" i="1" s="1"/>
  <c r="C6908" i="1" s="1"/>
  <c r="C6909" i="1" s="1"/>
  <c r="C6910" i="1" s="1"/>
  <c r="C6911" i="1" s="1"/>
  <c r="C6912" i="1" s="1"/>
  <c r="C6913" i="1" s="1"/>
  <c r="C6914" i="1" s="1"/>
  <c r="C6915" i="1" s="1"/>
  <c r="C6916" i="1" s="1"/>
  <c r="C6917" i="1" s="1"/>
  <c r="C6918" i="1" s="1"/>
  <c r="C6919" i="1" s="1"/>
  <c r="C6920" i="1" s="1"/>
  <c r="C6921" i="1" s="1"/>
  <c r="C6922" i="1" s="1"/>
  <c r="C6923" i="1" s="1"/>
  <c r="C6924" i="1" s="1"/>
  <c r="C6925" i="1" s="1"/>
  <c r="C6926" i="1" s="1"/>
  <c r="C6927" i="1" s="1"/>
  <c r="C6928" i="1" s="1"/>
  <c r="C6929" i="1" s="1"/>
  <c r="C6930" i="1" s="1"/>
  <c r="C6931" i="1" s="1"/>
  <c r="C6932" i="1" s="1"/>
  <c r="C6933" i="1" s="1"/>
  <c r="C6934" i="1" s="1"/>
  <c r="C6935" i="1" s="1"/>
  <c r="C6936" i="1" s="1"/>
  <c r="C6937" i="1" s="1"/>
  <c r="C6938" i="1" s="1"/>
  <c r="C6939" i="1" s="1"/>
  <c r="C6940" i="1" s="1"/>
  <c r="C6941" i="1" s="1"/>
  <c r="C6942" i="1" s="1"/>
  <c r="C6943" i="1" s="1"/>
  <c r="C6944" i="1" s="1"/>
  <c r="C6945" i="1" s="1"/>
  <c r="C6946" i="1" s="1"/>
  <c r="C6947" i="1" s="1"/>
  <c r="C6948" i="1" s="1"/>
  <c r="C6949" i="1" s="1"/>
  <c r="C6950" i="1" s="1"/>
  <c r="C6951" i="1" s="1"/>
  <c r="C6952" i="1" s="1"/>
  <c r="C6953" i="1" s="1"/>
  <c r="C6954" i="1" s="1"/>
  <c r="C6955" i="1" s="1"/>
  <c r="C6956" i="1" s="1"/>
  <c r="C6957" i="1" s="1"/>
  <c r="C6958" i="1" s="1"/>
  <c r="C6959" i="1" s="1"/>
  <c r="C6960" i="1" s="1"/>
  <c r="C6961" i="1" s="1"/>
  <c r="C6962" i="1" s="1"/>
  <c r="C6963" i="1" s="1"/>
  <c r="C6964" i="1" s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B6418" i="1" l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6866" i="1" l="1"/>
  <c r="A6867" i="1"/>
  <c r="B6867" i="1"/>
  <c r="N6866" i="1" a="1"/>
  <c r="N6866" i="1" s="1"/>
  <c r="M6866" i="1" a="1"/>
  <c r="M6866" i="1" s="1"/>
  <c r="R6866" i="1" a="1"/>
  <c r="R6866" i="1" s="1"/>
  <c r="S6866" i="1" a="1"/>
  <c r="S6866" i="1" s="1"/>
  <c r="I6866" i="1" a="1"/>
  <c r="I6866" i="1" s="1"/>
  <c r="P6866" i="1" a="1"/>
  <c r="P6866" i="1" s="1"/>
  <c r="J6866" i="1" a="1"/>
  <c r="J6866" i="1" s="1"/>
  <c r="Q6866" i="1" a="1"/>
  <c r="Q6866" i="1" s="1"/>
  <c r="K6866" i="1" a="1"/>
  <c r="K6866" i="1" s="1"/>
  <c r="L6866" i="1" a="1"/>
  <c r="L6866" i="1" s="1"/>
  <c r="O6866" i="1" a="1"/>
  <c r="O686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6868" i="1" l="1"/>
  <c r="H6867" i="1"/>
  <c r="J6867" i="1" a="1"/>
  <c r="J6867" i="1" s="1"/>
  <c r="S6867" i="1" a="1"/>
  <c r="S6867" i="1" s="1"/>
  <c r="P6867" i="1" a="1"/>
  <c r="P6867" i="1" s="1"/>
  <c r="K6867" i="1" a="1"/>
  <c r="K6867" i="1" s="1"/>
  <c r="L6867" i="1" a="1"/>
  <c r="L6867" i="1" s="1"/>
  <c r="Q6867" i="1" a="1"/>
  <c r="Q6867" i="1" s="1"/>
  <c r="M6867" i="1" a="1"/>
  <c r="M6867" i="1" s="1"/>
  <c r="B6868" i="1"/>
  <c r="N6867" i="1" a="1"/>
  <c r="N6867" i="1" s="1"/>
  <c r="I6867" i="1" a="1"/>
  <c r="I6867" i="1" s="1"/>
  <c r="O6867" i="1" a="1"/>
  <c r="O6867" i="1" s="1"/>
  <c r="R6867" i="1" a="1"/>
  <c r="R6867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K6868" i="1" l="1" a="1"/>
  <c r="K6868" i="1" s="1"/>
  <c r="M6868" i="1" a="1"/>
  <c r="M6868" i="1" s="1"/>
  <c r="R6868" i="1" a="1"/>
  <c r="R6868" i="1" s="1"/>
  <c r="S6868" i="1" a="1"/>
  <c r="S6868" i="1" s="1"/>
  <c r="I6868" i="1" a="1"/>
  <c r="I6868" i="1" s="1"/>
  <c r="N6868" i="1" a="1"/>
  <c r="N6868" i="1" s="1"/>
  <c r="P6868" i="1" a="1"/>
  <c r="P6868" i="1" s="1"/>
  <c r="Q6868" i="1" a="1"/>
  <c r="Q6868" i="1" s="1"/>
  <c r="J6868" i="1" a="1"/>
  <c r="J6868" i="1" s="1"/>
  <c r="L6868" i="1" a="1"/>
  <c r="L6868" i="1" s="1"/>
  <c r="O6868" i="1" a="1"/>
  <c r="O6868" i="1" s="1"/>
  <c r="B6869" i="1"/>
  <c r="A6869" i="1"/>
  <c r="H6868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6870" i="1" l="1"/>
  <c r="H6869" i="1"/>
  <c r="P6869" i="1" a="1"/>
  <c r="P6869" i="1" s="1"/>
  <c r="B6870" i="1"/>
  <c r="K6869" i="1" a="1"/>
  <c r="K6869" i="1" s="1"/>
  <c r="L6869" i="1" a="1"/>
  <c r="L6869" i="1" s="1"/>
  <c r="Q6869" i="1" a="1"/>
  <c r="Q6869" i="1" s="1"/>
  <c r="J6869" i="1" a="1"/>
  <c r="J6869" i="1" s="1"/>
  <c r="S6869" i="1" a="1"/>
  <c r="S6869" i="1" s="1"/>
  <c r="M6869" i="1" a="1"/>
  <c r="M6869" i="1" s="1"/>
  <c r="N6869" i="1" a="1"/>
  <c r="N6869" i="1" s="1"/>
  <c r="I6869" i="1" a="1"/>
  <c r="I6869" i="1" s="1"/>
  <c r="O6869" i="1" a="1"/>
  <c r="O6869" i="1" s="1"/>
  <c r="R6869" i="1" a="1"/>
  <c r="R6869" i="1" s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B6871" i="1" l="1"/>
  <c r="L6870" i="1" a="1"/>
  <c r="L6870" i="1" s="1"/>
  <c r="Q6870" i="1" a="1"/>
  <c r="Q6870" i="1" s="1"/>
  <c r="I6870" i="1" a="1"/>
  <c r="I6870" i="1" s="1"/>
  <c r="N6870" i="1" a="1"/>
  <c r="N6870" i="1" s="1"/>
  <c r="S6870" i="1" a="1"/>
  <c r="S6870" i="1" s="1"/>
  <c r="O6870" i="1" a="1"/>
  <c r="O6870" i="1" s="1"/>
  <c r="P6870" i="1" a="1"/>
  <c r="P6870" i="1" s="1"/>
  <c r="J6870" i="1" a="1"/>
  <c r="J6870" i="1" s="1"/>
  <c r="M6870" i="1" a="1"/>
  <c r="M6870" i="1" s="1"/>
  <c r="R6870" i="1" a="1"/>
  <c r="R6870" i="1" s="1"/>
  <c r="K6870" i="1" a="1"/>
  <c r="K6870" i="1" s="1"/>
  <c r="H6870" i="1"/>
  <c r="A6871" i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6871" i="1" l="1"/>
  <c r="A6872" i="1"/>
  <c r="M6871" i="1" a="1"/>
  <c r="M6871" i="1" s="1"/>
  <c r="P6871" i="1" a="1"/>
  <c r="P6871" i="1" s="1"/>
  <c r="L6871" i="1" a="1"/>
  <c r="L6871" i="1" s="1"/>
  <c r="J6871" i="1" a="1"/>
  <c r="J6871" i="1" s="1"/>
  <c r="Q6871" i="1" a="1"/>
  <c r="Q6871" i="1" s="1"/>
  <c r="K6871" i="1" a="1"/>
  <c r="K6871" i="1" s="1"/>
  <c r="R6871" i="1" a="1"/>
  <c r="R6871" i="1" s="1"/>
  <c r="O6871" i="1" a="1"/>
  <c r="O6871" i="1" s="1"/>
  <c r="S6871" i="1" a="1"/>
  <c r="S6871" i="1" s="1"/>
  <c r="B6872" i="1"/>
  <c r="I6871" i="1" a="1"/>
  <c r="I6871" i="1" s="1"/>
  <c r="N6871" i="1" a="1"/>
  <c r="N6871" i="1" s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I6872" i="1" l="1" a="1"/>
  <c r="I6872" i="1" s="1"/>
  <c r="R6872" i="1" a="1"/>
  <c r="R6872" i="1" s="1"/>
  <c r="M6872" i="1" a="1"/>
  <c r="M6872" i="1" s="1"/>
  <c r="S6872" i="1" a="1"/>
  <c r="S6872" i="1" s="1"/>
  <c r="J6872" i="1" a="1"/>
  <c r="J6872" i="1" s="1"/>
  <c r="P6872" i="1" a="1"/>
  <c r="P6872" i="1" s="1"/>
  <c r="K6872" i="1" a="1"/>
  <c r="K6872" i="1" s="1"/>
  <c r="Q6872" i="1" a="1"/>
  <c r="Q6872" i="1" s="1"/>
  <c r="O6872" i="1" a="1"/>
  <c r="O6872" i="1" s="1"/>
  <c r="B6873" i="1"/>
  <c r="L6872" i="1" a="1"/>
  <c r="L6872" i="1" s="1"/>
  <c r="N6872" i="1" a="1"/>
  <c r="N6872" i="1" s="1"/>
  <c r="A6873" i="1"/>
  <c r="H6872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6874" i="1" l="1"/>
  <c r="H6873" i="1"/>
  <c r="J6873" i="1" a="1"/>
  <c r="J6873" i="1" s="1"/>
  <c r="S6873" i="1" a="1"/>
  <c r="S6873" i="1" s="1"/>
  <c r="K6873" i="1" a="1"/>
  <c r="K6873" i="1" s="1"/>
  <c r="P6873" i="1" a="1"/>
  <c r="P6873" i="1" s="1"/>
  <c r="N6873" i="1" a="1"/>
  <c r="N6873" i="1" s="1"/>
  <c r="O6873" i="1" a="1"/>
  <c r="O6873" i="1" s="1"/>
  <c r="B6874" i="1"/>
  <c r="I6873" i="1" a="1"/>
  <c r="I6873" i="1" s="1"/>
  <c r="M6873" i="1" a="1"/>
  <c r="M6873" i="1" s="1"/>
  <c r="Q6873" i="1" a="1"/>
  <c r="Q6873" i="1" s="1"/>
  <c r="R6873" i="1" a="1"/>
  <c r="R6873" i="1" s="1"/>
  <c r="L6873" i="1" a="1"/>
  <c r="L687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B6875" i="1" l="1"/>
  <c r="O6874" i="1" a="1"/>
  <c r="O6874" i="1" s="1"/>
  <c r="M6874" i="1" a="1"/>
  <c r="M6874" i="1" s="1"/>
  <c r="S6874" i="1" a="1"/>
  <c r="S6874" i="1" s="1"/>
  <c r="N6874" i="1" a="1"/>
  <c r="N6874" i="1" s="1"/>
  <c r="I6874" i="1" a="1"/>
  <c r="I6874" i="1" s="1"/>
  <c r="L6874" i="1" a="1"/>
  <c r="L6874" i="1" s="1"/>
  <c r="P6874" i="1" a="1"/>
  <c r="P6874" i="1" s="1"/>
  <c r="Q6874" i="1" a="1"/>
  <c r="Q6874" i="1" s="1"/>
  <c r="R6874" i="1" a="1"/>
  <c r="R6874" i="1" s="1"/>
  <c r="J6874" i="1" a="1"/>
  <c r="J6874" i="1" s="1"/>
  <c r="K6874" i="1" a="1"/>
  <c r="K6874" i="1" s="1"/>
  <c r="H6874" i="1"/>
  <c r="A6875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H6875" i="1" l="1"/>
  <c r="A6876" i="1"/>
  <c r="K6875" i="1" a="1"/>
  <c r="K6875" i="1" s="1"/>
  <c r="P6875" i="1" a="1"/>
  <c r="P6875" i="1" s="1"/>
  <c r="B6876" i="1"/>
  <c r="R6875" i="1" a="1"/>
  <c r="R6875" i="1" s="1"/>
  <c r="M6875" i="1" a="1"/>
  <c r="M6875" i="1" s="1"/>
  <c r="S6875" i="1" a="1"/>
  <c r="S6875" i="1" s="1"/>
  <c r="N6875" i="1" a="1"/>
  <c r="N6875" i="1" s="1"/>
  <c r="L6875" i="1" a="1"/>
  <c r="L6875" i="1" s="1"/>
  <c r="O6875" i="1" a="1"/>
  <c r="O6875" i="1" s="1"/>
  <c r="Q6875" i="1" a="1"/>
  <c r="Q6875" i="1" s="1"/>
  <c r="I6875" i="1" a="1"/>
  <c r="I6875" i="1" s="1"/>
  <c r="J6875" i="1" a="1"/>
  <c r="J6875" i="1" s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H6876" i="1" l="1"/>
  <c r="A6877" i="1"/>
  <c r="L6876" i="1" a="1"/>
  <c r="L6876" i="1" s="1"/>
  <c r="S6876" i="1" a="1"/>
  <c r="S6876" i="1" s="1"/>
  <c r="K6876" i="1" a="1"/>
  <c r="K6876" i="1" s="1"/>
  <c r="Q6876" i="1" a="1"/>
  <c r="Q6876" i="1" s="1"/>
  <c r="R6876" i="1" a="1"/>
  <c r="R6876" i="1" s="1"/>
  <c r="M6876" i="1" a="1"/>
  <c r="M6876" i="1" s="1"/>
  <c r="J6876" i="1" a="1"/>
  <c r="J6876" i="1" s="1"/>
  <c r="N6876" i="1" a="1"/>
  <c r="N6876" i="1" s="1"/>
  <c r="O6876" i="1" a="1"/>
  <c r="O6876" i="1" s="1"/>
  <c r="P6876" i="1" a="1"/>
  <c r="P6876" i="1" s="1"/>
  <c r="B6877" i="1"/>
  <c r="I6876" i="1" a="1"/>
  <c r="I687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Q6877" i="1" l="1" a="1"/>
  <c r="Q6877" i="1" s="1"/>
  <c r="K6877" i="1" a="1"/>
  <c r="K6877" i="1" s="1"/>
  <c r="P6877" i="1" a="1"/>
  <c r="P6877" i="1" s="1"/>
  <c r="J6877" i="1" a="1"/>
  <c r="J6877" i="1" s="1"/>
  <c r="R6877" i="1" a="1"/>
  <c r="R6877" i="1" s="1"/>
  <c r="L6877" i="1" a="1"/>
  <c r="L6877" i="1" s="1"/>
  <c r="I6877" i="1" a="1"/>
  <c r="I6877" i="1" s="1"/>
  <c r="B6878" i="1"/>
  <c r="M6877" i="1" a="1"/>
  <c r="M6877" i="1" s="1"/>
  <c r="N6877" i="1" a="1"/>
  <c r="N6877" i="1" s="1"/>
  <c r="O6877" i="1" a="1"/>
  <c r="O6877" i="1" s="1"/>
  <c r="S6877" i="1" a="1"/>
  <c r="S6877" i="1" s="1"/>
  <c r="H6877" i="1"/>
  <c r="A687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B6879" i="1" l="1"/>
  <c r="I6878" i="1" a="1"/>
  <c r="I6878" i="1" s="1"/>
  <c r="R6878" i="1" a="1"/>
  <c r="R6878" i="1" s="1"/>
  <c r="N6878" i="1" a="1"/>
  <c r="N6878" i="1" s="1"/>
  <c r="S6878" i="1" a="1"/>
  <c r="S6878" i="1" s="1"/>
  <c r="O6878" i="1" a="1"/>
  <c r="O6878" i="1" s="1"/>
  <c r="J6878" i="1" a="1"/>
  <c r="J6878" i="1" s="1"/>
  <c r="P6878" i="1" a="1"/>
  <c r="P6878" i="1" s="1"/>
  <c r="K6878" i="1" a="1"/>
  <c r="K6878" i="1" s="1"/>
  <c r="Q6878" i="1" a="1"/>
  <c r="Q6878" i="1" s="1"/>
  <c r="L6878" i="1" a="1"/>
  <c r="L6878" i="1" s="1"/>
  <c r="M6878" i="1" a="1"/>
  <c r="M6878" i="1" s="1"/>
  <c r="H6878" i="1"/>
  <c r="A6879" i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6880" i="1" l="1"/>
  <c r="H6879" i="1"/>
  <c r="N6879" i="1" a="1"/>
  <c r="N6879" i="1" s="1"/>
  <c r="K6879" i="1" a="1"/>
  <c r="K6879" i="1" s="1"/>
  <c r="B6880" i="1"/>
  <c r="I6879" i="1" a="1"/>
  <c r="I6879" i="1" s="1"/>
  <c r="O6879" i="1" a="1"/>
  <c r="O6879" i="1" s="1"/>
  <c r="J6879" i="1" a="1"/>
  <c r="J6879" i="1" s="1"/>
  <c r="P6879" i="1" a="1"/>
  <c r="P6879" i="1" s="1"/>
  <c r="S6879" i="1" a="1"/>
  <c r="S6879" i="1" s="1"/>
  <c r="L6879" i="1" a="1"/>
  <c r="L6879" i="1" s="1"/>
  <c r="M6879" i="1" a="1"/>
  <c r="M6879" i="1" s="1"/>
  <c r="Q6879" i="1" a="1"/>
  <c r="Q6879" i="1" s="1"/>
  <c r="R6879" i="1" a="1"/>
  <c r="R6879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6880" i="1" l="1" a="1"/>
  <c r="J6880" i="1" s="1"/>
  <c r="O6880" i="1" a="1"/>
  <c r="O6880" i="1" s="1"/>
  <c r="S6880" i="1" a="1"/>
  <c r="S6880" i="1" s="1"/>
  <c r="R6880" i="1" a="1"/>
  <c r="R6880" i="1" s="1"/>
  <c r="M6880" i="1" a="1"/>
  <c r="M6880" i="1" s="1"/>
  <c r="N6880" i="1" a="1"/>
  <c r="N6880" i="1" s="1"/>
  <c r="B6881" i="1"/>
  <c r="I6880" i="1" a="1"/>
  <c r="I6880" i="1" s="1"/>
  <c r="K6880" i="1" a="1"/>
  <c r="K6880" i="1" s="1"/>
  <c r="L6880" i="1" a="1"/>
  <c r="L6880" i="1" s="1"/>
  <c r="P6880" i="1" a="1"/>
  <c r="P6880" i="1" s="1"/>
  <c r="Q6880" i="1" a="1"/>
  <c r="Q6880" i="1" s="1"/>
  <c r="H6880" i="1"/>
  <c r="A6881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K6881" i="1" l="1" a="1"/>
  <c r="K6881" i="1" s="1"/>
  <c r="L6881" i="1" a="1"/>
  <c r="L6881" i="1" s="1"/>
  <c r="R6881" i="1" a="1"/>
  <c r="R6881" i="1" s="1"/>
  <c r="M6881" i="1" a="1"/>
  <c r="M6881" i="1" s="1"/>
  <c r="S6881" i="1" a="1"/>
  <c r="S6881" i="1" s="1"/>
  <c r="N6881" i="1" a="1"/>
  <c r="N6881" i="1" s="1"/>
  <c r="Q6881" i="1" a="1"/>
  <c r="Q6881" i="1" s="1"/>
  <c r="B6882" i="1"/>
  <c r="I6881" i="1" a="1"/>
  <c r="I6881" i="1" s="1"/>
  <c r="J6881" i="1" a="1"/>
  <c r="J6881" i="1" s="1"/>
  <c r="O6881" i="1" a="1"/>
  <c r="O6881" i="1" s="1"/>
  <c r="P6881" i="1" a="1"/>
  <c r="P6881" i="1" s="1"/>
  <c r="A6882" i="1"/>
  <c r="H688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B6883" i="1" l="1"/>
  <c r="P6882" i="1" a="1"/>
  <c r="P6882" i="1" s="1"/>
  <c r="I6882" i="1" a="1"/>
  <c r="I6882" i="1" s="1"/>
  <c r="N6882" i="1" a="1"/>
  <c r="N6882" i="1" s="1"/>
  <c r="S6882" i="1" a="1"/>
  <c r="S6882" i="1" s="1"/>
  <c r="Q6882" i="1" a="1"/>
  <c r="Q6882" i="1" s="1"/>
  <c r="K6882" i="1" a="1"/>
  <c r="K6882" i="1" s="1"/>
  <c r="L6882" i="1" a="1"/>
  <c r="L6882" i="1" s="1"/>
  <c r="R6882" i="1" a="1"/>
  <c r="R6882" i="1" s="1"/>
  <c r="M6882" i="1" a="1"/>
  <c r="M6882" i="1" s="1"/>
  <c r="J6882" i="1" a="1"/>
  <c r="J6882" i="1" s="1"/>
  <c r="O6882" i="1" a="1"/>
  <c r="O6882" i="1" s="1"/>
  <c r="H6882" i="1"/>
  <c r="A688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H6883" i="1" l="1"/>
  <c r="A6884" i="1"/>
  <c r="Q6883" i="1" a="1"/>
  <c r="Q6883" i="1" s="1"/>
  <c r="K6883" i="1" a="1"/>
  <c r="K6883" i="1" s="1"/>
  <c r="O6883" i="1" a="1"/>
  <c r="O6883" i="1" s="1"/>
  <c r="J6883" i="1" a="1"/>
  <c r="J6883" i="1" s="1"/>
  <c r="P6883" i="1" a="1"/>
  <c r="P6883" i="1" s="1"/>
  <c r="L6883" i="1" a="1"/>
  <c r="L6883" i="1" s="1"/>
  <c r="R6883" i="1" a="1"/>
  <c r="R6883" i="1" s="1"/>
  <c r="S6883" i="1" a="1"/>
  <c r="S6883" i="1" s="1"/>
  <c r="I6883" i="1" a="1"/>
  <c r="I6883" i="1" s="1"/>
  <c r="B6884" i="1"/>
  <c r="M6883" i="1" a="1"/>
  <c r="M6883" i="1" s="1"/>
  <c r="N6883" i="1" a="1"/>
  <c r="N6883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6884" i="1" l="1"/>
  <c r="A6885" i="1"/>
  <c r="M6884" i="1" a="1"/>
  <c r="M6884" i="1" s="1"/>
  <c r="I6884" i="1" a="1"/>
  <c r="I6884" i="1" s="1"/>
  <c r="N6884" i="1" a="1"/>
  <c r="N6884" i="1" s="1"/>
  <c r="O6884" i="1" a="1"/>
  <c r="O6884" i="1" s="1"/>
  <c r="B6885" i="1"/>
  <c r="J6884" i="1" a="1"/>
  <c r="J6884" i="1" s="1"/>
  <c r="P6884" i="1" a="1"/>
  <c r="P6884" i="1" s="1"/>
  <c r="K6884" i="1" a="1"/>
  <c r="K6884" i="1" s="1"/>
  <c r="Q6884" i="1" a="1"/>
  <c r="Q6884" i="1" s="1"/>
  <c r="R6884" i="1" a="1"/>
  <c r="R6884" i="1" s="1"/>
  <c r="S6884" i="1" a="1"/>
  <c r="S6884" i="1" s="1"/>
  <c r="L6884" i="1" a="1"/>
  <c r="L688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6886" i="1" l="1"/>
  <c r="H6885" i="1"/>
  <c r="I6885" i="1" a="1"/>
  <c r="I6885" i="1" s="1"/>
  <c r="N6885" i="1" a="1"/>
  <c r="N6885" i="1" s="1"/>
  <c r="M6885" i="1" a="1"/>
  <c r="M6885" i="1" s="1"/>
  <c r="O6885" i="1" a="1"/>
  <c r="O6885" i="1" s="1"/>
  <c r="B6886" i="1"/>
  <c r="J6885" i="1" a="1"/>
  <c r="J6885" i="1" s="1"/>
  <c r="P6885" i="1" a="1"/>
  <c r="P6885" i="1" s="1"/>
  <c r="Q6885" i="1" a="1"/>
  <c r="Q6885" i="1" s="1"/>
  <c r="R6885" i="1" a="1"/>
  <c r="R6885" i="1" s="1"/>
  <c r="S6885" i="1" a="1"/>
  <c r="S6885" i="1" s="1"/>
  <c r="K6885" i="1" a="1"/>
  <c r="K6885" i="1" s="1"/>
  <c r="L6885" i="1" a="1"/>
  <c r="L6885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B6887" i="1" l="1"/>
  <c r="J6886" i="1" a="1"/>
  <c r="J6886" i="1" s="1"/>
  <c r="S6886" i="1" a="1"/>
  <c r="S6886" i="1" s="1"/>
  <c r="I6886" i="1" a="1"/>
  <c r="I6886" i="1" s="1"/>
  <c r="N6886" i="1" a="1"/>
  <c r="N6886" i="1" s="1"/>
  <c r="L6886" i="1" a="1"/>
  <c r="L6886" i="1" s="1"/>
  <c r="R6886" i="1" a="1"/>
  <c r="R6886" i="1" s="1"/>
  <c r="M6886" i="1" a="1"/>
  <c r="M6886" i="1" s="1"/>
  <c r="O6886" i="1" a="1"/>
  <c r="O6886" i="1" s="1"/>
  <c r="P6886" i="1" a="1"/>
  <c r="P6886" i="1" s="1"/>
  <c r="Q6886" i="1" a="1"/>
  <c r="Q6886" i="1" s="1"/>
  <c r="K6886" i="1" a="1"/>
  <c r="K6886" i="1" s="1"/>
  <c r="H6886" i="1"/>
  <c r="A688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6888" i="1" l="1"/>
  <c r="H6887" i="1"/>
  <c r="O6887" i="1" a="1"/>
  <c r="O6887" i="1" s="1"/>
  <c r="L6887" i="1" a="1"/>
  <c r="L6887" i="1" s="1"/>
  <c r="Q6887" i="1" a="1"/>
  <c r="Q6887" i="1" s="1"/>
  <c r="K6887" i="1" a="1"/>
  <c r="K6887" i="1" s="1"/>
  <c r="R6887" i="1" a="1"/>
  <c r="R6887" i="1" s="1"/>
  <c r="M6887" i="1" a="1"/>
  <c r="M6887" i="1" s="1"/>
  <c r="S6887" i="1" a="1"/>
  <c r="S6887" i="1" s="1"/>
  <c r="J6887" i="1" a="1"/>
  <c r="J6887" i="1" s="1"/>
  <c r="N6887" i="1" a="1"/>
  <c r="N6887" i="1" s="1"/>
  <c r="P6887" i="1" a="1"/>
  <c r="P6887" i="1" s="1"/>
  <c r="B6888" i="1"/>
  <c r="I6887" i="1" a="1"/>
  <c r="I688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P6888" i="1" l="1" a="1"/>
  <c r="P6888" i="1" s="1"/>
  <c r="I6888" i="1" a="1"/>
  <c r="I6888" i="1" s="1"/>
  <c r="N6888" i="1" a="1"/>
  <c r="N6888" i="1" s="1"/>
  <c r="S6888" i="1" a="1"/>
  <c r="S6888" i="1" s="1"/>
  <c r="J6888" i="1" a="1"/>
  <c r="J6888" i="1" s="1"/>
  <c r="K6888" i="1" a="1"/>
  <c r="K6888" i="1" s="1"/>
  <c r="Q6888" i="1" a="1"/>
  <c r="Q6888" i="1" s="1"/>
  <c r="L6888" i="1" a="1"/>
  <c r="L6888" i="1" s="1"/>
  <c r="R6888" i="1" a="1"/>
  <c r="R6888" i="1" s="1"/>
  <c r="M6888" i="1" a="1"/>
  <c r="M6888" i="1" s="1"/>
  <c r="O6888" i="1" a="1"/>
  <c r="O6888" i="1" s="1"/>
  <c r="B6889" i="1"/>
  <c r="A6889" i="1"/>
  <c r="H688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6890" i="1" l="1"/>
  <c r="H6889" i="1"/>
  <c r="K6889" i="1" a="1"/>
  <c r="K6889" i="1" s="1"/>
  <c r="O6889" i="1" a="1"/>
  <c r="O6889" i="1" s="1"/>
  <c r="S6889" i="1" a="1"/>
  <c r="S6889" i="1" s="1"/>
  <c r="I6889" i="1" a="1"/>
  <c r="I6889" i="1" s="1"/>
  <c r="N6889" i="1" a="1"/>
  <c r="N6889" i="1" s="1"/>
  <c r="B6890" i="1"/>
  <c r="J6889" i="1" a="1"/>
  <c r="J6889" i="1" s="1"/>
  <c r="P6889" i="1" a="1"/>
  <c r="P6889" i="1" s="1"/>
  <c r="R6889" i="1" a="1"/>
  <c r="R6889" i="1" s="1"/>
  <c r="L6889" i="1" a="1"/>
  <c r="L6889" i="1" s="1"/>
  <c r="M6889" i="1" a="1"/>
  <c r="M6889" i="1" s="1"/>
  <c r="Q6889" i="1" a="1"/>
  <c r="Q6889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J6890" i="1" l="1" a="1"/>
  <c r="J6890" i="1" s="1"/>
  <c r="N6890" i="1" a="1"/>
  <c r="N6890" i="1" s="1"/>
  <c r="R6890" i="1" a="1"/>
  <c r="R6890" i="1" s="1"/>
  <c r="P6890" i="1" a="1"/>
  <c r="P6890" i="1" s="1"/>
  <c r="B6891" i="1"/>
  <c r="K6890" i="1" a="1"/>
  <c r="K6890" i="1" s="1"/>
  <c r="L6890" i="1" a="1"/>
  <c r="L6890" i="1" s="1"/>
  <c r="Q6890" i="1" a="1"/>
  <c r="Q6890" i="1" s="1"/>
  <c r="O6890" i="1" a="1"/>
  <c r="O6890" i="1" s="1"/>
  <c r="I6890" i="1" a="1"/>
  <c r="I6890" i="1" s="1"/>
  <c r="S6890" i="1" a="1"/>
  <c r="S6890" i="1" s="1"/>
  <c r="M6890" i="1" a="1"/>
  <c r="M6890" i="1" s="1"/>
  <c r="H6890" i="1"/>
  <c r="A6891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6891" i="1" l="1"/>
  <c r="A6892" i="1"/>
  <c r="I6891" i="1" a="1"/>
  <c r="I6891" i="1" s="1"/>
  <c r="M6891" i="1" a="1"/>
  <c r="M6891" i="1" s="1"/>
  <c r="Q6891" i="1" a="1"/>
  <c r="Q6891" i="1" s="1"/>
  <c r="L6891" i="1" a="1"/>
  <c r="L6891" i="1" s="1"/>
  <c r="N6891" i="1" a="1"/>
  <c r="N6891" i="1" s="1"/>
  <c r="S6891" i="1" a="1"/>
  <c r="S6891" i="1" s="1"/>
  <c r="J6891" i="1" a="1"/>
  <c r="J6891" i="1" s="1"/>
  <c r="P6891" i="1" a="1"/>
  <c r="P6891" i="1" s="1"/>
  <c r="K6891" i="1" a="1"/>
  <c r="K6891" i="1" s="1"/>
  <c r="R6891" i="1" a="1"/>
  <c r="R6891" i="1" s="1"/>
  <c r="O6891" i="1" a="1"/>
  <c r="O6891" i="1" s="1"/>
  <c r="B6892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L6892" i="1" l="1" a="1"/>
  <c r="L6892" i="1" s="1"/>
  <c r="P6892" i="1" a="1"/>
  <c r="P6892" i="1" s="1"/>
  <c r="M6892" i="1" a="1"/>
  <c r="M6892" i="1" s="1"/>
  <c r="K6892" i="1" a="1"/>
  <c r="K6892" i="1" s="1"/>
  <c r="Q6892" i="1" a="1"/>
  <c r="Q6892" i="1" s="1"/>
  <c r="J6892" i="1" a="1"/>
  <c r="J6892" i="1" s="1"/>
  <c r="R6892" i="1" a="1"/>
  <c r="R6892" i="1" s="1"/>
  <c r="S6892" i="1" a="1"/>
  <c r="S6892" i="1" s="1"/>
  <c r="N6892" i="1" a="1"/>
  <c r="N6892" i="1" s="1"/>
  <c r="O6892" i="1" a="1"/>
  <c r="O6892" i="1" s="1"/>
  <c r="B6893" i="1"/>
  <c r="I6892" i="1" a="1"/>
  <c r="I6892" i="1" s="1"/>
  <c r="H6892" i="1"/>
  <c r="A6893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6893" i="1" l="1"/>
  <c r="A6894" i="1"/>
  <c r="B6894" i="1"/>
  <c r="M6893" i="1" a="1"/>
  <c r="M6893" i="1" s="1"/>
  <c r="I6893" i="1" a="1"/>
  <c r="I6893" i="1" s="1"/>
  <c r="R6893" i="1" a="1"/>
  <c r="R6893" i="1" s="1"/>
  <c r="J6893" i="1" a="1"/>
  <c r="J6893" i="1" s="1"/>
  <c r="P6893" i="1" a="1"/>
  <c r="P6893" i="1" s="1"/>
  <c r="K6893" i="1" a="1"/>
  <c r="K6893" i="1" s="1"/>
  <c r="Q6893" i="1" a="1"/>
  <c r="Q6893" i="1" s="1"/>
  <c r="L6893" i="1" a="1"/>
  <c r="L6893" i="1" s="1"/>
  <c r="S6893" i="1" a="1"/>
  <c r="S6893" i="1" s="1"/>
  <c r="N6893" i="1" a="1"/>
  <c r="N6893" i="1" s="1"/>
  <c r="O6893" i="1" a="1"/>
  <c r="O689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6894" i="1" l="1" a="1"/>
  <c r="I6894" i="1" s="1"/>
  <c r="R6894" i="1" a="1"/>
  <c r="R6894" i="1" s="1"/>
  <c r="N6894" i="1" a="1"/>
  <c r="N6894" i="1" s="1"/>
  <c r="O6894" i="1" a="1"/>
  <c r="O6894" i="1" s="1"/>
  <c r="J6894" i="1" a="1"/>
  <c r="J6894" i="1" s="1"/>
  <c r="P6894" i="1" a="1"/>
  <c r="P6894" i="1" s="1"/>
  <c r="K6894" i="1" a="1"/>
  <c r="K6894" i="1" s="1"/>
  <c r="Q6894" i="1" a="1"/>
  <c r="Q6894" i="1" s="1"/>
  <c r="L6894" i="1" a="1"/>
  <c r="L6894" i="1" s="1"/>
  <c r="S6894" i="1" a="1"/>
  <c r="S6894" i="1" s="1"/>
  <c r="B6895" i="1"/>
  <c r="M6894" i="1" a="1"/>
  <c r="M6894" i="1" s="1"/>
  <c r="H6894" i="1"/>
  <c r="A689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6895" i="1" l="1"/>
  <c r="A6896" i="1"/>
  <c r="N6895" i="1" a="1"/>
  <c r="N6895" i="1" s="1"/>
  <c r="S6895" i="1" a="1"/>
  <c r="S6895" i="1" s="1"/>
  <c r="J6895" i="1" a="1"/>
  <c r="J6895" i="1" s="1"/>
  <c r="O6895" i="1" a="1"/>
  <c r="O6895" i="1" s="1"/>
  <c r="B6896" i="1"/>
  <c r="I6895" i="1" a="1"/>
  <c r="I6895" i="1" s="1"/>
  <c r="P6895" i="1" a="1"/>
  <c r="P6895" i="1" s="1"/>
  <c r="K6895" i="1" a="1"/>
  <c r="K6895" i="1" s="1"/>
  <c r="Q6895" i="1" a="1"/>
  <c r="Q6895" i="1" s="1"/>
  <c r="L6895" i="1" a="1"/>
  <c r="L6895" i="1" s="1"/>
  <c r="M6895" i="1" a="1"/>
  <c r="M6895" i="1" s="1"/>
  <c r="R6895" i="1" a="1"/>
  <c r="R689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6897" i="1" l="1"/>
  <c r="H6896" i="1"/>
  <c r="O6896" i="1" a="1"/>
  <c r="O6896" i="1" s="1"/>
  <c r="K6896" i="1" a="1"/>
  <c r="K6896" i="1" s="1"/>
  <c r="M6896" i="1" a="1"/>
  <c r="M6896" i="1" s="1"/>
  <c r="S6896" i="1" a="1"/>
  <c r="S6896" i="1" s="1"/>
  <c r="N6896" i="1" a="1"/>
  <c r="N6896" i="1" s="1"/>
  <c r="B6897" i="1"/>
  <c r="I6896" i="1" a="1"/>
  <c r="I6896" i="1" s="1"/>
  <c r="P6896" i="1" a="1"/>
  <c r="P6896" i="1" s="1"/>
  <c r="J6896" i="1" a="1"/>
  <c r="J6896" i="1" s="1"/>
  <c r="Q6896" i="1" a="1"/>
  <c r="Q6896" i="1" s="1"/>
  <c r="R6896" i="1" a="1"/>
  <c r="R6896" i="1" s="1"/>
  <c r="L6896" i="1" a="1"/>
  <c r="L6896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B6898" i="1" l="1"/>
  <c r="K6897" i="1" a="1"/>
  <c r="K6897" i="1" s="1"/>
  <c r="P6897" i="1" a="1"/>
  <c r="P6897" i="1" s="1"/>
  <c r="M6897" i="1" a="1"/>
  <c r="M6897" i="1" s="1"/>
  <c r="S6897" i="1" a="1"/>
  <c r="S6897" i="1" s="1"/>
  <c r="N6897" i="1" a="1"/>
  <c r="N6897" i="1" s="1"/>
  <c r="I6897" i="1" a="1"/>
  <c r="I6897" i="1" s="1"/>
  <c r="O6897" i="1" a="1"/>
  <c r="O6897" i="1" s="1"/>
  <c r="J6897" i="1" a="1"/>
  <c r="J6897" i="1" s="1"/>
  <c r="Q6897" i="1" a="1"/>
  <c r="Q6897" i="1" s="1"/>
  <c r="L6897" i="1" a="1"/>
  <c r="L6897" i="1" s="1"/>
  <c r="R6897" i="1" a="1"/>
  <c r="R6897" i="1" s="1"/>
  <c r="H6897" i="1"/>
  <c r="A6898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6898" i="1" l="1"/>
  <c r="A6899" i="1"/>
  <c r="L6898" i="1" a="1"/>
  <c r="L6898" i="1" s="1"/>
  <c r="Q6898" i="1" a="1"/>
  <c r="Q6898" i="1" s="1"/>
  <c r="K6898" i="1" a="1"/>
  <c r="K6898" i="1" s="1"/>
  <c r="R6898" i="1" a="1"/>
  <c r="R6898" i="1" s="1"/>
  <c r="M6898" i="1" a="1"/>
  <c r="M6898" i="1" s="1"/>
  <c r="S6898" i="1" a="1"/>
  <c r="S6898" i="1" s="1"/>
  <c r="N6898" i="1" a="1"/>
  <c r="N6898" i="1" s="1"/>
  <c r="I6898" i="1" a="1"/>
  <c r="I6898" i="1" s="1"/>
  <c r="B6899" i="1"/>
  <c r="O6898" i="1" a="1"/>
  <c r="O6898" i="1" s="1"/>
  <c r="P6898" i="1" a="1"/>
  <c r="P6898" i="1" s="1"/>
  <c r="J6898" i="1" a="1"/>
  <c r="J6898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Q6899" i="1" l="1" a="1"/>
  <c r="Q6899" i="1" s="1"/>
  <c r="M6899" i="1" a="1"/>
  <c r="M6899" i="1" s="1"/>
  <c r="K6899" i="1" a="1"/>
  <c r="K6899" i="1" s="1"/>
  <c r="R6899" i="1" a="1"/>
  <c r="R6899" i="1" s="1"/>
  <c r="L6899" i="1" a="1"/>
  <c r="L6899" i="1" s="1"/>
  <c r="S6899" i="1" a="1"/>
  <c r="S6899" i="1" s="1"/>
  <c r="N6899" i="1" a="1"/>
  <c r="N6899" i="1" s="1"/>
  <c r="I6899" i="1" a="1"/>
  <c r="I6899" i="1" s="1"/>
  <c r="O6899" i="1" a="1"/>
  <c r="O6899" i="1" s="1"/>
  <c r="B6900" i="1"/>
  <c r="J6899" i="1" a="1"/>
  <c r="J6899" i="1" s="1"/>
  <c r="P6899" i="1" a="1"/>
  <c r="P6899" i="1" s="1"/>
  <c r="H6899" i="1"/>
  <c r="A6900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6900" i="1" l="1"/>
  <c r="A6901" i="1"/>
  <c r="M6900" i="1" a="1"/>
  <c r="M6900" i="1" s="1"/>
  <c r="R6900" i="1" a="1"/>
  <c r="R6900" i="1" s="1"/>
  <c r="I6900" i="1" a="1"/>
  <c r="I6900" i="1" s="1"/>
  <c r="N6900" i="1" a="1"/>
  <c r="N6900" i="1" s="1"/>
  <c r="P6900" i="1" a="1"/>
  <c r="P6900" i="1" s="1"/>
  <c r="K6900" i="1" a="1"/>
  <c r="K6900" i="1" s="1"/>
  <c r="Q6900" i="1" a="1"/>
  <c r="Q6900" i="1" s="1"/>
  <c r="L6900" i="1" a="1"/>
  <c r="L6900" i="1" s="1"/>
  <c r="S6900" i="1" a="1"/>
  <c r="S6900" i="1" s="1"/>
  <c r="J6900" i="1" a="1"/>
  <c r="J6900" i="1" s="1"/>
  <c r="O6900" i="1" a="1"/>
  <c r="O6900" i="1" s="1"/>
  <c r="B6901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6902" i="1" l="1"/>
  <c r="N6901" i="1" a="1"/>
  <c r="N6901" i="1" s="1"/>
  <c r="J6901" i="1" a="1"/>
  <c r="J6901" i="1" s="1"/>
  <c r="S6901" i="1" a="1"/>
  <c r="S6901" i="1" s="1"/>
  <c r="I6901" i="1" a="1"/>
  <c r="I6901" i="1" s="1"/>
  <c r="P6901" i="1" a="1"/>
  <c r="P6901" i="1" s="1"/>
  <c r="K6901" i="1" a="1"/>
  <c r="K6901" i="1" s="1"/>
  <c r="Q6901" i="1" a="1"/>
  <c r="Q6901" i="1" s="1"/>
  <c r="L6901" i="1" a="1"/>
  <c r="L6901" i="1" s="1"/>
  <c r="R6901" i="1" a="1"/>
  <c r="R6901" i="1" s="1"/>
  <c r="M6901" i="1" a="1"/>
  <c r="M6901" i="1" s="1"/>
  <c r="O6901" i="1" a="1"/>
  <c r="O6901" i="1" s="1"/>
  <c r="H6901" i="1"/>
  <c r="A6902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6903" i="1" l="1"/>
  <c r="H6902" i="1"/>
  <c r="J6902" i="1" a="1"/>
  <c r="J6902" i="1" s="1"/>
  <c r="S6902" i="1" a="1"/>
  <c r="S6902" i="1" s="1"/>
  <c r="O6902" i="1" a="1"/>
  <c r="O6902" i="1" s="1"/>
  <c r="N6902" i="1" a="1"/>
  <c r="N6902" i="1" s="1"/>
  <c r="I6902" i="1" a="1"/>
  <c r="I6902" i="1" s="1"/>
  <c r="P6902" i="1" a="1"/>
  <c r="P6902" i="1" s="1"/>
  <c r="K6902" i="1" a="1"/>
  <c r="K6902" i="1" s="1"/>
  <c r="Q6902" i="1" a="1"/>
  <c r="Q6902" i="1" s="1"/>
  <c r="L6902" i="1" a="1"/>
  <c r="L6902" i="1" s="1"/>
  <c r="R6902" i="1" a="1"/>
  <c r="R6902" i="1" s="1"/>
  <c r="M6902" i="1" a="1"/>
  <c r="M6902" i="1" s="1"/>
  <c r="B690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K6903" i="1" l="1" a="1"/>
  <c r="K6903" i="1" s="1"/>
  <c r="P6903" i="1" a="1"/>
  <c r="P6903" i="1" s="1"/>
  <c r="B6904" i="1"/>
  <c r="N6903" i="1" a="1"/>
  <c r="N6903" i="1" s="1"/>
  <c r="I6903" i="1" a="1"/>
  <c r="I6903" i="1" s="1"/>
  <c r="O6903" i="1" a="1"/>
  <c r="O6903" i="1" s="1"/>
  <c r="J6903" i="1" a="1"/>
  <c r="J6903" i="1" s="1"/>
  <c r="Q6903" i="1" a="1"/>
  <c r="Q6903" i="1" s="1"/>
  <c r="L6903" i="1" a="1"/>
  <c r="L6903" i="1" s="1"/>
  <c r="S6903" i="1" a="1"/>
  <c r="S6903" i="1" s="1"/>
  <c r="M6903" i="1" a="1"/>
  <c r="M6903" i="1" s="1"/>
  <c r="R6903" i="1" a="1"/>
  <c r="R6903" i="1" s="1"/>
  <c r="A6904" i="1"/>
  <c r="H690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P6904" i="1" l="1" a="1"/>
  <c r="P6904" i="1" s="1"/>
  <c r="B6905" i="1"/>
  <c r="L6904" i="1" a="1"/>
  <c r="L6904" i="1" s="1"/>
  <c r="M6904" i="1" a="1"/>
  <c r="M6904" i="1" s="1"/>
  <c r="S6904" i="1" a="1"/>
  <c r="S6904" i="1" s="1"/>
  <c r="N6904" i="1" a="1"/>
  <c r="N6904" i="1" s="1"/>
  <c r="I6904" i="1" a="1"/>
  <c r="I6904" i="1" s="1"/>
  <c r="O6904" i="1" a="1"/>
  <c r="O6904" i="1" s="1"/>
  <c r="J6904" i="1" a="1"/>
  <c r="J6904" i="1" s="1"/>
  <c r="Q6904" i="1" a="1"/>
  <c r="Q6904" i="1" s="1"/>
  <c r="K6904" i="1" a="1"/>
  <c r="K6904" i="1" s="1"/>
  <c r="R6904" i="1" a="1"/>
  <c r="R6904" i="1" s="1"/>
  <c r="H6904" i="1"/>
  <c r="A6905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H6905" i="1" l="1"/>
  <c r="A6906" i="1"/>
  <c r="B6906" i="1"/>
  <c r="L6905" i="1" a="1"/>
  <c r="L6905" i="1" s="1"/>
  <c r="Q6905" i="1" a="1"/>
  <c r="Q6905" i="1" s="1"/>
  <c r="M6905" i="1" a="1"/>
  <c r="M6905" i="1" s="1"/>
  <c r="S6905" i="1" a="1"/>
  <c r="S6905" i="1" s="1"/>
  <c r="N6905" i="1" a="1"/>
  <c r="N6905" i="1" s="1"/>
  <c r="I6905" i="1" a="1"/>
  <c r="I6905" i="1" s="1"/>
  <c r="O6905" i="1" a="1"/>
  <c r="O6905" i="1" s="1"/>
  <c r="J6905" i="1" a="1"/>
  <c r="J6905" i="1" s="1"/>
  <c r="R6905" i="1" a="1"/>
  <c r="R6905" i="1" s="1"/>
  <c r="K6905" i="1" a="1"/>
  <c r="K6905" i="1" s="1"/>
  <c r="P6905" i="1" a="1"/>
  <c r="P6905" i="1" s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6906" i="1" l="1"/>
  <c r="A6907" i="1"/>
  <c r="M6906" i="1" a="1"/>
  <c r="M6906" i="1" s="1"/>
  <c r="I6906" i="1" a="1"/>
  <c r="I6906" i="1" s="1"/>
  <c r="R6906" i="1" a="1"/>
  <c r="R6906" i="1" s="1"/>
  <c r="K6906" i="1" a="1"/>
  <c r="K6906" i="1" s="1"/>
  <c r="Q6906" i="1" a="1"/>
  <c r="Q6906" i="1" s="1"/>
  <c r="L6906" i="1" a="1"/>
  <c r="L6906" i="1" s="1"/>
  <c r="S6906" i="1" a="1"/>
  <c r="S6906" i="1" s="1"/>
  <c r="N6906" i="1" a="1"/>
  <c r="N6906" i="1" s="1"/>
  <c r="B6907" i="1"/>
  <c r="O6906" i="1" a="1"/>
  <c r="O6906" i="1" s="1"/>
  <c r="J6906" i="1" a="1"/>
  <c r="J6906" i="1" s="1"/>
  <c r="P6906" i="1" a="1"/>
  <c r="P690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6907" i="1" l="1" a="1"/>
  <c r="I6907" i="1" s="1"/>
  <c r="R6907" i="1" a="1"/>
  <c r="R6907" i="1" s="1"/>
  <c r="N6907" i="1" a="1"/>
  <c r="N6907" i="1" s="1"/>
  <c r="S6907" i="1" a="1"/>
  <c r="S6907" i="1" s="1"/>
  <c r="K6907" i="1" a="1"/>
  <c r="K6907" i="1" s="1"/>
  <c r="Q6907" i="1" a="1"/>
  <c r="Q6907" i="1" s="1"/>
  <c r="L6907" i="1" a="1"/>
  <c r="L6907" i="1" s="1"/>
  <c r="M6907" i="1" a="1"/>
  <c r="M6907" i="1" s="1"/>
  <c r="O6907" i="1" a="1"/>
  <c r="O6907" i="1" s="1"/>
  <c r="B6908" i="1"/>
  <c r="P6907" i="1" a="1"/>
  <c r="P6907" i="1" s="1"/>
  <c r="J6907" i="1" a="1"/>
  <c r="J6907" i="1" s="1"/>
  <c r="A6908" i="1"/>
  <c r="H690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6909" i="1" l="1"/>
  <c r="H6908" i="1"/>
  <c r="J6908" i="1" a="1"/>
  <c r="J6908" i="1" s="1"/>
  <c r="S6908" i="1" a="1"/>
  <c r="S6908" i="1" s="1"/>
  <c r="O6908" i="1" a="1"/>
  <c r="O6908" i="1" s="1"/>
  <c r="I6908" i="1" a="1"/>
  <c r="I6908" i="1" s="1"/>
  <c r="P6908" i="1" a="1"/>
  <c r="P6908" i="1" s="1"/>
  <c r="K6908" i="1" a="1"/>
  <c r="K6908" i="1" s="1"/>
  <c r="Q6908" i="1" a="1"/>
  <c r="Q6908" i="1" s="1"/>
  <c r="L6908" i="1" a="1"/>
  <c r="L6908" i="1" s="1"/>
  <c r="R6908" i="1" a="1"/>
  <c r="R6908" i="1" s="1"/>
  <c r="M6908" i="1" a="1"/>
  <c r="M6908" i="1" s="1"/>
  <c r="N6908" i="1" a="1"/>
  <c r="N6908" i="1" s="1"/>
  <c r="B6909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B6910" i="1" l="1"/>
  <c r="O6909" i="1" a="1"/>
  <c r="O6909" i="1" s="1"/>
  <c r="K6909" i="1" a="1"/>
  <c r="K6909" i="1" s="1"/>
  <c r="I6909" i="1" a="1"/>
  <c r="I6909" i="1" s="1"/>
  <c r="P6909" i="1" a="1"/>
  <c r="P6909" i="1" s="1"/>
  <c r="J6909" i="1" a="1"/>
  <c r="J6909" i="1" s="1"/>
  <c r="Q6909" i="1" a="1"/>
  <c r="Q6909" i="1" s="1"/>
  <c r="L6909" i="1" a="1"/>
  <c r="L6909" i="1" s="1"/>
  <c r="R6909" i="1" a="1"/>
  <c r="R6909" i="1" s="1"/>
  <c r="M6909" i="1" a="1"/>
  <c r="M6909" i="1" s="1"/>
  <c r="N6909" i="1" a="1"/>
  <c r="N6909" i="1" s="1"/>
  <c r="S6909" i="1" a="1"/>
  <c r="S6909" i="1" s="1"/>
  <c r="H6909" i="1"/>
  <c r="A6910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H6910" i="1" l="1"/>
  <c r="A6911" i="1"/>
  <c r="K6910" i="1" a="1"/>
  <c r="K6910" i="1" s="1"/>
  <c r="P6910" i="1" a="1"/>
  <c r="P6910" i="1" s="1"/>
  <c r="B6911" i="1"/>
  <c r="L6910" i="1" a="1"/>
  <c r="L6910" i="1" s="1"/>
  <c r="N6910" i="1" a="1"/>
  <c r="N6910" i="1" s="1"/>
  <c r="I6910" i="1" a="1"/>
  <c r="I6910" i="1" s="1"/>
  <c r="O6910" i="1" a="1"/>
  <c r="O6910" i="1" s="1"/>
  <c r="J6910" i="1" a="1"/>
  <c r="J6910" i="1" s="1"/>
  <c r="Q6910" i="1" a="1"/>
  <c r="Q6910" i="1" s="1"/>
  <c r="S6910" i="1" a="1"/>
  <c r="S6910" i="1" s="1"/>
  <c r="M6910" i="1" a="1"/>
  <c r="M6910" i="1" s="1"/>
  <c r="R6910" i="1" a="1"/>
  <c r="R6910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L6911" i="1" l="1" a="1"/>
  <c r="L6911" i="1" s="1"/>
  <c r="Q6911" i="1" a="1"/>
  <c r="Q6911" i="1" s="1"/>
  <c r="N6911" i="1" a="1"/>
  <c r="N6911" i="1" s="1"/>
  <c r="I6911" i="1" a="1"/>
  <c r="I6911" i="1" s="1"/>
  <c r="O6911" i="1" a="1"/>
  <c r="O6911" i="1" s="1"/>
  <c r="B6912" i="1"/>
  <c r="J6911" i="1" a="1"/>
  <c r="J6911" i="1" s="1"/>
  <c r="P6911" i="1" a="1"/>
  <c r="P6911" i="1" s="1"/>
  <c r="K6911" i="1" a="1"/>
  <c r="K6911" i="1" s="1"/>
  <c r="M6911" i="1" a="1"/>
  <c r="M6911" i="1" s="1"/>
  <c r="R6911" i="1" a="1"/>
  <c r="R6911" i="1" s="1"/>
  <c r="S6911" i="1" a="1"/>
  <c r="S6911" i="1" s="1"/>
  <c r="H6911" i="1"/>
  <c r="A691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H6912" i="1" l="1"/>
  <c r="A6913" i="1"/>
  <c r="Q6912" i="1" a="1"/>
  <c r="Q6912" i="1" s="1"/>
  <c r="M6912" i="1" a="1"/>
  <c r="M6912" i="1" s="1"/>
  <c r="R6912" i="1" a="1"/>
  <c r="R6912" i="1" s="1"/>
  <c r="L6912" i="1" a="1"/>
  <c r="L6912" i="1" s="1"/>
  <c r="S6912" i="1" a="1"/>
  <c r="S6912" i="1" s="1"/>
  <c r="N6912" i="1" a="1"/>
  <c r="N6912" i="1" s="1"/>
  <c r="I6912" i="1" a="1"/>
  <c r="I6912" i="1" s="1"/>
  <c r="O6912" i="1" a="1"/>
  <c r="O6912" i="1" s="1"/>
  <c r="B6913" i="1"/>
  <c r="J6912" i="1" a="1"/>
  <c r="J6912" i="1" s="1"/>
  <c r="K6912" i="1" a="1"/>
  <c r="K6912" i="1" s="1"/>
  <c r="P6912" i="1" a="1"/>
  <c r="P691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B6914" i="1" l="1"/>
  <c r="I6913" i="1" a="1"/>
  <c r="I6913" i="1" s="1"/>
  <c r="R6913" i="1" a="1"/>
  <c r="R6913" i="1" s="1"/>
  <c r="N6913" i="1" a="1"/>
  <c r="N6913" i="1" s="1"/>
  <c r="L6913" i="1" a="1"/>
  <c r="L6913" i="1" s="1"/>
  <c r="S6913" i="1" a="1"/>
  <c r="S6913" i="1" s="1"/>
  <c r="M6913" i="1" a="1"/>
  <c r="M6913" i="1" s="1"/>
  <c r="O6913" i="1" a="1"/>
  <c r="O6913" i="1" s="1"/>
  <c r="P6913" i="1" a="1"/>
  <c r="P6913" i="1" s="1"/>
  <c r="Q6913" i="1" a="1"/>
  <c r="Q6913" i="1" s="1"/>
  <c r="J6913" i="1" a="1"/>
  <c r="J6913" i="1" s="1"/>
  <c r="K6913" i="1" a="1"/>
  <c r="K6913" i="1" s="1"/>
  <c r="H6913" i="1"/>
  <c r="A6914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6915" i="1" l="1"/>
  <c r="H6914" i="1"/>
  <c r="N6914" i="1" a="1"/>
  <c r="N6914" i="1" s="1"/>
  <c r="J6914" i="1" a="1"/>
  <c r="J6914" i="1" s="1"/>
  <c r="S6914" i="1" a="1"/>
  <c r="S6914" i="1" s="1"/>
  <c r="K6914" i="1" a="1"/>
  <c r="K6914" i="1" s="1"/>
  <c r="Q6914" i="1" a="1"/>
  <c r="Q6914" i="1" s="1"/>
  <c r="L6914" i="1" a="1"/>
  <c r="L6914" i="1" s="1"/>
  <c r="R6914" i="1" a="1"/>
  <c r="R6914" i="1" s="1"/>
  <c r="M6914" i="1" a="1"/>
  <c r="M6914" i="1" s="1"/>
  <c r="B6915" i="1"/>
  <c r="I6914" i="1" a="1"/>
  <c r="I6914" i="1" s="1"/>
  <c r="O6914" i="1" a="1"/>
  <c r="O6914" i="1" s="1"/>
  <c r="P6914" i="1" a="1"/>
  <c r="P6914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J6915" i="1" l="1" a="1"/>
  <c r="J6915" i="1" s="1"/>
  <c r="O6915" i="1" a="1"/>
  <c r="O6915" i="1" s="1"/>
  <c r="K6915" i="1" a="1"/>
  <c r="K6915" i="1" s="1"/>
  <c r="Q6915" i="1" a="1"/>
  <c r="Q6915" i="1" s="1"/>
  <c r="L6915" i="1" a="1"/>
  <c r="L6915" i="1" s="1"/>
  <c r="R6915" i="1" a="1"/>
  <c r="R6915" i="1" s="1"/>
  <c r="M6915" i="1" a="1"/>
  <c r="M6915" i="1" s="1"/>
  <c r="S6915" i="1" a="1"/>
  <c r="S6915" i="1" s="1"/>
  <c r="I6915" i="1" a="1"/>
  <c r="I6915" i="1" s="1"/>
  <c r="N6915" i="1" a="1"/>
  <c r="N6915" i="1" s="1"/>
  <c r="P6915" i="1" a="1"/>
  <c r="P6915" i="1" s="1"/>
  <c r="B6916" i="1"/>
  <c r="A6916" i="1"/>
  <c r="H691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6917" i="1" l="1"/>
  <c r="H6916" i="1"/>
  <c r="K6916" i="1" a="1"/>
  <c r="K6916" i="1" s="1"/>
  <c r="P6916" i="1" a="1"/>
  <c r="P6916" i="1" s="1"/>
  <c r="B6917" i="1"/>
  <c r="I6916" i="1" a="1"/>
  <c r="I6916" i="1" s="1"/>
  <c r="O6916" i="1" a="1"/>
  <c r="O6916" i="1" s="1"/>
  <c r="J6916" i="1" a="1"/>
  <c r="J6916" i="1" s="1"/>
  <c r="Q6916" i="1" a="1"/>
  <c r="Q6916" i="1" s="1"/>
  <c r="L6916" i="1" a="1"/>
  <c r="L6916" i="1" s="1"/>
  <c r="R6916" i="1" a="1"/>
  <c r="R6916" i="1" s="1"/>
  <c r="M6916" i="1" a="1"/>
  <c r="M6916" i="1" s="1"/>
  <c r="N6916" i="1" a="1"/>
  <c r="N6916" i="1" s="1"/>
  <c r="S6916" i="1" a="1"/>
  <c r="S691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B6918" i="1" l="1"/>
  <c r="P6917" i="1" a="1"/>
  <c r="P6917" i="1" s="1"/>
  <c r="L6917" i="1" a="1"/>
  <c r="L6917" i="1" s="1"/>
  <c r="Q6917" i="1" a="1"/>
  <c r="Q6917" i="1" s="1"/>
  <c r="I6917" i="1" a="1"/>
  <c r="I6917" i="1" s="1"/>
  <c r="O6917" i="1" a="1"/>
  <c r="O6917" i="1" s="1"/>
  <c r="J6917" i="1" a="1"/>
  <c r="J6917" i="1" s="1"/>
  <c r="K6917" i="1" a="1"/>
  <c r="K6917" i="1" s="1"/>
  <c r="M6917" i="1" a="1"/>
  <c r="M6917" i="1" s="1"/>
  <c r="N6917" i="1" a="1"/>
  <c r="N6917" i="1" s="1"/>
  <c r="R6917" i="1" a="1"/>
  <c r="R6917" i="1" s="1"/>
  <c r="S6917" i="1" a="1"/>
  <c r="S6917" i="1" s="1"/>
  <c r="H6917" i="1"/>
  <c r="A691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H6918" i="1" l="1"/>
  <c r="A6919" i="1"/>
  <c r="Q6918" i="1" a="1"/>
  <c r="Q6918" i="1" s="1"/>
  <c r="I6918" i="1" a="1"/>
  <c r="I6918" i="1" s="1"/>
  <c r="N6918" i="1" a="1"/>
  <c r="N6918" i="1" s="1"/>
  <c r="S6918" i="1" a="1"/>
  <c r="S6918" i="1" s="1"/>
  <c r="J6918" i="1" a="1"/>
  <c r="J6918" i="1" s="1"/>
  <c r="O6918" i="1" a="1"/>
  <c r="O6918" i="1" s="1"/>
  <c r="B6919" i="1"/>
  <c r="K6918" i="1" a="1"/>
  <c r="K6918" i="1" s="1"/>
  <c r="L6918" i="1" a="1"/>
  <c r="L6918" i="1" s="1"/>
  <c r="M6918" i="1" a="1"/>
  <c r="M6918" i="1" s="1"/>
  <c r="P6918" i="1" a="1"/>
  <c r="P6918" i="1" s="1"/>
  <c r="R6918" i="1" a="1"/>
  <c r="R691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A6920" i="1" l="1"/>
  <c r="H6919" i="1"/>
  <c r="J6919" i="1" a="1"/>
  <c r="J6919" i="1" s="1"/>
  <c r="O6919" i="1" a="1"/>
  <c r="O6919" i="1" s="1"/>
  <c r="K6919" i="1" a="1"/>
  <c r="K6919" i="1" s="1"/>
  <c r="P6919" i="1" a="1"/>
  <c r="P6919" i="1" s="1"/>
  <c r="B6920" i="1"/>
  <c r="L6919" i="1" a="1"/>
  <c r="L6919" i="1" s="1"/>
  <c r="I6919" i="1" a="1"/>
  <c r="I6919" i="1" s="1"/>
  <c r="R6919" i="1" a="1"/>
  <c r="R6919" i="1" s="1"/>
  <c r="S6919" i="1" a="1"/>
  <c r="S6919" i="1" s="1"/>
  <c r="M6919" i="1" a="1"/>
  <c r="M6919" i="1" s="1"/>
  <c r="N6919" i="1" a="1"/>
  <c r="N6919" i="1" s="1"/>
  <c r="Q6919" i="1" a="1"/>
  <c r="Q6919" i="1" s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K6920" i="1" l="1" a="1"/>
  <c r="K6920" i="1" s="1"/>
  <c r="P6920" i="1" a="1"/>
  <c r="P6920" i="1" s="1"/>
  <c r="B6921" i="1"/>
  <c r="L6920" i="1" a="1"/>
  <c r="L6920" i="1" s="1"/>
  <c r="Q6920" i="1" a="1"/>
  <c r="Q6920" i="1" s="1"/>
  <c r="N6920" i="1" a="1"/>
  <c r="N6920" i="1" s="1"/>
  <c r="O6920" i="1" a="1"/>
  <c r="O6920" i="1" s="1"/>
  <c r="R6920" i="1" a="1"/>
  <c r="R6920" i="1" s="1"/>
  <c r="I6920" i="1" a="1"/>
  <c r="I6920" i="1" s="1"/>
  <c r="J6920" i="1" a="1"/>
  <c r="J6920" i="1" s="1"/>
  <c r="S6920" i="1" a="1"/>
  <c r="S6920" i="1" s="1"/>
  <c r="M6920" i="1" a="1"/>
  <c r="M6920" i="1" s="1"/>
  <c r="A6921" i="1"/>
  <c r="H6920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6921" i="1" l="1"/>
  <c r="A6922" i="1"/>
  <c r="B6922" i="1"/>
  <c r="P6921" i="1" a="1"/>
  <c r="P6921" i="1" s="1"/>
  <c r="L6921" i="1" a="1"/>
  <c r="L6921" i="1" s="1"/>
  <c r="Q6921" i="1" a="1"/>
  <c r="Q6921" i="1" s="1"/>
  <c r="M6921" i="1" a="1"/>
  <c r="M6921" i="1" s="1"/>
  <c r="I6921" i="1" a="1"/>
  <c r="I6921" i="1" s="1"/>
  <c r="R6921" i="1" a="1"/>
  <c r="R6921" i="1" s="1"/>
  <c r="J6921" i="1" a="1"/>
  <c r="J6921" i="1" s="1"/>
  <c r="S6921" i="1" a="1"/>
  <c r="S6921" i="1" s="1"/>
  <c r="K6921" i="1" a="1"/>
  <c r="K6921" i="1" s="1"/>
  <c r="N6921" i="1" a="1"/>
  <c r="N6921" i="1" s="1"/>
  <c r="O6921" i="1" a="1"/>
  <c r="O6921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Q6922" i="1" l="1" a="1"/>
  <c r="Q6922" i="1" s="1"/>
  <c r="M6922" i="1" a="1"/>
  <c r="M6922" i="1" s="1"/>
  <c r="I6922" i="1" a="1"/>
  <c r="I6922" i="1" s="1"/>
  <c r="B6923" i="1"/>
  <c r="O6922" i="1" a="1"/>
  <c r="O6922" i="1" s="1"/>
  <c r="P6922" i="1" a="1"/>
  <c r="P6922" i="1" s="1"/>
  <c r="J6922" i="1" a="1"/>
  <c r="J6922" i="1" s="1"/>
  <c r="R6922" i="1" a="1"/>
  <c r="R6922" i="1" s="1"/>
  <c r="K6922" i="1" a="1"/>
  <c r="K6922" i="1" s="1"/>
  <c r="L6922" i="1" a="1"/>
  <c r="L6922" i="1" s="1"/>
  <c r="S6922" i="1" a="1"/>
  <c r="S6922" i="1" s="1"/>
  <c r="N6922" i="1" a="1"/>
  <c r="N6922" i="1" s="1"/>
  <c r="H6922" i="1"/>
  <c r="A6923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H6923" i="1" l="1"/>
  <c r="A6924" i="1"/>
  <c r="M6923" i="1" a="1"/>
  <c r="M6923" i="1" s="1"/>
  <c r="I6923" i="1" a="1"/>
  <c r="I6923" i="1" s="1"/>
  <c r="R6923" i="1" a="1"/>
  <c r="R6923" i="1" s="1"/>
  <c r="N6923" i="1" a="1"/>
  <c r="N6923" i="1" s="1"/>
  <c r="O6923" i="1" a="1"/>
  <c r="O6923" i="1" s="1"/>
  <c r="B6924" i="1"/>
  <c r="J6923" i="1" a="1"/>
  <c r="J6923" i="1" s="1"/>
  <c r="P6923" i="1" a="1"/>
  <c r="P6923" i="1" s="1"/>
  <c r="K6923" i="1" a="1"/>
  <c r="K6923" i="1" s="1"/>
  <c r="Q6923" i="1" a="1"/>
  <c r="Q6923" i="1" s="1"/>
  <c r="L6923" i="1" a="1"/>
  <c r="L6923" i="1" s="1"/>
  <c r="S6923" i="1" a="1"/>
  <c r="S6923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6925" i="1" l="1"/>
  <c r="H6924" i="1"/>
  <c r="I6924" i="1" a="1"/>
  <c r="I6924" i="1" s="1"/>
  <c r="N6924" i="1" a="1"/>
  <c r="N6924" i="1" s="1"/>
  <c r="J6924" i="1" a="1"/>
  <c r="J6924" i="1" s="1"/>
  <c r="S6924" i="1" a="1"/>
  <c r="S6924" i="1" s="1"/>
  <c r="M6924" i="1" a="1"/>
  <c r="M6924" i="1" s="1"/>
  <c r="O6924" i="1" a="1"/>
  <c r="O6924" i="1" s="1"/>
  <c r="B6925" i="1"/>
  <c r="P6924" i="1" a="1"/>
  <c r="P6924" i="1" s="1"/>
  <c r="K6924" i="1" a="1"/>
  <c r="K6924" i="1" s="1"/>
  <c r="Q6924" i="1" a="1"/>
  <c r="Q6924" i="1" s="1"/>
  <c r="L6924" i="1" a="1"/>
  <c r="L6924" i="1" s="1"/>
  <c r="R6924" i="1" a="1"/>
  <c r="R692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B6926" i="1" l="1"/>
  <c r="J6925" i="1" a="1"/>
  <c r="J6925" i="1" s="1"/>
  <c r="S6925" i="1" a="1"/>
  <c r="S6925" i="1" s="1"/>
  <c r="O6925" i="1" a="1"/>
  <c r="O6925" i="1" s="1"/>
  <c r="L6925" i="1" a="1"/>
  <c r="L6925" i="1" s="1"/>
  <c r="R6925" i="1" a="1"/>
  <c r="R6925" i="1" s="1"/>
  <c r="M6925" i="1" a="1"/>
  <c r="M6925" i="1" s="1"/>
  <c r="N6925" i="1" a="1"/>
  <c r="N6925" i="1" s="1"/>
  <c r="I6925" i="1" a="1"/>
  <c r="I6925" i="1" s="1"/>
  <c r="P6925" i="1" a="1"/>
  <c r="P6925" i="1" s="1"/>
  <c r="K6925" i="1" a="1"/>
  <c r="K6925" i="1" s="1"/>
  <c r="Q6925" i="1" a="1"/>
  <c r="Q6925" i="1" s="1"/>
  <c r="H6925" i="1"/>
  <c r="A692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6927" i="1" l="1"/>
  <c r="H6926" i="1"/>
  <c r="O6926" i="1" a="1"/>
  <c r="O6926" i="1" s="1"/>
  <c r="K6926" i="1" a="1"/>
  <c r="K6926" i="1" s="1"/>
  <c r="P6926" i="1" a="1"/>
  <c r="P6926" i="1" s="1"/>
  <c r="B6927" i="1"/>
  <c r="L6926" i="1" a="1"/>
  <c r="L6926" i="1" s="1"/>
  <c r="R6926" i="1" a="1"/>
  <c r="R6926" i="1" s="1"/>
  <c r="M6926" i="1" a="1"/>
  <c r="M6926" i="1" s="1"/>
  <c r="S6926" i="1" a="1"/>
  <c r="S6926" i="1" s="1"/>
  <c r="N6926" i="1" a="1"/>
  <c r="N6926" i="1" s="1"/>
  <c r="I6926" i="1" a="1"/>
  <c r="I6926" i="1" s="1"/>
  <c r="Q6926" i="1" a="1"/>
  <c r="Q6926" i="1" s="1"/>
  <c r="J6926" i="1" a="1"/>
  <c r="J692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P6927" i="1" l="1" a="1"/>
  <c r="P6927" i="1" s="1"/>
  <c r="B6928" i="1"/>
  <c r="L6927" i="1" a="1"/>
  <c r="L6927" i="1" s="1"/>
  <c r="J6927" i="1" a="1"/>
  <c r="J6927" i="1" s="1"/>
  <c r="Q6927" i="1" a="1"/>
  <c r="Q6927" i="1" s="1"/>
  <c r="K6927" i="1" a="1"/>
  <c r="K6927" i="1" s="1"/>
  <c r="R6927" i="1" a="1"/>
  <c r="R6927" i="1" s="1"/>
  <c r="M6927" i="1" a="1"/>
  <c r="M6927" i="1" s="1"/>
  <c r="S6927" i="1" a="1"/>
  <c r="S6927" i="1" s="1"/>
  <c r="N6927" i="1" a="1"/>
  <c r="N6927" i="1" s="1"/>
  <c r="I6927" i="1" a="1"/>
  <c r="I6927" i="1" s="1"/>
  <c r="O6927" i="1" a="1"/>
  <c r="O6927" i="1" s="1"/>
  <c r="H6927" i="1"/>
  <c r="A6928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6928" i="1" l="1"/>
  <c r="A6929" i="1"/>
  <c r="L6928" i="1" a="1"/>
  <c r="L6928" i="1" s="1"/>
  <c r="Q6928" i="1" a="1"/>
  <c r="Q6928" i="1" s="1"/>
  <c r="J6928" i="1" a="1"/>
  <c r="J6928" i="1" s="1"/>
  <c r="P6928" i="1" a="1"/>
  <c r="P6928" i="1" s="1"/>
  <c r="K6928" i="1" a="1"/>
  <c r="K6928" i="1" s="1"/>
  <c r="R6928" i="1" a="1"/>
  <c r="R6928" i="1" s="1"/>
  <c r="M6928" i="1" a="1"/>
  <c r="M6928" i="1" s="1"/>
  <c r="S6928" i="1" a="1"/>
  <c r="S6928" i="1" s="1"/>
  <c r="N6928" i="1" a="1"/>
  <c r="N6928" i="1" s="1"/>
  <c r="I6928" i="1" a="1"/>
  <c r="I6928" i="1" s="1"/>
  <c r="O6928" i="1" a="1"/>
  <c r="O6928" i="1" s="1"/>
  <c r="B6929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6930" i="1" l="1"/>
  <c r="M6929" i="1" a="1"/>
  <c r="M6929" i="1" s="1"/>
  <c r="I6929" i="1" a="1"/>
  <c r="I6929" i="1" s="1"/>
  <c r="R6929" i="1" a="1"/>
  <c r="R6929" i="1" s="1"/>
  <c r="O6929" i="1" a="1"/>
  <c r="O6929" i="1" s="1"/>
  <c r="J6929" i="1" a="1"/>
  <c r="J6929" i="1" s="1"/>
  <c r="P6929" i="1" a="1"/>
  <c r="P6929" i="1" s="1"/>
  <c r="K6929" i="1" a="1"/>
  <c r="K6929" i="1" s="1"/>
  <c r="Q6929" i="1" a="1"/>
  <c r="Q6929" i="1" s="1"/>
  <c r="L6929" i="1" a="1"/>
  <c r="L6929" i="1" s="1"/>
  <c r="S6929" i="1" a="1"/>
  <c r="S6929" i="1" s="1"/>
  <c r="N6929" i="1" a="1"/>
  <c r="N6929" i="1" s="1"/>
  <c r="H6929" i="1"/>
  <c r="A693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6930" i="1" l="1"/>
  <c r="A6931" i="1"/>
  <c r="I6930" i="1" a="1"/>
  <c r="I6930" i="1" s="1"/>
  <c r="R6930" i="1" a="1"/>
  <c r="R6930" i="1" s="1"/>
  <c r="N6930" i="1" a="1"/>
  <c r="N6930" i="1" s="1"/>
  <c r="B6931" i="1"/>
  <c r="O6930" i="1" a="1"/>
  <c r="O6930" i="1" s="1"/>
  <c r="J6930" i="1" a="1"/>
  <c r="J6930" i="1" s="1"/>
  <c r="P6930" i="1" a="1"/>
  <c r="P6930" i="1" s="1"/>
  <c r="K6930" i="1" a="1"/>
  <c r="K6930" i="1" s="1"/>
  <c r="Q6930" i="1" a="1"/>
  <c r="Q6930" i="1" s="1"/>
  <c r="L6930" i="1" a="1"/>
  <c r="L6930" i="1" s="1"/>
  <c r="S6930" i="1" a="1"/>
  <c r="S6930" i="1" s="1"/>
  <c r="M6930" i="1" a="1"/>
  <c r="M693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N6931" i="1" l="1" a="1"/>
  <c r="N6931" i="1" s="1"/>
  <c r="S6931" i="1" a="1"/>
  <c r="S6931" i="1" s="1"/>
  <c r="J6931" i="1" a="1"/>
  <c r="J6931" i="1" s="1"/>
  <c r="O6931" i="1" a="1"/>
  <c r="O6931" i="1" s="1"/>
  <c r="M6931" i="1" a="1"/>
  <c r="M6931" i="1" s="1"/>
  <c r="B6932" i="1"/>
  <c r="I6931" i="1" a="1"/>
  <c r="I6931" i="1" s="1"/>
  <c r="P6931" i="1" a="1"/>
  <c r="P6931" i="1" s="1"/>
  <c r="K6931" i="1" a="1"/>
  <c r="K6931" i="1" s="1"/>
  <c r="Q6931" i="1" a="1"/>
  <c r="Q6931" i="1" s="1"/>
  <c r="L6931" i="1" a="1"/>
  <c r="L6931" i="1" s="1"/>
  <c r="R6931" i="1" a="1"/>
  <c r="R6931" i="1" s="1"/>
  <c r="A6932" i="1"/>
  <c r="H693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O6932" i="1" l="1" a="1"/>
  <c r="O6932" i="1" s="1"/>
  <c r="K6932" i="1" a="1"/>
  <c r="K6932" i="1" s="1"/>
  <c r="M6932" i="1" a="1"/>
  <c r="M6932" i="1" s="1"/>
  <c r="S6932" i="1" a="1"/>
  <c r="S6932" i="1" s="1"/>
  <c r="N6932" i="1" a="1"/>
  <c r="N6932" i="1" s="1"/>
  <c r="B6933" i="1"/>
  <c r="I6932" i="1" a="1"/>
  <c r="I6932" i="1" s="1"/>
  <c r="P6932" i="1" a="1"/>
  <c r="P6932" i="1" s="1"/>
  <c r="J6932" i="1" a="1"/>
  <c r="J6932" i="1" s="1"/>
  <c r="Q6932" i="1" a="1"/>
  <c r="Q6932" i="1" s="1"/>
  <c r="R6932" i="1" a="1"/>
  <c r="R6932" i="1" s="1"/>
  <c r="L6932" i="1" a="1"/>
  <c r="L6932" i="1" s="1"/>
  <c r="A6933" i="1"/>
  <c r="H6932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6934" i="1" l="1"/>
  <c r="K6933" i="1" a="1"/>
  <c r="K6933" i="1" s="1"/>
  <c r="P6933" i="1" a="1"/>
  <c r="P6933" i="1" s="1"/>
  <c r="L6933" i="1" a="1"/>
  <c r="L6933" i="1" s="1"/>
  <c r="R6933" i="1" a="1"/>
  <c r="R6933" i="1" s="1"/>
  <c r="M6933" i="1" a="1"/>
  <c r="M6933" i="1" s="1"/>
  <c r="S6933" i="1" a="1"/>
  <c r="S6933" i="1" s="1"/>
  <c r="N6933" i="1" a="1"/>
  <c r="N6933" i="1" s="1"/>
  <c r="I6933" i="1" a="1"/>
  <c r="I6933" i="1" s="1"/>
  <c r="O6933" i="1" a="1"/>
  <c r="O6933" i="1" s="1"/>
  <c r="J6933" i="1" a="1"/>
  <c r="J6933" i="1" s="1"/>
  <c r="Q6933" i="1" a="1"/>
  <c r="Q6933" i="1" s="1"/>
  <c r="H6933" i="1"/>
  <c r="A6934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H6934" i="1" l="1"/>
  <c r="A6935" i="1"/>
  <c r="L6934" i="1" a="1"/>
  <c r="L6934" i="1" s="1"/>
  <c r="Q6934" i="1" a="1"/>
  <c r="Q6934" i="1" s="1"/>
  <c r="K6934" i="1" a="1"/>
  <c r="K6934" i="1" s="1"/>
  <c r="R6934" i="1" a="1"/>
  <c r="R6934" i="1" s="1"/>
  <c r="M6934" i="1" a="1"/>
  <c r="M6934" i="1" s="1"/>
  <c r="S6934" i="1" a="1"/>
  <c r="S6934" i="1" s="1"/>
  <c r="N6934" i="1" a="1"/>
  <c r="N6934" i="1" s="1"/>
  <c r="I6934" i="1" a="1"/>
  <c r="I6934" i="1" s="1"/>
  <c r="B6935" i="1"/>
  <c r="O6934" i="1" a="1"/>
  <c r="O6934" i="1" s="1"/>
  <c r="P6934" i="1" a="1"/>
  <c r="P6934" i="1" s="1"/>
  <c r="J6934" i="1" a="1"/>
  <c r="J693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6935" i="1" l="1"/>
  <c r="A6936" i="1"/>
  <c r="Q6935" i="1" a="1"/>
  <c r="Q6935" i="1" s="1"/>
  <c r="M6935" i="1" a="1"/>
  <c r="M6935" i="1" s="1"/>
  <c r="J6935" i="1" a="1"/>
  <c r="J6935" i="1" s="1"/>
  <c r="P6935" i="1" a="1"/>
  <c r="P6935" i="1" s="1"/>
  <c r="K6935" i="1" a="1"/>
  <c r="K6935" i="1" s="1"/>
  <c r="R6935" i="1" a="1"/>
  <c r="R6935" i="1" s="1"/>
  <c r="L6935" i="1" a="1"/>
  <c r="L6935" i="1" s="1"/>
  <c r="S6935" i="1" a="1"/>
  <c r="S6935" i="1" s="1"/>
  <c r="N6935" i="1" a="1"/>
  <c r="N6935" i="1" s="1"/>
  <c r="I6935" i="1" a="1"/>
  <c r="I6935" i="1" s="1"/>
  <c r="O6935" i="1" a="1"/>
  <c r="O6935" i="1" s="1"/>
  <c r="B693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M6936" i="1" l="1" a="1"/>
  <c r="M6936" i="1" s="1"/>
  <c r="R6936" i="1" a="1"/>
  <c r="R6936" i="1" s="1"/>
  <c r="I6936" i="1" a="1"/>
  <c r="I6936" i="1" s="1"/>
  <c r="N6936" i="1" a="1"/>
  <c r="N6936" i="1" s="1"/>
  <c r="J6936" i="1" a="1"/>
  <c r="J6936" i="1" s="1"/>
  <c r="P6936" i="1" a="1"/>
  <c r="P6936" i="1" s="1"/>
  <c r="K6936" i="1" a="1"/>
  <c r="K6936" i="1" s="1"/>
  <c r="Q6936" i="1" a="1"/>
  <c r="Q6936" i="1" s="1"/>
  <c r="L6936" i="1" a="1"/>
  <c r="L6936" i="1" s="1"/>
  <c r="S6936" i="1" a="1"/>
  <c r="S6936" i="1" s="1"/>
  <c r="O6936" i="1" a="1"/>
  <c r="O6936" i="1" s="1"/>
  <c r="B6937" i="1"/>
  <c r="H6936" i="1"/>
  <c r="A6937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6937" i="1" l="1"/>
  <c r="A6938" i="1"/>
  <c r="B6938" i="1"/>
  <c r="N6937" i="1" a="1"/>
  <c r="N6937" i="1" s="1"/>
  <c r="J6937" i="1" a="1"/>
  <c r="J6937" i="1" s="1"/>
  <c r="S6937" i="1" a="1"/>
  <c r="S6937" i="1" s="1"/>
  <c r="O6937" i="1" a="1"/>
  <c r="O6937" i="1" s="1"/>
  <c r="I6937" i="1" a="1"/>
  <c r="I6937" i="1" s="1"/>
  <c r="P6937" i="1" a="1"/>
  <c r="P6937" i="1" s="1"/>
  <c r="K6937" i="1" a="1"/>
  <c r="K6937" i="1" s="1"/>
  <c r="Q6937" i="1" a="1"/>
  <c r="Q6937" i="1" s="1"/>
  <c r="L6937" i="1" a="1"/>
  <c r="L6937" i="1" s="1"/>
  <c r="R6937" i="1" a="1"/>
  <c r="R6937" i="1" s="1"/>
  <c r="M6937" i="1" a="1"/>
  <c r="M6937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J6938" i="1" l="1" a="1"/>
  <c r="J6938" i="1" s="1"/>
  <c r="S6938" i="1" a="1"/>
  <c r="S6938" i="1" s="1"/>
  <c r="O6938" i="1" a="1"/>
  <c r="O6938" i="1" s="1"/>
  <c r="B6939" i="1"/>
  <c r="N6938" i="1" a="1"/>
  <c r="N6938" i="1" s="1"/>
  <c r="I6938" i="1" a="1"/>
  <c r="I6938" i="1" s="1"/>
  <c r="P6938" i="1" a="1"/>
  <c r="P6938" i="1" s="1"/>
  <c r="L6938" i="1" a="1"/>
  <c r="L6938" i="1" s="1"/>
  <c r="K6938" i="1" a="1"/>
  <c r="K6938" i="1" s="1"/>
  <c r="M6938" i="1" a="1"/>
  <c r="M6938" i="1" s="1"/>
  <c r="Q6938" i="1" a="1"/>
  <c r="Q6938" i="1" s="1"/>
  <c r="R6938" i="1" a="1"/>
  <c r="R6938" i="1" s="1"/>
  <c r="A6939" i="1"/>
  <c r="H6938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6940" i="1" l="1"/>
  <c r="H6939" i="1"/>
  <c r="K6939" i="1" a="1"/>
  <c r="K6939" i="1" s="1"/>
  <c r="P6939" i="1" a="1"/>
  <c r="P6939" i="1" s="1"/>
  <c r="B6940" i="1"/>
  <c r="M6939" i="1" a="1"/>
  <c r="M6939" i="1" s="1"/>
  <c r="S6939" i="1" a="1"/>
  <c r="S6939" i="1" s="1"/>
  <c r="N6939" i="1" a="1"/>
  <c r="N6939" i="1" s="1"/>
  <c r="I6939" i="1" a="1"/>
  <c r="I6939" i="1" s="1"/>
  <c r="O6939" i="1" a="1"/>
  <c r="O6939" i="1" s="1"/>
  <c r="J6939" i="1" a="1"/>
  <c r="J6939" i="1" s="1"/>
  <c r="Q6939" i="1" a="1"/>
  <c r="Q6939" i="1" s="1"/>
  <c r="L6939" i="1" a="1"/>
  <c r="L6939" i="1" s="1"/>
  <c r="R6939" i="1" a="1"/>
  <c r="R693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P6940" i="1" l="1" a="1"/>
  <c r="P6940" i="1" s="1"/>
  <c r="B6941" i="1"/>
  <c r="L6940" i="1" a="1"/>
  <c r="L6940" i="1" s="1"/>
  <c r="M6940" i="1" a="1"/>
  <c r="M6940" i="1" s="1"/>
  <c r="S6940" i="1" a="1"/>
  <c r="S6940" i="1" s="1"/>
  <c r="N6940" i="1" a="1"/>
  <c r="N6940" i="1" s="1"/>
  <c r="J6940" i="1" a="1"/>
  <c r="J6940" i="1" s="1"/>
  <c r="K6940" i="1" a="1"/>
  <c r="K6940" i="1" s="1"/>
  <c r="O6940" i="1" a="1"/>
  <c r="O6940" i="1" s="1"/>
  <c r="Q6940" i="1" a="1"/>
  <c r="Q6940" i="1" s="1"/>
  <c r="R6940" i="1" a="1"/>
  <c r="R6940" i="1" s="1"/>
  <c r="I6940" i="1" a="1"/>
  <c r="I6940" i="1" s="1"/>
  <c r="H6940" i="1"/>
  <c r="A694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6941" i="1" l="1"/>
  <c r="A6942" i="1"/>
  <c r="B6942" i="1"/>
  <c r="L6941" i="1" a="1"/>
  <c r="L6941" i="1" s="1"/>
  <c r="Q6941" i="1" a="1"/>
  <c r="Q6941" i="1" s="1"/>
  <c r="M6941" i="1" a="1"/>
  <c r="M6941" i="1" s="1"/>
  <c r="K6941" i="1" a="1"/>
  <c r="K6941" i="1" s="1"/>
  <c r="R6941" i="1" a="1"/>
  <c r="R6941" i="1" s="1"/>
  <c r="S6941" i="1" a="1"/>
  <c r="S6941" i="1" s="1"/>
  <c r="N6941" i="1" a="1"/>
  <c r="N6941" i="1" s="1"/>
  <c r="O6941" i="1" a="1"/>
  <c r="O6941" i="1" s="1"/>
  <c r="P6941" i="1" a="1"/>
  <c r="P6941" i="1" s="1"/>
  <c r="I6941" i="1" a="1"/>
  <c r="I6941" i="1" s="1"/>
  <c r="J6941" i="1" a="1"/>
  <c r="J6941" i="1" s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M6942" i="1" l="1" a="1"/>
  <c r="M6942" i="1" s="1"/>
  <c r="I6942" i="1" a="1"/>
  <c r="I6942" i="1" s="1"/>
  <c r="R6942" i="1" a="1"/>
  <c r="R6942" i="1" s="1"/>
  <c r="K6942" i="1" a="1"/>
  <c r="K6942" i="1" s="1"/>
  <c r="Q6942" i="1" a="1"/>
  <c r="Q6942" i="1" s="1"/>
  <c r="L6942" i="1" a="1"/>
  <c r="L6942" i="1" s="1"/>
  <c r="S6942" i="1" a="1"/>
  <c r="S6942" i="1" s="1"/>
  <c r="O6942" i="1" a="1"/>
  <c r="O6942" i="1" s="1"/>
  <c r="P6942" i="1" a="1"/>
  <c r="P6942" i="1" s="1"/>
  <c r="B6943" i="1"/>
  <c r="N6942" i="1" a="1"/>
  <c r="N6942" i="1" s="1"/>
  <c r="J6942" i="1" a="1"/>
  <c r="J6942" i="1" s="1"/>
  <c r="H6942" i="1"/>
  <c r="A694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6943" i="1" l="1"/>
  <c r="A6944" i="1"/>
  <c r="I6943" i="1" a="1"/>
  <c r="I6943" i="1" s="1"/>
  <c r="N6943" i="1" a="1"/>
  <c r="N6943" i="1" s="1"/>
  <c r="R6943" i="1" a="1"/>
  <c r="R6943" i="1" s="1"/>
  <c r="J6943" i="1" a="1"/>
  <c r="J6943" i="1" s="1"/>
  <c r="B6944" i="1"/>
  <c r="K6943" i="1" a="1"/>
  <c r="K6943" i="1" s="1"/>
  <c r="P6943" i="1" a="1"/>
  <c r="P6943" i="1" s="1"/>
  <c r="M6943" i="1" a="1"/>
  <c r="M6943" i="1" s="1"/>
  <c r="O6943" i="1" a="1"/>
  <c r="O6943" i="1" s="1"/>
  <c r="Q6943" i="1" a="1"/>
  <c r="Q6943" i="1" s="1"/>
  <c r="L6943" i="1" a="1"/>
  <c r="L6943" i="1" s="1"/>
  <c r="S6943" i="1" a="1"/>
  <c r="S694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6945" i="1" l="1"/>
  <c r="I6944" i="1" a="1"/>
  <c r="I6944" i="1" s="1"/>
  <c r="M6944" i="1" a="1"/>
  <c r="M6944" i="1" s="1"/>
  <c r="Q6944" i="1" a="1"/>
  <c r="Q6944" i="1" s="1"/>
  <c r="N6944" i="1" a="1"/>
  <c r="N6944" i="1" s="1"/>
  <c r="S6944" i="1" a="1"/>
  <c r="S6944" i="1" s="1"/>
  <c r="J6944" i="1" a="1"/>
  <c r="J6944" i="1" s="1"/>
  <c r="R6944" i="1" a="1"/>
  <c r="R6944" i="1" s="1"/>
  <c r="K6944" i="1" a="1"/>
  <c r="K6944" i="1" s="1"/>
  <c r="L6944" i="1" a="1"/>
  <c r="L6944" i="1" s="1"/>
  <c r="O6944" i="1" a="1"/>
  <c r="O6944" i="1" s="1"/>
  <c r="P6944" i="1" a="1"/>
  <c r="P6944" i="1" s="1"/>
  <c r="H6944" i="1"/>
  <c r="A6945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6946" i="1" l="1"/>
  <c r="H6945" i="1"/>
  <c r="L6945" i="1" a="1"/>
  <c r="L6945" i="1" s="1"/>
  <c r="P6945" i="1" a="1"/>
  <c r="P6945" i="1" s="1"/>
  <c r="K6945" i="1" a="1"/>
  <c r="K6945" i="1" s="1"/>
  <c r="Q6945" i="1" a="1"/>
  <c r="Q6945" i="1" s="1"/>
  <c r="N6945" i="1" a="1"/>
  <c r="N6945" i="1" s="1"/>
  <c r="O6945" i="1" a="1"/>
  <c r="O6945" i="1" s="1"/>
  <c r="I6945" i="1" a="1"/>
  <c r="I6945" i="1" s="1"/>
  <c r="R6945" i="1" a="1"/>
  <c r="R6945" i="1" s="1"/>
  <c r="B6946" i="1"/>
  <c r="J6945" i="1" a="1"/>
  <c r="J6945" i="1" s="1"/>
  <c r="M6945" i="1" a="1"/>
  <c r="M6945" i="1" s="1"/>
  <c r="S6945" i="1" a="1"/>
  <c r="S6945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K6946" i="1" l="1" a="1"/>
  <c r="K6946" i="1" s="1"/>
  <c r="O6946" i="1" a="1"/>
  <c r="O6946" i="1" s="1"/>
  <c r="S6946" i="1" a="1"/>
  <c r="S6946" i="1" s="1"/>
  <c r="I6946" i="1" a="1"/>
  <c r="I6946" i="1" s="1"/>
  <c r="N6946" i="1" a="1"/>
  <c r="N6946" i="1" s="1"/>
  <c r="B6947" i="1"/>
  <c r="Q6946" i="1" a="1"/>
  <c r="Q6946" i="1" s="1"/>
  <c r="J6946" i="1" a="1"/>
  <c r="J6946" i="1" s="1"/>
  <c r="R6946" i="1" a="1"/>
  <c r="R6946" i="1" s="1"/>
  <c r="L6946" i="1" a="1"/>
  <c r="L6946" i="1" s="1"/>
  <c r="M6946" i="1" a="1"/>
  <c r="M6946" i="1" s="1"/>
  <c r="P6946" i="1" a="1"/>
  <c r="P6946" i="1" s="1"/>
  <c r="H6946" i="1"/>
  <c r="A6947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6947" i="1" l="1"/>
  <c r="A6948" i="1"/>
  <c r="J6947" i="1" a="1"/>
  <c r="J6947" i="1" s="1"/>
  <c r="N6947" i="1" a="1"/>
  <c r="N6947" i="1" s="1"/>
  <c r="R6947" i="1" a="1"/>
  <c r="R6947" i="1" s="1"/>
  <c r="L6947" i="1" a="1"/>
  <c r="L6947" i="1" s="1"/>
  <c r="Q6947" i="1" a="1"/>
  <c r="Q6947" i="1" s="1"/>
  <c r="M6947" i="1" a="1"/>
  <c r="M6947" i="1" s="1"/>
  <c r="B6948" i="1"/>
  <c r="O6947" i="1" a="1"/>
  <c r="O6947" i="1" s="1"/>
  <c r="P6947" i="1" a="1"/>
  <c r="P6947" i="1" s="1"/>
  <c r="I6947" i="1" a="1"/>
  <c r="I6947" i="1" s="1"/>
  <c r="K6947" i="1" a="1"/>
  <c r="K6947" i="1" s="1"/>
  <c r="S6947" i="1" a="1"/>
  <c r="S6947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6948" i="1" l="1"/>
  <c r="A6949" i="1"/>
  <c r="B6949" i="1"/>
  <c r="I6948" i="1" a="1"/>
  <c r="I6948" i="1" s="1"/>
  <c r="M6948" i="1" a="1"/>
  <c r="M6948" i="1" s="1"/>
  <c r="Q6948" i="1" a="1"/>
  <c r="Q6948" i="1" s="1"/>
  <c r="J6948" i="1" a="1"/>
  <c r="J6948" i="1" s="1"/>
  <c r="O6948" i="1" a="1"/>
  <c r="O6948" i="1" s="1"/>
  <c r="R6948" i="1" a="1"/>
  <c r="R6948" i="1" s="1"/>
  <c r="K6948" i="1" a="1"/>
  <c r="K6948" i="1" s="1"/>
  <c r="S6948" i="1" a="1"/>
  <c r="S6948" i="1" s="1"/>
  <c r="L6948" i="1" a="1"/>
  <c r="L6948" i="1" s="1"/>
  <c r="N6948" i="1" a="1"/>
  <c r="N6948" i="1" s="1"/>
  <c r="P6948" i="1" a="1"/>
  <c r="P6948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L6949" i="1" l="1" a="1"/>
  <c r="L6949" i="1" s="1"/>
  <c r="P6949" i="1" a="1"/>
  <c r="P6949" i="1" s="1"/>
  <c r="M6949" i="1" a="1"/>
  <c r="M6949" i="1" s="1"/>
  <c r="R6949" i="1" a="1"/>
  <c r="R6949" i="1" s="1"/>
  <c r="K6949" i="1" a="1"/>
  <c r="K6949" i="1" s="1"/>
  <c r="N6949" i="1" a="1"/>
  <c r="N6949" i="1" s="1"/>
  <c r="O6949" i="1" a="1"/>
  <c r="O6949" i="1" s="1"/>
  <c r="I6949" i="1" a="1"/>
  <c r="I6949" i="1" s="1"/>
  <c r="Q6949" i="1" a="1"/>
  <c r="Q6949" i="1" s="1"/>
  <c r="S6949" i="1" a="1"/>
  <c r="S6949" i="1" s="1"/>
  <c r="B6950" i="1"/>
  <c r="J6949" i="1" a="1"/>
  <c r="J6949" i="1" s="1"/>
  <c r="A6950" i="1"/>
  <c r="H6949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K6950" i="1" l="1" a="1"/>
  <c r="K6950" i="1" s="1"/>
  <c r="O6950" i="1" a="1"/>
  <c r="O6950" i="1" s="1"/>
  <c r="S6950" i="1" a="1"/>
  <c r="S6950" i="1" s="1"/>
  <c r="B6951" i="1"/>
  <c r="J6950" i="1" a="1"/>
  <c r="J6950" i="1" s="1"/>
  <c r="P6950" i="1" a="1"/>
  <c r="P6950" i="1" s="1"/>
  <c r="Q6950" i="1" a="1"/>
  <c r="Q6950" i="1" s="1"/>
  <c r="I6950" i="1" a="1"/>
  <c r="I6950" i="1" s="1"/>
  <c r="R6950" i="1" a="1"/>
  <c r="R6950" i="1" s="1"/>
  <c r="L6950" i="1" a="1"/>
  <c r="L6950" i="1" s="1"/>
  <c r="M6950" i="1" a="1"/>
  <c r="M6950" i="1" s="1"/>
  <c r="N6950" i="1" a="1"/>
  <c r="N6950" i="1" s="1"/>
  <c r="H6950" i="1"/>
  <c r="A695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J6951" i="1" l="1" a="1"/>
  <c r="J6951" i="1" s="1"/>
  <c r="N6951" i="1" a="1"/>
  <c r="N6951" i="1" s="1"/>
  <c r="R6951" i="1" a="1"/>
  <c r="R6951" i="1" s="1"/>
  <c r="M6951" i="1" a="1"/>
  <c r="M6951" i="1" s="1"/>
  <c r="S6951" i="1" a="1"/>
  <c r="S6951" i="1" s="1"/>
  <c r="B6952" i="1"/>
  <c r="L6951" i="1" a="1"/>
  <c r="L6951" i="1" s="1"/>
  <c r="O6951" i="1" a="1"/>
  <c r="O6951" i="1" s="1"/>
  <c r="P6951" i="1" a="1"/>
  <c r="P6951" i="1" s="1"/>
  <c r="K6951" i="1" a="1"/>
  <c r="K6951" i="1" s="1"/>
  <c r="Q6951" i="1" a="1"/>
  <c r="Q6951" i="1" s="1"/>
  <c r="I6951" i="1" a="1"/>
  <c r="I6951" i="1" s="1"/>
  <c r="H6951" i="1"/>
  <c r="A6952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H6952" i="1" l="1"/>
  <c r="A6953" i="1"/>
  <c r="B6953" i="1"/>
  <c r="I6952" i="1" a="1"/>
  <c r="I6952" i="1" s="1"/>
  <c r="M6952" i="1" a="1"/>
  <c r="M6952" i="1" s="1"/>
  <c r="Q6952" i="1" a="1"/>
  <c r="Q6952" i="1" s="1"/>
  <c r="K6952" i="1" a="1"/>
  <c r="K6952" i="1" s="1"/>
  <c r="P6952" i="1" a="1"/>
  <c r="P6952" i="1" s="1"/>
  <c r="O6952" i="1" a="1"/>
  <c r="O6952" i="1" s="1"/>
  <c r="R6952" i="1" a="1"/>
  <c r="R6952" i="1" s="1"/>
  <c r="J6952" i="1" a="1"/>
  <c r="J6952" i="1" s="1"/>
  <c r="S6952" i="1" a="1"/>
  <c r="S6952" i="1" s="1"/>
  <c r="L6952" i="1" a="1"/>
  <c r="L6952" i="1" s="1"/>
  <c r="N6952" i="1" a="1"/>
  <c r="N6952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L6953" i="1" l="1" a="1"/>
  <c r="L6953" i="1" s="1"/>
  <c r="P6953" i="1" a="1"/>
  <c r="P6953" i="1" s="1"/>
  <c r="I6953" i="1" a="1"/>
  <c r="I6953" i="1" s="1"/>
  <c r="N6953" i="1" a="1"/>
  <c r="N6953" i="1" s="1"/>
  <c r="S6953" i="1" a="1"/>
  <c r="S6953" i="1" s="1"/>
  <c r="B6954" i="1"/>
  <c r="K6953" i="1" a="1"/>
  <c r="K6953" i="1" s="1"/>
  <c r="M6953" i="1" a="1"/>
  <c r="M6953" i="1" s="1"/>
  <c r="O6953" i="1" a="1"/>
  <c r="O6953" i="1" s="1"/>
  <c r="J6953" i="1" a="1"/>
  <c r="J6953" i="1" s="1"/>
  <c r="Q6953" i="1" a="1"/>
  <c r="Q6953" i="1" s="1"/>
  <c r="R6953" i="1" a="1"/>
  <c r="R6953" i="1" s="1"/>
  <c r="A6954" i="1"/>
  <c r="H6953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6954" i="1" l="1"/>
  <c r="A6955" i="1"/>
  <c r="K6954" i="1" a="1"/>
  <c r="K6954" i="1" s="1"/>
  <c r="O6954" i="1" a="1"/>
  <c r="O6954" i="1" s="1"/>
  <c r="S6954" i="1" a="1"/>
  <c r="S6954" i="1" s="1"/>
  <c r="L6954" i="1" a="1"/>
  <c r="L6954" i="1" s="1"/>
  <c r="Q6954" i="1" a="1"/>
  <c r="Q6954" i="1" s="1"/>
  <c r="P6954" i="1" a="1"/>
  <c r="P6954" i="1" s="1"/>
  <c r="I6954" i="1" a="1"/>
  <c r="I6954" i="1" s="1"/>
  <c r="R6954" i="1" a="1"/>
  <c r="R6954" i="1" s="1"/>
  <c r="J6954" i="1" a="1"/>
  <c r="J6954" i="1" s="1"/>
  <c r="B6955" i="1"/>
  <c r="M6954" i="1" a="1"/>
  <c r="M6954" i="1" s="1"/>
  <c r="N6954" i="1" a="1"/>
  <c r="N6954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J6955" i="1" l="1" a="1"/>
  <c r="J6955" i="1" s="1"/>
  <c r="N6955" i="1" a="1"/>
  <c r="N6955" i="1" s="1"/>
  <c r="R6955" i="1" a="1"/>
  <c r="R6955" i="1" s="1"/>
  <c r="I6955" i="1" a="1"/>
  <c r="I6955" i="1" s="1"/>
  <c r="O6955" i="1" a="1"/>
  <c r="O6955" i="1" s="1"/>
  <c r="B6956" i="1"/>
  <c r="S6955" i="1" a="1"/>
  <c r="S6955" i="1" s="1"/>
  <c r="L6955" i="1" a="1"/>
  <c r="L6955" i="1" s="1"/>
  <c r="M6955" i="1" a="1"/>
  <c r="M6955" i="1" s="1"/>
  <c r="P6955" i="1" a="1"/>
  <c r="P6955" i="1" s="1"/>
  <c r="K6955" i="1" a="1"/>
  <c r="K6955" i="1" s="1"/>
  <c r="Q6955" i="1" a="1"/>
  <c r="Q6955" i="1" s="1"/>
  <c r="H6955" i="1"/>
  <c r="A6956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6956" i="1" l="1"/>
  <c r="A6957" i="1"/>
  <c r="B6957" i="1"/>
  <c r="I6956" i="1" a="1"/>
  <c r="I6956" i="1" s="1"/>
  <c r="M6956" i="1" a="1"/>
  <c r="M6956" i="1" s="1"/>
  <c r="Q6956" i="1" a="1"/>
  <c r="Q6956" i="1" s="1"/>
  <c r="L6956" i="1" a="1"/>
  <c r="L6956" i="1" s="1"/>
  <c r="R6956" i="1" a="1"/>
  <c r="R6956" i="1" s="1"/>
  <c r="O6956" i="1" a="1"/>
  <c r="O6956" i="1" s="1"/>
  <c r="P6956" i="1" a="1"/>
  <c r="P6956" i="1" s="1"/>
  <c r="J6956" i="1" a="1"/>
  <c r="J6956" i="1" s="1"/>
  <c r="S6956" i="1" a="1"/>
  <c r="S6956" i="1" s="1"/>
  <c r="K6956" i="1" a="1"/>
  <c r="K6956" i="1" s="1"/>
  <c r="N6956" i="1" a="1"/>
  <c r="N6956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L6957" i="1" l="1" a="1"/>
  <c r="L6957" i="1" s="1"/>
  <c r="P6957" i="1" a="1"/>
  <c r="P6957" i="1" s="1"/>
  <c r="B6958" i="1"/>
  <c r="J6957" i="1" a="1"/>
  <c r="J6957" i="1" s="1"/>
  <c r="O6957" i="1" a="1"/>
  <c r="O6957" i="1" s="1"/>
  <c r="K6957" i="1" a="1"/>
  <c r="K6957" i="1" s="1"/>
  <c r="S6957" i="1" a="1"/>
  <c r="S6957" i="1" s="1"/>
  <c r="M6957" i="1" a="1"/>
  <c r="M6957" i="1" s="1"/>
  <c r="N6957" i="1" a="1"/>
  <c r="N6957" i="1" s="1"/>
  <c r="I6957" i="1" a="1"/>
  <c r="I6957" i="1" s="1"/>
  <c r="Q6957" i="1" a="1"/>
  <c r="Q6957" i="1" s="1"/>
  <c r="R6957" i="1" a="1"/>
  <c r="R6957" i="1" s="1"/>
  <c r="A6958" i="1"/>
  <c r="H6957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6958" i="1" l="1"/>
  <c r="A6959" i="1"/>
  <c r="K6958" i="1" a="1"/>
  <c r="K6958" i="1" s="1"/>
  <c r="O6958" i="1" a="1"/>
  <c r="O6958" i="1" s="1"/>
  <c r="S6958" i="1" a="1"/>
  <c r="S6958" i="1" s="1"/>
  <c r="M6958" i="1" a="1"/>
  <c r="M6958" i="1" s="1"/>
  <c r="R6958" i="1" a="1"/>
  <c r="R6958" i="1" s="1"/>
  <c r="P6958" i="1" a="1"/>
  <c r="P6958" i="1" s="1"/>
  <c r="I6958" i="1" a="1"/>
  <c r="I6958" i="1" s="1"/>
  <c r="Q6958" i="1" a="1"/>
  <c r="Q6958" i="1" s="1"/>
  <c r="J6958" i="1" a="1"/>
  <c r="J6958" i="1" s="1"/>
  <c r="L6958" i="1" a="1"/>
  <c r="L6958" i="1" s="1"/>
  <c r="N6958" i="1" a="1"/>
  <c r="N6958" i="1" s="1"/>
  <c r="B695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6959" i="1" l="1" a="1"/>
  <c r="J6959" i="1" s="1"/>
  <c r="N6959" i="1" a="1"/>
  <c r="N6959" i="1" s="1"/>
  <c r="R6959" i="1" a="1"/>
  <c r="R6959" i="1" s="1"/>
  <c r="B6960" i="1"/>
  <c r="K6959" i="1" a="1"/>
  <c r="K6959" i="1" s="1"/>
  <c r="P6959" i="1" a="1"/>
  <c r="P6959" i="1" s="1"/>
  <c r="I6959" i="1" a="1"/>
  <c r="I6959" i="1" s="1"/>
  <c r="S6959" i="1" a="1"/>
  <c r="S6959" i="1" s="1"/>
  <c r="L6959" i="1" a="1"/>
  <c r="L6959" i="1" s="1"/>
  <c r="M6959" i="1" a="1"/>
  <c r="M6959" i="1" s="1"/>
  <c r="O6959" i="1" a="1"/>
  <c r="O6959" i="1" s="1"/>
  <c r="Q6959" i="1" a="1"/>
  <c r="Q6959" i="1" s="1"/>
  <c r="A6960" i="1"/>
  <c r="H695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960" i="1" l="1"/>
  <c r="A6961" i="1"/>
  <c r="B6961" i="1"/>
  <c r="I6960" i="1" a="1"/>
  <c r="I6960" i="1" s="1"/>
  <c r="M6960" i="1" a="1"/>
  <c r="M6960" i="1" s="1"/>
  <c r="Q6960" i="1" a="1"/>
  <c r="Q6960" i="1" s="1"/>
  <c r="N6960" i="1" a="1"/>
  <c r="N6960" i="1" s="1"/>
  <c r="S6960" i="1" a="1"/>
  <c r="S6960" i="1" s="1"/>
  <c r="O6960" i="1" a="1"/>
  <c r="O6960" i="1" s="1"/>
  <c r="P6960" i="1" a="1"/>
  <c r="P6960" i="1" s="1"/>
  <c r="J6960" i="1" a="1"/>
  <c r="J6960" i="1" s="1"/>
  <c r="R6960" i="1" a="1"/>
  <c r="R6960" i="1" s="1"/>
  <c r="K6960" i="1" a="1"/>
  <c r="K6960" i="1" s="1"/>
  <c r="L6960" i="1" a="1"/>
  <c r="L696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6962" i="1" l="1"/>
  <c r="H6961" i="1"/>
  <c r="L6961" i="1" a="1"/>
  <c r="L6961" i="1" s="1"/>
  <c r="P6961" i="1" a="1"/>
  <c r="P6961" i="1" s="1"/>
  <c r="K6961" i="1" a="1"/>
  <c r="K6961" i="1" s="1"/>
  <c r="Q6961" i="1" a="1"/>
  <c r="Q6961" i="1" s="1"/>
  <c r="J6961" i="1" a="1"/>
  <c r="J6961" i="1" s="1"/>
  <c r="S6961" i="1" a="1"/>
  <c r="S6961" i="1" s="1"/>
  <c r="M6961" i="1" a="1"/>
  <c r="M6961" i="1" s="1"/>
  <c r="B6962" i="1"/>
  <c r="N6961" i="1" a="1"/>
  <c r="N6961" i="1" s="1"/>
  <c r="R6961" i="1" a="1"/>
  <c r="R6961" i="1" s="1"/>
  <c r="I6961" i="1" a="1"/>
  <c r="I6961" i="1" s="1"/>
  <c r="O6961" i="1" a="1"/>
  <c r="O6961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6962" i="1" l="1" a="1"/>
  <c r="K6962" i="1" s="1"/>
  <c r="O6962" i="1" a="1"/>
  <c r="O6962" i="1" s="1"/>
  <c r="S6962" i="1" a="1"/>
  <c r="S6962" i="1" s="1"/>
  <c r="I6962" i="1" a="1"/>
  <c r="I6962" i="1" s="1"/>
  <c r="N6962" i="1" a="1"/>
  <c r="N6962" i="1" s="1"/>
  <c r="B6963" i="1"/>
  <c r="M6962" i="1" a="1"/>
  <c r="M6962" i="1" s="1"/>
  <c r="P6962" i="1" a="1"/>
  <c r="P6962" i="1" s="1"/>
  <c r="Q6962" i="1" a="1"/>
  <c r="Q6962" i="1" s="1"/>
  <c r="J6962" i="1" a="1"/>
  <c r="J6962" i="1" s="1"/>
  <c r="L6962" i="1" a="1"/>
  <c r="L6962" i="1" s="1"/>
  <c r="R6962" i="1" a="1"/>
  <c r="R6962" i="1" s="1"/>
  <c r="H6962" i="1"/>
  <c r="A696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6964" i="1" l="1"/>
  <c r="H6963" i="1"/>
  <c r="K6963" i="1" a="1"/>
  <c r="K6963" i="1" s="1"/>
  <c r="L6963" i="1" a="1"/>
  <c r="L6963" i="1" s="1"/>
  <c r="B6964" i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B6965" i="1" l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6966" i="1" l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K7190" i="1" l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<sst xmlns="http://schemas.openxmlformats.org/spreadsheetml/2006/main" count="67389" uniqueCount="26">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</sst>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6865" activePane="bottomLeft" state="frozen"/>
      <selection pane="bottomLeft" activeCell="D6866" sqref="D686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616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3</v>
      </c>
      <c r="C6866" s="6">
        <v>0.28333333333333333</v>
      </c>
      <c r="D6866" s="5"/>
      <c r="E6866" s="5"/>
      <c r="F6866" s="5" t="s">
        <v>8</v>
      </c>
      <c r="G6866" s="15" t="s">
        <v>9</v>
      </c>
      <c r="H6866" s="24">
        <f t="shared" ref="H6745:H6999" si="1308">IFERROR((($A6866+$C6866) - ($A6865+$C6865))*24*60, "")</f>
        <v>824.00000000372529</v>
      </c>
      <c r="I6866" s="24" cm="1">
        <f t="array" ref="I6866">IFERROR(IF($B6866=I$1, ($A6866+$C6866) - MAX(IF($B$2:$B6865=$B6866, $A$2:$A6865+$C$2:$C6865)), "")*24*60, "")</f>
        <v>833.00000000162981</v>
      </c>
      <c r="J6866" s="24" t="str" cm="1">
        <f t="array" ref="J6866">IFERROR(IF($B6866=J$1, ($A6866+$C6866) - MAX(IF($B$2:$B6865=$B6866, $A$2:$A6865+$C$2:$C6865)), "")*24*60, "")</f>
        <v/>
      </c>
      <c r="K6866" s="24" t="str" cm="1">
        <f t="array" ref="K6866">IFERROR(IF($B6866=K$1, ($A6866+$C6866) - MAX(IF($B$2:$B6865=$B6866, $A$2:$A6865+$C$2:$C6865)), "")*24*60, "")</f>
        <v/>
      </c>
      <c r="L6866" s="24" t="str" cm="1">
        <f t="array" ref="L6866">IFERROR(IF($B6866=L$1, ($A6866+$C6866) - MAX(IF($B$2:$B6865=$B6866, $A$2:$A6865+$C$2:$C6865)), "")*24*60, "")</f>
        <v/>
      </c>
      <c r="M6866" s="24" t="str" cm="1">
        <f t="array" ref="M6866">IFERROR(IF($B6866=M$1, ($A6866+$C6866) - MAX(IF($B$2:$B6865=$B6866, $A$2:$A6865+$C$2:$C6865)), "")*24*60, "")</f>
        <v/>
      </c>
      <c r="N6866" s="24" t="str" cm="1">
        <f t="array" ref="N6866">IFERROR(IF($B6866=N$1, ($A6866+$C6866) - MAX(IF($B$2:$B6865=$B6866, $A$2:$A6865+$C$2:$C6865)), "")*24*60, "")</f>
        <v/>
      </c>
      <c r="O6866" s="24" t="str" cm="1">
        <f t="array" ref="O6866">IFERROR(IF($B6866=O$1, ($A6866+$C6866) - MAX(IF($B$2:$B6865=$B6866, $A$2:$A6865+$C$2:$C6865)), "")*24*60, "")</f>
        <v/>
      </c>
      <c r="P6866" s="24" t="str" cm="1">
        <f t="array" ref="P6866">IFERROR(IF($B6866=P$1, ($A6866+$C6866) - MAX(IF($B$2:$B6865=$B6866, $A$2:$A6865+$C$2:$C6865)), "")*24*60, "")</f>
        <v/>
      </c>
      <c r="Q6866" s="24" t="str" cm="1">
        <f t="array" ref="Q6866">IFERROR(IF($B6866=Q$1, ($A6866+$C6866) - MAX(IF($B$2:$B6865=$B6866, $A$2:$A6865+$C$2:$C6865)), "")*24*60, "")</f>
        <v/>
      </c>
      <c r="R6866" s="24" t="str" cm="1">
        <f t="array" ref="R6866">IFERROR(IF($B6866=R$1, ($A6866+$C6866) - MAX(IF($B$2:$B6865=$B6866, $A$2:$A6865+$C$2:$C6865)), "")*24*60, "")</f>
        <v/>
      </c>
      <c r="S6866" s="24" t="str" cm="1">
        <f t="array" ref="S6866">IFERROR(IF($B6866=S$1, ($A6866+$C6866) - MAX(IF($B$2:$B6865=$B6866, $A$2:$A6865+$C$2:$C6865)), "")*24*60, "")</f>
        <v/>
      </c>
    </row>
    <row r="6867" spans="1:19" x14ac:dyDescent="0.2">
      <c r="A6867" s="12">
        <f t="shared" ref="A6867:C6867" si="1309">A6866</f>
        <v>45992</v>
      </c>
      <c r="B6867" s="5" t="str">
        <f t="shared" si="1309"/>
        <v>Northern Cardinal</v>
      </c>
      <c r="C6867" s="6">
        <f t="shared" si="1309"/>
        <v>0.28333333333333333</v>
      </c>
      <c r="D6867" s="5"/>
      <c r="E6867" s="5"/>
      <c r="F6867" s="5" t="s">
        <v>8</v>
      </c>
      <c r="G6867" s="15" t="s">
        <v>9</v>
      </c>
      <c r="H6867" s="24">
        <f t="shared" si="1308"/>
        <v>0</v>
      </c>
      <c r="I6867" s="24" cm="1">
        <f t="array" ref="I6867">IFERROR(IF($B6867=I$1, ($A6867+$C6867) - MAX(IF($B$2:$B6866=$B6867, $A$2:$A6866+$C$2:$C6866)), "")*24*60, "")</f>
        <v>0</v>
      </c>
      <c r="J6867" s="24" t="str" cm="1">
        <f t="array" ref="J6867">IFERROR(IF($B6867=J$1, ($A6867+$C6867) - MAX(IF($B$2:$B6866=$B6867, $A$2:$A6866+$C$2:$C6866)), "")*24*60, "")</f>
        <v/>
      </c>
      <c r="K6867" s="24" t="str" cm="1">
        <f t="array" ref="K6867">IFERROR(IF($B6867=K$1, ($A6867+$C6867) - MAX(IF($B$2:$B6866=$B6867, $A$2:$A6866+$C$2:$C6866)), "")*24*60, "")</f>
        <v/>
      </c>
      <c r="L6867" s="24" t="str" cm="1">
        <f t="array" ref="L6867">IFERROR(IF($B6867=L$1, ($A6867+$C6867) - MAX(IF($B$2:$B6866=$B6867, $A$2:$A6866+$C$2:$C6866)), "")*24*60, "")</f>
        <v/>
      </c>
      <c r="M6867" s="24" t="str" cm="1">
        <f t="array" ref="M6867">IFERROR(IF($B6867=M$1, ($A6867+$C6867) - MAX(IF($B$2:$B6866=$B6867, $A$2:$A6866+$C$2:$C6866)), "")*24*60, "")</f>
        <v/>
      </c>
      <c r="N6867" s="24" t="str" cm="1">
        <f t="array" ref="N6867">IFERROR(IF($B6867=N$1, ($A6867+$C6867) - MAX(IF($B$2:$B6866=$B6867, $A$2:$A6866+$C$2:$C6866)), "")*24*60, "")</f>
        <v/>
      </c>
      <c r="O6867" s="24" t="str" cm="1">
        <f t="array" ref="O6867">IFERROR(IF($B6867=O$1, ($A6867+$C6867) - MAX(IF($B$2:$B6866=$B6867, $A$2:$A6866+$C$2:$C6866)), "")*24*60, "")</f>
        <v/>
      </c>
      <c r="P6867" s="24" t="str" cm="1">
        <f t="array" ref="P6867">IFERROR(IF($B6867=P$1, ($A6867+$C6867) - MAX(IF($B$2:$B6866=$B6867, $A$2:$A6866+$C$2:$C6866)), "")*24*60, "")</f>
        <v/>
      </c>
      <c r="Q6867" s="24" t="str" cm="1">
        <f t="array" ref="Q6867">IFERROR(IF($B6867=Q$1, ($A6867+$C6867) - MAX(IF($B$2:$B6866=$B6867, $A$2:$A6866+$C$2:$C6866)), "")*24*60, "")</f>
        <v/>
      </c>
      <c r="R6867" s="24" t="str" cm="1">
        <f t="array" ref="R6867">IFERROR(IF($B6867=R$1, ($A6867+$C6867) - MAX(IF($B$2:$B6866=$B6867, $A$2:$A6866+$C$2:$C6866)), "")*24*60, "")</f>
        <v/>
      </c>
      <c r="S6867" s="24" t="str" cm="1">
        <f t="array" ref="S6867">IFERROR(IF($B6867=S$1, ($A6867+$C6867) - MAX(IF($B$2:$B6866=$B6867, $A$2:$A6866+$C$2:$C6866)), "")*24*60, "")</f>
        <v/>
      </c>
    </row>
    <row r="6868" spans="1:19" x14ac:dyDescent="0.2">
      <c r="A6868" s="12">
        <f t="shared" ref="A6868:C6868" si="1310">A6867</f>
        <v>45992</v>
      </c>
      <c r="B6868" s="5" t="str">
        <f t="shared" si="1310"/>
        <v>Northern Cardinal</v>
      </c>
      <c r="C6868" s="6">
        <f t="shared" si="1310"/>
        <v>0.28333333333333333</v>
      </c>
      <c r="D6868" s="5"/>
      <c r="E6868" s="5"/>
      <c r="F6868" s="5" t="s">
        <v>8</v>
      </c>
      <c r="G6868" s="15" t="s">
        <v>9</v>
      </c>
      <c r="H6868" s="24">
        <f t="shared" si="1308"/>
        <v>0</v>
      </c>
      <c r="I6868" s="24" cm="1">
        <f t="array" ref="I6868">IFERROR(IF($B6868=I$1, ($A6868+$C6868) - MAX(IF($B$2:$B6867=$B6868, $A$2:$A6867+$C$2:$C6867)), "")*24*60, "")</f>
        <v>0</v>
      </c>
      <c r="J6868" s="24" t="str" cm="1">
        <f t="array" ref="J6868">IFERROR(IF($B6868=J$1, ($A6868+$C6868) - MAX(IF($B$2:$B6867=$B6868, $A$2:$A6867+$C$2:$C6867)), "")*24*60, "")</f>
        <v/>
      </c>
      <c r="K6868" s="24" t="str" cm="1">
        <f t="array" ref="K6868">IFERROR(IF($B6868=K$1, ($A6868+$C6868) - MAX(IF($B$2:$B6867=$B6868, $A$2:$A6867+$C$2:$C6867)), "")*24*60, "")</f>
        <v/>
      </c>
      <c r="L6868" s="24" t="str" cm="1">
        <f t="array" ref="L6868">IFERROR(IF($B6868=L$1, ($A6868+$C6868) - MAX(IF($B$2:$B6867=$B6868, $A$2:$A6867+$C$2:$C6867)), "")*24*60, "")</f>
        <v/>
      </c>
      <c r="M6868" s="24" t="str" cm="1">
        <f t="array" ref="M6868">IFERROR(IF($B6868=M$1, ($A6868+$C6868) - MAX(IF($B$2:$B6867=$B6868, $A$2:$A6867+$C$2:$C6867)), "")*24*60, "")</f>
        <v/>
      </c>
      <c r="N6868" s="24" t="str" cm="1">
        <f t="array" ref="N6868">IFERROR(IF($B6868=N$1, ($A6868+$C6868) - MAX(IF($B$2:$B6867=$B6868, $A$2:$A6867+$C$2:$C6867)), "")*24*60, "")</f>
        <v/>
      </c>
      <c r="O6868" s="24" t="str" cm="1">
        <f t="array" ref="O6868">IFERROR(IF($B6868=O$1, ($A6868+$C6868) - MAX(IF($B$2:$B6867=$B6868, $A$2:$A6867+$C$2:$C6867)), "")*24*60, "")</f>
        <v/>
      </c>
      <c r="P6868" s="24" t="str" cm="1">
        <f t="array" ref="P6868">IFERROR(IF($B6868=P$1, ($A6868+$C6868) - MAX(IF($B$2:$B6867=$B6868, $A$2:$A6867+$C$2:$C6867)), "")*24*60, "")</f>
        <v/>
      </c>
      <c r="Q6868" s="24" t="str" cm="1">
        <f t="array" ref="Q6868">IFERROR(IF($B6868=Q$1, ($A6868+$C6868) - MAX(IF($B$2:$B6867=$B6868, $A$2:$A6867+$C$2:$C6867)), "")*24*60, "")</f>
        <v/>
      </c>
      <c r="R6868" s="24" t="str" cm="1">
        <f t="array" ref="R6868">IFERROR(IF($B6868=R$1, ($A6868+$C6868) - MAX(IF($B$2:$B6867=$B6868, $A$2:$A6867+$C$2:$C6867)), "")*24*60, "")</f>
        <v/>
      </c>
      <c r="S6868" s="24" t="str" cm="1">
        <f t="array" ref="S6868">IFERROR(IF($B6868=S$1, ($A6868+$C6868) - MAX(IF($B$2:$B6867=$B6868, $A$2:$A6867+$C$2:$C6867)), "")*24*60, "")</f>
        <v/>
      </c>
    </row>
    <row r="6869" spans="1:19" x14ac:dyDescent="0.2">
      <c r="A6869" s="12">
        <f t="shared" ref="A6869:C6869" si="1311">A6868</f>
        <v>45992</v>
      </c>
      <c r="B6869" s="5" t="str">
        <f t="shared" si="1311"/>
        <v>Northern Cardinal</v>
      </c>
      <c r="C6869" s="6">
        <f t="shared" si="1311"/>
        <v>0.28333333333333333</v>
      </c>
      <c r="D6869" s="5"/>
      <c r="E6869" s="5"/>
      <c r="F6869" s="5" t="s">
        <v>8</v>
      </c>
      <c r="G6869" s="15" t="s">
        <v>9</v>
      </c>
      <c r="H6869" s="24">
        <f t="shared" si="1308"/>
        <v>0</v>
      </c>
      <c r="I6869" s="24" cm="1">
        <f t="array" ref="I6869">IFERROR(IF($B6869=I$1, ($A6869+$C6869) - MAX(IF($B$2:$B6868=$B6869, $A$2:$A6868+$C$2:$C6868)), "")*24*60, "")</f>
        <v>0</v>
      </c>
      <c r="J6869" s="24" t="str" cm="1">
        <f t="array" ref="J6869">IFERROR(IF($B6869=J$1, ($A6869+$C6869) - MAX(IF($B$2:$B6868=$B6869, $A$2:$A6868+$C$2:$C6868)), "")*24*60, "")</f>
        <v/>
      </c>
      <c r="K6869" s="24" t="str" cm="1">
        <f t="array" ref="K6869">IFERROR(IF($B6869=K$1, ($A6869+$C6869) - MAX(IF($B$2:$B6868=$B6869, $A$2:$A6868+$C$2:$C6868)), "")*24*60, "")</f>
        <v/>
      </c>
      <c r="L6869" s="24" t="str" cm="1">
        <f t="array" ref="L6869">IFERROR(IF($B6869=L$1, ($A6869+$C6869) - MAX(IF($B$2:$B6868=$B6869, $A$2:$A6868+$C$2:$C6868)), "")*24*60, "")</f>
        <v/>
      </c>
      <c r="M6869" s="24" t="str" cm="1">
        <f t="array" ref="M6869">IFERROR(IF($B6869=M$1, ($A6869+$C6869) - MAX(IF($B$2:$B6868=$B6869, $A$2:$A6868+$C$2:$C6868)), "")*24*60, "")</f>
        <v/>
      </c>
      <c r="N6869" s="24" t="str" cm="1">
        <f t="array" ref="N6869">IFERROR(IF($B6869=N$1, ($A6869+$C6869) - MAX(IF($B$2:$B6868=$B6869, $A$2:$A6868+$C$2:$C6868)), "")*24*60, "")</f>
        <v/>
      </c>
      <c r="O6869" s="24" t="str" cm="1">
        <f t="array" ref="O6869">IFERROR(IF($B6869=O$1, ($A6869+$C6869) - MAX(IF($B$2:$B6868=$B6869, $A$2:$A6868+$C$2:$C6868)), "")*24*60, "")</f>
        <v/>
      </c>
      <c r="P6869" s="24" t="str" cm="1">
        <f t="array" ref="P6869">IFERROR(IF($B6869=P$1, ($A6869+$C6869) - MAX(IF($B$2:$B6868=$B6869, $A$2:$A6868+$C$2:$C6868)), "")*24*60, "")</f>
        <v/>
      </c>
      <c r="Q6869" s="24" t="str" cm="1">
        <f t="array" ref="Q6869">IFERROR(IF($B6869=Q$1, ($A6869+$C6869) - MAX(IF($B$2:$B6868=$B6869, $A$2:$A6868+$C$2:$C6868)), "")*24*60, "")</f>
        <v/>
      </c>
      <c r="R6869" s="24" t="str" cm="1">
        <f t="array" ref="R6869">IFERROR(IF($B6869=R$1, ($A6869+$C6869) - MAX(IF($B$2:$B6868=$B6869, $A$2:$A6868+$C$2:$C6868)), "")*24*60, "")</f>
        <v/>
      </c>
      <c r="S6869" s="24" t="str" cm="1">
        <f t="array" ref="S6869">IFERROR(IF($B6869=S$1, ($A6869+$C6869) - MAX(IF($B$2:$B6868=$B6869, $A$2:$A6868+$C$2:$C6868)), "")*24*60, "")</f>
        <v/>
      </c>
    </row>
    <row r="6870" spans="1:19" x14ac:dyDescent="0.2">
      <c r="A6870" s="12">
        <f t="shared" ref="A6870:C6870" si="1312">A6869</f>
        <v>45992</v>
      </c>
      <c r="B6870" s="5" t="str">
        <f t="shared" si="1312"/>
        <v>Northern Cardinal</v>
      </c>
      <c r="C6870" s="6">
        <f t="shared" si="1312"/>
        <v>0.28333333333333333</v>
      </c>
      <c r="D6870" s="5"/>
      <c r="E6870" s="5"/>
      <c r="F6870" s="5" t="s">
        <v>8</v>
      </c>
      <c r="G6870" s="15" t="s">
        <v>9</v>
      </c>
      <c r="H6870" s="24">
        <f t="shared" si="1308"/>
        <v>0</v>
      </c>
      <c r="I6870" s="24" cm="1">
        <f t="array" ref="I6870">IFERROR(IF($B6870=I$1, ($A6870+$C6870) - MAX(IF($B$2:$B6869=$B6870, $A$2:$A6869+$C$2:$C6869)), "")*24*60, "")</f>
        <v>0</v>
      </c>
      <c r="J6870" s="24" t="str" cm="1">
        <f t="array" ref="J6870">IFERROR(IF($B6870=J$1, ($A6870+$C6870) - MAX(IF($B$2:$B6869=$B6870, $A$2:$A6869+$C$2:$C6869)), "")*24*60, "")</f>
        <v/>
      </c>
      <c r="K6870" s="24" t="str" cm="1">
        <f t="array" ref="K6870">IFERROR(IF($B6870=K$1, ($A6870+$C6870) - MAX(IF($B$2:$B6869=$B6870, $A$2:$A6869+$C$2:$C6869)), "")*24*60, "")</f>
        <v/>
      </c>
      <c r="L6870" s="24" t="str" cm="1">
        <f t="array" ref="L6870">IFERROR(IF($B6870=L$1, ($A6870+$C6870) - MAX(IF($B$2:$B6869=$B6870, $A$2:$A6869+$C$2:$C6869)), "")*24*60, "")</f>
        <v/>
      </c>
      <c r="M6870" s="24" t="str" cm="1">
        <f t="array" ref="M6870">IFERROR(IF($B6870=M$1, ($A6870+$C6870) - MAX(IF($B$2:$B6869=$B6870, $A$2:$A6869+$C$2:$C6869)), "")*24*60, "")</f>
        <v/>
      </c>
      <c r="N6870" s="24" t="str" cm="1">
        <f t="array" ref="N6870">IFERROR(IF($B6870=N$1, ($A6870+$C6870) - MAX(IF($B$2:$B6869=$B6870, $A$2:$A6869+$C$2:$C6869)), "")*24*60, "")</f>
        <v/>
      </c>
      <c r="O6870" s="24" t="str" cm="1">
        <f t="array" ref="O6870">IFERROR(IF($B6870=O$1, ($A6870+$C6870) - MAX(IF($B$2:$B6869=$B6870, $A$2:$A6869+$C$2:$C6869)), "")*24*60, "")</f>
        <v/>
      </c>
      <c r="P6870" s="24" t="str" cm="1">
        <f t="array" ref="P6870">IFERROR(IF($B6870=P$1, ($A6870+$C6870) - MAX(IF($B$2:$B6869=$B6870, $A$2:$A6869+$C$2:$C6869)), "")*24*60, "")</f>
        <v/>
      </c>
      <c r="Q6870" s="24" t="str" cm="1">
        <f t="array" ref="Q6870">IFERROR(IF($B6870=Q$1, ($A6870+$C6870) - MAX(IF($B$2:$B6869=$B6870, $A$2:$A6869+$C$2:$C6869)), "")*24*60, "")</f>
        <v/>
      </c>
      <c r="R6870" s="24" t="str" cm="1">
        <f t="array" ref="R6870">IFERROR(IF($B6870=R$1, ($A6870+$C6870) - MAX(IF($B$2:$B6869=$B6870, $A$2:$A6869+$C$2:$C6869)), "")*24*60, "")</f>
        <v/>
      </c>
      <c r="S6870" s="24" t="str" cm="1">
        <f t="array" ref="S6870">IFERROR(IF($B6870=S$1, ($A6870+$C6870) - MAX(IF($B$2:$B6869=$B6870, $A$2:$A6869+$C$2:$C6869)), "")*24*60, "")</f>
        <v/>
      </c>
    </row>
    <row r="6871" spans="1:19" x14ac:dyDescent="0.2">
      <c r="A6871" s="12">
        <f t="shared" ref="A6871:C6871" si="1313">A6870</f>
        <v>45992</v>
      </c>
      <c r="B6871" s="5" t="str">
        <f t="shared" si="1313"/>
        <v>Northern Cardinal</v>
      </c>
      <c r="C6871" s="6">
        <f t="shared" si="1313"/>
        <v>0.28333333333333333</v>
      </c>
      <c r="D6871" s="5"/>
      <c r="E6871" s="5"/>
      <c r="F6871" s="5" t="s">
        <v>8</v>
      </c>
      <c r="G6871" s="15" t="s">
        <v>9</v>
      </c>
      <c r="H6871" s="24">
        <f t="shared" si="1308"/>
        <v>0</v>
      </c>
      <c r="I6871" s="24" cm="1">
        <f t="array" ref="I6871">IFERROR(IF($B6871=I$1, ($A6871+$C6871) - MAX(IF($B$2:$B6870=$B6871, $A$2:$A6870+$C$2:$C6870)), "")*24*60, "")</f>
        <v>0</v>
      </c>
      <c r="J6871" s="24" t="str" cm="1">
        <f t="array" ref="J6871">IFERROR(IF($B6871=J$1, ($A6871+$C6871) - MAX(IF($B$2:$B6870=$B6871, $A$2:$A6870+$C$2:$C6870)), "")*24*60, "")</f>
        <v/>
      </c>
      <c r="K6871" s="24" t="str" cm="1">
        <f t="array" ref="K6871">IFERROR(IF($B6871=K$1, ($A6871+$C6871) - MAX(IF($B$2:$B6870=$B6871, $A$2:$A6870+$C$2:$C6870)), "")*24*60, "")</f>
        <v/>
      </c>
      <c r="L6871" s="24" t="str" cm="1">
        <f t="array" ref="L6871">IFERROR(IF($B6871=L$1, ($A6871+$C6871) - MAX(IF($B$2:$B6870=$B6871, $A$2:$A6870+$C$2:$C6870)), "")*24*60, "")</f>
        <v/>
      </c>
      <c r="M6871" s="24" t="str" cm="1">
        <f t="array" ref="M6871">IFERROR(IF($B6871=M$1, ($A6871+$C6871) - MAX(IF($B$2:$B6870=$B6871, $A$2:$A6870+$C$2:$C6870)), "")*24*60, "")</f>
        <v/>
      </c>
      <c r="N6871" s="24" t="str" cm="1">
        <f t="array" ref="N6871">IFERROR(IF($B6871=N$1, ($A6871+$C6871) - MAX(IF($B$2:$B6870=$B6871, $A$2:$A6870+$C$2:$C6870)), "")*24*60, "")</f>
        <v/>
      </c>
      <c r="O6871" s="24" t="str" cm="1">
        <f t="array" ref="O6871">IFERROR(IF($B6871=O$1, ($A6871+$C6871) - MAX(IF($B$2:$B6870=$B6871, $A$2:$A6870+$C$2:$C6870)), "")*24*60, "")</f>
        <v/>
      </c>
      <c r="P6871" s="24" t="str" cm="1">
        <f t="array" ref="P6871">IFERROR(IF($B6871=P$1, ($A6871+$C6871) - MAX(IF($B$2:$B6870=$B6871, $A$2:$A6870+$C$2:$C6870)), "")*24*60, "")</f>
        <v/>
      </c>
      <c r="Q6871" s="24" t="str" cm="1">
        <f t="array" ref="Q6871">IFERROR(IF($B6871=Q$1, ($A6871+$C6871) - MAX(IF($B$2:$B6870=$B6871, $A$2:$A6870+$C$2:$C6870)), "")*24*60, "")</f>
        <v/>
      </c>
      <c r="R6871" s="24" t="str" cm="1">
        <f t="array" ref="R6871">IFERROR(IF($B6871=R$1, ($A6871+$C6871) - MAX(IF($B$2:$B6870=$B6871, $A$2:$A6870+$C$2:$C6870)), "")*24*60, "")</f>
        <v/>
      </c>
      <c r="S6871" s="24" t="str" cm="1">
        <f t="array" ref="S6871">IFERROR(IF($B6871=S$1, ($A6871+$C6871) - MAX(IF($B$2:$B6870=$B6871, $A$2:$A6870+$C$2:$C6870)), "")*24*60, "")</f>
        <v/>
      </c>
    </row>
    <row r="6872" spans="1:19" x14ac:dyDescent="0.2">
      <c r="A6872" s="12">
        <f t="shared" ref="A6872:C6872" si="1314">A6871</f>
        <v>45992</v>
      </c>
      <c r="B6872" s="5" t="str">
        <f t="shared" si="1314"/>
        <v>Northern Cardinal</v>
      </c>
      <c r="C6872" s="6">
        <f t="shared" si="1314"/>
        <v>0.28333333333333333</v>
      </c>
      <c r="D6872" s="5"/>
      <c r="E6872" s="5"/>
      <c r="F6872" s="5" t="s">
        <v>8</v>
      </c>
      <c r="G6872" s="15" t="s">
        <v>9</v>
      </c>
      <c r="H6872" s="24">
        <f t="shared" si="1308"/>
        <v>0</v>
      </c>
      <c r="I6872" s="24" cm="1">
        <f t="array" ref="I6872">IFERROR(IF($B6872=I$1, ($A6872+$C6872) - MAX(IF($B$2:$B6871=$B6872, $A$2:$A6871+$C$2:$C6871)), "")*24*60, "")</f>
        <v>0</v>
      </c>
      <c r="J6872" s="24" t="str" cm="1">
        <f t="array" ref="J6872">IFERROR(IF($B6872=J$1, ($A6872+$C6872) - MAX(IF($B$2:$B6871=$B6872, $A$2:$A6871+$C$2:$C6871)), "")*24*60, "")</f>
        <v/>
      </c>
      <c r="K6872" s="24" t="str" cm="1">
        <f t="array" ref="K6872">IFERROR(IF($B6872=K$1, ($A6872+$C6872) - MAX(IF($B$2:$B6871=$B6872, $A$2:$A6871+$C$2:$C6871)), "")*24*60, "")</f>
        <v/>
      </c>
      <c r="L6872" s="24" t="str" cm="1">
        <f t="array" ref="L6872">IFERROR(IF($B6872=L$1, ($A6872+$C6872) - MAX(IF($B$2:$B6871=$B6872, $A$2:$A6871+$C$2:$C6871)), "")*24*60, "")</f>
        <v/>
      </c>
      <c r="M6872" s="24" t="str" cm="1">
        <f t="array" ref="M6872">IFERROR(IF($B6872=M$1, ($A6872+$C6872) - MAX(IF($B$2:$B6871=$B6872, $A$2:$A6871+$C$2:$C6871)), "")*24*60, "")</f>
        <v/>
      </c>
      <c r="N6872" s="24" t="str" cm="1">
        <f t="array" ref="N6872">IFERROR(IF($B6872=N$1, ($A6872+$C6872) - MAX(IF($B$2:$B6871=$B6872, $A$2:$A6871+$C$2:$C6871)), "")*24*60, "")</f>
        <v/>
      </c>
      <c r="O6872" s="24" t="str" cm="1">
        <f t="array" ref="O6872">IFERROR(IF($B6872=O$1, ($A6872+$C6872) - MAX(IF($B$2:$B6871=$B6872, $A$2:$A6871+$C$2:$C6871)), "")*24*60, "")</f>
        <v/>
      </c>
      <c r="P6872" s="24" t="str" cm="1">
        <f t="array" ref="P6872">IFERROR(IF($B6872=P$1, ($A6872+$C6872) - MAX(IF($B$2:$B6871=$B6872, $A$2:$A6871+$C$2:$C6871)), "")*24*60, "")</f>
        <v/>
      </c>
      <c r="Q6872" s="24" t="str" cm="1">
        <f t="array" ref="Q6872">IFERROR(IF($B6872=Q$1, ($A6872+$C6872) - MAX(IF($B$2:$B6871=$B6872, $A$2:$A6871+$C$2:$C6871)), "")*24*60, "")</f>
        <v/>
      </c>
      <c r="R6872" s="24" t="str" cm="1">
        <f t="array" ref="R6872">IFERROR(IF($B6872=R$1, ($A6872+$C6872) - MAX(IF($B$2:$B6871=$B6872, $A$2:$A6871+$C$2:$C6871)), "")*24*60, "")</f>
        <v/>
      </c>
      <c r="S6872" s="24" t="str" cm="1">
        <f t="array" ref="S6872">IFERROR(IF($B6872=S$1, ($A6872+$C6872) - MAX(IF($B$2:$B6871=$B6872, $A$2:$A6871+$C$2:$C6871)), "")*24*60, "")</f>
        <v/>
      </c>
    </row>
    <row r="6873" spans="1:19" x14ac:dyDescent="0.2">
      <c r="A6873" s="12">
        <f t="shared" ref="A6873:C6873" si="1315">A6872</f>
        <v>45992</v>
      </c>
      <c r="B6873" s="5" t="str">
        <f t="shared" si="1315"/>
        <v>Northern Cardinal</v>
      </c>
      <c r="C6873" s="6">
        <f t="shared" si="1315"/>
        <v>0.28333333333333333</v>
      </c>
      <c r="D6873" s="5"/>
      <c r="E6873" s="5"/>
      <c r="F6873" s="5" t="s">
        <v>8</v>
      </c>
      <c r="G6873" s="15" t="s">
        <v>9</v>
      </c>
      <c r="H6873" s="24">
        <f t="shared" si="1308"/>
        <v>0</v>
      </c>
      <c r="I6873" s="24" cm="1">
        <f t="array" ref="I6873">IFERROR(IF($B6873=I$1, ($A6873+$C6873) - MAX(IF($B$2:$B6872=$B6873, $A$2:$A6872+$C$2:$C6872)), "")*24*60, "")</f>
        <v>0</v>
      </c>
      <c r="J6873" s="24" t="str" cm="1">
        <f t="array" ref="J6873">IFERROR(IF($B6873=J$1, ($A6873+$C6873) - MAX(IF($B$2:$B6872=$B6873, $A$2:$A6872+$C$2:$C6872)), "")*24*60, "")</f>
        <v/>
      </c>
      <c r="K6873" s="24" t="str" cm="1">
        <f t="array" ref="K6873">IFERROR(IF($B6873=K$1, ($A6873+$C6873) - MAX(IF($B$2:$B6872=$B6873, $A$2:$A6872+$C$2:$C6872)), "")*24*60, "")</f>
        <v/>
      </c>
      <c r="L6873" s="24" t="str" cm="1">
        <f t="array" ref="L6873">IFERROR(IF($B6873=L$1, ($A6873+$C6873) - MAX(IF($B$2:$B6872=$B6873, $A$2:$A6872+$C$2:$C6872)), "")*24*60, "")</f>
        <v/>
      </c>
      <c r="M6873" s="24" t="str" cm="1">
        <f t="array" ref="M6873">IFERROR(IF($B6873=M$1, ($A6873+$C6873) - MAX(IF($B$2:$B6872=$B6873, $A$2:$A6872+$C$2:$C6872)), "")*24*60, "")</f>
        <v/>
      </c>
      <c r="N6873" s="24" t="str" cm="1">
        <f t="array" ref="N6873">IFERROR(IF($B6873=N$1, ($A6873+$C6873) - MAX(IF($B$2:$B6872=$B6873, $A$2:$A6872+$C$2:$C6872)), "")*24*60, "")</f>
        <v/>
      </c>
      <c r="O6873" s="24" t="str" cm="1">
        <f t="array" ref="O6873">IFERROR(IF($B6873=O$1, ($A6873+$C6873) - MAX(IF($B$2:$B6872=$B6873, $A$2:$A6872+$C$2:$C6872)), "")*24*60, "")</f>
        <v/>
      </c>
      <c r="P6873" s="24" t="str" cm="1">
        <f t="array" ref="P6873">IFERROR(IF($B6873=P$1, ($A6873+$C6873) - MAX(IF($B$2:$B6872=$B6873, $A$2:$A6872+$C$2:$C6872)), "")*24*60, "")</f>
        <v/>
      </c>
      <c r="Q6873" s="24" t="str" cm="1">
        <f t="array" ref="Q6873">IFERROR(IF($B6873=Q$1, ($A6873+$C6873) - MAX(IF($B$2:$B6872=$B6873, $A$2:$A6872+$C$2:$C6872)), "")*24*60, "")</f>
        <v/>
      </c>
      <c r="R6873" s="24" t="str" cm="1">
        <f t="array" ref="R6873">IFERROR(IF($B6873=R$1, ($A6873+$C6873) - MAX(IF($B$2:$B6872=$B6873, $A$2:$A6872+$C$2:$C6872)), "")*24*60, "")</f>
        <v/>
      </c>
      <c r="S6873" s="24" t="str" cm="1">
        <f t="array" ref="S6873">IFERROR(IF($B6873=S$1, ($A6873+$C6873) - MAX(IF($B$2:$B6872=$B6873, $A$2:$A6872+$C$2:$C6872)), "")*24*60, "")</f>
        <v/>
      </c>
    </row>
    <row r="6874" spans="1:19" x14ac:dyDescent="0.2">
      <c r="A6874" s="12">
        <f t="shared" ref="A6874:C6874" si="1316">A6873</f>
        <v>45992</v>
      </c>
      <c r="B6874" s="5" t="str">
        <f t="shared" si="1316"/>
        <v>Northern Cardinal</v>
      </c>
      <c r="C6874" s="6">
        <f t="shared" si="1316"/>
        <v>0.28333333333333333</v>
      </c>
      <c r="D6874" s="5"/>
      <c r="E6874" s="5"/>
      <c r="F6874" s="5" t="s">
        <v>8</v>
      </c>
      <c r="G6874" s="15" t="s">
        <v>9</v>
      </c>
      <c r="H6874" s="24">
        <f t="shared" si="1308"/>
        <v>0</v>
      </c>
      <c r="I6874" s="24" cm="1">
        <f t="array" ref="I6874">IFERROR(IF($B6874=I$1, ($A6874+$C6874) - MAX(IF($B$2:$B6873=$B6874, $A$2:$A6873+$C$2:$C6873)), "")*24*60, "")</f>
        <v>0</v>
      </c>
      <c r="J6874" s="24" t="str" cm="1">
        <f t="array" ref="J6874">IFERROR(IF($B6874=J$1, ($A6874+$C6874) - MAX(IF($B$2:$B6873=$B6874, $A$2:$A6873+$C$2:$C6873)), "")*24*60, "")</f>
        <v/>
      </c>
      <c r="K6874" s="24" t="str" cm="1">
        <f t="array" ref="K6874">IFERROR(IF($B6874=K$1, ($A6874+$C6874) - MAX(IF($B$2:$B6873=$B6874, $A$2:$A6873+$C$2:$C6873)), "")*24*60, "")</f>
        <v/>
      </c>
      <c r="L6874" s="24" t="str" cm="1">
        <f t="array" ref="L6874">IFERROR(IF($B6874=L$1, ($A6874+$C6874) - MAX(IF($B$2:$B6873=$B6874, $A$2:$A6873+$C$2:$C6873)), "")*24*60, "")</f>
        <v/>
      </c>
      <c r="M6874" s="24" t="str" cm="1">
        <f t="array" ref="M6874">IFERROR(IF($B6874=M$1, ($A6874+$C6874) - MAX(IF($B$2:$B6873=$B6874, $A$2:$A6873+$C$2:$C6873)), "")*24*60, "")</f>
        <v/>
      </c>
      <c r="N6874" s="24" t="str" cm="1">
        <f t="array" ref="N6874">IFERROR(IF($B6874=N$1, ($A6874+$C6874) - MAX(IF($B$2:$B6873=$B6874, $A$2:$A6873+$C$2:$C6873)), "")*24*60, "")</f>
        <v/>
      </c>
      <c r="O6874" s="24" t="str" cm="1">
        <f t="array" ref="O6874">IFERROR(IF($B6874=O$1, ($A6874+$C6874) - MAX(IF($B$2:$B6873=$B6874, $A$2:$A6873+$C$2:$C6873)), "")*24*60, "")</f>
        <v/>
      </c>
      <c r="P6874" s="24" t="str" cm="1">
        <f t="array" ref="P6874">IFERROR(IF($B6874=P$1, ($A6874+$C6874) - MAX(IF($B$2:$B6873=$B6874, $A$2:$A6873+$C$2:$C6873)), "")*24*60, "")</f>
        <v/>
      </c>
      <c r="Q6874" s="24" t="str" cm="1">
        <f t="array" ref="Q6874">IFERROR(IF($B6874=Q$1, ($A6874+$C6874) - MAX(IF($B$2:$B6873=$B6874, $A$2:$A6873+$C$2:$C6873)), "")*24*60, "")</f>
        <v/>
      </c>
      <c r="R6874" s="24" t="str" cm="1">
        <f t="array" ref="R6874">IFERROR(IF($B6874=R$1, ($A6874+$C6874) - MAX(IF($B$2:$B6873=$B6874, $A$2:$A6873+$C$2:$C6873)), "")*24*60, "")</f>
        <v/>
      </c>
      <c r="S6874" s="24" t="str" cm="1">
        <f t="array" ref="S6874">IFERROR(IF($B6874=S$1, ($A6874+$C6874) - MAX(IF($B$2:$B6873=$B6874, $A$2:$A6873+$C$2:$C6873)), "")*24*60, "")</f>
        <v/>
      </c>
    </row>
    <row r="6875" spans="1:19" x14ac:dyDescent="0.2">
      <c r="A6875" s="12">
        <f t="shared" ref="A6875:C6875" si="1317">A6874</f>
        <v>45992</v>
      </c>
      <c r="B6875" s="5" t="str">
        <f t="shared" si="1317"/>
        <v>Northern Cardinal</v>
      </c>
      <c r="C6875" s="6">
        <f t="shared" si="1317"/>
        <v>0.28333333333333333</v>
      </c>
      <c r="D6875" s="5"/>
      <c r="E6875" s="5"/>
      <c r="F6875" s="5" t="s">
        <v>8</v>
      </c>
      <c r="G6875" s="15" t="s">
        <v>9</v>
      </c>
      <c r="H6875" s="24">
        <f t="shared" si="1308"/>
        <v>0</v>
      </c>
      <c r="I6875" s="24" cm="1">
        <f t="array" ref="I6875">IFERROR(IF($B6875=I$1, ($A6875+$C6875) - MAX(IF($B$2:$B6874=$B6875, $A$2:$A6874+$C$2:$C6874)), "")*24*60, "")</f>
        <v>0</v>
      </c>
      <c r="J6875" s="24" t="str" cm="1">
        <f t="array" ref="J6875">IFERROR(IF($B6875=J$1, ($A6875+$C6875) - MAX(IF($B$2:$B6874=$B6875, $A$2:$A6874+$C$2:$C6874)), "")*24*60, "")</f>
        <v/>
      </c>
      <c r="K6875" s="24" t="str" cm="1">
        <f t="array" ref="K6875">IFERROR(IF($B6875=K$1, ($A6875+$C6875) - MAX(IF($B$2:$B6874=$B6875, $A$2:$A6874+$C$2:$C6874)), "")*24*60, "")</f>
        <v/>
      </c>
      <c r="L6875" s="24" t="str" cm="1">
        <f t="array" ref="L6875">IFERROR(IF($B6875=L$1, ($A6875+$C6875) - MAX(IF($B$2:$B6874=$B6875, $A$2:$A6874+$C$2:$C6874)), "")*24*60, "")</f>
        <v/>
      </c>
      <c r="M6875" s="24" t="str" cm="1">
        <f t="array" ref="M6875">IFERROR(IF($B6875=M$1, ($A6875+$C6875) - MAX(IF($B$2:$B6874=$B6875, $A$2:$A6874+$C$2:$C6874)), "")*24*60, "")</f>
        <v/>
      </c>
      <c r="N6875" s="24" t="str" cm="1">
        <f t="array" ref="N6875">IFERROR(IF($B6875=N$1, ($A6875+$C6875) - MAX(IF($B$2:$B6874=$B6875, $A$2:$A6874+$C$2:$C6874)), "")*24*60, "")</f>
        <v/>
      </c>
      <c r="O6875" s="24" t="str" cm="1">
        <f t="array" ref="O6875">IFERROR(IF($B6875=O$1, ($A6875+$C6875) - MAX(IF($B$2:$B6874=$B6875, $A$2:$A6874+$C$2:$C6874)), "")*24*60, "")</f>
        <v/>
      </c>
      <c r="P6875" s="24" t="str" cm="1">
        <f t="array" ref="P6875">IFERROR(IF($B6875=P$1, ($A6875+$C6875) - MAX(IF($B$2:$B6874=$B6875, $A$2:$A6874+$C$2:$C6874)), "")*24*60, "")</f>
        <v/>
      </c>
      <c r="Q6875" s="24" t="str" cm="1">
        <f t="array" ref="Q6875">IFERROR(IF($B6875=Q$1, ($A6875+$C6875) - MAX(IF($B$2:$B6874=$B6875, $A$2:$A6874+$C$2:$C6874)), "")*24*60, "")</f>
        <v/>
      </c>
      <c r="R6875" s="24" t="str" cm="1">
        <f t="array" ref="R6875">IFERROR(IF($B6875=R$1, ($A6875+$C6875) - MAX(IF($B$2:$B6874=$B6875, $A$2:$A6874+$C$2:$C6874)), "")*24*60, "")</f>
        <v/>
      </c>
      <c r="S6875" s="24" t="str" cm="1">
        <f t="array" ref="S6875">IFERROR(IF($B6875=S$1, ($A6875+$C6875) - MAX(IF($B$2:$B6874=$B6875, $A$2:$A6874+$C$2:$C6874)), "")*24*60, "")</f>
        <v/>
      </c>
    </row>
    <row r="6876" spans="1:19" x14ac:dyDescent="0.2">
      <c r="A6876" s="12">
        <f t="shared" ref="A6876:C6876" si="1318">A6875</f>
        <v>45992</v>
      </c>
      <c r="B6876" s="5" t="str">
        <f t="shared" si="1318"/>
        <v>Northern Cardinal</v>
      </c>
      <c r="C6876" s="6">
        <f t="shared" si="1318"/>
        <v>0.28333333333333333</v>
      </c>
      <c r="D6876" s="5"/>
      <c r="E6876" s="5"/>
      <c r="F6876" s="5" t="s">
        <v>8</v>
      </c>
      <c r="G6876" s="15" t="s">
        <v>9</v>
      </c>
      <c r="H6876" s="24">
        <f t="shared" si="1308"/>
        <v>0</v>
      </c>
      <c r="I6876" s="24" cm="1">
        <f t="array" ref="I6876">IFERROR(IF($B6876=I$1, ($A6876+$C6876) - MAX(IF($B$2:$B6875=$B6876, $A$2:$A6875+$C$2:$C6875)), "")*24*60, "")</f>
        <v>0</v>
      </c>
      <c r="J6876" s="24" t="str" cm="1">
        <f t="array" ref="J6876">IFERROR(IF($B6876=J$1, ($A6876+$C6876) - MAX(IF($B$2:$B6875=$B6876, $A$2:$A6875+$C$2:$C6875)), "")*24*60, "")</f>
        <v/>
      </c>
      <c r="K6876" s="24" t="str" cm="1">
        <f t="array" ref="K6876">IFERROR(IF($B6876=K$1, ($A6876+$C6876) - MAX(IF($B$2:$B6875=$B6876, $A$2:$A6875+$C$2:$C6875)), "")*24*60, "")</f>
        <v/>
      </c>
      <c r="L6876" s="24" t="str" cm="1">
        <f t="array" ref="L6876">IFERROR(IF($B6876=L$1, ($A6876+$C6876) - MAX(IF($B$2:$B6875=$B6876, $A$2:$A6875+$C$2:$C6875)), "")*24*60, "")</f>
        <v/>
      </c>
      <c r="M6876" s="24" t="str" cm="1">
        <f t="array" ref="M6876">IFERROR(IF($B6876=M$1, ($A6876+$C6876) - MAX(IF($B$2:$B6875=$B6876, $A$2:$A6875+$C$2:$C6875)), "")*24*60, "")</f>
        <v/>
      </c>
      <c r="N6876" s="24" t="str" cm="1">
        <f t="array" ref="N6876">IFERROR(IF($B6876=N$1, ($A6876+$C6876) - MAX(IF($B$2:$B6875=$B6876, $A$2:$A6875+$C$2:$C6875)), "")*24*60, "")</f>
        <v/>
      </c>
      <c r="O6876" s="24" t="str" cm="1">
        <f t="array" ref="O6876">IFERROR(IF($B6876=O$1, ($A6876+$C6876) - MAX(IF($B$2:$B6875=$B6876, $A$2:$A6875+$C$2:$C6875)), "")*24*60, "")</f>
        <v/>
      </c>
      <c r="P6876" s="24" t="str" cm="1">
        <f t="array" ref="P6876">IFERROR(IF($B6876=P$1, ($A6876+$C6876) - MAX(IF($B$2:$B6875=$B6876, $A$2:$A6875+$C$2:$C6875)), "")*24*60, "")</f>
        <v/>
      </c>
      <c r="Q6876" s="24" t="str" cm="1">
        <f t="array" ref="Q6876">IFERROR(IF($B6876=Q$1, ($A6876+$C6876) - MAX(IF($B$2:$B6875=$B6876, $A$2:$A6875+$C$2:$C6875)), "")*24*60, "")</f>
        <v/>
      </c>
      <c r="R6876" s="24" t="str" cm="1">
        <f t="array" ref="R6876">IFERROR(IF($B6876=R$1, ($A6876+$C6876) - MAX(IF($B$2:$B6875=$B6876, $A$2:$A6875+$C$2:$C6875)), "")*24*60, "")</f>
        <v/>
      </c>
      <c r="S6876" s="24" t="str" cm="1">
        <f t="array" ref="S6876">IFERROR(IF($B6876=S$1, ($A6876+$C6876) - MAX(IF($B$2:$B6875=$B6876, $A$2:$A6875+$C$2:$C6875)), "")*24*60, "")</f>
        <v/>
      </c>
    </row>
    <row r="6877" spans="1:19" x14ac:dyDescent="0.2">
      <c r="A6877" s="12">
        <f t="shared" ref="A6877:C6877" si="1319">A6876</f>
        <v>45992</v>
      </c>
      <c r="B6877" s="5" t="str">
        <f t="shared" si="1319"/>
        <v>Northern Cardinal</v>
      </c>
      <c r="C6877" s="6">
        <f t="shared" si="1319"/>
        <v>0.28333333333333333</v>
      </c>
      <c r="D6877" s="5"/>
      <c r="E6877" s="5"/>
      <c r="F6877" s="5" t="s">
        <v>8</v>
      </c>
      <c r="G6877" s="15" t="s">
        <v>9</v>
      </c>
      <c r="H6877" s="24">
        <f t="shared" si="1308"/>
        <v>0</v>
      </c>
      <c r="I6877" s="24" cm="1">
        <f t="array" ref="I6877">IFERROR(IF($B6877=I$1, ($A6877+$C6877) - MAX(IF($B$2:$B6876=$B6877, $A$2:$A6876+$C$2:$C6876)), "")*24*60, "")</f>
        <v>0</v>
      </c>
      <c r="J6877" s="24" t="str" cm="1">
        <f t="array" ref="J6877">IFERROR(IF($B6877=J$1, ($A6877+$C6877) - MAX(IF($B$2:$B6876=$B6877, $A$2:$A6876+$C$2:$C6876)), "")*24*60, "")</f>
        <v/>
      </c>
      <c r="K6877" s="24" t="str" cm="1">
        <f t="array" ref="K6877">IFERROR(IF($B6877=K$1, ($A6877+$C6877) - MAX(IF($B$2:$B6876=$B6877, $A$2:$A6876+$C$2:$C6876)), "")*24*60, "")</f>
        <v/>
      </c>
      <c r="L6877" s="24" t="str" cm="1">
        <f t="array" ref="L6877">IFERROR(IF($B6877=L$1, ($A6877+$C6877) - MAX(IF($B$2:$B6876=$B6877, $A$2:$A6876+$C$2:$C6876)), "")*24*60, "")</f>
        <v/>
      </c>
      <c r="M6877" s="24" t="str" cm="1">
        <f t="array" ref="M6877">IFERROR(IF($B6877=M$1, ($A6877+$C6877) - MAX(IF($B$2:$B6876=$B6877, $A$2:$A6876+$C$2:$C6876)), "")*24*60, "")</f>
        <v/>
      </c>
      <c r="N6877" s="24" t="str" cm="1">
        <f t="array" ref="N6877">IFERROR(IF($B6877=N$1, ($A6877+$C6877) - MAX(IF($B$2:$B6876=$B6877, $A$2:$A6876+$C$2:$C6876)), "")*24*60, "")</f>
        <v/>
      </c>
      <c r="O6877" s="24" t="str" cm="1">
        <f t="array" ref="O6877">IFERROR(IF($B6877=O$1, ($A6877+$C6877) - MAX(IF($B$2:$B6876=$B6877, $A$2:$A6876+$C$2:$C6876)), "")*24*60, "")</f>
        <v/>
      </c>
      <c r="P6877" s="24" t="str" cm="1">
        <f t="array" ref="P6877">IFERROR(IF($B6877=P$1, ($A6877+$C6877) - MAX(IF($B$2:$B6876=$B6877, $A$2:$A6876+$C$2:$C6876)), "")*24*60, "")</f>
        <v/>
      </c>
      <c r="Q6877" s="24" t="str" cm="1">
        <f t="array" ref="Q6877">IFERROR(IF($B6877=Q$1, ($A6877+$C6877) - MAX(IF($B$2:$B6876=$B6877, $A$2:$A6876+$C$2:$C6876)), "")*24*60, "")</f>
        <v/>
      </c>
      <c r="R6877" s="24" t="str" cm="1">
        <f t="array" ref="R6877">IFERROR(IF($B6877=R$1, ($A6877+$C6877) - MAX(IF($B$2:$B6876=$B6877, $A$2:$A6876+$C$2:$C6876)), "")*24*60, "")</f>
        <v/>
      </c>
      <c r="S6877" s="24" t="str" cm="1">
        <f t="array" ref="S6877">IFERROR(IF($B6877=S$1, ($A6877+$C6877) - MAX(IF($B$2:$B6876=$B6877, $A$2:$A6876+$C$2:$C6876)), "")*24*60, "")</f>
        <v/>
      </c>
    </row>
    <row r="6878" spans="1:19" x14ac:dyDescent="0.2">
      <c r="A6878" s="12">
        <f t="shared" ref="A6878:C6878" si="1320">A6877</f>
        <v>45992</v>
      </c>
      <c r="B6878" s="5" t="str">
        <f t="shared" si="1320"/>
        <v>Northern Cardinal</v>
      </c>
      <c r="C6878" s="6">
        <f t="shared" si="1320"/>
        <v>0.28333333333333333</v>
      </c>
      <c r="D6878" s="5"/>
      <c r="E6878" s="5"/>
      <c r="F6878" s="5" t="s">
        <v>8</v>
      </c>
      <c r="G6878" s="15" t="s">
        <v>9</v>
      </c>
      <c r="H6878" s="24">
        <f t="shared" si="1308"/>
        <v>0</v>
      </c>
      <c r="I6878" s="24" cm="1">
        <f t="array" ref="I6878">IFERROR(IF($B6878=I$1, ($A6878+$C6878) - MAX(IF($B$2:$B6877=$B6878, $A$2:$A6877+$C$2:$C6877)), "")*24*60, "")</f>
        <v>0</v>
      </c>
      <c r="J6878" s="24" t="str" cm="1">
        <f t="array" ref="J6878">IFERROR(IF($B6878=J$1, ($A6878+$C6878) - MAX(IF($B$2:$B6877=$B6878, $A$2:$A6877+$C$2:$C6877)), "")*24*60, "")</f>
        <v/>
      </c>
      <c r="K6878" s="24" t="str" cm="1">
        <f t="array" ref="K6878">IFERROR(IF($B6878=K$1, ($A6878+$C6878) - MAX(IF($B$2:$B6877=$B6878, $A$2:$A6877+$C$2:$C6877)), "")*24*60, "")</f>
        <v/>
      </c>
      <c r="L6878" s="24" t="str" cm="1">
        <f t="array" ref="L6878">IFERROR(IF($B6878=L$1, ($A6878+$C6878) - MAX(IF($B$2:$B6877=$B6878, $A$2:$A6877+$C$2:$C6877)), "")*24*60, "")</f>
        <v/>
      </c>
      <c r="M6878" s="24" t="str" cm="1">
        <f t="array" ref="M6878">IFERROR(IF($B6878=M$1, ($A6878+$C6878) - MAX(IF($B$2:$B6877=$B6878, $A$2:$A6877+$C$2:$C6877)), "")*24*60, "")</f>
        <v/>
      </c>
      <c r="N6878" s="24" t="str" cm="1">
        <f t="array" ref="N6878">IFERROR(IF($B6878=N$1, ($A6878+$C6878) - MAX(IF($B$2:$B6877=$B6878, $A$2:$A6877+$C$2:$C6877)), "")*24*60, "")</f>
        <v/>
      </c>
      <c r="O6878" s="24" t="str" cm="1">
        <f t="array" ref="O6878">IFERROR(IF($B6878=O$1, ($A6878+$C6878) - MAX(IF($B$2:$B6877=$B6878, $A$2:$A6877+$C$2:$C6877)), "")*24*60, "")</f>
        <v/>
      </c>
      <c r="P6878" s="24" t="str" cm="1">
        <f t="array" ref="P6878">IFERROR(IF($B6878=P$1, ($A6878+$C6878) - MAX(IF($B$2:$B6877=$B6878, $A$2:$A6877+$C$2:$C6877)), "")*24*60, "")</f>
        <v/>
      </c>
      <c r="Q6878" s="24" t="str" cm="1">
        <f t="array" ref="Q6878">IFERROR(IF($B6878=Q$1, ($A6878+$C6878) - MAX(IF($B$2:$B6877=$B6878, $A$2:$A6877+$C$2:$C6877)), "")*24*60, "")</f>
        <v/>
      </c>
      <c r="R6878" s="24" t="str" cm="1">
        <f t="array" ref="R6878">IFERROR(IF($B6878=R$1, ($A6878+$C6878) - MAX(IF($B$2:$B6877=$B6878, $A$2:$A6877+$C$2:$C6877)), "")*24*60, "")</f>
        <v/>
      </c>
      <c r="S6878" s="24" t="str" cm="1">
        <f t="array" ref="S6878">IFERROR(IF($B6878=S$1, ($A6878+$C6878) - MAX(IF($B$2:$B6877=$B6878, $A$2:$A6877+$C$2:$C6877)), "")*24*60, "")</f>
        <v/>
      </c>
    </row>
    <row r="6879" spans="1:19" x14ac:dyDescent="0.2">
      <c r="A6879" s="12">
        <f t="shared" ref="A6879:C6879" si="1321">A6878</f>
        <v>45992</v>
      </c>
      <c r="B6879" s="5" t="str">
        <f t="shared" si="1321"/>
        <v>Northern Cardinal</v>
      </c>
      <c r="C6879" s="6">
        <f t="shared" si="1321"/>
        <v>0.28333333333333333</v>
      </c>
      <c r="D6879" s="5"/>
      <c r="E6879" s="5"/>
      <c r="F6879" s="5" t="s">
        <v>8</v>
      </c>
      <c r="G6879" s="15" t="s">
        <v>9</v>
      </c>
      <c r="H6879" s="24">
        <f t="shared" si="1308"/>
        <v>0</v>
      </c>
      <c r="I6879" s="24" cm="1">
        <f t="array" ref="I6879">IFERROR(IF($B6879=I$1, ($A6879+$C6879) - MAX(IF($B$2:$B6878=$B6879, $A$2:$A6878+$C$2:$C6878)), "")*24*60, "")</f>
        <v>0</v>
      </c>
      <c r="J6879" s="24" t="str" cm="1">
        <f t="array" ref="J6879">IFERROR(IF($B6879=J$1, ($A6879+$C6879) - MAX(IF($B$2:$B6878=$B6879, $A$2:$A6878+$C$2:$C6878)), "")*24*60, "")</f>
        <v/>
      </c>
      <c r="K6879" s="24" t="str" cm="1">
        <f t="array" ref="K6879">IFERROR(IF($B6879=K$1, ($A6879+$C6879) - MAX(IF($B$2:$B6878=$B6879, $A$2:$A6878+$C$2:$C6878)), "")*24*60, "")</f>
        <v/>
      </c>
      <c r="L6879" s="24" t="str" cm="1">
        <f t="array" ref="L6879">IFERROR(IF($B6879=L$1, ($A6879+$C6879) - MAX(IF($B$2:$B6878=$B6879, $A$2:$A6878+$C$2:$C6878)), "")*24*60, "")</f>
        <v/>
      </c>
      <c r="M6879" s="24" t="str" cm="1">
        <f t="array" ref="M6879">IFERROR(IF($B6879=M$1, ($A6879+$C6879) - MAX(IF($B$2:$B6878=$B6879, $A$2:$A6878+$C$2:$C6878)), "")*24*60, "")</f>
        <v/>
      </c>
      <c r="N6879" s="24" t="str" cm="1">
        <f t="array" ref="N6879">IFERROR(IF($B6879=N$1, ($A6879+$C6879) - MAX(IF($B$2:$B6878=$B6879, $A$2:$A6878+$C$2:$C6878)), "")*24*60, "")</f>
        <v/>
      </c>
      <c r="O6879" s="24" t="str" cm="1">
        <f t="array" ref="O6879">IFERROR(IF($B6879=O$1, ($A6879+$C6879) - MAX(IF($B$2:$B6878=$B6879, $A$2:$A6878+$C$2:$C6878)), "")*24*60, "")</f>
        <v/>
      </c>
      <c r="P6879" s="24" t="str" cm="1">
        <f t="array" ref="P6879">IFERROR(IF($B6879=P$1, ($A6879+$C6879) - MAX(IF($B$2:$B6878=$B6879, $A$2:$A6878+$C$2:$C6878)), "")*24*60, "")</f>
        <v/>
      </c>
      <c r="Q6879" s="24" t="str" cm="1">
        <f t="array" ref="Q6879">IFERROR(IF($B6879=Q$1, ($A6879+$C6879) - MAX(IF($B$2:$B6878=$B6879, $A$2:$A6878+$C$2:$C6878)), "")*24*60, "")</f>
        <v/>
      </c>
      <c r="R6879" s="24" t="str" cm="1">
        <f t="array" ref="R6879">IFERROR(IF($B6879=R$1, ($A6879+$C6879) - MAX(IF($B$2:$B6878=$B6879, $A$2:$A6878+$C$2:$C6878)), "")*24*60, "")</f>
        <v/>
      </c>
      <c r="S6879" s="24" t="str" cm="1">
        <f t="array" ref="S6879">IFERROR(IF($B6879=S$1, ($A6879+$C6879) - MAX(IF($B$2:$B6878=$B6879, $A$2:$A6878+$C$2:$C6878)), "")*24*60, "")</f>
        <v/>
      </c>
    </row>
    <row r="6880" spans="1:19" x14ac:dyDescent="0.2">
      <c r="A6880" s="12">
        <f t="shared" ref="A6880:C6880" si="1322">A6879</f>
        <v>45992</v>
      </c>
      <c r="B6880" s="5" t="str">
        <f t="shared" si="1322"/>
        <v>Northern Cardinal</v>
      </c>
      <c r="C6880" s="6">
        <f t="shared" si="1322"/>
        <v>0.28333333333333333</v>
      </c>
      <c r="D6880" s="5"/>
      <c r="E6880" s="5"/>
      <c r="F6880" s="5" t="s">
        <v>8</v>
      </c>
      <c r="G6880" s="15" t="s">
        <v>9</v>
      </c>
      <c r="H6880" s="24">
        <f t="shared" si="1308"/>
        <v>0</v>
      </c>
      <c r="I6880" s="24" cm="1">
        <f t="array" ref="I6880">IFERROR(IF($B6880=I$1, ($A6880+$C6880) - MAX(IF($B$2:$B6879=$B6880, $A$2:$A6879+$C$2:$C6879)), "")*24*60, "")</f>
        <v>0</v>
      </c>
      <c r="J6880" s="24" t="str" cm="1">
        <f t="array" ref="J6880">IFERROR(IF($B6880=J$1, ($A6880+$C6880) - MAX(IF($B$2:$B6879=$B6880, $A$2:$A6879+$C$2:$C6879)), "")*24*60, "")</f>
        <v/>
      </c>
      <c r="K6880" s="24" t="str" cm="1">
        <f t="array" ref="K6880">IFERROR(IF($B6880=K$1, ($A6880+$C6880) - MAX(IF($B$2:$B6879=$B6880, $A$2:$A6879+$C$2:$C6879)), "")*24*60, "")</f>
        <v/>
      </c>
      <c r="L6880" s="24" t="str" cm="1">
        <f t="array" ref="L6880">IFERROR(IF($B6880=L$1, ($A6880+$C6880) - MAX(IF($B$2:$B6879=$B6880, $A$2:$A6879+$C$2:$C6879)), "")*24*60, "")</f>
        <v/>
      </c>
      <c r="M6880" s="24" t="str" cm="1">
        <f t="array" ref="M6880">IFERROR(IF($B6880=M$1, ($A6880+$C6880) - MAX(IF($B$2:$B6879=$B6880, $A$2:$A6879+$C$2:$C6879)), "")*24*60, "")</f>
        <v/>
      </c>
      <c r="N6880" s="24" t="str" cm="1">
        <f t="array" ref="N6880">IFERROR(IF($B6880=N$1, ($A6880+$C6880) - MAX(IF($B$2:$B6879=$B6880, $A$2:$A6879+$C$2:$C6879)), "")*24*60, "")</f>
        <v/>
      </c>
      <c r="O6880" s="24" t="str" cm="1">
        <f t="array" ref="O6880">IFERROR(IF($B6880=O$1, ($A6880+$C6880) - MAX(IF($B$2:$B6879=$B6880, $A$2:$A6879+$C$2:$C6879)), "")*24*60, "")</f>
        <v/>
      </c>
      <c r="P6880" s="24" t="str" cm="1">
        <f t="array" ref="P6880">IFERROR(IF($B6880=P$1, ($A6880+$C6880) - MAX(IF($B$2:$B6879=$B6880, $A$2:$A6879+$C$2:$C6879)), "")*24*60, "")</f>
        <v/>
      </c>
      <c r="Q6880" s="24" t="str" cm="1">
        <f t="array" ref="Q6880">IFERROR(IF($B6880=Q$1, ($A6880+$C6880) - MAX(IF($B$2:$B6879=$B6880, $A$2:$A6879+$C$2:$C6879)), "")*24*60, "")</f>
        <v/>
      </c>
      <c r="R6880" s="24" t="str" cm="1">
        <f t="array" ref="R6880">IFERROR(IF($B6880=R$1, ($A6880+$C6880) - MAX(IF($B$2:$B6879=$B6880, $A$2:$A6879+$C$2:$C6879)), "")*24*60, "")</f>
        <v/>
      </c>
      <c r="S6880" s="24" t="str" cm="1">
        <f t="array" ref="S6880">IFERROR(IF($B6880=S$1, ($A6880+$C6880) - MAX(IF($B$2:$B6879=$B6880, $A$2:$A6879+$C$2:$C6879)), "")*24*60, "")</f>
        <v/>
      </c>
    </row>
    <row r="6881" spans="1:19" x14ac:dyDescent="0.2">
      <c r="A6881" s="12">
        <f t="shared" ref="A6881:C6881" si="1323">A6880</f>
        <v>45992</v>
      </c>
      <c r="B6881" s="5" t="str">
        <f t="shared" si="1323"/>
        <v>Northern Cardinal</v>
      </c>
      <c r="C6881" s="6">
        <f t="shared" si="1323"/>
        <v>0.28333333333333333</v>
      </c>
      <c r="D6881" s="5"/>
      <c r="E6881" s="5"/>
      <c r="F6881" s="5" t="s">
        <v>8</v>
      </c>
      <c r="G6881" s="15" t="s">
        <v>9</v>
      </c>
      <c r="H6881" s="24">
        <f t="shared" si="1308"/>
        <v>0</v>
      </c>
      <c r="I6881" s="24" cm="1">
        <f t="array" ref="I6881">IFERROR(IF($B6881=I$1, ($A6881+$C6881) - MAX(IF($B$2:$B6880=$B6881, $A$2:$A6880+$C$2:$C6880)), "")*24*60, "")</f>
        <v>0</v>
      </c>
      <c r="J6881" s="24" t="str" cm="1">
        <f t="array" ref="J6881">IFERROR(IF($B6881=J$1, ($A6881+$C6881) - MAX(IF($B$2:$B6880=$B6881, $A$2:$A6880+$C$2:$C6880)), "")*24*60, "")</f>
        <v/>
      </c>
      <c r="K6881" s="24" t="str" cm="1">
        <f t="array" ref="K6881">IFERROR(IF($B6881=K$1, ($A6881+$C6881) - MAX(IF($B$2:$B6880=$B6881, $A$2:$A6880+$C$2:$C6880)), "")*24*60, "")</f>
        <v/>
      </c>
      <c r="L6881" s="24" t="str" cm="1">
        <f t="array" ref="L6881">IFERROR(IF($B6881=L$1, ($A6881+$C6881) - MAX(IF($B$2:$B6880=$B6881, $A$2:$A6880+$C$2:$C6880)), "")*24*60, "")</f>
        <v/>
      </c>
      <c r="M6881" s="24" t="str" cm="1">
        <f t="array" ref="M6881">IFERROR(IF($B6881=M$1, ($A6881+$C6881) - MAX(IF($B$2:$B6880=$B6881, $A$2:$A6880+$C$2:$C6880)), "")*24*60, "")</f>
        <v/>
      </c>
      <c r="N6881" s="24" t="str" cm="1">
        <f t="array" ref="N6881">IFERROR(IF($B6881=N$1, ($A6881+$C6881) - MAX(IF($B$2:$B6880=$B6881, $A$2:$A6880+$C$2:$C6880)), "")*24*60, "")</f>
        <v/>
      </c>
      <c r="O6881" s="24" t="str" cm="1">
        <f t="array" ref="O6881">IFERROR(IF($B6881=O$1, ($A6881+$C6881) - MAX(IF($B$2:$B6880=$B6881, $A$2:$A6880+$C$2:$C6880)), "")*24*60, "")</f>
        <v/>
      </c>
      <c r="P6881" s="24" t="str" cm="1">
        <f t="array" ref="P6881">IFERROR(IF($B6881=P$1, ($A6881+$C6881) - MAX(IF($B$2:$B6880=$B6881, $A$2:$A6880+$C$2:$C6880)), "")*24*60, "")</f>
        <v/>
      </c>
      <c r="Q6881" s="24" t="str" cm="1">
        <f t="array" ref="Q6881">IFERROR(IF($B6881=Q$1, ($A6881+$C6881) - MAX(IF($B$2:$B6880=$B6881, $A$2:$A6880+$C$2:$C6880)), "")*24*60, "")</f>
        <v/>
      </c>
      <c r="R6881" s="24" t="str" cm="1">
        <f t="array" ref="R6881">IFERROR(IF($B6881=R$1, ($A6881+$C6881) - MAX(IF($B$2:$B6880=$B6881, $A$2:$A6880+$C$2:$C6880)), "")*24*60, "")</f>
        <v/>
      </c>
      <c r="S6881" s="24" t="str" cm="1">
        <f t="array" ref="S6881">IFERROR(IF($B6881=S$1, ($A6881+$C6881) - MAX(IF($B$2:$B6880=$B6881, $A$2:$A6880+$C$2:$C6880)), "")*24*60, "")</f>
        <v/>
      </c>
    </row>
    <row r="6882" spans="1:19" x14ac:dyDescent="0.2">
      <c r="A6882" s="12">
        <f t="shared" ref="A6882:C6882" si="1324">A6881</f>
        <v>45992</v>
      </c>
      <c r="B6882" s="5" t="str">
        <f t="shared" si="1324"/>
        <v>Northern Cardinal</v>
      </c>
      <c r="C6882" s="6">
        <f t="shared" si="1324"/>
        <v>0.28333333333333333</v>
      </c>
      <c r="D6882" s="5"/>
      <c r="E6882" s="5"/>
      <c r="F6882" s="5" t="s">
        <v>8</v>
      </c>
      <c r="G6882" s="15" t="s">
        <v>9</v>
      </c>
      <c r="H6882" s="24">
        <f t="shared" si="1308"/>
        <v>0</v>
      </c>
      <c r="I6882" s="24" cm="1">
        <f t="array" ref="I6882">IFERROR(IF($B6882=I$1, ($A6882+$C6882) - MAX(IF($B$2:$B6881=$B6882, $A$2:$A6881+$C$2:$C6881)), "")*24*60, "")</f>
        <v>0</v>
      </c>
      <c r="J6882" s="24" t="str" cm="1">
        <f t="array" ref="J6882">IFERROR(IF($B6882=J$1, ($A6882+$C6882) - MAX(IF($B$2:$B6881=$B6882, $A$2:$A6881+$C$2:$C6881)), "")*24*60, "")</f>
        <v/>
      </c>
      <c r="K6882" s="24" t="str" cm="1">
        <f t="array" ref="K6882">IFERROR(IF($B6882=K$1, ($A6882+$C6882) - MAX(IF($B$2:$B6881=$B6882, $A$2:$A6881+$C$2:$C6881)), "")*24*60, "")</f>
        <v/>
      </c>
      <c r="L6882" s="24" t="str" cm="1">
        <f t="array" ref="L6882">IFERROR(IF($B6882=L$1, ($A6882+$C6882) - MAX(IF($B$2:$B6881=$B6882, $A$2:$A6881+$C$2:$C6881)), "")*24*60, "")</f>
        <v/>
      </c>
      <c r="M6882" s="24" t="str" cm="1">
        <f t="array" ref="M6882">IFERROR(IF($B6882=M$1, ($A6882+$C6882) - MAX(IF($B$2:$B6881=$B6882, $A$2:$A6881+$C$2:$C6881)), "")*24*60, "")</f>
        <v/>
      </c>
      <c r="N6882" s="24" t="str" cm="1">
        <f t="array" ref="N6882">IFERROR(IF($B6882=N$1, ($A6882+$C6882) - MAX(IF($B$2:$B6881=$B6882, $A$2:$A6881+$C$2:$C6881)), "")*24*60, "")</f>
        <v/>
      </c>
      <c r="O6882" s="24" t="str" cm="1">
        <f t="array" ref="O6882">IFERROR(IF($B6882=O$1, ($A6882+$C6882) - MAX(IF($B$2:$B6881=$B6882, $A$2:$A6881+$C$2:$C6881)), "")*24*60, "")</f>
        <v/>
      </c>
      <c r="P6882" s="24" t="str" cm="1">
        <f t="array" ref="P6882">IFERROR(IF($B6882=P$1, ($A6882+$C6882) - MAX(IF($B$2:$B6881=$B6882, $A$2:$A6881+$C$2:$C6881)), "")*24*60, "")</f>
        <v/>
      </c>
      <c r="Q6882" s="24" t="str" cm="1">
        <f t="array" ref="Q6882">IFERROR(IF($B6882=Q$1, ($A6882+$C6882) - MAX(IF($B$2:$B6881=$B6882, $A$2:$A6881+$C$2:$C6881)), "")*24*60, "")</f>
        <v/>
      </c>
      <c r="R6882" s="24" t="str" cm="1">
        <f t="array" ref="R6882">IFERROR(IF($B6882=R$1, ($A6882+$C6882) - MAX(IF($B$2:$B6881=$B6882, $A$2:$A6881+$C$2:$C6881)), "")*24*60, "")</f>
        <v/>
      </c>
      <c r="S6882" s="24" t="str" cm="1">
        <f t="array" ref="S6882">IFERROR(IF($B6882=S$1, ($A6882+$C6882) - MAX(IF($B$2:$B6881=$B6882, $A$2:$A6881+$C$2:$C6881)), "")*24*60, "")</f>
        <v/>
      </c>
    </row>
    <row r="6883" spans="1:19" x14ac:dyDescent="0.2">
      <c r="A6883" s="12">
        <f t="shared" ref="A6883:C6883" si="1325">A6882</f>
        <v>45992</v>
      </c>
      <c r="B6883" s="5" t="str">
        <f t="shared" si="1325"/>
        <v>Northern Cardinal</v>
      </c>
      <c r="C6883" s="6">
        <f t="shared" si="1325"/>
        <v>0.28333333333333333</v>
      </c>
      <c r="D6883" s="5"/>
      <c r="E6883" s="5"/>
      <c r="F6883" s="5" t="s">
        <v>8</v>
      </c>
      <c r="G6883" s="15" t="s">
        <v>9</v>
      </c>
      <c r="H6883" s="24">
        <f t="shared" si="1308"/>
        <v>0</v>
      </c>
      <c r="I6883" s="24" cm="1">
        <f t="array" ref="I6883">IFERROR(IF($B6883=I$1, ($A6883+$C6883) - MAX(IF($B$2:$B6882=$B6883, $A$2:$A6882+$C$2:$C6882)), "")*24*60, "")</f>
        <v>0</v>
      </c>
      <c r="J6883" s="24" t="str" cm="1">
        <f t="array" ref="J6883">IFERROR(IF($B6883=J$1, ($A6883+$C6883) - MAX(IF($B$2:$B6882=$B6883, $A$2:$A6882+$C$2:$C6882)), "")*24*60, "")</f>
        <v/>
      </c>
      <c r="K6883" s="24" t="str" cm="1">
        <f t="array" ref="K6883">IFERROR(IF($B6883=K$1, ($A6883+$C6883) - MAX(IF($B$2:$B6882=$B6883, $A$2:$A6882+$C$2:$C6882)), "")*24*60, "")</f>
        <v/>
      </c>
      <c r="L6883" s="24" t="str" cm="1">
        <f t="array" ref="L6883">IFERROR(IF($B6883=L$1, ($A6883+$C6883) - MAX(IF($B$2:$B6882=$B6883, $A$2:$A6882+$C$2:$C6882)), "")*24*60, "")</f>
        <v/>
      </c>
      <c r="M6883" s="24" t="str" cm="1">
        <f t="array" ref="M6883">IFERROR(IF($B6883=M$1, ($A6883+$C6883) - MAX(IF($B$2:$B6882=$B6883, $A$2:$A6882+$C$2:$C6882)), "")*24*60, "")</f>
        <v/>
      </c>
      <c r="N6883" s="24" t="str" cm="1">
        <f t="array" ref="N6883">IFERROR(IF($B6883=N$1, ($A6883+$C6883) - MAX(IF($B$2:$B6882=$B6883, $A$2:$A6882+$C$2:$C6882)), "")*24*60, "")</f>
        <v/>
      </c>
      <c r="O6883" s="24" t="str" cm="1">
        <f t="array" ref="O6883">IFERROR(IF($B6883=O$1, ($A6883+$C6883) - MAX(IF($B$2:$B6882=$B6883, $A$2:$A6882+$C$2:$C6882)), "")*24*60, "")</f>
        <v/>
      </c>
      <c r="P6883" s="24" t="str" cm="1">
        <f t="array" ref="P6883">IFERROR(IF($B6883=P$1, ($A6883+$C6883) - MAX(IF($B$2:$B6882=$B6883, $A$2:$A6882+$C$2:$C6882)), "")*24*60, "")</f>
        <v/>
      </c>
      <c r="Q6883" s="24" t="str" cm="1">
        <f t="array" ref="Q6883">IFERROR(IF($B6883=Q$1, ($A6883+$C6883) - MAX(IF($B$2:$B6882=$B6883, $A$2:$A6882+$C$2:$C6882)), "")*24*60, "")</f>
        <v/>
      </c>
      <c r="R6883" s="24" t="str" cm="1">
        <f t="array" ref="R6883">IFERROR(IF($B6883=R$1, ($A6883+$C6883) - MAX(IF($B$2:$B6882=$B6883, $A$2:$A6882+$C$2:$C6882)), "")*24*60, "")</f>
        <v/>
      </c>
      <c r="S6883" s="24" t="str" cm="1">
        <f t="array" ref="S6883">IFERROR(IF($B6883=S$1, ($A6883+$C6883) - MAX(IF($B$2:$B6882=$B6883, $A$2:$A6882+$C$2:$C6882)), "")*24*60, "")</f>
        <v/>
      </c>
    </row>
    <row r="6884" spans="1:19" x14ac:dyDescent="0.2">
      <c r="A6884" s="12">
        <f t="shared" ref="A6884:C6884" si="1326">A6883</f>
        <v>45992</v>
      </c>
      <c r="B6884" s="5" t="str">
        <f t="shared" si="1326"/>
        <v>Northern Cardinal</v>
      </c>
      <c r="C6884" s="6">
        <f t="shared" si="1326"/>
        <v>0.28333333333333333</v>
      </c>
      <c r="D6884" s="5"/>
      <c r="E6884" s="5"/>
      <c r="F6884" s="5" t="s">
        <v>8</v>
      </c>
      <c r="G6884" s="15" t="s">
        <v>9</v>
      </c>
      <c r="H6884" s="24">
        <f t="shared" si="1308"/>
        <v>0</v>
      </c>
      <c r="I6884" s="24" cm="1">
        <f t="array" ref="I6884">IFERROR(IF($B6884=I$1, ($A6884+$C6884) - MAX(IF($B$2:$B6883=$B6884, $A$2:$A6883+$C$2:$C6883)), "")*24*60, "")</f>
        <v>0</v>
      </c>
      <c r="J6884" s="24" t="str" cm="1">
        <f t="array" ref="J6884">IFERROR(IF($B6884=J$1, ($A6884+$C6884) - MAX(IF($B$2:$B6883=$B6884, $A$2:$A6883+$C$2:$C6883)), "")*24*60, "")</f>
        <v/>
      </c>
      <c r="K6884" s="24" t="str" cm="1">
        <f t="array" ref="K6884">IFERROR(IF($B6884=K$1, ($A6884+$C6884) - MAX(IF($B$2:$B6883=$B6884, $A$2:$A6883+$C$2:$C6883)), "")*24*60, "")</f>
        <v/>
      </c>
      <c r="L6884" s="24" t="str" cm="1">
        <f t="array" ref="L6884">IFERROR(IF($B6884=L$1, ($A6884+$C6884) - MAX(IF($B$2:$B6883=$B6884, $A$2:$A6883+$C$2:$C6883)), "")*24*60, "")</f>
        <v/>
      </c>
      <c r="M6884" s="24" t="str" cm="1">
        <f t="array" ref="M6884">IFERROR(IF($B6884=M$1, ($A6884+$C6884) - MAX(IF($B$2:$B6883=$B6884, $A$2:$A6883+$C$2:$C6883)), "")*24*60, "")</f>
        <v/>
      </c>
      <c r="N6884" s="24" t="str" cm="1">
        <f t="array" ref="N6884">IFERROR(IF($B6884=N$1, ($A6884+$C6884) - MAX(IF($B$2:$B6883=$B6884, $A$2:$A6883+$C$2:$C6883)), "")*24*60, "")</f>
        <v/>
      </c>
      <c r="O6884" s="24" t="str" cm="1">
        <f t="array" ref="O6884">IFERROR(IF($B6884=O$1, ($A6884+$C6884) - MAX(IF($B$2:$B6883=$B6884, $A$2:$A6883+$C$2:$C6883)), "")*24*60, "")</f>
        <v/>
      </c>
      <c r="P6884" s="24" t="str" cm="1">
        <f t="array" ref="P6884">IFERROR(IF($B6884=P$1, ($A6884+$C6884) - MAX(IF($B$2:$B6883=$B6884, $A$2:$A6883+$C$2:$C6883)), "")*24*60, "")</f>
        <v/>
      </c>
      <c r="Q6884" s="24" t="str" cm="1">
        <f t="array" ref="Q6884">IFERROR(IF($B6884=Q$1, ($A6884+$C6884) - MAX(IF($B$2:$B6883=$B6884, $A$2:$A6883+$C$2:$C6883)), "")*24*60, "")</f>
        <v/>
      </c>
      <c r="R6884" s="24" t="str" cm="1">
        <f t="array" ref="R6884">IFERROR(IF($B6884=R$1, ($A6884+$C6884) - MAX(IF($B$2:$B6883=$B6884, $A$2:$A6883+$C$2:$C6883)), "")*24*60, "")</f>
        <v/>
      </c>
      <c r="S6884" s="24" t="str" cm="1">
        <f t="array" ref="S6884">IFERROR(IF($B6884=S$1, ($A6884+$C6884) - MAX(IF($B$2:$B6883=$B6884, $A$2:$A6883+$C$2:$C6883)), "")*24*60, "")</f>
        <v/>
      </c>
    </row>
    <row r="6885" spans="1:19" x14ac:dyDescent="0.2">
      <c r="A6885" s="12">
        <f t="shared" ref="A6885:C6885" si="1327">A6884</f>
        <v>45992</v>
      </c>
      <c r="B6885" s="5" t="str">
        <f t="shared" si="1327"/>
        <v>Northern Cardinal</v>
      </c>
      <c r="C6885" s="6">
        <f t="shared" si="1327"/>
        <v>0.28333333333333333</v>
      </c>
      <c r="D6885" s="5"/>
      <c r="E6885" s="5"/>
      <c r="F6885" s="5" t="s">
        <v>8</v>
      </c>
      <c r="G6885" s="15" t="s">
        <v>9</v>
      </c>
      <c r="H6885" s="24">
        <f t="shared" si="1308"/>
        <v>0</v>
      </c>
      <c r="I6885" s="24" cm="1">
        <f t="array" ref="I6885">IFERROR(IF($B6885=I$1, ($A6885+$C6885) - MAX(IF($B$2:$B6884=$B6885, $A$2:$A6884+$C$2:$C6884)), "")*24*60, "")</f>
        <v>0</v>
      </c>
      <c r="J6885" s="24" t="str" cm="1">
        <f t="array" ref="J6885">IFERROR(IF($B6885=J$1, ($A6885+$C6885) - MAX(IF($B$2:$B6884=$B6885, $A$2:$A6884+$C$2:$C6884)), "")*24*60, "")</f>
        <v/>
      </c>
      <c r="K6885" s="24" t="str" cm="1">
        <f t="array" ref="K6885">IFERROR(IF($B6885=K$1, ($A6885+$C6885) - MAX(IF($B$2:$B6884=$B6885, $A$2:$A6884+$C$2:$C6884)), "")*24*60, "")</f>
        <v/>
      </c>
      <c r="L6885" s="24" t="str" cm="1">
        <f t="array" ref="L6885">IFERROR(IF($B6885=L$1, ($A6885+$C6885) - MAX(IF($B$2:$B6884=$B6885, $A$2:$A6884+$C$2:$C6884)), "")*24*60, "")</f>
        <v/>
      </c>
      <c r="M6885" s="24" t="str" cm="1">
        <f t="array" ref="M6885">IFERROR(IF($B6885=M$1, ($A6885+$C6885) - MAX(IF($B$2:$B6884=$B6885, $A$2:$A6884+$C$2:$C6884)), "")*24*60, "")</f>
        <v/>
      </c>
      <c r="N6885" s="24" t="str" cm="1">
        <f t="array" ref="N6885">IFERROR(IF($B6885=N$1, ($A6885+$C6885) - MAX(IF($B$2:$B6884=$B6885, $A$2:$A6884+$C$2:$C6884)), "")*24*60, "")</f>
        <v/>
      </c>
      <c r="O6885" s="24" t="str" cm="1">
        <f t="array" ref="O6885">IFERROR(IF($B6885=O$1, ($A6885+$C6885) - MAX(IF($B$2:$B6884=$B6885, $A$2:$A6884+$C$2:$C6884)), "")*24*60, "")</f>
        <v/>
      </c>
      <c r="P6885" s="24" t="str" cm="1">
        <f t="array" ref="P6885">IFERROR(IF($B6885=P$1, ($A6885+$C6885) - MAX(IF($B$2:$B6884=$B6885, $A$2:$A6884+$C$2:$C6884)), "")*24*60, "")</f>
        <v/>
      </c>
      <c r="Q6885" s="24" t="str" cm="1">
        <f t="array" ref="Q6885">IFERROR(IF($B6885=Q$1, ($A6885+$C6885) - MAX(IF($B$2:$B6884=$B6885, $A$2:$A6884+$C$2:$C6884)), "")*24*60, "")</f>
        <v/>
      </c>
      <c r="R6885" s="24" t="str" cm="1">
        <f t="array" ref="R6885">IFERROR(IF($B6885=R$1, ($A6885+$C6885) - MAX(IF($B$2:$B6884=$B6885, $A$2:$A6884+$C$2:$C6884)), "")*24*60, "")</f>
        <v/>
      </c>
      <c r="S6885" s="24" t="str" cm="1">
        <f t="array" ref="S6885">IFERROR(IF($B6885=S$1, ($A6885+$C6885) - MAX(IF($B$2:$B6884=$B6885, $A$2:$A6884+$C$2:$C6884)), "")*24*60, "")</f>
        <v/>
      </c>
    </row>
    <row r="6886" spans="1:19" x14ac:dyDescent="0.2">
      <c r="A6886" s="12">
        <f t="shared" ref="A6886:C6886" si="1328">A6885</f>
        <v>45992</v>
      </c>
      <c r="B6886" s="5" t="str">
        <f t="shared" si="1328"/>
        <v>Northern Cardinal</v>
      </c>
      <c r="C6886" s="6">
        <f t="shared" si="1328"/>
        <v>0.28333333333333333</v>
      </c>
      <c r="D6886" s="5"/>
      <c r="E6886" s="5"/>
      <c r="F6886" s="5" t="s">
        <v>8</v>
      </c>
      <c r="G6886" s="15" t="s">
        <v>9</v>
      </c>
      <c r="H6886" s="24">
        <f t="shared" si="1308"/>
        <v>0</v>
      </c>
      <c r="I6886" s="24" cm="1">
        <f t="array" ref="I6886">IFERROR(IF($B6886=I$1, ($A6886+$C6886) - MAX(IF($B$2:$B6885=$B6886, $A$2:$A6885+$C$2:$C6885)), "")*24*60, "")</f>
        <v>0</v>
      </c>
      <c r="J6886" s="24" t="str" cm="1">
        <f t="array" ref="J6886">IFERROR(IF($B6886=J$1, ($A6886+$C6886) - MAX(IF($B$2:$B6885=$B6886, $A$2:$A6885+$C$2:$C6885)), "")*24*60, "")</f>
        <v/>
      </c>
      <c r="K6886" s="24" t="str" cm="1">
        <f t="array" ref="K6886">IFERROR(IF($B6886=K$1, ($A6886+$C6886) - MAX(IF($B$2:$B6885=$B6886, $A$2:$A6885+$C$2:$C6885)), "")*24*60, "")</f>
        <v/>
      </c>
      <c r="L6886" s="24" t="str" cm="1">
        <f t="array" ref="L6886">IFERROR(IF($B6886=L$1, ($A6886+$C6886) - MAX(IF($B$2:$B6885=$B6886, $A$2:$A6885+$C$2:$C6885)), "")*24*60, "")</f>
        <v/>
      </c>
      <c r="M6886" s="24" t="str" cm="1">
        <f t="array" ref="M6886">IFERROR(IF($B6886=M$1, ($A6886+$C6886) - MAX(IF($B$2:$B6885=$B6886, $A$2:$A6885+$C$2:$C6885)), "")*24*60, "")</f>
        <v/>
      </c>
      <c r="N6886" s="24" t="str" cm="1">
        <f t="array" ref="N6886">IFERROR(IF($B6886=N$1, ($A6886+$C6886) - MAX(IF($B$2:$B6885=$B6886, $A$2:$A6885+$C$2:$C6885)), "")*24*60, "")</f>
        <v/>
      </c>
      <c r="O6886" s="24" t="str" cm="1">
        <f t="array" ref="O6886">IFERROR(IF($B6886=O$1, ($A6886+$C6886) - MAX(IF($B$2:$B6885=$B6886, $A$2:$A6885+$C$2:$C6885)), "")*24*60, "")</f>
        <v/>
      </c>
      <c r="P6886" s="24" t="str" cm="1">
        <f t="array" ref="P6886">IFERROR(IF($B6886=P$1, ($A6886+$C6886) - MAX(IF($B$2:$B6885=$B6886, $A$2:$A6885+$C$2:$C6885)), "")*24*60, "")</f>
        <v/>
      </c>
      <c r="Q6886" s="24" t="str" cm="1">
        <f t="array" ref="Q6886">IFERROR(IF($B6886=Q$1, ($A6886+$C6886) - MAX(IF($B$2:$B6885=$B6886, $A$2:$A6885+$C$2:$C6885)), "")*24*60, "")</f>
        <v/>
      </c>
      <c r="R6886" s="24" t="str" cm="1">
        <f t="array" ref="R6886">IFERROR(IF($B6886=R$1, ($A6886+$C6886) - MAX(IF($B$2:$B6885=$B6886, $A$2:$A6885+$C$2:$C6885)), "")*24*60, "")</f>
        <v/>
      </c>
      <c r="S6886" s="24" t="str" cm="1">
        <f t="array" ref="S6886">IFERROR(IF($B6886=S$1, ($A6886+$C6886) - MAX(IF($B$2:$B6885=$B6886, $A$2:$A6885+$C$2:$C6885)), "")*24*60, "")</f>
        <v/>
      </c>
    </row>
    <row r="6887" spans="1:19" x14ac:dyDescent="0.2">
      <c r="A6887" s="12">
        <f t="shared" ref="A6887:C6887" si="1329">A6886</f>
        <v>45992</v>
      </c>
      <c r="B6887" s="5" t="str">
        <f t="shared" si="1329"/>
        <v>Northern Cardinal</v>
      </c>
      <c r="C6887" s="6">
        <f t="shared" si="1329"/>
        <v>0.28333333333333333</v>
      </c>
      <c r="D6887" s="5"/>
      <c r="E6887" s="5"/>
      <c r="F6887" s="5" t="s">
        <v>8</v>
      </c>
      <c r="G6887" s="15" t="s">
        <v>9</v>
      </c>
      <c r="H6887" s="24">
        <f t="shared" si="1308"/>
        <v>0</v>
      </c>
      <c r="I6887" s="24" cm="1">
        <f t="array" ref="I6887">IFERROR(IF($B6887=I$1, ($A6887+$C6887) - MAX(IF($B$2:$B6886=$B6887, $A$2:$A6886+$C$2:$C6886)), "")*24*60, "")</f>
        <v>0</v>
      </c>
      <c r="J6887" s="24" t="str" cm="1">
        <f t="array" ref="J6887">IFERROR(IF($B6887=J$1, ($A6887+$C6887) - MAX(IF($B$2:$B6886=$B6887, $A$2:$A6886+$C$2:$C6886)), "")*24*60, "")</f>
        <v/>
      </c>
      <c r="K6887" s="24" t="str" cm="1">
        <f t="array" ref="K6887">IFERROR(IF($B6887=K$1, ($A6887+$C6887) - MAX(IF($B$2:$B6886=$B6887, $A$2:$A6886+$C$2:$C6886)), "")*24*60, "")</f>
        <v/>
      </c>
      <c r="L6887" s="24" t="str" cm="1">
        <f t="array" ref="L6887">IFERROR(IF($B6887=L$1, ($A6887+$C6887) - MAX(IF($B$2:$B6886=$B6887, $A$2:$A6886+$C$2:$C6886)), "")*24*60, "")</f>
        <v/>
      </c>
      <c r="M6887" s="24" t="str" cm="1">
        <f t="array" ref="M6887">IFERROR(IF($B6887=M$1, ($A6887+$C6887) - MAX(IF($B$2:$B6886=$B6887, $A$2:$A6886+$C$2:$C6886)), "")*24*60, "")</f>
        <v/>
      </c>
      <c r="N6887" s="24" t="str" cm="1">
        <f t="array" ref="N6887">IFERROR(IF($B6887=N$1, ($A6887+$C6887) - MAX(IF($B$2:$B6886=$B6887, $A$2:$A6886+$C$2:$C6886)), "")*24*60, "")</f>
        <v/>
      </c>
      <c r="O6887" s="24" t="str" cm="1">
        <f t="array" ref="O6887">IFERROR(IF($B6887=O$1, ($A6887+$C6887) - MAX(IF($B$2:$B6886=$B6887, $A$2:$A6886+$C$2:$C6886)), "")*24*60, "")</f>
        <v/>
      </c>
      <c r="P6887" s="24" t="str" cm="1">
        <f t="array" ref="P6887">IFERROR(IF($B6887=P$1, ($A6887+$C6887) - MAX(IF($B$2:$B6886=$B6887, $A$2:$A6886+$C$2:$C6886)), "")*24*60, "")</f>
        <v/>
      </c>
      <c r="Q6887" s="24" t="str" cm="1">
        <f t="array" ref="Q6887">IFERROR(IF($B6887=Q$1, ($A6887+$C6887) - MAX(IF($B$2:$B6886=$B6887, $A$2:$A6886+$C$2:$C6886)), "")*24*60, "")</f>
        <v/>
      </c>
      <c r="R6887" s="24" t="str" cm="1">
        <f t="array" ref="R6887">IFERROR(IF($B6887=R$1, ($A6887+$C6887) - MAX(IF($B$2:$B6886=$B6887, $A$2:$A6886+$C$2:$C6886)), "")*24*60, "")</f>
        <v/>
      </c>
      <c r="S6887" s="24" t="str" cm="1">
        <f t="array" ref="S6887">IFERROR(IF($B6887=S$1, ($A6887+$C6887) - MAX(IF($B$2:$B6886=$B6887, $A$2:$A6886+$C$2:$C6886)), "")*24*60, "")</f>
        <v/>
      </c>
    </row>
    <row r="6888" spans="1:19" x14ac:dyDescent="0.2">
      <c r="A6888" s="12">
        <f t="shared" ref="A6888:C6888" si="1330">A6887</f>
        <v>45992</v>
      </c>
      <c r="B6888" s="5" t="str">
        <f t="shared" si="1330"/>
        <v>Northern Cardinal</v>
      </c>
      <c r="C6888" s="6">
        <f t="shared" si="1330"/>
        <v>0.28333333333333333</v>
      </c>
      <c r="D6888" s="5"/>
      <c r="E6888" s="5"/>
      <c r="F6888" s="5" t="s">
        <v>8</v>
      </c>
      <c r="G6888" s="15" t="s">
        <v>9</v>
      </c>
      <c r="H6888" s="24">
        <f t="shared" si="1308"/>
        <v>0</v>
      </c>
      <c r="I6888" s="24" cm="1">
        <f t="array" ref="I6888">IFERROR(IF($B6888=I$1, ($A6888+$C6888) - MAX(IF($B$2:$B6887=$B6888, $A$2:$A6887+$C$2:$C6887)), "")*24*60, "")</f>
        <v>0</v>
      </c>
      <c r="J6888" s="24" t="str" cm="1">
        <f t="array" ref="J6888">IFERROR(IF($B6888=J$1, ($A6888+$C6888) - MAX(IF($B$2:$B6887=$B6888, $A$2:$A6887+$C$2:$C6887)), "")*24*60, "")</f>
        <v/>
      </c>
      <c r="K6888" s="24" t="str" cm="1">
        <f t="array" ref="K6888">IFERROR(IF($B6888=K$1, ($A6888+$C6888) - MAX(IF($B$2:$B6887=$B6888, $A$2:$A6887+$C$2:$C6887)), "")*24*60, "")</f>
        <v/>
      </c>
      <c r="L6888" s="24" t="str" cm="1">
        <f t="array" ref="L6888">IFERROR(IF($B6888=L$1, ($A6888+$C6888) - MAX(IF($B$2:$B6887=$B6888, $A$2:$A6887+$C$2:$C6887)), "")*24*60, "")</f>
        <v/>
      </c>
      <c r="M6888" s="24" t="str" cm="1">
        <f t="array" ref="M6888">IFERROR(IF($B6888=M$1, ($A6888+$C6888) - MAX(IF($B$2:$B6887=$B6888, $A$2:$A6887+$C$2:$C6887)), "")*24*60, "")</f>
        <v/>
      </c>
      <c r="N6888" s="24" t="str" cm="1">
        <f t="array" ref="N6888">IFERROR(IF($B6888=N$1, ($A6888+$C6888) - MAX(IF($B$2:$B6887=$B6888, $A$2:$A6887+$C$2:$C6887)), "")*24*60, "")</f>
        <v/>
      </c>
      <c r="O6888" s="24" t="str" cm="1">
        <f t="array" ref="O6888">IFERROR(IF($B6888=O$1, ($A6888+$C6888) - MAX(IF($B$2:$B6887=$B6888, $A$2:$A6887+$C$2:$C6887)), "")*24*60, "")</f>
        <v/>
      </c>
      <c r="P6888" s="24" t="str" cm="1">
        <f t="array" ref="P6888">IFERROR(IF($B6888=P$1, ($A6888+$C6888) - MAX(IF($B$2:$B6887=$B6888, $A$2:$A6887+$C$2:$C6887)), "")*24*60, "")</f>
        <v/>
      </c>
      <c r="Q6888" s="24" t="str" cm="1">
        <f t="array" ref="Q6888">IFERROR(IF($B6888=Q$1, ($A6888+$C6888) - MAX(IF($B$2:$B6887=$B6888, $A$2:$A6887+$C$2:$C6887)), "")*24*60, "")</f>
        <v/>
      </c>
      <c r="R6888" s="24" t="str" cm="1">
        <f t="array" ref="R6888">IFERROR(IF($B6888=R$1, ($A6888+$C6888) - MAX(IF($B$2:$B6887=$B6888, $A$2:$A6887+$C$2:$C6887)), "")*24*60, "")</f>
        <v/>
      </c>
      <c r="S6888" s="24" t="str" cm="1">
        <f t="array" ref="S6888">IFERROR(IF($B6888=S$1, ($A6888+$C6888) - MAX(IF($B$2:$B6887=$B6888, $A$2:$A6887+$C$2:$C6887)), "")*24*60, "")</f>
        <v/>
      </c>
    </row>
    <row r="6889" spans="1:19" x14ac:dyDescent="0.2">
      <c r="A6889" s="12">
        <f t="shared" ref="A6889:C6889" si="1331">A6888</f>
        <v>45992</v>
      </c>
      <c r="B6889" s="5" t="str">
        <f t="shared" si="1331"/>
        <v>Northern Cardinal</v>
      </c>
      <c r="C6889" s="6">
        <f t="shared" si="1331"/>
        <v>0.28333333333333333</v>
      </c>
      <c r="D6889" s="5"/>
      <c r="E6889" s="5"/>
      <c r="F6889" s="5" t="s">
        <v>8</v>
      </c>
      <c r="G6889" s="15" t="s">
        <v>9</v>
      </c>
      <c r="H6889" s="24">
        <f t="shared" si="1308"/>
        <v>0</v>
      </c>
      <c r="I6889" s="24" cm="1">
        <f t="array" ref="I6889">IFERROR(IF($B6889=I$1, ($A6889+$C6889) - MAX(IF($B$2:$B6888=$B6889, $A$2:$A6888+$C$2:$C6888)), "")*24*60, "")</f>
        <v>0</v>
      </c>
      <c r="J6889" s="24" t="str" cm="1">
        <f t="array" ref="J6889">IFERROR(IF($B6889=J$1, ($A6889+$C6889) - MAX(IF($B$2:$B6888=$B6889, $A$2:$A6888+$C$2:$C6888)), "")*24*60, "")</f>
        <v/>
      </c>
      <c r="K6889" s="24" t="str" cm="1">
        <f t="array" ref="K6889">IFERROR(IF($B6889=K$1, ($A6889+$C6889) - MAX(IF($B$2:$B6888=$B6889, $A$2:$A6888+$C$2:$C6888)), "")*24*60, "")</f>
        <v/>
      </c>
      <c r="L6889" s="24" t="str" cm="1">
        <f t="array" ref="L6889">IFERROR(IF($B6889=L$1, ($A6889+$C6889) - MAX(IF($B$2:$B6888=$B6889, $A$2:$A6888+$C$2:$C6888)), "")*24*60, "")</f>
        <v/>
      </c>
      <c r="M6889" s="24" t="str" cm="1">
        <f t="array" ref="M6889">IFERROR(IF($B6889=M$1, ($A6889+$C6889) - MAX(IF($B$2:$B6888=$B6889, $A$2:$A6888+$C$2:$C6888)), "")*24*60, "")</f>
        <v/>
      </c>
      <c r="N6889" s="24" t="str" cm="1">
        <f t="array" ref="N6889">IFERROR(IF($B6889=N$1, ($A6889+$C6889) - MAX(IF($B$2:$B6888=$B6889, $A$2:$A6888+$C$2:$C6888)), "")*24*60, "")</f>
        <v/>
      </c>
      <c r="O6889" s="24" t="str" cm="1">
        <f t="array" ref="O6889">IFERROR(IF($B6889=O$1, ($A6889+$C6889) - MAX(IF($B$2:$B6888=$B6889, $A$2:$A6888+$C$2:$C6888)), "")*24*60, "")</f>
        <v/>
      </c>
      <c r="P6889" s="24" t="str" cm="1">
        <f t="array" ref="P6889">IFERROR(IF($B6889=P$1, ($A6889+$C6889) - MAX(IF($B$2:$B6888=$B6889, $A$2:$A6888+$C$2:$C6888)), "")*24*60, "")</f>
        <v/>
      </c>
      <c r="Q6889" s="24" t="str" cm="1">
        <f t="array" ref="Q6889">IFERROR(IF($B6889=Q$1, ($A6889+$C6889) - MAX(IF($B$2:$B6888=$B6889, $A$2:$A6888+$C$2:$C6888)), "")*24*60, "")</f>
        <v/>
      </c>
      <c r="R6889" s="24" t="str" cm="1">
        <f t="array" ref="R6889">IFERROR(IF($B6889=R$1, ($A6889+$C6889) - MAX(IF($B$2:$B6888=$B6889, $A$2:$A6888+$C$2:$C6888)), "")*24*60, "")</f>
        <v/>
      </c>
      <c r="S6889" s="24" t="str" cm="1">
        <f t="array" ref="S6889">IFERROR(IF($B6889=S$1, ($A6889+$C6889) - MAX(IF($B$2:$B6888=$B6889, $A$2:$A6888+$C$2:$C6888)), "")*24*60, "")</f>
        <v/>
      </c>
    </row>
    <row r="6890" spans="1:19" x14ac:dyDescent="0.2">
      <c r="A6890" s="12">
        <f t="shared" ref="A6890:C6890" si="1332">A6889</f>
        <v>45992</v>
      </c>
      <c r="B6890" s="5" t="str">
        <f t="shared" si="1332"/>
        <v>Northern Cardinal</v>
      </c>
      <c r="C6890" s="6">
        <f t="shared" si="1332"/>
        <v>0.28333333333333333</v>
      </c>
      <c r="D6890" s="5"/>
      <c r="E6890" s="5"/>
      <c r="F6890" s="5" t="s">
        <v>8</v>
      </c>
      <c r="G6890" s="15" t="s">
        <v>9</v>
      </c>
      <c r="H6890" s="24">
        <f t="shared" si="1308"/>
        <v>0</v>
      </c>
      <c r="I6890" s="24" cm="1">
        <f t="array" ref="I6890">IFERROR(IF($B6890=I$1, ($A6890+$C6890) - MAX(IF($B$2:$B6889=$B6890, $A$2:$A6889+$C$2:$C6889)), "")*24*60, "")</f>
        <v>0</v>
      </c>
      <c r="J6890" s="24" t="str" cm="1">
        <f t="array" ref="J6890">IFERROR(IF($B6890=J$1, ($A6890+$C6890) - MAX(IF($B$2:$B6889=$B6890, $A$2:$A6889+$C$2:$C6889)), "")*24*60, "")</f>
        <v/>
      </c>
      <c r="K6890" s="24" t="str" cm="1">
        <f t="array" ref="K6890">IFERROR(IF($B6890=K$1, ($A6890+$C6890) - MAX(IF($B$2:$B6889=$B6890, $A$2:$A6889+$C$2:$C6889)), "")*24*60, "")</f>
        <v/>
      </c>
      <c r="L6890" s="24" t="str" cm="1">
        <f t="array" ref="L6890">IFERROR(IF($B6890=L$1, ($A6890+$C6890) - MAX(IF($B$2:$B6889=$B6890, $A$2:$A6889+$C$2:$C6889)), "")*24*60, "")</f>
        <v/>
      </c>
      <c r="M6890" s="24" t="str" cm="1">
        <f t="array" ref="M6890">IFERROR(IF($B6890=M$1, ($A6890+$C6890) - MAX(IF($B$2:$B6889=$B6890, $A$2:$A6889+$C$2:$C6889)), "")*24*60, "")</f>
        <v/>
      </c>
      <c r="N6890" s="24" t="str" cm="1">
        <f t="array" ref="N6890">IFERROR(IF($B6890=N$1, ($A6890+$C6890) - MAX(IF($B$2:$B6889=$B6890, $A$2:$A6889+$C$2:$C6889)), "")*24*60, "")</f>
        <v/>
      </c>
      <c r="O6890" s="24" t="str" cm="1">
        <f t="array" ref="O6890">IFERROR(IF($B6890=O$1, ($A6890+$C6890) - MAX(IF($B$2:$B6889=$B6890, $A$2:$A6889+$C$2:$C6889)), "")*24*60, "")</f>
        <v/>
      </c>
      <c r="P6890" s="24" t="str" cm="1">
        <f t="array" ref="P6890">IFERROR(IF($B6890=P$1, ($A6890+$C6890) - MAX(IF($B$2:$B6889=$B6890, $A$2:$A6889+$C$2:$C6889)), "")*24*60, "")</f>
        <v/>
      </c>
      <c r="Q6890" s="24" t="str" cm="1">
        <f t="array" ref="Q6890">IFERROR(IF($B6890=Q$1, ($A6890+$C6890) - MAX(IF($B$2:$B6889=$B6890, $A$2:$A6889+$C$2:$C6889)), "")*24*60, "")</f>
        <v/>
      </c>
      <c r="R6890" s="24" t="str" cm="1">
        <f t="array" ref="R6890">IFERROR(IF($B6890=R$1, ($A6890+$C6890) - MAX(IF($B$2:$B6889=$B6890, $A$2:$A6889+$C$2:$C6889)), "")*24*60, "")</f>
        <v/>
      </c>
      <c r="S6890" s="24" t="str" cm="1">
        <f t="array" ref="S6890">IFERROR(IF($B6890=S$1, ($A6890+$C6890) - MAX(IF($B$2:$B6889=$B6890, $A$2:$A6889+$C$2:$C6889)), "")*24*60, "")</f>
        <v/>
      </c>
    </row>
    <row r="6891" spans="1:19" x14ac:dyDescent="0.2">
      <c r="A6891" s="12">
        <f t="shared" ref="A6891:C6891" si="1333">A6890</f>
        <v>45992</v>
      </c>
      <c r="B6891" s="5" t="str">
        <f t="shared" si="1333"/>
        <v>Northern Cardinal</v>
      </c>
      <c r="C6891" s="6">
        <f t="shared" si="1333"/>
        <v>0.28333333333333333</v>
      </c>
      <c r="D6891" s="5"/>
      <c r="E6891" s="5"/>
      <c r="F6891" s="5" t="s">
        <v>8</v>
      </c>
      <c r="G6891" s="15" t="s">
        <v>9</v>
      </c>
      <c r="H6891" s="24">
        <f t="shared" si="1308"/>
        <v>0</v>
      </c>
      <c r="I6891" s="24" cm="1">
        <f t="array" ref="I6891">IFERROR(IF($B6891=I$1, ($A6891+$C6891) - MAX(IF($B$2:$B6890=$B6891, $A$2:$A6890+$C$2:$C6890)), "")*24*60, "")</f>
        <v>0</v>
      </c>
      <c r="J6891" s="24" t="str" cm="1">
        <f t="array" ref="J6891">IFERROR(IF($B6891=J$1, ($A6891+$C6891) - MAX(IF($B$2:$B6890=$B6891, $A$2:$A6890+$C$2:$C6890)), "")*24*60, "")</f>
        <v/>
      </c>
      <c r="K6891" s="24" t="str" cm="1">
        <f t="array" ref="K6891">IFERROR(IF($B6891=K$1, ($A6891+$C6891) - MAX(IF($B$2:$B6890=$B6891, $A$2:$A6890+$C$2:$C6890)), "")*24*60, "")</f>
        <v/>
      </c>
      <c r="L6891" s="24" t="str" cm="1">
        <f t="array" ref="L6891">IFERROR(IF($B6891=L$1, ($A6891+$C6891) - MAX(IF($B$2:$B6890=$B6891, $A$2:$A6890+$C$2:$C6890)), "")*24*60, "")</f>
        <v/>
      </c>
      <c r="M6891" s="24" t="str" cm="1">
        <f t="array" ref="M6891">IFERROR(IF($B6891=M$1, ($A6891+$C6891) - MAX(IF($B$2:$B6890=$B6891, $A$2:$A6890+$C$2:$C6890)), "")*24*60, "")</f>
        <v/>
      </c>
      <c r="N6891" s="24" t="str" cm="1">
        <f t="array" ref="N6891">IFERROR(IF($B6891=N$1, ($A6891+$C6891) - MAX(IF($B$2:$B6890=$B6891, $A$2:$A6890+$C$2:$C6890)), "")*24*60, "")</f>
        <v/>
      </c>
      <c r="O6891" s="24" t="str" cm="1">
        <f t="array" ref="O6891">IFERROR(IF($B6891=O$1, ($A6891+$C6891) - MAX(IF($B$2:$B6890=$B6891, $A$2:$A6890+$C$2:$C6890)), "")*24*60, "")</f>
        <v/>
      </c>
      <c r="P6891" s="24" t="str" cm="1">
        <f t="array" ref="P6891">IFERROR(IF($B6891=P$1, ($A6891+$C6891) - MAX(IF($B$2:$B6890=$B6891, $A$2:$A6890+$C$2:$C6890)), "")*24*60, "")</f>
        <v/>
      </c>
      <c r="Q6891" s="24" t="str" cm="1">
        <f t="array" ref="Q6891">IFERROR(IF($B6891=Q$1, ($A6891+$C6891) - MAX(IF($B$2:$B6890=$B6891, $A$2:$A6890+$C$2:$C6890)), "")*24*60, "")</f>
        <v/>
      </c>
      <c r="R6891" s="24" t="str" cm="1">
        <f t="array" ref="R6891">IFERROR(IF($B6891=R$1, ($A6891+$C6891) - MAX(IF($B$2:$B6890=$B6891, $A$2:$A6890+$C$2:$C6890)), "")*24*60, "")</f>
        <v/>
      </c>
      <c r="S6891" s="24" t="str" cm="1">
        <f t="array" ref="S6891">IFERROR(IF($B6891=S$1, ($A6891+$C6891) - MAX(IF($B$2:$B6890=$B6891, $A$2:$A6890+$C$2:$C6890)), "")*24*60, "")</f>
        <v/>
      </c>
    </row>
    <row r="6892" spans="1:19" x14ac:dyDescent="0.2">
      <c r="A6892" s="12">
        <f t="shared" ref="A6892:C6892" si="1334">A6891</f>
        <v>45992</v>
      </c>
      <c r="B6892" s="5" t="str">
        <f t="shared" si="1334"/>
        <v>Northern Cardinal</v>
      </c>
      <c r="C6892" s="6">
        <f t="shared" si="1334"/>
        <v>0.28333333333333333</v>
      </c>
      <c r="D6892" s="5"/>
      <c r="E6892" s="5"/>
      <c r="F6892" s="5" t="s">
        <v>8</v>
      </c>
      <c r="G6892" s="15" t="s">
        <v>9</v>
      </c>
      <c r="H6892" s="24">
        <f t="shared" si="1308"/>
        <v>0</v>
      </c>
      <c r="I6892" s="24" cm="1">
        <f t="array" ref="I6892">IFERROR(IF($B6892=I$1, ($A6892+$C6892) - MAX(IF($B$2:$B6891=$B6892, $A$2:$A6891+$C$2:$C6891)), "")*24*60, "")</f>
        <v>0</v>
      </c>
      <c r="J6892" s="24" t="str" cm="1">
        <f t="array" ref="J6892">IFERROR(IF($B6892=J$1, ($A6892+$C6892) - MAX(IF($B$2:$B6891=$B6892, $A$2:$A6891+$C$2:$C6891)), "")*24*60, "")</f>
        <v/>
      </c>
      <c r="K6892" s="24" t="str" cm="1">
        <f t="array" ref="K6892">IFERROR(IF($B6892=K$1, ($A6892+$C6892) - MAX(IF($B$2:$B6891=$B6892, $A$2:$A6891+$C$2:$C6891)), "")*24*60, "")</f>
        <v/>
      </c>
      <c r="L6892" s="24" t="str" cm="1">
        <f t="array" ref="L6892">IFERROR(IF($B6892=L$1, ($A6892+$C6892) - MAX(IF($B$2:$B6891=$B6892, $A$2:$A6891+$C$2:$C6891)), "")*24*60, "")</f>
        <v/>
      </c>
      <c r="M6892" s="24" t="str" cm="1">
        <f t="array" ref="M6892">IFERROR(IF($B6892=M$1, ($A6892+$C6892) - MAX(IF($B$2:$B6891=$B6892, $A$2:$A6891+$C$2:$C6891)), "")*24*60, "")</f>
        <v/>
      </c>
      <c r="N6892" s="24" t="str" cm="1">
        <f t="array" ref="N6892">IFERROR(IF($B6892=N$1, ($A6892+$C6892) - MAX(IF($B$2:$B6891=$B6892, $A$2:$A6891+$C$2:$C6891)), "")*24*60, "")</f>
        <v/>
      </c>
      <c r="O6892" s="24" t="str" cm="1">
        <f t="array" ref="O6892">IFERROR(IF($B6892=O$1, ($A6892+$C6892) - MAX(IF($B$2:$B6891=$B6892, $A$2:$A6891+$C$2:$C6891)), "")*24*60, "")</f>
        <v/>
      </c>
      <c r="P6892" s="24" t="str" cm="1">
        <f t="array" ref="P6892">IFERROR(IF($B6892=P$1, ($A6892+$C6892) - MAX(IF($B$2:$B6891=$B6892, $A$2:$A6891+$C$2:$C6891)), "")*24*60, "")</f>
        <v/>
      </c>
      <c r="Q6892" s="24" t="str" cm="1">
        <f t="array" ref="Q6892">IFERROR(IF($B6892=Q$1, ($A6892+$C6892) - MAX(IF($B$2:$B6891=$B6892, $A$2:$A6891+$C$2:$C6891)), "")*24*60, "")</f>
        <v/>
      </c>
      <c r="R6892" s="24" t="str" cm="1">
        <f t="array" ref="R6892">IFERROR(IF($B6892=R$1, ($A6892+$C6892) - MAX(IF($B$2:$B6891=$B6892, $A$2:$A6891+$C$2:$C6891)), "")*24*60, "")</f>
        <v/>
      </c>
      <c r="S6892" s="24" t="str" cm="1">
        <f t="array" ref="S6892">IFERROR(IF($B6892=S$1, ($A6892+$C6892) - MAX(IF($B$2:$B6891=$B6892, $A$2:$A6891+$C$2:$C6891)), "")*24*60, "")</f>
        <v/>
      </c>
    </row>
    <row r="6893" spans="1:19" x14ac:dyDescent="0.2">
      <c r="A6893" s="12">
        <f t="shared" ref="A6893:C6893" si="1335">A6892</f>
        <v>45992</v>
      </c>
      <c r="B6893" s="5" t="str">
        <f t="shared" si="1335"/>
        <v>Northern Cardinal</v>
      </c>
      <c r="C6893" s="6">
        <f t="shared" si="1335"/>
        <v>0.28333333333333333</v>
      </c>
      <c r="D6893" s="5"/>
      <c r="E6893" s="5"/>
      <c r="F6893" s="5" t="s">
        <v>8</v>
      </c>
      <c r="G6893" s="15" t="s">
        <v>9</v>
      </c>
      <c r="H6893" s="24">
        <f t="shared" si="1308"/>
        <v>0</v>
      </c>
      <c r="I6893" s="24" cm="1">
        <f t="array" ref="I6893">IFERROR(IF($B6893=I$1, ($A6893+$C6893) - MAX(IF($B$2:$B6892=$B6893, $A$2:$A6892+$C$2:$C6892)), "")*24*60, "")</f>
        <v>0</v>
      </c>
      <c r="J6893" s="24" t="str" cm="1">
        <f t="array" ref="J6893">IFERROR(IF($B6893=J$1, ($A6893+$C6893) - MAX(IF($B$2:$B6892=$B6893, $A$2:$A6892+$C$2:$C6892)), "")*24*60, "")</f>
        <v/>
      </c>
      <c r="K6893" s="24" t="str" cm="1">
        <f t="array" ref="K6893">IFERROR(IF($B6893=K$1, ($A6893+$C6893) - MAX(IF($B$2:$B6892=$B6893, $A$2:$A6892+$C$2:$C6892)), "")*24*60, "")</f>
        <v/>
      </c>
      <c r="L6893" s="24" t="str" cm="1">
        <f t="array" ref="L6893">IFERROR(IF($B6893=L$1, ($A6893+$C6893) - MAX(IF($B$2:$B6892=$B6893, $A$2:$A6892+$C$2:$C6892)), "")*24*60, "")</f>
        <v/>
      </c>
      <c r="M6893" s="24" t="str" cm="1">
        <f t="array" ref="M6893">IFERROR(IF($B6893=M$1, ($A6893+$C6893) - MAX(IF($B$2:$B6892=$B6893, $A$2:$A6892+$C$2:$C6892)), "")*24*60, "")</f>
        <v/>
      </c>
      <c r="N6893" s="24" t="str" cm="1">
        <f t="array" ref="N6893">IFERROR(IF($B6893=N$1, ($A6893+$C6893) - MAX(IF($B$2:$B6892=$B6893, $A$2:$A6892+$C$2:$C6892)), "")*24*60, "")</f>
        <v/>
      </c>
      <c r="O6893" s="24" t="str" cm="1">
        <f t="array" ref="O6893">IFERROR(IF($B6893=O$1, ($A6893+$C6893) - MAX(IF($B$2:$B6892=$B6893, $A$2:$A6892+$C$2:$C6892)), "")*24*60, "")</f>
        <v/>
      </c>
      <c r="P6893" s="24" t="str" cm="1">
        <f t="array" ref="P6893">IFERROR(IF($B6893=P$1, ($A6893+$C6893) - MAX(IF($B$2:$B6892=$B6893, $A$2:$A6892+$C$2:$C6892)), "")*24*60, "")</f>
        <v/>
      </c>
      <c r="Q6893" s="24" t="str" cm="1">
        <f t="array" ref="Q6893">IFERROR(IF($B6893=Q$1, ($A6893+$C6893) - MAX(IF($B$2:$B6892=$B6893, $A$2:$A6892+$C$2:$C6892)), "")*24*60, "")</f>
        <v/>
      </c>
      <c r="R6893" s="24" t="str" cm="1">
        <f t="array" ref="R6893">IFERROR(IF($B6893=R$1, ($A6893+$C6893) - MAX(IF($B$2:$B6892=$B6893, $A$2:$A6892+$C$2:$C6892)), "")*24*60, "")</f>
        <v/>
      </c>
      <c r="S6893" s="24" t="str" cm="1">
        <f t="array" ref="S6893">IFERROR(IF($B6893=S$1, ($A6893+$C6893) - MAX(IF($B$2:$B6892=$B6893, $A$2:$A6892+$C$2:$C6892)), "")*24*60, "")</f>
        <v/>
      </c>
    </row>
    <row r="6894" spans="1:19" x14ac:dyDescent="0.2">
      <c r="A6894" s="12">
        <f t="shared" ref="A6894:C6894" si="1336">A6893</f>
        <v>45992</v>
      </c>
      <c r="B6894" s="5" t="str">
        <f t="shared" si="1336"/>
        <v>Northern Cardinal</v>
      </c>
      <c r="C6894" s="6">
        <f t="shared" si="1336"/>
        <v>0.28333333333333333</v>
      </c>
      <c r="D6894" s="5"/>
      <c r="E6894" s="5"/>
      <c r="F6894" s="5" t="s">
        <v>8</v>
      </c>
      <c r="G6894" s="15" t="s">
        <v>9</v>
      </c>
      <c r="H6894" s="24">
        <f t="shared" si="1308"/>
        <v>0</v>
      </c>
      <c r="I6894" s="24" cm="1">
        <f t="array" ref="I6894">IFERROR(IF($B6894=I$1, ($A6894+$C6894) - MAX(IF($B$2:$B6893=$B6894, $A$2:$A6893+$C$2:$C6893)), "")*24*60, "")</f>
        <v>0</v>
      </c>
      <c r="J6894" s="24" t="str" cm="1">
        <f t="array" ref="J6894">IFERROR(IF($B6894=J$1, ($A6894+$C6894) - MAX(IF($B$2:$B6893=$B6894, $A$2:$A6893+$C$2:$C6893)), "")*24*60, "")</f>
        <v/>
      </c>
      <c r="K6894" s="24" t="str" cm="1">
        <f t="array" ref="K6894">IFERROR(IF($B6894=K$1, ($A6894+$C6894) - MAX(IF($B$2:$B6893=$B6894, $A$2:$A6893+$C$2:$C6893)), "")*24*60, "")</f>
        <v/>
      </c>
      <c r="L6894" s="24" t="str" cm="1">
        <f t="array" ref="L6894">IFERROR(IF($B6894=L$1, ($A6894+$C6894) - MAX(IF($B$2:$B6893=$B6894, $A$2:$A6893+$C$2:$C6893)), "")*24*60, "")</f>
        <v/>
      </c>
      <c r="M6894" s="24" t="str" cm="1">
        <f t="array" ref="M6894">IFERROR(IF($B6894=M$1, ($A6894+$C6894) - MAX(IF($B$2:$B6893=$B6894, $A$2:$A6893+$C$2:$C6893)), "")*24*60, "")</f>
        <v/>
      </c>
      <c r="N6894" s="24" t="str" cm="1">
        <f t="array" ref="N6894">IFERROR(IF($B6894=N$1, ($A6894+$C6894) - MAX(IF($B$2:$B6893=$B6894, $A$2:$A6893+$C$2:$C6893)), "")*24*60, "")</f>
        <v/>
      </c>
      <c r="O6894" s="24" t="str" cm="1">
        <f t="array" ref="O6894">IFERROR(IF($B6894=O$1, ($A6894+$C6894) - MAX(IF($B$2:$B6893=$B6894, $A$2:$A6893+$C$2:$C6893)), "")*24*60, "")</f>
        <v/>
      </c>
      <c r="P6894" s="24" t="str" cm="1">
        <f t="array" ref="P6894">IFERROR(IF($B6894=P$1, ($A6894+$C6894) - MAX(IF($B$2:$B6893=$B6894, $A$2:$A6893+$C$2:$C6893)), "")*24*60, "")</f>
        <v/>
      </c>
      <c r="Q6894" s="24" t="str" cm="1">
        <f t="array" ref="Q6894">IFERROR(IF($B6894=Q$1, ($A6894+$C6894) - MAX(IF($B$2:$B6893=$B6894, $A$2:$A6893+$C$2:$C6893)), "")*24*60, "")</f>
        <v/>
      </c>
      <c r="R6894" s="24" t="str" cm="1">
        <f t="array" ref="R6894">IFERROR(IF($B6894=R$1, ($A6894+$C6894) - MAX(IF($B$2:$B6893=$B6894, $A$2:$A6893+$C$2:$C6893)), "")*24*60, "")</f>
        <v/>
      </c>
      <c r="S6894" s="24" t="str" cm="1">
        <f t="array" ref="S6894">IFERROR(IF($B6894=S$1, ($A6894+$C6894) - MAX(IF($B$2:$B6893=$B6894, $A$2:$A6893+$C$2:$C6893)), "")*24*60, "")</f>
        <v/>
      </c>
    </row>
    <row r="6895" spans="1:19" x14ac:dyDescent="0.2">
      <c r="A6895" s="12">
        <f t="shared" ref="A6895:C6895" si="1337">A6894</f>
        <v>45992</v>
      </c>
      <c r="B6895" s="5" t="str">
        <f t="shared" si="1337"/>
        <v>Northern Cardinal</v>
      </c>
      <c r="C6895" s="6">
        <f t="shared" si="1337"/>
        <v>0.28333333333333333</v>
      </c>
      <c r="D6895" s="5"/>
      <c r="E6895" s="5"/>
      <c r="F6895" s="5" t="s">
        <v>8</v>
      </c>
      <c r="G6895" s="15" t="s">
        <v>9</v>
      </c>
      <c r="H6895" s="24">
        <f t="shared" si="1308"/>
        <v>0</v>
      </c>
      <c r="I6895" s="24" cm="1">
        <f t="array" ref="I6895">IFERROR(IF($B6895=I$1, ($A6895+$C6895) - MAX(IF($B$2:$B6894=$B6895, $A$2:$A6894+$C$2:$C6894)), "")*24*60, "")</f>
        <v>0</v>
      </c>
      <c r="J6895" s="24" t="str" cm="1">
        <f t="array" ref="J6895">IFERROR(IF($B6895=J$1, ($A6895+$C6895) - MAX(IF($B$2:$B6894=$B6895, $A$2:$A6894+$C$2:$C6894)), "")*24*60, "")</f>
        <v/>
      </c>
      <c r="K6895" s="24" t="str" cm="1">
        <f t="array" ref="K6895">IFERROR(IF($B6895=K$1, ($A6895+$C6895) - MAX(IF($B$2:$B6894=$B6895, $A$2:$A6894+$C$2:$C6894)), "")*24*60, "")</f>
        <v/>
      </c>
      <c r="L6895" s="24" t="str" cm="1">
        <f t="array" ref="L6895">IFERROR(IF($B6895=L$1, ($A6895+$C6895) - MAX(IF($B$2:$B6894=$B6895, $A$2:$A6894+$C$2:$C6894)), "")*24*60, "")</f>
        <v/>
      </c>
      <c r="M6895" s="24" t="str" cm="1">
        <f t="array" ref="M6895">IFERROR(IF($B6895=M$1, ($A6895+$C6895) - MAX(IF($B$2:$B6894=$B6895, $A$2:$A6894+$C$2:$C6894)), "")*24*60, "")</f>
        <v/>
      </c>
      <c r="N6895" s="24" t="str" cm="1">
        <f t="array" ref="N6895">IFERROR(IF($B6895=N$1, ($A6895+$C6895) - MAX(IF($B$2:$B6894=$B6895, $A$2:$A6894+$C$2:$C6894)), "")*24*60, "")</f>
        <v/>
      </c>
      <c r="O6895" s="24" t="str" cm="1">
        <f t="array" ref="O6895">IFERROR(IF($B6895=O$1, ($A6895+$C6895) - MAX(IF($B$2:$B6894=$B6895, $A$2:$A6894+$C$2:$C6894)), "")*24*60, "")</f>
        <v/>
      </c>
      <c r="P6895" s="24" t="str" cm="1">
        <f t="array" ref="P6895">IFERROR(IF($B6895=P$1, ($A6895+$C6895) - MAX(IF($B$2:$B6894=$B6895, $A$2:$A6894+$C$2:$C6894)), "")*24*60, "")</f>
        <v/>
      </c>
      <c r="Q6895" s="24" t="str" cm="1">
        <f t="array" ref="Q6895">IFERROR(IF($B6895=Q$1, ($A6895+$C6895) - MAX(IF($B$2:$B6894=$B6895, $A$2:$A6894+$C$2:$C6894)), "")*24*60, "")</f>
        <v/>
      </c>
      <c r="R6895" s="24" t="str" cm="1">
        <f t="array" ref="R6895">IFERROR(IF($B6895=R$1, ($A6895+$C6895) - MAX(IF($B$2:$B6894=$B6895, $A$2:$A6894+$C$2:$C6894)), "")*24*60, "")</f>
        <v/>
      </c>
      <c r="S6895" s="24" t="str" cm="1">
        <f t="array" ref="S6895">IFERROR(IF($B6895=S$1, ($A6895+$C6895) - MAX(IF($B$2:$B6894=$B6895, $A$2:$A6894+$C$2:$C6894)), "")*24*60, "")</f>
        <v/>
      </c>
    </row>
    <row r="6896" spans="1:19" x14ac:dyDescent="0.2">
      <c r="A6896" s="12">
        <f t="shared" ref="A6896:C6896" si="1338">A6895</f>
        <v>45992</v>
      </c>
      <c r="B6896" s="5" t="str">
        <f t="shared" si="1338"/>
        <v>Northern Cardinal</v>
      </c>
      <c r="C6896" s="6">
        <f t="shared" si="1338"/>
        <v>0.28333333333333333</v>
      </c>
      <c r="D6896" s="5"/>
      <c r="E6896" s="5"/>
      <c r="F6896" s="5" t="s">
        <v>8</v>
      </c>
      <c r="G6896" s="15" t="s">
        <v>9</v>
      </c>
      <c r="H6896" s="24">
        <f t="shared" si="1308"/>
        <v>0</v>
      </c>
      <c r="I6896" s="24" cm="1">
        <f t="array" ref="I6896">IFERROR(IF($B6896=I$1, ($A6896+$C6896) - MAX(IF($B$2:$B6895=$B6896, $A$2:$A6895+$C$2:$C6895)), "")*24*60, "")</f>
        <v>0</v>
      </c>
      <c r="J6896" s="24" t="str" cm="1">
        <f t="array" ref="J6896">IFERROR(IF($B6896=J$1, ($A6896+$C6896) - MAX(IF($B$2:$B6895=$B6896, $A$2:$A6895+$C$2:$C6895)), "")*24*60, "")</f>
        <v/>
      </c>
      <c r="K6896" s="24" t="str" cm="1">
        <f t="array" ref="K6896">IFERROR(IF($B6896=K$1, ($A6896+$C6896) - MAX(IF($B$2:$B6895=$B6896, $A$2:$A6895+$C$2:$C6895)), "")*24*60, "")</f>
        <v/>
      </c>
      <c r="L6896" s="24" t="str" cm="1">
        <f t="array" ref="L6896">IFERROR(IF($B6896=L$1, ($A6896+$C6896) - MAX(IF($B$2:$B6895=$B6896, $A$2:$A6895+$C$2:$C6895)), "")*24*60, "")</f>
        <v/>
      </c>
      <c r="M6896" s="24" t="str" cm="1">
        <f t="array" ref="M6896">IFERROR(IF($B6896=M$1, ($A6896+$C6896) - MAX(IF($B$2:$B6895=$B6896, $A$2:$A6895+$C$2:$C6895)), "")*24*60, "")</f>
        <v/>
      </c>
      <c r="N6896" s="24" t="str" cm="1">
        <f t="array" ref="N6896">IFERROR(IF($B6896=N$1, ($A6896+$C6896) - MAX(IF($B$2:$B6895=$B6896, $A$2:$A6895+$C$2:$C6895)), "")*24*60, "")</f>
        <v/>
      </c>
      <c r="O6896" s="24" t="str" cm="1">
        <f t="array" ref="O6896">IFERROR(IF($B6896=O$1, ($A6896+$C6896) - MAX(IF($B$2:$B6895=$B6896, $A$2:$A6895+$C$2:$C6895)), "")*24*60, "")</f>
        <v/>
      </c>
      <c r="P6896" s="24" t="str" cm="1">
        <f t="array" ref="P6896">IFERROR(IF($B6896=P$1, ($A6896+$C6896) - MAX(IF($B$2:$B6895=$B6896, $A$2:$A6895+$C$2:$C6895)), "")*24*60, "")</f>
        <v/>
      </c>
      <c r="Q6896" s="24" t="str" cm="1">
        <f t="array" ref="Q6896">IFERROR(IF($B6896=Q$1, ($A6896+$C6896) - MAX(IF($B$2:$B6895=$B6896, $A$2:$A6895+$C$2:$C6895)), "")*24*60, "")</f>
        <v/>
      </c>
      <c r="R6896" s="24" t="str" cm="1">
        <f t="array" ref="R6896">IFERROR(IF($B6896=R$1, ($A6896+$C6896) - MAX(IF($B$2:$B6895=$B6896, $A$2:$A6895+$C$2:$C6895)), "")*24*60, "")</f>
        <v/>
      </c>
      <c r="S6896" s="24" t="str" cm="1">
        <f t="array" ref="S6896">IFERROR(IF($B6896=S$1, ($A6896+$C6896) - MAX(IF($B$2:$B6895=$B6896, $A$2:$A6895+$C$2:$C6895)), "")*24*60, "")</f>
        <v/>
      </c>
    </row>
    <row r="6897" spans="1:19" x14ac:dyDescent="0.2">
      <c r="A6897" s="12">
        <f t="shared" ref="A6897:C6897" si="1339">A6896</f>
        <v>45992</v>
      </c>
      <c r="B6897" s="5" t="str">
        <f t="shared" si="1339"/>
        <v>Northern Cardinal</v>
      </c>
      <c r="C6897" s="6">
        <f t="shared" si="1339"/>
        <v>0.28333333333333333</v>
      </c>
      <c r="D6897" s="5"/>
      <c r="E6897" s="5"/>
      <c r="F6897" s="5" t="s">
        <v>8</v>
      </c>
      <c r="G6897" s="15" t="s">
        <v>9</v>
      </c>
      <c r="H6897" s="24">
        <f t="shared" si="1308"/>
        <v>0</v>
      </c>
      <c r="I6897" s="24" cm="1">
        <f t="array" ref="I6897">IFERROR(IF($B6897=I$1, ($A6897+$C6897) - MAX(IF($B$2:$B6896=$B6897, $A$2:$A6896+$C$2:$C6896)), "")*24*60, "")</f>
        <v>0</v>
      </c>
      <c r="J6897" s="24" t="str" cm="1">
        <f t="array" ref="J6897">IFERROR(IF($B6897=J$1, ($A6897+$C6897) - MAX(IF($B$2:$B6896=$B6897, $A$2:$A6896+$C$2:$C6896)), "")*24*60, "")</f>
        <v/>
      </c>
      <c r="K6897" s="24" t="str" cm="1">
        <f t="array" ref="K6897">IFERROR(IF($B6897=K$1, ($A6897+$C6897) - MAX(IF($B$2:$B6896=$B6897, $A$2:$A6896+$C$2:$C6896)), "")*24*60, "")</f>
        <v/>
      </c>
      <c r="L6897" s="24" t="str" cm="1">
        <f t="array" ref="L6897">IFERROR(IF($B6897=L$1, ($A6897+$C6897) - MAX(IF($B$2:$B6896=$B6897, $A$2:$A6896+$C$2:$C6896)), "")*24*60, "")</f>
        <v/>
      </c>
      <c r="M6897" s="24" t="str" cm="1">
        <f t="array" ref="M6897">IFERROR(IF($B6897=M$1, ($A6897+$C6897) - MAX(IF($B$2:$B6896=$B6897, $A$2:$A6896+$C$2:$C6896)), "")*24*60, "")</f>
        <v/>
      </c>
      <c r="N6897" s="24" t="str" cm="1">
        <f t="array" ref="N6897">IFERROR(IF($B6897=N$1, ($A6897+$C6897) - MAX(IF($B$2:$B6896=$B6897, $A$2:$A6896+$C$2:$C6896)), "")*24*60, "")</f>
        <v/>
      </c>
      <c r="O6897" s="24" t="str" cm="1">
        <f t="array" ref="O6897">IFERROR(IF($B6897=O$1, ($A6897+$C6897) - MAX(IF($B$2:$B6896=$B6897, $A$2:$A6896+$C$2:$C6896)), "")*24*60, "")</f>
        <v/>
      </c>
      <c r="P6897" s="24" t="str" cm="1">
        <f t="array" ref="P6897">IFERROR(IF($B6897=P$1, ($A6897+$C6897) - MAX(IF($B$2:$B6896=$B6897, $A$2:$A6896+$C$2:$C6896)), "")*24*60, "")</f>
        <v/>
      </c>
      <c r="Q6897" s="24" t="str" cm="1">
        <f t="array" ref="Q6897">IFERROR(IF($B6897=Q$1, ($A6897+$C6897) - MAX(IF($B$2:$B6896=$B6897, $A$2:$A6896+$C$2:$C6896)), "")*24*60, "")</f>
        <v/>
      </c>
      <c r="R6897" s="24" t="str" cm="1">
        <f t="array" ref="R6897">IFERROR(IF($B6897=R$1, ($A6897+$C6897) - MAX(IF($B$2:$B6896=$B6897, $A$2:$A6896+$C$2:$C6896)), "")*24*60, "")</f>
        <v/>
      </c>
      <c r="S6897" s="24" t="str" cm="1">
        <f t="array" ref="S6897">IFERROR(IF($B6897=S$1, ($A6897+$C6897) - MAX(IF($B$2:$B6896=$B6897, $A$2:$A6896+$C$2:$C6896)), "")*24*60, "")</f>
        <v/>
      </c>
    </row>
    <row r="6898" spans="1:19" x14ac:dyDescent="0.2">
      <c r="A6898" s="12">
        <f t="shared" ref="A6898:C6898" si="1340">A6897</f>
        <v>45992</v>
      </c>
      <c r="B6898" s="5" t="str">
        <f t="shared" si="1340"/>
        <v>Northern Cardinal</v>
      </c>
      <c r="C6898" s="6">
        <f t="shared" si="1340"/>
        <v>0.28333333333333333</v>
      </c>
      <c r="D6898" s="5"/>
      <c r="E6898" s="5"/>
      <c r="F6898" s="5" t="s">
        <v>8</v>
      </c>
      <c r="G6898" s="15" t="s">
        <v>9</v>
      </c>
      <c r="H6898" s="24">
        <f t="shared" si="1308"/>
        <v>0</v>
      </c>
      <c r="I6898" s="24" cm="1">
        <f t="array" ref="I6898">IFERROR(IF($B6898=I$1, ($A6898+$C6898) - MAX(IF($B$2:$B6897=$B6898, $A$2:$A6897+$C$2:$C6897)), "")*24*60, "")</f>
        <v>0</v>
      </c>
      <c r="J6898" s="24" t="str" cm="1">
        <f t="array" ref="J6898">IFERROR(IF($B6898=J$1, ($A6898+$C6898) - MAX(IF($B$2:$B6897=$B6898, $A$2:$A6897+$C$2:$C6897)), "")*24*60, "")</f>
        <v/>
      </c>
      <c r="K6898" s="24" t="str" cm="1">
        <f t="array" ref="K6898">IFERROR(IF($B6898=K$1, ($A6898+$C6898) - MAX(IF($B$2:$B6897=$B6898, $A$2:$A6897+$C$2:$C6897)), "")*24*60, "")</f>
        <v/>
      </c>
      <c r="L6898" s="24" t="str" cm="1">
        <f t="array" ref="L6898">IFERROR(IF($B6898=L$1, ($A6898+$C6898) - MAX(IF($B$2:$B6897=$B6898, $A$2:$A6897+$C$2:$C6897)), "")*24*60, "")</f>
        <v/>
      </c>
      <c r="M6898" s="24" t="str" cm="1">
        <f t="array" ref="M6898">IFERROR(IF($B6898=M$1, ($A6898+$C6898) - MAX(IF($B$2:$B6897=$B6898, $A$2:$A6897+$C$2:$C6897)), "")*24*60, "")</f>
        <v/>
      </c>
      <c r="N6898" s="24" t="str" cm="1">
        <f t="array" ref="N6898">IFERROR(IF($B6898=N$1, ($A6898+$C6898) - MAX(IF($B$2:$B6897=$B6898, $A$2:$A6897+$C$2:$C6897)), "")*24*60, "")</f>
        <v/>
      </c>
      <c r="O6898" s="24" t="str" cm="1">
        <f t="array" ref="O6898">IFERROR(IF($B6898=O$1, ($A6898+$C6898) - MAX(IF($B$2:$B6897=$B6898, $A$2:$A6897+$C$2:$C6897)), "")*24*60, "")</f>
        <v/>
      </c>
      <c r="P6898" s="24" t="str" cm="1">
        <f t="array" ref="P6898">IFERROR(IF($B6898=P$1, ($A6898+$C6898) - MAX(IF($B$2:$B6897=$B6898, $A$2:$A6897+$C$2:$C6897)), "")*24*60, "")</f>
        <v/>
      </c>
      <c r="Q6898" s="24" t="str" cm="1">
        <f t="array" ref="Q6898">IFERROR(IF($B6898=Q$1, ($A6898+$C6898) - MAX(IF($B$2:$B6897=$B6898, $A$2:$A6897+$C$2:$C6897)), "")*24*60, "")</f>
        <v/>
      </c>
      <c r="R6898" s="24" t="str" cm="1">
        <f t="array" ref="R6898">IFERROR(IF($B6898=R$1, ($A6898+$C6898) - MAX(IF($B$2:$B6897=$B6898, $A$2:$A6897+$C$2:$C6897)), "")*24*60, "")</f>
        <v/>
      </c>
      <c r="S6898" s="24" t="str" cm="1">
        <f t="array" ref="S6898">IFERROR(IF($B6898=S$1, ($A6898+$C6898) - MAX(IF($B$2:$B6897=$B6898, $A$2:$A6897+$C$2:$C6897)), "")*24*60, "")</f>
        <v/>
      </c>
    </row>
    <row r="6899" spans="1:19" x14ac:dyDescent="0.2">
      <c r="A6899" s="12">
        <f t="shared" ref="A6899:C6899" si="1341">A6898</f>
        <v>45992</v>
      </c>
      <c r="B6899" s="5" t="str">
        <f t="shared" si="1341"/>
        <v>Northern Cardinal</v>
      </c>
      <c r="C6899" s="6">
        <f t="shared" si="1341"/>
        <v>0.28333333333333333</v>
      </c>
      <c r="D6899" s="5"/>
      <c r="E6899" s="5"/>
      <c r="F6899" s="5" t="s">
        <v>8</v>
      </c>
      <c r="G6899" s="15" t="s">
        <v>9</v>
      </c>
      <c r="H6899" s="24">
        <f t="shared" si="1308"/>
        <v>0</v>
      </c>
      <c r="I6899" s="24" cm="1">
        <f t="array" ref="I6899">IFERROR(IF($B6899=I$1, ($A6899+$C6899) - MAX(IF($B$2:$B6898=$B6899, $A$2:$A6898+$C$2:$C6898)), "")*24*60, "")</f>
        <v>0</v>
      </c>
      <c r="J6899" s="24" t="str" cm="1">
        <f t="array" ref="J6899">IFERROR(IF($B6899=J$1, ($A6899+$C6899) - MAX(IF($B$2:$B6898=$B6899, $A$2:$A6898+$C$2:$C6898)), "")*24*60, "")</f>
        <v/>
      </c>
      <c r="K6899" s="24" t="str" cm="1">
        <f t="array" ref="K6899">IFERROR(IF($B6899=K$1, ($A6899+$C6899) - MAX(IF($B$2:$B6898=$B6899, $A$2:$A6898+$C$2:$C6898)), "")*24*60, "")</f>
        <v/>
      </c>
      <c r="L6899" s="24" t="str" cm="1">
        <f t="array" ref="L6899">IFERROR(IF($B6899=L$1, ($A6899+$C6899) - MAX(IF($B$2:$B6898=$B6899, $A$2:$A6898+$C$2:$C6898)), "")*24*60, "")</f>
        <v/>
      </c>
      <c r="M6899" s="24" t="str" cm="1">
        <f t="array" ref="M6899">IFERROR(IF($B6899=M$1, ($A6899+$C6899) - MAX(IF($B$2:$B6898=$B6899, $A$2:$A6898+$C$2:$C6898)), "")*24*60, "")</f>
        <v/>
      </c>
      <c r="N6899" s="24" t="str" cm="1">
        <f t="array" ref="N6899">IFERROR(IF($B6899=N$1, ($A6899+$C6899) - MAX(IF($B$2:$B6898=$B6899, $A$2:$A6898+$C$2:$C6898)), "")*24*60, "")</f>
        <v/>
      </c>
      <c r="O6899" s="24" t="str" cm="1">
        <f t="array" ref="O6899">IFERROR(IF($B6899=O$1, ($A6899+$C6899) - MAX(IF($B$2:$B6898=$B6899, $A$2:$A6898+$C$2:$C6898)), "")*24*60, "")</f>
        <v/>
      </c>
      <c r="P6899" s="24" t="str" cm="1">
        <f t="array" ref="P6899">IFERROR(IF($B6899=P$1, ($A6899+$C6899) - MAX(IF($B$2:$B6898=$B6899, $A$2:$A6898+$C$2:$C6898)), "")*24*60, "")</f>
        <v/>
      </c>
      <c r="Q6899" s="24" t="str" cm="1">
        <f t="array" ref="Q6899">IFERROR(IF($B6899=Q$1, ($A6899+$C6899) - MAX(IF($B$2:$B6898=$B6899, $A$2:$A6898+$C$2:$C6898)), "")*24*60, "")</f>
        <v/>
      </c>
      <c r="R6899" s="24" t="str" cm="1">
        <f t="array" ref="R6899">IFERROR(IF($B6899=R$1, ($A6899+$C6899) - MAX(IF($B$2:$B6898=$B6899, $A$2:$A6898+$C$2:$C6898)), "")*24*60, "")</f>
        <v/>
      </c>
      <c r="S6899" s="24" t="str" cm="1">
        <f t="array" ref="S6899">IFERROR(IF($B6899=S$1, ($A6899+$C6899) - MAX(IF($B$2:$B6898=$B6899, $A$2:$A6898+$C$2:$C6898)), "")*24*60, "")</f>
        <v/>
      </c>
    </row>
    <row r="6900" spans="1:19" x14ac:dyDescent="0.2">
      <c r="A6900" s="12">
        <f t="shared" ref="A6900:C6900" si="1342">A6899</f>
        <v>45992</v>
      </c>
      <c r="B6900" s="5" t="str">
        <f t="shared" si="1342"/>
        <v>Northern Cardinal</v>
      </c>
      <c r="C6900" s="6">
        <f t="shared" si="1342"/>
        <v>0.28333333333333333</v>
      </c>
      <c r="D6900" s="5"/>
      <c r="E6900" s="5"/>
      <c r="F6900" s="5" t="s">
        <v>8</v>
      </c>
      <c r="G6900" s="15" t="s">
        <v>9</v>
      </c>
      <c r="H6900" s="24">
        <f t="shared" si="1308"/>
        <v>0</v>
      </c>
      <c r="I6900" s="24" cm="1">
        <f t="array" ref="I6900">IFERROR(IF($B6900=I$1, ($A6900+$C6900) - MAX(IF($B$2:$B6899=$B6900, $A$2:$A6899+$C$2:$C6899)), "")*24*60, "")</f>
        <v>0</v>
      </c>
      <c r="J6900" s="24" t="str" cm="1">
        <f t="array" ref="J6900">IFERROR(IF($B6900=J$1, ($A6900+$C6900) - MAX(IF($B$2:$B6899=$B6900, $A$2:$A6899+$C$2:$C6899)), "")*24*60, "")</f>
        <v/>
      </c>
      <c r="K6900" s="24" t="str" cm="1">
        <f t="array" ref="K6900">IFERROR(IF($B6900=K$1, ($A6900+$C6900) - MAX(IF($B$2:$B6899=$B6900, $A$2:$A6899+$C$2:$C6899)), "")*24*60, "")</f>
        <v/>
      </c>
      <c r="L6900" s="24" t="str" cm="1">
        <f t="array" ref="L6900">IFERROR(IF($B6900=L$1, ($A6900+$C6900) - MAX(IF($B$2:$B6899=$B6900, $A$2:$A6899+$C$2:$C6899)), "")*24*60, "")</f>
        <v/>
      </c>
      <c r="M6900" s="24" t="str" cm="1">
        <f t="array" ref="M6900">IFERROR(IF($B6900=M$1, ($A6900+$C6900) - MAX(IF($B$2:$B6899=$B6900, $A$2:$A6899+$C$2:$C6899)), "")*24*60, "")</f>
        <v/>
      </c>
      <c r="N6900" s="24" t="str" cm="1">
        <f t="array" ref="N6900">IFERROR(IF($B6900=N$1, ($A6900+$C6900) - MAX(IF($B$2:$B6899=$B6900, $A$2:$A6899+$C$2:$C6899)), "")*24*60, "")</f>
        <v/>
      </c>
      <c r="O6900" s="24" t="str" cm="1">
        <f t="array" ref="O6900">IFERROR(IF($B6900=O$1, ($A6900+$C6900) - MAX(IF($B$2:$B6899=$B6900, $A$2:$A6899+$C$2:$C6899)), "")*24*60, "")</f>
        <v/>
      </c>
      <c r="P6900" s="24" t="str" cm="1">
        <f t="array" ref="P6900">IFERROR(IF($B6900=P$1, ($A6900+$C6900) - MAX(IF($B$2:$B6899=$B6900, $A$2:$A6899+$C$2:$C6899)), "")*24*60, "")</f>
        <v/>
      </c>
      <c r="Q6900" s="24" t="str" cm="1">
        <f t="array" ref="Q6900">IFERROR(IF($B6900=Q$1, ($A6900+$C6900) - MAX(IF($B$2:$B6899=$B6900, $A$2:$A6899+$C$2:$C6899)), "")*24*60, "")</f>
        <v/>
      </c>
      <c r="R6900" s="24" t="str" cm="1">
        <f t="array" ref="R6900">IFERROR(IF($B6900=R$1, ($A6900+$C6900) - MAX(IF($B$2:$B6899=$B6900, $A$2:$A6899+$C$2:$C6899)), "")*24*60, "")</f>
        <v/>
      </c>
      <c r="S6900" s="24" t="str" cm="1">
        <f t="array" ref="S6900">IFERROR(IF($B6900=S$1, ($A6900+$C6900) - MAX(IF($B$2:$B6899=$B6900, $A$2:$A6899+$C$2:$C6899)), "")*24*60, "")</f>
        <v/>
      </c>
    </row>
    <row r="6901" spans="1:19" x14ac:dyDescent="0.2">
      <c r="A6901" s="12">
        <f t="shared" ref="A6901:C6901" si="1343">A6900</f>
        <v>45992</v>
      </c>
      <c r="B6901" s="5" t="str">
        <f t="shared" si="1343"/>
        <v>Northern Cardinal</v>
      </c>
      <c r="C6901" s="6">
        <f t="shared" si="1343"/>
        <v>0.28333333333333333</v>
      </c>
      <c r="D6901" s="5"/>
      <c r="E6901" s="5"/>
      <c r="F6901" s="5" t="s">
        <v>8</v>
      </c>
      <c r="G6901" s="15" t="s">
        <v>9</v>
      </c>
      <c r="H6901" s="24">
        <f t="shared" si="1308"/>
        <v>0</v>
      </c>
      <c r="I6901" s="24" cm="1">
        <f t="array" ref="I6901">IFERROR(IF($B6901=I$1, ($A6901+$C6901) - MAX(IF($B$2:$B6900=$B6901, $A$2:$A6900+$C$2:$C6900)), "")*24*60, "")</f>
        <v>0</v>
      </c>
      <c r="J6901" s="24" t="str" cm="1">
        <f t="array" ref="J6901">IFERROR(IF($B6901=J$1, ($A6901+$C6901) - MAX(IF($B$2:$B6900=$B6901, $A$2:$A6900+$C$2:$C6900)), "")*24*60, "")</f>
        <v/>
      </c>
      <c r="K6901" s="24" t="str" cm="1">
        <f t="array" ref="K6901">IFERROR(IF($B6901=K$1, ($A6901+$C6901) - MAX(IF($B$2:$B6900=$B6901, $A$2:$A6900+$C$2:$C6900)), "")*24*60, "")</f>
        <v/>
      </c>
      <c r="L6901" s="24" t="str" cm="1">
        <f t="array" ref="L6901">IFERROR(IF($B6901=L$1, ($A6901+$C6901) - MAX(IF($B$2:$B6900=$B6901, $A$2:$A6900+$C$2:$C6900)), "")*24*60, "")</f>
        <v/>
      </c>
      <c r="M6901" s="24" t="str" cm="1">
        <f t="array" ref="M6901">IFERROR(IF($B6901=M$1, ($A6901+$C6901) - MAX(IF($B$2:$B6900=$B6901, $A$2:$A6900+$C$2:$C6900)), "")*24*60, "")</f>
        <v/>
      </c>
      <c r="N6901" s="24" t="str" cm="1">
        <f t="array" ref="N6901">IFERROR(IF($B6901=N$1, ($A6901+$C6901) - MAX(IF($B$2:$B6900=$B6901, $A$2:$A6900+$C$2:$C6900)), "")*24*60, "")</f>
        <v/>
      </c>
      <c r="O6901" s="24" t="str" cm="1">
        <f t="array" ref="O6901">IFERROR(IF($B6901=O$1, ($A6901+$C6901) - MAX(IF($B$2:$B6900=$B6901, $A$2:$A6900+$C$2:$C6900)), "")*24*60, "")</f>
        <v/>
      </c>
      <c r="P6901" s="24" t="str" cm="1">
        <f t="array" ref="P6901">IFERROR(IF($B6901=P$1, ($A6901+$C6901) - MAX(IF($B$2:$B6900=$B6901, $A$2:$A6900+$C$2:$C6900)), "")*24*60, "")</f>
        <v/>
      </c>
      <c r="Q6901" s="24" t="str" cm="1">
        <f t="array" ref="Q6901">IFERROR(IF($B6901=Q$1, ($A6901+$C6901) - MAX(IF($B$2:$B6900=$B6901, $A$2:$A6900+$C$2:$C6900)), "")*24*60, "")</f>
        <v/>
      </c>
      <c r="R6901" s="24" t="str" cm="1">
        <f t="array" ref="R6901">IFERROR(IF($B6901=R$1, ($A6901+$C6901) - MAX(IF($B$2:$B6900=$B6901, $A$2:$A6900+$C$2:$C6900)), "")*24*60, "")</f>
        <v/>
      </c>
      <c r="S6901" s="24" t="str" cm="1">
        <f t="array" ref="S6901">IFERROR(IF($B6901=S$1, ($A6901+$C6901) - MAX(IF($B$2:$B6900=$B6901, $A$2:$A6900+$C$2:$C6900)), "")*24*60, "")</f>
        <v/>
      </c>
    </row>
    <row r="6902" spans="1:19" x14ac:dyDescent="0.2">
      <c r="A6902" s="12">
        <f t="shared" ref="A6902:C6902" si="1344">A6901</f>
        <v>45992</v>
      </c>
      <c r="B6902" s="5" t="str">
        <f t="shared" si="1344"/>
        <v>Northern Cardinal</v>
      </c>
      <c r="C6902" s="6">
        <f t="shared" si="1344"/>
        <v>0.28333333333333333</v>
      </c>
      <c r="D6902" s="5"/>
      <c r="E6902" s="5"/>
      <c r="F6902" s="5" t="s">
        <v>8</v>
      </c>
      <c r="G6902" s="15" t="s">
        <v>9</v>
      </c>
      <c r="H6902" s="24">
        <f t="shared" si="1308"/>
        <v>0</v>
      </c>
      <c r="I6902" s="24" cm="1">
        <f t="array" ref="I6902">IFERROR(IF($B6902=I$1, ($A6902+$C6902) - MAX(IF($B$2:$B6901=$B6902, $A$2:$A6901+$C$2:$C6901)), "")*24*60, "")</f>
        <v>0</v>
      </c>
      <c r="J6902" s="24" t="str" cm="1">
        <f t="array" ref="J6902">IFERROR(IF($B6902=J$1, ($A6902+$C6902) - MAX(IF($B$2:$B6901=$B6902, $A$2:$A6901+$C$2:$C6901)), "")*24*60, "")</f>
        <v/>
      </c>
      <c r="K6902" s="24" t="str" cm="1">
        <f t="array" ref="K6902">IFERROR(IF($B6902=K$1, ($A6902+$C6902) - MAX(IF($B$2:$B6901=$B6902, $A$2:$A6901+$C$2:$C6901)), "")*24*60, "")</f>
        <v/>
      </c>
      <c r="L6902" s="24" t="str" cm="1">
        <f t="array" ref="L6902">IFERROR(IF($B6902=L$1, ($A6902+$C6902) - MAX(IF($B$2:$B6901=$B6902, $A$2:$A6901+$C$2:$C6901)), "")*24*60, "")</f>
        <v/>
      </c>
      <c r="M6902" s="24" t="str" cm="1">
        <f t="array" ref="M6902">IFERROR(IF($B6902=M$1, ($A6902+$C6902) - MAX(IF($B$2:$B6901=$B6902, $A$2:$A6901+$C$2:$C6901)), "")*24*60, "")</f>
        <v/>
      </c>
      <c r="N6902" s="24" t="str" cm="1">
        <f t="array" ref="N6902">IFERROR(IF($B6902=N$1, ($A6902+$C6902) - MAX(IF($B$2:$B6901=$B6902, $A$2:$A6901+$C$2:$C6901)), "")*24*60, "")</f>
        <v/>
      </c>
      <c r="O6902" s="24" t="str" cm="1">
        <f t="array" ref="O6902">IFERROR(IF($B6902=O$1, ($A6902+$C6902) - MAX(IF($B$2:$B6901=$B6902, $A$2:$A6901+$C$2:$C6901)), "")*24*60, "")</f>
        <v/>
      </c>
      <c r="P6902" s="24" t="str" cm="1">
        <f t="array" ref="P6902">IFERROR(IF($B6902=P$1, ($A6902+$C6902) - MAX(IF($B$2:$B6901=$B6902, $A$2:$A6901+$C$2:$C6901)), "")*24*60, "")</f>
        <v/>
      </c>
      <c r="Q6902" s="24" t="str" cm="1">
        <f t="array" ref="Q6902">IFERROR(IF($B6902=Q$1, ($A6902+$C6902) - MAX(IF($B$2:$B6901=$B6902, $A$2:$A6901+$C$2:$C6901)), "")*24*60, "")</f>
        <v/>
      </c>
      <c r="R6902" s="24" t="str" cm="1">
        <f t="array" ref="R6902">IFERROR(IF($B6902=R$1, ($A6902+$C6902) - MAX(IF($B$2:$B6901=$B6902, $A$2:$A6901+$C$2:$C6901)), "")*24*60, "")</f>
        <v/>
      </c>
      <c r="S6902" s="24" t="str" cm="1">
        <f t="array" ref="S6902">IFERROR(IF($B6902=S$1, ($A6902+$C6902) - MAX(IF($B$2:$B6901=$B6902, $A$2:$A6901+$C$2:$C6901)), "")*24*60, "")</f>
        <v/>
      </c>
    </row>
    <row r="6903" spans="1:19" x14ac:dyDescent="0.2">
      <c r="A6903" s="12">
        <f t="shared" ref="A6903:C6903" si="1345">A6902</f>
        <v>45992</v>
      </c>
      <c r="B6903" s="5" t="str">
        <f t="shared" si="1345"/>
        <v>Northern Cardinal</v>
      </c>
      <c r="C6903" s="6">
        <f t="shared" si="1345"/>
        <v>0.28333333333333333</v>
      </c>
      <c r="D6903" s="5"/>
      <c r="E6903" s="5"/>
      <c r="F6903" s="5" t="s">
        <v>8</v>
      </c>
      <c r="G6903" s="15" t="s">
        <v>9</v>
      </c>
      <c r="H6903" s="24">
        <f t="shared" si="1308"/>
        <v>0</v>
      </c>
      <c r="I6903" s="24" cm="1">
        <f t="array" ref="I6903">IFERROR(IF($B6903=I$1, ($A6903+$C6903) - MAX(IF($B$2:$B6902=$B6903, $A$2:$A6902+$C$2:$C6902)), "")*24*60, "")</f>
        <v>0</v>
      </c>
      <c r="J6903" s="24" t="str" cm="1">
        <f t="array" ref="J6903">IFERROR(IF($B6903=J$1, ($A6903+$C6903) - MAX(IF($B$2:$B6902=$B6903, $A$2:$A6902+$C$2:$C6902)), "")*24*60, "")</f>
        <v/>
      </c>
      <c r="K6903" s="24" t="str" cm="1">
        <f t="array" ref="K6903">IFERROR(IF($B6903=K$1, ($A6903+$C6903) - MAX(IF($B$2:$B6902=$B6903, $A$2:$A6902+$C$2:$C6902)), "")*24*60, "")</f>
        <v/>
      </c>
      <c r="L6903" s="24" t="str" cm="1">
        <f t="array" ref="L6903">IFERROR(IF($B6903=L$1, ($A6903+$C6903) - MAX(IF($B$2:$B6902=$B6903, $A$2:$A6902+$C$2:$C6902)), "")*24*60, "")</f>
        <v/>
      </c>
      <c r="M6903" s="24" t="str" cm="1">
        <f t="array" ref="M6903">IFERROR(IF($B6903=M$1, ($A6903+$C6903) - MAX(IF($B$2:$B6902=$B6903, $A$2:$A6902+$C$2:$C6902)), "")*24*60, "")</f>
        <v/>
      </c>
      <c r="N6903" s="24" t="str" cm="1">
        <f t="array" ref="N6903">IFERROR(IF($B6903=N$1, ($A6903+$C6903) - MAX(IF($B$2:$B6902=$B6903, $A$2:$A6902+$C$2:$C6902)), "")*24*60, "")</f>
        <v/>
      </c>
      <c r="O6903" s="24" t="str" cm="1">
        <f t="array" ref="O6903">IFERROR(IF($B6903=O$1, ($A6903+$C6903) - MAX(IF($B$2:$B6902=$B6903, $A$2:$A6902+$C$2:$C6902)), "")*24*60, "")</f>
        <v/>
      </c>
      <c r="P6903" s="24" t="str" cm="1">
        <f t="array" ref="P6903">IFERROR(IF($B6903=P$1, ($A6903+$C6903) - MAX(IF($B$2:$B6902=$B6903, $A$2:$A6902+$C$2:$C6902)), "")*24*60, "")</f>
        <v/>
      </c>
      <c r="Q6903" s="24" t="str" cm="1">
        <f t="array" ref="Q6903">IFERROR(IF($B6903=Q$1, ($A6903+$C6903) - MAX(IF($B$2:$B6902=$B6903, $A$2:$A6902+$C$2:$C6902)), "")*24*60, "")</f>
        <v/>
      </c>
      <c r="R6903" s="24" t="str" cm="1">
        <f t="array" ref="R6903">IFERROR(IF($B6903=R$1, ($A6903+$C6903) - MAX(IF($B$2:$B6902=$B6903, $A$2:$A6902+$C$2:$C6902)), "")*24*60, "")</f>
        <v/>
      </c>
      <c r="S6903" s="24" t="str" cm="1">
        <f t="array" ref="S6903">IFERROR(IF($B6903=S$1, ($A6903+$C6903) - MAX(IF($B$2:$B6902=$B6903, $A$2:$A6902+$C$2:$C6902)), "")*24*60, "")</f>
        <v/>
      </c>
    </row>
    <row r="6904" spans="1:19" x14ac:dyDescent="0.2">
      <c r="A6904" s="12">
        <f t="shared" ref="A6904:C6904" si="1346">A6903</f>
        <v>45992</v>
      </c>
      <c r="B6904" s="5" t="str">
        <f t="shared" si="1346"/>
        <v>Northern Cardinal</v>
      </c>
      <c r="C6904" s="6">
        <f t="shared" si="1346"/>
        <v>0.28333333333333333</v>
      </c>
      <c r="D6904" s="5"/>
      <c r="E6904" s="5"/>
      <c r="F6904" s="5" t="s">
        <v>8</v>
      </c>
      <c r="G6904" s="15" t="s">
        <v>9</v>
      </c>
      <c r="H6904" s="24">
        <f t="shared" si="1308"/>
        <v>0</v>
      </c>
      <c r="I6904" s="24" cm="1">
        <f t="array" ref="I6904">IFERROR(IF($B6904=I$1, ($A6904+$C6904) - MAX(IF($B$2:$B6903=$B6904, $A$2:$A6903+$C$2:$C6903)), "")*24*60, "")</f>
        <v>0</v>
      </c>
      <c r="J6904" s="24" t="str" cm="1">
        <f t="array" ref="J6904">IFERROR(IF($B6904=J$1, ($A6904+$C6904) - MAX(IF($B$2:$B6903=$B6904, $A$2:$A6903+$C$2:$C6903)), "")*24*60, "")</f>
        <v/>
      </c>
      <c r="K6904" s="24" t="str" cm="1">
        <f t="array" ref="K6904">IFERROR(IF($B6904=K$1, ($A6904+$C6904) - MAX(IF($B$2:$B6903=$B6904, $A$2:$A6903+$C$2:$C6903)), "")*24*60, "")</f>
        <v/>
      </c>
      <c r="L6904" s="24" t="str" cm="1">
        <f t="array" ref="L6904">IFERROR(IF($B6904=L$1, ($A6904+$C6904) - MAX(IF($B$2:$B6903=$B6904, $A$2:$A6903+$C$2:$C6903)), "")*24*60, "")</f>
        <v/>
      </c>
      <c r="M6904" s="24" t="str" cm="1">
        <f t="array" ref="M6904">IFERROR(IF($B6904=M$1, ($A6904+$C6904) - MAX(IF($B$2:$B6903=$B6904, $A$2:$A6903+$C$2:$C6903)), "")*24*60, "")</f>
        <v/>
      </c>
      <c r="N6904" s="24" t="str" cm="1">
        <f t="array" ref="N6904">IFERROR(IF($B6904=N$1, ($A6904+$C6904) - MAX(IF($B$2:$B6903=$B6904, $A$2:$A6903+$C$2:$C6903)), "")*24*60, "")</f>
        <v/>
      </c>
      <c r="O6904" s="24" t="str" cm="1">
        <f t="array" ref="O6904">IFERROR(IF($B6904=O$1, ($A6904+$C6904) - MAX(IF($B$2:$B6903=$B6904, $A$2:$A6903+$C$2:$C6903)), "")*24*60, "")</f>
        <v/>
      </c>
      <c r="P6904" s="24" t="str" cm="1">
        <f t="array" ref="P6904">IFERROR(IF($B6904=P$1, ($A6904+$C6904) - MAX(IF($B$2:$B6903=$B6904, $A$2:$A6903+$C$2:$C6903)), "")*24*60, "")</f>
        <v/>
      </c>
      <c r="Q6904" s="24" t="str" cm="1">
        <f t="array" ref="Q6904">IFERROR(IF($B6904=Q$1, ($A6904+$C6904) - MAX(IF($B$2:$B6903=$B6904, $A$2:$A6903+$C$2:$C6903)), "")*24*60, "")</f>
        <v/>
      </c>
      <c r="R6904" s="24" t="str" cm="1">
        <f t="array" ref="R6904">IFERROR(IF($B6904=R$1, ($A6904+$C6904) - MAX(IF($B$2:$B6903=$B6904, $A$2:$A6903+$C$2:$C6903)), "")*24*60, "")</f>
        <v/>
      </c>
      <c r="S6904" s="24" t="str" cm="1">
        <f t="array" ref="S6904">IFERROR(IF($B6904=S$1, ($A6904+$C6904) - MAX(IF($B$2:$B6903=$B6904, $A$2:$A6903+$C$2:$C6903)), "")*24*60, "")</f>
        <v/>
      </c>
    </row>
    <row r="6905" spans="1:19" x14ac:dyDescent="0.2">
      <c r="A6905" s="12">
        <f t="shared" ref="A6905:C6905" si="1347">A6904</f>
        <v>45992</v>
      </c>
      <c r="B6905" s="5" t="str">
        <f t="shared" si="1347"/>
        <v>Northern Cardinal</v>
      </c>
      <c r="C6905" s="6">
        <f t="shared" si="1347"/>
        <v>0.28333333333333333</v>
      </c>
      <c r="D6905" s="5"/>
      <c r="E6905" s="5"/>
      <c r="F6905" s="5" t="s">
        <v>8</v>
      </c>
      <c r="G6905" s="15" t="s">
        <v>9</v>
      </c>
      <c r="H6905" s="24">
        <f t="shared" si="1308"/>
        <v>0</v>
      </c>
      <c r="I6905" s="24" cm="1">
        <f t="array" ref="I6905">IFERROR(IF($B6905=I$1, ($A6905+$C6905) - MAX(IF($B$2:$B6904=$B6905, $A$2:$A6904+$C$2:$C6904)), "")*24*60, "")</f>
        <v>0</v>
      </c>
      <c r="J6905" s="24" t="str" cm="1">
        <f t="array" ref="J6905">IFERROR(IF($B6905=J$1, ($A6905+$C6905) - MAX(IF($B$2:$B6904=$B6905, $A$2:$A6904+$C$2:$C6904)), "")*24*60, "")</f>
        <v/>
      </c>
      <c r="K6905" s="24" t="str" cm="1">
        <f t="array" ref="K6905">IFERROR(IF($B6905=K$1, ($A6905+$C6905) - MAX(IF($B$2:$B6904=$B6905, $A$2:$A6904+$C$2:$C6904)), "")*24*60, "")</f>
        <v/>
      </c>
      <c r="L6905" s="24" t="str" cm="1">
        <f t="array" ref="L6905">IFERROR(IF($B6905=L$1, ($A6905+$C6905) - MAX(IF($B$2:$B6904=$B6905, $A$2:$A6904+$C$2:$C6904)), "")*24*60, "")</f>
        <v/>
      </c>
      <c r="M6905" s="24" t="str" cm="1">
        <f t="array" ref="M6905">IFERROR(IF($B6905=M$1, ($A6905+$C6905) - MAX(IF($B$2:$B6904=$B6905, $A$2:$A6904+$C$2:$C6904)), "")*24*60, "")</f>
        <v/>
      </c>
      <c r="N6905" s="24" t="str" cm="1">
        <f t="array" ref="N6905">IFERROR(IF($B6905=N$1, ($A6905+$C6905) - MAX(IF($B$2:$B6904=$B6905, $A$2:$A6904+$C$2:$C6904)), "")*24*60, "")</f>
        <v/>
      </c>
      <c r="O6905" s="24" t="str" cm="1">
        <f t="array" ref="O6905">IFERROR(IF($B6905=O$1, ($A6905+$C6905) - MAX(IF($B$2:$B6904=$B6905, $A$2:$A6904+$C$2:$C6904)), "")*24*60, "")</f>
        <v/>
      </c>
      <c r="P6905" s="24" t="str" cm="1">
        <f t="array" ref="P6905">IFERROR(IF($B6905=P$1, ($A6905+$C6905) - MAX(IF($B$2:$B6904=$B6905, $A$2:$A6904+$C$2:$C6904)), "")*24*60, "")</f>
        <v/>
      </c>
      <c r="Q6905" s="24" t="str" cm="1">
        <f t="array" ref="Q6905">IFERROR(IF($B6905=Q$1, ($A6905+$C6905) - MAX(IF($B$2:$B6904=$B6905, $A$2:$A6904+$C$2:$C6904)), "")*24*60, "")</f>
        <v/>
      </c>
      <c r="R6905" s="24" t="str" cm="1">
        <f t="array" ref="R6905">IFERROR(IF($B6905=R$1, ($A6905+$C6905) - MAX(IF($B$2:$B6904=$B6905, $A$2:$A6904+$C$2:$C6904)), "")*24*60, "")</f>
        <v/>
      </c>
      <c r="S6905" s="24" t="str" cm="1">
        <f t="array" ref="S6905">IFERROR(IF($B6905=S$1, ($A6905+$C6905) - MAX(IF($B$2:$B6904=$B6905, $A$2:$A6904+$C$2:$C6904)), "")*24*60, "")</f>
        <v/>
      </c>
    </row>
    <row r="6906" spans="1:19" x14ac:dyDescent="0.2">
      <c r="A6906" s="12">
        <f t="shared" ref="A6906:C6906" si="1348">A6905</f>
        <v>45992</v>
      </c>
      <c r="B6906" s="5" t="str">
        <f t="shared" si="1348"/>
        <v>Northern Cardinal</v>
      </c>
      <c r="C6906" s="6">
        <f t="shared" si="1348"/>
        <v>0.28333333333333333</v>
      </c>
      <c r="D6906" s="5"/>
      <c r="E6906" s="5"/>
      <c r="F6906" s="5" t="s">
        <v>8</v>
      </c>
      <c r="G6906" s="15" t="s">
        <v>9</v>
      </c>
      <c r="H6906" s="24">
        <f t="shared" si="1308"/>
        <v>0</v>
      </c>
      <c r="I6906" s="24" cm="1">
        <f t="array" ref="I6906">IFERROR(IF($B6906=I$1, ($A6906+$C6906) - MAX(IF($B$2:$B6905=$B6906, $A$2:$A6905+$C$2:$C6905)), "")*24*60, "")</f>
        <v>0</v>
      </c>
      <c r="J6906" s="24" t="str" cm="1">
        <f t="array" ref="J6906">IFERROR(IF($B6906=J$1, ($A6906+$C6906) - MAX(IF($B$2:$B6905=$B6906, $A$2:$A6905+$C$2:$C6905)), "")*24*60, "")</f>
        <v/>
      </c>
      <c r="K6906" s="24" t="str" cm="1">
        <f t="array" ref="K6906">IFERROR(IF($B6906=K$1, ($A6906+$C6906) - MAX(IF($B$2:$B6905=$B6906, $A$2:$A6905+$C$2:$C6905)), "")*24*60, "")</f>
        <v/>
      </c>
      <c r="L6906" s="24" t="str" cm="1">
        <f t="array" ref="L6906">IFERROR(IF($B6906=L$1, ($A6906+$C6906) - MAX(IF($B$2:$B6905=$B6906, $A$2:$A6905+$C$2:$C6905)), "")*24*60, "")</f>
        <v/>
      </c>
      <c r="M6906" s="24" t="str" cm="1">
        <f t="array" ref="M6906">IFERROR(IF($B6906=M$1, ($A6906+$C6906) - MAX(IF($B$2:$B6905=$B6906, $A$2:$A6905+$C$2:$C6905)), "")*24*60, "")</f>
        <v/>
      </c>
      <c r="N6906" s="24" t="str" cm="1">
        <f t="array" ref="N6906">IFERROR(IF($B6906=N$1, ($A6906+$C6906) - MAX(IF($B$2:$B6905=$B6906, $A$2:$A6905+$C$2:$C6905)), "")*24*60, "")</f>
        <v/>
      </c>
      <c r="O6906" s="24" t="str" cm="1">
        <f t="array" ref="O6906">IFERROR(IF($B6906=O$1, ($A6906+$C6906) - MAX(IF($B$2:$B6905=$B6906, $A$2:$A6905+$C$2:$C6905)), "")*24*60, "")</f>
        <v/>
      </c>
      <c r="P6906" s="24" t="str" cm="1">
        <f t="array" ref="P6906">IFERROR(IF($B6906=P$1, ($A6906+$C6906) - MAX(IF($B$2:$B6905=$B6906, $A$2:$A6905+$C$2:$C6905)), "")*24*60, "")</f>
        <v/>
      </c>
      <c r="Q6906" s="24" t="str" cm="1">
        <f t="array" ref="Q6906">IFERROR(IF($B6906=Q$1, ($A6906+$C6906) - MAX(IF($B$2:$B6905=$B6906, $A$2:$A6905+$C$2:$C6905)), "")*24*60, "")</f>
        <v/>
      </c>
      <c r="R6906" s="24" t="str" cm="1">
        <f t="array" ref="R6906">IFERROR(IF($B6906=R$1, ($A6906+$C6906) - MAX(IF($B$2:$B6905=$B6906, $A$2:$A6905+$C$2:$C6905)), "")*24*60, "")</f>
        <v/>
      </c>
      <c r="S6906" s="24" t="str" cm="1">
        <f t="array" ref="S6906">IFERROR(IF($B6906=S$1, ($A6906+$C6906) - MAX(IF($B$2:$B6905=$B6906, $A$2:$A6905+$C$2:$C6905)), "")*24*60, "")</f>
        <v/>
      </c>
    </row>
    <row r="6907" spans="1:19" x14ac:dyDescent="0.2">
      <c r="A6907" s="12">
        <f t="shared" ref="A6907:C6907" si="1349">A6906</f>
        <v>45992</v>
      </c>
      <c r="B6907" s="5" t="str">
        <f t="shared" si="1349"/>
        <v>Northern Cardinal</v>
      </c>
      <c r="C6907" s="6">
        <f t="shared" si="1349"/>
        <v>0.28333333333333333</v>
      </c>
      <c r="D6907" s="5"/>
      <c r="E6907" s="5"/>
      <c r="F6907" s="5" t="s">
        <v>8</v>
      </c>
      <c r="G6907" s="15" t="s">
        <v>9</v>
      </c>
      <c r="H6907" s="24">
        <f t="shared" si="1308"/>
        <v>0</v>
      </c>
      <c r="I6907" s="24" cm="1">
        <f t="array" ref="I6907">IFERROR(IF($B6907=I$1, ($A6907+$C6907) - MAX(IF($B$2:$B6906=$B6907, $A$2:$A6906+$C$2:$C6906)), "")*24*60, "")</f>
        <v>0</v>
      </c>
      <c r="J6907" s="24" t="str" cm="1">
        <f t="array" ref="J6907">IFERROR(IF($B6907=J$1, ($A6907+$C6907) - MAX(IF($B$2:$B6906=$B6907, $A$2:$A6906+$C$2:$C6906)), "")*24*60, "")</f>
        <v/>
      </c>
      <c r="K6907" s="24" t="str" cm="1">
        <f t="array" ref="K6907">IFERROR(IF($B6907=K$1, ($A6907+$C6907) - MAX(IF($B$2:$B6906=$B6907, $A$2:$A6906+$C$2:$C6906)), "")*24*60, "")</f>
        <v/>
      </c>
      <c r="L6907" s="24" t="str" cm="1">
        <f t="array" ref="L6907">IFERROR(IF($B6907=L$1, ($A6907+$C6907) - MAX(IF($B$2:$B6906=$B6907, $A$2:$A6906+$C$2:$C6906)), "")*24*60, "")</f>
        <v/>
      </c>
      <c r="M6907" s="24" t="str" cm="1">
        <f t="array" ref="M6907">IFERROR(IF($B6907=M$1, ($A6907+$C6907) - MAX(IF($B$2:$B6906=$B6907, $A$2:$A6906+$C$2:$C6906)), "")*24*60, "")</f>
        <v/>
      </c>
      <c r="N6907" s="24" t="str" cm="1">
        <f t="array" ref="N6907">IFERROR(IF($B6907=N$1, ($A6907+$C6907) - MAX(IF($B$2:$B6906=$B6907, $A$2:$A6906+$C$2:$C6906)), "")*24*60, "")</f>
        <v/>
      </c>
      <c r="O6907" s="24" t="str" cm="1">
        <f t="array" ref="O6907">IFERROR(IF($B6907=O$1, ($A6907+$C6907) - MAX(IF($B$2:$B6906=$B6907, $A$2:$A6906+$C$2:$C6906)), "")*24*60, "")</f>
        <v/>
      </c>
      <c r="P6907" s="24" t="str" cm="1">
        <f t="array" ref="P6907">IFERROR(IF($B6907=P$1, ($A6907+$C6907) - MAX(IF($B$2:$B6906=$B6907, $A$2:$A6906+$C$2:$C6906)), "")*24*60, "")</f>
        <v/>
      </c>
      <c r="Q6907" s="24" t="str" cm="1">
        <f t="array" ref="Q6907">IFERROR(IF($B6907=Q$1, ($A6907+$C6907) - MAX(IF($B$2:$B6906=$B6907, $A$2:$A6906+$C$2:$C6906)), "")*24*60, "")</f>
        <v/>
      </c>
      <c r="R6907" s="24" t="str" cm="1">
        <f t="array" ref="R6907">IFERROR(IF($B6907=R$1, ($A6907+$C6907) - MAX(IF($B$2:$B6906=$B6907, $A$2:$A6906+$C$2:$C6906)), "")*24*60, "")</f>
        <v/>
      </c>
      <c r="S6907" s="24" t="str" cm="1">
        <f t="array" ref="S6907">IFERROR(IF($B6907=S$1, ($A6907+$C6907) - MAX(IF($B$2:$B6906=$B6907, $A$2:$A6906+$C$2:$C6906)), "")*24*60, "")</f>
        <v/>
      </c>
    </row>
    <row r="6908" spans="1:19" x14ac:dyDescent="0.2">
      <c r="A6908" s="12">
        <f t="shared" ref="A6908:C6908" si="1350">A6907</f>
        <v>45992</v>
      </c>
      <c r="B6908" s="5" t="str">
        <f t="shared" si="1350"/>
        <v>Northern Cardinal</v>
      </c>
      <c r="C6908" s="6">
        <f t="shared" si="1350"/>
        <v>0.28333333333333333</v>
      </c>
      <c r="D6908" s="5"/>
      <c r="E6908" s="5"/>
      <c r="F6908" s="5" t="s">
        <v>8</v>
      </c>
      <c r="G6908" s="15" t="s">
        <v>9</v>
      </c>
      <c r="H6908" s="24">
        <f t="shared" si="1308"/>
        <v>0</v>
      </c>
      <c r="I6908" s="24" cm="1">
        <f t="array" ref="I6908">IFERROR(IF($B6908=I$1, ($A6908+$C6908) - MAX(IF($B$2:$B6907=$B6908, $A$2:$A6907+$C$2:$C6907)), "")*24*60, "")</f>
        <v>0</v>
      </c>
      <c r="J6908" s="24" t="str" cm="1">
        <f t="array" ref="J6908">IFERROR(IF($B6908=J$1, ($A6908+$C6908) - MAX(IF($B$2:$B6907=$B6908, $A$2:$A6907+$C$2:$C6907)), "")*24*60, "")</f>
        <v/>
      </c>
      <c r="K6908" s="24" t="str" cm="1">
        <f t="array" ref="K6908">IFERROR(IF($B6908=K$1, ($A6908+$C6908) - MAX(IF($B$2:$B6907=$B6908, $A$2:$A6907+$C$2:$C6907)), "")*24*60, "")</f>
        <v/>
      </c>
      <c r="L6908" s="24" t="str" cm="1">
        <f t="array" ref="L6908">IFERROR(IF($B6908=L$1, ($A6908+$C6908) - MAX(IF($B$2:$B6907=$B6908, $A$2:$A6907+$C$2:$C6907)), "")*24*60, "")</f>
        <v/>
      </c>
      <c r="M6908" s="24" t="str" cm="1">
        <f t="array" ref="M6908">IFERROR(IF($B6908=M$1, ($A6908+$C6908) - MAX(IF($B$2:$B6907=$B6908, $A$2:$A6907+$C$2:$C6907)), "")*24*60, "")</f>
        <v/>
      </c>
      <c r="N6908" s="24" t="str" cm="1">
        <f t="array" ref="N6908">IFERROR(IF($B6908=N$1, ($A6908+$C6908) - MAX(IF($B$2:$B6907=$B6908, $A$2:$A6907+$C$2:$C6907)), "")*24*60, "")</f>
        <v/>
      </c>
      <c r="O6908" s="24" t="str" cm="1">
        <f t="array" ref="O6908">IFERROR(IF($B6908=O$1, ($A6908+$C6908) - MAX(IF($B$2:$B6907=$B6908, $A$2:$A6907+$C$2:$C6907)), "")*24*60, "")</f>
        <v/>
      </c>
      <c r="P6908" s="24" t="str" cm="1">
        <f t="array" ref="P6908">IFERROR(IF($B6908=P$1, ($A6908+$C6908) - MAX(IF($B$2:$B6907=$B6908, $A$2:$A6907+$C$2:$C6907)), "")*24*60, "")</f>
        <v/>
      </c>
      <c r="Q6908" s="24" t="str" cm="1">
        <f t="array" ref="Q6908">IFERROR(IF($B6908=Q$1, ($A6908+$C6908) - MAX(IF($B$2:$B6907=$B6908, $A$2:$A6907+$C$2:$C6907)), "")*24*60, "")</f>
        <v/>
      </c>
      <c r="R6908" s="24" t="str" cm="1">
        <f t="array" ref="R6908">IFERROR(IF($B6908=R$1, ($A6908+$C6908) - MAX(IF($B$2:$B6907=$B6908, $A$2:$A6907+$C$2:$C6907)), "")*24*60, "")</f>
        <v/>
      </c>
      <c r="S6908" s="24" t="str" cm="1">
        <f t="array" ref="S6908">IFERROR(IF($B6908=S$1, ($A6908+$C6908) - MAX(IF($B$2:$B6907=$B6908, $A$2:$A6907+$C$2:$C6907)), "")*24*60, "")</f>
        <v/>
      </c>
    </row>
    <row r="6909" spans="1:19" x14ac:dyDescent="0.2">
      <c r="A6909" s="12">
        <f t="shared" ref="A6909:C6909" si="1351">A6908</f>
        <v>45992</v>
      </c>
      <c r="B6909" s="5" t="str">
        <f t="shared" si="1351"/>
        <v>Northern Cardinal</v>
      </c>
      <c r="C6909" s="6">
        <f t="shared" si="1351"/>
        <v>0.28333333333333333</v>
      </c>
      <c r="D6909" s="5"/>
      <c r="E6909" s="5"/>
      <c r="F6909" s="5" t="s">
        <v>8</v>
      </c>
      <c r="G6909" s="15" t="s">
        <v>9</v>
      </c>
      <c r="H6909" s="24">
        <f t="shared" si="1308"/>
        <v>0</v>
      </c>
      <c r="I6909" s="24" cm="1">
        <f t="array" ref="I6909">IFERROR(IF($B6909=I$1, ($A6909+$C6909) - MAX(IF($B$2:$B6908=$B6909, $A$2:$A6908+$C$2:$C6908)), "")*24*60, "")</f>
        <v>0</v>
      </c>
      <c r="J6909" s="24" t="str" cm="1">
        <f t="array" ref="J6909">IFERROR(IF($B6909=J$1, ($A6909+$C6909) - MAX(IF($B$2:$B6908=$B6909, $A$2:$A6908+$C$2:$C6908)), "")*24*60, "")</f>
        <v/>
      </c>
      <c r="K6909" s="24" t="str" cm="1">
        <f t="array" ref="K6909">IFERROR(IF($B6909=K$1, ($A6909+$C6909) - MAX(IF($B$2:$B6908=$B6909, $A$2:$A6908+$C$2:$C6908)), "")*24*60, "")</f>
        <v/>
      </c>
      <c r="L6909" s="24" t="str" cm="1">
        <f t="array" ref="L6909">IFERROR(IF($B6909=L$1, ($A6909+$C6909) - MAX(IF($B$2:$B6908=$B6909, $A$2:$A6908+$C$2:$C6908)), "")*24*60, "")</f>
        <v/>
      </c>
      <c r="M6909" s="24" t="str" cm="1">
        <f t="array" ref="M6909">IFERROR(IF($B6909=M$1, ($A6909+$C6909) - MAX(IF($B$2:$B6908=$B6909, $A$2:$A6908+$C$2:$C6908)), "")*24*60, "")</f>
        <v/>
      </c>
      <c r="N6909" s="24" t="str" cm="1">
        <f t="array" ref="N6909">IFERROR(IF($B6909=N$1, ($A6909+$C6909) - MAX(IF($B$2:$B6908=$B6909, $A$2:$A6908+$C$2:$C6908)), "")*24*60, "")</f>
        <v/>
      </c>
      <c r="O6909" s="24" t="str" cm="1">
        <f t="array" ref="O6909">IFERROR(IF($B6909=O$1, ($A6909+$C6909) - MAX(IF($B$2:$B6908=$B6909, $A$2:$A6908+$C$2:$C6908)), "")*24*60, "")</f>
        <v/>
      </c>
      <c r="P6909" s="24" t="str" cm="1">
        <f t="array" ref="P6909">IFERROR(IF($B6909=P$1, ($A6909+$C6909) - MAX(IF($B$2:$B6908=$B6909, $A$2:$A6908+$C$2:$C6908)), "")*24*60, "")</f>
        <v/>
      </c>
      <c r="Q6909" s="24" t="str" cm="1">
        <f t="array" ref="Q6909">IFERROR(IF($B6909=Q$1, ($A6909+$C6909) - MAX(IF($B$2:$B6908=$B6909, $A$2:$A6908+$C$2:$C6908)), "")*24*60, "")</f>
        <v/>
      </c>
      <c r="R6909" s="24" t="str" cm="1">
        <f t="array" ref="R6909">IFERROR(IF($B6909=R$1, ($A6909+$C6909) - MAX(IF($B$2:$B6908=$B6909, $A$2:$A6908+$C$2:$C6908)), "")*24*60, "")</f>
        <v/>
      </c>
      <c r="S6909" s="24" t="str" cm="1">
        <f t="array" ref="S6909">IFERROR(IF($B6909=S$1, ($A6909+$C6909) - MAX(IF($B$2:$B6908=$B6909, $A$2:$A6908+$C$2:$C6908)), "")*24*60, "")</f>
        <v/>
      </c>
    </row>
    <row r="6910" spans="1:19" x14ac:dyDescent="0.2">
      <c r="A6910" s="12">
        <f t="shared" ref="A6910:C6910" si="1352">A6909</f>
        <v>45992</v>
      </c>
      <c r="B6910" s="5" t="str">
        <f t="shared" si="1352"/>
        <v>Northern Cardinal</v>
      </c>
      <c r="C6910" s="6">
        <f t="shared" si="1352"/>
        <v>0.28333333333333333</v>
      </c>
      <c r="D6910" s="5"/>
      <c r="E6910" s="5"/>
      <c r="F6910" s="5" t="s">
        <v>8</v>
      </c>
      <c r="G6910" s="15" t="s">
        <v>9</v>
      </c>
      <c r="H6910" s="24">
        <f t="shared" si="1308"/>
        <v>0</v>
      </c>
      <c r="I6910" s="24" cm="1">
        <f t="array" ref="I6910">IFERROR(IF($B6910=I$1, ($A6910+$C6910) - MAX(IF($B$2:$B6909=$B6910, $A$2:$A6909+$C$2:$C6909)), "")*24*60, "")</f>
        <v>0</v>
      </c>
      <c r="J6910" s="24" t="str" cm="1">
        <f t="array" ref="J6910">IFERROR(IF($B6910=J$1, ($A6910+$C6910) - MAX(IF($B$2:$B6909=$B6910, $A$2:$A6909+$C$2:$C6909)), "")*24*60, "")</f>
        <v/>
      </c>
      <c r="K6910" s="24" t="str" cm="1">
        <f t="array" ref="K6910">IFERROR(IF($B6910=K$1, ($A6910+$C6910) - MAX(IF($B$2:$B6909=$B6910, $A$2:$A6909+$C$2:$C6909)), "")*24*60, "")</f>
        <v/>
      </c>
      <c r="L6910" s="24" t="str" cm="1">
        <f t="array" ref="L6910">IFERROR(IF($B6910=L$1, ($A6910+$C6910) - MAX(IF($B$2:$B6909=$B6910, $A$2:$A6909+$C$2:$C6909)), "")*24*60, "")</f>
        <v/>
      </c>
      <c r="M6910" s="24" t="str" cm="1">
        <f t="array" ref="M6910">IFERROR(IF($B6910=M$1, ($A6910+$C6910) - MAX(IF($B$2:$B6909=$B6910, $A$2:$A6909+$C$2:$C6909)), "")*24*60, "")</f>
        <v/>
      </c>
      <c r="N6910" s="24" t="str" cm="1">
        <f t="array" ref="N6910">IFERROR(IF($B6910=N$1, ($A6910+$C6910) - MAX(IF($B$2:$B6909=$B6910, $A$2:$A6909+$C$2:$C6909)), "")*24*60, "")</f>
        <v/>
      </c>
      <c r="O6910" s="24" t="str" cm="1">
        <f t="array" ref="O6910">IFERROR(IF($B6910=O$1, ($A6910+$C6910) - MAX(IF($B$2:$B6909=$B6910, $A$2:$A6909+$C$2:$C6909)), "")*24*60, "")</f>
        <v/>
      </c>
      <c r="P6910" s="24" t="str" cm="1">
        <f t="array" ref="P6910">IFERROR(IF($B6910=P$1, ($A6910+$C6910) - MAX(IF($B$2:$B6909=$B6910, $A$2:$A6909+$C$2:$C6909)), "")*24*60, "")</f>
        <v/>
      </c>
      <c r="Q6910" s="24" t="str" cm="1">
        <f t="array" ref="Q6910">IFERROR(IF($B6910=Q$1, ($A6910+$C6910) - MAX(IF($B$2:$B6909=$B6910, $A$2:$A6909+$C$2:$C6909)), "")*24*60, "")</f>
        <v/>
      </c>
      <c r="R6910" s="24" t="str" cm="1">
        <f t="array" ref="R6910">IFERROR(IF($B6910=R$1, ($A6910+$C6910) - MAX(IF($B$2:$B6909=$B6910, $A$2:$A6909+$C$2:$C6909)), "")*24*60, "")</f>
        <v/>
      </c>
      <c r="S6910" s="24" t="str" cm="1">
        <f t="array" ref="S6910">IFERROR(IF($B6910=S$1, ($A6910+$C6910) - MAX(IF($B$2:$B6909=$B6910, $A$2:$A6909+$C$2:$C6909)), "")*24*60, "")</f>
        <v/>
      </c>
    </row>
    <row r="6911" spans="1:19" x14ac:dyDescent="0.2">
      <c r="A6911" s="12">
        <f t="shared" ref="A6911:C6911" si="1353">A6910</f>
        <v>45992</v>
      </c>
      <c r="B6911" s="5" t="str">
        <f t="shared" si="1353"/>
        <v>Northern Cardinal</v>
      </c>
      <c r="C6911" s="6">
        <f t="shared" si="1353"/>
        <v>0.28333333333333333</v>
      </c>
      <c r="D6911" s="5"/>
      <c r="E6911" s="5"/>
      <c r="F6911" s="5" t="s">
        <v>8</v>
      </c>
      <c r="G6911" s="15" t="s">
        <v>9</v>
      </c>
      <c r="H6911" s="24">
        <f t="shared" si="1308"/>
        <v>0</v>
      </c>
      <c r="I6911" s="24" cm="1">
        <f t="array" ref="I6911">IFERROR(IF($B6911=I$1, ($A6911+$C6911) - MAX(IF($B$2:$B6910=$B6911, $A$2:$A6910+$C$2:$C6910)), "")*24*60, "")</f>
        <v>0</v>
      </c>
      <c r="J6911" s="24" t="str" cm="1">
        <f t="array" ref="J6911">IFERROR(IF($B6911=J$1, ($A6911+$C6911) - MAX(IF($B$2:$B6910=$B6911, $A$2:$A6910+$C$2:$C6910)), "")*24*60, "")</f>
        <v/>
      </c>
      <c r="K6911" s="24" t="str" cm="1">
        <f t="array" ref="K6911">IFERROR(IF($B6911=K$1, ($A6911+$C6911) - MAX(IF($B$2:$B6910=$B6911, $A$2:$A6910+$C$2:$C6910)), "")*24*60, "")</f>
        <v/>
      </c>
      <c r="L6911" s="24" t="str" cm="1">
        <f t="array" ref="L6911">IFERROR(IF($B6911=L$1, ($A6911+$C6911) - MAX(IF($B$2:$B6910=$B6911, $A$2:$A6910+$C$2:$C6910)), "")*24*60, "")</f>
        <v/>
      </c>
      <c r="M6911" s="24" t="str" cm="1">
        <f t="array" ref="M6911">IFERROR(IF($B6911=M$1, ($A6911+$C6911) - MAX(IF($B$2:$B6910=$B6911, $A$2:$A6910+$C$2:$C6910)), "")*24*60, "")</f>
        <v/>
      </c>
      <c r="N6911" s="24" t="str" cm="1">
        <f t="array" ref="N6911">IFERROR(IF($B6911=N$1, ($A6911+$C6911) - MAX(IF($B$2:$B6910=$B6911, $A$2:$A6910+$C$2:$C6910)), "")*24*60, "")</f>
        <v/>
      </c>
      <c r="O6911" s="24" t="str" cm="1">
        <f t="array" ref="O6911">IFERROR(IF($B6911=O$1, ($A6911+$C6911) - MAX(IF($B$2:$B6910=$B6911, $A$2:$A6910+$C$2:$C6910)), "")*24*60, "")</f>
        <v/>
      </c>
      <c r="P6911" s="24" t="str" cm="1">
        <f t="array" ref="P6911">IFERROR(IF($B6911=P$1, ($A6911+$C6911) - MAX(IF($B$2:$B6910=$B6911, $A$2:$A6910+$C$2:$C6910)), "")*24*60, "")</f>
        <v/>
      </c>
      <c r="Q6911" s="24" t="str" cm="1">
        <f t="array" ref="Q6911">IFERROR(IF($B6911=Q$1, ($A6911+$C6911) - MAX(IF($B$2:$B6910=$B6911, $A$2:$A6910+$C$2:$C6910)), "")*24*60, "")</f>
        <v/>
      </c>
      <c r="R6911" s="24" t="str" cm="1">
        <f t="array" ref="R6911">IFERROR(IF($B6911=R$1, ($A6911+$C6911) - MAX(IF($B$2:$B6910=$B6911, $A$2:$A6910+$C$2:$C6910)), "")*24*60, "")</f>
        <v/>
      </c>
      <c r="S6911" s="24" t="str" cm="1">
        <f t="array" ref="S6911">IFERROR(IF($B6911=S$1, ($A6911+$C6911) - MAX(IF($B$2:$B6910=$B6911, $A$2:$A6910+$C$2:$C6910)), "")*24*60, "")</f>
        <v/>
      </c>
    </row>
    <row r="6912" spans="1:19" x14ac:dyDescent="0.2">
      <c r="A6912" s="12">
        <f t="shared" ref="A6912:C6912" si="1354">A6911</f>
        <v>45992</v>
      </c>
      <c r="B6912" s="5" t="str">
        <f t="shared" si="1354"/>
        <v>Northern Cardinal</v>
      </c>
      <c r="C6912" s="6">
        <f t="shared" si="1354"/>
        <v>0.28333333333333333</v>
      </c>
      <c r="D6912" s="5"/>
      <c r="E6912" s="5"/>
      <c r="F6912" s="5" t="s">
        <v>8</v>
      </c>
      <c r="G6912" s="15" t="s">
        <v>9</v>
      </c>
      <c r="H6912" s="24">
        <f t="shared" si="1308"/>
        <v>0</v>
      </c>
      <c r="I6912" s="24" cm="1">
        <f t="array" ref="I6912">IFERROR(IF($B6912=I$1, ($A6912+$C6912) - MAX(IF($B$2:$B6911=$B6912, $A$2:$A6911+$C$2:$C6911)), "")*24*60, "")</f>
        <v>0</v>
      </c>
      <c r="J6912" s="24" t="str" cm="1">
        <f t="array" ref="J6912">IFERROR(IF($B6912=J$1, ($A6912+$C6912) - MAX(IF($B$2:$B6911=$B6912, $A$2:$A6911+$C$2:$C6911)), "")*24*60, "")</f>
        <v/>
      </c>
      <c r="K6912" s="24" t="str" cm="1">
        <f t="array" ref="K6912">IFERROR(IF($B6912=K$1, ($A6912+$C6912) - MAX(IF($B$2:$B6911=$B6912, $A$2:$A6911+$C$2:$C6911)), "")*24*60, "")</f>
        <v/>
      </c>
      <c r="L6912" s="24" t="str" cm="1">
        <f t="array" ref="L6912">IFERROR(IF($B6912=L$1, ($A6912+$C6912) - MAX(IF($B$2:$B6911=$B6912, $A$2:$A6911+$C$2:$C6911)), "")*24*60, "")</f>
        <v/>
      </c>
      <c r="M6912" s="24" t="str" cm="1">
        <f t="array" ref="M6912">IFERROR(IF($B6912=M$1, ($A6912+$C6912) - MAX(IF($B$2:$B6911=$B6912, $A$2:$A6911+$C$2:$C6911)), "")*24*60, "")</f>
        <v/>
      </c>
      <c r="N6912" s="24" t="str" cm="1">
        <f t="array" ref="N6912">IFERROR(IF($B6912=N$1, ($A6912+$C6912) - MAX(IF($B$2:$B6911=$B6912, $A$2:$A6911+$C$2:$C6911)), "")*24*60, "")</f>
        <v/>
      </c>
      <c r="O6912" s="24" t="str" cm="1">
        <f t="array" ref="O6912">IFERROR(IF($B6912=O$1, ($A6912+$C6912) - MAX(IF($B$2:$B6911=$B6912, $A$2:$A6911+$C$2:$C6911)), "")*24*60, "")</f>
        <v/>
      </c>
      <c r="P6912" s="24" t="str" cm="1">
        <f t="array" ref="P6912">IFERROR(IF($B6912=P$1, ($A6912+$C6912) - MAX(IF($B$2:$B6911=$B6912, $A$2:$A6911+$C$2:$C6911)), "")*24*60, "")</f>
        <v/>
      </c>
      <c r="Q6912" s="24" t="str" cm="1">
        <f t="array" ref="Q6912">IFERROR(IF($B6912=Q$1, ($A6912+$C6912) - MAX(IF($B$2:$B6911=$B6912, $A$2:$A6911+$C$2:$C6911)), "")*24*60, "")</f>
        <v/>
      </c>
      <c r="R6912" s="24" t="str" cm="1">
        <f t="array" ref="R6912">IFERROR(IF($B6912=R$1, ($A6912+$C6912) - MAX(IF($B$2:$B6911=$B6912, $A$2:$A6911+$C$2:$C6911)), "")*24*60, "")</f>
        <v/>
      </c>
      <c r="S6912" s="24" t="str" cm="1">
        <f t="array" ref="S6912">IFERROR(IF($B6912=S$1, ($A6912+$C6912) - MAX(IF($B$2:$B6911=$B6912, $A$2:$A6911+$C$2:$C6911)), "")*24*60, "")</f>
        <v/>
      </c>
    </row>
    <row r="6913" spans="1:19" x14ac:dyDescent="0.2">
      <c r="A6913" s="12">
        <f t="shared" ref="A6913:C6913" si="1355">A6912</f>
        <v>45992</v>
      </c>
      <c r="B6913" s="5" t="str">
        <f t="shared" si="1355"/>
        <v>Northern Cardinal</v>
      </c>
      <c r="C6913" s="6">
        <f t="shared" si="1355"/>
        <v>0.28333333333333333</v>
      </c>
      <c r="D6913" s="5"/>
      <c r="E6913" s="5"/>
      <c r="F6913" s="5" t="s">
        <v>8</v>
      </c>
      <c r="G6913" s="15" t="s">
        <v>9</v>
      </c>
      <c r="H6913" s="24">
        <f t="shared" si="1308"/>
        <v>0</v>
      </c>
      <c r="I6913" s="24" cm="1">
        <f t="array" ref="I6913">IFERROR(IF($B6913=I$1, ($A6913+$C6913) - MAX(IF($B$2:$B6912=$B6913, $A$2:$A6912+$C$2:$C6912)), "")*24*60, "")</f>
        <v>0</v>
      </c>
      <c r="J6913" s="24" t="str" cm="1">
        <f t="array" ref="J6913">IFERROR(IF($B6913=J$1, ($A6913+$C6913) - MAX(IF($B$2:$B6912=$B6913, $A$2:$A6912+$C$2:$C6912)), "")*24*60, "")</f>
        <v/>
      </c>
      <c r="K6913" s="24" t="str" cm="1">
        <f t="array" ref="K6913">IFERROR(IF($B6913=K$1, ($A6913+$C6913) - MAX(IF($B$2:$B6912=$B6913, $A$2:$A6912+$C$2:$C6912)), "")*24*60, "")</f>
        <v/>
      </c>
      <c r="L6913" s="24" t="str" cm="1">
        <f t="array" ref="L6913">IFERROR(IF($B6913=L$1, ($A6913+$C6913) - MAX(IF($B$2:$B6912=$B6913, $A$2:$A6912+$C$2:$C6912)), "")*24*60, "")</f>
        <v/>
      </c>
      <c r="M6913" s="24" t="str" cm="1">
        <f t="array" ref="M6913">IFERROR(IF($B6913=M$1, ($A6913+$C6913) - MAX(IF($B$2:$B6912=$B6913, $A$2:$A6912+$C$2:$C6912)), "")*24*60, "")</f>
        <v/>
      </c>
      <c r="N6913" s="24" t="str" cm="1">
        <f t="array" ref="N6913">IFERROR(IF($B6913=N$1, ($A6913+$C6913) - MAX(IF($B$2:$B6912=$B6913, $A$2:$A6912+$C$2:$C6912)), "")*24*60, "")</f>
        <v/>
      </c>
      <c r="O6913" s="24" t="str" cm="1">
        <f t="array" ref="O6913">IFERROR(IF($B6913=O$1, ($A6913+$C6913) - MAX(IF($B$2:$B6912=$B6913, $A$2:$A6912+$C$2:$C6912)), "")*24*60, "")</f>
        <v/>
      </c>
      <c r="P6913" s="24" t="str" cm="1">
        <f t="array" ref="P6913">IFERROR(IF($B6913=P$1, ($A6913+$C6913) - MAX(IF($B$2:$B6912=$B6913, $A$2:$A6912+$C$2:$C6912)), "")*24*60, "")</f>
        <v/>
      </c>
      <c r="Q6913" s="24" t="str" cm="1">
        <f t="array" ref="Q6913">IFERROR(IF($B6913=Q$1, ($A6913+$C6913) - MAX(IF($B$2:$B6912=$B6913, $A$2:$A6912+$C$2:$C6912)), "")*24*60, "")</f>
        <v/>
      </c>
      <c r="R6913" s="24" t="str" cm="1">
        <f t="array" ref="R6913">IFERROR(IF($B6913=R$1, ($A6913+$C6913) - MAX(IF($B$2:$B6912=$B6913, $A$2:$A6912+$C$2:$C6912)), "")*24*60, "")</f>
        <v/>
      </c>
      <c r="S6913" s="24" t="str" cm="1">
        <f t="array" ref="S6913">IFERROR(IF($B6913=S$1, ($A6913+$C6913) - MAX(IF($B$2:$B6912=$B6913, $A$2:$A6912+$C$2:$C6912)), "")*24*60, "")</f>
        <v/>
      </c>
    </row>
    <row r="6914" spans="1:19" x14ac:dyDescent="0.2">
      <c r="A6914" s="12">
        <f t="shared" ref="A6914:C6914" si="1356">A6913</f>
        <v>45992</v>
      </c>
      <c r="B6914" s="5" t="str">
        <f t="shared" si="1356"/>
        <v>Northern Cardinal</v>
      </c>
      <c r="C6914" s="6">
        <f t="shared" si="1356"/>
        <v>0.28333333333333333</v>
      </c>
      <c r="D6914" s="5"/>
      <c r="E6914" s="5"/>
      <c r="F6914" s="5" t="s">
        <v>8</v>
      </c>
      <c r="G6914" s="15" t="s">
        <v>9</v>
      </c>
      <c r="H6914" s="24">
        <f t="shared" si="1308"/>
        <v>0</v>
      </c>
      <c r="I6914" s="24" cm="1">
        <f t="array" ref="I6914">IFERROR(IF($B6914=I$1, ($A6914+$C6914) - MAX(IF($B$2:$B6913=$B6914, $A$2:$A6913+$C$2:$C6913)), "")*24*60, "")</f>
        <v>0</v>
      </c>
      <c r="J6914" s="24" t="str" cm="1">
        <f t="array" ref="J6914">IFERROR(IF($B6914=J$1, ($A6914+$C6914) - MAX(IF($B$2:$B6913=$B6914, $A$2:$A6913+$C$2:$C6913)), "")*24*60, "")</f>
        <v/>
      </c>
      <c r="K6914" s="24" t="str" cm="1">
        <f t="array" ref="K6914">IFERROR(IF($B6914=K$1, ($A6914+$C6914) - MAX(IF($B$2:$B6913=$B6914, $A$2:$A6913+$C$2:$C6913)), "")*24*60, "")</f>
        <v/>
      </c>
      <c r="L6914" s="24" t="str" cm="1">
        <f t="array" ref="L6914">IFERROR(IF($B6914=L$1, ($A6914+$C6914) - MAX(IF($B$2:$B6913=$B6914, $A$2:$A6913+$C$2:$C6913)), "")*24*60, "")</f>
        <v/>
      </c>
      <c r="M6914" s="24" t="str" cm="1">
        <f t="array" ref="M6914">IFERROR(IF($B6914=M$1, ($A6914+$C6914) - MAX(IF($B$2:$B6913=$B6914, $A$2:$A6913+$C$2:$C6913)), "")*24*60, "")</f>
        <v/>
      </c>
      <c r="N6914" s="24" t="str" cm="1">
        <f t="array" ref="N6914">IFERROR(IF($B6914=N$1, ($A6914+$C6914) - MAX(IF($B$2:$B6913=$B6914, $A$2:$A6913+$C$2:$C6913)), "")*24*60, "")</f>
        <v/>
      </c>
      <c r="O6914" s="24" t="str" cm="1">
        <f t="array" ref="O6914">IFERROR(IF($B6914=O$1, ($A6914+$C6914) - MAX(IF($B$2:$B6913=$B6914, $A$2:$A6913+$C$2:$C6913)), "")*24*60, "")</f>
        <v/>
      </c>
      <c r="P6914" s="24" t="str" cm="1">
        <f t="array" ref="P6914">IFERROR(IF($B6914=P$1, ($A6914+$C6914) - MAX(IF($B$2:$B6913=$B6914, $A$2:$A6913+$C$2:$C6913)), "")*24*60, "")</f>
        <v/>
      </c>
      <c r="Q6914" s="24" t="str" cm="1">
        <f t="array" ref="Q6914">IFERROR(IF($B6914=Q$1, ($A6914+$C6914) - MAX(IF($B$2:$B6913=$B6914, $A$2:$A6913+$C$2:$C6913)), "")*24*60, "")</f>
        <v/>
      </c>
      <c r="R6914" s="24" t="str" cm="1">
        <f t="array" ref="R6914">IFERROR(IF($B6914=R$1, ($A6914+$C6914) - MAX(IF($B$2:$B6913=$B6914, $A$2:$A6913+$C$2:$C6913)), "")*24*60, "")</f>
        <v/>
      </c>
      <c r="S6914" s="24" t="str" cm="1">
        <f t="array" ref="S6914">IFERROR(IF($B6914=S$1, ($A6914+$C6914) - MAX(IF($B$2:$B6913=$B6914, $A$2:$A6913+$C$2:$C6913)), "")*24*60, "")</f>
        <v/>
      </c>
    </row>
    <row r="6915" spans="1:19" x14ac:dyDescent="0.2">
      <c r="A6915" s="12">
        <f t="shared" ref="A6915:C6915" si="1357">A6914</f>
        <v>45992</v>
      </c>
      <c r="B6915" s="5" t="str">
        <f t="shared" si="1357"/>
        <v>Northern Cardinal</v>
      </c>
      <c r="C6915" s="6">
        <f t="shared" si="1357"/>
        <v>0.28333333333333333</v>
      </c>
      <c r="D6915" s="5"/>
      <c r="E6915" s="5"/>
      <c r="F6915" s="5" t="s">
        <v>8</v>
      </c>
      <c r="G6915" s="15" t="s">
        <v>9</v>
      </c>
      <c r="H6915" s="24">
        <f t="shared" si="1308"/>
        <v>0</v>
      </c>
      <c r="I6915" s="24" cm="1">
        <f t="array" ref="I6915">IFERROR(IF($B6915=I$1, ($A6915+$C6915) - MAX(IF($B$2:$B6914=$B6915, $A$2:$A6914+$C$2:$C6914)), "")*24*60, "")</f>
        <v>0</v>
      </c>
      <c r="J6915" s="24" t="str" cm="1">
        <f t="array" ref="J6915">IFERROR(IF($B6915=J$1, ($A6915+$C6915) - MAX(IF($B$2:$B6914=$B6915, $A$2:$A6914+$C$2:$C6914)), "")*24*60, "")</f>
        <v/>
      </c>
      <c r="K6915" s="24" t="str" cm="1">
        <f t="array" ref="K6915">IFERROR(IF($B6915=K$1, ($A6915+$C6915) - MAX(IF($B$2:$B6914=$B6915, $A$2:$A6914+$C$2:$C6914)), "")*24*60, "")</f>
        <v/>
      </c>
      <c r="L6915" s="24" t="str" cm="1">
        <f t="array" ref="L6915">IFERROR(IF($B6915=L$1, ($A6915+$C6915) - MAX(IF($B$2:$B6914=$B6915, $A$2:$A6914+$C$2:$C6914)), "")*24*60, "")</f>
        <v/>
      </c>
      <c r="M6915" s="24" t="str" cm="1">
        <f t="array" ref="M6915">IFERROR(IF($B6915=M$1, ($A6915+$C6915) - MAX(IF($B$2:$B6914=$B6915, $A$2:$A6914+$C$2:$C6914)), "")*24*60, "")</f>
        <v/>
      </c>
      <c r="N6915" s="24" t="str" cm="1">
        <f t="array" ref="N6915">IFERROR(IF($B6915=N$1, ($A6915+$C6915) - MAX(IF($B$2:$B6914=$B6915, $A$2:$A6914+$C$2:$C6914)), "")*24*60, "")</f>
        <v/>
      </c>
      <c r="O6915" s="24" t="str" cm="1">
        <f t="array" ref="O6915">IFERROR(IF($B6915=O$1, ($A6915+$C6915) - MAX(IF($B$2:$B6914=$B6915, $A$2:$A6914+$C$2:$C6914)), "")*24*60, "")</f>
        <v/>
      </c>
      <c r="P6915" s="24" t="str" cm="1">
        <f t="array" ref="P6915">IFERROR(IF($B6915=P$1, ($A6915+$C6915) - MAX(IF($B$2:$B6914=$B6915, $A$2:$A6914+$C$2:$C6914)), "")*24*60, "")</f>
        <v/>
      </c>
      <c r="Q6915" s="24" t="str" cm="1">
        <f t="array" ref="Q6915">IFERROR(IF($B6915=Q$1, ($A6915+$C6915) - MAX(IF($B$2:$B6914=$B6915, $A$2:$A6914+$C$2:$C6914)), "")*24*60, "")</f>
        <v/>
      </c>
      <c r="R6915" s="24" t="str" cm="1">
        <f t="array" ref="R6915">IFERROR(IF($B6915=R$1, ($A6915+$C6915) - MAX(IF($B$2:$B6914=$B6915, $A$2:$A6914+$C$2:$C6914)), "")*24*60, "")</f>
        <v/>
      </c>
      <c r="S6915" s="24" t="str" cm="1">
        <f t="array" ref="S6915">IFERROR(IF($B6915=S$1, ($A6915+$C6915) - MAX(IF($B$2:$B6914=$B6915, $A$2:$A6914+$C$2:$C6914)), "")*24*60, "")</f>
        <v/>
      </c>
    </row>
    <row r="6916" spans="1:19" x14ac:dyDescent="0.2">
      <c r="A6916" s="12">
        <f t="shared" ref="A6916:C6916" si="1358">A6915</f>
        <v>45992</v>
      </c>
      <c r="B6916" s="5" t="str">
        <f t="shared" si="1358"/>
        <v>Northern Cardinal</v>
      </c>
      <c r="C6916" s="6">
        <f t="shared" si="1358"/>
        <v>0.28333333333333333</v>
      </c>
      <c r="D6916" s="5"/>
      <c r="E6916" s="5"/>
      <c r="F6916" s="5" t="s">
        <v>8</v>
      </c>
      <c r="G6916" s="15" t="s">
        <v>9</v>
      </c>
      <c r="H6916" s="24">
        <f t="shared" si="1308"/>
        <v>0</v>
      </c>
      <c r="I6916" s="24" cm="1">
        <f t="array" ref="I6916">IFERROR(IF($B6916=I$1, ($A6916+$C6916) - MAX(IF($B$2:$B6915=$B6916, $A$2:$A6915+$C$2:$C6915)), "")*24*60, "")</f>
        <v>0</v>
      </c>
      <c r="J6916" s="24" t="str" cm="1">
        <f t="array" ref="J6916">IFERROR(IF($B6916=J$1, ($A6916+$C6916) - MAX(IF($B$2:$B6915=$B6916, $A$2:$A6915+$C$2:$C6915)), "")*24*60, "")</f>
        <v/>
      </c>
      <c r="K6916" s="24" t="str" cm="1">
        <f t="array" ref="K6916">IFERROR(IF($B6916=K$1, ($A6916+$C6916) - MAX(IF($B$2:$B6915=$B6916, $A$2:$A6915+$C$2:$C6915)), "")*24*60, "")</f>
        <v/>
      </c>
      <c r="L6916" s="24" t="str" cm="1">
        <f t="array" ref="L6916">IFERROR(IF($B6916=L$1, ($A6916+$C6916) - MAX(IF($B$2:$B6915=$B6916, $A$2:$A6915+$C$2:$C6915)), "")*24*60, "")</f>
        <v/>
      </c>
      <c r="M6916" s="24" t="str" cm="1">
        <f t="array" ref="M6916">IFERROR(IF($B6916=M$1, ($A6916+$C6916) - MAX(IF($B$2:$B6915=$B6916, $A$2:$A6915+$C$2:$C6915)), "")*24*60, "")</f>
        <v/>
      </c>
      <c r="N6916" s="24" t="str" cm="1">
        <f t="array" ref="N6916">IFERROR(IF($B6916=N$1, ($A6916+$C6916) - MAX(IF($B$2:$B6915=$B6916, $A$2:$A6915+$C$2:$C6915)), "")*24*60, "")</f>
        <v/>
      </c>
      <c r="O6916" s="24" t="str" cm="1">
        <f t="array" ref="O6916">IFERROR(IF($B6916=O$1, ($A6916+$C6916) - MAX(IF($B$2:$B6915=$B6916, $A$2:$A6915+$C$2:$C6915)), "")*24*60, "")</f>
        <v/>
      </c>
      <c r="P6916" s="24" t="str" cm="1">
        <f t="array" ref="P6916">IFERROR(IF($B6916=P$1, ($A6916+$C6916) - MAX(IF($B$2:$B6915=$B6916, $A$2:$A6915+$C$2:$C6915)), "")*24*60, "")</f>
        <v/>
      </c>
      <c r="Q6916" s="24" t="str" cm="1">
        <f t="array" ref="Q6916">IFERROR(IF($B6916=Q$1, ($A6916+$C6916) - MAX(IF($B$2:$B6915=$B6916, $A$2:$A6915+$C$2:$C6915)), "")*24*60, "")</f>
        <v/>
      </c>
      <c r="R6916" s="24" t="str" cm="1">
        <f t="array" ref="R6916">IFERROR(IF($B6916=R$1, ($A6916+$C6916) - MAX(IF($B$2:$B6915=$B6916, $A$2:$A6915+$C$2:$C6915)), "")*24*60, "")</f>
        <v/>
      </c>
      <c r="S6916" s="24" t="str" cm="1">
        <f t="array" ref="S6916">IFERROR(IF($B6916=S$1, ($A6916+$C6916) - MAX(IF($B$2:$B6915=$B6916, $A$2:$A6915+$C$2:$C6915)), "")*24*60, "")</f>
        <v/>
      </c>
    </row>
    <row r="6917" spans="1:19" x14ac:dyDescent="0.2">
      <c r="A6917" s="12">
        <f t="shared" ref="A6917:C6917" si="1359">A6916</f>
        <v>45992</v>
      </c>
      <c r="B6917" s="5" t="str">
        <f t="shared" si="1359"/>
        <v>Northern Cardinal</v>
      </c>
      <c r="C6917" s="6">
        <f t="shared" si="1359"/>
        <v>0.28333333333333333</v>
      </c>
      <c r="D6917" s="5"/>
      <c r="E6917" s="5"/>
      <c r="F6917" s="5" t="s">
        <v>8</v>
      </c>
      <c r="G6917" s="15" t="s">
        <v>9</v>
      </c>
      <c r="H6917" s="24">
        <f t="shared" si="1308"/>
        <v>0</v>
      </c>
      <c r="I6917" s="24" cm="1">
        <f t="array" ref="I6917">IFERROR(IF($B6917=I$1, ($A6917+$C6917) - MAX(IF($B$2:$B6916=$B6917, $A$2:$A6916+$C$2:$C6916)), "")*24*60, "")</f>
        <v>0</v>
      </c>
      <c r="J6917" s="24" t="str" cm="1">
        <f t="array" ref="J6917">IFERROR(IF($B6917=J$1, ($A6917+$C6917) - MAX(IF($B$2:$B6916=$B6917, $A$2:$A6916+$C$2:$C6916)), "")*24*60, "")</f>
        <v/>
      </c>
      <c r="K6917" s="24" t="str" cm="1">
        <f t="array" ref="K6917">IFERROR(IF($B6917=K$1, ($A6917+$C6917) - MAX(IF($B$2:$B6916=$B6917, $A$2:$A6916+$C$2:$C6916)), "")*24*60, "")</f>
        <v/>
      </c>
      <c r="L6917" s="24" t="str" cm="1">
        <f t="array" ref="L6917">IFERROR(IF($B6917=L$1, ($A6917+$C6917) - MAX(IF($B$2:$B6916=$B6917, $A$2:$A6916+$C$2:$C6916)), "")*24*60, "")</f>
        <v/>
      </c>
      <c r="M6917" s="24" t="str" cm="1">
        <f t="array" ref="M6917">IFERROR(IF($B6917=M$1, ($A6917+$C6917) - MAX(IF($B$2:$B6916=$B6917, $A$2:$A6916+$C$2:$C6916)), "")*24*60, "")</f>
        <v/>
      </c>
      <c r="N6917" s="24" t="str" cm="1">
        <f t="array" ref="N6917">IFERROR(IF($B6917=N$1, ($A6917+$C6917) - MAX(IF($B$2:$B6916=$B6917, $A$2:$A6916+$C$2:$C6916)), "")*24*60, "")</f>
        <v/>
      </c>
      <c r="O6917" s="24" t="str" cm="1">
        <f t="array" ref="O6917">IFERROR(IF($B6917=O$1, ($A6917+$C6917) - MAX(IF($B$2:$B6916=$B6917, $A$2:$A6916+$C$2:$C6916)), "")*24*60, "")</f>
        <v/>
      </c>
      <c r="P6917" s="24" t="str" cm="1">
        <f t="array" ref="P6917">IFERROR(IF($B6917=P$1, ($A6917+$C6917) - MAX(IF($B$2:$B6916=$B6917, $A$2:$A6916+$C$2:$C6916)), "")*24*60, "")</f>
        <v/>
      </c>
      <c r="Q6917" s="24" t="str" cm="1">
        <f t="array" ref="Q6917">IFERROR(IF($B6917=Q$1, ($A6917+$C6917) - MAX(IF($B$2:$B6916=$B6917, $A$2:$A6916+$C$2:$C6916)), "")*24*60, "")</f>
        <v/>
      </c>
      <c r="R6917" s="24" t="str" cm="1">
        <f t="array" ref="R6917">IFERROR(IF($B6917=R$1, ($A6917+$C6917) - MAX(IF($B$2:$B6916=$B6917, $A$2:$A6916+$C$2:$C6916)), "")*24*60, "")</f>
        <v/>
      </c>
      <c r="S6917" s="24" t="str" cm="1">
        <f t="array" ref="S6917">IFERROR(IF($B6917=S$1, ($A6917+$C6917) - MAX(IF($B$2:$B6916=$B6917, $A$2:$A6916+$C$2:$C6916)), "")*24*60, "")</f>
        <v/>
      </c>
    </row>
    <row r="6918" spans="1:19" x14ac:dyDescent="0.2">
      <c r="A6918" s="12">
        <f t="shared" ref="A6918:C6918" si="1360">A6917</f>
        <v>45992</v>
      </c>
      <c r="B6918" s="5" t="str">
        <f t="shared" si="1360"/>
        <v>Northern Cardinal</v>
      </c>
      <c r="C6918" s="6">
        <f t="shared" si="1360"/>
        <v>0.28333333333333333</v>
      </c>
      <c r="D6918" s="5"/>
      <c r="E6918" s="5"/>
      <c r="F6918" s="5" t="s">
        <v>8</v>
      </c>
      <c r="G6918" s="15" t="s">
        <v>9</v>
      </c>
      <c r="H6918" s="24">
        <f t="shared" si="1308"/>
        <v>0</v>
      </c>
      <c r="I6918" s="24" cm="1">
        <f t="array" ref="I6918">IFERROR(IF($B6918=I$1, ($A6918+$C6918) - MAX(IF($B$2:$B6917=$B6918, $A$2:$A6917+$C$2:$C6917)), "")*24*60, "")</f>
        <v>0</v>
      </c>
      <c r="J6918" s="24" t="str" cm="1">
        <f t="array" ref="J6918">IFERROR(IF($B6918=J$1, ($A6918+$C6918) - MAX(IF($B$2:$B6917=$B6918, $A$2:$A6917+$C$2:$C6917)), "")*24*60, "")</f>
        <v/>
      </c>
      <c r="K6918" s="24" t="str" cm="1">
        <f t="array" ref="K6918">IFERROR(IF($B6918=K$1, ($A6918+$C6918) - MAX(IF($B$2:$B6917=$B6918, $A$2:$A6917+$C$2:$C6917)), "")*24*60, "")</f>
        <v/>
      </c>
      <c r="L6918" s="24" t="str" cm="1">
        <f t="array" ref="L6918">IFERROR(IF($B6918=L$1, ($A6918+$C6918) - MAX(IF($B$2:$B6917=$B6918, $A$2:$A6917+$C$2:$C6917)), "")*24*60, "")</f>
        <v/>
      </c>
      <c r="M6918" s="24" t="str" cm="1">
        <f t="array" ref="M6918">IFERROR(IF($B6918=M$1, ($A6918+$C6918) - MAX(IF($B$2:$B6917=$B6918, $A$2:$A6917+$C$2:$C6917)), "")*24*60, "")</f>
        <v/>
      </c>
      <c r="N6918" s="24" t="str" cm="1">
        <f t="array" ref="N6918">IFERROR(IF($B6918=N$1, ($A6918+$C6918) - MAX(IF($B$2:$B6917=$B6918, $A$2:$A6917+$C$2:$C6917)), "")*24*60, "")</f>
        <v/>
      </c>
      <c r="O6918" s="24" t="str" cm="1">
        <f t="array" ref="O6918">IFERROR(IF($B6918=O$1, ($A6918+$C6918) - MAX(IF($B$2:$B6917=$B6918, $A$2:$A6917+$C$2:$C6917)), "")*24*60, "")</f>
        <v/>
      </c>
      <c r="P6918" s="24" t="str" cm="1">
        <f t="array" ref="P6918">IFERROR(IF($B6918=P$1, ($A6918+$C6918) - MAX(IF($B$2:$B6917=$B6918, $A$2:$A6917+$C$2:$C6917)), "")*24*60, "")</f>
        <v/>
      </c>
      <c r="Q6918" s="24" t="str" cm="1">
        <f t="array" ref="Q6918">IFERROR(IF($B6918=Q$1, ($A6918+$C6918) - MAX(IF($B$2:$B6917=$B6918, $A$2:$A6917+$C$2:$C6917)), "")*24*60, "")</f>
        <v/>
      </c>
      <c r="R6918" s="24" t="str" cm="1">
        <f t="array" ref="R6918">IFERROR(IF($B6918=R$1, ($A6918+$C6918) - MAX(IF($B$2:$B6917=$B6918, $A$2:$A6917+$C$2:$C6917)), "")*24*60, "")</f>
        <v/>
      </c>
      <c r="S6918" s="24" t="str" cm="1">
        <f t="array" ref="S6918">IFERROR(IF($B6918=S$1, ($A6918+$C6918) - MAX(IF($B$2:$B6917=$B6918, $A$2:$A6917+$C$2:$C6917)), "")*24*60, "")</f>
        <v/>
      </c>
    </row>
    <row r="6919" spans="1:19" x14ac:dyDescent="0.2">
      <c r="A6919" s="12">
        <f t="shared" ref="A6919:C6919" si="1361">A6918</f>
        <v>45992</v>
      </c>
      <c r="B6919" s="5" t="str">
        <f t="shared" si="1361"/>
        <v>Northern Cardinal</v>
      </c>
      <c r="C6919" s="6">
        <f t="shared" si="1361"/>
        <v>0.28333333333333333</v>
      </c>
      <c r="D6919" s="5"/>
      <c r="E6919" s="5"/>
      <c r="F6919" s="5" t="s">
        <v>8</v>
      </c>
      <c r="G6919" s="15" t="s">
        <v>9</v>
      </c>
      <c r="H6919" s="24">
        <f t="shared" si="1308"/>
        <v>0</v>
      </c>
      <c r="I6919" s="24" cm="1">
        <f t="array" ref="I6919">IFERROR(IF($B6919=I$1, ($A6919+$C6919) - MAX(IF($B$2:$B6918=$B6919, $A$2:$A6918+$C$2:$C6918)), "")*24*60, "")</f>
        <v>0</v>
      </c>
      <c r="J6919" s="24" t="str" cm="1">
        <f t="array" ref="J6919">IFERROR(IF($B6919=J$1, ($A6919+$C6919) - MAX(IF($B$2:$B6918=$B6919, $A$2:$A6918+$C$2:$C6918)), "")*24*60, "")</f>
        <v/>
      </c>
      <c r="K6919" s="24" t="str" cm="1">
        <f t="array" ref="K6919">IFERROR(IF($B6919=K$1, ($A6919+$C6919) - MAX(IF($B$2:$B6918=$B6919, $A$2:$A6918+$C$2:$C6918)), "")*24*60, "")</f>
        <v/>
      </c>
      <c r="L6919" s="24" t="str" cm="1">
        <f t="array" ref="L6919">IFERROR(IF($B6919=L$1, ($A6919+$C6919) - MAX(IF($B$2:$B6918=$B6919, $A$2:$A6918+$C$2:$C6918)), "")*24*60, "")</f>
        <v/>
      </c>
      <c r="M6919" s="24" t="str" cm="1">
        <f t="array" ref="M6919">IFERROR(IF($B6919=M$1, ($A6919+$C6919) - MAX(IF($B$2:$B6918=$B6919, $A$2:$A6918+$C$2:$C6918)), "")*24*60, "")</f>
        <v/>
      </c>
      <c r="N6919" s="24" t="str" cm="1">
        <f t="array" ref="N6919">IFERROR(IF($B6919=N$1, ($A6919+$C6919) - MAX(IF($B$2:$B6918=$B6919, $A$2:$A6918+$C$2:$C6918)), "")*24*60, "")</f>
        <v/>
      </c>
      <c r="O6919" s="24" t="str" cm="1">
        <f t="array" ref="O6919">IFERROR(IF($B6919=O$1, ($A6919+$C6919) - MAX(IF($B$2:$B6918=$B6919, $A$2:$A6918+$C$2:$C6918)), "")*24*60, "")</f>
        <v/>
      </c>
      <c r="P6919" s="24" t="str" cm="1">
        <f t="array" ref="P6919">IFERROR(IF($B6919=P$1, ($A6919+$C6919) - MAX(IF($B$2:$B6918=$B6919, $A$2:$A6918+$C$2:$C6918)), "")*24*60, "")</f>
        <v/>
      </c>
      <c r="Q6919" s="24" t="str" cm="1">
        <f t="array" ref="Q6919">IFERROR(IF($B6919=Q$1, ($A6919+$C6919) - MAX(IF($B$2:$B6918=$B6919, $A$2:$A6918+$C$2:$C6918)), "")*24*60, "")</f>
        <v/>
      </c>
      <c r="R6919" s="24" t="str" cm="1">
        <f t="array" ref="R6919">IFERROR(IF($B6919=R$1, ($A6919+$C6919) - MAX(IF($B$2:$B6918=$B6919, $A$2:$A6918+$C$2:$C6918)), "")*24*60, "")</f>
        <v/>
      </c>
      <c r="S6919" s="24" t="str" cm="1">
        <f t="array" ref="S6919">IFERROR(IF($B6919=S$1, ($A6919+$C6919) - MAX(IF($B$2:$B6918=$B6919, $A$2:$A6918+$C$2:$C6918)), "")*24*60, "")</f>
        <v/>
      </c>
    </row>
    <row r="6920" spans="1:19" x14ac:dyDescent="0.2">
      <c r="A6920" s="12">
        <f t="shared" ref="A6920:C6920" si="1362">A6919</f>
        <v>45992</v>
      </c>
      <c r="B6920" s="5" t="str">
        <f t="shared" si="1362"/>
        <v>Northern Cardinal</v>
      </c>
      <c r="C6920" s="6">
        <f t="shared" si="1362"/>
        <v>0.28333333333333333</v>
      </c>
      <c r="D6920" s="5"/>
      <c r="E6920" s="5"/>
      <c r="F6920" s="5" t="s">
        <v>8</v>
      </c>
      <c r="G6920" s="15" t="s">
        <v>9</v>
      </c>
      <c r="H6920" s="24">
        <f t="shared" si="1308"/>
        <v>0</v>
      </c>
      <c r="I6920" s="24" cm="1">
        <f t="array" ref="I6920">IFERROR(IF($B6920=I$1, ($A6920+$C6920) - MAX(IF($B$2:$B6919=$B6920, $A$2:$A6919+$C$2:$C6919)), "")*24*60, "")</f>
        <v>0</v>
      </c>
      <c r="J6920" s="24" t="str" cm="1">
        <f t="array" ref="J6920">IFERROR(IF($B6920=J$1, ($A6920+$C6920) - MAX(IF($B$2:$B6919=$B6920, $A$2:$A6919+$C$2:$C6919)), "")*24*60, "")</f>
        <v/>
      </c>
      <c r="K6920" s="24" t="str" cm="1">
        <f t="array" ref="K6920">IFERROR(IF($B6920=K$1, ($A6920+$C6920) - MAX(IF($B$2:$B6919=$B6920, $A$2:$A6919+$C$2:$C6919)), "")*24*60, "")</f>
        <v/>
      </c>
      <c r="L6920" s="24" t="str" cm="1">
        <f t="array" ref="L6920">IFERROR(IF($B6920=L$1, ($A6920+$C6920) - MAX(IF($B$2:$B6919=$B6920, $A$2:$A6919+$C$2:$C6919)), "")*24*60, "")</f>
        <v/>
      </c>
      <c r="M6920" s="24" t="str" cm="1">
        <f t="array" ref="M6920">IFERROR(IF($B6920=M$1, ($A6920+$C6920) - MAX(IF($B$2:$B6919=$B6920, $A$2:$A6919+$C$2:$C6919)), "")*24*60, "")</f>
        <v/>
      </c>
      <c r="N6920" s="24" t="str" cm="1">
        <f t="array" ref="N6920">IFERROR(IF($B6920=N$1, ($A6920+$C6920) - MAX(IF($B$2:$B6919=$B6920, $A$2:$A6919+$C$2:$C6919)), "")*24*60, "")</f>
        <v/>
      </c>
      <c r="O6920" s="24" t="str" cm="1">
        <f t="array" ref="O6920">IFERROR(IF($B6920=O$1, ($A6920+$C6920) - MAX(IF($B$2:$B6919=$B6920, $A$2:$A6919+$C$2:$C6919)), "")*24*60, "")</f>
        <v/>
      </c>
      <c r="P6920" s="24" t="str" cm="1">
        <f t="array" ref="P6920">IFERROR(IF($B6920=P$1, ($A6920+$C6920) - MAX(IF($B$2:$B6919=$B6920, $A$2:$A6919+$C$2:$C6919)), "")*24*60, "")</f>
        <v/>
      </c>
      <c r="Q6920" s="24" t="str" cm="1">
        <f t="array" ref="Q6920">IFERROR(IF($B6920=Q$1, ($A6920+$C6920) - MAX(IF($B$2:$B6919=$B6920, $A$2:$A6919+$C$2:$C6919)), "")*24*60, "")</f>
        <v/>
      </c>
      <c r="R6920" s="24" t="str" cm="1">
        <f t="array" ref="R6920">IFERROR(IF($B6920=R$1, ($A6920+$C6920) - MAX(IF($B$2:$B6919=$B6920, $A$2:$A6919+$C$2:$C6919)), "")*24*60, "")</f>
        <v/>
      </c>
      <c r="S6920" s="24" t="str" cm="1">
        <f t="array" ref="S6920">IFERROR(IF($B6920=S$1, ($A6920+$C6920) - MAX(IF($B$2:$B6919=$B6920, $A$2:$A6919+$C$2:$C6919)), "")*24*60, "")</f>
        <v/>
      </c>
    </row>
    <row r="6921" spans="1:19" x14ac:dyDescent="0.2">
      <c r="A6921" s="12">
        <f t="shared" ref="A6921:C6921" si="1363">A6920</f>
        <v>45992</v>
      </c>
      <c r="B6921" s="5" t="str">
        <f t="shared" si="1363"/>
        <v>Northern Cardinal</v>
      </c>
      <c r="C6921" s="6">
        <f t="shared" si="1363"/>
        <v>0.28333333333333333</v>
      </c>
      <c r="D6921" s="5"/>
      <c r="E6921" s="5"/>
      <c r="F6921" s="5" t="s">
        <v>8</v>
      </c>
      <c r="G6921" s="15" t="s">
        <v>9</v>
      </c>
      <c r="H6921" s="24">
        <f t="shared" si="1308"/>
        <v>0</v>
      </c>
      <c r="I6921" s="24" cm="1">
        <f t="array" ref="I6921">IFERROR(IF($B6921=I$1, ($A6921+$C6921) - MAX(IF($B$2:$B6920=$B6921, $A$2:$A6920+$C$2:$C6920)), "")*24*60, "")</f>
        <v>0</v>
      </c>
      <c r="J6921" s="24" t="str" cm="1">
        <f t="array" ref="J6921">IFERROR(IF($B6921=J$1, ($A6921+$C6921) - MAX(IF($B$2:$B6920=$B6921, $A$2:$A6920+$C$2:$C6920)), "")*24*60, "")</f>
        <v/>
      </c>
      <c r="K6921" s="24" t="str" cm="1">
        <f t="array" ref="K6921">IFERROR(IF($B6921=K$1, ($A6921+$C6921) - MAX(IF($B$2:$B6920=$B6921, $A$2:$A6920+$C$2:$C6920)), "")*24*60, "")</f>
        <v/>
      </c>
      <c r="L6921" s="24" t="str" cm="1">
        <f t="array" ref="L6921">IFERROR(IF($B6921=L$1, ($A6921+$C6921) - MAX(IF($B$2:$B6920=$B6921, $A$2:$A6920+$C$2:$C6920)), "")*24*60, "")</f>
        <v/>
      </c>
      <c r="M6921" s="24" t="str" cm="1">
        <f t="array" ref="M6921">IFERROR(IF($B6921=M$1, ($A6921+$C6921) - MAX(IF($B$2:$B6920=$B6921, $A$2:$A6920+$C$2:$C6920)), "")*24*60, "")</f>
        <v/>
      </c>
      <c r="N6921" s="24" t="str" cm="1">
        <f t="array" ref="N6921">IFERROR(IF($B6921=N$1, ($A6921+$C6921) - MAX(IF($B$2:$B6920=$B6921, $A$2:$A6920+$C$2:$C6920)), "")*24*60, "")</f>
        <v/>
      </c>
      <c r="O6921" s="24" t="str" cm="1">
        <f t="array" ref="O6921">IFERROR(IF($B6921=O$1, ($A6921+$C6921) - MAX(IF($B$2:$B6920=$B6921, $A$2:$A6920+$C$2:$C6920)), "")*24*60, "")</f>
        <v/>
      </c>
      <c r="P6921" s="24" t="str" cm="1">
        <f t="array" ref="P6921">IFERROR(IF($B6921=P$1, ($A6921+$C6921) - MAX(IF($B$2:$B6920=$B6921, $A$2:$A6920+$C$2:$C6920)), "")*24*60, "")</f>
        <v/>
      </c>
      <c r="Q6921" s="24" t="str" cm="1">
        <f t="array" ref="Q6921">IFERROR(IF($B6921=Q$1, ($A6921+$C6921) - MAX(IF($B$2:$B6920=$B6921, $A$2:$A6920+$C$2:$C6920)), "")*24*60, "")</f>
        <v/>
      </c>
      <c r="R6921" s="24" t="str" cm="1">
        <f t="array" ref="R6921">IFERROR(IF($B6921=R$1, ($A6921+$C6921) - MAX(IF($B$2:$B6920=$B6921, $A$2:$A6920+$C$2:$C6920)), "")*24*60, "")</f>
        <v/>
      </c>
      <c r="S6921" s="24" t="str" cm="1">
        <f t="array" ref="S6921">IFERROR(IF($B6921=S$1, ($A6921+$C6921) - MAX(IF($B$2:$B6920=$B6921, $A$2:$A6920+$C$2:$C6920)), "")*24*60, "")</f>
        <v/>
      </c>
    </row>
    <row r="6922" spans="1:19" x14ac:dyDescent="0.2">
      <c r="A6922" s="12">
        <f t="shared" ref="A6922:C6922" si="1364">A6921</f>
        <v>45992</v>
      </c>
      <c r="B6922" s="5" t="str">
        <f t="shared" si="1364"/>
        <v>Northern Cardinal</v>
      </c>
      <c r="C6922" s="6">
        <f t="shared" si="1364"/>
        <v>0.28333333333333333</v>
      </c>
      <c r="D6922" s="5"/>
      <c r="E6922" s="5"/>
      <c r="F6922" s="5" t="s">
        <v>8</v>
      </c>
      <c r="G6922" s="15" t="s">
        <v>9</v>
      </c>
      <c r="H6922" s="24">
        <f t="shared" si="1308"/>
        <v>0</v>
      </c>
      <c r="I6922" s="24" cm="1">
        <f t="array" ref="I6922">IFERROR(IF($B6922=I$1, ($A6922+$C6922) - MAX(IF($B$2:$B6921=$B6922, $A$2:$A6921+$C$2:$C6921)), "")*24*60, "")</f>
        <v>0</v>
      </c>
      <c r="J6922" s="24" t="str" cm="1">
        <f t="array" ref="J6922">IFERROR(IF($B6922=J$1, ($A6922+$C6922) - MAX(IF($B$2:$B6921=$B6922, $A$2:$A6921+$C$2:$C6921)), "")*24*60, "")</f>
        <v/>
      </c>
      <c r="K6922" s="24" t="str" cm="1">
        <f t="array" ref="K6922">IFERROR(IF($B6922=K$1, ($A6922+$C6922) - MAX(IF($B$2:$B6921=$B6922, $A$2:$A6921+$C$2:$C6921)), "")*24*60, "")</f>
        <v/>
      </c>
      <c r="L6922" s="24" t="str" cm="1">
        <f t="array" ref="L6922">IFERROR(IF($B6922=L$1, ($A6922+$C6922) - MAX(IF($B$2:$B6921=$B6922, $A$2:$A6921+$C$2:$C6921)), "")*24*60, "")</f>
        <v/>
      </c>
      <c r="M6922" s="24" t="str" cm="1">
        <f t="array" ref="M6922">IFERROR(IF($B6922=M$1, ($A6922+$C6922) - MAX(IF($B$2:$B6921=$B6922, $A$2:$A6921+$C$2:$C6921)), "")*24*60, "")</f>
        <v/>
      </c>
      <c r="N6922" s="24" t="str" cm="1">
        <f t="array" ref="N6922">IFERROR(IF($B6922=N$1, ($A6922+$C6922) - MAX(IF($B$2:$B6921=$B6922, $A$2:$A6921+$C$2:$C6921)), "")*24*60, "")</f>
        <v/>
      </c>
      <c r="O6922" s="24" t="str" cm="1">
        <f t="array" ref="O6922">IFERROR(IF($B6922=O$1, ($A6922+$C6922) - MAX(IF($B$2:$B6921=$B6922, $A$2:$A6921+$C$2:$C6921)), "")*24*60, "")</f>
        <v/>
      </c>
      <c r="P6922" s="24" t="str" cm="1">
        <f t="array" ref="P6922">IFERROR(IF($B6922=P$1, ($A6922+$C6922) - MAX(IF($B$2:$B6921=$B6922, $A$2:$A6921+$C$2:$C6921)), "")*24*60, "")</f>
        <v/>
      </c>
      <c r="Q6922" s="24" t="str" cm="1">
        <f t="array" ref="Q6922">IFERROR(IF($B6922=Q$1, ($A6922+$C6922) - MAX(IF($B$2:$B6921=$B6922, $A$2:$A6921+$C$2:$C6921)), "")*24*60, "")</f>
        <v/>
      </c>
      <c r="R6922" s="24" t="str" cm="1">
        <f t="array" ref="R6922">IFERROR(IF($B6922=R$1, ($A6922+$C6922) - MAX(IF($B$2:$B6921=$B6922, $A$2:$A6921+$C$2:$C6921)), "")*24*60, "")</f>
        <v/>
      </c>
      <c r="S6922" s="24" t="str" cm="1">
        <f t="array" ref="S6922">IFERROR(IF($B6922=S$1, ($A6922+$C6922) - MAX(IF($B$2:$B6921=$B6922, $A$2:$A6921+$C$2:$C6921)), "")*24*60, "")</f>
        <v/>
      </c>
    </row>
    <row r="6923" spans="1:19" x14ac:dyDescent="0.2">
      <c r="A6923" s="12">
        <f t="shared" ref="A6923:C6923" si="1365">A6922</f>
        <v>45992</v>
      </c>
      <c r="B6923" s="5" t="str">
        <f t="shared" si="1365"/>
        <v>Northern Cardinal</v>
      </c>
      <c r="C6923" s="6">
        <f t="shared" si="1365"/>
        <v>0.28333333333333333</v>
      </c>
      <c r="D6923" s="5"/>
      <c r="E6923" s="5"/>
      <c r="F6923" s="5" t="s">
        <v>8</v>
      </c>
      <c r="G6923" s="15" t="s">
        <v>9</v>
      </c>
      <c r="H6923" s="24">
        <f t="shared" si="1308"/>
        <v>0</v>
      </c>
      <c r="I6923" s="24" cm="1">
        <f t="array" ref="I6923">IFERROR(IF($B6923=I$1, ($A6923+$C6923) - MAX(IF($B$2:$B6922=$B6923, $A$2:$A6922+$C$2:$C6922)), "")*24*60, "")</f>
        <v>0</v>
      </c>
      <c r="J6923" s="24" t="str" cm="1">
        <f t="array" ref="J6923">IFERROR(IF($B6923=J$1, ($A6923+$C6923) - MAX(IF($B$2:$B6922=$B6923, $A$2:$A6922+$C$2:$C6922)), "")*24*60, "")</f>
        <v/>
      </c>
      <c r="K6923" s="24" t="str" cm="1">
        <f t="array" ref="K6923">IFERROR(IF($B6923=K$1, ($A6923+$C6923) - MAX(IF($B$2:$B6922=$B6923, $A$2:$A6922+$C$2:$C6922)), "")*24*60, "")</f>
        <v/>
      </c>
      <c r="L6923" s="24" t="str" cm="1">
        <f t="array" ref="L6923">IFERROR(IF($B6923=L$1, ($A6923+$C6923) - MAX(IF($B$2:$B6922=$B6923, $A$2:$A6922+$C$2:$C6922)), "")*24*60, "")</f>
        <v/>
      </c>
      <c r="M6923" s="24" t="str" cm="1">
        <f t="array" ref="M6923">IFERROR(IF($B6923=M$1, ($A6923+$C6923) - MAX(IF($B$2:$B6922=$B6923, $A$2:$A6922+$C$2:$C6922)), "")*24*60, "")</f>
        <v/>
      </c>
      <c r="N6923" s="24" t="str" cm="1">
        <f t="array" ref="N6923">IFERROR(IF($B6923=N$1, ($A6923+$C6923) - MAX(IF($B$2:$B6922=$B6923, $A$2:$A6922+$C$2:$C6922)), "")*24*60, "")</f>
        <v/>
      </c>
      <c r="O6923" s="24" t="str" cm="1">
        <f t="array" ref="O6923">IFERROR(IF($B6923=O$1, ($A6923+$C6923) - MAX(IF($B$2:$B6922=$B6923, $A$2:$A6922+$C$2:$C6922)), "")*24*60, "")</f>
        <v/>
      </c>
      <c r="P6923" s="24" t="str" cm="1">
        <f t="array" ref="P6923">IFERROR(IF($B6923=P$1, ($A6923+$C6923) - MAX(IF($B$2:$B6922=$B6923, $A$2:$A6922+$C$2:$C6922)), "")*24*60, "")</f>
        <v/>
      </c>
      <c r="Q6923" s="24" t="str" cm="1">
        <f t="array" ref="Q6923">IFERROR(IF($B6923=Q$1, ($A6923+$C6923) - MAX(IF($B$2:$B6922=$B6923, $A$2:$A6922+$C$2:$C6922)), "")*24*60, "")</f>
        <v/>
      </c>
      <c r="R6923" s="24" t="str" cm="1">
        <f t="array" ref="R6923">IFERROR(IF($B6923=R$1, ($A6923+$C6923) - MAX(IF($B$2:$B6922=$B6923, $A$2:$A6922+$C$2:$C6922)), "")*24*60, "")</f>
        <v/>
      </c>
      <c r="S6923" s="24" t="str" cm="1">
        <f t="array" ref="S6923">IFERROR(IF($B6923=S$1, ($A6923+$C6923) - MAX(IF($B$2:$B6922=$B6923, $A$2:$A6922+$C$2:$C6922)), "")*24*60, "")</f>
        <v/>
      </c>
    </row>
    <row r="6924" spans="1:19" x14ac:dyDescent="0.2">
      <c r="A6924" s="12">
        <f t="shared" ref="A6924:C6924" si="1366">A6923</f>
        <v>45992</v>
      </c>
      <c r="B6924" s="5" t="str">
        <f t="shared" si="1366"/>
        <v>Northern Cardinal</v>
      </c>
      <c r="C6924" s="6">
        <f t="shared" si="1366"/>
        <v>0.28333333333333333</v>
      </c>
      <c r="D6924" s="5"/>
      <c r="E6924" s="5"/>
      <c r="F6924" s="5" t="s">
        <v>8</v>
      </c>
      <c r="G6924" s="15" t="s">
        <v>9</v>
      </c>
      <c r="H6924" s="24">
        <f t="shared" si="1308"/>
        <v>0</v>
      </c>
      <c r="I6924" s="24" cm="1">
        <f t="array" ref="I6924">IFERROR(IF($B6924=I$1, ($A6924+$C6924) - MAX(IF($B$2:$B6923=$B6924, $A$2:$A6923+$C$2:$C6923)), "")*24*60, "")</f>
        <v>0</v>
      </c>
      <c r="J6924" s="24" t="str" cm="1">
        <f t="array" ref="J6924">IFERROR(IF($B6924=J$1, ($A6924+$C6924) - MAX(IF($B$2:$B6923=$B6924, $A$2:$A6923+$C$2:$C6923)), "")*24*60, "")</f>
        <v/>
      </c>
      <c r="K6924" s="24" t="str" cm="1">
        <f t="array" ref="K6924">IFERROR(IF($B6924=K$1, ($A6924+$C6924) - MAX(IF($B$2:$B6923=$B6924, $A$2:$A6923+$C$2:$C6923)), "")*24*60, "")</f>
        <v/>
      </c>
      <c r="L6924" s="24" t="str" cm="1">
        <f t="array" ref="L6924">IFERROR(IF($B6924=L$1, ($A6924+$C6924) - MAX(IF($B$2:$B6923=$B6924, $A$2:$A6923+$C$2:$C6923)), "")*24*60, "")</f>
        <v/>
      </c>
      <c r="M6924" s="24" t="str" cm="1">
        <f t="array" ref="M6924">IFERROR(IF($B6924=M$1, ($A6924+$C6924) - MAX(IF($B$2:$B6923=$B6924, $A$2:$A6923+$C$2:$C6923)), "")*24*60, "")</f>
        <v/>
      </c>
      <c r="N6924" s="24" t="str" cm="1">
        <f t="array" ref="N6924">IFERROR(IF($B6924=N$1, ($A6924+$C6924) - MAX(IF($B$2:$B6923=$B6924, $A$2:$A6923+$C$2:$C6923)), "")*24*60, "")</f>
        <v/>
      </c>
      <c r="O6924" s="24" t="str" cm="1">
        <f t="array" ref="O6924">IFERROR(IF($B6924=O$1, ($A6924+$C6924) - MAX(IF($B$2:$B6923=$B6924, $A$2:$A6923+$C$2:$C6923)), "")*24*60, "")</f>
        <v/>
      </c>
      <c r="P6924" s="24" t="str" cm="1">
        <f t="array" ref="P6924">IFERROR(IF($B6924=P$1, ($A6924+$C6924) - MAX(IF($B$2:$B6923=$B6924, $A$2:$A6923+$C$2:$C6923)), "")*24*60, "")</f>
        <v/>
      </c>
      <c r="Q6924" s="24" t="str" cm="1">
        <f t="array" ref="Q6924">IFERROR(IF($B6924=Q$1, ($A6924+$C6924) - MAX(IF($B$2:$B6923=$B6924, $A$2:$A6923+$C$2:$C6923)), "")*24*60, "")</f>
        <v/>
      </c>
      <c r="R6924" s="24" t="str" cm="1">
        <f t="array" ref="R6924">IFERROR(IF($B6924=R$1, ($A6924+$C6924) - MAX(IF($B$2:$B6923=$B6924, $A$2:$A6923+$C$2:$C6923)), "")*24*60, "")</f>
        <v/>
      </c>
      <c r="S6924" s="24" t="str" cm="1">
        <f t="array" ref="S6924">IFERROR(IF($B6924=S$1, ($A6924+$C6924) - MAX(IF($B$2:$B6923=$B6924, $A$2:$A6923+$C$2:$C6923)), "")*24*60, "")</f>
        <v/>
      </c>
    </row>
    <row r="6925" spans="1:19" x14ac:dyDescent="0.2">
      <c r="A6925" s="12">
        <f t="shared" ref="A6925:C6925" si="1367">A6924</f>
        <v>45992</v>
      </c>
      <c r="B6925" s="5" t="str">
        <f t="shared" si="1367"/>
        <v>Northern Cardinal</v>
      </c>
      <c r="C6925" s="6">
        <f t="shared" si="1367"/>
        <v>0.28333333333333333</v>
      </c>
      <c r="D6925" s="5"/>
      <c r="E6925" s="5"/>
      <c r="F6925" s="5" t="s">
        <v>8</v>
      </c>
      <c r="G6925" s="15" t="s">
        <v>9</v>
      </c>
      <c r="H6925" s="24">
        <f t="shared" si="1308"/>
        <v>0</v>
      </c>
      <c r="I6925" s="24" cm="1">
        <f t="array" ref="I6925">IFERROR(IF($B6925=I$1, ($A6925+$C6925) - MAX(IF($B$2:$B6924=$B6925, $A$2:$A6924+$C$2:$C6924)), "")*24*60, "")</f>
        <v>0</v>
      </c>
      <c r="J6925" s="24" t="str" cm="1">
        <f t="array" ref="J6925">IFERROR(IF($B6925=J$1, ($A6925+$C6925) - MAX(IF($B$2:$B6924=$B6925, $A$2:$A6924+$C$2:$C6924)), "")*24*60, "")</f>
        <v/>
      </c>
      <c r="K6925" s="24" t="str" cm="1">
        <f t="array" ref="K6925">IFERROR(IF($B6925=K$1, ($A6925+$C6925) - MAX(IF($B$2:$B6924=$B6925, $A$2:$A6924+$C$2:$C6924)), "")*24*60, "")</f>
        <v/>
      </c>
      <c r="L6925" s="24" t="str" cm="1">
        <f t="array" ref="L6925">IFERROR(IF($B6925=L$1, ($A6925+$C6925) - MAX(IF($B$2:$B6924=$B6925, $A$2:$A6924+$C$2:$C6924)), "")*24*60, "")</f>
        <v/>
      </c>
      <c r="M6925" s="24" t="str" cm="1">
        <f t="array" ref="M6925">IFERROR(IF($B6925=M$1, ($A6925+$C6925) - MAX(IF($B$2:$B6924=$B6925, $A$2:$A6924+$C$2:$C6924)), "")*24*60, "")</f>
        <v/>
      </c>
      <c r="N6925" s="24" t="str" cm="1">
        <f t="array" ref="N6925">IFERROR(IF($B6925=N$1, ($A6925+$C6925) - MAX(IF($B$2:$B6924=$B6925, $A$2:$A6924+$C$2:$C6924)), "")*24*60, "")</f>
        <v/>
      </c>
      <c r="O6925" s="24" t="str" cm="1">
        <f t="array" ref="O6925">IFERROR(IF($B6925=O$1, ($A6925+$C6925) - MAX(IF($B$2:$B6924=$B6925, $A$2:$A6924+$C$2:$C6924)), "")*24*60, "")</f>
        <v/>
      </c>
      <c r="P6925" s="24" t="str" cm="1">
        <f t="array" ref="P6925">IFERROR(IF($B6925=P$1, ($A6925+$C6925) - MAX(IF($B$2:$B6924=$B6925, $A$2:$A6924+$C$2:$C6924)), "")*24*60, "")</f>
        <v/>
      </c>
      <c r="Q6925" s="24" t="str" cm="1">
        <f t="array" ref="Q6925">IFERROR(IF($B6925=Q$1, ($A6925+$C6925) - MAX(IF($B$2:$B6924=$B6925, $A$2:$A6924+$C$2:$C6924)), "")*24*60, "")</f>
        <v/>
      </c>
      <c r="R6925" s="24" t="str" cm="1">
        <f t="array" ref="R6925">IFERROR(IF($B6925=R$1, ($A6925+$C6925) - MAX(IF($B$2:$B6924=$B6925, $A$2:$A6924+$C$2:$C6924)), "")*24*60, "")</f>
        <v/>
      </c>
      <c r="S6925" s="24" t="str" cm="1">
        <f t="array" ref="S6925">IFERROR(IF($B6925=S$1, ($A6925+$C6925) - MAX(IF($B$2:$B6924=$B6925, $A$2:$A6924+$C$2:$C6924)), "")*24*60, "")</f>
        <v/>
      </c>
    </row>
    <row r="6926" spans="1:19" x14ac:dyDescent="0.2">
      <c r="A6926" s="12">
        <f t="shared" ref="A6926:C6926" si="1368">A6925</f>
        <v>45992</v>
      </c>
      <c r="B6926" s="5" t="str">
        <f t="shared" si="1368"/>
        <v>Northern Cardinal</v>
      </c>
      <c r="C6926" s="6">
        <f t="shared" si="1368"/>
        <v>0.28333333333333333</v>
      </c>
      <c r="D6926" s="5"/>
      <c r="E6926" s="5"/>
      <c r="F6926" s="5" t="s">
        <v>8</v>
      </c>
      <c r="G6926" s="15" t="s">
        <v>9</v>
      </c>
      <c r="H6926" s="24">
        <f t="shared" si="1308"/>
        <v>0</v>
      </c>
      <c r="I6926" s="24" cm="1">
        <f t="array" ref="I6926">IFERROR(IF($B6926=I$1, ($A6926+$C6926) - MAX(IF($B$2:$B6925=$B6926, $A$2:$A6925+$C$2:$C6925)), "")*24*60, "")</f>
        <v>0</v>
      </c>
      <c r="J6926" s="24" t="str" cm="1">
        <f t="array" ref="J6926">IFERROR(IF($B6926=J$1, ($A6926+$C6926) - MAX(IF($B$2:$B6925=$B6926, $A$2:$A6925+$C$2:$C6925)), "")*24*60, "")</f>
        <v/>
      </c>
      <c r="K6926" s="24" t="str" cm="1">
        <f t="array" ref="K6926">IFERROR(IF($B6926=K$1, ($A6926+$C6926) - MAX(IF($B$2:$B6925=$B6926, $A$2:$A6925+$C$2:$C6925)), "")*24*60, "")</f>
        <v/>
      </c>
      <c r="L6926" s="24" t="str" cm="1">
        <f t="array" ref="L6926">IFERROR(IF($B6926=L$1, ($A6926+$C6926) - MAX(IF($B$2:$B6925=$B6926, $A$2:$A6925+$C$2:$C6925)), "")*24*60, "")</f>
        <v/>
      </c>
      <c r="M6926" s="24" t="str" cm="1">
        <f t="array" ref="M6926">IFERROR(IF($B6926=M$1, ($A6926+$C6926) - MAX(IF($B$2:$B6925=$B6926, $A$2:$A6925+$C$2:$C6925)), "")*24*60, "")</f>
        <v/>
      </c>
      <c r="N6926" s="24" t="str" cm="1">
        <f t="array" ref="N6926">IFERROR(IF($B6926=N$1, ($A6926+$C6926) - MAX(IF($B$2:$B6925=$B6926, $A$2:$A6925+$C$2:$C6925)), "")*24*60, "")</f>
        <v/>
      </c>
      <c r="O6926" s="24" t="str" cm="1">
        <f t="array" ref="O6926">IFERROR(IF($B6926=O$1, ($A6926+$C6926) - MAX(IF($B$2:$B6925=$B6926, $A$2:$A6925+$C$2:$C6925)), "")*24*60, "")</f>
        <v/>
      </c>
      <c r="P6926" s="24" t="str" cm="1">
        <f t="array" ref="P6926">IFERROR(IF($B6926=P$1, ($A6926+$C6926) - MAX(IF($B$2:$B6925=$B6926, $A$2:$A6925+$C$2:$C6925)), "")*24*60, "")</f>
        <v/>
      </c>
      <c r="Q6926" s="24" t="str" cm="1">
        <f t="array" ref="Q6926">IFERROR(IF($B6926=Q$1, ($A6926+$C6926) - MAX(IF($B$2:$B6925=$B6926, $A$2:$A6925+$C$2:$C6925)), "")*24*60, "")</f>
        <v/>
      </c>
      <c r="R6926" s="24" t="str" cm="1">
        <f t="array" ref="R6926">IFERROR(IF($B6926=R$1, ($A6926+$C6926) - MAX(IF($B$2:$B6925=$B6926, $A$2:$A6925+$C$2:$C6925)), "")*24*60, "")</f>
        <v/>
      </c>
      <c r="S6926" s="24" t="str" cm="1">
        <f t="array" ref="S6926">IFERROR(IF($B6926=S$1, ($A6926+$C6926) - MAX(IF($B$2:$B6925=$B6926, $A$2:$A6925+$C$2:$C6925)), "")*24*60, "")</f>
        <v/>
      </c>
    </row>
    <row r="6927" spans="1:19" x14ac:dyDescent="0.2">
      <c r="A6927" s="12">
        <f t="shared" ref="A6927:C6927" si="1369">A6926</f>
        <v>45992</v>
      </c>
      <c r="B6927" s="5" t="str">
        <f t="shared" si="1369"/>
        <v>Northern Cardinal</v>
      </c>
      <c r="C6927" s="6">
        <f t="shared" si="1369"/>
        <v>0.28333333333333333</v>
      </c>
      <c r="D6927" s="5"/>
      <c r="E6927" s="5"/>
      <c r="F6927" s="5" t="s">
        <v>8</v>
      </c>
      <c r="G6927" s="15" t="s">
        <v>9</v>
      </c>
      <c r="H6927" s="24">
        <f t="shared" si="1308"/>
        <v>0</v>
      </c>
      <c r="I6927" s="24" cm="1">
        <f t="array" ref="I6927">IFERROR(IF($B6927=I$1, ($A6927+$C6927) - MAX(IF($B$2:$B6926=$B6927, $A$2:$A6926+$C$2:$C6926)), "")*24*60, "")</f>
        <v>0</v>
      </c>
      <c r="J6927" s="24" t="str" cm="1">
        <f t="array" ref="J6927">IFERROR(IF($B6927=J$1, ($A6927+$C6927) - MAX(IF($B$2:$B6926=$B6927, $A$2:$A6926+$C$2:$C6926)), "")*24*60, "")</f>
        <v/>
      </c>
      <c r="K6927" s="24" t="str" cm="1">
        <f t="array" ref="K6927">IFERROR(IF($B6927=K$1, ($A6927+$C6927) - MAX(IF($B$2:$B6926=$B6927, $A$2:$A6926+$C$2:$C6926)), "")*24*60, "")</f>
        <v/>
      </c>
      <c r="L6927" s="24" t="str" cm="1">
        <f t="array" ref="L6927">IFERROR(IF($B6927=L$1, ($A6927+$C6927) - MAX(IF($B$2:$B6926=$B6927, $A$2:$A6926+$C$2:$C6926)), "")*24*60, "")</f>
        <v/>
      </c>
      <c r="M6927" s="24" t="str" cm="1">
        <f t="array" ref="M6927">IFERROR(IF($B6927=M$1, ($A6927+$C6927) - MAX(IF($B$2:$B6926=$B6927, $A$2:$A6926+$C$2:$C6926)), "")*24*60, "")</f>
        <v/>
      </c>
      <c r="N6927" s="24" t="str" cm="1">
        <f t="array" ref="N6927">IFERROR(IF($B6927=N$1, ($A6927+$C6927) - MAX(IF($B$2:$B6926=$B6927, $A$2:$A6926+$C$2:$C6926)), "")*24*60, "")</f>
        <v/>
      </c>
      <c r="O6927" s="24" t="str" cm="1">
        <f t="array" ref="O6927">IFERROR(IF($B6927=O$1, ($A6927+$C6927) - MAX(IF($B$2:$B6926=$B6927, $A$2:$A6926+$C$2:$C6926)), "")*24*60, "")</f>
        <v/>
      </c>
      <c r="P6927" s="24" t="str" cm="1">
        <f t="array" ref="P6927">IFERROR(IF($B6927=P$1, ($A6927+$C6927) - MAX(IF($B$2:$B6926=$B6927, $A$2:$A6926+$C$2:$C6926)), "")*24*60, "")</f>
        <v/>
      </c>
      <c r="Q6927" s="24" t="str" cm="1">
        <f t="array" ref="Q6927">IFERROR(IF($B6927=Q$1, ($A6927+$C6927) - MAX(IF($B$2:$B6926=$B6927, $A$2:$A6926+$C$2:$C6926)), "")*24*60, "")</f>
        <v/>
      </c>
      <c r="R6927" s="24" t="str" cm="1">
        <f t="array" ref="R6927">IFERROR(IF($B6927=R$1, ($A6927+$C6927) - MAX(IF($B$2:$B6926=$B6927, $A$2:$A6926+$C$2:$C6926)), "")*24*60, "")</f>
        <v/>
      </c>
      <c r="S6927" s="24" t="str" cm="1">
        <f t="array" ref="S6927">IFERROR(IF($B6927=S$1, ($A6927+$C6927) - MAX(IF($B$2:$B6926=$B6927, $A$2:$A6926+$C$2:$C6926)), "")*24*60, "")</f>
        <v/>
      </c>
    </row>
    <row r="6928" spans="1:19" x14ac:dyDescent="0.2">
      <c r="A6928" s="12">
        <f t="shared" ref="A6928:C6928" si="1370">A6927</f>
        <v>45992</v>
      </c>
      <c r="B6928" s="5" t="str">
        <f t="shared" si="1370"/>
        <v>Northern Cardinal</v>
      </c>
      <c r="C6928" s="6">
        <f t="shared" si="1370"/>
        <v>0.28333333333333333</v>
      </c>
      <c r="D6928" s="5"/>
      <c r="E6928" s="5"/>
      <c r="F6928" s="5" t="s">
        <v>8</v>
      </c>
      <c r="G6928" s="15" t="s">
        <v>9</v>
      </c>
      <c r="H6928" s="24">
        <f t="shared" si="1308"/>
        <v>0</v>
      </c>
      <c r="I6928" s="24" cm="1">
        <f t="array" ref="I6928">IFERROR(IF($B6928=I$1, ($A6928+$C6928) - MAX(IF($B$2:$B6927=$B6928, $A$2:$A6927+$C$2:$C6927)), "")*24*60, "")</f>
        <v>0</v>
      </c>
      <c r="J6928" s="24" t="str" cm="1">
        <f t="array" ref="J6928">IFERROR(IF($B6928=J$1, ($A6928+$C6928) - MAX(IF($B$2:$B6927=$B6928, $A$2:$A6927+$C$2:$C6927)), "")*24*60, "")</f>
        <v/>
      </c>
      <c r="K6928" s="24" t="str" cm="1">
        <f t="array" ref="K6928">IFERROR(IF($B6928=K$1, ($A6928+$C6928) - MAX(IF($B$2:$B6927=$B6928, $A$2:$A6927+$C$2:$C6927)), "")*24*60, "")</f>
        <v/>
      </c>
      <c r="L6928" s="24" t="str" cm="1">
        <f t="array" ref="L6928">IFERROR(IF($B6928=L$1, ($A6928+$C6928) - MAX(IF($B$2:$B6927=$B6928, $A$2:$A6927+$C$2:$C6927)), "")*24*60, "")</f>
        <v/>
      </c>
      <c r="M6928" s="24" t="str" cm="1">
        <f t="array" ref="M6928">IFERROR(IF($B6928=M$1, ($A6928+$C6928) - MAX(IF($B$2:$B6927=$B6928, $A$2:$A6927+$C$2:$C6927)), "")*24*60, "")</f>
        <v/>
      </c>
      <c r="N6928" s="24" t="str" cm="1">
        <f t="array" ref="N6928">IFERROR(IF($B6928=N$1, ($A6928+$C6928) - MAX(IF($B$2:$B6927=$B6928, $A$2:$A6927+$C$2:$C6927)), "")*24*60, "")</f>
        <v/>
      </c>
      <c r="O6928" s="24" t="str" cm="1">
        <f t="array" ref="O6928">IFERROR(IF($B6928=O$1, ($A6928+$C6928) - MAX(IF($B$2:$B6927=$B6928, $A$2:$A6927+$C$2:$C6927)), "")*24*60, "")</f>
        <v/>
      </c>
      <c r="P6928" s="24" t="str" cm="1">
        <f t="array" ref="P6928">IFERROR(IF($B6928=P$1, ($A6928+$C6928) - MAX(IF($B$2:$B6927=$B6928, $A$2:$A6927+$C$2:$C6927)), "")*24*60, "")</f>
        <v/>
      </c>
      <c r="Q6928" s="24" t="str" cm="1">
        <f t="array" ref="Q6928">IFERROR(IF($B6928=Q$1, ($A6928+$C6928) - MAX(IF($B$2:$B6927=$B6928, $A$2:$A6927+$C$2:$C6927)), "")*24*60, "")</f>
        <v/>
      </c>
      <c r="R6928" s="24" t="str" cm="1">
        <f t="array" ref="R6928">IFERROR(IF($B6928=R$1, ($A6928+$C6928) - MAX(IF($B$2:$B6927=$B6928, $A$2:$A6927+$C$2:$C6927)), "")*24*60, "")</f>
        <v/>
      </c>
      <c r="S6928" s="24" t="str" cm="1">
        <f t="array" ref="S6928">IFERROR(IF($B6928=S$1, ($A6928+$C6928) - MAX(IF($B$2:$B6927=$B6928, $A$2:$A6927+$C$2:$C6927)), "")*24*60, "")</f>
        <v/>
      </c>
    </row>
    <row r="6929" spans="1:19" x14ac:dyDescent="0.2">
      <c r="A6929" s="12">
        <f t="shared" ref="A6929:C6929" si="1371">A6928</f>
        <v>45992</v>
      </c>
      <c r="B6929" s="5" t="str">
        <f t="shared" si="1371"/>
        <v>Northern Cardinal</v>
      </c>
      <c r="C6929" s="6">
        <f t="shared" si="1371"/>
        <v>0.28333333333333333</v>
      </c>
      <c r="D6929" s="5"/>
      <c r="E6929" s="5"/>
      <c r="F6929" s="5" t="s">
        <v>8</v>
      </c>
      <c r="G6929" s="15" t="s">
        <v>9</v>
      </c>
      <c r="H6929" s="24">
        <f t="shared" si="1308"/>
        <v>0</v>
      </c>
      <c r="I6929" s="24" cm="1">
        <f t="array" ref="I6929">IFERROR(IF($B6929=I$1, ($A6929+$C6929) - MAX(IF($B$2:$B6928=$B6929, $A$2:$A6928+$C$2:$C6928)), "")*24*60, "")</f>
        <v>0</v>
      </c>
      <c r="J6929" s="24" t="str" cm="1">
        <f t="array" ref="J6929">IFERROR(IF($B6929=J$1, ($A6929+$C6929) - MAX(IF($B$2:$B6928=$B6929, $A$2:$A6928+$C$2:$C6928)), "")*24*60, "")</f>
        <v/>
      </c>
      <c r="K6929" s="24" t="str" cm="1">
        <f t="array" ref="K6929">IFERROR(IF($B6929=K$1, ($A6929+$C6929) - MAX(IF($B$2:$B6928=$B6929, $A$2:$A6928+$C$2:$C6928)), "")*24*60, "")</f>
        <v/>
      </c>
      <c r="L6929" s="24" t="str" cm="1">
        <f t="array" ref="L6929">IFERROR(IF($B6929=L$1, ($A6929+$C6929) - MAX(IF($B$2:$B6928=$B6929, $A$2:$A6928+$C$2:$C6928)), "")*24*60, "")</f>
        <v/>
      </c>
      <c r="M6929" s="24" t="str" cm="1">
        <f t="array" ref="M6929">IFERROR(IF($B6929=M$1, ($A6929+$C6929) - MAX(IF($B$2:$B6928=$B6929, $A$2:$A6928+$C$2:$C6928)), "")*24*60, "")</f>
        <v/>
      </c>
      <c r="N6929" s="24" t="str" cm="1">
        <f t="array" ref="N6929">IFERROR(IF($B6929=N$1, ($A6929+$C6929) - MAX(IF($B$2:$B6928=$B6929, $A$2:$A6928+$C$2:$C6928)), "")*24*60, "")</f>
        <v/>
      </c>
      <c r="O6929" s="24" t="str" cm="1">
        <f t="array" ref="O6929">IFERROR(IF($B6929=O$1, ($A6929+$C6929) - MAX(IF($B$2:$B6928=$B6929, $A$2:$A6928+$C$2:$C6928)), "")*24*60, "")</f>
        <v/>
      </c>
      <c r="P6929" s="24" t="str" cm="1">
        <f t="array" ref="P6929">IFERROR(IF($B6929=P$1, ($A6929+$C6929) - MAX(IF($B$2:$B6928=$B6929, $A$2:$A6928+$C$2:$C6928)), "")*24*60, "")</f>
        <v/>
      </c>
      <c r="Q6929" s="24" t="str" cm="1">
        <f t="array" ref="Q6929">IFERROR(IF($B6929=Q$1, ($A6929+$C6929) - MAX(IF($B$2:$B6928=$B6929, $A$2:$A6928+$C$2:$C6928)), "")*24*60, "")</f>
        <v/>
      </c>
      <c r="R6929" s="24" t="str" cm="1">
        <f t="array" ref="R6929">IFERROR(IF($B6929=R$1, ($A6929+$C6929) - MAX(IF($B$2:$B6928=$B6929, $A$2:$A6928+$C$2:$C6928)), "")*24*60, "")</f>
        <v/>
      </c>
      <c r="S6929" s="24" t="str" cm="1">
        <f t="array" ref="S6929">IFERROR(IF($B6929=S$1, ($A6929+$C6929) - MAX(IF($B$2:$B6928=$B6929, $A$2:$A6928+$C$2:$C6928)), "")*24*60, "")</f>
        <v/>
      </c>
    </row>
    <row r="6930" spans="1:19" x14ac:dyDescent="0.2">
      <c r="A6930" s="12">
        <f t="shared" ref="A6930:C6930" si="1372">A6929</f>
        <v>45992</v>
      </c>
      <c r="B6930" s="5" t="str">
        <f t="shared" si="1372"/>
        <v>Northern Cardinal</v>
      </c>
      <c r="C6930" s="6">
        <f t="shared" si="1372"/>
        <v>0.28333333333333333</v>
      </c>
      <c r="D6930" s="5"/>
      <c r="E6930" s="5"/>
      <c r="F6930" s="5" t="s">
        <v>8</v>
      </c>
      <c r="G6930" s="15" t="s">
        <v>9</v>
      </c>
      <c r="H6930" s="24">
        <f t="shared" si="1308"/>
        <v>0</v>
      </c>
      <c r="I6930" s="24" cm="1">
        <f t="array" ref="I6930">IFERROR(IF($B6930=I$1, ($A6930+$C6930) - MAX(IF($B$2:$B6929=$B6930, $A$2:$A6929+$C$2:$C6929)), "")*24*60, "")</f>
        <v>0</v>
      </c>
      <c r="J6930" s="24" t="str" cm="1">
        <f t="array" ref="J6930">IFERROR(IF($B6930=J$1, ($A6930+$C6930) - MAX(IF($B$2:$B6929=$B6930, $A$2:$A6929+$C$2:$C6929)), "")*24*60, "")</f>
        <v/>
      </c>
      <c r="K6930" s="24" t="str" cm="1">
        <f t="array" ref="K6930">IFERROR(IF($B6930=K$1, ($A6930+$C6930) - MAX(IF($B$2:$B6929=$B6930, $A$2:$A6929+$C$2:$C6929)), "")*24*60, "")</f>
        <v/>
      </c>
      <c r="L6930" s="24" t="str" cm="1">
        <f t="array" ref="L6930">IFERROR(IF($B6930=L$1, ($A6930+$C6930) - MAX(IF($B$2:$B6929=$B6930, $A$2:$A6929+$C$2:$C6929)), "")*24*60, "")</f>
        <v/>
      </c>
      <c r="M6930" s="24" t="str" cm="1">
        <f t="array" ref="M6930">IFERROR(IF($B6930=M$1, ($A6930+$C6930) - MAX(IF($B$2:$B6929=$B6930, $A$2:$A6929+$C$2:$C6929)), "")*24*60, "")</f>
        <v/>
      </c>
      <c r="N6930" s="24" t="str" cm="1">
        <f t="array" ref="N6930">IFERROR(IF($B6930=N$1, ($A6930+$C6930) - MAX(IF($B$2:$B6929=$B6930, $A$2:$A6929+$C$2:$C6929)), "")*24*60, "")</f>
        <v/>
      </c>
      <c r="O6930" s="24" t="str" cm="1">
        <f t="array" ref="O6930">IFERROR(IF($B6930=O$1, ($A6930+$C6930) - MAX(IF($B$2:$B6929=$B6930, $A$2:$A6929+$C$2:$C6929)), "")*24*60, "")</f>
        <v/>
      </c>
      <c r="P6930" s="24" t="str" cm="1">
        <f t="array" ref="P6930">IFERROR(IF($B6930=P$1, ($A6930+$C6930) - MAX(IF($B$2:$B6929=$B6930, $A$2:$A6929+$C$2:$C6929)), "")*24*60, "")</f>
        <v/>
      </c>
      <c r="Q6930" s="24" t="str" cm="1">
        <f t="array" ref="Q6930">IFERROR(IF($B6930=Q$1, ($A6930+$C6930) - MAX(IF($B$2:$B6929=$B6930, $A$2:$A6929+$C$2:$C6929)), "")*24*60, "")</f>
        <v/>
      </c>
      <c r="R6930" s="24" t="str" cm="1">
        <f t="array" ref="R6930">IFERROR(IF($B6930=R$1, ($A6930+$C6930) - MAX(IF($B$2:$B6929=$B6930, $A$2:$A6929+$C$2:$C6929)), "")*24*60, "")</f>
        <v/>
      </c>
      <c r="S6930" s="24" t="str" cm="1">
        <f t="array" ref="S6930">IFERROR(IF($B6930=S$1, ($A6930+$C6930) - MAX(IF($B$2:$B6929=$B6930, $A$2:$A6929+$C$2:$C6929)), "")*24*60, "")</f>
        <v/>
      </c>
    </row>
    <row r="6931" spans="1:19" x14ac:dyDescent="0.2">
      <c r="A6931" s="12">
        <f t="shared" ref="A6931:C6931" si="1373">A6930</f>
        <v>45992</v>
      </c>
      <c r="B6931" s="5" t="str">
        <f t="shared" si="1373"/>
        <v>Northern Cardinal</v>
      </c>
      <c r="C6931" s="6">
        <f t="shared" si="1373"/>
        <v>0.28333333333333333</v>
      </c>
      <c r="D6931" s="5"/>
      <c r="E6931" s="5"/>
      <c r="F6931" s="5" t="s">
        <v>8</v>
      </c>
      <c r="G6931" s="15" t="s">
        <v>9</v>
      </c>
      <c r="H6931" s="24">
        <f t="shared" si="1308"/>
        <v>0</v>
      </c>
      <c r="I6931" s="24" cm="1">
        <f t="array" ref="I6931">IFERROR(IF($B6931=I$1, ($A6931+$C6931) - MAX(IF($B$2:$B6930=$B6931, $A$2:$A6930+$C$2:$C6930)), "")*24*60, "")</f>
        <v>0</v>
      </c>
      <c r="J6931" s="24" t="str" cm="1">
        <f t="array" ref="J6931">IFERROR(IF($B6931=J$1, ($A6931+$C6931) - MAX(IF($B$2:$B6930=$B6931, $A$2:$A6930+$C$2:$C6930)), "")*24*60, "")</f>
        <v/>
      </c>
      <c r="K6931" s="24" t="str" cm="1">
        <f t="array" ref="K6931">IFERROR(IF($B6931=K$1, ($A6931+$C6931) - MAX(IF($B$2:$B6930=$B6931, $A$2:$A6930+$C$2:$C6930)), "")*24*60, "")</f>
        <v/>
      </c>
      <c r="L6931" s="24" t="str" cm="1">
        <f t="array" ref="L6931">IFERROR(IF($B6931=L$1, ($A6931+$C6931) - MAX(IF($B$2:$B6930=$B6931, $A$2:$A6930+$C$2:$C6930)), "")*24*60, "")</f>
        <v/>
      </c>
      <c r="M6931" s="24" t="str" cm="1">
        <f t="array" ref="M6931">IFERROR(IF($B6931=M$1, ($A6931+$C6931) - MAX(IF($B$2:$B6930=$B6931, $A$2:$A6930+$C$2:$C6930)), "")*24*60, "")</f>
        <v/>
      </c>
      <c r="N6931" s="24" t="str" cm="1">
        <f t="array" ref="N6931">IFERROR(IF($B6931=N$1, ($A6931+$C6931) - MAX(IF($B$2:$B6930=$B6931, $A$2:$A6930+$C$2:$C6930)), "")*24*60, "")</f>
        <v/>
      </c>
      <c r="O6931" s="24" t="str" cm="1">
        <f t="array" ref="O6931">IFERROR(IF($B6931=O$1, ($A6931+$C6931) - MAX(IF($B$2:$B6930=$B6931, $A$2:$A6930+$C$2:$C6930)), "")*24*60, "")</f>
        <v/>
      </c>
      <c r="P6931" s="24" t="str" cm="1">
        <f t="array" ref="P6931">IFERROR(IF($B6931=P$1, ($A6931+$C6931) - MAX(IF($B$2:$B6930=$B6931, $A$2:$A6930+$C$2:$C6930)), "")*24*60, "")</f>
        <v/>
      </c>
      <c r="Q6931" s="24" t="str" cm="1">
        <f t="array" ref="Q6931">IFERROR(IF($B6931=Q$1, ($A6931+$C6931) - MAX(IF($B$2:$B6930=$B6931, $A$2:$A6930+$C$2:$C6930)), "")*24*60, "")</f>
        <v/>
      </c>
      <c r="R6931" s="24" t="str" cm="1">
        <f t="array" ref="R6931">IFERROR(IF($B6931=R$1, ($A6931+$C6931) - MAX(IF($B$2:$B6930=$B6931, $A$2:$A6930+$C$2:$C6930)), "")*24*60, "")</f>
        <v/>
      </c>
      <c r="S6931" s="24" t="str" cm="1">
        <f t="array" ref="S6931">IFERROR(IF($B6931=S$1, ($A6931+$C6931) - MAX(IF($B$2:$B6930=$B6931, $A$2:$A6930+$C$2:$C6930)), "")*24*60, "")</f>
        <v/>
      </c>
    </row>
    <row r="6932" spans="1:19" x14ac:dyDescent="0.2">
      <c r="A6932" s="12">
        <f t="shared" ref="A6932:C6932" si="1374">A6931</f>
        <v>45992</v>
      </c>
      <c r="B6932" s="5" t="str">
        <f t="shared" si="1374"/>
        <v>Northern Cardinal</v>
      </c>
      <c r="C6932" s="6">
        <f t="shared" si="1374"/>
        <v>0.28333333333333333</v>
      </c>
      <c r="D6932" s="5"/>
      <c r="E6932" s="5"/>
      <c r="F6932" s="5" t="s">
        <v>8</v>
      </c>
      <c r="G6932" s="15" t="s">
        <v>9</v>
      </c>
      <c r="H6932" s="24">
        <f t="shared" si="1308"/>
        <v>0</v>
      </c>
      <c r="I6932" s="24" cm="1">
        <f t="array" ref="I6932">IFERROR(IF($B6932=I$1, ($A6932+$C6932) - MAX(IF($B$2:$B6931=$B6932, $A$2:$A6931+$C$2:$C6931)), "")*24*60, "")</f>
        <v>0</v>
      </c>
      <c r="J6932" s="24" t="str" cm="1">
        <f t="array" ref="J6932">IFERROR(IF($B6932=J$1, ($A6932+$C6932) - MAX(IF($B$2:$B6931=$B6932, $A$2:$A6931+$C$2:$C6931)), "")*24*60, "")</f>
        <v/>
      </c>
      <c r="K6932" s="24" t="str" cm="1">
        <f t="array" ref="K6932">IFERROR(IF($B6932=K$1, ($A6932+$C6932) - MAX(IF($B$2:$B6931=$B6932, $A$2:$A6931+$C$2:$C6931)), "")*24*60, "")</f>
        <v/>
      </c>
      <c r="L6932" s="24" t="str" cm="1">
        <f t="array" ref="L6932">IFERROR(IF($B6932=L$1, ($A6932+$C6932) - MAX(IF($B$2:$B6931=$B6932, $A$2:$A6931+$C$2:$C6931)), "")*24*60, "")</f>
        <v/>
      </c>
      <c r="M6932" s="24" t="str" cm="1">
        <f t="array" ref="M6932">IFERROR(IF($B6932=M$1, ($A6932+$C6932) - MAX(IF($B$2:$B6931=$B6932, $A$2:$A6931+$C$2:$C6931)), "")*24*60, "")</f>
        <v/>
      </c>
      <c r="N6932" s="24" t="str" cm="1">
        <f t="array" ref="N6932">IFERROR(IF($B6932=N$1, ($A6932+$C6932) - MAX(IF($B$2:$B6931=$B6932, $A$2:$A6931+$C$2:$C6931)), "")*24*60, "")</f>
        <v/>
      </c>
      <c r="O6932" s="24" t="str" cm="1">
        <f t="array" ref="O6932">IFERROR(IF($B6932=O$1, ($A6932+$C6932) - MAX(IF($B$2:$B6931=$B6932, $A$2:$A6931+$C$2:$C6931)), "")*24*60, "")</f>
        <v/>
      </c>
      <c r="P6932" s="24" t="str" cm="1">
        <f t="array" ref="P6932">IFERROR(IF($B6932=P$1, ($A6932+$C6932) - MAX(IF($B$2:$B6931=$B6932, $A$2:$A6931+$C$2:$C6931)), "")*24*60, "")</f>
        <v/>
      </c>
      <c r="Q6932" s="24" t="str" cm="1">
        <f t="array" ref="Q6932">IFERROR(IF($B6932=Q$1, ($A6932+$C6932) - MAX(IF($B$2:$B6931=$B6932, $A$2:$A6931+$C$2:$C6931)), "")*24*60, "")</f>
        <v/>
      </c>
      <c r="R6932" s="24" t="str" cm="1">
        <f t="array" ref="R6932">IFERROR(IF($B6932=R$1, ($A6932+$C6932) - MAX(IF($B$2:$B6931=$B6932, $A$2:$A6931+$C$2:$C6931)), "")*24*60, "")</f>
        <v/>
      </c>
      <c r="S6932" s="24" t="str" cm="1">
        <f t="array" ref="S6932">IFERROR(IF($B6932=S$1, ($A6932+$C6932) - MAX(IF($B$2:$B6931=$B6932, $A$2:$A6931+$C$2:$C6931)), "")*24*60, "")</f>
        <v/>
      </c>
    </row>
    <row r="6933" spans="1:19" x14ac:dyDescent="0.2">
      <c r="A6933" s="12">
        <f t="shared" ref="A6933:C6933" si="1375">A6932</f>
        <v>45992</v>
      </c>
      <c r="B6933" s="5" t="str">
        <f t="shared" si="1375"/>
        <v>Northern Cardinal</v>
      </c>
      <c r="C6933" s="6">
        <f t="shared" si="1375"/>
        <v>0.28333333333333333</v>
      </c>
      <c r="D6933" s="5"/>
      <c r="E6933" s="5"/>
      <c r="F6933" s="5" t="s">
        <v>8</v>
      </c>
      <c r="G6933" s="15" t="s">
        <v>9</v>
      </c>
      <c r="H6933" s="24">
        <f t="shared" si="1308"/>
        <v>0</v>
      </c>
      <c r="I6933" s="24" cm="1">
        <f t="array" ref="I6933">IFERROR(IF($B6933=I$1, ($A6933+$C6933) - MAX(IF($B$2:$B6932=$B6933, $A$2:$A6932+$C$2:$C6932)), "")*24*60, "")</f>
        <v>0</v>
      </c>
      <c r="J6933" s="24" t="str" cm="1">
        <f t="array" ref="J6933">IFERROR(IF($B6933=J$1, ($A6933+$C6933) - MAX(IF($B$2:$B6932=$B6933, $A$2:$A6932+$C$2:$C6932)), "")*24*60, "")</f>
        <v/>
      </c>
      <c r="K6933" s="24" t="str" cm="1">
        <f t="array" ref="K6933">IFERROR(IF($B6933=K$1, ($A6933+$C6933) - MAX(IF($B$2:$B6932=$B6933, $A$2:$A6932+$C$2:$C6932)), "")*24*60, "")</f>
        <v/>
      </c>
      <c r="L6933" s="24" t="str" cm="1">
        <f t="array" ref="L6933">IFERROR(IF($B6933=L$1, ($A6933+$C6933) - MAX(IF($B$2:$B6932=$B6933, $A$2:$A6932+$C$2:$C6932)), "")*24*60, "")</f>
        <v/>
      </c>
      <c r="M6933" s="24" t="str" cm="1">
        <f t="array" ref="M6933">IFERROR(IF($B6933=M$1, ($A6933+$C6933) - MAX(IF($B$2:$B6932=$B6933, $A$2:$A6932+$C$2:$C6932)), "")*24*60, "")</f>
        <v/>
      </c>
      <c r="N6933" s="24" t="str" cm="1">
        <f t="array" ref="N6933">IFERROR(IF($B6933=N$1, ($A6933+$C6933) - MAX(IF($B$2:$B6932=$B6933, $A$2:$A6932+$C$2:$C6932)), "")*24*60, "")</f>
        <v/>
      </c>
      <c r="O6933" s="24" t="str" cm="1">
        <f t="array" ref="O6933">IFERROR(IF($B6933=O$1, ($A6933+$C6933) - MAX(IF($B$2:$B6932=$B6933, $A$2:$A6932+$C$2:$C6932)), "")*24*60, "")</f>
        <v/>
      </c>
      <c r="P6933" s="24" t="str" cm="1">
        <f t="array" ref="P6933">IFERROR(IF($B6933=P$1, ($A6933+$C6933) - MAX(IF($B$2:$B6932=$B6933, $A$2:$A6932+$C$2:$C6932)), "")*24*60, "")</f>
        <v/>
      </c>
      <c r="Q6933" s="24" t="str" cm="1">
        <f t="array" ref="Q6933">IFERROR(IF($B6933=Q$1, ($A6933+$C6933) - MAX(IF($B$2:$B6932=$B6933, $A$2:$A6932+$C$2:$C6932)), "")*24*60, "")</f>
        <v/>
      </c>
      <c r="R6933" s="24" t="str" cm="1">
        <f t="array" ref="R6933">IFERROR(IF($B6933=R$1, ($A6933+$C6933) - MAX(IF($B$2:$B6932=$B6933, $A$2:$A6932+$C$2:$C6932)), "")*24*60, "")</f>
        <v/>
      </c>
      <c r="S6933" s="24" t="str" cm="1">
        <f t="array" ref="S6933">IFERROR(IF($B6933=S$1, ($A6933+$C6933) - MAX(IF($B$2:$B6932=$B6933, $A$2:$A6932+$C$2:$C6932)), "")*24*60, "")</f>
        <v/>
      </c>
    </row>
    <row r="6934" spans="1:19" x14ac:dyDescent="0.2">
      <c r="A6934" s="12">
        <f t="shared" ref="A6934:C6934" si="1376">A6933</f>
        <v>45992</v>
      </c>
      <c r="B6934" s="5" t="str">
        <f t="shared" si="1376"/>
        <v>Northern Cardinal</v>
      </c>
      <c r="C6934" s="6">
        <f t="shared" si="1376"/>
        <v>0.28333333333333333</v>
      </c>
      <c r="D6934" s="5"/>
      <c r="E6934" s="5"/>
      <c r="F6934" s="5" t="s">
        <v>8</v>
      </c>
      <c r="G6934" s="15" t="s">
        <v>9</v>
      </c>
      <c r="H6934" s="24">
        <f t="shared" si="1308"/>
        <v>0</v>
      </c>
      <c r="I6934" s="24" cm="1">
        <f t="array" ref="I6934">IFERROR(IF($B6934=I$1, ($A6934+$C6934) - MAX(IF($B$2:$B6933=$B6934, $A$2:$A6933+$C$2:$C6933)), "")*24*60, "")</f>
        <v>0</v>
      </c>
      <c r="J6934" s="24" t="str" cm="1">
        <f t="array" ref="J6934">IFERROR(IF($B6934=J$1, ($A6934+$C6934) - MAX(IF($B$2:$B6933=$B6934, $A$2:$A6933+$C$2:$C6933)), "")*24*60, "")</f>
        <v/>
      </c>
      <c r="K6934" s="24" t="str" cm="1">
        <f t="array" ref="K6934">IFERROR(IF($B6934=K$1, ($A6934+$C6934) - MAX(IF($B$2:$B6933=$B6934, $A$2:$A6933+$C$2:$C6933)), "")*24*60, "")</f>
        <v/>
      </c>
      <c r="L6934" s="24" t="str" cm="1">
        <f t="array" ref="L6934">IFERROR(IF($B6934=L$1, ($A6934+$C6934) - MAX(IF($B$2:$B6933=$B6934, $A$2:$A6933+$C$2:$C6933)), "")*24*60, "")</f>
        <v/>
      </c>
      <c r="M6934" s="24" t="str" cm="1">
        <f t="array" ref="M6934">IFERROR(IF($B6934=M$1, ($A6934+$C6934) - MAX(IF($B$2:$B6933=$B6934, $A$2:$A6933+$C$2:$C6933)), "")*24*60, "")</f>
        <v/>
      </c>
      <c r="N6934" s="24" t="str" cm="1">
        <f t="array" ref="N6934">IFERROR(IF($B6934=N$1, ($A6934+$C6934) - MAX(IF($B$2:$B6933=$B6934, $A$2:$A6933+$C$2:$C6933)), "")*24*60, "")</f>
        <v/>
      </c>
      <c r="O6934" s="24" t="str" cm="1">
        <f t="array" ref="O6934">IFERROR(IF($B6934=O$1, ($A6934+$C6934) - MAX(IF($B$2:$B6933=$B6934, $A$2:$A6933+$C$2:$C6933)), "")*24*60, "")</f>
        <v/>
      </c>
      <c r="P6934" s="24" t="str" cm="1">
        <f t="array" ref="P6934">IFERROR(IF($B6934=P$1, ($A6934+$C6934) - MAX(IF($B$2:$B6933=$B6934, $A$2:$A6933+$C$2:$C6933)), "")*24*60, "")</f>
        <v/>
      </c>
      <c r="Q6934" s="24" t="str" cm="1">
        <f t="array" ref="Q6934">IFERROR(IF($B6934=Q$1, ($A6934+$C6934) - MAX(IF($B$2:$B6933=$B6934, $A$2:$A6933+$C$2:$C6933)), "")*24*60, "")</f>
        <v/>
      </c>
      <c r="R6934" s="24" t="str" cm="1">
        <f t="array" ref="R6934">IFERROR(IF($B6934=R$1, ($A6934+$C6934) - MAX(IF($B$2:$B6933=$B6934, $A$2:$A6933+$C$2:$C6933)), "")*24*60, "")</f>
        <v/>
      </c>
      <c r="S6934" s="24" t="str" cm="1">
        <f t="array" ref="S6934">IFERROR(IF($B6934=S$1, ($A6934+$C6934) - MAX(IF($B$2:$B6933=$B6934, $A$2:$A6933+$C$2:$C6933)), "")*24*60, "")</f>
        <v/>
      </c>
    </row>
    <row r="6935" spans="1:19" x14ac:dyDescent="0.2">
      <c r="A6935" s="12">
        <f t="shared" ref="A6935:C6935" si="1377">A6934</f>
        <v>45992</v>
      </c>
      <c r="B6935" s="5" t="str">
        <f t="shared" si="1377"/>
        <v>Northern Cardinal</v>
      </c>
      <c r="C6935" s="6">
        <f t="shared" si="1377"/>
        <v>0.28333333333333333</v>
      </c>
      <c r="D6935" s="5"/>
      <c r="E6935" s="5"/>
      <c r="F6935" s="5" t="s">
        <v>8</v>
      </c>
      <c r="G6935" s="15" t="s">
        <v>9</v>
      </c>
      <c r="H6935" s="24">
        <f t="shared" si="1308"/>
        <v>0</v>
      </c>
      <c r="I6935" s="24" cm="1">
        <f t="array" ref="I6935">IFERROR(IF($B6935=I$1, ($A6935+$C6935) - MAX(IF($B$2:$B6934=$B6935, $A$2:$A6934+$C$2:$C6934)), "")*24*60, "")</f>
        <v>0</v>
      </c>
      <c r="J6935" s="24" t="str" cm="1">
        <f t="array" ref="J6935">IFERROR(IF($B6935=J$1, ($A6935+$C6935) - MAX(IF($B$2:$B6934=$B6935, $A$2:$A6934+$C$2:$C6934)), "")*24*60, "")</f>
        <v/>
      </c>
      <c r="K6935" s="24" t="str" cm="1">
        <f t="array" ref="K6935">IFERROR(IF($B6935=K$1, ($A6935+$C6935) - MAX(IF($B$2:$B6934=$B6935, $A$2:$A6934+$C$2:$C6934)), "")*24*60, "")</f>
        <v/>
      </c>
      <c r="L6935" s="24" t="str" cm="1">
        <f t="array" ref="L6935">IFERROR(IF($B6935=L$1, ($A6935+$C6935) - MAX(IF($B$2:$B6934=$B6935, $A$2:$A6934+$C$2:$C6934)), "")*24*60, "")</f>
        <v/>
      </c>
      <c r="M6935" s="24" t="str" cm="1">
        <f t="array" ref="M6935">IFERROR(IF($B6935=M$1, ($A6935+$C6935) - MAX(IF($B$2:$B6934=$B6935, $A$2:$A6934+$C$2:$C6934)), "")*24*60, "")</f>
        <v/>
      </c>
      <c r="N6935" s="24" t="str" cm="1">
        <f t="array" ref="N6935">IFERROR(IF($B6935=N$1, ($A6935+$C6935) - MAX(IF($B$2:$B6934=$B6935, $A$2:$A6934+$C$2:$C6934)), "")*24*60, "")</f>
        <v/>
      </c>
      <c r="O6935" s="24" t="str" cm="1">
        <f t="array" ref="O6935">IFERROR(IF($B6935=O$1, ($A6935+$C6935) - MAX(IF($B$2:$B6934=$B6935, $A$2:$A6934+$C$2:$C6934)), "")*24*60, "")</f>
        <v/>
      </c>
      <c r="P6935" s="24" t="str" cm="1">
        <f t="array" ref="P6935">IFERROR(IF($B6935=P$1, ($A6935+$C6935) - MAX(IF($B$2:$B6934=$B6935, $A$2:$A6934+$C$2:$C6934)), "")*24*60, "")</f>
        <v/>
      </c>
      <c r="Q6935" s="24" t="str" cm="1">
        <f t="array" ref="Q6935">IFERROR(IF($B6935=Q$1, ($A6935+$C6935) - MAX(IF($B$2:$B6934=$B6935, $A$2:$A6934+$C$2:$C6934)), "")*24*60, "")</f>
        <v/>
      </c>
      <c r="R6935" s="24" t="str" cm="1">
        <f t="array" ref="R6935">IFERROR(IF($B6935=R$1, ($A6935+$C6935) - MAX(IF($B$2:$B6934=$B6935, $A$2:$A6934+$C$2:$C6934)), "")*24*60, "")</f>
        <v/>
      </c>
      <c r="S6935" s="24" t="str" cm="1">
        <f t="array" ref="S6935">IFERROR(IF($B6935=S$1, ($A6935+$C6935) - MAX(IF($B$2:$B6934=$B6935, $A$2:$A6934+$C$2:$C6934)), "")*24*60, "")</f>
        <v/>
      </c>
    </row>
    <row r="6936" spans="1:19" x14ac:dyDescent="0.2">
      <c r="A6936" s="12">
        <f t="shared" ref="A6936:C6936" si="1378">A6935</f>
        <v>45992</v>
      </c>
      <c r="B6936" s="5" t="str">
        <f t="shared" si="1378"/>
        <v>Northern Cardinal</v>
      </c>
      <c r="C6936" s="6">
        <f t="shared" si="1378"/>
        <v>0.28333333333333333</v>
      </c>
      <c r="D6936" s="5"/>
      <c r="E6936" s="5"/>
      <c r="F6936" s="5" t="s">
        <v>8</v>
      </c>
      <c r="G6936" s="15" t="s">
        <v>9</v>
      </c>
      <c r="H6936" s="24">
        <f t="shared" si="1308"/>
        <v>0</v>
      </c>
      <c r="I6936" s="24" cm="1">
        <f t="array" ref="I6936">IFERROR(IF($B6936=I$1, ($A6936+$C6936) - MAX(IF($B$2:$B6935=$B6936, $A$2:$A6935+$C$2:$C6935)), "")*24*60, "")</f>
        <v>0</v>
      </c>
      <c r="J6936" s="24" t="str" cm="1">
        <f t="array" ref="J6936">IFERROR(IF($B6936=J$1, ($A6936+$C6936) - MAX(IF($B$2:$B6935=$B6936, $A$2:$A6935+$C$2:$C6935)), "")*24*60, "")</f>
        <v/>
      </c>
      <c r="K6936" s="24" t="str" cm="1">
        <f t="array" ref="K6936">IFERROR(IF($B6936=K$1, ($A6936+$C6936) - MAX(IF($B$2:$B6935=$B6936, $A$2:$A6935+$C$2:$C6935)), "")*24*60, "")</f>
        <v/>
      </c>
      <c r="L6936" s="24" t="str" cm="1">
        <f t="array" ref="L6936">IFERROR(IF($B6936=L$1, ($A6936+$C6936) - MAX(IF($B$2:$B6935=$B6936, $A$2:$A6935+$C$2:$C6935)), "")*24*60, "")</f>
        <v/>
      </c>
      <c r="M6936" s="24" t="str" cm="1">
        <f t="array" ref="M6936">IFERROR(IF($B6936=M$1, ($A6936+$C6936) - MAX(IF($B$2:$B6935=$B6936, $A$2:$A6935+$C$2:$C6935)), "")*24*60, "")</f>
        <v/>
      </c>
      <c r="N6936" s="24" t="str" cm="1">
        <f t="array" ref="N6936">IFERROR(IF($B6936=N$1, ($A6936+$C6936) - MAX(IF($B$2:$B6935=$B6936, $A$2:$A6935+$C$2:$C6935)), "")*24*60, "")</f>
        <v/>
      </c>
      <c r="O6936" s="24" t="str" cm="1">
        <f t="array" ref="O6936">IFERROR(IF($B6936=O$1, ($A6936+$C6936) - MAX(IF($B$2:$B6935=$B6936, $A$2:$A6935+$C$2:$C6935)), "")*24*60, "")</f>
        <v/>
      </c>
      <c r="P6936" s="24" t="str" cm="1">
        <f t="array" ref="P6936">IFERROR(IF($B6936=P$1, ($A6936+$C6936) - MAX(IF($B$2:$B6935=$B6936, $A$2:$A6935+$C$2:$C6935)), "")*24*60, "")</f>
        <v/>
      </c>
      <c r="Q6936" s="24" t="str" cm="1">
        <f t="array" ref="Q6936">IFERROR(IF($B6936=Q$1, ($A6936+$C6936) - MAX(IF($B$2:$B6935=$B6936, $A$2:$A6935+$C$2:$C6935)), "")*24*60, "")</f>
        <v/>
      </c>
      <c r="R6936" s="24" t="str" cm="1">
        <f t="array" ref="R6936">IFERROR(IF($B6936=R$1, ($A6936+$C6936) - MAX(IF($B$2:$B6935=$B6936, $A$2:$A6935+$C$2:$C6935)), "")*24*60, "")</f>
        <v/>
      </c>
      <c r="S6936" s="24" t="str" cm="1">
        <f t="array" ref="S6936">IFERROR(IF($B6936=S$1, ($A6936+$C6936) - MAX(IF($B$2:$B6935=$B6936, $A$2:$A6935+$C$2:$C6935)), "")*24*60, "")</f>
        <v/>
      </c>
    </row>
    <row r="6937" spans="1:19" x14ac:dyDescent="0.2">
      <c r="A6937" s="12">
        <f t="shared" ref="A6937:C6937" si="1379">A6936</f>
        <v>45992</v>
      </c>
      <c r="B6937" s="5" t="str">
        <f t="shared" si="1379"/>
        <v>Northern Cardinal</v>
      </c>
      <c r="C6937" s="6">
        <f t="shared" si="1379"/>
        <v>0.28333333333333333</v>
      </c>
      <c r="D6937" s="5"/>
      <c r="E6937" s="5"/>
      <c r="F6937" s="5" t="s">
        <v>8</v>
      </c>
      <c r="G6937" s="15" t="s">
        <v>9</v>
      </c>
      <c r="H6937" s="24">
        <f t="shared" si="1308"/>
        <v>0</v>
      </c>
      <c r="I6937" s="24" cm="1">
        <f t="array" ref="I6937">IFERROR(IF($B6937=I$1, ($A6937+$C6937) - MAX(IF($B$2:$B6936=$B6937, $A$2:$A6936+$C$2:$C6936)), "")*24*60, "")</f>
        <v>0</v>
      </c>
      <c r="J6937" s="24" t="str" cm="1">
        <f t="array" ref="J6937">IFERROR(IF($B6937=J$1, ($A6937+$C6937) - MAX(IF($B$2:$B6936=$B6937, $A$2:$A6936+$C$2:$C6936)), "")*24*60, "")</f>
        <v/>
      </c>
      <c r="K6937" s="24" t="str" cm="1">
        <f t="array" ref="K6937">IFERROR(IF($B6937=K$1, ($A6937+$C6937) - MAX(IF($B$2:$B6936=$B6937, $A$2:$A6936+$C$2:$C6936)), "")*24*60, "")</f>
        <v/>
      </c>
      <c r="L6937" s="24" t="str" cm="1">
        <f t="array" ref="L6937">IFERROR(IF($B6937=L$1, ($A6937+$C6937) - MAX(IF($B$2:$B6936=$B6937, $A$2:$A6936+$C$2:$C6936)), "")*24*60, "")</f>
        <v/>
      </c>
      <c r="M6937" s="24" t="str" cm="1">
        <f t="array" ref="M6937">IFERROR(IF($B6937=M$1, ($A6937+$C6937) - MAX(IF($B$2:$B6936=$B6937, $A$2:$A6936+$C$2:$C6936)), "")*24*60, "")</f>
        <v/>
      </c>
      <c r="N6937" s="24" t="str" cm="1">
        <f t="array" ref="N6937">IFERROR(IF($B6937=N$1, ($A6937+$C6937) - MAX(IF($B$2:$B6936=$B6937, $A$2:$A6936+$C$2:$C6936)), "")*24*60, "")</f>
        <v/>
      </c>
      <c r="O6937" s="24" t="str" cm="1">
        <f t="array" ref="O6937">IFERROR(IF($B6937=O$1, ($A6937+$C6937) - MAX(IF($B$2:$B6936=$B6937, $A$2:$A6936+$C$2:$C6936)), "")*24*60, "")</f>
        <v/>
      </c>
      <c r="P6937" s="24" t="str" cm="1">
        <f t="array" ref="P6937">IFERROR(IF($B6937=P$1, ($A6937+$C6937) - MAX(IF($B$2:$B6936=$B6937, $A$2:$A6936+$C$2:$C6936)), "")*24*60, "")</f>
        <v/>
      </c>
      <c r="Q6937" s="24" t="str" cm="1">
        <f t="array" ref="Q6937">IFERROR(IF($B6937=Q$1, ($A6937+$C6937) - MAX(IF($B$2:$B6936=$B6937, $A$2:$A6936+$C$2:$C6936)), "")*24*60, "")</f>
        <v/>
      </c>
      <c r="R6937" s="24" t="str" cm="1">
        <f t="array" ref="R6937">IFERROR(IF($B6937=R$1, ($A6937+$C6937) - MAX(IF($B$2:$B6936=$B6937, $A$2:$A6936+$C$2:$C6936)), "")*24*60, "")</f>
        <v/>
      </c>
      <c r="S6937" s="24" t="str" cm="1">
        <f t="array" ref="S6937">IFERROR(IF($B6937=S$1, ($A6937+$C6937) - MAX(IF($B$2:$B6936=$B6937, $A$2:$A6936+$C$2:$C6936)), "")*24*60, "")</f>
        <v/>
      </c>
    </row>
    <row r="6938" spans="1:19" x14ac:dyDescent="0.2">
      <c r="A6938" s="12">
        <f t="shared" ref="A6938:C6938" si="1380">A6937</f>
        <v>45992</v>
      </c>
      <c r="B6938" s="5" t="str">
        <f t="shared" si="1380"/>
        <v>Northern Cardinal</v>
      </c>
      <c r="C6938" s="6">
        <f t="shared" si="1380"/>
        <v>0.28333333333333333</v>
      </c>
      <c r="D6938" s="5"/>
      <c r="E6938" s="5"/>
      <c r="F6938" s="5" t="s">
        <v>8</v>
      </c>
      <c r="G6938" s="15" t="s">
        <v>9</v>
      </c>
      <c r="H6938" s="24">
        <f t="shared" si="1308"/>
        <v>0</v>
      </c>
      <c r="I6938" s="24" cm="1">
        <f t="array" ref="I6938">IFERROR(IF($B6938=I$1, ($A6938+$C6938) - MAX(IF($B$2:$B6937=$B6938, $A$2:$A6937+$C$2:$C6937)), "")*24*60, "")</f>
        <v>0</v>
      </c>
      <c r="J6938" s="24" t="str" cm="1">
        <f t="array" ref="J6938">IFERROR(IF($B6938=J$1, ($A6938+$C6938) - MAX(IF($B$2:$B6937=$B6938, $A$2:$A6937+$C$2:$C6937)), "")*24*60, "")</f>
        <v/>
      </c>
      <c r="K6938" s="24" t="str" cm="1">
        <f t="array" ref="K6938">IFERROR(IF($B6938=K$1, ($A6938+$C6938) - MAX(IF($B$2:$B6937=$B6938, $A$2:$A6937+$C$2:$C6937)), "")*24*60, "")</f>
        <v/>
      </c>
      <c r="L6938" s="24" t="str" cm="1">
        <f t="array" ref="L6938">IFERROR(IF($B6938=L$1, ($A6938+$C6938) - MAX(IF($B$2:$B6937=$B6938, $A$2:$A6937+$C$2:$C6937)), "")*24*60, "")</f>
        <v/>
      </c>
      <c r="M6938" s="24" t="str" cm="1">
        <f t="array" ref="M6938">IFERROR(IF($B6938=M$1, ($A6938+$C6938) - MAX(IF($B$2:$B6937=$B6938, $A$2:$A6937+$C$2:$C6937)), "")*24*60, "")</f>
        <v/>
      </c>
      <c r="N6938" s="24" t="str" cm="1">
        <f t="array" ref="N6938">IFERROR(IF($B6938=N$1, ($A6938+$C6938) - MAX(IF($B$2:$B6937=$B6938, $A$2:$A6937+$C$2:$C6937)), "")*24*60, "")</f>
        <v/>
      </c>
      <c r="O6938" s="24" t="str" cm="1">
        <f t="array" ref="O6938">IFERROR(IF($B6938=O$1, ($A6938+$C6938) - MAX(IF($B$2:$B6937=$B6938, $A$2:$A6937+$C$2:$C6937)), "")*24*60, "")</f>
        <v/>
      </c>
      <c r="P6938" s="24" t="str" cm="1">
        <f t="array" ref="P6938">IFERROR(IF($B6938=P$1, ($A6938+$C6938) - MAX(IF($B$2:$B6937=$B6938, $A$2:$A6937+$C$2:$C6937)), "")*24*60, "")</f>
        <v/>
      </c>
      <c r="Q6938" s="24" t="str" cm="1">
        <f t="array" ref="Q6938">IFERROR(IF($B6938=Q$1, ($A6938+$C6938) - MAX(IF($B$2:$B6937=$B6938, $A$2:$A6937+$C$2:$C6937)), "")*24*60, "")</f>
        <v/>
      </c>
      <c r="R6938" s="24" t="str" cm="1">
        <f t="array" ref="R6938">IFERROR(IF($B6938=R$1, ($A6938+$C6938) - MAX(IF($B$2:$B6937=$B6938, $A$2:$A6937+$C$2:$C6937)), "")*24*60, "")</f>
        <v/>
      </c>
      <c r="S6938" s="24" t="str" cm="1">
        <f t="array" ref="S6938">IFERROR(IF($B6938=S$1, ($A6938+$C6938) - MAX(IF($B$2:$B6937=$B6938, $A$2:$A6937+$C$2:$C6937)), "")*24*60, "")</f>
        <v/>
      </c>
    </row>
    <row r="6939" spans="1:19" x14ac:dyDescent="0.2">
      <c r="A6939" s="12">
        <f t="shared" ref="A6939:C6939" si="1381">A6938</f>
        <v>45992</v>
      </c>
      <c r="B6939" s="5" t="str">
        <f t="shared" si="1381"/>
        <v>Northern Cardinal</v>
      </c>
      <c r="C6939" s="6">
        <f t="shared" si="1381"/>
        <v>0.28333333333333333</v>
      </c>
      <c r="D6939" s="5"/>
      <c r="E6939" s="5"/>
      <c r="F6939" s="5" t="s">
        <v>8</v>
      </c>
      <c r="G6939" s="15" t="s">
        <v>9</v>
      </c>
      <c r="H6939" s="24">
        <f t="shared" si="1308"/>
        <v>0</v>
      </c>
      <c r="I6939" s="24" cm="1">
        <f t="array" ref="I6939">IFERROR(IF($B6939=I$1, ($A6939+$C6939) - MAX(IF($B$2:$B6938=$B6939, $A$2:$A6938+$C$2:$C6938)), "")*24*60, "")</f>
        <v>0</v>
      </c>
      <c r="J6939" s="24" t="str" cm="1">
        <f t="array" ref="J6939">IFERROR(IF($B6939=J$1, ($A6939+$C6939) - MAX(IF($B$2:$B6938=$B6939, $A$2:$A6938+$C$2:$C6938)), "")*24*60, "")</f>
        <v/>
      </c>
      <c r="K6939" s="24" t="str" cm="1">
        <f t="array" ref="K6939">IFERROR(IF($B6939=K$1, ($A6939+$C6939) - MAX(IF($B$2:$B6938=$B6939, $A$2:$A6938+$C$2:$C6938)), "")*24*60, "")</f>
        <v/>
      </c>
      <c r="L6939" s="24" t="str" cm="1">
        <f t="array" ref="L6939">IFERROR(IF($B6939=L$1, ($A6939+$C6939) - MAX(IF($B$2:$B6938=$B6939, $A$2:$A6938+$C$2:$C6938)), "")*24*60, "")</f>
        <v/>
      </c>
      <c r="M6939" s="24" t="str" cm="1">
        <f t="array" ref="M6939">IFERROR(IF($B6939=M$1, ($A6939+$C6939) - MAX(IF($B$2:$B6938=$B6939, $A$2:$A6938+$C$2:$C6938)), "")*24*60, "")</f>
        <v/>
      </c>
      <c r="N6939" s="24" t="str" cm="1">
        <f t="array" ref="N6939">IFERROR(IF($B6939=N$1, ($A6939+$C6939) - MAX(IF($B$2:$B6938=$B6939, $A$2:$A6938+$C$2:$C6938)), "")*24*60, "")</f>
        <v/>
      </c>
      <c r="O6939" s="24" t="str" cm="1">
        <f t="array" ref="O6939">IFERROR(IF($B6939=O$1, ($A6939+$C6939) - MAX(IF($B$2:$B6938=$B6939, $A$2:$A6938+$C$2:$C6938)), "")*24*60, "")</f>
        <v/>
      </c>
      <c r="P6939" s="24" t="str" cm="1">
        <f t="array" ref="P6939">IFERROR(IF($B6939=P$1, ($A6939+$C6939) - MAX(IF($B$2:$B6938=$B6939, $A$2:$A6938+$C$2:$C6938)), "")*24*60, "")</f>
        <v/>
      </c>
      <c r="Q6939" s="24" t="str" cm="1">
        <f t="array" ref="Q6939">IFERROR(IF($B6939=Q$1, ($A6939+$C6939) - MAX(IF($B$2:$B6938=$B6939, $A$2:$A6938+$C$2:$C6938)), "")*24*60, "")</f>
        <v/>
      </c>
      <c r="R6939" s="24" t="str" cm="1">
        <f t="array" ref="R6939">IFERROR(IF($B6939=R$1, ($A6939+$C6939) - MAX(IF($B$2:$B6938=$B6939, $A$2:$A6938+$C$2:$C6938)), "")*24*60, "")</f>
        <v/>
      </c>
      <c r="S6939" s="24" t="str" cm="1">
        <f t="array" ref="S6939">IFERROR(IF($B6939=S$1, ($A6939+$C6939) - MAX(IF($B$2:$B6938=$B6939, $A$2:$A6938+$C$2:$C6938)), "")*24*60, "")</f>
        <v/>
      </c>
    </row>
    <row r="6940" spans="1:19" x14ac:dyDescent="0.2">
      <c r="A6940" s="12">
        <f t="shared" ref="A6940:C6940" si="1382">A6939</f>
        <v>45992</v>
      </c>
      <c r="B6940" s="5" t="str">
        <f t="shared" si="1382"/>
        <v>Northern Cardinal</v>
      </c>
      <c r="C6940" s="6">
        <f t="shared" si="1382"/>
        <v>0.28333333333333333</v>
      </c>
      <c r="D6940" s="5"/>
      <c r="E6940" s="5"/>
      <c r="F6940" s="5" t="s">
        <v>8</v>
      </c>
      <c r="G6940" s="15" t="s">
        <v>9</v>
      </c>
      <c r="H6940" s="24">
        <f t="shared" si="1308"/>
        <v>0</v>
      </c>
      <c r="I6940" s="24" cm="1">
        <f t="array" ref="I6940">IFERROR(IF($B6940=I$1, ($A6940+$C6940) - MAX(IF($B$2:$B6939=$B6940, $A$2:$A6939+$C$2:$C6939)), "")*24*60, "")</f>
        <v>0</v>
      </c>
      <c r="J6940" s="24" t="str" cm="1">
        <f t="array" ref="J6940">IFERROR(IF($B6940=J$1, ($A6940+$C6940) - MAX(IF($B$2:$B6939=$B6940, $A$2:$A6939+$C$2:$C6939)), "")*24*60, "")</f>
        <v/>
      </c>
      <c r="K6940" s="24" t="str" cm="1">
        <f t="array" ref="K6940">IFERROR(IF($B6940=K$1, ($A6940+$C6940) - MAX(IF($B$2:$B6939=$B6940, $A$2:$A6939+$C$2:$C6939)), "")*24*60, "")</f>
        <v/>
      </c>
      <c r="L6940" s="24" t="str" cm="1">
        <f t="array" ref="L6940">IFERROR(IF($B6940=L$1, ($A6940+$C6940) - MAX(IF($B$2:$B6939=$B6940, $A$2:$A6939+$C$2:$C6939)), "")*24*60, "")</f>
        <v/>
      </c>
      <c r="M6940" s="24" t="str" cm="1">
        <f t="array" ref="M6940">IFERROR(IF($B6940=M$1, ($A6940+$C6940) - MAX(IF($B$2:$B6939=$B6940, $A$2:$A6939+$C$2:$C6939)), "")*24*60, "")</f>
        <v/>
      </c>
      <c r="N6940" s="24" t="str" cm="1">
        <f t="array" ref="N6940">IFERROR(IF($B6940=N$1, ($A6940+$C6940) - MAX(IF($B$2:$B6939=$B6940, $A$2:$A6939+$C$2:$C6939)), "")*24*60, "")</f>
        <v/>
      </c>
      <c r="O6940" s="24" t="str" cm="1">
        <f t="array" ref="O6940">IFERROR(IF($B6940=O$1, ($A6940+$C6940) - MAX(IF($B$2:$B6939=$B6940, $A$2:$A6939+$C$2:$C6939)), "")*24*60, "")</f>
        <v/>
      </c>
      <c r="P6940" s="24" t="str" cm="1">
        <f t="array" ref="P6940">IFERROR(IF($B6940=P$1, ($A6940+$C6940) - MAX(IF($B$2:$B6939=$B6940, $A$2:$A6939+$C$2:$C6939)), "")*24*60, "")</f>
        <v/>
      </c>
      <c r="Q6940" s="24" t="str" cm="1">
        <f t="array" ref="Q6940">IFERROR(IF($B6940=Q$1, ($A6940+$C6940) - MAX(IF($B$2:$B6939=$B6940, $A$2:$A6939+$C$2:$C6939)), "")*24*60, "")</f>
        <v/>
      </c>
      <c r="R6940" s="24" t="str" cm="1">
        <f t="array" ref="R6940">IFERROR(IF($B6940=R$1, ($A6940+$C6940) - MAX(IF($B$2:$B6939=$B6940, $A$2:$A6939+$C$2:$C6939)), "")*24*60, "")</f>
        <v/>
      </c>
      <c r="S6940" s="24" t="str" cm="1">
        <f t="array" ref="S6940">IFERROR(IF($B6940=S$1, ($A6940+$C6940) - MAX(IF($B$2:$B6939=$B6940, $A$2:$A6939+$C$2:$C6939)), "")*24*60, "")</f>
        <v/>
      </c>
    </row>
    <row r="6941" spans="1:19" x14ac:dyDescent="0.2">
      <c r="A6941" s="12">
        <f t="shared" ref="A6941:C6941" si="1383">A6940</f>
        <v>45992</v>
      </c>
      <c r="B6941" s="5" t="str">
        <f t="shared" si="1383"/>
        <v>Northern Cardinal</v>
      </c>
      <c r="C6941" s="6">
        <f t="shared" si="1383"/>
        <v>0.28333333333333333</v>
      </c>
      <c r="D6941" s="5"/>
      <c r="E6941" s="5"/>
      <c r="F6941" s="5" t="s">
        <v>8</v>
      </c>
      <c r="G6941" s="15" t="s">
        <v>9</v>
      </c>
      <c r="H6941" s="24">
        <f t="shared" si="1308"/>
        <v>0</v>
      </c>
      <c r="I6941" s="24" cm="1">
        <f t="array" ref="I6941">IFERROR(IF($B6941=I$1, ($A6941+$C6941) - MAX(IF($B$2:$B6940=$B6941, $A$2:$A6940+$C$2:$C6940)), "")*24*60, "")</f>
        <v>0</v>
      </c>
      <c r="J6941" s="24" t="str" cm="1">
        <f t="array" ref="J6941">IFERROR(IF($B6941=J$1, ($A6941+$C6941) - MAX(IF($B$2:$B6940=$B6941, $A$2:$A6940+$C$2:$C6940)), "")*24*60, "")</f>
        <v/>
      </c>
      <c r="K6941" s="24" t="str" cm="1">
        <f t="array" ref="K6941">IFERROR(IF($B6941=K$1, ($A6941+$C6941) - MAX(IF($B$2:$B6940=$B6941, $A$2:$A6940+$C$2:$C6940)), "")*24*60, "")</f>
        <v/>
      </c>
      <c r="L6941" s="24" t="str" cm="1">
        <f t="array" ref="L6941">IFERROR(IF($B6941=L$1, ($A6941+$C6941) - MAX(IF($B$2:$B6940=$B6941, $A$2:$A6940+$C$2:$C6940)), "")*24*60, "")</f>
        <v/>
      </c>
      <c r="M6941" s="24" t="str" cm="1">
        <f t="array" ref="M6941">IFERROR(IF($B6941=M$1, ($A6941+$C6941) - MAX(IF($B$2:$B6940=$B6941, $A$2:$A6940+$C$2:$C6940)), "")*24*60, "")</f>
        <v/>
      </c>
      <c r="N6941" s="24" t="str" cm="1">
        <f t="array" ref="N6941">IFERROR(IF($B6941=N$1, ($A6941+$C6941) - MAX(IF($B$2:$B6940=$B6941, $A$2:$A6940+$C$2:$C6940)), "")*24*60, "")</f>
        <v/>
      </c>
      <c r="O6941" s="24" t="str" cm="1">
        <f t="array" ref="O6941">IFERROR(IF($B6941=O$1, ($A6941+$C6941) - MAX(IF($B$2:$B6940=$B6941, $A$2:$A6940+$C$2:$C6940)), "")*24*60, "")</f>
        <v/>
      </c>
      <c r="P6941" s="24" t="str" cm="1">
        <f t="array" ref="P6941">IFERROR(IF($B6941=P$1, ($A6941+$C6941) - MAX(IF($B$2:$B6940=$B6941, $A$2:$A6940+$C$2:$C6940)), "")*24*60, "")</f>
        <v/>
      </c>
      <c r="Q6941" s="24" t="str" cm="1">
        <f t="array" ref="Q6941">IFERROR(IF($B6941=Q$1, ($A6941+$C6941) - MAX(IF($B$2:$B6940=$B6941, $A$2:$A6940+$C$2:$C6940)), "")*24*60, "")</f>
        <v/>
      </c>
      <c r="R6941" s="24" t="str" cm="1">
        <f t="array" ref="R6941">IFERROR(IF($B6941=R$1, ($A6941+$C6941) - MAX(IF($B$2:$B6940=$B6941, $A$2:$A6940+$C$2:$C6940)), "")*24*60, "")</f>
        <v/>
      </c>
      <c r="S6941" s="24" t="str" cm="1">
        <f t="array" ref="S6941">IFERROR(IF($B6941=S$1, ($A6941+$C6941) - MAX(IF($B$2:$B6940=$B6941, $A$2:$A6940+$C$2:$C6940)), "")*24*60, "")</f>
        <v/>
      </c>
    </row>
    <row r="6942" spans="1:19" x14ac:dyDescent="0.2">
      <c r="A6942" s="12">
        <f t="shared" ref="A6942:C6942" si="1384">A6941</f>
        <v>45992</v>
      </c>
      <c r="B6942" s="5" t="str">
        <f t="shared" si="1384"/>
        <v>Northern Cardinal</v>
      </c>
      <c r="C6942" s="6">
        <f t="shared" si="1384"/>
        <v>0.28333333333333333</v>
      </c>
      <c r="D6942" s="5"/>
      <c r="E6942" s="5"/>
      <c r="F6942" s="5" t="s">
        <v>8</v>
      </c>
      <c r="G6942" s="15" t="s">
        <v>9</v>
      </c>
      <c r="H6942" s="24">
        <f t="shared" si="1308"/>
        <v>0</v>
      </c>
      <c r="I6942" s="24" cm="1">
        <f t="array" ref="I6942">IFERROR(IF($B6942=I$1, ($A6942+$C6942) - MAX(IF($B$2:$B6941=$B6942, $A$2:$A6941+$C$2:$C6941)), "")*24*60, "")</f>
        <v>0</v>
      </c>
      <c r="J6942" s="24" t="str" cm="1">
        <f t="array" ref="J6942">IFERROR(IF($B6942=J$1, ($A6942+$C6942) - MAX(IF($B$2:$B6941=$B6942, $A$2:$A6941+$C$2:$C6941)), "")*24*60, "")</f>
        <v/>
      </c>
      <c r="K6942" s="24" t="str" cm="1">
        <f t="array" ref="K6942">IFERROR(IF($B6942=K$1, ($A6942+$C6942) - MAX(IF($B$2:$B6941=$B6942, $A$2:$A6941+$C$2:$C6941)), "")*24*60, "")</f>
        <v/>
      </c>
      <c r="L6942" s="24" t="str" cm="1">
        <f t="array" ref="L6942">IFERROR(IF($B6942=L$1, ($A6942+$C6942) - MAX(IF($B$2:$B6941=$B6942, $A$2:$A6941+$C$2:$C6941)), "")*24*60, "")</f>
        <v/>
      </c>
      <c r="M6942" s="24" t="str" cm="1">
        <f t="array" ref="M6942">IFERROR(IF($B6942=M$1, ($A6942+$C6942) - MAX(IF($B$2:$B6941=$B6942, $A$2:$A6941+$C$2:$C6941)), "")*24*60, "")</f>
        <v/>
      </c>
      <c r="N6942" s="24" t="str" cm="1">
        <f t="array" ref="N6942">IFERROR(IF($B6942=N$1, ($A6942+$C6942) - MAX(IF($B$2:$B6941=$B6942, $A$2:$A6941+$C$2:$C6941)), "")*24*60, "")</f>
        <v/>
      </c>
      <c r="O6942" s="24" t="str" cm="1">
        <f t="array" ref="O6942">IFERROR(IF($B6942=O$1, ($A6942+$C6942) - MAX(IF($B$2:$B6941=$B6942, $A$2:$A6941+$C$2:$C6941)), "")*24*60, "")</f>
        <v/>
      </c>
      <c r="P6942" s="24" t="str" cm="1">
        <f t="array" ref="P6942">IFERROR(IF($B6942=P$1, ($A6942+$C6942) - MAX(IF($B$2:$B6941=$B6942, $A$2:$A6941+$C$2:$C6941)), "")*24*60, "")</f>
        <v/>
      </c>
      <c r="Q6942" s="24" t="str" cm="1">
        <f t="array" ref="Q6942">IFERROR(IF($B6942=Q$1, ($A6942+$C6942) - MAX(IF($B$2:$B6941=$B6942, $A$2:$A6941+$C$2:$C6941)), "")*24*60, "")</f>
        <v/>
      </c>
      <c r="R6942" s="24" t="str" cm="1">
        <f t="array" ref="R6942">IFERROR(IF($B6942=R$1, ($A6942+$C6942) - MAX(IF($B$2:$B6941=$B6942, $A$2:$A6941+$C$2:$C6941)), "")*24*60, "")</f>
        <v/>
      </c>
      <c r="S6942" s="24" t="str" cm="1">
        <f t="array" ref="S6942">IFERROR(IF($B6942=S$1, ($A6942+$C6942) - MAX(IF($B$2:$B6941=$B6942, $A$2:$A6941+$C$2:$C6941)), "")*24*60, "")</f>
        <v/>
      </c>
    </row>
    <row r="6943" spans="1:19" x14ac:dyDescent="0.2">
      <c r="A6943" s="12">
        <f t="shared" ref="A6943:C6943" si="1385">A6942</f>
        <v>45992</v>
      </c>
      <c r="B6943" s="5" t="str">
        <f t="shared" si="1385"/>
        <v>Northern Cardinal</v>
      </c>
      <c r="C6943" s="6">
        <f t="shared" si="1385"/>
        <v>0.28333333333333333</v>
      </c>
      <c r="D6943" s="5"/>
      <c r="E6943" s="5"/>
      <c r="F6943" s="5" t="s">
        <v>8</v>
      </c>
      <c r="G6943" s="15" t="s">
        <v>9</v>
      </c>
      <c r="H6943" s="24">
        <f t="shared" si="1308"/>
        <v>0</v>
      </c>
      <c r="I6943" s="24" cm="1">
        <f t="array" ref="I6943">IFERROR(IF($B6943=I$1, ($A6943+$C6943) - MAX(IF($B$2:$B6942=$B6943, $A$2:$A6942+$C$2:$C6942)), "")*24*60, "")</f>
        <v>0</v>
      </c>
      <c r="J6943" s="24" t="str" cm="1">
        <f t="array" ref="J6943">IFERROR(IF($B6943=J$1, ($A6943+$C6943) - MAX(IF($B$2:$B6942=$B6943, $A$2:$A6942+$C$2:$C6942)), "")*24*60, "")</f>
        <v/>
      </c>
      <c r="K6943" s="24" t="str" cm="1">
        <f t="array" ref="K6943">IFERROR(IF($B6943=K$1, ($A6943+$C6943) - MAX(IF($B$2:$B6942=$B6943, $A$2:$A6942+$C$2:$C6942)), "")*24*60, "")</f>
        <v/>
      </c>
      <c r="L6943" s="24" t="str" cm="1">
        <f t="array" ref="L6943">IFERROR(IF($B6943=L$1, ($A6943+$C6943) - MAX(IF($B$2:$B6942=$B6943, $A$2:$A6942+$C$2:$C6942)), "")*24*60, "")</f>
        <v/>
      </c>
      <c r="M6943" s="24" t="str" cm="1">
        <f t="array" ref="M6943">IFERROR(IF($B6943=M$1, ($A6943+$C6943) - MAX(IF($B$2:$B6942=$B6943, $A$2:$A6942+$C$2:$C6942)), "")*24*60, "")</f>
        <v/>
      </c>
      <c r="N6943" s="24" t="str" cm="1">
        <f t="array" ref="N6943">IFERROR(IF($B6943=N$1, ($A6943+$C6943) - MAX(IF($B$2:$B6942=$B6943, $A$2:$A6942+$C$2:$C6942)), "")*24*60, "")</f>
        <v/>
      </c>
      <c r="O6943" s="24" t="str" cm="1">
        <f t="array" ref="O6943">IFERROR(IF($B6943=O$1, ($A6943+$C6943) - MAX(IF($B$2:$B6942=$B6943, $A$2:$A6942+$C$2:$C6942)), "")*24*60, "")</f>
        <v/>
      </c>
      <c r="P6943" s="24" t="str" cm="1">
        <f t="array" ref="P6943">IFERROR(IF($B6943=P$1, ($A6943+$C6943) - MAX(IF($B$2:$B6942=$B6943, $A$2:$A6942+$C$2:$C6942)), "")*24*60, "")</f>
        <v/>
      </c>
      <c r="Q6943" s="24" t="str" cm="1">
        <f t="array" ref="Q6943">IFERROR(IF($B6943=Q$1, ($A6943+$C6943) - MAX(IF($B$2:$B6942=$B6943, $A$2:$A6942+$C$2:$C6942)), "")*24*60, "")</f>
        <v/>
      </c>
      <c r="R6943" s="24" t="str" cm="1">
        <f t="array" ref="R6943">IFERROR(IF($B6943=R$1, ($A6943+$C6943) - MAX(IF($B$2:$B6942=$B6943, $A$2:$A6942+$C$2:$C6942)), "")*24*60, "")</f>
        <v/>
      </c>
      <c r="S6943" s="24" t="str" cm="1">
        <f t="array" ref="S6943">IFERROR(IF($B6943=S$1, ($A6943+$C6943) - MAX(IF($B$2:$B6942=$B6943, $A$2:$A6942+$C$2:$C6942)), "")*24*60, "")</f>
        <v/>
      </c>
    </row>
    <row r="6944" spans="1:19" x14ac:dyDescent="0.2">
      <c r="A6944" s="12">
        <f t="shared" ref="A6944:C6944" si="1386">A6943</f>
        <v>45992</v>
      </c>
      <c r="B6944" s="5" t="str">
        <f t="shared" si="1386"/>
        <v>Northern Cardinal</v>
      </c>
      <c r="C6944" s="6">
        <f t="shared" si="1386"/>
        <v>0.28333333333333333</v>
      </c>
      <c r="D6944" s="5"/>
      <c r="E6944" s="5"/>
      <c r="F6944" s="5" t="s">
        <v>8</v>
      </c>
      <c r="G6944" s="15" t="s">
        <v>9</v>
      </c>
      <c r="H6944" s="24">
        <f t="shared" si="1308"/>
        <v>0</v>
      </c>
      <c r="I6944" s="24" cm="1">
        <f t="array" ref="I6944">IFERROR(IF($B6944=I$1, ($A6944+$C6944) - MAX(IF($B$2:$B6943=$B6944, $A$2:$A6943+$C$2:$C6943)), "")*24*60, "")</f>
        <v>0</v>
      </c>
      <c r="J6944" s="24" t="str" cm="1">
        <f t="array" ref="J6944">IFERROR(IF($B6944=J$1, ($A6944+$C6944) - MAX(IF($B$2:$B6943=$B6944, $A$2:$A6943+$C$2:$C6943)), "")*24*60, "")</f>
        <v/>
      </c>
      <c r="K6944" s="24" t="str" cm="1">
        <f t="array" ref="K6944">IFERROR(IF($B6944=K$1, ($A6944+$C6944) - MAX(IF($B$2:$B6943=$B6944, $A$2:$A6943+$C$2:$C6943)), "")*24*60, "")</f>
        <v/>
      </c>
      <c r="L6944" s="24" t="str" cm="1">
        <f t="array" ref="L6944">IFERROR(IF($B6944=L$1, ($A6944+$C6944) - MAX(IF($B$2:$B6943=$B6944, $A$2:$A6943+$C$2:$C6943)), "")*24*60, "")</f>
        <v/>
      </c>
      <c r="M6944" s="24" t="str" cm="1">
        <f t="array" ref="M6944">IFERROR(IF($B6944=M$1, ($A6944+$C6944) - MAX(IF($B$2:$B6943=$B6944, $A$2:$A6943+$C$2:$C6943)), "")*24*60, "")</f>
        <v/>
      </c>
      <c r="N6944" s="24" t="str" cm="1">
        <f t="array" ref="N6944">IFERROR(IF($B6944=N$1, ($A6944+$C6944) - MAX(IF($B$2:$B6943=$B6944, $A$2:$A6943+$C$2:$C6943)), "")*24*60, "")</f>
        <v/>
      </c>
      <c r="O6944" s="24" t="str" cm="1">
        <f t="array" ref="O6944">IFERROR(IF($B6944=O$1, ($A6944+$C6944) - MAX(IF($B$2:$B6943=$B6944, $A$2:$A6943+$C$2:$C6943)), "")*24*60, "")</f>
        <v/>
      </c>
      <c r="P6944" s="24" t="str" cm="1">
        <f t="array" ref="P6944">IFERROR(IF($B6944=P$1, ($A6944+$C6944) - MAX(IF($B$2:$B6943=$B6944, $A$2:$A6943+$C$2:$C6943)), "")*24*60, "")</f>
        <v/>
      </c>
      <c r="Q6944" s="24" t="str" cm="1">
        <f t="array" ref="Q6944">IFERROR(IF($B6944=Q$1, ($A6944+$C6944) - MAX(IF($B$2:$B6943=$B6944, $A$2:$A6943+$C$2:$C6943)), "")*24*60, "")</f>
        <v/>
      </c>
      <c r="R6944" s="24" t="str" cm="1">
        <f t="array" ref="R6944">IFERROR(IF($B6944=R$1, ($A6944+$C6944) - MAX(IF($B$2:$B6943=$B6944, $A$2:$A6943+$C$2:$C6943)), "")*24*60, "")</f>
        <v/>
      </c>
      <c r="S6944" s="24" t="str" cm="1">
        <f t="array" ref="S6944">IFERROR(IF($B6944=S$1, ($A6944+$C6944) - MAX(IF($B$2:$B6943=$B6944, $A$2:$A6943+$C$2:$C6943)), "")*24*60, "")</f>
        <v/>
      </c>
    </row>
    <row r="6945" spans="1:19" x14ac:dyDescent="0.2">
      <c r="A6945" s="12">
        <f t="shared" ref="A6945:C6945" si="1387">A6944</f>
        <v>45992</v>
      </c>
      <c r="B6945" s="5" t="str">
        <f t="shared" si="1387"/>
        <v>Northern Cardinal</v>
      </c>
      <c r="C6945" s="6">
        <f t="shared" si="1387"/>
        <v>0.28333333333333333</v>
      </c>
      <c r="D6945" s="5"/>
      <c r="E6945" s="5"/>
      <c r="F6945" s="5" t="s">
        <v>8</v>
      </c>
      <c r="G6945" s="15" t="s">
        <v>9</v>
      </c>
      <c r="H6945" s="24">
        <f t="shared" si="1308"/>
        <v>0</v>
      </c>
      <c r="I6945" s="24" cm="1">
        <f t="array" ref="I6945">IFERROR(IF($B6945=I$1, ($A6945+$C6945) - MAX(IF($B$2:$B6944=$B6945, $A$2:$A6944+$C$2:$C6944)), "")*24*60, "")</f>
        <v>0</v>
      </c>
      <c r="J6945" s="24" t="str" cm="1">
        <f t="array" ref="J6945">IFERROR(IF($B6945=J$1, ($A6945+$C6945) - MAX(IF($B$2:$B6944=$B6945, $A$2:$A6944+$C$2:$C6944)), "")*24*60, "")</f>
        <v/>
      </c>
      <c r="K6945" s="24" t="str" cm="1">
        <f t="array" ref="K6945">IFERROR(IF($B6945=K$1, ($A6945+$C6945) - MAX(IF($B$2:$B6944=$B6945, $A$2:$A6944+$C$2:$C6944)), "")*24*60, "")</f>
        <v/>
      </c>
      <c r="L6945" s="24" t="str" cm="1">
        <f t="array" ref="L6945">IFERROR(IF($B6945=L$1, ($A6945+$C6945) - MAX(IF($B$2:$B6944=$B6945, $A$2:$A6944+$C$2:$C6944)), "")*24*60, "")</f>
        <v/>
      </c>
      <c r="M6945" s="24" t="str" cm="1">
        <f t="array" ref="M6945">IFERROR(IF($B6945=M$1, ($A6945+$C6945) - MAX(IF($B$2:$B6944=$B6945, $A$2:$A6944+$C$2:$C6944)), "")*24*60, "")</f>
        <v/>
      </c>
      <c r="N6945" s="24" t="str" cm="1">
        <f t="array" ref="N6945">IFERROR(IF($B6945=N$1, ($A6945+$C6945) - MAX(IF($B$2:$B6944=$B6945, $A$2:$A6944+$C$2:$C6944)), "")*24*60, "")</f>
        <v/>
      </c>
      <c r="O6945" s="24" t="str" cm="1">
        <f t="array" ref="O6945">IFERROR(IF($B6945=O$1, ($A6945+$C6945) - MAX(IF($B$2:$B6944=$B6945, $A$2:$A6944+$C$2:$C6944)), "")*24*60, "")</f>
        <v/>
      </c>
      <c r="P6945" s="24" t="str" cm="1">
        <f t="array" ref="P6945">IFERROR(IF($B6945=P$1, ($A6945+$C6945) - MAX(IF($B$2:$B6944=$B6945, $A$2:$A6944+$C$2:$C6944)), "")*24*60, "")</f>
        <v/>
      </c>
      <c r="Q6945" s="24" t="str" cm="1">
        <f t="array" ref="Q6945">IFERROR(IF($B6945=Q$1, ($A6945+$C6945) - MAX(IF($B$2:$B6944=$B6945, $A$2:$A6944+$C$2:$C6944)), "")*24*60, "")</f>
        <v/>
      </c>
      <c r="R6945" s="24" t="str" cm="1">
        <f t="array" ref="R6945">IFERROR(IF($B6945=R$1, ($A6945+$C6945) - MAX(IF($B$2:$B6944=$B6945, $A$2:$A6944+$C$2:$C6944)), "")*24*60, "")</f>
        <v/>
      </c>
      <c r="S6945" s="24" t="str" cm="1">
        <f t="array" ref="S6945">IFERROR(IF($B6945=S$1, ($A6945+$C6945) - MAX(IF($B$2:$B6944=$B6945, $A$2:$A6944+$C$2:$C6944)), "")*24*60, "")</f>
        <v/>
      </c>
    </row>
    <row r="6946" spans="1:19" x14ac:dyDescent="0.2">
      <c r="A6946" s="12">
        <f t="shared" ref="A6946:C6946" si="1388">A6945</f>
        <v>45992</v>
      </c>
      <c r="B6946" s="5" t="str">
        <f t="shared" si="1388"/>
        <v>Northern Cardinal</v>
      </c>
      <c r="C6946" s="6">
        <f t="shared" si="1388"/>
        <v>0.28333333333333333</v>
      </c>
      <c r="D6946" s="5"/>
      <c r="E6946" s="5"/>
      <c r="F6946" s="5" t="s">
        <v>8</v>
      </c>
      <c r="G6946" s="15" t="s">
        <v>9</v>
      </c>
      <c r="H6946" s="24">
        <f t="shared" si="1308"/>
        <v>0</v>
      </c>
      <c r="I6946" s="24" cm="1">
        <f t="array" ref="I6946">IFERROR(IF($B6946=I$1, ($A6946+$C6946) - MAX(IF($B$2:$B6945=$B6946, $A$2:$A6945+$C$2:$C6945)), "")*24*60, "")</f>
        <v>0</v>
      </c>
      <c r="J6946" s="24" t="str" cm="1">
        <f t="array" ref="J6946">IFERROR(IF($B6946=J$1, ($A6946+$C6946) - MAX(IF($B$2:$B6945=$B6946, $A$2:$A6945+$C$2:$C6945)), "")*24*60, "")</f>
        <v/>
      </c>
      <c r="K6946" s="24" t="str" cm="1">
        <f t="array" ref="K6946">IFERROR(IF($B6946=K$1, ($A6946+$C6946) - MAX(IF($B$2:$B6945=$B6946, $A$2:$A6945+$C$2:$C6945)), "")*24*60, "")</f>
        <v/>
      </c>
      <c r="L6946" s="24" t="str" cm="1">
        <f t="array" ref="L6946">IFERROR(IF($B6946=L$1, ($A6946+$C6946) - MAX(IF($B$2:$B6945=$B6946, $A$2:$A6945+$C$2:$C6945)), "")*24*60, "")</f>
        <v/>
      </c>
      <c r="M6946" s="24" t="str" cm="1">
        <f t="array" ref="M6946">IFERROR(IF($B6946=M$1, ($A6946+$C6946) - MAX(IF($B$2:$B6945=$B6946, $A$2:$A6945+$C$2:$C6945)), "")*24*60, "")</f>
        <v/>
      </c>
      <c r="N6946" s="24" t="str" cm="1">
        <f t="array" ref="N6946">IFERROR(IF($B6946=N$1, ($A6946+$C6946) - MAX(IF($B$2:$B6945=$B6946, $A$2:$A6945+$C$2:$C6945)), "")*24*60, "")</f>
        <v/>
      </c>
      <c r="O6946" s="24" t="str" cm="1">
        <f t="array" ref="O6946">IFERROR(IF($B6946=O$1, ($A6946+$C6946) - MAX(IF($B$2:$B6945=$B6946, $A$2:$A6945+$C$2:$C6945)), "")*24*60, "")</f>
        <v/>
      </c>
      <c r="P6946" s="24" t="str" cm="1">
        <f t="array" ref="P6946">IFERROR(IF($B6946=P$1, ($A6946+$C6946) - MAX(IF($B$2:$B6945=$B6946, $A$2:$A6945+$C$2:$C6945)), "")*24*60, "")</f>
        <v/>
      </c>
      <c r="Q6946" s="24" t="str" cm="1">
        <f t="array" ref="Q6946">IFERROR(IF($B6946=Q$1, ($A6946+$C6946) - MAX(IF($B$2:$B6945=$B6946, $A$2:$A6945+$C$2:$C6945)), "")*24*60, "")</f>
        <v/>
      </c>
      <c r="R6946" s="24" t="str" cm="1">
        <f t="array" ref="R6946">IFERROR(IF($B6946=R$1, ($A6946+$C6946) - MAX(IF($B$2:$B6945=$B6946, $A$2:$A6945+$C$2:$C6945)), "")*24*60, "")</f>
        <v/>
      </c>
      <c r="S6946" s="24" t="str" cm="1">
        <f t="array" ref="S6946">IFERROR(IF($B6946=S$1, ($A6946+$C6946) - MAX(IF($B$2:$B6945=$B6946, $A$2:$A6945+$C$2:$C6945)), "")*24*60, "")</f>
        <v/>
      </c>
    </row>
    <row r="6947" spans="1:19" x14ac:dyDescent="0.2">
      <c r="A6947" s="12">
        <f t="shared" ref="A6947:C6947" si="1389">A6946</f>
        <v>45992</v>
      </c>
      <c r="B6947" s="5" t="str">
        <f t="shared" si="1389"/>
        <v>Northern Cardinal</v>
      </c>
      <c r="C6947" s="6">
        <f t="shared" si="1389"/>
        <v>0.28333333333333333</v>
      </c>
      <c r="D6947" s="5"/>
      <c r="E6947" s="5"/>
      <c r="F6947" s="5" t="s">
        <v>8</v>
      </c>
      <c r="G6947" s="15" t="s">
        <v>9</v>
      </c>
      <c r="H6947" s="24">
        <f t="shared" si="1308"/>
        <v>0</v>
      </c>
      <c r="I6947" s="24" cm="1">
        <f t="array" ref="I6947">IFERROR(IF($B6947=I$1, ($A6947+$C6947) - MAX(IF($B$2:$B6946=$B6947, $A$2:$A6946+$C$2:$C6946)), "")*24*60, "")</f>
        <v>0</v>
      </c>
      <c r="J6947" s="24" t="str" cm="1">
        <f t="array" ref="J6947">IFERROR(IF($B6947=J$1, ($A6947+$C6947) - MAX(IF($B$2:$B6946=$B6947, $A$2:$A6946+$C$2:$C6946)), "")*24*60, "")</f>
        <v/>
      </c>
      <c r="K6947" s="24" t="str" cm="1">
        <f t="array" ref="K6947">IFERROR(IF($B6947=K$1, ($A6947+$C6947) - MAX(IF($B$2:$B6946=$B6947, $A$2:$A6946+$C$2:$C6946)), "")*24*60, "")</f>
        <v/>
      </c>
      <c r="L6947" s="24" t="str" cm="1">
        <f t="array" ref="L6947">IFERROR(IF($B6947=L$1, ($A6947+$C6947) - MAX(IF($B$2:$B6946=$B6947, $A$2:$A6946+$C$2:$C6946)), "")*24*60, "")</f>
        <v/>
      </c>
      <c r="M6947" s="24" t="str" cm="1">
        <f t="array" ref="M6947">IFERROR(IF($B6947=M$1, ($A6947+$C6947) - MAX(IF($B$2:$B6946=$B6947, $A$2:$A6946+$C$2:$C6946)), "")*24*60, "")</f>
        <v/>
      </c>
      <c r="N6947" s="24" t="str" cm="1">
        <f t="array" ref="N6947">IFERROR(IF($B6947=N$1, ($A6947+$C6947) - MAX(IF($B$2:$B6946=$B6947, $A$2:$A6946+$C$2:$C6946)), "")*24*60, "")</f>
        <v/>
      </c>
      <c r="O6947" s="24" t="str" cm="1">
        <f t="array" ref="O6947">IFERROR(IF($B6947=O$1, ($A6947+$C6947) - MAX(IF($B$2:$B6946=$B6947, $A$2:$A6946+$C$2:$C6946)), "")*24*60, "")</f>
        <v/>
      </c>
      <c r="P6947" s="24" t="str" cm="1">
        <f t="array" ref="P6947">IFERROR(IF($B6947=P$1, ($A6947+$C6947) - MAX(IF($B$2:$B6946=$B6947, $A$2:$A6946+$C$2:$C6946)), "")*24*60, "")</f>
        <v/>
      </c>
      <c r="Q6947" s="24" t="str" cm="1">
        <f t="array" ref="Q6947">IFERROR(IF($B6947=Q$1, ($A6947+$C6947) - MAX(IF($B$2:$B6946=$B6947, $A$2:$A6946+$C$2:$C6946)), "")*24*60, "")</f>
        <v/>
      </c>
      <c r="R6947" s="24" t="str" cm="1">
        <f t="array" ref="R6947">IFERROR(IF($B6947=R$1, ($A6947+$C6947) - MAX(IF($B$2:$B6946=$B6947, $A$2:$A6946+$C$2:$C6946)), "")*24*60, "")</f>
        <v/>
      </c>
      <c r="S6947" s="24" t="str" cm="1">
        <f t="array" ref="S6947">IFERROR(IF($B6947=S$1, ($A6947+$C6947) - MAX(IF($B$2:$B6946=$B6947, $A$2:$A6946+$C$2:$C6946)), "")*24*60, "")</f>
        <v/>
      </c>
    </row>
    <row r="6948" spans="1:19" x14ac:dyDescent="0.2">
      <c r="A6948" s="12">
        <f t="shared" ref="A6948:C6948" si="1390">A6947</f>
        <v>45992</v>
      </c>
      <c r="B6948" s="5" t="str">
        <f t="shared" si="1390"/>
        <v>Northern Cardinal</v>
      </c>
      <c r="C6948" s="6">
        <f t="shared" si="1390"/>
        <v>0.28333333333333333</v>
      </c>
      <c r="D6948" s="5"/>
      <c r="E6948" s="5"/>
      <c r="F6948" s="5" t="s">
        <v>8</v>
      </c>
      <c r="G6948" s="15" t="s">
        <v>9</v>
      </c>
      <c r="H6948" s="24">
        <f t="shared" si="1308"/>
        <v>0</v>
      </c>
      <c r="I6948" s="24" cm="1">
        <f t="array" ref="I6948">IFERROR(IF($B6948=I$1, ($A6948+$C6948) - MAX(IF($B$2:$B6947=$B6948, $A$2:$A6947+$C$2:$C6947)), "")*24*60, "")</f>
        <v>0</v>
      </c>
      <c r="J6948" s="24" t="str" cm="1">
        <f t="array" ref="J6948">IFERROR(IF($B6948=J$1, ($A6948+$C6948) - MAX(IF($B$2:$B6947=$B6948, $A$2:$A6947+$C$2:$C6947)), "")*24*60, "")</f>
        <v/>
      </c>
      <c r="K6948" s="24" t="str" cm="1">
        <f t="array" ref="K6948">IFERROR(IF($B6948=K$1, ($A6948+$C6948) - MAX(IF($B$2:$B6947=$B6948, $A$2:$A6947+$C$2:$C6947)), "")*24*60, "")</f>
        <v/>
      </c>
      <c r="L6948" s="24" t="str" cm="1">
        <f t="array" ref="L6948">IFERROR(IF($B6948=L$1, ($A6948+$C6948) - MAX(IF($B$2:$B6947=$B6948, $A$2:$A6947+$C$2:$C6947)), "")*24*60, "")</f>
        <v/>
      </c>
      <c r="M6948" s="24" t="str" cm="1">
        <f t="array" ref="M6948">IFERROR(IF($B6948=M$1, ($A6948+$C6948) - MAX(IF($B$2:$B6947=$B6948, $A$2:$A6947+$C$2:$C6947)), "")*24*60, "")</f>
        <v/>
      </c>
      <c r="N6948" s="24" t="str" cm="1">
        <f t="array" ref="N6948">IFERROR(IF($B6948=N$1, ($A6948+$C6948) - MAX(IF($B$2:$B6947=$B6948, $A$2:$A6947+$C$2:$C6947)), "")*24*60, "")</f>
        <v/>
      </c>
      <c r="O6948" s="24" t="str" cm="1">
        <f t="array" ref="O6948">IFERROR(IF($B6948=O$1, ($A6948+$C6948) - MAX(IF($B$2:$B6947=$B6948, $A$2:$A6947+$C$2:$C6947)), "")*24*60, "")</f>
        <v/>
      </c>
      <c r="P6948" s="24" t="str" cm="1">
        <f t="array" ref="P6948">IFERROR(IF($B6948=P$1, ($A6948+$C6948) - MAX(IF($B$2:$B6947=$B6948, $A$2:$A6947+$C$2:$C6947)), "")*24*60, "")</f>
        <v/>
      </c>
      <c r="Q6948" s="24" t="str" cm="1">
        <f t="array" ref="Q6948">IFERROR(IF($B6948=Q$1, ($A6948+$C6948) - MAX(IF($B$2:$B6947=$B6948, $A$2:$A6947+$C$2:$C6947)), "")*24*60, "")</f>
        <v/>
      </c>
      <c r="R6948" s="24" t="str" cm="1">
        <f t="array" ref="R6948">IFERROR(IF($B6948=R$1, ($A6948+$C6948) - MAX(IF($B$2:$B6947=$B6948, $A$2:$A6947+$C$2:$C6947)), "")*24*60, "")</f>
        <v/>
      </c>
      <c r="S6948" s="24" t="str" cm="1">
        <f t="array" ref="S6948">IFERROR(IF($B6948=S$1, ($A6948+$C6948) - MAX(IF($B$2:$B6947=$B6948, $A$2:$A6947+$C$2:$C6947)), "")*24*60, "")</f>
        <v/>
      </c>
    </row>
    <row r="6949" spans="1:19" x14ac:dyDescent="0.2">
      <c r="A6949" s="12">
        <f t="shared" ref="A6949:C6949" si="1391">A6948</f>
        <v>45992</v>
      </c>
      <c r="B6949" s="5" t="str">
        <f t="shared" si="1391"/>
        <v>Northern Cardinal</v>
      </c>
      <c r="C6949" s="6">
        <f t="shared" si="1391"/>
        <v>0.28333333333333333</v>
      </c>
      <c r="D6949" s="5"/>
      <c r="E6949" s="5"/>
      <c r="F6949" s="5" t="s">
        <v>8</v>
      </c>
      <c r="G6949" s="15" t="s">
        <v>9</v>
      </c>
      <c r="H6949" s="24">
        <f t="shared" si="1308"/>
        <v>0</v>
      </c>
      <c r="I6949" s="24" cm="1">
        <f t="array" ref="I6949">IFERROR(IF($B6949=I$1, ($A6949+$C6949) - MAX(IF($B$2:$B6948=$B6949, $A$2:$A6948+$C$2:$C6948)), "")*24*60, "")</f>
        <v>0</v>
      </c>
      <c r="J6949" s="24" t="str" cm="1">
        <f t="array" ref="J6949">IFERROR(IF($B6949=J$1, ($A6949+$C6949) - MAX(IF($B$2:$B6948=$B6949, $A$2:$A6948+$C$2:$C6948)), "")*24*60, "")</f>
        <v/>
      </c>
      <c r="K6949" s="24" t="str" cm="1">
        <f t="array" ref="K6949">IFERROR(IF($B6949=K$1, ($A6949+$C6949) - MAX(IF($B$2:$B6948=$B6949, $A$2:$A6948+$C$2:$C6948)), "")*24*60, "")</f>
        <v/>
      </c>
      <c r="L6949" s="24" t="str" cm="1">
        <f t="array" ref="L6949">IFERROR(IF($B6949=L$1, ($A6949+$C6949) - MAX(IF($B$2:$B6948=$B6949, $A$2:$A6948+$C$2:$C6948)), "")*24*60, "")</f>
        <v/>
      </c>
      <c r="M6949" s="24" t="str" cm="1">
        <f t="array" ref="M6949">IFERROR(IF($B6949=M$1, ($A6949+$C6949) - MAX(IF($B$2:$B6948=$B6949, $A$2:$A6948+$C$2:$C6948)), "")*24*60, "")</f>
        <v/>
      </c>
      <c r="N6949" s="24" t="str" cm="1">
        <f t="array" ref="N6949">IFERROR(IF($B6949=N$1, ($A6949+$C6949) - MAX(IF($B$2:$B6948=$B6949, $A$2:$A6948+$C$2:$C6948)), "")*24*60, "")</f>
        <v/>
      </c>
      <c r="O6949" s="24" t="str" cm="1">
        <f t="array" ref="O6949">IFERROR(IF($B6949=O$1, ($A6949+$C6949) - MAX(IF($B$2:$B6948=$B6949, $A$2:$A6948+$C$2:$C6948)), "")*24*60, "")</f>
        <v/>
      </c>
      <c r="P6949" s="24" t="str" cm="1">
        <f t="array" ref="P6949">IFERROR(IF($B6949=P$1, ($A6949+$C6949) - MAX(IF($B$2:$B6948=$B6949, $A$2:$A6948+$C$2:$C6948)), "")*24*60, "")</f>
        <v/>
      </c>
      <c r="Q6949" s="24" t="str" cm="1">
        <f t="array" ref="Q6949">IFERROR(IF($B6949=Q$1, ($A6949+$C6949) - MAX(IF($B$2:$B6948=$B6949, $A$2:$A6948+$C$2:$C6948)), "")*24*60, "")</f>
        <v/>
      </c>
      <c r="R6949" s="24" t="str" cm="1">
        <f t="array" ref="R6949">IFERROR(IF($B6949=R$1, ($A6949+$C6949) - MAX(IF($B$2:$B6948=$B6949, $A$2:$A6948+$C$2:$C6948)), "")*24*60, "")</f>
        <v/>
      </c>
      <c r="S6949" s="24" t="str" cm="1">
        <f t="array" ref="S6949">IFERROR(IF($B6949=S$1, ($A6949+$C6949) - MAX(IF($B$2:$B6948=$B6949, $A$2:$A6948+$C$2:$C6948)), "")*24*60, "")</f>
        <v/>
      </c>
    </row>
    <row r="6950" spans="1:19" x14ac:dyDescent="0.2">
      <c r="A6950" s="12">
        <f t="shared" ref="A6950:C6950" si="1392">A6949</f>
        <v>45992</v>
      </c>
      <c r="B6950" s="5" t="str">
        <f t="shared" si="1392"/>
        <v>Northern Cardinal</v>
      </c>
      <c r="C6950" s="6">
        <f t="shared" si="1392"/>
        <v>0.28333333333333333</v>
      </c>
      <c r="D6950" s="5"/>
      <c r="E6950" s="5"/>
      <c r="F6950" s="5" t="s">
        <v>8</v>
      </c>
      <c r="G6950" s="15" t="s">
        <v>9</v>
      </c>
      <c r="H6950" s="24">
        <f t="shared" si="1308"/>
        <v>0</v>
      </c>
      <c r="I6950" s="24" cm="1">
        <f t="array" ref="I6950">IFERROR(IF($B6950=I$1, ($A6950+$C6950) - MAX(IF($B$2:$B6949=$B6950, $A$2:$A6949+$C$2:$C6949)), "")*24*60, "")</f>
        <v>0</v>
      </c>
      <c r="J6950" s="24" t="str" cm="1">
        <f t="array" ref="J6950">IFERROR(IF($B6950=J$1, ($A6950+$C6950) - MAX(IF($B$2:$B6949=$B6950, $A$2:$A6949+$C$2:$C6949)), "")*24*60, "")</f>
        <v/>
      </c>
      <c r="K6950" s="24" t="str" cm="1">
        <f t="array" ref="K6950">IFERROR(IF($B6950=K$1, ($A6950+$C6950) - MAX(IF($B$2:$B6949=$B6950, $A$2:$A6949+$C$2:$C6949)), "")*24*60, "")</f>
        <v/>
      </c>
      <c r="L6950" s="24" t="str" cm="1">
        <f t="array" ref="L6950">IFERROR(IF($B6950=L$1, ($A6950+$C6950) - MAX(IF($B$2:$B6949=$B6950, $A$2:$A6949+$C$2:$C6949)), "")*24*60, "")</f>
        <v/>
      </c>
      <c r="M6950" s="24" t="str" cm="1">
        <f t="array" ref="M6950">IFERROR(IF($B6950=M$1, ($A6950+$C6950) - MAX(IF($B$2:$B6949=$B6950, $A$2:$A6949+$C$2:$C6949)), "")*24*60, "")</f>
        <v/>
      </c>
      <c r="N6950" s="24" t="str" cm="1">
        <f t="array" ref="N6950">IFERROR(IF($B6950=N$1, ($A6950+$C6950) - MAX(IF($B$2:$B6949=$B6950, $A$2:$A6949+$C$2:$C6949)), "")*24*60, "")</f>
        <v/>
      </c>
      <c r="O6950" s="24" t="str" cm="1">
        <f t="array" ref="O6950">IFERROR(IF($B6950=O$1, ($A6950+$C6950) - MAX(IF($B$2:$B6949=$B6950, $A$2:$A6949+$C$2:$C6949)), "")*24*60, "")</f>
        <v/>
      </c>
      <c r="P6950" s="24" t="str" cm="1">
        <f t="array" ref="P6950">IFERROR(IF($B6950=P$1, ($A6950+$C6950) - MAX(IF($B$2:$B6949=$B6950, $A$2:$A6949+$C$2:$C6949)), "")*24*60, "")</f>
        <v/>
      </c>
      <c r="Q6950" s="24" t="str" cm="1">
        <f t="array" ref="Q6950">IFERROR(IF($B6950=Q$1, ($A6950+$C6950) - MAX(IF($B$2:$B6949=$B6950, $A$2:$A6949+$C$2:$C6949)), "")*24*60, "")</f>
        <v/>
      </c>
      <c r="R6950" s="24" t="str" cm="1">
        <f t="array" ref="R6950">IFERROR(IF($B6950=R$1, ($A6950+$C6950) - MAX(IF($B$2:$B6949=$B6950, $A$2:$A6949+$C$2:$C6949)), "")*24*60, "")</f>
        <v/>
      </c>
      <c r="S6950" s="24" t="str" cm="1">
        <f t="array" ref="S6950">IFERROR(IF($B6950=S$1, ($A6950+$C6950) - MAX(IF($B$2:$B6949=$B6950, $A$2:$A6949+$C$2:$C6949)), "")*24*60, "")</f>
        <v/>
      </c>
    </row>
    <row r="6951" spans="1:19" x14ac:dyDescent="0.2">
      <c r="A6951" s="12">
        <f t="shared" ref="A6951:C6951" si="1393">A6950</f>
        <v>45992</v>
      </c>
      <c r="B6951" s="5" t="str">
        <f t="shared" si="1393"/>
        <v>Northern Cardinal</v>
      </c>
      <c r="C6951" s="6">
        <f t="shared" si="1393"/>
        <v>0.28333333333333333</v>
      </c>
      <c r="D6951" s="5"/>
      <c r="E6951" s="5"/>
      <c r="F6951" s="5" t="s">
        <v>8</v>
      </c>
      <c r="G6951" s="15" t="s">
        <v>9</v>
      </c>
      <c r="H6951" s="24">
        <f t="shared" si="1308"/>
        <v>0</v>
      </c>
      <c r="I6951" s="24" cm="1">
        <f t="array" ref="I6951">IFERROR(IF($B6951=I$1, ($A6951+$C6951) - MAX(IF($B$2:$B6950=$B6951, $A$2:$A6950+$C$2:$C6950)), "")*24*60, "")</f>
        <v>0</v>
      </c>
      <c r="J6951" s="24" t="str" cm="1">
        <f t="array" ref="J6951">IFERROR(IF($B6951=J$1, ($A6951+$C6951) - MAX(IF($B$2:$B6950=$B6951, $A$2:$A6950+$C$2:$C6950)), "")*24*60, "")</f>
        <v/>
      </c>
      <c r="K6951" s="24" t="str" cm="1">
        <f t="array" ref="K6951">IFERROR(IF($B6951=K$1, ($A6951+$C6951) - MAX(IF($B$2:$B6950=$B6951, $A$2:$A6950+$C$2:$C6950)), "")*24*60, "")</f>
        <v/>
      </c>
      <c r="L6951" s="24" t="str" cm="1">
        <f t="array" ref="L6951">IFERROR(IF($B6951=L$1, ($A6951+$C6951) - MAX(IF($B$2:$B6950=$B6951, $A$2:$A6950+$C$2:$C6950)), "")*24*60, "")</f>
        <v/>
      </c>
      <c r="M6951" s="24" t="str" cm="1">
        <f t="array" ref="M6951">IFERROR(IF($B6951=M$1, ($A6951+$C6951) - MAX(IF($B$2:$B6950=$B6951, $A$2:$A6950+$C$2:$C6950)), "")*24*60, "")</f>
        <v/>
      </c>
      <c r="N6951" s="24" t="str" cm="1">
        <f t="array" ref="N6951">IFERROR(IF($B6951=N$1, ($A6951+$C6951) - MAX(IF($B$2:$B6950=$B6951, $A$2:$A6950+$C$2:$C6950)), "")*24*60, "")</f>
        <v/>
      </c>
      <c r="O6951" s="24" t="str" cm="1">
        <f t="array" ref="O6951">IFERROR(IF($B6951=O$1, ($A6951+$C6951) - MAX(IF($B$2:$B6950=$B6951, $A$2:$A6950+$C$2:$C6950)), "")*24*60, "")</f>
        <v/>
      </c>
      <c r="P6951" s="24" t="str" cm="1">
        <f t="array" ref="P6951">IFERROR(IF($B6951=P$1, ($A6951+$C6951) - MAX(IF($B$2:$B6950=$B6951, $A$2:$A6950+$C$2:$C6950)), "")*24*60, "")</f>
        <v/>
      </c>
      <c r="Q6951" s="24" t="str" cm="1">
        <f t="array" ref="Q6951">IFERROR(IF($B6951=Q$1, ($A6951+$C6951) - MAX(IF($B$2:$B6950=$B6951, $A$2:$A6950+$C$2:$C6950)), "")*24*60, "")</f>
        <v/>
      </c>
      <c r="R6951" s="24" t="str" cm="1">
        <f t="array" ref="R6951">IFERROR(IF($B6951=R$1, ($A6951+$C6951) - MAX(IF($B$2:$B6950=$B6951, $A$2:$A6950+$C$2:$C6950)), "")*24*60, "")</f>
        <v/>
      </c>
      <c r="S6951" s="24" t="str" cm="1">
        <f t="array" ref="S6951">IFERROR(IF($B6951=S$1, ($A6951+$C6951) - MAX(IF($B$2:$B6950=$B6951, $A$2:$A6950+$C$2:$C6950)), "")*24*60, "")</f>
        <v/>
      </c>
    </row>
    <row r="6952" spans="1:19" x14ac:dyDescent="0.2">
      <c r="A6952" s="12">
        <f t="shared" ref="A6952:C6952" si="1394">A6951</f>
        <v>45992</v>
      </c>
      <c r="B6952" s="5" t="str">
        <f t="shared" si="1394"/>
        <v>Northern Cardinal</v>
      </c>
      <c r="C6952" s="6">
        <f t="shared" si="1394"/>
        <v>0.28333333333333333</v>
      </c>
      <c r="D6952" s="5"/>
      <c r="E6952" s="5"/>
      <c r="F6952" s="5" t="s">
        <v>8</v>
      </c>
      <c r="G6952" s="15" t="s">
        <v>9</v>
      </c>
      <c r="H6952" s="24">
        <f t="shared" si="1308"/>
        <v>0</v>
      </c>
      <c r="I6952" s="24" cm="1">
        <f t="array" ref="I6952">IFERROR(IF($B6952=I$1, ($A6952+$C6952) - MAX(IF($B$2:$B6951=$B6952, $A$2:$A6951+$C$2:$C6951)), "")*24*60, "")</f>
        <v>0</v>
      </c>
      <c r="J6952" s="24" t="str" cm="1">
        <f t="array" ref="J6952">IFERROR(IF($B6952=J$1, ($A6952+$C6952) - MAX(IF($B$2:$B6951=$B6952, $A$2:$A6951+$C$2:$C6951)), "")*24*60, "")</f>
        <v/>
      </c>
      <c r="K6952" s="24" t="str" cm="1">
        <f t="array" ref="K6952">IFERROR(IF($B6952=K$1, ($A6952+$C6952) - MAX(IF($B$2:$B6951=$B6952, $A$2:$A6951+$C$2:$C6951)), "")*24*60, "")</f>
        <v/>
      </c>
      <c r="L6952" s="24" t="str" cm="1">
        <f t="array" ref="L6952">IFERROR(IF($B6952=L$1, ($A6952+$C6952) - MAX(IF($B$2:$B6951=$B6952, $A$2:$A6951+$C$2:$C6951)), "")*24*60, "")</f>
        <v/>
      </c>
      <c r="M6952" s="24" t="str" cm="1">
        <f t="array" ref="M6952">IFERROR(IF($B6952=M$1, ($A6952+$C6952) - MAX(IF($B$2:$B6951=$B6952, $A$2:$A6951+$C$2:$C6951)), "")*24*60, "")</f>
        <v/>
      </c>
      <c r="N6952" s="24" t="str" cm="1">
        <f t="array" ref="N6952">IFERROR(IF($B6952=N$1, ($A6952+$C6952) - MAX(IF($B$2:$B6951=$B6952, $A$2:$A6951+$C$2:$C6951)), "")*24*60, "")</f>
        <v/>
      </c>
      <c r="O6952" s="24" t="str" cm="1">
        <f t="array" ref="O6952">IFERROR(IF($B6952=O$1, ($A6952+$C6952) - MAX(IF($B$2:$B6951=$B6952, $A$2:$A6951+$C$2:$C6951)), "")*24*60, "")</f>
        <v/>
      </c>
      <c r="P6952" s="24" t="str" cm="1">
        <f t="array" ref="P6952">IFERROR(IF($B6952=P$1, ($A6952+$C6952) - MAX(IF($B$2:$B6951=$B6952, $A$2:$A6951+$C$2:$C6951)), "")*24*60, "")</f>
        <v/>
      </c>
      <c r="Q6952" s="24" t="str" cm="1">
        <f t="array" ref="Q6952">IFERROR(IF($B6952=Q$1, ($A6952+$C6952) - MAX(IF($B$2:$B6951=$B6952, $A$2:$A6951+$C$2:$C6951)), "")*24*60, "")</f>
        <v/>
      </c>
      <c r="R6952" s="24" t="str" cm="1">
        <f t="array" ref="R6952">IFERROR(IF($B6952=R$1, ($A6952+$C6952) - MAX(IF($B$2:$B6951=$B6952, $A$2:$A6951+$C$2:$C6951)), "")*24*60, "")</f>
        <v/>
      </c>
      <c r="S6952" s="24" t="str" cm="1">
        <f t="array" ref="S6952">IFERROR(IF($B6952=S$1, ($A6952+$C6952) - MAX(IF($B$2:$B6951=$B6952, $A$2:$A6951+$C$2:$C6951)), "")*24*60, "")</f>
        <v/>
      </c>
    </row>
    <row r="6953" spans="1:19" x14ac:dyDescent="0.2">
      <c r="A6953" s="12">
        <f t="shared" ref="A6953:C6953" si="1395">A6952</f>
        <v>45992</v>
      </c>
      <c r="B6953" s="5" t="str">
        <f t="shared" si="1395"/>
        <v>Northern Cardinal</v>
      </c>
      <c r="C6953" s="6">
        <f t="shared" si="1395"/>
        <v>0.28333333333333333</v>
      </c>
      <c r="D6953" s="5"/>
      <c r="E6953" s="5"/>
      <c r="F6953" s="5" t="s">
        <v>8</v>
      </c>
      <c r="G6953" s="15" t="s">
        <v>9</v>
      </c>
      <c r="H6953" s="24">
        <f t="shared" si="1308"/>
        <v>0</v>
      </c>
      <c r="I6953" s="24" cm="1">
        <f t="array" ref="I6953">IFERROR(IF($B6953=I$1, ($A6953+$C6953) - MAX(IF($B$2:$B6952=$B6953, $A$2:$A6952+$C$2:$C6952)), "")*24*60, "")</f>
        <v>0</v>
      </c>
      <c r="J6953" s="24" t="str" cm="1">
        <f t="array" ref="J6953">IFERROR(IF($B6953=J$1, ($A6953+$C6953) - MAX(IF($B$2:$B6952=$B6953, $A$2:$A6952+$C$2:$C6952)), "")*24*60, "")</f>
        <v/>
      </c>
      <c r="K6953" s="24" t="str" cm="1">
        <f t="array" ref="K6953">IFERROR(IF($B6953=K$1, ($A6953+$C6953) - MAX(IF($B$2:$B6952=$B6953, $A$2:$A6952+$C$2:$C6952)), "")*24*60, "")</f>
        <v/>
      </c>
      <c r="L6953" s="24" t="str" cm="1">
        <f t="array" ref="L6953">IFERROR(IF($B6953=L$1, ($A6953+$C6953) - MAX(IF($B$2:$B6952=$B6953, $A$2:$A6952+$C$2:$C6952)), "")*24*60, "")</f>
        <v/>
      </c>
      <c r="M6953" s="24" t="str" cm="1">
        <f t="array" ref="M6953">IFERROR(IF($B6953=M$1, ($A6953+$C6953) - MAX(IF($B$2:$B6952=$B6953, $A$2:$A6952+$C$2:$C6952)), "")*24*60, "")</f>
        <v/>
      </c>
      <c r="N6953" s="24" t="str" cm="1">
        <f t="array" ref="N6953">IFERROR(IF($B6953=N$1, ($A6953+$C6953) - MAX(IF($B$2:$B6952=$B6953, $A$2:$A6952+$C$2:$C6952)), "")*24*60, "")</f>
        <v/>
      </c>
      <c r="O6953" s="24" t="str" cm="1">
        <f t="array" ref="O6953">IFERROR(IF($B6953=O$1, ($A6953+$C6953) - MAX(IF($B$2:$B6952=$B6953, $A$2:$A6952+$C$2:$C6952)), "")*24*60, "")</f>
        <v/>
      </c>
      <c r="P6953" s="24" t="str" cm="1">
        <f t="array" ref="P6953">IFERROR(IF($B6953=P$1, ($A6953+$C6953) - MAX(IF($B$2:$B6952=$B6953, $A$2:$A6952+$C$2:$C6952)), "")*24*60, "")</f>
        <v/>
      </c>
      <c r="Q6953" s="24" t="str" cm="1">
        <f t="array" ref="Q6953">IFERROR(IF($B6953=Q$1, ($A6953+$C6953) - MAX(IF($B$2:$B6952=$B6953, $A$2:$A6952+$C$2:$C6952)), "")*24*60, "")</f>
        <v/>
      </c>
      <c r="R6953" s="24" t="str" cm="1">
        <f t="array" ref="R6953">IFERROR(IF($B6953=R$1, ($A6953+$C6953) - MAX(IF($B$2:$B6952=$B6953, $A$2:$A6952+$C$2:$C6952)), "")*24*60, "")</f>
        <v/>
      </c>
      <c r="S6953" s="24" t="str" cm="1">
        <f t="array" ref="S6953">IFERROR(IF($B6953=S$1, ($A6953+$C6953) - MAX(IF($B$2:$B6952=$B6953, $A$2:$A6952+$C$2:$C6952)), "")*24*60, "")</f>
        <v/>
      </c>
    </row>
    <row r="6954" spans="1:19" x14ac:dyDescent="0.2">
      <c r="A6954" s="12">
        <f t="shared" ref="A6954:C6954" si="1396">A6953</f>
        <v>45992</v>
      </c>
      <c r="B6954" s="5" t="str">
        <f t="shared" si="1396"/>
        <v>Northern Cardinal</v>
      </c>
      <c r="C6954" s="6">
        <f t="shared" si="1396"/>
        <v>0.28333333333333333</v>
      </c>
      <c r="D6954" s="5"/>
      <c r="E6954" s="5"/>
      <c r="F6954" s="5" t="s">
        <v>8</v>
      </c>
      <c r="G6954" s="15" t="s">
        <v>9</v>
      </c>
      <c r="H6954" s="24">
        <f t="shared" si="1308"/>
        <v>0</v>
      </c>
      <c r="I6954" s="24" cm="1">
        <f t="array" ref="I6954">IFERROR(IF($B6954=I$1, ($A6954+$C6954) - MAX(IF($B$2:$B6953=$B6954, $A$2:$A6953+$C$2:$C6953)), "")*24*60, "")</f>
        <v>0</v>
      </c>
      <c r="J6954" s="24" t="str" cm="1">
        <f t="array" ref="J6954">IFERROR(IF($B6954=J$1, ($A6954+$C6954) - MAX(IF($B$2:$B6953=$B6954, $A$2:$A6953+$C$2:$C6953)), "")*24*60, "")</f>
        <v/>
      </c>
      <c r="K6954" s="24" t="str" cm="1">
        <f t="array" ref="K6954">IFERROR(IF($B6954=K$1, ($A6954+$C6954) - MAX(IF($B$2:$B6953=$B6954, $A$2:$A6953+$C$2:$C6953)), "")*24*60, "")</f>
        <v/>
      </c>
      <c r="L6954" s="24" t="str" cm="1">
        <f t="array" ref="L6954">IFERROR(IF($B6954=L$1, ($A6954+$C6954) - MAX(IF($B$2:$B6953=$B6954, $A$2:$A6953+$C$2:$C6953)), "")*24*60, "")</f>
        <v/>
      </c>
      <c r="M6954" s="24" t="str" cm="1">
        <f t="array" ref="M6954">IFERROR(IF($B6954=M$1, ($A6954+$C6954) - MAX(IF($B$2:$B6953=$B6954, $A$2:$A6953+$C$2:$C6953)), "")*24*60, "")</f>
        <v/>
      </c>
      <c r="N6954" s="24" t="str" cm="1">
        <f t="array" ref="N6954">IFERROR(IF($B6954=N$1, ($A6954+$C6954) - MAX(IF($B$2:$B6953=$B6954, $A$2:$A6953+$C$2:$C6953)), "")*24*60, "")</f>
        <v/>
      </c>
      <c r="O6954" s="24" t="str" cm="1">
        <f t="array" ref="O6954">IFERROR(IF($B6954=O$1, ($A6954+$C6954) - MAX(IF($B$2:$B6953=$B6954, $A$2:$A6953+$C$2:$C6953)), "")*24*60, "")</f>
        <v/>
      </c>
      <c r="P6954" s="24" t="str" cm="1">
        <f t="array" ref="P6954">IFERROR(IF($B6954=P$1, ($A6954+$C6954) - MAX(IF($B$2:$B6953=$B6954, $A$2:$A6953+$C$2:$C6953)), "")*24*60, "")</f>
        <v/>
      </c>
      <c r="Q6954" s="24" t="str" cm="1">
        <f t="array" ref="Q6954">IFERROR(IF($B6954=Q$1, ($A6954+$C6954) - MAX(IF($B$2:$B6953=$B6954, $A$2:$A6953+$C$2:$C6953)), "")*24*60, "")</f>
        <v/>
      </c>
      <c r="R6954" s="24" t="str" cm="1">
        <f t="array" ref="R6954">IFERROR(IF($B6954=R$1, ($A6954+$C6954) - MAX(IF($B$2:$B6953=$B6954, $A$2:$A6953+$C$2:$C6953)), "")*24*60, "")</f>
        <v/>
      </c>
      <c r="S6954" s="24" t="str" cm="1">
        <f t="array" ref="S6954">IFERROR(IF($B6954=S$1, ($A6954+$C6954) - MAX(IF($B$2:$B6953=$B6954, $A$2:$A6953+$C$2:$C6953)), "")*24*60, "")</f>
        <v/>
      </c>
    </row>
    <row r="6955" spans="1:19" x14ac:dyDescent="0.2">
      <c r="A6955" s="12">
        <f t="shared" ref="A6955:C6955" si="1397">A6954</f>
        <v>45992</v>
      </c>
      <c r="B6955" s="5" t="str">
        <f t="shared" si="1397"/>
        <v>Northern Cardinal</v>
      </c>
      <c r="C6955" s="6">
        <f t="shared" si="1397"/>
        <v>0.28333333333333333</v>
      </c>
      <c r="D6955" s="5"/>
      <c r="E6955" s="5"/>
      <c r="F6955" s="5" t="s">
        <v>8</v>
      </c>
      <c r="G6955" s="15" t="s">
        <v>9</v>
      </c>
      <c r="H6955" s="24">
        <f t="shared" si="1308"/>
        <v>0</v>
      </c>
      <c r="I6955" s="24" cm="1">
        <f t="array" ref="I6955">IFERROR(IF($B6955=I$1, ($A6955+$C6955) - MAX(IF($B$2:$B6954=$B6955, $A$2:$A6954+$C$2:$C6954)), "")*24*60, "")</f>
        <v>0</v>
      </c>
      <c r="J6955" s="24" t="str" cm="1">
        <f t="array" ref="J6955">IFERROR(IF($B6955=J$1, ($A6955+$C6955) - MAX(IF($B$2:$B6954=$B6955, $A$2:$A6954+$C$2:$C6954)), "")*24*60, "")</f>
        <v/>
      </c>
      <c r="K6955" s="24" t="str" cm="1">
        <f t="array" ref="K6955">IFERROR(IF($B6955=K$1, ($A6955+$C6955) - MAX(IF($B$2:$B6954=$B6955, $A$2:$A6954+$C$2:$C6954)), "")*24*60, "")</f>
        <v/>
      </c>
      <c r="L6955" s="24" t="str" cm="1">
        <f t="array" ref="L6955">IFERROR(IF($B6955=L$1, ($A6955+$C6955) - MAX(IF($B$2:$B6954=$B6955, $A$2:$A6954+$C$2:$C6954)), "")*24*60, "")</f>
        <v/>
      </c>
      <c r="M6955" s="24" t="str" cm="1">
        <f t="array" ref="M6955">IFERROR(IF($B6955=M$1, ($A6955+$C6955) - MAX(IF($B$2:$B6954=$B6955, $A$2:$A6954+$C$2:$C6954)), "")*24*60, "")</f>
        <v/>
      </c>
      <c r="N6955" s="24" t="str" cm="1">
        <f t="array" ref="N6955">IFERROR(IF($B6955=N$1, ($A6955+$C6955) - MAX(IF($B$2:$B6954=$B6955, $A$2:$A6954+$C$2:$C6954)), "")*24*60, "")</f>
        <v/>
      </c>
      <c r="O6955" s="24" t="str" cm="1">
        <f t="array" ref="O6955">IFERROR(IF($B6955=O$1, ($A6955+$C6955) - MAX(IF($B$2:$B6954=$B6955, $A$2:$A6954+$C$2:$C6954)), "")*24*60, "")</f>
        <v/>
      </c>
      <c r="P6955" s="24" t="str" cm="1">
        <f t="array" ref="P6955">IFERROR(IF($B6955=P$1, ($A6955+$C6955) - MAX(IF($B$2:$B6954=$B6955, $A$2:$A6954+$C$2:$C6954)), "")*24*60, "")</f>
        <v/>
      </c>
      <c r="Q6955" s="24" t="str" cm="1">
        <f t="array" ref="Q6955">IFERROR(IF($B6955=Q$1, ($A6955+$C6955) - MAX(IF($B$2:$B6954=$B6955, $A$2:$A6954+$C$2:$C6954)), "")*24*60, "")</f>
        <v/>
      </c>
      <c r="R6955" s="24" t="str" cm="1">
        <f t="array" ref="R6955">IFERROR(IF($B6955=R$1, ($A6955+$C6955) - MAX(IF($B$2:$B6954=$B6955, $A$2:$A6954+$C$2:$C6954)), "")*24*60, "")</f>
        <v/>
      </c>
      <c r="S6955" s="24" t="str" cm="1">
        <f t="array" ref="S6955">IFERROR(IF($B6955=S$1, ($A6955+$C6955) - MAX(IF($B$2:$B6954=$B6955, $A$2:$A6954+$C$2:$C6954)), "")*24*60, "")</f>
        <v/>
      </c>
    </row>
    <row r="6956" spans="1:19" x14ac:dyDescent="0.2">
      <c r="A6956" s="12">
        <f t="shared" ref="A6956:C6956" si="1398">A6955</f>
        <v>45992</v>
      </c>
      <c r="B6956" s="5" t="str">
        <f t="shared" si="1398"/>
        <v>Northern Cardinal</v>
      </c>
      <c r="C6956" s="6">
        <f t="shared" si="1398"/>
        <v>0.28333333333333333</v>
      </c>
      <c r="D6956" s="5"/>
      <c r="E6956" s="5"/>
      <c r="F6956" s="5" t="s">
        <v>8</v>
      </c>
      <c r="G6956" s="15" t="s">
        <v>9</v>
      </c>
      <c r="H6956" s="24">
        <f t="shared" si="1308"/>
        <v>0</v>
      </c>
      <c r="I6956" s="24" cm="1">
        <f t="array" ref="I6956">IFERROR(IF($B6956=I$1, ($A6956+$C6956) - MAX(IF($B$2:$B6955=$B6956, $A$2:$A6955+$C$2:$C6955)), "")*24*60, "")</f>
        <v>0</v>
      </c>
      <c r="J6956" s="24" t="str" cm="1">
        <f t="array" ref="J6956">IFERROR(IF($B6956=J$1, ($A6956+$C6956) - MAX(IF($B$2:$B6955=$B6956, $A$2:$A6955+$C$2:$C6955)), "")*24*60, "")</f>
        <v/>
      </c>
      <c r="K6956" s="24" t="str" cm="1">
        <f t="array" ref="K6956">IFERROR(IF($B6956=K$1, ($A6956+$C6956) - MAX(IF($B$2:$B6955=$B6956, $A$2:$A6955+$C$2:$C6955)), "")*24*60, "")</f>
        <v/>
      </c>
      <c r="L6956" s="24" t="str" cm="1">
        <f t="array" ref="L6956">IFERROR(IF($B6956=L$1, ($A6956+$C6956) - MAX(IF($B$2:$B6955=$B6956, $A$2:$A6955+$C$2:$C6955)), "")*24*60, "")</f>
        <v/>
      </c>
      <c r="M6956" s="24" t="str" cm="1">
        <f t="array" ref="M6956">IFERROR(IF($B6956=M$1, ($A6956+$C6956) - MAX(IF($B$2:$B6955=$B6956, $A$2:$A6955+$C$2:$C6955)), "")*24*60, "")</f>
        <v/>
      </c>
      <c r="N6956" s="24" t="str" cm="1">
        <f t="array" ref="N6956">IFERROR(IF($B6956=N$1, ($A6956+$C6956) - MAX(IF($B$2:$B6955=$B6956, $A$2:$A6955+$C$2:$C6955)), "")*24*60, "")</f>
        <v/>
      </c>
      <c r="O6956" s="24" t="str" cm="1">
        <f t="array" ref="O6956">IFERROR(IF($B6956=O$1, ($A6956+$C6956) - MAX(IF($B$2:$B6955=$B6956, $A$2:$A6955+$C$2:$C6955)), "")*24*60, "")</f>
        <v/>
      </c>
      <c r="P6956" s="24" t="str" cm="1">
        <f t="array" ref="P6956">IFERROR(IF($B6956=P$1, ($A6956+$C6956) - MAX(IF($B$2:$B6955=$B6956, $A$2:$A6955+$C$2:$C6955)), "")*24*60, "")</f>
        <v/>
      </c>
      <c r="Q6956" s="24" t="str" cm="1">
        <f t="array" ref="Q6956">IFERROR(IF($B6956=Q$1, ($A6956+$C6956) - MAX(IF($B$2:$B6955=$B6956, $A$2:$A6955+$C$2:$C6955)), "")*24*60, "")</f>
        <v/>
      </c>
      <c r="R6956" s="24" t="str" cm="1">
        <f t="array" ref="R6956">IFERROR(IF($B6956=R$1, ($A6956+$C6956) - MAX(IF($B$2:$B6955=$B6956, $A$2:$A6955+$C$2:$C6955)), "")*24*60, "")</f>
        <v/>
      </c>
      <c r="S6956" s="24" t="str" cm="1">
        <f t="array" ref="S6956">IFERROR(IF($B6956=S$1, ($A6956+$C6956) - MAX(IF($B$2:$B6955=$B6956, $A$2:$A6955+$C$2:$C6955)), "")*24*60, "")</f>
        <v/>
      </c>
    </row>
    <row r="6957" spans="1:19" x14ac:dyDescent="0.2">
      <c r="A6957" s="12">
        <f t="shared" ref="A6957:C6957" si="1399">A6956</f>
        <v>45992</v>
      </c>
      <c r="B6957" s="5" t="str">
        <f t="shared" si="1399"/>
        <v>Northern Cardinal</v>
      </c>
      <c r="C6957" s="6">
        <f t="shared" si="1399"/>
        <v>0.28333333333333333</v>
      </c>
      <c r="D6957" s="5"/>
      <c r="E6957" s="5"/>
      <c r="F6957" s="5" t="s">
        <v>8</v>
      </c>
      <c r="G6957" s="15" t="s">
        <v>9</v>
      </c>
      <c r="H6957" s="24">
        <f t="shared" si="1308"/>
        <v>0</v>
      </c>
      <c r="I6957" s="24" cm="1">
        <f t="array" ref="I6957">IFERROR(IF($B6957=I$1, ($A6957+$C6957) - MAX(IF($B$2:$B6956=$B6957, $A$2:$A6956+$C$2:$C6956)), "")*24*60, "")</f>
        <v>0</v>
      </c>
      <c r="J6957" s="24" t="str" cm="1">
        <f t="array" ref="J6957">IFERROR(IF($B6957=J$1, ($A6957+$C6957) - MAX(IF($B$2:$B6956=$B6957, $A$2:$A6956+$C$2:$C6956)), "")*24*60, "")</f>
        <v/>
      </c>
      <c r="K6957" s="24" t="str" cm="1">
        <f t="array" ref="K6957">IFERROR(IF($B6957=K$1, ($A6957+$C6957) - MAX(IF($B$2:$B6956=$B6957, $A$2:$A6956+$C$2:$C6956)), "")*24*60, "")</f>
        <v/>
      </c>
      <c r="L6957" s="24" t="str" cm="1">
        <f t="array" ref="L6957">IFERROR(IF($B6957=L$1, ($A6957+$C6957) - MAX(IF($B$2:$B6956=$B6957, $A$2:$A6956+$C$2:$C6956)), "")*24*60, "")</f>
        <v/>
      </c>
      <c r="M6957" s="24" t="str" cm="1">
        <f t="array" ref="M6957">IFERROR(IF($B6957=M$1, ($A6957+$C6957) - MAX(IF($B$2:$B6956=$B6957, $A$2:$A6956+$C$2:$C6956)), "")*24*60, "")</f>
        <v/>
      </c>
      <c r="N6957" s="24" t="str" cm="1">
        <f t="array" ref="N6957">IFERROR(IF($B6957=N$1, ($A6957+$C6957) - MAX(IF($B$2:$B6956=$B6957, $A$2:$A6956+$C$2:$C6956)), "")*24*60, "")</f>
        <v/>
      </c>
      <c r="O6957" s="24" t="str" cm="1">
        <f t="array" ref="O6957">IFERROR(IF($B6957=O$1, ($A6957+$C6957) - MAX(IF($B$2:$B6956=$B6957, $A$2:$A6956+$C$2:$C6956)), "")*24*60, "")</f>
        <v/>
      </c>
      <c r="P6957" s="24" t="str" cm="1">
        <f t="array" ref="P6957">IFERROR(IF($B6957=P$1, ($A6957+$C6957) - MAX(IF($B$2:$B6956=$B6957, $A$2:$A6956+$C$2:$C6956)), "")*24*60, "")</f>
        <v/>
      </c>
      <c r="Q6957" s="24" t="str" cm="1">
        <f t="array" ref="Q6957">IFERROR(IF($B6957=Q$1, ($A6957+$C6957) - MAX(IF($B$2:$B6956=$B6957, $A$2:$A6956+$C$2:$C6956)), "")*24*60, "")</f>
        <v/>
      </c>
      <c r="R6957" s="24" t="str" cm="1">
        <f t="array" ref="R6957">IFERROR(IF($B6957=R$1, ($A6957+$C6957) - MAX(IF($B$2:$B6956=$B6957, $A$2:$A6956+$C$2:$C6956)), "")*24*60, "")</f>
        <v/>
      </c>
      <c r="S6957" s="24" t="str" cm="1">
        <f t="array" ref="S6957">IFERROR(IF($B6957=S$1, ($A6957+$C6957) - MAX(IF($B$2:$B6956=$B6957, $A$2:$A6956+$C$2:$C6956)), "")*24*60, "")</f>
        <v/>
      </c>
    </row>
    <row r="6958" spans="1:19" x14ac:dyDescent="0.2">
      <c r="A6958" s="12">
        <f t="shared" ref="A6958:C6958" si="1400">A6957</f>
        <v>45992</v>
      </c>
      <c r="B6958" s="5" t="str">
        <f t="shared" si="1400"/>
        <v>Northern Cardinal</v>
      </c>
      <c r="C6958" s="6">
        <f t="shared" si="1400"/>
        <v>0.28333333333333333</v>
      </c>
      <c r="D6958" s="5"/>
      <c r="E6958" s="5"/>
      <c r="F6958" s="5" t="s">
        <v>8</v>
      </c>
      <c r="G6958" s="15" t="s">
        <v>9</v>
      </c>
      <c r="H6958" s="24">
        <f t="shared" si="1308"/>
        <v>0</v>
      </c>
      <c r="I6958" s="24" cm="1">
        <f t="array" ref="I6958">IFERROR(IF($B6958=I$1, ($A6958+$C6958) - MAX(IF($B$2:$B6957=$B6958, $A$2:$A6957+$C$2:$C6957)), "")*24*60, "")</f>
        <v>0</v>
      </c>
      <c r="J6958" s="24" t="str" cm="1">
        <f t="array" ref="J6958">IFERROR(IF($B6958=J$1, ($A6958+$C6958) - MAX(IF($B$2:$B6957=$B6958, $A$2:$A6957+$C$2:$C6957)), "")*24*60, "")</f>
        <v/>
      </c>
      <c r="K6958" s="24" t="str" cm="1">
        <f t="array" ref="K6958">IFERROR(IF($B6958=K$1, ($A6958+$C6958) - MAX(IF($B$2:$B6957=$B6958, $A$2:$A6957+$C$2:$C6957)), "")*24*60, "")</f>
        <v/>
      </c>
      <c r="L6958" s="24" t="str" cm="1">
        <f t="array" ref="L6958">IFERROR(IF($B6958=L$1, ($A6958+$C6958) - MAX(IF($B$2:$B6957=$B6958, $A$2:$A6957+$C$2:$C6957)), "")*24*60, "")</f>
        <v/>
      </c>
      <c r="M6958" s="24" t="str" cm="1">
        <f t="array" ref="M6958">IFERROR(IF($B6958=M$1, ($A6958+$C6958) - MAX(IF($B$2:$B6957=$B6958, $A$2:$A6957+$C$2:$C6957)), "")*24*60, "")</f>
        <v/>
      </c>
      <c r="N6958" s="24" t="str" cm="1">
        <f t="array" ref="N6958">IFERROR(IF($B6958=N$1, ($A6958+$C6958) - MAX(IF($B$2:$B6957=$B6958, $A$2:$A6957+$C$2:$C6957)), "")*24*60, "")</f>
        <v/>
      </c>
      <c r="O6958" s="24" t="str" cm="1">
        <f t="array" ref="O6958">IFERROR(IF($B6958=O$1, ($A6958+$C6958) - MAX(IF($B$2:$B6957=$B6958, $A$2:$A6957+$C$2:$C6957)), "")*24*60, "")</f>
        <v/>
      </c>
      <c r="P6958" s="24" t="str" cm="1">
        <f t="array" ref="P6958">IFERROR(IF($B6958=P$1, ($A6958+$C6958) - MAX(IF($B$2:$B6957=$B6958, $A$2:$A6957+$C$2:$C6957)), "")*24*60, "")</f>
        <v/>
      </c>
      <c r="Q6958" s="24" t="str" cm="1">
        <f t="array" ref="Q6958">IFERROR(IF($B6958=Q$1, ($A6958+$C6958) - MAX(IF($B$2:$B6957=$B6958, $A$2:$A6957+$C$2:$C6957)), "")*24*60, "")</f>
        <v/>
      </c>
      <c r="R6958" s="24" t="str" cm="1">
        <f t="array" ref="R6958">IFERROR(IF($B6958=R$1, ($A6958+$C6958) - MAX(IF($B$2:$B6957=$B6958, $A$2:$A6957+$C$2:$C6957)), "")*24*60, "")</f>
        <v/>
      </c>
      <c r="S6958" s="24" t="str" cm="1">
        <f t="array" ref="S6958">IFERROR(IF($B6958=S$1, ($A6958+$C6958) - MAX(IF($B$2:$B6957=$B6958, $A$2:$A6957+$C$2:$C6957)), "")*24*60, "")</f>
        <v/>
      </c>
    </row>
    <row r="6959" spans="1:19" x14ac:dyDescent="0.2">
      <c r="A6959" s="12">
        <f t="shared" ref="A6959:C6959" si="1401">A6958</f>
        <v>45992</v>
      </c>
      <c r="B6959" s="5" t="str">
        <f t="shared" si="1401"/>
        <v>Northern Cardinal</v>
      </c>
      <c r="C6959" s="6">
        <f t="shared" si="1401"/>
        <v>0.28333333333333333</v>
      </c>
      <c r="D6959" s="5"/>
      <c r="E6959" s="5"/>
      <c r="F6959" s="5" t="s">
        <v>8</v>
      </c>
      <c r="G6959" s="15" t="s">
        <v>9</v>
      </c>
      <c r="H6959" s="24">
        <f t="shared" si="1308"/>
        <v>0</v>
      </c>
      <c r="I6959" s="24" cm="1">
        <f t="array" ref="I6959">IFERROR(IF($B6959=I$1, ($A6959+$C6959) - MAX(IF($B$2:$B6958=$B6959, $A$2:$A6958+$C$2:$C6958)), "")*24*60, "")</f>
        <v>0</v>
      </c>
      <c r="J6959" s="24" t="str" cm="1">
        <f t="array" ref="J6959">IFERROR(IF($B6959=J$1, ($A6959+$C6959) - MAX(IF($B$2:$B6958=$B6959, $A$2:$A6958+$C$2:$C6958)), "")*24*60, "")</f>
        <v/>
      </c>
      <c r="K6959" s="24" t="str" cm="1">
        <f t="array" ref="K6959">IFERROR(IF($B6959=K$1, ($A6959+$C6959) - MAX(IF($B$2:$B6958=$B6959, $A$2:$A6958+$C$2:$C6958)), "")*24*60, "")</f>
        <v/>
      </c>
      <c r="L6959" s="24" t="str" cm="1">
        <f t="array" ref="L6959">IFERROR(IF($B6959=L$1, ($A6959+$C6959) - MAX(IF($B$2:$B6958=$B6959, $A$2:$A6958+$C$2:$C6958)), "")*24*60, "")</f>
        <v/>
      </c>
      <c r="M6959" s="24" t="str" cm="1">
        <f t="array" ref="M6959">IFERROR(IF($B6959=M$1, ($A6959+$C6959) - MAX(IF($B$2:$B6958=$B6959, $A$2:$A6958+$C$2:$C6958)), "")*24*60, "")</f>
        <v/>
      </c>
      <c r="N6959" s="24" t="str" cm="1">
        <f t="array" ref="N6959">IFERROR(IF($B6959=N$1, ($A6959+$C6959) - MAX(IF($B$2:$B6958=$B6959, $A$2:$A6958+$C$2:$C6958)), "")*24*60, "")</f>
        <v/>
      </c>
      <c r="O6959" s="24" t="str" cm="1">
        <f t="array" ref="O6959">IFERROR(IF($B6959=O$1, ($A6959+$C6959) - MAX(IF($B$2:$B6958=$B6959, $A$2:$A6958+$C$2:$C6958)), "")*24*60, "")</f>
        <v/>
      </c>
      <c r="P6959" s="24" t="str" cm="1">
        <f t="array" ref="P6959">IFERROR(IF($B6959=P$1, ($A6959+$C6959) - MAX(IF($B$2:$B6958=$B6959, $A$2:$A6958+$C$2:$C6958)), "")*24*60, "")</f>
        <v/>
      </c>
      <c r="Q6959" s="24" t="str" cm="1">
        <f t="array" ref="Q6959">IFERROR(IF($B6959=Q$1, ($A6959+$C6959) - MAX(IF($B$2:$B6958=$B6959, $A$2:$A6958+$C$2:$C6958)), "")*24*60, "")</f>
        <v/>
      </c>
      <c r="R6959" s="24" t="str" cm="1">
        <f t="array" ref="R6959">IFERROR(IF($B6959=R$1, ($A6959+$C6959) - MAX(IF($B$2:$B6958=$B6959, $A$2:$A6958+$C$2:$C6958)), "")*24*60, "")</f>
        <v/>
      </c>
      <c r="S6959" s="24" t="str" cm="1">
        <f t="array" ref="S6959">IFERROR(IF($B6959=S$1, ($A6959+$C6959) - MAX(IF($B$2:$B6958=$B6959, $A$2:$A6958+$C$2:$C6958)), "")*24*60, "")</f>
        <v/>
      </c>
    </row>
    <row r="6960" spans="1:19" x14ac:dyDescent="0.2">
      <c r="A6960" s="12">
        <f t="shared" ref="A6960:C6960" si="1402">A6959</f>
        <v>45992</v>
      </c>
      <c r="B6960" s="5" t="str">
        <f t="shared" si="1402"/>
        <v>Northern Cardinal</v>
      </c>
      <c r="C6960" s="6">
        <f t="shared" si="1402"/>
        <v>0.28333333333333333</v>
      </c>
      <c r="D6960" s="5"/>
      <c r="E6960" s="5"/>
      <c r="F6960" s="5" t="s">
        <v>8</v>
      </c>
      <c r="G6960" s="15" t="s">
        <v>9</v>
      </c>
      <c r="H6960" s="24">
        <f t="shared" si="1308"/>
        <v>0</v>
      </c>
      <c r="I6960" s="24" cm="1">
        <f t="array" ref="I6960">IFERROR(IF($B6960=I$1, ($A6960+$C6960) - MAX(IF($B$2:$B6959=$B6960, $A$2:$A6959+$C$2:$C6959)), "")*24*60, "")</f>
        <v>0</v>
      </c>
      <c r="J6960" s="24" t="str" cm="1">
        <f t="array" ref="J6960">IFERROR(IF($B6960=J$1, ($A6960+$C6960) - MAX(IF($B$2:$B6959=$B6960, $A$2:$A6959+$C$2:$C6959)), "")*24*60, "")</f>
        <v/>
      </c>
      <c r="K6960" s="24" t="str" cm="1">
        <f t="array" ref="K6960">IFERROR(IF($B6960=K$1, ($A6960+$C6960) - MAX(IF($B$2:$B6959=$B6960, $A$2:$A6959+$C$2:$C6959)), "")*24*60, "")</f>
        <v/>
      </c>
      <c r="L6960" s="24" t="str" cm="1">
        <f t="array" ref="L6960">IFERROR(IF($B6960=L$1, ($A6960+$C6960) - MAX(IF($B$2:$B6959=$B6960, $A$2:$A6959+$C$2:$C6959)), "")*24*60, "")</f>
        <v/>
      </c>
      <c r="M6960" s="24" t="str" cm="1">
        <f t="array" ref="M6960">IFERROR(IF($B6960=M$1, ($A6960+$C6960) - MAX(IF($B$2:$B6959=$B6960, $A$2:$A6959+$C$2:$C6959)), "")*24*60, "")</f>
        <v/>
      </c>
      <c r="N6960" s="24" t="str" cm="1">
        <f t="array" ref="N6960">IFERROR(IF($B6960=N$1, ($A6960+$C6960) - MAX(IF($B$2:$B6959=$B6960, $A$2:$A6959+$C$2:$C6959)), "")*24*60, "")</f>
        <v/>
      </c>
      <c r="O6960" s="24" t="str" cm="1">
        <f t="array" ref="O6960">IFERROR(IF($B6960=O$1, ($A6960+$C6960) - MAX(IF($B$2:$B6959=$B6960, $A$2:$A6959+$C$2:$C6959)), "")*24*60, "")</f>
        <v/>
      </c>
      <c r="P6960" s="24" t="str" cm="1">
        <f t="array" ref="P6960">IFERROR(IF($B6960=P$1, ($A6960+$C6960) - MAX(IF($B$2:$B6959=$B6960, $A$2:$A6959+$C$2:$C6959)), "")*24*60, "")</f>
        <v/>
      </c>
      <c r="Q6960" s="24" t="str" cm="1">
        <f t="array" ref="Q6960">IFERROR(IF($B6960=Q$1, ($A6960+$C6960) - MAX(IF($B$2:$B6959=$B6960, $A$2:$A6959+$C$2:$C6959)), "")*24*60, "")</f>
        <v/>
      </c>
      <c r="R6960" s="24" t="str" cm="1">
        <f t="array" ref="R6960">IFERROR(IF($B6960=R$1, ($A6960+$C6960) - MAX(IF($B$2:$B6959=$B6960, $A$2:$A6959+$C$2:$C6959)), "")*24*60, "")</f>
        <v/>
      </c>
      <c r="S6960" s="24" t="str" cm="1">
        <f t="array" ref="S6960">IFERROR(IF($B6960=S$1, ($A6960+$C6960) - MAX(IF($B$2:$B6959=$B6960, $A$2:$A6959+$C$2:$C6959)), "")*24*60, "")</f>
        <v/>
      </c>
    </row>
    <row r="6961" spans="1:19" x14ac:dyDescent="0.2">
      <c r="A6961" s="12">
        <f t="shared" ref="A6961:C6961" si="1403">A6960</f>
        <v>45992</v>
      </c>
      <c r="B6961" s="5" t="str">
        <f t="shared" si="1403"/>
        <v>Northern Cardinal</v>
      </c>
      <c r="C6961" s="6">
        <f t="shared" si="1403"/>
        <v>0.28333333333333333</v>
      </c>
      <c r="D6961" s="5"/>
      <c r="E6961" s="5"/>
      <c r="F6961" s="5" t="s">
        <v>8</v>
      </c>
      <c r="G6961" s="15" t="s">
        <v>9</v>
      </c>
      <c r="H6961" s="24">
        <f t="shared" si="1308"/>
        <v>0</v>
      </c>
      <c r="I6961" s="24" cm="1">
        <f t="array" ref="I6961">IFERROR(IF($B6961=I$1, ($A6961+$C6961) - MAX(IF($B$2:$B6960=$B6961, $A$2:$A6960+$C$2:$C6960)), "")*24*60, "")</f>
        <v>0</v>
      </c>
      <c r="J6961" s="24" t="str" cm="1">
        <f t="array" ref="J6961">IFERROR(IF($B6961=J$1, ($A6961+$C6961) - MAX(IF($B$2:$B6960=$B6961, $A$2:$A6960+$C$2:$C6960)), "")*24*60, "")</f>
        <v/>
      </c>
      <c r="K6961" s="24" t="str" cm="1">
        <f t="array" ref="K6961">IFERROR(IF($B6961=K$1, ($A6961+$C6961) - MAX(IF($B$2:$B6960=$B6961, $A$2:$A6960+$C$2:$C6960)), "")*24*60, "")</f>
        <v/>
      </c>
      <c r="L6961" s="24" t="str" cm="1">
        <f t="array" ref="L6961">IFERROR(IF($B6961=L$1, ($A6961+$C6961) - MAX(IF($B$2:$B6960=$B6961, $A$2:$A6960+$C$2:$C6960)), "")*24*60, "")</f>
        <v/>
      </c>
      <c r="M6961" s="24" t="str" cm="1">
        <f t="array" ref="M6961">IFERROR(IF($B6961=M$1, ($A6961+$C6961) - MAX(IF($B$2:$B6960=$B6961, $A$2:$A6960+$C$2:$C6960)), "")*24*60, "")</f>
        <v/>
      </c>
      <c r="N6961" s="24" t="str" cm="1">
        <f t="array" ref="N6961">IFERROR(IF($B6961=N$1, ($A6961+$C6961) - MAX(IF($B$2:$B6960=$B6961, $A$2:$A6960+$C$2:$C6960)), "")*24*60, "")</f>
        <v/>
      </c>
      <c r="O6961" s="24" t="str" cm="1">
        <f t="array" ref="O6961">IFERROR(IF($B6961=O$1, ($A6961+$C6961) - MAX(IF($B$2:$B6960=$B6961, $A$2:$A6960+$C$2:$C6960)), "")*24*60, "")</f>
        <v/>
      </c>
      <c r="P6961" s="24" t="str" cm="1">
        <f t="array" ref="P6961">IFERROR(IF($B6961=P$1, ($A6961+$C6961) - MAX(IF($B$2:$B6960=$B6961, $A$2:$A6960+$C$2:$C6960)), "")*24*60, "")</f>
        <v/>
      </c>
      <c r="Q6961" s="24" t="str" cm="1">
        <f t="array" ref="Q6961">IFERROR(IF($B6961=Q$1, ($A6961+$C6961) - MAX(IF($B$2:$B6960=$B6961, $A$2:$A6960+$C$2:$C6960)), "")*24*60, "")</f>
        <v/>
      </c>
      <c r="R6961" s="24" t="str" cm="1">
        <f t="array" ref="R6961">IFERROR(IF($B6961=R$1, ($A6961+$C6961) - MAX(IF($B$2:$B6960=$B6961, $A$2:$A6960+$C$2:$C6960)), "")*24*60, "")</f>
        <v/>
      </c>
      <c r="S6961" s="24" t="str" cm="1">
        <f t="array" ref="S6961">IFERROR(IF($B6961=S$1, ($A6961+$C6961) - MAX(IF($B$2:$B6960=$B6961, $A$2:$A6960+$C$2:$C6960)), "")*24*60, "")</f>
        <v/>
      </c>
    </row>
    <row r="6962" spans="1:19" x14ac:dyDescent="0.2">
      <c r="A6962" s="12">
        <f t="shared" ref="A6962:C6962" si="1404">A6961</f>
        <v>45992</v>
      </c>
      <c r="B6962" s="5" t="str">
        <f t="shared" si="1404"/>
        <v>Northern Cardinal</v>
      </c>
      <c r="C6962" s="6">
        <f t="shared" si="1404"/>
        <v>0.28333333333333333</v>
      </c>
      <c r="D6962" s="5"/>
      <c r="E6962" s="5"/>
      <c r="F6962" s="5" t="s">
        <v>8</v>
      </c>
      <c r="G6962" s="15" t="s">
        <v>9</v>
      </c>
      <c r="H6962" s="24">
        <f t="shared" si="1308"/>
        <v>0</v>
      </c>
      <c r="I6962" s="24" cm="1">
        <f t="array" ref="I6962">IFERROR(IF($B6962=I$1, ($A6962+$C6962) - MAX(IF($B$2:$B6961=$B6962, $A$2:$A6961+$C$2:$C6961)), "")*24*60, "")</f>
        <v>0</v>
      </c>
      <c r="J6962" s="24" t="str" cm="1">
        <f t="array" ref="J6962">IFERROR(IF($B6962=J$1, ($A6962+$C6962) - MAX(IF($B$2:$B6961=$B6962, $A$2:$A6961+$C$2:$C6961)), "")*24*60, "")</f>
        <v/>
      </c>
      <c r="K6962" s="24" t="str" cm="1">
        <f t="array" ref="K6962">IFERROR(IF($B6962=K$1, ($A6962+$C6962) - MAX(IF($B$2:$B6961=$B6962, $A$2:$A6961+$C$2:$C6961)), "")*24*60, "")</f>
        <v/>
      </c>
      <c r="L6962" s="24" t="str" cm="1">
        <f t="array" ref="L6962">IFERROR(IF($B6962=L$1, ($A6962+$C6962) - MAX(IF($B$2:$B6961=$B6962, $A$2:$A6961+$C$2:$C6961)), "")*24*60, "")</f>
        <v/>
      </c>
      <c r="M6962" s="24" t="str" cm="1">
        <f t="array" ref="M6962">IFERROR(IF($B6962=M$1, ($A6962+$C6962) - MAX(IF($B$2:$B6961=$B6962, $A$2:$A6961+$C$2:$C6961)), "")*24*60, "")</f>
        <v/>
      </c>
      <c r="N6962" s="24" t="str" cm="1">
        <f t="array" ref="N6962">IFERROR(IF($B6962=N$1, ($A6962+$C6962) - MAX(IF($B$2:$B6961=$B6962, $A$2:$A6961+$C$2:$C6961)), "")*24*60, "")</f>
        <v/>
      </c>
      <c r="O6962" s="24" t="str" cm="1">
        <f t="array" ref="O6962">IFERROR(IF($B6962=O$1, ($A6962+$C6962) - MAX(IF($B$2:$B6961=$B6962, $A$2:$A6961+$C$2:$C6961)), "")*24*60, "")</f>
        <v/>
      </c>
      <c r="P6962" s="24" t="str" cm="1">
        <f t="array" ref="P6962">IFERROR(IF($B6962=P$1, ($A6962+$C6962) - MAX(IF($B$2:$B6961=$B6962, $A$2:$A6961+$C$2:$C6961)), "")*24*60, "")</f>
        <v/>
      </c>
      <c r="Q6962" s="24" t="str" cm="1">
        <f t="array" ref="Q6962">IFERROR(IF($B6962=Q$1, ($A6962+$C6962) - MAX(IF($B$2:$B6961=$B6962, $A$2:$A6961+$C$2:$C6961)), "")*24*60, "")</f>
        <v/>
      </c>
      <c r="R6962" s="24" t="str" cm="1">
        <f t="array" ref="R6962">IFERROR(IF($B6962=R$1, ($A6962+$C6962) - MAX(IF($B$2:$B6961=$B6962, $A$2:$A6961+$C$2:$C6961)), "")*24*60, "")</f>
        <v/>
      </c>
      <c r="S6962" s="24" t="str" cm="1">
        <f t="array" ref="S6962">IFERROR(IF($B6962=S$1, ($A6962+$C6962) - MAX(IF($B$2:$B6961=$B6962, $A$2:$A6961+$C$2:$C6961)), "")*24*60, "")</f>
        <v/>
      </c>
    </row>
    <row r="6963" spans="1:19" x14ac:dyDescent="0.2">
      <c r="A6963" s="12">
        <f t="shared" ref="A6963:C6963" si="1405">A6962</f>
        <v>45992</v>
      </c>
      <c r="B6963" s="5" t="str">
        <f t="shared" si="1405"/>
        <v>Northern Cardinal</v>
      </c>
      <c r="C6963" s="6">
        <f t="shared" si="1405"/>
        <v>0.28333333333333333</v>
      </c>
      <c r="D6963" s="5"/>
      <c r="E6963" s="5"/>
      <c r="F6963" s="5" t="s">
        <v>8</v>
      </c>
      <c r="G6963" s="15" t="s">
        <v>9</v>
      </c>
      <c r="H6963" s="24">
        <f t="shared" si="1308"/>
        <v>0</v>
      </c>
      <c r="I6963" s="24" cm="1">
        <f t="array" ref="I6963">IFERROR(IF($B6963=I$1, ($A6963+$C6963) - MAX(IF($B$2:$B6962=$B6963, $A$2:$A6962+$C$2:$C6962)), "")*24*60, "")</f>
        <v>0</v>
      </c>
      <c r="J6963" s="24" t="str" cm="1">
        <f t="array" ref="J6963">IFERROR(IF($B6963=J$1, ($A6963+$C6963) - MAX(IF($B$2:$B6962=$B6963, $A$2:$A6962+$C$2:$C6962)), "")*24*60, "")</f>
        <v/>
      </c>
      <c r="K6963" s="24" t="str" cm="1">
        <f t="array" ref="K6963">IFERROR(IF($B6963=K$1, ($A6963+$C6963) - MAX(IF($B$2:$B6962=$B6963, $A$2:$A6962+$C$2:$C6962)), "")*24*60, "")</f>
        <v/>
      </c>
      <c r="L6963" s="24" t="str" cm="1">
        <f t="array" ref="L6963">IFERROR(IF($B6963=L$1, ($A6963+$C6963) - MAX(IF($B$2:$B6962=$B6963, $A$2:$A6962+$C$2:$C6962)), "")*24*60, "")</f>
        <v/>
      </c>
      <c r="M6963" s="24" t="str" cm="1">
        <f t="array" ref="M6963">IFERROR(IF($B6963=M$1, ($A6963+$C6963) - MAX(IF($B$2:$B6962=$B6963, $A$2:$A6962+$C$2:$C6962)), "")*24*60, "")</f>
        <v/>
      </c>
      <c r="N6963" s="24" t="str" cm="1">
        <f t="array" ref="N6963">IFERROR(IF($B6963=N$1, ($A6963+$C6963) - MAX(IF($B$2:$B6962=$B6963, $A$2:$A6962+$C$2:$C6962)), "")*24*60, "")</f>
        <v/>
      </c>
      <c r="O6963" s="24" t="str" cm="1">
        <f t="array" ref="O6963">IFERROR(IF($B6963=O$1, ($A6963+$C6963) - MAX(IF($B$2:$B6962=$B6963, $A$2:$A6962+$C$2:$C6962)), "")*24*60, "")</f>
        <v/>
      </c>
      <c r="P6963" s="24" t="str" cm="1">
        <f t="array" ref="P6963">IFERROR(IF($B6963=P$1, ($A6963+$C6963) - MAX(IF($B$2:$B6962=$B6963, $A$2:$A6962+$C$2:$C6962)), "")*24*60, "")</f>
        <v/>
      </c>
      <c r="Q6963" s="24" t="str" cm="1">
        <f t="array" ref="Q6963">IFERROR(IF($B6963=Q$1, ($A6963+$C6963) - MAX(IF($B$2:$B6962=$B6963, $A$2:$A6962+$C$2:$C6962)), "")*24*60, "")</f>
        <v/>
      </c>
      <c r="R6963" s="24" t="str" cm="1">
        <f t="array" ref="R6963">IFERROR(IF($B6963=R$1, ($A6963+$C6963) - MAX(IF($B$2:$B6962=$B6963, $A$2:$A6962+$C$2:$C6962)), "")*24*60, "")</f>
        <v/>
      </c>
      <c r="S6963" s="24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f t="shared" ref="A6964:C6964" si="1406">A6963</f>
        <v>45992</v>
      </c>
      <c r="B6964" s="5" t="str">
        <f t="shared" si="1406"/>
        <v>Northern Cardinal</v>
      </c>
      <c r="C6964" s="6">
        <f t="shared" si="1406"/>
        <v>0.28333333333333333</v>
      </c>
      <c r="D6964" s="5"/>
      <c r="E6964" s="5"/>
      <c r="F6964" s="5" t="s">
        <v>8</v>
      </c>
      <c r="G6964" s="15" t="s">
        <v>9</v>
      </c>
      <c r="H6964" s="24">
        <f t="shared" si="1308"/>
        <v>0</v>
      </c>
      <c r="I6964" s="24" cm="1">
        <f t="array" ref="I6964">IFERROR(IF($B6964=I$1, ($A6964+$C6964) - MAX(IF($B$2:$B6963=$B6964, $A$2:$A6963+$C$2:$C6963)), "")*24*60, "")</f>
        <v>0</v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t="str" cm="1">
        <f t="array" ref="O6964">IFERROR(IF($B6964=O$1, ($A6964+$C6964) - MAX(IF($B$2:$B6963=$B6964, $A$2:$A6963+$C$2:$C6963)), "")*24*60, "")</f>
        <v/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407">A6964</f>
        <v>45992</v>
      </c>
      <c r="B6965" s="5" t="str">
        <f t="shared" si="1407"/>
        <v>Northern Cardinal</v>
      </c>
      <c r="C6965" s="6">
        <f t="shared" si="1407"/>
        <v>0.28333333333333333</v>
      </c>
      <c r="D6965" s="5"/>
      <c r="E6965" s="5"/>
      <c r="F6965" s="5" t="s">
        <v>8</v>
      </c>
      <c r="G6965" s="15" t="s">
        <v>9</v>
      </c>
      <c r="H6965" s="24">
        <f t="shared" si="1308"/>
        <v>0</v>
      </c>
      <c r="I6965" s="24" cm="1">
        <f t="array" ref="I6965">IFERROR(IF($B6965=I$1, ($A6965+$C6965) - MAX(IF($B$2:$B6964=$B6965, $A$2:$A6964+$C$2:$C6964)), "")*24*60, "")</f>
        <v>0</v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t="str" cm="1">
        <f t="array" ref="O6965">IFERROR(IF($B6965=O$1, ($A6965+$C6965) - MAX(IF($B$2:$B6964=$B6965, $A$2:$A6964+$C$2:$C6964)), "")*24*60, "")</f>
        <v/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408">A6965</f>
        <v>45992</v>
      </c>
      <c r="B6966" s="5" t="str">
        <f t="shared" si="1408"/>
        <v>Northern Cardinal</v>
      </c>
      <c r="C6966" s="6">
        <f t="shared" si="1408"/>
        <v>0.28333333333333333</v>
      </c>
      <c r="D6966" s="5"/>
      <c r="E6966" s="5"/>
      <c r="F6966" s="5" t="s">
        <v>8</v>
      </c>
      <c r="G6966" s="15" t="s">
        <v>9</v>
      </c>
      <c r="H6966" s="24">
        <f t="shared" si="1308"/>
        <v>0</v>
      </c>
      <c r="I6966" s="24" cm="1">
        <f t="array" ref="I6966">IFERROR(IF($B6966=I$1, ($A6966+$C6966) - MAX(IF($B$2:$B6965=$B6966, $A$2:$A6965+$C$2:$C6965)), "")*24*60, "")</f>
        <v>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409">A6966</f>
        <v>45992</v>
      </c>
      <c r="B6967" s="5" t="str">
        <f t="shared" si="1409"/>
        <v>Northern Cardinal</v>
      </c>
      <c r="C6967" s="6">
        <f t="shared" si="1409"/>
        <v>0.28333333333333333</v>
      </c>
      <c r="D6967" s="5"/>
      <c r="E6967" s="5"/>
      <c r="F6967" s="5" t="s">
        <v>8</v>
      </c>
      <c r="G6967" s="15" t="s">
        <v>9</v>
      </c>
      <c r="H6967" s="24">
        <f t="shared" si="1308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410">A6967</f>
        <v>45992</v>
      </c>
      <c r="B6968" s="5" t="str">
        <f t="shared" si="1410"/>
        <v>Northern Cardinal</v>
      </c>
      <c r="C6968" s="6">
        <f t="shared" si="1410"/>
        <v>0.28333333333333333</v>
      </c>
      <c r="D6968" s="5"/>
      <c r="E6968" s="5"/>
      <c r="F6968" s="5" t="s">
        <v>8</v>
      </c>
      <c r="G6968" s="15" t="s">
        <v>9</v>
      </c>
      <c r="H6968" s="24">
        <f t="shared" si="1308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411">A6968</f>
        <v>45992</v>
      </c>
      <c r="B6969" s="5" t="str">
        <f t="shared" si="1411"/>
        <v>Northern Cardinal</v>
      </c>
      <c r="C6969" s="6">
        <f t="shared" si="1411"/>
        <v>0.28333333333333333</v>
      </c>
      <c r="D6969" s="5"/>
      <c r="E6969" s="5"/>
      <c r="F6969" s="5" t="s">
        <v>8</v>
      </c>
      <c r="G6969" s="15" t="s">
        <v>9</v>
      </c>
      <c r="H6969" s="24">
        <f t="shared" si="1308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412">A6969</f>
        <v>45992</v>
      </c>
      <c r="B6970" s="5" t="str">
        <f t="shared" si="1412"/>
        <v>Northern Cardinal</v>
      </c>
      <c r="C6970" s="6">
        <f t="shared" si="1412"/>
        <v>0.28333333333333333</v>
      </c>
      <c r="D6970" s="5"/>
      <c r="E6970" s="5"/>
      <c r="F6970" s="5" t="s">
        <v>8</v>
      </c>
      <c r="G6970" s="15" t="s">
        <v>9</v>
      </c>
      <c r="H6970" s="24">
        <f t="shared" si="1308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413">A6970</f>
        <v>45992</v>
      </c>
      <c r="B6971" s="5" t="str">
        <f t="shared" si="1413"/>
        <v>Northern Cardinal</v>
      </c>
      <c r="C6971" s="6">
        <f t="shared" si="1413"/>
        <v>0.28333333333333333</v>
      </c>
      <c r="D6971" s="5"/>
      <c r="E6971" s="5"/>
      <c r="F6971" s="5" t="s">
        <v>8</v>
      </c>
      <c r="G6971" s="15" t="s">
        <v>9</v>
      </c>
      <c r="H6971" s="24">
        <f t="shared" si="1308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414">A6971</f>
        <v>45992</v>
      </c>
      <c r="B6972" s="5" t="str">
        <f t="shared" si="1414"/>
        <v>Northern Cardinal</v>
      </c>
      <c r="C6972" s="6">
        <f t="shared" si="1414"/>
        <v>0.28333333333333333</v>
      </c>
      <c r="D6972" s="5"/>
      <c r="E6972" s="5"/>
      <c r="F6972" s="5" t="s">
        <v>8</v>
      </c>
      <c r="G6972" s="15" t="s">
        <v>9</v>
      </c>
      <c r="H6972" s="24">
        <f t="shared" si="1308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415">A6972</f>
        <v>45992</v>
      </c>
      <c r="B6973" s="5" t="str">
        <f t="shared" si="1415"/>
        <v>Northern Cardinal</v>
      </c>
      <c r="C6973" s="6">
        <f t="shared" si="1415"/>
        <v>0.28333333333333333</v>
      </c>
      <c r="D6973" s="5"/>
      <c r="E6973" s="5"/>
      <c r="F6973" s="5" t="s">
        <v>8</v>
      </c>
      <c r="G6973" s="15" t="s">
        <v>9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416">A6973</f>
        <v>45992</v>
      </c>
      <c r="B6974" s="5" t="str">
        <f t="shared" si="1416"/>
        <v>Northern Cardinal</v>
      </c>
      <c r="C6974" s="6">
        <f t="shared" si="1416"/>
        <v>0.28333333333333333</v>
      </c>
      <c r="D6974" s="5"/>
      <c r="E6974" s="5"/>
      <c r="F6974" s="5" t="s">
        <v>8</v>
      </c>
      <c r="G6974" s="15" t="s">
        <v>9</v>
      </c>
      <c r="H6974" s="24">
        <f t="shared" si="1308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417">A6974</f>
        <v>45992</v>
      </c>
      <c r="B6975" s="5" t="str">
        <f t="shared" si="1417"/>
        <v>Northern Cardinal</v>
      </c>
      <c r="C6975" s="6">
        <f t="shared" si="1417"/>
        <v>0.28333333333333333</v>
      </c>
      <c r="D6975" s="5"/>
      <c r="E6975" s="5"/>
      <c r="F6975" s="5" t="s">
        <v>8</v>
      </c>
      <c r="G6975" s="15" t="s">
        <v>9</v>
      </c>
      <c r="H6975" s="24">
        <f t="shared" si="1308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418">A6975</f>
        <v>45992</v>
      </c>
      <c r="B6976" s="5" t="str">
        <f t="shared" si="1418"/>
        <v>Northern Cardinal</v>
      </c>
      <c r="C6976" s="6">
        <f t="shared" si="1418"/>
        <v>0.28333333333333333</v>
      </c>
      <c r="D6976" s="5"/>
      <c r="E6976" s="5"/>
      <c r="F6976" s="5" t="s">
        <v>8</v>
      </c>
      <c r="G6976" s="15" t="s">
        <v>9</v>
      </c>
      <c r="H6976" s="24">
        <f t="shared" si="1308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419">A6976</f>
        <v>45992</v>
      </c>
      <c r="B6977" s="5" t="str">
        <f t="shared" si="1419"/>
        <v>Northern Cardinal</v>
      </c>
      <c r="C6977" s="6">
        <f t="shared" si="1419"/>
        <v>0.28333333333333333</v>
      </c>
      <c r="D6977" s="5"/>
      <c r="E6977" s="5"/>
      <c r="F6977" s="5" t="s">
        <v>8</v>
      </c>
      <c r="G6977" s="15" t="s">
        <v>9</v>
      </c>
      <c r="H6977" s="24">
        <f t="shared" si="1308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420">A6977</f>
        <v>45992</v>
      </c>
      <c r="B6978" s="5" t="str">
        <f t="shared" si="1420"/>
        <v>Northern Cardinal</v>
      </c>
      <c r="C6978" s="6">
        <f t="shared" si="1420"/>
        <v>0.28333333333333333</v>
      </c>
      <c r="D6978" s="5"/>
      <c r="E6978" s="5"/>
      <c r="F6978" s="5" t="s">
        <v>8</v>
      </c>
      <c r="G6978" s="15" t="s">
        <v>9</v>
      </c>
      <c r="H6978" s="24">
        <f t="shared" si="1308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421">A6978</f>
        <v>45992</v>
      </c>
      <c r="B6979" s="5" t="str">
        <f t="shared" si="1421"/>
        <v>Northern Cardinal</v>
      </c>
      <c r="C6979" s="6">
        <f t="shared" si="1421"/>
        <v>0.28333333333333333</v>
      </c>
      <c r="D6979" s="5"/>
      <c r="E6979" s="5"/>
      <c r="F6979" s="5" t="s">
        <v>8</v>
      </c>
      <c r="G6979" s="15" t="s">
        <v>9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422">A6979</f>
        <v>45992</v>
      </c>
      <c r="B6980" s="5" t="str">
        <f t="shared" si="1422"/>
        <v>Northern Cardinal</v>
      </c>
      <c r="C6980" s="6">
        <f t="shared" si="1422"/>
        <v>0.28333333333333333</v>
      </c>
      <c r="D6980" s="5"/>
      <c r="E6980" s="5"/>
      <c r="F6980" s="5" t="s">
        <v>8</v>
      </c>
      <c r="G6980" s="15" t="s">
        <v>9</v>
      </c>
      <c r="H6980" s="24">
        <f t="shared" si="1308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423">A6980</f>
        <v>45992</v>
      </c>
      <c r="B6981" s="5" t="str">
        <f t="shared" si="1423"/>
        <v>Northern Cardinal</v>
      </c>
      <c r="C6981" s="6">
        <f t="shared" si="1423"/>
        <v>0.28333333333333333</v>
      </c>
      <c r="D6981" s="5"/>
      <c r="E6981" s="5"/>
      <c r="F6981" s="5" t="s">
        <v>8</v>
      </c>
      <c r="G6981" s="15" t="s">
        <v>9</v>
      </c>
      <c r="H6981" s="24">
        <f t="shared" si="1308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424">A6981</f>
        <v>45992</v>
      </c>
      <c r="B6982" s="5" t="str">
        <f t="shared" si="1424"/>
        <v>Northern Cardinal</v>
      </c>
      <c r="C6982" s="6">
        <f t="shared" si="1424"/>
        <v>0.28333333333333333</v>
      </c>
      <c r="D6982" s="5"/>
      <c r="E6982" s="5"/>
      <c r="F6982" s="5" t="s">
        <v>8</v>
      </c>
      <c r="G6982" s="15" t="s">
        <v>9</v>
      </c>
      <c r="H6982" s="24">
        <f t="shared" si="1308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425">A6982</f>
        <v>45992</v>
      </c>
      <c r="B6983" s="5" t="str">
        <f t="shared" si="1425"/>
        <v>Northern Cardinal</v>
      </c>
      <c r="C6983" s="6">
        <f t="shared" si="1425"/>
        <v>0.28333333333333333</v>
      </c>
      <c r="D6983" s="5"/>
      <c r="E6983" s="5"/>
      <c r="F6983" s="5" t="s">
        <v>8</v>
      </c>
      <c r="G6983" s="15" t="s">
        <v>9</v>
      </c>
      <c r="H6983" s="24">
        <f t="shared" si="1308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426">A6983</f>
        <v>45992</v>
      </c>
      <c r="B6984" s="5" t="str">
        <f t="shared" si="1426"/>
        <v>Northern Cardinal</v>
      </c>
      <c r="C6984" s="6">
        <f t="shared" si="1426"/>
        <v>0.28333333333333333</v>
      </c>
      <c r="D6984" s="5"/>
      <c r="E6984" s="5"/>
      <c r="F6984" s="5" t="s">
        <v>8</v>
      </c>
      <c r="G6984" s="15" t="s">
        <v>9</v>
      </c>
      <c r="H6984" s="24">
        <f t="shared" si="1308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427">A6984</f>
        <v>45992</v>
      </c>
      <c r="B6985" s="5" t="str">
        <f t="shared" si="1427"/>
        <v>Northern Cardinal</v>
      </c>
      <c r="C6985" s="6">
        <f t="shared" si="1427"/>
        <v>0.28333333333333333</v>
      </c>
      <c r="D6985" s="5"/>
      <c r="E6985" s="5"/>
      <c r="F6985" s="5" t="s">
        <v>8</v>
      </c>
      <c r="G6985" s="15" t="s">
        <v>9</v>
      </c>
      <c r="H6985" s="24">
        <f t="shared" si="1308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428">A6985</f>
        <v>45992</v>
      </c>
      <c r="B6986" s="5" t="str">
        <f t="shared" si="1428"/>
        <v>Northern Cardinal</v>
      </c>
      <c r="C6986" s="6">
        <f t="shared" si="1428"/>
        <v>0.28333333333333333</v>
      </c>
      <c r="D6986" s="5"/>
      <c r="E6986" s="5"/>
      <c r="F6986" s="5" t="s">
        <v>8</v>
      </c>
      <c r="G6986" s="15" t="s">
        <v>9</v>
      </c>
      <c r="H6986" s="24">
        <f t="shared" si="1308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429">A6986</f>
        <v>45992</v>
      </c>
      <c r="B6987" s="5" t="str">
        <f t="shared" si="1429"/>
        <v>Northern Cardinal</v>
      </c>
      <c r="C6987" s="6">
        <f t="shared" si="1429"/>
        <v>0.28333333333333333</v>
      </c>
      <c r="D6987" s="5"/>
      <c r="E6987" s="5"/>
      <c r="F6987" s="5" t="s">
        <v>8</v>
      </c>
      <c r="G6987" s="15" t="s">
        <v>9</v>
      </c>
      <c r="H6987" s="24">
        <f t="shared" si="1308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430">A6987</f>
        <v>45992</v>
      </c>
      <c r="B6988" s="5" t="str">
        <f t="shared" si="1430"/>
        <v>Northern Cardinal</v>
      </c>
      <c r="C6988" s="6">
        <f t="shared" si="1430"/>
        <v>0.28333333333333333</v>
      </c>
      <c r="D6988" s="5"/>
      <c r="E6988" s="5"/>
      <c r="F6988" s="5" t="s">
        <v>8</v>
      </c>
      <c r="G6988" s="15" t="s">
        <v>9</v>
      </c>
      <c r="H6988" s="24">
        <f t="shared" si="1308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431">A6988</f>
        <v>45992</v>
      </c>
      <c r="B6989" s="5" t="str">
        <f t="shared" si="1431"/>
        <v>Northern Cardinal</v>
      </c>
      <c r="C6989" s="6">
        <f t="shared" si="1431"/>
        <v>0.28333333333333333</v>
      </c>
      <c r="D6989" s="5"/>
      <c r="E6989" s="5"/>
      <c r="F6989" s="5" t="s">
        <v>8</v>
      </c>
      <c r="G6989" s="15" t="s">
        <v>9</v>
      </c>
      <c r="H6989" s="24">
        <f t="shared" si="1308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432">A6989</f>
        <v>45992</v>
      </c>
      <c r="B6990" s="5" t="str">
        <f t="shared" si="1432"/>
        <v>Northern Cardinal</v>
      </c>
      <c r="C6990" s="6">
        <f t="shared" si="1432"/>
        <v>0.28333333333333333</v>
      </c>
      <c r="D6990" s="5"/>
      <c r="E6990" s="5"/>
      <c r="F6990" s="5" t="s">
        <v>8</v>
      </c>
      <c r="G6990" s="15" t="s">
        <v>9</v>
      </c>
      <c r="H6990" s="24">
        <f t="shared" si="1308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433">A6990</f>
        <v>45992</v>
      </c>
      <c r="B6991" s="5" t="str">
        <f t="shared" si="1433"/>
        <v>Northern Cardinal</v>
      </c>
      <c r="C6991" s="6">
        <f t="shared" si="1433"/>
        <v>0.28333333333333333</v>
      </c>
      <c r="D6991" s="5"/>
      <c r="E6991" s="5"/>
      <c r="F6991" s="5" t="s">
        <v>8</v>
      </c>
      <c r="G6991" s="15" t="s">
        <v>9</v>
      </c>
      <c r="H6991" s="24">
        <f t="shared" si="1308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434">A6991</f>
        <v>45992</v>
      </c>
      <c r="B6992" s="5" t="str">
        <f t="shared" si="1434"/>
        <v>Northern Cardinal</v>
      </c>
      <c r="C6992" s="6">
        <f t="shared" si="1434"/>
        <v>0.28333333333333333</v>
      </c>
      <c r="D6992" s="5"/>
      <c r="E6992" s="5"/>
      <c r="F6992" s="5" t="s">
        <v>8</v>
      </c>
      <c r="G6992" s="15" t="s">
        <v>9</v>
      </c>
      <c r="H6992" s="24">
        <f t="shared" si="1308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435">A6992</f>
        <v>45992</v>
      </c>
      <c r="B6993" s="5" t="str">
        <f t="shared" si="1435"/>
        <v>Northern Cardinal</v>
      </c>
      <c r="C6993" s="6">
        <f t="shared" si="1435"/>
        <v>0.28333333333333333</v>
      </c>
      <c r="D6993" s="5"/>
      <c r="E6993" s="5"/>
      <c r="F6993" s="5" t="s">
        <v>8</v>
      </c>
      <c r="G6993" s="15" t="s">
        <v>9</v>
      </c>
      <c r="H6993" s="24">
        <f t="shared" si="1308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436">A6993</f>
        <v>45992</v>
      </c>
      <c r="B6994" s="5" t="str">
        <f t="shared" si="1436"/>
        <v>Northern Cardinal</v>
      </c>
      <c r="C6994" s="6">
        <f t="shared" si="1436"/>
        <v>0.28333333333333333</v>
      </c>
      <c r="D6994" s="5"/>
      <c r="E6994" s="5"/>
      <c r="F6994" s="5" t="s">
        <v>8</v>
      </c>
      <c r="G6994" s="15" t="s">
        <v>9</v>
      </c>
      <c r="H6994" s="24">
        <f t="shared" si="1308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437">A6994</f>
        <v>45992</v>
      </c>
      <c r="B6995" s="5" t="str">
        <f t="shared" si="1437"/>
        <v>Northern Cardinal</v>
      </c>
      <c r="C6995" s="6">
        <f t="shared" si="1437"/>
        <v>0.28333333333333333</v>
      </c>
      <c r="D6995" s="5"/>
      <c r="E6995" s="5"/>
      <c r="F6995" s="5" t="s">
        <v>8</v>
      </c>
      <c r="G6995" s="15" t="s">
        <v>9</v>
      </c>
      <c r="H6995" s="24">
        <f t="shared" si="1308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438">A6995</f>
        <v>45992</v>
      </c>
      <c r="B6996" s="5" t="str">
        <f t="shared" si="1438"/>
        <v>Northern Cardinal</v>
      </c>
      <c r="C6996" s="6">
        <f t="shared" si="1438"/>
        <v>0.28333333333333333</v>
      </c>
      <c r="D6996" s="5"/>
      <c r="E6996" s="5"/>
      <c r="F6996" s="5" t="s">
        <v>8</v>
      </c>
      <c r="G6996" s="15" t="s">
        <v>9</v>
      </c>
      <c r="H6996" s="24">
        <f t="shared" si="1308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439">A6996</f>
        <v>45992</v>
      </c>
      <c r="B6997" s="5" t="str">
        <f t="shared" si="1439"/>
        <v>Northern Cardinal</v>
      </c>
      <c r="C6997" s="6">
        <f t="shared" si="1439"/>
        <v>0.28333333333333333</v>
      </c>
      <c r="D6997" s="5"/>
      <c r="E6997" s="5"/>
      <c r="F6997" s="5" t="s">
        <v>8</v>
      </c>
      <c r="G6997" s="15" t="s">
        <v>9</v>
      </c>
      <c r="H6997" s="24">
        <f t="shared" si="1308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440">A6997</f>
        <v>45992</v>
      </c>
      <c r="B6998" s="5" t="str">
        <f t="shared" si="1440"/>
        <v>Northern Cardinal</v>
      </c>
      <c r="C6998" s="6">
        <f t="shared" si="1440"/>
        <v>0.28333333333333333</v>
      </c>
      <c r="D6998" s="5"/>
      <c r="E6998" s="5"/>
      <c r="F6998" s="5" t="s">
        <v>8</v>
      </c>
      <c r="G6998" s="15" t="s">
        <v>9</v>
      </c>
      <c r="H6998" s="24">
        <f t="shared" si="1308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441">A6998</f>
        <v>45992</v>
      </c>
      <c r="B6999" s="5" t="str">
        <f t="shared" si="1441"/>
        <v>Northern Cardinal</v>
      </c>
      <c r="C6999" s="6">
        <f t="shared" si="1441"/>
        <v>0.28333333333333333</v>
      </c>
      <c r="D6999" s="5"/>
      <c r="E6999" s="5"/>
      <c r="F6999" s="5" t="s">
        <v>8</v>
      </c>
      <c r="G6999" s="15" t="s">
        <v>9</v>
      </c>
      <c r="H6999" s="24">
        <f t="shared" si="1308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442">A6999</f>
        <v>45992</v>
      </c>
      <c r="B7000" s="5" t="str">
        <f t="shared" si="1442"/>
        <v>Northern Cardinal</v>
      </c>
      <c r="C7000" s="6">
        <f t="shared" si="1442"/>
        <v>0.28333333333333333</v>
      </c>
      <c r="D7000" s="5"/>
      <c r="E7000" s="5"/>
      <c r="F7000" s="5" t="s">
        <v>8</v>
      </c>
      <c r="G7000" s="15" t="s">
        <v>9</v>
      </c>
      <c r="H7000" s="24">
        <f t="shared" ref="H7000:H7063" si="1443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444">A7000</f>
        <v>45992</v>
      </c>
      <c r="B7001" s="5" t="str">
        <f t="shared" si="1444"/>
        <v>Northern Cardinal</v>
      </c>
      <c r="C7001" s="6">
        <f t="shared" si="1444"/>
        <v>0.28333333333333333</v>
      </c>
      <c r="D7001" s="5"/>
      <c r="E7001" s="5"/>
      <c r="F7001" s="5" t="s">
        <v>8</v>
      </c>
      <c r="G7001" s="15" t="s">
        <v>9</v>
      </c>
      <c r="H7001" s="24">
        <f t="shared" si="1443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445">A7001</f>
        <v>45992</v>
      </c>
      <c r="B7002" s="5" t="str">
        <f t="shared" si="1445"/>
        <v>Northern Cardinal</v>
      </c>
      <c r="C7002" s="6">
        <f t="shared" si="1445"/>
        <v>0.28333333333333333</v>
      </c>
      <c r="D7002" s="5"/>
      <c r="E7002" s="5"/>
      <c r="F7002" s="5" t="s">
        <v>8</v>
      </c>
      <c r="G7002" s="15" t="s">
        <v>9</v>
      </c>
      <c r="H7002" s="24">
        <f t="shared" si="1443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446">A7002</f>
        <v>45992</v>
      </c>
      <c r="B7003" s="5" t="str">
        <f t="shared" si="1446"/>
        <v>Northern Cardinal</v>
      </c>
      <c r="C7003" s="6">
        <f t="shared" si="1446"/>
        <v>0.28333333333333333</v>
      </c>
      <c r="D7003" s="5"/>
      <c r="E7003" s="5"/>
      <c r="F7003" s="5" t="s">
        <v>8</v>
      </c>
      <c r="G7003" s="15" t="s">
        <v>9</v>
      </c>
      <c r="H7003" s="24">
        <f t="shared" si="1443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447">A7003</f>
        <v>45992</v>
      </c>
      <c r="B7004" s="5" t="str">
        <f t="shared" si="1447"/>
        <v>Northern Cardinal</v>
      </c>
      <c r="C7004" s="6">
        <f t="shared" si="1447"/>
        <v>0.28333333333333333</v>
      </c>
      <c r="D7004" s="5"/>
      <c r="E7004" s="5"/>
      <c r="F7004" s="5" t="s">
        <v>8</v>
      </c>
      <c r="G7004" s="15" t="s">
        <v>9</v>
      </c>
      <c r="H7004" s="24">
        <f t="shared" si="1443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448">A7004</f>
        <v>45992</v>
      </c>
      <c r="B7005" s="5" t="str">
        <f t="shared" si="1448"/>
        <v>Northern Cardinal</v>
      </c>
      <c r="C7005" s="6">
        <f t="shared" si="1448"/>
        <v>0.28333333333333333</v>
      </c>
      <c r="D7005" s="5"/>
      <c r="E7005" s="5"/>
      <c r="F7005" s="5" t="s">
        <v>8</v>
      </c>
      <c r="G7005" s="15" t="s">
        <v>9</v>
      </c>
      <c r="H7005" s="24">
        <f t="shared" si="1443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449">A7005</f>
        <v>45992</v>
      </c>
      <c r="B7006" s="5" t="str">
        <f t="shared" si="1449"/>
        <v>Northern Cardinal</v>
      </c>
      <c r="C7006" s="6">
        <f t="shared" si="1449"/>
        <v>0.28333333333333333</v>
      </c>
      <c r="D7006" s="5"/>
      <c r="E7006" s="5"/>
      <c r="F7006" s="5" t="s">
        <v>8</v>
      </c>
      <c r="G7006" s="15" t="s">
        <v>9</v>
      </c>
      <c r="H7006" s="24">
        <f t="shared" si="1443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450">A7006</f>
        <v>45992</v>
      </c>
      <c r="B7007" s="5" t="str">
        <f t="shared" si="1450"/>
        <v>Northern Cardinal</v>
      </c>
      <c r="C7007" s="6">
        <f t="shared" si="1450"/>
        <v>0.28333333333333333</v>
      </c>
      <c r="D7007" s="5"/>
      <c r="E7007" s="5"/>
      <c r="F7007" s="5" t="s">
        <v>8</v>
      </c>
      <c r="G7007" s="15" t="s">
        <v>9</v>
      </c>
      <c r="H7007" s="24">
        <f t="shared" si="1443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451">A7007</f>
        <v>45992</v>
      </c>
      <c r="B7008" s="5" t="str">
        <f t="shared" si="1451"/>
        <v>Northern Cardinal</v>
      </c>
      <c r="C7008" s="6">
        <f t="shared" si="1451"/>
        <v>0.28333333333333333</v>
      </c>
      <c r="D7008" s="5"/>
      <c r="E7008" s="5"/>
      <c r="F7008" s="5" t="s">
        <v>8</v>
      </c>
      <c r="G7008" s="15" t="s">
        <v>9</v>
      </c>
      <c r="H7008" s="24">
        <f t="shared" si="1443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452">A7008</f>
        <v>45992</v>
      </c>
      <c r="B7009" s="5" t="str">
        <f t="shared" si="1452"/>
        <v>Northern Cardinal</v>
      </c>
      <c r="C7009" s="6">
        <f t="shared" si="1452"/>
        <v>0.28333333333333333</v>
      </c>
      <c r="D7009" s="5"/>
      <c r="E7009" s="5"/>
      <c r="F7009" s="5" t="s">
        <v>8</v>
      </c>
      <c r="G7009" s="15" t="s">
        <v>9</v>
      </c>
      <c r="H7009" s="24">
        <f t="shared" si="1443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453">A7009</f>
        <v>45992</v>
      </c>
      <c r="B7010" s="5" t="str">
        <f t="shared" si="1453"/>
        <v>Northern Cardinal</v>
      </c>
      <c r="C7010" s="6">
        <f t="shared" si="1453"/>
        <v>0.28333333333333333</v>
      </c>
      <c r="D7010" s="5"/>
      <c r="E7010" s="5"/>
      <c r="F7010" s="5" t="s">
        <v>8</v>
      </c>
      <c r="G7010" s="15" t="s">
        <v>9</v>
      </c>
      <c r="H7010" s="24">
        <f t="shared" si="1443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454">A7010</f>
        <v>45992</v>
      </c>
      <c r="B7011" s="5" t="str">
        <f t="shared" si="1454"/>
        <v>Northern Cardinal</v>
      </c>
      <c r="C7011" s="6">
        <f t="shared" si="1454"/>
        <v>0.28333333333333333</v>
      </c>
      <c r="D7011" s="5"/>
      <c r="E7011" s="5"/>
      <c r="F7011" s="5" t="s">
        <v>8</v>
      </c>
      <c r="G7011" s="15" t="s">
        <v>9</v>
      </c>
      <c r="H7011" s="24">
        <f t="shared" si="1443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455">A7011</f>
        <v>45992</v>
      </c>
      <c r="B7012" s="5" t="str">
        <f t="shared" si="1455"/>
        <v>Northern Cardinal</v>
      </c>
      <c r="C7012" s="6">
        <f t="shared" si="1455"/>
        <v>0.28333333333333333</v>
      </c>
      <c r="D7012" s="5"/>
      <c r="E7012" s="5"/>
      <c r="F7012" s="5" t="s">
        <v>8</v>
      </c>
      <c r="G7012" s="15" t="s">
        <v>9</v>
      </c>
      <c r="H7012" s="24">
        <f t="shared" si="1443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456">A7012</f>
        <v>45992</v>
      </c>
      <c r="B7013" s="5" t="str">
        <f t="shared" si="1456"/>
        <v>Northern Cardinal</v>
      </c>
      <c r="C7013" s="6">
        <f t="shared" si="1456"/>
        <v>0.28333333333333333</v>
      </c>
      <c r="D7013" s="5"/>
      <c r="E7013" s="5"/>
      <c r="F7013" s="5" t="s">
        <v>8</v>
      </c>
      <c r="G7013" s="15" t="s">
        <v>9</v>
      </c>
      <c r="H7013" s="24">
        <f t="shared" si="1443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457">A7013</f>
        <v>45992</v>
      </c>
      <c r="B7014" s="5" t="str">
        <f t="shared" si="1457"/>
        <v>Northern Cardinal</v>
      </c>
      <c r="C7014" s="6">
        <f t="shared" si="1457"/>
        <v>0.28333333333333333</v>
      </c>
      <c r="D7014" s="5"/>
      <c r="E7014" s="5"/>
      <c r="F7014" s="5" t="s">
        <v>8</v>
      </c>
      <c r="G7014" s="15" t="s">
        <v>9</v>
      </c>
      <c r="H7014" s="24">
        <f t="shared" si="1443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458">A7014</f>
        <v>45992</v>
      </c>
      <c r="B7015" s="5" t="str">
        <f t="shared" si="1458"/>
        <v>Northern Cardinal</v>
      </c>
      <c r="C7015" s="6">
        <f t="shared" si="1458"/>
        <v>0.28333333333333333</v>
      </c>
      <c r="D7015" s="5"/>
      <c r="E7015" s="5"/>
      <c r="F7015" s="5" t="s">
        <v>8</v>
      </c>
      <c r="G7015" s="15" t="s">
        <v>9</v>
      </c>
      <c r="H7015" s="24">
        <f t="shared" si="1443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459">A7015</f>
        <v>45992</v>
      </c>
      <c r="B7016" s="5" t="str">
        <f t="shared" si="1459"/>
        <v>Northern Cardinal</v>
      </c>
      <c r="C7016" s="6">
        <f t="shared" si="1459"/>
        <v>0.28333333333333333</v>
      </c>
      <c r="D7016" s="5"/>
      <c r="E7016" s="5"/>
      <c r="F7016" s="5" t="s">
        <v>8</v>
      </c>
      <c r="G7016" s="15" t="s">
        <v>9</v>
      </c>
      <c r="H7016" s="24">
        <f t="shared" si="1443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460">A7016</f>
        <v>45992</v>
      </c>
      <c r="B7017" s="5" t="str">
        <f t="shared" si="1460"/>
        <v>Northern Cardinal</v>
      </c>
      <c r="C7017" s="6">
        <f t="shared" si="1460"/>
        <v>0.28333333333333333</v>
      </c>
      <c r="D7017" s="5"/>
      <c r="E7017" s="5"/>
      <c r="F7017" s="5" t="s">
        <v>8</v>
      </c>
      <c r="G7017" s="15" t="s">
        <v>9</v>
      </c>
      <c r="H7017" s="24">
        <f t="shared" si="1443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461">A7017</f>
        <v>45992</v>
      </c>
      <c r="B7018" s="5" t="str">
        <f t="shared" si="1461"/>
        <v>Northern Cardinal</v>
      </c>
      <c r="C7018" s="6">
        <f t="shared" si="1461"/>
        <v>0.28333333333333333</v>
      </c>
      <c r="D7018" s="5"/>
      <c r="E7018" s="5"/>
      <c r="F7018" s="5" t="s">
        <v>8</v>
      </c>
      <c r="G7018" s="15" t="s">
        <v>9</v>
      </c>
      <c r="H7018" s="24">
        <f t="shared" si="1443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462">A7018</f>
        <v>45992</v>
      </c>
      <c r="B7019" s="5" t="str">
        <f t="shared" si="1462"/>
        <v>Northern Cardinal</v>
      </c>
      <c r="C7019" s="6">
        <f t="shared" si="1462"/>
        <v>0.28333333333333333</v>
      </c>
      <c r="D7019" s="5"/>
      <c r="E7019" s="5"/>
      <c r="F7019" s="5" t="s">
        <v>8</v>
      </c>
      <c r="G7019" s="15" t="s">
        <v>9</v>
      </c>
      <c r="H7019" s="24">
        <f t="shared" si="1443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463">A7019</f>
        <v>45992</v>
      </c>
      <c r="B7020" s="5" t="str">
        <f t="shared" si="1463"/>
        <v>Northern Cardinal</v>
      </c>
      <c r="C7020" s="6">
        <f t="shared" si="1463"/>
        <v>0.28333333333333333</v>
      </c>
      <c r="D7020" s="5"/>
      <c r="E7020" s="5"/>
      <c r="F7020" s="5" t="s">
        <v>8</v>
      </c>
      <c r="G7020" s="15" t="s">
        <v>9</v>
      </c>
      <c r="H7020" s="24">
        <f t="shared" si="1443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464">A7020</f>
        <v>45992</v>
      </c>
      <c r="B7021" s="5" t="str">
        <f t="shared" si="1464"/>
        <v>Northern Cardinal</v>
      </c>
      <c r="C7021" s="6">
        <f t="shared" si="1464"/>
        <v>0.28333333333333333</v>
      </c>
      <c r="D7021" s="5"/>
      <c r="E7021" s="5"/>
      <c r="F7021" s="5" t="s">
        <v>8</v>
      </c>
      <c r="G7021" s="15" t="s">
        <v>9</v>
      </c>
      <c r="H7021" s="24">
        <f t="shared" si="1443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465">A7021</f>
        <v>45992</v>
      </c>
      <c r="B7022" s="5" t="str">
        <f t="shared" si="1465"/>
        <v>Northern Cardinal</v>
      </c>
      <c r="C7022" s="6">
        <f t="shared" si="1465"/>
        <v>0.28333333333333333</v>
      </c>
      <c r="D7022" s="5"/>
      <c r="E7022" s="5"/>
      <c r="F7022" s="5" t="s">
        <v>8</v>
      </c>
      <c r="G7022" s="15" t="s">
        <v>9</v>
      </c>
      <c r="H7022" s="24">
        <f t="shared" si="1443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466">A7022</f>
        <v>45992</v>
      </c>
      <c r="B7023" s="5" t="str">
        <f t="shared" si="1466"/>
        <v>Northern Cardinal</v>
      </c>
      <c r="C7023" s="6">
        <f t="shared" si="1466"/>
        <v>0.28333333333333333</v>
      </c>
      <c r="D7023" s="5"/>
      <c r="E7023" s="5"/>
      <c r="F7023" s="5" t="s">
        <v>8</v>
      </c>
      <c r="G7023" s="15" t="s">
        <v>9</v>
      </c>
      <c r="H7023" s="24">
        <f t="shared" si="1443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467">A7023</f>
        <v>45992</v>
      </c>
      <c r="B7024" s="5" t="str">
        <f t="shared" si="1467"/>
        <v>Northern Cardinal</v>
      </c>
      <c r="C7024" s="6">
        <f t="shared" si="1467"/>
        <v>0.28333333333333333</v>
      </c>
      <c r="D7024" s="5"/>
      <c r="E7024" s="5"/>
      <c r="F7024" s="5" t="s">
        <v>8</v>
      </c>
      <c r="G7024" s="15" t="s">
        <v>9</v>
      </c>
      <c r="H7024" s="24">
        <f t="shared" si="1443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468">A7024</f>
        <v>45992</v>
      </c>
      <c r="B7025" s="5" t="str">
        <f t="shared" si="1468"/>
        <v>Northern Cardinal</v>
      </c>
      <c r="C7025" s="6">
        <f t="shared" si="1468"/>
        <v>0.28333333333333333</v>
      </c>
      <c r="D7025" s="5"/>
      <c r="E7025" s="5"/>
      <c r="F7025" s="5" t="s">
        <v>8</v>
      </c>
      <c r="G7025" s="15" t="s">
        <v>9</v>
      </c>
      <c r="H7025" s="24">
        <f t="shared" si="1443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469">A7025</f>
        <v>45992</v>
      </c>
      <c r="B7026" s="5" t="str">
        <f t="shared" si="1469"/>
        <v>Northern Cardinal</v>
      </c>
      <c r="C7026" s="6">
        <f t="shared" si="1469"/>
        <v>0.28333333333333333</v>
      </c>
      <c r="D7026" s="5"/>
      <c r="E7026" s="5"/>
      <c r="F7026" s="5" t="s">
        <v>8</v>
      </c>
      <c r="G7026" s="15" t="s">
        <v>9</v>
      </c>
      <c r="H7026" s="24">
        <f t="shared" si="1443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470">A7026</f>
        <v>45992</v>
      </c>
      <c r="B7027" s="5" t="str">
        <f t="shared" si="1470"/>
        <v>Northern Cardinal</v>
      </c>
      <c r="C7027" s="6">
        <f t="shared" si="1470"/>
        <v>0.28333333333333333</v>
      </c>
      <c r="D7027" s="5"/>
      <c r="E7027" s="5"/>
      <c r="F7027" s="5" t="s">
        <v>8</v>
      </c>
      <c r="G7027" s="15" t="s">
        <v>9</v>
      </c>
      <c r="H7027" s="24">
        <f t="shared" si="1443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471">A7027</f>
        <v>45992</v>
      </c>
      <c r="B7028" s="5" t="str">
        <f t="shared" si="1471"/>
        <v>Northern Cardinal</v>
      </c>
      <c r="C7028" s="6">
        <f t="shared" si="1471"/>
        <v>0.28333333333333333</v>
      </c>
      <c r="D7028" s="5"/>
      <c r="E7028" s="5"/>
      <c r="F7028" s="5" t="s">
        <v>8</v>
      </c>
      <c r="G7028" s="15" t="s">
        <v>9</v>
      </c>
      <c r="H7028" s="24">
        <f t="shared" si="1443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472">A7028</f>
        <v>45992</v>
      </c>
      <c r="B7029" s="5" t="str">
        <f t="shared" si="1472"/>
        <v>Northern Cardinal</v>
      </c>
      <c r="C7029" s="6">
        <f t="shared" si="1472"/>
        <v>0.28333333333333333</v>
      </c>
      <c r="D7029" s="5"/>
      <c r="E7029" s="5"/>
      <c r="F7029" s="5" t="s">
        <v>8</v>
      </c>
      <c r="G7029" s="15" t="s">
        <v>9</v>
      </c>
      <c r="H7029" s="24">
        <f t="shared" si="1443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473">A7029</f>
        <v>45992</v>
      </c>
      <c r="B7030" s="5" t="str">
        <f t="shared" si="1473"/>
        <v>Northern Cardinal</v>
      </c>
      <c r="C7030" s="6">
        <f t="shared" si="1473"/>
        <v>0.28333333333333333</v>
      </c>
      <c r="D7030" s="5"/>
      <c r="E7030" s="5"/>
      <c r="F7030" s="5" t="s">
        <v>8</v>
      </c>
      <c r="G7030" s="15" t="s">
        <v>9</v>
      </c>
      <c r="H7030" s="24">
        <f t="shared" si="1443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474">A7030</f>
        <v>45992</v>
      </c>
      <c r="B7031" s="5" t="str">
        <f t="shared" si="1474"/>
        <v>Northern Cardinal</v>
      </c>
      <c r="C7031" s="6">
        <f t="shared" si="1474"/>
        <v>0.28333333333333333</v>
      </c>
      <c r="D7031" s="5"/>
      <c r="E7031" s="5"/>
      <c r="F7031" s="5" t="s">
        <v>8</v>
      </c>
      <c r="G7031" s="15" t="s">
        <v>9</v>
      </c>
      <c r="H7031" s="24">
        <f t="shared" si="1443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475">A7031</f>
        <v>45992</v>
      </c>
      <c r="B7032" s="5" t="str">
        <f t="shared" si="1475"/>
        <v>Northern Cardinal</v>
      </c>
      <c r="C7032" s="6">
        <f t="shared" si="1475"/>
        <v>0.28333333333333333</v>
      </c>
      <c r="D7032" s="5"/>
      <c r="E7032" s="5"/>
      <c r="F7032" s="5" t="s">
        <v>8</v>
      </c>
      <c r="G7032" s="15" t="s">
        <v>9</v>
      </c>
      <c r="H7032" s="24">
        <f t="shared" si="1443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476">A7032</f>
        <v>45992</v>
      </c>
      <c r="B7033" s="5" t="str">
        <f t="shared" si="1476"/>
        <v>Northern Cardinal</v>
      </c>
      <c r="C7033" s="6">
        <f t="shared" si="1476"/>
        <v>0.28333333333333333</v>
      </c>
      <c r="D7033" s="5"/>
      <c r="E7033" s="5"/>
      <c r="F7033" s="5" t="s">
        <v>8</v>
      </c>
      <c r="G7033" s="15" t="s">
        <v>9</v>
      </c>
      <c r="H7033" s="24">
        <f t="shared" si="1443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477">A7033</f>
        <v>45992</v>
      </c>
      <c r="B7034" s="5" t="str">
        <f t="shared" si="1477"/>
        <v>Northern Cardinal</v>
      </c>
      <c r="C7034" s="6">
        <f t="shared" si="1477"/>
        <v>0.28333333333333333</v>
      </c>
      <c r="D7034" s="5"/>
      <c r="E7034" s="5"/>
      <c r="F7034" s="5" t="s">
        <v>8</v>
      </c>
      <c r="G7034" s="15" t="s">
        <v>9</v>
      </c>
      <c r="H7034" s="24">
        <f t="shared" si="1443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478">A7034</f>
        <v>45992</v>
      </c>
      <c r="B7035" s="5" t="str">
        <f t="shared" si="1478"/>
        <v>Northern Cardinal</v>
      </c>
      <c r="C7035" s="6">
        <f t="shared" si="1478"/>
        <v>0.28333333333333333</v>
      </c>
      <c r="D7035" s="5"/>
      <c r="E7035" s="5"/>
      <c r="F7035" s="5" t="s">
        <v>8</v>
      </c>
      <c r="G7035" s="15" t="s">
        <v>9</v>
      </c>
      <c r="H7035" s="24">
        <f t="shared" si="1443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479">A7035</f>
        <v>45992</v>
      </c>
      <c r="B7036" s="5" t="str">
        <f t="shared" si="1479"/>
        <v>Northern Cardinal</v>
      </c>
      <c r="C7036" s="6">
        <f t="shared" si="1479"/>
        <v>0.28333333333333333</v>
      </c>
      <c r="D7036" s="5"/>
      <c r="E7036" s="5"/>
      <c r="F7036" s="5" t="s">
        <v>8</v>
      </c>
      <c r="G7036" s="15" t="s">
        <v>9</v>
      </c>
      <c r="H7036" s="24">
        <f t="shared" si="1443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480">A7036</f>
        <v>45992</v>
      </c>
      <c r="B7037" s="5" t="str">
        <f t="shared" si="1480"/>
        <v>Northern Cardinal</v>
      </c>
      <c r="C7037" s="6">
        <f t="shared" si="1480"/>
        <v>0.28333333333333333</v>
      </c>
      <c r="D7037" s="5"/>
      <c r="E7037" s="5"/>
      <c r="F7037" s="5" t="s">
        <v>8</v>
      </c>
      <c r="G7037" s="15" t="s">
        <v>9</v>
      </c>
      <c r="H7037" s="24">
        <f t="shared" si="1443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481">A7037</f>
        <v>45992</v>
      </c>
      <c r="B7038" s="5" t="str">
        <f t="shared" si="1481"/>
        <v>Northern Cardinal</v>
      </c>
      <c r="C7038" s="6">
        <f t="shared" si="1481"/>
        <v>0.28333333333333333</v>
      </c>
      <c r="D7038" s="5"/>
      <c r="E7038" s="5"/>
      <c r="F7038" s="5" t="s">
        <v>8</v>
      </c>
      <c r="G7038" s="15" t="s">
        <v>9</v>
      </c>
      <c r="H7038" s="24">
        <f t="shared" si="1443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482">A7038</f>
        <v>45992</v>
      </c>
      <c r="B7039" s="5" t="str">
        <f t="shared" si="1482"/>
        <v>Northern Cardinal</v>
      </c>
      <c r="C7039" s="6">
        <f t="shared" si="1482"/>
        <v>0.28333333333333333</v>
      </c>
      <c r="D7039" s="5"/>
      <c r="E7039" s="5"/>
      <c r="F7039" s="5" t="s">
        <v>8</v>
      </c>
      <c r="G7039" s="15" t="s">
        <v>9</v>
      </c>
      <c r="H7039" s="24">
        <f t="shared" si="1443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483">A7039</f>
        <v>45992</v>
      </c>
      <c r="B7040" s="5" t="str">
        <f t="shared" si="1483"/>
        <v>Northern Cardinal</v>
      </c>
      <c r="C7040" s="6">
        <f t="shared" si="1483"/>
        <v>0.28333333333333333</v>
      </c>
      <c r="D7040" s="5"/>
      <c r="E7040" s="5"/>
      <c r="F7040" s="5" t="s">
        <v>8</v>
      </c>
      <c r="G7040" s="15" t="s">
        <v>9</v>
      </c>
      <c r="H7040" s="24">
        <f t="shared" si="1443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484">A7040</f>
        <v>45992</v>
      </c>
      <c r="B7041" s="5" t="str">
        <f t="shared" si="1484"/>
        <v>Northern Cardinal</v>
      </c>
      <c r="C7041" s="6">
        <f t="shared" si="1484"/>
        <v>0.28333333333333333</v>
      </c>
      <c r="D7041" s="5"/>
      <c r="E7041" s="5"/>
      <c r="F7041" s="5" t="s">
        <v>8</v>
      </c>
      <c r="G7041" s="15" t="s">
        <v>9</v>
      </c>
      <c r="H7041" s="24">
        <f t="shared" si="1443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485">A7041</f>
        <v>45992</v>
      </c>
      <c r="B7042" s="5" t="str">
        <f t="shared" si="1485"/>
        <v>Northern Cardinal</v>
      </c>
      <c r="C7042" s="6">
        <f t="shared" si="1485"/>
        <v>0.28333333333333333</v>
      </c>
      <c r="D7042" s="5"/>
      <c r="E7042" s="5"/>
      <c r="F7042" s="5" t="s">
        <v>8</v>
      </c>
      <c r="G7042" s="15" t="s">
        <v>9</v>
      </c>
      <c r="H7042" s="24">
        <f t="shared" si="1443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486">A7042</f>
        <v>45992</v>
      </c>
      <c r="B7043" s="5" t="str">
        <f t="shared" si="1486"/>
        <v>Northern Cardinal</v>
      </c>
      <c r="C7043" s="6">
        <f t="shared" si="1486"/>
        <v>0.28333333333333333</v>
      </c>
      <c r="D7043" s="5"/>
      <c r="E7043" s="5"/>
      <c r="F7043" s="5" t="s">
        <v>8</v>
      </c>
      <c r="G7043" s="15" t="s">
        <v>9</v>
      </c>
      <c r="H7043" s="24">
        <f t="shared" si="1443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487">A7043</f>
        <v>45992</v>
      </c>
      <c r="B7044" s="5" t="str">
        <f t="shared" si="1487"/>
        <v>Northern Cardinal</v>
      </c>
      <c r="C7044" s="6">
        <f t="shared" si="1487"/>
        <v>0.28333333333333333</v>
      </c>
      <c r="D7044" s="5"/>
      <c r="E7044" s="5"/>
      <c r="F7044" s="5" t="s">
        <v>8</v>
      </c>
      <c r="G7044" s="15" t="s">
        <v>9</v>
      </c>
      <c r="H7044" s="24">
        <f t="shared" si="1443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488">A7044</f>
        <v>45992</v>
      </c>
      <c r="B7045" s="5" t="str">
        <f t="shared" si="1488"/>
        <v>Northern Cardinal</v>
      </c>
      <c r="C7045" s="6">
        <f t="shared" si="1488"/>
        <v>0.28333333333333333</v>
      </c>
      <c r="D7045" s="5"/>
      <c r="E7045" s="5"/>
      <c r="F7045" s="5" t="s">
        <v>8</v>
      </c>
      <c r="G7045" s="15" t="s">
        <v>9</v>
      </c>
      <c r="H7045" s="24">
        <f t="shared" si="1443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489">A7045</f>
        <v>45992</v>
      </c>
      <c r="B7046" s="5" t="str">
        <f t="shared" si="1489"/>
        <v>Northern Cardinal</v>
      </c>
      <c r="C7046" s="6">
        <f t="shared" si="1489"/>
        <v>0.28333333333333333</v>
      </c>
      <c r="D7046" s="5"/>
      <c r="E7046" s="5"/>
      <c r="F7046" s="5" t="s">
        <v>8</v>
      </c>
      <c r="G7046" s="15" t="s">
        <v>9</v>
      </c>
      <c r="H7046" s="24">
        <f t="shared" si="1443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490">A7046</f>
        <v>45992</v>
      </c>
      <c r="B7047" s="5" t="str">
        <f t="shared" si="1490"/>
        <v>Northern Cardinal</v>
      </c>
      <c r="C7047" s="6">
        <f t="shared" si="1490"/>
        <v>0.28333333333333333</v>
      </c>
      <c r="D7047" s="5"/>
      <c r="E7047" s="5"/>
      <c r="F7047" s="5" t="s">
        <v>8</v>
      </c>
      <c r="G7047" s="15" t="s">
        <v>9</v>
      </c>
      <c r="H7047" s="24">
        <f t="shared" si="1443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491">A7047</f>
        <v>45992</v>
      </c>
      <c r="B7048" s="5" t="str">
        <f t="shared" si="1491"/>
        <v>Northern Cardinal</v>
      </c>
      <c r="C7048" s="6">
        <f t="shared" si="1491"/>
        <v>0.28333333333333333</v>
      </c>
      <c r="D7048" s="5"/>
      <c r="E7048" s="5"/>
      <c r="F7048" s="5" t="s">
        <v>8</v>
      </c>
      <c r="G7048" s="15" t="s">
        <v>9</v>
      </c>
      <c r="H7048" s="24">
        <f t="shared" si="1443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492">A7048</f>
        <v>45992</v>
      </c>
      <c r="B7049" s="5" t="str">
        <f t="shared" si="1492"/>
        <v>Northern Cardinal</v>
      </c>
      <c r="C7049" s="6">
        <f t="shared" si="1492"/>
        <v>0.28333333333333333</v>
      </c>
      <c r="D7049" s="5"/>
      <c r="E7049" s="5"/>
      <c r="F7049" s="5" t="s">
        <v>8</v>
      </c>
      <c r="G7049" s="15" t="s">
        <v>9</v>
      </c>
      <c r="H7049" s="24">
        <f t="shared" si="1443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493">A7049</f>
        <v>45992</v>
      </c>
      <c r="B7050" s="5" t="str">
        <f t="shared" si="1493"/>
        <v>Northern Cardinal</v>
      </c>
      <c r="C7050" s="6">
        <f t="shared" si="1493"/>
        <v>0.28333333333333333</v>
      </c>
      <c r="D7050" s="5"/>
      <c r="E7050" s="5"/>
      <c r="F7050" s="5" t="s">
        <v>8</v>
      </c>
      <c r="G7050" s="15" t="s">
        <v>9</v>
      </c>
      <c r="H7050" s="24">
        <f t="shared" si="1443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494">A7050</f>
        <v>45992</v>
      </c>
      <c r="B7051" s="5" t="str">
        <f t="shared" si="1494"/>
        <v>Northern Cardinal</v>
      </c>
      <c r="C7051" s="6">
        <f t="shared" si="1494"/>
        <v>0.28333333333333333</v>
      </c>
      <c r="D7051" s="5"/>
      <c r="E7051" s="5"/>
      <c r="F7051" s="5" t="s">
        <v>8</v>
      </c>
      <c r="G7051" s="15" t="s">
        <v>9</v>
      </c>
      <c r="H7051" s="24">
        <f t="shared" si="1443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495">A7051</f>
        <v>45992</v>
      </c>
      <c r="B7052" s="5" t="str">
        <f t="shared" si="1495"/>
        <v>Northern Cardinal</v>
      </c>
      <c r="C7052" s="6">
        <f t="shared" si="1495"/>
        <v>0.28333333333333333</v>
      </c>
      <c r="D7052" s="5"/>
      <c r="E7052" s="5"/>
      <c r="F7052" s="5" t="s">
        <v>8</v>
      </c>
      <c r="G7052" s="15" t="s">
        <v>9</v>
      </c>
      <c r="H7052" s="24">
        <f t="shared" si="1443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496">A7052</f>
        <v>45992</v>
      </c>
      <c r="B7053" s="5" t="str">
        <f t="shared" si="1496"/>
        <v>Northern Cardinal</v>
      </c>
      <c r="C7053" s="6">
        <f t="shared" si="1496"/>
        <v>0.28333333333333333</v>
      </c>
      <c r="D7053" s="5"/>
      <c r="E7053" s="5"/>
      <c r="F7053" s="5" t="s">
        <v>8</v>
      </c>
      <c r="G7053" s="15" t="s">
        <v>9</v>
      </c>
      <c r="H7053" s="24">
        <f t="shared" si="1443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97">A7053</f>
        <v>45992</v>
      </c>
      <c r="B7054" s="5" t="str">
        <f t="shared" si="1497"/>
        <v>Northern Cardinal</v>
      </c>
      <c r="C7054" s="6">
        <f t="shared" si="1497"/>
        <v>0.28333333333333333</v>
      </c>
      <c r="D7054" s="5"/>
      <c r="E7054" s="5"/>
      <c r="F7054" s="5" t="s">
        <v>8</v>
      </c>
      <c r="G7054" s="15" t="s">
        <v>9</v>
      </c>
      <c r="H7054" s="24">
        <f t="shared" si="1443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98">A7054</f>
        <v>45992</v>
      </c>
      <c r="B7055" s="5" t="str">
        <f t="shared" si="1498"/>
        <v>Northern Cardinal</v>
      </c>
      <c r="C7055" s="6">
        <f t="shared" si="1498"/>
        <v>0.28333333333333333</v>
      </c>
      <c r="D7055" s="5"/>
      <c r="E7055" s="5"/>
      <c r="F7055" s="5" t="s">
        <v>8</v>
      </c>
      <c r="G7055" s="15" t="s">
        <v>9</v>
      </c>
      <c r="H7055" s="24">
        <f t="shared" si="1443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99">A7055</f>
        <v>45992</v>
      </c>
      <c r="B7056" s="5" t="str">
        <f t="shared" si="1499"/>
        <v>Northern Cardinal</v>
      </c>
      <c r="C7056" s="6">
        <f t="shared" si="1499"/>
        <v>0.28333333333333333</v>
      </c>
      <c r="D7056" s="5"/>
      <c r="E7056" s="5"/>
      <c r="F7056" s="5" t="s">
        <v>8</v>
      </c>
      <c r="G7056" s="15" t="s">
        <v>9</v>
      </c>
      <c r="H7056" s="24">
        <f t="shared" si="1443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500">A7056</f>
        <v>45992</v>
      </c>
      <c r="B7057" s="5" t="str">
        <f t="shared" si="1500"/>
        <v>Northern Cardinal</v>
      </c>
      <c r="C7057" s="6">
        <f t="shared" si="1500"/>
        <v>0.28333333333333333</v>
      </c>
      <c r="D7057" s="5"/>
      <c r="E7057" s="5"/>
      <c r="F7057" s="5" t="s">
        <v>8</v>
      </c>
      <c r="G7057" s="15" t="s">
        <v>9</v>
      </c>
      <c r="H7057" s="24">
        <f t="shared" si="1443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501">A7057</f>
        <v>45992</v>
      </c>
      <c r="B7058" s="5" t="str">
        <f t="shared" si="1501"/>
        <v>Northern Cardinal</v>
      </c>
      <c r="C7058" s="6">
        <f t="shared" si="1501"/>
        <v>0.28333333333333333</v>
      </c>
      <c r="D7058" s="5"/>
      <c r="E7058" s="5"/>
      <c r="F7058" s="5" t="s">
        <v>8</v>
      </c>
      <c r="G7058" s="15" t="s">
        <v>9</v>
      </c>
      <c r="H7058" s="24">
        <f t="shared" si="1443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502">A7058</f>
        <v>45992</v>
      </c>
      <c r="B7059" s="5" t="str">
        <f t="shared" si="1502"/>
        <v>Northern Cardinal</v>
      </c>
      <c r="C7059" s="6">
        <f t="shared" si="1502"/>
        <v>0.28333333333333333</v>
      </c>
      <c r="D7059" s="5"/>
      <c r="E7059" s="5"/>
      <c r="F7059" s="5" t="s">
        <v>8</v>
      </c>
      <c r="G7059" s="15" t="s">
        <v>9</v>
      </c>
      <c r="H7059" s="24">
        <f t="shared" si="1443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503">A7059</f>
        <v>45992</v>
      </c>
      <c r="B7060" s="5" t="str">
        <f t="shared" si="1503"/>
        <v>Northern Cardinal</v>
      </c>
      <c r="C7060" s="6">
        <f t="shared" si="1503"/>
        <v>0.28333333333333333</v>
      </c>
      <c r="D7060" s="5"/>
      <c r="E7060" s="5"/>
      <c r="F7060" s="5" t="s">
        <v>8</v>
      </c>
      <c r="G7060" s="15" t="s">
        <v>9</v>
      </c>
      <c r="H7060" s="24">
        <f t="shared" si="1443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504">A7060</f>
        <v>45992</v>
      </c>
      <c r="B7061" s="5" t="str">
        <f t="shared" si="1504"/>
        <v>Northern Cardinal</v>
      </c>
      <c r="C7061" s="6">
        <f t="shared" si="1504"/>
        <v>0.28333333333333333</v>
      </c>
      <c r="D7061" s="5"/>
      <c r="E7061" s="5"/>
      <c r="F7061" s="5" t="s">
        <v>8</v>
      </c>
      <c r="G7061" s="15" t="s">
        <v>9</v>
      </c>
      <c r="H7061" s="24">
        <f t="shared" si="1443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505">A7061</f>
        <v>45992</v>
      </c>
      <c r="B7062" s="5" t="str">
        <f t="shared" si="1505"/>
        <v>Northern Cardinal</v>
      </c>
      <c r="C7062" s="6">
        <f t="shared" si="1505"/>
        <v>0.28333333333333333</v>
      </c>
      <c r="D7062" s="5"/>
      <c r="E7062" s="5"/>
      <c r="F7062" s="5" t="s">
        <v>8</v>
      </c>
      <c r="G7062" s="15" t="s">
        <v>9</v>
      </c>
      <c r="H7062" s="24">
        <f t="shared" si="1443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506">A7062</f>
        <v>45992</v>
      </c>
      <c r="B7063" s="5" t="str">
        <f t="shared" si="1506"/>
        <v>Northern Cardinal</v>
      </c>
      <c r="C7063" s="6">
        <f t="shared" si="1506"/>
        <v>0.28333333333333333</v>
      </c>
      <c r="D7063" s="5"/>
      <c r="E7063" s="5"/>
      <c r="F7063" s="5" t="s">
        <v>8</v>
      </c>
      <c r="G7063" s="15" t="s">
        <v>9</v>
      </c>
      <c r="H7063" s="24">
        <f t="shared" si="1443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507">A7063</f>
        <v>45992</v>
      </c>
      <c r="B7064" s="5" t="str">
        <f t="shared" si="1507"/>
        <v>Northern Cardinal</v>
      </c>
      <c r="C7064" s="6">
        <f t="shared" si="1507"/>
        <v>0.28333333333333333</v>
      </c>
      <c r="D7064" s="5"/>
      <c r="E7064" s="5"/>
      <c r="F7064" s="5" t="s">
        <v>8</v>
      </c>
      <c r="G7064" s="15" t="s">
        <v>9</v>
      </c>
      <c r="H7064" s="24">
        <f t="shared" ref="H7064:H7127" si="1508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509">A7064</f>
        <v>45992</v>
      </c>
      <c r="B7065" s="5" t="str">
        <f t="shared" si="1509"/>
        <v>Northern Cardinal</v>
      </c>
      <c r="C7065" s="6">
        <f t="shared" si="1509"/>
        <v>0.28333333333333333</v>
      </c>
      <c r="D7065" s="5"/>
      <c r="E7065" s="5"/>
      <c r="F7065" s="5" t="s">
        <v>8</v>
      </c>
      <c r="G7065" s="15" t="s">
        <v>9</v>
      </c>
      <c r="H7065" s="24">
        <f t="shared" si="1508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510">A7065</f>
        <v>45992</v>
      </c>
      <c r="B7066" s="5" t="str">
        <f t="shared" si="1510"/>
        <v>Northern Cardinal</v>
      </c>
      <c r="C7066" s="6">
        <f t="shared" si="1510"/>
        <v>0.28333333333333333</v>
      </c>
      <c r="D7066" s="5"/>
      <c r="E7066" s="5"/>
      <c r="F7066" s="5" t="s">
        <v>8</v>
      </c>
      <c r="G7066" s="15" t="s">
        <v>9</v>
      </c>
      <c r="H7066" s="24">
        <f t="shared" si="1508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511">A7066</f>
        <v>45992</v>
      </c>
      <c r="B7067" s="5" t="str">
        <f t="shared" si="1511"/>
        <v>Northern Cardinal</v>
      </c>
      <c r="C7067" s="6">
        <f t="shared" si="1511"/>
        <v>0.28333333333333333</v>
      </c>
      <c r="D7067" s="5"/>
      <c r="E7067" s="5"/>
      <c r="F7067" s="5" t="s">
        <v>8</v>
      </c>
      <c r="G7067" s="15" t="s">
        <v>9</v>
      </c>
      <c r="H7067" s="24">
        <f t="shared" si="1508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512">A7067</f>
        <v>45992</v>
      </c>
      <c r="B7068" s="5" t="str">
        <f t="shared" si="1512"/>
        <v>Northern Cardinal</v>
      </c>
      <c r="C7068" s="6">
        <f t="shared" si="1512"/>
        <v>0.28333333333333333</v>
      </c>
      <c r="D7068" s="5"/>
      <c r="E7068" s="5"/>
      <c r="F7068" s="5" t="s">
        <v>8</v>
      </c>
      <c r="G7068" s="15" t="s">
        <v>9</v>
      </c>
      <c r="H7068" s="24">
        <f t="shared" si="1508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513">A7068</f>
        <v>45992</v>
      </c>
      <c r="B7069" s="5" t="str">
        <f t="shared" si="1513"/>
        <v>Northern Cardinal</v>
      </c>
      <c r="C7069" s="6">
        <f t="shared" si="1513"/>
        <v>0.28333333333333333</v>
      </c>
      <c r="D7069" s="5"/>
      <c r="E7069" s="5"/>
      <c r="F7069" s="5" t="s">
        <v>8</v>
      </c>
      <c r="G7069" s="15" t="s">
        <v>9</v>
      </c>
      <c r="H7069" s="24">
        <f t="shared" si="1508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514">A7069</f>
        <v>45992</v>
      </c>
      <c r="B7070" s="5" t="str">
        <f t="shared" si="1514"/>
        <v>Northern Cardinal</v>
      </c>
      <c r="C7070" s="6">
        <f t="shared" si="1514"/>
        <v>0.28333333333333333</v>
      </c>
      <c r="D7070" s="5"/>
      <c r="E7070" s="5"/>
      <c r="F7070" s="5" t="s">
        <v>8</v>
      </c>
      <c r="G7070" s="15" t="s">
        <v>9</v>
      </c>
      <c r="H7070" s="24">
        <f t="shared" si="1508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515">A7070</f>
        <v>45992</v>
      </c>
      <c r="B7071" s="5" t="str">
        <f t="shared" si="1515"/>
        <v>Northern Cardinal</v>
      </c>
      <c r="C7071" s="6">
        <f t="shared" si="1515"/>
        <v>0.28333333333333333</v>
      </c>
      <c r="D7071" s="5"/>
      <c r="E7071" s="5"/>
      <c r="F7071" s="5" t="s">
        <v>8</v>
      </c>
      <c r="G7071" s="15" t="s">
        <v>9</v>
      </c>
      <c r="H7071" s="24">
        <f t="shared" si="1508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516">A7071</f>
        <v>45992</v>
      </c>
      <c r="B7072" s="5" t="str">
        <f t="shared" si="1516"/>
        <v>Northern Cardinal</v>
      </c>
      <c r="C7072" s="6">
        <f t="shared" si="1516"/>
        <v>0.28333333333333333</v>
      </c>
      <c r="D7072" s="5"/>
      <c r="E7072" s="5"/>
      <c r="F7072" s="5" t="s">
        <v>8</v>
      </c>
      <c r="G7072" s="15" t="s">
        <v>9</v>
      </c>
      <c r="H7072" s="24">
        <f t="shared" si="1508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517">A7072</f>
        <v>45992</v>
      </c>
      <c r="B7073" s="5" t="str">
        <f t="shared" si="1517"/>
        <v>Northern Cardinal</v>
      </c>
      <c r="C7073" s="6">
        <f t="shared" si="1517"/>
        <v>0.28333333333333333</v>
      </c>
      <c r="D7073" s="5"/>
      <c r="E7073" s="5"/>
      <c r="F7073" s="5" t="s">
        <v>8</v>
      </c>
      <c r="G7073" s="15" t="s">
        <v>9</v>
      </c>
      <c r="H7073" s="24">
        <f t="shared" si="1508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518">A7073</f>
        <v>45992</v>
      </c>
      <c r="B7074" s="5" t="str">
        <f t="shared" si="1518"/>
        <v>Northern Cardinal</v>
      </c>
      <c r="C7074" s="6">
        <f t="shared" si="1518"/>
        <v>0.28333333333333333</v>
      </c>
      <c r="D7074" s="5"/>
      <c r="E7074" s="5"/>
      <c r="F7074" s="5" t="s">
        <v>8</v>
      </c>
      <c r="G7074" s="15" t="s">
        <v>9</v>
      </c>
      <c r="H7074" s="24">
        <f t="shared" si="1508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519">A7074</f>
        <v>45992</v>
      </c>
      <c r="B7075" s="5" t="str">
        <f t="shared" si="1519"/>
        <v>Northern Cardinal</v>
      </c>
      <c r="C7075" s="6">
        <f t="shared" si="1519"/>
        <v>0.28333333333333333</v>
      </c>
      <c r="D7075" s="5"/>
      <c r="E7075" s="5"/>
      <c r="F7075" s="5" t="s">
        <v>8</v>
      </c>
      <c r="G7075" s="15" t="s">
        <v>9</v>
      </c>
      <c r="H7075" s="24">
        <f t="shared" si="1508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520">A7075</f>
        <v>45992</v>
      </c>
      <c r="B7076" s="5" t="str">
        <f t="shared" si="1520"/>
        <v>Northern Cardinal</v>
      </c>
      <c r="C7076" s="6">
        <f t="shared" si="1520"/>
        <v>0.28333333333333333</v>
      </c>
      <c r="D7076" s="5"/>
      <c r="E7076" s="5"/>
      <c r="F7076" s="5" t="s">
        <v>8</v>
      </c>
      <c r="G7076" s="15" t="s">
        <v>9</v>
      </c>
      <c r="H7076" s="24">
        <f t="shared" si="1508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521">A7076</f>
        <v>45992</v>
      </c>
      <c r="B7077" s="5" t="str">
        <f t="shared" si="1521"/>
        <v>Northern Cardinal</v>
      </c>
      <c r="C7077" s="6">
        <f t="shared" si="1521"/>
        <v>0.28333333333333333</v>
      </c>
      <c r="D7077" s="5"/>
      <c r="E7077" s="5"/>
      <c r="F7077" s="5" t="s">
        <v>8</v>
      </c>
      <c r="G7077" s="15" t="s">
        <v>9</v>
      </c>
      <c r="H7077" s="24">
        <f t="shared" si="1508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522">A7077</f>
        <v>45992</v>
      </c>
      <c r="B7078" s="5" t="str">
        <f t="shared" si="1522"/>
        <v>Northern Cardinal</v>
      </c>
      <c r="C7078" s="6">
        <f t="shared" si="1522"/>
        <v>0.28333333333333333</v>
      </c>
      <c r="D7078" s="5"/>
      <c r="E7078" s="5"/>
      <c r="F7078" s="5" t="s">
        <v>8</v>
      </c>
      <c r="G7078" s="15" t="s">
        <v>9</v>
      </c>
      <c r="H7078" s="24">
        <f t="shared" si="1508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523">A7078</f>
        <v>45992</v>
      </c>
      <c r="B7079" s="5" t="str">
        <f t="shared" si="1523"/>
        <v>Northern Cardinal</v>
      </c>
      <c r="C7079" s="6">
        <f t="shared" si="1523"/>
        <v>0.28333333333333333</v>
      </c>
      <c r="D7079" s="5"/>
      <c r="E7079" s="5"/>
      <c r="F7079" s="5" t="s">
        <v>8</v>
      </c>
      <c r="G7079" s="15" t="s">
        <v>9</v>
      </c>
      <c r="H7079" s="24">
        <f t="shared" si="1508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524">A7079</f>
        <v>45992</v>
      </c>
      <c r="B7080" s="5" t="str">
        <f t="shared" si="1524"/>
        <v>Northern Cardinal</v>
      </c>
      <c r="C7080" s="6">
        <f t="shared" si="1524"/>
        <v>0.28333333333333333</v>
      </c>
      <c r="D7080" s="5"/>
      <c r="E7080" s="5"/>
      <c r="F7080" s="5" t="s">
        <v>8</v>
      </c>
      <c r="G7080" s="15" t="s">
        <v>9</v>
      </c>
      <c r="H7080" s="24">
        <f t="shared" si="1508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525">A7080</f>
        <v>45992</v>
      </c>
      <c r="B7081" s="5" t="str">
        <f t="shared" si="1525"/>
        <v>Northern Cardinal</v>
      </c>
      <c r="C7081" s="6">
        <f t="shared" si="1525"/>
        <v>0.28333333333333333</v>
      </c>
      <c r="D7081" s="5"/>
      <c r="E7081" s="5"/>
      <c r="F7081" s="5" t="s">
        <v>8</v>
      </c>
      <c r="G7081" s="15" t="s">
        <v>9</v>
      </c>
      <c r="H7081" s="24">
        <f t="shared" si="1508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526">A7081</f>
        <v>45992</v>
      </c>
      <c r="B7082" s="5" t="str">
        <f t="shared" si="1526"/>
        <v>Northern Cardinal</v>
      </c>
      <c r="C7082" s="6">
        <f t="shared" si="1526"/>
        <v>0.28333333333333333</v>
      </c>
      <c r="D7082" s="5"/>
      <c r="E7082" s="5"/>
      <c r="F7082" s="5" t="s">
        <v>8</v>
      </c>
      <c r="G7082" s="15" t="s">
        <v>9</v>
      </c>
      <c r="H7082" s="24">
        <f t="shared" si="1508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527">A7082</f>
        <v>45992</v>
      </c>
      <c r="B7083" s="5" t="str">
        <f t="shared" si="1527"/>
        <v>Northern Cardinal</v>
      </c>
      <c r="C7083" s="6">
        <f t="shared" si="1527"/>
        <v>0.28333333333333333</v>
      </c>
      <c r="D7083" s="5"/>
      <c r="E7083" s="5"/>
      <c r="F7083" s="5" t="s">
        <v>8</v>
      </c>
      <c r="G7083" s="15" t="s">
        <v>9</v>
      </c>
      <c r="H7083" s="24">
        <f t="shared" si="1508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528">A7083</f>
        <v>45992</v>
      </c>
      <c r="B7084" s="5" t="str">
        <f t="shared" si="1528"/>
        <v>Northern Cardinal</v>
      </c>
      <c r="C7084" s="6">
        <f t="shared" si="1528"/>
        <v>0.28333333333333333</v>
      </c>
      <c r="D7084" s="5"/>
      <c r="E7084" s="5"/>
      <c r="F7084" s="5" t="s">
        <v>8</v>
      </c>
      <c r="G7084" s="15" t="s">
        <v>9</v>
      </c>
      <c r="H7084" s="24">
        <f t="shared" si="1508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529">A7084</f>
        <v>45992</v>
      </c>
      <c r="B7085" s="5" t="str">
        <f t="shared" si="1529"/>
        <v>Northern Cardinal</v>
      </c>
      <c r="C7085" s="6">
        <f t="shared" si="1529"/>
        <v>0.28333333333333333</v>
      </c>
      <c r="D7085" s="5"/>
      <c r="E7085" s="5"/>
      <c r="F7085" s="5" t="s">
        <v>8</v>
      </c>
      <c r="G7085" s="15" t="s">
        <v>9</v>
      </c>
      <c r="H7085" s="24">
        <f t="shared" si="1508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530">A7085</f>
        <v>45992</v>
      </c>
      <c r="B7086" s="5" t="str">
        <f t="shared" si="1530"/>
        <v>Northern Cardinal</v>
      </c>
      <c r="C7086" s="6">
        <f t="shared" si="1530"/>
        <v>0.28333333333333333</v>
      </c>
      <c r="D7086" s="5"/>
      <c r="E7086" s="5"/>
      <c r="F7086" s="5" t="s">
        <v>8</v>
      </c>
      <c r="G7086" s="15" t="s">
        <v>9</v>
      </c>
      <c r="H7086" s="24">
        <f t="shared" si="1508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531">A7086</f>
        <v>45992</v>
      </c>
      <c r="B7087" s="5" t="str">
        <f t="shared" si="1531"/>
        <v>Northern Cardinal</v>
      </c>
      <c r="C7087" s="6">
        <f t="shared" si="1531"/>
        <v>0.28333333333333333</v>
      </c>
      <c r="D7087" s="5"/>
      <c r="E7087" s="5"/>
      <c r="F7087" s="5" t="s">
        <v>8</v>
      </c>
      <c r="G7087" s="15" t="s">
        <v>9</v>
      </c>
      <c r="H7087" s="24">
        <f t="shared" si="1508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532">A7087</f>
        <v>45992</v>
      </c>
      <c r="B7088" s="5" t="str">
        <f t="shared" si="1532"/>
        <v>Northern Cardinal</v>
      </c>
      <c r="C7088" s="6">
        <f t="shared" si="1532"/>
        <v>0.28333333333333333</v>
      </c>
      <c r="D7088" s="5"/>
      <c r="E7088" s="5"/>
      <c r="F7088" s="5" t="s">
        <v>8</v>
      </c>
      <c r="G7088" s="15" t="s">
        <v>9</v>
      </c>
      <c r="H7088" s="24">
        <f t="shared" si="1508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533">A7088</f>
        <v>45992</v>
      </c>
      <c r="B7089" s="5" t="str">
        <f t="shared" si="1533"/>
        <v>Northern Cardinal</v>
      </c>
      <c r="C7089" s="6">
        <f t="shared" si="1533"/>
        <v>0.28333333333333333</v>
      </c>
      <c r="D7089" s="5"/>
      <c r="E7089" s="5"/>
      <c r="F7089" s="5" t="s">
        <v>8</v>
      </c>
      <c r="G7089" s="15" t="s">
        <v>9</v>
      </c>
      <c r="H7089" s="24">
        <f t="shared" si="1508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534">A7089</f>
        <v>45992</v>
      </c>
      <c r="B7090" s="5" t="str">
        <f t="shared" si="1534"/>
        <v>Northern Cardinal</v>
      </c>
      <c r="C7090" s="6">
        <f t="shared" si="1534"/>
        <v>0.28333333333333333</v>
      </c>
      <c r="D7090" s="5"/>
      <c r="E7090" s="5"/>
      <c r="F7090" s="5" t="s">
        <v>8</v>
      </c>
      <c r="G7090" s="15" t="s">
        <v>9</v>
      </c>
      <c r="H7090" s="24">
        <f t="shared" si="1508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535">A7090</f>
        <v>45992</v>
      </c>
      <c r="B7091" s="5" t="str">
        <f t="shared" si="1535"/>
        <v>Northern Cardinal</v>
      </c>
      <c r="C7091" s="6">
        <f t="shared" si="1535"/>
        <v>0.28333333333333333</v>
      </c>
      <c r="D7091" s="5"/>
      <c r="E7091" s="5"/>
      <c r="F7091" s="5" t="s">
        <v>8</v>
      </c>
      <c r="G7091" s="15" t="s">
        <v>9</v>
      </c>
      <c r="H7091" s="24">
        <f t="shared" si="1508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536">A7091</f>
        <v>45992</v>
      </c>
      <c r="B7092" s="5" t="str">
        <f t="shared" si="1536"/>
        <v>Northern Cardinal</v>
      </c>
      <c r="C7092" s="6">
        <f t="shared" si="1536"/>
        <v>0.28333333333333333</v>
      </c>
      <c r="D7092" s="5"/>
      <c r="E7092" s="5"/>
      <c r="F7092" s="5" t="s">
        <v>8</v>
      </c>
      <c r="G7092" s="15" t="s">
        <v>9</v>
      </c>
      <c r="H7092" s="24">
        <f t="shared" si="1508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537">A7092</f>
        <v>45992</v>
      </c>
      <c r="B7093" s="5" t="str">
        <f t="shared" si="1537"/>
        <v>Northern Cardinal</v>
      </c>
      <c r="C7093" s="6">
        <f t="shared" si="1537"/>
        <v>0.28333333333333333</v>
      </c>
      <c r="D7093" s="5"/>
      <c r="E7093" s="5"/>
      <c r="F7093" s="5" t="s">
        <v>8</v>
      </c>
      <c r="G7093" s="15" t="s">
        <v>9</v>
      </c>
      <c r="H7093" s="24">
        <f t="shared" si="1508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538">A7093</f>
        <v>45992</v>
      </c>
      <c r="B7094" s="5" t="str">
        <f t="shared" si="1538"/>
        <v>Northern Cardinal</v>
      </c>
      <c r="C7094" s="6">
        <f t="shared" si="1538"/>
        <v>0.28333333333333333</v>
      </c>
      <c r="D7094" s="5"/>
      <c r="E7094" s="5"/>
      <c r="F7094" s="5" t="s">
        <v>8</v>
      </c>
      <c r="G7094" s="15" t="s">
        <v>9</v>
      </c>
      <c r="H7094" s="24">
        <f t="shared" si="1508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539">A7094</f>
        <v>45992</v>
      </c>
      <c r="B7095" s="5" t="str">
        <f t="shared" si="1539"/>
        <v>Northern Cardinal</v>
      </c>
      <c r="C7095" s="6">
        <f t="shared" si="1539"/>
        <v>0.28333333333333333</v>
      </c>
      <c r="D7095" s="5"/>
      <c r="E7095" s="5"/>
      <c r="F7095" s="5" t="s">
        <v>8</v>
      </c>
      <c r="G7095" s="15" t="s">
        <v>9</v>
      </c>
      <c r="H7095" s="24">
        <f t="shared" si="1508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540">A7095</f>
        <v>45992</v>
      </c>
      <c r="B7096" s="5" t="str">
        <f t="shared" si="1540"/>
        <v>Northern Cardinal</v>
      </c>
      <c r="C7096" s="6">
        <f t="shared" si="1540"/>
        <v>0.28333333333333333</v>
      </c>
      <c r="D7096" s="5"/>
      <c r="E7096" s="5"/>
      <c r="F7096" s="5" t="s">
        <v>8</v>
      </c>
      <c r="G7096" s="15" t="s">
        <v>9</v>
      </c>
      <c r="H7096" s="24">
        <f t="shared" si="1508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541">A7096</f>
        <v>45992</v>
      </c>
      <c r="B7097" s="5" t="str">
        <f t="shared" si="1541"/>
        <v>Northern Cardinal</v>
      </c>
      <c r="C7097" s="6">
        <f t="shared" si="1541"/>
        <v>0.28333333333333333</v>
      </c>
      <c r="D7097" s="5"/>
      <c r="E7097" s="5"/>
      <c r="F7097" s="5" t="s">
        <v>8</v>
      </c>
      <c r="G7097" s="15" t="s">
        <v>9</v>
      </c>
      <c r="H7097" s="24">
        <f t="shared" si="1508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542">A7097</f>
        <v>45992</v>
      </c>
      <c r="B7098" s="5" t="str">
        <f t="shared" si="1542"/>
        <v>Northern Cardinal</v>
      </c>
      <c r="C7098" s="6">
        <f t="shared" si="1542"/>
        <v>0.28333333333333333</v>
      </c>
      <c r="D7098" s="5"/>
      <c r="E7098" s="5"/>
      <c r="F7098" s="5" t="s">
        <v>8</v>
      </c>
      <c r="G7098" s="15" t="s">
        <v>9</v>
      </c>
      <c r="H7098" s="24">
        <f t="shared" si="1508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543">A7098</f>
        <v>45992</v>
      </c>
      <c r="B7099" s="5" t="str">
        <f t="shared" si="1543"/>
        <v>Northern Cardinal</v>
      </c>
      <c r="C7099" s="6">
        <f t="shared" si="1543"/>
        <v>0.28333333333333333</v>
      </c>
      <c r="D7099" s="5"/>
      <c r="E7099" s="5"/>
      <c r="F7099" s="5" t="s">
        <v>8</v>
      </c>
      <c r="G7099" s="15" t="s">
        <v>9</v>
      </c>
      <c r="H7099" s="24">
        <f t="shared" si="1508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544">A7099</f>
        <v>45992</v>
      </c>
      <c r="B7100" s="5" t="str">
        <f t="shared" si="1544"/>
        <v>Northern Cardinal</v>
      </c>
      <c r="C7100" s="6">
        <f t="shared" si="1544"/>
        <v>0.28333333333333333</v>
      </c>
      <c r="D7100" s="5"/>
      <c r="E7100" s="5"/>
      <c r="F7100" s="5" t="s">
        <v>8</v>
      </c>
      <c r="G7100" s="15" t="s">
        <v>9</v>
      </c>
      <c r="H7100" s="24">
        <f t="shared" si="1508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545">A7100</f>
        <v>45992</v>
      </c>
      <c r="B7101" s="5" t="str">
        <f t="shared" si="1545"/>
        <v>Northern Cardinal</v>
      </c>
      <c r="C7101" s="6">
        <f t="shared" si="1545"/>
        <v>0.28333333333333333</v>
      </c>
      <c r="D7101" s="5"/>
      <c r="E7101" s="5"/>
      <c r="F7101" s="5" t="s">
        <v>8</v>
      </c>
      <c r="G7101" s="15" t="s">
        <v>9</v>
      </c>
      <c r="H7101" s="24">
        <f t="shared" si="1508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546">A7101</f>
        <v>45992</v>
      </c>
      <c r="B7102" s="5" t="str">
        <f t="shared" si="1546"/>
        <v>Northern Cardinal</v>
      </c>
      <c r="C7102" s="6">
        <f t="shared" si="1546"/>
        <v>0.28333333333333333</v>
      </c>
      <c r="D7102" s="5"/>
      <c r="E7102" s="5"/>
      <c r="F7102" s="5" t="s">
        <v>8</v>
      </c>
      <c r="G7102" s="15" t="s">
        <v>9</v>
      </c>
      <c r="H7102" s="24">
        <f t="shared" si="1508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547">A7102</f>
        <v>45992</v>
      </c>
      <c r="B7103" s="5" t="str">
        <f t="shared" si="1547"/>
        <v>Northern Cardinal</v>
      </c>
      <c r="C7103" s="6">
        <f t="shared" si="1547"/>
        <v>0.28333333333333333</v>
      </c>
      <c r="D7103" s="5"/>
      <c r="E7103" s="5"/>
      <c r="F7103" s="5" t="s">
        <v>8</v>
      </c>
      <c r="G7103" s="15" t="s">
        <v>9</v>
      </c>
      <c r="H7103" s="24">
        <f t="shared" si="1508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548">A7103</f>
        <v>45992</v>
      </c>
      <c r="B7104" s="5" t="str">
        <f t="shared" si="1548"/>
        <v>Northern Cardinal</v>
      </c>
      <c r="C7104" s="6">
        <f t="shared" si="1548"/>
        <v>0.28333333333333333</v>
      </c>
      <c r="D7104" s="5"/>
      <c r="E7104" s="5"/>
      <c r="F7104" s="5" t="s">
        <v>8</v>
      </c>
      <c r="G7104" s="15" t="s">
        <v>9</v>
      </c>
      <c r="H7104" s="24">
        <f t="shared" si="1508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549">A7104</f>
        <v>45992</v>
      </c>
      <c r="B7105" s="5" t="str">
        <f t="shared" si="1549"/>
        <v>Northern Cardinal</v>
      </c>
      <c r="C7105" s="6">
        <f t="shared" si="1549"/>
        <v>0.28333333333333333</v>
      </c>
      <c r="D7105" s="5"/>
      <c r="E7105" s="5"/>
      <c r="F7105" s="5" t="s">
        <v>8</v>
      </c>
      <c r="G7105" s="15" t="s">
        <v>9</v>
      </c>
      <c r="H7105" s="24">
        <f t="shared" si="1508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550">A7105</f>
        <v>45992</v>
      </c>
      <c r="B7106" s="5" t="str">
        <f t="shared" si="1550"/>
        <v>Northern Cardinal</v>
      </c>
      <c r="C7106" s="6">
        <f t="shared" si="1550"/>
        <v>0.28333333333333333</v>
      </c>
      <c r="D7106" s="5"/>
      <c r="E7106" s="5"/>
      <c r="F7106" s="5" t="s">
        <v>8</v>
      </c>
      <c r="G7106" s="15" t="s">
        <v>9</v>
      </c>
      <c r="H7106" s="24">
        <f t="shared" si="1508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551">A7106</f>
        <v>45992</v>
      </c>
      <c r="B7107" s="5" t="str">
        <f t="shared" si="1551"/>
        <v>Northern Cardinal</v>
      </c>
      <c r="C7107" s="6">
        <f t="shared" si="1551"/>
        <v>0.28333333333333333</v>
      </c>
      <c r="D7107" s="5"/>
      <c r="E7107" s="5"/>
      <c r="F7107" s="5" t="s">
        <v>8</v>
      </c>
      <c r="G7107" s="15" t="s">
        <v>9</v>
      </c>
      <c r="H7107" s="24">
        <f t="shared" si="1508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552">A7107</f>
        <v>45992</v>
      </c>
      <c r="B7108" s="5" t="str">
        <f t="shared" si="1552"/>
        <v>Northern Cardinal</v>
      </c>
      <c r="C7108" s="6">
        <f t="shared" si="1552"/>
        <v>0.28333333333333333</v>
      </c>
      <c r="D7108" s="5"/>
      <c r="E7108" s="5"/>
      <c r="F7108" s="5" t="s">
        <v>8</v>
      </c>
      <c r="G7108" s="15" t="s">
        <v>9</v>
      </c>
      <c r="H7108" s="24">
        <f t="shared" si="1508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553">A7108</f>
        <v>45992</v>
      </c>
      <c r="B7109" s="5" t="str">
        <f t="shared" si="1553"/>
        <v>Northern Cardinal</v>
      </c>
      <c r="C7109" s="6">
        <f t="shared" si="1553"/>
        <v>0.28333333333333333</v>
      </c>
      <c r="D7109" s="5"/>
      <c r="E7109" s="5"/>
      <c r="F7109" s="5" t="s">
        <v>8</v>
      </c>
      <c r="G7109" s="15" t="s">
        <v>9</v>
      </c>
      <c r="H7109" s="24">
        <f t="shared" si="1508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554">A7109</f>
        <v>45992</v>
      </c>
      <c r="B7110" s="5" t="str">
        <f t="shared" si="1554"/>
        <v>Northern Cardinal</v>
      </c>
      <c r="C7110" s="6">
        <f t="shared" si="1554"/>
        <v>0.28333333333333333</v>
      </c>
      <c r="D7110" s="5"/>
      <c r="E7110" s="5"/>
      <c r="F7110" s="5" t="s">
        <v>8</v>
      </c>
      <c r="G7110" s="15" t="s">
        <v>9</v>
      </c>
      <c r="H7110" s="24">
        <f t="shared" si="1508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555">A7110</f>
        <v>45992</v>
      </c>
      <c r="B7111" s="5" t="str">
        <f t="shared" si="1555"/>
        <v>Northern Cardinal</v>
      </c>
      <c r="C7111" s="6">
        <f t="shared" si="1555"/>
        <v>0.28333333333333333</v>
      </c>
      <c r="D7111" s="5"/>
      <c r="E7111" s="5"/>
      <c r="F7111" s="5" t="s">
        <v>8</v>
      </c>
      <c r="G7111" s="15" t="s">
        <v>9</v>
      </c>
      <c r="H7111" s="24">
        <f t="shared" si="1508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556">A7111</f>
        <v>45992</v>
      </c>
      <c r="B7112" s="5" t="str">
        <f t="shared" si="1556"/>
        <v>Northern Cardinal</v>
      </c>
      <c r="C7112" s="6">
        <f t="shared" si="1556"/>
        <v>0.28333333333333333</v>
      </c>
      <c r="D7112" s="5"/>
      <c r="E7112" s="5"/>
      <c r="F7112" s="5" t="s">
        <v>8</v>
      </c>
      <c r="G7112" s="15" t="s">
        <v>9</v>
      </c>
      <c r="H7112" s="24">
        <f t="shared" si="1508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557">A7112</f>
        <v>45992</v>
      </c>
      <c r="B7113" s="5" t="str">
        <f t="shared" si="1557"/>
        <v>Northern Cardinal</v>
      </c>
      <c r="C7113" s="6">
        <f t="shared" si="1557"/>
        <v>0.28333333333333333</v>
      </c>
      <c r="D7113" s="5"/>
      <c r="E7113" s="5"/>
      <c r="F7113" s="5" t="s">
        <v>8</v>
      </c>
      <c r="G7113" s="15" t="s">
        <v>9</v>
      </c>
      <c r="H7113" s="24">
        <f t="shared" si="1508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558">A7113</f>
        <v>45992</v>
      </c>
      <c r="B7114" s="5" t="str">
        <f t="shared" si="1558"/>
        <v>Northern Cardinal</v>
      </c>
      <c r="C7114" s="6">
        <f t="shared" si="1558"/>
        <v>0.28333333333333333</v>
      </c>
      <c r="D7114" s="5"/>
      <c r="E7114" s="5"/>
      <c r="F7114" s="5" t="s">
        <v>8</v>
      </c>
      <c r="G7114" s="15" t="s">
        <v>9</v>
      </c>
      <c r="H7114" s="24">
        <f t="shared" si="1508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559">A7114</f>
        <v>45992</v>
      </c>
      <c r="B7115" s="5" t="str">
        <f t="shared" si="1559"/>
        <v>Northern Cardinal</v>
      </c>
      <c r="C7115" s="6">
        <f t="shared" si="1559"/>
        <v>0.28333333333333333</v>
      </c>
      <c r="D7115" s="5"/>
      <c r="E7115" s="5"/>
      <c r="F7115" s="5" t="s">
        <v>8</v>
      </c>
      <c r="G7115" s="15" t="s">
        <v>9</v>
      </c>
      <c r="H7115" s="24">
        <f t="shared" si="1508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560">A7115</f>
        <v>45992</v>
      </c>
      <c r="B7116" s="5" t="str">
        <f t="shared" si="1560"/>
        <v>Northern Cardinal</v>
      </c>
      <c r="C7116" s="6">
        <f t="shared" si="1560"/>
        <v>0.28333333333333333</v>
      </c>
      <c r="D7116" s="5"/>
      <c r="E7116" s="5"/>
      <c r="F7116" s="5" t="s">
        <v>8</v>
      </c>
      <c r="G7116" s="15" t="s">
        <v>9</v>
      </c>
      <c r="H7116" s="24">
        <f t="shared" si="1508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561">A7116</f>
        <v>45992</v>
      </c>
      <c r="B7117" s="5" t="str">
        <f t="shared" si="1561"/>
        <v>Northern Cardinal</v>
      </c>
      <c r="C7117" s="6">
        <f t="shared" si="1561"/>
        <v>0.28333333333333333</v>
      </c>
      <c r="D7117" s="5"/>
      <c r="E7117" s="5"/>
      <c r="F7117" s="5" t="s">
        <v>8</v>
      </c>
      <c r="G7117" s="15" t="s">
        <v>9</v>
      </c>
      <c r="H7117" s="24">
        <f t="shared" si="1508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562">A7117</f>
        <v>45992</v>
      </c>
      <c r="B7118" s="5" t="str">
        <f t="shared" si="1562"/>
        <v>Northern Cardinal</v>
      </c>
      <c r="C7118" s="6">
        <f t="shared" si="1562"/>
        <v>0.28333333333333333</v>
      </c>
      <c r="D7118" s="5"/>
      <c r="E7118" s="5"/>
      <c r="F7118" s="5" t="s">
        <v>8</v>
      </c>
      <c r="G7118" s="15" t="s">
        <v>9</v>
      </c>
      <c r="H7118" s="24">
        <f t="shared" si="1508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563">A7118</f>
        <v>45992</v>
      </c>
      <c r="B7119" s="5" t="str">
        <f t="shared" si="1563"/>
        <v>Northern Cardinal</v>
      </c>
      <c r="C7119" s="6">
        <f t="shared" si="1563"/>
        <v>0.28333333333333333</v>
      </c>
      <c r="D7119" s="5"/>
      <c r="E7119" s="5"/>
      <c r="F7119" s="5" t="s">
        <v>8</v>
      </c>
      <c r="G7119" s="15" t="s">
        <v>9</v>
      </c>
      <c r="H7119" s="24">
        <f t="shared" si="1508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564">A7119</f>
        <v>45992</v>
      </c>
      <c r="B7120" s="5" t="str">
        <f t="shared" si="1564"/>
        <v>Northern Cardinal</v>
      </c>
      <c r="C7120" s="6">
        <f t="shared" si="1564"/>
        <v>0.28333333333333333</v>
      </c>
      <c r="D7120" s="5"/>
      <c r="E7120" s="5"/>
      <c r="F7120" s="5" t="s">
        <v>8</v>
      </c>
      <c r="G7120" s="15" t="s">
        <v>9</v>
      </c>
      <c r="H7120" s="24">
        <f t="shared" si="1508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565">A7120</f>
        <v>45992</v>
      </c>
      <c r="B7121" s="5" t="str">
        <f t="shared" si="1565"/>
        <v>Northern Cardinal</v>
      </c>
      <c r="C7121" s="6">
        <f t="shared" si="1565"/>
        <v>0.28333333333333333</v>
      </c>
      <c r="D7121" s="5"/>
      <c r="E7121" s="5"/>
      <c r="F7121" s="5" t="s">
        <v>8</v>
      </c>
      <c r="G7121" s="15" t="s">
        <v>9</v>
      </c>
      <c r="H7121" s="24">
        <f t="shared" si="1508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566">A7121</f>
        <v>45992</v>
      </c>
      <c r="B7122" s="5" t="str">
        <f t="shared" si="1566"/>
        <v>Northern Cardinal</v>
      </c>
      <c r="C7122" s="6">
        <f t="shared" si="1566"/>
        <v>0.28333333333333333</v>
      </c>
      <c r="D7122" s="5"/>
      <c r="E7122" s="5"/>
      <c r="F7122" s="5" t="s">
        <v>8</v>
      </c>
      <c r="G7122" s="15" t="s">
        <v>9</v>
      </c>
      <c r="H7122" s="24">
        <f t="shared" si="1508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567">A7122</f>
        <v>45992</v>
      </c>
      <c r="B7123" s="5" t="str">
        <f t="shared" si="1567"/>
        <v>Northern Cardinal</v>
      </c>
      <c r="C7123" s="6">
        <f t="shared" si="1567"/>
        <v>0.28333333333333333</v>
      </c>
      <c r="D7123" s="5"/>
      <c r="E7123" s="5"/>
      <c r="F7123" s="5" t="s">
        <v>8</v>
      </c>
      <c r="G7123" s="15" t="s">
        <v>9</v>
      </c>
      <c r="H7123" s="24">
        <f t="shared" si="1508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568">A7123</f>
        <v>45992</v>
      </c>
      <c r="B7124" s="5" t="str">
        <f t="shared" si="1568"/>
        <v>Northern Cardinal</v>
      </c>
      <c r="C7124" s="6">
        <f t="shared" si="1568"/>
        <v>0.28333333333333333</v>
      </c>
      <c r="D7124" s="5"/>
      <c r="E7124" s="5"/>
      <c r="F7124" s="5" t="s">
        <v>8</v>
      </c>
      <c r="G7124" s="15" t="s">
        <v>9</v>
      </c>
      <c r="H7124" s="24">
        <f t="shared" si="1508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569">A7124</f>
        <v>45992</v>
      </c>
      <c r="B7125" s="5" t="str">
        <f t="shared" si="1569"/>
        <v>Northern Cardinal</v>
      </c>
      <c r="C7125" s="6">
        <f t="shared" si="1569"/>
        <v>0.28333333333333333</v>
      </c>
      <c r="D7125" s="5"/>
      <c r="E7125" s="5"/>
      <c r="F7125" s="5" t="s">
        <v>8</v>
      </c>
      <c r="G7125" s="15" t="s">
        <v>9</v>
      </c>
      <c r="H7125" s="24">
        <f t="shared" si="1508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570">A7125</f>
        <v>45992</v>
      </c>
      <c r="B7126" s="5" t="str">
        <f t="shared" si="1570"/>
        <v>Northern Cardinal</v>
      </c>
      <c r="C7126" s="6">
        <f t="shared" si="1570"/>
        <v>0.28333333333333333</v>
      </c>
      <c r="D7126" s="5"/>
      <c r="E7126" s="5"/>
      <c r="F7126" s="5" t="s">
        <v>8</v>
      </c>
      <c r="G7126" s="15" t="s">
        <v>9</v>
      </c>
      <c r="H7126" s="24">
        <f t="shared" si="1508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571">A7126</f>
        <v>45992</v>
      </c>
      <c r="B7127" s="5" t="str">
        <f t="shared" si="1571"/>
        <v>Northern Cardinal</v>
      </c>
      <c r="C7127" s="6">
        <f t="shared" si="1571"/>
        <v>0.28333333333333333</v>
      </c>
      <c r="D7127" s="5"/>
      <c r="E7127" s="5"/>
      <c r="F7127" s="5" t="s">
        <v>8</v>
      </c>
      <c r="G7127" s="15" t="s">
        <v>9</v>
      </c>
      <c r="H7127" s="24">
        <f t="shared" si="1508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572">A7127</f>
        <v>45992</v>
      </c>
      <c r="B7128" s="5" t="str">
        <f t="shared" si="1572"/>
        <v>Northern Cardinal</v>
      </c>
      <c r="C7128" s="6">
        <f t="shared" si="1572"/>
        <v>0.28333333333333333</v>
      </c>
      <c r="D7128" s="5"/>
      <c r="E7128" s="5"/>
      <c r="F7128" s="5" t="s">
        <v>8</v>
      </c>
      <c r="G7128" s="15" t="s">
        <v>9</v>
      </c>
      <c r="H7128" s="24">
        <f t="shared" ref="H7128:H7190" si="1573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574">A7128</f>
        <v>45992</v>
      </c>
      <c r="B7129" s="5" t="str">
        <f t="shared" si="1574"/>
        <v>Northern Cardinal</v>
      </c>
      <c r="C7129" s="6">
        <f t="shared" si="1574"/>
        <v>0.28333333333333333</v>
      </c>
      <c r="D7129" s="5"/>
      <c r="E7129" s="5"/>
      <c r="F7129" s="5" t="s">
        <v>8</v>
      </c>
      <c r="G7129" s="15" t="s">
        <v>9</v>
      </c>
      <c r="H7129" s="24">
        <f t="shared" si="1573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575">A7129</f>
        <v>45992</v>
      </c>
      <c r="B7130" s="5" t="str">
        <f t="shared" si="1575"/>
        <v>Northern Cardinal</v>
      </c>
      <c r="C7130" s="6">
        <f t="shared" si="1575"/>
        <v>0.28333333333333333</v>
      </c>
      <c r="D7130" s="5"/>
      <c r="E7130" s="5"/>
      <c r="F7130" s="5" t="s">
        <v>8</v>
      </c>
      <c r="G7130" s="15" t="s">
        <v>9</v>
      </c>
      <c r="H7130" s="24">
        <f t="shared" si="1573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576">A7130</f>
        <v>45992</v>
      </c>
      <c r="B7131" s="5" t="str">
        <f t="shared" si="1576"/>
        <v>Northern Cardinal</v>
      </c>
      <c r="C7131" s="6">
        <f t="shared" si="1576"/>
        <v>0.28333333333333333</v>
      </c>
      <c r="D7131" s="5"/>
      <c r="E7131" s="5"/>
      <c r="F7131" s="5" t="s">
        <v>8</v>
      </c>
      <c r="G7131" s="15" t="s">
        <v>9</v>
      </c>
      <c r="H7131" s="24">
        <f t="shared" si="1573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577">A7131</f>
        <v>45992</v>
      </c>
      <c r="B7132" s="5" t="str">
        <f t="shared" si="1577"/>
        <v>Northern Cardinal</v>
      </c>
      <c r="C7132" s="6">
        <f t="shared" si="1577"/>
        <v>0.28333333333333333</v>
      </c>
      <c r="D7132" s="5"/>
      <c r="E7132" s="5"/>
      <c r="F7132" s="5" t="s">
        <v>8</v>
      </c>
      <c r="G7132" s="15" t="s">
        <v>9</v>
      </c>
      <c r="H7132" s="24">
        <f t="shared" si="1573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578">A7132</f>
        <v>45992</v>
      </c>
      <c r="B7133" s="5" t="str">
        <f t="shared" si="1578"/>
        <v>Northern Cardinal</v>
      </c>
      <c r="C7133" s="6">
        <f t="shared" si="1578"/>
        <v>0.28333333333333333</v>
      </c>
      <c r="D7133" s="5"/>
      <c r="E7133" s="5"/>
      <c r="F7133" s="5" t="s">
        <v>8</v>
      </c>
      <c r="G7133" s="15" t="s">
        <v>9</v>
      </c>
      <c r="H7133" s="24">
        <f t="shared" si="1573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579">A7133</f>
        <v>45992</v>
      </c>
      <c r="B7134" s="5" t="str">
        <f t="shared" si="1579"/>
        <v>Northern Cardinal</v>
      </c>
      <c r="C7134" s="6">
        <f t="shared" si="1579"/>
        <v>0.28333333333333333</v>
      </c>
      <c r="D7134" s="5"/>
      <c r="E7134" s="5"/>
      <c r="F7134" s="5" t="s">
        <v>8</v>
      </c>
      <c r="G7134" s="15" t="s">
        <v>9</v>
      </c>
      <c r="H7134" s="24">
        <f t="shared" si="1573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580">A7134</f>
        <v>45992</v>
      </c>
      <c r="B7135" s="5" t="str">
        <f t="shared" si="1580"/>
        <v>Northern Cardinal</v>
      </c>
      <c r="C7135" s="6">
        <f t="shared" si="1580"/>
        <v>0.28333333333333333</v>
      </c>
      <c r="D7135" s="5"/>
      <c r="E7135" s="5"/>
      <c r="F7135" s="5" t="s">
        <v>8</v>
      </c>
      <c r="G7135" s="15" t="s">
        <v>9</v>
      </c>
      <c r="H7135" s="24">
        <f t="shared" si="1573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581">A7135</f>
        <v>45992</v>
      </c>
      <c r="B7136" s="5" t="str">
        <f t="shared" si="1581"/>
        <v>Northern Cardinal</v>
      </c>
      <c r="C7136" s="6">
        <f t="shared" si="1581"/>
        <v>0.28333333333333333</v>
      </c>
      <c r="D7136" s="5"/>
      <c r="E7136" s="5"/>
      <c r="F7136" s="5" t="s">
        <v>8</v>
      </c>
      <c r="G7136" s="15" t="s">
        <v>9</v>
      </c>
      <c r="H7136" s="24">
        <f t="shared" si="1573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582">A7136</f>
        <v>45992</v>
      </c>
      <c r="B7137" s="5" t="str">
        <f t="shared" si="1582"/>
        <v>Northern Cardinal</v>
      </c>
      <c r="C7137" s="6">
        <f t="shared" si="1582"/>
        <v>0.28333333333333333</v>
      </c>
      <c r="D7137" s="5"/>
      <c r="E7137" s="5"/>
      <c r="F7137" s="5" t="s">
        <v>8</v>
      </c>
      <c r="G7137" s="15" t="s">
        <v>9</v>
      </c>
      <c r="H7137" s="24">
        <f t="shared" si="1573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583">A7137</f>
        <v>45992</v>
      </c>
      <c r="B7138" s="5" t="str">
        <f t="shared" si="1583"/>
        <v>Northern Cardinal</v>
      </c>
      <c r="C7138" s="6">
        <f t="shared" si="1583"/>
        <v>0.28333333333333333</v>
      </c>
      <c r="D7138" s="5"/>
      <c r="E7138" s="5"/>
      <c r="F7138" s="5" t="s">
        <v>8</v>
      </c>
      <c r="G7138" s="15" t="s">
        <v>9</v>
      </c>
      <c r="H7138" s="24">
        <f t="shared" si="1573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584">A7138</f>
        <v>45992</v>
      </c>
      <c r="B7139" s="5" t="str">
        <f t="shared" si="1584"/>
        <v>Northern Cardinal</v>
      </c>
      <c r="C7139" s="6">
        <f t="shared" si="1584"/>
        <v>0.28333333333333333</v>
      </c>
      <c r="D7139" s="5"/>
      <c r="E7139" s="5"/>
      <c r="F7139" s="5" t="s">
        <v>8</v>
      </c>
      <c r="G7139" s="15" t="s">
        <v>9</v>
      </c>
      <c r="H7139" s="24">
        <f t="shared" si="1573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585">A7139</f>
        <v>45992</v>
      </c>
      <c r="B7140" s="5" t="str">
        <f t="shared" si="1585"/>
        <v>Northern Cardinal</v>
      </c>
      <c r="C7140" s="6">
        <f t="shared" si="1585"/>
        <v>0.28333333333333333</v>
      </c>
      <c r="D7140" s="5"/>
      <c r="E7140" s="5"/>
      <c r="F7140" s="5" t="s">
        <v>8</v>
      </c>
      <c r="G7140" s="15" t="s">
        <v>9</v>
      </c>
      <c r="H7140" s="24">
        <f t="shared" si="1573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586">A7140</f>
        <v>45992</v>
      </c>
      <c r="B7141" s="5" t="str">
        <f t="shared" si="1586"/>
        <v>Northern Cardinal</v>
      </c>
      <c r="C7141" s="6">
        <f t="shared" si="1586"/>
        <v>0.28333333333333333</v>
      </c>
      <c r="D7141" s="5"/>
      <c r="E7141" s="5"/>
      <c r="F7141" s="5" t="s">
        <v>8</v>
      </c>
      <c r="G7141" s="15" t="s">
        <v>9</v>
      </c>
      <c r="H7141" s="24">
        <f t="shared" si="1573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587">A7141</f>
        <v>45992</v>
      </c>
      <c r="B7142" s="5" t="str">
        <f t="shared" si="1587"/>
        <v>Northern Cardinal</v>
      </c>
      <c r="C7142" s="6">
        <f t="shared" si="1587"/>
        <v>0.28333333333333333</v>
      </c>
      <c r="D7142" s="5"/>
      <c r="E7142" s="5"/>
      <c r="F7142" s="5" t="s">
        <v>8</v>
      </c>
      <c r="G7142" s="15" t="s">
        <v>9</v>
      </c>
      <c r="H7142" s="24">
        <f t="shared" si="1573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588">A7142</f>
        <v>45992</v>
      </c>
      <c r="B7143" s="5" t="str">
        <f t="shared" si="1588"/>
        <v>Northern Cardinal</v>
      </c>
      <c r="C7143" s="6">
        <f t="shared" si="1588"/>
        <v>0.28333333333333333</v>
      </c>
      <c r="D7143" s="5"/>
      <c r="E7143" s="5"/>
      <c r="F7143" s="5" t="s">
        <v>8</v>
      </c>
      <c r="G7143" s="15" t="s">
        <v>9</v>
      </c>
      <c r="H7143" s="24">
        <f t="shared" si="1573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589">A7143</f>
        <v>45992</v>
      </c>
      <c r="B7144" s="5" t="str">
        <f t="shared" si="1589"/>
        <v>Northern Cardinal</v>
      </c>
      <c r="C7144" s="6">
        <f t="shared" si="1589"/>
        <v>0.28333333333333333</v>
      </c>
      <c r="D7144" s="5"/>
      <c r="E7144" s="5"/>
      <c r="F7144" s="5" t="s">
        <v>8</v>
      </c>
      <c r="G7144" s="15" t="s">
        <v>9</v>
      </c>
      <c r="H7144" s="24">
        <f t="shared" si="1573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590">A7144</f>
        <v>45992</v>
      </c>
      <c r="B7145" s="5" t="str">
        <f t="shared" si="1590"/>
        <v>Northern Cardinal</v>
      </c>
      <c r="C7145" s="6">
        <f t="shared" si="1590"/>
        <v>0.28333333333333333</v>
      </c>
      <c r="D7145" s="5"/>
      <c r="E7145" s="5"/>
      <c r="F7145" s="5" t="s">
        <v>8</v>
      </c>
      <c r="G7145" s="15" t="s">
        <v>9</v>
      </c>
      <c r="H7145" s="24">
        <f t="shared" si="1573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591">A7145</f>
        <v>45992</v>
      </c>
      <c r="B7146" s="5" t="str">
        <f t="shared" si="1591"/>
        <v>Northern Cardinal</v>
      </c>
      <c r="C7146" s="6">
        <f t="shared" si="1591"/>
        <v>0.28333333333333333</v>
      </c>
      <c r="D7146" s="5"/>
      <c r="E7146" s="5"/>
      <c r="F7146" s="5" t="s">
        <v>8</v>
      </c>
      <c r="G7146" s="15" t="s">
        <v>9</v>
      </c>
      <c r="H7146" s="24">
        <f t="shared" si="1573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592">A7146</f>
        <v>45992</v>
      </c>
      <c r="B7147" s="5" t="str">
        <f t="shared" si="1592"/>
        <v>Northern Cardinal</v>
      </c>
      <c r="C7147" s="6">
        <f t="shared" si="1592"/>
        <v>0.28333333333333333</v>
      </c>
      <c r="D7147" s="5"/>
      <c r="E7147" s="5"/>
      <c r="F7147" s="5" t="s">
        <v>8</v>
      </c>
      <c r="G7147" s="15" t="s">
        <v>9</v>
      </c>
      <c r="H7147" s="24">
        <f t="shared" si="1573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593">A7147</f>
        <v>45992</v>
      </c>
      <c r="B7148" s="5" t="str">
        <f t="shared" si="1593"/>
        <v>Northern Cardinal</v>
      </c>
      <c r="C7148" s="6">
        <f t="shared" si="1593"/>
        <v>0.28333333333333333</v>
      </c>
      <c r="D7148" s="5"/>
      <c r="E7148" s="5"/>
      <c r="F7148" s="5" t="s">
        <v>8</v>
      </c>
      <c r="G7148" s="15" t="s">
        <v>9</v>
      </c>
      <c r="H7148" s="24">
        <f t="shared" si="1573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594">A7148</f>
        <v>45992</v>
      </c>
      <c r="B7149" s="5" t="str">
        <f t="shared" si="1594"/>
        <v>Northern Cardinal</v>
      </c>
      <c r="C7149" s="6">
        <f t="shared" si="1594"/>
        <v>0.28333333333333333</v>
      </c>
      <c r="D7149" s="5"/>
      <c r="E7149" s="5"/>
      <c r="F7149" s="5" t="s">
        <v>8</v>
      </c>
      <c r="G7149" s="15" t="s">
        <v>9</v>
      </c>
      <c r="H7149" s="24">
        <f t="shared" si="1573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595">A7149</f>
        <v>45992</v>
      </c>
      <c r="B7150" s="5" t="str">
        <f t="shared" si="1595"/>
        <v>Northern Cardinal</v>
      </c>
      <c r="C7150" s="6">
        <f t="shared" si="1595"/>
        <v>0.28333333333333333</v>
      </c>
      <c r="D7150" s="5"/>
      <c r="E7150" s="5"/>
      <c r="F7150" s="5" t="s">
        <v>8</v>
      </c>
      <c r="G7150" s="15" t="s">
        <v>9</v>
      </c>
      <c r="H7150" s="24">
        <f t="shared" si="1573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596">A7150</f>
        <v>45992</v>
      </c>
      <c r="B7151" s="5" t="str">
        <f t="shared" si="1596"/>
        <v>Northern Cardinal</v>
      </c>
      <c r="C7151" s="6">
        <f t="shared" si="1596"/>
        <v>0.28333333333333333</v>
      </c>
      <c r="D7151" s="5"/>
      <c r="E7151" s="5"/>
      <c r="F7151" s="5" t="s">
        <v>8</v>
      </c>
      <c r="G7151" s="15" t="s">
        <v>9</v>
      </c>
      <c r="H7151" s="24">
        <f t="shared" si="1573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97">A7151</f>
        <v>45992</v>
      </c>
      <c r="B7152" s="5" t="str">
        <f t="shared" si="1597"/>
        <v>Northern Cardinal</v>
      </c>
      <c r="C7152" s="6">
        <f t="shared" si="1597"/>
        <v>0.28333333333333333</v>
      </c>
      <c r="D7152" s="5"/>
      <c r="E7152" s="5"/>
      <c r="F7152" s="5" t="s">
        <v>8</v>
      </c>
      <c r="G7152" s="15" t="s">
        <v>9</v>
      </c>
      <c r="H7152" s="24">
        <f t="shared" si="1573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98">A7152</f>
        <v>45992</v>
      </c>
      <c r="B7153" s="5" t="str">
        <f t="shared" si="1598"/>
        <v>Northern Cardinal</v>
      </c>
      <c r="C7153" s="6">
        <f t="shared" si="1598"/>
        <v>0.28333333333333333</v>
      </c>
      <c r="D7153" s="5"/>
      <c r="E7153" s="5"/>
      <c r="F7153" s="5" t="s">
        <v>8</v>
      </c>
      <c r="G7153" s="15" t="s">
        <v>9</v>
      </c>
      <c r="H7153" s="24">
        <f t="shared" si="1573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99">A7153</f>
        <v>45992</v>
      </c>
      <c r="B7154" s="5" t="str">
        <f t="shared" si="1599"/>
        <v>Northern Cardinal</v>
      </c>
      <c r="C7154" s="6">
        <f t="shared" si="1599"/>
        <v>0.28333333333333333</v>
      </c>
      <c r="D7154" s="5"/>
      <c r="E7154" s="5"/>
      <c r="F7154" s="5" t="s">
        <v>8</v>
      </c>
      <c r="G7154" s="15" t="s">
        <v>9</v>
      </c>
      <c r="H7154" s="24">
        <f t="shared" si="1573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600">A7154</f>
        <v>45992</v>
      </c>
      <c r="B7155" s="5" t="str">
        <f t="shared" si="1600"/>
        <v>Northern Cardinal</v>
      </c>
      <c r="C7155" s="6">
        <f t="shared" si="1600"/>
        <v>0.28333333333333333</v>
      </c>
      <c r="D7155" s="5"/>
      <c r="E7155" s="5"/>
      <c r="F7155" s="5" t="s">
        <v>8</v>
      </c>
      <c r="G7155" s="15" t="s">
        <v>9</v>
      </c>
      <c r="H7155" s="24">
        <f t="shared" si="1573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601">A7155</f>
        <v>45992</v>
      </c>
      <c r="B7156" s="5" t="str">
        <f t="shared" si="1601"/>
        <v>Northern Cardinal</v>
      </c>
      <c r="C7156" s="6">
        <f t="shared" si="1601"/>
        <v>0.28333333333333333</v>
      </c>
      <c r="D7156" s="5"/>
      <c r="E7156" s="5"/>
      <c r="F7156" s="5" t="s">
        <v>8</v>
      </c>
      <c r="G7156" s="15" t="s">
        <v>9</v>
      </c>
      <c r="H7156" s="24">
        <f t="shared" si="1573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602">A7156</f>
        <v>45992</v>
      </c>
      <c r="B7157" s="5" t="str">
        <f t="shared" si="1602"/>
        <v>Northern Cardinal</v>
      </c>
      <c r="C7157" s="6">
        <f t="shared" si="1602"/>
        <v>0.28333333333333333</v>
      </c>
      <c r="D7157" s="5"/>
      <c r="E7157" s="5"/>
      <c r="F7157" s="5" t="s">
        <v>8</v>
      </c>
      <c r="G7157" s="15" t="s">
        <v>9</v>
      </c>
      <c r="H7157" s="24">
        <f t="shared" si="1573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603">A7157</f>
        <v>45992</v>
      </c>
      <c r="B7158" s="5" t="str">
        <f t="shared" si="1603"/>
        <v>Northern Cardinal</v>
      </c>
      <c r="C7158" s="6">
        <f t="shared" si="1603"/>
        <v>0.28333333333333333</v>
      </c>
      <c r="D7158" s="5"/>
      <c r="E7158" s="5"/>
      <c r="F7158" s="5" t="s">
        <v>8</v>
      </c>
      <c r="G7158" s="15" t="s">
        <v>9</v>
      </c>
      <c r="H7158" s="24">
        <f t="shared" si="1573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604">A7158</f>
        <v>45992</v>
      </c>
      <c r="B7159" s="5" t="str">
        <f t="shared" si="1604"/>
        <v>Northern Cardinal</v>
      </c>
      <c r="C7159" s="6">
        <f t="shared" si="1604"/>
        <v>0.28333333333333333</v>
      </c>
      <c r="D7159" s="5"/>
      <c r="E7159" s="5"/>
      <c r="F7159" s="5" t="s">
        <v>8</v>
      </c>
      <c r="G7159" s="15" t="s">
        <v>9</v>
      </c>
      <c r="H7159" s="24">
        <f t="shared" si="1573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605">A7159</f>
        <v>45992</v>
      </c>
      <c r="B7160" s="5" t="str">
        <f t="shared" si="1605"/>
        <v>Northern Cardinal</v>
      </c>
      <c r="C7160" s="6">
        <f t="shared" si="1605"/>
        <v>0.28333333333333333</v>
      </c>
      <c r="D7160" s="5"/>
      <c r="E7160" s="5"/>
      <c r="F7160" s="5" t="s">
        <v>8</v>
      </c>
      <c r="G7160" s="15" t="s">
        <v>9</v>
      </c>
      <c r="H7160" s="24">
        <f t="shared" si="1573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606">A7160</f>
        <v>45992</v>
      </c>
      <c r="B7161" s="5" t="str">
        <f t="shared" si="1606"/>
        <v>Northern Cardinal</v>
      </c>
      <c r="C7161" s="6">
        <f t="shared" si="1606"/>
        <v>0.28333333333333333</v>
      </c>
      <c r="D7161" s="5"/>
      <c r="E7161" s="5"/>
      <c r="F7161" s="5" t="s">
        <v>8</v>
      </c>
      <c r="G7161" s="15" t="s">
        <v>9</v>
      </c>
      <c r="H7161" s="24">
        <f t="shared" si="1573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607">A7161</f>
        <v>45992</v>
      </c>
      <c r="B7162" s="5" t="str">
        <f t="shared" si="1607"/>
        <v>Northern Cardinal</v>
      </c>
      <c r="C7162" s="6">
        <f t="shared" si="1607"/>
        <v>0.28333333333333333</v>
      </c>
      <c r="D7162" s="5"/>
      <c r="E7162" s="5"/>
      <c r="F7162" s="5" t="s">
        <v>8</v>
      </c>
      <c r="G7162" s="15" t="s">
        <v>9</v>
      </c>
      <c r="H7162" s="24">
        <f t="shared" si="1573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608">A7162</f>
        <v>45992</v>
      </c>
      <c r="B7163" s="5" t="str">
        <f t="shared" si="1608"/>
        <v>Northern Cardinal</v>
      </c>
      <c r="C7163" s="6">
        <f t="shared" si="1608"/>
        <v>0.28333333333333333</v>
      </c>
      <c r="D7163" s="5"/>
      <c r="E7163" s="5"/>
      <c r="F7163" s="5" t="s">
        <v>8</v>
      </c>
      <c r="G7163" s="15" t="s">
        <v>9</v>
      </c>
      <c r="H7163" s="24">
        <f t="shared" si="1573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609">A7163</f>
        <v>45992</v>
      </c>
      <c r="B7164" s="5" t="str">
        <f t="shared" si="1609"/>
        <v>Northern Cardinal</v>
      </c>
      <c r="C7164" s="6">
        <f t="shared" si="1609"/>
        <v>0.28333333333333333</v>
      </c>
      <c r="D7164" s="5"/>
      <c r="E7164" s="5"/>
      <c r="F7164" s="5" t="s">
        <v>8</v>
      </c>
      <c r="G7164" s="15" t="s">
        <v>9</v>
      </c>
      <c r="H7164" s="24">
        <f t="shared" si="1573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610">A7164</f>
        <v>45992</v>
      </c>
      <c r="B7165" s="5" t="str">
        <f t="shared" si="1610"/>
        <v>Northern Cardinal</v>
      </c>
      <c r="C7165" s="6">
        <f t="shared" si="1610"/>
        <v>0.28333333333333333</v>
      </c>
      <c r="D7165" s="5"/>
      <c r="E7165" s="5"/>
      <c r="F7165" s="5" t="s">
        <v>8</v>
      </c>
      <c r="G7165" s="15" t="s">
        <v>9</v>
      </c>
      <c r="H7165" s="24">
        <f t="shared" si="1573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611">A7165</f>
        <v>45992</v>
      </c>
      <c r="B7166" s="5" t="str">
        <f t="shared" si="1611"/>
        <v>Northern Cardinal</v>
      </c>
      <c r="C7166" s="6">
        <f t="shared" si="1611"/>
        <v>0.28333333333333333</v>
      </c>
      <c r="D7166" s="5"/>
      <c r="E7166" s="5"/>
      <c r="F7166" s="5" t="s">
        <v>8</v>
      </c>
      <c r="G7166" s="15" t="s">
        <v>9</v>
      </c>
      <c r="H7166" s="24">
        <f t="shared" si="1573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612">A7166</f>
        <v>45992</v>
      </c>
      <c r="B7167" s="5" t="str">
        <f t="shared" si="1612"/>
        <v>Northern Cardinal</v>
      </c>
      <c r="C7167" s="6">
        <f t="shared" si="1612"/>
        <v>0.28333333333333333</v>
      </c>
      <c r="D7167" s="5"/>
      <c r="E7167" s="5"/>
      <c r="F7167" s="5" t="s">
        <v>8</v>
      </c>
      <c r="G7167" s="15" t="s">
        <v>9</v>
      </c>
      <c r="H7167" s="24">
        <f t="shared" si="1573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613">A7167</f>
        <v>45992</v>
      </c>
      <c r="B7168" s="5" t="str">
        <f t="shared" si="1613"/>
        <v>Northern Cardinal</v>
      </c>
      <c r="C7168" s="6">
        <f t="shared" si="1613"/>
        <v>0.28333333333333333</v>
      </c>
      <c r="D7168" s="5"/>
      <c r="E7168" s="5"/>
      <c r="F7168" s="5" t="s">
        <v>8</v>
      </c>
      <c r="G7168" s="15" t="s">
        <v>9</v>
      </c>
      <c r="H7168" s="24">
        <f t="shared" si="1573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614">A7168</f>
        <v>45992</v>
      </c>
      <c r="B7169" s="5" t="str">
        <f t="shared" si="1614"/>
        <v>Northern Cardinal</v>
      </c>
      <c r="C7169" s="6">
        <f t="shared" si="1614"/>
        <v>0.28333333333333333</v>
      </c>
      <c r="D7169" s="5"/>
      <c r="E7169" s="5"/>
      <c r="F7169" s="5" t="s">
        <v>8</v>
      </c>
      <c r="G7169" s="15" t="s">
        <v>9</v>
      </c>
      <c r="H7169" s="24">
        <f t="shared" si="1573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615">A7169</f>
        <v>45992</v>
      </c>
      <c r="B7170" s="5" t="str">
        <f t="shared" si="1615"/>
        <v>Northern Cardinal</v>
      </c>
      <c r="C7170" s="6">
        <f t="shared" si="1615"/>
        <v>0.28333333333333333</v>
      </c>
      <c r="D7170" s="5"/>
      <c r="E7170" s="5"/>
      <c r="F7170" s="5" t="s">
        <v>8</v>
      </c>
      <c r="G7170" s="15" t="s">
        <v>9</v>
      </c>
      <c r="H7170" s="24">
        <f t="shared" si="1573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616">A7170</f>
        <v>45992</v>
      </c>
      <c r="B7171" s="5" t="str">
        <f t="shared" si="1616"/>
        <v>Northern Cardinal</v>
      </c>
      <c r="C7171" s="6">
        <f t="shared" si="1616"/>
        <v>0.28333333333333333</v>
      </c>
      <c r="D7171" s="5"/>
      <c r="E7171" s="5"/>
      <c r="F7171" s="5" t="s">
        <v>8</v>
      </c>
      <c r="G7171" s="15" t="s">
        <v>9</v>
      </c>
      <c r="H7171" s="24">
        <f t="shared" si="1573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617">A7171</f>
        <v>45992</v>
      </c>
      <c r="B7172" s="5" t="str">
        <f t="shared" si="1617"/>
        <v>Northern Cardinal</v>
      </c>
      <c r="C7172" s="6">
        <f t="shared" si="1617"/>
        <v>0.28333333333333333</v>
      </c>
      <c r="D7172" s="5"/>
      <c r="E7172" s="5"/>
      <c r="F7172" s="5" t="s">
        <v>8</v>
      </c>
      <c r="G7172" s="15" t="s">
        <v>9</v>
      </c>
      <c r="H7172" s="24">
        <f t="shared" si="1573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618">A7172</f>
        <v>45992</v>
      </c>
      <c r="B7173" s="5" t="str">
        <f t="shared" si="1618"/>
        <v>Northern Cardinal</v>
      </c>
      <c r="C7173" s="6">
        <f t="shared" si="1618"/>
        <v>0.28333333333333333</v>
      </c>
      <c r="D7173" s="5"/>
      <c r="E7173" s="5"/>
      <c r="F7173" s="5" t="s">
        <v>8</v>
      </c>
      <c r="G7173" s="15" t="s">
        <v>9</v>
      </c>
      <c r="H7173" s="24">
        <f t="shared" si="1573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619">A7173</f>
        <v>45992</v>
      </c>
      <c r="B7174" s="5" t="str">
        <f t="shared" si="1619"/>
        <v>Northern Cardinal</v>
      </c>
      <c r="C7174" s="6">
        <f t="shared" si="1619"/>
        <v>0.28333333333333333</v>
      </c>
      <c r="D7174" s="5"/>
      <c r="E7174" s="5"/>
      <c r="F7174" s="5" t="s">
        <v>8</v>
      </c>
      <c r="G7174" s="15" t="s">
        <v>9</v>
      </c>
      <c r="H7174" s="24">
        <f t="shared" si="1573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620">A7174</f>
        <v>45992</v>
      </c>
      <c r="B7175" s="5" t="str">
        <f t="shared" si="1620"/>
        <v>Northern Cardinal</v>
      </c>
      <c r="C7175" s="6">
        <f t="shared" si="1620"/>
        <v>0.28333333333333333</v>
      </c>
      <c r="D7175" s="5"/>
      <c r="E7175" s="5"/>
      <c r="F7175" s="5" t="s">
        <v>8</v>
      </c>
      <c r="G7175" s="15" t="s">
        <v>9</v>
      </c>
      <c r="H7175" s="24">
        <f t="shared" si="1573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621">A7175</f>
        <v>45992</v>
      </c>
      <c r="B7176" s="5" t="str">
        <f t="shared" si="1621"/>
        <v>Northern Cardinal</v>
      </c>
      <c r="C7176" s="6">
        <f t="shared" si="1621"/>
        <v>0.28333333333333333</v>
      </c>
      <c r="D7176" s="5"/>
      <c r="E7176" s="5"/>
      <c r="F7176" s="5" t="s">
        <v>8</v>
      </c>
      <c r="G7176" s="15" t="s">
        <v>9</v>
      </c>
      <c r="H7176" s="24">
        <f t="shared" si="1573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622">A7176</f>
        <v>45992</v>
      </c>
      <c r="B7177" s="5" t="str">
        <f t="shared" si="1622"/>
        <v>Northern Cardinal</v>
      </c>
      <c r="C7177" s="6">
        <f t="shared" si="1622"/>
        <v>0.28333333333333333</v>
      </c>
      <c r="D7177" s="5"/>
      <c r="E7177" s="5"/>
      <c r="F7177" s="5" t="s">
        <v>8</v>
      </c>
      <c r="G7177" s="15" t="s">
        <v>9</v>
      </c>
      <c r="H7177" s="24">
        <f t="shared" si="1573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623">A7177</f>
        <v>45992</v>
      </c>
      <c r="B7178" s="5" t="str">
        <f t="shared" si="1623"/>
        <v>Northern Cardinal</v>
      </c>
      <c r="C7178" s="6">
        <f t="shared" si="1623"/>
        <v>0.28333333333333333</v>
      </c>
      <c r="D7178" s="5"/>
      <c r="E7178" s="5"/>
      <c r="F7178" s="5" t="s">
        <v>8</v>
      </c>
      <c r="G7178" s="15" t="s">
        <v>9</v>
      </c>
      <c r="H7178" s="24">
        <f t="shared" si="1573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624">A7178</f>
        <v>45992</v>
      </c>
      <c r="B7179" s="5" t="str">
        <f t="shared" si="1624"/>
        <v>Northern Cardinal</v>
      </c>
      <c r="C7179" s="6">
        <f t="shared" si="1624"/>
        <v>0.28333333333333333</v>
      </c>
      <c r="D7179" s="5"/>
      <c r="E7179" s="5"/>
      <c r="F7179" s="5" t="s">
        <v>8</v>
      </c>
      <c r="G7179" s="15" t="s">
        <v>9</v>
      </c>
      <c r="H7179" s="24">
        <f t="shared" si="1573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625">A7179</f>
        <v>45992</v>
      </c>
      <c r="B7180" s="5" t="str">
        <f t="shared" si="1625"/>
        <v>Northern Cardinal</v>
      </c>
      <c r="C7180" s="6">
        <f t="shared" si="1625"/>
        <v>0.28333333333333333</v>
      </c>
      <c r="D7180" s="5"/>
      <c r="E7180" s="5"/>
      <c r="F7180" s="5" t="s">
        <v>8</v>
      </c>
      <c r="G7180" s="15" t="s">
        <v>9</v>
      </c>
      <c r="H7180" s="24">
        <f t="shared" si="1573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626">A7180</f>
        <v>45992</v>
      </c>
      <c r="B7181" s="5" t="str">
        <f t="shared" si="1626"/>
        <v>Northern Cardinal</v>
      </c>
      <c r="C7181" s="6">
        <f t="shared" si="1626"/>
        <v>0.28333333333333333</v>
      </c>
      <c r="D7181" s="5"/>
      <c r="E7181" s="5"/>
      <c r="F7181" s="5" t="s">
        <v>8</v>
      </c>
      <c r="G7181" s="15" t="s">
        <v>9</v>
      </c>
      <c r="H7181" s="24">
        <f t="shared" si="1573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627">A7181</f>
        <v>45992</v>
      </c>
      <c r="B7182" s="5" t="str">
        <f t="shared" si="1627"/>
        <v>Northern Cardinal</v>
      </c>
      <c r="C7182" s="6">
        <f t="shared" si="1627"/>
        <v>0.28333333333333333</v>
      </c>
      <c r="D7182" s="5"/>
      <c r="E7182" s="5"/>
      <c r="F7182" s="5" t="s">
        <v>8</v>
      </c>
      <c r="G7182" s="15" t="s">
        <v>9</v>
      </c>
      <c r="H7182" s="24">
        <f t="shared" si="1573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628">A7182</f>
        <v>45992</v>
      </c>
      <c r="B7183" s="5" t="str">
        <f t="shared" si="1628"/>
        <v>Northern Cardinal</v>
      </c>
      <c r="C7183" s="6">
        <f t="shared" si="1628"/>
        <v>0.28333333333333333</v>
      </c>
      <c r="D7183" s="5"/>
      <c r="E7183" s="5"/>
      <c r="F7183" s="5" t="s">
        <v>8</v>
      </c>
      <c r="G7183" s="15" t="s">
        <v>9</v>
      </c>
      <c r="H7183" s="24">
        <f t="shared" si="1573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629">A7183</f>
        <v>45992</v>
      </c>
      <c r="B7184" s="5" t="str">
        <f t="shared" si="1629"/>
        <v>Northern Cardinal</v>
      </c>
      <c r="C7184" s="6">
        <f t="shared" si="1629"/>
        <v>0.28333333333333333</v>
      </c>
      <c r="D7184" s="5"/>
      <c r="E7184" s="5"/>
      <c r="F7184" s="5" t="s">
        <v>8</v>
      </c>
      <c r="G7184" s="15" t="s">
        <v>9</v>
      </c>
      <c r="H7184" s="24">
        <f t="shared" si="1573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630">A7184</f>
        <v>45992</v>
      </c>
      <c r="B7185" s="5" t="str">
        <f t="shared" si="1630"/>
        <v>Northern Cardinal</v>
      </c>
      <c r="C7185" s="6">
        <f t="shared" si="1630"/>
        <v>0.28333333333333333</v>
      </c>
      <c r="D7185" s="5"/>
      <c r="E7185" s="5"/>
      <c r="F7185" s="5" t="s">
        <v>8</v>
      </c>
      <c r="G7185" s="15" t="s">
        <v>9</v>
      </c>
      <c r="H7185" s="24">
        <f t="shared" si="1573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631">A7185</f>
        <v>45992</v>
      </c>
      <c r="B7186" s="5" t="str">
        <f t="shared" si="1631"/>
        <v>Northern Cardinal</v>
      </c>
      <c r="C7186" s="6">
        <f t="shared" si="1631"/>
        <v>0.28333333333333333</v>
      </c>
      <c r="D7186" s="5"/>
      <c r="E7186" s="5"/>
      <c r="F7186" s="5" t="s">
        <v>8</v>
      </c>
      <c r="G7186" s="15" t="s">
        <v>9</v>
      </c>
      <c r="H7186" s="24">
        <f t="shared" si="1573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632">A7186</f>
        <v>45992</v>
      </c>
      <c r="B7187" s="5" t="str">
        <f t="shared" si="1632"/>
        <v>Northern Cardinal</v>
      </c>
      <c r="C7187" s="6">
        <f t="shared" si="1632"/>
        <v>0.28333333333333333</v>
      </c>
      <c r="D7187" s="5"/>
      <c r="E7187" s="5"/>
      <c r="F7187" s="5" t="s">
        <v>8</v>
      </c>
      <c r="G7187" s="15" t="s">
        <v>9</v>
      </c>
      <c r="H7187" s="24">
        <f t="shared" si="1573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633">A7187</f>
        <v>45992</v>
      </c>
      <c r="B7188" s="5" t="str">
        <f t="shared" si="1633"/>
        <v>Northern Cardinal</v>
      </c>
      <c r="C7188" s="6">
        <f t="shared" si="1633"/>
        <v>0.28333333333333333</v>
      </c>
      <c r="D7188" s="5"/>
      <c r="E7188" s="5"/>
      <c r="F7188" s="5" t="s">
        <v>8</v>
      </c>
      <c r="G7188" s="15" t="s">
        <v>9</v>
      </c>
      <c r="H7188" s="24">
        <f t="shared" si="1573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634">A7188</f>
        <v>45992</v>
      </c>
      <c r="B7189" s="5" t="str">
        <f t="shared" si="1634"/>
        <v>Northern Cardinal</v>
      </c>
      <c r="C7189" s="6">
        <f t="shared" si="1634"/>
        <v>0.28333333333333333</v>
      </c>
      <c r="D7189" s="5"/>
      <c r="E7189" s="5"/>
      <c r="F7189" s="5" t="s">
        <v>8</v>
      </c>
      <c r="G7189" s="15" t="s">
        <v>9</v>
      </c>
      <c r="H7189" s="24">
        <f t="shared" si="1573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635">A7189</f>
        <v>45992</v>
      </c>
      <c r="B7190" s="5" t="str">
        <f t="shared" si="1635"/>
        <v>Northern Cardinal</v>
      </c>
      <c r="C7190" s="6">
        <f t="shared" si="1635"/>
        <v>0.28333333333333333</v>
      </c>
      <c r="D7190" s="5"/>
      <c r="E7190" s="5"/>
      <c r="F7190" s="5" t="s">
        <v>8</v>
      </c>
      <c r="G7190" s="15" t="s">
        <v>9</v>
      </c>
      <c r="H7190" s="24">
        <f t="shared" si="1573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35"/>
  <sheetViews>
    <sheetView tabSelected="1" zoomScale="120" zoomScaleNormal="120" workbookViewId="0">
      <pane ySplit="1" topLeftCell="A209" activePane="bottomLeft" state="frozen"/>
      <selection pane="bottomLeft" activeCell="A227" sqref="A22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10">
        <v>45991</v>
      </c>
      <c r="B234" s="11" t="s">
        <v>20</v>
      </c>
      <c r="C234" s="11">
        <f>COUNTIFS(RawData!$B:$B, $B234, RawData!$A:$A, DailySummaries!$A234)</f>
        <v>135</v>
      </c>
      <c r="D234" s="11">
        <f>SUMIFS(RawData!$D:$D,RawData!$B:$B,$B234,RawData!$A:$A,DailySummaries!$A234)+1</f>
        <v>266</v>
      </c>
      <c r="E234" s="11">
        <f>SUMIFS(RawData!$E:$E,RawData!$B:$B,$B234,RawData!$A:$A,DailySummaries!$A234)+1</f>
        <v>1548</v>
      </c>
    </row>
    <row r="235" spans="1:5" x14ac:dyDescent="0.25">
      <c r="A235" s="10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2025-12-01T00:02:04Z</dcterms:modified>
</cp:coreProperties>
</file>